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0" yWindow="270" windowWidth="19200" windowHeight="11460" tabRatio="920" activeTab="13"/>
  </bookViews>
  <sheets>
    <sheet name="行为概览" sheetId="24" r:id="rId1"/>
    <sheet name="玩法行为规划" sheetId="7" r:id="rId2"/>
    <sheet name="升级节奏" sheetId="25" r:id="rId3"/>
    <sheet name="主角经验" sheetId="26" r:id="rId4"/>
    <sheet name="宠物经验" sheetId="8" r:id="rId5"/>
    <sheet name="银币" sheetId="46" r:id="rId6"/>
    <sheet name="金币" sheetId="47" r:id="rId7"/>
    <sheet name="主角经验核算" sheetId="27" r:id="rId8"/>
    <sheet name="宠物经验核算" sheetId="28" r:id="rId9"/>
    <sheet name="银币产出核算" sheetId="30" r:id="rId10"/>
    <sheet name="金币产出核算" sheetId="48" r:id="rId11"/>
    <sheet name="各玩法点数产出" sheetId="49" r:id="rId12"/>
    <sheet name="公会相关" sheetId="50" r:id="rId13"/>
    <sheet name="公会dkp" sheetId="41" r:id="rId14"/>
    <sheet name="宝石模块" sheetId="43" state="hidden" r:id="rId15"/>
    <sheet name="公会专精" sheetId="40" r:id="rId16"/>
    <sheet name="援助奖励" sheetId="45" r:id="rId17"/>
    <sheet name="帮派模块（废弃）" sheetId="38" r:id="rId18"/>
  </sheets>
  <externalReferences>
    <externalReference r:id="rId19"/>
  </externalReferences>
  <definedNames>
    <definedName name="_xlnm._FilterDatabase" localSheetId="2" hidden="1">升级节奏!$B$2:$M$152</definedName>
  </definedNames>
  <calcPr calcId="124519" concurrentCalc="0"/>
</workbook>
</file>

<file path=xl/calcChain.xml><?xml version="1.0" encoding="utf-8"?>
<calcChain xmlns="http://schemas.openxmlformats.org/spreadsheetml/2006/main">
  <c r="C104" i="38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K37"/>
  <c r="J37"/>
  <c r="I37"/>
  <c r="C37"/>
  <c r="B37"/>
  <c r="K36"/>
  <c r="J36"/>
  <c r="I36"/>
  <c r="C36"/>
  <c r="B36"/>
  <c r="O37"/>
  <c r="O36"/>
  <c r="O35" a="1"/>
  <c r="O35"/>
  <c r="K35"/>
  <c r="J35"/>
  <c r="I35"/>
  <c r="C35"/>
  <c r="B35"/>
  <c r="C34"/>
  <c r="K28"/>
  <c r="R16"/>
  <c r="Q16"/>
  <c r="P16"/>
  <c r="O16"/>
  <c r="N16"/>
  <c r="M16"/>
  <c r="L16"/>
  <c r="K16"/>
  <c r="J16"/>
  <c r="I16"/>
  <c r="H16"/>
  <c r="G16"/>
  <c r="F16"/>
  <c r="E16"/>
  <c r="D16"/>
  <c r="C16"/>
  <c r="R15"/>
  <c r="Q15"/>
  <c r="P15"/>
  <c r="O15"/>
  <c r="N15"/>
  <c r="M15"/>
  <c r="L15"/>
  <c r="K15"/>
  <c r="J15"/>
  <c r="I15"/>
  <c r="H15"/>
  <c r="G15"/>
  <c r="F15"/>
  <c r="E15"/>
  <c r="D15"/>
  <c r="C15"/>
  <c r="R14"/>
  <c r="Q14"/>
  <c r="P14"/>
  <c r="O14"/>
  <c r="N14"/>
  <c r="M14"/>
  <c r="L14"/>
  <c r="K14"/>
  <c r="J14"/>
  <c r="I14"/>
  <c r="H14"/>
  <c r="G14"/>
  <c r="F14"/>
  <c r="E14"/>
  <c r="D14"/>
  <c r="C14"/>
  <c r="R13"/>
  <c r="Q13"/>
  <c r="P13"/>
  <c r="O13"/>
  <c r="N13"/>
  <c r="M13"/>
  <c r="L13"/>
  <c r="K13"/>
  <c r="J13"/>
  <c r="I13"/>
  <c r="H13"/>
  <c r="G13"/>
  <c r="F13"/>
  <c r="E13"/>
  <c r="D13"/>
  <c r="C13"/>
  <c r="R12"/>
  <c r="Q12"/>
  <c r="P12"/>
  <c r="O12"/>
  <c r="N12"/>
  <c r="M12"/>
  <c r="L12"/>
  <c r="K12"/>
  <c r="J12"/>
  <c r="I12"/>
  <c r="H12"/>
  <c r="G12"/>
  <c r="F12"/>
  <c r="E12"/>
  <c r="D12"/>
  <c r="C12"/>
  <c r="R11"/>
  <c r="Q11"/>
  <c r="P11"/>
  <c r="O11"/>
  <c r="N11"/>
  <c r="M11"/>
  <c r="L11"/>
  <c r="K11"/>
  <c r="J11"/>
  <c r="I11"/>
  <c r="H11"/>
  <c r="G11"/>
  <c r="F11"/>
  <c r="E11"/>
  <c r="D11"/>
  <c r="C11"/>
  <c r="R10"/>
  <c r="Q10"/>
  <c r="P10"/>
  <c r="O10"/>
  <c r="N10"/>
  <c r="M10"/>
  <c r="L10"/>
  <c r="K10"/>
  <c r="J10"/>
  <c r="I10"/>
  <c r="H10"/>
  <c r="G10"/>
  <c r="F10"/>
  <c r="E10"/>
  <c r="D10"/>
  <c r="C10"/>
  <c r="R9"/>
  <c r="Q9"/>
  <c r="P9"/>
  <c r="O9"/>
  <c r="N9"/>
  <c r="M9"/>
  <c r="L9"/>
  <c r="K9"/>
  <c r="J9"/>
  <c r="I9"/>
  <c r="H9"/>
  <c r="G9"/>
  <c r="F9"/>
  <c r="E9"/>
  <c r="D9"/>
  <c r="C9"/>
  <c r="R8"/>
  <c r="Q8"/>
  <c r="P8"/>
  <c r="O8"/>
  <c r="N8"/>
  <c r="M8"/>
  <c r="L8"/>
  <c r="K8"/>
  <c r="J8"/>
  <c r="I8"/>
  <c r="H8"/>
  <c r="G8"/>
  <c r="F8"/>
  <c r="E8"/>
  <c r="D8"/>
  <c r="C8"/>
  <c r="R7"/>
  <c r="Q7"/>
  <c r="P7"/>
  <c r="O7"/>
  <c r="N7"/>
  <c r="M7"/>
  <c r="L7"/>
  <c r="K7"/>
  <c r="J7"/>
  <c r="I7"/>
  <c r="H7"/>
  <c r="G7"/>
  <c r="F7"/>
  <c r="E7"/>
  <c r="D7"/>
  <c r="C7"/>
  <c r="R6"/>
  <c r="Q6"/>
  <c r="P6"/>
  <c r="O6"/>
  <c r="N6"/>
  <c r="M6"/>
  <c r="L6"/>
  <c r="K6"/>
  <c r="J6"/>
  <c r="I6"/>
  <c r="H6"/>
  <c r="G6"/>
  <c r="F6"/>
  <c r="E6"/>
  <c r="D6"/>
  <c r="C6"/>
  <c r="R5"/>
  <c r="Q5"/>
  <c r="P5"/>
  <c r="O5"/>
  <c r="N5"/>
  <c r="M5"/>
  <c r="L5"/>
  <c r="K5"/>
  <c r="J5"/>
  <c r="I5"/>
  <c r="H5"/>
  <c r="G5"/>
  <c r="F5"/>
  <c r="E5"/>
  <c r="D5"/>
  <c r="C5"/>
  <c r="R4"/>
  <c r="Q4"/>
  <c r="P4"/>
  <c r="O4"/>
  <c r="N4"/>
  <c r="M4"/>
  <c r="L4"/>
  <c r="K4"/>
  <c r="J4"/>
  <c r="I4"/>
  <c r="H4"/>
  <c r="G4"/>
  <c r="F4"/>
  <c r="E4"/>
  <c r="D4"/>
  <c r="C4"/>
  <c r="R3"/>
  <c r="Q3"/>
  <c r="P3"/>
  <c r="O3"/>
  <c r="N3"/>
  <c r="M3"/>
  <c r="L3"/>
  <c r="K3"/>
  <c r="J3"/>
  <c r="I3"/>
  <c r="H3"/>
  <c r="G3"/>
  <c r="F3"/>
  <c r="E3"/>
  <c r="D3"/>
  <c r="C3"/>
  <c r="R2"/>
  <c r="Q2"/>
  <c r="P2"/>
  <c r="O2"/>
  <c r="N2"/>
  <c r="M2"/>
  <c r="L2"/>
  <c r="K2"/>
  <c r="J2"/>
  <c r="I2"/>
  <c r="H2"/>
  <c r="G2"/>
  <c r="F2"/>
  <c r="E2"/>
  <c r="D2"/>
  <c r="C2"/>
  <c r="D21" i="40"/>
  <c r="C21"/>
  <c r="D20"/>
  <c r="C20"/>
  <c r="D19"/>
  <c r="C19"/>
  <c r="D18"/>
  <c r="C18"/>
  <c r="D17"/>
  <c r="C17"/>
  <c r="D16"/>
  <c r="C16"/>
  <c r="D15"/>
  <c r="C15"/>
  <c r="D14"/>
  <c r="D13"/>
  <c r="C13"/>
  <c r="D12"/>
  <c r="C12"/>
  <c r="D11"/>
  <c r="C11"/>
  <c r="D10"/>
  <c r="C10"/>
  <c r="D9"/>
  <c r="D8"/>
  <c r="D7"/>
  <c r="C7"/>
  <c r="D6"/>
  <c r="C6"/>
  <c r="D5"/>
  <c r="C5"/>
  <c r="D4"/>
  <c r="C4"/>
  <c r="D3"/>
  <c r="C3"/>
  <c r="C2"/>
  <c r="D151" i="4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J5"/>
  <c r="D5"/>
  <c r="J4"/>
  <c r="D4"/>
  <c r="D3"/>
  <c r="D2"/>
  <c r="Q35" i="50"/>
  <c r="P35"/>
  <c r="O35"/>
  <c r="Q34"/>
  <c r="P34"/>
  <c r="O34"/>
  <c r="Q33"/>
  <c r="P33"/>
  <c r="O33"/>
  <c r="Q32"/>
  <c r="P32"/>
  <c r="O32"/>
  <c r="Q31"/>
  <c r="P31"/>
  <c r="O31"/>
  <c r="F31"/>
  <c r="E31"/>
  <c r="D31"/>
  <c r="Q30"/>
  <c r="P30"/>
  <c r="O30"/>
  <c r="F30"/>
  <c r="E30"/>
  <c r="D30"/>
  <c r="Q29"/>
  <c r="P29"/>
  <c r="O29"/>
  <c r="F29"/>
  <c r="E29"/>
  <c r="D29"/>
  <c r="Q28"/>
  <c r="P28"/>
  <c r="O28"/>
  <c r="F28"/>
  <c r="E28"/>
  <c r="D28"/>
  <c r="Q27"/>
  <c r="P27"/>
  <c r="O27"/>
  <c r="F27"/>
  <c r="E27"/>
  <c r="D27"/>
  <c r="Q26"/>
  <c r="P26"/>
  <c r="O26"/>
  <c r="F26"/>
  <c r="E26"/>
  <c r="D26"/>
  <c r="Q25"/>
  <c r="P25"/>
  <c r="O25"/>
  <c r="F25"/>
  <c r="E25"/>
  <c r="D25"/>
  <c r="F24"/>
  <c r="E24"/>
  <c r="D24"/>
  <c r="F23"/>
  <c r="E23"/>
  <c r="D23"/>
  <c r="F22"/>
  <c r="E22"/>
  <c r="D22"/>
  <c r="K20"/>
  <c r="K17"/>
  <c r="R16"/>
  <c r="E16"/>
  <c r="U11"/>
  <c r="T11"/>
  <c r="S11"/>
  <c r="M11"/>
  <c r="I11"/>
  <c r="U10"/>
  <c r="T10"/>
  <c r="S10"/>
  <c r="N10"/>
  <c r="M10"/>
  <c r="K10"/>
  <c r="I10"/>
  <c r="U9"/>
  <c r="T9"/>
  <c r="S9"/>
  <c r="N9"/>
  <c r="M9"/>
  <c r="K9"/>
  <c r="I9"/>
  <c r="U8"/>
  <c r="T8"/>
  <c r="S8"/>
  <c r="N8"/>
  <c r="M8"/>
  <c r="K8"/>
  <c r="I8"/>
  <c r="U7"/>
  <c r="T7"/>
  <c r="S7"/>
  <c r="N7"/>
  <c r="M7"/>
  <c r="K7"/>
  <c r="I7"/>
  <c r="N6"/>
  <c r="M6"/>
  <c r="K6"/>
  <c r="I6"/>
  <c r="L603" i="49"/>
  <c r="K603"/>
  <c r="L602"/>
  <c r="K602"/>
  <c r="L601"/>
  <c r="K601"/>
  <c r="L600"/>
  <c r="K600"/>
  <c r="L599"/>
  <c r="K599"/>
  <c r="L598"/>
  <c r="K598"/>
  <c r="L597"/>
  <c r="K597"/>
  <c r="L596"/>
  <c r="K596"/>
  <c r="L595"/>
  <c r="K595"/>
  <c r="L594"/>
  <c r="K594"/>
  <c r="D594"/>
  <c r="D593"/>
  <c r="D592"/>
  <c r="E591"/>
  <c r="D591"/>
  <c r="D585"/>
  <c r="D584"/>
  <c r="G583"/>
  <c r="D583"/>
  <c r="G582"/>
  <c r="D582"/>
  <c r="J576"/>
  <c r="J575"/>
  <c r="J574"/>
  <c r="J573"/>
  <c r="J572"/>
  <c r="D572"/>
  <c r="J571"/>
  <c r="F571"/>
  <c r="D571"/>
  <c r="L570"/>
  <c r="J570"/>
  <c r="F570"/>
  <c r="D570"/>
  <c r="L569"/>
  <c r="J569"/>
  <c r="F569"/>
  <c r="D569"/>
  <c r="J568"/>
  <c r="J567"/>
  <c r="D567"/>
  <c r="J566"/>
  <c r="D563"/>
  <c r="D562"/>
  <c r="D561"/>
  <c r="J560"/>
  <c r="D560"/>
  <c r="J559"/>
  <c r="J558"/>
  <c r="J557"/>
  <c r="J556"/>
  <c r="J555"/>
  <c r="J554"/>
  <c r="J553"/>
  <c r="J552"/>
  <c r="J551"/>
  <c r="D551"/>
  <c r="J550"/>
  <c r="F550"/>
  <c r="D550"/>
  <c r="L549"/>
  <c r="J549"/>
  <c r="F549"/>
  <c r="D549"/>
  <c r="L548"/>
  <c r="J548"/>
  <c r="F548"/>
  <c r="D548"/>
  <c r="J547"/>
  <c r="J546"/>
  <c r="D546"/>
  <c r="J545"/>
  <c r="D542"/>
  <c r="D541"/>
  <c r="D540"/>
  <c r="D539"/>
  <c r="J534"/>
  <c r="J533"/>
  <c r="J532"/>
  <c r="J531"/>
  <c r="J530"/>
  <c r="D530"/>
  <c r="J529"/>
  <c r="F529"/>
  <c r="D529"/>
  <c r="L528"/>
  <c r="J528"/>
  <c r="F528"/>
  <c r="D528"/>
  <c r="L527"/>
  <c r="J527"/>
  <c r="F527"/>
  <c r="D527"/>
  <c r="J526"/>
  <c r="J525"/>
  <c r="D525"/>
  <c r="J524"/>
  <c r="D521"/>
  <c r="D520"/>
  <c r="D519"/>
  <c r="D518"/>
  <c r="J507"/>
  <c r="J506"/>
  <c r="J505"/>
  <c r="D505"/>
  <c r="J504"/>
  <c r="D504"/>
  <c r="J503"/>
  <c r="D503"/>
  <c r="J502"/>
  <c r="D502"/>
  <c r="J501"/>
  <c r="J500"/>
  <c r="D500"/>
  <c r="N499"/>
  <c r="K499"/>
  <c r="J499"/>
  <c r="D496"/>
  <c r="D495"/>
  <c r="D494"/>
  <c r="D493"/>
  <c r="J486"/>
  <c r="J485"/>
  <c r="J484"/>
  <c r="J483"/>
  <c r="D483"/>
  <c r="J482"/>
  <c r="D482"/>
  <c r="J481"/>
  <c r="D481"/>
  <c r="J480"/>
  <c r="D480"/>
  <c r="J479"/>
  <c r="J478"/>
  <c r="K477"/>
  <c r="J477"/>
  <c r="D474"/>
  <c r="D473"/>
  <c r="D472"/>
  <c r="D471"/>
  <c r="J464"/>
  <c r="J463"/>
  <c r="J462"/>
  <c r="J461"/>
  <c r="J460"/>
  <c r="J459"/>
  <c r="J458"/>
  <c r="J457"/>
  <c r="J456"/>
  <c r="J455"/>
  <c r="J454"/>
  <c r="J453"/>
  <c r="J452"/>
  <c r="J451"/>
  <c r="D451"/>
  <c r="J450"/>
  <c r="D450"/>
  <c r="J449"/>
  <c r="D449"/>
  <c r="J448"/>
  <c r="D448"/>
  <c r="J447"/>
  <c r="J446"/>
  <c r="K445"/>
  <c r="J445"/>
  <c r="D442"/>
  <c r="D441"/>
  <c r="D440"/>
  <c r="D439"/>
  <c r="J433"/>
  <c r="J432"/>
  <c r="J431"/>
  <c r="J430"/>
  <c r="D430"/>
  <c r="J429"/>
  <c r="D429"/>
  <c r="J428"/>
  <c r="D428"/>
  <c r="J427"/>
  <c r="D427"/>
  <c r="J426"/>
  <c r="J425"/>
  <c r="D425"/>
  <c r="K424"/>
  <c r="J424"/>
  <c r="D421"/>
  <c r="D420"/>
  <c r="D419"/>
  <c r="D418"/>
  <c r="D412"/>
  <c r="D411"/>
  <c r="D410"/>
  <c r="D409"/>
  <c r="D403"/>
  <c r="D402"/>
  <c r="D401"/>
  <c r="D400"/>
  <c r="D394"/>
  <c r="D393"/>
  <c r="D392"/>
  <c r="D391"/>
  <c r="D385"/>
  <c r="D384"/>
  <c r="D383"/>
  <c r="D382"/>
  <c r="D377"/>
  <c r="D376"/>
  <c r="D375"/>
  <c r="D374"/>
  <c r="D368"/>
  <c r="D367"/>
  <c r="D366"/>
  <c r="D365"/>
  <c r="D359"/>
  <c r="D358"/>
  <c r="D357"/>
  <c r="D356"/>
  <c r="D350"/>
  <c r="D349"/>
  <c r="D348"/>
  <c r="D347"/>
  <c r="D340"/>
  <c r="D339"/>
  <c r="D338"/>
  <c r="D337"/>
  <c r="D331"/>
  <c r="D330"/>
  <c r="D329"/>
  <c r="D328"/>
  <c r="D321"/>
  <c r="D320"/>
  <c r="D319"/>
  <c r="D318"/>
  <c r="D312"/>
  <c r="D311"/>
  <c r="D310"/>
  <c r="D309"/>
  <c r="D303"/>
  <c r="D302"/>
  <c r="D301"/>
  <c r="D300"/>
  <c r="D294"/>
  <c r="D293"/>
  <c r="D292"/>
  <c r="D291"/>
  <c r="D285"/>
  <c r="D284"/>
  <c r="D283"/>
  <c r="D282"/>
  <c r="D280"/>
  <c r="D276"/>
  <c r="D275"/>
  <c r="D274"/>
  <c r="D273"/>
  <c r="G262"/>
  <c r="D262"/>
  <c r="G261"/>
  <c r="D261"/>
  <c r="G260"/>
  <c r="D260"/>
  <c r="G259"/>
  <c r="D259"/>
  <c r="D253"/>
  <c r="D252"/>
  <c r="D251"/>
  <c r="D250"/>
  <c r="H249"/>
  <c r="D245"/>
  <c r="D244"/>
  <c r="D243"/>
  <c r="D242"/>
  <c r="D240"/>
  <c r="D236"/>
  <c r="D235"/>
  <c r="D234"/>
  <c r="D233"/>
  <c r="H232"/>
  <c r="P215"/>
  <c r="O215"/>
  <c r="P214"/>
  <c r="O214"/>
  <c r="P213"/>
  <c r="O213"/>
  <c r="P212"/>
  <c r="O212"/>
  <c r="P211"/>
  <c r="O211"/>
  <c r="P210"/>
  <c r="O210"/>
  <c r="P209"/>
  <c r="O209"/>
  <c r="P208"/>
  <c r="O208"/>
  <c r="P207"/>
  <c r="O207"/>
  <c r="P206"/>
  <c r="O206"/>
  <c r="P205"/>
  <c r="O205"/>
  <c r="P204"/>
  <c r="O204"/>
  <c r="P203"/>
  <c r="O203"/>
  <c r="J203"/>
  <c r="P202"/>
  <c r="O202"/>
  <c r="J202"/>
  <c r="D202"/>
  <c r="P201"/>
  <c r="O201"/>
  <c r="J201"/>
  <c r="D201"/>
  <c r="P200"/>
  <c r="O200"/>
  <c r="J200"/>
  <c r="D200"/>
  <c r="P199"/>
  <c r="O199"/>
  <c r="J199"/>
  <c r="D199"/>
  <c r="P198"/>
  <c r="O198"/>
  <c r="J198"/>
  <c r="P197"/>
  <c r="O197"/>
  <c r="J197"/>
  <c r="P196"/>
  <c r="O196"/>
  <c r="N196"/>
  <c r="K196"/>
  <c r="J196"/>
  <c r="D193"/>
  <c r="D192"/>
  <c r="D191"/>
  <c r="D190"/>
  <c r="J184"/>
  <c r="J183"/>
  <c r="J182"/>
  <c r="J181"/>
  <c r="D181"/>
  <c r="J180"/>
  <c r="D180"/>
  <c r="J179"/>
  <c r="D179"/>
  <c r="J178"/>
  <c r="D178"/>
  <c r="J177"/>
  <c r="J176"/>
  <c r="K175"/>
  <c r="J175"/>
  <c r="D172"/>
  <c r="D171"/>
  <c r="D170"/>
  <c r="D169"/>
  <c r="D163"/>
  <c r="D162"/>
  <c r="J161"/>
  <c r="D161"/>
  <c r="J160"/>
  <c r="D160"/>
  <c r="J159"/>
  <c r="J158"/>
  <c r="D158"/>
  <c r="K157"/>
  <c r="J157"/>
  <c r="D154"/>
  <c r="D153"/>
  <c r="D152"/>
  <c r="D151"/>
  <c r="D146"/>
  <c r="D145"/>
  <c r="D144"/>
  <c r="D143"/>
  <c r="D137"/>
  <c r="D136"/>
  <c r="D135"/>
  <c r="D134"/>
  <c r="T129"/>
  <c r="S129"/>
  <c r="O129"/>
  <c r="N129"/>
  <c r="M129"/>
  <c r="L129"/>
  <c r="J129"/>
  <c r="T128"/>
  <c r="S128"/>
  <c r="N128"/>
  <c r="M128"/>
  <c r="L128"/>
  <c r="J128"/>
  <c r="T127"/>
  <c r="S127"/>
  <c r="N127"/>
  <c r="M127"/>
  <c r="L127"/>
  <c r="J127"/>
  <c r="T126"/>
  <c r="S126"/>
  <c r="N126"/>
  <c r="M126"/>
  <c r="L126"/>
  <c r="J126"/>
  <c r="T125"/>
  <c r="S125"/>
  <c r="N125"/>
  <c r="M125"/>
  <c r="L125"/>
  <c r="J125"/>
  <c r="T124"/>
  <c r="S124"/>
  <c r="O124"/>
  <c r="N124"/>
  <c r="M124"/>
  <c r="L124"/>
  <c r="J124"/>
  <c r="T123"/>
  <c r="S123"/>
  <c r="N123"/>
  <c r="M123"/>
  <c r="L123"/>
  <c r="J123"/>
  <c r="T122"/>
  <c r="S122"/>
  <c r="N122"/>
  <c r="M122"/>
  <c r="L122"/>
  <c r="J122"/>
  <c r="T121"/>
  <c r="S121"/>
  <c r="N121"/>
  <c r="M121"/>
  <c r="L121"/>
  <c r="J121"/>
  <c r="T120"/>
  <c r="S120"/>
  <c r="N120"/>
  <c r="M120"/>
  <c r="L120"/>
  <c r="J120"/>
  <c r="T119"/>
  <c r="S119"/>
  <c r="O119"/>
  <c r="N119"/>
  <c r="M119"/>
  <c r="L119"/>
  <c r="J119"/>
  <c r="T118"/>
  <c r="S118"/>
  <c r="N118"/>
  <c r="M118"/>
  <c r="L118"/>
  <c r="J118"/>
  <c r="T117"/>
  <c r="S117"/>
  <c r="N117"/>
  <c r="M117"/>
  <c r="L117"/>
  <c r="J117"/>
  <c r="T116"/>
  <c r="S116"/>
  <c r="N116"/>
  <c r="M116"/>
  <c r="L116"/>
  <c r="J116"/>
  <c r="T115"/>
  <c r="S115"/>
  <c r="N115"/>
  <c r="M115"/>
  <c r="L115"/>
  <c r="J115"/>
  <c r="T114"/>
  <c r="S114"/>
  <c r="O114"/>
  <c r="N114"/>
  <c r="M114"/>
  <c r="L114"/>
  <c r="J114"/>
  <c r="T113"/>
  <c r="S113"/>
  <c r="N113"/>
  <c r="M113"/>
  <c r="L113"/>
  <c r="J113"/>
  <c r="T112"/>
  <c r="S112"/>
  <c r="N112"/>
  <c r="M112"/>
  <c r="L112"/>
  <c r="J112"/>
  <c r="T111"/>
  <c r="S111"/>
  <c r="N111"/>
  <c r="M111"/>
  <c r="L111"/>
  <c r="J111"/>
  <c r="D111"/>
  <c r="T110"/>
  <c r="S110"/>
  <c r="N110"/>
  <c r="M110"/>
  <c r="L110"/>
  <c r="J110"/>
  <c r="D110"/>
  <c r="T109"/>
  <c r="S109"/>
  <c r="O109"/>
  <c r="N109"/>
  <c r="M109"/>
  <c r="L109"/>
  <c r="J109"/>
  <c r="D109"/>
  <c r="T108"/>
  <c r="S108"/>
  <c r="N108"/>
  <c r="M108"/>
  <c r="L108"/>
  <c r="J108"/>
  <c r="D108"/>
  <c r="T107"/>
  <c r="S107"/>
  <c r="N107"/>
  <c r="M107"/>
  <c r="L107"/>
  <c r="J107"/>
  <c r="T106"/>
  <c r="S106"/>
  <c r="N106"/>
  <c r="M106"/>
  <c r="L106"/>
  <c r="J106"/>
  <c r="T105"/>
  <c r="S105"/>
  <c r="P105"/>
  <c r="N105"/>
  <c r="M105"/>
  <c r="L105"/>
  <c r="K105"/>
  <c r="J105"/>
  <c r="D102"/>
  <c r="D101"/>
  <c r="D100"/>
  <c r="D99"/>
  <c r="D92"/>
  <c r="D91"/>
  <c r="D90"/>
  <c r="D89"/>
  <c r="D83"/>
  <c r="D82"/>
  <c r="D81"/>
  <c r="D80"/>
  <c r="D74"/>
  <c r="D73"/>
  <c r="J72"/>
  <c r="D72"/>
  <c r="J71"/>
  <c r="D71"/>
  <c r="J70"/>
  <c r="J69"/>
  <c r="J68"/>
  <c r="D68"/>
  <c r="J67"/>
  <c r="D67"/>
  <c r="J66"/>
  <c r="D66"/>
  <c r="J65"/>
  <c r="D65"/>
  <c r="J64"/>
  <c r="J63"/>
  <c r="D63"/>
  <c r="K62"/>
  <c r="J62"/>
  <c r="D59"/>
  <c r="D58"/>
  <c r="D57"/>
  <c r="D56"/>
  <c r="D50"/>
  <c r="D49"/>
  <c r="D48"/>
  <c r="J47"/>
  <c r="D47"/>
  <c r="J46"/>
  <c r="J45"/>
  <c r="J44"/>
  <c r="D44"/>
  <c r="J43"/>
  <c r="D43"/>
  <c r="J42"/>
  <c r="D42"/>
  <c r="J41"/>
  <c r="D41"/>
  <c r="J40"/>
  <c r="J39"/>
  <c r="K38"/>
  <c r="J38"/>
  <c r="D35"/>
  <c r="G34"/>
  <c r="F34"/>
  <c r="D34"/>
  <c r="G33"/>
  <c r="F33"/>
  <c r="D33"/>
  <c r="G32"/>
  <c r="F32"/>
  <c r="D32"/>
  <c r="G31"/>
  <c r="F31"/>
  <c r="J24"/>
  <c r="J23"/>
  <c r="J22"/>
  <c r="J21"/>
  <c r="D21"/>
  <c r="J20"/>
  <c r="D20"/>
  <c r="J19"/>
  <c r="D19"/>
  <c r="J18"/>
  <c r="D18"/>
  <c r="J17"/>
  <c r="J16"/>
  <c r="D16"/>
  <c r="K15"/>
  <c r="J15"/>
  <c r="D12"/>
  <c r="D11"/>
  <c r="D10"/>
  <c r="D9"/>
  <c r="F3"/>
  <c r="E3"/>
  <c r="D3"/>
  <c r="C3"/>
  <c r="AG151" i="48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I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AF151" i="30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AG151" i="28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J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J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AG151" i="27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AL152" i="47"/>
  <c r="AK152"/>
  <c r="AJ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AL151"/>
  <c r="AK151"/>
  <c r="AJ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L150"/>
  <c r="AK150"/>
  <c r="AJ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L149"/>
  <c r="AK149"/>
  <c r="AJ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L148"/>
  <c r="AK148"/>
  <c r="AJ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L147"/>
  <c r="AK147"/>
  <c r="AJ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L146"/>
  <c r="AK146"/>
  <c r="AJ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L145"/>
  <c r="AK145"/>
  <c r="AJ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L144"/>
  <c r="AK144"/>
  <c r="AJ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L143"/>
  <c r="AK143"/>
  <c r="AJ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L142"/>
  <c r="AK142"/>
  <c r="AJ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L141"/>
  <c r="AK141"/>
  <c r="AJ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L140"/>
  <c r="AK140"/>
  <c r="AJ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L139"/>
  <c r="AK139"/>
  <c r="AJ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L138"/>
  <c r="AK138"/>
  <c r="AJ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L137"/>
  <c r="AK137"/>
  <c r="AJ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L136"/>
  <c r="AK136"/>
  <c r="AJ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L135"/>
  <c r="AK135"/>
  <c r="AJ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L134"/>
  <c r="AK134"/>
  <c r="AJ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L133"/>
  <c r="AK133"/>
  <c r="AJ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L132"/>
  <c r="AK132"/>
  <c r="AJ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L131"/>
  <c r="AK131"/>
  <c r="AJ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L130"/>
  <c r="AK130"/>
  <c r="AJ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L129"/>
  <c r="AK129"/>
  <c r="AJ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L128"/>
  <c r="AK128"/>
  <c r="AJ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L127"/>
  <c r="AK127"/>
  <c r="AJ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L126"/>
  <c r="AK126"/>
  <c r="AJ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L125"/>
  <c r="AK125"/>
  <c r="AJ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L124"/>
  <c r="AK124"/>
  <c r="AJ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L123"/>
  <c r="AK123"/>
  <c r="AJ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L122"/>
  <c r="AK122"/>
  <c r="AJ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L121"/>
  <c r="AK121"/>
  <c r="AJ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L120"/>
  <c r="AK120"/>
  <c r="AJ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L119"/>
  <c r="AK119"/>
  <c r="AJ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L118"/>
  <c r="AK118"/>
  <c r="AJ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L117"/>
  <c r="AK117"/>
  <c r="AJ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L116"/>
  <c r="AK116"/>
  <c r="AJ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L115"/>
  <c r="AK115"/>
  <c r="AJ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L114"/>
  <c r="AK114"/>
  <c r="AJ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L113"/>
  <c r="AK113"/>
  <c r="AJ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L112"/>
  <c r="AK112"/>
  <c r="AJ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L111"/>
  <c r="AK111"/>
  <c r="AJ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L110"/>
  <c r="AK110"/>
  <c r="AJ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L109"/>
  <c r="AK109"/>
  <c r="AJ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L108"/>
  <c r="AK108"/>
  <c r="AJ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L107"/>
  <c r="AK107"/>
  <c r="AJ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L106"/>
  <c r="AK106"/>
  <c r="AJ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L105"/>
  <c r="AK105"/>
  <c r="AJ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L104"/>
  <c r="AK104"/>
  <c r="AJ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L103"/>
  <c r="AK103"/>
  <c r="AJ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L102"/>
  <c r="AK102"/>
  <c r="AJ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L101"/>
  <c r="AK101"/>
  <c r="AJ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L100"/>
  <c r="AK100"/>
  <c r="AJ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L99"/>
  <c r="AK99"/>
  <c r="AJ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L98"/>
  <c r="AK98"/>
  <c r="AJ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L97"/>
  <c r="AK97"/>
  <c r="AJ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L96"/>
  <c r="AK96"/>
  <c r="AJ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L95"/>
  <c r="AK95"/>
  <c r="AJ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L94"/>
  <c r="AK94"/>
  <c r="AJ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L93"/>
  <c r="AK93"/>
  <c r="AJ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L92"/>
  <c r="AK92"/>
  <c r="AJ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L91"/>
  <c r="AK91"/>
  <c r="AJ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L90"/>
  <c r="AK90"/>
  <c r="AJ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L89"/>
  <c r="AK89"/>
  <c r="AJ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L88"/>
  <c r="AK88"/>
  <c r="AJ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L87"/>
  <c r="AK87"/>
  <c r="AJ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L86"/>
  <c r="AK86"/>
  <c r="AJ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L85"/>
  <c r="AK85"/>
  <c r="AJ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L84"/>
  <c r="AK84"/>
  <c r="AJ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L83"/>
  <c r="AK83"/>
  <c r="AJ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L82"/>
  <c r="AK82"/>
  <c r="AJ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L81"/>
  <c r="AK81"/>
  <c r="AJ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L80"/>
  <c r="AK80"/>
  <c r="AJ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L79"/>
  <c r="AK79"/>
  <c r="AJ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L78"/>
  <c r="AK78"/>
  <c r="AJ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L77"/>
  <c r="AK77"/>
  <c r="AJ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L76"/>
  <c r="AK76"/>
  <c r="AJ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L75"/>
  <c r="AK75"/>
  <c r="AJ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L74"/>
  <c r="AK74"/>
  <c r="AJ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L73"/>
  <c r="AK73"/>
  <c r="AJ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L72"/>
  <c r="AK72"/>
  <c r="AJ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L71"/>
  <c r="AK71"/>
  <c r="AJ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L70"/>
  <c r="AK70"/>
  <c r="AJ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L69"/>
  <c r="AK69"/>
  <c r="AJ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L68"/>
  <c r="AK68"/>
  <c r="AJ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L67"/>
  <c r="AK67"/>
  <c r="AJ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L66"/>
  <c r="AK66"/>
  <c r="AJ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L65"/>
  <c r="AK65"/>
  <c r="AJ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L64"/>
  <c r="AK64"/>
  <c r="AJ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L63"/>
  <c r="AK63"/>
  <c r="AJ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L62"/>
  <c r="AK62"/>
  <c r="AJ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L61"/>
  <c r="AK61"/>
  <c r="AJ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L60"/>
  <c r="AK60"/>
  <c r="AJ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L59"/>
  <c r="AK59"/>
  <c r="AJ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L58"/>
  <c r="AK58"/>
  <c r="AJ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L57"/>
  <c r="AK57"/>
  <c r="AJ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L56"/>
  <c r="AK56"/>
  <c r="AJ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L55"/>
  <c r="AK55"/>
  <c r="AJ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L54"/>
  <c r="AK54"/>
  <c r="AJ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L53"/>
  <c r="AK53"/>
  <c r="AJ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L52"/>
  <c r="AK52"/>
  <c r="AJ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L51"/>
  <c r="AK51"/>
  <c r="AJ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L50"/>
  <c r="AK50"/>
  <c r="AJ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L49"/>
  <c r="AK49"/>
  <c r="AJ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L48"/>
  <c r="AK48"/>
  <c r="AJ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L47"/>
  <c r="AK47"/>
  <c r="AJ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L46"/>
  <c r="AK46"/>
  <c r="AJ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L45"/>
  <c r="AK45"/>
  <c r="AJ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L44"/>
  <c r="AK44"/>
  <c r="AJ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L43"/>
  <c r="AK43"/>
  <c r="AJ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L42"/>
  <c r="AK42"/>
  <c r="AJ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L41"/>
  <c r="AK41"/>
  <c r="AJ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L40"/>
  <c r="AK40"/>
  <c r="AJ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L39"/>
  <c r="AK39"/>
  <c r="AJ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L38"/>
  <c r="AK38"/>
  <c r="AJ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L37"/>
  <c r="AK37"/>
  <c r="AJ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L36"/>
  <c r="AK36"/>
  <c r="AJ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L35"/>
  <c r="AK35"/>
  <c r="AJ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L34"/>
  <c r="AK34"/>
  <c r="AJ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L33"/>
  <c r="AK33"/>
  <c r="AJ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L32"/>
  <c r="AK32"/>
  <c r="AJ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L31"/>
  <c r="AK31"/>
  <c r="AJ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L30"/>
  <c r="AK30"/>
  <c r="AJ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L29"/>
  <c r="AK29"/>
  <c r="AJ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L28"/>
  <c r="AK28"/>
  <c r="AJ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L27"/>
  <c r="AK27"/>
  <c r="AJ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L26"/>
  <c r="AK26"/>
  <c r="AJ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L25"/>
  <c r="AK25"/>
  <c r="AJ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L24"/>
  <c r="AK24"/>
  <c r="AJ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L23"/>
  <c r="AK23"/>
  <c r="AJ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L22"/>
  <c r="AK22"/>
  <c r="AJ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L21"/>
  <c r="AK21"/>
  <c r="AJ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L20"/>
  <c r="AK20"/>
  <c r="AJ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L19"/>
  <c r="AK19"/>
  <c r="AJ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L18"/>
  <c r="AK18"/>
  <c r="AJ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L17"/>
  <c r="AK17"/>
  <c r="AJ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L16"/>
  <c r="AK16"/>
  <c r="AJ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L15"/>
  <c r="AK15"/>
  <c r="AJ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L14"/>
  <c r="AK14"/>
  <c r="AJ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L13"/>
  <c r="AK13"/>
  <c r="AJ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L12"/>
  <c r="AK12"/>
  <c r="AJ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L11"/>
  <c r="AK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L10"/>
  <c r="AK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L9"/>
  <c r="AK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L8"/>
  <c r="AK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L7"/>
  <c r="AK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L6"/>
  <c r="AK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L5"/>
  <c r="AK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L4"/>
  <c r="AK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L3"/>
  <c r="AK3"/>
  <c r="AJ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R152" i="46"/>
  <c r="AQ152"/>
  <c r="AP152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R150"/>
  <c r="AQ150"/>
  <c r="AP150"/>
  <c r="AO150"/>
  <c r="AN150"/>
  <c r="AM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R148"/>
  <c r="AQ148"/>
  <c r="AP148"/>
  <c r="AO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R145"/>
  <c r="AQ145"/>
  <c r="AP145"/>
  <c r="AO145"/>
  <c r="AN145"/>
  <c r="AM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R144"/>
  <c r="AQ144"/>
  <c r="AP144"/>
  <c r="AO144"/>
  <c r="AN144"/>
  <c r="AM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R142"/>
  <c r="AQ142"/>
  <c r="AP142"/>
  <c r="AO142"/>
  <c r="AN142"/>
  <c r="AM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R140"/>
  <c r="AQ140"/>
  <c r="AP140"/>
  <c r="AO140"/>
  <c r="AN140"/>
  <c r="AM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R137"/>
  <c r="AQ137"/>
  <c r="AP137"/>
  <c r="AO137"/>
  <c r="AN137"/>
  <c r="AM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R136"/>
  <c r="AQ136"/>
  <c r="AP136"/>
  <c r="AO136"/>
  <c r="AN136"/>
  <c r="AM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R121"/>
  <c r="AQ121"/>
  <c r="AP121"/>
  <c r="AO121"/>
  <c r="AN121"/>
  <c r="AM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R99"/>
  <c r="AQ99"/>
  <c r="AP99"/>
  <c r="AO99"/>
  <c r="AN99"/>
  <c r="AM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R86"/>
  <c r="AQ86"/>
  <c r="AP86"/>
  <c r="AO86"/>
  <c r="AN86"/>
  <c r="AM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R83"/>
  <c r="AQ83"/>
  <c r="AP83"/>
  <c r="AO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R81"/>
  <c r="AQ81"/>
  <c r="AP81"/>
  <c r="AO81"/>
  <c r="AN81"/>
  <c r="AM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R80"/>
  <c r="AQ80"/>
  <c r="AP80"/>
  <c r="AO80"/>
  <c r="AN80"/>
  <c r="AM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R78"/>
  <c r="AQ78"/>
  <c r="AP78"/>
  <c r="AO78"/>
  <c r="AN78"/>
  <c r="AM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R75"/>
  <c r="AQ75"/>
  <c r="AP75"/>
  <c r="AO75"/>
  <c r="AN75"/>
  <c r="AM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R73"/>
  <c r="AQ73"/>
  <c r="AP73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R70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R67"/>
  <c r="AQ67"/>
  <c r="AP67"/>
  <c r="AO67"/>
  <c r="AN67"/>
  <c r="AM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R64"/>
  <c r="AQ64"/>
  <c r="AP64"/>
  <c r="AO64"/>
  <c r="AN64"/>
  <c r="AM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R62"/>
  <c r="AQ62"/>
  <c r="AP62"/>
  <c r="AO62"/>
  <c r="AN62"/>
  <c r="AM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R59"/>
  <c r="AQ59"/>
  <c r="AP59"/>
  <c r="AO59"/>
  <c r="AN59"/>
  <c r="AM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R11"/>
  <c r="AQ11"/>
  <c r="AP11"/>
  <c r="AO11"/>
  <c r="AN11"/>
  <c r="AM11"/>
  <c r="AL11"/>
  <c r="AK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R10"/>
  <c r="AQ10"/>
  <c r="AP10"/>
  <c r="AO10"/>
  <c r="AN10"/>
  <c r="AM10"/>
  <c r="AL10"/>
  <c r="AK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R9"/>
  <c r="AQ9"/>
  <c r="AP9"/>
  <c r="AO9"/>
  <c r="AN9"/>
  <c r="AM9"/>
  <c r="AL9"/>
  <c r="AK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R8"/>
  <c r="AQ8"/>
  <c r="AP8"/>
  <c r="AO8"/>
  <c r="AN8"/>
  <c r="AM8"/>
  <c r="AL8"/>
  <c r="AK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R7"/>
  <c r="AQ7"/>
  <c r="AP7"/>
  <c r="AO7"/>
  <c r="AN7"/>
  <c r="AM7"/>
  <c r="AL7"/>
  <c r="AK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R6"/>
  <c r="AQ6"/>
  <c r="AP6"/>
  <c r="AO6"/>
  <c r="AN6"/>
  <c r="AM6"/>
  <c r="AL6"/>
  <c r="AK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R5"/>
  <c r="AQ5"/>
  <c r="AP5"/>
  <c r="AO5"/>
  <c r="AN5"/>
  <c r="AM5"/>
  <c r="AL5"/>
  <c r="AK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R4"/>
  <c r="AQ4"/>
  <c r="AP4"/>
  <c r="AO4"/>
  <c r="AN4"/>
  <c r="AM4"/>
  <c r="AL4"/>
  <c r="AK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AP152" i="8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P150"/>
  <c r="AO150"/>
  <c r="AN150"/>
  <c r="AM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P148"/>
  <c r="AO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P145"/>
  <c r="AO145"/>
  <c r="AN145"/>
  <c r="AM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P144"/>
  <c r="AO144"/>
  <c r="AN144"/>
  <c r="AM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P142"/>
  <c r="AO142"/>
  <c r="AN142"/>
  <c r="AM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P140"/>
  <c r="AO140"/>
  <c r="AN140"/>
  <c r="AM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P137"/>
  <c r="AO137"/>
  <c r="AN137"/>
  <c r="AM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P136"/>
  <c r="AO136"/>
  <c r="AN136"/>
  <c r="AM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P134"/>
  <c r="AO134"/>
  <c r="AN134"/>
  <c r="AM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P132"/>
  <c r="AO132"/>
  <c r="AN132"/>
  <c r="AM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P131"/>
  <c r="AO131"/>
  <c r="AN131"/>
  <c r="AM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P129"/>
  <c r="AO129"/>
  <c r="AN129"/>
  <c r="AM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P128"/>
  <c r="AO128"/>
  <c r="AN128"/>
  <c r="AM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P126"/>
  <c r="AO126"/>
  <c r="AN126"/>
  <c r="AM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P124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P123"/>
  <c r="AO123"/>
  <c r="AN123"/>
  <c r="AM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P121"/>
  <c r="AO121"/>
  <c r="AN121"/>
  <c r="AM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P118"/>
  <c r="AO118"/>
  <c r="AN118"/>
  <c r="AM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P115"/>
  <c r="AO115"/>
  <c r="AN115"/>
  <c r="AM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P113"/>
  <c r="AO113"/>
  <c r="AN113"/>
  <c r="AM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P112"/>
  <c r="AO112"/>
  <c r="AN112"/>
  <c r="AM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P110"/>
  <c r="AO110"/>
  <c r="AN110"/>
  <c r="AM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P107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P105"/>
  <c r="AO105"/>
  <c r="AN105"/>
  <c r="AM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P102"/>
  <c r="AO102"/>
  <c r="AN102"/>
  <c r="AM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P99"/>
  <c r="AO99"/>
  <c r="AN99"/>
  <c r="AM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P86"/>
  <c r="AO86"/>
  <c r="AN86"/>
  <c r="AM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P83"/>
  <c r="AO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P81"/>
  <c r="AO81"/>
  <c r="AN81"/>
  <c r="AM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P80"/>
  <c r="AO80"/>
  <c r="AN80"/>
  <c r="AM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P78"/>
  <c r="AO78"/>
  <c r="AN78"/>
  <c r="AM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P75"/>
  <c r="AO75"/>
  <c r="AN75"/>
  <c r="AM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P73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P67"/>
  <c r="AO67"/>
  <c r="AN67"/>
  <c r="AM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P64"/>
  <c r="AO64"/>
  <c r="AN64"/>
  <c r="AM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P62"/>
  <c r="AO62"/>
  <c r="AN62"/>
  <c r="AM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P59"/>
  <c r="AO59"/>
  <c r="AN59"/>
  <c r="AM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P11"/>
  <c r="AO11"/>
  <c r="AN11"/>
  <c r="AM11"/>
  <c r="AL11"/>
  <c r="AK11"/>
  <c r="AJ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P10"/>
  <c r="AO10"/>
  <c r="AN10"/>
  <c r="AM10"/>
  <c r="AL10"/>
  <c r="AK10"/>
  <c r="AJ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P9"/>
  <c r="AO9"/>
  <c r="AN9"/>
  <c r="AM9"/>
  <c r="AL9"/>
  <c r="AK9"/>
  <c r="AJ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P8"/>
  <c r="AO8"/>
  <c r="AN8"/>
  <c r="AM8"/>
  <c r="AL8"/>
  <c r="AK8"/>
  <c r="AJ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P7"/>
  <c r="AO7"/>
  <c r="AN7"/>
  <c r="AM7"/>
  <c r="AL7"/>
  <c r="AK7"/>
  <c r="AJ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P6"/>
  <c r="AO6"/>
  <c r="AN6"/>
  <c r="AM6"/>
  <c r="AL6"/>
  <c r="AK6"/>
  <c r="AJ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P5"/>
  <c r="AO5"/>
  <c r="AN5"/>
  <c r="AM5"/>
  <c r="AL5"/>
  <c r="AK5"/>
  <c r="AJ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P4"/>
  <c r="AO4"/>
  <c r="AN4"/>
  <c r="AM4"/>
  <c r="AL4"/>
  <c r="AK4"/>
  <c r="AJ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BO152" i="26"/>
  <c r="BN152"/>
  <c r="BM152"/>
  <c r="BL152"/>
  <c r="BK152"/>
  <c r="BJ152"/>
  <c r="BI152"/>
  <c r="BH152"/>
  <c r="BG152"/>
  <c r="BF152"/>
  <c r="BE152"/>
  <c r="BD152"/>
  <c r="BC152"/>
  <c r="BB152"/>
  <c r="BA152"/>
  <c r="AZ152"/>
  <c r="AY152"/>
  <c r="AX152"/>
  <c r="AW152"/>
  <c r="AV152"/>
  <c r="AU152"/>
  <c r="AT152"/>
  <c r="AS152"/>
  <c r="AR152"/>
  <c r="AQ152"/>
  <c r="AP152"/>
  <c r="AO152"/>
  <c r="AN152"/>
  <c r="AM152"/>
  <c r="AL152"/>
  <c r="AK152"/>
  <c r="AJ152"/>
  <c r="AI152"/>
  <c r="AH152"/>
  <c r="AG152"/>
  <c r="AF152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BO151"/>
  <c r="BN151"/>
  <c r="BM151"/>
  <c r="BL151"/>
  <c r="BK151"/>
  <c r="BJ151"/>
  <c r="BI151"/>
  <c r="BH151"/>
  <c r="BG151"/>
  <c r="BF15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BO150"/>
  <c r="BN150"/>
  <c r="BM150"/>
  <c r="BL150"/>
  <c r="BK150"/>
  <c r="BJ150"/>
  <c r="BI150"/>
  <c r="BH150"/>
  <c r="BG150"/>
  <c r="BF150"/>
  <c r="BE150"/>
  <c r="BD150"/>
  <c r="BC150"/>
  <c r="BB150"/>
  <c r="BA150"/>
  <c r="AZ150"/>
  <c r="AY150"/>
  <c r="AX150"/>
  <c r="AW150"/>
  <c r="AV150"/>
  <c r="AU150"/>
  <c r="AT150"/>
  <c r="AS150"/>
  <c r="AR150"/>
  <c r="AQ150"/>
  <c r="AP150"/>
  <c r="AO150"/>
  <c r="AN150"/>
  <c r="AM150"/>
  <c r="AL150"/>
  <c r="AK150"/>
  <c r="AJ150"/>
  <c r="AI150"/>
  <c r="AH150"/>
  <c r="AG150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BO149"/>
  <c r="BN149"/>
  <c r="BM149"/>
  <c r="BL149"/>
  <c r="BK149"/>
  <c r="BJ149"/>
  <c r="BI149"/>
  <c r="BH149"/>
  <c r="BG149"/>
  <c r="BF149"/>
  <c r="BE149"/>
  <c r="BD149"/>
  <c r="BC149"/>
  <c r="BB149"/>
  <c r="BA149"/>
  <c r="AZ149"/>
  <c r="AY149"/>
  <c r="AX149"/>
  <c r="AW149"/>
  <c r="AV149"/>
  <c r="AU149"/>
  <c r="AT149"/>
  <c r="AS149"/>
  <c r="AR149"/>
  <c r="AQ149"/>
  <c r="AP149"/>
  <c r="AO149"/>
  <c r="AN149"/>
  <c r="AM149"/>
  <c r="AL149"/>
  <c r="AK149"/>
  <c r="AJ149"/>
  <c r="AI149"/>
  <c r="AH149"/>
  <c r="AG149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BO148"/>
  <c r="BN148"/>
  <c r="BM148"/>
  <c r="BL148"/>
  <c r="BK148"/>
  <c r="BJ148"/>
  <c r="BI148"/>
  <c r="BH148"/>
  <c r="BG148"/>
  <c r="BF148"/>
  <c r="BE148"/>
  <c r="BD148"/>
  <c r="BC148"/>
  <c r="BB148"/>
  <c r="BA148"/>
  <c r="AZ148"/>
  <c r="AY148"/>
  <c r="AX148"/>
  <c r="AW148"/>
  <c r="AV148"/>
  <c r="AU148"/>
  <c r="AT148"/>
  <c r="AS148"/>
  <c r="AR148"/>
  <c r="AQ148"/>
  <c r="AP148"/>
  <c r="AO148"/>
  <c r="AN148"/>
  <c r="AM148"/>
  <c r="AL148"/>
  <c r="AK148"/>
  <c r="AJ148"/>
  <c r="AI148"/>
  <c r="AH148"/>
  <c r="AG148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BO147"/>
  <c r="BN147"/>
  <c r="BM147"/>
  <c r="BL147"/>
  <c r="BK147"/>
  <c r="BJ147"/>
  <c r="BI147"/>
  <c r="BH147"/>
  <c r="BG147"/>
  <c r="BF147"/>
  <c r="BE147"/>
  <c r="BD147"/>
  <c r="BC147"/>
  <c r="BB147"/>
  <c r="BA147"/>
  <c r="AZ147"/>
  <c r="AY147"/>
  <c r="AX147"/>
  <c r="AW147"/>
  <c r="AV147"/>
  <c r="AU147"/>
  <c r="AT147"/>
  <c r="AS147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BO146"/>
  <c r="BN146"/>
  <c r="BM146"/>
  <c r="BL146"/>
  <c r="BK146"/>
  <c r="BJ146"/>
  <c r="BI146"/>
  <c r="BH146"/>
  <c r="BG146"/>
  <c r="BF146"/>
  <c r="BE146"/>
  <c r="BD146"/>
  <c r="BC146"/>
  <c r="BB146"/>
  <c r="BA146"/>
  <c r="AZ146"/>
  <c r="AY146"/>
  <c r="AX146"/>
  <c r="AW146"/>
  <c r="AV146"/>
  <c r="AU146"/>
  <c r="AT146"/>
  <c r="AS146"/>
  <c r="AR146"/>
  <c r="AQ146"/>
  <c r="AP146"/>
  <c r="AO146"/>
  <c r="AN146"/>
  <c r="AM146"/>
  <c r="AL146"/>
  <c r="AK146"/>
  <c r="AJ146"/>
  <c r="AI146"/>
  <c r="AH146"/>
  <c r="AG146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BO145"/>
  <c r="BN145"/>
  <c r="BM145"/>
  <c r="BL145"/>
  <c r="BK145"/>
  <c r="BJ145"/>
  <c r="BI145"/>
  <c r="BH145"/>
  <c r="BG145"/>
  <c r="BF145"/>
  <c r="BE145"/>
  <c r="BD145"/>
  <c r="BC145"/>
  <c r="BB145"/>
  <c r="BA145"/>
  <c r="AZ145"/>
  <c r="AY145"/>
  <c r="AX145"/>
  <c r="AW145"/>
  <c r="AV145"/>
  <c r="AU145"/>
  <c r="AT145"/>
  <c r="AS145"/>
  <c r="AR145"/>
  <c r="AQ145"/>
  <c r="AP145"/>
  <c r="AO145"/>
  <c r="AN145"/>
  <c r="AM145"/>
  <c r="AL145"/>
  <c r="AK145"/>
  <c r="AJ145"/>
  <c r="AI145"/>
  <c r="AH145"/>
  <c r="AG145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BO144"/>
  <c r="BN144"/>
  <c r="BM144"/>
  <c r="BL144"/>
  <c r="BK144"/>
  <c r="BJ144"/>
  <c r="BI144"/>
  <c r="BH144"/>
  <c r="BG144"/>
  <c r="BF144"/>
  <c r="BE144"/>
  <c r="BD144"/>
  <c r="BC144"/>
  <c r="BB144"/>
  <c r="BA144"/>
  <c r="AZ144"/>
  <c r="AY144"/>
  <c r="AX144"/>
  <c r="AW144"/>
  <c r="AV144"/>
  <c r="AU144"/>
  <c r="AT144"/>
  <c r="AS144"/>
  <c r="AR144"/>
  <c r="AQ144"/>
  <c r="AP144"/>
  <c r="AO144"/>
  <c r="AN144"/>
  <c r="AM144"/>
  <c r="AL144"/>
  <c r="AK144"/>
  <c r="AJ144"/>
  <c r="AI144"/>
  <c r="AH144"/>
  <c r="AG144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BO143"/>
  <c r="BN143"/>
  <c r="BM143"/>
  <c r="BL143"/>
  <c r="BK143"/>
  <c r="BJ143"/>
  <c r="BI143"/>
  <c r="BH143"/>
  <c r="BG143"/>
  <c r="BF143"/>
  <c r="BE143"/>
  <c r="BD143"/>
  <c r="BC143"/>
  <c r="BB143"/>
  <c r="BA143"/>
  <c r="AZ143"/>
  <c r="AY143"/>
  <c r="AX143"/>
  <c r="AW143"/>
  <c r="AV143"/>
  <c r="AU143"/>
  <c r="AT143"/>
  <c r="AS143"/>
  <c r="AR143"/>
  <c r="AQ143"/>
  <c r="AP143"/>
  <c r="AO143"/>
  <c r="AN143"/>
  <c r="AM143"/>
  <c r="AL143"/>
  <c r="AK143"/>
  <c r="AJ143"/>
  <c r="AI143"/>
  <c r="AH143"/>
  <c r="AG143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BO142"/>
  <c r="BN142"/>
  <c r="BM142"/>
  <c r="BL142"/>
  <c r="BK142"/>
  <c r="BJ142"/>
  <c r="BI142"/>
  <c r="BH142"/>
  <c r="BG142"/>
  <c r="BF142"/>
  <c r="BE142"/>
  <c r="BD142"/>
  <c r="BC142"/>
  <c r="BB142"/>
  <c r="BA142"/>
  <c r="AZ142"/>
  <c r="AY142"/>
  <c r="AX142"/>
  <c r="AW142"/>
  <c r="AV142"/>
  <c r="AU142"/>
  <c r="AT142"/>
  <c r="AS142"/>
  <c r="AR142"/>
  <c r="AQ142"/>
  <c r="AP142"/>
  <c r="AO142"/>
  <c r="AN142"/>
  <c r="AM142"/>
  <c r="AL142"/>
  <c r="AK142"/>
  <c r="AJ142"/>
  <c r="AI142"/>
  <c r="AH142"/>
  <c r="AG142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BO141"/>
  <c r="BN141"/>
  <c r="BM141"/>
  <c r="BL141"/>
  <c r="BK141"/>
  <c r="BJ141"/>
  <c r="BI141"/>
  <c r="BH141"/>
  <c r="BG141"/>
  <c r="BF141"/>
  <c r="BE141"/>
  <c r="BD141"/>
  <c r="BC141"/>
  <c r="BB141"/>
  <c r="BA141"/>
  <c r="AZ141"/>
  <c r="AY141"/>
  <c r="AX141"/>
  <c r="AW141"/>
  <c r="AV141"/>
  <c r="AU141"/>
  <c r="AT141"/>
  <c r="AS141"/>
  <c r="AR141"/>
  <c r="AQ141"/>
  <c r="AP141"/>
  <c r="AO141"/>
  <c r="AN141"/>
  <c r="AM141"/>
  <c r="AL141"/>
  <c r="AK141"/>
  <c r="AJ141"/>
  <c r="AI141"/>
  <c r="AH141"/>
  <c r="AG141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BO140"/>
  <c r="BN140"/>
  <c r="BM140"/>
  <c r="BL140"/>
  <c r="BK140"/>
  <c r="BJ140"/>
  <c r="BI140"/>
  <c r="BH140"/>
  <c r="BG140"/>
  <c r="BF140"/>
  <c r="BE140"/>
  <c r="BD140"/>
  <c r="BC140"/>
  <c r="BB140"/>
  <c r="BA140"/>
  <c r="AZ140"/>
  <c r="AY140"/>
  <c r="AX140"/>
  <c r="AW140"/>
  <c r="AV140"/>
  <c r="AU140"/>
  <c r="AT140"/>
  <c r="AS140"/>
  <c r="AR140"/>
  <c r="AQ140"/>
  <c r="AP140"/>
  <c r="AO140"/>
  <c r="AN140"/>
  <c r="AM140"/>
  <c r="AL140"/>
  <c r="AK140"/>
  <c r="AJ140"/>
  <c r="AI140"/>
  <c r="AH140"/>
  <c r="AG140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BO139"/>
  <c r="BN139"/>
  <c r="BM139"/>
  <c r="BL139"/>
  <c r="BK139"/>
  <c r="BJ139"/>
  <c r="BI139"/>
  <c r="BH139"/>
  <c r="BG139"/>
  <c r="BF139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BO138"/>
  <c r="BN138"/>
  <c r="BM138"/>
  <c r="BL138"/>
  <c r="BK138"/>
  <c r="BJ138"/>
  <c r="BI138"/>
  <c r="BH138"/>
  <c r="BG138"/>
  <c r="BF138"/>
  <c r="BE138"/>
  <c r="BD138"/>
  <c r="BC138"/>
  <c r="BB138"/>
  <c r="BA138"/>
  <c r="AZ138"/>
  <c r="AY138"/>
  <c r="AX138"/>
  <c r="AW138"/>
  <c r="AV138"/>
  <c r="AU138"/>
  <c r="AT138"/>
  <c r="AS138"/>
  <c r="AR138"/>
  <c r="AQ138"/>
  <c r="AP138"/>
  <c r="AO138"/>
  <c r="AN138"/>
  <c r="AM138"/>
  <c r="AL138"/>
  <c r="AK138"/>
  <c r="AJ138"/>
  <c r="AI138"/>
  <c r="AH138"/>
  <c r="AG138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BO137"/>
  <c r="BN137"/>
  <c r="BM137"/>
  <c r="BL137"/>
  <c r="BK137"/>
  <c r="BJ137"/>
  <c r="BI137"/>
  <c r="BH137"/>
  <c r="BG137"/>
  <c r="BF137"/>
  <c r="BE137"/>
  <c r="BD137"/>
  <c r="BC137"/>
  <c r="BB137"/>
  <c r="BA137"/>
  <c r="AZ137"/>
  <c r="AY137"/>
  <c r="AX137"/>
  <c r="AW137"/>
  <c r="AV137"/>
  <c r="AU137"/>
  <c r="AT137"/>
  <c r="AS137"/>
  <c r="AR137"/>
  <c r="AQ137"/>
  <c r="AP137"/>
  <c r="AO137"/>
  <c r="AN137"/>
  <c r="AM137"/>
  <c r="AL137"/>
  <c r="AK137"/>
  <c r="AJ137"/>
  <c r="AI137"/>
  <c r="AH137"/>
  <c r="AG137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BO136"/>
  <c r="BN136"/>
  <c r="BM136"/>
  <c r="BL136"/>
  <c r="BK136"/>
  <c r="BJ136"/>
  <c r="BI136"/>
  <c r="BH136"/>
  <c r="BG136"/>
  <c r="BF136"/>
  <c r="BE136"/>
  <c r="BD136"/>
  <c r="BC136"/>
  <c r="BB136"/>
  <c r="BA136"/>
  <c r="AZ136"/>
  <c r="AY136"/>
  <c r="AX136"/>
  <c r="AW136"/>
  <c r="AV136"/>
  <c r="AU136"/>
  <c r="AT136"/>
  <c r="AS136"/>
  <c r="AR136"/>
  <c r="AQ136"/>
  <c r="AP136"/>
  <c r="AO136"/>
  <c r="AN136"/>
  <c r="AM136"/>
  <c r="AL136"/>
  <c r="AK136"/>
  <c r="AJ136"/>
  <c r="AI136"/>
  <c r="AH136"/>
  <c r="AG136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BO135"/>
  <c r="BN135"/>
  <c r="BM135"/>
  <c r="BL135"/>
  <c r="BK135"/>
  <c r="BJ135"/>
  <c r="BI135"/>
  <c r="BH135"/>
  <c r="BG135"/>
  <c r="BF135"/>
  <c r="BE135"/>
  <c r="BD135"/>
  <c r="BC135"/>
  <c r="BB135"/>
  <c r="BA135"/>
  <c r="AZ135"/>
  <c r="AY135"/>
  <c r="AX135"/>
  <c r="AW135"/>
  <c r="AV135"/>
  <c r="AU135"/>
  <c r="AT135"/>
  <c r="AS135"/>
  <c r="AR135"/>
  <c r="AQ135"/>
  <c r="AP135"/>
  <c r="AO135"/>
  <c r="AN135"/>
  <c r="AM135"/>
  <c r="AL135"/>
  <c r="AK135"/>
  <c r="AJ135"/>
  <c r="AI135"/>
  <c r="AH135"/>
  <c r="AG135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BO134"/>
  <c r="BN134"/>
  <c r="BM134"/>
  <c r="BL134"/>
  <c r="BK134"/>
  <c r="BJ134"/>
  <c r="BI134"/>
  <c r="BH134"/>
  <c r="BG134"/>
  <c r="BF134"/>
  <c r="BE134"/>
  <c r="BD134"/>
  <c r="BC134"/>
  <c r="BB134"/>
  <c r="BA134"/>
  <c r="AZ134"/>
  <c r="AY134"/>
  <c r="AX134"/>
  <c r="AW134"/>
  <c r="AV134"/>
  <c r="AU134"/>
  <c r="AT134"/>
  <c r="AS134"/>
  <c r="AR134"/>
  <c r="AQ134"/>
  <c r="AP134"/>
  <c r="AO134"/>
  <c r="AN134"/>
  <c r="AM134"/>
  <c r="AL134"/>
  <c r="AK134"/>
  <c r="AJ134"/>
  <c r="AI134"/>
  <c r="AH134"/>
  <c r="AG134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BO133"/>
  <c r="BN133"/>
  <c r="BM133"/>
  <c r="BL133"/>
  <c r="BK133"/>
  <c r="BJ133"/>
  <c r="BI133"/>
  <c r="BH133"/>
  <c r="BG133"/>
  <c r="BF133"/>
  <c r="BE133"/>
  <c r="BD133"/>
  <c r="BC133"/>
  <c r="BB133"/>
  <c r="BA133"/>
  <c r="AZ133"/>
  <c r="AY133"/>
  <c r="AX133"/>
  <c r="AW133"/>
  <c r="AV133"/>
  <c r="AU133"/>
  <c r="AT133"/>
  <c r="AS133"/>
  <c r="AR133"/>
  <c r="AQ133"/>
  <c r="AP133"/>
  <c r="AO133"/>
  <c r="AN133"/>
  <c r="AM133"/>
  <c r="AL133"/>
  <c r="AK133"/>
  <c r="AJ133"/>
  <c r="AI133"/>
  <c r="AH133"/>
  <c r="AG13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BO132"/>
  <c r="BN132"/>
  <c r="BM132"/>
  <c r="BL132"/>
  <c r="BK132"/>
  <c r="BJ132"/>
  <c r="BI132"/>
  <c r="BH132"/>
  <c r="BG132"/>
  <c r="BF132"/>
  <c r="BE132"/>
  <c r="BD132"/>
  <c r="BC132"/>
  <c r="BB132"/>
  <c r="BA132"/>
  <c r="AZ132"/>
  <c r="AY132"/>
  <c r="AX132"/>
  <c r="AW132"/>
  <c r="AV132"/>
  <c r="AU132"/>
  <c r="AT132"/>
  <c r="AS132"/>
  <c r="AR132"/>
  <c r="AQ132"/>
  <c r="AP132"/>
  <c r="AO132"/>
  <c r="AN132"/>
  <c r="AM132"/>
  <c r="AL132"/>
  <c r="AK132"/>
  <c r="AJ132"/>
  <c r="AI132"/>
  <c r="AH132"/>
  <c r="AG132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BO131"/>
  <c r="BN131"/>
  <c r="BM131"/>
  <c r="BL131"/>
  <c r="BK131"/>
  <c r="BJ131"/>
  <c r="BI131"/>
  <c r="BH131"/>
  <c r="BG131"/>
  <c r="BF131"/>
  <c r="BE131"/>
  <c r="BD131"/>
  <c r="BC131"/>
  <c r="BB131"/>
  <c r="BA131"/>
  <c r="AZ131"/>
  <c r="AY131"/>
  <c r="AX131"/>
  <c r="AW131"/>
  <c r="AV131"/>
  <c r="AU131"/>
  <c r="AT131"/>
  <c r="AS131"/>
  <c r="AR131"/>
  <c r="AQ131"/>
  <c r="AP131"/>
  <c r="AO131"/>
  <c r="AN131"/>
  <c r="AM131"/>
  <c r="AL131"/>
  <c r="AK131"/>
  <c r="AJ131"/>
  <c r="AI131"/>
  <c r="AH131"/>
  <c r="AG131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BO130"/>
  <c r="BN130"/>
  <c r="BM130"/>
  <c r="BL130"/>
  <c r="BK130"/>
  <c r="BJ130"/>
  <c r="BI130"/>
  <c r="BH130"/>
  <c r="BG130"/>
  <c r="BF130"/>
  <c r="BE130"/>
  <c r="BD130"/>
  <c r="BC130"/>
  <c r="BB130"/>
  <c r="BA130"/>
  <c r="AZ130"/>
  <c r="AY130"/>
  <c r="AX130"/>
  <c r="AW130"/>
  <c r="AV130"/>
  <c r="AU130"/>
  <c r="AT130"/>
  <c r="AS130"/>
  <c r="AR130"/>
  <c r="AQ130"/>
  <c r="AP130"/>
  <c r="AO130"/>
  <c r="AN130"/>
  <c r="AM130"/>
  <c r="AL130"/>
  <c r="AK130"/>
  <c r="AJ130"/>
  <c r="AI130"/>
  <c r="AH130"/>
  <c r="AG130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BO129"/>
  <c r="BN129"/>
  <c r="BM129"/>
  <c r="BL129"/>
  <c r="BK129"/>
  <c r="BJ129"/>
  <c r="BI129"/>
  <c r="BH129"/>
  <c r="BG129"/>
  <c r="BF129"/>
  <c r="BE129"/>
  <c r="BD129"/>
  <c r="BC129"/>
  <c r="BB129"/>
  <c r="BA129"/>
  <c r="AZ129"/>
  <c r="AY129"/>
  <c r="AX129"/>
  <c r="AW129"/>
  <c r="AV129"/>
  <c r="AU129"/>
  <c r="AT129"/>
  <c r="AS129"/>
  <c r="AR129"/>
  <c r="AQ129"/>
  <c r="AP129"/>
  <c r="AO129"/>
  <c r="AN129"/>
  <c r="AM129"/>
  <c r="AL129"/>
  <c r="AK129"/>
  <c r="AJ129"/>
  <c r="AI129"/>
  <c r="AH129"/>
  <c r="AG129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BO128"/>
  <c r="BN128"/>
  <c r="BM128"/>
  <c r="BL128"/>
  <c r="BK128"/>
  <c r="BJ128"/>
  <c r="BI128"/>
  <c r="BH128"/>
  <c r="BG128"/>
  <c r="BF128"/>
  <c r="BE128"/>
  <c r="BD128"/>
  <c r="BC128"/>
  <c r="BB128"/>
  <c r="BA128"/>
  <c r="AZ128"/>
  <c r="AY128"/>
  <c r="AX128"/>
  <c r="AW128"/>
  <c r="AV128"/>
  <c r="AU128"/>
  <c r="AT128"/>
  <c r="AS128"/>
  <c r="AR128"/>
  <c r="AQ128"/>
  <c r="AP128"/>
  <c r="AO128"/>
  <c r="AN128"/>
  <c r="AM128"/>
  <c r="AL128"/>
  <c r="AK128"/>
  <c r="AJ128"/>
  <c r="AI128"/>
  <c r="AH128"/>
  <c r="AG128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BO127"/>
  <c r="BN127"/>
  <c r="BM127"/>
  <c r="BL127"/>
  <c r="BK127"/>
  <c r="BJ127"/>
  <c r="BI127"/>
  <c r="BH127"/>
  <c r="BG127"/>
  <c r="BF127"/>
  <c r="BE127"/>
  <c r="BD127"/>
  <c r="BC127"/>
  <c r="BB127"/>
  <c r="BA127"/>
  <c r="AZ127"/>
  <c r="AY127"/>
  <c r="AX127"/>
  <c r="AW127"/>
  <c r="AV127"/>
  <c r="AU127"/>
  <c r="AT127"/>
  <c r="AS127"/>
  <c r="AR127"/>
  <c r="AQ127"/>
  <c r="AP127"/>
  <c r="AO127"/>
  <c r="AN127"/>
  <c r="AM127"/>
  <c r="AL127"/>
  <c r="AK127"/>
  <c r="AJ127"/>
  <c r="AI127"/>
  <c r="AH127"/>
  <c r="AG127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BO126"/>
  <c r="BN126"/>
  <c r="BM126"/>
  <c r="BL126"/>
  <c r="BK126"/>
  <c r="BJ126"/>
  <c r="BI126"/>
  <c r="BH126"/>
  <c r="BG126"/>
  <c r="BF126"/>
  <c r="BE126"/>
  <c r="BD126"/>
  <c r="BC126"/>
  <c r="BB126"/>
  <c r="BA126"/>
  <c r="AZ126"/>
  <c r="AY126"/>
  <c r="AX126"/>
  <c r="AW126"/>
  <c r="AV126"/>
  <c r="AU126"/>
  <c r="AT126"/>
  <c r="AS126"/>
  <c r="AR126"/>
  <c r="AQ126"/>
  <c r="AP126"/>
  <c r="AO126"/>
  <c r="AN126"/>
  <c r="AM126"/>
  <c r="AL126"/>
  <c r="AK126"/>
  <c r="AJ126"/>
  <c r="AI126"/>
  <c r="AH126"/>
  <c r="AG126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BO125"/>
  <c r="BN125"/>
  <c r="BM125"/>
  <c r="BL125"/>
  <c r="BK125"/>
  <c r="BJ125"/>
  <c r="BI125"/>
  <c r="BH125"/>
  <c r="BG125"/>
  <c r="BF125"/>
  <c r="BE125"/>
  <c r="BD125"/>
  <c r="BC125"/>
  <c r="BB125"/>
  <c r="BA125"/>
  <c r="AZ125"/>
  <c r="AY125"/>
  <c r="AX125"/>
  <c r="AW125"/>
  <c r="AV125"/>
  <c r="AU125"/>
  <c r="AT125"/>
  <c r="AS125"/>
  <c r="AR125"/>
  <c r="AQ125"/>
  <c r="AP125"/>
  <c r="AO125"/>
  <c r="AN125"/>
  <c r="AM125"/>
  <c r="AL125"/>
  <c r="AK125"/>
  <c r="AJ125"/>
  <c r="AI125"/>
  <c r="AH125"/>
  <c r="AG125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BO124"/>
  <c r="BN124"/>
  <c r="BM124"/>
  <c r="BL124"/>
  <c r="BK124"/>
  <c r="BJ124"/>
  <c r="BI124"/>
  <c r="BH124"/>
  <c r="BG124"/>
  <c r="BF124"/>
  <c r="BE124"/>
  <c r="BD124"/>
  <c r="BC124"/>
  <c r="BB124"/>
  <c r="BA124"/>
  <c r="AZ124"/>
  <c r="AY124"/>
  <c r="AX124"/>
  <c r="AW124"/>
  <c r="AV124"/>
  <c r="AU124"/>
  <c r="AT124"/>
  <c r="AS124"/>
  <c r="AR124"/>
  <c r="AQ124"/>
  <c r="AP124"/>
  <c r="AO124"/>
  <c r="AN124"/>
  <c r="AM124"/>
  <c r="AL124"/>
  <c r="AK124"/>
  <c r="AJ124"/>
  <c r="AI124"/>
  <c r="AH124"/>
  <c r="AG124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BO123"/>
  <c r="BN123"/>
  <c r="BM123"/>
  <c r="BL123"/>
  <c r="BK123"/>
  <c r="BJ123"/>
  <c r="BI123"/>
  <c r="BH123"/>
  <c r="BG123"/>
  <c r="BF123"/>
  <c r="BE123"/>
  <c r="BD123"/>
  <c r="BC123"/>
  <c r="BB123"/>
  <c r="BA123"/>
  <c r="AZ123"/>
  <c r="AY123"/>
  <c r="AX123"/>
  <c r="AW123"/>
  <c r="AV123"/>
  <c r="AU123"/>
  <c r="AT123"/>
  <c r="AS123"/>
  <c r="AR123"/>
  <c r="AQ123"/>
  <c r="AP123"/>
  <c r="AO123"/>
  <c r="AN123"/>
  <c r="AM123"/>
  <c r="AL123"/>
  <c r="AK123"/>
  <c r="AJ123"/>
  <c r="AI123"/>
  <c r="AH123"/>
  <c r="AG123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BO122"/>
  <c r="BN122"/>
  <c r="BM122"/>
  <c r="BL122"/>
  <c r="BK122"/>
  <c r="BJ122"/>
  <c r="BI122"/>
  <c r="BH122"/>
  <c r="BG122"/>
  <c r="BF122"/>
  <c r="BE122"/>
  <c r="BD122"/>
  <c r="BC122"/>
  <c r="BB122"/>
  <c r="BA122"/>
  <c r="AZ122"/>
  <c r="AY122"/>
  <c r="AX122"/>
  <c r="AW122"/>
  <c r="AV122"/>
  <c r="AU122"/>
  <c r="AT122"/>
  <c r="AS122"/>
  <c r="AR122"/>
  <c r="AQ122"/>
  <c r="AP122"/>
  <c r="AO122"/>
  <c r="AN122"/>
  <c r="AM122"/>
  <c r="AL122"/>
  <c r="AK122"/>
  <c r="AJ122"/>
  <c r="AI122"/>
  <c r="AH122"/>
  <c r="AG122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BO121"/>
  <c r="BN121"/>
  <c r="BM121"/>
  <c r="BL121"/>
  <c r="BK121"/>
  <c r="BJ121"/>
  <c r="BI121"/>
  <c r="BH121"/>
  <c r="BG121"/>
  <c r="BF121"/>
  <c r="BE121"/>
  <c r="BD121"/>
  <c r="BC121"/>
  <c r="BB121"/>
  <c r="BA121"/>
  <c r="AZ121"/>
  <c r="AY121"/>
  <c r="AX121"/>
  <c r="AW121"/>
  <c r="AV121"/>
  <c r="AU121"/>
  <c r="AT121"/>
  <c r="AS121"/>
  <c r="AR121"/>
  <c r="AQ121"/>
  <c r="AP121"/>
  <c r="AO121"/>
  <c r="AN121"/>
  <c r="AM121"/>
  <c r="AL121"/>
  <c r="AK121"/>
  <c r="AJ121"/>
  <c r="AI121"/>
  <c r="AH121"/>
  <c r="AG121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BO120"/>
  <c r="BN120"/>
  <c r="BM120"/>
  <c r="BL120"/>
  <c r="BK120"/>
  <c r="BJ120"/>
  <c r="BI120"/>
  <c r="BH120"/>
  <c r="BG120"/>
  <c r="BF120"/>
  <c r="BE120"/>
  <c r="BD120"/>
  <c r="BC120"/>
  <c r="BB120"/>
  <c r="BA120"/>
  <c r="AZ120"/>
  <c r="AY120"/>
  <c r="AX120"/>
  <c r="AW120"/>
  <c r="AV120"/>
  <c r="AU120"/>
  <c r="AT120"/>
  <c r="AS120"/>
  <c r="AR120"/>
  <c r="AQ120"/>
  <c r="AP120"/>
  <c r="AO120"/>
  <c r="AN120"/>
  <c r="AM120"/>
  <c r="AL120"/>
  <c r="AK120"/>
  <c r="AJ120"/>
  <c r="AI120"/>
  <c r="AH120"/>
  <c r="AG120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BO119"/>
  <c r="BN119"/>
  <c r="BM119"/>
  <c r="BL119"/>
  <c r="BK119"/>
  <c r="BJ119"/>
  <c r="BI119"/>
  <c r="BH119"/>
  <c r="BG119"/>
  <c r="BF119"/>
  <c r="BE119"/>
  <c r="BD119"/>
  <c r="BC119"/>
  <c r="BB119"/>
  <c r="BA119"/>
  <c r="AZ119"/>
  <c r="AY119"/>
  <c r="AX119"/>
  <c r="AW119"/>
  <c r="AV119"/>
  <c r="AU119"/>
  <c r="AT119"/>
  <c r="AS119"/>
  <c r="AR119"/>
  <c r="AQ119"/>
  <c r="AP119"/>
  <c r="AO119"/>
  <c r="AN119"/>
  <c r="AM119"/>
  <c r="AL119"/>
  <c r="AK119"/>
  <c r="AJ119"/>
  <c r="AI119"/>
  <c r="AH119"/>
  <c r="AG119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BO118"/>
  <c r="BN118"/>
  <c r="BM118"/>
  <c r="BL118"/>
  <c r="BK118"/>
  <c r="BJ118"/>
  <c r="BI118"/>
  <c r="BH118"/>
  <c r="BG118"/>
  <c r="BF118"/>
  <c r="BE118"/>
  <c r="BD118"/>
  <c r="BC118"/>
  <c r="BB118"/>
  <c r="BA118"/>
  <c r="AZ118"/>
  <c r="AY118"/>
  <c r="AX118"/>
  <c r="AW118"/>
  <c r="AV118"/>
  <c r="AU118"/>
  <c r="AT118"/>
  <c r="AS118"/>
  <c r="AR118"/>
  <c r="AQ118"/>
  <c r="AP118"/>
  <c r="AO118"/>
  <c r="AN118"/>
  <c r="AM118"/>
  <c r="AL118"/>
  <c r="AK118"/>
  <c r="AJ118"/>
  <c r="AI118"/>
  <c r="AH118"/>
  <c r="AG118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BO117"/>
  <c r="BN117"/>
  <c r="BM117"/>
  <c r="BL117"/>
  <c r="BK117"/>
  <c r="BJ117"/>
  <c r="BI117"/>
  <c r="BH117"/>
  <c r="BG117"/>
  <c r="BF117"/>
  <c r="BE117"/>
  <c r="BD117"/>
  <c r="BC117"/>
  <c r="BB117"/>
  <c r="BA117"/>
  <c r="AZ117"/>
  <c r="AY117"/>
  <c r="AX117"/>
  <c r="AW117"/>
  <c r="AV117"/>
  <c r="AU117"/>
  <c r="AT117"/>
  <c r="AS117"/>
  <c r="AR117"/>
  <c r="AQ117"/>
  <c r="AP117"/>
  <c r="AO117"/>
  <c r="AN117"/>
  <c r="AM117"/>
  <c r="AL117"/>
  <c r="AK117"/>
  <c r="AJ117"/>
  <c r="AI117"/>
  <c r="AH117"/>
  <c r="AG117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BO116"/>
  <c r="BN116"/>
  <c r="BM116"/>
  <c r="BL116"/>
  <c r="BK116"/>
  <c r="BJ116"/>
  <c r="BI116"/>
  <c r="BH116"/>
  <c r="BG116"/>
  <c r="BF116"/>
  <c r="BE116"/>
  <c r="BD116"/>
  <c r="BC116"/>
  <c r="BB116"/>
  <c r="BA116"/>
  <c r="AZ116"/>
  <c r="AY116"/>
  <c r="AX116"/>
  <c r="AW116"/>
  <c r="AV116"/>
  <c r="AU116"/>
  <c r="AT116"/>
  <c r="AS116"/>
  <c r="AR116"/>
  <c r="AQ116"/>
  <c r="AP116"/>
  <c r="AO116"/>
  <c r="AN116"/>
  <c r="AM116"/>
  <c r="AL116"/>
  <c r="AK116"/>
  <c r="AJ116"/>
  <c r="AI116"/>
  <c r="AH116"/>
  <c r="AG116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BO115"/>
  <c r="BN115"/>
  <c r="BM115"/>
  <c r="BL115"/>
  <c r="BK115"/>
  <c r="BJ115"/>
  <c r="BI115"/>
  <c r="BH115"/>
  <c r="BG115"/>
  <c r="BF115"/>
  <c r="BE115"/>
  <c r="BD115"/>
  <c r="BC115"/>
  <c r="BB115"/>
  <c r="BA115"/>
  <c r="AZ115"/>
  <c r="AY115"/>
  <c r="AX115"/>
  <c r="AW115"/>
  <c r="AV115"/>
  <c r="AU115"/>
  <c r="AT115"/>
  <c r="AS115"/>
  <c r="AR115"/>
  <c r="AQ115"/>
  <c r="AP115"/>
  <c r="AO115"/>
  <c r="AN115"/>
  <c r="AM115"/>
  <c r="AL115"/>
  <c r="AK115"/>
  <c r="AJ115"/>
  <c r="AI115"/>
  <c r="AH115"/>
  <c r="AG115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BO114"/>
  <c r="BN114"/>
  <c r="BM114"/>
  <c r="BL114"/>
  <c r="BK114"/>
  <c r="BJ114"/>
  <c r="BI114"/>
  <c r="BH114"/>
  <c r="BG114"/>
  <c r="BF114"/>
  <c r="BE114"/>
  <c r="BD114"/>
  <c r="BC114"/>
  <c r="BB114"/>
  <c r="BA114"/>
  <c r="AZ114"/>
  <c r="AY114"/>
  <c r="AX114"/>
  <c r="AW114"/>
  <c r="AV114"/>
  <c r="AU114"/>
  <c r="AT114"/>
  <c r="AS114"/>
  <c r="AR114"/>
  <c r="AQ114"/>
  <c r="AP114"/>
  <c r="AO114"/>
  <c r="AN114"/>
  <c r="AM114"/>
  <c r="AL114"/>
  <c r="AK114"/>
  <c r="AJ114"/>
  <c r="AI114"/>
  <c r="AH114"/>
  <c r="AG114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BO113"/>
  <c r="BN113"/>
  <c r="BM113"/>
  <c r="BL113"/>
  <c r="BK113"/>
  <c r="BJ113"/>
  <c r="BI113"/>
  <c r="BH113"/>
  <c r="BG113"/>
  <c r="BF113"/>
  <c r="BE113"/>
  <c r="BD113"/>
  <c r="BC113"/>
  <c r="BB113"/>
  <c r="BA113"/>
  <c r="AZ113"/>
  <c r="AY113"/>
  <c r="AX113"/>
  <c r="AW113"/>
  <c r="AV113"/>
  <c r="AU113"/>
  <c r="AT113"/>
  <c r="AS113"/>
  <c r="AR113"/>
  <c r="AQ113"/>
  <c r="AP113"/>
  <c r="AO113"/>
  <c r="AN113"/>
  <c r="AM113"/>
  <c r="AL113"/>
  <c r="AK113"/>
  <c r="AJ113"/>
  <c r="AI113"/>
  <c r="AH113"/>
  <c r="AG11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BO112"/>
  <c r="BN112"/>
  <c r="BM112"/>
  <c r="BL112"/>
  <c r="BK112"/>
  <c r="BJ112"/>
  <c r="BI112"/>
  <c r="BH112"/>
  <c r="BG112"/>
  <c r="BF112"/>
  <c r="BE112"/>
  <c r="BD112"/>
  <c r="BC112"/>
  <c r="BB112"/>
  <c r="BA112"/>
  <c r="AZ112"/>
  <c r="AY112"/>
  <c r="AX112"/>
  <c r="AW112"/>
  <c r="AV112"/>
  <c r="AU112"/>
  <c r="AT112"/>
  <c r="AS112"/>
  <c r="AR112"/>
  <c r="AQ112"/>
  <c r="AP112"/>
  <c r="AO112"/>
  <c r="AN112"/>
  <c r="AM112"/>
  <c r="AL112"/>
  <c r="AK112"/>
  <c r="AJ112"/>
  <c r="AI112"/>
  <c r="AH112"/>
  <c r="AG112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BO111"/>
  <c r="BN111"/>
  <c r="BM111"/>
  <c r="BL111"/>
  <c r="BK111"/>
  <c r="BJ111"/>
  <c r="BI111"/>
  <c r="BH111"/>
  <c r="BG111"/>
  <c r="BF111"/>
  <c r="BE111"/>
  <c r="BD111"/>
  <c r="BC111"/>
  <c r="BB111"/>
  <c r="BA111"/>
  <c r="AZ111"/>
  <c r="AY111"/>
  <c r="AX111"/>
  <c r="AW111"/>
  <c r="AV111"/>
  <c r="AU111"/>
  <c r="AT111"/>
  <c r="AS111"/>
  <c r="AR111"/>
  <c r="AQ111"/>
  <c r="AP111"/>
  <c r="AO111"/>
  <c r="AN111"/>
  <c r="AM111"/>
  <c r="AL111"/>
  <c r="AK111"/>
  <c r="AJ111"/>
  <c r="AI111"/>
  <c r="AH111"/>
  <c r="AG111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BO110"/>
  <c r="BN110"/>
  <c r="BM110"/>
  <c r="BL110"/>
  <c r="BK110"/>
  <c r="BJ110"/>
  <c r="BI110"/>
  <c r="BH110"/>
  <c r="BG110"/>
  <c r="BF110"/>
  <c r="BE110"/>
  <c r="BD110"/>
  <c r="BC110"/>
  <c r="BB110"/>
  <c r="BA110"/>
  <c r="AZ110"/>
  <c r="AY110"/>
  <c r="AX110"/>
  <c r="AW110"/>
  <c r="AV110"/>
  <c r="AU110"/>
  <c r="AT110"/>
  <c r="AS110"/>
  <c r="AR110"/>
  <c r="AQ110"/>
  <c r="AP110"/>
  <c r="AO110"/>
  <c r="AN110"/>
  <c r="AM110"/>
  <c r="AL110"/>
  <c r="AK110"/>
  <c r="AJ110"/>
  <c r="AI110"/>
  <c r="AH110"/>
  <c r="AG110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BO109"/>
  <c r="BN109"/>
  <c r="BM109"/>
  <c r="BL109"/>
  <c r="BK109"/>
  <c r="BJ109"/>
  <c r="BI109"/>
  <c r="BH109"/>
  <c r="BG109"/>
  <c r="BF109"/>
  <c r="BE109"/>
  <c r="BD109"/>
  <c r="BC109"/>
  <c r="BB109"/>
  <c r="BA109"/>
  <c r="AZ109"/>
  <c r="AY109"/>
  <c r="AX109"/>
  <c r="AW109"/>
  <c r="AV109"/>
  <c r="AU109"/>
  <c r="AT109"/>
  <c r="AS109"/>
  <c r="AR109"/>
  <c r="AQ109"/>
  <c r="AP109"/>
  <c r="AO109"/>
  <c r="AN109"/>
  <c r="AM109"/>
  <c r="AL109"/>
  <c r="AK109"/>
  <c r="AJ109"/>
  <c r="AI109"/>
  <c r="AH109"/>
  <c r="AG109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BO108"/>
  <c r="BN108"/>
  <c r="BM108"/>
  <c r="BL108"/>
  <c r="BK108"/>
  <c r="BJ108"/>
  <c r="BI108"/>
  <c r="BH108"/>
  <c r="BG108"/>
  <c r="BF108"/>
  <c r="BE108"/>
  <c r="BD108"/>
  <c r="BC108"/>
  <c r="BB108"/>
  <c r="BA108"/>
  <c r="AZ108"/>
  <c r="AY108"/>
  <c r="AX108"/>
  <c r="AW108"/>
  <c r="AV108"/>
  <c r="AU108"/>
  <c r="AT108"/>
  <c r="AS108"/>
  <c r="AR108"/>
  <c r="AQ108"/>
  <c r="AP108"/>
  <c r="AO108"/>
  <c r="AN108"/>
  <c r="AM108"/>
  <c r="AL108"/>
  <c r="AK108"/>
  <c r="AJ108"/>
  <c r="AI108"/>
  <c r="AH108"/>
  <c r="AG108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BO107"/>
  <c r="BN107"/>
  <c r="BM107"/>
  <c r="BL107"/>
  <c r="BK107"/>
  <c r="BJ107"/>
  <c r="BI107"/>
  <c r="BH107"/>
  <c r="BG107"/>
  <c r="BF107"/>
  <c r="BE107"/>
  <c r="BD107"/>
  <c r="BC107"/>
  <c r="BB107"/>
  <c r="BA107"/>
  <c r="AZ107"/>
  <c r="AY107"/>
  <c r="AX107"/>
  <c r="AW107"/>
  <c r="AV107"/>
  <c r="AU107"/>
  <c r="AT107"/>
  <c r="AS107"/>
  <c r="AR107"/>
  <c r="AQ107"/>
  <c r="AP107"/>
  <c r="AO107"/>
  <c r="AN107"/>
  <c r="AM107"/>
  <c r="AL107"/>
  <c r="AK107"/>
  <c r="AJ107"/>
  <c r="AI107"/>
  <c r="AH107"/>
  <c r="AG107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BO106"/>
  <c r="BN106"/>
  <c r="BM106"/>
  <c r="BL106"/>
  <c r="BK106"/>
  <c r="BJ106"/>
  <c r="BI106"/>
  <c r="BH106"/>
  <c r="BG106"/>
  <c r="BF106"/>
  <c r="BE106"/>
  <c r="BD106"/>
  <c r="BC106"/>
  <c r="BB106"/>
  <c r="BA106"/>
  <c r="AZ106"/>
  <c r="AY106"/>
  <c r="AX106"/>
  <c r="AW106"/>
  <c r="AV106"/>
  <c r="AU106"/>
  <c r="AT106"/>
  <c r="AS106"/>
  <c r="AR106"/>
  <c r="AQ106"/>
  <c r="AP106"/>
  <c r="AO106"/>
  <c r="AN106"/>
  <c r="AM106"/>
  <c r="AL106"/>
  <c r="AK106"/>
  <c r="AJ106"/>
  <c r="AI106"/>
  <c r="AH106"/>
  <c r="AG106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BO105"/>
  <c r="BN105"/>
  <c r="BM105"/>
  <c r="BL105"/>
  <c r="BK105"/>
  <c r="BJ105"/>
  <c r="BI105"/>
  <c r="BH105"/>
  <c r="BG105"/>
  <c r="BF105"/>
  <c r="BE105"/>
  <c r="BD105"/>
  <c r="BC105"/>
  <c r="BB105"/>
  <c r="BA105"/>
  <c r="AZ105"/>
  <c r="AY105"/>
  <c r="AX105"/>
  <c r="AW105"/>
  <c r="AV105"/>
  <c r="AU105"/>
  <c r="AT105"/>
  <c r="AS105"/>
  <c r="AR105"/>
  <c r="AQ105"/>
  <c r="AP105"/>
  <c r="AO105"/>
  <c r="AN105"/>
  <c r="AM105"/>
  <c r="AL105"/>
  <c r="AK105"/>
  <c r="AJ105"/>
  <c r="AI105"/>
  <c r="AH105"/>
  <c r="AG105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BO104"/>
  <c r="BN104"/>
  <c r="BM104"/>
  <c r="BL104"/>
  <c r="BK104"/>
  <c r="BJ104"/>
  <c r="BI104"/>
  <c r="BH104"/>
  <c r="BG104"/>
  <c r="BF104"/>
  <c r="BE104"/>
  <c r="BD104"/>
  <c r="BC104"/>
  <c r="BB104"/>
  <c r="BA104"/>
  <c r="AZ104"/>
  <c r="AY104"/>
  <c r="AX104"/>
  <c r="AW104"/>
  <c r="AV104"/>
  <c r="AU104"/>
  <c r="AT104"/>
  <c r="AS104"/>
  <c r="AR104"/>
  <c r="AQ104"/>
  <c r="AP104"/>
  <c r="AO104"/>
  <c r="AN104"/>
  <c r="AM104"/>
  <c r="AL104"/>
  <c r="AK104"/>
  <c r="AJ104"/>
  <c r="AI104"/>
  <c r="AH104"/>
  <c r="AG104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BO103"/>
  <c r="BN103"/>
  <c r="BM103"/>
  <c r="BL103"/>
  <c r="BK103"/>
  <c r="BJ103"/>
  <c r="BI103"/>
  <c r="BH103"/>
  <c r="BG103"/>
  <c r="BF103"/>
  <c r="BE103"/>
  <c r="BD103"/>
  <c r="BC103"/>
  <c r="BB103"/>
  <c r="BA103"/>
  <c r="AZ103"/>
  <c r="AY103"/>
  <c r="AX103"/>
  <c r="AW103"/>
  <c r="AV103"/>
  <c r="AU103"/>
  <c r="AT103"/>
  <c r="AS103"/>
  <c r="AR103"/>
  <c r="AQ103"/>
  <c r="AP103"/>
  <c r="AO103"/>
  <c r="AN103"/>
  <c r="AM103"/>
  <c r="AL103"/>
  <c r="AK103"/>
  <c r="AJ103"/>
  <c r="AI103"/>
  <c r="AH103"/>
  <c r="AG103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BO102"/>
  <c r="BN102"/>
  <c r="BM102"/>
  <c r="BL102"/>
  <c r="BK102"/>
  <c r="BJ102"/>
  <c r="BI102"/>
  <c r="BH102"/>
  <c r="BG102"/>
  <c r="BF102"/>
  <c r="BE102"/>
  <c r="BD102"/>
  <c r="BC102"/>
  <c r="BB102"/>
  <c r="BA102"/>
  <c r="AZ102"/>
  <c r="AY102"/>
  <c r="AX102"/>
  <c r="AW102"/>
  <c r="AV102"/>
  <c r="AU102"/>
  <c r="AT102"/>
  <c r="AS102"/>
  <c r="AR102"/>
  <c r="AQ102"/>
  <c r="AP102"/>
  <c r="AO102"/>
  <c r="AN102"/>
  <c r="AM102"/>
  <c r="AL102"/>
  <c r="AK102"/>
  <c r="AJ102"/>
  <c r="AI102"/>
  <c r="AH102"/>
  <c r="AG102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BO101"/>
  <c r="BN101"/>
  <c r="BM101"/>
  <c r="BL101"/>
  <c r="BK101"/>
  <c r="BJ101"/>
  <c r="BI101"/>
  <c r="BH101"/>
  <c r="BG101"/>
  <c r="BF101"/>
  <c r="BE101"/>
  <c r="BD101"/>
  <c r="BC101"/>
  <c r="BB101"/>
  <c r="BA101"/>
  <c r="AZ101"/>
  <c r="AY101"/>
  <c r="AX101"/>
  <c r="AW101"/>
  <c r="AV101"/>
  <c r="AU101"/>
  <c r="AT101"/>
  <c r="AS101"/>
  <c r="AR101"/>
  <c r="AQ101"/>
  <c r="AP101"/>
  <c r="AO101"/>
  <c r="AN101"/>
  <c r="AM101"/>
  <c r="AL101"/>
  <c r="AK101"/>
  <c r="AJ101"/>
  <c r="AI101"/>
  <c r="AH101"/>
  <c r="AG101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BO100"/>
  <c r="BN100"/>
  <c r="BM100"/>
  <c r="BL100"/>
  <c r="BK100"/>
  <c r="BJ100"/>
  <c r="BI100"/>
  <c r="BH100"/>
  <c r="BG100"/>
  <c r="BF100"/>
  <c r="BE100"/>
  <c r="BD100"/>
  <c r="BC100"/>
  <c r="BB100"/>
  <c r="BA100"/>
  <c r="AZ100"/>
  <c r="AY100"/>
  <c r="AX100"/>
  <c r="AW100"/>
  <c r="AV100"/>
  <c r="AU100"/>
  <c r="AT100"/>
  <c r="AS100"/>
  <c r="AR100"/>
  <c r="AQ100"/>
  <c r="AP100"/>
  <c r="AO100"/>
  <c r="AN100"/>
  <c r="AM100"/>
  <c r="AL100"/>
  <c r="AK100"/>
  <c r="AJ100"/>
  <c r="AI100"/>
  <c r="AH100"/>
  <c r="AG100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BO99"/>
  <c r="BN99"/>
  <c r="BM99"/>
  <c r="BL99"/>
  <c r="BK99"/>
  <c r="BJ99"/>
  <c r="BI99"/>
  <c r="BH99"/>
  <c r="BG99"/>
  <c r="BF99"/>
  <c r="BE99"/>
  <c r="BD99"/>
  <c r="BC99"/>
  <c r="BB99"/>
  <c r="BA99"/>
  <c r="AZ99"/>
  <c r="AY99"/>
  <c r="AX99"/>
  <c r="AW99"/>
  <c r="AV99"/>
  <c r="AU99"/>
  <c r="AT99"/>
  <c r="AS99"/>
  <c r="AR99"/>
  <c r="AQ99"/>
  <c r="AP99"/>
  <c r="AO99"/>
  <c r="AN99"/>
  <c r="AM99"/>
  <c r="AL99"/>
  <c r="AK99"/>
  <c r="AJ99"/>
  <c r="AI99"/>
  <c r="AH99"/>
  <c r="AG99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BO98"/>
  <c r="BN98"/>
  <c r="BM98"/>
  <c r="BL98"/>
  <c r="BK98"/>
  <c r="BJ98"/>
  <c r="BI98"/>
  <c r="BH98"/>
  <c r="BG98"/>
  <c r="BF98"/>
  <c r="BE98"/>
  <c r="BD98"/>
  <c r="BC98"/>
  <c r="BB98"/>
  <c r="BA98"/>
  <c r="AZ98"/>
  <c r="AY98"/>
  <c r="AX98"/>
  <c r="AW98"/>
  <c r="AV98"/>
  <c r="AU98"/>
  <c r="AT98"/>
  <c r="AS98"/>
  <c r="AR98"/>
  <c r="AQ98"/>
  <c r="AP98"/>
  <c r="AO98"/>
  <c r="AN98"/>
  <c r="AM98"/>
  <c r="AL98"/>
  <c r="AK98"/>
  <c r="AJ98"/>
  <c r="AI98"/>
  <c r="AH98"/>
  <c r="AG98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BO97"/>
  <c r="BN97"/>
  <c r="BM97"/>
  <c r="BL97"/>
  <c r="BK97"/>
  <c r="BJ97"/>
  <c r="BI97"/>
  <c r="BH97"/>
  <c r="BG97"/>
  <c r="BF97"/>
  <c r="BE97"/>
  <c r="BD97"/>
  <c r="BC97"/>
  <c r="BB97"/>
  <c r="BA97"/>
  <c r="AZ97"/>
  <c r="AY97"/>
  <c r="AX97"/>
  <c r="AW97"/>
  <c r="AV97"/>
  <c r="AU97"/>
  <c r="AT97"/>
  <c r="AS97"/>
  <c r="AR97"/>
  <c r="AQ97"/>
  <c r="AP97"/>
  <c r="AO97"/>
  <c r="AN97"/>
  <c r="AM97"/>
  <c r="AL97"/>
  <c r="AK97"/>
  <c r="AJ97"/>
  <c r="AI97"/>
  <c r="AH97"/>
  <c r="AG97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BO96"/>
  <c r="BN96"/>
  <c r="BM96"/>
  <c r="BL96"/>
  <c r="BK96"/>
  <c r="BJ96"/>
  <c r="BI96"/>
  <c r="BH96"/>
  <c r="BG96"/>
  <c r="BF96"/>
  <c r="BE96"/>
  <c r="BD96"/>
  <c r="BC96"/>
  <c r="BB96"/>
  <c r="BA96"/>
  <c r="AZ96"/>
  <c r="AY96"/>
  <c r="AX96"/>
  <c r="AW96"/>
  <c r="AV96"/>
  <c r="AU96"/>
  <c r="AT96"/>
  <c r="AS96"/>
  <c r="AR96"/>
  <c r="AQ96"/>
  <c r="AP96"/>
  <c r="AO96"/>
  <c r="AN96"/>
  <c r="AM96"/>
  <c r="AL96"/>
  <c r="AK96"/>
  <c r="AJ96"/>
  <c r="AI96"/>
  <c r="AH96"/>
  <c r="AG96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BO95"/>
  <c r="BN95"/>
  <c r="BM95"/>
  <c r="BL95"/>
  <c r="BK95"/>
  <c r="BJ95"/>
  <c r="BI95"/>
  <c r="BH95"/>
  <c r="BG95"/>
  <c r="BF95"/>
  <c r="BE95"/>
  <c r="BD95"/>
  <c r="BC95"/>
  <c r="BB95"/>
  <c r="BA95"/>
  <c r="AZ95"/>
  <c r="AY95"/>
  <c r="AX95"/>
  <c r="AW95"/>
  <c r="AV95"/>
  <c r="AU95"/>
  <c r="AT95"/>
  <c r="AS95"/>
  <c r="AR95"/>
  <c r="AQ95"/>
  <c r="AP95"/>
  <c r="AO95"/>
  <c r="AN95"/>
  <c r="AM95"/>
  <c r="AL95"/>
  <c r="AK95"/>
  <c r="AJ95"/>
  <c r="AI95"/>
  <c r="AH95"/>
  <c r="AG95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BO94"/>
  <c r="BN94"/>
  <c r="BM94"/>
  <c r="BL94"/>
  <c r="BK94"/>
  <c r="BJ94"/>
  <c r="BI94"/>
  <c r="BH94"/>
  <c r="BG94"/>
  <c r="BF94"/>
  <c r="BE94"/>
  <c r="BD94"/>
  <c r="BC94"/>
  <c r="BB94"/>
  <c r="BA94"/>
  <c r="AZ94"/>
  <c r="AY94"/>
  <c r="AX94"/>
  <c r="AW94"/>
  <c r="AV94"/>
  <c r="AU94"/>
  <c r="AT94"/>
  <c r="AS94"/>
  <c r="AR94"/>
  <c r="AQ94"/>
  <c r="AP94"/>
  <c r="AO94"/>
  <c r="AN94"/>
  <c r="AM94"/>
  <c r="AL94"/>
  <c r="AK94"/>
  <c r="AJ94"/>
  <c r="AI94"/>
  <c r="AH94"/>
  <c r="AG94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BO93"/>
  <c r="BN93"/>
  <c r="BM93"/>
  <c r="BL93"/>
  <c r="BK93"/>
  <c r="BJ93"/>
  <c r="BI93"/>
  <c r="BH93"/>
  <c r="BG93"/>
  <c r="BF93"/>
  <c r="BE93"/>
  <c r="BD93"/>
  <c r="BC93"/>
  <c r="BB93"/>
  <c r="BA93"/>
  <c r="AZ93"/>
  <c r="AY93"/>
  <c r="AX93"/>
  <c r="AW93"/>
  <c r="AV93"/>
  <c r="AU93"/>
  <c r="AT93"/>
  <c r="AS93"/>
  <c r="AR93"/>
  <c r="AQ93"/>
  <c r="AP93"/>
  <c r="AO93"/>
  <c r="AN93"/>
  <c r="AM93"/>
  <c r="AL93"/>
  <c r="AK93"/>
  <c r="AJ93"/>
  <c r="AI93"/>
  <c r="AH93"/>
  <c r="AG93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BO92"/>
  <c r="BN92"/>
  <c r="BM92"/>
  <c r="BL92"/>
  <c r="BK92"/>
  <c r="BJ92"/>
  <c r="BI92"/>
  <c r="BH92"/>
  <c r="BG92"/>
  <c r="BF92"/>
  <c r="BE92"/>
  <c r="BD92"/>
  <c r="BC92"/>
  <c r="BB92"/>
  <c r="BA92"/>
  <c r="AZ92"/>
  <c r="AY92"/>
  <c r="AX92"/>
  <c r="AW92"/>
  <c r="AV92"/>
  <c r="AU92"/>
  <c r="AT92"/>
  <c r="AS92"/>
  <c r="AR92"/>
  <c r="AQ92"/>
  <c r="AP92"/>
  <c r="AO92"/>
  <c r="AN92"/>
  <c r="AM92"/>
  <c r="AL92"/>
  <c r="AK92"/>
  <c r="AJ92"/>
  <c r="AI92"/>
  <c r="AH92"/>
  <c r="AG92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BO91"/>
  <c r="BN91"/>
  <c r="BM91"/>
  <c r="BL91"/>
  <c r="BK91"/>
  <c r="BJ91"/>
  <c r="BI91"/>
  <c r="BH91"/>
  <c r="BG91"/>
  <c r="BF91"/>
  <c r="BE91"/>
  <c r="BD91"/>
  <c r="BC91"/>
  <c r="BB91"/>
  <c r="BA91"/>
  <c r="AZ91"/>
  <c r="AY91"/>
  <c r="AX91"/>
  <c r="AW91"/>
  <c r="AV91"/>
  <c r="AU91"/>
  <c r="AT91"/>
  <c r="AS91"/>
  <c r="AR91"/>
  <c r="AQ91"/>
  <c r="AP91"/>
  <c r="AO91"/>
  <c r="AN91"/>
  <c r="AM91"/>
  <c r="AL91"/>
  <c r="AK91"/>
  <c r="AJ91"/>
  <c r="AI91"/>
  <c r="AH91"/>
  <c r="AG91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BO90"/>
  <c r="BN90"/>
  <c r="BM90"/>
  <c r="BL90"/>
  <c r="BK90"/>
  <c r="BJ90"/>
  <c r="BI90"/>
  <c r="BH90"/>
  <c r="BG90"/>
  <c r="BF90"/>
  <c r="BE90"/>
  <c r="BD90"/>
  <c r="BC90"/>
  <c r="BB90"/>
  <c r="BA90"/>
  <c r="AZ90"/>
  <c r="AY90"/>
  <c r="AX90"/>
  <c r="AW90"/>
  <c r="AV90"/>
  <c r="AU90"/>
  <c r="AT90"/>
  <c r="AS90"/>
  <c r="AR90"/>
  <c r="AQ90"/>
  <c r="AP90"/>
  <c r="AO90"/>
  <c r="AN90"/>
  <c r="AM90"/>
  <c r="AL90"/>
  <c r="AK90"/>
  <c r="AJ90"/>
  <c r="AI90"/>
  <c r="AH90"/>
  <c r="AG90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BO89"/>
  <c r="BN89"/>
  <c r="BM89"/>
  <c r="BL89"/>
  <c r="BK89"/>
  <c r="BJ89"/>
  <c r="BI89"/>
  <c r="BH89"/>
  <c r="BG89"/>
  <c r="BF89"/>
  <c r="BE89"/>
  <c r="BD89"/>
  <c r="BC89"/>
  <c r="BB89"/>
  <c r="BA89"/>
  <c r="AZ89"/>
  <c r="AY89"/>
  <c r="AX89"/>
  <c r="AW89"/>
  <c r="AV89"/>
  <c r="AU89"/>
  <c r="AT89"/>
  <c r="AS89"/>
  <c r="AR89"/>
  <c r="AQ89"/>
  <c r="AP89"/>
  <c r="AO89"/>
  <c r="AN89"/>
  <c r="AM89"/>
  <c r="AL89"/>
  <c r="AK89"/>
  <c r="AJ89"/>
  <c r="AI89"/>
  <c r="AH89"/>
  <c r="AG89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BO88"/>
  <c r="BN88"/>
  <c r="BM88"/>
  <c r="BL88"/>
  <c r="BK88"/>
  <c r="BJ88"/>
  <c r="BI88"/>
  <c r="BH88"/>
  <c r="BG88"/>
  <c r="BF88"/>
  <c r="BE88"/>
  <c r="BD88"/>
  <c r="BC88"/>
  <c r="BB88"/>
  <c r="BA88"/>
  <c r="AZ88"/>
  <c r="AY88"/>
  <c r="AX88"/>
  <c r="AW88"/>
  <c r="AV88"/>
  <c r="AU88"/>
  <c r="AT88"/>
  <c r="AS88"/>
  <c r="AR88"/>
  <c r="AQ88"/>
  <c r="AP88"/>
  <c r="AO88"/>
  <c r="AN88"/>
  <c r="AM88"/>
  <c r="AL88"/>
  <c r="AK88"/>
  <c r="AJ88"/>
  <c r="AI88"/>
  <c r="AH88"/>
  <c r="AG88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BO87"/>
  <c r="BN87"/>
  <c r="BM87"/>
  <c r="BL87"/>
  <c r="BK87"/>
  <c r="BJ87"/>
  <c r="BI87"/>
  <c r="BH87"/>
  <c r="BG87"/>
  <c r="BF87"/>
  <c r="BE87"/>
  <c r="BD87"/>
  <c r="BC87"/>
  <c r="BB87"/>
  <c r="BA87"/>
  <c r="AZ87"/>
  <c r="AY87"/>
  <c r="AX87"/>
  <c r="AW87"/>
  <c r="AV87"/>
  <c r="AU87"/>
  <c r="AT87"/>
  <c r="AS87"/>
  <c r="AR87"/>
  <c r="AQ87"/>
  <c r="AP87"/>
  <c r="AO87"/>
  <c r="AN87"/>
  <c r="AM87"/>
  <c r="AL87"/>
  <c r="AK87"/>
  <c r="AJ87"/>
  <c r="AI87"/>
  <c r="AH87"/>
  <c r="AG87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BO86"/>
  <c r="BN86"/>
  <c r="BM86"/>
  <c r="BL86"/>
  <c r="BK86"/>
  <c r="BJ86"/>
  <c r="BI86"/>
  <c r="BH86"/>
  <c r="BG86"/>
  <c r="BF86"/>
  <c r="BE86"/>
  <c r="BD86"/>
  <c r="BC86"/>
  <c r="BB86"/>
  <c r="BA86"/>
  <c r="AZ86"/>
  <c r="AY86"/>
  <c r="AX86"/>
  <c r="AW86"/>
  <c r="AV86"/>
  <c r="AU86"/>
  <c r="AT86"/>
  <c r="AS86"/>
  <c r="AR86"/>
  <c r="AQ86"/>
  <c r="AP86"/>
  <c r="AO86"/>
  <c r="AN86"/>
  <c r="AM86"/>
  <c r="AL86"/>
  <c r="AK86"/>
  <c r="AJ86"/>
  <c r="AI86"/>
  <c r="AH86"/>
  <c r="AG86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BO85"/>
  <c r="BN85"/>
  <c r="BM85"/>
  <c r="BL85"/>
  <c r="BK85"/>
  <c r="BJ85"/>
  <c r="BI85"/>
  <c r="BH85"/>
  <c r="BG85"/>
  <c r="BF85"/>
  <c r="BE85"/>
  <c r="BD85"/>
  <c r="BC85"/>
  <c r="BB85"/>
  <c r="BA85"/>
  <c r="AZ85"/>
  <c r="AY85"/>
  <c r="AX85"/>
  <c r="AW85"/>
  <c r="AV85"/>
  <c r="AU85"/>
  <c r="AT85"/>
  <c r="AS85"/>
  <c r="AR85"/>
  <c r="AQ85"/>
  <c r="AP85"/>
  <c r="AO85"/>
  <c r="AN85"/>
  <c r="AM85"/>
  <c r="AL85"/>
  <c r="AK85"/>
  <c r="AJ85"/>
  <c r="AI85"/>
  <c r="AH85"/>
  <c r="AG85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BO84"/>
  <c r="BN84"/>
  <c r="BM84"/>
  <c r="BL84"/>
  <c r="BK84"/>
  <c r="BJ84"/>
  <c r="BI84"/>
  <c r="BH84"/>
  <c r="BG84"/>
  <c r="BF84"/>
  <c r="BE84"/>
  <c r="BD84"/>
  <c r="BC84"/>
  <c r="BB84"/>
  <c r="BA84"/>
  <c r="AZ84"/>
  <c r="AY84"/>
  <c r="AX84"/>
  <c r="AW84"/>
  <c r="AV84"/>
  <c r="AU84"/>
  <c r="AT84"/>
  <c r="AS84"/>
  <c r="AR84"/>
  <c r="AQ84"/>
  <c r="AP84"/>
  <c r="AO84"/>
  <c r="AN84"/>
  <c r="AM84"/>
  <c r="AL84"/>
  <c r="AK84"/>
  <c r="AJ84"/>
  <c r="AI84"/>
  <c r="AH84"/>
  <c r="AG84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BO83"/>
  <c r="BN83"/>
  <c r="BM83"/>
  <c r="BL83"/>
  <c r="BK83"/>
  <c r="BJ83"/>
  <c r="BI83"/>
  <c r="BH83"/>
  <c r="BG83"/>
  <c r="BF83"/>
  <c r="BE83"/>
  <c r="BD83"/>
  <c r="BC83"/>
  <c r="BB83"/>
  <c r="BA83"/>
  <c r="AZ83"/>
  <c r="AY83"/>
  <c r="AX83"/>
  <c r="AW83"/>
  <c r="AV83"/>
  <c r="AU83"/>
  <c r="AT83"/>
  <c r="AS83"/>
  <c r="AR83"/>
  <c r="AQ83"/>
  <c r="AP83"/>
  <c r="AO83"/>
  <c r="AN83"/>
  <c r="AM83"/>
  <c r="AL83"/>
  <c r="AK83"/>
  <c r="AJ83"/>
  <c r="AI83"/>
  <c r="AH83"/>
  <c r="AG83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BO82"/>
  <c r="BN82"/>
  <c r="BM82"/>
  <c r="BL82"/>
  <c r="BK82"/>
  <c r="BJ82"/>
  <c r="BI82"/>
  <c r="BH82"/>
  <c r="BG82"/>
  <c r="BF82"/>
  <c r="BE82"/>
  <c r="BD82"/>
  <c r="BC82"/>
  <c r="BB82"/>
  <c r="BA82"/>
  <c r="AZ82"/>
  <c r="AY82"/>
  <c r="AX82"/>
  <c r="AW82"/>
  <c r="AV82"/>
  <c r="AU82"/>
  <c r="AT82"/>
  <c r="AS82"/>
  <c r="AR82"/>
  <c r="AQ82"/>
  <c r="AP82"/>
  <c r="AO82"/>
  <c r="AN82"/>
  <c r="AM82"/>
  <c r="AL82"/>
  <c r="AK82"/>
  <c r="AJ82"/>
  <c r="AI82"/>
  <c r="AH82"/>
  <c r="AG82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BO81"/>
  <c r="BN81"/>
  <c r="BM81"/>
  <c r="BL81"/>
  <c r="BK81"/>
  <c r="BJ81"/>
  <c r="BI81"/>
  <c r="BH81"/>
  <c r="BG81"/>
  <c r="BF81"/>
  <c r="BE81"/>
  <c r="BD81"/>
  <c r="BC81"/>
  <c r="BB81"/>
  <c r="BA81"/>
  <c r="AZ81"/>
  <c r="AY81"/>
  <c r="AX81"/>
  <c r="AW81"/>
  <c r="AV81"/>
  <c r="AU81"/>
  <c r="AT81"/>
  <c r="AS81"/>
  <c r="AR81"/>
  <c r="AQ81"/>
  <c r="AP81"/>
  <c r="AO81"/>
  <c r="AN81"/>
  <c r="AM81"/>
  <c r="AL81"/>
  <c r="AK81"/>
  <c r="AJ81"/>
  <c r="AI81"/>
  <c r="AH81"/>
  <c r="AG81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BO80"/>
  <c r="BN80"/>
  <c r="BM80"/>
  <c r="BL80"/>
  <c r="BK80"/>
  <c r="BJ80"/>
  <c r="BI80"/>
  <c r="BH80"/>
  <c r="BG80"/>
  <c r="BF80"/>
  <c r="BE80"/>
  <c r="BD80"/>
  <c r="BC80"/>
  <c r="BB80"/>
  <c r="BA80"/>
  <c r="AZ80"/>
  <c r="AY80"/>
  <c r="AX80"/>
  <c r="AW80"/>
  <c r="AV80"/>
  <c r="AU80"/>
  <c r="AT80"/>
  <c r="AS80"/>
  <c r="AR80"/>
  <c r="AQ80"/>
  <c r="AP80"/>
  <c r="AO80"/>
  <c r="AN80"/>
  <c r="AM80"/>
  <c r="AL80"/>
  <c r="AK80"/>
  <c r="AJ80"/>
  <c r="AI80"/>
  <c r="AH80"/>
  <c r="AG80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BO79"/>
  <c r="BN79"/>
  <c r="BM79"/>
  <c r="BL79"/>
  <c r="BK79"/>
  <c r="BJ79"/>
  <c r="BI79"/>
  <c r="BH79"/>
  <c r="BG79"/>
  <c r="BF79"/>
  <c r="BE79"/>
  <c r="BD79"/>
  <c r="BC79"/>
  <c r="BB79"/>
  <c r="BA79"/>
  <c r="AZ79"/>
  <c r="AY79"/>
  <c r="AX79"/>
  <c r="AW79"/>
  <c r="AV79"/>
  <c r="AU79"/>
  <c r="AT79"/>
  <c r="AS79"/>
  <c r="AR79"/>
  <c r="AQ79"/>
  <c r="AP79"/>
  <c r="AO79"/>
  <c r="AN79"/>
  <c r="AM79"/>
  <c r="AL79"/>
  <c r="AK79"/>
  <c r="AJ79"/>
  <c r="AI79"/>
  <c r="AH79"/>
  <c r="AG79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BO78"/>
  <c r="BN78"/>
  <c r="BM78"/>
  <c r="BL78"/>
  <c r="BK78"/>
  <c r="BJ78"/>
  <c r="BI78"/>
  <c r="BH78"/>
  <c r="BG78"/>
  <c r="BF78"/>
  <c r="BE78"/>
  <c r="BD78"/>
  <c r="BC78"/>
  <c r="BB78"/>
  <c r="BA78"/>
  <c r="AZ78"/>
  <c r="AY78"/>
  <c r="AX78"/>
  <c r="AW78"/>
  <c r="AV78"/>
  <c r="AU78"/>
  <c r="AT78"/>
  <c r="AS78"/>
  <c r="AR78"/>
  <c r="AQ78"/>
  <c r="AP78"/>
  <c r="AO78"/>
  <c r="AN78"/>
  <c r="AM78"/>
  <c r="AL78"/>
  <c r="AK78"/>
  <c r="AJ78"/>
  <c r="AI78"/>
  <c r="AH78"/>
  <c r="AG78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BO77"/>
  <c r="BN77"/>
  <c r="BM77"/>
  <c r="BL77"/>
  <c r="BK77"/>
  <c r="BJ77"/>
  <c r="BI77"/>
  <c r="BH77"/>
  <c r="BG77"/>
  <c r="BF77"/>
  <c r="BE77"/>
  <c r="BD77"/>
  <c r="BC77"/>
  <c r="BB77"/>
  <c r="BA77"/>
  <c r="AZ77"/>
  <c r="AY77"/>
  <c r="AX77"/>
  <c r="AW77"/>
  <c r="AV77"/>
  <c r="AU77"/>
  <c r="AT77"/>
  <c r="AS77"/>
  <c r="AR77"/>
  <c r="AQ77"/>
  <c r="AP77"/>
  <c r="AO77"/>
  <c r="AN77"/>
  <c r="AM77"/>
  <c r="AL77"/>
  <c r="AK77"/>
  <c r="AJ77"/>
  <c r="AI77"/>
  <c r="AH77"/>
  <c r="AG77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BO76"/>
  <c r="BN76"/>
  <c r="BM76"/>
  <c r="BL76"/>
  <c r="BK76"/>
  <c r="BJ76"/>
  <c r="BI76"/>
  <c r="BH76"/>
  <c r="BG76"/>
  <c r="BF76"/>
  <c r="BE76"/>
  <c r="BD76"/>
  <c r="BC76"/>
  <c r="BB76"/>
  <c r="BA76"/>
  <c r="AZ76"/>
  <c r="AY76"/>
  <c r="AX76"/>
  <c r="AW76"/>
  <c r="AV76"/>
  <c r="AU76"/>
  <c r="AT76"/>
  <c r="AS76"/>
  <c r="AR76"/>
  <c r="AQ76"/>
  <c r="AP76"/>
  <c r="AO76"/>
  <c r="AN76"/>
  <c r="AM76"/>
  <c r="AL76"/>
  <c r="AK76"/>
  <c r="AJ76"/>
  <c r="AI76"/>
  <c r="AH76"/>
  <c r="AG76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BO75"/>
  <c r="BN75"/>
  <c r="BM75"/>
  <c r="BL75"/>
  <c r="BK75"/>
  <c r="BJ75"/>
  <c r="BI75"/>
  <c r="BH75"/>
  <c r="BG75"/>
  <c r="BF75"/>
  <c r="BE75"/>
  <c r="BD75"/>
  <c r="BC75"/>
  <c r="BB75"/>
  <c r="BA75"/>
  <c r="AZ75"/>
  <c r="AY75"/>
  <c r="AX75"/>
  <c r="AW75"/>
  <c r="AV75"/>
  <c r="AU75"/>
  <c r="AT75"/>
  <c r="AS75"/>
  <c r="AR75"/>
  <c r="AQ75"/>
  <c r="AP75"/>
  <c r="AO75"/>
  <c r="AN75"/>
  <c r="AM75"/>
  <c r="AL75"/>
  <c r="AK75"/>
  <c r="AJ75"/>
  <c r="AI75"/>
  <c r="AH75"/>
  <c r="AG75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BO74"/>
  <c r="BN74"/>
  <c r="BM74"/>
  <c r="BL74"/>
  <c r="BK74"/>
  <c r="BJ74"/>
  <c r="BI74"/>
  <c r="BH74"/>
  <c r="BG74"/>
  <c r="BF74"/>
  <c r="BE74"/>
  <c r="BD74"/>
  <c r="BC74"/>
  <c r="BB74"/>
  <c r="BA74"/>
  <c r="AZ74"/>
  <c r="AY74"/>
  <c r="AX74"/>
  <c r="AW74"/>
  <c r="AV74"/>
  <c r="AU74"/>
  <c r="AT74"/>
  <c r="AS74"/>
  <c r="AR74"/>
  <c r="AQ74"/>
  <c r="AP74"/>
  <c r="AO74"/>
  <c r="AN74"/>
  <c r="AM74"/>
  <c r="AL74"/>
  <c r="AK74"/>
  <c r="AJ74"/>
  <c r="AI74"/>
  <c r="AH74"/>
  <c r="AG74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BO73"/>
  <c r="BN73"/>
  <c r="BM73"/>
  <c r="BL73"/>
  <c r="BK73"/>
  <c r="BJ73"/>
  <c r="BI73"/>
  <c r="BH73"/>
  <c r="BG73"/>
  <c r="BF73"/>
  <c r="BE73"/>
  <c r="BD73"/>
  <c r="BC73"/>
  <c r="BB73"/>
  <c r="BA73"/>
  <c r="AZ73"/>
  <c r="AY73"/>
  <c r="AX73"/>
  <c r="AW73"/>
  <c r="AV73"/>
  <c r="AU73"/>
  <c r="AT73"/>
  <c r="AS73"/>
  <c r="AR73"/>
  <c r="AQ73"/>
  <c r="AP73"/>
  <c r="AO73"/>
  <c r="AN73"/>
  <c r="AM73"/>
  <c r="AL73"/>
  <c r="AK73"/>
  <c r="AJ73"/>
  <c r="AI73"/>
  <c r="AH73"/>
  <c r="AG73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BO72"/>
  <c r="BN72"/>
  <c r="BM72"/>
  <c r="BL72"/>
  <c r="BK72"/>
  <c r="BJ72"/>
  <c r="BI72"/>
  <c r="BH72"/>
  <c r="BG72"/>
  <c r="BF72"/>
  <c r="BE72"/>
  <c r="BD72"/>
  <c r="BC72"/>
  <c r="BB72"/>
  <c r="BA72"/>
  <c r="AZ72"/>
  <c r="AY72"/>
  <c r="AX72"/>
  <c r="AW72"/>
  <c r="AV72"/>
  <c r="AU72"/>
  <c r="AT72"/>
  <c r="AS72"/>
  <c r="AR72"/>
  <c r="AQ72"/>
  <c r="AP72"/>
  <c r="AO72"/>
  <c r="AN72"/>
  <c r="AM72"/>
  <c r="AL72"/>
  <c r="AK72"/>
  <c r="AJ72"/>
  <c r="AI72"/>
  <c r="AH72"/>
  <c r="AG72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BO71"/>
  <c r="BN71"/>
  <c r="BM71"/>
  <c r="BL71"/>
  <c r="BK71"/>
  <c r="BJ71"/>
  <c r="BI71"/>
  <c r="BH71"/>
  <c r="BG71"/>
  <c r="BF71"/>
  <c r="BE71"/>
  <c r="BD71"/>
  <c r="BC71"/>
  <c r="BB71"/>
  <c r="BA71"/>
  <c r="AZ71"/>
  <c r="AY71"/>
  <c r="AX71"/>
  <c r="AW71"/>
  <c r="AV71"/>
  <c r="AU71"/>
  <c r="AT71"/>
  <c r="AS71"/>
  <c r="AR71"/>
  <c r="AQ71"/>
  <c r="AP71"/>
  <c r="AO71"/>
  <c r="AN71"/>
  <c r="AM71"/>
  <c r="AL71"/>
  <c r="AK71"/>
  <c r="AJ71"/>
  <c r="AI71"/>
  <c r="AH71"/>
  <c r="AG71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BO70"/>
  <c r="BN70"/>
  <c r="BM70"/>
  <c r="BL70"/>
  <c r="BK70"/>
  <c r="BJ70"/>
  <c r="BI70"/>
  <c r="BH70"/>
  <c r="BG70"/>
  <c r="BF70"/>
  <c r="BE70"/>
  <c r="BD70"/>
  <c r="BC70"/>
  <c r="BB70"/>
  <c r="BA70"/>
  <c r="AZ70"/>
  <c r="AY70"/>
  <c r="AX70"/>
  <c r="AW70"/>
  <c r="AV70"/>
  <c r="AU70"/>
  <c r="AT70"/>
  <c r="AS70"/>
  <c r="AR70"/>
  <c r="AQ70"/>
  <c r="AP70"/>
  <c r="AO70"/>
  <c r="AN70"/>
  <c r="AM70"/>
  <c r="AL70"/>
  <c r="AK70"/>
  <c r="AJ70"/>
  <c r="AI70"/>
  <c r="AH70"/>
  <c r="AG70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BO69"/>
  <c r="BN69"/>
  <c r="BM69"/>
  <c r="BL69"/>
  <c r="BK69"/>
  <c r="BJ69"/>
  <c r="BI69"/>
  <c r="BH69"/>
  <c r="BG69"/>
  <c r="BF69"/>
  <c r="BE69"/>
  <c r="BD69"/>
  <c r="BC69"/>
  <c r="BB69"/>
  <c r="BA69"/>
  <c r="AZ69"/>
  <c r="AY69"/>
  <c r="AX69"/>
  <c r="AW69"/>
  <c r="AV69"/>
  <c r="AU69"/>
  <c r="AT69"/>
  <c r="AS69"/>
  <c r="AR69"/>
  <c r="AQ69"/>
  <c r="AP69"/>
  <c r="AO69"/>
  <c r="AN69"/>
  <c r="AM69"/>
  <c r="AL69"/>
  <c r="AK69"/>
  <c r="AJ69"/>
  <c r="AI69"/>
  <c r="AH69"/>
  <c r="AG69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BO68"/>
  <c r="BN68"/>
  <c r="BM68"/>
  <c r="BL68"/>
  <c r="BK68"/>
  <c r="BJ68"/>
  <c r="BI68"/>
  <c r="BH68"/>
  <c r="BG68"/>
  <c r="BF68"/>
  <c r="BE68"/>
  <c r="BD68"/>
  <c r="BC68"/>
  <c r="BB68"/>
  <c r="BA68"/>
  <c r="AZ68"/>
  <c r="AY68"/>
  <c r="AX68"/>
  <c r="AW68"/>
  <c r="AV68"/>
  <c r="AU68"/>
  <c r="AT68"/>
  <c r="AS68"/>
  <c r="AR68"/>
  <c r="AQ68"/>
  <c r="AP68"/>
  <c r="AO68"/>
  <c r="AN68"/>
  <c r="AM68"/>
  <c r="AL68"/>
  <c r="AK68"/>
  <c r="AJ68"/>
  <c r="AI68"/>
  <c r="AH68"/>
  <c r="AG68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BO67"/>
  <c r="BN67"/>
  <c r="BM67"/>
  <c r="BL67"/>
  <c r="BK67"/>
  <c r="BJ67"/>
  <c r="BI67"/>
  <c r="BH67"/>
  <c r="BG67"/>
  <c r="BF67"/>
  <c r="BE67"/>
  <c r="BD67"/>
  <c r="BC67"/>
  <c r="BB67"/>
  <c r="BA67"/>
  <c r="AZ67"/>
  <c r="AY67"/>
  <c r="AX67"/>
  <c r="AW67"/>
  <c r="AV67"/>
  <c r="AU67"/>
  <c r="AT67"/>
  <c r="AS67"/>
  <c r="AR67"/>
  <c r="AQ67"/>
  <c r="AP67"/>
  <c r="AO67"/>
  <c r="AN67"/>
  <c r="AM67"/>
  <c r="AL67"/>
  <c r="AK67"/>
  <c r="AJ67"/>
  <c r="AI67"/>
  <c r="AH67"/>
  <c r="AG67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BO66"/>
  <c r="BN66"/>
  <c r="BM66"/>
  <c r="BL66"/>
  <c r="BK66"/>
  <c r="BJ66"/>
  <c r="BI66"/>
  <c r="BH66"/>
  <c r="BG66"/>
  <c r="BF66"/>
  <c r="BE66"/>
  <c r="BD66"/>
  <c r="BC66"/>
  <c r="BB66"/>
  <c r="BA66"/>
  <c r="AZ66"/>
  <c r="AY66"/>
  <c r="AX66"/>
  <c r="AW66"/>
  <c r="AV66"/>
  <c r="AU66"/>
  <c r="AT66"/>
  <c r="AS66"/>
  <c r="AR66"/>
  <c r="AQ66"/>
  <c r="AP66"/>
  <c r="AO66"/>
  <c r="AN66"/>
  <c r="AM66"/>
  <c r="AL66"/>
  <c r="AK66"/>
  <c r="AJ66"/>
  <c r="AI66"/>
  <c r="AH66"/>
  <c r="AG66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BO65"/>
  <c r="BN65"/>
  <c r="BM65"/>
  <c r="BL65"/>
  <c r="BK65"/>
  <c r="BJ65"/>
  <c r="BI65"/>
  <c r="BH65"/>
  <c r="BG65"/>
  <c r="BF65"/>
  <c r="BE65"/>
  <c r="BD65"/>
  <c r="BC65"/>
  <c r="BB65"/>
  <c r="BA65"/>
  <c r="AZ65"/>
  <c r="AY65"/>
  <c r="AX65"/>
  <c r="AW65"/>
  <c r="AV65"/>
  <c r="AU65"/>
  <c r="AT65"/>
  <c r="AS65"/>
  <c r="AR65"/>
  <c r="AQ65"/>
  <c r="AP65"/>
  <c r="AO65"/>
  <c r="AN65"/>
  <c r="AM65"/>
  <c r="AL65"/>
  <c r="AK65"/>
  <c r="AJ65"/>
  <c r="AI65"/>
  <c r="AH65"/>
  <c r="AG65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BO64"/>
  <c r="BN64"/>
  <c r="BM64"/>
  <c r="BL64"/>
  <c r="BK64"/>
  <c r="BJ64"/>
  <c r="BI64"/>
  <c r="BH64"/>
  <c r="BG64"/>
  <c r="BF64"/>
  <c r="BE64"/>
  <c r="BD64"/>
  <c r="BC64"/>
  <c r="BB64"/>
  <c r="BA64"/>
  <c r="AZ64"/>
  <c r="AY64"/>
  <c r="AX64"/>
  <c r="AW64"/>
  <c r="AV64"/>
  <c r="AU64"/>
  <c r="AT64"/>
  <c r="AS64"/>
  <c r="AR64"/>
  <c r="AQ64"/>
  <c r="AP64"/>
  <c r="AO64"/>
  <c r="AN64"/>
  <c r="AM64"/>
  <c r="AL64"/>
  <c r="AK64"/>
  <c r="AJ64"/>
  <c r="AI64"/>
  <c r="AH64"/>
  <c r="AG64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BO63"/>
  <c r="BN63"/>
  <c r="BM63"/>
  <c r="BL63"/>
  <c r="BK63"/>
  <c r="BJ63"/>
  <c r="BI63"/>
  <c r="BH63"/>
  <c r="BG63"/>
  <c r="BF63"/>
  <c r="BE63"/>
  <c r="BD63"/>
  <c r="BC63"/>
  <c r="BB63"/>
  <c r="BA63"/>
  <c r="AZ63"/>
  <c r="AY63"/>
  <c r="AX63"/>
  <c r="AW63"/>
  <c r="AV63"/>
  <c r="AU63"/>
  <c r="AT63"/>
  <c r="AS63"/>
  <c r="AR63"/>
  <c r="AQ63"/>
  <c r="AP63"/>
  <c r="AO63"/>
  <c r="AN63"/>
  <c r="AM63"/>
  <c r="AL63"/>
  <c r="AK63"/>
  <c r="AJ63"/>
  <c r="AI63"/>
  <c r="AH63"/>
  <c r="AG63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BO62"/>
  <c r="BN62"/>
  <c r="BM62"/>
  <c r="BL62"/>
  <c r="BK62"/>
  <c r="BJ62"/>
  <c r="BI62"/>
  <c r="BH62"/>
  <c r="BG62"/>
  <c r="BF62"/>
  <c r="BE62"/>
  <c r="BD62"/>
  <c r="BC62"/>
  <c r="BB62"/>
  <c r="BA62"/>
  <c r="AZ62"/>
  <c r="AY62"/>
  <c r="AX62"/>
  <c r="AW62"/>
  <c r="AV62"/>
  <c r="AU62"/>
  <c r="AT62"/>
  <c r="AS62"/>
  <c r="AR62"/>
  <c r="AQ62"/>
  <c r="AP62"/>
  <c r="AO62"/>
  <c r="AN62"/>
  <c r="AM62"/>
  <c r="AL62"/>
  <c r="AK62"/>
  <c r="AJ62"/>
  <c r="AI62"/>
  <c r="AH62"/>
  <c r="AG62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BO61"/>
  <c r="BN61"/>
  <c r="BM61"/>
  <c r="BL61"/>
  <c r="BK61"/>
  <c r="BJ61"/>
  <c r="BI61"/>
  <c r="BH61"/>
  <c r="BG61"/>
  <c r="BF61"/>
  <c r="BE61"/>
  <c r="BD61"/>
  <c r="BC61"/>
  <c r="BB61"/>
  <c r="BA61"/>
  <c r="AZ61"/>
  <c r="AY61"/>
  <c r="AX61"/>
  <c r="AW61"/>
  <c r="AV61"/>
  <c r="AU61"/>
  <c r="AT61"/>
  <c r="AS61"/>
  <c r="AR61"/>
  <c r="AQ61"/>
  <c r="AP61"/>
  <c r="AO61"/>
  <c r="AN61"/>
  <c r="AM61"/>
  <c r="AL61"/>
  <c r="AK61"/>
  <c r="AJ61"/>
  <c r="AI61"/>
  <c r="AH61"/>
  <c r="AG61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BO60"/>
  <c r="BN60"/>
  <c r="BM60"/>
  <c r="BL60"/>
  <c r="BK60"/>
  <c r="BJ60"/>
  <c r="BI60"/>
  <c r="BH60"/>
  <c r="BG60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H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BO59"/>
  <c r="BN59"/>
  <c r="BM59"/>
  <c r="BL59"/>
  <c r="BK59"/>
  <c r="BJ59"/>
  <c r="BI59"/>
  <c r="BH59"/>
  <c r="BG59"/>
  <c r="BF59"/>
  <c r="BE59"/>
  <c r="BD59"/>
  <c r="BC59"/>
  <c r="BB59"/>
  <c r="BA59"/>
  <c r="AZ59"/>
  <c r="AY59"/>
  <c r="AX59"/>
  <c r="AW59"/>
  <c r="AV59"/>
  <c r="AU59"/>
  <c r="AT59"/>
  <c r="AS59"/>
  <c r="AR59"/>
  <c r="AQ59"/>
  <c r="AP59"/>
  <c r="AO59"/>
  <c r="AN59"/>
  <c r="AM59"/>
  <c r="AL59"/>
  <c r="AK59"/>
  <c r="AJ59"/>
  <c r="AI59"/>
  <c r="AH59"/>
  <c r="AG59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BO58"/>
  <c r="BN58"/>
  <c r="BM58"/>
  <c r="BL58"/>
  <c r="BK58"/>
  <c r="BJ58"/>
  <c r="BI58"/>
  <c r="BH58"/>
  <c r="BG58"/>
  <c r="BF58"/>
  <c r="BE58"/>
  <c r="BD58"/>
  <c r="BC58"/>
  <c r="BB58"/>
  <c r="BA58"/>
  <c r="AZ58"/>
  <c r="AY58"/>
  <c r="AX58"/>
  <c r="AW58"/>
  <c r="AV58"/>
  <c r="AU58"/>
  <c r="AT58"/>
  <c r="AS58"/>
  <c r="AR58"/>
  <c r="AQ58"/>
  <c r="AP58"/>
  <c r="AO58"/>
  <c r="AN58"/>
  <c r="AM58"/>
  <c r="AL58"/>
  <c r="AK58"/>
  <c r="AJ58"/>
  <c r="AI58"/>
  <c r="AH58"/>
  <c r="AG58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BO57"/>
  <c r="BN57"/>
  <c r="BM57"/>
  <c r="BL57"/>
  <c r="BK57"/>
  <c r="BJ57"/>
  <c r="BI57"/>
  <c r="BH57"/>
  <c r="BG57"/>
  <c r="BF57"/>
  <c r="BE57"/>
  <c r="BD57"/>
  <c r="BC57"/>
  <c r="BB57"/>
  <c r="BA57"/>
  <c r="AZ57"/>
  <c r="AY57"/>
  <c r="AX57"/>
  <c r="AW57"/>
  <c r="AV57"/>
  <c r="AU57"/>
  <c r="AT57"/>
  <c r="AS57"/>
  <c r="AR57"/>
  <c r="AQ57"/>
  <c r="AP57"/>
  <c r="AO57"/>
  <c r="AN57"/>
  <c r="AM57"/>
  <c r="AL57"/>
  <c r="AK57"/>
  <c r="AJ57"/>
  <c r="AI57"/>
  <c r="AH57"/>
  <c r="AG57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BO56"/>
  <c r="BN56"/>
  <c r="BM56"/>
  <c r="BL56"/>
  <c r="BK56"/>
  <c r="BJ56"/>
  <c r="BI56"/>
  <c r="BH56"/>
  <c r="BG56"/>
  <c r="BF56"/>
  <c r="BE56"/>
  <c r="BD56"/>
  <c r="BC56"/>
  <c r="BB56"/>
  <c r="BA56"/>
  <c r="AZ56"/>
  <c r="AY56"/>
  <c r="AX56"/>
  <c r="AW56"/>
  <c r="AV56"/>
  <c r="AU56"/>
  <c r="AT56"/>
  <c r="AS56"/>
  <c r="AR56"/>
  <c r="AQ56"/>
  <c r="AP56"/>
  <c r="AO56"/>
  <c r="AN56"/>
  <c r="AM56"/>
  <c r="AL56"/>
  <c r="AK56"/>
  <c r="AJ56"/>
  <c r="AI56"/>
  <c r="AH56"/>
  <c r="AG56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BO55"/>
  <c r="BN55"/>
  <c r="BM55"/>
  <c r="BL55"/>
  <c r="BK55"/>
  <c r="BJ55"/>
  <c r="BI55"/>
  <c r="BH55"/>
  <c r="BG55"/>
  <c r="BF55"/>
  <c r="BE55"/>
  <c r="BD55"/>
  <c r="BC55"/>
  <c r="BB55"/>
  <c r="BA55"/>
  <c r="AZ55"/>
  <c r="AY55"/>
  <c r="AX55"/>
  <c r="AW55"/>
  <c r="AV55"/>
  <c r="AU55"/>
  <c r="AT55"/>
  <c r="AS55"/>
  <c r="AR55"/>
  <c r="AQ55"/>
  <c r="AP55"/>
  <c r="AO55"/>
  <c r="AN55"/>
  <c r="AM55"/>
  <c r="AL55"/>
  <c r="AK55"/>
  <c r="AJ55"/>
  <c r="AI55"/>
  <c r="AH55"/>
  <c r="AG55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BO54"/>
  <c r="BN54"/>
  <c r="BM54"/>
  <c r="BL54"/>
  <c r="BK54"/>
  <c r="BJ54"/>
  <c r="BI54"/>
  <c r="BH54"/>
  <c r="BG54"/>
  <c r="BF54"/>
  <c r="BE54"/>
  <c r="BD54"/>
  <c r="BC54"/>
  <c r="BB54"/>
  <c r="BA54"/>
  <c r="AZ54"/>
  <c r="AY54"/>
  <c r="AX54"/>
  <c r="AW54"/>
  <c r="AV54"/>
  <c r="AU54"/>
  <c r="AT54"/>
  <c r="AS54"/>
  <c r="AR54"/>
  <c r="AQ54"/>
  <c r="AP54"/>
  <c r="AO54"/>
  <c r="AN54"/>
  <c r="AM54"/>
  <c r="AL54"/>
  <c r="AK54"/>
  <c r="AJ54"/>
  <c r="AI54"/>
  <c r="AH54"/>
  <c r="AG54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BO53"/>
  <c r="BN53"/>
  <c r="BM53"/>
  <c r="BL53"/>
  <c r="BK53"/>
  <c r="BJ53"/>
  <c r="BI53"/>
  <c r="BH53"/>
  <c r="BG53"/>
  <c r="BF53"/>
  <c r="BE53"/>
  <c r="BD53"/>
  <c r="BC53"/>
  <c r="BB53"/>
  <c r="BA53"/>
  <c r="AZ53"/>
  <c r="AY53"/>
  <c r="AX53"/>
  <c r="AW53"/>
  <c r="AV53"/>
  <c r="AU53"/>
  <c r="AT53"/>
  <c r="AS53"/>
  <c r="AR53"/>
  <c r="AQ53"/>
  <c r="AP53"/>
  <c r="AO53"/>
  <c r="AN53"/>
  <c r="AM53"/>
  <c r="AL53"/>
  <c r="AK53"/>
  <c r="AJ53"/>
  <c r="AI53"/>
  <c r="AH53"/>
  <c r="AG53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BO52"/>
  <c r="BN52"/>
  <c r="BM52"/>
  <c r="BL52"/>
  <c r="BK52"/>
  <c r="BJ52"/>
  <c r="BI52"/>
  <c r="BH52"/>
  <c r="BG52"/>
  <c r="BF52"/>
  <c r="BE52"/>
  <c r="BD52"/>
  <c r="BC52"/>
  <c r="BB52"/>
  <c r="BA52"/>
  <c r="AZ52"/>
  <c r="AY52"/>
  <c r="AX52"/>
  <c r="AW52"/>
  <c r="AV52"/>
  <c r="AU52"/>
  <c r="AT52"/>
  <c r="AS52"/>
  <c r="AR52"/>
  <c r="AQ52"/>
  <c r="AP52"/>
  <c r="AO52"/>
  <c r="AN52"/>
  <c r="AM52"/>
  <c r="AL52"/>
  <c r="AK52"/>
  <c r="AJ52"/>
  <c r="AI52"/>
  <c r="AH52"/>
  <c r="AG52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BO51"/>
  <c r="BN51"/>
  <c r="BM51"/>
  <c r="BL51"/>
  <c r="BK51"/>
  <c r="BJ51"/>
  <c r="BI51"/>
  <c r="BH51"/>
  <c r="BG51"/>
  <c r="BF51"/>
  <c r="BE51"/>
  <c r="BD51"/>
  <c r="BC51"/>
  <c r="BB51"/>
  <c r="BA51"/>
  <c r="AZ51"/>
  <c r="AY51"/>
  <c r="AX51"/>
  <c r="AW51"/>
  <c r="AV51"/>
  <c r="AU51"/>
  <c r="AT51"/>
  <c r="AS51"/>
  <c r="AR51"/>
  <c r="AQ51"/>
  <c r="AP51"/>
  <c r="AO51"/>
  <c r="AN51"/>
  <c r="AM51"/>
  <c r="AL51"/>
  <c r="AK51"/>
  <c r="AJ51"/>
  <c r="AI51"/>
  <c r="AH51"/>
  <c r="AG51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BO50"/>
  <c r="BN50"/>
  <c r="BM50"/>
  <c r="BL50"/>
  <c r="BK50"/>
  <c r="BJ50"/>
  <c r="BI50"/>
  <c r="BH50"/>
  <c r="BG50"/>
  <c r="BF50"/>
  <c r="BE50"/>
  <c r="BD50"/>
  <c r="BC50"/>
  <c r="BB50"/>
  <c r="BA50"/>
  <c r="AZ50"/>
  <c r="AY50"/>
  <c r="AX50"/>
  <c r="AW50"/>
  <c r="AV50"/>
  <c r="AU50"/>
  <c r="AT50"/>
  <c r="AS50"/>
  <c r="AR50"/>
  <c r="AQ50"/>
  <c r="AP50"/>
  <c r="AO50"/>
  <c r="AN50"/>
  <c r="AM50"/>
  <c r="AL50"/>
  <c r="AK50"/>
  <c r="AJ50"/>
  <c r="AI50"/>
  <c r="AH50"/>
  <c r="AG50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BO49"/>
  <c r="BN49"/>
  <c r="BM49"/>
  <c r="BL49"/>
  <c r="BK49"/>
  <c r="BJ49"/>
  <c r="BI49"/>
  <c r="BH49"/>
  <c r="BG49"/>
  <c r="BF49"/>
  <c r="BE49"/>
  <c r="BD49"/>
  <c r="BC49"/>
  <c r="BB49"/>
  <c r="BA49"/>
  <c r="AZ49"/>
  <c r="AY49"/>
  <c r="AX49"/>
  <c r="AW49"/>
  <c r="AV49"/>
  <c r="AU49"/>
  <c r="AT49"/>
  <c r="AS49"/>
  <c r="AR49"/>
  <c r="AQ49"/>
  <c r="AP49"/>
  <c r="AO49"/>
  <c r="AN49"/>
  <c r="AM49"/>
  <c r="AL49"/>
  <c r="AK49"/>
  <c r="AJ49"/>
  <c r="AI49"/>
  <c r="AH49"/>
  <c r="AG49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BO48"/>
  <c r="BN48"/>
  <c r="BM48"/>
  <c r="BL48"/>
  <c r="BK48"/>
  <c r="BJ48"/>
  <c r="BI48"/>
  <c r="BH48"/>
  <c r="BG48"/>
  <c r="BF48"/>
  <c r="BE48"/>
  <c r="BD48"/>
  <c r="BC48"/>
  <c r="BB48"/>
  <c r="BA48"/>
  <c r="AZ48"/>
  <c r="AY48"/>
  <c r="AX48"/>
  <c r="AW48"/>
  <c r="AV48"/>
  <c r="AU48"/>
  <c r="AT48"/>
  <c r="AS48"/>
  <c r="AR48"/>
  <c r="AQ48"/>
  <c r="AP48"/>
  <c r="AO48"/>
  <c r="AN48"/>
  <c r="AM48"/>
  <c r="AL48"/>
  <c r="AK48"/>
  <c r="AJ48"/>
  <c r="AI48"/>
  <c r="AH48"/>
  <c r="AG48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BO47"/>
  <c r="BN47"/>
  <c r="BM47"/>
  <c r="BL47"/>
  <c r="BK47"/>
  <c r="BJ47"/>
  <c r="BI47"/>
  <c r="BH47"/>
  <c r="BG47"/>
  <c r="BF47"/>
  <c r="BE47"/>
  <c r="BD47"/>
  <c r="BC47"/>
  <c r="BB47"/>
  <c r="BA47"/>
  <c r="AZ47"/>
  <c r="AY47"/>
  <c r="AX47"/>
  <c r="AW47"/>
  <c r="AV47"/>
  <c r="AU47"/>
  <c r="AT47"/>
  <c r="AS47"/>
  <c r="AR47"/>
  <c r="AQ47"/>
  <c r="AP47"/>
  <c r="AO47"/>
  <c r="AN47"/>
  <c r="AM47"/>
  <c r="AL47"/>
  <c r="AK47"/>
  <c r="AJ47"/>
  <c r="AI47"/>
  <c r="AH47"/>
  <c r="AG47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BO46"/>
  <c r="BN46"/>
  <c r="BM46"/>
  <c r="BL46"/>
  <c r="BK46"/>
  <c r="BJ46"/>
  <c r="BI46"/>
  <c r="BH46"/>
  <c r="BG46"/>
  <c r="BF46"/>
  <c r="BE46"/>
  <c r="BD46"/>
  <c r="BC46"/>
  <c r="BB46"/>
  <c r="BA46"/>
  <c r="AZ46"/>
  <c r="AY46"/>
  <c r="AX46"/>
  <c r="AW46"/>
  <c r="AV46"/>
  <c r="AU46"/>
  <c r="AT46"/>
  <c r="AS46"/>
  <c r="AR46"/>
  <c r="AQ46"/>
  <c r="AP46"/>
  <c r="AO46"/>
  <c r="AN46"/>
  <c r="AM46"/>
  <c r="AL46"/>
  <c r="AK46"/>
  <c r="AJ46"/>
  <c r="AI46"/>
  <c r="AH46"/>
  <c r="AG46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BO45"/>
  <c r="BN45"/>
  <c r="BM45"/>
  <c r="BL45"/>
  <c r="BK45"/>
  <c r="BJ45"/>
  <c r="BI45"/>
  <c r="BH45"/>
  <c r="BG45"/>
  <c r="BF45"/>
  <c r="BE45"/>
  <c r="BD45"/>
  <c r="BC45"/>
  <c r="BB45"/>
  <c r="BA45"/>
  <c r="AZ45"/>
  <c r="AY45"/>
  <c r="AX45"/>
  <c r="AW45"/>
  <c r="AV45"/>
  <c r="AU45"/>
  <c r="AT45"/>
  <c r="AS45"/>
  <c r="AR45"/>
  <c r="AQ45"/>
  <c r="AP45"/>
  <c r="AO45"/>
  <c r="AN45"/>
  <c r="AM45"/>
  <c r="AL45"/>
  <c r="AK45"/>
  <c r="AJ45"/>
  <c r="AI45"/>
  <c r="AH45"/>
  <c r="AG45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BO44"/>
  <c r="BN44"/>
  <c r="BM44"/>
  <c r="BL44"/>
  <c r="BK44"/>
  <c r="BJ44"/>
  <c r="BI44"/>
  <c r="BH44"/>
  <c r="BG44"/>
  <c r="BF44"/>
  <c r="BE44"/>
  <c r="BD44"/>
  <c r="BC44"/>
  <c r="BB44"/>
  <c r="BA44"/>
  <c r="AZ44"/>
  <c r="AY44"/>
  <c r="AX44"/>
  <c r="AW44"/>
  <c r="AV44"/>
  <c r="AU44"/>
  <c r="AT44"/>
  <c r="AS44"/>
  <c r="AR44"/>
  <c r="AQ44"/>
  <c r="AP44"/>
  <c r="AO44"/>
  <c r="AN44"/>
  <c r="AM44"/>
  <c r="AL44"/>
  <c r="AK44"/>
  <c r="AJ44"/>
  <c r="AI44"/>
  <c r="AH44"/>
  <c r="AG44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BO43"/>
  <c r="BN43"/>
  <c r="BM43"/>
  <c r="BL43"/>
  <c r="BK43"/>
  <c r="BJ43"/>
  <c r="BI43"/>
  <c r="BH43"/>
  <c r="BG43"/>
  <c r="BF43"/>
  <c r="BE43"/>
  <c r="BD43"/>
  <c r="BC43"/>
  <c r="BB43"/>
  <c r="BA43"/>
  <c r="AZ43"/>
  <c r="AY43"/>
  <c r="AX43"/>
  <c r="AW43"/>
  <c r="AV43"/>
  <c r="AU43"/>
  <c r="AT43"/>
  <c r="AS43"/>
  <c r="AR43"/>
  <c r="AQ43"/>
  <c r="AP43"/>
  <c r="AO43"/>
  <c r="AN43"/>
  <c r="AM43"/>
  <c r="AL43"/>
  <c r="AK43"/>
  <c r="AJ43"/>
  <c r="AI43"/>
  <c r="AH43"/>
  <c r="AG43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BO42"/>
  <c r="BN42"/>
  <c r="BM42"/>
  <c r="BL42"/>
  <c r="BK42"/>
  <c r="BJ42"/>
  <c r="BI42"/>
  <c r="BH42"/>
  <c r="BG42"/>
  <c r="BF42"/>
  <c r="BE42"/>
  <c r="BD42"/>
  <c r="BC42"/>
  <c r="BB42"/>
  <c r="BA42"/>
  <c r="AZ42"/>
  <c r="AY42"/>
  <c r="AX42"/>
  <c r="AW42"/>
  <c r="AV42"/>
  <c r="AU42"/>
  <c r="AT42"/>
  <c r="AS42"/>
  <c r="AR42"/>
  <c r="AQ42"/>
  <c r="AP42"/>
  <c r="AO42"/>
  <c r="AN42"/>
  <c r="AM42"/>
  <c r="AL42"/>
  <c r="AK42"/>
  <c r="AJ42"/>
  <c r="AI42"/>
  <c r="AH42"/>
  <c r="AG42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BO41"/>
  <c r="BN41"/>
  <c r="BM41"/>
  <c r="BL41"/>
  <c r="BK41"/>
  <c r="BJ41"/>
  <c r="BI41"/>
  <c r="BH41"/>
  <c r="BG41"/>
  <c r="BF41"/>
  <c r="BE41"/>
  <c r="BD41"/>
  <c r="BC41"/>
  <c r="BB41"/>
  <c r="BA41"/>
  <c r="AZ41"/>
  <c r="AY41"/>
  <c r="AX41"/>
  <c r="AW41"/>
  <c r="AV41"/>
  <c r="AU41"/>
  <c r="AT41"/>
  <c r="AS41"/>
  <c r="AR41"/>
  <c r="AQ41"/>
  <c r="AP41"/>
  <c r="AO41"/>
  <c r="AN41"/>
  <c r="AM41"/>
  <c r="AL41"/>
  <c r="AK41"/>
  <c r="AJ41"/>
  <c r="AI41"/>
  <c r="AH41"/>
  <c r="AG41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BO40"/>
  <c r="BN40"/>
  <c r="BM40"/>
  <c r="BL40"/>
  <c r="BK40"/>
  <c r="BJ40"/>
  <c r="BI40"/>
  <c r="BH40"/>
  <c r="BG40"/>
  <c r="BF40"/>
  <c r="BE40"/>
  <c r="BD40"/>
  <c r="BC40"/>
  <c r="BB40"/>
  <c r="BA40"/>
  <c r="AZ40"/>
  <c r="AY40"/>
  <c r="AX40"/>
  <c r="AW40"/>
  <c r="AV40"/>
  <c r="AU40"/>
  <c r="AT40"/>
  <c r="AS40"/>
  <c r="AR40"/>
  <c r="AQ40"/>
  <c r="AP40"/>
  <c r="AO40"/>
  <c r="AN40"/>
  <c r="AM40"/>
  <c r="AL40"/>
  <c r="AK40"/>
  <c r="AJ40"/>
  <c r="AI40"/>
  <c r="AH40"/>
  <c r="AG40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BO39"/>
  <c r="BN39"/>
  <c r="BM39"/>
  <c r="BL39"/>
  <c r="BK39"/>
  <c r="BJ39"/>
  <c r="BI39"/>
  <c r="BH39"/>
  <c r="BG39"/>
  <c r="BF39"/>
  <c r="BE39"/>
  <c r="BD39"/>
  <c r="BC39"/>
  <c r="BB39"/>
  <c r="BA39"/>
  <c r="AZ39"/>
  <c r="AY39"/>
  <c r="AX39"/>
  <c r="AW39"/>
  <c r="AV39"/>
  <c r="AU39"/>
  <c r="AT39"/>
  <c r="AS39"/>
  <c r="AR39"/>
  <c r="AQ39"/>
  <c r="AP39"/>
  <c r="AO39"/>
  <c r="AN39"/>
  <c r="AM39"/>
  <c r="AL39"/>
  <c r="AK39"/>
  <c r="AJ39"/>
  <c r="AI39"/>
  <c r="AH39"/>
  <c r="AG39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BO38"/>
  <c r="BN38"/>
  <c r="BM38"/>
  <c r="BL38"/>
  <c r="BK38"/>
  <c r="BJ38"/>
  <c r="BI38"/>
  <c r="BH38"/>
  <c r="BG38"/>
  <c r="BF38"/>
  <c r="BE38"/>
  <c r="BD38"/>
  <c r="BC38"/>
  <c r="BB38"/>
  <c r="BA38"/>
  <c r="AZ38"/>
  <c r="AY38"/>
  <c r="AX38"/>
  <c r="AW38"/>
  <c r="AV38"/>
  <c r="AU38"/>
  <c r="AT38"/>
  <c r="AS38"/>
  <c r="AR38"/>
  <c r="AQ38"/>
  <c r="AP38"/>
  <c r="AO38"/>
  <c r="AN38"/>
  <c r="AM38"/>
  <c r="AL38"/>
  <c r="AK38"/>
  <c r="AJ38"/>
  <c r="AI38"/>
  <c r="AH38"/>
  <c r="AG38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BO37"/>
  <c r="BN37"/>
  <c r="BM37"/>
  <c r="BL37"/>
  <c r="BK37"/>
  <c r="BJ37"/>
  <c r="BI37"/>
  <c r="BH37"/>
  <c r="BG37"/>
  <c r="BF37"/>
  <c r="BE37"/>
  <c r="BD37"/>
  <c r="BC37"/>
  <c r="BB37"/>
  <c r="BA37"/>
  <c r="AZ37"/>
  <c r="AY37"/>
  <c r="AX37"/>
  <c r="AW37"/>
  <c r="AV37"/>
  <c r="AU37"/>
  <c r="AT37"/>
  <c r="AS37"/>
  <c r="AR37"/>
  <c r="AQ37"/>
  <c r="AP37"/>
  <c r="AO37"/>
  <c r="AN37"/>
  <c r="AM37"/>
  <c r="AL37"/>
  <c r="AK37"/>
  <c r="AJ37"/>
  <c r="AI37"/>
  <c r="AH37"/>
  <c r="AG37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BO36"/>
  <c r="BN36"/>
  <c r="BM36"/>
  <c r="BL36"/>
  <c r="BK36"/>
  <c r="BJ36"/>
  <c r="BI36"/>
  <c r="BH36"/>
  <c r="BG36"/>
  <c r="BF36"/>
  <c r="BE36"/>
  <c r="BD36"/>
  <c r="BC36"/>
  <c r="BB36"/>
  <c r="BA36"/>
  <c r="AZ36"/>
  <c r="AY36"/>
  <c r="AX36"/>
  <c r="AW36"/>
  <c r="AV36"/>
  <c r="AU36"/>
  <c r="AT36"/>
  <c r="AS36"/>
  <c r="AR36"/>
  <c r="AQ36"/>
  <c r="AP36"/>
  <c r="AO36"/>
  <c r="AN36"/>
  <c r="AM36"/>
  <c r="AL36"/>
  <c r="AK36"/>
  <c r="AJ36"/>
  <c r="AI36"/>
  <c r="AH36"/>
  <c r="AG36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BO35"/>
  <c r="BN35"/>
  <c r="BM35"/>
  <c r="BL35"/>
  <c r="BK35"/>
  <c r="BJ35"/>
  <c r="BI35"/>
  <c r="BH35"/>
  <c r="BG35"/>
  <c r="BF35"/>
  <c r="BE35"/>
  <c r="BD35"/>
  <c r="BC35"/>
  <c r="BB35"/>
  <c r="BA35"/>
  <c r="AZ35"/>
  <c r="AY35"/>
  <c r="AX35"/>
  <c r="AW35"/>
  <c r="AV35"/>
  <c r="AU35"/>
  <c r="AT35"/>
  <c r="AS35"/>
  <c r="AR35"/>
  <c r="AQ35"/>
  <c r="AP35"/>
  <c r="AO35"/>
  <c r="AN35"/>
  <c r="AM35"/>
  <c r="AL35"/>
  <c r="AK35"/>
  <c r="AJ35"/>
  <c r="AI35"/>
  <c r="AH35"/>
  <c r="AG35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BO34"/>
  <c r="BN34"/>
  <c r="BM34"/>
  <c r="BL34"/>
  <c r="BK34"/>
  <c r="BJ34"/>
  <c r="BI34"/>
  <c r="BH34"/>
  <c r="BG34"/>
  <c r="BF34"/>
  <c r="BE34"/>
  <c r="BD34"/>
  <c r="BC34"/>
  <c r="BB34"/>
  <c r="BA34"/>
  <c r="AZ34"/>
  <c r="AY34"/>
  <c r="AX34"/>
  <c r="AW34"/>
  <c r="AV34"/>
  <c r="AU34"/>
  <c r="AT34"/>
  <c r="AS34"/>
  <c r="AR34"/>
  <c r="AQ34"/>
  <c r="AP34"/>
  <c r="AO34"/>
  <c r="AN34"/>
  <c r="AM34"/>
  <c r="AL34"/>
  <c r="AK34"/>
  <c r="AJ34"/>
  <c r="AI34"/>
  <c r="AH34"/>
  <c r="AG34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BO33"/>
  <c r="BN33"/>
  <c r="BM33"/>
  <c r="BL33"/>
  <c r="BK33"/>
  <c r="BJ33"/>
  <c r="BI33"/>
  <c r="BH33"/>
  <c r="BG33"/>
  <c r="BF33"/>
  <c r="BE33"/>
  <c r="BD33"/>
  <c r="BC33"/>
  <c r="BB33"/>
  <c r="BA33"/>
  <c r="AZ33"/>
  <c r="AY33"/>
  <c r="AX33"/>
  <c r="AW33"/>
  <c r="AV33"/>
  <c r="AU33"/>
  <c r="AT33"/>
  <c r="AS33"/>
  <c r="AR33"/>
  <c r="AQ33"/>
  <c r="AP33"/>
  <c r="AO33"/>
  <c r="AN33"/>
  <c r="AM33"/>
  <c r="AL33"/>
  <c r="AK33"/>
  <c r="AJ33"/>
  <c r="AI33"/>
  <c r="AH33"/>
  <c r="AG33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BO32"/>
  <c r="BN32"/>
  <c r="BM32"/>
  <c r="BL32"/>
  <c r="BK32"/>
  <c r="BJ32"/>
  <c r="BI32"/>
  <c r="BH32"/>
  <c r="BG32"/>
  <c r="BF32"/>
  <c r="BE32"/>
  <c r="BD32"/>
  <c r="BC32"/>
  <c r="BB32"/>
  <c r="BA32"/>
  <c r="AZ32"/>
  <c r="AY32"/>
  <c r="AX32"/>
  <c r="AW32"/>
  <c r="AV32"/>
  <c r="AU32"/>
  <c r="AT32"/>
  <c r="AS32"/>
  <c r="AR32"/>
  <c r="AQ32"/>
  <c r="AP32"/>
  <c r="AO32"/>
  <c r="AN32"/>
  <c r="AM32"/>
  <c r="AL32"/>
  <c r="AK32"/>
  <c r="AJ32"/>
  <c r="AI32"/>
  <c r="AH32"/>
  <c r="AG32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BO31"/>
  <c r="BN31"/>
  <c r="BM31"/>
  <c r="BL31"/>
  <c r="BK31"/>
  <c r="BJ31"/>
  <c r="BI31"/>
  <c r="BH31"/>
  <c r="BG31"/>
  <c r="BF31"/>
  <c r="BE31"/>
  <c r="BD31"/>
  <c r="BC31"/>
  <c r="BB31"/>
  <c r="BA31"/>
  <c r="AZ31"/>
  <c r="AY31"/>
  <c r="AX31"/>
  <c r="AW31"/>
  <c r="AV31"/>
  <c r="AU31"/>
  <c r="AT31"/>
  <c r="AS31"/>
  <c r="AR31"/>
  <c r="AQ31"/>
  <c r="AP31"/>
  <c r="AO31"/>
  <c r="AN31"/>
  <c r="AM31"/>
  <c r="AL31"/>
  <c r="AK31"/>
  <c r="AJ31"/>
  <c r="AI31"/>
  <c r="AH31"/>
  <c r="AG31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BO30"/>
  <c r="BN30"/>
  <c r="BM30"/>
  <c r="BL30"/>
  <c r="BK30"/>
  <c r="BJ30"/>
  <c r="BI30"/>
  <c r="BH30"/>
  <c r="BG30"/>
  <c r="BF30"/>
  <c r="BE30"/>
  <c r="BD30"/>
  <c r="BC30"/>
  <c r="BB30"/>
  <c r="BA30"/>
  <c r="AZ30"/>
  <c r="AY30"/>
  <c r="AX30"/>
  <c r="AW30"/>
  <c r="AV30"/>
  <c r="AU30"/>
  <c r="AT30"/>
  <c r="AS30"/>
  <c r="AR30"/>
  <c r="AQ30"/>
  <c r="AP30"/>
  <c r="AO30"/>
  <c r="AN30"/>
  <c r="AM30"/>
  <c r="AL30"/>
  <c r="AK30"/>
  <c r="AJ30"/>
  <c r="AI30"/>
  <c r="AH30"/>
  <c r="AG30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BO29"/>
  <c r="BN29"/>
  <c r="BM29"/>
  <c r="BL29"/>
  <c r="BK29"/>
  <c r="BJ29"/>
  <c r="BI29"/>
  <c r="BH29"/>
  <c r="BG29"/>
  <c r="BF29"/>
  <c r="BE29"/>
  <c r="BD29"/>
  <c r="BC29"/>
  <c r="BB29"/>
  <c r="BA29"/>
  <c r="AZ29"/>
  <c r="AY29"/>
  <c r="AX29"/>
  <c r="AW29"/>
  <c r="AV29"/>
  <c r="AU29"/>
  <c r="AT29"/>
  <c r="AS29"/>
  <c r="AR29"/>
  <c r="AQ29"/>
  <c r="AP29"/>
  <c r="AO29"/>
  <c r="AN29"/>
  <c r="AM29"/>
  <c r="AL29"/>
  <c r="AK29"/>
  <c r="AJ29"/>
  <c r="AI29"/>
  <c r="AH29"/>
  <c r="AG29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BO28"/>
  <c r="BN28"/>
  <c r="BM28"/>
  <c r="BL28"/>
  <c r="BK28"/>
  <c r="BJ28"/>
  <c r="BI28"/>
  <c r="BH28"/>
  <c r="BG28"/>
  <c r="BF28"/>
  <c r="BE28"/>
  <c r="BD28"/>
  <c r="BC28"/>
  <c r="BB28"/>
  <c r="BA28"/>
  <c r="AZ28"/>
  <c r="AY28"/>
  <c r="AX28"/>
  <c r="AW28"/>
  <c r="AV28"/>
  <c r="AU28"/>
  <c r="AT28"/>
  <c r="AS28"/>
  <c r="AR28"/>
  <c r="AQ28"/>
  <c r="AP28"/>
  <c r="AO28"/>
  <c r="AN28"/>
  <c r="AM28"/>
  <c r="AL28"/>
  <c r="AK28"/>
  <c r="AJ28"/>
  <c r="AI28"/>
  <c r="AH28"/>
  <c r="AG28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BO27"/>
  <c r="BN27"/>
  <c r="BM27"/>
  <c r="BL27"/>
  <c r="BK27"/>
  <c r="BJ27"/>
  <c r="BI27"/>
  <c r="BH27"/>
  <c r="BG27"/>
  <c r="BF27"/>
  <c r="BE27"/>
  <c r="BD27"/>
  <c r="BC27"/>
  <c r="BB27"/>
  <c r="BA27"/>
  <c r="AZ27"/>
  <c r="AY27"/>
  <c r="AX27"/>
  <c r="AW27"/>
  <c r="AV27"/>
  <c r="AU27"/>
  <c r="AT27"/>
  <c r="AS27"/>
  <c r="AR27"/>
  <c r="AQ27"/>
  <c r="AP27"/>
  <c r="AO27"/>
  <c r="AN27"/>
  <c r="AM27"/>
  <c r="AL27"/>
  <c r="AK27"/>
  <c r="AJ27"/>
  <c r="AI27"/>
  <c r="AH27"/>
  <c r="AG27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BO26"/>
  <c r="BN26"/>
  <c r="BM26"/>
  <c r="BL26"/>
  <c r="BK26"/>
  <c r="BJ26"/>
  <c r="BI26"/>
  <c r="BH26"/>
  <c r="BG26"/>
  <c r="BF26"/>
  <c r="BE26"/>
  <c r="BD26"/>
  <c r="BC26"/>
  <c r="BB26"/>
  <c r="BA26"/>
  <c r="AZ26"/>
  <c r="AY26"/>
  <c r="AX26"/>
  <c r="AW26"/>
  <c r="AV26"/>
  <c r="AU26"/>
  <c r="AT26"/>
  <c r="AS26"/>
  <c r="AR26"/>
  <c r="AQ26"/>
  <c r="AP26"/>
  <c r="AO26"/>
  <c r="AN26"/>
  <c r="AM26"/>
  <c r="AL26"/>
  <c r="AK26"/>
  <c r="AJ26"/>
  <c r="AI26"/>
  <c r="AH26"/>
  <c r="AG26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BO25"/>
  <c r="BN25"/>
  <c r="BM25"/>
  <c r="BL25"/>
  <c r="BK25"/>
  <c r="BJ25"/>
  <c r="BI25"/>
  <c r="BH25"/>
  <c r="BG25"/>
  <c r="BF25"/>
  <c r="BE25"/>
  <c r="BD25"/>
  <c r="BC25"/>
  <c r="BB25"/>
  <c r="BA25"/>
  <c r="AZ25"/>
  <c r="AY25"/>
  <c r="AX25"/>
  <c r="AW25"/>
  <c r="AV25"/>
  <c r="AU25"/>
  <c r="AT25"/>
  <c r="AS25"/>
  <c r="AR25"/>
  <c r="AQ25"/>
  <c r="AP25"/>
  <c r="AO25"/>
  <c r="AN25"/>
  <c r="AM25"/>
  <c r="AL25"/>
  <c r="AK25"/>
  <c r="AJ25"/>
  <c r="AI25"/>
  <c r="AH25"/>
  <c r="AG25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BO24"/>
  <c r="BN24"/>
  <c r="BM24"/>
  <c r="BL24"/>
  <c r="BK24"/>
  <c r="BJ24"/>
  <c r="BI24"/>
  <c r="BH24"/>
  <c r="BG24"/>
  <c r="BF24"/>
  <c r="BE24"/>
  <c r="BD24"/>
  <c r="BC24"/>
  <c r="BB24"/>
  <c r="BA24"/>
  <c r="AZ24"/>
  <c r="AY24"/>
  <c r="AX24"/>
  <c r="AW24"/>
  <c r="AV24"/>
  <c r="AU24"/>
  <c r="AT24"/>
  <c r="AS24"/>
  <c r="AR24"/>
  <c r="AQ24"/>
  <c r="AP24"/>
  <c r="AO24"/>
  <c r="AN24"/>
  <c r="AM24"/>
  <c r="AL24"/>
  <c r="AK24"/>
  <c r="AJ24"/>
  <c r="AI24"/>
  <c r="AH24"/>
  <c r="AG24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BO23"/>
  <c r="BN23"/>
  <c r="BM23"/>
  <c r="BL23"/>
  <c r="BK23"/>
  <c r="BJ23"/>
  <c r="BI23"/>
  <c r="BH23"/>
  <c r="BG23"/>
  <c r="BF23"/>
  <c r="BE23"/>
  <c r="BD23"/>
  <c r="BC23"/>
  <c r="BB23"/>
  <c r="BA23"/>
  <c r="AZ23"/>
  <c r="AY23"/>
  <c r="AX23"/>
  <c r="AW23"/>
  <c r="AV23"/>
  <c r="AU23"/>
  <c r="AT23"/>
  <c r="AS23"/>
  <c r="AR23"/>
  <c r="AQ23"/>
  <c r="AP23"/>
  <c r="AO23"/>
  <c r="AN23"/>
  <c r="AM23"/>
  <c r="AL23"/>
  <c r="AK23"/>
  <c r="AJ23"/>
  <c r="AI23"/>
  <c r="AH23"/>
  <c r="AG23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BO22"/>
  <c r="BN22"/>
  <c r="BM22"/>
  <c r="BL22"/>
  <c r="BK22"/>
  <c r="BJ22"/>
  <c r="BI22"/>
  <c r="BH22"/>
  <c r="BG22"/>
  <c r="BF22"/>
  <c r="BE22"/>
  <c r="BD22"/>
  <c r="BC22"/>
  <c r="BB22"/>
  <c r="BA22"/>
  <c r="AZ22"/>
  <c r="AY22"/>
  <c r="AX22"/>
  <c r="AW22"/>
  <c r="AV22"/>
  <c r="AU22"/>
  <c r="AT22"/>
  <c r="AS22"/>
  <c r="AR22"/>
  <c r="AQ22"/>
  <c r="AP22"/>
  <c r="AO22"/>
  <c r="AN22"/>
  <c r="AM22"/>
  <c r="AL22"/>
  <c r="AK22"/>
  <c r="AJ22"/>
  <c r="AI22"/>
  <c r="AH22"/>
  <c r="AG22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BO21"/>
  <c r="BN21"/>
  <c r="BM21"/>
  <c r="BL21"/>
  <c r="BK21"/>
  <c r="BJ21"/>
  <c r="BI21"/>
  <c r="BH21"/>
  <c r="BG21"/>
  <c r="BF21"/>
  <c r="BE21"/>
  <c r="BD21"/>
  <c r="BC21"/>
  <c r="BB21"/>
  <c r="BA21"/>
  <c r="AZ21"/>
  <c r="AY21"/>
  <c r="AX21"/>
  <c r="AW21"/>
  <c r="AV21"/>
  <c r="AU21"/>
  <c r="AT21"/>
  <c r="AS21"/>
  <c r="AR21"/>
  <c r="AQ21"/>
  <c r="AP21"/>
  <c r="AO21"/>
  <c r="AN21"/>
  <c r="AM21"/>
  <c r="AL21"/>
  <c r="AK21"/>
  <c r="AJ21"/>
  <c r="AI21"/>
  <c r="AH21"/>
  <c r="AG21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BO20"/>
  <c r="BN20"/>
  <c r="BM20"/>
  <c r="BL20"/>
  <c r="BK20"/>
  <c r="BJ20"/>
  <c r="BI20"/>
  <c r="BH20"/>
  <c r="BG20"/>
  <c r="BF20"/>
  <c r="BE20"/>
  <c r="BD20"/>
  <c r="BC20"/>
  <c r="BB20"/>
  <c r="BA20"/>
  <c r="AZ20"/>
  <c r="AY20"/>
  <c r="AX20"/>
  <c r="AW20"/>
  <c r="AV20"/>
  <c r="AU20"/>
  <c r="AT20"/>
  <c r="AS20"/>
  <c r="AR20"/>
  <c r="AQ20"/>
  <c r="AP20"/>
  <c r="AO20"/>
  <c r="AN20"/>
  <c r="AM20"/>
  <c r="AL20"/>
  <c r="AK20"/>
  <c r="AJ20"/>
  <c r="AI20"/>
  <c r="AH20"/>
  <c r="AG20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BO19"/>
  <c r="BN19"/>
  <c r="BM19"/>
  <c r="BL19"/>
  <c r="BK19"/>
  <c r="BJ19"/>
  <c r="BI19"/>
  <c r="BH19"/>
  <c r="BG19"/>
  <c r="BF19"/>
  <c r="BE19"/>
  <c r="BD19"/>
  <c r="BC19"/>
  <c r="BB19"/>
  <c r="BA19"/>
  <c r="AZ19"/>
  <c r="AY19"/>
  <c r="AX19"/>
  <c r="AW19"/>
  <c r="AV19"/>
  <c r="AU19"/>
  <c r="AT19"/>
  <c r="AS19"/>
  <c r="AR19"/>
  <c r="AQ19"/>
  <c r="AP19"/>
  <c r="AO19"/>
  <c r="AN19"/>
  <c r="AM19"/>
  <c r="AL19"/>
  <c r="AK19"/>
  <c r="AJ19"/>
  <c r="AI19"/>
  <c r="AH19"/>
  <c r="AG19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BO18"/>
  <c r="BN18"/>
  <c r="BM18"/>
  <c r="BL18"/>
  <c r="BK18"/>
  <c r="BJ18"/>
  <c r="BI18"/>
  <c r="BH18"/>
  <c r="BG18"/>
  <c r="BF18"/>
  <c r="BE18"/>
  <c r="BD18"/>
  <c r="BC18"/>
  <c r="BB18"/>
  <c r="BA18"/>
  <c r="AZ18"/>
  <c r="AY18"/>
  <c r="AX18"/>
  <c r="AW18"/>
  <c r="AV18"/>
  <c r="AU18"/>
  <c r="AT18"/>
  <c r="AS18"/>
  <c r="AR18"/>
  <c r="AQ18"/>
  <c r="AP18"/>
  <c r="AO18"/>
  <c r="AN18"/>
  <c r="AM18"/>
  <c r="AL18"/>
  <c r="AK18"/>
  <c r="AJ18"/>
  <c r="AI18"/>
  <c r="AH18"/>
  <c r="AG18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BO17"/>
  <c r="BN17"/>
  <c r="BM17"/>
  <c r="BL17"/>
  <c r="BK17"/>
  <c r="BJ17"/>
  <c r="BI17"/>
  <c r="BH17"/>
  <c r="BG17"/>
  <c r="BF17"/>
  <c r="BE17"/>
  <c r="BD17"/>
  <c r="BC17"/>
  <c r="BB17"/>
  <c r="BA17"/>
  <c r="AZ17"/>
  <c r="AY17"/>
  <c r="AX17"/>
  <c r="AW17"/>
  <c r="AV17"/>
  <c r="AU17"/>
  <c r="AT17"/>
  <c r="AS17"/>
  <c r="AR17"/>
  <c r="AQ17"/>
  <c r="AP17"/>
  <c r="AO17"/>
  <c r="AN17"/>
  <c r="AM17"/>
  <c r="AL17"/>
  <c r="AK17"/>
  <c r="AJ17"/>
  <c r="AI17"/>
  <c r="AH17"/>
  <c r="AG17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BO16"/>
  <c r="BN16"/>
  <c r="BM16"/>
  <c r="BL16"/>
  <c r="BK16"/>
  <c r="BJ16"/>
  <c r="BI16"/>
  <c r="BH16"/>
  <c r="BG16"/>
  <c r="BF16"/>
  <c r="BE16"/>
  <c r="BD16"/>
  <c r="BC16"/>
  <c r="BB16"/>
  <c r="BA16"/>
  <c r="AZ16"/>
  <c r="AY16"/>
  <c r="AX16"/>
  <c r="AW16"/>
  <c r="AV16"/>
  <c r="AU16"/>
  <c r="AT16"/>
  <c r="AS16"/>
  <c r="AR16"/>
  <c r="AQ16"/>
  <c r="AP16"/>
  <c r="AO16"/>
  <c r="AN16"/>
  <c r="AM16"/>
  <c r="AL16"/>
  <c r="AK16"/>
  <c r="AJ16"/>
  <c r="AI16"/>
  <c r="AH16"/>
  <c r="AG16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BO15"/>
  <c r="BN15"/>
  <c r="BM15"/>
  <c r="BL15"/>
  <c r="BK15"/>
  <c r="BJ15"/>
  <c r="BI15"/>
  <c r="BH15"/>
  <c r="BG15"/>
  <c r="BF15"/>
  <c r="BE15"/>
  <c r="BD15"/>
  <c r="BC15"/>
  <c r="BB15"/>
  <c r="BA15"/>
  <c r="AZ15"/>
  <c r="AY15"/>
  <c r="AX15"/>
  <c r="AW15"/>
  <c r="AV15"/>
  <c r="AU15"/>
  <c r="AT15"/>
  <c r="AS15"/>
  <c r="AR15"/>
  <c r="AQ15"/>
  <c r="AP15"/>
  <c r="AO15"/>
  <c r="AN15"/>
  <c r="AM15"/>
  <c r="AL15"/>
  <c r="AK15"/>
  <c r="AJ15"/>
  <c r="AI15"/>
  <c r="AH15"/>
  <c r="AG15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BO14"/>
  <c r="BN14"/>
  <c r="BM14"/>
  <c r="BL14"/>
  <c r="BK14"/>
  <c r="BJ14"/>
  <c r="BI14"/>
  <c r="BH14"/>
  <c r="BG14"/>
  <c r="BF14"/>
  <c r="BE14"/>
  <c r="BD14"/>
  <c r="BC14"/>
  <c r="BB14"/>
  <c r="BA14"/>
  <c r="AZ14"/>
  <c r="AY14"/>
  <c r="AX14"/>
  <c r="AW14"/>
  <c r="AV14"/>
  <c r="AU14"/>
  <c r="AT14"/>
  <c r="AS14"/>
  <c r="AR14"/>
  <c r="AQ14"/>
  <c r="AP14"/>
  <c r="AO14"/>
  <c r="AN14"/>
  <c r="AM14"/>
  <c r="AL14"/>
  <c r="AK14"/>
  <c r="AJ14"/>
  <c r="AI14"/>
  <c r="AH14"/>
  <c r="AG14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BO13"/>
  <c r="BN13"/>
  <c r="BM13"/>
  <c r="BL13"/>
  <c r="BK13"/>
  <c r="BJ13"/>
  <c r="BI13"/>
  <c r="BH13"/>
  <c r="BG13"/>
  <c r="BF13"/>
  <c r="BE13"/>
  <c r="BD13"/>
  <c r="BC13"/>
  <c r="BB13"/>
  <c r="BA13"/>
  <c r="AZ13"/>
  <c r="AY13"/>
  <c r="AX13"/>
  <c r="AW13"/>
  <c r="AV13"/>
  <c r="AU13"/>
  <c r="AT13"/>
  <c r="AS13"/>
  <c r="AR13"/>
  <c r="AQ13"/>
  <c r="AP13"/>
  <c r="AO13"/>
  <c r="AN13"/>
  <c r="AM13"/>
  <c r="AL13"/>
  <c r="AK13"/>
  <c r="AJ13"/>
  <c r="AI13"/>
  <c r="AH13"/>
  <c r="AG13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BO12"/>
  <c r="BN12"/>
  <c r="BM12"/>
  <c r="BL12"/>
  <c r="BK12"/>
  <c r="BJ12"/>
  <c r="BI12"/>
  <c r="BH12"/>
  <c r="BG12"/>
  <c r="BF12"/>
  <c r="BE12"/>
  <c r="BD12"/>
  <c r="BC12"/>
  <c r="BB12"/>
  <c r="BA12"/>
  <c r="AZ12"/>
  <c r="AY12"/>
  <c r="AX12"/>
  <c r="AW12"/>
  <c r="AV12"/>
  <c r="AU12"/>
  <c r="AT12"/>
  <c r="AS12"/>
  <c r="AR12"/>
  <c r="AQ12"/>
  <c r="AP12"/>
  <c r="AO12"/>
  <c r="AN12"/>
  <c r="AM12"/>
  <c r="AL12"/>
  <c r="AK12"/>
  <c r="AJ12"/>
  <c r="AI12"/>
  <c r="AH12"/>
  <c r="AG12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BO11"/>
  <c r="BN11"/>
  <c r="BM11"/>
  <c r="BK11"/>
  <c r="BJ11"/>
  <c r="BI11"/>
  <c r="BH11"/>
  <c r="BG11"/>
  <c r="BF11"/>
  <c r="BE11"/>
  <c r="BD11"/>
  <c r="BC11"/>
  <c r="BB11"/>
  <c r="BA11"/>
  <c r="AZ11"/>
  <c r="AY11"/>
  <c r="AX11"/>
  <c r="AW11"/>
  <c r="AV11"/>
  <c r="AU11"/>
  <c r="AT11"/>
  <c r="AS11"/>
  <c r="AR11"/>
  <c r="AQ11"/>
  <c r="AP11"/>
  <c r="AO11"/>
  <c r="AN11"/>
  <c r="AM11"/>
  <c r="AL11"/>
  <c r="AK11"/>
  <c r="AJ11"/>
  <c r="AI11"/>
  <c r="AH11"/>
  <c r="AG11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BO10"/>
  <c r="BN10"/>
  <c r="BM10"/>
  <c r="BK10"/>
  <c r="BJ10"/>
  <c r="BI10"/>
  <c r="BH10"/>
  <c r="BG10"/>
  <c r="BF10"/>
  <c r="BE10"/>
  <c r="BD10"/>
  <c r="BC10"/>
  <c r="BB10"/>
  <c r="BA10"/>
  <c r="AZ10"/>
  <c r="AY10"/>
  <c r="AX10"/>
  <c r="AW10"/>
  <c r="AV10"/>
  <c r="AU10"/>
  <c r="AT10"/>
  <c r="AS10"/>
  <c r="AR10"/>
  <c r="AQ10"/>
  <c r="AP10"/>
  <c r="AO10"/>
  <c r="AN10"/>
  <c r="AM10"/>
  <c r="AL10"/>
  <c r="AK10"/>
  <c r="AJ10"/>
  <c r="AI10"/>
  <c r="AH10"/>
  <c r="AG10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O9"/>
  <c r="BN9"/>
  <c r="BM9"/>
  <c r="BK9"/>
  <c r="BJ9"/>
  <c r="BI9"/>
  <c r="BH9"/>
  <c r="BG9"/>
  <c r="BF9"/>
  <c r="BE9"/>
  <c r="BD9"/>
  <c r="BC9"/>
  <c r="BB9"/>
  <c r="BA9"/>
  <c r="AZ9"/>
  <c r="AY9"/>
  <c r="AX9"/>
  <c r="AW9"/>
  <c r="AV9"/>
  <c r="AU9"/>
  <c r="AT9"/>
  <c r="AS9"/>
  <c r="AR9"/>
  <c r="AQ9"/>
  <c r="AP9"/>
  <c r="AO9"/>
  <c r="AN9"/>
  <c r="AM9"/>
  <c r="AL9"/>
  <c r="AK9"/>
  <c r="AJ9"/>
  <c r="AI9"/>
  <c r="AH9"/>
  <c r="AG9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BO8"/>
  <c r="BN8"/>
  <c r="BM8"/>
  <c r="BK8"/>
  <c r="BJ8"/>
  <c r="BI8"/>
  <c r="BH8"/>
  <c r="BG8"/>
  <c r="BF8"/>
  <c r="BE8"/>
  <c r="BD8"/>
  <c r="BC8"/>
  <c r="BB8"/>
  <c r="BA8"/>
  <c r="AZ8"/>
  <c r="AY8"/>
  <c r="AX8"/>
  <c r="AW8"/>
  <c r="AV8"/>
  <c r="AU8"/>
  <c r="AT8"/>
  <c r="AS8"/>
  <c r="AR8"/>
  <c r="AQ8"/>
  <c r="AP8"/>
  <c r="AO8"/>
  <c r="AN8"/>
  <c r="AM8"/>
  <c r="AL8"/>
  <c r="AK8"/>
  <c r="AJ8"/>
  <c r="AI8"/>
  <c r="AH8"/>
  <c r="AG8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BO7"/>
  <c r="BN7"/>
  <c r="BM7"/>
  <c r="BK7"/>
  <c r="BJ7"/>
  <c r="BI7"/>
  <c r="BH7"/>
  <c r="BG7"/>
  <c r="BF7"/>
  <c r="BE7"/>
  <c r="BD7"/>
  <c r="BC7"/>
  <c r="BB7"/>
  <c r="BA7"/>
  <c r="AZ7"/>
  <c r="AY7"/>
  <c r="AX7"/>
  <c r="AW7"/>
  <c r="AV7"/>
  <c r="AU7"/>
  <c r="AT7"/>
  <c r="AS7"/>
  <c r="AR7"/>
  <c r="AQ7"/>
  <c r="AP7"/>
  <c r="AO7"/>
  <c r="AN7"/>
  <c r="AM7"/>
  <c r="AL7"/>
  <c r="AK7"/>
  <c r="AJ7"/>
  <c r="AI7"/>
  <c r="AH7"/>
  <c r="AG7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BO6"/>
  <c r="BN6"/>
  <c r="BM6"/>
  <c r="BK6"/>
  <c r="BJ6"/>
  <c r="BI6"/>
  <c r="BH6"/>
  <c r="BG6"/>
  <c r="BF6"/>
  <c r="BE6"/>
  <c r="BD6"/>
  <c r="BC6"/>
  <c r="BB6"/>
  <c r="BA6"/>
  <c r="AZ6"/>
  <c r="AY6"/>
  <c r="AX6"/>
  <c r="AW6"/>
  <c r="AV6"/>
  <c r="AU6"/>
  <c r="AT6"/>
  <c r="AS6"/>
  <c r="AR6"/>
  <c r="AQ6"/>
  <c r="AP6"/>
  <c r="AO6"/>
  <c r="AN6"/>
  <c r="AM6"/>
  <c r="AL6"/>
  <c r="AK6"/>
  <c r="AJ6"/>
  <c r="AI6"/>
  <c r="AH6"/>
  <c r="AG6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BO5"/>
  <c r="BN5"/>
  <c r="BM5"/>
  <c r="BK5"/>
  <c r="BJ5"/>
  <c r="BI5"/>
  <c r="BH5"/>
  <c r="BG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BO4"/>
  <c r="BN4"/>
  <c r="BM4"/>
  <c r="BK4"/>
  <c r="BJ4"/>
  <c r="BI4"/>
  <c r="BH4"/>
  <c r="BG4"/>
  <c r="BF4"/>
  <c r="BE4"/>
  <c r="BD4"/>
  <c r="BC4"/>
  <c r="BB4"/>
  <c r="BA4"/>
  <c r="AZ4"/>
  <c r="AY4"/>
  <c r="AX4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BO3"/>
  <c r="BN3"/>
  <c r="BM3"/>
  <c r="BL3"/>
  <c r="BK3"/>
  <c r="BJ3"/>
  <c r="BI3"/>
  <c r="BH3"/>
  <c r="BG3"/>
  <c r="BF3"/>
  <c r="BE3"/>
  <c r="BD3"/>
  <c r="BC3"/>
  <c r="BB3"/>
  <c r="BA3"/>
  <c r="AZ3"/>
  <c r="AY3"/>
  <c r="AX3"/>
  <c r="AW3"/>
  <c r="AV3"/>
  <c r="AU3"/>
  <c r="AT3"/>
  <c r="AS3"/>
  <c r="AR3"/>
  <c r="AQ3"/>
  <c r="AP3"/>
  <c r="AO3"/>
  <c r="AN3"/>
  <c r="AM3"/>
  <c r="AL3"/>
  <c r="AK3"/>
  <c r="AJ3"/>
  <c r="AI3"/>
  <c r="AH3"/>
  <c r="AG3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M152" i="25"/>
  <c r="L152"/>
  <c r="J152"/>
  <c r="H152"/>
  <c r="G152"/>
  <c r="F152"/>
  <c r="E152"/>
  <c r="D152"/>
  <c r="C152"/>
  <c r="M151"/>
  <c r="L151"/>
  <c r="J151"/>
  <c r="H151"/>
  <c r="G151"/>
  <c r="F151"/>
  <c r="E151"/>
  <c r="D151"/>
  <c r="C151"/>
  <c r="M150"/>
  <c r="L150"/>
  <c r="J150"/>
  <c r="H150"/>
  <c r="G150"/>
  <c r="F150"/>
  <c r="E150"/>
  <c r="D150"/>
  <c r="C150"/>
  <c r="M149"/>
  <c r="L149"/>
  <c r="J149"/>
  <c r="H149"/>
  <c r="G149"/>
  <c r="F149"/>
  <c r="E149"/>
  <c r="D149"/>
  <c r="C149"/>
  <c r="M148"/>
  <c r="L148"/>
  <c r="J148"/>
  <c r="H148"/>
  <c r="G148"/>
  <c r="F148"/>
  <c r="E148"/>
  <c r="D148"/>
  <c r="C148"/>
  <c r="M147"/>
  <c r="L147"/>
  <c r="J147"/>
  <c r="H147"/>
  <c r="G147"/>
  <c r="F147"/>
  <c r="E147"/>
  <c r="D147"/>
  <c r="C147"/>
  <c r="M146"/>
  <c r="L146"/>
  <c r="J146"/>
  <c r="H146"/>
  <c r="G146"/>
  <c r="F146"/>
  <c r="E146"/>
  <c r="D146"/>
  <c r="C146"/>
  <c r="M145"/>
  <c r="L145"/>
  <c r="J145"/>
  <c r="H145"/>
  <c r="G145"/>
  <c r="F145"/>
  <c r="E145"/>
  <c r="D145"/>
  <c r="C145"/>
  <c r="M144"/>
  <c r="L144"/>
  <c r="J144"/>
  <c r="H144"/>
  <c r="G144"/>
  <c r="F144"/>
  <c r="E144"/>
  <c r="D144"/>
  <c r="C144"/>
  <c r="M143"/>
  <c r="L143"/>
  <c r="J143"/>
  <c r="H143"/>
  <c r="G143"/>
  <c r="F143"/>
  <c r="E143"/>
  <c r="D143"/>
  <c r="C143"/>
  <c r="M142"/>
  <c r="L142"/>
  <c r="J142"/>
  <c r="H142"/>
  <c r="G142"/>
  <c r="F142"/>
  <c r="E142"/>
  <c r="D142"/>
  <c r="C142"/>
  <c r="M141"/>
  <c r="L141"/>
  <c r="J141"/>
  <c r="H141"/>
  <c r="G141"/>
  <c r="F141"/>
  <c r="E141"/>
  <c r="D141"/>
  <c r="C141"/>
  <c r="M140"/>
  <c r="L140"/>
  <c r="J140"/>
  <c r="H140"/>
  <c r="G140"/>
  <c r="F140"/>
  <c r="E140"/>
  <c r="D140"/>
  <c r="C140"/>
  <c r="M139"/>
  <c r="L139"/>
  <c r="J139"/>
  <c r="H139"/>
  <c r="G139"/>
  <c r="F139"/>
  <c r="E139"/>
  <c r="D139"/>
  <c r="C139"/>
  <c r="M138"/>
  <c r="L138"/>
  <c r="J138"/>
  <c r="H138"/>
  <c r="G138"/>
  <c r="F138"/>
  <c r="E138"/>
  <c r="D138"/>
  <c r="C138"/>
  <c r="M137"/>
  <c r="L137"/>
  <c r="J137"/>
  <c r="H137"/>
  <c r="G137"/>
  <c r="F137"/>
  <c r="E137"/>
  <c r="D137"/>
  <c r="C137"/>
  <c r="M136"/>
  <c r="L136"/>
  <c r="J136"/>
  <c r="H136"/>
  <c r="G136"/>
  <c r="F136"/>
  <c r="E136"/>
  <c r="D136"/>
  <c r="C136"/>
  <c r="M135"/>
  <c r="L135"/>
  <c r="J135"/>
  <c r="H135"/>
  <c r="G135"/>
  <c r="F135"/>
  <c r="E135"/>
  <c r="D135"/>
  <c r="C135"/>
  <c r="M134"/>
  <c r="L134"/>
  <c r="J134"/>
  <c r="H134"/>
  <c r="G134"/>
  <c r="F134"/>
  <c r="E134"/>
  <c r="D134"/>
  <c r="C134"/>
  <c r="M133"/>
  <c r="L133"/>
  <c r="J133"/>
  <c r="H133"/>
  <c r="G133"/>
  <c r="F133"/>
  <c r="E133"/>
  <c r="D133"/>
  <c r="C133"/>
  <c r="M132"/>
  <c r="L132"/>
  <c r="J132"/>
  <c r="H132"/>
  <c r="G132"/>
  <c r="F132"/>
  <c r="E132"/>
  <c r="D132"/>
  <c r="C132"/>
  <c r="M131"/>
  <c r="L131"/>
  <c r="J131"/>
  <c r="H131"/>
  <c r="G131"/>
  <c r="F131"/>
  <c r="E131"/>
  <c r="D131"/>
  <c r="C131"/>
  <c r="M130"/>
  <c r="L130"/>
  <c r="J130"/>
  <c r="H130"/>
  <c r="G130"/>
  <c r="F130"/>
  <c r="E130"/>
  <c r="D130"/>
  <c r="C130"/>
  <c r="M129"/>
  <c r="L129"/>
  <c r="J129"/>
  <c r="H129"/>
  <c r="G129"/>
  <c r="F129"/>
  <c r="E129"/>
  <c r="D129"/>
  <c r="C129"/>
  <c r="M128"/>
  <c r="L128"/>
  <c r="J128"/>
  <c r="H128"/>
  <c r="G128"/>
  <c r="F128"/>
  <c r="E128"/>
  <c r="D128"/>
  <c r="C128"/>
  <c r="M127"/>
  <c r="L127"/>
  <c r="J127"/>
  <c r="H127"/>
  <c r="G127"/>
  <c r="F127"/>
  <c r="E127"/>
  <c r="D127"/>
  <c r="C127"/>
  <c r="M126"/>
  <c r="L126"/>
  <c r="J126"/>
  <c r="H126"/>
  <c r="G126"/>
  <c r="F126"/>
  <c r="E126"/>
  <c r="D126"/>
  <c r="C126"/>
  <c r="M125"/>
  <c r="L125"/>
  <c r="J125"/>
  <c r="H125"/>
  <c r="G125"/>
  <c r="F125"/>
  <c r="E125"/>
  <c r="D125"/>
  <c r="C125"/>
  <c r="M124"/>
  <c r="L124"/>
  <c r="J124"/>
  <c r="H124"/>
  <c r="G124"/>
  <c r="F124"/>
  <c r="E124"/>
  <c r="D124"/>
  <c r="C124"/>
  <c r="M123"/>
  <c r="L123"/>
  <c r="J123"/>
  <c r="H123"/>
  <c r="G123"/>
  <c r="F123"/>
  <c r="E123"/>
  <c r="D123"/>
  <c r="C123"/>
  <c r="M122"/>
  <c r="L122"/>
  <c r="J122"/>
  <c r="H122"/>
  <c r="G122"/>
  <c r="F122"/>
  <c r="E122"/>
  <c r="D122"/>
  <c r="C122"/>
  <c r="M121"/>
  <c r="L121"/>
  <c r="J121"/>
  <c r="H121"/>
  <c r="G121"/>
  <c r="F121"/>
  <c r="E121"/>
  <c r="D121"/>
  <c r="C121"/>
  <c r="M120"/>
  <c r="L120"/>
  <c r="J120"/>
  <c r="H120"/>
  <c r="G120"/>
  <c r="F120"/>
  <c r="E120"/>
  <c r="D120"/>
  <c r="C120"/>
  <c r="M119"/>
  <c r="L119"/>
  <c r="J119"/>
  <c r="H119"/>
  <c r="G119"/>
  <c r="F119"/>
  <c r="E119"/>
  <c r="D119"/>
  <c r="C119"/>
  <c r="M118"/>
  <c r="L118"/>
  <c r="J118"/>
  <c r="H118"/>
  <c r="G118"/>
  <c r="F118"/>
  <c r="E118"/>
  <c r="D118"/>
  <c r="C118"/>
  <c r="M117"/>
  <c r="L117"/>
  <c r="J117"/>
  <c r="H117"/>
  <c r="G117"/>
  <c r="F117"/>
  <c r="E117"/>
  <c r="D117"/>
  <c r="C117"/>
  <c r="M116"/>
  <c r="L116"/>
  <c r="J116"/>
  <c r="H116"/>
  <c r="G116"/>
  <c r="F116"/>
  <c r="E116"/>
  <c r="D116"/>
  <c r="C116"/>
  <c r="M115"/>
  <c r="L115"/>
  <c r="J115"/>
  <c r="H115"/>
  <c r="G115"/>
  <c r="F115"/>
  <c r="E115"/>
  <c r="D115"/>
  <c r="C115"/>
  <c r="M114"/>
  <c r="L114"/>
  <c r="J114"/>
  <c r="H114"/>
  <c r="G114"/>
  <c r="F114"/>
  <c r="E114"/>
  <c r="D114"/>
  <c r="C114"/>
  <c r="M113"/>
  <c r="L113"/>
  <c r="J113"/>
  <c r="H113"/>
  <c r="G113"/>
  <c r="F113"/>
  <c r="E113"/>
  <c r="D113"/>
  <c r="C113"/>
  <c r="M112"/>
  <c r="L112"/>
  <c r="J112"/>
  <c r="H112"/>
  <c r="G112"/>
  <c r="F112"/>
  <c r="E112"/>
  <c r="D112"/>
  <c r="C112"/>
  <c r="M111"/>
  <c r="L111"/>
  <c r="J111"/>
  <c r="H111"/>
  <c r="G111"/>
  <c r="F111"/>
  <c r="E111"/>
  <c r="D111"/>
  <c r="C111"/>
  <c r="M110"/>
  <c r="L110"/>
  <c r="J110"/>
  <c r="H110"/>
  <c r="G110"/>
  <c r="F110"/>
  <c r="E110"/>
  <c r="D110"/>
  <c r="C110"/>
  <c r="M109"/>
  <c r="L109"/>
  <c r="J109"/>
  <c r="H109"/>
  <c r="G109"/>
  <c r="F109"/>
  <c r="E109"/>
  <c r="D109"/>
  <c r="C109"/>
  <c r="M108"/>
  <c r="L108"/>
  <c r="J108"/>
  <c r="H108"/>
  <c r="G108"/>
  <c r="F108"/>
  <c r="E108"/>
  <c r="D108"/>
  <c r="C108"/>
  <c r="M107"/>
  <c r="L107"/>
  <c r="J107"/>
  <c r="H107"/>
  <c r="G107"/>
  <c r="F107"/>
  <c r="E107"/>
  <c r="D107"/>
  <c r="C107"/>
  <c r="M106"/>
  <c r="L106"/>
  <c r="J106"/>
  <c r="H106"/>
  <c r="G106"/>
  <c r="F106"/>
  <c r="E106"/>
  <c r="D106"/>
  <c r="C106"/>
  <c r="M105"/>
  <c r="L105"/>
  <c r="J105"/>
  <c r="H105"/>
  <c r="G105"/>
  <c r="F105"/>
  <c r="E105"/>
  <c r="D105"/>
  <c r="C105"/>
  <c r="M104"/>
  <c r="L104"/>
  <c r="J104"/>
  <c r="H104"/>
  <c r="G104"/>
  <c r="F104"/>
  <c r="E104"/>
  <c r="D104"/>
  <c r="C104"/>
  <c r="M103"/>
  <c r="L103"/>
  <c r="J103"/>
  <c r="H103"/>
  <c r="G103"/>
  <c r="F103"/>
  <c r="E103"/>
  <c r="D103"/>
  <c r="C103"/>
  <c r="M102"/>
  <c r="L102"/>
  <c r="J102"/>
  <c r="H102"/>
  <c r="G102"/>
  <c r="F102"/>
  <c r="E102"/>
  <c r="D102"/>
  <c r="C102"/>
  <c r="M101"/>
  <c r="L101"/>
  <c r="J101"/>
  <c r="H101"/>
  <c r="G101"/>
  <c r="F101"/>
  <c r="E101"/>
  <c r="D101"/>
  <c r="C101"/>
  <c r="M100"/>
  <c r="L100"/>
  <c r="J100"/>
  <c r="H100"/>
  <c r="G100"/>
  <c r="F100"/>
  <c r="E100"/>
  <c r="D100"/>
  <c r="C100"/>
  <c r="M99"/>
  <c r="L99"/>
  <c r="J99"/>
  <c r="H99"/>
  <c r="G99"/>
  <c r="F99"/>
  <c r="E99"/>
  <c r="D99"/>
  <c r="C99"/>
  <c r="M98"/>
  <c r="L98"/>
  <c r="J98"/>
  <c r="H98"/>
  <c r="G98"/>
  <c r="F98"/>
  <c r="E98"/>
  <c r="D98"/>
  <c r="C98"/>
  <c r="M97"/>
  <c r="L97"/>
  <c r="J97"/>
  <c r="H97"/>
  <c r="G97"/>
  <c r="F97"/>
  <c r="E97"/>
  <c r="D97"/>
  <c r="C97"/>
  <c r="M96"/>
  <c r="L96"/>
  <c r="J96"/>
  <c r="H96"/>
  <c r="G96"/>
  <c r="F96"/>
  <c r="E96"/>
  <c r="D96"/>
  <c r="C96"/>
  <c r="M95"/>
  <c r="L95"/>
  <c r="J95"/>
  <c r="H95"/>
  <c r="G95"/>
  <c r="F95"/>
  <c r="E95"/>
  <c r="D95"/>
  <c r="C95"/>
  <c r="M94"/>
  <c r="L94"/>
  <c r="J94"/>
  <c r="H94"/>
  <c r="G94"/>
  <c r="F94"/>
  <c r="E94"/>
  <c r="D94"/>
  <c r="C94"/>
  <c r="M93"/>
  <c r="L93"/>
  <c r="J93"/>
  <c r="H93"/>
  <c r="G93"/>
  <c r="F93"/>
  <c r="E93"/>
  <c r="D93"/>
  <c r="C93"/>
  <c r="M92"/>
  <c r="L92"/>
  <c r="K92"/>
  <c r="J92"/>
  <c r="H92"/>
  <c r="G92"/>
  <c r="F92"/>
  <c r="E92"/>
  <c r="D92"/>
  <c r="C92"/>
  <c r="M91"/>
  <c r="L91"/>
  <c r="J91"/>
  <c r="H91"/>
  <c r="G91"/>
  <c r="F91"/>
  <c r="E91"/>
  <c r="D91"/>
  <c r="C91"/>
  <c r="M90"/>
  <c r="L90"/>
  <c r="J90"/>
  <c r="H90"/>
  <c r="G90"/>
  <c r="F90"/>
  <c r="E90"/>
  <c r="D90"/>
  <c r="C90"/>
  <c r="M89"/>
  <c r="L89"/>
  <c r="J89"/>
  <c r="H89"/>
  <c r="G89"/>
  <c r="F89"/>
  <c r="E89"/>
  <c r="D89"/>
  <c r="C89"/>
  <c r="M88"/>
  <c r="L88"/>
  <c r="J88"/>
  <c r="H88"/>
  <c r="G88"/>
  <c r="F88"/>
  <c r="E88"/>
  <c r="D88"/>
  <c r="C88"/>
  <c r="M87"/>
  <c r="L87"/>
  <c r="J87"/>
  <c r="H87"/>
  <c r="G87"/>
  <c r="F87"/>
  <c r="E87"/>
  <c r="D87"/>
  <c r="C87"/>
  <c r="M86"/>
  <c r="L86"/>
  <c r="J86"/>
  <c r="H86"/>
  <c r="G86"/>
  <c r="F86"/>
  <c r="E86"/>
  <c r="D86"/>
  <c r="C86"/>
  <c r="M85"/>
  <c r="L85"/>
  <c r="J85"/>
  <c r="H85"/>
  <c r="G85"/>
  <c r="F85"/>
  <c r="E85"/>
  <c r="D85"/>
  <c r="C85"/>
  <c r="M84"/>
  <c r="L84"/>
  <c r="J84"/>
  <c r="H84"/>
  <c r="G84"/>
  <c r="F84"/>
  <c r="E84"/>
  <c r="D84"/>
  <c r="C84"/>
  <c r="M83"/>
  <c r="L83"/>
  <c r="J83"/>
  <c r="H83"/>
  <c r="G83"/>
  <c r="F83"/>
  <c r="E83"/>
  <c r="D83"/>
  <c r="C83"/>
  <c r="M82"/>
  <c r="L82"/>
  <c r="K82"/>
  <c r="J82"/>
  <c r="H82"/>
  <c r="G82"/>
  <c r="F82"/>
  <c r="E82"/>
  <c r="D82"/>
  <c r="C82"/>
  <c r="M81"/>
  <c r="L81"/>
  <c r="J81"/>
  <c r="H81"/>
  <c r="G81"/>
  <c r="F81"/>
  <c r="E81"/>
  <c r="D81"/>
  <c r="C81"/>
  <c r="M80"/>
  <c r="L80"/>
  <c r="J80"/>
  <c r="H80"/>
  <c r="G80"/>
  <c r="F80"/>
  <c r="E80"/>
  <c r="D80"/>
  <c r="C80"/>
  <c r="M79"/>
  <c r="L79"/>
  <c r="J79"/>
  <c r="H79"/>
  <c r="G79"/>
  <c r="F79"/>
  <c r="E79"/>
  <c r="D79"/>
  <c r="C79"/>
  <c r="M78"/>
  <c r="L78"/>
  <c r="J78"/>
  <c r="H78"/>
  <c r="G78"/>
  <c r="F78"/>
  <c r="E78"/>
  <c r="D78"/>
  <c r="C78"/>
  <c r="M77"/>
  <c r="L77"/>
  <c r="K77"/>
  <c r="J77"/>
  <c r="H77"/>
  <c r="G77"/>
  <c r="F77"/>
  <c r="E77"/>
  <c r="D77"/>
  <c r="C77"/>
  <c r="M76"/>
  <c r="L76"/>
  <c r="J76"/>
  <c r="H76"/>
  <c r="G76"/>
  <c r="F76"/>
  <c r="E76"/>
  <c r="D76"/>
  <c r="C76"/>
  <c r="M75"/>
  <c r="L75"/>
  <c r="J75"/>
  <c r="H75"/>
  <c r="G75"/>
  <c r="F75"/>
  <c r="E75"/>
  <c r="D75"/>
  <c r="C75"/>
  <c r="M74"/>
  <c r="L74"/>
  <c r="J74"/>
  <c r="H74"/>
  <c r="G74"/>
  <c r="F74"/>
  <c r="E74"/>
  <c r="D74"/>
  <c r="C74"/>
  <c r="M73"/>
  <c r="L73"/>
  <c r="J73"/>
  <c r="H73"/>
  <c r="G73"/>
  <c r="F73"/>
  <c r="E73"/>
  <c r="D73"/>
  <c r="C73"/>
  <c r="M72"/>
  <c r="L72"/>
  <c r="K72"/>
  <c r="J72"/>
  <c r="H72"/>
  <c r="G72"/>
  <c r="F72"/>
  <c r="E72"/>
  <c r="D72"/>
  <c r="C72"/>
  <c r="M71"/>
  <c r="L71"/>
  <c r="J71"/>
  <c r="H71"/>
  <c r="G71"/>
  <c r="F71"/>
  <c r="E71"/>
  <c r="D71"/>
  <c r="C71"/>
  <c r="M70"/>
  <c r="L70"/>
  <c r="J70"/>
  <c r="H70"/>
  <c r="G70"/>
  <c r="F70"/>
  <c r="E70"/>
  <c r="D70"/>
  <c r="C70"/>
  <c r="M69"/>
  <c r="L69"/>
  <c r="J69"/>
  <c r="H69"/>
  <c r="G69"/>
  <c r="F69"/>
  <c r="E69"/>
  <c r="D69"/>
  <c r="C69"/>
  <c r="M68"/>
  <c r="L68"/>
  <c r="J68"/>
  <c r="H68"/>
  <c r="G68"/>
  <c r="F68"/>
  <c r="E68"/>
  <c r="D68"/>
  <c r="C68"/>
  <c r="M67"/>
  <c r="L67"/>
  <c r="K67"/>
  <c r="J67"/>
  <c r="H67"/>
  <c r="G67"/>
  <c r="F67"/>
  <c r="E67"/>
  <c r="D67"/>
  <c r="C67"/>
  <c r="M66"/>
  <c r="L66"/>
  <c r="J66"/>
  <c r="H66"/>
  <c r="G66"/>
  <c r="F66"/>
  <c r="E66"/>
  <c r="D66"/>
  <c r="C66"/>
  <c r="M65"/>
  <c r="L65"/>
  <c r="J65"/>
  <c r="H65"/>
  <c r="G65"/>
  <c r="F65"/>
  <c r="E65"/>
  <c r="D65"/>
  <c r="C65"/>
  <c r="M64"/>
  <c r="L64"/>
  <c r="J64"/>
  <c r="H64"/>
  <c r="G64"/>
  <c r="F64"/>
  <c r="E64"/>
  <c r="D64"/>
  <c r="C64"/>
  <c r="M63"/>
  <c r="L63"/>
  <c r="J63"/>
  <c r="H63"/>
  <c r="G63"/>
  <c r="F63"/>
  <c r="E63"/>
  <c r="D63"/>
  <c r="C63"/>
  <c r="M62"/>
  <c r="L62"/>
  <c r="K62"/>
  <c r="J62"/>
  <c r="H62"/>
  <c r="G62"/>
  <c r="F62"/>
  <c r="E62"/>
  <c r="D62"/>
  <c r="C62"/>
  <c r="M61"/>
  <c r="L61"/>
  <c r="J61"/>
  <c r="H61"/>
  <c r="G61"/>
  <c r="F61"/>
  <c r="E61"/>
  <c r="D61"/>
  <c r="C61"/>
  <c r="M60"/>
  <c r="J60"/>
  <c r="H60"/>
  <c r="G60"/>
  <c r="F60"/>
  <c r="E60"/>
  <c r="D60"/>
  <c r="C60"/>
  <c r="M59"/>
  <c r="J59"/>
  <c r="H59"/>
  <c r="G59"/>
  <c r="F59"/>
  <c r="E59"/>
  <c r="D59"/>
  <c r="C59"/>
  <c r="M58"/>
  <c r="J58"/>
  <c r="H58"/>
  <c r="G58"/>
  <c r="F58"/>
  <c r="E58"/>
  <c r="D58"/>
  <c r="C58"/>
  <c r="M57"/>
  <c r="K57"/>
  <c r="J57"/>
  <c r="H57"/>
  <c r="G57"/>
  <c r="F57"/>
  <c r="E57"/>
  <c r="D57"/>
  <c r="C57"/>
  <c r="M56"/>
  <c r="J56"/>
  <c r="H56"/>
  <c r="G56"/>
  <c r="F56"/>
  <c r="E56"/>
  <c r="D56"/>
  <c r="C56"/>
  <c r="M55"/>
  <c r="K55"/>
  <c r="J55"/>
  <c r="H55"/>
  <c r="G55"/>
  <c r="F55"/>
  <c r="E55"/>
  <c r="D55"/>
  <c r="C55"/>
  <c r="M54"/>
  <c r="J54"/>
  <c r="H54"/>
  <c r="G54"/>
  <c r="F54"/>
  <c r="E54"/>
  <c r="D54"/>
  <c r="C54"/>
  <c r="M53"/>
  <c r="J53"/>
  <c r="H53"/>
  <c r="G53"/>
  <c r="F53"/>
  <c r="E53"/>
  <c r="D53"/>
  <c r="C53"/>
  <c r="M52"/>
  <c r="K52"/>
  <c r="J52"/>
  <c r="H52"/>
  <c r="G52"/>
  <c r="F52"/>
  <c r="E52"/>
  <c r="D52"/>
  <c r="C52"/>
  <c r="M51"/>
  <c r="J51"/>
  <c r="H51"/>
  <c r="G51"/>
  <c r="F51"/>
  <c r="E51"/>
  <c r="D51"/>
  <c r="C51"/>
  <c r="M50"/>
  <c r="J50"/>
  <c r="H50"/>
  <c r="G50"/>
  <c r="F50"/>
  <c r="E50"/>
  <c r="D50"/>
  <c r="C50"/>
  <c r="M49"/>
  <c r="K49"/>
  <c r="J49"/>
  <c r="H49"/>
  <c r="G49"/>
  <c r="F49"/>
  <c r="E49"/>
  <c r="D49"/>
  <c r="C49"/>
  <c r="M48"/>
  <c r="J48"/>
  <c r="H48"/>
  <c r="G48"/>
  <c r="F48"/>
  <c r="E48"/>
  <c r="D48"/>
  <c r="C48"/>
  <c r="J47"/>
  <c r="H47"/>
  <c r="G47"/>
  <c r="F47"/>
  <c r="E47"/>
  <c r="D47"/>
  <c r="C47"/>
  <c r="J46"/>
  <c r="H46"/>
  <c r="G46"/>
  <c r="F46"/>
  <c r="E46"/>
  <c r="D46"/>
  <c r="C46"/>
  <c r="M45"/>
  <c r="K45"/>
  <c r="J45"/>
  <c r="H45"/>
  <c r="G45"/>
  <c r="F45"/>
  <c r="E45"/>
  <c r="D45"/>
  <c r="C45"/>
  <c r="M44"/>
  <c r="J44"/>
  <c r="H44"/>
  <c r="G44"/>
  <c r="F44"/>
  <c r="E44"/>
  <c r="D44"/>
  <c r="C44"/>
  <c r="M43"/>
  <c r="J43"/>
  <c r="H43"/>
  <c r="G43"/>
  <c r="F43"/>
  <c r="E43"/>
  <c r="D43"/>
  <c r="C43"/>
  <c r="M42"/>
  <c r="J42"/>
  <c r="H42"/>
  <c r="G42"/>
  <c r="F42"/>
  <c r="E42"/>
  <c r="D42"/>
  <c r="C42"/>
  <c r="M41"/>
  <c r="J41"/>
  <c r="H41"/>
  <c r="G41"/>
  <c r="F41"/>
  <c r="E41"/>
  <c r="D41"/>
  <c r="C41"/>
  <c r="M40"/>
  <c r="K40"/>
  <c r="J40"/>
  <c r="H40"/>
  <c r="G40"/>
  <c r="F40"/>
  <c r="E40"/>
  <c r="D40"/>
  <c r="C40"/>
  <c r="M39"/>
  <c r="J39"/>
  <c r="H39"/>
  <c r="G39"/>
  <c r="F39"/>
  <c r="E39"/>
  <c r="D39"/>
  <c r="C39"/>
  <c r="M38"/>
  <c r="J38"/>
  <c r="H38"/>
  <c r="G38"/>
  <c r="F38"/>
  <c r="E38"/>
  <c r="D38"/>
  <c r="C38"/>
  <c r="M37"/>
  <c r="J37"/>
  <c r="H37"/>
  <c r="G37"/>
  <c r="F37"/>
  <c r="E37"/>
  <c r="D37"/>
  <c r="C37"/>
  <c r="M36"/>
  <c r="J36"/>
  <c r="H36"/>
  <c r="G36"/>
  <c r="F36"/>
  <c r="E36"/>
  <c r="D36"/>
  <c r="C36"/>
  <c r="M35"/>
  <c r="J35"/>
  <c r="H35"/>
  <c r="G35"/>
  <c r="F35"/>
  <c r="E35"/>
  <c r="D35"/>
  <c r="C35"/>
  <c r="M34"/>
  <c r="J34"/>
  <c r="H34"/>
  <c r="G34"/>
  <c r="F34"/>
  <c r="E34"/>
  <c r="D34"/>
  <c r="C34"/>
  <c r="M33"/>
  <c r="J33"/>
  <c r="H33"/>
  <c r="G33"/>
  <c r="F33"/>
  <c r="E33"/>
  <c r="D33"/>
  <c r="C33"/>
  <c r="M32"/>
  <c r="J32"/>
  <c r="H32"/>
  <c r="G32"/>
  <c r="F32"/>
  <c r="E32"/>
  <c r="D32"/>
  <c r="C32"/>
  <c r="M31"/>
  <c r="J31"/>
  <c r="H31"/>
  <c r="G31"/>
  <c r="F31"/>
  <c r="E31"/>
  <c r="D31"/>
  <c r="C31"/>
  <c r="M30"/>
  <c r="J30"/>
  <c r="H30"/>
  <c r="G30"/>
  <c r="F30"/>
  <c r="E30"/>
  <c r="D30"/>
  <c r="C30"/>
  <c r="M29"/>
  <c r="J29"/>
  <c r="H29"/>
  <c r="G29"/>
  <c r="F29"/>
  <c r="E29"/>
  <c r="D29"/>
  <c r="C29"/>
  <c r="M28"/>
  <c r="J28"/>
  <c r="H28"/>
  <c r="G28"/>
  <c r="F28"/>
  <c r="E28"/>
  <c r="D28"/>
  <c r="C28"/>
  <c r="M27"/>
  <c r="J27"/>
  <c r="H27"/>
  <c r="G27"/>
  <c r="F27"/>
  <c r="E27"/>
  <c r="D27"/>
  <c r="C27"/>
  <c r="M26"/>
  <c r="J26"/>
  <c r="H26"/>
  <c r="G26"/>
  <c r="F26"/>
  <c r="E26"/>
  <c r="D26"/>
  <c r="C26"/>
  <c r="M25"/>
  <c r="J25"/>
  <c r="H25"/>
  <c r="G25"/>
  <c r="F25"/>
  <c r="E25"/>
  <c r="D25"/>
  <c r="C25"/>
  <c r="M24"/>
  <c r="J24"/>
  <c r="H24"/>
  <c r="G24"/>
  <c r="F24"/>
  <c r="E24"/>
  <c r="D24"/>
  <c r="C24"/>
  <c r="M23"/>
  <c r="J23"/>
  <c r="H23"/>
  <c r="G23"/>
  <c r="F23"/>
  <c r="E23"/>
  <c r="D23"/>
  <c r="C23"/>
  <c r="M22"/>
  <c r="J22"/>
  <c r="H22"/>
  <c r="G22"/>
  <c r="F22"/>
  <c r="E22"/>
  <c r="D22"/>
  <c r="C22"/>
  <c r="M21"/>
  <c r="J21"/>
  <c r="H21"/>
  <c r="G21"/>
  <c r="F21"/>
  <c r="E21"/>
  <c r="D21"/>
  <c r="C21"/>
  <c r="M20"/>
  <c r="J20"/>
  <c r="H20"/>
  <c r="G20"/>
  <c r="F20"/>
  <c r="E20"/>
  <c r="D20"/>
  <c r="C20"/>
  <c r="M19"/>
  <c r="J19"/>
  <c r="H19"/>
  <c r="G19"/>
  <c r="F19"/>
  <c r="E19"/>
  <c r="D19"/>
  <c r="C19"/>
  <c r="M18"/>
  <c r="J18"/>
  <c r="H18"/>
  <c r="G18"/>
  <c r="F18"/>
  <c r="E18"/>
  <c r="D18"/>
  <c r="C18"/>
  <c r="M17"/>
  <c r="J17"/>
  <c r="H17"/>
  <c r="G17"/>
  <c r="F17"/>
  <c r="E17"/>
  <c r="D17"/>
  <c r="C17"/>
  <c r="M16"/>
  <c r="J16"/>
  <c r="H16"/>
  <c r="G16"/>
  <c r="F16"/>
  <c r="E16"/>
  <c r="D16"/>
  <c r="C16"/>
  <c r="M15"/>
  <c r="J15"/>
  <c r="H15"/>
  <c r="G15"/>
  <c r="F15"/>
  <c r="E15"/>
  <c r="D15"/>
  <c r="C15"/>
  <c r="M14"/>
  <c r="J14"/>
  <c r="H14"/>
  <c r="G14"/>
  <c r="F14"/>
  <c r="E14"/>
  <c r="D14"/>
  <c r="C14"/>
  <c r="M13"/>
  <c r="J13"/>
  <c r="H13"/>
  <c r="G13"/>
  <c r="F13"/>
  <c r="E13"/>
  <c r="D13"/>
  <c r="C13"/>
  <c r="M12"/>
  <c r="J12"/>
  <c r="H12"/>
  <c r="G12"/>
  <c r="F12"/>
  <c r="E12"/>
  <c r="D12"/>
  <c r="C12"/>
  <c r="M11"/>
  <c r="J11"/>
  <c r="H11"/>
  <c r="G11"/>
  <c r="F11"/>
  <c r="E11"/>
  <c r="D11"/>
  <c r="C11"/>
  <c r="M10"/>
  <c r="J10"/>
  <c r="H10"/>
  <c r="G10"/>
  <c r="F10"/>
  <c r="E10"/>
  <c r="D10"/>
  <c r="C10"/>
  <c r="M9"/>
  <c r="J9"/>
  <c r="H9"/>
  <c r="G9"/>
  <c r="F9"/>
  <c r="E9"/>
  <c r="D9"/>
  <c r="C9"/>
  <c r="M8"/>
  <c r="J8"/>
  <c r="H8"/>
  <c r="G8"/>
  <c r="F8"/>
  <c r="E8"/>
  <c r="D8"/>
  <c r="C8"/>
  <c r="M7"/>
  <c r="J7"/>
  <c r="H7"/>
  <c r="G7"/>
  <c r="F7"/>
  <c r="E7"/>
  <c r="D7"/>
  <c r="C7"/>
  <c r="M6"/>
  <c r="J6"/>
  <c r="H6"/>
  <c r="G6"/>
  <c r="F6"/>
  <c r="E6"/>
  <c r="D6"/>
  <c r="C6"/>
  <c r="M5"/>
  <c r="J5"/>
  <c r="H5"/>
  <c r="G5"/>
  <c r="F5"/>
  <c r="E5"/>
  <c r="D5"/>
  <c r="C5"/>
  <c r="M4"/>
  <c r="J4"/>
  <c r="H4"/>
  <c r="G4"/>
  <c r="F4"/>
  <c r="E4"/>
  <c r="D4"/>
  <c r="C4"/>
  <c r="M3"/>
  <c r="J3"/>
  <c r="H3"/>
  <c r="G3"/>
  <c r="F3"/>
  <c r="E3"/>
  <c r="D3"/>
  <c r="C3"/>
  <c r="AF152" i="7"/>
  <c r="AE152"/>
  <c r="AD152"/>
  <c r="AC152"/>
  <c r="AB152"/>
  <c r="AA152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I152"/>
  <c r="H152"/>
  <c r="G152"/>
  <c r="F152"/>
  <c r="E152"/>
  <c r="D152"/>
  <c r="C152"/>
  <c r="B152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D151"/>
  <c r="C151"/>
  <c r="B151"/>
  <c r="AF150"/>
  <c r="AE150"/>
  <c r="AD150"/>
  <c r="AC150"/>
  <c r="AB150"/>
  <c r="AA150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AF149"/>
  <c r="AE149"/>
  <c r="AD149"/>
  <c r="AC149"/>
  <c r="AB149"/>
  <c r="AA149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AF148"/>
  <c r="AE148"/>
  <c r="AD148"/>
  <c r="AC148"/>
  <c r="AB148"/>
  <c r="AA148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AF146"/>
  <c r="AE146"/>
  <c r="AD146"/>
  <c r="AC146"/>
  <c r="AB146"/>
  <c r="AA14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AF145"/>
  <c r="AE145"/>
  <c r="AD145"/>
  <c r="AC145"/>
  <c r="AB145"/>
  <c r="AA145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AF144"/>
  <c r="AE144"/>
  <c r="AD144"/>
  <c r="AC144"/>
  <c r="AB144"/>
  <c r="AA144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AF143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AF142"/>
  <c r="AE142"/>
  <c r="AD142"/>
  <c r="AC142"/>
  <c r="AB142"/>
  <c r="AA142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AF141"/>
  <c r="AE141"/>
  <c r="AD141"/>
  <c r="AC141"/>
  <c r="AB141"/>
  <c r="AA141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AF140"/>
  <c r="AE140"/>
  <c r="AD140"/>
  <c r="AC140"/>
  <c r="AB140"/>
  <c r="AA140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AF138"/>
  <c r="AE138"/>
  <c r="AD138"/>
  <c r="AC138"/>
  <c r="AB138"/>
  <c r="AA138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AF137"/>
  <c r="AE137"/>
  <c r="AD137"/>
  <c r="AC137"/>
  <c r="AB137"/>
  <c r="AA137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AF136"/>
  <c r="AE136"/>
  <c r="AD136"/>
  <c r="AC136"/>
  <c r="AB136"/>
  <c r="AA13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AF135"/>
  <c r="AE135"/>
  <c r="AD135"/>
  <c r="AC135"/>
  <c r="AB135"/>
  <c r="AA135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AF134"/>
  <c r="AE134"/>
  <c r="AD134"/>
  <c r="AC134"/>
  <c r="AB134"/>
  <c r="AA134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F132"/>
  <c r="AE132"/>
  <c r="AD132"/>
  <c r="AC132"/>
  <c r="AB132"/>
  <c r="AA132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AF131"/>
  <c r="AE131"/>
  <c r="AD131"/>
  <c r="AC131"/>
  <c r="AB131"/>
  <c r="AA131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AF130"/>
  <c r="AE130"/>
  <c r="AD130"/>
  <c r="AC130"/>
  <c r="AB130"/>
  <c r="AA130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AF129"/>
  <c r="AE129"/>
  <c r="AD129"/>
  <c r="AC129"/>
  <c r="AB129"/>
  <c r="AA129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AF128"/>
  <c r="AE128"/>
  <c r="AD128"/>
  <c r="AC128"/>
  <c r="AB128"/>
  <c r="AA128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AF127"/>
  <c r="AE127"/>
  <c r="AD127"/>
  <c r="AC127"/>
  <c r="AB127"/>
  <c r="AA127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AF126"/>
  <c r="AE126"/>
  <c r="AD126"/>
  <c r="AC126"/>
  <c r="AB126"/>
  <c r="AA1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AF125"/>
  <c r="AE125"/>
  <c r="AD125"/>
  <c r="AC125"/>
  <c r="AB125"/>
  <c r="AA125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AF124"/>
  <c r="AE124"/>
  <c r="AD124"/>
  <c r="AC124"/>
  <c r="AB124"/>
  <c r="AA124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AF123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F122"/>
  <c r="AE122"/>
  <c r="AD122"/>
  <c r="AC122"/>
  <c r="AB122"/>
  <c r="AA122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AF121"/>
  <c r="AE121"/>
  <c r="AD121"/>
  <c r="AC121"/>
  <c r="AB121"/>
  <c r="AA121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AF120"/>
  <c r="AE120"/>
  <c r="AD120"/>
  <c r="AC120"/>
  <c r="AB120"/>
  <c r="AA120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AF119"/>
  <c r="AE119"/>
  <c r="AD119"/>
  <c r="AC119"/>
  <c r="AB119"/>
  <c r="AA119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AF118"/>
  <c r="AE118"/>
  <c r="AD118"/>
  <c r="AC118"/>
  <c r="AB118"/>
  <c r="AA118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AF117"/>
  <c r="AE117"/>
  <c r="AD117"/>
  <c r="AC117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AF116"/>
  <c r="AE116"/>
  <c r="AD116"/>
  <c r="AC116"/>
  <c r="AB116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AF115"/>
  <c r="AE115"/>
  <c r="AD115"/>
  <c r="AC115"/>
  <c r="AB115"/>
  <c r="AA115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AF114"/>
  <c r="AE114"/>
  <c r="AD114"/>
  <c r="AC114"/>
  <c r="AB114"/>
  <c r="AA114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AF112"/>
  <c r="AE112"/>
  <c r="AD112"/>
  <c r="AC112"/>
  <c r="AB112"/>
  <c r="AA112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AF111"/>
  <c r="AE111"/>
  <c r="AD111"/>
  <c r="AC111"/>
  <c r="AB111"/>
  <c r="AA111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AF110"/>
  <c r="AE110"/>
  <c r="AD110"/>
  <c r="AC110"/>
  <c r="AB110"/>
  <c r="AA110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AF109"/>
  <c r="AE109"/>
  <c r="AD109"/>
  <c r="AC109"/>
  <c r="AB109"/>
  <c r="AA109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AF108"/>
  <c r="AE108"/>
  <c r="AD108"/>
  <c r="AC108"/>
  <c r="AB108"/>
  <c r="AA108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AF107"/>
  <c r="AE107"/>
  <c r="AD107"/>
  <c r="AC107"/>
  <c r="AB107"/>
  <c r="AA107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AF106"/>
  <c r="AE106"/>
  <c r="AD106"/>
  <c r="AC106"/>
  <c r="AB106"/>
  <c r="AA10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AF105"/>
  <c r="AE105"/>
  <c r="AD105"/>
  <c r="AC105"/>
  <c r="AB105"/>
  <c r="AA105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AF104"/>
  <c r="AE104"/>
  <c r="AD104"/>
  <c r="AC104"/>
  <c r="AB104"/>
  <c r="AA104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AF103"/>
  <c r="AE103"/>
  <c r="AD103"/>
  <c r="AC103"/>
  <c r="AB103"/>
  <c r="AA103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AF102"/>
  <c r="AE102"/>
  <c r="AD102"/>
  <c r="AC102"/>
  <c r="AB102"/>
  <c r="AA102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AF101"/>
  <c r="AE101"/>
  <c r="AD101"/>
  <c r="AC101"/>
  <c r="AB101"/>
  <c r="AA101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AF100"/>
  <c r="AE100"/>
  <c r="AD100"/>
  <c r="AC100"/>
  <c r="AB100"/>
  <c r="AA100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AF99"/>
  <c r="AE99"/>
  <c r="AD99"/>
  <c r="AC99"/>
  <c r="AB99"/>
  <c r="AA99"/>
  <c r="Z99"/>
  <c r="Y99"/>
  <c r="X99"/>
  <c r="W99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AF98"/>
  <c r="AE98"/>
  <c r="AD98"/>
  <c r="AC98"/>
  <c r="AB98"/>
  <c r="AA98"/>
  <c r="Z98"/>
  <c r="Y98"/>
  <c r="X98"/>
  <c r="W98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AF97"/>
  <c r="AE97"/>
  <c r="AD97"/>
  <c r="AC97"/>
  <c r="AB97"/>
  <c r="AA97"/>
  <c r="Z97"/>
  <c r="Y97"/>
  <c r="X97"/>
  <c r="W97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AF96"/>
  <c r="AE96"/>
  <c r="AD96"/>
  <c r="AC96"/>
  <c r="AB96"/>
  <c r="AA96"/>
  <c r="Z96"/>
  <c r="Y96"/>
  <c r="X96"/>
  <c r="W96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AF95"/>
  <c r="AE95"/>
  <c r="AD95"/>
  <c r="AC95"/>
  <c r="AB95"/>
  <c r="AA95"/>
  <c r="Z95"/>
  <c r="Y95"/>
  <c r="X95"/>
  <c r="W95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AF94"/>
  <c r="AE94"/>
  <c r="AD94"/>
  <c r="AC94"/>
  <c r="AB94"/>
  <c r="AA94"/>
  <c r="Z94"/>
  <c r="Y94"/>
  <c r="X94"/>
  <c r="W94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AF93"/>
  <c r="AE93"/>
  <c r="AD93"/>
  <c r="AC93"/>
  <c r="AB93"/>
  <c r="AA93"/>
  <c r="Z93"/>
  <c r="Y93"/>
  <c r="X93"/>
  <c r="W93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AF92"/>
  <c r="AE92"/>
  <c r="AD92"/>
  <c r="AC92"/>
  <c r="AB92"/>
  <c r="AA92"/>
  <c r="Z92"/>
  <c r="Y92"/>
  <c r="X92"/>
  <c r="W92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AF91"/>
  <c r="AE91"/>
  <c r="AD91"/>
  <c r="AC91"/>
  <c r="AB91"/>
  <c r="AA91"/>
  <c r="Z91"/>
  <c r="Y91"/>
  <c r="X91"/>
  <c r="W91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AF90"/>
  <c r="AE90"/>
  <c r="AD90"/>
  <c r="AC90"/>
  <c r="AB90"/>
  <c r="AA90"/>
  <c r="Z90"/>
  <c r="Y90"/>
  <c r="X90"/>
  <c r="W90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AF89"/>
  <c r="AE89"/>
  <c r="AD89"/>
  <c r="AC89"/>
  <c r="AB89"/>
  <c r="AA89"/>
  <c r="Z89"/>
  <c r="Y89"/>
  <c r="X89"/>
  <c r="W89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AF88"/>
  <c r="AE88"/>
  <c r="AD88"/>
  <c r="AC88"/>
  <c r="AB88"/>
  <c r="AA88"/>
  <c r="Z88"/>
  <c r="Y88"/>
  <c r="X88"/>
  <c r="W88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AF87"/>
  <c r="AE87"/>
  <c r="AD87"/>
  <c r="AC87"/>
  <c r="AB87"/>
  <c r="AA87"/>
  <c r="Z87"/>
  <c r="Y87"/>
  <c r="X87"/>
  <c r="W87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AF86"/>
  <c r="AE86"/>
  <c r="AD86"/>
  <c r="AC86"/>
  <c r="AB86"/>
  <c r="AA86"/>
  <c r="Z86"/>
  <c r="Y86"/>
  <c r="X86"/>
  <c r="W86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AF85"/>
  <c r="AE85"/>
  <c r="AD85"/>
  <c r="AC85"/>
  <c r="AB85"/>
  <c r="AA85"/>
  <c r="Z85"/>
  <c r="Y85"/>
  <c r="X85"/>
  <c r="W85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AF84"/>
  <c r="AE84"/>
  <c r="AD84"/>
  <c r="AC84"/>
  <c r="AB84"/>
  <c r="AA84"/>
  <c r="Z84"/>
  <c r="Y84"/>
  <c r="X84"/>
  <c r="W84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AF83"/>
  <c r="AE83"/>
  <c r="AD83"/>
  <c r="AC83"/>
  <c r="AB83"/>
  <c r="AA83"/>
  <c r="Z83"/>
  <c r="Y83"/>
  <c r="X83"/>
  <c r="W83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AF82"/>
  <c r="AE82"/>
  <c r="AD82"/>
  <c r="AC82"/>
  <c r="AB82"/>
  <c r="AA82"/>
  <c r="Z82"/>
  <c r="Y82"/>
  <c r="X82"/>
  <c r="W82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AF81"/>
  <c r="AE81"/>
  <c r="AD81"/>
  <c r="AC81"/>
  <c r="AB81"/>
  <c r="AA81"/>
  <c r="Z81"/>
  <c r="Y81"/>
  <c r="X81"/>
  <c r="W81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AF80"/>
  <c r="AE80"/>
  <c r="AD80"/>
  <c r="AC80"/>
  <c r="AB80"/>
  <c r="AA80"/>
  <c r="Z80"/>
  <c r="Y80"/>
  <c r="X80"/>
  <c r="W80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AF79"/>
  <c r="AE79"/>
  <c r="AD79"/>
  <c r="AC79"/>
  <c r="AB79"/>
  <c r="AA79"/>
  <c r="Z79"/>
  <c r="Y79"/>
  <c r="X79"/>
  <c r="W79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AF78"/>
  <c r="AE78"/>
  <c r="AD78"/>
  <c r="AC78"/>
  <c r="AB78"/>
  <c r="AA78"/>
  <c r="Z78"/>
  <c r="Y78"/>
  <c r="X78"/>
  <c r="W78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AF77"/>
  <c r="AE77"/>
  <c r="AD77"/>
  <c r="AC77"/>
  <c r="AB77"/>
  <c r="AA77"/>
  <c r="Z77"/>
  <c r="Y77"/>
  <c r="X77"/>
  <c r="W77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AF76"/>
  <c r="AE76"/>
  <c r="AD76"/>
  <c r="AC76"/>
  <c r="AB76"/>
  <c r="AA76"/>
  <c r="Z76"/>
  <c r="Y76"/>
  <c r="X76"/>
  <c r="W76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AF75"/>
  <c r="AE75"/>
  <c r="AD75"/>
  <c r="AC75"/>
  <c r="AB75"/>
  <c r="AA75"/>
  <c r="Z75"/>
  <c r="Y75"/>
  <c r="X75"/>
  <c r="W75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AF74"/>
  <c r="AE74"/>
  <c r="AD74"/>
  <c r="AC74"/>
  <c r="AB74"/>
  <c r="AA74"/>
  <c r="Z74"/>
  <c r="Y74"/>
  <c r="X74"/>
  <c r="W74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AF73"/>
  <c r="AE73"/>
  <c r="AD73"/>
  <c r="AC73"/>
  <c r="AB73"/>
  <c r="AA73"/>
  <c r="Z73"/>
  <c r="Y73"/>
  <c r="X73"/>
  <c r="W73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AF72"/>
  <c r="AE72"/>
  <c r="AD72"/>
  <c r="AC72"/>
  <c r="AB72"/>
  <c r="AA72"/>
  <c r="Z72"/>
  <c r="Y72"/>
  <c r="X72"/>
  <c r="W72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AF71"/>
  <c r="AE71"/>
  <c r="AD71"/>
  <c r="AC71"/>
  <c r="AB71"/>
  <c r="AA71"/>
  <c r="Z71"/>
  <c r="Y71"/>
  <c r="X71"/>
  <c r="W71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AF70"/>
  <c r="AE70"/>
  <c r="AD70"/>
  <c r="AC70"/>
  <c r="AB70"/>
  <c r="AA70"/>
  <c r="Z70"/>
  <c r="Y70"/>
  <c r="X70"/>
  <c r="W70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AF69"/>
  <c r="AE69"/>
  <c r="AD69"/>
  <c r="AC69"/>
  <c r="AB69"/>
  <c r="AA69"/>
  <c r="Z69"/>
  <c r="Y69"/>
  <c r="X69"/>
  <c r="W69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AF68"/>
  <c r="AE68"/>
  <c r="AD68"/>
  <c r="AC68"/>
  <c r="AB68"/>
  <c r="AA68"/>
  <c r="Z68"/>
  <c r="Y68"/>
  <c r="X68"/>
  <c r="W68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AF67"/>
  <c r="AE67"/>
  <c r="AD67"/>
  <c r="AC67"/>
  <c r="AB67"/>
  <c r="AA67"/>
  <c r="Z67"/>
  <c r="Y67"/>
  <c r="X67"/>
  <c r="W67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AF66"/>
  <c r="AE66"/>
  <c r="AD66"/>
  <c r="AC66"/>
  <c r="AB66"/>
  <c r="AA66"/>
  <c r="Z66"/>
  <c r="Y66"/>
  <c r="X66"/>
  <c r="W66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AF65"/>
  <c r="AE65"/>
  <c r="AD65"/>
  <c r="AC65"/>
  <c r="AB65"/>
  <c r="AA65"/>
  <c r="Z65"/>
  <c r="Y65"/>
  <c r="X65"/>
  <c r="W65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AF64"/>
  <c r="AE64"/>
  <c r="AD64"/>
  <c r="AC64"/>
  <c r="AB64"/>
  <c r="AA64"/>
  <c r="Z64"/>
  <c r="Y64"/>
  <c r="X64"/>
  <c r="W64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AF63"/>
  <c r="AE63"/>
  <c r="AD63"/>
  <c r="AC63"/>
  <c r="AB63"/>
  <c r="AA63"/>
  <c r="Z63"/>
  <c r="Y63"/>
  <c r="X63"/>
  <c r="W63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AF62"/>
  <c r="AE62"/>
  <c r="AD62"/>
  <c r="AC62"/>
  <c r="AB62"/>
  <c r="AA62"/>
  <c r="Z62"/>
  <c r="Y62"/>
  <c r="X62"/>
  <c r="W62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AF61"/>
  <c r="AE61"/>
  <c r="AD61"/>
  <c r="AC61"/>
  <c r="AB61"/>
  <c r="AA61"/>
  <c r="Z61"/>
  <c r="Y61"/>
  <c r="X61"/>
  <c r="W61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AF59"/>
  <c r="AE59"/>
  <c r="AD59"/>
  <c r="AC59"/>
  <c r="AB59"/>
  <c r="AA59"/>
  <c r="Z59"/>
  <c r="Y59"/>
  <c r="X59"/>
  <c r="W59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AF58"/>
  <c r="AE58"/>
  <c r="AD58"/>
  <c r="AC58"/>
  <c r="AB58"/>
  <c r="AA58"/>
  <c r="Z58"/>
  <c r="Y58"/>
  <c r="X58"/>
  <c r="W58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AF57"/>
  <c r="AE57"/>
  <c r="AD57"/>
  <c r="AC57"/>
  <c r="AB57"/>
  <c r="AA57"/>
  <c r="Z57"/>
  <c r="Y57"/>
  <c r="X57"/>
  <c r="W57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AF56"/>
  <c r="AE56"/>
  <c r="AD56"/>
  <c r="AC56"/>
  <c r="AB56"/>
  <c r="AA56"/>
  <c r="Z56"/>
  <c r="Y56"/>
  <c r="X56"/>
  <c r="W56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AF55"/>
  <c r="AE55"/>
  <c r="AD55"/>
  <c r="AC55"/>
  <c r="AB55"/>
  <c r="AA55"/>
  <c r="Z55"/>
  <c r="Y55"/>
  <c r="X55"/>
  <c r="W55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AF54"/>
  <c r="AE54"/>
  <c r="AD54"/>
  <c r="AC54"/>
  <c r="AB54"/>
  <c r="AA54"/>
  <c r="Z54"/>
  <c r="Y54"/>
  <c r="X54"/>
  <c r="W54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AF53"/>
  <c r="AE53"/>
  <c r="AD53"/>
  <c r="AC53"/>
  <c r="AB53"/>
  <c r="AA53"/>
  <c r="Z53"/>
  <c r="Y53"/>
  <c r="X53"/>
  <c r="W53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AF52"/>
  <c r="AE52"/>
  <c r="AD52"/>
  <c r="AC52"/>
  <c r="AB52"/>
  <c r="AA52"/>
  <c r="Z52"/>
  <c r="Y52"/>
  <c r="X52"/>
  <c r="W52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AF51"/>
  <c r="AE51"/>
  <c r="AD51"/>
  <c r="AC51"/>
  <c r="AB51"/>
  <c r="AA51"/>
  <c r="Z51"/>
  <c r="Y51"/>
  <c r="X51"/>
  <c r="W51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AF50"/>
  <c r="AE50"/>
  <c r="AD50"/>
  <c r="AC50"/>
  <c r="AB50"/>
  <c r="AA50"/>
  <c r="Z50"/>
  <c r="Y50"/>
  <c r="X50"/>
  <c r="W50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AF49"/>
  <c r="AE49"/>
  <c r="AD49"/>
  <c r="AC49"/>
  <c r="AB49"/>
  <c r="AA49"/>
  <c r="Z49"/>
  <c r="Y49"/>
  <c r="X49"/>
  <c r="W49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AF48"/>
  <c r="AE48"/>
  <c r="AD48"/>
  <c r="AC48"/>
  <c r="AB48"/>
  <c r="AA48"/>
  <c r="Z48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AF47"/>
  <c r="AE47"/>
  <c r="AD47"/>
  <c r="AC47"/>
  <c r="AB47"/>
  <c r="AA47"/>
  <c r="Z47"/>
  <c r="Y47"/>
  <c r="X47"/>
  <c r="W47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AF46"/>
  <c r="AE46"/>
  <c r="AD46"/>
  <c r="AC46"/>
  <c r="AB46"/>
  <c r="AA46"/>
  <c r="Z46"/>
  <c r="Y46"/>
  <c r="X46"/>
  <c r="W46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AF45"/>
  <c r="AE45"/>
  <c r="AD45"/>
  <c r="AC45"/>
  <c r="AB45"/>
  <c r="AA45"/>
  <c r="Z45"/>
  <c r="Y45"/>
  <c r="X45"/>
  <c r="W45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AF44"/>
  <c r="AE44"/>
  <c r="AD44"/>
  <c r="AC44"/>
  <c r="AB44"/>
  <c r="AA44"/>
  <c r="Z44"/>
  <c r="Y44"/>
  <c r="X44"/>
  <c r="W44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AF43"/>
  <c r="AE43"/>
  <c r="AD43"/>
  <c r="AC43"/>
  <c r="AB43"/>
  <c r="AA43"/>
  <c r="Z43"/>
  <c r="Y43"/>
  <c r="X43"/>
  <c r="W43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AF42"/>
  <c r="AE42"/>
  <c r="AD42"/>
  <c r="AC42"/>
  <c r="AB42"/>
  <c r="AA42"/>
  <c r="Z42"/>
  <c r="Y42"/>
  <c r="X42"/>
  <c r="W42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AF41"/>
  <c r="AE41"/>
  <c r="AD41"/>
  <c r="AC41"/>
  <c r="AB41"/>
  <c r="AA41"/>
  <c r="Z41"/>
  <c r="Y41"/>
  <c r="X41"/>
  <c r="W41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AF40"/>
  <c r="AE40"/>
  <c r="AD40"/>
  <c r="AC40"/>
  <c r="AB40"/>
  <c r="AA40"/>
  <c r="Z40"/>
  <c r="Y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F39"/>
  <c r="AE39"/>
  <c r="AD39"/>
  <c r="AC39"/>
  <c r="AB39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AF38"/>
  <c r="AE38"/>
  <c r="AD38"/>
  <c r="AC38"/>
  <c r="AB38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AF37"/>
  <c r="AE37"/>
  <c r="AD37"/>
  <c r="AC37"/>
  <c r="AB37"/>
  <c r="AA37"/>
  <c r="Z37"/>
  <c r="Y37"/>
  <c r="X37"/>
  <c r="W37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AF36"/>
  <c r="AE36"/>
  <c r="AD36"/>
  <c r="AC36"/>
  <c r="AB36"/>
  <c r="AA36"/>
  <c r="Z36"/>
  <c r="Y36"/>
  <c r="X36"/>
  <c r="W36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AF35"/>
  <c r="AE35"/>
  <c r="AD35"/>
  <c r="AC35"/>
  <c r="AB35"/>
  <c r="AA35"/>
  <c r="Z35"/>
  <c r="Y35"/>
  <c r="X35"/>
  <c r="W35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F34"/>
  <c r="AE34"/>
  <c r="AD34"/>
  <c r="AC34"/>
  <c r="AB34"/>
  <c r="AA34"/>
  <c r="Z34"/>
  <c r="Y34"/>
  <c r="X34"/>
  <c r="W34"/>
  <c r="V34"/>
  <c r="U34"/>
  <c r="T34"/>
  <c r="S34"/>
  <c r="R34"/>
  <c r="Q34"/>
  <c r="P34"/>
  <c r="O34"/>
  <c r="N34"/>
  <c r="M34"/>
  <c r="L34"/>
  <c r="K34"/>
  <c r="J34"/>
  <c r="I34"/>
  <c r="H34"/>
  <c r="G34"/>
  <c r="F34"/>
  <c r="E34"/>
  <c r="D34"/>
  <c r="C34"/>
  <c r="B34"/>
  <c r="AF33"/>
  <c r="AE33"/>
  <c r="AD33"/>
  <c r="AC33"/>
  <c r="AB33"/>
  <c r="AA33"/>
  <c r="Z33"/>
  <c r="Y33"/>
  <c r="X33"/>
  <c r="W33"/>
  <c r="V33"/>
  <c r="U33"/>
  <c r="T33"/>
  <c r="S33"/>
  <c r="R33"/>
  <c r="Q33"/>
  <c r="P33"/>
  <c r="O33"/>
  <c r="N33"/>
  <c r="M33"/>
  <c r="L33"/>
  <c r="K33"/>
  <c r="J33"/>
  <c r="I33"/>
  <c r="H33"/>
  <c r="G33"/>
  <c r="F33"/>
  <c r="E33"/>
  <c r="D33"/>
  <c r="C33"/>
  <c r="B33"/>
  <c r="AF32"/>
  <c r="AE32"/>
  <c r="AD32"/>
  <c r="AC32"/>
  <c r="AB32"/>
  <c r="AA32"/>
  <c r="Z32"/>
  <c r="Y32"/>
  <c r="X32"/>
  <c r="W32"/>
  <c r="V32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B32"/>
  <c r="AF31"/>
  <c r="AE31"/>
  <c r="AD31"/>
  <c r="AC31"/>
  <c r="AB31"/>
  <c r="AA31"/>
  <c r="Z31"/>
  <c r="Y31"/>
  <c r="X31"/>
  <c r="W31"/>
  <c r="V31"/>
  <c r="U31"/>
  <c r="T31"/>
  <c r="S31"/>
  <c r="R31"/>
  <c r="Q31"/>
  <c r="P31"/>
  <c r="O31"/>
  <c r="N31"/>
  <c r="M31"/>
  <c r="L31"/>
  <c r="K31"/>
  <c r="J31"/>
  <c r="I31"/>
  <c r="H31"/>
  <c r="G31"/>
  <c r="F31"/>
  <c r="E31"/>
  <c r="D31"/>
  <c r="C31"/>
  <c r="B31"/>
  <c r="AF30"/>
  <c r="AE30"/>
  <c r="AD30"/>
  <c r="AC30"/>
  <c r="AB30"/>
  <c r="AA30"/>
  <c r="Z30"/>
  <c r="Y30"/>
  <c r="X30"/>
  <c r="W30"/>
  <c r="V30"/>
  <c r="U30"/>
  <c r="T30"/>
  <c r="S30"/>
  <c r="R30"/>
  <c r="Q30"/>
  <c r="P30"/>
  <c r="O30"/>
  <c r="N30"/>
  <c r="M30"/>
  <c r="L30"/>
  <c r="K30"/>
  <c r="J30"/>
  <c r="I30"/>
  <c r="H30"/>
  <c r="G30"/>
  <c r="F30"/>
  <c r="E30"/>
  <c r="D30"/>
  <c r="C30"/>
  <c r="B30"/>
  <c r="AF29"/>
  <c r="AE29"/>
  <c r="AD29"/>
  <c r="AC29"/>
  <c r="AB29"/>
  <c r="AA29"/>
  <c r="Z29"/>
  <c r="Y29"/>
  <c r="X29"/>
  <c r="W29"/>
  <c r="V29"/>
  <c r="U29"/>
  <c r="T29"/>
  <c r="S29"/>
  <c r="R29"/>
  <c r="Q29"/>
  <c r="P29"/>
  <c r="O29"/>
  <c r="N29"/>
  <c r="M29"/>
  <c r="L29"/>
  <c r="K29"/>
  <c r="J29"/>
  <c r="I29"/>
  <c r="H29"/>
  <c r="G29"/>
  <c r="F29"/>
  <c r="E29"/>
  <c r="D29"/>
  <c r="C29"/>
  <c r="B29"/>
  <c r="AF28"/>
  <c r="AE28"/>
  <c r="AD28"/>
  <c r="AC28"/>
  <c r="AB28"/>
  <c r="AA28"/>
  <c r="Z28"/>
  <c r="Y28"/>
  <c r="X28"/>
  <c r="W28"/>
  <c r="V28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B28"/>
  <c r="AF27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F3"/>
  <c r="AE3"/>
  <c r="AD3"/>
  <c r="AC3"/>
  <c r="AB3"/>
  <c r="AA3"/>
  <c r="Z3"/>
  <c r="Y3"/>
  <c r="X3"/>
  <c r="W3"/>
  <c r="V3"/>
  <c r="U3"/>
  <c r="T3"/>
  <c r="S3"/>
  <c r="R3"/>
  <c r="Q3"/>
  <c r="P3"/>
  <c r="O3"/>
  <c r="N3"/>
  <c r="M3"/>
  <c r="L3"/>
  <c r="K3"/>
  <c r="J3"/>
  <c r="I3"/>
  <c r="H3"/>
  <c r="G3"/>
  <c r="F3"/>
  <c r="E3"/>
  <c r="D3"/>
  <c r="C3"/>
  <c r="B3"/>
  <c r="Q66" i="24"/>
  <c r="Q65"/>
  <c r="Q64"/>
  <c r="Q63"/>
  <c r="Q62"/>
  <c r="Q61"/>
  <c r="Q60"/>
  <c r="Q59"/>
  <c r="Q58"/>
  <c r="Q57"/>
  <c r="R53"/>
  <c r="Q53"/>
  <c r="R52"/>
  <c r="Q52"/>
  <c r="R51"/>
  <c r="Q51"/>
  <c r="R50"/>
  <c r="Q50"/>
  <c r="R49"/>
  <c r="Q49"/>
  <c r="I34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</calcChain>
</file>

<file path=xl/sharedStrings.xml><?xml version="1.0" encoding="utf-8"?>
<sst xmlns="http://schemas.openxmlformats.org/spreadsheetml/2006/main" count="1326" uniqueCount="581">
  <si>
    <t>等级</t>
    <phoneticPr fontId="1" type="noConversion"/>
  </si>
  <si>
    <t>运镖</t>
    <phoneticPr fontId="1" type="noConversion"/>
  </si>
  <si>
    <t>节日活动</t>
    <phoneticPr fontId="1" type="noConversion"/>
  </si>
  <si>
    <t>定时活动</t>
    <phoneticPr fontId="1" type="noConversion"/>
  </si>
  <si>
    <t>角色等级</t>
    <phoneticPr fontId="1" type="noConversion"/>
  </si>
  <si>
    <t>师门任务</t>
  </si>
  <si>
    <t>宝图</t>
  </si>
  <si>
    <t>运镖</t>
  </si>
  <si>
    <t>秘境降妖</t>
  </si>
  <si>
    <t>任务链</t>
  </si>
  <si>
    <t>帮派任务</t>
  </si>
  <si>
    <t>分享</t>
  </si>
  <si>
    <t>经验道具</t>
  </si>
  <si>
    <t>抓鬼</t>
  </si>
  <si>
    <t>副本</t>
  </si>
  <si>
    <t>妖王</t>
  </si>
  <si>
    <t>门派闯关</t>
  </si>
  <si>
    <t>竞技场</t>
  </si>
  <si>
    <t>三界奇缘</t>
  </si>
  <si>
    <t>科举</t>
  </si>
  <si>
    <t>帮派强盗</t>
  </si>
  <si>
    <t>帮派采药</t>
  </si>
  <si>
    <t>等级上限</t>
    <phoneticPr fontId="1" type="noConversion"/>
  </si>
  <si>
    <t>等级下限</t>
    <phoneticPr fontId="1" type="noConversion"/>
  </si>
  <si>
    <t>经验</t>
    <phoneticPr fontId="1" type="noConversion"/>
  </si>
  <si>
    <t>银币</t>
    <phoneticPr fontId="1" type="noConversion"/>
  </si>
  <si>
    <t>金币</t>
    <phoneticPr fontId="1" type="noConversion"/>
  </si>
  <si>
    <t>野外挂机/离线经验</t>
  </si>
  <si>
    <t>宠物经验</t>
    <phoneticPr fontId="1" type="noConversion"/>
  </si>
  <si>
    <t>剧情任务</t>
    <phoneticPr fontId="1" type="noConversion"/>
  </si>
  <si>
    <t>节日积分</t>
    <phoneticPr fontId="1" type="noConversion"/>
  </si>
  <si>
    <t>职业日常</t>
  </si>
  <si>
    <t>英雄试炼</t>
  </si>
  <si>
    <t>考古</t>
  </si>
  <si>
    <t>日常活动</t>
    <phoneticPr fontId="1" type="noConversion"/>
  </si>
  <si>
    <t>限时活动</t>
    <phoneticPr fontId="1" type="noConversion"/>
  </si>
  <si>
    <t>艾泽拉斯百科竞赛</t>
  </si>
  <si>
    <t>一次性活动</t>
    <phoneticPr fontId="1" type="noConversion"/>
  </si>
  <si>
    <t>消耗类属性</t>
    <phoneticPr fontId="1" type="noConversion"/>
  </si>
  <si>
    <t>双倍点数</t>
    <phoneticPr fontId="1" type="noConversion"/>
  </si>
  <si>
    <t>双倍点数</t>
  </si>
  <si>
    <t>节日活动</t>
  </si>
  <si>
    <t>手调系数</t>
    <phoneticPr fontId="1" type="noConversion"/>
  </si>
  <si>
    <t>职业贡献</t>
  </si>
  <si>
    <t>声望值</t>
  </si>
  <si>
    <t>荣誉值</t>
  </si>
  <si>
    <t>节日积分</t>
  </si>
  <si>
    <t>冰封王座</t>
  </si>
  <si>
    <t>古神爪牙</t>
  </si>
  <si>
    <t>屠龙</t>
  </si>
  <si>
    <t>古神</t>
  </si>
  <si>
    <t>艾泽拉斯地理问答</t>
  </si>
  <si>
    <t>剧情任务经验占比</t>
    <phoneticPr fontId="1" type="noConversion"/>
  </si>
  <si>
    <t>每日循环收益</t>
    <phoneticPr fontId="1" type="noConversion"/>
  </si>
  <si>
    <t>每日循环总量</t>
    <phoneticPr fontId="1" type="noConversion"/>
  </si>
  <si>
    <t>剧情任务分段经验</t>
    <phoneticPr fontId="1" type="noConversion"/>
  </si>
  <si>
    <t>刷野战斗经验</t>
    <phoneticPr fontId="1" type="noConversion"/>
  </si>
  <si>
    <t>产出效率</t>
    <phoneticPr fontId="1" type="noConversion"/>
  </si>
  <si>
    <r>
      <t xml:space="preserve">主角升级经验              </t>
    </r>
    <r>
      <rPr>
        <b/>
        <sz val="10"/>
        <color rgb="FFFF0000"/>
        <rFont val="宋体"/>
        <family val="3"/>
        <charset val="134"/>
        <scheme val="minor"/>
      </rPr>
      <t>*暂时不算上节日活动的经验</t>
    </r>
    <phoneticPr fontId="1" type="noConversion"/>
  </si>
  <si>
    <t>定时活动每日产出权重</t>
    <phoneticPr fontId="1" type="noConversion"/>
  </si>
  <si>
    <t>日常活动每日产出权重</t>
    <phoneticPr fontId="1" type="noConversion"/>
  </si>
  <si>
    <t>节日活动每日产出权重</t>
    <phoneticPr fontId="1" type="noConversion"/>
  </si>
  <si>
    <t>主角</t>
    <phoneticPr fontId="1" type="noConversion"/>
  </si>
  <si>
    <t>等级</t>
    <phoneticPr fontId="1" type="noConversion"/>
  </si>
  <si>
    <t>Exp</t>
    <phoneticPr fontId="1" type="noConversion"/>
  </si>
  <si>
    <t>封妖</t>
    <phoneticPr fontId="1" type="noConversion"/>
  </si>
  <si>
    <t>古神爪牙</t>
    <phoneticPr fontId="1" type="noConversion"/>
  </si>
  <si>
    <t>MapLv</t>
    <phoneticPr fontId="1" type="noConversion"/>
  </si>
  <si>
    <t>环数丨等级</t>
    <phoneticPr fontId="1" type="noConversion"/>
  </si>
  <si>
    <t>帮派资金</t>
    <phoneticPr fontId="1" type="noConversion"/>
  </si>
  <si>
    <t>帮贡分红保底</t>
    <phoneticPr fontId="1" type="noConversion"/>
  </si>
  <si>
    <t>每环平均得到的贡献资金</t>
    <phoneticPr fontId="1" type="noConversion"/>
  </si>
  <si>
    <t>每天人物获得银币</t>
    <phoneticPr fontId="1" type="noConversion"/>
  </si>
  <si>
    <t>每周人物获得银币</t>
    <phoneticPr fontId="1" type="noConversion"/>
  </si>
  <si>
    <t>每周人物提供的贡献资金</t>
    <phoneticPr fontId="1" type="noConversion"/>
  </si>
  <si>
    <t>帮派任务贡献资金</t>
    <phoneticPr fontId="1" type="noConversion"/>
  </si>
  <si>
    <t>帮派任务个人分红</t>
    <phoneticPr fontId="1" type="noConversion"/>
  </si>
  <si>
    <t>玩家每周拿到的分红数量</t>
    <phoneticPr fontId="1" type="noConversion"/>
  </si>
  <si>
    <t>上周任务累积分红+帮贡分红保底</t>
    <phoneticPr fontId="1" type="noConversion"/>
  </si>
  <si>
    <t>客户端面板显示</t>
    <phoneticPr fontId="1" type="noConversion"/>
  </si>
  <si>
    <t>本周任务累积分红</t>
    <phoneticPr fontId="1" type="noConversion"/>
  </si>
  <si>
    <t>逆矩阵验算2次函数</t>
    <phoneticPr fontId="1" type="noConversion"/>
  </si>
  <si>
    <t>每日活跃度</t>
    <phoneticPr fontId="1" type="noConversion"/>
  </si>
  <si>
    <t>Lv*金库系数*2*（0.038481*上周帮派任务完成数量^2+0.151924*上周帮派任务完成数量+0.809595）</t>
    <phoneticPr fontId="1" type="noConversion"/>
  </si>
  <si>
    <t>(1+IsSerMul)*(StdExp*0.83/14.5*((Ring-1)*0.1+1))</t>
    <phoneticPr fontId="1" type="noConversion"/>
  </si>
  <si>
    <t>帮贡定值</t>
    <phoneticPr fontId="1" type="noConversion"/>
  </si>
  <si>
    <t>双倍部分</t>
    <phoneticPr fontId="1" type="noConversion"/>
  </si>
  <si>
    <t>StdExp*0.83/14.5*((Ring-1)*0.1+1)</t>
    <phoneticPr fontId="1" type="noConversion"/>
  </si>
  <si>
    <t>非品质</t>
    <phoneticPr fontId="1" type="noConversion"/>
  </si>
  <si>
    <t>Ring+1</t>
    <phoneticPr fontId="1" type="noConversion"/>
  </si>
  <si>
    <t>金库系数*任务系数*(2200+floor(Lv/10)*440+(200+floor(Lv/10)*40*(Ring-1))/7</t>
    <phoneticPr fontId="1" type="noConversion"/>
  </si>
  <si>
    <t>50级金库10级约30000产量</t>
    <phoneticPr fontId="1" type="noConversion"/>
  </si>
  <si>
    <t>50级金库1级约62000产量</t>
    <phoneticPr fontId="1" type="noConversion"/>
  </si>
  <si>
    <t>50级70个任务验算</t>
    <phoneticPr fontId="1" type="noConversion"/>
  </si>
  <si>
    <t>50级金库1级约20000产量</t>
    <phoneticPr fontId="1" type="noConversion"/>
  </si>
  <si>
    <t>满级金库每周人物获得银币</t>
    <phoneticPr fontId="1" type="noConversion"/>
  </si>
  <si>
    <t>50级金库10级约93000产量</t>
    <phoneticPr fontId="1" type="noConversion"/>
  </si>
  <si>
    <t>至级别</t>
    <phoneticPr fontId="1" type="noConversion"/>
  </si>
  <si>
    <t>攻击消耗修为值</t>
    <phoneticPr fontId="1" type="noConversion"/>
  </si>
  <si>
    <t>其他消耗修为值</t>
    <phoneticPr fontId="1" type="noConversion"/>
  </si>
  <si>
    <t>人物消耗帮贡</t>
    <phoneticPr fontId="1" type="noConversion"/>
  </si>
  <si>
    <t>生活消耗帮贡</t>
    <phoneticPr fontId="1" type="noConversion"/>
  </si>
  <si>
    <t>平定安邦</t>
    <phoneticPr fontId="1" type="noConversion"/>
  </si>
  <si>
    <t>精英副本</t>
    <phoneticPr fontId="1" type="noConversion"/>
  </si>
  <si>
    <t>野外挂机/离线经验</t>
    <phoneticPr fontId="1" type="noConversion"/>
  </si>
  <si>
    <t>前尘旧梦</t>
    <phoneticPr fontId="1" type="noConversion"/>
  </si>
  <si>
    <t>剧情任务</t>
    <phoneticPr fontId="1" type="noConversion"/>
  </si>
  <si>
    <t>帮派秘境</t>
    <phoneticPr fontId="1" type="noConversion"/>
  </si>
  <si>
    <t>上缴三级药</t>
    <phoneticPr fontId="1" type="noConversion"/>
  </si>
  <si>
    <t>单人</t>
    <phoneticPr fontId="1" type="noConversion"/>
  </si>
  <si>
    <t>单人或多人</t>
    <phoneticPr fontId="1" type="noConversion"/>
  </si>
  <si>
    <t>多人</t>
    <phoneticPr fontId="1" type="noConversion"/>
  </si>
  <si>
    <t>看运营活动决定</t>
    <phoneticPr fontId="1" type="noConversion"/>
  </si>
  <si>
    <t>声望值：</t>
  </si>
  <si>
    <t>功能：马雷</t>
    <phoneticPr fontId="19" type="noConversion"/>
  </si>
  <si>
    <t>捉鬼：本人角色高于队伍中最小等级队员10级时触发，每次击杀一波怪，获得1点声望，带3个以上小号，一次获得2点声望</t>
    <phoneticPr fontId="19" type="noConversion"/>
  </si>
  <si>
    <t>副本：本人副本已经处于冷却状态（即获得奖励的次数用完）,帮助队友，每次击杀一波怪，获得3点声望</t>
  </si>
  <si>
    <t>精英副本：本人副本已经处于冷却状态（即获得奖励的次数用完）,帮助队友，每次击杀一波怪，获得5点声望</t>
  </si>
  <si>
    <t>帮助剧情任务：自己已经通过此任务，帮助队友，每次击杀一波剧情怪，获得2点声望，一定量经验，如果队友是同公会成员，声望加倍，并额外获得5点公会DKP</t>
    <phoneticPr fontId="19" type="noConversion"/>
  </si>
  <si>
    <t>帮助前尘旧梦：自己已经通过此任务，帮助队友，每次过一关，获得2点声望，一定量经验，如果队友是同公会成员，声望加倍，并额外获得5点公会DKP</t>
    <phoneticPr fontId="19" type="noConversion"/>
  </si>
  <si>
    <t>帮助任务链战斗：帮助别人完成任务链战斗，每场获得一定量经验，如果队友是同公会成员，额外获得5点公会DKP</t>
    <phoneticPr fontId="19" type="noConversion"/>
  </si>
  <si>
    <t>援助任务物品：帮助别人上交任务链任务物品，每次获得一定量经验，如果队友是同公会成员，额外获得5点公会DKP</t>
    <phoneticPr fontId="19" type="noConversion"/>
  </si>
  <si>
    <t>帮助战斗奖励全部设每周上限</t>
    <phoneticPr fontId="19" type="noConversion"/>
  </si>
  <si>
    <t>帮助战斗产出</t>
    <phoneticPr fontId="19" type="noConversion"/>
  </si>
  <si>
    <t>数值：贾世政</t>
    <phoneticPr fontId="19" type="noConversion"/>
  </si>
  <si>
    <t>声望</t>
    <phoneticPr fontId="19" type="noConversion"/>
  </si>
  <si>
    <t>经验</t>
    <phoneticPr fontId="19" type="noConversion"/>
  </si>
  <si>
    <t>帮贡</t>
    <phoneticPr fontId="19" type="noConversion"/>
  </si>
  <si>
    <t>捉鬼</t>
    <phoneticPr fontId="19" type="noConversion"/>
  </si>
  <si>
    <t>有</t>
    <phoneticPr fontId="19" type="noConversion"/>
  </si>
  <si>
    <t>副本</t>
    <phoneticPr fontId="19" type="noConversion"/>
  </si>
  <si>
    <t>精英副本</t>
    <phoneticPr fontId="19" type="noConversion"/>
  </si>
  <si>
    <t>剧情任务</t>
    <phoneticPr fontId="19" type="noConversion"/>
  </si>
  <si>
    <t>floor(Lv/10)*5000</t>
    <phoneticPr fontId="19" type="noConversion"/>
  </si>
  <si>
    <t>任务链战斗</t>
    <phoneticPr fontId="19" type="noConversion"/>
  </si>
  <si>
    <t>援助任务物品</t>
    <phoneticPr fontId="19" type="noConversion"/>
  </si>
  <si>
    <t>每周上限</t>
    <phoneticPr fontId="19" type="noConversion"/>
  </si>
  <si>
    <t>StdExp*10*7</t>
    <phoneticPr fontId="19" type="noConversion"/>
  </si>
  <si>
    <t>卡拉赞系列</t>
  </si>
  <si>
    <t>精英副本</t>
  </si>
  <si>
    <t>日常副本</t>
  </si>
  <si>
    <t>环数</t>
    <phoneticPr fontId="1" type="noConversion"/>
  </si>
  <si>
    <t>经验</t>
    <phoneticPr fontId="1" type="noConversion"/>
  </si>
  <si>
    <t>宠物经验</t>
    <phoneticPr fontId="1" type="noConversion"/>
  </si>
  <si>
    <t>职业日常</t>
    <phoneticPr fontId="1" type="noConversion"/>
  </si>
  <si>
    <t>英雄试炼</t>
    <phoneticPr fontId="1" type="noConversion"/>
  </si>
  <si>
    <t>冰封王座</t>
    <phoneticPr fontId="1" type="noConversion"/>
  </si>
  <si>
    <t>每日2轮</t>
    <phoneticPr fontId="1" type="noConversion"/>
  </si>
  <si>
    <t>每日1次</t>
    <phoneticPr fontId="1" type="noConversion"/>
  </si>
  <si>
    <t>每周7轮</t>
    <phoneticPr fontId="1" type="noConversion"/>
  </si>
  <si>
    <t>每日10个</t>
    <phoneticPr fontId="1" type="noConversion"/>
  </si>
  <si>
    <t>每周1800点</t>
    <phoneticPr fontId="1" type="noConversion"/>
  </si>
  <si>
    <t>每日获得奖励有上限</t>
    <phoneticPr fontId="1" type="noConversion"/>
  </si>
  <si>
    <t>每日10次</t>
    <phoneticPr fontId="1" type="noConversion"/>
  </si>
  <si>
    <t>星宿护卫</t>
    <phoneticPr fontId="1" type="noConversion"/>
  </si>
  <si>
    <t>杀星</t>
    <phoneticPr fontId="1" type="noConversion"/>
  </si>
  <si>
    <t>幼龙</t>
  </si>
  <si>
    <t>幼龙</t>
    <phoneticPr fontId="1" type="noConversion"/>
  </si>
  <si>
    <t xml:space="preserve">50级以下10次 </t>
    <phoneticPr fontId="1" type="noConversion"/>
  </si>
  <si>
    <t>50级以上5次</t>
  </si>
  <si>
    <t>每日3次</t>
    <phoneticPr fontId="1" type="noConversion"/>
  </si>
  <si>
    <t>艾泽拉斯地理探索</t>
  </si>
  <si>
    <t>艾泽拉斯地理探索</t>
    <phoneticPr fontId="1" type="noConversion"/>
  </si>
  <si>
    <t>每日1次 决赛双倍，星期日没有</t>
    <phoneticPr fontId="1" type="noConversion"/>
  </si>
  <si>
    <t>每周2次</t>
    <phoneticPr fontId="1" type="noConversion"/>
  </si>
  <si>
    <t>剧情任务</t>
  </si>
  <si>
    <t>节日活动</t>
    <phoneticPr fontId="1" type="noConversion"/>
  </si>
  <si>
    <t>活力</t>
    <phoneticPr fontId="1" type="noConversion"/>
  </si>
  <si>
    <t>符石</t>
    <phoneticPr fontId="1" type="noConversion"/>
  </si>
  <si>
    <t>侠义</t>
    <phoneticPr fontId="1" type="noConversion"/>
  </si>
  <si>
    <t>武勋</t>
    <phoneticPr fontId="1" type="noConversion"/>
  </si>
  <si>
    <t>经验效率</t>
    <phoneticPr fontId="1" type="noConversion"/>
  </si>
  <si>
    <t>宠物经验效率</t>
    <phoneticPr fontId="1" type="noConversion"/>
  </si>
  <si>
    <t>野外挂机/离线经验</t>
    <phoneticPr fontId="1" type="noConversion"/>
  </si>
  <si>
    <t>每日8小时</t>
    <phoneticPr fontId="1" type="noConversion"/>
  </si>
  <si>
    <t>每日玩法时长</t>
    <phoneticPr fontId="1" type="noConversion"/>
  </si>
  <si>
    <t>等级下限</t>
  </si>
  <si>
    <t>等级上限</t>
  </si>
  <si>
    <t>经验</t>
  </si>
  <si>
    <t>宠物经验</t>
  </si>
  <si>
    <t>金币</t>
  </si>
  <si>
    <t>银币</t>
  </si>
  <si>
    <t>40/60</t>
  </si>
  <si>
    <t>D1000/7</t>
  </si>
  <si>
    <t>D300</t>
  </si>
  <si>
    <t>D475</t>
  </si>
  <si>
    <t>20/40</t>
  </si>
  <si>
    <t>刷野战斗宠物经验</t>
    <phoneticPr fontId="1" type="noConversion"/>
  </si>
  <si>
    <t>宠物升级经验</t>
    <phoneticPr fontId="1" type="noConversion"/>
  </si>
  <si>
    <t>宠物经验总循环收益</t>
    <phoneticPr fontId="1" type="noConversion"/>
  </si>
  <si>
    <t>升级时间可额外同时练几只宠</t>
    <phoneticPr fontId="1" type="noConversion"/>
  </si>
  <si>
    <t>升级停留时间可回头练几只宠</t>
    <phoneticPr fontId="1" type="noConversion"/>
  </si>
  <si>
    <t>总升级时间总共可额外练几只宠</t>
    <phoneticPr fontId="1" type="noConversion"/>
  </si>
  <si>
    <t>剧情任务</t>
    <phoneticPr fontId="1" type="noConversion"/>
  </si>
  <si>
    <t>野怪战斗</t>
    <phoneticPr fontId="1" type="noConversion"/>
  </si>
  <si>
    <t>野怪战斗多少场升级</t>
  </si>
  <si>
    <t>日常活动每日银币权重</t>
    <phoneticPr fontId="1" type="noConversion"/>
  </si>
  <si>
    <t>定时活动每日银币权重</t>
    <phoneticPr fontId="1" type="noConversion"/>
  </si>
  <si>
    <t>日常活动每日宠物经验权重</t>
    <phoneticPr fontId="1" type="noConversion"/>
  </si>
  <si>
    <t>定时活动每日经验权重</t>
    <phoneticPr fontId="1" type="noConversion"/>
  </si>
  <si>
    <t>节日活动每日经验权重</t>
    <phoneticPr fontId="1" type="noConversion"/>
  </si>
  <si>
    <t>银币权重</t>
    <phoneticPr fontId="1" type="noConversion"/>
  </si>
  <si>
    <t>剧情任务分段宠物经验</t>
    <phoneticPr fontId="1" type="noConversion"/>
  </si>
  <si>
    <t>每日循环总量</t>
    <phoneticPr fontId="1" type="noConversion"/>
  </si>
  <si>
    <t>每日循环收益</t>
    <phoneticPr fontId="1" type="noConversion"/>
  </si>
  <si>
    <t>每日活跃度</t>
    <phoneticPr fontId="1" type="noConversion"/>
  </si>
  <si>
    <t>符石</t>
    <phoneticPr fontId="1" type="noConversion"/>
  </si>
  <si>
    <t>公会DKP</t>
    <phoneticPr fontId="1" type="noConversion"/>
  </si>
  <si>
    <t>该等级获得循环收益</t>
    <phoneticPr fontId="1" type="noConversion"/>
  </si>
  <si>
    <t>剧情任务收益</t>
    <phoneticPr fontId="1" type="noConversion"/>
  </si>
  <si>
    <t>该等级循环加一次性总收益</t>
    <phoneticPr fontId="1" type="noConversion"/>
  </si>
  <si>
    <t>点技能消耗</t>
    <phoneticPr fontId="1" type="noConversion"/>
  </si>
  <si>
    <t>累计总收益</t>
    <phoneticPr fontId="1" type="noConversion"/>
  </si>
  <si>
    <t>剧情任务收益占比</t>
    <phoneticPr fontId="1" type="noConversion"/>
  </si>
  <si>
    <t>活跃度打卡</t>
    <phoneticPr fontId="1" type="noConversion"/>
  </si>
  <si>
    <t>基准权重银币</t>
    <phoneticPr fontId="1" type="noConversion"/>
  </si>
  <si>
    <t>门贡</t>
    <phoneticPr fontId="1" type="noConversion"/>
  </si>
  <si>
    <t>帮贡</t>
    <phoneticPr fontId="1" type="noConversion"/>
  </si>
  <si>
    <t>公会DKP</t>
    <phoneticPr fontId="1" type="noConversion"/>
  </si>
  <si>
    <t>职业贡献</t>
    <phoneticPr fontId="1" type="noConversion"/>
  </si>
  <si>
    <t>声望值</t>
    <phoneticPr fontId="1" type="noConversion"/>
  </si>
  <si>
    <t>荣誉值</t>
    <phoneticPr fontId="1" type="noConversion"/>
  </si>
  <si>
    <t>20+等级*0.075*0.5</t>
    <phoneticPr fontId="1" type="noConversion"/>
  </si>
  <si>
    <t>等级*0.075*0.5</t>
    <phoneticPr fontId="1" type="noConversion"/>
  </si>
  <si>
    <t>基准权重金币</t>
    <phoneticPr fontId="1" type="noConversion"/>
  </si>
  <si>
    <t>日常活动每日金币权重</t>
    <phoneticPr fontId="1" type="noConversion"/>
  </si>
  <si>
    <t>定时活动每日金币权重</t>
    <phoneticPr fontId="1" type="noConversion"/>
  </si>
  <si>
    <t>每日循环总量</t>
    <phoneticPr fontId="1" type="noConversion"/>
  </si>
  <si>
    <t>每日循环收益</t>
    <phoneticPr fontId="1" type="noConversion"/>
  </si>
  <si>
    <t>剧情任务产出</t>
  </si>
  <si>
    <t>累计总收益</t>
  </si>
  <si>
    <t>剧情任务分段收益</t>
    <phoneticPr fontId="1" type="noConversion"/>
  </si>
  <si>
    <t>该等级总收益</t>
    <phoneticPr fontId="1" type="noConversion"/>
  </si>
  <si>
    <t>节日活动每日金币权重</t>
    <phoneticPr fontId="1" type="noConversion"/>
  </si>
  <si>
    <t>节日活动每日银币权重</t>
    <phoneticPr fontId="1" type="noConversion"/>
  </si>
  <si>
    <t>经验日产量</t>
    <phoneticPr fontId="1" type="noConversion"/>
  </si>
  <si>
    <t>宠物经验日产量</t>
    <phoneticPr fontId="1" type="noConversion"/>
  </si>
  <si>
    <t>银币日产量</t>
    <phoneticPr fontId="1" type="noConversion"/>
  </si>
  <si>
    <t>金币日产量</t>
    <phoneticPr fontId="1" type="noConversion"/>
  </si>
  <si>
    <t>节日活动2</t>
  </si>
  <si>
    <t>经验基数</t>
    <phoneticPr fontId="1" type="noConversion"/>
  </si>
  <si>
    <t>宠物经验基数</t>
    <phoneticPr fontId="1" type="noConversion"/>
  </si>
  <si>
    <t>银币基数</t>
    <phoneticPr fontId="1" type="noConversion"/>
  </si>
  <si>
    <t>基准权重银币</t>
    <phoneticPr fontId="1" type="noConversion"/>
  </si>
  <si>
    <t>基准权重金币</t>
    <phoneticPr fontId="1" type="noConversion"/>
  </si>
  <si>
    <t>金币基数</t>
    <phoneticPr fontId="1" type="noConversion"/>
  </si>
  <si>
    <t>TeamLv</t>
    <phoneticPr fontId="1" type="noConversion"/>
  </si>
  <si>
    <t>TeamNum</t>
    <phoneticPr fontId="1" type="noConversion"/>
  </si>
  <si>
    <t>RoleLv</t>
    <phoneticPr fontId="1" type="noConversion"/>
  </si>
  <si>
    <t>Time</t>
    <phoneticPr fontId="1" type="noConversion"/>
  </si>
  <si>
    <t>YingFu</t>
    <phoneticPr fontId="1" type="noConversion"/>
  </si>
  <si>
    <t>SwXs</t>
    <phoneticPr fontId="1" type="noConversion"/>
  </si>
  <si>
    <t>TaskLv</t>
    <phoneticPr fontId="1" type="noConversion"/>
  </si>
  <si>
    <t>IsDbPoint</t>
    <phoneticPr fontId="1" type="noConversion"/>
  </si>
  <si>
    <t>StdMoney</t>
    <phoneticPr fontId="1" type="noConversion"/>
  </si>
  <si>
    <t>StdExp</t>
    <phoneticPr fontId="1" type="noConversion"/>
  </si>
  <si>
    <t>MergeServer</t>
    <phoneticPr fontId="1" type="noConversion"/>
  </si>
  <si>
    <t>TjTrible</t>
    <phoneticPr fontId="1" type="noConversion"/>
  </si>
  <si>
    <t>DkTrible</t>
    <phoneticPr fontId="1" type="noConversion"/>
  </si>
  <si>
    <t>vipLv</t>
    <phoneticPr fontId="1" type="noConversion"/>
  </si>
  <si>
    <t>xiakeLv</t>
    <phoneticPr fontId="1" type="noConversion"/>
  </si>
  <si>
    <t>Bnum</t>
    <phoneticPr fontId="1" type="noConversion"/>
  </si>
  <si>
    <t>IsSerMul</t>
    <phoneticPr fontId="1" type="noConversion"/>
  </si>
  <si>
    <t>MinLv</t>
    <phoneticPr fontId="1" type="noConversion"/>
  </si>
  <si>
    <t>MaxLv</t>
    <phoneticPr fontId="1" type="noConversion"/>
  </si>
  <si>
    <t>Rank</t>
    <phoneticPr fontId="1" type="noConversion"/>
  </si>
  <si>
    <t>Discount</t>
    <phoneticPr fontId="1" type="noConversion"/>
  </si>
  <si>
    <t>Saveid</t>
    <phoneticPr fontId="1" type="noConversion"/>
  </si>
  <si>
    <t>Score</t>
    <phoneticPr fontId="1" type="noConversion"/>
  </si>
  <si>
    <t>IsPetTrible</t>
    <phoneticPr fontId="1" type="noConversion"/>
  </si>
  <si>
    <t>IsTL</t>
    <phoneticPr fontId="1" type="noConversion"/>
  </si>
  <si>
    <t>IsTrible</t>
    <phoneticPr fontId="1" type="noConversion"/>
  </si>
  <si>
    <t>IsSTrible</t>
    <phoneticPr fontId="1" type="noConversion"/>
  </si>
  <si>
    <t>IsDouble</t>
    <phoneticPr fontId="1" type="noConversion"/>
  </si>
  <si>
    <t>IsNoMul</t>
    <phoneticPr fontId="1" type="noConversion"/>
  </si>
  <si>
    <t>MonsterLv</t>
    <phoneticPr fontId="1" type="noConversion"/>
  </si>
  <si>
    <t>MonsterNum</t>
    <phoneticPr fontId="1" type="noConversion"/>
  </si>
  <si>
    <t>CurExp</t>
    <phoneticPr fontId="1" type="noConversion"/>
  </si>
  <si>
    <t>PetLv</t>
    <phoneticPr fontId="1" type="noConversion"/>
  </si>
  <si>
    <t>Ring</t>
    <phoneticPr fontId="1" type="noConversion"/>
  </si>
  <si>
    <t>跟</t>
    <phoneticPr fontId="1" type="noConversion"/>
  </si>
  <si>
    <t>角色等级</t>
    <phoneticPr fontId="1" type="noConversion"/>
  </si>
  <si>
    <t>相关</t>
    <phoneticPr fontId="1" type="noConversion"/>
  </si>
  <si>
    <t>队伍平均等级</t>
    <phoneticPr fontId="1" type="noConversion"/>
  </si>
  <si>
    <t>队伍人数</t>
    <phoneticPr fontId="1" type="noConversion"/>
  </si>
  <si>
    <t>次数</t>
    <phoneticPr fontId="1" type="noConversion"/>
  </si>
  <si>
    <t>当前经验</t>
    <phoneticPr fontId="1" type="noConversion"/>
  </si>
  <si>
    <t>地图等级(暂时没用)</t>
  </si>
  <si>
    <t>怪物数量</t>
    <phoneticPr fontId="1" type="noConversion"/>
  </si>
  <si>
    <t>主怪数量(暂时没用)</t>
  </si>
  <si>
    <t>怪物等级</t>
    <phoneticPr fontId="1" type="noConversion"/>
  </si>
  <si>
    <t>是否允许有多倍经验</t>
    <phoneticPr fontId="1" type="noConversion"/>
  </si>
  <si>
    <t>是否有双倍经验</t>
    <phoneticPr fontId="1" type="noConversion"/>
  </si>
  <si>
    <t>是否有系统三倍经验</t>
    <phoneticPr fontId="1" type="noConversion"/>
  </si>
  <si>
    <t>是否有三倍经验</t>
    <phoneticPr fontId="1" type="noConversion"/>
  </si>
  <si>
    <t>是否是队长</t>
    <phoneticPr fontId="1" type="noConversion"/>
  </si>
  <si>
    <t>宠物是否有三倍经验</t>
    <phoneticPr fontId="1" type="noConversion"/>
  </si>
  <si>
    <t>得分</t>
    <phoneticPr fontId="1" type="noConversion"/>
  </si>
  <si>
    <t>进度id</t>
    <phoneticPr fontId="1" type="noConversion"/>
  </si>
  <si>
    <t>折算率</t>
    <phoneticPr fontId="1" type="noConversion"/>
  </si>
  <si>
    <t>排行榜中的排名</t>
    <phoneticPr fontId="1" type="noConversion"/>
  </si>
  <si>
    <t>最大角色等级</t>
    <phoneticPr fontId="1" type="noConversion"/>
  </si>
  <si>
    <t>最小角色等级</t>
    <phoneticPr fontId="1" type="noConversion"/>
  </si>
  <si>
    <t>是否有多倍经验</t>
    <phoneticPr fontId="1" type="noConversion"/>
  </si>
  <si>
    <t>兄弟数量,暂时都为0</t>
    <phoneticPr fontId="1" type="noConversion"/>
  </si>
  <si>
    <t>vip等级</t>
    <phoneticPr fontId="1" type="noConversion"/>
  </si>
  <si>
    <t>阵营的倍数</t>
    <phoneticPr fontId="1" type="noConversion"/>
  </si>
  <si>
    <t>是否合服</t>
    <phoneticPr fontId="1" type="noConversion"/>
  </si>
  <si>
    <t>基准经验</t>
    <phoneticPr fontId="1" type="noConversion"/>
  </si>
  <si>
    <t>基准金钱</t>
    <phoneticPr fontId="1" type="noConversion"/>
  </si>
  <si>
    <t>是否开启双倍点数</t>
    <phoneticPr fontId="1" type="noConversion"/>
  </si>
  <si>
    <t>声望系数</t>
    <phoneticPr fontId="1" type="noConversion"/>
  </si>
  <si>
    <t>x循环任务配置表.xlsx</t>
  </si>
  <si>
    <t>任务难度</t>
    <phoneticPr fontId="1" type="noConversion"/>
  </si>
  <si>
    <t>盈福经验</t>
    <phoneticPr fontId="1" type="noConversion"/>
  </si>
  <si>
    <t>环数权重</t>
  </si>
  <si>
    <t>环数权重</t>
    <phoneticPr fontId="1" type="noConversion"/>
  </si>
  <si>
    <t>经验单次产量</t>
    <phoneticPr fontId="1" type="noConversion"/>
  </si>
  <si>
    <t>总次数</t>
    <phoneticPr fontId="1" type="noConversion"/>
  </si>
  <si>
    <t>单次宠物经验产量</t>
    <phoneticPr fontId="1" type="noConversion"/>
  </si>
  <si>
    <t>单次银币产量</t>
    <phoneticPr fontId="1" type="noConversion"/>
  </si>
  <si>
    <t>日常副本</t>
    <phoneticPr fontId="1" type="noConversion"/>
  </si>
  <si>
    <t>每次金币产量</t>
    <phoneticPr fontId="1" type="noConversion"/>
  </si>
  <si>
    <t>总轮数</t>
    <phoneticPr fontId="1" type="noConversion"/>
  </si>
  <si>
    <t>双倍点数</t>
    <phoneticPr fontId="1" type="noConversion"/>
  </si>
  <si>
    <t>鬼王几率</t>
    <phoneticPr fontId="1" type="noConversion"/>
  </si>
  <si>
    <t>时</t>
    <phoneticPr fontId="1" type="noConversion"/>
  </si>
  <si>
    <t>耗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</si>
  <si>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次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</si>
  <si>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银币</t>
    <phoneticPr fontId="1" type="noConversion"/>
  </si>
  <si>
    <r>
      <t>经验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</si>
  <si>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宠物经验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</si>
  <si>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银币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</si>
  <si>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金币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</si>
  <si>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t>轮数权重</t>
    <phoneticPr fontId="1" type="noConversion"/>
  </si>
  <si>
    <t>怪物标准数量</t>
    <phoneticPr fontId="1" type="noConversion"/>
  </si>
  <si>
    <t>等级差衰减</t>
    <phoneticPr fontId="1" type="noConversion"/>
  </si>
  <si>
    <t>怪物数量影响</t>
    <phoneticPr fontId="1" type="noConversion"/>
  </si>
  <si>
    <t>野外挂机</t>
    <phoneticPr fontId="1" type="noConversion"/>
  </si>
  <si>
    <t>总小时</t>
    <phoneticPr fontId="1" type="noConversion"/>
  </si>
  <si>
    <t>总分钟</t>
    <phoneticPr fontId="1" type="noConversion"/>
  </si>
  <si>
    <t>经验每分钟产量</t>
    <phoneticPr fontId="1" type="noConversion"/>
  </si>
  <si>
    <t>每分钟宠物经验产量</t>
    <phoneticPr fontId="1" type="noConversion"/>
  </si>
  <si>
    <t>每分钟银币产量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</si>
  <si>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分钟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</si>
  <si>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经验道具</t>
    <phoneticPr fontId="1" type="noConversion"/>
  </si>
  <si>
    <t>分享</t>
    <phoneticPr fontId="1" type="noConversion"/>
  </si>
  <si>
    <t>限制</t>
    <phoneticPr fontId="1" type="noConversion"/>
  </si>
  <si>
    <t>队伍里</t>
    <phoneticPr fontId="1" type="noConversion"/>
  </si>
  <si>
    <t>受</t>
    <phoneticPr fontId="1" type="noConversion"/>
  </si>
  <si>
    <t>精英副本下限等级</t>
    <phoneticPr fontId="1" type="noConversion"/>
  </si>
  <si>
    <t>精英副本上限等级</t>
  </si>
  <si>
    <t>离线经验</t>
    <phoneticPr fontId="1" type="noConversion"/>
  </si>
  <si>
    <t>野外挂机耗</t>
    <phoneticPr fontId="1" type="noConversion"/>
  </si>
  <si>
    <t>屠龙</t>
    <phoneticPr fontId="1" type="noConversion"/>
  </si>
  <si>
    <t>古神</t>
    <phoneticPr fontId="1" type="noConversion"/>
  </si>
  <si>
    <t>决赛</t>
    <phoneticPr fontId="1" type="noConversion"/>
  </si>
  <si>
    <t>普通</t>
    <phoneticPr fontId="1" type="noConversion"/>
  </si>
  <si>
    <t>1v1</t>
    <phoneticPr fontId="1" type="noConversion"/>
  </si>
  <si>
    <t>3v3</t>
    <phoneticPr fontId="1" type="noConversion"/>
  </si>
  <si>
    <t>5v5</t>
    <phoneticPr fontId="1" type="noConversion"/>
  </si>
  <si>
    <t>次数权重</t>
    <phoneticPr fontId="1" type="noConversion"/>
  </si>
  <si>
    <t>连胜次数权重</t>
    <phoneticPr fontId="1" type="noConversion"/>
  </si>
  <si>
    <t>赢</t>
    <phoneticPr fontId="1" type="noConversion"/>
  </si>
  <si>
    <t>输</t>
    <phoneticPr fontId="1" type="noConversion"/>
  </si>
  <si>
    <t>杀怪</t>
    <phoneticPr fontId="1" type="noConversion"/>
  </si>
  <si>
    <t>泡温泉</t>
    <phoneticPr fontId="1" type="noConversion"/>
  </si>
  <si>
    <t>基准效率1小时获得经验(h）</t>
  </si>
  <si>
    <t>平均每日耗时(m)</t>
  </si>
  <si>
    <t>每日耗时(h)</t>
  </si>
  <si>
    <t>多人(至少3人)</t>
  </si>
  <si>
    <t>卡拉赞精英(周1次)</t>
  </si>
  <si>
    <t>公会任务(周7轮)</t>
  </si>
  <si>
    <t>(2+等级*0.075)*活跃度</t>
  </si>
  <si>
    <t>多人(最好每个职业一个)</t>
  </si>
  <si>
    <t>帮派强盗(周3次)</t>
  </si>
  <si>
    <t>帮派采药(周3次)</t>
  </si>
  <si>
    <t>单人(打不过可找别人帮忙)</t>
  </si>
  <si>
    <t>公会任务(周1次)</t>
  </si>
  <si>
    <t>暗夜马戏团(周1次)</t>
  </si>
  <si>
    <t>职业闯关(周2次)</t>
  </si>
  <si>
    <t>帮派秘境(周1次)</t>
  </si>
  <si>
    <t>基准效率1小时获得经验(h)</t>
  </si>
  <si>
    <t>基准效率1小时获得宠物经验(h)</t>
  </si>
  <si>
    <t>停留时间(d)</t>
  </si>
  <si>
    <t>累计时间(d)</t>
  </si>
  <si>
    <t>基准效率1小时获得宠物经验（h)</t>
  </si>
  <si>
    <t>卡拉赞精英</t>
  </si>
  <si>
    <t>节日活动1</t>
  </si>
  <si>
    <t>总次数(总权重)</t>
  </si>
  <si>
    <t>打怪</t>
    <phoneticPr fontId="1" type="noConversion"/>
  </si>
  <si>
    <t>帮派强盗</t>
    <phoneticPr fontId="1" type="noConversion"/>
  </si>
  <si>
    <t>帮派采药</t>
    <phoneticPr fontId="1" type="noConversion"/>
  </si>
  <si>
    <t>泡温泉次数</t>
    <phoneticPr fontId="1" type="noConversion"/>
  </si>
  <si>
    <t>打怪经验比例</t>
    <phoneticPr fontId="1" type="noConversion"/>
  </si>
  <si>
    <t>泡温泉经验比例</t>
    <phoneticPr fontId="1" type="noConversion"/>
  </si>
  <si>
    <t>竞技场积分</t>
    <phoneticPr fontId="1" type="noConversion"/>
  </si>
  <si>
    <t>首胜</t>
    <phoneticPr fontId="1" type="noConversion"/>
  </si>
  <si>
    <t>10战</t>
    <phoneticPr fontId="1" type="noConversion"/>
  </si>
  <si>
    <t>5战</t>
    <phoneticPr fontId="1" type="noConversion"/>
  </si>
  <si>
    <t>5胜</t>
    <phoneticPr fontId="1" type="noConversion"/>
  </si>
  <si>
    <t>宠物等级</t>
    <phoneticPr fontId="1" type="noConversion"/>
  </si>
  <si>
    <t>精英副本</t>
    <phoneticPr fontId="1" type="noConversion"/>
  </si>
  <si>
    <t>竞技场连胜次数</t>
  </si>
  <si>
    <t>精英副本等级</t>
    <phoneticPr fontId="1" type="noConversion"/>
  </si>
  <si>
    <t>答题答对次数</t>
  </si>
  <si>
    <t>FuBenLv</t>
  </si>
  <si>
    <t>min(max(角色等级,精英副本等级),精英副本等级+9)</t>
    <phoneticPr fontId="1" type="noConversion"/>
  </si>
  <si>
    <t>min(max(RoleLv,FuBenLv),FuBenLv+9)</t>
    <phoneticPr fontId="1" type="noConversion"/>
  </si>
  <si>
    <t>答题答对次数权重</t>
    <phoneticPr fontId="1" type="noConversion"/>
  </si>
  <si>
    <t>答题答对次数权重</t>
    <phoneticPr fontId="1" type="noConversion"/>
  </si>
  <si>
    <t>公会副本进度</t>
    <phoneticPr fontId="1" type="noConversion"/>
  </si>
  <si>
    <t>Saveid</t>
    <phoneticPr fontId="1" type="noConversion"/>
  </si>
  <si>
    <t>公会副本进度权重</t>
    <phoneticPr fontId="1" type="noConversion"/>
  </si>
  <si>
    <t>终结连胜次数权重</t>
    <phoneticPr fontId="1" type="noConversion"/>
  </si>
  <si>
    <t>终结连胜次数权重</t>
    <phoneticPr fontId="1" type="noConversion"/>
  </si>
  <si>
    <t>无</t>
    <phoneticPr fontId="1" type="noConversion"/>
  </si>
  <si>
    <t>每轮金币产量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</si>
  <si>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次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</si>
  <si>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普通</t>
    <phoneticPr fontId="1" type="noConversion"/>
  </si>
  <si>
    <t>高品额外每天环数</t>
    <phoneticPr fontId="1" type="noConversion"/>
  </si>
  <si>
    <t>是否耗双倍点数</t>
    <phoneticPr fontId="1" type="noConversion"/>
  </si>
  <si>
    <t>野外挂机基础/开双混合</t>
    <phoneticPr fontId="1" type="noConversion"/>
  </si>
  <si>
    <t>怪物数量*0.083+主怪数量*0.166</t>
    <phoneticPr fontId="1" type="noConversion"/>
  </si>
  <si>
    <t>MasterNum</t>
    <phoneticPr fontId="1" type="noConversion"/>
  </si>
  <si>
    <t>日常副本基础/开双混合</t>
    <phoneticPr fontId="1" type="noConversion"/>
  </si>
  <si>
    <t>阿尔萨斯基础/开双混合</t>
    <phoneticPr fontId="1" type="noConversion"/>
  </si>
  <si>
    <t>AnswerCnt</t>
  </si>
  <si>
    <t>中介对方连胜次数</t>
    <phoneticPr fontId="1" type="noConversion"/>
  </si>
  <si>
    <t>PVPTargetCnt</t>
  </si>
  <si>
    <t>0.95+0.05*(PVPTargetCnt+1)</t>
  </si>
  <si>
    <t>PVPCnt</t>
  </si>
  <si>
    <t>0.95+0.05*(PVPCnt+1)</t>
  </si>
  <si>
    <t>每5关金币</t>
    <phoneticPr fontId="1" type="noConversion"/>
  </si>
  <si>
    <t>(MonsterNum*0.083+MasterNum*0.166)</t>
    <phoneticPr fontId="1" type="noConversion"/>
  </si>
  <si>
    <t>考古</t>
    <phoneticPr fontId="1" type="noConversion"/>
  </si>
  <si>
    <t>min(max(1-0.2*floor(abs(怪物等级-角色等级)/5),0.1),1)</t>
    <phoneticPr fontId="1" type="noConversion"/>
  </si>
  <si>
    <t>min(max(1-0.2*floor(abs(MonsterLv-RoleLv)/5),0.1),1)</t>
    <phoneticPr fontId="1" type="noConversion"/>
  </si>
  <si>
    <t>0.4+0.1*Saveid</t>
    <phoneticPr fontId="1" type="noConversion"/>
  </si>
  <si>
    <t>随机函数</t>
    <phoneticPr fontId="1" type="noConversion"/>
  </si>
  <si>
    <t>*(random()*(1.02-0.98)+0.98)</t>
    <phoneticPr fontId="1" type="noConversion"/>
  </si>
  <si>
    <t>队伍人数影响函数</t>
    <phoneticPr fontId="1" type="noConversion"/>
  </si>
  <si>
    <t>*(1-(5-TeamNum)*0.15)</t>
    <phoneticPr fontId="1" type="noConversion"/>
  </si>
  <si>
    <t>技能累计消耗</t>
    <phoneticPr fontId="1" type="noConversion"/>
  </si>
  <si>
    <t>盈余</t>
    <phoneticPr fontId="1" type="noConversion"/>
  </si>
  <si>
    <t>*(random()*(1.02-0.98)+0.98)*(1-min(5-TeamNum,2)*0.15)*(1+0.05*IsTL)</t>
  </si>
  <si>
    <t>终结连胜次数权重</t>
    <phoneticPr fontId="1" type="noConversion"/>
  </si>
  <si>
    <t>5战</t>
    <phoneticPr fontId="1" type="noConversion"/>
  </si>
  <si>
    <t>赢</t>
    <phoneticPr fontId="1" type="noConversion"/>
  </si>
  <si>
    <t xml:space="preserve"> </t>
    <phoneticPr fontId="1" type="noConversion"/>
  </si>
  <si>
    <t>开启时间</t>
    <phoneticPr fontId="1" type="noConversion"/>
  </si>
  <si>
    <t>星期一</t>
    <phoneticPr fontId="1" type="noConversion"/>
  </si>
  <si>
    <t>星期二</t>
    <phoneticPr fontId="1" type="noConversion"/>
  </si>
  <si>
    <t>星期三</t>
  </si>
  <si>
    <t>星期四</t>
  </si>
  <si>
    <t>星期五</t>
  </si>
  <si>
    <t>星期六</t>
  </si>
  <si>
    <t>星期日</t>
  </si>
  <si>
    <t>人文探索</t>
    <phoneticPr fontId="1" type="noConversion"/>
  </si>
  <si>
    <t>智慧试炼初赛</t>
    <phoneticPr fontId="1" type="noConversion"/>
  </si>
  <si>
    <t>智慧试炼复赛</t>
    <phoneticPr fontId="1" type="noConversion"/>
  </si>
  <si>
    <t>冠军试炼</t>
    <phoneticPr fontId="1" type="noConversion"/>
  </si>
  <si>
    <t>1v1竞技场</t>
    <phoneticPr fontId="1" type="noConversion"/>
  </si>
  <si>
    <t>3v3竞技场</t>
  </si>
  <si>
    <t>公会副本</t>
    <phoneticPr fontId="1" type="noConversion"/>
  </si>
  <si>
    <t>奥山战场</t>
    <phoneticPr fontId="1" type="noConversion"/>
  </si>
  <si>
    <t>节日活动1</t>
    <phoneticPr fontId="1" type="noConversion"/>
  </si>
  <si>
    <t>职业闯关(周2次)</t>
    <phoneticPr fontId="1" type="noConversion"/>
  </si>
  <si>
    <t>公会副本(周1次)</t>
  </si>
  <si>
    <t>公会副本(周1次)</t>
    <phoneticPr fontId="1" type="noConversion"/>
  </si>
  <si>
    <t>每周1次</t>
    <phoneticPr fontId="1" type="noConversion"/>
  </si>
  <si>
    <t>暗夜马戏团(周20轮)</t>
  </si>
  <si>
    <t>暗夜马戏团(周20轮)</t>
    <phoneticPr fontId="1" type="noConversion"/>
  </si>
  <si>
    <t>古神爪牙</t>
    <phoneticPr fontId="1" type="noConversion"/>
  </si>
  <si>
    <t>幼龙</t>
    <phoneticPr fontId="1" type="noConversion"/>
  </si>
  <si>
    <t>每周200次</t>
    <phoneticPr fontId="1" type="noConversion"/>
  </si>
  <si>
    <t>每周2356，周日5v5</t>
    <phoneticPr fontId="1" type="noConversion"/>
  </si>
  <si>
    <t>竞技场（周5次）</t>
  </si>
  <si>
    <t>竞技场（周5次）</t>
    <phoneticPr fontId="1" type="noConversion"/>
  </si>
  <si>
    <t>每5关次金币产量</t>
    <phoneticPr fontId="1" type="noConversion"/>
  </si>
  <si>
    <t>每5关才给金币</t>
    <phoneticPr fontId="1" type="noConversion"/>
  </si>
  <si>
    <t>日常副本</t>
    <phoneticPr fontId="1" type="noConversion"/>
  </si>
  <si>
    <t>每日5轮普通</t>
    <phoneticPr fontId="1" type="noConversion"/>
  </si>
  <si>
    <t>英雄试炼</t>
    <phoneticPr fontId="1" type="noConversion"/>
  </si>
  <si>
    <t>每日1次</t>
    <phoneticPr fontId="1" type="noConversion"/>
  </si>
  <si>
    <t>冰封王座</t>
    <phoneticPr fontId="1" type="noConversion"/>
  </si>
  <si>
    <t>每日25关</t>
    <phoneticPr fontId="1" type="noConversion"/>
  </si>
  <si>
    <t>考古</t>
    <phoneticPr fontId="1" type="noConversion"/>
  </si>
  <si>
    <t>每日10张图15次</t>
    <phoneticPr fontId="1" type="noConversion"/>
  </si>
  <si>
    <t>卡拉赞系列</t>
    <phoneticPr fontId="1" type="noConversion"/>
  </si>
  <si>
    <t>卡拉赞精英</t>
    <phoneticPr fontId="1" type="noConversion"/>
  </si>
  <si>
    <t>每周1次</t>
    <phoneticPr fontId="1" type="noConversion"/>
  </si>
  <si>
    <t>精英副本</t>
    <phoneticPr fontId="1" type="noConversion"/>
  </si>
  <si>
    <t>每日2次</t>
    <phoneticPr fontId="1" type="noConversion"/>
  </si>
  <si>
    <t>节日活动2</t>
    <phoneticPr fontId="1" type="noConversion"/>
  </si>
  <si>
    <t>每周2次</t>
    <phoneticPr fontId="1" type="noConversion"/>
  </si>
  <si>
    <t>职业闯关(周2次)</t>
    <phoneticPr fontId="1" type="noConversion"/>
  </si>
  <si>
    <t>经验周产量</t>
    <phoneticPr fontId="1" type="noConversion"/>
  </si>
  <si>
    <t>宠物经验周产量</t>
    <phoneticPr fontId="1" type="noConversion"/>
  </si>
  <si>
    <t>银币周产量</t>
    <phoneticPr fontId="1" type="noConversion"/>
  </si>
  <si>
    <t>金币周产量</t>
    <phoneticPr fontId="1" type="noConversion"/>
  </si>
  <si>
    <t>总轮数</t>
    <phoneticPr fontId="1" type="noConversion"/>
  </si>
  <si>
    <t>经验日产量（算上权重）</t>
    <phoneticPr fontId="1" type="noConversion"/>
  </si>
  <si>
    <t>宠物经验日产量（算上权重）</t>
    <phoneticPr fontId="1" type="noConversion"/>
  </si>
  <si>
    <t>银币日产量（算上权重）</t>
    <phoneticPr fontId="1" type="noConversion"/>
  </si>
  <si>
    <t>金币日产量（算上权重）</t>
    <phoneticPr fontId="1" type="noConversion"/>
  </si>
  <si>
    <t>经验写死在代码里了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</si>
  <si>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</si>
  <si>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RoleLv替换为</t>
    <phoneticPr fontId="1" type="noConversion"/>
  </si>
  <si>
    <t>援助战斗和道具</t>
  </si>
  <si>
    <t>援助战斗</t>
    <phoneticPr fontId="1" type="noConversion"/>
  </si>
  <si>
    <t>援助道具</t>
    <phoneticPr fontId="1" type="noConversion"/>
  </si>
  <si>
    <t>援助战斗次数</t>
    <phoneticPr fontId="1" type="noConversion"/>
  </si>
  <si>
    <t>援助道具次数</t>
    <phoneticPr fontId="1" type="noConversion"/>
  </si>
  <si>
    <t>10+min(max(RoleLv-40,0),25)</t>
    <phoneticPr fontId="1" type="noConversion"/>
  </si>
  <si>
    <t>400*RoleLv*1*(random()*(1.02-0.98)+0.98)</t>
    <phoneticPr fontId="1" type="noConversion"/>
  </si>
  <si>
    <t>400*RoleLv*0.6*(random()*(1.02-0.98)+0.98)</t>
    <phoneticPr fontId="1" type="noConversion"/>
  </si>
  <si>
    <t>公会等级</t>
    <phoneticPr fontId="1" type="noConversion"/>
  </si>
  <si>
    <t>任务系数*(2200+floor(Lv/10)*440+(200+floor(Lv/10)*40*(Ring-1)))</t>
    <phoneticPr fontId="1" type="noConversion"/>
  </si>
  <si>
    <t>上限人数</t>
    <phoneticPr fontId="1" type="noConversion"/>
  </si>
  <si>
    <t>标准人数</t>
    <phoneticPr fontId="1" type="noConversion"/>
  </si>
  <si>
    <t>消耗总资金</t>
    <phoneticPr fontId="1" type="noConversion"/>
  </si>
  <si>
    <t>大厅每日维护费用</t>
    <phoneticPr fontId="1" type="noConversion"/>
  </si>
  <si>
    <t>金库每日维护费用</t>
    <phoneticPr fontId="1" type="noConversion"/>
  </si>
  <si>
    <t>药房每日维护费用</t>
    <phoneticPr fontId="1" type="noConversion"/>
  </si>
  <si>
    <t>旅馆每日维护费用</t>
    <phoneticPr fontId="1" type="noConversion"/>
  </si>
  <si>
    <t>公会资金</t>
    <phoneticPr fontId="1" type="noConversion"/>
  </si>
  <si>
    <t>金库资金上限</t>
    <phoneticPr fontId="1" type="noConversion"/>
  </si>
  <si>
    <t>上限等级</t>
    <phoneticPr fontId="1" type="noConversion"/>
  </si>
  <si>
    <t>各类药材生成数量上限</t>
    <phoneticPr fontId="1" type="noConversion"/>
  </si>
  <si>
    <t>公会工资公式</t>
    <phoneticPr fontId="1" type="noConversion"/>
  </si>
  <si>
    <t>备用资金公式</t>
    <phoneticPr fontId="1" type="noConversion"/>
  </si>
  <si>
    <t>最终升级时长(W)</t>
    <phoneticPr fontId="1" type="noConversion"/>
  </si>
  <si>
    <t>升级时长(W)</t>
    <phoneticPr fontId="1" type="noConversion"/>
  </si>
  <si>
    <t>药房双倍刷药费用</t>
    <phoneticPr fontId="1" type="noConversion"/>
  </si>
  <si>
    <t>药房三倍刷药费用</t>
    <phoneticPr fontId="1" type="noConversion"/>
  </si>
  <si>
    <t>公会任务</t>
    <phoneticPr fontId="1" type="noConversion"/>
  </si>
  <si>
    <t>公会副本</t>
    <phoneticPr fontId="1" type="noConversion"/>
  </si>
  <si>
    <t>援助奖励</t>
    <phoneticPr fontId="1" type="noConversion"/>
  </si>
  <si>
    <t>公会技能1类</t>
    <phoneticPr fontId="1" type="noConversion"/>
  </si>
  <si>
    <t>公会技能2类</t>
    <phoneticPr fontId="1" type="noConversion"/>
  </si>
  <si>
    <t>每周援助获得声望上限</t>
    <phoneticPr fontId="1" type="noConversion"/>
  </si>
  <si>
    <t>每周援助获得公会dkp上限</t>
    <phoneticPr fontId="1" type="noConversion"/>
  </si>
  <si>
    <t>从级别</t>
    <phoneticPr fontId="1" type="noConversion"/>
  </si>
  <si>
    <t>公会dkp产出</t>
    <phoneticPr fontId="1" type="noConversion"/>
  </si>
  <si>
    <t>大厅升级</t>
    <phoneticPr fontId="1" type="noConversion"/>
  </si>
  <si>
    <t>金库升级</t>
    <phoneticPr fontId="1" type="noConversion"/>
  </si>
  <si>
    <t>药房升级</t>
    <phoneticPr fontId="1" type="noConversion"/>
  </si>
  <si>
    <t>旅馆升级</t>
    <phoneticPr fontId="1" type="noConversion"/>
  </si>
  <si>
    <t>降级补偿</t>
  </si>
  <si>
    <t>/</t>
    <phoneticPr fontId="1" type="noConversion"/>
  </si>
  <si>
    <t>资金产出</t>
    <phoneticPr fontId="1" type="noConversion"/>
  </si>
  <si>
    <t>公会任务</t>
    <phoneticPr fontId="1" type="noConversion"/>
  </si>
  <si>
    <t>公会副本</t>
    <phoneticPr fontId="1" type="noConversion"/>
  </si>
  <si>
    <t>公会金库等级</t>
    <phoneticPr fontId="1" type="noConversion"/>
  </si>
  <si>
    <t>公会药房等级</t>
    <phoneticPr fontId="1" type="noConversion"/>
  </si>
  <si>
    <t>公会旅馆等级</t>
    <phoneticPr fontId="1" type="noConversion"/>
  </si>
  <si>
    <t>标准等级等级</t>
    <phoneticPr fontId="1" type="noConversion"/>
  </si>
  <si>
    <t>2200+floor(RoleLv/10)*440+(200+floor(RoleLv/10)*40*(Ring-1))</t>
  </si>
  <si>
    <t>0.75+0.05*Saveid</t>
    <phoneticPr fontId="1" type="noConversion"/>
  </si>
  <si>
    <t>min(RoleLv,FuBenId*10-1051)</t>
    <phoneticPr fontId="1" type="noConversion"/>
  </si>
  <si>
    <t>小怪</t>
    <phoneticPr fontId="1" type="noConversion"/>
  </si>
  <si>
    <t>boss</t>
    <phoneticPr fontId="1" type="noConversion"/>
  </si>
  <si>
    <t>个人每周合计</t>
    <phoneticPr fontId="1" type="noConversion"/>
  </si>
  <si>
    <t>/</t>
    <phoneticPr fontId="1" type="noConversion"/>
  </si>
  <si>
    <t>（相关显示修改）</t>
    <phoneticPr fontId="1" type="noConversion"/>
  </si>
  <si>
    <t>专精等级上限</t>
    <phoneticPr fontId="1" type="noConversion"/>
  </si>
  <si>
    <t>泡温泉每10秒</t>
    <phoneticPr fontId="1" type="noConversion"/>
  </si>
  <si>
    <t>温泉每30秒</t>
    <phoneticPr fontId="1" type="noConversion"/>
  </si>
  <si>
    <t>400*RoleLv*0.04</t>
    <phoneticPr fontId="1" type="noConversion"/>
  </si>
  <si>
    <t>1000+金库系数*上周累计公会dkp/1000</t>
    <phoneticPr fontId="1" type="noConversion"/>
  </si>
  <si>
    <t>((升级建筑等级+1)*建筑围护费用+其他建筑当前维护费用)*3</t>
    <phoneticPr fontId="1" type="noConversion"/>
  </si>
  <si>
    <t>服务器等级天数</t>
    <phoneticPr fontId="1" type="noConversion"/>
  </si>
  <si>
    <t>持续天数</t>
    <phoneticPr fontId="1" type="noConversion"/>
  </si>
  <si>
    <t>floor(1-(time%5)*0.2)</t>
    <phoneticPr fontId="1" type="noConversion"/>
  </si>
  <si>
    <t>参数列表</t>
    <phoneticPr fontId="1" type="noConversion"/>
  </si>
  <si>
    <t>min(RoleLv,FuBenId*10-1051-floor(FuBenId/113)*5)</t>
    <phoneticPr fontId="1" type="noConversion"/>
  </si>
  <si>
    <t>2200+floor(min(RoleLv,FuBenId*10-1051)/10)*440+(200+floor(min(RoleLv,FuBenId*10-1051)/10)*40*Saveid)</t>
  </si>
  <si>
    <t>(2200+floor(min(RoleLv,FuBenId*10-1051)/10)*440+(200+floor(min(RoleLv,FuBenId*10-1051)/10)*40*Saveid))*2</t>
  </si>
  <si>
    <t>金币权重</t>
    <phoneticPr fontId="1" type="noConversion"/>
  </si>
  <si>
    <t>公会战</t>
    <phoneticPr fontId="1" type="noConversion"/>
  </si>
</sst>
</file>

<file path=xl/styles.xml><?xml version="1.0" encoding="utf-8"?>
<styleSheet xmlns="http://schemas.openxmlformats.org/spreadsheetml/2006/main">
  <fonts count="3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70C0"/>
      <name val="宋体"/>
      <family val="2"/>
      <charset val="134"/>
      <scheme val="minor"/>
    </font>
    <font>
      <sz val="11"/>
      <color rgb="FF0070C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b/>
      <sz val="10"/>
      <color rgb="FF0070C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0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  <font>
      <b/>
      <sz val="10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0"/>
      <color rgb="FF7030A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F0"/>
      <name val="宋体"/>
      <family val="2"/>
      <charset val="134"/>
      <scheme val="minor"/>
    </font>
    <font>
      <sz val="11"/>
      <color rgb="FF00B050"/>
      <name val="宋体"/>
      <family val="2"/>
      <charset val="134"/>
      <scheme val="minor"/>
    </font>
    <font>
      <b/>
      <sz val="10"/>
      <color rgb="FF00B0F0"/>
      <name val="宋体"/>
      <family val="2"/>
      <charset val="134"/>
      <scheme val="minor"/>
    </font>
    <font>
      <sz val="11"/>
      <color rgb="FF00B0F0"/>
      <name val="宋体"/>
      <family val="3"/>
      <charset val="134"/>
      <scheme val="minor"/>
    </font>
    <font>
      <b/>
      <sz val="10"/>
      <color rgb="FF00B0F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6" borderId="14" xfId="0" applyFont="1" applyFill="1" applyBorder="1" applyAlignment="1">
      <alignment vertical="center" textRotation="255"/>
    </xf>
    <xf numFmtId="0" fontId="9" fillId="3" borderId="14" xfId="0" applyFont="1" applyFill="1" applyBorder="1" applyAlignment="1">
      <alignment vertical="center" textRotation="255"/>
    </xf>
    <xf numFmtId="0" fontId="9" fillId="4" borderId="1" xfId="0" applyFont="1" applyFill="1" applyBorder="1" applyAlignment="1">
      <alignment vertical="center" textRotation="255"/>
    </xf>
    <xf numFmtId="0" fontId="9" fillId="0" borderId="0" xfId="0" applyFont="1" applyAlignment="1">
      <alignment vertical="center" textRotation="255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9" fillId="0" borderId="1" xfId="0" applyFont="1" applyFill="1" applyBorder="1" applyAlignment="1">
      <alignment vertical="center" textRotation="255"/>
    </xf>
    <xf numFmtId="0" fontId="9" fillId="0" borderId="1" xfId="0" applyFont="1" applyBorder="1" applyAlignment="1">
      <alignment vertical="center" textRotation="255"/>
    </xf>
    <xf numFmtId="0" fontId="11" fillId="0" borderId="1" xfId="0" applyFont="1" applyFill="1" applyBorder="1" applyAlignment="1">
      <alignment vertical="center" textRotation="255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7" borderId="0" xfId="0" applyFont="1" applyFill="1">
      <alignment vertical="center"/>
    </xf>
    <xf numFmtId="0" fontId="9" fillId="7" borderId="1" xfId="0" applyFont="1" applyFill="1" applyBorder="1" applyAlignment="1">
      <alignment vertical="center" textRotation="255"/>
    </xf>
    <xf numFmtId="0" fontId="2" fillId="7" borderId="0" xfId="0" applyFont="1" applyFill="1">
      <alignment vertical="center"/>
    </xf>
    <xf numFmtId="0" fontId="5" fillId="7" borderId="0" xfId="0" applyFont="1" applyFill="1">
      <alignment vertical="center"/>
    </xf>
    <xf numFmtId="0" fontId="0" fillId="7" borderId="6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1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10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10" xfId="0" applyFill="1" applyBorder="1">
      <alignment vertical="center"/>
    </xf>
    <xf numFmtId="0" fontId="8" fillId="0" borderId="12" xfId="0" applyFont="1" applyFill="1" applyBorder="1" applyAlignment="1">
      <alignment horizontal="right"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2" xfId="0" applyBorder="1" applyAlignment="1">
      <alignment horizontal="right" vertical="center"/>
    </xf>
    <xf numFmtId="0" fontId="0" fillId="0" borderId="12" xfId="0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5" fillId="10" borderId="0" xfId="3">
      <alignment vertical="center"/>
    </xf>
    <xf numFmtId="0" fontId="14" fillId="9" borderId="0" xfId="2">
      <alignment vertical="center"/>
    </xf>
    <xf numFmtId="0" fontId="13" fillId="8" borderId="0" xfId="1">
      <alignment vertical="center"/>
    </xf>
    <xf numFmtId="0" fontId="16" fillId="9" borderId="0" xfId="2" applyFont="1">
      <alignment vertical="center"/>
    </xf>
    <xf numFmtId="0" fontId="17" fillId="10" borderId="0" xfId="3" applyFont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" fillId="7" borderId="0" xfId="0" applyFont="1" applyFill="1" applyBorder="1">
      <alignment vertical="center"/>
    </xf>
    <xf numFmtId="0" fontId="6" fillId="0" borderId="0" xfId="0" applyFont="1" applyFill="1">
      <alignment vertical="center"/>
    </xf>
    <xf numFmtId="0" fontId="15" fillId="0" borderId="0" xfId="3" applyFill="1" applyBorder="1" applyAlignment="1">
      <alignment horizontal="right" vertical="center"/>
    </xf>
    <xf numFmtId="0" fontId="15" fillId="0" borderId="12" xfId="3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9" fillId="3" borderId="2" xfId="0" applyFont="1" applyFill="1" applyBorder="1" applyAlignment="1">
      <alignment vertical="center" textRotation="255"/>
    </xf>
    <xf numFmtId="0" fontId="9" fillId="3" borderId="4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2" fillId="0" borderId="0" xfId="0" applyFont="1">
      <alignment vertical="center"/>
    </xf>
    <xf numFmtId="0" fontId="3" fillId="7" borderId="9" xfId="0" applyFont="1" applyFill="1" applyBorder="1">
      <alignment vertical="center"/>
    </xf>
    <xf numFmtId="0" fontId="12" fillId="0" borderId="1" xfId="0" applyFont="1" applyFill="1" applyBorder="1" applyAlignment="1">
      <alignment vertical="center" textRotation="255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5" borderId="0" xfId="0" applyFill="1">
      <alignment vertical="center"/>
    </xf>
    <xf numFmtId="0" fontId="21" fillId="5" borderId="1" xfId="0" applyFont="1" applyFill="1" applyBorder="1" applyAlignment="1">
      <alignment vertical="center" textRotation="255"/>
    </xf>
    <xf numFmtId="0" fontId="25" fillId="0" borderId="1" xfId="0" applyFont="1" applyFill="1" applyBorder="1" applyAlignment="1">
      <alignment vertical="center" textRotation="255"/>
    </xf>
    <xf numFmtId="0" fontId="26" fillId="0" borderId="0" xfId="0" applyFont="1">
      <alignment vertical="center"/>
    </xf>
    <xf numFmtId="0" fontId="4" fillId="0" borderId="0" xfId="0" applyFont="1">
      <alignment vertical="center"/>
    </xf>
    <xf numFmtId="0" fontId="9" fillId="0" borderId="15" xfId="0" applyFont="1" applyFill="1" applyBorder="1" applyAlignment="1">
      <alignment vertical="center" textRotation="255"/>
    </xf>
    <xf numFmtId="0" fontId="0" fillId="7" borderId="5" xfId="0" applyFill="1" applyBorder="1">
      <alignment vertical="center"/>
    </xf>
    <xf numFmtId="0" fontId="0" fillId="7" borderId="15" xfId="0" applyFill="1" applyBorder="1">
      <alignment vertical="center"/>
    </xf>
    <xf numFmtId="0" fontId="3" fillId="7" borderId="15" xfId="0" applyFont="1" applyFill="1" applyBorder="1">
      <alignment vertical="center"/>
    </xf>
    <xf numFmtId="0" fontId="0" fillId="7" borderId="14" xfId="0" applyFill="1" applyBorder="1">
      <alignment vertical="center"/>
    </xf>
    <xf numFmtId="0" fontId="0" fillId="7" borderId="0" xfId="0" applyFill="1">
      <alignment vertical="center"/>
    </xf>
    <xf numFmtId="0" fontId="9" fillId="7" borderId="14" xfId="0" applyFont="1" applyFill="1" applyBorder="1" applyAlignment="1">
      <alignment vertical="center" textRotation="255"/>
    </xf>
    <xf numFmtId="0" fontId="0" fillId="7" borderId="8" xfId="0" applyFill="1" applyBorder="1">
      <alignment vertical="center"/>
    </xf>
    <xf numFmtId="0" fontId="0" fillId="7" borderId="10" xfId="0" applyFill="1" applyBorder="1">
      <alignment vertical="center"/>
    </xf>
    <xf numFmtId="0" fontId="0" fillId="7" borderId="13" xfId="0" applyFill="1" applyBorder="1">
      <alignment vertical="center"/>
    </xf>
    <xf numFmtId="0" fontId="3" fillId="7" borderId="10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4" fillId="7" borderId="10" xfId="0" applyFont="1" applyFill="1" applyBorder="1">
      <alignment vertical="center"/>
    </xf>
    <xf numFmtId="0" fontId="24" fillId="0" borderId="5" xfId="2" applyFont="1" applyFill="1" applyBorder="1" applyAlignment="1">
      <alignment horizontal="center" vertical="center"/>
    </xf>
    <xf numFmtId="0" fontId="24" fillId="0" borderId="5" xfId="3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27" fillId="7" borderId="0" xfId="0" applyFont="1" applyFill="1" applyBorder="1">
      <alignment vertical="center"/>
    </xf>
    <xf numFmtId="0" fontId="26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5" fillId="0" borderId="1" xfId="3" applyFill="1" applyBorder="1">
      <alignment vertical="center"/>
    </xf>
    <xf numFmtId="0" fontId="0" fillId="0" borderId="1" xfId="0" applyFill="1" applyBorder="1">
      <alignment vertical="center"/>
    </xf>
    <xf numFmtId="0" fontId="15" fillId="0" borderId="1" xfId="3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3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>
      <alignment vertical="center"/>
    </xf>
    <xf numFmtId="0" fontId="4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4" fillId="0" borderId="1" xfId="1" applyFont="1" applyFill="1" applyBorder="1" applyAlignment="1">
      <alignment horizontal="center" vertical="center"/>
    </xf>
    <xf numFmtId="0" fontId="13" fillId="0" borderId="1" xfId="1" applyFill="1" applyBorder="1" applyAlignment="1">
      <alignment horizontal="right" vertical="center"/>
    </xf>
    <xf numFmtId="0" fontId="9" fillId="7" borderId="5" xfId="0" applyFont="1" applyFill="1" applyBorder="1" applyAlignment="1">
      <alignment vertical="center" textRotation="255"/>
    </xf>
    <xf numFmtId="0" fontId="3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textRotation="255"/>
    </xf>
    <xf numFmtId="0" fontId="9" fillId="2" borderId="0" xfId="0" applyFont="1" applyFill="1" applyBorder="1" applyAlignment="1">
      <alignment vertical="center" textRotation="255"/>
    </xf>
    <xf numFmtId="0" fontId="12" fillId="0" borderId="1" xfId="0" applyFont="1" applyBorder="1" applyAlignment="1">
      <alignment vertical="center" textRotation="255"/>
    </xf>
    <xf numFmtId="0" fontId="28" fillId="2" borderId="14" xfId="0" applyFont="1" applyFill="1" applyBorder="1" applyAlignment="1">
      <alignment vertical="center" textRotation="255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3" fillId="0" borderId="9" xfId="0" applyFont="1" applyBorder="1">
      <alignment vertical="center"/>
    </xf>
    <xf numFmtId="0" fontId="31" fillId="0" borderId="1" xfId="0" applyFont="1" applyFill="1" applyBorder="1" applyAlignment="1">
      <alignment vertical="center" textRotation="255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9" fillId="3" borderId="11" xfId="0" applyFont="1" applyFill="1" applyBorder="1" applyAlignment="1">
      <alignment vertical="center" textRotation="255"/>
    </xf>
    <xf numFmtId="0" fontId="4" fillId="0" borderId="9" xfId="0" applyFont="1" applyBorder="1">
      <alignment vertical="center"/>
    </xf>
    <xf numFmtId="0" fontId="32" fillId="0" borderId="9" xfId="0" applyFont="1" applyBorder="1">
      <alignment vertical="center"/>
    </xf>
    <xf numFmtId="0" fontId="32" fillId="0" borderId="0" xfId="0" applyFont="1" applyBorder="1">
      <alignment vertical="center"/>
    </xf>
    <xf numFmtId="0" fontId="32" fillId="0" borderId="10" xfId="0" applyFont="1" applyBorder="1">
      <alignment vertical="center"/>
    </xf>
    <xf numFmtId="0" fontId="32" fillId="0" borderId="0" xfId="0" applyFont="1" applyFill="1" applyBorder="1">
      <alignment vertical="center"/>
    </xf>
    <xf numFmtId="0" fontId="32" fillId="5" borderId="9" xfId="0" applyFont="1" applyFill="1" applyBorder="1">
      <alignment vertical="center"/>
    </xf>
    <xf numFmtId="0" fontId="32" fillId="5" borderId="0" xfId="0" applyFont="1" applyFill="1" applyBorder="1">
      <alignment vertical="center"/>
    </xf>
    <xf numFmtId="0" fontId="32" fillId="5" borderId="10" xfId="0" applyFont="1" applyFill="1" applyBorder="1">
      <alignment vertical="center"/>
    </xf>
    <xf numFmtId="0" fontId="32" fillId="5" borderId="0" xfId="0" applyFont="1" applyFill="1" applyBorder="1" applyAlignment="1">
      <alignment horizontal="right" vertical="center"/>
    </xf>
    <xf numFmtId="0" fontId="32" fillId="6" borderId="9" xfId="0" applyFont="1" applyFill="1" applyBorder="1">
      <alignment vertical="center"/>
    </xf>
    <xf numFmtId="0" fontId="32" fillId="6" borderId="0" xfId="0" applyFont="1" applyFill="1" applyBorder="1">
      <alignment vertical="center"/>
    </xf>
    <xf numFmtId="0" fontId="32" fillId="6" borderId="10" xfId="0" applyFont="1" applyFill="1" applyBorder="1">
      <alignment vertical="center"/>
    </xf>
    <xf numFmtId="0" fontId="4" fillId="0" borderId="6" xfId="0" applyFont="1" applyBorder="1">
      <alignment vertical="center"/>
    </xf>
    <xf numFmtId="0" fontId="32" fillId="0" borderId="11" xfId="0" applyFont="1" applyBorder="1">
      <alignment vertical="center"/>
    </xf>
    <xf numFmtId="0" fontId="32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textRotation="255"/>
    </xf>
    <xf numFmtId="0" fontId="0" fillId="0" borderId="0" xfId="0" applyAlignment="1">
      <alignment horizontal="center" vertical="center"/>
    </xf>
    <xf numFmtId="0" fontId="33" fillId="0" borderId="0" xfId="0" applyFont="1">
      <alignment vertical="center"/>
    </xf>
    <xf numFmtId="0" fontId="0" fillId="6" borderId="0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4" fillId="0" borderId="0" xfId="0" applyFont="1">
      <alignment vertical="center"/>
    </xf>
    <xf numFmtId="0" fontId="33" fillId="0" borderId="0" xfId="0" applyFont="1" applyAlignment="1">
      <alignment vertical="center" wrapText="1"/>
    </xf>
    <xf numFmtId="0" fontId="35" fillId="0" borderId="1" xfId="0" applyFont="1" applyFill="1" applyBorder="1" applyAlignment="1">
      <alignment vertical="center" textRotation="255"/>
    </xf>
    <xf numFmtId="0" fontId="36" fillId="0" borderId="0" xfId="0" applyFont="1">
      <alignment vertical="center"/>
    </xf>
    <xf numFmtId="0" fontId="37" fillId="0" borderId="1" xfId="0" applyFont="1" applyFill="1" applyBorder="1" applyAlignment="1">
      <alignment vertical="center" textRotation="255"/>
    </xf>
    <xf numFmtId="0" fontId="22" fillId="0" borderId="0" xfId="0" applyFont="1" applyAlignment="1">
      <alignment vertical="center" wrapText="1"/>
    </xf>
    <xf numFmtId="0" fontId="38" fillId="0" borderId="0" xfId="0" applyFo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cked"/>
        <c:ser>
          <c:idx val="0"/>
          <c:order val="0"/>
          <c:tx>
            <c:v>升级时长</c:v>
          </c:tx>
          <c:marker>
            <c:symbol val="none"/>
          </c:marker>
          <c:val>
            <c:numRef>
              <c:f>升级节奏!$G$3:$G$91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1.3816666666666666E-2</c:v>
                </c:pt>
                <c:pt idx="27">
                  <c:v>2.9466666666666669E-2</c:v>
                </c:pt>
                <c:pt idx="28">
                  <c:v>4.7050000000000002E-2</c:v>
                </c:pt>
                <c:pt idx="29">
                  <c:v>6.6666666666666666E-2</c:v>
                </c:pt>
                <c:pt idx="30">
                  <c:v>8.8416666666666657E-2</c:v>
                </c:pt>
                <c:pt idx="31">
                  <c:v>9.3666666666666676E-2</c:v>
                </c:pt>
                <c:pt idx="32">
                  <c:v>9.9083333333333343E-2</c:v>
                </c:pt>
                <c:pt idx="33">
                  <c:v>0.11513333333333337</c:v>
                </c:pt>
                <c:pt idx="34">
                  <c:v>0.12145833333333335</c:v>
                </c:pt>
                <c:pt idx="35">
                  <c:v>0.1279666666666667</c:v>
                </c:pt>
                <c:pt idx="36">
                  <c:v>0.13465833333333335</c:v>
                </c:pt>
                <c:pt idx="37">
                  <c:v>0.14153333333333337</c:v>
                </c:pt>
                <c:pt idx="38">
                  <c:v>0.17560833333333337</c:v>
                </c:pt>
                <c:pt idx="39">
                  <c:v>0.1841666666666667</c:v>
                </c:pt>
                <c:pt idx="40">
                  <c:v>0.19294166666666668</c:v>
                </c:pt>
                <c:pt idx="41">
                  <c:v>0.20193333333333335</c:v>
                </c:pt>
                <c:pt idx="42">
                  <c:v>0.2111416666666667</c:v>
                </c:pt>
                <c:pt idx="43">
                  <c:v>0.2545</c:v>
                </c:pt>
                <c:pt idx="44">
                  <c:v>0.265625</c:v>
                </c:pt>
                <c:pt idx="45">
                  <c:v>0.27700000000000002</c:v>
                </c:pt>
                <c:pt idx="46">
                  <c:v>0.28862500000000002</c:v>
                </c:pt>
                <c:pt idx="47">
                  <c:v>0.30049999999999999</c:v>
                </c:pt>
                <c:pt idx="48">
                  <c:v>0.35430833333333339</c:v>
                </c:pt>
                <c:pt idx="49">
                  <c:v>0.36833333333333335</c:v>
                </c:pt>
                <c:pt idx="50">
                  <c:v>0.38264166666666677</c:v>
                </c:pt>
                <c:pt idx="51">
                  <c:v>0.39723333333333338</c:v>
                </c:pt>
                <c:pt idx="52">
                  <c:v>0.41210833333333335</c:v>
                </c:pt>
                <c:pt idx="53">
                  <c:v>0.50266666666666671</c:v>
                </c:pt>
                <c:pt idx="54">
                  <c:v>0.52083333333333337</c:v>
                </c:pt>
                <c:pt idx="55">
                  <c:v>0.80899999999999994</c:v>
                </c:pt>
                <c:pt idx="56">
                  <c:v>0.83725000000000005</c:v>
                </c:pt>
                <c:pt idx="57">
                  <c:v>0.8660000000000001</c:v>
                </c:pt>
                <c:pt idx="58">
                  <c:v>0.8952500000000001</c:v>
                </c:pt>
                <c:pt idx="59">
                  <c:v>1.2333333333333334</c:v>
                </c:pt>
                <c:pt idx="60">
                  <c:v>1.5920833333333335</c:v>
                </c:pt>
                <c:pt idx="61">
                  <c:v>1.972</c:v>
                </c:pt>
                <c:pt idx="62">
                  <c:v>2.3735833333333334</c:v>
                </c:pt>
                <c:pt idx="63">
                  <c:v>2.7973333333333339</c:v>
                </c:pt>
                <c:pt idx="64">
                  <c:v>3.2437499999999999</c:v>
                </c:pt>
                <c:pt idx="65">
                  <c:v>4.0846666666666671</c:v>
                </c:pt>
                <c:pt idx="66">
                  <c:v>4.9714166666666673</c:v>
                </c:pt>
                <c:pt idx="67">
                  <c:v>5.9050000000000002</c:v>
                </c:pt>
                <c:pt idx="68">
                  <c:v>6.8864166666666682</c:v>
                </c:pt>
                <c:pt idx="69">
                  <c:v>7.0833333333333339</c:v>
                </c:pt>
                <c:pt idx="70">
                  <c:v>7.2830833333333347</c:v>
                </c:pt>
                <c:pt idx="71">
                  <c:v>7.4856666666666678</c:v>
                </c:pt>
                <c:pt idx="72">
                  <c:v>7.6910833333333333</c:v>
                </c:pt>
                <c:pt idx="73">
                  <c:v>7.8993333333333347</c:v>
                </c:pt>
                <c:pt idx="74">
                  <c:v>8.1104166666666675</c:v>
                </c:pt>
                <c:pt idx="75">
                  <c:v>8.3243333333333336</c:v>
                </c:pt>
                <c:pt idx="76">
                  <c:v>8.5410833333333329</c:v>
                </c:pt>
                <c:pt idx="77">
                  <c:v>8.760666666666669</c:v>
                </c:pt>
                <c:pt idx="78">
                  <c:v>8.9830833333333349</c:v>
                </c:pt>
                <c:pt idx="79">
                  <c:v>9.2083333333333321</c:v>
                </c:pt>
                <c:pt idx="80">
                  <c:v>9.436416666666668</c:v>
                </c:pt>
                <c:pt idx="81">
                  <c:v>9.6673333333333336</c:v>
                </c:pt>
                <c:pt idx="82">
                  <c:v>9.9010833333333341</c:v>
                </c:pt>
                <c:pt idx="83">
                  <c:v>10.137666666666668</c:v>
                </c:pt>
                <c:pt idx="84">
                  <c:v>10.377083333333335</c:v>
                </c:pt>
                <c:pt idx="85">
                  <c:v>10.619333333333335</c:v>
                </c:pt>
                <c:pt idx="86">
                  <c:v>10.864416666666667</c:v>
                </c:pt>
                <c:pt idx="87">
                  <c:v>11.112333333333334</c:v>
                </c:pt>
                <c:pt idx="88">
                  <c:v>11.363083333333336</c:v>
                </c:pt>
              </c:numCache>
            </c:numRef>
          </c:val>
        </c:ser>
        <c:marker val="1"/>
        <c:axId val="94815744"/>
        <c:axId val="94817280"/>
      </c:lineChart>
      <c:catAx>
        <c:axId val="94815744"/>
        <c:scaling>
          <c:orientation val="minMax"/>
        </c:scaling>
        <c:axPos val="b"/>
        <c:tickLblPos val="nextTo"/>
        <c:crossAx val="94817280"/>
        <c:crosses val="autoZero"/>
        <c:auto val="1"/>
        <c:lblAlgn val="ctr"/>
        <c:lblOffset val="100"/>
      </c:catAx>
      <c:valAx>
        <c:axId val="94817280"/>
        <c:scaling>
          <c:orientation val="minMax"/>
        </c:scaling>
        <c:axPos val="l"/>
        <c:majorGridlines/>
        <c:numFmt formatCode="General" sourceLinked="1"/>
        <c:tickLblPos val="nextTo"/>
        <c:crossAx val="948157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cked"/>
        <c:ser>
          <c:idx val="0"/>
          <c:order val="0"/>
          <c:tx>
            <c:v>总时长</c:v>
          </c:tx>
          <c:marker>
            <c:symbol val="none"/>
          </c:marker>
          <c:val>
            <c:numRef>
              <c:f>升级节奏!$H$3:$H$91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1.3816666666666666E-2</c:v>
                </c:pt>
                <c:pt idx="27">
                  <c:v>4.3283333333333333E-2</c:v>
                </c:pt>
                <c:pt idx="28">
                  <c:v>9.0333333333333335E-2</c:v>
                </c:pt>
                <c:pt idx="29">
                  <c:v>0.157</c:v>
                </c:pt>
                <c:pt idx="30">
                  <c:v>0.24541666666666667</c:v>
                </c:pt>
                <c:pt idx="31">
                  <c:v>0.33908333333333335</c:v>
                </c:pt>
                <c:pt idx="32">
                  <c:v>0.4381666666666667</c:v>
                </c:pt>
                <c:pt idx="33">
                  <c:v>0.55330000000000013</c:v>
                </c:pt>
                <c:pt idx="34">
                  <c:v>0.67475833333333346</c:v>
                </c:pt>
                <c:pt idx="35">
                  <c:v>0.80272500000000013</c:v>
                </c:pt>
                <c:pt idx="36">
                  <c:v>0.93738333333333346</c:v>
                </c:pt>
                <c:pt idx="37">
                  <c:v>1.0789166666666667</c:v>
                </c:pt>
                <c:pt idx="38">
                  <c:v>1.2545250000000001</c:v>
                </c:pt>
                <c:pt idx="39">
                  <c:v>1.4386916666666667</c:v>
                </c:pt>
                <c:pt idx="40">
                  <c:v>1.6316333333333333</c:v>
                </c:pt>
                <c:pt idx="41">
                  <c:v>1.8335666666666666</c:v>
                </c:pt>
                <c:pt idx="42">
                  <c:v>2.0447083333333333</c:v>
                </c:pt>
                <c:pt idx="43">
                  <c:v>2.2992083333333335</c:v>
                </c:pt>
                <c:pt idx="44">
                  <c:v>2.5648333333333335</c:v>
                </c:pt>
                <c:pt idx="45">
                  <c:v>2.8418333333333337</c:v>
                </c:pt>
                <c:pt idx="46">
                  <c:v>3.1304583333333338</c:v>
                </c:pt>
                <c:pt idx="47">
                  <c:v>3.4309583333333338</c:v>
                </c:pt>
                <c:pt idx="48">
                  <c:v>3.7852666666666672</c:v>
                </c:pt>
                <c:pt idx="49">
                  <c:v>4.1536000000000008</c:v>
                </c:pt>
                <c:pt idx="50">
                  <c:v>4.5362416666666672</c:v>
                </c:pt>
                <c:pt idx="51">
                  <c:v>4.9334750000000005</c:v>
                </c:pt>
                <c:pt idx="52">
                  <c:v>5.3455833333333338</c:v>
                </c:pt>
                <c:pt idx="53">
                  <c:v>5.8482500000000002</c:v>
                </c:pt>
                <c:pt idx="54">
                  <c:v>6.3690833333333332</c:v>
                </c:pt>
                <c:pt idx="55">
                  <c:v>7.1780833333333334</c:v>
                </c:pt>
                <c:pt idx="56">
                  <c:v>8.0153333333333343</c:v>
                </c:pt>
                <c:pt idx="57">
                  <c:v>8.881333333333334</c:v>
                </c:pt>
                <c:pt idx="58">
                  <c:v>9.7765833333333347</c:v>
                </c:pt>
                <c:pt idx="59">
                  <c:v>11.009916666666669</c:v>
                </c:pt>
                <c:pt idx="60">
                  <c:v>12.602000000000002</c:v>
                </c:pt>
                <c:pt idx="61">
                  <c:v>14.574000000000002</c:v>
                </c:pt>
                <c:pt idx="62">
                  <c:v>16.947583333333334</c:v>
                </c:pt>
                <c:pt idx="63">
                  <c:v>19.744916666666668</c:v>
                </c:pt>
                <c:pt idx="64">
                  <c:v>22.988666666666667</c:v>
                </c:pt>
                <c:pt idx="65">
                  <c:v>27.073333333333334</c:v>
                </c:pt>
                <c:pt idx="66">
                  <c:v>32.044750000000001</c:v>
                </c:pt>
                <c:pt idx="67">
                  <c:v>37.949750000000002</c:v>
                </c:pt>
                <c:pt idx="68">
                  <c:v>44.836166666666671</c:v>
                </c:pt>
                <c:pt idx="69">
                  <c:v>51.919500000000006</c:v>
                </c:pt>
                <c:pt idx="70">
                  <c:v>59.202583333333344</c:v>
                </c:pt>
                <c:pt idx="71">
                  <c:v>66.688250000000011</c:v>
                </c:pt>
                <c:pt idx="72">
                  <c:v>74.379333333333349</c:v>
                </c:pt>
                <c:pt idx="73">
                  <c:v>82.27866666666668</c:v>
                </c:pt>
                <c:pt idx="74">
                  <c:v>90.389083333333346</c:v>
                </c:pt>
                <c:pt idx="75">
                  <c:v>98.713416666666674</c:v>
                </c:pt>
                <c:pt idx="76">
                  <c:v>107.25450000000001</c:v>
                </c:pt>
                <c:pt idx="77">
                  <c:v>116.01516666666667</c:v>
                </c:pt>
                <c:pt idx="78">
                  <c:v>124.99825000000001</c:v>
                </c:pt>
                <c:pt idx="79">
                  <c:v>134.20658333333336</c:v>
                </c:pt>
                <c:pt idx="80">
                  <c:v>143.64300000000003</c:v>
                </c:pt>
                <c:pt idx="81">
                  <c:v>153.31033333333338</c:v>
                </c:pt>
                <c:pt idx="82">
                  <c:v>163.21141666666671</c:v>
                </c:pt>
                <c:pt idx="83">
                  <c:v>173.34908333333337</c:v>
                </c:pt>
                <c:pt idx="84">
                  <c:v>183.7261666666667</c:v>
                </c:pt>
                <c:pt idx="85">
                  <c:v>194.34550000000004</c:v>
                </c:pt>
                <c:pt idx="86">
                  <c:v>205.20991666666671</c:v>
                </c:pt>
                <c:pt idx="87">
                  <c:v>216.32225000000005</c:v>
                </c:pt>
                <c:pt idx="88">
                  <c:v>227.6853333333334</c:v>
                </c:pt>
              </c:numCache>
            </c:numRef>
          </c:val>
        </c:ser>
        <c:marker val="1"/>
        <c:axId val="95235456"/>
        <c:axId val="95241344"/>
      </c:lineChart>
      <c:catAx>
        <c:axId val="95235456"/>
        <c:scaling>
          <c:orientation val="minMax"/>
        </c:scaling>
        <c:axPos val="b"/>
        <c:tickLblPos val="nextTo"/>
        <c:crossAx val="95241344"/>
        <c:crosses val="autoZero"/>
        <c:auto val="1"/>
        <c:lblAlgn val="ctr"/>
        <c:lblOffset val="100"/>
      </c:catAx>
      <c:valAx>
        <c:axId val="95241344"/>
        <c:scaling>
          <c:orientation val="minMax"/>
        </c:scaling>
        <c:axPos val="l"/>
        <c:majorGridlines/>
        <c:numFmt formatCode="General" sourceLinked="1"/>
        <c:tickLblPos val="nextTo"/>
        <c:crossAx val="9523545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>
        <c:manualLayout>
          <c:layoutTarget val="inner"/>
          <c:xMode val="edge"/>
          <c:yMode val="edge"/>
          <c:x val="0.11265507436570428"/>
          <c:y val="0.20140055409740856"/>
          <c:w val="0.53456714785649917"/>
          <c:h val="0.6482250656168147"/>
        </c:manualLayout>
      </c:layout>
      <c:lineChart>
        <c:grouping val="stacked"/>
        <c:ser>
          <c:idx val="0"/>
          <c:order val="0"/>
          <c:tx>
            <c:v>单位时间基准效率获得经验</c:v>
          </c:tx>
          <c:marker>
            <c:symbol val="none"/>
          </c:marker>
          <c:val>
            <c:numRef>
              <c:f>升级节奏!$C$3:$C$91</c:f>
              <c:numCache>
                <c:formatCode>General</c:formatCode>
                <c:ptCount val="89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  <c:pt idx="15">
                  <c:v>6400</c:v>
                </c:pt>
                <c:pt idx="16">
                  <c:v>6800</c:v>
                </c:pt>
                <c:pt idx="17">
                  <c:v>7200</c:v>
                </c:pt>
                <c:pt idx="18">
                  <c:v>7600</c:v>
                </c:pt>
                <c:pt idx="19">
                  <c:v>8000</c:v>
                </c:pt>
                <c:pt idx="20">
                  <c:v>8400</c:v>
                </c:pt>
                <c:pt idx="21">
                  <c:v>8800</c:v>
                </c:pt>
                <c:pt idx="22">
                  <c:v>9200</c:v>
                </c:pt>
                <c:pt idx="23">
                  <c:v>9600</c:v>
                </c:pt>
                <c:pt idx="24">
                  <c:v>10000</c:v>
                </c:pt>
                <c:pt idx="25">
                  <c:v>10400</c:v>
                </c:pt>
                <c:pt idx="26">
                  <c:v>10800</c:v>
                </c:pt>
                <c:pt idx="27">
                  <c:v>11200</c:v>
                </c:pt>
                <c:pt idx="28">
                  <c:v>11600</c:v>
                </c:pt>
                <c:pt idx="29">
                  <c:v>12000</c:v>
                </c:pt>
                <c:pt idx="30">
                  <c:v>12400</c:v>
                </c:pt>
                <c:pt idx="31">
                  <c:v>12800</c:v>
                </c:pt>
                <c:pt idx="32">
                  <c:v>13200</c:v>
                </c:pt>
                <c:pt idx="33">
                  <c:v>13600</c:v>
                </c:pt>
                <c:pt idx="34">
                  <c:v>14000</c:v>
                </c:pt>
                <c:pt idx="35">
                  <c:v>14400</c:v>
                </c:pt>
                <c:pt idx="36">
                  <c:v>14800</c:v>
                </c:pt>
                <c:pt idx="37">
                  <c:v>15200</c:v>
                </c:pt>
                <c:pt idx="38">
                  <c:v>15600</c:v>
                </c:pt>
                <c:pt idx="39">
                  <c:v>16000</c:v>
                </c:pt>
                <c:pt idx="40">
                  <c:v>16400</c:v>
                </c:pt>
                <c:pt idx="41">
                  <c:v>16800</c:v>
                </c:pt>
                <c:pt idx="42">
                  <c:v>17200</c:v>
                </c:pt>
                <c:pt idx="43">
                  <c:v>17600</c:v>
                </c:pt>
                <c:pt idx="44">
                  <c:v>18000</c:v>
                </c:pt>
                <c:pt idx="45">
                  <c:v>18400</c:v>
                </c:pt>
                <c:pt idx="46">
                  <c:v>18800</c:v>
                </c:pt>
                <c:pt idx="47">
                  <c:v>19200</c:v>
                </c:pt>
                <c:pt idx="48">
                  <c:v>19600</c:v>
                </c:pt>
                <c:pt idx="49">
                  <c:v>20000</c:v>
                </c:pt>
                <c:pt idx="50">
                  <c:v>20400</c:v>
                </c:pt>
                <c:pt idx="51">
                  <c:v>20800</c:v>
                </c:pt>
                <c:pt idx="52">
                  <c:v>21200</c:v>
                </c:pt>
                <c:pt idx="53">
                  <c:v>21600</c:v>
                </c:pt>
                <c:pt idx="54">
                  <c:v>22000</c:v>
                </c:pt>
                <c:pt idx="55">
                  <c:v>22400</c:v>
                </c:pt>
                <c:pt idx="56">
                  <c:v>22800</c:v>
                </c:pt>
                <c:pt idx="57">
                  <c:v>23200</c:v>
                </c:pt>
                <c:pt idx="58">
                  <c:v>23600</c:v>
                </c:pt>
                <c:pt idx="59">
                  <c:v>24000</c:v>
                </c:pt>
                <c:pt idx="60">
                  <c:v>24400</c:v>
                </c:pt>
                <c:pt idx="61">
                  <c:v>24800</c:v>
                </c:pt>
                <c:pt idx="62">
                  <c:v>25200</c:v>
                </c:pt>
                <c:pt idx="63">
                  <c:v>25600</c:v>
                </c:pt>
                <c:pt idx="64">
                  <c:v>26000</c:v>
                </c:pt>
                <c:pt idx="65">
                  <c:v>26400</c:v>
                </c:pt>
                <c:pt idx="66">
                  <c:v>26800</c:v>
                </c:pt>
                <c:pt idx="67">
                  <c:v>27200</c:v>
                </c:pt>
                <c:pt idx="68">
                  <c:v>27600</c:v>
                </c:pt>
                <c:pt idx="69">
                  <c:v>28000</c:v>
                </c:pt>
                <c:pt idx="70">
                  <c:v>28400</c:v>
                </c:pt>
                <c:pt idx="71">
                  <c:v>28800</c:v>
                </c:pt>
                <c:pt idx="72">
                  <c:v>29200</c:v>
                </c:pt>
                <c:pt idx="73">
                  <c:v>29600</c:v>
                </c:pt>
                <c:pt idx="74">
                  <c:v>30000</c:v>
                </c:pt>
                <c:pt idx="75">
                  <c:v>30400</c:v>
                </c:pt>
                <c:pt idx="76">
                  <c:v>30800</c:v>
                </c:pt>
                <c:pt idx="77">
                  <c:v>31200</c:v>
                </c:pt>
                <c:pt idx="78">
                  <c:v>31600</c:v>
                </c:pt>
                <c:pt idx="79">
                  <c:v>32000</c:v>
                </c:pt>
                <c:pt idx="80">
                  <c:v>32400</c:v>
                </c:pt>
                <c:pt idx="81">
                  <c:v>32800</c:v>
                </c:pt>
                <c:pt idx="82">
                  <c:v>33200</c:v>
                </c:pt>
                <c:pt idx="83">
                  <c:v>33600</c:v>
                </c:pt>
                <c:pt idx="84">
                  <c:v>34000</c:v>
                </c:pt>
                <c:pt idx="85">
                  <c:v>34400</c:v>
                </c:pt>
                <c:pt idx="86">
                  <c:v>34800</c:v>
                </c:pt>
                <c:pt idx="87">
                  <c:v>35200</c:v>
                </c:pt>
                <c:pt idx="88">
                  <c:v>35600</c:v>
                </c:pt>
              </c:numCache>
            </c:numRef>
          </c:val>
        </c:ser>
        <c:marker val="1"/>
        <c:axId val="95253632"/>
        <c:axId val="95255168"/>
      </c:lineChart>
      <c:catAx>
        <c:axId val="95253632"/>
        <c:scaling>
          <c:orientation val="minMax"/>
        </c:scaling>
        <c:axPos val="b"/>
        <c:tickLblPos val="nextTo"/>
        <c:crossAx val="95255168"/>
        <c:crosses val="autoZero"/>
        <c:auto val="1"/>
        <c:lblAlgn val="ctr"/>
        <c:lblOffset val="100"/>
      </c:catAx>
      <c:valAx>
        <c:axId val="95255168"/>
        <c:scaling>
          <c:orientation val="minMax"/>
        </c:scaling>
        <c:axPos val="l"/>
        <c:majorGridlines/>
        <c:numFmt formatCode="General" sourceLinked="1"/>
        <c:tickLblPos val="nextTo"/>
        <c:crossAx val="95253632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1238126354537634"/>
          <c:y val="5.1400554097404488E-2"/>
          <c:w val="0.67442371570773552"/>
          <c:h val="0.7982250656167978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[1]帮派!$C$35:$C$104</c:f>
              <c:numCache>
                <c:formatCode>General</c:formatCode>
                <c:ptCount val="70"/>
                <c:pt idx="0">
                  <c:v>250</c:v>
                </c:pt>
                <c:pt idx="1">
                  <c:v>316.84157921039474</c:v>
                </c:pt>
                <c:pt idx="2">
                  <c:v>402.92353823088445</c:v>
                </c:pt>
                <c:pt idx="3">
                  <c:v>508.24587706146906</c:v>
                </c:pt>
                <c:pt idx="4">
                  <c:v>632.80859570214875</c:v>
                </c:pt>
                <c:pt idx="5">
                  <c:v>776.61169415292329</c:v>
                </c:pt>
                <c:pt idx="6">
                  <c:v>939.6551724137928</c:v>
                </c:pt>
                <c:pt idx="7">
                  <c:v>1121.9390304847573</c:v>
                </c:pt>
                <c:pt idx="8">
                  <c:v>1323.4632683658167</c:v>
                </c:pt>
                <c:pt idx="9">
                  <c:v>1544.2278860569711</c:v>
                </c:pt>
                <c:pt idx="10">
                  <c:v>1784.2328835582202</c:v>
                </c:pt>
                <c:pt idx="11">
                  <c:v>2043.4782608695648</c:v>
                </c:pt>
                <c:pt idx="12">
                  <c:v>2321.9640179910043</c:v>
                </c:pt>
                <c:pt idx="13">
                  <c:v>2619.6901549225386</c:v>
                </c:pt>
                <c:pt idx="14">
                  <c:v>2936.6566716641678</c:v>
                </c:pt>
                <c:pt idx="15">
                  <c:v>3272.8635682158915</c:v>
                </c:pt>
                <c:pt idx="16">
                  <c:v>3628.3108445777111</c:v>
                </c:pt>
                <c:pt idx="17">
                  <c:v>4002.9985007496248</c:v>
                </c:pt>
                <c:pt idx="18">
                  <c:v>4396.9265367316339</c:v>
                </c:pt>
                <c:pt idx="19">
                  <c:v>4810.0949525237374</c:v>
                </c:pt>
                <c:pt idx="20">
                  <c:v>5242.503748125936</c:v>
                </c:pt>
                <c:pt idx="21">
                  <c:v>5694.1529235382295</c:v>
                </c:pt>
                <c:pt idx="22">
                  <c:v>6165.0424787606198</c:v>
                </c:pt>
                <c:pt idx="23">
                  <c:v>6655.1724137931042</c:v>
                </c:pt>
                <c:pt idx="24">
                  <c:v>7164.5427286356817</c:v>
                </c:pt>
                <c:pt idx="25">
                  <c:v>7693.153423288356</c:v>
                </c:pt>
                <c:pt idx="26">
                  <c:v>8241.0044977511261</c:v>
                </c:pt>
                <c:pt idx="27">
                  <c:v>8808.0959520239885</c:v>
                </c:pt>
                <c:pt idx="28">
                  <c:v>9394.4277861069477</c:v>
                </c:pt>
                <c:pt idx="29">
                  <c:v>10000.000000000002</c:v>
                </c:pt>
                <c:pt idx="30">
                  <c:v>10624.812593703149</c:v>
                </c:pt>
                <c:pt idx="31">
                  <c:v>11268.865567216393</c:v>
                </c:pt>
                <c:pt idx="32">
                  <c:v>11932.158920539732</c:v>
                </c:pt>
                <c:pt idx="33">
                  <c:v>12614.692653673163</c:v>
                </c:pt>
                <c:pt idx="34">
                  <c:v>13316.466766616693</c:v>
                </c:pt>
                <c:pt idx="35">
                  <c:v>14037.481259370315</c:v>
                </c:pt>
                <c:pt idx="36">
                  <c:v>14777.736131934036</c:v>
                </c:pt>
                <c:pt idx="37">
                  <c:v>15537.231384307846</c:v>
                </c:pt>
                <c:pt idx="38">
                  <c:v>16315.967016491755</c:v>
                </c:pt>
                <c:pt idx="39">
                  <c:v>17113.943028485755</c:v>
                </c:pt>
                <c:pt idx="40">
                  <c:v>17931.159420289856</c:v>
                </c:pt>
                <c:pt idx="41">
                  <c:v>18767.616191904046</c:v>
                </c:pt>
                <c:pt idx="42">
                  <c:v>19623.313343328336</c:v>
                </c:pt>
                <c:pt idx="43">
                  <c:v>20498.250874562716</c:v>
                </c:pt>
                <c:pt idx="44">
                  <c:v>21392.428785607197</c:v>
                </c:pt>
                <c:pt idx="45">
                  <c:v>22305.84707646177</c:v>
                </c:pt>
                <c:pt idx="46">
                  <c:v>23238.505747126437</c:v>
                </c:pt>
                <c:pt idx="47">
                  <c:v>24190.404797601201</c:v>
                </c:pt>
                <c:pt idx="48">
                  <c:v>25161.544227886057</c:v>
                </c:pt>
                <c:pt idx="49">
                  <c:v>26151.924037981011</c:v>
                </c:pt>
                <c:pt idx="50">
                  <c:v>27161.544227886057</c:v>
                </c:pt>
                <c:pt idx="51">
                  <c:v>28190.404797601201</c:v>
                </c:pt>
                <c:pt idx="52">
                  <c:v>29238.505747126437</c:v>
                </c:pt>
                <c:pt idx="53">
                  <c:v>30305.84707646177</c:v>
                </c:pt>
                <c:pt idx="54">
                  <c:v>31392.428785607201</c:v>
                </c:pt>
                <c:pt idx="55">
                  <c:v>32498.250874562727</c:v>
                </c:pt>
                <c:pt idx="56">
                  <c:v>33623.313343328336</c:v>
                </c:pt>
                <c:pt idx="57">
                  <c:v>34767.616191904053</c:v>
                </c:pt>
                <c:pt idx="58">
                  <c:v>35931.15942028987</c:v>
                </c:pt>
                <c:pt idx="59">
                  <c:v>37113.943028485766</c:v>
                </c:pt>
                <c:pt idx="60">
                  <c:v>38315.967016491762</c:v>
                </c:pt>
                <c:pt idx="61">
                  <c:v>39537.231384307859</c:v>
                </c:pt>
                <c:pt idx="62">
                  <c:v>40777.736131934042</c:v>
                </c:pt>
                <c:pt idx="63">
                  <c:v>42037.481259370325</c:v>
                </c:pt>
                <c:pt idx="64">
                  <c:v>43316.466766616701</c:v>
                </c:pt>
                <c:pt idx="65">
                  <c:v>44614.69265367317</c:v>
                </c:pt>
                <c:pt idx="66">
                  <c:v>45932.158920539739</c:v>
                </c:pt>
                <c:pt idx="67">
                  <c:v>47268.865567216395</c:v>
                </c:pt>
                <c:pt idx="68">
                  <c:v>48624.812593703158</c:v>
                </c:pt>
                <c:pt idx="69">
                  <c:v>50000.000000000022</c:v>
                </c:pt>
              </c:numCache>
            </c:numRef>
          </c:val>
        </c:ser>
        <c:marker val="1"/>
        <c:axId val="19242368"/>
        <c:axId val="19248256"/>
      </c:lineChart>
      <c:catAx>
        <c:axId val="19242368"/>
        <c:scaling>
          <c:orientation val="minMax"/>
        </c:scaling>
        <c:axPos val="b"/>
        <c:tickLblPos val="nextTo"/>
        <c:crossAx val="19248256"/>
        <c:crosses val="autoZero"/>
        <c:auto val="1"/>
        <c:lblAlgn val="ctr"/>
        <c:lblOffset val="100"/>
      </c:catAx>
      <c:valAx>
        <c:axId val="19248256"/>
        <c:scaling>
          <c:orientation val="minMax"/>
        </c:scaling>
        <c:axPos val="l"/>
        <c:majorGridlines/>
        <c:numFmt formatCode="General" sourceLinked="1"/>
        <c:tickLblPos val="nextTo"/>
        <c:crossAx val="19242368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3</xdr:row>
      <xdr:rowOff>9525</xdr:rowOff>
    </xdr:from>
    <xdr:to>
      <xdr:col>21</xdr:col>
      <xdr:colOff>638175</xdr:colOff>
      <xdr:row>19</xdr:row>
      <xdr:rowOff>9525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20</xdr:row>
      <xdr:rowOff>66675</xdr:rowOff>
    </xdr:from>
    <xdr:to>
      <xdr:col>21</xdr:col>
      <xdr:colOff>628650</xdr:colOff>
      <xdr:row>36</xdr:row>
      <xdr:rowOff>66675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38</xdr:row>
      <xdr:rowOff>9525</xdr:rowOff>
    </xdr:from>
    <xdr:to>
      <xdr:col>21</xdr:col>
      <xdr:colOff>647700</xdr:colOff>
      <xdr:row>54</xdr:row>
      <xdr:rowOff>9525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41</xdr:row>
      <xdr:rowOff>85725</xdr:rowOff>
    </xdr:from>
    <xdr:to>
      <xdr:col>11</xdr:col>
      <xdr:colOff>47625</xdr:colOff>
      <xdr:row>57</xdr:row>
      <xdr:rowOff>85725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4314;%20Microsoft%20Office%20Excel%20&#24037;&#20316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师门"/>
      <sheetName val="捉鬼"/>
      <sheetName val="帮派"/>
      <sheetName val="副本"/>
      <sheetName val="上午答题"/>
      <sheetName val="下午答题"/>
      <sheetName val="Sheet1"/>
    </sheetNames>
    <sheetDataSet>
      <sheetData sheetId="0"/>
      <sheetData sheetId="1"/>
      <sheetData sheetId="2">
        <row r="35">
          <cell r="C35">
            <v>250</v>
          </cell>
        </row>
        <row r="36">
          <cell r="C36">
            <v>316.84157921039474</v>
          </cell>
        </row>
        <row r="37">
          <cell r="C37">
            <v>402.92353823088445</v>
          </cell>
        </row>
        <row r="38">
          <cell r="C38">
            <v>508.24587706146906</v>
          </cell>
        </row>
        <row r="39">
          <cell r="C39">
            <v>632.80859570214875</v>
          </cell>
        </row>
        <row r="40">
          <cell r="C40">
            <v>776.61169415292329</v>
          </cell>
        </row>
        <row r="41">
          <cell r="C41">
            <v>939.6551724137928</v>
          </cell>
        </row>
        <row r="42">
          <cell r="C42">
            <v>1121.9390304847573</v>
          </cell>
        </row>
        <row r="43">
          <cell r="C43">
            <v>1323.4632683658167</v>
          </cell>
        </row>
        <row r="44">
          <cell r="C44">
            <v>1544.2278860569711</v>
          </cell>
        </row>
        <row r="45">
          <cell r="C45">
            <v>1784.2328835582202</v>
          </cell>
        </row>
        <row r="46">
          <cell r="C46">
            <v>2043.4782608695648</v>
          </cell>
        </row>
        <row r="47">
          <cell r="C47">
            <v>2321.9640179910043</v>
          </cell>
        </row>
        <row r="48">
          <cell r="C48">
            <v>2619.6901549225386</v>
          </cell>
        </row>
        <row r="49">
          <cell r="C49">
            <v>2936.6566716641678</v>
          </cell>
        </row>
        <row r="50">
          <cell r="C50">
            <v>3272.8635682158915</v>
          </cell>
        </row>
        <row r="51">
          <cell r="C51">
            <v>3628.3108445777111</v>
          </cell>
        </row>
        <row r="52">
          <cell r="C52">
            <v>4002.9985007496248</v>
          </cell>
        </row>
        <row r="53">
          <cell r="C53">
            <v>4396.9265367316339</v>
          </cell>
        </row>
        <row r="54">
          <cell r="C54">
            <v>4810.0949525237374</v>
          </cell>
        </row>
        <row r="55">
          <cell r="C55">
            <v>5242.503748125936</v>
          </cell>
        </row>
        <row r="56">
          <cell r="C56">
            <v>5694.1529235382295</v>
          </cell>
        </row>
        <row r="57">
          <cell r="C57">
            <v>6165.0424787606198</v>
          </cell>
        </row>
        <row r="58">
          <cell r="C58">
            <v>6655.1724137931042</v>
          </cell>
        </row>
        <row r="59">
          <cell r="C59">
            <v>7164.5427286356817</v>
          </cell>
        </row>
        <row r="60">
          <cell r="C60">
            <v>7693.153423288356</v>
          </cell>
        </row>
        <row r="61">
          <cell r="C61">
            <v>8241.0044977511261</v>
          </cell>
        </row>
        <row r="62">
          <cell r="C62">
            <v>8808.0959520239885</v>
          </cell>
        </row>
        <row r="63">
          <cell r="C63">
            <v>9394.4277861069477</v>
          </cell>
        </row>
        <row r="64">
          <cell r="C64">
            <v>10000.000000000002</v>
          </cell>
        </row>
        <row r="65">
          <cell r="C65">
            <v>10624.812593703149</v>
          </cell>
        </row>
        <row r="66">
          <cell r="C66">
            <v>11268.865567216393</v>
          </cell>
        </row>
        <row r="67">
          <cell r="C67">
            <v>11932.158920539732</v>
          </cell>
        </row>
        <row r="68">
          <cell r="C68">
            <v>12614.692653673163</v>
          </cell>
        </row>
        <row r="69">
          <cell r="C69">
            <v>13316.466766616693</v>
          </cell>
        </row>
        <row r="70">
          <cell r="C70">
            <v>14037.481259370315</v>
          </cell>
        </row>
        <row r="71">
          <cell r="C71">
            <v>14777.736131934036</v>
          </cell>
        </row>
        <row r="72">
          <cell r="C72">
            <v>15537.231384307846</v>
          </cell>
        </row>
        <row r="73">
          <cell r="C73">
            <v>16315.967016491755</v>
          </cell>
        </row>
        <row r="74">
          <cell r="C74">
            <v>17113.943028485755</v>
          </cell>
        </row>
        <row r="75">
          <cell r="C75">
            <v>17931.159420289856</v>
          </cell>
        </row>
        <row r="76">
          <cell r="C76">
            <v>18767.616191904046</v>
          </cell>
        </row>
        <row r="77">
          <cell r="C77">
            <v>19623.313343328336</v>
          </cell>
        </row>
        <row r="78">
          <cell r="C78">
            <v>20498.250874562716</v>
          </cell>
        </row>
        <row r="79">
          <cell r="C79">
            <v>21392.428785607197</v>
          </cell>
        </row>
        <row r="80">
          <cell r="C80">
            <v>22305.84707646177</v>
          </cell>
        </row>
        <row r="81">
          <cell r="C81">
            <v>23238.505747126437</v>
          </cell>
        </row>
        <row r="82">
          <cell r="C82">
            <v>24190.404797601201</v>
          </cell>
        </row>
        <row r="83">
          <cell r="C83">
            <v>25161.544227886057</v>
          </cell>
        </row>
        <row r="84">
          <cell r="C84">
            <v>26151.924037981011</v>
          </cell>
        </row>
        <row r="85">
          <cell r="C85">
            <v>27161.544227886057</v>
          </cell>
        </row>
        <row r="86">
          <cell r="C86">
            <v>28190.404797601201</v>
          </cell>
        </row>
        <row r="87">
          <cell r="C87">
            <v>29238.505747126437</v>
          </cell>
        </row>
        <row r="88">
          <cell r="C88">
            <v>30305.84707646177</v>
          </cell>
        </row>
        <row r="89">
          <cell r="C89">
            <v>31392.428785607201</v>
          </cell>
        </row>
        <row r="90">
          <cell r="C90">
            <v>32498.250874562727</v>
          </cell>
        </row>
        <row r="91">
          <cell r="C91">
            <v>33623.313343328336</v>
          </cell>
        </row>
        <row r="92">
          <cell r="C92">
            <v>34767.616191904053</v>
          </cell>
        </row>
        <row r="93">
          <cell r="C93">
            <v>35931.15942028987</v>
          </cell>
        </row>
        <row r="94">
          <cell r="C94">
            <v>37113.943028485766</v>
          </cell>
        </row>
        <row r="95">
          <cell r="C95">
            <v>38315.967016491762</v>
          </cell>
        </row>
        <row r="96">
          <cell r="C96">
            <v>39537.231384307859</v>
          </cell>
        </row>
        <row r="97">
          <cell r="C97">
            <v>40777.736131934042</v>
          </cell>
        </row>
        <row r="98">
          <cell r="C98">
            <v>42037.481259370325</v>
          </cell>
        </row>
        <row r="99">
          <cell r="C99">
            <v>43316.466766616701</v>
          </cell>
        </row>
        <row r="100">
          <cell r="C100">
            <v>44614.69265367317</v>
          </cell>
        </row>
        <row r="101">
          <cell r="C101">
            <v>45932.158920539739</v>
          </cell>
        </row>
        <row r="102">
          <cell r="C102">
            <v>47268.865567216395</v>
          </cell>
        </row>
        <row r="103">
          <cell r="C103">
            <v>48624.812593703158</v>
          </cell>
        </row>
        <row r="104">
          <cell r="C104">
            <v>50000.000000000022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2:X76"/>
  <sheetViews>
    <sheetView workbookViewId="0">
      <selection activeCell="K26" sqref="K26"/>
    </sheetView>
  </sheetViews>
  <sheetFormatPr defaultRowHeight="13.5"/>
  <cols>
    <col min="1" max="1" width="24.25" customWidth="1"/>
    <col min="2" max="2" width="17.625" customWidth="1"/>
    <col min="3" max="3" width="17.625" style="7" customWidth="1"/>
    <col min="4" max="4" width="20.75" customWidth="1"/>
    <col min="5" max="5" width="27.125" style="7" customWidth="1"/>
    <col min="6" max="6" width="11.25" customWidth="1"/>
    <col min="7" max="7" width="13.25" customWidth="1"/>
    <col min="8" max="8" width="14" style="7" customWidth="1"/>
    <col min="9" max="9" width="13.875" style="7" customWidth="1"/>
    <col min="10" max="10" width="12.375" style="99" customWidth="1"/>
    <col min="11" max="11" width="12.625" style="99" customWidth="1"/>
    <col min="12" max="12" width="11.875" style="99" customWidth="1"/>
    <col min="13" max="13" width="9.75" style="99" customWidth="1"/>
    <col min="14" max="14" width="9" style="7" customWidth="1"/>
    <col min="15" max="19" width="7.875" customWidth="1"/>
    <col min="20" max="20" width="11" bestFit="1" customWidth="1"/>
    <col min="21" max="21" width="11" style="7" bestFit="1" customWidth="1"/>
    <col min="22" max="22" width="10.875" style="7" customWidth="1"/>
    <col min="23" max="23" width="25.125" bestFit="1" customWidth="1"/>
  </cols>
  <sheetData>
    <row r="2" spans="1:24">
      <c r="F2" s="14" t="s">
        <v>23</v>
      </c>
      <c r="G2" s="14" t="s">
        <v>22</v>
      </c>
      <c r="H2" s="14" t="s">
        <v>368</v>
      </c>
      <c r="I2" s="14" t="s">
        <v>369</v>
      </c>
      <c r="J2" s="95" t="s">
        <v>171</v>
      </c>
      <c r="K2" s="95" t="s">
        <v>172</v>
      </c>
      <c r="L2" s="92" t="s">
        <v>201</v>
      </c>
      <c r="M2" s="92" t="s">
        <v>579</v>
      </c>
      <c r="N2" s="93" t="s">
        <v>206</v>
      </c>
      <c r="O2" s="92" t="s">
        <v>207</v>
      </c>
      <c r="P2" s="92" t="s">
        <v>43</v>
      </c>
      <c r="Q2" s="92" t="s">
        <v>44</v>
      </c>
      <c r="R2" s="92" t="s">
        <v>45</v>
      </c>
      <c r="S2" s="94" t="s">
        <v>46</v>
      </c>
      <c r="T2" s="94" t="s">
        <v>205</v>
      </c>
      <c r="U2" s="94" t="s">
        <v>205</v>
      </c>
      <c r="W2" s="13" t="s">
        <v>38</v>
      </c>
    </row>
    <row r="3" spans="1:24">
      <c r="A3" s="7" t="s">
        <v>109</v>
      </c>
      <c r="B3" s="49" t="s">
        <v>5</v>
      </c>
      <c r="C3" s="12" t="s">
        <v>34</v>
      </c>
      <c r="D3" s="9" t="s">
        <v>144</v>
      </c>
      <c r="E3" s="25" t="s">
        <v>147</v>
      </c>
      <c r="F3" s="25">
        <v>15</v>
      </c>
      <c r="G3" s="25">
        <v>150</v>
      </c>
      <c r="H3" s="25">
        <v>20</v>
      </c>
      <c r="I3" s="26">
        <f>H3/60</f>
        <v>0.33333333333333331</v>
      </c>
      <c r="J3" s="107">
        <v>50</v>
      </c>
      <c r="K3" s="108">
        <v>3</v>
      </c>
      <c r="L3" s="107">
        <v>4</v>
      </c>
      <c r="M3" s="107">
        <v>8</v>
      </c>
      <c r="N3" s="109"/>
      <c r="O3" s="110"/>
      <c r="P3" s="110"/>
      <c r="Q3" s="110"/>
      <c r="R3" s="110"/>
      <c r="S3" s="110"/>
      <c r="T3" s="110"/>
      <c r="U3" s="110"/>
      <c r="W3" s="7" t="s">
        <v>24</v>
      </c>
    </row>
    <row r="4" spans="1:24">
      <c r="A4" s="7" t="s">
        <v>370</v>
      </c>
      <c r="B4" s="49" t="s">
        <v>13</v>
      </c>
      <c r="D4" s="143" t="s">
        <v>481</v>
      </c>
      <c r="E4" s="145" t="s">
        <v>482</v>
      </c>
      <c r="F4" s="145">
        <v>20</v>
      </c>
      <c r="G4" s="145">
        <v>150</v>
      </c>
      <c r="H4" s="145">
        <v>120</v>
      </c>
      <c r="I4" s="146">
        <f t="shared" ref="I4:I32" si="0">H4/60</f>
        <v>2</v>
      </c>
      <c r="J4" s="121">
        <v>3.3</v>
      </c>
      <c r="K4" s="108">
        <v>0.55000000000000004</v>
      </c>
      <c r="L4" s="107">
        <v>1.65</v>
      </c>
      <c r="M4" s="107"/>
      <c r="N4" s="111"/>
      <c r="O4" s="112"/>
      <c r="P4" s="112"/>
      <c r="Q4" s="110"/>
      <c r="R4" s="110"/>
      <c r="S4" s="110"/>
      <c r="T4" s="110"/>
      <c r="U4" s="110"/>
      <c r="W4" s="7" t="s">
        <v>28</v>
      </c>
    </row>
    <row r="5" spans="1:24">
      <c r="A5" s="7" t="s">
        <v>109</v>
      </c>
      <c r="B5" s="49" t="s">
        <v>102</v>
      </c>
      <c r="D5" s="144" t="s">
        <v>483</v>
      </c>
      <c r="E5" s="145" t="s">
        <v>484</v>
      </c>
      <c r="F5" s="145">
        <v>20</v>
      </c>
      <c r="G5" s="145">
        <v>150</v>
      </c>
      <c r="H5" s="145">
        <v>5</v>
      </c>
      <c r="I5" s="146">
        <f t="shared" si="0"/>
        <v>8.3333333333333329E-2</v>
      </c>
      <c r="J5" s="108">
        <v>30</v>
      </c>
      <c r="K5" s="108"/>
      <c r="L5" s="107">
        <v>0.5</v>
      </c>
      <c r="M5" s="107"/>
      <c r="N5" s="111"/>
      <c r="O5" s="112"/>
      <c r="P5" s="112"/>
      <c r="Q5" s="110"/>
      <c r="R5" s="110"/>
      <c r="S5" s="110"/>
      <c r="T5" s="110"/>
      <c r="U5" s="110"/>
      <c r="W5" s="7" t="s">
        <v>25</v>
      </c>
    </row>
    <row r="6" spans="1:24">
      <c r="A6" s="7" t="s">
        <v>109</v>
      </c>
      <c r="B6" s="50" t="s">
        <v>8</v>
      </c>
      <c r="D6" s="144" t="s">
        <v>485</v>
      </c>
      <c r="E6" s="145" t="s">
        <v>486</v>
      </c>
      <c r="F6" s="145">
        <v>40</v>
      </c>
      <c r="G6" s="145">
        <v>150</v>
      </c>
      <c r="H6" s="147">
        <v>60</v>
      </c>
      <c r="I6" s="146">
        <f t="shared" si="0"/>
        <v>1</v>
      </c>
      <c r="J6" s="108">
        <v>15</v>
      </c>
      <c r="K6" s="108">
        <v>1.5</v>
      </c>
      <c r="L6" s="107">
        <v>1</v>
      </c>
      <c r="M6" s="107">
        <v>10</v>
      </c>
      <c r="N6" s="111"/>
      <c r="O6" s="112"/>
      <c r="P6" s="112"/>
      <c r="Q6" s="110"/>
      <c r="R6" s="110"/>
      <c r="S6" s="110"/>
      <c r="T6" s="110"/>
      <c r="U6" s="110"/>
      <c r="W6" s="7" t="s">
        <v>26</v>
      </c>
    </row>
    <row r="7" spans="1:24">
      <c r="A7" s="7" t="s">
        <v>109</v>
      </c>
      <c r="B7" s="48" t="s">
        <v>6</v>
      </c>
      <c r="D7" s="144" t="s">
        <v>487</v>
      </c>
      <c r="E7" s="147" t="s">
        <v>488</v>
      </c>
      <c r="F7" s="145">
        <v>25</v>
      </c>
      <c r="G7" s="145">
        <v>150</v>
      </c>
      <c r="H7" s="147">
        <v>20</v>
      </c>
      <c r="I7" s="146">
        <f t="shared" si="0"/>
        <v>0.33333333333333331</v>
      </c>
      <c r="J7" s="108"/>
      <c r="K7" s="108">
        <v>2</v>
      </c>
      <c r="L7" s="107"/>
      <c r="M7" s="107"/>
      <c r="N7" s="111"/>
      <c r="O7" s="112"/>
      <c r="P7" s="112"/>
      <c r="Q7" s="110"/>
      <c r="R7" s="110"/>
      <c r="S7" s="110"/>
      <c r="T7" s="110"/>
      <c r="U7" s="110"/>
      <c r="W7" s="7" t="s">
        <v>168</v>
      </c>
      <c r="X7" s="7"/>
    </row>
    <row r="8" spans="1:24">
      <c r="B8" s="7" t="s">
        <v>1</v>
      </c>
      <c r="D8" s="148" t="s">
        <v>7</v>
      </c>
      <c r="E8" s="149"/>
      <c r="F8" s="149">
        <v>30</v>
      </c>
      <c r="G8" s="149">
        <v>150</v>
      </c>
      <c r="H8" s="149">
        <v>0</v>
      </c>
      <c r="I8" s="150">
        <f t="shared" si="0"/>
        <v>0</v>
      </c>
      <c r="J8" s="114"/>
      <c r="K8" s="114"/>
      <c r="L8" s="113"/>
      <c r="M8" s="113"/>
      <c r="N8" s="115"/>
      <c r="O8" s="116"/>
      <c r="P8" s="116"/>
      <c r="Q8" s="117"/>
      <c r="R8" s="117"/>
      <c r="S8" s="117"/>
      <c r="T8" s="117"/>
      <c r="U8" s="117"/>
      <c r="W8" s="10" t="s">
        <v>218</v>
      </c>
      <c r="X8" s="7" t="s">
        <v>217</v>
      </c>
    </row>
    <row r="9" spans="1:24">
      <c r="A9" s="7" t="s">
        <v>370</v>
      </c>
      <c r="B9" s="48" t="s">
        <v>14</v>
      </c>
      <c r="D9" s="148" t="s">
        <v>489</v>
      </c>
      <c r="E9" s="149" t="s">
        <v>484</v>
      </c>
      <c r="F9" s="151">
        <v>40</v>
      </c>
      <c r="G9" s="149">
        <v>150</v>
      </c>
      <c r="H9" s="149">
        <v>0</v>
      </c>
      <c r="I9" s="150">
        <f t="shared" si="0"/>
        <v>0</v>
      </c>
      <c r="J9" s="114"/>
      <c r="K9" s="114"/>
      <c r="L9" s="113"/>
      <c r="M9" s="113"/>
      <c r="N9" s="115"/>
      <c r="O9" s="116"/>
      <c r="P9" s="116"/>
      <c r="Q9" s="117"/>
      <c r="R9" s="117"/>
      <c r="S9" s="117"/>
      <c r="T9" s="117"/>
      <c r="U9" s="117"/>
      <c r="W9" s="10" t="s">
        <v>219</v>
      </c>
      <c r="X9" s="7" t="s">
        <v>216</v>
      </c>
    </row>
    <row r="10" spans="1:24">
      <c r="A10" s="7" t="s">
        <v>370</v>
      </c>
      <c r="B10" s="48" t="s">
        <v>103</v>
      </c>
      <c r="D10" s="148" t="s">
        <v>490</v>
      </c>
      <c r="E10" s="149" t="s">
        <v>491</v>
      </c>
      <c r="F10" s="151">
        <v>40</v>
      </c>
      <c r="G10" s="149">
        <v>150</v>
      </c>
      <c r="H10" s="149">
        <v>0</v>
      </c>
      <c r="I10" s="150">
        <f t="shared" si="0"/>
        <v>0</v>
      </c>
      <c r="J10" s="114"/>
      <c r="K10" s="114"/>
      <c r="L10" s="113"/>
      <c r="M10" s="113"/>
      <c r="N10" s="115"/>
      <c r="O10" s="116"/>
      <c r="P10" s="116"/>
      <c r="Q10" s="117"/>
      <c r="R10" s="117"/>
      <c r="S10" s="117"/>
      <c r="T10" s="117"/>
      <c r="U10" s="117"/>
      <c r="W10" s="10" t="s">
        <v>220</v>
      </c>
      <c r="X10" s="7" t="s">
        <v>169</v>
      </c>
    </row>
    <row r="11" spans="1:24">
      <c r="B11" s="7" t="s">
        <v>105</v>
      </c>
      <c r="D11" s="152" t="s">
        <v>492</v>
      </c>
      <c r="E11" s="153" t="s">
        <v>493</v>
      </c>
      <c r="F11" s="153">
        <v>30</v>
      </c>
      <c r="G11" s="153">
        <v>150</v>
      </c>
      <c r="H11" s="153">
        <v>30</v>
      </c>
      <c r="I11" s="154">
        <f t="shared" si="0"/>
        <v>0.5</v>
      </c>
      <c r="J11" s="108">
        <v>20</v>
      </c>
      <c r="K11" s="108">
        <v>2</v>
      </c>
      <c r="L11" s="108">
        <v>1</v>
      </c>
      <c r="M11" s="108">
        <v>10</v>
      </c>
      <c r="N11" s="111"/>
      <c r="O11" s="118"/>
      <c r="P11" s="118"/>
      <c r="Q11" s="110"/>
      <c r="R11" s="110"/>
      <c r="S11" s="110"/>
      <c r="T11" s="110"/>
      <c r="U11" s="110"/>
      <c r="W11" s="10" t="s">
        <v>221</v>
      </c>
      <c r="X11" s="7" t="s">
        <v>170</v>
      </c>
    </row>
    <row r="12" spans="1:24">
      <c r="A12" s="7" t="s">
        <v>109</v>
      </c>
      <c r="B12" s="49" t="s">
        <v>10</v>
      </c>
      <c r="D12" s="1" t="s">
        <v>372</v>
      </c>
      <c r="E12" s="8" t="s">
        <v>149</v>
      </c>
      <c r="F12" s="2">
        <v>35</v>
      </c>
      <c r="G12" s="2">
        <v>150</v>
      </c>
      <c r="H12" s="2">
        <v>10</v>
      </c>
      <c r="I12" s="3">
        <f t="shared" si="0"/>
        <v>0.16666666666666666</v>
      </c>
      <c r="J12" s="108">
        <v>20</v>
      </c>
      <c r="K12" s="108"/>
      <c r="L12" s="107">
        <v>1</v>
      </c>
      <c r="M12" s="107">
        <v>5</v>
      </c>
      <c r="N12" s="111"/>
      <c r="O12" s="112"/>
      <c r="P12" s="112"/>
      <c r="Q12" s="110"/>
      <c r="R12" s="110"/>
      <c r="S12" s="110"/>
      <c r="T12" s="110"/>
      <c r="U12" s="110"/>
      <c r="W12" s="7" t="s">
        <v>30</v>
      </c>
    </row>
    <row r="13" spans="1:24">
      <c r="B13" s="7" t="s">
        <v>9</v>
      </c>
      <c r="D13" s="143" t="s">
        <v>472</v>
      </c>
      <c r="E13" s="147" t="s">
        <v>475</v>
      </c>
      <c r="F13" s="145">
        <v>50</v>
      </c>
      <c r="G13" s="145">
        <v>150</v>
      </c>
      <c r="H13" s="145">
        <v>30</v>
      </c>
      <c r="I13" s="146">
        <f t="shared" si="0"/>
        <v>0.5</v>
      </c>
      <c r="J13" s="157">
        <v>40</v>
      </c>
      <c r="K13" s="108"/>
      <c r="L13" s="107"/>
      <c r="M13" s="119"/>
      <c r="N13" s="111"/>
      <c r="O13" s="120"/>
      <c r="P13" s="120"/>
      <c r="Q13" s="110"/>
      <c r="R13" s="110"/>
      <c r="S13" s="110"/>
      <c r="T13" s="110"/>
      <c r="U13" s="110"/>
    </row>
    <row r="14" spans="1:24">
      <c r="A14" s="7" t="s">
        <v>109</v>
      </c>
      <c r="B14" s="49" t="s">
        <v>104</v>
      </c>
      <c r="D14" s="1" t="s">
        <v>173</v>
      </c>
      <c r="E14" s="8" t="s">
        <v>174</v>
      </c>
      <c r="F14" s="2">
        <v>10</v>
      </c>
      <c r="G14" s="2">
        <v>150</v>
      </c>
      <c r="H14" s="2">
        <v>720</v>
      </c>
      <c r="I14" s="3">
        <f>H14/60</f>
        <v>12</v>
      </c>
      <c r="J14" s="108">
        <v>1</v>
      </c>
      <c r="K14" s="108">
        <v>1</v>
      </c>
      <c r="L14" s="107"/>
      <c r="M14" s="119"/>
      <c r="N14" s="111"/>
      <c r="O14" s="120"/>
      <c r="P14" s="120"/>
      <c r="Q14" s="110"/>
      <c r="R14" s="110"/>
      <c r="S14" s="110"/>
      <c r="T14" s="110"/>
      <c r="U14" s="110"/>
      <c r="W14" s="10" t="s">
        <v>82</v>
      </c>
      <c r="X14" s="130"/>
    </row>
    <row r="15" spans="1:24">
      <c r="A15" s="7"/>
      <c r="B15" s="49" t="s">
        <v>12</v>
      </c>
      <c r="D15" s="1" t="s">
        <v>12</v>
      </c>
      <c r="E15" s="8" t="s">
        <v>150</v>
      </c>
      <c r="F15" s="2">
        <v>20</v>
      </c>
      <c r="G15" s="2">
        <v>150</v>
      </c>
      <c r="H15" s="8">
        <v>5</v>
      </c>
      <c r="I15" s="3">
        <f t="shared" si="0"/>
        <v>8.3333333333333329E-2</v>
      </c>
      <c r="J15" s="108">
        <v>150</v>
      </c>
      <c r="K15" s="108"/>
      <c r="L15" s="107"/>
      <c r="M15" s="119"/>
      <c r="N15" s="111"/>
      <c r="O15" s="120"/>
      <c r="P15" s="120"/>
      <c r="Q15" s="110"/>
      <c r="R15" s="110"/>
      <c r="S15" s="110"/>
      <c r="T15" s="110"/>
      <c r="U15" s="110"/>
      <c r="W15" s="10" t="s">
        <v>167</v>
      </c>
    </row>
    <row r="16" spans="1:24">
      <c r="A16" s="7" t="s">
        <v>109</v>
      </c>
      <c r="B16" s="49" t="s">
        <v>11</v>
      </c>
      <c r="D16" s="1" t="s">
        <v>11</v>
      </c>
      <c r="E16" s="8" t="s">
        <v>148</v>
      </c>
      <c r="F16" s="2">
        <v>10</v>
      </c>
      <c r="G16" s="2">
        <v>150</v>
      </c>
      <c r="H16" s="8">
        <v>5</v>
      </c>
      <c r="I16" s="3">
        <f t="shared" si="0"/>
        <v>8.3333333333333329E-2</v>
      </c>
      <c r="J16" s="108">
        <v>10</v>
      </c>
      <c r="K16" s="108"/>
      <c r="L16" s="107">
        <v>0.5</v>
      </c>
      <c r="M16" s="119"/>
      <c r="N16" s="111"/>
      <c r="O16" s="120"/>
      <c r="P16" s="120"/>
      <c r="Q16" s="110"/>
      <c r="R16" s="110"/>
      <c r="S16" s="110"/>
      <c r="T16" s="110"/>
      <c r="U16" s="110"/>
    </row>
    <row r="17" spans="1:24">
      <c r="B17" s="49" t="s">
        <v>39</v>
      </c>
      <c r="D17" s="1" t="s">
        <v>40</v>
      </c>
      <c r="E17" s="8" t="s">
        <v>151</v>
      </c>
      <c r="F17" s="2">
        <v>0</v>
      </c>
      <c r="G17" s="2">
        <v>150</v>
      </c>
      <c r="H17" s="8">
        <v>156</v>
      </c>
      <c r="I17" s="3">
        <f t="shared" si="0"/>
        <v>2.6</v>
      </c>
      <c r="J17" s="108">
        <v>20</v>
      </c>
      <c r="K17" s="108">
        <v>2</v>
      </c>
      <c r="L17" s="107">
        <v>5</v>
      </c>
      <c r="M17" s="107">
        <v>10</v>
      </c>
      <c r="N17" s="111"/>
      <c r="O17" s="110"/>
      <c r="P17" s="110"/>
      <c r="Q17" s="110"/>
      <c r="R17" s="110"/>
      <c r="S17" s="110"/>
      <c r="T17" s="110"/>
      <c r="U17" s="110"/>
      <c r="W17" s="69" t="s">
        <v>396</v>
      </c>
    </row>
    <row r="18" spans="1:24">
      <c r="B18" s="7" t="s">
        <v>509</v>
      </c>
      <c r="D18" s="4" t="s">
        <v>509</v>
      </c>
      <c r="E18" s="40" t="s">
        <v>152</v>
      </c>
      <c r="F18" s="5">
        <v>30</v>
      </c>
      <c r="G18" s="5">
        <v>150</v>
      </c>
      <c r="H18" s="40">
        <v>60</v>
      </c>
      <c r="I18" s="6">
        <f t="shared" si="0"/>
        <v>1</v>
      </c>
      <c r="J18" s="108">
        <v>6</v>
      </c>
      <c r="K18" s="108"/>
      <c r="L18" s="107"/>
      <c r="M18" s="107"/>
      <c r="N18" s="111"/>
      <c r="O18" s="110"/>
      <c r="P18" s="112"/>
      <c r="Q18" s="110"/>
      <c r="R18" s="110"/>
      <c r="S18" s="110"/>
      <c r="T18" s="110"/>
      <c r="U18" s="110"/>
    </row>
    <row r="19" spans="1:24">
      <c r="A19" s="7" t="s">
        <v>110</v>
      </c>
      <c r="B19" s="49" t="s">
        <v>65</v>
      </c>
      <c r="C19" s="12" t="s">
        <v>35</v>
      </c>
      <c r="D19" s="143" t="s">
        <v>473</v>
      </c>
      <c r="E19" s="8" t="s">
        <v>153</v>
      </c>
      <c r="F19" s="2">
        <v>25</v>
      </c>
      <c r="G19" s="2">
        <v>150</v>
      </c>
      <c r="H19" s="8">
        <v>20</v>
      </c>
      <c r="I19" s="3">
        <f t="shared" si="0"/>
        <v>0.33333333333333331</v>
      </c>
      <c r="J19" s="108">
        <v>20</v>
      </c>
      <c r="K19" s="108">
        <v>1.5</v>
      </c>
      <c r="L19" s="107">
        <v>1</v>
      </c>
      <c r="M19" s="107">
        <v>3</v>
      </c>
      <c r="N19" s="111"/>
      <c r="O19" s="112"/>
      <c r="P19" s="112"/>
      <c r="Q19" s="110"/>
      <c r="R19" s="110"/>
      <c r="S19" s="110"/>
      <c r="T19" s="110"/>
      <c r="U19" s="110"/>
    </row>
    <row r="20" spans="1:24">
      <c r="A20" s="7" t="s">
        <v>111</v>
      </c>
      <c r="B20" s="49" t="s">
        <v>154</v>
      </c>
      <c r="D20" s="144" t="s">
        <v>474</v>
      </c>
      <c r="E20" s="8" t="s">
        <v>158</v>
      </c>
      <c r="F20" s="2">
        <v>35</v>
      </c>
      <c r="G20" s="2">
        <v>49</v>
      </c>
      <c r="H20" s="8">
        <v>30</v>
      </c>
      <c r="I20" s="3">
        <f t="shared" si="0"/>
        <v>0.5</v>
      </c>
      <c r="J20" s="108">
        <v>15</v>
      </c>
      <c r="K20" s="108">
        <v>1.5</v>
      </c>
      <c r="L20" s="107">
        <v>1</v>
      </c>
      <c r="M20" s="107"/>
      <c r="N20" s="111"/>
      <c r="O20" s="112"/>
      <c r="P20" s="112"/>
      <c r="Q20" s="110"/>
      <c r="R20" s="110"/>
      <c r="S20" s="110"/>
      <c r="T20" s="110"/>
      <c r="U20" s="110"/>
    </row>
    <row r="21" spans="1:24" s="7" customFormat="1">
      <c r="A21" s="7" t="s">
        <v>111</v>
      </c>
      <c r="B21" s="49" t="s">
        <v>155</v>
      </c>
      <c r="D21" s="144" t="s">
        <v>49</v>
      </c>
      <c r="E21" s="8" t="s">
        <v>159</v>
      </c>
      <c r="F21" s="8">
        <v>50</v>
      </c>
      <c r="G21" s="8">
        <v>150</v>
      </c>
      <c r="H21" s="8">
        <v>20</v>
      </c>
      <c r="I21" s="3">
        <f t="shared" si="0"/>
        <v>0.33333333333333331</v>
      </c>
      <c r="J21" s="108">
        <v>15</v>
      </c>
      <c r="K21" s="108">
        <v>1.5</v>
      </c>
      <c r="L21" s="107">
        <v>1</v>
      </c>
      <c r="M21" s="107"/>
      <c r="N21" s="111"/>
      <c r="O21" s="112"/>
      <c r="P21" s="112"/>
      <c r="Q21" s="110"/>
      <c r="R21" s="110"/>
      <c r="S21" s="110"/>
      <c r="T21" s="110"/>
      <c r="U21" s="110"/>
    </row>
    <row r="22" spans="1:24">
      <c r="A22" s="7" t="s">
        <v>111</v>
      </c>
      <c r="B22" s="49" t="s">
        <v>15</v>
      </c>
      <c r="D22" s="144" t="s">
        <v>50</v>
      </c>
      <c r="E22" s="8" t="s">
        <v>160</v>
      </c>
      <c r="F22" s="2">
        <v>25</v>
      </c>
      <c r="G22" s="2">
        <v>150</v>
      </c>
      <c r="H22" s="8">
        <v>10</v>
      </c>
      <c r="I22" s="3">
        <f t="shared" si="0"/>
        <v>0.16666666666666666</v>
      </c>
      <c r="J22" s="108">
        <v>40</v>
      </c>
      <c r="K22" s="121">
        <v>2</v>
      </c>
      <c r="L22" s="121">
        <v>1.5</v>
      </c>
      <c r="M22" s="121">
        <v>4</v>
      </c>
      <c r="N22" s="122"/>
      <c r="O22" s="112"/>
      <c r="P22" s="112"/>
      <c r="Q22" s="110"/>
      <c r="R22" s="110"/>
      <c r="S22" s="110"/>
      <c r="T22" s="110"/>
      <c r="U22" s="110"/>
      <c r="W22" s="7" t="s">
        <v>373</v>
      </c>
      <c r="X22" s="130">
        <v>4000</v>
      </c>
    </row>
    <row r="23" spans="1:24">
      <c r="A23" s="7" t="s">
        <v>109</v>
      </c>
      <c r="B23" s="49" t="s">
        <v>18</v>
      </c>
      <c r="D23" s="1" t="s">
        <v>162</v>
      </c>
      <c r="E23" s="8" t="s">
        <v>148</v>
      </c>
      <c r="F23" s="2">
        <v>30</v>
      </c>
      <c r="G23" s="2">
        <v>150</v>
      </c>
      <c r="H23" s="8">
        <v>10</v>
      </c>
      <c r="I23" s="3">
        <f t="shared" si="0"/>
        <v>0.16666666666666666</v>
      </c>
      <c r="J23" s="108">
        <v>15</v>
      </c>
      <c r="K23" s="108"/>
      <c r="L23" s="107">
        <v>1</v>
      </c>
      <c r="M23" s="107"/>
      <c r="N23" s="111"/>
      <c r="O23" s="112"/>
      <c r="P23" s="112"/>
      <c r="Q23" s="110"/>
      <c r="R23" s="110"/>
      <c r="S23" s="110"/>
      <c r="T23" s="110"/>
      <c r="U23" s="110"/>
    </row>
    <row r="24" spans="1:24">
      <c r="A24" s="7" t="s">
        <v>109</v>
      </c>
      <c r="B24" s="49" t="s">
        <v>19</v>
      </c>
      <c r="D24" s="1" t="s">
        <v>36</v>
      </c>
      <c r="E24" s="8" t="s">
        <v>163</v>
      </c>
      <c r="F24" s="2">
        <v>30</v>
      </c>
      <c r="G24" s="2">
        <v>150</v>
      </c>
      <c r="H24" s="8">
        <v>10</v>
      </c>
      <c r="I24" s="3">
        <f t="shared" si="0"/>
        <v>0.16666666666666666</v>
      </c>
      <c r="J24" s="108">
        <v>30</v>
      </c>
      <c r="K24" s="108"/>
      <c r="L24" s="107">
        <v>1</v>
      </c>
      <c r="M24" s="107"/>
      <c r="N24" s="111"/>
      <c r="O24" s="112"/>
      <c r="P24" s="112"/>
      <c r="Q24" s="110"/>
      <c r="R24" s="110"/>
      <c r="S24" s="110"/>
      <c r="T24" s="110"/>
      <c r="U24" s="110"/>
      <c r="W24" s="7" t="s">
        <v>222</v>
      </c>
    </row>
    <row r="25" spans="1:24">
      <c r="A25" s="7" t="s">
        <v>374</v>
      </c>
      <c r="B25" s="48" t="s">
        <v>16</v>
      </c>
      <c r="D25" s="138" t="s">
        <v>467</v>
      </c>
      <c r="E25" s="8" t="s">
        <v>495</v>
      </c>
      <c r="F25" s="2">
        <v>40</v>
      </c>
      <c r="G25" s="2">
        <v>150</v>
      </c>
      <c r="H25" s="8">
        <v>15</v>
      </c>
      <c r="I25" s="3">
        <f t="shared" si="0"/>
        <v>0.25</v>
      </c>
      <c r="J25" s="108">
        <v>25</v>
      </c>
      <c r="K25" s="108">
        <v>1</v>
      </c>
      <c r="L25" s="107">
        <v>1</v>
      </c>
      <c r="M25" s="107"/>
      <c r="N25" s="111"/>
      <c r="O25" s="112"/>
      <c r="P25" s="112"/>
      <c r="Q25" s="110"/>
      <c r="R25" s="110"/>
      <c r="S25" s="110"/>
      <c r="T25" s="110"/>
      <c r="U25" s="110"/>
    </row>
    <row r="26" spans="1:24">
      <c r="A26" s="7" t="s">
        <v>109</v>
      </c>
      <c r="B26" s="48" t="s">
        <v>17</v>
      </c>
      <c r="D26" s="138" t="s">
        <v>478</v>
      </c>
      <c r="E26" s="8" t="s">
        <v>476</v>
      </c>
      <c r="F26" s="2">
        <v>40</v>
      </c>
      <c r="G26" s="2">
        <v>150</v>
      </c>
      <c r="H26" s="8">
        <v>35</v>
      </c>
      <c r="I26" s="3">
        <f t="shared" si="0"/>
        <v>0.58333333333333337</v>
      </c>
      <c r="J26" s="107">
        <v>15</v>
      </c>
      <c r="K26" s="108"/>
      <c r="L26" s="107">
        <v>3</v>
      </c>
      <c r="M26" s="107">
        <v>10</v>
      </c>
      <c r="N26" s="111"/>
      <c r="O26" s="112"/>
      <c r="P26" s="112"/>
      <c r="Q26" s="110"/>
      <c r="R26" s="110"/>
      <c r="S26" s="110"/>
      <c r="T26" s="110"/>
      <c r="U26" s="110"/>
    </row>
    <row r="27" spans="1:24">
      <c r="A27" s="7" t="s">
        <v>111</v>
      </c>
      <c r="B27" s="52" t="s">
        <v>107</v>
      </c>
      <c r="D27" s="138" t="s">
        <v>469</v>
      </c>
      <c r="E27" s="8" t="s">
        <v>470</v>
      </c>
      <c r="F27" s="2">
        <v>40</v>
      </c>
      <c r="G27" s="2">
        <v>150</v>
      </c>
      <c r="H27" s="8">
        <v>10</v>
      </c>
      <c r="I27" s="3">
        <f t="shared" si="0"/>
        <v>0.16666666666666666</v>
      </c>
      <c r="J27" s="108">
        <v>15</v>
      </c>
      <c r="K27" s="108">
        <v>0.5</v>
      </c>
      <c r="L27" s="107">
        <v>0.5</v>
      </c>
      <c r="M27" s="107"/>
      <c r="N27" s="111"/>
      <c r="O27" s="112"/>
      <c r="P27" s="112"/>
      <c r="Q27" s="110"/>
      <c r="R27" s="110"/>
      <c r="S27" s="110"/>
      <c r="T27" s="110"/>
      <c r="U27" s="110"/>
      <c r="W27" s="7" t="s">
        <v>223</v>
      </c>
    </row>
    <row r="28" spans="1:24">
      <c r="A28" s="7" t="s">
        <v>111</v>
      </c>
      <c r="B28" s="52" t="s">
        <v>20</v>
      </c>
      <c r="D28" s="36" t="s">
        <v>391</v>
      </c>
      <c r="E28" s="37" t="s">
        <v>164</v>
      </c>
      <c r="F28" s="37">
        <v>40</v>
      </c>
      <c r="G28" s="37">
        <v>150</v>
      </c>
      <c r="H28" s="37">
        <v>0</v>
      </c>
      <c r="I28" s="38">
        <f t="shared" si="0"/>
        <v>0</v>
      </c>
      <c r="J28" s="113"/>
      <c r="K28" s="114"/>
      <c r="L28" s="113"/>
      <c r="M28" s="113"/>
      <c r="N28" s="115"/>
      <c r="O28" s="116"/>
      <c r="P28" s="116"/>
      <c r="Q28" s="117"/>
      <c r="R28" s="117"/>
      <c r="S28" s="117"/>
      <c r="T28" s="117"/>
      <c r="U28" s="117"/>
    </row>
    <row r="29" spans="1:24">
      <c r="A29" s="7" t="s">
        <v>111</v>
      </c>
      <c r="B29" s="48" t="s">
        <v>21</v>
      </c>
      <c r="D29" s="36" t="s">
        <v>392</v>
      </c>
      <c r="E29" s="37" t="s">
        <v>164</v>
      </c>
      <c r="F29" s="37">
        <v>40</v>
      </c>
      <c r="G29" s="37">
        <v>150</v>
      </c>
      <c r="H29" s="37">
        <v>0</v>
      </c>
      <c r="I29" s="38">
        <f t="shared" si="0"/>
        <v>0</v>
      </c>
      <c r="J29" s="113"/>
      <c r="K29" s="114"/>
      <c r="L29" s="113"/>
      <c r="M29" s="113"/>
      <c r="N29" s="115"/>
      <c r="O29" s="116"/>
      <c r="P29" s="116"/>
      <c r="Q29" s="117"/>
      <c r="R29" s="117"/>
      <c r="S29" s="117"/>
      <c r="T29" s="117"/>
      <c r="U29" s="117"/>
    </row>
    <row r="30" spans="1:24">
      <c r="A30" s="7" t="s">
        <v>112</v>
      </c>
      <c r="B30" s="7" t="s">
        <v>2</v>
      </c>
      <c r="C30" s="12" t="s">
        <v>2</v>
      </c>
      <c r="D30" s="155" t="s">
        <v>466</v>
      </c>
      <c r="E30" s="25"/>
      <c r="F30" s="62">
        <v>20</v>
      </c>
      <c r="G30" s="25">
        <v>150</v>
      </c>
      <c r="H30" s="8">
        <v>0</v>
      </c>
      <c r="I30" s="3">
        <f t="shared" si="0"/>
        <v>0</v>
      </c>
      <c r="J30" s="101"/>
      <c r="K30" s="100"/>
      <c r="L30" s="101"/>
      <c r="M30" s="101"/>
      <c r="N30" s="60"/>
      <c r="O30" s="34"/>
      <c r="P30" s="34"/>
      <c r="Q30" s="8"/>
      <c r="R30" s="8"/>
      <c r="S30" s="8"/>
      <c r="T30" s="8"/>
      <c r="U30" s="35"/>
    </row>
    <row r="31" spans="1:24" s="7" customFormat="1">
      <c r="B31" s="7" t="s">
        <v>41</v>
      </c>
      <c r="C31" s="12"/>
      <c r="D31" s="156" t="s">
        <v>494</v>
      </c>
      <c r="E31" s="5"/>
      <c r="F31" s="42">
        <v>40</v>
      </c>
      <c r="G31" s="5">
        <v>150</v>
      </c>
      <c r="H31" s="40">
        <v>0</v>
      </c>
      <c r="I31" s="6">
        <f t="shared" si="0"/>
        <v>0</v>
      </c>
      <c r="J31" s="102"/>
      <c r="K31" s="103"/>
      <c r="L31" s="102"/>
      <c r="M31" s="61"/>
      <c r="N31" s="61"/>
      <c r="O31" s="43"/>
      <c r="P31" s="43"/>
      <c r="Q31" s="40"/>
      <c r="R31" s="40"/>
      <c r="S31" s="40"/>
      <c r="T31" s="40"/>
      <c r="U31" s="41"/>
    </row>
    <row r="32" spans="1:24" s="7" customFormat="1">
      <c r="B32" s="48" t="s">
        <v>214</v>
      </c>
      <c r="C32" s="12"/>
      <c r="D32" s="4" t="s">
        <v>214</v>
      </c>
      <c r="E32" s="5"/>
      <c r="F32" s="42">
        <v>25</v>
      </c>
      <c r="G32" s="5">
        <v>150</v>
      </c>
      <c r="H32" s="40">
        <v>5</v>
      </c>
      <c r="I32" s="6">
        <f t="shared" si="0"/>
        <v>8.3333333333333329E-2</v>
      </c>
      <c r="J32" s="102"/>
      <c r="K32" s="103"/>
      <c r="L32" s="102"/>
      <c r="M32" s="124">
        <v>20</v>
      </c>
      <c r="N32" s="61"/>
      <c r="O32" s="43"/>
      <c r="P32" s="43"/>
      <c r="Q32" s="40"/>
      <c r="R32" s="40"/>
      <c r="S32" s="40"/>
      <c r="T32" s="40"/>
      <c r="U32" s="41"/>
    </row>
    <row r="33" spans="1:21">
      <c r="A33" s="7" t="s">
        <v>377</v>
      </c>
      <c r="B33" s="49" t="s">
        <v>106</v>
      </c>
      <c r="C33" s="12" t="s">
        <v>37</v>
      </c>
      <c r="D33" s="4" t="s">
        <v>29</v>
      </c>
      <c r="E33" s="5"/>
      <c r="F33" s="5"/>
      <c r="G33" s="5"/>
      <c r="H33" s="5"/>
      <c r="I33" s="6"/>
      <c r="J33" s="102"/>
      <c r="K33" s="104"/>
      <c r="L33" s="104"/>
      <c r="M33" s="104"/>
      <c r="N33" s="61"/>
      <c r="O33" s="39"/>
      <c r="P33" s="39"/>
      <c r="Q33" s="40"/>
      <c r="R33" s="40"/>
      <c r="S33" s="40"/>
      <c r="T33" s="40"/>
      <c r="U33" s="41"/>
    </row>
    <row r="34" spans="1:21">
      <c r="H34" s="63" t="s">
        <v>175</v>
      </c>
      <c r="I34" s="64">
        <f>SUM(I3:I33)-I5-I14-I15-I16-I21-I22-I32</f>
        <v>10.6</v>
      </c>
      <c r="Q34" s="7"/>
    </row>
    <row r="35" spans="1:21">
      <c r="Q35" s="7"/>
    </row>
    <row r="38" spans="1:21">
      <c r="J38" s="106"/>
    </row>
    <row r="39" spans="1:21">
      <c r="F39" s="7" t="s">
        <v>450</v>
      </c>
      <c r="G39" s="7" t="s">
        <v>451</v>
      </c>
      <c r="H39" s="7" t="s">
        <v>452</v>
      </c>
      <c r="I39" s="7" t="s">
        <v>453</v>
      </c>
      <c r="J39" s="7" t="s">
        <v>454</v>
      </c>
      <c r="K39" s="7" t="s">
        <v>455</v>
      </c>
      <c r="L39" s="7" t="s">
        <v>456</v>
      </c>
      <c r="M39" s="7" t="s">
        <v>457</v>
      </c>
    </row>
    <row r="40" spans="1:21">
      <c r="F40" s="141">
        <v>0.45833333333333331</v>
      </c>
      <c r="G40" s="7" t="s">
        <v>458</v>
      </c>
      <c r="H40" s="7" t="s">
        <v>458</v>
      </c>
      <c r="I40" s="7" t="s">
        <v>458</v>
      </c>
      <c r="J40" s="7" t="s">
        <v>458</v>
      </c>
      <c r="K40" s="7" t="s">
        <v>458</v>
      </c>
      <c r="L40" s="7" t="s">
        <v>458</v>
      </c>
      <c r="M40" s="140" t="s">
        <v>458</v>
      </c>
      <c r="S40" s="7"/>
    </row>
    <row r="41" spans="1:21">
      <c r="F41" s="141">
        <v>0.70833333333333337</v>
      </c>
      <c r="G41" s="7" t="s">
        <v>459</v>
      </c>
      <c r="H41" s="7" t="s">
        <v>459</v>
      </c>
      <c r="I41" s="7" t="s">
        <v>459</v>
      </c>
      <c r="J41" s="7" t="s">
        <v>459</v>
      </c>
      <c r="K41" s="7" t="s">
        <v>459</v>
      </c>
      <c r="L41" s="7" t="s">
        <v>460</v>
      </c>
      <c r="M41" s="140" t="s">
        <v>464</v>
      </c>
    </row>
    <row r="42" spans="1:21">
      <c r="F42" s="141">
        <v>0.83333333333333337</v>
      </c>
      <c r="G42" s="7" t="s">
        <v>461</v>
      </c>
      <c r="H42" s="7" t="s">
        <v>462</v>
      </c>
      <c r="I42" s="7" t="s">
        <v>463</v>
      </c>
      <c r="J42" s="7" t="s">
        <v>461</v>
      </c>
      <c r="K42" s="7" t="s">
        <v>462</v>
      </c>
      <c r="L42" s="7" t="s">
        <v>463</v>
      </c>
      <c r="M42" s="140" t="s">
        <v>465</v>
      </c>
    </row>
    <row r="45" spans="1:21">
      <c r="G45" t="s">
        <v>176</v>
      </c>
      <c r="H45" s="7" t="s">
        <v>177</v>
      </c>
      <c r="I45" s="7" t="s">
        <v>178</v>
      </c>
      <c r="J45" s="99" t="s">
        <v>179</v>
      </c>
      <c r="L45" s="99" t="s">
        <v>180</v>
      </c>
      <c r="M45" s="99" t="s">
        <v>181</v>
      </c>
    </row>
    <row r="46" spans="1:21">
      <c r="F46" t="s">
        <v>31</v>
      </c>
      <c r="G46">
        <v>15</v>
      </c>
      <c r="H46" s="7">
        <v>150</v>
      </c>
      <c r="I46" s="7">
        <v>40</v>
      </c>
      <c r="J46" s="99">
        <v>1.5</v>
      </c>
      <c r="L46" s="99">
        <v>10</v>
      </c>
      <c r="M46" s="99">
        <v>6</v>
      </c>
    </row>
    <row r="47" spans="1:21">
      <c r="F47" t="s">
        <v>140</v>
      </c>
      <c r="G47">
        <v>20</v>
      </c>
      <c r="H47" s="7">
        <v>150</v>
      </c>
      <c r="I47" s="7">
        <v>4</v>
      </c>
      <c r="J47" s="99">
        <v>0.5</v>
      </c>
      <c r="M47" s="99">
        <v>1.5</v>
      </c>
    </row>
    <row r="48" spans="1:21">
      <c r="C48"/>
      <c r="E48"/>
      <c r="F48" t="s">
        <v>32</v>
      </c>
      <c r="G48">
        <v>30</v>
      </c>
      <c r="H48" s="7">
        <v>150</v>
      </c>
      <c r="I48" s="7">
        <v>10</v>
      </c>
      <c r="M48" s="99">
        <v>0</v>
      </c>
      <c r="U48"/>
    </row>
    <row r="49" spans="6:18">
      <c r="F49" t="s">
        <v>47</v>
      </c>
      <c r="G49">
        <v>40</v>
      </c>
      <c r="H49" s="7">
        <v>150</v>
      </c>
      <c r="I49" s="7">
        <v>30</v>
      </c>
      <c r="J49" s="99">
        <v>4</v>
      </c>
      <c r="M49" s="99">
        <v>0</v>
      </c>
      <c r="O49">
        <v>33</v>
      </c>
      <c r="P49">
        <v>1740</v>
      </c>
      <c r="Q49">
        <f>O49^2*1.6</f>
        <v>1742.4</v>
      </c>
      <c r="R49" s="7">
        <f>50+10*O49</f>
        <v>380</v>
      </c>
    </row>
    <row r="50" spans="6:18">
      <c r="F50" t="s">
        <v>33</v>
      </c>
      <c r="G50">
        <v>25</v>
      </c>
      <c r="H50" s="7">
        <v>150</v>
      </c>
      <c r="M50" s="99">
        <v>0</v>
      </c>
      <c r="O50">
        <v>57</v>
      </c>
      <c r="P50">
        <v>28220</v>
      </c>
      <c r="Q50" s="7">
        <f t="shared" ref="Q50:Q53" si="1">O50^2*1.6</f>
        <v>5198.4000000000005</v>
      </c>
      <c r="R50" s="7">
        <f t="shared" ref="R50:R53" si="2">50+10*O50</f>
        <v>620</v>
      </c>
    </row>
    <row r="51" spans="6:18">
      <c r="F51" t="s">
        <v>7</v>
      </c>
      <c r="G51">
        <v>31</v>
      </c>
      <c r="H51" s="7">
        <v>150</v>
      </c>
      <c r="O51">
        <v>58</v>
      </c>
      <c r="P51">
        <v>29950</v>
      </c>
      <c r="Q51" s="7">
        <f t="shared" si="1"/>
        <v>5382.4000000000005</v>
      </c>
      <c r="R51" s="7">
        <f t="shared" si="2"/>
        <v>630</v>
      </c>
    </row>
    <row r="52" spans="6:18">
      <c r="F52" t="s">
        <v>138</v>
      </c>
      <c r="G52" t="s">
        <v>182</v>
      </c>
      <c r="H52" s="7">
        <v>150</v>
      </c>
      <c r="I52" s="7">
        <v>20</v>
      </c>
      <c r="J52" s="99">
        <v>2</v>
      </c>
      <c r="M52" s="99">
        <v>6.3</v>
      </c>
      <c r="O52">
        <v>60</v>
      </c>
      <c r="P52">
        <v>55220</v>
      </c>
      <c r="Q52" s="7">
        <f t="shared" si="1"/>
        <v>5760</v>
      </c>
      <c r="R52" s="7">
        <f t="shared" si="2"/>
        <v>650</v>
      </c>
    </row>
    <row r="53" spans="6:18">
      <c r="F53" s="7" t="s">
        <v>371</v>
      </c>
      <c r="G53" t="s">
        <v>182</v>
      </c>
      <c r="H53" s="7">
        <v>150</v>
      </c>
      <c r="I53" s="7">
        <v>30</v>
      </c>
      <c r="J53" s="99">
        <v>2.5</v>
      </c>
      <c r="L53" s="99" t="s">
        <v>183</v>
      </c>
      <c r="M53" s="99">
        <v>1.2</v>
      </c>
      <c r="O53">
        <v>61</v>
      </c>
      <c r="P53">
        <v>58023</v>
      </c>
      <c r="Q53" s="7">
        <f t="shared" si="1"/>
        <v>5953.6</v>
      </c>
      <c r="R53" s="7">
        <f t="shared" si="2"/>
        <v>660</v>
      </c>
    </row>
    <row r="54" spans="6:18">
      <c r="F54" t="s">
        <v>139</v>
      </c>
      <c r="G54">
        <v>35</v>
      </c>
      <c r="H54" s="7">
        <v>150</v>
      </c>
    </row>
    <row r="55" spans="6:18">
      <c r="F55" s="7" t="s">
        <v>378</v>
      </c>
      <c r="G55">
        <v>35</v>
      </c>
      <c r="H55" s="7">
        <v>150</v>
      </c>
      <c r="I55" s="7">
        <v>10</v>
      </c>
      <c r="L55" s="99" t="s">
        <v>184</v>
      </c>
      <c r="M55" s="99">
        <v>1.8000000000000003</v>
      </c>
    </row>
    <row r="56" spans="6:18">
      <c r="F56" s="7" t="s">
        <v>379</v>
      </c>
      <c r="G56">
        <v>50</v>
      </c>
      <c r="H56" s="7">
        <v>150</v>
      </c>
      <c r="I56" s="7">
        <v>30</v>
      </c>
      <c r="M56" s="99">
        <v>0</v>
      </c>
    </row>
    <row r="57" spans="6:18">
      <c r="F57" t="s">
        <v>27</v>
      </c>
      <c r="G57">
        <v>10</v>
      </c>
      <c r="H57" s="7">
        <v>150</v>
      </c>
      <c r="I57" s="7">
        <v>1</v>
      </c>
      <c r="J57" s="99">
        <v>1</v>
      </c>
      <c r="M57" s="99">
        <v>0</v>
      </c>
      <c r="O57">
        <v>1</v>
      </c>
      <c r="P57">
        <v>60</v>
      </c>
      <c r="Q57">
        <f>50+10*O57</f>
        <v>60</v>
      </c>
    </row>
    <row r="58" spans="6:18">
      <c r="F58" t="s">
        <v>12</v>
      </c>
      <c r="G58">
        <v>30</v>
      </c>
      <c r="H58" s="7">
        <v>150</v>
      </c>
      <c r="I58" s="7">
        <v>10</v>
      </c>
      <c r="M58" s="99">
        <v>0</v>
      </c>
      <c r="O58">
        <v>2</v>
      </c>
      <c r="P58">
        <v>70</v>
      </c>
      <c r="Q58" s="7">
        <f t="shared" ref="Q58:Q66" si="3">50+10*O58</f>
        <v>70</v>
      </c>
    </row>
    <row r="59" spans="6:18">
      <c r="F59" t="s">
        <v>11</v>
      </c>
      <c r="G59">
        <v>10</v>
      </c>
      <c r="H59" s="7">
        <v>150</v>
      </c>
      <c r="I59" s="7">
        <v>5</v>
      </c>
      <c r="M59" s="99">
        <v>0</v>
      </c>
      <c r="O59">
        <v>3</v>
      </c>
      <c r="P59">
        <v>80</v>
      </c>
      <c r="Q59" s="7">
        <f t="shared" si="3"/>
        <v>80</v>
      </c>
    </row>
    <row r="60" spans="6:18">
      <c r="F60" t="s">
        <v>40</v>
      </c>
      <c r="G60">
        <v>20</v>
      </c>
      <c r="H60" s="7">
        <v>150</v>
      </c>
      <c r="I60" s="7">
        <v>20</v>
      </c>
      <c r="J60" s="99">
        <v>2</v>
      </c>
      <c r="L60" s="99" t="s">
        <v>185</v>
      </c>
      <c r="M60" s="99">
        <v>22.5</v>
      </c>
      <c r="O60">
        <v>4</v>
      </c>
      <c r="P60">
        <v>90</v>
      </c>
      <c r="Q60" s="7">
        <f t="shared" si="3"/>
        <v>90</v>
      </c>
    </row>
    <row r="61" spans="6:18">
      <c r="F61" s="7" t="s">
        <v>509</v>
      </c>
      <c r="G61">
        <v>30</v>
      </c>
      <c r="H61" s="7">
        <v>150</v>
      </c>
      <c r="I61" s="7">
        <v>10</v>
      </c>
      <c r="M61" s="99">
        <v>0</v>
      </c>
      <c r="O61">
        <v>5</v>
      </c>
      <c r="P61">
        <v>100</v>
      </c>
      <c r="Q61" s="7">
        <f t="shared" si="3"/>
        <v>100</v>
      </c>
    </row>
    <row r="62" spans="6:18">
      <c r="F62" t="s">
        <v>48</v>
      </c>
      <c r="G62">
        <v>25</v>
      </c>
      <c r="H62" s="7">
        <v>150</v>
      </c>
      <c r="I62" s="7">
        <v>20</v>
      </c>
      <c r="J62" s="99">
        <v>1.5</v>
      </c>
      <c r="M62" s="99">
        <v>2</v>
      </c>
      <c r="O62">
        <v>6</v>
      </c>
      <c r="P62">
        <v>110</v>
      </c>
      <c r="Q62" s="7">
        <f t="shared" si="3"/>
        <v>110</v>
      </c>
    </row>
    <row r="63" spans="6:18">
      <c r="F63" t="s">
        <v>49</v>
      </c>
      <c r="G63">
        <v>50</v>
      </c>
      <c r="H63" s="7">
        <v>150</v>
      </c>
      <c r="I63" s="7">
        <v>20</v>
      </c>
      <c r="J63" s="99">
        <v>1.5</v>
      </c>
      <c r="M63" s="99">
        <v>0</v>
      </c>
      <c r="O63">
        <v>7</v>
      </c>
      <c r="P63">
        <v>120</v>
      </c>
      <c r="Q63" s="7">
        <f t="shared" si="3"/>
        <v>120</v>
      </c>
    </row>
    <row r="64" spans="6:18">
      <c r="F64" t="s">
        <v>50</v>
      </c>
      <c r="G64">
        <v>50</v>
      </c>
      <c r="H64" s="7">
        <v>150</v>
      </c>
      <c r="I64" s="7">
        <v>40</v>
      </c>
      <c r="J64" s="99">
        <v>2</v>
      </c>
      <c r="M64" s="99">
        <v>0</v>
      </c>
      <c r="O64">
        <v>8</v>
      </c>
      <c r="P64">
        <v>130</v>
      </c>
      <c r="Q64" s="7">
        <f t="shared" si="3"/>
        <v>130</v>
      </c>
    </row>
    <row r="65" spans="6:17">
      <c r="F65" t="s">
        <v>51</v>
      </c>
      <c r="G65">
        <v>30</v>
      </c>
      <c r="H65" s="7">
        <v>150</v>
      </c>
      <c r="I65" s="7">
        <v>30</v>
      </c>
      <c r="M65" s="99">
        <v>6.75</v>
      </c>
      <c r="O65">
        <v>9</v>
      </c>
      <c r="P65">
        <v>140</v>
      </c>
      <c r="Q65" s="7">
        <f t="shared" si="3"/>
        <v>140</v>
      </c>
    </row>
    <row r="66" spans="6:17">
      <c r="F66" t="s">
        <v>36</v>
      </c>
      <c r="G66">
        <v>30</v>
      </c>
      <c r="H66" s="7">
        <v>150</v>
      </c>
      <c r="I66" s="7">
        <v>30</v>
      </c>
      <c r="M66" s="99">
        <v>6.75</v>
      </c>
      <c r="O66">
        <v>10</v>
      </c>
      <c r="P66">
        <v>150</v>
      </c>
      <c r="Q66" s="7">
        <f t="shared" si="3"/>
        <v>150</v>
      </c>
    </row>
    <row r="67" spans="6:17">
      <c r="F67" s="7" t="s">
        <v>380</v>
      </c>
      <c r="G67">
        <v>45</v>
      </c>
      <c r="H67" s="7">
        <v>150</v>
      </c>
      <c r="I67" s="7">
        <v>25</v>
      </c>
      <c r="J67" s="99">
        <v>2</v>
      </c>
      <c r="M67" s="99">
        <v>0</v>
      </c>
    </row>
    <row r="68" spans="6:17">
      <c r="F68" t="s">
        <v>17</v>
      </c>
      <c r="G68">
        <v>45</v>
      </c>
      <c r="H68" s="7">
        <v>150</v>
      </c>
      <c r="I68" s="7">
        <v>20</v>
      </c>
      <c r="M68" s="99">
        <v>0</v>
      </c>
    </row>
    <row r="69" spans="6:17">
      <c r="F69" s="7" t="s">
        <v>381</v>
      </c>
      <c r="G69">
        <v>35</v>
      </c>
      <c r="H69" s="7">
        <v>150</v>
      </c>
      <c r="I69" s="7">
        <v>20</v>
      </c>
      <c r="J69" s="99">
        <v>1.5</v>
      </c>
      <c r="M69" s="99">
        <v>0</v>
      </c>
    </row>
    <row r="70" spans="6:17">
      <c r="F70" s="7" t="s">
        <v>375</v>
      </c>
      <c r="G70">
        <v>35</v>
      </c>
      <c r="H70" s="7">
        <v>150</v>
      </c>
      <c r="I70" s="7">
        <v>10</v>
      </c>
      <c r="J70" s="99">
        <v>1.5</v>
      </c>
      <c r="M70" s="99">
        <v>0</v>
      </c>
    </row>
    <row r="71" spans="6:17">
      <c r="F71" s="7" t="s">
        <v>376</v>
      </c>
      <c r="G71">
        <v>35</v>
      </c>
      <c r="H71" s="7">
        <v>150</v>
      </c>
      <c r="I71" s="7">
        <v>10</v>
      </c>
      <c r="M71" s="99">
        <v>0</v>
      </c>
    </row>
    <row r="72" spans="6:17">
      <c r="F72" t="s">
        <v>41</v>
      </c>
      <c r="G72" t="s">
        <v>186</v>
      </c>
      <c r="H72" s="7">
        <v>150</v>
      </c>
      <c r="I72" s="7">
        <v>20</v>
      </c>
    </row>
    <row r="76" spans="6:17">
      <c r="F76" s="141"/>
      <c r="G7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AF152"/>
  <sheetViews>
    <sheetView topLeftCell="A13" workbookViewId="0">
      <pane xSplit="1" topLeftCell="B1" activePane="topRight" state="frozen"/>
      <selection activeCell="A13" sqref="A13"/>
      <selection pane="topRight" activeCell="Z42" sqref="Z42"/>
    </sheetView>
  </sheetViews>
  <sheetFormatPr defaultRowHeight="12"/>
  <cols>
    <col min="1" max="2" width="6.625" style="19" customWidth="1"/>
    <col min="3" max="5" width="6.625" style="11" customWidth="1"/>
    <col min="6" max="6" width="6.625" style="19" customWidth="1"/>
    <col min="7" max="9" width="6.625" style="59" customWidth="1"/>
    <col min="10" max="10" width="6.625" style="65" customWidth="1"/>
    <col min="11" max="11" width="6.625" style="11" customWidth="1"/>
    <col min="12" max="14" width="6.625" style="19" customWidth="1"/>
    <col min="15" max="17" width="6.625" style="11" customWidth="1"/>
    <col min="18" max="18" width="6.625" style="19" customWidth="1"/>
    <col min="19" max="19" width="6.625" style="11" customWidth="1"/>
    <col min="20" max="25" width="6.625" style="19" customWidth="1"/>
    <col min="26" max="28" width="6.625" style="59" customWidth="1"/>
    <col min="29" max="29" width="6.625" style="19" customWidth="1"/>
    <col min="30" max="31" width="6.625" style="54" customWidth="1"/>
    <col min="32" max="32" width="6.625" style="19" customWidth="1"/>
    <col min="33" max="16384" width="9" style="19"/>
  </cols>
  <sheetData>
    <row r="1" spans="1:32" s="11" customFormat="1" ht="22.5" customHeight="1">
      <c r="A1" s="30"/>
      <c r="B1" s="170" t="s">
        <v>34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2"/>
      <c r="R1" s="173" t="s">
        <v>3</v>
      </c>
      <c r="S1" s="174"/>
      <c r="T1" s="174"/>
      <c r="U1" s="174"/>
      <c r="V1" s="174"/>
      <c r="W1" s="174"/>
      <c r="X1" s="174"/>
      <c r="Y1" s="174"/>
      <c r="Z1" s="174"/>
      <c r="AA1" s="174"/>
      <c r="AB1" s="175"/>
      <c r="AC1" s="176" t="s">
        <v>166</v>
      </c>
      <c r="AD1" s="177"/>
      <c r="AE1" s="105"/>
      <c r="AF1" s="55"/>
    </row>
    <row r="2" spans="1:32" s="18" customFormat="1" ht="133.5">
      <c r="A2" s="28" t="s">
        <v>4</v>
      </c>
      <c r="B2" s="15" t="s">
        <v>31</v>
      </c>
      <c r="C2" s="15" t="s">
        <v>140</v>
      </c>
      <c r="D2" s="15" t="s">
        <v>32</v>
      </c>
      <c r="E2" s="15" t="s">
        <v>47</v>
      </c>
      <c r="F2" s="15" t="s">
        <v>33</v>
      </c>
      <c r="G2" s="15" t="s">
        <v>7</v>
      </c>
      <c r="H2" s="15" t="s">
        <v>138</v>
      </c>
      <c r="I2" s="15" t="s">
        <v>387</v>
      </c>
      <c r="J2" s="15" t="s">
        <v>139</v>
      </c>
      <c r="K2" s="15" t="s">
        <v>372</v>
      </c>
      <c r="L2" s="15" t="s">
        <v>471</v>
      </c>
      <c r="M2" s="15" t="s">
        <v>27</v>
      </c>
      <c r="N2" s="15" t="s">
        <v>12</v>
      </c>
      <c r="O2" s="15" t="s">
        <v>11</v>
      </c>
      <c r="P2" s="15" t="s">
        <v>40</v>
      </c>
      <c r="Q2" s="15" t="s">
        <v>509</v>
      </c>
      <c r="R2" s="16" t="s">
        <v>48</v>
      </c>
      <c r="S2" s="16" t="s">
        <v>156</v>
      </c>
      <c r="T2" s="16" t="s">
        <v>49</v>
      </c>
      <c r="U2" s="16" t="s">
        <v>50</v>
      </c>
      <c r="V2" s="16" t="s">
        <v>161</v>
      </c>
      <c r="W2" s="16" t="s">
        <v>36</v>
      </c>
      <c r="X2" s="16" t="s">
        <v>380</v>
      </c>
      <c r="Y2" s="16" t="s">
        <v>477</v>
      </c>
      <c r="Z2" s="16" t="s">
        <v>468</v>
      </c>
      <c r="AA2" s="16" t="s">
        <v>20</v>
      </c>
      <c r="AB2" s="66" t="s">
        <v>21</v>
      </c>
      <c r="AC2" s="17" t="s">
        <v>388</v>
      </c>
      <c r="AD2" s="17" t="s">
        <v>239</v>
      </c>
      <c r="AE2" s="126" t="s">
        <v>214</v>
      </c>
      <c r="AF2" s="18" t="s">
        <v>165</v>
      </c>
    </row>
    <row r="3" spans="1:32">
      <c r="A3" s="19">
        <v>1</v>
      </c>
      <c r="B3" s="20">
        <f>ROUND(IF(OR($A3&lt;VLOOKUP(B$2,行为概览!$D$3:$U$33,3,0),$A3&gt;VLOOKUP(B$2,行为概览!$D$3:$U$33,4,0)),0,VLOOKUP(B$2,行为概览!$D$3:$U$33,6,0)),4)</f>
        <v>0</v>
      </c>
      <c r="C3" s="20">
        <f>ROUND(IF(OR($A3&lt;VLOOKUP(C$2,行为概览!$D$3:$U$33,3,0),$A3&gt;VLOOKUP(C$2,行为概览!$D$3:$U$33,4,0)),0,VLOOKUP(C$2,行为概览!$D$3:$U$33,6,0)),4)</f>
        <v>0</v>
      </c>
      <c r="D3" s="20">
        <f>ROUND(IF(OR($A3&lt;VLOOKUP(D$2,行为概览!$D$3:$U$33,3,0),$A3&gt;VLOOKUP(D$2,行为概览!$D$3:$U$33,4,0)),0,VLOOKUP(D$2,行为概览!$D$3:$U$33,6,0)),4)</f>
        <v>0</v>
      </c>
      <c r="E3" s="20">
        <f>ROUND(IF(OR($A3&lt;VLOOKUP(E$2,行为概览!$D$3:$U$33,3,0),$A3&gt;VLOOKUP(E$2,行为概览!$D$3:$U$33,4,0)),0,VLOOKUP(E$2,行为概览!$D$3:$U$33,6,0)),4)</f>
        <v>0</v>
      </c>
      <c r="F3" s="20">
        <f>ROUND(IF(OR($A3&lt;VLOOKUP(F$2,行为概览!$D$3:$U$33,3,0),$A3&gt;VLOOKUP(F$2,行为概览!$D$3:$U$33,4,0)),0,VLOOKUP(F$2,行为概览!$D$3:$U$33,6,0)),4)</f>
        <v>0</v>
      </c>
      <c r="G3" s="20">
        <f>ROUND(IF(OR($A3&lt;VLOOKUP(G$2,行为概览!$D$3:$U$33,3,0),$A3&gt;VLOOKUP(G$2,行为概览!$D$3:$U$33,4,0)),0,VLOOKUP(G$2,行为概览!$D$3:$U$33,6,0)),4)</f>
        <v>0</v>
      </c>
      <c r="H3" s="20">
        <f>ROUND(IF(OR($A3&lt;VLOOKUP(H$2,行为概览!$D$3:$U$33,3,0),$A3&gt;VLOOKUP(H$2,行为概览!$D$3:$U$33,4,0)),0,VLOOKUP(H$2,行为概览!$D$3:$U$33,6,0)),4)</f>
        <v>0</v>
      </c>
      <c r="I3" s="20">
        <f>ROUND(IF(OR($A3&lt;VLOOKUP(I$2,行为概览!$D$3:$U$33,3,0),$A3&gt;VLOOKUP(I$2,行为概览!$D$3:$U$33,4,0)),0,VLOOKUP(I$2,行为概览!$D$3:$U$33,6,0)),4)</f>
        <v>0</v>
      </c>
      <c r="J3" s="20">
        <f>ROUND(IF(OR($A3&lt;VLOOKUP(J$2,行为概览!$D$3:$U$33,3,0),$A3&gt;VLOOKUP(J$2,行为概览!$D$3:$U$33,4,0)),0,VLOOKUP(J$2,行为概览!$D$3:$U$33,6,0)),4)</f>
        <v>0</v>
      </c>
      <c r="K3" s="20">
        <f>ROUND(IF(OR($A3&lt;VLOOKUP(K$2,行为概览!$D$3:$U$33,3,0),$A3&gt;VLOOKUP(K$2,行为概览!$D$3:$U$33,4,0)),0,VLOOKUP(K$2,行为概览!$D$3:$U$33,6,0)),4)</f>
        <v>0</v>
      </c>
      <c r="L3" s="20">
        <f>ROUND(IF(OR($A3&lt;VLOOKUP(L$2,行为概览!$D$3:$U$33,3,0),$A3&gt;VLOOKUP(L$2,行为概览!$D$3:$U$33,4,0)),0,VLOOKUP(L$2,行为概览!$D$3:$U$33,6,0)),4)</f>
        <v>0</v>
      </c>
      <c r="M3" s="20">
        <f>ROUND(IF(OR($A3&lt;VLOOKUP(M$2,行为概览!$D$3:$U$33,3,0),$A3&gt;VLOOKUP(M$2,行为概览!$D$3:$U$33,4,0)),0,VLOOKUP(M$2,行为概览!$D$3:$U$33,6,0)),4)</f>
        <v>0</v>
      </c>
      <c r="N3" s="20">
        <f>ROUND(IF(OR($A3&lt;VLOOKUP(N$2,行为概览!$D$3:$U$33,3,0),$A3&gt;VLOOKUP(N$2,行为概览!$D$3:$U$33,4,0)),0,VLOOKUP(N$2,行为概览!$D$3:$U$33,6,0)),4)</f>
        <v>0</v>
      </c>
      <c r="O3" s="20">
        <f>ROUND(IF(OR($A3&lt;VLOOKUP(O$2,行为概览!$D$3:$U$33,3,0),$A3&gt;VLOOKUP(O$2,行为概览!$D$3:$U$33,4,0)),0,VLOOKUP(O$2,行为概览!$D$3:$U$33,6,0)),4)</f>
        <v>0</v>
      </c>
      <c r="P3" s="20">
        <f>ROUND(IF(OR($A3&lt;VLOOKUP(P$2,行为概览!$D$3:$U$33,3,0),$A3&gt;VLOOKUP(P$2,行为概览!$D$3:$U$33,4,0)),0,VLOOKUP(P$2,行为概览!$D$3:$U$33,6,0)),4)</f>
        <v>2.6</v>
      </c>
      <c r="Q3" s="20">
        <f>ROUND(IF(OR($A3&lt;VLOOKUP(Q$2,行为概览!$D$3:$U$33,3,0),$A3&gt;VLOOKUP(Q$2,行为概览!$D$3:$U$33,4,0)),0,VLOOKUP(Q$2,行为概览!$D$3:$U$33,6,0)),4)</f>
        <v>0</v>
      </c>
      <c r="R3" s="20">
        <f>ROUND(IF(OR($A3&lt;VLOOKUP(R$2,行为概览!$D$3:$U$33,3,0),$A3&gt;VLOOKUP(R$2,行为概览!$D$3:$U$33,4,0)),0,VLOOKUP(R$2,行为概览!$D$3:$U$33,6,0)),4)</f>
        <v>0</v>
      </c>
      <c r="S3" s="20">
        <f>ROUND(IF(OR($A3&lt;VLOOKUP(S$2,行为概览!$D$3:$U$33,3,0),$A3&gt;VLOOKUP(S$2,行为概览!$D$3:$U$33,4,0)),0,VLOOKUP(S$2,行为概览!$D$3:$U$33,6,0)),4)</f>
        <v>0</v>
      </c>
      <c r="T3" s="20">
        <f>ROUND(IF(OR($A3&lt;VLOOKUP(T$2,行为概览!$D$3:$U$33,3,0),$A3&gt;VLOOKUP(T$2,行为概览!$D$3:$U$33,4,0)),0,VLOOKUP(T$2,行为概览!$D$3:$U$33,6,0)),4)</f>
        <v>0</v>
      </c>
      <c r="U3" s="20">
        <f>ROUND(IF(OR($A3&lt;VLOOKUP(U$2,行为概览!$D$3:$U$33,3,0),$A3&gt;VLOOKUP(U$2,行为概览!$D$3:$U$33,4,0)),0,VLOOKUP(U$2,行为概览!$D$3:$U$33,6,0)),4)</f>
        <v>0</v>
      </c>
      <c r="V3" s="20">
        <f>ROUND(IF(OR($A3&lt;VLOOKUP(V$2,行为概览!$D$3:$U$33,3,0),$A3&gt;VLOOKUP(V$2,行为概览!$D$3:$U$33,4,0)),0,VLOOKUP(V$2,行为概览!$D$3:$U$33,6,0)),4)</f>
        <v>0</v>
      </c>
      <c r="W3" s="20">
        <f>ROUND(IF(OR($A3&lt;VLOOKUP(W$2,行为概览!$D$3:$U$33,3,0),$A3&gt;VLOOKUP(W$2,行为概览!$D$3:$U$33,4,0)),0,VLOOKUP(W$2,行为概览!$D$3:$U$33,6,0)),4)</f>
        <v>0</v>
      </c>
      <c r="X3" s="20">
        <f>ROUND(IF(OR($A3&lt;VLOOKUP(X$2,行为概览!$D$3:$U$33,3,0),$A3&gt;VLOOKUP(X$2,行为概览!$D$3:$U$33,4,0)),0,VLOOKUP(X$2,行为概览!$D$3:$U$33,6,0)),4)</f>
        <v>0</v>
      </c>
      <c r="Y3" s="20">
        <f>ROUND(IF(OR($A3&lt;VLOOKUP(Y$2,行为概览!$D$3:$U$33,3,0),$A3&gt;VLOOKUP(Y$2,行为概览!$D$3:$U$33,4,0)),0,VLOOKUP(Y$2,行为概览!$D$3:$U$33,6,0)),4)</f>
        <v>0</v>
      </c>
      <c r="Z3" s="20">
        <f>ROUND(IF(OR($A3&lt;VLOOKUP(Z$2,行为概览!$D$3:$U$33,3,0),$A3&gt;VLOOKUP(Z$2,行为概览!$D$3:$U$33,4,0)),0,VLOOKUP(Z$2,行为概览!$D$3:$U$33,6,0)),4)</f>
        <v>0</v>
      </c>
      <c r="AA3" s="20">
        <f>ROUND(IF(OR($A3&lt;VLOOKUP(AA$2,行为概览!$D$3:$U$33,3,0),$A3&gt;VLOOKUP(AA$2,行为概览!$D$3:$U$33,4,0)),0,VLOOKUP(AA$2,行为概览!$D$3:$U$33,6,0)),4)</f>
        <v>0</v>
      </c>
      <c r="AB3" s="20">
        <f>ROUND(IF(OR($A3&lt;VLOOKUP(AB$2,行为概览!$D$3:$U$33,3,0),$A3&gt;VLOOKUP(AB$2,行为概览!$D$3:$U$33,4,0)),0,VLOOKUP(AB$2,行为概览!$D$3:$U$33,6,0)),4)</f>
        <v>0</v>
      </c>
      <c r="AC3" s="20">
        <f>ROUND(IF(OR($A3&lt;VLOOKUP(AC$2,行为概览!$D$3:$U$33,3,0),$A3&gt;VLOOKUP(AC$2,行为概览!$D$3:$U$33,4,0)),0,VLOOKUP(AC$2,行为概览!$D$3:$U$33,6,0)),4)</f>
        <v>0</v>
      </c>
      <c r="AD3" s="20">
        <f>ROUND(IF(OR($A3&lt;VLOOKUP(AD$2,行为概览!$D$3:$U$33,3,0),$A3&gt;VLOOKUP(AD$2,行为概览!$D$3:$U$33,4,0)),0,VLOOKUP(AD$2,行为概览!$D$3:$U$33,6,0)),4)</f>
        <v>0</v>
      </c>
      <c r="AE3" s="20">
        <f>ROUND(IF(OR($A3&lt;VLOOKUP(AE$2,行为概览!$D$3:$U$33,3,0),$A3&gt;VLOOKUP(AE$2,行为概览!$D$3:$U$33,4,0)),0,VLOOKUP(AE$2,行为概览!$D$3:$U$33,6,0)),4)</f>
        <v>0</v>
      </c>
      <c r="AF3" s="20">
        <f>ROUND(IF(OR($A3&lt;VLOOKUP(AF$2,行为概览!$D$3:$U$33,3,0),$A3&gt;VLOOKUP(AF$2,行为概览!$D$3:$U$33,4,0)),0,VLOOKUP(AF$2,行为概览!$D$3:$U$33,6,0)),4)</f>
        <v>0</v>
      </c>
    </row>
    <row r="4" spans="1:32">
      <c r="A4" s="19">
        <v>2</v>
      </c>
      <c r="B4" s="20">
        <f>ROUND(IF(OR($A4&lt;VLOOKUP(B$2,行为概览!$D$3:$U$33,3,0),$A4&gt;VLOOKUP(B$2,行为概览!$D$3:$U$33,4,0)),0,VLOOKUP(B$2,行为概览!$D$3:$U$33,6,0)),4)</f>
        <v>0</v>
      </c>
      <c r="C4" s="20">
        <f>ROUND(IF(OR($A4&lt;VLOOKUP(C$2,行为概览!$D$3:$U$33,3,0),$A4&gt;VLOOKUP(C$2,行为概览!$D$3:$U$33,4,0)),0,VLOOKUP(C$2,行为概览!$D$3:$U$33,6,0)),4)</f>
        <v>0</v>
      </c>
      <c r="D4" s="20">
        <f>ROUND(IF(OR($A4&lt;VLOOKUP(D$2,行为概览!$D$3:$U$33,3,0),$A4&gt;VLOOKUP(D$2,行为概览!$D$3:$U$33,4,0)),0,VLOOKUP(D$2,行为概览!$D$3:$U$33,6,0)),4)</f>
        <v>0</v>
      </c>
      <c r="E4" s="20">
        <f>ROUND(IF(OR($A4&lt;VLOOKUP(E$2,行为概览!$D$3:$U$33,3,0),$A4&gt;VLOOKUP(E$2,行为概览!$D$3:$U$33,4,0)),0,VLOOKUP(E$2,行为概览!$D$3:$U$33,6,0)),4)</f>
        <v>0</v>
      </c>
      <c r="F4" s="20">
        <f>ROUND(IF(OR($A4&lt;VLOOKUP(F$2,行为概览!$D$3:$U$33,3,0),$A4&gt;VLOOKUP(F$2,行为概览!$D$3:$U$33,4,0)),0,VLOOKUP(F$2,行为概览!$D$3:$U$33,6,0)),4)</f>
        <v>0</v>
      </c>
      <c r="G4" s="20">
        <f>ROUND(IF(OR($A4&lt;VLOOKUP(G$2,行为概览!$D$3:$U$33,3,0),$A4&gt;VLOOKUP(G$2,行为概览!$D$3:$U$33,4,0)),0,VLOOKUP(G$2,行为概览!$D$3:$U$33,6,0)),4)</f>
        <v>0</v>
      </c>
      <c r="H4" s="20">
        <f>ROUND(IF(OR($A4&lt;VLOOKUP(H$2,行为概览!$D$3:$U$33,3,0),$A4&gt;VLOOKUP(H$2,行为概览!$D$3:$U$33,4,0)),0,VLOOKUP(H$2,行为概览!$D$3:$U$33,6,0)),4)</f>
        <v>0</v>
      </c>
      <c r="I4" s="20">
        <f>ROUND(IF(OR($A4&lt;VLOOKUP(I$2,行为概览!$D$3:$U$33,3,0),$A4&gt;VLOOKUP(I$2,行为概览!$D$3:$U$33,4,0)),0,VLOOKUP(I$2,行为概览!$D$3:$U$33,6,0)),4)</f>
        <v>0</v>
      </c>
      <c r="J4" s="20">
        <f>ROUND(IF(OR($A4&lt;VLOOKUP(J$2,行为概览!$D$3:$U$33,3,0),$A4&gt;VLOOKUP(J$2,行为概览!$D$3:$U$33,4,0)),0,VLOOKUP(J$2,行为概览!$D$3:$U$33,6,0)),4)</f>
        <v>0</v>
      </c>
      <c r="K4" s="20">
        <f>ROUND(IF(OR($A4&lt;VLOOKUP(K$2,行为概览!$D$3:$U$33,3,0),$A4&gt;VLOOKUP(K$2,行为概览!$D$3:$U$33,4,0)),0,VLOOKUP(K$2,行为概览!$D$3:$U$33,6,0)),4)</f>
        <v>0</v>
      </c>
      <c r="L4" s="20">
        <f>ROUND(IF(OR($A4&lt;VLOOKUP(L$2,行为概览!$D$3:$U$33,3,0),$A4&gt;VLOOKUP(L$2,行为概览!$D$3:$U$33,4,0)),0,VLOOKUP(L$2,行为概览!$D$3:$U$33,6,0)),4)</f>
        <v>0</v>
      </c>
      <c r="M4" s="20">
        <f>ROUND(IF(OR($A4&lt;VLOOKUP(M$2,行为概览!$D$3:$U$33,3,0),$A4&gt;VLOOKUP(M$2,行为概览!$D$3:$U$33,4,0)),0,VLOOKUP(M$2,行为概览!$D$3:$U$33,6,0)),4)</f>
        <v>0</v>
      </c>
      <c r="N4" s="20">
        <f>ROUND(IF(OR($A4&lt;VLOOKUP(N$2,行为概览!$D$3:$U$33,3,0),$A4&gt;VLOOKUP(N$2,行为概览!$D$3:$U$33,4,0)),0,VLOOKUP(N$2,行为概览!$D$3:$U$33,6,0)),4)</f>
        <v>0</v>
      </c>
      <c r="O4" s="20">
        <f>ROUND(IF(OR($A4&lt;VLOOKUP(O$2,行为概览!$D$3:$U$33,3,0),$A4&gt;VLOOKUP(O$2,行为概览!$D$3:$U$33,4,0)),0,VLOOKUP(O$2,行为概览!$D$3:$U$33,6,0)),4)</f>
        <v>0</v>
      </c>
      <c r="P4" s="20">
        <f>ROUND(IF(OR($A4&lt;VLOOKUP(P$2,行为概览!$D$3:$U$33,3,0),$A4&gt;VLOOKUP(P$2,行为概览!$D$3:$U$33,4,0)),0,VLOOKUP(P$2,行为概览!$D$3:$U$33,6,0)),4)</f>
        <v>2.6</v>
      </c>
      <c r="Q4" s="20">
        <f>ROUND(IF(OR($A4&lt;VLOOKUP(Q$2,行为概览!$D$3:$U$33,3,0),$A4&gt;VLOOKUP(Q$2,行为概览!$D$3:$U$33,4,0)),0,VLOOKUP(Q$2,行为概览!$D$3:$U$33,6,0)),4)</f>
        <v>0</v>
      </c>
      <c r="R4" s="20">
        <f>ROUND(IF(OR($A4&lt;VLOOKUP(R$2,行为概览!$D$3:$U$33,3,0),$A4&gt;VLOOKUP(R$2,行为概览!$D$3:$U$33,4,0)),0,VLOOKUP(R$2,行为概览!$D$3:$U$33,6,0)),4)</f>
        <v>0</v>
      </c>
      <c r="S4" s="20">
        <f>ROUND(IF(OR($A4&lt;VLOOKUP(S$2,行为概览!$D$3:$U$33,3,0),$A4&gt;VLOOKUP(S$2,行为概览!$D$3:$U$33,4,0)),0,VLOOKUP(S$2,行为概览!$D$3:$U$33,6,0)),4)</f>
        <v>0</v>
      </c>
      <c r="T4" s="20">
        <f>ROUND(IF(OR($A4&lt;VLOOKUP(T$2,行为概览!$D$3:$U$33,3,0),$A4&gt;VLOOKUP(T$2,行为概览!$D$3:$U$33,4,0)),0,VLOOKUP(T$2,行为概览!$D$3:$U$33,6,0)),4)</f>
        <v>0</v>
      </c>
      <c r="U4" s="20">
        <f>ROUND(IF(OR($A4&lt;VLOOKUP(U$2,行为概览!$D$3:$U$33,3,0),$A4&gt;VLOOKUP(U$2,行为概览!$D$3:$U$33,4,0)),0,VLOOKUP(U$2,行为概览!$D$3:$U$33,6,0)),4)</f>
        <v>0</v>
      </c>
      <c r="V4" s="20">
        <f>ROUND(IF(OR($A4&lt;VLOOKUP(V$2,行为概览!$D$3:$U$33,3,0),$A4&gt;VLOOKUP(V$2,行为概览!$D$3:$U$33,4,0)),0,VLOOKUP(V$2,行为概览!$D$3:$U$33,6,0)),4)</f>
        <v>0</v>
      </c>
      <c r="W4" s="20">
        <f>ROUND(IF(OR($A4&lt;VLOOKUP(W$2,行为概览!$D$3:$U$33,3,0),$A4&gt;VLOOKUP(W$2,行为概览!$D$3:$U$33,4,0)),0,VLOOKUP(W$2,行为概览!$D$3:$U$33,6,0)),4)</f>
        <v>0</v>
      </c>
      <c r="X4" s="20">
        <f>ROUND(IF(OR($A4&lt;VLOOKUP(X$2,行为概览!$D$3:$U$33,3,0),$A4&gt;VLOOKUP(X$2,行为概览!$D$3:$U$33,4,0)),0,VLOOKUP(X$2,行为概览!$D$3:$U$33,6,0)),4)</f>
        <v>0</v>
      </c>
      <c r="Y4" s="20">
        <f>ROUND(IF(OR($A4&lt;VLOOKUP(Y$2,行为概览!$D$3:$U$33,3,0),$A4&gt;VLOOKUP(Y$2,行为概览!$D$3:$U$33,4,0)),0,VLOOKUP(Y$2,行为概览!$D$3:$U$33,6,0)),4)</f>
        <v>0</v>
      </c>
      <c r="Z4" s="20">
        <f>ROUND(IF(OR($A4&lt;VLOOKUP(Z$2,行为概览!$D$3:$U$33,3,0),$A4&gt;VLOOKUP(Z$2,行为概览!$D$3:$U$33,4,0)),0,VLOOKUP(Z$2,行为概览!$D$3:$U$33,6,0)),4)</f>
        <v>0</v>
      </c>
      <c r="AA4" s="20">
        <f>ROUND(IF(OR($A4&lt;VLOOKUP(AA$2,行为概览!$D$3:$U$33,3,0),$A4&gt;VLOOKUP(AA$2,行为概览!$D$3:$U$33,4,0)),0,VLOOKUP(AA$2,行为概览!$D$3:$U$33,6,0)),4)</f>
        <v>0</v>
      </c>
      <c r="AB4" s="20">
        <f>ROUND(IF(OR($A4&lt;VLOOKUP(AB$2,行为概览!$D$3:$U$33,3,0),$A4&gt;VLOOKUP(AB$2,行为概览!$D$3:$U$33,4,0)),0,VLOOKUP(AB$2,行为概览!$D$3:$U$33,6,0)),4)</f>
        <v>0</v>
      </c>
      <c r="AC4" s="20">
        <f>ROUND(IF(OR($A4&lt;VLOOKUP(AC$2,行为概览!$D$3:$U$33,3,0),$A4&gt;VLOOKUP(AC$2,行为概览!$D$3:$U$33,4,0)),0,VLOOKUP(AC$2,行为概览!$D$3:$U$33,6,0)),4)</f>
        <v>0</v>
      </c>
      <c r="AD4" s="20">
        <f>ROUND(IF(OR($A4&lt;VLOOKUP(AD$2,行为概览!$D$3:$U$33,3,0),$A4&gt;VLOOKUP(AD$2,行为概览!$D$3:$U$33,4,0)),0,VLOOKUP(AD$2,行为概览!$D$3:$U$33,6,0)),4)</f>
        <v>0</v>
      </c>
      <c r="AE4" s="20">
        <f>ROUND(IF(OR($A4&lt;VLOOKUP(AE$2,行为概览!$D$3:$U$33,3,0),$A4&gt;VLOOKUP(AE$2,行为概览!$D$3:$U$33,4,0)),0,VLOOKUP(AE$2,行为概览!$D$3:$U$33,6,0)),4)</f>
        <v>0</v>
      </c>
      <c r="AF4" s="20">
        <f>ROUND(IF(OR($A4&lt;VLOOKUP(AF$2,行为概览!$D$3:$U$33,3,0),$A4&gt;VLOOKUP(AF$2,行为概览!$D$3:$U$33,4,0)),0,VLOOKUP(AF$2,行为概览!$D$3:$U$33,6,0)),4)</f>
        <v>0</v>
      </c>
    </row>
    <row r="5" spans="1:32">
      <c r="A5" s="19">
        <v>3</v>
      </c>
      <c r="B5" s="20">
        <f>ROUND(IF(OR($A5&lt;VLOOKUP(B$2,行为概览!$D$3:$U$33,3,0),$A5&gt;VLOOKUP(B$2,行为概览!$D$3:$U$33,4,0)),0,VLOOKUP(B$2,行为概览!$D$3:$U$33,6,0)),4)</f>
        <v>0</v>
      </c>
      <c r="C5" s="20">
        <f>ROUND(IF(OR($A5&lt;VLOOKUP(C$2,行为概览!$D$3:$U$33,3,0),$A5&gt;VLOOKUP(C$2,行为概览!$D$3:$U$33,4,0)),0,VLOOKUP(C$2,行为概览!$D$3:$U$33,6,0)),4)</f>
        <v>0</v>
      </c>
      <c r="D5" s="20">
        <f>ROUND(IF(OR($A5&lt;VLOOKUP(D$2,行为概览!$D$3:$U$33,3,0),$A5&gt;VLOOKUP(D$2,行为概览!$D$3:$U$33,4,0)),0,VLOOKUP(D$2,行为概览!$D$3:$U$33,6,0)),4)</f>
        <v>0</v>
      </c>
      <c r="E5" s="20">
        <f>ROUND(IF(OR($A5&lt;VLOOKUP(E$2,行为概览!$D$3:$U$33,3,0),$A5&gt;VLOOKUP(E$2,行为概览!$D$3:$U$33,4,0)),0,VLOOKUP(E$2,行为概览!$D$3:$U$33,6,0)),4)</f>
        <v>0</v>
      </c>
      <c r="F5" s="20">
        <f>ROUND(IF(OR($A5&lt;VLOOKUP(F$2,行为概览!$D$3:$U$33,3,0),$A5&gt;VLOOKUP(F$2,行为概览!$D$3:$U$33,4,0)),0,VLOOKUP(F$2,行为概览!$D$3:$U$33,6,0)),4)</f>
        <v>0</v>
      </c>
      <c r="G5" s="20">
        <f>ROUND(IF(OR($A5&lt;VLOOKUP(G$2,行为概览!$D$3:$U$33,3,0),$A5&gt;VLOOKUP(G$2,行为概览!$D$3:$U$33,4,0)),0,VLOOKUP(G$2,行为概览!$D$3:$U$33,6,0)),4)</f>
        <v>0</v>
      </c>
      <c r="H5" s="20">
        <f>ROUND(IF(OR($A5&lt;VLOOKUP(H$2,行为概览!$D$3:$U$33,3,0),$A5&gt;VLOOKUP(H$2,行为概览!$D$3:$U$33,4,0)),0,VLOOKUP(H$2,行为概览!$D$3:$U$33,6,0)),4)</f>
        <v>0</v>
      </c>
      <c r="I5" s="20">
        <f>ROUND(IF(OR($A5&lt;VLOOKUP(I$2,行为概览!$D$3:$U$33,3,0),$A5&gt;VLOOKUP(I$2,行为概览!$D$3:$U$33,4,0)),0,VLOOKUP(I$2,行为概览!$D$3:$U$33,6,0)),4)</f>
        <v>0</v>
      </c>
      <c r="J5" s="20">
        <f>ROUND(IF(OR($A5&lt;VLOOKUP(J$2,行为概览!$D$3:$U$33,3,0),$A5&gt;VLOOKUP(J$2,行为概览!$D$3:$U$33,4,0)),0,VLOOKUP(J$2,行为概览!$D$3:$U$33,6,0)),4)</f>
        <v>0</v>
      </c>
      <c r="K5" s="20">
        <f>ROUND(IF(OR($A5&lt;VLOOKUP(K$2,行为概览!$D$3:$U$33,3,0),$A5&gt;VLOOKUP(K$2,行为概览!$D$3:$U$33,4,0)),0,VLOOKUP(K$2,行为概览!$D$3:$U$33,6,0)),4)</f>
        <v>0</v>
      </c>
      <c r="L5" s="20">
        <f>ROUND(IF(OR($A5&lt;VLOOKUP(L$2,行为概览!$D$3:$U$33,3,0),$A5&gt;VLOOKUP(L$2,行为概览!$D$3:$U$33,4,0)),0,VLOOKUP(L$2,行为概览!$D$3:$U$33,6,0)),4)</f>
        <v>0</v>
      </c>
      <c r="M5" s="20">
        <f>ROUND(IF(OR($A5&lt;VLOOKUP(M$2,行为概览!$D$3:$U$33,3,0),$A5&gt;VLOOKUP(M$2,行为概览!$D$3:$U$33,4,0)),0,VLOOKUP(M$2,行为概览!$D$3:$U$33,6,0)),4)</f>
        <v>0</v>
      </c>
      <c r="N5" s="20">
        <f>ROUND(IF(OR($A5&lt;VLOOKUP(N$2,行为概览!$D$3:$U$33,3,0),$A5&gt;VLOOKUP(N$2,行为概览!$D$3:$U$33,4,0)),0,VLOOKUP(N$2,行为概览!$D$3:$U$33,6,0)),4)</f>
        <v>0</v>
      </c>
      <c r="O5" s="20">
        <f>ROUND(IF(OR($A5&lt;VLOOKUP(O$2,行为概览!$D$3:$U$33,3,0),$A5&gt;VLOOKUP(O$2,行为概览!$D$3:$U$33,4,0)),0,VLOOKUP(O$2,行为概览!$D$3:$U$33,6,0)),4)</f>
        <v>0</v>
      </c>
      <c r="P5" s="20">
        <f>ROUND(IF(OR($A5&lt;VLOOKUP(P$2,行为概览!$D$3:$U$33,3,0),$A5&gt;VLOOKUP(P$2,行为概览!$D$3:$U$33,4,0)),0,VLOOKUP(P$2,行为概览!$D$3:$U$33,6,0)),4)</f>
        <v>2.6</v>
      </c>
      <c r="Q5" s="20">
        <f>ROUND(IF(OR($A5&lt;VLOOKUP(Q$2,行为概览!$D$3:$U$33,3,0),$A5&gt;VLOOKUP(Q$2,行为概览!$D$3:$U$33,4,0)),0,VLOOKUP(Q$2,行为概览!$D$3:$U$33,6,0)),4)</f>
        <v>0</v>
      </c>
      <c r="R5" s="20">
        <f>ROUND(IF(OR($A5&lt;VLOOKUP(R$2,行为概览!$D$3:$U$33,3,0),$A5&gt;VLOOKUP(R$2,行为概览!$D$3:$U$33,4,0)),0,VLOOKUP(R$2,行为概览!$D$3:$U$33,6,0)),4)</f>
        <v>0</v>
      </c>
      <c r="S5" s="20">
        <f>ROUND(IF(OR($A5&lt;VLOOKUP(S$2,行为概览!$D$3:$U$33,3,0),$A5&gt;VLOOKUP(S$2,行为概览!$D$3:$U$33,4,0)),0,VLOOKUP(S$2,行为概览!$D$3:$U$33,6,0)),4)</f>
        <v>0</v>
      </c>
      <c r="T5" s="20">
        <f>ROUND(IF(OR($A5&lt;VLOOKUP(T$2,行为概览!$D$3:$U$33,3,0),$A5&gt;VLOOKUP(T$2,行为概览!$D$3:$U$33,4,0)),0,VLOOKUP(T$2,行为概览!$D$3:$U$33,6,0)),4)</f>
        <v>0</v>
      </c>
      <c r="U5" s="20">
        <f>ROUND(IF(OR($A5&lt;VLOOKUP(U$2,行为概览!$D$3:$U$33,3,0),$A5&gt;VLOOKUP(U$2,行为概览!$D$3:$U$33,4,0)),0,VLOOKUP(U$2,行为概览!$D$3:$U$33,6,0)),4)</f>
        <v>0</v>
      </c>
      <c r="V5" s="20">
        <f>ROUND(IF(OR($A5&lt;VLOOKUP(V$2,行为概览!$D$3:$U$33,3,0),$A5&gt;VLOOKUP(V$2,行为概览!$D$3:$U$33,4,0)),0,VLOOKUP(V$2,行为概览!$D$3:$U$33,6,0)),4)</f>
        <v>0</v>
      </c>
      <c r="W5" s="20">
        <f>ROUND(IF(OR($A5&lt;VLOOKUP(W$2,行为概览!$D$3:$U$33,3,0),$A5&gt;VLOOKUP(W$2,行为概览!$D$3:$U$33,4,0)),0,VLOOKUP(W$2,行为概览!$D$3:$U$33,6,0)),4)</f>
        <v>0</v>
      </c>
      <c r="X5" s="20">
        <f>ROUND(IF(OR($A5&lt;VLOOKUP(X$2,行为概览!$D$3:$U$33,3,0),$A5&gt;VLOOKUP(X$2,行为概览!$D$3:$U$33,4,0)),0,VLOOKUP(X$2,行为概览!$D$3:$U$33,6,0)),4)</f>
        <v>0</v>
      </c>
      <c r="Y5" s="20">
        <f>ROUND(IF(OR($A5&lt;VLOOKUP(Y$2,行为概览!$D$3:$U$33,3,0),$A5&gt;VLOOKUP(Y$2,行为概览!$D$3:$U$33,4,0)),0,VLOOKUP(Y$2,行为概览!$D$3:$U$33,6,0)),4)</f>
        <v>0</v>
      </c>
      <c r="Z5" s="20">
        <f>ROUND(IF(OR($A5&lt;VLOOKUP(Z$2,行为概览!$D$3:$U$33,3,0),$A5&gt;VLOOKUP(Z$2,行为概览!$D$3:$U$33,4,0)),0,VLOOKUP(Z$2,行为概览!$D$3:$U$33,6,0)),4)</f>
        <v>0</v>
      </c>
      <c r="AA5" s="20">
        <f>ROUND(IF(OR($A5&lt;VLOOKUP(AA$2,行为概览!$D$3:$U$33,3,0),$A5&gt;VLOOKUP(AA$2,行为概览!$D$3:$U$33,4,0)),0,VLOOKUP(AA$2,行为概览!$D$3:$U$33,6,0)),4)</f>
        <v>0</v>
      </c>
      <c r="AB5" s="20">
        <f>ROUND(IF(OR($A5&lt;VLOOKUP(AB$2,行为概览!$D$3:$U$33,3,0),$A5&gt;VLOOKUP(AB$2,行为概览!$D$3:$U$33,4,0)),0,VLOOKUP(AB$2,行为概览!$D$3:$U$33,6,0)),4)</f>
        <v>0</v>
      </c>
      <c r="AC5" s="20">
        <f>ROUND(IF(OR($A5&lt;VLOOKUP(AC$2,行为概览!$D$3:$U$33,3,0),$A5&gt;VLOOKUP(AC$2,行为概览!$D$3:$U$33,4,0)),0,VLOOKUP(AC$2,行为概览!$D$3:$U$33,6,0)),4)</f>
        <v>0</v>
      </c>
      <c r="AD5" s="20">
        <f>ROUND(IF(OR($A5&lt;VLOOKUP(AD$2,行为概览!$D$3:$U$33,3,0),$A5&gt;VLOOKUP(AD$2,行为概览!$D$3:$U$33,4,0)),0,VLOOKUP(AD$2,行为概览!$D$3:$U$33,6,0)),4)</f>
        <v>0</v>
      </c>
      <c r="AE5" s="20">
        <f>ROUND(IF(OR($A5&lt;VLOOKUP(AE$2,行为概览!$D$3:$U$33,3,0),$A5&gt;VLOOKUP(AE$2,行为概览!$D$3:$U$33,4,0)),0,VLOOKUP(AE$2,行为概览!$D$3:$U$33,6,0)),4)</f>
        <v>0</v>
      </c>
      <c r="AF5" s="20">
        <f>ROUND(IF(OR($A5&lt;VLOOKUP(AF$2,行为概览!$D$3:$U$33,3,0),$A5&gt;VLOOKUP(AF$2,行为概览!$D$3:$U$33,4,0)),0,VLOOKUP(AF$2,行为概览!$D$3:$U$33,6,0)),4)</f>
        <v>0</v>
      </c>
    </row>
    <row r="6" spans="1:32">
      <c r="A6" s="19">
        <v>4</v>
      </c>
      <c r="B6" s="20">
        <f>ROUND(IF(OR($A6&lt;VLOOKUP(B$2,行为概览!$D$3:$U$33,3,0),$A6&gt;VLOOKUP(B$2,行为概览!$D$3:$U$33,4,0)),0,VLOOKUP(B$2,行为概览!$D$3:$U$33,6,0)),4)</f>
        <v>0</v>
      </c>
      <c r="C6" s="20">
        <f>ROUND(IF(OR($A6&lt;VLOOKUP(C$2,行为概览!$D$3:$U$33,3,0),$A6&gt;VLOOKUP(C$2,行为概览!$D$3:$U$33,4,0)),0,VLOOKUP(C$2,行为概览!$D$3:$U$33,6,0)),4)</f>
        <v>0</v>
      </c>
      <c r="D6" s="20">
        <f>ROUND(IF(OR($A6&lt;VLOOKUP(D$2,行为概览!$D$3:$U$33,3,0),$A6&gt;VLOOKUP(D$2,行为概览!$D$3:$U$33,4,0)),0,VLOOKUP(D$2,行为概览!$D$3:$U$33,6,0)),4)</f>
        <v>0</v>
      </c>
      <c r="E6" s="20">
        <f>ROUND(IF(OR($A6&lt;VLOOKUP(E$2,行为概览!$D$3:$U$33,3,0),$A6&gt;VLOOKUP(E$2,行为概览!$D$3:$U$33,4,0)),0,VLOOKUP(E$2,行为概览!$D$3:$U$33,6,0)),4)</f>
        <v>0</v>
      </c>
      <c r="F6" s="20">
        <f>ROUND(IF(OR($A6&lt;VLOOKUP(F$2,行为概览!$D$3:$U$33,3,0),$A6&gt;VLOOKUP(F$2,行为概览!$D$3:$U$33,4,0)),0,VLOOKUP(F$2,行为概览!$D$3:$U$33,6,0)),4)</f>
        <v>0</v>
      </c>
      <c r="G6" s="20">
        <f>ROUND(IF(OR($A6&lt;VLOOKUP(G$2,行为概览!$D$3:$U$33,3,0),$A6&gt;VLOOKUP(G$2,行为概览!$D$3:$U$33,4,0)),0,VLOOKUP(G$2,行为概览!$D$3:$U$33,6,0)),4)</f>
        <v>0</v>
      </c>
      <c r="H6" s="20">
        <f>ROUND(IF(OR($A6&lt;VLOOKUP(H$2,行为概览!$D$3:$U$33,3,0),$A6&gt;VLOOKUP(H$2,行为概览!$D$3:$U$33,4,0)),0,VLOOKUP(H$2,行为概览!$D$3:$U$33,6,0)),4)</f>
        <v>0</v>
      </c>
      <c r="I6" s="20">
        <f>ROUND(IF(OR($A6&lt;VLOOKUP(I$2,行为概览!$D$3:$U$33,3,0),$A6&gt;VLOOKUP(I$2,行为概览!$D$3:$U$33,4,0)),0,VLOOKUP(I$2,行为概览!$D$3:$U$33,6,0)),4)</f>
        <v>0</v>
      </c>
      <c r="J6" s="20">
        <f>ROUND(IF(OR($A6&lt;VLOOKUP(J$2,行为概览!$D$3:$U$33,3,0),$A6&gt;VLOOKUP(J$2,行为概览!$D$3:$U$33,4,0)),0,VLOOKUP(J$2,行为概览!$D$3:$U$33,6,0)),4)</f>
        <v>0</v>
      </c>
      <c r="K6" s="20">
        <f>ROUND(IF(OR($A6&lt;VLOOKUP(K$2,行为概览!$D$3:$U$33,3,0),$A6&gt;VLOOKUP(K$2,行为概览!$D$3:$U$33,4,0)),0,VLOOKUP(K$2,行为概览!$D$3:$U$33,6,0)),4)</f>
        <v>0</v>
      </c>
      <c r="L6" s="20">
        <f>ROUND(IF(OR($A6&lt;VLOOKUP(L$2,行为概览!$D$3:$U$33,3,0),$A6&gt;VLOOKUP(L$2,行为概览!$D$3:$U$33,4,0)),0,VLOOKUP(L$2,行为概览!$D$3:$U$33,6,0)),4)</f>
        <v>0</v>
      </c>
      <c r="M6" s="20">
        <f>ROUND(IF(OR($A6&lt;VLOOKUP(M$2,行为概览!$D$3:$U$33,3,0),$A6&gt;VLOOKUP(M$2,行为概览!$D$3:$U$33,4,0)),0,VLOOKUP(M$2,行为概览!$D$3:$U$33,6,0)),4)</f>
        <v>0</v>
      </c>
      <c r="N6" s="20">
        <f>ROUND(IF(OR($A6&lt;VLOOKUP(N$2,行为概览!$D$3:$U$33,3,0),$A6&gt;VLOOKUP(N$2,行为概览!$D$3:$U$33,4,0)),0,VLOOKUP(N$2,行为概览!$D$3:$U$33,6,0)),4)</f>
        <v>0</v>
      </c>
      <c r="O6" s="20">
        <f>ROUND(IF(OR($A6&lt;VLOOKUP(O$2,行为概览!$D$3:$U$33,3,0),$A6&gt;VLOOKUP(O$2,行为概览!$D$3:$U$33,4,0)),0,VLOOKUP(O$2,行为概览!$D$3:$U$33,6,0)),4)</f>
        <v>0</v>
      </c>
      <c r="P6" s="20">
        <f>ROUND(IF(OR($A6&lt;VLOOKUP(P$2,行为概览!$D$3:$U$33,3,0),$A6&gt;VLOOKUP(P$2,行为概览!$D$3:$U$33,4,0)),0,VLOOKUP(P$2,行为概览!$D$3:$U$33,6,0)),4)</f>
        <v>2.6</v>
      </c>
      <c r="Q6" s="20">
        <f>ROUND(IF(OR($A6&lt;VLOOKUP(Q$2,行为概览!$D$3:$U$33,3,0),$A6&gt;VLOOKUP(Q$2,行为概览!$D$3:$U$33,4,0)),0,VLOOKUP(Q$2,行为概览!$D$3:$U$33,6,0)),4)</f>
        <v>0</v>
      </c>
      <c r="R6" s="20">
        <f>ROUND(IF(OR($A6&lt;VLOOKUP(R$2,行为概览!$D$3:$U$33,3,0),$A6&gt;VLOOKUP(R$2,行为概览!$D$3:$U$33,4,0)),0,VLOOKUP(R$2,行为概览!$D$3:$U$33,6,0)),4)</f>
        <v>0</v>
      </c>
      <c r="S6" s="20">
        <f>ROUND(IF(OR($A6&lt;VLOOKUP(S$2,行为概览!$D$3:$U$33,3,0),$A6&gt;VLOOKUP(S$2,行为概览!$D$3:$U$33,4,0)),0,VLOOKUP(S$2,行为概览!$D$3:$U$33,6,0)),4)</f>
        <v>0</v>
      </c>
      <c r="T6" s="20">
        <f>ROUND(IF(OR($A6&lt;VLOOKUP(T$2,行为概览!$D$3:$U$33,3,0),$A6&gt;VLOOKUP(T$2,行为概览!$D$3:$U$33,4,0)),0,VLOOKUP(T$2,行为概览!$D$3:$U$33,6,0)),4)</f>
        <v>0</v>
      </c>
      <c r="U6" s="20">
        <f>ROUND(IF(OR($A6&lt;VLOOKUP(U$2,行为概览!$D$3:$U$33,3,0),$A6&gt;VLOOKUP(U$2,行为概览!$D$3:$U$33,4,0)),0,VLOOKUP(U$2,行为概览!$D$3:$U$33,6,0)),4)</f>
        <v>0</v>
      </c>
      <c r="V6" s="20">
        <f>ROUND(IF(OR($A6&lt;VLOOKUP(V$2,行为概览!$D$3:$U$33,3,0),$A6&gt;VLOOKUP(V$2,行为概览!$D$3:$U$33,4,0)),0,VLOOKUP(V$2,行为概览!$D$3:$U$33,6,0)),4)</f>
        <v>0</v>
      </c>
      <c r="W6" s="20">
        <f>ROUND(IF(OR($A6&lt;VLOOKUP(W$2,行为概览!$D$3:$U$33,3,0),$A6&gt;VLOOKUP(W$2,行为概览!$D$3:$U$33,4,0)),0,VLOOKUP(W$2,行为概览!$D$3:$U$33,6,0)),4)</f>
        <v>0</v>
      </c>
      <c r="X6" s="20">
        <f>ROUND(IF(OR($A6&lt;VLOOKUP(X$2,行为概览!$D$3:$U$33,3,0),$A6&gt;VLOOKUP(X$2,行为概览!$D$3:$U$33,4,0)),0,VLOOKUP(X$2,行为概览!$D$3:$U$33,6,0)),4)</f>
        <v>0</v>
      </c>
      <c r="Y6" s="20">
        <f>ROUND(IF(OR($A6&lt;VLOOKUP(Y$2,行为概览!$D$3:$U$33,3,0),$A6&gt;VLOOKUP(Y$2,行为概览!$D$3:$U$33,4,0)),0,VLOOKUP(Y$2,行为概览!$D$3:$U$33,6,0)),4)</f>
        <v>0</v>
      </c>
      <c r="Z6" s="20">
        <f>ROUND(IF(OR($A6&lt;VLOOKUP(Z$2,行为概览!$D$3:$U$33,3,0),$A6&gt;VLOOKUP(Z$2,行为概览!$D$3:$U$33,4,0)),0,VLOOKUP(Z$2,行为概览!$D$3:$U$33,6,0)),4)</f>
        <v>0</v>
      </c>
      <c r="AA6" s="20">
        <f>ROUND(IF(OR($A6&lt;VLOOKUP(AA$2,行为概览!$D$3:$U$33,3,0),$A6&gt;VLOOKUP(AA$2,行为概览!$D$3:$U$33,4,0)),0,VLOOKUP(AA$2,行为概览!$D$3:$U$33,6,0)),4)</f>
        <v>0</v>
      </c>
      <c r="AB6" s="20">
        <f>ROUND(IF(OR($A6&lt;VLOOKUP(AB$2,行为概览!$D$3:$U$33,3,0),$A6&gt;VLOOKUP(AB$2,行为概览!$D$3:$U$33,4,0)),0,VLOOKUP(AB$2,行为概览!$D$3:$U$33,6,0)),4)</f>
        <v>0</v>
      </c>
      <c r="AC6" s="20">
        <f>ROUND(IF(OR($A6&lt;VLOOKUP(AC$2,行为概览!$D$3:$U$33,3,0),$A6&gt;VLOOKUP(AC$2,行为概览!$D$3:$U$33,4,0)),0,VLOOKUP(AC$2,行为概览!$D$3:$U$33,6,0)),4)</f>
        <v>0</v>
      </c>
      <c r="AD6" s="20">
        <f>ROUND(IF(OR($A6&lt;VLOOKUP(AD$2,行为概览!$D$3:$U$33,3,0),$A6&gt;VLOOKUP(AD$2,行为概览!$D$3:$U$33,4,0)),0,VLOOKUP(AD$2,行为概览!$D$3:$U$33,6,0)),4)</f>
        <v>0</v>
      </c>
      <c r="AE6" s="20">
        <f>ROUND(IF(OR($A6&lt;VLOOKUP(AE$2,行为概览!$D$3:$U$33,3,0),$A6&gt;VLOOKUP(AE$2,行为概览!$D$3:$U$33,4,0)),0,VLOOKUP(AE$2,行为概览!$D$3:$U$33,6,0)),4)</f>
        <v>0</v>
      </c>
      <c r="AF6" s="20">
        <f>ROUND(IF(OR($A6&lt;VLOOKUP(AF$2,行为概览!$D$3:$U$33,3,0),$A6&gt;VLOOKUP(AF$2,行为概览!$D$3:$U$33,4,0)),0,VLOOKUP(AF$2,行为概览!$D$3:$U$33,6,0)),4)</f>
        <v>0</v>
      </c>
    </row>
    <row r="7" spans="1:32">
      <c r="A7" s="19">
        <v>5</v>
      </c>
      <c r="B7" s="20">
        <f>ROUND(IF(OR($A7&lt;VLOOKUP(B$2,行为概览!$D$3:$U$33,3,0),$A7&gt;VLOOKUP(B$2,行为概览!$D$3:$U$33,4,0)),0,VLOOKUP(B$2,行为概览!$D$3:$U$33,6,0)),4)</f>
        <v>0</v>
      </c>
      <c r="C7" s="20">
        <f>ROUND(IF(OR($A7&lt;VLOOKUP(C$2,行为概览!$D$3:$U$33,3,0),$A7&gt;VLOOKUP(C$2,行为概览!$D$3:$U$33,4,0)),0,VLOOKUP(C$2,行为概览!$D$3:$U$33,6,0)),4)</f>
        <v>0</v>
      </c>
      <c r="D7" s="20">
        <f>ROUND(IF(OR($A7&lt;VLOOKUP(D$2,行为概览!$D$3:$U$33,3,0),$A7&gt;VLOOKUP(D$2,行为概览!$D$3:$U$33,4,0)),0,VLOOKUP(D$2,行为概览!$D$3:$U$33,6,0)),4)</f>
        <v>0</v>
      </c>
      <c r="E7" s="20">
        <f>ROUND(IF(OR($A7&lt;VLOOKUP(E$2,行为概览!$D$3:$U$33,3,0),$A7&gt;VLOOKUP(E$2,行为概览!$D$3:$U$33,4,0)),0,VLOOKUP(E$2,行为概览!$D$3:$U$33,6,0)),4)</f>
        <v>0</v>
      </c>
      <c r="F7" s="20">
        <f>ROUND(IF(OR($A7&lt;VLOOKUP(F$2,行为概览!$D$3:$U$33,3,0),$A7&gt;VLOOKUP(F$2,行为概览!$D$3:$U$33,4,0)),0,VLOOKUP(F$2,行为概览!$D$3:$U$33,6,0)),4)</f>
        <v>0</v>
      </c>
      <c r="G7" s="20">
        <f>ROUND(IF(OR($A7&lt;VLOOKUP(G$2,行为概览!$D$3:$U$33,3,0),$A7&gt;VLOOKUP(G$2,行为概览!$D$3:$U$33,4,0)),0,VLOOKUP(G$2,行为概览!$D$3:$U$33,6,0)),4)</f>
        <v>0</v>
      </c>
      <c r="H7" s="20">
        <f>ROUND(IF(OR($A7&lt;VLOOKUP(H$2,行为概览!$D$3:$U$33,3,0),$A7&gt;VLOOKUP(H$2,行为概览!$D$3:$U$33,4,0)),0,VLOOKUP(H$2,行为概览!$D$3:$U$33,6,0)),4)</f>
        <v>0</v>
      </c>
      <c r="I7" s="20">
        <f>ROUND(IF(OR($A7&lt;VLOOKUP(I$2,行为概览!$D$3:$U$33,3,0),$A7&gt;VLOOKUP(I$2,行为概览!$D$3:$U$33,4,0)),0,VLOOKUP(I$2,行为概览!$D$3:$U$33,6,0)),4)</f>
        <v>0</v>
      </c>
      <c r="J7" s="20">
        <f>ROUND(IF(OR($A7&lt;VLOOKUP(J$2,行为概览!$D$3:$U$33,3,0),$A7&gt;VLOOKUP(J$2,行为概览!$D$3:$U$33,4,0)),0,VLOOKUP(J$2,行为概览!$D$3:$U$33,6,0)),4)</f>
        <v>0</v>
      </c>
      <c r="K7" s="20">
        <f>ROUND(IF(OR($A7&lt;VLOOKUP(K$2,行为概览!$D$3:$U$33,3,0),$A7&gt;VLOOKUP(K$2,行为概览!$D$3:$U$33,4,0)),0,VLOOKUP(K$2,行为概览!$D$3:$U$33,6,0)),4)</f>
        <v>0</v>
      </c>
      <c r="L7" s="20">
        <f>ROUND(IF(OR($A7&lt;VLOOKUP(L$2,行为概览!$D$3:$U$33,3,0),$A7&gt;VLOOKUP(L$2,行为概览!$D$3:$U$33,4,0)),0,VLOOKUP(L$2,行为概览!$D$3:$U$33,6,0)),4)</f>
        <v>0</v>
      </c>
      <c r="M7" s="20">
        <f>ROUND(IF(OR($A7&lt;VLOOKUP(M$2,行为概览!$D$3:$U$33,3,0),$A7&gt;VLOOKUP(M$2,行为概览!$D$3:$U$33,4,0)),0,VLOOKUP(M$2,行为概览!$D$3:$U$33,6,0)),4)</f>
        <v>0</v>
      </c>
      <c r="N7" s="20">
        <f>ROUND(IF(OR($A7&lt;VLOOKUP(N$2,行为概览!$D$3:$U$33,3,0),$A7&gt;VLOOKUP(N$2,行为概览!$D$3:$U$33,4,0)),0,VLOOKUP(N$2,行为概览!$D$3:$U$33,6,0)),4)</f>
        <v>0</v>
      </c>
      <c r="O7" s="20">
        <f>ROUND(IF(OR($A7&lt;VLOOKUP(O$2,行为概览!$D$3:$U$33,3,0),$A7&gt;VLOOKUP(O$2,行为概览!$D$3:$U$33,4,0)),0,VLOOKUP(O$2,行为概览!$D$3:$U$33,6,0)),4)</f>
        <v>0</v>
      </c>
      <c r="P7" s="20">
        <f>ROUND(IF(OR($A7&lt;VLOOKUP(P$2,行为概览!$D$3:$U$33,3,0),$A7&gt;VLOOKUP(P$2,行为概览!$D$3:$U$33,4,0)),0,VLOOKUP(P$2,行为概览!$D$3:$U$33,6,0)),4)</f>
        <v>2.6</v>
      </c>
      <c r="Q7" s="20">
        <f>ROUND(IF(OR($A7&lt;VLOOKUP(Q$2,行为概览!$D$3:$U$33,3,0),$A7&gt;VLOOKUP(Q$2,行为概览!$D$3:$U$33,4,0)),0,VLOOKUP(Q$2,行为概览!$D$3:$U$33,6,0)),4)</f>
        <v>0</v>
      </c>
      <c r="R7" s="20">
        <f>ROUND(IF(OR($A7&lt;VLOOKUP(R$2,行为概览!$D$3:$U$33,3,0),$A7&gt;VLOOKUP(R$2,行为概览!$D$3:$U$33,4,0)),0,VLOOKUP(R$2,行为概览!$D$3:$U$33,6,0)),4)</f>
        <v>0</v>
      </c>
      <c r="S7" s="20">
        <f>ROUND(IF(OR($A7&lt;VLOOKUP(S$2,行为概览!$D$3:$U$33,3,0),$A7&gt;VLOOKUP(S$2,行为概览!$D$3:$U$33,4,0)),0,VLOOKUP(S$2,行为概览!$D$3:$U$33,6,0)),4)</f>
        <v>0</v>
      </c>
      <c r="T7" s="20">
        <f>ROUND(IF(OR($A7&lt;VLOOKUP(T$2,行为概览!$D$3:$U$33,3,0),$A7&gt;VLOOKUP(T$2,行为概览!$D$3:$U$33,4,0)),0,VLOOKUP(T$2,行为概览!$D$3:$U$33,6,0)),4)</f>
        <v>0</v>
      </c>
      <c r="U7" s="20">
        <f>ROUND(IF(OR($A7&lt;VLOOKUP(U$2,行为概览!$D$3:$U$33,3,0),$A7&gt;VLOOKUP(U$2,行为概览!$D$3:$U$33,4,0)),0,VLOOKUP(U$2,行为概览!$D$3:$U$33,6,0)),4)</f>
        <v>0</v>
      </c>
      <c r="V7" s="20">
        <f>ROUND(IF(OR($A7&lt;VLOOKUP(V$2,行为概览!$D$3:$U$33,3,0),$A7&gt;VLOOKUP(V$2,行为概览!$D$3:$U$33,4,0)),0,VLOOKUP(V$2,行为概览!$D$3:$U$33,6,0)),4)</f>
        <v>0</v>
      </c>
      <c r="W7" s="20">
        <f>ROUND(IF(OR($A7&lt;VLOOKUP(W$2,行为概览!$D$3:$U$33,3,0),$A7&gt;VLOOKUP(W$2,行为概览!$D$3:$U$33,4,0)),0,VLOOKUP(W$2,行为概览!$D$3:$U$33,6,0)),4)</f>
        <v>0</v>
      </c>
      <c r="X7" s="20">
        <f>ROUND(IF(OR($A7&lt;VLOOKUP(X$2,行为概览!$D$3:$U$33,3,0),$A7&gt;VLOOKUP(X$2,行为概览!$D$3:$U$33,4,0)),0,VLOOKUP(X$2,行为概览!$D$3:$U$33,6,0)),4)</f>
        <v>0</v>
      </c>
      <c r="Y7" s="20">
        <f>ROUND(IF(OR($A7&lt;VLOOKUP(Y$2,行为概览!$D$3:$U$33,3,0),$A7&gt;VLOOKUP(Y$2,行为概览!$D$3:$U$33,4,0)),0,VLOOKUP(Y$2,行为概览!$D$3:$U$33,6,0)),4)</f>
        <v>0</v>
      </c>
      <c r="Z7" s="20">
        <f>ROUND(IF(OR($A7&lt;VLOOKUP(Z$2,行为概览!$D$3:$U$33,3,0),$A7&gt;VLOOKUP(Z$2,行为概览!$D$3:$U$33,4,0)),0,VLOOKUP(Z$2,行为概览!$D$3:$U$33,6,0)),4)</f>
        <v>0</v>
      </c>
      <c r="AA7" s="20">
        <f>ROUND(IF(OR($A7&lt;VLOOKUP(AA$2,行为概览!$D$3:$U$33,3,0),$A7&gt;VLOOKUP(AA$2,行为概览!$D$3:$U$33,4,0)),0,VLOOKUP(AA$2,行为概览!$D$3:$U$33,6,0)),4)</f>
        <v>0</v>
      </c>
      <c r="AB7" s="20">
        <f>ROUND(IF(OR($A7&lt;VLOOKUP(AB$2,行为概览!$D$3:$U$33,3,0),$A7&gt;VLOOKUP(AB$2,行为概览!$D$3:$U$33,4,0)),0,VLOOKUP(AB$2,行为概览!$D$3:$U$33,6,0)),4)</f>
        <v>0</v>
      </c>
      <c r="AC7" s="20">
        <f>ROUND(IF(OR($A7&lt;VLOOKUP(AC$2,行为概览!$D$3:$U$33,3,0),$A7&gt;VLOOKUP(AC$2,行为概览!$D$3:$U$33,4,0)),0,VLOOKUP(AC$2,行为概览!$D$3:$U$33,6,0)),4)</f>
        <v>0</v>
      </c>
      <c r="AD7" s="20">
        <f>ROUND(IF(OR($A7&lt;VLOOKUP(AD$2,行为概览!$D$3:$U$33,3,0),$A7&gt;VLOOKUP(AD$2,行为概览!$D$3:$U$33,4,0)),0,VLOOKUP(AD$2,行为概览!$D$3:$U$33,6,0)),4)</f>
        <v>0</v>
      </c>
      <c r="AE7" s="20">
        <f>ROUND(IF(OR($A7&lt;VLOOKUP(AE$2,行为概览!$D$3:$U$33,3,0),$A7&gt;VLOOKUP(AE$2,行为概览!$D$3:$U$33,4,0)),0,VLOOKUP(AE$2,行为概览!$D$3:$U$33,6,0)),4)</f>
        <v>0</v>
      </c>
      <c r="AF7" s="20">
        <f>ROUND(IF(OR($A7&lt;VLOOKUP(AF$2,行为概览!$D$3:$U$33,3,0),$A7&gt;VLOOKUP(AF$2,行为概览!$D$3:$U$33,4,0)),0,VLOOKUP(AF$2,行为概览!$D$3:$U$33,6,0)),4)</f>
        <v>0</v>
      </c>
    </row>
    <row r="8" spans="1:32">
      <c r="A8" s="19">
        <v>6</v>
      </c>
      <c r="B8" s="20">
        <f>ROUND(IF(OR($A8&lt;VLOOKUP(B$2,行为概览!$D$3:$U$33,3,0),$A8&gt;VLOOKUP(B$2,行为概览!$D$3:$U$33,4,0)),0,VLOOKUP(B$2,行为概览!$D$3:$U$33,6,0)),4)</f>
        <v>0</v>
      </c>
      <c r="C8" s="20">
        <f>ROUND(IF(OR($A8&lt;VLOOKUP(C$2,行为概览!$D$3:$U$33,3,0),$A8&gt;VLOOKUP(C$2,行为概览!$D$3:$U$33,4,0)),0,VLOOKUP(C$2,行为概览!$D$3:$U$33,6,0)),4)</f>
        <v>0</v>
      </c>
      <c r="D8" s="20">
        <f>ROUND(IF(OR($A8&lt;VLOOKUP(D$2,行为概览!$D$3:$U$33,3,0),$A8&gt;VLOOKUP(D$2,行为概览!$D$3:$U$33,4,0)),0,VLOOKUP(D$2,行为概览!$D$3:$U$33,6,0)),4)</f>
        <v>0</v>
      </c>
      <c r="E8" s="20">
        <f>ROUND(IF(OR($A8&lt;VLOOKUP(E$2,行为概览!$D$3:$U$33,3,0),$A8&gt;VLOOKUP(E$2,行为概览!$D$3:$U$33,4,0)),0,VLOOKUP(E$2,行为概览!$D$3:$U$33,6,0)),4)</f>
        <v>0</v>
      </c>
      <c r="F8" s="20">
        <f>ROUND(IF(OR($A8&lt;VLOOKUP(F$2,行为概览!$D$3:$U$33,3,0),$A8&gt;VLOOKUP(F$2,行为概览!$D$3:$U$33,4,0)),0,VLOOKUP(F$2,行为概览!$D$3:$U$33,6,0)),4)</f>
        <v>0</v>
      </c>
      <c r="G8" s="20">
        <f>ROUND(IF(OR($A8&lt;VLOOKUP(G$2,行为概览!$D$3:$U$33,3,0),$A8&gt;VLOOKUP(G$2,行为概览!$D$3:$U$33,4,0)),0,VLOOKUP(G$2,行为概览!$D$3:$U$33,6,0)),4)</f>
        <v>0</v>
      </c>
      <c r="H8" s="20">
        <f>ROUND(IF(OR($A8&lt;VLOOKUP(H$2,行为概览!$D$3:$U$33,3,0),$A8&gt;VLOOKUP(H$2,行为概览!$D$3:$U$33,4,0)),0,VLOOKUP(H$2,行为概览!$D$3:$U$33,6,0)),4)</f>
        <v>0</v>
      </c>
      <c r="I8" s="20">
        <f>ROUND(IF(OR($A8&lt;VLOOKUP(I$2,行为概览!$D$3:$U$33,3,0),$A8&gt;VLOOKUP(I$2,行为概览!$D$3:$U$33,4,0)),0,VLOOKUP(I$2,行为概览!$D$3:$U$33,6,0)),4)</f>
        <v>0</v>
      </c>
      <c r="J8" s="20">
        <f>ROUND(IF(OR($A8&lt;VLOOKUP(J$2,行为概览!$D$3:$U$33,3,0),$A8&gt;VLOOKUP(J$2,行为概览!$D$3:$U$33,4,0)),0,VLOOKUP(J$2,行为概览!$D$3:$U$33,6,0)),4)</f>
        <v>0</v>
      </c>
      <c r="K8" s="20">
        <f>ROUND(IF(OR($A8&lt;VLOOKUP(K$2,行为概览!$D$3:$U$33,3,0),$A8&gt;VLOOKUP(K$2,行为概览!$D$3:$U$33,4,0)),0,VLOOKUP(K$2,行为概览!$D$3:$U$33,6,0)),4)</f>
        <v>0</v>
      </c>
      <c r="L8" s="20">
        <f>ROUND(IF(OR($A8&lt;VLOOKUP(L$2,行为概览!$D$3:$U$33,3,0),$A8&gt;VLOOKUP(L$2,行为概览!$D$3:$U$33,4,0)),0,VLOOKUP(L$2,行为概览!$D$3:$U$33,6,0)),4)</f>
        <v>0</v>
      </c>
      <c r="M8" s="20">
        <f>ROUND(IF(OR($A8&lt;VLOOKUP(M$2,行为概览!$D$3:$U$33,3,0),$A8&gt;VLOOKUP(M$2,行为概览!$D$3:$U$33,4,0)),0,VLOOKUP(M$2,行为概览!$D$3:$U$33,6,0)),4)</f>
        <v>0</v>
      </c>
      <c r="N8" s="20">
        <f>ROUND(IF(OR($A8&lt;VLOOKUP(N$2,行为概览!$D$3:$U$33,3,0),$A8&gt;VLOOKUP(N$2,行为概览!$D$3:$U$33,4,0)),0,VLOOKUP(N$2,行为概览!$D$3:$U$33,6,0)),4)</f>
        <v>0</v>
      </c>
      <c r="O8" s="20">
        <f>ROUND(IF(OR($A8&lt;VLOOKUP(O$2,行为概览!$D$3:$U$33,3,0),$A8&gt;VLOOKUP(O$2,行为概览!$D$3:$U$33,4,0)),0,VLOOKUP(O$2,行为概览!$D$3:$U$33,6,0)),4)</f>
        <v>0</v>
      </c>
      <c r="P8" s="20">
        <f>ROUND(IF(OR($A8&lt;VLOOKUP(P$2,行为概览!$D$3:$U$33,3,0),$A8&gt;VLOOKUP(P$2,行为概览!$D$3:$U$33,4,0)),0,VLOOKUP(P$2,行为概览!$D$3:$U$33,6,0)),4)</f>
        <v>2.6</v>
      </c>
      <c r="Q8" s="20">
        <f>ROUND(IF(OR($A8&lt;VLOOKUP(Q$2,行为概览!$D$3:$U$33,3,0),$A8&gt;VLOOKUP(Q$2,行为概览!$D$3:$U$33,4,0)),0,VLOOKUP(Q$2,行为概览!$D$3:$U$33,6,0)),4)</f>
        <v>0</v>
      </c>
      <c r="R8" s="20">
        <f>ROUND(IF(OR($A8&lt;VLOOKUP(R$2,行为概览!$D$3:$U$33,3,0),$A8&gt;VLOOKUP(R$2,行为概览!$D$3:$U$33,4,0)),0,VLOOKUP(R$2,行为概览!$D$3:$U$33,6,0)),4)</f>
        <v>0</v>
      </c>
      <c r="S8" s="20">
        <f>ROUND(IF(OR($A8&lt;VLOOKUP(S$2,行为概览!$D$3:$U$33,3,0),$A8&gt;VLOOKUP(S$2,行为概览!$D$3:$U$33,4,0)),0,VLOOKUP(S$2,行为概览!$D$3:$U$33,6,0)),4)</f>
        <v>0</v>
      </c>
      <c r="T8" s="20">
        <f>ROUND(IF(OR($A8&lt;VLOOKUP(T$2,行为概览!$D$3:$U$33,3,0),$A8&gt;VLOOKUP(T$2,行为概览!$D$3:$U$33,4,0)),0,VLOOKUP(T$2,行为概览!$D$3:$U$33,6,0)),4)</f>
        <v>0</v>
      </c>
      <c r="U8" s="20">
        <f>ROUND(IF(OR($A8&lt;VLOOKUP(U$2,行为概览!$D$3:$U$33,3,0),$A8&gt;VLOOKUP(U$2,行为概览!$D$3:$U$33,4,0)),0,VLOOKUP(U$2,行为概览!$D$3:$U$33,6,0)),4)</f>
        <v>0</v>
      </c>
      <c r="V8" s="20">
        <f>ROUND(IF(OR($A8&lt;VLOOKUP(V$2,行为概览!$D$3:$U$33,3,0),$A8&gt;VLOOKUP(V$2,行为概览!$D$3:$U$33,4,0)),0,VLOOKUP(V$2,行为概览!$D$3:$U$33,6,0)),4)</f>
        <v>0</v>
      </c>
      <c r="W8" s="20">
        <f>ROUND(IF(OR($A8&lt;VLOOKUP(W$2,行为概览!$D$3:$U$33,3,0),$A8&gt;VLOOKUP(W$2,行为概览!$D$3:$U$33,4,0)),0,VLOOKUP(W$2,行为概览!$D$3:$U$33,6,0)),4)</f>
        <v>0</v>
      </c>
      <c r="X8" s="20">
        <f>ROUND(IF(OR($A8&lt;VLOOKUP(X$2,行为概览!$D$3:$U$33,3,0),$A8&gt;VLOOKUP(X$2,行为概览!$D$3:$U$33,4,0)),0,VLOOKUP(X$2,行为概览!$D$3:$U$33,6,0)),4)</f>
        <v>0</v>
      </c>
      <c r="Y8" s="20">
        <f>ROUND(IF(OR($A8&lt;VLOOKUP(Y$2,行为概览!$D$3:$U$33,3,0),$A8&gt;VLOOKUP(Y$2,行为概览!$D$3:$U$33,4,0)),0,VLOOKUP(Y$2,行为概览!$D$3:$U$33,6,0)),4)</f>
        <v>0</v>
      </c>
      <c r="Z8" s="20">
        <f>ROUND(IF(OR($A8&lt;VLOOKUP(Z$2,行为概览!$D$3:$U$33,3,0),$A8&gt;VLOOKUP(Z$2,行为概览!$D$3:$U$33,4,0)),0,VLOOKUP(Z$2,行为概览!$D$3:$U$33,6,0)),4)</f>
        <v>0</v>
      </c>
      <c r="AA8" s="20">
        <f>ROUND(IF(OR($A8&lt;VLOOKUP(AA$2,行为概览!$D$3:$U$33,3,0),$A8&gt;VLOOKUP(AA$2,行为概览!$D$3:$U$33,4,0)),0,VLOOKUP(AA$2,行为概览!$D$3:$U$33,6,0)),4)</f>
        <v>0</v>
      </c>
      <c r="AB8" s="20">
        <f>ROUND(IF(OR($A8&lt;VLOOKUP(AB$2,行为概览!$D$3:$U$33,3,0),$A8&gt;VLOOKUP(AB$2,行为概览!$D$3:$U$33,4,0)),0,VLOOKUP(AB$2,行为概览!$D$3:$U$33,6,0)),4)</f>
        <v>0</v>
      </c>
      <c r="AC8" s="20">
        <f>ROUND(IF(OR($A8&lt;VLOOKUP(AC$2,行为概览!$D$3:$U$33,3,0),$A8&gt;VLOOKUP(AC$2,行为概览!$D$3:$U$33,4,0)),0,VLOOKUP(AC$2,行为概览!$D$3:$U$33,6,0)),4)</f>
        <v>0</v>
      </c>
      <c r="AD8" s="20">
        <f>ROUND(IF(OR($A8&lt;VLOOKUP(AD$2,行为概览!$D$3:$U$33,3,0),$A8&gt;VLOOKUP(AD$2,行为概览!$D$3:$U$33,4,0)),0,VLOOKUP(AD$2,行为概览!$D$3:$U$33,6,0)),4)</f>
        <v>0</v>
      </c>
      <c r="AE8" s="20">
        <f>ROUND(IF(OR($A8&lt;VLOOKUP(AE$2,行为概览!$D$3:$U$33,3,0),$A8&gt;VLOOKUP(AE$2,行为概览!$D$3:$U$33,4,0)),0,VLOOKUP(AE$2,行为概览!$D$3:$U$33,6,0)),4)</f>
        <v>0</v>
      </c>
      <c r="AF8" s="20">
        <f>ROUND(IF(OR($A8&lt;VLOOKUP(AF$2,行为概览!$D$3:$U$33,3,0),$A8&gt;VLOOKUP(AF$2,行为概览!$D$3:$U$33,4,0)),0,VLOOKUP(AF$2,行为概览!$D$3:$U$33,6,0)),4)</f>
        <v>0</v>
      </c>
    </row>
    <row r="9" spans="1:32">
      <c r="A9" s="19">
        <v>7</v>
      </c>
      <c r="B9" s="20">
        <f>ROUND(IF(OR($A9&lt;VLOOKUP(B$2,行为概览!$D$3:$U$33,3,0),$A9&gt;VLOOKUP(B$2,行为概览!$D$3:$U$33,4,0)),0,VLOOKUP(B$2,行为概览!$D$3:$U$33,6,0)),4)</f>
        <v>0</v>
      </c>
      <c r="C9" s="20">
        <f>ROUND(IF(OR($A9&lt;VLOOKUP(C$2,行为概览!$D$3:$U$33,3,0),$A9&gt;VLOOKUP(C$2,行为概览!$D$3:$U$33,4,0)),0,VLOOKUP(C$2,行为概览!$D$3:$U$33,6,0)),4)</f>
        <v>0</v>
      </c>
      <c r="D9" s="20">
        <f>ROUND(IF(OR($A9&lt;VLOOKUP(D$2,行为概览!$D$3:$U$33,3,0),$A9&gt;VLOOKUP(D$2,行为概览!$D$3:$U$33,4,0)),0,VLOOKUP(D$2,行为概览!$D$3:$U$33,6,0)),4)</f>
        <v>0</v>
      </c>
      <c r="E9" s="20">
        <f>ROUND(IF(OR($A9&lt;VLOOKUP(E$2,行为概览!$D$3:$U$33,3,0),$A9&gt;VLOOKUP(E$2,行为概览!$D$3:$U$33,4,0)),0,VLOOKUP(E$2,行为概览!$D$3:$U$33,6,0)),4)</f>
        <v>0</v>
      </c>
      <c r="F9" s="20">
        <f>ROUND(IF(OR($A9&lt;VLOOKUP(F$2,行为概览!$D$3:$U$33,3,0),$A9&gt;VLOOKUP(F$2,行为概览!$D$3:$U$33,4,0)),0,VLOOKUP(F$2,行为概览!$D$3:$U$33,6,0)),4)</f>
        <v>0</v>
      </c>
      <c r="G9" s="20">
        <f>ROUND(IF(OR($A9&lt;VLOOKUP(G$2,行为概览!$D$3:$U$33,3,0),$A9&gt;VLOOKUP(G$2,行为概览!$D$3:$U$33,4,0)),0,VLOOKUP(G$2,行为概览!$D$3:$U$33,6,0)),4)</f>
        <v>0</v>
      </c>
      <c r="H9" s="20">
        <f>ROUND(IF(OR($A9&lt;VLOOKUP(H$2,行为概览!$D$3:$U$33,3,0),$A9&gt;VLOOKUP(H$2,行为概览!$D$3:$U$33,4,0)),0,VLOOKUP(H$2,行为概览!$D$3:$U$33,6,0)),4)</f>
        <v>0</v>
      </c>
      <c r="I9" s="20">
        <f>ROUND(IF(OR($A9&lt;VLOOKUP(I$2,行为概览!$D$3:$U$33,3,0),$A9&gt;VLOOKUP(I$2,行为概览!$D$3:$U$33,4,0)),0,VLOOKUP(I$2,行为概览!$D$3:$U$33,6,0)),4)</f>
        <v>0</v>
      </c>
      <c r="J9" s="20">
        <f>ROUND(IF(OR($A9&lt;VLOOKUP(J$2,行为概览!$D$3:$U$33,3,0),$A9&gt;VLOOKUP(J$2,行为概览!$D$3:$U$33,4,0)),0,VLOOKUP(J$2,行为概览!$D$3:$U$33,6,0)),4)</f>
        <v>0</v>
      </c>
      <c r="K9" s="20">
        <f>ROUND(IF(OR($A9&lt;VLOOKUP(K$2,行为概览!$D$3:$U$33,3,0),$A9&gt;VLOOKUP(K$2,行为概览!$D$3:$U$33,4,0)),0,VLOOKUP(K$2,行为概览!$D$3:$U$33,6,0)),4)</f>
        <v>0</v>
      </c>
      <c r="L9" s="20">
        <f>ROUND(IF(OR($A9&lt;VLOOKUP(L$2,行为概览!$D$3:$U$33,3,0),$A9&gt;VLOOKUP(L$2,行为概览!$D$3:$U$33,4,0)),0,VLOOKUP(L$2,行为概览!$D$3:$U$33,6,0)),4)</f>
        <v>0</v>
      </c>
      <c r="M9" s="20">
        <f>ROUND(IF(OR($A9&lt;VLOOKUP(M$2,行为概览!$D$3:$U$33,3,0),$A9&gt;VLOOKUP(M$2,行为概览!$D$3:$U$33,4,0)),0,VLOOKUP(M$2,行为概览!$D$3:$U$33,6,0)),4)</f>
        <v>0</v>
      </c>
      <c r="N9" s="20">
        <f>ROUND(IF(OR($A9&lt;VLOOKUP(N$2,行为概览!$D$3:$U$33,3,0),$A9&gt;VLOOKUP(N$2,行为概览!$D$3:$U$33,4,0)),0,VLOOKUP(N$2,行为概览!$D$3:$U$33,6,0)),4)</f>
        <v>0</v>
      </c>
      <c r="O9" s="20">
        <f>ROUND(IF(OR($A9&lt;VLOOKUP(O$2,行为概览!$D$3:$U$33,3,0),$A9&gt;VLOOKUP(O$2,行为概览!$D$3:$U$33,4,0)),0,VLOOKUP(O$2,行为概览!$D$3:$U$33,6,0)),4)</f>
        <v>0</v>
      </c>
      <c r="P9" s="20">
        <f>ROUND(IF(OR($A9&lt;VLOOKUP(P$2,行为概览!$D$3:$U$33,3,0),$A9&gt;VLOOKUP(P$2,行为概览!$D$3:$U$33,4,0)),0,VLOOKUP(P$2,行为概览!$D$3:$U$33,6,0)),4)</f>
        <v>2.6</v>
      </c>
      <c r="Q9" s="20">
        <f>ROUND(IF(OR($A9&lt;VLOOKUP(Q$2,行为概览!$D$3:$U$33,3,0),$A9&gt;VLOOKUP(Q$2,行为概览!$D$3:$U$33,4,0)),0,VLOOKUP(Q$2,行为概览!$D$3:$U$33,6,0)),4)</f>
        <v>0</v>
      </c>
      <c r="R9" s="20">
        <f>ROUND(IF(OR($A9&lt;VLOOKUP(R$2,行为概览!$D$3:$U$33,3,0),$A9&gt;VLOOKUP(R$2,行为概览!$D$3:$U$33,4,0)),0,VLOOKUP(R$2,行为概览!$D$3:$U$33,6,0)),4)</f>
        <v>0</v>
      </c>
      <c r="S9" s="20">
        <f>ROUND(IF(OR($A9&lt;VLOOKUP(S$2,行为概览!$D$3:$U$33,3,0),$A9&gt;VLOOKUP(S$2,行为概览!$D$3:$U$33,4,0)),0,VLOOKUP(S$2,行为概览!$D$3:$U$33,6,0)),4)</f>
        <v>0</v>
      </c>
      <c r="T9" s="20">
        <f>ROUND(IF(OR($A9&lt;VLOOKUP(T$2,行为概览!$D$3:$U$33,3,0),$A9&gt;VLOOKUP(T$2,行为概览!$D$3:$U$33,4,0)),0,VLOOKUP(T$2,行为概览!$D$3:$U$33,6,0)),4)</f>
        <v>0</v>
      </c>
      <c r="U9" s="20">
        <f>ROUND(IF(OR($A9&lt;VLOOKUP(U$2,行为概览!$D$3:$U$33,3,0),$A9&gt;VLOOKUP(U$2,行为概览!$D$3:$U$33,4,0)),0,VLOOKUP(U$2,行为概览!$D$3:$U$33,6,0)),4)</f>
        <v>0</v>
      </c>
      <c r="V9" s="20">
        <f>ROUND(IF(OR($A9&lt;VLOOKUP(V$2,行为概览!$D$3:$U$33,3,0),$A9&gt;VLOOKUP(V$2,行为概览!$D$3:$U$33,4,0)),0,VLOOKUP(V$2,行为概览!$D$3:$U$33,6,0)),4)</f>
        <v>0</v>
      </c>
      <c r="W9" s="20">
        <f>ROUND(IF(OR($A9&lt;VLOOKUP(W$2,行为概览!$D$3:$U$33,3,0),$A9&gt;VLOOKUP(W$2,行为概览!$D$3:$U$33,4,0)),0,VLOOKUP(W$2,行为概览!$D$3:$U$33,6,0)),4)</f>
        <v>0</v>
      </c>
      <c r="X9" s="20">
        <f>ROUND(IF(OR($A9&lt;VLOOKUP(X$2,行为概览!$D$3:$U$33,3,0),$A9&gt;VLOOKUP(X$2,行为概览!$D$3:$U$33,4,0)),0,VLOOKUP(X$2,行为概览!$D$3:$U$33,6,0)),4)</f>
        <v>0</v>
      </c>
      <c r="Y9" s="20">
        <f>ROUND(IF(OR($A9&lt;VLOOKUP(Y$2,行为概览!$D$3:$U$33,3,0),$A9&gt;VLOOKUP(Y$2,行为概览!$D$3:$U$33,4,0)),0,VLOOKUP(Y$2,行为概览!$D$3:$U$33,6,0)),4)</f>
        <v>0</v>
      </c>
      <c r="Z9" s="20">
        <f>ROUND(IF(OR($A9&lt;VLOOKUP(Z$2,行为概览!$D$3:$U$33,3,0),$A9&gt;VLOOKUP(Z$2,行为概览!$D$3:$U$33,4,0)),0,VLOOKUP(Z$2,行为概览!$D$3:$U$33,6,0)),4)</f>
        <v>0</v>
      </c>
      <c r="AA9" s="20">
        <f>ROUND(IF(OR($A9&lt;VLOOKUP(AA$2,行为概览!$D$3:$U$33,3,0),$A9&gt;VLOOKUP(AA$2,行为概览!$D$3:$U$33,4,0)),0,VLOOKUP(AA$2,行为概览!$D$3:$U$33,6,0)),4)</f>
        <v>0</v>
      </c>
      <c r="AB9" s="20">
        <f>ROUND(IF(OR($A9&lt;VLOOKUP(AB$2,行为概览!$D$3:$U$33,3,0),$A9&gt;VLOOKUP(AB$2,行为概览!$D$3:$U$33,4,0)),0,VLOOKUP(AB$2,行为概览!$D$3:$U$33,6,0)),4)</f>
        <v>0</v>
      </c>
      <c r="AC9" s="20">
        <f>ROUND(IF(OR($A9&lt;VLOOKUP(AC$2,行为概览!$D$3:$U$33,3,0),$A9&gt;VLOOKUP(AC$2,行为概览!$D$3:$U$33,4,0)),0,VLOOKUP(AC$2,行为概览!$D$3:$U$33,6,0)),4)</f>
        <v>0</v>
      </c>
      <c r="AD9" s="20">
        <f>ROUND(IF(OR($A9&lt;VLOOKUP(AD$2,行为概览!$D$3:$U$33,3,0),$A9&gt;VLOOKUP(AD$2,行为概览!$D$3:$U$33,4,0)),0,VLOOKUP(AD$2,行为概览!$D$3:$U$33,6,0)),4)</f>
        <v>0</v>
      </c>
      <c r="AE9" s="20">
        <f>ROUND(IF(OR($A9&lt;VLOOKUP(AE$2,行为概览!$D$3:$U$33,3,0),$A9&gt;VLOOKUP(AE$2,行为概览!$D$3:$U$33,4,0)),0,VLOOKUP(AE$2,行为概览!$D$3:$U$33,6,0)),4)</f>
        <v>0</v>
      </c>
      <c r="AF9" s="20">
        <f>ROUND(IF(OR($A9&lt;VLOOKUP(AF$2,行为概览!$D$3:$U$33,3,0),$A9&gt;VLOOKUP(AF$2,行为概览!$D$3:$U$33,4,0)),0,VLOOKUP(AF$2,行为概览!$D$3:$U$33,6,0)),4)</f>
        <v>0</v>
      </c>
    </row>
    <row r="10" spans="1:32">
      <c r="A10" s="19">
        <v>8</v>
      </c>
      <c r="B10" s="20">
        <f>ROUND(IF(OR($A10&lt;VLOOKUP(B$2,行为概览!$D$3:$U$33,3,0),$A10&gt;VLOOKUP(B$2,行为概览!$D$3:$U$33,4,0)),0,VLOOKUP(B$2,行为概览!$D$3:$U$33,6,0)),4)</f>
        <v>0</v>
      </c>
      <c r="C10" s="20">
        <f>ROUND(IF(OR($A10&lt;VLOOKUP(C$2,行为概览!$D$3:$U$33,3,0),$A10&gt;VLOOKUP(C$2,行为概览!$D$3:$U$33,4,0)),0,VLOOKUP(C$2,行为概览!$D$3:$U$33,6,0)),4)</f>
        <v>0</v>
      </c>
      <c r="D10" s="20">
        <f>ROUND(IF(OR($A10&lt;VLOOKUP(D$2,行为概览!$D$3:$U$33,3,0),$A10&gt;VLOOKUP(D$2,行为概览!$D$3:$U$33,4,0)),0,VLOOKUP(D$2,行为概览!$D$3:$U$33,6,0)),4)</f>
        <v>0</v>
      </c>
      <c r="E10" s="20">
        <f>ROUND(IF(OR($A10&lt;VLOOKUP(E$2,行为概览!$D$3:$U$33,3,0),$A10&gt;VLOOKUP(E$2,行为概览!$D$3:$U$33,4,0)),0,VLOOKUP(E$2,行为概览!$D$3:$U$33,6,0)),4)</f>
        <v>0</v>
      </c>
      <c r="F10" s="20">
        <f>ROUND(IF(OR($A10&lt;VLOOKUP(F$2,行为概览!$D$3:$U$33,3,0),$A10&gt;VLOOKUP(F$2,行为概览!$D$3:$U$33,4,0)),0,VLOOKUP(F$2,行为概览!$D$3:$U$33,6,0)),4)</f>
        <v>0</v>
      </c>
      <c r="G10" s="20">
        <f>ROUND(IF(OR($A10&lt;VLOOKUP(G$2,行为概览!$D$3:$U$33,3,0),$A10&gt;VLOOKUP(G$2,行为概览!$D$3:$U$33,4,0)),0,VLOOKUP(G$2,行为概览!$D$3:$U$33,6,0)),4)</f>
        <v>0</v>
      </c>
      <c r="H10" s="20">
        <f>ROUND(IF(OR($A10&lt;VLOOKUP(H$2,行为概览!$D$3:$U$33,3,0),$A10&gt;VLOOKUP(H$2,行为概览!$D$3:$U$33,4,0)),0,VLOOKUP(H$2,行为概览!$D$3:$U$33,6,0)),4)</f>
        <v>0</v>
      </c>
      <c r="I10" s="20">
        <f>ROUND(IF(OR($A10&lt;VLOOKUP(I$2,行为概览!$D$3:$U$33,3,0),$A10&gt;VLOOKUP(I$2,行为概览!$D$3:$U$33,4,0)),0,VLOOKUP(I$2,行为概览!$D$3:$U$33,6,0)),4)</f>
        <v>0</v>
      </c>
      <c r="J10" s="20">
        <f>ROUND(IF(OR($A10&lt;VLOOKUP(J$2,行为概览!$D$3:$U$33,3,0),$A10&gt;VLOOKUP(J$2,行为概览!$D$3:$U$33,4,0)),0,VLOOKUP(J$2,行为概览!$D$3:$U$33,6,0)),4)</f>
        <v>0</v>
      </c>
      <c r="K10" s="20">
        <f>ROUND(IF(OR($A10&lt;VLOOKUP(K$2,行为概览!$D$3:$U$33,3,0),$A10&gt;VLOOKUP(K$2,行为概览!$D$3:$U$33,4,0)),0,VLOOKUP(K$2,行为概览!$D$3:$U$33,6,0)),4)</f>
        <v>0</v>
      </c>
      <c r="L10" s="20">
        <f>ROUND(IF(OR($A10&lt;VLOOKUP(L$2,行为概览!$D$3:$U$33,3,0),$A10&gt;VLOOKUP(L$2,行为概览!$D$3:$U$33,4,0)),0,VLOOKUP(L$2,行为概览!$D$3:$U$33,6,0)),4)</f>
        <v>0</v>
      </c>
      <c r="M10" s="20">
        <f>ROUND(IF(OR($A10&lt;VLOOKUP(M$2,行为概览!$D$3:$U$33,3,0),$A10&gt;VLOOKUP(M$2,行为概览!$D$3:$U$33,4,0)),0,VLOOKUP(M$2,行为概览!$D$3:$U$33,6,0)),4)</f>
        <v>0</v>
      </c>
      <c r="N10" s="20">
        <f>ROUND(IF(OR($A10&lt;VLOOKUP(N$2,行为概览!$D$3:$U$33,3,0),$A10&gt;VLOOKUP(N$2,行为概览!$D$3:$U$33,4,0)),0,VLOOKUP(N$2,行为概览!$D$3:$U$33,6,0)),4)</f>
        <v>0</v>
      </c>
      <c r="O10" s="20">
        <f>ROUND(IF(OR($A10&lt;VLOOKUP(O$2,行为概览!$D$3:$U$33,3,0),$A10&gt;VLOOKUP(O$2,行为概览!$D$3:$U$33,4,0)),0,VLOOKUP(O$2,行为概览!$D$3:$U$33,6,0)),4)</f>
        <v>0</v>
      </c>
      <c r="P10" s="20">
        <f>ROUND(IF(OR($A10&lt;VLOOKUP(P$2,行为概览!$D$3:$U$33,3,0),$A10&gt;VLOOKUP(P$2,行为概览!$D$3:$U$33,4,0)),0,VLOOKUP(P$2,行为概览!$D$3:$U$33,6,0)),4)</f>
        <v>2.6</v>
      </c>
      <c r="Q10" s="20">
        <f>ROUND(IF(OR($A10&lt;VLOOKUP(Q$2,行为概览!$D$3:$U$33,3,0),$A10&gt;VLOOKUP(Q$2,行为概览!$D$3:$U$33,4,0)),0,VLOOKUP(Q$2,行为概览!$D$3:$U$33,6,0)),4)</f>
        <v>0</v>
      </c>
      <c r="R10" s="20">
        <f>ROUND(IF(OR($A10&lt;VLOOKUP(R$2,行为概览!$D$3:$U$33,3,0),$A10&gt;VLOOKUP(R$2,行为概览!$D$3:$U$33,4,0)),0,VLOOKUP(R$2,行为概览!$D$3:$U$33,6,0)),4)</f>
        <v>0</v>
      </c>
      <c r="S10" s="20">
        <f>ROUND(IF(OR($A10&lt;VLOOKUP(S$2,行为概览!$D$3:$U$33,3,0),$A10&gt;VLOOKUP(S$2,行为概览!$D$3:$U$33,4,0)),0,VLOOKUP(S$2,行为概览!$D$3:$U$33,6,0)),4)</f>
        <v>0</v>
      </c>
      <c r="T10" s="20">
        <f>ROUND(IF(OR($A10&lt;VLOOKUP(T$2,行为概览!$D$3:$U$33,3,0),$A10&gt;VLOOKUP(T$2,行为概览!$D$3:$U$33,4,0)),0,VLOOKUP(T$2,行为概览!$D$3:$U$33,6,0)),4)</f>
        <v>0</v>
      </c>
      <c r="U10" s="20">
        <f>ROUND(IF(OR($A10&lt;VLOOKUP(U$2,行为概览!$D$3:$U$33,3,0),$A10&gt;VLOOKUP(U$2,行为概览!$D$3:$U$33,4,0)),0,VLOOKUP(U$2,行为概览!$D$3:$U$33,6,0)),4)</f>
        <v>0</v>
      </c>
      <c r="V10" s="20">
        <f>ROUND(IF(OR($A10&lt;VLOOKUP(V$2,行为概览!$D$3:$U$33,3,0),$A10&gt;VLOOKUP(V$2,行为概览!$D$3:$U$33,4,0)),0,VLOOKUP(V$2,行为概览!$D$3:$U$33,6,0)),4)</f>
        <v>0</v>
      </c>
      <c r="W10" s="20">
        <f>ROUND(IF(OR($A10&lt;VLOOKUP(W$2,行为概览!$D$3:$U$33,3,0),$A10&gt;VLOOKUP(W$2,行为概览!$D$3:$U$33,4,0)),0,VLOOKUP(W$2,行为概览!$D$3:$U$33,6,0)),4)</f>
        <v>0</v>
      </c>
      <c r="X10" s="20">
        <f>ROUND(IF(OR($A10&lt;VLOOKUP(X$2,行为概览!$D$3:$U$33,3,0),$A10&gt;VLOOKUP(X$2,行为概览!$D$3:$U$33,4,0)),0,VLOOKUP(X$2,行为概览!$D$3:$U$33,6,0)),4)</f>
        <v>0</v>
      </c>
      <c r="Y10" s="20">
        <f>ROUND(IF(OR($A10&lt;VLOOKUP(Y$2,行为概览!$D$3:$U$33,3,0),$A10&gt;VLOOKUP(Y$2,行为概览!$D$3:$U$33,4,0)),0,VLOOKUP(Y$2,行为概览!$D$3:$U$33,6,0)),4)</f>
        <v>0</v>
      </c>
      <c r="Z10" s="20">
        <f>ROUND(IF(OR($A10&lt;VLOOKUP(Z$2,行为概览!$D$3:$U$33,3,0),$A10&gt;VLOOKUP(Z$2,行为概览!$D$3:$U$33,4,0)),0,VLOOKUP(Z$2,行为概览!$D$3:$U$33,6,0)),4)</f>
        <v>0</v>
      </c>
      <c r="AA10" s="20">
        <f>ROUND(IF(OR($A10&lt;VLOOKUP(AA$2,行为概览!$D$3:$U$33,3,0),$A10&gt;VLOOKUP(AA$2,行为概览!$D$3:$U$33,4,0)),0,VLOOKUP(AA$2,行为概览!$D$3:$U$33,6,0)),4)</f>
        <v>0</v>
      </c>
      <c r="AB10" s="20">
        <f>ROUND(IF(OR($A10&lt;VLOOKUP(AB$2,行为概览!$D$3:$U$33,3,0),$A10&gt;VLOOKUP(AB$2,行为概览!$D$3:$U$33,4,0)),0,VLOOKUP(AB$2,行为概览!$D$3:$U$33,6,0)),4)</f>
        <v>0</v>
      </c>
      <c r="AC10" s="20">
        <f>ROUND(IF(OR($A10&lt;VLOOKUP(AC$2,行为概览!$D$3:$U$33,3,0),$A10&gt;VLOOKUP(AC$2,行为概览!$D$3:$U$33,4,0)),0,VLOOKUP(AC$2,行为概览!$D$3:$U$33,6,0)),4)</f>
        <v>0</v>
      </c>
      <c r="AD10" s="20">
        <f>ROUND(IF(OR($A10&lt;VLOOKUP(AD$2,行为概览!$D$3:$U$33,3,0),$A10&gt;VLOOKUP(AD$2,行为概览!$D$3:$U$33,4,0)),0,VLOOKUP(AD$2,行为概览!$D$3:$U$33,6,0)),4)</f>
        <v>0</v>
      </c>
      <c r="AE10" s="20">
        <f>ROUND(IF(OR($A10&lt;VLOOKUP(AE$2,行为概览!$D$3:$U$33,3,0),$A10&gt;VLOOKUP(AE$2,行为概览!$D$3:$U$33,4,0)),0,VLOOKUP(AE$2,行为概览!$D$3:$U$33,6,0)),4)</f>
        <v>0</v>
      </c>
      <c r="AF10" s="20">
        <f>ROUND(IF(OR($A10&lt;VLOOKUP(AF$2,行为概览!$D$3:$U$33,3,0),$A10&gt;VLOOKUP(AF$2,行为概览!$D$3:$U$33,4,0)),0,VLOOKUP(AF$2,行为概览!$D$3:$U$33,6,0)),4)</f>
        <v>0</v>
      </c>
    </row>
    <row r="11" spans="1:32">
      <c r="A11" s="19">
        <v>9</v>
      </c>
      <c r="B11" s="20">
        <f>ROUND(IF(OR($A11&lt;VLOOKUP(B$2,行为概览!$D$3:$U$33,3,0),$A11&gt;VLOOKUP(B$2,行为概览!$D$3:$U$33,4,0)),0,VLOOKUP(B$2,行为概览!$D$3:$U$33,6,0)),4)</f>
        <v>0</v>
      </c>
      <c r="C11" s="20">
        <f>ROUND(IF(OR($A11&lt;VLOOKUP(C$2,行为概览!$D$3:$U$33,3,0),$A11&gt;VLOOKUP(C$2,行为概览!$D$3:$U$33,4,0)),0,VLOOKUP(C$2,行为概览!$D$3:$U$33,6,0)),4)</f>
        <v>0</v>
      </c>
      <c r="D11" s="20">
        <f>ROUND(IF(OR($A11&lt;VLOOKUP(D$2,行为概览!$D$3:$U$33,3,0),$A11&gt;VLOOKUP(D$2,行为概览!$D$3:$U$33,4,0)),0,VLOOKUP(D$2,行为概览!$D$3:$U$33,6,0)),4)</f>
        <v>0</v>
      </c>
      <c r="E11" s="20">
        <f>ROUND(IF(OR($A11&lt;VLOOKUP(E$2,行为概览!$D$3:$U$33,3,0),$A11&gt;VLOOKUP(E$2,行为概览!$D$3:$U$33,4,0)),0,VLOOKUP(E$2,行为概览!$D$3:$U$33,6,0)),4)</f>
        <v>0</v>
      </c>
      <c r="F11" s="20">
        <f>ROUND(IF(OR($A11&lt;VLOOKUP(F$2,行为概览!$D$3:$U$33,3,0),$A11&gt;VLOOKUP(F$2,行为概览!$D$3:$U$33,4,0)),0,VLOOKUP(F$2,行为概览!$D$3:$U$33,6,0)),4)</f>
        <v>0</v>
      </c>
      <c r="G11" s="20">
        <f>ROUND(IF(OR($A11&lt;VLOOKUP(G$2,行为概览!$D$3:$U$33,3,0),$A11&gt;VLOOKUP(G$2,行为概览!$D$3:$U$33,4,0)),0,VLOOKUP(G$2,行为概览!$D$3:$U$33,6,0)),4)</f>
        <v>0</v>
      </c>
      <c r="H11" s="20">
        <f>ROUND(IF(OR($A11&lt;VLOOKUP(H$2,行为概览!$D$3:$U$33,3,0),$A11&gt;VLOOKUP(H$2,行为概览!$D$3:$U$33,4,0)),0,VLOOKUP(H$2,行为概览!$D$3:$U$33,6,0)),4)</f>
        <v>0</v>
      </c>
      <c r="I11" s="20">
        <f>ROUND(IF(OR($A11&lt;VLOOKUP(I$2,行为概览!$D$3:$U$33,3,0),$A11&gt;VLOOKUP(I$2,行为概览!$D$3:$U$33,4,0)),0,VLOOKUP(I$2,行为概览!$D$3:$U$33,6,0)),4)</f>
        <v>0</v>
      </c>
      <c r="J11" s="20">
        <f>ROUND(IF(OR($A11&lt;VLOOKUP(J$2,行为概览!$D$3:$U$33,3,0),$A11&gt;VLOOKUP(J$2,行为概览!$D$3:$U$33,4,0)),0,VLOOKUP(J$2,行为概览!$D$3:$U$33,6,0)),4)</f>
        <v>0</v>
      </c>
      <c r="K11" s="20">
        <f>ROUND(IF(OR($A11&lt;VLOOKUP(K$2,行为概览!$D$3:$U$33,3,0),$A11&gt;VLOOKUP(K$2,行为概览!$D$3:$U$33,4,0)),0,VLOOKUP(K$2,行为概览!$D$3:$U$33,6,0)),4)</f>
        <v>0</v>
      </c>
      <c r="L11" s="20">
        <f>ROUND(IF(OR($A11&lt;VLOOKUP(L$2,行为概览!$D$3:$U$33,3,0),$A11&gt;VLOOKUP(L$2,行为概览!$D$3:$U$33,4,0)),0,VLOOKUP(L$2,行为概览!$D$3:$U$33,6,0)),4)</f>
        <v>0</v>
      </c>
      <c r="M11" s="20">
        <f>ROUND(IF(OR($A11&lt;VLOOKUP(M$2,行为概览!$D$3:$U$33,3,0),$A11&gt;VLOOKUP(M$2,行为概览!$D$3:$U$33,4,0)),0,VLOOKUP(M$2,行为概览!$D$3:$U$33,6,0)),4)</f>
        <v>0</v>
      </c>
      <c r="N11" s="20">
        <f>ROUND(IF(OR($A11&lt;VLOOKUP(N$2,行为概览!$D$3:$U$33,3,0),$A11&gt;VLOOKUP(N$2,行为概览!$D$3:$U$33,4,0)),0,VLOOKUP(N$2,行为概览!$D$3:$U$33,6,0)),4)</f>
        <v>0</v>
      </c>
      <c r="O11" s="20">
        <f>ROUND(IF(OR($A11&lt;VLOOKUP(O$2,行为概览!$D$3:$U$33,3,0),$A11&gt;VLOOKUP(O$2,行为概览!$D$3:$U$33,4,0)),0,VLOOKUP(O$2,行为概览!$D$3:$U$33,6,0)),4)</f>
        <v>0</v>
      </c>
      <c r="P11" s="20">
        <f>ROUND(IF(OR($A11&lt;VLOOKUP(P$2,行为概览!$D$3:$U$33,3,0),$A11&gt;VLOOKUP(P$2,行为概览!$D$3:$U$33,4,0)),0,VLOOKUP(P$2,行为概览!$D$3:$U$33,6,0)),4)</f>
        <v>2.6</v>
      </c>
      <c r="Q11" s="20">
        <f>ROUND(IF(OR($A11&lt;VLOOKUP(Q$2,行为概览!$D$3:$U$33,3,0),$A11&gt;VLOOKUP(Q$2,行为概览!$D$3:$U$33,4,0)),0,VLOOKUP(Q$2,行为概览!$D$3:$U$33,6,0)),4)</f>
        <v>0</v>
      </c>
      <c r="R11" s="20">
        <f>ROUND(IF(OR($A11&lt;VLOOKUP(R$2,行为概览!$D$3:$U$33,3,0),$A11&gt;VLOOKUP(R$2,行为概览!$D$3:$U$33,4,0)),0,VLOOKUP(R$2,行为概览!$D$3:$U$33,6,0)),4)</f>
        <v>0</v>
      </c>
      <c r="S11" s="20">
        <f>ROUND(IF(OR($A11&lt;VLOOKUP(S$2,行为概览!$D$3:$U$33,3,0),$A11&gt;VLOOKUP(S$2,行为概览!$D$3:$U$33,4,0)),0,VLOOKUP(S$2,行为概览!$D$3:$U$33,6,0)),4)</f>
        <v>0</v>
      </c>
      <c r="T11" s="20">
        <f>ROUND(IF(OR($A11&lt;VLOOKUP(T$2,行为概览!$D$3:$U$33,3,0),$A11&gt;VLOOKUP(T$2,行为概览!$D$3:$U$33,4,0)),0,VLOOKUP(T$2,行为概览!$D$3:$U$33,6,0)),4)</f>
        <v>0</v>
      </c>
      <c r="U11" s="20">
        <f>ROUND(IF(OR($A11&lt;VLOOKUP(U$2,行为概览!$D$3:$U$33,3,0),$A11&gt;VLOOKUP(U$2,行为概览!$D$3:$U$33,4,0)),0,VLOOKUP(U$2,行为概览!$D$3:$U$33,6,0)),4)</f>
        <v>0</v>
      </c>
      <c r="V11" s="20">
        <f>ROUND(IF(OR($A11&lt;VLOOKUP(V$2,行为概览!$D$3:$U$33,3,0),$A11&gt;VLOOKUP(V$2,行为概览!$D$3:$U$33,4,0)),0,VLOOKUP(V$2,行为概览!$D$3:$U$33,6,0)),4)</f>
        <v>0</v>
      </c>
      <c r="W11" s="20">
        <f>ROUND(IF(OR($A11&lt;VLOOKUP(W$2,行为概览!$D$3:$U$33,3,0),$A11&gt;VLOOKUP(W$2,行为概览!$D$3:$U$33,4,0)),0,VLOOKUP(W$2,行为概览!$D$3:$U$33,6,0)),4)</f>
        <v>0</v>
      </c>
      <c r="X11" s="20">
        <f>ROUND(IF(OR($A11&lt;VLOOKUP(X$2,行为概览!$D$3:$U$33,3,0),$A11&gt;VLOOKUP(X$2,行为概览!$D$3:$U$33,4,0)),0,VLOOKUP(X$2,行为概览!$D$3:$U$33,6,0)),4)</f>
        <v>0</v>
      </c>
      <c r="Y11" s="20">
        <f>ROUND(IF(OR($A11&lt;VLOOKUP(Y$2,行为概览!$D$3:$U$33,3,0),$A11&gt;VLOOKUP(Y$2,行为概览!$D$3:$U$33,4,0)),0,VLOOKUP(Y$2,行为概览!$D$3:$U$33,6,0)),4)</f>
        <v>0</v>
      </c>
      <c r="Z11" s="20">
        <f>ROUND(IF(OR($A11&lt;VLOOKUP(Z$2,行为概览!$D$3:$U$33,3,0),$A11&gt;VLOOKUP(Z$2,行为概览!$D$3:$U$33,4,0)),0,VLOOKUP(Z$2,行为概览!$D$3:$U$33,6,0)),4)</f>
        <v>0</v>
      </c>
      <c r="AA11" s="20">
        <f>ROUND(IF(OR($A11&lt;VLOOKUP(AA$2,行为概览!$D$3:$U$33,3,0),$A11&gt;VLOOKUP(AA$2,行为概览!$D$3:$U$33,4,0)),0,VLOOKUP(AA$2,行为概览!$D$3:$U$33,6,0)),4)</f>
        <v>0</v>
      </c>
      <c r="AB11" s="20">
        <f>ROUND(IF(OR($A11&lt;VLOOKUP(AB$2,行为概览!$D$3:$U$33,3,0),$A11&gt;VLOOKUP(AB$2,行为概览!$D$3:$U$33,4,0)),0,VLOOKUP(AB$2,行为概览!$D$3:$U$33,6,0)),4)</f>
        <v>0</v>
      </c>
      <c r="AC11" s="20">
        <f>ROUND(IF(OR($A11&lt;VLOOKUP(AC$2,行为概览!$D$3:$U$33,3,0),$A11&gt;VLOOKUP(AC$2,行为概览!$D$3:$U$33,4,0)),0,VLOOKUP(AC$2,行为概览!$D$3:$U$33,6,0)),4)</f>
        <v>0</v>
      </c>
      <c r="AD11" s="20">
        <f>ROUND(IF(OR($A11&lt;VLOOKUP(AD$2,行为概览!$D$3:$U$33,3,0),$A11&gt;VLOOKUP(AD$2,行为概览!$D$3:$U$33,4,0)),0,VLOOKUP(AD$2,行为概览!$D$3:$U$33,6,0)),4)</f>
        <v>0</v>
      </c>
      <c r="AE11" s="20">
        <f>ROUND(IF(OR($A11&lt;VLOOKUP(AE$2,行为概览!$D$3:$U$33,3,0),$A11&gt;VLOOKUP(AE$2,行为概览!$D$3:$U$33,4,0)),0,VLOOKUP(AE$2,行为概览!$D$3:$U$33,6,0)),4)</f>
        <v>0</v>
      </c>
      <c r="AF11" s="20">
        <f>ROUND(IF(OR($A11&lt;VLOOKUP(AF$2,行为概览!$D$3:$U$33,3,0),$A11&gt;VLOOKUP(AF$2,行为概览!$D$3:$U$33,4,0)),0,VLOOKUP(AF$2,行为概览!$D$3:$U$33,6,0)),4)</f>
        <v>0</v>
      </c>
    </row>
    <row r="12" spans="1:32">
      <c r="A12" s="19">
        <v>10</v>
      </c>
      <c r="B12" s="20">
        <f>ROUND(IF(OR($A12&lt;VLOOKUP(B$2,行为概览!$D$3:$U$33,3,0),$A12&gt;VLOOKUP(B$2,行为概览!$D$3:$U$33,4,0)),0,VLOOKUP(B$2,行为概览!$D$3:$U$33,6,0)),4)</f>
        <v>0</v>
      </c>
      <c r="C12" s="20">
        <f>ROUND(IF(OR($A12&lt;VLOOKUP(C$2,行为概览!$D$3:$U$33,3,0),$A12&gt;VLOOKUP(C$2,行为概览!$D$3:$U$33,4,0)),0,VLOOKUP(C$2,行为概览!$D$3:$U$33,6,0)),4)</f>
        <v>0</v>
      </c>
      <c r="D12" s="20">
        <f>ROUND(IF(OR($A12&lt;VLOOKUP(D$2,行为概览!$D$3:$U$33,3,0),$A12&gt;VLOOKUP(D$2,行为概览!$D$3:$U$33,4,0)),0,VLOOKUP(D$2,行为概览!$D$3:$U$33,6,0)),4)</f>
        <v>0</v>
      </c>
      <c r="E12" s="20">
        <f>ROUND(IF(OR($A12&lt;VLOOKUP(E$2,行为概览!$D$3:$U$33,3,0),$A12&gt;VLOOKUP(E$2,行为概览!$D$3:$U$33,4,0)),0,VLOOKUP(E$2,行为概览!$D$3:$U$33,6,0)),4)</f>
        <v>0</v>
      </c>
      <c r="F12" s="20">
        <f>ROUND(IF(OR($A12&lt;VLOOKUP(F$2,行为概览!$D$3:$U$33,3,0),$A12&gt;VLOOKUP(F$2,行为概览!$D$3:$U$33,4,0)),0,VLOOKUP(F$2,行为概览!$D$3:$U$33,6,0)),4)</f>
        <v>0</v>
      </c>
      <c r="G12" s="20">
        <f>ROUND(IF(OR($A12&lt;VLOOKUP(G$2,行为概览!$D$3:$U$33,3,0),$A12&gt;VLOOKUP(G$2,行为概览!$D$3:$U$33,4,0)),0,VLOOKUP(G$2,行为概览!$D$3:$U$33,6,0)),4)</f>
        <v>0</v>
      </c>
      <c r="H12" s="20">
        <f>ROUND(IF(OR($A12&lt;VLOOKUP(H$2,行为概览!$D$3:$U$33,3,0),$A12&gt;VLOOKUP(H$2,行为概览!$D$3:$U$33,4,0)),0,VLOOKUP(H$2,行为概览!$D$3:$U$33,6,0)),4)</f>
        <v>0</v>
      </c>
      <c r="I12" s="20">
        <f>ROUND(IF(OR($A12&lt;VLOOKUP(I$2,行为概览!$D$3:$U$33,3,0),$A12&gt;VLOOKUP(I$2,行为概览!$D$3:$U$33,4,0)),0,VLOOKUP(I$2,行为概览!$D$3:$U$33,6,0)),4)</f>
        <v>0</v>
      </c>
      <c r="J12" s="20">
        <f>ROUND(IF(OR($A12&lt;VLOOKUP(J$2,行为概览!$D$3:$U$33,3,0),$A12&gt;VLOOKUP(J$2,行为概览!$D$3:$U$33,4,0)),0,VLOOKUP(J$2,行为概览!$D$3:$U$33,6,0)),4)</f>
        <v>0</v>
      </c>
      <c r="K12" s="20">
        <f>ROUND(IF(OR($A12&lt;VLOOKUP(K$2,行为概览!$D$3:$U$33,3,0),$A12&gt;VLOOKUP(K$2,行为概览!$D$3:$U$33,4,0)),0,VLOOKUP(K$2,行为概览!$D$3:$U$33,6,0)),4)</f>
        <v>0</v>
      </c>
      <c r="L12" s="20">
        <f>ROUND(IF(OR($A12&lt;VLOOKUP(L$2,行为概览!$D$3:$U$33,3,0),$A12&gt;VLOOKUP(L$2,行为概览!$D$3:$U$33,4,0)),0,VLOOKUP(L$2,行为概览!$D$3:$U$33,6,0)),4)</f>
        <v>0</v>
      </c>
      <c r="M12" s="20">
        <f>ROUND(IF(OR($A12&lt;VLOOKUP(M$2,行为概览!$D$3:$U$33,3,0),$A12&gt;VLOOKUP(M$2,行为概览!$D$3:$U$33,4,0)),0,VLOOKUP(M$2,行为概览!$D$3:$U$33,6,0)),4)</f>
        <v>12</v>
      </c>
      <c r="N12" s="20">
        <f>ROUND(IF(OR($A12&lt;VLOOKUP(N$2,行为概览!$D$3:$U$33,3,0),$A12&gt;VLOOKUP(N$2,行为概览!$D$3:$U$33,4,0)),0,VLOOKUP(N$2,行为概览!$D$3:$U$33,6,0)),4)</f>
        <v>0</v>
      </c>
      <c r="O12" s="20">
        <f>ROUND(IF(OR($A12&lt;VLOOKUP(O$2,行为概览!$D$3:$U$33,3,0),$A12&gt;VLOOKUP(O$2,行为概览!$D$3:$U$33,4,0)),0,VLOOKUP(O$2,行为概览!$D$3:$U$33,6,0)),4)</f>
        <v>8.3299999999999999E-2</v>
      </c>
      <c r="P12" s="20">
        <f>ROUND(IF(OR($A12&lt;VLOOKUP(P$2,行为概览!$D$3:$U$33,3,0),$A12&gt;VLOOKUP(P$2,行为概览!$D$3:$U$33,4,0)),0,VLOOKUP(P$2,行为概览!$D$3:$U$33,6,0)),4)</f>
        <v>2.6</v>
      </c>
      <c r="Q12" s="20">
        <f>ROUND(IF(OR($A12&lt;VLOOKUP(Q$2,行为概览!$D$3:$U$33,3,0),$A12&gt;VLOOKUP(Q$2,行为概览!$D$3:$U$33,4,0)),0,VLOOKUP(Q$2,行为概览!$D$3:$U$33,6,0)),4)</f>
        <v>0</v>
      </c>
      <c r="R12" s="20">
        <f>ROUND(IF(OR($A12&lt;VLOOKUP(R$2,行为概览!$D$3:$U$33,3,0),$A12&gt;VLOOKUP(R$2,行为概览!$D$3:$U$33,4,0)),0,VLOOKUP(R$2,行为概览!$D$3:$U$33,6,0)),4)</f>
        <v>0</v>
      </c>
      <c r="S12" s="20">
        <f>ROUND(IF(OR($A12&lt;VLOOKUP(S$2,行为概览!$D$3:$U$33,3,0),$A12&gt;VLOOKUP(S$2,行为概览!$D$3:$U$33,4,0)),0,VLOOKUP(S$2,行为概览!$D$3:$U$33,6,0)),4)</f>
        <v>0</v>
      </c>
      <c r="T12" s="20">
        <f>ROUND(IF(OR($A12&lt;VLOOKUP(T$2,行为概览!$D$3:$U$33,3,0),$A12&gt;VLOOKUP(T$2,行为概览!$D$3:$U$33,4,0)),0,VLOOKUP(T$2,行为概览!$D$3:$U$33,6,0)),4)</f>
        <v>0</v>
      </c>
      <c r="U12" s="20">
        <f>ROUND(IF(OR($A12&lt;VLOOKUP(U$2,行为概览!$D$3:$U$33,3,0),$A12&gt;VLOOKUP(U$2,行为概览!$D$3:$U$33,4,0)),0,VLOOKUP(U$2,行为概览!$D$3:$U$33,6,0)),4)</f>
        <v>0</v>
      </c>
      <c r="V12" s="20">
        <f>ROUND(IF(OR($A12&lt;VLOOKUP(V$2,行为概览!$D$3:$U$33,3,0),$A12&gt;VLOOKUP(V$2,行为概览!$D$3:$U$33,4,0)),0,VLOOKUP(V$2,行为概览!$D$3:$U$33,6,0)),4)</f>
        <v>0</v>
      </c>
      <c r="W12" s="20">
        <f>ROUND(IF(OR($A12&lt;VLOOKUP(W$2,行为概览!$D$3:$U$33,3,0),$A12&gt;VLOOKUP(W$2,行为概览!$D$3:$U$33,4,0)),0,VLOOKUP(W$2,行为概览!$D$3:$U$33,6,0)),4)</f>
        <v>0</v>
      </c>
      <c r="X12" s="20">
        <f>ROUND(IF(OR($A12&lt;VLOOKUP(X$2,行为概览!$D$3:$U$33,3,0),$A12&gt;VLOOKUP(X$2,行为概览!$D$3:$U$33,4,0)),0,VLOOKUP(X$2,行为概览!$D$3:$U$33,6,0)),4)</f>
        <v>0</v>
      </c>
      <c r="Y12" s="20">
        <f>ROUND(IF(OR($A12&lt;VLOOKUP(Y$2,行为概览!$D$3:$U$33,3,0),$A12&gt;VLOOKUP(Y$2,行为概览!$D$3:$U$33,4,0)),0,VLOOKUP(Y$2,行为概览!$D$3:$U$33,6,0)),4)</f>
        <v>0</v>
      </c>
      <c r="Z12" s="20">
        <f>ROUND(IF(OR($A12&lt;VLOOKUP(Z$2,行为概览!$D$3:$U$33,3,0),$A12&gt;VLOOKUP(Z$2,行为概览!$D$3:$U$33,4,0)),0,VLOOKUP(Z$2,行为概览!$D$3:$U$33,6,0)),4)</f>
        <v>0</v>
      </c>
      <c r="AA12" s="20">
        <f>ROUND(IF(OR($A12&lt;VLOOKUP(AA$2,行为概览!$D$3:$U$33,3,0),$A12&gt;VLOOKUP(AA$2,行为概览!$D$3:$U$33,4,0)),0,VLOOKUP(AA$2,行为概览!$D$3:$U$33,6,0)),4)</f>
        <v>0</v>
      </c>
      <c r="AB12" s="20">
        <f>ROUND(IF(OR($A12&lt;VLOOKUP(AB$2,行为概览!$D$3:$U$33,3,0),$A12&gt;VLOOKUP(AB$2,行为概览!$D$3:$U$33,4,0)),0,VLOOKUP(AB$2,行为概览!$D$3:$U$33,6,0)),4)</f>
        <v>0</v>
      </c>
      <c r="AC12" s="20">
        <f>ROUND(IF(OR($A12&lt;VLOOKUP(AC$2,行为概览!$D$3:$U$33,3,0),$A12&gt;VLOOKUP(AC$2,行为概览!$D$3:$U$33,4,0)),0,VLOOKUP(AC$2,行为概览!$D$3:$U$33,6,0)),4)</f>
        <v>0</v>
      </c>
      <c r="AD12" s="20">
        <f>ROUND(IF(OR($A12&lt;VLOOKUP(AD$2,行为概览!$D$3:$U$33,3,0),$A12&gt;VLOOKUP(AD$2,行为概览!$D$3:$U$33,4,0)),0,VLOOKUP(AD$2,行为概览!$D$3:$U$33,6,0)),4)</f>
        <v>0</v>
      </c>
      <c r="AE12" s="20">
        <f>ROUND(IF(OR($A12&lt;VLOOKUP(AE$2,行为概览!$D$3:$U$33,3,0),$A12&gt;VLOOKUP(AE$2,行为概览!$D$3:$U$33,4,0)),0,VLOOKUP(AE$2,行为概览!$D$3:$U$33,6,0)),4)</f>
        <v>0</v>
      </c>
      <c r="AF12" s="20">
        <f>ROUND(IF(OR($A12&lt;VLOOKUP(AF$2,行为概览!$D$3:$U$33,3,0),$A12&gt;VLOOKUP(AF$2,行为概览!$D$3:$U$33,4,0)),0,VLOOKUP(AF$2,行为概览!$D$3:$U$33,6,0)),4)</f>
        <v>0</v>
      </c>
    </row>
    <row r="13" spans="1:32">
      <c r="A13" s="19">
        <v>11</v>
      </c>
      <c r="B13" s="20">
        <f>ROUND(IF(OR($A13&lt;VLOOKUP(B$2,行为概览!$D$3:$U$33,3,0),$A13&gt;VLOOKUP(B$2,行为概览!$D$3:$U$33,4,0)),0,VLOOKUP(B$2,行为概览!$D$3:$U$33,6,0)),4)</f>
        <v>0</v>
      </c>
      <c r="C13" s="20">
        <f>ROUND(IF(OR($A13&lt;VLOOKUP(C$2,行为概览!$D$3:$U$33,3,0),$A13&gt;VLOOKUP(C$2,行为概览!$D$3:$U$33,4,0)),0,VLOOKUP(C$2,行为概览!$D$3:$U$33,6,0)),4)</f>
        <v>0</v>
      </c>
      <c r="D13" s="20">
        <f>ROUND(IF(OR($A13&lt;VLOOKUP(D$2,行为概览!$D$3:$U$33,3,0),$A13&gt;VLOOKUP(D$2,行为概览!$D$3:$U$33,4,0)),0,VLOOKUP(D$2,行为概览!$D$3:$U$33,6,0)),4)</f>
        <v>0</v>
      </c>
      <c r="E13" s="20">
        <f>ROUND(IF(OR($A13&lt;VLOOKUP(E$2,行为概览!$D$3:$U$33,3,0),$A13&gt;VLOOKUP(E$2,行为概览!$D$3:$U$33,4,0)),0,VLOOKUP(E$2,行为概览!$D$3:$U$33,6,0)),4)</f>
        <v>0</v>
      </c>
      <c r="F13" s="20">
        <f>ROUND(IF(OR($A13&lt;VLOOKUP(F$2,行为概览!$D$3:$U$33,3,0),$A13&gt;VLOOKUP(F$2,行为概览!$D$3:$U$33,4,0)),0,VLOOKUP(F$2,行为概览!$D$3:$U$33,6,0)),4)</f>
        <v>0</v>
      </c>
      <c r="G13" s="20">
        <f>ROUND(IF(OR($A13&lt;VLOOKUP(G$2,行为概览!$D$3:$U$33,3,0),$A13&gt;VLOOKUP(G$2,行为概览!$D$3:$U$33,4,0)),0,VLOOKUP(G$2,行为概览!$D$3:$U$33,6,0)),4)</f>
        <v>0</v>
      </c>
      <c r="H13" s="20">
        <f>ROUND(IF(OR($A13&lt;VLOOKUP(H$2,行为概览!$D$3:$U$33,3,0),$A13&gt;VLOOKUP(H$2,行为概览!$D$3:$U$33,4,0)),0,VLOOKUP(H$2,行为概览!$D$3:$U$33,6,0)),4)</f>
        <v>0</v>
      </c>
      <c r="I13" s="20">
        <f>ROUND(IF(OR($A13&lt;VLOOKUP(I$2,行为概览!$D$3:$U$33,3,0),$A13&gt;VLOOKUP(I$2,行为概览!$D$3:$U$33,4,0)),0,VLOOKUP(I$2,行为概览!$D$3:$U$33,6,0)),4)</f>
        <v>0</v>
      </c>
      <c r="J13" s="20">
        <f>ROUND(IF(OR($A13&lt;VLOOKUP(J$2,行为概览!$D$3:$U$33,3,0),$A13&gt;VLOOKUP(J$2,行为概览!$D$3:$U$33,4,0)),0,VLOOKUP(J$2,行为概览!$D$3:$U$33,6,0)),4)</f>
        <v>0</v>
      </c>
      <c r="K13" s="20">
        <f>ROUND(IF(OR($A13&lt;VLOOKUP(K$2,行为概览!$D$3:$U$33,3,0),$A13&gt;VLOOKUP(K$2,行为概览!$D$3:$U$33,4,0)),0,VLOOKUP(K$2,行为概览!$D$3:$U$33,6,0)),4)</f>
        <v>0</v>
      </c>
      <c r="L13" s="20">
        <f>ROUND(IF(OR($A13&lt;VLOOKUP(L$2,行为概览!$D$3:$U$33,3,0),$A13&gt;VLOOKUP(L$2,行为概览!$D$3:$U$33,4,0)),0,VLOOKUP(L$2,行为概览!$D$3:$U$33,6,0)),4)</f>
        <v>0</v>
      </c>
      <c r="M13" s="20">
        <f>ROUND(IF(OR($A13&lt;VLOOKUP(M$2,行为概览!$D$3:$U$33,3,0),$A13&gt;VLOOKUP(M$2,行为概览!$D$3:$U$33,4,0)),0,VLOOKUP(M$2,行为概览!$D$3:$U$33,6,0)),4)</f>
        <v>12</v>
      </c>
      <c r="N13" s="20">
        <f>ROUND(IF(OR($A13&lt;VLOOKUP(N$2,行为概览!$D$3:$U$33,3,0),$A13&gt;VLOOKUP(N$2,行为概览!$D$3:$U$33,4,0)),0,VLOOKUP(N$2,行为概览!$D$3:$U$33,6,0)),4)</f>
        <v>0</v>
      </c>
      <c r="O13" s="20">
        <f>ROUND(IF(OR($A13&lt;VLOOKUP(O$2,行为概览!$D$3:$U$33,3,0),$A13&gt;VLOOKUP(O$2,行为概览!$D$3:$U$33,4,0)),0,VLOOKUP(O$2,行为概览!$D$3:$U$33,6,0)),4)</f>
        <v>8.3299999999999999E-2</v>
      </c>
      <c r="P13" s="20">
        <f>ROUND(IF(OR($A13&lt;VLOOKUP(P$2,行为概览!$D$3:$U$33,3,0),$A13&gt;VLOOKUP(P$2,行为概览!$D$3:$U$33,4,0)),0,VLOOKUP(P$2,行为概览!$D$3:$U$33,6,0)),4)</f>
        <v>2.6</v>
      </c>
      <c r="Q13" s="20">
        <f>ROUND(IF(OR($A13&lt;VLOOKUP(Q$2,行为概览!$D$3:$U$33,3,0),$A13&gt;VLOOKUP(Q$2,行为概览!$D$3:$U$33,4,0)),0,VLOOKUP(Q$2,行为概览!$D$3:$U$33,6,0)),4)</f>
        <v>0</v>
      </c>
      <c r="R13" s="20">
        <f>ROUND(IF(OR($A13&lt;VLOOKUP(R$2,行为概览!$D$3:$U$33,3,0),$A13&gt;VLOOKUP(R$2,行为概览!$D$3:$U$33,4,0)),0,VLOOKUP(R$2,行为概览!$D$3:$U$33,6,0)),4)</f>
        <v>0</v>
      </c>
      <c r="S13" s="20">
        <f>ROUND(IF(OR($A13&lt;VLOOKUP(S$2,行为概览!$D$3:$U$33,3,0),$A13&gt;VLOOKUP(S$2,行为概览!$D$3:$U$33,4,0)),0,VLOOKUP(S$2,行为概览!$D$3:$U$33,6,0)),4)</f>
        <v>0</v>
      </c>
      <c r="T13" s="20">
        <f>ROUND(IF(OR($A13&lt;VLOOKUP(T$2,行为概览!$D$3:$U$33,3,0),$A13&gt;VLOOKUP(T$2,行为概览!$D$3:$U$33,4,0)),0,VLOOKUP(T$2,行为概览!$D$3:$U$33,6,0)),4)</f>
        <v>0</v>
      </c>
      <c r="U13" s="20">
        <f>ROUND(IF(OR($A13&lt;VLOOKUP(U$2,行为概览!$D$3:$U$33,3,0),$A13&gt;VLOOKUP(U$2,行为概览!$D$3:$U$33,4,0)),0,VLOOKUP(U$2,行为概览!$D$3:$U$33,6,0)),4)</f>
        <v>0</v>
      </c>
      <c r="V13" s="20">
        <f>ROUND(IF(OR($A13&lt;VLOOKUP(V$2,行为概览!$D$3:$U$33,3,0),$A13&gt;VLOOKUP(V$2,行为概览!$D$3:$U$33,4,0)),0,VLOOKUP(V$2,行为概览!$D$3:$U$33,6,0)),4)</f>
        <v>0</v>
      </c>
      <c r="W13" s="20">
        <f>ROUND(IF(OR($A13&lt;VLOOKUP(W$2,行为概览!$D$3:$U$33,3,0),$A13&gt;VLOOKUP(W$2,行为概览!$D$3:$U$33,4,0)),0,VLOOKUP(W$2,行为概览!$D$3:$U$33,6,0)),4)</f>
        <v>0</v>
      </c>
      <c r="X13" s="20">
        <f>ROUND(IF(OR($A13&lt;VLOOKUP(X$2,行为概览!$D$3:$U$33,3,0),$A13&gt;VLOOKUP(X$2,行为概览!$D$3:$U$33,4,0)),0,VLOOKUP(X$2,行为概览!$D$3:$U$33,6,0)),4)</f>
        <v>0</v>
      </c>
      <c r="Y13" s="20">
        <f>ROUND(IF(OR($A13&lt;VLOOKUP(Y$2,行为概览!$D$3:$U$33,3,0),$A13&gt;VLOOKUP(Y$2,行为概览!$D$3:$U$33,4,0)),0,VLOOKUP(Y$2,行为概览!$D$3:$U$33,6,0)),4)</f>
        <v>0</v>
      </c>
      <c r="Z13" s="20">
        <f>ROUND(IF(OR($A13&lt;VLOOKUP(Z$2,行为概览!$D$3:$U$33,3,0),$A13&gt;VLOOKUP(Z$2,行为概览!$D$3:$U$33,4,0)),0,VLOOKUP(Z$2,行为概览!$D$3:$U$33,6,0)),4)</f>
        <v>0</v>
      </c>
      <c r="AA13" s="20">
        <f>ROUND(IF(OR($A13&lt;VLOOKUP(AA$2,行为概览!$D$3:$U$33,3,0),$A13&gt;VLOOKUP(AA$2,行为概览!$D$3:$U$33,4,0)),0,VLOOKUP(AA$2,行为概览!$D$3:$U$33,6,0)),4)</f>
        <v>0</v>
      </c>
      <c r="AB13" s="20">
        <f>ROUND(IF(OR($A13&lt;VLOOKUP(AB$2,行为概览!$D$3:$U$33,3,0),$A13&gt;VLOOKUP(AB$2,行为概览!$D$3:$U$33,4,0)),0,VLOOKUP(AB$2,行为概览!$D$3:$U$33,6,0)),4)</f>
        <v>0</v>
      </c>
      <c r="AC13" s="20">
        <f>ROUND(IF(OR($A13&lt;VLOOKUP(AC$2,行为概览!$D$3:$U$33,3,0),$A13&gt;VLOOKUP(AC$2,行为概览!$D$3:$U$33,4,0)),0,VLOOKUP(AC$2,行为概览!$D$3:$U$33,6,0)),4)</f>
        <v>0</v>
      </c>
      <c r="AD13" s="20">
        <f>ROUND(IF(OR($A13&lt;VLOOKUP(AD$2,行为概览!$D$3:$U$33,3,0),$A13&gt;VLOOKUP(AD$2,行为概览!$D$3:$U$33,4,0)),0,VLOOKUP(AD$2,行为概览!$D$3:$U$33,6,0)),4)</f>
        <v>0</v>
      </c>
      <c r="AE13" s="20">
        <f>ROUND(IF(OR($A13&lt;VLOOKUP(AE$2,行为概览!$D$3:$U$33,3,0),$A13&gt;VLOOKUP(AE$2,行为概览!$D$3:$U$33,4,0)),0,VLOOKUP(AE$2,行为概览!$D$3:$U$33,6,0)),4)</f>
        <v>0</v>
      </c>
      <c r="AF13" s="20">
        <f>ROUND(IF(OR($A13&lt;VLOOKUP(AF$2,行为概览!$D$3:$U$33,3,0),$A13&gt;VLOOKUP(AF$2,行为概览!$D$3:$U$33,4,0)),0,VLOOKUP(AF$2,行为概览!$D$3:$U$33,6,0)),4)</f>
        <v>0</v>
      </c>
    </row>
    <row r="14" spans="1:32">
      <c r="A14" s="19">
        <v>12</v>
      </c>
      <c r="B14" s="20">
        <f>ROUND(IF(OR($A14&lt;VLOOKUP(B$2,行为概览!$D$3:$U$33,3,0),$A14&gt;VLOOKUP(B$2,行为概览!$D$3:$U$33,4,0)),0,VLOOKUP(B$2,行为概览!$D$3:$U$33,6,0)),4)</f>
        <v>0</v>
      </c>
      <c r="C14" s="20">
        <f>ROUND(IF(OR($A14&lt;VLOOKUP(C$2,行为概览!$D$3:$U$33,3,0),$A14&gt;VLOOKUP(C$2,行为概览!$D$3:$U$33,4,0)),0,VLOOKUP(C$2,行为概览!$D$3:$U$33,6,0)),4)</f>
        <v>0</v>
      </c>
      <c r="D14" s="20">
        <f>ROUND(IF(OR($A14&lt;VLOOKUP(D$2,行为概览!$D$3:$U$33,3,0),$A14&gt;VLOOKUP(D$2,行为概览!$D$3:$U$33,4,0)),0,VLOOKUP(D$2,行为概览!$D$3:$U$33,6,0)),4)</f>
        <v>0</v>
      </c>
      <c r="E14" s="20">
        <f>ROUND(IF(OR($A14&lt;VLOOKUP(E$2,行为概览!$D$3:$U$33,3,0),$A14&gt;VLOOKUP(E$2,行为概览!$D$3:$U$33,4,0)),0,VLOOKUP(E$2,行为概览!$D$3:$U$33,6,0)),4)</f>
        <v>0</v>
      </c>
      <c r="F14" s="20">
        <f>ROUND(IF(OR($A14&lt;VLOOKUP(F$2,行为概览!$D$3:$U$33,3,0),$A14&gt;VLOOKUP(F$2,行为概览!$D$3:$U$33,4,0)),0,VLOOKUP(F$2,行为概览!$D$3:$U$33,6,0)),4)</f>
        <v>0</v>
      </c>
      <c r="G14" s="20">
        <f>ROUND(IF(OR($A14&lt;VLOOKUP(G$2,行为概览!$D$3:$U$33,3,0),$A14&gt;VLOOKUP(G$2,行为概览!$D$3:$U$33,4,0)),0,VLOOKUP(G$2,行为概览!$D$3:$U$33,6,0)),4)</f>
        <v>0</v>
      </c>
      <c r="H14" s="20">
        <f>ROUND(IF(OR($A14&lt;VLOOKUP(H$2,行为概览!$D$3:$U$33,3,0),$A14&gt;VLOOKUP(H$2,行为概览!$D$3:$U$33,4,0)),0,VLOOKUP(H$2,行为概览!$D$3:$U$33,6,0)),4)</f>
        <v>0</v>
      </c>
      <c r="I14" s="20">
        <f>ROUND(IF(OR($A14&lt;VLOOKUP(I$2,行为概览!$D$3:$U$33,3,0),$A14&gt;VLOOKUP(I$2,行为概览!$D$3:$U$33,4,0)),0,VLOOKUP(I$2,行为概览!$D$3:$U$33,6,0)),4)</f>
        <v>0</v>
      </c>
      <c r="J14" s="20">
        <f>ROUND(IF(OR($A14&lt;VLOOKUP(J$2,行为概览!$D$3:$U$33,3,0),$A14&gt;VLOOKUP(J$2,行为概览!$D$3:$U$33,4,0)),0,VLOOKUP(J$2,行为概览!$D$3:$U$33,6,0)),4)</f>
        <v>0</v>
      </c>
      <c r="K14" s="20">
        <f>ROUND(IF(OR($A14&lt;VLOOKUP(K$2,行为概览!$D$3:$U$33,3,0),$A14&gt;VLOOKUP(K$2,行为概览!$D$3:$U$33,4,0)),0,VLOOKUP(K$2,行为概览!$D$3:$U$33,6,0)),4)</f>
        <v>0</v>
      </c>
      <c r="L14" s="20">
        <f>ROUND(IF(OR($A14&lt;VLOOKUP(L$2,行为概览!$D$3:$U$33,3,0),$A14&gt;VLOOKUP(L$2,行为概览!$D$3:$U$33,4,0)),0,VLOOKUP(L$2,行为概览!$D$3:$U$33,6,0)),4)</f>
        <v>0</v>
      </c>
      <c r="M14" s="20">
        <f>ROUND(IF(OR($A14&lt;VLOOKUP(M$2,行为概览!$D$3:$U$33,3,0),$A14&gt;VLOOKUP(M$2,行为概览!$D$3:$U$33,4,0)),0,VLOOKUP(M$2,行为概览!$D$3:$U$33,6,0)),4)</f>
        <v>12</v>
      </c>
      <c r="N14" s="20">
        <f>ROUND(IF(OR($A14&lt;VLOOKUP(N$2,行为概览!$D$3:$U$33,3,0),$A14&gt;VLOOKUP(N$2,行为概览!$D$3:$U$33,4,0)),0,VLOOKUP(N$2,行为概览!$D$3:$U$33,6,0)),4)</f>
        <v>0</v>
      </c>
      <c r="O14" s="20">
        <f>ROUND(IF(OR($A14&lt;VLOOKUP(O$2,行为概览!$D$3:$U$33,3,0),$A14&gt;VLOOKUP(O$2,行为概览!$D$3:$U$33,4,0)),0,VLOOKUP(O$2,行为概览!$D$3:$U$33,6,0)),4)</f>
        <v>8.3299999999999999E-2</v>
      </c>
      <c r="P14" s="20">
        <f>ROUND(IF(OR($A14&lt;VLOOKUP(P$2,行为概览!$D$3:$U$33,3,0),$A14&gt;VLOOKUP(P$2,行为概览!$D$3:$U$33,4,0)),0,VLOOKUP(P$2,行为概览!$D$3:$U$33,6,0)),4)</f>
        <v>2.6</v>
      </c>
      <c r="Q14" s="20">
        <f>ROUND(IF(OR($A14&lt;VLOOKUP(Q$2,行为概览!$D$3:$U$33,3,0),$A14&gt;VLOOKUP(Q$2,行为概览!$D$3:$U$33,4,0)),0,VLOOKUP(Q$2,行为概览!$D$3:$U$33,6,0)),4)</f>
        <v>0</v>
      </c>
      <c r="R14" s="20">
        <f>ROUND(IF(OR($A14&lt;VLOOKUP(R$2,行为概览!$D$3:$U$33,3,0),$A14&gt;VLOOKUP(R$2,行为概览!$D$3:$U$33,4,0)),0,VLOOKUP(R$2,行为概览!$D$3:$U$33,6,0)),4)</f>
        <v>0</v>
      </c>
      <c r="S14" s="20">
        <f>ROUND(IF(OR($A14&lt;VLOOKUP(S$2,行为概览!$D$3:$U$33,3,0),$A14&gt;VLOOKUP(S$2,行为概览!$D$3:$U$33,4,0)),0,VLOOKUP(S$2,行为概览!$D$3:$U$33,6,0)),4)</f>
        <v>0</v>
      </c>
      <c r="T14" s="20">
        <f>ROUND(IF(OR($A14&lt;VLOOKUP(T$2,行为概览!$D$3:$U$33,3,0),$A14&gt;VLOOKUP(T$2,行为概览!$D$3:$U$33,4,0)),0,VLOOKUP(T$2,行为概览!$D$3:$U$33,6,0)),4)</f>
        <v>0</v>
      </c>
      <c r="U14" s="20">
        <f>ROUND(IF(OR($A14&lt;VLOOKUP(U$2,行为概览!$D$3:$U$33,3,0),$A14&gt;VLOOKUP(U$2,行为概览!$D$3:$U$33,4,0)),0,VLOOKUP(U$2,行为概览!$D$3:$U$33,6,0)),4)</f>
        <v>0</v>
      </c>
      <c r="V14" s="20">
        <f>ROUND(IF(OR($A14&lt;VLOOKUP(V$2,行为概览!$D$3:$U$33,3,0),$A14&gt;VLOOKUP(V$2,行为概览!$D$3:$U$33,4,0)),0,VLOOKUP(V$2,行为概览!$D$3:$U$33,6,0)),4)</f>
        <v>0</v>
      </c>
      <c r="W14" s="20">
        <f>ROUND(IF(OR($A14&lt;VLOOKUP(W$2,行为概览!$D$3:$U$33,3,0),$A14&gt;VLOOKUP(W$2,行为概览!$D$3:$U$33,4,0)),0,VLOOKUP(W$2,行为概览!$D$3:$U$33,6,0)),4)</f>
        <v>0</v>
      </c>
      <c r="X14" s="20">
        <f>ROUND(IF(OR($A14&lt;VLOOKUP(X$2,行为概览!$D$3:$U$33,3,0),$A14&gt;VLOOKUP(X$2,行为概览!$D$3:$U$33,4,0)),0,VLOOKUP(X$2,行为概览!$D$3:$U$33,6,0)),4)</f>
        <v>0</v>
      </c>
      <c r="Y14" s="20">
        <f>ROUND(IF(OR($A14&lt;VLOOKUP(Y$2,行为概览!$D$3:$U$33,3,0),$A14&gt;VLOOKUP(Y$2,行为概览!$D$3:$U$33,4,0)),0,VLOOKUP(Y$2,行为概览!$D$3:$U$33,6,0)),4)</f>
        <v>0</v>
      </c>
      <c r="Z14" s="20">
        <f>ROUND(IF(OR($A14&lt;VLOOKUP(Z$2,行为概览!$D$3:$U$33,3,0),$A14&gt;VLOOKUP(Z$2,行为概览!$D$3:$U$33,4,0)),0,VLOOKUP(Z$2,行为概览!$D$3:$U$33,6,0)),4)</f>
        <v>0</v>
      </c>
      <c r="AA14" s="20">
        <f>ROUND(IF(OR($A14&lt;VLOOKUP(AA$2,行为概览!$D$3:$U$33,3,0),$A14&gt;VLOOKUP(AA$2,行为概览!$D$3:$U$33,4,0)),0,VLOOKUP(AA$2,行为概览!$D$3:$U$33,6,0)),4)</f>
        <v>0</v>
      </c>
      <c r="AB14" s="20">
        <f>ROUND(IF(OR($A14&lt;VLOOKUP(AB$2,行为概览!$D$3:$U$33,3,0),$A14&gt;VLOOKUP(AB$2,行为概览!$D$3:$U$33,4,0)),0,VLOOKUP(AB$2,行为概览!$D$3:$U$33,6,0)),4)</f>
        <v>0</v>
      </c>
      <c r="AC14" s="20">
        <f>ROUND(IF(OR($A14&lt;VLOOKUP(AC$2,行为概览!$D$3:$U$33,3,0),$A14&gt;VLOOKUP(AC$2,行为概览!$D$3:$U$33,4,0)),0,VLOOKUP(AC$2,行为概览!$D$3:$U$33,6,0)),4)</f>
        <v>0</v>
      </c>
      <c r="AD14" s="20">
        <f>ROUND(IF(OR($A14&lt;VLOOKUP(AD$2,行为概览!$D$3:$U$33,3,0),$A14&gt;VLOOKUP(AD$2,行为概览!$D$3:$U$33,4,0)),0,VLOOKUP(AD$2,行为概览!$D$3:$U$33,6,0)),4)</f>
        <v>0</v>
      </c>
      <c r="AE14" s="20">
        <f>ROUND(IF(OR($A14&lt;VLOOKUP(AE$2,行为概览!$D$3:$U$33,3,0),$A14&gt;VLOOKUP(AE$2,行为概览!$D$3:$U$33,4,0)),0,VLOOKUP(AE$2,行为概览!$D$3:$U$33,6,0)),4)</f>
        <v>0</v>
      </c>
      <c r="AF14" s="20">
        <f>ROUND(IF(OR($A14&lt;VLOOKUP(AF$2,行为概览!$D$3:$U$33,3,0),$A14&gt;VLOOKUP(AF$2,行为概览!$D$3:$U$33,4,0)),0,VLOOKUP(AF$2,行为概览!$D$3:$U$33,6,0)),4)</f>
        <v>0</v>
      </c>
    </row>
    <row r="15" spans="1:32">
      <c r="A15" s="19">
        <v>13</v>
      </c>
      <c r="B15" s="20">
        <f>ROUND(IF(OR($A15&lt;VLOOKUP(B$2,行为概览!$D$3:$U$33,3,0),$A15&gt;VLOOKUP(B$2,行为概览!$D$3:$U$33,4,0)),0,VLOOKUP(B$2,行为概览!$D$3:$U$33,6,0)),4)</f>
        <v>0</v>
      </c>
      <c r="C15" s="20">
        <f>ROUND(IF(OR($A15&lt;VLOOKUP(C$2,行为概览!$D$3:$U$33,3,0),$A15&gt;VLOOKUP(C$2,行为概览!$D$3:$U$33,4,0)),0,VLOOKUP(C$2,行为概览!$D$3:$U$33,6,0)),4)</f>
        <v>0</v>
      </c>
      <c r="D15" s="20">
        <f>ROUND(IF(OR($A15&lt;VLOOKUP(D$2,行为概览!$D$3:$U$33,3,0),$A15&gt;VLOOKUP(D$2,行为概览!$D$3:$U$33,4,0)),0,VLOOKUP(D$2,行为概览!$D$3:$U$33,6,0)),4)</f>
        <v>0</v>
      </c>
      <c r="E15" s="20">
        <f>ROUND(IF(OR($A15&lt;VLOOKUP(E$2,行为概览!$D$3:$U$33,3,0),$A15&gt;VLOOKUP(E$2,行为概览!$D$3:$U$33,4,0)),0,VLOOKUP(E$2,行为概览!$D$3:$U$33,6,0)),4)</f>
        <v>0</v>
      </c>
      <c r="F15" s="20">
        <f>ROUND(IF(OR($A15&lt;VLOOKUP(F$2,行为概览!$D$3:$U$33,3,0),$A15&gt;VLOOKUP(F$2,行为概览!$D$3:$U$33,4,0)),0,VLOOKUP(F$2,行为概览!$D$3:$U$33,6,0)),4)</f>
        <v>0</v>
      </c>
      <c r="G15" s="20">
        <f>ROUND(IF(OR($A15&lt;VLOOKUP(G$2,行为概览!$D$3:$U$33,3,0),$A15&gt;VLOOKUP(G$2,行为概览!$D$3:$U$33,4,0)),0,VLOOKUP(G$2,行为概览!$D$3:$U$33,6,0)),4)</f>
        <v>0</v>
      </c>
      <c r="H15" s="20">
        <f>ROUND(IF(OR($A15&lt;VLOOKUP(H$2,行为概览!$D$3:$U$33,3,0),$A15&gt;VLOOKUP(H$2,行为概览!$D$3:$U$33,4,0)),0,VLOOKUP(H$2,行为概览!$D$3:$U$33,6,0)),4)</f>
        <v>0</v>
      </c>
      <c r="I15" s="20">
        <f>ROUND(IF(OR($A15&lt;VLOOKUP(I$2,行为概览!$D$3:$U$33,3,0),$A15&gt;VLOOKUP(I$2,行为概览!$D$3:$U$33,4,0)),0,VLOOKUP(I$2,行为概览!$D$3:$U$33,6,0)),4)</f>
        <v>0</v>
      </c>
      <c r="J15" s="20">
        <f>ROUND(IF(OR($A15&lt;VLOOKUP(J$2,行为概览!$D$3:$U$33,3,0),$A15&gt;VLOOKUP(J$2,行为概览!$D$3:$U$33,4,0)),0,VLOOKUP(J$2,行为概览!$D$3:$U$33,6,0)),4)</f>
        <v>0</v>
      </c>
      <c r="K15" s="20">
        <f>ROUND(IF(OR($A15&lt;VLOOKUP(K$2,行为概览!$D$3:$U$33,3,0),$A15&gt;VLOOKUP(K$2,行为概览!$D$3:$U$33,4,0)),0,VLOOKUP(K$2,行为概览!$D$3:$U$33,6,0)),4)</f>
        <v>0</v>
      </c>
      <c r="L15" s="20">
        <f>ROUND(IF(OR($A15&lt;VLOOKUP(L$2,行为概览!$D$3:$U$33,3,0),$A15&gt;VLOOKUP(L$2,行为概览!$D$3:$U$33,4,0)),0,VLOOKUP(L$2,行为概览!$D$3:$U$33,6,0)),4)</f>
        <v>0</v>
      </c>
      <c r="M15" s="20">
        <f>ROUND(IF(OR($A15&lt;VLOOKUP(M$2,行为概览!$D$3:$U$33,3,0),$A15&gt;VLOOKUP(M$2,行为概览!$D$3:$U$33,4,0)),0,VLOOKUP(M$2,行为概览!$D$3:$U$33,6,0)),4)</f>
        <v>12</v>
      </c>
      <c r="N15" s="20">
        <f>ROUND(IF(OR($A15&lt;VLOOKUP(N$2,行为概览!$D$3:$U$33,3,0),$A15&gt;VLOOKUP(N$2,行为概览!$D$3:$U$33,4,0)),0,VLOOKUP(N$2,行为概览!$D$3:$U$33,6,0)),4)</f>
        <v>0</v>
      </c>
      <c r="O15" s="20">
        <f>ROUND(IF(OR($A15&lt;VLOOKUP(O$2,行为概览!$D$3:$U$33,3,0),$A15&gt;VLOOKUP(O$2,行为概览!$D$3:$U$33,4,0)),0,VLOOKUP(O$2,行为概览!$D$3:$U$33,6,0)),4)</f>
        <v>8.3299999999999999E-2</v>
      </c>
      <c r="P15" s="20">
        <f>ROUND(IF(OR($A15&lt;VLOOKUP(P$2,行为概览!$D$3:$U$33,3,0),$A15&gt;VLOOKUP(P$2,行为概览!$D$3:$U$33,4,0)),0,VLOOKUP(P$2,行为概览!$D$3:$U$33,6,0)),4)</f>
        <v>2.6</v>
      </c>
      <c r="Q15" s="20">
        <f>ROUND(IF(OR($A15&lt;VLOOKUP(Q$2,行为概览!$D$3:$U$33,3,0),$A15&gt;VLOOKUP(Q$2,行为概览!$D$3:$U$33,4,0)),0,VLOOKUP(Q$2,行为概览!$D$3:$U$33,6,0)),4)</f>
        <v>0</v>
      </c>
      <c r="R15" s="20">
        <f>ROUND(IF(OR($A15&lt;VLOOKUP(R$2,行为概览!$D$3:$U$33,3,0),$A15&gt;VLOOKUP(R$2,行为概览!$D$3:$U$33,4,0)),0,VLOOKUP(R$2,行为概览!$D$3:$U$33,6,0)),4)</f>
        <v>0</v>
      </c>
      <c r="S15" s="20">
        <f>ROUND(IF(OR($A15&lt;VLOOKUP(S$2,行为概览!$D$3:$U$33,3,0),$A15&gt;VLOOKUP(S$2,行为概览!$D$3:$U$33,4,0)),0,VLOOKUP(S$2,行为概览!$D$3:$U$33,6,0)),4)</f>
        <v>0</v>
      </c>
      <c r="T15" s="20">
        <f>ROUND(IF(OR($A15&lt;VLOOKUP(T$2,行为概览!$D$3:$U$33,3,0),$A15&gt;VLOOKUP(T$2,行为概览!$D$3:$U$33,4,0)),0,VLOOKUP(T$2,行为概览!$D$3:$U$33,6,0)),4)</f>
        <v>0</v>
      </c>
      <c r="U15" s="20">
        <f>ROUND(IF(OR($A15&lt;VLOOKUP(U$2,行为概览!$D$3:$U$33,3,0),$A15&gt;VLOOKUP(U$2,行为概览!$D$3:$U$33,4,0)),0,VLOOKUP(U$2,行为概览!$D$3:$U$33,6,0)),4)</f>
        <v>0</v>
      </c>
      <c r="V15" s="20">
        <f>ROUND(IF(OR($A15&lt;VLOOKUP(V$2,行为概览!$D$3:$U$33,3,0),$A15&gt;VLOOKUP(V$2,行为概览!$D$3:$U$33,4,0)),0,VLOOKUP(V$2,行为概览!$D$3:$U$33,6,0)),4)</f>
        <v>0</v>
      </c>
      <c r="W15" s="20">
        <f>ROUND(IF(OR($A15&lt;VLOOKUP(W$2,行为概览!$D$3:$U$33,3,0),$A15&gt;VLOOKUP(W$2,行为概览!$D$3:$U$33,4,0)),0,VLOOKUP(W$2,行为概览!$D$3:$U$33,6,0)),4)</f>
        <v>0</v>
      </c>
      <c r="X15" s="20">
        <f>ROUND(IF(OR($A15&lt;VLOOKUP(X$2,行为概览!$D$3:$U$33,3,0),$A15&gt;VLOOKUP(X$2,行为概览!$D$3:$U$33,4,0)),0,VLOOKUP(X$2,行为概览!$D$3:$U$33,6,0)),4)</f>
        <v>0</v>
      </c>
      <c r="Y15" s="20">
        <f>ROUND(IF(OR($A15&lt;VLOOKUP(Y$2,行为概览!$D$3:$U$33,3,0),$A15&gt;VLOOKUP(Y$2,行为概览!$D$3:$U$33,4,0)),0,VLOOKUP(Y$2,行为概览!$D$3:$U$33,6,0)),4)</f>
        <v>0</v>
      </c>
      <c r="Z15" s="20">
        <f>ROUND(IF(OR($A15&lt;VLOOKUP(Z$2,行为概览!$D$3:$U$33,3,0),$A15&gt;VLOOKUP(Z$2,行为概览!$D$3:$U$33,4,0)),0,VLOOKUP(Z$2,行为概览!$D$3:$U$33,6,0)),4)</f>
        <v>0</v>
      </c>
      <c r="AA15" s="20">
        <f>ROUND(IF(OR($A15&lt;VLOOKUP(AA$2,行为概览!$D$3:$U$33,3,0),$A15&gt;VLOOKUP(AA$2,行为概览!$D$3:$U$33,4,0)),0,VLOOKUP(AA$2,行为概览!$D$3:$U$33,6,0)),4)</f>
        <v>0</v>
      </c>
      <c r="AB15" s="20">
        <f>ROUND(IF(OR($A15&lt;VLOOKUP(AB$2,行为概览!$D$3:$U$33,3,0),$A15&gt;VLOOKUP(AB$2,行为概览!$D$3:$U$33,4,0)),0,VLOOKUP(AB$2,行为概览!$D$3:$U$33,6,0)),4)</f>
        <v>0</v>
      </c>
      <c r="AC15" s="20">
        <f>ROUND(IF(OR($A15&lt;VLOOKUP(AC$2,行为概览!$D$3:$U$33,3,0),$A15&gt;VLOOKUP(AC$2,行为概览!$D$3:$U$33,4,0)),0,VLOOKUP(AC$2,行为概览!$D$3:$U$33,6,0)),4)</f>
        <v>0</v>
      </c>
      <c r="AD15" s="20">
        <f>ROUND(IF(OR($A15&lt;VLOOKUP(AD$2,行为概览!$D$3:$U$33,3,0),$A15&gt;VLOOKUP(AD$2,行为概览!$D$3:$U$33,4,0)),0,VLOOKUP(AD$2,行为概览!$D$3:$U$33,6,0)),4)</f>
        <v>0</v>
      </c>
      <c r="AE15" s="20">
        <f>ROUND(IF(OR($A15&lt;VLOOKUP(AE$2,行为概览!$D$3:$U$33,3,0),$A15&gt;VLOOKUP(AE$2,行为概览!$D$3:$U$33,4,0)),0,VLOOKUP(AE$2,行为概览!$D$3:$U$33,6,0)),4)</f>
        <v>0</v>
      </c>
      <c r="AF15" s="20">
        <f>ROUND(IF(OR($A15&lt;VLOOKUP(AF$2,行为概览!$D$3:$U$33,3,0),$A15&gt;VLOOKUP(AF$2,行为概览!$D$3:$U$33,4,0)),0,VLOOKUP(AF$2,行为概览!$D$3:$U$33,6,0)),4)</f>
        <v>0</v>
      </c>
    </row>
    <row r="16" spans="1:32">
      <c r="A16" s="19">
        <v>14</v>
      </c>
      <c r="B16" s="20">
        <f>ROUND(IF(OR($A16&lt;VLOOKUP(B$2,行为概览!$D$3:$U$33,3,0),$A16&gt;VLOOKUP(B$2,行为概览!$D$3:$U$33,4,0)),0,VLOOKUP(B$2,行为概览!$D$3:$U$33,6,0)),4)</f>
        <v>0</v>
      </c>
      <c r="C16" s="20">
        <f>ROUND(IF(OR($A16&lt;VLOOKUP(C$2,行为概览!$D$3:$U$33,3,0),$A16&gt;VLOOKUP(C$2,行为概览!$D$3:$U$33,4,0)),0,VLOOKUP(C$2,行为概览!$D$3:$U$33,6,0)),4)</f>
        <v>0</v>
      </c>
      <c r="D16" s="20">
        <f>ROUND(IF(OR($A16&lt;VLOOKUP(D$2,行为概览!$D$3:$U$33,3,0),$A16&gt;VLOOKUP(D$2,行为概览!$D$3:$U$33,4,0)),0,VLOOKUP(D$2,行为概览!$D$3:$U$33,6,0)),4)</f>
        <v>0</v>
      </c>
      <c r="E16" s="20">
        <f>ROUND(IF(OR($A16&lt;VLOOKUP(E$2,行为概览!$D$3:$U$33,3,0),$A16&gt;VLOOKUP(E$2,行为概览!$D$3:$U$33,4,0)),0,VLOOKUP(E$2,行为概览!$D$3:$U$33,6,0)),4)</f>
        <v>0</v>
      </c>
      <c r="F16" s="20">
        <f>ROUND(IF(OR($A16&lt;VLOOKUP(F$2,行为概览!$D$3:$U$33,3,0),$A16&gt;VLOOKUP(F$2,行为概览!$D$3:$U$33,4,0)),0,VLOOKUP(F$2,行为概览!$D$3:$U$33,6,0)),4)</f>
        <v>0</v>
      </c>
      <c r="G16" s="20">
        <f>ROUND(IF(OR($A16&lt;VLOOKUP(G$2,行为概览!$D$3:$U$33,3,0),$A16&gt;VLOOKUP(G$2,行为概览!$D$3:$U$33,4,0)),0,VLOOKUP(G$2,行为概览!$D$3:$U$33,6,0)),4)</f>
        <v>0</v>
      </c>
      <c r="H16" s="20">
        <f>ROUND(IF(OR($A16&lt;VLOOKUP(H$2,行为概览!$D$3:$U$33,3,0),$A16&gt;VLOOKUP(H$2,行为概览!$D$3:$U$33,4,0)),0,VLOOKUP(H$2,行为概览!$D$3:$U$33,6,0)),4)</f>
        <v>0</v>
      </c>
      <c r="I16" s="20">
        <f>ROUND(IF(OR($A16&lt;VLOOKUP(I$2,行为概览!$D$3:$U$33,3,0),$A16&gt;VLOOKUP(I$2,行为概览!$D$3:$U$33,4,0)),0,VLOOKUP(I$2,行为概览!$D$3:$U$33,6,0)),4)</f>
        <v>0</v>
      </c>
      <c r="J16" s="20">
        <f>ROUND(IF(OR($A16&lt;VLOOKUP(J$2,行为概览!$D$3:$U$33,3,0),$A16&gt;VLOOKUP(J$2,行为概览!$D$3:$U$33,4,0)),0,VLOOKUP(J$2,行为概览!$D$3:$U$33,6,0)),4)</f>
        <v>0</v>
      </c>
      <c r="K16" s="20">
        <f>ROUND(IF(OR($A16&lt;VLOOKUP(K$2,行为概览!$D$3:$U$33,3,0),$A16&gt;VLOOKUP(K$2,行为概览!$D$3:$U$33,4,0)),0,VLOOKUP(K$2,行为概览!$D$3:$U$33,6,0)),4)</f>
        <v>0</v>
      </c>
      <c r="L16" s="20">
        <f>ROUND(IF(OR($A16&lt;VLOOKUP(L$2,行为概览!$D$3:$U$33,3,0),$A16&gt;VLOOKUP(L$2,行为概览!$D$3:$U$33,4,0)),0,VLOOKUP(L$2,行为概览!$D$3:$U$33,6,0)),4)</f>
        <v>0</v>
      </c>
      <c r="M16" s="20">
        <f>ROUND(IF(OR($A16&lt;VLOOKUP(M$2,行为概览!$D$3:$U$33,3,0),$A16&gt;VLOOKUP(M$2,行为概览!$D$3:$U$33,4,0)),0,VLOOKUP(M$2,行为概览!$D$3:$U$33,6,0)),4)</f>
        <v>12</v>
      </c>
      <c r="N16" s="20">
        <f>ROUND(IF(OR($A16&lt;VLOOKUP(N$2,行为概览!$D$3:$U$33,3,0),$A16&gt;VLOOKUP(N$2,行为概览!$D$3:$U$33,4,0)),0,VLOOKUP(N$2,行为概览!$D$3:$U$33,6,0)),4)</f>
        <v>0</v>
      </c>
      <c r="O16" s="20">
        <f>ROUND(IF(OR($A16&lt;VLOOKUP(O$2,行为概览!$D$3:$U$33,3,0),$A16&gt;VLOOKUP(O$2,行为概览!$D$3:$U$33,4,0)),0,VLOOKUP(O$2,行为概览!$D$3:$U$33,6,0)),4)</f>
        <v>8.3299999999999999E-2</v>
      </c>
      <c r="P16" s="20">
        <f>ROUND(IF(OR($A16&lt;VLOOKUP(P$2,行为概览!$D$3:$U$33,3,0),$A16&gt;VLOOKUP(P$2,行为概览!$D$3:$U$33,4,0)),0,VLOOKUP(P$2,行为概览!$D$3:$U$33,6,0)),4)</f>
        <v>2.6</v>
      </c>
      <c r="Q16" s="20">
        <f>ROUND(IF(OR($A16&lt;VLOOKUP(Q$2,行为概览!$D$3:$U$33,3,0),$A16&gt;VLOOKUP(Q$2,行为概览!$D$3:$U$33,4,0)),0,VLOOKUP(Q$2,行为概览!$D$3:$U$33,6,0)),4)</f>
        <v>0</v>
      </c>
      <c r="R16" s="20">
        <f>ROUND(IF(OR($A16&lt;VLOOKUP(R$2,行为概览!$D$3:$U$33,3,0),$A16&gt;VLOOKUP(R$2,行为概览!$D$3:$U$33,4,0)),0,VLOOKUP(R$2,行为概览!$D$3:$U$33,6,0)),4)</f>
        <v>0</v>
      </c>
      <c r="S16" s="20">
        <f>ROUND(IF(OR($A16&lt;VLOOKUP(S$2,行为概览!$D$3:$U$33,3,0),$A16&gt;VLOOKUP(S$2,行为概览!$D$3:$U$33,4,0)),0,VLOOKUP(S$2,行为概览!$D$3:$U$33,6,0)),4)</f>
        <v>0</v>
      </c>
      <c r="T16" s="20">
        <f>ROUND(IF(OR($A16&lt;VLOOKUP(T$2,行为概览!$D$3:$U$33,3,0),$A16&gt;VLOOKUP(T$2,行为概览!$D$3:$U$33,4,0)),0,VLOOKUP(T$2,行为概览!$D$3:$U$33,6,0)),4)</f>
        <v>0</v>
      </c>
      <c r="U16" s="20">
        <f>ROUND(IF(OR($A16&lt;VLOOKUP(U$2,行为概览!$D$3:$U$33,3,0),$A16&gt;VLOOKUP(U$2,行为概览!$D$3:$U$33,4,0)),0,VLOOKUP(U$2,行为概览!$D$3:$U$33,6,0)),4)</f>
        <v>0</v>
      </c>
      <c r="V16" s="20">
        <f>ROUND(IF(OR($A16&lt;VLOOKUP(V$2,行为概览!$D$3:$U$33,3,0),$A16&gt;VLOOKUP(V$2,行为概览!$D$3:$U$33,4,0)),0,VLOOKUP(V$2,行为概览!$D$3:$U$33,6,0)),4)</f>
        <v>0</v>
      </c>
      <c r="W16" s="20">
        <f>ROUND(IF(OR($A16&lt;VLOOKUP(W$2,行为概览!$D$3:$U$33,3,0),$A16&gt;VLOOKUP(W$2,行为概览!$D$3:$U$33,4,0)),0,VLOOKUP(W$2,行为概览!$D$3:$U$33,6,0)),4)</f>
        <v>0</v>
      </c>
      <c r="X16" s="20">
        <f>ROUND(IF(OR($A16&lt;VLOOKUP(X$2,行为概览!$D$3:$U$33,3,0),$A16&gt;VLOOKUP(X$2,行为概览!$D$3:$U$33,4,0)),0,VLOOKUP(X$2,行为概览!$D$3:$U$33,6,0)),4)</f>
        <v>0</v>
      </c>
      <c r="Y16" s="20">
        <f>ROUND(IF(OR($A16&lt;VLOOKUP(Y$2,行为概览!$D$3:$U$33,3,0),$A16&gt;VLOOKUP(Y$2,行为概览!$D$3:$U$33,4,0)),0,VLOOKUP(Y$2,行为概览!$D$3:$U$33,6,0)),4)</f>
        <v>0</v>
      </c>
      <c r="Z16" s="20">
        <f>ROUND(IF(OR($A16&lt;VLOOKUP(Z$2,行为概览!$D$3:$U$33,3,0),$A16&gt;VLOOKUP(Z$2,行为概览!$D$3:$U$33,4,0)),0,VLOOKUP(Z$2,行为概览!$D$3:$U$33,6,0)),4)</f>
        <v>0</v>
      </c>
      <c r="AA16" s="20">
        <f>ROUND(IF(OR($A16&lt;VLOOKUP(AA$2,行为概览!$D$3:$U$33,3,0),$A16&gt;VLOOKUP(AA$2,行为概览!$D$3:$U$33,4,0)),0,VLOOKUP(AA$2,行为概览!$D$3:$U$33,6,0)),4)</f>
        <v>0</v>
      </c>
      <c r="AB16" s="20">
        <f>ROUND(IF(OR($A16&lt;VLOOKUP(AB$2,行为概览!$D$3:$U$33,3,0),$A16&gt;VLOOKUP(AB$2,行为概览!$D$3:$U$33,4,0)),0,VLOOKUP(AB$2,行为概览!$D$3:$U$33,6,0)),4)</f>
        <v>0</v>
      </c>
      <c r="AC16" s="20">
        <f>ROUND(IF(OR($A16&lt;VLOOKUP(AC$2,行为概览!$D$3:$U$33,3,0),$A16&gt;VLOOKUP(AC$2,行为概览!$D$3:$U$33,4,0)),0,VLOOKUP(AC$2,行为概览!$D$3:$U$33,6,0)),4)</f>
        <v>0</v>
      </c>
      <c r="AD16" s="20">
        <f>ROUND(IF(OR($A16&lt;VLOOKUP(AD$2,行为概览!$D$3:$U$33,3,0),$A16&gt;VLOOKUP(AD$2,行为概览!$D$3:$U$33,4,0)),0,VLOOKUP(AD$2,行为概览!$D$3:$U$33,6,0)),4)</f>
        <v>0</v>
      </c>
      <c r="AE16" s="20">
        <f>ROUND(IF(OR($A16&lt;VLOOKUP(AE$2,行为概览!$D$3:$U$33,3,0),$A16&gt;VLOOKUP(AE$2,行为概览!$D$3:$U$33,4,0)),0,VLOOKUP(AE$2,行为概览!$D$3:$U$33,6,0)),4)</f>
        <v>0</v>
      </c>
      <c r="AF16" s="20">
        <f>ROUND(IF(OR($A16&lt;VLOOKUP(AF$2,行为概览!$D$3:$U$33,3,0),$A16&gt;VLOOKUP(AF$2,行为概览!$D$3:$U$33,4,0)),0,VLOOKUP(AF$2,行为概览!$D$3:$U$33,6,0)),4)</f>
        <v>0</v>
      </c>
    </row>
    <row r="17" spans="1:32">
      <c r="A17" s="19">
        <v>15</v>
      </c>
      <c r="B17" s="20">
        <f>ROUND(IF(OR($A17&lt;VLOOKUP(B$2,行为概览!$D$3:$U$33,3,0),$A17&gt;VLOOKUP(B$2,行为概览!$D$3:$U$33,4,0)),0,VLOOKUP(B$2,行为概览!$D$3:$U$33,6,0)),4)</f>
        <v>0.33329999999999999</v>
      </c>
      <c r="C17" s="20">
        <f>ROUND(IF(OR($A17&lt;VLOOKUP(C$2,行为概览!$D$3:$U$33,3,0),$A17&gt;VLOOKUP(C$2,行为概览!$D$3:$U$33,4,0)),0,VLOOKUP(C$2,行为概览!$D$3:$U$33,6,0)),4)</f>
        <v>0</v>
      </c>
      <c r="D17" s="20">
        <f>ROUND(IF(OR($A17&lt;VLOOKUP(D$2,行为概览!$D$3:$U$33,3,0),$A17&gt;VLOOKUP(D$2,行为概览!$D$3:$U$33,4,0)),0,VLOOKUP(D$2,行为概览!$D$3:$U$33,6,0)),4)</f>
        <v>0</v>
      </c>
      <c r="E17" s="20">
        <f>ROUND(IF(OR($A17&lt;VLOOKUP(E$2,行为概览!$D$3:$U$33,3,0),$A17&gt;VLOOKUP(E$2,行为概览!$D$3:$U$33,4,0)),0,VLOOKUP(E$2,行为概览!$D$3:$U$33,6,0)),4)</f>
        <v>0</v>
      </c>
      <c r="F17" s="20">
        <f>ROUND(IF(OR($A17&lt;VLOOKUP(F$2,行为概览!$D$3:$U$33,3,0),$A17&gt;VLOOKUP(F$2,行为概览!$D$3:$U$33,4,0)),0,VLOOKUP(F$2,行为概览!$D$3:$U$33,6,0)),4)</f>
        <v>0</v>
      </c>
      <c r="G17" s="20">
        <f>ROUND(IF(OR($A17&lt;VLOOKUP(G$2,行为概览!$D$3:$U$33,3,0),$A17&gt;VLOOKUP(G$2,行为概览!$D$3:$U$33,4,0)),0,VLOOKUP(G$2,行为概览!$D$3:$U$33,6,0)),4)</f>
        <v>0</v>
      </c>
      <c r="H17" s="20">
        <f>ROUND(IF(OR($A17&lt;VLOOKUP(H$2,行为概览!$D$3:$U$33,3,0),$A17&gt;VLOOKUP(H$2,行为概览!$D$3:$U$33,4,0)),0,VLOOKUP(H$2,行为概览!$D$3:$U$33,6,0)),4)</f>
        <v>0</v>
      </c>
      <c r="I17" s="20">
        <f>ROUND(IF(OR($A17&lt;VLOOKUP(I$2,行为概览!$D$3:$U$33,3,0),$A17&gt;VLOOKUP(I$2,行为概览!$D$3:$U$33,4,0)),0,VLOOKUP(I$2,行为概览!$D$3:$U$33,6,0)),4)</f>
        <v>0</v>
      </c>
      <c r="J17" s="20">
        <f>ROUND(IF(OR($A17&lt;VLOOKUP(J$2,行为概览!$D$3:$U$33,3,0),$A17&gt;VLOOKUP(J$2,行为概览!$D$3:$U$33,4,0)),0,VLOOKUP(J$2,行为概览!$D$3:$U$33,6,0)),4)</f>
        <v>0</v>
      </c>
      <c r="K17" s="20">
        <f>ROUND(IF(OR($A17&lt;VLOOKUP(K$2,行为概览!$D$3:$U$33,3,0),$A17&gt;VLOOKUP(K$2,行为概览!$D$3:$U$33,4,0)),0,VLOOKUP(K$2,行为概览!$D$3:$U$33,6,0)),4)</f>
        <v>0</v>
      </c>
      <c r="L17" s="20">
        <f>ROUND(IF(OR($A17&lt;VLOOKUP(L$2,行为概览!$D$3:$U$33,3,0),$A17&gt;VLOOKUP(L$2,行为概览!$D$3:$U$33,4,0)),0,VLOOKUP(L$2,行为概览!$D$3:$U$33,6,0)),4)</f>
        <v>0</v>
      </c>
      <c r="M17" s="20">
        <f>ROUND(IF(OR($A17&lt;VLOOKUP(M$2,行为概览!$D$3:$U$33,3,0),$A17&gt;VLOOKUP(M$2,行为概览!$D$3:$U$33,4,0)),0,VLOOKUP(M$2,行为概览!$D$3:$U$33,6,0)),4)</f>
        <v>12</v>
      </c>
      <c r="N17" s="20">
        <f>ROUND(IF(OR($A17&lt;VLOOKUP(N$2,行为概览!$D$3:$U$33,3,0),$A17&gt;VLOOKUP(N$2,行为概览!$D$3:$U$33,4,0)),0,VLOOKUP(N$2,行为概览!$D$3:$U$33,6,0)),4)</f>
        <v>0</v>
      </c>
      <c r="O17" s="20">
        <f>ROUND(IF(OR($A17&lt;VLOOKUP(O$2,行为概览!$D$3:$U$33,3,0),$A17&gt;VLOOKUP(O$2,行为概览!$D$3:$U$33,4,0)),0,VLOOKUP(O$2,行为概览!$D$3:$U$33,6,0)),4)</f>
        <v>8.3299999999999999E-2</v>
      </c>
      <c r="P17" s="20">
        <f>ROUND(IF(OR($A17&lt;VLOOKUP(P$2,行为概览!$D$3:$U$33,3,0),$A17&gt;VLOOKUP(P$2,行为概览!$D$3:$U$33,4,0)),0,VLOOKUP(P$2,行为概览!$D$3:$U$33,6,0)),4)</f>
        <v>2.6</v>
      </c>
      <c r="Q17" s="20">
        <f>ROUND(IF(OR($A17&lt;VLOOKUP(Q$2,行为概览!$D$3:$U$33,3,0),$A17&gt;VLOOKUP(Q$2,行为概览!$D$3:$U$33,4,0)),0,VLOOKUP(Q$2,行为概览!$D$3:$U$33,6,0)),4)</f>
        <v>0</v>
      </c>
      <c r="R17" s="20">
        <f>ROUND(IF(OR($A17&lt;VLOOKUP(R$2,行为概览!$D$3:$U$33,3,0),$A17&gt;VLOOKUP(R$2,行为概览!$D$3:$U$33,4,0)),0,VLOOKUP(R$2,行为概览!$D$3:$U$33,6,0)),4)</f>
        <v>0</v>
      </c>
      <c r="S17" s="20">
        <f>ROUND(IF(OR($A17&lt;VLOOKUP(S$2,行为概览!$D$3:$U$33,3,0),$A17&gt;VLOOKUP(S$2,行为概览!$D$3:$U$33,4,0)),0,VLOOKUP(S$2,行为概览!$D$3:$U$33,6,0)),4)</f>
        <v>0</v>
      </c>
      <c r="T17" s="20">
        <f>ROUND(IF(OR($A17&lt;VLOOKUP(T$2,行为概览!$D$3:$U$33,3,0),$A17&gt;VLOOKUP(T$2,行为概览!$D$3:$U$33,4,0)),0,VLOOKUP(T$2,行为概览!$D$3:$U$33,6,0)),4)</f>
        <v>0</v>
      </c>
      <c r="U17" s="20">
        <f>ROUND(IF(OR($A17&lt;VLOOKUP(U$2,行为概览!$D$3:$U$33,3,0),$A17&gt;VLOOKUP(U$2,行为概览!$D$3:$U$33,4,0)),0,VLOOKUP(U$2,行为概览!$D$3:$U$33,6,0)),4)</f>
        <v>0</v>
      </c>
      <c r="V17" s="20">
        <f>ROUND(IF(OR($A17&lt;VLOOKUP(V$2,行为概览!$D$3:$U$33,3,0),$A17&gt;VLOOKUP(V$2,行为概览!$D$3:$U$33,4,0)),0,VLOOKUP(V$2,行为概览!$D$3:$U$33,6,0)),4)</f>
        <v>0</v>
      </c>
      <c r="W17" s="20">
        <f>ROUND(IF(OR($A17&lt;VLOOKUP(W$2,行为概览!$D$3:$U$33,3,0),$A17&gt;VLOOKUP(W$2,行为概览!$D$3:$U$33,4,0)),0,VLOOKUP(W$2,行为概览!$D$3:$U$33,6,0)),4)</f>
        <v>0</v>
      </c>
      <c r="X17" s="20">
        <f>ROUND(IF(OR($A17&lt;VLOOKUP(X$2,行为概览!$D$3:$U$33,3,0),$A17&gt;VLOOKUP(X$2,行为概览!$D$3:$U$33,4,0)),0,VLOOKUP(X$2,行为概览!$D$3:$U$33,6,0)),4)</f>
        <v>0</v>
      </c>
      <c r="Y17" s="20">
        <f>ROUND(IF(OR($A17&lt;VLOOKUP(Y$2,行为概览!$D$3:$U$33,3,0),$A17&gt;VLOOKUP(Y$2,行为概览!$D$3:$U$33,4,0)),0,VLOOKUP(Y$2,行为概览!$D$3:$U$33,6,0)),4)</f>
        <v>0</v>
      </c>
      <c r="Z17" s="20">
        <f>ROUND(IF(OR($A17&lt;VLOOKUP(Z$2,行为概览!$D$3:$U$33,3,0),$A17&gt;VLOOKUP(Z$2,行为概览!$D$3:$U$33,4,0)),0,VLOOKUP(Z$2,行为概览!$D$3:$U$33,6,0)),4)</f>
        <v>0</v>
      </c>
      <c r="AA17" s="20">
        <f>ROUND(IF(OR($A17&lt;VLOOKUP(AA$2,行为概览!$D$3:$U$33,3,0),$A17&gt;VLOOKUP(AA$2,行为概览!$D$3:$U$33,4,0)),0,VLOOKUP(AA$2,行为概览!$D$3:$U$33,6,0)),4)</f>
        <v>0</v>
      </c>
      <c r="AB17" s="20">
        <f>ROUND(IF(OR($A17&lt;VLOOKUP(AB$2,行为概览!$D$3:$U$33,3,0),$A17&gt;VLOOKUP(AB$2,行为概览!$D$3:$U$33,4,0)),0,VLOOKUP(AB$2,行为概览!$D$3:$U$33,6,0)),4)</f>
        <v>0</v>
      </c>
      <c r="AC17" s="20">
        <f>ROUND(IF(OR($A17&lt;VLOOKUP(AC$2,行为概览!$D$3:$U$33,3,0),$A17&gt;VLOOKUP(AC$2,行为概览!$D$3:$U$33,4,0)),0,VLOOKUP(AC$2,行为概览!$D$3:$U$33,6,0)),4)</f>
        <v>0</v>
      </c>
      <c r="AD17" s="20">
        <f>ROUND(IF(OR($A17&lt;VLOOKUP(AD$2,行为概览!$D$3:$U$33,3,0),$A17&gt;VLOOKUP(AD$2,行为概览!$D$3:$U$33,4,0)),0,VLOOKUP(AD$2,行为概览!$D$3:$U$33,6,0)),4)</f>
        <v>0</v>
      </c>
      <c r="AE17" s="20">
        <f>ROUND(IF(OR($A17&lt;VLOOKUP(AE$2,行为概览!$D$3:$U$33,3,0),$A17&gt;VLOOKUP(AE$2,行为概览!$D$3:$U$33,4,0)),0,VLOOKUP(AE$2,行为概览!$D$3:$U$33,6,0)),4)</f>
        <v>0</v>
      </c>
      <c r="AF17" s="20">
        <f>ROUND(IF(OR($A17&lt;VLOOKUP(AF$2,行为概览!$D$3:$U$33,3,0),$A17&gt;VLOOKUP(AF$2,行为概览!$D$3:$U$33,4,0)),0,VLOOKUP(AF$2,行为概览!$D$3:$U$33,6,0)),4)</f>
        <v>0</v>
      </c>
    </row>
    <row r="18" spans="1:32">
      <c r="A18" s="19">
        <v>16</v>
      </c>
      <c r="B18" s="20">
        <f>ROUND(IF(OR($A18&lt;VLOOKUP(B$2,行为概览!$D$3:$U$33,3,0),$A18&gt;VLOOKUP(B$2,行为概览!$D$3:$U$33,4,0)),0,VLOOKUP(B$2,行为概览!$D$3:$U$33,6,0)),4)</f>
        <v>0.33329999999999999</v>
      </c>
      <c r="C18" s="20">
        <f>ROUND(IF(OR($A18&lt;VLOOKUP(C$2,行为概览!$D$3:$U$33,3,0),$A18&gt;VLOOKUP(C$2,行为概览!$D$3:$U$33,4,0)),0,VLOOKUP(C$2,行为概览!$D$3:$U$33,6,0)),4)</f>
        <v>0</v>
      </c>
      <c r="D18" s="20">
        <f>ROUND(IF(OR($A18&lt;VLOOKUP(D$2,行为概览!$D$3:$U$33,3,0),$A18&gt;VLOOKUP(D$2,行为概览!$D$3:$U$33,4,0)),0,VLOOKUP(D$2,行为概览!$D$3:$U$33,6,0)),4)</f>
        <v>0</v>
      </c>
      <c r="E18" s="20">
        <f>ROUND(IF(OR($A18&lt;VLOOKUP(E$2,行为概览!$D$3:$U$33,3,0),$A18&gt;VLOOKUP(E$2,行为概览!$D$3:$U$33,4,0)),0,VLOOKUP(E$2,行为概览!$D$3:$U$33,6,0)),4)</f>
        <v>0</v>
      </c>
      <c r="F18" s="20">
        <f>ROUND(IF(OR($A18&lt;VLOOKUP(F$2,行为概览!$D$3:$U$33,3,0),$A18&gt;VLOOKUP(F$2,行为概览!$D$3:$U$33,4,0)),0,VLOOKUP(F$2,行为概览!$D$3:$U$33,6,0)),4)</f>
        <v>0</v>
      </c>
      <c r="G18" s="20">
        <f>ROUND(IF(OR($A18&lt;VLOOKUP(G$2,行为概览!$D$3:$U$33,3,0),$A18&gt;VLOOKUP(G$2,行为概览!$D$3:$U$33,4,0)),0,VLOOKUP(G$2,行为概览!$D$3:$U$33,6,0)),4)</f>
        <v>0</v>
      </c>
      <c r="H18" s="20">
        <f>ROUND(IF(OR($A18&lt;VLOOKUP(H$2,行为概览!$D$3:$U$33,3,0),$A18&gt;VLOOKUP(H$2,行为概览!$D$3:$U$33,4,0)),0,VLOOKUP(H$2,行为概览!$D$3:$U$33,6,0)),4)</f>
        <v>0</v>
      </c>
      <c r="I18" s="20">
        <f>ROUND(IF(OR($A18&lt;VLOOKUP(I$2,行为概览!$D$3:$U$33,3,0),$A18&gt;VLOOKUP(I$2,行为概览!$D$3:$U$33,4,0)),0,VLOOKUP(I$2,行为概览!$D$3:$U$33,6,0)),4)</f>
        <v>0</v>
      </c>
      <c r="J18" s="20">
        <f>ROUND(IF(OR($A18&lt;VLOOKUP(J$2,行为概览!$D$3:$U$33,3,0),$A18&gt;VLOOKUP(J$2,行为概览!$D$3:$U$33,4,0)),0,VLOOKUP(J$2,行为概览!$D$3:$U$33,6,0)),4)</f>
        <v>0</v>
      </c>
      <c r="K18" s="20">
        <f>ROUND(IF(OR($A18&lt;VLOOKUP(K$2,行为概览!$D$3:$U$33,3,0),$A18&gt;VLOOKUP(K$2,行为概览!$D$3:$U$33,4,0)),0,VLOOKUP(K$2,行为概览!$D$3:$U$33,6,0)),4)</f>
        <v>0</v>
      </c>
      <c r="L18" s="20">
        <f>ROUND(IF(OR($A18&lt;VLOOKUP(L$2,行为概览!$D$3:$U$33,3,0),$A18&gt;VLOOKUP(L$2,行为概览!$D$3:$U$33,4,0)),0,VLOOKUP(L$2,行为概览!$D$3:$U$33,6,0)),4)</f>
        <v>0</v>
      </c>
      <c r="M18" s="20">
        <f>ROUND(IF(OR($A18&lt;VLOOKUP(M$2,行为概览!$D$3:$U$33,3,0),$A18&gt;VLOOKUP(M$2,行为概览!$D$3:$U$33,4,0)),0,VLOOKUP(M$2,行为概览!$D$3:$U$33,6,0)),4)</f>
        <v>12</v>
      </c>
      <c r="N18" s="20">
        <f>ROUND(IF(OR($A18&lt;VLOOKUP(N$2,行为概览!$D$3:$U$33,3,0),$A18&gt;VLOOKUP(N$2,行为概览!$D$3:$U$33,4,0)),0,VLOOKUP(N$2,行为概览!$D$3:$U$33,6,0)),4)</f>
        <v>0</v>
      </c>
      <c r="O18" s="20">
        <f>ROUND(IF(OR($A18&lt;VLOOKUP(O$2,行为概览!$D$3:$U$33,3,0),$A18&gt;VLOOKUP(O$2,行为概览!$D$3:$U$33,4,0)),0,VLOOKUP(O$2,行为概览!$D$3:$U$33,6,0)),4)</f>
        <v>8.3299999999999999E-2</v>
      </c>
      <c r="P18" s="20">
        <f>ROUND(IF(OR($A18&lt;VLOOKUP(P$2,行为概览!$D$3:$U$33,3,0),$A18&gt;VLOOKUP(P$2,行为概览!$D$3:$U$33,4,0)),0,VLOOKUP(P$2,行为概览!$D$3:$U$33,6,0)),4)</f>
        <v>2.6</v>
      </c>
      <c r="Q18" s="20">
        <f>ROUND(IF(OR($A18&lt;VLOOKUP(Q$2,行为概览!$D$3:$U$33,3,0),$A18&gt;VLOOKUP(Q$2,行为概览!$D$3:$U$33,4,0)),0,VLOOKUP(Q$2,行为概览!$D$3:$U$33,6,0)),4)</f>
        <v>0</v>
      </c>
      <c r="R18" s="20">
        <f>ROUND(IF(OR($A18&lt;VLOOKUP(R$2,行为概览!$D$3:$U$33,3,0),$A18&gt;VLOOKUP(R$2,行为概览!$D$3:$U$33,4,0)),0,VLOOKUP(R$2,行为概览!$D$3:$U$33,6,0)),4)</f>
        <v>0</v>
      </c>
      <c r="S18" s="20">
        <f>ROUND(IF(OR($A18&lt;VLOOKUP(S$2,行为概览!$D$3:$U$33,3,0),$A18&gt;VLOOKUP(S$2,行为概览!$D$3:$U$33,4,0)),0,VLOOKUP(S$2,行为概览!$D$3:$U$33,6,0)),4)</f>
        <v>0</v>
      </c>
      <c r="T18" s="20">
        <f>ROUND(IF(OR($A18&lt;VLOOKUP(T$2,行为概览!$D$3:$U$33,3,0),$A18&gt;VLOOKUP(T$2,行为概览!$D$3:$U$33,4,0)),0,VLOOKUP(T$2,行为概览!$D$3:$U$33,6,0)),4)</f>
        <v>0</v>
      </c>
      <c r="U18" s="20">
        <f>ROUND(IF(OR($A18&lt;VLOOKUP(U$2,行为概览!$D$3:$U$33,3,0),$A18&gt;VLOOKUP(U$2,行为概览!$D$3:$U$33,4,0)),0,VLOOKUP(U$2,行为概览!$D$3:$U$33,6,0)),4)</f>
        <v>0</v>
      </c>
      <c r="V18" s="20">
        <f>ROUND(IF(OR($A18&lt;VLOOKUP(V$2,行为概览!$D$3:$U$33,3,0),$A18&gt;VLOOKUP(V$2,行为概览!$D$3:$U$33,4,0)),0,VLOOKUP(V$2,行为概览!$D$3:$U$33,6,0)),4)</f>
        <v>0</v>
      </c>
      <c r="W18" s="20">
        <f>ROUND(IF(OR($A18&lt;VLOOKUP(W$2,行为概览!$D$3:$U$33,3,0),$A18&gt;VLOOKUP(W$2,行为概览!$D$3:$U$33,4,0)),0,VLOOKUP(W$2,行为概览!$D$3:$U$33,6,0)),4)</f>
        <v>0</v>
      </c>
      <c r="X18" s="20">
        <f>ROUND(IF(OR($A18&lt;VLOOKUP(X$2,行为概览!$D$3:$U$33,3,0),$A18&gt;VLOOKUP(X$2,行为概览!$D$3:$U$33,4,0)),0,VLOOKUP(X$2,行为概览!$D$3:$U$33,6,0)),4)</f>
        <v>0</v>
      </c>
      <c r="Y18" s="20">
        <f>ROUND(IF(OR($A18&lt;VLOOKUP(Y$2,行为概览!$D$3:$U$33,3,0),$A18&gt;VLOOKUP(Y$2,行为概览!$D$3:$U$33,4,0)),0,VLOOKUP(Y$2,行为概览!$D$3:$U$33,6,0)),4)</f>
        <v>0</v>
      </c>
      <c r="Z18" s="20">
        <f>ROUND(IF(OR($A18&lt;VLOOKUP(Z$2,行为概览!$D$3:$U$33,3,0),$A18&gt;VLOOKUP(Z$2,行为概览!$D$3:$U$33,4,0)),0,VLOOKUP(Z$2,行为概览!$D$3:$U$33,6,0)),4)</f>
        <v>0</v>
      </c>
      <c r="AA18" s="20">
        <f>ROUND(IF(OR($A18&lt;VLOOKUP(AA$2,行为概览!$D$3:$U$33,3,0),$A18&gt;VLOOKUP(AA$2,行为概览!$D$3:$U$33,4,0)),0,VLOOKUP(AA$2,行为概览!$D$3:$U$33,6,0)),4)</f>
        <v>0</v>
      </c>
      <c r="AB18" s="20">
        <f>ROUND(IF(OR($A18&lt;VLOOKUP(AB$2,行为概览!$D$3:$U$33,3,0),$A18&gt;VLOOKUP(AB$2,行为概览!$D$3:$U$33,4,0)),0,VLOOKUP(AB$2,行为概览!$D$3:$U$33,6,0)),4)</f>
        <v>0</v>
      </c>
      <c r="AC18" s="20">
        <f>ROUND(IF(OR($A18&lt;VLOOKUP(AC$2,行为概览!$D$3:$U$33,3,0),$A18&gt;VLOOKUP(AC$2,行为概览!$D$3:$U$33,4,0)),0,VLOOKUP(AC$2,行为概览!$D$3:$U$33,6,0)),4)</f>
        <v>0</v>
      </c>
      <c r="AD18" s="20">
        <f>ROUND(IF(OR($A18&lt;VLOOKUP(AD$2,行为概览!$D$3:$U$33,3,0),$A18&gt;VLOOKUP(AD$2,行为概览!$D$3:$U$33,4,0)),0,VLOOKUP(AD$2,行为概览!$D$3:$U$33,6,0)),4)</f>
        <v>0</v>
      </c>
      <c r="AE18" s="20">
        <f>ROUND(IF(OR($A18&lt;VLOOKUP(AE$2,行为概览!$D$3:$U$33,3,0),$A18&gt;VLOOKUP(AE$2,行为概览!$D$3:$U$33,4,0)),0,VLOOKUP(AE$2,行为概览!$D$3:$U$33,6,0)),4)</f>
        <v>0</v>
      </c>
      <c r="AF18" s="20">
        <f>ROUND(IF(OR($A18&lt;VLOOKUP(AF$2,行为概览!$D$3:$U$33,3,0),$A18&gt;VLOOKUP(AF$2,行为概览!$D$3:$U$33,4,0)),0,VLOOKUP(AF$2,行为概览!$D$3:$U$33,6,0)),4)</f>
        <v>0</v>
      </c>
    </row>
    <row r="19" spans="1:32">
      <c r="A19" s="19">
        <v>17</v>
      </c>
      <c r="B19" s="20">
        <f>ROUND(IF(OR($A19&lt;VLOOKUP(B$2,行为概览!$D$3:$U$33,3,0),$A19&gt;VLOOKUP(B$2,行为概览!$D$3:$U$33,4,0)),0,VLOOKUP(B$2,行为概览!$D$3:$U$33,6,0)),4)</f>
        <v>0.33329999999999999</v>
      </c>
      <c r="C19" s="20">
        <f>ROUND(IF(OR($A19&lt;VLOOKUP(C$2,行为概览!$D$3:$U$33,3,0),$A19&gt;VLOOKUP(C$2,行为概览!$D$3:$U$33,4,0)),0,VLOOKUP(C$2,行为概览!$D$3:$U$33,6,0)),4)</f>
        <v>0</v>
      </c>
      <c r="D19" s="20">
        <f>ROUND(IF(OR($A19&lt;VLOOKUP(D$2,行为概览!$D$3:$U$33,3,0),$A19&gt;VLOOKUP(D$2,行为概览!$D$3:$U$33,4,0)),0,VLOOKUP(D$2,行为概览!$D$3:$U$33,6,0)),4)</f>
        <v>0</v>
      </c>
      <c r="E19" s="20">
        <f>ROUND(IF(OR($A19&lt;VLOOKUP(E$2,行为概览!$D$3:$U$33,3,0),$A19&gt;VLOOKUP(E$2,行为概览!$D$3:$U$33,4,0)),0,VLOOKUP(E$2,行为概览!$D$3:$U$33,6,0)),4)</f>
        <v>0</v>
      </c>
      <c r="F19" s="20">
        <f>ROUND(IF(OR($A19&lt;VLOOKUP(F$2,行为概览!$D$3:$U$33,3,0),$A19&gt;VLOOKUP(F$2,行为概览!$D$3:$U$33,4,0)),0,VLOOKUP(F$2,行为概览!$D$3:$U$33,6,0)),4)</f>
        <v>0</v>
      </c>
      <c r="G19" s="20">
        <f>ROUND(IF(OR($A19&lt;VLOOKUP(G$2,行为概览!$D$3:$U$33,3,0),$A19&gt;VLOOKUP(G$2,行为概览!$D$3:$U$33,4,0)),0,VLOOKUP(G$2,行为概览!$D$3:$U$33,6,0)),4)</f>
        <v>0</v>
      </c>
      <c r="H19" s="20">
        <f>ROUND(IF(OR($A19&lt;VLOOKUP(H$2,行为概览!$D$3:$U$33,3,0),$A19&gt;VLOOKUP(H$2,行为概览!$D$3:$U$33,4,0)),0,VLOOKUP(H$2,行为概览!$D$3:$U$33,6,0)),4)</f>
        <v>0</v>
      </c>
      <c r="I19" s="20">
        <f>ROUND(IF(OR($A19&lt;VLOOKUP(I$2,行为概览!$D$3:$U$33,3,0),$A19&gt;VLOOKUP(I$2,行为概览!$D$3:$U$33,4,0)),0,VLOOKUP(I$2,行为概览!$D$3:$U$33,6,0)),4)</f>
        <v>0</v>
      </c>
      <c r="J19" s="20">
        <f>ROUND(IF(OR($A19&lt;VLOOKUP(J$2,行为概览!$D$3:$U$33,3,0),$A19&gt;VLOOKUP(J$2,行为概览!$D$3:$U$33,4,0)),0,VLOOKUP(J$2,行为概览!$D$3:$U$33,6,0)),4)</f>
        <v>0</v>
      </c>
      <c r="K19" s="20">
        <f>ROUND(IF(OR($A19&lt;VLOOKUP(K$2,行为概览!$D$3:$U$33,3,0),$A19&gt;VLOOKUP(K$2,行为概览!$D$3:$U$33,4,0)),0,VLOOKUP(K$2,行为概览!$D$3:$U$33,6,0)),4)</f>
        <v>0</v>
      </c>
      <c r="L19" s="20">
        <f>ROUND(IF(OR($A19&lt;VLOOKUP(L$2,行为概览!$D$3:$U$33,3,0),$A19&gt;VLOOKUP(L$2,行为概览!$D$3:$U$33,4,0)),0,VLOOKUP(L$2,行为概览!$D$3:$U$33,6,0)),4)</f>
        <v>0</v>
      </c>
      <c r="M19" s="20">
        <f>ROUND(IF(OR($A19&lt;VLOOKUP(M$2,行为概览!$D$3:$U$33,3,0),$A19&gt;VLOOKUP(M$2,行为概览!$D$3:$U$33,4,0)),0,VLOOKUP(M$2,行为概览!$D$3:$U$33,6,0)),4)</f>
        <v>12</v>
      </c>
      <c r="N19" s="20">
        <f>ROUND(IF(OR($A19&lt;VLOOKUP(N$2,行为概览!$D$3:$U$33,3,0),$A19&gt;VLOOKUP(N$2,行为概览!$D$3:$U$33,4,0)),0,VLOOKUP(N$2,行为概览!$D$3:$U$33,6,0)),4)</f>
        <v>0</v>
      </c>
      <c r="O19" s="20">
        <f>ROUND(IF(OR($A19&lt;VLOOKUP(O$2,行为概览!$D$3:$U$33,3,0),$A19&gt;VLOOKUP(O$2,行为概览!$D$3:$U$33,4,0)),0,VLOOKUP(O$2,行为概览!$D$3:$U$33,6,0)),4)</f>
        <v>8.3299999999999999E-2</v>
      </c>
      <c r="P19" s="20">
        <f>ROUND(IF(OR($A19&lt;VLOOKUP(P$2,行为概览!$D$3:$U$33,3,0),$A19&gt;VLOOKUP(P$2,行为概览!$D$3:$U$33,4,0)),0,VLOOKUP(P$2,行为概览!$D$3:$U$33,6,0)),4)</f>
        <v>2.6</v>
      </c>
      <c r="Q19" s="20">
        <f>ROUND(IF(OR($A19&lt;VLOOKUP(Q$2,行为概览!$D$3:$U$33,3,0),$A19&gt;VLOOKUP(Q$2,行为概览!$D$3:$U$33,4,0)),0,VLOOKUP(Q$2,行为概览!$D$3:$U$33,6,0)),4)</f>
        <v>0</v>
      </c>
      <c r="R19" s="20">
        <f>ROUND(IF(OR($A19&lt;VLOOKUP(R$2,行为概览!$D$3:$U$33,3,0),$A19&gt;VLOOKUP(R$2,行为概览!$D$3:$U$33,4,0)),0,VLOOKUP(R$2,行为概览!$D$3:$U$33,6,0)),4)</f>
        <v>0</v>
      </c>
      <c r="S19" s="20">
        <f>ROUND(IF(OR($A19&lt;VLOOKUP(S$2,行为概览!$D$3:$U$33,3,0),$A19&gt;VLOOKUP(S$2,行为概览!$D$3:$U$33,4,0)),0,VLOOKUP(S$2,行为概览!$D$3:$U$33,6,0)),4)</f>
        <v>0</v>
      </c>
      <c r="T19" s="20">
        <f>ROUND(IF(OR($A19&lt;VLOOKUP(T$2,行为概览!$D$3:$U$33,3,0),$A19&gt;VLOOKUP(T$2,行为概览!$D$3:$U$33,4,0)),0,VLOOKUP(T$2,行为概览!$D$3:$U$33,6,0)),4)</f>
        <v>0</v>
      </c>
      <c r="U19" s="20">
        <f>ROUND(IF(OR($A19&lt;VLOOKUP(U$2,行为概览!$D$3:$U$33,3,0),$A19&gt;VLOOKUP(U$2,行为概览!$D$3:$U$33,4,0)),0,VLOOKUP(U$2,行为概览!$D$3:$U$33,6,0)),4)</f>
        <v>0</v>
      </c>
      <c r="V19" s="20">
        <f>ROUND(IF(OR($A19&lt;VLOOKUP(V$2,行为概览!$D$3:$U$33,3,0),$A19&gt;VLOOKUP(V$2,行为概览!$D$3:$U$33,4,0)),0,VLOOKUP(V$2,行为概览!$D$3:$U$33,6,0)),4)</f>
        <v>0</v>
      </c>
      <c r="W19" s="20">
        <f>ROUND(IF(OR($A19&lt;VLOOKUP(W$2,行为概览!$D$3:$U$33,3,0),$A19&gt;VLOOKUP(W$2,行为概览!$D$3:$U$33,4,0)),0,VLOOKUP(W$2,行为概览!$D$3:$U$33,6,0)),4)</f>
        <v>0</v>
      </c>
      <c r="X19" s="20">
        <f>ROUND(IF(OR($A19&lt;VLOOKUP(X$2,行为概览!$D$3:$U$33,3,0),$A19&gt;VLOOKUP(X$2,行为概览!$D$3:$U$33,4,0)),0,VLOOKUP(X$2,行为概览!$D$3:$U$33,6,0)),4)</f>
        <v>0</v>
      </c>
      <c r="Y19" s="20">
        <f>ROUND(IF(OR($A19&lt;VLOOKUP(Y$2,行为概览!$D$3:$U$33,3,0),$A19&gt;VLOOKUP(Y$2,行为概览!$D$3:$U$33,4,0)),0,VLOOKUP(Y$2,行为概览!$D$3:$U$33,6,0)),4)</f>
        <v>0</v>
      </c>
      <c r="Z19" s="20">
        <f>ROUND(IF(OR($A19&lt;VLOOKUP(Z$2,行为概览!$D$3:$U$33,3,0),$A19&gt;VLOOKUP(Z$2,行为概览!$D$3:$U$33,4,0)),0,VLOOKUP(Z$2,行为概览!$D$3:$U$33,6,0)),4)</f>
        <v>0</v>
      </c>
      <c r="AA19" s="20">
        <f>ROUND(IF(OR($A19&lt;VLOOKUP(AA$2,行为概览!$D$3:$U$33,3,0),$A19&gt;VLOOKUP(AA$2,行为概览!$D$3:$U$33,4,0)),0,VLOOKUP(AA$2,行为概览!$D$3:$U$33,6,0)),4)</f>
        <v>0</v>
      </c>
      <c r="AB19" s="20">
        <f>ROUND(IF(OR($A19&lt;VLOOKUP(AB$2,行为概览!$D$3:$U$33,3,0),$A19&gt;VLOOKUP(AB$2,行为概览!$D$3:$U$33,4,0)),0,VLOOKUP(AB$2,行为概览!$D$3:$U$33,6,0)),4)</f>
        <v>0</v>
      </c>
      <c r="AC19" s="20">
        <f>ROUND(IF(OR($A19&lt;VLOOKUP(AC$2,行为概览!$D$3:$U$33,3,0),$A19&gt;VLOOKUP(AC$2,行为概览!$D$3:$U$33,4,0)),0,VLOOKUP(AC$2,行为概览!$D$3:$U$33,6,0)),4)</f>
        <v>0</v>
      </c>
      <c r="AD19" s="20">
        <f>ROUND(IF(OR($A19&lt;VLOOKUP(AD$2,行为概览!$D$3:$U$33,3,0),$A19&gt;VLOOKUP(AD$2,行为概览!$D$3:$U$33,4,0)),0,VLOOKUP(AD$2,行为概览!$D$3:$U$33,6,0)),4)</f>
        <v>0</v>
      </c>
      <c r="AE19" s="20">
        <f>ROUND(IF(OR($A19&lt;VLOOKUP(AE$2,行为概览!$D$3:$U$33,3,0),$A19&gt;VLOOKUP(AE$2,行为概览!$D$3:$U$33,4,0)),0,VLOOKUP(AE$2,行为概览!$D$3:$U$33,6,0)),4)</f>
        <v>0</v>
      </c>
      <c r="AF19" s="20">
        <f>ROUND(IF(OR($A19&lt;VLOOKUP(AF$2,行为概览!$D$3:$U$33,3,0),$A19&gt;VLOOKUP(AF$2,行为概览!$D$3:$U$33,4,0)),0,VLOOKUP(AF$2,行为概览!$D$3:$U$33,6,0)),4)</f>
        <v>0</v>
      </c>
    </row>
    <row r="20" spans="1:32">
      <c r="A20" s="19">
        <v>18</v>
      </c>
      <c r="B20" s="20">
        <f>ROUND(IF(OR($A20&lt;VLOOKUP(B$2,行为概览!$D$3:$U$33,3,0),$A20&gt;VLOOKUP(B$2,行为概览!$D$3:$U$33,4,0)),0,VLOOKUP(B$2,行为概览!$D$3:$U$33,6,0)),4)</f>
        <v>0.33329999999999999</v>
      </c>
      <c r="C20" s="20">
        <f>ROUND(IF(OR($A20&lt;VLOOKUP(C$2,行为概览!$D$3:$U$33,3,0),$A20&gt;VLOOKUP(C$2,行为概览!$D$3:$U$33,4,0)),0,VLOOKUP(C$2,行为概览!$D$3:$U$33,6,0)),4)</f>
        <v>0</v>
      </c>
      <c r="D20" s="20">
        <f>ROUND(IF(OR($A20&lt;VLOOKUP(D$2,行为概览!$D$3:$U$33,3,0),$A20&gt;VLOOKUP(D$2,行为概览!$D$3:$U$33,4,0)),0,VLOOKUP(D$2,行为概览!$D$3:$U$33,6,0)),4)</f>
        <v>0</v>
      </c>
      <c r="E20" s="20">
        <f>ROUND(IF(OR($A20&lt;VLOOKUP(E$2,行为概览!$D$3:$U$33,3,0),$A20&gt;VLOOKUP(E$2,行为概览!$D$3:$U$33,4,0)),0,VLOOKUP(E$2,行为概览!$D$3:$U$33,6,0)),4)</f>
        <v>0</v>
      </c>
      <c r="F20" s="20">
        <f>ROUND(IF(OR($A20&lt;VLOOKUP(F$2,行为概览!$D$3:$U$33,3,0),$A20&gt;VLOOKUP(F$2,行为概览!$D$3:$U$33,4,0)),0,VLOOKUP(F$2,行为概览!$D$3:$U$33,6,0)),4)</f>
        <v>0</v>
      </c>
      <c r="G20" s="20">
        <f>ROUND(IF(OR($A20&lt;VLOOKUP(G$2,行为概览!$D$3:$U$33,3,0),$A20&gt;VLOOKUP(G$2,行为概览!$D$3:$U$33,4,0)),0,VLOOKUP(G$2,行为概览!$D$3:$U$33,6,0)),4)</f>
        <v>0</v>
      </c>
      <c r="H20" s="20">
        <f>ROUND(IF(OR($A20&lt;VLOOKUP(H$2,行为概览!$D$3:$U$33,3,0),$A20&gt;VLOOKUP(H$2,行为概览!$D$3:$U$33,4,0)),0,VLOOKUP(H$2,行为概览!$D$3:$U$33,6,0)),4)</f>
        <v>0</v>
      </c>
      <c r="I20" s="20">
        <f>ROUND(IF(OR($A20&lt;VLOOKUP(I$2,行为概览!$D$3:$U$33,3,0),$A20&gt;VLOOKUP(I$2,行为概览!$D$3:$U$33,4,0)),0,VLOOKUP(I$2,行为概览!$D$3:$U$33,6,0)),4)</f>
        <v>0</v>
      </c>
      <c r="J20" s="20">
        <f>ROUND(IF(OR($A20&lt;VLOOKUP(J$2,行为概览!$D$3:$U$33,3,0),$A20&gt;VLOOKUP(J$2,行为概览!$D$3:$U$33,4,0)),0,VLOOKUP(J$2,行为概览!$D$3:$U$33,6,0)),4)</f>
        <v>0</v>
      </c>
      <c r="K20" s="20">
        <f>ROUND(IF(OR($A20&lt;VLOOKUP(K$2,行为概览!$D$3:$U$33,3,0),$A20&gt;VLOOKUP(K$2,行为概览!$D$3:$U$33,4,0)),0,VLOOKUP(K$2,行为概览!$D$3:$U$33,6,0)),4)</f>
        <v>0</v>
      </c>
      <c r="L20" s="20">
        <f>ROUND(IF(OR($A20&lt;VLOOKUP(L$2,行为概览!$D$3:$U$33,3,0),$A20&gt;VLOOKUP(L$2,行为概览!$D$3:$U$33,4,0)),0,VLOOKUP(L$2,行为概览!$D$3:$U$33,6,0)),4)</f>
        <v>0</v>
      </c>
      <c r="M20" s="20">
        <f>ROUND(IF(OR($A20&lt;VLOOKUP(M$2,行为概览!$D$3:$U$33,3,0),$A20&gt;VLOOKUP(M$2,行为概览!$D$3:$U$33,4,0)),0,VLOOKUP(M$2,行为概览!$D$3:$U$33,6,0)),4)</f>
        <v>12</v>
      </c>
      <c r="N20" s="20">
        <f>ROUND(IF(OR($A20&lt;VLOOKUP(N$2,行为概览!$D$3:$U$33,3,0),$A20&gt;VLOOKUP(N$2,行为概览!$D$3:$U$33,4,0)),0,VLOOKUP(N$2,行为概览!$D$3:$U$33,6,0)),4)</f>
        <v>0</v>
      </c>
      <c r="O20" s="20">
        <f>ROUND(IF(OR($A20&lt;VLOOKUP(O$2,行为概览!$D$3:$U$33,3,0),$A20&gt;VLOOKUP(O$2,行为概览!$D$3:$U$33,4,0)),0,VLOOKUP(O$2,行为概览!$D$3:$U$33,6,0)),4)</f>
        <v>8.3299999999999999E-2</v>
      </c>
      <c r="P20" s="20">
        <f>ROUND(IF(OR($A20&lt;VLOOKUP(P$2,行为概览!$D$3:$U$33,3,0),$A20&gt;VLOOKUP(P$2,行为概览!$D$3:$U$33,4,0)),0,VLOOKUP(P$2,行为概览!$D$3:$U$33,6,0)),4)</f>
        <v>2.6</v>
      </c>
      <c r="Q20" s="20">
        <f>ROUND(IF(OR($A20&lt;VLOOKUP(Q$2,行为概览!$D$3:$U$33,3,0),$A20&gt;VLOOKUP(Q$2,行为概览!$D$3:$U$33,4,0)),0,VLOOKUP(Q$2,行为概览!$D$3:$U$33,6,0)),4)</f>
        <v>0</v>
      </c>
      <c r="R20" s="20">
        <f>ROUND(IF(OR($A20&lt;VLOOKUP(R$2,行为概览!$D$3:$U$33,3,0),$A20&gt;VLOOKUP(R$2,行为概览!$D$3:$U$33,4,0)),0,VLOOKUP(R$2,行为概览!$D$3:$U$33,6,0)),4)</f>
        <v>0</v>
      </c>
      <c r="S20" s="20">
        <f>ROUND(IF(OR($A20&lt;VLOOKUP(S$2,行为概览!$D$3:$U$33,3,0),$A20&gt;VLOOKUP(S$2,行为概览!$D$3:$U$33,4,0)),0,VLOOKUP(S$2,行为概览!$D$3:$U$33,6,0)),4)</f>
        <v>0</v>
      </c>
      <c r="T20" s="20">
        <f>ROUND(IF(OR($A20&lt;VLOOKUP(T$2,行为概览!$D$3:$U$33,3,0),$A20&gt;VLOOKUP(T$2,行为概览!$D$3:$U$33,4,0)),0,VLOOKUP(T$2,行为概览!$D$3:$U$33,6,0)),4)</f>
        <v>0</v>
      </c>
      <c r="U20" s="20">
        <f>ROUND(IF(OR($A20&lt;VLOOKUP(U$2,行为概览!$D$3:$U$33,3,0),$A20&gt;VLOOKUP(U$2,行为概览!$D$3:$U$33,4,0)),0,VLOOKUP(U$2,行为概览!$D$3:$U$33,6,0)),4)</f>
        <v>0</v>
      </c>
      <c r="V20" s="20">
        <f>ROUND(IF(OR($A20&lt;VLOOKUP(V$2,行为概览!$D$3:$U$33,3,0),$A20&gt;VLOOKUP(V$2,行为概览!$D$3:$U$33,4,0)),0,VLOOKUP(V$2,行为概览!$D$3:$U$33,6,0)),4)</f>
        <v>0</v>
      </c>
      <c r="W20" s="20">
        <f>ROUND(IF(OR($A20&lt;VLOOKUP(W$2,行为概览!$D$3:$U$33,3,0),$A20&gt;VLOOKUP(W$2,行为概览!$D$3:$U$33,4,0)),0,VLOOKUP(W$2,行为概览!$D$3:$U$33,6,0)),4)</f>
        <v>0</v>
      </c>
      <c r="X20" s="20">
        <f>ROUND(IF(OR($A20&lt;VLOOKUP(X$2,行为概览!$D$3:$U$33,3,0),$A20&gt;VLOOKUP(X$2,行为概览!$D$3:$U$33,4,0)),0,VLOOKUP(X$2,行为概览!$D$3:$U$33,6,0)),4)</f>
        <v>0</v>
      </c>
      <c r="Y20" s="20">
        <f>ROUND(IF(OR($A20&lt;VLOOKUP(Y$2,行为概览!$D$3:$U$33,3,0),$A20&gt;VLOOKUP(Y$2,行为概览!$D$3:$U$33,4,0)),0,VLOOKUP(Y$2,行为概览!$D$3:$U$33,6,0)),4)</f>
        <v>0</v>
      </c>
      <c r="Z20" s="20">
        <f>ROUND(IF(OR($A20&lt;VLOOKUP(Z$2,行为概览!$D$3:$U$33,3,0),$A20&gt;VLOOKUP(Z$2,行为概览!$D$3:$U$33,4,0)),0,VLOOKUP(Z$2,行为概览!$D$3:$U$33,6,0)),4)</f>
        <v>0</v>
      </c>
      <c r="AA20" s="20">
        <f>ROUND(IF(OR($A20&lt;VLOOKUP(AA$2,行为概览!$D$3:$U$33,3,0),$A20&gt;VLOOKUP(AA$2,行为概览!$D$3:$U$33,4,0)),0,VLOOKUP(AA$2,行为概览!$D$3:$U$33,6,0)),4)</f>
        <v>0</v>
      </c>
      <c r="AB20" s="20">
        <f>ROUND(IF(OR($A20&lt;VLOOKUP(AB$2,行为概览!$D$3:$U$33,3,0),$A20&gt;VLOOKUP(AB$2,行为概览!$D$3:$U$33,4,0)),0,VLOOKUP(AB$2,行为概览!$D$3:$U$33,6,0)),4)</f>
        <v>0</v>
      </c>
      <c r="AC20" s="20">
        <f>ROUND(IF(OR($A20&lt;VLOOKUP(AC$2,行为概览!$D$3:$U$33,3,0),$A20&gt;VLOOKUP(AC$2,行为概览!$D$3:$U$33,4,0)),0,VLOOKUP(AC$2,行为概览!$D$3:$U$33,6,0)),4)</f>
        <v>0</v>
      </c>
      <c r="AD20" s="20">
        <f>ROUND(IF(OR($A20&lt;VLOOKUP(AD$2,行为概览!$D$3:$U$33,3,0),$A20&gt;VLOOKUP(AD$2,行为概览!$D$3:$U$33,4,0)),0,VLOOKUP(AD$2,行为概览!$D$3:$U$33,6,0)),4)</f>
        <v>0</v>
      </c>
      <c r="AE20" s="20">
        <f>ROUND(IF(OR($A20&lt;VLOOKUP(AE$2,行为概览!$D$3:$U$33,3,0),$A20&gt;VLOOKUP(AE$2,行为概览!$D$3:$U$33,4,0)),0,VLOOKUP(AE$2,行为概览!$D$3:$U$33,6,0)),4)</f>
        <v>0</v>
      </c>
      <c r="AF20" s="20">
        <f>ROUND(IF(OR($A20&lt;VLOOKUP(AF$2,行为概览!$D$3:$U$33,3,0),$A20&gt;VLOOKUP(AF$2,行为概览!$D$3:$U$33,4,0)),0,VLOOKUP(AF$2,行为概览!$D$3:$U$33,6,0)),4)</f>
        <v>0</v>
      </c>
    </row>
    <row r="21" spans="1:32">
      <c r="A21" s="19">
        <v>19</v>
      </c>
      <c r="B21" s="20">
        <f>ROUND(IF(OR($A21&lt;VLOOKUP(B$2,行为概览!$D$3:$U$33,3,0),$A21&gt;VLOOKUP(B$2,行为概览!$D$3:$U$33,4,0)),0,VLOOKUP(B$2,行为概览!$D$3:$U$33,6,0)),4)</f>
        <v>0.33329999999999999</v>
      </c>
      <c r="C21" s="20">
        <f>ROUND(IF(OR($A21&lt;VLOOKUP(C$2,行为概览!$D$3:$U$33,3,0),$A21&gt;VLOOKUP(C$2,行为概览!$D$3:$U$33,4,0)),0,VLOOKUP(C$2,行为概览!$D$3:$U$33,6,0)),4)</f>
        <v>0</v>
      </c>
      <c r="D21" s="20">
        <f>ROUND(IF(OR($A21&lt;VLOOKUP(D$2,行为概览!$D$3:$U$33,3,0),$A21&gt;VLOOKUP(D$2,行为概览!$D$3:$U$33,4,0)),0,VLOOKUP(D$2,行为概览!$D$3:$U$33,6,0)),4)</f>
        <v>0</v>
      </c>
      <c r="E21" s="20">
        <f>ROUND(IF(OR($A21&lt;VLOOKUP(E$2,行为概览!$D$3:$U$33,3,0),$A21&gt;VLOOKUP(E$2,行为概览!$D$3:$U$33,4,0)),0,VLOOKUP(E$2,行为概览!$D$3:$U$33,6,0)),4)</f>
        <v>0</v>
      </c>
      <c r="F21" s="20">
        <f>ROUND(IF(OR($A21&lt;VLOOKUP(F$2,行为概览!$D$3:$U$33,3,0),$A21&gt;VLOOKUP(F$2,行为概览!$D$3:$U$33,4,0)),0,VLOOKUP(F$2,行为概览!$D$3:$U$33,6,0)),4)</f>
        <v>0</v>
      </c>
      <c r="G21" s="20">
        <f>ROUND(IF(OR($A21&lt;VLOOKUP(G$2,行为概览!$D$3:$U$33,3,0),$A21&gt;VLOOKUP(G$2,行为概览!$D$3:$U$33,4,0)),0,VLOOKUP(G$2,行为概览!$D$3:$U$33,6,0)),4)</f>
        <v>0</v>
      </c>
      <c r="H21" s="20">
        <f>ROUND(IF(OR($A21&lt;VLOOKUP(H$2,行为概览!$D$3:$U$33,3,0),$A21&gt;VLOOKUP(H$2,行为概览!$D$3:$U$33,4,0)),0,VLOOKUP(H$2,行为概览!$D$3:$U$33,6,0)),4)</f>
        <v>0</v>
      </c>
      <c r="I21" s="20">
        <f>ROUND(IF(OR($A21&lt;VLOOKUP(I$2,行为概览!$D$3:$U$33,3,0),$A21&gt;VLOOKUP(I$2,行为概览!$D$3:$U$33,4,0)),0,VLOOKUP(I$2,行为概览!$D$3:$U$33,6,0)),4)</f>
        <v>0</v>
      </c>
      <c r="J21" s="20">
        <f>ROUND(IF(OR($A21&lt;VLOOKUP(J$2,行为概览!$D$3:$U$33,3,0),$A21&gt;VLOOKUP(J$2,行为概览!$D$3:$U$33,4,0)),0,VLOOKUP(J$2,行为概览!$D$3:$U$33,6,0)),4)</f>
        <v>0</v>
      </c>
      <c r="K21" s="20">
        <f>ROUND(IF(OR($A21&lt;VLOOKUP(K$2,行为概览!$D$3:$U$33,3,0),$A21&gt;VLOOKUP(K$2,行为概览!$D$3:$U$33,4,0)),0,VLOOKUP(K$2,行为概览!$D$3:$U$33,6,0)),4)</f>
        <v>0</v>
      </c>
      <c r="L21" s="20">
        <f>ROUND(IF(OR($A21&lt;VLOOKUP(L$2,行为概览!$D$3:$U$33,3,0),$A21&gt;VLOOKUP(L$2,行为概览!$D$3:$U$33,4,0)),0,VLOOKUP(L$2,行为概览!$D$3:$U$33,6,0)),4)</f>
        <v>0</v>
      </c>
      <c r="M21" s="20">
        <f>ROUND(IF(OR($A21&lt;VLOOKUP(M$2,行为概览!$D$3:$U$33,3,0),$A21&gt;VLOOKUP(M$2,行为概览!$D$3:$U$33,4,0)),0,VLOOKUP(M$2,行为概览!$D$3:$U$33,6,0)),4)</f>
        <v>12</v>
      </c>
      <c r="N21" s="20">
        <f>ROUND(IF(OR($A21&lt;VLOOKUP(N$2,行为概览!$D$3:$U$33,3,0),$A21&gt;VLOOKUP(N$2,行为概览!$D$3:$U$33,4,0)),0,VLOOKUP(N$2,行为概览!$D$3:$U$33,6,0)),4)</f>
        <v>0</v>
      </c>
      <c r="O21" s="20">
        <f>ROUND(IF(OR($A21&lt;VLOOKUP(O$2,行为概览!$D$3:$U$33,3,0),$A21&gt;VLOOKUP(O$2,行为概览!$D$3:$U$33,4,0)),0,VLOOKUP(O$2,行为概览!$D$3:$U$33,6,0)),4)</f>
        <v>8.3299999999999999E-2</v>
      </c>
      <c r="P21" s="20">
        <f>ROUND(IF(OR($A21&lt;VLOOKUP(P$2,行为概览!$D$3:$U$33,3,0),$A21&gt;VLOOKUP(P$2,行为概览!$D$3:$U$33,4,0)),0,VLOOKUP(P$2,行为概览!$D$3:$U$33,6,0)),4)</f>
        <v>2.6</v>
      </c>
      <c r="Q21" s="20">
        <f>ROUND(IF(OR($A21&lt;VLOOKUP(Q$2,行为概览!$D$3:$U$33,3,0),$A21&gt;VLOOKUP(Q$2,行为概览!$D$3:$U$33,4,0)),0,VLOOKUP(Q$2,行为概览!$D$3:$U$33,6,0)),4)</f>
        <v>0</v>
      </c>
      <c r="R21" s="20">
        <f>ROUND(IF(OR($A21&lt;VLOOKUP(R$2,行为概览!$D$3:$U$33,3,0),$A21&gt;VLOOKUP(R$2,行为概览!$D$3:$U$33,4,0)),0,VLOOKUP(R$2,行为概览!$D$3:$U$33,6,0)),4)</f>
        <v>0</v>
      </c>
      <c r="S21" s="20">
        <f>ROUND(IF(OR($A21&lt;VLOOKUP(S$2,行为概览!$D$3:$U$33,3,0),$A21&gt;VLOOKUP(S$2,行为概览!$D$3:$U$33,4,0)),0,VLOOKUP(S$2,行为概览!$D$3:$U$33,6,0)),4)</f>
        <v>0</v>
      </c>
      <c r="T21" s="20">
        <f>ROUND(IF(OR($A21&lt;VLOOKUP(T$2,行为概览!$D$3:$U$33,3,0),$A21&gt;VLOOKUP(T$2,行为概览!$D$3:$U$33,4,0)),0,VLOOKUP(T$2,行为概览!$D$3:$U$33,6,0)),4)</f>
        <v>0</v>
      </c>
      <c r="U21" s="20">
        <f>ROUND(IF(OR($A21&lt;VLOOKUP(U$2,行为概览!$D$3:$U$33,3,0),$A21&gt;VLOOKUP(U$2,行为概览!$D$3:$U$33,4,0)),0,VLOOKUP(U$2,行为概览!$D$3:$U$33,6,0)),4)</f>
        <v>0</v>
      </c>
      <c r="V21" s="20">
        <f>ROUND(IF(OR($A21&lt;VLOOKUP(V$2,行为概览!$D$3:$U$33,3,0),$A21&gt;VLOOKUP(V$2,行为概览!$D$3:$U$33,4,0)),0,VLOOKUP(V$2,行为概览!$D$3:$U$33,6,0)),4)</f>
        <v>0</v>
      </c>
      <c r="W21" s="20">
        <f>ROUND(IF(OR($A21&lt;VLOOKUP(W$2,行为概览!$D$3:$U$33,3,0),$A21&gt;VLOOKUP(W$2,行为概览!$D$3:$U$33,4,0)),0,VLOOKUP(W$2,行为概览!$D$3:$U$33,6,0)),4)</f>
        <v>0</v>
      </c>
      <c r="X21" s="20">
        <f>ROUND(IF(OR($A21&lt;VLOOKUP(X$2,行为概览!$D$3:$U$33,3,0),$A21&gt;VLOOKUP(X$2,行为概览!$D$3:$U$33,4,0)),0,VLOOKUP(X$2,行为概览!$D$3:$U$33,6,0)),4)</f>
        <v>0</v>
      </c>
      <c r="Y21" s="20">
        <f>ROUND(IF(OR($A21&lt;VLOOKUP(Y$2,行为概览!$D$3:$U$33,3,0),$A21&gt;VLOOKUP(Y$2,行为概览!$D$3:$U$33,4,0)),0,VLOOKUP(Y$2,行为概览!$D$3:$U$33,6,0)),4)</f>
        <v>0</v>
      </c>
      <c r="Z21" s="20">
        <f>ROUND(IF(OR($A21&lt;VLOOKUP(Z$2,行为概览!$D$3:$U$33,3,0),$A21&gt;VLOOKUP(Z$2,行为概览!$D$3:$U$33,4,0)),0,VLOOKUP(Z$2,行为概览!$D$3:$U$33,6,0)),4)</f>
        <v>0</v>
      </c>
      <c r="AA21" s="20">
        <f>ROUND(IF(OR($A21&lt;VLOOKUP(AA$2,行为概览!$D$3:$U$33,3,0),$A21&gt;VLOOKUP(AA$2,行为概览!$D$3:$U$33,4,0)),0,VLOOKUP(AA$2,行为概览!$D$3:$U$33,6,0)),4)</f>
        <v>0</v>
      </c>
      <c r="AB21" s="20">
        <f>ROUND(IF(OR($A21&lt;VLOOKUP(AB$2,行为概览!$D$3:$U$33,3,0),$A21&gt;VLOOKUP(AB$2,行为概览!$D$3:$U$33,4,0)),0,VLOOKUP(AB$2,行为概览!$D$3:$U$33,6,0)),4)</f>
        <v>0</v>
      </c>
      <c r="AC21" s="20">
        <f>ROUND(IF(OR($A21&lt;VLOOKUP(AC$2,行为概览!$D$3:$U$33,3,0),$A21&gt;VLOOKUP(AC$2,行为概览!$D$3:$U$33,4,0)),0,VLOOKUP(AC$2,行为概览!$D$3:$U$33,6,0)),4)</f>
        <v>0</v>
      </c>
      <c r="AD21" s="20">
        <f>ROUND(IF(OR($A21&lt;VLOOKUP(AD$2,行为概览!$D$3:$U$33,3,0),$A21&gt;VLOOKUP(AD$2,行为概览!$D$3:$U$33,4,0)),0,VLOOKUP(AD$2,行为概览!$D$3:$U$33,6,0)),4)</f>
        <v>0</v>
      </c>
      <c r="AE21" s="20">
        <f>ROUND(IF(OR($A21&lt;VLOOKUP(AE$2,行为概览!$D$3:$U$33,3,0),$A21&gt;VLOOKUP(AE$2,行为概览!$D$3:$U$33,4,0)),0,VLOOKUP(AE$2,行为概览!$D$3:$U$33,6,0)),4)</f>
        <v>0</v>
      </c>
      <c r="AF21" s="20">
        <f>ROUND(IF(OR($A21&lt;VLOOKUP(AF$2,行为概览!$D$3:$U$33,3,0),$A21&gt;VLOOKUP(AF$2,行为概览!$D$3:$U$33,4,0)),0,VLOOKUP(AF$2,行为概览!$D$3:$U$33,6,0)),4)</f>
        <v>0</v>
      </c>
    </row>
    <row r="22" spans="1:32">
      <c r="A22" s="19">
        <v>20</v>
      </c>
      <c r="B22" s="20">
        <f>ROUND(IF(OR($A22&lt;VLOOKUP(B$2,行为概览!$D$3:$U$33,3,0),$A22&gt;VLOOKUP(B$2,行为概览!$D$3:$U$33,4,0)),0,VLOOKUP(B$2,行为概览!$D$3:$U$33,6,0)),4)</f>
        <v>0.33329999999999999</v>
      </c>
      <c r="C22" s="20">
        <f>ROUND(IF(OR($A22&lt;VLOOKUP(C$2,行为概览!$D$3:$U$33,3,0),$A22&gt;VLOOKUP(C$2,行为概览!$D$3:$U$33,4,0)),0,VLOOKUP(C$2,行为概览!$D$3:$U$33,6,0)),4)</f>
        <v>2</v>
      </c>
      <c r="D22" s="20">
        <f>ROUND(IF(OR($A22&lt;VLOOKUP(D$2,行为概览!$D$3:$U$33,3,0),$A22&gt;VLOOKUP(D$2,行为概览!$D$3:$U$33,4,0)),0,VLOOKUP(D$2,行为概览!$D$3:$U$33,6,0)),4)</f>
        <v>8.3299999999999999E-2</v>
      </c>
      <c r="E22" s="20">
        <f>ROUND(IF(OR($A22&lt;VLOOKUP(E$2,行为概览!$D$3:$U$33,3,0),$A22&gt;VLOOKUP(E$2,行为概览!$D$3:$U$33,4,0)),0,VLOOKUP(E$2,行为概览!$D$3:$U$33,6,0)),4)</f>
        <v>0</v>
      </c>
      <c r="F22" s="20">
        <f>ROUND(IF(OR($A22&lt;VLOOKUP(F$2,行为概览!$D$3:$U$33,3,0),$A22&gt;VLOOKUP(F$2,行为概览!$D$3:$U$33,4,0)),0,VLOOKUP(F$2,行为概览!$D$3:$U$33,6,0)),4)</f>
        <v>0</v>
      </c>
      <c r="G22" s="20">
        <f>ROUND(IF(OR($A22&lt;VLOOKUP(G$2,行为概览!$D$3:$U$33,3,0),$A22&gt;VLOOKUP(G$2,行为概览!$D$3:$U$33,4,0)),0,VLOOKUP(G$2,行为概览!$D$3:$U$33,6,0)),4)</f>
        <v>0</v>
      </c>
      <c r="H22" s="20">
        <f>ROUND(IF(OR($A22&lt;VLOOKUP(H$2,行为概览!$D$3:$U$33,3,0),$A22&gt;VLOOKUP(H$2,行为概览!$D$3:$U$33,4,0)),0,VLOOKUP(H$2,行为概览!$D$3:$U$33,6,0)),4)</f>
        <v>0</v>
      </c>
      <c r="I22" s="20">
        <f>ROUND(IF(OR($A22&lt;VLOOKUP(I$2,行为概览!$D$3:$U$33,3,0),$A22&gt;VLOOKUP(I$2,行为概览!$D$3:$U$33,4,0)),0,VLOOKUP(I$2,行为概览!$D$3:$U$33,6,0)),4)</f>
        <v>0</v>
      </c>
      <c r="J22" s="20">
        <f>ROUND(IF(OR($A22&lt;VLOOKUP(J$2,行为概览!$D$3:$U$33,3,0),$A22&gt;VLOOKUP(J$2,行为概览!$D$3:$U$33,4,0)),0,VLOOKUP(J$2,行为概览!$D$3:$U$33,6,0)),4)</f>
        <v>0</v>
      </c>
      <c r="K22" s="20">
        <f>ROUND(IF(OR($A22&lt;VLOOKUP(K$2,行为概览!$D$3:$U$33,3,0),$A22&gt;VLOOKUP(K$2,行为概览!$D$3:$U$33,4,0)),0,VLOOKUP(K$2,行为概览!$D$3:$U$33,6,0)),4)</f>
        <v>0</v>
      </c>
      <c r="L22" s="20">
        <f>ROUND(IF(OR($A22&lt;VLOOKUP(L$2,行为概览!$D$3:$U$33,3,0),$A22&gt;VLOOKUP(L$2,行为概览!$D$3:$U$33,4,0)),0,VLOOKUP(L$2,行为概览!$D$3:$U$33,6,0)),4)</f>
        <v>0</v>
      </c>
      <c r="M22" s="20">
        <f>ROUND(IF(OR($A22&lt;VLOOKUP(M$2,行为概览!$D$3:$U$33,3,0),$A22&gt;VLOOKUP(M$2,行为概览!$D$3:$U$33,4,0)),0,VLOOKUP(M$2,行为概览!$D$3:$U$33,6,0)),4)</f>
        <v>12</v>
      </c>
      <c r="N22" s="20">
        <f>ROUND(IF(OR($A22&lt;VLOOKUP(N$2,行为概览!$D$3:$U$33,3,0),$A22&gt;VLOOKUP(N$2,行为概览!$D$3:$U$33,4,0)),0,VLOOKUP(N$2,行为概览!$D$3:$U$33,6,0)),4)</f>
        <v>8.3299999999999999E-2</v>
      </c>
      <c r="O22" s="20">
        <f>ROUND(IF(OR($A22&lt;VLOOKUP(O$2,行为概览!$D$3:$U$33,3,0),$A22&gt;VLOOKUP(O$2,行为概览!$D$3:$U$33,4,0)),0,VLOOKUP(O$2,行为概览!$D$3:$U$33,6,0)),4)</f>
        <v>8.3299999999999999E-2</v>
      </c>
      <c r="P22" s="20">
        <f>ROUND(IF(OR($A22&lt;VLOOKUP(P$2,行为概览!$D$3:$U$33,3,0),$A22&gt;VLOOKUP(P$2,行为概览!$D$3:$U$33,4,0)),0,VLOOKUP(P$2,行为概览!$D$3:$U$33,6,0)),4)</f>
        <v>2.6</v>
      </c>
      <c r="Q22" s="20">
        <f>ROUND(IF(OR($A22&lt;VLOOKUP(Q$2,行为概览!$D$3:$U$33,3,0),$A22&gt;VLOOKUP(Q$2,行为概览!$D$3:$U$33,4,0)),0,VLOOKUP(Q$2,行为概览!$D$3:$U$33,6,0)),4)</f>
        <v>0</v>
      </c>
      <c r="R22" s="20">
        <f>ROUND(IF(OR($A22&lt;VLOOKUP(R$2,行为概览!$D$3:$U$33,3,0),$A22&gt;VLOOKUP(R$2,行为概览!$D$3:$U$33,4,0)),0,VLOOKUP(R$2,行为概览!$D$3:$U$33,6,0)),4)</f>
        <v>0</v>
      </c>
      <c r="S22" s="20">
        <f>ROUND(IF(OR($A22&lt;VLOOKUP(S$2,行为概览!$D$3:$U$33,3,0),$A22&gt;VLOOKUP(S$2,行为概览!$D$3:$U$33,4,0)),0,VLOOKUP(S$2,行为概览!$D$3:$U$33,6,0)),4)</f>
        <v>0</v>
      </c>
      <c r="T22" s="20">
        <f>ROUND(IF(OR($A22&lt;VLOOKUP(T$2,行为概览!$D$3:$U$33,3,0),$A22&gt;VLOOKUP(T$2,行为概览!$D$3:$U$33,4,0)),0,VLOOKUP(T$2,行为概览!$D$3:$U$33,6,0)),4)</f>
        <v>0</v>
      </c>
      <c r="U22" s="20">
        <f>ROUND(IF(OR($A22&lt;VLOOKUP(U$2,行为概览!$D$3:$U$33,3,0),$A22&gt;VLOOKUP(U$2,行为概览!$D$3:$U$33,4,0)),0,VLOOKUP(U$2,行为概览!$D$3:$U$33,6,0)),4)</f>
        <v>0</v>
      </c>
      <c r="V22" s="20">
        <f>ROUND(IF(OR($A22&lt;VLOOKUP(V$2,行为概览!$D$3:$U$33,3,0),$A22&gt;VLOOKUP(V$2,行为概览!$D$3:$U$33,4,0)),0,VLOOKUP(V$2,行为概览!$D$3:$U$33,6,0)),4)</f>
        <v>0</v>
      </c>
      <c r="W22" s="20">
        <f>ROUND(IF(OR($A22&lt;VLOOKUP(W$2,行为概览!$D$3:$U$33,3,0),$A22&gt;VLOOKUP(W$2,行为概览!$D$3:$U$33,4,0)),0,VLOOKUP(W$2,行为概览!$D$3:$U$33,6,0)),4)</f>
        <v>0</v>
      </c>
      <c r="X22" s="20">
        <f>ROUND(IF(OR($A22&lt;VLOOKUP(X$2,行为概览!$D$3:$U$33,3,0),$A22&gt;VLOOKUP(X$2,行为概览!$D$3:$U$33,4,0)),0,VLOOKUP(X$2,行为概览!$D$3:$U$33,6,0)),4)</f>
        <v>0</v>
      </c>
      <c r="Y22" s="20">
        <f>ROUND(IF(OR($A22&lt;VLOOKUP(Y$2,行为概览!$D$3:$U$33,3,0),$A22&gt;VLOOKUP(Y$2,行为概览!$D$3:$U$33,4,0)),0,VLOOKUP(Y$2,行为概览!$D$3:$U$33,6,0)),4)</f>
        <v>0</v>
      </c>
      <c r="Z22" s="20">
        <f>ROUND(IF(OR($A22&lt;VLOOKUP(Z$2,行为概览!$D$3:$U$33,3,0),$A22&gt;VLOOKUP(Z$2,行为概览!$D$3:$U$33,4,0)),0,VLOOKUP(Z$2,行为概览!$D$3:$U$33,6,0)),4)</f>
        <v>0</v>
      </c>
      <c r="AA22" s="20">
        <f>ROUND(IF(OR($A22&lt;VLOOKUP(AA$2,行为概览!$D$3:$U$33,3,0),$A22&gt;VLOOKUP(AA$2,行为概览!$D$3:$U$33,4,0)),0,VLOOKUP(AA$2,行为概览!$D$3:$U$33,6,0)),4)</f>
        <v>0</v>
      </c>
      <c r="AB22" s="20">
        <f>ROUND(IF(OR($A22&lt;VLOOKUP(AB$2,行为概览!$D$3:$U$33,3,0),$A22&gt;VLOOKUP(AB$2,行为概览!$D$3:$U$33,4,0)),0,VLOOKUP(AB$2,行为概览!$D$3:$U$33,6,0)),4)</f>
        <v>0</v>
      </c>
      <c r="AC22" s="20">
        <f>ROUND(IF(OR($A22&lt;VLOOKUP(AC$2,行为概览!$D$3:$U$33,3,0),$A22&gt;VLOOKUP(AC$2,行为概览!$D$3:$U$33,4,0)),0,VLOOKUP(AC$2,行为概览!$D$3:$U$33,6,0)),4)</f>
        <v>0</v>
      </c>
      <c r="AD22" s="20">
        <f>ROUND(IF(OR($A22&lt;VLOOKUP(AD$2,行为概览!$D$3:$U$33,3,0),$A22&gt;VLOOKUP(AD$2,行为概览!$D$3:$U$33,4,0)),0,VLOOKUP(AD$2,行为概览!$D$3:$U$33,6,0)),4)</f>
        <v>0</v>
      </c>
      <c r="AE22" s="20">
        <f>ROUND(IF(OR($A22&lt;VLOOKUP(AE$2,行为概览!$D$3:$U$33,3,0),$A22&gt;VLOOKUP(AE$2,行为概览!$D$3:$U$33,4,0)),0,VLOOKUP(AE$2,行为概览!$D$3:$U$33,6,0)),4)</f>
        <v>0</v>
      </c>
      <c r="AF22" s="20">
        <f>ROUND(IF(OR($A22&lt;VLOOKUP(AF$2,行为概览!$D$3:$U$33,3,0),$A22&gt;VLOOKUP(AF$2,行为概览!$D$3:$U$33,4,0)),0,VLOOKUP(AF$2,行为概览!$D$3:$U$33,6,0)),4)</f>
        <v>0</v>
      </c>
    </row>
    <row r="23" spans="1:32">
      <c r="A23" s="19">
        <v>21</v>
      </c>
      <c r="B23" s="20">
        <f>ROUND(IF(OR($A23&lt;VLOOKUP(B$2,行为概览!$D$3:$U$33,3,0),$A23&gt;VLOOKUP(B$2,行为概览!$D$3:$U$33,4,0)),0,VLOOKUP(B$2,行为概览!$D$3:$U$33,6,0)),4)</f>
        <v>0.33329999999999999</v>
      </c>
      <c r="C23" s="20">
        <f>ROUND(IF(OR($A23&lt;VLOOKUP(C$2,行为概览!$D$3:$U$33,3,0),$A23&gt;VLOOKUP(C$2,行为概览!$D$3:$U$33,4,0)),0,VLOOKUP(C$2,行为概览!$D$3:$U$33,6,0)),4)</f>
        <v>2</v>
      </c>
      <c r="D23" s="20">
        <f>ROUND(IF(OR($A23&lt;VLOOKUP(D$2,行为概览!$D$3:$U$33,3,0),$A23&gt;VLOOKUP(D$2,行为概览!$D$3:$U$33,4,0)),0,VLOOKUP(D$2,行为概览!$D$3:$U$33,6,0)),4)</f>
        <v>8.3299999999999999E-2</v>
      </c>
      <c r="E23" s="20">
        <f>ROUND(IF(OR($A23&lt;VLOOKUP(E$2,行为概览!$D$3:$U$33,3,0),$A23&gt;VLOOKUP(E$2,行为概览!$D$3:$U$33,4,0)),0,VLOOKUP(E$2,行为概览!$D$3:$U$33,6,0)),4)</f>
        <v>0</v>
      </c>
      <c r="F23" s="20">
        <f>ROUND(IF(OR($A23&lt;VLOOKUP(F$2,行为概览!$D$3:$U$33,3,0),$A23&gt;VLOOKUP(F$2,行为概览!$D$3:$U$33,4,0)),0,VLOOKUP(F$2,行为概览!$D$3:$U$33,6,0)),4)</f>
        <v>0</v>
      </c>
      <c r="G23" s="20">
        <f>ROUND(IF(OR($A23&lt;VLOOKUP(G$2,行为概览!$D$3:$U$33,3,0),$A23&gt;VLOOKUP(G$2,行为概览!$D$3:$U$33,4,0)),0,VLOOKUP(G$2,行为概览!$D$3:$U$33,6,0)),4)</f>
        <v>0</v>
      </c>
      <c r="H23" s="20">
        <f>ROUND(IF(OR($A23&lt;VLOOKUP(H$2,行为概览!$D$3:$U$33,3,0),$A23&gt;VLOOKUP(H$2,行为概览!$D$3:$U$33,4,0)),0,VLOOKUP(H$2,行为概览!$D$3:$U$33,6,0)),4)</f>
        <v>0</v>
      </c>
      <c r="I23" s="20">
        <f>ROUND(IF(OR($A23&lt;VLOOKUP(I$2,行为概览!$D$3:$U$33,3,0),$A23&gt;VLOOKUP(I$2,行为概览!$D$3:$U$33,4,0)),0,VLOOKUP(I$2,行为概览!$D$3:$U$33,6,0)),4)</f>
        <v>0</v>
      </c>
      <c r="J23" s="20">
        <f>ROUND(IF(OR($A23&lt;VLOOKUP(J$2,行为概览!$D$3:$U$33,3,0),$A23&gt;VLOOKUP(J$2,行为概览!$D$3:$U$33,4,0)),0,VLOOKUP(J$2,行为概览!$D$3:$U$33,6,0)),4)</f>
        <v>0</v>
      </c>
      <c r="K23" s="20">
        <f>ROUND(IF(OR($A23&lt;VLOOKUP(K$2,行为概览!$D$3:$U$33,3,0),$A23&gt;VLOOKUP(K$2,行为概览!$D$3:$U$33,4,0)),0,VLOOKUP(K$2,行为概览!$D$3:$U$33,6,0)),4)</f>
        <v>0</v>
      </c>
      <c r="L23" s="20">
        <f>ROUND(IF(OR($A23&lt;VLOOKUP(L$2,行为概览!$D$3:$U$33,3,0),$A23&gt;VLOOKUP(L$2,行为概览!$D$3:$U$33,4,0)),0,VLOOKUP(L$2,行为概览!$D$3:$U$33,6,0)),4)</f>
        <v>0</v>
      </c>
      <c r="M23" s="20">
        <f>ROUND(IF(OR($A23&lt;VLOOKUP(M$2,行为概览!$D$3:$U$33,3,0),$A23&gt;VLOOKUP(M$2,行为概览!$D$3:$U$33,4,0)),0,VLOOKUP(M$2,行为概览!$D$3:$U$33,6,0)),4)</f>
        <v>12</v>
      </c>
      <c r="N23" s="20">
        <f>ROUND(IF(OR($A23&lt;VLOOKUP(N$2,行为概览!$D$3:$U$33,3,0),$A23&gt;VLOOKUP(N$2,行为概览!$D$3:$U$33,4,0)),0,VLOOKUP(N$2,行为概览!$D$3:$U$33,6,0)),4)</f>
        <v>8.3299999999999999E-2</v>
      </c>
      <c r="O23" s="20">
        <f>ROUND(IF(OR($A23&lt;VLOOKUP(O$2,行为概览!$D$3:$U$33,3,0),$A23&gt;VLOOKUP(O$2,行为概览!$D$3:$U$33,4,0)),0,VLOOKUP(O$2,行为概览!$D$3:$U$33,6,0)),4)</f>
        <v>8.3299999999999999E-2</v>
      </c>
      <c r="P23" s="20">
        <f>ROUND(IF(OR($A23&lt;VLOOKUP(P$2,行为概览!$D$3:$U$33,3,0),$A23&gt;VLOOKUP(P$2,行为概览!$D$3:$U$33,4,0)),0,VLOOKUP(P$2,行为概览!$D$3:$U$33,6,0)),4)</f>
        <v>2.6</v>
      </c>
      <c r="Q23" s="20">
        <f>ROUND(IF(OR($A23&lt;VLOOKUP(Q$2,行为概览!$D$3:$U$33,3,0),$A23&gt;VLOOKUP(Q$2,行为概览!$D$3:$U$33,4,0)),0,VLOOKUP(Q$2,行为概览!$D$3:$U$33,6,0)),4)</f>
        <v>0</v>
      </c>
      <c r="R23" s="20">
        <f>ROUND(IF(OR($A23&lt;VLOOKUP(R$2,行为概览!$D$3:$U$33,3,0),$A23&gt;VLOOKUP(R$2,行为概览!$D$3:$U$33,4,0)),0,VLOOKUP(R$2,行为概览!$D$3:$U$33,6,0)),4)</f>
        <v>0</v>
      </c>
      <c r="S23" s="20">
        <f>ROUND(IF(OR($A23&lt;VLOOKUP(S$2,行为概览!$D$3:$U$33,3,0),$A23&gt;VLOOKUP(S$2,行为概览!$D$3:$U$33,4,0)),0,VLOOKUP(S$2,行为概览!$D$3:$U$33,6,0)),4)</f>
        <v>0</v>
      </c>
      <c r="T23" s="20">
        <f>ROUND(IF(OR($A23&lt;VLOOKUP(T$2,行为概览!$D$3:$U$33,3,0),$A23&gt;VLOOKUP(T$2,行为概览!$D$3:$U$33,4,0)),0,VLOOKUP(T$2,行为概览!$D$3:$U$33,6,0)),4)</f>
        <v>0</v>
      </c>
      <c r="U23" s="20">
        <f>ROUND(IF(OR($A23&lt;VLOOKUP(U$2,行为概览!$D$3:$U$33,3,0),$A23&gt;VLOOKUP(U$2,行为概览!$D$3:$U$33,4,0)),0,VLOOKUP(U$2,行为概览!$D$3:$U$33,6,0)),4)</f>
        <v>0</v>
      </c>
      <c r="V23" s="20">
        <f>ROUND(IF(OR($A23&lt;VLOOKUP(V$2,行为概览!$D$3:$U$33,3,0),$A23&gt;VLOOKUP(V$2,行为概览!$D$3:$U$33,4,0)),0,VLOOKUP(V$2,行为概览!$D$3:$U$33,6,0)),4)</f>
        <v>0</v>
      </c>
      <c r="W23" s="20">
        <f>ROUND(IF(OR($A23&lt;VLOOKUP(W$2,行为概览!$D$3:$U$33,3,0),$A23&gt;VLOOKUP(W$2,行为概览!$D$3:$U$33,4,0)),0,VLOOKUP(W$2,行为概览!$D$3:$U$33,6,0)),4)</f>
        <v>0</v>
      </c>
      <c r="X23" s="20">
        <f>ROUND(IF(OR($A23&lt;VLOOKUP(X$2,行为概览!$D$3:$U$33,3,0),$A23&gt;VLOOKUP(X$2,行为概览!$D$3:$U$33,4,0)),0,VLOOKUP(X$2,行为概览!$D$3:$U$33,6,0)),4)</f>
        <v>0</v>
      </c>
      <c r="Y23" s="20">
        <f>ROUND(IF(OR($A23&lt;VLOOKUP(Y$2,行为概览!$D$3:$U$33,3,0),$A23&gt;VLOOKUP(Y$2,行为概览!$D$3:$U$33,4,0)),0,VLOOKUP(Y$2,行为概览!$D$3:$U$33,6,0)),4)</f>
        <v>0</v>
      </c>
      <c r="Z23" s="20">
        <f>ROUND(IF(OR($A23&lt;VLOOKUP(Z$2,行为概览!$D$3:$U$33,3,0),$A23&gt;VLOOKUP(Z$2,行为概览!$D$3:$U$33,4,0)),0,VLOOKUP(Z$2,行为概览!$D$3:$U$33,6,0)),4)</f>
        <v>0</v>
      </c>
      <c r="AA23" s="20">
        <f>ROUND(IF(OR($A23&lt;VLOOKUP(AA$2,行为概览!$D$3:$U$33,3,0),$A23&gt;VLOOKUP(AA$2,行为概览!$D$3:$U$33,4,0)),0,VLOOKUP(AA$2,行为概览!$D$3:$U$33,6,0)),4)</f>
        <v>0</v>
      </c>
      <c r="AB23" s="20">
        <f>ROUND(IF(OR($A23&lt;VLOOKUP(AB$2,行为概览!$D$3:$U$33,3,0),$A23&gt;VLOOKUP(AB$2,行为概览!$D$3:$U$33,4,0)),0,VLOOKUP(AB$2,行为概览!$D$3:$U$33,6,0)),4)</f>
        <v>0</v>
      </c>
      <c r="AC23" s="20">
        <f>ROUND(IF(OR($A23&lt;VLOOKUP(AC$2,行为概览!$D$3:$U$33,3,0),$A23&gt;VLOOKUP(AC$2,行为概览!$D$3:$U$33,4,0)),0,VLOOKUP(AC$2,行为概览!$D$3:$U$33,6,0)),4)</f>
        <v>0</v>
      </c>
      <c r="AD23" s="20">
        <f>ROUND(IF(OR($A23&lt;VLOOKUP(AD$2,行为概览!$D$3:$U$33,3,0),$A23&gt;VLOOKUP(AD$2,行为概览!$D$3:$U$33,4,0)),0,VLOOKUP(AD$2,行为概览!$D$3:$U$33,6,0)),4)</f>
        <v>0</v>
      </c>
      <c r="AE23" s="20">
        <f>ROUND(IF(OR($A23&lt;VLOOKUP(AE$2,行为概览!$D$3:$U$33,3,0),$A23&gt;VLOOKUP(AE$2,行为概览!$D$3:$U$33,4,0)),0,VLOOKUP(AE$2,行为概览!$D$3:$U$33,6,0)),4)</f>
        <v>0</v>
      </c>
      <c r="AF23" s="20">
        <f>ROUND(IF(OR($A23&lt;VLOOKUP(AF$2,行为概览!$D$3:$U$33,3,0),$A23&gt;VLOOKUP(AF$2,行为概览!$D$3:$U$33,4,0)),0,VLOOKUP(AF$2,行为概览!$D$3:$U$33,6,0)),4)</f>
        <v>0</v>
      </c>
    </row>
    <row r="24" spans="1:32">
      <c r="A24" s="19">
        <v>22</v>
      </c>
      <c r="B24" s="20">
        <f>ROUND(IF(OR($A24&lt;VLOOKUP(B$2,行为概览!$D$3:$U$33,3,0),$A24&gt;VLOOKUP(B$2,行为概览!$D$3:$U$33,4,0)),0,VLOOKUP(B$2,行为概览!$D$3:$U$33,6,0)),4)</f>
        <v>0.33329999999999999</v>
      </c>
      <c r="C24" s="20">
        <f>ROUND(IF(OR($A24&lt;VLOOKUP(C$2,行为概览!$D$3:$U$33,3,0),$A24&gt;VLOOKUP(C$2,行为概览!$D$3:$U$33,4,0)),0,VLOOKUP(C$2,行为概览!$D$3:$U$33,6,0)),4)</f>
        <v>2</v>
      </c>
      <c r="D24" s="20">
        <f>ROUND(IF(OR($A24&lt;VLOOKUP(D$2,行为概览!$D$3:$U$33,3,0),$A24&gt;VLOOKUP(D$2,行为概览!$D$3:$U$33,4,0)),0,VLOOKUP(D$2,行为概览!$D$3:$U$33,6,0)),4)</f>
        <v>8.3299999999999999E-2</v>
      </c>
      <c r="E24" s="20">
        <f>ROUND(IF(OR($A24&lt;VLOOKUP(E$2,行为概览!$D$3:$U$33,3,0),$A24&gt;VLOOKUP(E$2,行为概览!$D$3:$U$33,4,0)),0,VLOOKUP(E$2,行为概览!$D$3:$U$33,6,0)),4)</f>
        <v>0</v>
      </c>
      <c r="F24" s="20">
        <f>ROUND(IF(OR($A24&lt;VLOOKUP(F$2,行为概览!$D$3:$U$33,3,0),$A24&gt;VLOOKUP(F$2,行为概览!$D$3:$U$33,4,0)),0,VLOOKUP(F$2,行为概览!$D$3:$U$33,6,0)),4)</f>
        <v>0</v>
      </c>
      <c r="G24" s="20">
        <f>ROUND(IF(OR($A24&lt;VLOOKUP(G$2,行为概览!$D$3:$U$33,3,0),$A24&gt;VLOOKUP(G$2,行为概览!$D$3:$U$33,4,0)),0,VLOOKUP(G$2,行为概览!$D$3:$U$33,6,0)),4)</f>
        <v>0</v>
      </c>
      <c r="H24" s="20">
        <f>ROUND(IF(OR($A24&lt;VLOOKUP(H$2,行为概览!$D$3:$U$33,3,0),$A24&gt;VLOOKUP(H$2,行为概览!$D$3:$U$33,4,0)),0,VLOOKUP(H$2,行为概览!$D$3:$U$33,6,0)),4)</f>
        <v>0</v>
      </c>
      <c r="I24" s="20">
        <f>ROUND(IF(OR($A24&lt;VLOOKUP(I$2,行为概览!$D$3:$U$33,3,0),$A24&gt;VLOOKUP(I$2,行为概览!$D$3:$U$33,4,0)),0,VLOOKUP(I$2,行为概览!$D$3:$U$33,6,0)),4)</f>
        <v>0</v>
      </c>
      <c r="J24" s="20">
        <f>ROUND(IF(OR($A24&lt;VLOOKUP(J$2,行为概览!$D$3:$U$33,3,0),$A24&gt;VLOOKUP(J$2,行为概览!$D$3:$U$33,4,0)),0,VLOOKUP(J$2,行为概览!$D$3:$U$33,6,0)),4)</f>
        <v>0</v>
      </c>
      <c r="K24" s="20">
        <f>ROUND(IF(OR($A24&lt;VLOOKUP(K$2,行为概览!$D$3:$U$33,3,0),$A24&gt;VLOOKUP(K$2,行为概览!$D$3:$U$33,4,0)),0,VLOOKUP(K$2,行为概览!$D$3:$U$33,6,0)),4)</f>
        <v>0</v>
      </c>
      <c r="L24" s="20">
        <f>ROUND(IF(OR($A24&lt;VLOOKUP(L$2,行为概览!$D$3:$U$33,3,0),$A24&gt;VLOOKUP(L$2,行为概览!$D$3:$U$33,4,0)),0,VLOOKUP(L$2,行为概览!$D$3:$U$33,6,0)),4)</f>
        <v>0</v>
      </c>
      <c r="M24" s="20">
        <f>ROUND(IF(OR($A24&lt;VLOOKUP(M$2,行为概览!$D$3:$U$33,3,0),$A24&gt;VLOOKUP(M$2,行为概览!$D$3:$U$33,4,0)),0,VLOOKUP(M$2,行为概览!$D$3:$U$33,6,0)),4)</f>
        <v>12</v>
      </c>
      <c r="N24" s="20">
        <f>ROUND(IF(OR($A24&lt;VLOOKUP(N$2,行为概览!$D$3:$U$33,3,0),$A24&gt;VLOOKUP(N$2,行为概览!$D$3:$U$33,4,0)),0,VLOOKUP(N$2,行为概览!$D$3:$U$33,6,0)),4)</f>
        <v>8.3299999999999999E-2</v>
      </c>
      <c r="O24" s="20">
        <f>ROUND(IF(OR($A24&lt;VLOOKUP(O$2,行为概览!$D$3:$U$33,3,0),$A24&gt;VLOOKUP(O$2,行为概览!$D$3:$U$33,4,0)),0,VLOOKUP(O$2,行为概览!$D$3:$U$33,6,0)),4)</f>
        <v>8.3299999999999999E-2</v>
      </c>
      <c r="P24" s="20">
        <f>ROUND(IF(OR($A24&lt;VLOOKUP(P$2,行为概览!$D$3:$U$33,3,0),$A24&gt;VLOOKUP(P$2,行为概览!$D$3:$U$33,4,0)),0,VLOOKUP(P$2,行为概览!$D$3:$U$33,6,0)),4)</f>
        <v>2.6</v>
      </c>
      <c r="Q24" s="20">
        <f>ROUND(IF(OR($A24&lt;VLOOKUP(Q$2,行为概览!$D$3:$U$33,3,0),$A24&gt;VLOOKUP(Q$2,行为概览!$D$3:$U$33,4,0)),0,VLOOKUP(Q$2,行为概览!$D$3:$U$33,6,0)),4)</f>
        <v>0</v>
      </c>
      <c r="R24" s="20">
        <f>ROUND(IF(OR($A24&lt;VLOOKUP(R$2,行为概览!$D$3:$U$33,3,0),$A24&gt;VLOOKUP(R$2,行为概览!$D$3:$U$33,4,0)),0,VLOOKUP(R$2,行为概览!$D$3:$U$33,6,0)),4)</f>
        <v>0</v>
      </c>
      <c r="S24" s="20">
        <f>ROUND(IF(OR($A24&lt;VLOOKUP(S$2,行为概览!$D$3:$U$33,3,0),$A24&gt;VLOOKUP(S$2,行为概览!$D$3:$U$33,4,0)),0,VLOOKUP(S$2,行为概览!$D$3:$U$33,6,0)),4)</f>
        <v>0</v>
      </c>
      <c r="T24" s="20">
        <f>ROUND(IF(OR($A24&lt;VLOOKUP(T$2,行为概览!$D$3:$U$33,3,0),$A24&gt;VLOOKUP(T$2,行为概览!$D$3:$U$33,4,0)),0,VLOOKUP(T$2,行为概览!$D$3:$U$33,6,0)),4)</f>
        <v>0</v>
      </c>
      <c r="U24" s="20">
        <f>ROUND(IF(OR($A24&lt;VLOOKUP(U$2,行为概览!$D$3:$U$33,3,0),$A24&gt;VLOOKUP(U$2,行为概览!$D$3:$U$33,4,0)),0,VLOOKUP(U$2,行为概览!$D$3:$U$33,6,0)),4)</f>
        <v>0</v>
      </c>
      <c r="V24" s="20">
        <f>ROUND(IF(OR($A24&lt;VLOOKUP(V$2,行为概览!$D$3:$U$33,3,0),$A24&gt;VLOOKUP(V$2,行为概览!$D$3:$U$33,4,0)),0,VLOOKUP(V$2,行为概览!$D$3:$U$33,6,0)),4)</f>
        <v>0</v>
      </c>
      <c r="W24" s="20">
        <f>ROUND(IF(OR($A24&lt;VLOOKUP(W$2,行为概览!$D$3:$U$33,3,0),$A24&gt;VLOOKUP(W$2,行为概览!$D$3:$U$33,4,0)),0,VLOOKUP(W$2,行为概览!$D$3:$U$33,6,0)),4)</f>
        <v>0</v>
      </c>
      <c r="X24" s="20">
        <f>ROUND(IF(OR($A24&lt;VLOOKUP(X$2,行为概览!$D$3:$U$33,3,0),$A24&gt;VLOOKUP(X$2,行为概览!$D$3:$U$33,4,0)),0,VLOOKUP(X$2,行为概览!$D$3:$U$33,6,0)),4)</f>
        <v>0</v>
      </c>
      <c r="Y24" s="20">
        <f>ROUND(IF(OR($A24&lt;VLOOKUP(Y$2,行为概览!$D$3:$U$33,3,0),$A24&gt;VLOOKUP(Y$2,行为概览!$D$3:$U$33,4,0)),0,VLOOKUP(Y$2,行为概览!$D$3:$U$33,6,0)),4)</f>
        <v>0</v>
      </c>
      <c r="Z24" s="20">
        <f>ROUND(IF(OR($A24&lt;VLOOKUP(Z$2,行为概览!$D$3:$U$33,3,0),$A24&gt;VLOOKUP(Z$2,行为概览!$D$3:$U$33,4,0)),0,VLOOKUP(Z$2,行为概览!$D$3:$U$33,6,0)),4)</f>
        <v>0</v>
      </c>
      <c r="AA24" s="20">
        <f>ROUND(IF(OR($A24&lt;VLOOKUP(AA$2,行为概览!$D$3:$U$33,3,0),$A24&gt;VLOOKUP(AA$2,行为概览!$D$3:$U$33,4,0)),0,VLOOKUP(AA$2,行为概览!$D$3:$U$33,6,0)),4)</f>
        <v>0</v>
      </c>
      <c r="AB24" s="20">
        <f>ROUND(IF(OR($A24&lt;VLOOKUP(AB$2,行为概览!$D$3:$U$33,3,0),$A24&gt;VLOOKUP(AB$2,行为概览!$D$3:$U$33,4,0)),0,VLOOKUP(AB$2,行为概览!$D$3:$U$33,6,0)),4)</f>
        <v>0</v>
      </c>
      <c r="AC24" s="20">
        <f>ROUND(IF(OR($A24&lt;VLOOKUP(AC$2,行为概览!$D$3:$U$33,3,0),$A24&gt;VLOOKUP(AC$2,行为概览!$D$3:$U$33,4,0)),0,VLOOKUP(AC$2,行为概览!$D$3:$U$33,6,0)),4)</f>
        <v>0</v>
      </c>
      <c r="AD24" s="20">
        <f>ROUND(IF(OR($A24&lt;VLOOKUP(AD$2,行为概览!$D$3:$U$33,3,0),$A24&gt;VLOOKUP(AD$2,行为概览!$D$3:$U$33,4,0)),0,VLOOKUP(AD$2,行为概览!$D$3:$U$33,6,0)),4)</f>
        <v>0</v>
      </c>
      <c r="AE24" s="20">
        <f>ROUND(IF(OR($A24&lt;VLOOKUP(AE$2,行为概览!$D$3:$U$33,3,0),$A24&gt;VLOOKUP(AE$2,行为概览!$D$3:$U$33,4,0)),0,VLOOKUP(AE$2,行为概览!$D$3:$U$33,6,0)),4)</f>
        <v>0</v>
      </c>
      <c r="AF24" s="20">
        <f>ROUND(IF(OR($A24&lt;VLOOKUP(AF$2,行为概览!$D$3:$U$33,3,0),$A24&gt;VLOOKUP(AF$2,行为概览!$D$3:$U$33,4,0)),0,VLOOKUP(AF$2,行为概览!$D$3:$U$33,6,0)),4)</f>
        <v>0</v>
      </c>
    </row>
    <row r="25" spans="1:32">
      <c r="A25" s="19">
        <v>23</v>
      </c>
      <c r="B25" s="20">
        <f>ROUND(IF(OR($A25&lt;VLOOKUP(B$2,行为概览!$D$3:$U$33,3,0),$A25&gt;VLOOKUP(B$2,行为概览!$D$3:$U$33,4,0)),0,VLOOKUP(B$2,行为概览!$D$3:$U$33,6,0)),4)</f>
        <v>0.33329999999999999</v>
      </c>
      <c r="C25" s="20">
        <f>ROUND(IF(OR($A25&lt;VLOOKUP(C$2,行为概览!$D$3:$U$33,3,0),$A25&gt;VLOOKUP(C$2,行为概览!$D$3:$U$33,4,0)),0,VLOOKUP(C$2,行为概览!$D$3:$U$33,6,0)),4)</f>
        <v>2</v>
      </c>
      <c r="D25" s="20">
        <f>ROUND(IF(OR($A25&lt;VLOOKUP(D$2,行为概览!$D$3:$U$33,3,0),$A25&gt;VLOOKUP(D$2,行为概览!$D$3:$U$33,4,0)),0,VLOOKUP(D$2,行为概览!$D$3:$U$33,6,0)),4)</f>
        <v>8.3299999999999999E-2</v>
      </c>
      <c r="E25" s="20">
        <f>ROUND(IF(OR($A25&lt;VLOOKUP(E$2,行为概览!$D$3:$U$33,3,0),$A25&gt;VLOOKUP(E$2,行为概览!$D$3:$U$33,4,0)),0,VLOOKUP(E$2,行为概览!$D$3:$U$33,6,0)),4)</f>
        <v>0</v>
      </c>
      <c r="F25" s="20">
        <f>ROUND(IF(OR($A25&lt;VLOOKUP(F$2,行为概览!$D$3:$U$33,3,0),$A25&gt;VLOOKUP(F$2,行为概览!$D$3:$U$33,4,0)),0,VLOOKUP(F$2,行为概览!$D$3:$U$33,6,0)),4)</f>
        <v>0</v>
      </c>
      <c r="G25" s="20">
        <f>ROUND(IF(OR($A25&lt;VLOOKUP(G$2,行为概览!$D$3:$U$33,3,0),$A25&gt;VLOOKUP(G$2,行为概览!$D$3:$U$33,4,0)),0,VLOOKUP(G$2,行为概览!$D$3:$U$33,6,0)),4)</f>
        <v>0</v>
      </c>
      <c r="H25" s="20">
        <f>ROUND(IF(OR($A25&lt;VLOOKUP(H$2,行为概览!$D$3:$U$33,3,0),$A25&gt;VLOOKUP(H$2,行为概览!$D$3:$U$33,4,0)),0,VLOOKUP(H$2,行为概览!$D$3:$U$33,6,0)),4)</f>
        <v>0</v>
      </c>
      <c r="I25" s="20">
        <f>ROUND(IF(OR($A25&lt;VLOOKUP(I$2,行为概览!$D$3:$U$33,3,0),$A25&gt;VLOOKUP(I$2,行为概览!$D$3:$U$33,4,0)),0,VLOOKUP(I$2,行为概览!$D$3:$U$33,6,0)),4)</f>
        <v>0</v>
      </c>
      <c r="J25" s="20">
        <f>ROUND(IF(OR($A25&lt;VLOOKUP(J$2,行为概览!$D$3:$U$33,3,0),$A25&gt;VLOOKUP(J$2,行为概览!$D$3:$U$33,4,0)),0,VLOOKUP(J$2,行为概览!$D$3:$U$33,6,0)),4)</f>
        <v>0</v>
      </c>
      <c r="K25" s="20">
        <f>ROUND(IF(OR($A25&lt;VLOOKUP(K$2,行为概览!$D$3:$U$33,3,0),$A25&gt;VLOOKUP(K$2,行为概览!$D$3:$U$33,4,0)),0,VLOOKUP(K$2,行为概览!$D$3:$U$33,6,0)),4)</f>
        <v>0</v>
      </c>
      <c r="L25" s="20">
        <f>ROUND(IF(OR($A25&lt;VLOOKUP(L$2,行为概览!$D$3:$U$33,3,0),$A25&gt;VLOOKUP(L$2,行为概览!$D$3:$U$33,4,0)),0,VLOOKUP(L$2,行为概览!$D$3:$U$33,6,0)),4)</f>
        <v>0</v>
      </c>
      <c r="M25" s="20">
        <f>ROUND(IF(OR($A25&lt;VLOOKUP(M$2,行为概览!$D$3:$U$33,3,0),$A25&gt;VLOOKUP(M$2,行为概览!$D$3:$U$33,4,0)),0,VLOOKUP(M$2,行为概览!$D$3:$U$33,6,0)),4)</f>
        <v>12</v>
      </c>
      <c r="N25" s="20">
        <f>ROUND(IF(OR($A25&lt;VLOOKUP(N$2,行为概览!$D$3:$U$33,3,0),$A25&gt;VLOOKUP(N$2,行为概览!$D$3:$U$33,4,0)),0,VLOOKUP(N$2,行为概览!$D$3:$U$33,6,0)),4)</f>
        <v>8.3299999999999999E-2</v>
      </c>
      <c r="O25" s="20">
        <f>ROUND(IF(OR($A25&lt;VLOOKUP(O$2,行为概览!$D$3:$U$33,3,0),$A25&gt;VLOOKUP(O$2,行为概览!$D$3:$U$33,4,0)),0,VLOOKUP(O$2,行为概览!$D$3:$U$33,6,0)),4)</f>
        <v>8.3299999999999999E-2</v>
      </c>
      <c r="P25" s="20">
        <f>ROUND(IF(OR($A25&lt;VLOOKUP(P$2,行为概览!$D$3:$U$33,3,0),$A25&gt;VLOOKUP(P$2,行为概览!$D$3:$U$33,4,0)),0,VLOOKUP(P$2,行为概览!$D$3:$U$33,6,0)),4)</f>
        <v>2.6</v>
      </c>
      <c r="Q25" s="20">
        <f>ROUND(IF(OR($A25&lt;VLOOKUP(Q$2,行为概览!$D$3:$U$33,3,0),$A25&gt;VLOOKUP(Q$2,行为概览!$D$3:$U$33,4,0)),0,VLOOKUP(Q$2,行为概览!$D$3:$U$33,6,0)),4)</f>
        <v>0</v>
      </c>
      <c r="R25" s="20">
        <f>ROUND(IF(OR($A25&lt;VLOOKUP(R$2,行为概览!$D$3:$U$33,3,0),$A25&gt;VLOOKUP(R$2,行为概览!$D$3:$U$33,4,0)),0,VLOOKUP(R$2,行为概览!$D$3:$U$33,6,0)),4)</f>
        <v>0</v>
      </c>
      <c r="S25" s="20">
        <f>ROUND(IF(OR($A25&lt;VLOOKUP(S$2,行为概览!$D$3:$U$33,3,0),$A25&gt;VLOOKUP(S$2,行为概览!$D$3:$U$33,4,0)),0,VLOOKUP(S$2,行为概览!$D$3:$U$33,6,0)),4)</f>
        <v>0</v>
      </c>
      <c r="T25" s="20">
        <f>ROUND(IF(OR($A25&lt;VLOOKUP(T$2,行为概览!$D$3:$U$33,3,0),$A25&gt;VLOOKUP(T$2,行为概览!$D$3:$U$33,4,0)),0,VLOOKUP(T$2,行为概览!$D$3:$U$33,6,0)),4)</f>
        <v>0</v>
      </c>
      <c r="U25" s="20">
        <f>ROUND(IF(OR($A25&lt;VLOOKUP(U$2,行为概览!$D$3:$U$33,3,0),$A25&gt;VLOOKUP(U$2,行为概览!$D$3:$U$33,4,0)),0,VLOOKUP(U$2,行为概览!$D$3:$U$33,6,0)),4)</f>
        <v>0</v>
      </c>
      <c r="V25" s="20">
        <f>ROUND(IF(OR($A25&lt;VLOOKUP(V$2,行为概览!$D$3:$U$33,3,0),$A25&gt;VLOOKUP(V$2,行为概览!$D$3:$U$33,4,0)),0,VLOOKUP(V$2,行为概览!$D$3:$U$33,6,0)),4)</f>
        <v>0</v>
      </c>
      <c r="W25" s="20">
        <f>ROUND(IF(OR($A25&lt;VLOOKUP(W$2,行为概览!$D$3:$U$33,3,0),$A25&gt;VLOOKUP(W$2,行为概览!$D$3:$U$33,4,0)),0,VLOOKUP(W$2,行为概览!$D$3:$U$33,6,0)),4)</f>
        <v>0</v>
      </c>
      <c r="X25" s="20">
        <f>ROUND(IF(OR($A25&lt;VLOOKUP(X$2,行为概览!$D$3:$U$33,3,0),$A25&gt;VLOOKUP(X$2,行为概览!$D$3:$U$33,4,0)),0,VLOOKUP(X$2,行为概览!$D$3:$U$33,6,0)),4)</f>
        <v>0</v>
      </c>
      <c r="Y25" s="20">
        <f>ROUND(IF(OR($A25&lt;VLOOKUP(Y$2,行为概览!$D$3:$U$33,3,0),$A25&gt;VLOOKUP(Y$2,行为概览!$D$3:$U$33,4,0)),0,VLOOKUP(Y$2,行为概览!$D$3:$U$33,6,0)),4)</f>
        <v>0</v>
      </c>
      <c r="Z25" s="20">
        <f>ROUND(IF(OR($A25&lt;VLOOKUP(Z$2,行为概览!$D$3:$U$33,3,0),$A25&gt;VLOOKUP(Z$2,行为概览!$D$3:$U$33,4,0)),0,VLOOKUP(Z$2,行为概览!$D$3:$U$33,6,0)),4)</f>
        <v>0</v>
      </c>
      <c r="AA25" s="20">
        <f>ROUND(IF(OR($A25&lt;VLOOKUP(AA$2,行为概览!$D$3:$U$33,3,0),$A25&gt;VLOOKUP(AA$2,行为概览!$D$3:$U$33,4,0)),0,VLOOKUP(AA$2,行为概览!$D$3:$U$33,6,0)),4)</f>
        <v>0</v>
      </c>
      <c r="AB25" s="20">
        <f>ROUND(IF(OR($A25&lt;VLOOKUP(AB$2,行为概览!$D$3:$U$33,3,0),$A25&gt;VLOOKUP(AB$2,行为概览!$D$3:$U$33,4,0)),0,VLOOKUP(AB$2,行为概览!$D$3:$U$33,6,0)),4)</f>
        <v>0</v>
      </c>
      <c r="AC25" s="20">
        <f>ROUND(IF(OR($A25&lt;VLOOKUP(AC$2,行为概览!$D$3:$U$33,3,0),$A25&gt;VLOOKUP(AC$2,行为概览!$D$3:$U$33,4,0)),0,VLOOKUP(AC$2,行为概览!$D$3:$U$33,6,0)),4)</f>
        <v>0</v>
      </c>
      <c r="AD25" s="20">
        <f>ROUND(IF(OR($A25&lt;VLOOKUP(AD$2,行为概览!$D$3:$U$33,3,0),$A25&gt;VLOOKUP(AD$2,行为概览!$D$3:$U$33,4,0)),0,VLOOKUP(AD$2,行为概览!$D$3:$U$33,6,0)),4)</f>
        <v>0</v>
      </c>
      <c r="AE25" s="20">
        <f>ROUND(IF(OR($A25&lt;VLOOKUP(AE$2,行为概览!$D$3:$U$33,3,0),$A25&gt;VLOOKUP(AE$2,行为概览!$D$3:$U$33,4,0)),0,VLOOKUP(AE$2,行为概览!$D$3:$U$33,6,0)),4)</f>
        <v>0</v>
      </c>
      <c r="AF25" s="20">
        <f>ROUND(IF(OR($A25&lt;VLOOKUP(AF$2,行为概览!$D$3:$U$33,3,0),$A25&gt;VLOOKUP(AF$2,行为概览!$D$3:$U$33,4,0)),0,VLOOKUP(AF$2,行为概览!$D$3:$U$33,6,0)),4)</f>
        <v>0</v>
      </c>
    </row>
    <row r="26" spans="1:32">
      <c r="A26" s="19">
        <v>24</v>
      </c>
      <c r="B26" s="20">
        <f>ROUND(IF(OR($A26&lt;VLOOKUP(B$2,行为概览!$D$3:$U$33,3,0),$A26&gt;VLOOKUP(B$2,行为概览!$D$3:$U$33,4,0)),0,VLOOKUP(B$2,行为概览!$D$3:$U$33,6,0)),4)</f>
        <v>0.33329999999999999</v>
      </c>
      <c r="C26" s="20">
        <f>ROUND(IF(OR($A26&lt;VLOOKUP(C$2,行为概览!$D$3:$U$33,3,0),$A26&gt;VLOOKUP(C$2,行为概览!$D$3:$U$33,4,0)),0,VLOOKUP(C$2,行为概览!$D$3:$U$33,6,0)),4)</f>
        <v>2</v>
      </c>
      <c r="D26" s="20">
        <f>ROUND(IF(OR($A26&lt;VLOOKUP(D$2,行为概览!$D$3:$U$33,3,0),$A26&gt;VLOOKUP(D$2,行为概览!$D$3:$U$33,4,0)),0,VLOOKUP(D$2,行为概览!$D$3:$U$33,6,0)),4)</f>
        <v>8.3299999999999999E-2</v>
      </c>
      <c r="E26" s="20">
        <f>ROUND(IF(OR($A26&lt;VLOOKUP(E$2,行为概览!$D$3:$U$33,3,0),$A26&gt;VLOOKUP(E$2,行为概览!$D$3:$U$33,4,0)),0,VLOOKUP(E$2,行为概览!$D$3:$U$33,6,0)),4)</f>
        <v>0</v>
      </c>
      <c r="F26" s="20">
        <f>ROUND(IF(OR($A26&lt;VLOOKUP(F$2,行为概览!$D$3:$U$33,3,0),$A26&gt;VLOOKUP(F$2,行为概览!$D$3:$U$33,4,0)),0,VLOOKUP(F$2,行为概览!$D$3:$U$33,6,0)),4)</f>
        <v>0</v>
      </c>
      <c r="G26" s="20">
        <f>ROUND(IF(OR($A26&lt;VLOOKUP(G$2,行为概览!$D$3:$U$33,3,0),$A26&gt;VLOOKUP(G$2,行为概览!$D$3:$U$33,4,0)),0,VLOOKUP(G$2,行为概览!$D$3:$U$33,6,0)),4)</f>
        <v>0</v>
      </c>
      <c r="H26" s="20">
        <f>ROUND(IF(OR($A26&lt;VLOOKUP(H$2,行为概览!$D$3:$U$33,3,0),$A26&gt;VLOOKUP(H$2,行为概览!$D$3:$U$33,4,0)),0,VLOOKUP(H$2,行为概览!$D$3:$U$33,6,0)),4)</f>
        <v>0</v>
      </c>
      <c r="I26" s="20">
        <f>ROUND(IF(OR($A26&lt;VLOOKUP(I$2,行为概览!$D$3:$U$33,3,0),$A26&gt;VLOOKUP(I$2,行为概览!$D$3:$U$33,4,0)),0,VLOOKUP(I$2,行为概览!$D$3:$U$33,6,0)),4)</f>
        <v>0</v>
      </c>
      <c r="J26" s="20">
        <f>ROUND(IF(OR($A26&lt;VLOOKUP(J$2,行为概览!$D$3:$U$33,3,0),$A26&gt;VLOOKUP(J$2,行为概览!$D$3:$U$33,4,0)),0,VLOOKUP(J$2,行为概览!$D$3:$U$33,6,0)),4)</f>
        <v>0</v>
      </c>
      <c r="K26" s="20">
        <f>ROUND(IF(OR($A26&lt;VLOOKUP(K$2,行为概览!$D$3:$U$33,3,0),$A26&gt;VLOOKUP(K$2,行为概览!$D$3:$U$33,4,0)),0,VLOOKUP(K$2,行为概览!$D$3:$U$33,6,0)),4)</f>
        <v>0</v>
      </c>
      <c r="L26" s="20">
        <f>ROUND(IF(OR($A26&lt;VLOOKUP(L$2,行为概览!$D$3:$U$33,3,0),$A26&gt;VLOOKUP(L$2,行为概览!$D$3:$U$33,4,0)),0,VLOOKUP(L$2,行为概览!$D$3:$U$33,6,0)),4)</f>
        <v>0</v>
      </c>
      <c r="M26" s="20">
        <f>ROUND(IF(OR($A26&lt;VLOOKUP(M$2,行为概览!$D$3:$U$33,3,0),$A26&gt;VLOOKUP(M$2,行为概览!$D$3:$U$33,4,0)),0,VLOOKUP(M$2,行为概览!$D$3:$U$33,6,0)),4)</f>
        <v>12</v>
      </c>
      <c r="N26" s="20">
        <f>ROUND(IF(OR($A26&lt;VLOOKUP(N$2,行为概览!$D$3:$U$33,3,0),$A26&gt;VLOOKUP(N$2,行为概览!$D$3:$U$33,4,0)),0,VLOOKUP(N$2,行为概览!$D$3:$U$33,6,0)),4)</f>
        <v>8.3299999999999999E-2</v>
      </c>
      <c r="O26" s="20">
        <f>ROUND(IF(OR($A26&lt;VLOOKUP(O$2,行为概览!$D$3:$U$33,3,0),$A26&gt;VLOOKUP(O$2,行为概览!$D$3:$U$33,4,0)),0,VLOOKUP(O$2,行为概览!$D$3:$U$33,6,0)),4)</f>
        <v>8.3299999999999999E-2</v>
      </c>
      <c r="P26" s="20">
        <f>ROUND(IF(OR($A26&lt;VLOOKUP(P$2,行为概览!$D$3:$U$33,3,0),$A26&gt;VLOOKUP(P$2,行为概览!$D$3:$U$33,4,0)),0,VLOOKUP(P$2,行为概览!$D$3:$U$33,6,0)),4)</f>
        <v>2.6</v>
      </c>
      <c r="Q26" s="20">
        <f>ROUND(IF(OR($A26&lt;VLOOKUP(Q$2,行为概览!$D$3:$U$33,3,0),$A26&gt;VLOOKUP(Q$2,行为概览!$D$3:$U$33,4,0)),0,VLOOKUP(Q$2,行为概览!$D$3:$U$33,6,0)),4)</f>
        <v>0</v>
      </c>
      <c r="R26" s="20">
        <f>ROUND(IF(OR($A26&lt;VLOOKUP(R$2,行为概览!$D$3:$U$33,3,0),$A26&gt;VLOOKUP(R$2,行为概览!$D$3:$U$33,4,0)),0,VLOOKUP(R$2,行为概览!$D$3:$U$33,6,0)),4)</f>
        <v>0</v>
      </c>
      <c r="S26" s="20">
        <f>ROUND(IF(OR($A26&lt;VLOOKUP(S$2,行为概览!$D$3:$U$33,3,0),$A26&gt;VLOOKUP(S$2,行为概览!$D$3:$U$33,4,0)),0,VLOOKUP(S$2,行为概览!$D$3:$U$33,6,0)),4)</f>
        <v>0</v>
      </c>
      <c r="T26" s="20">
        <f>ROUND(IF(OR($A26&lt;VLOOKUP(T$2,行为概览!$D$3:$U$33,3,0),$A26&gt;VLOOKUP(T$2,行为概览!$D$3:$U$33,4,0)),0,VLOOKUP(T$2,行为概览!$D$3:$U$33,6,0)),4)</f>
        <v>0</v>
      </c>
      <c r="U26" s="20">
        <f>ROUND(IF(OR($A26&lt;VLOOKUP(U$2,行为概览!$D$3:$U$33,3,0),$A26&gt;VLOOKUP(U$2,行为概览!$D$3:$U$33,4,0)),0,VLOOKUP(U$2,行为概览!$D$3:$U$33,6,0)),4)</f>
        <v>0</v>
      </c>
      <c r="V26" s="20">
        <f>ROUND(IF(OR($A26&lt;VLOOKUP(V$2,行为概览!$D$3:$U$33,3,0),$A26&gt;VLOOKUP(V$2,行为概览!$D$3:$U$33,4,0)),0,VLOOKUP(V$2,行为概览!$D$3:$U$33,6,0)),4)</f>
        <v>0</v>
      </c>
      <c r="W26" s="20">
        <f>ROUND(IF(OR($A26&lt;VLOOKUP(W$2,行为概览!$D$3:$U$33,3,0),$A26&gt;VLOOKUP(W$2,行为概览!$D$3:$U$33,4,0)),0,VLOOKUP(W$2,行为概览!$D$3:$U$33,6,0)),4)</f>
        <v>0</v>
      </c>
      <c r="X26" s="20">
        <f>ROUND(IF(OR($A26&lt;VLOOKUP(X$2,行为概览!$D$3:$U$33,3,0),$A26&gt;VLOOKUP(X$2,行为概览!$D$3:$U$33,4,0)),0,VLOOKUP(X$2,行为概览!$D$3:$U$33,6,0)),4)</f>
        <v>0</v>
      </c>
      <c r="Y26" s="20">
        <f>ROUND(IF(OR($A26&lt;VLOOKUP(Y$2,行为概览!$D$3:$U$33,3,0),$A26&gt;VLOOKUP(Y$2,行为概览!$D$3:$U$33,4,0)),0,VLOOKUP(Y$2,行为概览!$D$3:$U$33,6,0)),4)</f>
        <v>0</v>
      </c>
      <c r="Z26" s="20">
        <f>ROUND(IF(OR($A26&lt;VLOOKUP(Z$2,行为概览!$D$3:$U$33,3,0),$A26&gt;VLOOKUP(Z$2,行为概览!$D$3:$U$33,4,0)),0,VLOOKUP(Z$2,行为概览!$D$3:$U$33,6,0)),4)</f>
        <v>0</v>
      </c>
      <c r="AA26" s="20">
        <f>ROUND(IF(OR($A26&lt;VLOOKUP(AA$2,行为概览!$D$3:$U$33,3,0),$A26&gt;VLOOKUP(AA$2,行为概览!$D$3:$U$33,4,0)),0,VLOOKUP(AA$2,行为概览!$D$3:$U$33,6,0)),4)</f>
        <v>0</v>
      </c>
      <c r="AB26" s="20">
        <f>ROUND(IF(OR($A26&lt;VLOOKUP(AB$2,行为概览!$D$3:$U$33,3,0),$A26&gt;VLOOKUP(AB$2,行为概览!$D$3:$U$33,4,0)),0,VLOOKUP(AB$2,行为概览!$D$3:$U$33,6,0)),4)</f>
        <v>0</v>
      </c>
      <c r="AC26" s="20">
        <f>ROUND(IF(OR($A26&lt;VLOOKUP(AC$2,行为概览!$D$3:$U$33,3,0),$A26&gt;VLOOKUP(AC$2,行为概览!$D$3:$U$33,4,0)),0,VLOOKUP(AC$2,行为概览!$D$3:$U$33,6,0)),4)</f>
        <v>0</v>
      </c>
      <c r="AD26" s="20">
        <f>ROUND(IF(OR($A26&lt;VLOOKUP(AD$2,行为概览!$D$3:$U$33,3,0),$A26&gt;VLOOKUP(AD$2,行为概览!$D$3:$U$33,4,0)),0,VLOOKUP(AD$2,行为概览!$D$3:$U$33,6,0)),4)</f>
        <v>0</v>
      </c>
      <c r="AE26" s="20">
        <f>ROUND(IF(OR($A26&lt;VLOOKUP(AE$2,行为概览!$D$3:$U$33,3,0),$A26&gt;VLOOKUP(AE$2,行为概览!$D$3:$U$33,4,0)),0,VLOOKUP(AE$2,行为概览!$D$3:$U$33,6,0)),4)</f>
        <v>0</v>
      </c>
      <c r="AF26" s="20">
        <f>ROUND(IF(OR($A26&lt;VLOOKUP(AF$2,行为概览!$D$3:$U$33,3,0),$A26&gt;VLOOKUP(AF$2,行为概览!$D$3:$U$33,4,0)),0,VLOOKUP(AF$2,行为概览!$D$3:$U$33,6,0)),4)</f>
        <v>0</v>
      </c>
    </row>
    <row r="27" spans="1:32">
      <c r="A27" s="19">
        <v>25</v>
      </c>
      <c r="B27" s="20">
        <f>ROUND(IF(OR($A27&lt;VLOOKUP(B$2,行为概览!$D$3:$U$33,3,0),$A27&gt;VLOOKUP(B$2,行为概览!$D$3:$U$33,4,0)),0,VLOOKUP(B$2,行为概览!$D$3:$U$33,6,0)),4)</f>
        <v>0.33329999999999999</v>
      </c>
      <c r="C27" s="20">
        <f>ROUND(IF(OR($A27&lt;VLOOKUP(C$2,行为概览!$D$3:$U$33,3,0),$A27&gt;VLOOKUP(C$2,行为概览!$D$3:$U$33,4,0)),0,VLOOKUP(C$2,行为概览!$D$3:$U$33,6,0)),4)</f>
        <v>2</v>
      </c>
      <c r="D27" s="20">
        <f>ROUND(IF(OR($A27&lt;VLOOKUP(D$2,行为概览!$D$3:$U$33,3,0),$A27&gt;VLOOKUP(D$2,行为概览!$D$3:$U$33,4,0)),0,VLOOKUP(D$2,行为概览!$D$3:$U$33,6,0)),4)</f>
        <v>8.3299999999999999E-2</v>
      </c>
      <c r="E27" s="20">
        <f>ROUND(IF(OR($A27&lt;VLOOKUP(E$2,行为概览!$D$3:$U$33,3,0),$A27&gt;VLOOKUP(E$2,行为概览!$D$3:$U$33,4,0)),0,VLOOKUP(E$2,行为概览!$D$3:$U$33,6,0)),4)</f>
        <v>0</v>
      </c>
      <c r="F27" s="20">
        <f>ROUND(IF(OR($A27&lt;VLOOKUP(F$2,行为概览!$D$3:$U$33,3,0),$A27&gt;VLOOKUP(F$2,行为概览!$D$3:$U$33,4,0)),0,VLOOKUP(F$2,行为概览!$D$3:$U$33,6,0)),4)</f>
        <v>0.33329999999999999</v>
      </c>
      <c r="G27" s="20">
        <f>ROUND(IF(OR($A27&lt;VLOOKUP(G$2,行为概览!$D$3:$U$33,3,0),$A27&gt;VLOOKUP(G$2,行为概览!$D$3:$U$33,4,0)),0,VLOOKUP(G$2,行为概览!$D$3:$U$33,6,0)),4)</f>
        <v>0</v>
      </c>
      <c r="H27" s="20">
        <f>ROUND(IF(OR($A27&lt;VLOOKUP(H$2,行为概览!$D$3:$U$33,3,0),$A27&gt;VLOOKUP(H$2,行为概览!$D$3:$U$33,4,0)),0,VLOOKUP(H$2,行为概览!$D$3:$U$33,6,0)),4)</f>
        <v>0</v>
      </c>
      <c r="I27" s="20">
        <f>ROUND(IF(OR($A27&lt;VLOOKUP(I$2,行为概览!$D$3:$U$33,3,0),$A27&gt;VLOOKUP(I$2,行为概览!$D$3:$U$33,4,0)),0,VLOOKUP(I$2,行为概览!$D$3:$U$33,6,0)),4)</f>
        <v>0</v>
      </c>
      <c r="J27" s="20">
        <f>ROUND(IF(OR($A27&lt;VLOOKUP(J$2,行为概览!$D$3:$U$33,3,0),$A27&gt;VLOOKUP(J$2,行为概览!$D$3:$U$33,4,0)),0,VLOOKUP(J$2,行为概览!$D$3:$U$33,6,0)),4)</f>
        <v>0</v>
      </c>
      <c r="K27" s="20">
        <f>ROUND(IF(OR($A27&lt;VLOOKUP(K$2,行为概览!$D$3:$U$33,3,0),$A27&gt;VLOOKUP(K$2,行为概览!$D$3:$U$33,4,0)),0,VLOOKUP(K$2,行为概览!$D$3:$U$33,6,0)),4)</f>
        <v>0</v>
      </c>
      <c r="L27" s="20">
        <f>ROUND(IF(OR($A27&lt;VLOOKUP(L$2,行为概览!$D$3:$U$33,3,0),$A27&gt;VLOOKUP(L$2,行为概览!$D$3:$U$33,4,0)),0,VLOOKUP(L$2,行为概览!$D$3:$U$33,6,0)),4)</f>
        <v>0</v>
      </c>
      <c r="M27" s="20">
        <f>ROUND(IF(OR($A27&lt;VLOOKUP(M$2,行为概览!$D$3:$U$33,3,0),$A27&gt;VLOOKUP(M$2,行为概览!$D$3:$U$33,4,0)),0,VLOOKUP(M$2,行为概览!$D$3:$U$33,6,0)),4)</f>
        <v>12</v>
      </c>
      <c r="N27" s="20">
        <f>ROUND(IF(OR($A27&lt;VLOOKUP(N$2,行为概览!$D$3:$U$33,3,0),$A27&gt;VLOOKUP(N$2,行为概览!$D$3:$U$33,4,0)),0,VLOOKUP(N$2,行为概览!$D$3:$U$33,6,0)),4)</f>
        <v>8.3299999999999999E-2</v>
      </c>
      <c r="O27" s="20">
        <f>ROUND(IF(OR($A27&lt;VLOOKUP(O$2,行为概览!$D$3:$U$33,3,0),$A27&gt;VLOOKUP(O$2,行为概览!$D$3:$U$33,4,0)),0,VLOOKUP(O$2,行为概览!$D$3:$U$33,6,0)),4)</f>
        <v>8.3299999999999999E-2</v>
      </c>
      <c r="P27" s="20">
        <f>ROUND(IF(OR($A27&lt;VLOOKUP(P$2,行为概览!$D$3:$U$33,3,0),$A27&gt;VLOOKUP(P$2,行为概览!$D$3:$U$33,4,0)),0,VLOOKUP(P$2,行为概览!$D$3:$U$33,6,0)),4)</f>
        <v>2.6</v>
      </c>
      <c r="Q27" s="20">
        <f>ROUND(IF(OR($A27&lt;VLOOKUP(Q$2,行为概览!$D$3:$U$33,3,0),$A27&gt;VLOOKUP(Q$2,行为概览!$D$3:$U$33,4,0)),0,VLOOKUP(Q$2,行为概览!$D$3:$U$33,6,0)),4)</f>
        <v>0</v>
      </c>
      <c r="R27" s="20">
        <f>ROUND(IF(OR($A27&lt;VLOOKUP(R$2,行为概览!$D$3:$U$33,3,0),$A27&gt;VLOOKUP(R$2,行为概览!$D$3:$U$33,4,0)),0,VLOOKUP(R$2,行为概览!$D$3:$U$33,6,0)),4)</f>
        <v>0.33329999999999999</v>
      </c>
      <c r="S27" s="20">
        <f>ROUND(IF(OR($A27&lt;VLOOKUP(S$2,行为概览!$D$3:$U$33,3,0),$A27&gt;VLOOKUP(S$2,行为概览!$D$3:$U$33,4,0)),0,VLOOKUP(S$2,行为概览!$D$3:$U$33,6,0)),4)</f>
        <v>0</v>
      </c>
      <c r="T27" s="20">
        <f>ROUND(IF(OR($A27&lt;VLOOKUP(T$2,行为概览!$D$3:$U$33,3,0),$A27&gt;VLOOKUP(T$2,行为概览!$D$3:$U$33,4,0)),0,VLOOKUP(T$2,行为概览!$D$3:$U$33,6,0)),4)</f>
        <v>0</v>
      </c>
      <c r="U27" s="20">
        <f>ROUND(IF(OR($A27&lt;VLOOKUP(U$2,行为概览!$D$3:$U$33,3,0),$A27&gt;VLOOKUP(U$2,行为概览!$D$3:$U$33,4,0)),0,VLOOKUP(U$2,行为概览!$D$3:$U$33,6,0)),4)</f>
        <v>0.16669999999999999</v>
      </c>
      <c r="V27" s="20">
        <f>ROUND(IF(OR($A27&lt;VLOOKUP(V$2,行为概览!$D$3:$U$33,3,0),$A27&gt;VLOOKUP(V$2,行为概览!$D$3:$U$33,4,0)),0,VLOOKUP(V$2,行为概览!$D$3:$U$33,6,0)),4)</f>
        <v>0</v>
      </c>
      <c r="W27" s="20">
        <f>ROUND(IF(OR($A27&lt;VLOOKUP(W$2,行为概览!$D$3:$U$33,3,0),$A27&gt;VLOOKUP(W$2,行为概览!$D$3:$U$33,4,0)),0,VLOOKUP(W$2,行为概览!$D$3:$U$33,6,0)),4)</f>
        <v>0</v>
      </c>
      <c r="X27" s="20">
        <f>ROUND(IF(OR($A27&lt;VLOOKUP(X$2,行为概览!$D$3:$U$33,3,0),$A27&gt;VLOOKUP(X$2,行为概览!$D$3:$U$33,4,0)),0,VLOOKUP(X$2,行为概览!$D$3:$U$33,6,0)),4)</f>
        <v>0</v>
      </c>
      <c r="Y27" s="20">
        <f>ROUND(IF(OR($A27&lt;VLOOKUP(Y$2,行为概览!$D$3:$U$33,3,0),$A27&gt;VLOOKUP(Y$2,行为概览!$D$3:$U$33,4,0)),0,VLOOKUP(Y$2,行为概览!$D$3:$U$33,6,0)),4)</f>
        <v>0</v>
      </c>
      <c r="Z27" s="20">
        <f>ROUND(IF(OR($A27&lt;VLOOKUP(Z$2,行为概览!$D$3:$U$33,3,0),$A27&gt;VLOOKUP(Z$2,行为概览!$D$3:$U$33,4,0)),0,VLOOKUP(Z$2,行为概览!$D$3:$U$33,6,0)),4)</f>
        <v>0</v>
      </c>
      <c r="AA27" s="20">
        <f>ROUND(IF(OR($A27&lt;VLOOKUP(AA$2,行为概览!$D$3:$U$33,3,0),$A27&gt;VLOOKUP(AA$2,行为概览!$D$3:$U$33,4,0)),0,VLOOKUP(AA$2,行为概览!$D$3:$U$33,6,0)),4)</f>
        <v>0</v>
      </c>
      <c r="AB27" s="20">
        <f>ROUND(IF(OR($A27&lt;VLOOKUP(AB$2,行为概览!$D$3:$U$33,3,0),$A27&gt;VLOOKUP(AB$2,行为概览!$D$3:$U$33,4,0)),0,VLOOKUP(AB$2,行为概览!$D$3:$U$33,6,0)),4)</f>
        <v>0</v>
      </c>
      <c r="AC27" s="20">
        <f>ROUND(IF(OR($A27&lt;VLOOKUP(AC$2,行为概览!$D$3:$U$33,3,0),$A27&gt;VLOOKUP(AC$2,行为概览!$D$3:$U$33,4,0)),0,VLOOKUP(AC$2,行为概览!$D$3:$U$33,6,0)),4)</f>
        <v>0</v>
      </c>
      <c r="AD27" s="20">
        <f>ROUND(IF(OR($A27&lt;VLOOKUP(AD$2,行为概览!$D$3:$U$33,3,0),$A27&gt;VLOOKUP(AD$2,行为概览!$D$3:$U$33,4,0)),0,VLOOKUP(AD$2,行为概览!$D$3:$U$33,6,0)),4)</f>
        <v>0</v>
      </c>
      <c r="AE27" s="20">
        <f>ROUND(IF(OR($A27&lt;VLOOKUP(AE$2,行为概览!$D$3:$U$33,3,0),$A27&gt;VLOOKUP(AE$2,行为概览!$D$3:$U$33,4,0)),0,VLOOKUP(AE$2,行为概览!$D$3:$U$33,6,0)),4)</f>
        <v>8.3299999999999999E-2</v>
      </c>
      <c r="AF27" s="20">
        <f>ROUND(IF(OR($A27&lt;VLOOKUP(AF$2,行为概览!$D$3:$U$33,3,0),$A27&gt;VLOOKUP(AF$2,行为概览!$D$3:$U$33,4,0)),0,VLOOKUP(AF$2,行为概览!$D$3:$U$33,6,0)),4)</f>
        <v>0</v>
      </c>
    </row>
    <row r="28" spans="1:32">
      <c r="A28" s="19">
        <v>26</v>
      </c>
      <c r="B28" s="20">
        <f>ROUND(IF(OR($A28&lt;VLOOKUP(B$2,行为概览!$D$3:$U$33,3,0),$A28&gt;VLOOKUP(B$2,行为概览!$D$3:$U$33,4,0)),0,VLOOKUP(B$2,行为概览!$D$3:$U$33,6,0)),4)</f>
        <v>0.33329999999999999</v>
      </c>
      <c r="C28" s="20">
        <f>ROUND(IF(OR($A28&lt;VLOOKUP(C$2,行为概览!$D$3:$U$33,3,0),$A28&gt;VLOOKUP(C$2,行为概览!$D$3:$U$33,4,0)),0,VLOOKUP(C$2,行为概览!$D$3:$U$33,6,0)),4)</f>
        <v>2</v>
      </c>
      <c r="D28" s="20">
        <f>ROUND(IF(OR($A28&lt;VLOOKUP(D$2,行为概览!$D$3:$U$33,3,0),$A28&gt;VLOOKUP(D$2,行为概览!$D$3:$U$33,4,0)),0,VLOOKUP(D$2,行为概览!$D$3:$U$33,6,0)),4)</f>
        <v>8.3299999999999999E-2</v>
      </c>
      <c r="E28" s="20">
        <f>ROUND(IF(OR($A28&lt;VLOOKUP(E$2,行为概览!$D$3:$U$33,3,0),$A28&gt;VLOOKUP(E$2,行为概览!$D$3:$U$33,4,0)),0,VLOOKUP(E$2,行为概览!$D$3:$U$33,6,0)),4)</f>
        <v>0</v>
      </c>
      <c r="F28" s="20">
        <f>ROUND(IF(OR($A28&lt;VLOOKUP(F$2,行为概览!$D$3:$U$33,3,0),$A28&gt;VLOOKUP(F$2,行为概览!$D$3:$U$33,4,0)),0,VLOOKUP(F$2,行为概览!$D$3:$U$33,6,0)),4)</f>
        <v>0.33329999999999999</v>
      </c>
      <c r="G28" s="20">
        <f>ROUND(IF(OR($A28&lt;VLOOKUP(G$2,行为概览!$D$3:$U$33,3,0),$A28&gt;VLOOKUP(G$2,行为概览!$D$3:$U$33,4,0)),0,VLOOKUP(G$2,行为概览!$D$3:$U$33,6,0)),4)</f>
        <v>0</v>
      </c>
      <c r="H28" s="20">
        <f>ROUND(IF(OR($A28&lt;VLOOKUP(H$2,行为概览!$D$3:$U$33,3,0),$A28&gt;VLOOKUP(H$2,行为概览!$D$3:$U$33,4,0)),0,VLOOKUP(H$2,行为概览!$D$3:$U$33,6,0)),4)</f>
        <v>0</v>
      </c>
      <c r="I28" s="20">
        <f>ROUND(IF(OR($A28&lt;VLOOKUP(I$2,行为概览!$D$3:$U$33,3,0),$A28&gt;VLOOKUP(I$2,行为概览!$D$3:$U$33,4,0)),0,VLOOKUP(I$2,行为概览!$D$3:$U$33,6,0)),4)</f>
        <v>0</v>
      </c>
      <c r="J28" s="20">
        <f>ROUND(IF(OR($A28&lt;VLOOKUP(J$2,行为概览!$D$3:$U$33,3,0),$A28&gt;VLOOKUP(J$2,行为概览!$D$3:$U$33,4,0)),0,VLOOKUP(J$2,行为概览!$D$3:$U$33,6,0)),4)</f>
        <v>0</v>
      </c>
      <c r="K28" s="20">
        <f>ROUND(IF(OR($A28&lt;VLOOKUP(K$2,行为概览!$D$3:$U$33,3,0),$A28&gt;VLOOKUP(K$2,行为概览!$D$3:$U$33,4,0)),0,VLOOKUP(K$2,行为概览!$D$3:$U$33,6,0)),4)</f>
        <v>0</v>
      </c>
      <c r="L28" s="20">
        <f>ROUND(IF(OR($A28&lt;VLOOKUP(L$2,行为概览!$D$3:$U$33,3,0),$A28&gt;VLOOKUP(L$2,行为概览!$D$3:$U$33,4,0)),0,VLOOKUP(L$2,行为概览!$D$3:$U$33,6,0)),4)</f>
        <v>0</v>
      </c>
      <c r="M28" s="20">
        <f>ROUND(IF(OR($A28&lt;VLOOKUP(M$2,行为概览!$D$3:$U$33,3,0),$A28&gt;VLOOKUP(M$2,行为概览!$D$3:$U$33,4,0)),0,VLOOKUP(M$2,行为概览!$D$3:$U$33,6,0)),4)</f>
        <v>12</v>
      </c>
      <c r="N28" s="20">
        <f>ROUND(IF(OR($A28&lt;VLOOKUP(N$2,行为概览!$D$3:$U$33,3,0),$A28&gt;VLOOKUP(N$2,行为概览!$D$3:$U$33,4,0)),0,VLOOKUP(N$2,行为概览!$D$3:$U$33,6,0)),4)</f>
        <v>8.3299999999999999E-2</v>
      </c>
      <c r="O28" s="20">
        <f>ROUND(IF(OR($A28&lt;VLOOKUP(O$2,行为概览!$D$3:$U$33,3,0),$A28&gt;VLOOKUP(O$2,行为概览!$D$3:$U$33,4,0)),0,VLOOKUP(O$2,行为概览!$D$3:$U$33,6,0)),4)</f>
        <v>8.3299999999999999E-2</v>
      </c>
      <c r="P28" s="20">
        <f>ROUND(IF(OR($A28&lt;VLOOKUP(P$2,行为概览!$D$3:$U$33,3,0),$A28&gt;VLOOKUP(P$2,行为概览!$D$3:$U$33,4,0)),0,VLOOKUP(P$2,行为概览!$D$3:$U$33,6,0)),4)</f>
        <v>2.6</v>
      </c>
      <c r="Q28" s="20">
        <f>ROUND(IF(OR($A28&lt;VLOOKUP(Q$2,行为概览!$D$3:$U$33,3,0),$A28&gt;VLOOKUP(Q$2,行为概览!$D$3:$U$33,4,0)),0,VLOOKUP(Q$2,行为概览!$D$3:$U$33,6,0)),4)</f>
        <v>0</v>
      </c>
      <c r="R28" s="20">
        <f>ROUND(IF(OR($A28&lt;VLOOKUP(R$2,行为概览!$D$3:$U$33,3,0),$A28&gt;VLOOKUP(R$2,行为概览!$D$3:$U$33,4,0)),0,VLOOKUP(R$2,行为概览!$D$3:$U$33,6,0)),4)</f>
        <v>0.33329999999999999</v>
      </c>
      <c r="S28" s="20">
        <f>ROUND(IF(OR($A28&lt;VLOOKUP(S$2,行为概览!$D$3:$U$33,3,0),$A28&gt;VLOOKUP(S$2,行为概览!$D$3:$U$33,4,0)),0,VLOOKUP(S$2,行为概览!$D$3:$U$33,6,0)),4)</f>
        <v>0</v>
      </c>
      <c r="T28" s="20">
        <f>ROUND(IF(OR($A28&lt;VLOOKUP(T$2,行为概览!$D$3:$U$33,3,0),$A28&gt;VLOOKUP(T$2,行为概览!$D$3:$U$33,4,0)),0,VLOOKUP(T$2,行为概览!$D$3:$U$33,6,0)),4)</f>
        <v>0</v>
      </c>
      <c r="U28" s="20">
        <f>ROUND(IF(OR($A28&lt;VLOOKUP(U$2,行为概览!$D$3:$U$33,3,0),$A28&gt;VLOOKUP(U$2,行为概览!$D$3:$U$33,4,0)),0,VLOOKUP(U$2,行为概览!$D$3:$U$33,6,0)),4)</f>
        <v>0.16669999999999999</v>
      </c>
      <c r="V28" s="20">
        <f>ROUND(IF(OR($A28&lt;VLOOKUP(V$2,行为概览!$D$3:$U$33,3,0),$A28&gt;VLOOKUP(V$2,行为概览!$D$3:$U$33,4,0)),0,VLOOKUP(V$2,行为概览!$D$3:$U$33,6,0)),4)</f>
        <v>0</v>
      </c>
      <c r="W28" s="20">
        <f>ROUND(IF(OR($A28&lt;VLOOKUP(W$2,行为概览!$D$3:$U$33,3,0),$A28&gt;VLOOKUP(W$2,行为概览!$D$3:$U$33,4,0)),0,VLOOKUP(W$2,行为概览!$D$3:$U$33,6,0)),4)</f>
        <v>0</v>
      </c>
      <c r="X28" s="20">
        <f>ROUND(IF(OR($A28&lt;VLOOKUP(X$2,行为概览!$D$3:$U$33,3,0),$A28&gt;VLOOKUP(X$2,行为概览!$D$3:$U$33,4,0)),0,VLOOKUP(X$2,行为概览!$D$3:$U$33,6,0)),4)</f>
        <v>0</v>
      </c>
      <c r="Y28" s="20">
        <f>ROUND(IF(OR($A28&lt;VLOOKUP(Y$2,行为概览!$D$3:$U$33,3,0),$A28&gt;VLOOKUP(Y$2,行为概览!$D$3:$U$33,4,0)),0,VLOOKUP(Y$2,行为概览!$D$3:$U$33,6,0)),4)</f>
        <v>0</v>
      </c>
      <c r="Z28" s="20">
        <f>ROUND(IF(OR($A28&lt;VLOOKUP(Z$2,行为概览!$D$3:$U$33,3,0),$A28&gt;VLOOKUP(Z$2,行为概览!$D$3:$U$33,4,0)),0,VLOOKUP(Z$2,行为概览!$D$3:$U$33,6,0)),4)</f>
        <v>0</v>
      </c>
      <c r="AA28" s="20">
        <f>ROUND(IF(OR($A28&lt;VLOOKUP(AA$2,行为概览!$D$3:$U$33,3,0),$A28&gt;VLOOKUP(AA$2,行为概览!$D$3:$U$33,4,0)),0,VLOOKUP(AA$2,行为概览!$D$3:$U$33,6,0)),4)</f>
        <v>0</v>
      </c>
      <c r="AB28" s="20">
        <f>ROUND(IF(OR($A28&lt;VLOOKUP(AB$2,行为概览!$D$3:$U$33,3,0),$A28&gt;VLOOKUP(AB$2,行为概览!$D$3:$U$33,4,0)),0,VLOOKUP(AB$2,行为概览!$D$3:$U$33,6,0)),4)</f>
        <v>0</v>
      </c>
      <c r="AC28" s="20">
        <f>ROUND(IF(OR($A28&lt;VLOOKUP(AC$2,行为概览!$D$3:$U$33,3,0),$A28&gt;VLOOKUP(AC$2,行为概览!$D$3:$U$33,4,0)),0,VLOOKUP(AC$2,行为概览!$D$3:$U$33,6,0)),4)</f>
        <v>0</v>
      </c>
      <c r="AD28" s="20">
        <f>ROUND(IF(OR($A28&lt;VLOOKUP(AD$2,行为概览!$D$3:$U$33,3,0),$A28&gt;VLOOKUP(AD$2,行为概览!$D$3:$U$33,4,0)),0,VLOOKUP(AD$2,行为概览!$D$3:$U$33,6,0)),4)</f>
        <v>0</v>
      </c>
      <c r="AE28" s="20">
        <f>ROUND(IF(OR($A28&lt;VLOOKUP(AE$2,行为概览!$D$3:$U$33,3,0),$A28&gt;VLOOKUP(AE$2,行为概览!$D$3:$U$33,4,0)),0,VLOOKUP(AE$2,行为概览!$D$3:$U$33,6,0)),4)</f>
        <v>8.3299999999999999E-2</v>
      </c>
      <c r="AF28" s="20">
        <f>ROUND(IF(OR($A28&lt;VLOOKUP(AF$2,行为概览!$D$3:$U$33,3,0),$A28&gt;VLOOKUP(AF$2,行为概览!$D$3:$U$33,4,0)),0,VLOOKUP(AF$2,行为概览!$D$3:$U$33,6,0)),4)</f>
        <v>0</v>
      </c>
    </row>
    <row r="29" spans="1:32">
      <c r="A29" s="19">
        <v>27</v>
      </c>
      <c r="B29" s="20">
        <f>ROUND(IF(OR($A29&lt;VLOOKUP(B$2,行为概览!$D$3:$U$33,3,0),$A29&gt;VLOOKUP(B$2,行为概览!$D$3:$U$33,4,0)),0,VLOOKUP(B$2,行为概览!$D$3:$U$33,6,0)),4)</f>
        <v>0.33329999999999999</v>
      </c>
      <c r="C29" s="20">
        <f>ROUND(IF(OR($A29&lt;VLOOKUP(C$2,行为概览!$D$3:$U$33,3,0),$A29&gt;VLOOKUP(C$2,行为概览!$D$3:$U$33,4,0)),0,VLOOKUP(C$2,行为概览!$D$3:$U$33,6,0)),4)</f>
        <v>2</v>
      </c>
      <c r="D29" s="20">
        <f>ROUND(IF(OR($A29&lt;VLOOKUP(D$2,行为概览!$D$3:$U$33,3,0),$A29&gt;VLOOKUP(D$2,行为概览!$D$3:$U$33,4,0)),0,VLOOKUP(D$2,行为概览!$D$3:$U$33,6,0)),4)</f>
        <v>8.3299999999999999E-2</v>
      </c>
      <c r="E29" s="20">
        <f>ROUND(IF(OR($A29&lt;VLOOKUP(E$2,行为概览!$D$3:$U$33,3,0),$A29&gt;VLOOKUP(E$2,行为概览!$D$3:$U$33,4,0)),0,VLOOKUP(E$2,行为概览!$D$3:$U$33,6,0)),4)</f>
        <v>0</v>
      </c>
      <c r="F29" s="20">
        <f>ROUND(IF(OR($A29&lt;VLOOKUP(F$2,行为概览!$D$3:$U$33,3,0),$A29&gt;VLOOKUP(F$2,行为概览!$D$3:$U$33,4,0)),0,VLOOKUP(F$2,行为概览!$D$3:$U$33,6,0)),4)</f>
        <v>0.33329999999999999</v>
      </c>
      <c r="G29" s="20">
        <f>ROUND(IF(OR($A29&lt;VLOOKUP(G$2,行为概览!$D$3:$U$33,3,0),$A29&gt;VLOOKUP(G$2,行为概览!$D$3:$U$33,4,0)),0,VLOOKUP(G$2,行为概览!$D$3:$U$33,6,0)),4)</f>
        <v>0</v>
      </c>
      <c r="H29" s="20">
        <f>ROUND(IF(OR($A29&lt;VLOOKUP(H$2,行为概览!$D$3:$U$33,3,0),$A29&gt;VLOOKUP(H$2,行为概览!$D$3:$U$33,4,0)),0,VLOOKUP(H$2,行为概览!$D$3:$U$33,6,0)),4)</f>
        <v>0</v>
      </c>
      <c r="I29" s="20">
        <f>ROUND(IF(OR($A29&lt;VLOOKUP(I$2,行为概览!$D$3:$U$33,3,0),$A29&gt;VLOOKUP(I$2,行为概览!$D$3:$U$33,4,0)),0,VLOOKUP(I$2,行为概览!$D$3:$U$33,6,0)),4)</f>
        <v>0</v>
      </c>
      <c r="J29" s="20">
        <f>ROUND(IF(OR($A29&lt;VLOOKUP(J$2,行为概览!$D$3:$U$33,3,0),$A29&gt;VLOOKUP(J$2,行为概览!$D$3:$U$33,4,0)),0,VLOOKUP(J$2,行为概览!$D$3:$U$33,6,0)),4)</f>
        <v>0</v>
      </c>
      <c r="K29" s="20">
        <f>ROUND(IF(OR($A29&lt;VLOOKUP(K$2,行为概览!$D$3:$U$33,3,0),$A29&gt;VLOOKUP(K$2,行为概览!$D$3:$U$33,4,0)),0,VLOOKUP(K$2,行为概览!$D$3:$U$33,6,0)),4)</f>
        <v>0</v>
      </c>
      <c r="L29" s="20">
        <f>ROUND(IF(OR($A29&lt;VLOOKUP(L$2,行为概览!$D$3:$U$33,3,0),$A29&gt;VLOOKUP(L$2,行为概览!$D$3:$U$33,4,0)),0,VLOOKUP(L$2,行为概览!$D$3:$U$33,6,0)),4)</f>
        <v>0</v>
      </c>
      <c r="M29" s="20">
        <f>ROUND(IF(OR($A29&lt;VLOOKUP(M$2,行为概览!$D$3:$U$33,3,0),$A29&gt;VLOOKUP(M$2,行为概览!$D$3:$U$33,4,0)),0,VLOOKUP(M$2,行为概览!$D$3:$U$33,6,0)),4)</f>
        <v>12</v>
      </c>
      <c r="N29" s="20">
        <f>ROUND(IF(OR($A29&lt;VLOOKUP(N$2,行为概览!$D$3:$U$33,3,0),$A29&gt;VLOOKUP(N$2,行为概览!$D$3:$U$33,4,0)),0,VLOOKUP(N$2,行为概览!$D$3:$U$33,6,0)),4)</f>
        <v>8.3299999999999999E-2</v>
      </c>
      <c r="O29" s="20">
        <f>ROUND(IF(OR($A29&lt;VLOOKUP(O$2,行为概览!$D$3:$U$33,3,0),$A29&gt;VLOOKUP(O$2,行为概览!$D$3:$U$33,4,0)),0,VLOOKUP(O$2,行为概览!$D$3:$U$33,6,0)),4)</f>
        <v>8.3299999999999999E-2</v>
      </c>
      <c r="P29" s="20">
        <f>ROUND(IF(OR($A29&lt;VLOOKUP(P$2,行为概览!$D$3:$U$33,3,0),$A29&gt;VLOOKUP(P$2,行为概览!$D$3:$U$33,4,0)),0,VLOOKUP(P$2,行为概览!$D$3:$U$33,6,0)),4)</f>
        <v>2.6</v>
      </c>
      <c r="Q29" s="20">
        <f>ROUND(IF(OR($A29&lt;VLOOKUP(Q$2,行为概览!$D$3:$U$33,3,0),$A29&gt;VLOOKUP(Q$2,行为概览!$D$3:$U$33,4,0)),0,VLOOKUP(Q$2,行为概览!$D$3:$U$33,6,0)),4)</f>
        <v>0</v>
      </c>
      <c r="R29" s="20">
        <f>ROUND(IF(OR($A29&lt;VLOOKUP(R$2,行为概览!$D$3:$U$33,3,0),$A29&gt;VLOOKUP(R$2,行为概览!$D$3:$U$33,4,0)),0,VLOOKUP(R$2,行为概览!$D$3:$U$33,6,0)),4)</f>
        <v>0.33329999999999999</v>
      </c>
      <c r="S29" s="20">
        <f>ROUND(IF(OR($A29&lt;VLOOKUP(S$2,行为概览!$D$3:$U$33,3,0),$A29&gt;VLOOKUP(S$2,行为概览!$D$3:$U$33,4,0)),0,VLOOKUP(S$2,行为概览!$D$3:$U$33,6,0)),4)</f>
        <v>0</v>
      </c>
      <c r="T29" s="20">
        <f>ROUND(IF(OR($A29&lt;VLOOKUP(T$2,行为概览!$D$3:$U$33,3,0),$A29&gt;VLOOKUP(T$2,行为概览!$D$3:$U$33,4,0)),0,VLOOKUP(T$2,行为概览!$D$3:$U$33,6,0)),4)</f>
        <v>0</v>
      </c>
      <c r="U29" s="20">
        <f>ROUND(IF(OR($A29&lt;VLOOKUP(U$2,行为概览!$D$3:$U$33,3,0),$A29&gt;VLOOKUP(U$2,行为概览!$D$3:$U$33,4,0)),0,VLOOKUP(U$2,行为概览!$D$3:$U$33,6,0)),4)</f>
        <v>0.16669999999999999</v>
      </c>
      <c r="V29" s="20">
        <f>ROUND(IF(OR($A29&lt;VLOOKUP(V$2,行为概览!$D$3:$U$33,3,0),$A29&gt;VLOOKUP(V$2,行为概览!$D$3:$U$33,4,0)),0,VLOOKUP(V$2,行为概览!$D$3:$U$33,6,0)),4)</f>
        <v>0</v>
      </c>
      <c r="W29" s="20">
        <f>ROUND(IF(OR($A29&lt;VLOOKUP(W$2,行为概览!$D$3:$U$33,3,0),$A29&gt;VLOOKUP(W$2,行为概览!$D$3:$U$33,4,0)),0,VLOOKUP(W$2,行为概览!$D$3:$U$33,6,0)),4)</f>
        <v>0</v>
      </c>
      <c r="X29" s="20">
        <f>ROUND(IF(OR($A29&lt;VLOOKUP(X$2,行为概览!$D$3:$U$33,3,0),$A29&gt;VLOOKUP(X$2,行为概览!$D$3:$U$33,4,0)),0,VLOOKUP(X$2,行为概览!$D$3:$U$33,6,0)),4)</f>
        <v>0</v>
      </c>
      <c r="Y29" s="20">
        <f>ROUND(IF(OR($A29&lt;VLOOKUP(Y$2,行为概览!$D$3:$U$33,3,0),$A29&gt;VLOOKUP(Y$2,行为概览!$D$3:$U$33,4,0)),0,VLOOKUP(Y$2,行为概览!$D$3:$U$33,6,0)),4)</f>
        <v>0</v>
      </c>
      <c r="Z29" s="20">
        <f>ROUND(IF(OR($A29&lt;VLOOKUP(Z$2,行为概览!$D$3:$U$33,3,0),$A29&gt;VLOOKUP(Z$2,行为概览!$D$3:$U$33,4,0)),0,VLOOKUP(Z$2,行为概览!$D$3:$U$33,6,0)),4)</f>
        <v>0</v>
      </c>
      <c r="AA29" s="20">
        <f>ROUND(IF(OR($A29&lt;VLOOKUP(AA$2,行为概览!$D$3:$U$33,3,0),$A29&gt;VLOOKUP(AA$2,行为概览!$D$3:$U$33,4,0)),0,VLOOKUP(AA$2,行为概览!$D$3:$U$33,6,0)),4)</f>
        <v>0</v>
      </c>
      <c r="AB29" s="20">
        <f>ROUND(IF(OR($A29&lt;VLOOKUP(AB$2,行为概览!$D$3:$U$33,3,0),$A29&gt;VLOOKUP(AB$2,行为概览!$D$3:$U$33,4,0)),0,VLOOKUP(AB$2,行为概览!$D$3:$U$33,6,0)),4)</f>
        <v>0</v>
      </c>
      <c r="AC29" s="20">
        <f>ROUND(IF(OR($A29&lt;VLOOKUP(AC$2,行为概览!$D$3:$U$33,3,0),$A29&gt;VLOOKUP(AC$2,行为概览!$D$3:$U$33,4,0)),0,VLOOKUP(AC$2,行为概览!$D$3:$U$33,6,0)),4)</f>
        <v>0</v>
      </c>
      <c r="AD29" s="20">
        <f>ROUND(IF(OR($A29&lt;VLOOKUP(AD$2,行为概览!$D$3:$U$33,3,0),$A29&gt;VLOOKUP(AD$2,行为概览!$D$3:$U$33,4,0)),0,VLOOKUP(AD$2,行为概览!$D$3:$U$33,6,0)),4)</f>
        <v>0</v>
      </c>
      <c r="AE29" s="20">
        <f>ROUND(IF(OR($A29&lt;VLOOKUP(AE$2,行为概览!$D$3:$U$33,3,0),$A29&gt;VLOOKUP(AE$2,行为概览!$D$3:$U$33,4,0)),0,VLOOKUP(AE$2,行为概览!$D$3:$U$33,6,0)),4)</f>
        <v>8.3299999999999999E-2</v>
      </c>
      <c r="AF29" s="20">
        <f>ROUND(IF(OR($A29&lt;VLOOKUP(AF$2,行为概览!$D$3:$U$33,3,0),$A29&gt;VLOOKUP(AF$2,行为概览!$D$3:$U$33,4,0)),0,VLOOKUP(AF$2,行为概览!$D$3:$U$33,6,0)),4)</f>
        <v>0</v>
      </c>
    </row>
    <row r="30" spans="1:32">
      <c r="A30" s="19">
        <v>28</v>
      </c>
      <c r="B30" s="20">
        <f>ROUND(IF(OR($A30&lt;VLOOKUP(B$2,行为概览!$D$3:$U$33,3,0),$A30&gt;VLOOKUP(B$2,行为概览!$D$3:$U$33,4,0)),0,VLOOKUP(B$2,行为概览!$D$3:$U$33,6,0)),4)</f>
        <v>0.33329999999999999</v>
      </c>
      <c r="C30" s="20">
        <f>ROUND(IF(OR($A30&lt;VLOOKUP(C$2,行为概览!$D$3:$U$33,3,0),$A30&gt;VLOOKUP(C$2,行为概览!$D$3:$U$33,4,0)),0,VLOOKUP(C$2,行为概览!$D$3:$U$33,6,0)),4)</f>
        <v>2</v>
      </c>
      <c r="D30" s="20">
        <f>ROUND(IF(OR($A30&lt;VLOOKUP(D$2,行为概览!$D$3:$U$33,3,0),$A30&gt;VLOOKUP(D$2,行为概览!$D$3:$U$33,4,0)),0,VLOOKUP(D$2,行为概览!$D$3:$U$33,6,0)),4)</f>
        <v>8.3299999999999999E-2</v>
      </c>
      <c r="E30" s="20">
        <f>ROUND(IF(OR($A30&lt;VLOOKUP(E$2,行为概览!$D$3:$U$33,3,0),$A30&gt;VLOOKUP(E$2,行为概览!$D$3:$U$33,4,0)),0,VLOOKUP(E$2,行为概览!$D$3:$U$33,6,0)),4)</f>
        <v>0</v>
      </c>
      <c r="F30" s="20">
        <f>ROUND(IF(OR($A30&lt;VLOOKUP(F$2,行为概览!$D$3:$U$33,3,0),$A30&gt;VLOOKUP(F$2,行为概览!$D$3:$U$33,4,0)),0,VLOOKUP(F$2,行为概览!$D$3:$U$33,6,0)),4)</f>
        <v>0.33329999999999999</v>
      </c>
      <c r="G30" s="20">
        <f>ROUND(IF(OR($A30&lt;VLOOKUP(G$2,行为概览!$D$3:$U$33,3,0),$A30&gt;VLOOKUP(G$2,行为概览!$D$3:$U$33,4,0)),0,VLOOKUP(G$2,行为概览!$D$3:$U$33,6,0)),4)</f>
        <v>0</v>
      </c>
      <c r="H30" s="20">
        <f>ROUND(IF(OR($A30&lt;VLOOKUP(H$2,行为概览!$D$3:$U$33,3,0),$A30&gt;VLOOKUP(H$2,行为概览!$D$3:$U$33,4,0)),0,VLOOKUP(H$2,行为概览!$D$3:$U$33,6,0)),4)</f>
        <v>0</v>
      </c>
      <c r="I30" s="20">
        <f>ROUND(IF(OR($A30&lt;VLOOKUP(I$2,行为概览!$D$3:$U$33,3,0),$A30&gt;VLOOKUP(I$2,行为概览!$D$3:$U$33,4,0)),0,VLOOKUP(I$2,行为概览!$D$3:$U$33,6,0)),4)</f>
        <v>0</v>
      </c>
      <c r="J30" s="20">
        <f>ROUND(IF(OR($A30&lt;VLOOKUP(J$2,行为概览!$D$3:$U$33,3,0),$A30&gt;VLOOKUP(J$2,行为概览!$D$3:$U$33,4,0)),0,VLOOKUP(J$2,行为概览!$D$3:$U$33,6,0)),4)</f>
        <v>0</v>
      </c>
      <c r="K30" s="20">
        <f>ROUND(IF(OR($A30&lt;VLOOKUP(K$2,行为概览!$D$3:$U$33,3,0),$A30&gt;VLOOKUP(K$2,行为概览!$D$3:$U$33,4,0)),0,VLOOKUP(K$2,行为概览!$D$3:$U$33,6,0)),4)</f>
        <v>0</v>
      </c>
      <c r="L30" s="20">
        <f>ROUND(IF(OR($A30&lt;VLOOKUP(L$2,行为概览!$D$3:$U$33,3,0),$A30&gt;VLOOKUP(L$2,行为概览!$D$3:$U$33,4,0)),0,VLOOKUP(L$2,行为概览!$D$3:$U$33,6,0)),4)</f>
        <v>0</v>
      </c>
      <c r="M30" s="20">
        <f>ROUND(IF(OR($A30&lt;VLOOKUP(M$2,行为概览!$D$3:$U$33,3,0),$A30&gt;VLOOKUP(M$2,行为概览!$D$3:$U$33,4,0)),0,VLOOKUP(M$2,行为概览!$D$3:$U$33,6,0)),4)</f>
        <v>12</v>
      </c>
      <c r="N30" s="20">
        <f>ROUND(IF(OR($A30&lt;VLOOKUP(N$2,行为概览!$D$3:$U$33,3,0),$A30&gt;VLOOKUP(N$2,行为概览!$D$3:$U$33,4,0)),0,VLOOKUP(N$2,行为概览!$D$3:$U$33,6,0)),4)</f>
        <v>8.3299999999999999E-2</v>
      </c>
      <c r="O30" s="20">
        <f>ROUND(IF(OR($A30&lt;VLOOKUP(O$2,行为概览!$D$3:$U$33,3,0),$A30&gt;VLOOKUP(O$2,行为概览!$D$3:$U$33,4,0)),0,VLOOKUP(O$2,行为概览!$D$3:$U$33,6,0)),4)</f>
        <v>8.3299999999999999E-2</v>
      </c>
      <c r="P30" s="20">
        <f>ROUND(IF(OR($A30&lt;VLOOKUP(P$2,行为概览!$D$3:$U$33,3,0),$A30&gt;VLOOKUP(P$2,行为概览!$D$3:$U$33,4,0)),0,VLOOKUP(P$2,行为概览!$D$3:$U$33,6,0)),4)</f>
        <v>2.6</v>
      </c>
      <c r="Q30" s="20">
        <f>ROUND(IF(OR($A30&lt;VLOOKUP(Q$2,行为概览!$D$3:$U$33,3,0),$A30&gt;VLOOKUP(Q$2,行为概览!$D$3:$U$33,4,0)),0,VLOOKUP(Q$2,行为概览!$D$3:$U$33,6,0)),4)</f>
        <v>0</v>
      </c>
      <c r="R30" s="20">
        <f>ROUND(IF(OR($A30&lt;VLOOKUP(R$2,行为概览!$D$3:$U$33,3,0),$A30&gt;VLOOKUP(R$2,行为概览!$D$3:$U$33,4,0)),0,VLOOKUP(R$2,行为概览!$D$3:$U$33,6,0)),4)</f>
        <v>0.33329999999999999</v>
      </c>
      <c r="S30" s="20">
        <f>ROUND(IF(OR($A30&lt;VLOOKUP(S$2,行为概览!$D$3:$U$33,3,0),$A30&gt;VLOOKUP(S$2,行为概览!$D$3:$U$33,4,0)),0,VLOOKUP(S$2,行为概览!$D$3:$U$33,6,0)),4)</f>
        <v>0</v>
      </c>
      <c r="T30" s="20">
        <f>ROUND(IF(OR($A30&lt;VLOOKUP(T$2,行为概览!$D$3:$U$33,3,0),$A30&gt;VLOOKUP(T$2,行为概览!$D$3:$U$33,4,0)),0,VLOOKUP(T$2,行为概览!$D$3:$U$33,6,0)),4)</f>
        <v>0</v>
      </c>
      <c r="U30" s="20">
        <f>ROUND(IF(OR($A30&lt;VLOOKUP(U$2,行为概览!$D$3:$U$33,3,0),$A30&gt;VLOOKUP(U$2,行为概览!$D$3:$U$33,4,0)),0,VLOOKUP(U$2,行为概览!$D$3:$U$33,6,0)),4)</f>
        <v>0.16669999999999999</v>
      </c>
      <c r="V30" s="20">
        <f>ROUND(IF(OR($A30&lt;VLOOKUP(V$2,行为概览!$D$3:$U$33,3,0),$A30&gt;VLOOKUP(V$2,行为概览!$D$3:$U$33,4,0)),0,VLOOKUP(V$2,行为概览!$D$3:$U$33,6,0)),4)</f>
        <v>0</v>
      </c>
      <c r="W30" s="20">
        <f>ROUND(IF(OR($A30&lt;VLOOKUP(W$2,行为概览!$D$3:$U$33,3,0),$A30&gt;VLOOKUP(W$2,行为概览!$D$3:$U$33,4,0)),0,VLOOKUP(W$2,行为概览!$D$3:$U$33,6,0)),4)</f>
        <v>0</v>
      </c>
      <c r="X30" s="20">
        <f>ROUND(IF(OR($A30&lt;VLOOKUP(X$2,行为概览!$D$3:$U$33,3,0),$A30&gt;VLOOKUP(X$2,行为概览!$D$3:$U$33,4,0)),0,VLOOKUP(X$2,行为概览!$D$3:$U$33,6,0)),4)</f>
        <v>0</v>
      </c>
      <c r="Y30" s="20">
        <f>ROUND(IF(OR($A30&lt;VLOOKUP(Y$2,行为概览!$D$3:$U$33,3,0),$A30&gt;VLOOKUP(Y$2,行为概览!$D$3:$U$33,4,0)),0,VLOOKUP(Y$2,行为概览!$D$3:$U$33,6,0)),4)</f>
        <v>0</v>
      </c>
      <c r="Z30" s="20">
        <f>ROUND(IF(OR($A30&lt;VLOOKUP(Z$2,行为概览!$D$3:$U$33,3,0),$A30&gt;VLOOKUP(Z$2,行为概览!$D$3:$U$33,4,0)),0,VLOOKUP(Z$2,行为概览!$D$3:$U$33,6,0)),4)</f>
        <v>0</v>
      </c>
      <c r="AA30" s="20">
        <f>ROUND(IF(OR($A30&lt;VLOOKUP(AA$2,行为概览!$D$3:$U$33,3,0),$A30&gt;VLOOKUP(AA$2,行为概览!$D$3:$U$33,4,0)),0,VLOOKUP(AA$2,行为概览!$D$3:$U$33,6,0)),4)</f>
        <v>0</v>
      </c>
      <c r="AB30" s="20">
        <f>ROUND(IF(OR($A30&lt;VLOOKUP(AB$2,行为概览!$D$3:$U$33,3,0),$A30&gt;VLOOKUP(AB$2,行为概览!$D$3:$U$33,4,0)),0,VLOOKUP(AB$2,行为概览!$D$3:$U$33,6,0)),4)</f>
        <v>0</v>
      </c>
      <c r="AC30" s="20">
        <f>ROUND(IF(OR($A30&lt;VLOOKUP(AC$2,行为概览!$D$3:$U$33,3,0),$A30&gt;VLOOKUP(AC$2,行为概览!$D$3:$U$33,4,0)),0,VLOOKUP(AC$2,行为概览!$D$3:$U$33,6,0)),4)</f>
        <v>0</v>
      </c>
      <c r="AD30" s="20">
        <f>ROUND(IF(OR($A30&lt;VLOOKUP(AD$2,行为概览!$D$3:$U$33,3,0),$A30&gt;VLOOKUP(AD$2,行为概览!$D$3:$U$33,4,0)),0,VLOOKUP(AD$2,行为概览!$D$3:$U$33,6,0)),4)</f>
        <v>0</v>
      </c>
      <c r="AE30" s="20">
        <f>ROUND(IF(OR($A30&lt;VLOOKUP(AE$2,行为概览!$D$3:$U$33,3,0),$A30&gt;VLOOKUP(AE$2,行为概览!$D$3:$U$33,4,0)),0,VLOOKUP(AE$2,行为概览!$D$3:$U$33,6,0)),4)</f>
        <v>8.3299999999999999E-2</v>
      </c>
      <c r="AF30" s="20">
        <f>ROUND(IF(OR($A30&lt;VLOOKUP(AF$2,行为概览!$D$3:$U$33,3,0),$A30&gt;VLOOKUP(AF$2,行为概览!$D$3:$U$33,4,0)),0,VLOOKUP(AF$2,行为概览!$D$3:$U$33,6,0)),4)</f>
        <v>0</v>
      </c>
    </row>
    <row r="31" spans="1:32">
      <c r="A31" s="19">
        <v>29</v>
      </c>
      <c r="B31" s="20">
        <f>ROUND(IF(OR($A31&lt;VLOOKUP(B$2,行为概览!$D$3:$U$33,3,0),$A31&gt;VLOOKUP(B$2,行为概览!$D$3:$U$33,4,0)),0,VLOOKUP(B$2,行为概览!$D$3:$U$33,6,0)),4)</f>
        <v>0.33329999999999999</v>
      </c>
      <c r="C31" s="20">
        <f>ROUND(IF(OR($A31&lt;VLOOKUP(C$2,行为概览!$D$3:$U$33,3,0),$A31&gt;VLOOKUP(C$2,行为概览!$D$3:$U$33,4,0)),0,VLOOKUP(C$2,行为概览!$D$3:$U$33,6,0)),4)</f>
        <v>2</v>
      </c>
      <c r="D31" s="20">
        <f>ROUND(IF(OR($A31&lt;VLOOKUP(D$2,行为概览!$D$3:$U$33,3,0),$A31&gt;VLOOKUP(D$2,行为概览!$D$3:$U$33,4,0)),0,VLOOKUP(D$2,行为概览!$D$3:$U$33,6,0)),4)</f>
        <v>8.3299999999999999E-2</v>
      </c>
      <c r="E31" s="20">
        <f>ROUND(IF(OR($A31&lt;VLOOKUP(E$2,行为概览!$D$3:$U$33,3,0),$A31&gt;VLOOKUP(E$2,行为概览!$D$3:$U$33,4,0)),0,VLOOKUP(E$2,行为概览!$D$3:$U$33,6,0)),4)</f>
        <v>0</v>
      </c>
      <c r="F31" s="20">
        <f>ROUND(IF(OR($A31&lt;VLOOKUP(F$2,行为概览!$D$3:$U$33,3,0),$A31&gt;VLOOKUP(F$2,行为概览!$D$3:$U$33,4,0)),0,VLOOKUP(F$2,行为概览!$D$3:$U$33,6,0)),4)</f>
        <v>0.33329999999999999</v>
      </c>
      <c r="G31" s="20">
        <f>ROUND(IF(OR($A31&lt;VLOOKUP(G$2,行为概览!$D$3:$U$33,3,0),$A31&gt;VLOOKUP(G$2,行为概览!$D$3:$U$33,4,0)),0,VLOOKUP(G$2,行为概览!$D$3:$U$33,6,0)),4)</f>
        <v>0</v>
      </c>
      <c r="H31" s="20">
        <f>ROUND(IF(OR($A31&lt;VLOOKUP(H$2,行为概览!$D$3:$U$33,3,0),$A31&gt;VLOOKUP(H$2,行为概览!$D$3:$U$33,4,0)),0,VLOOKUP(H$2,行为概览!$D$3:$U$33,6,0)),4)</f>
        <v>0</v>
      </c>
      <c r="I31" s="20">
        <f>ROUND(IF(OR($A31&lt;VLOOKUP(I$2,行为概览!$D$3:$U$33,3,0),$A31&gt;VLOOKUP(I$2,行为概览!$D$3:$U$33,4,0)),0,VLOOKUP(I$2,行为概览!$D$3:$U$33,6,0)),4)</f>
        <v>0</v>
      </c>
      <c r="J31" s="20">
        <f>ROUND(IF(OR($A31&lt;VLOOKUP(J$2,行为概览!$D$3:$U$33,3,0),$A31&gt;VLOOKUP(J$2,行为概览!$D$3:$U$33,4,0)),0,VLOOKUP(J$2,行为概览!$D$3:$U$33,6,0)),4)</f>
        <v>0</v>
      </c>
      <c r="K31" s="20">
        <f>ROUND(IF(OR($A31&lt;VLOOKUP(K$2,行为概览!$D$3:$U$33,3,0),$A31&gt;VLOOKUP(K$2,行为概览!$D$3:$U$33,4,0)),0,VLOOKUP(K$2,行为概览!$D$3:$U$33,6,0)),4)</f>
        <v>0</v>
      </c>
      <c r="L31" s="20">
        <f>ROUND(IF(OR($A31&lt;VLOOKUP(L$2,行为概览!$D$3:$U$33,3,0),$A31&gt;VLOOKUP(L$2,行为概览!$D$3:$U$33,4,0)),0,VLOOKUP(L$2,行为概览!$D$3:$U$33,6,0)),4)</f>
        <v>0</v>
      </c>
      <c r="M31" s="20">
        <f>ROUND(IF(OR($A31&lt;VLOOKUP(M$2,行为概览!$D$3:$U$33,3,0),$A31&gt;VLOOKUP(M$2,行为概览!$D$3:$U$33,4,0)),0,VLOOKUP(M$2,行为概览!$D$3:$U$33,6,0)),4)</f>
        <v>12</v>
      </c>
      <c r="N31" s="20">
        <f>ROUND(IF(OR($A31&lt;VLOOKUP(N$2,行为概览!$D$3:$U$33,3,0),$A31&gt;VLOOKUP(N$2,行为概览!$D$3:$U$33,4,0)),0,VLOOKUP(N$2,行为概览!$D$3:$U$33,6,0)),4)</f>
        <v>8.3299999999999999E-2</v>
      </c>
      <c r="O31" s="20">
        <f>ROUND(IF(OR($A31&lt;VLOOKUP(O$2,行为概览!$D$3:$U$33,3,0),$A31&gt;VLOOKUP(O$2,行为概览!$D$3:$U$33,4,0)),0,VLOOKUP(O$2,行为概览!$D$3:$U$33,6,0)),4)</f>
        <v>8.3299999999999999E-2</v>
      </c>
      <c r="P31" s="20">
        <f>ROUND(IF(OR($A31&lt;VLOOKUP(P$2,行为概览!$D$3:$U$33,3,0),$A31&gt;VLOOKUP(P$2,行为概览!$D$3:$U$33,4,0)),0,VLOOKUP(P$2,行为概览!$D$3:$U$33,6,0)),4)</f>
        <v>2.6</v>
      </c>
      <c r="Q31" s="20">
        <f>ROUND(IF(OR($A31&lt;VLOOKUP(Q$2,行为概览!$D$3:$U$33,3,0),$A31&gt;VLOOKUP(Q$2,行为概览!$D$3:$U$33,4,0)),0,VLOOKUP(Q$2,行为概览!$D$3:$U$33,6,0)),4)</f>
        <v>0</v>
      </c>
      <c r="R31" s="20">
        <f>ROUND(IF(OR($A31&lt;VLOOKUP(R$2,行为概览!$D$3:$U$33,3,0),$A31&gt;VLOOKUP(R$2,行为概览!$D$3:$U$33,4,0)),0,VLOOKUP(R$2,行为概览!$D$3:$U$33,6,0)),4)</f>
        <v>0.33329999999999999</v>
      </c>
      <c r="S31" s="20">
        <f>ROUND(IF(OR($A31&lt;VLOOKUP(S$2,行为概览!$D$3:$U$33,3,0),$A31&gt;VLOOKUP(S$2,行为概览!$D$3:$U$33,4,0)),0,VLOOKUP(S$2,行为概览!$D$3:$U$33,6,0)),4)</f>
        <v>0</v>
      </c>
      <c r="T31" s="20">
        <f>ROUND(IF(OR($A31&lt;VLOOKUP(T$2,行为概览!$D$3:$U$33,3,0),$A31&gt;VLOOKUP(T$2,行为概览!$D$3:$U$33,4,0)),0,VLOOKUP(T$2,行为概览!$D$3:$U$33,6,0)),4)</f>
        <v>0</v>
      </c>
      <c r="U31" s="20">
        <f>ROUND(IF(OR($A31&lt;VLOOKUP(U$2,行为概览!$D$3:$U$33,3,0),$A31&gt;VLOOKUP(U$2,行为概览!$D$3:$U$33,4,0)),0,VLOOKUP(U$2,行为概览!$D$3:$U$33,6,0)),4)</f>
        <v>0.16669999999999999</v>
      </c>
      <c r="V31" s="20">
        <f>ROUND(IF(OR($A31&lt;VLOOKUP(V$2,行为概览!$D$3:$U$33,3,0),$A31&gt;VLOOKUP(V$2,行为概览!$D$3:$U$33,4,0)),0,VLOOKUP(V$2,行为概览!$D$3:$U$33,6,0)),4)</f>
        <v>0</v>
      </c>
      <c r="W31" s="20">
        <f>ROUND(IF(OR($A31&lt;VLOOKUP(W$2,行为概览!$D$3:$U$33,3,0),$A31&gt;VLOOKUP(W$2,行为概览!$D$3:$U$33,4,0)),0,VLOOKUP(W$2,行为概览!$D$3:$U$33,6,0)),4)</f>
        <v>0</v>
      </c>
      <c r="X31" s="20">
        <f>ROUND(IF(OR($A31&lt;VLOOKUP(X$2,行为概览!$D$3:$U$33,3,0),$A31&gt;VLOOKUP(X$2,行为概览!$D$3:$U$33,4,0)),0,VLOOKUP(X$2,行为概览!$D$3:$U$33,6,0)),4)</f>
        <v>0</v>
      </c>
      <c r="Y31" s="20">
        <f>ROUND(IF(OR($A31&lt;VLOOKUP(Y$2,行为概览!$D$3:$U$33,3,0),$A31&gt;VLOOKUP(Y$2,行为概览!$D$3:$U$33,4,0)),0,VLOOKUP(Y$2,行为概览!$D$3:$U$33,6,0)),4)</f>
        <v>0</v>
      </c>
      <c r="Z31" s="20">
        <f>ROUND(IF(OR($A31&lt;VLOOKUP(Z$2,行为概览!$D$3:$U$33,3,0),$A31&gt;VLOOKUP(Z$2,行为概览!$D$3:$U$33,4,0)),0,VLOOKUP(Z$2,行为概览!$D$3:$U$33,6,0)),4)</f>
        <v>0</v>
      </c>
      <c r="AA31" s="20">
        <f>ROUND(IF(OR($A31&lt;VLOOKUP(AA$2,行为概览!$D$3:$U$33,3,0),$A31&gt;VLOOKUP(AA$2,行为概览!$D$3:$U$33,4,0)),0,VLOOKUP(AA$2,行为概览!$D$3:$U$33,6,0)),4)</f>
        <v>0</v>
      </c>
      <c r="AB31" s="20">
        <f>ROUND(IF(OR($A31&lt;VLOOKUP(AB$2,行为概览!$D$3:$U$33,3,0),$A31&gt;VLOOKUP(AB$2,行为概览!$D$3:$U$33,4,0)),0,VLOOKUP(AB$2,行为概览!$D$3:$U$33,6,0)),4)</f>
        <v>0</v>
      </c>
      <c r="AC31" s="20">
        <f>ROUND(IF(OR($A31&lt;VLOOKUP(AC$2,行为概览!$D$3:$U$33,3,0),$A31&gt;VLOOKUP(AC$2,行为概览!$D$3:$U$33,4,0)),0,VLOOKUP(AC$2,行为概览!$D$3:$U$33,6,0)),4)</f>
        <v>0</v>
      </c>
      <c r="AD31" s="20">
        <f>ROUND(IF(OR($A31&lt;VLOOKUP(AD$2,行为概览!$D$3:$U$33,3,0),$A31&gt;VLOOKUP(AD$2,行为概览!$D$3:$U$33,4,0)),0,VLOOKUP(AD$2,行为概览!$D$3:$U$33,6,0)),4)</f>
        <v>0</v>
      </c>
      <c r="AE31" s="20">
        <f>ROUND(IF(OR($A31&lt;VLOOKUP(AE$2,行为概览!$D$3:$U$33,3,0),$A31&gt;VLOOKUP(AE$2,行为概览!$D$3:$U$33,4,0)),0,VLOOKUP(AE$2,行为概览!$D$3:$U$33,6,0)),4)</f>
        <v>8.3299999999999999E-2</v>
      </c>
      <c r="AF31" s="20">
        <f>ROUND(IF(OR($A31&lt;VLOOKUP(AF$2,行为概览!$D$3:$U$33,3,0),$A31&gt;VLOOKUP(AF$2,行为概览!$D$3:$U$33,4,0)),0,VLOOKUP(AF$2,行为概览!$D$3:$U$33,6,0)),4)</f>
        <v>0</v>
      </c>
    </row>
    <row r="32" spans="1:32">
      <c r="A32" s="19">
        <v>30</v>
      </c>
      <c r="B32" s="20">
        <f>ROUND(IF(OR($A32&lt;VLOOKUP(B$2,行为概览!$D$3:$U$33,3,0),$A32&gt;VLOOKUP(B$2,行为概览!$D$3:$U$33,4,0)),0,VLOOKUP(B$2,行为概览!$D$3:$U$33,6,0)),4)</f>
        <v>0.33329999999999999</v>
      </c>
      <c r="C32" s="20">
        <f>ROUND(IF(OR($A32&lt;VLOOKUP(C$2,行为概览!$D$3:$U$33,3,0),$A32&gt;VLOOKUP(C$2,行为概览!$D$3:$U$33,4,0)),0,VLOOKUP(C$2,行为概览!$D$3:$U$33,6,0)),4)</f>
        <v>2</v>
      </c>
      <c r="D32" s="20">
        <f>ROUND(IF(OR($A32&lt;VLOOKUP(D$2,行为概览!$D$3:$U$33,3,0),$A32&gt;VLOOKUP(D$2,行为概览!$D$3:$U$33,4,0)),0,VLOOKUP(D$2,行为概览!$D$3:$U$33,6,0)),4)</f>
        <v>8.3299999999999999E-2</v>
      </c>
      <c r="E32" s="20">
        <f>ROUND(IF(OR($A32&lt;VLOOKUP(E$2,行为概览!$D$3:$U$33,3,0),$A32&gt;VLOOKUP(E$2,行为概览!$D$3:$U$33,4,0)),0,VLOOKUP(E$2,行为概览!$D$3:$U$33,6,0)),4)</f>
        <v>0</v>
      </c>
      <c r="F32" s="20">
        <f>ROUND(IF(OR($A32&lt;VLOOKUP(F$2,行为概览!$D$3:$U$33,3,0),$A32&gt;VLOOKUP(F$2,行为概览!$D$3:$U$33,4,0)),0,VLOOKUP(F$2,行为概览!$D$3:$U$33,6,0)),4)</f>
        <v>0.33329999999999999</v>
      </c>
      <c r="G32" s="20">
        <f>ROUND(IF(OR($A32&lt;VLOOKUP(G$2,行为概览!$D$3:$U$33,3,0),$A32&gt;VLOOKUP(G$2,行为概览!$D$3:$U$33,4,0)),0,VLOOKUP(G$2,行为概览!$D$3:$U$33,6,0)),4)</f>
        <v>0</v>
      </c>
      <c r="H32" s="20">
        <f>ROUND(IF(OR($A32&lt;VLOOKUP(H$2,行为概览!$D$3:$U$33,3,0),$A32&gt;VLOOKUP(H$2,行为概览!$D$3:$U$33,4,0)),0,VLOOKUP(H$2,行为概览!$D$3:$U$33,6,0)),4)</f>
        <v>0</v>
      </c>
      <c r="I32" s="20">
        <f>ROUND(IF(OR($A32&lt;VLOOKUP(I$2,行为概览!$D$3:$U$33,3,0),$A32&gt;VLOOKUP(I$2,行为概览!$D$3:$U$33,4,0)),0,VLOOKUP(I$2,行为概览!$D$3:$U$33,6,0)),4)</f>
        <v>0</v>
      </c>
      <c r="J32" s="20">
        <f>ROUND(IF(OR($A32&lt;VLOOKUP(J$2,行为概览!$D$3:$U$33,3,0),$A32&gt;VLOOKUP(J$2,行为概览!$D$3:$U$33,4,0)),0,VLOOKUP(J$2,行为概览!$D$3:$U$33,6,0)),4)</f>
        <v>0.5</v>
      </c>
      <c r="K32" s="20">
        <f>ROUND(IF(OR($A32&lt;VLOOKUP(K$2,行为概览!$D$3:$U$33,3,0),$A32&gt;VLOOKUP(K$2,行为概览!$D$3:$U$33,4,0)),0,VLOOKUP(K$2,行为概览!$D$3:$U$33,6,0)),4)</f>
        <v>0</v>
      </c>
      <c r="L32" s="20">
        <f>ROUND(IF(OR($A32&lt;VLOOKUP(L$2,行为概览!$D$3:$U$33,3,0),$A32&gt;VLOOKUP(L$2,行为概览!$D$3:$U$33,4,0)),0,VLOOKUP(L$2,行为概览!$D$3:$U$33,6,0)),4)</f>
        <v>0</v>
      </c>
      <c r="M32" s="20">
        <f>ROUND(IF(OR($A32&lt;VLOOKUP(M$2,行为概览!$D$3:$U$33,3,0),$A32&gt;VLOOKUP(M$2,行为概览!$D$3:$U$33,4,0)),0,VLOOKUP(M$2,行为概览!$D$3:$U$33,6,0)),4)</f>
        <v>12</v>
      </c>
      <c r="N32" s="20">
        <f>ROUND(IF(OR($A32&lt;VLOOKUP(N$2,行为概览!$D$3:$U$33,3,0),$A32&gt;VLOOKUP(N$2,行为概览!$D$3:$U$33,4,0)),0,VLOOKUP(N$2,行为概览!$D$3:$U$33,6,0)),4)</f>
        <v>8.3299999999999999E-2</v>
      </c>
      <c r="O32" s="20">
        <f>ROUND(IF(OR($A32&lt;VLOOKUP(O$2,行为概览!$D$3:$U$33,3,0),$A32&gt;VLOOKUP(O$2,行为概览!$D$3:$U$33,4,0)),0,VLOOKUP(O$2,行为概览!$D$3:$U$33,6,0)),4)</f>
        <v>8.3299999999999999E-2</v>
      </c>
      <c r="P32" s="20">
        <f>ROUND(IF(OR($A32&lt;VLOOKUP(P$2,行为概览!$D$3:$U$33,3,0),$A32&gt;VLOOKUP(P$2,行为概览!$D$3:$U$33,4,0)),0,VLOOKUP(P$2,行为概览!$D$3:$U$33,6,0)),4)</f>
        <v>2.6</v>
      </c>
      <c r="Q32" s="20">
        <f>ROUND(IF(OR($A32&lt;VLOOKUP(Q$2,行为概览!$D$3:$U$33,3,0),$A32&gt;VLOOKUP(Q$2,行为概览!$D$3:$U$33,4,0)),0,VLOOKUP(Q$2,行为概览!$D$3:$U$33,6,0)),4)</f>
        <v>1</v>
      </c>
      <c r="R32" s="20">
        <f>ROUND(IF(OR($A32&lt;VLOOKUP(R$2,行为概览!$D$3:$U$33,3,0),$A32&gt;VLOOKUP(R$2,行为概览!$D$3:$U$33,4,0)),0,VLOOKUP(R$2,行为概览!$D$3:$U$33,6,0)),4)</f>
        <v>0.33329999999999999</v>
      </c>
      <c r="S32" s="20">
        <f>ROUND(IF(OR($A32&lt;VLOOKUP(S$2,行为概览!$D$3:$U$33,3,0),$A32&gt;VLOOKUP(S$2,行为概览!$D$3:$U$33,4,0)),0,VLOOKUP(S$2,行为概览!$D$3:$U$33,6,0)),4)</f>
        <v>0</v>
      </c>
      <c r="T32" s="20">
        <f>ROUND(IF(OR($A32&lt;VLOOKUP(T$2,行为概览!$D$3:$U$33,3,0),$A32&gt;VLOOKUP(T$2,行为概览!$D$3:$U$33,4,0)),0,VLOOKUP(T$2,行为概览!$D$3:$U$33,6,0)),4)</f>
        <v>0</v>
      </c>
      <c r="U32" s="20">
        <f>ROUND(IF(OR($A32&lt;VLOOKUP(U$2,行为概览!$D$3:$U$33,3,0),$A32&gt;VLOOKUP(U$2,行为概览!$D$3:$U$33,4,0)),0,VLOOKUP(U$2,行为概览!$D$3:$U$33,6,0)),4)</f>
        <v>0.16669999999999999</v>
      </c>
      <c r="V32" s="20">
        <f>ROUND(IF(OR($A32&lt;VLOOKUP(V$2,行为概览!$D$3:$U$33,3,0),$A32&gt;VLOOKUP(V$2,行为概览!$D$3:$U$33,4,0)),0,VLOOKUP(V$2,行为概览!$D$3:$U$33,6,0)),4)</f>
        <v>0.16669999999999999</v>
      </c>
      <c r="W32" s="20">
        <f>ROUND(IF(OR($A32&lt;VLOOKUP(W$2,行为概览!$D$3:$U$33,3,0),$A32&gt;VLOOKUP(W$2,行为概览!$D$3:$U$33,4,0)),0,VLOOKUP(W$2,行为概览!$D$3:$U$33,6,0)),4)</f>
        <v>0.16669999999999999</v>
      </c>
      <c r="X32" s="20">
        <f>ROUND(IF(OR($A32&lt;VLOOKUP(X$2,行为概览!$D$3:$U$33,3,0),$A32&gt;VLOOKUP(X$2,行为概览!$D$3:$U$33,4,0)),0,VLOOKUP(X$2,行为概览!$D$3:$U$33,6,0)),4)</f>
        <v>0</v>
      </c>
      <c r="Y32" s="20">
        <f>ROUND(IF(OR($A32&lt;VLOOKUP(Y$2,行为概览!$D$3:$U$33,3,0),$A32&gt;VLOOKUP(Y$2,行为概览!$D$3:$U$33,4,0)),0,VLOOKUP(Y$2,行为概览!$D$3:$U$33,6,0)),4)</f>
        <v>0</v>
      </c>
      <c r="Z32" s="20">
        <f>ROUND(IF(OR($A32&lt;VLOOKUP(Z$2,行为概览!$D$3:$U$33,3,0),$A32&gt;VLOOKUP(Z$2,行为概览!$D$3:$U$33,4,0)),0,VLOOKUP(Z$2,行为概览!$D$3:$U$33,6,0)),4)</f>
        <v>0</v>
      </c>
      <c r="AA32" s="20">
        <f>ROUND(IF(OR($A32&lt;VLOOKUP(AA$2,行为概览!$D$3:$U$33,3,0),$A32&gt;VLOOKUP(AA$2,行为概览!$D$3:$U$33,4,0)),0,VLOOKUP(AA$2,行为概览!$D$3:$U$33,6,0)),4)</f>
        <v>0</v>
      </c>
      <c r="AB32" s="20">
        <f>ROUND(IF(OR($A32&lt;VLOOKUP(AB$2,行为概览!$D$3:$U$33,3,0),$A32&gt;VLOOKUP(AB$2,行为概览!$D$3:$U$33,4,0)),0,VLOOKUP(AB$2,行为概览!$D$3:$U$33,6,0)),4)</f>
        <v>0</v>
      </c>
      <c r="AC32" s="20">
        <f>ROUND(IF(OR($A32&lt;VLOOKUP(AC$2,行为概览!$D$3:$U$33,3,0),$A32&gt;VLOOKUP(AC$2,行为概览!$D$3:$U$33,4,0)),0,VLOOKUP(AC$2,行为概览!$D$3:$U$33,6,0)),4)</f>
        <v>0</v>
      </c>
      <c r="AD32" s="20">
        <f>ROUND(IF(OR($A32&lt;VLOOKUP(AD$2,行为概览!$D$3:$U$33,3,0),$A32&gt;VLOOKUP(AD$2,行为概览!$D$3:$U$33,4,0)),0,VLOOKUP(AD$2,行为概览!$D$3:$U$33,6,0)),4)</f>
        <v>0</v>
      </c>
      <c r="AE32" s="20">
        <f>ROUND(IF(OR($A32&lt;VLOOKUP(AE$2,行为概览!$D$3:$U$33,3,0),$A32&gt;VLOOKUP(AE$2,行为概览!$D$3:$U$33,4,0)),0,VLOOKUP(AE$2,行为概览!$D$3:$U$33,6,0)),4)</f>
        <v>8.3299999999999999E-2</v>
      </c>
      <c r="AF32" s="20">
        <f>ROUND(IF(OR($A32&lt;VLOOKUP(AF$2,行为概览!$D$3:$U$33,3,0),$A32&gt;VLOOKUP(AF$2,行为概览!$D$3:$U$33,4,0)),0,VLOOKUP(AF$2,行为概览!$D$3:$U$33,6,0)),4)</f>
        <v>0</v>
      </c>
    </row>
    <row r="33" spans="1:32">
      <c r="A33" s="19">
        <v>31</v>
      </c>
      <c r="B33" s="20">
        <f>ROUND(IF(OR($A33&lt;VLOOKUP(B$2,行为概览!$D$3:$U$33,3,0),$A33&gt;VLOOKUP(B$2,行为概览!$D$3:$U$33,4,0)),0,VLOOKUP(B$2,行为概览!$D$3:$U$33,6,0)),4)</f>
        <v>0.33329999999999999</v>
      </c>
      <c r="C33" s="20">
        <f>ROUND(IF(OR($A33&lt;VLOOKUP(C$2,行为概览!$D$3:$U$33,3,0),$A33&gt;VLOOKUP(C$2,行为概览!$D$3:$U$33,4,0)),0,VLOOKUP(C$2,行为概览!$D$3:$U$33,6,0)),4)</f>
        <v>2</v>
      </c>
      <c r="D33" s="20">
        <f>ROUND(IF(OR($A33&lt;VLOOKUP(D$2,行为概览!$D$3:$U$33,3,0),$A33&gt;VLOOKUP(D$2,行为概览!$D$3:$U$33,4,0)),0,VLOOKUP(D$2,行为概览!$D$3:$U$33,6,0)),4)</f>
        <v>8.3299999999999999E-2</v>
      </c>
      <c r="E33" s="20">
        <f>ROUND(IF(OR($A33&lt;VLOOKUP(E$2,行为概览!$D$3:$U$33,3,0),$A33&gt;VLOOKUP(E$2,行为概览!$D$3:$U$33,4,0)),0,VLOOKUP(E$2,行为概览!$D$3:$U$33,6,0)),4)</f>
        <v>0</v>
      </c>
      <c r="F33" s="20">
        <f>ROUND(IF(OR($A33&lt;VLOOKUP(F$2,行为概览!$D$3:$U$33,3,0),$A33&gt;VLOOKUP(F$2,行为概览!$D$3:$U$33,4,0)),0,VLOOKUP(F$2,行为概览!$D$3:$U$33,6,0)),4)</f>
        <v>0.33329999999999999</v>
      </c>
      <c r="G33" s="20">
        <f>ROUND(IF(OR($A33&lt;VLOOKUP(G$2,行为概览!$D$3:$U$33,3,0),$A33&gt;VLOOKUP(G$2,行为概览!$D$3:$U$33,4,0)),0,VLOOKUP(G$2,行为概览!$D$3:$U$33,6,0)),4)</f>
        <v>0</v>
      </c>
      <c r="H33" s="20">
        <f>ROUND(IF(OR($A33&lt;VLOOKUP(H$2,行为概览!$D$3:$U$33,3,0),$A33&gt;VLOOKUP(H$2,行为概览!$D$3:$U$33,4,0)),0,VLOOKUP(H$2,行为概览!$D$3:$U$33,6,0)),4)</f>
        <v>0</v>
      </c>
      <c r="I33" s="20">
        <f>ROUND(IF(OR($A33&lt;VLOOKUP(I$2,行为概览!$D$3:$U$33,3,0),$A33&gt;VLOOKUP(I$2,行为概览!$D$3:$U$33,4,0)),0,VLOOKUP(I$2,行为概览!$D$3:$U$33,6,0)),4)</f>
        <v>0</v>
      </c>
      <c r="J33" s="20">
        <f>ROUND(IF(OR($A33&lt;VLOOKUP(J$2,行为概览!$D$3:$U$33,3,0),$A33&gt;VLOOKUP(J$2,行为概览!$D$3:$U$33,4,0)),0,VLOOKUP(J$2,行为概览!$D$3:$U$33,6,0)),4)</f>
        <v>0.5</v>
      </c>
      <c r="K33" s="20">
        <f>ROUND(IF(OR($A33&lt;VLOOKUP(K$2,行为概览!$D$3:$U$33,3,0),$A33&gt;VLOOKUP(K$2,行为概览!$D$3:$U$33,4,0)),0,VLOOKUP(K$2,行为概览!$D$3:$U$33,6,0)),4)</f>
        <v>0</v>
      </c>
      <c r="L33" s="20">
        <f>ROUND(IF(OR($A33&lt;VLOOKUP(L$2,行为概览!$D$3:$U$33,3,0),$A33&gt;VLOOKUP(L$2,行为概览!$D$3:$U$33,4,0)),0,VLOOKUP(L$2,行为概览!$D$3:$U$33,6,0)),4)</f>
        <v>0</v>
      </c>
      <c r="M33" s="20">
        <f>ROUND(IF(OR($A33&lt;VLOOKUP(M$2,行为概览!$D$3:$U$33,3,0),$A33&gt;VLOOKUP(M$2,行为概览!$D$3:$U$33,4,0)),0,VLOOKUP(M$2,行为概览!$D$3:$U$33,6,0)),4)</f>
        <v>12</v>
      </c>
      <c r="N33" s="20">
        <f>ROUND(IF(OR($A33&lt;VLOOKUP(N$2,行为概览!$D$3:$U$33,3,0),$A33&gt;VLOOKUP(N$2,行为概览!$D$3:$U$33,4,0)),0,VLOOKUP(N$2,行为概览!$D$3:$U$33,6,0)),4)</f>
        <v>8.3299999999999999E-2</v>
      </c>
      <c r="O33" s="20">
        <f>ROUND(IF(OR($A33&lt;VLOOKUP(O$2,行为概览!$D$3:$U$33,3,0),$A33&gt;VLOOKUP(O$2,行为概览!$D$3:$U$33,4,0)),0,VLOOKUP(O$2,行为概览!$D$3:$U$33,6,0)),4)</f>
        <v>8.3299999999999999E-2</v>
      </c>
      <c r="P33" s="20">
        <f>ROUND(IF(OR($A33&lt;VLOOKUP(P$2,行为概览!$D$3:$U$33,3,0),$A33&gt;VLOOKUP(P$2,行为概览!$D$3:$U$33,4,0)),0,VLOOKUP(P$2,行为概览!$D$3:$U$33,6,0)),4)</f>
        <v>2.6</v>
      </c>
      <c r="Q33" s="20">
        <f>ROUND(IF(OR($A33&lt;VLOOKUP(Q$2,行为概览!$D$3:$U$33,3,0),$A33&gt;VLOOKUP(Q$2,行为概览!$D$3:$U$33,4,0)),0,VLOOKUP(Q$2,行为概览!$D$3:$U$33,6,0)),4)</f>
        <v>1</v>
      </c>
      <c r="R33" s="20">
        <f>ROUND(IF(OR($A33&lt;VLOOKUP(R$2,行为概览!$D$3:$U$33,3,0),$A33&gt;VLOOKUP(R$2,行为概览!$D$3:$U$33,4,0)),0,VLOOKUP(R$2,行为概览!$D$3:$U$33,6,0)),4)</f>
        <v>0.33329999999999999</v>
      </c>
      <c r="S33" s="20">
        <f>ROUND(IF(OR($A33&lt;VLOOKUP(S$2,行为概览!$D$3:$U$33,3,0),$A33&gt;VLOOKUP(S$2,行为概览!$D$3:$U$33,4,0)),0,VLOOKUP(S$2,行为概览!$D$3:$U$33,6,0)),4)</f>
        <v>0</v>
      </c>
      <c r="T33" s="20">
        <f>ROUND(IF(OR($A33&lt;VLOOKUP(T$2,行为概览!$D$3:$U$33,3,0),$A33&gt;VLOOKUP(T$2,行为概览!$D$3:$U$33,4,0)),0,VLOOKUP(T$2,行为概览!$D$3:$U$33,6,0)),4)</f>
        <v>0</v>
      </c>
      <c r="U33" s="20">
        <f>ROUND(IF(OR($A33&lt;VLOOKUP(U$2,行为概览!$D$3:$U$33,3,0),$A33&gt;VLOOKUP(U$2,行为概览!$D$3:$U$33,4,0)),0,VLOOKUP(U$2,行为概览!$D$3:$U$33,6,0)),4)</f>
        <v>0.16669999999999999</v>
      </c>
      <c r="V33" s="20">
        <f>ROUND(IF(OR($A33&lt;VLOOKUP(V$2,行为概览!$D$3:$U$33,3,0),$A33&gt;VLOOKUP(V$2,行为概览!$D$3:$U$33,4,0)),0,VLOOKUP(V$2,行为概览!$D$3:$U$33,6,0)),4)</f>
        <v>0.16669999999999999</v>
      </c>
      <c r="W33" s="20">
        <f>ROUND(IF(OR($A33&lt;VLOOKUP(W$2,行为概览!$D$3:$U$33,3,0),$A33&gt;VLOOKUP(W$2,行为概览!$D$3:$U$33,4,0)),0,VLOOKUP(W$2,行为概览!$D$3:$U$33,6,0)),4)</f>
        <v>0.16669999999999999</v>
      </c>
      <c r="X33" s="20">
        <f>ROUND(IF(OR($A33&lt;VLOOKUP(X$2,行为概览!$D$3:$U$33,3,0),$A33&gt;VLOOKUP(X$2,行为概览!$D$3:$U$33,4,0)),0,VLOOKUP(X$2,行为概览!$D$3:$U$33,6,0)),4)</f>
        <v>0</v>
      </c>
      <c r="Y33" s="20">
        <f>ROUND(IF(OR($A33&lt;VLOOKUP(Y$2,行为概览!$D$3:$U$33,3,0),$A33&gt;VLOOKUP(Y$2,行为概览!$D$3:$U$33,4,0)),0,VLOOKUP(Y$2,行为概览!$D$3:$U$33,6,0)),4)</f>
        <v>0</v>
      </c>
      <c r="Z33" s="20">
        <f>ROUND(IF(OR($A33&lt;VLOOKUP(Z$2,行为概览!$D$3:$U$33,3,0),$A33&gt;VLOOKUP(Z$2,行为概览!$D$3:$U$33,4,0)),0,VLOOKUP(Z$2,行为概览!$D$3:$U$33,6,0)),4)</f>
        <v>0</v>
      </c>
      <c r="AA33" s="20">
        <f>ROUND(IF(OR($A33&lt;VLOOKUP(AA$2,行为概览!$D$3:$U$33,3,0),$A33&gt;VLOOKUP(AA$2,行为概览!$D$3:$U$33,4,0)),0,VLOOKUP(AA$2,行为概览!$D$3:$U$33,6,0)),4)</f>
        <v>0</v>
      </c>
      <c r="AB33" s="20">
        <f>ROUND(IF(OR($A33&lt;VLOOKUP(AB$2,行为概览!$D$3:$U$33,3,0),$A33&gt;VLOOKUP(AB$2,行为概览!$D$3:$U$33,4,0)),0,VLOOKUP(AB$2,行为概览!$D$3:$U$33,6,0)),4)</f>
        <v>0</v>
      </c>
      <c r="AC33" s="20">
        <f>ROUND(IF(OR($A33&lt;VLOOKUP(AC$2,行为概览!$D$3:$U$33,3,0),$A33&gt;VLOOKUP(AC$2,行为概览!$D$3:$U$33,4,0)),0,VLOOKUP(AC$2,行为概览!$D$3:$U$33,6,0)),4)</f>
        <v>0</v>
      </c>
      <c r="AD33" s="20">
        <f>ROUND(IF(OR($A33&lt;VLOOKUP(AD$2,行为概览!$D$3:$U$33,3,0),$A33&gt;VLOOKUP(AD$2,行为概览!$D$3:$U$33,4,0)),0,VLOOKUP(AD$2,行为概览!$D$3:$U$33,6,0)),4)</f>
        <v>0</v>
      </c>
      <c r="AE33" s="20">
        <f>ROUND(IF(OR($A33&lt;VLOOKUP(AE$2,行为概览!$D$3:$U$33,3,0),$A33&gt;VLOOKUP(AE$2,行为概览!$D$3:$U$33,4,0)),0,VLOOKUP(AE$2,行为概览!$D$3:$U$33,6,0)),4)</f>
        <v>8.3299999999999999E-2</v>
      </c>
      <c r="AF33" s="20">
        <f>ROUND(IF(OR($A33&lt;VLOOKUP(AF$2,行为概览!$D$3:$U$33,3,0),$A33&gt;VLOOKUP(AF$2,行为概览!$D$3:$U$33,4,0)),0,VLOOKUP(AF$2,行为概览!$D$3:$U$33,6,0)),4)</f>
        <v>0</v>
      </c>
    </row>
    <row r="34" spans="1:32">
      <c r="A34" s="19">
        <v>32</v>
      </c>
      <c r="B34" s="20">
        <f>ROUND(IF(OR($A34&lt;VLOOKUP(B$2,行为概览!$D$3:$U$33,3,0),$A34&gt;VLOOKUP(B$2,行为概览!$D$3:$U$33,4,0)),0,VLOOKUP(B$2,行为概览!$D$3:$U$33,6,0)),4)</f>
        <v>0.33329999999999999</v>
      </c>
      <c r="C34" s="20">
        <f>ROUND(IF(OR($A34&lt;VLOOKUP(C$2,行为概览!$D$3:$U$33,3,0),$A34&gt;VLOOKUP(C$2,行为概览!$D$3:$U$33,4,0)),0,VLOOKUP(C$2,行为概览!$D$3:$U$33,6,0)),4)</f>
        <v>2</v>
      </c>
      <c r="D34" s="20">
        <f>ROUND(IF(OR($A34&lt;VLOOKUP(D$2,行为概览!$D$3:$U$33,3,0),$A34&gt;VLOOKUP(D$2,行为概览!$D$3:$U$33,4,0)),0,VLOOKUP(D$2,行为概览!$D$3:$U$33,6,0)),4)</f>
        <v>8.3299999999999999E-2</v>
      </c>
      <c r="E34" s="20">
        <f>ROUND(IF(OR($A34&lt;VLOOKUP(E$2,行为概览!$D$3:$U$33,3,0),$A34&gt;VLOOKUP(E$2,行为概览!$D$3:$U$33,4,0)),0,VLOOKUP(E$2,行为概览!$D$3:$U$33,6,0)),4)</f>
        <v>0</v>
      </c>
      <c r="F34" s="20">
        <f>ROUND(IF(OR($A34&lt;VLOOKUP(F$2,行为概览!$D$3:$U$33,3,0),$A34&gt;VLOOKUP(F$2,行为概览!$D$3:$U$33,4,0)),0,VLOOKUP(F$2,行为概览!$D$3:$U$33,6,0)),4)</f>
        <v>0.33329999999999999</v>
      </c>
      <c r="G34" s="20">
        <f>ROUND(IF(OR($A34&lt;VLOOKUP(G$2,行为概览!$D$3:$U$33,3,0),$A34&gt;VLOOKUP(G$2,行为概览!$D$3:$U$33,4,0)),0,VLOOKUP(G$2,行为概览!$D$3:$U$33,6,0)),4)</f>
        <v>0</v>
      </c>
      <c r="H34" s="20">
        <f>ROUND(IF(OR($A34&lt;VLOOKUP(H$2,行为概览!$D$3:$U$33,3,0),$A34&gt;VLOOKUP(H$2,行为概览!$D$3:$U$33,4,0)),0,VLOOKUP(H$2,行为概览!$D$3:$U$33,6,0)),4)</f>
        <v>0</v>
      </c>
      <c r="I34" s="20">
        <f>ROUND(IF(OR($A34&lt;VLOOKUP(I$2,行为概览!$D$3:$U$33,3,0),$A34&gt;VLOOKUP(I$2,行为概览!$D$3:$U$33,4,0)),0,VLOOKUP(I$2,行为概览!$D$3:$U$33,6,0)),4)</f>
        <v>0</v>
      </c>
      <c r="J34" s="20">
        <f>ROUND(IF(OR($A34&lt;VLOOKUP(J$2,行为概览!$D$3:$U$33,3,0),$A34&gt;VLOOKUP(J$2,行为概览!$D$3:$U$33,4,0)),0,VLOOKUP(J$2,行为概览!$D$3:$U$33,6,0)),4)</f>
        <v>0.5</v>
      </c>
      <c r="K34" s="20">
        <f>ROUND(IF(OR($A34&lt;VLOOKUP(K$2,行为概览!$D$3:$U$33,3,0),$A34&gt;VLOOKUP(K$2,行为概览!$D$3:$U$33,4,0)),0,VLOOKUP(K$2,行为概览!$D$3:$U$33,6,0)),4)</f>
        <v>0</v>
      </c>
      <c r="L34" s="20">
        <f>ROUND(IF(OR($A34&lt;VLOOKUP(L$2,行为概览!$D$3:$U$33,3,0),$A34&gt;VLOOKUP(L$2,行为概览!$D$3:$U$33,4,0)),0,VLOOKUP(L$2,行为概览!$D$3:$U$33,6,0)),4)</f>
        <v>0</v>
      </c>
      <c r="M34" s="20">
        <f>ROUND(IF(OR($A34&lt;VLOOKUP(M$2,行为概览!$D$3:$U$33,3,0),$A34&gt;VLOOKUP(M$2,行为概览!$D$3:$U$33,4,0)),0,VLOOKUP(M$2,行为概览!$D$3:$U$33,6,0)),4)</f>
        <v>12</v>
      </c>
      <c r="N34" s="20">
        <f>ROUND(IF(OR($A34&lt;VLOOKUP(N$2,行为概览!$D$3:$U$33,3,0),$A34&gt;VLOOKUP(N$2,行为概览!$D$3:$U$33,4,0)),0,VLOOKUP(N$2,行为概览!$D$3:$U$33,6,0)),4)</f>
        <v>8.3299999999999999E-2</v>
      </c>
      <c r="O34" s="20">
        <f>ROUND(IF(OR($A34&lt;VLOOKUP(O$2,行为概览!$D$3:$U$33,3,0),$A34&gt;VLOOKUP(O$2,行为概览!$D$3:$U$33,4,0)),0,VLOOKUP(O$2,行为概览!$D$3:$U$33,6,0)),4)</f>
        <v>8.3299999999999999E-2</v>
      </c>
      <c r="P34" s="20">
        <f>ROUND(IF(OR($A34&lt;VLOOKUP(P$2,行为概览!$D$3:$U$33,3,0),$A34&gt;VLOOKUP(P$2,行为概览!$D$3:$U$33,4,0)),0,VLOOKUP(P$2,行为概览!$D$3:$U$33,6,0)),4)</f>
        <v>2.6</v>
      </c>
      <c r="Q34" s="20">
        <f>ROUND(IF(OR($A34&lt;VLOOKUP(Q$2,行为概览!$D$3:$U$33,3,0),$A34&gt;VLOOKUP(Q$2,行为概览!$D$3:$U$33,4,0)),0,VLOOKUP(Q$2,行为概览!$D$3:$U$33,6,0)),4)</f>
        <v>1</v>
      </c>
      <c r="R34" s="20">
        <f>ROUND(IF(OR($A34&lt;VLOOKUP(R$2,行为概览!$D$3:$U$33,3,0),$A34&gt;VLOOKUP(R$2,行为概览!$D$3:$U$33,4,0)),0,VLOOKUP(R$2,行为概览!$D$3:$U$33,6,0)),4)</f>
        <v>0.33329999999999999</v>
      </c>
      <c r="S34" s="20">
        <f>ROUND(IF(OR($A34&lt;VLOOKUP(S$2,行为概览!$D$3:$U$33,3,0),$A34&gt;VLOOKUP(S$2,行为概览!$D$3:$U$33,4,0)),0,VLOOKUP(S$2,行为概览!$D$3:$U$33,6,0)),4)</f>
        <v>0</v>
      </c>
      <c r="T34" s="20">
        <f>ROUND(IF(OR($A34&lt;VLOOKUP(T$2,行为概览!$D$3:$U$33,3,0),$A34&gt;VLOOKUP(T$2,行为概览!$D$3:$U$33,4,0)),0,VLOOKUP(T$2,行为概览!$D$3:$U$33,6,0)),4)</f>
        <v>0</v>
      </c>
      <c r="U34" s="20">
        <f>ROUND(IF(OR($A34&lt;VLOOKUP(U$2,行为概览!$D$3:$U$33,3,0),$A34&gt;VLOOKUP(U$2,行为概览!$D$3:$U$33,4,0)),0,VLOOKUP(U$2,行为概览!$D$3:$U$33,6,0)),4)</f>
        <v>0.16669999999999999</v>
      </c>
      <c r="V34" s="20">
        <f>ROUND(IF(OR($A34&lt;VLOOKUP(V$2,行为概览!$D$3:$U$33,3,0),$A34&gt;VLOOKUP(V$2,行为概览!$D$3:$U$33,4,0)),0,VLOOKUP(V$2,行为概览!$D$3:$U$33,6,0)),4)</f>
        <v>0.16669999999999999</v>
      </c>
      <c r="W34" s="20">
        <f>ROUND(IF(OR($A34&lt;VLOOKUP(W$2,行为概览!$D$3:$U$33,3,0),$A34&gt;VLOOKUP(W$2,行为概览!$D$3:$U$33,4,0)),0,VLOOKUP(W$2,行为概览!$D$3:$U$33,6,0)),4)</f>
        <v>0.16669999999999999</v>
      </c>
      <c r="X34" s="20">
        <f>ROUND(IF(OR($A34&lt;VLOOKUP(X$2,行为概览!$D$3:$U$33,3,0),$A34&gt;VLOOKUP(X$2,行为概览!$D$3:$U$33,4,0)),0,VLOOKUP(X$2,行为概览!$D$3:$U$33,6,0)),4)</f>
        <v>0</v>
      </c>
      <c r="Y34" s="20">
        <f>ROUND(IF(OR($A34&lt;VLOOKUP(Y$2,行为概览!$D$3:$U$33,3,0),$A34&gt;VLOOKUP(Y$2,行为概览!$D$3:$U$33,4,0)),0,VLOOKUP(Y$2,行为概览!$D$3:$U$33,6,0)),4)</f>
        <v>0</v>
      </c>
      <c r="Z34" s="20">
        <f>ROUND(IF(OR($A34&lt;VLOOKUP(Z$2,行为概览!$D$3:$U$33,3,0),$A34&gt;VLOOKUP(Z$2,行为概览!$D$3:$U$33,4,0)),0,VLOOKUP(Z$2,行为概览!$D$3:$U$33,6,0)),4)</f>
        <v>0</v>
      </c>
      <c r="AA34" s="20">
        <f>ROUND(IF(OR($A34&lt;VLOOKUP(AA$2,行为概览!$D$3:$U$33,3,0),$A34&gt;VLOOKUP(AA$2,行为概览!$D$3:$U$33,4,0)),0,VLOOKUP(AA$2,行为概览!$D$3:$U$33,6,0)),4)</f>
        <v>0</v>
      </c>
      <c r="AB34" s="20">
        <f>ROUND(IF(OR($A34&lt;VLOOKUP(AB$2,行为概览!$D$3:$U$33,3,0),$A34&gt;VLOOKUP(AB$2,行为概览!$D$3:$U$33,4,0)),0,VLOOKUP(AB$2,行为概览!$D$3:$U$33,6,0)),4)</f>
        <v>0</v>
      </c>
      <c r="AC34" s="20">
        <f>ROUND(IF(OR($A34&lt;VLOOKUP(AC$2,行为概览!$D$3:$U$33,3,0),$A34&gt;VLOOKUP(AC$2,行为概览!$D$3:$U$33,4,0)),0,VLOOKUP(AC$2,行为概览!$D$3:$U$33,6,0)),4)</f>
        <v>0</v>
      </c>
      <c r="AD34" s="20">
        <f>ROUND(IF(OR($A34&lt;VLOOKUP(AD$2,行为概览!$D$3:$U$33,3,0),$A34&gt;VLOOKUP(AD$2,行为概览!$D$3:$U$33,4,0)),0,VLOOKUP(AD$2,行为概览!$D$3:$U$33,6,0)),4)</f>
        <v>0</v>
      </c>
      <c r="AE34" s="20">
        <f>ROUND(IF(OR($A34&lt;VLOOKUP(AE$2,行为概览!$D$3:$U$33,3,0),$A34&gt;VLOOKUP(AE$2,行为概览!$D$3:$U$33,4,0)),0,VLOOKUP(AE$2,行为概览!$D$3:$U$33,6,0)),4)</f>
        <v>8.3299999999999999E-2</v>
      </c>
      <c r="AF34" s="20">
        <f>ROUND(IF(OR($A34&lt;VLOOKUP(AF$2,行为概览!$D$3:$U$33,3,0),$A34&gt;VLOOKUP(AF$2,行为概览!$D$3:$U$33,4,0)),0,VLOOKUP(AF$2,行为概览!$D$3:$U$33,6,0)),4)</f>
        <v>0</v>
      </c>
    </row>
    <row r="35" spans="1:32">
      <c r="A35" s="19">
        <v>33</v>
      </c>
      <c r="B35" s="20">
        <f>ROUND(IF(OR($A35&lt;VLOOKUP(B$2,行为概览!$D$3:$U$33,3,0),$A35&gt;VLOOKUP(B$2,行为概览!$D$3:$U$33,4,0)),0,VLOOKUP(B$2,行为概览!$D$3:$U$33,6,0)),4)</f>
        <v>0.33329999999999999</v>
      </c>
      <c r="C35" s="20">
        <f>ROUND(IF(OR($A35&lt;VLOOKUP(C$2,行为概览!$D$3:$U$33,3,0),$A35&gt;VLOOKUP(C$2,行为概览!$D$3:$U$33,4,0)),0,VLOOKUP(C$2,行为概览!$D$3:$U$33,6,0)),4)</f>
        <v>2</v>
      </c>
      <c r="D35" s="20">
        <f>ROUND(IF(OR($A35&lt;VLOOKUP(D$2,行为概览!$D$3:$U$33,3,0),$A35&gt;VLOOKUP(D$2,行为概览!$D$3:$U$33,4,0)),0,VLOOKUP(D$2,行为概览!$D$3:$U$33,6,0)),4)</f>
        <v>8.3299999999999999E-2</v>
      </c>
      <c r="E35" s="20">
        <f>ROUND(IF(OR($A35&lt;VLOOKUP(E$2,行为概览!$D$3:$U$33,3,0),$A35&gt;VLOOKUP(E$2,行为概览!$D$3:$U$33,4,0)),0,VLOOKUP(E$2,行为概览!$D$3:$U$33,6,0)),4)</f>
        <v>0</v>
      </c>
      <c r="F35" s="20">
        <f>ROUND(IF(OR($A35&lt;VLOOKUP(F$2,行为概览!$D$3:$U$33,3,0),$A35&gt;VLOOKUP(F$2,行为概览!$D$3:$U$33,4,0)),0,VLOOKUP(F$2,行为概览!$D$3:$U$33,6,0)),4)</f>
        <v>0.33329999999999999</v>
      </c>
      <c r="G35" s="20">
        <f>ROUND(IF(OR($A35&lt;VLOOKUP(G$2,行为概览!$D$3:$U$33,3,0),$A35&gt;VLOOKUP(G$2,行为概览!$D$3:$U$33,4,0)),0,VLOOKUP(G$2,行为概览!$D$3:$U$33,6,0)),4)</f>
        <v>0</v>
      </c>
      <c r="H35" s="20">
        <f>ROUND(IF(OR($A35&lt;VLOOKUP(H$2,行为概览!$D$3:$U$33,3,0),$A35&gt;VLOOKUP(H$2,行为概览!$D$3:$U$33,4,0)),0,VLOOKUP(H$2,行为概览!$D$3:$U$33,6,0)),4)</f>
        <v>0</v>
      </c>
      <c r="I35" s="20">
        <f>ROUND(IF(OR($A35&lt;VLOOKUP(I$2,行为概览!$D$3:$U$33,3,0),$A35&gt;VLOOKUP(I$2,行为概览!$D$3:$U$33,4,0)),0,VLOOKUP(I$2,行为概览!$D$3:$U$33,6,0)),4)</f>
        <v>0</v>
      </c>
      <c r="J35" s="20">
        <f>ROUND(IF(OR($A35&lt;VLOOKUP(J$2,行为概览!$D$3:$U$33,3,0),$A35&gt;VLOOKUP(J$2,行为概览!$D$3:$U$33,4,0)),0,VLOOKUP(J$2,行为概览!$D$3:$U$33,6,0)),4)</f>
        <v>0.5</v>
      </c>
      <c r="K35" s="20">
        <f>ROUND(IF(OR($A35&lt;VLOOKUP(K$2,行为概览!$D$3:$U$33,3,0),$A35&gt;VLOOKUP(K$2,行为概览!$D$3:$U$33,4,0)),0,VLOOKUP(K$2,行为概览!$D$3:$U$33,6,0)),4)</f>
        <v>0</v>
      </c>
      <c r="L35" s="20">
        <f>ROUND(IF(OR($A35&lt;VLOOKUP(L$2,行为概览!$D$3:$U$33,3,0),$A35&gt;VLOOKUP(L$2,行为概览!$D$3:$U$33,4,0)),0,VLOOKUP(L$2,行为概览!$D$3:$U$33,6,0)),4)</f>
        <v>0</v>
      </c>
      <c r="M35" s="20">
        <f>ROUND(IF(OR($A35&lt;VLOOKUP(M$2,行为概览!$D$3:$U$33,3,0),$A35&gt;VLOOKUP(M$2,行为概览!$D$3:$U$33,4,0)),0,VLOOKUP(M$2,行为概览!$D$3:$U$33,6,0)),4)</f>
        <v>12</v>
      </c>
      <c r="N35" s="20">
        <f>ROUND(IF(OR($A35&lt;VLOOKUP(N$2,行为概览!$D$3:$U$33,3,0),$A35&gt;VLOOKUP(N$2,行为概览!$D$3:$U$33,4,0)),0,VLOOKUP(N$2,行为概览!$D$3:$U$33,6,0)),4)</f>
        <v>8.3299999999999999E-2</v>
      </c>
      <c r="O35" s="20">
        <f>ROUND(IF(OR($A35&lt;VLOOKUP(O$2,行为概览!$D$3:$U$33,3,0),$A35&gt;VLOOKUP(O$2,行为概览!$D$3:$U$33,4,0)),0,VLOOKUP(O$2,行为概览!$D$3:$U$33,6,0)),4)</f>
        <v>8.3299999999999999E-2</v>
      </c>
      <c r="P35" s="20">
        <f>ROUND(IF(OR($A35&lt;VLOOKUP(P$2,行为概览!$D$3:$U$33,3,0),$A35&gt;VLOOKUP(P$2,行为概览!$D$3:$U$33,4,0)),0,VLOOKUP(P$2,行为概览!$D$3:$U$33,6,0)),4)</f>
        <v>2.6</v>
      </c>
      <c r="Q35" s="20">
        <f>ROUND(IF(OR($A35&lt;VLOOKUP(Q$2,行为概览!$D$3:$U$33,3,0),$A35&gt;VLOOKUP(Q$2,行为概览!$D$3:$U$33,4,0)),0,VLOOKUP(Q$2,行为概览!$D$3:$U$33,6,0)),4)</f>
        <v>1</v>
      </c>
      <c r="R35" s="20">
        <f>ROUND(IF(OR($A35&lt;VLOOKUP(R$2,行为概览!$D$3:$U$33,3,0),$A35&gt;VLOOKUP(R$2,行为概览!$D$3:$U$33,4,0)),0,VLOOKUP(R$2,行为概览!$D$3:$U$33,6,0)),4)</f>
        <v>0.33329999999999999</v>
      </c>
      <c r="S35" s="20">
        <f>ROUND(IF(OR($A35&lt;VLOOKUP(S$2,行为概览!$D$3:$U$33,3,0),$A35&gt;VLOOKUP(S$2,行为概览!$D$3:$U$33,4,0)),0,VLOOKUP(S$2,行为概览!$D$3:$U$33,6,0)),4)</f>
        <v>0</v>
      </c>
      <c r="T35" s="20">
        <f>ROUND(IF(OR($A35&lt;VLOOKUP(T$2,行为概览!$D$3:$U$33,3,0),$A35&gt;VLOOKUP(T$2,行为概览!$D$3:$U$33,4,0)),0,VLOOKUP(T$2,行为概览!$D$3:$U$33,6,0)),4)</f>
        <v>0</v>
      </c>
      <c r="U35" s="20">
        <f>ROUND(IF(OR($A35&lt;VLOOKUP(U$2,行为概览!$D$3:$U$33,3,0),$A35&gt;VLOOKUP(U$2,行为概览!$D$3:$U$33,4,0)),0,VLOOKUP(U$2,行为概览!$D$3:$U$33,6,0)),4)</f>
        <v>0.16669999999999999</v>
      </c>
      <c r="V35" s="20">
        <f>ROUND(IF(OR($A35&lt;VLOOKUP(V$2,行为概览!$D$3:$U$33,3,0),$A35&gt;VLOOKUP(V$2,行为概览!$D$3:$U$33,4,0)),0,VLOOKUP(V$2,行为概览!$D$3:$U$33,6,0)),4)</f>
        <v>0.16669999999999999</v>
      </c>
      <c r="W35" s="20">
        <f>ROUND(IF(OR($A35&lt;VLOOKUP(W$2,行为概览!$D$3:$U$33,3,0),$A35&gt;VLOOKUP(W$2,行为概览!$D$3:$U$33,4,0)),0,VLOOKUP(W$2,行为概览!$D$3:$U$33,6,0)),4)</f>
        <v>0.16669999999999999</v>
      </c>
      <c r="X35" s="20">
        <f>ROUND(IF(OR($A35&lt;VLOOKUP(X$2,行为概览!$D$3:$U$33,3,0),$A35&gt;VLOOKUP(X$2,行为概览!$D$3:$U$33,4,0)),0,VLOOKUP(X$2,行为概览!$D$3:$U$33,6,0)),4)</f>
        <v>0</v>
      </c>
      <c r="Y35" s="20">
        <f>ROUND(IF(OR($A35&lt;VLOOKUP(Y$2,行为概览!$D$3:$U$33,3,0),$A35&gt;VLOOKUP(Y$2,行为概览!$D$3:$U$33,4,0)),0,VLOOKUP(Y$2,行为概览!$D$3:$U$33,6,0)),4)</f>
        <v>0</v>
      </c>
      <c r="Z35" s="20">
        <f>ROUND(IF(OR($A35&lt;VLOOKUP(Z$2,行为概览!$D$3:$U$33,3,0),$A35&gt;VLOOKUP(Z$2,行为概览!$D$3:$U$33,4,0)),0,VLOOKUP(Z$2,行为概览!$D$3:$U$33,6,0)),4)</f>
        <v>0</v>
      </c>
      <c r="AA35" s="20">
        <f>ROUND(IF(OR($A35&lt;VLOOKUP(AA$2,行为概览!$D$3:$U$33,3,0),$A35&gt;VLOOKUP(AA$2,行为概览!$D$3:$U$33,4,0)),0,VLOOKUP(AA$2,行为概览!$D$3:$U$33,6,0)),4)</f>
        <v>0</v>
      </c>
      <c r="AB35" s="20">
        <f>ROUND(IF(OR($A35&lt;VLOOKUP(AB$2,行为概览!$D$3:$U$33,3,0),$A35&gt;VLOOKUP(AB$2,行为概览!$D$3:$U$33,4,0)),0,VLOOKUP(AB$2,行为概览!$D$3:$U$33,6,0)),4)</f>
        <v>0</v>
      </c>
      <c r="AC35" s="20">
        <f>ROUND(IF(OR($A35&lt;VLOOKUP(AC$2,行为概览!$D$3:$U$33,3,0),$A35&gt;VLOOKUP(AC$2,行为概览!$D$3:$U$33,4,0)),0,VLOOKUP(AC$2,行为概览!$D$3:$U$33,6,0)),4)</f>
        <v>0</v>
      </c>
      <c r="AD35" s="20">
        <f>ROUND(IF(OR($A35&lt;VLOOKUP(AD$2,行为概览!$D$3:$U$33,3,0),$A35&gt;VLOOKUP(AD$2,行为概览!$D$3:$U$33,4,0)),0,VLOOKUP(AD$2,行为概览!$D$3:$U$33,6,0)),4)</f>
        <v>0</v>
      </c>
      <c r="AE35" s="20">
        <f>ROUND(IF(OR($A35&lt;VLOOKUP(AE$2,行为概览!$D$3:$U$33,3,0),$A35&gt;VLOOKUP(AE$2,行为概览!$D$3:$U$33,4,0)),0,VLOOKUP(AE$2,行为概览!$D$3:$U$33,6,0)),4)</f>
        <v>8.3299999999999999E-2</v>
      </c>
      <c r="AF35" s="20">
        <f>ROUND(IF(OR($A35&lt;VLOOKUP(AF$2,行为概览!$D$3:$U$33,3,0),$A35&gt;VLOOKUP(AF$2,行为概览!$D$3:$U$33,4,0)),0,VLOOKUP(AF$2,行为概览!$D$3:$U$33,6,0)),4)</f>
        <v>0</v>
      </c>
    </row>
    <row r="36" spans="1:32">
      <c r="A36" s="19">
        <v>34</v>
      </c>
      <c r="B36" s="20">
        <f>ROUND(IF(OR($A36&lt;VLOOKUP(B$2,行为概览!$D$3:$U$33,3,0),$A36&gt;VLOOKUP(B$2,行为概览!$D$3:$U$33,4,0)),0,VLOOKUP(B$2,行为概览!$D$3:$U$33,6,0)),4)</f>
        <v>0.33329999999999999</v>
      </c>
      <c r="C36" s="20">
        <f>ROUND(IF(OR($A36&lt;VLOOKUP(C$2,行为概览!$D$3:$U$33,3,0),$A36&gt;VLOOKUP(C$2,行为概览!$D$3:$U$33,4,0)),0,VLOOKUP(C$2,行为概览!$D$3:$U$33,6,0)),4)</f>
        <v>2</v>
      </c>
      <c r="D36" s="20">
        <f>ROUND(IF(OR($A36&lt;VLOOKUP(D$2,行为概览!$D$3:$U$33,3,0),$A36&gt;VLOOKUP(D$2,行为概览!$D$3:$U$33,4,0)),0,VLOOKUP(D$2,行为概览!$D$3:$U$33,6,0)),4)</f>
        <v>8.3299999999999999E-2</v>
      </c>
      <c r="E36" s="20">
        <f>ROUND(IF(OR($A36&lt;VLOOKUP(E$2,行为概览!$D$3:$U$33,3,0),$A36&gt;VLOOKUP(E$2,行为概览!$D$3:$U$33,4,0)),0,VLOOKUP(E$2,行为概览!$D$3:$U$33,6,0)),4)</f>
        <v>0</v>
      </c>
      <c r="F36" s="20">
        <f>ROUND(IF(OR($A36&lt;VLOOKUP(F$2,行为概览!$D$3:$U$33,3,0),$A36&gt;VLOOKUP(F$2,行为概览!$D$3:$U$33,4,0)),0,VLOOKUP(F$2,行为概览!$D$3:$U$33,6,0)),4)</f>
        <v>0.33329999999999999</v>
      </c>
      <c r="G36" s="20">
        <f>ROUND(IF(OR($A36&lt;VLOOKUP(G$2,行为概览!$D$3:$U$33,3,0),$A36&gt;VLOOKUP(G$2,行为概览!$D$3:$U$33,4,0)),0,VLOOKUP(G$2,行为概览!$D$3:$U$33,6,0)),4)</f>
        <v>0</v>
      </c>
      <c r="H36" s="20">
        <f>ROUND(IF(OR($A36&lt;VLOOKUP(H$2,行为概览!$D$3:$U$33,3,0),$A36&gt;VLOOKUP(H$2,行为概览!$D$3:$U$33,4,0)),0,VLOOKUP(H$2,行为概览!$D$3:$U$33,6,0)),4)</f>
        <v>0</v>
      </c>
      <c r="I36" s="20">
        <f>ROUND(IF(OR($A36&lt;VLOOKUP(I$2,行为概览!$D$3:$U$33,3,0),$A36&gt;VLOOKUP(I$2,行为概览!$D$3:$U$33,4,0)),0,VLOOKUP(I$2,行为概览!$D$3:$U$33,6,0)),4)</f>
        <v>0</v>
      </c>
      <c r="J36" s="20">
        <f>ROUND(IF(OR($A36&lt;VLOOKUP(J$2,行为概览!$D$3:$U$33,3,0),$A36&gt;VLOOKUP(J$2,行为概览!$D$3:$U$33,4,0)),0,VLOOKUP(J$2,行为概览!$D$3:$U$33,6,0)),4)</f>
        <v>0.5</v>
      </c>
      <c r="K36" s="20">
        <f>ROUND(IF(OR($A36&lt;VLOOKUP(K$2,行为概览!$D$3:$U$33,3,0),$A36&gt;VLOOKUP(K$2,行为概览!$D$3:$U$33,4,0)),0,VLOOKUP(K$2,行为概览!$D$3:$U$33,6,0)),4)</f>
        <v>0</v>
      </c>
      <c r="L36" s="20">
        <f>ROUND(IF(OR($A36&lt;VLOOKUP(L$2,行为概览!$D$3:$U$33,3,0),$A36&gt;VLOOKUP(L$2,行为概览!$D$3:$U$33,4,0)),0,VLOOKUP(L$2,行为概览!$D$3:$U$33,6,0)),4)</f>
        <v>0</v>
      </c>
      <c r="M36" s="20">
        <f>ROUND(IF(OR($A36&lt;VLOOKUP(M$2,行为概览!$D$3:$U$33,3,0),$A36&gt;VLOOKUP(M$2,行为概览!$D$3:$U$33,4,0)),0,VLOOKUP(M$2,行为概览!$D$3:$U$33,6,0)),4)</f>
        <v>12</v>
      </c>
      <c r="N36" s="20">
        <f>ROUND(IF(OR($A36&lt;VLOOKUP(N$2,行为概览!$D$3:$U$33,3,0),$A36&gt;VLOOKUP(N$2,行为概览!$D$3:$U$33,4,0)),0,VLOOKUP(N$2,行为概览!$D$3:$U$33,6,0)),4)</f>
        <v>8.3299999999999999E-2</v>
      </c>
      <c r="O36" s="20">
        <f>ROUND(IF(OR($A36&lt;VLOOKUP(O$2,行为概览!$D$3:$U$33,3,0),$A36&gt;VLOOKUP(O$2,行为概览!$D$3:$U$33,4,0)),0,VLOOKUP(O$2,行为概览!$D$3:$U$33,6,0)),4)</f>
        <v>8.3299999999999999E-2</v>
      </c>
      <c r="P36" s="20">
        <f>ROUND(IF(OR($A36&lt;VLOOKUP(P$2,行为概览!$D$3:$U$33,3,0),$A36&gt;VLOOKUP(P$2,行为概览!$D$3:$U$33,4,0)),0,VLOOKUP(P$2,行为概览!$D$3:$U$33,6,0)),4)</f>
        <v>2.6</v>
      </c>
      <c r="Q36" s="20">
        <f>ROUND(IF(OR($A36&lt;VLOOKUP(Q$2,行为概览!$D$3:$U$33,3,0),$A36&gt;VLOOKUP(Q$2,行为概览!$D$3:$U$33,4,0)),0,VLOOKUP(Q$2,行为概览!$D$3:$U$33,6,0)),4)</f>
        <v>1</v>
      </c>
      <c r="R36" s="20">
        <f>ROUND(IF(OR($A36&lt;VLOOKUP(R$2,行为概览!$D$3:$U$33,3,0),$A36&gt;VLOOKUP(R$2,行为概览!$D$3:$U$33,4,0)),0,VLOOKUP(R$2,行为概览!$D$3:$U$33,6,0)),4)</f>
        <v>0.33329999999999999</v>
      </c>
      <c r="S36" s="20">
        <f>ROUND(IF(OR($A36&lt;VLOOKUP(S$2,行为概览!$D$3:$U$33,3,0),$A36&gt;VLOOKUP(S$2,行为概览!$D$3:$U$33,4,0)),0,VLOOKUP(S$2,行为概览!$D$3:$U$33,6,0)),4)</f>
        <v>0</v>
      </c>
      <c r="T36" s="20">
        <f>ROUND(IF(OR($A36&lt;VLOOKUP(T$2,行为概览!$D$3:$U$33,3,0),$A36&gt;VLOOKUP(T$2,行为概览!$D$3:$U$33,4,0)),0,VLOOKUP(T$2,行为概览!$D$3:$U$33,6,0)),4)</f>
        <v>0</v>
      </c>
      <c r="U36" s="20">
        <f>ROUND(IF(OR($A36&lt;VLOOKUP(U$2,行为概览!$D$3:$U$33,3,0),$A36&gt;VLOOKUP(U$2,行为概览!$D$3:$U$33,4,0)),0,VLOOKUP(U$2,行为概览!$D$3:$U$33,6,0)),4)</f>
        <v>0.16669999999999999</v>
      </c>
      <c r="V36" s="20">
        <f>ROUND(IF(OR($A36&lt;VLOOKUP(V$2,行为概览!$D$3:$U$33,3,0),$A36&gt;VLOOKUP(V$2,行为概览!$D$3:$U$33,4,0)),0,VLOOKUP(V$2,行为概览!$D$3:$U$33,6,0)),4)</f>
        <v>0.16669999999999999</v>
      </c>
      <c r="W36" s="20">
        <f>ROUND(IF(OR($A36&lt;VLOOKUP(W$2,行为概览!$D$3:$U$33,3,0),$A36&gt;VLOOKUP(W$2,行为概览!$D$3:$U$33,4,0)),0,VLOOKUP(W$2,行为概览!$D$3:$U$33,6,0)),4)</f>
        <v>0.16669999999999999</v>
      </c>
      <c r="X36" s="20">
        <f>ROUND(IF(OR($A36&lt;VLOOKUP(X$2,行为概览!$D$3:$U$33,3,0),$A36&gt;VLOOKUP(X$2,行为概览!$D$3:$U$33,4,0)),0,VLOOKUP(X$2,行为概览!$D$3:$U$33,6,0)),4)</f>
        <v>0</v>
      </c>
      <c r="Y36" s="20">
        <f>ROUND(IF(OR($A36&lt;VLOOKUP(Y$2,行为概览!$D$3:$U$33,3,0),$A36&gt;VLOOKUP(Y$2,行为概览!$D$3:$U$33,4,0)),0,VLOOKUP(Y$2,行为概览!$D$3:$U$33,6,0)),4)</f>
        <v>0</v>
      </c>
      <c r="Z36" s="20">
        <f>ROUND(IF(OR($A36&lt;VLOOKUP(Z$2,行为概览!$D$3:$U$33,3,0),$A36&gt;VLOOKUP(Z$2,行为概览!$D$3:$U$33,4,0)),0,VLOOKUP(Z$2,行为概览!$D$3:$U$33,6,0)),4)</f>
        <v>0</v>
      </c>
      <c r="AA36" s="20">
        <f>ROUND(IF(OR($A36&lt;VLOOKUP(AA$2,行为概览!$D$3:$U$33,3,0),$A36&gt;VLOOKUP(AA$2,行为概览!$D$3:$U$33,4,0)),0,VLOOKUP(AA$2,行为概览!$D$3:$U$33,6,0)),4)</f>
        <v>0</v>
      </c>
      <c r="AB36" s="20">
        <f>ROUND(IF(OR($A36&lt;VLOOKUP(AB$2,行为概览!$D$3:$U$33,3,0),$A36&gt;VLOOKUP(AB$2,行为概览!$D$3:$U$33,4,0)),0,VLOOKUP(AB$2,行为概览!$D$3:$U$33,6,0)),4)</f>
        <v>0</v>
      </c>
      <c r="AC36" s="20">
        <f>ROUND(IF(OR($A36&lt;VLOOKUP(AC$2,行为概览!$D$3:$U$33,3,0),$A36&gt;VLOOKUP(AC$2,行为概览!$D$3:$U$33,4,0)),0,VLOOKUP(AC$2,行为概览!$D$3:$U$33,6,0)),4)</f>
        <v>0</v>
      </c>
      <c r="AD36" s="20">
        <f>ROUND(IF(OR($A36&lt;VLOOKUP(AD$2,行为概览!$D$3:$U$33,3,0),$A36&gt;VLOOKUP(AD$2,行为概览!$D$3:$U$33,4,0)),0,VLOOKUP(AD$2,行为概览!$D$3:$U$33,6,0)),4)</f>
        <v>0</v>
      </c>
      <c r="AE36" s="20">
        <f>ROUND(IF(OR($A36&lt;VLOOKUP(AE$2,行为概览!$D$3:$U$33,3,0),$A36&gt;VLOOKUP(AE$2,行为概览!$D$3:$U$33,4,0)),0,VLOOKUP(AE$2,行为概览!$D$3:$U$33,6,0)),4)</f>
        <v>8.3299999999999999E-2</v>
      </c>
      <c r="AF36" s="20">
        <f>ROUND(IF(OR($A36&lt;VLOOKUP(AF$2,行为概览!$D$3:$U$33,3,0),$A36&gt;VLOOKUP(AF$2,行为概览!$D$3:$U$33,4,0)),0,VLOOKUP(AF$2,行为概览!$D$3:$U$33,6,0)),4)</f>
        <v>0</v>
      </c>
    </row>
    <row r="37" spans="1:32">
      <c r="A37" s="19">
        <v>35</v>
      </c>
      <c r="B37" s="20">
        <f>ROUND(IF(OR($A37&lt;VLOOKUP(B$2,行为概览!$D$3:$U$33,3,0),$A37&gt;VLOOKUP(B$2,行为概览!$D$3:$U$33,4,0)),0,VLOOKUP(B$2,行为概览!$D$3:$U$33,6,0)),4)</f>
        <v>0.33329999999999999</v>
      </c>
      <c r="C37" s="20">
        <f>ROUND(IF(OR($A37&lt;VLOOKUP(C$2,行为概览!$D$3:$U$33,3,0),$A37&gt;VLOOKUP(C$2,行为概览!$D$3:$U$33,4,0)),0,VLOOKUP(C$2,行为概览!$D$3:$U$33,6,0)),4)</f>
        <v>2</v>
      </c>
      <c r="D37" s="20">
        <f>ROUND(IF(OR($A37&lt;VLOOKUP(D$2,行为概览!$D$3:$U$33,3,0),$A37&gt;VLOOKUP(D$2,行为概览!$D$3:$U$33,4,0)),0,VLOOKUP(D$2,行为概览!$D$3:$U$33,6,0)),4)</f>
        <v>8.3299999999999999E-2</v>
      </c>
      <c r="E37" s="20">
        <f>ROUND(IF(OR($A37&lt;VLOOKUP(E$2,行为概览!$D$3:$U$33,3,0),$A37&gt;VLOOKUP(E$2,行为概览!$D$3:$U$33,4,0)),0,VLOOKUP(E$2,行为概览!$D$3:$U$33,6,0)),4)</f>
        <v>0</v>
      </c>
      <c r="F37" s="20">
        <f>ROUND(IF(OR($A37&lt;VLOOKUP(F$2,行为概览!$D$3:$U$33,3,0),$A37&gt;VLOOKUP(F$2,行为概览!$D$3:$U$33,4,0)),0,VLOOKUP(F$2,行为概览!$D$3:$U$33,6,0)),4)</f>
        <v>0.33329999999999999</v>
      </c>
      <c r="G37" s="20">
        <f>ROUND(IF(OR($A37&lt;VLOOKUP(G$2,行为概览!$D$3:$U$33,3,0),$A37&gt;VLOOKUP(G$2,行为概览!$D$3:$U$33,4,0)),0,VLOOKUP(G$2,行为概览!$D$3:$U$33,6,0)),4)</f>
        <v>0</v>
      </c>
      <c r="H37" s="20">
        <f>ROUND(IF(OR($A37&lt;VLOOKUP(H$2,行为概览!$D$3:$U$33,3,0),$A37&gt;VLOOKUP(H$2,行为概览!$D$3:$U$33,4,0)),0,VLOOKUP(H$2,行为概览!$D$3:$U$33,6,0)),4)</f>
        <v>0</v>
      </c>
      <c r="I37" s="20">
        <f>ROUND(IF(OR($A37&lt;VLOOKUP(I$2,行为概览!$D$3:$U$33,3,0),$A37&gt;VLOOKUP(I$2,行为概览!$D$3:$U$33,4,0)),0,VLOOKUP(I$2,行为概览!$D$3:$U$33,6,0)),4)</f>
        <v>0</v>
      </c>
      <c r="J37" s="20">
        <f>ROUND(IF(OR($A37&lt;VLOOKUP(J$2,行为概览!$D$3:$U$33,3,0),$A37&gt;VLOOKUP(J$2,行为概览!$D$3:$U$33,4,0)),0,VLOOKUP(J$2,行为概览!$D$3:$U$33,6,0)),4)</f>
        <v>0.5</v>
      </c>
      <c r="K37" s="20">
        <f>ROUND(IF(OR($A37&lt;VLOOKUP(K$2,行为概览!$D$3:$U$33,3,0),$A37&gt;VLOOKUP(K$2,行为概览!$D$3:$U$33,4,0)),0,VLOOKUP(K$2,行为概览!$D$3:$U$33,6,0)),4)</f>
        <v>0.16669999999999999</v>
      </c>
      <c r="L37" s="20">
        <f>ROUND(IF(OR($A37&lt;VLOOKUP(L$2,行为概览!$D$3:$U$33,3,0),$A37&gt;VLOOKUP(L$2,行为概览!$D$3:$U$33,4,0)),0,VLOOKUP(L$2,行为概览!$D$3:$U$33,6,0)),4)</f>
        <v>0</v>
      </c>
      <c r="M37" s="20">
        <f>ROUND(IF(OR($A37&lt;VLOOKUP(M$2,行为概览!$D$3:$U$33,3,0),$A37&gt;VLOOKUP(M$2,行为概览!$D$3:$U$33,4,0)),0,VLOOKUP(M$2,行为概览!$D$3:$U$33,6,0)),4)</f>
        <v>12</v>
      </c>
      <c r="N37" s="20">
        <f>ROUND(IF(OR($A37&lt;VLOOKUP(N$2,行为概览!$D$3:$U$33,3,0),$A37&gt;VLOOKUP(N$2,行为概览!$D$3:$U$33,4,0)),0,VLOOKUP(N$2,行为概览!$D$3:$U$33,6,0)),4)</f>
        <v>8.3299999999999999E-2</v>
      </c>
      <c r="O37" s="20">
        <f>ROUND(IF(OR($A37&lt;VLOOKUP(O$2,行为概览!$D$3:$U$33,3,0),$A37&gt;VLOOKUP(O$2,行为概览!$D$3:$U$33,4,0)),0,VLOOKUP(O$2,行为概览!$D$3:$U$33,6,0)),4)</f>
        <v>8.3299999999999999E-2</v>
      </c>
      <c r="P37" s="20">
        <f>ROUND(IF(OR($A37&lt;VLOOKUP(P$2,行为概览!$D$3:$U$33,3,0),$A37&gt;VLOOKUP(P$2,行为概览!$D$3:$U$33,4,0)),0,VLOOKUP(P$2,行为概览!$D$3:$U$33,6,0)),4)</f>
        <v>2.6</v>
      </c>
      <c r="Q37" s="20">
        <f>ROUND(IF(OR($A37&lt;VLOOKUP(Q$2,行为概览!$D$3:$U$33,3,0),$A37&gt;VLOOKUP(Q$2,行为概览!$D$3:$U$33,4,0)),0,VLOOKUP(Q$2,行为概览!$D$3:$U$33,6,0)),4)</f>
        <v>1</v>
      </c>
      <c r="R37" s="20">
        <f>ROUND(IF(OR($A37&lt;VLOOKUP(R$2,行为概览!$D$3:$U$33,3,0),$A37&gt;VLOOKUP(R$2,行为概览!$D$3:$U$33,4,0)),0,VLOOKUP(R$2,行为概览!$D$3:$U$33,6,0)),4)</f>
        <v>0.33329999999999999</v>
      </c>
      <c r="S37" s="20">
        <f>ROUND(IF(OR($A37&lt;VLOOKUP(S$2,行为概览!$D$3:$U$33,3,0),$A37&gt;VLOOKUP(S$2,行为概览!$D$3:$U$33,4,0)),0,VLOOKUP(S$2,行为概览!$D$3:$U$33,6,0)),4)</f>
        <v>0.5</v>
      </c>
      <c r="T37" s="20">
        <f>ROUND(IF(OR($A37&lt;VLOOKUP(T$2,行为概览!$D$3:$U$33,3,0),$A37&gt;VLOOKUP(T$2,行为概览!$D$3:$U$33,4,0)),0,VLOOKUP(T$2,行为概览!$D$3:$U$33,6,0)),4)</f>
        <v>0</v>
      </c>
      <c r="U37" s="20">
        <f>ROUND(IF(OR($A37&lt;VLOOKUP(U$2,行为概览!$D$3:$U$33,3,0),$A37&gt;VLOOKUP(U$2,行为概览!$D$3:$U$33,4,0)),0,VLOOKUP(U$2,行为概览!$D$3:$U$33,6,0)),4)</f>
        <v>0.16669999999999999</v>
      </c>
      <c r="V37" s="20">
        <f>ROUND(IF(OR($A37&lt;VLOOKUP(V$2,行为概览!$D$3:$U$33,3,0),$A37&gt;VLOOKUP(V$2,行为概览!$D$3:$U$33,4,0)),0,VLOOKUP(V$2,行为概览!$D$3:$U$33,6,0)),4)</f>
        <v>0.16669999999999999</v>
      </c>
      <c r="W37" s="20">
        <f>ROUND(IF(OR($A37&lt;VLOOKUP(W$2,行为概览!$D$3:$U$33,3,0),$A37&gt;VLOOKUP(W$2,行为概览!$D$3:$U$33,4,0)),0,VLOOKUP(W$2,行为概览!$D$3:$U$33,6,0)),4)</f>
        <v>0.16669999999999999</v>
      </c>
      <c r="X37" s="20">
        <f>ROUND(IF(OR($A37&lt;VLOOKUP(X$2,行为概览!$D$3:$U$33,3,0),$A37&gt;VLOOKUP(X$2,行为概览!$D$3:$U$33,4,0)),0,VLOOKUP(X$2,行为概览!$D$3:$U$33,6,0)),4)</f>
        <v>0</v>
      </c>
      <c r="Y37" s="20">
        <f>ROUND(IF(OR($A37&lt;VLOOKUP(Y$2,行为概览!$D$3:$U$33,3,0),$A37&gt;VLOOKUP(Y$2,行为概览!$D$3:$U$33,4,0)),0,VLOOKUP(Y$2,行为概览!$D$3:$U$33,6,0)),4)</f>
        <v>0</v>
      </c>
      <c r="Z37" s="20">
        <f>ROUND(IF(OR($A37&lt;VLOOKUP(Z$2,行为概览!$D$3:$U$33,3,0),$A37&gt;VLOOKUP(Z$2,行为概览!$D$3:$U$33,4,0)),0,VLOOKUP(Z$2,行为概览!$D$3:$U$33,6,0)),4)</f>
        <v>0</v>
      </c>
      <c r="AA37" s="20">
        <f>ROUND(IF(OR($A37&lt;VLOOKUP(AA$2,行为概览!$D$3:$U$33,3,0),$A37&gt;VLOOKUP(AA$2,行为概览!$D$3:$U$33,4,0)),0,VLOOKUP(AA$2,行为概览!$D$3:$U$33,6,0)),4)</f>
        <v>0</v>
      </c>
      <c r="AB37" s="20">
        <f>ROUND(IF(OR($A37&lt;VLOOKUP(AB$2,行为概览!$D$3:$U$33,3,0),$A37&gt;VLOOKUP(AB$2,行为概览!$D$3:$U$33,4,0)),0,VLOOKUP(AB$2,行为概览!$D$3:$U$33,6,0)),4)</f>
        <v>0</v>
      </c>
      <c r="AC37" s="20">
        <f>ROUND(IF(OR($A37&lt;VLOOKUP(AC$2,行为概览!$D$3:$U$33,3,0),$A37&gt;VLOOKUP(AC$2,行为概览!$D$3:$U$33,4,0)),0,VLOOKUP(AC$2,行为概览!$D$3:$U$33,6,0)),4)</f>
        <v>0</v>
      </c>
      <c r="AD37" s="20">
        <f>ROUND(IF(OR($A37&lt;VLOOKUP(AD$2,行为概览!$D$3:$U$33,3,0),$A37&gt;VLOOKUP(AD$2,行为概览!$D$3:$U$33,4,0)),0,VLOOKUP(AD$2,行为概览!$D$3:$U$33,6,0)),4)</f>
        <v>0</v>
      </c>
      <c r="AE37" s="20">
        <f>ROUND(IF(OR($A37&lt;VLOOKUP(AE$2,行为概览!$D$3:$U$33,3,0),$A37&gt;VLOOKUP(AE$2,行为概览!$D$3:$U$33,4,0)),0,VLOOKUP(AE$2,行为概览!$D$3:$U$33,6,0)),4)</f>
        <v>8.3299999999999999E-2</v>
      </c>
      <c r="AF37" s="20">
        <f>ROUND(IF(OR($A37&lt;VLOOKUP(AF$2,行为概览!$D$3:$U$33,3,0),$A37&gt;VLOOKUP(AF$2,行为概览!$D$3:$U$33,4,0)),0,VLOOKUP(AF$2,行为概览!$D$3:$U$33,6,0)),4)</f>
        <v>0</v>
      </c>
    </row>
    <row r="38" spans="1:32">
      <c r="A38" s="19">
        <v>36</v>
      </c>
      <c r="B38" s="20">
        <f>ROUND(IF(OR($A38&lt;VLOOKUP(B$2,行为概览!$D$3:$U$33,3,0),$A38&gt;VLOOKUP(B$2,行为概览!$D$3:$U$33,4,0)),0,VLOOKUP(B$2,行为概览!$D$3:$U$33,6,0)),4)</f>
        <v>0.33329999999999999</v>
      </c>
      <c r="C38" s="20">
        <f>ROUND(IF(OR($A38&lt;VLOOKUP(C$2,行为概览!$D$3:$U$33,3,0),$A38&gt;VLOOKUP(C$2,行为概览!$D$3:$U$33,4,0)),0,VLOOKUP(C$2,行为概览!$D$3:$U$33,6,0)),4)</f>
        <v>2</v>
      </c>
      <c r="D38" s="20">
        <f>ROUND(IF(OR($A38&lt;VLOOKUP(D$2,行为概览!$D$3:$U$33,3,0),$A38&gt;VLOOKUP(D$2,行为概览!$D$3:$U$33,4,0)),0,VLOOKUP(D$2,行为概览!$D$3:$U$33,6,0)),4)</f>
        <v>8.3299999999999999E-2</v>
      </c>
      <c r="E38" s="20">
        <f>ROUND(IF(OR($A38&lt;VLOOKUP(E$2,行为概览!$D$3:$U$33,3,0),$A38&gt;VLOOKUP(E$2,行为概览!$D$3:$U$33,4,0)),0,VLOOKUP(E$2,行为概览!$D$3:$U$33,6,0)),4)</f>
        <v>0</v>
      </c>
      <c r="F38" s="20">
        <f>ROUND(IF(OR($A38&lt;VLOOKUP(F$2,行为概览!$D$3:$U$33,3,0),$A38&gt;VLOOKUP(F$2,行为概览!$D$3:$U$33,4,0)),0,VLOOKUP(F$2,行为概览!$D$3:$U$33,6,0)),4)</f>
        <v>0.33329999999999999</v>
      </c>
      <c r="G38" s="20">
        <f>ROUND(IF(OR($A38&lt;VLOOKUP(G$2,行为概览!$D$3:$U$33,3,0),$A38&gt;VLOOKUP(G$2,行为概览!$D$3:$U$33,4,0)),0,VLOOKUP(G$2,行为概览!$D$3:$U$33,6,0)),4)</f>
        <v>0</v>
      </c>
      <c r="H38" s="20">
        <f>ROUND(IF(OR($A38&lt;VLOOKUP(H$2,行为概览!$D$3:$U$33,3,0),$A38&gt;VLOOKUP(H$2,行为概览!$D$3:$U$33,4,0)),0,VLOOKUP(H$2,行为概览!$D$3:$U$33,6,0)),4)</f>
        <v>0</v>
      </c>
      <c r="I38" s="20">
        <f>ROUND(IF(OR($A38&lt;VLOOKUP(I$2,行为概览!$D$3:$U$33,3,0),$A38&gt;VLOOKUP(I$2,行为概览!$D$3:$U$33,4,0)),0,VLOOKUP(I$2,行为概览!$D$3:$U$33,6,0)),4)</f>
        <v>0</v>
      </c>
      <c r="J38" s="20">
        <f>ROUND(IF(OR($A38&lt;VLOOKUP(J$2,行为概览!$D$3:$U$33,3,0),$A38&gt;VLOOKUP(J$2,行为概览!$D$3:$U$33,4,0)),0,VLOOKUP(J$2,行为概览!$D$3:$U$33,6,0)),4)</f>
        <v>0.5</v>
      </c>
      <c r="K38" s="20">
        <f>ROUND(IF(OR($A38&lt;VLOOKUP(K$2,行为概览!$D$3:$U$33,3,0),$A38&gt;VLOOKUP(K$2,行为概览!$D$3:$U$33,4,0)),0,VLOOKUP(K$2,行为概览!$D$3:$U$33,6,0)),4)</f>
        <v>0.16669999999999999</v>
      </c>
      <c r="L38" s="20">
        <f>ROUND(IF(OR($A38&lt;VLOOKUP(L$2,行为概览!$D$3:$U$33,3,0),$A38&gt;VLOOKUP(L$2,行为概览!$D$3:$U$33,4,0)),0,VLOOKUP(L$2,行为概览!$D$3:$U$33,6,0)),4)</f>
        <v>0</v>
      </c>
      <c r="M38" s="20">
        <f>ROUND(IF(OR($A38&lt;VLOOKUP(M$2,行为概览!$D$3:$U$33,3,0),$A38&gt;VLOOKUP(M$2,行为概览!$D$3:$U$33,4,0)),0,VLOOKUP(M$2,行为概览!$D$3:$U$33,6,0)),4)</f>
        <v>12</v>
      </c>
      <c r="N38" s="20">
        <f>ROUND(IF(OR($A38&lt;VLOOKUP(N$2,行为概览!$D$3:$U$33,3,0),$A38&gt;VLOOKUP(N$2,行为概览!$D$3:$U$33,4,0)),0,VLOOKUP(N$2,行为概览!$D$3:$U$33,6,0)),4)</f>
        <v>8.3299999999999999E-2</v>
      </c>
      <c r="O38" s="20">
        <f>ROUND(IF(OR($A38&lt;VLOOKUP(O$2,行为概览!$D$3:$U$33,3,0),$A38&gt;VLOOKUP(O$2,行为概览!$D$3:$U$33,4,0)),0,VLOOKUP(O$2,行为概览!$D$3:$U$33,6,0)),4)</f>
        <v>8.3299999999999999E-2</v>
      </c>
      <c r="P38" s="20">
        <f>ROUND(IF(OR($A38&lt;VLOOKUP(P$2,行为概览!$D$3:$U$33,3,0),$A38&gt;VLOOKUP(P$2,行为概览!$D$3:$U$33,4,0)),0,VLOOKUP(P$2,行为概览!$D$3:$U$33,6,0)),4)</f>
        <v>2.6</v>
      </c>
      <c r="Q38" s="20">
        <f>ROUND(IF(OR($A38&lt;VLOOKUP(Q$2,行为概览!$D$3:$U$33,3,0),$A38&gt;VLOOKUP(Q$2,行为概览!$D$3:$U$33,4,0)),0,VLOOKUP(Q$2,行为概览!$D$3:$U$33,6,0)),4)</f>
        <v>1</v>
      </c>
      <c r="R38" s="20">
        <f>ROUND(IF(OR($A38&lt;VLOOKUP(R$2,行为概览!$D$3:$U$33,3,0),$A38&gt;VLOOKUP(R$2,行为概览!$D$3:$U$33,4,0)),0,VLOOKUP(R$2,行为概览!$D$3:$U$33,6,0)),4)</f>
        <v>0.33329999999999999</v>
      </c>
      <c r="S38" s="20">
        <f>ROUND(IF(OR($A38&lt;VLOOKUP(S$2,行为概览!$D$3:$U$33,3,0),$A38&gt;VLOOKUP(S$2,行为概览!$D$3:$U$33,4,0)),0,VLOOKUP(S$2,行为概览!$D$3:$U$33,6,0)),4)</f>
        <v>0.5</v>
      </c>
      <c r="T38" s="20">
        <f>ROUND(IF(OR($A38&lt;VLOOKUP(T$2,行为概览!$D$3:$U$33,3,0),$A38&gt;VLOOKUP(T$2,行为概览!$D$3:$U$33,4,0)),0,VLOOKUP(T$2,行为概览!$D$3:$U$33,6,0)),4)</f>
        <v>0</v>
      </c>
      <c r="U38" s="20">
        <f>ROUND(IF(OR($A38&lt;VLOOKUP(U$2,行为概览!$D$3:$U$33,3,0),$A38&gt;VLOOKUP(U$2,行为概览!$D$3:$U$33,4,0)),0,VLOOKUP(U$2,行为概览!$D$3:$U$33,6,0)),4)</f>
        <v>0.16669999999999999</v>
      </c>
      <c r="V38" s="20">
        <f>ROUND(IF(OR($A38&lt;VLOOKUP(V$2,行为概览!$D$3:$U$33,3,0),$A38&gt;VLOOKUP(V$2,行为概览!$D$3:$U$33,4,0)),0,VLOOKUP(V$2,行为概览!$D$3:$U$33,6,0)),4)</f>
        <v>0.16669999999999999</v>
      </c>
      <c r="W38" s="20">
        <f>ROUND(IF(OR($A38&lt;VLOOKUP(W$2,行为概览!$D$3:$U$33,3,0),$A38&gt;VLOOKUP(W$2,行为概览!$D$3:$U$33,4,0)),0,VLOOKUP(W$2,行为概览!$D$3:$U$33,6,0)),4)</f>
        <v>0.16669999999999999</v>
      </c>
      <c r="X38" s="20">
        <f>ROUND(IF(OR($A38&lt;VLOOKUP(X$2,行为概览!$D$3:$U$33,3,0),$A38&gt;VLOOKUP(X$2,行为概览!$D$3:$U$33,4,0)),0,VLOOKUP(X$2,行为概览!$D$3:$U$33,6,0)),4)</f>
        <v>0</v>
      </c>
      <c r="Y38" s="20">
        <f>ROUND(IF(OR($A38&lt;VLOOKUP(Y$2,行为概览!$D$3:$U$33,3,0),$A38&gt;VLOOKUP(Y$2,行为概览!$D$3:$U$33,4,0)),0,VLOOKUP(Y$2,行为概览!$D$3:$U$33,6,0)),4)</f>
        <v>0</v>
      </c>
      <c r="Z38" s="20">
        <f>ROUND(IF(OR($A38&lt;VLOOKUP(Z$2,行为概览!$D$3:$U$33,3,0),$A38&gt;VLOOKUP(Z$2,行为概览!$D$3:$U$33,4,0)),0,VLOOKUP(Z$2,行为概览!$D$3:$U$33,6,0)),4)</f>
        <v>0</v>
      </c>
      <c r="AA38" s="20">
        <f>ROUND(IF(OR($A38&lt;VLOOKUP(AA$2,行为概览!$D$3:$U$33,3,0),$A38&gt;VLOOKUP(AA$2,行为概览!$D$3:$U$33,4,0)),0,VLOOKUP(AA$2,行为概览!$D$3:$U$33,6,0)),4)</f>
        <v>0</v>
      </c>
      <c r="AB38" s="20">
        <f>ROUND(IF(OR($A38&lt;VLOOKUP(AB$2,行为概览!$D$3:$U$33,3,0),$A38&gt;VLOOKUP(AB$2,行为概览!$D$3:$U$33,4,0)),0,VLOOKUP(AB$2,行为概览!$D$3:$U$33,6,0)),4)</f>
        <v>0</v>
      </c>
      <c r="AC38" s="20">
        <f>ROUND(IF(OR($A38&lt;VLOOKUP(AC$2,行为概览!$D$3:$U$33,3,0),$A38&gt;VLOOKUP(AC$2,行为概览!$D$3:$U$33,4,0)),0,VLOOKUP(AC$2,行为概览!$D$3:$U$33,6,0)),4)</f>
        <v>0</v>
      </c>
      <c r="AD38" s="20">
        <f>ROUND(IF(OR($A38&lt;VLOOKUP(AD$2,行为概览!$D$3:$U$33,3,0),$A38&gt;VLOOKUP(AD$2,行为概览!$D$3:$U$33,4,0)),0,VLOOKUP(AD$2,行为概览!$D$3:$U$33,6,0)),4)</f>
        <v>0</v>
      </c>
      <c r="AE38" s="20">
        <f>ROUND(IF(OR($A38&lt;VLOOKUP(AE$2,行为概览!$D$3:$U$33,3,0),$A38&gt;VLOOKUP(AE$2,行为概览!$D$3:$U$33,4,0)),0,VLOOKUP(AE$2,行为概览!$D$3:$U$33,6,0)),4)</f>
        <v>8.3299999999999999E-2</v>
      </c>
      <c r="AF38" s="20">
        <f>ROUND(IF(OR($A38&lt;VLOOKUP(AF$2,行为概览!$D$3:$U$33,3,0),$A38&gt;VLOOKUP(AF$2,行为概览!$D$3:$U$33,4,0)),0,VLOOKUP(AF$2,行为概览!$D$3:$U$33,6,0)),4)</f>
        <v>0</v>
      </c>
    </row>
    <row r="39" spans="1:32">
      <c r="A39" s="19">
        <v>37</v>
      </c>
      <c r="B39" s="20">
        <f>ROUND(IF(OR($A39&lt;VLOOKUP(B$2,行为概览!$D$3:$U$33,3,0),$A39&gt;VLOOKUP(B$2,行为概览!$D$3:$U$33,4,0)),0,VLOOKUP(B$2,行为概览!$D$3:$U$33,6,0)),4)</f>
        <v>0.33329999999999999</v>
      </c>
      <c r="C39" s="20">
        <f>ROUND(IF(OR($A39&lt;VLOOKUP(C$2,行为概览!$D$3:$U$33,3,0),$A39&gt;VLOOKUP(C$2,行为概览!$D$3:$U$33,4,0)),0,VLOOKUP(C$2,行为概览!$D$3:$U$33,6,0)),4)</f>
        <v>2</v>
      </c>
      <c r="D39" s="20">
        <f>ROUND(IF(OR($A39&lt;VLOOKUP(D$2,行为概览!$D$3:$U$33,3,0),$A39&gt;VLOOKUP(D$2,行为概览!$D$3:$U$33,4,0)),0,VLOOKUP(D$2,行为概览!$D$3:$U$33,6,0)),4)</f>
        <v>8.3299999999999999E-2</v>
      </c>
      <c r="E39" s="20">
        <f>ROUND(IF(OR($A39&lt;VLOOKUP(E$2,行为概览!$D$3:$U$33,3,0),$A39&gt;VLOOKUP(E$2,行为概览!$D$3:$U$33,4,0)),0,VLOOKUP(E$2,行为概览!$D$3:$U$33,6,0)),4)</f>
        <v>0</v>
      </c>
      <c r="F39" s="20">
        <f>ROUND(IF(OR($A39&lt;VLOOKUP(F$2,行为概览!$D$3:$U$33,3,0),$A39&gt;VLOOKUP(F$2,行为概览!$D$3:$U$33,4,0)),0,VLOOKUP(F$2,行为概览!$D$3:$U$33,6,0)),4)</f>
        <v>0.33329999999999999</v>
      </c>
      <c r="G39" s="20">
        <f>ROUND(IF(OR($A39&lt;VLOOKUP(G$2,行为概览!$D$3:$U$33,3,0),$A39&gt;VLOOKUP(G$2,行为概览!$D$3:$U$33,4,0)),0,VLOOKUP(G$2,行为概览!$D$3:$U$33,6,0)),4)</f>
        <v>0</v>
      </c>
      <c r="H39" s="20">
        <f>ROUND(IF(OR($A39&lt;VLOOKUP(H$2,行为概览!$D$3:$U$33,3,0),$A39&gt;VLOOKUP(H$2,行为概览!$D$3:$U$33,4,0)),0,VLOOKUP(H$2,行为概览!$D$3:$U$33,6,0)),4)</f>
        <v>0</v>
      </c>
      <c r="I39" s="20">
        <f>ROUND(IF(OR($A39&lt;VLOOKUP(I$2,行为概览!$D$3:$U$33,3,0),$A39&gt;VLOOKUP(I$2,行为概览!$D$3:$U$33,4,0)),0,VLOOKUP(I$2,行为概览!$D$3:$U$33,6,0)),4)</f>
        <v>0</v>
      </c>
      <c r="J39" s="20">
        <f>ROUND(IF(OR($A39&lt;VLOOKUP(J$2,行为概览!$D$3:$U$33,3,0),$A39&gt;VLOOKUP(J$2,行为概览!$D$3:$U$33,4,0)),0,VLOOKUP(J$2,行为概览!$D$3:$U$33,6,0)),4)</f>
        <v>0.5</v>
      </c>
      <c r="K39" s="20">
        <f>ROUND(IF(OR($A39&lt;VLOOKUP(K$2,行为概览!$D$3:$U$33,3,0),$A39&gt;VLOOKUP(K$2,行为概览!$D$3:$U$33,4,0)),0,VLOOKUP(K$2,行为概览!$D$3:$U$33,6,0)),4)</f>
        <v>0.16669999999999999</v>
      </c>
      <c r="L39" s="20">
        <f>ROUND(IF(OR($A39&lt;VLOOKUP(L$2,行为概览!$D$3:$U$33,3,0),$A39&gt;VLOOKUP(L$2,行为概览!$D$3:$U$33,4,0)),0,VLOOKUP(L$2,行为概览!$D$3:$U$33,6,0)),4)</f>
        <v>0</v>
      </c>
      <c r="M39" s="20">
        <f>ROUND(IF(OR($A39&lt;VLOOKUP(M$2,行为概览!$D$3:$U$33,3,0),$A39&gt;VLOOKUP(M$2,行为概览!$D$3:$U$33,4,0)),0,VLOOKUP(M$2,行为概览!$D$3:$U$33,6,0)),4)</f>
        <v>12</v>
      </c>
      <c r="N39" s="20">
        <f>ROUND(IF(OR($A39&lt;VLOOKUP(N$2,行为概览!$D$3:$U$33,3,0),$A39&gt;VLOOKUP(N$2,行为概览!$D$3:$U$33,4,0)),0,VLOOKUP(N$2,行为概览!$D$3:$U$33,6,0)),4)</f>
        <v>8.3299999999999999E-2</v>
      </c>
      <c r="O39" s="20">
        <f>ROUND(IF(OR($A39&lt;VLOOKUP(O$2,行为概览!$D$3:$U$33,3,0),$A39&gt;VLOOKUP(O$2,行为概览!$D$3:$U$33,4,0)),0,VLOOKUP(O$2,行为概览!$D$3:$U$33,6,0)),4)</f>
        <v>8.3299999999999999E-2</v>
      </c>
      <c r="P39" s="20">
        <f>ROUND(IF(OR($A39&lt;VLOOKUP(P$2,行为概览!$D$3:$U$33,3,0),$A39&gt;VLOOKUP(P$2,行为概览!$D$3:$U$33,4,0)),0,VLOOKUP(P$2,行为概览!$D$3:$U$33,6,0)),4)</f>
        <v>2.6</v>
      </c>
      <c r="Q39" s="20">
        <f>ROUND(IF(OR($A39&lt;VLOOKUP(Q$2,行为概览!$D$3:$U$33,3,0),$A39&gt;VLOOKUP(Q$2,行为概览!$D$3:$U$33,4,0)),0,VLOOKUP(Q$2,行为概览!$D$3:$U$33,6,0)),4)</f>
        <v>1</v>
      </c>
      <c r="R39" s="20">
        <f>ROUND(IF(OR($A39&lt;VLOOKUP(R$2,行为概览!$D$3:$U$33,3,0),$A39&gt;VLOOKUP(R$2,行为概览!$D$3:$U$33,4,0)),0,VLOOKUP(R$2,行为概览!$D$3:$U$33,6,0)),4)</f>
        <v>0.33329999999999999</v>
      </c>
      <c r="S39" s="20">
        <f>ROUND(IF(OR($A39&lt;VLOOKUP(S$2,行为概览!$D$3:$U$33,3,0),$A39&gt;VLOOKUP(S$2,行为概览!$D$3:$U$33,4,0)),0,VLOOKUP(S$2,行为概览!$D$3:$U$33,6,0)),4)</f>
        <v>0.5</v>
      </c>
      <c r="T39" s="20">
        <f>ROUND(IF(OR($A39&lt;VLOOKUP(T$2,行为概览!$D$3:$U$33,3,0),$A39&gt;VLOOKUP(T$2,行为概览!$D$3:$U$33,4,0)),0,VLOOKUP(T$2,行为概览!$D$3:$U$33,6,0)),4)</f>
        <v>0</v>
      </c>
      <c r="U39" s="20">
        <f>ROUND(IF(OR($A39&lt;VLOOKUP(U$2,行为概览!$D$3:$U$33,3,0),$A39&gt;VLOOKUP(U$2,行为概览!$D$3:$U$33,4,0)),0,VLOOKUP(U$2,行为概览!$D$3:$U$33,6,0)),4)</f>
        <v>0.16669999999999999</v>
      </c>
      <c r="V39" s="20">
        <f>ROUND(IF(OR($A39&lt;VLOOKUP(V$2,行为概览!$D$3:$U$33,3,0),$A39&gt;VLOOKUP(V$2,行为概览!$D$3:$U$33,4,0)),0,VLOOKUP(V$2,行为概览!$D$3:$U$33,6,0)),4)</f>
        <v>0.16669999999999999</v>
      </c>
      <c r="W39" s="20">
        <f>ROUND(IF(OR($A39&lt;VLOOKUP(W$2,行为概览!$D$3:$U$33,3,0),$A39&gt;VLOOKUP(W$2,行为概览!$D$3:$U$33,4,0)),0,VLOOKUP(W$2,行为概览!$D$3:$U$33,6,0)),4)</f>
        <v>0.16669999999999999</v>
      </c>
      <c r="X39" s="20">
        <f>ROUND(IF(OR($A39&lt;VLOOKUP(X$2,行为概览!$D$3:$U$33,3,0),$A39&gt;VLOOKUP(X$2,行为概览!$D$3:$U$33,4,0)),0,VLOOKUP(X$2,行为概览!$D$3:$U$33,6,0)),4)</f>
        <v>0</v>
      </c>
      <c r="Y39" s="20">
        <f>ROUND(IF(OR($A39&lt;VLOOKUP(Y$2,行为概览!$D$3:$U$33,3,0),$A39&gt;VLOOKUP(Y$2,行为概览!$D$3:$U$33,4,0)),0,VLOOKUP(Y$2,行为概览!$D$3:$U$33,6,0)),4)</f>
        <v>0</v>
      </c>
      <c r="Z39" s="20">
        <f>ROUND(IF(OR($A39&lt;VLOOKUP(Z$2,行为概览!$D$3:$U$33,3,0),$A39&gt;VLOOKUP(Z$2,行为概览!$D$3:$U$33,4,0)),0,VLOOKUP(Z$2,行为概览!$D$3:$U$33,6,0)),4)</f>
        <v>0</v>
      </c>
      <c r="AA39" s="20">
        <f>ROUND(IF(OR($A39&lt;VLOOKUP(AA$2,行为概览!$D$3:$U$33,3,0),$A39&gt;VLOOKUP(AA$2,行为概览!$D$3:$U$33,4,0)),0,VLOOKUP(AA$2,行为概览!$D$3:$U$33,6,0)),4)</f>
        <v>0</v>
      </c>
      <c r="AB39" s="20">
        <f>ROUND(IF(OR($A39&lt;VLOOKUP(AB$2,行为概览!$D$3:$U$33,3,0),$A39&gt;VLOOKUP(AB$2,行为概览!$D$3:$U$33,4,0)),0,VLOOKUP(AB$2,行为概览!$D$3:$U$33,6,0)),4)</f>
        <v>0</v>
      </c>
      <c r="AC39" s="20">
        <f>ROUND(IF(OR($A39&lt;VLOOKUP(AC$2,行为概览!$D$3:$U$33,3,0),$A39&gt;VLOOKUP(AC$2,行为概览!$D$3:$U$33,4,0)),0,VLOOKUP(AC$2,行为概览!$D$3:$U$33,6,0)),4)</f>
        <v>0</v>
      </c>
      <c r="AD39" s="20">
        <f>ROUND(IF(OR($A39&lt;VLOOKUP(AD$2,行为概览!$D$3:$U$33,3,0),$A39&gt;VLOOKUP(AD$2,行为概览!$D$3:$U$33,4,0)),0,VLOOKUP(AD$2,行为概览!$D$3:$U$33,6,0)),4)</f>
        <v>0</v>
      </c>
      <c r="AE39" s="20">
        <f>ROUND(IF(OR($A39&lt;VLOOKUP(AE$2,行为概览!$D$3:$U$33,3,0),$A39&gt;VLOOKUP(AE$2,行为概览!$D$3:$U$33,4,0)),0,VLOOKUP(AE$2,行为概览!$D$3:$U$33,6,0)),4)</f>
        <v>8.3299999999999999E-2</v>
      </c>
      <c r="AF39" s="20">
        <f>ROUND(IF(OR($A39&lt;VLOOKUP(AF$2,行为概览!$D$3:$U$33,3,0),$A39&gt;VLOOKUP(AF$2,行为概览!$D$3:$U$33,4,0)),0,VLOOKUP(AF$2,行为概览!$D$3:$U$33,6,0)),4)</f>
        <v>0</v>
      </c>
    </row>
    <row r="40" spans="1:32">
      <c r="A40" s="19">
        <v>38</v>
      </c>
      <c r="B40" s="20">
        <f>ROUND(IF(OR($A40&lt;VLOOKUP(B$2,行为概览!$D$3:$U$33,3,0),$A40&gt;VLOOKUP(B$2,行为概览!$D$3:$U$33,4,0)),0,VLOOKUP(B$2,行为概览!$D$3:$U$33,6,0)),4)</f>
        <v>0.33329999999999999</v>
      </c>
      <c r="C40" s="20">
        <f>ROUND(IF(OR($A40&lt;VLOOKUP(C$2,行为概览!$D$3:$U$33,3,0),$A40&gt;VLOOKUP(C$2,行为概览!$D$3:$U$33,4,0)),0,VLOOKUP(C$2,行为概览!$D$3:$U$33,6,0)),4)</f>
        <v>2</v>
      </c>
      <c r="D40" s="20">
        <f>ROUND(IF(OR($A40&lt;VLOOKUP(D$2,行为概览!$D$3:$U$33,3,0),$A40&gt;VLOOKUP(D$2,行为概览!$D$3:$U$33,4,0)),0,VLOOKUP(D$2,行为概览!$D$3:$U$33,6,0)),4)</f>
        <v>8.3299999999999999E-2</v>
      </c>
      <c r="E40" s="20">
        <f>ROUND(IF(OR($A40&lt;VLOOKUP(E$2,行为概览!$D$3:$U$33,3,0),$A40&gt;VLOOKUP(E$2,行为概览!$D$3:$U$33,4,0)),0,VLOOKUP(E$2,行为概览!$D$3:$U$33,6,0)),4)</f>
        <v>0</v>
      </c>
      <c r="F40" s="20">
        <f>ROUND(IF(OR($A40&lt;VLOOKUP(F$2,行为概览!$D$3:$U$33,3,0),$A40&gt;VLOOKUP(F$2,行为概览!$D$3:$U$33,4,0)),0,VLOOKUP(F$2,行为概览!$D$3:$U$33,6,0)),4)</f>
        <v>0.33329999999999999</v>
      </c>
      <c r="G40" s="20">
        <f>ROUND(IF(OR($A40&lt;VLOOKUP(G$2,行为概览!$D$3:$U$33,3,0),$A40&gt;VLOOKUP(G$2,行为概览!$D$3:$U$33,4,0)),0,VLOOKUP(G$2,行为概览!$D$3:$U$33,6,0)),4)</f>
        <v>0</v>
      </c>
      <c r="H40" s="20">
        <f>ROUND(IF(OR($A40&lt;VLOOKUP(H$2,行为概览!$D$3:$U$33,3,0),$A40&gt;VLOOKUP(H$2,行为概览!$D$3:$U$33,4,0)),0,VLOOKUP(H$2,行为概览!$D$3:$U$33,6,0)),4)</f>
        <v>0</v>
      </c>
      <c r="I40" s="20">
        <f>ROUND(IF(OR($A40&lt;VLOOKUP(I$2,行为概览!$D$3:$U$33,3,0),$A40&gt;VLOOKUP(I$2,行为概览!$D$3:$U$33,4,0)),0,VLOOKUP(I$2,行为概览!$D$3:$U$33,6,0)),4)</f>
        <v>0</v>
      </c>
      <c r="J40" s="20">
        <f>ROUND(IF(OR($A40&lt;VLOOKUP(J$2,行为概览!$D$3:$U$33,3,0),$A40&gt;VLOOKUP(J$2,行为概览!$D$3:$U$33,4,0)),0,VLOOKUP(J$2,行为概览!$D$3:$U$33,6,0)),4)</f>
        <v>0.5</v>
      </c>
      <c r="K40" s="20">
        <f>ROUND(IF(OR($A40&lt;VLOOKUP(K$2,行为概览!$D$3:$U$33,3,0),$A40&gt;VLOOKUP(K$2,行为概览!$D$3:$U$33,4,0)),0,VLOOKUP(K$2,行为概览!$D$3:$U$33,6,0)),4)</f>
        <v>0.16669999999999999</v>
      </c>
      <c r="L40" s="20">
        <f>ROUND(IF(OR($A40&lt;VLOOKUP(L$2,行为概览!$D$3:$U$33,3,0),$A40&gt;VLOOKUP(L$2,行为概览!$D$3:$U$33,4,0)),0,VLOOKUP(L$2,行为概览!$D$3:$U$33,6,0)),4)</f>
        <v>0</v>
      </c>
      <c r="M40" s="20">
        <f>ROUND(IF(OR($A40&lt;VLOOKUP(M$2,行为概览!$D$3:$U$33,3,0),$A40&gt;VLOOKUP(M$2,行为概览!$D$3:$U$33,4,0)),0,VLOOKUP(M$2,行为概览!$D$3:$U$33,6,0)),4)</f>
        <v>12</v>
      </c>
      <c r="N40" s="20">
        <f>ROUND(IF(OR($A40&lt;VLOOKUP(N$2,行为概览!$D$3:$U$33,3,0),$A40&gt;VLOOKUP(N$2,行为概览!$D$3:$U$33,4,0)),0,VLOOKUP(N$2,行为概览!$D$3:$U$33,6,0)),4)</f>
        <v>8.3299999999999999E-2</v>
      </c>
      <c r="O40" s="20">
        <f>ROUND(IF(OR($A40&lt;VLOOKUP(O$2,行为概览!$D$3:$U$33,3,0),$A40&gt;VLOOKUP(O$2,行为概览!$D$3:$U$33,4,0)),0,VLOOKUP(O$2,行为概览!$D$3:$U$33,6,0)),4)</f>
        <v>8.3299999999999999E-2</v>
      </c>
      <c r="P40" s="20">
        <f>ROUND(IF(OR($A40&lt;VLOOKUP(P$2,行为概览!$D$3:$U$33,3,0),$A40&gt;VLOOKUP(P$2,行为概览!$D$3:$U$33,4,0)),0,VLOOKUP(P$2,行为概览!$D$3:$U$33,6,0)),4)</f>
        <v>2.6</v>
      </c>
      <c r="Q40" s="20">
        <f>ROUND(IF(OR($A40&lt;VLOOKUP(Q$2,行为概览!$D$3:$U$33,3,0),$A40&gt;VLOOKUP(Q$2,行为概览!$D$3:$U$33,4,0)),0,VLOOKUP(Q$2,行为概览!$D$3:$U$33,6,0)),4)</f>
        <v>1</v>
      </c>
      <c r="R40" s="20">
        <f>ROUND(IF(OR($A40&lt;VLOOKUP(R$2,行为概览!$D$3:$U$33,3,0),$A40&gt;VLOOKUP(R$2,行为概览!$D$3:$U$33,4,0)),0,VLOOKUP(R$2,行为概览!$D$3:$U$33,6,0)),4)</f>
        <v>0.33329999999999999</v>
      </c>
      <c r="S40" s="20">
        <f>ROUND(IF(OR($A40&lt;VLOOKUP(S$2,行为概览!$D$3:$U$33,3,0),$A40&gt;VLOOKUP(S$2,行为概览!$D$3:$U$33,4,0)),0,VLOOKUP(S$2,行为概览!$D$3:$U$33,6,0)),4)</f>
        <v>0.5</v>
      </c>
      <c r="T40" s="20">
        <f>ROUND(IF(OR($A40&lt;VLOOKUP(T$2,行为概览!$D$3:$U$33,3,0),$A40&gt;VLOOKUP(T$2,行为概览!$D$3:$U$33,4,0)),0,VLOOKUP(T$2,行为概览!$D$3:$U$33,6,0)),4)</f>
        <v>0</v>
      </c>
      <c r="U40" s="20">
        <f>ROUND(IF(OR($A40&lt;VLOOKUP(U$2,行为概览!$D$3:$U$33,3,0),$A40&gt;VLOOKUP(U$2,行为概览!$D$3:$U$33,4,0)),0,VLOOKUP(U$2,行为概览!$D$3:$U$33,6,0)),4)</f>
        <v>0.16669999999999999</v>
      </c>
      <c r="V40" s="20">
        <f>ROUND(IF(OR($A40&lt;VLOOKUP(V$2,行为概览!$D$3:$U$33,3,0),$A40&gt;VLOOKUP(V$2,行为概览!$D$3:$U$33,4,0)),0,VLOOKUP(V$2,行为概览!$D$3:$U$33,6,0)),4)</f>
        <v>0.16669999999999999</v>
      </c>
      <c r="W40" s="20">
        <f>ROUND(IF(OR($A40&lt;VLOOKUP(W$2,行为概览!$D$3:$U$33,3,0),$A40&gt;VLOOKUP(W$2,行为概览!$D$3:$U$33,4,0)),0,VLOOKUP(W$2,行为概览!$D$3:$U$33,6,0)),4)</f>
        <v>0.16669999999999999</v>
      </c>
      <c r="X40" s="20">
        <f>ROUND(IF(OR($A40&lt;VLOOKUP(X$2,行为概览!$D$3:$U$33,3,0),$A40&gt;VLOOKUP(X$2,行为概览!$D$3:$U$33,4,0)),0,VLOOKUP(X$2,行为概览!$D$3:$U$33,6,0)),4)</f>
        <v>0</v>
      </c>
      <c r="Y40" s="20">
        <f>ROUND(IF(OR($A40&lt;VLOOKUP(Y$2,行为概览!$D$3:$U$33,3,0),$A40&gt;VLOOKUP(Y$2,行为概览!$D$3:$U$33,4,0)),0,VLOOKUP(Y$2,行为概览!$D$3:$U$33,6,0)),4)</f>
        <v>0</v>
      </c>
      <c r="Z40" s="20">
        <f>ROUND(IF(OR($A40&lt;VLOOKUP(Z$2,行为概览!$D$3:$U$33,3,0),$A40&gt;VLOOKUP(Z$2,行为概览!$D$3:$U$33,4,0)),0,VLOOKUP(Z$2,行为概览!$D$3:$U$33,6,0)),4)</f>
        <v>0</v>
      </c>
      <c r="AA40" s="20">
        <f>ROUND(IF(OR($A40&lt;VLOOKUP(AA$2,行为概览!$D$3:$U$33,3,0),$A40&gt;VLOOKUP(AA$2,行为概览!$D$3:$U$33,4,0)),0,VLOOKUP(AA$2,行为概览!$D$3:$U$33,6,0)),4)</f>
        <v>0</v>
      </c>
      <c r="AB40" s="20">
        <f>ROUND(IF(OR($A40&lt;VLOOKUP(AB$2,行为概览!$D$3:$U$33,3,0),$A40&gt;VLOOKUP(AB$2,行为概览!$D$3:$U$33,4,0)),0,VLOOKUP(AB$2,行为概览!$D$3:$U$33,6,0)),4)</f>
        <v>0</v>
      </c>
      <c r="AC40" s="20">
        <f>ROUND(IF(OR($A40&lt;VLOOKUP(AC$2,行为概览!$D$3:$U$33,3,0),$A40&gt;VLOOKUP(AC$2,行为概览!$D$3:$U$33,4,0)),0,VLOOKUP(AC$2,行为概览!$D$3:$U$33,6,0)),4)</f>
        <v>0</v>
      </c>
      <c r="AD40" s="20">
        <f>ROUND(IF(OR($A40&lt;VLOOKUP(AD$2,行为概览!$D$3:$U$33,3,0),$A40&gt;VLOOKUP(AD$2,行为概览!$D$3:$U$33,4,0)),0,VLOOKUP(AD$2,行为概览!$D$3:$U$33,6,0)),4)</f>
        <v>0</v>
      </c>
      <c r="AE40" s="20">
        <f>ROUND(IF(OR($A40&lt;VLOOKUP(AE$2,行为概览!$D$3:$U$33,3,0),$A40&gt;VLOOKUP(AE$2,行为概览!$D$3:$U$33,4,0)),0,VLOOKUP(AE$2,行为概览!$D$3:$U$33,6,0)),4)</f>
        <v>8.3299999999999999E-2</v>
      </c>
      <c r="AF40" s="20">
        <f>ROUND(IF(OR($A40&lt;VLOOKUP(AF$2,行为概览!$D$3:$U$33,3,0),$A40&gt;VLOOKUP(AF$2,行为概览!$D$3:$U$33,4,0)),0,VLOOKUP(AF$2,行为概览!$D$3:$U$33,6,0)),4)</f>
        <v>0</v>
      </c>
    </row>
    <row r="41" spans="1:32">
      <c r="A41" s="19">
        <v>39</v>
      </c>
      <c r="B41" s="20">
        <f>ROUND(IF(OR($A41&lt;VLOOKUP(B$2,行为概览!$D$3:$U$33,3,0),$A41&gt;VLOOKUP(B$2,行为概览!$D$3:$U$33,4,0)),0,VLOOKUP(B$2,行为概览!$D$3:$U$33,6,0)),4)</f>
        <v>0.33329999999999999</v>
      </c>
      <c r="C41" s="20">
        <f>ROUND(IF(OR($A41&lt;VLOOKUP(C$2,行为概览!$D$3:$U$33,3,0),$A41&gt;VLOOKUP(C$2,行为概览!$D$3:$U$33,4,0)),0,VLOOKUP(C$2,行为概览!$D$3:$U$33,6,0)),4)</f>
        <v>2</v>
      </c>
      <c r="D41" s="20">
        <f>ROUND(IF(OR($A41&lt;VLOOKUP(D$2,行为概览!$D$3:$U$33,3,0),$A41&gt;VLOOKUP(D$2,行为概览!$D$3:$U$33,4,0)),0,VLOOKUP(D$2,行为概览!$D$3:$U$33,6,0)),4)</f>
        <v>8.3299999999999999E-2</v>
      </c>
      <c r="E41" s="20">
        <f>ROUND(IF(OR($A41&lt;VLOOKUP(E$2,行为概览!$D$3:$U$33,3,0),$A41&gt;VLOOKUP(E$2,行为概览!$D$3:$U$33,4,0)),0,VLOOKUP(E$2,行为概览!$D$3:$U$33,6,0)),4)</f>
        <v>0</v>
      </c>
      <c r="F41" s="20">
        <f>ROUND(IF(OR($A41&lt;VLOOKUP(F$2,行为概览!$D$3:$U$33,3,0),$A41&gt;VLOOKUP(F$2,行为概览!$D$3:$U$33,4,0)),0,VLOOKUP(F$2,行为概览!$D$3:$U$33,6,0)),4)</f>
        <v>0.33329999999999999</v>
      </c>
      <c r="G41" s="20">
        <f>ROUND(IF(OR($A41&lt;VLOOKUP(G$2,行为概览!$D$3:$U$33,3,0),$A41&gt;VLOOKUP(G$2,行为概览!$D$3:$U$33,4,0)),0,VLOOKUP(G$2,行为概览!$D$3:$U$33,6,0)),4)</f>
        <v>0</v>
      </c>
      <c r="H41" s="20">
        <f>ROUND(IF(OR($A41&lt;VLOOKUP(H$2,行为概览!$D$3:$U$33,3,0),$A41&gt;VLOOKUP(H$2,行为概览!$D$3:$U$33,4,0)),0,VLOOKUP(H$2,行为概览!$D$3:$U$33,6,0)),4)</f>
        <v>0</v>
      </c>
      <c r="I41" s="20">
        <f>ROUND(IF(OR($A41&lt;VLOOKUP(I$2,行为概览!$D$3:$U$33,3,0),$A41&gt;VLOOKUP(I$2,行为概览!$D$3:$U$33,4,0)),0,VLOOKUP(I$2,行为概览!$D$3:$U$33,6,0)),4)</f>
        <v>0</v>
      </c>
      <c r="J41" s="20">
        <f>ROUND(IF(OR($A41&lt;VLOOKUP(J$2,行为概览!$D$3:$U$33,3,0),$A41&gt;VLOOKUP(J$2,行为概览!$D$3:$U$33,4,0)),0,VLOOKUP(J$2,行为概览!$D$3:$U$33,6,0)),4)</f>
        <v>0.5</v>
      </c>
      <c r="K41" s="20">
        <f>ROUND(IF(OR($A41&lt;VLOOKUP(K$2,行为概览!$D$3:$U$33,3,0),$A41&gt;VLOOKUP(K$2,行为概览!$D$3:$U$33,4,0)),0,VLOOKUP(K$2,行为概览!$D$3:$U$33,6,0)),4)</f>
        <v>0.16669999999999999</v>
      </c>
      <c r="L41" s="20">
        <f>ROUND(IF(OR($A41&lt;VLOOKUP(L$2,行为概览!$D$3:$U$33,3,0),$A41&gt;VLOOKUP(L$2,行为概览!$D$3:$U$33,4,0)),0,VLOOKUP(L$2,行为概览!$D$3:$U$33,6,0)),4)</f>
        <v>0</v>
      </c>
      <c r="M41" s="20">
        <f>ROUND(IF(OR($A41&lt;VLOOKUP(M$2,行为概览!$D$3:$U$33,3,0),$A41&gt;VLOOKUP(M$2,行为概览!$D$3:$U$33,4,0)),0,VLOOKUP(M$2,行为概览!$D$3:$U$33,6,0)),4)</f>
        <v>12</v>
      </c>
      <c r="N41" s="20">
        <f>ROUND(IF(OR($A41&lt;VLOOKUP(N$2,行为概览!$D$3:$U$33,3,0),$A41&gt;VLOOKUP(N$2,行为概览!$D$3:$U$33,4,0)),0,VLOOKUP(N$2,行为概览!$D$3:$U$33,6,0)),4)</f>
        <v>8.3299999999999999E-2</v>
      </c>
      <c r="O41" s="20">
        <f>ROUND(IF(OR($A41&lt;VLOOKUP(O$2,行为概览!$D$3:$U$33,3,0),$A41&gt;VLOOKUP(O$2,行为概览!$D$3:$U$33,4,0)),0,VLOOKUP(O$2,行为概览!$D$3:$U$33,6,0)),4)</f>
        <v>8.3299999999999999E-2</v>
      </c>
      <c r="P41" s="20">
        <f>ROUND(IF(OR($A41&lt;VLOOKUP(P$2,行为概览!$D$3:$U$33,3,0),$A41&gt;VLOOKUP(P$2,行为概览!$D$3:$U$33,4,0)),0,VLOOKUP(P$2,行为概览!$D$3:$U$33,6,0)),4)</f>
        <v>2.6</v>
      </c>
      <c r="Q41" s="20">
        <f>ROUND(IF(OR($A41&lt;VLOOKUP(Q$2,行为概览!$D$3:$U$33,3,0),$A41&gt;VLOOKUP(Q$2,行为概览!$D$3:$U$33,4,0)),0,VLOOKUP(Q$2,行为概览!$D$3:$U$33,6,0)),4)</f>
        <v>1</v>
      </c>
      <c r="R41" s="20">
        <f>ROUND(IF(OR($A41&lt;VLOOKUP(R$2,行为概览!$D$3:$U$33,3,0),$A41&gt;VLOOKUP(R$2,行为概览!$D$3:$U$33,4,0)),0,VLOOKUP(R$2,行为概览!$D$3:$U$33,6,0)),4)</f>
        <v>0.33329999999999999</v>
      </c>
      <c r="S41" s="20">
        <f>ROUND(IF(OR($A41&lt;VLOOKUP(S$2,行为概览!$D$3:$U$33,3,0),$A41&gt;VLOOKUP(S$2,行为概览!$D$3:$U$33,4,0)),0,VLOOKUP(S$2,行为概览!$D$3:$U$33,6,0)),4)</f>
        <v>0.5</v>
      </c>
      <c r="T41" s="20">
        <f>ROUND(IF(OR($A41&lt;VLOOKUP(T$2,行为概览!$D$3:$U$33,3,0),$A41&gt;VLOOKUP(T$2,行为概览!$D$3:$U$33,4,0)),0,VLOOKUP(T$2,行为概览!$D$3:$U$33,6,0)),4)</f>
        <v>0</v>
      </c>
      <c r="U41" s="20">
        <f>ROUND(IF(OR($A41&lt;VLOOKUP(U$2,行为概览!$D$3:$U$33,3,0),$A41&gt;VLOOKUP(U$2,行为概览!$D$3:$U$33,4,0)),0,VLOOKUP(U$2,行为概览!$D$3:$U$33,6,0)),4)</f>
        <v>0.16669999999999999</v>
      </c>
      <c r="V41" s="20">
        <f>ROUND(IF(OR($A41&lt;VLOOKUP(V$2,行为概览!$D$3:$U$33,3,0),$A41&gt;VLOOKUP(V$2,行为概览!$D$3:$U$33,4,0)),0,VLOOKUP(V$2,行为概览!$D$3:$U$33,6,0)),4)</f>
        <v>0.16669999999999999</v>
      </c>
      <c r="W41" s="20">
        <f>ROUND(IF(OR($A41&lt;VLOOKUP(W$2,行为概览!$D$3:$U$33,3,0),$A41&gt;VLOOKUP(W$2,行为概览!$D$3:$U$33,4,0)),0,VLOOKUP(W$2,行为概览!$D$3:$U$33,6,0)),4)</f>
        <v>0.16669999999999999</v>
      </c>
      <c r="X41" s="20">
        <f>ROUND(IF(OR($A41&lt;VLOOKUP(X$2,行为概览!$D$3:$U$33,3,0),$A41&gt;VLOOKUP(X$2,行为概览!$D$3:$U$33,4,0)),0,VLOOKUP(X$2,行为概览!$D$3:$U$33,6,0)),4)</f>
        <v>0</v>
      </c>
      <c r="Y41" s="20">
        <f>ROUND(IF(OR($A41&lt;VLOOKUP(Y$2,行为概览!$D$3:$U$33,3,0),$A41&gt;VLOOKUP(Y$2,行为概览!$D$3:$U$33,4,0)),0,VLOOKUP(Y$2,行为概览!$D$3:$U$33,6,0)),4)</f>
        <v>0</v>
      </c>
      <c r="Z41" s="20">
        <f>ROUND(IF(OR($A41&lt;VLOOKUP(Z$2,行为概览!$D$3:$U$33,3,0),$A41&gt;VLOOKUP(Z$2,行为概览!$D$3:$U$33,4,0)),0,VLOOKUP(Z$2,行为概览!$D$3:$U$33,6,0)),4)</f>
        <v>0</v>
      </c>
      <c r="AA41" s="20">
        <f>ROUND(IF(OR($A41&lt;VLOOKUP(AA$2,行为概览!$D$3:$U$33,3,0),$A41&gt;VLOOKUP(AA$2,行为概览!$D$3:$U$33,4,0)),0,VLOOKUP(AA$2,行为概览!$D$3:$U$33,6,0)),4)</f>
        <v>0</v>
      </c>
      <c r="AB41" s="20">
        <f>ROUND(IF(OR($A41&lt;VLOOKUP(AB$2,行为概览!$D$3:$U$33,3,0),$A41&gt;VLOOKUP(AB$2,行为概览!$D$3:$U$33,4,0)),0,VLOOKUP(AB$2,行为概览!$D$3:$U$33,6,0)),4)</f>
        <v>0</v>
      </c>
      <c r="AC41" s="20">
        <f>ROUND(IF(OR($A41&lt;VLOOKUP(AC$2,行为概览!$D$3:$U$33,3,0),$A41&gt;VLOOKUP(AC$2,行为概览!$D$3:$U$33,4,0)),0,VLOOKUP(AC$2,行为概览!$D$3:$U$33,6,0)),4)</f>
        <v>0</v>
      </c>
      <c r="AD41" s="20">
        <f>ROUND(IF(OR($A41&lt;VLOOKUP(AD$2,行为概览!$D$3:$U$33,3,0),$A41&gt;VLOOKUP(AD$2,行为概览!$D$3:$U$33,4,0)),0,VLOOKUP(AD$2,行为概览!$D$3:$U$33,6,0)),4)</f>
        <v>0</v>
      </c>
      <c r="AE41" s="20">
        <f>ROUND(IF(OR($A41&lt;VLOOKUP(AE$2,行为概览!$D$3:$U$33,3,0),$A41&gt;VLOOKUP(AE$2,行为概览!$D$3:$U$33,4,0)),0,VLOOKUP(AE$2,行为概览!$D$3:$U$33,6,0)),4)</f>
        <v>8.3299999999999999E-2</v>
      </c>
      <c r="AF41" s="20">
        <f>ROUND(IF(OR($A41&lt;VLOOKUP(AF$2,行为概览!$D$3:$U$33,3,0),$A41&gt;VLOOKUP(AF$2,行为概览!$D$3:$U$33,4,0)),0,VLOOKUP(AF$2,行为概览!$D$3:$U$33,6,0)),4)</f>
        <v>0</v>
      </c>
    </row>
    <row r="42" spans="1:32">
      <c r="A42" s="19">
        <v>40</v>
      </c>
      <c r="B42" s="20">
        <f>ROUND(IF(OR($A42&lt;VLOOKUP(B$2,行为概览!$D$3:$U$33,3,0),$A42&gt;VLOOKUP(B$2,行为概览!$D$3:$U$33,4,0)),0,VLOOKUP(B$2,行为概览!$D$3:$U$33,6,0)),4)</f>
        <v>0.33329999999999999</v>
      </c>
      <c r="C42" s="20">
        <f>ROUND(IF(OR($A42&lt;VLOOKUP(C$2,行为概览!$D$3:$U$33,3,0),$A42&gt;VLOOKUP(C$2,行为概览!$D$3:$U$33,4,0)),0,VLOOKUP(C$2,行为概览!$D$3:$U$33,6,0)),4)</f>
        <v>2</v>
      </c>
      <c r="D42" s="20">
        <f>ROUND(IF(OR($A42&lt;VLOOKUP(D$2,行为概览!$D$3:$U$33,3,0),$A42&gt;VLOOKUP(D$2,行为概览!$D$3:$U$33,4,0)),0,VLOOKUP(D$2,行为概览!$D$3:$U$33,6,0)),4)</f>
        <v>8.3299999999999999E-2</v>
      </c>
      <c r="E42" s="20">
        <f>ROUND(IF(OR($A42&lt;VLOOKUP(E$2,行为概览!$D$3:$U$33,3,0),$A42&gt;VLOOKUP(E$2,行为概览!$D$3:$U$33,4,0)),0,VLOOKUP(E$2,行为概览!$D$3:$U$33,6,0)),4)</f>
        <v>1</v>
      </c>
      <c r="F42" s="20">
        <f>ROUND(IF(OR($A42&lt;VLOOKUP(F$2,行为概览!$D$3:$U$33,3,0),$A42&gt;VLOOKUP(F$2,行为概览!$D$3:$U$33,4,0)),0,VLOOKUP(F$2,行为概览!$D$3:$U$33,6,0)),4)</f>
        <v>0.33329999999999999</v>
      </c>
      <c r="G42" s="20">
        <f>ROUND(IF(OR($A42&lt;VLOOKUP(G$2,行为概览!$D$3:$U$33,3,0),$A42&gt;VLOOKUP(G$2,行为概览!$D$3:$U$33,4,0)),0,VLOOKUP(G$2,行为概览!$D$3:$U$33,6,0)),4)</f>
        <v>0</v>
      </c>
      <c r="H42" s="20">
        <f>ROUND(IF(OR($A42&lt;VLOOKUP(H$2,行为概览!$D$3:$U$33,3,0),$A42&gt;VLOOKUP(H$2,行为概览!$D$3:$U$33,4,0)),0,VLOOKUP(H$2,行为概览!$D$3:$U$33,6,0)),4)</f>
        <v>0</v>
      </c>
      <c r="I42" s="20">
        <f>ROUND(IF(OR($A42&lt;VLOOKUP(I$2,行为概览!$D$3:$U$33,3,0),$A42&gt;VLOOKUP(I$2,行为概览!$D$3:$U$33,4,0)),0,VLOOKUP(I$2,行为概览!$D$3:$U$33,6,0)),4)</f>
        <v>0</v>
      </c>
      <c r="J42" s="20">
        <f>ROUND(IF(OR($A42&lt;VLOOKUP(J$2,行为概览!$D$3:$U$33,3,0),$A42&gt;VLOOKUP(J$2,行为概览!$D$3:$U$33,4,0)),0,VLOOKUP(J$2,行为概览!$D$3:$U$33,6,0)),4)</f>
        <v>0.5</v>
      </c>
      <c r="K42" s="20">
        <f>ROUND(IF(OR($A42&lt;VLOOKUP(K$2,行为概览!$D$3:$U$33,3,0),$A42&gt;VLOOKUP(K$2,行为概览!$D$3:$U$33,4,0)),0,VLOOKUP(K$2,行为概览!$D$3:$U$33,6,0)),4)</f>
        <v>0.16669999999999999</v>
      </c>
      <c r="L42" s="20">
        <f>ROUND(IF(OR($A42&lt;VLOOKUP(L$2,行为概览!$D$3:$U$33,3,0),$A42&gt;VLOOKUP(L$2,行为概览!$D$3:$U$33,4,0)),0,VLOOKUP(L$2,行为概览!$D$3:$U$33,6,0)),4)</f>
        <v>0</v>
      </c>
      <c r="M42" s="20">
        <f>ROUND(IF(OR($A42&lt;VLOOKUP(M$2,行为概览!$D$3:$U$33,3,0),$A42&gt;VLOOKUP(M$2,行为概览!$D$3:$U$33,4,0)),0,VLOOKUP(M$2,行为概览!$D$3:$U$33,6,0)),4)</f>
        <v>12</v>
      </c>
      <c r="N42" s="20">
        <f>ROUND(IF(OR($A42&lt;VLOOKUP(N$2,行为概览!$D$3:$U$33,3,0),$A42&gt;VLOOKUP(N$2,行为概览!$D$3:$U$33,4,0)),0,VLOOKUP(N$2,行为概览!$D$3:$U$33,6,0)),4)</f>
        <v>8.3299999999999999E-2</v>
      </c>
      <c r="O42" s="20">
        <f>ROUND(IF(OR($A42&lt;VLOOKUP(O$2,行为概览!$D$3:$U$33,3,0),$A42&gt;VLOOKUP(O$2,行为概览!$D$3:$U$33,4,0)),0,VLOOKUP(O$2,行为概览!$D$3:$U$33,6,0)),4)</f>
        <v>8.3299999999999999E-2</v>
      </c>
      <c r="P42" s="20">
        <f>ROUND(IF(OR($A42&lt;VLOOKUP(P$2,行为概览!$D$3:$U$33,3,0),$A42&gt;VLOOKUP(P$2,行为概览!$D$3:$U$33,4,0)),0,VLOOKUP(P$2,行为概览!$D$3:$U$33,6,0)),4)</f>
        <v>2.6</v>
      </c>
      <c r="Q42" s="20">
        <f>ROUND(IF(OR($A42&lt;VLOOKUP(Q$2,行为概览!$D$3:$U$33,3,0),$A42&gt;VLOOKUP(Q$2,行为概览!$D$3:$U$33,4,0)),0,VLOOKUP(Q$2,行为概览!$D$3:$U$33,6,0)),4)</f>
        <v>1</v>
      </c>
      <c r="R42" s="20">
        <f>ROUND(IF(OR($A42&lt;VLOOKUP(R$2,行为概览!$D$3:$U$33,3,0),$A42&gt;VLOOKUP(R$2,行为概览!$D$3:$U$33,4,0)),0,VLOOKUP(R$2,行为概览!$D$3:$U$33,6,0)),4)</f>
        <v>0.33329999999999999</v>
      </c>
      <c r="S42" s="20">
        <f>ROUND(IF(OR($A42&lt;VLOOKUP(S$2,行为概览!$D$3:$U$33,3,0),$A42&gt;VLOOKUP(S$2,行为概览!$D$3:$U$33,4,0)),0,VLOOKUP(S$2,行为概览!$D$3:$U$33,6,0)),4)</f>
        <v>0.5</v>
      </c>
      <c r="T42" s="20">
        <f>ROUND(IF(OR($A42&lt;VLOOKUP(T$2,行为概览!$D$3:$U$33,3,0),$A42&gt;VLOOKUP(T$2,行为概览!$D$3:$U$33,4,0)),0,VLOOKUP(T$2,行为概览!$D$3:$U$33,6,0)),4)</f>
        <v>0</v>
      </c>
      <c r="U42" s="20">
        <f>ROUND(IF(OR($A42&lt;VLOOKUP(U$2,行为概览!$D$3:$U$33,3,0),$A42&gt;VLOOKUP(U$2,行为概览!$D$3:$U$33,4,0)),0,VLOOKUP(U$2,行为概览!$D$3:$U$33,6,0)),4)</f>
        <v>0.16669999999999999</v>
      </c>
      <c r="V42" s="20">
        <f>ROUND(IF(OR($A42&lt;VLOOKUP(V$2,行为概览!$D$3:$U$33,3,0),$A42&gt;VLOOKUP(V$2,行为概览!$D$3:$U$33,4,0)),0,VLOOKUP(V$2,行为概览!$D$3:$U$33,6,0)),4)</f>
        <v>0.16669999999999999</v>
      </c>
      <c r="W42" s="20">
        <f>ROUND(IF(OR($A42&lt;VLOOKUP(W$2,行为概览!$D$3:$U$33,3,0),$A42&gt;VLOOKUP(W$2,行为概览!$D$3:$U$33,4,0)),0,VLOOKUP(W$2,行为概览!$D$3:$U$33,6,0)),4)</f>
        <v>0.16669999999999999</v>
      </c>
      <c r="X42" s="20">
        <f>ROUND(IF(OR($A42&lt;VLOOKUP(X$2,行为概览!$D$3:$U$33,3,0),$A42&gt;VLOOKUP(X$2,行为概览!$D$3:$U$33,4,0)),0,VLOOKUP(X$2,行为概览!$D$3:$U$33,6,0)),4)</f>
        <v>0.25</v>
      </c>
      <c r="Y42" s="20">
        <f>ROUND(IF(OR($A42&lt;VLOOKUP(Y$2,行为概览!$D$3:$U$33,3,0),$A42&gt;VLOOKUP(Y$2,行为概览!$D$3:$U$33,4,0)),0,VLOOKUP(Y$2,行为概览!$D$3:$U$33,6,0)),4)</f>
        <v>0.58330000000000004</v>
      </c>
      <c r="Z42" s="20">
        <f>ROUND(IF(OR($A42&lt;VLOOKUP(Z$2,行为概览!$D$3:$U$33,3,0),$A42&gt;VLOOKUP(Z$2,行为概览!$D$3:$U$33,4,0)),0,VLOOKUP(Z$2,行为概览!$D$3:$U$33,6,0)),4)</f>
        <v>0.16669999999999999</v>
      </c>
      <c r="AA42" s="20">
        <f>ROUND(IF(OR($A42&lt;VLOOKUP(AA$2,行为概览!$D$3:$U$33,3,0),$A42&gt;VLOOKUP(AA$2,行为概览!$D$3:$U$33,4,0)),0,VLOOKUP(AA$2,行为概览!$D$3:$U$33,6,0)),4)</f>
        <v>0</v>
      </c>
      <c r="AB42" s="20">
        <f>ROUND(IF(OR($A42&lt;VLOOKUP(AB$2,行为概览!$D$3:$U$33,3,0),$A42&gt;VLOOKUP(AB$2,行为概览!$D$3:$U$33,4,0)),0,VLOOKUP(AB$2,行为概览!$D$3:$U$33,6,0)),4)</f>
        <v>0</v>
      </c>
      <c r="AC42" s="20">
        <f>ROUND(IF(OR($A42&lt;VLOOKUP(AC$2,行为概览!$D$3:$U$33,3,0),$A42&gt;VLOOKUP(AC$2,行为概览!$D$3:$U$33,4,0)),0,VLOOKUP(AC$2,行为概览!$D$3:$U$33,6,0)),4)</f>
        <v>0</v>
      </c>
      <c r="AD42" s="20">
        <f>ROUND(IF(OR($A42&lt;VLOOKUP(AD$2,行为概览!$D$3:$U$33,3,0),$A42&gt;VLOOKUP(AD$2,行为概览!$D$3:$U$33,4,0)),0,VLOOKUP(AD$2,行为概览!$D$3:$U$33,6,0)),4)</f>
        <v>0</v>
      </c>
      <c r="AE42" s="20">
        <f>ROUND(IF(OR($A42&lt;VLOOKUP(AE$2,行为概览!$D$3:$U$33,3,0),$A42&gt;VLOOKUP(AE$2,行为概览!$D$3:$U$33,4,0)),0,VLOOKUP(AE$2,行为概览!$D$3:$U$33,6,0)),4)</f>
        <v>8.3299999999999999E-2</v>
      </c>
      <c r="AF42" s="20">
        <f>ROUND(IF(OR($A42&lt;VLOOKUP(AF$2,行为概览!$D$3:$U$33,3,0),$A42&gt;VLOOKUP(AF$2,行为概览!$D$3:$U$33,4,0)),0,VLOOKUP(AF$2,行为概览!$D$3:$U$33,6,0)),4)</f>
        <v>0</v>
      </c>
    </row>
    <row r="43" spans="1:32">
      <c r="A43" s="19">
        <v>41</v>
      </c>
      <c r="B43" s="20">
        <f>ROUND(IF(OR($A43&lt;VLOOKUP(B$2,行为概览!$D$3:$U$33,3,0),$A43&gt;VLOOKUP(B$2,行为概览!$D$3:$U$33,4,0)),0,VLOOKUP(B$2,行为概览!$D$3:$U$33,6,0)),4)</f>
        <v>0.33329999999999999</v>
      </c>
      <c r="C43" s="20">
        <f>ROUND(IF(OR($A43&lt;VLOOKUP(C$2,行为概览!$D$3:$U$33,3,0),$A43&gt;VLOOKUP(C$2,行为概览!$D$3:$U$33,4,0)),0,VLOOKUP(C$2,行为概览!$D$3:$U$33,6,0)),4)</f>
        <v>2</v>
      </c>
      <c r="D43" s="20">
        <f>ROUND(IF(OR($A43&lt;VLOOKUP(D$2,行为概览!$D$3:$U$33,3,0),$A43&gt;VLOOKUP(D$2,行为概览!$D$3:$U$33,4,0)),0,VLOOKUP(D$2,行为概览!$D$3:$U$33,6,0)),4)</f>
        <v>8.3299999999999999E-2</v>
      </c>
      <c r="E43" s="20">
        <f>ROUND(IF(OR($A43&lt;VLOOKUP(E$2,行为概览!$D$3:$U$33,3,0),$A43&gt;VLOOKUP(E$2,行为概览!$D$3:$U$33,4,0)),0,VLOOKUP(E$2,行为概览!$D$3:$U$33,6,0)),4)</f>
        <v>1</v>
      </c>
      <c r="F43" s="20">
        <f>ROUND(IF(OR($A43&lt;VLOOKUP(F$2,行为概览!$D$3:$U$33,3,0),$A43&gt;VLOOKUP(F$2,行为概览!$D$3:$U$33,4,0)),0,VLOOKUP(F$2,行为概览!$D$3:$U$33,6,0)),4)</f>
        <v>0.33329999999999999</v>
      </c>
      <c r="G43" s="20">
        <f>ROUND(IF(OR($A43&lt;VLOOKUP(G$2,行为概览!$D$3:$U$33,3,0),$A43&gt;VLOOKUP(G$2,行为概览!$D$3:$U$33,4,0)),0,VLOOKUP(G$2,行为概览!$D$3:$U$33,6,0)),4)</f>
        <v>0</v>
      </c>
      <c r="H43" s="20">
        <f>ROUND(IF(OR($A43&lt;VLOOKUP(H$2,行为概览!$D$3:$U$33,3,0),$A43&gt;VLOOKUP(H$2,行为概览!$D$3:$U$33,4,0)),0,VLOOKUP(H$2,行为概览!$D$3:$U$33,6,0)),4)</f>
        <v>0</v>
      </c>
      <c r="I43" s="20">
        <f>ROUND(IF(OR($A43&lt;VLOOKUP(I$2,行为概览!$D$3:$U$33,3,0),$A43&gt;VLOOKUP(I$2,行为概览!$D$3:$U$33,4,0)),0,VLOOKUP(I$2,行为概览!$D$3:$U$33,6,0)),4)</f>
        <v>0</v>
      </c>
      <c r="J43" s="20">
        <f>ROUND(IF(OR($A43&lt;VLOOKUP(J$2,行为概览!$D$3:$U$33,3,0),$A43&gt;VLOOKUP(J$2,行为概览!$D$3:$U$33,4,0)),0,VLOOKUP(J$2,行为概览!$D$3:$U$33,6,0)),4)</f>
        <v>0.5</v>
      </c>
      <c r="K43" s="20">
        <f>ROUND(IF(OR($A43&lt;VLOOKUP(K$2,行为概览!$D$3:$U$33,3,0),$A43&gt;VLOOKUP(K$2,行为概览!$D$3:$U$33,4,0)),0,VLOOKUP(K$2,行为概览!$D$3:$U$33,6,0)),4)</f>
        <v>0.16669999999999999</v>
      </c>
      <c r="L43" s="20">
        <f>ROUND(IF(OR($A43&lt;VLOOKUP(L$2,行为概览!$D$3:$U$33,3,0),$A43&gt;VLOOKUP(L$2,行为概览!$D$3:$U$33,4,0)),0,VLOOKUP(L$2,行为概览!$D$3:$U$33,6,0)),4)</f>
        <v>0</v>
      </c>
      <c r="M43" s="20">
        <f>ROUND(IF(OR($A43&lt;VLOOKUP(M$2,行为概览!$D$3:$U$33,3,0),$A43&gt;VLOOKUP(M$2,行为概览!$D$3:$U$33,4,0)),0,VLOOKUP(M$2,行为概览!$D$3:$U$33,6,0)),4)</f>
        <v>12</v>
      </c>
      <c r="N43" s="20">
        <f>ROUND(IF(OR($A43&lt;VLOOKUP(N$2,行为概览!$D$3:$U$33,3,0),$A43&gt;VLOOKUP(N$2,行为概览!$D$3:$U$33,4,0)),0,VLOOKUP(N$2,行为概览!$D$3:$U$33,6,0)),4)</f>
        <v>8.3299999999999999E-2</v>
      </c>
      <c r="O43" s="20">
        <f>ROUND(IF(OR($A43&lt;VLOOKUP(O$2,行为概览!$D$3:$U$33,3,0),$A43&gt;VLOOKUP(O$2,行为概览!$D$3:$U$33,4,0)),0,VLOOKUP(O$2,行为概览!$D$3:$U$33,6,0)),4)</f>
        <v>8.3299999999999999E-2</v>
      </c>
      <c r="P43" s="20">
        <f>ROUND(IF(OR($A43&lt;VLOOKUP(P$2,行为概览!$D$3:$U$33,3,0),$A43&gt;VLOOKUP(P$2,行为概览!$D$3:$U$33,4,0)),0,VLOOKUP(P$2,行为概览!$D$3:$U$33,6,0)),4)</f>
        <v>2.6</v>
      </c>
      <c r="Q43" s="20">
        <f>ROUND(IF(OR($A43&lt;VLOOKUP(Q$2,行为概览!$D$3:$U$33,3,0),$A43&gt;VLOOKUP(Q$2,行为概览!$D$3:$U$33,4,0)),0,VLOOKUP(Q$2,行为概览!$D$3:$U$33,6,0)),4)</f>
        <v>1</v>
      </c>
      <c r="R43" s="20">
        <f>ROUND(IF(OR($A43&lt;VLOOKUP(R$2,行为概览!$D$3:$U$33,3,0),$A43&gt;VLOOKUP(R$2,行为概览!$D$3:$U$33,4,0)),0,VLOOKUP(R$2,行为概览!$D$3:$U$33,6,0)),4)</f>
        <v>0.33329999999999999</v>
      </c>
      <c r="S43" s="20">
        <f>ROUND(IF(OR($A43&lt;VLOOKUP(S$2,行为概览!$D$3:$U$33,3,0),$A43&gt;VLOOKUP(S$2,行为概览!$D$3:$U$33,4,0)),0,VLOOKUP(S$2,行为概览!$D$3:$U$33,6,0)),4)</f>
        <v>0.5</v>
      </c>
      <c r="T43" s="20">
        <f>ROUND(IF(OR($A43&lt;VLOOKUP(T$2,行为概览!$D$3:$U$33,3,0),$A43&gt;VLOOKUP(T$2,行为概览!$D$3:$U$33,4,0)),0,VLOOKUP(T$2,行为概览!$D$3:$U$33,6,0)),4)</f>
        <v>0</v>
      </c>
      <c r="U43" s="20">
        <f>ROUND(IF(OR($A43&lt;VLOOKUP(U$2,行为概览!$D$3:$U$33,3,0),$A43&gt;VLOOKUP(U$2,行为概览!$D$3:$U$33,4,0)),0,VLOOKUP(U$2,行为概览!$D$3:$U$33,6,0)),4)</f>
        <v>0.16669999999999999</v>
      </c>
      <c r="V43" s="20">
        <f>ROUND(IF(OR($A43&lt;VLOOKUP(V$2,行为概览!$D$3:$U$33,3,0),$A43&gt;VLOOKUP(V$2,行为概览!$D$3:$U$33,4,0)),0,VLOOKUP(V$2,行为概览!$D$3:$U$33,6,0)),4)</f>
        <v>0.16669999999999999</v>
      </c>
      <c r="W43" s="20">
        <f>ROUND(IF(OR($A43&lt;VLOOKUP(W$2,行为概览!$D$3:$U$33,3,0),$A43&gt;VLOOKUP(W$2,行为概览!$D$3:$U$33,4,0)),0,VLOOKUP(W$2,行为概览!$D$3:$U$33,6,0)),4)</f>
        <v>0.16669999999999999</v>
      </c>
      <c r="X43" s="20">
        <f>ROUND(IF(OR($A43&lt;VLOOKUP(X$2,行为概览!$D$3:$U$33,3,0),$A43&gt;VLOOKUP(X$2,行为概览!$D$3:$U$33,4,0)),0,VLOOKUP(X$2,行为概览!$D$3:$U$33,6,0)),4)</f>
        <v>0.25</v>
      </c>
      <c r="Y43" s="20">
        <f>ROUND(IF(OR($A43&lt;VLOOKUP(Y$2,行为概览!$D$3:$U$33,3,0),$A43&gt;VLOOKUP(Y$2,行为概览!$D$3:$U$33,4,0)),0,VLOOKUP(Y$2,行为概览!$D$3:$U$33,6,0)),4)</f>
        <v>0.58330000000000004</v>
      </c>
      <c r="Z43" s="20">
        <f>ROUND(IF(OR($A43&lt;VLOOKUP(Z$2,行为概览!$D$3:$U$33,3,0),$A43&gt;VLOOKUP(Z$2,行为概览!$D$3:$U$33,4,0)),0,VLOOKUP(Z$2,行为概览!$D$3:$U$33,6,0)),4)</f>
        <v>0.16669999999999999</v>
      </c>
      <c r="AA43" s="20">
        <f>ROUND(IF(OR($A43&lt;VLOOKUP(AA$2,行为概览!$D$3:$U$33,3,0),$A43&gt;VLOOKUP(AA$2,行为概览!$D$3:$U$33,4,0)),0,VLOOKUP(AA$2,行为概览!$D$3:$U$33,6,0)),4)</f>
        <v>0</v>
      </c>
      <c r="AB43" s="20">
        <f>ROUND(IF(OR($A43&lt;VLOOKUP(AB$2,行为概览!$D$3:$U$33,3,0),$A43&gt;VLOOKUP(AB$2,行为概览!$D$3:$U$33,4,0)),0,VLOOKUP(AB$2,行为概览!$D$3:$U$33,6,0)),4)</f>
        <v>0</v>
      </c>
      <c r="AC43" s="20">
        <f>ROUND(IF(OR($A43&lt;VLOOKUP(AC$2,行为概览!$D$3:$U$33,3,0),$A43&gt;VLOOKUP(AC$2,行为概览!$D$3:$U$33,4,0)),0,VLOOKUP(AC$2,行为概览!$D$3:$U$33,6,0)),4)</f>
        <v>0</v>
      </c>
      <c r="AD43" s="20">
        <f>ROUND(IF(OR($A43&lt;VLOOKUP(AD$2,行为概览!$D$3:$U$33,3,0),$A43&gt;VLOOKUP(AD$2,行为概览!$D$3:$U$33,4,0)),0,VLOOKUP(AD$2,行为概览!$D$3:$U$33,6,0)),4)</f>
        <v>0</v>
      </c>
      <c r="AE43" s="20">
        <f>ROUND(IF(OR($A43&lt;VLOOKUP(AE$2,行为概览!$D$3:$U$33,3,0),$A43&gt;VLOOKUP(AE$2,行为概览!$D$3:$U$33,4,0)),0,VLOOKUP(AE$2,行为概览!$D$3:$U$33,6,0)),4)</f>
        <v>8.3299999999999999E-2</v>
      </c>
      <c r="AF43" s="20">
        <f>ROUND(IF(OR($A43&lt;VLOOKUP(AF$2,行为概览!$D$3:$U$33,3,0),$A43&gt;VLOOKUP(AF$2,行为概览!$D$3:$U$33,4,0)),0,VLOOKUP(AF$2,行为概览!$D$3:$U$33,6,0)),4)</f>
        <v>0</v>
      </c>
    </row>
    <row r="44" spans="1:32">
      <c r="A44" s="19">
        <v>42</v>
      </c>
      <c r="B44" s="20">
        <f>ROUND(IF(OR($A44&lt;VLOOKUP(B$2,行为概览!$D$3:$U$33,3,0),$A44&gt;VLOOKUP(B$2,行为概览!$D$3:$U$33,4,0)),0,VLOOKUP(B$2,行为概览!$D$3:$U$33,6,0)),4)</f>
        <v>0.33329999999999999</v>
      </c>
      <c r="C44" s="20">
        <f>ROUND(IF(OR($A44&lt;VLOOKUP(C$2,行为概览!$D$3:$U$33,3,0),$A44&gt;VLOOKUP(C$2,行为概览!$D$3:$U$33,4,0)),0,VLOOKUP(C$2,行为概览!$D$3:$U$33,6,0)),4)</f>
        <v>2</v>
      </c>
      <c r="D44" s="20">
        <f>ROUND(IF(OR($A44&lt;VLOOKUP(D$2,行为概览!$D$3:$U$33,3,0),$A44&gt;VLOOKUP(D$2,行为概览!$D$3:$U$33,4,0)),0,VLOOKUP(D$2,行为概览!$D$3:$U$33,6,0)),4)</f>
        <v>8.3299999999999999E-2</v>
      </c>
      <c r="E44" s="20">
        <f>ROUND(IF(OR($A44&lt;VLOOKUP(E$2,行为概览!$D$3:$U$33,3,0),$A44&gt;VLOOKUP(E$2,行为概览!$D$3:$U$33,4,0)),0,VLOOKUP(E$2,行为概览!$D$3:$U$33,6,0)),4)</f>
        <v>1</v>
      </c>
      <c r="F44" s="20">
        <f>ROUND(IF(OR($A44&lt;VLOOKUP(F$2,行为概览!$D$3:$U$33,3,0),$A44&gt;VLOOKUP(F$2,行为概览!$D$3:$U$33,4,0)),0,VLOOKUP(F$2,行为概览!$D$3:$U$33,6,0)),4)</f>
        <v>0.33329999999999999</v>
      </c>
      <c r="G44" s="20">
        <f>ROUND(IF(OR($A44&lt;VLOOKUP(G$2,行为概览!$D$3:$U$33,3,0),$A44&gt;VLOOKUP(G$2,行为概览!$D$3:$U$33,4,0)),0,VLOOKUP(G$2,行为概览!$D$3:$U$33,6,0)),4)</f>
        <v>0</v>
      </c>
      <c r="H44" s="20">
        <f>ROUND(IF(OR($A44&lt;VLOOKUP(H$2,行为概览!$D$3:$U$33,3,0),$A44&gt;VLOOKUP(H$2,行为概览!$D$3:$U$33,4,0)),0,VLOOKUP(H$2,行为概览!$D$3:$U$33,6,0)),4)</f>
        <v>0</v>
      </c>
      <c r="I44" s="20">
        <f>ROUND(IF(OR($A44&lt;VLOOKUP(I$2,行为概览!$D$3:$U$33,3,0),$A44&gt;VLOOKUP(I$2,行为概览!$D$3:$U$33,4,0)),0,VLOOKUP(I$2,行为概览!$D$3:$U$33,6,0)),4)</f>
        <v>0</v>
      </c>
      <c r="J44" s="20">
        <f>ROUND(IF(OR($A44&lt;VLOOKUP(J$2,行为概览!$D$3:$U$33,3,0),$A44&gt;VLOOKUP(J$2,行为概览!$D$3:$U$33,4,0)),0,VLOOKUP(J$2,行为概览!$D$3:$U$33,6,0)),4)</f>
        <v>0.5</v>
      </c>
      <c r="K44" s="20">
        <f>ROUND(IF(OR($A44&lt;VLOOKUP(K$2,行为概览!$D$3:$U$33,3,0),$A44&gt;VLOOKUP(K$2,行为概览!$D$3:$U$33,4,0)),0,VLOOKUP(K$2,行为概览!$D$3:$U$33,6,0)),4)</f>
        <v>0.16669999999999999</v>
      </c>
      <c r="L44" s="20">
        <f>ROUND(IF(OR($A44&lt;VLOOKUP(L$2,行为概览!$D$3:$U$33,3,0),$A44&gt;VLOOKUP(L$2,行为概览!$D$3:$U$33,4,0)),0,VLOOKUP(L$2,行为概览!$D$3:$U$33,6,0)),4)</f>
        <v>0</v>
      </c>
      <c r="M44" s="20">
        <f>ROUND(IF(OR($A44&lt;VLOOKUP(M$2,行为概览!$D$3:$U$33,3,0),$A44&gt;VLOOKUP(M$2,行为概览!$D$3:$U$33,4,0)),0,VLOOKUP(M$2,行为概览!$D$3:$U$33,6,0)),4)</f>
        <v>12</v>
      </c>
      <c r="N44" s="20">
        <f>ROUND(IF(OR($A44&lt;VLOOKUP(N$2,行为概览!$D$3:$U$33,3,0),$A44&gt;VLOOKUP(N$2,行为概览!$D$3:$U$33,4,0)),0,VLOOKUP(N$2,行为概览!$D$3:$U$33,6,0)),4)</f>
        <v>8.3299999999999999E-2</v>
      </c>
      <c r="O44" s="20">
        <f>ROUND(IF(OR($A44&lt;VLOOKUP(O$2,行为概览!$D$3:$U$33,3,0),$A44&gt;VLOOKUP(O$2,行为概览!$D$3:$U$33,4,0)),0,VLOOKUP(O$2,行为概览!$D$3:$U$33,6,0)),4)</f>
        <v>8.3299999999999999E-2</v>
      </c>
      <c r="P44" s="20">
        <f>ROUND(IF(OR($A44&lt;VLOOKUP(P$2,行为概览!$D$3:$U$33,3,0),$A44&gt;VLOOKUP(P$2,行为概览!$D$3:$U$33,4,0)),0,VLOOKUP(P$2,行为概览!$D$3:$U$33,6,0)),4)</f>
        <v>2.6</v>
      </c>
      <c r="Q44" s="20">
        <f>ROUND(IF(OR($A44&lt;VLOOKUP(Q$2,行为概览!$D$3:$U$33,3,0),$A44&gt;VLOOKUP(Q$2,行为概览!$D$3:$U$33,4,0)),0,VLOOKUP(Q$2,行为概览!$D$3:$U$33,6,0)),4)</f>
        <v>1</v>
      </c>
      <c r="R44" s="20">
        <f>ROUND(IF(OR($A44&lt;VLOOKUP(R$2,行为概览!$D$3:$U$33,3,0),$A44&gt;VLOOKUP(R$2,行为概览!$D$3:$U$33,4,0)),0,VLOOKUP(R$2,行为概览!$D$3:$U$33,6,0)),4)</f>
        <v>0.33329999999999999</v>
      </c>
      <c r="S44" s="20">
        <f>ROUND(IF(OR($A44&lt;VLOOKUP(S$2,行为概览!$D$3:$U$33,3,0),$A44&gt;VLOOKUP(S$2,行为概览!$D$3:$U$33,4,0)),0,VLOOKUP(S$2,行为概览!$D$3:$U$33,6,0)),4)</f>
        <v>0.5</v>
      </c>
      <c r="T44" s="20">
        <f>ROUND(IF(OR($A44&lt;VLOOKUP(T$2,行为概览!$D$3:$U$33,3,0),$A44&gt;VLOOKUP(T$2,行为概览!$D$3:$U$33,4,0)),0,VLOOKUP(T$2,行为概览!$D$3:$U$33,6,0)),4)</f>
        <v>0</v>
      </c>
      <c r="U44" s="20">
        <f>ROUND(IF(OR($A44&lt;VLOOKUP(U$2,行为概览!$D$3:$U$33,3,0),$A44&gt;VLOOKUP(U$2,行为概览!$D$3:$U$33,4,0)),0,VLOOKUP(U$2,行为概览!$D$3:$U$33,6,0)),4)</f>
        <v>0.16669999999999999</v>
      </c>
      <c r="V44" s="20">
        <f>ROUND(IF(OR($A44&lt;VLOOKUP(V$2,行为概览!$D$3:$U$33,3,0),$A44&gt;VLOOKUP(V$2,行为概览!$D$3:$U$33,4,0)),0,VLOOKUP(V$2,行为概览!$D$3:$U$33,6,0)),4)</f>
        <v>0.16669999999999999</v>
      </c>
      <c r="W44" s="20">
        <f>ROUND(IF(OR($A44&lt;VLOOKUP(W$2,行为概览!$D$3:$U$33,3,0),$A44&gt;VLOOKUP(W$2,行为概览!$D$3:$U$33,4,0)),0,VLOOKUP(W$2,行为概览!$D$3:$U$33,6,0)),4)</f>
        <v>0.16669999999999999</v>
      </c>
      <c r="X44" s="20">
        <f>ROUND(IF(OR($A44&lt;VLOOKUP(X$2,行为概览!$D$3:$U$33,3,0),$A44&gt;VLOOKUP(X$2,行为概览!$D$3:$U$33,4,0)),0,VLOOKUP(X$2,行为概览!$D$3:$U$33,6,0)),4)</f>
        <v>0.25</v>
      </c>
      <c r="Y44" s="20">
        <f>ROUND(IF(OR($A44&lt;VLOOKUP(Y$2,行为概览!$D$3:$U$33,3,0),$A44&gt;VLOOKUP(Y$2,行为概览!$D$3:$U$33,4,0)),0,VLOOKUP(Y$2,行为概览!$D$3:$U$33,6,0)),4)</f>
        <v>0.58330000000000004</v>
      </c>
      <c r="Z44" s="20">
        <f>ROUND(IF(OR($A44&lt;VLOOKUP(Z$2,行为概览!$D$3:$U$33,3,0),$A44&gt;VLOOKUP(Z$2,行为概览!$D$3:$U$33,4,0)),0,VLOOKUP(Z$2,行为概览!$D$3:$U$33,6,0)),4)</f>
        <v>0.16669999999999999</v>
      </c>
      <c r="AA44" s="20">
        <f>ROUND(IF(OR($A44&lt;VLOOKUP(AA$2,行为概览!$D$3:$U$33,3,0),$A44&gt;VLOOKUP(AA$2,行为概览!$D$3:$U$33,4,0)),0,VLOOKUP(AA$2,行为概览!$D$3:$U$33,6,0)),4)</f>
        <v>0</v>
      </c>
      <c r="AB44" s="20">
        <f>ROUND(IF(OR($A44&lt;VLOOKUP(AB$2,行为概览!$D$3:$U$33,3,0),$A44&gt;VLOOKUP(AB$2,行为概览!$D$3:$U$33,4,0)),0,VLOOKUP(AB$2,行为概览!$D$3:$U$33,6,0)),4)</f>
        <v>0</v>
      </c>
      <c r="AC44" s="20">
        <f>ROUND(IF(OR($A44&lt;VLOOKUP(AC$2,行为概览!$D$3:$U$33,3,0),$A44&gt;VLOOKUP(AC$2,行为概览!$D$3:$U$33,4,0)),0,VLOOKUP(AC$2,行为概览!$D$3:$U$33,6,0)),4)</f>
        <v>0</v>
      </c>
      <c r="AD44" s="20">
        <f>ROUND(IF(OR($A44&lt;VLOOKUP(AD$2,行为概览!$D$3:$U$33,3,0),$A44&gt;VLOOKUP(AD$2,行为概览!$D$3:$U$33,4,0)),0,VLOOKUP(AD$2,行为概览!$D$3:$U$33,6,0)),4)</f>
        <v>0</v>
      </c>
      <c r="AE44" s="20">
        <f>ROUND(IF(OR($A44&lt;VLOOKUP(AE$2,行为概览!$D$3:$U$33,3,0),$A44&gt;VLOOKUP(AE$2,行为概览!$D$3:$U$33,4,0)),0,VLOOKUP(AE$2,行为概览!$D$3:$U$33,6,0)),4)</f>
        <v>8.3299999999999999E-2</v>
      </c>
      <c r="AF44" s="20">
        <f>ROUND(IF(OR($A44&lt;VLOOKUP(AF$2,行为概览!$D$3:$U$33,3,0),$A44&gt;VLOOKUP(AF$2,行为概览!$D$3:$U$33,4,0)),0,VLOOKUP(AF$2,行为概览!$D$3:$U$33,6,0)),4)</f>
        <v>0</v>
      </c>
    </row>
    <row r="45" spans="1:32">
      <c r="A45" s="19">
        <v>43</v>
      </c>
      <c r="B45" s="20">
        <f>ROUND(IF(OR($A45&lt;VLOOKUP(B$2,行为概览!$D$3:$U$33,3,0),$A45&gt;VLOOKUP(B$2,行为概览!$D$3:$U$33,4,0)),0,VLOOKUP(B$2,行为概览!$D$3:$U$33,6,0)),4)</f>
        <v>0.33329999999999999</v>
      </c>
      <c r="C45" s="20">
        <f>ROUND(IF(OR($A45&lt;VLOOKUP(C$2,行为概览!$D$3:$U$33,3,0),$A45&gt;VLOOKUP(C$2,行为概览!$D$3:$U$33,4,0)),0,VLOOKUP(C$2,行为概览!$D$3:$U$33,6,0)),4)</f>
        <v>2</v>
      </c>
      <c r="D45" s="20">
        <f>ROUND(IF(OR($A45&lt;VLOOKUP(D$2,行为概览!$D$3:$U$33,3,0),$A45&gt;VLOOKUP(D$2,行为概览!$D$3:$U$33,4,0)),0,VLOOKUP(D$2,行为概览!$D$3:$U$33,6,0)),4)</f>
        <v>8.3299999999999999E-2</v>
      </c>
      <c r="E45" s="20">
        <f>ROUND(IF(OR($A45&lt;VLOOKUP(E$2,行为概览!$D$3:$U$33,3,0),$A45&gt;VLOOKUP(E$2,行为概览!$D$3:$U$33,4,0)),0,VLOOKUP(E$2,行为概览!$D$3:$U$33,6,0)),4)</f>
        <v>1</v>
      </c>
      <c r="F45" s="20">
        <f>ROUND(IF(OR($A45&lt;VLOOKUP(F$2,行为概览!$D$3:$U$33,3,0),$A45&gt;VLOOKUP(F$2,行为概览!$D$3:$U$33,4,0)),0,VLOOKUP(F$2,行为概览!$D$3:$U$33,6,0)),4)</f>
        <v>0.33329999999999999</v>
      </c>
      <c r="G45" s="20">
        <f>ROUND(IF(OR($A45&lt;VLOOKUP(G$2,行为概览!$D$3:$U$33,3,0),$A45&gt;VLOOKUP(G$2,行为概览!$D$3:$U$33,4,0)),0,VLOOKUP(G$2,行为概览!$D$3:$U$33,6,0)),4)</f>
        <v>0</v>
      </c>
      <c r="H45" s="20">
        <f>ROUND(IF(OR($A45&lt;VLOOKUP(H$2,行为概览!$D$3:$U$33,3,0),$A45&gt;VLOOKUP(H$2,行为概览!$D$3:$U$33,4,0)),0,VLOOKUP(H$2,行为概览!$D$3:$U$33,6,0)),4)</f>
        <v>0</v>
      </c>
      <c r="I45" s="20">
        <f>ROUND(IF(OR($A45&lt;VLOOKUP(I$2,行为概览!$D$3:$U$33,3,0),$A45&gt;VLOOKUP(I$2,行为概览!$D$3:$U$33,4,0)),0,VLOOKUP(I$2,行为概览!$D$3:$U$33,6,0)),4)</f>
        <v>0</v>
      </c>
      <c r="J45" s="20">
        <f>ROUND(IF(OR($A45&lt;VLOOKUP(J$2,行为概览!$D$3:$U$33,3,0),$A45&gt;VLOOKUP(J$2,行为概览!$D$3:$U$33,4,0)),0,VLOOKUP(J$2,行为概览!$D$3:$U$33,6,0)),4)</f>
        <v>0.5</v>
      </c>
      <c r="K45" s="20">
        <f>ROUND(IF(OR($A45&lt;VLOOKUP(K$2,行为概览!$D$3:$U$33,3,0),$A45&gt;VLOOKUP(K$2,行为概览!$D$3:$U$33,4,0)),0,VLOOKUP(K$2,行为概览!$D$3:$U$33,6,0)),4)</f>
        <v>0.16669999999999999</v>
      </c>
      <c r="L45" s="20">
        <f>ROUND(IF(OR($A45&lt;VLOOKUP(L$2,行为概览!$D$3:$U$33,3,0),$A45&gt;VLOOKUP(L$2,行为概览!$D$3:$U$33,4,0)),0,VLOOKUP(L$2,行为概览!$D$3:$U$33,6,0)),4)</f>
        <v>0</v>
      </c>
      <c r="M45" s="20">
        <f>ROUND(IF(OR($A45&lt;VLOOKUP(M$2,行为概览!$D$3:$U$33,3,0),$A45&gt;VLOOKUP(M$2,行为概览!$D$3:$U$33,4,0)),0,VLOOKUP(M$2,行为概览!$D$3:$U$33,6,0)),4)</f>
        <v>12</v>
      </c>
      <c r="N45" s="20">
        <f>ROUND(IF(OR($A45&lt;VLOOKUP(N$2,行为概览!$D$3:$U$33,3,0),$A45&gt;VLOOKUP(N$2,行为概览!$D$3:$U$33,4,0)),0,VLOOKUP(N$2,行为概览!$D$3:$U$33,6,0)),4)</f>
        <v>8.3299999999999999E-2</v>
      </c>
      <c r="O45" s="20">
        <f>ROUND(IF(OR($A45&lt;VLOOKUP(O$2,行为概览!$D$3:$U$33,3,0),$A45&gt;VLOOKUP(O$2,行为概览!$D$3:$U$33,4,0)),0,VLOOKUP(O$2,行为概览!$D$3:$U$33,6,0)),4)</f>
        <v>8.3299999999999999E-2</v>
      </c>
      <c r="P45" s="20">
        <f>ROUND(IF(OR($A45&lt;VLOOKUP(P$2,行为概览!$D$3:$U$33,3,0),$A45&gt;VLOOKUP(P$2,行为概览!$D$3:$U$33,4,0)),0,VLOOKUP(P$2,行为概览!$D$3:$U$33,6,0)),4)</f>
        <v>2.6</v>
      </c>
      <c r="Q45" s="20">
        <f>ROUND(IF(OR($A45&lt;VLOOKUP(Q$2,行为概览!$D$3:$U$33,3,0),$A45&gt;VLOOKUP(Q$2,行为概览!$D$3:$U$33,4,0)),0,VLOOKUP(Q$2,行为概览!$D$3:$U$33,6,0)),4)</f>
        <v>1</v>
      </c>
      <c r="R45" s="20">
        <f>ROUND(IF(OR($A45&lt;VLOOKUP(R$2,行为概览!$D$3:$U$33,3,0),$A45&gt;VLOOKUP(R$2,行为概览!$D$3:$U$33,4,0)),0,VLOOKUP(R$2,行为概览!$D$3:$U$33,6,0)),4)</f>
        <v>0.33329999999999999</v>
      </c>
      <c r="S45" s="20">
        <f>ROUND(IF(OR($A45&lt;VLOOKUP(S$2,行为概览!$D$3:$U$33,3,0),$A45&gt;VLOOKUP(S$2,行为概览!$D$3:$U$33,4,0)),0,VLOOKUP(S$2,行为概览!$D$3:$U$33,6,0)),4)</f>
        <v>0.5</v>
      </c>
      <c r="T45" s="20">
        <f>ROUND(IF(OR($A45&lt;VLOOKUP(T$2,行为概览!$D$3:$U$33,3,0),$A45&gt;VLOOKUP(T$2,行为概览!$D$3:$U$33,4,0)),0,VLOOKUP(T$2,行为概览!$D$3:$U$33,6,0)),4)</f>
        <v>0</v>
      </c>
      <c r="U45" s="20">
        <f>ROUND(IF(OR($A45&lt;VLOOKUP(U$2,行为概览!$D$3:$U$33,3,0),$A45&gt;VLOOKUP(U$2,行为概览!$D$3:$U$33,4,0)),0,VLOOKUP(U$2,行为概览!$D$3:$U$33,6,0)),4)</f>
        <v>0.16669999999999999</v>
      </c>
      <c r="V45" s="20">
        <f>ROUND(IF(OR($A45&lt;VLOOKUP(V$2,行为概览!$D$3:$U$33,3,0),$A45&gt;VLOOKUP(V$2,行为概览!$D$3:$U$33,4,0)),0,VLOOKUP(V$2,行为概览!$D$3:$U$33,6,0)),4)</f>
        <v>0.16669999999999999</v>
      </c>
      <c r="W45" s="20">
        <f>ROUND(IF(OR($A45&lt;VLOOKUP(W$2,行为概览!$D$3:$U$33,3,0),$A45&gt;VLOOKUP(W$2,行为概览!$D$3:$U$33,4,0)),0,VLOOKUP(W$2,行为概览!$D$3:$U$33,6,0)),4)</f>
        <v>0.16669999999999999</v>
      </c>
      <c r="X45" s="20">
        <f>ROUND(IF(OR($A45&lt;VLOOKUP(X$2,行为概览!$D$3:$U$33,3,0),$A45&gt;VLOOKUP(X$2,行为概览!$D$3:$U$33,4,0)),0,VLOOKUP(X$2,行为概览!$D$3:$U$33,6,0)),4)</f>
        <v>0.25</v>
      </c>
      <c r="Y45" s="20">
        <f>ROUND(IF(OR($A45&lt;VLOOKUP(Y$2,行为概览!$D$3:$U$33,3,0),$A45&gt;VLOOKUP(Y$2,行为概览!$D$3:$U$33,4,0)),0,VLOOKUP(Y$2,行为概览!$D$3:$U$33,6,0)),4)</f>
        <v>0.58330000000000004</v>
      </c>
      <c r="Z45" s="20">
        <f>ROUND(IF(OR($A45&lt;VLOOKUP(Z$2,行为概览!$D$3:$U$33,3,0),$A45&gt;VLOOKUP(Z$2,行为概览!$D$3:$U$33,4,0)),0,VLOOKUP(Z$2,行为概览!$D$3:$U$33,6,0)),4)</f>
        <v>0.16669999999999999</v>
      </c>
      <c r="AA45" s="20">
        <f>ROUND(IF(OR($A45&lt;VLOOKUP(AA$2,行为概览!$D$3:$U$33,3,0),$A45&gt;VLOOKUP(AA$2,行为概览!$D$3:$U$33,4,0)),0,VLOOKUP(AA$2,行为概览!$D$3:$U$33,6,0)),4)</f>
        <v>0</v>
      </c>
      <c r="AB45" s="20">
        <f>ROUND(IF(OR($A45&lt;VLOOKUP(AB$2,行为概览!$D$3:$U$33,3,0),$A45&gt;VLOOKUP(AB$2,行为概览!$D$3:$U$33,4,0)),0,VLOOKUP(AB$2,行为概览!$D$3:$U$33,6,0)),4)</f>
        <v>0</v>
      </c>
      <c r="AC45" s="20">
        <f>ROUND(IF(OR($A45&lt;VLOOKUP(AC$2,行为概览!$D$3:$U$33,3,0),$A45&gt;VLOOKUP(AC$2,行为概览!$D$3:$U$33,4,0)),0,VLOOKUP(AC$2,行为概览!$D$3:$U$33,6,0)),4)</f>
        <v>0</v>
      </c>
      <c r="AD45" s="20">
        <f>ROUND(IF(OR($A45&lt;VLOOKUP(AD$2,行为概览!$D$3:$U$33,3,0),$A45&gt;VLOOKUP(AD$2,行为概览!$D$3:$U$33,4,0)),0,VLOOKUP(AD$2,行为概览!$D$3:$U$33,6,0)),4)</f>
        <v>0</v>
      </c>
      <c r="AE45" s="20">
        <f>ROUND(IF(OR($A45&lt;VLOOKUP(AE$2,行为概览!$D$3:$U$33,3,0),$A45&gt;VLOOKUP(AE$2,行为概览!$D$3:$U$33,4,0)),0,VLOOKUP(AE$2,行为概览!$D$3:$U$33,6,0)),4)</f>
        <v>8.3299999999999999E-2</v>
      </c>
      <c r="AF45" s="20">
        <f>ROUND(IF(OR($A45&lt;VLOOKUP(AF$2,行为概览!$D$3:$U$33,3,0),$A45&gt;VLOOKUP(AF$2,行为概览!$D$3:$U$33,4,0)),0,VLOOKUP(AF$2,行为概览!$D$3:$U$33,6,0)),4)</f>
        <v>0</v>
      </c>
    </row>
    <row r="46" spans="1:32">
      <c r="A46" s="19">
        <v>44</v>
      </c>
      <c r="B46" s="20">
        <f>ROUND(IF(OR($A46&lt;VLOOKUP(B$2,行为概览!$D$3:$U$33,3,0),$A46&gt;VLOOKUP(B$2,行为概览!$D$3:$U$33,4,0)),0,VLOOKUP(B$2,行为概览!$D$3:$U$33,6,0)),4)</f>
        <v>0.33329999999999999</v>
      </c>
      <c r="C46" s="20">
        <f>ROUND(IF(OR($A46&lt;VLOOKUP(C$2,行为概览!$D$3:$U$33,3,0),$A46&gt;VLOOKUP(C$2,行为概览!$D$3:$U$33,4,0)),0,VLOOKUP(C$2,行为概览!$D$3:$U$33,6,0)),4)</f>
        <v>2</v>
      </c>
      <c r="D46" s="20">
        <f>ROUND(IF(OR($A46&lt;VLOOKUP(D$2,行为概览!$D$3:$U$33,3,0),$A46&gt;VLOOKUP(D$2,行为概览!$D$3:$U$33,4,0)),0,VLOOKUP(D$2,行为概览!$D$3:$U$33,6,0)),4)</f>
        <v>8.3299999999999999E-2</v>
      </c>
      <c r="E46" s="20">
        <f>ROUND(IF(OR($A46&lt;VLOOKUP(E$2,行为概览!$D$3:$U$33,3,0),$A46&gt;VLOOKUP(E$2,行为概览!$D$3:$U$33,4,0)),0,VLOOKUP(E$2,行为概览!$D$3:$U$33,6,0)),4)</f>
        <v>1</v>
      </c>
      <c r="F46" s="20">
        <f>ROUND(IF(OR($A46&lt;VLOOKUP(F$2,行为概览!$D$3:$U$33,3,0),$A46&gt;VLOOKUP(F$2,行为概览!$D$3:$U$33,4,0)),0,VLOOKUP(F$2,行为概览!$D$3:$U$33,6,0)),4)</f>
        <v>0.33329999999999999</v>
      </c>
      <c r="G46" s="20">
        <f>ROUND(IF(OR($A46&lt;VLOOKUP(G$2,行为概览!$D$3:$U$33,3,0),$A46&gt;VLOOKUP(G$2,行为概览!$D$3:$U$33,4,0)),0,VLOOKUP(G$2,行为概览!$D$3:$U$33,6,0)),4)</f>
        <v>0</v>
      </c>
      <c r="H46" s="20">
        <f>ROUND(IF(OR($A46&lt;VLOOKUP(H$2,行为概览!$D$3:$U$33,3,0),$A46&gt;VLOOKUP(H$2,行为概览!$D$3:$U$33,4,0)),0,VLOOKUP(H$2,行为概览!$D$3:$U$33,6,0)),4)</f>
        <v>0</v>
      </c>
      <c r="I46" s="20">
        <f>ROUND(IF(OR($A46&lt;VLOOKUP(I$2,行为概览!$D$3:$U$33,3,0),$A46&gt;VLOOKUP(I$2,行为概览!$D$3:$U$33,4,0)),0,VLOOKUP(I$2,行为概览!$D$3:$U$33,6,0)),4)</f>
        <v>0</v>
      </c>
      <c r="J46" s="20">
        <f>ROUND(IF(OR($A46&lt;VLOOKUP(J$2,行为概览!$D$3:$U$33,3,0),$A46&gt;VLOOKUP(J$2,行为概览!$D$3:$U$33,4,0)),0,VLOOKUP(J$2,行为概览!$D$3:$U$33,6,0)),4)</f>
        <v>0.5</v>
      </c>
      <c r="K46" s="20">
        <f>ROUND(IF(OR($A46&lt;VLOOKUP(K$2,行为概览!$D$3:$U$33,3,0),$A46&gt;VLOOKUP(K$2,行为概览!$D$3:$U$33,4,0)),0,VLOOKUP(K$2,行为概览!$D$3:$U$33,6,0)),4)</f>
        <v>0.16669999999999999</v>
      </c>
      <c r="L46" s="20">
        <f>ROUND(IF(OR($A46&lt;VLOOKUP(L$2,行为概览!$D$3:$U$33,3,0),$A46&gt;VLOOKUP(L$2,行为概览!$D$3:$U$33,4,0)),0,VLOOKUP(L$2,行为概览!$D$3:$U$33,6,0)),4)</f>
        <v>0</v>
      </c>
      <c r="M46" s="20">
        <f>ROUND(IF(OR($A46&lt;VLOOKUP(M$2,行为概览!$D$3:$U$33,3,0),$A46&gt;VLOOKUP(M$2,行为概览!$D$3:$U$33,4,0)),0,VLOOKUP(M$2,行为概览!$D$3:$U$33,6,0)),4)</f>
        <v>12</v>
      </c>
      <c r="N46" s="20">
        <f>ROUND(IF(OR($A46&lt;VLOOKUP(N$2,行为概览!$D$3:$U$33,3,0),$A46&gt;VLOOKUP(N$2,行为概览!$D$3:$U$33,4,0)),0,VLOOKUP(N$2,行为概览!$D$3:$U$33,6,0)),4)</f>
        <v>8.3299999999999999E-2</v>
      </c>
      <c r="O46" s="20">
        <f>ROUND(IF(OR($A46&lt;VLOOKUP(O$2,行为概览!$D$3:$U$33,3,0),$A46&gt;VLOOKUP(O$2,行为概览!$D$3:$U$33,4,0)),0,VLOOKUP(O$2,行为概览!$D$3:$U$33,6,0)),4)</f>
        <v>8.3299999999999999E-2</v>
      </c>
      <c r="P46" s="20">
        <f>ROUND(IF(OR($A46&lt;VLOOKUP(P$2,行为概览!$D$3:$U$33,3,0),$A46&gt;VLOOKUP(P$2,行为概览!$D$3:$U$33,4,0)),0,VLOOKUP(P$2,行为概览!$D$3:$U$33,6,0)),4)</f>
        <v>2.6</v>
      </c>
      <c r="Q46" s="20">
        <f>ROUND(IF(OR($A46&lt;VLOOKUP(Q$2,行为概览!$D$3:$U$33,3,0),$A46&gt;VLOOKUP(Q$2,行为概览!$D$3:$U$33,4,0)),0,VLOOKUP(Q$2,行为概览!$D$3:$U$33,6,0)),4)</f>
        <v>1</v>
      </c>
      <c r="R46" s="20">
        <f>ROUND(IF(OR($A46&lt;VLOOKUP(R$2,行为概览!$D$3:$U$33,3,0),$A46&gt;VLOOKUP(R$2,行为概览!$D$3:$U$33,4,0)),0,VLOOKUP(R$2,行为概览!$D$3:$U$33,6,0)),4)</f>
        <v>0.33329999999999999</v>
      </c>
      <c r="S46" s="20">
        <f>ROUND(IF(OR($A46&lt;VLOOKUP(S$2,行为概览!$D$3:$U$33,3,0),$A46&gt;VLOOKUP(S$2,行为概览!$D$3:$U$33,4,0)),0,VLOOKUP(S$2,行为概览!$D$3:$U$33,6,0)),4)</f>
        <v>0.5</v>
      </c>
      <c r="T46" s="20">
        <f>ROUND(IF(OR($A46&lt;VLOOKUP(T$2,行为概览!$D$3:$U$33,3,0),$A46&gt;VLOOKUP(T$2,行为概览!$D$3:$U$33,4,0)),0,VLOOKUP(T$2,行为概览!$D$3:$U$33,6,0)),4)</f>
        <v>0</v>
      </c>
      <c r="U46" s="20">
        <f>ROUND(IF(OR($A46&lt;VLOOKUP(U$2,行为概览!$D$3:$U$33,3,0),$A46&gt;VLOOKUP(U$2,行为概览!$D$3:$U$33,4,0)),0,VLOOKUP(U$2,行为概览!$D$3:$U$33,6,0)),4)</f>
        <v>0.16669999999999999</v>
      </c>
      <c r="V46" s="20">
        <f>ROUND(IF(OR($A46&lt;VLOOKUP(V$2,行为概览!$D$3:$U$33,3,0),$A46&gt;VLOOKUP(V$2,行为概览!$D$3:$U$33,4,0)),0,VLOOKUP(V$2,行为概览!$D$3:$U$33,6,0)),4)</f>
        <v>0.16669999999999999</v>
      </c>
      <c r="W46" s="20">
        <f>ROUND(IF(OR($A46&lt;VLOOKUP(W$2,行为概览!$D$3:$U$33,3,0),$A46&gt;VLOOKUP(W$2,行为概览!$D$3:$U$33,4,0)),0,VLOOKUP(W$2,行为概览!$D$3:$U$33,6,0)),4)</f>
        <v>0.16669999999999999</v>
      </c>
      <c r="X46" s="20">
        <f>ROUND(IF(OR($A46&lt;VLOOKUP(X$2,行为概览!$D$3:$U$33,3,0),$A46&gt;VLOOKUP(X$2,行为概览!$D$3:$U$33,4,0)),0,VLOOKUP(X$2,行为概览!$D$3:$U$33,6,0)),4)</f>
        <v>0.25</v>
      </c>
      <c r="Y46" s="20">
        <f>ROUND(IF(OR($A46&lt;VLOOKUP(Y$2,行为概览!$D$3:$U$33,3,0),$A46&gt;VLOOKUP(Y$2,行为概览!$D$3:$U$33,4,0)),0,VLOOKUP(Y$2,行为概览!$D$3:$U$33,6,0)),4)</f>
        <v>0.58330000000000004</v>
      </c>
      <c r="Z46" s="20">
        <f>ROUND(IF(OR($A46&lt;VLOOKUP(Z$2,行为概览!$D$3:$U$33,3,0),$A46&gt;VLOOKUP(Z$2,行为概览!$D$3:$U$33,4,0)),0,VLOOKUP(Z$2,行为概览!$D$3:$U$33,6,0)),4)</f>
        <v>0.16669999999999999</v>
      </c>
      <c r="AA46" s="20">
        <f>ROUND(IF(OR($A46&lt;VLOOKUP(AA$2,行为概览!$D$3:$U$33,3,0),$A46&gt;VLOOKUP(AA$2,行为概览!$D$3:$U$33,4,0)),0,VLOOKUP(AA$2,行为概览!$D$3:$U$33,6,0)),4)</f>
        <v>0</v>
      </c>
      <c r="AB46" s="20">
        <f>ROUND(IF(OR($A46&lt;VLOOKUP(AB$2,行为概览!$D$3:$U$33,3,0),$A46&gt;VLOOKUP(AB$2,行为概览!$D$3:$U$33,4,0)),0,VLOOKUP(AB$2,行为概览!$D$3:$U$33,6,0)),4)</f>
        <v>0</v>
      </c>
      <c r="AC46" s="20">
        <f>ROUND(IF(OR($A46&lt;VLOOKUP(AC$2,行为概览!$D$3:$U$33,3,0),$A46&gt;VLOOKUP(AC$2,行为概览!$D$3:$U$33,4,0)),0,VLOOKUP(AC$2,行为概览!$D$3:$U$33,6,0)),4)</f>
        <v>0</v>
      </c>
      <c r="AD46" s="20">
        <f>ROUND(IF(OR($A46&lt;VLOOKUP(AD$2,行为概览!$D$3:$U$33,3,0),$A46&gt;VLOOKUP(AD$2,行为概览!$D$3:$U$33,4,0)),0,VLOOKUP(AD$2,行为概览!$D$3:$U$33,6,0)),4)</f>
        <v>0</v>
      </c>
      <c r="AE46" s="20">
        <f>ROUND(IF(OR($A46&lt;VLOOKUP(AE$2,行为概览!$D$3:$U$33,3,0),$A46&gt;VLOOKUP(AE$2,行为概览!$D$3:$U$33,4,0)),0,VLOOKUP(AE$2,行为概览!$D$3:$U$33,6,0)),4)</f>
        <v>8.3299999999999999E-2</v>
      </c>
      <c r="AF46" s="20">
        <f>ROUND(IF(OR($A46&lt;VLOOKUP(AF$2,行为概览!$D$3:$U$33,3,0),$A46&gt;VLOOKUP(AF$2,行为概览!$D$3:$U$33,4,0)),0,VLOOKUP(AF$2,行为概览!$D$3:$U$33,6,0)),4)</f>
        <v>0</v>
      </c>
    </row>
    <row r="47" spans="1:32">
      <c r="A47" s="19">
        <v>45</v>
      </c>
      <c r="B47" s="20">
        <f>ROUND(IF(OR($A47&lt;VLOOKUP(B$2,行为概览!$D$3:$U$33,3,0),$A47&gt;VLOOKUP(B$2,行为概览!$D$3:$U$33,4,0)),0,VLOOKUP(B$2,行为概览!$D$3:$U$33,6,0)),4)</f>
        <v>0.33329999999999999</v>
      </c>
      <c r="C47" s="20">
        <f>ROUND(IF(OR($A47&lt;VLOOKUP(C$2,行为概览!$D$3:$U$33,3,0),$A47&gt;VLOOKUP(C$2,行为概览!$D$3:$U$33,4,0)),0,VLOOKUP(C$2,行为概览!$D$3:$U$33,6,0)),4)</f>
        <v>2</v>
      </c>
      <c r="D47" s="20">
        <f>ROUND(IF(OR($A47&lt;VLOOKUP(D$2,行为概览!$D$3:$U$33,3,0),$A47&gt;VLOOKUP(D$2,行为概览!$D$3:$U$33,4,0)),0,VLOOKUP(D$2,行为概览!$D$3:$U$33,6,0)),4)</f>
        <v>8.3299999999999999E-2</v>
      </c>
      <c r="E47" s="20">
        <f>ROUND(IF(OR($A47&lt;VLOOKUP(E$2,行为概览!$D$3:$U$33,3,0),$A47&gt;VLOOKUP(E$2,行为概览!$D$3:$U$33,4,0)),0,VLOOKUP(E$2,行为概览!$D$3:$U$33,6,0)),4)</f>
        <v>1</v>
      </c>
      <c r="F47" s="20">
        <f>ROUND(IF(OR($A47&lt;VLOOKUP(F$2,行为概览!$D$3:$U$33,3,0),$A47&gt;VLOOKUP(F$2,行为概览!$D$3:$U$33,4,0)),0,VLOOKUP(F$2,行为概览!$D$3:$U$33,6,0)),4)</f>
        <v>0.33329999999999999</v>
      </c>
      <c r="G47" s="20">
        <f>ROUND(IF(OR($A47&lt;VLOOKUP(G$2,行为概览!$D$3:$U$33,3,0),$A47&gt;VLOOKUP(G$2,行为概览!$D$3:$U$33,4,0)),0,VLOOKUP(G$2,行为概览!$D$3:$U$33,6,0)),4)</f>
        <v>0</v>
      </c>
      <c r="H47" s="20">
        <f>ROUND(IF(OR($A47&lt;VLOOKUP(H$2,行为概览!$D$3:$U$33,3,0),$A47&gt;VLOOKUP(H$2,行为概览!$D$3:$U$33,4,0)),0,VLOOKUP(H$2,行为概览!$D$3:$U$33,6,0)),4)</f>
        <v>0</v>
      </c>
      <c r="I47" s="20">
        <f>ROUND(IF(OR($A47&lt;VLOOKUP(I$2,行为概览!$D$3:$U$33,3,0),$A47&gt;VLOOKUP(I$2,行为概览!$D$3:$U$33,4,0)),0,VLOOKUP(I$2,行为概览!$D$3:$U$33,6,0)),4)</f>
        <v>0</v>
      </c>
      <c r="J47" s="20">
        <f>ROUND(IF(OR($A47&lt;VLOOKUP(J$2,行为概览!$D$3:$U$33,3,0),$A47&gt;VLOOKUP(J$2,行为概览!$D$3:$U$33,4,0)),0,VLOOKUP(J$2,行为概览!$D$3:$U$33,6,0)),4)</f>
        <v>0.5</v>
      </c>
      <c r="K47" s="20">
        <f>ROUND(IF(OR($A47&lt;VLOOKUP(K$2,行为概览!$D$3:$U$33,3,0),$A47&gt;VLOOKUP(K$2,行为概览!$D$3:$U$33,4,0)),0,VLOOKUP(K$2,行为概览!$D$3:$U$33,6,0)),4)</f>
        <v>0.16669999999999999</v>
      </c>
      <c r="L47" s="20">
        <f>ROUND(IF(OR($A47&lt;VLOOKUP(L$2,行为概览!$D$3:$U$33,3,0),$A47&gt;VLOOKUP(L$2,行为概览!$D$3:$U$33,4,0)),0,VLOOKUP(L$2,行为概览!$D$3:$U$33,6,0)),4)</f>
        <v>0</v>
      </c>
      <c r="M47" s="20">
        <f>ROUND(IF(OR($A47&lt;VLOOKUP(M$2,行为概览!$D$3:$U$33,3,0),$A47&gt;VLOOKUP(M$2,行为概览!$D$3:$U$33,4,0)),0,VLOOKUP(M$2,行为概览!$D$3:$U$33,6,0)),4)</f>
        <v>12</v>
      </c>
      <c r="N47" s="20">
        <f>ROUND(IF(OR($A47&lt;VLOOKUP(N$2,行为概览!$D$3:$U$33,3,0),$A47&gt;VLOOKUP(N$2,行为概览!$D$3:$U$33,4,0)),0,VLOOKUP(N$2,行为概览!$D$3:$U$33,6,0)),4)</f>
        <v>8.3299999999999999E-2</v>
      </c>
      <c r="O47" s="20">
        <f>ROUND(IF(OR($A47&lt;VLOOKUP(O$2,行为概览!$D$3:$U$33,3,0),$A47&gt;VLOOKUP(O$2,行为概览!$D$3:$U$33,4,0)),0,VLOOKUP(O$2,行为概览!$D$3:$U$33,6,0)),4)</f>
        <v>8.3299999999999999E-2</v>
      </c>
      <c r="P47" s="20">
        <f>ROUND(IF(OR($A47&lt;VLOOKUP(P$2,行为概览!$D$3:$U$33,3,0),$A47&gt;VLOOKUP(P$2,行为概览!$D$3:$U$33,4,0)),0,VLOOKUP(P$2,行为概览!$D$3:$U$33,6,0)),4)</f>
        <v>2.6</v>
      </c>
      <c r="Q47" s="20">
        <f>ROUND(IF(OR($A47&lt;VLOOKUP(Q$2,行为概览!$D$3:$U$33,3,0),$A47&gt;VLOOKUP(Q$2,行为概览!$D$3:$U$33,4,0)),0,VLOOKUP(Q$2,行为概览!$D$3:$U$33,6,0)),4)</f>
        <v>1</v>
      </c>
      <c r="R47" s="20">
        <f>ROUND(IF(OR($A47&lt;VLOOKUP(R$2,行为概览!$D$3:$U$33,3,0),$A47&gt;VLOOKUP(R$2,行为概览!$D$3:$U$33,4,0)),0,VLOOKUP(R$2,行为概览!$D$3:$U$33,6,0)),4)</f>
        <v>0.33329999999999999</v>
      </c>
      <c r="S47" s="20">
        <f>ROUND(IF(OR($A47&lt;VLOOKUP(S$2,行为概览!$D$3:$U$33,3,0),$A47&gt;VLOOKUP(S$2,行为概览!$D$3:$U$33,4,0)),0,VLOOKUP(S$2,行为概览!$D$3:$U$33,6,0)),4)</f>
        <v>0.5</v>
      </c>
      <c r="T47" s="20">
        <f>ROUND(IF(OR($A47&lt;VLOOKUP(T$2,行为概览!$D$3:$U$33,3,0),$A47&gt;VLOOKUP(T$2,行为概览!$D$3:$U$33,4,0)),0,VLOOKUP(T$2,行为概览!$D$3:$U$33,6,0)),4)</f>
        <v>0</v>
      </c>
      <c r="U47" s="20">
        <f>ROUND(IF(OR($A47&lt;VLOOKUP(U$2,行为概览!$D$3:$U$33,3,0),$A47&gt;VLOOKUP(U$2,行为概览!$D$3:$U$33,4,0)),0,VLOOKUP(U$2,行为概览!$D$3:$U$33,6,0)),4)</f>
        <v>0.16669999999999999</v>
      </c>
      <c r="V47" s="20">
        <f>ROUND(IF(OR($A47&lt;VLOOKUP(V$2,行为概览!$D$3:$U$33,3,0),$A47&gt;VLOOKUP(V$2,行为概览!$D$3:$U$33,4,0)),0,VLOOKUP(V$2,行为概览!$D$3:$U$33,6,0)),4)</f>
        <v>0.16669999999999999</v>
      </c>
      <c r="W47" s="20">
        <f>ROUND(IF(OR($A47&lt;VLOOKUP(W$2,行为概览!$D$3:$U$33,3,0),$A47&gt;VLOOKUP(W$2,行为概览!$D$3:$U$33,4,0)),0,VLOOKUP(W$2,行为概览!$D$3:$U$33,6,0)),4)</f>
        <v>0.16669999999999999</v>
      </c>
      <c r="X47" s="20">
        <f>ROUND(IF(OR($A47&lt;VLOOKUP(X$2,行为概览!$D$3:$U$33,3,0),$A47&gt;VLOOKUP(X$2,行为概览!$D$3:$U$33,4,0)),0,VLOOKUP(X$2,行为概览!$D$3:$U$33,6,0)),4)</f>
        <v>0.25</v>
      </c>
      <c r="Y47" s="20">
        <f>ROUND(IF(OR($A47&lt;VLOOKUP(Y$2,行为概览!$D$3:$U$33,3,0),$A47&gt;VLOOKUP(Y$2,行为概览!$D$3:$U$33,4,0)),0,VLOOKUP(Y$2,行为概览!$D$3:$U$33,6,0)),4)</f>
        <v>0.58330000000000004</v>
      </c>
      <c r="Z47" s="20">
        <f>ROUND(IF(OR($A47&lt;VLOOKUP(Z$2,行为概览!$D$3:$U$33,3,0),$A47&gt;VLOOKUP(Z$2,行为概览!$D$3:$U$33,4,0)),0,VLOOKUP(Z$2,行为概览!$D$3:$U$33,6,0)),4)</f>
        <v>0.16669999999999999</v>
      </c>
      <c r="AA47" s="20">
        <f>ROUND(IF(OR($A47&lt;VLOOKUP(AA$2,行为概览!$D$3:$U$33,3,0),$A47&gt;VLOOKUP(AA$2,行为概览!$D$3:$U$33,4,0)),0,VLOOKUP(AA$2,行为概览!$D$3:$U$33,6,0)),4)</f>
        <v>0</v>
      </c>
      <c r="AB47" s="20">
        <f>ROUND(IF(OR($A47&lt;VLOOKUP(AB$2,行为概览!$D$3:$U$33,3,0),$A47&gt;VLOOKUP(AB$2,行为概览!$D$3:$U$33,4,0)),0,VLOOKUP(AB$2,行为概览!$D$3:$U$33,6,0)),4)</f>
        <v>0</v>
      </c>
      <c r="AC47" s="20">
        <f>ROUND(IF(OR($A47&lt;VLOOKUP(AC$2,行为概览!$D$3:$U$33,3,0),$A47&gt;VLOOKUP(AC$2,行为概览!$D$3:$U$33,4,0)),0,VLOOKUP(AC$2,行为概览!$D$3:$U$33,6,0)),4)</f>
        <v>0</v>
      </c>
      <c r="AD47" s="20">
        <f>ROUND(IF(OR($A47&lt;VLOOKUP(AD$2,行为概览!$D$3:$U$33,3,0),$A47&gt;VLOOKUP(AD$2,行为概览!$D$3:$U$33,4,0)),0,VLOOKUP(AD$2,行为概览!$D$3:$U$33,6,0)),4)</f>
        <v>0</v>
      </c>
      <c r="AE47" s="20">
        <f>ROUND(IF(OR($A47&lt;VLOOKUP(AE$2,行为概览!$D$3:$U$33,3,0),$A47&gt;VLOOKUP(AE$2,行为概览!$D$3:$U$33,4,0)),0,VLOOKUP(AE$2,行为概览!$D$3:$U$33,6,0)),4)</f>
        <v>8.3299999999999999E-2</v>
      </c>
      <c r="AF47" s="20">
        <f>ROUND(IF(OR($A47&lt;VLOOKUP(AF$2,行为概览!$D$3:$U$33,3,0),$A47&gt;VLOOKUP(AF$2,行为概览!$D$3:$U$33,4,0)),0,VLOOKUP(AF$2,行为概览!$D$3:$U$33,6,0)),4)</f>
        <v>0</v>
      </c>
    </row>
    <row r="48" spans="1:32">
      <c r="A48" s="19">
        <v>46</v>
      </c>
      <c r="B48" s="20">
        <f>ROUND(IF(OR($A48&lt;VLOOKUP(B$2,行为概览!$D$3:$U$33,3,0),$A48&gt;VLOOKUP(B$2,行为概览!$D$3:$U$33,4,0)),0,VLOOKUP(B$2,行为概览!$D$3:$U$33,6,0)),4)</f>
        <v>0.33329999999999999</v>
      </c>
      <c r="C48" s="20">
        <f>ROUND(IF(OR($A48&lt;VLOOKUP(C$2,行为概览!$D$3:$U$33,3,0),$A48&gt;VLOOKUP(C$2,行为概览!$D$3:$U$33,4,0)),0,VLOOKUP(C$2,行为概览!$D$3:$U$33,6,0)),4)</f>
        <v>2</v>
      </c>
      <c r="D48" s="20">
        <f>ROUND(IF(OR($A48&lt;VLOOKUP(D$2,行为概览!$D$3:$U$33,3,0),$A48&gt;VLOOKUP(D$2,行为概览!$D$3:$U$33,4,0)),0,VLOOKUP(D$2,行为概览!$D$3:$U$33,6,0)),4)</f>
        <v>8.3299999999999999E-2</v>
      </c>
      <c r="E48" s="20">
        <f>ROUND(IF(OR($A48&lt;VLOOKUP(E$2,行为概览!$D$3:$U$33,3,0),$A48&gt;VLOOKUP(E$2,行为概览!$D$3:$U$33,4,0)),0,VLOOKUP(E$2,行为概览!$D$3:$U$33,6,0)),4)</f>
        <v>1</v>
      </c>
      <c r="F48" s="20">
        <f>ROUND(IF(OR($A48&lt;VLOOKUP(F$2,行为概览!$D$3:$U$33,3,0),$A48&gt;VLOOKUP(F$2,行为概览!$D$3:$U$33,4,0)),0,VLOOKUP(F$2,行为概览!$D$3:$U$33,6,0)),4)</f>
        <v>0.33329999999999999</v>
      </c>
      <c r="G48" s="20">
        <f>ROUND(IF(OR($A48&lt;VLOOKUP(G$2,行为概览!$D$3:$U$33,3,0),$A48&gt;VLOOKUP(G$2,行为概览!$D$3:$U$33,4,0)),0,VLOOKUP(G$2,行为概览!$D$3:$U$33,6,0)),4)</f>
        <v>0</v>
      </c>
      <c r="H48" s="20">
        <f>ROUND(IF(OR($A48&lt;VLOOKUP(H$2,行为概览!$D$3:$U$33,3,0),$A48&gt;VLOOKUP(H$2,行为概览!$D$3:$U$33,4,0)),0,VLOOKUP(H$2,行为概览!$D$3:$U$33,6,0)),4)</f>
        <v>0</v>
      </c>
      <c r="I48" s="20">
        <f>ROUND(IF(OR($A48&lt;VLOOKUP(I$2,行为概览!$D$3:$U$33,3,0),$A48&gt;VLOOKUP(I$2,行为概览!$D$3:$U$33,4,0)),0,VLOOKUP(I$2,行为概览!$D$3:$U$33,6,0)),4)</f>
        <v>0</v>
      </c>
      <c r="J48" s="20">
        <f>ROUND(IF(OR($A48&lt;VLOOKUP(J$2,行为概览!$D$3:$U$33,3,0),$A48&gt;VLOOKUP(J$2,行为概览!$D$3:$U$33,4,0)),0,VLOOKUP(J$2,行为概览!$D$3:$U$33,6,0)),4)</f>
        <v>0.5</v>
      </c>
      <c r="K48" s="20">
        <f>ROUND(IF(OR($A48&lt;VLOOKUP(K$2,行为概览!$D$3:$U$33,3,0),$A48&gt;VLOOKUP(K$2,行为概览!$D$3:$U$33,4,0)),0,VLOOKUP(K$2,行为概览!$D$3:$U$33,6,0)),4)</f>
        <v>0.16669999999999999</v>
      </c>
      <c r="L48" s="20">
        <f>ROUND(IF(OR($A48&lt;VLOOKUP(L$2,行为概览!$D$3:$U$33,3,0),$A48&gt;VLOOKUP(L$2,行为概览!$D$3:$U$33,4,0)),0,VLOOKUP(L$2,行为概览!$D$3:$U$33,6,0)),4)</f>
        <v>0</v>
      </c>
      <c r="M48" s="20">
        <f>ROUND(IF(OR($A48&lt;VLOOKUP(M$2,行为概览!$D$3:$U$33,3,0),$A48&gt;VLOOKUP(M$2,行为概览!$D$3:$U$33,4,0)),0,VLOOKUP(M$2,行为概览!$D$3:$U$33,6,0)),4)</f>
        <v>12</v>
      </c>
      <c r="N48" s="20">
        <f>ROUND(IF(OR($A48&lt;VLOOKUP(N$2,行为概览!$D$3:$U$33,3,0),$A48&gt;VLOOKUP(N$2,行为概览!$D$3:$U$33,4,0)),0,VLOOKUP(N$2,行为概览!$D$3:$U$33,6,0)),4)</f>
        <v>8.3299999999999999E-2</v>
      </c>
      <c r="O48" s="20">
        <f>ROUND(IF(OR($A48&lt;VLOOKUP(O$2,行为概览!$D$3:$U$33,3,0),$A48&gt;VLOOKUP(O$2,行为概览!$D$3:$U$33,4,0)),0,VLOOKUP(O$2,行为概览!$D$3:$U$33,6,0)),4)</f>
        <v>8.3299999999999999E-2</v>
      </c>
      <c r="P48" s="20">
        <f>ROUND(IF(OR($A48&lt;VLOOKUP(P$2,行为概览!$D$3:$U$33,3,0),$A48&gt;VLOOKUP(P$2,行为概览!$D$3:$U$33,4,0)),0,VLOOKUP(P$2,行为概览!$D$3:$U$33,6,0)),4)</f>
        <v>2.6</v>
      </c>
      <c r="Q48" s="20">
        <f>ROUND(IF(OR($A48&lt;VLOOKUP(Q$2,行为概览!$D$3:$U$33,3,0),$A48&gt;VLOOKUP(Q$2,行为概览!$D$3:$U$33,4,0)),0,VLOOKUP(Q$2,行为概览!$D$3:$U$33,6,0)),4)</f>
        <v>1</v>
      </c>
      <c r="R48" s="20">
        <f>ROUND(IF(OR($A48&lt;VLOOKUP(R$2,行为概览!$D$3:$U$33,3,0),$A48&gt;VLOOKUP(R$2,行为概览!$D$3:$U$33,4,0)),0,VLOOKUP(R$2,行为概览!$D$3:$U$33,6,0)),4)</f>
        <v>0.33329999999999999</v>
      </c>
      <c r="S48" s="20">
        <f>ROUND(IF(OR($A48&lt;VLOOKUP(S$2,行为概览!$D$3:$U$33,3,0),$A48&gt;VLOOKUP(S$2,行为概览!$D$3:$U$33,4,0)),0,VLOOKUP(S$2,行为概览!$D$3:$U$33,6,0)),4)</f>
        <v>0.5</v>
      </c>
      <c r="T48" s="20">
        <f>ROUND(IF(OR($A48&lt;VLOOKUP(T$2,行为概览!$D$3:$U$33,3,0),$A48&gt;VLOOKUP(T$2,行为概览!$D$3:$U$33,4,0)),0,VLOOKUP(T$2,行为概览!$D$3:$U$33,6,0)),4)</f>
        <v>0</v>
      </c>
      <c r="U48" s="20">
        <f>ROUND(IF(OR($A48&lt;VLOOKUP(U$2,行为概览!$D$3:$U$33,3,0),$A48&gt;VLOOKUP(U$2,行为概览!$D$3:$U$33,4,0)),0,VLOOKUP(U$2,行为概览!$D$3:$U$33,6,0)),4)</f>
        <v>0.16669999999999999</v>
      </c>
      <c r="V48" s="20">
        <f>ROUND(IF(OR($A48&lt;VLOOKUP(V$2,行为概览!$D$3:$U$33,3,0),$A48&gt;VLOOKUP(V$2,行为概览!$D$3:$U$33,4,0)),0,VLOOKUP(V$2,行为概览!$D$3:$U$33,6,0)),4)</f>
        <v>0.16669999999999999</v>
      </c>
      <c r="W48" s="20">
        <f>ROUND(IF(OR($A48&lt;VLOOKUP(W$2,行为概览!$D$3:$U$33,3,0),$A48&gt;VLOOKUP(W$2,行为概览!$D$3:$U$33,4,0)),0,VLOOKUP(W$2,行为概览!$D$3:$U$33,6,0)),4)</f>
        <v>0.16669999999999999</v>
      </c>
      <c r="X48" s="20">
        <f>ROUND(IF(OR($A48&lt;VLOOKUP(X$2,行为概览!$D$3:$U$33,3,0),$A48&gt;VLOOKUP(X$2,行为概览!$D$3:$U$33,4,0)),0,VLOOKUP(X$2,行为概览!$D$3:$U$33,6,0)),4)</f>
        <v>0.25</v>
      </c>
      <c r="Y48" s="20">
        <f>ROUND(IF(OR($A48&lt;VLOOKUP(Y$2,行为概览!$D$3:$U$33,3,0),$A48&gt;VLOOKUP(Y$2,行为概览!$D$3:$U$33,4,0)),0,VLOOKUP(Y$2,行为概览!$D$3:$U$33,6,0)),4)</f>
        <v>0.58330000000000004</v>
      </c>
      <c r="Z48" s="20">
        <f>ROUND(IF(OR($A48&lt;VLOOKUP(Z$2,行为概览!$D$3:$U$33,3,0),$A48&gt;VLOOKUP(Z$2,行为概览!$D$3:$U$33,4,0)),0,VLOOKUP(Z$2,行为概览!$D$3:$U$33,6,0)),4)</f>
        <v>0.16669999999999999</v>
      </c>
      <c r="AA48" s="20">
        <f>ROUND(IF(OR($A48&lt;VLOOKUP(AA$2,行为概览!$D$3:$U$33,3,0),$A48&gt;VLOOKUP(AA$2,行为概览!$D$3:$U$33,4,0)),0,VLOOKUP(AA$2,行为概览!$D$3:$U$33,6,0)),4)</f>
        <v>0</v>
      </c>
      <c r="AB48" s="20">
        <f>ROUND(IF(OR($A48&lt;VLOOKUP(AB$2,行为概览!$D$3:$U$33,3,0),$A48&gt;VLOOKUP(AB$2,行为概览!$D$3:$U$33,4,0)),0,VLOOKUP(AB$2,行为概览!$D$3:$U$33,6,0)),4)</f>
        <v>0</v>
      </c>
      <c r="AC48" s="20">
        <f>ROUND(IF(OR($A48&lt;VLOOKUP(AC$2,行为概览!$D$3:$U$33,3,0),$A48&gt;VLOOKUP(AC$2,行为概览!$D$3:$U$33,4,0)),0,VLOOKUP(AC$2,行为概览!$D$3:$U$33,6,0)),4)</f>
        <v>0</v>
      </c>
      <c r="AD48" s="20">
        <f>ROUND(IF(OR($A48&lt;VLOOKUP(AD$2,行为概览!$D$3:$U$33,3,0),$A48&gt;VLOOKUP(AD$2,行为概览!$D$3:$U$33,4,0)),0,VLOOKUP(AD$2,行为概览!$D$3:$U$33,6,0)),4)</f>
        <v>0</v>
      </c>
      <c r="AE48" s="20">
        <f>ROUND(IF(OR($A48&lt;VLOOKUP(AE$2,行为概览!$D$3:$U$33,3,0),$A48&gt;VLOOKUP(AE$2,行为概览!$D$3:$U$33,4,0)),0,VLOOKUP(AE$2,行为概览!$D$3:$U$33,6,0)),4)</f>
        <v>8.3299999999999999E-2</v>
      </c>
      <c r="AF48" s="20">
        <f>ROUND(IF(OR($A48&lt;VLOOKUP(AF$2,行为概览!$D$3:$U$33,3,0),$A48&gt;VLOOKUP(AF$2,行为概览!$D$3:$U$33,4,0)),0,VLOOKUP(AF$2,行为概览!$D$3:$U$33,6,0)),4)</f>
        <v>0</v>
      </c>
    </row>
    <row r="49" spans="1:32">
      <c r="A49" s="19">
        <v>47</v>
      </c>
      <c r="B49" s="20">
        <f>ROUND(IF(OR($A49&lt;VLOOKUP(B$2,行为概览!$D$3:$U$33,3,0),$A49&gt;VLOOKUP(B$2,行为概览!$D$3:$U$33,4,0)),0,VLOOKUP(B$2,行为概览!$D$3:$U$33,6,0)),4)</f>
        <v>0.33329999999999999</v>
      </c>
      <c r="C49" s="20">
        <f>ROUND(IF(OR($A49&lt;VLOOKUP(C$2,行为概览!$D$3:$U$33,3,0),$A49&gt;VLOOKUP(C$2,行为概览!$D$3:$U$33,4,0)),0,VLOOKUP(C$2,行为概览!$D$3:$U$33,6,0)),4)</f>
        <v>2</v>
      </c>
      <c r="D49" s="20">
        <f>ROUND(IF(OR($A49&lt;VLOOKUP(D$2,行为概览!$D$3:$U$33,3,0),$A49&gt;VLOOKUP(D$2,行为概览!$D$3:$U$33,4,0)),0,VLOOKUP(D$2,行为概览!$D$3:$U$33,6,0)),4)</f>
        <v>8.3299999999999999E-2</v>
      </c>
      <c r="E49" s="20">
        <f>ROUND(IF(OR($A49&lt;VLOOKUP(E$2,行为概览!$D$3:$U$33,3,0),$A49&gt;VLOOKUP(E$2,行为概览!$D$3:$U$33,4,0)),0,VLOOKUP(E$2,行为概览!$D$3:$U$33,6,0)),4)</f>
        <v>1</v>
      </c>
      <c r="F49" s="20">
        <f>ROUND(IF(OR($A49&lt;VLOOKUP(F$2,行为概览!$D$3:$U$33,3,0),$A49&gt;VLOOKUP(F$2,行为概览!$D$3:$U$33,4,0)),0,VLOOKUP(F$2,行为概览!$D$3:$U$33,6,0)),4)</f>
        <v>0.33329999999999999</v>
      </c>
      <c r="G49" s="20">
        <f>ROUND(IF(OR($A49&lt;VLOOKUP(G$2,行为概览!$D$3:$U$33,3,0),$A49&gt;VLOOKUP(G$2,行为概览!$D$3:$U$33,4,0)),0,VLOOKUP(G$2,行为概览!$D$3:$U$33,6,0)),4)</f>
        <v>0</v>
      </c>
      <c r="H49" s="20">
        <f>ROUND(IF(OR($A49&lt;VLOOKUP(H$2,行为概览!$D$3:$U$33,3,0),$A49&gt;VLOOKUP(H$2,行为概览!$D$3:$U$33,4,0)),0,VLOOKUP(H$2,行为概览!$D$3:$U$33,6,0)),4)</f>
        <v>0</v>
      </c>
      <c r="I49" s="20">
        <f>ROUND(IF(OR($A49&lt;VLOOKUP(I$2,行为概览!$D$3:$U$33,3,0),$A49&gt;VLOOKUP(I$2,行为概览!$D$3:$U$33,4,0)),0,VLOOKUP(I$2,行为概览!$D$3:$U$33,6,0)),4)</f>
        <v>0</v>
      </c>
      <c r="J49" s="20">
        <f>ROUND(IF(OR($A49&lt;VLOOKUP(J$2,行为概览!$D$3:$U$33,3,0),$A49&gt;VLOOKUP(J$2,行为概览!$D$3:$U$33,4,0)),0,VLOOKUP(J$2,行为概览!$D$3:$U$33,6,0)),4)</f>
        <v>0.5</v>
      </c>
      <c r="K49" s="20">
        <f>ROUND(IF(OR($A49&lt;VLOOKUP(K$2,行为概览!$D$3:$U$33,3,0),$A49&gt;VLOOKUP(K$2,行为概览!$D$3:$U$33,4,0)),0,VLOOKUP(K$2,行为概览!$D$3:$U$33,6,0)),4)</f>
        <v>0.16669999999999999</v>
      </c>
      <c r="L49" s="20">
        <f>ROUND(IF(OR($A49&lt;VLOOKUP(L$2,行为概览!$D$3:$U$33,3,0),$A49&gt;VLOOKUP(L$2,行为概览!$D$3:$U$33,4,0)),0,VLOOKUP(L$2,行为概览!$D$3:$U$33,6,0)),4)</f>
        <v>0</v>
      </c>
      <c r="M49" s="20">
        <f>ROUND(IF(OR($A49&lt;VLOOKUP(M$2,行为概览!$D$3:$U$33,3,0),$A49&gt;VLOOKUP(M$2,行为概览!$D$3:$U$33,4,0)),0,VLOOKUP(M$2,行为概览!$D$3:$U$33,6,0)),4)</f>
        <v>12</v>
      </c>
      <c r="N49" s="20">
        <f>ROUND(IF(OR($A49&lt;VLOOKUP(N$2,行为概览!$D$3:$U$33,3,0),$A49&gt;VLOOKUP(N$2,行为概览!$D$3:$U$33,4,0)),0,VLOOKUP(N$2,行为概览!$D$3:$U$33,6,0)),4)</f>
        <v>8.3299999999999999E-2</v>
      </c>
      <c r="O49" s="20">
        <f>ROUND(IF(OR($A49&lt;VLOOKUP(O$2,行为概览!$D$3:$U$33,3,0),$A49&gt;VLOOKUP(O$2,行为概览!$D$3:$U$33,4,0)),0,VLOOKUP(O$2,行为概览!$D$3:$U$33,6,0)),4)</f>
        <v>8.3299999999999999E-2</v>
      </c>
      <c r="P49" s="20">
        <f>ROUND(IF(OR($A49&lt;VLOOKUP(P$2,行为概览!$D$3:$U$33,3,0),$A49&gt;VLOOKUP(P$2,行为概览!$D$3:$U$33,4,0)),0,VLOOKUP(P$2,行为概览!$D$3:$U$33,6,0)),4)</f>
        <v>2.6</v>
      </c>
      <c r="Q49" s="20">
        <f>ROUND(IF(OR($A49&lt;VLOOKUP(Q$2,行为概览!$D$3:$U$33,3,0),$A49&gt;VLOOKUP(Q$2,行为概览!$D$3:$U$33,4,0)),0,VLOOKUP(Q$2,行为概览!$D$3:$U$33,6,0)),4)</f>
        <v>1</v>
      </c>
      <c r="R49" s="20">
        <f>ROUND(IF(OR($A49&lt;VLOOKUP(R$2,行为概览!$D$3:$U$33,3,0),$A49&gt;VLOOKUP(R$2,行为概览!$D$3:$U$33,4,0)),0,VLOOKUP(R$2,行为概览!$D$3:$U$33,6,0)),4)</f>
        <v>0.33329999999999999</v>
      </c>
      <c r="S49" s="20">
        <f>ROUND(IF(OR($A49&lt;VLOOKUP(S$2,行为概览!$D$3:$U$33,3,0),$A49&gt;VLOOKUP(S$2,行为概览!$D$3:$U$33,4,0)),0,VLOOKUP(S$2,行为概览!$D$3:$U$33,6,0)),4)</f>
        <v>0.5</v>
      </c>
      <c r="T49" s="20">
        <f>ROUND(IF(OR($A49&lt;VLOOKUP(T$2,行为概览!$D$3:$U$33,3,0),$A49&gt;VLOOKUP(T$2,行为概览!$D$3:$U$33,4,0)),0,VLOOKUP(T$2,行为概览!$D$3:$U$33,6,0)),4)</f>
        <v>0</v>
      </c>
      <c r="U49" s="20">
        <f>ROUND(IF(OR($A49&lt;VLOOKUP(U$2,行为概览!$D$3:$U$33,3,0),$A49&gt;VLOOKUP(U$2,行为概览!$D$3:$U$33,4,0)),0,VLOOKUP(U$2,行为概览!$D$3:$U$33,6,0)),4)</f>
        <v>0.16669999999999999</v>
      </c>
      <c r="V49" s="20">
        <f>ROUND(IF(OR($A49&lt;VLOOKUP(V$2,行为概览!$D$3:$U$33,3,0),$A49&gt;VLOOKUP(V$2,行为概览!$D$3:$U$33,4,0)),0,VLOOKUP(V$2,行为概览!$D$3:$U$33,6,0)),4)</f>
        <v>0.16669999999999999</v>
      </c>
      <c r="W49" s="20">
        <f>ROUND(IF(OR($A49&lt;VLOOKUP(W$2,行为概览!$D$3:$U$33,3,0),$A49&gt;VLOOKUP(W$2,行为概览!$D$3:$U$33,4,0)),0,VLOOKUP(W$2,行为概览!$D$3:$U$33,6,0)),4)</f>
        <v>0.16669999999999999</v>
      </c>
      <c r="X49" s="20">
        <f>ROUND(IF(OR($A49&lt;VLOOKUP(X$2,行为概览!$D$3:$U$33,3,0),$A49&gt;VLOOKUP(X$2,行为概览!$D$3:$U$33,4,0)),0,VLOOKUP(X$2,行为概览!$D$3:$U$33,6,0)),4)</f>
        <v>0.25</v>
      </c>
      <c r="Y49" s="20">
        <f>ROUND(IF(OR($A49&lt;VLOOKUP(Y$2,行为概览!$D$3:$U$33,3,0),$A49&gt;VLOOKUP(Y$2,行为概览!$D$3:$U$33,4,0)),0,VLOOKUP(Y$2,行为概览!$D$3:$U$33,6,0)),4)</f>
        <v>0.58330000000000004</v>
      </c>
      <c r="Z49" s="20">
        <f>ROUND(IF(OR($A49&lt;VLOOKUP(Z$2,行为概览!$D$3:$U$33,3,0),$A49&gt;VLOOKUP(Z$2,行为概览!$D$3:$U$33,4,0)),0,VLOOKUP(Z$2,行为概览!$D$3:$U$33,6,0)),4)</f>
        <v>0.16669999999999999</v>
      </c>
      <c r="AA49" s="20">
        <f>ROUND(IF(OR($A49&lt;VLOOKUP(AA$2,行为概览!$D$3:$U$33,3,0),$A49&gt;VLOOKUP(AA$2,行为概览!$D$3:$U$33,4,0)),0,VLOOKUP(AA$2,行为概览!$D$3:$U$33,6,0)),4)</f>
        <v>0</v>
      </c>
      <c r="AB49" s="20">
        <f>ROUND(IF(OR($A49&lt;VLOOKUP(AB$2,行为概览!$D$3:$U$33,3,0),$A49&gt;VLOOKUP(AB$2,行为概览!$D$3:$U$33,4,0)),0,VLOOKUP(AB$2,行为概览!$D$3:$U$33,6,0)),4)</f>
        <v>0</v>
      </c>
      <c r="AC49" s="20">
        <f>ROUND(IF(OR($A49&lt;VLOOKUP(AC$2,行为概览!$D$3:$U$33,3,0),$A49&gt;VLOOKUP(AC$2,行为概览!$D$3:$U$33,4,0)),0,VLOOKUP(AC$2,行为概览!$D$3:$U$33,6,0)),4)</f>
        <v>0</v>
      </c>
      <c r="AD49" s="20">
        <f>ROUND(IF(OR($A49&lt;VLOOKUP(AD$2,行为概览!$D$3:$U$33,3,0),$A49&gt;VLOOKUP(AD$2,行为概览!$D$3:$U$33,4,0)),0,VLOOKUP(AD$2,行为概览!$D$3:$U$33,6,0)),4)</f>
        <v>0</v>
      </c>
      <c r="AE49" s="20">
        <f>ROUND(IF(OR($A49&lt;VLOOKUP(AE$2,行为概览!$D$3:$U$33,3,0),$A49&gt;VLOOKUP(AE$2,行为概览!$D$3:$U$33,4,0)),0,VLOOKUP(AE$2,行为概览!$D$3:$U$33,6,0)),4)</f>
        <v>8.3299999999999999E-2</v>
      </c>
      <c r="AF49" s="20">
        <f>ROUND(IF(OR($A49&lt;VLOOKUP(AF$2,行为概览!$D$3:$U$33,3,0),$A49&gt;VLOOKUP(AF$2,行为概览!$D$3:$U$33,4,0)),0,VLOOKUP(AF$2,行为概览!$D$3:$U$33,6,0)),4)</f>
        <v>0</v>
      </c>
    </row>
    <row r="50" spans="1:32">
      <c r="A50" s="19">
        <v>48</v>
      </c>
      <c r="B50" s="20">
        <f>ROUND(IF(OR($A50&lt;VLOOKUP(B$2,行为概览!$D$3:$U$33,3,0),$A50&gt;VLOOKUP(B$2,行为概览!$D$3:$U$33,4,0)),0,VLOOKUP(B$2,行为概览!$D$3:$U$33,6,0)),4)</f>
        <v>0.33329999999999999</v>
      </c>
      <c r="C50" s="20">
        <f>ROUND(IF(OR($A50&lt;VLOOKUP(C$2,行为概览!$D$3:$U$33,3,0),$A50&gt;VLOOKUP(C$2,行为概览!$D$3:$U$33,4,0)),0,VLOOKUP(C$2,行为概览!$D$3:$U$33,6,0)),4)</f>
        <v>2</v>
      </c>
      <c r="D50" s="20">
        <f>ROUND(IF(OR($A50&lt;VLOOKUP(D$2,行为概览!$D$3:$U$33,3,0),$A50&gt;VLOOKUP(D$2,行为概览!$D$3:$U$33,4,0)),0,VLOOKUP(D$2,行为概览!$D$3:$U$33,6,0)),4)</f>
        <v>8.3299999999999999E-2</v>
      </c>
      <c r="E50" s="20">
        <f>ROUND(IF(OR($A50&lt;VLOOKUP(E$2,行为概览!$D$3:$U$33,3,0),$A50&gt;VLOOKUP(E$2,行为概览!$D$3:$U$33,4,0)),0,VLOOKUP(E$2,行为概览!$D$3:$U$33,6,0)),4)</f>
        <v>1</v>
      </c>
      <c r="F50" s="20">
        <f>ROUND(IF(OR($A50&lt;VLOOKUP(F$2,行为概览!$D$3:$U$33,3,0),$A50&gt;VLOOKUP(F$2,行为概览!$D$3:$U$33,4,0)),0,VLOOKUP(F$2,行为概览!$D$3:$U$33,6,0)),4)</f>
        <v>0.33329999999999999</v>
      </c>
      <c r="G50" s="20">
        <f>ROUND(IF(OR($A50&lt;VLOOKUP(G$2,行为概览!$D$3:$U$33,3,0),$A50&gt;VLOOKUP(G$2,行为概览!$D$3:$U$33,4,0)),0,VLOOKUP(G$2,行为概览!$D$3:$U$33,6,0)),4)</f>
        <v>0</v>
      </c>
      <c r="H50" s="20">
        <f>ROUND(IF(OR($A50&lt;VLOOKUP(H$2,行为概览!$D$3:$U$33,3,0),$A50&gt;VLOOKUP(H$2,行为概览!$D$3:$U$33,4,0)),0,VLOOKUP(H$2,行为概览!$D$3:$U$33,6,0)),4)</f>
        <v>0</v>
      </c>
      <c r="I50" s="20">
        <f>ROUND(IF(OR($A50&lt;VLOOKUP(I$2,行为概览!$D$3:$U$33,3,0),$A50&gt;VLOOKUP(I$2,行为概览!$D$3:$U$33,4,0)),0,VLOOKUP(I$2,行为概览!$D$3:$U$33,6,0)),4)</f>
        <v>0</v>
      </c>
      <c r="J50" s="20">
        <f>ROUND(IF(OR($A50&lt;VLOOKUP(J$2,行为概览!$D$3:$U$33,3,0),$A50&gt;VLOOKUP(J$2,行为概览!$D$3:$U$33,4,0)),0,VLOOKUP(J$2,行为概览!$D$3:$U$33,6,0)),4)</f>
        <v>0.5</v>
      </c>
      <c r="K50" s="20">
        <f>ROUND(IF(OR($A50&lt;VLOOKUP(K$2,行为概览!$D$3:$U$33,3,0),$A50&gt;VLOOKUP(K$2,行为概览!$D$3:$U$33,4,0)),0,VLOOKUP(K$2,行为概览!$D$3:$U$33,6,0)),4)</f>
        <v>0.16669999999999999</v>
      </c>
      <c r="L50" s="20">
        <f>ROUND(IF(OR($A50&lt;VLOOKUP(L$2,行为概览!$D$3:$U$33,3,0),$A50&gt;VLOOKUP(L$2,行为概览!$D$3:$U$33,4,0)),0,VLOOKUP(L$2,行为概览!$D$3:$U$33,6,0)),4)</f>
        <v>0</v>
      </c>
      <c r="M50" s="20">
        <f>ROUND(IF(OR($A50&lt;VLOOKUP(M$2,行为概览!$D$3:$U$33,3,0),$A50&gt;VLOOKUP(M$2,行为概览!$D$3:$U$33,4,0)),0,VLOOKUP(M$2,行为概览!$D$3:$U$33,6,0)),4)</f>
        <v>12</v>
      </c>
      <c r="N50" s="20">
        <f>ROUND(IF(OR($A50&lt;VLOOKUP(N$2,行为概览!$D$3:$U$33,3,0),$A50&gt;VLOOKUP(N$2,行为概览!$D$3:$U$33,4,0)),0,VLOOKUP(N$2,行为概览!$D$3:$U$33,6,0)),4)</f>
        <v>8.3299999999999999E-2</v>
      </c>
      <c r="O50" s="20">
        <f>ROUND(IF(OR($A50&lt;VLOOKUP(O$2,行为概览!$D$3:$U$33,3,0),$A50&gt;VLOOKUP(O$2,行为概览!$D$3:$U$33,4,0)),0,VLOOKUP(O$2,行为概览!$D$3:$U$33,6,0)),4)</f>
        <v>8.3299999999999999E-2</v>
      </c>
      <c r="P50" s="20">
        <f>ROUND(IF(OR($A50&lt;VLOOKUP(P$2,行为概览!$D$3:$U$33,3,0),$A50&gt;VLOOKUP(P$2,行为概览!$D$3:$U$33,4,0)),0,VLOOKUP(P$2,行为概览!$D$3:$U$33,6,0)),4)</f>
        <v>2.6</v>
      </c>
      <c r="Q50" s="20">
        <f>ROUND(IF(OR($A50&lt;VLOOKUP(Q$2,行为概览!$D$3:$U$33,3,0),$A50&gt;VLOOKUP(Q$2,行为概览!$D$3:$U$33,4,0)),0,VLOOKUP(Q$2,行为概览!$D$3:$U$33,6,0)),4)</f>
        <v>1</v>
      </c>
      <c r="R50" s="20">
        <f>ROUND(IF(OR($A50&lt;VLOOKUP(R$2,行为概览!$D$3:$U$33,3,0),$A50&gt;VLOOKUP(R$2,行为概览!$D$3:$U$33,4,0)),0,VLOOKUP(R$2,行为概览!$D$3:$U$33,6,0)),4)</f>
        <v>0.33329999999999999</v>
      </c>
      <c r="S50" s="20">
        <f>ROUND(IF(OR($A50&lt;VLOOKUP(S$2,行为概览!$D$3:$U$33,3,0),$A50&gt;VLOOKUP(S$2,行为概览!$D$3:$U$33,4,0)),0,VLOOKUP(S$2,行为概览!$D$3:$U$33,6,0)),4)</f>
        <v>0.5</v>
      </c>
      <c r="T50" s="20">
        <f>ROUND(IF(OR($A50&lt;VLOOKUP(T$2,行为概览!$D$3:$U$33,3,0),$A50&gt;VLOOKUP(T$2,行为概览!$D$3:$U$33,4,0)),0,VLOOKUP(T$2,行为概览!$D$3:$U$33,6,0)),4)</f>
        <v>0</v>
      </c>
      <c r="U50" s="20">
        <f>ROUND(IF(OR($A50&lt;VLOOKUP(U$2,行为概览!$D$3:$U$33,3,0),$A50&gt;VLOOKUP(U$2,行为概览!$D$3:$U$33,4,0)),0,VLOOKUP(U$2,行为概览!$D$3:$U$33,6,0)),4)</f>
        <v>0.16669999999999999</v>
      </c>
      <c r="V50" s="20">
        <f>ROUND(IF(OR($A50&lt;VLOOKUP(V$2,行为概览!$D$3:$U$33,3,0),$A50&gt;VLOOKUP(V$2,行为概览!$D$3:$U$33,4,0)),0,VLOOKUP(V$2,行为概览!$D$3:$U$33,6,0)),4)</f>
        <v>0.16669999999999999</v>
      </c>
      <c r="W50" s="20">
        <f>ROUND(IF(OR($A50&lt;VLOOKUP(W$2,行为概览!$D$3:$U$33,3,0),$A50&gt;VLOOKUP(W$2,行为概览!$D$3:$U$33,4,0)),0,VLOOKUP(W$2,行为概览!$D$3:$U$33,6,0)),4)</f>
        <v>0.16669999999999999</v>
      </c>
      <c r="X50" s="20">
        <f>ROUND(IF(OR($A50&lt;VLOOKUP(X$2,行为概览!$D$3:$U$33,3,0),$A50&gt;VLOOKUP(X$2,行为概览!$D$3:$U$33,4,0)),0,VLOOKUP(X$2,行为概览!$D$3:$U$33,6,0)),4)</f>
        <v>0.25</v>
      </c>
      <c r="Y50" s="20">
        <f>ROUND(IF(OR($A50&lt;VLOOKUP(Y$2,行为概览!$D$3:$U$33,3,0),$A50&gt;VLOOKUP(Y$2,行为概览!$D$3:$U$33,4,0)),0,VLOOKUP(Y$2,行为概览!$D$3:$U$33,6,0)),4)</f>
        <v>0.58330000000000004</v>
      </c>
      <c r="Z50" s="20">
        <f>ROUND(IF(OR($A50&lt;VLOOKUP(Z$2,行为概览!$D$3:$U$33,3,0),$A50&gt;VLOOKUP(Z$2,行为概览!$D$3:$U$33,4,0)),0,VLOOKUP(Z$2,行为概览!$D$3:$U$33,6,0)),4)</f>
        <v>0.16669999999999999</v>
      </c>
      <c r="AA50" s="20">
        <f>ROUND(IF(OR($A50&lt;VLOOKUP(AA$2,行为概览!$D$3:$U$33,3,0),$A50&gt;VLOOKUP(AA$2,行为概览!$D$3:$U$33,4,0)),0,VLOOKUP(AA$2,行为概览!$D$3:$U$33,6,0)),4)</f>
        <v>0</v>
      </c>
      <c r="AB50" s="20">
        <f>ROUND(IF(OR($A50&lt;VLOOKUP(AB$2,行为概览!$D$3:$U$33,3,0),$A50&gt;VLOOKUP(AB$2,行为概览!$D$3:$U$33,4,0)),0,VLOOKUP(AB$2,行为概览!$D$3:$U$33,6,0)),4)</f>
        <v>0</v>
      </c>
      <c r="AC50" s="20">
        <f>ROUND(IF(OR($A50&lt;VLOOKUP(AC$2,行为概览!$D$3:$U$33,3,0),$A50&gt;VLOOKUP(AC$2,行为概览!$D$3:$U$33,4,0)),0,VLOOKUP(AC$2,行为概览!$D$3:$U$33,6,0)),4)</f>
        <v>0</v>
      </c>
      <c r="AD50" s="20">
        <f>ROUND(IF(OR($A50&lt;VLOOKUP(AD$2,行为概览!$D$3:$U$33,3,0),$A50&gt;VLOOKUP(AD$2,行为概览!$D$3:$U$33,4,0)),0,VLOOKUP(AD$2,行为概览!$D$3:$U$33,6,0)),4)</f>
        <v>0</v>
      </c>
      <c r="AE50" s="20">
        <f>ROUND(IF(OR($A50&lt;VLOOKUP(AE$2,行为概览!$D$3:$U$33,3,0),$A50&gt;VLOOKUP(AE$2,行为概览!$D$3:$U$33,4,0)),0,VLOOKUP(AE$2,行为概览!$D$3:$U$33,6,0)),4)</f>
        <v>8.3299999999999999E-2</v>
      </c>
      <c r="AF50" s="20">
        <f>ROUND(IF(OR($A50&lt;VLOOKUP(AF$2,行为概览!$D$3:$U$33,3,0),$A50&gt;VLOOKUP(AF$2,行为概览!$D$3:$U$33,4,0)),0,VLOOKUP(AF$2,行为概览!$D$3:$U$33,6,0)),4)</f>
        <v>0</v>
      </c>
    </row>
    <row r="51" spans="1:32">
      <c r="A51" s="19">
        <v>49</v>
      </c>
      <c r="B51" s="20">
        <f>ROUND(IF(OR($A51&lt;VLOOKUP(B$2,行为概览!$D$3:$U$33,3,0),$A51&gt;VLOOKUP(B$2,行为概览!$D$3:$U$33,4,0)),0,VLOOKUP(B$2,行为概览!$D$3:$U$33,6,0)),4)</f>
        <v>0.33329999999999999</v>
      </c>
      <c r="C51" s="20">
        <f>ROUND(IF(OR($A51&lt;VLOOKUP(C$2,行为概览!$D$3:$U$33,3,0),$A51&gt;VLOOKUP(C$2,行为概览!$D$3:$U$33,4,0)),0,VLOOKUP(C$2,行为概览!$D$3:$U$33,6,0)),4)</f>
        <v>2</v>
      </c>
      <c r="D51" s="20">
        <f>ROUND(IF(OR($A51&lt;VLOOKUP(D$2,行为概览!$D$3:$U$33,3,0),$A51&gt;VLOOKUP(D$2,行为概览!$D$3:$U$33,4,0)),0,VLOOKUP(D$2,行为概览!$D$3:$U$33,6,0)),4)</f>
        <v>8.3299999999999999E-2</v>
      </c>
      <c r="E51" s="20">
        <f>ROUND(IF(OR($A51&lt;VLOOKUP(E$2,行为概览!$D$3:$U$33,3,0),$A51&gt;VLOOKUP(E$2,行为概览!$D$3:$U$33,4,0)),0,VLOOKUP(E$2,行为概览!$D$3:$U$33,6,0)),4)</f>
        <v>1</v>
      </c>
      <c r="F51" s="20">
        <f>ROUND(IF(OR($A51&lt;VLOOKUP(F$2,行为概览!$D$3:$U$33,3,0),$A51&gt;VLOOKUP(F$2,行为概览!$D$3:$U$33,4,0)),0,VLOOKUP(F$2,行为概览!$D$3:$U$33,6,0)),4)</f>
        <v>0.33329999999999999</v>
      </c>
      <c r="G51" s="20">
        <f>ROUND(IF(OR($A51&lt;VLOOKUP(G$2,行为概览!$D$3:$U$33,3,0),$A51&gt;VLOOKUP(G$2,行为概览!$D$3:$U$33,4,0)),0,VLOOKUP(G$2,行为概览!$D$3:$U$33,6,0)),4)</f>
        <v>0</v>
      </c>
      <c r="H51" s="20">
        <f>ROUND(IF(OR($A51&lt;VLOOKUP(H$2,行为概览!$D$3:$U$33,3,0),$A51&gt;VLOOKUP(H$2,行为概览!$D$3:$U$33,4,0)),0,VLOOKUP(H$2,行为概览!$D$3:$U$33,6,0)),4)</f>
        <v>0</v>
      </c>
      <c r="I51" s="20">
        <f>ROUND(IF(OR($A51&lt;VLOOKUP(I$2,行为概览!$D$3:$U$33,3,0),$A51&gt;VLOOKUP(I$2,行为概览!$D$3:$U$33,4,0)),0,VLOOKUP(I$2,行为概览!$D$3:$U$33,6,0)),4)</f>
        <v>0</v>
      </c>
      <c r="J51" s="20">
        <f>ROUND(IF(OR($A51&lt;VLOOKUP(J$2,行为概览!$D$3:$U$33,3,0),$A51&gt;VLOOKUP(J$2,行为概览!$D$3:$U$33,4,0)),0,VLOOKUP(J$2,行为概览!$D$3:$U$33,6,0)),4)</f>
        <v>0.5</v>
      </c>
      <c r="K51" s="20">
        <f>ROUND(IF(OR($A51&lt;VLOOKUP(K$2,行为概览!$D$3:$U$33,3,0),$A51&gt;VLOOKUP(K$2,行为概览!$D$3:$U$33,4,0)),0,VLOOKUP(K$2,行为概览!$D$3:$U$33,6,0)),4)</f>
        <v>0.16669999999999999</v>
      </c>
      <c r="L51" s="20">
        <f>ROUND(IF(OR($A51&lt;VLOOKUP(L$2,行为概览!$D$3:$U$33,3,0),$A51&gt;VLOOKUP(L$2,行为概览!$D$3:$U$33,4,0)),0,VLOOKUP(L$2,行为概览!$D$3:$U$33,6,0)),4)</f>
        <v>0</v>
      </c>
      <c r="M51" s="20">
        <f>ROUND(IF(OR($A51&lt;VLOOKUP(M$2,行为概览!$D$3:$U$33,3,0),$A51&gt;VLOOKUP(M$2,行为概览!$D$3:$U$33,4,0)),0,VLOOKUP(M$2,行为概览!$D$3:$U$33,6,0)),4)</f>
        <v>12</v>
      </c>
      <c r="N51" s="20">
        <f>ROUND(IF(OR($A51&lt;VLOOKUP(N$2,行为概览!$D$3:$U$33,3,0),$A51&gt;VLOOKUP(N$2,行为概览!$D$3:$U$33,4,0)),0,VLOOKUP(N$2,行为概览!$D$3:$U$33,6,0)),4)</f>
        <v>8.3299999999999999E-2</v>
      </c>
      <c r="O51" s="20">
        <f>ROUND(IF(OR($A51&lt;VLOOKUP(O$2,行为概览!$D$3:$U$33,3,0),$A51&gt;VLOOKUP(O$2,行为概览!$D$3:$U$33,4,0)),0,VLOOKUP(O$2,行为概览!$D$3:$U$33,6,0)),4)</f>
        <v>8.3299999999999999E-2</v>
      </c>
      <c r="P51" s="20">
        <f>ROUND(IF(OR($A51&lt;VLOOKUP(P$2,行为概览!$D$3:$U$33,3,0),$A51&gt;VLOOKUP(P$2,行为概览!$D$3:$U$33,4,0)),0,VLOOKUP(P$2,行为概览!$D$3:$U$33,6,0)),4)</f>
        <v>2.6</v>
      </c>
      <c r="Q51" s="20">
        <f>ROUND(IF(OR($A51&lt;VLOOKUP(Q$2,行为概览!$D$3:$U$33,3,0),$A51&gt;VLOOKUP(Q$2,行为概览!$D$3:$U$33,4,0)),0,VLOOKUP(Q$2,行为概览!$D$3:$U$33,6,0)),4)</f>
        <v>1</v>
      </c>
      <c r="R51" s="20">
        <f>ROUND(IF(OR($A51&lt;VLOOKUP(R$2,行为概览!$D$3:$U$33,3,0),$A51&gt;VLOOKUP(R$2,行为概览!$D$3:$U$33,4,0)),0,VLOOKUP(R$2,行为概览!$D$3:$U$33,6,0)),4)</f>
        <v>0.33329999999999999</v>
      </c>
      <c r="S51" s="20">
        <f>ROUND(IF(OR($A51&lt;VLOOKUP(S$2,行为概览!$D$3:$U$33,3,0),$A51&gt;VLOOKUP(S$2,行为概览!$D$3:$U$33,4,0)),0,VLOOKUP(S$2,行为概览!$D$3:$U$33,6,0)),4)</f>
        <v>0.5</v>
      </c>
      <c r="T51" s="20">
        <f>ROUND(IF(OR($A51&lt;VLOOKUP(T$2,行为概览!$D$3:$U$33,3,0),$A51&gt;VLOOKUP(T$2,行为概览!$D$3:$U$33,4,0)),0,VLOOKUP(T$2,行为概览!$D$3:$U$33,6,0)),4)</f>
        <v>0</v>
      </c>
      <c r="U51" s="20">
        <f>ROUND(IF(OR($A51&lt;VLOOKUP(U$2,行为概览!$D$3:$U$33,3,0),$A51&gt;VLOOKUP(U$2,行为概览!$D$3:$U$33,4,0)),0,VLOOKUP(U$2,行为概览!$D$3:$U$33,6,0)),4)</f>
        <v>0.16669999999999999</v>
      </c>
      <c r="V51" s="20">
        <f>ROUND(IF(OR($A51&lt;VLOOKUP(V$2,行为概览!$D$3:$U$33,3,0),$A51&gt;VLOOKUP(V$2,行为概览!$D$3:$U$33,4,0)),0,VLOOKUP(V$2,行为概览!$D$3:$U$33,6,0)),4)</f>
        <v>0.16669999999999999</v>
      </c>
      <c r="W51" s="20">
        <f>ROUND(IF(OR($A51&lt;VLOOKUP(W$2,行为概览!$D$3:$U$33,3,0),$A51&gt;VLOOKUP(W$2,行为概览!$D$3:$U$33,4,0)),0,VLOOKUP(W$2,行为概览!$D$3:$U$33,6,0)),4)</f>
        <v>0.16669999999999999</v>
      </c>
      <c r="X51" s="20">
        <f>ROUND(IF(OR($A51&lt;VLOOKUP(X$2,行为概览!$D$3:$U$33,3,0),$A51&gt;VLOOKUP(X$2,行为概览!$D$3:$U$33,4,0)),0,VLOOKUP(X$2,行为概览!$D$3:$U$33,6,0)),4)</f>
        <v>0.25</v>
      </c>
      <c r="Y51" s="20">
        <f>ROUND(IF(OR($A51&lt;VLOOKUP(Y$2,行为概览!$D$3:$U$33,3,0),$A51&gt;VLOOKUP(Y$2,行为概览!$D$3:$U$33,4,0)),0,VLOOKUP(Y$2,行为概览!$D$3:$U$33,6,0)),4)</f>
        <v>0.58330000000000004</v>
      </c>
      <c r="Z51" s="20">
        <f>ROUND(IF(OR($A51&lt;VLOOKUP(Z$2,行为概览!$D$3:$U$33,3,0),$A51&gt;VLOOKUP(Z$2,行为概览!$D$3:$U$33,4,0)),0,VLOOKUP(Z$2,行为概览!$D$3:$U$33,6,0)),4)</f>
        <v>0.16669999999999999</v>
      </c>
      <c r="AA51" s="20">
        <f>ROUND(IF(OR($A51&lt;VLOOKUP(AA$2,行为概览!$D$3:$U$33,3,0),$A51&gt;VLOOKUP(AA$2,行为概览!$D$3:$U$33,4,0)),0,VLOOKUP(AA$2,行为概览!$D$3:$U$33,6,0)),4)</f>
        <v>0</v>
      </c>
      <c r="AB51" s="20">
        <f>ROUND(IF(OR($A51&lt;VLOOKUP(AB$2,行为概览!$D$3:$U$33,3,0),$A51&gt;VLOOKUP(AB$2,行为概览!$D$3:$U$33,4,0)),0,VLOOKUP(AB$2,行为概览!$D$3:$U$33,6,0)),4)</f>
        <v>0</v>
      </c>
      <c r="AC51" s="20">
        <f>ROUND(IF(OR($A51&lt;VLOOKUP(AC$2,行为概览!$D$3:$U$33,3,0),$A51&gt;VLOOKUP(AC$2,行为概览!$D$3:$U$33,4,0)),0,VLOOKUP(AC$2,行为概览!$D$3:$U$33,6,0)),4)</f>
        <v>0</v>
      </c>
      <c r="AD51" s="20">
        <f>ROUND(IF(OR($A51&lt;VLOOKUP(AD$2,行为概览!$D$3:$U$33,3,0),$A51&gt;VLOOKUP(AD$2,行为概览!$D$3:$U$33,4,0)),0,VLOOKUP(AD$2,行为概览!$D$3:$U$33,6,0)),4)</f>
        <v>0</v>
      </c>
      <c r="AE51" s="20">
        <f>ROUND(IF(OR($A51&lt;VLOOKUP(AE$2,行为概览!$D$3:$U$33,3,0),$A51&gt;VLOOKUP(AE$2,行为概览!$D$3:$U$33,4,0)),0,VLOOKUP(AE$2,行为概览!$D$3:$U$33,6,0)),4)</f>
        <v>8.3299999999999999E-2</v>
      </c>
      <c r="AF51" s="20">
        <f>ROUND(IF(OR($A51&lt;VLOOKUP(AF$2,行为概览!$D$3:$U$33,3,0),$A51&gt;VLOOKUP(AF$2,行为概览!$D$3:$U$33,4,0)),0,VLOOKUP(AF$2,行为概览!$D$3:$U$33,6,0)),4)</f>
        <v>0</v>
      </c>
    </row>
    <row r="52" spans="1:32">
      <c r="A52" s="19">
        <v>50</v>
      </c>
      <c r="B52" s="20">
        <f>ROUND(IF(OR($A52&lt;VLOOKUP(B$2,行为概览!$D$3:$U$33,3,0),$A52&gt;VLOOKUP(B$2,行为概览!$D$3:$U$33,4,0)),0,VLOOKUP(B$2,行为概览!$D$3:$U$33,6,0)),4)</f>
        <v>0.33329999999999999</v>
      </c>
      <c r="C52" s="20">
        <f>ROUND(IF(OR($A52&lt;VLOOKUP(C$2,行为概览!$D$3:$U$33,3,0),$A52&gt;VLOOKUP(C$2,行为概览!$D$3:$U$33,4,0)),0,VLOOKUP(C$2,行为概览!$D$3:$U$33,6,0)),4)</f>
        <v>2</v>
      </c>
      <c r="D52" s="20">
        <f>ROUND(IF(OR($A52&lt;VLOOKUP(D$2,行为概览!$D$3:$U$33,3,0),$A52&gt;VLOOKUP(D$2,行为概览!$D$3:$U$33,4,0)),0,VLOOKUP(D$2,行为概览!$D$3:$U$33,6,0)),4)</f>
        <v>8.3299999999999999E-2</v>
      </c>
      <c r="E52" s="20">
        <f>ROUND(IF(OR($A52&lt;VLOOKUP(E$2,行为概览!$D$3:$U$33,3,0),$A52&gt;VLOOKUP(E$2,行为概览!$D$3:$U$33,4,0)),0,VLOOKUP(E$2,行为概览!$D$3:$U$33,6,0)),4)</f>
        <v>1</v>
      </c>
      <c r="F52" s="20">
        <f>ROUND(IF(OR($A52&lt;VLOOKUP(F$2,行为概览!$D$3:$U$33,3,0),$A52&gt;VLOOKUP(F$2,行为概览!$D$3:$U$33,4,0)),0,VLOOKUP(F$2,行为概览!$D$3:$U$33,6,0)),4)</f>
        <v>0.33329999999999999</v>
      </c>
      <c r="G52" s="20">
        <f>ROUND(IF(OR($A52&lt;VLOOKUP(G$2,行为概览!$D$3:$U$33,3,0),$A52&gt;VLOOKUP(G$2,行为概览!$D$3:$U$33,4,0)),0,VLOOKUP(G$2,行为概览!$D$3:$U$33,6,0)),4)</f>
        <v>0</v>
      </c>
      <c r="H52" s="20">
        <f>ROUND(IF(OR($A52&lt;VLOOKUP(H$2,行为概览!$D$3:$U$33,3,0),$A52&gt;VLOOKUP(H$2,行为概览!$D$3:$U$33,4,0)),0,VLOOKUP(H$2,行为概览!$D$3:$U$33,6,0)),4)</f>
        <v>0</v>
      </c>
      <c r="I52" s="20">
        <f>ROUND(IF(OR($A52&lt;VLOOKUP(I$2,行为概览!$D$3:$U$33,3,0),$A52&gt;VLOOKUP(I$2,行为概览!$D$3:$U$33,4,0)),0,VLOOKUP(I$2,行为概览!$D$3:$U$33,6,0)),4)</f>
        <v>0</v>
      </c>
      <c r="J52" s="20">
        <f>ROUND(IF(OR($A52&lt;VLOOKUP(J$2,行为概览!$D$3:$U$33,3,0),$A52&gt;VLOOKUP(J$2,行为概览!$D$3:$U$33,4,0)),0,VLOOKUP(J$2,行为概览!$D$3:$U$33,6,0)),4)</f>
        <v>0.5</v>
      </c>
      <c r="K52" s="20">
        <f>ROUND(IF(OR($A52&lt;VLOOKUP(K$2,行为概览!$D$3:$U$33,3,0),$A52&gt;VLOOKUP(K$2,行为概览!$D$3:$U$33,4,0)),0,VLOOKUP(K$2,行为概览!$D$3:$U$33,6,0)),4)</f>
        <v>0.16669999999999999</v>
      </c>
      <c r="L52" s="20">
        <f>ROUND(IF(OR($A52&lt;VLOOKUP(L$2,行为概览!$D$3:$U$33,3,0),$A52&gt;VLOOKUP(L$2,行为概览!$D$3:$U$33,4,0)),0,VLOOKUP(L$2,行为概览!$D$3:$U$33,6,0)),4)</f>
        <v>0.5</v>
      </c>
      <c r="M52" s="20">
        <f>ROUND(IF(OR($A52&lt;VLOOKUP(M$2,行为概览!$D$3:$U$33,3,0),$A52&gt;VLOOKUP(M$2,行为概览!$D$3:$U$33,4,0)),0,VLOOKUP(M$2,行为概览!$D$3:$U$33,6,0)),4)</f>
        <v>12</v>
      </c>
      <c r="N52" s="20">
        <f>ROUND(IF(OR($A52&lt;VLOOKUP(N$2,行为概览!$D$3:$U$33,3,0),$A52&gt;VLOOKUP(N$2,行为概览!$D$3:$U$33,4,0)),0,VLOOKUP(N$2,行为概览!$D$3:$U$33,6,0)),4)</f>
        <v>8.3299999999999999E-2</v>
      </c>
      <c r="O52" s="20">
        <f>ROUND(IF(OR($A52&lt;VLOOKUP(O$2,行为概览!$D$3:$U$33,3,0),$A52&gt;VLOOKUP(O$2,行为概览!$D$3:$U$33,4,0)),0,VLOOKUP(O$2,行为概览!$D$3:$U$33,6,0)),4)</f>
        <v>8.3299999999999999E-2</v>
      </c>
      <c r="P52" s="20">
        <f>ROUND(IF(OR($A52&lt;VLOOKUP(P$2,行为概览!$D$3:$U$33,3,0),$A52&gt;VLOOKUP(P$2,行为概览!$D$3:$U$33,4,0)),0,VLOOKUP(P$2,行为概览!$D$3:$U$33,6,0)),4)</f>
        <v>2.6</v>
      </c>
      <c r="Q52" s="20">
        <f>ROUND(IF(OR($A52&lt;VLOOKUP(Q$2,行为概览!$D$3:$U$33,3,0),$A52&gt;VLOOKUP(Q$2,行为概览!$D$3:$U$33,4,0)),0,VLOOKUP(Q$2,行为概览!$D$3:$U$33,6,0)),4)</f>
        <v>1</v>
      </c>
      <c r="R52" s="20">
        <f>ROUND(IF(OR($A52&lt;VLOOKUP(R$2,行为概览!$D$3:$U$33,3,0),$A52&gt;VLOOKUP(R$2,行为概览!$D$3:$U$33,4,0)),0,VLOOKUP(R$2,行为概览!$D$3:$U$33,6,0)),4)</f>
        <v>0.33329999999999999</v>
      </c>
      <c r="S52" s="20">
        <f>ROUND(IF(OR($A52&lt;VLOOKUP(S$2,行为概览!$D$3:$U$33,3,0),$A52&gt;VLOOKUP(S$2,行为概览!$D$3:$U$33,4,0)),0,VLOOKUP(S$2,行为概览!$D$3:$U$33,6,0)),4)</f>
        <v>0</v>
      </c>
      <c r="T52" s="20">
        <f>ROUND(IF(OR($A52&lt;VLOOKUP(T$2,行为概览!$D$3:$U$33,3,0),$A52&gt;VLOOKUP(T$2,行为概览!$D$3:$U$33,4,0)),0,VLOOKUP(T$2,行为概览!$D$3:$U$33,6,0)),4)</f>
        <v>0.33329999999999999</v>
      </c>
      <c r="U52" s="20">
        <f>ROUND(IF(OR($A52&lt;VLOOKUP(U$2,行为概览!$D$3:$U$33,3,0),$A52&gt;VLOOKUP(U$2,行为概览!$D$3:$U$33,4,0)),0,VLOOKUP(U$2,行为概览!$D$3:$U$33,6,0)),4)</f>
        <v>0.16669999999999999</v>
      </c>
      <c r="V52" s="20">
        <f>ROUND(IF(OR($A52&lt;VLOOKUP(V$2,行为概览!$D$3:$U$33,3,0),$A52&gt;VLOOKUP(V$2,行为概览!$D$3:$U$33,4,0)),0,VLOOKUP(V$2,行为概览!$D$3:$U$33,6,0)),4)</f>
        <v>0.16669999999999999</v>
      </c>
      <c r="W52" s="20">
        <f>ROUND(IF(OR($A52&lt;VLOOKUP(W$2,行为概览!$D$3:$U$33,3,0),$A52&gt;VLOOKUP(W$2,行为概览!$D$3:$U$33,4,0)),0,VLOOKUP(W$2,行为概览!$D$3:$U$33,6,0)),4)</f>
        <v>0.16669999999999999</v>
      </c>
      <c r="X52" s="20">
        <f>ROUND(IF(OR($A52&lt;VLOOKUP(X$2,行为概览!$D$3:$U$33,3,0),$A52&gt;VLOOKUP(X$2,行为概览!$D$3:$U$33,4,0)),0,VLOOKUP(X$2,行为概览!$D$3:$U$33,6,0)),4)</f>
        <v>0.25</v>
      </c>
      <c r="Y52" s="20">
        <f>ROUND(IF(OR($A52&lt;VLOOKUP(Y$2,行为概览!$D$3:$U$33,3,0),$A52&gt;VLOOKUP(Y$2,行为概览!$D$3:$U$33,4,0)),0,VLOOKUP(Y$2,行为概览!$D$3:$U$33,6,0)),4)</f>
        <v>0.58330000000000004</v>
      </c>
      <c r="Z52" s="20">
        <f>ROUND(IF(OR($A52&lt;VLOOKUP(Z$2,行为概览!$D$3:$U$33,3,0),$A52&gt;VLOOKUP(Z$2,行为概览!$D$3:$U$33,4,0)),0,VLOOKUP(Z$2,行为概览!$D$3:$U$33,6,0)),4)</f>
        <v>0.16669999999999999</v>
      </c>
      <c r="AA52" s="20">
        <f>ROUND(IF(OR($A52&lt;VLOOKUP(AA$2,行为概览!$D$3:$U$33,3,0),$A52&gt;VLOOKUP(AA$2,行为概览!$D$3:$U$33,4,0)),0,VLOOKUP(AA$2,行为概览!$D$3:$U$33,6,0)),4)</f>
        <v>0</v>
      </c>
      <c r="AB52" s="20">
        <f>ROUND(IF(OR($A52&lt;VLOOKUP(AB$2,行为概览!$D$3:$U$33,3,0),$A52&gt;VLOOKUP(AB$2,行为概览!$D$3:$U$33,4,0)),0,VLOOKUP(AB$2,行为概览!$D$3:$U$33,6,0)),4)</f>
        <v>0</v>
      </c>
      <c r="AC52" s="20">
        <f>ROUND(IF(OR($A52&lt;VLOOKUP(AC$2,行为概览!$D$3:$U$33,3,0),$A52&gt;VLOOKUP(AC$2,行为概览!$D$3:$U$33,4,0)),0,VLOOKUP(AC$2,行为概览!$D$3:$U$33,6,0)),4)</f>
        <v>0</v>
      </c>
      <c r="AD52" s="20">
        <f>ROUND(IF(OR($A52&lt;VLOOKUP(AD$2,行为概览!$D$3:$U$33,3,0),$A52&gt;VLOOKUP(AD$2,行为概览!$D$3:$U$33,4,0)),0,VLOOKUP(AD$2,行为概览!$D$3:$U$33,6,0)),4)</f>
        <v>0</v>
      </c>
      <c r="AE52" s="20">
        <f>ROUND(IF(OR($A52&lt;VLOOKUP(AE$2,行为概览!$D$3:$U$33,3,0),$A52&gt;VLOOKUP(AE$2,行为概览!$D$3:$U$33,4,0)),0,VLOOKUP(AE$2,行为概览!$D$3:$U$33,6,0)),4)</f>
        <v>8.3299999999999999E-2</v>
      </c>
      <c r="AF52" s="20">
        <f>ROUND(IF(OR($A52&lt;VLOOKUP(AF$2,行为概览!$D$3:$U$33,3,0),$A52&gt;VLOOKUP(AF$2,行为概览!$D$3:$U$33,4,0)),0,VLOOKUP(AF$2,行为概览!$D$3:$U$33,6,0)),4)</f>
        <v>0</v>
      </c>
    </row>
    <row r="53" spans="1:32">
      <c r="A53" s="19">
        <v>51</v>
      </c>
      <c r="B53" s="20">
        <f>ROUND(IF(OR($A53&lt;VLOOKUP(B$2,行为概览!$D$3:$U$33,3,0),$A53&gt;VLOOKUP(B$2,行为概览!$D$3:$U$33,4,0)),0,VLOOKUP(B$2,行为概览!$D$3:$U$33,6,0)),4)</f>
        <v>0.33329999999999999</v>
      </c>
      <c r="C53" s="20">
        <f>ROUND(IF(OR($A53&lt;VLOOKUP(C$2,行为概览!$D$3:$U$33,3,0),$A53&gt;VLOOKUP(C$2,行为概览!$D$3:$U$33,4,0)),0,VLOOKUP(C$2,行为概览!$D$3:$U$33,6,0)),4)</f>
        <v>2</v>
      </c>
      <c r="D53" s="20">
        <f>ROUND(IF(OR($A53&lt;VLOOKUP(D$2,行为概览!$D$3:$U$33,3,0),$A53&gt;VLOOKUP(D$2,行为概览!$D$3:$U$33,4,0)),0,VLOOKUP(D$2,行为概览!$D$3:$U$33,6,0)),4)</f>
        <v>8.3299999999999999E-2</v>
      </c>
      <c r="E53" s="20">
        <f>ROUND(IF(OR($A53&lt;VLOOKUP(E$2,行为概览!$D$3:$U$33,3,0),$A53&gt;VLOOKUP(E$2,行为概览!$D$3:$U$33,4,0)),0,VLOOKUP(E$2,行为概览!$D$3:$U$33,6,0)),4)</f>
        <v>1</v>
      </c>
      <c r="F53" s="20">
        <f>ROUND(IF(OR($A53&lt;VLOOKUP(F$2,行为概览!$D$3:$U$33,3,0),$A53&gt;VLOOKUP(F$2,行为概览!$D$3:$U$33,4,0)),0,VLOOKUP(F$2,行为概览!$D$3:$U$33,6,0)),4)</f>
        <v>0.33329999999999999</v>
      </c>
      <c r="G53" s="20">
        <f>ROUND(IF(OR($A53&lt;VLOOKUP(G$2,行为概览!$D$3:$U$33,3,0),$A53&gt;VLOOKUP(G$2,行为概览!$D$3:$U$33,4,0)),0,VLOOKUP(G$2,行为概览!$D$3:$U$33,6,0)),4)</f>
        <v>0</v>
      </c>
      <c r="H53" s="20">
        <f>ROUND(IF(OR($A53&lt;VLOOKUP(H$2,行为概览!$D$3:$U$33,3,0),$A53&gt;VLOOKUP(H$2,行为概览!$D$3:$U$33,4,0)),0,VLOOKUP(H$2,行为概览!$D$3:$U$33,6,0)),4)</f>
        <v>0</v>
      </c>
      <c r="I53" s="20">
        <f>ROUND(IF(OR($A53&lt;VLOOKUP(I$2,行为概览!$D$3:$U$33,3,0),$A53&gt;VLOOKUP(I$2,行为概览!$D$3:$U$33,4,0)),0,VLOOKUP(I$2,行为概览!$D$3:$U$33,6,0)),4)</f>
        <v>0</v>
      </c>
      <c r="J53" s="20">
        <f>ROUND(IF(OR($A53&lt;VLOOKUP(J$2,行为概览!$D$3:$U$33,3,0),$A53&gt;VLOOKUP(J$2,行为概览!$D$3:$U$33,4,0)),0,VLOOKUP(J$2,行为概览!$D$3:$U$33,6,0)),4)</f>
        <v>0.5</v>
      </c>
      <c r="K53" s="20">
        <f>ROUND(IF(OR($A53&lt;VLOOKUP(K$2,行为概览!$D$3:$U$33,3,0),$A53&gt;VLOOKUP(K$2,行为概览!$D$3:$U$33,4,0)),0,VLOOKUP(K$2,行为概览!$D$3:$U$33,6,0)),4)</f>
        <v>0.16669999999999999</v>
      </c>
      <c r="L53" s="20">
        <f>ROUND(IF(OR($A53&lt;VLOOKUP(L$2,行为概览!$D$3:$U$33,3,0),$A53&gt;VLOOKUP(L$2,行为概览!$D$3:$U$33,4,0)),0,VLOOKUP(L$2,行为概览!$D$3:$U$33,6,0)),4)</f>
        <v>0.5</v>
      </c>
      <c r="M53" s="20">
        <f>ROUND(IF(OR($A53&lt;VLOOKUP(M$2,行为概览!$D$3:$U$33,3,0),$A53&gt;VLOOKUP(M$2,行为概览!$D$3:$U$33,4,0)),0,VLOOKUP(M$2,行为概览!$D$3:$U$33,6,0)),4)</f>
        <v>12</v>
      </c>
      <c r="N53" s="20">
        <f>ROUND(IF(OR($A53&lt;VLOOKUP(N$2,行为概览!$D$3:$U$33,3,0),$A53&gt;VLOOKUP(N$2,行为概览!$D$3:$U$33,4,0)),0,VLOOKUP(N$2,行为概览!$D$3:$U$33,6,0)),4)</f>
        <v>8.3299999999999999E-2</v>
      </c>
      <c r="O53" s="20">
        <f>ROUND(IF(OR($A53&lt;VLOOKUP(O$2,行为概览!$D$3:$U$33,3,0),$A53&gt;VLOOKUP(O$2,行为概览!$D$3:$U$33,4,0)),0,VLOOKUP(O$2,行为概览!$D$3:$U$33,6,0)),4)</f>
        <v>8.3299999999999999E-2</v>
      </c>
      <c r="P53" s="20">
        <f>ROUND(IF(OR($A53&lt;VLOOKUP(P$2,行为概览!$D$3:$U$33,3,0),$A53&gt;VLOOKUP(P$2,行为概览!$D$3:$U$33,4,0)),0,VLOOKUP(P$2,行为概览!$D$3:$U$33,6,0)),4)</f>
        <v>2.6</v>
      </c>
      <c r="Q53" s="20">
        <f>ROUND(IF(OR($A53&lt;VLOOKUP(Q$2,行为概览!$D$3:$U$33,3,0),$A53&gt;VLOOKUP(Q$2,行为概览!$D$3:$U$33,4,0)),0,VLOOKUP(Q$2,行为概览!$D$3:$U$33,6,0)),4)</f>
        <v>1</v>
      </c>
      <c r="R53" s="20">
        <f>ROUND(IF(OR($A53&lt;VLOOKUP(R$2,行为概览!$D$3:$U$33,3,0),$A53&gt;VLOOKUP(R$2,行为概览!$D$3:$U$33,4,0)),0,VLOOKUP(R$2,行为概览!$D$3:$U$33,6,0)),4)</f>
        <v>0.33329999999999999</v>
      </c>
      <c r="S53" s="20">
        <f>ROUND(IF(OR($A53&lt;VLOOKUP(S$2,行为概览!$D$3:$U$33,3,0),$A53&gt;VLOOKUP(S$2,行为概览!$D$3:$U$33,4,0)),0,VLOOKUP(S$2,行为概览!$D$3:$U$33,6,0)),4)</f>
        <v>0</v>
      </c>
      <c r="T53" s="20">
        <f>ROUND(IF(OR($A53&lt;VLOOKUP(T$2,行为概览!$D$3:$U$33,3,0),$A53&gt;VLOOKUP(T$2,行为概览!$D$3:$U$33,4,0)),0,VLOOKUP(T$2,行为概览!$D$3:$U$33,6,0)),4)</f>
        <v>0.33329999999999999</v>
      </c>
      <c r="U53" s="20">
        <f>ROUND(IF(OR($A53&lt;VLOOKUP(U$2,行为概览!$D$3:$U$33,3,0),$A53&gt;VLOOKUP(U$2,行为概览!$D$3:$U$33,4,0)),0,VLOOKUP(U$2,行为概览!$D$3:$U$33,6,0)),4)</f>
        <v>0.16669999999999999</v>
      </c>
      <c r="V53" s="20">
        <f>ROUND(IF(OR($A53&lt;VLOOKUP(V$2,行为概览!$D$3:$U$33,3,0),$A53&gt;VLOOKUP(V$2,行为概览!$D$3:$U$33,4,0)),0,VLOOKUP(V$2,行为概览!$D$3:$U$33,6,0)),4)</f>
        <v>0.16669999999999999</v>
      </c>
      <c r="W53" s="20">
        <f>ROUND(IF(OR($A53&lt;VLOOKUP(W$2,行为概览!$D$3:$U$33,3,0),$A53&gt;VLOOKUP(W$2,行为概览!$D$3:$U$33,4,0)),0,VLOOKUP(W$2,行为概览!$D$3:$U$33,6,0)),4)</f>
        <v>0.16669999999999999</v>
      </c>
      <c r="X53" s="20">
        <f>ROUND(IF(OR($A53&lt;VLOOKUP(X$2,行为概览!$D$3:$U$33,3,0),$A53&gt;VLOOKUP(X$2,行为概览!$D$3:$U$33,4,0)),0,VLOOKUP(X$2,行为概览!$D$3:$U$33,6,0)),4)</f>
        <v>0.25</v>
      </c>
      <c r="Y53" s="20">
        <f>ROUND(IF(OR($A53&lt;VLOOKUP(Y$2,行为概览!$D$3:$U$33,3,0),$A53&gt;VLOOKUP(Y$2,行为概览!$D$3:$U$33,4,0)),0,VLOOKUP(Y$2,行为概览!$D$3:$U$33,6,0)),4)</f>
        <v>0.58330000000000004</v>
      </c>
      <c r="Z53" s="20">
        <f>ROUND(IF(OR($A53&lt;VLOOKUP(Z$2,行为概览!$D$3:$U$33,3,0),$A53&gt;VLOOKUP(Z$2,行为概览!$D$3:$U$33,4,0)),0,VLOOKUP(Z$2,行为概览!$D$3:$U$33,6,0)),4)</f>
        <v>0.16669999999999999</v>
      </c>
      <c r="AA53" s="20">
        <f>ROUND(IF(OR($A53&lt;VLOOKUP(AA$2,行为概览!$D$3:$U$33,3,0),$A53&gt;VLOOKUP(AA$2,行为概览!$D$3:$U$33,4,0)),0,VLOOKUP(AA$2,行为概览!$D$3:$U$33,6,0)),4)</f>
        <v>0</v>
      </c>
      <c r="AB53" s="20">
        <f>ROUND(IF(OR($A53&lt;VLOOKUP(AB$2,行为概览!$D$3:$U$33,3,0),$A53&gt;VLOOKUP(AB$2,行为概览!$D$3:$U$33,4,0)),0,VLOOKUP(AB$2,行为概览!$D$3:$U$33,6,0)),4)</f>
        <v>0</v>
      </c>
      <c r="AC53" s="20">
        <f>ROUND(IF(OR($A53&lt;VLOOKUP(AC$2,行为概览!$D$3:$U$33,3,0),$A53&gt;VLOOKUP(AC$2,行为概览!$D$3:$U$33,4,0)),0,VLOOKUP(AC$2,行为概览!$D$3:$U$33,6,0)),4)</f>
        <v>0</v>
      </c>
      <c r="AD53" s="20">
        <f>ROUND(IF(OR($A53&lt;VLOOKUP(AD$2,行为概览!$D$3:$U$33,3,0),$A53&gt;VLOOKUP(AD$2,行为概览!$D$3:$U$33,4,0)),0,VLOOKUP(AD$2,行为概览!$D$3:$U$33,6,0)),4)</f>
        <v>0</v>
      </c>
      <c r="AE53" s="20">
        <f>ROUND(IF(OR($A53&lt;VLOOKUP(AE$2,行为概览!$D$3:$U$33,3,0),$A53&gt;VLOOKUP(AE$2,行为概览!$D$3:$U$33,4,0)),0,VLOOKUP(AE$2,行为概览!$D$3:$U$33,6,0)),4)</f>
        <v>8.3299999999999999E-2</v>
      </c>
      <c r="AF53" s="20">
        <f>ROUND(IF(OR($A53&lt;VLOOKUP(AF$2,行为概览!$D$3:$U$33,3,0),$A53&gt;VLOOKUP(AF$2,行为概览!$D$3:$U$33,4,0)),0,VLOOKUP(AF$2,行为概览!$D$3:$U$33,6,0)),4)</f>
        <v>0</v>
      </c>
    </row>
    <row r="54" spans="1:32">
      <c r="A54" s="19">
        <v>52</v>
      </c>
      <c r="B54" s="20">
        <f>ROUND(IF(OR($A54&lt;VLOOKUP(B$2,行为概览!$D$3:$U$33,3,0),$A54&gt;VLOOKUP(B$2,行为概览!$D$3:$U$33,4,0)),0,VLOOKUP(B$2,行为概览!$D$3:$U$33,6,0)),4)</f>
        <v>0.33329999999999999</v>
      </c>
      <c r="C54" s="20">
        <f>ROUND(IF(OR($A54&lt;VLOOKUP(C$2,行为概览!$D$3:$U$33,3,0),$A54&gt;VLOOKUP(C$2,行为概览!$D$3:$U$33,4,0)),0,VLOOKUP(C$2,行为概览!$D$3:$U$33,6,0)),4)</f>
        <v>2</v>
      </c>
      <c r="D54" s="20">
        <f>ROUND(IF(OR($A54&lt;VLOOKUP(D$2,行为概览!$D$3:$U$33,3,0),$A54&gt;VLOOKUP(D$2,行为概览!$D$3:$U$33,4,0)),0,VLOOKUP(D$2,行为概览!$D$3:$U$33,6,0)),4)</f>
        <v>8.3299999999999999E-2</v>
      </c>
      <c r="E54" s="20">
        <f>ROUND(IF(OR($A54&lt;VLOOKUP(E$2,行为概览!$D$3:$U$33,3,0),$A54&gt;VLOOKUP(E$2,行为概览!$D$3:$U$33,4,0)),0,VLOOKUP(E$2,行为概览!$D$3:$U$33,6,0)),4)</f>
        <v>1</v>
      </c>
      <c r="F54" s="20">
        <f>ROUND(IF(OR($A54&lt;VLOOKUP(F$2,行为概览!$D$3:$U$33,3,0),$A54&gt;VLOOKUP(F$2,行为概览!$D$3:$U$33,4,0)),0,VLOOKUP(F$2,行为概览!$D$3:$U$33,6,0)),4)</f>
        <v>0.33329999999999999</v>
      </c>
      <c r="G54" s="20">
        <f>ROUND(IF(OR($A54&lt;VLOOKUP(G$2,行为概览!$D$3:$U$33,3,0),$A54&gt;VLOOKUP(G$2,行为概览!$D$3:$U$33,4,0)),0,VLOOKUP(G$2,行为概览!$D$3:$U$33,6,0)),4)</f>
        <v>0</v>
      </c>
      <c r="H54" s="20">
        <f>ROUND(IF(OR($A54&lt;VLOOKUP(H$2,行为概览!$D$3:$U$33,3,0),$A54&gt;VLOOKUP(H$2,行为概览!$D$3:$U$33,4,0)),0,VLOOKUP(H$2,行为概览!$D$3:$U$33,6,0)),4)</f>
        <v>0</v>
      </c>
      <c r="I54" s="20">
        <f>ROUND(IF(OR($A54&lt;VLOOKUP(I$2,行为概览!$D$3:$U$33,3,0),$A54&gt;VLOOKUP(I$2,行为概览!$D$3:$U$33,4,0)),0,VLOOKUP(I$2,行为概览!$D$3:$U$33,6,0)),4)</f>
        <v>0</v>
      </c>
      <c r="J54" s="20">
        <f>ROUND(IF(OR($A54&lt;VLOOKUP(J$2,行为概览!$D$3:$U$33,3,0),$A54&gt;VLOOKUP(J$2,行为概览!$D$3:$U$33,4,0)),0,VLOOKUP(J$2,行为概览!$D$3:$U$33,6,0)),4)</f>
        <v>0.5</v>
      </c>
      <c r="K54" s="20">
        <f>ROUND(IF(OR($A54&lt;VLOOKUP(K$2,行为概览!$D$3:$U$33,3,0),$A54&gt;VLOOKUP(K$2,行为概览!$D$3:$U$33,4,0)),0,VLOOKUP(K$2,行为概览!$D$3:$U$33,6,0)),4)</f>
        <v>0.16669999999999999</v>
      </c>
      <c r="L54" s="20">
        <f>ROUND(IF(OR($A54&lt;VLOOKUP(L$2,行为概览!$D$3:$U$33,3,0),$A54&gt;VLOOKUP(L$2,行为概览!$D$3:$U$33,4,0)),0,VLOOKUP(L$2,行为概览!$D$3:$U$33,6,0)),4)</f>
        <v>0.5</v>
      </c>
      <c r="M54" s="20">
        <f>ROUND(IF(OR($A54&lt;VLOOKUP(M$2,行为概览!$D$3:$U$33,3,0),$A54&gt;VLOOKUP(M$2,行为概览!$D$3:$U$33,4,0)),0,VLOOKUP(M$2,行为概览!$D$3:$U$33,6,0)),4)</f>
        <v>12</v>
      </c>
      <c r="N54" s="20">
        <f>ROUND(IF(OR($A54&lt;VLOOKUP(N$2,行为概览!$D$3:$U$33,3,0),$A54&gt;VLOOKUP(N$2,行为概览!$D$3:$U$33,4,0)),0,VLOOKUP(N$2,行为概览!$D$3:$U$33,6,0)),4)</f>
        <v>8.3299999999999999E-2</v>
      </c>
      <c r="O54" s="20">
        <f>ROUND(IF(OR($A54&lt;VLOOKUP(O$2,行为概览!$D$3:$U$33,3,0),$A54&gt;VLOOKUP(O$2,行为概览!$D$3:$U$33,4,0)),0,VLOOKUP(O$2,行为概览!$D$3:$U$33,6,0)),4)</f>
        <v>8.3299999999999999E-2</v>
      </c>
      <c r="P54" s="20">
        <f>ROUND(IF(OR($A54&lt;VLOOKUP(P$2,行为概览!$D$3:$U$33,3,0),$A54&gt;VLOOKUP(P$2,行为概览!$D$3:$U$33,4,0)),0,VLOOKUP(P$2,行为概览!$D$3:$U$33,6,0)),4)</f>
        <v>2.6</v>
      </c>
      <c r="Q54" s="20">
        <f>ROUND(IF(OR($A54&lt;VLOOKUP(Q$2,行为概览!$D$3:$U$33,3,0),$A54&gt;VLOOKUP(Q$2,行为概览!$D$3:$U$33,4,0)),0,VLOOKUP(Q$2,行为概览!$D$3:$U$33,6,0)),4)</f>
        <v>1</v>
      </c>
      <c r="R54" s="20">
        <f>ROUND(IF(OR($A54&lt;VLOOKUP(R$2,行为概览!$D$3:$U$33,3,0),$A54&gt;VLOOKUP(R$2,行为概览!$D$3:$U$33,4,0)),0,VLOOKUP(R$2,行为概览!$D$3:$U$33,6,0)),4)</f>
        <v>0.33329999999999999</v>
      </c>
      <c r="S54" s="20">
        <f>ROUND(IF(OR($A54&lt;VLOOKUP(S$2,行为概览!$D$3:$U$33,3,0),$A54&gt;VLOOKUP(S$2,行为概览!$D$3:$U$33,4,0)),0,VLOOKUP(S$2,行为概览!$D$3:$U$33,6,0)),4)</f>
        <v>0</v>
      </c>
      <c r="T54" s="20">
        <f>ROUND(IF(OR($A54&lt;VLOOKUP(T$2,行为概览!$D$3:$U$33,3,0),$A54&gt;VLOOKUP(T$2,行为概览!$D$3:$U$33,4,0)),0,VLOOKUP(T$2,行为概览!$D$3:$U$33,6,0)),4)</f>
        <v>0.33329999999999999</v>
      </c>
      <c r="U54" s="20">
        <f>ROUND(IF(OR($A54&lt;VLOOKUP(U$2,行为概览!$D$3:$U$33,3,0),$A54&gt;VLOOKUP(U$2,行为概览!$D$3:$U$33,4,0)),0,VLOOKUP(U$2,行为概览!$D$3:$U$33,6,0)),4)</f>
        <v>0.16669999999999999</v>
      </c>
      <c r="V54" s="20">
        <f>ROUND(IF(OR($A54&lt;VLOOKUP(V$2,行为概览!$D$3:$U$33,3,0),$A54&gt;VLOOKUP(V$2,行为概览!$D$3:$U$33,4,0)),0,VLOOKUP(V$2,行为概览!$D$3:$U$33,6,0)),4)</f>
        <v>0.16669999999999999</v>
      </c>
      <c r="W54" s="20">
        <f>ROUND(IF(OR($A54&lt;VLOOKUP(W$2,行为概览!$D$3:$U$33,3,0),$A54&gt;VLOOKUP(W$2,行为概览!$D$3:$U$33,4,0)),0,VLOOKUP(W$2,行为概览!$D$3:$U$33,6,0)),4)</f>
        <v>0.16669999999999999</v>
      </c>
      <c r="X54" s="20">
        <f>ROUND(IF(OR($A54&lt;VLOOKUP(X$2,行为概览!$D$3:$U$33,3,0),$A54&gt;VLOOKUP(X$2,行为概览!$D$3:$U$33,4,0)),0,VLOOKUP(X$2,行为概览!$D$3:$U$33,6,0)),4)</f>
        <v>0.25</v>
      </c>
      <c r="Y54" s="20">
        <f>ROUND(IF(OR($A54&lt;VLOOKUP(Y$2,行为概览!$D$3:$U$33,3,0),$A54&gt;VLOOKUP(Y$2,行为概览!$D$3:$U$33,4,0)),0,VLOOKUP(Y$2,行为概览!$D$3:$U$33,6,0)),4)</f>
        <v>0.58330000000000004</v>
      </c>
      <c r="Z54" s="20">
        <f>ROUND(IF(OR($A54&lt;VLOOKUP(Z$2,行为概览!$D$3:$U$33,3,0),$A54&gt;VLOOKUP(Z$2,行为概览!$D$3:$U$33,4,0)),0,VLOOKUP(Z$2,行为概览!$D$3:$U$33,6,0)),4)</f>
        <v>0.16669999999999999</v>
      </c>
      <c r="AA54" s="20">
        <f>ROUND(IF(OR($A54&lt;VLOOKUP(AA$2,行为概览!$D$3:$U$33,3,0),$A54&gt;VLOOKUP(AA$2,行为概览!$D$3:$U$33,4,0)),0,VLOOKUP(AA$2,行为概览!$D$3:$U$33,6,0)),4)</f>
        <v>0</v>
      </c>
      <c r="AB54" s="20">
        <f>ROUND(IF(OR($A54&lt;VLOOKUP(AB$2,行为概览!$D$3:$U$33,3,0),$A54&gt;VLOOKUP(AB$2,行为概览!$D$3:$U$33,4,0)),0,VLOOKUP(AB$2,行为概览!$D$3:$U$33,6,0)),4)</f>
        <v>0</v>
      </c>
      <c r="AC54" s="20">
        <f>ROUND(IF(OR($A54&lt;VLOOKUP(AC$2,行为概览!$D$3:$U$33,3,0),$A54&gt;VLOOKUP(AC$2,行为概览!$D$3:$U$33,4,0)),0,VLOOKUP(AC$2,行为概览!$D$3:$U$33,6,0)),4)</f>
        <v>0</v>
      </c>
      <c r="AD54" s="20">
        <f>ROUND(IF(OR($A54&lt;VLOOKUP(AD$2,行为概览!$D$3:$U$33,3,0),$A54&gt;VLOOKUP(AD$2,行为概览!$D$3:$U$33,4,0)),0,VLOOKUP(AD$2,行为概览!$D$3:$U$33,6,0)),4)</f>
        <v>0</v>
      </c>
      <c r="AE54" s="20">
        <f>ROUND(IF(OR($A54&lt;VLOOKUP(AE$2,行为概览!$D$3:$U$33,3,0),$A54&gt;VLOOKUP(AE$2,行为概览!$D$3:$U$33,4,0)),0,VLOOKUP(AE$2,行为概览!$D$3:$U$33,6,0)),4)</f>
        <v>8.3299999999999999E-2</v>
      </c>
      <c r="AF54" s="20">
        <f>ROUND(IF(OR($A54&lt;VLOOKUP(AF$2,行为概览!$D$3:$U$33,3,0),$A54&gt;VLOOKUP(AF$2,行为概览!$D$3:$U$33,4,0)),0,VLOOKUP(AF$2,行为概览!$D$3:$U$33,6,0)),4)</f>
        <v>0</v>
      </c>
    </row>
    <row r="55" spans="1:32">
      <c r="A55" s="19">
        <v>53</v>
      </c>
      <c r="B55" s="20">
        <f>ROUND(IF(OR($A55&lt;VLOOKUP(B$2,行为概览!$D$3:$U$33,3,0),$A55&gt;VLOOKUP(B$2,行为概览!$D$3:$U$33,4,0)),0,VLOOKUP(B$2,行为概览!$D$3:$U$33,6,0)),4)</f>
        <v>0.33329999999999999</v>
      </c>
      <c r="C55" s="20">
        <f>ROUND(IF(OR($A55&lt;VLOOKUP(C$2,行为概览!$D$3:$U$33,3,0),$A55&gt;VLOOKUP(C$2,行为概览!$D$3:$U$33,4,0)),0,VLOOKUP(C$2,行为概览!$D$3:$U$33,6,0)),4)</f>
        <v>2</v>
      </c>
      <c r="D55" s="20">
        <f>ROUND(IF(OR($A55&lt;VLOOKUP(D$2,行为概览!$D$3:$U$33,3,0),$A55&gt;VLOOKUP(D$2,行为概览!$D$3:$U$33,4,0)),0,VLOOKUP(D$2,行为概览!$D$3:$U$33,6,0)),4)</f>
        <v>8.3299999999999999E-2</v>
      </c>
      <c r="E55" s="20">
        <f>ROUND(IF(OR($A55&lt;VLOOKUP(E$2,行为概览!$D$3:$U$33,3,0),$A55&gt;VLOOKUP(E$2,行为概览!$D$3:$U$33,4,0)),0,VLOOKUP(E$2,行为概览!$D$3:$U$33,6,0)),4)</f>
        <v>1</v>
      </c>
      <c r="F55" s="20">
        <f>ROUND(IF(OR($A55&lt;VLOOKUP(F$2,行为概览!$D$3:$U$33,3,0),$A55&gt;VLOOKUP(F$2,行为概览!$D$3:$U$33,4,0)),0,VLOOKUP(F$2,行为概览!$D$3:$U$33,6,0)),4)</f>
        <v>0.33329999999999999</v>
      </c>
      <c r="G55" s="20">
        <f>ROUND(IF(OR($A55&lt;VLOOKUP(G$2,行为概览!$D$3:$U$33,3,0),$A55&gt;VLOOKUP(G$2,行为概览!$D$3:$U$33,4,0)),0,VLOOKUP(G$2,行为概览!$D$3:$U$33,6,0)),4)</f>
        <v>0</v>
      </c>
      <c r="H55" s="20">
        <f>ROUND(IF(OR($A55&lt;VLOOKUP(H$2,行为概览!$D$3:$U$33,3,0),$A55&gt;VLOOKUP(H$2,行为概览!$D$3:$U$33,4,0)),0,VLOOKUP(H$2,行为概览!$D$3:$U$33,6,0)),4)</f>
        <v>0</v>
      </c>
      <c r="I55" s="20">
        <f>ROUND(IF(OR($A55&lt;VLOOKUP(I$2,行为概览!$D$3:$U$33,3,0),$A55&gt;VLOOKUP(I$2,行为概览!$D$3:$U$33,4,0)),0,VLOOKUP(I$2,行为概览!$D$3:$U$33,6,0)),4)</f>
        <v>0</v>
      </c>
      <c r="J55" s="20">
        <f>ROUND(IF(OR($A55&lt;VLOOKUP(J$2,行为概览!$D$3:$U$33,3,0),$A55&gt;VLOOKUP(J$2,行为概览!$D$3:$U$33,4,0)),0,VLOOKUP(J$2,行为概览!$D$3:$U$33,6,0)),4)</f>
        <v>0.5</v>
      </c>
      <c r="K55" s="20">
        <f>ROUND(IF(OR($A55&lt;VLOOKUP(K$2,行为概览!$D$3:$U$33,3,0),$A55&gt;VLOOKUP(K$2,行为概览!$D$3:$U$33,4,0)),0,VLOOKUP(K$2,行为概览!$D$3:$U$33,6,0)),4)</f>
        <v>0.16669999999999999</v>
      </c>
      <c r="L55" s="20">
        <f>ROUND(IF(OR($A55&lt;VLOOKUP(L$2,行为概览!$D$3:$U$33,3,0),$A55&gt;VLOOKUP(L$2,行为概览!$D$3:$U$33,4,0)),0,VLOOKUP(L$2,行为概览!$D$3:$U$33,6,0)),4)</f>
        <v>0.5</v>
      </c>
      <c r="M55" s="20">
        <f>ROUND(IF(OR($A55&lt;VLOOKUP(M$2,行为概览!$D$3:$U$33,3,0),$A55&gt;VLOOKUP(M$2,行为概览!$D$3:$U$33,4,0)),0,VLOOKUP(M$2,行为概览!$D$3:$U$33,6,0)),4)</f>
        <v>12</v>
      </c>
      <c r="N55" s="20">
        <f>ROUND(IF(OR($A55&lt;VLOOKUP(N$2,行为概览!$D$3:$U$33,3,0),$A55&gt;VLOOKUP(N$2,行为概览!$D$3:$U$33,4,0)),0,VLOOKUP(N$2,行为概览!$D$3:$U$33,6,0)),4)</f>
        <v>8.3299999999999999E-2</v>
      </c>
      <c r="O55" s="20">
        <f>ROUND(IF(OR($A55&lt;VLOOKUP(O$2,行为概览!$D$3:$U$33,3,0),$A55&gt;VLOOKUP(O$2,行为概览!$D$3:$U$33,4,0)),0,VLOOKUP(O$2,行为概览!$D$3:$U$33,6,0)),4)</f>
        <v>8.3299999999999999E-2</v>
      </c>
      <c r="P55" s="20">
        <f>ROUND(IF(OR($A55&lt;VLOOKUP(P$2,行为概览!$D$3:$U$33,3,0),$A55&gt;VLOOKUP(P$2,行为概览!$D$3:$U$33,4,0)),0,VLOOKUP(P$2,行为概览!$D$3:$U$33,6,0)),4)</f>
        <v>2.6</v>
      </c>
      <c r="Q55" s="20">
        <f>ROUND(IF(OR($A55&lt;VLOOKUP(Q$2,行为概览!$D$3:$U$33,3,0),$A55&gt;VLOOKUP(Q$2,行为概览!$D$3:$U$33,4,0)),0,VLOOKUP(Q$2,行为概览!$D$3:$U$33,6,0)),4)</f>
        <v>1</v>
      </c>
      <c r="R55" s="20">
        <f>ROUND(IF(OR($A55&lt;VLOOKUP(R$2,行为概览!$D$3:$U$33,3,0),$A55&gt;VLOOKUP(R$2,行为概览!$D$3:$U$33,4,0)),0,VLOOKUP(R$2,行为概览!$D$3:$U$33,6,0)),4)</f>
        <v>0.33329999999999999</v>
      </c>
      <c r="S55" s="20">
        <f>ROUND(IF(OR($A55&lt;VLOOKUP(S$2,行为概览!$D$3:$U$33,3,0),$A55&gt;VLOOKUP(S$2,行为概览!$D$3:$U$33,4,0)),0,VLOOKUP(S$2,行为概览!$D$3:$U$33,6,0)),4)</f>
        <v>0</v>
      </c>
      <c r="T55" s="20">
        <f>ROUND(IF(OR($A55&lt;VLOOKUP(T$2,行为概览!$D$3:$U$33,3,0),$A55&gt;VLOOKUP(T$2,行为概览!$D$3:$U$33,4,0)),0,VLOOKUP(T$2,行为概览!$D$3:$U$33,6,0)),4)</f>
        <v>0.33329999999999999</v>
      </c>
      <c r="U55" s="20">
        <f>ROUND(IF(OR($A55&lt;VLOOKUP(U$2,行为概览!$D$3:$U$33,3,0),$A55&gt;VLOOKUP(U$2,行为概览!$D$3:$U$33,4,0)),0,VLOOKUP(U$2,行为概览!$D$3:$U$33,6,0)),4)</f>
        <v>0.16669999999999999</v>
      </c>
      <c r="V55" s="20">
        <f>ROUND(IF(OR($A55&lt;VLOOKUP(V$2,行为概览!$D$3:$U$33,3,0),$A55&gt;VLOOKUP(V$2,行为概览!$D$3:$U$33,4,0)),0,VLOOKUP(V$2,行为概览!$D$3:$U$33,6,0)),4)</f>
        <v>0.16669999999999999</v>
      </c>
      <c r="W55" s="20">
        <f>ROUND(IF(OR($A55&lt;VLOOKUP(W$2,行为概览!$D$3:$U$33,3,0),$A55&gt;VLOOKUP(W$2,行为概览!$D$3:$U$33,4,0)),0,VLOOKUP(W$2,行为概览!$D$3:$U$33,6,0)),4)</f>
        <v>0.16669999999999999</v>
      </c>
      <c r="X55" s="20">
        <f>ROUND(IF(OR($A55&lt;VLOOKUP(X$2,行为概览!$D$3:$U$33,3,0),$A55&gt;VLOOKUP(X$2,行为概览!$D$3:$U$33,4,0)),0,VLOOKUP(X$2,行为概览!$D$3:$U$33,6,0)),4)</f>
        <v>0.25</v>
      </c>
      <c r="Y55" s="20">
        <f>ROUND(IF(OR($A55&lt;VLOOKUP(Y$2,行为概览!$D$3:$U$33,3,0),$A55&gt;VLOOKUP(Y$2,行为概览!$D$3:$U$33,4,0)),0,VLOOKUP(Y$2,行为概览!$D$3:$U$33,6,0)),4)</f>
        <v>0.58330000000000004</v>
      </c>
      <c r="Z55" s="20">
        <f>ROUND(IF(OR($A55&lt;VLOOKUP(Z$2,行为概览!$D$3:$U$33,3,0),$A55&gt;VLOOKUP(Z$2,行为概览!$D$3:$U$33,4,0)),0,VLOOKUP(Z$2,行为概览!$D$3:$U$33,6,0)),4)</f>
        <v>0.16669999999999999</v>
      </c>
      <c r="AA55" s="20">
        <f>ROUND(IF(OR($A55&lt;VLOOKUP(AA$2,行为概览!$D$3:$U$33,3,0),$A55&gt;VLOOKUP(AA$2,行为概览!$D$3:$U$33,4,0)),0,VLOOKUP(AA$2,行为概览!$D$3:$U$33,6,0)),4)</f>
        <v>0</v>
      </c>
      <c r="AB55" s="20">
        <f>ROUND(IF(OR($A55&lt;VLOOKUP(AB$2,行为概览!$D$3:$U$33,3,0),$A55&gt;VLOOKUP(AB$2,行为概览!$D$3:$U$33,4,0)),0,VLOOKUP(AB$2,行为概览!$D$3:$U$33,6,0)),4)</f>
        <v>0</v>
      </c>
      <c r="AC55" s="20">
        <f>ROUND(IF(OR($A55&lt;VLOOKUP(AC$2,行为概览!$D$3:$U$33,3,0),$A55&gt;VLOOKUP(AC$2,行为概览!$D$3:$U$33,4,0)),0,VLOOKUP(AC$2,行为概览!$D$3:$U$33,6,0)),4)</f>
        <v>0</v>
      </c>
      <c r="AD55" s="20">
        <f>ROUND(IF(OR($A55&lt;VLOOKUP(AD$2,行为概览!$D$3:$U$33,3,0),$A55&gt;VLOOKUP(AD$2,行为概览!$D$3:$U$33,4,0)),0,VLOOKUP(AD$2,行为概览!$D$3:$U$33,6,0)),4)</f>
        <v>0</v>
      </c>
      <c r="AE55" s="20">
        <f>ROUND(IF(OR($A55&lt;VLOOKUP(AE$2,行为概览!$D$3:$U$33,3,0),$A55&gt;VLOOKUP(AE$2,行为概览!$D$3:$U$33,4,0)),0,VLOOKUP(AE$2,行为概览!$D$3:$U$33,6,0)),4)</f>
        <v>8.3299999999999999E-2</v>
      </c>
      <c r="AF55" s="20">
        <f>ROUND(IF(OR($A55&lt;VLOOKUP(AF$2,行为概览!$D$3:$U$33,3,0),$A55&gt;VLOOKUP(AF$2,行为概览!$D$3:$U$33,4,0)),0,VLOOKUP(AF$2,行为概览!$D$3:$U$33,6,0)),4)</f>
        <v>0</v>
      </c>
    </row>
    <row r="56" spans="1:32">
      <c r="A56" s="19">
        <v>54</v>
      </c>
      <c r="B56" s="20">
        <f>ROUND(IF(OR($A56&lt;VLOOKUP(B$2,行为概览!$D$3:$U$33,3,0),$A56&gt;VLOOKUP(B$2,行为概览!$D$3:$U$33,4,0)),0,VLOOKUP(B$2,行为概览!$D$3:$U$33,6,0)),4)</f>
        <v>0.33329999999999999</v>
      </c>
      <c r="C56" s="20">
        <f>ROUND(IF(OR($A56&lt;VLOOKUP(C$2,行为概览!$D$3:$U$33,3,0),$A56&gt;VLOOKUP(C$2,行为概览!$D$3:$U$33,4,0)),0,VLOOKUP(C$2,行为概览!$D$3:$U$33,6,0)),4)</f>
        <v>2</v>
      </c>
      <c r="D56" s="20">
        <f>ROUND(IF(OR($A56&lt;VLOOKUP(D$2,行为概览!$D$3:$U$33,3,0),$A56&gt;VLOOKUP(D$2,行为概览!$D$3:$U$33,4,0)),0,VLOOKUP(D$2,行为概览!$D$3:$U$33,6,0)),4)</f>
        <v>8.3299999999999999E-2</v>
      </c>
      <c r="E56" s="20">
        <f>ROUND(IF(OR($A56&lt;VLOOKUP(E$2,行为概览!$D$3:$U$33,3,0),$A56&gt;VLOOKUP(E$2,行为概览!$D$3:$U$33,4,0)),0,VLOOKUP(E$2,行为概览!$D$3:$U$33,6,0)),4)</f>
        <v>1</v>
      </c>
      <c r="F56" s="20">
        <f>ROUND(IF(OR($A56&lt;VLOOKUP(F$2,行为概览!$D$3:$U$33,3,0),$A56&gt;VLOOKUP(F$2,行为概览!$D$3:$U$33,4,0)),0,VLOOKUP(F$2,行为概览!$D$3:$U$33,6,0)),4)</f>
        <v>0.33329999999999999</v>
      </c>
      <c r="G56" s="20">
        <f>ROUND(IF(OR($A56&lt;VLOOKUP(G$2,行为概览!$D$3:$U$33,3,0),$A56&gt;VLOOKUP(G$2,行为概览!$D$3:$U$33,4,0)),0,VLOOKUP(G$2,行为概览!$D$3:$U$33,6,0)),4)</f>
        <v>0</v>
      </c>
      <c r="H56" s="20">
        <f>ROUND(IF(OR($A56&lt;VLOOKUP(H$2,行为概览!$D$3:$U$33,3,0),$A56&gt;VLOOKUP(H$2,行为概览!$D$3:$U$33,4,0)),0,VLOOKUP(H$2,行为概览!$D$3:$U$33,6,0)),4)</f>
        <v>0</v>
      </c>
      <c r="I56" s="20">
        <f>ROUND(IF(OR($A56&lt;VLOOKUP(I$2,行为概览!$D$3:$U$33,3,0),$A56&gt;VLOOKUP(I$2,行为概览!$D$3:$U$33,4,0)),0,VLOOKUP(I$2,行为概览!$D$3:$U$33,6,0)),4)</f>
        <v>0</v>
      </c>
      <c r="J56" s="20">
        <f>ROUND(IF(OR($A56&lt;VLOOKUP(J$2,行为概览!$D$3:$U$33,3,0),$A56&gt;VLOOKUP(J$2,行为概览!$D$3:$U$33,4,0)),0,VLOOKUP(J$2,行为概览!$D$3:$U$33,6,0)),4)</f>
        <v>0.5</v>
      </c>
      <c r="K56" s="20">
        <f>ROUND(IF(OR($A56&lt;VLOOKUP(K$2,行为概览!$D$3:$U$33,3,0),$A56&gt;VLOOKUP(K$2,行为概览!$D$3:$U$33,4,0)),0,VLOOKUP(K$2,行为概览!$D$3:$U$33,6,0)),4)</f>
        <v>0.16669999999999999</v>
      </c>
      <c r="L56" s="20">
        <f>ROUND(IF(OR($A56&lt;VLOOKUP(L$2,行为概览!$D$3:$U$33,3,0),$A56&gt;VLOOKUP(L$2,行为概览!$D$3:$U$33,4,0)),0,VLOOKUP(L$2,行为概览!$D$3:$U$33,6,0)),4)</f>
        <v>0.5</v>
      </c>
      <c r="M56" s="20">
        <f>ROUND(IF(OR($A56&lt;VLOOKUP(M$2,行为概览!$D$3:$U$33,3,0),$A56&gt;VLOOKUP(M$2,行为概览!$D$3:$U$33,4,0)),0,VLOOKUP(M$2,行为概览!$D$3:$U$33,6,0)),4)</f>
        <v>12</v>
      </c>
      <c r="N56" s="20">
        <f>ROUND(IF(OR($A56&lt;VLOOKUP(N$2,行为概览!$D$3:$U$33,3,0),$A56&gt;VLOOKUP(N$2,行为概览!$D$3:$U$33,4,0)),0,VLOOKUP(N$2,行为概览!$D$3:$U$33,6,0)),4)</f>
        <v>8.3299999999999999E-2</v>
      </c>
      <c r="O56" s="20">
        <f>ROUND(IF(OR($A56&lt;VLOOKUP(O$2,行为概览!$D$3:$U$33,3,0),$A56&gt;VLOOKUP(O$2,行为概览!$D$3:$U$33,4,0)),0,VLOOKUP(O$2,行为概览!$D$3:$U$33,6,0)),4)</f>
        <v>8.3299999999999999E-2</v>
      </c>
      <c r="P56" s="20">
        <f>ROUND(IF(OR($A56&lt;VLOOKUP(P$2,行为概览!$D$3:$U$33,3,0),$A56&gt;VLOOKUP(P$2,行为概览!$D$3:$U$33,4,0)),0,VLOOKUP(P$2,行为概览!$D$3:$U$33,6,0)),4)</f>
        <v>2.6</v>
      </c>
      <c r="Q56" s="20">
        <f>ROUND(IF(OR($A56&lt;VLOOKUP(Q$2,行为概览!$D$3:$U$33,3,0),$A56&gt;VLOOKUP(Q$2,行为概览!$D$3:$U$33,4,0)),0,VLOOKUP(Q$2,行为概览!$D$3:$U$33,6,0)),4)</f>
        <v>1</v>
      </c>
      <c r="R56" s="20">
        <f>ROUND(IF(OR($A56&lt;VLOOKUP(R$2,行为概览!$D$3:$U$33,3,0),$A56&gt;VLOOKUP(R$2,行为概览!$D$3:$U$33,4,0)),0,VLOOKUP(R$2,行为概览!$D$3:$U$33,6,0)),4)</f>
        <v>0.33329999999999999</v>
      </c>
      <c r="S56" s="20">
        <f>ROUND(IF(OR($A56&lt;VLOOKUP(S$2,行为概览!$D$3:$U$33,3,0),$A56&gt;VLOOKUP(S$2,行为概览!$D$3:$U$33,4,0)),0,VLOOKUP(S$2,行为概览!$D$3:$U$33,6,0)),4)</f>
        <v>0</v>
      </c>
      <c r="T56" s="20">
        <f>ROUND(IF(OR($A56&lt;VLOOKUP(T$2,行为概览!$D$3:$U$33,3,0),$A56&gt;VLOOKUP(T$2,行为概览!$D$3:$U$33,4,0)),0,VLOOKUP(T$2,行为概览!$D$3:$U$33,6,0)),4)</f>
        <v>0.33329999999999999</v>
      </c>
      <c r="U56" s="20">
        <f>ROUND(IF(OR($A56&lt;VLOOKUP(U$2,行为概览!$D$3:$U$33,3,0),$A56&gt;VLOOKUP(U$2,行为概览!$D$3:$U$33,4,0)),0,VLOOKUP(U$2,行为概览!$D$3:$U$33,6,0)),4)</f>
        <v>0.16669999999999999</v>
      </c>
      <c r="V56" s="20">
        <f>ROUND(IF(OR($A56&lt;VLOOKUP(V$2,行为概览!$D$3:$U$33,3,0),$A56&gt;VLOOKUP(V$2,行为概览!$D$3:$U$33,4,0)),0,VLOOKUP(V$2,行为概览!$D$3:$U$33,6,0)),4)</f>
        <v>0.16669999999999999</v>
      </c>
      <c r="W56" s="20">
        <f>ROUND(IF(OR($A56&lt;VLOOKUP(W$2,行为概览!$D$3:$U$33,3,0),$A56&gt;VLOOKUP(W$2,行为概览!$D$3:$U$33,4,0)),0,VLOOKUP(W$2,行为概览!$D$3:$U$33,6,0)),4)</f>
        <v>0.16669999999999999</v>
      </c>
      <c r="X56" s="20">
        <f>ROUND(IF(OR($A56&lt;VLOOKUP(X$2,行为概览!$D$3:$U$33,3,0),$A56&gt;VLOOKUP(X$2,行为概览!$D$3:$U$33,4,0)),0,VLOOKUP(X$2,行为概览!$D$3:$U$33,6,0)),4)</f>
        <v>0.25</v>
      </c>
      <c r="Y56" s="20">
        <f>ROUND(IF(OR($A56&lt;VLOOKUP(Y$2,行为概览!$D$3:$U$33,3,0),$A56&gt;VLOOKUP(Y$2,行为概览!$D$3:$U$33,4,0)),0,VLOOKUP(Y$2,行为概览!$D$3:$U$33,6,0)),4)</f>
        <v>0.58330000000000004</v>
      </c>
      <c r="Z56" s="20">
        <f>ROUND(IF(OR($A56&lt;VLOOKUP(Z$2,行为概览!$D$3:$U$33,3,0),$A56&gt;VLOOKUP(Z$2,行为概览!$D$3:$U$33,4,0)),0,VLOOKUP(Z$2,行为概览!$D$3:$U$33,6,0)),4)</f>
        <v>0.16669999999999999</v>
      </c>
      <c r="AA56" s="20">
        <f>ROUND(IF(OR($A56&lt;VLOOKUP(AA$2,行为概览!$D$3:$U$33,3,0),$A56&gt;VLOOKUP(AA$2,行为概览!$D$3:$U$33,4,0)),0,VLOOKUP(AA$2,行为概览!$D$3:$U$33,6,0)),4)</f>
        <v>0</v>
      </c>
      <c r="AB56" s="20">
        <f>ROUND(IF(OR($A56&lt;VLOOKUP(AB$2,行为概览!$D$3:$U$33,3,0),$A56&gt;VLOOKUP(AB$2,行为概览!$D$3:$U$33,4,0)),0,VLOOKUP(AB$2,行为概览!$D$3:$U$33,6,0)),4)</f>
        <v>0</v>
      </c>
      <c r="AC56" s="20">
        <f>ROUND(IF(OR($A56&lt;VLOOKUP(AC$2,行为概览!$D$3:$U$33,3,0),$A56&gt;VLOOKUP(AC$2,行为概览!$D$3:$U$33,4,0)),0,VLOOKUP(AC$2,行为概览!$D$3:$U$33,6,0)),4)</f>
        <v>0</v>
      </c>
      <c r="AD56" s="20">
        <f>ROUND(IF(OR($A56&lt;VLOOKUP(AD$2,行为概览!$D$3:$U$33,3,0),$A56&gt;VLOOKUP(AD$2,行为概览!$D$3:$U$33,4,0)),0,VLOOKUP(AD$2,行为概览!$D$3:$U$33,6,0)),4)</f>
        <v>0</v>
      </c>
      <c r="AE56" s="20">
        <f>ROUND(IF(OR($A56&lt;VLOOKUP(AE$2,行为概览!$D$3:$U$33,3,0),$A56&gt;VLOOKUP(AE$2,行为概览!$D$3:$U$33,4,0)),0,VLOOKUP(AE$2,行为概览!$D$3:$U$33,6,0)),4)</f>
        <v>8.3299999999999999E-2</v>
      </c>
      <c r="AF56" s="20">
        <f>ROUND(IF(OR($A56&lt;VLOOKUP(AF$2,行为概览!$D$3:$U$33,3,0),$A56&gt;VLOOKUP(AF$2,行为概览!$D$3:$U$33,4,0)),0,VLOOKUP(AF$2,行为概览!$D$3:$U$33,6,0)),4)</f>
        <v>0</v>
      </c>
    </row>
    <row r="57" spans="1:32">
      <c r="A57" s="19">
        <v>55</v>
      </c>
      <c r="B57" s="20">
        <f>ROUND(IF(OR($A57&lt;VLOOKUP(B$2,行为概览!$D$3:$U$33,3,0),$A57&gt;VLOOKUP(B$2,行为概览!$D$3:$U$33,4,0)),0,VLOOKUP(B$2,行为概览!$D$3:$U$33,6,0)),4)</f>
        <v>0.33329999999999999</v>
      </c>
      <c r="C57" s="20">
        <f>ROUND(IF(OR($A57&lt;VLOOKUP(C$2,行为概览!$D$3:$U$33,3,0),$A57&gt;VLOOKUP(C$2,行为概览!$D$3:$U$33,4,0)),0,VLOOKUP(C$2,行为概览!$D$3:$U$33,6,0)),4)</f>
        <v>2</v>
      </c>
      <c r="D57" s="20">
        <f>ROUND(IF(OR($A57&lt;VLOOKUP(D$2,行为概览!$D$3:$U$33,3,0),$A57&gt;VLOOKUP(D$2,行为概览!$D$3:$U$33,4,0)),0,VLOOKUP(D$2,行为概览!$D$3:$U$33,6,0)),4)</f>
        <v>8.3299999999999999E-2</v>
      </c>
      <c r="E57" s="20">
        <f>ROUND(IF(OR($A57&lt;VLOOKUP(E$2,行为概览!$D$3:$U$33,3,0),$A57&gt;VLOOKUP(E$2,行为概览!$D$3:$U$33,4,0)),0,VLOOKUP(E$2,行为概览!$D$3:$U$33,6,0)),4)</f>
        <v>1</v>
      </c>
      <c r="F57" s="20">
        <f>ROUND(IF(OR($A57&lt;VLOOKUP(F$2,行为概览!$D$3:$U$33,3,0),$A57&gt;VLOOKUP(F$2,行为概览!$D$3:$U$33,4,0)),0,VLOOKUP(F$2,行为概览!$D$3:$U$33,6,0)),4)</f>
        <v>0.33329999999999999</v>
      </c>
      <c r="G57" s="20">
        <f>ROUND(IF(OR($A57&lt;VLOOKUP(G$2,行为概览!$D$3:$U$33,3,0),$A57&gt;VLOOKUP(G$2,行为概览!$D$3:$U$33,4,0)),0,VLOOKUP(G$2,行为概览!$D$3:$U$33,6,0)),4)</f>
        <v>0</v>
      </c>
      <c r="H57" s="20">
        <f>ROUND(IF(OR($A57&lt;VLOOKUP(H$2,行为概览!$D$3:$U$33,3,0),$A57&gt;VLOOKUP(H$2,行为概览!$D$3:$U$33,4,0)),0,VLOOKUP(H$2,行为概览!$D$3:$U$33,6,0)),4)</f>
        <v>0</v>
      </c>
      <c r="I57" s="20">
        <f>ROUND(IF(OR($A57&lt;VLOOKUP(I$2,行为概览!$D$3:$U$33,3,0),$A57&gt;VLOOKUP(I$2,行为概览!$D$3:$U$33,4,0)),0,VLOOKUP(I$2,行为概览!$D$3:$U$33,6,0)),4)</f>
        <v>0</v>
      </c>
      <c r="J57" s="20">
        <f>ROUND(IF(OR($A57&lt;VLOOKUP(J$2,行为概览!$D$3:$U$33,3,0),$A57&gt;VLOOKUP(J$2,行为概览!$D$3:$U$33,4,0)),0,VLOOKUP(J$2,行为概览!$D$3:$U$33,6,0)),4)</f>
        <v>0.5</v>
      </c>
      <c r="K57" s="20">
        <f>ROUND(IF(OR($A57&lt;VLOOKUP(K$2,行为概览!$D$3:$U$33,3,0),$A57&gt;VLOOKUP(K$2,行为概览!$D$3:$U$33,4,0)),0,VLOOKUP(K$2,行为概览!$D$3:$U$33,6,0)),4)</f>
        <v>0.16669999999999999</v>
      </c>
      <c r="L57" s="20">
        <f>ROUND(IF(OR($A57&lt;VLOOKUP(L$2,行为概览!$D$3:$U$33,3,0),$A57&gt;VLOOKUP(L$2,行为概览!$D$3:$U$33,4,0)),0,VLOOKUP(L$2,行为概览!$D$3:$U$33,6,0)),4)</f>
        <v>0.5</v>
      </c>
      <c r="M57" s="20">
        <f>ROUND(IF(OR($A57&lt;VLOOKUP(M$2,行为概览!$D$3:$U$33,3,0),$A57&gt;VLOOKUP(M$2,行为概览!$D$3:$U$33,4,0)),0,VLOOKUP(M$2,行为概览!$D$3:$U$33,6,0)),4)</f>
        <v>12</v>
      </c>
      <c r="N57" s="20">
        <f>ROUND(IF(OR($A57&lt;VLOOKUP(N$2,行为概览!$D$3:$U$33,3,0),$A57&gt;VLOOKUP(N$2,行为概览!$D$3:$U$33,4,0)),0,VLOOKUP(N$2,行为概览!$D$3:$U$33,6,0)),4)</f>
        <v>8.3299999999999999E-2</v>
      </c>
      <c r="O57" s="20">
        <f>ROUND(IF(OR($A57&lt;VLOOKUP(O$2,行为概览!$D$3:$U$33,3,0),$A57&gt;VLOOKUP(O$2,行为概览!$D$3:$U$33,4,0)),0,VLOOKUP(O$2,行为概览!$D$3:$U$33,6,0)),4)</f>
        <v>8.3299999999999999E-2</v>
      </c>
      <c r="P57" s="20">
        <f>ROUND(IF(OR($A57&lt;VLOOKUP(P$2,行为概览!$D$3:$U$33,3,0),$A57&gt;VLOOKUP(P$2,行为概览!$D$3:$U$33,4,0)),0,VLOOKUP(P$2,行为概览!$D$3:$U$33,6,0)),4)</f>
        <v>2.6</v>
      </c>
      <c r="Q57" s="20">
        <f>ROUND(IF(OR($A57&lt;VLOOKUP(Q$2,行为概览!$D$3:$U$33,3,0),$A57&gt;VLOOKUP(Q$2,行为概览!$D$3:$U$33,4,0)),0,VLOOKUP(Q$2,行为概览!$D$3:$U$33,6,0)),4)</f>
        <v>1</v>
      </c>
      <c r="R57" s="20">
        <f>ROUND(IF(OR($A57&lt;VLOOKUP(R$2,行为概览!$D$3:$U$33,3,0),$A57&gt;VLOOKUP(R$2,行为概览!$D$3:$U$33,4,0)),0,VLOOKUP(R$2,行为概览!$D$3:$U$33,6,0)),4)</f>
        <v>0.33329999999999999</v>
      </c>
      <c r="S57" s="20">
        <f>ROUND(IF(OR($A57&lt;VLOOKUP(S$2,行为概览!$D$3:$U$33,3,0),$A57&gt;VLOOKUP(S$2,行为概览!$D$3:$U$33,4,0)),0,VLOOKUP(S$2,行为概览!$D$3:$U$33,6,0)),4)</f>
        <v>0</v>
      </c>
      <c r="T57" s="20">
        <f>ROUND(IF(OR($A57&lt;VLOOKUP(T$2,行为概览!$D$3:$U$33,3,0),$A57&gt;VLOOKUP(T$2,行为概览!$D$3:$U$33,4,0)),0,VLOOKUP(T$2,行为概览!$D$3:$U$33,6,0)),4)</f>
        <v>0.33329999999999999</v>
      </c>
      <c r="U57" s="20">
        <f>ROUND(IF(OR($A57&lt;VLOOKUP(U$2,行为概览!$D$3:$U$33,3,0),$A57&gt;VLOOKUP(U$2,行为概览!$D$3:$U$33,4,0)),0,VLOOKUP(U$2,行为概览!$D$3:$U$33,6,0)),4)</f>
        <v>0.16669999999999999</v>
      </c>
      <c r="V57" s="20">
        <f>ROUND(IF(OR($A57&lt;VLOOKUP(V$2,行为概览!$D$3:$U$33,3,0),$A57&gt;VLOOKUP(V$2,行为概览!$D$3:$U$33,4,0)),0,VLOOKUP(V$2,行为概览!$D$3:$U$33,6,0)),4)</f>
        <v>0.16669999999999999</v>
      </c>
      <c r="W57" s="20">
        <f>ROUND(IF(OR($A57&lt;VLOOKUP(W$2,行为概览!$D$3:$U$33,3,0),$A57&gt;VLOOKUP(W$2,行为概览!$D$3:$U$33,4,0)),0,VLOOKUP(W$2,行为概览!$D$3:$U$33,6,0)),4)</f>
        <v>0.16669999999999999</v>
      </c>
      <c r="X57" s="20">
        <f>ROUND(IF(OR($A57&lt;VLOOKUP(X$2,行为概览!$D$3:$U$33,3,0),$A57&gt;VLOOKUP(X$2,行为概览!$D$3:$U$33,4,0)),0,VLOOKUP(X$2,行为概览!$D$3:$U$33,6,0)),4)</f>
        <v>0.25</v>
      </c>
      <c r="Y57" s="20">
        <f>ROUND(IF(OR($A57&lt;VLOOKUP(Y$2,行为概览!$D$3:$U$33,3,0),$A57&gt;VLOOKUP(Y$2,行为概览!$D$3:$U$33,4,0)),0,VLOOKUP(Y$2,行为概览!$D$3:$U$33,6,0)),4)</f>
        <v>0.58330000000000004</v>
      </c>
      <c r="Z57" s="20">
        <f>ROUND(IF(OR($A57&lt;VLOOKUP(Z$2,行为概览!$D$3:$U$33,3,0),$A57&gt;VLOOKUP(Z$2,行为概览!$D$3:$U$33,4,0)),0,VLOOKUP(Z$2,行为概览!$D$3:$U$33,6,0)),4)</f>
        <v>0.16669999999999999</v>
      </c>
      <c r="AA57" s="20">
        <f>ROUND(IF(OR($A57&lt;VLOOKUP(AA$2,行为概览!$D$3:$U$33,3,0),$A57&gt;VLOOKUP(AA$2,行为概览!$D$3:$U$33,4,0)),0,VLOOKUP(AA$2,行为概览!$D$3:$U$33,6,0)),4)</f>
        <v>0</v>
      </c>
      <c r="AB57" s="20">
        <f>ROUND(IF(OR($A57&lt;VLOOKUP(AB$2,行为概览!$D$3:$U$33,3,0),$A57&gt;VLOOKUP(AB$2,行为概览!$D$3:$U$33,4,0)),0,VLOOKUP(AB$2,行为概览!$D$3:$U$33,6,0)),4)</f>
        <v>0</v>
      </c>
      <c r="AC57" s="20">
        <f>ROUND(IF(OR($A57&lt;VLOOKUP(AC$2,行为概览!$D$3:$U$33,3,0),$A57&gt;VLOOKUP(AC$2,行为概览!$D$3:$U$33,4,0)),0,VLOOKUP(AC$2,行为概览!$D$3:$U$33,6,0)),4)</f>
        <v>0</v>
      </c>
      <c r="AD57" s="20">
        <f>ROUND(IF(OR($A57&lt;VLOOKUP(AD$2,行为概览!$D$3:$U$33,3,0),$A57&gt;VLOOKUP(AD$2,行为概览!$D$3:$U$33,4,0)),0,VLOOKUP(AD$2,行为概览!$D$3:$U$33,6,0)),4)</f>
        <v>0</v>
      </c>
      <c r="AE57" s="20">
        <f>ROUND(IF(OR($A57&lt;VLOOKUP(AE$2,行为概览!$D$3:$U$33,3,0),$A57&gt;VLOOKUP(AE$2,行为概览!$D$3:$U$33,4,0)),0,VLOOKUP(AE$2,行为概览!$D$3:$U$33,6,0)),4)</f>
        <v>8.3299999999999999E-2</v>
      </c>
      <c r="AF57" s="20">
        <f>ROUND(IF(OR($A57&lt;VLOOKUP(AF$2,行为概览!$D$3:$U$33,3,0),$A57&gt;VLOOKUP(AF$2,行为概览!$D$3:$U$33,4,0)),0,VLOOKUP(AF$2,行为概览!$D$3:$U$33,6,0)),4)</f>
        <v>0</v>
      </c>
    </row>
    <row r="58" spans="1:32">
      <c r="A58" s="19">
        <v>56</v>
      </c>
      <c r="B58" s="20">
        <f>ROUND(IF(OR($A58&lt;VLOOKUP(B$2,行为概览!$D$3:$U$33,3,0),$A58&gt;VLOOKUP(B$2,行为概览!$D$3:$U$33,4,0)),0,VLOOKUP(B$2,行为概览!$D$3:$U$33,6,0)),4)</f>
        <v>0.33329999999999999</v>
      </c>
      <c r="C58" s="20">
        <f>ROUND(IF(OR($A58&lt;VLOOKUP(C$2,行为概览!$D$3:$U$33,3,0),$A58&gt;VLOOKUP(C$2,行为概览!$D$3:$U$33,4,0)),0,VLOOKUP(C$2,行为概览!$D$3:$U$33,6,0)),4)</f>
        <v>2</v>
      </c>
      <c r="D58" s="20">
        <f>ROUND(IF(OR($A58&lt;VLOOKUP(D$2,行为概览!$D$3:$U$33,3,0),$A58&gt;VLOOKUP(D$2,行为概览!$D$3:$U$33,4,0)),0,VLOOKUP(D$2,行为概览!$D$3:$U$33,6,0)),4)</f>
        <v>8.3299999999999999E-2</v>
      </c>
      <c r="E58" s="20">
        <f>ROUND(IF(OR($A58&lt;VLOOKUP(E$2,行为概览!$D$3:$U$33,3,0),$A58&gt;VLOOKUP(E$2,行为概览!$D$3:$U$33,4,0)),0,VLOOKUP(E$2,行为概览!$D$3:$U$33,6,0)),4)</f>
        <v>1</v>
      </c>
      <c r="F58" s="20">
        <f>ROUND(IF(OR($A58&lt;VLOOKUP(F$2,行为概览!$D$3:$U$33,3,0),$A58&gt;VLOOKUP(F$2,行为概览!$D$3:$U$33,4,0)),0,VLOOKUP(F$2,行为概览!$D$3:$U$33,6,0)),4)</f>
        <v>0.33329999999999999</v>
      </c>
      <c r="G58" s="20">
        <f>ROUND(IF(OR($A58&lt;VLOOKUP(G$2,行为概览!$D$3:$U$33,3,0),$A58&gt;VLOOKUP(G$2,行为概览!$D$3:$U$33,4,0)),0,VLOOKUP(G$2,行为概览!$D$3:$U$33,6,0)),4)</f>
        <v>0</v>
      </c>
      <c r="H58" s="20">
        <f>ROUND(IF(OR($A58&lt;VLOOKUP(H$2,行为概览!$D$3:$U$33,3,0),$A58&gt;VLOOKUP(H$2,行为概览!$D$3:$U$33,4,0)),0,VLOOKUP(H$2,行为概览!$D$3:$U$33,6,0)),4)</f>
        <v>0</v>
      </c>
      <c r="I58" s="20">
        <f>ROUND(IF(OR($A58&lt;VLOOKUP(I$2,行为概览!$D$3:$U$33,3,0),$A58&gt;VLOOKUP(I$2,行为概览!$D$3:$U$33,4,0)),0,VLOOKUP(I$2,行为概览!$D$3:$U$33,6,0)),4)</f>
        <v>0</v>
      </c>
      <c r="J58" s="20">
        <f>ROUND(IF(OR($A58&lt;VLOOKUP(J$2,行为概览!$D$3:$U$33,3,0),$A58&gt;VLOOKUP(J$2,行为概览!$D$3:$U$33,4,0)),0,VLOOKUP(J$2,行为概览!$D$3:$U$33,6,0)),4)</f>
        <v>0.5</v>
      </c>
      <c r="K58" s="20">
        <f>ROUND(IF(OR($A58&lt;VLOOKUP(K$2,行为概览!$D$3:$U$33,3,0),$A58&gt;VLOOKUP(K$2,行为概览!$D$3:$U$33,4,0)),0,VLOOKUP(K$2,行为概览!$D$3:$U$33,6,0)),4)</f>
        <v>0.16669999999999999</v>
      </c>
      <c r="L58" s="20">
        <f>ROUND(IF(OR($A58&lt;VLOOKUP(L$2,行为概览!$D$3:$U$33,3,0),$A58&gt;VLOOKUP(L$2,行为概览!$D$3:$U$33,4,0)),0,VLOOKUP(L$2,行为概览!$D$3:$U$33,6,0)),4)</f>
        <v>0.5</v>
      </c>
      <c r="M58" s="20">
        <f>ROUND(IF(OR($A58&lt;VLOOKUP(M$2,行为概览!$D$3:$U$33,3,0),$A58&gt;VLOOKUP(M$2,行为概览!$D$3:$U$33,4,0)),0,VLOOKUP(M$2,行为概览!$D$3:$U$33,6,0)),4)</f>
        <v>12</v>
      </c>
      <c r="N58" s="20">
        <f>ROUND(IF(OR($A58&lt;VLOOKUP(N$2,行为概览!$D$3:$U$33,3,0),$A58&gt;VLOOKUP(N$2,行为概览!$D$3:$U$33,4,0)),0,VLOOKUP(N$2,行为概览!$D$3:$U$33,6,0)),4)</f>
        <v>8.3299999999999999E-2</v>
      </c>
      <c r="O58" s="20">
        <f>ROUND(IF(OR($A58&lt;VLOOKUP(O$2,行为概览!$D$3:$U$33,3,0),$A58&gt;VLOOKUP(O$2,行为概览!$D$3:$U$33,4,0)),0,VLOOKUP(O$2,行为概览!$D$3:$U$33,6,0)),4)</f>
        <v>8.3299999999999999E-2</v>
      </c>
      <c r="P58" s="20">
        <f>ROUND(IF(OR($A58&lt;VLOOKUP(P$2,行为概览!$D$3:$U$33,3,0),$A58&gt;VLOOKUP(P$2,行为概览!$D$3:$U$33,4,0)),0,VLOOKUP(P$2,行为概览!$D$3:$U$33,6,0)),4)</f>
        <v>2.6</v>
      </c>
      <c r="Q58" s="20">
        <f>ROUND(IF(OR($A58&lt;VLOOKUP(Q$2,行为概览!$D$3:$U$33,3,0),$A58&gt;VLOOKUP(Q$2,行为概览!$D$3:$U$33,4,0)),0,VLOOKUP(Q$2,行为概览!$D$3:$U$33,6,0)),4)</f>
        <v>1</v>
      </c>
      <c r="R58" s="20">
        <f>ROUND(IF(OR($A58&lt;VLOOKUP(R$2,行为概览!$D$3:$U$33,3,0),$A58&gt;VLOOKUP(R$2,行为概览!$D$3:$U$33,4,0)),0,VLOOKUP(R$2,行为概览!$D$3:$U$33,6,0)),4)</f>
        <v>0.33329999999999999</v>
      </c>
      <c r="S58" s="20">
        <f>ROUND(IF(OR($A58&lt;VLOOKUP(S$2,行为概览!$D$3:$U$33,3,0),$A58&gt;VLOOKUP(S$2,行为概览!$D$3:$U$33,4,0)),0,VLOOKUP(S$2,行为概览!$D$3:$U$33,6,0)),4)</f>
        <v>0</v>
      </c>
      <c r="T58" s="20">
        <f>ROUND(IF(OR($A58&lt;VLOOKUP(T$2,行为概览!$D$3:$U$33,3,0),$A58&gt;VLOOKUP(T$2,行为概览!$D$3:$U$33,4,0)),0,VLOOKUP(T$2,行为概览!$D$3:$U$33,6,0)),4)</f>
        <v>0.33329999999999999</v>
      </c>
      <c r="U58" s="20">
        <f>ROUND(IF(OR($A58&lt;VLOOKUP(U$2,行为概览!$D$3:$U$33,3,0),$A58&gt;VLOOKUP(U$2,行为概览!$D$3:$U$33,4,0)),0,VLOOKUP(U$2,行为概览!$D$3:$U$33,6,0)),4)</f>
        <v>0.16669999999999999</v>
      </c>
      <c r="V58" s="20">
        <f>ROUND(IF(OR($A58&lt;VLOOKUP(V$2,行为概览!$D$3:$U$33,3,0),$A58&gt;VLOOKUP(V$2,行为概览!$D$3:$U$33,4,0)),0,VLOOKUP(V$2,行为概览!$D$3:$U$33,6,0)),4)</f>
        <v>0.16669999999999999</v>
      </c>
      <c r="W58" s="20">
        <f>ROUND(IF(OR($A58&lt;VLOOKUP(W$2,行为概览!$D$3:$U$33,3,0),$A58&gt;VLOOKUP(W$2,行为概览!$D$3:$U$33,4,0)),0,VLOOKUP(W$2,行为概览!$D$3:$U$33,6,0)),4)</f>
        <v>0.16669999999999999</v>
      </c>
      <c r="X58" s="20">
        <f>ROUND(IF(OR($A58&lt;VLOOKUP(X$2,行为概览!$D$3:$U$33,3,0),$A58&gt;VLOOKUP(X$2,行为概览!$D$3:$U$33,4,0)),0,VLOOKUP(X$2,行为概览!$D$3:$U$33,6,0)),4)</f>
        <v>0.25</v>
      </c>
      <c r="Y58" s="20">
        <f>ROUND(IF(OR($A58&lt;VLOOKUP(Y$2,行为概览!$D$3:$U$33,3,0),$A58&gt;VLOOKUP(Y$2,行为概览!$D$3:$U$33,4,0)),0,VLOOKUP(Y$2,行为概览!$D$3:$U$33,6,0)),4)</f>
        <v>0.58330000000000004</v>
      </c>
      <c r="Z58" s="20">
        <f>ROUND(IF(OR($A58&lt;VLOOKUP(Z$2,行为概览!$D$3:$U$33,3,0),$A58&gt;VLOOKUP(Z$2,行为概览!$D$3:$U$33,4,0)),0,VLOOKUP(Z$2,行为概览!$D$3:$U$33,6,0)),4)</f>
        <v>0.16669999999999999</v>
      </c>
      <c r="AA58" s="20">
        <f>ROUND(IF(OR($A58&lt;VLOOKUP(AA$2,行为概览!$D$3:$U$33,3,0),$A58&gt;VLOOKUP(AA$2,行为概览!$D$3:$U$33,4,0)),0,VLOOKUP(AA$2,行为概览!$D$3:$U$33,6,0)),4)</f>
        <v>0</v>
      </c>
      <c r="AB58" s="20">
        <f>ROUND(IF(OR($A58&lt;VLOOKUP(AB$2,行为概览!$D$3:$U$33,3,0),$A58&gt;VLOOKUP(AB$2,行为概览!$D$3:$U$33,4,0)),0,VLOOKUP(AB$2,行为概览!$D$3:$U$33,6,0)),4)</f>
        <v>0</v>
      </c>
      <c r="AC58" s="20">
        <f>ROUND(IF(OR($A58&lt;VLOOKUP(AC$2,行为概览!$D$3:$U$33,3,0),$A58&gt;VLOOKUP(AC$2,行为概览!$D$3:$U$33,4,0)),0,VLOOKUP(AC$2,行为概览!$D$3:$U$33,6,0)),4)</f>
        <v>0</v>
      </c>
      <c r="AD58" s="20">
        <f>ROUND(IF(OR($A58&lt;VLOOKUP(AD$2,行为概览!$D$3:$U$33,3,0),$A58&gt;VLOOKUP(AD$2,行为概览!$D$3:$U$33,4,0)),0,VLOOKUP(AD$2,行为概览!$D$3:$U$33,6,0)),4)</f>
        <v>0</v>
      </c>
      <c r="AE58" s="20">
        <f>ROUND(IF(OR($A58&lt;VLOOKUP(AE$2,行为概览!$D$3:$U$33,3,0),$A58&gt;VLOOKUP(AE$2,行为概览!$D$3:$U$33,4,0)),0,VLOOKUP(AE$2,行为概览!$D$3:$U$33,6,0)),4)</f>
        <v>8.3299999999999999E-2</v>
      </c>
      <c r="AF58" s="20">
        <f>ROUND(IF(OR($A58&lt;VLOOKUP(AF$2,行为概览!$D$3:$U$33,3,0),$A58&gt;VLOOKUP(AF$2,行为概览!$D$3:$U$33,4,0)),0,VLOOKUP(AF$2,行为概览!$D$3:$U$33,6,0)),4)</f>
        <v>0</v>
      </c>
    </row>
    <row r="59" spans="1:32">
      <c r="A59" s="19">
        <v>57</v>
      </c>
      <c r="B59" s="20">
        <f>ROUND(IF(OR($A59&lt;VLOOKUP(B$2,行为概览!$D$3:$U$33,3,0),$A59&gt;VLOOKUP(B$2,行为概览!$D$3:$U$33,4,0)),0,VLOOKUP(B$2,行为概览!$D$3:$U$33,6,0)),4)</f>
        <v>0.33329999999999999</v>
      </c>
      <c r="C59" s="20">
        <f>ROUND(IF(OR($A59&lt;VLOOKUP(C$2,行为概览!$D$3:$U$33,3,0),$A59&gt;VLOOKUP(C$2,行为概览!$D$3:$U$33,4,0)),0,VLOOKUP(C$2,行为概览!$D$3:$U$33,6,0)),4)</f>
        <v>2</v>
      </c>
      <c r="D59" s="20">
        <f>ROUND(IF(OR($A59&lt;VLOOKUP(D$2,行为概览!$D$3:$U$33,3,0),$A59&gt;VLOOKUP(D$2,行为概览!$D$3:$U$33,4,0)),0,VLOOKUP(D$2,行为概览!$D$3:$U$33,6,0)),4)</f>
        <v>8.3299999999999999E-2</v>
      </c>
      <c r="E59" s="20">
        <f>ROUND(IF(OR($A59&lt;VLOOKUP(E$2,行为概览!$D$3:$U$33,3,0),$A59&gt;VLOOKUP(E$2,行为概览!$D$3:$U$33,4,0)),0,VLOOKUP(E$2,行为概览!$D$3:$U$33,6,0)),4)</f>
        <v>1</v>
      </c>
      <c r="F59" s="20">
        <f>ROUND(IF(OR($A59&lt;VLOOKUP(F$2,行为概览!$D$3:$U$33,3,0),$A59&gt;VLOOKUP(F$2,行为概览!$D$3:$U$33,4,0)),0,VLOOKUP(F$2,行为概览!$D$3:$U$33,6,0)),4)</f>
        <v>0.33329999999999999</v>
      </c>
      <c r="G59" s="20">
        <f>ROUND(IF(OR($A59&lt;VLOOKUP(G$2,行为概览!$D$3:$U$33,3,0),$A59&gt;VLOOKUP(G$2,行为概览!$D$3:$U$33,4,0)),0,VLOOKUP(G$2,行为概览!$D$3:$U$33,6,0)),4)</f>
        <v>0</v>
      </c>
      <c r="H59" s="20">
        <f>ROUND(IF(OR($A59&lt;VLOOKUP(H$2,行为概览!$D$3:$U$33,3,0),$A59&gt;VLOOKUP(H$2,行为概览!$D$3:$U$33,4,0)),0,VLOOKUP(H$2,行为概览!$D$3:$U$33,6,0)),4)</f>
        <v>0</v>
      </c>
      <c r="I59" s="20">
        <f>ROUND(IF(OR($A59&lt;VLOOKUP(I$2,行为概览!$D$3:$U$33,3,0),$A59&gt;VLOOKUP(I$2,行为概览!$D$3:$U$33,4,0)),0,VLOOKUP(I$2,行为概览!$D$3:$U$33,6,0)),4)</f>
        <v>0</v>
      </c>
      <c r="J59" s="20">
        <f>ROUND(IF(OR($A59&lt;VLOOKUP(J$2,行为概览!$D$3:$U$33,3,0),$A59&gt;VLOOKUP(J$2,行为概览!$D$3:$U$33,4,0)),0,VLOOKUP(J$2,行为概览!$D$3:$U$33,6,0)),4)</f>
        <v>0.5</v>
      </c>
      <c r="K59" s="20">
        <f>ROUND(IF(OR($A59&lt;VLOOKUP(K$2,行为概览!$D$3:$U$33,3,0),$A59&gt;VLOOKUP(K$2,行为概览!$D$3:$U$33,4,0)),0,VLOOKUP(K$2,行为概览!$D$3:$U$33,6,0)),4)</f>
        <v>0.16669999999999999</v>
      </c>
      <c r="L59" s="20">
        <f>ROUND(IF(OR($A59&lt;VLOOKUP(L$2,行为概览!$D$3:$U$33,3,0),$A59&gt;VLOOKUP(L$2,行为概览!$D$3:$U$33,4,0)),0,VLOOKUP(L$2,行为概览!$D$3:$U$33,6,0)),4)</f>
        <v>0.5</v>
      </c>
      <c r="M59" s="20">
        <f>ROUND(IF(OR($A59&lt;VLOOKUP(M$2,行为概览!$D$3:$U$33,3,0),$A59&gt;VLOOKUP(M$2,行为概览!$D$3:$U$33,4,0)),0,VLOOKUP(M$2,行为概览!$D$3:$U$33,6,0)),4)</f>
        <v>12</v>
      </c>
      <c r="N59" s="20">
        <f>ROUND(IF(OR($A59&lt;VLOOKUP(N$2,行为概览!$D$3:$U$33,3,0),$A59&gt;VLOOKUP(N$2,行为概览!$D$3:$U$33,4,0)),0,VLOOKUP(N$2,行为概览!$D$3:$U$33,6,0)),4)</f>
        <v>8.3299999999999999E-2</v>
      </c>
      <c r="O59" s="20">
        <f>ROUND(IF(OR($A59&lt;VLOOKUP(O$2,行为概览!$D$3:$U$33,3,0),$A59&gt;VLOOKUP(O$2,行为概览!$D$3:$U$33,4,0)),0,VLOOKUP(O$2,行为概览!$D$3:$U$33,6,0)),4)</f>
        <v>8.3299999999999999E-2</v>
      </c>
      <c r="P59" s="20">
        <f>ROUND(IF(OR($A59&lt;VLOOKUP(P$2,行为概览!$D$3:$U$33,3,0),$A59&gt;VLOOKUP(P$2,行为概览!$D$3:$U$33,4,0)),0,VLOOKUP(P$2,行为概览!$D$3:$U$33,6,0)),4)</f>
        <v>2.6</v>
      </c>
      <c r="Q59" s="20">
        <f>ROUND(IF(OR($A59&lt;VLOOKUP(Q$2,行为概览!$D$3:$U$33,3,0),$A59&gt;VLOOKUP(Q$2,行为概览!$D$3:$U$33,4,0)),0,VLOOKUP(Q$2,行为概览!$D$3:$U$33,6,0)),4)</f>
        <v>1</v>
      </c>
      <c r="R59" s="20">
        <f>ROUND(IF(OR($A59&lt;VLOOKUP(R$2,行为概览!$D$3:$U$33,3,0),$A59&gt;VLOOKUP(R$2,行为概览!$D$3:$U$33,4,0)),0,VLOOKUP(R$2,行为概览!$D$3:$U$33,6,0)),4)</f>
        <v>0.33329999999999999</v>
      </c>
      <c r="S59" s="20">
        <f>ROUND(IF(OR($A59&lt;VLOOKUP(S$2,行为概览!$D$3:$U$33,3,0),$A59&gt;VLOOKUP(S$2,行为概览!$D$3:$U$33,4,0)),0,VLOOKUP(S$2,行为概览!$D$3:$U$33,6,0)),4)</f>
        <v>0</v>
      </c>
      <c r="T59" s="20">
        <f>ROUND(IF(OR($A59&lt;VLOOKUP(T$2,行为概览!$D$3:$U$33,3,0),$A59&gt;VLOOKUP(T$2,行为概览!$D$3:$U$33,4,0)),0,VLOOKUP(T$2,行为概览!$D$3:$U$33,6,0)),4)</f>
        <v>0.33329999999999999</v>
      </c>
      <c r="U59" s="20">
        <f>ROUND(IF(OR($A59&lt;VLOOKUP(U$2,行为概览!$D$3:$U$33,3,0),$A59&gt;VLOOKUP(U$2,行为概览!$D$3:$U$33,4,0)),0,VLOOKUP(U$2,行为概览!$D$3:$U$33,6,0)),4)</f>
        <v>0.16669999999999999</v>
      </c>
      <c r="V59" s="20">
        <f>ROUND(IF(OR($A59&lt;VLOOKUP(V$2,行为概览!$D$3:$U$33,3,0),$A59&gt;VLOOKUP(V$2,行为概览!$D$3:$U$33,4,0)),0,VLOOKUP(V$2,行为概览!$D$3:$U$33,6,0)),4)</f>
        <v>0.16669999999999999</v>
      </c>
      <c r="W59" s="20">
        <f>ROUND(IF(OR($A59&lt;VLOOKUP(W$2,行为概览!$D$3:$U$33,3,0),$A59&gt;VLOOKUP(W$2,行为概览!$D$3:$U$33,4,0)),0,VLOOKUP(W$2,行为概览!$D$3:$U$33,6,0)),4)</f>
        <v>0.16669999999999999</v>
      </c>
      <c r="X59" s="20">
        <f>ROUND(IF(OR($A59&lt;VLOOKUP(X$2,行为概览!$D$3:$U$33,3,0),$A59&gt;VLOOKUP(X$2,行为概览!$D$3:$U$33,4,0)),0,VLOOKUP(X$2,行为概览!$D$3:$U$33,6,0)),4)</f>
        <v>0.25</v>
      </c>
      <c r="Y59" s="20">
        <f>ROUND(IF(OR($A59&lt;VLOOKUP(Y$2,行为概览!$D$3:$U$33,3,0),$A59&gt;VLOOKUP(Y$2,行为概览!$D$3:$U$33,4,0)),0,VLOOKUP(Y$2,行为概览!$D$3:$U$33,6,0)),4)</f>
        <v>0.58330000000000004</v>
      </c>
      <c r="Z59" s="20">
        <f>ROUND(IF(OR($A59&lt;VLOOKUP(Z$2,行为概览!$D$3:$U$33,3,0),$A59&gt;VLOOKUP(Z$2,行为概览!$D$3:$U$33,4,0)),0,VLOOKUP(Z$2,行为概览!$D$3:$U$33,6,0)),4)</f>
        <v>0.16669999999999999</v>
      </c>
      <c r="AA59" s="20">
        <f>ROUND(IF(OR($A59&lt;VLOOKUP(AA$2,行为概览!$D$3:$U$33,3,0),$A59&gt;VLOOKUP(AA$2,行为概览!$D$3:$U$33,4,0)),0,VLOOKUP(AA$2,行为概览!$D$3:$U$33,6,0)),4)</f>
        <v>0</v>
      </c>
      <c r="AB59" s="20">
        <f>ROUND(IF(OR($A59&lt;VLOOKUP(AB$2,行为概览!$D$3:$U$33,3,0),$A59&gt;VLOOKUP(AB$2,行为概览!$D$3:$U$33,4,0)),0,VLOOKUP(AB$2,行为概览!$D$3:$U$33,6,0)),4)</f>
        <v>0</v>
      </c>
      <c r="AC59" s="20">
        <f>ROUND(IF(OR($A59&lt;VLOOKUP(AC$2,行为概览!$D$3:$U$33,3,0),$A59&gt;VLOOKUP(AC$2,行为概览!$D$3:$U$33,4,0)),0,VLOOKUP(AC$2,行为概览!$D$3:$U$33,6,0)),4)</f>
        <v>0</v>
      </c>
      <c r="AD59" s="20">
        <f>ROUND(IF(OR($A59&lt;VLOOKUP(AD$2,行为概览!$D$3:$U$33,3,0),$A59&gt;VLOOKUP(AD$2,行为概览!$D$3:$U$33,4,0)),0,VLOOKUP(AD$2,行为概览!$D$3:$U$33,6,0)),4)</f>
        <v>0</v>
      </c>
      <c r="AE59" s="20">
        <f>ROUND(IF(OR($A59&lt;VLOOKUP(AE$2,行为概览!$D$3:$U$33,3,0),$A59&gt;VLOOKUP(AE$2,行为概览!$D$3:$U$33,4,0)),0,VLOOKUP(AE$2,行为概览!$D$3:$U$33,6,0)),4)</f>
        <v>8.3299999999999999E-2</v>
      </c>
      <c r="AF59" s="20">
        <f>ROUND(IF(OR($A59&lt;VLOOKUP(AF$2,行为概览!$D$3:$U$33,3,0),$A59&gt;VLOOKUP(AF$2,行为概览!$D$3:$U$33,4,0)),0,VLOOKUP(AF$2,行为概览!$D$3:$U$33,6,0)),4)</f>
        <v>0</v>
      </c>
    </row>
    <row r="60" spans="1:32">
      <c r="A60" s="19">
        <v>58</v>
      </c>
      <c r="B60" s="20">
        <f>ROUND(IF(OR($A60&lt;VLOOKUP(B$2,行为概览!$D$3:$U$33,3,0),$A60&gt;VLOOKUP(B$2,行为概览!$D$3:$U$33,4,0)),0,VLOOKUP(B$2,行为概览!$D$3:$U$33,6,0)),4)</f>
        <v>0.33329999999999999</v>
      </c>
      <c r="C60" s="20">
        <f>ROUND(IF(OR($A60&lt;VLOOKUP(C$2,行为概览!$D$3:$U$33,3,0),$A60&gt;VLOOKUP(C$2,行为概览!$D$3:$U$33,4,0)),0,VLOOKUP(C$2,行为概览!$D$3:$U$33,6,0)),4)</f>
        <v>2</v>
      </c>
      <c r="D60" s="20">
        <f>ROUND(IF(OR($A60&lt;VLOOKUP(D$2,行为概览!$D$3:$U$33,3,0),$A60&gt;VLOOKUP(D$2,行为概览!$D$3:$U$33,4,0)),0,VLOOKUP(D$2,行为概览!$D$3:$U$33,6,0)),4)</f>
        <v>8.3299999999999999E-2</v>
      </c>
      <c r="E60" s="20">
        <f>ROUND(IF(OR($A60&lt;VLOOKUP(E$2,行为概览!$D$3:$U$33,3,0),$A60&gt;VLOOKUP(E$2,行为概览!$D$3:$U$33,4,0)),0,VLOOKUP(E$2,行为概览!$D$3:$U$33,6,0)),4)</f>
        <v>1</v>
      </c>
      <c r="F60" s="20">
        <f>ROUND(IF(OR($A60&lt;VLOOKUP(F$2,行为概览!$D$3:$U$33,3,0),$A60&gt;VLOOKUP(F$2,行为概览!$D$3:$U$33,4,0)),0,VLOOKUP(F$2,行为概览!$D$3:$U$33,6,0)),4)</f>
        <v>0.33329999999999999</v>
      </c>
      <c r="G60" s="20">
        <f>ROUND(IF(OR($A60&lt;VLOOKUP(G$2,行为概览!$D$3:$U$33,3,0),$A60&gt;VLOOKUP(G$2,行为概览!$D$3:$U$33,4,0)),0,VLOOKUP(G$2,行为概览!$D$3:$U$33,6,0)),4)</f>
        <v>0</v>
      </c>
      <c r="H60" s="20">
        <f>ROUND(IF(OR($A60&lt;VLOOKUP(H$2,行为概览!$D$3:$U$33,3,0),$A60&gt;VLOOKUP(H$2,行为概览!$D$3:$U$33,4,0)),0,VLOOKUP(H$2,行为概览!$D$3:$U$33,6,0)),4)</f>
        <v>0</v>
      </c>
      <c r="I60" s="20">
        <f>ROUND(IF(OR($A60&lt;VLOOKUP(I$2,行为概览!$D$3:$U$33,3,0),$A60&gt;VLOOKUP(I$2,行为概览!$D$3:$U$33,4,0)),0,VLOOKUP(I$2,行为概览!$D$3:$U$33,6,0)),4)</f>
        <v>0</v>
      </c>
      <c r="J60" s="20">
        <f>ROUND(IF(OR($A60&lt;VLOOKUP(J$2,行为概览!$D$3:$U$33,3,0),$A60&gt;VLOOKUP(J$2,行为概览!$D$3:$U$33,4,0)),0,VLOOKUP(J$2,行为概览!$D$3:$U$33,6,0)),4)</f>
        <v>0.5</v>
      </c>
      <c r="K60" s="20">
        <f>ROUND(IF(OR($A60&lt;VLOOKUP(K$2,行为概览!$D$3:$U$33,3,0),$A60&gt;VLOOKUP(K$2,行为概览!$D$3:$U$33,4,0)),0,VLOOKUP(K$2,行为概览!$D$3:$U$33,6,0)),4)</f>
        <v>0.16669999999999999</v>
      </c>
      <c r="L60" s="20">
        <f>ROUND(IF(OR($A60&lt;VLOOKUP(L$2,行为概览!$D$3:$U$33,3,0),$A60&gt;VLOOKUP(L$2,行为概览!$D$3:$U$33,4,0)),0,VLOOKUP(L$2,行为概览!$D$3:$U$33,6,0)),4)</f>
        <v>0.5</v>
      </c>
      <c r="M60" s="20">
        <f>ROUND(IF(OR($A60&lt;VLOOKUP(M$2,行为概览!$D$3:$U$33,3,0),$A60&gt;VLOOKUP(M$2,行为概览!$D$3:$U$33,4,0)),0,VLOOKUP(M$2,行为概览!$D$3:$U$33,6,0)),4)</f>
        <v>12</v>
      </c>
      <c r="N60" s="20">
        <f>ROUND(IF(OR($A60&lt;VLOOKUP(N$2,行为概览!$D$3:$U$33,3,0),$A60&gt;VLOOKUP(N$2,行为概览!$D$3:$U$33,4,0)),0,VLOOKUP(N$2,行为概览!$D$3:$U$33,6,0)),4)</f>
        <v>8.3299999999999999E-2</v>
      </c>
      <c r="O60" s="20">
        <f>ROUND(IF(OR($A60&lt;VLOOKUP(O$2,行为概览!$D$3:$U$33,3,0),$A60&gt;VLOOKUP(O$2,行为概览!$D$3:$U$33,4,0)),0,VLOOKUP(O$2,行为概览!$D$3:$U$33,6,0)),4)</f>
        <v>8.3299999999999999E-2</v>
      </c>
      <c r="P60" s="20">
        <f>ROUND(IF(OR($A60&lt;VLOOKUP(P$2,行为概览!$D$3:$U$33,3,0),$A60&gt;VLOOKUP(P$2,行为概览!$D$3:$U$33,4,0)),0,VLOOKUP(P$2,行为概览!$D$3:$U$33,6,0)),4)</f>
        <v>2.6</v>
      </c>
      <c r="Q60" s="20">
        <f>ROUND(IF(OR($A60&lt;VLOOKUP(Q$2,行为概览!$D$3:$U$33,3,0),$A60&gt;VLOOKUP(Q$2,行为概览!$D$3:$U$33,4,0)),0,VLOOKUP(Q$2,行为概览!$D$3:$U$33,6,0)),4)</f>
        <v>1</v>
      </c>
      <c r="R60" s="20">
        <f>ROUND(IF(OR($A60&lt;VLOOKUP(R$2,行为概览!$D$3:$U$33,3,0),$A60&gt;VLOOKUP(R$2,行为概览!$D$3:$U$33,4,0)),0,VLOOKUP(R$2,行为概览!$D$3:$U$33,6,0)),4)</f>
        <v>0.33329999999999999</v>
      </c>
      <c r="S60" s="20">
        <f>ROUND(IF(OR($A60&lt;VLOOKUP(S$2,行为概览!$D$3:$U$33,3,0),$A60&gt;VLOOKUP(S$2,行为概览!$D$3:$U$33,4,0)),0,VLOOKUP(S$2,行为概览!$D$3:$U$33,6,0)),4)</f>
        <v>0</v>
      </c>
      <c r="T60" s="20">
        <f>ROUND(IF(OR($A60&lt;VLOOKUP(T$2,行为概览!$D$3:$U$33,3,0),$A60&gt;VLOOKUP(T$2,行为概览!$D$3:$U$33,4,0)),0,VLOOKUP(T$2,行为概览!$D$3:$U$33,6,0)),4)</f>
        <v>0.33329999999999999</v>
      </c>
      <c r="U60" s="20">
        <f>ROUND(IF(OR($A60&lt;VLOOKUP(U$2,行为概览!$D$3:$U$33,3,0),$A60&gt;VLOOKUP(U$2,行为概览!$D$3:$U$33,4,0)),0,VLOOKUP(U$2,行为概览!$D$3:$U$33,6,0)),4)</f>
        <v>0.16669999999999999</v>
      </c>
      <c r="V60" s="20">
        <f>ROUND(IF(OR($A60&lt;VLOOKUP(V$2,行为概览!$D$3:$U$33,3,0),$A60&gt;VLOOKUP(V$2,行为概览!$D$3:$U$33,4,0)),0,VLOOKUP(V$2,行为概览!$D$3:$U$33,6,0)),4)</f>
        <v>0.16669999999999999</v>
      </c>
      <c r="W60" s="20">
        <f>ROUND(IF(OR($A60&lt;VLOOKUP(W$2,行为概览!$D$3:$U$33,3,0),$A60&gt;VLOOKUP(W$2,行为概览!$D$3:$U$33,4,0)),0,VLOOKUP(W$2,行为概览!$D$3:$U$33,6,0)),4)</f>
        <v>0.16669999999999999</v>
      </c>
      <c r="X60" s="20">
        <f>ROUND(IF(OR($A60&lt;VLOOKUP(X$2,行为概览!$D$3:$U$33,3,0),$A60&gt;VLOOKUP(X$2,行为概览!$D$3:$U$33,4,0)),0,VLOOKUP(X$2,行为概览!$D$3:$U$33,6,0)),4)</f>
        <v>0.25</v>
      </c>
      <c r="Y60" s="20">
        <f>ROUND(IF(OR($A60&lt;VLOOKUP(Y$2,行为概览!$D$3:$U$33,3,0),$A60&gt;VLOOKUP(Y$2,行为概览!$D$3:$U$33,4,0)),0,VLOOKUP(Y$2,行为概览!$D$3:$U$33,6,0)),4)</f>
        <v>0.58330000000000004</v>
      </c>
      <c r="Z60" s="20">
        <f>ROUND(IF(OR($A60&lt;VLOOKUP(Z$2,行为概览!$D$3:$U$33,3,0),$A60&gt;VLOOKUP(Z$2,行为概览!$D$3:$U$33,4,0)),0,VLOOKUP(Z$2,行为概览!$D$3:$U$33,6,0)),4)</f>
        <v>0.16669999999999999</v>
      </c>
      <c r="AA60" s="20">
        <f>ROUND(IF(OR($A60&lt;VLOOKUP(AA$2,行为概览!$D$3:$U$33,3,0),$A60&gt;VLOOKUP(AA$2,行为概览!$D$3:$U$33,4,0)),0,VLOOKUP(AA$2,行为概览!$D$3:$U$33,6,0)),4)</f>
        <v>0</v>
      </c>
      <c r="AB60" s="20">
        <f>ROUND(IF(OR($A60&lt;VLOOKUP(AB$2,行为概览!$D$3:$U$33,3,0),$A60&gt;VLOOKUP(AB$2,行为概览!$D$3:$U$33,4,0)),0,VLOOKUP(AB$2,行为概览!$D$3:$U$33,6,0)),4)</f>
        <v>0</v>
      </c>
      <c r="AC60" s="20">
        <f>ROUND(IF(OR($A60&lt;VLOOKUP(AC$2,行为概览!$D$3:$U$33,3,0),$A60&gt;VLOOKUP(AC$2,行为概览!$D$3:$U$33,4,0)),0,VLOOKUP(AC$2,行为概览!$D$3:$U$33,6,0)),4)</f>
        <v>0</v>
      </c>
      <c r="AD60" s="20">
        <f>ROUND(IF(OR($A60&lt;VLOOKUP(AD$2,行为概览!$D$3:$U$33,3,0),$A60&gt;VLOOKUP(AD$2,行为概览!$D$3:$U$33,4,0)),0,VLOOKUP(AD$2,行为概览!$D$3:$U$33,6,0)),4)</f>
        <v>0</v>
      </c>
      <c r="AE60" s="20">
        <f>ROUND(IF(OR($A60&lt;VLOOKUP(AE$2,行为概览!$D$3:$U$33,3,0),$A60&gt;VLOOKUP(AE$2,行为概览!$D$3:$U$33,4,0)),0,VLOOKUP(AE$2,行为概览!$D$3:$U$33,6,0)),4)</f>
        <v>8.3299999999999999E-2</v>
      </c>
      <c r="AF60" s="20">
        <f>ROUND(IF(OR($A60&lt;VLOOKUP(AF$2,行为概览!$D$3:$U$33,3,0),$A60&gt;VLOOKUP(AF$2,行为概览!$D$3:$U$33,4,0)),0,VLOOKUP(AF$2,行为概览!$D$3:$U$33,6,0)),4)</f>
        <v>0</v>
      </c>
    </row>
    <row r="61" spans="1:32">
      <c r="A61" s="19">
        <v>59</v>
      </c>
      <c r="B61" s="20">
        <f>ROUND(IF(OR($A61&lt;VLOOKUP(B$2,行为概览!$D$3:$U$33,3,0),$A61&gt;VLOOKUP(B$2,行为概览!$D$3:$U$33,4,0)),0,VLOOKUP(B$2,行为概览!$D$3:$U$33,6,0)),4)</f>
        <v>0.33329999999999999</v>
      </c>
      <c r="C61" s="20">
        <f>ROUND(IF(OR($A61&lt;VLOOKUP(C$2,行为概览!$D$3:$U$33,3,0),$A61&gt;VLOOKUP(C$2,行为概览!$D$3:$U$33,4,0)),0,VLOOKUP(C$2,行为概览!$D$3:$U$33,6,0)),4)</f>
        <v>2</v>
      </c>
      <c r="D61" s="20">
        <f>ROUND(IF(OR($A61&lt;VLOOKUP(D$2,行为概览!$D$3:$U$33,3,0),$A61&gt;VLOOKUP(D$2,行为概览!$D$3:$U$33,4,0)),0,VLOOKUP(D$2,行为概览!$D$3:$U$33,6,0)),4)</f>
        <v>8.3299999999999999E-2</v>
      </c>
      <c r="E61" s="20">
        <f>ROUND(IF(OR($A61&lt;VLOOKUP(E$2,行为概览!$D$3:$U$33,3,0),$A61&gt;VLOOKUP(E$2,行为概览!$D$3:$U$33,4,0)),0,VLOOKUP(E$2,行为概览!$D$3:$U$33,6,0)),4)</f>
        <v>1</v>
      </c>
      <c r="F61" s="20">
        <f>ROUND(IF(OR($A61&lt;VLOOKUP(F$2,行为概览!$D$3:$U$33,3,0),$A61&gt;VLOOKUP(F$2,行为概览!$D$3:$U$33,4,0)),0,VLOOKUP(F$2,行为概览!$D$3:$U$33,6,0)),4)</f>
        <v>0.33329999999999999</v>
      </c>
      <c r="G61" s="20">
        <f>ROUND(IF(OR($A61&lt;VLOOKUP(G$2,行为概览!$D$3:$U$33,3,0),$A61&gt;VLOOKUP(G$2,行为概览!$D$3:$U$33,4,0)),0,VLOOKUP(G$2,行为概览!$D$3:$U$33,6,0)),4)</f>
        <v>0</v>
      </c>
      <c r="H61" s="20">
        <f>ROUND(IF(OR($A61&lt;VLOOKUP(H$2,行为概览!$D$3:$U$33,3,0),$A61&gt;VLOOKUP(H$2,行为概览!$D$3:$U$33,4,0)),0,VLOOKUP(H$2,行为概览!$D$3:$U$33,6,0)),4)</f>
        <v>0</v>
      </c>
      <c r="I61" s="20">
        <f>ROUND(IF(OR($A61&lt;VLOOKUP(I$2,行为概览!$D$3:$U$33,3,0),$A61&gt;VLOOKUP(I$2,行为概览!$D$3:$U$33,4,0)),0,VLOOKUP(I$2,行为概览!$D$3:$U$33,6,0)),4)</f>
        <v>0</v>
      </c>
      <c r="J61" s="20">
        <f>ROUND(IF(OR($A61&lt;VLOOKUP(J$2,行为概览!$D$3:$U$33,3,0),$A61&gt;VLOOKUP(J$2,行为概览!$D$3:$U$33,4,0)),0,VLOOKUP(J$2,行为概览!$D$3:$U$33,6,0)),4)</f>
        <v>0.5</v>
      </c>
      <c r="K61" s="20">
        <f>ROUND(IF(OR($A61&lt;VLOOKUP(K$2,行为概览!$D$3:$U$33,3,0),$A61&gt;VLOOKUP(K$2,行为概览!$D$3:$U$33,4,0)),0,VLOOKUP(K$2,行为概览!$D$3:$U$33,6,0)),4)</f>
        <v>0.16669999999999999</v>
      </c>
      <c r="L61" s="20">
        <f>ROUND(IF(OR($A61&lt;VLOOKUP(L$2,行为概览!$D$3:$U$33,3,0),$A61&gt;VLOOKUP(L$2,行为概览!$D$3:$U$33,4,0)),0,VLOOKUP(L$2,行为概览!$D$3:$U$33,6,0)),4)</f>
        <v>0.5</v>
      </c>
      <c r="M61" s="20">
        <f>ROUND(IF(OR($A61&lt;VLOOKUP(M$2,行为概览!$D$3:$U$33,3,0),$A61&gt;VLOOKUP(M$2,行为概览!$D$3:$U$33,4,0)),0,VLOOKUP(M$2,行为概览!$D$3:$U$33,6,0)),4)</f>
        <v>12</v>
      </c>
      <c r="N61" s="20">
        <f>ROUND(IF(OR($A61&lt;VLOOKUP(N$2,行为概览!$D$3:$U$33,3,0),$A61&gt;VLOOKUP(N$2,行为概览!$D$3:$U$33,4,0)),0,VLOOKUP(N$2,行为概览!$D$3:$U$33,6,0)),4)</f>
        <v>8.3299999999999999E-2</v>
      </c>
      <c r="O61" s="20">
        <f>ROUND(IF(OR($A61&lt;VLOOKUP(O$2,行为概览!$D$3:$U$33,3,0),$A61&gt;VLOOKUP(O$2,行为概览!$D$3:$U$33,4,0)),0,VLOOKUP(O$2,行为概览!$D$3:$U$33,6,0)),4)</f>
        <v>8.3299999999999999E-2</v>
      </c>
      <c r="P61" s="20">
        <f>ROUND(IF(OR($A61&lt;VLOOKUP(P$2,行为概览!$D$3:$U$33,3,0),$A61&gt;VLOOKUP(P$2,行为概览!$D$3:$U$33,4,0)),0,VLOOKUP(P$2,行为概览!$D$3:$U$33,6,0)),4)</f>
        <v>2.6</v>
      </c>
      <c r="Q61" s="20">
        <f>ROUND(IF(OR($A61&lt;VLOOKUP(Q$2,行为概览!$D$3:$U$33,3,0),$A61&gt;VLOOKUP(Q$2,行为概览!$D$3:$U$33,4,0)),0,VLOOKUP(Q$2,行为概览!$D$3:$U$33,6,0)),4)</f>
        <v>1</v>
      </c>
      <c r="R61" s="20">
        <f>ROUND(IF(OR($A61&lt;VLOOKUP(R$2,行为概览!$D$3:$U$33,3,0),$A61&gt;VLOOKUP(R$2,行为概览!$D$3:$U$33,4,0)),0,VLOOKUP(R$2,行为概览!$D$3:$U$33,6,0)),4)</f>
        <v>0.33329999999999999</v>
      </c>
      <c r="S61" s="20">
        <f>ROUND(IF(OR($A61&lt;VLOOKUP(S$2,行为概览!$D$3:$U$33,3,0),$A61&gt;VLOOKUP(S$2,行为概览!$D$3:$U$33,4,0)),0,VLOOKUP(S$2,行为概览!$D$3:$U$33,6,0)),4)</f>
        <v>0</v>
      </c>
      <c r="T61" s="20">
        <f>ROUND(IF(OR($A61&lt;VLOOKUP(T$2,行为概览!$D$3:$U$33,3,0),$A61&gt;VLOOKUP(T$2,行为概览!$D$3:$U$33,4,0)),0,VLOOKUP(T$2,行为概览!$D$3:$U$33,6,0)),4)</f>
        <v>0.33329999999999999</v>
      </c>
      <c r="U61" s="20">
        <f>ROUND(IF(OR($A61&lt;VLOOKUP(U$2,行为概览!$D$3:$U$33,3,0),$A61&gt;VLOOKUP(U$2,行为概览!$D$3:$U$33,4,0)),0,VLOOKUP(U$2,行为概览!$D$3:$U$33,6,0)),4)</f>
        <v>0.16669999999999999</v>
      </c>
      <c r="V61" s="20">
        <f>ROUND(IF(OR($A61&lt;VLOOKUP(V$2,行为概览!$D$3:$U$33,3,0),$A61&gt;VLOOKUP(V$2,行为概览!$D$3:$U$33,4,0)),0,VLOOKUP(V$2,行为概览!$D$3:$U$33,6,0)),4)</f>
        <v>0.16669999999999999</v>
      </c>
      <c r="W61" s="20">
        <f>ROUND(IF(OR($A61&lt;VLOOKUP(W$2,行为概览!$D$3:$U$33,3,0),$A61&gt;VLOOKUP(W$2,行为概览!$D$3:$U$33,4,0)),0,VLOOKUP(W$2,行为概览!$D$3:$U$33,6,0)),4)</f>
        <v>0.16669999999999999</v>
      </c>
      <c r="X61" s="20">
        <f>ROUND(IF(OR($A61&lt;VLOOKUP(X$2,行为概览!$D$3:$U$33,3,0),$A61&gt;VLOOKUP(X$2,行为概览!$D$3:$U$33,4,0)),0,VLOOKUP(X$2,行为概览!$D$3:$U$33,6,0)),4)</f>
        <v>0.25</v>
      </c>
      <c r="Y61" s="20">
        <f>ROUND(IF(OR($A61&lt;VLOOKUP(Y$2,行为概览!$D$3:$U$33,3,0),$A61&gt;VLOOKUP(Y$2,行为概览!$D$3:$U$33,4,0)),0,VLOOKUP(Y$2,行为概览!$D$3:$U$33,6,0)),4)</f>
        <v>0.58330000000000004</v>
      </c>
      <c r="Z61" s="20">
        <f>ROUND(IF(OR($A61&lt;VLOOKUP(Z$2,行为概览!$D$3:$U$33,3,0),$A61&gt;VLOOKUP(Z$2,行为概览!$D$3:$U$33,4,0)),0,VLOOKUP(Z$2,行为概览!$D$3:$U$33,6,0)),4)</f>
        <v>0.16669999999999999</v>
      </c>
      <c r="AA61" s="20">
        <f>ROUND(IF(OR($A61&lt;VLOOKUP(AA$2,行为概览!$D$3:$U$33,3,0),$A61&gt;VLOOKUP(AA$2,行为概览!$D$3:$U$33,4,0)),0,VLOOKUP(AA$2,行为概览!$D$3:$U$33,6,0)),4)</f>
        <v>0</v>
      </c>
      <c r="AB61" s="20">
        <f>ROUND(IF(OR($A61&lt;VLOOKUP(AB$2,行为概览!$D$3:$U$33,3,0),$A61&gt;VLOOKUP(AB$2,行为概览!$D$3:$U$33,4,0)),0,VLOOKUP(AB$2,行为概览!$D$3:$U$33,6,0)),4)</f>
        <v>0</v>
      </c>
      <c r="AC61" s="20">
        <f>ROUND(IF(OR($A61&lt;VLOOKUP(AC$2,行为概览!$D$3:$U$33,3,0),$A61&gt;VLOOKUP(AC$2,行为概览!$D$3:$U$33,4,0)),0,VLOOKUP(AC$2,行为概览!$D$3:$U$33,6,0)),4)</f>
        <v>0</v>
      </c>
      <c r="AD61" s="20">
        <f>ROUND(IF(OR($A61&lt;VLOOKUP(AD$2,行为概览!$D$3:$U$33,3,0),$A61&gt;VLOOKUP(AD$2,行为概览!$D$3:$U$33,4,0)),0,VLOOKUP(AD$2,行为概览!$D$3:$U$33,6,0)),4)</f>
        <v>0</v>
      </c>
      <c r="AE61" s="20">
        <f>ROUND(IF(OR($A61&lt;VLOOKUP(AE$2,行为概览!$D$3:$U$33,3,0),$A61&gt;VLOOKUP(AE$2,行为概览!$D$3:$U$33,4,0)),0,VLOOKUP(AE$2,行为概览!$D$3:$U$33,6,0)),4)</f>
        <v>8.3299999999999999E-2</v>
      </c>
      <c r="AF61" s="20">
        <f>ROUND(IF(OR($A61&lt;VLOOKUP(AF$2,行为概览!$D$3:$U$33,3,0),$A61&gt;VLOOKUP(AF$2,行为概览!$D$3:$U$33,4,0)),0,VLOOKUP(AF$2,行为概览!$D$3:$U$33,6,0)),4)</f>
        <v>0</v>
      </c>
    </row>
    <row r="62" spans="1:32">
      <c r="A62" s="19">
        <v>60</v>
      </c>
      <c r="B62" s="20">
        <f>ROUND(IF(OR($A62&lt;VLOOKUP(B$2,行为概览!$D$3:$U$33,3,0),$A62&gt;VLOOKUP(B$2,行为概览!$D$3:$U$33,4,0)),0,VLOOKUP(B$2,行为概览!$D$3:$U$33,6,0)),4)</f>
        <v>0.33329999999999999</v>
      </c>
      <c r="C62" s="20">
        <f>ROUND(IF(OR($A62&lt;VLOOKUP(C$2,行为概览!$D$3:$U$33,3,0),$A62&gt;VLOOKUP(C$2,行为概览!$D$3:$U$33,4,0)),0,VLOOKUP(C$2,行为概览!$D$3:$U$33,6,0)),4)</f>
        <v>2</v>
      </c>
      <c r="D62" s="20">
        <f>ROUND(IF(OR($A62&lt;VLOOKUP(D$2,行为概览!$D$3:$U$33,3,0),$A62&gt;VLOOKUP(D$2,行为概览!$D$3:$U$33,4,0)),0,VLOOKUP(D$2,行为概览!$D$3:$U$33,6,0)),4)</f>
        <v>8.3299999999999999E-2</v>
      </c>
      <c r="E62" s="20">
        <f>ROUND(IF(OR($A62&lt;VLOOKUP(E$2,行为概览!$D$3:$U$33,3,0),$A62&gt;VLOOKUP(E$2,行为概览!$D$3:$U$33,4,0)),0,VLOOKUP(E$2,行为概览!$D$3:$U$33,6,0)),4)</f>
        <v>1</v>
      </c>
      <c r="F62" s="20">
        <f>ROUND(IF(OR($A62&lt;VLOOKUP(F$2,行为概览!$D$3:$U$33,3,0),$A62&gt;VLOOKUP(F$2,行为概览!$D$3:$U$33,4,0)),0,VLOOKUP(F$2,行为概览!$D$3:$U$33,6,0)),4)</f>
        <v>0.33329999999999999</v>
      </c>
      <c r="G62" s="20">
        <f>ROUND(IF(OR($A62&lt;VLOOKUP(G$2,行为概览!$D$3:$U$33,3,0),$A62&gt;VLOOKUP(G$2,行为概览!$D$3:$U$33,4,0)),0,VLOOKUP(G$2,行为概览!$D$3:$U$33,6,0)),4)</f>
        <v>0</v>
      </c>
      <c r="H62" s="20">
        <f>ROUND(IF(OR($A62&lt;VLOOKUP(H$2,行为概览!$D$3:$U$33,3,0),$A62&gt;VLOOKUP(H$2,行为概览!$D$3:$U$33,4,0)),0,VLOOKUP(H$2,行为概览!$D$3:$U$33,6,0)),4)</f>
        <v>0</v>
      </c>
      <c r="I62" s="20">
        <f>ROUND(IF(OR($A62&lt;VLOOKUP(I$2,行为概览!$D$3:$U$33,3,0),$A62&gt;VLOOKUP(I$2,行为概览!$D$3:$U$33,4,0)),0,VLOOKUP(I$2,行为概览!$D$3:$U$33,6,0)),4)</f>
        <v>0</v>
      </c>
      <c r="J62" s="20">
        <f>ROUND(IF(OR($A62&lt;VLOOKUP(J$2,行为概览!$D$3:$U$33,3,0),$A62&gt;VLOOKUP(J$2,行为概览!$D$3:$U$33,4,0)),0,VLOOKUP(J$2,行为概览!$D$3:$U$33,6,0)),4)</f>
        <v>0.5</v>
      </c>
      <c r="K62" s="20">
        <f>ROUND(IF(OR($A62&lt;VLOOKUP(K$2,行为概览!$D$3:$U$33,3,0),$A62&gt;VLOOKUP(K$2,行为概览!$D$3:$U$33,4,0)),0,VLOOKUP(K$2,行为概览!$D$3:$U$33,6,0)),4)</f>
        <v>0.16669999999999999</v>
      </c>
      <c r="L62" s="20">
        <f>ROUND(IF(OR($A62&lt;VLOOKUP(L$2,行为概览!$D$3:$U$33,3,0),$A62&gt;VLOOKUP(L$2,行为概览!$D$3:$U$33,4,0)),0,VLOOKUP(L$2,行为概览!$D$3:$U$33,6,0)),4)</f>
        <v>0.5</v>
      </c>
      <c r="M62" s="20">
        <f>ROUND(IF(OR($A62&lt;VLOOKUP(M$2,行为概览!$D$3:$U$33,3,0),$A62&gt;VLOOKUP(M$2,行为概览!$D$3:$U$33,4,0)),0,VLOOKUP(M$2,行为概览!$D$3:$U$33,6,0)),4)</f>
        <v>12</v>
      </c>
      <c r="N62" s="20">
        <f>ROUND(IF(OR($A62&lt;VLOOKUP(N$2,行为概览!$D$3:$U$33,3,0),$A62&gt;VLOOKUP(N$2,行为概览!$D$3:$U$33,4,0)),0,VLOOKUP(N$2,行为概览!$D$3:$U$33,6,0)),4)</f>
        <v>8.3299999999999999E-2</v>
      </c>
      <c r="O62" s="20">
        <f>ROUND(IF(OR($A62&lt;VLOOKUP(O$2,行为概览!$D$3:$U$33,3,0),$A62&gt;VLOOKUP(O$2,行为概览!$D$3:$U$33,4,0)),0,VLOOKUP(O$2,行为概览!$D$3:$U$33,6,0)),4)</f>
        <v>8.3299999999999999E-2</v>
      </c>
      <c r="P62" s="20">
        <f>ROUND(IF(OR($A62&lt;VLOOKUP(P$2,行为概览!$D$3:$U$33,3,0),$A62&gt;VLOOKUP(P$2,行为概览!$D$3:$U$33,4,0)),0,VLOOKUP(P$2,行为概览!$D$3:$U$33,6,0)),4)</f>
        <v>2.6</v>
      </c>
      <c r="Q62" s="20">
        <f>ROUND(IF(OR($A62&lt;VLOOKUP(Q$2,行为概览!$D$3:$U$33,3,0),$A62&gt;VLOOKUP(Q$2,行为概览!$D$3:$U$33,4,0)),0,VLOOKUP(Q$2,行为概览!$D$3:$U$33,6,0)),4)</f>
        <v>1</v>
      </c>
      <c r="R62" s="20">
        <f>ROUND(IF(OR($A62&lt;VLOOKUP(R$2,行为概览!$D$3:$U$33,3,0),$A62&gt;VLOOKUP(R$2,行为概览!$D$3:$U$33,4,0)),0,VLOOKUP(R$2,行为概览!$D$3:$U$33,6,0)),4)</f>
        <v>0.33329999999999999</v>
      </c>
      <c r="S62" s="20">
        <f>ROUND(IF(OR($A62&lt;VLOOKUP(S$2,行为概览!$D$3:$U$33,3,0),$A62&gt;VLOOKUP(S$2,行为概览!$D$3:$U$33,4,0)),0,VLOOKUP(S$2,行为概览!$D$3:$U$33,6,0)),4)</f>
        <v>0</v>
      </c>
      <c r="T62" s="20">
        <f>ROUND(IF(OR($A62&lt;VLOOKUP(T$2,行为概览!$D$3:$U$33,3,0),$A62&gt;VLOOKUP(T$2,行为概览!$D$3:$U$33,4,0)),0,VLOOKUP(T$2,行为概览!$D$3:$U$33,6,0)),4)</f>
        <v>0.33329999999999999</v>
      </c>
      <c r="U62" s="20">
        <f>ROUND(IF(OR($A62&lt;VLOOKUP(U$2,行为概览!$D$3:$U$33,3,0),$A62&gt;VLOOKUP(U$2,行为概览!$D$3:$U$33,4,0)),0,VLOOKUP(U$2,行为概览!$D$3:$U$33,6,0)),4)</f>
        <v>0.16669999999999999</v>
      </c>
      <c r="V62" s="20">
        <f>ROUND(IF(OR($A62&lt;VLOOKUP(V$2,行为概览!$D$3:$U$33,3,0),$A62&gt;VLOOKUP(V$2,行为概览!$D$3:$U$33,4,0)),0,VLOOKUP(V$2,行为概览!$D$3:$U$33,6,0)),4)</f>
        <v>0.16669999999999999</v>
      </c>
      <c r="W62" s="20">
        <f>ROUND(IF(OR($A62&lt;VLOOKUP(W$2,行为概览!$D$3:$U$33,3,0),$A62&gt;VLOOKUP(W$2,行为概览!$D$3:$U$33,4,0)),0,VLOOKUP(W$2,行为概览!$D$3:$U$33,6,0)),4)</f>
        <v>0.16669999999999999</v>
      </c>
      <c r="X62" s="20">
        <f>ROUND(IF(OR($A62&lt;VLOOKUP(X$2,行为概览!$D$3:$U$33,3,0),$A62&gt;VLOOKUP(X$2,行为概览!$D$3:$U$33,4,0)),0,VLOOKUP(X$2,行为概览!$D$3:$U$33,6,0)),4)</f>
        <v>0.25</v>
      </c>
      <c r="Y62" s="20">
        <f>ROUND(IF(OR($A62&lt;VLOOKUP(Y$2,行为概览!$D$3:$U$33,3,0),$A62&gt;VLOOKUP(Y$2,行为概览!$D$3:$U$33,4,0)),0,VLOOKUP(Y$2,行为概览!$D$3:$U$33,6,0)),4)</f>
        <v>0.58330000000000004</v>
      </c>
      <c r="Z62" s="20">
        <f>ROUND(IF(OR($A62&lt;VLOOKUP(Z$2,行为概览!$D$3:$U$33,3,0),$A62&gt;VLOOKUP(Z$2,行为概览!$D$3:$U$33,4,0)),0,VLOOKUP(Z$2,行为概览!$D$3:$U$33,6,0)),4)</f>
        <v>0.16669999999999999</v>
      </c>
      <c r="AA62" s="20">
        <f>ROUND(IF(OR($A62&lt;VLOOKUP(AA$2,行为概览!$D$3:$U$33,3,0),$A62&gt;VLOOKUP(AA$2,行为概览!$D$3:$U$33,4,0)),0,VLOOKUP(AA$2,行为概览!$D$3:$U$33,6,0)),4)</f>
        <v>0</v>
      </c>
      <c r="AB62" s="20">
        <f>ROUND(IF(OR($A62&lt;VLOOKUP(AB$2,行为概览!$D$3:$U$33,3,0),$A62&gt;VLOOKUP(AB$2,行为概览!$D$3:$U$33,4,0)),0,VLOOKUP(AB$2,行为概览!$D$3:$U$33,6,0)),4)</f>
        <v>0</v>
      </c>
      <c r="AC62" s="20">
        <f>ROUND(IF(OR($A62&lt;VLOOKUP(AC$2,行为概览!$D$3:$U$33,3,0),$A62&gt;VLOOKUP(AC$2,行为概览!$D$3:$U$33,4,0)),0,VLOOKUP(AC$2,行为概览!$D$3:$U$33,6,0)),4)</f>
        <v>0</v>
      </c>
      <c r="AD62" s="20">
        <f>ROUND(IF(OR($A62&lt;VLOOKUP(AD$2,行为概览!$D$3:$U$33,3,0),$A62&gt;VLOOKUP(AD$2,行为概览!$D$3:$U$33,4,0)),0,VLOOKUP(AD$2,行为概览!$D$3:$U$33,6,0)),4)</f>
        <v>0</v>
      </c>
      <c r="AE62" s="20">
        <f>ROUND(IF(OR($A62&lt;VLOOKUP(AE$2,行为概览!$D$3:$U$33,3,0),$A62&gt;VLOOKUP(AE$2,行为概览!$D$3:$U$33,4,0)),0,VLOOKUP(AE$2,行为概览!$D$3:$U$33,6,0)),4)</f>
        <v>8.3299999999999999E-2</v>
      </c>
      <c r="AF62" s="20">
        <f>ROUND(IF(OR($A62&lt;VLOOKUP(AF$2,行为概览!$D$3:$U$33,3,0),$A62&gt;VLOOKUP(AF$2,行为概览!$D$3:$U$33,4,0)),0,VLOOKUP(AF$2,行为概览!$D$3:$U$33,6,0)),4)</f>
        <v>0</v>
      </c>
    </row>
    <row r="63" spans="1:32">
      <c r="A63" s="19">
        <v>61</v>
      </c>
      <c r="B63" s="20">
        <f>ROUND(IF(OR($A63&lt;VLOOKUP(B$2,行为概览!$D$3:$U$33,3,0),$A63&gt;VLOOKUP(B$2,行为概览!$D$3:$U$33,4,0)),0,VLOOKUP(B$2,行为概览!$D$3:$U$33,6,0)),4)</f>
        <v>0.33329999999999999</v>
      </c>
      <c r="C63" s="20">
        <f>ROUND(IF(OR($A63&lt;VLOOKUP(C$2,行为概览!$D$3:$U$33,3,0),$A63&gt;VLOOKUP(C$2,行为概览!$D$3:$U$33,4,0)),0,VLOOKUP(C$2,行为概览!$D$3:$U$33,6,0)),4)</f>
        <v>2</v>
      </c>
      <c r="D63" s="20">
        <f>ROUND(IF(OR($A63&lt;VLOOKUP(D$2,行为概览!$D$3:$U$33,3,0),$A63&gt;VLOOKUP(D$2,行为概览!$D$3:$U$33,4,0)),0,VLOOKUP(D$2,行为概览!$D$3:$U$33,6,0)),4)</f>
        <v>8.3299999999999999E-2</v>
      </c>
      <c r="E63" s="20">
        <f>ROUND(IF(OR($A63&lt;VLOOKUP(E$2,行为概览!$D$3:$U$33,3,0),$A63&gt;VLOOKUP(E$2,行为概览!$D$3:$U$33,4,0)),0,VLOOKUP(E$2,行为概览!$D$3:$U$33,6,0)),4)</f>
        <v>1</v>
      </c>
      <c r="F63" s="20">
        <f>ROUND(IF(OR($A63&lt;VLOOKUP(F$2,行为概览!$D$3:$U$33,3,0),$A63&gt;VLOOKUP(F$2,行为概览!$D$3:$U$33,4,0)),0,VLOOKUP(F$2,行为概览!$D$3:$U$33,6,0)),4)</f>
        <v>0.33329999999999999</v>
      </c>
      <c r="G63" s="20">
        <f>ROUND(IF(OR($A63&lt;VLOOKUP(G$2,行为概览!$D$3:$U$33,3,0),$A63&gt;VLOOKUP(G$2,行为概览!$D$3:$U$33,4,0)),0,VLOOKUP(G$2,行为概览!$D$3:$U$33,6,0)),4)</f>
        <v>0</v>
      </c>
      <c r="H63" s="20">
        <f>ROUND(IF(OR($A63&lt;VLOOKUP(H$2,行为概览!$D$3:$U$33,3,0),$A63&gt;VLOOKUP(H$2,行为概览!$D$3:$U$33,4,0)),0,VLOOKUP(H$2,行为概览!$D$3:$U$33,6,0)),4)</f>
        <v>0</v>
      </c>
      <c r="I63" s="20">
        <f>ROUND(IF(OR($A63&lt;VLOOKUP(I$2,行为概览!$D$3:$U$33,3,0),$A63&gt;VLOOKUP(I$2,行为概览!$D$3:$U$33,4,0)),0,VLOOKUP(I$2,行为概览!$D$3:$U$33,6,0)),4)</f>
        <v>0</v>
      </c>
      <c r="J63" s="20">
        <f>ROUND(IF(OR($A63&lt;VLOOKUP(J$2,行为概览!$D$3:$U$33,3,0),$A63&gt;VLOOKUP(J$2,行为概览!$D$3:$U$33,4,0)),0,VLOOKUP(J$2,行为概览!$D$3:$U$33,6,0)),4)</f>
        <v>0.5</v>
      </c>
      <c r="K63" s="20">
        <f>ROUND(IF(OR($A63&lt;VLOOKUP(K$2,行为概览!$D$3:$U$33,3,0),$A63&gt;VLOOKUP(K$2,行为概览!$D$3:$U$33,4,0)),0,VLOOKUP(K$2,行为概览!$D$3:$U$33,6,0)),4)</f>
        <v>0.16669999999999999</v>
      </c>
      <c r="L63" s="20">
        <f>ROUND(IF(OR($A63&lt;VLOOKUP(L$2,行为概览!$D$3:$U$33,3,0),$A63&gt;VLOOKUP(L$2,行为概览!$D$3:$U$33,4,0)),0,VLOOKUP(L$2,行为概览!$D$3:$U$33,6,0)),4)</f>
        <v>0.5</v>
      </c>
      <c r="M63" s="20">
        <f>ROUND(IF(OR($A63&lt;VLOOKUP(M$2,行为概览!$D$3:$U$33,3,0),$A63&gt;VLOOKUP(M$2,行为概览!$D$3:$U$33,4,0)),0,VLOOKUP(M$2,行为概览!$D$3:$U$33,6,0)),4)</f>
        <v>12</v>
      </c>
      <c r="N63" s="20">
        <f>ROUND(IF(OR($A63&lt;VLOOKUP(N$2,行为概览!$D$3:$U$33,3,0),$A63&gt;VLOOKUP(N$2,行为概览!$D$3:$U$33,4,0)),0,VLOOKUP(N$2,行为概览!$D$3:$U$33,6,0)),4)</f>
        <v>8.3299999999999999E-2</v>
      </c>
      <c r="O63" s="20">
        <f>ROUND(IF(OR($A63&lt;VLOOKUP(O$2,行为概览!$D$3:$U$33,3,0),$A63&gt;VLOOKUP(O$2,行为概览!$D$3:$U$33,4,0)),0,VLOOKUP(O$2,行为概览!$D$3:$U$33,6,0)),4)</f>
        <v>8.3299999999999999E-2</v>
      </c>
      <c r="P63" s="20">
        <f>ROUND(IF(OR($A63&lt;VLOOKUP(P$2,行为概览!$D$3:$U$33,3,0),$A63&gt;VLOOKUP(P$2,行为概览!$D$3:$U$33,4,0)),0,VLOOKUP(P$2,行为概览!$D$3:$U$33,6,0)),4)</f>
        <v>2.6</v>
      </c>
      <c r="Q63" s="20">
        <f>ROUND(IF(OR($A63&lt;VLOOKUP(Q$2,行为概览!$D$3:$U$33,3,0),$A63&gt;VLOOKUP(Q$2,行为概览!$D$3:$U$33,4,0)),0,VLOOKUP(Q$2,行为概览!$D$3:$U$33,6,0)),4)</f>
        <v>1</v>
      </c>
      <c r="R63" s="20">
        <f>ROUND(IF(OR($A63&lt;VLOOKUP(R$2,行为概览!$D$3:$U$33,3,0),$A63&gt;VLOOKUP(R$2,行为概览!$D$3:$U$33,4,0)),0,VLOOKUP(R$2,行为概览!$D$3:$U$33,6,0)),4)</f>
        <v>0.33329999999999999</v>
      </c>
      <c r="S63" s="20">
        <f>ROUND(IF(OR($A63&lt;VLOOKUP(S$2,行为概览!$D$3:$U$33,3,0),$A63&gt;VLOOKUP(S$2,行为概览!$D$3:$U$33,4,0)),0,VLOOKUP(S$2,行为概览!$D$3:$U$33,6,0)),4)</f>
        <v>0</v>
      </c>
      <c r="T63" s="20">
        <f>ROUND(IF(OR($A63&lt;VLOOKUP(T$2,行为概览!$D$3:$U$33,3,0),$A63&gt;VLOOKUP(T$2,行为概览!$D$3:$U$33,4,0)),0,VLOOKUP(T$2,行为概览!$D$3:$U$33,6,0)),4)</f>
        <v>0.33329999999999999</v>
      </c>
      <c r="U63" s="20">
        <f>ROUND(IF(OR($A63&lt;VLOOKUP(U$2,行为概览!$D$3:$U$33,3,0),$A63&gt;VLOOKUP(U$2,行为概览!$D$3:$U$33,4,0)),0,VLOOKUP(U$2,行为概览!$D$3:$U$33,6,0)),4)</f>
        <v>0.16669999999999999</v>
      </c>
      <c r="V63" s="20">
        <f>ROUND(IF(OR($A63&lt;VLOOKUP(V$2,行为概览!$D$3:$U$33,3,0),$A63&gt;VLOOKUP(V$2,行为概览!$D$3:$U$33,4,0)),0,VLOOKUP(V$2,行为概览!$D$3:$U$33,6,0)),4)</f>
        <v>0.16669999999999999</v>
      </c>
      <c r="W63" s="20">
        <f>ROUND(IF(OR($A63&lt;VLOOKUP(W$2,行为概览!$D$3:$U$33,3,0),$A63&gt;VLOOKUP(W$2,行为概览!$D$3:$U$33,4,0)),0,VLOOKUP(W$2,行为概览!$D$3:$U$33,6,0)),4)</f>
        <v>0.16669999999999999</v>
      </c>
      <c r="X63" s="20">
        <f>ROUND(IF(OR($A63&lt;VLOOKUP(X$2,行为概览!$D$3:$U$33,3,0),$A63&gt;VLOOKUP(X$2,行为概览!$D$3:$U$33,4,0)),0,VLOOKUP(X$2,行为概览!$D$3:$U$33,6,0)),4)</f>
        <v>0.25</v>
      </c>
      <c r="Y63" s="20">
        <f>ROUND(IF(OR($A63&lt;VLOOKUP(Y$2,行为概览!$D$3:$U$33,3,0),$A63&gt;VLOOKUP(Y$2,行为概览!$D$3:$U$33,4,0)),0,VLOOKUP(Y$2,行为概览!$D$3:$U$33,6,0)),4)</f>
        <v>0.58330000000000004</v>
      </c>
      <c r="Z63" s="20">
        <f>ROUND(IF(OR($A63&lt;VLOOKUP(Z$2,行为概览!$D$3:$U$33,3,0),$A63&gt;VLOOKUP(Z$2,行为概览!$D$3:$U$33,4,0)),0,VLOOKUP(Z$2,行为概览!$D$3:$U$33,6,0)),4)</f>
        <v>0.16669999999999999</v>
      </c>
      <c r="AA63" s="20">
        <f>ROUND(IF(OR($A63&lt;VLOOKUP(AA$2,行为概览!$D$3:$U$33,3,0),$A63&gt;VLOOKUP(AA$2,行为概览!$D$3:$U$33,4,0)),0,VLOOKUP(AA$2,行为概览!$D$3:$U$33,6,0)),4)</f>
        <v>0</v>
      </c>
      <c r="AB63" s="20">
        <f>ROUND(IF(OR($A63&lt;VLOOKUP(AB$2,行为概览!$D$3:$U$33,3,0),$A63&gt;VLOOKUP(AB$2,行为概览!$D$3:$U$33,4,0)),0,VLOOKUP(AB$2,行为概览!$D$3:$U$33,6,0)),4)</f>
        <v>0</v>
      </c>
      <c r="AC63" s="20">
        <f>ROUND(IF(OR($A63&lt;VLOOKUP(AC$2,行为概览!$D$3:$U$33,3,0),$A63&gt;VLOOKUP(AC$2,行为概览!$D$3:$U$33,4,0)),0,VLOOKUP(AC$2,行为概览!$D$3:$U$33,6,0)),4)</f>
        <v>0</v>
      </c>
      <c r="AD63" s="20">
        <f>ROUND(IF(OR($A63&lt;VLOOKUP(AD$2,行为概览!$D$3:$U$33,3,0),$A63&gt;VLOOKUP(AD$2,行为概览!$D$3:$U$33,4,0)),0,VLOOKUP(AD$2,行为概览!$D$3:$U$33,6,0)),4)</f>
        <v>0</v>
      </c>
      <c r="AE63" s="20">
        <f>ROUND(IF(OR($A63&lt;VLOOKUP(AE$2,行为概览!$D$3:$U$33,3,0),$A63&gt;VLOOKUP(AE$2,行为概览!$D$3:$U$33,4,0)),0,VLOOKUP(AE$2,行为概览!$D$3:$U$33,6,0)),4)</f>
        <v>8.3299999999999999E-2</v>
      </c>
      <c r="AF63" s="20">
        <f>ROUND(IF(OR($A63&lt;VLOOKUP(AF$2,行为概览!$D$3:$U$33,3,0),$A63&gt;VLOOKUP(AF$2,行为概览!$D$3:$U$33,4,0)),0,VLOOKUP(AF$2,行为概览!$D$3:$U$33,6,0)),4)</f>
        <v>0</v>
      </c>
    </row>
    <row r="64" spans="1:32">
      <c r="A64" s="19">
        <v>62</v>
      </c>
      <c r="B64" s="20">
        <f>ROUND(IF(OR($A64&lt;VLOOKUP(B$2,行为概览!$D$3:$U$33,3,0),$A64&gt;VLOOKUP(B$2,行为概览!$D$3:$U$33,4,0)),0,VLOOKUP(B$2,行为概览!$D$3:$U$33,6,0)),4)</f>
        <v>0.33329999999999999</v>
      </c>
      <c r="C64" s="20">
        <f>ROUND(IF(OR($A64&lt;VLOOKUP(C$2,行为概览!$D$3:$U$33,3,0),$A64&gt;VLOOKUP(C$2,行为概览!$D$3:$U$33,4,0)),0,VLOOKUP(C$2,行为概览!$D$3:$U$33,6,0)),4)</f>
        <v>2</v>
      </c>
      <c r="D64" s="20">
        <f>ROUND(IF(OR($A64&lt;VLOOKUP(D$2,行为概览!$D$3:$U$33,3,0),$A64&gt;VLOOKUP(D$2,行为概览!$D$3:$U$33,4,0)),0,VLOOKUP(D$2,行为概览!$D$3:$U$33,6,0)),4)</f>
        <v>8.3299999999999999E-2</v>
      </c>
      <c r="E64" s="20">
        <f>ROUND(IF(OR($A64&lt;VLOOKUP(E$2,行为概览!$D$3:$U$33,3,0),$A64&gt;VLOOKUP(E$2,行为概览!$D$3:$U$33,4,0)),0,VLOOKUP(E$2,行为概览!$D$3:$U$33,6,0)),4)</f>
        <v>1</v>
      </c>
      <c r="F64" s="20">
        <f>ROUND(IF(OR($A64&lt;VLOOKUP(F$2,行为概览!$D$3:$U$33,3,0),$A64&gt;VLOOKUP(F$2,行为概览!$D$3:$U$33,4,0)),0,VLOOKUP(F$2,行为概览!$D$3:$U$33,6,0)),4)</f>
        <v>0.33329999999999999</v>
      </c>
      <c r="G64" s="20">
        <f>ROUND(IF(OR($A64&lt;VLOOKUP(G$2,行为概览!$D$3:$U$33,3,0),$A64&gt;VLOOKUP(G$2,行为概览!$D$3:$U$33,4,0)),0,VLOOKUP(G$2,行为概览!$D$3:$U$33,6,0)),4)</f>
        <v>0</v>
      </c>
      <c r="H64" s="20">
        <f>ROUND(IF(OR($A64&lt;VLOOKUP(H$2,行为概览!$D$3:$U$33,3,0),$A64&gt;VLOOKUP(H$2,行为概览!$D$3:$U$33,4,0)),0,VLOOKUP(H$2,行为概览!$D$3:$U$33,6,0)),4)</f>
        <v>0</v>
      </c>
      <c r="I64" s="20">
        <f>ROUND(IF(OR($A64&lt;VLOOKUP(I$2,行为概览!$D$3:$U$33,3,0),$A64&gt;VLOOKUP(I$2,行为概览!$D$3:$U$33,4,0)),0,VLOOKUP(I$2,行为概览!$D$3:$U$33,6,0)),4)</f>
        <v>0</v>
      </c>
      <c r="J64" s="20">
        <f>ROUND(IF(OR($A64&lt;VLOOKUP(J$2,行为概览!$D$3:$U$33,3,0),$A64&gt;VLOOKUP(J$2,行为概览!$D$3:$U$33,4,0)),0,VLOOKUP(J$2,行为概览!$D$3:$U$33,6,0)),4)</f>
        <v>0.5</v>
      </c>
      <c r="K64" s="20">
        <f>ROUND(IF(OR($A64&lt;VLOOKUP(K$2,行为概览!$D$3:$U$33,3,0),$A64&gt;VLOOKUP(K$2,行为概览!$D$3:$U$33,4,0)),0,VLOOKUP(K$2,行为概览!$D$3:$U$33,6,0)),4)</f>
        <v>0.16669999999999999</v>
      </c>
      <c r="L64" s="20">
        <f>ROUND(IF(OR($A64&lt;VLOOKUP(L$2,行为概览!$D$3:$U$33,3,0),$A64&gt;VLOOKUP(L$2,行为概览!$D$3:$U$33,4,0)),0,VLOOKUP(L$2,行为概览!$D$3:$U$33,6,0)),4)</f>
        <v>0.5</v>
      </c>
      <c r="M64" s="20">
        <f>ROUND(IF(OR($A64&lt;VLOOKUP(M$2,行为概览!$D$3:$U$33,3,0),$A64&gt;VLOOKUP(M$2,行为概览!$D$3:$U$33,4,0)),0,VLOOKUP(M$2,行为概览!$D$3:$U$33,6,0)),4)</f>
        <v>12</v>
      </c>
      <c r="N64" s="20">
        <f>ROUND(IF(OR($A64&lt;VLOOKUP(N$2,行为概览!$D$3:$U$33,3,0),$A64&gt;VLOOKUP(N$2,行为概览!$D$3:$U$33,4,0)),0,VLOOKUP(N$2,行为概览!$D$3:$U$33,6,0)),4)</f>
        <v>8.3299999999999999E-2</v>
      </c>
      <c r="O64" s="20">
        <f>ROUND(IF(OR($A64&lt;VLOOKUP(O$2,行为概览!$D$3:$U$33,3,0),$A64&gt;VLOOKUP(O$2,行为概览!$D$3:$U$33,4,0)),0,VLOOKUP(O$2,行为概览!$D$3:$U$33,6,0)),4)</f>
        <v>8.3299999999999999E-2</v>
      </c>
      <c r="P64" s="20">
        <f>ROUND(IF(OR($A64&lt;VLOOKUP(P$2,行为概览!$D$3:$U$33,3,0),$A64&gt;VLOOKUP(P$2,行为概览!$D$3:$U$33,4,0)),0,VLOOKUP(P$2,行为概览!$D$3:$U$33,6,0)),4)</f>
        <v>2.6</v>
      </c>
      <c r="Q64" s="20">
        <f>ROUND(IF(OR($A64&lt;VLOOKUP(Q$2,行为概览!$D$3:$U$33,3,0),$A64&gt;VLOOKUP(Q$2,行为概览!$D$3:$U$33,4,0)),0,VLOOKUP(Q$2,行为概览!$D$3:$U$33,6,0)),4)</f>
        <v>1</v>
      </c>
      <c r="R64" s="20">
        <f>ROUND(IF(OR($A64&lt;VLOOKUP(R$2,行为概览!$D$3:$U$33,3,0),$A64&gt;VLOOKUP(R$2,行为概览!$D$3:$U$33,4,0)),0,VLOOKUP(R$2,行为概览!$D$3:$U$33,6,0)),4)</f>
        <v>0.33329999999999999</v>
      </c>
      <c r="S64" s="20">
        <f>ROUND(IF(OR($A64&lt;VLOOKUP(S$2,行为概览!$D$3:$U$33,3,0),$A64&gt;VLOOKUP(S$2,行为概览!$D$3:$U$33,4,0)),0,VLOOKUP(S$2,行为概览!$D$3:$U$33,6,0)),4)</f>
        <v>0</v>
      </c>
      <c r="T64" s="20">
        <f>ROUND(IF(OR($A64&lt;VLOOKUP(T$2,行为概览!$D$3:$U$33,3,0),$A64&gt;VLOOKUP(T$2,行为概览!$D$3:$U$33,4,0)),0,VLOOKUP(T$2,行为概览!$D$3:$U$33,6,0)),4)</f>
        <v>0.33329999999999999</v>
      </c>
      <c r="U64" s="20">
        <f>ROUND(IF(OR($A64&lt;VLOOKUP(U$2,行为概览!$D$3:$U$33,3,0),$A64&gt;VLOOKUP(U$2,行为概览!$D$3:$U$33,4,0)),0,VLOOKUP(U$2,行为概览!$D$3:$U$33,6,0)),4)</f>
        <v>0.16669999999999999</v>
      </c>
      <c r="V64" s="20">
        <f>ROUND(IF(OR($A64&lt;VLOOKUP(V$2,行为概览!$D$3:$U$33,3,0),$A64&gt;VLOOKUP(V$2,行为概览!$D$3:$U$33,4,0)),0,VLOOKUP(V$2,行为概览!$D$3:$U$33,6,0)),4)</f>
        <v>0.16669999999999999</v>
      </c>
      <c r="W64" s="20">
        <f>ROUND(IF(OR($A64&lt;VLOOKUP(W$2,行为概览!$D$3:$U$33,3,0),$A64&gt;VLOOKUP(W$2,行为概览!$D$3:$U$33,4,0)),0,VLOOKUP(W$2,行为概览!$D$3:$U$33,6,0)),4)</f>
        <v>0.16669999999999999</v>
      </c>
      <c r="X64" s="20">
        <f>ROUND(IF(OR($A64&lt;VLOOKUP(X$2,行为概览!$D$3:$U$33,3,0),$A64&gt;VLOOKUP(X$2,行为概览!$D$3:$U$33,4,0)),0,VLOOKUP(X$2,行为概览!$D$3:$U$33,6,0)),4)</f>
        <v>0.25</v>
      </c>
      <c r="Y64" s="20">
        <f>ROUND(IF(OR($A64&lt;VLOOKUP(Y$2,行为概览!$D$3:$U$33,3,0),$A64&gt;VLOOKUP(Y$2,行为概览!$D$3:$U$33,4,0)),0,VLOOKUP(Y$2,行为概览!$D$3:$U$33,6,0)),4)</f>
        <v>0.58330000000000004</v>
      </c>
      <c r="Z64" s="20">
        <f>ROUND(IF(OR($A64&lt;VLOOKUP(Z$2,行为概览!$D$3:$U$33,3,0),$A64&gt;VLOOKUP(Z$2,行为概览!$D$3:$U$33,4,0)),0,VLOOKUP(Z$2,行为概览!$D$3:$U$33,6,0)),4)</f>
        <v>0.16669999999999999</v>
      </c>
      <c r="AA64" s="20">
        <f>ROUND(IF(OR($A64&lt;VLOOKUP(AA$2,行为概览!$D$3:$U$33,3,0),$A64&gt;VLOOKUP(AA$2,行为概览!$D$3:$U$33,4,0)),0,VLOOKUP(AA$2,行为概览!$D$3:$U$33,6,0)),4)</f>
        <v>0</v>
      </c>
      <c r="AB64" s="20">
        <f>ROUND(IF(OR($A64&lt;VLOOKUP(AB$2,行为概览!$D$3:$U$33,3,0),$A64&gt;VLOOKUP(AB$2,行为概览!$D$3:$U$33,4,0)),0,VLOOKUP(AB$2,行为概览!$D$3:$U$33,6,0)),4)</f>
        <v>0</v>
      </c>
      <c r="AC64" s="20">
        <f>ROUND(IF(OR($A64&lt;VLOOKUP(AC$2,行为概览!$D$3:$U$33,3,0),$A64&gt;VLOOKUP(AC$2,行为概览!$D$3:$U$33,4,0)),0,VLOOKUP(AC$2,行为概览!$D$3:$U$33,6,0)),4)</f>
        <v>0</v>
      </c>
      <c r="AD64" s="20">
        <f>ROUND(IF(OR($A64&lt;VLOOKUP(AD$2,行为概览!$D$3:$U$33,3,0),$A64&gt;VLOOKUP(AD$2,行为概览!$D$3:$U$33,4,0)),0,VLOOKUP(AD$2,行为概览!$D$3:$U$33,6,0)),4)</f>
        <v>0</v>
      </c>
      <c r="AE64" s="20">
        <f>ROUND(IF(OR($A64&lt;VLOOKUP(AE$2,行为概览!$D$3:$U$33,3,0),$A64&gt;VLOOKUP(AE$2,行为概览!$D$3:$U$33,4,0)),0,VLOOKUP(AE$2,行为概览!$D$3:$U$33,6,0)),4)</f>
        <v>8.3299999999999999E-2</v>
      </c>
      <c r="AF64" s="20">
        <f>ROUND(IF(OR($A64&lt;VLOOKUP(AF$2,行为概览!$D$3:$U$33,3,0),$A64&gt;VLOOKUP(AF$2,行为概览!$D$3:$U$33,4,0)),0,VLOOKUP(AF$2,行为概览!$D$3:$U$33,6,0)),4)</f>
        <v>0</v>
      </c>
    </row>
    <row r="65" spans="1:32">
      <c r="A65" s="19">
        <v>63</v>
      </c>
      <c r="B65" s="20">
        <f>ROUND(IF(OR($A65&lt;VLOOKUP(B$2,行为概览!$D$3:$U$33,3,0),$A65&gt;VLOOKUP(B$2,行为概览!$D$3:$U$33,4,0)),0,VLOOKUP(B$2,行为概览!$D$3:$U$33,6,0)),4)</f>
        <v>0.33329999999999999</v>
      </c>
      <c r="C65" s="20">
        <f>ROUND(IF(OR($A65&lt;VLOOKUP(C$2,行为概览!$D$3:$U$33,3,0),$A65&gt;VLOOKUP(C$2,行为概览!$D$3:$U$33,4,0)),0,VLOOKUP(C$2,行为概览!$D$3:$U$33,6,0)),4)</f>
        <v>2</v>
      </c>
      <c r="D65" s="20">
        <f>ROUND(IF(OR($A65&lt;VLOOKUP(D$2,行为概览!$D$3:$U$33,3,0),$A65&gt;VLOOKUP(D$2,行为概览!$D$3:$U$33,4,0)),0,VLOOKUP(D$2,行为概览!$D$3:$U$33,6,0)),4)</f>
        <v>8.3299999999999999E-2</v>
      </c>
      <c r="E65" s="20">
        <f>ROUND(IF(OR($A65&lt;VLOOKUP(E$2,行为概览!$D$3:$U$33,3,0),$A65&gt;VLOOKUP(E$2,行为概览!$D$3:$U$33,4,0)),0,VLOOKUP(E$2,行为概览!$D$3:$U$33,6,0)),4)</f>
        <v>1</v>
      </c>
      <c r="F65" s="20">
        <f>ROUND(IF(OR($A65&lt;VLOOKUP(F$2,行为概览!$D$3:$U$33,3,0),$A65&gt;VLOOKUP(F$2,行为概览!$D$3:$U$33,4,0)),0,VLOOKUP(F$2,行为概览!$D$3:$U$33,6,0)),4)</f>
        <v>0.33329999999999999</v>
      </c>
      <c r="G65" s="20">
        <f>ROUND(IF(OR($A65&lt;VLOOKUP(G$2,行为概览!$D$3:$U$33,3,0),$A65&gt;VLOOKUP(G$2,行为概览!$D$3:$U$33,4,0)),0,VLOOKUP(G$2,行为概览!$D$3:$U$33,6,0)),4)</f>
        <v>0</v>
      </c>
      <c r="H65" s="20">
        <f>ROUND(IF(OR($A65&lt;VLOOKUP(H$2,行为概览!$D$3:$U$33,3,0),$A65&gt;VLOOKUP(H$2,行为概览!$D$3:$U$33,4,0)),0,VLOOKUP(H$2,行为概览!$D$3:$U$33,6,0)),4)</f>
        <v>0</v>
      </c>
      <c r="I65" s="20">
        <f>ROUND(IF(OR($A65&lt;VLOOKUP(I$2,行为概览!$D$3:$U$33,3,0),$A65&gt;VLOOKUP(I$2,行为概览!$D$3:$U$33,4,0)),0,VLOOKUP(I$2,行为概览!$D$3:$U$33,6,0)),4)</f>
        <v>0</v>
      </c>
      <c r="J65" s="20">
        <f>ROUND(IF(OR($A65&lt;VLOOKUP(J$2,行为概览!$D$3:$U$33,3,0),$A65&gt;VLOOKUP(J$2,行为概览!$D$3:$U$33,4,0)),0,VLOOKUP(J$2,行为概览!$D$3:$U$33,6,0)),4)</f>
        <v>0.5</v>
      </c>
      <c r="K65" s="20">
        <f>ROUND(IF(OR($A65&lt;VLOOKUP(K$2,行为概览!$D$3:$U$33,3,0),$A65&gt;VLOOKUP(K$2,行为概览!$D$3:$U$33,4,0)),0,VLOOKUP(K$2,行为概览!$D$3:$U$33,6,0)),4)</f>
        <v>0.16669999999999999</v>
      </c>
      <c r="L65" s="20">
        <f>ROUND(IF(OR($A65&lt;VLOOKUP(L$2,行为概览!$D$3:$U$33,3,0),$A65&gt;VLOOKUP(L$2,行为概览!$D$3:$U$33,4,0)),0,VLOOKUP(L$2,行为概览!$D$3:$U$33,6,0)),4)</f>
        <v>0.5</v>
      </c>
      <c r="M65" s="20">
        <f>ROUND(IF(OR($A65&lt;VLOOKUP(M$2,行为概览!$D$3:$U$33,3,0),$A65&gt;VLOOKUP(M$2,行为概览!$D$3:$U$33,4,0)),0,VLOOKUP(M$2,行为概览!$D$3:$U$33,6,0)),4)</f>
        <v>12</v>
      </c>
      <c r="N65" s="20">
        <f>ROUND(IF(OR($A65&lt;VLOOKUP(N$2,行为概览!$D$3:$U$33,3,0),$A65&gt;VLOOKUP(N$2,行为概览!$D$3:$U$33,4,0)),0,VLOOKUP(N$2,行为概览!$D$3:$U$33,6,0)),4)</f>
        <v>8.3299999999999999E-2</v>
      </c>
      <c r="O65" s="20">
        <f>ROUND(IF(OR($A65&lt;VLOOKUP(O$2,行为概览!$D$3:$U$33,3,0),$A65&gt;VLOOKUP(O$2,行为概览!$D$3:$U$33,4,0)),0,VLOOKUP(O$2,行为概览!$D$3:$U$33,6,0)),4)</f>
        <v>8.3299999999999999E-2</v>
      </c>
      <c r="P65" s="20">
        <f>ROUND(IF(OR($A65&lt;VLOOKUP(P$2,行为概览!$D$3:$U$33,3,0),$A65&gt;VLOOKUP(P$2,行为概览!$D$3:$U$33,4,0)),0,VLOOKUP(P$2,行为概览!$D$3:$U$33,6,0)),4)</f>
        <v>2.6</v>
      </c>
      <c r="Q65" s="20">
        <f>ROUND(IF(OR($A65&lt;VLOOKUP(Q$2,行为概览!$D$3:$U$33,3,0),$A65&gt;VLOOKUP(Q$2,行为概览!$D$3:$U$33,4,0)),0,VLOOKUP(Q$2,行为概览!$D$3:$U$33,6,0)),4)</f>
        <v>1</v>
      </c>
      <c r="R65" s="20">
        <f>ROUND(IF(OR($A65&lt;VLOOKUP(R$2,行为概览!$D$3:$U$33,3,0),$A65&gt;VLOOKUP(R$2,行为概览!$D$3:$U$33,4,0)),0,VLOOKUP(R$2,行为概览!$D$3:$U$33,6,0)),4)</f>
        <v>0.33329999999999999</v>
      </c>
      <c r="S65" s="20">
        <f>ROUND(IF(OR($A65&lt;VLOOKUP(S$2,行为概览!$D$3:$U$33,3,0),$A65&gt;VLOOKUP(S$2,行为概览!$D$3:$U$33,4,0)),0,VLOOKUP(S$2,行为概览!$D$3:$U$33,6,0)),4)</f>
        <v>0</v>
      </c>
      <c r="T65" s="20">
        <f>ROUND(IF(OR($A65&lt;VLOOKUP(T$2,行为概览!$D$3:$U$33,3,0),$A65&gt;VLOOKUP(T$2,行为概览!$D$3:$U$33,4,0)),0,VLOOKUP(T$2,行为概览!$D$3:$U$33,6,0)),4)</f>
        <v>0.33329999999999999</v>
      </c>
      <c r="U65" s="20">
        <f>ROUND(IF(OR($A65&lt;VLOOKUP(U$2,行为概览!$D$3:$U$33,3,0),$A65&gt;VLOOKUP(U$2,行为概览!$D$3:$U$33,4,0)),0,VLOOKUP(U$2,行为概览!$D$3:$U$33,6,0)),4)</f>
        <v>0.16669999999999999</v>
      </c>
      <c r="V65" s="20">
        <f>ROUND(IF(OR($A65&lt;VLOOKUP(V$2,行为概览!$D$3:$U$33,3,0),$A65&gt;VLOOKUP(V$2,行为概览!$D$3:$U$33,4,0)),0,VLOOKUP(V$2,行为概览!$D$3:$U$33,6,0)),4)</f>
        <v>0.16669999999999999</v>
      </c>
      <c r="W65" s="20">
        <f>ROUND(IF(OR($A65&lt;VLOOKUP(W$2,行为概览!$D$3:$U$33,3,0),$A65&gt;VLOOKUP(W$2,行为概览!$D$3:$U$33,4,0)),0,VLOOKUP(W$2,行为概览!$D$3:$U$33,6,0)),4)</f>
        <v>0.16669999999999999</v>
      </c>
      <c r="X65" s="20">
        <f>ROUND(IF(OR($A65&lt;VLOOKUP(X$2,行为概览!$D$3:$U$33,3,0),$A65&gt;VLOOKUP(X$2,行为概览!$D$3:$U$33,4,0)),0,VLOOKUP(X$2,行为概览!$D$3:$U$33,6,0)),4)</f>
        <v>0.25</v>
      </c>
      <c r="Y65" s="20">
        <f>ROUND(IF(OR($A65&lt;VLOOKUP(Y$2,行为概览!$D$3:$U$33,3,0),$A65&gt;VLOOKUP(Y$2,行为概览!$D$3:$U$33,4,0)),0,VLOOKUP(Y$2,行为概览!$D$3:$U$33,6,0)),4)</f>
        <v>0.58330000000000004</v>
      </c>
      <c r="Z65" s="20">
        <f>ROUND(IF(OR($A65&lt;VLOOKUP(Z$2,行为概览!$D$3:$U$33,3,0),$A65&gt;VLOOKUP(Z$2,行为概览!$D$3:$U$33,4,0)),0,VLOOKUP(Z$2,行为概览!$D$3:$U$33,6,0)),4)</f>
        <v>0.16669999999999999</v>
      </c>
      <c r="AA65" s="20">
        <f>ROUND(IF(OR($A65&lt;VLOOKUP(AA$2,行为概览!$D$3:$U$33,3,0),$A65&gt;VLOOKUP(AA$2,行为概览!$D$3:$U$33,4,0)),0,VLOOKUP(AA$2,行为概览!$D$3:$U$33,6,0)),4)</f>
        <v>0</v>
      </c>
      <c r="AB65" s="20">
        <f>ROUND(IF(OR($A65&lt;VLOOKUP(AB$2,行为概览!$D$3:$U$33,3,0),$A65&gt;VLOOKUP(AB$2,行为概览!$D$3:$U$33,4,0)),0,VLOOKUP(AB$2,行为概览!$D$3:$U$33,6,0)),4)</f>
        <v>0</v>
      </c>
      <c r="AC65" s="20">
        <f>ROUND(IF(OR($A65&lt;VLOOKUP(AC$2,行为概览!$D$3:$U$33,3,0),$A65&gt;VLOOKUP(AC$2,行为概览!$D$3:$U$33,4,0)),0,VLOOKUP(AC$2,行为概览!$D$3:$U$33,6,0)),4)</f>
        <v>0</v>
      </c>
      <c r="AD65" s="20">
        <f>ROUND(IF(OR($A65&lt;VLOOKUP(AD$2,行为概览!$D$3:$U$33,3,0),$A65&gt;VLOOKUP(AD$2,行为概览!$D$3:$U$33,4,0)),0,VLOOKUP(AD$2,行为概览!$D$3:$U$33,6,0)),4)</f>
        <v>0</v>
      </c>
      <c r="AE65" s="20">
        <f>ROUND(IF(OR($A65&lt;VLOOKUP(AE$2,行为概览!$D$3:$U$33,3,0),$A65&gt;VLOOKUP(AE$2,行为概览!$D$3:$U$33,4,0)),0,VLOOKUP(AE$2,行为概览!$D$3:$U$33,6,0)),4)</f>
        <v>8.3299999999999999E-2</v>
      </c>
      <c r="AF65" s="20">
        <f>ROUND(IF(OR($A65&lt;VLOOKUP(AF$2,行为概览!$D$3:$U$33,3,0),$A65&gt;VLOOKUP(AF$2,行为概览!$D$3:$U$33,4,0)),0,VLOOKUP(AF$2,行为概览!$D$3:$U$33,6,0)),4)</f>
        <v>0</v>
      </c>
    </row>
    <row r="66" spans="1:32">
      <c r="A66" s="19">
        <v>64</v>
      </c>
      <c r="B66" s="20">
        <f>ROUND(IF(OR($A66&lt;VLOOKUP(B$2,行为概览!$D$3:$U$33,3,0),$A66&gt;VLOOKUP(B$2,行为概览!$D$3:$U$33,4,0)),0,VLOOKUP(B$2,行为概览!$D$3:$U$33,6,0)),4)</f>
        <v>0.33329999999999999</v>
      </c>
      <c r="C66" s="20">
        <f>ROUND(IF(OR($A66&lt;VLOOKUP(C$2,行为概览!$D$3:$U$33,3,0),$A66&gt;VLOOKUP(C$2,行为概览!$D$3:$U$33,4,0)),0,VLOOKUP(C$2,行为概览!$D$3:$U$33,6,0)),4)</f>
        <v>2</v>
      </c>
      <c r="D66" s="20">
        <f>ROUND(IF(OR($A66&lt;VLOOKUP(D$2,行为概览!$D$3:$U$33,3,0),$A66&gt;VLOOKUP(D$2,行为概览!$D$3:$U$33,4,0)),0,VLOOKUP(D$2,行为概览!$D$3:$U$33,6,0)),4)</f>
        <v>8.3299999999999999E-2</v>
      </c>
      <c r="E66" s="20">
        <f>ROUND(IF(OR($A66&lt;VLOOKUP(E$2,行为概览!$D$3:$U$33,3,0),$A66&gt;VLOOKUP(E$2,行为概览!$D$3:$U$33,4,0)),0,VLOOKUP(E$2,行为概览!$D$3:$U$33,6,0)),4)</f>
        <v>1</v>
      </c>
      <c r="F66" s="20">
        <f>ROUND(IF(OR($A66&lt;VLOOKUP(F$2,行为概览!$D$3:$U$33,3,0),$A66&gt;VLOOKUP(F$2,行为概览!$D$3:$U$33,4,0)),0,VLOOKUP(F$2,行为概览!$D$3:$U$33,6,0)),4)</f>
        <v>0.33329999999999999</v>
      </c>
      <c r="G66" s="20">
        <f>ROUND(IF(OR($A66&lt;VLOOKUP(G$2,行为概览!$D$3:$U$33,3,0),$A66&gt;VLOOKUP(G$2,行为概览!$D$3:$U$33,4,0)),0,VLOOKUP(G$2,行为概览!$D$3:$U$33,6,0)),4)</f>
        <v>0</v>
      </c>
      <c r="H66" s="20">
        <f>ROUND(IF(OR($A66&lt;VLOOKUP(H$2,行为概览!$D$3:$U$33,3,0),$A66&gt;VLOOKUP(H$2,行为概览!$D$3:$U$33,4,0)),0,VLOOKUP(H$2,行为概览!$D$3:$U$33,6,0)),4)</f>
        <v>0</v>
      </c>
      <c r="I66" s="20">
        <f>ROUND(IF(OR($A66&lt;VLOOKUP(I$2,行为概览!$D$3:$U$33,3,0),$A66&gt;VLOOKUP(I$2,行为概览!$D$3:$U$33,4,0)),0,VLOOKUP(I$2,行为概览!$D$3:$U$33,6,0)),4)</f>
        <v>0</v>
      </c>
      <c r="J66" s="20">
        <f>ROUND(IF(OR($A66&lt;VLOOKUP(J$2,行为概览!$D$3:$U$33,3,0),$A66&gt;VLOOKUP(J$2,行为概览!$D$3:$U$33,4,0)),0,VLOOKUP(J$2,行为概览!$D$3:$U$33,6,0)),4)</f>
        <v>0.5</v>
      </c>
      <c r="K66" s="20">
        <f>ROUND(IF(OR($A66&lt;VLOOKUP(K$2,行为概览!$D$3:$U$33,3,0),$A66&gt;VLOOKUP(K$2,行为概览!$D$3:$U$33,4,0)),0,VLOOKUP(K$2,行为概览!$D$3:$U$33,6,0)),4)</f>
        <v>0.16669999999999999</v>
      </c>
      <c r="L66" s="20">
        <f>ROUND(IF(OR($A66&lt;VLOOKUP(L$2,行为概览!$D$3:$U$33,3,0),$A66&gt;VLOOKUP(L$2,行为概览!$D$3:$U$33,4,0)),0,VLOOKUP(L$2,行为概览!$D$3:$U$33,6,0)),4)</f>
        <v>0.5</v>
      </c>
      <c r="M66" s="20">
        <f>ROUND(IF(OR($A66&lt;VLOOKUP(M$2,行为概览!$D$3:$U$33,3,0),$A66&gt;VLOOKUP(M$2,行为概览!$D$3:$U$33,4,0)),0,VLOOKUP(M$2,行为概览!$D$3:$U$33,6,0)),4)</f>
        <v>12</v>
      </c>
      <c r="N66" s="20">
        <f>ROUND(IF(OR($A66&lt;VLOOKUP(N$2,行为概览!$D$3:$U$33,3,0),$A66&gt;VLOOKUP(N$2,行为概览!$D$3:$U$33,4,0)),0,VLOOKUP(N$2,行为概览!$D$3:$U$33,6,0)),4)</f>
        <v>8.3299999999999999E-2</v>
      </c>
      <c r="O66" s="20">
        <f>ROUND(IF(OR($A66&lt;VLOOKUP(O$2,行为概览!$D$3:$U$33,3,0),$A66&gt;VLOOKUP(O$2,行为概览!$D$3:$U$33,4,0)),0,VLOOKUP(O$2,行为概览!$D$3:$U$33,6,0)),4)</f>
        <v>8.3299999999999999E-2</v>
      </c>
      <c r="P66" s="20">
        <f>ROUND(IF(OR($A66&lt;VLOOKUP(P$2,行为概览!$D$3:$U$33,3,0),$A66&gt;VLOOKUP(P$2,行为概览!$D$3:$U$33,4,0)),0,VLOOKUP(P$2,行为概览!$D$3:$U$33,6,0)),4)</f>
        <v>2.6</v>
      </c>
      <c r="Q66" s="20">
        <f>ROUND(IF(OR($A66&lt;VLOOKUP(Q$2,行为概览!$D$3:$U$33,3,0),$A66&gt;VLOOKUP(Q$2,行为概览!$D$3:$U$33,4,0)),0,VLOOKUP(Q$2,行为概览!$D$3:$U$33,6,0)),4)</f>
        <v>1</v>
      </c>
      <c r="R66" s="20">
        <f>ROUND(IF(OR($A66&lt;VLOOKUP(R$2,行为概览!$D$3:$U$33,3,0),$A66&gt;VLOOKUP(R$2,行为概览!$D$3:$U$33,4,0)),0,VLOOKUP(R$2,行为概览!$D$3:$U$33,6,0)),4)</f>
        <v>0.33329999999999999</v>
      </c>
      <c r="S66" s="20">
        <f>ROUND(IF(OR($A66&lt;VLOOKUP(S$2,行为概览!$D$3:$U$33,3,0),$A66&gt;VLOOKUP(S$2,行为概览!$D$3:$U$33,4,0)),0,VLOOKUP(S$2,行为概览!$D$3:$U$33,6,0)),4)</f>
        <v>0</v>
      </c>
      <c r="T66" s="20">
        <f>ROUND(IF(OR($A66&lt;VLOOKUP(T$2,行为概览!$D$3:$U$33,3,0),$A66&gt;VLOOKUP(T$2,行为概览!$D$3:$U$33,4,0)),0,VLOOKUP(T$2,行为概览!$D$3:$U$33,6,0)),4)</f>
        <v>0.33329999999999999</v>
      </c>
      <c r="U66" s="20">
        <f>ROUND(IF(OR($A66&lt;VLOOKUP(U$2,行为概览!$D$3:$U$33,3,0),$A66&gt;VLOOKUP(U$2,行为概览!$D$3:$U$33,4,0)),0,VLOOKUP(U$2,行为概览!$D$3:$U$33,6,0)),4)</f>
        <v>0.16669999999999999</v>
      </c>
      <c r="V66" s="20">
        <f>ROUND(IF(OR($A66&lt;VLOOKUP(V$2,行为概览!$D$3:$U$33,3,0),$A66&gt;VLOOKUP(V$2,行为概览!$D$3:$U$33,4,0)),0,VLOOKUP(V$2,行为概览!$D$3:$U$33,6,0)),4)</f>
        <v>0.16669999999999999</v>
      </c>
      <c r="W66" s="20">
        <f>ROUND(IF(OR($A66&lt;VLOOKUP(W$2,行为概览!$D$3:$U$33,3,0),$A66&gt;VLOOKUP(W$2,行为概览!$D$3:$U$33,4,0)),0,VLOOKUP(W$2,行为概览!$D$3:$U$33,6,0)),4)</f>
        <v>0.16669999999999999</v>
      </c>
      <c r="X66" s="20">
        <f>ROUND(IF(OR($A66&lt;VLOOKUP(X$2,行为概览!$D$3:$U$33,3,0),$A66&gt;VLOOKUP(X$2,行为概览!$D$3:$U$33,4,0)),0,VLOOKUP(X$2,行为概览!$D$3:$U$33,6,0)),4)</f>
        <v>0.25</v>
      </c>
      <c r="Y66" s="20">
        <f>ROUND(IF(OR($A66&lt;VLOOKUP(Y$2,行为概览!$D$3:$U$33,3,0),$A66&gt;VLOOKUP(Y$2,行为概览!$D$3:$U$33,4,0)),0,VLOOKUP(Y$2,行为概览!$D$3:$U$33,6,0)),4)</f>
        <v>0.58330000000000004</v>
      </c>
      <c r="Z66" s="20">
        <f>ROUND(IF(OR($A66&lt;VLOOKUP(Z$2,行为概览!$D$3:$U$33,3,0),$A66&gt;VLOOKUP(Z$2,行为概览!$D$3:$U$33,4,0)),0,VLOOKUP(Z$2,行为概览!$D$3:$U$33,6,0)),4)</f>
        <v>0.16669999999999999</v>
      </c>
      <c r="AA66" s="20">
        <f>ROUND(IF(OR($A66&lt;VLOOKUP(AA$2,行为概览!$D$3:$U$33,3,0),$A66&gt;VLOOKUP(AA$2,行为概览!$D$3:$U$33,4,0)),0,VLOOKUP(AA$2,行为概览!$D$3:$U$33,6,0)),4)</f>
        <v>0</v>
      </c>
      <c r="AB66" s="20">
        <f>ROUND(IF(OR($A66&lt;VLOOKUP(AB$2,行为概览!$D$3:$U$33,3,0),$A66&gt;VLOOKUP(AB$2,行为概览!$D$3:$U$33,4,0)),0,VLOOKUP(AB$2,行为概览!$D$3:$U$33,6,0)),4)</f>
        <v>0</v>
      </c>
      <c r="AC66" s="20">
        <f>ROUND(IF(OR($A66&lt;VLOOKUP(AC$2,行为概览!$D$3:$U$33,3,0),$A66&gt;VLOOKUP(AC$2,行为概览!$D$3:$U$33,4,0)),0,VLOOKUP(AC$2,行为概览!$D$3:$U$33,6,0)),4)</f>
        <v>0</v>
      </c>
      <c r="AD66" s="20">
        <f>ROUND(IF(OR($A66&lt;VLOOKUP(AD$2,行为概览!$D$3:$U$33,3,0),$A66&gt;VLOOKUP(AD$2,行为概览!$D$3:$U$33,4,0)),0,VLOOKUP(AD$2,行为概览!$D$3:$U$33,6,0)),4)</f>
        <v>0</v>
      </c>
      <c r="AE66" s="20">
        <f>ROUND(IF(OR($A66&lt;VLOOKUP(AE$2,行为概览!$D$3:$U$33,3,0),$A66&gt;VLOOKUP(AE$2,行为概览!$D$3:$U$33,4,0)),0,VLOOKUP(AE$2,行为概览!$D$3:$U$33,6,0)),4)</f>
        <v>8.3299999999999999E-2</v>
      </c>
      <c r="AF66" s="20">
        <f>ROUND(IF(OR($A66&lt;VLOOKUP(AF$2,行为概览!$D$3:$U$33,3,0),$A66&gt;VLOOKUP(AF$2,行为概览!$D$3:$U$33,4,0)),0,VLOOKUP(AF$2,行为概览!$D$3:$U$33,6,0)),4)</f>
        <v>0</v>
      </c>
    </row>
    <row r="67" spans="1:32">
      <c r="A67" s="19">
        <v>65</v>
      </c>
      <c r="B67" s="20">
        <f>ROUND(IF(OR($A67&lt;VLOOKUP(B$2,行为概览!$D$3:$U$33,3,0),$A67&gt;VLOOKUP(B$2,行为概览!$D$3:$U$33,4,0)),0,VLOOKUP(B$2,行为概览!$D$3:$U$33,6,0)),4)</f>
        <v>0.33329999999999999</v>
      </c>
      <c r="C67" s="20">
        <f>ROUND(IF(OR($A67&lt;VLOOKUP(C$2,行为概览!$D$3:$U$33,3,0),$A67&gt;VLOOKUP(C$2,行为概览!$D$3:$U$33,4,0)),0,VLOOKUP(C$2,行为概览!$D$3:$U$33,6,0)),4)</f>
        <v>2</v>
      </c>
      <c r="D67" s="20">
        <f>ROUND(IF(OR($A67&lt;VLOOKUP(D$2,行为概览!$D$3:$U$33,3,0),$A67&gt;VLOOKUP(D$2,行为概览!$D$3:$U$33,4,0)),0,VLOOKUP(D$2,行为概览!$D$3:$U$33,6,0)),4)</f>
        <v>8.3299999999999999E-2</v>
      </c>
      <c r="E67" s="20">
        <f>ROUND(IF(OR($A67&lt;VLOOKUP(E$2,行为概览!$D$3:$U$33,3,0),$A67&gt;VLOOKUP(E$2,行为概览!$D$3:$U$33,4,0)),0,VLOOKUP(E$2,行为概览!$D$3:$U$33,6,0)),4)</f>
        <v>1</v>
      </c>
      <c r="F67" s="20">
        <f>ROUND(IF(OR($A67&lt;VLOOKUP(F$2,行为概览!$D$3:$U$33,3,0),$A67&gt;VLOOKUP(F$2,行为概览!$D$3:$U$33,4,0)),0,VLOOKUP(F$2,行为概览!$D$3:$U$33,6,0)),4)</f>
        <v>0.33329999999999999</v>
      </c>
      <c r="G67" s="20">
        <f>ROUND(IF(OR($A67&lt;VLOOKUP(G$2,行为概览!$D$3:$U$33,3,0),$A67&gt;VLOOKUP(G$2,行为概览!$D$3:$U$33,4,0)),0,VLOOKUP(G$2,行为概览!$D$3:$U$33,6,0)),4)</f>
        <v>0</v>
      </c>
      <c r="H67" s="20">
        <f>ROUND(IF(OR($A67&lt;VLOOKUP(H$2,行为概览!$D$3:$U$33,3,0),$A67&gt;VLOOKUP(H$2,行为概览!$D$3:$U$33,4,0)),0,VLOOKUP(H$2,行为概览!$D$3:$U$33,6,0)),4)</f>
        <v>0</v>
      </c>
      <c r="I67" s="20">
        <f>ROUND(IF(OR($A67&lt;VLOOKUP(I$2,行为概览!$D$3:$U$33,3,0),$A67&gt;VLOOKUP(I$2,行为概览!$D$3:$U$33,4,0)),0,VLOOKUP(I$2,行为概览!$D$3:$U$33,6,0)),4)</f>
        <v>0</v>
      </c>
      <c r="J67" s="20">
        <f>ROUND(IF(OR($A67&lt;VLOOKUP(J$2,行为概览!$D$3:$U$33,3,0),$A67&gt;VLOOKUP(J$2,行为概览!$D$3:$U$33,4,0)),0,VLOOKUP(J$2,行为概览!$D$3:$U$33,6,0)),4)</f>
        <v>0.5</v>
      </c>
      <c r="K67" s="20">
        <f>ROUND(IF(OR($A67&lt;VLOOKUP(K$2,行为概览!$D$3:$U$33,3,0),$A67&gt;VLOOKUP(K$2,行为概览!$D$3:$U$33,4,0)),0,VLOOKUP(K$2,行为概览!$D$3:$U$33,6,0)),4)</f>
        <v>0.16669999999999999</v>
      </c>
      <c r="L67" s="20">
        <f>ROUND(IF(OR($A67&lt;VLOOKUP(L$2,行为概览!$D$3:$U$33,3,0),$A67&gt;VLOOKUP(L$2,行为概览!$D$3:$U$33,4,0)),0,VLOOKUP(L$2,行为概览!$D$3:$U$33,6,0)),4)</f>
        <v>0.5</v>
      </c>
      <c r="M67" s="20">
        <f>ROUND(IF(OR($A67&lt;VLOOKUP(M$2,行为概览!$D$3:$U$33,3,0),$A67&gt;VLOOKUP(M$2,行为概览!$D$3:$U$33,4,0)),0,VLOOKUP(M$2,行为概览!$D$3:$U$33,6,0)),4)</f>
        <v>12</v>
      </c>
      <c r="N67" s="20">
        <f>ROUND(IF(OR($A67&lt;VLOOKUP(N$2,行为概览!$D$3:$U$33,3,0),$A67&gt;VLOOKUP(N$2,行为概览!$D$3:$U$33,4,0)),0,VLOOKUP(N$2,行为概览!$D$3:$U$33,6,0)),4)</f>
        <v>8.3299999999999999E-2</v>
      </c>
      <c r="O67" s="20">
        <f>ROUND(IF(OR($A67&lt;VLOOKUP(O$2,行为概览!$D$3:$U$33,3,0),$A67&gt;VLOOKUP(O$2,行为概览!$D$3:$U$33,4,0)),0,VLOOKUP(O$2,行为概览!$D$3:$U$33,6,0)),4)</f>
        <v>8.3299999999999999E-2</v>
      </c>
      <c r="P67" s="20">
        <f>ROUND(IF(OR($A67&lt;VLOOKUP(P$2,行为概览!$D$3:$U$33,3,0),$A67&gt;VLOOKUP(P$2,行为概览!$D$3:$U$33,4,0)),0,VLOOKUP(P$2,行为概览!$D$3:$U$33,6,0)),4)</f>
        <v>2.6</v>
      </c>
      <c r="Q67" s="20">
        <f>ROUND(IF(OR($A67&lt;VLOOKUP(Q$2,行为概览!$D$3:$U$33,3,0),$A67&gt;VLOOKUP(Q$2,行为概览!$D$3:$U$33,4,0)),0,VLOOKUP(Q$2,行为概览!$D$3:$U$33,6,0)),4)</f>
        <v>1</v>
      </c>
      <c r="R67" s="20">
        <f>ROUND(IF(OR($A67&lt;VLOOKUP(R$2,行为概览!$D$3:$U$33,3,0),$A67&gt;VLOOKUP(R$2,行为概览!$D$3:$U$33,4,0)),0,VLOOKUP(R$2,行为概览!$D$3:$U$33,6,0)),4)</f>
        <v>0.33329999999999999</v>
      </c>
      <c r="S67" s="20">
        <f>ROUND(IF(OR($A67&lt;VLOOKUP(S$2,行为概览!$D$3:$U$33,3,0),$A67&gt;VLOOKUP(S$2,行为概览!$D$3:$U$33,4,0)),0,VLOOKUP(S$2,行为概览!$D$3:$U$33,6,0)),4)</f>
        <v>0</v>
      </c>
      <c r="T67" s="20">
        <f>ROUND(IF(OR($A67&lt;VLOOKUP(T$2,行为概览!$D$3:$U$33,3,0),$A67&gt;VLOOKUP(T$2,行为概览!$D$3:$U$33,4,0)),0,VLOOKUP(T$2,行为概览!$D$3:$U$33,6,0)),4)</f>
        <v>0.33329999999999999</v>
      </c>
      <c r="U67" s="20">
        <f>ROUND(IF(OR($A67&lt;VLOOKUP(U$2,行为概览!$D$3:$U$33,3,0),$A67&gt;VLOOKUP(U$2,行为概览!$D$3:$U$33,4,0)),0,VLOOKUP(U$2,行为概览!$D$3:$U$33,6,0)),4)</f>
        <v>0.16669999999999999</v>
      </c>
      <c r="V67" s="20">
        <f>ROUND(IF(OR($A67&lt;VLOOKUP(V$2,行为概览!$D$3:$U$33,3,0),$A67&gt;VLOOKUP(V$2,行为概览!$D$3:$U$33,4,0)),0,VLOOKUP(V$2,行为概览!$D$3:$U$33,6,0)),4)</f>
        <v>0.16669999999999999</v>
      </c>
      <c r="W67" s="20">
        <f>ROUND(IF(OR($A67&lt;VLOOKUP(W$2,行为概览!$D$3:$U$33,3,0),$A67&gt;VLOOKUP(W$2,行为概览!$D$3:$U$33,4,0)),0,VLOOKUP(W$2,行为概览!$D$3:$U$33,6,0)),4)</f>
        <v>0.16669999999999999</v>
      </c>
      <c r="X67" s="20">
        <f>ROUND(IF(OR($A67&lt;VLOOKUP(X$2,行为概览!$D$3:$U$33,3,0),$A67&gt;VLOOKUP(X$2,行为概览!$D$3:$U$33,4,0)),0,VLOOKUP(X$2,行为概览!$D$3:$U$33,6,0)),4)</f>
        <v>0.25</v>
      </c>
      <c r="Y67" s="20">
        <f>ROUND(IF(OR($A67&lt;VLOOKUP(Y$2,行为概览!$D$3:$U$33,3,0),$A67&gt;VLOOKUP(Y$2,行为概览!$D$3:$U$33,4,0)),0,VLOOKUP(Y$2,行为概览!$D$3:$U$33,6,0)),4)</f>
        <v>0.58330000000000004</v>
      </c>
      <c r="Z67" s="20">
        <f>ROUND(IF(OR($A67&lt;VLOOKUP(Z$2,行为概览!$D$3:$U$33,3,0),$A67&gt;VLOOKUP(Z$2,行为概览!$D$3:$U$33,4,0)),0,VLOOKUP(Z$2,行为概览!$D$3:$U$33,6,0)),4)</f>
        <v>0.16669999999999999</v>
      </c>
      <c r="AA67" s="20">
        <f>ROUND(IF(OR($A67&lt;VLOOKUP(AA$2,行为概览!$D$3:$U$33,3,0),$A67&gt;VLOOKUP(AA$2,行为概览!$D$3:$U$33,4,0)),0,VLOOKUP(AA$2,行为概览!$D$3:$U$33,6,0)),4)</f>
        <v>0</v>
      </c>
      <c r="AB67" s="20">
        <f>ROUND(IF(OR($A67&lt;VLOOKUP(AB$2,行为概览!$D$3:$U$33,3,0),$A67&gt;VLOOKUP(AB$2,行为概览!$D$3:$U$33,4,0)),0,VLOOKUP(AB$2,行为概览!$D$3:$U$33,6,0)),4)</f>
        <v>0</v>
      </c>
      <c r="AC67" s="20">
        <f>ROUND(IF(OR($A67&lt;VLOOKUP(AC$2,行为概览!$D$3:$U$33,3,0),$A67&gt;VLOOKUP(AC$2,行为概览!$D$3:$U$33,4,0)),0,VLOOKUP(AC$2,行为概览!$D$3:$U$33,6,0)),4)</f>
        <v>0</v>
      </c>
      <c r="AD67" s="20">
        <f>ROUND(IF(OR($A67&lt;VLOOKUP(AD$2,行为概览!$D$3:$U$33,3,0),$A67&gt;VLOOKUP(AD$2,行为概览!$D$3:$U$33,4,0)),0,VLOOKUP(AD$2,行为概览!$D$3:$U$33,6,0)),4)</f>
        <v>0</v>
      </c>
      <c r="AE67" s="20">
        <f>ROUND(IF(OR($A67&lt;VLOOKUP(AE$2,行为概览!$D$3:$U$33,3,0),$A67&gt;VLOOKUP(AE$2,行为概览!$D$3:$U$33,4,0)),0,VLOOKUP(AE$2,行为概览!$D$3:$U$33,6,0)),4)</f>
        <v>8.3299999999999999E-2</v>
      </c>
      <c r="AF67" s="20">
        <f>ROUND(IF(OR($A67&lt;VLOOKUP(AF$2,行为概览!$D$3:$U$33,3,0),$A67&gt;VLOOKUP(AF$2,行为概览!$D$3:$U$33,4,0)),0,VLOOKUP(AF$2,行为概览!$D$3:$U$33,6,0)),4)</f>
        <v>0</v>
      </c>
    </row>
    <row r="68" spans="1:32">
      <c r="A68" s="19">
        <v>66</v>
      </c>
      <c r="B68" s="20">
        <f>ROUND(IF(OR($A68&lt;VLOOKUP(B$2,行为概览!$D$3:$U$33,3,0),$A68&gt;VLOOKUP(B$2,行为概览!$D$3:$U$33,4,0)),0,VLOOKUP(B$2,行为概览!$D$3:$U$33,6,0)),4)</f>
        <v>0.33329999999999999</v>
      </c>
      <c r="C68" s="20">
        <f>ROUND(IF(OR($A68&lt;VLOOKUP(C$2,行为概览!$D$3:$U$33,3,0),$A68&gt;VLOOKUP(C$2,行为概览!$D$3:$U$33,4,0)),0,VLOOKUP(C$2,行为概览!$D$3:$U$33,6,0)),4)</f>
        <v>2</v>
      </c>
      <c r="D68" s="20">
        <f>ROUND(IF(OR($A68&lt;VLOOKUP(D$2,行为概览!$D$3:$U$33,3,0),$A68&gt;VLOOKUP(D$2,行为概览!$D$3:$U$33,4,0)),0,VLOOKUP(D$2,行为概览!$D$3:$U$33,6,0)),4)</f>
        <v>8.3299999999999999E-2</v>
      </c>
      <c r="E68" s="20">
        <f>ROUND(IF(OR($A68&lt;VLOOKUP(E$2,行为概览!$D$3:$U$33,3,0),$A68&gt;VLOOKUP(E$2,行为概览!$D$3:$U$33,4,0)),0,VLOOKUP(E$2,行为概览!$D$3:$U$33,6,0)),4)</f>
        <v>1</v>
      </c>
      <c r="F68" s="20">
        <f>ROUND(IF(OR($A68&lt;VLOOKUP(F$2,行为概览!$D$3:$U$33,3,0),$A68&gt;VLOOKUP(F$2,行为概览!$D$3:$U$33,4,0)),0,VLOOKUP(F$2,行为概览!$D$3:$U$33,6,0)),4)</f>
        <v>0.33329999999999999</v>
      </c>
      <c r="G68" s="20">
        <f>ROUND(IF(OR($A68&lt;VLOOKUP(G$2,行为概览!$D$3:$U$33,3,0),$A68&gt;VLOOKUP(G$2,行为概览!$D$3:$U$33,4,0)),0,VLOOKUP(G$2,行为概览!$D$3:$U$33,6,0)),4)</f>
        <v>0</v>
      </c>
      <c r="H68" s="20">
        <f>ROUND(IF(OR($A68&lt;VLOOKUP(H$2,行为概览!$D$3:$U$33,3,0),$A68&gt;VLOOKUP(H$2,行为概览!$D$3:$U$33,4,0)),0,VLOOKUP(H$2,行为概览!$D$3:$U$33,6,0)),4)</f>
        <v>0</v>
      </c>
      <c r="I68" s="20">
        <f>ROUND(IF(OR($A68&lt;VLOOKUP(I$2,行为概览!$D$3:$U$33,3,0),$A68&gt;VLOOKUP(I$2,行为概览!$D$3:$U$33,4,0)),0,VLOOKUP(I$2,行为概览!$D$3:$U$33,6,0)),4)</f>
        <v>0</v>
      </c>
      <c r="J68" s="20">
        <f>ROUND(IF(OR($A68&lt;VLOOKUP(J$2,行为概览!$D$3:$U$33,3,0),$A68&gt;VLOOKUP(J$2,行为概览!$D$3:$U$33,4,0)),0,VLOOKUP(J$2,行为概览!$D$3:$U$33,6,0)),4)</f>
        <v>0.5</v>
      </c>
      <c r="K68" s="20">
        <f>ROUND(IF(OR($A68&lt;VLOOKUP(K$2,行为概览!$D$3:$U$33,3,0),$A68&gt;VLOOKUP(K$2,行为概览!$D$3:$U$33,4,0)),0,VLOOKUP(K$2,行为概览!$D$3:$U$33,6,0)),4)</f>
        <v>0.16669999999999999</v>
      </c>
      <c r="L68" s="20">
        <f>ROUND(IF(OR($A68&lt;VLOOKUP(L$2,行为概览!$D$3:$U$33,3,0),$A68&gt;VLOOKUP(L$2,行为概览!$D$3:$U$33,4,0)),0,VLOOKUP(L$2,行为概览!$D$3:$U$33,6,0)),4)</f>
        <v>0.5</v>
      </c>
      <c r="M68" s="20">
        <f>ROUND(IF(OR($A68&lt;VLOOKUP(M$2,行为概览!$D$3:$U$33,3,0),$A68&gt;VLOOKUP(M$2,行为概览!$D$3:$U$33,4,0)),0,VLOOKUP(M$2,行为概览!$D$3:$U$33,6,0)),4)</f>
        <v>12</v>
      </c>
      <c r="N68" s="20">
        <f>ROUND(IF(OR($A68&lt;VLOOKUP(N$2,行为概览!$D$3:$U$33,3,0),$A68&gt;VLOOKUP(N$2,行为概览!$D$3:$U$33,4,0)),0,VLOOKUP(N$2,行为概览!$D$3:$U$33,6,0)),4)</f>
        <v>8.3299999999999999E-2</v>
      </c>
      <c r="O68" s="20">
        <f>ROUND(IF(OR($A68&lt;VLOOKUP(O$2,行为概览!$D$3:$U$33,3,0),$A68&gt;VLOOKUP(O$2,行为概览!$D$3:$U$33,4,0)),0,VLOOKUP(O$2,行为概览!$D$3:$U$33,6,0)),4)</f>
        <v>8.3299999999999999E-2</v>
      </c>
      <c r="P68" s="20">
        <f>ROUND(IF(OR($A68&lt;VLOOKUP(P$2,行为概览!$D$3:$U$33,3,0),$A68&gt;VLOOKUP(P$2,行为概览!$D$3:$U$33,4,0)),0,VLOOKUP(P$2,行为概览!$D$3:$U$33,6,0)),4)</f>
        <v>2.6</v>
      </c>
      <c r="Q68" s="20">
        <f>ROUND(IF(OR($A68&lt;VLOOKUP(Q$2,行为概览!$D$3:$U$33,3,0),$A68&gt;VLOOKUP(Q$2,行为概览!$D$3:$U$33,4,0)),0,VLOOKUP(Q$2,行为概览!$D$3:$U$33,6,0)),4)</f>
        <v>1</v>
      </c>
      <c r="R68" s="20">
        <f>ROUND(IF(OR($A68&lt;VLOOKUP(R$2,行为概览!$D$3:$U$33,3,0),$A68&gt;VLOOKUP(R$2,行为概览!$D$3:$U$33,4,0)),0,VLOOKUP(R$2,行为概览!$D$3:$U$33,6,0)),4)</f>
        <v>0.33329999999999999</v>
      </c>
      <c r="S68" s="20">
        <f>ROUND(IF(OR($A68&lt;VLOOKUP(S$2,行为概览!$D$3:$U$33,3,0),$A68&gt;VLOOKUP(S$2,行为概览!$D$3:$U$33,4,0)),0,VLOOKUP(S$2,行为概览!$D$3:$U$33,6,0)),4)</f>
        <v>0</v>
      </c>
      <c r="T68" s="20">
        <f>ROUND(IF(OR($A68&lt;VLOOKUP(T$2,行为概览!$D$3:$U$33,3,0),$A68&gt;VLOOKUP(T$2,行为概览!$D$3:$U$33,4,0)),0,VLOOKUP(T$2,行为概览!$D$3:$U$33,6,0)),4)</f>
        <v>0.33329999999999999</v>
      </c>
      <c r="U68" s="20">
        <f>ROUND(IF(OR($A68&lt;VLOOKUP(U$2,行为概览!$D$3:$U$33,3,0),$A68&gt;VLOOKUP(U$2,行为概览!$D$3:$U$33,4,0)),0,VLOOKUP(U$2,行为概览!$D$3:$U$33,6,0)),4)</f>
        <v>0.16669999999999999</v>
      </c>
      <c r="V68" s="20">
        <f>ROUND(IF(OR($A68&lt;VLOOKUP(V$2,行为概览!$D$3:$U$33,3,0),$A68&gt;VLOOKUP(V$2,行为概览!$D$3:$U$33,4,0)),0,VLOOKUP(V$2,行为概览!$D$3:$U$33,6,0)),4)</f>
        <v>0.16669999999999999</v>
      </c>
      <c r="W68" s="20">
        <f>ROUND(IF(OR($A68&lt;VLOOKUP(W$2,行为概览!$D$3:$U$33,3,0),$A68&gt;VLOOKUP(W$2,行为概览!$D$3:$U$33,4,0)),0,VLOOKUP(W$2,行为概览!$D$3:$U$33,6,0)),4)</f>
        <v>0.16669999999999999</v>
      </c>
      <c r="X68" s="20">
        <f>ROUND(IF(OR($A68&lt;VLOOKUP(X$2,行为概览!$D$3:$U$33,3,0),$A68&gt;VLOOKUP(X$2,行为概览!$D$3:$U$33,4,0)),0,VLOOKUP(X$2,行为概览!$D$3:$U$33,6,0)),4)</f>
        <v>0.25</v>
      </c>
      <c r="Y68" s="20">
        <f>ROUND(IF(OR($A68&lt;VLOOKUP(Y$2,行为概览!$D$3:$U$33,3,0),$A68&gt;VLOOKUP(Y$2,行为概览!$D$3:$U$33,4,0)),0,VLOOKUP(Y$2,行为概览!$D$3:$U$33,6,0)),4)</f>
        <v>0.58330000000000004</v>
      </c>
      <c r="Z68" s="20">
        <f>ROUND(IF(OR($A68&lt;VLOOKUP(Z$2,行为概览!$D$3:$U$33,3,0),$A68&gt;VLOOKUP(Z$2,行为概览!$D$3:$U$33,4,0)),0,VLOOKUP(Z$2,行为概览!$D$3:$U$33,6,0)),4)</f>
        <v>0.16669999999999999</v>
      </c>
      <c r="AA68" s="20">
        <f>ROUND(IF(OR($A68&lt;VLOOKUP(AA$2,行为概览!$D$3:$U$33,3,0),$A68&gt;VLOOKUP(AA$2,行为概览!$D$3:$U$33,4,0)),0,VLOOKUP(AA$2,行为概览!$D$3:$U$33,6,0)),4)</f>
        <v>0</v>
      </c>
      <c r="AB68" s="20">
        <f>ROUND(IF(OR($A68&lt;VLOOKUP(AB$2,行为概览!$D$3:$U$33,3,0),$A68&gt;VLOOKUP(AB$2,行为概览!$D$3:$U$33,4,0)),0,VLOOKUP(AB$2,行为概览!$D$3:$U$33,6,0)),4)</f>
        <v>0</v>
      </c>
      <c r="AC68" s="20">
        <f>ROUND(IF(OR($A68&lt;VLOOKUP(AC$2,行为概览!$D$3:$U$33,3,0),$A68&gt;VLOOKUP(AC$2,行为概览!$D$3:$U$33,4,0)),0,VLOOKUP(AC$2,行为概览!$D$3:$U$33,6,0)),4)</f>
        <v>0</v>
      </c>
      <c r="AD68" s="20">
        <f>ROUND(IF(OR($A68&lt;VLOOKUP(AD$2,行为概览!$D$3:$U$33,3,0),$A68&gt;VLOOKUP(AD$2,行为概览!$D$3:$U$33,4,0)),0,VLOOKUP(AD$2,行为概览!$D$3:$U$33,6,0)),4)</f>
        <v>0</v>
      </c>
      <c r="AE68" s="20">
        <f>ROUND(IF(OR($A68&lt;VLOOKUP(AE$2,行为概览!$D$3:$U$33,3,0),$A68&gt;VLOOKUP(AE$2,行为概览!$D$3:$U$33,4,0)),0,VLOOKUP(AE$2,行为概览!$D$3:$U$33,6,0)),4)</f>
        <v>8.3299999999999999E-2</v>
      </c>
      <c r="AF68" s="20">
        <f>ROUND(IF(OR($A68&lt;VLOOKUP(AF$2,行为概览!$D$3:$U$33,3,0),$A68&gt;VLOOKUP(AF$2,行为概览!$D$3:$U$33,4,0)),0,VLOOKUP(AF$2,行为概览!$D$3:$U$33,6,0)),4)</f>
        <v>0</v>
      </c>
    </row>
    <row r="69" spans="1:32">
      <c r="A69" s="19">
        <v>67</v>
      </c>
      <c r="B69" s="20">
        <f>ROUND(IF(OR($A69&lt;VLOOKUP(B$2,行为概览!$D$3:$U$33,3,0),$A69&gt;VLOOKUP(B$2,行为概览!$D$3:$U$33,4,0)),0,VLOOKUP(B$2,行为概览!$D$3:$U$33,6,0)),4)</f>
        <v>0.33329999999999999</v>
      </c>
      <c r="C69" s="20">
        <f>ROUND(IF(OR($A69&lt;VLOOKUP(C$2,行为概览!$D$3:$U$33,3,0),$A69&gt;VLOOKUP(C$2,行为概览!$D$3:$U$33,4,0)),0,VLOOKUP(C$2,行为概览!$D$3:$U$33,6,0)),4)</f>
        <v>2</v>
      </c>
      <c r="D69" s="20">
        <f>ROUND(IF(OR($A69&lt;VLOOKUP(D$2,行为概览!$D$3:$U$33,3,0),$A69&gt;VLOOKUP(D$2,行为概览!$D$3:$U$33,4,0)),0,VLOOKUP(D$2,行为概览!$D$3:$U$33,6,0)),4)</f>
        <v>8.3299999999999999E-2</v>
      </c>
      <c r="E69" s="20">
        <f>ROUND(IF(OR($A69&lt;VLOOKUP(E$2,行为概览!$D$3:$U$33,3,0),$A69&gt;VLOOKUP(E$2,行为概览!$D$3:$U$33,4,0)),0,VLOOKUP(E$2,行为概览!$D$3:$U$33,6,0)),4)</f>
        <v>1</v>
      </c>
      <c r="F69" s="20">
        <f>ROUND(IF(OR($A69&lt;VLOOKUP(F$2,行为概览!$D$3:$U$33,3,0),$A69&gt;VLOOKUP(F$2,行为概览!$D$3:$U$33,4,0)),0,VLOOKUP(F$2,行为概览!$D$3:$U$33,6,0)),4)</f>
        <v>0.33329999999999999</v>
      </c>
      <c r="G69" s="20">
        <f>ROUND(IF(OR($A69&lt;VLOOKUP(G$2,行为概览!$D$3:$U$33,3,0),$A69&gt;VLOOKUP(G$2,行为概览!$D$3:$U$33,4,0)),0,VLOOKUP(G$2,行为概览!$D$3:$U$33,6,0)),4)</f>
        <v>0</v>
      </c>
      <c r="H69" s="20">
        <f>ROUND(IF(OR($A69&lt;VLOOKUP(H$2,行为概览!$D$3:$U$33,3,0),$A69&gt;VLOOKUP(H$2,行为概览!$D$3:$U$33,4,0)),0,VLOOKUP(H$2,行为概览!$D$3:$U$33,6,0)),4)</f>
        <v>0</v>
      </c>
      <c r="I69" s="20">
        <f>ROUND(IF(OR($A69&lt;VLOOKUP(I$2,行为概览!$D$3:$U$33,3,0),$A69&gt;VLOOKUP(I$2,行为概览!$D$3:$U$33,4,0)),0,VLOOKUP(I$2,行为概览!$D$3:$U$33,6,0)),4)</f>
        <v>0</v>
      </c>
      <c r="J69" s="20">
        <f>ROUND(IF(OR($A69&lt;VLOOKUP(J$2,行为概览!$D$3:$U$33,3,0),$A69&gt;VLOOKUP(J$2,行为概览!$D$3:$U$33,4,0)),0,VLOOKUP(J$2,行为概览!$D$3:$U$33,6,0)),4)</f>
        <v>0.5</v>
      </c>
      <c r="K69" s="20">
        <f>ROUND(IF(OR($A69&lt;VLOOKUP(K$2,行为概览!$D$3:$U$33,3,0),$A69&gt;VLOOKUP(K$2,行为概览!$D$3:$U$33,4,0)),0,VLOOKUP(K$2,行为概览!$D$3:$U$33,6,0)),4)</f>
        <v>0.16669999999999999</v>
      </c>
      <c r="L69" s="20">
        <f>ROUND(IF(OR($A69&lt;VLOOKUP(L$2,行为概览!$D$3:$U$33,3,0),$A69&gt;VLOOKUP(L$2,行为概览!$D$3:$U$33,4,0)),0,VLOOKUP(L$2,行为概览!$D$3:$U$33,6,0)),4)</f>
        <v>0.5</v>
      </c>
      <c r="M69" s="20">
        <f>ROUND(IF(OR($A69&lt;VLOOKUP(M$2,行为概览!$D$3:$U$33,3,0),$A69&gt;VLOOKUP(M$2,行为概览!$D$3:$U$33,4,0)),0,VLOOKUP(M$2,行为概览!$D$3:$U$33,6,0)),4)</f>
        <v>12</v>
      </c>
      <c r="N69" s="20">
        <f>ROUND(IF(OR($A69&lt;VLOOKUP(N$2,行为概览!$D$3:$U$33,3,0),$A69&gt;VLOOKUP(N$2,行为概览!$D$3:$U$33,4,0)),0,VLOOKUP(N$2,行为概览!$D$3:$U$33,6,0)),4)</f>
        <v>8.3299999999999999E-2</v>
      </c>
      <c r="O69" s="20">
        <f>ROUND(IF(OR($A69&lt;VLOOKUP(O$2,行为概览!$D$3:$U$33,3,0),$A69&gt;VLOOKUP(O$2,行为概览!$D$3:$U$33,4,0)),0,VLOOKUP(O$2,行为概览!$D$3:$U$33,6,0)),4)</f>
        <v>8.3299999999999999E-2</v>
      </c>
      <c r="P69" s="20">
        <f>ROUND(IF(OR($A69&lt;VLOOKUP(P$2,行为概览!$D$3:$U$33,3,0),$A69&gt;VLOOKUP(P$2,行为概览!$D$3:$U$33,4,0)),0,VLOOKUP(P$2,行为概览!$D$3:$U$33,6,0)),4)</f>
        <v>2.6</v>
      </c>
      <c r="Q69" s="20">
        <f>ROUND(IF(OR($A69&lt;VLOOKUP(Q$2,行为概览!$D$3:$U$33,3,0),$A69&gt;VLOOKUP(Q$2,行为概览!$D$3:$U$33,4,0)),0,VLOOKUP(Q$2,行为概览!$D$3:$U$33,6,0)),4)</f>
        <v>1</v>
      </c>
      <c r="R69" s="20">
        <f>ROUND(IF(OR($A69&lt;VLOOKUP(R$2,行为概览!$D$3:$U$33,3,0),$A69&gt;VLOOKUP(R$2,行为概览!$D$3:$U$33,4,0)),0,VLOOKUP(R$2,行为概览!$D$3:$U$33,6,0)),4)</f>
        <v>0.33329999999999999</v>
      </c>
      <c r="S69" s="20">
        <f>ROUND(IF(OR($A69&lt;VLOOKUP(S$2,行为概览!$D$3:$U$33,3,0),$A69&gt;VLOOKUP(S$2,行为概览!$D$3:$U$33,4,0)),0,VLOOKUP(S$2,行为概览!$D$3:$U$33,6,0)),4)</f>
        <v>0</v>
      </c>
      <c r="T69" s="20">
        <f>ROUND(IF(OR($A69&lt;VLOOKUP(T$2,行为概览!$D$3:$U$33,3,0),$A69&gt;VLOOKUP(T$2,行为概览!$D$3:$U$33,4,0)),0,VLOOKUP(T$2,行为概览!$D$3:$U$33,6,0)),4)</f>
        <v>0.33329999999999999</v>
      </c>
      <c r="U69" s="20">
        <f>ROUND(IF(OR($A69&lt;VLOOKUP(U$2,行为概览!$D$3:$U$33,3,0),$A69&gt;VLOOKUP(U$2,行为概览!$D$3:$U$33,4,0)),0,VLOOKUP(U$2,行为概览!$D$3:$U$33,6,0)),4)</f>
        <v>0.16669999999999999</v>
      </c>
      <c r="V69" s="20">
        <f>ROUND(IF(OR($A69&lt;VLOOKUP(V$2,行为概览!$D$3:$U$33,3,0),$A69&gt;VLOOKUP(V$2,行为概览!$D$3:$U$33,4,0)),0,VLOOKUP(V$2,行为概览!$D$3:$U$33,6,0)),4)</f>
        <v>0.16669999999999999</v>
      </c>
      <c r="W69" s="20">
        <f>ROUND(IF(OR($A69&lt;VLOOKUP(W$2,行为概览!$D$3:$U$33,3,0),$A69&gt;VLOOKUP(W$2,行为概览!$D$3:$U$33,4,0)),0,VLOOKUP(W$2,行为概览!$D$3:$U$33,6,0)),4)</f>
        <v>0.16669999999999999</v>
      </c>
      <c r="X69" s="20">
        <f>ROUND(IF(OR($A69&lt;VLOOKUP(X$2,行为概览!$D$3:$U$33,3,0),$A69&gt;VLOOKUP(X$2,行为概览!$D$3:$U$33,4,0)),0,VLOOKUP(X$2,行为概览!$D$3:$U$33,6,0)),4)</f>
        <v>0.25</v>
      </c>
      <c r="Y69" s="20">
        <f>ROUND(IF(OR($A69&lt;VLOOKUP(Y$2,行为概览!$D$3:$U$33,3,0),$A69&gt;VLOOKUP(Y$2,行为概览!$D$3:$U$33,4,0)),0,VLOOKUP(Y$2,行为概览!$D$3:$U$33,6,0)),4)</f>
        <v>0.58330000000000004</v>
      </c>
      <c r="Z69" s="20">
        <f>ROUND(IF(OR($A69&lt;VLOOKUP(Z$2,行为概览!$D$3:$U$33,3,0),$A69&gt;VLOOKUP(Z$2,行为概览!$D$3:$U$33,4,0)),0,VLOOKUP(Z$2,行为概览!$D$3:$U$33,6,0)),4)</f>
        <v>0.16669999999999999</v>
      </c>
      <c r="AA69" s="20">
        <f>ROUND(IF(OR($A69&lt;VLOOKUP(AA$2,行为概览!$D$3:$U$33,3,0),$A69&gt;VLOOKUP(AA$2,行为概览!$D$3:$U$33,4,0)),0,VLOOKUP(AA$2,行为概览!$D$3:$U$33,6,0)),4)</f>
        <v>0</v>
      </c>
      <c r="AB69" s="20">
        <f>ROUND(IF(OR($A69&lt;VLOOKUP(AB$2,行为概览!$D$3:$U$33,3,0),$A69&gt;VLOOKUP(AB$2,行为概览!$D$3:$U$33,4,0)),0,VLOOKUP(AB$2,行为概览!$D$3:$U$33,6,0)),4)</f>
        <v>0</v>
      </c>
      <c r="AC69" s="20">
        <f>ROUND(IF(OR($A69&lt;VLOOKUP(AC$2,行为概览!$D$3:$U$33,3,0),$A69&gt;VLOOKUP(AC$2,行为概览!$D$3:$U$33,4,0)),0,VLOOKUP(AC$2,行为概览!$D$3:$U$33,6,0)),4)</f>
        <v>0</v>
      </c>
      <c r="AD69" s="20">
        <f>ROUND(IF(OR($A69&lt;VLOOKUP(AD$2,行为概览!$D$3:$U$33,3,0),$A69&gt;VLOOKUP(AD$2,行为概览!$D$3:$U$33,4,0)),0,VLOOKUP(AD$2,行为概览!$D$3:$U$33,6,0)),4)</f>
        <v>0</v>
      </c>
      <c r="AE69" s="20">
        <f>ROUND(IF(OR($A69&lt;VLOOKUP(AE$2,行为概览!$D$3:$U$33,3,0),$A69&gt;VLOOKUP(AE$2,行为概览!$D$3:$U$33,4,0)),0,VLOOKUP(AE$2,行为概览!$D$3:$U$33,6,0)),4)</f>
        <v>8.3299999999999999E-2</v>
      </c>
      <c r="AF69" s="20">
        <f>ROUND(IF(OR($A69&lt;VLOOKUP(AF$2,行为概览!$D$3:$U$33,3,0),$A69&gt;VLOOKUP(AF$2,行为概览!$D$3:$U$33,4,0)),0,VLOOKUP(AF$2,行为概览!$D$3:$U$33,6,0)),4)</f>
        <v>0</v>
      </c>
    </row>
    <row r="70" spans="1:32">
      <c r="A70" s="19">
        <v>68</v>
      </c>
      <c r="B70" s="20">
        <f>ROUND(IF(OR($A70&lt;VLOOKUP(B$2,行为概览!$D$3:$U$33,3,0),$A70&gt;VLOOKUP(B$2,行为概览!$D$3:$U$33,4,0)),0,VLOOKUP(B$2,行为概览!$D$3:$U$33,6,0)),4)</f>
        <v>0.33329999999999999</v>
      </c>
      <c r="C70" s="20">
        <f>ROUND(IF(OR($A70&lt;VLOOKUP(C$2,行为概览!$D$3:$U$33,3,0),$A70&gt;VLOOKUP(C$2,行为概览!$D$3:$U$33,4,0)),0,VLOOKUP(C$2,行为概览!$D$3:$U$33,6,0)),4)</f>
        <v>2</v>
      </c>
      <c r="D70" s="20">
        <f>ROUND(IF(OR($A70&lt;VLOOKUP(D$2,行为概览!$D$3:$U$33,3,0),$A70&gt;VLOOKUP(D$2,行为概览!$D$3:$U$33,4,0)),0,VLOOKUP(D$2,行为概览!$D$3:$U$33,6,0)),4)</f>
        <v>8.3299999999999999E-2</v>
      </c>
      <c r="E70" s="20">
        <f>ROUND(IF(OR($A70&lt;VLOOKUP(E$2,行为概览!$D$3:$U$33,3,0),$A70&gt;VLOOKUP(E$2,行为概览!$D$3:$U$33,4,0)),0,VLOOKUP(E$2,行为概览!$D$3:$U$33,6,0)),4)</f>
        <v>1</v>
      </c>
      <c r="F70" s="20">
        <f>ROUND(IF(OR($A70&lt;VLOOKUP(F$2,行为概览!$D$3:$U$33,3,0),$A70&gt;VLOOKUP(F$2,行为概览!$D$3:$U$33,4,0)),0,VLOOKUP(F$2,行为概览!$D$3:$U$33,6,0)),4)</f>
        <v>0.33329999999999999</v>
      </c>
      <c r="G70" s="20">
        <f>ROUND(IF(OR($A70&lt;VLOOKUP(G$2,行为概览!$D$3:$U$33,3,0),$A70&gt;VLOOKUP(G$2,行为概览!$D$3:$U$33,4,0)),0,VLOOKUP(G$2,行为概览!$D$3:$U$33,6,0)),4)</f>
        <v>0</v>
      </c>
      <c r="H70" s="20">
        <f>ROUND(IF(OR($A70&lt;VLOOKUP(H$2,行为概览!$D$3:$U$33,3,0),$A70&gt;VLOOKUP(H$2,行为概览!$D$3:$U$33,4,0)),0,VLOOKUP(H$2,行为概览!$D$3:$U$33,6,0)),4)</f>
        <v>0</v>
      </c>
      <c r="I70" s="20">
        <f>ROUND(IF(OR($A70&lt;VLOOKUP(I$2,行为概览!$D$3:$U$33,3,0),$A70&gt;VLOOKUP(I$2,行为概览!$D$3:$U$33,4,0)),0,VLOOKUP(I$2,行为概览!$D$3:$U$33,6,0)),4)</f>
        <v>0</v>
      </c>
      <c r="J70" s="20">
        <f>ROUND(IF(OR($A70&lt;VLOOKUP(J$2,行为概览!$D$3:$U$33,3,0),$A70&gt;VLOOKUP(J$2,行为概览!$D$3:$U$33,4,0)),0,VLOOKUP(J$2,行为概览!$D$3:$U$33,6,0)),4)</f>
        <v>0.5</v>
      </c>
      <c r="K70" s="20">
        <f>ROUND(IF(OR($A70&lt;VLOOKUP(K$2,行为概览!$D$3:$U$33,3,0),$A70&gt;VLOOKUP(K$2,行为概览!$D$3:$U$33,4,0)),0,VLOOKUP(K$2,行为概览!$D$3:$U$33,6,0)),4)</f>
        <v>0.16669999999999999</v>
      </c>
      <c r="L70" s="20">
        <f>ROUND(IF(OR($A70&lt;VLOOKUP(L$2,行为概览!$D$3:$U$33,3,0),$A70&gt;VLOOKUP(L$2,行为概览!$D$3:$U$33,4,0)),0,VLOOKUP(L$2,行为概览!$D$3:$U$33,6,0)),4)</f>
        <v>0.5</v>
      </c>
      <c r="M70" s="20">
        <f>ROUND(IF(OR($A70&lt;VLOOKUP(M$2,行为概览!$D$3:$U$33,3,0),$A70&gt;VLOOKUP(M$2,行为概览!$D$3:$U$33,4,0)),0,VLOOKUP(M$2,行为概览!$D$3:$U$33,6,0)),4)</f>
        <v>12</v>
      </c>
      <c r="N70" s="20">
        <f>ROUND(IF(OR($A70&lt;VLOOKUP(N$2,行为概览!$D$3:$U$33,3,0),$A70&gt;VLOOKUP(N$2,行为概览!$D$3:$U$33,4,0)),0,VLOOKUP(N$2,行为概览!$D$3:$U$33,6,0)),4)</f>
        <v>8.3299999999999999E-2</v>
      </c>
      <c r="O70" s="20">
        <f>ROUND(IF(OR($A70&lt;VLOOKUP(O$2,行为概览!$D$3:$U$33,3,0),$A70&gt;VLOOKUP(O$2,行为概览!$D$3:$U$33,4,0)),0,VLOOKUP(O$2,行为概览!$D$3:$U$33,6,0)),4)</f>
        <v>8.3299999999999999E-2</v>
      </c>
      <c r="P70" s="20">
        <f>ROUND(IF(OR($A70&lt;VLOOKUP(P$2,行为概览!$D$3:$U$33,3,0),$A70&gt;VLOOKUP(P$2,行为概览!$D$3:$U$33,4,0)),0,VLOOKUP(P$2,行为概览!$D$3:$U$33,6,0)),4)</f>
        <v>2.6</v>
      </c>
      <c r="Q70" s="20">
        <f>ROUND(IF(OR($A70&lt;VLOOKUP(Q$2,行为概览!$D$3:$U$33,3,0),$A70&gt;VLOOKUP(Q$2,行为概览!$D$3:$U$33,4,0)),0,VLOOKUP(Q$2,行为概览!$D$3:$U$33,6,0)),4)</f>
        <v>1</v>
      </c>
      <c r="R70" s="20">
        <f>ROUND(IF(OR($A70&lt;VLOOKUP(R$2,行为概览!$D$3:$U$33,3,0),$A70&gt;VLOOKUP(R$2,行为概览!$D$3:$U$33,4,0)),0,VLOOKUP(R$2,行为概览!$D$3:$U$33,6,0)),4)</f>
        <v>0.33329999999999999</v>
      </c>
      <c r="S70" s="20">
        <f>ROUND(IF(OR($A70&lt;VLOOKUP(S$2,行为概览!$D$3:$U$33,3,0),$A70&gt;VLOOKUP(S$2,行为概览!$D$3:$U$33,4,0)),0,VLOOKUP(S$2,行为概览!$D$3:$U$33,6,0)),4)</f>
        <v>0</v>
      </c>
      <c r="T70" s="20">
        <f>ROUND(IF(OR($A70&lt;VLOOKUP(T$2,行为概览!$D$3:$U$33,3,0),$A70&gt;VLOOKUP(T$2,行为概览!$D$3:$U$33,4,0)),0,VLOOKUP(T$2,行为概览!$D$3:$U$33,6,0)),4)</f>
        <v>0.33329999999999999</v>
      </c>
      <c r="U70" s="20">
        <f>ROUND(IF(OR($A70&lt;VLOOKUP(U$2,行为概览!$D$3:$U$33,3,0),$A70&gt;VLOOKUP(U$2,行为概览!$D$3:$U$33,4,0)),0,VLOOKUP(U$2,行为概览!$D$3:$U$33,6,0)),4)</f>
        <v>0.16669999999999999</v>
      </c>
      <c r="V70" s="20">
        <f>ROUND(IF(OR($A70&lt;VLOOKUP(V$2,行为概览!$D$3:$U$33,3,0),$A70&gt;VLOOKUP(V$2,行为概览!$D$3:$U$33,4,0)),0,VLOOKUP(V$2,行为概览!$D$3:$U$33,6,0)),4)</f>
        <v>0.16669999999999999</v>
      </c>
      <c r="W70" s="20">
        <f>ROUND(IF(OR($A70&lt;VLOOKUP(W$2,行为概览!$D$3:$U$33,3,0),$A70&gt;VLOOKUP(W$2,行为概览!$D$3:$U$33,4,0)),0,VLOOKUP(W$2,行为概览!$D$3:$U$33,6,0)),4)</f>
        <v>0.16669999999999999</v>
      </c>
      <c r="X70" s="20">
        <f>ROUND(IF(OR($A70&lt;VLOOKUP(X$2,行为概览!$D$3:$U$33,3,0),$A70&gt;VLOOKUP(X$2,行为概览!$D$3:$U$33,4,0)),0,VLOOKUP(X$2,行为概览!$D$3:$U$33,6,0)),4)</f>
        <v>0.25</v>
      </c>
      <c r="Y70" s="20">
        <f>ROUND(IF(OR($A70&lt;VLOOKUP(Y$2,行为概览!$D$3:$U$33,3,0),$A70&gt;VLOOKUP(Y$2,行为概览!$D$3:$U$33,4,0)),0,VLOOKUP(Y$2,行为概览!$D$3:$U$33,6,0)),4)</f>
        <v>0.58330000000000004</v>
      </c>
      <c r="Z70" s="20">
        <f>ROUND(IF(OR($A70&lt;VLOOKUP(Z$2,行为概览!$D$3:$U$33,3,0),$A70&gt;VLOOKUP(Z$2,行为概览!$D$3:$U$33,4,0)),0,VLOOKUP(Z$2,行为概览!$D$3:$U$33,6,0)),4)</f>
        <v>0.16669999999999999</v>
      </c>
      <c r="AA70" s="20">
        <f>ROUND(IF(OR($A70&lt;VLOOKUP(AA$2,行为概览!$D$3:$U$33,3,0),$A70&gt;VLOOKUP(AA$2,行为概览!$D$3:$U$33,4,0)),0,VLOOKUP(AA$2,行为概览!$D$3:$U$33,6,0)),4)</f>
        <v>0</v>
      </c>
      <c r="AB70" s="20">
        <f>ROUND(IF(OR($A70&lt;VLOOKUP(AB$2,行为概览!$D$3:$U$33,3,0),$A70&gt;VLOOKUP(AB$2,行为概览!$D$3:$U$33,4,0)),0,VLOOKUP(AB$2,行为概览!$D$3:$U$33,6,0)),4)</f>
        <v>0</v>
      </c>
      <c r="AC70" s="20">
        <f>ROUND(IF(OR($A70&lt;VLOOKUP(AC$2,行为概览!$D$3:$U$33,3,0),$A70&gt;VLOOKUP(AC$2,行为概览!$D$3:$U$33,4,0)),0,VLOOKUP(AC$2,行为概览!$D$3:$U$33,6,0)),4)</f>
        <v>0</v>
      </c>
      <c r="AD70" s="20">
        <f>ROUND(IF(OR($A70&lt;VLOOKUP(AD$2,行为概览!$D$3:$U$33,3,0),$A70&gt;VLOOKUP(AD$2,行为概览!$D$3:$U$33,4,0)),0,VLOOKUP(AD$2,行为概览!$D$3:$U$33,6,0)),4)</f>
        <v>0</v>
      </c>
      <c r="AE70" s="20">
        <f>ROUND(IF(OR($A70&lt;VLOOKUP(AE$2,行为概览!$D$3:$U$33,3,0),$A70&gt;VLOOKUP(AE$2,行为概览!$D$3:$U$33,4,0)),0,VLOOKUP(AE$2,行为概览!$D$3:$U$33,6,0)),4)</f>
        <v>8.3299999999999999E-2</v>
      </c>
      <c r="AF70" s="20">
        <f>ROUND(IF(OR($A70&lt;VLOOKUP(AF$2,行为概览!$D$3:$U$33,3,0),$A70&gt;VLOOKUP(AF$2,行为概览!$D$3:$U$33,4,0)),0,VLOOKUP(AF$2,行为概览!$D$3:$U$33,6,0)),4)</f>
        <v>0</v>
      </c>
    </row>
    <row r="71" spans="1:32">
      <c r="A71" s="19">
        <v>69</v>
      </c>
      <c r="B71" s="20">
        <f>ROUND(IF(OR($A71&lt;VLOOKUP(B$2,行为概览!$D$3:$U$33,3,0),$A71&gt;VLOOKUP(B$2,行为概览!$D$3:$U$33,4,0)),0,VLOOKUP(B$2,行为概览!$D$3:$U$33,6,0)),4)</f>
        <v>0.33329999999999999</v>
      </c>
      <c r="C71" s="20">
        <f>ROUND(IF(OR($A71&lt;VLOOKUP(C$2,行为概览!$D$3:$U$33,3,0),$A71&gt;VLOOKUP(C$2,行为概览!$D$3:$U$33,4,0)),0,VLOOKUP(C$2,行为概览!$D$3:$U$33,6,0)),4)</f>
        <v>2</v>
      </c>
      <c r="D71" s="20">
        <f>ROUND(IF(OR($A71&lt;VLOOKUP(D$2,行为概览!$D$3:$U$33,3,0),$A71&gt;VLOOKUP(D$2,行为概览!$D$3:$U$33,4,0)),0,VLOOKUP(D$2,行为概览!$D$3:$U$33,6,0)),4)</f>
        <v>8.3299999999999999E-2</v>
      </c>
      <c r="E71" s="20">
        <f>ROUND(IF(OR($A71&lt;VLOOKUP(E$2,行为概览!$D$3:$U$33,3,0),$A71&gt;VLOOKUP(E$2,行为概览!$D$3:$U$33,4,0)),0,VLOOKUP(E$2,行为概览!$D$3:$U$33,6,0)),4)</f>
        <v>1</v>
      </c>
      <c r="F71" s="20">
        <f>ROUND(IF(OR($A71&lt;VLOOKUP(F$2,行为概览!$D$3:$U$33,3,0),$A71&gt;VLOOKUP(F$2,行为概览!$D$3:$U$33,4,0)),0,VLOOKUP(F$2,行为概览!$D$3:$U$33,6,0)),4)</f>
        <v>0.33329999999999999</v>
      </c>
      <c r="G71" s="20">
        <f>ROUND(IF(OR($A71&lt;VLOOKUP(G$2,行为概览!$D$3:$U$33,3,0),$A71&gt;VLOOKUP(G$2,行为概览!$D$3:$U$33,4,0)),0,VLOOKUP(G$2,行为概览!$D$3:$U$33,6,0)),4)</f>
        <v>0</v>
      </c>
      <c r="H71" s="20">
        <f>ROUND(IF(OR($A71&lt;VLOOKUP(H$2,行为概览!$D$3:$U$33,3,0),$A71&gt;VLOOKUP(H$2,行为概览!$D$3:$U$33,4,0)),0,VLOOKUP(H$2,行为概览!$D$3:$U$33,6,0)),4)</f>
        <v>0</v>
      </c>
      <c r="I71" s="20">
        <f>ROUND(IF(OR($A71&lt;VLOOKUP(I$2,行为概览!$D$3:$U$33,3,0),$A71&gt;VLOOKUP(I$2,行为概览!$D$3:$U$33,4,0)),0,VLOOKUP(I$2,行为概览!$D$3:$U$33,6,0)),4)</f>
        <v>0</v>
      </c>
      <c r="J71" s="20">
        <f>ROUND(IF(OR($A71&lt;VLOOKUP(J$2,行为概览!$D$3:$U$33,3,0),$A71&gt;VLOOKUP(J$2,行为概览!$D$3:$U$33,4,0)),0,VLOOKUP(J$2,行为概览!$D$3:$U$33,6,0)),4)</f>
        <v>0.5</v>
      </c>
      <c r="K71" s="20">
        <f>ROUND(IF(OR($A71&lt;VLOOKUP(K$2,行为概览!$D$3:$U$33,3,0),$A71&gt;VLOOKUP(K$2,行为概览!$D$3:$U$33,4,0)),0,VLOOKUP(K$2,行为概览!$D$3:$U$33,6,0)),4)</f>
        <v>0.16669999999999999</v>
      </c>
      <c r="L71" s="20">
        <f>ROUND(IF(OR($A71&lt;VLOOKUP(L$2,行为概览!$D$3:$U$33,3,0),$A71&gt;VLOOKUP(L$2,行为概览!$D$3:$U$33,4,0)),0,VLOOKUP(L$2,行为概览!$D$3:$U$33,6,0)),4)</f>
        <v>0.5</v>
      </c>
      <c r="M71" s="20">
        <f>ROUND(IF(OR($A71&lt;VLOOKUP(M$2,行为概览!$D$3:$U$33,3,0),$A71&gt;VLOOKUP(M$2,行为概览!$D$3:$U$33,4,0)),0,VLOOKUP(M$2,行为概览!$D$3:$U$33,6,0)),4)</f>
        <v>12</v>
      </c>
      <c r="N71" s="20">
        <f>ROUND(IF(OR($A71&lt;VLOOKUP(N$2,行为概览!$D$3:$U$33,3,0),$A71&gt;VLOOKUP(N$2,行为概览!$D$3:$U$33,4,0)),0,VLOOKUP(N$2,行为概览!$D$3:$U$33,6,0)),4)</f>
        <v>8.3299999999999999E-2</v>
      </c>
      <c r="O71" s="20">
        <f>ROUND(IF(OR($A71&lt;VLOOKUP(O$2,行为概览!$D$3:$U$33,3,0),$A71&gt;VLOOKUP(O$2,行为概览!$D$3:$U$33,4,0)),0,VLOOKUP(O$2,行为概览!$D$3:$U$33,6,0)),4)</f>
        <v>8.3299999999999999E-2</v>
      </c>
      <c r="P71" s="20">
        <f>ROUND(IF(OR($A71&lt;VLOOKUP(P$2,行为概览!$D$3:$U$33,3,0),$A71&gt;VLOOKUP(P$2,行为概览!$D$3:$U$33,4,0)),0,VLOOKUP(P$2,行为概览!$D$3:$U$33,6,0)),4)</f>
        <v>2.6</v>
      </c>
      <c r="Q71" s="20">
        <f>ROUND(IF(OR($A71&lt;VLOOKUP(Q$2,行为概览!$D$3:$U$33,3,0),$A71&gt;VLOOKUP(Q$2,行为概览!$D$3:$U$33,4,0)),0,VLOOKUP(Q$2,行为概览!$D$3:$U$33,6,0)),4)</f>
        <v>1</v>
      </c>
      <c r="R71" s="20">
        <f>ROUND(IF(OR($A71&lt;VLOOKUP(R$2,行为概览!$D$3:$U$33,3,0),$A71&gt;VLOOKUP(R$2,行为概览!$D$3:$U$33,4,0)),0,VLOOKUP(R$2,行为概览!$D$3:$U$33,6,0)),4)</f>
        <v>0.33329999999999999</v>
      </c>
      <c r="S71" s="20">
        <f>ROUND(IF(OR($A71&lt;VLOOKUP(S$2,行为概览!$D$3:$U$33,3,0),$A71&gt;VLOOKUP(S$2,行为概览!$D$3:$U$33,4,0)),0,VLOOKUP(S$2,行为概览!$D$3:$U$33,6,0)),4)</f>
        <v>0</v>
      </c>
      <c r="T71" s="20">
        <f>ROUND(IF(OR($A71&lt;VLOOKUP(T$2,行为概览!$D$3:$U$33,3,0),$A71&gt;VLOOKUP(T$2,行为概览!$D$3:$U$33,4,0)),0,VLOOKUP(T$2,行为概览!$D$3:$U$33,6,0)),4)</f>
        <v>0.33329999999999999</v>
      </c>
      <c r="U71" s="20">
        <f>ROUND(IF(OR($A71&lt;VLOOKUP(U$2,行为概览!$D$3:$U$33,3,0),$A71&gt;VLOOKUP(U$2,行为概览!$D$3:$U$33,4,0)),0,VLOOKUP(U$2,行为概览!$D$3:$U$33,6,0)),4)</f>
        <v>0.16669999999999999</v>
      </c>
      <c r="V71" s="20">
        <f>ROUND(IF(OR($A71&lt;VLOOKUP(V$2,行为概览!$D$3:$U$33,3,0),$A71&gt;VLOOKUP(V$2,行为概览!$D$3:$U$33,4,0)),0,VLOOKUP(V$2,行为概览!$D$3:$U$33,6,0)),4)</f>
        <v>0.16669999999999999</v>
      </c>
      <c r="W71" s="20">
        <f>ROUND(IF(OR($A71&lt;VLOOKUP(W$2,行为概览!$D$3:$U$33,3,0),$A71&gt;VLOOKUP(W$2,行为概览!$D$3:$U$33,4,0)),0,VLOOKUP(W$2,行为概览!$D$3:$U$33,6,0)),4)</f>
        <v>0.16669999999999999</v>
      </c>
      <c r="X71" s="20">
        <f>ROUND(IF(OR($A71&lt;VLOOKUP(X$2,行为概览!$D$3:$U$33,3,0),$A71&gt;VLOOKUP(X$2,行为概览!$D$3:$U$33,4,0)),0,VLOOKUP(X$2,行为概览!$D$3:$U$33,6,0)),4)</f>
        <v>0.25</v>
      </c>
      <c r="Y71" s="20">
        <f>ROUND(IF(OR($A71&lt;VLOOKUP(Y$2,行为概览!$D$3:$U$33,3,0),$A71&gt;VLOOKUP(Y$2,行为概览!$D$3:$U$33,4,0)),0,VLOOKUP(Y$2,行为概览!$D$3:$U$33,6,0)),4)</f>
        <v>0.58330000000000004</v>
      </c>
      <c r="Z71" s="20">
        <f>ROUND(IF(OR($A71&lt;VLOOKUP(Z$2,行为概览!$D$3:$U$33,3,0),$A71&gt;VLOOKUP(Z$2,行为概览!$D$3:$U$33,4,0)),0,VLOOKUP(Z$2,行为概览!$D$3:$U$33,6,0)),4)</f>
        <v>0.16669999999999999</v>
      </c>
      <c r="AA71" s="20">
        <f>ROUND(IF(OR($A71&lt;VLOOKUP(AA$2,行为概览!$D$3:$U$33,3,0),$A71&gt;VLOOKUP(AA$2,行为概览!$D$3:$U$33,4,0)),0,VLOOKUP(AA$2,行为概览!$D$3:$U$33,6,0)),4)</f>
        <v>0</v>
      </c>
      <c r="AB71" s="20">
        <f>ROUND(IF(OR($A71&lt;VLOOKUP(AB$2,行为概览!$D$3:$U$33,3,0),$A71&gt;VLOOKUP(AB$2,行为概览!$D$3:$U$33,4,0)),0,VLOOKUP(AB$2,行为概览!$D$3:$U$33,6,0)),4)</f>
        <v>0</v>
      </c>
      <c r="AC71" s="20">
        <f>ROUND(IF(OR($A71&lt;VLOOKUP(AC$2,行为概览!$D$3:$U$33,3,0),$A71&gt;VLOOKUP(AC$2,行为概览!$D$3:$U$33,4,0)),0,VLOOKUP(AC$2,行为概览!$D$3:$U$33,6,0)),4)</f>
        <v>0</v>
      </c>
      <c r="AD71" s="20">
        <f>ROUND(IF(OR($A71&lt;VLOOKUP(AD$2,行为概览!$D$3:$U$33,3,0),$A71&gt;VLOOKUP(AD$2,行为概览!$D$3:$U$33,4,0)),0,VLOOKUP(AD$2,行为概览!$D$3:$U$33,6,0)),4)</f>
        <v>0</v>
      </c>
      <c r="AE71" s="20">
        <f>ROUND(IF(OR($A71&lt;VLOOKUP(AE$2,行为概览!$D$3:$U$33,3,0),$A71&gt;VLOOKUP(AE$2,行为概览!$D$3:$U$33,4,0)),0,VLOOKUP(AE$2,行为概览!$D$3:$U$33,6,0)),4)</f>
        <v>8.3299999999999999E-2</v>
      </c>
      <c r="AF71" s="20">
        <f>ROUND(IF(OR($A71&lt;VLOOKUP(AF$2,行为概览!$D$3:$U$33,3,0),$A71&gt;VLOOKUP(AF$2,行为概览!$D$3:$U$33,4,0)),0,VLOOKUP(AF$2,行为概览!$D$3:$U$33,6,0)),4)</f>
        <v>0</v>
      </c>
    </row>
    <row r="72" spans="1:32">
      <c r="A72" s="19">
        <v>70</v>
      </c>
      <c r="B72" s="20">
        <f>ROUND(IF(OR($A72&lt;VLOOKUP(B$2,行为概览!$D$3:$U$33,3,0),$A72&gt;VLOOKUP(B$2,行为概览!$D$3:$U$33,4,0)),0,VLOOKUP(B$2,行为概览!$D$3:$U$33,6,0)),4)</f>
        <v>0.33329999999999999</v>
      </c>
      <c r="C72" s="20">
        <f>ROUND(IF(OR($A72&lt;VLOOKUP(C$2,行为概览!$D$3:$U$33,3,0),$A72&gt;VLOOKUP(C$2,行为概览!$D$3:$U$33,4,0)),0,VLOOKUP(C$2,行为概览!$D$3:$U$33,6,0)),4)</f>
        <v>2</v>
      </c>
      <c r="D72" s="20">
        <f>ROUND(IF(OR($A72&lt;VLOOKUP(D$2,行为概览!$D$3:$U$33,3,0),$A72&gt;VLOOKUP(D$2,行为概览!$D$3:$U$33,4,0)),0,VLOOKUP(D$2,行为概览!$D$3:$U$33,6,0)),4)</f>
        <v>8.3299999999999999E-2</v>
      </c>
      <c r="E72" s="20">
        <f>ROUND(IF(OR($A72&lt;VLOOKUP(E$2,行为概览!$D$3:$U$33,3,0),$A72&gt;VLOOKUP(E$2,行为概览!$D$3:$U$33,4,0)),0,VLOOKUP(E$2,行为概览!$D$3:$U$33,6,0)),4)</f>
        <v>1</v>
      </c>
      <c r="F72" s="20">
        <f>ROUND(IF(OR($A72&lt;VLOOKUP(F$2,行为概览!$D$3:$U$33,3,0),$A72&gt;VLOOKUP(F$2,行为概览!$D$3:$U$33,4,0)),0,VLOOKUP(F$2,行为概览!$D$3:$U$33,6,0)),4)</f>
        <v>0.33329999999999999</v>
      </c>
      <c r="G72" s="20">
        <f>ROUND(IF(OR($A72&lt;VLOOKUP(G$2,行为概览!$D$3:$U$33,3,0),$A72&gt;VLOOKUP(G$2,行为概览!$D$3:$U$33,4,0)),0,VLOOKUP(G$2,行为概览!$D$3:$U$33,6,0)),4)</f>
        <v>0</v>
      </c>
      <c r="H72" s="20">
        <f>ROUND(IF(OR($A72&lt;VLOOKUP(H$2,行为概览!$D$3:$U$33,3,0),$A72&gt;VLOOKUP(H$2,行为概览!$D$3:$U$33,4,0)),0,VLOOKUP(H$2,行为概览!$D$3:$U$33,6,0)),4)</f>
        <v>0</v>
      </c>
      <c r="I72" s="20">
        <f>ROUND(IF(OR($A72&lt;VLOOKUP(I$2,行为概览!$D$3:$U$33,3,0),$A72&gt;VLOOKUP(I$2,行为概览!$D$3:$U$33,4,0)),0,VLOOKUP(I$2,行为概览!$D$3:$U$33,6,0)),4)</f>
        <v>0</v>
      </c>
      <c r="J72" s="20">
        <f>ROUND(IF(OR($A72&lt;VLOOKUP(J$2,行为概览!$D$3:$U$33,3,0),$A72&gt;VLOOKUP(J$2,行为概览!$D$3:$U$33,4,0)),0,VLOOKUP(J$2,行为概览!$D$3:$U$33,6,0)),4)</f>
        <v>0.5</v>
      </c>
      <c r="K72" s="20">
        <f>ROUND(IF(OR($A72&lt;VLOOKUP(K$2,行为概览!$D$3:$U$33,3,0),$A72&gt;VLOOKUP(K$2,行为概览!$D$3:$U$33,4,0)),0,VLOOKUP(K$2,行为概览!$D$3:$U$33,6,0)),4)</f>
        <v>0.16669999999999999</v>
      </c>
      <c r="L72" s="20">
        <f>ROUND(IF(OR($A72&lt;VLOOKUP(L$2,行为概览!$D$3:$U$33,3,0),$A72&gt;VLOOKUP(L$2,行为概览!$D$3:$U$33,4,0)),0,VLOOKUP(L$2,行为概览!$D$3:$U$33,6,0)),4)</f>
        <v>0.5</v>
      </c>
      <c r="M72" s="20">
        <f>ROUND(IF(OR($A72&lt;VLOOKUP(M$2,行为概览!$D$3:$U$33,3,0),$A72&gt;VLOOKUP(M$2,行为概览!$D$3:$U$33,4,0)),0,VLOOKUP(M$2,行为概览!$D$3:$U$33,6,0)),4)</f>
        <v>12</v>
      </c>
      <c r="N72" s="20">
        <f>ROUND(IF(OR($A72&lt;VLOOKUP(N$2,行为概览!$D$3:$U$33,3,0),$A72&gt;VLOOKUP(N$2,行为概览!$D$3:$U$33,4,0)),0,VLOOKUP(N$2,行为概览!$D$3:$U$33,6,0)),4)</f>
        <v>8.3299999999999999E-2</v>
      </c>
      <c r="O72" s="20">
        <f>ROUND(IF(OR($A72&lt;VLOOKUP(O$2,行为概览!$D$3:$U$33,3,0),$A72&gt;VLOOKUP(O$2,行为概览!$D$3:$U$33,4,0)),0,VLOOKUP(O$2,行为概览!$D$3:$U$33,6,0)),4)</f>
        <v>8.3299999999999999E-2</v>
      </c>
      <c r="P72" s="20">
        <f>ROUND(IF(OR($A72&lt;VLOOKUP(P$2,行为概览!$D$3:$U$33,3,0),$A72&gt;VLOOKUP(P$2,行为概览!$D$3:$U$33,4,0)),0,VLOOKUP(P$2,行为概览!$D$3:$U$33,6,0)),4)</f>
        <v>2.6</v>
      </c>
      <c r="Q72" s="20">
        <f>ROUND(IF(OR($A72&lt;VLOOKUP(Q$2,行为概览!$D$3:$U$33,3,0),$A72&gt;VLOOKUP(Q$2,行为概览!$D$3:$U$33,4,0)),0,VLOOKUP(Q$2,行为概览!$D$3:$U$33,6,0)),4)</f>
        <v>1</v>
      </c>
      <c r="R72" s="20">
        <f>ROUND(IF(OR($A72&lt;VLOOKUP(R$2,行为概览!$D$3:$U$33,3,0),$A72&gt;VLOOKUP(R$2,行为概览!$D$3:$U$33,4,0)),0,VLOOKUP(R$2,行为概览!$D$3:$U$33,6,0)),4)</f>
        <v>0.33329999999999999</v>
      </c>
      <c r="S72" s="20">
        <f>ROUND(IF(OR($A72&lt;VLOOKUP(S$2,行为概览!$D$3:$U$33,3,0),$A72&gt;VLOOKUP(S$2,行为概览!$D$3:$U$33,4,0)),0,VLOOKUP(S$2,行为概览!$D$3:$U$33,6,0)),4)</f>
        <v>0</v>
      </c>
      <c r="T72" s="20">
        <f>ROUND(IF(OR($A72&lt;VLOOKUP(T$2,行为概览!$D$3:$U$33,3,0),$A72&gt;VLOOKUP(T$2,行为概览!$D$3:$U$33,4,0)),0,VLOOKUP(T$2,行为概览!$D$3:$U$33,6,0)),4)</f>
        <v>0.33329999999999999</v>
      </c>
      <c r="U72" s="20">
        <f>ROUND(IF(OR($A72&lt;VLOOKUP(U$2,行为概览!$D$3:$U$33,3,0),$A72&gt;VLOOKUP(U$2,行为概览!$D$3:$U$33,4,0)),0,VLOOKUP(U$2,行为概览!$D$3:$U$33,6,0)),4)</f>
        <v>0.16669999999999999</v>
      </c>
      <c r="V72" s="20">
        <f>ROUND(IF(OR($A72&lt;VLOOKUP(V$2,行为概览!$D$3:$U$33,3,0),$A72&gt;VLOOKUP(V$2,行为概览!$D$3:$U$33,4,0)),0,VLOOKUP(V$2,行为概览!$D$3:$U$33,6,0)),4)</f>
        <v>0.16669999999999999</v>
      </c>
      <c r="W72" s="20">
        <f>ROUND(IF(OR($A72&lt;VLOOKUP(W$2,行为概览!$D$3:$U$33,3,0),$A72&gt;VLOOKUP(W$2,行为概览!$D$3:$U$33,4,0)),0,VLOOKUP(W$2,行为概览!$D$3:$U$33,6,0)),4)</f>
        <v>0.16669999999999999</v>
      </c>
      <c r="X72" s="20">
        <f>ROUND(IF(OR($A72&lt;VLOOKUP(X$2,行为概览!$D$3:$U$33,3,0),$A72&gt;VLOOKUP(X$2,行为概览!$D$3:$U$33,4,0)),0,VLOOKUP(X$2,行为概览!$D$3:$U$33,6,0)),4)</f>
        <v>0.25</v>
      </c>
      <c r="Y72" s="20">
        <f>ROUND(IF(OR($A72&lt;VLOOKUP(Y$2,行为概览!$D$3:$U$33,3,0),$A72&gt;VLOOKUP(Y$2,行为概览!$D$3:$U$33,4,0)),0,VLOOKUP(Y$2,行为概览!$D$3:$U$33,6,0)),4)</f>
        <v>0.58330000000000004</v>
      </c>
      <c r="Z72" s="20">
        <f>ROUND(IF(OR($A72&lt;VLOOKUP(Z$2,行为概览!$D$3:$U$33,3,0),$A72&gt;VLOOKUP(Z$2,行为概览!$D$3:$U$33,4,0)),0,VLOOKUP(Z$2,行为概览!$D$3:$U$33,6,0)),4)</f>
        <v>0.16669999999999999</v>
      </c>
      <c r="AA72" s="20">
        <f>ROUND(IF(OR($A72&lt;VLOOKUP(AA$2,行为概览!$D$3:$U$33,3,0),$A72&gt;VLOOKUP(AA$2,行为概览!$D$3:$U$33,4,0)),0,VLOOKUP(AA$2,行为概览!$D$3:$U$33,6,0)),4)</f>
        <v>0</v>
      </c>
      <c r="AB72" s="20">
        <f>ROUND(IF(OR($A72&lt;VLOOKUP(AB$2,行为概览!$D$3:$U$33,3,0),$A72&gt;VLOOKUP(AB$2,行为概览!$D$3:$U$33,4,0)),0,VLOOKUP(AB$2,行为概览!$D$3:$U$33,6,0)),4)</f>
        <v>0</v>
      </c>
      <c r="AC72" s="20">
        <f>ROUND(IF(OR($A72&lt;VLOOKUP(AC$2,行为概览!$D$3:$U$33,3,0),$A72&gt;VLOOKUP(AC$2,行为概览!$D$3:$U$33,4,0)),0,VLOOKUP(AC$2,行为概览!$D$3:$U$33,6,0)),4)</f>
        <v>0</v>
      </c>
      <c r="AD72" s="20">
        <f>ROUND(IF(OR($A72&lt;VLOOKUP(AD$2,行为概览!$D$3:$U$33,3,0),$A72&gt;VLOOKUP(AD$2,行为概览!$D$3:$U$33,4,0)),0,VLOOKUP(AD$2,行为概览!$D$3:$U$33,6,0)),4)</f>
        <v>0</v>
      </c>
      <c r="AE72" s="20">
        <f>ROUND(IF(OR($A72&lt;VLOOKUP(AE$2,行为概览!$D$3:$U$33,3,0),$A72&gt;VLOOKUP(AE$2,行为概览!$D$3:$U$33,4,0)),0,VLOOKUP(AE$2,行为概览!$D$3:$U$33,6,0)),4)</f>
        <v>8.3299999999999999E-2</v>
      </c>
      <c r="AF72" s="20">
        <f>ROUND(IF(OR($A72&lt;VLOOKUP(AF$2,行为概览!$D$3:$U$33,3,0),$A72&gt;VLOOKUP(AF$2,行为概览!$D$3:$U$33,4,0)),0,VLOOKUP(AF$2,行为概览!$D$3:$U$33,6,0)),4)</f>
        <v>0</v>
      </c>
    </row>
    <row r="73" spans="1:32">
      <c r="A73" s="19">
        <v>71</v>
      </c>
      <c r="B73" s="20">
        <f>ROUND(IF(OR($A73&lt;VLOOKUP(B$2,行为概览!$D$3:$U$33,3,0),$A73&gt;VLOOKUP(B$2,行为概览!$D$3:$U$33,4,0)),0,VLOOKUP(B$2,行为概览!$D$3:$U$33,6,0)),4)</f>
        <v>0.33329999999999999</v>
      </c>
      <c r="C73" s="20">
        <f>ROUND(IF(OR($A73&lt;VLOOKUP(C$2,行为概览!$D$3:$U$33,3,0),$A73&gt;VLOOKUP(C$2,行为概览!$D$3:$U$33,4,0)),0,VLOOKUP(C$2,行为概览!$D$3:$U$33,6,0)),4)</f>
        <v>2</v>
      </c>
      <c r="D73" s="20">
        <f>ROUND(IF(OR($A73&lt;VLOOKUP(D$2,行为概览!$D$3:$U$33,3,0),$A73&gt;VLOOKUP(D$2,行为概览!$D$3:$U$33,4,0)),0,VLOOKUP(D$2,行为概览!$D$3:$U$33,6,0)),4)</f>
        <v>8.3299999999999999E-2</v>
      </c>
      <c r="E73" s="20">
        <f>ROUND(IF(OR($A73&lt;VLOOKUP(E$2,行为概览!$D$3:$U$33,3,0),$A73&gt;VLOOKUP(E$2,行为概览!$D$3:$U$33,4,0)),0,VLOOKUP(E$2,行为概览!$D$3:$U$33,6,0)),4)</f>
        <v>1</v>
      </c>
      <c r="F73" s="20">
        <f>ROUND(IF(OR($A73&lt;VLOOKUP(F$2,行为概览!$D$3:$U$33,3,0),$A73&gt;VLOOKUP(F$2,行为概览!$D$3:$U$33,4,0)),0,VLOOKUP(F$2,行为概览!$D$3:$U$33,6,0)),4)</f>
        <v>0.33329999999999999</v>
      </c>
      <c r="G73" s="20">
        <f>ROUND(IF(OR($A73&lt;VLOOKUP(G$2,行为概览!$D$3:$U$33,3,0),$A73&gt;VLOOKUP(G$2,行为概览!$D$3:$U$33,4,0)),0,VLOOKUP(G$2,行为概览!$D$3:$U$33,6,0)),4)</f>
        <v>0</v>
      </c>
      <c r="H73" s="20">
        <f>ROUND(IF(OR($A73&lt;VLOOKUP(H$2,行为概览!$D$3:$U$33,3,0),$A73&gt;VLOOKUP(H$2,行为概览!$D$3:$U$33,4,0)),0,VLOOKUP(H$2,行为概览!$D$3:$U$33,6,0)),4)</f>
        <v>0</v>
      </c>
      <c r="I73" s="20">
        <f>ROUND(IF(OR($A73&lt;VLOOKUP(I$2,行为概览!$D$3:$U$33,3,0),$A73&gt;VLOOKUP(I$2,行为概览!$D$3:$U$33,4,0)),0,VLOOKUP(I$2,行为概览!$D$3:$U$33,6,0)),4)</f>
        <v>0</v>
      </c>
      <c r="J73" s="20">
        <f>ROUND(IF(OR($A73&lt;VLOOKUP(J$2,行为概览!$D$3:$U$33,3,0),$A73&gt;VLOOKUP(J$2,行为概览!$D$3:$U$33,4,0)),0,VLOOKUP(J$2,行为概览!$D$3:$U$33,6,0)),4)</f>
        <v>0.5</v>
      </c>
      <c r="K73" s="20">
        <f>ROUND(IF(OR($A73&lt;VLOOKUP(K$2,行为概览!$D$3:$U$33,3,0),$A73&gt;VLOOKUP(K$2,行为概览!$D$3:$U$33,4,0)),0,VLOOKUP(K$2,行为概览!$D$3:$U$33,6,0)),4)</f>
        <v>0.16669999999999999</v>
      </c>
      <c r="L73" s="20">
        <f>ROUND(IF(OR($A73&lt;VLOOKUP(L$2,行为概览!$D$3:$U$33,3,0),$A73&gt;VLOOKUP(L$2,行为概览!$D$3:$U$33,4,0)),0,VLOOKUP(L$2,行为概览!$D$3:$U$33,6,0)),4)</f>
        <v>0.5</v>
      </c>
      <c r="M73" s="20">
        <f>ROUND(IF(OR($A73&lt;VLOOKUP(M$2,行为概览!$D$3:$U$33,3,0),$A73&gt;VLOOKUP(M$2,行为概览!$D$3:$U$33,4,0)),0,VLOOKUP(M$2,行为概览!$D$3:$U$33,6,0)),4)</f>
        <v>12</v>
      </c>
      <c r="N73" s="20">
        <f>ROUND(IF(OR($A73&lt;VLOOKUP(N$2,行为概览!$D$3:$U$33,3,0),$A73&gt;VLOOKUP(N$2,行为概览!$D$3:$U$33,4,0)),0,VLOOKUP(N$2,行为概览!$D$3:$U$33,6,0)),4)</f>
        <v>8.3299999999999999E-2</v>
      </c>
      <c r="O73" s="20">
        <f>ROUND(IF(OR($A73&lt;VLOOKUP(O$2,行为概览!$D$3:$U$33,3,0),$A73&gt;VLOOKUP(O$2,行为概览!$D$3:$U$33,4,0)),0,VLOOKUP(O$2,行为概览!$D$3:$U$33,6,0)),4)</f>
        <v>8.3299999999999999E-2</v>
      </c>
      <c r="P73" s="20">
        <f>ROUND(IF(OR($A73&lt;VLOOKUP(P$2,行为概览!$D$3:$U$33,3,0),$A73&gt;VLOOKUP(P$2,行为概览!$D$3:$U$33,4,0)),0,VLOOKUP(P$2,行为概览!$D$3:$U$33,6,0)),4)</f>
        <v>2.6</v>
      </c>
      <c r="Q73" s="20">
        <f>ROUND(IF(OR($A73&lt;VLOOKUP(Q$2,行为概览!$D$3:$U$33,3,0),$A73&gt;VLOOKUP(Q$2,行为概览!$D$3:$U$33,4,0)),0,VLOOKUP(Q$2,行为概览!$D$3:$U$33,6,0)),4)</f>
        <v>1</v>
      </c>
      <c r="R73" s="20">
        <f>ROUND(IF(OR($A73&lt;VLOOKUP(R$2,行为概览!$D$3:$U$33,3,0),$A73&gt;VLOOKUP(R$2,行为概览!$D$3:$U$33,4,0)),0,VLOOKUP(R$2,行为概览!$D$3:$U$33,6,0)),4)</f>
        <v>0.33329999999999999</v>
      </c>
      <c r="S73" s="20">
        <f>ROUND(IF(OR($A73&lt;VLOOKUP(S$2,行为概览!$D$3:$U$33,3,0),$A73&gt;VLOOKUP(S$2,行为概览!$D$3:$U$33,4,0)),0,VLOOKUP(S$2,行为概览!$D$3:$U$33,6,0)),4)</f>
        <v>0</v>
      </c>
      <c r="T73" s="20">
        <f>ROUND(IF(OR($A73&lt;VLOOKUP(T$2,行为概览!$D$3:$U$33,3,0),$A73&gt;VLOOKUP(T$2,行为概览!$D$3:$U$33,4,0)),0,VLOOKUP(T$2,行为概览!$D$3:$U$33,6,0)),4)</f>
        <v>0.33329999999999999</v>
      </c>
      <c r="U73" s="20">
        <f>ROUND(IF(OR($A73&lt;VLOOKUP(U$2,行为概览!$D$3:$U$33,3,0),$A73&gt;VLOOKUP(U$2,行为概览!$D$3:$U$33,4,0)),0,VLOOKUP(U$2,行为概览!$D$3:$U$33,6,0)),4)</f>
        <v>0.16669999999999999</v>
      </c>
      <c r="V73" s="20">
        <f>ROUND(IF(OR($A73&lt;VLOOKUP(V$2,行为概览!$D$3:$U$33,3,0),$A73&gt;VLOOKUP(V$2,行为概览!$D$3:$U$33,4,0)),0,VLOOKUP(V$2,行为概览!$D$3:$U$33,6,0)),4)</f>
        <v>0.16669999999999999</v>
      </c>
      <c r="W73" s="20">
        <f>ROUND(IF(OR($A73&lt;VLOOKUP(W$2,行为概览!$D$3:$U$33,3,0),$A73&gt;VLOOKUP(W$2,行为概览!$D$3:$U$33,4,0)),0,VLOOKUP(W$2,行为概览!$D$3:$U$33,6,0)),4)</f>
        <v>0.16669999999999999</v>
      </c>
      <c r="X73" s="20">
        <f>ROUND(IF(OR($A73&lt;VLOOKUP(X$2,行为概览!$D$3:$U$33,3,0),$A73&gt;VLOOKUP(X$2,行为概览!$D$3:$U$33,4,0)),0,VLOOKUP(X$2,行为概览!$D$3:$U$33,6,0)),4)</f>
        <v>0.25</v>
      </c>
      <c r="Y73" s="20">
        <f>ROUND(IF(OR($A73&lt;VLOOKUP(Y$2,行为概览!$D$3:$U$33,3,0),$A73&gt;VLOOKUP(Y$2,行为概览!$D$3:$U$33,4,0)),0,VLOOKUP(Y$2,行为概览!$D$3:$U$33,6,0)),4)</f>
        <v>0.58330000000000004</v>
      </c>
      <c r="Z73" s="20">
        <f>ROUND(IF(OR($A73&lt;VLOOKUP(Z$2,行为概览!$D$3:$U$33,3,0),$A73&gt;VLOOKUP(Z$2,行为概览!$D$3:$U$33,4,0)),0,VLOOKUP(Z$2,行为概览!$D$3:$U$33,6,0)),4)</f>
        <v>0.16669999999999999</v>
      </c>
      <c r="AA73" s="20">
        <f>ROUND(IF(OR($A73&lt;VLOOKUP(AA$2,行为概览!$D$3:$U$33,3,0),$A73&gt;VLOOKUP(AA$2,行为概览!$D$3:$U$33,4,0)),0,VLOOKUP(AA$2,行为概览!$D$3:$U$33,6,0)),4)</f>
        <v>0</v>
      </c>
      <c r="AB73" s="20">
        <f>ROUND(IF(OR($A73&lt;VLOOKUP(AB$2,行为概览!$D$3:$U$33,3,0),$A73&gt;VLOOKUP(AB$2,行为概览!$D$3:$U$33,4,0)),0,VLOOKUP(AB$2,行为概览!$D$3:$U$33,6,0)),4)</f>
        <v>0</v>
      </c>
      <c r="AC73" s="20">
        <f>ROUND(IF(OR($A73&lt;VLOOKUP(AC$2,行为概览!$D$3:$U$33,3,0),$A73&gt;VLOOKUP(AC$2,行为概览!$D$3:$U$33,4,0)),0,VLOOKUP(AC$2,行为概览!$D$3:$U$33,6,0)),4)</f>
        <v>0</v>
      </c>
      <c r="AD73" s="20">
        <f>ROUND(IF(OR($A73&lt;VLOOKUP(AD$2,行为概览!$D$3:$U$33,3,0),$A73&gt;VLOOKUP(AD$2,行为概览!$D$3:$U$33,4,0)),0,VLOOKUP(AD$2,行为概览!$D$3:$U$33,6,0)),4)</f>
        <v>0</v>
      </c>
      <c r="AE73" s="20">
        <f>ROUND(IF(OR($A73&lt;VLOOKUP(AE$2,行为概览!$D$3:$U$33,3,0),$A73&gt;VLOOKUP(AE$2,行为概览!$D$3:$U$33,4,0)),0,VLOOKUP(AE$2,行为概览!$D$3:$U$33,6,0)),4)</f>
        <v>8.3299999999999999E-2</v>
      </c>
      <c r="AF73" s="20">
        <f>ROUND(IF(OR($A73&lt;VLOOKUP(AF$2,行为概览!$D$3:$U$33,3,0),$A73&gt;VLOOKUP(AF$2,行为概览!$D$3:$U$33,4,0)),0,VLOOKUP(AF$2,行为概览!$D$3:$U$33,6,0)),4)</f>
        <v>0</v>
      </c>
    </row>
    <row r="74" spans="1:32">
      <c r="A74" s="19">
        <v>72</v>
      </c>
      <c r="B74" s="20">
        <f>ROUND(IF(OR($A74&lt;VLOOKUP(B$2,行为概览!$D$3:$U$33,3,0),$A74&gt;VLOOKUP(B$2,行为概览!$D$3:$U$33,4,0)),0,VLOOKUP(B$2,行为概览!$D$3:$U$33,6,0)),4)</f>
        <v>0.33329999999999999</v>
      </c>
      <c r="C74" s="20">
        <f>ROUND(IF(OR($A74&lt;VLOOKUP(C$2,行为概览!$D$3:$U$33,3,0),$A74&gt;VLOOKUP(C$2,行为概览!$D$3:$U$33,4,0)),0,VLOOKUP(C$2,行为概览!$D$3:$U$33,6,0)),4)</f>
        <v>2</v>
      </c>
      <c r="D74" s="20">
        <f>ROUND(IF(OR($A74&lt;VLOOKUP(D$2,行为概览!$D$3:$U$33,3,0),$A74&gt;VLOOKUP(D$2,行为概览!$D$3:$U$33,4,0)),0,VLOOKUP(D$2,行为概览!$D$3:$U$33,6,0)),4)</f>
        <v>8.3299999999999999E-2</v>
      </c>
      <c r="E74" s="20">
        <f>ROUND(IF(OR($A74&lt;VLOOKUP(E$2,行为概览!$D$3:$U$33,3,0),$A74&gt;VLOOKUP(E$2,行为概览!$D$3:$U$33,4,0)),0,VLOOKUP(E$2,行为概览!$D$3:$U$33,6,0)),4)</f>
        <v>1</v>
      </c>
      <c r="F74" s="20">
        <f>ROUND(IF(OR($A74&lt;VLOOKUP(F$2,行为概览!$D$3:$U$33,3,0),$A74&gt;VLOOKUP(F$2,行为概览!$D$3:$U$33,4,0)),0,VLOOKUP(F$2,行为概览!$D$3:$U$33,6,0)),4)</f>
        <v>0.33329999999999999</v>
      </c>
      <c r="G74" s="20">
        <f>ROUND(IF(OR($A74&lt;VLOOKUP(G$2,行为概览!$D$3:$U$33,3,0),$A74&gt;VLOOKUP(G$2,行为概览!$D$3:$U$33,4,0)),0,VLOOKUP(G$2,行为概览!$D$3:$U$33,6,0)),4)</f>
        <v>0</v>
      </c>
      <c r="H74" s="20">
        <f>ROUND(IF(OR($A74&lt;VLOOKUP(H$2,行为概览!$D$3:$U$33,3,0),$A74&gt;VLOOKUP(H$2,行为概览!$D$3:$U$33,4,0)),0,VLOOKUP(H$2,行为概览!$D$3:$U$33,6,0)),4)</f>
        <v>0</v>
      </c>
      <c r="I74" s="20">
        <f>ROUND(IF(OR($A74&lt;VLOOKUP(I$2,行为概览!$D$3:$U$33,3,0),$A74&gt;VLOOKUP(I$2,行为概览!$D$3:$U$33,4,0)),0,VLOOKUP(I$2,行为概览!$D$3:$U$33,6,0)),4)</f>
        <v>0</v>
      </c>
      <c r="J74" s="20">
        <f>ROUND(IF(OR($A74&lt;VLOOKUP(J$2,行为概览!$D$3:$U$33,3,0),$A74&gt;VLOOKUP(J$2,行为概览!$D$3:$U$33,4,0)),0,VLOOKUP(J$2,行为概览!$D$3:$U$33,6,0)),4)</f>
        <v>0.5</v>
      </c>
      <c r="K74" s="20">
        <f>ROUND(IF(OR($A74&lt;VLOOKUP(K$2,行为概览!$D$3:$U$33,3,0),$A74&gt;VLOOKUP(K$2,行为概览!$D$3:$U$33,4,0)),0,VLOOKUP(K$2,行为概览!$D$3:$U$33,6,0)),4)</f>
        <v>0.16669999999999999</v>
      </c>
      <c r="L74" s="20">
        <f>ROUND(IF(OR($A74&lt;VLOOKUP(L$2,行为概览!$D$3:$U$33,3,0),$A74&gt;VLOOKUP(L$2,行为概览!$D$3:$U$33,4,0)),0,VLOOKUP(L$2,行为概览!$D$3:$U$33,6,0)),4)</f>
        <v>0.5</v>
      </c>
      <c r="M74" s="20">
        <f>ROUND(IF(OR($A74&lt;VLOOKUP(M$2,行为概览!$D$3:$U$33,3,0),$A74&gt;VLOOKUP(M$2,行为概览!$D$3:$U$33,4,0)),0,VLOOKUP(M$2,行为概览!$D$3:$U$33,6,0)),4)</f>
        <v>12</v>
      </c>
      <c r="N74" s="20">
        <f>ROUND(IF(OR($A74&lt;VLOOKUP(N$2,行为概览!$D$3:$U$33,3,0),$A74&gt;VLOOKUP(N$2,行为概览!$D$3:$U$33,4,0)),0,VLOOKUP(N$2,行为概览!$D$3:$U$33,6,0)),4)</f>
        <v>8.3299999999999999E-2</v>
      </c>
      <c r="O74" s="20">
        <f>ROUND(IF(OR($A74&lt;VLOOKUP(O$2,行为概览!$D$3:$U$33,3,0),$A74&gt;VLOOKUP(O$2,行为概览!$D$3:$U$33,4,0)),0,VLOOKUP(O$2,行为概览!$D$3:$U$33,6,0)),4)</f>
        <v>8.3299999999999999E-2</v>
      </c>
      <c r="P74" s="20">
        <f>ROUND(IF(OR($A74&lt;VLOOKUP(P$2,行为概览!$D$3:$U$33,3,0),$A74&gt;VLOOKUP(P$2,行为概览!$D$3:$U$33,4,0)),0,VLOOKUP(P$2,行为概览!$D$3:$U$33,6,0)),4)</f>
        <v>2.6</v>
      </c>
      <c r="Q74" s="20">
        <f>ROUND(IF(OR($A74&lt;VLOOKUP(Q$2,行为概览!$D$3:$U$33,3,0),$A74&gt;VLOOKUP(Q$2,行为概览!$D$3:$U$33,4,0)),0,VLOOKUP(Q$2,行为概览!$D$3:$U$33,6,0)),4)</f>
        <v>1</v>
      </c>
      <c r="R74" s="20">
        <f>ROUND(IF(OR($A74&lt;VLOOKUP(R$2,行为概览!$D$3:$U$33,3,0),$A74&gt;VLOOKUP(R$2,行为概览!$D$3:$U$33,4,0)),0,VLOOKUP(R$2,行为概览!$D$3:$U$33,6,0)),4)</f>
        <v>0.33329999999999999</v>
      </c>
      <c r="S74" s="20">
        <f>ROUND(IF(OR($A74&lt;VLOOKUP(S$2,行为概览!$D$3:$U$33,3,0),$A74&gt;VLOOKUP(S$2,行为概览!$D$3:$U$33,4,0)),0,VLOOKUP(S$2,行为概览!$D$3:$U$33,6,0)),4)</f>
        <v>0</v>
      </c>
      <c r="T74" s="20">
        <f>ROUND(IF(OR($A74&lt;VLOOKUP(T$2,行为概览!$D$3:$U$33,3,0),$A74&gt;VLOOKUP(T$2,行为概览!$D$3:$U$33,4,0)),0,VLOOKUP(T$2,行为概览!$D$3:$U$33,6,0)),4)</f>
        <v>0.33329999999999999</v>
      </c>
      <c r="U74" s="20">
        <f>ROUND(IF(OR($A74&lt;VLOOKUP(U$2,行为概览!$D$3:$U$33,3,0),$A74&gt;VLOOKUP(U$2,行为概览!$D$3:$U$33,4,0)),0,VLOOKUP(U$2,行为概览!$D$3:$U$33,6,0)),4)</f>
        <v>0.16669999999999999</v>
      </c>
      <c r="V74" s="20">
        <f>ROUND(IF(OR($A74&lt;VLOOKUP(V$2,行为概览!$D$3:$U$33,3,0),$A74&gt;VLOOKUP(V$2,行为概览!$D$3:$U$33,4,0)),0,VLOOKUP(V$2,行为概览!$D$3:$U$33,6,0)),4)</f>
        <v>0.16669999999999999</v>
      </c>
      <c r="W74" s="20">
        <f>ROUND(IF(OR($A74&lt;VLOOKUP(W$2,行为概览!$D$3:$U$33,3,0),$A74&gt;VLOOKUP(W$2,行为概览!$D$3:$U$33,4,0)),0,VLOOKUP(W$2,行为概览!$D$3:$U$33,6,0)),4)</f>
        <v>0.16669999999999999</v>
      </c>
      <c r="X74" s="20">
        <f>ROUND(IF(OR($A74&lt;VLOOKUP(X$2,行为概览!$D$3:$U$33,3,0),$A74&gt;VLOOKUP(X$2,行为概览!$D$3:$U$33,4,0)),0,VLOOKUP(X$2,行为概览!$D$3:$U$33,6,0)),4)</f>
        <v>0.25</v>
      </c>
      <c r="Y74" s="20">
        <f>ROUND(IF(OR($A74&lt;VLOOKUP(Y$2,行为概览!$D$3:$U$33,3,0),$A74&gt;VLOOKUP(Y$2,行为概览!$D$3:$U$33,4,0)),0,VLOOKUP(Y$2,行为概览!$D$3:$U$33,6,0)),4)</f>
        <v>0.58330000000000004</v>
      </c>
      <c r="Z74" s="20">
        <f>ROUND(IF(OR($A74&lt;VLOOKUP(Z$2,行为概览!$D$3:$U$33,3,0),$A74&gt;VLOOKUP(Z$2,行为概览!$D$3:$U$33,4,0)),0,VLOOKUP(Z$2,行为概览!$D$3:$U$33,6,0)),4)</f>
        <v>0.16669999999999999</v>
      </c>
      <c r="AA74" s="20">
        <f>ROUND(IF(OR($A74&lt;VLOOKUP(AA$2,行为概览!$D$3:$U$33,3,0),$A74&gt;VLOOKUP(AA$2,行为概览!$D$3:$U$33,4,0)),0,VLOOKUP(AA$2,行为概览!$D$3:$U$33,6,0)),4)</f>
        <v>0</v>
      </c>
      <c r="AB74" s="20">
        <f>ROUND(IF(OR($A74&lt;VLOOKUP(AB$2,行为概览!$D$3:$U$33,3,0),$A74&gt;VLOOKUP(AB$2,行为概览!$D$3:$U$33,4,0)),0,VLOOKUP(AB$2,行为概览!$D$3:$U$33,6,0)),4)</f>
        <v>0</v>
      </c>
      <c r="AC74" s="20">
        <f>ROUND(IF(OR($A74&lt;VLOOKUP(AC$2,行为概览!$D$3:$U$33,3,0),$A74&gt;VLOOKUP(AC$2,行为概览!$D$3:$U$33,4,0)),0,VLOOKUP(AC$2,行为概览!$D$3:$U$33,6,0)),4)</f>
        <v>0</v>
      </c>
      <c r="AD74" s="20">
        <f>ROUND(IF(OR($A74&lt;VLOOKUP(AD$2,行为概览!$D$3:$U$33,3,0),$A74&gt;VLOOKUP(AD$2,行为概览!$D$3:$U$33,4,0)),0,VLOOKUP(AD$2,行为概览!$D$3:$U$33,6,0)),4)</f>
        <v>0</v>
      </c>
      <c r="AE74" s="20">
        <f>ROUND(IF(OR($A74&lt;VLOOKUP(AE$2,行为概览!$D$3:$U$33,3,0),$A74&gt;VLOOKUP(AE$2,行为概览!$D$3:$U$33,4,0)),0,VLOOKUP(AE$2,行为概览!$D$3:$U$33,6,0)),4)</f>
        <v>8.3299999999999999E-2</v>
      </c>
      <c r="AF74" s="20">
        <f>ROUND(IF(OR($A74&lt;VLOOKUP(AF$2,行为概览!$D$3:$U$33,3,0),$A74&gt;VLOOKUP(AF$2,行为概览!$D$3:$U$33,4,0)),0,VLOOKUP(AF$2,行为概览!$D$3:$U$33,6,0)),4)</f>
        <v>0</v>
      </c>
    </row>
    <row r="75" spans="1:32">
      <c r="A75" s="19">
        <v>73</v>
      </c>
      <c r="B75" s="20">
        <f>ROUND(IF(OR($A75&lt;VLOOKUP(B$2,行为概览!$D$3:$U$33,3,0),$A75&gt;VLOOKUP(B$2,行为概览!$D$3:$U$33,4,0)),0,VLOOKUP(B$2,行为概览!$D$3:$U$33,6,0)),4)</f>
        <v>0.33329999999999999</v>
      </c>
      <c r="C75" s="20">
        <f>ROUND(IF(OR($A75&lt;VLOOKUP(C$2,行为概览!$D$3:$U$33,3,0),$A75&gt;VLOOKUP(C$2,行为概览!$D$3:$U$33,4,0)),0,VLOOKUP(C$2,行为概览!$D$3:$U$33,6,0)),4)</f>
        <v>2</v>
      </c>
      <c r="D75" s="20">
        <f>ROUND(IF(OR($A75&lt;VLOOKUP(D$2,行为概览!$D$3:$U$33,3,0),$A75&gt;VLOOKUP(D$2,行为概览!$D$3:$U$33,4,0)),0,VLOOKUP(D$2,行为概览!$D$3:$U$33,6,0)),4)</f>
        <v>8.3299999999999999E-2</v>
      </c>
      <c r="E75" s="20">
        <f>ROUND(IF(OR($A75&lt;VLOOKUP(E$2,行为概览!$D$3:$U$33,3,0),$A75&gt;VLOOKUP(E$2,行为概览!$D$3:$U$33,4,0)),0,VLOOKUP(E$2,行为概览!$D$3:$U$33,6,0)),4)</f>
        <v>1</v>
      </c>
      <c r="F75" s="20">
        <f>ROUND(IF(OR($A75&lt;VLOOKUP(F$2,行为概览!$D$3:$U$33,3,0),$A75&gt;VLOOKUP(F$2,行为概览!$D$3:$U$33,4,0)),0,VLOOKUP(F$2,行为概览!$D$3:$U$33,6,0)),4)</f>
        <v>0.33329999999999999</v>
      </c>
      <c r="G75" s="20">
        <f>ROUND(IF(OR($A75&lt;VLOOKUP(G$2,行为概览!$D$3:$U$33,3,0),$A75&gt;VLOOKUP(G$2,行为概览!$D$3:$U$33,4,0)),0,VLOOKUP(G$2,行为概览!$D$3:$U$33,6,0)),4)</f>
        <v>0</v>
      </c>
      <c r="H75" s="20">
        <f>ROUND(IF(OR($A75&lt;VLOOKUP(H$2,行为概览!$D$3:$U$33,3,0),$A75&gt;VLOOKUP(H$2,行为概览!$D$3:$U$33,4,0)),0,VLOOKUP(H$2,行为概览!$D$3:$U$33,6,0)),4)</f>
        <v>0</v>
      </c>
      <c r="I75" s="20">
        <f>ROUND(IF(OR($A75&lt;VLOOKUP(I$2,行为概览!$D$3:$U$33,3,0),$A75&gt;VLOOKUP(I$2,行为概览!$D$3:$U$33,4,0)),0,VLOOKUP(I$2,行为概览!$D$3:$U$33,6,0)),4)</f>
        <v>0</v>
      </c>
      <c r="J75" s="20">
        <f>ROUND(IF(OR($A75&lt;VLOOKUP(J$2,行为概览!$D$3:$U$33,3,0),$A75&gt;VLOOKUP(J$2,行为概览!$D$3:$U$33,4,0)),0,VLOOKUP(J$2,行为概览!$D$3:$U$33,6,0)),4)</f>
        <v>0.5</v>
      </c>
      <c r="K75" s="20">
        <f>ROUND(IF(OR($A75&lt;VLOOKUP(K$2,行为概览!$D$3:$U$33,3,0),$A75&gt;VLOOKUP(K$2,行为概览!$D$3:$U$33,4,0)),0,VLOOKUP(K$2,行为概览!$D$3:$U$33,6,0)),4)</f>
        <v>0.16669999999999999</v>
      </c>
      <c r="L75" s="20">
        <f>ROUND(IF(OR($A75&lt;VLOOKUP(L$2,行为概览!$D$3:$U$33,3,0),$A75&gt;VLOOKUP(L$2,行为概览!$D$3:$U$33,4,0)),0,VLOOKUP(L$2,行为概览!$D$3:$U$33,6,0)),4)</f>
        <v>0.5</v>
      </c>
      <c r="M75" s="20">
        <f>ROUND(IF(OR($A75&lt;VLOOKUP(M$2,行为概览!$D$3:$U$33,3,0),$A75&gt;VLOOKUP(M$2,行为概览!$D$3:$U$33,4,0)),0,VLOOKUP(M$2,行为概览!$D$3:$U$33,6,0)),4)</f>
        <v>12</v>
      </c>
      <c r="N75" s="20">
        <f>ROUND(IF(OR($A75&lt;VLOOKUP(N$2,行为概览!$D$3:$U$33,3,0),$A75&gt;VLOOKUP(N$2,行为概览!$D$3:$U$33,4,0)),0,VLOOKUP(N$2,行为概览!$D$3:$U$33,6,0)),4)</f>
        <v>8.3299999999999999E-2</v>
      </c>
      <c r="O75" s="20">
        <f>ROUND(IF(OR($A75&lt;VLOOKUP(O$2,行为概览!$D$3:$U$33,3,0),$A75&gt;VLOOKUP(O$2,行为概览!$D$3:$U$33,4,0)),0,VLOOKUP(O$2,行为概览!$D$3:$U$33,6,0)),4)</f>
        <v>8.3299999999999999E-2</v>
      </c>
      <c r="P75" s="20">
        <f>ROUND(IF(OR($A75&lt;VLOOKUP(P$2,行为概览!$D$3:$U$33,3,0),$A75&gt;VLOOKUP(P$2,行为概览!$D$3:$U$33,4,0)),0,VLOOKUP(P$2,行为概览!$D$3:$U$33,6,0)),4)</f>
        <v>2.6</v>
      </c>
      <c r="Q75" s="20">
        <f>ROUND(IF(OR($A75&lt;VLOOKUP(Q$2,行为概览!$D$3:$U$33,3,0),$A75&gt;VLOOKUP(Q$2,行为概览!$D$3:$U$33,4,0)),0,VLOOKUP(Q$2,行为概览!$D$3:$U$33,6,0)),4)</f>
        <v>1</v>
      </c>
      <c r="R75" s="20">
        <f>ROUND(IF(OR($A75&lt;VLOOKUP(R$2,行为概览!$D$3:$U$33,3,0),$A75&gt;VLOOKUP(R$2,行为概览!$D$3:$U$33,4,0)),0,VLOOKUP(R$2,行为概览!$D$3:$U$33,6,0)),4)</f>
        <v>0.33329999999999999</v>
      </c>
      <c r="S75" s="20">
        <f>ROUND(IF(OR($A75&lt;VLOOKUP(S$2,行为概览!$D$3:$U$33,3,0),$A75&gt;VLOOKUP(S$2,行为概览!$D$3:$U$33,4,0)),0,VLOOKUP(S$2,行为概览!$D$3:$U$33,6,0)),4)</f>
        <v>0</v>
      </c>
      <c r="T75" s="20">
        <f>ROUND(IF(OR($A75&lt;VLOOKUP(T$2,行为概览!$D$3:$U$33,3,0),$A75&gt;VLOOKUP(T$2,行为概览!$D$3:$U$33,4,0)),0,VLOOKUP(T$2,行为概览!$D$3:$U$33,6,0)),4)</f>
        <v>0.33329999999999999</v>
      </c>
      <c r="U75" s="20">
        <f>ROUND(IF(OR($A75&lt;VLOOKUP(U$2,行为概览!$D$3:$U$33,3,0),$A75&gt;VLOOKUP(U$2,行为概览!$D$3:$U$33,4,0)),0,VLOOKUP(U$2,行为概览!$D$3:$U$33,6,0)),4)</f>
        <v>0.16669999999999999</v>
      </c>
      <c r="V75" s="20">
        <f>ROUND(IF(OR($A75&lt;VLOOKUP(V$2,行为概览!$D$3:$U$33,3,0),$A75&gt;VLOOKUP(V$2,行为概览!$D$3:$U$33,4,0)),0,VLOOKUP(V$2,行为概览!$D$3:$U$33,6,0)),4)</f>
        <v>0.16669999999999999</v>
      </c>
      <c r="W75" s="20">
        <f>ROUND(IF(OR($A75&lt;VLOOKUP(W$2,行为概览!$D$3:$U$33,3,0),$A75&gt;VLOOKUP(W$2,行为概览!$D$3:$U$33,4,0)),0,VLOOKUP(W$2,行为概览!$D$3:$U$33,6,0)),4)</f>
        <v>0.16669999999999999</v>
      </c>
      <c r="X75" s="20">
        <f>ROUND(IF(OR($A75&lt;VLOOKUP(X$2,行为概览!$D$3:$U$33,3,0),$A75&gt;VLOOKUP(X$2,行为概览!$D$3:$U$33,4,0)),0,VLOOKUP(X$2,行为概览!$D$3:$U$33,6,0)),4)</f>
        <v>0.25</v>
      </c>
      <c r="Y75" s="20">
        <f>ROUND(IF(OR($A75&lt;VLOOKUP(Y$2,行为概览!$D$3:$U$33,3,0),$A75&gt;VLOOKUP(Y$2,行为概览!$D$3:$U$33,4,0)),0,VLOOKUP(Y$2,行为概览!$D$3:$U$33,6,0)),4)</f>
        <v>0.58330000000000004</v>
      </c>
      <c r="Z75" s="20">
        <f>ROUND(IF(OR($A75&lt;VLOOKUP(Z$2,行为概览!$D$3:$U$33,3,0),$A75&gt;VLOOKUP(Z$2,行为概览!$D$3:$U$33,4,0)),0,VLOOKUP(Z$2,行为概览!$D$3:$U$33,6,0)),4)</f>
        <v>0.16669999999999999</v>
      </c>
      <c r="AA75" s="20">
        <f>ROUND(IF(OR($A75&lt;VLOOKUP(AA$2,行为概览!$D$3:$U$33,3,0),$A75&gt;VLOOKUP(AA$2,行为概览!$D$3:$U$33,4,0)),0,VLOOKUP(AA$2,行为概览!$D$3:$U$33,6,0)),4)</f>
        <v>0</v>
      </c>
      <c r="AB75" s="20">
        <f>ROUND(IF(OR($A75&lt;VLOOKUP(AB$2,行为概览!$D$3:$U$33,3,0),$A75&gt;VLOOKUP(AB$2,行为概览!$D$3:$U$33,4,0)),0,VLOOKUP(AB$2,行为概览!$D$3:$U$33,6,0)),4)</f>
        <v>0</v>
      </c>
      <c r="AC75" s="20">
        <f>ROUND(IF(OR($A75&lt;VLOOKUP(AC$2,行为概览!$D$3:$U$33,3,0),$A75&gt;VLOOKUP(AC$2,行为概览!$D$3:$U$33,4,0)),0,VLOOKUP(AC$2,行为概览!$D$3:$U$33,6,0)),4)</f>
        <v>0</v>
      </c>
      <c r="AD75" s="20">
        <f>ROUND(IF(OR($A75&lt;VLOOKUP(AD$2,行为概览!$D$3:$U$33,3,0),$A75&gt;VLOOKUP(AD$2,行为概览!$D$3:$U$33,4,0)),0,VLOOKUP(AD$2,行为概览!$D$3:$U$33,6,0)),4)</f>
        <v>0</v>
      </c>
      <c r="AE75" s="20">
        <f>ROUND(IF(OR($A75&lt;VLOOKUP(AE$2,行为概览!$D$3:$U$33,3,0),$A75&gt;VLOOKUP(AE$2,行为概览!$D$3:$U$33,4,0)),0,VLOOKUP(AE$2,行为概览!$D$3:$U$33,6,0)),4)</f>
        <v>8.3299999999999999E-2</v>
      </c>
      <c r="AF75" s="20">
        <f>ROUND(IF(OR($A75&lt;VLOOKUP(AF$2,行为概览!$D$3:$U$33,3,0),$A75&gt;VLOOKUP(AF$2,行为概览!$D$3:$U$33,4,0)),0,VLOOKUP(AF$2,行为概览!$D$3:$U$33,6,0)),4)</f>
        <v>0</v>
      </c>
    </row>
    <row r="76" spans="1:32">
      <c r="A76" s="19">
        <v>74</v>
      </c>
      <c r="B76" s="20">
        <f>ROUND(IF(OR($A76&lt;VLOOKUP(B$2,行为概览!$D$3:$U$33,3,0),$A76&gt;VLOOKUP(B$2,行为概览!$D$3:$U$33,4,0)),0,VLOOKUP(B$2,行为概览!$D$3:$U$33,6,0)),4)</f>
        <v>0.33329999999999999</v>
      </c>
      <c r="C76" s="20">
        <f>ROUND(IF(OR($A76&lt;VLOOKUP(C$2,行为概览!$D$3:$U$33,3,0),$A76&gt;VLOOKUP(C$2,行为概览!$D$3:$U$33,4,0)),0,VLOOKUP(C$2,行为概览!$D$3:$U$33,6,0)),4)</f>
        <v>2</v>
      </c>
      <c r="D76" s="20">
        <f>ROUND(IF(OR($A76&lt;VLOOKUP(D$2,行为概览!$D$3:$U$33,3,0),$A76&gt;VLOOKUP(D$2,行为概览!$D$3:$U$33,4,0)),0,VLOOKUP(D$2,行为概览!$D$3:$U$33,6,0)),4)</f>
        <v>8.3299999999999999E-2</v>
      </c>
      <c r="E76" s="20">
        <f>ROUND(IF(OR($A76&lt;VLOOKUP(E$2,行为概览!$D$3:$U$33,3,0),$A76&gt;VLOOKUP(E$2,行为概览!$D$3:$U$33,4,0)),0,VLOOKUP(E$2,行为概览!$D$3:$U$33,6,0)),4)</f>
        <v>1</v>
      </c>
      <c r="F76" s="20">
        <f>ROUND(IF(OR($A76&lt;VLOOKUP(F$2,行为概览!$D$3:$U$33,3,0),$A76&gt;VLOOKUP(F$2,行为概览!$D$3:$U$33,4,0)),0,VLOOKUP(F$2,行为概览!$D$3:$U$33,6,0)),4)</f>
        <v>0.33329999999999999</v>
      </c>
      <c r="G76" s="20">
        <f>ROUND(IF(OR($A76&lt;VLOOKUP(G$2,行为概览!$D$3:$U$33,3,0),$A76&gt;VLOOKUP(G$2,行为概览!$D$3:$U$33,4,0)),0,VLOOKUP(G$2,行为概览!$D$3:$U$33,6,0)),4)</f>
        <v>0</v>
      </c>
      <c r="H76" s="20">
        <f>ROUND(IF(OR($A76&lt;VLOOKUP(H$2,行为概览!$D$3:$U$33,3,0),$A76&gt;VLOOKUP(H$2,行为概览!$D$3:$U$33,4,0)),0,VLOOKUP(H$2,行为概览!$D$3:$U$33,6,0)),4)</f>
        <v>0</v>
      </c>
      <c r="I76" s="20">
        <f>ROUND(IF(OR($A76&lt;VLOOKUP(I$2,行为概览!$D$3:$U$33,3,0),$A76&gt;VLOOKUP(I$2,行为概览!$D$3:$U$33,4,0)),0,VLOOKUP(I$2,行为概览!$D$3:$U$33,6,0)),4)</f>
        <v>0</v>
      </c>
      <c r="J76" s="20">
        <f>ROUND(IF(OR($A76&lt;VLOOKUP(J$2,行为概览!$D$3:$U$33,3,0),$A76&gt;VLOOKUP(J$2,行为概览!$D$3:$U$33,4,0)),0,VLOOKUP(J$2,行为概览!$D$3:$U$33,6,0)),4)</f>
        <v>0.5</v>
      </c>
      <c r="K76" s="20">
        <f>ROUND(IF(OR($A76&lt;VLOOKUP(K$2,行为概览!$D$3:$U$33,3,0),$A76&gt;VLOOKUP(K$2,行为概览!$D$3:$U$33,4,0)),0,VLOOKUP(K$2,行为概览!$D$3:$U$33,6,0)),4)</f>
        <v>0.16669999999999999</v>
      </c>
      <c r="L76" s="20">
        <f>ROUND(IF(OR($A76&lt;VLOOKUP(L$2,行为概览!$D$3:$U$33,3,0),$A76&gt;VLOOKUP(L$2,行为概览!$D$3:$U$33,4,0)),0,VLOOKUP(L$2,行为概览!$D$3:$U$33,6,0)),4)</f>
        <v>0.5</v>
      </c>
      <c r="M76" s="20">
        <f>ROUND(IF(OR($A76&lt;VLOOKUP(M$2,行为概览!$D$3:$U$33,3,0),$A76&gt;VLOOKUP(M$2,行为概览!$D$3:$U$33,4,0)),0,VLOOKUP(M$2,行为概览!$D$3:$U$33,6,0)),4)</f>
        <v>12</v>
      </c>
      <c r="N76" s="20">
        <f>ROUND(IF(OR($A76&lt;VLOOKUP(N$2,行为概览!$D$3:$U$33,3,0),$A76&gt;VLOOKUP(N$2,行为概览!$D$3:$U$33,4,0)),0,VLOOKUP(N$2,行为概览!$D$3:$U$33,6,0)),4)</f>
        <v>8.3299999999999999E-2</v>
      </c>
      <c r="O76" s="20">
        <f>ROUND(IF(OR($A76&lt;VLOOKUP(O$2,行为概览!$D$3:$U$33,3,0),$A76&gt;VLOOKUP(O$2,行为概览!$D$3:$U$33,4,0)),0,VLOOKUP(O$2,行为概览!$D$3:$U$33,6,0)),4)</f>
        <v>8.3299999999999999E-2</v>
      </c>
      <c r="P76" s="20">
        <f>ROUND(IF(OR($A76&lt;VLOOKUP(P$2,行为概览!$D$3:$U$33,3,0),$A76&gt;VLOOKUP(P$2,行为概览!$D$3:$U$33,4,0)),0,VLOOKUP(P$2,行为概览!$D$3:$U$33,6,0)),4)</f>
        <v>2.6</v>
      </c>
      <c r="Q76" s="20">
        <f>ROUND(IF(OR($A76&lt;VLOOKUP(Q$2,行为概览!$D$3:$U$33,3,0),$A76&gt;VLOOKUP(Q$2,行为概览!$D$3:$U$33,4,0)),0,VLOOKUP(Q$2,行为概览!$D$3:$U$33,6,0)),4)</f>
        <v>1</v>
      </c>
      <c r="R76" s="20">
        <f>ROUND(IF(OR($A76&lt;VLOOKUP(R$2,行为概览!$D$3:$U$33,3,0),$A76&gt;VLOOKUP(R$2,行为概览!$D$3:$U$33,4,0)),0,VLOOKUP(R$2,行为概览!$D$3:$U$33,6,0)),4)</f>
        <v>0.33329999999999999</v>
      </c>
      <c r="S76" s="20">
        <f>ROUND(IF(OR($A76&lt;VLOOKUP(S$2,行为概览!$D$3:$U$33,3,0),$A76&gt;VLOOKUP(S$2,行为概览!$D$3:$U$33,4,0)),0,VLOOKUP(S$2,行为概览!$D$3:$U$33,6,0)),4)</f>
        <v>0</v>
      </c>
      <c r="T76" s="20">
        <f>ROUND(IF(OR($A76&lt;VLOOKUP(T$2,行为概览!$D$3:$U$33,3,0),$A76&gt;VLOOKUP(T$2,行为概览!$D$3:$U$33,4,0)),0,VLOOKUP(T$2,行为概览!$D$3:$U$33,6,0)),4)</f>
        <v>0.33329999999999999</v>
      </c>
      <c r="U76" s="20">
        <f>ROUND(IF(OR($A76&lt;VLOOKUP(U$2,行为概览!$D$3:$U$33,3,0),$A76&gt;VLOOKUP(U$2,行为概览!$D$3:$U$33,4,0)),0,VLOOKUP(U$2,行为概览!$D$3:$U$33,6,0)),4)</f>
        <v>0.16669999999999999</v>
      </c>
      <c r="V76" s="20">
        <f>ROUND(IF(OR($A76&lt;VLOOKUP(V$2,行为概览!$D$3:$U$33,3,0),$A76&gt;VLOOKUP(V$2,行为概览!$D$3:$U$33,4,0)),0,VLOOKUP(V$2,行为概览!$D$3:$U$33,6,0)),4)</f>
        <v>0.16669999999999999</v>
      </c>
      <c r="W76" s="20">
        <f>ROUND(IF(OR($A76&lt;VLOOKUP(W$2,行为概览!$D$3:$U$33,3,0),$A76&gt;VLOOKUP(W$2,行为概览!$D$3:$U$33,4,0)),0,VLOOKUP(W$2,行为概览!$D$3:$U$33,6,0)),4)</f>
        <v>0.16669999999999999</v>
      </c>
      <c r="X76" s="20">
        <f>ROUND(IF(OR($A76&lt;VLOOKUP(X$2,行为概览!$D$3:$U$33,3,0),$A76&gt;VLOOKUP(X$2,行为概览!$D$3:$U$33,4,0)),0,VLOOKUP(X$2,行为概览!$D$3:$U$33,6,0)),4)</f>
        <v>0.25</v>
      </c>
      <c r="Y76" s="20">
        <f>ROUND(IF(OR($A76&lt;VLOOKUP(Y$2,行为概览!$D$3:$U$33,3,0),$A76&gt;VLOOKUP(Y$2,行为概览!$D$3:$U$33,4,0)),0,VLOOKUP(Y$2,行为概览!$D$3:$U$33,6,0)),4)</f>
        <v>0.58330000000000004</v>
      </c>
      <c r="Z76" s="20">
        <f>ROUND(IF(OR($A76&lt;VLOOKUP(Z$2,行为概览!$D$3:$U$33,3,0),$A76&gt;VLOOKUP(Z$2,行为概览!$D$3:$U$33,4,0)),0,VLOOKUP(Z$2,行为概览!$D$3:$U$33,6,0)),4)</f>
        <v>0.16669999999999999</v>
      </c>
      <c r="AA76" s="20">
        <f>ROUND(IF(OR($A76&lt;VLOOKUP(AA$2,行为概览!$D$3:$U$33,3,0),$A76&gt;VLOOKUP(AA$2,行为概览!$D$3:$U$33,4,0)),0,VLOOKUP(AA$2,行为概览!$D$3:$U$33,6,0)),4)</f>
        <v>0</v>
      </c>
      <c r="AB76" s="20">
        <f>ROUND(IF(OR($A76&lt;VLOOKUP(AB$2,行为概览!$D$3:$U$33,3,0),$A76&gt;VLOOKUP(AB$2,行为概览!$D$3:$U$33,4,0)),0,VLOOKUP(AB$2,行为概览!$D$3:$U$33,6,0)),4)</f>
        <v>0</v>
      </c>
      <c r="AC76" s="20">
        <f>ROUND(IF(OR($A76&lt;VLOOKUP(AC$2,行为概览!$D$3:$U$33,3,0),$A76&gt;VLOOKUP(AC$2,行为概览!$D$3:$U$33,4,0)),0,VLOOKUP(AC$2,行为概览!$D$3:$U$33,6,0)),4)</f>
        <v>0</v>
      </c>
      <c r="AD76" s="20">
        <f>ROUND(IF(OR($A76&lt;VLOOKUP(AD$2,行为概览!$D$3:$U$33,3,0),$A76&gt;VLOOKUP(AD$2,行为概览!$D$3:$U$33,4,0)),0,VLOOKUP(AD$2,行为概览!$D$3:$U$33,6,0)),4)</f>
        <v>0</v>
      </c>
      <c r="AE76" s="20">
        <f>ROUND(IF(OR($A76&lt;VLOOKUP(AE$2,行为概览!$D$3:$U$33,3,0),$A76&gt;VLOOKUP(AE$2,行为概览!$D$3:$U$33,4,0)),0,VLOOKUP(AE$2,行为概览!$D$3:$U$33,6,0)),4)</f>
        <v>8.3299999999999999E-2</v>
      </c>
      <c r="AF76" s="20">
        <f>ROUND(IF(OR($A76&lt;VLOOKUP(AF$2,行为概览!$D$3:$U$33,3,0),$A76&gt;VLOOKUP(AF$2,行为概览!$D$3:$U$33,4,0)),0,VLOOKUP(AF$2,行为概览!$D$3:$U$33,6,0)),4)</f>
        <v>0</v>
      </c>
    </row>
    <row r="77" spans="1:32">
      <c r="A77" s="19">
        <v>75</v>
      </c>
      <c r="B77" s="20">
        <f>ROUND(IF(OR($A77&lt;VLOOKUP(B$2,行为概览!$D$3:$U$33,3,0),$A77&gt;VLOOKUP(B$2,行为概览!$D$3:$U$33,4,0)),0,VLOOKUP(B$2,行为概览!$D$3:$U$33,6,0)),4)</f>
        <v>0.33329999999999999</v>
      </c>
      <c r="C77" s="20">
        <f>ROUND(IF(OR($A77&lt;VLOOKUP(C$2,行为概览!$D$3:$U$33,3,0),$A77&gt;VLOOKUP(C$2,行为概览!$D$3:$U$33,4,0)),0,VLOOKUP(C$2,行为概览!$D$3:$U$33,6,0)),4)</f>
        <v>2</v>
      </c>
      <c r="D77" s="20">
        <f>ROUND(IF(OR($A77&lt;VLOOKUP(D$2,行为概览!$D$3:$U$33,3,0),$A77&gt;VLOOKUP(D$2,行为概览!$D$3:$U$33,4,0)),0,VLOOKUP(D$2,行为概览!$D$3:$U$33,6,0)),4)</f>
        <v>8.3299999999999999E-2</v>
      </c>
      <c r="E77" s="20">
        <f>ROUND(IF(OR($A77&lt;VLOOKUP(E$2,行为概览!$D$3:$U$33,3,0),$A77&gt;VLOOKUP(E$2,行为概览!$D$3:$U$33,4,0)),0,VLOOKUP(E$2,行为概览!$D$3:$U$33,6,0)),4)</f>
        <v>1</v>
      </c>
      <c r="F77" s="20">
        <f>ROUND(IF(OR($A77&lt;VLOOKUP(F$2,行为概览!$D$3:$U$33,3,0),$A77&gt;VLOOKUP(F$2,行为概览!$D$3:$U$33,4,0)),0,VLOOKUP(F$2,行为概览!$D$3:$U$33,6,0)),4)</f>
        <v>0.33329999999999999</v>
      </c>
      <c r="G77" s="20">
        <f>ROUND(IF(OR($A77&lt;VLOOKUP(G$2,行为概览!$D$3:$U$33,3,0),$A77&gt;VLOOKUP(G$2,行为概览!$D$3:$U$33,4,0)),0,VLOOKUP(G$2,行为概览!$D$3:$U$33,6,0)),4)</f>
        <v>0</v>
      </c>
      <c r="H77" s="20">
        <f>ROUND(IF(OR($A77&lt;VLOOKUP(H$2,行为概览!$D$3:$U$33,3,0),$A77&gt;VLOOKUP(H$2,行为概览!$D$3:$U$33,4,0)),0,VLOOKUP(H$2,行为概览!$D$3:$U$33,6,0)),4)</f>
        <v>0</v>
      </c>
      <c r="I77" s="20">
        <f>ROUND(IF(OR($A77&lt;VLOOKUP(I$2,行为概览!$D$3:$U$33,3,0),$A77&gt;VLOOKUP(I$2,行为概览!$D$3:$U$33,4,0)),0,VLOOKUP(I$2,行为概览!$D$3:$U$33,6,0)),4)</f>
        <v>0</v>
      </c>
      <c r="J77" s="20">
        <f>ROUND(IF(OR($A77&lt;VLOOKUP(J$2,行为概览!$D$3:$U$33,3,0),$A77&gt;VLOOKUP(J$2,行为概览!$D$3:$U$33,4,0)),0,VLOOKUP(J$2,行为概览!$D$3:$U$33,6,0)),4)</f>
        <v>0.5</v>
      </c>
      <c r="K77" s="20">
        <f>ROUND(IF(OR($A77&lt;VLOOKUP(K$2,行为概览!$D$3:$U$33,3,0),$A77&gt;VLOOKUP(K$2,行为概览!$D$3:$U$33,4,0)),0,VLOOKUP(K$2,行为概览!$D$3:$U$33,6,0)),4)</f>
        <v>0.16669999999999999</v>
      </c>
      <c r="L77" s="20">
        <f>ROUND(IF(OR($A77&lt;VLOOKUP(L$2,行为概览!$D$3:$U$33,3,0),$A77&gt;VLOOKUP(L$2,行为概览!$D$3:$U$33,4,0)),0,VLOOKUP(L$2,行为概览!$D$3:$U$33,6,0)),4)</f>
        <v>0.5</v>
      </c>
      <c r="M77" s="20">
        <f>ROUND(IF(OR($A77&lt;VLOOKUP(M$2,行为概览!$D$3:$U$33,3,0),$A77&gt;VLOOKUP(M$2,行为概览!$D$3:$U$33,4,0)),0,VLOOKUP(M$2,行为概览!$D$3:$U$33,6,0)),4)</f>
        <v>12</v>
      </c>
      <c r="N77" s="20">
        <f>ROUND(IF(OR($A77&lt;VLOOKUP(N$2,行为概览!$D$3:$U$33,3,0),$A77&gt;VLOOKUP(N$2,行为概览!$D$3:$U$33,4,0)),0,VLOOKUP(N$2,行为概览!$D$3:$U$33,6,0)),4)</f>
        <v>8.3299999999999999E-2</v>
      </c>
      <c r="O77" s="20">
        <f>ROUND(IF(OR($A77&lt;VLOOKUP(O$2,行为概览!$D$3:$U$33,3,0),$A77&gt;VLOOKUP(O$2,行为概览!$D$3:$U$33,4,0)),0,VLOOKUP(O$2,行为概览!$D$3:$U$33,6,0)),4)</f>
        <v>8.3299999999999999E-2</v>
      </c>
      <c r="P77" s="20">
        <f>ROUND(IF(OR($A77&lt;VLOOKUP(P$2,行为概览!$D$3:$U$33,3,0),$A77&gt;VLOOKUP(P$2,行为概览!$D$3:$U$33,4,0)),0,VLOOKUP(P$2,行为概览!$D$3:$U$33,6,0)),4)</f>
        <v>2.6</v>
      </c>
      <c r="Q77" s="20">
        <f>ROUND(IF(OR($A77&lt;VLOOKUP(Q$2,行为概览!$D$3:$U$33,3,0),$A77&gt;VLOOKUP(Q$2,行为概览!$D$3:$U$33,4,0)),0,VLOOKUP(Q$2,行为概览!$D$3:$U$33,6,0)),4)</f>
        <v>1</v>
      </c>
      <c r="R77" s="20">
        <f>ROUND(IF(OR($A77&lt;VLOOKUP(R$2,行为概览!$D$3:$U$33,3,0),$A77&gt;VLOOKUP(R$2,行为概览!$D$3:$U$33,4,0)),0,VLOOKUP(R$2,行为概览!$D$3:$U$33,6,0)),4)</f>
        <v>0.33329999999999999</v>
      </c>
      <c r="S77" s="20">
        <f>ROUND(IF(OR($A77&lt;VLOOKUP(S$2,行为概览!$D$3:$U$33,3,0),$A77&gt;VLOOKUP(S$2,行为概览!$D$3:$U$33,4,0)),0,VLOOKUP(S$2,行为概览!$D$3:$U$33,6,0)),4)</f>
        <v>0</v>
      </c>
      <c r="T77" s="20">
        <f>ROUND(IF(OR($A77&lt;VLOOKUP(T$2,行为概览!$D$3:$U$33,3,0),$A77&gt;VLOOKUP(T$2,行为概览!$D$3:$U$33,4,0)),0,VLOOKUP(T$2,行为概览!$D$3:$U$33,6,0)),4)</f>
        <v>0.33329999999999999</v>
      </c>
      <c r="U77" s="20">
        <f>ROUND(IF(OR($A77&lt;VLOOKUP(U$2,行为概览!$D$3:$U$33,3,0),$A77&gt;VLOOKUP(U$2,行为概览!$D$3:$U$33,4,0)),0,VLOOKUP(U$2,行为概览!$D$3:$U$33,6,0)),4)</f>
        <v>0.16669999999999999</v>
      </c>
      <c r="V77" s="20">
        <f>ROUND(IF(OR($A77&lt;VLOOKUP(V$2,行为概览!$D$3:$U$33,3,0),$A77&gt;VLOOKUP(V$2,行为概览!$D$3:$U$33,4,0)),0,VLOOKUP(V$2,行为概览!$D$3:$U$33,6,0)),4)</f>
        <v>0.16669999999999999</v>
      </c>
      <c r="W77" s="20">
        <f>ROUND(IF(OR($A77&lt;VLOOKUP(W$2,行为概览!$D$3:$U$33,3,0),$A77&gt;VLOOKUP(W$2,行为概览!$D$3:$U$33,4,0)),0,VLOOKUP(W$2,行为概览!$D$3:$U$33,6,0)),4)</f>
        <v>0.16669999999999999</v>
      </c>
      <c r="X77" s="20">
        <f>ROUND(IF(OR($A77&lt;VLOOKUP(X$2,行为概览!$D$3:$U$33,3,0),$A77&gt;VLOOKUP(X$2,行为概览!$D$3:$U$33,4,0)),0,VLOOKUP(X$2,行为概览!$D$3:$U$33,6,0)),4)</f>
        <v>0.25</v>
      </c>
      <c r="Y77" s="20">
        <f>ROUND(IF(OR($A77&lt;VLOOKUP(Y$2,行为概览!$D$3:$U$33,3,0),$A77&gt;VLOOKUP(Y$2,行为概览!$D$3:$U$33,4,0)),0,VLOOKUP(Y$2,行为概览!$D$3:$U$33,6,0)),4)</f>
        <v>0.58330000000000004</v>
      </c>
      <c r="Z77" s="20">
        <f>ROUND(IF(OR($A77&lt;VLOOKUP(Z$2,行为概览!$D$3:$U$33,3,0),$A77&gt;VLOOKUP(Z$2,行为概览!$D$3:$U$33,4,0)),0,VLOOKUP(Z$2,行为概览!$D$3:$U$33,6,0)),4)</f>
        <v>0.16669999999999999</v>
      </c>
      <c r="AA77" s="20">
        <f>ROUND(IF(OR($A77&lt;VLOOKUP(AA$2,行为概览!$D$3:$U$33,3,0),$A77&gt;VLOOKUP(AA$2,行为概览!$D$3:$U$33,4,0)),0,VLOOKUP(AA$2,行为概览!$D$3:$U$33,6,0)),4)</f>
        <v>0</v>
      </c>
      <c r="AB77" s="20">
        <f>ROUND(IF(OR($A77&lt;VLOOKUP(AB$2,行为概览!$D$3:$U$33,3,0),$A77&gt;VLOOKUP(AB$2,行为概览!$D$3:$U$33,4,0)),0,VLOOKUP(AB$2,行为概览!$D$3:$U$33,6,0)),4)</f>
        <v>0</v>
      </c>
      <c r="AC77" s="20">
        <f>ROUND(IF(OR($A77&lt;VLOOKUP(AC$2,行为概览!$D$3:$U$33,3,0),$A77&gt;VLOOKUP(AC$2,行为概览!$D$3:$U$33,4,0)),0,VLOOKUP(AC$2,行为概览!$D$3:$U$33,6,0)),4)</f>
        <v>0</v>
      </c>
      <c r="AD77" s="20">
        <f>ROUND(IF(OR($A77&lt;VLOOKUP(AD$2,行为概览!$D$3:$U$33,3,0),$A77&gt;VLOOKUP(AD$2,行为概览!$D$3:$U$33,4,0)),0,VLOOKUP(AD$2,行为概览!$D$3:$U$33,6,0)),4)</f>
        <v>0</v>
      </c>
      <c r="AE77" s="20">
        <f>ROUND(IF(OR($A77&lt;VLOOKUP(AE$2,行为概览!$D$3:$U$33,3,0),$A77&gt;VLOOKUP(AE$2,行为概览!$D$3:$U$33,4,0)),0,VLOOKUP(AE$2,行为概览!$D$3:$U$33,6,0)),4)</f>
        <v>8.3299999999999999E-2</v>
      </c>
      <c r="AF77" s="20">
        <f>ROUND(IF(OR($A77&lt;VLOOKUP(AF$2,行为概览!$D$3:$U$33,3,0),$A77&gt;VLOOKUP(AF$2,行为概览!$D$3:$U$33,4,0)),0,VLOOKUP(AF$2,行为概览!$D$3:$U$33,6,0)),4)</f>
        <v>0</v>
      </c>
    </row>
    <row r="78" spans="1:32">
      <c r="A78" s="19">
        <v>76</v>
      </c>
      <c r="B78" s="20">
        <f>ROUND(IF(OR($A78&lt;VLOOKUP(B$2,行为概览!$D$3:$U$33,3,0),$A78&gt;VLOOKUP(B$2,行为概览!$D$3:$U$33,4,0)),0,VLOOKUP(B$2,行为概览!$D$3:$U$33,6,0)),4)</f>
        <v>0.33329999999999999</v>
      </c>
      <c r="C78" s="20">
        <f>ROUND(IF(OR($A78&lt;VLOOKUP(C$2,行为概览!$D$3:$U$33,3,0),$A78&gt;VLOOKUP(C$2,行为概览!$D$3:$U$33,4,0)),0,VLOOKUP(C$2,行为概览!$D$3:$U$33,6,0)),4)</f>
        <v>2</v>
      </c>
      <c r="D78" s="20">
        <f>ROUND(IF(OR($A78&lt;VLOOKUP(D$2,行为概览!$D$3:$U$33,3,0),$A78&gt;VLOOKUP(D$2,行为概览!$D$3:$U$33,4,0)),0,VLOOKUP(D$2,行为概览!$D$3:$U$33,6,0)),4)</f>
        <v>8.3299999999999999E-2</v>
      </c>
      <c r="E78" s="20">
        <f>ROUND(IF(OR($A78&lt;VLOOKUP(E$2,行为概览!$D$3:$U$33,3,0),$A78&gt;VLOOKUP(E$2,行为概览!$D$3:$U$33,4,0)),0,VLOOKUP(E$2,行为概览!$D$3:$U$33,6,0)),4)</f>
        <v>1</v>
      </c>
      <c r="F78" s="20">
        <f>ROUND(IF(OR($A78&lt;VLOOKUP(F$2,行为概览!$D$3:$U$33,3,0),$A78&gt;VLOOKUP(F$2,行为概览!$D$3:$U$33,4,0)),0,VLOOKUP(F$2,行为概览!$D$3:$U$33,6,0)),4)</f>
        <v>0.33329999999999999</v>
      </c>
      <c r="G78" s="20">
        <f>ROUND(IF(OR($A78&lt;VLOOKUP(G$2,行为概览!$D$3:$U$33,3,0),$A78&gt;VLOOKUP(G$2,行为概览!$D$3:$U$33,4,0)),0,VLOOKUP(G$2,行为概览!$D$3:$U$33,6,0)),4)</f>
        <v>0</v>
      </c>
      <c r="H78" s="20">
        <f>ROUND(IF(OR($A78&lt;VLOOKUP(H$2,行为概览!$D$3:$U$33,3,0),$A78&gt;VLOOKUP(H$2,行为概览!$D$3:$U$33,4,0)),0,VLOOKUP(H$2,行为概览!$D$3:$U$33,6,0)),4)</f>
        <v>0</v>
      </c>
      <c r="I78" s="20">
        <f>ROUND(IF(OR($A78&lt;VLOOKUP(I$2,行为概览!$D$3:$U$33,3,0),$A78&gt;VLOOKUP(I$2,行为概览!$D$3:$U$33,4,0)),0,VLOOKUP(I$2,行为概览!$D$3:$U$33,6,0)),4)</f>
        <v>0</v>
      </c>
      <c r="J78" s="20">
        <f>ROUND(IF(OR($A78&lt;VLOOKUP(J$2,行为概览!$D$3:$U$33,3,0),$A78&gt;VLOOKUP(J$2,行为概览!$D$3:$U$33,4,0)),0,VLOOKUP(J$2,行为概览!$D$3:$U$33,6,0)),4)</f>
        <v>0.5</v>
      </c>
      <c r="K78" s="20">
        <f>ROUND(IF(OR($A78&lt;VLOOKUP(K$2,行为概览!$D$3:$U$33,3,0),$A78&gt;VLOOKUP(K$2,行为概览!$D$3:$U$33,4,0)),0,VLOOKUP(K$2,行为概览!$D$3:$U$33,6,0)),4)</f>
        <v>0.16669999999999999</v>
      </c>
      <c r="L78" s="20">
        <f>ROUND(IF(OR($A78&lt;VLOOKUP(L$2,行为概览!$D$3:$U$33,3,0),$A78&gt;VLOOKUP(L$2,行为概览!$D$3:$U$33,4,0)),0,VLOOKUP(L$2,行为概览!$D$3:$U$33,6,0)),4)</f>
        <v>0.5</v>
      </c>
      <c r="M78" s="20">
        <f>ROUND(IF(OR($A78&lt;VLOOKUP(M$2,行为概览!$D$3:$U$33,3,0),$A78&gt;VLOOKUP(M$2,行为概览!$D$3:$U$33,4,0)),0,VLOOKUP(M$2,行为概览!$D$3:$U$33,6,0)),4)</f>
        <v>12</v>
      </c>
      <c r="N78" s="20">
        <f>ROUND(IF(OR($A78&lt;VLOOKUP(N$2,行为概览!$D$3:$U$33,3,0),$A78&gt;VLOOKUP(N$2,行为概览!$D$3:$U$33,4,0)),0,VLOOKUP(N$2,行为概览!$D$3:$U$33,6,0)),4)</f>
        <v>8.3299999999999999E-2</v>
      </c>
      <c r="O78" s="20">
        <f>ROUND(IF(OR($A78&lt;VLOOKUP(O$2,行为概览!$D$3:$U$33,3,0),$A78&gt;VLOOKUP(O$2,行为概览!$D$3:$U$33,4,0)),0,VLOOKUP(O$2,行为概览!$D$3:$U$33,6,0)),4)</f>
        <v>8.3299999999999999E-2</v>
      </c>
      <c r="P78" s="20">
        <f>ROUND(IF(OR($A78&lt;VLOOKUP(P$2,行为概览!$D$3:$U$33,3,0),$A78&gt;VLOOKUP(P$2,行为概览!$D$3:$U$33,4,0)),0,VLOOKUP(P$2,行为概览!$D$3:$U$33,6,0)),4)</f>
        <v>2.6</v>
      </c>
      <c r="Q78" s="20">
        <f>ROUND(IF(OR($A78&lt;VLOOKUP(Q$2,行为概览!$D$3:$U$33,3,0),$A78&gt;VLOOKUP(Q$2,行为概览!$D$3:$U$33,4,0)),0,VLOOKUP(Q$2,行为概览!$D$3:$U$33,6,0)),4)</f>
        <v>1</v>
      </c>
      <c r="R78" s="20">
        <f>ROUND(IF(OR($A78&lt;VLOOKUP(R$2,行为概览!$D$3:$U$33,3,0),$A78&gt;VLOOKUP(R$2,行为概览!$D$3:$U$33,4,0)),0,VLOOKUP(R$2,行为概览!$D$3:$U$33,6,0)),4)</f>
        <v>0.33329999999999999</v>
      </c>
      <c r="S78" s="20">
        <f>ROUND(IF(OR($A78&lt;VLOOKUP(S$2,行为概览!$D$3:$U$33,3,0),$A78&gt;VLOOKUP(S$2,行为概览!$D$3:$U$33,4,0)),0,VLOOKUP(S$2,行为概览!$D$3:$U$33,6,0)),4)</f>
        <v>0</v>
      </c>
      <c r="T78" s="20">
        <f>ROUND(IF(OR($A78&lt;VLOOKUP(T$2,行为概览!$D$3:$U$33,3,0),$A78&gt;VLOOKUP(T$2,行为概览!$D$3:$U$33,4,0)),0,VLOOKUP(T$2,行为概览!$D$3:$U$33,6,0)),4)</f>
        <v>0.33329999999999999</v>
      </c>
      <c r="U78" s="20">
        <f>ROUND(IF(OR($A78&lt;VLOOKUP(U$2,行为概览!$D$3:$U$33,3,0),$A78&gt;VLOOKUP(U$2,行为概览!$D$3:$U$33,4,0)),0,VLOOKUP(U$2,行为概览!$D$3:$U$33,6,0)),4)</f>
        <v>0.16669999999999999</v>
      </c>
      <c r="V78" s="20">
        <f>ROUND(IF(OR($A78&lt;VLOOKUP(V$2,行为概览!$D$3:$U$33,3,0),$A78&gt;VLOOKUP(V$2,行为概览!$D$3:$U$33,4,0)),0,VLOOKUP(V$2,行为概览!$D$3:$U$33,6,0)),4)</f>
        <v>0.16669999999999999</v>
      </c>
      <c r="W78" s="20">
        <f>ROUND(IF(OR($A78&lt;VLOOKUP(W$2,行为概览!$D$3:$U$33,3,0),$A78&gt;VLOOKUP(W$2,行为概览!$D$3:$U$33,4,0)),0,VLOOKUP(W$2,行为概览!$D$3:$U$33,6,0)),4)</f>
        <v>0.16669999999999999</v>
      </c>
      <c r="X78" s="20">
        <f>ROUND(IF(OR($A78&lt;VLOOKUP(X$2,行为概览!$D$3:$U$33,3,0),$A78&gt;VLOOKUP(X$2,行为概览!$D$3:$U$33,4,0)),0,VLOOKUP(X$2,行为概览!$D$3:$U$33,6,0)),4)</f>
        <v>0.25</v>
      </c>
      <c r="Y78" s="20">
        <f>ROUND(IF(OR($A78&lt;VLOOKUP(Y$2,行为概览!$D$3:$U$33,3,0),$A78&gt;VLOOKUP(Y$2,行为概览!$D$3:$U$33,4,0)),0,VLOOKUP(Y$2,行为概览!$D$3:$U$33,6,0)),4)</f>
        <v>0.58330000000000004</v>
      </c>
      <c r="Z78" s="20">
        <f>ROUND(IF(OR($A78&lt;VLOOKUP(Z$2,行为概览!$D$3:$U$33,3,0),$A78&gt;VLOOKUP(Z$2,行为概览!$D$3:$U$33,4,0)),0,VLOOKUP(Z$2,行为概览!$D$3:$U$33,6,0)),4)</f>
        <v>0.16669999999999999</v>
      </c>
      <c r="AA78" s="20">
        <f>ROUND(IF(OR($A78&lt;VLOOKUP(AA$2,行为概览!$D$3:$U$33,3,0),$A78&gt;VLOOKUP(AA$2,行为概览!$D$3:$U$33,4,0)),0,VLOOKUP(AA$2,行为概览!$D$3:$U$33,6,0)),4)</f>
        <v>0</v>
      </c>
      <c r="AB78" s="20">
        <f>ROUND(IF(OR($A78&lt;VLOOKUP(AB$2,行为概览!$D$3:$U$33,3,0),$A78&gt;VLOOKUP(AB$2,行为概览!$D$3:$U$33,4,0)),0,VLOOKUP(AB$2,行为概览!$D$3:$U$33,6,0)),4)</f>
        <v>0</v>
      </c>
      <c r="AC78" s="20">
        <f>ROUND(IF(OR($A78&lt;VLOOKUP(AC$2,行为概览!$D$3:$U$33,3,0),$A78&gt;VLOOKUP(AC$2,行为概览!$D$3:$U$33,4,0)),0,VLOOKUP(AC$2,行为概览!$D$3:$U$33,6,0)),4)</f>
        <v>0</v>
      </c>
      <c r="AD78" s="20">
        <f>ROUND(IF(OR($A78&lt;VLOOKUP(AD$2,行为概览!$D$3:$U$33,3,0),$A78&gt;VLOOKUP(AD$2,行为概览!$D$3:$U$33,4,0)),0,VLOOKUP(AD$2,行为概览!$D$3:$U$33,6,0)),4)</f>
        <v>0</v>
      </c>
      <c r="AE78" s="20">
        <f>ROUND(IF(OR($A78&lt;VLOOKUP(AE$2,行为概览!$D$3:$U$33,3,0),$A78&gt;VLOOKUP(AE$2,行为概览!$D$3:$U$33,4,0)),0,VLOOKUP(AE$2,行为概览!$D$3:$U$33,6,0)),4)</f>
        <v>8.3299999999999999E-2</v>
      </c>
      <c r="AF78" s="20">
        <f>ROUND(IF(OR($A78&lt;VLOOKUP(AF$2,行为概览!$D$3:$U$33,3,0),$A78&gt;VLOOKUP(AF$2,行为概览!$D$3:$U$33,4,0)),0,VLOOKUP(AF$2,行为概览!$D$3:$U$33,6,0)),4)</f>
        <v>0</v>
      </c>
    </row>
    <row r="79" spans="1:32">
      <c r="A79" s="19">
        <v>77</v>
      </c>
      <c r="B79" s="20">
        <f>ROUND(IF(OR($A79&lt;VLOOKUP(B$2,行为概览!$D$3:$U$33,3,0),$A79&gt;VLOOKUP(B$2,行为概览!$D$3:$U$33,4,0)),0,VLOOKUP(B$2,行为概览!$D$3:$U$33,6,0)),4)</f>
        <v>0.33329999999999999</v>
      </c>
      <c r="C79" s="20">
        <f>ROUND(IF(OR($A79&lt;VLOOKUP(C$2,行为概览!$D$3:$U$33,3,0),$A79&gt;VLOOKUP(C$2,行为概览!$D$3:$U$33,4,0)),0,VLOOKUP(C$2,行为概览!$D$3:$U$33,6,0)),4)</f>
        <v>2</v>
      </c>
      <c r="D79" s="20">
        <f>ROUND(IF(OR($A79&lt;VLOOKUP(D$2,行为概览!$D$3:$U$33,3,0),$A79&gt;VLOOKUP(D$2,行为概览!$D$3:$U$33,4,0)),0,VLOOKUP(D$2,行为概览!$D$3:$U$33,6,0)),4)</f>
        <v>8.3299999999999999E-2</v>
      </c>
      <c r="E79" s="20">
        <f>ROUND(IF(OR($A79&lt;VLOOKUP(E$2,行为概览!$D$3:$U$33,3,0),$A79&gt;VLOOKUP(E$2,行为概览!$D$3:$U$33,4,0)),0,VLOOKUP(E$2,行为概览!$D$3:$U$33,6,0)),4)</f>
        <v>1</v>
      </c>
      <c r="F79" s="20">
        <f>ROUND(IF(OR($A79&lt;VLOOKUP(F$2,行为概览!$D$3:$U$33,3,0),$A79&gt;VLOOKUP(F$2,行为概览!$D$3:$U$33,4,0)),0,VLOOKUP(F$2,行为概览!$D$3:$U$33,6,0)),4)</f>
        <v>0.33329999999999999</v>
      </c>
      <c r="G79" s="20">
        <f>ROUND(IF(OR($A79&lt;VLOOKUP(G$2,行为概览!$D$3:$U$33,3,0),$A79&gt;VLOOKUP(G$2,行为概览!$D$3:$U$33,4,0)),0,VLOOKUP(G$2,行为概览!$D$3:$U$33,6,0)),4)</f>
        <v>0</v>
      </c>
      <c r="H79" s="20">
        <f>ROUND(IF(OR($A79&lt;VLOOKUP(H$2,行为概览!$D$3:$U$33,3,0),$A79&gt;VLOOKUP(H$2,行为概览!$D$3:$U$33,4,0)),0,VLOOKUP(H$2,行为概览!$D$3:$U$33,6,0)),4)</f>
        <v>0</v>
      </c>
      <c r="I79" s="20">
        <f>ROUND(IF(OR($A79&lt;VLOOKUP(I$2,行为概览!$D$3:$U$33,3,0),$A79&gt;VLOOKUP(I$2,行为概览!$D$3:$U$33,4,0)),0,VLOOKUP(I$2,行为概览!$D$3:$U$33,6,0)),4)</f>
        <v>0</v>
      </c>
      <c r="J79" s="20">
        <f>ROUND(IF(OR($A79&lt;VLOOKUP(J$2,行为概览!$D$3:$U$33,3,0),$A79&gt;VLOOKUP(J$2,行为概览!$D$3:$U$33,4,0)),0,VLOOKUP(J$2,行为概览!$D$3:$U$33,6,0)),4)</f>
        <v>0.5</v>
      </c>
      <c r="K79" s="20">
        <f>ROUND(IF(OR($A79&lt;VLOOKUP(K$2,行为概览!$D$3:$U$33,3,0),$A79&gt;VLOOKUP(K$2,行为概览!$D$3:$U$33,4,0)),0,VLOOKUP(K$2,行为概览!$D$3:$U$33,6,0)),4)</f>
        <v>0.16669999999999999</v>
      </c>
      <c r="L79" s="20">
        <f>ROUND(IF(OR($A79&lt;VLOOKUP(L$2,行为概览!$D$3:$U$33,3,0),$A79&gt;VLOOKUP(L$2,行为概览!$D$3:$U$33,4,0)),0,VLOOKUP(L$2,行为概览!$D$3:$U$33,6,0)),4)</f>
        <v>0.5</v>
      </c>
      <c r="M79" s="20">
        <f>ROUND(IF(OR($A79&lt;VLOOKUP(M$2,行为概览!$D$3:$U$33,3,0),$A79&gt;VLOOKUP(M$2,行为概览!$D$3:$U$33,4,0)),0,VLOOKUP(M$2,行为概览!$D$3:$U$33,6,0)),4)</f>
        <v>12</v>
      </c>
      <c r="N79" s="20">
        <f>ROUND(IF(OR($A79&lt;VLOOKUP(N$2,行为概览!$D$3:$U$33,3,0),$A79&gt;VLOOKUP(N$2,行为概览!$D$3:$U$33,4,0)),0,VLOOKUP(N$2,行为概览!$D$3:$U$33,6,0)),4)</f>
        <v>8.3299999999999999E-2</v>
      </c>
      <c r="O79" s="20">
        <f>ROUND(IF(OR($A79&lt;VLOOKUP(O$2,行为概览!$D$3:$U$33,3,0),$A79&gt;VLOOKUP(O$2,行为概览!$D$3:$U$33,4,0)),0,VLOOKUP(O$2,行为概览!$D$3:$U$33,6,0)),4)</f>
        <v>8.3299999999999999E-2</v>
      </c>
      <c r="P79" s="20">
        <f>ROUND(IF(OR($A79&lt;VLOOKUP(P$2,行为概览!$D$3:$U$33,3,0),$A79&gt;VLOOKUP(P$2,行为概览!$D$3:$U$33,4,0)),0,VLOOKUP(P$2,行为概览!$D$3:$U$33,6,0)),4)</f>
        <v>2.6</v>
      </c>
      <c r="Q79" s="20">
        <f>ROUND(IF(OR($A79&lt;VLOOKUP(Q$2,行为概览!$D$3:$U$33,3,0),$A79&gt;VLOOKUP(Q$2,行为概览!$D$3:$U$33,4,0)),0,VLOOKUP(Q$2,行为概览!$D$3:$U$33,6,0)),4)</f>
        <v>1</v>
      </c>
      <c r="R79" s="20">
        <f>ROUND(IF(OR($A79&lt;VLOOKUP(R$2,行为概览!$D$3:$U$33,3,0),$A79&gt;VLOOKUP(R$2,行为概览!$D$3:$U$33,4,0)),0,VLOOKUP(R$2,行为概览!$D$3:$U$33,6,0)),4)</f>
        <v>0.33329999999999999</v>
      </c>
      <c r="S79" s="20">
        <f>ROUND(IF(OR($A79&lt;VLOOKUP(S$2,行为概览!$D$3:$U$33,3,0),$A79&gt;VLOOKUP(S$2,行为概览!$D$3:$U$33,4,0)),0,VLOOKUP(S$2,行为概览!$D$3:$U$33,6,0)),4)</f>
        <v>0</v>
      </c>
      <c r="T79" s="20">
        <f>ROUND(IF(OR($A79&lt;VLOOKUP(T$2,行为概览!$D$3:$U$33,3,0),$A79&gt;VLOOKUP(T$2,行为概览!$D$3:$U$33,4,0)),0,VLOOKUP(T$2,行为概览!$D$3:$U$33,6,0)),4)</f>
        <v>0.33329999999999999</v>
      </c>
      <c r="U79" s="20">
        <f>ROUND(IF(OR($A79&lt;VLOOKUP(U$2,行为概览!$D$3:$U$33,3,0),$A79&gt;VLOOKUP(U$2,行为概览!$D$3:$U$33,4,0)),0,VLOOKUP(U$2,行为概览!$D$3:$U$33,6,0)),4)</f>
        <v>0.16669999999999999</v>
      </c>
      <c r="V79" s="20">
        <f>ROUND(IF(OR($A79&lt;VLOOKUP(V$2,行为概览!$D$3:$U$33,3,0),$A79&gt;VLOOKUP(V$2,行为概览!$D$3:$U$33,4,0)),0,VLOOKUP(V$2,行为概览!$D$3:$U$33,6,0)),4)</f>
        <v>0.16669999999999999</v>
      </c>
      <c r="W79" s="20">
        <f>ROUND(IF(OR($A79&lt;VLOOKUP(W$2,行为概览!$D$3:$U$33,3,0),$A79&gt;VLOOKUP(W$2,行为概览!$D$3:$U$33,4,0)),0,VLOOKUP(W$2,行为概览!$D$3:$U$33,6,0)),4)</f>
        <v>0.16669999999999999</v>
      </c>
      <c r="X79" s="20">
        <f>ROUND(IF(OR($A79&lt;VLOOKUP(X$2,行为概览!$D$3:$U$33,3,0),$A79&gt;VLOOKUP(X$2,行为概览!$D$3:$U$33,4,0)),0,VLOOKUP(X$2,行为概览!$D$3:$U$33,6,0)),4)</f>
        <v>0.25</v>
      </c>
      <c r="Y79" s="20">
        <f>ROUND(IF(OR($A79&lt;VLOOKUP(Y$2,行为概览!$D$3:$U$33,3,0),$A79&gt;VLOOKUP(Y$2,行为概览!$D$3:$U$33,4,0)),0,VLOOKUP(Y$2,行为概览!$D$3:$U$33,6,0)),4)</f>
        <v>0.58330000000000004</v>
      </c>
      <c r="Z79" s="20">
        <f>ROUND(IF(OR($A79&lt;VLOOKUP(Z$2,行为概览!$D$3:$U$33,3,0),$A79&gt;VLOOKUP(Z$2,行为概览!$D$3:$U$33,4,0)),0,VLOOKUP(Z$2,行为概览!$D$3:$U$33,6,0)),4)</f>
        <v>0.16669999999999999</v>
      </c>
      <c r="AA79" s="20">
        <f>ROUND(IF(OR($A79&lt;VLOOKUP(AA$2,行为概览!$D$3:$U$33,3,0),$A79&gt;VLOOKUP(AA$2,行为概览!$D$3:$U$33,4,0)),0,VLOOKUP(AA$2,行为概览!$D$3:$U$33,6,0)),4)</f>
        <v>0</v>
      </c>
      <c r="AB79" s="20">
        <f>ROUND(IF(OR($A79&lt;VLOOKUP(AB$2,行为概览!$D$3:$U$33,3,0),$A79&gt;VLOOKUP(AB$2,行为概览!$D$3:$U$33,4,0)),0,VLOOKUP(AB$2,行为概览!$D$3:$U$33,6,0)),4)</f>
        <v>0</v>
      </c>
      <c r="AC79" s="20">
        <f>ROUND(IF(OR($A79&lt;VLOOKUP(AC$2,行为概览!$D$3:$U$33,3,0),$A79&gt;VLOOKUP(AC$2,行为概览!$D$3:$U$33,4,0)),0,VLOOKUP(AC$2,行为概览!$D$3:$U$33,6,0)),4)</f>
        <v>0</v>
      </c>
      <c r="AD79" s="20">
        <f>ROUND(IF(OR($A79&lt;VLOOKUP(AD$2,行为概览!$D$3:$U$33,3,0),$A79&gt;VLOOKUP(AD$2,行为概览!$D$3:$U$33,4,0)),0,VLOOKUP(AD$2,行为概览!$D$3:$U$33,6,0)),4)</f>
        <v>0</v>
      </c>
      <c r="AE79" s="20">
        <f>ROUND(IF(OR($A79&lt;VLOOKUP(AE$2,行为概览!$D$3:$U$33,3,0),$A79&gt;VLOOKUP(AE$2,行为概览!$D$3:$U$33,4,0)),0,VLOOKUP(AE$2,行为概览!$D$3:$U$33,6,0)),4)</f>
        <v>8.3299999999999999E-2</v>
      </c>
      <c r="AF79" s="20">
        <f>ROUND(IF(OR($A79&lt;VLOOKUP(AF$2,行为概览!$D$3:$U$33,3,0),$A79&gt;VLOOKUP(AF$2,行为概览!$D$3:$U$33,4,0)),0,VLOOKUP(AF$2,行为概览!$D$3:$U$33,6,0)),4)</f>
        <v>0</v>
      </c>
    </row>
    <row r="80" spans="1:32">
      <c r="A80" s="19">
        <v>78</v>
      </c>
      <c r="B80" s="20">
        <f>ROUND(IF(OR($A80&lt;VLOOKUP(B$2,行为概览!$D$3:$U$33,3,0),$A80&gt;VLOOKUP(B$2,行为概览!$D$3:$U$33,4,0)),0,VLOOKUP(B$2,行为概览!$D$3:$U$33,6,0)),4)</f>
        <v>0.33329999999999999</v>
      </c>
      <c r="C80" s="20">
        <f>ROUND(IF(OR($A80&lt;VLOOKUP(C$2,行为概览!$D$3:$U$33,3,0),$A80&gt;VLOOKUP(C$2,行为概览!$D$3:$U$33,4,0)),0,VLOOKUP(C$2,行为概览!$D$3:$U$33,6,0)),4)</f>
        <v>2</v>
      </c>
      <c r="D80" s="20">
        <f>ROUND(IF(OR($A80&lt;VLOOKUP(D$2,行为概览!$D$3:$U$33,3,0),$A80&gt;VLOOKUP(D$2,行为概览!$D$3:$U$33,4,0)),0,VLOOKUP(D$2,行为概览!$D$3:$U$33,6,0)),4)</f>
        <v>8.3299999999999999E-2</v>
      </c>
      <c r="E80" s="20">
        <f>ROUND(IF(OR($A80&lt;VLOOKUP(E$2,行为概览!$D$3:$U$33,3,0),$A80&gt;VLOOKUP(E$2,行为概览!$D$3:$U$33,4,0)),0,VLOOKUP(E$2,行为概览!$D$3:$U$33,6,0)),4)</f>
        <v>1</v>
      </c>
      <c r="F80" s="20">
        <f>ROUND(IF(OR($A80&lt;VLOOKUP(F$2,行为概览!$D$3:$U$33,3,0),$A80&gt;VLOOKUP(F$2,行为概览!$D$3:$U$33,4,0)),0,VLOOKUP(F$2,行为概览!$D$3:$U$33,6,0)),4)</f>
        <v>0.33329999999999999</v>
      </c>
      <c r="G80" s="20">
        <f>ROUND(IF(OR($A80&lt;VLOOKUP(G$2,行为概览!$D$3:$U$33,3,0),$A80&gt;VLOOKUP(G$2,行为概览!$D$3:$U$33,4,0)),0,VLOOKUP(G$2,行为概览!$D$3:$U$33,6,0)),4)</f>
        <v>0</v>
      </c>
      <c r="H80" s="20">
        <f>ROUND(IF(OR($A80&lt;VLOOKUP(H$2,行为概览!$D$3:$U$33,3,0),$A80&gt;VLOOKUP(H$2,行为概览!$D$3:$U$33,4,0)),0,VLOOKUP(H$2,行为概览!$D$3:$U$33,6,0)),4)</f>
        <v>0</v>
      </c>
      <c r="I80" s="20">
        <f>ROUND(IF(OR($A80&lt;VLOOKUP(I$2,行为概览!$D$3:$U$33,3,0),$A80&gt;VLOOKUP(I$2,行为概览!$D$3:$U$33,4,0)),0,VLOOKUP(I$2,行为概览!$D$3:$U$33,6,0)),4)</f>
        <v>0</v>
      </c>
      <c r="J80" s="20">
        <f>ROUND(IF(OR($A80&lt;VLOOKUP(J$2,行为概览!$D$3:$U$33,3,0),$A80&gt;VLOOKUP(J$2,行为概览!$D$3:$U$33,4,0)),0,VLOOKUP(J$2,行为概览!$D$3:$U$33,6,0)),4)</f>
        <v>0.5</v>
      </c>
      <c r="K80" s="20">
        <f>ROUND(IF(OR($A80&lt;VLOOKUP(K$2,行为概览!$D$3:$U$33,3,0),$A80&gt;VLOOKUP(K$2,行为概览!$D$3:$U$33,4,0)),0,VLOOKUP(K$2,行为概览!$D$3:$U$33,6,0)),4)</f>
        <v>0.16669999999999999</v>
      </c>
      <c r="L80" s="20">
        <f>ROUND(IF(OR($A80&lt;VLOOKUP(L$2,行为概览!$D$3:$U$33,3,0),$A80&gt;VLOOKUP(L$2,行为概览!$D$3:$U$33,4,0)),0,VLOOKUP(L$2,行为概览!$D$3:$U$33,6,0)),4)</f>
        <v>0.5</v>
      </c>
      <c r="M80" s="20">
        <f>ROUND(IF(OR($A80&lt;VLOOKUP(M$2,行为概览!$D$3:$U$33,3,0),$A80&gt;VLOOKUP(M$2,行为概览!$D$3:$U$33,4,0)),0,VLOOKUP(M$2,行为概览!$D$3:$U$33,6,0)),4)</f>
        <v>12</v>
      </c>
      <c r="N80" s="20">
        <f>ROUND(IF(OR($A80&lt;VLOOKUP(N$2,行为概览!$D$3:$U$33,3,0),$A80&gt;VLOOKUP(N$2,行为概览!$D$3:$U$33,4,0)),0,VLOOKUP(N$2,行为概览!$D$3:$U$33,6,0)),4)</f>
        <v>8.3299999999999999E-2</v>
      </c>
      <c r="O80" s="20">
        <f>ROUND(IF(OR($A80&lt;VLOOKUP(O$2,行为概览!$D$3:$U$33,3,0),$A80&gt;VLOOKUP(O$2,行为概览!$D$3:$U$33,4,0)),0,VLOOKUP(O$2,行为概览!$D$3:$U$33,6,0)),4)</f>
        <v>8.3299999999999999E-2</v>
      </c>
      <c r="P80" s="20">
        <f>ROUND(IF(OR($A80&lt;VLOOKUP(P$2,行为概览!$D$3:$U$33,3,0),$A80&gt;VLOOKUP(P$2,行为概览!$D$3:$U$33,4,0)),0,VLOOKUP(P$2,行为概览!$D$3:$U$33,6,0)),4)</f>
        <v>2.6</v>
      </c>
      <c r="Q80" s="20">
        <f>ROUND(IF(OR($A80&lt;VLOOKUP(Q$2,行为概览!$D$3:$U$33,3,0),$A80&gt;VLOOKUP(Q$2,行为概览!$D$3:$U$33,4,0)),0,VLOOKUP(Q$2,行为概览!$D$3:$U$33,6,0)),4)</f>
        <v>1</v>
      </c>
      <c r="R80" s="20">
        <f>ROUND(IF(OR($A80&lt;VLOOKUP(R$2,行为概览!$D$3:$U$33,3,0),$A80&gt;VLOOKUP(R$2,行为概览!$D$3:$U$33,4,0)),0,VLOOKUP(R$2,行为概览!$D$3:$U$33,6,0)),4)</f>
        <v>0.33329999999999999</v>
      </c>
      <c r="S80" s="20">
        <f>ROUND(IF(OR($A80&lt;VLOOKUP(S$2,行为概览!$D$3:$U$33,3,0),$A80&gt;VLOOKUP(S$2,行为概览!$D$3:$U$33,4,0)),0,VLOOKUP(S$2,行为概览!$D$3:$U$33,6,0)),4)</f>
        <v>0</v>
      </c>
      <c r="T80" s="20">
        <f>ROUND(IF(OR($A80&lt;VLOOKUP(T$2,行为概览!$D$3:$U$33,3,0),$A80&gt;VLOOKUP(T$2,行为概览!$D$3:$U$33,4,0)),0,VLOOKUP(T$2,行为概览!$D$3:$U$33,6,0)),4)</f>
        <v>0.33329999999999999</v>
      </c>
      <c r="U80" s="20">
        <f>ROUND(IF(OR($A80&lt;VLOOKUP(U$2,行为概览!$D$3:$U$33,3,0),$A80&gt;VLOOKUP(U$2,行为概览!$D$3:$U$33,4,0)),0,VLOOKUP(U$2,行为概览!$D$3:$U$33,6,0)),4)</f>
        <v>0.16669999999999999</v>
      </c>
      <c r="V80" s="20">
        <f>ROUND(IF(OR($A80&lt;VLOOKUP(V$2,行为概览!$D$3:$U$33,3,0),$A80&gt;VLOOKUP(V$2,行为概览!$D$3:$U$33,4,0)),0,VLOOKUP(V$2,行为概览!$D$3:$U$33,6,0)),4)</f>
        <v>0.16669999999999999</v>
      </c>
      <c r="W80" s="20">
        <f>ROUND(IF(OR($A80&lt;VLOOKUP(W$2,行为概览!$D$3:$U$33,3,0),$A80&gt;VLOOKUP(W$2,行为概览!$D$3:$U$33,4,0)),0,VLOOKUP(W$2,行为概览!$D$3:$U$33,6,0)),4)</f>
        <v>0.16669999999999999</v>
      </c>
      <c r="X80" s="20">
        <f>ROUND(IF(OR($A80&lt;VLOOKUP(X$2,行为概览!$D$3:$U$33,3,0),$A80&gt;VLOOKUP(X$2,行为概览!$D$3:$U$33,4,0)),0,VLOOKUP(X$2,行为概览!$D$3:$U$33,6,0)),4)</f>
        <v>0.25</v>
      </c>
      <c r="Y80" s="20">
        <f>ROUND(IF(OR($A80&lt;VLOOKUP(Y$2,行为概览!$D$3:$U$33,3,0),$A80&gt;VLOOKUP(Y$2,行为概览!$D$3:$U$33,4,0)),0,VLOOKUP(Y$2,行为概览!$D$3:$U$33,6,0)),4)</f>
        <v>0.58330000000000004</v>
      </c>
      <c r="Z80" s="20">
        <f>ROUND(IF(OR($A80&lt;VLOOKUP(Z$2,行为概览!$D$3:$U$33,3,0),$A80&gt;VLOOKUP(Z$2,行为概览!$D$3:$U$33,4,0)),0,VLOOKUP(Z$2,行为概览!$D$3:$U$33,6,0)),4)</f>
        <v>0.16669999999999999</v>
      </c>
      <c r="AA80" s="20">
        <f>ROUND(IF(OR($A80&lt;VLOOKUP(AA$2,行为概览!$D$3:$U$33,3,0),$A80&gt;VLOOKUP(AA$2,行为概览!$D$3:$U$33,4,0)),0,VLOOKUP(AA$2,行为概览!$D$3:$U$33,6,0)),4)</f>
        <v>0</v>
      </c>
      <c r="AB80" s="20">
        <f>ROUND(IF(OR($A80&lt;VLOOKUP(AB$2,行为概览!$D$3:$U$33,3,0),$A80&gt;VLOOKUP(AB$2,行为概览!$D$3:$U$33,4,0)),0,VLOOKUP(AB$2,行为概览!$D$3:$U$33,6,0)),4)</f>
        <v>0</v>
      </c>
      <c r="AC80" s="20">
        <f>ROUND(IF(OR($A80&lt;VLOOKUP(AC$2,行为概览!$D$3:$U$33,3,0),$A80&gt;VLOOKUP(AC$2,行为概览!$D$3:$U$33,4,0)),0,VLOOKUP(AC$2,行为概览!$D$3:$U$33,6,0)),4)</f>
        <v>0</v>
      </c>
      <c r="AD80" s="20">
        <f>ROUND(IF(OR($A80&lt;VLOOKUP(AD$2,行为概览!$D$3:$U$33,3,0),$A80&gt;VLOOKUP(AD$2,行为概览!$D$3:$U$33,4,0)),0,VLOOKUP(AD$2,行为概览!$D$3:$U$33,6,0)),4)</f>
        <v>0</v>
      </c>
      <c r="AE80" s="20">
        <f>ROUND(IF(OR($A80&lt;VLOOKUP(AE$2,行为概览!$D$3:$U$33,3,0),$A80&gt;VLOOKUP(AE$2,行为概览!$D$3:$U$33,4,0)),0,VLOOKUP(AE$2,行为概览!$D$3:$U$33,6,0)),4)</f>
        <v>8.3299999999999999E-2</v>
      </c>
      <c r="AF80" s="20">
        <f>ROUND(IF(OR($A80&lt;VLOOKUP(AF$2,行为概览!$D$3:$U$33,3,0),$A80&gt;VLOOKUP(AF$2,行为概览!$D$3:$U$33,4,0)),0,VLOOKUP(AF$2,行为概览!$D$3:$U$33,6,0)),4)</f>
        <v>0</v>
      </c>
    </row>
    <row r="81" spans="1:32">
      <c r="A81" s="19">
        <v>79</v>
      </c>
      <c r="B81" s="20">
        <f>ROUND(IF(OR($A81&lt;VLOOKUP(B$2,行为概览!$D$3:$U$33,3,0),$A81&gt;VLOOKUP(B$2,行为概览!$D$3:$U$33,4,0)),0,VLOOKUP(B$2,行为概览!$D$3:$U$33,6,0)),4)</f>
        <v>0.33329999999999999</v>
      </c>
      <c r="C81" s="20">
        <f>ROUND(IF(OR($A81&lt;VLOOKUP(C$2,行为概览!$D$3:$U$33,3,0),$A81&gt;VLOOKUP(C$2,行为概览!$D$3:$U$33,4,0)),0,VLOOKUP(C$2,行为概览!$D$3:$U$33,6,0)),4)</f>
        <v>2</v>
      </c>
      <c r="D81" s="20">
        <f>ROUND(IF(OR($A81&lt;VLOOKUP(D$2,行为概览!$D$3:$U$33,3,0),$A81&gt;VLOOKUP(D$2,行为概览!$D$3:$U$33,4,0)),0,VLOOKUP(D$2,行为概览!$D$3:$U$33,6,0)),4)</f>
        <v>8.3299999999999999E-2</v>
      </c>
      <c r="E81" s="20">
        <f>ROUND(IF(OR($A81&lt;VLOOKUP(E$2,行为概览!$D$3:$U$33,3,0),$A81&gt;VLOOKUP(E$2,行为概览!$D$3:$U$33,4,0)),0,VLOOKUP(E$2,行为概览!$D$3:$U$33,6,0)),4)</f>
        <v>1</v>
      </c>
      <c r="F81" s="20">
        <f>ROUND(IF(OR($A81&lt;VLOOKUP(F$2,行为概览!$D$3:$U$33,3,0),$A81&gt;VLOOKUP(F$2,行为概览!$D$3:$U$33,4,0)),0,VLOOKUP(F$2,行为概览!$D$3:$U$33,6,0)),4)</f>
        <v>0.33329999999999999</v>
      </c>
      <c r="G81" s="20">
        <f>ROUND(IF(OR($A81&lt;VLOOKUP(G$2,行为概览!$D$3:$U$33,3,0),$A81&gt;VLOOKUP(G$2,行为概览!$D$3:$U$33,4,0)),0,VLOOKUP(G$2,行为概览!$D$3:$U$33,6,0)),4)</f>
        <v>0</v>
      </c>
      <c r="H81" s="20">
        <f>ROUND(IF(OR($A81&lt;VLOOKUP(H$2,行为概览!$D$3:$U$33,3,0),$A81&gt;VLOOKUP(H$2,行为概览!$D$3:$U$33,4,0)),0,VLOOKUP(H$2,行为概览!$D$3:$U$33,6,0)),4)</f>
        <v>0</v>
      </c>
      <c r="I81" s="20">
        <f>ROUND(IF(OR($A81&lt;VLOOKUP(I$2,行为概览!$D$3:$U$33,3,0),$A81&gt;VLOOKUP(I$2,行为概览!$D$3:$U$33,4,0)),0,VLOOKUP(I$2,行为概览!$D$3:$U$33,6,0)),4)</f>
        <v>0</v>
      </c>
      <c r="J81" s="20">
        <f>ROUND(IF(OR($A81&lt;VLOOKUP(J$2,行为概览!$D$3:$U$33,3,0),$A81&gt;VLOOKUP(J$2,行为概览!$D$3:$U$33,4,0)),0,VLOOKUP(J$2,行为概览!$D$3:$U$33,6,0)),4)</f>
        <v>0.5</v>
      </c>
      <c r="K81" s="20">
        <f>ROUND(IF(OR($A81&lt;VLOOKUP(K$2,行为概览!$D$3:$U$33,3,0),$A81&gt;VLOOKUP(K$2,行为概览!$D$3:$U$33,4,0)),0,VLOOKUP(K$2,行为概览!$D$3:$U$33,6,0)),4)</f>
        <v>0.16669999999999999</v>
      </c>
      <c r="L81" s="20">
        <f>ROUND(IF(OR($A81&lt;VLOOKUP(L$2,行为概览!$D$3:$U$33,3,0),$A81&gt;VLOOKUP(L$2,行为概览!$D$3:$U$33,4,0)),0,VLOOKUP(L$2,行为概览!$D$3:$U$33,6,0)),4)</f>
        <v>0.5</v>
      </c>
      <c r="M81" s="20">
        <f>ROUND(IF(OR($A81&lt;VLOOKUP(M$2,行为概览!$D$3:$U$33,3,0),$A81&gt;VLOOKUP(M$2,行为概览!$D$3:$U$33,4,0)),0,VLOOKUP(M$2,行为概览!$D$3:$U$33,6,0)),4)</f>
        <v>12</v>
      </c>
      <c r="N81" s="20">
        <f>ROUND(IF(OR($A81&lt;VLOOKUP(N$2,行为概览!$D$3:$U$33,3,0),$A81&gt;VLOOKUP(N$2,行为概览!$D$3:$U$33,4,0)),0,VLOOKUP(N$2,行为概览!$D$3:$U$33,6,0)),4)</f>
        <v>8.3299999999999999E-2</v>
      </c>
      <c r="O81" s="20">
        <f>ROUND(IF(OR($A81&lt;VLOOKUP(O$2,行为概览!$D$3:$U$33,3,0),$A81&gt;VLOOKUP(O$2,行为概览!$D$3:$U$33,4,0)),0,VLOOKUP(O$2,行为概览!$D$3:$U$33,6,0)),4)</f>
        <v>8.3299999999999999E-2</v>
      </c>
      <c r="P81" s="20">
        <f>ROUND(IF(OR($A81&lt;VLOOKUP(P$2,行为概览!$D$3:$U$33,3,0),$A81&gt;VLOOKUP(P$2,行为概览!$D$3:$U$33,4,0)),0,VLOOKUP(P$2,行为概览!$D$3:$U$33,6,0)),4)</f>
        <v>2.6</v>
      </c>
      <c r="Q81" s="20">
        <f>ROUND(IF(OR($A81&lt;VLOOKUP(Q$2,行为概览!$D$3:$U$33,3,0),$A81&gt;VLOOKUP(Q$2,行为概览!$D$3:$U$33,4,0)),0,VLOOKUP(Q$2,行为概览!$D$3:$U$33,6,0)),4)</f>
        <v>1</v>
      </c>
      <c r="R81" s="20">
        <f>ROUND(IF(OR($A81&lt;VLOOKUP(R$2,行为概览!$D$3:$U$33,3,0),$A81&gt;VLOOKUP(R$2,行为概览!$D$3:$U$33,4,0)),0,VLOOKUP(R$2,行为概览!$D$3:$U$33,6,0)),4)</f>
        <v>0.33329999999999999</v>
      </c>
      <c r="S81" s="20">
        <f>ROUND(IF(OR($A81&lt;VLOOKUP(S$2,行为概览!$D$3:$U$33,3,0),$A81&gt;VLOOKUP(S$2,行为概览!$D$3:$U$33,4,0)),0,VLOOKUP(S$2,行为概览!$D$3:$U$33,6,0)),4)</f>
        <v>0</v>
      </c>
      <c r="T81" s="20">
        <f>ROUND(IF(OR($A81&lt;VLOOKUP(T$2,行为概览!$D$3:$U$33,3,0),$A81&gt;VLOOKUP(T$2,行为概览!$D$3:$U$33,4,0)),0,VLOOKUP(T$2,行为概览!$D$3:$U$33,6,0)),4)</f>
        <v>0.33329999999999999</v>
      </c>
      <c r="U81" s="20">
        <f>ROUND(IF(OR($A81&lt;VLOOKUP(U$2,行为概览!$D$3:$U$33,3,0),$A81&gt;VLOOKUP(U$2,行为概览!$D$3:$U$33,4,0)),0,VLOOKUP(U$2,行为概览!$D$3:$U$33,6,0)),4)</f>
        <v>0.16669999999999999</v>
      </c>
      <c r="V81" s="20">
        <f>ROUND(IF(OR($A81&lt;VLOOKUP(V$2,行为概览!$D$3:$U$33,3,0),$A81&gt;VLOOKUP(V$2,行为概览!$D$3:$U$33,4,0)),0,VLOOKUP(V$2,行为概览!$D$3:$U$33,6,0)),4)</f>
        <v>0.16669999999999999</v>
      </c>
      <c r="W81" s="20">
        <f>ROUND(IF(OR($A81&lt;VLOOKUP(W$2,行为概览!$D$3:$U$33,3,0),$A81&gt;VLOOKUP(W$2,行为概览!$D$3:$U$33,4,0)),0,VLOOKUP(W$2,行为概览!$D$3:$U$33,6,0)),4)</f>
        <v>0.16669999999999999</v>
      </c>
      <c r="X81" s="20">
        <f>ROUND(IF(OR($A81&lt;VLOOKUP(X$2,行为概览!$D$3:$U$33,3,0),$A81&gt;VLOOKUP(X$2,行为概览!$D$3:$U$33,4,0)),0,VLOOKUP(X$2,行为概览!$D$3:$U$33,6,0)),4)</f>
        <v>0.25</v>
      </c>
      <c r="Y81" s="20">
        <f>ROUND(IF(OR($A81&lt;VLOOKUP(Y$2,行为概览!$D$3:$U$33,3,0),$A81&gt;VLOOKUP(Y$2,行为概览!$D$3:$U$33,4,0)),0,VLOOKUP(Y$2,行为概览!$D$3:$U$33,6,0)),4)</f>
        <v>0.58330000000000004</v>
      </c>
      <c r="Z81" s="20">
        <f>ROUND(IF(OR($A81&lt;VLOOKUP(Z$2,行为概览!$D$3:$U$33,3,0),$A81&gt;VLOOKUP(Z$2,行为概览!$D$3:$U$33,4,0)),0,VLOOKUP(Z$2,行为概览!$D$3:$U$33,6,0)),4)</f>
        <v>0.16669999999999999</v>
      </c>
      <c r="AA81" s="20">
        <f>ROUND(IF(OR($A81&lt;VLOOKUP(AA$2,行为概览!$D$3:$U$33,3,0),$A81&gt;VLOOKUP(AA$2,行为概览!$D$3:$U$33,4,0)),0,VLOOKUP(AA$2,行为概览!$D$3:$U$33,6,0)),4)</f>
        <v>0</v>
      </c>
      <c r="AB81" s="20">
        <f>ROUND(IF(OR($A81&lt;VLOOKUP(AB$2,行为概览!$D$3:$U$33,3,0),$A81&gt;VLOOKUP(AB$2,行为概览!$D$3:$U$33,4,0)),0,VLOOKUP(AB$2,行为概览!$D$3:$U$33,6,0)),4)</f>
        <v>0</v>
      </c>
      <c r="AC81" s="20">
        <f>ROUND(IF(OR($A81&lt;VLOOKUP(AC$2,行为概览!$D$3:$U$33,3,0),$A81&gt;VLOOKUP(AC$2,行为概览!$D$3:$U$33,4,0)),0,VLOOKUP(AC$2,行为概览!$D$3:$U$33,6,0)),4)</f>
        <v>0</v>
      </c>
      <c r="AD81" s="20">
        <f>ROUND(IF(OR($A81&lt;VLOOKUP(AD$2,行为概览!$D$3:$U$33,3,0),$A81&gt;VLOOKUP(AD$2,行为概览!$D$3:$U$33,4,0)),0,VLOOKUP(AD$2,行为概览!$D$3:$U$33,6,0)),4)</f>
        <v>0</v>
      </c>
      <c r="AE81" s="20">
        <f>ROUND(IF(OR($A81&lt;VLOOKUP(AE$2,行为概览!$D$3:$U$33,3,0),$A81&gt;VLOOKUP(AE$2,行为概览!$D$3:$U$33,4,0)),0,VLOOKUP(AE$2,行为概览!$D$3:$U$33,6,0)),4)</f>
        <v>8.3299999999999999E-2</v>
      </c>
      <c r="AF81" s="20">
        <f>ROUND(IF(OR($A81&lt;VLOOKUP(AF$2,行为概览!$D$3:$U$33,3,0),$A81&gt;VLOOKUP(AF$2,行为概览!$D$3:$U$33,4,0)),0,VLOOKUP(AF$2,行为概览!$D$3:$U$33,6,0)),4)</f>
        <v>0</v>
      </c>
    </row>
    <row r="82" spans="1:32">
      <c r="A82" s="19">
        <v>80</v>
      </c>
      <c r="B82" s="20">
        <f>ROUND(IF(OR($A82&lt;VLOOKUP(B$2,行为概览!$D$3:$U$33,3,0),$A82&gt;VLOOKUP(B$2,行为概览!$D$3:$U$33,4,0)),0,VLOOKUP(B$2,行为概览!$D$3:$U$33,6,0)),4)</f>
        <v>0.33329999999999999</v>
      </c>
      <c r="C82" s="20">
        <f>ROUND(IF(OR($A82&lt;VLOOKUP(C$2,行为概览!$D$3:$U$33,3,0),$A82&gt;VLOOKUP(C$2,行为概览!$D$3:$U$33,4,0)),0,VLOOKUP(C$2,行为概览!$D$3:$U$33,6,0)),4)</f>
        <v>2</v>
      </c>
      <c r="D82" s="20">
        <f>ROUND(IF(OR($A82&lt;VLOOKUP(D$2,行为概览!$D$3:$U$33,3,0),$A82&gt;VLOOKUP(D$2,行为概览!$D$3:$U$33,4,0)),0,VLOOKUP(D$2,行为概览!$D$3:$U$33,6,0)),4)</f>
        <v>8.3299999999999999E-2</v>
      </c>
      <c r="E82" s="20">
        <f>ROUND(IF(OR($A82&lt;VLOOKUP(E$2,行为概览!$D$3:$U$33,3,0),$A82&gt;VLOOKUP(E$2,行为概览!$D$3:$U$33,4,0)),0,VLOOKUP(E$2,行为概览!$D$3:$U$33,6,0)),4)</f>
        <v>1</v>
      </c>
      <c r="F82" s="20">
        <f>ROUND(IF(OR($A82&lt;VLOOKUP(F$2,行为概览!$D$3:$U$33,3,0),$A82&gt;VLOOKUP(F$2,行为概览!$D$3:$U$33,4,0)),0,VLOOKUP(F$2,行为概览!$D$3:$U$33,6,0)),4)</f>
        <v>0.33329999999999999</v>
      </c>
      <c r="G82" s="20">
        <f>ROUND(IF(OR($A82&lt;VLOOKUP(G$2,行为概览!$D$3:$U$33,3,0),$A82&gt;VLOOKUP(G$2,行为概览!$D$3:$U$33,4,0)),0,VLOOKUP(G$2,行为概览!$D$3:$U$33,6,0)),4)</f>
        <v>0</v>
      </c>
      <c r="H82" s="20">
        <f>ROUND(IF(OR($A82&lt;VLOOKUP(H$2,行为概览!$D$3:$U$33,3,0),$A82&gt;VLOOKUP(H$2,行为概览!$D$3:$U$33,4,0)),0,VLOOKUP(H$2,行为概览!$D$3:$U$33,6,0)),4)</f>
        <v>0</v>
      </c>
      <c r="I82" s="20">
        <f>ROUND(IF(OR($A82&lt;VLOOKUP(I$2,行为概览!$D$3:$U$33,3,0),$A82&gt;VLOOKUP(I$2,行为概览!$D$3:$U$33,4,0)),0,VLOOKUP(I$2,行为概览!$D$3:$U$33,6,0)),4)</f>
        <v>0</v>
      </c>
      <c r="J82" s="20">
        <f>ROUND(IF(OR($A82&lt;VLOOKUP(J$2,行为概览!$D$3:$U$33,3,0),$A82&gt;VLOOKUP(J$2,行为概览!$D$3:$U$33,4,0)),0,VLOOKUP(J$2,行为概览!$D$3:$U$33,6,0)),4)</f>
        <v>0.5</v>
      </c>
      <c r="K82" s="20">
        <f>ROUND(IF(OR($A82&lt;VLOOKUP(K$2,行为概览!$D$3:$U$33,3,0),$A82&gt;VLOOKUP(K$2,行为概览!$D$3:$U$33,4,0)),0,VLOOKUP(K$2,行为概览!$D$3:$U$33,6,0)),4)</f>
        <v>0.16669999999999999</v>
      </c>
      <c r="L82" s="20">
        <f>ROUND(IF(OR($A82&lt;VLOOKUP(L$2,行为概览!$D$3:$U$33,3,0),$A82&gt;VLOOKUP(L$2,行为概览!$D$3:$U$33,4,0)),0,VLOOKUP(L$2,行为概览!$D$3:$U$33,6,0)),4)</f>
        <v>0.5</v>
      </c>
      <c r="M82" s="20">
        <f>ROUND(IF(OR($A82&lt;VLOOKUP(M$2,行为概览!$D$3:$U$33,3,0),$A82&gt;VLOOKUP(M$2,行为概览!$D$3:$U$33,4,0)),0,VLOOKUP(M$2,行为概览!$D$3:$U$33,6,0)),4)</f>
        <v>12</v>
      </c>
      <c r="N82" s="20">
        <f>ROUND(IF(OR($A82&lt;VLOOKUP(N$2,行为概览!$D$3:$U$33,3,0),$A82&gt;VLOOKUP(N$2,行为概览!$D$3:$U$33,4,0)),0,VLOOKUP(N$2,行为概览!$D$3:$U$33,6,0)),4)</f>
        <v>8.3299999999999999E-2</v>
      </c>
      <c r="O82" s="20">
        <f>ROUND(IF(OR($A82&lt;VLOOKUP(O$2,行为概览!$D$3:$U$33,3,0),$A82&gt;VLOOKUP(O$2,行为概览!$D$3:$U$33,4,0)),0,VLOOKUP(O$2,行为概览!$D$3:$U$33,6,0)),4)</f>
        <v>8.3299999999999999E-2</v>
      </c>
      <c r="P82" s="20">
        <f>ROUND(IF(OR($A82&lt;VLOOKUP(P$2,行为概览!$D$3:$U$33,3,0),$A82&gt;VLOOKUP(P$2,行为概览!$D$3:$U$33,4,0)),0,VLOOKUP(P$2,行为概览!$D$3:$U$33,6,0)),4)</f>
        <v>2.6</v>
      </c>
      <c r="Q82" s="20">
        <f>ROUND(IF(OR($A82&lt;VLOOKUP(Q$2,行为概览!$D$3:$U$33,3,0),$A82&gt;VLOOKUP(Q$2,行为概览!$D$3:$U$33,4,0)),0,VLOOKUP(Q$2,行为概览!$D$3:$U$33,6,0)),4)</f>
        <v>1</v>
      </c>
      <c r="R82" s="20">
        <f>ROUND(IF(OR($A82&lt;VLOOKUP(R$2,行为概览!$D$3:$U$33,3,0),$A82&gt;VLOOKUP(R$2,行为概览!$D$3:$U$33,4,0)),0,VLOOKUP(R$2,行为概览!$D$3:$U$33,6,0)),4)</f>
        <v>0.33329999999999999</v>
      </c>
      <c r="S82" s="20">
        <f>ROUND(IF(OR($A82&lt;VLOOKUP(S$2,行为概览!$D$3:$U$33,3,0),$A82&gt;VLOOKUP(S$2,行为概览!$D$3:$U$33,4,0)),0,VLOOKUP(S$2,行为概览!$D$3:$U$33,6,0)),4)</f>
        <v>0</v>
      </c>
      <c r="T82" s="20">
        <f>ROUND(IF(OR($A82&lt;VLOOKUP(T$2,行为概览!$D$3:$U$33,3,0),$A82&gt;VLOOKUP(T$2,行为概览!$D$3:$U$33,4,0)),0,VLOOKUP(T$2,行为概览!$D$3:$U$33,6,0)),4)</f>
        <v>0.33329999999999999</v>
      </c>
      <c r="U82" s="20">
        <f>ROUND(IF(OR($A82&lt;VLOOKUP(U$2,行为概览!$D$3:$U$33,3,0),$A82&gt;VLOOKUP(U$2,行为概览!$D$3:$U$33,4,0)),0,VLOOKUP(U$2,行为概览!$D$3:$U$33,6,0)),4)</f>
        <v>0.16669999999999999</v>
      </c>
      <c r="V82" s="20">
        <f>ROUND(IF(OR($A82&lt;VLOOKUP(V$2,行为概览!$D$3:$U$33,3,0),$A82&gt;VLOOKUP(V$2,行为概览!$D$3:$U$33,4,0)),0,VLOOKUP(V$2,行为概览!$D$3:$U$33,6,0)),4)</f>
        <v>0.16669999999999999</v>
      </c>
      <c r="W82" s="20">
        <f>ROUND(IF(OR($A82&lt;VLOOKUP(W$2,行为概览!$D$3:$U$33,3,0),$A82&gt;VLOOKUP(W$2,行为概览!$D$3:$U$33,4,0)),0,VLOOKUP(W$2,行为概览!$D$3:$U$33,6,0)),4)</f>
        <v>0.16669999999999999</v>
      </c>
      <c r="X82" s="20">
        <f>ROUND(IF(OR($A82&lt;VLOOKUP(X$2,行为概览!$D$3:$U$33,3,0),$A82&gt;VLOOKUP(X$2,行为概览!$D$3:$U$33,4,0)),0,VLOOKUP(X$2,行为概览!$D$3:$U$33,6,0)),4)</f>
        <v>0.25</v>
      </c>
      <c r="Y82" s="20">
        <f>ROUND(IF(OR($A82&lt;VLOOKUP(Y$2,行为概览!$D$3:$U$33,3,0),$A82&gt;VLOOKUP(Y$2,行为概览!$D$3:$U$33,4,0)),0,VLOOKUP(Y$2,行为概览!$D$3:$U$33,6,0)),4)</f>
        <v>0.58330000000000004</v>
      </c>
      <c r="Z82" s="20">
        <f>ROUND(IF(OR($A82&lt;VLOOKUP(Z$2,行为概览!$D$3:$U$33,3,0),$A82&gt;VLOOKUP(Z$2,行为概览!$D$3:$U$33,4,0)),0,VLOOKUP(Z$2,行为概览!$D$3:$U$33,6,0)),4)</f>
        <v>0.16669999999999999</v>
      </c>
      <c r="AA82" s="20">
        <f>ROUND(IF(OR($A82&lt;VLOOKUP(AA$2,行为概览!$D$3:$U$33,3,0),$A82&gt;VLOOKUP(AA$2,行为概览!$D$3:$U$33,4,0)),0,VLOOKUP(AA$2,行为概览!$D$3:$U$33,6,0)),4)</f>
        <v>0</v>
      </c>
      <c r="AB82" s="20">
        <f>ROUND(IF(OR($A82&lt;VLOOKUP(AB$2,行为概览!$D$3:$U$33,3,0),$A82&gt;VLOOKUP(AB$2,行为概览!$D$3:$U$33,4,0)),0,VLOOKUP(AB$2,行为概览!$D$3:$U$33,6,0)),4)</f>
        <v>0</v>
      </c>
      <c r="AC82" s="20">
        <f>ROUND(IF(OR($A82&lt;VLOOKUP(AC$2,行为概览!$D$3:$U$33,3,0),$A82&gt;VLOOKUP(AC$2,行为概览!$D$3:$U$33,4,0)),0,VLOOKUP(AC$2,行为概览!$D$3:$U$33,6,0)),4)</f>
        <v>0</v>
      </c>
      <c r="AD82" s="20">
        <f>ROUND(IF(OR($A82&lt;VLOOKUP(AD$2,行为概览!$D$3:$U$33,3,0),$A82&gt;VLOOKUP(AD$2,行为概览!$D$3:$U$33,4,0)),0,VLOOKUP(AD$2,行为概览!$D$3:$U$33,6,0)),4)</f>
        <v>0</v>
      </c>
      <c r="AE82" s="20">
        <f>ROUND(IF(OR($A82&lt;VLOOKUP(AE$2,行为概览!$D$3:$U$33,3,0),$A82&gt;VLOOKUP(AE$2,行为概览!$D$3:$U$33,4,0)),0,VLOOKUP(AE$2,行为概览!$D$3:$U$33,6,0)),4)</f>
        <v>8.3299999999999999E-2</v>
      </c>
      <c r="AF82" s="20">
        <f>ROUND(IF(OR($A82&lt;VLOOKUP(AF$2,行为概览!$D$3:$U$33,3,0),$A82&gt;VLOOKUP(AF$2,行为概览!$D$3:$U$33,4,0)),0,VLOOKUP(AF$2,行为概览!$D$3:$U$33,6,0)),4)</f>
        <v>0</v>
      </c>
    </row>
    <row r="83" spans="1:32">
      <c r="A83" s="19">
        <v>81</v>
      </c>
      <c r="B83" s="20">
        <f>ROUND(IF(OR($A83&lt;VLOOKUP(B$2,行为概览!$D$3:$U$33,3,0),$A83&gt;VLOOKUP(B$2,行为概览!$D$3:$U$33,4,0)),0,VLOOKUP(B$2,行为概览!$D$3:$U$33,6,0)),4)</f>
        <v>0.33329999999999999</v>
      </c>
      <c r="C83" s="20">
        <f>ROUND(IF(OR($A83&lt;VLOOKUP(C$2,行为概览!$D$3:$U$33,3,0),$A83&gt;VLOOKUP(C$2,行为概览!$D$3:$U$33,4,0)),0,VLOOKUP(C$2,行为概览!$D$3:$U$33,6,0)),4)</f>
        <v>2</v>
      </c>
      <c r="D83" s="20">
        <f>ROUND(IF(OR($A83&lt;VLOOKUP(D$2,行为概览!$D$3:$U$33,3,0),$A83&gt;VLOOKUP(D$2,行为概览!$D$3:$U$33,4,0)),0,VLOOKUP(D$2,行为概览!$D$3:$U$33,6,0)),4)</f>
        <v>8.3299999999999999E-2</v>
      </c>
      <c r="E83" s="20">
        <f>ROUND(IF(OR($A83&lt;VLOOKUP(E$2,行为概览!$D$3:$U$33,3,0),$A83&gt;VLOOKUP(E$2,行为概览!$D$3:$U$33,4,0)),0,VLOOKUP(E$2,行为概览!$D$3:$U$33,6,0)),4)</f>
        <v>1</v>
      </c>
      <c r="F83" s="20">
        <f>ROUND(IF(OR($A83&lt;VLOOKUP(F$2,行为概览!$D$3:$U$33,3,0),$A83&gt;VLOOKUP(F$2,行为概览!$D$3:$U$33,4,0)),0,VLOOKUP(F$2,行为概览!$D$3:$U$33,6,0)),4)</f>
        <v>0.33329999999999999</v>
      </c>
      <c r="G83" s="20">
        <f>ROUND(IF(OR($A83&lt;VLOOKUP(G$2,行为概览!$D$3:$U$33,3,0),$A83&gt;VLOOKUP(G$2,行为概览!$D$3:$U$33,4,0)),0,VLOOKUP(G$2,行为概览!$D$3:$U$33,6,0)),4)</f>
        <v>0</v>
      </c>
      <c r="H83" s="20">
        <f>ROUND(IF(OR($A83&lt;VLOOKUP(H$2,行为概览!$D$3:$U$33,3,0),$A83&gt;VLOOKUP(H$2,行为概览!$D$3:$U$33,4,0)),0,VLOOKUP(H$2,行为概览!$D$3:$U$33,6,0)),4)</f>
        <v>0</v>
      </c>
      <c r="I83" s="20">
        <f>ROUND(IF(OR($A83&lt;VLOOKUP(I$2,行为概览!$D$3:$U$33,3,0),$A83&gt;VLOOKUP(I$2,行为概览!$D$3:$U$33,4,0)),0,VLOOKUP(I$2,行为概览!$D$3:$U$33,6,0)),4)</f>
        <v>0</v>
      </c>
      <c r="J83" s="20">
        <f>ROUND(IF(OR($A83&lt;VLOOKUP(J$2,行为概览!$D$3:$U$33,3,0),$A83&gt;VLOOKUP(J$2,行为概览!$D$3:$U$33,4,0)),0,VLOOKUP(J$2,行为概览!$D$3:$U$33,6,0)),4)</f>
        <v>0.5</v>
      </c>
      <c r="K83" s="20">
        <f>ROUND(IF(OR($A83&lt;VLOOKUP(K$2,行为概览!$D$3:$U$33,3,0),$A83&gt;VLOOKUP(K$2,行为概览!$D$3:$U$33,4,0)),0,VLOOKUP(K$2,行为概览!$D$3:$U$33,6,0)),4)</f>
        <v>0.16669999999999999</v>
      </c>
      <c r="L83" s="20">
        <f>ROUND(IF(OR($A83&lt;VLOOKUP(L$2,行为概览!$D$3:$U$33,3,0),$A83&gt;VLOOKUP(L$2,行为概览!$D$3:$U$33,4,0)),0,VLOOKUP(L$2,行为概览!$D$3:$U$33,6,0)),4)</f>
        <v>0.5</v>
      </c>
      <c r="M83" s="20">
        <f>ROUND(IF(OR($A83&lt;VLOOKUP(M$2,行为概览!$D$3:$U$33,3,0),$A83&gt;VLOOKUP(M$2,行为概览!$D$3:$U$33,4,0)),0,VLOOKUP(M$2,行为概览!$D$3:$U$33,6,0)),4)</f>
        <v>12</v>
      </c>
      <c r="N83" s="20">
        <f>ROUND(IF(OR($A83&lt;VLOOKUP(N$2,行为概览!$D$3:$U$33,3,0),$A83&gt;VLOOKUP(N$2,行为概览!$D$3:$U$33,4,0)),0,VLOOKUP(N$2,行为概览!$D$3:$U$33,6,0)),4)</f>
        <v>8.3299999999999999E-2</v>
      </c>
      <c r="O83" s="20">
        <f>ROUND(IF(OR($A83&lt;VLOOKUP(O$2,行为概览!$D$3:$U$33,3,0),$A83&gt;VLOOKUP(O$2,行为概览!$D$3:$U$33,4,0)),0,VLOOKUP(O$2,行为概览!$D$3:$U$33,6,0)),4)</f>
        <v>8.3299999999999999E-2</v>
      </c>
      <c r="P83" s="20">
        <f>ROUND(IF(OR($A83&lt;VLOOKUP(P$2,行为概览!$D$3:$U$33,3,0),$A83&gt;VLOOKUP(P$2,行为概览!$D$3:$U$33,4,0)),0,VLOOKUP(P$2,行为概览!$D$3:$U$33,6,0)),4)</f>
        <v>2.6</v>
      </c>
      <c r="Q83" s="20">
        <f>ROUND(IF(OR($A83&lt;VLOOKUP(Q$2,行为概览!$D$3:$U$33,3,0),$A83&gt;VLOOKUP(Q$2,行为概览!$D$3:$U$33,4,0)),0,VLOOKUP(Q$2,行为概览!$D$3:$U$33,6,0)),4)</f>
        <v>1</v>
      </c>
      <c r="R83" s="20">
        <f>ROUND(IF(OR($A83&lt;VLOOKUP(R$2,行为概览!$D$3:$U$33,3,0),$A83&gt;VLOOKUP(R$2,行为概览!$D$3:$U$33,4,0)),0,VLOOKUP(R$2,行为概览!$D$3:$U$33,6,0)),4)</f>
        <v>0.33329999999999999</v>
      </c>
      <c r="S83" s="20">
        <f>ROUND(IF(OR($A83&lt;VLOOKUP(S$2,行为概览!$D$3:$U$33,3,0),$A83&gt;VLOOKUP(S$2,行为概览!$D$3:$U$33,4,0)),0,VLOOKUP(S$2,行为概览!$D$3:$U$33,6,0)),4)</f>
        <v>0</v>
      </c>
      <c r="T83" s="20">
        <f>ROUND(IF(OR($A83&lt;VLOOKUP(T$2,行为概览!$D$3:$U$33,3,0),$A83&gt;VLOOKUP(T$2,行为概览!$D$3:$U$33,4,0)),0,VLOOKUP(T$2,行为概览!$D$3:$U$33,6,0)),4)</f>
        <v>0.33329999999999999</v>
      </c>
      <c r="U83" s="20">
        <f>ROUND(IF(OR($A83&lt;VLOOKUP(U$2,行为概览!$D$3:$U$33,3,0),$A83&gt;VLOOKUP(U$2,行为概览!$D$3:$U$33,4,0)),0,VLOOKUP(U$2,行为概览!$D$3:$U$33,6,0)),4)</f>
        <v>0.16669999999999999</v>
      </c>
      <c r="V83" s="20">
        <f>ROUND(IF(OR($A83&lt;VLOOKUP(V$2,行为概览!$D$3:$U$33,3,0),$A83&gt;VLOOKUP(V$2,行为概览!$D$3:$U$33,4,0)),0,VLOOKUP(V$2,行为概览!$D$3:$U$33,6,0)),4)</f>
        <v>0.16669999999999999</v>
      </c>
      <c r="W83" s="20">
        <f>ROUND(IF(OR($A83&lt;VLOOKUP(W$2,行为概览!$D$3:$U$33,3,0),$A83&gt;VLOOKUP(W$2,行为概览!$D$3:$U$33,4,0)),0,VLOOKUP(W$2,行为概览!$D$3:$U$33,6,0)),4)</f>
        <v>0.16669999999999999</v>
      </c>
      <c r="X83" s="20">
        <f>ROUND(IF(OR($A83&lt;VLOOKUP(X$2,行为概览!$D$3:$U$33,3,0),$A83&gt;VLOOKUP(X$2,行为概览!$D$3:$U$33,4,0)),0,VLOOKUP(X$2,行为概览!$D$3:$U$33,6,0)),4)</f>
        <v>0.25</v>
      </c>
      <c r="Y83" s="20">
        <f>ROUND(IF(OR($A83&lt;VLOOKUP(Y$2,行为概览!$D$3:$U$33,3,0),$A83&gt;VLOOKUP(Y$2,行为概览!$D$3:$U$33,4,0)),0,VLOOKUP(Y$2,行为概览!$D$3:$U$33,6,0)),4)</f>
        <v>0.58330000000000004</v>
      </c>
      <c r="Z83" s="20">
        <f>ROUND(IF(OR($A83&lt;VLOOKUP(Z$2,行为概览!$D$3:$U$33,3,0),$A83&gt;VLOOKUP(Z$2,行为概览!$D$3:$U$33,4,0)),0,VLOOKUP(Z$2,行为概览!$D$3:$U$33,6,0)),4)</f>
        <v>0.16669999999999999</v>
      </c>
      <c r="AA83" s="20">
        <f>ROUND(IF(OR($A83&lt;VLOOKUP(AA$2,行为概览!$D$3:$U$33,3,0),$A83&gt;VLOOKUP(AA$2,行为概览!$D$3:$U$33,4,0)),0,VLOOKUP(AA$2,行为概览!$D$3:$U$33,6,0)),4)</f>
        <v>0</v>
      </c>
      <c r="AB83" s="20">
        <f>ROUND(IF(OR($A83&lt;VLOOKUP(AB$2,行为概览!$D$3:$U$33,3,0),$A83&gt;VLOOKUP(AB$2,行为概览!$D$3:$U$33,4,0)),0,VLOOKUP(AB$2,行为概览!$D$3:$U$33,6,0)),4)</f>
        <v>0</v>
      </c>
      <c r="AC83" s="20">
        <f>ROUND(IF(OR($A83&lt;VLOOKUP(AC$2,行为概览!$D$3:$U$33,3,0),$A83&gt;VLOOKUP(AC$2,行为概览!$D$3:$U$33,4,0)),0,VLOOKUP(AC$2,行为概览!$D$3:$U$33,6,0)),4)</f>
        <v>0</v>
      </c>
      <c r="AD83" s="20">
        <f>ROUND(IF(OR($A83&lt;VLOOKUP(AD$2,行为概览!$D$3:$U$33,3,0),$A83&gt;VLOOKUP(AD$2,行为概览!$D$3:$U$33,4,0)),0,VLOOKUP(AD$2,行为概览!$D$3:$U$33,6,0)),4)</f>
        <v>0</v>
      </c>
      <c r="AE83" s="20">
        <f>ROUND(IF(OR($A83&lt;VLOOKUP(AE$2,行为概览!$D$3:$U$33,3,0),$A83&gt;VLOOKUP(AE$2,行为概览!$D$3:$U$33,4,0)),0,VLOOKUP(AE$2,行为概览!$D$3:$U$33,6,0)),4)</f>
        <v>8.3299999999999999E-2</v>
      </c>
      <c r="AF83" s="20">
        <f>ROUND(IF(OR($A83&lt;VLOOKUP(AF$2,行为概览!$D$3:$U$33,3,0),$A83&gt;VLOOKUP(AF$2,行为概览!$D$3:$U$33,4,0)),0,VLOOKUP(AF$2,行为概览!$D$3:$U$33,6,0)),4)</f>
        <v>0</v>
      </c>
    </row>
    <row r="84" spans="1:32">
      <c r="A84" s="19">
        <v>82</v>
      </c>
      <c r="B84" s="20">
        <f>ROUND(IF(OR($A84&lt;VLOOKUP(B$2,行为概览!$D$3:$U$33,3,0),$A84&gt;VLOOKUP(B$2,行为概览!$D$3:$U$33,4,0)),0,VLOOKUP(B$2,行为概览!$D$3:$U$33,6,0)),4)</f>
        <v>0.33329999999999999</v>
      </c>
      <c r="C84" s="20">
        <f>ROUND(IF(OR($A84&lt;VLOOKUP(C$2,行为概览!$D$3:$U$33,3,0),$A84&gt;VLOOKUP(C$2,行为概览!$D$3:$U$33,4,0)),0,VLOOKUP(C$2,行为概览!$D$3:$U$33,6,0)),4)</f>
        <v>2</v>
      </c>
      <c r="D84" s="20">
        <f>ROUND(IF(OR($A84&lt;VLOOKUP(D$2,行为概览!$D$3:$U$33,3,0),$A84&gt;VLOOKUP(D$2,行为概览!$D$3:$U$33,4,0)),0,VLOOKUP(D$2,行为概览!$D$3:$U$33,6,0)),4)</f>
        <v>8.3299999999999999E-2</v>
      </c>
      <c r="E84" s="20">
        <f>ROUND(IF(OR($A84&lt;VLOOKUP(E$2,行为概览!$D$3:$U$33,3,0),$A84&gt;VLOOKUP(E$2,行为概览!$D$3:$U$33,4,0)),0,VLOOKUP(E$2,行为概览!$D$3:$U$33,6,0)),4)</f>
        <v>1</v>
      </c>
      <c r="F84" s="20">
        <f>ROUND(IF(OR($A84&lt;VLOOKUP(F$2,行为概览!$D$3:$U$33,3,0),$A84&gt;VLOOKUP(F$2,行为概览!$D$3:$U$33,4,0)),0,VLOOKUP(F$2,行为概览!$D$3:$U$33,6,0)),4)</f>
        <v>0.33329999999999999</v>
      </c>
      <c r="G84" s="20">
        <f>ROUND(IF(OR($A84&lt;VLOOKUP(G$2,行为概览!$D$3:$U$33,3,0),$A84&gt;VLOOKUP(G$2,行为概览!$D$3:$U$33,4,0)),0,VLOOKUP(G$2,行为概览!$D$3:$U$33,6,0)),4)</f>
        <v>0</v>
      </c>
      <c r="H84" s="20">
        <f>ROUND(IF(OR($A84&lt;VLOOKUP(H$2,行为概览!$D$3:$U$33,3,0),$A84&gt;VLOOKUP(H$2,行为概览!$D$3:$U$33,4,0)),0,VLOOKUP(H$2,行为概览!$D$3:$U$33,6,0)),4)</f>
        <v>0</v>
      </c>
      <c r="I84" s="20">
        <f>ROUND(IF(OR($A84&lt;VLOOKUP(I$2,行为概览!$D$3:$U$33,3,0),$A84&gt;VLOOKUP(I$2,行为概览!$D$3:$U$33,4,0)),0,VLOOKUP(I$2,行为概览!$D$3:$U$33,6,0)),4)</f>
        <v>0</v>
      </c>
      <c r="J84" s="20">
        <f>ROUND(IF(OR($A84&lt;VLOOKUP(J$2,行为概览!$D$3:$U$33,3,0),$A84&gt;VLOOKUP(J$2,行为概览!$D$3:$U$33,4,0)),0,VLOOKUP(J$2,行为概览!$D$3:$U$33,6,0)),4)</f>
        <v>0.5</v>
      </c>
      <c r="K84" s="20">
        <f>ROUND(IF(OR($A84&lt;VLOOKUP(K$2,行为概览!$D$3:$U$33,3,0),$A84&gt;VLOOKUP(K$2,行为概览!$D$3:$U$33,4,0)),0,VLOOKUP(K$2,行为概览!$D$3:$U$33,6,0)),4)</f>
        <v>0.16669999999999999</v>
      </c>
      <c r="L84" s="20">
        <f>ROUND(IF(OR($A84&lt;VLOOKUP(L$2,行为概览!$D$3:$U$33,3,0),$A84&gt;VLOOKUP(L$2,行为概览!$D$3:$U$33,4,0)),0,VLOOKUP(L$2,行为概览!$D$3:$U$33,6,0)),4)</f>
        <v>0.5</v>
      </c>
      <c r="M84" s="20">
        <f>ROUND(IF(OR($A84&lt;VLOOKUP(M$2,行为概览!$D$3:$U$33,3,0),$A84&gt;VLOOKUP(M$2,行为概览!$D$3:$U$33,4,0)),0,VLOOKUP(M$2,行为概览!$D$3:$U$33,6,0)),4)</f>
        <v>12</v>
      </c>
      <c r="N84" s="20">
        <f>ROUND(IF(OR($A84&lt;VLOOKUP(N$2,行为概览!$D$3:$U$33,3,0),$A84&gt;VLOOKUP(N$2,行为概览!$D$3:$U$33,4,0)),0,VLOOKUP(N$2,行为概览!$D$3:$U$33,6,0)),4)</f>
        <v>8.3299999999999999E-2</v>
      </c>
      <c r="O84" s="20">
        <f>ROUND(IF(OR($A84&lt;VLOOKUP(O$2,行为概览!$D$3:$U$33,3,0),$A84&gt;VLOOKUP(O$2,行为概览!$D$3:$U$33,4,0)),0,VLOOKUP(O$2,行为概览!$D$3:$U$33,6,0)),4)</f>
        <v>8.3299999999999999E-2</v>
      </c>
      <c r="P84" s="20">
        <f>ROUND(IF(OR($A84&lt;VLOOKUP(P$2,行为概览!$D$3:$U$33,3,0),$A84&gt;VLOOKUP(P$2,行为概览!$D$3:$U$33,4,0)),0,VLOOKUP(P$2,行为概览!$D$3:$U$33,6,0)),4)</f>
        <v>2.6</v>
      </c>
      <c r="Q84" s="20">
        <f>ROUND(IF(OR($A84&lt;VLOOKUP(Q$2,行为概览!$D$3:$U$33,3,0),$A84&gt;VLOOKUP(Q$2,行为概览!$D$3:$U$33,4,0)),0,VLOOKUP(Q$2,行为概览!$D$3:$U$33,6,0)),4)</f>
        <v>1</v>
      </c>
      <c r="R84" s="20">
        <f>ROUND(IF(OR($A84&lt;VLOOKUP(R$2,行为概览!$D$3:$U$33,3,0),$A84&gt;VLOOKUP(R$2,行为概览!$D$3:$U$33,4,0)),0,VLOOKUP(R$2,行为概览!$D$3:$U$33,6,0)),4)</f>
        <v>0.33329999999999999</v>
      </c>
      <c r="S84" s="20">
        <f>ROUND(IF(OR($A84&lt;VLOOKUP(S$2,行为概览!$D$3:$U$33,3,0),$A84&gt;VLOOKUP(S$2,行为概览!$D$3:$U$33,4,0)),0,VLOOKUP(S$2,行为概览!$D$3:$U$33,6,0)),4)</f>
        <v>0</v>
      </c>
      <c r="T84" s="20">
        <f>ROUND(IF(OR($A84&lt;VLOOKUP(T$2,行为概览!$D$3:$U$33,3,0),$A84&gt;VLOOKUP(T$2,行为概览!$D$3:$U$33,4,0)),0,VLOOKUP(T$2,行为概览!$D$3:$U$33,6,0)),4)</f>
        <v>0.33329999999999999</v>
      </c>
      <c r="U84" s="20">
        <f>ROUND(IF(OR($A84&lt;VLOOKUP(U$2,行为概览!$D$3:$U$33,3,0),$A84&gt;VLOOKUP(U$2,行为概览!$D$3:$U$33,4,0)),0,VLOOKUP(U$2,行为概览!$D$3:$U$33,6,0)),4)</f>
        <v>0.16669999999999999</v>
      </c>
      <c r="V84" s="20">
        <f>ROUND(IF(OR($A84&lt;VLOOKUP(V$2,行为概览!$D$3:$U$33,3,0),$A84&gt;VLOOKUP(V$2,行为概览!$D$3:$U$33,4,0)),0,VLOOKUP(V$2,行为概览!$D$3:$U$33,6,0)),4)</f>
        <v>0.16669999999999999</v>
      </c>
      <c r="W84" s="20">
        <f>ROUND(IF(OR($A84&lt;VLOOKUP(W$2,行为概览!$D$3:$U$33,3,0),$A84&gt;VLOOKUP(W$2,行为概览!$D$3:$U$33,4,0)),0,VLOOKUP(W$2,行为概览!$D$3:$U$33,6,0)),4)</f>
        <v>0.16669999999999999</v>
      </c>
      <c r="X84" s="20">
        <f>ROUND(IF(OR($A84&lt;VLOOKUP(X$2,行为概览!$D$3:$U$33,3,0),$A84&gt;VLOOKUP(X$2,行为概览!$D$3:$U$33,4,0)),0,VLOOKUP(X$2,行为概览!$D$3:$U$33,6,0)),4)</f>
        <v>0.25</v>
      </c>
      <c r="Y84" s="20">
        <f>ROUND(IF(OR($A84&lt;VLOOKUP(Y$2,行为概览!$D$3:$U$33,3,0),$A84&gt;VLOOKUP(Y$2,行为概览!$D$3:$U$33,4,0)),0,VLOOKUP(Y$2,行为概览!$D$3:$U$33,6,0)),4)</f>
        <v>0.58330000000000004</v>
      </c>
      <c r="Z84" s="20">
        <f>ROUND(IF(OR($A84&lt;VLOOKUP(Z$2,行为概览!$D$3:$U$33,3,0),$A84&gt;VLOOKUP(Z$2,行为概览!$D$3:$U$33,4,0)),0,VLOOKUP(Z$2,行为概览!$D$3:$U$33,6,0)),4)</f>
        <v>0.16669999999999999</v>
      </c>
      <c r="AA84" s="20">
        <f>ROUND(IF(OR($A84&lt;VLOOKUP(AA$2,行为概览!$D$3:$U$33,3,0),$A84&gt;VLOOKUP(AA$2,行为概览!$D$3:$U$33,4,0)),0,VLOOKUP(AA$2,行为概览!$D$3:$U$33,6,0)),4)</f>
        <v>0</v>
      </c>
      <c r="AB84" s="20">
        <f>ROUND(IF(OR($A84&lt;VLOOKUP(AB$2,行为概览!$D$3:$U$33,3,0),$A84&gt;VLOOKUP(AB$2,行为概览!$D$3:$U$33,4,0)),0,VLOOKUP(AB$2,行为概览!$D$3:$U$33,6,0)),4)</f>
        <v>0</v>
      </c>
      <c r="AC84" s="20">
        <f>ROUND(IF(OR($A84&lt;VLOOKUP(AC$2,行为概览!$D$3:$U$33,3,0),$A84&gt;VLOOKUP(AC$2,行为概览!$D$3:$U$33,4,0)),0,VLOOKUP(AC$2,行为概览!$D$3:$U$33,6,0)),4)</f>
        <v>0</v>
      </c>
      <c r="AD84" s="20">
        <f>ROUND(IF(OR($A84&lt;VLOOKUP(AD$2,行为概览!$D$3:$U$33,3,0),$A84&gt;VLOOKUP(AD$2,行为概览!$D$3:$U$33,4,0)),0,VLOOKUP(AD$2,行为概览!$D$3:$U$33,6,0)),4)</f>
        <v>0</v>
      </c>
      <c r="AE84" s="20">
        <f>ROUND(IF(OR($A84&lt;VLOOKUP(AE$2,行为概览!$D$3:$U$33,3,0),$A84&gt;VLOOKUP(AE$2,行为概览!$D$3:$U$33,4,0)),0,VLOOKUP(AE$2,行为概览!$D$3:$U$33,6,0)),4)</f>
        <v>8.3299999999999999E-2</v>
      </c>
      <c r="AF84" s="20">
        <f>ROUND(IF(OR($A84&lt;VLOOKUP(AF$2,行为概览!$D$3:$U$33,3,0),$A84&gt;VLOOKUP(AF$2,行为概览!$D$3:$U$33,4,0)),0,VLOOKUP(AF$2,行为概览!$D$3:$U$33,6,0)),4)</f>
        <v>0</v>
      </c>
    </row>
    <row r="85" spans="1:32">
      <c r="A85" s="19">
        <v>83</v>
      </c>
      <c r="B85" s="20">
        <f>ROUND(IF(OR($A85&lt;VLOOKUP(B$2,行为概览!$D$3:$U$33,3,0),$A85&gt;VLOOKUP(B$2,行为概览!$D$3:$U$33,4,0)),0,VLOOKUP(B$2,行为概览!$D$3:$U$33,6,0)),4)</f>
        <v>0.33329999999999999</v>
      </c>
      <c r="C85" s="20">
        <f>ROUND(IF(OR($A85&lt;VLOOKUP(C$2,行为概览!$D$3:$U$33,3,0),$A85&gt;VLOOKUP(C$2,行为概览!$D$3:$U$33,4,0)),0,VLOOKUP(C$2,行为概览!$D$3:$U$33,6,0)),4)</f>
        <v>2</v>
      </c>
      <c r="D85" s="20">
        <f>ROUND(IF(OR($A85&lt;VLOOKUP(D$2,行为概览!$D$3:$U$33,3,0),$A85&gt;VLOOKUP(D$2,行为概览!$D$3:$U$33,4,0)),0,VLOOKUP(D$2,行为概览!$D$3:$U$33,6,0)),4)</f>
        <v>8.3299999999999999E-2</v>
      </c>
      <c r="E85" s="20">
        <f>ROUND(IF(OR($A85&lt;VLOOKUP(E$2,行为概览!$D$3:$U$33,3,0),$A85&gt;VLOOKUP(E$2,行为概览!$D$3:$U$33,4,0)),0,VLOOKUP(E$2,行为概览!$D$3:$U$33,6,0)),4)</f>
        <v>1</v>
      </c>
      <c r="F85" s="20">
        <f>ROUND(IF(OR($A85&lt;VLOOKUP(F$2,行为概览!$D$3:$U$33,3,0),$A85&gt;VLOOKUP(F$2,行为概览!$D$3:$U$33,4,0)),0,VLOOKUP(F$2,行为概览!$D$3:$U$33,6,0)),4)</f>
        <v>0.33329999999999999</v>
      </c>
      <c r="G85" s="20">
        <f>ROUND(IF(OR($A85&lt;VLOOKUP(G$2,行为概览!$D$3:$U$33,3,0),$A85&gt;VLOOKUP(G$2,行为概览!$D$3:$U$33,4,0)),0,VLOOKUP(G$2,行为概览!$D$3:$U$33,6,0)),4)</f>
        <v>0</v>
      </c>
      <c r="H85" s="20">
        <f>ROUND(IF(OR($A85&lt;VLOOKUP(H$2,行为概览!$D$3:$U$33,3,0),$A85&gt;VLOOKUP(H$2,行为概览!$D$3:$U$33,4,0)),0,VLOOKUP(H$2,行为概览!$D$3:$U$33,6,0)),4)</f>
        <v>0</v>
      </c>
      <c r="I85" s="20">
        <f>ROUND(IF(OR($A85&lt;VLOOKUP(I$2,行为概览!$D$3:$U$33,3,0),$A85&gt;VLOOKUP(I$2,行为概览!$D$3:$U$33,4,0)),0,VLOOKUP(I$2,行为概览!$D$3:$U$33,6,0)),4)</f>
        <v>0</v>
      </c>
      <c r="J85" s="20">
        <f>ROUND(IF(OR($A85&lt;VLOOKUP(J$2,行为概览!$D$3:$U$33,3,0),$A85&gt;VLOOKUP(J$2,行为概览!$D$3:$U$33,4,0)),0,VLOOKUP(J$2,行为概览!$D$3:$U$33,6,0)),4)</f>
        <v>0.5</v>
      </c>
      <c r="K85" s="20">
        <f>ROUND(IF(OR($A85&lt;VLOOKUP(K$2,行为概览!$D$3:$U$33,3,0),$A85&gt;VLOOKUP(K$2,行为概览!$D$3:$U$33,4,0)),0,VLOOKUP(K$2,行为概览!$D$3:$U$33,6,0)),4)</f>
        <v>0.16669999999999999</v>
      </c>
      <c r="L85" s="20">
        <f>ROUND(IF(OR($A85&lt;VLOOKUP(L$2,行为概览!$D$3:$U$33,3,0),$A85&gt;VLOOKUP(L$2,行为概览!$D$3:$U$33,4,0)),0,VLOOKUP(L$2,行为概览!$D$3:$U$33,6,0)),4)</f>
        <v>0.5</v>
      </c>
      <c r="M85" s="20">
        <f>ROUND(IF(OR($A85&lt;VLOOKUP(M$2,行为概览!$D$3:$U$33,3,0),$A85&gt;VLOOKUP(M$2,行为概览!$D$3:$U$33,4,0)),0,VLOOKUP(M$2,行为概览!$D$3:$U$33,6,0)),4)</f>
        <v>12</v>
      </c>
      <c r="N85" s="20">
        <f>ROUND(IF(OR($A85&lt;VLOOKUP(N$2,行为概览!$D$3:$U$33,3,0),$A85&gt;VLOOKUP(N$2,行为概览!$D$3:$U$33,4,0)),0,VLOOKUP(N$2,行为概览!$D$3:$U$33,6,0)),4)</f>
        <v>8.3299999999999999E-2</v>
      </c>
      <c r="O85" s="20">
        <f>ROUND(IF(OR($A85&lt;VLOOKUP(O$2,行为概览!$D$3:$U$33,3,0),$A85&gt;VLOOKUP(O$2,行为概览!$D$3:$U$33,4,0)),0,VLOOKUP(O$2,行为概览!$D$3:$U$33,6,0)),4)</f>
        <v>8.3299999999999999E-2</v>
      </c>
      <c r="P85" s="20">
        <f>ROUND(IF(OR($A85&lt;VLOOKUP(P$2,行为概览!$D$3:$U$33,3,0),$A85&gt;VLOOKUP(P$2,行为概览!$D$3:$U$33,4,0)),0,VLOOKUP(P$2,行为概览!$D$3:$U$33,6,0)),4)</f>
        <v>2.6</v>
      </c>
      <c r="Q85" s="20">
        <f>ROUND(IF(OR($A85&lt;VLOOKUP(Q$2,行为概览!$D$3:$U$33,3,0),$A85&gt;VLOOKUP(Q$2,行为概览!$D$3:$U$33,4,0)),0,VLOOKUP(Q$2,行为概览!$D$3:$U$33,6,0)),4)</f>
        <v>1</v>
      </c>
      <c r="R85" s="20">
        <f>ROUND(IF(OR($A85&lt;VLOOKUP(R$2,行为概览!$D$3:$U$33,3,0),$A85&gt;VLOOKUP(R$2,行为概览!$D$3:$U$33,4,0)),0,VLOOKUP(R$2,行为概览!$D$3:$U$33,6,0)),4)</f>
        <v>0.33329999999999999</v>
      </c>
      <c r="S85" s="20">
        <f>ROUND(IF(OR($A85&lt;VLOOKUP(S$2,行为概览!$D$3:$U$33,3,0),$A85&gt;VLOOKUP(S$2,行为概览!$D$3:$U$33,4,0)),0,VLOOKUP(S$2,行为概览!$D$3:$U$33,6,0)),4)</f>
        <v>0</v>
      </c>
      <c r="T85" s="20">
        <f>ROUND(IF(OR($A85&lt;VLOOKUP(T$2,行为概览!$D$3:$U$33,3,0),$A85&gt;VLOOKUP(T$2,行为概览!$D$3:$U$33,4,0)),0,VLOOKUP(T$2,行为概览!$D$3:$U$33,6,0)),4)</f>
        <v>0.33329999999999999</v>
      </c>
      <c r="U85" s="20">
        <f>ROUND(IF(OR($A85&lt;VLOOKUP(U$2,行为概览!$D$3:$U$33,3,0),$A85&gt;VLOOKUP(U$2,行为概览!$D$3:$U$33,4,0)),0,VLOOKUP(U$2,行为概览!$D$3:$U$33,6,0)),4)</f>
        <v>0.16669999999999999</v>
      </c>
      <c r="V85" s="20">
        <f>ROUND(IF(OR($A85&lt;VLOOKUP(V$2,行为概览!$D$3:$U$33,3,0),$A85&gt;VLOOKUP(V$2,行为概览!$D$3:$U$33,4,0)),0,VLOOKUP(V$2,行为概览!$D$3:$U$33,6,0)),4)</f>
        <v>0.16669999999999999</v>
      </c>
      <c r="W85" s="20">
        <f>ROUND(IF(OR($A85&lt;VLOOKUP(W$2,行为概览!$D$3:$U$33,3,0),$A85&gt;VLOOKUP(W$2,行为概览!$D$3:$U$33,4,0)),0,VLOOKUP(W$2,行为概览!$D$3:$U$33,6,0)),4)</f>
        <v>0.16669999999999999</v>
      </c>
      <c r="X85" s="20">
        <f>ROUND(IF(OR($A85&lt;VLOOKUP(X$2,行为概览!$D$3:$U$33,3,0),$A85&gt;VLOOKUP(X$2,行为概览!$D$3:$U$33,4,0)),0,VLOOKUP(X$2,行为概览!$D$3:$U$33,6,0)),4)</f>
        <v>0.25</v>
      </c>
      <c r="Y85" s="20">
        <f>ROUND(IF(OR($A85&lt;VLOOKUP(Y$2,行为概览!$D$3:$U$33,3,0),$A85&gt;VLOOKUP(Y$2,行为概览!$D$3:$U$33,4,0)),0,VLOOKUP(Y$2,行为概览!$D$3:$U$33,6,0)),4)</f>
        <v>0.58330000000000004</v>
      </c>
      <c r="Z85" s="20">
        <f>ROUND(IF(OR($A85&lt;VLOOKUP(Z$2,行为概览!$D$3:$U$33,3,0),$A85&gt;VLOOKUP(Z$2,行为概览!$D$3:$U$33,4,0)),0,VLOOKUP(Z$2,行为概览!$D$3:$U$33,6,0)),4)</f>
        <v>0.16669999999999999</v>
      </c>
      <c r="AA85" s="20">
        <f>ROUND(IF(OR($A85&lt;VLOOKUP(AA$2,行为概览!$D$3:$U$33,3,0),$A85&gt;VLOOKUP(AA$2,行为概览!$D$3:$U$33,4,0)),0,VLOOKUP(AA$2,行为概览!$D$3:$U$33,6,0)),4)</f>
        <v>0</v>
      </c>
      <c r="AB85" s="20">
        <f>ROUND(IF(OR($A85&lt;VLOOKUP(AB$2,行为概览!$D$3:$U$33,3,0),$A85&gt;VLOOKUP(AB$2,行为概览!$D$3:$U$33,4,0)),0,VLOOKUP(AB$2,行为概览!$D$3:$U$33,6,0)),4)</f>
        <v>0</v>
      </c>
      <c r="AC85" s="20">
        <f>ROUND(IF(OR($A85&lt;VLOOKUP(AC$2,行为概览!$D$3:$U$33,3,0),$A85&gt;VLOOKUP(AC$2,行为概览!$D$3:$U$33,4,0)),0,VLOOKUP(AC$2,行为概览!$D$3:$U$33,6,0)),4)</f>
        <v>0</v>
      </c>
      <c r="AD85" s="20">
        <f>ROUND(IF(OR($A85&lt;VLOOKUP(AD$2,行为概览!$D$3:$U$33,3,0),$A85&gt;VLOOKUP(AD$2,行为概览!$D$3:$U$33,4,0)),0,VLOOKUP(AD$2,行为概览!$D$3:$U$33,6,0)),4)</f>
        <v>0</v>
      </c>
      <c r="AE85" s="20">
        <f>ROUND(IF(OR($A85&lt;VLOOKUP(AE$2,行为概览!$D$3:$U$33,3,0),$A85&gt;VLOOKUP(AE$2,行为概览!$D$3:$U$33,4,0)),0,VLOOKUP(AE$2,行为概览!$D$3:$U$33,6,0)),4)</f>
        <v>8.3299999999999999E-2</v>
      </c>
      <c r="AF85" s="20">
        <f>ROUND(IF(OR($A85&lt;VLOOKUP(AF$2,行为概览!$D$3:$U$33,3,0),$A85&gt;VLOOKUP(AF$2,行为概览!$D$3:$U$33,4,0)),0,VLOOKUP(AF$2,行为概览!$D$3:$U$33,6,0)),4)</f>
        <v>0</v>
      </c>
    </row>
    <row r="86" spans="1:32">
      <c r="A86" s="19">
        <v>84</v>
      </c>
      <c r="B86" s="20">
        <f>ROUND(IF(OR($A86&lt;VLOOKUP(B$2,行为概览!$D$3:$U$33,3,0),$A86&gt;VLOOKUP(B$2,行为概览!$D$3:$U$33,4,0)),0,VLOOKUP(B$2,行为概览!$D$3:$U$33,6,0)),4)</f>
        <v>0.33329999999999999</v>
      </c>
      <c r="C86" s="20">
        <f>ROUND(IF(OR($A86&lt;VLOOKUP(C$2,行为概览!$D$3:$U$33,3,0),$A86&gt;VLOOKUP(C$2,行为概览!$D$3:$U$33,4,0)),0,VLOOKUP(C$2,行为概览!$D$3:$U$33,6,0)),4)</f>
        <v>2</v>
      </c>
      <c r="D86" s="20">
        <f>ROUND(IF(OR($A86&lt;VLOOKUP(D$2,行为概览!$D$3:$U$33,3,0),$A86&gt;VLOOKUP(D$2,行为概览!$D$3:$U$33,4,0)),0,VLOOKUP(D$2,行为概览!$D$3:$U$33,6,0)),4)</f>
        <v>8.3299999999999999E-2</v>
      </c>
      <c r="E86" s="20">
        <f>ROUND(IF(OR($A86&lt;VLOOKUP(E$2,行为概览!$D$3:$U$33,3,0),$A86&gt;VLOOKUP(E$2,行为概览!$D$3:$U$33,4,0)),0,VLOOKUP(E$2,行为概览!$D$3:$U$33,6,0)),4)</f>
        <v>1</v>
      </c>
      <c r="F86" s="20">
        <f>ROUND(IF(OR($A86&lt;VLOOKUP(F$2,行为概览!$D$3:$U$33,3,0),$A86&gt;VLOOKUP(F$2,行为概览!$D$3:$U$33,4,0)),0,VLOOKUP(F$2,行为概览!$D$3:$U$33,6,0)),4)</f>
        <v>0.33329999999999999</v>
      </c>
      <c r="G86" s="20">
        <f>ROUND(IF(OR($A86&lt;VLOOKUP(G$2,行为概览!$D$3:$U$33,3,0),$A86&gt;VLOOKUP(G$2,行为概览!$D$3:$U$33,4,0)),0,VLOOKUP(G$2,行为概览!$D$3:$U$33,6,0)),4)</f>
        <v>0</v>
      </c>
      <c r="H86" s="20">
        <f>ROUND(IF(OR($A86&lt;VLOOKUP(H$2,行为概览!$D$3:$U$33,3,0),$A86&gt;VLOOKUP(H$2,行为概览!$D$3:$U$33,4,0)),0,VLOOKUP(H$2,行为概览!$D$3:$U$33,6,0)),4)</f>
        <v>0</v>
      </c>
      <c r="I86" s="20">
        <f>ROUND(IF(OR($A86&lt;VLOOKUP(I$2,行为概览!$D$3:$U$33,3,0),$A86&gt;VLOOKUP(I$2,行为概览!$D$3:$U$33,4,0)),0,VLOOKUP(I$2,行为概览!$D$3:$U$33,6,0)),4)</f>
        <v>0</v>
      </c>
      <c r="J86" s="20">
        <f>ROUND(IF(OR($A86&lt;VLOOKUP(J$2,行为概览!$D$3:$U$33,3,0),$A86&gt;VLOOKUP(J$2,行为概览!$D$3:$U$33,4,0)),0,VLOOKUP(J$2,行为概览!$D$3:$U$33,6,0)),4)</f>
        <v>0.5</v>
      </c>
      <c r="K86" s="20">
        <f>ROUND(IF(OR($A86&lt;VLOOKUP(K$2,行为概览!$D$3:$U$33,3,0),$A86&gt;VLOOKUP(K$2,行为概览!$D$3:$U$33,4,0)),0,VLOOKUP(K$2,行为概览!$D$3:$U$33,6,0)),4)</f>
        <v>0.16669999999999999</v>
      </c>
      <c r="L86" s="20">
        <f>ROUND(IF(OR($A86&lt;VLOOKUP(L$2,行为概览!$D$3:$U$33,3,0),$A86&gt;VLOOKUP(L$2,行为概览!$D$3:$U$33,4,0)),0,VLOOKUP(L$2,行为概览!$D$3:$U$33,6,0)),4)</f>
        <v>0.5</v>
      </c>
      <c r="M86" s="20">
        <f>ROUND(IF(OR($A86&lt;VLOOKUP(M$2,行为概览!$D$3:$U$33,3,0),$A86&gt;VLOOKUP(M$2,行为概览!$D$3:$U$33,4,0)),0,VLOOKUP(M$2,行为概览!$D$3:$U$33,6,0)),4)</f>
        <v>12</v>
      </c>
      <c r="N86" s="20">
        <f>ROUND(IF(OR($A86&lt;VLOOKUP(N$2,行为概览!$D$3:$U$33,3,0),$A86&gt;VLOOKUP(N$2,行为概览!$D$3:$U$33,4,0)),0,VLOOKUP(N$2,行为概览!$D$3:$U$33,6,0)),4)</f>
        <v>8.3299999999999999E-2</v>
      </c>
      <c r="O86" s="20">
        <f>ROUND(IF(OR($A86&lt;VLOOKUP(O$2,行为概览!$D$3:$U$33,3,0),$A86&gt;VLOOKUP(O$2,行为概览!$D$3:$U$33,4,0)),0,VLOOKUP(O$2,行为概览!$D$3:$U$33,6,0)),4)</f>
        <v>8.3299999999999999E-2</v>
      </c>
      <c r="P86" s="20">
        <f>ROUND(IF(OR($A86&lt;VLOOKUP(P$2,行为概览!$D$3:$U$33,3,0),$A86&gt;VLOOKUP(P$2,行为概览!$D$3:$U$33,4,0)),0,VLOOKUP(P$2,行为概览!$D$3:$U$33,6,0)),4)</f>
        <v>2.6</v>
      </c>
      <c r="Q86" s="20">
        <f>ROUND(IF(OR($A86&lt;VLOOKUP(Q$2,行为概览!$D$3:$U$33,3,0),$A86&gt;VLOOKUP(Q$2,行为概览!$D$3:$U$33,4,0)),0,VLOOKUP(Q$2,行为概览!$D$3:$U$33,6,0)),4)</f>
        <v>1</v>
      </c>
      <c r="R86" s="20">
        <f>ROUND(IF(OR($A86&lt;VLOOKUP(R$2,行为概览!$D$3:$U$33,3,0),$A86&gt;VLOOKUP(R$2,行为概览!$D$3:$U$33,4,0)),0,VLOOKUP(R$2,行为概览!$D$3:$U$33,6,0)),4)</f>
        <v>0.33329999999999999</v>
      </c>
      <c r="S86" s="20">
        <f>ROUND(IF(OR($A86&lt;VLOOKUP(S$2,行为概览!$D$3:$U$33,3,0),$A86&gt;VLOOKUP(S$2,行为概览!$D$3:$U$33,4,0)),0,VLOOKUP(S$2,行为概览!$D$3:$U$33,6,0)),4)</f>
        <v>0</v>
      </c>
      <c r="T86" s="20">
        <f>ROUND(IF(OR($A86&lt;VLOOKUP(T$2,行为概览!$D$3:$U$33,3,0),$A86&gt;VLOOKUP(T$2,行为概览!$D$3:$U$33,4,0)),0,VLOOKUP(T$2,行为概览!$D$3:$U$33,6,0)),4)</f>
        <v>0.33329999999999999</v>
      </c>
      <c r="U86" s="20">
        <f>ROUND(IF(OR($A86&lt;VLOOKUP(U$2,行为概览!$D$3:$U$33,3,0),$A86&gt;VLOOKUP(U$2,行为概览!$D$3:$U$33,4,0)),0,VLOOKUP(U$2,行为概览!$D$3:$U$33,6,0)),4)</f>
        <v>0.16669999999999999</v>
      </c>
      <c r="V86" s="20">
        <f>ROUND(IF(OR($A86&lt;VLOOKUP(V$2,行为概览!$D$3:$U$33,3,0),$A86&gt;VLOOKUP(V$2,行为概览!$D$3:$U$33,4,0)),0,VLOOKUP(V$2,行为概览!$D$3:$U$33,6,0)),4)</f>
        <v>0.16669999999999999</v>
      </c>
      <c r="W86" s="20">
        <f>ROUND(IF(OR($A86&lt;VLOOKUP(W$2,行为概览!$D$3:$U$33,3,0),$A86&gt;VLOOKUP(W$2,行为概览!$D$3:$U$33,4,0)),0,VLOOKUP(W$2,行为概览!$D$3:$U$33,6,0)),4)</f>
        <v>0.16669999999999999</v>
      </c>
      <c r="X86" s="20">
        <f>ROUND(IF(OR($A86&lt;VLOOKUP(X$2,行为概览!$D$3:$U$33,3,0),$A86&gt;VLOOKUP(X$2,行为概览!$D$3:$U$33,4,0)),0,VLOOKUP(X$2,行为概览!$D$3:$U$33,6,0)),4)</f>
        <v>0.25</v>
      </c>
      <c r="Y86" s="20">
        <f>ROUND(IF(OR($A86&lt;VLOOKUP(Y$2,行为概览!$D$3:$U$33,3,0),$A86&gt;VLOOKUP(Y$2,行为概览!$D$3:$U$33,4,0)),0,VLOOKUP(Y$2,行为概览!$D$3:$U$33,6,0)),4)</f>
        <v>0.58330000000000004</v>
      </c>
      <c r="Z86" s="20">
        <f>ROUND(IF(OR($A86&lt;VLOOKUP(Z$2,行为概览!$D$3:$U$33,3,0),$A86&gt;VLOOKUP(Z$2,行为概览!$D$3:$U$33,4,0)),0,VLOOKUP(Z$2,行为概览!$D$3:$U$33,6,0)),4)</f>
        <v>0.16669999999999999</v>
      </c>
      <c r="AA86" s="20">
        <f>ROUND(IF(OR($A86&lt;VLOOKUP(AA$2,行为概览!$D$3:$U$33,3,0),$A86&gt;VLOOKUP(AA$2,行为概览!$D$3:$U$33,4,0)),0,VLOOKUP(AA$2,行为概览!$D$3:$U$33,6,0)),4)</f>
        <v>0</v>
      </c>
      <c r="AB86" s="20">
        <f>ROUND(IF(OR($A86&lt;VLOOKUP(AB$2,行为概览!$D$3:$U$33,3,0),$A86&gt;VLOOKUP(AB$2,行为概览!$D$3:$U$33,4,0)),0,VLOOKUP(AB$2,行为概览!$D$3:$U$33,6,0)),4)</f>
        <v>0</v>
      </c>
      <c r="AC86" s="20">
        <f>ROUND(IF(OR($A86&lt;VLOOKUP(AC$2,行为概览!$D$3:$U$33,3,0),$A86&gt;VLOOKUP(AC$2,行为概览!$D$3:$U$33,4,0)),0,VLOOKUP(AC$2,行为概览!$D$3:$U$33,6,0)),4)</f>
        <v>0</v>
      </c>
      <c r="AD86" s="20">
        <f>ROUND(IF(OR($A86&lt;VLOOKUP(AD$2,行为概览!$D$3:$U$33,3,0),$A86&gt;VLOOKUP(AD$2,行为概览!$D$3:$U$33,4,0)),0,VLOOKUP(AD$2,行为概览!$D$3:$U$33,6,0)),4)</f>
        <v>0</v>
      </c>
      <c r="AE86" s="20">
        <f>ROUND(IF(OR($A86&lt;VLOOKUP(AE$2,行为概览!$D$3:$U$33,3,0),$A86&gt;VLOOKUP(AE$2,行为概览!$D$3:$U$33,4,0)),0,VLOOKUP(AE$2,行为概览!$D$3:$U$33,6,0)),4)</f>
        <v>8.3299999999999999E-2</v>
      </c>
      <c r="AF86" s="20">
        <f>ROUND(IF(OR($A86&lt;VLOOKUP(AF$2,行为概览!$D$3:$U$33,3,0),$A86&gt;VLOOKUP(AF$2,行为概览!$D$3:$U$33,4,0)),0,VLOOKUP(AF$2,行为概览!$D$3:$U$33,6,0)),4)</f>
        <v>0</v>
      </c>
    </row>
    <row r="87" spans="1:32">
      <c r="A87" s="19">
        <v>85</v>
      </c>
      <c r="B87" s="20">
        <f>ROUND(IF(OR($A87&lt;VLOOKUP(B$2,行为概览!$D$3:$U$33,3,0),$A87&gt;VLOOKUP(B$2,行为概览!$D$3:$U$33,4,0)),0,VLOOKUP(B$2,行为概览!$D$3:$U$33,6,0)),4)</f>
        <v>0.33329999999999999</v>
      </c>
      <c r="C87" s="20">
        <f>ROUND(IF(OR($A87&lt;VLOOKUP(C$2,行为概览!$D$3:$U$33,3,0),$A87&gt;VLOOKUP(C$2,行为概览!$D$3:$U$33,4,0)),0,VLOOKUP(C$2,行为概览!$D$3:$U$33,6,0)),4)</f>
        <v>2</v>
      </c>
      <c r="D87" s="20">
        <f>ROUND(IF(OR($A87&lt;VLOOKUP(D$2,行为概览!$D$3:$U$33,3,0),$A87&gt;VLOOKUP(D$2,行为概览!$D$3:$U$33,4,0)),0,VLOOKUP(D$2,行为概览!$D$3:$U$33,6,0)),4)</f>
        <v>8.3299999999999999E-2</v>
      </c>
      <c r="E87" s="20">
        <f>ROUND(IF(OR($A87&lt;VLOOKUP(E$2,行为概览!$D$3:$U$33,3,0),$A87&gt;VLOOKUP(E$2,行为概览!$D$3:$U$33,4,0)),0,VLOOKUP(E$2,行为概览!$D$3:$U$33,6,0)),4)</f>
        <v>1</v>
      </c>
      <c r="F87" s="20">
        <f>ROUND(IF(OR($A87&lt;VLOOKUP(F$2,行为概览!$D$3:$U$33,3,0),$A87&gt;VLOOKUP(F$2,行为概览!$D$3:$U$33,4,0)),0,VLOOKUP(F$2,行为概览!$D$3:$U$33,6,0)),4)</f>
        <v>0.33329999999999999</v>
      </c>
      <c r="G87" s="20">
        <f>ROUND(IF(OR($A87&lt;VLOOKUP(G$2,行为概览!$D$3:$U$33,3,0),$A87&gt;VLOOKUP(G$2,行为概览!$D$3:$U$33,4,0)),0,VLOOKUP(G$2,行为概览!$D$3:$U$33,6,0)),4)</f>
        <v>0</v>
      </c>
      <c r="H87" s="20">
        <f>ROUND(IF(OR($A87&lt;VLOOKUP(H$2,行为概览!$D$3:$U$33,3,0),$A87&gt;VLOOKUP(H$2,行为概览!$D$3:$U$33,4,0)),0,VLOOKUP(H$2,行为概览!$D$3:$U$33,6,0)),4)</f>
        <v>0</v>
      </c>
      <c r="I87" s="20">
        <f>ROUND(IF(OR($A87&lt;VLOOKUP(I$2,行为概览!$D$3:$U$33,3,0),$A87&gt;VLOOKUP(I$2,行为概览!$D$3:$U$33,4,0)),0,VLOOKUP(I$2,行为概览!$D$3:$U$33,6,0)),4)</f>
        <v>0</v>
      </c>
      <c r="J87" s="20">
        <f>ROUND(IF(OR($A87&lt;VLOOKUP(J$2,行为概览!$D$3:$U$33,3,0),$A87&gt;VLOOKUP(J$2,行为概览!$D$3:$U$33,4,0)),0,VLOOKUP(J$2,行为概览!$D$3:$U$33,6,0)),4)</f>
        <v>0.5</v>
      </c>
      <c r="K87" s="20">
        <f>ROUND(IF(OR($A87&lt;VLOOKUP(K$2,行为概览!$D$3:$U$33,3,0),$A87&gt;VLOOKUP(K$2,行为概览!$D$3:$U$33,4,0)),0,VLOOKUP(K$2,行为概览!$D$3:$U$33,6,0)),4)</f>
        <v>0.16669999999999999</v>
      </c>
      <c r="L87" s="20">
        <f>ROUND(IF(OR($A87&lt;VLOOKUP(L$2,行为概览!$D$3:$U$33,3,0),$A87&gt;VLOOKUP(L$2,行为概览!$D$3:$U$33,4,0)),0,VLOOKUP(L$2,行为概览!$D$3:$U$33,6,0)),4)</f>
        <v>0.5</v>
      </c>
      <c r="M87" s="20">
        <f>ROUND(IF(OR($A87&lt;VLOOKUP(M$2,行为概览!$D$3:$U$33,3,0),$A87&gt;VLOOKUP(M$2,行为概览!$D$3:$U$33,4,0)),0,VLOOKUP(M$2,行为概览!$D$3:$U$33,6,0)),4)</f>
        <v>12</v>
      </c>
      <c r="N87" s="20">
        <f>ROUND(IF(OR($A87&lt;VLOOKUP(N$2,行为概览!$D$3:$U$33,3,0),$A87&gt;VLOOKUP(N$2,行为概览!$D$3:$U$33,4,0)),0,VLOOKUP(N$2,行为概览!$D$3:$U$33,6,0)),4)</f>
        <v>8.3299999999999999E-2</v>
      </c>
      <c r="O87" s="20">
        <f>ROUND(IF(OR($A87&lt;VLOOKUP(O$2,行为概览!$D$3:$U$33,3,0),$A87&gt;VLOOKUP(O$2,行为概览!$D$3:$U$33,4,0)),0,VLOOKUP(O$2,行为概览!$D$3:$U$33,6,0)),4)</f>
        <v>8.3299999999999999E-2</v>
      </c>
      <c r="P87" s="20">
        <f>ROUND(IF(OR($A87&lt;VLOOKUP(P$2,行为概览!$D$3:$U$33,3,0),$A87&gt;VLOOKUP(P$2,行为概览!$D$3:$U$33,4,0)),0,VLOOKUP(P$2,行为概览!$D$3:$U$33,6,0)),4)</f>
        <v>2.6</v>
      </c>
      <c r="Q87" s="20">
        <f>ROUND(IF(OR($A87&lt;VLOOKUP(Q$2,行为概览!$D$3:$U$33,3,0),$A87&gt;VLOOKUP(Q$2,行为概览!$D$3:$U$33,4,0)),0,VLOOKUP(Q$2,行为概览!$D$3:$U$33,6,0)),4)</f>
        <v>1</v>
      </c>
      <c r="R87" s="20">
        <f>ROUND(IF(OR($A87&lt;VLOOKUP(R$2,行为概览!$D$3:$U$33,3,0),$A87&gt;VLOOKUP(R$2,行为概览!$D$3:$U$33,4,0)),0,VLOOKUP(R$2,行为概览!$D$3:$U$33,6,0)),4)</f>
        <v>0.33329999999999999</v>
      </c>
      <c r="S87" s="20">
        <f>ROUND(IF(OR($A87&lt;VLOOKUP(S$2,行为概览!$D$3:$U$33,3,0),$A87&gt;VLOOKUP(S$2,行为概览!$D$3:$U$33,4,0)),0,VLOOKUP(S$2,行为概览!$D$3:$U$33,6,0)),4)</f>
        <v>0</v>
      </c>
      <c r="T87" s="20">
        <f>ROUND(IF(OR($A87&lt;VLOOKUP(T$2,行为概览!$D$3:$U$33,3,0),$A87&gt;VLOOKUP(T$2,行为概览!$D$3:$U$33,4,0)),0,VLOOKUP(T$2,行为概览!$D$3:$U$33,6,0)),4)</f>
        <v>0.33329999999999999</v>
      </c>
      <c r="U87" s="20">
        <f>ROUND(IF(OR($A87&lt;VLOOKUP(U$2,行为概览!$D$3:$U$33,3,0),$A87&gt;VLOOKUP(U$2,行为概览!$D$3:$U$33,4,0)),0,VLOOKUP(U$2,行为概览!$D$3:$U$33,6,0)),4)</f>
        <v>0.16669999999999999</v>
      </c>
      <c r="V87" s="20">
        <f>ROUND(IF(OR($A87&lt;VLOOKUP(V$2,行为概览!$D$3:$U$33,3,0),$A87&gt;VLOOKUP(V$2,行为概览!$D$3:$U$33,4,0)),0,VLOOKUP(V$2,行为概览!$D$3:$U$33,6,0)),4)</f>
        <v>0.16669999999999999</v>
      </c>
      <c r="W87" s="20">
        <f>ROUND(IF(OR($A87&lt;VLOOKUP(W$2,行为概览!$D$3:$U$33,3,0),$A87&gt;VLOOKUP(W$2,行为概览!$D$3:$U$33,4,0)),0,VLOOKUP(W$2,行为概览!$D$3:$U$33,6,0)),4)</f>
        <v>0.16669999999999999</v>
      </c>
      <c r="X87" s="20">
        <f>ROUND(IF(OR($A87&lt;VLOOKUP(X$2,行为概览!$D$3:$U$33,3,0),$A87&gt;VLOOKUP(X$2,行为概览!$D$3:$U$33,4,0)),0,VLOOKUP(X$2,行为概览!$D$3:$U$33,6,0)),4)</f>
        <v>0.25</v>
      </c>
      <c r="Y87" s="20">
        <f>ROUND(IF(OR($A87&lt;VLOOKUP(Y$2,行为概览!$D$3:$U$33,3,0),$A87&gt;VLOOKUP(Y$2,行为概览!$D$3:$U$33,4,0)),0,VLOOKUP(Y$2,行为概览!$D$3:$U$33,6,0)),4)</f>
        <v>0.58330000000000004</v>
      </c>
      <c r="Z87" s="20">
        <f>ROUND(IF(OR($A87&lt;VLOOKUP(Z$2,行为概览!$D$3:$U$33,3,0),$A87&gt;VLOOKUP(Z$2,行为概览!$D$3:$U$33,4,0)),0,VLOOKUP(Z$2,行为概览!$D$3:$U$33,6,0)),4)</f>
        <v>0.16669999999999999</v>
      </c>
      <c r="AA87" s="20">
        <f>ROUND(IF(OR($A87&lt;VLOOKUP(AA$2,行为概览!$D$3:$U$33,3,0),$A87&gt;VLOOKUP(AA$2,行为概览!$D$3:$U$33,4,0)),0,VLOOKUP(AA$2,行为概览!$D$3:$U$33,6,0)),4)</f>
        <v>0</v>
      </c>
      <c r="AB87" s="20">
        <f>ROUND(IF(OR($A87&lt;VLOOKUP(AB$2,行为概览!$D$3:$U$33,3,0),$A87&gt;VLOOKUP(AB$2,行为概览!$D$3:$U$33,4,0)),0,VLOOKUP(AB$2,行为概览!$D$3:$U$33,6,0)),4)</f>
        <v>0</v>
      </c>
      <c r="AC87" s="20">
        <f>ROUND(IF(OR($A87&lt;VLOOKUP(AC$2,行为概览!$D$3:$U$33,3,0),$A87&gt;VLOOKUP(AC$2,行为概览!$D$3:$U$33,4,0)),0,VLOOKUP(AC$2,行为概览!$D$3:$U$33,6,0)),4)</f>
        <v>0</v>
      </c>
      <c r="AD87" s="20">
        <f>ROUND(IF(OR($A87&lt;VLOOKUP(AD$2,行为概览!$D$3:$U$33,3,0),$A87&gt;VLOOKUP(AD$2,行为概览!$D$3:$U$33,4,0)),0,VLOOKUP(AD$2,行为概览!$D$3:$U$33,6,0)),4)</f>
        <v>0</v>
      </c>
      <c r="AE87" s="20">
        <f>ROUND(IF(OR($A87&lt;VLOOKUP(AE$2,行为概览!$D$3:$U$33,3,0),$A87&gt;VLOOKUP(AE$2,行为概览!$D$3:$U$33,4,0)),0,VLOOKUP(AE$2,行为概览!$D$3:$U$33,6,0)),4)</f>
        <v>8.3299999999999999E-2</v>
      </c>
      <c r="AF87" s="20">
        <f>ROUND(IF(OR($A87&lt;VLOOKUP(AF$2,行为概览!$D$3:$U$33,3,0),$A87&gt;VLOOKUP(AF$2,行为概览!$D$3:$U$33,4,0)),0,VLOOKUP(AF$2,行为概览!$D$3:$U$33,6,0)),4)</f>
        <v>0</v>
      </c>
    </row>
    <row r="88" spans="1:32">
      <c r="A88" s="19">
        <v>86</v>
      </c>
      <c r="B88" s="20">
        <f>ROUND(IF(OR($A88&lt;VLOOKUP(B$2,行为概览!$D$3:$U$33,3,0),$A88&gt;VLOOKUP(B$2,行为概览!$D$3:$U$33,4,0)),0,VLOOKUP(B$2,行为概览!$D$3:$U$33,6,0)),4)</f>
        <v>0.33329999999999999</v>
      </c>
      <c r="C88" s="20">
        <f>ROUND(IF(OR($A88&lt;VLOOKUP(C$2,行为概览!$D$3:$U$33,3,0),$A88&gt;VLOOKUP(C$2,行为概览!$D$3:$U$33,4,0)),0,VLOOKUP(C$2,行为概览!$D$3:$U$33,6,0)),4)</f>
        <v>2</v>
      </c>
      <c r="D88" s="20">
        <f>ROUND(IF(OR($A88&lt;VLOOKUP(D$2,行为概览!$D$3:$U$33,3,0),$A88&gt;VLOOKUP(D$2,行为概览!$D$3:$U$33,4,0)),0,VLOOKUP(D$2,行为概览!$D$3:$U$33,6,0)),4)</f>
        <v>8.3299999999999999E-2</v>
      </c>
      <c r="E88" s="20">
        <f>ROUND(IF(OR($A88&lt;VLOOKUP(E$2,行为概览!$D$3:$U$33,3,0),$A88&gt;VLOOKUP(E$2,行为概览!$D$3:$U$33,4,0)),0,VLOOKUP(E$2,行为概览!$D$3:$U$33,6,0)),4)</f>
        <v>1</v>
      </c>
      <c r="F88" s="20">
        <f>ROUND(IF(OR($A88&lt;VLOOKUP(F$2,行为概览!$D$3:$U$33,3,0),$A88&gt;VLOOKUP(F$2,行为概览!$D$3:$U$33,4,0)),0,VLOOKUP(F$2,行为概览!$D$3:$U$33,6,0)),4)</f>
        <v>0.33329999999999999</v>
      </c>
      <c r="G88" s="20">
        <f>ROUND(IF(OR($A88&lt;VLOOKUP(G$2,行为概览!$D$3:$U$33,3,0),$A88&gt;VLOOKUP(G$2,行为概览!$D$3:$U$33,4,0)),0,VLOOKUP(G$2,行为概览!$D$3:$U$33,6,0)),4)</f>
        <v>0</v>
      </c>
      <c r="H88" s="20">
        <f>ROUND(IF(OR($A88&lt;VLOOKUP(H$2,行为概览!$D$3:$U$33,3,0),$A88&gt;VLOOKUP(H$2,行为概览!$D$3:$U$33,4,0)),0,VLOOKUP(H$2,行为概览!$D$3:$U$33,6,0)),4)</f>
        <v>0</v>
      </c>
      <c r="I88" s="20">
        <f>ROUND(IF(OR($A88&lt;VLOOKUP(I$2,行为概览!$D$3:$U$33,3,0),$A88&gt;VLOOKUP(I$2,行为概览!$D$3:$U$33,4,0)),0,VLOOKUP(I$2,行为概览!$D$3:$U$33,6,0)),4)</f>
        <v>0</v>
      </c>
      <c r="J88" s="20">
        <f>ROUND(IF(OR($A88&lt;VLOOKUP(J$2,行为概览!$D$3:$U$33,3,0),$A88&gt;VLOOKUP(J$2,行为概览!$D$3:$U$33,4,0)),0,VLOOKUP(J$2,行为概览!$D$3:$U$33,6,0)),4)</f>
        <v>0.5</v>
      </c>
      <c r="K88" s="20">
        <f>ROUND(IF(OR($A88&lt;VLOOKUP(K$2,行为概览!$D$3:$U$33,3,0),$A88&gt;VLOOKUP(K$2,行为概览!$D$3:$U$33,4,0)),0,VLOOKUP(K$2,行为概览!$D$3:$U$33,6,0)),4)</f>
        <v>0.16669999999999999</v>
      </c>
      <c r="L88" s="20">
        <f>ROUND(IF(OR($A88&lt;VLOOKUP(L$2,行为概览!$D$3:$U$33,3,0),$A88&gt;VLOOKUP(L$2,行为概览!$D$3:$U$33,4,0)),0,VLOOKUP(L$2,行为概览!$D$3:$U$33,6,0)),4)</f>
        <v>0.5</v>
      </c>
      <c r="M88" s="20">
        <f>ROUND(IF(OR($A88&lt;VLOOKUP(M$2,行为概览!$D$3:$U$33,3,0),$A88&gt;VLOOKUP(M$2,行为概览!$D$3:$U$33,4,0)),0,VLOOKUP(M$2,行为概览!$D$3:$U$33,6,0)),4)</f>
        <v>12</v>
      </c>
      <c r="N88" s="20">
        <f>ROUND(IF(OR($A88&lt;VLOOKUP(N$2,行为概览!$D$3:$U$33,3,0),$A88&gt;VLOOKUP(N$2,行为概览!$D$3:$U$33,4,0)),0,VLOOKUP(N$2,行为概览!$D$3:$U$33,6,0)),4)</f>
        <v>8.3299999999999999E-2</v>
      </c>
      <c r="O88" s="20">
        <f>ROUND(IF(OR($A88&lt;VLOOKUP(O$2,行为概览!$D$3:$U$33,3,0),$A88&gt;VLOOKUP(O$2,行为概览!$D$3:$U$33,4,0)),0,VLOOKUP(O$2,行为概览!$D$3:$U$33,6,0)),4)</f>
        <v>8.3299999999999999E-2</v>
      </c>
      <c r="P88" s="20">
        <f>ROUND(IF(OR($A88&lt;VLOOKUP(P$2,行为概览!$D$3:$U$33,3,0),$A88&gt;VLOOKUP(P$2,行为概览!$D$3:$U$33,4,0)),0,VLOOKUP(P$2,行为概览!$D$3:$U$33,6,0)),4)</f>
        <v>2.6</v>
      </c>
      <c r="Q88" s="20">
        <f>ROUND(IF(OR($A88&lt;VLOOKUP(Q$2,行为概览!$D$3:$U$33,3,0),$A88&gt;VLOOKUP(Q$2,行为概览!$D$3:$U$33,4,0)),0,VLOOKUP(Q$2,行为概览!$D$3:$U$33,6,0)),4)</f>
        <v>1</v>
      </c>
      <c r="R88" s="20">
        <f>ROUND(IF(OR($A88&lt;VLOOKUP(R$2,行为概览!$D$3:$U$33,3,0),$A88&gt;VLOOKUP(R$2,行为概览!$D$3:$U$33,4,0)),0,VLOOKUP(R$2,行为概览!$D$3:$U$33,6,0)),4)</f>
        <v>0.33329999999999999</v>
      </c>
      <c r="S88" s="20">
        <f>ROUND(IF(OR($A88&lt;VLOOKUP(S$2,行为概览!$D$3:$U$33,3,0),$A88&gt;VLOOKUP(S$2,行为概览!$D$3:$U$33,4,0)),0,VLOOKUP(S$2,行为概览!$D$3:$U$33,6,0)),4)</f>
        <v>0</v>
      </c>
      <c r="T88" s="20">
        <f>ROUND(IF(OR($A88&lt;VLOOKUP(T$2,行为概览!$D$3:$U$33,3,0),$A88&gt;VLOOKUP(T$2,行为概览!$D$3:$U$33,4,0)),0,VLOOKUP(T$2,行为概览!$D$3:$U$33,6,0)),4)</f>
        <v>0.33329999999999999</v>
      </c>
      <c r="U88" s="20">
        <f>ROUND(IF(OR($A88&lt;VLOOKUP(U$2,行为概览!$D$3:$U$33,3,0),$A88&gt;VLOOKUP(U$2,行为概览!$D$3:$U$33,4,0)),0,VLOOKUP(U$2,行为概览!$D$3:$U$33,6,0)),4)</f>
        <v>0.16669999999999999</v>
      </c>
      <c r="V88" s="20">
        <f>ROUND(IF(OR($A88&lt;VLOOKUP(V$2,行为概览!$D$3:$U$33,3,0),$A88&gt;VLOOKUP(V$2,行为概览!$D$3:$U$33,4,0)),0,VLOOKUP(V$2,行为概览!$D$3:$U$33,6,0)),4)</f>
        <v>0.16669999999999999</v>
      </c>
      <c r="W88" s="20">
        <f>ROUND(IF(OR($A88&lt;VLOOKUP(W$2,行为概览!$D$3:$U$33,3,0),$A88&gt;VLOOKUP(W$2,行为概览!$D$3:$U$33,4,0)),0,VLOOKUP(W$2,行为概览!$D$3:$U$33,6,0)),4)</f>
        <v>0.16669999999999999</v>
      </c>
      <c r="X88" s="20">
        <f>ROUND(IF(OR($A88&lt;VLOOKUP(X$2,行为概览!$D$3:$U$33,3,0),$A88&gt;VLOOKUP(X$2,行为概览!$D$3:$U$33,4,0)),0,VLOOKUP(X$2,行为概览!$D$3:$U$33,6,0)),4)</f>
        <v>0.25</v>
      </c>
      <c r="Y88" s="20">
        <f>ROUND(IF(OR($A88&lt;VLOOKUP(Y$2,行为概览!$D$3:$U$33,3,0),$A88&gt;VLOOKUP(Y$2,行为概览!$D$3:$U$33,4,0)),0,VLOOKUP(Y$2,行为概览!$D$3:$U$33,6,0)),4)</f>
        <v>0.58330000000000004</v>
      </c>
      <c r="Z88" s="20">
        <f>ROUND(IF(OR($A88&lt;VLOOKUP(Z$2,行为概览!$D$3:$U$33,3,0),$A88&gt;VLOOKUP(Z$2,行为概览!$D$3:$U$33,4,0)),0,VLOOKUP(Z$2,行为概览!$D$3:$U$33,6,0)),4)</f>
        <v>0.16669999999999999</v>
      </c>
      <c r="AA88" s="20">
        <f>ROUND(IF(OR($A88&lt;VLOOKUP(AA$2,行为概览!$D$3:$U$33,3,0),$A88&gt;VLOOKUP(AA$2,行为概览!$D$3:$U$33,4,0)),0,VLOOKUP(AA$2,行为概览!$D$3:$U$33,6,0)),4)</f>
        <v>0</v>
      </c>
      <c r="AB88" s="20">
        <f>ROUND(IF(OR($A88&lt;VLOOKUP(AB$2,行为概览!$D$3:$U$33,3,0),$A88&gt;VLOOKUP(AB$2,行为概览!$D$3:$U$33,4,0)),0,VLOOKUP(AB$2,行为概览!$D$3:$U$33,6,0)),4)</f>
        <v>0</v>
      </c>
      <c r="AC88" s="20">
        <f>ROUND(IF(OR($A88&lt;VLOOKUP(AC$2,行为概览!$D$3:$U$33,3,0),$A88&gt;VLOOKUP(AC$2,行为概览!$D$3:$U$33,4,0)),0,VLOOKUP(AC$2,行为概览!$D$3:$U$33,6,0)),4)</f>
        <v>0</v>
      </c>
      <c r="AD88" s="20">
        <f>ROUND(IF(OR($A88&lt;VLOOKUP(AD$2,行为概览!$D$3:$U$33,3,0),$A88&gt;VLOOKUP(AD$2,行为概览!$D$3:$U$33,4,0)),0,VLOOKUP(AD$2,行为概览!$D$3:$U$33,6,0)),4)</f>
        <v>0</v>
      </c>
      <c r="AE88" s="20">
        <f>ROUND(IF(OR($A88&lt;VLOOKUP(AE$2,行为概览!$D$3:$U$33,3,0),$A88&gt;VLOOKUP(AE$2,行为概览!$D$3:$U$33,4,0)),0,VLOOKUP(AE$2,行为概览!$D$3:$U$33,6,0)),4)</f>
        <v>8.3299999999999999E-2</v>
      </c>
      <c r="AF88" s="20">
        <f>ROUND(IF(OR($A88&lt;VLOOKUP(AF$2,行为概览!$D$3:$U$33,3,0),$A88&gt;VLOOKUP(AF$2,行为概览!$D$3:$U$33,4,0)),0,VLOOKUP(AF$2,行为概览!$D$3:$U$33,6,0)),4)</f>
        <v>0</v>
      </c>
    </row>
    <row r="89" spans="1:32">
      <c r="A89" s="19">
        <v>87</v>
      </c>
      <c r="B89" s="20">
        <f>ROUND(IF(OR($A89&lt;VLOOKUP(B$2,行为概览!$D$3:$U$33,3,0),$A89&gt;VLOOKUP(B$2,行为概览!$D$3:$U$33,4,0)),0,VLOOKUP(B$2,行为概览!$D$3:$U$33,6,0)),4)</f>
        <v>0.33329999999999999</v>
      </c>
      <c r="C89" s="20">
        <f>ROUND(IF(OR($A89&lt;VLOOKUP(C$2,行为概览!$D$3:$U$33,3,0),$A89&gt;VLOOKUP(C$2,行为概览!$D$3:$U$33,4,0)),0,VLOOKUP(C$2,行为概览!$D$3:$U$33,6,0)),4)</f>
        <v>2</v>
      </c>
      <c r="D89" s="20">
        <f>ROUND(IF(OR($A89&lt;VLOOKUP(D$2,行为概览!$D$3:$U$33,3,0),$A89&gt;VLOOKUP(D$2,行为概览!$D$3:$U$33,4,0)),0,VLOOKUP(D$2,行为概览!$D$3:$U$33,6,0)),4)</f>
        <v>8.3299999999999999E-2</v>
      </c>
      <c r="E89" s="20">
        <f>ROUND(IF(OR($A89&lt;VLOOKUP(E$2,行为概览!$D$3:$U$33,3,0),$A89&gt;VLOOKUP(E$2,行为概览!$D$3:$U$33,4,0)),0,VLOOKUP(E$2,行为概览!$D$3:$U$33,6,0)),4)</f>
        <v>1</v>
      </c>
      <c r="F89" s="20">
        <f>ROUND(IF(OR($A89&lt;VLOOKUP(F$2,行为概览!$D$3:$U$33,3,0),$A89&gt;VLOOKUP(F$2,行为概览!$D$3:$U$33,4,0)),0,VLOOKUP(F$2,行为概览!$D$3:$U$33,6,0)),4)</f>
        <v>0.33329999999999999</v>
      </c>
      <c r="G89" s="20">
        <f>ROUND(IF(OR($A89&lt;VLOOKUP(G$2,行为概览!$D$3:$U$33,3,0),$A89&gt;VLOOKUP(G$2,行为概览!$D$3:$U$33,4,0)),0,VLOOKUP(G$2,行为概览!$D$3:$U$33,6,0)),4)</f>
        <v>0</v>
      </c>
      <c r="H89" s="20">
        <f>ROUND(IF(OR($A89&lt;VLOOKUP(H$2,行为概览!$D$3:$U$33,3,0),$A89&gt;VLOOKUP(H$2,行为概览!$D$3:$U$33,4,0)),0,VLOOKUP(H$2,行为概览!$D$3:$U$33,6,0)),4)</f>
        <v>0</v>
      </c>
      <c r="I89" s="20">
        <f>ROUND(IF(OR($A89&lt;VLOOKUP(I$2,行为概览!$D$3:$U$33,3,0),$A89&gt;VLOOKUP(I$2,行为概览!$D$3:$U$33,4,0)),0,VLOOKUP(I$2,行为概览!$D$3:$U$33,6,0)),4)</f>
        <v>0</v>
      </c>
      <c r="J89" s="20">
        <f>ROUND(IF(OR($A89&lt;VLOOKUP(J$2,行为概览!$D$3:$U$33,3,0),$A89&gt;VLOOKUP(J$2,行为概览!$D$3:$U$33,4,0)),0,VLOOKUP(J$2,行为概览!$D$3:$U$33,6,0)),4)</f>
        <v>0.5</v>
      </c>
      <c r="K89" s="20">
        <f>ROUND(IF(OR($A89&lt;VLOOKUP(K$2,行为概览!$D$3:$U$33,3,0),$A89&gt;VLOOKUP(K$2,行为概览!$D$3:$U$33,4,0)),0,VLOOKUP(K$2,行为概览!$D$3:$U$33,6,0)),4)</f>
        <v>0.16669999999999999</v>
      </c>
      <c r="L89" s="20">
        <f>ROUND(IF(OR($A89&lt;VLOOKUP(L$2,行为概览!$D$3:$U$33,3,0),$A89&gt;VLOOKUP(L$2,行为概览!$D$3:$U$33,4,0)),0,VLOOKUP(L$2,行为概览!$D$3:$U$33,6,0)),4)</f>
        <v>0.5</v>
      </c>
      <c r="M89" s="20">
        <f>ROUND(IF(OR($A89&lt;VLOOKUP(M$2,行为概览!$D$3:$U$33,3,0),$A89&gt;VLOOKUP(M$2,行为概览!$D$3:$U$33,4,0)),0,VLOOKUP(M$2,行为概览!$D$3:$U$33,6,0)),4)</f>
        <v>12</v>
      </c>
      <c r="N89" s="20">
        <f>ROUND(IF(OR($A89&lt;VLOOKUP(N$2,行为概览!$D$3:$U$33,3,0),$A89&gt;VLOOKUP(N$2,行为概览!$D$3:$U$33,4,0)),0,VLOOKUP(N$2,行为概览!$D$3:$U$33,6,0)),4)</f>
        <v>8.3299999999999999E-2</v>
      </c>
      <c r="O89" s="20">
        <f>ROUND(IF(OR($A89&lt;VLOOKUP(O$2,行为概览!$D$3:$U$33,3,0),$A89&gt;VLOOKUP(O$2,行为概览!$D$3:$U$33,4,0)),0,VLOOKUP(O$2,行为概览!$D$3:$U$33,6,0)),4)</f>
        <v>8.3299999999999999E-2</v>
      </c>
      <c r="P89" s="20">
        <f>ROUND(IF(OR($A89&lt;VLOOKUP(P$2,行为概览!$D$3:$U$33,3,0),$A89&gt;VLOOKUP(P$2,行为概览!$D$3:$U$33,4,0)),0,VLOOKUP(P$2,行为概览!$D$3:$U$33,6,0)),4)</f>
        <v>2.6</v>
      </c>
      <c r="Q89" s="20">
        <f>ROUND(IF(OR($A89&lt;VLOOKUP(Q$2,行为概览!$D$3:$U$33,3,0),$A89&gt;VLOOKUP(Q$2,行为概览!$D$3:$U$33,4,0)),0,VLOOKUP(Q$2,行为概览!$D$3:$U$33,6,0)),4)</f>
        <v>1</v>
      </c>
      <c r="R89" s="20">
        <f>ROUND(IF(OR($A89&lt;VLOOKUP(R$2,行为概览!$D$3:$U$33,3,0),$A89&gt;VLOOKUP(R$2,行为概览!$D$3:$U$33,4,0)),0,VLOOKUP(R$2,行为概览!$D$3:$U$33,6,0)),4)</f>
        <v>0.33329999999999999</v>
      </c>
      <c r="S89" s="20">
        <f>ROUND(IF(OR($A89&lt;VLOOKUP(S$2,行为概览!$D$3:$U$33,3,0),$A89&gt;VLOOKUP(S$2,行为概览!$D$3:$U$33,4,0)),0,VLOOKUP(S$2,行为概览!$D$3:$U$33,6,0)),4)</f>
        <v>0</v>
      </c>
      <c r="T89" s="20">
        <f>ROUND(IF(OR($A89&lt;VLOOKUP(T$2,行为概览!$D$3:$U$33,3,0),$A89&gt;VLOOKUP(T$2,行为概览!$D$3:$U$33,4,0)),0,VLOOKUP(T$2,行为概览!$D$3:$U$33,6,0)),4)</f>
        <v>0.33329999999999999</v>
      </c>
      <c r="U89" s="20">
        <f>ROUND(IF(OR($A89&lt;VLOOKUP(U$2,行为概览!$D$3:$U$33,3,0),$A89&gt;VLOOKUP(U$2,行为概览!$D$3:$U$33,4,0)),0,VLOOKUP(U$2,行为概览!$D$3:$U$33,6,0)),4)</f>
        <v>0.16669999999999999</v>
      </c>
      <c r="V89" s="20">
        <f>ROUND(IF(OR($A89&lt;VLOOKUP(V$2,行为概览!$D$3:$U$33,3,0),$A89&gt;VLOOKUP(V$2,行为概览!$D$3:$U$33,4,0)),0,VLOOKUP(V$2,行为概览!$D$3:$U$33,6,0)),4)</f>
        <v>0.16669999999999999</v>
      </c>
      <c r="W89" s="20">
        <f>ROUND(IF(OR($A89&lt;VLOOKUP(W$2,行为概览!$D$3:$U$33,3,0),$A89&gt;VLOOKUP(W$2,行为概览!$D$3:$U$33,4,0)),0,VLOOKUP(W$2,行为概览!$D$3:$U$33,6,0)),4)</f>
        <v>0.16669999999999999</v>
      </c>
      <c r="X89" s="20">
        <f>ROUND(IF(OR($A89&lt;VLOOKUP(X$2,行为概览!$D$3:$U$33,3,0),$A89&gt;VLOOKUP(X$2,行为概览!$D$3:$U$33,4,0)),0,VLOOKUP(X$2,行为概览!$D$3:$U$33,6,0)),4)</f>
        <v>0.25</v>
      </c>
      <c r="Y89" s="20">
        <f>ROUND(IF(OR($A89&lt;VLOOKUP(Y$2,行为概览!$D$3:$U$33,3,0),$A89&gt;VLOOKUP(Y$2,行为概览!$D$3:$U$33,4,0)),0,VLOOKUP(Y$2,行为概览!$D$3:$U$33,6,0)),4)</f>
        <v>0.58330000000000004</v>
      </c>
      <c r="Z89" s="20">
        <f>ROUND(IF(OR($A89&lt;VLOOKUP(Z$2,行为概览!$D$3:$U$33,3,0),$A89&gt;VLOOKUP(Z$2,行为概览!$D$3:$U$33,4,0)),0,VLOOKUP(Z$2,行为概览!$D$3:$U$33,6,0)),4)</f>
        <v>0.16669999999999999</v>
      </c>
      <c r="AA89" s="20">
        <f>ROUND(IF(OR($A89&lt;VLOOKUP(AA$2,行为概览!$D$3:$U$33,3,0),$A89&gt;VLOOKUP(AA$2,行为概览!$D$3:$U$33,4,0)),0,VLOOKUP(AA$2,行为概览!$D$3:$U$33,6,0)),4)</f>
        <v>0</v>
      </c>
      <c r="AB89" s="20">
        <f>ROUND(IF(OR($A89&lt;VLOOKUP(AB$2,行为概览!$D$3:$U$33,3,0),$A89&gt;VLOOKUP(AB$2,行为概览!$D$3:$U$33,4,0)),0,VLOOKUP(AB$2,行为概览!$D$3:$U$33,6,0)),4)</f>
        <v>0</v>
      </c>
      <c r="AC89" s="20">
        <f>ROUND(IF(OR($A89&lt;VLOOKUP(AC$2,行为概览!$D$3:$U$33,3,0),$A89&gt;VLOOKUP(AC$2,行为概览!$D$3:$U$33,4,0)),0,VLOOKUP(AC$2,行为概览!$D$3:$U$33,6,0)),4)</f>
        <v>0</v>
      </c>
      <c r="AD89" s="20">
        <f>ROUND(IF(OR($A89&lt;VLOOKUP(AD$2,行为概览!$D$3:$U$33,3,0),$A89&gt;VLOOKUP(AD$2,行为概览!$D$3:$U$33,4,0)),0,VLOOKUP(AD$2,行为概览!$D$3:$U$33,6,0)),4)</f>
        <v>0</v>
      </c>
      <c r="AE89" s="20">
        <f>ROUND(IF(OR($A89&lt;VLOOKUP(AE$2,行为概览!$D$3:$U$33,3,0),$A89&gt;VLOOKUP(AE$2,行为概览!$D$3:$U$33,4,0)),0,VLOOKUP(AE$2,行为概览!$D$3:$U$33,6,0)),4)</f>
        <v>8.3299999999999999E-2</v>
      </c>
      <c r="AF89" s="20">
        <f>ROUND(IF(OR($A89&lt;VLOOKUP(AF$2,行为概览!$D$3:$U$33,3,0),$A89&gt;VLOOKUP(AF$2,行为概览!$D$3:$U$33,4,0)),0,VLOOKUP(AF$2,行为概览!$D$3:$U$33,6,0)),4)</f>
        <v>0</v>
      </c>
    </row>
    <row r="90" spans="1:32">
      <c r="A90" s="19">
        <v>88</v>
      </c>
      <c r="B90" s="20">
        <f>ROUND(IF(OR($A90&lt;VLOOKUP(B$2,行为概览!$D$3:$U$33,3,0),$A90&gt;VLOOKUP(B$2,行为概览!$D$3:$U$33,4,0)),0,VLOOKUP(B$2,行为概览!$D$3:$U$33,6,0)),4)</f>
        <v>0.33329999999999999</v>
      </c>
      <c r="C90" s="20">
        <f>ROUND(IF(OR($A90&lt;VLOOKUP(C$2,行为概览!$D$3:$U$33,3,0),$A90&gt;VLOOKUP(C$2,行为概览!$D$3:$U$33,4,0)),0,VLOOKUP(C$2,行为概览!$D$3:$U$33,6,0)),4)</f>
        <v>2</v>
      </c>
      <c r="D90" s="20">
        <f>ROUND(IF(OR($A90&lt;VLOOKUP(D$2,行为概览!$D$3:$U$33,3,0),$A90&gt;VLOOKUP(D$2,行为概览!$D$3:$U$33,4,0)),0,VLOOKUP(D$2,行为概览!$D$3:$U$33,6,0)),4)</f>
        <v>8.3299999999999999E-2</v>
      </c>
      <c r="E90" s="20">
        <f>ROUND(IF(OR($A90&lt;VLOOKUP(E$2,行为概览!$D$3:$U$33,3,0),$A90&gt;VLOOKUP(E$2,行为概览!$D$3:$U$33,4,0)),0,VLOOKUP(E$2,行为概览!$D$3:$U$33,6,0)),4)</f>
        <v>1</v>
      </c>
      <c r="F90" s="20">
        <f>ROUND(IF(OR($A90&lt;VLOOKUP(F$2,行为概览!$D$3:$U$33,3,0),$A90&gt;VLOOKUP(F$2,行为概览!$D$3:$U$33,4,0)),0,VLOOKUP(F$2,行为概览!$D$3:$U$33,6,0)),4)</f>
        <v>0.33329999999999999</v>
      </c>
      <c r="G90" s="20">
        <f>ROUND(IF(OR($A90&lt;VLOOKUP(G$2,行为概览!$D$3:$U$33,3,0),$A90&gt;VLOOKUP(G$2,行为概览!$D$3:$U$33,4,0)),0,VLOOKUP(G$2,行为概览!$D$3:$U$33,6,0)),4)</f>
        <v>0</v>
      </c>
      <c r="H90" s="20">
        <f>ROUND(IF(OR($A90&lt;VLOOKUP(H$2,行为概览!$D$3:$U$33,3,0),$A90&gt;VLOOKUP(H$2,行为概览!$D$3:$U$33,4,0)),0,VLOOKUP(H$2,行为概览!$D$3:$U$33,6,0)),4)</f>
        <v>0</v>
      </c>
      <c r="I90" s="20">
        <f>ROUND(IF(OR($A90&lt;VLOOKUP(I$2,行为概览!$D$3:$U$33,3,0),$A90&gt;VLOOKUP(I$2,行为概览!$D$3:$U$33,4,0)),0,VLOOKUP(I$2,行为概览!$D$3:$U$33,6,0)),4)</f>
        <v>0</v>
      </c>
      <c r="J90" s="20">
        <f>ROUND(IF(OR($A90&lt;VLOOKUP(J$2,行为概览!$D$3:$U$33,3,0),$A90&gt;VLOOKUP(J$2,行为概览!$D$3:$U$33,4,0)),0,VLOOKUP(J$2,行为概览!$D$3:$U$33,6,0)),4)</f>
        <v>0.5</v>
      </c>
      <c r="K90" s="20">
        <f>ROUND(IF(OR($A90&lt;VLOOKUP(K$2,行为概览!$D$3:$U$33,3,0),$A90&gt;VLOOKUP(K$2,行为概览!$D$3:$U$33,4,0)),0,VLOOKUP(K$2,行为概览!$D$3:$U$33,6,0)),4)</f>
        <v>0.16669999999999999</v>
      </c>
      <c r="L90" s="20">
        <f>ROUND(IF(OR($A90&lt;VLOOKUP(L$2,行为概览!$D$3:$U$33,3,0),$A90&gt;VLOOKUP(L$2,行为概览!$D$3:$U$33,4,0)),0,VLOOKUP(L$2,行为概览!$D$3:$U$33,6,0)),4)</f>
        <v>0.5</v>
      </c>
      <c r="M90" s="20">
        <f>ROUND(IF(OR($A90&lt;VLOOKUP(M$2,行为概览!$D$3:$U$33,3,0),$A90&gt;VLOOKUP(M$2,行为概览!$D$3:$U$33,4,0)),0,VLOOKUP(M$2,行为概览!$D$3:$U$33,6,0)),4)</f>
        <v>12</v>
      </c>
      <c r="N90" s="20">
        <f>ROUND(IF(OR($A90&lt;VLOOKUP(N$2,行为概览!$D$3:$U$33,3,0),$A90&gt;VLOOKUP(N$2,行为概览!$D$3:$U$33,4,0)),0,VLOOKUP(N$2,行为概览!$D$3:$U$33,6,0)),4)</f>
        <v>8.3299999999999999E-2</v>
      </c>
      <c r="O90" s="20">
        <f>ROUND(IF(OR($A90&lt;VLOOKUP(O$2,行为概览!$D$3:$U$33,3,0),$A90&gt;VLOOKUP(O$2,行为概览!$D$3:$U$33,4,0)),0,VLOOKUP(O$2,行为概览!$D$3:$U$33,6,0)),4)</f>
        <v>8.3299999999999999E-2</v>
      </c>
      <c r="P90" s="20">
        <f>ROUND(IF(OR($A90&lt;VLOOKUP(P$2,行为概览!$D$3:$U$33,3,0),$A90&gt;VLOOKUP(P$2,行为概览!$D$3:$U$33,4,0)),0,VLOOKUP(P$2,行为概览!$D$3:$U$33,6,0)),4)</f>
        <v>2.6</v>
      </c>
      <c r="Q90" s="20">
        <f>ROUND(IF(OR($A90&lt;VLOOKUP(Q$2,行为概览!$D$3:$U$33,3,0),$A90&gt;VLOOKUP(Q$2,行为概览!$D$3:$U$33,4,0)),0,VLOOKUP(Q$2,行为概览!$D$3:$U$33,6,0)),4)</f>
        <v>1</v>
      </c>
      <c r="R90" s="20">
        <f>ROUND(IF(OR($A90&lt;VLOOKUP(R$2,行为概览!$D$3:$U$33,3,0),$A90&gt;VLOOKUP(R$2,行为概览!$D$3:$U$33,4,0)),0,VLOOKUP(R$2,行为概览!$D$3:$U$33,6,0)),4)</f>
        <v>0.33329999999999999</v>
      </c>
      <c r="S90" s="20">
        <f>ROUND(IF(OR($A90&lt;VLOOKUP(S$2,行为概览!$D$3:$U$33,3,0),$A90&gt;VLOOKUP(S$2,行为概览!$D$3:$U$33,4,0)),0,VLOOKUP(S$2,行为概览!$D$3:$U$33,6,0)),4)</f>
        <v>0</v>
      </c>
      <c r="T90" s="20">
        <f>ROUND(IF(OR($A90&lt;VLOOKUP(T$2,行为概览!$D$3:$U$33,3,0),$A90&gt;VLOOKUP(T$2,行为概览!$D$3:$U$33,4,0)),0,VLOOKUP(T$2,行为概览!$D$3:$U$33,6,0)),4)</f>
        <v>0.33329999999999999</v>
      </c>
      <c r="U90" s="20">
        <f>ROUND(IF(OR($A90&lt;VLOOKUP(U$2,行为概览!$D$3:$U$33,3,0),$A90&gt;VLOOKUP(U$2,行为概览!$D$3:$U$33,4,0)),0,VLOOKUP(U$2,行为概览!$D$3:$U$33,6,0)),4)</f>
        <v>0.16669999999999999</v>
      </c>
      <c r="V90" s="20">
        <f>ROUND(IF(OR($A90&lt;VLOOKUP(V$2,行为概览!$D$3:$U$33,3,0),$A90&gt;VLOOKUP(V$2,行为概览!$D$3:$U$33,4,0)),0,VLOOKUP(V$2,行为概览!$D$3:$U$33,6,0)),4)</f>
        <v>0.16669999999999999</v>
      </c>
      <c r="W90" s="20">
        <f>ROUND(IF(OR($A90&lt;VLOOKUP(W$2,行为概览!$D$3:$U$33,3,0),$A90&gt;VLOOKUP(W$2,行为概览!$D$3:$U$33,4,0)),0,VLOOKUP(W$2,行为概览!$D$3:$U$33,6,0)),4)</f>
        <v>0.16669999999999999</v>
      </c>
      <c r="X90" s="20">
        <f>ROUND(IF(OR($A90&lt;VLOOKUP(X$2,行为概览!$D$3:$U$33,3,0),$A90&gt;VLOOKUP(X$2,行为概览!$D$3:$U$33,4,0)),0,VLOOKUP(X$2,行为概览!$D$3:$U$33,6,0)),4)</f>
        <v>0.25</v>
      </c>
      <c r="Y90" s="20">
        <f>ROUND(IF(OR($A90&lt;VLOOKUP(Y$2,行为概览!$D$3:$U$33,3,0),$A90&gt;VLOOKUP(Y$2,行为概览!$D$3:$U$33,4,0)),0,VLOOKUP(Y$2,行为概览!$D$3:$U$33,6,0)),4)</f>
        <v>0.58330000000000004</v>
      </c>
      <c r="Z90" s="20">
        <f>ROUND(IF(OR($A90&lt;VLOOKUP(Z$2,行为概览!$D$3:$U$33,3,0),$A90&gt;VLOOKUP(Z$2,行为概览!$D$3:$U$33,4,0)),0,VLOOKUP(Z$2,行为概览!$D$3:$U$33,6,0)),4)</f>
        <v>0.16669999999999999</v>
      </c>
      <c r="AA90" s="20">
        <f>ROUND(IF(OR($A90&lt;VLOOKUP(AA$2,行为概览!$D$3:$U$33,3,0),$A90&gt;VLOOKUP(AA$2,行为概览!$D$3:$U$33,4,0)),0,VLOOKUP(AA$2,行为概览!$D$3:$U$33,6,0)),4)</f>
        <v>0</v>
      </c>
      <c r="AB90" s="20">
        <f>ROUND(IF(OR($A90&lt;VLOOKUP(AB$2,行为概览!$D$3:$U$33,3,0),$A90&gt;VLOOKUP(AB$2,行为概览!$D$3:$U$33,4,0)),0,VLOOKUP(AB$2,行为概览!$D$3:$U$33,6,0)),4)</f>
        <v>0</v>
      </c>
      <c r="AC90" s="20">
        <f>ROUND(IF(OR($A90&lt;VLOOKUP(AC$2,行为概览!$D$3:$U$33,3,0),$A90&gt;VLOOKUP(AC$2,行为概览!$D$3:$U$33,4,0)),0,VLOOKUP(AC$2,行为概览!$D$3:$U$33,6,0)),4)</f>
        <v>0</v>
      </c>
      <c r="AD90" s="20">
        <f>ROUND(IF(OR($A90&lt;VLOOKUP(AD$2,行为概览!$D$3:$U$33,3,0),$A90&gt;VLOOKUP(AD$2,行为概览!$D$3:$U$33,4,0)),0,VLOOKUP(AD$2,行为概览!$D$3:$U$33,6,0)),4)</f>
        <v>0</v>
      </c>
      <c r="AE90" s="20">
        <f>ROUND(IF(OR($A90&lt;VLOOKUP(AE$2,行为概览!$D$3:$U$33,3,0),$A90&gt;VLOOKUP(AE$2,行为概览!$D$3:$U$33,4,0)),0,VLOOKUP(AE$2,行为概览!$D$3:$U$33,6,0)),4)</f>
        <v>8.3299999999999999E-2</v>
      </c>
      <c r="AF90" s="20">
        <f>ROUND(IF(OR($A90&lt;VLOOKUP(AF$2,行为概览!$D$3:$U$33,3,0),$A90&gt;VLOOKUP(AF$2,行为概览!$D$3:$U$33,4,0)),0,VLOOKUP(AF$2,行为概览!$D$3:$U$33,6,0)),4)</f>
        <v>0</v>
      </c>
    </row>
    <row r="91" spans="1:32">
      <c r="A91" s="19">
        <v>89</v>
      </c>
      <c r="B91" s="20">
        <f>ROUND(IF(OR($A91&lt;VLOOKUP(B$2,行为概览!$D$3:$U$33,3,0),$A91&gt;VLOOKUP(B$2,行为概览!$D$3:$U$33,4,0)),0,VLOOKUP(B$2,行为概览!$D$3:$U$33,6,0)),4)</f>
        <v>0.33329999999999999</v>
      </c>
      <c r="C91" s="20">
        <f>ROUND(IF(OR($A91&lt;VLOOKUP(C$2,行为概览!$D$3:$U$33,3,0),$A91&gt;VLOOKUP(C$2,行为概览!$D$3:$U$33,4,0)),0,VLOOKUP(C$2,行为概览!$D$3:$U$33,6,0)),4)</f>
        <v>2</v>
      </c>
      <c r="D91" s="20">
        <f>ROUND(IF(OR($A91&lt;VLOOKUP(D$2,行为概览!$D$3:$U$33,3,0),$A91&gt;VLOOKUP(D$2,行为概览!$D$3:$U$33,4,0)),0,VLOOKUP(D$2,行为概览!$D$3:$U$33,6,0)),4)</f>
        <v>8.3299999999999999E-2</v>
      </c>
      <c r="E91" s="20">
        <f>ROUND(IF(OR($A91&lt;VLOOKUP(E$2,行为概览!$D$3:$U$33,3,0),$A91&gt;VLOOKUP(E$2,行为概览!$D$3:$U$33,4,0)),0,VLOOKUP(E$2,行为概览!$D$3:$U$33,6,0)),4)</f>
        <v>1</v>
      </c>
      <c r="F91" s="20">
        <f>ROUND(IF(OR($A91&lt;VLOOKUP(F$2,行为概览!$D$3:$U$33,3,0),$A91&gt;VLOOKUP(F$2,行为概览!$D$3:$U$33,4,0)),0,VLOOKUP(F$2,行为概览!$D$3:$U$33,6,0)),4)</f>
        <v>0.33329999999999999</v>
      </c>
      <c r="G91" s="20">
        <f>ROUND(IF(OR($A91&lt;VLOOKUP(G$2,行为概览!$D$3:$U$33,3,0),$A91&gt;VLOOKUP(G$2,行为概览!$D$3:$U$33,4,0)),0,VLOOKUP(G$2,行为概览!$D$3:$U$33,6,0)),4)</f>
        <v>0</v>
      </c>
      <c r="H91" s="20">
        <f>ROUND(IF(OR($A91&lt;VLOOKUP(H$2,行为概览!$D$3:$U$33,3,0),$A91&gt;VLOOKUP(H$2,行为概览!$D$3:$U$33,4,0)),0,VLOOKUP(H$2,行为概览!$D$3:$U$33,6,0)),4)</f>
        <v>0</v>
      </c>
      <c r="I91" s="20">
        <f>ROUND(IF(OR($A91&lt;VLOOKUP(I$2,行为概览!$D$3:$U$33,3,0),$A91&gt;VLOOKUP(I$2,行为概览!$D$3:$U$33,4,0)),0,VLOOKUP(I$2,行为概览!$D$3:$U$33,6,0)),4)</f>
        <v>0</v>
      </c>
      <c r="J91" s="20">
        <f>ROUND(IF(OR($A91&lt;VLOOKUP(J$2,行为概览!$D$3:$U$33,3,0),$A91&gt;VLOOKUP(J$2,行为概览!$D$3:$U$33,4,0)),0,VLOOKUP(J$2,行为概览!$D$3:$U$33,6,0)),4)</f>
        <v>0.5</v>
      </c>
      <c r="K91" s="20">
        <f>ROUND(IF(OR($A91&lt;VLOOKUP(K$2,行为概览!$D$3:$U$33,3,0),$A91&gt;VLOOKUP(K$2,行为概览!$D$3:$U$33,4,0)),0,VLOOKUP(K$2,行为概览!$D$3:$U$33,6,0)),4)</f>
        <v>0.16669999999999999</v>
      </c>
      <c r="L91" s="20">
        <f>ROUND(IF(OR($A91&lt;VLOOKUP(L$2,行为概览!$D$3:$U$33,3,0),$A91&gt;VLOOKUP(L$2,行为概览!$D$3:$U$33,4,0)),0,VLOOKUP(L$2,行为概览!$D$3:$U$33,6,0)),4)</f>
        <v>0.5</v>
      </c>
      <c r="M91" s="20">
        <f>ROUND(IF(OR($A91&lt;VLOOKUP(M$2,行为概览!$D$3:$U$33,3,0),$A91&gt;VLOOKUP(M$2,行为概览!$D$3:$U$33,4,0)),0,VLOOKUP(M$2,行为概览!$D$3:$U$33,6,0)),4)</f>
        <v>12</v>
      </c>
      <c r="N91" s="20">
        <f>ROUND(IF(OR($A91&lt;VLOOKUP(N$2,行为概览!$D$3:$U$33,3,0),$A91&gt;VLOOKUP(N$2,行为概览!$D$3:$U$33,4,0)),0,VLOOKUP(N$2,行为概览!$D$3:$U$33,6,0)),4)</f>
        <v>8.3299999999999999E-2</v>
      </c>
      <c r="O91" s="20">
        <f>ROUND(IF(OR($A91&lt;VLOOKUP(O$2,行为概览!$D$3:$U$33,3,0),$A91&gt;VLOOKUP(O$2,行为概览!$D$3:$U$33,4,0)),0,VLOOKUP(O$2,行为概览!$D$3:$U$33,6,0)),4)</f>
        <v>8.3299999999999999E-2</v>
      </c>
      <c r="P91" s="20">
        <f>ROUND(IF(OR($A91&lt;VLOOKUP(P$2,行为概览!$D$3:$U$33,3,0),$A91&gt;VLOOKUP(P$2,行为概览!$D$3:$U$33,4,0)),0,VLOOKUP(P$2,行为概览!$D$3:$U$33,6,0)),4)</f>
        <v>2.6</v>
      </c>
      <c r="Q91" s="20">
        <f>ROUND(IF(OR($A91&lt;VLOOKUP(Q$2,行为概览!$D$3:$U$33,3,0),$A91&gt;VLOOKUP(Q$2,行为概览!$D$3:$U$33,4,0)),0,VLOOKUP(Q$2,行为概览!$D$3:$U$33,6,0)),4)</f>
        <v>1</v>
      </c>
      <c r="R91" s="20">
        <f>ROUND(IF(OR($A91&lt;VLOOKUP(R$2,行为概览!$D$3:$U$33,3,0),$A91&gt;VLOOKUP(R$2,行为概览!$D$3:$U$33,4,0)),0,VLOOKUP(R$2,行为概览!$D$3:$U$33,6,0)),4)</f>
        <v>0.33329999999999999</v>
      </c>
      <c r="S91" s="20">
        <f>ROUND(IF(OR($A91&lt;VLOOKUP(S$2,行为概览!$D$3:$U$33,3,0),$A91&gt;VLOOKUP(S$2,行为概览!$D$3:$U$33,4,0)),0,VLOOKUP(S$2,行为概览!$D$3:$U$33,6,0)),4)</f>
        <v>0</v>
      </c>
      <c r="T91" s="20">
        <f>ROUND(IF(OR($A91&lt;VLOOKUP(T$2,行为概览!$D$3:$U$33,3,0),$A91&gt;VLOOKUP(T$2,行为概览!$D$3:$U$33,4,0)),0,VLOOKUP(T$2,行为概览!$D$3:$U$33,6,0)),4)</f>
        <v>0.33329999999999999</v>
      </c>
      <c r="U91" s="20">
        <f>ROUND(IF(OR($A91&lt;VLOOKUP(U$2,行为概览!$D$3:$U$33,3,0),$A91&gt;VLOOKUP(U$2,行为概览!$D$3:$U$33,4,0)),0,VLOOKUP(U$2,行为概览!$D$3:$U$33,6,0)),4)</f>
        <v>0.16669999999999999</v>
      </c>
      <c r="V91" s="20">
        <f>ROUND(IF(OR($A91&lt;VLOOKUP(V$2,行为概览!$D$3:$U$33,3,0),$A91&gt;VLOOKUP(V$2,行为概览!$D$3:$U$33,4,0)),0,VLOOKUP(V$2,行为概览!$D$3:$U$33,6,0)),4)</f>
        <v>0.16669999999999999</v>
      </c>
      <c r="W91" s="20">
        <f>ROUND(IF(OR($A91&lt;VLOOKUP(W$2,行为概览!$D$3:$U$33,3,0),$A91&gt;VLOOKUP(W$2,行为概览!$D$3:$U$33,4,0)),0,VLOOKUP(W$2,行为概览!$D$3:$U$33,6,0)),4)</f>
        <v>0.16669999999999999</v>
      </c>
      <c r="X91" s="20">
        <f>ROUND(IF(OR($A91&lt;VLOOKUP(X$2,行为概览!$D$3:$U$33,3,0),$A91&gt;VLOOKUP(X$2,行为概览!$D$3:$U$33,4,0)),0,VLOOKUP(X$2,行为概览!$D$3:$U$33,6,0)),4)</f>
        <v>0.25</v>
      </c>
      <c r="Y91" s="20">
        <f>ROUND(IF(OR($A91&lt;VLOOKUP(Y$2,行为概览!$D$3:$U$33,3,0),$A91&gt;VLOOKUP(Y$2,行为概览!$D$3:$U$33,4,0)),0,VLOOKUP(Y$2,行为概览!$D$3:$U$33,6,0)),4)</f>
        <v>0.58330000000000004</v>
      </c>
      <c r="Z91" s="20">
        <f>ROUND(IF(OR($A91&lt;VLOOKUP(Z$2,行为概览!$D$3:$U$33,3,0),$A91&gt;VLOOKUP(Z$2,行为概览!$D$3:$U$33,4,0)),0,VLOOKUP(Z$2,行为概览!$D$3:$U$33,6,0)),4)</f>
        <v>0.16669999999999999</v>
      </c>
      <c r="AA91" s="20">
        <f>ROUND(IF(OR($A91&lt;VLOOKUP(AA$2,行为概览!$D$3:$U$33,3,0),$A91&gt;VLOOKUP(AA$2,行为概览!$D$3:$U$33,4,0)),0,VLOOKUP(AA$2,行为概览!$D$3:$U$33,6,0)),4)</f>
        <v>0</v>
      </c>
      <c r="AB91" s="20">
        <f>ROUND(IF(OR($A91&lt;VLOOKUP(AB$2,行为概览!$D$3:$U$33,3,0),$A91&gt;VLOOKUP(AB$2,行为概览!$D$3:$U$33,4,0)),0,VLOOKUP(AB$2,行为概览!$D$3:$U$33,6,0)),4)</f>
        <v>0</v>
      </c>
      <c r="AC91" s="20">
        <f>ROUND(IF(OR($A91&lt;VLOOKUP(AC$2,行为概览!$D$3:$U$33,3,0),$A91&gt;VLOOKUP(AC$2,行为概览!$D$3:$U$33,4,0)),0,VLOOKUP(AC$2,行为概览!$D$3:$U$33,6,0)),4)</f>
        <v>0</v>
      </c>
      <c r="AD91" s="20">
        <f>ROUND(IF(OR($A91&lt;VLOOKUP(AD$2,行为概览!$D$3:$U$33,3,0),$A91&gt;VLOOKUP(AD$2,行为概览!$D$3:$U$33,4,0)),0,VLOOKUP(AD$2,行为概览!$D$3:$U$33,6,0)),4)</f>
        <v>0</v>
      </c>
      <c r="AE91" s="20">
        <f>ROUND(IF(OR($A91&lt;VLOOKUP(AE$2,行为概览!$D$3:$U$33,3,0),$A91&gt;VLOOKUP(AE$2,行为概览!$D$3:$U$33,4,0)),0,VLOOKUP(AE$2,行为概览!$D$3:$U$33,6,0)),4)</f>
        <v>8.3299999999999999E-2</v>
      </c>
      <c r="AF91" s="20">
        <f>ROUND(IF(OR($A91&lt;VLOOKUP(AF$2,行为概览!$D$3:$U$33,3,0),$A91&gt;VLOOKUP(AF$2,行为概览!$D$3:$U$33,4,0)),0,VLOOKUP(AF$2,行为概览!$D$3:$U$33,6,0)),4)</f>
        <v>0</v>
      </c>
    </row>
    <row r="92" spans="1:32">
      <c r="A92" s="19">
        <v>90</v>
      </c>
      <c r="B92" s="20">
        <f>ROUND(IF(OR($A92&lt;VLOOKUP(B$2,行为概览!$D$3:$U$33,3,0),$A92&gt;VLOOKUP(B$2,行为概览!$D$3:$U$33,4,0)),0,VLOOKUP(B$2,行为概览!$D$3:$U$33,6,0)),4)</f>
        <v>0.33329999999999999</v>
      </c>
      <c r="C92" s="20">
        <f>ROUND(IF(OR($A92&lt;VLOOKUP(C$2,行为概览!$D$3:$U$33,3,0),$A92&gt;VLOOKUP(C$2,行为概览!$D$3:$U$33,4,0)),0,VLOOKUP(C$2,行为概览!$D$3:$U$33,6,0)),4)</f>
        <v>2</v>
      </c>
      <c r="D92" s="20">
        <f>ROUND(IF(OR($A92&lt;VLOOKUP(D$2,行为概览!$D$3:$U$33,3,0),$A92&gt;VLOOKUP(D$2,行为概览!$D$3:$U$33,4,0)),0,VLOOKUP(D$2,行为概览!$D$3:$U$33,6,0)),4)</f>
        <v>8.3299999999999999E-2</v>
      </c>
      <c r="E92" s="20">
        <f>ROUND(IF(OR($A92&lt;VLOOKUP(E$2,行为概览!$D$3:$U$33,3,0),$A92&gt;VLOOKUP(E$2,行为概览!$D$3:$U$33,4,0)),0,VLOOKUP(E$2,行为概览!$D$3:$U$33,6,0)),4)</f>
        <v>1</v>
      </c>
      <c r="F92" s="20">
        <f>ROUND(IF(OR($A92&lt;VLOOKUP(F$2,行为概览!$D$3:$U$33,3,0),$A92&gt;VLOOKUP(F$2,行为概览!$D$3:$U$33,4,0)),0,VLOOKUP(F$2,行为概览!$D$3:$U$33,6,0)),4)</f>
        <v>0.33329999999999999</v>
      </c>
      <c r="G92" s="20">
        <f>ROUND(IF(OR($A92&lt;VLOOKUP(G$2,行为概览!$D$3:$U$33,3,0),$A92&gt;VLOOKUP(G$2,行为概览!$D$3:$U$33,4,0)),0,VLOOKUP(G$2,行为概览!$D$3:$U$33,6,0)),4)</f>
        <v>0</v>
      </c>
      <c r="H92" s="20">
        <f>ROUND(IF(OR($A92&lt;VLOOKUP(H$2,行为概览!$D$3:$U$33,3,0),$A92&gt;VLOOKUP(H$2,行为概览!$D$3:$U$33,4,0)),0,VLOOKUP(H$2,行为概览!$D$3:$U$33,6,0)),4)</f>
        <v>0</v>
      </c>
      <c r="I92" s="20">
        <f>ROUND(IF(OR($A92&lt;VLOOKUP(I$2,行为概览!$D$3:$U$33,3,0),$A92&gt;VLOOKUP(I$2,行为概览!$D$3:$U$33,4,0)),0,VLOOKUP(I$2,行为概览!$D$3:$U$33,6,0)),4)</f>
        <v>0</v>
      </c>
      <c r="J92" s="20">
        <f>ROUND(IF(OR($A92&lt;VLOOKUP(J$2,行为概览!$D$3:$U$33,3,0),$A92&gt;VLOOKUP(J$2,行为概览!$D$3:$U$33,4,0)),0,VLOOKUP(J$2,行为概览!$D$3:$U$33,6,0)),4)</f>
        <v>0.5</v>
      </c>
      <c r="K92" s="20">
        <f>ROUND(IF(OR($A92&lt;VLOOKUP(K$2,行为概览!$D$3:$U$33,3,0),$A92&gt;VLOOKUP(K$2,行为概览!$D$3:$U$33,4,0)),0,VLOOKUP(K$2,行为概览!$D$3:$U$33,6,0)),4)</f>
        <v>0.16669999999999999</v>
      </c>
      <c r="L92" s="20">
        <f>ROUND(IF(OR($A92&lt;VLOOKUP(L$2,行为概览!$D$3:$U$33,3,0),$A92&gt;VLOOKUP(L$2,行为概览!$D$3:$U$33,4,0)),0,VLOOKUP(L$2,行为概览!$D$3:$U$33,6,0)),4)</f>
        <v>0.5</v>
      </c>
      <c r="M92" s="20">
        <f>ROUND(IF(OR($A92&lt;VLOOKUP(M$2,行为概览!$D$3:$U$33,3,0),$A92&gt;VLOOKUP(M$2,行为概览!$D$3:$U$33,4,0)),0,VLOOKUP(M$2,行为概览!$D$3:$U$33,6,0)),4)</f>
        <v>12</v>
      </c>
      <c r="N92" s="20">
        <f>ROUND(IF(OR($A92&lt;VLOOKUP(N$2,行为概览!$D$3:$U$33,3,0),$A92&gt;VLOOKUP(N$2,行为概览!$D$3:$U$33,4,0)),0,VLOOKUP(N$2,行为概览!$D$3:$U$33,6,0)),4)</f>
        <v>8.3299999999999999E-2</v>
      </c>
      <c r="O92" s="20">
        <f>ROUND(IF(OR($A92&lt;VLOOKUP(O$2,行为概览!$D$3:$U$33,3,0),$A92&gt;VLOOKUP(O$2,行为概览!$D$3:$U$33,4,0)),0,VLOOKUP(O$2,行为概览!$D$3:$U$33,6,0)),4)</f>
        <v>8.3299999999999999E-2</v>
      </c>
      <c r="P92" s="20">
        <f>ROUND(IF(OR($A92&lt;VLOOKUP(P$2,行为概览!$D$3:$U$33,3,0),$A92&gt;VLOOKUP(P$2,行为概览!$D$3:$U$33,4,0)),0,VLOOKUP(P$2,行为概览!$D$3:$U$33,6,0)),4)</f>
        <v>2.6</v>
      </c>
      <c r="Q92" s="20">
        <f>ROUND(IF(OR($A92&lt;VLOOKUP(Q$2,行为概览!$D$3:$U$33,3,0),$A92&gt;VLOOKUP(Q$2,行为概览!$D$3:$U$33,4,0)),0,VLOOKUP(Q$2,行为概览!$D$3:$U$33,6,0)),4)</f>
        <v>1</v>
      </c>
      <c r="R92" s="20">
        <f>ROUND(IF(OR($A92&lt;VLOOKUP(R$2,行为概览!$D$3:$U$33,3,0),$A92&gt;VLOOKUP(R$2,行为概览!$D$3:$U$33,4,0)),0,VLOOKUP(R$2,行为概览!$D$3:$U$33,6,0)),4)</f>
        <v>0.33329999999999999</v>
      </c>
      <c r="S92" s="20">
        <f>ROUND(IF(OR($A92&lt;VLOOKUP(S$2,行为概览!$D$3:$U$33,3,0),$A92&gt;VLOOKUP(S$2,行为概览!$D$3:$U$33,4,0)),0,VLOOKUP(S$2,行为概览!$D$3:$U$33,6,0)),4)</f>
        <v>0</v>
      </c>
      <c r="T92" s="20">
        <f>ROUND(IF(OR($A92&lt;VLOOKUP(T$2,行为概览!$D$3:$U$33,3,0),$A92&gt;VLOOKUP(T$2,行为概览!$D$3:$U$33,4,0)),0,VLOOKUP(T$2,行为概览!$D$3:$U$33,6,0)),4)</f>
        <v>0.33329999999999999</v>
      </c>
      <c r="U92" s="20">
        <f>ROUND(IF(OR($A92&lt;VLOOKUP(U$2,行为概览!$D$3:$U$33,3,0),$A92&gt;VLOOKUP(U$2,行为概览!$D$3:$U$33,4,0)),0,VLOOKUP(U$2,行为概览!$D$3:$U$33,6,0)),4)</f>
        <v>0.16669999999999999</v>
      </c>
      <c r="V92" s="20">
        <f>ROUND(IF(OR($A92&lt;VLOOKUP(V$2,行为概览!$D$3:$U$33,3,0),$A92&gt;VLOOKUP(V$2,行为概览!$D$3:$U$33,4,0)),0,VLOOKUP(V$2,行为概览!$D$3:$U$33,6,0)),4)</f>
        <v>0.16669999999999999</v>
      </c>
      <c r="W92" s="20">
        <f>ROUND(IF(OR($A92&lt;VLOOKUP(W$2,行为概览!$D$3:$U$33,3,0),$A92&gt;VLOOKUP(W$2,行为概览!$D$3:$U$33,4,0)),0,VLOOKUP(W$2,行为概览!$D$3:$U$33,6,0)),4)</f>
        <v>0.16669999999999999</v>
      </c>
      <c r="X92" s="20">
        <f>ROUND(IF(OR($A92&lt;VLOOKUP(X$2,行为概览!$D$3:$U$33,3,0),$A92&gt;VLOOKUP(X$2,行为概览!$D$3:$U$33,4,0)),0,VLOOKUP(X$2,行为概览!$D$3:$U$33,6,0)),4)</f>
        <v>0.25</v>
      </c>
      <c r="Y92" s="20">
        <f>ROUND(IF(OR($A92&lt;VLOOKUP(Y$2,行为概览!$D$3:$U$33,3,0),$A92&gt;VLOOKUP(Y$2,行为概览!$D$3:$U$33,4,0)),0,VLOOKUP(Y$2,行为概览!$D$3:$U$33,6,0)),4)</f>
        <v>0.58330000000000004</v>
      </c>
      <c r="Z92" s="20">
        <f>ROUND(IF(OR($A92&lt;VLOOKUP(Z$2,行为概览!$D$3:$U$33,3,0),$A92&gt;VLOOKUP(Z$2,行为概览!$D$3:$U$33,4,0)),0,VLOOKUP(Z$2,行为概览!$D$3:$U$33,6,0)),4)</f>
        <v>0.16669999999999999</v>
      </c>
      <c r="AA92" s="20">
        <f>ROUND(IF(OR($A92&lt;VLOOKUP(AA$2,行为概览!$D$3:$U$33,3,0),$A92&gt;VLOOKUP(AA$2,行为概览!$D$3:$U$33,4,0)),0,VLOOKUP(AA$2,行为概览!$D$3:$U$33,6,0)),4)</f>
        <v>0</v>
      </c>
      <c r="AB92" s="20">
        <f>ROUND(IF(OR($A92&lt;VLOOKUP(AB$2,行为概览!$D$3:$U$33,3,0),$A92&gt;VLOOKUP(AB$2,行为概览!$D$3:$U$33,4,0)),0,VLOOKUP(AB$2,行为概览!$D$3:$U$33,6,0)),4)</f>
        <v>0</v>
      </c>
      <c r="AC92" s="20">
        <f>ROUND(IF(OR($A92&lt;VLOOKUP(AC$2,行为概览!$D$3:$U$33,3,0),$A92&gt;VLOOKUP(AC$2,行为概览!$D$3:$U$33,4,0)),0,VLOOKUP(AC$2,行为概览!$D$3:$U$33,6,0)),4)</f>
        <v>0</v>
      </c>
      <c r="AD92" s="20">
        <f>ROUND(IF(OR($A92&lt;VLOOKUP(AD$2,行为概览!$D$3:$U$33,3,0),$A92&gt;VLOOKUP(AD$2,行为概览!$D$3:$U$33,4,0)),0,VLOOKUP(AD$2,行为概览!$D$3:$U$33,6,0)),4)</f>
        <v>0</v>
      </c>
      <c r="AE92" s="20">
        <f>ROUND(IF(OR($A92&lt;VLOOKUP(AE$2,行为概览!$D$3:$U$33,3,0),$A92&gt;VLOOKUP(AE$2,行为概览!$D$3:$U$33,4,0)),0,VLOOKUP(AE$2,行为概览!$D$3:$U$33,6,0)),4)</f>
        <v>8.3299999999999999E-2</v>
      </c>
      <c r="AF92" s="20">
        <f>ROUND(IF(OR($A92&lt;VLOOKUP(AF$2,行为概览!$D$3:$U$33,3,0),$A92&gt;VLOOKUP(AF$2,行为概览!$D$3:$U$33,4,0)),0,VLOOKUP(AF$2,行为概览!$D$3:$U$33,6,0)),4)</f>
        <v>0</v>
      </c>
    </row>
    <row r="93" spans="1:32">
      <c r="A93" s="19">
        <v>91</v>
      </c>
      <c r="B93" s="20">
        <f>ROUND(IF(OR($A93&lt;VLOOKUP(B$2,行为概览!$D$3:$U$33,3,0),$A93&gt;VLOOKUP(B$2,行为概览!$D$3:$U$33,4,0)),0,VLOOKUP(B$2,行为概览!$D$3:$U$33,6,0)),4)</f>
        <v>0.33329999999999999</v>
      </c>
      <c r="C93" s="20">
        <f>ROUND(IF(OR($A93&lt;VLOOKUP(C$2,行为概览!$D$3:$U$33,3,0),$A93&gt;VLOOKUP(C$2,行为概览!$D$3:$U$33,4,0)),0,VLOOKUP(C$2,行为概览!$D$3:$U$33,6,0)),4)</f>
        <v>2</v>
      </c>
      <c r="D93" s="20">
        <f>ROUND(IF(OR($A93&lt;VLOOKUP(D$2,行为概览!$D$3:$U$33,3,0),$A93&gt;VLOOKUP(D$2,行为概览!$D$3:$U$33,4,0)),0,VLOOKUP(D$2,行为概览!$D$3:$U$33,6,0)),4)</f>
        <v>8.3299999999999999E-2</v>
      </c>
      <c r="E93" s="20">
        <f>ROUND(IF(OR($A93&lt;VLOOKUP(E$2,行为概览!$D$3:$U$33,3,0),$A93&gt;VLOOKUP(E$2,行为概览!$D$3:$U$33,4,0)),0,VLOOKUP(E$2,行为概览!$D$3:$U$33,6,0)),4)</f>
        <v>1</v>
      </c>
      <c r="F93" s="20">
        <f>ROUND(IF(OR($A93&lt;VLOOKUP(F$2,行为概览!$D$3:$U$33,3,0),$A93&gt;VLOOKUP(F$2,行为概览!$D$3:$U$33,4,0)),0,VLOOKUP(F$2,行为概览!$D$3:$U$33,6,0)),4)</f>
        <v>0.33329999999999999</v>
      </c>
      <c r="G93" s="20">
        <f>ROUND(IF(OR($A93&lt;VLOOKUP(G$2,行为概览!$D$3:$U$33,3,0),$A93&gt;VLOOKUP(G$2,行为概览!$D$3:$U$33,4,0)),0,VLOOKUP(G$2,行为概览!$D$3:$U$33,6,0)),4)</f>
        <v>0</v>
      </c>
      <c r="H93" s="20">
        <f>ROUND(IF(OR($A93&lt;VLOOKUP(H$2,行为概览!$D$3:$U$33,3,0),$A93&gt;VLOOKUP(H$2,行为概览!$D$3:$U$33,4,0)),0,VLOOKUP(H$2,行为概览!$D$3:$U$33,6,0)),4)</f>
        <v>0</v>
      </c>
      <c r="I93" s="20">
        <f>ROUND(IF(OR($A93&lt;VLOOKUP(I$2,行为概览!$D$3:$U$33,3,0),$A93&gt;VLOOKUP(I$2,行为概览!$D$3:$U$33,4,0)),0,VLOOKUP(I$2,行为概览!$D$3:$U$33,6,0)),4)</f>
        <v>0</v>
      </c>
      <c r="J93" s="20">
        <f>ROUND(IF(OR($A93&lt;VLOOKUP(J$2,行为概览!$D$3:$U$33,3,0),$A93&gt;VLOOKUP(J$2,行为概览!$D$3:$U$33,4,0)),0,VLOOKUP(J$2,行为概览!$D$3:$U$33,6,0)),4)</f>
        <v>0.5</v>
      </c>
      <c r="K93" s="20">
        <f>ROUND(IF(OR($A93&lt;VLOOKUP(K$2,行为概览!$D$3:$U$33,3,0),$A93&gt;VLOOKUP(K$2,行为概览!$D$3:$U$33,4,0)),0,VLOOKUP(K$2,行为概览!$D$3:$U$33,6,0)),4)</f>
        <v>0.16669999999999999</v>
      </c>
      <c r="L93" s="20">
        <f>ROUND(IF(OR($A93&lt;VLOOKUP(L$2,行为概览!$D$3:$U$33,3,0),$A93&gt;VLOOKUP(L$2,行为概览!$D$3:$U$33,4,0)),0,VLOOKUP(L$2,行为概览!$D$3:$U$33,6,0)),4)</f>
        <v>0.5</v>
      </c>
      <c r="M93" s="20">
        <f>ROUND(IF(OR($A93&lt;VLOOKUP(M$2,行为概览!$D$3:$U$33,3,0),$A93&gt;VLOOKUP(M$2,行为概览!$D$3:$U$33,4,0)),0,VLOOKUP(M$2,行为概览!$D$3:$U$33,6,0)),4)</f>
        <v>12</v>
      </c>
      <c r="N93" s="20">
        <f>ROUND(IF(OR($A93&lt;VLOOKUP(N$2,行为概览!$D$3:$U$33,3,0),$A93&gt;VLOOKUP(N$2,行为概览!$D$3:$U$33,4,0)),0,VLOOKUP(N$2,行为概览!$D$3:$U$33,6,0)),4)</f>
        <v>8.3299999999999999E-2</v>
      </c>
      <c r="O93" s="20">
        <f>ROUND(IF(OR($A93&lt;VLOOKUP(O$2,行为概览!$D$3:$U$33,3,0),$A93&gt;VLOOKUP(O$2,行为概览!$D$3:$U$33,4,0)),0,VLOOKUP(O$2,行为概览!$D$3:$U$33,6,0)),4)</f>
        <v>8.3299999999999999E-2</v>
      </c>
      <c r="P93" s="20">
        <f>ROUND(IF(OR($A93&lt;VLOOKUP(P$2,行为概览!$D$3:$U$33,3,0),$A93&gt;VLOOKUP(P$2,行为概览!$D$3:$U$33,4,0)),0,VLOOKUP(P$2,行为概览!$D$3:$U$33,6,0)),4)</f>
        <v>2.6</v>
      </c>
      <c r="Q93" s="20">
        <f>ROUND(IF(OR($A93&lt;VLOOKUP(Q$2,行为概览!$D$3:$U$33,3,0),$A93&gt;VLOOKUP(Q$2,行为概览!$D$3:$U$33,4,0)),0,VLOOKUP(Q$2,行为概览!$D$3:$U$33,6,0)),4)</f>
        <v>1</v>
      </c>
      <c r="R93" s="20">
        <f>ROUND(IF(OR($A93&lt;VLOOKUP(R$2,行为概览!$D$3:$U$33,3,0),$A93&gt;VLOOKUP(R$2,行为概览!$D$3:$U$33,4,0)),0,VLOOKUP(R$2,行为概览!$D$3:$U$33,6,0)),4)</f>
        <v>0.33329999999999999</v>
      </c>
      <c r="S93" s="20">
        <f>ROUND(IF(OR($A93&lt;VLOOKUP(S$2,行为概览!$D$3:$U$33,3,0),$A93&gt;VLOOKUP(S$2,行为概览!$D$3:$U$33,4,0)),0,VLOOKUP(S$2,行为概览!$D$3:$U$33,6,0)),4)</f>
        <v>0</v>
      </c>
      <c r="T93" s="20">
        <f>ROUND(IF(OR($A93&lt;VLOOKUP(T$2,行为概览!$D$3:$U$33,3,0),$A93&gt;VLOOKUP(T$2,行为概览!$D$3:$U$33,4,0)),0,VLOOKUP(T$2,行为概览!$D$3:$U$33,6,0)),4)</f>
        <v>0.33329999999999999</v>
      </c>
      <c r="U93" s="20">
        <f>ROUND(IF(OR($A93&lt;VLOOKUP(U$2,行为概览!$D$3:$U$33,3,0),$A93&gt;VLOOKUP(U$2,行为概览!$D$3:$U$33,4,0)),0,VLOOKUP(U$2,行为概览!$D$3:$U$33,6,0)),4)</f>
        <v>0.16669999999999999</v>
      </c>
      <c r="V93" s="20">
        <f>ROUND(IF(OR($A93&lt;VLOOKUP(V$2,行为概览!$D$3:$U$33,3,0),$A93&gt;VLOOKUP(V$2,行为概览!$D$3:$U$33,4,0)),0,VLOOKUP(V$2,行为概览!$D$3:$U$33,6,0)),4)</f>
        <v>0.16669999999999999</v>
      </c>
      <c r="W93" s="20">
        <f>ROUND(IF(OR($A93&lt;VLOOKUP(W$2,行为概览!$D$3:$U$33,3,0),$A93&gt;VLOOKUP(W$2,行为概览!$D$3:$U$33,4,0)),0,VLOOKUP(W$2,行为概览!$D$3:$U$33,6,0)),4)</f>
        <v>0.16669999999999999</v>
      </c>
      <c r="X93" s="20">
        <f>ROUND(IF(OR($A93&lt;VLOOKUP(X$2,行为概览!$D$3:$U$33,3,0),$A93&gt;VLOOKUP(X$2,行为概览!$D$3:$U$33,4,0)),0,VLOOKUP(X$2,行为概览!$D$3:$U$33,6,0)),4)</f>
        <v>0.25</v>
      </c>
      <c r="Y93" s="20">
        <f>ROUND(IF(OR($A93&lt;VLOOKUP(Y$2,行为概览!$D$3:$U$33,3,0),$A93&gt;VLOOKUP(Y$2,行为概览!$D$3:$U$33,4,0)),0,VLOOKUP(Y$2,行为概览!$D$3:$U$33,6,0)),4)</f>
        <v>0.58330000000000004</v>
      </c>
      <c r="Z93" s="20">
        <f>ROUND(IF(OR($A93&lt;VLOOKUP(Z$2,行为概览!$D$3:$U$33,3,0),$A93&gt;VLOOKUP(Z$2,行为概览!$D$3:$U$33,4,0)),0,VLOOKUP(Z$2,行为概览!$D$3:$U$33,6,0)),4)</f>
        <v>0.16669999999999999</v>
      </c>
      <c r="AA93" s="20">
        <f>ROUND(IF(OR($A93&lt;VLOOKUP(AA$2,行为概览!$D$3:$U$33,3,0),$A93&gt;VLOOKUP(AA$2,行为概览!$D$3:$U$33,4,0)),0,VLOOKUP(AA$2,行为概览!$D$3:$U$33,6,0)),4)</f>
        <v>0</v>
      </c>
      <c r="AB93" s="20">
        <f>ROUND(IF(OR($A93&lt;VLOOKUP(AB$2,行为概览!$D$3:$U$33,3,0),$A93&gt;VLOOKUP(AB$2,行为概览!$D$3:$U$33,4,0)),0,VLOOKUP(AB$2,行为概览!$D$3:$U$33,6,0)),4)</f>
        <v>0</v>
      </c>
      <c r="AC93" s="20">
        <f>ROUND(IF(OR($A93&lt;VLOOKUP(AC$2,行为概览!$D$3:$U$33,3,0),$A93&gt;VLOOKUP(AC$2,行为概览!$D$3:$U$33,4,0)),0,VLOOKUP(AC$2,行为概览!$D$3:$U$33,6,0)),4)</f>
        <v>0</v>
      </c>
      <c r="AD93" s="20">
        <f>ROUND(IF(OR($A93&lt;VLOOKUP(AD$2,行为概览!$D$3:$U$33,3,0),$A93&gt;VLOOKUP(AD$2,行为概览!$D$3:$U$33,4,0)),0,VLOOKUP(AD$2,行为概览!$D$3:$U$33,6,0)),4)</f>
        <v>0</v>
      </c>
      <c r="AE93" s="20">
        <f>ROUND(IF(OR($A93&lt;VLOOKUP(AE$2,行为概览!$D$3:$U$33,3,0),$A93&gt;VLOOKUP(AE$2,行为概览!$D$3:$U$33,4,0)),0,VLOOKUP(AE$2,行为概览!$D$3:$U$33,6,0)),4)</f>
        <v>8.3299999999999999E-2</v>
      </c>
      <c r="AF93" s="20">
        <f>ROUND(IF(OR($A93&lt;VLOOKUP(AF$2,行为概览!$D$3:$U$33,3,0),$A93&gt;VLOOKUP(AF$2,行为概览!$D$3:$U$33,4,0)),0,VLOOKUP(AF$2,行为概览!$D$3:$U$33,6,0)),4)</f>
        <v>0</v>
      </c>
    </row>
    <row r="94" spans="1:32">
      <c r="A94" s="19">
        <v>92</v>
      </c>
      <c r="B94" s="20">
        <f>ROUND(IF(OR($A94&lt;VLOOKUP(B$2,行为概览!$D$3:$U$33,3,0),$A94&gt;VLOOKUP(B$2,行为概览!$D$3:$U$33,4,0)),0,VLOOKUP(B$2,行为概览!$D$3:$U$33,6,0)),4)</f>
        <v>0.33329999999999999</v>
      </c>
      <c r="C94" s="20">
        <f>ROUND(IF(OR($A94&lt;VLOOKUP(C$2,行为概览!$D$3:$U$33,3,0),$A94&gt;VLOOKUP(C$2,行为概览!$D$3:$U$33,4,0)),0,VLOOKUP(C$2,行为概览!$D$3:$U$33,6,0)),4)</f>
        <v>2</v>
      </c>
      <c r="D94" s="20">
        <f>ROUND(IF(OR($A94&lt;VLOOKUP(D$2,行为概览!$D$3:$U$33,3,0),$A94&gt;VLOOKUP(D$2,行为概览!$D$3:$U$33,4,0)),0,VLOOKUP(D$2,行为概览!$D$3:$U$33,6,0)),4)</f>
        <v>8.3299999999999999E-2</v>
      </c>
      <c r="E94" s="20">
        <f>ROUND(IF(OR($A94&lt;VLOOKUP(E$2,行为概览!$D$3:$U$33,3,0),$A94&gt;VLOOKUP(E$2,行为概览!$D$3:$U$33,4,0)),0,VLOOKUP(E$2,行为概览!$D$3:$U$33,6,0)),4)</f>
        <v>1</v>
      </c>
      <c r="F94" s="20">
        <f>ROUND(IF(OR($A94&lt;VLOOKUP(F$2,行为概览!$D$3:$U$33,3,0),$A94&gt;VLOOKUP(F$2,行为概览!$D$3:$U$33,4,0)),0,VLOOKUP(F$2,行为概览!$D$3:$U$33,6,0)),4)</f>
        <v>0.33329999999999999</v>
      </c>
      <c r="G94" s="20">
        <f>ROUND(IF(OR($A94&lt;VLOOKUP(G$2,行为概览!$D$3:$U$33,3,0),$A94&gt;VLOOKUP(G$2,行为概览!$D$3:$U$33,4,0)),0,VLOOKUP(G$2,行为概览!$D$3:$U$33,6,0)),4)</f>
        <v>0</v>
      </c>
      <c r="H94" s="20">
        <f>ROUND(IF(OR($A94&lt;VLOOKUP(H$2,行为概览!$D$3:$U$33,3,0),$A94&gt;VLOOKUP(H$2,行为概览!$D$3:$U$33,4,0)),0,VLOOKUP(H$2,行为概览!$D$3:$U$33,6,0)),4)</f>
        <v>0</v>
      </c>
      <c r="I94" s="20">
        <f>ROUND(IF(OR($A94&lt;VLOOKUP(I$2,行为概览!$D$3:$U$33,3,0),$A94&gt;VLOOKUP(I$2,行为概览!$D$3:$U$33,4,0)),0,VLOOKUP(I$2,行为概览!$D$3:$U$33,6,0)),4)</f>
        <v>0</v>
      </c>
      <c r="J94" s="20">
        <f>ROUND(IF(OR($A94&lt;VLOOKUP(J$2,行为概览!$D$3:$U$33,3,0),$A94&gt;VLOOKUP(J$2,行为概览!$D$3:$U$33,4,0)),0,VLOOKUP(J$2,行为概览!$D$3:$U$33,6,0)),4)</f>
        <v>0.5</v>
      </c>
      <c r="K94" s="20">
        <f>ROUND(IF(OR($A94&lt;VLOOKUP(K$2,行为概览!$D$3:$U$33,3,0),$A94&gt;VLOOKUP(K$2,行为概览!$D$3:$U$33,4,0)),0,VLOOKUP(K$2,行为概览!$D$3:$U$33,6,0)),4)</f>
        <v>0.16669999999999999</v>
      </c>
      <c r="L94" s="20">
        <f>ROUND(IF(OR($A94&lt;VLOOKUP(L$2,行为概览!$D$3:$U$33,3,0),$A94&gt;VLOOKUP(L$2,行为概览!$D$3:$U$33,4,0)),0,VLOOKUP(L$2,行为概览!$D$3:$U$33,6,0)),4)</f>
        <v>0.5</v>
      </c>
      <c r="M94" s="20">
        <f>ROUND(IF(OR($A94&lt;VLOOKUP(M$2,行为概览!$D$3:$U$33,3,0),$A94&gt;VLOOKUP(M$2,行为概览!$D$3:$U$33,4,0)),0,VLOOKUP(M$2,行为概览!$D$3:$U$33,6,0)),4)</f>
        <v>12</v>
      </c>
      <c r="N94" s="20">
        <f>ROUND(IF(OR($A94&lt;VLOOKUP(N$2,行为概览!$D$3:$U$33,3,0),$A94&gt;VLOOKUP(N$2,行为概览!$D$3:$U$33,4,0)),0,VLOOKUP(N$2,行为概览!$D$3:$U$33,6,0)),4)</f>
        <v>8.3299999999999999E-2</v>
      </c>
      <c r="O94" s="20">
        <f>ROUND(IF(OR($A94&lt;VLOOKUP(O$2,行为概览!$D$3:$U$33,3,0),$A94&gt;VLOOKUP(O$2,行为概览!$D$3:$U$33,4,0)),0,VLOOKUP(O$2,行为概览!$D$3:$U$33,6,0)),4)</f>
        <v>8.3299999999999999E-2</v>
      </c>
      <c r="P94" s="20">
        <f>ROUND(IF(OR($A94&lt;VLOOKUP(P$2,行为概览!$D$3:$U$33,3,0),$A94&gt;VLOOKUP(P$2,行为概览!$D$3:$U$33,4,0)),0,VLOOKUP(P$2,行为概览!$D$3:$U$33,6,0)),4)</f>
        <v>2.6</v>
      </c>
      <c r="Q94" s="20">
        <f>ROUND(IF(OR($A94&lt;VLOOKUP(Q$2,行为概览!$D$3:$U$33,3,0),$A94&gt;VLOOKUP(Q$2,行为概览!$D$3:$U$33,4,0)),0,VLOOKUP(Q$2,行为概览!$D$3:$U$33,6,0)),4)</f>
        <v>1</v>
      </c>
      <c r="R94" s="20">
        <f>ROUND(IF(OR($A94&lt;VLOOKUP(R$2,行为概览!$D$3:$U$33,3,0),$A94&gt;VLOOKUP(R$2,行为概览!$D$3:$U$33,4,0)),0,VLOOKUP(R$2,行为概览!$D$3:$U$33,6,0)),4)</f>
        <v>0.33329999999999999</v>
      </c>
      <c r="S94" s="20">
        <f>ROUND(IF(OR($A94&lt;VLOOKUP(S$2,行为概览!$D$3:$U$33,3,0),$A94&gt;VLOOKUP(S$2,行为概览!$D$3:$U$33,4,0)),0,VLOOKUP(S$2,行为概览!$D$3:$U$33,6,0)),4)</f>
        <v>0</v>
      </c>
      <c r="T94" s="20">
        <f>ROUND(IF(OR($A94&lt;VLOOKUP(T$2,行为概览!$D$3:$U$33,3,0),$A94&gt;VLOOKUP(T$2,行为概览!$D$3:$U$33,4,0)),0,VLOOKUP(T$2,行为概览!$D$3:$U$33,6,0)),4)</f>
        <v>0.33329999999999999</v>
      </c>
      <c r="U94" s="20">
        <f>ROUND(IF(OR($A94&lt;VLOOKUP(U$2,行为概览!$D$3:$U$33,3,0),$A94&gt;VLOOKUP(U$2,行为概览!$D$3:$U$33,4,0)),0,VLOOKUP(U$2,行为概览!$D$3:$U$33,6,0)),4)</f>
        <v>0.16669999999999999</v>
      </c>
      <c r="V94" s="20">
        <f>ROUND(IF(OR($A94&lt;VLOOKUP(V$2,行为概览!$D$3:$U$33,3,0),$A94&gt;VLOOKUP(V$2,行为概览!$D$3:$U$33,4,0)),0,VLOOKUP(V$2,行为概览!$D$3:$U$33,6,0)),4)</f>
        <v>0.16669999999999999</v>
      </c>
      <c r="W94" s="20">
        <f>ROUND(IF(OR($A94&lt;VLOOKUP(W$2,行为概览!$D$3:$U$33,3,0),$A94&gt;VLOOKUP(W$2,行为概览!$D$3:$U$33,4,0)),0,VLOOKUP(W$2,行为概览!$D$3:$U$33,6,0)),4)</f>
        <v>0.16669999999999999</v>
      </c>
      <c r="X94" s="20">
        <f>ROUND(IF(OR($A94&lt;VLOOKUP(X$2,行为概览!$D$3:$U$33,3,0),$A94&gt;VLOOKUP(X$2,行为概览!$D$3:$U$33,4,0)),0,VLOOKUP(X$2,行为概览!$D$3:$U$33,6,0)),4)</f>
        <v>0.25</v>
      </c>
      <c r="Y94" s="20">
        <f>ROUND(IF(OR($A94&lt;VLOOKUP(Y$2,行为概览!$D$3:$U$33,3,0),$A94&gt;VLOOKUP(Y$2,行为概览!$D$3:$U$33,4,0)),0,VLOOKUP(Y$2,行为概览!$D$3:$U$33,6,0)),4)</f>
        <v>0.58330000000000004</v>
      </c>
      <c r="Z94" s="20">
        <f>ROUND(IF(OR($A94&lt;VLOOKUP(Z$2,行为概览!$D$3:$U$33,3,0),$A94&gt;VLOOKUP(Z$2,行为概览!$D$3:$U$33,4,0)),0,VLOOKUP(Z$2,行为概览!$D$3:$U$33,6,0)),4)</f>
        <v>0.16669999999999999</v>
      </c>
      <c r="AA94" s="20">
        <f>ROUND(IF(OR($A94&lt;VLOOKUP(AA$2,行为概览!$D$3:$U$33,3,0),$A94&gt;VLOOKUP(AA$2,行为概览!$D$3:$U$33,4,0)),0,VLOOKUP(AA$2,行为概览!$D$3:$U$33,6,0)),4)</f>
        <v>0</v>
      </c>
      <c r="AB94" s="20">
        <f>ROUND(IF(OR($A94&lt;VLOOKUP(AB$2,行为概览!$D$3:$U$33,3,0),$A94&gt;VLOOKUP(AB$2,行为概览!$D$3:$U$33,4,0)),0,VLOOKUP(AB$2,行为概览!$D$3:$U$33,6,0)),4)</f>
        <v>0</v>
      </c>
      <c r="AC94" s="20">
        <f>ROUND(IF(OR($A94&lt;VLOOKUP(AC$2,行为概览!$D$3:$U$33,3,0),$A94&gt;VLOOKUP(AC$2,行为概览!$D$3:$U$33,4,0)),0,VLOOKUP(AC$2,行为概览!$D$3:$U$33,6,0)),4)</f>
        <v>0</v>
      </c>
      <c r="AD94" s="20">
        <f>ROUND(IF(OR($A94&lt;VLOOKUP(AD$2,行为概览!$D$3:$U$33,3,0),$A94&gt;VLOOKUP(AD$2,行为概览!$D$3:$U$33,4,0)),0,VLOOKUP(AD$2,行为概览!$D$3:$U$33,6,0)),4)</f>
        <v>0</v>
      </c>
      <c r="AE94" s="20">
        <f>ROUND(IF(OR($A94&lt;VLOOKUP(AE$2,行为概览!$D$3:$U$33,3,0),$A94&gt;VLOOKUP(AE$2,行为概览!$D$3:$U$33,4,0)),0,VLOOKUP(AE$2,行为概览!$D$3:$U$33,6,0)),4)</f>
        <v>8.3299999999999999E-2</v>
      </c>
      <c r="AF94" s="20">
        <f>ROUND(IF(OR($A94&lt;VLOOKUP(AF$2,行为概览!$D$3:$U$33,3,0),$A94&gt;VLOOKUP(AF$2,行为概览!$D$3:$U$33,4,0)),0,VLOOKUP(AF$2,行为概览!$D$3:$U$33,6,0)),4)</f>
        <v>0</v>
      </c>
    </row>
    <row r="95" spans="1:32">
      <c r="A95" s="19">
        <v>93</v>
      </c>
      <c r="B95" s="20">
        <f>ROUND(IF(OR($A95&lt;VLOOKUP(B$2,行为概览!$D$3:$U$33,3,0),$A95&gt;VLOOKUP(B$2,行为概览!$D$3:$U$33,4,0)),0,VLOOKUP(B$2,行为概览!$D$3:$U$33,6,0)),4)</f>
        <v>0.33329999999999999</v>
      </c>
      <c r="C95" s="20">
        <f>ROUND(IF(OR($A95&lt;VLOOKUP(C$2,行为概览!$D$3:$U$33,3,0),$A95&gt;VLOOKUP(C$2,行为概览!$D$3:$U$33,4,0)),0,VLOOKUP(C$2,行为概览!$D$3:$U$33,6,0)),4)</f>
        <v>2</v>
      </c>
      <c r="D95" s="20">
        <f>ROUND(IF(OR($A95&lt;VLOOKUP(D$2,行为概览!$D$3:$U$33,3,0),$A95&gt;VLOOKUP(D$2,行为概览!$D$3:$U$33,4,0)),0,VLOOKUP(D$2,行为概览!$D$3:$U$33,6,0)),4)</f>
        <v>8.3299999999999999E-2</v>
      </c>
      <c r="E95" s="20">
        <f>ROUND(IF(OR($A95&lt;VLOOKUP(E$2,行为概览!$D$3:$U$33,3,0),$A95&gt;VLOOKUP(E$2,行为概览!$D$3:$U$33,4,0)),0,VLOOKUP(E$2,行为概览!$D$3:$U$33,6,0)),4)</f>
        <v>1</v>
      </c>
      <c r="F95" s="20">
        <f>ROUND(IF(OR($A95&lt;VLOOKUP(F$2,行为概览!$D$3:$U$33,3,0),$A95&gt;VLOOKUP(F$2,行为概览!$D$3:$U$33,4,0)),0,VLOOKUP(F$2,行为概览!$D$3:$U$33,6,0)),4)</f>
        <v>0.33329999999999999</v>
      </c>
      <c r="G95" s="20">
        <f>ROUND(IF(OR($A95&lt;VLOOKUP(G$2,行为概览!$D$3:$U$33,3,0),$A95&gt;VLOOKUP(G$2,行为概览!$D$3:$U$33,4,0)),0,VLOOKUP(G$2,行为概览!$D$3:$U$33,6,0)),4)</f>
        <v>0</v>
      </c>
      <c r="H95" s="20">
        <f>ROUND(IF(OR($A95&lt;VLOOKUP(H$2,行为概览!$D$3:$U$33,3,0),$A95&gt;VLOOKUP(H$2,行为概览!$D$3:$U$33,4,0)),0,VLOOKUP(H$2,行为概览!$D$3:$U$33,6,0)),4)</f>
        <v>0</v>
      </c>
      <c r="I95" s="20">
        <f>ROUND(IF(OR($A95&lt;VLOOKUP(I$2,行为概览!$D$3:$U$33,3,0),$A95&gt;VLOOKUP(I$2,行为概览!$D$3:$U$33,4,0)),0,VLOOKUP(I$2,行为概览!$D$3:$U$33,6,0)),4)</f>
        <v>0</v>
      </c>
      <c r="J95" s="20">
        <f>ROUND(IF(OR($A95&lt;VLOOKUP(J$2,行为概览!$D$3:$U$33,3,0),$A95&gt;VLOOKUP(J$2,行为概览!$D$3:$U$33,4,0)),0,VLOOKUP(J$2,行为概览!$D$3:$U$33,6,0)),4)</f>
        <v>0.5</v>
      </c>
      <c r="K95" s="20">
        <f>ROUND(IF(OR($A95&lt;VLOOKUP(K$2,行为概览!$D$3:$U$33,3,0),$A95&gt;VLOOKUP(K$2,行为概览!$D$3:$U$33,4,0)),0,VLOOKUP(K$2,行为概览!$D$3:$U$33,6,0)),4)</f>
        <v>0.16669999999999999</v>
      </c>
      <c r="L95" s="20">
        <f>ROUND(IF(OR($A95&lt;VLOOKUP(L$2,行为概览!$D$3:$U$33,3,0),$A95&gt;VLOOKUP(L$2,行为概览!$D$3:$U$33,4,0)),0,VLOOKUP(L$2,行为概览!$D$3:$U$33,6,0)),4)</f>
        <v>0.5</v>
      </c>
      <c r="M95" s="20">
        <f>ROUND(IF(OR($A95&lt;VLOOKUP(M$2,行为概览!$D$3:$U$33,3,0),$A95&gt;VLOOKUP(M$2,行为概览!$D$3:$U$33,4,0)),0,VLOOKUP(M$2,行为概览!$D$3:$U$33,6,0)),4)</f>
        <v>12</v>
      </c>
      <c r="N95" s="20">
        <f>ROUND(IF(OR($A95&lt;VLOOKUP(N$2,行为概览!$D$3:$U$33,3,0),$A95&gt;VLOOKUP(N$2,行为概览!$D$3:$U$33,4,0)),0,VLOOKUP(N$2,行为概览!$D$3:$U$33,6,0)),4)</f>
        <v>8.3299999999999999E-2</v>
      </c>
      <c r="O95" s="20">
        <f>ROUND(IF(OR($A95&lt;VLOOKUP(O$2,行为概览!$D$3:$U$33,3,0),$A95&gt;VLOOKUP(O$2,行为概览!$D$3:$U$33,4,0)),0,VLOOKUP(O$2,行为概览!$D$3:$U$33,6,0)),4)</f>
        <v>8.3299999999999999E-2</v>
      </c>
      <c r="P95" s="20">
        <f>ROUND(IF(OR($A95&lt;VLOOKUP(P$2,行为概览!$D$3:$U$33,3,0),$A95&gt;VLOOKUP(P$2,行为概览!$D$3:$U$33,4,0)),0,VLOOKUP(P$2,行为概览!$D$3:$U$33,6,0)),4)</f>
        <v>2.6</v>
      </c>
      <c r="Q95" s="20">
        <f>ROUND(IF(OR($A95&lt;VLOOKUP(Q$2,行为概览!$D$3:$U$33,3,0),$A95&gt;VLOOKUP(Q$2,行为概览!$D$3:$U$33,4,0)),0,VLOOKUP(Q$2,行为概览!$D$3:$U$33,6,0)),4)</f>
        <v>1</v>
      </c>
      <c r="R95" s="20">
        <f>ROUND(IF(OR($A95&lt;VLOOKUP(R$2,行为概览!$D$3:$U$33,3,0),$A95&gt;VLOOKUP(R$2,行为概览!$D$3:$U$33,4,0)),0,VLOOKUP(R$2,行为概览!$D$3:$U$33,6,0)),4)</f>
        <v>0.33329999999999999</v>
      </c>
      <c r="S95" s="20">
        <f>ROUND(IF(OR($A95&lt;VLOOKUP(S$2,行为概览!$D$3:$U$33,3,0),$A95&gt;VLOOKUP(S$2,行为概览!$D$3:$U$33,4,0)),0,VLOOKUP(S$2,行为概览!$D$3:$U$33,6,0)),4)</f>
        <v>0</v>
      </c>
      <c r="T95" s="20">
        <f>ROUND(IF(OR($A95&lt;VLOOKUP(T$2,行为概览!$D$3:$U$33,3,0),$A95&gt;VLOOKUP(T$2,行为概览!$D$3:$U$33,4,0)),0,VLOOKUP(T$2,行为概览!$D$3:$U$33,6,0)),4)</f>
        <v>0.33329999999999999</v>
      </c>
      <c r="U95" s="20">
        <f>ROUND(IF(OR($A95&lt;VLOOKUP(U$2,行为概览!$D$3:$U$33,3,0),$A95&gt;VLOOKUP(U$2,行为概览!$D$3:$U$33,4,0)),0,VLOOKUP(U$2,行为概览!$D$3:$U$33,6,0)),4)</f>
        <v>0.16669999999999999</v>
      </c>
      <c r="V95" s="20">
        <f>ROUND(IF(OR($A95&lt;VLOOKUP(V$2,行为概览!$D$3:$U$33,3,0),$A95&gt;VLOOKUP(V$2,行为概览!$D$3:$U$33,4,0)),0,VLOOKUP(V$2,行为概览!$D$3:$U$33,6,0)),4)</f>
        <v>0.16669999999999999</v>
      </c>
      <c r="W95" s="20">
        <f>ROUND(IF(OR($A95&lt;VLOOKUP(W$2,行为概览!$D$3:$U$33,3,0),$A95&gt;VLOOKUP(W$2,行为概览!$D$3:$U$33,4,0)),0,VLOOKUP(W$2,行为概览!$D$3:$U$33,6,0)),4)</f>
        <v>0.16669999999999999</v>
      </c>
      <c r="X95" s="20">
        <f>ROUND(IF(OR($A95&lt;VLOOKUP(X$2,行为概览!$D$3:$U$33,3,0),$A95&gt;VLOOKUP(X$2,行为概览!$D$3:$U$33,4,0)),0,VLOOKUP(X$2,行为概览!$D$3:$U$33,6,0)),4)</f>
        <v>0.25</v>
      </c>
      <c r="Y95" s="20">
        <f>ROUND(IF(OR($A95&lt;VLOOKUP(Y$2,行为概览!$D$3:$U$33,3,0),$A95&gt;VLOOKUP(Y$2,行为概览!$D$3:$U$33,4,0)),0,VLOOKUP(Y$2,行为概览!$D$3:$U$33,6,0)),4)</f>
        <v>0.58330000000000004</v>
      </c>
      <c r="Z95" s="20">
        <f>ROUND(IF(OR($A95&lt;VLOOKUP(Z$2,行为概览!$D$3:$U$33,3,0),$A95&gt;VLOOKUP(Z$2,行为概览!$D$3:$U$33,4,0)),0,VLOOKUP(Z$2,行为概览!$D$3:$U$33,6,0)),4)</f>
        <v>0.16669999999999999</v>
      </c>
      <c r="AA95" s="20">
        <f>ROUND(IF(OR($A95&lt;VLOOKUP(AA$2,行为概览!$D$3:$U$33,3,0),$A95&gt;VLOOKUP(AA$2,行为概览!$D$3:$U$33,4,0)),0,VLOOKUP(AA$2,行为概览!$D$3:$U$33,6,0)),4)</f>
        <v>0</v>
      </c>
      <c r="AB95" s="20">
        <f>ROUND(IF(OR($A95&lt;VLOOKUP(AB$2,行为概览!$D$3:$U$33,3,0),$A95&gt;VLOOKUP(AB$2,行为概览!$D$3:$U$33,4,0)),0,VLOOKUP(AB$2,行为概览!$D$3:$U$33,6,0)),4)</f>
        <v>0</v>
      </c>
      <c r="AC95" s="20">
        <f>ROUND(IF(OR($A95&lt;VLOOKUP(AC$2,行为概览!$D$3:$U$33,3,0),$A95&gt;VLOOKUP(AC$2,行为概览!$D$3:$U$33,4,0)),0,VLOOKUP(AC$2,行为概览!$D$3:$U$33,6,0)),4)</f>
        <v>0</v>
      </c>
      <c r="AD95" s="20">
        <f>ROUND(IF(OR($A95&lt;VLOOKUP(AD$2,行为概览!$D$3:$U$33,3,0),$A95&gt;VLOOKUP(AD$2,行为概览!$D$3:$U$33,4,0)),0,VLOOKUP(AD$2,行为概览!$D$3:$U$33,6,0)),4)</f>
        <v>0</v>
      </c>
      <c r="AE95" s="20">
        <f>ROUND(IF(OR($A95&lt;VLOOKUP(AE$2,行为概览!$D$3:$U$33,3,0),$A95&gt;VLOOKUP(AE$2,行为概览!$D$3:$U$33,4,0)),0,VLOOKUP(AE$2,行为概览!$D$3:$U$33,6,0)),4)</f>
        <v>8.3299999999999999E-2</v>
      </c>
      <c r="AF95" s="20">
        <f>ROUND(IF(OR($A95&lt;VLOOKUP(AF$2,行为概览!$D$3:$U$33,3,0),$A95&gt;VLOOKUP(AF$2,行为概览!$D$3:$U$33,4,0)),0,VLOOKUP(AF$2,行为概览!$D$3:$U$33,6,0)),4)</f>
        <v>0</v>
      </c>
    </row>
    <row r="96" spans="1:32">
      <c r="A96" s="19">
        <v>94</v>
      </c>
      <c r="B96" s="20">
        <f>ROUND(IF(OR($A96&lt;VLOOKUP(B$2,行为概览!$D$3:$U$33,3,0),$A96&gt;VLOOKUP(B$2,行为概览!$D$3:$U$33,4,0)),0,VLOOKUP(B$2,行为概览!$D$3:$U$33,6,0)),4)</f>
        <v>0.33329999999999999</v>
      </c>
      <c r="C96" s="20">
        <f>ROUND(IF(OR($A96&lt;VLOOKUP(C$2,行为概览!$D$3:$U$33,3,0),$A96&gt;VLOOKUP(C$2,行为概览!$D$3:$U$33,4,0)),0,VLOOKUP(C$2,行为概览!$D$3:$U$33,6,0)),4)</f>
        <v>2</v>
      </c>
      <c r="D96" s="20">
        <f>ROUND(IF(OR($A96&lt;VLOOKUP(D$2,行为概览!$D$3:$U$33,3,0),$A96&gt;VLOOKUP(D$2,行为概览!$D$3:$U$33,4,0)),0,VLOOKUP(D$2,行为概览!$D$3:$U$33,6,0)),4)</f>
        <v>8.3299999999999999E-2</v>
      </c>
      <c r="E96" s="20">
        <f>ROUND(IF(OR($A96&lt;VLOOKUP(E$2,行为概览!$D$3:$U$33,3,0),$A96&gt;VLOOKUP(E$2,行为概览!$D$3:$U$33,4,0)),0,VLOOKUP(E$2,行为概览!$D$3:$U$33,6,0)),4)</f>
        <v>1</v>
      </c>
      <c r="F96" s="20">
        <f>ROUND(IF(OR($A96&lt;VLOOKUP(F$2,行为概览!$D$3:$U$33,3,0),$A96&gt;VLOOKUP(F$2,行为概览!$D$3:$U$33,4,0)),0,VLOOKUP(F$2,行为概览!$D$3:$U$33,6,0)),4)</f>
        <v>0.33329999999999999</v>
      </c>
      <c r="G96" s="20">
        <f>ROUND(IF(OR($A96&lt;VLOOKUP(G$2,行为概览!$D$3:$U$33,3,0),$A96&gt;VLOOKUP(G$2,行为概览!$D$3:$U$33,4,0)),0,VLOOKUP(G$2,行为概览!$D$3:$U$33,6,0)),4)</f>
        <v>0</v>
      </c>
      <c r="H96" s="20">
        <f>ROUND(IF(OR($A96&lt;VLOOKUP(H$2,行为概览!$D$3:$U$33,3,0),$A96&gt;VLOOKUP(H$2,行为概览!$D$3:$U$33,4,0)),0,VLOOKUP(H$2,行为概览!$D$3:$U$33,6,0)),4)</f>
        <v>0</v>
      </c>
      <c r="I96" s="20">
        <f>ROUND(IF(OR($A96&lt;VLOOKUP(I$2,行为概览!$D$3:$U$33,3,0),$A96&gt;VLOOKUP(I$2,行为概览!$D$3:$U$33,4,0)),0,VLOOKUP(I$2,行为概览!$D$3:$U$33,6,0)),4)</f>
        <v>0</v>
      </c>
      <c r="J96" s="20">
        <f>ROUND(IF(OR($A96&lt;VLOOKUP(J$2,行为概览!$D$3:$U$33,3,0),$A96&gt;VLOOKUP(J$2,行为概览!$D$3:$U$33,4,0)),0,VLOOKUP(J$2,行为概览!$D$3:$U$33,6,0)),4)</f>
        <v>0.5</v>
      </c>
      <c r="K96" s="20">
        <f>ROUND(IF(OR($A96&lt;VLOOKUP(K$2,行为概览!$D$3:$U$33,3,0),$A96&gt;VLOOKUP(K$2,行为概览!$D$3:$U$33,4,0)),0,VLOOKUP(K$2,行为概览!$D$3:$U$33,6,0)),4)</f>
        <v>0.16669999999999999</v>
      </c>
      <c r="L96" s="20">
        <f>ROUND(IF(OR($A96&lt;VLOOKUP(L$2,行为概览!$D$3:$U$33,3,0),$A96&gt;VLOOKUP(L$2,行为概览!$D$3:$U$33,4,0)),0,VLOOKUP(L$2,行为概览!$D$3:$U$33,6,0)),4)</f>
        <v>0.5</v>
      </c>
      <c r="M96" s="20">
        <f>ROUND(IF(OR($A96&lt;VLOOKUP(M$2,行为概览!$D$3:$U$33,3,0),$A96&gt;VLOOKUP(M$2,行为概览!$D$3:$U$33,4,0)),0,VLOOKUP(M$2,行为概览!$D$3:$U$33,6,0)),4)</f>
        <v>12</v>
      </c>
      <c r="N96" s="20">
        <f>ROUND(IF(OR($A96&lt;VLOOKUP(N$2,行为概览!$D$3:$U$33,3,0),$A96&gt;VLOOKUP(N$2,行为概览!$D$3:$U$33,4,0)),0,VLOOKUP(N$2,行为概览!$D$3:$U$33,6,0)),4)</f>
        <v>8.3299999999999999E-2</v>
      </c>
      <c r="O96" s="20">
        <f>ROUND(IF(OR($A96&lt;VLOOKUP(O$2,行为概览!$D$3:$U$33,3,0),$A96&gt;VLOOKUP(O$2,行为概览!$D$3:$U$33,4,0)),0,VLOOKUP(O$2,行为概览!$D$3:$U$33,6,0)),4)</f>
        <v>8.3299999999999999E-2</v>
      </c>
      <c r="P96" s="20">
        <f>ROUND(IF(OR($A96&lt;VLOOKUP(P$2,行为概览!$D$3:$U$33,3,0),$A96&gt;VLOOKUP(P$2,行为概览!$D$3:$U$33,4,0)),0,VLOOKUP(P$2,行为概览!$D$3:$U$33,6,0)),4)</f>
        <v>2.6</v>
      </c>
      <c r="Q96" s="20">
        <f>ROUND(IF(OR($A96&lt;VLOOKUP(Q$2,行为概览!$D$3:$U$33,3,0),$A96&gt;VLOOKUP(Q$2,行为概览!$D$3:$U$33,4,0)),0,VLOOKUP(Q$2,行为概览!$D$3:$U$33,6,0)),4)</f>
        <v>1</v>
      </c>
      <c r="R96" s="20">
        <f>ROUND(IF(OR($A96&lt;VLOOKUP(R$2,行为概览!$D$3:$U$33,3,0),$A96&gt;VLOOKUP(R$2,行为概览!$D$3:$U$33,4,0)),0,VLOOKUP(R$2,行为概览!$D$3:$U$33,6,0)),4)</f>
        <v>0.33329999999999999</v>
      </c>
      <c r="S96" s="20">
        <f>ROUND(IF(OR($A96&lt;VLOOKUP(S$2,行为概览!$D$3:$U$33,3,0),$A96&gt;VLOOKUP(S$2,行为概览!$D$3:$U$33,4,0)),0,VLOOKUP(S$2,行为概览!$D$3:$U$33,6,0)),4)</f>
        <v>0</v>
      </c>
      <c r="T96" s="20">
        <f>ROUND(IF(OR($A96&lt;VLOOKUP(T$2,行为概览!$D$3:$U$33,3,0),$A96&gt;VLOOKUP(T$2,行为概览!$D$3:$U$33,4,0)),0,VLOOKUP(T$2,行为概览!$D$3:$U$33,6,0)),4)</f>
        <v>0.33329999999999999</v>
      </c>
      <c r="U96" s="20">
        <f>ROUND(IF(OR($A96&lt;VLOOKUP(U$2,行为概览!$D$3:$U$33,3,0),$A96&gt;VLOOKUP(U$2,行为概览!$D$3:$U$33,4,0)),0,VLOOKUP(U$2,行为概览!$D$3:$U$33,6,0)),4)</f>
        <v>0.16669999999999999</v>
      </c>
      <c r="V96" s="20">
        <f>ROUND(IF(OR($A96&lt;VLOOKUP(V$2,行为概览!$D$3:$U$33,3,0),$A96&gt;VLOOKUP(V$2,行为概览!$D$3:$U$33,4,0)),0,VLOOKUP(V$2,行为概览!$D$3:$U$33,6,0)),4)</f>
        <v>0.16669999999999999</v>
      </c>
      <c r="W96" s="20">
        <f>ROUND(IF(OR($A96&lt;VLOOKUP(W$2,行为概览!$D$3:$U$33,3,0),$A96&gt;VLOOKUP(W$2,行为概览!$D$3:$U$33,4,0)),0,VLOOKUP(W$2,行为概览!$D$3:$U$33,6,0)),4)</f>
        <v>0.16669999999999999</v>
      </c>
      <c r="X96" s="20">
        <f>ROUND(IF(OR($A96&lt;VLOOKUP(X$2,行为概览!$D$3:$U$33,3,0),$A96&gt;VLOOKUP(X$2,行为概览!$D$3:$U$33,4,0)),0,VLOOKUP(X$2,行为概览!$D$3:$U$33,6,0)),4)</f>
        <v>0.25</v>
      </c>
      <c r="Y96" s="20">
        <f>ROUND(IF(OR($A96&lt;VLOOKUP(Y$2,行为概览!$D$3:$U$33,3,0),$A96&gt;VLOOKUP(Y$2,行为概览!$D$3:$U$33,4,0)),0,VLOOKUP(Y$2,行为概览!$D$3:$U$33,6,0)),4)</f>
        <v>0.58330000000000004</v>
      </c>
      <c r="Z96" s="20">
        <f>ROUND(IF(OR($A96&lt;VLOOKUP(Z$2,行为概览!$D$3:$U$33,3,0),$A96&gt;VLOOKUP(Z$2,行为概览!$D$3:$U$33,4,0)),0,VLOOKUP(Z$2,行为概览!$D$3:$U$33,6,0)),4)</f>
        <v>0.16669999999999999</v>
      </c>
      <c r="AA96" s="20">
        <f>ROUND(IF(OR($A96&lt;VLOOKUP(AA$2,行为概览!$D$3:$U$33,3,0),$A96&gt;VLOOKUP(AA$2,行为概览!$D$3:$U$33,4,0)),0,VLOOKUP(AA$2,行为概览!$D$3:$U$33,6,0)),4)</f>
        <v>0</v>
      </c>
      <c r="AB96" s="20">
        <f>ROUND(IF(OR($A96&lt;VLOOKUP(AB$2,行为概览!$D$3:$U$33,3,0),$A96&gt;VLOOKUP(AB$2,行为概览!$D$3:$U$33,4,0)),0,VLOOKUP(AB$2,行为概览!$D$3:$U$33,6,0)),4)</f>
        <v>0</v>
      </c>
      <c r="AC96" s="20">
        <f>ROUND(IF(OR($A96&lt;VLOOKUP(AC$2,行为概览!$D$3:$U$33,3,0),$A96&gt;VLOOKUP(AC$2,行为概览!$D$3:$U$33,4,0)),0,VLOOKUP(AC$2,行为概览!$D$3:$U$33,6,0)),4)</f>
        <v>0</v>
      </c>
      <c r="AD96" s="20">
        <f>ROUND(IF(OR($A96&lt;VLOOKUP(AD$2,行为概览!$D$3:$U$33,3,0),$A96&gt;VLOOKUP(AD$2,行为概览!$D$3:$U$33,4,0)),0,VLOOKUP(AD$2,行为概览!$D$3:$U$33,6,0)),4)</f>
        <v>0</v>
      </c>
      <c r="AE96" s="20">
        <f>ROUND(IF(OR($A96&lt;VLOOKUP(AE$2,行为概览!$D$3:$U$33,3,0),$A96&gt;VLOOKUP(AE$2,行为概览!$D$3:$U$33,4,0)),0,VLOOKUP(AE$2,行为概览!$D$3:$U$33,6,0)),4)</f>
        <v>8.3299999999999999E-2</v>
      </c>
      <c r="AF96" s="20">
        <f>ROUND(IF(OR($A96&lt;VLOOKUP(AF$2,行为概览!$D$3:$U$33,3,0),$A96&gt;VLOOKUP(AF$2,行为概览!$D$3:$U$33,4,0)),0,VLOOKUP(AF$2,行为概览!$D$3:$U$33,6,0)),4)</f>
        <v>0</v>
      </c>
    </row>
    <row r="97" spans="1:32">
      <c r="A97" s="19">
        <v>95</v>
      </c>
      <c r="B97" s="20">
        <f>ROUND(IF(OR($A97&lt;VLOOKUP(B$2,行为概览!$D$3:$U$33,3,0),$A97&gt;VLOOKUP(B$2,行为概览!$D$3:$U$33,4,0)),0,VLOOKUP(B$2,行为概览!$D$3:$U$33,6,0)),4)</f>
        <v>0.33329999999999999</v>
      </c>
      <c r="C97" s="20">
        <f>ROUND(IF(OR($A97&lt;VLOOKUP(C$2,行为概览!$D$3:$U$33,3,0),$A97&gt;VLOOKUP(C$2,行为概览!$D$3:$U$33,4,0)),0,VLOOKUP(C$2,行为概览!$D$3:$U$33,6,0)),4)</f>
        <v>2</v>
      </c>
      <c r="D97" s="20">
        <f>ROUND(IF(OR($A97&lt;VLOOKUP(D$2,行为概览!$D$3:$U$33,3,0),$A97&gt;VLOOKUP(D$2,行为概览!$D$3:$U$33,4,0)),0,VLOOKUP(D$2,行为概览!$D$3:$U$33,6,0)),4)</f>
        <v>8.3299999999999999E-2</v>
      </c>
      <c r="E97" s="20">
        <f>ROUND(IF(OR($A97&lt;VLOOKUP(E$2,行为概览!$D$3:$U$33,3,0),$A97&gt;VLOOKUP(E$2,行为概览!$D$3:$U$33,4,0)),0,VLOOKUP(E$2,行为概览!$D$3:$U$33,6,0)),4)</f>
        <v>1</v>
      </c>
      <c r="F97" s="20">
        <f>ROUND(IF(OR($A97&lt;VLOOKUP(F$2,行为概览!$D$3:$U$33,3,0),$A97&gt;VLOOKUP(F$2,行为概览!$D$3:$U$33,4,0)),0,VLOOKUP(F$2,行为概览!$D$3:$U$33,6,0)),4)</f>
        <v>0.33329999999999999</v>
      </c>
      <c r="G97" s="20">
        <f>ROUND(IF(OR($A97&lt;VLOOKUP(G$2,行为概览!$D$3:$U$33,3,0),$A97&gt;VLOOKUP(G$2,行为概览!$D$3:$U$33,4,0)),0,VLOOKUP(G$2,行为概览!$D$3:$U$33,6,0)),4)</f>
        <v>0</v>
      </c>
      <c r="H97" s="20">
        <f>ROUND(IF(OR($A97&lt;VLOOKUP(H$2,行为概览!$D$3:$U$33,3,0),$A97&gt;VLOOKUP(H$2,行为概览!$D$3:$U$33,4,0)),0,VLOOKUP(H$2,行为概览!$D$3:$U$33,6,0)),4)</f>
        <v>0</v>
      </c>
      <c r="I97" s="20">
        <f>ROUND(IF(OR($A97&lt;VLOOKUP(I$2,行为概览!$D$3:$U$33,3,0),$A97&gt;VLOOKUP(I$2,行为概览!$D$3:$U$33,4,0)),0,VLOOKUP(I$2,行为概览!$D$3:$U$33,6,0)),4)</f>
        <v>0</v>
      </c>
      <c r="J97" s="20">
        <f>ROUND(IF(OR($A97&lt;VLOOKUP(J$2,行为概览!$D$3:$U$33,3,0),$A97&gt;VLOOKUP(J$2,行为概览!$D$3:$U$33,4,0)),0,VLOOKUP(J$2,行为概览!$D$3:$U$33,6,0)),4)</f>
        <v>0.5</v>
      </c>
      <c r="K97" s="20">
        <f>ROUND(IF(OR($A97&lt;VLOOKUP(K$2,行为概览!$D$3:$U$33,3,0),$A97&gt;VLOOKUP(K$2,行为概览!$D$3:$U$33,4,0)),0,VLOOKUP(K$2,行为概览!$D$3:$U$33,6,0)),4)</f>
        <v>0.16669999999999999</v>
      </c>
      <c r="L97" s="20">
        <f>ROUND(IF(OR($A97&lt;VLOOKUP(L$2,行为概览!$D$3:$U$33,3,0),$A97&gt;VLOOKUP(L$2,行为概览!$D$3:$U$33,4,0)),0,VLOOKUP(L$2,行为概览!$D$3:$U$33,6,0)),4)</f>
        <v>0.5</v>
      </c>
      <c r="M97" s="20">
        <f>ROUND(IF(OR($A97&lt;VLOOKUP(M$2,行为概览!$D$3:$U$33,3,0),$A97&gt;VLOOKUP(M$2,行为概览!$D$3:$U$33,4,0)),0,VLOOKUP(M$2,行为概览!$D$3:$U$33,6,0)),4)</f>
        <v>12</v>
      </c>
      <c r="N97" s="20">
        <f>ROUND(IF(OR($A97&lt;VLOOKUP(N$2,行为概览!$D$3:$U$33,3,0),$A97&gt;VLOOKUP(N$2,行为概览!$D$3:$U$33,4,0)),0,VLOOKUP(N$2,行为概览!$D$3:$U$33,6,0)),4)</f>
        <v>8.3299999999999999E-2</v>
      </c>
      <c r="O97" s="20">
        <f>ROUND(IF(OR($A97&lt;VLOOKUP(O$2,行为概览!$D$3:$U$33,3,0),$A97&gt;VLOOKUP(O$2,行为概览!$D$3:$U$33,4,0)),0,VLOOKUP(O$2,行为概览!$D$3:$U$33,6,0)),4)</f>
        <v>8.3299999999999999E-2</v>
      </c>
      <c r="P97" s="20">
        <f>ROUND(IF(OR($A97&lt;VLOOKUP(P$2,行为概览!$D$3:$U$33,3,0),$A97&gt;VLOOKUP(P$2,行为概览!$D$3:$U$33,4,0)),0,VLOOKUP(P$2,行为概览!$D$3:$U$33,6,0)),4)</f>
        <v>2.6</v>
      </c>
      <c r="Q97" s="20">
        <f>ROUND(IF(OR($A97&lt;VLOOKUP(Q$2,行为概览!$D$3:$U$33,3,0),$A97&gt;VLOOKUP(Q$2,行为概览!$D$3:$U$33,4,0)),0,VLOOKUP(Q$2,行为概览!$D$3:$U$33,6,0)),4)</f>
        <v>1</v>
      </c>
      <c r="R97" s="20">
        <f>ROUND(IF(OR($A97&lt;VLOOKUP(R$2,行为概览!$D$3:$U$33,3,0),$A97&gt;VLOOKUP(R$2,行为概览!$D$3:$U$33,4,0)),0,VLOOKUP(R$2,行为概览!$D$3:$U$33,6,0)),4)</f>
        <v>0.33329999999999999</v>
      </c>
      <c r="S97" s="20">
        <f>ROUND(IF(OR($A97&lt;VLOOKUP(S$2,行为概览!$D$3:$U$33,3,0),$A97&gt;VLOOKUP(S$2,行为概览!$D$3:$U$33,4,0)),0,VLOOKUP(S$2,行为概览!$D$3:$U$33,6,0)),4)</f>
        <v>0</v>
      </c>
      <c r="T97" s="20">
        <f>ROUND(IF(OR($A97&lt;VLOOKUP(T$2,行为概览!$D$3:$U$33,3,0),$A97&gt;VLOOKUP(T$2,行为概览!$D$3:$U$33,4,0)),0,VLOOKUP(T$2,行为概览!$D$3:$U$33,6,0)),4)</f>
        <v>0.33329999999999999</v>
      </c>
      <c r="U97" s="20">
        <f>ROUND(IF(OR($A97&lt;VLOOKUP(U$2,行为概览!$D$3:$U$33,3,0),$A97&gt;VLOOKUP(U$2,行为概览!$D$3:$U$33,4,0)),0,VLOOKUP(U$2,行为概览!$D$3:$U$33,6,0)),4)</f>
        <v>0.16669999999999999</v>
      </c>
      <c r="V97" s="20">
        <f>ROUND(IF(OR($A97&lt;VLOOKUP(V$2,行为概览!$D$3:$U$33,3,0),$A97&gt;VLOOKUP(V$2,行为概览!$D$3:$U$33,4,0)),0,VLOOKUP(V$2,行为概览!$D$3:$U$33,6,0)),4)</f>
        <v>0.16669999999999999</v>
      </c>
      <c r="W97" s="20">
        <f>ROUND(IF(OR($A97&lt;VLOOKUP(W$2,行为概览!$D$3:$U$33,3,0),$A97&gt;VLOOKUP(W$2,行为概览!$D$3:$U$33,4,0)),0,VLOOKUP(W$2,行为概览!$D$3:$U$33,6,0)),4)</f>
        <v>0.16669999999999999</v>
      </c>
      <c r="X97" s="20">
        <f>ROUND(IF(OR($A97&lt;VLOOKUP(X$2,行为概览!$D$3:$U$33,3,0),$A97&gt;VLOOKUP(X$2,行为概览!$D$3:$U$33,4,0)),0,VLOOKUP(X$2,行为概览!$D$3:$U$33,6,0)),4)</f>
        <v>0.25</v>
      </c>
      <c r="Y97" s="20">
        <f>ROUND(IF(OR($A97&lt;VLOOKUP(Y$2,行为概览!$D$3:$U$33,3,0),$A97&gt;VLOOKUP(Y$2,行为概览!$D$3:$U$33,4,0)),0,VLOOKUP(Y$2,行为概览!$D$3:$U$33,6,0)),4)</f>
        <v>0.58330000000000004</v>
      </c>
      <c r="Z97" s="20">
        <f>ROUND(IF(OR($A97&lt;VLOOKUP(Z$2,行为概览!$D$3:$U$33,3,0),$A97&gt;VLOOKUP(Z$2,行为概览!$D$3:$U$33,4,0)),0,VLOOKUP(Z$2,行为概览!$D$3:$U$33,6,0)),4)</f>
        <v>0.16669999999999999</v>
      </c>
      <c r="AA97" s="20">
        <f>ROUND(IF(OR($A97&lt;VLOOKUP(AA$2,行为概览!$D$3:$U$33,3,0),$A97&gt;VLOOKUP(AA$2,行为概览!$D$3:$U$33,4,0)),0,VLOOKUP(AA$2,行为概览!$D$3:$U$33,6,0)),4)</f>
        <v>0</v>
      </c>
      <c r="AB97" s="20">
        <f>ROUND(IF(OR($A97&lt;VLOOKUP(AB$2,行为概览!$D$3:$U$33,3,0),$A97&gt;VLOOKUP(AB$2,行为概览!$D$3:$U$33,4,0)),0,VLOOKUP(AB$2,行为概览!$D$3:$U$33,6,0)),4)</f>
        <v>0</v>
      </c>
      <c r="AC97" s="20">
        <f>ROUND(IF(OR($A97&lt;VLOOKUP(AC$2,行为概览!$D$3:$U$33,3,0),$A97&gt;VLOOKUP(AC$2,行为概览!$D$3:$U$33,4,0)),0,VLOOKUP(AC$2,行为概览!$D$3:$U$33,6,0)),4)</f>
        <v>0</v>
      </c>
      <c r="AD97" s="20">
        <f>ROUND(IF(OR($A97&lt;VLOOKUP(AD$2,行为概览!$D$3:$U$33,3,0),$A97&gt;VLOOKUP(AD$2,行为概览!$D$3:$U$33,4,0)),0,VLOOKUP(AD$2,行为概览!$D$3:$U$33,6,0)),4)</f>
        <v>0</v>
      </c>
      <c r="AE97" s="20">
        <f>ROUND(IF(OR($A97&lt;VLOOKUP(AE$2,行为概览!$D$3:$U$33,3,0),$A97&gt;VLOOKUP(AE$2,行为概览!$D$3:$U$33,4,0)),0,VLOOKUP(AE$2,行为概览!$D$3:$U$33,6,0)),4)</f>
        <v>8.3299999999999999E-2</v>
      </c>
      <c r="AF97" s="20">
        <f>ROUND(IF(OR($A97&lt;VLOOKUP(AF$2,行为概览!$D$3:$U$33,3,0),$A97&gt;VLOOKUP(AF$2,行为概览!$D$3:$U$33,4,0)),0,VLOOKUP(AF$2,行为概览!$D$3:$U$33,6,0)),4)</f>
        <v>0</v>
      </c>
    </row>
    <row r="98" spans="1:32">
      <c r="A98" s="19">
        <v>96</v>
      </c>
      <c r="B98" s="20">
        <f>ROUND(IF(OR($A98&lt;VLOOKUP(B$2,行为概览!$D$3:$U$33,3,0),$A98&gt;VLOOKUP(B$2,行为概览!$D$3:$U$33,4,0)),0,VLOOKUP(B$2,行为概览!$D$3:$U$33,6,0)),4)</f>
        <v>0.33329999999999999</v>
      </c>
      <c r="C98" s="20">
        <f>ROUND(IF(OR($A98&lt;VLOOKUP(C$2,行为概览!$D$3:$U$33,3,0),$A98&gt;VLOOKUP(C$2,行为概览!$D$3:$U$33,4,0)),0,VLOOKUP(C$2,行为概览!$D$3:$U$33,6,0)),4)</f>
        <v>2</v>
      </c>
      <c r="D98" s="20">
        <f>ROUND(IF(OR($A98&lt;VLOOKUP(D$2,行为概览!$D$3:$U$33,3,0),$A98&gt;VLOOKUP(D$2,行为概览!$D$3:$U$33,4,0)),0,VLOOKUP(D$2,行为概览!$D$3:$U$33,6,0)),4)</f>
        <v>8.3299999999999999E-2</v>
      </c>
      <c r="E98" s="20">
        <f>ROUND(IF(OR($A98&lt;VLOOKUP(E$2,行为概览!$D$3:$U$33,3,0),$A98&gt;VLOOKUP(E$2,行为概览!$D$3:$U$33,4,0)),0,VLOOKUP(E$2,行为概览!$D$3:$U$33,6,0)),4)</f>
        <v>1</v>
      </c>
      <c r="F98" s="20">
        <f>ROUND(IF(OR($A98&lt;VLOOKUP(F$2,行为概览!$D$3:$U$33,3,0),$A98&gt;VLOOKUP(F$2,行为概览!$D$3:$U$33,4,0)),0,VLOOKUP(F$2,行为概览!$D$3:$U$33,6,0)),4)</f>
        <v>0.33329999999999999</v>
      </c>
      <c r="G98" s="20">
        <f>ROUND(IF(OR($A98&lt;VLOOKUP(G$2,行为概览!$D$3:$U$33,3,0),$A98&gt;VLOOKUP(G$2,行为概览!$D$3:$U$33,4,0)),0,VLOOKUP(G$2,行为概览!$D$3:$U$33,6,0)),4)</f>
        <v>0</v>
      </c>
      <c r="H98" s="20">
        <f>ROUND(IF(OR($A98&lt;VLOOKUP(H$2,行为概览!$D$3:$U$33,3,0),$A98&gt;VLOOKUP(H$2,行为概览!$D$3:$U$33,4,0)),0,VLOOKUP(H$2,行为概览!$D$3:$U$33,6,0)),4)</f>
        <v>0</v>
      </c>
      <c r="I98" s="20">
        <f>ROUND(IF(OR($A98&lt;VLOOKUP(I$2,行为概览!$D$3:$U$33,3,0),$A98&gt;VLOOKUP(I$2,行为概览!$D$3:$U$33,4,0)),0,VLOOKUP(I$2,行为概览!$D$3:$U$33,6,0)),4)</f>
        <v>0</v>
      </c>
      <c r="J98" s="20">
        <f>ROUND(IF(OR($A98&lt;VLOOKUP(J$2,行为概览!$D$3:$U$33,3,0),$A98&gt;VLOOKUP(J$2,行为概览!$D$3:$U$33,4,0)),0,VLOOKUP(J$2,行为概览!$D$3:$U$33,6,0)),4)</f>
        <v>0.5</v>
      </c>
      <c r="K98" s="20">
        <f>ROUND(IF(OR($A98&lt;VLOOKUP(K$2,行为概览!$D$3:$U$33,3,0),$A98&gt;VLOOKUP(K$2,行为概览!$D$3:$U$33,4,0)),0,VLOOKUP(K$2,行为概览!$D$3:$U$33,6,0)),4)</f>
        <v>0.16669999999999999</v>
      </c>
      <c r="L98" s="20">
        <f>ROUND(IF(OR($A98&lt;VLOOKUP(L$2,行为概览!$D$3:$U$33,3,0),$A98&gt;VLOOKUP(L$2,行为概览!$D$3:$U$33,4,0)),0,VLOOKUP(L$2,行为概览!$D$3:$U$33,6,0)),4)</f>
        <v>0.5</v>
      </c>
      <c r="M98" s="20">
        <f>ROUND(IF(OR($A98&lt;VLOOKUP(M$2,行为概览!$D$3:$U$33,3,0),$A98&gt;VLOOKUP(M$2,行为概览!$D$3:$U$33,4,0)),0,VLOOKUP(M$2,行为概览!$D$3:$U$33,6,0)),4)</f>
        <v>12</v>
      </c>
      <c r="N98" s="20">
        <f>ROUND(IF(OR($A98&lt;VLOOKUP(N$2,行为概览!$D$3:$U$33,3,0),$A98&gt;VLOOKUP(N$2,行为概览!$D$3:$U$33,4,0)),0,VLOOKUP(N$2,行为概览!$D$3:$U$33,6,0)),4)</f>
        <v>8.3299999999999999E-2</v>
      </c>
      <c r="O98" s="20">
        <f>ROUND(IF(OR($A98&lt;VLOOKUP(O$2,行为概览!$D$3:$U$33,3,0),$A98&gt;VLOOKUP(O$2,行为概览!$D$3:$U$33,4,0)),0,VLOOKUP(O$2,行为概览!$D$3:$U$33,6,0)),4)</f>
        <v>8.3299999999999999E-2</v>
      </c>
      <c r="P98" s="20">
        <f>ROUND(IF(OR($A98&lt;VLOOKUP(P$2,行为概览!$D$3:$U$33,3,0),$A98&gt;VLOOKUP(P$2,行为概览!$D$3:$U$33,4,0)),0,VLOOKUP(P$2,行为概览!$D$3:$U$33,6,0)),4)</f>
        <v>2.6</v>
      </c>
      <c r="Q98" s="20">
        <f>ROUND(IF(OR($A98&lt;VLOOKUP(Q$2,行为概览!$D$3:$U$33,3,0),$A98&gt;VLOOKUP(Q$2,行为概览!$D$3:$U$33,4,0)),0,VLOOKUP(Q$2,行为概览!$D$3:$U$33,6,0)),4)</f>
        <v>1</v>
      </c>
      <c r="R98" s="20">
        <f>ROUND(IF(OR($A98&lt;VLOOKUP(R$2,行为概览!$D$3:$U$33,3,0),$A98&gt;VLOOKUP(R$2,行为概览!$D$3:$U$33,4,0)),0,VLOOKUP(R$2,行为概览!$D$3:$U$33,6,0)),4)</f>
        <v>0.33329999999999999</v>
      </c>
      <c r="S98" s="20">
        <f>ROUND(IF(OR($A98&lt;VLOOKUP(S$2,行为概览!$D$3:$U$33,3,0),$A98&gt;VLOOKUP(S$2,行为概览!$D$3:$U$33,4,0)),0,VLOOKUP(S$2,行为概览!$D$3:$U$33,6,0)),4)</f>
        <v>0</v>
      </c>
      <c r="T98" s="20">
        <f>ROUND(IF(OR($A98&lt;VLOOKUP(T$2,行为概览!$D$3:$U$33,3,0),$A98&gt;VLOOKUP(T$2,行为概览!$D$3:$U$33,4,0)),0,VLOOKUP(T$2,行为概览!$D$3:$U$33,6,0)),4)</f>
        <v>0.33329999999999999</v>
      </c>
      <c r="U98" s="20">
        <f>ROUND(IF(OR($A98&lt;VLOOKUP(U$2,行为概览!$D$3:$U$33,3,0),$A98&gt;VLOOKUP(U$2,行为概览!$D$3:$U$33,4,0)),0,VLOOKUP(U$2,行为概览!$D$3:$U$33,6,0)),4)</f>
        <v>0.16669999999999999</v>
      </c>
      <c r="V98" s="20">
        <f>ROUND(IF(OR($A98&lt;VLOOKUP(V$2,行为概览!$D$3:$U$33,3,0),$A98&gt;VLOOKUP(V$2,行为概览!$D$3:$U$33,4,0)),0,VLOOKUP(V$2,行为概览!$D$3:$U$33,6,0)),4)</f>
        <v>0.16669999999999999</v>
      </c>
      <c r="W98" s="20">
        <f>ROUND(IF(OR($A98&lt;VLOOKUP(W$2,行为概览!$D$3:$U$33,3,0),$A98&gt;VLOOKUP(W$2,行为概览!$D$3:$U$33,4,0)),0,VLOOKUP(W$2,行为概览!$D$3:$U$33,6,0)),4)</f>
        <v>0.16669999999999999</v>
      </c>
      <c r="X98" s="20">
        <f>ROUND(IF(OR($A98&lt;VLOOKUP(X$2,行为概览!$D$3:$U$33,3,0),$A98&gt;VLOOKUP(X$2,行为概览!$D$3:$U$33,4,0)),0,VLOOKUP(X$2,行为概览!$D$3:$U$33,6,0)),4)</f>
        <v>0.25</v>
      </c>
      <c r="Y98" s="20">
        <f>ROUND(IF(OR($A98&lt;VLOOKUP(Y$2,行为概览!$D$3:$U$33,3,0),$A98&gt;VLOOKUP(Y$2,行为概览!$D$3:$U$33,4,0)),0,VLOOKUP(Y$2,行为概览!$D$3:$U$33,6,0)),4)</f>
        <v>0.58330000000000004</v>
      </c>
      <c r="Z98" s="20">
        <f>ROUND(IF(OR($A98&lt;VLOOKUP(Z$2,行为概览!$D$3:$U$33,3,0),$A98&gt;VLOOKUP(Z$2,行为概览!$D$3:$U$33,4,0)),0,VLOOKUP(Z$2,行为概览!$D$3:$U$33,6,0)),4)</f>
        <v>0.16669999999999999</v>
      </c>
      <c r="AA98" s="20">
        <f>ROUND(IF(OR($A98&lt;VLOOKUP(AA$2,行为概览!$D$3:$U$33,3,0),$A98&gt;VLOOKUP(AA$2,行为概览!$D$3:$U$33,4,0)),0,VLOOKUP(AA$2,行为概览!$D$3:$U$33,6,0)),4)</f>
        <v>0</v>
      </c>
      <c r="AB98" s="20">
        <f>ROUND(IF(OR($A98&lt;VLOOKUP(AB$2,行为概览!$D$3:$U$33,3,0),$A98&gt;VLOOKUP(AB$2,行为概览!$D$3:$U$33,4,0)),0,VLOOKUP(AB$2,行为概览!$D$3:$U$33,6,0)),4)</f>
        <v>0</v>
      </c>
      <c r="AC98" s="20">
        <f>ROUND(IF(OR($A98&lt;VLOOKUP(AC$2,行为概览!$D$3:$U$33,3,0),$A98&gt;VLOOKUP(AC$2,行为概览!$D$3:$U$33,4,0)),0,VLOOKUP(AC$2,行为概览!$D$3:$U$33,6,0)),4)</f>
        <v>0</v>
      </c>
      <c r="AD98" s="20">
        <f>ROUND(IF(OR($A98&lt;VLOOKUP(AD$2,行为概览!$D$3:$U$33,3,0),$A98&gt;VLOOKUP(AD$2,行为概览!$D$3:$U$33,4,0)),0,VLOOKUP(AD$2,行为概览!$D$3:$U$33,6,0)),4)</f>
        <v>0</v>
      </c>
      <c r="AE98" s="20">
        <f>ROUND(IF(OR($A98&lt;VLOOKUP(AE$2,行为概览!$D$3:$U$33,3,0),$A98&gt;VLOOKUP(AE$2,行为概览!$D$3:$U$33,4,0)),0,VLOOKUP(AE$2,行为概览!$D$3:$U$33,6,0)),4)</f>
        <v>8.3299999999999999E-2</v>
      </c>
      <c r="AF98" s="20">
        <f>ROUND(IF(OR($A98&lt;VLOOKUP(AF$2,行为概览!$D$3:$U$33,3,0),$A98&gt;VLOOKUP(AF$2,行为概览!$D$3:$U$33,4,0)),0,VLOOKUP(AF$2,行为概览!$D$3:$U$33,6,0)),4)</f>
        <v>0</v>
      </c>
    </row>
    <row r="99" spans="1:32">
      <c r="A99" s="19">
        <v>97</v>
      </c>
      <c r="B99" s="20">
        <f>ROUND(IF(OR($A99&lt;VLOOKUP(B$2,行为概览!$D$3:$U$33,3,0),$A99&gt;VLOOKUP(B$2,行为概览!$D$3:$U$33,4,0)),0,VLOOKUP(B$2,行为概览!$D$3:$U$33,6,0)),4)</f>
        <v>0.33329999999999999</v>
      </c>
      <c r="C99" s="20">
        <f>ROUND(IF(OR($A99&lt;VLOOKUP(C$2,行为概览!$D$3:$U$33,3,0),$A99&gt;VLOOKUP(C$2,行为概览!$D$3:$U$33,4,0)),0,VLOOKUP(C$2,行为概览!$D$3:$U$33,6,0)),4)</f>
        <v>2</v>
      </c>
      <c r="D99" s="20">
        <f>ROUND(IF(OR($A99&lt;VLOOKUP(D$2,行为概览!$D$3:$U$33,3,0),$A99&gt;VLOOKUP(D$2,行为概览!$D$3:$U$33,4,0)),0,VLOOKUP(D$2,行为概览!$D$3:$U$33,6,0)),4)</f>
        <v>8.3299999999999999E-2</v>
      </c>
      <c r="E99" s="20">
        <f>ROUND(IF(OR($A99&lt;VLOOKUP(E$2,行为概览!$D$3:$U$33,3,0),$A99&gt;VLOOKUP(E$2,行为概览!$D$3:$U$33,4,0)),0,VLOOKUP(E$2,行为概览!$D$3:$U$33,6,0)),4)</f>
        <v>1</v>
      </c>
      <c r="F99" s="20">
        <f>ROUND(IF(OR($A99&lt;VLOOKUP(F$2,行为概览!$D$3:$U$33,3,0),$A99&gt;VLOOKUP(F$2,行为概览!$D$3:$U$33,4,0)),0,VLOOKUP(F$2,行为概览!$D$3:$U$33,6,0)),4)</f>
        <v>0.33329999999999999</v>
      </c>
      <c r="G99" s="20">
        <f>ROUND(IF(OR($A99&lt;VLOOKUP(G$2,行为概览!$D$3:$U$33,3,0),$A99&gt;VLOOKUP(G$2,行为概览!$D$3:$U$33,4,0)),0,VLOOKUP(G$2,行为概览!$D$3:$U$33,6,0)),4)</f>
        <v>0</v>
      </c>
      <c r="H99" s="20">
        <f>ROUND(IF(OR($A99&lt;VLOOKUP(H$2,行为概览!$D$3:$U$33,3,0),$A99&gt;VLOOKUP(H$2,行为概览!$D$3:$U$33,4,0)),0,VLOOKUP(H$2,行为概览!$D$3:$U$33,6,0)),4)</f>
        <v>0</v>
      </c>
      <c r="I99" s="20">
        <f>ROUND(IF(OR($A99&lt;VLOOKUP(I$2,行为概览!$D$3:$U$33,3,0),$A99&gt;VLOOKUP(I$2,行为概览!$D$3:$U$33,4,0)),0,VLOOKUP(I$2,行为概览!$D$3:$U$33,6,0)),4)</f>
        <v>0</v>
      </c>
      <c r="J99" s="20">
        <f>ROUND(IF(OR($A99&lt;VLOOKUP(J$2,行为概览!$D$3:$U$33,3,0),$A99&gt;VLOOKUP(J$2,行为概览!$D$3:$U$33,4,0)),0,VLOOKUP(J$2,行为概览!$D$3:$U$33,6,0)),4)</f>
        <v>0.5</v>
      </c>
      <c r="K99" s="20">
        <f>ROUND(IF(OR($A99&lt;VLOOKUP(K$2,行为概览!$D$3:$U$33,3,0),$A99&gt;VLOOKUP(K$2,行为概览!$D$3:$U$33,4,0)),0,VLOOKUP(K$2,行为概览!$D$3:$U$33,6,0)),4)</f>
        <v>0.16669999999999999</v>
      </c>
      <c r="L99" s="20">
        <f>ROUND(IF(OR($A99&lt;VLOOKUP(L$2,行为概览!$D$3:$U$33,3,0),$A99&gt;VLOOKUP(L$2,行为概览!$D$3:$U$33,4,0)),0,VLOOKUP(L$2,行为概览!$D$3:$U$33,6,0)),4)</f>
        <v>0.5</v>
      </c>
      <c r="M99" s="20">
        <f>ROUND(IF(OR($A99&lt;VLOOKUP(M$2,行为概览!$D$3:$U$33,3,0),$A99&gt;VLOOKUP(M$2,行为概览!$D$3:$U$33,4,0)),0,VLOOKUP(M$2,行为概览!$D$3:$U$33,6,0)),4)</f>
        <v>12</v>
      </c>
      <c r="N99" s="20">
        <f>ROUND(IF(OR($A99&lt;VLOOKUP(N$2,行为概览!$D$3:$U$33,3,0),$A99&gt;VLOOKUP(N$2,行为概览!$D$3:$U$33,4,0)),0,VLOOKUP(N$2,行为概览!$D$3:$U$33,6,0)),4)</f>
        <v>8.3299999999999999E-2</v>
      </c>
      <c r="O99" s="20">
        <f>ROUND(IF(OR($A99&lt;VLOOKUP(O$2,行为概览!$D$3:$U$33,3,0),$A99&gt;VLOOKUP(O$2,行为概览!$D$3:$U$33,4,0)),0,VLOOKUP(O$2,行为概览!$D$3:$U$33,6,0)),4)</f>
        <v>8.3299999999999999E-2</v>
      </c>
      <c r="P99" s="20">
        <f>ROUND(IF(OR($A99&lt;VLOOKUP(P$2,行为概览!$D$3:$U$33,3,0),$A99&gt;VLOOKUP(P$2,行为概览!$D$3:$U$33,4,0)),0,VLOOKUP(P$2,行为概览!$D$3:$U$33,6,0)),4)</f>
        <v>2.6</v>
      </c>
      <c r="Q99" s="20">
        <f>ROUND(IF(OR($A99&lt;VLOOKUP(Q$2,行为概览!$D$3:$U$33,3,0),$A99&gt;VLOOKUP(Q$2,行为概览!$D$3:$U$33,4,0)),0,VLOOKUP(Q$2,行为概览!$D$3:$U$33,6,0)),4)</f>
        <v>1</v>
      </c>
      <c r="R99" s="20">
        <f>ROUND(IF(OR($A99&lt;VLOOKUP(R$2,行为概览!$D$3:$U$33,3,0),$A99&gt;VLOOKUP(R$2,行为概览!$D$3:$U$33,4,0)),0,VLOOKUP(R$2,行为概览!$D$3:$U$33,6,0)),4)</f>
        <v>0.33329999999999999</v>
      </c>
      <c r="S99" s="20">
        <f>ROUND(IF(OR($A99&lt;VLOOKUP(S$2,行为概览!$D$3:$U$33,3,0),$A99&gt;VLOOKUP(S$2,行为概览!$D$3:$U$33,4,0)),0,VLOOKUP(S$2,行为概览!$D$3:$U$33,6,0)),4)</f>
        <v>0</v>
      </c>
      <c r="T99" s="20">
        <f>ROUND(IF(OR($A99&lt;VLOOKUP(T$2,行为概览!$D$3:$U$33,3,0),$A99&gt;VLOOKUP(T$2,行为概览!$D$3:$U$33,4,0)),0,VLOOKUP(T$2,行为概览!$D$3:$U$33,6,0)),4)</f>
        <v>0.33329999999999999</v>
      </c>
      <c r="U99" s="20">
        <f>ROUND(IF(OR($A99&lt;VLOOKUP(U$2,行为概览!$D$3:$U$33,3,0),$A99&gt;VLOOKUP(U$2,行为概览!$D$3:$U$33,4,0)),0,VLOOKUP(U$2,行为概览!$D$3:$U$33,6,0)),4)</f>
        <v>0.16669999999999999</v>
      </c>
      <c r="V99" s="20">
        <f>ROUND(IF(OR($A99&lt;VLOOKUP(V$2,行为概览!$D$3:$U$33,3,0),$A99&gt;VLOOKUP(V$2,行为概览!$D$3:$U$33,4,0)),0,VLOOKUP(V$2,行为概览!$D$3:$U$33,6,0)),4)</f>
        <v>0.16669999999999999</v>
      </c>
      <c r="W99" s="20">
        <f>ROUND(IF(OR($A99&lt;VLOOKUP(W$2,行为概览!$D$3:$U$33,3,0),$A99&gt;VLOOKUP(W$2,行为概览!$D$3:$U$33,4,0)),0,VLOOKUP(W$2,行为概览!$D$3:$U$33,6,0)),4)</f>
        <v>0.16669999999999999</v>
      </c>
      <c r="X99" s="20">
        <f>ROUND(IF(OR($A99&lt;VLOOKUP(X$2,行为概览!$D$3:$U$33,3,0),$A99&gt;VLOOKUP(X$2,行为概览!$D$3:$U$33,4,0)),0,VLOOKUP(X$2,行为概览!$D$3:$U$33,6,0)),4)</f>
        <v>0.25</v>
      </c>
      <c r="Y99" s="20">
        <f>ROUND(IF(OR($A99&lt;VLOOKUP(Y$2,行为概览!$D$3:$U$33,3,0),$A99&gt;VLOOKUP(Y$2,行为概览!$D$3:$U$33,4,0)),0,VLOOKUP(Y$2,行为概览!$D$3:$U$33,6,0)),4)</f>
        <v>0.58330000000000004</v>
      </c>
      <c r="Z99" s="20">
        <f>ROUND(IF(OR($A99&lt;VLOOKUP(Z$2,行为概览!$D$3:$U$33,3,0),$A99&gt;VLOOKUP(Z$2,行为概览!$D$3:$U$33,4,0)),0,VLOOKUP(Z$2,行为概览!$D$3:$U$33,6,0)),4)</f>
        <v>0.16669999999999999</v>
      </c>
      <c r="AA99" s="20">
        <f>ROUND(IF(OR($A99&lt;VLOOKUP(AA$2,行为概览!$D$3:$U$33,3,0),$A99&gt;VLOOKUP(AA$2,行为概览!$D$3:$U$33,4,0)),0,VLOOKUP(AA$2,行为概览!$D$3:$U$33,6,0)),4)</f>
        <v>0</v>
      </c>
      <c r="AB99" s="20">
        <f>ROUND(IF(OR($A99&lt;VLOOKUP(AB$2,行为概览!$D$3:$U$33,3,0),$A99&gt;VLOOKUP(AB$2,行为概览!$D$3:$U$33,4,0)),0,VLOOKUP(AB$2,行为概览!$D$3:$U$33,6,0)),4)</f>
        <v>0</v>
      </c>
      <c r="AC99" s="20">
        <f>ROUND(IF(OR($A99&lt;VLOOKUP(AC$2,行为概览!$D$3:$U$33,3,0),$A99&gt;VLOOKUP(AC$2,行为概览!$D$3:$U$33,4,0)),0,VLOOKUP(AC$2,行为概览!$D$3:$U$33,6,0)),4)</f>
        <v>0</v>
      </c>
      <c r="AD99" s="20">
        <f>ROUND(IF(OR($A99&lt;VLOOKUP(AD$2,行为概览!$D$3:$U$33,3,0),$A99&gt;VLOOKUP(AD$2,行为概览!$D$3:$U$33,4,0)),0,VLOOKUP(AD$2,行为概览!$D$3:$U$33,6,0)),4)</f>
        <v>0</v>
      </c>
      <c r="AE99" s="20">
        <f>ROUND(IF(OR($A99&lt;VLOOKUP(AE$2,行为概览!$D$3:$U$33,3,0),$A99&gt;VLOOKUP(AE$2,行为概览!$D$3:$U$33,4,0)),0,VLOOKUP(AE$2,行为概览!$D$3:$U$33,6,0)),4)</f>
        <v>8.3299999999999999E-2</v>
      </c>
      <c r="AF99" s="20">
        <f>ROUND(IF(OR($A99&lt;VLOOKUP(AF$2,行为概览!$D$3:$U$33,3,0),$A99&gt;VLOOKUP(AF$2,行为概览!$D$3:$U$33,4,0)),0,VLOOKUP(AF$2,行为概览!$D$3:$U$33,6,0)),4)</f>
        <v>0</v>
      </c>
    </row>
    <row r="100" spans="1:32">
      <c r="A100" s="19">
        <v>98</v>
      </c>
      <c r="B100" s="20">
        <f>ROUND(IF(OR($A100&lt;VLOOKUP(B$2,行为概览!$D$3:$U$33,3,0),$A100&gt;VLOOKUP(B$2,行为概览!$D$3:$U$33,4,0)),0,VLOOKUP(B$2,行为概览!$D$3:$U$33,6,0)),4)</f>
        <v>0.33329999999999999</v>
      </c>
      <c r="C100" s="20">
        <f>ROUND(IF(OR($A100&lt;VLOOKUP(C$2,行为概览!$D$3:$U$33,3,0),$A100&gt;VLOOKUP(C$2,行为概览!$D$3:$U$33,4,0)),0,VLOOKUP(C$2,行为概览!$D$3:$U$33,6,0)),4)</f>
        <v>2</v>
      </c>
      <c r="D100" s="20">
        <f>ROUND(IF(OR($A100&lt;VLOOKUP(D$2,行为概览!$D$3:$U$33,3,0),$A100&gt;VLOOKUP(D$2,行为概览!$D$3:$U$33,4,0)),0,VLOOKUP(D$2,行为概览!$D$3:$U$33,6,0)),4)</f>
        <v>8.3299999999999999E-2</v>
      </c>
      <c r="E100" s="20">
        <f>ROUND(IF(OR($A100&lt;VLOOKUP(E$2,行为概览!$D$3:$U$33,3,0),$A100&gt;VLOOKUP(E$2,行为概览!$D$3:$U$33,4,0)),0,VLOOKUP(E$2,行为概览!$D$3:$U$33,6,0)),4)</f>
        <v>1</v>
      </c>
      <c r="F100" s="20">
        <f>ROUND(IF(OR($A100&lt;VLOOKUP(F$2,行为概览!$D$3:$U$33,3,0),$A100&gt;VLOOKUP(F$2,行为概览!$D$3:$U$33,4,0)),0,VLOOKUP(F$2,行为概览!$D$3:$U$33,6,0)),4)</f>
        <v>0.33329999999999999</v>
      </c>
      <c r="G100" s="20">
        <f>ROUND(IF(OR($A100&lt;VLOOKUP(G$2,行为概览!$D$3:$U$33,3,0),$A100&gt;VLOOKUP(G$2,行为概览!$D$3:$U$33,4,0)),0,VLOOKUP(G$2,行为概览!$D$3:$U$33,6,0)),4)</f>
        <v>0</v>
      </c>
      <c r="H100" s="20">
        <f>ROUND(IF(OR($A100&lt;VLOOKUP(H$2,行为概览!$D$3:$U$33,3,0),$A100&gt;VLOOKUP(H$2,行为概览!$D$3:$U$33,4,0)),0,VLOOKUP(H$2,行为概览!$D$3:$U$33,6,0)),4)</f>
        <v>0</v>
      </c>
      <c r="I100" s="20">
        <f>ROUND(IF(OR($A100&lt;VLOOKUP(I$2,行为概览!$D$3:$U$33,3,0),$A100&gt;VLOOKUP(I$2,行为概览!$D$3:$U$33,4,0)),0,VLOOKUP(I$2,行为概览!$D$3:$U$33,6,0)),4)</f>
        <v>0</v>
      </c>
      <c r="J100" s="20">
        <f>ROUND(IF(OR($A100&lt;VLOOKUP(J$2,行为概览!$D$3:$U$33,3,0),$A100&gt;VLOOKUP(J$2,行为概览!$D$3:$U$33,4,0)),0,VLOOKUP(J$2,行为概览!$D$3:$U$33,6,0)),4)</f>
        <v>0.5</v>
      </c>
      <c r="K100" s="20">
        <f>ROUND(IF(OR($A100&lt;VLOOKUP(K$2,行为概览!$D$3:$U$33,3,0),$A100&gt;VLOOKUP(K$2,行为概览!$D$3:$U$33,4,0)),0,VLOOKUP(K$2,行为概览!$D$3:$U$33,6,0)),4)</f>
        <v>0.16669999999999999</v>
      </c>
      <c r="L100" s="20">
        <f>ROUND(IF(OR($A100&lt;VLOOKUP(L$2,行为概览!$D$3:$U$33,3,0),$A100&gt;VLOOKUP(L$2,行为概览!$D$3:$U$33,4,0)),0,VLOOKUP(L$2,行为概览!$D$3:$U$33,6,0)),4)</f>
        <v>0.5</v>
      </c>
      <c r="M100" s="20">
        <f>ROUND(IF(OR($A100&lt;VLOOKUP(M$2,行为概览!$D$3:$U$33,3,0),$A100&gt;VLOOKUP(M$2,行为概览!$D$3:$U$33,4,0)),0,VLOOKUP(M$2,行为概览!$D$3:$U$33,6,0)),4)</f>
        <v>12</v>
      </c>
      <c r="N100" s="20">
        <f>ROUND(IF(OR($A100&lt;VLOOKUP(N$2,行为概览!$D$3:$U$33,3,0),$A100&gt;VLOOKUP(N$2,行为概览!$D$3:$U$33,4,0)),0,VLOOKUP(N$2,行为概览!$D$3:$U$33,6,0)),4)</f>
        <v>8.3299999999999999E-2</v>
      </c>
      <c r="O100" s="20">
        <f>ROUND(IF(OR($A100&lt;VLOOKUP(O$2,行为概览!$D$3:$U$33,3,0),$A100&gt;VLOOKUP(O$2,行为概览!$D$3:$U$33,4,0)),0,VLOOKUP(O$2,行为概览!$D$3:$U$33,6,0)),4)</f>
        <v>8.3299999999999999E-2</v>
      </c>
      <c r="P100" s="20">
        <f>ROUND(IF(OR($A100&lt;VLOOKUP(P$2,行为概览!$D$3:$U$33,3,0),$A100&gt;VLOOKUP(P$2,行为概览!$D$3:$U$33,4,0)),0,VLOOKUP(P$2,行为概览!$D$3:$U$33,6,0)),4)</f>
        <v>2.6</v>
      </c>
      <c r="Q100" s="20">
        <f>ROUND(IF(OR($A100&lt;VLOOKUP(Q$2,行为概览!$D$3:$U$33,3,0),$A100&gt;VLOOKUP(Q$2,行为概览!$D$3:$U$33,4,0)),0,VLOOKUP(Q$2,行为概览!$D$3:$U$33,6,0)),4)</f>
        <v>1</v>
      </c>
      <c r="R100" s="20">
        <f>ROUND(IF(OR($A100&lt;VLOOKUP(R$2,行为概览!$D$3:$U$33,3,0),$A100&gt;VLOOKUP(R$2,行为概览!$D$3:$U$33,4,0)),0,VLOOKUP(R$2,行为概览!$D$3:$U$33,6,0)),4)</f>
        <v>0.33329999999999999</v>
      </c>
      <c r="S100" s="20">
        <f>ROUND(IF(OR($A100&lt;VLOOKUP(S$2,行为概览!$D$3:$U$33,3,0),$A100&gt;VLOOKUP(S$2,行为概览!$D$3:$U$33,4,0)),0,VLOOKUP(S$2,行为概览!$D$3:$U$33,6,0)),4)</f>
        <v>0</v>
      </c>
      <c r="T100" s="20">
        <f>ROUND(IF(OR($A100&lt;VLOOKUP(T$2,行为概览!$D$3:$U$33,3,0),$A100&gt;VLOOKUP(T$2,行为概览!$D$3:$U$33,4,0)),0,VLOOKUP(T$2,行为概览!$D$3:$U$33,6,0)),4)</f>
        <v>0.33329999999999999</v>
      </c>
      <c r="U100" s="20">
        <f>ROUND(IF(OR($A100&lt;VLOOKUP(U$2,行为概览!$D$3:$U$33,3,0),$A100&gt;VLOOKUP(U$2,行为概览!$D$3:$U$33,4,0)),0,VLOOKUP(U$2,行为概览!$D$3:$U$33,6,0)),4)</f>
        <v>0.16669999999999999</v>
      </c>
      <c r="V100" s="20">
        <f>ROUND(IF(OR($A100&lt;VLOOKUP(V$2,行为概览!$D$3:$U$33,3,0),$A100&gt;VLOOKUP(V$2,行为概览!$D$3:$U$33,4,0)),0,VLOOKUP(V$2,行为概览!$D$3:$U$33,6,0)),4)</f>
        <v>0.16669999999999999</v>
      </c>
      <c r="W100" s="20">
        <f>ROUND(IF(OR($A100&lt;VLOOKUP(W$2,行为概览!$D$3:$U$33,3,0),$A100&gt;VLOOKUP(W$2,行为概览!$D$3:$U$33,4,0)),0,VLOOKUP(W$2,行为概览!$D$3:$U$33,6,0)),4)</f>
        <v>0.16669999999999999</v>
      </c>
      <c r="X100" s="20">
        <f>ROUND(IF(OR($A100&lt;VLOOKUP(X$2,行为概览!$D$3:$U$33,3,0),$A100&gt;VLOOKUP(X$2,行为概览!$D$3:$U$33,4,0)),0,VLOOKUP(X$2,行为概览!$D$3:$U$33,6,0)),4)</f>
        <v>0.25</v>
      </c>
      <c r="Y100" s="20">
        <f>ROUND(IF(OR($A100&lt;VLOOKUP(Y$2,行为概览!$D$3:$U$33,3,0),$A100&gt;VLOOKUP(Y$2,行为概览!$D$3:$U$33,4,0)),0,VLOOKUP(Y$2,行为概览!$D$3:$U$33,6,0)),4)</f>
        <v>0.58330000000000004</v>
      </c>
      <c r="Z100" s="20">
        <f>ROUND(IF(OR($A100&lt;VLOOKUP(Z$2,行为概览!$D$3:$U$33,3,0),$A100&gt;VLOOKUP(Z$2,行为概览!$D$3:$U$33,4,0)),0,VLOOKUP(Z$2,行为概览!$D$3:$U$33,6,0)),4)</f>
        <v>0.16669999999999999</v>
      </c>
      <c r="AA100" s="20">
        <f>ROUND(IF(OR($A100&lt;VLOOKUP(AA$2,行为概览!$D$3:$U$33,3,0),$A100&gt;VLOOKUP(AA$2,行为概览!$D$3:$U$33,4,0)),0,VLOOKUP(AA$2,行为概览!$D$3:$U$33,6,0)),4)</f>
        <v>0</v>
      </c>
      <c r="AB100" s="20">
        <f>ROUND(IF(OR($A100&lt;VLOOKUP(AB$2,行为概览!$D$3:$U$33,3,0),$A100&gt;VLOOKUP(AB$2,行为概览!$D$3:$U$33,4,0)),0,VLOOKUP(AB$2,行为概览!$D$3:$U$33,6,0)),4)</f>
        <v>0</v>
      </c>
      <c r="AC100" s="20">
        <f>ROUND(IF(OR($A100&lt;VLOOKUP(AC$2,行为概览!$D$3:$U$33,3,0),$A100&gt;VLOOKUP(AC$2,行为概览!$D$3:$U$33,4,0)),0,VLOOKUP(AC$2,行为概览!$D$3:$U$33,6,0)),4)</f>
        <v>0</v>
      </c>
      <c r="AD100" s="20">
        <f>ROUND(IF(OR($A100&lt;VLOOKUP(AD$2,行为概览!$D$3:$U$33,3,0),$A100&gt;VLOOKUP(AD$2,行为概览!$D$3:$U$33,4,0)),0,VLOOKUP(AD$2,行为概览!$D$3:$U$33,6,0)),4)</f>
        <v>0</v>
      </c>
      <c r="AE100" s="20">
        <f>ROUND(IF(OR($A100&lt;VLOOKUP(AE$2,行为概览!$D$3:$U$33,3,0),$A100&gt;VLOOKUP(AE$2,行为概览!$D$3:$U$33,4,0)),0,VLOOKUP(AE$2,行为概览!$D$3:$U$33,6,0)),4)</f>
        <v>8.3299999999999999E-2</v>
      </c>
      <c r="AF100" s="20">
        <f>ROUND(IF(OR($A100&lt;VLOOKUP(AF$2,行为概览!$D$3:$U$33,3,0),$A100&gt;VLOOKUP(AF$2,行为概览!$D$3:$U$33,4,0)),0,VLOOKUP(AF$2,行为概览!$D$3:$U$33,6,0)),4)</f>
        <v>0</v>
      </c>
    </row>
    <row r="101" spans="1:32">
      <c r="A101" s="19">
        <v>99</v>
      </c>
      <c r="B101" s="20">
        <f>ROUND(IF(OR($A101&lt;VLOOKUP(B$2,行为概览!$D$3:$U$33,3,0),$A101&gt;VLOOKUP(B$2,行为概览!$D$3:$U$33,4,0)),0,VLOOKUP(B$2,行为概览!$D$3:$U$33,6,0)),4)</f>
        <v>0.33329999999999999</v>
      </c>
      <c r="C101" s="20">
        <f>ROUND(IF(OR($A101&lt;VLOOKUP(C$2,行为概览!$D$3:$U$33,3,0),$A101&gt;VLOOKUP(C$2,行为概览!$D$3:$U$33,4,0)),0,VLOOKUP(C$2,行为概览!$D$3:$U$33,6,0)),4)</f>
        <v>2</v>
      </c>
      <c r="D101" s="20">
        <f>ROUND(IF(OR($A101&lt;VLOOKUP(D$2,行为概览!$D$3:$U$33,3,0),$A101&gt;VLOOKUP(D$2,行为概览!$D$3:$U$33,4,0)),0,VLOOKUP(D$2,行为概览!$D$3:$U$33,6,0)),4)</f>
        <v>8.3299999999999999E-2</v>
      </c>
      <c r="E101" s="20">
        <f>ROUND(IF(OR($A101&lt;VLOOKUP(E$2,行为概览!$D$3:$U$33,3,0),$A101&gt;VLOOKUP(E$2,行为概览!$D$3:$U$33,4,0)),0,VLOOKUP(E$2,行为概览!$D$3:$U$33,6,0)),4)</f>
        <v>1</v>
      </c>
      <c r="F101" s="20">
        <f>ROUND(IF(OR($A101&lt;VLOOKUP(F$2,行为概览!$D$3:$U$33,3,0),$A101&gt;VLOOKUP(F$2,行为概览!$D$3:$U$33,4,0)),0,VLOOKUP(F$2,行为概览!$D$3:$U$33,6,0)),4)</f>
        <v>0.33329999999999999</v>
      </c>
      <c r="G101" s="20">
        <f>ROUND(IF(OR($A101&lt;VLOOKUP(G$2,行为概览!$D$3:$U$33,3,0),$A101&gt;VLOOKUP(G$2,行为概览!$D$3:$U$33,4,0)),0,VLOOKUP(G$2,行为概览!$D$3:$U$33,6,0)),4)</f>
        <v>0</v>
      </c>
      <c r="H101" s="20">
        <f>ROUND(IF(OR($A101&lt;VLOOKUP(H$2,行为概览!$D$3:$U$33,3,0),$A101&gt;VLOOKUP(H$2,行为概览!$D$3:$U$33,4,0)),0,VLOOKUP(H$2,行为概览!$D$3:$U$33,6,0)),4)</f>
        <v>0</v>
      </c>
      <c r="I101" s="20">
        <f>ROUND(IF(OR($A101&lt;VLOOKUP(I$2,行为概览!$D$3:$U$33,3,0),$A101&gt;VLOOKUP(I$2,行为概览!$D$3:$U$33,4,0)),0,VLOOKUP(I$2,行为概览!$D$3:$U$33,6,0)),4)</f>
        <v>0</v>
      </c>
      <c r="J101" s="20">
        <f>ROUND(IF(OR($A101&lt;VLOOKUP(J$2,行为概览!$D$3:$U$33,3,0),$A101&gt;VLOOKUP(J$2,行为概览!$D$3:$U$33,4,0)),0,VLOOKUP(J$2,行为概览!$D$3:$U$33,6,0)),4)</f>
        <v>0.5</v>
      </c>
      <c r="K101" s="20">
        <f>ROUND(IF(OR($A101&lt;VLOOKUP(K$2,行为概览!$D$3:$U$33,3,0),$A101&gt;VLOOKUP(K$2,行为概览!$D$3:$U$33,4,0)),0,VLOOKUP(K$2,行为概览!$D$3:$U$33,6,0)),4)</f>
        <v>0.16669999999999999</v>
      </c>
      <c r="L101" s="20">
        <f>ROUND(IF(OR($A101&lt;VLOOKUP(L$2,行为概览!$D$3:$U$33,3,0),$A101&gt;VLOOKUP(L$2,行为概览!$D$3:$U$33,4,0)),0,VLOOKUP(L$2,行为概览!$D$3:$U$33,6,0)),4)</f>
        <v>0.5</v>
      </c>
      <c r="M101" s="20">
        <f>ROUND(IF(OR($A101&lt;VLOOKUP(M$2,行为概览!$D$3:$U$33,3,0),$A101&gt;VLOOKUP(M$2,行为概览!$D$3:$U$33,4,0)),0,VLOOKUP(M$2,行为概览!$D$3:$U$33,6,0)),4)</f>
        <v>12</v>
      </c>
      <c r="N101" s="20">
        <f>ROUND(IF(OR($A101&lt;VLOOKUP(N$2,行为概览!$D$3:$U$33,3,0),$A101&gt;VLOOKUP(N$2,行为概览!$D$3:$U$33,4,0)),0,VLOOKUP(N$2,行为概览!$D$3:$U$33,6,0)),4)</f>
        <v>8.3299999999999999E-2</v>
      </c>
      <c r="O101" s="20">
        <f>ROUND(IF(OR($A101&lt;VLOOKUP(O$2,行为概览!$D$3:$U$33,3,0),$A101&gt;VLOOKUP(O$2,行为概览!$D$3:$U$33,4,0)),0,VLOOKUP(O$2,行为概览!$D$3:$U$33,6,0)),4)</f>
        <v>8.3299999999999999E-2</v>
      </c>
      <c r="P101" s="20">
        <f>ROUND(IF(OR($A101&lt;VLOOKUP(P$2,行为概览!$D$3:$U$33,3,0),$A101&gt;VLOOKUP(P$2,行为概览!$D$3:$U$33,4,0)),0,VLOOKUP(P$2,行为概览!$D$3:$U$33,6,0)),4)</f>
        <v>2.6</v>
      </c>
      <c r="Q101" s="20">
        <f>ROUND(IF(OR($A101&lt;VLOOKUP(Q$2,行为概览!$D$3:$U$33,3,0),$A101&gt;VLOOKUP(Q$2,行为概览!$D$3:$U$33,4,0)),0,VLOOKUP(Q$2,行为概览!$D$3:$U$33,6,0)),4)</f>
        <v>1</v>
      </c>
      <c r="R101" s="20">
        <f>ROUND(IF(OR($A101&lt;VLOOKUP(R$2,行为概览!$D$3:$U$33,3,0),$A101&gt;VLOOKUP(R$2,行为概览!$D$3:$U$33,4,0)),0,VLOOKUP(R$2,行为概览!$D$3:$U$33,6,0)),4)</f>
        <v>0.33329999999999999</v>
      </c>
      <c r="S101" s="20">
        <f>ROUND(IF(OR($A101&lt;VLOOKUP(S$2,行为概览!$D$3:$U$33,3,0),$A101&gt;VLOOKUP(S$2,行为概览!$D$3:$U$33,4,0)),0,VLOOKUP(S$2,行为概览!$D$3:$U$33,6,0)),4)</f>
        <v>0</v>
      </c>
      <c r="T101" s="20">
        <f>ROUND(IF(OR($A101&lt;VLOOKUP(T$2,行为概览!$D$3:$U$33,3,0),$A101&gt;VLOOKUP(T$2,行为概览!$D$3:$U$33,4,0)),0,VLOOKUP(T$2,行为概览!$D$3:$U$33,6,0)),4)</f>
        <v>0.33329999999999999</v>
      </c>
      <c r="U101" s="20">
        <f>ROUND(IF(OR($A101&lt;VLOOKUP(U$2,行为概览!$D$3:$U$33,3,0),$A101&gt;VLOOKUP(U$2,行为概览!$D$3:$U$33,4,0)),0,VLOOKUP(U$2,行为概览!$D$3:$U$33,6,0)),4)</f>
        <v>0.16669999999999999</v>
      </c>
      <c r="V101" s="20">
        <f>ROUND(IF(OR($A101&lt;VLOOKUP(V$2,行为概览!$D$3:$U$33,3,0),$A101&gt;VLOOKUP(V$2,行为概览!$D$3:$U$33,4,0)),0,VLOOKUP(V$2,行为概览!$D$3:$U$33,6,0)),4)</f>
        <v>0.16669999999999999</v>
      </c>
      <c r="W101" s="20">
        <f>ROUND(IF(OR($A101&lt;VLOOKUP(W$2,行为概览!$D$3:$U$33,3,0),$A101&gt;VLOOKUP(W$2,行为概览!$D$3:$U$33,4,0)),0,VLOOKUP(W$2,行为概览!$D$3:$U$33,6,0)),4)</f>
        <v>0.16669999999999999</v>
      </c>
      <c r="X101" s="20">
        <f>ROUND(IF(OR($A101&lt;VLOOKUP(X$2,行为概览!$D$3:$U$33,3,0),$A101&gt;VLOOKUP(X$2,行为概览!$D$3:$U$33,4,0)),0,VLOOKUP(X$2,行为概览!$D$3:$U$33,6,0)),4)</f>
        <v>0.25</v>
      </c>
      <c r="Y101" s="20">
        <f>ROUND(IF(OR($A101&lt;VLOOKUP(Y$2,行为概览!$D$3:$U$33,3,0),$A101&gt;VLOOKUP(Y$2,行为概览!$D$3:$U$33,4,0)),0,VLOOKUP(Y$2,行为概览!$D$3:$U$33,6,0)),4)</f>
        <v>0.58330000000000004</v>
      </c>
      <c r="Z101" s="20">
        <f>ROUND(IF(OR($A101&lt;VLOOKUP(Z$2,行为概览!$D$3:$U$33,3,0),$A101&gt;VLOOKUP(Z$2,行为概览!$D$3:$U$33,4,0)),0,VLOOKUP(Z$2,行为概览!$D$3:$U$33,6,0)),4)</f>
        <v>0.16669999999999999</v>
      </c>
      <c r="AA101" s="20">
        <f>ROUND(IF(OR($A101&lt;VLOOKUP(AA$2,行为概览!$D$3:$U$33,3,0),$A101&gt;VLOOKUP(AA$2,行为概览!$D$3:$U$33,4,0)),0,VLOOKUP(AA$2,行为概览!$D$3:$U$33,6,0)),4)</f>
        <v>0</v>
      </c>
      <c r="AB101" s="20">
        <f>ROUND(IF(OR($A101&lt;VLOOKUP(AB$2,行为概览!$D$3:$U$33,3,0),$A101&gt;VLOOKUP(AB$2,行为概览!$D$3:$U$33,4,0)),0,VLOOKUP(AB$2,行为概览!$D$3:$U$33,6,0)),4)</f>
        <v>0</v>
      </c>
      <c r="AC101" s="20">
        <f>ROUND(IF(OR($A101&lt;VLOOKUP(AC$2,行为概览!$D$3:$U$33,3,0),$A101&gt;VLOOKUP(AC$2,行为概览!$D$3:$U$33,4,0)),0,VLOOKUP(AC$2,行为概览!$D$3:$U$33,6,0)),4)</f>
        <v>0</v>
      </c>
      <c r="AD101" s="20">
        <f>ROUND(IF(OR($A101&lt;VLOOKUP(AD$2,行为概览!$D$3:$U$33,3,0),$A101&gt;VLOOKUP(AD$2,行为概览!$D$3:$U$33,4,0)),0,VLOOKUP(AD$2,行为概览!$D$3:$U$33,6,0)),4)</f>
        <v>0</v>
      </c>
      <c r="AE101" s="20">
        <f>ROUND(IF(OR($A101&lt;VLOOKUP(AE$2,行为概览!$D$3:$U$33,3,0),$A101&gt;VLOOKUP(AE$2,行为概览!$D$3:$U$33,4,0)),0,VLOOKUP(AE$2,行为概览!$D$3:$U$33,6,0)),4)</f>
        <v>8.3299999999999999E-2</v>
      </c>
      <c r="AF101" s="20">
        <f>ROUND(IF(OR($A101&lt;VLOOKUP(AF$2,行为概览!$D$3:$U$33,3,0),$A101&gt;VLOOKUP(AF$2,行为概览!$D$3:$U$33,4,0)),0,VLOOKUP(AF$2,行为概览!$D$3:$U$33,6,0)),4)</f>
        <v>0</v>
      </c>
    </row>
    <row r="102" spans="1:32">
      <c r="A102" s="19">
        <v>100</v>
      </c>
      <c r="B102" s="20">
        <f>ROUND(IF(OR($A102&lt;VLOOKUP(B$2,行为概览!$D$3:$U$33,3,0),$A102&gt;VLOOKUP(B$2,行为概览!$D$3:$U$33,4,0)),0,VLOOKUP(B$2,行为概览!$D$3:$U$33,6,0)),4)</f>
        <v>0.33329999999999999</v>
      </c>
      <c r="C102" s="20">
        <f>ROUND(IF(OR($A102&lt;VLOOKUP(C$2,行为概览!$D$3:$U$33,3,0),$A102&gt;VLOOKUP(C$2,行为概览!$D$3:$U$33,4,0)),0,VLOOKUP(C$2,行为概览!$D$3:$U$33,6,0)),4)</f>
        <v>2</v>
      </c>
      <c r="D102" s="20">
        <f>ROUND(IF(OR($A102&lt;VLOOKUP(D$2,行为概览!$D$3:$U$33,3,0),$A102&gt;VLOOKUP(D$2,行为概览!$D$3:$U$33,4,0)),0,VLOOKUP(D$2,行为概览!$D$3:$U$33,6,0)),4)</f>
        <v>8.3299999999999999E-2</v>
      </c>
      <c r="E102" s="20">
        <f>ROUND(IF(OR($A102&lt;VLOOKUP(E$2,行为概览!$D$3:$U$33,3,0),$A102&gt;VLOOKUP(E$2,行为概览!$D$3:$U$33,4,0)),0,VLOOKUP(E$2,行为概览!$D$3:$U$33,6,0)),4)</f>
        <v>1</v>
      </c>
      <c r="F102" s="20">
        <f>ROUND(IF(OR($A102&lt;VLOOKUP(F$2,行为概览!$D$3:$U$33,3,0),$A102&gt;VLOOKUP(F$2,行为概览!$D$3:$U$33,4,0)),0,VLOOKUP(F$2,行为概览!$D$3:$U$33,6,0)),4)</f>
        <v>0.33329999999999999</v>
      </c>
      <c r="G102" s="20">
        <f>ROUND(IF(OR($A102&lt;VLOOKUP(G$2,行为概览!$D$3:$U$33,3,0),$A102&gt;VLOOKUP(G$2,行为概览!$D$3:$U$33,4,0)),0,VLOOKUP(G$2,行为概览!$D$3:$U$33,6,0)),4)</f>
        <v>0</v>
      </c>
      <c r="H102" s="20">
        <f>ROUND(IF(OR($A102&lt;VLOOKUP(H$2,行为概览!$D$3:$U$33,3,0),$A102&gt;VLOOKUP(H$2,行为概览!$D$3:$U$33,4,0)),0,VLOOKUP(H$2,行为概览!$D$3:$U$33,6,0)),4)</f>
        <v>0</v>
      </c>
      <c r="I102" s="20">
        <f>ROUND(IF(OR($A102&lt;VLOOKUP(I$2,行为概览!$D$3:$U$33,3,0),$A102&gt;VLOOKUP(I$2,行为概览!$D$3:$U$33,4,0)),0,VLOOKUP(I$2,行为概览!$D$3:$U$33,6,0)),4)</f>
        <v>0</v>
      </c>
      <c r="J102" s="20">
        <f>ROUND(IF(OR($A102&lt;VLOOKUP(J$2,行为概览!$D$3:$U$33,3,0),$A102&gt;VLOOKUP(J$2,行为概览!$D$3:$U$33,4,0)),0,VLOOKUP(J$2,行为概览!$D$3:$U$33,6,0)),4)</f>
        <v>0.5</v>
      </c>
      <c r="K102" s="20">
        <f>ROUND(IF(OR($A102&lt;VLOOKUP(K$2,行为概览!$D$3:$U$33,3,0),$A102&gt;VLOOKUP(K$2,行为概览!$D$3:$U$33,4,0)),0,VLOOKUP(K$2,行为概览!$D$3:$U$33,6,0)),4)</f>
        <v>0.16669999999999999</v>
      </c>
      <c r="L102" s="20">
        <f>ROUND(IF(OR($A102&lt;VLOOKUP(L$2,行为概览!$D$3:$U$33,3,0),$A102&gt;VLOOKUP(L$2,行为概览!$D$3:$U$33,4,0)),0,VLOOKUP(L$2,行为概览!$D$3:$U$33,6,0)),4)</f>
        <v>0.5</v>
      </c>
      <c r="M102" s="20">
        <f>ROUND(IF(OR($A102&lt;VLOOKUP(M$2,行为概览!$D$3:$U$33,3,0),$A102&gt;VLOOKUP(M$2,行为概览!$D$3:$U$33,4,0)),0,VLOOKUP(M$2,行为概览!$D$3:$U$33,6,0)),4)</f>
        <v>12</v>
      </c>
      <c r="N102" s="20">
        <f>ROUND(IF(OR($A102&lt;VLOOKUP(N$2,行为概览!$D$3:$U$33,3,0),$A102&gt;VLOOKUP(N$2,行为概览!$D$3:$U$33,4,0)),0,VLOOKUP(N$2,行为概览!$D$3:$U$33,6,0)),4)</f>
        <v>8.3299999999999999E-2</v>
      </c>
      <c r="O102" s="20">
        <f>ROUND(IF(OR($A102&lt;VLOOKUP(O$2,行为概览!$D$3:$U$33,3,0),$A102&gt;VLOOKUP(O$2,行为概览!$D$3:$U$33,4,0)),0,VLOOKUP(O$2,行为概览!$D$3:$U$33,6,0)),4)</f>
        <v>8.3299999999999999E-2</v>
      </c>
      <c r="P102" s="20">
        <f>ROUND(IF(OR($A102&lt;VLOOKUP(P$2,行为概览!$D$3:$U$33,3,0),$A102&gt;VLOOKUP(P$2,行为概览!$D$3:$U$33,4,0)),0,VLOOKUP(P$2,行为概览!$D$3:$U$33,6,0)),4)</f>
        <v>2.6</v>
      </c>
      <c r="Q102" s="20">
        <f>ROUND(IF(OR($A102&lt;VLOOKUP(Q$2,行为概览!$D$3:$U$33,3,0),$A102&gt;VLOOKUP(Q$2,行为概览!$D$3:$U$33,4,0)),0,VLOOKUP(Q$2,行为概览!$D$3:$U$33,6,0)),4)</f>
        <v>1</v>
      </c>
      <c r="R102" s="20">
        <f>ROUND(IF(OR($A102&lt;VLOOKUP(R$2,行为概览!$D$3:$U$33,3,0),$A102&gt;VLOOKUP(R$2,行为概览!$D$3:$U$33,4,0)),0,VLOOKUP(R$2,行为概览!$D$3:$U$33,6,0)),4)</f>
        <v>0.33329999999999999</v>
      </c>
      <c r="S102" s="20">
        <f>ROUND(IF(OR($A102&lt;VLOOKUP(S$2,行为概览!$D$3:$U$33,3,0),$A102&gt;VLOOKUP(S$2,行为概览!$D$3:$U$33,4,0)),0,VLOOKUP(S$2,行为概览!$D$3:$U$33,6,0)),4)</f>
        <v>0</v>
      </c>
      <c r="T102" s="20">
        <f>ROUND(IF(OR($A102&lt;VLOOKUP(T$2,行为概览!$D$3:$U$33,3,0),$A102&gt;VLOOKUP(T$2,行为概览!$D$3:$U$33,4,0)),0,VLOOKUP(T$2,行为概览!$D$3:$U$33,6,0)),4)</f>
        <v>0.33329999999999999</v>
      </c>
      <c r="U102" s="20">
        <f>ROUND(IF(OR($A102&lt;VLOOKUP(U$2,行为概览!$D$3:$U$33,3,0),$A102&gt;VLOOKUP(U$2,行为概览!$D$3:$U$33,4,0)),0,VLOOKUP(U$2,行为概览!$D$3:$U$33,6,0)),4)</f>
        <v>0.16669999999999999</v>
      </c>
      <c r="V102" s="20">
        <f>ROUND(IF(OR($A102&lt;VLOOKUP(V$2,行为概览!$D$3:$U$33,3,0),$A102&gt;VLOOKUP(V$2,行为概览!$D$3:$U$33,4,0)),0,VLOOKUP(V$2,行为概览!$D$3:$U$33,6,0)),4)</f>
        <v>0.16669999999999999</v>
      </c>
      <c r="W102" s="20">
        <f>ROUND(IF(OR($A102&lt;VLOOKUP(W$2,行为概览!$D$3:$U$33,3,0),$A102&gt;VLOOKUP(W$2,行为概览!$D$3:$U$33,4,0)),0,VLOOKUP(W$2,行为概览!$D$3:$U$33,6,0)),4)</f>
        <v>0.16669999999999999</v>
      </c>
      <c r="X102" s="20">
        <f>ROUND(IF(OR($A102&lt;VLOOKUP(X$2,行为概览!$D$3:$U$33,3,0),$A102&gt;VLOOKUP(X$2,行为概览!$D$3:$U$33,4,0)),0,VLOOKUP(X$2,行为概览!$D$3:$U$33,6,0)),4)</f>
        <v>0.25</v>
      </c>
      <c r="Y102" s="20">
        <f>ROUND(IF(OR($A102&lt;VLOOKUP(Y$2,行为概览!$D$3:$U$33,3,0),$A102&gt;VLOOKUP(Y$2,行为概览!$D$3:$U$33,4,0)),0,VLOOKUP(Y$2,行为概览!$D$3:$U$33,6,0)),4)</f>
        <v>0.58330000000000004</v>
      </c>
      <c r="Z102" s="20">
        <f>ROUND(IF(OR($A102&lt;VLOOKUP(Z$2,行为概览!$D$3:$U$33,3,0),$A102&gt;VLOOKUP(Z$2,行为概览!$D$3:$U$33,4,0)),0,VLOOKUP(Z$2,行为概览!$D$3:$U$33,6,0)),4)</f>
        <v>0.16669999999999999</v>
      </c>
      <c r="AA102" s="20">
        <f>ROUND(IF(OR($A102&lt;VLOOKUP(AA$2,行为概览!$D$3:$U$33,3,0),$A102&gt;VLOOKUP(AA$2,行为概览!$D$3:$U$33,4,0)),0,VLOOKUP(AA$2,行为概览!$D$3:$U$33,6,0)),4)</f>
        <v>0</v>
      </c>
      <c r="AB102" s="20">
        <f>ROUND(IF(OR($A102&lt;VLOOKUP(AB$2,行为概览!$D$3:$U$33,3,0),$A102&gt;VLOOKUP(AB$2,行为概览!$D$3:$U$33,4,0)),0,VLOOKUP(AB$2,行为概览!$D$3:$U$33,6,0)),4)</f>
        <v>0</v>
      </c>
      <c r="AC102" s="20">
        <f>ROUND(IF(OR($A102&lt;VLOOKUP(AC$2,行为概览!$D$3:$U$33,3,0),$A102&gt;VLOOKUP(AC$2,行为概览!$D$3:$U$33,4,0)),0,VLOOKUP(AC$2,行为概览!$D$3:$U$33,6,0)),4)</f>
        <v>0</v>
      </c>
      <c r="AD102" s="20">
        <f>ROUND(IF(OR($A102&lt;VLOOKUP(AD$2,行为概览!$D$3:$U$33,3,0),$A102&gt;VLOOKUP(AD$2,行为概览!$D$3:$U$33,4,0)),0,VLOOKUP(AD$2,行为概览!$D$3:$U$33,6,0)),4)</f>
        <v>0</v>
      </c>
      <c r="AE102" s="20">
        <f>ROUND(IF(OR($A102&lt;VLOOKUP(AE$2,行为概览!$D$3:$U$33,3,0),$A102&gt;VLOOKUP(AE$2,行为概览!$D$3:$U$33,4,0)),0,VLOOKUP(AE$2,行为概览!$D$3:$U$33,6,0)),4)</f>
        <v>8.3299999999999999E-2</v>
      </c>
      <c r="AF102" s="20">
        <f>ROUND(IF(OR($A102&lt;VLOOKUP(AF$2,行为概览!$D$3:$U$33,3,0),$A102&gt;VLOOKUP(AF$2,行为概览!$D$3:$U$33,4,0)),0,VLOOKUP(AF$2,行为概览!$D$3:$U$33,6,0)),4)</f>
        <v>0</v>
      </c>
    </row>
    <row r="103" spans="1:32">
      <c r="A103" s="19">
        <v>101</v>
      </c>
      <c r="B103" s="20">
        <f>ROUND(IF(OR($A103&lt;VLOOKUP(B$2,行为概览!$D$3:$U$33,3,0),$A103&gt;VLOOKUP(B$2,行为概览!$D$3:$U$33,4,0)),0,VLOOKUP(B$2,行为概览!$D$3:$U$33,6,0)),4)</f>
        <v>0.33329999999999999</v>
      </c>
      <c r="C103" s="20">
        <f>ROUND(IF(OR($A103&lt;VLOOKUP(C$2,行为概览!$D$3:$U$33,3,0),$A103&gt;VLOOKUP(C$2,行为概览!$D$3:$U$33,4,0)),0,VLOOKUP(C$2,行为概览!$D$3:$U$33,6,0)),4)</f>
        <v>2</v>
      </c>
      <c r="D103" s="20">
        <f>ROUND(IF(OR($A103&lt;VLOOKUP(D$2,行为概览!$D$3:$U$33,3,0),$A103&gt;VLOOKUP(D$2,行为概览!$D$3:$U$33,4,0)),0,VLOOKUP(D$2,行为概览!$D$3:$U$33,6,0)),4)</f>
        <v>8.3299999999999999E-2</v>
      </c>
      <c r="E103" s="20">
        <f>ROUND(IF(OR($A103&lt;VLOOKUP(E$2,行为概览!$D$3:$U$33,3,0),$A103&gt;VLOOKUP(E$2,行为概览!$D$3:$U$33,4,0)),0,VLOOKUP(E$2,行为概览!$D$3:$U$33,6,0)),4)</f>
        <v>1</v>
      </c>
      <c r="F103" s="20">
        <f>ROUND(IF(OR($A103&lt;VLOOKUP(F$2,行为概览!$D$3:$U$33,3,0),$A103&gt;VLOOKUP(F$2,行为概览!$D$3:$U$33,4,0)),0,VLOOKUP(F$2,行为概览!$D$3:$U$33,6,0)),4)</f>
        <v>0.33329999999999999</v>
      </c>
      <c r="G103" s="20">
        <f>ROUND(IF(OR($A103&lt;VLOOKUP(G$2,行为概览!$D$3:$U$33,3,0),$A103&gt;VLOOKUP(G$2,行为概览!$D$3:$U$33,4,0)),0,VLOOKUP(G$2,行为概览!$D$3:$U$33,6,0)),4)</f>
        <v>0</v>
      </c>
      <c r="H103" s="20">
        <f>ROUND(IF(OR($A103&lt;VLOOKUP(H$2,行为概览!$D$3:$U$33,3,0),$A103&gt;VLOOKUP(H$2,行为概览!$D$3:$U$33,4,0)),0,VLOOKUP(H$2,行为概览!$D$3:$U$33,6,0)),4)</f>
        <v>0</v>
      </c>
      <c r="I103" s="20">
        <f>ROUND(IF(OR($A103&lt;VLOOKUP(I$2,行为概览!$D$3:$U$33,3,0),$A103&gt;VLOOKUP(I$2,行为概览!$D$3:$U$33,4,0)),0,VLOOKUP(I$2,行为概览!$D$3:$U$33,6,0)),4)</f>
        <v>0</v>
      </c>
      <c r="J103" s="20">
        <f>ROUND(IF(OR($A103&lt;VLOOKUP(J$2,行为概览!$D$3:$U$33,3,0),$A103&gt;VLOOKUP(J$2,行为概览!$D$3:$U$33,4,0)),0,VLOOKUP(J$2,行为概览!$D$3:$U$33,6,0)),4)</f>
        <v>0.5</v>
      </c>
      <c r="K103" s="20">
        <f>ROUND(IF(OR($A103&lt;VLOOKUP(K$2,行为概览!$D$3:$U$33,3,0),$A103&gt;VLOOKUP(K$2,行为概览!$D$3:$U$33,4,0)),0,VLOOKUP(K$2,行为概览!$D$3:$U$33,6,0)),4)</f>
        <v>0.16669999999999999</v>
      </c>
      <c r="L103" s="20">
        <f>ROUND(IF(OR($A103&lt;VLOOKUP(L$2,行为概览!$D$3:$U$33,3,0),$A103&gt;VLOOKUP(L$2,行为概览!$D$3:$U$33,4,0)),0,VLOOKUP(L$2,行为概览!$D$3:$U$33,6,0)),4)</f>
        <v>0.5</v>
      </c>
      <c r="M103" s="20">
        <f>ROUND(IF(OR($A103&lt;VLOOKUP(M$2,行为概览!$D$3:$U$33,3,0),$A103&gt;VLOOKUP(M$2,行为概览!$D$3:$U$33,4,0)),0,VLOOKUP(M$2,行为概览!$D$3:$U$33,6,0)),4)</f>
        <v>12</v>
      </c>
      <c r="N103" s="20">
        <f>ROUND(IF(OR($A103&lt;VLOOKUP(N$2,行为概览!$D$3:$U$33,3,0),$A103&gt;VLOOKUP(N$2,行为概览!$D$3:$U$33,4,0)),0,VLOOKUP(N$2,行为概览!$D$3:$U$33,6,0)),4)</f>
        <v>8.3299999999999999E-2</v>
      </c>
      <c r="O103" s="20">
        <f>ROUND(IF(OR($A103&lt;VLOOKUP(O$2,行为概览!$D$3:$U$33,3,0),$A103&gt;VLOOKUP(O$2,行为概览!$D$3:$U$33,4,0)),0,VLOOKUP(O$2,行为概览!$D$3:$U$33,6,0)),4)</f>
        <v>8.3299999999999999E-2</v>
      </c>
      <c r="P103" s="20">
        <f>ROUND(IF(OR($A103&lt;VLOOKUP(P$2,行为概览!$D$3:$U$33,3,0),$A103&gt;VLOOKUP(P$2,行为概览!$D$3:$U$33,4,0)),0,VLOOKUP(P$2,行为概览!$D$3:$U$33,6,0)),4)</f>
        <v>2.6</v>
      </c>
      <c r="Q103" s="20">
        <f>ROUND(IF(OR($A103&lt;VLOOKUP(Q$2,行为概览!$D$3:$U$33,3,0),$A103&gt;VLOOKUP(Q$2,行为概览!$D$3:$U$33,4,0)),0,VLOOKUP(Q$2,行为概览!$D$3:$U$33,6,0)),4)</f>
        <v>1</v>
      </c>
      <c r="R103" s="20">
        <f>ROUND(IF(OR($A103&lt;VLOOKUP(R$2,行为概览!$D$3:$U$33,3,0),$A103&gt;VLOOKUP(R$2,行为概览!$D$3:$U$33,4,0)),0,VLOOKUP(R$2,行为概览!$D$3:$U$33,6,0)),4)</f>
        <v>0.33329999999999999</v>
      </c>
      <c r="S103" s="20">
        <f>ROUND(IF(OR($A103&lt;VLOOKUP(S$2,行为概览!$D$3:$U$33,3,0),$A103&gt;VLOOKUP(S$2,行为概览!$D$3:$U$33,4,0)),0,VLOOKUP(S$2,行为概览!$D$3:$U$33,6,0)),4)</f>
        <v>0</v>
      </c>
      <c r="T103" s="20">
        <f>ROUND(IF(OR($A103&lt;VLOOKUP(T$2,行为概览!$D$3:$U$33,3,0),$A103&gt;VLOOKUP(T$2,行为概览!$D$3:$U$33,4,0)),0,VLOOKUP(T$2,行为概览!$D$3:$U$33,6,0)),4)</f>
        <v>0.33329999999999999</v>
      </c>
      <c r="U103" s="20">
        <f>ROUND(IF(OR($A103&lt;VLOOKUP(U$2,行为概览!$D$3:$U$33,3,0),$A103&gt;VLOOKUP(U$2,行为概览!$D$3:$U$33,4,0)),0,VLOOKUP(U$2,行为概览!$D$3:$U$33,6,0)),4)</f>
        <v>0.16669999999999999</v>
      </c>
      <c r="V103" s="20">
        <f>ROUND(IF(OR($A103&lt;VLOOKUP(V$2,行为概览!$D$3:$U$33,3,0),$A103&gt;VLOOKUP(V$2,行为概览!$D$3:$U$33,4,0)),0,VLOOKUP(V$2,行为概览!$D$3:$U$33,6,0)),4)</f>
        <v>0.16669999999999999</v>
      </c>
      <c r="W103" s="20">
        <f>ROUND(IF(OR($A103&lt;VLOOKUP(W$2,行为概览!$D$3:$U$33,3,0),$A103&gt;VLOOKUP(W$2,行为概览!$D$3:$U$33,4,0)),0,VLOOKUP(W$2,行为概览!$D$3:$U$33,6,0)),4)</f>
        <v>0.16669999999999999</v>
      </c>
      <c r="X103" s="20">
        <f>ROUND(IF(OR($A103&lt;VLOOKUP(X$2,行为概览!$D$3:$U$33,3,0),$A103&gt;VLOOKUP(X$2,行为概览!$D$3:$U$33,4,0)),0,VLOOKUP(X$2,行为概览!$D$3:$U$33,6,0)),4)</f>
        <v>0.25</v>
      </c>
      <c r="Y103" s="20">
        <f>ROUND(IF(OR($A103&lt;VLOOKUP(Y$2,行为概览!$D$3:$U$33,3,0),$A103&gt;VLOOKUP(Y$2,行为概览!$D$3:$U$33,4,0)),0,VLOOKUP(Y$2,行为概览!$D$3:$U$33,6,0)),4)</f>
        <v>0.58330000000000004</v>
      </c>
      <c r="Z103" s="20">
        <f>ROUND(IF(OR($A103&lt;VLOOKUP(Z$2,行为概览!$D$3:$U$33,3,0),$A103&gt;VLOOKUP(Z$2,行为概览!$D$3:$U$33,4,0)),0,VLOOKUP(Z$2,行为概览!$D$3:$U$33,6,0)),4)</f>
        <v>0.16669999999999999</v>
      </c>
      <c r="AA103" s="20">
        <f>ROUND(IF(OR($A103&lt;VLOOKUP(AA$2,行为概览!$D$3:$U$33,3,0),$A103&gt;VLOOKUP(AA$2,行为概览!$D$3:$U$33,4,0)),0,VLOOKUP(AA$2,行为概览!$D$3:$U$33,6,0)),4)</f>
        <v>0</v>
      </c>
      <c r="AB103" s="20">
        <f>ROUND(IF(OR($A103&lt;VLOOKUP(AB$2,行为概览!$D$3:$U$33,3,0),$A103&gt;VLOOKUP(AB$2,行为概览!$D$3:$U$33,4,0)),0,VLOOKUP(AB$2,行为概览!$D$3:$U$33,6,0)),4)</f>
        <v>0</v>
      </c>
      <c r="AC103" s="20">
        <f>ROUND(IF(OR($A103&lt;VLOOKUP(AC$2,行为概览!$D$3:$U$33,3,0),$A103&gt;VLOOKUP(AC$2,行为概览!$D$3:$U$33,4,0)),0,VLOOKUP(AC$2,行为概览!$D$3:$U$33,6,0)),4)</f>
        <v>0</v>
      </c>
      <c r="AD103" s="20">
        <f>ROUND(IF(OR($A103&lt;VLOOKUP(AD$2,行为概览!$D$3:$U$33,3,0),$A103&gt;VLOOKUP(AD$2,行为概览!$D$3:$U$33,4,0)),0,VLOOKUP(AD$2,行为概览!$D$3:$U$33,6,0)),4)</f>
        <v>0</v>
      </c>
      <c r="AE103" s="20">
        <f>ROUND(IF(OR($A103&lt;VLOOKUP(AE$2,行为概览!$D$3:$U$33,3,0),$A103&gt;VLOOKUP(AE$2,行为概览!$D$3:$U$33,4,0)),0,VLOOKUP(AE$2,行为概览!$D$3:$U$33,6,0)),4)</f>
        <v>8.3299999999999999E-2</v>
      </c>
      <c r="AF103" s="20">
        <f>ROUND(IF(OR($A103&lt;VLOOKUP(AF$2,行为概览!$D$3:$U$33,3,0),$A103&gt;VLOOKUP(AF$2,行为概览!$D$3:$U$33,4,0)),0,VLOOKUP(AF$2,行为概览!$D$3:$U$33,6,0)),4)</f>
        <v>0</v>
      </c>
    </row>
    <row r="104" spans="1:32">
      <c r="A104" s="19">
        <v>102</v>
      </c>
      <c r="B104" s="20">
        <f>ROUND(IF(OR($A104&lt;VLOOKUP(B$2,行为概览!$D$3:$U$33,3,0),$A104&gt;VLOOKUP(B$2,行为概览!$D$3:$U$33,4,0)),0,VLOOKUP(B$2,行为概览!$D$3:$U$33,6,0)),4)</f>
        <v>0.33329999999999999</v>
      </c>
      <c r="C104" s="20">
        <f>ROUND(IF(OR($A104&lt;VLOOKUP(C$2,行为概览!$D$3:$U$33,3,0),$A104&gt;VLOOKUP(C$2,行为概览!$D$3:$U$33,4,0)),0,VLOOKUP(C$2,行为概览!$D$3:$U$33,6,0)),4)</f>
        <v>2</v>
      </c>
      <c r="D104" s="20">
        <f>ROUND(IF(OR($A104&lt;VLOOKUP(D$2,行为概览!$D$3:$U$33,3,0),$A104&gt;VLOOKUP(D$2,行为概览!$D$3:$U$33,4,0)),0,VLOOKUP(D$2,行为概览!$D$3:$U$33,6,0)),4)</f>
        <v>8.3299999999999999E-2</v>
      </c>
      <c r="E104" s="20">
        <f>ROUND(IF(OR($A104&lt;VLOOKUP(E$2,行为概览!$D$3:$U$33,3,0),$A104&gt;VLOOKUP(E$2,行为概览!$D$3:$U$33,4,0)),0,VLOOKUP(E$2,行为概览!$D$3:$U$33,6,0)),4)</f>
        <v>1</v>
      </c>
      <c r="F104" s="20">
        <f>ROUND(IF(OR($A104&lt;VLOOKUP(F$2,行为概览!$D$3:$U$33,3,0),$A104&gt;VLOOKUP(F$2,行为概览!$D$3:$U$33,4,0)),0,VLOOKUP(F$2,行为概览!$D$3:$U$33,6,0)),4)</f>
        <v>0.33329999999999999</v>
      </c>
      <c r="G104" s="20">
        <f>ROUND(IF(OR($A104&lt;VLOOKUP(G$2,行为概览!$D$3:$U$33,3,0),$A104&gt;VLOOKUP(G$2,行为概览!$D$3:$U$33,4,0)),0,VLOOKUP(G$2,行为概览!$D$3:$U$33,6,0)),4)</f>
        <v>0</v>
      </c>
      <c r="H104" s="20">
        <f>ROUND(IF(OR($A104&lt;VLOOKUP(H$2,行为概览!$D$3:$U$33,3,0),$A104&gt;VLOOKUP(H$2,行为概览!$D$3:$U$33,4,0)),0,VLOOKUP(H$2,行为概览!$D$3:$U$33,6,0)),4)</f>
        <v>0</v>
      </c>
      <c r="I104" s="20">
        <f>ROUND(IF(OR($A104&lt;VLOOKUP(I$2,行为概览!$D$3:$U$33,3,0),$A104&gt;VLOOKUP(I$2,行为概览!$D$3:$U$33,4,0)),0,VLOOKUP(I$2,行为概览!$D$3:$U$33,6,0)),4)</f>
        <v>0</v>
      </c>
      <c r="J104" s="20">
        <f>ROUND(IF(OR($A104&lt;VLOOKUP(J$2,行为概览!$D$3:$U$33,3,0),$A104&gt;VLOOKUP(J$2,行为概览!$D$3:$U$33,4,0)),0,VLOOKUP(J$2,行为概览!$D$3:$U$33,6,0)),4)</f>
        <v>0.5</v>
      </c>
      <c r="K104" s="20">
        <f>ROUND(IF(OR($A104&lt;VLOOKUP(K$2,行为概览!$D$3:$U$33,3,0),$A104&gt;VLOOKUP(K$2,行为概览!$D$3:$U$33,4,0)),0,VLOOKUP(K$2,行为概览!$D$3:$U$33,6,0)),4)</f>
        <v>0.16669999999999999</v>
      </c>
      <c r="L104" s="20">
        <f>ROUND(IF(OR($A104&lt;VLOOKUP(L$2,行为概览!$D$3:$U$33,3,0),$A104&gt;VLOOKUP(L$2,行为概览!$D$3:$U$33,4,0)),0,VLOOKUP(L$2,行为概览!$D$3:$U$33,6,0)),4)</f>
        <v>0.5</v>
      </c>
      <c r="M104" s="20">
        <f>ROUND(IF(OR($A104&lt;VLOOKUP(M$2,行为概览!$D$3:$U$33,3,0),$A104&gt;VLOOKUP(M$2,行为概览!$D$3:$U$33,4,0)),0,VLOOKUP(M$2,行为概览!$D$3:$U$33,6,0)),4)</f>
        <v>12</v>
      </c>
      <c r="N104" s="20">
        <f>ROUND(IF(OR($A104&lt;VLOOKUP(N$2,行为概览!$D$3:$U$33,3,0),$A104&gt;VLOOKUP(N$2,行为概览!$D$3:$U$33,4,0)),0,VLOOKUP(N$2,行为概览!$D$3:$U$33,6,0)),4)</f>
        <v>8.3299999999999999E-2</v>
      </c>
      <c r="O104" s="20">
        <f>ROUND(IF(OR($A104&lt;VLOOKUP(O$2,行为概览!$D$3:$U$33,3,0),$A104&gt;VLOOKUP(O$2,行为概览!$D$3:$U$33,4,0)),0,VLOOKUP(O$2,行为概览!$D$3:$U$33,6,0)),4)</f>
        <v>8.3299999999999999E-2</v>
      </c>
      <c r="P104" s="20">
        <f>ROUND(IF(OR($A104&lt;VLOOKUP(P$2,行为概览!$D$3:$U$33,3,0),$A104&gt;VLOOKUP(P$2,行为概览!$D$3:$U$33,4,0)),0,VLOOKUP(P$2,行为概览!$D$3:$U$33,6,0)),4)</f>
        <v>2.6</v>
      </c>
      <c r="Q104" s="20">
        <f>ROUND(IF(OR($A104&lt;VLOOKUP(Q$2,行为概览!$D$3:$U$33,3,0),$A104&gt;VLOOKUP(Q$2,行为概览!$D$3:$U$33,4,0)),0,VLOOKUP(Q$2,行为概览!$D$3:$U$33,6,0)),4)</f>
        <v>1</v>
      </c>
      <c r="R104" s="20">
        <f>ROUND(IF(OR($A104&lt;VLOOKUP(R$2,行为概览!$D$3:$U$33,3,0),$A104&gt;VLOOKUP(R$2,行为概览!$D$3:$U$33,4,0)),0,VLOOKUP(R$2,行为概览!$D$3:$U$33,6,0)),4)</f>
        <v>0.33329999999999999</v>
      </c>
      <c r="S104" s="20">
        <f>ROUND(IF(OR($A104&lt;VLOOKUP(S$2,行为概览!$D$3:$U$33,3,0),$A104&gt;VLOOKUP(S$2,行为概览!$D$3:$U$33,4,0)),0,VLOOKUP(S$2,行为概览!$D$3:$U$33,6,0)),4)</f>
        <v>0</v>
      </c>
      <c r="T104" s="20">
        <f>ROUND(IF(OR($A104&lt;VLOOKUP(T$2,行为概览!$D$3:$U$33,3,0),$A104&gt;VLOOKUP(T$2,行为概览!$D$3:$U$33,4,0)),0,VLOOKUP(T$2,行为概览!$D$3:$U$33,6,0)),4)</f>
        <v>0.33329999999999999</v>
      </c>
      <c r="U104" s="20">
        <f>ROUND(IF(OR($A104&lt;VLOOKUP(U$2,行为概览!$D$3:$U$33,3,0),$A104&gt;VLOOKUP(U$2,行为概览!$D$3:$U$33,4,0)),0,VLOOKUP(U$2,行为概览!$D$3:$U$33,6,0)),4)</f>
        <v>0.16669999999999999</v>
      </c>
      <c r="V104" s="20">
        <f>ROUND(IF(OR($A104&lt;VLOOKUP(V$2,行为概览!$D$3:$U$33,3,0),$A104&gt;VLOOKUP(V$2,行为概览!$D$3:$U$33,4,0)),0,VLOOKUP(V$2,行为概览!$D$3:$U$33,6,0)),4)</f>
        <v>0.16669999999999999</v>
      </c>
      <c r="W104" s="20">
        <f>ROUND(IF(OR($A104&lt;VLOOKUP(W$2,行为概览!$D$3:$U$33,3,0),$A104&gt;VLOOKUP(W$2,行为概览!$D$3:$U$33,4,0)),0,VLOOKUP(W$2,行为概览!$D$3:$U$33,6,0)),4)</f>
        <v>0.16669999999999999</v>
      </c>
      <c r="X104" s="20">
        <f>ROUND(IF(OR($A104&lt;VLOOKUP(X$2,行为概览!$D$3:$U$33,3,0),$A104&gt;VLOOKUP(X$2,行为概览!$D$3:$U$33,4,0)),0,VLOOKUP(X$2,行为概览!$D$3:$U$33,6,0)),4)</f>
        <v>0.25</v>
      </c>
      <c r="Y104" s="20">
        <f>ROUND(IF(OR($A104&lt;VLOOKUP(Y$2,行为概览!$D$3:$U$33,3,0),$A104&gt;VLOOKUP(Y$2,行为概览!$D$3:$U$33,4,0)),0,VLOOKUP(Y$2,行为概览!$D$3:$U$33,6,0)),4)</f>
        <v>0.58330000000000004</v>
      </c>
      <c r="Z104" s="20">
        <f>ROUND(IF(OR($A104&lt;VLOOKUP(Z$2,行为概览!$D$3:$U$33,3,0),$A104&gt;VLOOKUP(Z$2,行为概览!$D$3:$U$33,4,0)),0,VLOOKUP(Z$2,行为概览!$D$3:$U$33,6,0)),4)</f>
        <v>0.16669999999999999</v>
      </c>
      <c r="AA104" s="20">
        <f>ROUND(IF(OR($A104&lt;VLOOKUP(AA$2,行为概览!$D$3:$U$33,3,0),$A104&gt;VLOOKUP(AA$2,行为概览!$D$3:$U$33,4,0)),0,VLOOKUP(AA$2,行为概览!$D$3:$U$33,6,0)),4)</f>
        <v>0</v>
      </c>
      <c r="AB104" s="20">
        <f>ROUND(IF(OR($A104&lt;VLOOKUP(AB$2,行为概览!$D$3:$U$33,3,0),$A104&gt;VLOOKUP(AB$2,行为概览!$D$3:$U$33,4,0)),0,VLOOKUP(AB$2,行为概览!$D$3:$U$33,6,0)),4)</f>
        <v>0</v>
      </c>
      <c r="AC104" s="20">
        <f>ROUND(IF(OR($A104&lt;VLOOKUP(AC$2,行为概览!$D$3:$U$33,3,0),$A104&gt;VLOOKUP(AC$2,行为概览!$D$3:$U$33,4,0)),0,VLOOKUP(AC$2,行为概览!$D$3:$U$33,6,0)),4)</f>
        <v>0</v>
      </c>
      <c r="AD104" s="20">
        <f>ROUND(IF(OR($A104&lt;VLOOKUP(AD$2,行为概览!$D$3:$U$33,3,0),$A104&gt;VLOOKUP(AD$2,行为概览!$D$3:$U$33,4,0)),0,VLOOKUP(AD$2,行为概览!$D$3:$U$33,6,0)),4)</f>
        <v>0</v>
      </c>
      <c r="AE104" s="20">
        <f>ROUND(IF(OR($A104&lt;VLOOKUP(AE$2,行为概览!$D$3:$U$33,3,0),$A104&gt;VLOOKUP(AE$2,行为概览!$D$3:$U$33,4,0)),0,VLOOKUP(AE$2,行为概览!$D$3:$U$33,6,0)),4)</f>
        <v>8.3299999999999999E-2</v>
      </c>
      <c r="AF104" s="20">
        <f>ROUND(IF(OR($A104&lt;VLOOKUP(AF$2,行为概览!$D$3:$U$33,3,0),$A104&gt;VLOOKUP(AF$2,行为概览!$D$3:$U$33,4,0)),0,VLOOKUP(AF$2,行为概览!$D$3:$U$33,6,0)),4)</f>
        <v>0</v>
      </c>
    </row>
    <row r="105" spans="1:32">
      <c r="A105" s="19">
        <v>103</v>
      </c>
      <c r="B105" s="20">
        <f>ROUND(IF(OR($A105&lt;VLOOKUP(B$2,行为概览!$D$3:$U$33,3,0),$A105&gt;VLOOKUP(B$2,行为概览!$D$3:$U$33,4,0)),0,VLOOKUP(B$2,行为概览!$D$3:$U$33,6,0)),4)</f>
        <v>0.33329999999999999</v>
      </c>
      <c r="C105" s="20">
        <f>ROUND(IF(OR($A105&lt;VLOOKUP(C$2,行为概览!$D$3:$U$33,3,0),$A105&gt;VLOOKUP(C$2,行为概览!$D$3:$U$33,4,0)),0,VLOOKUP(C$2,行为概览!$D$3:$U$33,6,0)),4)</f>
        <v>2</v>
      </c>
      <c r="D105" s="20">
        <f>ROUND(IF(OR($A105&lt;VLOOKUP(D$2,行为概览!$D$3:$U$33,3,0),$A105&gt;VLOOKUP(D$2,行为概览!$D$3:$U$33,4,0)),0,VLOOKUP(D$2,行为概览!$D$3:$U$33,6,0)),4)</f>
        <v>8.3299999999999999E-2</v>
      </c>
      <c r="E105" s="20">
        <f>ROUND(IF(OR($A105&lt;VLOOKUP(E$2,行为概览!$D$3:$U$33,3,0),$A105&gt;VLOOKUP(E$2,行为概览!$D$3:$U$33,4,0)),0,VLOOKUP(E$2,行为概览!$D$3:$U$33,6,0)),4)</f>
        <v>1</v>
      </c>
      <c r="F105" s="20">
        <f>ROUND(IF(OR($A105&lt;VLOOKUP(F$2,行为概览!$D$3:$U$33,3,0),$A105&gt;VLOOKUP(F$2,行为概览!$D$3:$U$33,4,0)),0,VLOOKUP(F$2,行为概览!$D$3:$U$33,6,0)),4)</f>
        <v>0.33329999999999999</v>
      </c>
      <c r="G105" s="20">
        <f>ROUND(IF(OR($A105&lt;VLOOKUP(G$2,行为概览!$D$3:$U$33,3,0),$A105&gt;VLOOKUP(G$2,行为概览!$D$3:$U$33,4,0)),0,VLOOKUP(G$2,行为概览!$D$3:$U$33,6,0)),4)</f>
        <v>0</v>
      </c>
      <c r="H105" s="20">
        <f>ROUND(IF(OR($A105&lt;VLOOKUP(H$2,行为概览!$D$3:$U$33,3,0),$A105&gt;VLOOKUP(H$2,行为概览!$D$3:$U$33,4,0)),0,VLOOKUP(H$2,行为概览!$D$3:$U$33,6,0)),4)</f>
        <v>0</v>
      </c>
      <c r="I105" s="20">
        <f>ROUND(IF(OR($A105&lt;VLOOKUP(I$2,行为概览!$D$3:$U$33,3,0),$A105&gt;VLOOKUP(I$2,行为概览!$D$3:$U$33,4,0)),0,VLOOKUP(I$2,行为概览!$D$3:$U$33,6,0)),4)</f>
        <v>0</v>
      </c>
      <c r="J105" s="20">
        <f>ROUND(IF(OR($A105&lt;VLOOKUP(J$2,行为概览!$D$3:$U$33,3,0),$A105&gt;VLOOKUP(J$2,行为概览!$D$3:$U$33,4,0)),0,VLOOKUP(J$2,行为概览!$D$3:$U$33,6,0)),4)</f>
        <v>0.5</v>
      </c>
      <c r="K105" s="20">
        <f>ROUND(IF(OR($A105&lt;VLOOKUP(K$2,行为概览!$D$3:$U$33,3,0),$A105&gt;VLOOKUP(K$2,行为概览!$D$3:$U$33,4,0)),0,VLOOKUP(K$2,行为概览!$D$3:$U$33,6,0)),4)</f>
        <v>0.16669999999999999</v>
      </c>
      <c r="L105" s="20">
        <f>ROUND(IF(OR($A105&lt;VLOOKUP(L$2,行为概览!$D$3:$U$33,3,0),$A105&gt;VLOOKUP(L$2,行为概览!$D$3:$U$33,4,0)),0,VLOOKUP(L$2,行为概览!$D$3:$U$33,6,0)),4)</f>
        <v>0.5</v>
      </c>
      <c r="M105" s="20">
        <f>ROUND(IF(OR($A105&lt;VLOOKUP(M$2,行为概览!$D$3:$U$33,3,0),$A105&gt;VLOOKUP(M$2,行为概览!$D$3:$U$33,4,0)),0,VLOOKUP(M$2,行为概览!$D$3:$U$33,6,0)),4)</f>
        <v>12</v>
      </c>
      <c r="N105" s="20">
        <f>ROUND(IF(OR($A105&lt;VLOOKUP(N$2,行为概览!$D$3:$U$33,3,0),$A105&gt;VLOOKUP(N$2,行为概览!$D$3:$U$33,4,0)),0,VLOOKUP(N$2,行为概览!$D$3:$U$33,6,0)),4)</f>
        <v>8.3299999999999999E-2</v>
      </c>
      <c r="O105" s="20">
        <f>ROUND(IF(OR($A105&lt;VLOOKUP(O$2,行为概览!$D$3:$U$33,3,0),$A105&gt;VLOOKUP(O$2,行为概览!$D$3:$U$33,4,0)),0,VLOOKUP(O$2,行为概览!$D$3:$U$33,6,0)),4)</f>
        <v>8.3299999999999999E-2</v>
      </c>
      <c r="P105" s="20">
        <f>ROUND(IF(OR($A105&lt;VLOOKUP(P$2,行为概览!$D$3:$U$33,3,0),$A105&gt;VLOOKUP(P$2,行为概览!$D$3:$U$33,4,0)),0,VLOOKUP(P$2,行为概览!$D$3:$U$33,6,0)),4)</f>
        <v>2.6</v>
      </c>
      <c r="Q105" s="20">
        <f>ROUND(IF(OR($A105&lt;VLOOKUP(Q$2,行为概览!$D$3:$U$33,3,0),$A105&gt;VLOOKUP(Q$2,行为概览!$D$3:$U$33,4,0)),0,VLOOKUP(Q$2,行为概览!$D$3:$U$33,6,0)),4)</f>
        <v>1</v>
      </c>
      <c r="R105" s="20">
        <f>ROUND(IF(OR($A105&lt;VLOOKUP(R$2,行为概览!$D$3:$U$33,3,0),$A105&gt;VLOOKUP(R$2,行为概览!$D$3:$U$33,4,0)),0,VLOOKUP(R$2,行为概览!$D$3:$U$33,6,0)),4)</f>
        <v>0.33329999999999999</v>
      </c>
      <c r="S105" s="20">
        <f>ROUND(IF(OR($A105&lt;VLOOKUP(S$2,行为概览!$D$3:$U$33,3,0),$A105&gt;VLOOKUP(S$2,行为概览!$D$3:$U$33,4,0)),0,VLOOKUP(S$2,行为概览!$D$3:$U$33,6,0)),4)</f>
        <v>0</v>
      </c>
      <c r="T105" s="20">
        <f>ROUND(IF(OR($A105&lt;VLOOKUP(T$2,行为概览!$D$3:$U$33,3,0),$A105&gt;VLOOKUP(T$2,行为概览!$D$3:$U$33,4,0)),0,VLOOKUP(T$2,行为概览!$D$3:$U$33,6,0)),4)</f>
        <v>0.33329999999999999</v>
      </c>
      <c r="U105" s="20">
        <f>ROUND(IF(OR($A105&lt;VLOOKUP(U$2,行为概览!$D$3:$U$33,3,0),$A105&gt;VLOOKUP(U$2,行为概览!$D$3:$U$33,4,0)),0,VLOOKUP(U$2,行为概览!$D$3:$U$33,6,0)),4)</f>
        <v>0.16669999999999999</v>
      </c>
      <c r="V105" s="20">
        <f>ROUND(IF(OR($A105&lt;VLOOKUP(V$2,行为概览!$D$3:$U$33,3,0),$A105&gt;VLOOKUP(V$2,行为概览!$D$3:$U$33,4,0)),0,VLOOKUP(V$2,行为概览!$D$3:$U$33,6,0)),4)</f>
        <v>0.16669999999999999</v>
      </c>
      <c r="W105" s="20">
        <f>ROUND(IF(OR($A105&lt;VLOOKUP(W$2,行为概览!$D$3:$U$33,3,0),$A105&gt;VLOOKUP(W$2,行为概览!$D$3:$U$33,4,0)),0,VLOOKUP(W$2,行为概览!$D$3:$U$33,6,0)),4)</f>
        <v>0.16669999999999999</v>
      </c>
      <c r="X105" s="20">
        <f>ROUND(IF(OR($A105&lt;VLOOKUP(X$2,行为概览!$D$3:$U$33,3,0),$A105&gt;VLOOKUP(X$2,行为概览!$D$3:$U$33,4,0)),0,VLOOKUP(X$2,行为概览!$D$3:$U$33,6,0)),4)</f>
        <v>0.25</v>
      </c>
      <c r="Y105" s="20">
        <f>ROUND(IF(OR($A105&lt;VLOOKUP(Y$2,行为概览!$D$3:$U$33,3,0),$A105&gt;VLOOKUP(Y$2,行为概览!$D$3:$U$33,4,0)),0,VLOOKUP(Y$2,行为概览!$D$3:$U$33,6,0)),4)</f>
        <v>0.58330000000000004</v>
      </c>
      <c r="Z105" s="20">
        <f>ROUND(IF(OR($A105&lt;VLOOKUP(Z$2,行为概览!$D$3:$U$33,3,0),$A105&gt;VLOOKUP(Z$2,行为概览!$D$3:$U$33,4,0)),0,VLOOKUP(Z$2,行为概览!$D$3:$U$33,6,0)),4)</f>
        <v>0.16669999999999999</v>
      </c>
      <c r="AA105" s="20">
        <f>ROUND(IF(OR($A105&lt;VLOOKUP(AA$2,行为概览!$D$3:$U$33,3,0),$A105&gt;VLOOKUP(AA$2,行为概览!$D$3:$U$33,4,0)),0,VLOOKUP(AA$2,行为概览!$D$3:$U$33,6,0)),4)</f>
        <v>0</v>
      </c>
      <c r="AB105" s="20">
        <f>ROUND(IF(OR($A105&lt;VLOOKUP(AB$2,行为概览!$D$3:$U$33,3,0),$A105&gt;VLOOKUP(AB$2,行为概览!$D$3:$U$33,4,0)),0,VLOOKUP(AB$2,行为概览!$D$3:$U$33,6,0)),4)</f>
        <v>0</v>
      </c>
      <c r="AC105" s="20">
        <f>ROUND(IF(OR($A105&lt;VLOOKUP(AC$2,行为概览!$D$3:$U$33,3,0),$A105&gt;VLOOKUP(AC$2,行为概览!$D$3:$U$33,4,0)),0,VLOOKUP(AC$2,行为概览!$D$3:$U$33,6,0)),4)</f>
        <v>0</v>
      </c>
      <c r="AD105" s="20">
        <f>ROUND(IF(OR($A105&lt;VLOOKUP(AD$2,行为概览!$D$3:$U$33,3,0),$A105&gt;VLOOKUP(AD$2,行为概览!$D$3:$U$33,4,0)),0,VLOOKUP(AD$2,行为概览!$D$3:$U$33,6,0)),4)</f>
        <v>0</v>
      </c>
      <c r="AE105" s="20">
        <f>ROUND(IF(OR($A105&lt;VLOOKUP(AE$2,行为概览!$D$3:$U$33,3,0),$A105&gt;VLOOKUP(AE$2,行为概览!$D$3:$U$33,4,0)),0,VLOOKUP(AE$2,行为概览!$D$3:$U$33,6,0)),4)</f>
        <v>8.3299999999999999E-2</v>
      </c>
      <c r="AF105" s="20">
        <f>ROUND(IF(OR($A105&lt;VLOOKUP(AF$2,行为概览!$D$3:$U$33,3,0),$A105&gt;VLOOKUP(AF$2,行为概览!$D$3:$U$33,4,0)),0,VLOOKUP(AF$2,行为概览!$D$3:$U$33,6,0)),4)</f>
        <v>0</v>
      </c>
    </row>
    <row r="106" spans="1:32">
      <c r="A106" s="19">
        <v>104</v>
      </c>
      <c r="B106" s="20">
        <f>ROUND(IF(OR($A106&lt;VLOOKUP(B$2,行为概览!$D$3:$U$33,3,0),$A106&gt;VLOOKUP(B$2,行为概览!$D$3:$U$33,4,0)),0,VLOOKUP(B$2,行为概览!$D$3:$U$33,6,0)),4)</f>
        <v>0.33329999999999999</v>
      </c>
      <c r="C106" s="20">
        <f>ROUND(IF(OR($A106&lt;VLOOKUP(C$2,行为概览!$D$3:$U$33,3,0),$A106&gt;VLOOKUP(C$2,行为概览!$D$3:$U$33,4,0)),0,VLOOKUP(C$2,行为概览!$D$3:$U$33,6,0)),4)</f>
        <v>2</v>
      </c>
      <c r="D106" s="20">
        <f>ROUND(IF(OR($A106&lt;VLOOKUP(D$2,行为概览!$D$3:$U$33,3,0),$A106&gt;VLOOKUP(D$2,行为概览!$D$3:$U$33,4,0)),0,VLOOKUP(D$2,行为概览!$D$3:$U$33,6,0)),4)</f>
        <v>8.3299999999999999E-2</v>
      </c>
      <c r="E106" s="20">
        <f>ROUND(IF(OR($A106&lt;VLOOKUP(E$2,行为概览!$D$3:$U$33,3,0),$A106&gt;VLOOKUP(E$2,行为概览!$D$3:$U$33,4,0)),0,VLOOKUP(E$2,行为概览!$D$3:$U$33,6,0)),4)</f>
        <v>1</v>
      </c>
      <c r="F106" s="20">
        <f>ROUND(IF(OR($A106&lt;VLOOKUP(F$2,行为概览!$D$3:$U$33,3,0),$A106&gt;VLOOKUP(F$2,行为概览!$D$3:$U$33,4,0)),0,VLOOKUP(F$2,行为概览!$D$3:$U$33,6,0)),4)</f>
        <v>0.33329999999999999</v>
      </c>
      <c r="G106" s="20">
        <f>ROUND(IF(OR($A106&lt;VLOOKUP(G$2,行为概览!$D$3:$U$33,3,0),$A106&gt;VLOOKUP(G$2,行为概览!$D$3:$U$33,4,0)),0,VLOOKUP(G$2,行为概览!$D$3:$U$33,6,0)),4)</f>
        <v>0</v>
      </c>
      <c r="H106" s="20">
        <f>ROUND(IF(OR($A106&lt;VLOOKUP(H$2,行为概览!$D$3:$U$33,3,0),$A106&gt;VLOOKUP(H$2,行为概览!$D$3:$U$33,4,0)),0,VLOOKUP(H$2,行为概览!$D$3:$U$33,6,0)),4)</f>
        <v>0</v>
      </c>
      <c r="I106" s="20">
        <f>ROUND(IF(OR($A106&lt;VLOOKUP(I$2,行为概览!$D$3:$U$33,3,0),$A106&gt;VLOOKUP(I$2,行为概览!$D$3:$U$33,4,0)),0,VLOOKUP(I$2,行为概览!$D$3:$U$33,6,0)),4)</f>
        <v>0</v>
      </c>
      <c r="J106" s="20">
        <f>ROUND(IF(OR($A106&lt;VLOOKUP(J$2,行为概览!$D$3:$U$33,3,0),$A106&gt;VLOOKUP(J$2,行为概览!$D$3:$U$33,4,0)),0,VLOOKUP(J$2,行为概览!$D$3:$U$33,6,0)),4)</f>
        <v>0.5</v>
      </c>
      <c r="K106" s="20">
        <f>ROUND(IF(OR($A106&lt;VLOOKUP(K$2,行为概览!$D$3:$U$33,3,0),$A106&gt;VLOOKUP(K$2,行为概览!$D$3:$U$33,4,0)),0,VLOOKUP(K$2,行为概览!$D$3:$U$33,6,0)),4)</f>
        <v>0.16669999999999999</v>
      </c>
      <c r="L106" s="20">
        <f>ROUND(IF(OR($A106&lt;VLOOKUP(L$2,行为概览!$D$3:$U$33,3,0),$A106&gt;VLOOKUP(L$2,行为概览!$D$3:$U$33,4,0)),0,VLOOKUP(L$2,行为概览!$D$3:$U$33,6,0)),4)</f>
        <v>0.5</v>
      </c>
      <c r="M106" s="20">
        <f>ROUND(IF(OR($A106&lt;VLOOKUP(M$2,行为概览!$D$3:$U$33,3,0),$A106&gt;VLOOKUP(M$2,行为概览!$D$3:$U$33,4,0)),0,VLOOKUP(M$2,行为概览!$D$3:$U$33,6,0)),4)</f>
        <v>12</v>
      </c>
      <c r="N106" s="20">
        <f>ROUND(IF(OR($A106&lt;VLOOKUP(N$2,行为概览!$D$3:$U$33,3,0),$A106&gt;VLOOKUP(N$2,行为概览!$D$3:$U$33,4,0)),0,VLOOKUP(N$2,行为概览!$D$3:$U$33,6,0)),4)</f>
        <v>8.3299999999999999E-2</v>
      </c>
      <c r="O106" s="20">
        <f>ROUND(IF(OR($A106&lt;VLOOKUP(O$2,行为概览!$D$3:$U$33,3,0),$A106&gt;VLOOKUP(O$2,行为概览!$D$3:$U$33,4,0)),0,VLOOKUP(O$2,行为概览!$D$3:$U$33,6,0)),4)</f>
        <v>8.3299999999999999E-2</v>
      </c>
      <c r="P106" s="20">
        <f>ROUND(IF(OR($A106&lt;VLOOKUP(P$2,行为概览!$D$3:$U$33,3,0),$A106&gt;VLOOKUP(P$2,行为概览!$D$3:$U$33,4,0)),0,VLOOKUP(P$2,行为概览!$D$3:$U$33,6,0)),4)</f>
        <v>2.6</v>
      </c>
      <c r="Q106" s="20">
        <f>ROUND(IF(OR($A106&lt;VLOOKUP(Q$2,行为概览!$D$3:$U$33,3,0),$A106&gt;VLOOKUP(Q$2,行为概览!$D$3:$U$33,4,0)),0,VLOOKUP(Q$2,行为概览!$D$3:$U$33,6,0)),4)</f>
        <v>1</v>
      </c>
      <c r="R106" s="20">
        <f>ROUND(IF(OR($A106&lt;VLOOKUP(R$2,行为概览!$D$3:$U$33,3,0),$A106&gt;VLOOKUP(R$2,行为概览!$D$3:$U$33,4,0)),0,VLOOKUP(R$2,行为概览!$D$3:$U$33,6,0)),4)</f>
        <v>0.33329999999999999</v>
      </c>
      <c r="S106" s="20">
        <f>ROUND(IF(OR($A106&lt;VLOOKUP(S$2,行为概览!$D$3:$U$33,3,0),$A106&gt;VLOOKUP(S$2,行为概览!$D$3:$U$33,4,0)),0,VLOOKUP(S$2,行为概览!$D$3:$U$33,6,0)),4)</f>
        <v>0</v>
      </c>
      <c r="T106" s="20">
        <f>ROUND(IF(OR($A106&lt;VLOOKUP(T$2,行为概览!$D$3:$U$33,3,0),$A106&gt;VLOOKUP(T$2,行为概览!$D$3:$U$33,4,0)),0,VLOOKUP(T$2,行为概览!$D$3:$U$33,6,0)),4)</f>
        <v>0.33329999999999999</v>
      </c>
      <c r="U106" s="20">
        <f>ROUND(IF(OR($A106&lt;VLOOKUP(U$2,行为概览!$D$3:$U$33,3,0),$A106&gt;VLOOKUP(U$2,行为概览!$D$3:$U$33,4,0)),0,VLOOKUP(U$2,行为概览!$D$3:$U$33,6,0)),4)</f>
        <v>0.16669999999999999</v>
      </c>
      <c r="V106" s="20">
        <f>ROUND(IF(OR($A106&lt;VLOOKUP(V$2,行为概览!$D$3:$U$33,3,0),$A106&gt;VLOOKUP(V$2,行为概览!$D$3:$U$33,4,0)),0,VLOOKUP(V$2,行为概览!$D$3:$U$33,6,0)),4)</f>
        <v>0.16669999999999999</v>
      </c>
      <c r="W106" s="20">
        <f>ROUND(IF(OR($A106&lt;VLOOKUP(W$2,行为概览!$D$3:$U$33,3,0),$A106&gt;VLOOKUP(W$2,行为概览!$D$3:$U$33,4,0)),0,VLOOKUP(W$2,行为概览!$D$3:$U$33,6,0)),4)</f>
        <v>0.16669999999999999</v>
      </c>
      <c r="X106" s="20">
        <f>ROUND(IF(OR($A106&lt;VLOOKUP(X$2,行为概览!$D$3:$U$33,3,0),$A106&gt;VLOOKUP(X$2,行为概览!$D$3:$U$33,4,0)),0,VLOOKUP(X$2,行为概览!$D$3:$U$33,6,0)),4)</f>
        <v>0.25</v>
      </c>
      <c r="Y106" s="20">
        <f>ROUND(IF(OR($A106&lt;VLOOKUP(Y$2,行为概览!$D$3:$U$33,3,0),$A106&gt;VLOOKUP(Y$2,行为概览!$D$3:$U$33,4,0)),0,VLOOKUP(Y$2,行为概览!$D$3:$U$33,6,0)),4)</f>
        <v>0.58330000000000004</v>
      </c>
      <c r="Z106" s="20">
        <f>ROUND(IF(OR($A106&lt;VLOOKUP(Z$2,行为概览!$D$3:$U$33,3,0),$A106&gt;VLOOKUP(Z$2,行为概览!$D$3:$U$33,4,0)),0,VLOOKUP(Z$2,行为概览!$D$3:$U$33,6,0)),4)</f>
        <v>0.16669999999999999</v>
      </c>
      <c r="AA106" s="20">
        <f>ROUND(IF(OR($A106&lt;VLOOKUP(AA$2,行为概览!$D$3:$U$33,3,0),$A106&gt;VLOOKUP(AA$2,行为概览!$D$3:$U$33,4,0)),0,VLOOKUP(AA$2,行为概览!$D$3:$U$33,6,0)),4)</f>
        <v>0</v>
      </c>
      <c r="AB106" s="20">
        <f>ROUND(IF(OR($A106&lt;VLOOKUP(AB$2,行为概览!$D$3:$U$33,3,0),$A106&gt;VLOOKUP(AB$2,行为概览!$D$3:$U$33,4,0)),0,VLOOKUP(AB$2,行为概览!$D$3:$U$33,6,0)),4)</f>
        <v>0</v>
      </c>
      <c r="AC106" s="20">
        <f>ROUND(IF(OR($A106&lt;VLOOKUP(AC$2,行为概览!$D$3:$U$33,3,0),$A106&gt;VLOOKUP(AC$2,行为概览!$D$3:$U$33,4,0)),0,VLOOKUP(AC$2,行为概览!$D$3:$U$33,6,0)),4)</f>
        <v>0</v>
      </c>
      <c r="AD106" s="20">
        <f>ROUND(IF(OR($A106&lt;VLOOKUP(AD$2,行为概览!$D$3:$U$33,3,0),$A106&gt;VLOOKUP(AD$2,行为概览!$D$3:$U$33,4,0)),0,VLOOKUP(AD$2,行为概览!$D$3:$U$33,6,0)),4)</f>
        <v>0</v>
      </c>
      <c r="AE106" s="20">
        <f>ROUND(IF(OR($A106&lt;VLOOKUP(AE$2,行为概览!$D$3:$U$33,3,0),$A106&gt;VLOOKUP(AE$2,行为概览!$D$3:$U$33,4,0)),0,VLOOKUP(AE$2,行为概览!$D$3:$U$33,6,0)),4)</f>
        <v>8.3299999999999999E-2</v>
      </c>
      <c r="AF106" s="20">
        <f>ROUND(IF(OR($A106&lt;VLOOKUP(AF$2,行为概览!$D$3:$U$33,3,0),$A106&gt;VLOOKUP(AF$2,行为概览!$D$3:$U$33,4,0)),0,VLOOKUP(AF$2,行为概览!$D$3:$U$33,6,0)),4)</f>
        <v>0</v>
      </c>
    </row>
    <row r="107" spans="1:32">
      <c r="A107" s="19">
        <v>105</v>
      </c>
      <c r="B107" s="20">
        <f>ROUND(IF(OR($A107&lt;VLOOKUP(B$2,行为概览!$D$3:$U$33,3,0),$A107&gt;VLOOKUP(B$2,行为概览!$D$3:$U$33,4,0)),0,VLOOKUP(B$2,行为概览!$D$3:$U$33,6,0)),4)</f>
        <v>0.33329999999999999</v>
      </c>
      <c r="C107" s="20">
        <f>ROUND(IF(OR($A107&lt;VLOOKUP(C$2,行为概览!$D$3:$U$33,3,0),$A107&gt;VLOOKUP(C$2,行为概览!$D$3:$U$33,4,0)),0,VLOOKUP(C$2,行为概览!$D$3:$U$33,6,0)),4)</f>
        <v>2</v>
      </c>
      <c r="D107" s="20">
        <f>ROUND(IF(OR($A107&lt;VLOOKUP(D$2,行为概览!$D$3:$U$33,3,0),$A107&gt;VLOOKUP(D$2,行为概览!$D$3:$U$33,4,0)),0,VLOOKUP(D$2,行为概览!$D$3:$U$33,6,0)),4)</f>
        <v>8.3299999999999999E-2</v>
      </c>
      <c r="E107" s="20">
        <f>ROUND(IF(OR($A107&lt;VLOOKUP(E$2,行为概览!$D$3:$U$33,3,0),$A107&gt;VLOOKUP(E$2,行为概览!$D$3:$U$33,4,0)),0,VLOOKUP(E$2,行为概览!$D$3:$U$33,6,0)),4)</f>
        <v>1</v>
      </c>
      <c r="F107" s="20">
        <f>ROUND(IF(OR($A107&lt;VLOOKUP(F$2,行为概览!$D$3:$U$33,3,0),$A107&gt;VLOOKUP(F$2,行为概览!$D$3:$U$33,4,0)),0,VLOOKUP(F$2,行为概览!$D$3:$U$33,6,0)),4)</f>
        <v>0.33329999999999999</v>
      </c>
      <c r="G107" s="20">
        <f>ROUND(IF(OR($A107&lt;VLOOKUP(G$2,行为概览!$D$3:$U$33,3,0),$A107&gt;VLOOKUP(G$2,行为概览!$D$3:$U$33,4,0)),0,VLOOKUP(G$2,行为概览!$D$3:$U$33,6,0)),4)</f>
        <v>0</v>
      </c>
      <c r="H107" s="20">
        <f>ROUND(IF(OR($A107&lt;VLOOKUP(H$2,行为概览!$D$3:$U$33,3,0),$A107&gt;VLOOKUP(H$2,行为概览!$D$3:$U$33,4,0)),0,VLOOKUP(H$2,行为概览!$D$3:$U$33,6,0)),4)</f>
        <v>0</v>
      </c>
      <c r="I107" s="20">
        <f>ROUND(IF(OR($A107&lt;VLOOKUP(I$2,行为概览!$D$3:$U$33,3,0),$A107&gt;VLOOKUP(I$2,行为概览!$D$3:$U$33,4,0)),0,VLOOKUP(I$2,行为概览!$D$3:$U$33,6,0)),4)</f>
        <v>0</v>
      </c>
      <c r="J107" s="20">
        <f>ROUND(IF(OR($A107&lt;VLOOKUP(J$2,行为概览!$D$3:$U$33,3,0),$A107&gt;VLOOKUP(J$2,行为概览!$D$3:$U$33,4,0)),0,VLOOKUP(J$2,行为概览!$D$3:$U$33,6,0)),4)</f>
        <v>0.5</v>
      </c>
      <c r="K107" s="20">
        <f>ROUND(IF(OR($A107&lt;VLOOKUP(K$2,行为概览!$D$3:$U$33,3,0),$A107&gt;VLOOKUP(K$2,行为概览!$D$3:$U$33,4,0)),0,VLOOKUP(K$2,行为概览!$D$3:$U$33,6,0)),4)</f>
        <v>0.16669999999999999</v>
      </c>
      <c r="L107" s="20">
        <f>ROUND(IF(OR($A107&lt;VLOOKUP(L$2,行为概览!$D$3:$U$33,3,0),$A107&gt;VLOOKUP(L$2,行为概览!$D$3:$U$33,4,0)),0,VLOOKUP(L$2,行为概览!$D$3:$U$33,6,0)),4)</f>
        <v>0.5</v>
      </c>
      <c r="M107" s="20">
        <f>ROUND(IF(OR($A107&lt;VLOOKUP(M$2,行为概览!$D$3:$U$33,3,0),$A107&gt;VLOOKUP(M$2,行为概览!$D$3:$U$33,4,0)),0,VLOOKUP(M$2,行为概览!$D$3:$U$33,6,0)),4)</f>
        <v>12</v>
      </c>
      <c r="N107" s="20">
        <f>ROUND(IF(OR($A107&lt;VLOOKUP(N$2,行为概览!$D$3:$U$33,3,0),$A107&gt;VLOOKUP(N$2,行为概览!$D$3:$U$33,4,0)),0,VLOOKUP(N$2,行为概览!$D$3:$U$33,6,0)),4)</f>
        <v>8.3299999999999999E-2</v>
      </c>
      <c r="O107" s="20">
        <f>ROUND(IF(OR($A107&lt;VLOOKUP(O$2,行为概览!$D$3:$U$33,3,0),$A107&gt;VLOOKUP(O$2,行为概览!$D$3:$U$33,4,0)),0,VLOOKUP(O$2,行为概览!$D$3:$U$33,6,0)),4)</f>
        <v>8.3299999999999999E-2</v>
      </c>
      <c r="P107" s="20">
        <f>ROUND(IF(OR($A107&lt;VLOOKUP(P$2,行为概览!$D$3:$U$33,3,0),$A107&gt;VLOOKUP(P$2,行为概览!$D$3:$U$33,4,0)),0,VLOOKUP(P$2,行为概览!$D$3:$U$33,6,0)),4)</f>
        <v>2.6</v>
      </c>
      <c r="Q107" s="20">
        <f>ROUND(IF(OR($A107&lt;VLOOKUP(Q$2,行为概览!$D$3:$U$33,3,0),$A107&gt;VLOOKUP(Q$2,行为概览!$D$3:$U$33,4,0)),0,VLOOKUP(Q$2,行为概览!$D$3:$U$33,6,0)),4)</f>
        <v>1</v>
      </c>
      <c r="R107" s="20">
        <f>ROUND(IF(OR($A107&lt;VLOOKUP(R$2,行为概览!$D$3:$U$33,3,0),$A107&gt;VLOOKUP(R$2,行为概览!$D$3:$U$33,4,0)),0,VLOOKUP(R$2,行为概览!$D$3:$U$33,6,0)),4)</f>
        <v>0.33329999999999999</v>
      </c>
      <c r="S107" s="20">
        <f>ROUND(IF(OR($A107&lt;VLOOKUP(S$2,行为概览!$D$3:$U$33,3,0),$A107&gt;VLOOKUP(S$2,行为概览!$D$3:$U$33,4,0)),0,VLOOKUP(S$2,行为概览!$D$3:$U$33,6,0)),4)</f>
        <v>0</v>
      </c>
      <c r="T107" s="20">
        <f>ROUND(IF(OR($A107&lt;VLOOKUP(T$2,行为概览!$D$3:$U$33,3,0),$A107&gt;VLOOKUP(T$2,行为概览!$D$3:$U$33,4,0)),0,VLOOKUP(T$2,行为概览!$D$3:$U$33,6,0)),4)</f>
        <v>0.33329999999999999</v>
      </c>
      <c r="U107" s="20">
        <f>ROUND(IF(OR($A107&lt;VLOOKUP(U$2,行为概览!$D$3:$U$33,3,0),$A107&gt;VLOOKUP(U$2,行为概览!$D$3:$U$33,4,0)),0,VLOOKUP(U$2,行为概览!$D$3:$U$33,6,0)),4)</f>
        <v>0.16669999999999999</v>
      </c>
      <c r="V107" s="20">
        <f>ROUND(IF(OR($A107&lt;VLOOKUP(V$2,行为概览!$D$3:$U$33,3,0),$A107&gt;VLOOKUP(V$2,行为概览!$D$3:$U$33,4,0)),0,VLOOKUP(V$2,行为概览!$D$3:$U$33,6,0)),4)</f>
        <v>0.16669999999999999</v>
      </c>
      <c r="W107" s="20">
        <f>ROUND(IF(OR($A107&lt;VLOOKUP(W$2,行为概览!$D$3:$U$33,3,0),$A107&gt;VLOOKUP(W$2,行为概览!$D$3:$U$33,4,0)),0,VLOOKUP(W$2,行为概览!$D$3:$U$33,6,0)),4)</f>
        <v>0.16669999999999999</v>
      </c>
      <c r="X107" s="20">
        <f>ROUND(IF(OR($A107&lt;VLOOKUP(X$2,行为概览!$D$3:$U$33,3,0),$A107&gt;VLOOKUP(X$2,行为概览!$D$3:$U$33,4,0)),0,VLOOKUP(X$2,行为概览!$D$3:$U$33,6,0)),4)</f>
        <v>0.25</v>
      </c>
      <c r="Y107" s="20">
        <f>ROUND(IF(OR($A107&lt;VLOOKUP(Y$2,行为概览!$D$3:$U$33,3,0),$A107&gt;VLOOKUP(Y$2,行为概览!$D$3:$U$33,4,0)),0,VLOOKUP(Y$2,行为概览!$D$3:$U$33,6,0)),4)</f>
        <v>0.58330000000000004</v>
      </c>
      <c r="Z107" s="20">
        <f>ROUND(IF(OR($A107&lt;VLOOKUP(Z$2,行为概览!$D$3:$U$33,3,0),$A107&gt;VLOOKUP(Z$2,行为概览!$D$3:$U$33,4,0)),0,VLOOKUP(Z$2,行为概览!$D$3:$U$33,6,0)),4)</f>
        <v>0.16669999999999999</v>
      </c>
      <c r="AA107" s="20">
        <f>ROUND(IF(OR($A107&lt;VLOOKUP(AA$2,行为概览!$D$3:$U$33,3,0),$A107&gt;VLOOKUP(AA$2,行为概览!$D$3:$U$33,4,0)),0,VLOOKUP(AA$2,行为概览!$D$3:$U$33,6,0)),4)</f>
        <v>0</v>
      </c>
      <c r="AB107" s="20">
        <f>ROUND(IF(OR($A107&lt;VLOOKUP(AB$2,行为概览!$D$3:$U$33,3,0),$A107&gt;VLOOKUP(AB$2,行为概览!$D$3:$U$33,4,0)),0,VLOOKUP(AB$2,行为概览!$D$3:$U$33,6,0)),4)</f>
        <v>0</v>
      </c>
      <c r="AC107" s="20">
        <f>ROUND(IF(OR($A107&lt;VLOOKUP(AC$2,行为概览!$D$3:$U$33,3,0),$A107&gt;VLOOKUP(AC$2,行为概览!$D$3:$U$33,4,0)),0,VLOOKUP(AC$2,行为概览!$D$3:$U$33,6,0)),4)</f>
        <v>0</v>
      </c>
      <c r="AD107" s="20">
        <f>ROUND(IF(OR($A107&lt;VLOOKUP(AD$2,行为概览!$D$3:$U$33,3,0),$A107&gt;VLOOKUP(AD$2,行为概览!$D$3:$U$33,4,0)),0,VLOOKUP(AD$2,行为概览!$D$3:$U$33,6,0)),4)</f>
        <v>0</v>
      </c>
      <c r="AE107" s="20">
        <f>ROUND(IF(OR($A107&lt;VLOOKUP(AE$2,行为概览!$D$3:$U$33,3,0),$A107&gt;VLOOKUP(AE$2,行为概览!$D$3:$U$33,4,0)),0,VLOOKUP(AE$2,行为概览!$D$3:$U$33,6,0)),4)</f>
        <v>8.3299999999999999E-2</v>
      </c>
      <c r="AF107" s="20">
        <f>ROUND(IF(OR($A107&lt;VLOOKUP(AF$2,行为概览!$D$3:$U$33,3,0),$A107&gt;VLOOKUP(AF$2,行为概览!$D$3:$U$33,4,0)),0,VLOOKUP(AF$2,行为概览!$D$3:$U$33,6,0)),4)</f>
        <v>0</v>
      </c>
    </row>
    <row r="108" spans="1:32">
      <c r="A108" s="19">
        <v>106</v>
      </c>
      <c r="B108" s="20">
        <f>ROUND(IF(OR($A108&lt;VLOOKUP(B$2,行为概览!$D$3:$U$33,3,0),$A108&gt;VLOOKUP(B$2,行为概览!$D$3:$U$33,4,0)),0,VLOOKUP(B$2,行为概览!$D$3:$U$33,6,0)),4)</f>
        <v>0.33329999999999999</v>
      </c>
      <c r="C108" s="20">
        <f>ROUND(IF(OR($A108&lt;VLOOKUP(C$2,行为概览!$D$3:$U$33,3,0),$A108&gt;VLOOKUP(C$2,行为概览!$D$3:$U$33,4,0)),0,VLOOKUP(C$2,行为概览!$D$3:$U$33,6,0)),4)</f>
        <v>2</v>
      </c>
      <c r="D108" s="20">
        <f>ROUND(IF(OR($A108&lt;VLOOKUP(D$2,行为概览!$D$3:$U$33,3,0),$A108&gt;VLOOKUP(D$2,行为概览!$D$3:$U$33,4,0)),0,VLOOKUP(D$2,行为概览!$D$3:$U$33,6,0)),4)</f>
        <v>8.3299999999999999E-2</v>
      </c>
      <c r="E108" s="20">
        <f>ROUND(IF(OR($A108&lt;VLOOKUP(E$2,行为概览!$D$3:$U$33,3,0),$A108&gt;VLOOKUP(E$2,行为概览!$D$3:$U$33,4,0)),0,VLOOKUP(E$2,行为概览!$D$3:$U$33,6,0)),4)</f>
        <v>1</v>
      </c>
      <c r="F108" s="20">
        <f>ROUND(IF(OR($A108&lt;VLOOKUP(F$2,行为概览!$D$3:$U$33,3,0),$A108&gt;VLOOKUP(F$2,行为概览!$D$3:$U$33,4,0)),0,VLOOKUP(F$2,行为概览!$D$3:$U$33,6,0)),4)</f>
        <v>0.33329999999999999</v>
      </c>
      <c r="G108" s="20">
        <f>ROUND(IF(OR($A108&lt;VLOOKUP(G$2,行为概览!$D$3:$U$33,3,0),$A108&gt;VLOOKUP(G$2,行为概览!$D$3:$U$33,4,0)),0,VLOOKUP(G$2,行为概览!$D$3:$U$33,6,0)),4)</f>
        <v>0</v>
      </c>
      <c r="H108" s="20">
        <f>ROUND(IF(OR($A108&lt;VLOOKUP(H$2,行为概览!$D$3:$U$33,3,0),$A108&gt;VLOOKUP(H$2,行为概览!$D$3:$U$33,4,0)),0,VLOOKUP(H$2,行为概览!$D$3:$U$33,6,0)),4)</f>
        <v>0</v>
      </c>
      <c r="I108" s="20">
        <f>ROUND(IF(OR($A108&lt;VLOOKUP(I$2,行为概览!$D$3:$U$33,3,0),$A108&gt;VLOOKUP(I$2,行为概览!$D$3:$U$33,4,0)),0,VLOOKUP(I$2,行为概览!$D$3:$U$33,6,0)),4)</f>
        <v>0</v>
      </c>
      <c r="J108" s="20">
        <f>ROUND(IF(OR($A108&lt;VLOOKUP(J$2,行为概览!$D$3:$U$33,3,0),$A108&gt;VLOOKUP(J$2,行为概览!$D$3:$U$33,4,0)),0,VLOOKUP(J$2,行为概览!$D$3:$U$33,6,0)),4)</f>
        <v>0.5</v>
      </c>
      <c r="K108" s="20">
        <f>ROUND(IF(OR($A108&lt;VLOOKUP(K$2,行为概览!$D$3:$U$33,3,0),$A108&gt;VLOOKUP(K$2,行为概览!$D$3:$U$33,4,0)),0,VLOOKUP(K$2,行为概览!$D$3:$U$33,6,0)),4)</f>
        <v>0.16669999999999999</v>
      </c>
      <c r="L108" s="20">
        <f>ROUND(IF(OR($A108&lt;VLOOKUP(L$2,行为概览!$D$3:$U$33,3,0),$A108&gt;VLOOKUP(L$2,行为概览!$D$3:$U$33,4,0)),0,VLOOKUP(L$2,行为概览!$D$3:$U$33,6,0)),4)</f>
        <v>0.5</v>
      </c>
      <c r="M108" s="20">
        <f>ROUND(IF(OR($A108&lt;VLOOKUP(M$2,行为概览!$D$3:$U$33,3,0),$A108&gt;VLOOKUP(M$2,行为概览!$D$3:$U$33,4,0)),0,VLOOKUP(M$2,行为概览!$D$3:$U$33,6,0)),4)</f>
        <v>12</v>
      </c>
      <c r="N108" s="20">
        <f>ROUND(IF(OR($A108&lt;VLOOKUP(N$2,行为概览!$D$3:$U$33,3,0),$A108&gt;VLOOKUP(N$2,行为概览!$D$3:$U$33,4,0)),0,VLOOKUP(N$2,行为概览!$D$3:$U$33,6,0)),4)</f>
        <v>8.3299999999999999E-2</v>
      </c>
      <c r="O108" s="20">
        <f>ROUND(IF(OR($A108&lt;VLOOKUP(O$2,行为概览!$D$3:$U$33,3,0),$A108&gt;VLOOKUP(O$2,行为概览!$D$3:$U$33,4,0)),0,VLOOKUP(O$2,行为概览!$D$3:$U$33,6,0)),4)</f>
        <v>8.3299999999999999E-2</v>
      </c>
      <c r="P108" s="20">
        <f>ROUND(IF(OR($A108&lt;VLOOKUP(P$2,行为概览!$D$3:$U$33,3,0),$A108&gt;VLOOKUP(P$2,行为概览!$D$3:$U$33,4,0)),0,VLOOKUP(P$2,行为概览!$D$3:$U$33,6,0)),4)</f>
        <v>2.6</v>
      </c>
      <c r="Q108" s="20">
        <f>ROUND(IF(OR($A108&lt;VLOOKUP(Q$2,行为概览!$D$3:$U$33,3,0),$A108&gt;VLOOKUP(Q$2,行为概览!$D$3:$U$33,4,0)),0,VLOOKUP(Q$2,行为概览!$D$3:$U$33,6,0)),4)</f>
        <v>1</v>
      </c>
      <c r="R108" s="20">
        <f>ROUND(IF(OR($A108&lt;VLOOKUP(R$2,行为概览!$D$3:$U$33,3,0),$A108&gt;VLOOKUP(R$2,行为概览!$D$3:$U$33,4,0)),0,VLOOKUP(R$2,行为概览!$D$3:$U$33,6,0)),4)</f>
        <v>0.33329999999999999</v>
      </c>
      <c r="S108" s="20">
        <f>ROUND(IF(OR($A108&lt;VLOOKUP(S$2,行为概览!$D$3:$U$33,3,0),$A108&gt;VLOOKUP(S$2,行为概览!$D$3:$U$33,4,0)),0,VLOOKUP(S$2,行为概览!$D$3:$U$33,6,0)),4)</f>
        <v>0</v>
      </c>
      <c r="T108" s="20">
        <f>ROUND(IF(OR($A108&lt;VLOOKUP(T$2,行为概览!$D$3:$U$33,3,0),$A108&gt;VLOOKUP(T$2,行为概览!$D$3:$U$33,4,0)),0,VLOOKUP(T$2,行为概览!$D$3:$U$33,6,0)),4)</f>
        <v>0.33329999999999999</v>
      </c>
      <c r="U108" s="20">
        <f>ROUND(IF(OR($A108&lt;VLOOKUP(U$2,行为概览!$D$3:$U$33,3,0),$A108&gt;VLOOKUP(U$2,行为概览!$D$3:$U$33,4,0)),0,VLOOKUP(U$2,行为概览!$D$3:$U$33,6,0)),4)</f>
        <v>0.16669999999999999</v>
      </c>
      <c r="V108" s="20">
        <f>ROUND(IF(OR($A108&lt;VLOOKUP(V$2,行为概览!$D$3:$U$33,3,0),$A108&gt;VLOOKUP(V$2,行为概览!$D$3:$U$33,4,0)),0,VLOOKUP(V$2,行为概览!$D$3:$U$33,6,0)),4)</f>
        <v>0.16669999999999999</v>
      </c>
      <c r="W108" s="20">
        <f>ROUND(IF(OR($A108&lt;VLOOKUP(W$2,行为概览!$D$3:$U$33,3,0),$A108&gt;VLOOKUP(W$2,行为概览!$D$3:$U$33,4,0)),0,VLOOKUP(W$2,行为概览!$D$3:$U$33,6,0)),4)</f>
        <v>0.16669999999999999</v>
      </c>
      <c r="X108" s="20">
        <f>ROUND(IF(OR($A108&lt;VLOOKUP(X$2,行为概览!$D$3:$U$33,3,0),$A108&gt;VLOOKUP(X$2,行为概览!$D$3:$U$33,4,0)),0,VLOOKUP(X$2,行为概览!$D$3:$U$33,6,0)),4)</f>
        <v>0.25</v>
      </c>
      <c r="Y108" s="20">
        <f>ROUND(IF(OR($A108&lt;VLOOKUP(Y$2,行为概览!$D$3:$U$33,3,0),$A108&gt;VLOOKUP(Y$2,行为概览!$D$3:$U$33,4,0)),0,VLOOKUP(Y$2,行为概览!$D$3:$U$33,6,0)),4)</f>
        <v>0.58330000000000004</v>
      </c>
      <c r="Z108" s="20">
        <f>ROUND(IF(OR($A108&lt;VLOOKUP(Z$2,行为概览!$D$3:$U$33,3,0),$A108&gt;VLOOKUP(Z$2,行为概览!$D$3:$U$33,4,0)),0,VLOOKUP(Z$2,行为概览!$D$3:$U$33,6,0)),4)</f>
        <v>0.16669999999999999</v>
      </c>
      <c r="AA108" s="20">
        <f>ROUND(IF(OR($A108&lt;VLOOKUP(AA$2,行为概览!$D$3:$U$33,3,0),$A108&gt;VLOOKUP(AA$2,行为概览!$D$3:$U$33,4,0)),0,VLOOKUP(AA$2,行为概览!$D$3:$U$33,6,0)),4)</f>
        <v>0</v>
      </c>
      <c r="AB108" s="20">
        <f>ROUND(IF(OR($A108&lt;VLOOKUP(AB$2,行为概览!$D$3:$U$33,3,0),$A108&gt;VLOOKUP(AB$2,行为概览!$D$3:$U$33,4,0)),0,VLOOKUP(AB$2,行为概览!$D$3:$U$33,6,0)),4)</f>
        <v>0</v>
      </c>
      <c r="AC108" s="20">
        <f>ROUND(IF(OR($A108&lt;VLOOKUP(AC$2,行为概览!$D$3:$U$33,3,0),$A108&gt;VLOOKUP(AC$2,行为概览!$D$3:$U$33,4,0)),0,VLOOKUP(AC$2,行为概览!$D$3:$U$33,6,0)),4)</f>
        <v>0</v>
      </c>
      <c r="AD108" s="20">
        <f>ROUND(IF(OR($A108&lt;VLOOKUP(AD$2,行为概览!$D$3:$U$33,3,0),$A108&gt;VLOOKUP(AD$2,行为概览!$D$3:$U$33,4,0)),0,VLOOKUP(AD$2,行为概览!$D$3:$U$33,6,0)),4)</f>
        <v>0</v>
      </c>
      <c r="AE108" s="20">
        <f>ROUND(IF(OR($A108&lt;VLOOKUP(AE$2,行为概览!$D$3:$U$33,3,0),$A108&gt;VLOOKUP(AE$2,行为概览!$D$3:$U$33,4,0)),0,VLOOKUP(AE$2,行为概览!$D$3:$U$33,6,0)),4)</f>
        <v>8.3299999999999999E-2</v>
      </c>
      <c r="AF108" s="20">
        <f>ROUND(IF(OR($A108&lt;VLOOKUP(AF$2,行为概览!$D$3:$U$33,3,0),$A108&gt;VLOOKUP(AF$2,行为概览!$D$3:$U$33,4,0)),0,VLOOKUP(AF$2,行为概览!$D$3:$U$33,6,0)),4)</f>
        <v>0</v>
      </c>
    </row>
    <row r="109" spans="1:32">
      <c r="A109" s="19">
        <v>107</v>
      </c>
      <c r="B109" s="20">
        <f>ROUND(IF(OR($A109&lt;VLOOKUP(B$2,行为概览!$D$3:$U$33,3,0),$A109&gt;VLOOKUP(B$2,行为概览!$D$3:$U$33,4,0)),0,VLOOKUP(B$2,行为概览!$D$3:$U$33,6,0)),4)</f>
        <v>0.33329999999999999</v>
      </c>
      <c r="C109" s="20">
        <f>ROUND(IF(OR($A109&lt;VLOOKUP(C$2,行为概览!$D$3:$U$33,3,0),$A109&gt;VLOOKUP(C$2,行为概览!$D$3:$U$33,4,0)),0,VLOOKUP(C$2,行为概览!$D$3:$U$33,6,0)),4)</f>
        <v>2</v>
      </c>
      <c r="D109" s="20">
        <f>ROUND(IF(OR($A109&lt;VLOOKUP(D$2,行为概览!$D$3:$U$33,3,0),$A109&gt;VLOOKUP(D$2,行为概览!$D$3:$U$33,4,0)),0,VLOOKUP(D$2,行为概览!$D$3:$U$33,6,0)),4)</f>
        <v>8.3299999999999999E-2</v>
      </c>
      <c r="E109" s="20">
        <f>ROUND(IF(OR($A109&lt;VLOOKUP(E$2,行为概览!$D$3:$U$33,3,0),$A109&gt;VLOOKUP(E$2,行为概览!$D$3:$U$33,4,0)),0,VLOOKUP(E$2,行为概览!$D$3:$U$33,6,0)),4)</f>
        <v>1</v>
      </c>
      <c r="F109" s="20">
        <f>ROUND(IF(OR($A109&lt;VLOOKUP(F$2,行为概览!$D$3:$U$33,3,0),$A109&gt;VLOOKUP(F$2,行为概览!$D$3:$U$33,4,0)),0,VLOOKUP(F$2,行为概览!$D$3:$U$33,6,0)),4)</f>
        <v>0.33329999999999999</v>
      </c>
      <c r="G109" s="20">
        <f>ROUND(IF(OR($A109&lt;VLOOKUP(G$2,行为概览!$D$3:$U$33,3,0),$A109&gt;VLOOKUP(G$2,行为概览!$D$3:$U$33,4,0)),0,VLOOKUP(G$2,行为概览!$D$3:$U$33,6,0)),4)</f>
        <v>0</v>
      </c>
      <c r="H109" s="20">
        <f>ROUND(IF(OR($A109&lt;VLOOKUP(H$2,行为概览!$D$3:$U$33,3,0),$A109&gt;VLOOKUP(H$2,行为概览!$D$3:$U$33,4,0)),0,VLOOKUP(H$2,行为概览!$D$3:$U$33,6,0)),4)</f>
        <v>0</v>
      </c>
      <c r="I109" s="20">
        <f>ROUND(IF(OR($A109&lt;VLOOKUP(I$2,行为概览!$D$3:$U$33,3,0),$A109&gt;VLOOKUP(I$2,行为概览!$D$3:$U$33,4,0)),0,VLOOKUP(I$2,行为概览!$D$3:$U$33,6,0)),4)</f>
        <v>0</v>
      </c>
      <c r="J109" s="20">
        <f>ROUND(IF(OR($A109&lt;VLOOKUP(J$2,行为概览!$D$3:$U$33,3,0),$A109&gt;VLOOKUP(J$2,行为概览!$D$3:$U$33,4,0)),0,VLOOKUP(J$2,行为概览!$D$3:$U$33,6,0)),4)</f>
        <v>0.5</v>
      </c>
      <c r="K109" s="20">
        <f>ROUND(IF(OR($A109&lt;VLOOKUP(K$2,行为概览!$D$3:$U$33,3,0),$A109&gt;VLOOKUP(K$2,行为概览!$D$3:$U$33,4,0)),0,VLOOKUP(K$2,行为概览!$D$3:$U$33,6,0)),4)</f>
        <v>0.16669999999999999</v>
      </c>
      <c r="L109" s="20">
        <f>ROUND(IF(OR($A109&lt;VLOOKUP(L$2,行为概览!$D$3:$U$33,3,0),$A109&gt;VLOOKUP(L$2,行为概览!$D$3:$U$33,4,0)),0,VLOOKUP(L$2,行为概览!$D$3:$U$33,6,0)),4)</f>
        <v>0.5</v>
      </c>
      <c r="M109" s="20">
        <f>ROUND(IF(OR($A109&lt;VLOOKUP(M$2,行为概览!$D$3:$U$33,3,0),$A109&gt;VLOOKUP(M$2,行为概览!$D$3:$U$33,4,0)),0,VLOOKUP(M$2,行为概览!$D$3:$U$33,6,0)),4)</f>
        <v>12</v>
      </c>
      <c r="N109" s="20">
        <f>ROUND(IF(OR($A109&lt;VLOOKUP(N$2,行为概览!$D$3:$U$33,3,0),$A109&gt;VLOOKUP(N$2,行为概览!$D$3:$U$33,4,0)),0,VLOOKUP(N$2,行为概览!$D$3:$U$33,6,0)),4)</f>
        <v>8.3299999999999999E-2</v>
      </c>
      <c r="O109" s="20">
        <f>ROUND(IF(OR($A109&lt;VLOOKUP(O$2,行为概览!$D$3:$U$33,3,0),$A109&gt;VLOOKUP(O$2,行为概览!$D$3:$U$33,4,0)),0,VLOOKUP(O$2,行为概览!$D$3:$U$33,6,0)),4)</f>
        <v>8.3299999999999999E-2</v>
      </c>
      <c r="P109" s="20">
        <f>ROUND(IF(OR($A109&lt;VLOOKUP(P$2,行为概览!$D$3:$U$33,3,0),$A109&gt;VLOOKUP(P$2,行为概览!$D$3:$U$33,4,0)),0,VLOOKUP(P$2,行为概览!$D$3:$U$33,6,0)),4)</f>
        <v>2.6</v>
      </c>
      <c r="Q109" s="20">
        <f>ROUND(IF(OR($A109&lt;VLOOKUP(Q$2,行为概览!$D$3:$U$33,3,0),$A109&gt;VLOOKUP(Q$2,行为概览!$D$3:$U$33,4,0)),0,VLOOKUP(Q$2,行为概览!$D$3:$U$33,6,0)),4)</f>
        <v>1</v>
      </c>
      <c r="R109" s="20">
        <f>ROUND(IF(OR($A109&lt;VLOOKUP(R$2,行为概览!$D$3:$U$33,3,0),$A109&gt;VLOOKUP(R$2,行为概览!$D$3:$U$33,4,0)),0,VLOOKUP(R$2,行为概览!$D$3:$U$33,6,0)),4)</f>
        <v>0.33329999999999999</v>
      </c>
      <c r="S109" s="20">
        <f>ROUND(IF(OR($A109&lt;VLOOKUP(S$2,行为概览!$D$3:$U$33,3,0),$A109&gt;VLOOKUP(S$2,行为概览!$D$3:$U$33,4,0)),0,VLOOKUP(S$2,行为概览!$D$3:$U$33,6,0)),4)</f>
        <v>0</v>
      </c>
      <c r="T109" s="20">
        <f>ROUND(IF(OR($A109&lt;VLOOKUP(T$2,行为概览!$D$3:$U$33,3,0),$A109&gt;VLOOKUP(T$2,行为概览!$D$3:$U$33,4,0)),0,VLOOKUP(T$2,行为概览!$D$3:$U$33,6,0)),4)</f>
        <v>0.33329999999999999</v>
      </c>
      <c r="U109" s="20">
        <f>ROUND(IF(OR($A109&lt;VLOOKUP(U$2,行为概览!$D$3:$U$33,3,0),$A109&gt;VLOOKUP(U$2,行为概览!$D$3:$U$33,4,0)),0,VLOOKUP(U$2,行为概览!$D$3:$U$33,6,0)),4)</f>
        <v>0.16669999999999999</v>
      </c>
      <c r="V109" s="20">
        <f>ROUND(IF(OR($A109&lt;VLOOKUP(V$2,行为概览!$D$3:$U$33,3,0),$A109&gt;VLOOKUP(V$2,行为概览!$D$3:$U$33,4,0)),0,VLOOKUP(V$2,行为概览!$D$3:$U$33,6,0)),4)</f>
        <v>0.16669999999999999</v>
      </c>
      <c r="W109" s="20">
        <f>ROUND(IF(OR($A109&lt;VLOOKUP(W$2,行为概览!$D$3:$U$33,3,0),$A109&gt;VLOOKUP(W$2,行为概览!$D$3:$U$33,4,0)),0,VLOOKUP(W$2,行为概览!$D$3:$U$33,6,0)),4)</f>
        <v>0.16669999999999999</v>
      </c>
      <c r="X109" s="20">
        <f>ROUND(IF(OR($A109&lt;VLOOKUP(X$2,行为概览!$D$3:$U$33,3,0),$A109&gt;VLOOKUP(X$2,行为概览!$D$3:$U$33,4,0)),0,VLOOKUP(X$2,行为概览!$D$3:$U$33,6,0)),4)</f>
        <v>0.25</v>
      </c>
      <c r="Y109" s="20">
        <f>ROUND(IF(OR($A109&lt;VLOOKUP(Y$2,行为概览!$D$3:$U$33,3,0),$A109&gt;VLOOKUP(Y$2,行为概览!$D$3:$U$33,4,0)),0,VLOOKUP(Y$2,行为概览!$D$3:$U$33,6,0)),4)</f>
        <v>0.58330000000000004</v>
      </c>
      <c r="Z109" s="20">
        <f>ROUND(IF(OR($A109&lt;VLOOKUP(Z$2,行为概览!$D$3:$U$33,3,0),$A109&gt;VLOOKUP(Z$2,行为概览!$D$3:$U$33,4,0)),0,VLOOKUP(Z$2,行为概览!$D$3:$U$33,6,0)),4)</f>
        <v>0.16669999999999999</v>
      </c>
      <c r="AA109" s="20">
        <f>ROUND(IF(OR($A109&lt;VLOOKUP(AA$2,行为概览!$D$3:$U$33,3,0),$A109&gt;VLOOKUP(AA$2,行为概览!$D$3:$U$33,4,0)),0,VLOOKUP(AA$2,行为概览!$D$3:$U$33,6,0)),4)</f>
        <v>0</v>
      </c>
      <c r="AB109" s="20">
        <f>ROUND(IF(OR($A109&lt;VLOOKUP(AB$2,行为概览!$D$3:$U$33,3,0),$A109&gt;VLOOKUP(AB$2,行为概览!$D$3:$U$33,4,0)),0,VLOOKUP(AB$2,行为概览!$D$3:$U$33,6,0)),4)</f>
        <v>0</v>
      </c>
      <c r="AC109" s="20">
        <f>ROUND(IF(OR($A109&lt;VLOOKUP(AC$2,行为概览!$D$3:$U$33,3,0),$A109&gt;VLOOKUP(AC$2,行为概览!$D$3:$U$33,4,0)),0,VLOOKUP(AC$2,行为概览!$D$3:$U$33,6,0)),4)</f>
        <v>0</v>
      </c>
      <c r="AD109" s="20">
        <f>ROUND(IF(OR($A109&lt;VLOOKUP(AD$2,行为概览!$D$3:$U$33,3,0),$A109&gt;VLOOKUP(AD$2,行为概览!$D$3:$U$33,4,0)),0,VLOOKUP(AD$2,行为概览!$D$3:$U$33,6,0)),4)</f>
        <v>0</v>
      </c>
      <c r="AE109" s="20">
        <f>ROUND(IF(OR($A109&lt;VLOOKUP(AE$2,行为概览!$D$3:$U$33,3,0),$A109&gt;VLOOKUP(AE$2,行为概览!$D$3:$U$33,4,0)),0,VLOOKUP(AE$2,行为概览!$D$3:$U$33,6,0)),4)</f>
        <v>8.3299999999999999E-2</v>
      </c>
      <c r="AF109" s="20">
        <f>ROUND(IF(OR($A109&lt;VLOOKUP(AF$2,行为概览!$D$3:$U$33,3,0),$A109&gt;VLOOKUP(AF$2,行为概览!$D$3:$U$33,4,0)),0,VLOOKUP(AF$2,行为概览!$D$3:$U$33,6,0)),4)</f>
        <v>0</v>
      </c>
    </row>
    <row r="110" spans="1:32">
      <c r="A110" s="19">
        <v>108</v>
      </c>
      <c r="B110" s="20">
        <f>ROUND(IF(OR($A110&lt;VLOOKUP(B$2,行为概览!$D$3:$U$33,3,0),$A110&gt;VLOOKUP(B$2,行为概览!$D$3:$U$33,4,0)),0,VLOOKUP(B$2,行为概览!$D$3:$U$33,6,0)),4)</f>
        <v>0.33329999999999999</v>
      </c>
      <c r="C110" s="20">
        <f>ROUND(IF(OR($A110&lt;VLOOKUP(C$2,行为概览!$D$3:$U$33,3,0),$A110&gt;VLOOKUP(C$2,行为概览!$D$3:$U$33,4,0)),0,VLOOKUP(C$2,行为概览!$D$3:$U$33,6,0)),4)</f>
        <v>2</v>
      </c>
      <c r="D110" s="20">
        <f>ROUND(IF(OR($A110&lt;VLOOKUP(D$2,行为概览!$D$3:$U$33,3,0),$A110&gt;VLOOKUP(D$2,行为概览!$D$3:$U$33,4,0)),0,VLOOKUP(D$2,行为概览!$D$3:$U$33,6,0)),4)</f>
        <v>8.3299999999999999E-2</v>
      </c>
      <c r="E110" s="20">
        <f>ROUND(IF(OR($A110&lt;VLOOKUP(E$2,行为概览!$D$3:$U$33,3,0),$A110&gt;VLOOKUP(E$2,行为概览!$D$3:$U$33,4,0)),0,VLOOKUP(E$2,行为概览!$D$3:$U$33,6,0)),4)</f>
        <v>1</v>
      </c>
      <c r="F110" s="20">
        <f>ROUND(IF(OR($A110&lt;VLOOKUP(F$2,行为概览!$D$3:$U$33,3,0),$A110&gt;VLOOKUP(F$2,行为概览!$D$3:$U$33,4,0)),0,VLOOKUP(F$2,行为概览!$D$3:$U$33,6,0)),4)</f>
        <v>0.33329999999999999</v>
      </c>
      <c r="G110" s="20">
        <f>ROUND(IF(OR($A110&lt;VLOOKUP(G$2,行为概览!$D$3:$U$33,3,0),$A110&gt;VLOOKUP(G$2,行为概览!$D$3:$U$33,4,0)),0,VLOOKUP(G$2,行为概览!$D$3:$U$33,6,0)),4)</f>
        <v>0</v>
      </c>
      <c r="H110" s="20">
        <f>ROUND(IF(OR($A110&lt;VLOOKUP(H$2,行为概览!$D$3:$U$33,3,0),$A110&gt;VLOOKUP(H$2,行为概览!$D$3:$U$33,4,0)),0,VLOOKUP(H$2,行为概览!$D$3:$U$33,6,0)),4)</f>
        <v>0</v>
      </c>
      <c r="I110" s="20">
        <f>ROUND(IF(OR($A110&lt;VLOOKUP(I$2,行为概览!$D$3:$U$33,3,0),$A110&gt;VLOOKUP(I$2,行为概览!$D$3:$U$33,4,0)),0,VLOOKUP(I$2,行为概览!$D$3:$U$33,6,0)),4)</f>
        <v>0</v>
      </c>
      <c r="J110" s="20">
        <f>ROUND(IF(OR($A110&lt;VLOOKUP(J$2,行为概览!$D$3:$U$33,3,0),$A110&gt;VLOOKUP(J$2,行为概览!$D$3:$U$33,4,0)),0,VLOOKUP(J$2,行为概览!$D$3:$U$33,6,0)),4)</f>
        <v>0.5</v>
      </c>
      <c r="K110" s="20">
        <f>ROUND(IF(OR($A110&lt;VLOOKUP(K$2,行为概览!$D$3:$U$33,3,0),$A110&gt;VLOOKUP(K$2,行为概览!$D$3:$U$33,4,0)),0,VLOOKUP(K$2,行为概览!$D$3:$U$33,6,0)),4)</f>
        <v>0.16669999999999999</v>
      </c>
      <c r="L110" s="20">
        <f>ROUND(IF(OR($A110&lt;VLOOKUP(L$2,行为概览!$D$3:$U$33,3,0),$A110&gt;VLOOKUP(L$2,行为概览!$D$3:$U$33,4,0)),0,VLOOKUP(L$2,行为概览!$D$3:$U$33,6,0)),4)</f>
        <v>0.5</v>
      </c>
      <c r="M110" s="20">
        <f>ROUND(IF(OR($A110&lt;VLOOKUP(M$2,行为概览!$D$3:$U$33,3,0),$A110&gt;VLOOKUP(M$2,行为概览!$D$3:$U$33,4,0)),0,VLOOKUP(M$2,行为概览!$D$3:$U$33,6,0)),4)</f>
        <v>12</v>
      </c>
      <c r="N110" s="20">
        <f>ROUND(IF(OR($A110&lt;VLOOKUP(N$2,行为概览!$D$3:$U$33,3,0),$A110&gt;VLOOKUP(N$2,行为概览!$D$3:$U$33,4,0)),0,VLOOKUP(N$2,行为概览!$D$3:$U$33,6,0)),4)</f>
        <v>8.3299999999999999E-2</v>
      </c>
      <c r="O110" s="20">
        <f>ROUND(IF(OR($A110&lt;VLOOKUP(O$2,行为概览!$D$3:$U$33,3,0),$A110&gt;VLOOKUP(O$2,行为概览!$D$3:$U$33,4,0)),0,VLOOKUP(O$2,行为概览!$D$3:$U$33,6,0)),4)</f>
        <v>8.3299999999999999E-2</v>
      </c>
      <c r="P110" s="20">
        <f>ROUND(IF(OR($A110&lt;VLOOKUP(P$2,行为概览!$D$3:$U$33,3,0),$A110&gt;VLOOKUP(P$2,行为概览!$D$3:$U$33,4,0)),0,VLOOKUP(P$2,行为概览!$D$3:$U$33,6,0)),4)</f>
        <v>2.6</v>
      </c>
      <c r="Q110" s="20">
        <f>ROUND(IF(OR($A110&lt;VLOOKUP(Q$2,行为概览!$D$3:$U$33,3,0),$A110&gt;VLOOKUP(Q$2,行为概览!$D$3:$U$33,4,0)),0,VLOOKUP(Q$2,行为概览!$D$3:$U$33,6,0)),4)</f>
        <v>1</v>
      </c>
      <c r="R110" s="20">
        <f>ROUND(IF(OR($A110&lt;VLOOKUP(R$2,行为概览!$D$3:$U$33,3,0),$A110&gt;VLOOKUP(R$2,行为概览!$D$3:$U$33,4,0)),0,VLOOKUP(R$2,行为概览!$D$3:$U$33,6,0)),4)</f>
        <v>0.33329999999999999</v>
      </c>
      <c r="S110" s="20">
        <f>ROUND(IF(OR($A110&lt;VLOOKUP(S$2,行为概览!$D$3:$U$33,3,0),$A110&gt;VLOOKUP(S$2,行为概览!$D$3:$U$33,4,0)),0,VLOOKUP(S$2,行为概览!$D$3:$U$33,6,0)),4)</f>
        <v>0</v>
      </c>
      <c r="T110" s="20">
        <f>ROUND(IF(OR($A110&lt;VLOOKUP(T$2,行为概览!$D$3:$U$33,3,0),$A110&gt;VLOOKUP(T$2,行为概览!$D$3:$U$33,4,0)),0,VLOOKUP(T$2,行为概览!$D$3:$U$33,6,0)),4)</f>
        <v>0.33329999999999999</v>
      </c>
      <c r="U110" s="20">
        <f>ROUND(IF(OR($A110&lt;VLOOKUP(U$2,行为概览!$D$3:$U$33,3,0),$A110&gt;VLOOKUP(U$2,行为概览!$D$3:$U$33,4,0)),0,VLOOKUP(U$2,行为概览!$D$3:$U$33,6,0)),4)</f>
        <v>0.16669999999999999</v>
      </c>
      <c r="V110" s="20">
        <f>ROUND(IF(OR($A110&lt;VLOOKUP(V$2,行为概览!$D$3:$U$33,3,0),$A110&gt;VLOOKUP(V$2,行为概览!$D$3:$U$33,4,0)),0,VLOOKUP(V$2,行为概览!$D$3:$U$33,6,0)),4)</f>
        <v>0.16669999999999999</v>
      </c>
      <c r="W110" s="20">
        <f>ROUND(IF(OR($A110&lt;VLOOKUP(W$2,行为概览!$D$3:$U$33,3,0),$A110&gt;VLOOKUP(W$2,行为概览!$D$3:$U$33,4,0)),0,VLOOKUP(W$2,行为概览!$D$3:$U$33,6,0)),4)</f>
        <v>0.16669999999999999</v>
      </c>
      <c r="X110" s="20">
        <f>ROUND(IF(OR($A110&lt;VLOOKUP(X$2,行为概览!$D$3:$U$33,3,0),$A110&gt;VLOOKUP(X$2,行为概览!$D$3:$U$33,4,0)),0,VLOOKUP(X$2,行为概览!$D$3:$U$33,6,0)),4)</f>
        <v>0.25</v>
      </c>
      <c r="Y110" s="20">
        <f>ROUND(IF(OR($A110&lt;VLOOKUP(Y$2,行为概览!$D$3:$U$33,3,0),$A110&gt;VLOOKUP(Y$2,行为概览!$D$3:$U$33,4,0)),0,VLOOKUP(Y$2,行为概览!$D$3:$U$33,6,0)),4)</f>
        <v>0.58330000000000004</v>
      </c>
      <c r="Z110" s="20">
        <f>ROUND(IF(OR($A110&lt;VLOOKUP(Z$2,行为概览!$D$3:$U$33,3,0),$A110&gt;VLOOKUP(Z$2,行为概览!$D$3:$U$33,4,0)),0,VLOOKUP(Z$2,行为概览!$D$3:$U$33,6,0)),4)</f>
        <v>0.16669999999999999</v>
      </c>
      <c r="AA110" s="20">
        <f>ROUND(IF(OR($A110&lt;VLOOKUP(AA$2,行为概览!$D$3:$U$33,3,0),$A110&gt;VLOOKUP(AA$2,行为概览!$D$3:$U$33,4,0)),0,VLOOKUP(AA$2,行为概览!$D$3:$U$33,6,0)),4)</f>
        <v>0</v>
      </c>
      <c r="AB110" s="20">
        <f>ROUND(IF(OR($A110&lt;VLOOKUP(AB$2,行为概览!$D$3:$U$33,3,0),$A110&gt;VLOOKUP(AB$2,行为概览!$D$3:$U$33,4,0)),0,VLOOKUP(AB$2,行为概览!$D$3:$U$33,6,0)),4)</f>
        <v>0</v>
      </c>
      <c r="AC110" s="20">
        <f>ROUND(IF(OR($A110&lt;VLOOKUP(AC$2,行为概览!$D$3:$U$33,3,0),$A110&gt;VLOOKUP(AC$2,行为概览!$D$3:$U$33,4,0)),0,VLOOKUP(AC$2,行为概览!$D$3:$U$33,6,0)),4)</f>
        <v>0</v>
      </c>
      <c r="AD110" s="20">
        <f>ROUND(IF(OR($A110&lt;VLOOKUP(AD$2,行为概览!$D$3:$U$33,3,0),$A110&gt;VLOOKUP(AD$2,行为概览!$D$3:$U$33,4,0)),0,VLOOKUP(AD$2,行为概览!$D$3:$U$33,6,0)),4)</f>
        <v>0</v>
      </c>
      <c r="AE110" s="20">
        <f>ROUND(IF(OR($A110&lt;VLOOKUP(AE$2,行为概览!$D$3:$U$33,3,0),$A110&gt;VLOOKUP(AE$2,行为概览!$D$3:$U$33,4,0)),0,VLOOKUP(AE$2,行为概览!$D$3:$U$33,6,0)),4)</f>
        <v>8.3299999999999999E-2</v>
      </c>
      <c r="AF110" s="20">
        <f>ROUND(IF(OR($A110&lt;VLOOKUP(AF$2,行为概览!$D$3:$U$33,3,0),$A110&gt;VLOOKUP(AF$2,行为概览!$D$3:$U$33,4,0)),0,VLOOKUP(AF$2,行为概览!$D$3:$U$33,6,0)),4)</f>
        <v>0</v>
      </c>
    </row>
    <row r="111" spans="1:32">
      <c r="A111" s="19">
        <v>109</v>
      </c>
      <c r="B111" s="20">
        <f>ROUND(IF(OR($A111&lt;VLOOKUP(B$2,行为概览!$D$3:$U$33,3,0),$A111&gt;VLOOKUP(B$2,行为概览!$D$3:$U$33,4,0)),0,VLOOKUP(B$2,行为概览!$D$3:$U$33,6,0)),4)</f>
        <v>0.33329999999999999</v>
      </c>
      <c r="C111" s="20">
        <f>ROUND(IF(OR($A111&lt;VLOOKUP(C$2,行为概览!$D$3:$U$33,3,0),$A111&gt;VLOOKUP(C$2,行为概览!$D$3:$U$33,4,0)),0,VLOOKUP(C$2,行为概览!$D$3:$U$33,6,0)),4)</f>
        <v>2</v>
      </c>
      <c r="D111" s="20">
        <f>ROUND(IF(OR($A111&lt;VLOOKUP(D$2,行为概览!$D$3:$U$33,3,0),$A111&gt;VLOOKUP(D$2,行为概览!$D$3:$U$33,4,0)),0,VLOOKUP(D$2,行为概览!$D$3:$U$33,6,0)),4)</f>
        <v>8.3299999999999999E-2</v>
      </c>
      <c r="E111" s="20">
        <f>ROUND(IF(OR($A111&lt;VLOOKUP(E$2,行为概览!$D$3:$U$33,3,0),$A111&gt;VLOOKUP(E$2,行为概览!$D$3:$U$33,4,0)),0,VLOOKUP(E$2,行为概览!$D$3:$U$33,6,0)),4)</f>
        <v>1</v>
      </c>
      <c r="F111" s="20">
        <f>ROUND(IF(OR($A111&lt;VLOOKUP(F$2,行为概览!$D$3:$U$33,3,0),$A111&gt;VLOOKUP(F$2,行为概览!$D$3:$U$33,4,0)),0,VLOOKUP(F$2,行为概览!$D$3:$U$33,6,0)),4)</f>
        <v>0.33329999999999999</v>
      </c>
      <c r="G111" s="20">
        <f>ROUND(IF(OR($A111&lt;VLOOKUP(G$2,行为概览!$D$3:$U$33,3,0),$A111&gt;VLOOKUP(G$2,行为概览!$D$3:$U$33,4,0)),0,VLOOKUP(G$2,行为概览!$D$3:$U$33,6,0)),4)</f>
        <v>0</v>
      </c>
      <c r="H111" s="20">
        <f>ROUND(IF(OR($A111&lt;VLOOKUP(H$2,行为概览!$D$3:$U$33,3,0),$A111&gt;VLOOKUP(H$2,行为概览!$D$3:$U$33,4,0)),0,VLOOKUP(H$2,行为概览!$D$3:$U$33,6,0)),4)</f>
        <v>0</v>
      </c>
      <c r="I111" s="20">
        <f>ROUND(IF(OR($A111&lt;VLOOKUP(I$2,行为概览!$D$3:$U$33,3,0),$A111&gt;VLOOKUP(I$2,行为概览!$D$3:$U$33,4,0)),0,VLOOKUP(I$2,行为概览!$D$3:$U$33,6,0)),4)</f>
        <v>0</v>
      </c>
      <c r="J111" s="20">
        <f>ROUND(IF(OR($A111&lt;VLOOKUP(J$2,行为概览!$D$3:$U$33,3,0),$A111&gt;VLOOKUP(J$2,行为概览!$D$3:$U$33,4,0)),0,VLOOKUP(J$2,行为概览!$D$3:$U$33,6,0)),4)</f>
        <v>0.5</v>
      </c>
      <c r="K111" s="20">
        <f>ROUND(IF(OR($A111&lt;VLOOKUP(K$2,行为概览!$D$3:$U$33,3,0),$A111&gt;VLOOKUP(K$2,行为概览!$D$3:$U$33,4,0)),0,VLOOKUP(K$2,行为概览!$D$3:$U$33,6,0)),4)</f>
        <v>0.16669999999999999</v>
      </c>
      <c r="L111" s="20">
        <f>ROUND(IF(OR($A111&lt;VLOOKUP(L$2,行为概览!$D$3:$U$33,3,0),$A111&gt;VLOOKUP(L$2,行为概览!$D$3:$U$33,4,0)),0,VLOOKUP(L$2,行为概览!$D$3:$U$33,6,0)),4)</f>
        <v>0.5</v>
      </c>
      <c r="M111" s="20">
        <f>ROUND(IF(OR($A111&lt;VLOOKUP(M$2,行为概览!$D$3:$U$33,3,0),$A111&gt;VLOOKUP(M$2,行为概览!$D$3:$U$33,4,0)),0,VLOOKUP(M$2,行为概览!$D$3:$U$33,6,0)),4)</f>
        <v>12</v>
      </c>
      <c r="N111" s="20">
        <f>ROUND(IF(OR($A111&lt;VLOOKUP(N$2,行为概览!$D$3:$U$33,3,0),$A111&gt;VLOOKUP(N$2,行为概览!$D$3:$U$33,4,0)),0,VLOOKUP(N$2,行为概览!$D$3:$U$33,6,0)),4)</f>
        <v>8.3299999999999999E-2</v>
      </c>
      <c r="O111" s="20">
        <f>ROUND(IF(OR($A111&lt;VLOOKUP(O$2,行为概览!$D$3:$U$33,3,0),$A111&gt;VLOOKUP(O$2,行为概览!$D$3:$U$33,4,0)),0,VLOOKUP(O$2,行为概览!$D$3:$U$33,6,0)),4)</f>
        <v>8.3299999999999999E-2</v>
      </c>
      <c r="P111" s="20">
        <f>ROUND(IF(OR($A111&lt;VLOOKUP(P$2,行为概览!$D$3:$U$33,3,0),$A111&gt;VLOOKUP(P$2,行为概览!$D$3:$U$33,4,0)),0,VLOOKUP(P$2,行为概览!$D$3:$U$33,6,0)),4)</f>
        <v>2.6</v>
      </c>
      <c r="Q111" s="20">
        <f>ROUND(IF(OR($A111&lt;VLOOKUP(Q$2,行为概览!$D$3:$U$33,3,0),$A111&gt;VLOOKUP(Q$2,行为概览!$D$3:$U$33,4,0)),0,VLOOKUP(Q$2,行为概览!$D$3:$U$33,6,0)),4)</f>
        <v>1</v>
      </c>
      <c r="R111" s="20">
        <f>ROUND(IF(OR($A111&lt;VLOOKUP(R$2,行为概览!$D$3:$U$33,3,0),$A111&gt;VLOOKUP(R$2,行为概览!$D$3:$U$33,4,0)),0,VLOOKUP(R$2,行为概览!$D$3:$U$33,6,0)),4)</f>
        <v>0.33329999999999999</v>
      </c>
      <c r="S111" s="20">
        <f>ROUND(IF(OR($A111&lt;VLOOKUP(S$2,行为概览!$D$3:$U$33,3,0),$A111&gt;VLOOKUP(S$2,行为概览!$D$3:$U$33,4,0)),0,VLOOKUP(S$2,行为概览!$D$3:$U$33,6,0)),4)</f>
        <v>0</v>
      </c>
      <c r="T111" s="20">
        <f>ROUND(IF(OR($A111&lt;VLOOKUP(T$2,行为概览!$D$3:$U$33,3,0),$A111&gt;VLOOKUP(T$2,行为概览!$D$3:$U$33,4,0)),0,VLOOKUP(T$2,行为概览!$D$3:$U$33,6,0)),4)</f>
        <v>0.33329999999999999</v>
      </c>
      <c r="U111" s="20">
        <f>ROUND(IF(OR($A111&lt;VLOOKUP(U$2,行为概览!$D$3:$U$33,3,0),$A111&gt;VLOOKUP(U$2,行为概览!$D$3:$U$33,4,0)),0,VLOOKUP(U$2,行为概览!$D$3:$U$33,6,0)),4)</f>
        <v>0.16669999999999999</v>
      </c>
      <c r="V111" s="20">
        <f>ROUND(IF(OR($A111&lt;VLOOKUP(V$2,行为概览!$D$3:$U$33,3,0),$A111&gt;VLOOKUP(V$2,行为概览!$D$3:$U$33,4,0)),0,VLOOKUP(V$2,行为概览!$D$3:$U$33,6,0)),4)</f>
        <v>0.16669999999999999</v>
      </c>
      <c r="W111" s="20">
        <f>ROUND(IF(OR($A111&lt;VLOOKUP(W$2,行为概览!$D$3:$U$33,3,0),$A111&gt;VLOOKUP(W$2,行为概览!$D$3:$U$33,4,0)),0,VLOOKUP(W$2,行为概览!$D$3:$U$33,6,0)),4)</f>
        <v>0.16669999999999999</v>
      </c>
      <c r="X111" s="20">
        <f>ROUND(IF(OR($A111&lt;VLOOKUP(X$2,行为概览!$D$3:$U$33,3,0),$A111&gt;VLOOKUP(X$2,行为概览!$D$3:$U$33,4,0)),0,VLOOKUP(X$2,行为概览!$D$3:$U$33,6,0)),4)</f>
        <v>0.25</v>
      </c>
      <c r="Y111" s="20">
        <f>ROUND(IF(OR($A111&lt;VLOOKUP(Y$2,行为概览!$D$3:$U$33,3,0),$A111&gt;VLOOKUP(Y$2,行为概览!$D$3:$U$33,4,0)),0,VLOOKUP(Y$2,行为概览!$D$3:$U$33,6,0)),4)</f>
        <v>0.58330000000000004</v>
      </c>
      <c r="Z111" s="20">
        <f>ROUND(IF(OR($A111&lt;VLOOKUP(Z$2,行为概览!$D$3:$U$33,3,0),$A111&gt;VLOOKUP(Z$2,行为概览!$D$3:$U$33,4,0)),0,VLOOKUP(Z$2,行为概览!$D$3:$U$33,6,0)),4)</f>
        <v>0.16669999999999999</v>
      </c>
      <c r="AA111" s="20">
        <f>ROUND(IF(OR($A111&lt;VLOOKUP(AA$2,行为概览!$D$3:$U$33,3,0),$A111&gt;VLOOKUP(AA$2,行为概览!$D$3:$U$33,4,0)),0,VLOOKUP(AA$2,行为概览!$D$3:$U$33,6,0)),4)</f>
        <v>0</v>
      </c>
      <c r="AB111" s="20">
        <f>ROUND(IF(OR($A111&lt;VLOOKUP(AB$2,行为概览!$D$3:$U$33,3,0),$A111&gt;VLOOKUP(AB$2,行为概览!$D$3:$U$33,4,0)),0,VLOOKUP(AB$2,行为概览!$D$3:$U$33,6,0)),4)</f>
        <v>0</v>
      </c>
      <c r="AC111" s="20">
        <f>ROUND(IF(OR($A111&lt;VLOOKUP(AC$2,行为概览!$D$3:$U$33,3,0),$A111&gt;VLOOKUP(AC$2,行为概览!$D$3:$U$33,4,0)),0,VLOOKUP(AC$2,行为概览!$D$3:$U$33,6,0)),4)</f>
        <v>0</v>
      </c>
      <c r="AD111" s="20">
        <f>ROUND(IF(OR($A111&lt;VLOOKUP(AD$2,行为概览!$D$3:$U$33,3,0),$A111&gt;VLOOKUP(AD$2,行为概览!$D$3:$U$33,4,0)),0,VLOOKUP(AD$2,行为概览!$D$3:$U$33,6,0)),4)</f>
        <v>0</v>
      </c>
      <c r="AE111" s="20">
        <f>ROUND(IF(OR($A111&lt;VLOOKUP(AE$2,行为概览!$D$3:$U$33,3,0),$A111&gt;VLOOKUP(AE$2,行为概览!$D$3:$U$33,4,0)),0,VLOOKUP(AE$2,行为概览!$D$3:$U$33,6,0)),4)</f>
        <v>8.3299999999999999E-2</v>
      </c>
      <c r="AF111" s="20">
        <f>ROUND(IF(OR($A111&lt;VLOOKUP(AF$2,行为概览!$D$3:$U$33,3,0),$A111&gt;VLOOKUP(AF$2,行为概览!$D$3:$U$33,4,0)),0,VLOOKUP(AF$2,行为概览!$D$3:$U$33,6,0)),4)</f>
        <v>0</v>
      </c>
    </row>
    <row r="112" spans="1:32">
      <c r="A112" s="19">
        <v>110</v>
      </c>
      <c r="B112" s="20">
        <f>ROUND(IF(OR($A112&lt;VLOOKUP(B$2,行为概览!$D$3:$U$33,3,0),$A112&gt;VLOOKUP(B$2,行为概览!$D$3:$U$33,4,0)),0,VLOOKUP(B$2,行为概览!$D$3:$U$33,6,0)),4)</f>
        <v>0.33329999999999999</v>
      </c>
      <c r="C112" s="20">
        <f>ROUND(IF(OR($A112&lt;VLOOKUP(C$2,行为概览!$D$3:$U$33,3,0),$A112&gt;VLOOKUP(C$2,行为概览!$D$3:$U$33,4,0)),0,VLOOKUP(C$2,行为概览!$D$3:$U$33,6,0)),4)</f>
        <v>2</v>
      </c>
      <c r="D112" s="20">
        <f>ROUND(IF(OR($A112&lt;VLOOKUP(D$2,行为概览!$D$3:$U$33,3,0),$A112&gt;VLOOKUP(D$2,行为概览!$D$3:$U$33,4,0)),0,VLOOKUP(D$2,行为概览!$D$3:$U$33,6,0)),4)</f>
        <v>8.3299999999999999E-2</v>
      </c>
      <c r="E112" s="20">
        <f>ROUND(IF(OR($A112&lt;VLOOKUP(E$2,行为概览!$D$3:$U$33,3,0),$A112&gt;VLOOKUP(E$2,行为概览!$D$3:$U$33,4,0)),0,VLOOKUP(E$2,行为概览!$D$3:$U$33,6,0)),4)</f>
        <v>1</v>
      </c>
      <c r="F112" s="20">
        <f>ROUND(IF(OR($A112&lt;VLOOKUP(F$2,行为概览!$D$3:$U$33,3,0),$A112&gt;VLOOKUP(F$2,行为概览!$D$3:$U$33,4,0)),0,VLOOKUP(F$2,行为概览!$D$3:$U$33,6,0)),4)</f>
        <v>0.33329999999999999</v>
      </c>
      <c r="G112" s="20">
        <f>ROUND(IF(OR($A112&lt;VLOOKUP(G$2,行为概览!$D$3:$U$33,3,0),$A112&gt;VLOOKUP(G$2,行为概览!$D$3:$U$33,4,0)),0,VLOOKUP(G$2,行为概览!$D$3:$U$33,6,0)),4)</f>
        <v>0</v>
      </c>
      <c r="H112" s="20">
        <f>ROUND(IF(OR($A112&lt;VLOOKUP(H$2,行为概览!$D$3:$U$33,3,0),$A112&gt;VLOOKUP(H$2,行为概览!$D$3:$U$33,4,0)),0,VLOOKUP(H$2,行为概览!$D$3:$U$33,6,0)),4)</f>
        <v>0</v>
      </c>
      <c r="I112" s="20">
        <f>ROUND(IF(OR($A112&lt;VLOOKUP(I$2,行为概览!$D$3:$U$33,3,0),$A112&gt;VLOOKUP(I$2,行为概览!$D$3:$U$33,4,0)),0,VLOOKUP(I$2,行为概览!$D$3:$U$33,6,0)),4)</f>
        <v>0</v>
      </c>
      <c r="J112" s="20">
        <f>ROUND(IF(OR($A112&lt;VLOOKUP(J$2,行为概览!$D$3:$U$33,3,0),$A112&gt;VLOOKUP(J$2,行为概览!$D$3:$U$33,4,0)),0,VLOOKUP(J$2,行为概览!$D$3:$U$33,6,0)),4)</f>
        <v>0.5</v>
      </c>
      <c r="K112" s="20">
        <f>ROUND(IF(OR($A112&lt;VLOOKUP(K$2,行为概览!$D$3:$U$33,3,0),$A112&gt;VLOOKUP(K$2,行为概览!$D$3:$U$33,4,0)),0,VLOOKUP(K$2,行为概览!$D$3:$U$33,6,0)),4)</f>
        <v>0.16669999999999999</v>
      </c>
      <c r="L112" s="20">
        <f>ROUND(IF(OR($A112&lt;VLOOKUP(L$2,行为概览!$D$3:$U$33,3,0),$A112&gt;VLOOKUP(L$2,行为概览!$D$3:$U$33,4,0)),0,VLOOKUP(L$2,行为概览!$D$3:$U$33,6,0)),4)</f>
        <v>0.5</v>
      </c>
      <c r="M112" s="20">
        <f>ROUND(IF(OR($A112&lt;VLOOKUP(M$2,行为概览!$D$3:$U$33,3,0),$A112&gt;VLOOKUP(M$2,行为概览!$D$3:$U$33,4,0)),0,VLOOKUP(M$2,行为概览!$D$3:$U$33,6,0)),4)</f>
        <v>12</v>
      </c>
      <c r="N112" s="20">
        <f>ROUND(IF(OR($A112&lt;VLOOKUP(N$2,行为概览!$D$3:$U$33,3,0),$A112&gt;VLOOKUP(N$2,行为概览!$D$3:$U$33,4,0)),0,VLOOKUP(N$2,行为概览!$D$3:$U$33,6,0)),4)</f>
        <v>8.3299999999999999E-2</v>
      </c>
      <c r="O112" s="20">
        <f>ROUND(IF(OR($A112&lt;VLOOKUP(O$2,行为概览!$D$3:$U$33,3,0),$A112&gt;VLOOKUP(O$2,行为概览!$D$3:$U$33,4,0)),0,VLOOKUP(O$2,行为概览!$D$3:$U$33,6,0)),4)</f>
        <v>8.3299999999999999E-2</v>
      </c>
      <c r="P112" s="20">
        <f>ROUND(IF(OR($A112&lt;VLOOKUP(P$2,行为概览!$D$3:$U$33,3,0),$A112&gt;VLOOKUP(P$2,行为概览!$D$3:$U$33,4,0)),0,VLOOKUP(P$2,行为概览!$D$3:$U$33,6,0)),4)</f>
        <v>2.6</v>
      </c>
      <c r="Q112" s="20">
        <f>ROUND(IF(OR($A112&lt;VLOOKUP(Q$2,行为概览!$D$3:$U$33,3,0),$A112&gt;VLOOKUP(Q$2,行为概览!$D$3:$U$33,4,0)),0,VLOOKUP(Q$2,行为概览!$D$3:$U$33,6,0)),4)</f>
        <v>1</v>
      </c>
      <c r="R112" s="20">
        <f>ROUND(IF(OR($A112&lt;VLOOKUP(R$2,行为概览!$D$3:$U$33,3,0),$A112&gt;VLOOKUP(R$2,行为概览!$D$3:$U$33,4,0)),0,VLOOKUP(R$2,行为概览!$D$3:$U$33,6,0)),4)</f>
        <v>0.33329999999999999</v>
      </c>
      <c r="S112" s="20">
        <f>ROUND(IF(OR($A112&lt;VLOOKUP(S$2,行为概览!$D$3:$U$33,3,0),$A112&gt;VLOOKUP(S$2,行为概览!$D$3:$U$33,4,0)),0,VLOOKUP(S$2,行为概览!$D$3:$U$33,6,0)),4)</f>
        <v>0</v>
      </c>
      <c r="T112" s="20">
        <f>ROUND(IF(OR($A112&lt;VLOOKUP(T$2,行为概览!$D$3:$U$33,3,0),$A112&gt;VLOOKUP(T$2,行为概览!$D$3:$U$33,4,0)),0,VLOOKUP(T$2,行为概览!$D$3:$U$33,6,0)),4)</f>
        <v>0.33329999999999999</v>
      </c>
      <c r="U112" s="20">
        <f>ROUND(IF(OR($A112&lt;VLOOKUP(U$2,行为概览!$D$3:$U$33,3,0),$A112&gt;VLOOKUP(U$2,行为概览!$D$3:$U$33,4,0)),0,VLOOKUP(U$2,行为概览!$D$3:$U$33,6,0)),4)</f>
        <v>0.16669999999999999</v>
      </c>
      <c r="V112" s="20">
        <f>ROUND(IF(OR($A112&lt;VLOOKUP(V$2,行为概览!$D$3:$U$33,3,0),$A112&gt;VLOOKUP(V$2,行为概览!$D$3:$U$33,4,0)),0,VLOOKUP(V$2,行为概览!$D$3:$U$33,6,0)),4)</f>
        <v>0.16669999999999999</v>
      </c>
      <c r="W112" s="20">
        <f>ROUND(IF(OR($A112&lt;VLOOKUP(W$2,行为概览!$D$3:$U$33,3,0),$A112&gt;VLOOKUP(W$2,行为概览!$D$3:$U$33,4,0)),0,VLOOKUP(W$2,行为概览!$D$3:$U$33,6,0)),4)</f>
        <v>0.16669999999999999</v>
      </c>
      <c r="X112" s="20">
        <f>ROUND(IF(OR($A112&lt;VLOOKUP(X$2,行为概览!$D$3:$U$33,3,0),$A112&gt;VLOOKUP(X$2,行为概览!$D$3:$U$33,4,0)),0,VLOOKUP(X$2,行为概览!$D$3:$U$33,6,0)),4)</f>
        <v>0.25</v>
      </c>
      <c r="Y112" s="20">
        <f>ROUND(IF(OR($A112&lt;VLOOKUP(Y$2,行为概览!$D$3:$U$33,3,0),$A112&gt;VLOOKUP(Y$2,行为概览!$D$3:$U$33,4,0)),0,VLOOKUP(Y$2,行为概览!$D$3:$U$33,6,0)),4)</f>
        <v>0.58330000000000004</v>
      </c>
      <c r="Z112" s="20">
        <f>ROUND(IF(OR($A112&lt;VLOOKUP(Z$2,行为概览!$D$3:$U$33,3,0),$A112&gt;VLOOKUP(Z$2,行为概览!$D$3:$U$33,4,0)),0,VLOOKUP(Z$2,行为概览!$D$3:$U$33,6,0)),4)</f>
        <v>0.16669999999999999</v>
      </c>
      <c r="AA112" s="20">
        <f>ROUND(IF(OR($A112&lt;VLOOKUP(AA$2,行为概览!$D$3:$U$33,3,0),$A112&gt;VLOOKUP(AA$2,行为概览!$D$3:$U$33,4,0)),0,VLOOKUP(AA$2,行为概览!$D$3:$U$33,6,0)),4)</f>
        <v>0</v>
      </c>
      <c r="AB112" s="20">
        <f>ROUND(IF(OR($A112&lt;VLOOKUP(AB$2,行为概览!$D$3:$U$33,3,0),$A112&gt;VLOOKUP(AB$2,行为概览!$D$3:$U$33,4,0)),0,VLOOKUP(AB$2,行为概览!$D$3:$U$33,6,0)),4)</f>
        <v>0</v>
      </c>
      <c r="AC112" s="20">
        <f>ROUND(IF(OR($A112&lt;VLOOKUP(AC$2,行为概览!$D$3:$U$33,3,0),$A112&gt;VLOOKUP(AC$2,行为概览!$D$3:$U$33,4,0)),0,VLOOKUP(AC$2,行为概览!$D$3:$U$33,6,0)),4)</f>
        <v>0</v>
      </c>
      <c r="AD112" s="20">
        <f>ROUND(IF(OR($A112&lt;VLOOKUP(AD$2,行为概览!$D$3:$U$33,3,0),$A112&gt;VLOOKUP(AD$2,行为概览!$D$3:$U$33,4,0)),0,VLOOKUP(AD$2,行为概览!$D$3:$U$33,6,0)),4)</f>
        <v>0</v>
      </c>
      <c r="AE112" s="20">
        <f>ROUND(IF(OR($A112&lt;VLOOKUP(AE$2,行为概览!$D$3:$U$33,3,0),$A112&gt;VLOOKUP(AE$2,行为概览!$D$3:$U$33,4,0)),0,VLOOKUP(AE$2,行为概览!$D$3:$U$33,6,0)),4)</f>
        <v>8.3299999999999999E-2</v>
      </c>
      <c r="AF112" s="20">
        <f>ROUND(IF(OR($A112&lt;VLOOKUP(AF$2,行为概览!$D$3:$U$33,3,0),$A112&gt;VLOOKUP(AF$2,行为概览!$D$3:$U$33,4,0)),0,VLOOKUP(AF$2,行为概览!$D$3:$U$33,6,0)),4)</f>
        <v>0</v>
      </c>
    </row>
    <row r="113" spans="1:32">
      <c r="A113" s="19">
        <v>111</v>
      </c>
      <c r="B113" s="20">
        <f>ROUND(IF(OR($A113&lt;VLOOKUP(B$2,行为概览!$D$3:$U$33,3,0),$A113&gt;VLOOKUP(B$2,行为概览!$D$3:$U$33,4,0)),0,VLOOKUP(B$2,行为概览!$D$3:$U$33,6,0)),4)</f>
        <v>0.33329999999999999</v>
      </c>
      <c r="C113" s="20">
        <f>ROUND(IF(OR($A113&lt;VLOOKUP(C$2,行为概览!$D$3:$U$33,3,0),$A113&gt;VLOOKUP(C$2,行为概览!$D$3:$U$33,4,0)),0,VLOOKUP(C$2,行为概览!$D$3:$U$33,6,0)),4)</f>
        <v>2</v>
      </c>
      <c r="D113" s="20">
        <f>ROUND(IF(OR($A113&lt;VLOOKUP(D$2,行为概览!$D$3:$U$33,3,0),$A113&gt;VLOOKUP(D$2,行为概览!$D$3:$U$33,4,0)),0,VLOOKUP(D$2,行为概览!$D$3:$U$33,6,0)),4)</f>
        <v>8.3299999999999999E-2</v>
      </c>
      <c r="E113" s="20">
        <f>ROUND(IF(OR($A113&lt;VLOOKUP(E$2,行为概览!$D$3:$U$33,3,0),$A113&gt;VLOOKUP(E$2,行为概览!$D$3:$U$33,4,0)),0,VLOOKUP(E$2,行为概览!$D$3:$U$33,6,0)),4)</f>
        <v>1</v>
      </c>
      <c r="F113" s="20">
        <f>ROUND(IF(OR($A113&lt;VLOOKUP(F$2,行为概览!$D$3:$U$33,3,0),$A113&gt;VLOOKUP(F$2,行为概览!$D$3:$U$33,4,0)),0,VLOOKUP(F$2,行为概览!$D$3:$U$33,6,0)),4)</f>
        <v>0.33329999999999999</v>
      </c>
      <c r="G113" s="20">
        <f>ROUND(IF(OR($A113&lt;VLOOKUP(G$2,行为概览!$D$3:$U$33,3,0),$A113&gt;VLOOKUP(G$2,行为概览!$D$3:$U$33,4,0)),0,VLOOKUP(G$2,行为概览!$D$3:$U$33,6,0)),4)</f>
        <v>0</v>
      </c>
      <c r="H113" s="20">
        <f>ROUND(IF(OR($A113&lt;VLOOKUP(H$2,行为概览!$D$3:$U$33,3,0),$A113&gt;VLOOKUP(H$2,行为概览!$D$3:$U$33,4,0)),0,VLOOKUP(H$2,行为概览!$D$3:$U$33,6,0)),4)</f>
        <v>0</v>
      </c>
      <c r="I113" s="20">
        <f>ROUND(IF(OR($A113&lt;VLOOKUP(I$2,行为概览!$D$3:$U$33,3,0),$A113&gt;VLOOKUP(I$2,行为概览!$D$3:$U$33,4,0)),0,VLOOKUP(I$2,行为概览!$D$3:$U$33,6,0)),4)</f>
        <v>0</v>
      </c>
      <c r="J113" s="20">
        <f>ROUND(IF(OR($A113&lt;VLOOKUP(J$2,行为概览!$D$3:$U$33,3,0),$A113&gt;VLOOKUP(J$2,行为概览!$D$3:$U$33,4,0)),0,VLOOKUP(J$2,行为概览!$D$3:$U$33,6,0)),4)</f>
        <v>0.5</v>
      </c>
      <c r="K113" s="20">
        <f>ROUND(IF(OR($A113&lt;VLOOKUP(K$2,行为概览!$D$3:$U$33,3,0),$A113&gt;VLOOKUP(K$2,行为概览!$D$3:$U$33,4,0)),0,VLOOKUP(K$2,行为概览!$D$3:$U$33,6,0)),4)</f>
        <v>0.16669999999999999</v>
      </c>
      <c r="L113" s="20">
        <f>ROUND(IF(OR($A113&lt;VLOOKUP(L$2,行为概览!$D$3:$U$33,3,0),$A113&gt;VLOOKUP(L$2,行为概览!$D$3:$U$33,4,0)),0,VLOOKUP(L$2,行为概览!$D$3:$U$33,6,0)),4)</f>
        <v>0.5</v>
      </c>
      <c r="M113" s="20">
        <f>ROUND(IF(OR($A113&lt;VLOOKUP(M$2,行为概览!$D$3:$U$33,3,0),$A113&gt;VLOOKUP(M$2,行为概览!$D$3:$U$33,4,0)),0,VLOOKUP(M$2,行为概览!$D$3:$U$33,6,0)),4)</f>
        <v>12</v>
      </c>
      <c r="N113" s="20">
        <f>ROUND(IF(OR($A113&lt;VLOOKUP(N$2,行为概览!$D$3:$U$33,3,0),$A113&gt;VLOOKUP(N$2,行为概览!$D$3:$U$33,4,0)),0,VLOOKUP(N$2,行为概览!$D$3:$U$33,6,0)),4)</f>
        <v>8.3299999999999999E-2</v>
      </c>
      <c r="O113" s="20">
        <f>ROUND(IF(OR($A113&lt;VLOOKUP(O$2,行为概览!$D$3:$U$33,3,0),$A113&gt;VLOOKUP(O$2,行为概览!$D$3:$U$33,4,0)),0,VLOOKUP(O$2,行为概览!$D$3:$U$33,6,0)),4)</f>
        <v>8.3299999999999999E-2</v>
      </c>
      <c r="P113" s="20">
        <f>ROUND(IF(OR($A113&lt;VLOOKUP(P$2,行为概览!$D$3:$U$33,3,0),$A113&gt;VLOOKUP(P$2,行为概览!$D$3:$U$33,4,0)),0,VLOOKUP(P$2,行为概览!$D$3:$U$33,6,0)),4)</f>
        <v>2.6</v>
      </c>
      <c r="Q113" s="20">
        <f>ROUND(IF(OR($A113&lt;VLOOKUP(Q$2,行为概览!$D$3:$U$33,3,0),$A113&gt;VLOOKUP(Q$2,行为概览!$D$3:$U$33,4,0)),0,VLOOKUP(Q$2,行为概览!$D$3:$U$33,6,0)),4)</f>
        <v>1</v>
      </c>
      <c r="R113" s="20">
        <f>ROUND(IF(OR($A113&lt;VLOOKUP(R$2,行为概览!$D$3:$U$33,3,0),$A113&gt;VLOOKUP(R$2,行为概览!$D$3:$U$33,4,0)),0,VLOOKUP(R$2,行为概览!$D$3:$U$33,6,0)),4)</f>
        <v>0.33329999999999999</v>
      </c>
      <c r="S113" s="20">
        <f>ROUND(IF(OR($A113&lt;VLOOKUP(S$2,行为概览!$D$3:$U$33,3,0),$A113&gt;VLOOKUP(S$2,行为概览!$D$3:$U$33,4,0)),0,VLOOKUP(S$2,行为概览!$D$3:$U$33,6,0)),4)</f>
        <v>0</v>
      </c>
      <c r="T113" s="20">
        <f>ROUND(IF(OR($A113&lt;VLOOKUP(T$2,行为概览!$D$3:$U$33,3,0),$A113&gt;VLOOKUP(T$2,行为概览!$D$3:$U$33,4,0)),0,VLOOKUP(T$2,行为概览!$D$3:$U$33,6,0)),4)</f>
        <v>0.33329999999999999</v>
      </c>
      <c r="U113" s="20">
        <f>ROUND(IF(OR($A113&lt;VLOOKUP(U$2,行为概览!$D$3:$U$33,3,0),$A113&gt;VLOOKUP(U$2,行为概览!$D$3:$U$33,4,0)),0,VLOOKUP(U$2,行为概览!$D$3:$U$33,6,0)),4)</f>
        <v>0.16669999999999999</v>
      </c>
      <c r="V113" s="20">
        <f>ROUND(IF(OR($A113&lt;VLOOKUP(V$2,行为概览!$D$3:$U$33,3,0),$A113&gt;VLOOKUP(V$2,行为概览!$D$3:$U$33,4,0)),0,VLOOKUP(V$2,行为概览!$D$3:$U$33,6,0)),4)</f>
        <v>0.16669999999999999</v>
      </c>
      <c r="W113" s="20">
        <f>ROUND(IF(OR($A113&lt;VLOOKUP(W$2,行为概览!$D$3:$U$33,3,0),$A113&gt;VLOOKUP(W$2,行为概览!$D$3:$U$33,4,0)),0,VLOOKUP(W$2,行为概览!$D$3:$U$33,6,0)),4)</f>
        <v>0.16669999999999999</v>
      </c>
      <c r="X113" s="20">
        <f>ROUND(IF(OR($A113&lt;VLOOKUP(X$2,行为概览!$D$3:$U$33,3,0),$A113&gt;VLOOKUP(X$2,行为概览!$D$3:$U$33,4,0)),0,VLOOKUP(X$2,行为概览!$D$3:$U$33,6,0)),4)</f>
        <v>0.25</v>
      </c>
      <c r="Y113" s="20">
        <f>ROUND(IF(OR($A113&lt;VLOOKUP(Y$2,行为概览!$D$3:$U$33,3,0),$A113&gt;VLOOKUP(Y$2,行为概览!$D$3:$U$33,4,0)),0,VLOOKUP(Y$2,行为概览!$D$3:$U$33,6,0)),4)</f>
        <v>0.58330000000000004</v>
      </c>
      <c r="Z113" s="20">
        <f>ROUND(IF(OR($A113&lt;VLOOKUP(Z$2,行为概览!$D$3:$U$33,3,0),$A113&gt;VLOOKUP(Z$2,行为概览!$D$3:$U$33,4,0)),0,VLOOKUP(Z$2,行为概览!$D$3:$U$33,6,0)),4)</f>
        <v>0.16669999999999999</v>
      </c>
      <c r="AA113" s="20">
        <f>ROUND(IF(OR($A113&lt;VLOOKUP(AA$2,行为概览!$D$3:$U$33,3,0),$A113&gt;VLOOKUP(AA$2,行为概览!$D$3:$U$33,4,0)),0,VLOOKUP(AA$2,行为概览!$D$3:$U$33,6,0)),4)</f>
        <v>0</v>
      </c>
      <c r="AB113" s="20">
        <f>ROUND(IF(OR($A113&lt;VLOOKUP(AB$2,行为概览!$D$3:$U$33,3,0),$A113&gt;VLOOKUP(AB$2,行为概览!$D$3:$U$33,4,0)),0,VLOOKUP(AB$2,行为概览!$D$3:$U$33,6,0)),4)</f>
        <v>0</v>
      </c>
      <c r="AC113" s="20">
        <f>ROUND(IF(OR($A113&lt;VLOOKUP(AC$2,行为概览!$D$3:$U$33,3,0),$A113&gt;VLOOKUP(AC$2,行为概览!$D$3:$U$33,4,0)),0,VLOOKUP(AC$2,行为概览!$D$3:$U$33,6,0)),4)</f>
        <v>0</v>
      </c>
      <c r="AD113" s="20">
        <f>ROUND(IF(OR($A113&lt;VLOOKUP(AD$2,行为概览!$D$3:$U$33,3,0),$A113&gt;VLOOKUP(AD$2,行为概览!$D$3:$U$33,4,0)),0,VLOOKUP(AD$2,行为概览!$D$3:$U$33,6,0)),4)</f>
        <v>0</v>
      </c>
      <c r="AE113" s="20">
        <f>ROUND(IF(OR($A113&lt;VLOOKUP(AE$2,行为概览!$D$3:$U$33,3,0),$A113&gt;VLOOKUP(AE$2,行为概览!$D$3:$U$33,4,0)),0,VLOOKUP(AE$2,行为概览!$D$3:$U$33,6,0)),4)</f>
        <v>8.3299999999999999E-2</v>
      </c>
      <c r="AF113" s="20">
        <f>ROUND(IF(OR($A113&lt;VLOOKUP(AF$2,行为概览!$D$3:$U$33,3,0),$A113&gt;VLOOKUP(AF$2,行为概览!$D$3:$U$33,4,0)),0,VLOOKUP(AF$2,行为概览!$D$3:$U$33,6,0)),4)</f>
        <v>0</v>
      </c>
    </row>
    <row r="114" spans="1:32">
      <c r="A114" s="19">
        <v>112</v>
      </c>
      <c r="B114" s="20">
        <f>ROUND(IF(OR($A114&lt;VLOOKUP(B$2,行为概览!$D$3:$U$33,3,0),$A114&gt;VLOOKUP(B$2,行为概览!$D$3:$U$33,4,0)),0,VLOOKUP(B$2,行为概览!$D$3:$U$33,6,0)),4)</f>
        <v>0.33329999999999999</v>
      </c>
      <c r="C114" s="20">
        <f>ROUND(IF(OR($A114&lt;VLOOKUP(C$2,行为概览!$D$3:$U$33,3,0),$A114&gt;VLOOKUP(C$2,行为概览!$D$3:$U$33,4,0)),0,VLOOKUP(C$2,行为概览!$D$3:$U$33,6,0)),4)</f>
        <v>2</v>
      </c>
      <c r="D114" s="20">
        <f>ROUND(IF(OR($A114&lt;VLOOKUP(D$2,行为概览!$D$3:$U$33,3,0),$A114&gt;VLOOKUP(D$2,行为概览!$D$3:$U$33,4,0)),0,VLOOKUP(D$2,行为概览!$D$3:$U$33,6,0)),4)</f>
        <v>8.3299999999999999E-2</v>
      </c>
      <c r="E114" s="20">
        <f>ROUND(IF(OR($A114&lt;VLOOKUP(E$2,行为概览!$D$3:$U$33,3,0),$A114&gt;VLOOKUP(E$2,行为概览!$D$3:$U$33,4,0)),0,VLOOKUP(E$2,行为概览!$D$3:$U$33,6,0)),4)</f>
        <v>1</v>
      </c>
      <c r="F114" s="20">
        <f>ROUND(IF(OR($A114&lt;VLOOKUP(F$2,行为概览!$D$3:$U$33,3,0),$A114&gt;VLOOKUP(F$2,行为概览!$D$3:$U$33,4,0)),0,VLOOKUP(F$2,行为概览!$D$3:$U$33,6,0)),4)</f>
        <v>0.33329999999999999</v>
      </c>
      <c r="G114" s="20">
        <f>ROUND(IF(OR($A114&lt;VLOOKUP(G$2,行为概览!$D$3:$U$33,3,0),$A114&gt;VLOOKUP(G$2,行为概览!$D$3:$U$33,4,0)),0,VLOOKUP(G$2,行为概览!$D$3:$U$33,6,0)),4)</f>
        <v>0</v>
      </c>
      <c r="H114" s="20">
        <f>ROUND(IF(OR($A114&lt;VLOOKUP(H$2,行为概览!$D$3:$U$33,3,0),$A114&gt;VLOOKUP(H$2,行为概览!$D$3:$U$33,4,0)),0,VLOOKUP(H$2,行为概览!$D$3:$U$33,6,0)),4)</f>
        <v>0</v>
      </c>
      <c r="I114" s="20">
        <f>ROUND(IF(OR($A114&lt;VLOOKUP(I$2,行为概览!$D$3:$U$33,3,0),$A114&gt;VLOOKUP(I$2,行为概览!$D$3:$U$33,4,0)),0,VLOOKUP(I$2,行为概览!$D$3:$U$33,6,0)),4)</f>
        <v>0</v>
      </c>
      <c r="J114" s="20">
        <f>ROUND(IF(OR($A114&lt;VLOOKUP(J$2,行为概览!$D$3:$U$33,3,0),$A114&gt;VLOOKUP(J$2,行为概览!$D$3:$U$33,4,0)),0,VLOOKUP(J$2,行为概览!$D$3:$U$33,6,0)),4)</f>
        <v>0.5</v>
      </c>
      <c r="K114" s="20">
        <f>ROUND(IF(OR($A114&lt;VLOOKUP(K$2,行为概览!$D$3:$U$33,3,0),$A114&gt;VLOOKUP(K$2,行为概览!$D$3:$U$33,4,0)),0,VLOOKUP(K$2,行为概览!$D$3:$U$33,6,0)),4)</f>
        <v>0.16669999999999999</v>
      </c>
      <c r="L114" s="20">
        <f>ROUND(IF(OR($A114&lt;VLOOKUP(L$2,行为概览!$D$3:$U$33,3,0),$A114&gt;VLOOKUP(L$2,行为概览!$D$3:$U$33,4,0)),0,VLOOKUP(L$2,行为概览!$D$3:$U$33,6,0)),4)</f>
        <v>0.5</v>
      </c>
      <c r="M114" s="20">
        <f>ROUND(IF(OR($A114&lt;VLOOKUP(M$2,行为概览!$D$3:$U$33,3,0),$A114&gt;VLOOKUP(M$2,行为概览!$D$3:$U$33,4,0)),0,VLOOKUP(M$2,行为概览!$D$3:$U$33,6,0)),4)</f>
        <v>12</v>
      </c>
      <c r="N114" s="20">
        <f>ROUND(IF(OR($A114&lt;VLOOKUP(N$2,行为概览!$D$3:$U$33,3,0),$A114&gt;VLOOKUP(N$2,行为概览!$D$3:$U$33,4,0)),0,VLOOKUP(N$2,行为概览!$D$3:$U$33,6,0)),4)</f>
        <v>8.3299999999999999E-2</v>
      </c>
      <c r="O114" s="20">
        <f>ROUND(IF(OR($A114&lt;VLOOKUP(O$2,行为概览!$D$3:$U$33,3,0),$A114&gt;VLOOKUP(O$2,行为概览!$D$3:$U$33,4,0)),0,VLOOKUP(O$2,行为概览!$D$3:$U$33,6,0)),4)</f>
        <v>8.3299999999999999E-2</v>
      </c>
      <c r="P114" s="20">
        <f>ROUND(IF(OR($A114&lt;VLOOKUP(P$2,行为概览!$D$3:$U$33,3,0),$A114&gt;VLOOKUP(P$2,行为概览!$D$3:$U$33,4,0)),0,VLOOKUP(P$2,行为概览!$D$3:$U$33,6,0)),4)</f>
        <v>2.6</v>
      </c>
      <c r="Q114" s="20">
        <f>ROUND(IF(OR($A114&lt;VLOOKUP(Q$2,行为概览!$D$3:$U$33,3,0),$A114&gt;VLOOKUP(Q$2,行为概览!$D$3:$U$33,4,0)),0,VLOOKUP(Q$2,行为概览!$D$3:$U$33,6,0)),4)</f>
        <v>1</v>
      </c>
      <c r="R114" s="20">
        <f>ROUND(IF(OR($A114&lt;VLOOKUP(R$2,行为概览!$D$3:$U$33,3,0),$A114&gt;VLOOKUP(R$2,行为概览!$D$3:$U$33,4,0)),0,VLOOKUP(R$2,行为概览!$D$3:$U$33,6,0)),4)</f>
        <v>0.33329999999999999</v>
      </c>
      <c r="S114" s="20">
        <f>ROUND(IF(OR($A114&lt;VLOOKUP(S$2,行为概览!$D$3:$U$33,3,0),$A114&gt;VLOOKUP(S$2,行为概览!$D$3:$U$33,4,0)),0,VLOOKUP(S$2,行为概览!$D$3:$U$33,6,0)),4)</f>
        <v>0</v>
      </c>
      <c r="T114" s="20">
        <f>ROUND(IF(OR($A114&lt;VLOOKUP(T$2,行为概览!$D$3:$U$33,3,0),$A114&gt;VLOOKUP(T$2,行为概览!$D$3:$U$33,4,0)),0,VLOOKUP(T$2,行为概览!$D$3:$U$33,6,0)),4)</f>
        <v>0.33329999999999999</v>
      </c>
      <c r="U114" s="20">
        <f>ROUND(IF(OR($A114&lt;VLOOKUP(U$2,行为概览!$D$3:$U$33,3,0),$A114&gt;VLOOKUP(U$2,行为概览!$D$3:$U$33,4,0)),0,VLOOKUP(U$2,行为概览!$D$3:$U$33,6,0)),4)</f>
        <v>0.16669999999999999</v>
      </c>
      <c r="V114" s="20">
        <f>ROUND(IF(OR($A114&lt;VLOOKUP(V$2,行为概览!$D$3:$U$33,3,0),$A114&gt;VLOOKUP(V$2,行为概览!$D$3:$U$33,4,0)),0,VLOOKUP(V$2,行为概览!$D$3:$U$33,6,0)),4)</f>
        <v>0.16669999999999999</v>
      </c>
      <c r="W114" s="20">
        <f>ROUND(IF(OR($A114&lt;VLOOKUP(W$2,行为概览!$D$3:$U$33,3,0),$A114&gt;VLOOKUP(W$2,行为概览!$D$3:$U$33,4,0)),0,VLOOKUP(W$2,行为概览!$D$3:$U$33,6,0)),4)</f>
        <v>0.16669999999999999</v>
      </c>
      <c r="X114" s="20">
        <f>ROUND(IF(OR($A114&lt;VLOOKUP(X$2,行为概览!$D$3:$U$33,3,0),$A114&gt;VLOOKUP(X$2,行为概览!$D$3:$U$33,4,0)),0,VLOOKUP(X$2,行为概览!$D$3:$U$33,6,0)),4)</f>
        <v>0.25</v>
      </c>
      <c r="Y114" s="20">
        <f>ROUND(IF(OR($A114&lt;VLOOKUP(Y$2,行为概览!$D$3:$U$33,3,0),$A114&gt;VLOOKUP(Y$2,行为概览!$D$3:$U$33,4,0)),0,VLOOKUP(Y$2,行为概览!$D$3:$U$33,6,0)),4)</f>
        <v>0.58330000000000004</v>
      </c>
      <c r="Z114" s="20">
        <f>ROUND(IF(OR($A114&lt;VLOOKUP(Z$2,行为概览!$D$3:$U$33,3,0),$A114&gt;VLOOKUP(Z$2,行为概览!$D$3:$U$33,4,0)),0,VLOOKUP(Z$2,行为概览!$D$3:$U$33,6,0)),4)</f>
        <v>0.16669999999999999</v>
      </c>
      <c r="AA114" s="20">
        <f>ROUND(IF(OR($A114&lt;VLOOKUP(AA$2,行为概览!$D$3:$U$33,3,0),$A114&gt;VLOOKUP(AA$2,行为概览!$D$3:$U$33,4,0)),0,VLOOKUP(AA$2,行为概览!$D$3:$U$33,6,0)),4)</f>
        <v>0</v>
      </c>
      <c r="AB114" s="20">
        <f>ROUND(IF(OR($A114&lt;VLOOKUP(AB$2,行为概览!$D$3:$U$33,3,0),$A114&gt;VLOOKUP(AB$2,行为概览!$D$3:$U$33,4,0)),0,VLOOKUP(AB$2,行为概览!$D$3:$U$33,6,0)),4)</f>
        <v>0</v>
      </c>
      <c r="AC114" s="20">
        <f>ROUND(IF(OR($A114&lt;VLOOKUP(AC$2,行为概览!$D$3:$U$33,3,0),$A114&gt;VLOOKUP(AC$2,行为概览!$D$3:$U$33,4,0)),0,VLOOKUP(AC$2,行为概览!$D$3:$U$33,6,0)),4)</f>
        <v>0</v>
      </c>
      <c r="AD114" s="20">
        <f>ROUND(IF(OR($A114&lt;VLOOKUP(AD$2,行为概览!$D$3:$U$33,3,0),$A114&gt;VLOOKUP(AD$2,行为概览!$D$3:$U$33,4,0)),0,VLOOKUP(AD$2,行为概览!$D$3:$U$33,6,0)),4)</f>
        <v>0</v>
      </c>
      <c r="AE114" s="20">
        <f>ROUND(IF(OR($A114&lt;VLOOKUP(AE$2,行为概览!$D$3:$U$33,3,0),$A114&gt;VLOOKUP(AE$2,行为概览!$D$3:$U$33,4,0)),0,VLOOKUP(AE$2,行为概览!$D$3:$U$33,6,0)),4)</f>
        <v>8.3299999999999999E-2</v>
      </c>
      <c r="AF114" s="20">
        <f>ROUND(IF(OR($A114&lt;VLOOKUP(AF$2,行为概览!$D$3:$U$33,3,0),$A114&gt;VLOOKUP(AF$2,行为概览!$D$3:$U$33,4,0)),0,VLOOKUP(AF$2,行为概览!$D$3:$U$33,6,0)),4)</f>
        <v>0</v>
      </c>
    </row>
    <row r="115" spans="1:32">
      <c r="A115" s="19">
        <v>113</v>
      </c>
      <c r="B115" s="20">
        <f>ROUND(IF(OR($A115&lt;VLOOKUP(B$2,行为概览!$D$3:$U$33,3,0),$A115&gt;VLOOKUP(B$2,行为概览!$D$3:$U$33,4,0)),0,VLOOKUP(B$2,行为概览!$D$3:$U$33,6,0)),4)</f>
        <v>0.33329999999999999</v>
      </c>
      <c r="C115" s="20">
        <f>ROUND(IF(OR($A115&lt;VLOOKUP(C$2,行为概览!$D$3:$U$33,3,0),$A115&gt;VLOOKUP(C$2,行为概览!$D$3:$U$33,4,0)),0,VLOOKUP(C$2,行为概览!$D$3:$U$33,6,0)),4)</f>
        <v>2</v>
      </c>
      <c r="D115" s="20">
        <f>ROUND(IF(OR($A115&lt;VLOOKUP(D$2,行为概览!$D$3:$U$33,3,0),$A115&gt;VLOOKUP(D$2,行为概览!$D$3:$U$33,4,0)),0,VLOOKUP(D$2,行为概览!$D$3:$U$33,6,0)),4)</f>
        <v>8.3299999999999999E-2</v>
      </c>
      <c r="E115" s="20">
        <f>ROUND(IF(OR($A115&lt;VLOOKUP(E$2,行为概览!$D$3:$U$33,3,0),$A115&gt;VLOOKUP(E$2,行为概览!$D$3:$U$33,4,0)),0,VLOOKUP(E$2,行为概览!$D$3:$U$33,6,0)),4)</f>
        <v>1</v>
      </c>
      <c r="F115" s="20">
        <f>ROUND(IF(OR($A115&lt;VLOOKUP(F$2,行为概览!$D$3:$U$33,3,0),$A115&gt;VLOOKUP(F$2,行为概览!$D$3:$U$33,4,0)),0,VLOOKUP(F$2,行为概览!$D$3:$U$33,6,0)),4)</f>
        <v>0.33329999999999999</v>
      </c>
      <c r="G115" s="20">
        <f>ROUND(IF(OR($A115&lt;VLOOKUP(G$2,行为概览!$D$3:$U$33,3,0),$A115&gt;VLOOKUP(G$2,行为概览!$D$3:$U$33,4,0)),0,VLOOKUP(G$2,行为概览!$D$3:$U$33,6,0)),4)</f>
        <v>0</v>
      </c>
      <c r="H115" s="20">
        <f>ROUND(IF(OR($A115&lt;VLOOKUP(H$2,行为概览!$D$3:$U$33,3,0),$A115&gt;VLOOKUP(H$2,行为概览!$D$3:$U$33,4,0)),0,VLOOKUP(H$2,行为概览!$D$3:$U$33,6,0)),4)</f>
        <v>0</v>
      </c>
      <c r="I115" s="20">
        <f>ROUND(IF(OR($A115&lt;VLOOKUP(I$2,行为概览!$D$3:$U$33,3,0),$A115&gt;VLOOKUP(I$2,行为概览!$D$3:$U$33,4,0)),0,VLOOKUP(I$2,行为概览!$D$3:$U$33,6,0)),4)</f>
        <v>0</v>
      </c>
      <c r="J115" s="20">
        <f>ROUND(IF(OR($A115&lt;VLOOKUP(J$2,行为概览!$D$3:$U$33,3,0),$A115&gt;VLOOKUP(J$2,行为概览!$D$3:$U$33,4,0)),0,VLOOKUP(J$2,行为概览!$D$3:$U$33,6,0)),4)</f>
        <v>0.5</v>
      </c>
      <c r="K115" s="20">
        <f>ROUND(IF(OR($A115&lt;VLOOKUP(K$2,行为概览!$D$3:$U$33,3,0),$A115&gt;VLOOKUP(K$2,行为概览!$D$3:$U$33,4,0)),0,VLOOKUP(K$2,行为概览!$D$3:$U$33,6,0)),4)</f>
        <v>0.16669999999999999</v>
      </c>
      <c r="L115" s="20">
        <f>ROUND(IF(OR($A115&lt;VLOOKUP(L$2,行为概览!$D$3:$U$33,3,0),$A115&gt;VLOOKUP(L$2,行为概览!$D$3:$U$33,4,0)),0,VLOOKUP(L$2,行为概览!$D$3:$U$33,6,0)),4)</f>
        <v>0.5</v>
      </c>
      <c r="M115" s="20">
        <f>ROUND(IF(OR($A115&lt;VLOOKUP(M$2,行为概览!$D$3:$U$33,3,0),$A115&gt;VLOOKUP(M$2,行为概览!$D$3:$U$33,4,0)),0,VLOOKUP(M$2,行为概览!$D$3:$U$33,6,0)),4)</f>
        <v>12</v>
      </c>
      <c r="N115" s="20">
        <f>ROUND(IF(OR($A115&lt;VLOOKUP(N$2,行为概览!$D$3:$U$33,3,0),$A115&gt;VLOOKUP(N$2,行为概览!$D$3:$U$33,4,0)),0,VLOOKUP(N$2,行为概览!$D$3:$U$33,6,0)),4)</f>
        <v>8.3299999999999999E-2</v>
      </c>
      <c r="O115" s="20">
        <f>ROUND(IF(OR($A115&lt;VLOOKUP(O$2,行为概览!$D$3:$U$33,3,0),$A115&gt;VLOOKUP(O$2,行为概览!$D$3:$U$33,4,0)),0,VLOOKUP(O$2,行为概览!$D$3:$U$33,6,0)),4)</f>
        <v>8.3299999999999999E-2</v>
      </c>
      <c r="P115" s="20">
        <f>ROUND(IF(OR($A115&lt;VLOOKUP(P$2,行为概览!$D$3:$U$33,3,0),$A115&gt;VLOOKUP(P$2,行为概览!$D$3:$U$33,4,0)),0,VLOOKUP(P$2,行为概览!$D$3:$U$33,6,0)),4)</f>
        <v>2.6</v>
      </c>
      <c r="Q115" s="20">
        <f>ROUND(IF(OR($A115&lt;VLOOKUP(Q$2,行为概览!$D$3:$U$33,3,0),$A115&gt;VLOOKUP(Q$2,行为概览!$D$3:$U$33,4,0)),0,VLOOKUP(Q$2,行为概览!$D$3:$U$33,6,0)),4)</f>
        <v>1</v>
      </c>
      <c r="R115" s="20">
        <f>ROUND(IF(OR($A115&lt;VLOOKUP(R$2,行为概览!$D$3:$U$33,3,0),$A115&gt;VLOOKUP(R$2,行为概览!$D$3:$U$33,4,0)),0,VLOOKUP(R$2,行为概览!$D$3:$U$33,6,0)),4)</f>
        <v>0.33329999999999999</v>
      </c>
      <c r="S115" s="20">
        <f>ROUND(IF(OR($A115&lt;VLOOKUP(S$2,行为概览!$D$3:$U$33,3,0),$A115&gt;VLOOKUP(S$2,行为概览!$D$3:$U$33,4,0)),0,VLOOKUP(S$2,行为概览!$D$3:$U$33,6,0)),4)</f>
        <v>0</v>
      </c>
      <c r="T115" s="20">
        <f>ROUND(IF(OR($A115&lt;VLOOKUP(T$2,行为概览!$D$3:$U$33,3,0),$A115&gt;VLOOKUP(T$2,行为概览!$D$3:$U$33,4,0)),0,VLOOKUP(T$2,行为概览!$D$3:$U$33,6,0)),4)</f>
        <v>0.33329999999999999</v>
      </c>
      <c r="U115" s="20">
        <f>ROUND(IF(OR($A115&lt;VLOOKUP(U$2,行为概览!$D$3:$U$33,3,0),$A115&gt;VLOOKUP(U$2,行为概览!$D$3:$U$33,4,0)),0,VLOOKUP(U$2,行为概览!$D$3:$U$33,6,0)),4)</f>
        <v>0.16669999999999999</v>
      </c>
      <c r="V115" s="20">
        <f>ROUND(IF(OR($A115&lt;VLOOKUP(V$2,行为概览!$D$3:$U$33,3,0),$A115&gt;VLOOKUP(V$2,行为概览!$D$3:$U$33,4,0)),0,VLOOKUP(V$2,行为概览!$D$3:$U$33,6,0)),4)</f>
        <v>0.16669999999999999</v>
      </c>
      <c r="W115" s="20">
        <f>ROUND(IF(OR($A115&lt;VLOOKUP(W$2,行为概览!$D$3:$U$33,3,0),$A115&gt;VLOOKUP(W$2,行为概览!$D$3:$U$33,4,0)),0,VLOOKUP(W$2,行为概览!$D$3:$U$33,6,0)),4)</f>
        <v>0.16669999999999999</v>
      </c>
      <c r="X115" s="20">
        <f>ROUND(IF(OR($A115&lt;VLOOKUP(X$2,行为概览!$D$3:$U$33,3,0),$A115&gt;VLOOKUP(X$2,行为概览!$D$3:$U$33,4,0)),0,VLOOKUP(X$2,行为概览!$D$3:$U$33,6,0)),4)</f>
        <v>0.25</v>
      </c>
      <c r="Y115" s="20">
        <f>ROUND(IF(OR($A115&lt;VLOOKUP(Y$2,行为概览!$D$3:$U$33,3,0),$A115&gt;VLOOKUP(Y$2,行为概览!$D$3:$U$33,4,0)),0,VLOOKUP(Y$2,行为概览!$D$3:$U$33,6,0)),4)</f>
        <v>0.58330000000000004</v>
      </c>
      <c r="Z115" s="20">
        <f>ROUND(IF(OR($A115&lt;VLOOKUP(Z$2,行为概览!$D$3:$U$33,3,0),$A115&gt;VLOOKUP(Z$2,行为概览!$D$3:$U$33,4,0)),0,VLOOKUP(Z$2,行为概览!$D$3:$U$33,6,0)),4)</f>
        <v>0.16669999999999999</v>
      </c>
      <c r="AA115" s="20">
        <f>ROUND(IF(OR($A115&lt;VLOOKUP(AA$2,行为概览!$D$3:$U$33,3,0),$A115&gt;VLOOKUP(AA$2,行为概览!$D$3:$U$33,4,0)),0,VLOOKUP(AA$2,行为概览!$D$3:$U$33,6,0)),4)</f>
        <v>0</v>
      </c>
      <c r="AB115" s="20">
        <f>ROUND(IF(OR($A115&lt;VLOOKUP(AB$2,行为概览!$D$3:$U$33,3,0),$A115&gt;VLOOKUP(AB$2,行为概览!$D$3:$U$33,4,0)),0,VLOOKUP(AB$2,行为概览!$D$3:$U$33,6,0)),4)</f>
        <v>0</v>
      </c>
      <c r="AC115" s="20">
        <f>ROUND(IF(OR($A115&lt;VLOOKUP(AC$2,行为概览!$D$3:$U$33,3,0),$A115&gt;VLOOKUP(AC$2,行为概览!$D$3:$U$33,4,0)),0,VLOOKUP(AC$2,行为概览!$D$3:$U$33,6,0)),4)</f>
        <v>0</v>
      </c>
      <c r="AD115" s="20">
        <f>ROUND(IF(OR($A115&lt;VLOOKUP(AD$2,行为概览!$D$3:$U$33,3,0),$A115&gt;VLOOKUP(AD$2,行为概览!$D$3:$U$33,4,0)),0,VLOOKUP(AD$2,行为概览!$D$3:$U$33,6,0)),4)</f>
        <v>0</v>
      </c>
      <c r="AE115" s="20">
        <f>ROUND(IF(OR($A115&lt;VLOOKUP(AE$2,行为概览!$D$3:$U$33,3,0),$A115&gt;VLOOKUP(AE$2,行为概览!$D$3:$U$33,4,0)),0,VLOOKUP(AE$2,行为概览!$D$3:$U$33,6,0)),4)</f>
        <v>8.3299999999999999E-2</v>
      </c>
      <c r="AF115" s="20">
        <f>ROUND(IF(OR($A115&lt;VLOOKUP(AF$2,行为概览!$D$3:$U$33,3,0),$A115&gt;VLOOKUP(AF$2,行为概览!$D$3:$U$33,4,0)),0,VLOOKUP(AF$2,行为概览!$D$3:$U$33,6,0)),4)</f>
        <v>0</v>
      </c>
    </row>
    <row r="116" spans="1:32">
      <c r="A116" s="19">
        <v>114</v>
      </c>
      <c r="B116" s="20">
        <f>ROUND(IF(OR($A116&lt;VLOOKUP(B$2,行为概览!$D$3:$U$33,3,0),$A116&gt;VLOOKUP(B$2,行为概览!$D$3:$U$33,4,0)),0,VLOOKUP(B$2,行为概览!$D$3:$U$33,6,0)),4)</f>
        <v>0.33329999999999999</v>
      </c>
      <c r="C116" s="20">
        <f>ROUND(IF(OR($A116&lt;VLOOKUP(C$2,行为概览!$D$3:$U$33,3,0),$A116&gt;VLOOKUP(C$2,行为概览!$D$3:$U$33,4,0)),0,VLOOKUP(C$2,行为概览!$D$3:$U$33,6,0)),4)</f>
        <v>2</v>
      </c>
      <c r="D116" s="20">
        <f>ROUND(IF(OR($A116&lt;VLOOKUP(D$2,行为概览!$D$3:$U$33,3,0),$A116&gt;VLOOKUP(D$2,行为概览!$D$3:$U$33,4,0)),0,VLOOKUP(D$2,行为概览!$D$3:$U$33,6,0)),4)</f>
        <v>8.3299999999999999E-2</v>
      </c>
      <c r="E116" s="20">
        <f>ROUND(IF(OR($A116&lt;VLOOKUP(E$2,行为概览!$D$3:$U$33,3,0),$A116&gt;VLOOKUP(E$2,行为概览!$D$3:$U$33,4,0)),0,VLOOKUP(E$2,行为概览!$D$3:$U$33,6,0)),4)</f>
        <v>1</v>
      </c>
      <c r="F116" s="20">
        <f>ROUND(IF(OR($A116&lt;VLOOKUP(F$2,行为概览!$D$3:$U$33,3,0),$A116&gt;VLOOKUP(F$2,行为概览!$D$3:$U$33,4,0)),0,VLOOKUP(F$2,行为概览!$D$3:$U$33,6,0)),4)</f>
        <v>0.33329999999999999</v>
      </c>
      <c r="G116" s="20">
        <f>ROUND(IF(OR($A116&lt;VLOOKUP(G$2,行为概览!$D$3:$U$33,3,0),$A116&gt;VLOOKUP(G$2,行为概览!$D$3:$U$33,4,0)),0,VLOOKUP(G$2,行为概览!$D$3:$U$33,6,0)),4)</f>
        <v>0</v>
      </c>
      <c r="H116" s="20">
        <f>ROUND(IF(OR($A116&lt;VLOOKUP(H$2,行为概览!$D$3:$U$33,3,0),$A116&gt;VLOOKUP(H$2,行为概览!$D$3:$U$33,4,0)),0,VLOOKUP(H$2,行为概览!$D$3:$U$33,6,0)),4)</f>
        <v>0</v>
      </c>
      <c r="I116" s="20">
        <f>ROUND(IF(OR($A116&lt;VLOOKUP(I$2,行为概览!$D$3:$U$33,3,0),$A116&gt;VLOOKUP(I$2,行为概览!$D$3:$U$33,4,0)),0,VLOOKUP(I$2,行为概览!$D$3:$U$33,6,0)),4)</f>
        <v>0</v>
      </c>
      <c r="J116" s="20">
        <f>ROUND(IF(OR($A116&lt;VLOOKUP(J$2,行为概览!$D$3:$U$33,3,0),$A116&gt;VLOOKUP(J$2,行为概览!$D$3:$U$33,4,0)),0,VLOOKUP(J$2,行为概览!$D$3:$U$33,6,0)),4)</f>
        <v>0.5</v>
      </c>
      <c r="K116" s="20">
        <f>ROUND(IF(OR($A116&lt;VLOOKUP(K$2,行为概览!$D$3:$U$33,3,0),$A116&gt;VLOOKUP(K$2,行为概览!$D$3:$U$33,4,0)),0,VLOOKUP(K$2,行为概览!$D$3:$U$33,6,0)),4)</f>
        <v>0.16669999999999999</v>
      </c>
      <c r="L116" s="20">
        <f>ROUND(IF(OR($A116&lt;VLOOKUP(L$2,行为概览!$D$3:$U$33,3,0),$A116&gt;VLOOKUP(L$2,行为概览!$D$3:$U$33,4,0)),0,VLOOKUP(L$2,行为概览!$D$3:$U$33,6,0)),4)</f>
        <v>0.5</v>
      </c>
      <c r="M116" s="20">
        <f>ROUND(IF(OR($A116&lt;VLOOKUP(M$2,行为概览!$D$3:$U$33,3,0),$A116&gt;VLOOKUP(M$2,行为概览!$D$3:$U$33,4,0)),0,VLOOKUP(M$2,行为概览!$D$3:$U$33,6,0)),4)</f>
        <v>12</v>
      </c>
      <c r="N116" s="20">
        <f>ROUND(IF(OR($A116&lt;VLOOKUP(N$2,行为概览!$D$3:$U$33,3,0),$A116&gt;VLOOKUP(N$2,行为概览!$D$3:$U$33,4,0)),0,VLOOKUP(N$2,行为概览!$D$3:$U$33,6,0)),4)</f>
        <v>8.3299999999999999E-2</v>
      </c>
      <c r="O116" s="20">
        <f>ROUND(IF(OR($A116&lt;VLOOKUP(O$2,行为概览!$D$3:$U$33,3,0),$A116&gt;VLOOKUP(O$2,行为概览!$D$3:$U$33,4,0)),0,VLOOKUP(O$2,行为概览!$D$3:$U$33,6,0)),4)</f>
        <v>8.3299999999999999E-2</v>
      </c>
      <c r="P116" s="20">
        <f>ROUND(IF(OR($A116&lt;VLOOKUP(P$2,行为概览!$D$3:$U$33,3,0),$A116&gt;VLOOKUP(P$2,行为概览!$D$3:$U$33,4,0)),0,VLOOKUP(P$2,行为概览!$D$3:$U$33,6,0)),4)</f>
        <v>2.6</v>
      </c>
      <c r="Q116" s="20">
        <f>ROUND(IF(OR($A116&lt;VLOOKUP(Q$2,行为概览!$D$3:$U$33,3,0),$A116&gt;VLOOKUP(Q$2,行为概览!$D$3:$U$33,4,0)),0,VLOOKUP(Q$2,行为概览!$D$3:$U$33,6,0)),4)</f>
        <v>1</v>
      </c>
      <c r="R116" s="20">
        <f>ROUND(IF(OR($A116&lt;VLOOKUP(R$2,行为概览!$D$3:$U$33,3,0),$A116&gt;VLOOKUP(R$2,行为概览!$D$3:$U$33,4,0)),0,VLOOKUP(R$2,行为概览!$D$3:$U$33,6,0)),4)</f>
        <v>0.33329999999999999</v>
      </c>
      <c r="S116" s="20">
        <f>ROUND(IF(OR($A116&lt;VLOOKUP(S$2,行为概览!$D$3:$U$33,3,0),$A116&gt;VLOOKUP(S$2,行为概览!$D$3:$U$33,4,0)),0,VLOOKUP(S$2,行为概览!$D$3:$U$33,6,0)),4)</f>
        <v>0</v>
      </c>
      <c r="T116" s="20">
        <f>ROUND(IF(OR($A116&lt;VLOOKUP(T$2,行为概览!$D$3:$U$33,3,0),$A116&gt;VLOOKUP(T$2,行为概览!$D$3:$U$33,4,0)),0,VLOOKUP(T$2,行为概览!$D$3:$U$33,6,0)),4)</f>
        <v>0.33329999999999999</v>
      </c>
      <c r="U116" s="20">
        <f>ROUND(IF(OR($A116&lt;VLOOKUP(U$2,行为概览!$D$3:$U$33,3,0),$A116&gt;VLOOKUP(U$2,行为概览!$D$3:$U$33,4,0)),0,VLOOKUP(U$2,行为概览!$D$3:$U$33,6,0)),4)</f>
        <v>0.16669999999999999</v>
      </c>
      <c r="V116" s="20">
        <f>ROUND(IF(OR($A116&lt;VLOOKUP(V$2,行为概览!$D$3:$U$33,3,0),$A116&gt;VLOOKUP(V$2,行为概览!$D$3:$U$33,4,0)),0,VLOOKUP(V$2,行为概览!$D$3:$U$33,6,0)),4)</f>
        <v>0.16669999999999999</v>
      </c>
      <c r="W116" s="20">
        <f>ROUND(IF(OR($A116&lt;VLOOKUP(W$2,行为概览!$D$3:$U$33,3,0),$A116&gt;VLOOKUP(W$2,行为概览!$D$3:$U$33,4,0)),0,VLOOKUP(W$2,行为概览!$D$3:$U$33,6,0)),4)</f>
        <v>0.16669999999999999</v>
      </c>
      <c r="X116" s="20">
        <f>ROUND(IF(OR($A116&lt;VLOOKUP(X$2,行为概览!$D$3:$U$33,3,0),$A116&gt;VLOOKUP(X$2,行为概览!$D$3:$U$33,4,0)),0,VLOOKUP(X$2,行为概览!$D$3:$U$33,6,0)),4)</f>
        <v>0.25</v>
      </c>
      <c r="Y116" s="20">
        <f>ROUND(IF(OR($A116&lt;VLOOKUP(Y$2,行为概览!$D$3:$U$33,3,0),$A116&gt;VLOOKUP(Y$2,行为概览!$D$3:$U$33,4,0)),0,VLOOKUP(Y$2,行为概览!$D$3:$U$33,6,0)),4)</f>
        <v>0.58330000000000004</v>
      </c>
      <c r="Z116" s="20">
        <f>ROUND(IF(OR($A116&lt;VLOOKUP(Z$2,行为概览!$D$3:$U$33,3,0),$A116&gt;VLOOKUP(Z$2,行为概览!$D$3:$U$33,4,0)),0,VLOOKUP(Z$2,行为概览!$D$3:$U$33,6,0)),4)</f>
        <v>0.16669999999999999</v>
      </c>
      <c r="AA116" s="20">
        <f>ROUND(IF(OR($A116&lt;VLOOKUP(AA$2,行为概览!$D$3:$U$33,3,0),$A116&gt;VLOOKUP(AA$2,行为概览!$D$3:$U$33,4,0)),0,VLOOKUP(AA$2,行为概览!$D$3:$U$33,6,0)),4)</f>
        <v>0</v>
      </c>
      <c r="AB116" s="20">
        <f>ROUND(IF(OR($A116&lt;VLOOKUP(AB$2,行为概览!$D$3:$U$33,3,0),$A116&gt;VLOOKUP(AB$2,行为概览!$D$3:$U$33,4,0)),0,VLOOKUP(AB$2,行为概览!$D$3:$U$33,6,0)),4)</f>
        <v>0</v>
      </c>
      <c r="AC116" s="20">
        <f>ROUND(IF(OR($A116&lt;VLOOKUP(AC$2,行为概览!$D$3:$U$33,3,0),$A116&gt;VLOOKUP(AC$2,行为概览!$D$3:$U$33,4,0)),0,VLOOKUP(AC$2,行为概览!$D$3:$U$33,6,0)),4)</f>
        <v>0</v>
      </c>
      <c r="AD116" s="20">
        <f>ROUND(IF(OR($A116&lt;VLOOKUP(AD$2,行为概览!$D$3:$U$33,3,0),$A116&gt;VLOOKUP(AD$2,行为概览!$D$3:$U$33,4,0)),0,VLOOKUP(AD$2,行为概览!$D$3:$U$33,6,0)),4)</f>
        <v>0</v>
      </c>
      <c r="AE116" s="20">
        <f>ROUND(IF(OR($A116&lt;VLOOKUP(AE$2,行为概览!$D$3:$U$33,3,0),$A116&gt;VLOOKUP(AE$2,行为概览!$D$3:$U$33,4,0)),0,VLOOKUP(AE$2,行为概览!$D$3:$U$33,6,0)),4)</f>
        <v>8.3299999999999999E-2</v>
      </c>
      <c r="AF116" s="20">
        <f>ROUND(IF(OR($A116&lt;VLOOKUP(AF$2,行为概览!$D$3:$U$33,3,0),$A116&gt;VLOOKUP(AF$2,行为概览!$D$3:$U$33,4,0)),0,VLOOKUP(AF$2,行为概览!$D$3:$U$33,6,0)),4)</f>
        <v>0</v>
      </c>
    </row>
    <row r="117" spans="1:32">
      <c r="A117" s="19">
        <v>115</v>
      </c>
      <c r="B117" s="20">
        <f>ROUND(IF(OR($A117&lt;VLOOKUP(B$2,行为概览!$D$3:$U$33,3,0),$A117&gt;VLOOKUP(B$2,行为概览!$D$3:$U$33,4,0)),0,VLOOKUP(B$2,行为概览!$D$3:$U$33,6,0)),4)</f>
        <v>0.33329999999999999</v>
      </c>
      <c r="C117" s="20">
        <f>ROUND(IF(OR($A117&lt;VLOOKUP(C$2,行为概览!$D$3:$U$33,3,0),$A117&gt;VLOOKUP(C$2,行为概览!$D$3:$U$33,4,0)),0,VLOOKUP(C$2,行为概览!$D$3:$U$33,6,0)),4)</f>
        <v>2</v>
      </c>
      <c r="D117" s="20">
        <f>ROUND(IF(OR($A117&lt;VLOOKUP(D$2,行为概览!$D$3:$U$33,3,0),$A117&gt;VLOOKUP(D$2,行为概览!$D$3:$U$33,4,0)),0,VLOOKUP(D$2,行为概览!$D$3:$U$33,6,0)),4)</f>
        <v>8.3299999999999999E-2</v>
      </c>
      <c r="E117" s="20">
        <f>ROUND(IF(OR($A117&lt;VLOOKUP(E$2,行为概览!$D$3:$U$33,3,0),$A117&gt;VLOOKUP(E$2,行为概览!$D$3:$U$33,4,0)),0,VLOOKUP(E$2,行为概览!$D$3:$U$33,6,0)),4)</f>
        <v>1</v>
      </c>
      <c r="F117" s="20">
        <f>ROUND(IF(OR($A117&lt;VLOOKUP(F$2,行为概览!$D$3:$U$33,3,0),$A117&gt;VLOOKUP(F$2,行为概览!$D$3:$U$33,4,0)),0,VLOOKUP(F$2,行为概览!$D$3:$U$33,6,0)),4)</f>
        <v>0.33329999999999999</v>
      </c>
      <c r="G117" s="20">
        <f>ROUND(IF(OR($A117&lt;VLOOKUP(G$2,行为概览!$D$3:$U$33,3,0),$A117&gt;VLOOKUP(G$2,行为概览!$D$3:$U$33,4,0)),0,VLOOKUP(G$2,行为概览!$D$3:$U$33,6,0)),4)</f>
        <v>0</v>
      </c>
      <c r="H117" s="20">
        <f>ROUND(IF(OR($A117&lt;VLOOKUP(H$2,行为概览!$D$3:$U$33,3,0),$A117&gt;VLOOKUP(H$2,行为概览!$D$3:$U$33,4,0)),0,VLOOKUP(H$2,行为概览!$D$3:$U$33,6,0)),4)</f>
        <v>0</v>
      </c>
      <c r="I117" s="20">
        <f>ROUND(IF(OR($A117&lt;VLOOKUP(I$2,行为概览!$D$3:$U$33,3,0),$A117&gt;VLOOKUP(I$2,行为概览!$D$3:$U$33,4,0)),0,VLOOKUP(I$2,行为概览!$D$3:$U$33,6,0)),4)</f>
        <v>0</v>
      </c>
      <c r="J117" s="20">
        <f>ROUND(IF(OR($A117&lt;VLOOKUP(J$2,行为概览!$D$3:$U$33,3,0),$A117&gt;VLOOKUP(J$2,行为概览!$D$3:$U$33,4,0)),0,VLOOKUP(J$2,行为概览!$D$3:$U$33,6,0)),4)</f>
        <v>0.5</v>
      </c>
      <c r="K117" s="20">
        <f>ROUND(IF(OR($A117&lt;VLOOKUP(K$2,行为概览!$D$3:$U$33,3,0),$A117&gt;VLOOKUP(K$2,行为概览!$D$3:$U$33,4,0)),0,VLOOKUP(K$2,行为概览!$D$3:$U$33,6,0)),4)</f>
        <v>0.16669999999999999</v>
      </c>
      <c r="L117" s="20">
        <f>ROUND(IF(OR($A117&lt;VLOOKUP(L$2,行为概览!$D$3:$U$33,3,0),$A117&gt;VLOOKUP(L$2,行为概览!$D$3:$U$33,4,0)),0,VLOOKUP(L$2,行为概览!$D$3:$U$33,6,0)),4)</f>
        <v>0.5</v>
      </c>
      <c r="M117" s="20">
        <f>ROUND(IF(OR($A117&lt;VLOOKUP(M$2,行为概览!$D$3:$U$33,3,0),$A117&gt;VLOOKUP(M$2,行为概览!$D$3:$U$33,4,0)),0,VLOOKUP(M$2,行为概览!$D$3:$U$33,6,0)),4)</f>
        <v>12</v>
      </c>
      <c r="N117" s="20">
        <f>ROUND(IF(OR($A117&lt;VLOOKUP(N$2,行为概览!$D$3:$U$33,3,0),$A117&gt;VLOOKUP(N$2,行为概览!$D$3:$U$33,4,0)),0,VLOOKUP(N$2,行为概览!$D$3:$U$33,6,0)),4)</f>
        <v>8.3299999999999999E-2</v>
      </c>
      <c r="O117" s="20">
        <f>ROUND(IF(OR($A117&lt;VLOOKUP(O$2,行为概览!$D$3:$U$33,3,0),$A117&gt;VLOOKUP(O$2,行为概览!$D$3:$U$33,4,0)),0,VLOOKUP(O$2,行为概览!$D$3:$U$33,6,0)),4)</f>
        <v>8.3299999999999999E-2</v>
      </c>
      <c r="P117" s="20">
        <f>ROUND(IF(OR($A117&lt;VLOOKUP(P$2,行为概览!$D$3:$U$33,3,0),$A117&gt;VLOOKUP(P$2,行为概览!$D$3:$U$33,4,0)),0,VLOOKUP(P$2,行为概览!$D$3:$U$33,6,0)),4)</f>
        <v>2.6</v>
      </c>
      <c r="Q117" s="20">
        <f>ROUND(IF(OR($A117&lt;VLOOKUP(Q$2,行为概览!$D$3:$U$33,3,0),$A117&gt;VLOOKUP(Q$2,行为概览!$D$3:$U$33,4,0)),0,VLOOKUP(Q$2,行为概览!$D$3:$U$33,6,0)),4)</f>
        <v>1</v>
      </c>
      <c r="R117" s="20">
        <f>ROUND(IF(OR($A117&lt;VLOOKUP(R$2,行为概览!$D$3:$U$33,3,0),$A117&gt;VLOOKUP(R$2,行为概览!$D$3:$U$33,4,0)),0,VLOOKUP(R$2,行为概览!$D$3:$U$33,6,0)),4)</f>
        <v>0.33329999999999999</v>
      </c>
      <c r="S117" s="20">
        <f>ROUND(IF(OR($A117&lt;VLOOKUP(S$2,行为概览!$D$3:$U$33,3,0),$A117&gt;VLOOKUP(S$2,行为概览!$D$3:$U$33,4,0)),0,VLOOKUP(S$2,行为概览!$D$3:$U$33,6,0)),4)</f>
        <v>0</v>
      </c>
      <c r="T117" s="20">
        <f>ROUND(IF(OR($A117&lt;VLOOKUP(T$2,行为概览!$D$3:$U$33,3,0),$A117&gt;VLOOKUP(T$2,行为概览!$D$3:$U$33,4,0)),0,VLOOKUP(T$2,行为概览!$D$3:$U$33,6,0)),4)</f>
        <v>0.33329999999999999</v>
      </c>
      <c r="U117" s="20">
        <f>ROUND(IF(OR($A117&lt;VLOOKUP(U$2,行为概览!$D$3:$U$33,3,0),$A117&gt;VLOOKUP(U$2,行为概览!$D$3:$U$33,4,0)),0,VLOOKUP(U$2,行为概览!$D$3:$U$33,6,0)),4)</f>
        <v>0.16669999999999999</v>
      </c>
      <c r="V117" s="20">
        <f>ROUND(IF(OR($A117&lt;VLOOKUP(V$2,行为概览!$D$3:$U$33,3,0),$A117&gt;VLOOKUP(V$2,行为概览!$D$3:$U$33,4,0)),0,VLOOKUP(V$2,行为概览!$D$3:$U$33,6,0)),4)</f>
        <v>0.16669999999999999</v>
      </c>
      <c r="W117" s="20">
        <f>ROUND(IF(OR($A117&lt;VLOOKUP(W$2,行为概览!$D$3:$U$33,3,0),$A117&gt;VLOOKUP(W$2,行为概览!$D$3:$U$33,4,0)),0,VLOOKUP(W$2,行为概览!$D$3:$U$33,6,0)),4)</f>
        <v>0.16669999999999999</v>
      </c>
      <c r="X117" s="20">
        <f>ROUND(IF(OR($A117&lt;VLOOKUP(X$2,行为概览!$D$3:$U$33,3,0),$A117&gt;VLOOKUP(X$2,行为概览!$D$3:$U$33,4,0)),0,VLOOKUP(X$2,行为概览!$D$3:$U$33,6,0)),4)</f>
        <v>0.25</v>
      </c>
      <c r="Y117" s="20">
        <f>ROUND(IF(OR($A117&lt;VLOOKUP(Y$2,行为概览!$D$3:$U$33,3,0),$A117&gt;VLOOKUP(Y$2,行为概览!$D$3:$U$33,4,0)),0,VLOOKUP(Y$2,行为概览!$D$3:$U$33,6,0)),4)</f>
        <v>0.58330000000000004</v>
      </c>
      <c r="Z117" s="20">
        <f>ROUND(IF(OR($A117&lt;VLOOKUP(Z$2,行为概览!$D$3:$U$33,3,0),$A117&gt;VLOOKUP(Z$2,行为概览!$D$3:$U$33,4,0)),0,VLOOKUP(Z$2,行为概览!$D$3:$U$33,6,0)),4)</f>
        <v>0.16669999999999999</v>
      </c>
      <c r="AA117" s="20">
        <f>ROUND(IF(OR($A117&lt;VLOOKUP(AA$2,行为概览!$D$3:$U$33,3,0),$A117&gt;VLOOKUP(AA$2,行为概览!$D$3:$U$33,4,0)),0,VLOOKUP(AA$2,行为概览!$D$3:$U$33,6,0)),4)</f>
        <v>0</v>
      </c>
      <c r="AB117" s="20">
        <f>ROUND(IF(OR($A117&lt;VLOOKUP(AB$2,行为概览!$D$3:$U$33,3,0),$A117&gt;VLOOKUP(AB$2,行为概览!$D$3:$U$33,4,0)),0,VLOOKUP(AB$2,行为概览!$D$3:$U$33,6,0)),4)</f>
        <v>0</v>
      </c>
      <c r="AC117" s="20">
        <f>ROUND(IF(OR($A117&lt;VLOOKUP(AC$2,行为概览!$D$3:$U$33,3,0),$A117&gt;VLOOKUP(AC$2,行为概览!$D$3:$U$33,4,0)),0,VLOOKUP(AC$2,行为概览!$D$3:$U$33,6,0)),4)</f>
        <v>0</v>
      </c>
      <c r="AD117" s="20">
        <f>ROUND(IF(OR($A117&lt;VLOOKUP(AD$2,行为概览!$D$3:$U$33,3,0),$A117&gt;VLOOKUP(AD$2,行为概览!$D$3:$U$33,4,0)),0,VLOOKUP(AD$2,行为概览!$D$3:$U$33,6,0)),4)</f>
        <v>0</v>
      </c>
      <c r="AE117" s="20">
        <f>ROUND(IF(OR($A117&lt;VLOOKUP(AE$2,行为概览!$D$3:$U$33,3,0),$A117&gt;VLOOKUP(AE$2,行为概览!$D$3:$U$33,4,0)),0,VLOOKUP(AE$2,行为概览!$D$3:$U$33,6,0)),4)</f>
        <v>8.3299999999999999E-2</v>
      </c>
      <c r="AF117" s="20">
        <f>ROUND(IF(OR($A117&lt;VLOOKUP(AF$2,行为概览!$D$3:$U$33,3,0),$A117&gt;VLOOKUP(AF$2,行为概览!$D$3:$U$33,4,0)),0,VLOOKUP(AF$2,行为概览!$D$3:$U$33,6,0)),4)</f>
        <v>0</v>
      </c>
    </row>
    <row r="118" spans="1:32">
      <c r="A118" s="19">
        <v>116</v>
      </c>
      <c r="B118" s="20">
        <f>ROUND(IF(OR($A118&lt;VLOOKUP(B$2,行为概览!$D$3:$U$33,3,0),$A118&gt;VLOOKUP(B$2,行为概览!$D$3:$U$33,4,0)),0,VLOOKUP(B$2,行为概览!$D$3:$U$33,6,0)),4)</f>
        <v>0.33329999999999999</v>
      </c>
      <c r="C118" s="20">
        <f>ROUND(IF(OR($A118&lt;VLOOKUP(C$2,行为概览!$D$3:$U$33,3,0),$A118&gt;VLOOKUP(C$2,行为概览!$D$3:$U$33,4,0)),0,VLOOKUP(C$2,行为概览!$D$3:$U$33,6,0)),4)</f>
        <v>2</v>
      </c>
      <c r="D118" s="20">
        <f>ROUND(IF(OR($A118&lt;VLOOKUP(D$2,行为概览!$D$3:$U$33,3,0),$A118&gt;VLOOKUP(D$2,行为概览!$D$3:$U$33,4,0)),0,VLOOKUP(D$2,行为概览!$D$3:$U$33,6,0)),4)</f>
        <v>8.3299999999999999E-2</v>
      </c>
      <c r="E118" s="20">
        <f>ROUND(IF(OR($A118&lt;VLOOKUP(E$2,行为概览!$D$3:$U$33,3,0),$A118&gt;VLOOKUP(E$2,行为概览!$D$3:$U$33,4,0)),0,VLOOKUP(E$2,行为概览!$D$3:$U$33,6,0)),4)</f>
        <v>1</v>
      </c>
      <c r="F118" s="20">
        <f>ROUND(IF(OR($A118&lt;VLOOKUP(F$2,行为概览!$D$3:$U$33,3,0),$A118&gt;VLOOKUP(F$2,行为概览!$D$3:$U$33,4,0)),0,VLOOKUP(F$2,行为概览!$D$3:$U$33,6,0)),4)</f>
        <v>0.33329999999999999</v>
      </c>
      <c r="G118" s="20">
        <f>ROUND(IF(OR($A118&lt;VLOOKUP(G$2,行为概览!$D$3:$U$33,3,0),$A118&gt;VLOOKUP(G$2,行为概览!$D$3:$U$33,4,0)),0,VLOOKUP(G$2,行为概览!$D$3:$U$33,6,0)),4)</f>
        <v>0</v>
      </c>
      <c r="H118" s="20">
        <f>ROUND(IF(OR($A118&lt;VLOOKUP(H$2,行为概览!$D$3:$U$33,3,0),$A118&gt;VLOOKUP(H$2,行为概览!$D$3:$U$33,4,0)),0,VLOOKUP(H$2,行为概览!$D$3:$U$33,6,0)),4)</f>
        <v>0</v>
      </c>
      <c r="I118" s="20">
        <f>ROUND(IF(OR($A118&lt;VLOOKUP(I$2,行为概览!$D$3:$U$33,3,0),$A118&gt;VLOOKUP(I$2,行为概览!$D$3:$U$33,4,0)),0,VLOOKUP(I$2,行为概览!$D$3:$U$33,6,0)),4)</f>
        <v>0</v>
      </c>
      <c r="J118" s="20">
        <f>ROUND(IF(OR($A118&lt;VLOOKUP(J$2,行为概览!$D$3:$U$33,3,0),$A118&gt;VLOOKUP(J$2,行为概览!$D$3:$U$33,4,0)),0,VLOOKUP(J$2,行为概览!$D$3:$U$33,6,0)),4)</f>
        <v>0.5</v>
      </c>
      <c r="K118" s="20">
        <f>ROUND(IF(OR($A118&lt;VLOOKUP(K$2,行为概览!$D$3:$U$33,3,0),$A118&gt;VLOOKUP(K$2,行为概览!$D$3:$U$33,4,0)),0,VLOOKUP(K$2,行为概览!$D$3:$U$33,6,0)),4)</f>
        <v>0.16669999999999999</v>
      </c>
      <c r="L118" s="20">
        <f>ROUND(IF(OR($A118&lt;VLOOKUP(L$2,行为概览!$D$3:$U$33,3,0),$A118&gt;VLOOKUP(L$2,行为概览!$D$3:$U$33,4,0)),0,VLOOKUP(L$2,行为概览!$D$3:$U$33,6,0)),4)</f>
        <v>0.5</v>
      </c>
      <c r="M118" s="20">
        <f>ROUND(IF(OR($A118&lt;VLOOKUP(M$2,行为概览!$D$3:$U$33,3,0),$A118&gt;VLOOKUP(M$2,行为概览!$D$3:$U$33,4,0)),0,VLOOKUP(M$2,行为概览!$D$3:$U$33,6,0)),4)</f>
        <v>12</v>
      </c>
      <c r="N118" s="20">
        <f>ROUND(IF(OR($A118&lt;VLOOKUP(N$2,行为概览!$D$3:$U$33,3,0),$A118&gt;VLOOKUP(N$2,行为概览!$D$3:$U$33,4,0)),0,VLOOKUP(N$2,行为概览!$D$3:$U$33,6,0)),4)</f>
        <v>8.3299999999999999E-2</v>
      </c>
      <c r="O118" s="20">
        <f>ROUND(IF(OR($A118&lt;VLOOKUP(O$2,行为概览!$D$3:$U$33,3,0),$A118&gt;VLOOKUP(O$2,行为概览!$D$3:$U$33,4,0)),0,VLOOKUP(O$2,行为概览!$D$3:$U$33,6,0)),4)</f>
        <v>8.3299999999999999E-2</v>
      </c>
      <c r="P118" s="20">
        <f>ROUND(IF(OR($A118&lt;VLOOKUP(P$2,行为概览!$D$3:$U$33,3,0),$A118&gt;VLOOKUP(P$2,行为概览!$D$3:$U$33,4,0)),0,VLOOKUP(P$2,行为概览!$D$3:$U$33,6,0)),4)</f>
        <v>2.6</v>
      </c>
      <c r="Q118" s="20">
        <f>ROUND(IF(OR($A118&lt;VLOOKUP(Q$2,行为概览!$D$3:$U$33,3,0),$A118&gt;VLOOKUP(Q$2,行为概览!$D$3:$U$33,4,0)),0,VLOOKUP(Q$2,行为概览!$D$3:$U$33,6,0)),4)</f>
        <v>1</v>
      </c>
      <c r="R118" s="20">
        <f>ROUND(IF(OR($A118&lt;VLOOKUP(R$2,行为概览!$D$3:$U$33,3,0),$A118&gt;VLOOKUP(R$2,行为概览!$D$3:$U$33,4,0)),0,VLOOKUP(R$2,行为概览!$D$3:$U$33,6,0)),4)</f>
        <v>0.33329999999999999</v>
      </c>
      <c r="S118" s="20">
        <f>ROUND(IF(OR($A118&lt;VLOOKUP(S$2,行为概览!$D$3:$U$33,3,0),$A118&gt;VLOOKUP(S$2,行为概览!$D$3:$U$33,4,0)),0,VLOOKUP(S$2,行为概览!$D$3:$U$33,6,0)),4)</f>
        <v>0</v>
      </c>
      <c r="T118" s="20">
        <f>ROUND(IF(OR($A118&lt;VLOOKUP(T$2,行为概览!$D$3:$U$33,3,0),$A118&gt;VLOOKUP(T$2,行为概览!$D$3:$U$33,4,0)),0,VLOOKUP(T$2,行为概览!$D$3:$U$33,6,0)),4)</f>
        <v>0.33329999999999999</v>
      </c>
      <c r="U118" s="20">
        <f>ROUND(IF(OR($A118&lt;VLOOKUP(U$2,行为概览!$D$3:$U$33,3,0),$A118&gt;VLOOKUP(U$2,行为概览!$D$3:$U$33,4,0)),0,VLOOKUP(U$2,行为概览!$D$3:$U$33,6,0)),4)</f>
        <v>0.16669999999999999</v>
      </c>
      <c r="V118" s="20">
        <f>ROUND(IF(OR($A118&lt;VLOOKUP(V$2,行为概览!$D$3:$U$33,3,0),$A118&gt;VLOOKUP(V$2,行为概览!$D$3:$U$33,4,0)),0,VLOOKUP(V$2,行为概览!$D$3:$U$33,6,0)),4)</f>
        <v>0.16669999999999999</v>
      </c>
      <c r="W118" s="20">
        <f>ROUND(IF(OR($A118&lt;VLOOKUP(W$2,行为概览!$D$3:$U$33,3,0),$A118&gt;VLOOKUP(W$2,行为概览!$D$3:$U$33,4,0)),0,VLOOKUP(W$2,行为概览!$D$3:$U$33,6,0)),4)</f>
        <v>0.16669999999999999</v>
      </c>
      <c r="X118" s="20">
        <f>ROUND(IF(OR($A118&lt;VLOOKUP(X$2,行为概览!$D$3:$U$33,3,0),$A118&gt;VLOOKUP(X$2,行为概览!$D$3:$U$33,4,0)),0,VLOOKUP(X$2,行为概览!$D$3:$U$33,6,0)),4)</f>
        <v>0.25</v>
      </c>
      <c r="Y118" s="20">
        <f>ROUND(IF(OR($A118&lt;VLOOKUP(Y$2,行为概览!$D$3:$U$33,3,0),$A118&gt;VLOOKUP(Y$2,行为概览!$D$3:$U$33,4,0)),0,VLOOKUP(Y$2,行为概览!$D$3:$U$33,6,0)),4)</f>
        <v>0.58330000000000004</v>
      </c>
      <c r="Z118" s="20">
        <f>ROUND(IF(OR($A118&lt;VLOOKUP(Z$2,行为概览!$D$3:$U$33,3,0),$A118&gt;VLOOKUP(Z$2,行为概览!$D$3:$U$33,4,0)),0,VLOOKUP(Z$2,行为概览!$D$3:$U$33,6,0)),4)</f>
        <v>0.16669999999999999</v>
      </c>
      <c r="AA118" s="20">
        <f>ROUND(IF(OR($A118&lt;VLOOKUP(AA$2,行为概览!$D$3:$U$33,3,0),$A118&gt;VLOOKUP(AA$2,行为概览!$D$3:$U$33,4,0)),0,VLOOKUP(AA$2,行为概览!$D$3:$U$33,6,0)),4)</f>
        <v>0</v>
      </c>
      <c r="AB118" s="20">
        <f>ROUND(IF(OR($A118&lt;VLOOKUP(AB$2,行为概览!$D$3:$U$33,3,0),$A118&gt;VLOOKUP(AB$2,行为概览!$D$3:$U$33,4,0)),0,VLOOKUP(AB$2,行为概览!$D$3:$U$33,6,0)),4)</f>
        <v>0</v>
      </c>
      <c r="AC118" s="20">
        <f>ROUND(IF(OR($A118&lt;VLOOKUP(AC$2,行为概览!$D$3:$U$33,3,0),$A118&gt;VLOOKUP(AC$2,行为概览!$D$3:$U$33,4,0)),0,VLOOKUP(AC$2,行为概览!$D$3:$U$33,6,0)),4)</f>
        <v>0</v>
      </c>
      <c r="AD118" s="20">
        <f>ROUND(IF(OR($A118&lt;VLOOKUP(AD$2,行为概览!$D$3:$U$33,3,0),$A118&gt;VLOOKUP(AD$2,行为概览!$D$3:$U$33,4,0)),0,VLOOKUP(AD$2,行为概览!$D$3:$U$33,6,0)),4)</f>
        <v>0</v>
      </c>
      <c r="AE118" s="20">
        <f>ROUND(IF(OR($A118&lt;VLOOKUP(AE$2,行为概览!$D$3:$U$33,3,0),$A118&gt;VLOOKUP(AE$2,行为概览!$D$3:$U$33,4,0)),0,VLOOKUP(AE$2,行为概览!$D$3:$U$33,6,0)),4)</f>
        <v>8.3299999999999999E-2</v>
      </c>
      <c r="AF118" s="20">
        <f>ROUND(IF(OR($A118&lt;VLOOKUP(AF$2,行为概览!$D$3:$U$33,3,0),$A118&gt;VLOOKUP(AF$2,行为概览!$D$3:$U$33,4,0)),0,VLOOKUP(AF$2,行为概览!$D$3:$U$33,6,0)),4)</f>
        <v>0</v>
      </c>
    </row>
    <row r="119" spans="1:32">
      <c r="A119" s="19">
        <v>117</v>
      </c>
      <c r="B119" s="20">
        <f>ROUND(IF(OR($A119&lt;VLOOKUP(B$2,行为概览!$D$3:$U$33,3,0),$A119&gt;VLOOKUP(B$2,行为概览!$D$3:$U$33,4,0)),0,VLOOKUP(B$2,行为概览!$D$3:$U$33,6,0)),4)</f>
        <v>0.33329999999999999</v>
      </c>
      <c r="C119" s="20">
        <f>ROUND(IF(OR($A119&lt;VLOOKUP(C$2,行为概览!$D$3:$U$33,3,0),$A119&gt;VLOOKUP(C$2,行为概览!$D$3:$U$33,4,0)),0,VLOOKUP(C$2,行为概览!$D$3:$U$33,6,0)),4)</f>
        <v>2</v>
      </c>
      <c r="D119" s="20">
        <f>ROUND(IF(OR($A119&lt;VLOOKUP(D$2,行为概览!$D$3:$U$33,3,0),$A119&gt;VLOOKUP(D$2,行为概览!$D$3:$U$33,4,0)),0,VLOOKUP(D$2,行为概览!$D$3:$U$33,6,0)),4)</f>
        <v>8.3299999999999999E-2</v>
      </c>
      <c r="E119" s="20">
        <f>ROUND(IF(OR($A119&lt;VLOOKUP(E$2,行为概览!$D$3:$U$33,3,0),$A119&gt;VLOOKUP(E$2,行为概览!$D$3:$U$33,4,0)),0,VLOOKUP(E$2,行为概览!$D$3:$U$33,6,0)),4)</f>
        <v>1</v>
      </c>
      <c r="F119" s="20">
        <f>ROUND(IF(OR($A119&lt;VLOOKUP(F$2,行为概览!$D$3:$U$33,3,0),$A119&gt;VLOOKUP(F$2,行为概览!$D$3:$U$33,4,0)),0,VLOOKUP(F$2,行为概览!$D$3:$U$33,6,0)),4)</f>
        <v>0.33329999999999999</v>
      </c>
      <c r="G119" s="20">
        <f>ROUND(IF(OR($A119&lt;VLOOKUP(G$2,行为概览!$D$3:$U$33,3,0),$A119&gt;VLOOKUP(G$2,行为概览!$D$3:$U$33,4,0)),0,VLOOKUP(G$2,行为概览!$D$3:$U$33,6,0)),4)</f>
        <v>0</v>
      </c>
      <c r="H119" s="20">
        <f>ROUND(IF(OR($A119&lt;VLOOKUP(H$2,行为概览!$D$3:$U$33,3,0),$A119&gt;VLOOKUP(H$2,行为概览!$D$3:$U$33,4,0)),0,VLOOKUP(H$2,行为概览!$D$3:$U$33,6,0)),4)</f>
        <v>0</v>
      </c>
      <c r="I119" s="20">
        <f>ROUND(IF(OR($A119&lt;VLOOKUP(I$2,行为概览!$D$3:$U$33,3,0),$A119&gt;VLOOKUP(I$2,行为概览!$D$3:$U$33,4,0)),0,VLOOKUP(I$2,行为概览!$D$3:$U$33,6,0)),4)</f>
        <v>0</v>
      </c>
      <c r="J119" s="20">
        <f>ROUND(IF(OR($A119&lt;VLOOKUP(J$2,行为概览!$D$3:$U$33,3,0),$A119&gt;VLOOKUP(J$2,行为概览!$D$3:$U$33,4,0)),0,VLOOKUP(J$2,行为概览!$D$3:$U$33,6,0)),4)</f>
        <v>0.5</v>
      </c>
      <c r="K119" s="20">
        <f>ROUND(IF(OR($A119&lt;VLOOKUP(K$2,行为概览!$D$3:$U$33,3,0),$A119&gt;VLOOKUP(K$2,行为概览!$D$3:$U$33,4,0)),0,VLOOKUP(K$2,行为概览!$D$3:$U$33,6,0)),4)</f>
        <v>0.16669999999999999</v>
      </c>
      <c r="L119" s="20">
        <f>ROUND(IF(OR($A119&lt;VLOOKUP(L$2,行为概览!$D$3:$U$33,3,0),$A119&gt;VLOOKUP(L$2,行为概览!$D$3:$U$33,4,0)),0,VLOOKUP(L$2,行为概览!$D$3:$U$33,6,0)),4)</f>
        <v>0.5</v>
      </c>
      <c r="M119" s="20">
        <f>ROUND(IF(OR($A119&lt;VLOOKUP(M$2,行为概览!$D$3:$U$33,3,0),$A119&gt;VLOOKUP(M$2,行为概览!$D$3:$U$33,4,0)),0,VLOOKUP(M$2,行为概览!$D$3:$U$33,6,0)),4)</f>
        <v>12</v>
      </c>
      <c r="N119" s="20">
        <f>ROUND(IF(OR($A119&lt;VLOOKUP(N$2,行为概览!$D$3:$U$33,3,0),$A119&gt;VLOOKUP(N$2,行为概览!$D$3:$U$33,4,0)),0,VLOOKUP(N$2,行为概览!$D$3:$U$33,6,0)),4)</f>
        <v>8.3299999999999999E-2</v>
      </c>
      <c r="O119" s="20">
        <f>ROUND(IF(OR($A119&lt;VLOOKUP(O$2,行为概览!$D$3:$U$33,3,0),$A119&gt;VLOOKUP(O$2,行为概览!$D$3:$U$33,4,0)),0,VLOOKUP(O$2,行为概览!$D$3:$U$33,6,0)),4)</f>
        <v>8.3299999999999999E-2</v>
      </c>
      <c r="P119" s="20">
        <f>ROUND(IF(OR($A119&lt;VLOOKUP(P$2,行为概览!$D$3:$U$33,3,0),$A119&gt;VLOOKUP(P$2,行为概览!$D$3:$U$33,4,0)),0,VLOOKUP(P$2,行为概览!$D$3:$U$33,6,0)),4)</f>
        <v>2.6</v>
      </c>
      <c r="Q119" s="20">
        <f>ROUND(IF(OR($A119&lt;VLOOKUP(Q$2,行为概览!$D$3:$U$33,3,0),$A119&gt;VLOOKUP(Q$2,行为概览!$D$3:$U$33,4,0)),0,VLOOKUP(Q$2,行为概览!$D$3:$U$33,6,0)),4)</f>
        <v>1</v>
      </c>
      <c r="R119" s="20">
        <f>ROUND(IF(OR($A119&lt;VLOOKUP(R$2,行为概览!$D$3:$U$33,3,0),$A119&gt;VLOOKUP(R$2,行为概览!$D$3:$U$33,4,0)),0,VLOOKUP(R$2,行为概览!$D$3:$U$33,6,0)),4)</f>
        <v>0.33329999999999999</v>
      </c>
      <c r="S119" s="20">
        <f>ROUND(IF(OR($A119&lt;VLOOKUP(S$2,行为概览!$D$3:$U$33,3,0),$A119&gt;VLOOKUP(S$2,行为概览!$D$3:$U$33,4,0)),0,VLOOKUP(S$2,行为概览!$D$3:$U$33,6,0)),4)</f>
        <v>0</v>
      </c>
      <c r="T119" s="20">
        <f>ROUND(IF(OR($A119&lt;VLOOKUP(T$2,行为概览!$D$3:$U$33,3,0),$A119&gt;VLOOKUP(T$2,行为概览!$D$3:$U$33,4,0)),0,VLOOKUP(T$2,行为概览!$D$3:$U$33,6,0)),4)</f>
        <v>0.33329999999999999</v>
      </c>
      <c r="U119" s="20">
        <f>ROUND(IF(OR($A119&lt;VLOOKUP(U$2,行为概览!$D$3:$U$33,3,0),$A119&gt;VLOOKUP(U$2,行为概览!$D$3:$U$33,4,0)),0,VLOOKUP(U$2,行为概览!$D$3:$U$33,6,0)),4)</f>
        <v>0.16669999999999999</v>
      </c>
      <c r="V119" s="20">
        <f>ROUND(IF(OR($A119&lt;VLOOKUP(V$2,行为概览!$D$3:$U$33,3,0),$A119&gt;VLOOKUP(V$2,行为概览!$D$3:$U$33,4,0)),0,VLOOKUP(V$2,行为概览!$D$3:$U$33,6,0)),4)</f>
        <v>0.16669999999999999</v>
      </c>
      <c r="W119" s="20">
        <f>ROUND(IF(OR($A119&lt;VLOOKUP(W$2,行为概览!$D$3:$U$33,3,0),$A119&gt;VLOOKUP(W$2,行为概览!$D$3:$U$33,4,0)),0,VLOOKUP(W$2,行为概览!$D$3:$U$33,6,0)),4)</f>
        <v>0.16669999999999999</v>
      </c>
      <c r="X119" s="20">
        <f>ROUND(IF(OR($A119&lt;VLOOKUP(X$2,行为概览!$D$3:$U$33,3,0),$A119&gt;VLOOKUP(X$2,行为概览!$D$3:$U$33,4,0)),0,VLOOKUP(X$2,行为概览!$D$3:$U$33,6,0)),4)</f>
        <v>0.25</v>
      </c>
      <c r="Y119" s="20">
        <f>ROUND(IF(OR($A119&lt;VLOOKUP(Y$2,行为概览!$D$3:$U$33,3,0),$A119&gt;VLOOKUP(Y$2,行为概览!$D$3:$U$33,4,0)),0,VLOOKUP(Y$2,行为概览!$D$3:$U$33,6,0)),4)</f>
        <v>0.58330000000000004</v>
      </c>
      <c r="Z119" s="20">
        <f>ROUND(IF(OR($A119&lt;VLOOKUP(Z$2,行为概览!$D$3:$U$33,3,0),$A119&gt;VLOOKUP(Z$2,行为概览!$D$3:$U$33,4,0)),0,VLOOKUP(Z$2,行为概览!$D$3:$U$33,6,0)),4)</f>
        <v>0.16669999999999999</v>
      </c>
      <c r="AA119" s="20">
        <f>ROUND(IF(OR($A119&lt;VLOOKUP(AA$2,行为概览!$D$3:$U$33,3,0),$A119&gt;VLOOKUP(AA$2,行为概览!$D$3:$U$33,4,0)),0,VLOOKUP(AA$2,行为概览!$D$3:$U$33,6,0)),4)</f>
        <v>0</v>
      </c>
      <c r="AB119" s="20">
        <f>ROUND(IF(OR($A119&lt;VLOOKUP(AB$2,行为概览!$D$3:$U$33,3,0),$A119&gt;VLOOKUP(AB$2,行为概览!$D$3:$U$33,4,0)),0,VLOOKUP(AB$2,行为概览!$D$3:$U$33,6,0)),4)</f>
        <v>0</v>
      </c>
      <c r="AC119" s="20">
        <f>ROUND(IF(OR($A119&lt;VLOOKUP(AC$2,行为概览!$D$3:$U$33,3,0),$A119&gt;VLOOKUP(AC$2,行为概览!$D$3:$U$33,4,0)),0,VLOOKUP(AC$2,行为概览!$D$3:$U$33,6,0)),4)</f>
        <v>0</v>
      </c>
      <c r="AD119" s="20">
        <f>ROUND(IF(OR($A119&lt;VLOOKUP(AD$2,行为概览!$D$3:$U$33,3,0),$A119&gt;VLOOKUP(AD$2,行为概览!$D$3:$U$33,4,0)),0,VLOOKUP(AD$2,行为概览!$D$3:$U$33,6,0)),4)</f>
        <v>0</v>
      </c>
      <c r="AE119" s="20">
        <f>ROUND(IF(OR($A119&lt;VLOOKUP(AE$2,行为概览!$D$3:$U$33,3,0),$A119&gt;VLOOKUP(AE$2,行为概览!$D$3:$U$33,4,0)),0,VLOOKUP(AE$2,行为概览!$D$3:$U$33,6,0)),4)</f>
        <v>8.3299999999999999E-2</v>
      </c>
      <c r="AF119" s="20">
        <f>ROUND(IF(OR($A119&lt;VLOOKUP(AF$2,行为概览!$D$3:$U$33,3,0),$A119&gt;VLOOKUP(AF$2,行为概览!$D$3:$U$33,4,0)),0,VLOOKUP(AF$2,行为概览!$D$3:$U$33,6,0)),4)</f>
        <v>0</v>
      </c>
    </row>
    <row r="120" spans="1:32">
      <c r="A120" s="19">
        <v>118</v>
      </c>
      <c r="B120" s="20">
        <f>ROUND(IF(OR($A120&lt;VLOOKUP(B$2,行为概览!$D$3:$U$33,3,0),$A120&gt;VLOOKUP(B$2,行为概览!$D$3:$U$33,4,0)),0,VLOOKUP(B$2,行为概览!$D$3:$U$33,6,0)),4)</f>
        <v>0.33329999999999999</v>
      </c>
      <c r="C120" s="20">
        <f>ROUND(IF(OR($A120&lt;VLOOKUP(C$2,行为概览!$D$3:$U$33,3,0),$A120&gt;VLOOKUP(C$2,行为概览!$D$3:$U$33,4,0)),0,VLOOKUP(C$2,行为概览!$D$3:$U$33,6,0)),4)</f>
        <v>2</v>
      </c>
      <c r="D120" s="20">
        <f>ROUND(IF(OR($A120&lt;VLOOKUP(D$2,行为概览!$D$3:$U$33,3,0),$A120&gt;VLOOKUP(D$2,行为概览!$D$3:$U$33,4,0)),0,VLOOKUP(D$2,行为概览!$D$3:$U$33,6,0)),4)</f>
        <v>8.3299999999999999E-2</v>
      </c>
      <c r="E120" s="20">
        <f>ROUND(IF(OR($A120&lt;VLOOKUP(E$2,行为概览!$D$3:$U$33,3,0),$A120&gt;VLOOKUP(E$2,行为概览!$D$3:$U$33,4,0)),0,VLOOKUP(E$2,行为概览!$D$3:$U$33,6,0)),4)</f>
        <v>1</v>
      </c>
      <c r="F120" s="20">
        <f>ROUND(IF(OR($A120&lt;VLOOKUP(F$2,行为概览!$D$3:$U$33,3,0),$A120&gt;VLOOKUP(F$2,行为概览!$D$3:$U$33,4,0)),0,VLOOKUP(F$2,行为概览!$D$3:$U$33,6,0)),4)</f>
        <v>0.33329999999999999</v>
      </c>
      <c r="G120" s="20">
        <f>ROUND(IF(OR($A120&lt;VLOOKUP(G$2,行为概览!$D$3:$U$33,3,0),$A120&gt;VLOOKUP(G$2,行为概览!$D$3:$U$33,4,0)),0,VLOOKUP(G$2,行为概览!$D$3:$U$33,6,0)),4)</f>
        <v>0</v>
      </c>
      <c r="H120" s="20">
        <f>ROUND(IF(OR($A120&lt;VLOOKUP(H$2,行为概览!$D$3:$U$33,3,0),$A120&gt;VLOOKUP(H$2,行为概览!$D$3:$U$33,4,0)),0,VLOOKUP(H$2,行为概览!$D$3:$U$33,6,0)),4)</f>
        <v>0</v>
      </c>
      <c r="I120" s="20">
        <f>ROUND(IF(OR($A120&lt;VLOOKUP(I$2,行为概览!$D$3:$U$33,3,0),$A120&gt;VLOOKUP(I$2,行为概览!$D$3:$U$33,4,0)),0,VLOOKUP(I$2,行为概览!$D$3:$U$33,6,0)),4)</f>
        <v>0</v>
      </c>
      <c r="J120" s="20">
        <f>ROUND(IF(OR($A120&lt;VLOOKUP(J$2,行为概览!$D$3:$U$33,3,0),$A120&gt;VLOOKUP(J$2,行为概览!$D$3:$U$33,4,0)),0,VLOOKUP(J$2,行为概览!$D$3:$U$33,6,0)),4)</f>
        <v>0.5</v>
      </c>
      <c r="K120" s="20">
        <f>ROUND(IF(OR($A120&lt;VLOOKUP(K$2,行为概览!$D$3:$U$33,3,0),$A120&gt;VLOOKUP(K$2,行为概览!$D$3:$U$33,4,0)),0,VLOOKUP(K$2,行为概览!$D$3:$U$33,6,0)),4)</f>
        <v>0.16669999999999999</v>
      </c>
      <c r="L120" s="20">
        <f>ROUND(IF(OR($A120&lt;VLOOKUP(L$2,行为概览!$D$3:$U$33,3,0),$A120&gt;VLOOKUP(L$2,行为概览!$D$3:$U$33,4,0)),0,VLOOKUP(L$2,行为概览!$D$3:$U$33,6,0)),4)</f>
        <v>0.5</v>
      </c>
      <c r="M120" s="20">
        <f>ROUND(IF(OR($A120&lt;VLOOKUP(M$2,行为概览!$D$3:$U$33,3,0),$A120&gt;VLOOKUP(M$2,行为概览!$D$3:$U$33,4,0)),0,VLOOKUP(M$2,行为概览!$D$3:$U$33,6,0)),4)</f>
        <v>12</v>
      </c>
      <c r="N120" s="20">
        <f>ROUND(IF(OR($A120&lt;VLOOKUP(N$2,行为概览!$D$3:$U$33,3,0),$A120&gt;VLOOKUP(N$2,行为概览!$D$3:$U$33,4,0)),0,VLOOKUP(N$2,行为概览!$D$3:$U$33,6,0)),4)</f>
        <v>8.3299999999999999E-2</v>
      </c>
      <c r="O120" s="20">
        <f>ROUND(IF(OR($A120&lt;VLOOKUP(O$2,行为概览!$D$3:$U$33,3,0),$A120&gt;VLOOKUP(O$2,行为概览!$D$3:$U$33,4,0)),0,VLOOKUP(O$2,行为概览!$D$3:$U$33,6,0)),4)</f>
        <v>8.3299999999999999E-2</v>
      </c>
      <c r="P120" s="20">
        <f>ROUND(IF(OR($A120&lt;VLOOKUP(P$2,行为概览!$D$3:$U$33,3,0),$A120&gt;VLOOKUP(P$2,行为概览!$D$3:$U$33,4,0)),0,VLOOKUP(P$2,行为概览!$D$3:$U$33,6,0)),4)</f>
        <v>2.6</v>
      </c>
      <c r="Q120" s="20">
        <f>ROUND(IF(OR($A120&lt;VLOOKUP(Q$2,行为概览!$D$3:$U$33,3,0),$A120&gt;VLOOKUP(Q$2,行为概览!$D$3:$U$33,4,0)),0,VLOOKUP(Q$2,行为概览!$D$3:$U$33,6,0)),4)</f>
        <v>1</v>
      </c>
      <c r="R120" s="20">
        <f>ROUND(IF(OR($A120&lt;VLOOKUP(R$2,行为概览!$D$3:$U$33,3,0),$A120&gt;VLOOKUP(R$2,行为概览!$D$3:$U$33,4,0)),0,VLOOKUP(R$2,行为概览!$D$3:$U$33,6,0)),4)</f>
        <v>0.33329999999999999</v>
      </c>
      <c r="S120" s="20">
        <f>ROUND(IF(OR($A120&lt;VLOOKUP(S$2,行为概览!$D$3:$U$33,3,0),$A120&gt;VLOOKUP(S$2,行为概览!$D$3:$U$33,4,0)),0,VLOOKUP(S$2,行为概览!$D$3:$U$33,6,0)),4)</f>
        <v>0</v>
      </c>
      <c r="T120" s="20">
        <f>ROUND(IF(OR($A120&lt;VLOOKUP(T$2,行为概览!$D$3:$U$33,3,0),$A120&gt;VLOOKUP(T$2,行为概览!$D$3:$U$33,4,0)),0,VLOOKUP(T$2,行为概览!$D$3:$U$33,6,0)),4)</f>
        <v>0.33329999999999999</v>
      </c>
      <c r="U120" s="20">
        <f>ROUND(IF(OR($A120&lt;VLOOKUP(U$2,行为概览!$D$3:$U$33,3,0),$A120&gt;VLOOKUP(U$2,行为概览!$D$3:$U$33,4,0)),0,VLOOKUP(U$2,行为概览!$D$3:$U$33,6,0)),4)</f>
        <v>0.16669999999999999</v>
      </c>
      <c r="V120" s="20">
        <f>ROUND(IF(OR($A120&lt;VLOOKUP(V$2,行为概览!$D$3:$U$33,3,0),$A120&gt;VLOOKUP(V$2,行为概览!$D$3:$U$33,4,0)),0,VLOOKUP(V$2,行为概览!$D$3:$U$33,6,0)),4)</f>
        <v>0.16669999999999999</v>
      </c>
      <c r="W120" s="20">
        <f>ROUND(IF(OR($A120&lt;VLOOKUP(W$2,行为概览!$D$3:$U$33,3,0),$A120&gt;VLOOKUP(W$2,行为概览!$D$3:$U$33,4,0)),0,VLOOKUP(W$2,行为概览!$D$3:$U$33,6,0)),4)</f>
        <v>0.16669999999999999</v>
      </c>
      <c r="X120" s="20">
        <f>ROUND(IF(OR($A120&lt;VLOOKUP(X$2,行为概览!$D$3:$U$33,3,0),$A120&gt;VLOOKUP(X$2,行为概览!$D$3:$U$33,4,0)),0,VLOOKUP(X$2,行为概览!$D$3:$U$33,6,0)),4)</f>
        <v>0.25</v>
      </c>
      <c r="Y120" s="20">
        <f>ROUND(IF(OR($A120&lt;VLOOKUP(Y$2,行为概览!$D$3:$U$33,3,0),$A120&gt;VLOOKUP(Y$2,行为概览!$D$3:$U$33,4,0)),0,VLOOKUP(Y$2,行为概览!$D$3:$U$33,6,0)),4)</f>
        <v>0.58330000000000004</v>
      </c>
      <c r="Z120" s="20">
        <f>ROUND(IF(OR($A120&lt;VLOOKUP(Z$2,行为概览!$D$3:$U$33,3,0),$A120&gt;VLOOKUP(Z$2,行为概览!$D$3:$U$33,4,0)),0,VLOOKUP(Z$2,行为概览!$D$3:$U$33,6,0)),4)</f>
        <v>0.16669999999999999</v>
      </c>
      <c r="AA120" s="20">
        <f>ROUND(IF(OR($A120&lt;VLOOKUP(AA$2,行为概览!$D$3:$U$33,3,0),$A120&gt;VLOOKUP(AA$2,行为概览!$D$3:$U$33,4,0)),0,VLOOKUP(AA$2,行为概览!$D$3:$U$33,6,0)),4)</f>
        <v>0</v>
      </c>
      <c r="AB120" s="20">
        <f>ROUND(IF(OR($A120&lt;VLOOKUP(AB$2,行为概览!$D$3:$U$33,3,0),$A120&gt;VLOOKUP(AB$2,行为概览!$D$3:$U$33,4,0)),0,VLOOKUP(AB$2,行为概览!$D$3:$U$33,6,0)),4)</f>
        <v>0</v>
      </c>
      <c r="AC120" s="20">
        <f>ROUND(IF(OR($A120&lt;VLOOKUP(AC$2,行为概览!$D$3:$U$33,3,0),$A120&gt;VLOOKUP(AC$2,行为概览!$D$3:$U$33,4,0)),0,VLOOKUP(AC$2,行为概览!$D$3:$U$33,6,0)),4)</f>
        <v>0</v>
      </c>
      <c r="AD120" s="20">
        <f>ROUND(IF(OR($A120&lt;VLOOKUP(AD$2,行为概览!$D$3:$U$33,3,0),$A120&gt;VLOOKUP(AD$2,行为概览!$D$3:$U$33,4,0)),0,VLOOKUP(AD$2,行为概览!$D$3:$U$33,6,0)),4)</f>
        <v>0</v>
      </c>
      <c r="AE120" s="20">
        <f>ROUND(IF(OR($A120&lt;VLOOKUP(AE$2,行为概览!$D$3:$U$33,3,0),$A120&gt;VLOOKUP(AE$2,行为概览!$D$3:$U$33,4,0)),0,VLOOKUP(AE$2,行为概览!$D$3:$U$33,6,0)),4)</f>
        <v>8.3299999999999999E-2</v>
      </c>
      <c r="AF120" s="20">
        <f>ROUND(IF(OR($A120&lt;VLOOKUP(AF$2,行为概览!$D$3:$U$33,3,0),$A120&gt;VLOOKUP(AF$2,行为概览!$D$3:$U$33,4,0)),0,VLOOKUP(AF$2,行为概览!$D$3:$U$33,6,0)),4)</f>
        <v>0</v>
      </c>
    </row>
    <row r="121" spans="1:32">
      <c r="A121" s="19">
        <v>119</v>
      </c>
      <c r="B121" s="20">
        <f>ROUND(IF(OR($A121&lt;VLOOKUP(B$2,行为概览!$D$3:$U$33,3,0),$A121&gt;VLOOKUP(B$2,行为概览!$D$3:$U$33,4,0)),0,VLOOKUP(B$2,行为概览!$D$3:$U$33,6,0)),4)</f>
        <v>0.33329999999999999</v>
      </c>
      <c r="C121" s="20">
        <f>ROUND(IF(OR($A121&lt;VLOOKUP(C$2,行为概览!$D$3:$U$33,3,0),$A121&gt;VLOOKUP(C$2,行为概览!$D$3:$U$33,4,0)),0,VLOOKUP(C$2,行为概览!$D$3:$U$33,6,0)),4)</f>
        <v>2</v>
      </c>
      <c r="D121" s="20">
        <f>ROUND(IF(OR($A121&lt;VLOOKUP(D$2,行为概览!$D$3:$U$33,3,0),$A121&gt;VLOOKUP(D$2,行为概览!$D$3:$U$33,4,0)),0,VLOOKUP(D$2,行为概览!$D$3:$U$33,6,0)),4)</f>
        <v>8.3299999999999999E-2</v>
      </c>
      <c r="E121" s="20">
        <f>ROUND(IF(OR($A121&lt;VLOOKUP(E$2,行为概览!$D$3:$U$33,3,0),$A121&gt;VLOOKUP(E$2,行为概览!$D$3:$U$33,4,0)),0,VLOOKUP(E$2,行为概览!$D$3:$U$33,6,0)),4)</f>
        <v>1</v>
      </c>
      <c r="F121" s="20">
        <f>ROUND(IF(OR($A121&lt;VLOOKUP(F$2,行为概览!$D$3:$U$33,3,0),$A121&gt;VLOOKUP(F$2,行为概览!$D$3:$U$33,4,0)),0,VLOOKUP(F$2,行为概览!$D$3:$U$33,6,0)),4)</f>
        <v>0.33329999999999999</v>
      </c>
      <c r="G121" s="20">
        <f>ROUND(IF(OR($A121&lt;VLOOKUP(G$2,行为概览!$D$3:$U$33,3,0),$A121&gt;VLOOKUP(G$2,行为概览!$D$3:$U$33,4,0)),0,VLOOKUP(G$2,行为概览!$D$3:$U$33,6,0)),4)</f>
        <v>0</v>
      </c>
      <c r="H121" s="20">
        <f>ROUND(IF(OR($A121&lt;VLOOKUP(H$2,行为概览!$D$3:$U$33,3,0),$A121&gt;VLOOKUP(H$2,行为概览!$D$3:$U$33,4,0)),0,VLOOKUP(H$2,行为概览!$D$3:$U$33,6,0)),4)</f>
        <v>0</v>
      </c>
      <c r="I121" s="20">
        <f>ROUND(IF(OR($A121&lt;VLOOKUP(I$2,行为概览!$D$3:$U$33,3,0),$A121&gt;VLOOKUP(I$2,行为概览!$D$3:$U$33,4,0)),0,VLOOKUP(I$2,行为概览!$D$3:$U$33,6,0)),4)</f>
        <v>0</v>
      </c>
      <c r="J121" s="20">
        <f>ROUND(IF(OR($A121&lt;VLOOKUP(J$2,行为概览!$D$3:$U$33,3,0),$A121&gt;VLOOKUP(J$2,行为概览!$D$3:$U$33,4,0)),0,VLOOKUP(J$2,行为概览!$D$3:$U$33,6,0)),4)</f>
        <v>0.5</v>
      </c>
      <c r="K121" s="20">
        <f>ROUND(IF(OR($A121&lt;VLOOKUP(K$2,行为概览!$D$3:$U$33,3,0),$A121&gt;VLOOKUP(K$2,行为概览!$D$3:$U$33,4,0)),0,VLOOKUP(K$2,行为概览!$D$3:$U$33,6,0)),4)</f>
        <v>0.16669999999999999</v>
      </c>
      <c r="L121" s="20">
        <f>ROUND(IF(OR($A121&lt;VLOOKUP(L$2,行为概览!$D$3:$U$33,3,0),$A121&gt;VLOOKUP(L$2,行为概览!$D$3:$U$33,4,0)),0,VLOOKUP(L$2,行为概览!$D$3:$U$33,6,0)),4)</f>
        <v>0.5</v>
      </c>
      <c r="M121" s="20">
        <f>ROUND(IF(OR($A121&lt;VLOOKUP(M$2,行为概览!$D$3:$U$33,3,0),$A121&gt;VLOOKUP(M$2,行为概览!$D$3:$U$33,4,0)),0,VLOOKUP(M$2,行为概览!$D$3:$U$33,6,0)),4)</f>
        <v>12</v>
      </c>
      <c r="N121" s="20">
        <f>ROUND(IF(OR($A121&lt;VLOOKUP(N$2,行为概览!$D$3:$U$33,3,0),$A121&gt;VLOOKUP(N$2,行为概览!$D$3:$U$33,4,0)),0,VLOOKUP(N$2,行为概览!$D$3:$U$33,6,0)),4)</f>
        <v>8.3299999999999999E-2</v>
      </c>
      <c r="O121" s="20">
        <f>ROUND(IF(OR($A121&lt;VLOOKUP(O$2,行为概览!$D$3:$U$33,3,0),$A121&gt;VLOOKUP(O$2,行为概览!$D$3:$U$33,4,0)),0,VLOOKUP(O$2,行为概览!$D$3:$U$33,6,0)),4)</f>
        <v>8.3299999999999999E-2</v>
      </c>
      <c r="P121" s="20">
        <f>ROUND(IF(OR($A121&lt;VLOOKUP(P$2,行为概览!$D$3:$U$33,3,0),$A121&gt;VLOOKUP(P$2,行为概览!$D$3:$U$33,4,0)),0,VLOOKUP(P$2,行为概览!$D$3:$U$33,6,0)),4)</f>
        <v>2.6</v>
      </c>
      <c r="Q121" s="20">
        <f>ROUND(IF(OR($A121&lt;VLOOKUP(Q$2,行为概览!$D$3:$U$33,3,0),$A121&gt;VLOOKUP(Q$2,行为概览!$D$3:$U$33,4,0)),0,VLOOKUP(Q$2,行为概览!$D$3:$U$33,6,0)),4)</f>
        <v>1</v>
      </c>
      <c r="R121" s="20">
        <f>ROUND(IF(OR($A121&lt;VLOOKUP(R$2,行为概览!$D$3:$U$33,3,0),$A121&gt;VLOOKUP(R$2,行为概览!$D$3:$U$33,4,0)),0,VLOOKUP(R$2,行为概览!$D$3:$U$33,6,0)),4)</f>
        <v>0.33329999999999999</v>
      </c>
      <c r="S121" s="20">
        <f>ROUND(IF(OR($A121&lt;VLOOKUP(S$2,行为概览!$D$3:$U$33,3,0),$A121&gt;VLOOKUP(S$2,行为概览!$D$3:$U$33,4,0)),0,VLOOKUP(S$2,行为概览!$D$3:$U$33,6,0)),4)</f>
        <v>0</v>
      </c>
      <c r="T121" s="20">
        <f>ROUND(IF(OR($A121&lt;VLOOKUP(T$2,行为概览!$D$3:$U$33,3,0),$A121&gt;VLOOKUP(T$2,行为概览!$D$3:$U$33,4,0)),0,VLOOKUP(T$2,行为概览!$D$3:$U$33,6,0)),4)</f>
        <v>0.33329999999999999</v>
      </c>
      <c r="U121" s="20">
        <f>ROUND(IF(OR($A121&lt;VLOOKUP(U$2,行为概览!$D$3:$U$33,3,0),$A121&gt;VLOOKUP(U$2,行为概览!$D$3:$U$33,4,0)),0,VLOOKUP(U$2,行为概览!$D$3:$U$33,6,0)),4)</f>
        <v>0.16669999999999999</v>
      </c>
      <c r="V121" s="20">
        <f>ROUND(IF(OR($A121&lt;VLOOKUP(V$2,行为概览!$D$3:$U$33,3,0),$A121&gt;VLOOKUP(V$2,行为概览!$D$3:$U$33,4,0)),0,VLOOKUP(V$2,行为概览!$D$3:$U$33,6,0)),4)</f>
        <v>0.16669999999999999</v>
      </c>
      <c r="W121" s="20">
        <f>ROUND(IF(OR($A121&lt;VLOOKUP(W$2,行为概览!$D$3:$U$33,3,0),$A121&gt;VLOOKUP(W$2,行为概览!$D$3:$U$33,4,0)),0,VLOOKUP(W$2,行为概览!$D$3:$U$33,6,0)),4)</f>
        <v>0.16669999999999999</v>
      </c>
      <c r="X121" s="20">
        <f>ROUND(IF(OR($A121&lt;VLOOKUP(X$2,行为概览!$D$3:$U$33,3,0),$A121&gt;VLOOKUP(X$2,行为概览!$D$3:$U$33,4,0)),0,VLOOKUP(X$2,行为概览!$D$3:$U$33,6,0)),4)</f>
        <v>0.25</v>
      </c>
      <c r="Y121" s="20">
        <f>ROUND(IF(OR($A121&lt;VLOOKUP(Y$2,行为概览!$D$3:$U$33,3,0),$A121&gt;VLOOKUP(Y$2,行为概览!$D$3:$U$33,4,0)),0,VLOOKUP(Y$2,行为概览!$D$3:$U$33,6,0)),4)</f>
        <v>0.58330000000000004</v>
      </c>
      <c r="Z121" s="20">
        <f>ROUND(IF(OR($A121&lt;VLOOKUP(Z$2,行为概览!$D$3:$U$33,3,0),$A121&gt;VLOOKUP(Z$2,行为概览!$D$3:$U$33,4,0)),0,VLOOKUP(Z$2,行为概览!$D$3:$U$33,6,0)),4)</f>
        <v>0.16669999999999999</v>
      </c>
      <c r="AA121" s="20">
        <f>ROUND(IF(OR($A121&lt;VLOOKUP(AA$2,行为概览!$D$3:$U$33,3,0),$A121&gt;VLOOKUP(AA$2,行为概览!$D$3:$U$33,4,0)),0,VLOOKUP(AA$2,行为概览!$D$3:$U$33,6,0)),4)</f>
        <v>0</v>
      </c>
      <c r="AB121" s="20">
        <f>ROUND(IF(OR($A121&lt;VLOOKUP(AB$2,行为概览!$D$3:$U$33,3,0),$A121&gt;VLOOKUP(AB$2,行为概览!$D$3:$U$33,4,0)),0,VLOOKUP(AB$2,行为概览!$D$3:$U$33,6,0)),4)</f>
        <v>0</v>
      </c>
      <c r="AC121" s="20">
        <f>ROUND(IF(OR($A121&lt;VLOOKUP(AC$2,行为概览!$D$3:$U$33,3,0),$A121&gt;VLOOKUP(AC$2,行为概览!$D$3:$U$33,4,0)),0,VLOOKUP(AC$2,行为概览!$D$3:$U$33,6,0)),4)</f>
        <v>0</v>
      </c>
      <c r="AD121" s="20">
        <f>ROUND(IF(OR($A121&lt;VLOOKUP(AD$2,行为概览!$D$3:$U$33,3,0),$A121&gt;VLOOKUP(AD$2,行为概览!$D$3:$U$33,4,0)),0,VLOOKUP(AD$2,行为概览!$D$3:$U$33,6,0)),4)</f>
        <v>0</v>
      </c>
      <c r="AE121" s="20">
        <f>ROUND(IF(OR($A121&lt;VLOOKUP(AE$2,行为概览!$D$3:$U$33,3,0),$A121&gt;VLOOKUP(AE$2,行为概览!$D$3:$U$33,4,0)),0,VLOOKUP(AE$2,行为概览!$D$3:$U$33,6,0)),4)</f>
        <v>8.3299999999999999E-2</v>
      </c>
      <c r="AF121" s="20">
        <f>ROUND(IF(OR($A121&lt;VLOOKUP(AF$2,行为概览!$D$3:$U$33,3,0),$A121&gt;VLOOKUP(AF$2,行为概览!$D$3:$U$33,4,0)),0,VLOOKUP(AF$2,行为概览!$D$3:$U$33,6,0)),4)</f>
        <v>0</v>
      </c>
    </row>
    <row r="122" spans="1:32">
      <c r="A122" s="19">
        <v>120</v>
      </c>
      <c r="B122" s="20">
        <f>ROUND(IF(OR($A122&lt;VLOOKUP(B$2,行为概览!$D$3:$U$33,3,0),$A122&gt;VLOOKUP(B$2,行为概览!$D$3:$U$33,4,0)),0,VLOOKUP(B$2,行为概览!$D$3:$U$33,6,0)),4)</f>
        <v>0.33329999999999999</v>
      </c>
      <c r="C122" s="20">
        <f>ROUND(IF(OR($A122&lt;VLOOKUP(C$2,行为概览!$D$3:$U$33,3,0),$A122&gt;VLOOKUP(C$2,行为概览!$D$3:$U$33,4,0)),0,VLOOKUP(C$2,行为概览!$D$3:$U$33,6,0)),4)</f>
        <v>2</v>
      </c>
      <c r="D122" s="20">
        <f>ROUND(IF(OR($A122&lt;VLOOKUP(D$2,行为概览!$D$3:$U$33,3,0),$A122&gt;VLOOKUP(D$2,行为概览!$D$3:$U$33,4,0)),0,VLOOKUP(D$2,行为概览!$D$3:$U$33,6,0)),4)</f>
        <v>8.3299999999999999E-2</v>
      </c>
      <c r="E122" s="20">
        <f>ROUND(IF(OR($A122&lt;VLOOKUP(E$2,行为概览!$D$3:$U$33,3,0),$A122&gt;VLOOKUP(E$2,行为概览!$D$3:$U$33,4,0)),0,VLOOKUP(E$2,行为概览!$D$3:$U$33,6,0)),4)</f>
        <v>1</v>
      </c>
      <c r="F122" s="20">
        <f>ROUND(IF(OR($A122&lt;VLOOKUP(F$2,行为概览!$D$3:$U$33,3,0),$A122&gt;VLOOKUP(F$2,行为概览!$D$3:$U$33,4,0)),0,VLOOKUP(F$2,行为概览!$D$3:$U$33,6,0)),4)</f>
        <v>0.33329999999999999</v>
      </c>
      <c r="G122" s="20">
        <f>ROUND(IF(OR($A122&lt;VLOOKUP(G$2,行为概览!$D$3:$U$33,3,0),$A122&gt;VLOOKUP(G$2,行为概览!$D$3:$U$33,4,0)),0,VLOOKUP(G$2,行为概览!$D$3:$U$33,6,0)),4)</f>
        <v>0</v>
      </c>
      <c r="H122" s="20">
        <f>ROUND(IF(OR($A122&lt;VLOOKUP(H$2,行为概览!$D$3:$U$33,3,0),$A122&gt;VLOOKUP(H$2,行为概览!$D$3:$U$33,4,0)),0,VLOOKUP(H$2,行为概览!$D$3:$U$33,6,0)),4)</f>
        <v>0</v>
      </c>
      <c r="I122" s="20">
        <f>ROUND(IF(OR($A122&lt;VLOOKUP(I$2,行为概览!$D$3:$U$33,3,0),$A122&gt;VLOOKUP(I$2,行为概览!$D$3:$U$33,4,0)),0,VLOOKUP(I$2,行为概览!$D$3:$U$33,6,0)),4)</f>
        <v>0</v>
      </c>
      <c r="J122" s="20">
        <f>ROUND(IF(OR($A122&lt;VLOOKUP(J$2,行为概览!$D$3:$U$33,3,0),$A122&gt;VLOOKUP(J$2,行为概览!$D$3:$U$33,4,0)),0,VLOOKUP(J$2,行为概览!$D$3:$U$33,6,0)),4)</f>
        <v>0.5</v>
      </c>
      <c r="K122" s="20">
        <f>ROUND(IF(OR($A122&lt;VLOOKUP(K$2,行为概览!$D$3:$U$33,3,0),$A122&gt;VLOOKUP(K$2,行为概览!$D$3:$U$33,4,0)),0,VLOOKUP(K$2,行为概览!$D$3:$U$33,6,0)),4)</f>
        <v>0.16669999999999999</v>
      </c>
      <c r="L122" s="20">
        <f>ROUND(IF(OR($A122&lt;VLOOKUP(L$2,行为概览!$D$3:$U$33,3,0),$A122&gt;VLOOKUP(L$2,行为概览!$D$3:$U$33,4,0)),0,VLOOKUP(L$2,行为概览!$D$3:$U$33,6,0)),4)</f>
        <v>0.5</v>
      </c>
      <c r="M122" s="20">
        <f>ROUND(IF(OR($A122&lt;VLOOKUP(M$2,行为概览!$D$3:$U$33,3,0),$A122&gt;VLOOKUP(M$2,行为概览!$D$3:$U$33,4,0)),0,VLOOKUP(M$2,行为概览!$D$3:$U$33,6,0)),4)</f>
        <v>12</v>
      </c>
      <c r="N122" s="20">
        <f>ROUND(IF(OR($A122&lt;VLOOKUP(N$2,行为概览!$D$3:$U$33,3,0),$A122&gt;VLOOKUP(N$2,行为概览!$D$3:$U$33,4,0)),0,VLOOKUP(N$2,行为概览!$D$3:$U$33,6,0)),4)</f>
        <v>8.3299999999999999E-2</v>
      </c>
      <c r="O122" s="20">
        <f>ROUND(IF(OR($A122&lt;VLOOKUP(O$2,行为概览!$D$3:$U$33,3,0),$A122&gt;VLOOKUP(O$2,行为概览!$D$3:$U$33,4,0)),0,VLOOKUP(O$2,行为概览!$D$3:$U$33,6,0)),4)</f>
        <v>8.3299999999999999E-2</v>
      </c>
      <c r="P122" s="20">
        <f>ROUND(IF(OR($A122&lt;VLOOKUP(P$2,行为概览!$D$3:$U$33,3,0),$A122&gt;VLOOKUP(P$2,行为概览!$D$3:$U$33,4,0)),0,VLOOKUP(P$2,行为概览!$D$3:$U$33,6,0)),4)</f>
        <v>2.6</v>
      </c>
      <c r="Q122" s="20">
        <f>ROUND(IF(OR($A122&lt;VLOOKUP(Q$2,行为概览!$D$3:$U$33,3,0),$A122&gt;VLOOKUP(Q$2,行为概览!$D$3:$U$33,4,0)),0,VLOOKUP(Q$2,行为概览!$D$3:$U$33,6,0)),4)</f>
        <v>1</v>
      </c>
      <c r="R122" s="20">
        <f>ROUND(IF(OR($A122&lt;VLOOKUP(R$2,行为概览!$D$3:$U$33,3,0),$A122&gt;VLOOKUP(R$2,行为概览!$D$3:$U$33,4,0)),0,VLOOKUP(R$2,行为概览!$D$3:$U$33,6,0)),4)</f>
        <v>0.33329999999999999</v>
      </c>
      <c r="S122" s="20">
        <f>ROUND(IF(OR($A122&lt;VLOOKUP(S$2,行为概览!$D$3:$U$33,3,0),$A122&gt;VLOOKUP(S$2,行为概览!$D$3:$U$33,4,0)),0,VLOOKUP(S$2,行为概览!$D$3:$U$33,6,0)),4)</f>
        <v>0</v>
      </c>
      <c r="T122" s="20">
        <f>ROUND(IF(OR($A122&lt;VLOOKUP(T$2,行为概览!$D$3:$U$33,3,0),$A122&gt;VLOOKUP(T$2,行为概览!$D$3:$U$33,4,0)),0,VLOOKUP(T$2,行为概览!$D$3:$U$33,6,0)),4)</f>
        <v>0.33329999999999999</v>
      </c>
      <c r="U122" s="20">
        <f>ROUND(IF(OR($A122&lt;VLOOKUP(U$2,行为概览!$D$3:$U$33,3,0),$A122&gt;VLOOKUP(U$2,行为概览!$D$3:$U$33,4,0)),0,VLOOKUP(U$2,行为概览!$D$3:$U$33,6,0)),4)</f>
        <v>0.16669999999999999</v>
      </c>
      <c r="V122" s="20">
        <f>ROUND(IF(OR($A122&lt;VLOOKUP(V$2,行为概览!$D$3:$U$33,3,0),$A122&gt;VLOOKUP(V$2,行为概览!$D$3:$U$33,4,0)),0,VLOOKUP(V$2,行为概览!$D$3:$U$33,6,0)),4)</f>
        <v>0.16669999999999999</v>
      </c>
      <c r="W122" s="20">
        <f>ROUND(IF(OR($A122&lt;VLOOKUP(W$2,行为概览!$D$3:$U$33,3,0),$A122&gt;VLOOKUP(W$2,行为概览!$D$3:$U$33,4,0)),0,VLOOKUP(W$2,行为概览!$D$3:$U$33,6,0)),4)</f>
        <v>0.16669999999999999</v>
      </c>
      <c r="X122" s="20">
        <f>ROUND(IF(OR($A122&lt;VLOOKUP(X$2,行为概览!$D$3:$U$33,3,0),$A122&gt;VLOOKUP(X$2,行为概览!$D$3:$U$33,4,0)),0,VLOOKUP(X$2,行为概览!$D$3:$U$33,6,0)),4)</f>
        <v>0.25</v>
      </c>
      <c r="Y122" s="20">
        <f>ROUND(IF(OR($A122&lt;VLOOKUP(Y$2,行为概览!$D$3:$U$33,3,0),$A122&gt;VLOOKUP(Y$2,行为概览!$D$3:$U$33,4,0)),0,VLOOKUP(Y$2,行为概览!$D$3:$U$33,6,0)),4)</f>
        <v>0.58330000000000004</v>
      </c>
      <c r="Z122" s="20">
        <f>ROUND(IF(OR($A122&lt;VLOOKUP(Z$2,行为概览!$D$3:$U$33,3,0),$A122&gt;VLOOKUP(Z$2,行为概览!$D$3:$U$33,4,0)),0,VLOOKUP(Z$2,行为概览!$D$3:$U$33,6,0)),4)</f>
        <v>0.16669999999999999</v>
      </c>
      <c r="AA122" s="20">
        <f>ROUND(IF(OR($A122&lt;VLOOKUP(AA$2,行为概览!$D$3:$U$33,3,0),$A122&gt;VLOOKUP(AA$2,行为概览!$D$3:$U$33,4,0)),0,VLOOKUP(AA$2,行为概览!$D$3:$U$33,6,0)),4)</f>
        <v>0</v>
      </c>
      <c r="AB122" s="20">
        <f>ROUND(IF(OR($A122&lt;VLOOKUP(AB$2,行为概览!$D$3:$U$33,3,0),$A122&gt;VLOOKUP(AB$2,行为概览!$D$3:$U$33,4,0)),0,VLOOKUP(AB$2,行为概览!$D$3:$U$33,6,0)),4)</f>
        <v>0</v>
      </c>
      <c r="AC122" s="20">
        <f>ROUND(IF(OR($A122&lt;VLOOKUP(AC$2,行为概览!$D$3:$U$33,3,0),$A122&gt;VLOOKUP(AC$2,行为概览!$D$3:$U$33,4,0)),0,VLOOKUP(AC$2,行为概览!$D$3:$U$33,6,0)),4)</f>
        <v>0</v>
      </c>
      <c r="AD122" s="20">
        <f>ROUND(IF(OR($A122&lt;VLOOKUP(AD$2,行为概览!$D$3:$U$33,3,0),$A122&gt;VLOOKUP(AD$2,行为概览!$D$3:$U$33,4,0)),0,VLOOKUP(AD$2,行为概览!$D$3:$U$33,6,0)),4)</f>
        <v>0</v>
      </c>
      <c r="AE122" s="20">
        <f>ROUND(IF(OR($A122&lt;VLOOKUP(AE$2,行为概览!$D$3:$U$33,3,0),$A122&gt;VLOOKUP(AE$2,行为概览!$D$3:$U$33,4,0)),0,VLOOKUP(AE$2,行为概览!$D$3:$U$33,6,0)),4)</f>
        <v>8.3299999999999999E-2</v>
      </c>
      <c r="AF122" s="20">
        <f>ROUND(IF(OR($A122&lt;VLOOKUP(AF$2,行为概览!$D$3:$U$33,3,0),$A122&gt;VLOOKUP(AF$2,行为概览!$D$3:$U$33,4,0)),0,VLOOKUP(AF$2,行为概览!$D$3:$U$33,6,0)),4)</f>
        <v>0</v>
      </c>
    </row>
    <row r="123" spans="1:32">
      <c r="A123" s="19">
        <v>121</v>
      </c>
      <c r="B123" s="20">
        <f>ROUND(IF(OR($A123&lt;VLOOKUP(B$2,行为概览!$D$3:$U$33,3,0),$A123&gt;VLOOKUP(B$2,行为概览!$D$3:$U$33,4,0)),0,VLOOKUP(B$2,行为概览!$D$3:$U$33,6,0)),4)</f>
        <v>0.33329999999999999</v>
      </c>
      <c r="C123" s="20">
        <f>ROUND(IF(OR($A123&lt;VLOOKUP(C$2,行为概览!$D$3:$U$33,3,0),$A123&gt;VLOOKUP(C$2,行为概览!$D$3:$U$33,4,0)),0,VLOOKUP(C$2,行为概览!$D$3:$U$33,6,0)),4)</f>
        <v>2</v>
      </c>
      <c r="D123" s="20">
        <f>ROUND(IF(OR($A123&lt;VLOOKUP(D$2,行为概览!$D$3:$U$33,3,0),$A123&gt;VLOOKUP(D$2,行为概览!$D$3:$U$33,4,0)),0,VLOOKUP(D$2,行为概览!$D$3:$U$33,6,0)),4)</f>
        <v>8.3299999999999999E-2</v>
      </c>
      <c r="E123" s="20">
        <f>ROUND(IF(OR($A123&lt;VLOOKUP(E$2,行为概览!$D$3:$U$33,3,0),$A123&gt;VLOOKUP(E$2,行为概览!$D$3:$U$33,4,0)),0,VLOOKUP(E$2,行为概览!$D$3:$U$33,6,0)),4)</f>
        <v>1</v>
      </c>
      <c r="F123" s="20">
        <f>ROUND(IF(OR($A123&lt;VLOOKUP(F$2,行为概览!$D$3:$U$33,3,0),$A123&gt;VLOOKUP(F$2,行为概览!$D$3:$U$33,4,0)),0,VLOOKUP(F$2,行为概览!$D$3:$U$33,6,0)),4)</f>
        <v>0.33329999999999999</v>
      </c>
      <c r="G123" s="20">
        <f>ROUND(IF(OR($A123&lt;VLOOKUP(G$2,行为概览!$D$3:$U$33,3,0),$A123&gt;VLOOKUP(G$2,行为概览!$D$3:$U$33,4,0)),0,VLOOKUP(G$2,行为概览!$D$3:$U$33,6,0)),4)</f>
        <v>0</v>
      </c>
      <c r="H123" s="20">
        <f>ROUND(IF(OR($A123&lt;VLOOKUP(H$2,行为概览!$D$3:$U$33,3,0),$A123&gt;VLOOKUP(H$2,行为概览!$D$3:$U$33,4,0)),0,VLOOKUP(H$2,行为概览!$D$3:$U$33,6,0)),4)</f>
        <v>0</v>
      </c>
      <c r="I123" s="20">
        <f>ROUND(IF(OR($A123&lt;VLOOKUP(I$2,行为概览!$D$3:$U$33,3,0),$A123&gt;VLOOKUP(I$2,行为概览!$D$3:$U$33,4,0)),0,VLOOKUP(I$2,行为概览!$D$3:$U$33,6,0)),4)</f>
        <v>0</v>
      </c>
      <c r="J123" s="20">
        <f>ROUND(IF(OR($A123&lt;VLOOKUP(J$2,行为概览!$D$3:$U$33,3,0),$A123&gt;VLOOKUP(J$2,行为概览!$D$3:$U$33,4,0)),0,VLOOKUP(J$2,行为概览!$D$3:$U$33,6,0)),4)</f>
        <v>0.5</v>
      </c>
      <c r="K123" s="20">
        <f>ROUND(IF(OR($A123&lt;VLOOKUP(K$2,行为概览!$D$3:$U$33,3,0),$A123&gt;VLOOKUP(K$2,行为概览!$D$3:$U$33,4,0)),0,VLOOKUP(K$2,行为概览!$D$3:$U$33,6,0)),4)</f>
        <v>0.16669999999999999</v>
      </c>
      <c r="L123" s="20">
        <f>ROUND(IF(OR($A123&lt;VLOOKUP(L$2,行为概览!$D$3:$U$33,3,0),$A123&gt;VLOOKUP(L$2,行为概览!$D$3:$U$33,4,0)),0,VLOOKUP(L$2,行为概览!$D$3:$U$33,6,0)),4)</f>
        <v>0.5</v>
      </c>
      <c r="M123" s="20">
        <f>ROUND(IF(OR($A123&lt;VLOOKUP(M$2,行为概览!$D$3:$U$33,3,0),$A123&gt;VLOOKUP(M$2,行为概览!$D$3:$U$33,4,0)),0,VLOOKUP(M$2,行为概览!$D$3:$U$33,6,0)),4)</f>
        <v>12</v>
      </c>
      <c r="N123" s="20">
        <f>ROUND(IF(OR($A123&lt;VLOOKUP(N$2,行为概览!$D$3:$U$33,3,0),$A123&gt;VLOOKUP(N$2,行为概览!$D$3:$U$33,4,0)),0,VLOOKUP(N$2,行为概览!$D$3:$U$33,6,0)),4)</f>
        <v>8.3299999999999999E-2</v>
      </c>
      <c r="O123" s="20">
        <f>ROUND(IF(OR($A123&lt;VLOOKUP(O$2,行为概览!$D$3:$U$33,3,0),$A123&gt;VLOOKUP(O$2,行为概览!$D$3:$U$33,4,0)),0,VLOOKUP(O$2,行为概览!$D$3:$U$33,6,0)),4)</f>
        <v>8.3299999999999999E-2</v>
      </c>
      <c r="P123" s="20">
        <f>ROUND(IF(OR($A123&lt;VLOOKUP(P$2,行为概览!$D$3:$U$33,3,0),$A123&gt;VLOOKUP(P$2,行为概览!$D$3:$U$33,4,0)),0,VLOOKUP(P$2,行为概览!$D$3:$U$33,6,0)),4)</f>
        <v>2.6</v>
      </c>
      <c r="Q123" s="20">
        <f>ROUND(IF(OR($A123&lt;VLOOKUP(Q$2,行为概览!$D$3:$U$33,3,0),$A123&gt;VLOOKUP(Q$2,行为概览!$D$3:$U$33,4,0)),0,VLOOKUP(Q$2,行为概览!$D$3:$U$33,6,0)),4)</f>
        <v>1</v>
      </c>
      <c r="R123" s="20">
        <f>ROUND(IF(OR($A123&lt;VLOOKUP(R$2,行为概览!$D$3:$U$33,3,0),$A123&gt;VLOOKUP(R$2,行为概览!$D$3:$U$33,4,0)),0,VLOOKUP(R$2,行为概览!$D$3:$U$33,6,0)),4)</f>
        <v>0.33329999999999999</v>
      </c>
      <c r="S123" s="20">
        <f>ROUND(IF(OR($A123&lt;VLOOKUP(S$2,行为概览!$D$3:$U$33,3,0),$A123&gt;VLOOKUP(S$2,行为概览!$D$3:$U$33,4,0)),0,VLOOKUP(S$2,行为概览!$D$3:$U$33,6,0)),4)</f>
        <v>0</v>
      </c>
      <c r="T123" s="20">
        <f>ROUND(IF(OR($A123&lt;VLOOKUP(T$2,行为概览!$D$3:$U$33,3,0),$A123&gt;VLOOKUP(T$2,行为概览!$D$3:$U$33,4,0)),0,VLOOKUP(T$2,行为概览!$D$3:$U$33,6,0)),4)</f>
        <v>0.33329999999999999</v>
      </c>
      <c r="U123" s="20">
        <f>ROUND(IF(OR($A123&lt;VLOOKUP(U$2,行为概览!$D$3:$U$33,3,0),$A123&gt;VLOOKUP(U$2,行为概览!$D$3:$U$33,4,0)),0,VLOOKUP(U$2,行为概览!$D$3:$U$33,6,0)),4)</f>
        <v>0.16669999999999999</v>
      </c>
      <c r="V123" s="20">
        <f>ROUND(IF(OR($A123&lt;VLOOKUP(V$2,行为概览!$D$3:$U$33,3,0),$A123&gt;VLOOKUP(V$2,行为概览!$D$3:$U$33,4,0)),0,VLOOKUP(V$2,行为概览!$D$3:$U$33,6,0)),4)</f>
        <v>0.16669999999999999</v>
      </c>
      <c r="W123" s="20">
        <f>ROUND(IF(OR($A123&lt;VLOOKUP(W$2,行为概览!$D$3:$U$33,3,0),$A123&gt;VLOOKUP(W$2,行为概览!$D$3:$U$33,4,0)),0,VLOOKUP(W$2,行为概览!$D$3:$U$33,6,0)),4)</f>
        <v>0.16669999999999999</v>
      </c>
      <c r="X123" s="20">
        <f>ROUND(IF(OR($A123&lt;VLOOKUP(X$2,行为概览!$D$3:$U$33,3,0),$A123&gt;VLOOKUP(X$2,行为概览!$D$3:$U$33,4,0)),0,VLOOKUP(X$2,行为概览!$D$3:$U$33,6,0)),4)</f>
        <v>0.25</v>
      </c>
      <c r="Y123" s="20">
        <f>ROUND(IF(OR($A123&lt;VLOOKUP(Y$2,行为概览!$D$3:$U$33,3,0),$A123&gt;VLOOKUP(Y$2,行为概览!$D$3:$U$33,4,0)),0,VLOOKUP(Y$2,行为概览!$D$3:$U$33,6,0)),4)</f>
        <v>0.58330000000000004</v>
      </c>
      <c r="Z123" s="20">
        <f>ROUND(IF(OR($A123&lt;VLOOKUP(Z$2,行为概览!$D$3:$U$33,3,0),$A123&gt;VLOOKUP(Z$2,行为概览!$D$3:$U$33,4,0)),0,VLOOKUP(Z$2,行为概览!$D$3:$U$33,6,0)),4)</f>
        <v>0.16669999999999999</v>
      </c>
      <c r="AA123" s="20">
        <f>ROUND(IF(OR($A123&lt;VLOOKUP(AA$2,行为概览!$D$3:$U$33,3,0),$A123&gt;VLOOKUP(AA$2,行为概览!$D$3:$U$33,4,0)),0,VLOOKUP(AA$2,行为概览!$D$3:$U$33,6,0)),4)</f>
        <v>0</v>
      </c>
      <c r="AB123" s="20">
        <f>ROUND(IF(OR($A123&lt;VLOOKUP(AB$2,行为概览!$D$3:$U$33,3,0),$A123&gt;VLOOKUP(AB$2,行为概览!$D$3:$U$33,4,0)),0,VLOOKUP(AB$2,行为概览!$D$3:$U$33,6,0)),4)</f>
        <v>0</v>
      </c>
      <c r="AC123" s="20">
        <f>ROUND(IF(OR($A123&lt;VLOOKUP(AC$2,行为概览!$D$3:$U$33,3,0),$A123&gt;VLOOKUP(AC$2,行为概览!$D$3:$U$33,4,0)),0,VLOOKUP(AC$2,行为概览!$D$3:$U$33,6,0)),4)</f>
        <v>0</v>
      </c>
      <c r="AD123" s="20">
        <f>ROUND(IF(OR($A123&lt;VLOOKUP(AD$2,行为概览!$D$3:$U$33,3,0),$A123&gt;VLOOKUP(AD$2,行为概览!$D$3:$U$33,4,0)),0,VLOOKUP(AD$2,行为概览!$D$3:$U$33,6,0)),4)</f>
        <v>0</v>
      </c>
      <c r="AE123" s="20">
        <f>ROUND(IF(OR($A123&lt;VLOOKUP(AE$2,行为概览!$D$3:$U$33,3,0),$A123&gt;VLOOKUP(AE$2,行为概览!$D$3:$U$33,4,0)),0,VLOOKUP(AE$2,行为概览!$D$3:$U$33,6,0)),4)</f>
        <v>8.3299999999999999E-2</v>
      </c>
      <c r="AF123" s="20">
        <f>ROUND(IF(OR($A123&lt;VLOOKUP(AF$2,行为概览!$D$3:$U$33,3,0),$A123&gt;VLOOKUP(AF$2,行为概览!$D$3:$U$33,4,0)),0,VLOOKUP(AF$2,行为概览!$D$3:$U$33,6,0)),4)</f>
        <v>0</v>
      </c>
    </row>
    <row r="124" spans="1:32">
      <c r="A124" s="19">
        <v>122</v>
      </c>
      <c r="B124" s="20">
        <f>ROUND(IF(OR($A124&lt;VLOOKUP(B$2,行为概览!$D$3:$U$33,3,0),$A124&gt;VLOOKUP(B$2,行为概览!$D$3:$U$33,4,0)),0,VLOOKUP(B$2,行为概览!$D$3:$U$33,6,0)),4)</f>
        <v>0.33329999999999999</v>
      </c>
      <c r="C124" s="20">
        <f>ROUND(IF(OR($A124&lt;VLOOKUP(C$2,行为概览!$D$3:$U$33,3,0),$A124&gt;VLOOKUP(C$2,行为概览!$D$3:$U$33,4,0)),0,VLOOKUP(C$2,行为概览!$D$3:$U$33,6,0)),4)</f>
        <v>2</v>
      </c>
      <c r="D124" s="20">
        <f>ROUND(IF(OR($A124&lt;VLOOKUP(D$2,行为概览!$D$3:$U$33,3,0),$A124&gt;VLOOKUP(D$2,行为概览!$D$3:$U$33,4,0)),0,VLOOKUP(D$2,行为概览!$D$3:$U$33,6,0)),4)</f>
        <v>8.3299999999999999E-2</v>
      </c>
      <c r="E124" s="20">
        <f>ROUND(IF(OR($A124&lt;VLOOKUP(E$2,行为概览!$D$3:$U$33,3,0),$A124&gt;VLOOKUP(E$2,行为概览!$D$3:$U$33,4,0)),0,VLOOKUP(E$2,行为概览!$D$3:$U$33,6,0)),4)</f>
        <v>1</v>
      </c>
      <c r="F124" s="20">
        <f>ROUND(IF(OR($A124&lt;VLOOKUP(F$2,行为概览!$D$3:$U$33,3,0),$A124&gt;VLOOKUP(F$2,行为概览!$D$3:$U$33,4,0)),0,VLOOKUP(F$2,行为概览!$D$3:$U$33,6,0)),4)</f>
        <v>0.33329999999999999</v>
      </c>
      <c r="G124" s="20">
        <f>ROUND(IF(OR($A124&lt;VLOOKUP(G$2,行为概览!$D$3:$U$33,3,0),$A124&gt;VLOOKUP(G$2,行为概览!$D$3:$U$33,4,0)),0,VLOOKUP(G$2,行为概览!$D$3:$U$33,6,0)),4)</f>
        <v>0</v>
      </c>
      <c r="H124" s="20">
        <f>ROUND(IF(OR($A124&lt;VLOOKUP(H$2,行为概览!$D$3:$U$33,3,0),$A124&gt;VLOOKUP(H$2,行为概览!$D$3:$U$33,4,0)),0,VLOOKUP(H$2,行为概览!$D$3:$U$33,6,0)),4)</f>
        <v>0</v>
      </c>
      <c r="I124" s="20">
        <f>ROUND(IF(OR($A124&lt;VLOOKUP(I$2,行为概览!$D$3:$U$33,3,0),$A124&gt;VLOOKUP(I$2,行为概览!$D$3:$U$33,4,0)),0,VLOOKUP(I$2,行为概览!$D$3:$U$33,6,0)),4)</f>
        <v>0</v>
      </c>
      <c r="J124" s="20">
        <f>ROUND(IF(OR($A124&lt;VLOOKUP(J$2,行为概览!$D$3:$U$33,3,0),$A124&gt;VLOOKUP(J$2,行为概览!$D$3:$U$33,4,0)),0,VLOOKUP(J$2,行为概览!$D$3:$U$33,6,0)),4)</f>
        <v>0.5</v>
      </c>
      <c r="K124" s="20">
        <f>ROUND(IF(OR($A124&lt;VLOOKUP(K$2,行为概览!$D$3:$U$33,3,0),$A124&gt;VLOOKUP(K$2,行为概览!$D$3:$U$33,4,0)),0,VLOOKUP(K$2,行为概览!$D$3:$U$33,6,0)),4)</f>
        <v>0.16669999999999999</v>
      </c>
      <c r="L124" s="20">
        <f>ROUND(IF(OR($A124&lt;VLOOKUP(L$2,行为概览!$D$3:$U$33,3,0),$A124&gt;VLOOKUP(L$2,行为概览!$D$3:$U$33,4,0)),0,VLOOKUP(L$2,行为概览!$D$3:$U$33,6,0)),4)</f>
        <v>0.5</v>
      </c>
      <c r="M124" s="20">
        <f>ROUND(IF(OR($A124&lt;VLOOKUP(M$2,行为概览!$D$3:$U$33,3,0),$A124&gt;VLOOKUP(M$2,行为概览!$D$3:$U$33,4,0)),0,VLOOKUP(M$2,行为概览!$D$3:$U$33,6,0)),4)</f>
        <v>12</v>
      </c>
      <c r="N124" s="20">
        <f>ROUND(IF(OR($A124&lt;VLOOKUP(N$2,行为概览!$D$3:$U$33,3,0),$A124&gt;VLOOKUP(N$2,行为概览!$D$3:$U$33,4,0)),0,VLOOKUP(N$2,行为概览!$D$3:$U$33,6,0)),4)</f>
        <v>8.3299999999999999E-2</v>
      </c>
      <c r="O124" s="20">
        <f>ROUND(IF(OR($A124&lt;VLOOKUP(O$2,行为概览!$D$3:$U$33,3,0),$A124&gt;VLOOKUP(O$2,行为概览!$D$3:$U$33,4,0)),0,VLOOKUP(O$2,行为概览!$D$3:$U$33,6,0)),4)</f>
        <v>8.3299999999999999E-2</v>
      </c>
      <c r="P124" s="20">
        <f>ROUND(IF(OR($A124&lt;VLOOKUP(P$2,行为概览!$D$3:$U$33,3,0),$A124&gt;VLOOKUP(P$2,行为概览!$D$3:$U$33,4,0)),0,VLOOKUP(P$2,行为概览!$D$3:$U$33,6,0)),4)</f>
        <v>2.6</v>
      </c>
      <c r="Q124" s="20">
        <f>ROUND(IF(OR($A124&lt;VLOOKUP(Q$2,行为概览!$D$3:$U$33,3,0),$A124&gt;VLOOKUP(Q$2,行为概览!$D$3:$U$33,4,0)),0,VLOOKUP(Q$2,行为概览!$D$3:$U$33,6,0)),4)</f>
        <v>1</v>
      </c>
      <c r="R124" s="20">
        <f>ROUND(IF(OR($A124&lt;VLOOKUP(R$2,行为概览!$D$3:$U$33,3,0),$A124&gt;VLOOKUP(R$2,行为概览!$D$3:$U$33,4,0)),0,VLOOKUP(R$2,行为概览!$D$3:$U$33,6,0)),4)</f>
        <v>0.33329999999999999</v>
      </c>
      <c r="S124" s="20">
        <f>ROUND(IF(OR($A124&lt;VLOOKUP(S$2,行为概览!$D$3:$U$33,3,0),$A124&gt;VLOOKUP(S$2,行为概览!$D$3:$U$33,4,0)),0,VLOOKUP(S$2,行为概览!$D$3:$U$33,6,0)),4)</f>
        <v>0</v>
      </c>
      <c r="T124" s="20">
        <f>ROUND(IF(OR($A124&lt;VLOOKUP(T$2,行为概览!$D$3:$U$33,3,0),$A124&gt;VLOOKUP(T$2,行为概览!$D$3:$U$33,4,0)),0,VLOOKUP(T$2,行为概览!$D$3:$U$33,6,0)),4)</f>
        <v>0.33329999999999999</v>
      </c>
      <c r="U124" s="20">
        <f>ROUND(IF(OR($A124&lt;VLOOKUP(U$2,行为概览!$D$3:$U$33,3,0),$A124&gt;VLOOKUP(U$2,行为概览!$D$3:$U$33,4,0)),0,VLOOKUP(U$2,行为概览!$D$3:$U$33,6,0)),4)</f>
        <v>0.16669999999999999</v>
      </c>
      <c r="V124" s="20">
        <f>ROUND(IF(OR($A124&lt;VLOOKUP(V$2,行为概览!$D$3:$U$33,3,0),$A124&gt;VLOOKUP(V$2,行为概览!$D$3:$U$33,4,0)),0,VLOOKUP(V$2,行为概览!$D$3:$U$33,6,0)),4)</f>
        <v>0.16669999999999999</v>
      </c>
      <c r="W124" s="20">
        <f>ROUND(IF(OR($A124&lt;VLOOKUP(W$2,行为概览!$D$3:$U$33,3,0),$A124&gt;VLOOKUP(W$2,行为概览!$D$3:$U$33,4,0)),0,VLOOKUP(W$2,行为概览!$D$3:$U$33,6,0)),4)</f>
        <v>0.16669999999999999</v>
      </c>
      <c r="X124" s="20">
        <f>ROUND(IF(OR($A124&lt;VLOOKUP(X$2,行为概览!$D$3:$U$33,3,0),$A124&gt;VLOOKUP(X$2,行为概览!$D$3:$U$33,4,0)),0,VLOOKUP(X$2,行为概览!$D$3:$U$33,6,0)),4)</f>
        <v>0.25</v>
      </c>
      <c r="Y124" s="20">
        <f>ROUND(IF(OR($A124&lt;VLOOKUP(Y$2,行为概览!$D$3:$U$33,3,0),$A124&gt;VLOOKUP(Y$2,行为概览!$D$3:$U$33,4,0)),0,VLOOKUP(Y$2,行为概览!$D$3:$U$33,6,0)),4)</f>
        <v>0.58330000000000004</v>
      </c>
      <c r="Z124" s="20">
        <f>ROUND(IF(OR($A124&lt;VLOOKUP(Z$2,行为概览!$D$3:$U$33,3,0),$A124&gt;VLOOKUP(Z$2,行为概览!$D$3:$U$33,4,0)),0,VLOOKUP(Z$2,行为概览!$D$3:$U$33,6,0)),4)</f>
        <v>0.16669999999999999</v>
      </c>
      <c r="AA124" s="20">
        <f>ROUND(IF(OR($A124&lt;VLOOKUP(AA$2,行为概览!$D$3:$U$33,3,0),$A124&gt;VLOOKUP(AA$2,行为概览!$D$3:$U$33,4,0)),0,VLOOKUP(AA$2,行为概览!$D$3:$U$33,6,0)),4)</f>
        <v>0</v>
      </c>
      <c r="AB124" s="20">
        <f>ROUND(IF(OR($A124&lt;VLOOKUP(AB$2,行为概览!$D$3:$U$33,3,0),$A124&gt;VLOOKUP(AB$2,行为概览!$D$3:$U$33,4,0)),0,VLOOKUP(AB$2,行为概览!$D$3:$U$33,6,0)),4)</f>
        <v>0</v>
      </c>
      <c r="AC124" s="20">
        <f>ROUND(IF(OR($A124&lt;VLOOKUP(AC$2,行为概览!$D$3:$U$33,3,0),$A124&gt;VLOOKUP(AC$2,行为概览!$D$3:$U$33,4,0)),0,VLOOKUP(AC$2,行为概览!$D$3:$U$33,6,0)),4)</f>
        <v>0</v>
      </c>
      <c r="AD124" s="20">
        <f>ROUND(IF(OR($A124&lt;VLOOKUP(AD$2,行为概览!$D$3:$U$33,3,0),$A124&gt;VLOOKUP(AD$2,行为概览!$D$3:$U$33,4,0)),0,VLOOKUP(AD$2,行为概览!$D$3:$U$33,6,0)),4)</f>
        <v>0</v>
      </c>
      <c r="AE124" s="20">
        <f>ROUND(IF(OR($A124&lt;VLOOKUP(AE$2,行为概览!$D$3:$U$33,3,0),$A124&gt;VLOOKUP(AE$2,行为概览!$D$3:$U$33,4,0)),0,VLOOKUP(AE$2,行为概览!$D$3:$U$33,6,0)),4)</f>
        <v>8.3299999999999999E-2</v>
      </c>
      <c r="AF124" s="20">
        <f>ROUND(IF(OR($A124&lt;VLOOKUP(AF$2,行为概览!$D$3:$U$33,3,0),$A124&gt;VLOOKUP(AF$2,行为概览!$D$3:$U$33,4,0)),0,VLOOKUP(AF$2,行为概览!$D$3:$U$33,6,0)),4)</f>
        <v>0</v>
      </c>
    </row>
    <row r="125" spans="1:32">
      <c r="A125" s="19">
        <v>123</v>
      </c>
      <c r="B125" s="20">
        <f>ROUND(IF(OR($A125&lt;VLOOKUP(B$2,行为概览!$D$3:$U$33,3,0),$A125&gt;VLOOKUP(B$2,行为概览!$D$3:$U$33,4,0)),0,VLOOKUP(B$2,行为概览!$D$3:$U$33,6,0)),4)</f>
        <v>0.33329999999999999</v>
      </c>
      <c r="C125" s="20">
        <f>ROUND(IF(OR($A125&lt;VLOOKUP(C$2,行为概览!$D$3:$U$33,3,0),$A125&gt;VLOOKUP(C$2,行为概览!$D$3:$U$33,4,0)),0,VLOOKUP(C$2,行为概览!$D$3:$U$33,6,0)),4)</f>
        <v>2</v>
      </c>
      <c r="D125" s="20">
        <f>ROUND(IF(OR($A125&lt;VLOOKUP(D$2,行为概览!$D$3:$U$33,3,0),$A125&gt;VLOOKUP(D$2,行为概览!$D$3:$U$33,4,0)),0,VLOOKUP(D$2,行为概览!$D$3:$U$33,6,0)),4)</f>
        <v>8.3299999999999999E-2</v>
      </c>
      <c r="E125" s="20">
        <f>ROUND(IF(OR($A125&lt;VLOOKUP(E$2,行为概览!$D$3:$U$33,3,0),$A125&gt;VLOOKUP(E$2,行为概览!$D$3:$U$33,4,0)),0,VLOOKUP(E$2,行为概览!$D$3:$U$33,6,0)),4)</f>
        <v>1</v>
      </c>
      <c r="F125" s="20">
        <f>ROUND(IF(OR($A125&lt;VLOOKUP(F$2,行为概览!$D$3:$U$33,3,0),$A125&gt;VLOOKUP(F$2,行为概览!$D$3:$U$33,4,0)),0,VLOOKUP(F$2,行为概览!$D$3:$U$33,6,0)),4)</f>
        <v>0.33329999999999999</v>
      </c>
      <c r="G125" s="20">
        <f>ROUND(IF(OR($A125&lt;VLOOKUP(G$2,行为概览!$D$3:$U$33,3,0),$A125&gt;VLOOKUP(G$2,行为概览!$D$3:$U$33,4,0)),0,VLOOKUP(G$2,行为概览!$D$3:$U$33,6,0)),4)</f>
        <v>0</v>
      </c>
      <c r="H125" s="20">
        <f>ROUND(IF(OR($A125&lt;VLOOKUP(H$2,行为概览!$D$3:$U$33,3,0),$A125&gt;VLOOKUP(H$2,行为概览!$D$3:$U$33,4,0)),0,VLOOKUP(H$2,行为概览!$D$3:$U$33,6,0)),4)</f>
        <v>0</v>
      </c>
      <c r="I125" s="20">
        <f>ROUND(IF(OR($A125&lt;VLOOKUP(I$2,行为概览!$D$3:$U$33,3,0),$A125&gt;VLOOKUP(I$2,行为概览!$D$3:$U$33,4,0)),0,VLOOKUP(I$2,行为概览!$D$3:$U$33,6,0)),4)</f>
        <v>0</v>
      </c>
      <c r="J125" s="20">
        <f>ROUND(IF(OR($A125&lt;VLOOKUP(J$2,行为概览!$D$3:$U$33,3,0),$A125&gt;VLOOKUP(J$2,行为概览!$D$3:$U$33,4,0)),0,VLOOKUP(J$2,行为概览!$D$3:$U$33,6,0)),4)</f>
        <v>0.5</v>
      </c>
      <c r="K125" s="20">
        <f>ROUND(IF(OR($A125&lt;VLOOKUP(K$2,行为概览!$D$3:$U$33,3,0),$A125&gt;VLOOKUP(K$2,行为概览!$D$3:$U$33,4,0)),0,VLOOKUP(K$2,行为概览!$D$3:$U$33,6,0)),4)</f>
        <v>0.16669999999999999</v>
      </c>
      <c r="L125" s="20">
        <f>ROUND(IF(OR($A125&lt;VLOOKUP(L$2,行为概览!$D$3:$U$33,3,0),$A125&gt;VLOOKUP(L$2,行为概览!$D$3:$U$33,4,0)),0,VLOOKUP(L$2,行为概览!$D$3:$U$33,6,0)),4)</f>
        <v>0.5</v>
      </c>
      <c r="M125" s="20">
        <f>ROUND(IF(OR($A125&lt;VLOOKUP(M$2,行为概览!$D$3:$U$33,3,0),$A125&gt;VLOOKUP(M$2,行为概览!$D$3:$U$33,4,0)),0,VLOOKUP(M$2,行为概览!$D$3:$U$33,6,0)),4)</f>
        <v>12</v>
      </c>
      <c r="N125" s="20">
        <f>ROUND(IF(OR($A125&lt;VLOOKUP(N$2,行为概览!$D$3:$U$33,3,0),$A125&gt;VLOOKUP(N$2,行为概览!$D$3:$U$33,4,0)),0,VLOOKUP(N$2,行为概览!$D$3:$U$33,6,0)),4)</f>
        <v>8.3299999999999999E-2</v>
      </c>
      <c r="O125" s="20">
        <f>ROUND(IF(OR($A125&lt;VLOOKUP(O$2,行为概览!$D$3:$U$33,3,0),$A125&gt;VLOOKUP(O$2,行为概览!$D$3:$U$33,4,0)),0,VLOOKUP(O$2,行为概览!$D$3:$U$33,6,0)),4)</f>
        <v>8.3299999999999999E-2</v>
      </c>
      <c r="P125" s="20">
        <f>ROUND(IF(OR($A125&lt;VLOOKUP(P$2,行为概览!$D$3:$U$33,3,0),$A125&gt;VLOOKUP(P$2,行为概览!$D$3:$U$33,4,0)),0,VLOOKUP(P$2,行为概览!$D$3:$U$33,6,0)),4)</f>
        <v>2.6</v>
      </c>
      <c r="Q125" s="20">
        <f>ROUND(IF(OR($A125&lt;VLOOKUP(Q$2,行为概览!$D$3:$U$33,3,0),$A125&gt;VLOOKUP(Q$2,行为概览!$D$3:$U$33,4,0)),0,VLOOKUP(Q$2,行为概览!$D$3:$U$33,6,0)),4)</f>
        <v>1</v>
      </c>
      <c r="R125" s="20">
        <f>ROUND(IF(OR($A125&lt;VLOOKUP(R$2,行为概览!$D$3:$U$33,3,0),$A125&gt;VLOOKUP(R$2,行为概览!$D$3:$U$33,4,0)),0,VLOOKUP(R$2,行为概览!$D$3:$U$33,6,0)),4)</f>
        <v>0.33329999999999999</v>
      </c>
      <c r="S125" s="20">
        <f>ROUND(IF(OR($A125&lt;VLOOKUP(S$2,行为概览!$D$3:$U$33,3,0),$A125&gt;VLOOKUP(S$2,行为概览!$D$3:$U$33,4,0)),0,VLOOKUP(S$2,行为概览!$D$3:$U$33,6,0)),4)</f>
        <v>0</v>
      </c>
      <c r="T125" s="20">
        <f>ROUND(IF(OR($A125&lt;VLOOKUP(T$2,行为概览!$D$3:$U$33,3,0),$A125&gt;VLOOKUP(T$2,行为概览!$D$3:$U$33,4,0)),0,VLOOKUP(T$2,行为概览!$D$3:$U$33,6,0)),4)</f>
        <v>0.33329999999999999</v>
      </c>
      <c r="U125" s="20">
        <f>ROUND(IF(OR($A125&lt;VLOOKUP(U$2,行为概览!$D$3:$U$33,3,0),$A125&gt;VLOOKUP(U$2,行为概览!$D$3:$U$33,4,0)),0,VLOOKUP(U$2,行为概览!$D$3:$U$33,6,0)),4)</f>
        <v>0.16669999999999999</v>
      </c>
      <c r="V125" s="20">
        <f>ROUND(IF(OR($A125&lt;VLOOKUP(V$2,行为概览!$D$3:$U$33,3,0),$A125&gt;VLOOKUP(V$2,行为概览!$D$3:$U$33,4,0)),0,VLOOKUP(V$2,行为概览!$D$3:$U$33,6,0)),4)</f>
        <v>0.16669999999999999</v>
      </c>
      <c r="W125" s="20">
        <f>ROUND(IF(OR($A125&lt;VLOOKUP(W$2,行为概览!$D$3:$U$33,3,0),$A125&gt;VLOOKUP(W$2,行为概览!$D$3:$U$33,4,0)),0,VLOOKUP(W$2,行为概览!$D$3:$U$33,6,0)),4)</f>
        <v>0.16669999999999999</v>
      </c>
      <c r="X125" s="20">
        <f>ROUND(IF(OR($A125&lt;VLOOKUP(X$2,行为概览!$D$3:$U$33,3,0),$A125&gt;VLOOKUP(X$2,行为概览!$D$3:$U$33,4,0)),0,VLOOKUP(X$2,行为概览!$D$3:$U$33,6,0)),4)</f>
        <v>0.25</v>
      </c>
      <c r="Y125" s="20">
        <f>ROUND(IF(OR($A125&lt;VLOOKUP(Y$2,行为概览!$D$3:$U$33,3,0),$A125&gt;VLOOKUP(Y$2,行为概览!$D$3:$U$33,4,0)),0,VLOOKUP(Y$2,行为概览!$D$3:$U$33,6,0)),4)</f>
        <v>0.58330000000000004</v>
      </c>
      <c r="Z125" s="20">
        <f>ROUND(IF(OR($A125&lt;VLOOKUP(Z$2,行为概览!$D$3:$U$33,3,0),$A125&gt;VLOOKUP(Z$2,行为概览!$D$3:$U$33,4,0)),0,VLOOKUP(Z$2,行为概览!$D$3:$U$33,6,0)),4)</f>
        <v>0.16669999999999999</v>
      </c>
      <c r="AA125" s="20">
        <f>ROUND(IF(OR($A125&lt;VLOOKUP(AA$2,行为概览!$D$3:$U$33,3,0),$A125&gt;VLOOKUP(AA$2,行为概览!$D$3:$U$33,4,0)),0,VLOOKUP(AA$2,行为概览!$D$3:$U$33,6,0)),4)</f>
        <v>0</v>
      </c>
      <c r="AB125" s="20">
        <f>ROUND(IF(OR($A125&lt;VLOOKUP(AB$2,行为概览!$D$3:$U$33,3,0),$A125&gt;VLOOKUP(AB$2,行为概览!$D$3:$U$33,4,0)),0,VLOOKUP(AB$2,行为概览!$D$3:$U$33,6,0)),4)</f>
        <v>0</v>
      </c>
      <c r="AC125" s="20">
        <f>ROUND(IF(OR($A125&lt;VLOOKUP(AC$2,行为概览!$D$3:$U$33,3,0),$A125&gt;VLOOKUP(AC$2,行为概览!$D$3:$U$33,4,0)),0,VLOOKUP(AC$2,行为概览!$D$3:$U$33,6,0)),4)</f>
        <v>0</v>
      </c>
      <c r="AD125" s="20">
        <f>ROUND(IF(OR($A125&lt;VLOOKUP(AD$2,行为概览!$D$3:$U$33,3,0),$A125&gt;VLOOKUP(AD$2,行为概览!$D$3:$U$33,4,0)),0,VLOOKUP(AD$2,行为概览!$D$3:$U$33,6,0)),4)</f>
        <v>0</v>
      </c>
      <c r="AE125" s="20">
        <f>ROUND(IF(OR($A125&lt;VLOOKUP(AE$2,行为概览!$D$3:$U$33,3,0),$A125&gt;VLOOKUP(AE$2,行为概览!$D$3:$U$33,4,0)),0,VLOOKUP(AE$2,行为概览!$D$3:$U$33,6,0)),4)</f>
        <v>8.3299999999999999E-2</v>
      </c>
      <c r="AF125" s="20">
        <f>ROUND(IF(OR($A125&lt;VLOOKUP(AF$2,行为概览!$D$3:$U$33,3,0),$A125&gt;VLOOKUP(AF$2,行为概览!$D$3:$U$33,4,0)),0,VLOOKUP(AF$2,行为概览!$D$3:$U$33,6,0)),4)</f>
        <v>0</v>
      </c>
    </row>
    <row r="126" spans="1:32">
      <c r="A126" s="19">
        <v>124</v>
      </c>
      <c r="B126" s="20">
        <f>ROUND(IF(OR($A126&lt;VLOOKUP(B$2,行为概览!$D$3:$U$33,3,0),$A126&gt;VLOOKUP(B$2,行为概览!$D$3:$U$33,4,0)),0,VLOOKUP(B$2,行为概览!$D$3:$U$33,6,0)),4)</f>
        <v>0.33329999999999999</v>
      </c>
      <c r="C126" s="20">
        <f>ROUND(IF(OR($A126&lt;VLOOKUP(C$2,行为概览!$D$3:$U$33,3,0),$A126&gt;VLOOKUP(C$2,行为概览!$D$3:$U$33,4,0)),0,VLOOKUP(C$2,行为概览!$D$3:$U$33,6,0)),4)</f>
        <v>2</v>
      </c>
      <c r="D126" s="20">
        <f>ROUND(IF(OR($A126&lt;VLOOKUP(D$2,行为概览!$D$3:$U$33,3,0),$A126&gt;VLOOKUP(D$2,行为概览!$D$3:$U$33,4,0)),0,VLOOKUP(D$2,行为概览!$D$3:$U$33,6,0)),4)</f>
        <v>8.3299999999999999E-2</v>
      </c>
      <c r="E126" s="20">
        <f>ROUND(IF(OR($A126&lt;VLOOKUP(E$2,行为概览!$D$3:$U$33,3,0),$A126&gt;VLOOKUP(E$2,行为概览!$D$3:$U$33,4,0)),0,VLOOKUP(E$2,行为概览!$D$3:$U$33,6,0)),4)</f>
        <v>1</v>
      </c>
      <c r="F126" s="20">
        <f>ROUND(IF(OR($A126&lt;VLOOKUP(F$2,行为概览!$D$3:$U$33,3,0),$A126&gt;VLOOKUP(F$2,行为概览!$D$3:$U$33,4,0)),0,VLOOKUP(F$2,行为概览!$D$3:$U$33,6,0)),4)</f>
        <v>0.33329999999999999</v>
      </c>
      <c r="G126" s="20">
        <f>ROUND(IF(OR($A126&lt;VLOOKUP(G$2,行为概览!$D$3:$U$33,3,0),$A126&gt;VLOOKUP(G$2,行为概览!$D$3:$U$33,4,0)),0,VLOOKUP(G$2,行为概览!$D$3:$U$33,6,0)),4)</f>
        <v>0</v>
      </c>
      <c r="H126" s="20">
        <f>ROUND(IF(OR($A126&lt;VLOOKUP(H$2,行为概览!$D$3:$U$33,3,0),$A126&gt;VLOOKUP(H$2,行为概览!$D$3:$U$33,4,0)),0,VLOOKUP(H$2,行为概览!$D$3:$U$33,6,0)),4)</f>
        <v>0</v>
      </c>
      <c r="I126" s="20">
        <f>ROUND(IF(OR($A126&lt;VLOOKUP(I$2,行为概览!$D$3:$U$33,3,0),$A126&gt;VLOOKUP(I$2,行为概览!$D$3:$U$33,4,0)),0,VLOOKUP(I$2,行为概览!$D$3:$U$33,6,0)),4)</f>
        <v>0</v>
      </c>
      <c r="J126" s="20">
        <f>ROUND(IF(OR($A126&lt;VLOOKUP(J$2,行为概览!$D$3:$U$33,3,0),$A126&gt;VLOOKUP(J$2,行为概览!$D$3:$U$33,4,0)),0,VLOOKUP(J$2,行为概览!$D$3:$U$33,6,0)),4)</f>
        <v>0.5</v>
      </c>
      <c r="K126" s="20">
        <f>ROUND(IF(OR($A126&lt;VLOOKUP(K$2,行为概览!$D$3:$U$33,3,0),$A126&gt;VLOOKUP(K$2,行为概览!$D$3:$U$33,4,0)),0,VLOOKUP(K$2,行为概览!$D$3:$U$33,6,0)),4)</f>
        <v>0.16669999999999999</v>
      </c>
      <c r="L126" s="20">
        <f>ROUND(IF(OR($A126&lt;VLOOKUP(L$2,行为概览!$D$3:$U$33,3,0),$A126&gt;VLOOKUP(L$2,行为概览!$D$3:$U$33,4,0)),0,VLOOKUP(L$2,行为概览!$D$3:$U$33,6,0)),4)</f>
        <v>0.5</v>
      </c>
      <c r="M126" s="20">
        <f>ROUND(IF(OR($A126&lt;VLOOKUP(M$2,行为概览!$D$3:$U$33,3,0),$A126&gt;VLOOKUP(M$2,行为概览!$D$3:$U$33,4,0)),0,VLOOKUP(M$2,行为概览!$D$3:$U$33,6,0)),4)</f>
        <v>12</v>
      </c>
      <c r="N126" s="20">
        <f>ROUND(IF(OR($A126&lt;VLOOKUP(N$2,行为概览!$D$3:$U$33,3,0),$A126&gt;VLOOKUP(N$2,行为概览!$D$3:$U$33,4,0)),0,VLOOKUP(N$2,行为概览!$D$3:$U$33,6,0)),4)</f>
        <v>8.3299999999999999E-2</v>
      </c>
      <c r="O126" s="20">
        <f>ROUND(IF(OR($A126&lt;VLOOKUP(O$2,行为概览!$D$3:$U$33,3,0),$A126&gt;VLOOKUP(O$2,行为概览!$D$3:$U$33,4,0)),0,VLOOKUP(O$2,行为概览!$D$3:$U$33,6,0)),4)</f>
        <v>8.3299999999999999E-2</v>
      </c>
      <c r="P126" s="20">
        <f>ROUND(IF(OR($A126&lt;VLOOKUP(P$2,行为概览!$D$3:$U$33,3,0),$A126&gt;VLOOKUP(P$2,行为概览!$D$3:$U$33,4,0)),0,VLOOKUP(P$2,行为概览!$D$3:$U$33,6,0)),4)</f>
        <v>2.6</v>
      </c>
      <c r="Q126" s="20">
        <f>ROUND(IF(OR($A126&lt;VLOOKUP(Q$2,行为概览!$D$3:$U$33,3,0),$A126&gt;VLOOKUP(Q$2,行为概览!$D$3:$U$33,4,0)),0,VLOOKUP(Q$2,行为概览!$D$3:$U$33,6,0)),4)</f>
        <v>1</v>
      </c>
      <c r="R126" s="20">
        <f>ROUND(IF(OR($A126&lt;VLOOKUP(R$2,行为概览!$D$3:$U$33,3,0),$A126&gt;VLOOKUP(R$2,行为概览!$D$3:$U$33,4,0)),0,VLOOKUP(R$2,行为概览!$D$3:$U$33,6,0)),4)</f>
        <v>0.33329999999999999</v>
      </c>
      <c r="S126" s="20">
        <f>ROUND(IF(OR($A126&lt;VLOOKUP(S$2,行为概览!$D$3:$U$33,3,0),$A126&gt;VLOOKUP(S$2,行为概览!$D$3:$U$33,4,0)),0,VLOOKUP(S$2,行为概览!$D$3:$U$33,6,0)),4)</f>
        <v>0</v>
      </c>
      <c r="T126" s="20">
        <f>ROUND(IF(OR($A126&lt;VLOOKUP(T$2,行为概览!$D$3:$U$33,3,0),$A126&gt;VLOOKUP(T$2,行为概览!$D$3:$U$33,4,0)),0,VLOOKUP(T$2,行为概览!$D$3:$U$33,6,0)),4)</f>
        <v>0.33329999999999999</v>
      </c>
      <c r="U126" s="20">
        <f>ROUND(IF(OR($A126&lt;VLOOKUP(U$2,行为概览!$D$3:$U$33,3,0),$A126&gt;VLOOKUP(U$2,行为概览!$D$3:$U$33,4,0)),0,VLOOKUP(U$2,行为概览!$D$3:$U$33,6,0)),4)</f>
        <v>0.16669999999999999</v>
      </c>
      <c r="V126" s="20">
        <f>ROUND(IF(OR($A126&lt;VLOOKUP(V$2,行为概览!$D$3:$U$33,3,0),$A126&gt;VLOOKUP(V$2,行为概览!$D$3:$U$33,4,0)),0,VLOOKUP(V$2,行为概览!$D$3:$U$33,6,0)),4)</f>
        <v>0.16669999999999999</v>
      </c>
      <c r="W126" s="20">
        <f>ROUND(IF(OR($A126&lt;VLOOKUP(W$2,行为概览!$D$3:$U$33,3,0),$A126&gt;VLOOKUP(W$2,行为概览!$D$3:$U$33,4,0)),0,VLOOKUP(W$2,行为概览!$D$3:$U$33,6,0)),4)</f>
        <v>0.16669999999999999</v>
      </c>
      <c r="X126" s="20">
        <f>ROUND(IF(OR($A126&lt;VLOOKUP(X$2,行为概览!$D$3:$U$33,3,0),$A126&gt;VLOOKUP(X$2,行为概览!$D$3:$U$33,4,0)),0,VLOOKUP(X$2,行为概览!$D$3:$U$33,6,0)),4)</f>
        <v>0.25</v>
      </c>
      <c r="Y126" s="20">
        <f>ROUND(IF(OR($A126&lt;VLOOKUP(Y$2,行为概览!$D$3:$U$33,3,0),$A126&gt;VLOOKUP(Y$2,行为概览!$D$3:$U$33,4,0)),0,VLOOKUP(Y$2,行为概览!$D$3:$U$33,6,0)),4)</f>
        <v>0.58330000000000004</v>
      </c>
      <c r="Z126" s="20">
        <f>ROUND(IF(OR($A126&lt;VLOOKUP(Z$2,行为概览!$D$3:$U$33,3,0),$A126&gt;VLOOKUP(Z$2,行为概览!$D$3:$U$33,4,0)),0,VLOOKUP(Z$2,行为概览!$D$3:$U$33,6,0)),4)</f>
        <v>0.16669999999999999</v>
      </c>
      <c r="AA126" s="20">
        <f>ROUND(IF(OR($A126&lt;VLOOKUP(AA$2,行为概览!$D$3:$U$33,3,0),$A126&gt;VLOOKUP(AA$2,行为概览!$D$3:$U$33,4,0)),0,VLOOKUP(AA$2,行为概览!$D$3:$U$33,6,0)),4)</f>
        <v>0</v>
      </c>
      <c r="AB126" s="20">
        <f>ROUND(IF(OR($A126&lt;VLOOKUP(AB$2,行为概览!$D$3:$U$33,3,0),$A126&gt;VLOOKUP(AB$2,行为概览!$D$3:$U$33,4,0)),0,VLOOKUP(AB$2,行为概览!$D$3:$U$33,6,0)),4)</f>
        <v>0</v>
      </c>
      <c r="AC126" s="20">
        <f>ROUND(IF(OR($A126&lt;VLOOKUP(AC$2,行为概览!$D$3:$U$33,3,0),$A126&gt;VLOOKUP(AC$2,行为概览!$D$3:$U$33,4,0)),0,VLOOKUP(AC$2,行为概览!$D$3:$U$33,6,0)),4)</f>
        <v>0</v>
      </c>
      <c r="AD126" s="20">
        <f>ROUND(IF(OR($A126&lt;VLOOKUP(AD$2,行为概览!$D$3:$U$33,3,0),$A126&gt;VLOOKUP(AD$2,行为概览!$D$3:$U$33,4,0)),0,VLOOKUP(AD$2,行为概览!$D$3:$U$33,6,0)),4)</f>
        <v>0</v>
      </c>
      <c r="AE126" s="20">
        <f>ROUND(IF(OR($A126&lt;VLOOKUP(AE$2,行为概览!$D$3:$U$33,3,0),$A126&gt;VLOOKUP(AE$2,行为概览!$D$3:$U$33,4,0)),0,VLOOKUP(AE$2,行为概览!$D$3:$U$33,6,0)),4)</f>
        <v>8.3299999999999999E-2</v>
      </c>
      <c r="AF126" s="20">
        <f>ROUND(IF(OR($A126&lt;VLOOKUP(AF$2,行为概览!$D$3:$U$33,3,0),$A126&gt;VLOOKUP(AF$2,行为概览!$D$3:$U$33,4,0)),0,VLOOKUP(AF$2,行为概览!$D$3:$U$33,6,0)),4)</f>
        <v>0</v>
      </c>
    </row>
    <row r="127" spans="1:32">
      <c r="A127" s="19">
        <v>125</v>
      </c>
      <c r="B127" s="20">
        <f>ROUND(IF(OR($A127&lt;VLOOKUP(B$2,行为概览!$D$3:$U$33,3,0),$A127&gt;VLOOKUP(B$2,行为概览!$D$3:$U$33,4,0)),0,VLOOKUP(B$2,行为概览!$D$3:$U$33,6,0)),4)</f>
        <v>0.33329999999999999</v>
      </c>
      <c r="C127" s="20">
        <f>ROUND(IF(OR($A127&lt;VLOOKUP(C$2,行为概览!$D$3:$U$33,3,0),$A127&gt;VLOOKUP(C$2,行为概览!$D$3:$U$33,4,0)),0,VLOOKUP(C$2,行为概览!$D$3:$U$33,6,0)),4)</f>
        <v>2</v>
      </c>
      <c r="D127" s="20">
        <f>ROUND(IF(OR($A127&lt;VLOOKUP(D$2,行为概览!$D$3:$U$33,3,0),$A127&gt;VLOOKUP(D$2,行为概览!$D$3:$U$33,4,0)),0,VLOOKUP(D$2,行为概览!$D$3:$U$33,6,0)),4)</f>
        <v>8.3299999999999999E-2</v>
      </c>
      <c r="E127" s="20">
        <f>ROUND(IF(OR($A127&lt;VLOOKUP(E$2,行为概览!$D$3:$U$33,3,0),$A127&gt;VLOOKUP(E$2,行为概览!$D$3:$U$33,4,0)),0,VLOOKUP(E$2,行为概览!$D$3:$U$33,6,0)),4)</f>
        <v>1</v>
      </c>
      <c r="F127" s="20">
        <f>ROUND(IF(OR($A127&lt;VLOOKUP(F$2,行为概览!$D$3:$U$33,3,0),$A127&gt;VLOOKUP(F$2,行为概览!$D$3:$U$33,4,0)),0,VLOOKUP(F$2,行为概览!$D$3:$U$33,6,0)),4)</f>
        <v>0.33329999999999999</v>
      </c>
      <c r="G127" s="20">
        <f>ROUND(IF(OR($A127&lt;VLOOKUP(G$2,行为概览!$D$3:$U$33,3,0),$A127&gt;VLOOKUP(G$2,行为概览!$D$3:$U$33,4,0)),0,VLOOKUP(G$2,行为概览!$D$3:$U$33,6,0)),4)</f>
        <v>0</v>
      </c>
      <c r="H127" s="20">
        <f>ROUND(IF(OR($A127&lt;VLOOKUP(H$2,行为概览!$D$3:$U$33,3,0),$A127&gt;VLOOKUP(H$2,行为概览!$D$3:$U$33,4,0)),0,VLOOKUP(H$2,行为概览!$D$3:$U$33,6,0)),4)</f>
        <v>0</v>
      </c>
      <c r="I127" s="20">
        <f>ROUND(IF(OR($A127&lt;VLOOKUP(I$2,行为概览!$D$3:$U$33,3,0),$A127&gt;VLOOKUP(I$2,行为概览!$D$3:$U$33,4,0)),0,VLOOKUP(I$2,行为概览!$D$3:$U$33,6,0)),4)</f>
        <v>0</v>
      </c>
      <c r="J127" s="20">
        <f>ROUND(IF(OR($A127&lt;VLOOKUP(J$2,行为概览!$D$3:$U$33,3,0),$A127&gt;VLOOKUP(J$2,行为概览!$D$3:$U$33,4,0)),0,VLOOKUP(J$2,行为概览!$D$3:$U$33,6,0)),4)</f>
        <v>0.5</v>
      </c>
      <c r="K127" s="20">
        <f>ROUND(IF(OR($A127&lt;VLOOKUP(K$2,行为概览!$D$3:$U$33,3,0),$A127&gt;VLOOKUP(K$2,行为概览!$D$3:$U$33,4,0)),0,VLOOKUP(K$2,行为概览!$D$3:$U$33,6,0)),4)</f>
        <v>0.16669999999999999</v>
      </c>
      <c r="L127" s="20">
        <f>ROUND(IF(OR($A127&lt;VLOOKUP(L$2,行为概览!$D$3:$U$33,3,0),$A127&gt;VLOOKUP(L$2,行为概览!$D$3:$U$33,4,0)),0,VLOOKUP(L$2,行为概览!$D$3:$U$33,6,0)),4)</f>
        <v>0.5</v>
      </c>
      <c r="M127" s="20">
        <f>ROUND(IF(OR($A127&lt;VLOOKUP(M$2,行为概览!$D$3:$U$33,3,0),$A127&gt;VLOOKUP(M$2,行为概览!$D$3:$U$33,4,0)),0,VLOOKUP(M$2,行为概览!$D$3:$U$33,6,0)),4)</f>
        <v>12</v>
      </c>
      <c r="N127" s="20">
        <f>ROUND(IF(OR($A127&lt;VLOOKUP(N$2,行为概览!$D$3:$U$33,3,0),$A127&gt;VLOOKUP(N$2,行为概览!$D$3:$U$33,4,0)),0,VLOOKUP(N$2,行为概览!$D$3:$U$33,6,0)),4)</f>
        <v>8.3299999999999999E-2</v>
      </c>
      <c r="O127" s="20">
        <f>ROUND(IF(OR($A127&lt;VLOOKUP(O$2,行为概览!$D$3:$U$33,3,0),$A127&gt;VLOOKUP(O$2,行为概览!$D$3:$U$33,4,0)),0,VLOOKUP(O$2,行为概览!$D$3:$U$33,6,0)),4)</f>
        <v>8.3299999999999999E-2</v>
      </c>
      <c r="P127" s="20">
        <f>ROUND(IF(OR($A127&lt;VLOOKUP(P$2,行为概览!$D$3:$U$33,3,0),$A127&gt;VLOOKUP(P$2,行为概览!$D$3:$U$33,4,0)),0,VLOOKUP(P$2,行为概览!$D$3:$U$33,6,0)),4)</f>
        <v>2.6</v>
      </c>
      <c r="Q127" s="20">
        <f>ROUND(IF(OR($A127&lt;VLOOKUP(Q$2,行为概览!$D$3:$U$33,3,0),$A127&gt;VLOOKUP(Q$2,行为概览!$D$3:$U$33,4,0)),0,VLOOKUP(Q$2,行为概览!$D$3:$U$33,6,0)),4)</f>
        <v>1</v>
      </c>
      <c r="R127" s="20">
        <f>ROUND(IF(OR($A127&lt;VLOOKUP(R$2,行为概览!$D$3:$U$33,3,0),$A127&gt;VLOOKUP(R$2,行为概览!$D$3:$U$33,4,0)),0,VLOOKUP(R$2,行为概览!$D$3:$U$33,6,0)),4)</f>
        <v>0.33329999999999999</v>
      </c>
      <c r="S127" s="20">
        <f>ROUND(IF(OR($A127&lt;VLOOKUP(S$2,行为概览!$D$3:$U$33,3,0),$A127&gt;VLOOKUP(S$2,行为概览!$D$3:$U$33,4,0)),0,VLOOKUP(S$2,行为概览!$D$3:$U$33,6,0)),4)</f>
        <v>0</v>
      </c>
      <c r="T127" s="20">
        <f>ROUND(IF(OR($A127&lt;VLOOKUP(T$2,行为概览!$D$3:$U$33,3,0),$A127&gt;VLOOKUP(T$2,行为概览!$D$3:$U$33,4,0)),0,VLOOKUP(T$2,行为概览!$D$3:$U$33,6,0)),4)</f>
        <v>0.33329999999999999</v>
      </c>
      <c r="U127" s="20">
        <f>ROUND(IF(OR($A127&lt;VLOOKUP(U$2,行为概览!$D$3:$U$33,3,0),$A127&gt;VLOOKUP(U$2,行为概览!$D$3:$U$33,4,0)),0,VLOOKUP(U$2,行为概览!$D$3:$U$33,6,0)),4)</f>
        <v>0.16669999999999999</v>
      </c>
      <c r="V127" s="20">
        <f>ROUND(IF(OR($A127&lt;VLOOKUP(V$2,行为概览!$D$3:$U$33,3,0),$A127&gt;VLOOKUP(V$2,行为概览!$D$3:$U$33,4,0)),0,VLOOKUP(V$2,行为概览!$D$3:$U$33,6,0)),4)</f>
        <v>0.16669999999999999</v>
      </c>
      <c r="W127" s="20">
        <f>ROUND(IF(OR($A127&lt;VLOOKUP(W$2,行为概览!$D$3:$U$33,3,0),$A127&gt;VLOOKUP(W$2,行为概览!$D$3:$U$33,4,0)),0,VLOOKUP(W$2,行为概览!$D$3:$U$33,6,0)),4)</f>
        <v>0.16669999999999999</v>
      </c>
      <c r="X127" s="20">
        <f>ROUND(IF(OR($A127&lt;VLOOKUP(X$2,行为概览!$D$3:$U$33,3,0),$A127&gt;VLOOKUP(X$2,行为概览!$D$3:$U$33,4,0)),0,VLOOKUP(X$2,行为概览!$D$3:$U$33,6,0)),4)</f>
        <v>0.25</v>
      </c>
      <c r="Y127" s="20">
        <f>ROUND(IF(OR($A127&lt;VLOOKUP(Y$2,行为概览!$D$3:$U$33,3,0),$A127&gt;VLOOKUP(Y$2,行为概览!$D$3:$U$33,4,0)),0,VLOOKUP(Y$2,行为概览!$D$3:$U$33,6,0)),4)</f>
        <v>0.58330000000000004</v>
      </c>
      <c r="Z127" s="20">
        <f>ROUND(IF(OR($A127&lt;VLOOKUP(Z$2,行为概览!$D$3:$U$33,3,0),$A127&gt;VLOOKUP(Z$2,行为概览!$D$3:$U$33,4,0)),0,VLOOKUP(Z$2,行为概览!$D$3:$U$33,6,0)),4)</f>
        <v>0.16669999999999999</v>
      </c>
      <c r="AA127" s="20">
        <f>ROUND(IF(OR($A127&lt;VLOOKUP(AA$2,行为概览!$D$3:$U$33,3,0),$A127&gt;VLOOKUP(AA$2,行为概览!$D$3:$U$33,4,0)),0,VLOOKUP(AA$2,行为概览!$D$3:$U$33,6,0)),4)</f>
        <v>0</v>
      </c>
      <c r="AB127" s="20">
        <f>ROUND(IF(OR($A127&lt;VLOOKUP(AB$2,行为概览!$D$3:$U$33,3,0),$A127&gt;VLOOKUP(AB$2,行为概览!$D$3:$U$33,4,0)),0,VLOOKUP(AB$2,行为概览!$D$3:$U$33,6,0)),4)</f>
        <v>0</v>
      </c>
      <c r="AC127" s="20">
        <f>ROUND(IF(OR($A127&lt;VLOOKUP(AC$2,行为概览!$D$3:$U$33,3,0),$A127&gt;VLOOKUP(AC$2,行为概览!$D$3:$U$33,4,0)),0,VLOOKUP(AC$2,行为概览!$D$3:$U$33,6,0)),4)</f>
        <v>0</v>
      </c>
      <c r="AD127" s="20">
        <f>ROUND(IF(OR($A127&lt;VLOOKUP(AD$2,行为概览!$D$3:$U$33,3,0),$A127&gt;VLOOKUP(AD$2,行为概览!$D$3:$U$33,4,0)),0,VLOOKUP(AD$2,行为概览!$D$3:$U$33,6,0)),4)</f>
        <v>0</v>
      </c>
      <c r="AE127" s="20">
        <f>ROUND(IF(OR($A127&lt;VLOOKUP(AE$2,行为概览!$D$3:$U$33,3,0),$A127&gt;VLOOKUP(AE$2,行为概览!$D$3:$U$33,4,0)),0,VLOOKUP(AE$2,行为概览!$D$3:$U$33,6,0)),4)</f>
        <v>8.3299999999999999E-2</v>
      </c>
      <c r="AF127" s="20">
        <f>ROUND(IF(OR($A127&lt;VLOOKUP(AF$2,行为概览!$D$3:$U$33,3,0),$A127&gt;VLOOKUP(AF$2,行为概览!$D$3:$U$33,4,0)),0,VLOOKUP(AF$2,行为概览!$D$3:$U$33,6,0)),4)</f>
        <v>0</v>
      </c>
    </row>
    <row r="128" spans="1:32">
      <c r="A128" s="19">
        <v>126</v>
      </c>
      <c r="B128" s="20">
        <f>ROUND(IF(OR($A128&lt;VLOOKUP(B$2,行为概览!$D$3:$U$33,3,0),$A128&gt;VLOOKUP(B$2,行为概览!$D$3:$U$33,4,0)),0,VLOOKUP(B$2,行为概览!$D$3:$U$33,6,0)),4)</f>
        <v>0.33329999999999999</v>
      </c>
      <c r="C128" s="20">
        <f>ROUND(IF(OR($A128&lt;VLOOKUP(C$2,行为概览!$D$3:$U$33,3,0),$A128&gt;VLOOKUP(C$2,行为概览!$D$3:$U$33,4,0)),0,VLOOKUP(C$2,行为概览!$D$3:$U$33,6,0)),4)</f>
        <v>2</v>
      </c>
      <c r="D128" s="20">
        <f>ROUND(IF(OR($A128&lt;VLOOKUP(D$2,行为概览!$D$3:$U$33,3,0),$A128&gt;VLOOKUP(D$2,行为概览!$D$3:$U$33,4,0)),0,VLOOKUP(D$2,行为概览!$D$3:$U$33,6,0)),4)</f>
        <v>8.3299999999999999E-2</v>
      </c>
      <c r="E128" s="20">
        <f>ROUND(IF(OR($A128&lt;VLOOKUP(E$2,行为概览!$D$3:$U$33,3,0),$A128&gt;VLOOKUP(E$2,行为概览!$D$3:$U$33,4,0)),0,VLOOKUP(E$2,行为概览!$D$3:$U$33,6,0)),4)</f>
        <v>1</v>
      </c>
      <c r="F128" s="20">
        <f>ROUND(IF(OR($A128&lt;VLOOKUP(F$2,行为概览!$D$3:$U$33,3,0),$A128&gt;VLOOKUP(F$2,行为概览!$D$3:$U$33,4,0)),0,VLOOKUP(F$2,行为概览!$D$3:$U$33,6,0)),4)</f>
        <v>0.33329999999999999</v>
      </c>
      <c r="G128" s="20">
        <f>ROUND(IF(OR($A128&lt;VLOOKUP(G$2,行为概览!$D$3:$U$33,3,0),$A128&gt;VLOOKUP(G$2,行为概览!$D$3:$U$33,4,0)),0,VLOOKUP(G$2,行为概览!$D$3:$U$33,6,0)),4)</f>
        <v>0</v>
      </c>
      <c r="H128" s="20">
        <f>ROUND(IF(OR($A128&lt;VLOOKUP(H$2,行为概览!$D$3:$U$33,3,0),$A128&gt;VLOOKUP(H$2,行为概览!$D$3:$U$33,4,0)),0,VLOOKUP(H$2,行为概览!$D$3:$U$33,6,0)),4)</f>
        <v>0</v>
      </c>
      <c r="I128" s="20">
        <f>ROUND(IF(OR($A128&lt;VLOOKUP(I$2,行为概览!$D$3:$U$33,3,0),$A128&gt;VLOOKUP(I$2,行为概览!$D$3:$U$33,4,0)),0,VLOOKUP(I$2,行为概览!$D$3:$U$33,6,0)),4)</f>
        <v>0</v>
      </c>
      <c r="J128" s="20">
        <f>ROUND(IF(OR($A128&lt;VLOOKUP(J$2,行为概览!$D$3:$U$33,3,0),$A128&gt;VLOOKUP(J$2,行为概览!$D$3:$U$33,4,0)),0,VLOOKUP(J$2,行为概览!$D$3:$U$33,6,0)),4)</f>
        <v>0.5</v>
      </c>
      <c r="K128" s="20">
        <f>ROUND(IF(OR($A128&lt;VLOOKUP(K$2,行为概览!$D$3:$U$33,3,0),$A128&gt;VLOOKUP(K$2,行为概览!$D$3:$U$33,4,0)),0,VLOOKUP(K$2,行为概览!$D$3:$U$33,6,0)),4)</f>
        <v>0.16669999999999999</v>
      </c>
      <c r="L128" s="20">
        <f>ROUND(IF(OR($A128&lt;VLOOKUP(L$2,行为概览!$D$3:$U$33,3,0),$A128&gt;VLOOKUP(L$2,行为概览!$D$3:$U$33,4,0)),0,VLOOKUP(L$2,行为概览!$D$3:$U$33,6,0)),4)</f>
        <v>0.5</v>
      </c>
      <c r="M128" s="20">
        <f>ROUND(IF(OR($A128&lt;VLOOKUP(M$2,行为概览!$D$3:$U$33,3,0),$A128&gt;VLOOKUP(M$2,行为概览!$D$3:$U$33,4,0)),0,VLOOKUP(M$2,行为概览!$D$3:$U$33,6,0)),4)</f>
        <v>12</v>
      </c>
      <c r="N128" s="20">
        <f>ROUND(IF(OR($A128&lt;VLOOKUP(N$2,行为概览!$D$3:$U$33,3,0),$A128&gt;VLOOKUP(N$2,行为概览!$D$3:$U$33,4,0)),0,VLOOKUP(N$2,行为概览!$D$3:$U$33,6,0)),4)</f>
        <v>8.3299999999999999E-2</v>
      </c>
      <c r="O128" s="20">
        <f>ROUND(IF(OR($A128&lt;VLOOKUP(O$2,行为概览!$D$3:$U$33,3,0),$A128&gt;VLOOKUP(O$2,行为概览!$D$3:$U$33,4,0)),0,VLOOKUP(O$2,行为概览!$D$3:$U$33,6,0)),4)</f>
        <v>8.3299999999999999E-2</v>
      </c>
      <c r="P128" s="20">
        <f>ROUND(IF(OR($A128&lt;VLOOKUP(P$2,行为概览!$D$3:$U$33,3,0),$A128&gt;VLOOKUP(P$2,行为概览!$D$3:$U$33,4,0)),0,VLOOKUP(P$2,行为概览!$D$3:$U$33,6,0)),4)</f>
        <v>2.6</v>
      </c>
      <c r="Q128" s="20">
        <f>ROUND(IF(OR($A128&lt;VLOOKUP(Q$2,行为概览!$D$3:$U$33,3,0),$A128&gt;VLOOKUP(Q$2,行为概览!$D$3:$U$33,4,0)),0,VLOOKUP(Q$2,行为概览!$D$3:$U$33,6,0)),4)</f>
        <v>1</v>
      </c>
      <c r="R128" s="20">
        <f>ROUND(IF(OR($A128&lt;VLOOKUP(R$2,行为概览!$D$3:$U$33,3,0),$A128&gt;VLOOKUP(R$2,行为概览!$D$3:$U$33,4,0)),0,VLOOKUP(R$2,行为概览!$D$3:$U$33,6,0)),4)</f>
        <v>0.33329999999999999</v>
      </c>
      <c r="S128" s="20">
        <f>ROUND(IF(OR($A128&lt;VLOOKUP(S$2,行为概览!$D$3:$U$33,3,0),$A128&gt;VLOOKUP(S$2,行为概览!$D$3:$U$33,4,0)),0,VLOOKUP(S$2,行为概览!$D$3:$U$33,6,0)),4)</f>
        <v>0</v>
      </c>
      <c r="T128" s="20">
        <f>ROUND(IF(OR($A128&lt;VLOOKUP(T$2,行为概览!$D$3:$U$33,3,0),$A128&gt;VLOOKUP(T$2,行为概览!$D$3:$U$33,4,0)),0,VLOOKUP(T$2,行为概览!$D$3:$U$33,6,0)),4)</f>
        <v>0.33329999999999999</v>
      </c>
      <c r="U128" s="20">
        <f>ROUND(IF(OR($A128&lt;VLOOKUP(U$2,行为概览!$D$3:$U$33,3,0),$A128&gt;VLOOKUP(U$2,行为概览!$D$3:$U$33,4,0)),0,VLOOKUP(U$2,行为概览!$D$3:$U$33,6,0)),4)</f>
        <v>0.16669999999999999</v>
      </c>
      <c r="V128" s="20">
        <f>ROUND(IF(OR($A128&lt;VLOOKUP(V$2,行为概览!$D$3:$U$33,3,0),$A128&gt;VLOOKUP(V$2,行为概览!$D$3:$U$33,4,0)),0,VLOOKUP(V$2,行为概览!$D$3:$U$33,6,0)),4)</f>
        <v>0.16669999999999999</v>
      </c>
      <c r="W128" s="20">
        <f>ROUND(IF(OR($A128&lt;VLOOKUP(W$2,行为概览!$D$3:$U$33,3,0),$A128&gt;VLOOKUP(W$2,行为概览!$D$3:$U$33,4,0)),0,VLOOKUP(W$2,行为概览!$D$3:$U$33,6,0)),4)</f>
        <v>0.16669999999999999</v>
      </c>
      <c r="X128" s="20">
        <f>ROUND(IF(OR($A128&lt;VLOOKUP(X$2,行为概览!$D$3:$U$33,3,0),$A128&gt;VLOOKUP(X$2,行为概览!$D$3:$U$33,4,0)),0,VLOOKUP(X$2,行为概览!$D$3:$U$33,6,0)),4)</f>
        <v>0.25</v>
      </c>
      <c r="Y128" s="20">
        <f>ROUND(IF(OR($A128&lt;VLOOKUP(Y$2,行为概览!$D$3:$U$33,3,0),$A128&gt;VLOOKUP(Y$2,行为概览!$D$3:$U$33,4,0)),0,VLOOKUP(Y$2,行为概览!$D$3:$U$33,6,0)),4)</f>
        <v>0.58330000000000004</v>
      </c>
      <c r="Z128" s="20">
        <f>ROUND(IF(OR($A128&lt;VLOOKUP(Z$2,行为概览!$D$3:$U$33,3,0),$A128&gt;VLOOKUP(Z$2,行为概览!$D$3:$U$33,4,0)),0,VLOOKUP(Z$2,行为概览!$D$3:$U$33,6,0)),4)</f>
        <v>0.16669999999999999</v>
      </c>
      <c r="AA128" s="20">
        <f>ROUND(IF(OR($A128&lt;VLOOKUP(AA$2,行为概览!$D$3:$U$33,3,0),$A128&gt;VLOOKUP(AA$2,行为概览!$D$3:$U$33,4,0)),0,VLOOKUP(AA$2,行为概览!$D$3:$U$33,6,0)),4)</f>
        <v>0</v>
      </c>
      <c r="AB128" s="20">
        <f>ROUND(IF(OR($A128&lt;VLOOKUP(AB$2,行为概览!$D$3:$U$33,3,0),$A128&gt;VLOOKUP(AB$2,行为概览!$D$3:$U$33,4,0)),0,VLOOKUP(AB$2,行为概览!$D$3:$U$33,6,0)),4)</f>
        <v>0</v>
      </c>
      <c r="AC128" s="20">
        <f>ROUND(IF(OR($A128&lt;VLOOKUP(AC$2,行为概览!$D$3:$U$33,3,0),$A128&gt;VLOOKUP(AC$2,行为概览!$D$3:$U$33,4,0)),0,VLOOKUP(AC$2,行为概览!$D$3:$U$33,6,0)),4)</f>
        <v>0</v>
      </c>
      <c r="AD128" s="20">
        <f>ROUND(IF(OR($A128&lt;VLOOKUP(AD$2,行为概览!$D$3:$U$33,3,0),$A128&gt;VLOOKUP(AD$2,行为概览!$D$3:$U$33,4,0)),0,VLOOKUP(AD$2,行为概览!$D$3:$U$33,6,0)),4)</f>
        <v>0</v>
      </c>
      <c r="AE128" s="20">
        <f>ROUND(IF(OR($A128&lt;VLOOKUP(AE$2,行为概览!$D$3:$U$33,3,0),$A128&gt;VLOOKUP(AE$2,行为概览!$D$3:$U$33,4,0)),0,VLOOKUP(AE$2,行为概览!$D$3:$U$33,6,0)),4)</f>
        <v>8.3299999999999999E-2</v>
      </c>
      <c r="AF128" s="20">
        <f>ROUND(IF(OR($A128&lt;VLOOKUP(AF$2,行为概览!$D$3:$U$33,3,0),$A128&gt;VLOOKUP(AF$2,行为概览!$D$3:$U$33,4,0)),0,VLOOKUP(AF$2,行为概览!$D$3:$U$33,6,0)),4)</f>
        <v>0</v>
      </c>
    </row>
    <row r="129" spans="1:32">
      <c r="A129" s="19">
        <v>127</v>
      </c>
      <c r="B129" s="20">
        <f>ROUND(IF(OR($A129&lt;VLOOKUP(B$2,行为概览!$D$3:$U$33,3,0),$A129&gt;VLOOKUP(B$2,行为概览!$D$3:$U$33,4,0)),0,VLOOKUP(B$2,行为概览!$D$3:$U$33,6,0)),4)</f>
        <v>0.33329999999999999</v>
      </c>
      <c r="C129" s="20">
        <f>ROUND(IF(OR($A129&lt;VLOOKUP(C$2,行为概览!$D$3:$U$33,3,0),$A129&gt;VLOOKUP(C$2,行为概览!$D$3:$U$33,4,0)),0,VLOOKUP(C$2,行为概览!$D$3:$U$33,6,0)),4)</f>
        <v>2</v>
      </c>
      <c r="D129" s="20">
        <f>ROUND(IF(OR($A129&lt;VLOOKUP(D$2,行为概览!$D$3:$U$33,3,0),$A129&gt;VLOOKUP(D$2,行为概览!$D$3:$U$33,4,0)),0,VLOOKUP(D$2,行为概览!$D$3:$U$33,6,0)),4)</f>
        <v>8.3299999999999999E-2</v>
      </c>
      <c r="E129" s="20">
        <f>ROUND(IF(OR($A129&lt;VLOOKUP(E$2,行为概览!$D$3:$U$33,3,0),$A129&gt;VLOOKUP(E$2,行为概览!$D$3:$U$33,4,0)),0,VLOOKUP(E$2,行为概览!$D$3:$U$33,6,0)),4)</f>
        <v>1</v>
      </c>
      <c r="F129" s="20">
        <f>ROUND(IF(OR($A129&lt;VLOOKUP(F$2,行为概览!$D$3:$U$33,3,0),$A129&gt;VLOOKUP(F$2,行为概览!$D$3:$U$33,4,0)),0,VLOOKUP(F$2,行为概览!$D$3:$U$33,6,0)),4)</f>
        <v>0.33329999999999999</v>
      </c>
      <c r="G129" s="20">
        <f>ROUND(IF(OR($A129&lt;VLOOKUP(G$2,行为概览!$D$3:$U$33,3,0),$A129&gt;VLOOKUP(G$2,行为概览!$D$3:$U$33,4,0)),0,VLOOKUP(G$2,行为概览!$D$3:$U$33,6,0)),4)</f>
        <v>0</v>
      </c>
      <c r="H129" s="20">
        <f>ROUND(IF(OR($A129&lt;VLOOKUP(H$2,行为概览!$D$3:$U$33,3,0),$A129&gt;VLOOKUP(H$2,行为概览!$D$3:$U$33,4,0)),0,VLOOKUP(H$2,行为概览!$D$3:$U$33,6,0)),4)</f>
        <v>0</v>
      </c>
      <c r="I129" s="20">
        <f>ROUND(IF(OR($A129&lt;VLOOKUP(I$2,行为概览!$D$3:$U$33,3,0),$A129&gt;VLOOKUP(I$2,行为概览!$D$3:$U$33,4,0)),0,VLOOKUP(I$2,行为概览!$D$3:$U$33,6,0)),4)</f>
        <v>0</v>
      </c>
      <c r="J129" s="20">
        <f>ROUND(IF(OR($A129&lt;VLOOKUP(J$2,行为概览!$D$3:$U$33,3,0),$A129&gt;VLOOKUP(J$2,行为概览!$D$3:$U$33,4,0)),0,VLOOKUP(J$2,行为概览!$D$3:$U$33,6,0)),4)</f>
        <v>0.5</v>
      </c>
      <c r="K129" s="20">
        <f>ROUND(IF(OR($A129&lt;VLOOKUP(K$2,行为概览!$D$3:$U$33,3,0),$A129&gt;VLOOKUP(K$2,行为概览!$D$3:$U$33,4,0)),0,VLOOKUP(K$2,行为概览!$D$3:$U$33,6,0)),4)</f>
        <v>0.16669999999999999</v>
      </c>
      <c r="L129" s="20">
        <f>ROUND(IF(OR($A129&lt;VLOOKUP(L$2,行为概览!$D$3:$U$33,3,0),$A129&gt;VLOOKUP(L$2,行为概览!$D$3:$U$33,4,0)),0,VLOOKUP(L$2,行为概览!$D$3:$U$33,6,0)),4)</f>
        <v>0.5</v>
      </c>
      <c r="M129" s="20">
        <f>ROUND(IF(OR($A129&lt;VLOOKUP(M$2,行为概览!$D$3:$U$33,3,0),$A129&gt;VLOOKUP(M$2,行为概览!$D$3:$U$33,4,0)),0,VLOOKUP(M$2,行为概览!$D$3:$U$33,6,0)),4)</f>
        <v>12</v>
      </c>
      <c r="N129" s="20">
        <f>ROUND(IF(OR($A129&lt;VLOOKUP(N$2,行为概览!$D$3:$U$33,3,0),$A129&gt;VLOOKUP(N$2,行为概览!$D$3:$U$33,4,0)),0,VLOOKUP(N$2,行为概览!$D$3:$U$33,6,0)),4)</f>
        <v>8.3299999999999999E-2</v>
      </c>
      <c r="O129" s="20">
        <f>ROUND(IF(OR($A129&lt;VLOOKUP(O$2,行为概览!$D$3:$U$33,3,0),$A129&gt;VLOOKUP(O$2,行为概览!$D$3:$U$33,4,0)),0,VLOOKUP(O$2,行为概览!$D$3:$U$33,6,0)),4)</f>
        <v>8.3299999999999999E-2</v>
      </c>
      <c r="P129" s="20">
        <f>ROUND(IF(OR($A129&lt;VLOOKUP(P$2,行为概览!$D$3:$U$33,3,0),$A129&gt;VLOOKUP(P$2,行为概览!$D$3:$U$33,4,0)),0,VLOOKUP(P$2,行为概览!$D$3:$U$33,6,0)),4)</f>
        <v>2.6</v>
      </c>
      <c r="Q129" s="20">
        <f>ROUND(IF(OR($A129&lt;VLOOKUP(Q$2,行为概览!$D$3:$U$33,3,0),$A129&gt;VLOOKUP(Q$2,行为概览!$D$3:$U$33,4,0)),0,VLOOKUP(Q$2,行为概览!$D$3:$U$33,6,0)),4)</f>
        <v>1</v>
      </c>
      <c r="R129" s="20">
        <f>ROUND(IF(OR($A129&lt;VLOOKUP(R$2,行为概览!$D$3:$U$33,3,0),$A129&gt;VLOOKUP(R$2,行为概览!$D$3:$U$33,4,0)),0,VLOOKUP(R$2,行为概览!$D$3:$U$33,6,0)),4)</f>
        <v>0.33329999999999999</v>
      </c>
      <c r="S129" s="20">
        <f>ROUND(IF(OR($A129&lt;VLOOKUP(S$2,行为概览!$D$3:$U$33,3,0),$A129&gt;VLOOKUP(S$2,行为概览!$D$3:$U$33,4,0)),0,VLOOKUP(S$2,行为概览!$D$3:$U$33,6,0)),4)</f>
        <v>0</v>
      </c>
      <c r="T129" s="20">
        <f>ROUND(IF(OR($A129&lt;VLOOKUP(T$2,行为概览!$D$3:$U$33,3,0),$A129&gt;VLOOKUP(T$2,行为概览!$D$3:$U$33,4,0)),0,VLOOKUP(T$2,行为概览!$D$3:$U$33,6,0)),4)</f>
        <v>0.33329999999999999</v>
      </c>
      <c r="U129" s="20">
        <f>ROUND(IF(OR($A129&lt;VLOOKUP(U$2,行为概览!$D$3:$U$33,3,0),$A129&gt;VLOOKUP(U$2,行为概览!$D$3:$U$33,4,0)),0,VLOOKUP(U$2,行为概览!$D$3:$U$33,6,0)),4)</f>
        <v>0.16669999999999999</v>
      </c>
      <c r="V129" s="20">
        <f>ROUND(IF(OR($A129&lt;VLOOKUP(V$2,行为概览!$D$3:$U$33,3,0),$A129&gt;VLOOKUP(V$2,行为概览!$D$3:$U$33,4,0)),0,VLOOKUP(V$2,行为概览!$D$3:$U$33,6,0)),4)</f>
        <v>0.16669999999999999</v>
      </c>
      <c r="W129" s="20">
        <f>ROUND(IF(OR($A129&lt;VLOOKUP(W$2,行为概览!$D$3:$U$33,3,0),$A129&gt;VLOOKUP(W$2,行为概览!$D$3:$U$33,4,0)),0,VLOOKUP(W$2,行为概览!$D$3:$U$33,6,0)),4)</f>
        <v>0.16669999999999999</v>
      </c>
      <c r="X129" s="20">
        <f>ROUND(IF(OR($A129&lt;VLOOKUP(X$2,行为概览!$D$3:$U$33,3,0),$A129&gt;VLOOKUP(X$2,行为概览!$D$3:$U$33,4,0)),0,VLOOKUP(X$2,行为概览!$D$3:$U$33,6,0)),4)</f>
        <v>0.25</v>
      </c>
      <c r="Y129" s="20">
        <f>ROUND(IF(OR($A129&lt;VLOOKUP(Y$2,行为概览!$D$3:$U$33,3,0),$A129&gt;VLOOKUP(Y$2,行为概览!$D$3:$U$33,4,0)),0,VLOOKUP(Y$2,行为概览!$D$3:$U$33,6,0)),4)</f>
        <v>0.58330000000000004</v>
      </c>
      <c r="Z129" s="20">
        <f>ROUND(IF(OR($A129&lt;VLOOKUP(Z$2,行为概览!$D$3:$U$33,3,0),$A129&gt;VLOOKUP(Z$2,行为概览!$D$3:$U$33,4,0)),0,VLOOKUP(Z$2,行为概览!$D$3:$U$33,6,0)),4)</f>
        <v>0.16669999999999999</v>
      </c>
      <c r="AA129" s="20">
        <f>ROUND(IF(OR($A129&lt;VLOOKUP(AA$2,行为概览!$D$3:$U$33,3,0),$A129&gt;VLOOKUP(AA$2,行为概览!$D$3:$U$33,4,0)),0,VLOOKUP(AA$2,行为概览!$D$3:$U$33,6,0)),4)</f>
        <v>0</v>
      </c>
      <c r="AB129" s="20">
        <f>ROUND(IF(OR($A129&lt;VLOOKUP(AB$2,行为概览!$D$3:$U$33,3,0),$A129&gt;VLOOKUP(AB$2,行为概览!$D$3:$U$33,4,0)),0,VLOOKUP(AB$2,行为概览!$D$3:$U$33,6,0)),4)</f>
        <v>0</v>
      </c>
      <c r="AC129" s="20">
        <f>ROUND(IF(OR($A129&lt;VLOOKUP(AC$2,行为概览!$D$3:$U$33,3,0),$A129&gt;VLOOKUP(AC$2,行为概览!$D$3:$U$33,4,0)),0,VLOOKUP(AC$2,行为概览!$D$3:$U$33,6,0)),4)</f>
        <v>0</v>
      </c>
      <c r="AD129" s="20">
        <f>ROUND(IF(OR($A129&lt;VLOOKUP(AD$2,行为概览!$D$3:$U$33,3,0),$A129&gt;VLOOKUP(AD$2,行为概览!$D$3:$U$33,4,0)),0,VLOOKUP(AD$2,行为概览!$D$3:$U$33,6,0)),4)</f>
        <v>0</v>
      </c>
      <c r="AE129" s="20">
        <f>ROUND(IF(OR($A129&lt;VLOOKUP(AE$2,行为概览!$D$3:$U$33,3,0),$A129&gt;VLOOKUP(AE$2,行为概览!$D$3:$U$33,4,0)),0,VLOOKUP(AE$2,行为概览!$D$3:$U$33,6,0)),4)</f>
        <v>8.3299999999999999E-2</v>
      </c>
      <c r="AF129" s="20">
        <f>ROUND(IF(OR($A129&lt;VLOOKUP(AF$2,行为概览!$D$3:$U$33,3,0),$A129&gt;VLOOKUP(AF$2,行为概览!$D$3:$U$33,4,0)),0,VLOOKUP(AF$2,行为概览!$D$3:$U$33,6,0)),4)</f>
        <v>0</v>
      </c>
    </row>
    <row r="130" spans="1:32">
      <c r="A130" s="19">
        <v>128</v>
      </c>
      <c r="B130" s="20">
        <f>ROUND(IF(OR($A130&lt;VLOOKUP(B$2,行为概览!$D$3:$U$33,3,0),$A130&gt;VLOOKUP(B$2,行为概览!$D$3:$U$33,4,0)),0,VLOOKUP(B$2,行为概览!$D$3:$U$33,6,0)),4)</f>
        <v>0.33329999999999999</v>
      </c>
      <c r="C130" s="20">
        <f>ROUND(IF(OR($A130&lt;VLOOKUP(C$2,行为概览!$D$3:$U$33,3,0),$A130&gt;VLOOKUP(C$2,行为概览!$D$3:$U$33,4,0)),0,VLOOKUP(C$2,行为概览!$D$3:$U$33,6,0)),4)</f>
        <v>2</v>
      </c>
      <c r="D130" s="20">
        <f>ROUND(IF(OR($A130&lt;VLOOKUP(D$2,行为概览!$D$3:$U$33,3,0),$A130&gt;VLOOKUP(D$2,行为概览!$D$3:$U$33,4,0)),0,VLOOKUP(D$2,行为概览!$D$3:$U$33,6,0)),4)</f>
        <v>8.3299999999999999E-2</v>
      </c>
      <c r="E130" s="20">
        <f>ROUND(IF(OR($A130&lt;VLOOKUP(E$2,行为概览!$D$3:$U$33,3,0),$A130&gt;VLOOKUP(E$2,行为概览!$D$3:$U$33,4,0)),0,VLOOKUP(E$2,行为概览!$D$3:$U$33,6,0)),4)</f>
        <v>1</v>
      </c>
      <c r="F130" s="20">
        <f>ROUND(IF(OR($A130&lt;VLOOKUP(F$2,行为概览!$D$3:$U$33,3,0),$A130&gt;VLOOKUP(F$2,行为概览!$D$3:$U$33,4,0)),0,VLOOKUP(F$2,行为概览!$D$3:$U$33,6,0)),4)</f>
        <v>0.33329999999999999</v>
      </c>
      <c r="G130" s="20">
        <f>ROUND(IF(OR($A130&lt;VLOOKUP(G$2,行为概览!$D$3:$U$33,3,0),$A130&gt;VLOOKUP(G$2,行为概览!$D$3:$U$33,4,0)),0,VLOOKUP(G$2,行为概览!$D$3:$U$33,6,0)),4)</f>
        <v>0</v>
      </c>
      <c r="H130" s="20">
        <f>ROUND(IF(OR($A130&lt;VLOOKUP(H$2,行为概览!$D$3:$U$33,3,0),$A130&gt;VLOOKUP(H$2,行为概览!$D$3:$U$33,4,0)),0,VLOOKUP(H$2,行为概览!$D$3:$U$33,6,0)),4)</f>
        <v>0</v>
      </c>
      <c r="I130" s="20">
        <f>ROUND(IF(OR($A130&lt;VLOOKUP(I$2,行为概览!$D$3:$U$33,3,0),$A130&gt;VLOOKUP(I$2,行为概览!$D$3:$U$33,4,0)),0,VLOOKUP(I$2,行为概览!$D$3:$U$33,6,0)),4)</f>
        <v>0</v>
      </c>
      <c r="J130" s="20">
        <f>ROUND(IF(OR($A130&lt;VLOOKUP(J$2,行为概览!$D$3:$U$33,3,0),$A130&gt;VLOOKUP(J$2,行为概览!$D$3:$U$33,4,0)),0,VLOOKUP(J$2,行为概览!$D$3:$U$33,6,0)),4)</f>
        <v>0.5</v>
      </c>
      <c r="K130" s="20">
        <f>ROUND(IF(OR($A130&lt;VLOOKUP(K$2,行为概览!$D$3:$U$33,3,0),$A130&gt;VLOOKUP(K$2,行为概览!$D$3:$U$33,4,0)),0,VLOOKUP(K$2,行为概览!$D$3:$U$33,6,0)),4)</f>
        <v>0.16669999999999999</v>
      </c>
      <c r="L130" s="20">
        <f>ROUND(IF(OR($A130&lt;VLOOKUP(L$2,行为概览!$D$3:$U$33,3,0),$A130&gt;VLOOKUP(L$2,行为概览!$D$3:$U$33,4,0)),0,VLOOKUP(L$2,行为概览!$D$3:$U$33,6,0)),4)</f>
        <v>0.5</v>
      </c>
      <c r="M130" s="20">
        <f>ROUND(IF(OR($A130&lt;VLOOKUP(M$2,行为概览!$D$3:$U$33,3,0),$A130&gt;VLOOKUP(M$2,行为概览!$D$3:$U$33,4,0)),0,VLOOKUP(M$2,行为概览!$D$3:$U$33,6,0)),4)</f>
        <v>12</v>
      </c>
      <c r="N130" s="20">
        <f>ROUND(IF(OR($A130&lt;VLOOKUP(N$2,行为概览!$D$3:$U$33,3,0),$A130&gt;VLOOKUP(N$2,行为概览!$D$3:$U$33,4,0)),0,VLOOKUP(N$2,行为概览!$D$3:$U$33,6,0)),4)</f>
        <v>8.3299999999999999E-2</v>
      </c>
      <c r="O130" s="20">
        <f>ROUND(IF(OR($A130&lt;VLOOKUP(O$2,行为概览!$D$3:$U$33,3,0),$A130&gt;VLOOKUP(O$2,行为概览!$D$3:$U$33,4,0)),0,VLOOKUP(O$2,行为概览!$D$3:$U$33,6,0)),4)</f>
        <v>8.3299999999999999E-2</v>
      </c>
      <c r="P130" s="20">
        <f>ROUND(IF(OR($A130&lt;VLOOKUP(P$2,行为概览!$D$3:$U$33,3,0),$A130&gt;VLOOKUP(P$2,行为概览!$D$3:$U$33,4,0)),0,VLOOKUP(P$2,行为概览!$D$3:$U$33,6,0)),4)</f>
        <v>2.6</v>
      </c>
      <c r="Q130" s="20">
        <f>ROUND(IF(OR($A130&lt;VLOOKUP(Q$2,行为概览!$D$3:$U$33,3,0),$A130&gt;VLOOKUP(Q$2,行为概览!$D$3:$U$33,4,0)),0,VLOOKUP(Q$2,行为概览!$D$3:$U$33,6,0)),4)</f>
        <v>1</v>
      </c>
      <c r="R130" s="20">
        <f>ROUND(IF(OR($A130&lt;VLOOKUP(R$2,行为概览!$D$3:$U$33,3,0),$A130&gt;VLOOKUP(R$2,行为概览!$D$3:$U$33,4,0)),0,VLOOKUP(R$2,行为概览!$D$3:$U$33,6,0)),4)</f>
        <v>0.33329999999999999</v>
      </c>
      <c r="S130" s="20">
        <f>ROUND(IF(OR($A130&lt;VLOOKUP(S$2,行为概览!$D$3:$U$33,3,0),$A130&gt;VLOOKUP(S$2,行为概览!$D$3:$U$33,4,0)),0,VLOOKUP(S$2,行为概览!$D$3:$U$33,6,0)),4)</f>
        <v>0</v>
      </c>
      <c r="T130" s="20">
        <f>ROUND(IF(OR($A130&lt;VLOOKUP(T$2,行为概览!$D$3:$U$33,3,0),$A130&gt;VLOOKUP(T$2,行为概览!$D$3:$U$33,4,0)),0,VLOOKUP(T$2,行为概览!$D$3:$U$33,6,0)),4)</f>
        <v>0.33329999999999999</v>
      </c>
      <c r="U130" s="20">
        <f>ROUND(IF(OR($A130&lt;VLOOKUP(U$2,行为概览!$D$3:$U$33,3,0),$A130&gt;VLOOKUP(U$2,行为概览!$D$3:$U$33,4,0)),0,VLOOKUP(U$2,行为概览!$D$3:$U$33,6,0)),4)</f>
        <v>0.16669999999999999</v>
      </c>
      <c r="V130" s="20">
        <f>ROUND(IF(OR($A130&lt;VLOOKUP(V$2,行为概览!$D$3:$U$33,3,0),$A130&gt;VLOOKUP(V$2,行为概览!$D$3:$U$33,4,0)),0,VLOOKUP(V$2,行为概览!$D$3:$U$33,6,0)),4)</f>
        <v>0.16669999999999999</v>
      </c>
      <c r="W130" s="20">
        <f>ROUND(IF(OR($A130&lt;VLOOKUP(W$2,行为概览!$D$3:$U$33,3,0),$A130&gt;VLOOKUP(W$2,行为概览!$D$3:$U$33,4,0)),0,VLOOKUP(W$2,行为概览!$D$3:$U$33,6,0)),4)</f>
        <v>0.16669999999999999</v>
      </c>
      <c r="X130" s="20">
        <f>ROUND(IF(OR($A130&lt;VLOOKUP(X$2,行为概览!$D$3:$U$33,3,0),$A130&gt;VLOOKUP(X$2,行为概览!$D$3:$U$33,4,0)),0,VLOOKUP(X$2,行为概览!$D$3:$U$33,6,0)),4)</f>
        <v>0.25</v>
      </c>
      <c r="Y130" s="20">
        <f>ROUND(IF(OR($A130&lt;VLOOKUP(Y$2,行为概览!$D$3:$U$33,3,0),$A130&gt;VLOOKUP(Y$2,行为概览!$D$3:$U$33,4,0)),0,VLOOKUP(Y$2,行为概览!$D$3:$U$33,6,0)),4)</f>
        <v>0.58330000000000004</v>
      </c>
      <c r="Z130" s="20">
        <f>ROUND(IF(OR($A130&lt;VLOOKUP(Z$2,行为概览!$D$3:$U$33,3,0),$A130&gt;VLOOKUP(Z$2,行为概览!$D$3:$U$33,4,0)),0,VLOOKUP(Z$2,行为概览!$D$3:$U$33,6,0)),4)</f>
        <v>0.16669999999999999</v>
      </c>
      <c r="AA130" s="20">
        <f>ROUND(IF(OR($A130&lt;VLOOKUP(AA$2,行为概览!$D$3:$U$33,3,0),$A130&gt;VLOOKUP(AA$2,行为概览!$D$3:$U$33,4,0)),0,VLOOKUP(AA$2,行为概览!$D$3:$U$33,6,0)),4)</f>
        <v>0</v>
      </c>
      <c r="AB130" s="20">
        <f>ROUND(IF(OR($A130&lt;VLOOKUP(AB$2,行为概览!$D$3:$U$33,3,0),$A130&gt;VLOOKUP(AB$2,行为概览!$D$3:$U$33,4,0)),0,VLOOKUP(AB$2,行为概览!$D$3:$U$33,6,0)),4)</f>
        <v>0</v>
      </c>
      <c r="AC130" s="20">
        <f>ROUND(IF(OR($A130&lt;VLOOKUP(AC$2,行为概览!$D$3:$U$33,3,0),$A130&gt;VLOOKUP(AC$2,行为概览!$D$3:$U$33,4,0)),0,VLOOKUP(AC$2,行为概览!$D$3:$U$33,6,0)),4)</f>
        <v>0</v>
      </c>
      <c r="AD130" s="20">
        <f>ROUND(IF(OR($A130&lt;VLOOKUP(AD$2,行为概览!$D$3:$U$33,3,0),$A130&gt;VLOOKUP(AD$2,行为概览!$D$3:$U$33,4,0)),0,VLOOKUP(AD$2,行为概览!$D$3:$U$33,6,0)),4)</f>
        <v>0</v>
      </c>
      <c r="AE130" s="20">
        <f>ROUND(IF(OR($A130&lt;VLOOKUP(AE$2,行为概览!$D$3:$U$33,3,0),$A130&gt;VLOOKUP(AE$2,行为概览!$D$3:$U$33,4,0)),0,VLOOKUP(AE$2,行为概览!$D$3:$U$33,6,0)),4)</f>
        <v>8.3299999999999999E-2</v>
      </c>
      <c r="AF130" s="20">
        <f>ROUND(IF(OR($A130&lt;VLOOKUP(AF$2,行为概览!$D$3:$U$33,3,0),$A130&gt;VLOOKUP(AF$2,行为概览!$D$3:$U$33,4,0)),0,VLOOKUP(AF$2,行为概览!$D$3:$U$33,6,0)),4)</f>
        <v>0</v>
      </c>
    </row>
    <row r="131" spans="1:32">
      <c r="A131" s="19">
        <v>129</v>
      </c>
      <c r="B131" s="20">
        <f>ROUND(IF(OR($A131&lt;VLOOKUP(B$2,行为概览!$D$3:$U$33,3,0),$A131&gt;VLOOKUP(B$2,行为概览!$D$3:$U$33,4,0)),0,VLOOKUP(B$2,行为概览!$D$3:$U$33,6,0)),4)</f>
        <v>0.33329999999999999</v>
      </c>
      <c r="C131" s="20">
        <f>ROUND(IF(OR($A131&lt;VLOOKUP(C$2,行为概览!$D$3:$U$33,3,0),$A131&gt;VLOOKUP(C$2,行为概览!$D$3:$U$33,4,0)),0,VLOOKUP(C$2,行为概览!$D$3:$U$33,6,0)),4)</f>
        <v>2</v>
      </c>
      <c r="D131" s="20">
        <f>ROUND(IF(OR($A131&lt;VLOOKUP(D$2,行为概览!$D$3:$U$33,3,0),$A131&gt;VLOOKUP(D$2,行为概览!$D$3:$U$33,4,0)),0,VLOOKUP(D$2,行为概览!$D$3:$U$33,6,0)),4)</f>
        <v>8.3299999999999999E-2</v>
      </c>
      <c r="E131" s="20">
        <f>ROUND(IF(OR($A131&lt;VLOOKUP(E$2,行为概览!$D$3:$U$33,3,0),$A131&gt;VLOOKUP(E$2,行为概览!$D$3:$U$33,4,0)),0,VLOOKUP(E$2,行为概览!$D$3:$U$33,6,0)),4)</f>
        <v>1</v>
      </c>
      <c r="F131" s="20">
        <f>ROUND(IF(OR($A131&lt;VLOOKUP(F$2,行为概览!$D$3:$U$33,3,0),$A131&gt;VLOOKUP(F$2,行为概览!$D$3:$U$33,4,0)),0,VLOOKUP(F$2,行为概览!$D$3:$U$33,6,0)),4)</f>
        <v>0.33329999999999999</v>
      </c>
      <c r="G131" s="20">
        <f>ROUND(IF(OR($A131&lt;VLOOKUP(G$2,行为概览!$D$3:$U$33,3,0),$A131&gt;VLOOKUP(G$2,行为概览!$D$3:$U$33,4,0)),0,VLOOKUP(G$2,行为概览!$D$3:$U$33,6,0)),4)</f>
        <v>0</v>
      </c>
      <c r="H131" s="20">
        <f>ROUND(IF(OR($A131&lt;VLOOKUP(H$2,行为概览!$D$3:$U$33,3,0),$A131&gt;VLOOKUP(H$2,行为概览!$D$3:$U$33,4,0)),0,VLOOKUP(H$2,行为概览!$D$3:$U$33,6,0)),4)</f>
        <v>0</v>
      </c>
      <c r="I131" s="20">
        <f>ROUND(IF(OR($A131&lt;VLOOKUP(I$2,行为概览!$D$3:$U$33,3,0),$A131&gt;VLOOKUP(I$2,行为概览!$D$3:$U$33,4,0)),0,VLOOKUP(I$2,行为概览!$D$3:$U$33,6,0)),4)</f>
        <v>0</v>
      </c>
      <c r="J131" s="20">
        <f>ROUND(IF(OR($A131&lt;VLOOKUP(J$2,行为概览!$D$3:$U$33,3,0),$A131&gt;VLOOKUP(J$2,行为概览!$D$3:$U$33,4,0)),0,VLOOKUP(J$2,行为概览!$D$3:$U$33,6,0)),4)</f>
        <v>0.5</v>
      </c>
      <c r="K131" s="20">
        <f>ROUND(IF(OR($A131&lt;VLOOKUP(K$2,行为概览!$D$3:$U$33,3,0),$A131&gt;VLOOKUP(K$2,行为概览!$D$3:$U$33,4,0)),0,VLOOKUP(K$2,行为概览!$D$3:$U$33,6,0)),4)</f>
        <v>0.16669999999999999</v>
      </c>
      <c r="L131" s="20">
        <f>ROUND(IF(OR($A131&lt;VLOOKUP(L$2,行为概览!$D$3:$U$33,3,0),$A131&gt;VLOOKUP(L$2,行为概览!$D$3:$U$33,4,0)),0,VLOOKUP(L$2,行为概览!$D$3:$U$33,6,0)),4)</f>
        <v>0.5</v>
      </c>
      <c r="M131" s="20">
        <f>ROUND(IF(OR($A131&lt;VLOOKUP(M$2,行为概览!$D$3:$U$33,3,0),$A131&gt;VLOOKUP(M$2,行为概览!$D$3:$U$33,4,0)),0,VLOOKUP(M$2,行为概览!$D$3:$U$33,6,0)),4)</f>
        <v>12</v>
      </c>
      <c r="N131" s="20">
        <f>ROUND(IF(OR($A131&lt;VLOOKUP(N$2,行为概览!$D$3:$U$33,3,0),$A131&gt;VLOOKUP(N$2,行为概览!$D$3:$U$33,4,0)),0,VLOOKUP(N$2,行为概览!$D$3:$U$33,6,0)),4)</f>
        <v>8.3299999999999999E-2</v>
      </c>
      <c r="O131" s="20">
        <f>ROUND(IF(OR($A131&lt;VLOOKUP(O$2,行为概览!$D$3:$U$33,3,0),$A131&gt;VLOOKUP(O$2,行为概览!$D$3:$U$33,4,0)),0,VLOOKUP(O$2,行为概览!$D$3:$U$33,6,0)),4)</f>
        <v>8.3299999999999999E-2</v>
      </c>
      <c r="P131" s="20">
        <f>ROUND(IF(OR($A131&lt;VLOOKUP(P$2,行为概览!$D$3:$U$33,3,0),$A131&gt;VLOOKUP(P$2,行为概览!$D$3:$U$33,4,0)),0,VLOOKUP(P$2,行为概览!$D$3:$U$33,6,0)),4)</f>
        <v>2.6</v>
      </c>
      <c r="Q131" s="20">
        <f>ROUND(IF(OR($A131&lt;VLOOKUP(Q$2,行为概览!$D$3:$U$33,3,0),$A131&gt;VLOOKUP(Q$2,行为概览!$D$3:$U$33,4,0)),0,VLOOKUP(Q$2,行为概览!$D$3:$U$33,6,0)),4)</f>
        <v>1</v>
      </c>
      <c r="R131" s="20">
        <f>ROUND(IF(OR($A131&lt;VLOOKUP(R$2,行为概览!$D$3:$U$33,3,0),$A131&gt;VLOOKUP(R$2,行为概览!$D$3:$U$33,4,0)),0,VLOOKUP(R$2,行为概览!$D$3:$U$33,6,0)),4)</f>
        <v>0.33329999999999999</v>
      </c>
      <c r="S131" s="20">
        <f>ROUND(IF(OR($A131&lt;VLOOKUP(S$2,行为概览!$D$3:$U$33,3,0),$A131&gt;VLOOKUP(S$2,行为概览!$D$3:$U$33,4,0)),0,VLOOKUP(S$2,行为概览!$D$3:$U$33,6,0)),4)</f>
        <v>0</v>
      </c>
      <c r="T131" s="20">
        <f>ROUND(IF(OR($A131&lt;VLOOKUP(T$2,行为概览!$D$3:$U$33,3,0),$A131&gt;VLOOKUP(T$2,行为概览!$D$3:$U$33,4,0)),0,VLOOKUP(T$2,行为概览!$D$3:$U$33,6,0)),4)</f>
        <v>0.33329999999999999</v>
      </c>
      <c r="U131" s="20">
        <f>ROUND(IF(OR($A131&lt;VLOOKUP(U$2,行为概览!$D$3:$U$33,3,0),$A131&gt;VLOOKUP(U$2,行为概览!$D$3:$U$33,4,0)),0,VLOOKUP(U$2,行为概览!$D$3:$U$33,6,0)),4)</f>
        <v>0.16669999999999999</v>
      </c>
      <c r="V131" s="20">
        <f>ROUND(IF(OR($A131&lt;VLOOKUP(V$2,行为概览!$D$3:$U$33,3,0),$A131&gt;VLOOKUP(V$2,行为概览!$D$3:$U$33,4,0)),0,VLOOKUP(V$2,行为概览!$D$3:$U$33,6,0)),4)</f>
        <v>0.16669999999999999</v>
      </c>
      <c r="W131" s="20">
        <f>ROUND(IF(OR($A131&lt;VLOOKUP(W$2,行为概览!$D$3:$U$33,3,0),$A131&gt;VLOOKUP(W$2,行为概览!$D$3:$U$33,4,0)),0,VLOOKUP(W$2,行为概览!$D$3:$U$33,6,0)),4)</f>
        <v>0.16669999999999999</v>
      </c>
      <c r="X131" s="20">
        <f>ROUND(IF(OR($A131&lt;VLOOKUP(X$2,行为概览!$D$3:$U$33,3,0),$A131&gt;VLOOKUP(X$2,行为概览!$D$3:$U$33,4,0)),0,VLOOKUP(X$2,行为概览!$D$3:$U$33,6,0)),4)</f>
        <v>0.25</v>
      </c>
      <c r="Y131" s="20">
        <f>ROUND(IF(OR($A131&lt;VLOOKUP(Y$2,行为概览!$D$3:$U$33,3,0),$A131&gt;VLOOKUP(Y$2,行为概览!$D$3:$U$33,4,0)),0,VLOOKUP(Y$2,行为概览!$D$3:$U$33,6,0)),4)</f>
        <v>0.58330000000000004</v>
      </c>
      <c r="Z131" s="20">
        <f>ROUND(IF(OR($A131&lt;VLOOKUP(Z$2,行为概览!$D$3:$U$33,3,0),$A131&gt;VLOOKUP(Z$2,行为概览!$D$3:$U$33,4,0)),0,VLOOKUP(Z$2,行为概览!$D$3:$U$33,6,0)),4)</f>
        <v>0.16669999999999999</v>
      </c>
      <c r="AA131" s="20">
        <f>ROUND(IF(OR($A131&lt;VLOOKUP(AA$2,行为概览!$D$3:$U$33,3,0),$A131&gt;VLOOKUP(AA$2,行为概览!$D$3:$U$33,4,0)),0,VLOOKUP(AA$2,行为概览!$D$3:$U$33,6,0)),4)</f>
        <v>0</v>
      </c>
      <c r="AB131" s="20">
        <f>ROUND(IF(OR($A131&lt;VLOOKUP(AB$2,行为概览!$D$3:$U$33,3,0),$A131&gt;VLOOKUP(AB$2,行为概览!$D$3:$U$33,4,0)),0,VLOOKUP(AB$2,行为概览!$D$3:$U$33,6,0)),4)</f>
        <v>0</v>
      </c>
      <c r="AC131" s="20">
        <f>ROUND(IF(OR($A131&lt;VLOOKUP(AC$2,行为概览!$D$3:$U$33,3,0),$A131&gt;VLOOKUP(AC$2,行为概览!$D$3:$U$33,4,0)),0,VLOOKUP(AC$2,行为概览!$D$3:$U$33,6,0)),4)</f>
        <v>0</v>
      </c>
      <c r="AD131" s="20">
        <f>ROUND(IF(OR($A131&lt;VLOOKUP(AD$2,行为概览!$D$3:$U$33,3,0),$A131&gt;VLOOKUP(AD$2,行为概览!$D$3:$U$33,4,0)),0,VLOOKUP(AD$2,行为概览!$D$3:$U$33,6,0)),4)</f>
        <v>0</v>
      </c>
      <c r="AE131" s="20">
        <f>ROUND(IF(OR($A131&lt;VLOOKUP(AE$2,行为概览!$D$3:$U$33,3,0),$A131&gt;VLOOKUP(AE$2,行为概览!$D$3:$U$33,4,0)),0,VLOOKUP(AE$2,行为概览!$D$3:$U$33,6,0)),4)</f>
        <v>8.3299999999999999E-2</v>
      </c>
      <c r="AF131" s="20">
        <f>ROUND(IF(OR($A131&lt;VLOOKUP(AF$2,行为概览!$D$3:$U$33,3,0),$A131&gt;VLOOKUP(AF$2,行为概览!$D$3:$U$33,4,0)),0,VLOOKUP(AF$2,行为概览!$D$3:$U$33,6,0)),4)</f>
        <v>0</v>
      </c>
    </row>
    <row r="132" spans="1:32">
      <c r="A132" s="19">
        <v>130</v>
      </c>
      <c r="B132" s="20">
        <f>ROUND(IF(OR($A132&lt;VLOOKUP(B$2,行为概览!$D$3:$U$33,3,0),$A132&gt;VLOOKUP(B$2,行为概览!$D$3:$U$33,4,0)),0,VLOOKUP(B$2,行为概览!$D$3:$U$33,6,0)),4)</f>
        <v>0.33329999999999999</v>
      </c>
      <c r="C132" s="20">
        <f>ROUND(IF(OR($A132&lt;VLOOKUP(C$2,行为概览!$D$3:$U$33,3,0),$A132&gt;VLOOKUP(C$2,行为概览!$D$3:$U$33,4,0)),0,VLOOKUP(C$2,行为概览!$D$3:$U$33,6,0)),4)</f>
        <v>2</v>
      </c>
      <c r="D132" s="20">
        <f>ROUND(IF(OR($A132&lt;VLOOKUP(D$2,行为概览!$D$3:$U$33,3,0),$A132&gt;VLOOKUP(D$2,行为概览!$D$3:$U$33,4,0)),0,VLOOKUP(D$2,行为概览!$D$3:$U$33,6,0)),4)</f>
        <v>8.3299999999999999E-2</v>
      </c>
      <c r="E132" s="20">
        <f>ROUND(IF(OR($A132&lt;VLOOKUP(E$2,行为概览!$D$3:$U$33,3,0),$A132&gt;VLOOKUP(E$2,行为概览!$D$3:$U$33,4,0)),0,VLOOKUP(E$2,行为概览!$D$3:$U$33,6,0)),4)</f>
        <v>1</v>
      </c>
      <c r="F132" s="20">
        <f>ROUND(IF(OR($A132&lt;VLOOKUP(F$2,行为概览!$D$3:$U$33,3,0),$A132&gt;VLOOKUP(F$2,行为概览!$D$3:$U$33,4,0)),0,VLOOKUP(F$2,行为概览!$D$3:$U$33,6,0)),4)</f>
        <v>0.33329999999999999</v>
      </c>
      <c r="G132" s="20">
        <f>ROUND(IF(OR($A132&lt;VLOOKUP(G$2,行为概览!$D$3:$U$33,3,0),$A132&gt;VLOOKUP(G$2,行为概览!$D$3:$U$33,4,0)),0,VLOOKUP(G$2,行为概览!$D$3:$U$33,6,0)),4)</f>
        <v>0</v>
      </c>
      <c r="H132" s="20">
        <f>ROUND(IF(OR($A132&lt;VLOOKUP(H$2,行为概览!$D$3:$U$33,3,0),$A132&gt;VLOOKUP(H$2,行为概览!$D$3:$U$33,4,0)),0,VLOOKUP(H$2,行为概览!$D$3:$U$33,6,0)),4)</f>
        <v>0</v>
      </c>
      <c r="I132" s="20">
        <f>ROUND(IF(OR($A132&lt;VLOOKUP(I$2,行为概览!$D$3:$U$33,3,0),$A132&gt;VLOOKUP(I$2,行为概览!$D$3:$U$33,4,0)),0,VLOOKUP(I$2,行为概览!$D$3:$U$33,6,0)),4)</f>
        <v>0</v>
      </c>
      <c r="J132" s="20">
        <f>ROUND(IF(OR($A132&lt;VLOOKUP(J$2,行为概览!$D$3:$U$33,3,0),$A132&gt;VLOOKUP(J$2,行为概览!$D$3:$U$33,4,0)),0,VLOOKUP(J$2,行为概览!$D$3:$U$33,6,0)),4)</f>
        <v>0.5</v>
      </c>
      <c r="K132" s="20">
        <f>ROUND(IF(OR($A132&lt;VLOOKUP(K$2,行为概览!$D$3:$U$33,3,0),$A132&gt;VLOOKUP(K$2,行为概览!$D$3:$U$33,4,0)),0,VLOOKUP(K$2,行为概览!$D$3:$U$33,6,0)),4)</f>
        <v>0.16669999999999999</v>
      </c>
      <c r="L132" s="20">
        <f>ROUND(IF(OR($A132&lt;VLOOKUP(L$2,行为概览!$D$3:$U$33,3,0),$A132&gt;VLOOKUP(L$2,行为概览!$D$3:$U$33,4,0)),0,VLOOKUP(L$2,行为概览!$D$3:$U$33,6,0)),4)</f>
        <v>0.5</v>
      </c>
      <c r="M132" s="20">
        <f>ROUND(IF(OR($A132&lt;VLOOKUP(M$2,行为概览!$D$3:$U$33,3,0),$A132&gt;VLOOKUP(M$2,行为概览!$D$3:$U$33,4,0)),0,VLOOKUP(M$2,行为概览!$D$3:$U$33,6,0)),4)</f>
        <v>12</v>
      </c>
      <c r="N132" s="20">
        <f>ROUND(IF(OR($A132&lt;VLOOKUP(N$2,行为概览!$D$3:$U$33,3,0),$A132&gt;VLOOKUP(N$2,行为概览!$D$3:$U$33,4,0)),0,VLOOKUP(N$2,行为概览!$D$3:$U$33,6,0)),4)</f>
        <v>8.3299999999999999E-2</v>
      </c>
      <c r="O132" s="20">
        <f>ROUND(IF(OR($A132&lt;VLOOKUP(O$2,行为概览!$D$3:$U$33,3,0),$A132&gt;VLOOKUP(O$2,行为概览!$D$3:$U$33,4,0)),0,VLOOKUP(O$2,行为概览!$D$3:$U$33,6,0)),4)</f>
        <v>8.3299999999999999E-2</v>
      </c>
      <c r="P132" s="20">
        <f>ROUND(IF(OR($A132&lt;VLOOKUP(P$2,行为概览!$D$3:$U$33,3,0),$A132&gt;VLOOKUP(P$2,行为概览!$D$3:$U$33,4,0)),0,VLOOKUP(P$2,行为概览!$D$3:$U$33,6,0)),4)</f>
        <v>2.6</v>
      </c>
      <c r="Q132" s="20">
        <f>ROUND(IF(OR($A132&lt;VLOOKUP(Q$2,行为概览!$D$3:$U$33,3,0),$A132&gt;VLOOKUP(Q$2,行为概览!$D$3:$U$33,4,0)),0,VLOOKUP(Q$2,行为概览!$D$3:$U$33,6,0)),4)</f>
        <v>1</v>
      </c>
      <c r="R132" s="20">
        <f>ROUND(IF(OR($A132&lt;VLOOKUP(R$2,行为概览!$D$3:$U$33,3,0),$A132&gt;VLOOKUP(R$2,行为概览!$D$3:$U$33,4,0)),0,VLOOKUP(R$2,行为概览!$D$3:$U$33,6,0)),4)</f>
        <v>0.33329999999999999</v>
      </c>
      <c r="S132" s="20">
        <f>ROUND(IF(OR($A132&lt;VLOOKUP(S$2,行为概览!$D$3:$U$33,3,0),$A132&gt;VLOOKUP(S$2,行为概览!$D$3:$U$33,4,0)),0,VLOOKUP(S$2,行为概览!$D$3:$U$33,6,0)),4)</f>
        <v>0</v>
      </c>
      <c r="T132" s="20">
        <f>ROUND(IF(OR($A132&lt;VLOOKUP(T$2,行为概览!$D$3:$U$33,3,0),$A132&gt;VLOOKUP(T$2,行为概览!$D$3:$U$33,4,0)),0,VLOOKUP(T$2,行为概览!$D$3:$U$33,6,0)),4)</f>
        <v>0.33329999999999999</v>
      </c>
      <c r="U132" s="20">
        <f>ROUND(IF(OR($A132&lt;VLOOKUP(U$2,行为概览!$D$3:$U$33,3,0),$A132&gt;VLOOKUP(U$2,行为概览!$D$3:$U$33,4,0)),0,VLOOKUP(U$2,行为概览!$D$3:$U$33,6,0)),4)</f>
        <v>0.16669999999999999</v>
      </c>
      <c r="V132" s="20">
        <f>ROUND(IF(OR($A132&lt;VLOOKUP(V$2,行为概览!$D$3:$U$33,3,0),$A132&gt;VLOOKUP(V$2,行为概览!$D$3:$U$33,4,0)),0,VLOOKUP(V$2,行为概览!$D$3:$U$33,6,0)),4)</f>
        <v>0.16669999999999999</v>
      </c>
      <c r="W132" s="20">
        <f>ROUND(IF(OR($A132&lt;VLOOKUP(W$2,行为概览!$D$3:$U$33,3,0),$A132&gt;VLOOKUP(W$2,行为概览!$D$3:$U$33,4,0)),0,VLOOKUP(W$2,行为概览!$D$3:$U$33,6,0)),4)</f>
        <v>0.16669999999999999</v>
      </c>
      <c r="X132" s="20">
        <f>ROUND(IF(OR($A132&lt;VLOOKUP(X$2,行为概览!$D$3:$U$33,3,0),$A132&gt;VLOOKUP(X$2,行为概览!$D$3:$U$33,4,0)),0,VLOOKUP(X$2,行为概览!$D$3:$U$33,6,0)),4)</f>
        <v>0.25</v>
      </c>
      <c r="Y132" s="20">
        <f>ROUND(IF(OR($A132&lt;VLOOKUP(Y$2,行为概览!$D$3:$U$33,3,0),$A132&gt;VLOOKUP(Y$2,行为概览!$D$3:$U$33,4,0)),0,VLOOKUP(Y$2,行为概览!$D$3:$U$33,6,0)),4)</f>
        <v>0.58330000000000004</v>
      </c>
      <c r="Z132" s="20">
        <f>ROUND(IF(OR($A132&lt;VLOOKUP(Z$2,行为概览!$D$3:$U$33,3,0),$A132&gt;VLOOKUP(Z$2,行为概览!$D$3:$U$33,4,0)),0,VLOOKUP(Z$2,行为概览!$D$3:$U$33,6,0)),4)</f>
        <v>0.16669999999999999</v>
      </c>
      <c r="AA132" s="20">
        <f>ROUND(IF(OR($A132&lt;VLOOKUP(AA$2,行为概览!$D$3:$U$33,3,0),$A132&gt;VLOOKUP(AA$2,行为概览!$D$3:$U$33,4,0)),0,VLOOKUP(AA$2,行为概览!$D$3:$U$33,6,0)),4)</f>
        <v>0</v>
      </c>
      <c r="AB132" s="20">
        <f>ROUND(IF(OR($A132&lt;VLOOKUP(AB$2,行为概览!$D$3:$U$33,3,0),$A132&gt;VLOOKUP(AB$2,行为概览!$D$3:$U$33,4,0)),0,VLOOKUP(AB$2,行为概览!$D$3:$U$33,6,0)),4)</f>
        <v>0</v>
      </c>
      <c r="AC132" s="20">
        <f>ROUND(IF(OR($A132&lt;VLOOKUP(AC$2,行为概览!$D$3:$U$33,3,0),$A132&gt;VLOOKUP(AC$2,行为概览!$D$3:$U$33,4,0)),0,VLOOKUP(AC$2,行为概览!$D$3:$U$33,6,0)),4)</f>
        <v>0</v>
      </c>
      <c r="AD132" s="20">
        <f>ROUND(IF(OR($A132&lt;VLOOKUP(AD$2,行为概览!$D$3:$U$33,3,0),$A132&gt;VLOOKUP(AD$2,行为概览!$D$3:$U$33,4,0)),0,VLOOKUP(AD$2,行为概览!$D$3:$U$33,6,0)),4)</f>
        <v>0</v>
      </c>
      <c r="AE132" s="20">
        <f>ROUND(IF(OR($A132&lt;VLOOKUP(AE$2,行为概览!$D$3:$U$33,3,0),$A132&gt;VLOOKUP(AE$2,行为概览!$D$3:$U$33,4,0)),0,VLOOKUP(AE$2,行为概览!$D$3:$U$33,6,0)),4)</f>
        <v>8.3299999999999999E-2</v>
      </c>
      <c r="AF132" s="20">
        <f>ROUND(IF(OR($A132&lt;VLOOKUP(AF$2,行为概览!$D$3:$U$33,3,0),$A132&gt;VLOOKUP(AF$2,行为概览!$D$3:$U$33,4,0)),0,VLOOKUP(AF$2,行为概览!$D$3:$U$33,6,0)),4)</f>
        <v>0</v>
      </c>
    </row>
    <row r="133" spans="1:32">
      <c r="A133" s="19">
        <v>131</v>
      </c>
      <c r="B133" s="20">
        <f>ROUND(IF(OR($A133&lt;VLOOKUP(B$2,行为概览!$D$3:$U$33,3,0),$A133&gt;VLOOKUP(B$2,行为概览!$D$3:$U$33,4,0)),0,VLOOKUP(B$2,行为概览!$D$3:$U$33,6,0)),4)</f>
        <v>0.33329999999999999</v>
      </c>
      <c r="C133" s="20">
        <f>ROUND(IF(OR($A133&lt;VLOOKUP(C$2,行为概览!$D$3:$U$33,3,0),$A133&gt;VLOOKUP(C$2,行为概览!$D$3:$U$33,4,0)),0,VLOOKUP(C$2,行为概览!$D$3:$U$33,6,0)),4)</f>
        <v>2</v>
      </c>
      <c r="D133" s="20">
        <f>ROUND(IF(OR($A133&lt;VLOOKUP(D$2,行为概览!$D$3:$U$33,3,0),$A133&gt;VLOOKUP(D$2,行为概览!$D$3:$U$33,4,0)),0,VLOOKUP(D$2,行为概览!$D$3:$U$33,6,0)),4)</f>
        <v>8.3299999999999999E-2</v>
      </c>
      <c r="E133" s="20">
        <f>ROUND(IF(OR($A133&lt;VLOOKUP(E$2,行为概览!$D$3:$U$33,3,0),$A133&gt;VLOOKUP(E$2,行为概览!$D$3:$U$33,4,0)),0,VLOOKUP(E$2,行为概览!$D$3:$U$33,6,0)),4)</f>
        <v>1</v>
      </c>
      <c r="F133" s="20">
        <f>ROUND(IF(OR($A133&lt;VLOOKUP(F$2,行为概览!$D$3:$U$33,3,0),$A133&gt;VLOOKUP(F$2,行为概览!$D$3:$U$33,4,0)),0,VLOOKUP(F$2,行为概览!$D$3:$U$33,6,0)),4)</f>
        <v>0.33329999999999999</v>
      </c>
      <c r="G133" s="20">
        <f>ROUND(IF(OR($A133&lt;VLOOKUP(G$2,行为概览!$D$3:$U$33,3,0),$A133&gt;VLOOKUP(G$2,行为概览!$D$3:$U$33,4,0)),0,VLOOKUP(G$2,行为概览!$D$3:$U$33,6,0)),4)</f>
        <v>0</v>
      </c>
      <c r="H133" s="20">
        <f>ROUND(IF(OR($A133&lt;VLOOKUP(H$2,行为概览!$D$3:$U$33,3,0),$A133&gt;VLOOKUP(H$2,行为概览!$D$3:$U$33,4,0)),0,VLOOKUP(H$2,行为概览!$D$3:$U$33,6,0)),4)</f>
        <v>0</v>
      </c>
      <c r="I133" s="20">
        <f>ROUND(IF(OR($A133&lt;VLOOKUP(I$2,行为概览!$D$3:$U$33,3,0),$A133&gt;VLOOKUP(I$2,行为概览!$D$3:$U$33,4,0)),0,VLOOKUP(I$2,行为概览!$D$3:$U$33,6,0)),4)</f>
        <v>0</v>
      </c>
      <c r="J133" s="20">
        <f>ROUND(IF(OR($A133&lt;VLOOKUP(J$2,行为概览!$D$3:$U$33,3,0),$A133&gt;VLOOKUP(J$2,行为概览!$D$3:$U$33,4,0)),0,VLOOKUP(J$2,行为概览!$D$3:$U$33,6,0)),4)</f>
        <v>0.5</v>
      </c>
      <c r="K133" s="20">
        <f>ROUND(IF(OR($A133&lt;VLOOKUP(K$2,行为概览!$D$3:$U$33,3,0),$A133&gt;VLOOKUP(K$2,行为概览!$D$3:$U$33,4,0)),0,VLOOKUP(K$2,行为概览!$D$3:$U$33,6,0)),4)</f>
        <v>0.16669999999999999</v>
      </c>
      <c r="L133" s="20">
        <f>ROUND(IF(OR($A133&lt;VLOOKUP(L$2,行为概览!$D$3:$U$33,3,0),$A133&gt;VLOOKUP(L$2,行为概览!$D$3:$U$33,4,0)),0,VLOOKUP(L$2,行为概览!$D$3:$U$33,6,0)),4)</f>
        <v>0.5</v>
      </c>
      <c r="M133" s="20">
        <f>ROUND(IF(OR($A133&lt;VLOOKUP(M$2,行为概览!$D$3:$U$33,3,0),$A133&gt;VLOOKUP(M$2,行为概览!$D$3:$U$33,4,0)),0,VLOOKUP(M$2,行为概览!$D$3:$U$33,6,0)),4)</f>
        <v>12</v>
      </c>
      <c r="N133" s="20">
        <f>ROUND(IF(OR($A133&lt;VLOOKUP(N$2,行为概览!$D$3:$U$33,3,0),$A133&gt;VLOOKUP(N$2,行为概览!$D$3:$U$33,4,0)),0,VLOOKUP(N$2,行为概览!$D$3:$U$33,6,0)),4)</f>
        <v>8.3299999999999999E-2</v>
      </c>
      <c r="O133" s="20">
        <f>ROUND(IF(OR($A133&lt;VLOOKUP(O$2,行为概览!$D$3:$U$33,3,0),$A133&gt;VLOOKUP(O$2,行为概览!$D$3:$U$33,4,0)),0,VLOOKUP(O$2,行为概览!$D$3:$U$33,6,0)),4)</f>
        <v>8.3299999999999999E-2</v>
      </c>
      <c r="P133" s="20">
        <f>ROUND(IF(OR($A133&lt;VLOOKUP(P$2,行为概览!$D$3:$U$33,3,0),$A133&gt;VLOOKUP(P$2,行为概览!$D$3:$U$33,4,0)),0,VLOOKUP(P$2,行为概览!$D$3:$U$33,6,0)),4)</f>
        <v>2.6</v>
      </c>
      <c r="Q133" s="20">
        <f>ROUND(IF(OR($A133&lt;VLOOKUP(Q$2,行为概览!$D$3:$U$33,3,0),$A133&gt;VLOOKUP(Q$2,行为概览!$D$3:$U$33,4,0)),0,VLOOKUP(Q$2,行为概览!$D$3:$U$33,6,0)),4)</f>
        <v>1</v>
      </c>
      <c r="R133" s="20">
        <f>ROUND(IF(OR($A133&lt;VLOOKUP(R$2,行为概览!$D$3:$U$33,3,0),$A133&gt;VLOOKUP(R$2,行为概览!$D$3:$U$33,4,0)),0,VLOOKUP(R$2,行为概览!$D$3:$U$33,6,0)),4)</f>
        <v>0.33329999999999999</v>
      </c>
      <c r="S133" s="20">
        <f>ROUND(IF(OR($A133&lt;VLOOKUP(S$2,行为概览!$D$3:$U$33,3,0),$A133&gt;VLOOKUP(S$2,行为概览!$D$3:$U$33,4,0)),0,VLOOKUP(S$2,行为概览!$D$3:$U$33,6,0)),4)</f>
        <v>0</v>
      </c>
      <c r="T133" s="20">
        <f>ROUND(IF(OR($A133&lt;VLOOKUP(T$2,行为概览!$D$3:$U$33,3,0),$A133&gt;VLOOKUP(T$2,行为概览!$D$3:$U$33,4,0)),0,VLOOKUP(T$2,行为概览!$D$3:$U$33,6,0)),4)</f>
        <v>0.33329999999999999</v>
      </c>
      <c r="U133" s="20">
        <f>ROUND(IF(OR($A133&lt;VLOOKUP(U$2,行为概览!$D$3:$U$33,3,0),$A133&gt;VLOOKUP(U$2,行为概览!$D$3:$U$33,4,0)),0,VLOOKUP(U$2,行为概览!$D$3:$U$33,6,0)),4)</f>
        <v>0.16669999999999999</v>
      </c>
      <c r="V133" s="20">
        <f>ROUND(IF(OR($A133&lt;VLOOKUP(V$2,行为概览!$D$3:$U$33,3,0),$A133&gt;VLOOKUP(V$2,行为概览!$D$3:$U$33,4,0)),0,VLOOKUP(V$2,行为概览!$D$3:$U$33,6,0)),4)</f>
        <v>0.16669999999999999</v>
      </c>
      <c r="W133" s="20">
        <f>ROUND(IF(OR($A133&lt;VLOOKUP(W$2,行为概览!$D$3:$U$33,3,0),$A133&gt;VLOOKUP(W$2,行为概览!$D$3:$U$33,4,0)),0,VLOOKUP(W$2,行为概览!$D$3:$U$33,6,0)),4)</f>
        <v>0.16669999999999999</v>
      </c>
      <c r="X133" s="20">
        <f>ROUND(IF(OR($A133&lt;VLOOKUP(X$2,行为概览!$D$3:$U$33,3,0),$A133&gt;VLOOKUP(X$2,行为概览!$D$3:$U$33,4,0)),0,VLOOKUP(X$2,行为概览!$D$3:$U$33,6,0)),4)</f>
        <v>0.25</v>
      </c>
      <c r="Y133" s="20">
        <f>ROUND(IF(OR($A133&lt;VLOOKUP(Y$2,行为概览!$D$3:$U$33,3,0),$A133&gt;VLOOKUP(Y$2,行为概览!$D$3:$U$33,4,0)),0,VLOOKUP(Y$2,行为概览!$D$3:$U$33,6,0)),4)</f>
        <v>0.58330000000000004</v>
      </c>
      <c r="Z133" s="20">
        <f>ROUND(IF(OR($A133&lt;VLOOKUP(Z$2,行为概览!$D$3:$U$33,3,0),$A133&gt;VLOOKUP(Z$2,行为概览!$D$3:$U$33,4,0)),0,VLOOKUP(Z$2,行为概览!$D$3:$U$33,6,0)),4)</f>
        <v>0.16669999999999999</v>
      </c>
      <c r="AA133" s="20">
        <f>ROUND(IF(OR($A133&lt;VLOOKUP(AA$2,行为概览!$D$3:$U$33,3,0),$A133&gt;VLOOKUP(AA$2,行为概览!$D$3:$U$33,4,0)),0,VLOOKUP(AA$2,行为概览!$D$3:$U$33,6,0)),4)</f>
        <v>0</v>
      </c>
      <c r="AB133" s="20">
        <f>ROUND(IF(OR($A133&lt;VLOOKUP(AB$2,行为概览!$D$3:$U$33,3,0),$A133&gt;VLOOKUP(AB$2,行为概览!$D$3:$U$33,4,0)),0,VLOOKUP(AB$2,行为概览!$D$3:$U$33,6,0)),4)</f>
        <v>0</v>
      </c>
      <c r="AC133" s="20">
        <f>ROUND(IF(OR($A133&lt;VLOOKUP(AC$2,行为概览!$D$3:$U$33,3,0),$A133&gt;VLOOKUP(AC$2,行为概览!$D$3:$U$33,4,0)),0,VLOOKUP(AC$2,行为概览!$D$3:$U$33,6,0)),4)</f>
        <v>0</v>
      </c>
      <c r="AD133" s="20">
        <f>ROUND(IF(OR($A133&lt;VLOOKUP(AD$2,行为概览!$D$3:$U$33,3,0),$A133&gt;VLOOKUP(AD$2,行为概览!$D$3:$U$33,4,0)),0,VLOOKUP(AD$2,行为概览!$D$3:$U$33,6,0)),4)</f>
        <v>0</v>
      </c>
      <c r="AE133" s="20">
        <f>ROUND(IF(OR($A133&lt;VLOOKUP(AE$2,行为概览!$D$3:$U$33,3,0),$A133&gt;VLOOKUP(AE$2,行为概览!$D$3:$U$33,4,0)),0,VLOOKUP(AE$2,行为概览!$D$3:$U$33,6,0)),4)</f>
        <v>8.3299999999999999E-2</v>
      </c>
      <c r="AF133" s="20">
        <f>ROUND(IF(OR($A133&lt;VLOOKUP(AF$2,行为概览!$D$3:$U$33,3,0),$A133&gt;VLOOKUP(AF$2,行为概览!$D$3:$U$33,4,0)),0,VLOOKUP(AF$2,行为概览!$D$3:$U$33,6,0)),4)</f>
        <v>0</v>
      </c>
    </row>
    <row r="134" spans="1:32">
      <c r="A134" s="19">
        <v>132</v>
      </c>
      <c r="B134" s="20">
        <f>ROUND(IF(OR($A134&lt;VLOOKUP(B$2,行为概览!$D$3:$U$33,3,0),$A134&gt;VLOOKUP(B$2,行为概览!$D$3:$U$33,4,0)),0,VLOOKUP(B$2,行为概览!$D$3:$U$33,6,0)),4)</f>
        <v>0.33329999999999999</v>
      </c>
      <c r="C134" s="20">
        <f>ROUND(IF(OR($A134&lt;VLOOKUP(C$2,行为概览!$D$3:$U$33,3,0),$A134&gt;VLOOKUP(C$2,行为概览!$D$3:$U$33,4,0)),0,VLOOKUP(C$2,行为概览!$D$3:$U$33,6,0)),4)</f>
        <v>2</v>
      </c>
      <c r="D134" s="20">
        <f>ROUND(IF(OR($A134&lt;VLOOKUP(D$2,行为概览!$D$3:$U$33,3,0),$A134&gt;VLOOKUP(D$2,行为概览!$D$3:$U$33,4,0)),0,VLOOKUP(D$2,行为概览!$D$3:$U$33,6,0)),4)</f>
        <v>8.3299999999999999E-2</v>
      </c>
      <c r="E134" s="20">
        <f>ROUND(IF(OR($A134&lt;VLOOKUP(E$2,行为概览!$D$3:$U$33,3,0),$A134&gt;VLOOKUP(E$2,行为概览!$D$3:$U$33,4,0)),0,VLOOKUP(E$2,行为概览!$D$3:$U$33,6,0)),4)</f>
        <v>1</v>
      </c>
      <c r="F134" s="20">
        <f>ROUND(IF(OR($A134&lt;VLOOKUP(F$2,行为概览!$D$3:$U$33,3,0),$A134&gt;VLOOKUP(F$2,行为概览!$D$3:$U$33,4,0)),0,VLOOKUP(F$2,行为概览!$D$3:$U$33,6,0)),4)</f>
        <v>0.33329999999999999</v>
      </c>
      <c r="G134" s="20">
        <f>ROUND(IF(OR($A134&lt;VLOOKUP(G$2,行为概览!$D$3:$U$33,3,0),$A134&gt;VLOOKUP(G$2,行为概览!$D$3:$U$33,4,0)),0,VLOOKUP(G$2,行为概览!$D$3:$U$33,6,0)),4)</f>
        <v>0</v>
      </c>
      <c r="H134" s="20">
        <f>ROUND(IF(OR($A134&lt;VLOOKUP(H$2,行为概览!$D$3:$U$33,3,0),$A134&gt;VLOOKUP(H$2,行为概览!$D$3:$U$33,4,0)),0,VLOOKUP(H$2,行为概览!$D$3:$U$33,6,0)),4)</f>
        <v>0</v>
      </c>
      <c r="I134" s="20">
        <f>ROUND(IF(OR($A134&lt;VLOOKUP(I$2,行为概览!$D$3:$U$33,3,0),$A134&gt;VLOOKUP(I$2,行为概览!$D$3:$U$33,4,0)),0,VLOOKUP(I$2,行为概览!$D$3:$U$33,6,0)),4)</f>
        <v>0</v>
      </c>
      <c r="J134" s="20">
        <f>ROUND(IF(OR($A134&lt;VLOOKUP(J$2,行为概览!$D$3:$U$33,3,0),$A134&gt;VLOOKUP(J$2,行为概览!$D$3:$U$33,4,0)),0,VLOOKUP(J$2,行为概览!$D$3:$U$33,6,0)),4)</f>
        <v>0.5</v>
      </c>
      <c r="K134" s="20">
        <f>ROUND(IF(OR($A134&lt;VLOOKUP(K$2,行为概览!$D$3:$U$33,3,0),$A134&gt;VLOOKUP(K$2,行为概览!$D$3:$U$33,4,0)),0,VLOOKUP(K$2,行为概览!$D$3:$U$33,6,0)),4)</f>
        <v>0.16669999999999999</v>
      </c>
      <c r="L134" s="20">
        <f>ROUND(IF(OR($A134&lt;VLOOKUP(L$2,行为概览!$D$3:$U$33,3,0),$A134&gt;VLOOKUP(L$2,行为概览!$D$3:$U$33,4,0)),0,VLOOKUP(L$2,行为概览!$D$3:$U$33,6,0)),4)</f>
        <v>0.5</v>
      </c>
      <c r="M134" s="20">
        <f>ROUND(IF(OR($A134&lt;VLOOKUP(M$2,行为概览!$D$3:$U$33,3,0),$A134&gt;VLOOKUP(M$2,行为概览!$D$3:$U$33,4,0)),0,VLOOKUP(M$2,行为概览!$D$3:$U$33,6,0)),4)</f>
        <v>12</v>
      </c>
      <c r="N134" s="20">
        <f>ROUND(IF(OR($A134&lt;VLOOKUP(N$2,行为概览!$D$3:$U$33,3,0),$A134&gt;VLOOKUP(N$2,行为概览!$D$3:$U$33,4,0)),0,VLOOKUP(N$2,行为概览!$D$3:$U$33,6,0)),4)</f>
        <v>8.3299999999999999E-2</v>
      </c>
      <c r="O134" s="20">
        <f>ROUND(IF(OR($A134&lt;VLOOKUP(O$2,行为概览!$D$3:$U$33,3,0),$A134&gt;VLOOKUP(O$2,行为概览!$D$3:$U$33,4,0)),0,VLOOKUP(O$2,行为概览!$D$3:$U$33,6,0)),4)</f>
        <v>8.3299999999999999E-2</v>
      </c>
      <c r="P134" s="20">
        <f>ROUND(IF(OR($A134&lt;VLOOKUP(P$2,行为概览!$D$3:$U$33,3,0),$A134&gt;VLOOKUP(P$2,行为概览!$D$3:$U$33,4,0)),0,VLOOKUP(P$2,行为概览!$D$3:$U$33,6,0)),4)</f>
        <v>2.6</v>
      </c>
      <c r="Q134" s="20">
        <f>ROUND(IF(OR($A134&lt;VLOOKUP(Q$2,行为概览!$D$3:$U$33,3,0),$A134&gt;VLOOKUP(Q$2,行为概览!$D$3:$U$33,4,0)),0,VLOOKUP(Q$2,行为概览!$D$3:$U$33,6,0)),4)</f>
        <v>1</v>
      </c>
      <c r="R134" s="20">
        <f>ROUND(IF(OR($A134&lt;VLOOKUP(R$2,行为概览!$D$3:$U$33,3,0),$A134&gt;VLOOKUP(R$2,行为概览!$D$3:$U$33,4,0)),0,VLOOKUP(R$2,行为概览!$D$3:$U$33,6,0)),4)</f>
        <v>0.33329999999999999</v>
      </c>
      <c r="S134" s="20">
        <f>ROUND(IF(OR($A134&lt;VLOOKUP(S$2,行为概览!$D$3:$U$33,3,0),$A134&gt;VLOOKUP(S$2,行为概览!$D$3:$U$33,4,0)),0,VLOOKUP(S$2,行为概览!$D$3:$U$33,6,0)),4)</f>
        <v>0</v>
      </c>
      <c r="T134" s="20">
        <f>ROUND(IF(OR($A134&lt;VLOOKUP(T$2,行为概览!$D$3:$U$33,3,0),$A134&gt;VLOOKUP(T$2,行为概览!$D$3:$U$33,4,0)),0,VLOOKUP(T$2,行为概览!$D$3:$U$33,6,0)),4)</f>
        <v>0.33329999999999999</v>
      </c>
      <c r="U134" s="20">
        <f>ROUND(IF(OR($A134&lt;VLOOKUP(U$2,行为概览!$D$3:$U$33,3,0),$A134&gt;VLOOKUP(U$2,行为概览!$D$3:$U$33,4,0)),0,VLOOKUP(U$2,行为概览!$D$3:$U$33,6,0)),4)</f>
        <v>0.16669999999999999</v>
      </c>
      <c r="V134" s="20">
        <f>ROUND(IF(OR($A134&lt;VLOOKUP(V$2,行为概览!$D$3:$U$33,3,0),$A134&gt;VLOOKUP(V$2,行为概览!$D$3:$U$33,4,0)),0,VLOOKUP(V$2,行为概览!$D$3:$U$33,6,0)),4)</f>
        <v>0.16669999999999999</v>
      </c>
      <c r="W134" s="20">
        <f>ROUND(IF(OR($A134&lt;VLOOKUP(W$2,行为概览!$D$3:$U$33,3,0),$A134&gt;VLOOKUP(W$2,行为概览!$D$3:$U$33,4,0)),0,VLOOKUP(W$2,行为概览!$D$3:$U$33,6,0)),4)</f>
        <v>0.16669999999999999</v>
      </c>
      <c r="X134" s="20">
        <f>ROUND(IF(OR($A134&lt;VLOOKUP(X$2,行为概览!$D$3:$U$33,3,0),$A134&gt;VLOOKUP(X$2,行为概览!$D$3:$U$33,4,0)),0,VLOOKUP(X$2,行为概览!$D$3:$U$33,6,0)),4)</f>
        <v>0.25</v>
      </c>
      <c r="Y134" s="20">
        <f>ROUND(IF(OR($A134&lt;VLOOKUP(Y$2,行为概览!$D$3:$U$33,3,0),$A134&gt;VLOOKUP(Y$2,行为概览!$D$3:$U$33,4,0)),0,VLOOKUP(Y$2,行为概览!$D$3:$U$33,6,0)),4)</f>
        <v>0.58330000000000004</v>
      </c>
      <c r="Z134" s="20">
        <f>ROUND(IF(OR($A134&lt;VLOOKUP(Z$2,行为概览!$D$3:$U$33,3,0),$A134&gt;VLOOKUP(Z$2,行为概览!$D$3:$U$33,4,0)),0,VLOOKUP(Z$2,行为概览!$D$3:$U$33,6,0)),4)</f>
        <v>0.16669999999999999</v>
      </c>
      <c r="AA134" s="20">
        <f>ROUND(IF(OR($A134&lt;VLOOKUP(AA$2,行为概览!$D$3:$U$33,3,0),$A134&gt;VLOOKUP(AA$2,行为概览!$D$3:$U$33,4,0)),0,VLOOKUP(AA$2,行为概览!$D$3:$U$33,6,0)),4)</f>
        <v>0</v>
      </c>
      <c r="AB134" s="20">
        <f>ROUND(IF(OR($A134&lt;VLOOKUP(AB$2,行为概览!$D$3:$U$33,3,0),$A134&gt;VLOOKUP(AB$2,行为概览!$D$3:$U$33,4,0)),0,VLOOKUP(AB$2,行为概览!$D$3:$U$33,6,0)),4)</f>
        <v>0</v>
      </c>
      <c r="AC134" s="20">
        <f>ROUND(IF(OR($A134&lt;VLOOKUP(AC$2,行为概览!$D$3:$U$33,3,0),$A134&gt;VLOOKUP(AC$2,行为概览!$D$3:$U$33,4,0)),0,VLOOKUP(AC$2,行为概览!$D$3:$U$33,6,0)),4)</f>
        <v>0</v>
      </c>
      <c r="AD134" s="20">
        <f>ROUND(IF(OR($A134&lt;VLOOKUP(AD$2,行为概览!$D$3:$U$33,3,0),$A134&gt;VLOOKUP(AD$2,行为概览!$D$3:$U$33,4,0)),0,VLOOKUP(AD$2,行为概览!$D$3:$U$33,6,0)),4)</f>
        <v>0</v>
      </c>
      <c r="AE134" s="20">
        <f>ROUND(IF(OR($A134&lt;VLOOKUP(AE$2,行为概览!$D$3:$U$33,3,0),$A134&gt;VLOOKUP(AE$2,行为概览!$D$3:$U$33,4,0)),0,VLOOKUP(AE$2,行为概览!$D$3:$U$33,6,0)),4)</f>
        <v>8.3299999999999999E-2</v>
      </c>
      <c r="AF134" s="20">
        <f>ROUND(IF(OR($A134&lt;VLOOKUP(AF$2,行为概览!$D$3:$U$33,3,0),$A134&gt;VLOOKUP(AF$2,行为概览!$D$3:$U$33,4,0)),0,VLOOKUP(AF$2,行为概览!$D$3:$U$33,6,0)),4)</f>
        <v>0</v>
      </c>
    </row>
    <row r="135" spans="1:32">
      <c r="A135" s="19">
        <v>133</v>
      </c>
      <c r="B135" s="20">
        <f>ROUND(IF(OR($A135&lt;VLOOKUP(B$2,行为概览!$D$3:$U$33,3,0),$A135&gt;VLOOKUP(B$2,行为概览!$D$3:$U$33,4,0)),0,VLOOKUP(B$2,行为概览!$D$3:$U$33,6,0)),4)</f>
        <v>0.33329999999999999</v>
      </c>
      <c r="C135" s="20">
        <f>ROUND(IF(OR($A135&lt;VLOOKUP(C$2,行为概览!$D$3:$U$33,3,0),$A135&gt;VLOOKUP(C$2,行为概览!$D$3:$U$33,4,0)),0,VLOOKUP(C$2,行为概览!$D$3:$U$33,6,0)),4)</f>
        <v>2</v>
      </c>
      <c r="D135" s="20">
        <f>ROUND(IF(OR($A135&lt;VLOOKUP(D$2,行为概览!$D$3:$U$33,3,0),$A135&gt;VLOOKUP(D$2,行为概览!$D$3:$U$33,4,0)),0,VLOOKUP(D$2,行为概览!$D$3:$U$33,6,0)),4)</f>
        <v>8.3299999999999999E-2</v>
      </c>
      <c r="E135" s="20">
        <f>ROUND(IF(OR($A135&lt;VLOOKUP(E$2,行为概览!$D$3:$U$33,3,0),$A135&gt;VLOOKUP(E$2,行为概览!$D$3:$U$33,4,0)),0,VLOOKUP(E$2,行为概览!$D$3:$U$33,6,0)),4)</f>
        <v>1</v>
      </c>
      <c r="F135" s="20">
        <f>ROUND(IF(OR($A135&lt;VLOOKUP(F$2,行为概览!$D$3:$U$33,3,0),$A135&gt;VLOOKUP(F$2,行为概览!$D$3:$U$33,4,0)),0,VLOOKUP(F$2,行为概览!$D$3:$U$33,6,0)),4)</f>
        <v>0.33329999999999999</v>
      </c>
      <c r="G135" s="20">
        <f>ROUND(IF(OR($A135&lt;VLOOKUP(G$2,行为概览!$D$3:$U$33,3,0),$A135&gt;VLOOKUP(G$2,行为概览!$D$3:$U$33,4,0)),0,VLOOKUP(G$2,行为概览!$D$3:$U$33,6,0)),4)</f>
        <v>0</v>
      </c>
      <c r="H135" s="20">
        <f>ROUND(IF(OR($A135&lt;VLOOKUP(H$2,行为概览!$D$3:$U$33,3,0),$A135&gt;VLOOKUP(H$2,行为概览!$D$3:$U$33,4,0)),0,VLOOKUP(H$2,行为概览!$D$3:$U$33,6,0)),4)</f>
        <v>0</v>
      </c>
      <c r="I135" s="20">
        <f>ROUND(IF(OR($A135&lt;VLOOKUP(I$2,行为概览!$D$3:$U$33,3,0),$A135&gt;VLOOKUP(I$2,行为概览!$D$3:$U$33,4,0)),0,VLOOKUP(I$2,行为概览!$D$3:$U$33,6,0)),4)</f>
        <v>0</v>
      </c>
      <c r="J135" s="20">
        <f>ROUND(IF(OR($A135&lt;VLOOKUP(J$2,行为概览!$D$3:$U$33,3,0),$A135&gt;VLOOKUP(J$2,行为概览!$D$3:$U$33,4,0)),0,VLOOKUP(J$2,行为概览!$D$3:$U$33,6,0)),4)</f>
        <v>0.5</v>
      </c>
      <c r="K135" s="20">
        <f>ROUND(IF(OR($A135&lt;VLOOKUP(K$2,行为概览!$D$3:$U$33,3,0),$A135&gt;VLOOKUP(K$2,行为概览!$D$3:$U$33,4,0)),0,VLOOKUP(K$2,行为概览!$D$3:$U$33,6,0)),4)</f>
        <v>0.16669999999999999</v>
      </c>
      <c r="L135" s="20">
        <f>ROUND(IF(OR($A135&lt;VLOOKUP(L$2,行为概览!$D$3:$U$33,3,0),$A135&gt;VLOOKUP(L$2,行为概览!$D$3:$U$33,4,0)),0,VLOOKUP(L$2,行为概览!$D$3:$U$33,6,0)),4)</f>
        <v>0.5</v>
      </c>
      <c r="M135" s="20">
        <f>ROUND(IF(OR($A135&lt;VLOOKUP(M$2,行为概览!$D$3:$U$33,3,0),$A135&gt;VLOOKUP(M$2,行为概览!$D$3:$U$33,4,0)),0,VLOOKUP(M$2,行为概览!$D$3:$U$33,6,0)),4)</f>
        <v>12</v>
      </c>
      <c r="N135" s="20">
        <f>ROUND(IF(OR($A135&lt;VLOOKUP(N$2,行为概览!$D$3:$U$33,3,0),$A135&gt;VLOOKUP(N$2,行为概览!$D$3:$U$33,4,0)),0,VLOOKUP(N$2,行为概览!$D$3:$U$33,6,0)),4)</f>
        <v>8.3299999999999999E-2</v>
      </c>
      <c r="O135" s="20">
        <f>ROUND(IF(OR($A135&lt;VLOOKUP(O$2,行为概览!$D$3:$U$33,3,0),$A135&gt;VLOOKUP(O$2,行为概览!$D$3:$U$33,4,0)),0,VLOOKUP(O$2,行为概览!$D$3:$U$33,6,0)),4)</f>
        <v>8.3299999999999999E-2</v>
      </c>
      <c r="P135" s="20">
        <f>ROUND(IF(OR($A135&lt;VLOOKUP(P$2,行为概览!$D$3:$U$33,3,0),$A135&gt;VLOOKUP(P$2,行为概览!$D$3:$U$33,4,0)),0,VLOOKUP(P$2,行为概览!$D$3:$U$33,6,0)),4)</f>
        <v>2.6</v>
      </c>
      <c r="Q135" s="20">
        <f>ROUND(IF(OR($A135&lt;VLOOKUP(Q$2,行为概览!$D$3:$U$33,3,0),$A135&gt;VLOOKUP(Q$2,行为概览!$D$3:$U$33,4,0)),0,VLOOKUP(Q$2,行为概览!$D$3:$U$33,6,0)),4)</f>
        <v>1</v>
      </c>
      <c r="R135" s="20">
        <f>ROUND(IF(OR($A135&lt;VLOOKUP(R$2,行为概览!$D$3:$U$33,3,0),$A135&gt;VLOOKUP(R$2,行为概览!$D$3:$U$33,4,0)),0,VLOOKUP(R$2,行为概览!$D$3:$U$33,6,0)),4)</f>
        <v>0.33329999999999999</v>
      </c>
      <c r="S135" s="20">
        <f>ROUND(IF(OR($A135&lt;VLOOKUP(S$2,行为概览!$D$3:$U$33,3,0),$A135&gt;VLOOKUP(S$2,行为概览!$D$3:$U$33,4,0)),0,VLOOKUP(S$2,行为概览!$D$3:$U$33,6,0)),4)</f>
        <v>0</v>
      </c>
      <c r="T135" s="20">
        <f>ROUND(IF(OR($A135&lt;VLOOKUP(T$2,行为概览!$D$3:$U$33,3,0),$A135&gt;VLOOKUP(T$2,行为概览!$D$3:$U$33,4,0)),0,VLOOKUP(T$2,行为概览!$D$3:$U$33,6,0)),4)</f>
        <v>0.33329999999999999</v>
      </c>
      <c r="U135" s="20">
        <f>ROUND(IF(OR($A135&lt;VLOOKUP(U$2,行为概览!$D$3:$U$33,3,0),$A135&gt;VLOOKUP(U$2,行为概览!$D$3:$U$33,4,0)),0,VLOOKUP(U$2,行为概览!$D$3:$U$33,6,0)),4)</f>
        <v>0.16669999999999999</v>
      </c>
      <c r="V135" s="20">
        <f>ROUND(IF(OR($A135&lt;VLOOKUP(V$2,行为概览!$D$3:$U$33,3,0),$A135&gt;VLOOKUP(V$2,行为概览!$D$3:$U$33,4,0)),0,VLOOKUP(V$2,行为概览!$D$3:$U$33,6,0)),4)</f>
        <v>0.16669999999999999</v>
      </c>
      <c r="W135" s="20">
        <f>ROUND(IF(OR($A135&lt;VLOOKUP(W$2,行为概览!$D$3:$U$33,3,0),$A135&gt;VLOOKUP(W$2,行为概览!$D$3:$U$33,4,0)),0,VLOOKUP(W$2,行为概览!$D$3:$U$33,6,0)),4)</f>
        <v>0.16669999999999999</v>
      </c>
      <c r="X135" s="20">
        <f>ROUND(IF(OR($A135&lt;VLOOKUP(X$2,行为概览!$D$3:$U$33,3,0),$A135&gt;VLOOKUP(X$2,行为概览!$D$3:$U$33,4,0)),0,VLOOKUP(X$2,行为概览!$D$3:$U$33,6,0)),4)</f>
        <v>0.25</v>
      </c>
      <c r="Y135" s="20">
        <f>ROUND(IF(OR($A135&lt;VLOOKUP(Y$2,行为概览!$D$3:$U$33,3,0),$A135&gt;VLOOKUP(Y$2,行为概览!$D$3:$U$33,4,0)),0,VLOOKUP(Y$2,行为概览!$D$3:$U$33,6,0)),4)</f>
        <v>0.58330000000000004</v>
      </c>
      <c r="Z135" s="20">
        <f>ROUND(IF(OR($A135&lt;VLOOKUP(Z$2,行为概览!$D$3:$U$33,3,0),$A135&gt;VLOOKUP(Z$2,行为概览!$D$3:$U$33,4,0)),0,VLOOKUP(Z$2,行为概览!$D$3:$U$33,6,0)),4)</f>
        <v>0.16669999999999999</v>
      </c>
      <c r="AA135" s="20">
        <f>ROUND(IF(OR($A135&lt;VLOOKUP(AA$2,行为概览!$D$3:$U$33,3,0),$A135&gt;VLOOKUP(AA$2,行为概览!$D$3:$U$33,4,0)),0,VLOOKUP(AA$2,行为概览!$D$3:$U$33,6,0)),4)</f>
        <v>0</v>
      </c>
      <c r="AB135" s="20">
        <f>ROUND(IF(OR($A135&lt;VLOOKUP(AB$2,行为概览!$D$3:$U$33,3,0),$A135&gt;VLOOKUP(AB$2,行为概览!$D$3:$U$33,4,0)),0,VLOOKUP(AB$2,行为概览!$D$3:$U$33,6,0)),4)</f>
        <v>0</v>
      </c>
      <c r="AC135" s="20">
        <f>ROUND(IF(OR($A135&lt;VLOOKUP(AC$2,行为概览!$D$3:$U$33,3,0),$A135&gt;VLOOKUP(AC$2,行为概览!$D$3:$U$33,4,0)),0,VLOOKUP(AC$2,行为概览!$D$3:$U$33,6,0)),4)</f>
        <v>0</v>
      </c>
      <c r="AD135" s="20">
        <f>ROUND(IF(OR($A135&lt;VLOOKUP(AD$2,行为概览!$D$3:$U$33,3,0),$A135&gt;VLOOKUP(AD$2,行为概览!$D$3:$U$33,4,0)),0,VLOOKUP(AD$2,行为概览!$D$3:$U$33,6,0)),4)</f>
        <v>0</v>
      </c>
      <c r="AE135" s="20">
        <f>ROUND(IF(OR($A135&lt;VLOOKUP(AE$2,行为概览!$D$3:$U$33,3,0),$A135&gt;VLOOKUP(AE$2,行为概览!$D$3:$U$33,4,0)),0,VLOOKUP(AE$2,行为概览!$D$3:$U$33,6,0)),4)</f>
        <v>8.3299999999999999E-2</v>
      </c>
      <c r="AF135" s="20">
        <f>ROUND(IF(OR($A135&lt;VLOOKUP(AF$2,行为概览!$D$3:$U$33,3,0),$A135&gt;VLOOKUP(AF$2,行为概览!$D$3:$U$33,4,0)),0,VLOOKUP(AF$2,行为概览!$D$3:$U$33,6,0)),4)</f>
        <v>0</v>
      </c>
    </row>
    <row r="136" spans="1:32">
      <c r="A136" s="19">
        <v>134</v>
      </c>
      <c r="B136" s="20">
        <f>ROUND(IF(OR($A136&lt;VLOOKUP(B$2,行为概览!$D$3:$U$33,3,0),$A136&gt;VLOOKUP(B$2,行为概览!$D$3:$U$33,4,0)),0,VLOOKUP(B$2,行为概览!$D$3:$U$33,6,0)),4)</f>
        <v>0.33329999999999999</v>
      </c>
      <c r="C136" s="20">
        <f>ROUND(IF(OR($A136&lt;VLOOKUP(C$2,行为概览!$D$3:$U$33,3,0),$A136&gt;VLOOKUP(C$2,行为概览!$D$3:$U$33,4,0)),0,VLOOKUP(C$2,行为概览!$D$3:$U$33,6,0)),4)</f>
        <v>2</v>
      </c>
      <c r="D136" s="20">
        <f>ROUND(IF(OR($A136&lt;VLOOKUP(D$2,行为概览!$D$3:$U$33,3,0),$A136&gt;VLOOKUP(D$2,行为概览!$D$3:$U$33,4,0)),0,VLOOKUP(D$2,行为概览!$D$3:$U$33,6,0)),4)</f>
        <v>8.3299999999999999E-2</v>
      </c>
      <c r="E136" s="20">
        <f>ROUND(IF(OR($A136&lt;VLOOKUP(E$2,行为概览!$D$3:$U$33,3,0),$A136&gt;VLOOKUP(E$2,行为概览!$D$3:$U$33,4,0)),0,VLOOKUP(E$2,行为概览!$D$3:$U$33,6,0)),4)</f>
        <v>1</v>
      </c>
      <c r="F136" s="20">
        <f>ROUND(IF(OR($A136&lt;VLOOKUP(F$2,行为概览!$D$3:$U$33,3,0),$A136&gt;VLOOKUP(F$2,行为概览!$D$3:$U$33,4,0)),0,VLOOKUP(F$2,行为概览!$D$3:$U$33,6,0)),4)</f>
        <v>0.33329999999999999</v>
      </c>
      <c r="G136" s="20">
        <f>ROUND(IF(OR($A136&lt;VLOOKUP(G$2,行为概览!$D$3:$U$33,3,0),$A136&gt;VLOOKUP(G$2,行为概览!$D$3:$U$33,4,0)),0,VLOOKUP(G$2,行为概览!$D$3:$U$33,6,0)),4)</f>
        <v>0</v>
      </c>
      <c r="H136" s="20">
        <f>ROUND(IF(OR($A136&lt;VLOOKUP(H$2,行为概览!$D$3:$U$33,3,0),$A136&gt;VLOOKUP(H$2,行为概览!$D$3:$U$33,4,0)),0,VLOOKUP(H$2,行为概览!$D$3:$U$33,6,0)),4)</f>
        <v>0</v>
      </c>
      <c r="I136" s="20">
        <f>ROUND(IF(OR($A136&lt;VLOOKUP(I$2,行为概览!$D$3:$U$33,3,0),$A136&gt;VLOOKUP(I$2,行为概览!$D$3:$U$33,4,0)),0,VLOOKUP(I$2,行为概览!$D$3:$U$33,6,0)),4)</f>
        <v>0</v>
      </c>
      <c r="J136" s="20">
        <f>ROUND(IF(OR($A136&lt;VLOOKUP(J$2,行为概览!$D$3:$U$33,3,0),$A136&gt;VLOOKUP(J$2,行为概览!$D$3:$U$33,4,0)),0,VLOOKUP(J$2,行为概览!$D$3:$U$33,6,0)),4)</f>
        <v>0.5</v>
      </c>
      <c r="K136" s="20">
        <f>ROUND(IF(OR($A136&lt;VLOOKUP(K$2,行为概览!$D$3:$U$33,3,0),$A136&gt;VLOOKUP(K$2,行为概览!$D$3:$U$33,4,0)),0,VLOOKUP(K$2,行为概览!$D$3:$U$33,6,0)),4)</f>
        <v>0.16669999999999999</v>
      </c>
      <c r="L136" s="20">
        <f>ROUND(IF(OR($A136&lt;VLOOKUP(L$2,行为概览!$D$3:$U$33,3,0),$A136&gt;VLOOKUP(L$2,行为概览!$D$3:$U$33,4,0)),0,VLOOKUP(L$2,行为概览!$D$3:$U$33,6,0)),4)</f>
        <v>0.5</v>
      </c>
      <c r="M136" s="20">
        <f>ROUND(IF(OR($A136&lt;VLOOKUP(M$2,行为概览!$D$3:$U$33,3,0),$A136&gt;VLOOKUP(M$2,行为概览!$D$3:$U$33,4,0)),0,VLOOKUP(M$2,行为概览!$D$3:$U$33,6,0)),4)</f>
        <v>12</v>
      </c>
      <c r="N136" s="20">
        <f>ROUND(IF(OR($A136&lt;VLOOKUP(N$2,行为概览!$D$3:$U$33,3,0),$A136&gt;VLOOKUP(N$2,行为概览!$D$3:$U$33,4,0)),0,VLOOKUP(N$2,行为概览!$D$3:$U$33,6,0)),4)</f>
        <v>8.3299999999999999E-2</v>
      </c>
      <c r="O136" s="20">
        <f>ROUND(IF(OR($A136&lt;VLOOKUP(O$2,行为概览!$D$3:$U$33,3,0),$A136&gt;VLOOKUP(O$2,行为概览!$D$3:$U$33,4,0)),0,VLOOKUP(O$2,行为概览!$D$3:$U$33,6,0)),4)</f>
        <v>8.3299999999999999E-2</v>
      </c>
      <c r="P136" s="20">
        <f>ROUND(IF(OR($A136&lt;VLOOKUP(P$2,行为概览!$D$3:$U$33,3,0),$A136&gt;VLOOKUP(P$2,行为概览!$D$3:$U$33,4,0)),0,VLOOKUP(P$2,行为概览!$D$3:$U$33,6,0)),4)</f>
        <v>2.6</v>
      </c>
      <c r="Q136" s="20">
        <f>ROUND(IF(OR($A136&lt;VLOOKUP(Q$2,行为概览!$D$3:$U$33,3,0),$A136&gt;VLOOKUP(Q$2,行为概览!$D$3:$U$33,4,0)),0,VLOOKUP(Q$2,行为概览!$D$3:$U$33,6,0)),4)</f>
        <v>1</v>
      </c>
      <c r="R136" s="20">
        <f>ROUND(IF(OR($A136&lt;VLOOKUP(R$2,行为概览!$D$3:$U$33,3,0),$A136&gt;VLOOKUP(R$2,行为概览!$D$3:$U$33,4,0)),0,VLOOKUP(R$2,行为概览!$D$3:$U$33,6,0)),4)</f>
        <v>0.33329999999999999</v>
      </c>
      <c r="S136" s="20">
        <f>ROUND(IF(OR($A136&lt;VLOOKUP(S$2,行为概览!$D$3:$U$33,3,0),$A136&gt;VLOOKUP(S$2,行为概览!$D$3:$U$33,4,0)),0,VLOOKUP(S$2,行为概览!$D$3:$U$33,6,0)),4)</f>
        <v>0</v>
      </c>
      <c r="T136" s="20">
        <f>ROUND(IF(OR($A136&lt;VLOOKUP(T$2,行为概览!$D$3:$U$33,3,0),$A136&gt;VLOOKUP(T$2,行为概览!$D$3:$U$33,4,0)),0,VLOOKUP(T$2,行为概览!$D$3:$U$33,6,0)),4)</f>
        <v>0.33329999999999999</v>
      </c>
      <c r="U136" s="20">
        <f>ROUND(IF(OR($A136&lt;VLOOKUP(U$2,行为概览!$D$3:$U$33,3,0),$A136&gt;VLOOKUP(U$2,行为概览!$D$3:$U$33,4,0)),0,VLOOKUP(U$2,行为概览!$D$3:$U$33,6,0)),4)</f>
        <v>0.16669999999999999</v>
      </c>
      <c r="V136" s="20">
        <f>ROUND(IF(OR($A136&lt;VLOOKUP(V$2,行为概览!$D$3:$U$33,3,0),$A136&gt;VLOOKUP(V$2,行为概览!$D$3:$U$33,4,0)),0,VLOOKUP(V$2,行为概览!$D$3:$U$33,6,0)),4)</f>
        <v>0.16669999999999999</v>
      </c>
      <c r="W136" s="20">
        <f>ROUND(IF(OR($A136&lt;VLOOKUP(W$2,行为概览!$D$3:$U$33,3,0),$A136&gt;VLOOKUP(W$2,行为概览!$D$3:$U$33,4,0)),0,VLOOKUP(W$2,行为概览!$D$3:$U$33,6,0)),4)</f>
        <v>0.16669999999999999</v>
      </c>
      <c r="X136" s="20">
        <f>ROUND(IF(OR($A136&lt;VLOOKUP(X$2,行为概览!$D$3:$U$33,3,0),$A136&gt;VLOOKUP(X$2,行为概览!$D$3:$U$33,4,0)),0,VLOOKUP(X$2,行为概览!$D$3:$U$33,6,0)),4)</f>
        <v>0.25</v>
      </c>
      <c r="Y136" s="20">
        <f>ROUND(IF(OR($A136&lt;VLOOKUP(Y$2,行为概览!$D$3:$U$33,3,0),$A136&gt;VLOOKUP(Y$2,行为概览!$D$3:$U$33,4,0)),0,VLOOKUP(Y$2,行为概览!$D$3:$U$33,6,0)),4)</f>
        <v>0.58330000000000004</v>
      </c>
      <c r="Z136" s="20">
        <f>ROUND(IF(OR($A136&lt;VLOOKUP(Z$2,行为概览!$D$3:$U$33,3,0),$A136&gt;VLOOKUP(Z$2,行为概览!$D$3:$U$33,4,0)),0,VLOOKUP(Z$2,行为概览!$D$3:$U$33,6,0)),4)</f>
        <v>0.16669999999999999</v>
      </c>
      <c r="AA136" s="20">
        <f>ROUND(IF(OR($A136&lt;VLOOKUP(AA$2,行为概览!$D$3:$U$33,3,0),$A136&gt;VLOOKUP(AA$2,行为概览!$D$3:$U$33,4,0)),0,VLOOKUP(AA$2,行为概览!$D$3:$U$33,6,0)),4)</f>
        <v>0</v>
      </c>
      <c r="AB136" s="20">
        <f>ROUND(IF(OR($A136&lt;VLOOKUP(AB$2,行为概览!$D$3:$U$33,3,0),$A136&gt;VLOOKUP(AB$2,行为概览!$D$3:$U$33,4,0)),0,VLOOKUP(AB$2,行为概览!$D$3:$U$33,6,0)),4)</f>
        <v>0</v>
      </c>
      <c r="AC136" s="20">
        <f>ROUND(IF(OR($A136&lt;VLOOKUP(AC$2,行为概览!$D$3:$U$33,3,0),$A136&gt;VLOOKUP(AC$2,行为概览!$D$3:$U$33,4,0)),0,VLOOKUP(AC$2,行为概览!$D$3:$U$33,6,0)),4)</f>
        <v>0</v>
      </c>
      <c r="AD136" s="20">
        <f>ROUND(IF(OR($A136&lt;VLOOKUP(AD$2,行为概览!$D$3:$U$33,3,0),$A136&gt;VLOOKUP(AD$2,行为概览!$D$3:$U$33,4,0)),0,VLOOKUP(AD$2,行为概览!$D$3:$U$33,6,0)),4)</f>
        <v>0</v>
      </c>
      <c r="AE136" s="20">
        <f>ROUND(IF(OR($A136&lt;VLOOKUP(AE$2,行为概览!$D$3:$U$33,3,0),$A136&gt;VLOOKUP(AE$2,行为概览!$D$3:$U$33,4,0)),0,VLOOKUP(AE$2,行为概览!$D$3:$U$33,6,0)),4)</f>
        <v>8.3299999999999999E-2</v>
      </c>
      <c r="AF136" s="20">
        <f>ROUND(IF(OR($A136&lt;VLOOKUP(AF$2,行为概览!$D$3:$U$33,3,0),$A136&gt;VLOOKUP(AF$2,行为概览!$D$3:$U$33,4,0)),0,VLOOKUP(AF$2,行为概览!$D$3:$U$33,6,0)),4)</f>
        <v>0</v>
      </c>
    </row>
    <row r="137" spans="1:32">
      <c r="A137" s="19">
        <v>135</v>
      </c>
      <c r="B137" s="20">
        <f>ROUND(IF(OR($A137&lt;VLOOKUP(B$2,行为概览!$D$3:$U$33,3,0),$A137&gt;VLOOKUP(B$2,行为概览!$D$3:$U$33,4,0)),0,VLOOKUP(B$2,行为概览!$D$3:$U$33,6,0)),4)</f>
        <v>0.33329999999999999</v>
      </c>
      <c r="C137" s="20">
        <f>ROUND(IF(OR($A137&lt;VLOOKUP(C$2,行为概览!$D$3:$U$33,3,0),$A137&gt;VLOOKUP(C$2,行为概览!$D$3:$U$33,4,0)),0,VLOOKUP(C$2,行为概览!$D$3:$U$33,6,0)),4)</f>
        <v>2</v>
      </c>
      <c r="D137" s="20">
        <f>ROUND(IF(OR($A137&lt;VLOOKUP(D$2,行为概览!$D$3:$U$33,3,0),$A137&gt;VLOOKUP(D$2,行为概览!$D$3:$U$33,4,0)),0,VLOOKUP(D$2,行为概览!$D$3:$U$33,6,0)),4)</f>
        <v>8.3299999999999999E-2</v>
      </c>
      <c r="E137" s="20">
        <f>ROUND(IF(OR($A137&lt;VLOOKUP(E$2,行为概览!$D$3:$U$33,3,0),$A137&gt;VLOOKUP(E$2,行为概览!$D$3:$U$33,4,0)),0,VLOOKUP(E$2,行为概览!$D$3:$U$33,6,0)),4)</f>
        <v>1</v>
      </c>
      <c r="F137" s="20">
        <f>ROUND(IF(OR($A137&lt;VLOOKUP(F$2,行为概览!$D$3:$U$33,3,0),$A137&gt;VLOOKUP(F$2,行为概览!$D$3:$U$33,4,0)),0,VLOOKUP(F$2,行为概览!$D$3:$U$33,6,0)),4)</f>
        <v>0.33329999999999999</v>
      </c>
      <c r="G137" s="20">
        <f>ROUND(IF(OR($A137&lt;VLOOKUP(G$2,行为概览!$D$3:$U$33,3,0),$A137&gt;VLOOKUP(G$2,行为概览!$D$3:$U$33,4,0)),0,VLOOKUP(G$2,行为概览!$D$3:$U$33,6,0)),4)</f>
        <v>0</v>
      </c>
      <c r="H137" s="20">
        <f>ROUND(IF(OR($A137&lt;VLOOKUP(H$2,行为概览!$D$3:$U$33,3,0),$A137&gt;VLOOKUP(H$2,行为概览!$D$3:$U$33,4,0)),0,VLOOKUP(H$2,行为概览!$D$3:$U$33,6,0)),4)</f>
        <v>0</v>
      </c>
      <c r="I137" s="20">
        <f>ROUND(IF(OR($A137&lt;VLOOKUP(I$2,行为概览!$D$3:$U$33,3,0),$A137&gt;VLOOKUP(I$2,行为概览!$D$3:$U$33,4,0)),0,VLOOKUP(I$2,行为概览!$D$3:$U$33,6,0)),4)</f>
        <v>0</v>
      </c>
      <c r="J137" s="20">
        <f>ROUND(IF(OR($A137&lt;VLOOKUP(J$2,行为概览!$D$3:$U$33,3,0),$A137&gt;VLOOKUP(J$2,行为概览!$D$3:$U$33,4,0)),0,VLOOKUP(J$2,行为概览!$D$3:$U$33,6,0)),4)</f>
        <v>0.5</v>
      </c>
      <c r="K137" s="20">
        <f>ROUND(IF(OR($A137&lt;VLOOKUP(K$2,行为概览!$D$3:$U$33,3,0),$A137&gt;VLOOKUP(K$2,行为概览!$D$3:$U$33,4,0)),0,VLOOKUP(K$2,行为概览!$D$3:$U$33,6,0)),4)</f>
        <v>0.16669999999999999</v>
      </c>
      <c r="L137" s="20">
        <f>ROUND(IF(OR($A137&lt;VLOOKUP(L$2,行为概览!$D$3:$U$33,3,0),$A137&gt;VLOOKUP(L$2,行为概览!$D$3:$U$33,4,0)),0,VLOOKUP(L$2,行为概览!$D$3:$U$33,6,0)),4)</f>
        <v>0.5</v>
      </c>
      <c r="M137" s="20">
        <f>ROUND(IF(OR($A137&lt;VLOOKUP(M$2,行为概览!$D$3:$U$33,3,0),$A137&gt;VLOOKUP(M$2,行为概览!$D$3:$U$33,4,0)),0,VLOOKUP(M$2,行为概览!$D$3:$U$33,6,0)),4)</f>
        <v>12</v>
      </c>
      <c r="N137" s="20">
        <f>ROUND(IF(OR($A137&lt;VLOOKUP(N$2,行为概览!$D$3:$U$33,3,0),$A137&gt;VLOOKUP(N$2,行为概览!$D$3:$U$33,4,0)),0,VLOOKUP(N$2,行为概览!$D$3:$U$33,6,0)),4)</f>
        <v>8.3299999999999999E-2</v>
      </c>
      <c r="O137" s="20">
        <f>ROUND(IF(OR($A137&lt;VLOOKUP(O$2,行为概览!$D$3:$U$33,3,0),$A137&gt;VLOOKUP(O$2,行为概览!$D$3:$U$33,4,0)),0,VLOOKUP(O$2,行为概览!$D$3:$U$33,6,0)),4)</f>
        <v>8.3299999999999999E-2</v>
      </c>
      <c r="P137" s="20">
        <f>ROUND(IF(OR($A137&lt;VLOOKUP(P$2,行为概览!$D$3:$U$33,3,0),$A137&gt;VLOOKUP(P$2,行为概览!$D$3:$U$33,4,0)),0,VLOOKUP(P$2,行为概览!$D$3:$U$33,6,0)),4)</f>
        <v>2.6</v>
      </c>
      <c r="Q137" s="20">
        <f>ROUND(IF(OR($A137&lt;VLOOKUP(Q$2,行为概览!$D$3:$U$33,3,0),$A137&gt;VLOOKUP(Q$2,行为概览!$D$3:$U$33,4,0)),0,VLOOKUP(Q$2,行为概览!$D$3:$U$33,6,0)),4)</f>
        <v>1</v>
      </c>
      <c r="R137" s="20">
        <f>ROUND(IF(OR($A137&lt;VLOOKUP(R$2,行为概览!$D$3:$U$33,3,0),$A137&gt;VLOOKUP(R$2,行为概览!$D$3:$U$33,4,0)),0,VLOOKUP(R$2,行为概览!$D$3:$U$33,6,0)),4)</f>
        <v>0.33329999999999999</v>
      </c>
      <c r="S137" s="20">
        <f>ROUND(IF(OR($A137&lt;VLOOKUP(S$2,行为概览!$D$3:$U$33,3,0),$A137&gt;VLOOKUP(S$2,行为概览!$D$3:$U$33,4,0)),0,VLOOKUP(S$2,行为概览!$D$3:$U$33,6,0)),4)</f>
        <v>0</v>
      </c>
      <c r="T137" s="20">
        <f>ROUND(IF(OR($A137&lt;VLOOKUP(T$2,行为概览!$D$3:$U$33,3,0),$A137&gt;VLOOKUP(T$2,行为概览!$D$3:$U$33,4,0)),0,VLOOKUP(T$2,行为概览!$D$3:$U$33,6,0)),4)</f>
        <v>0.33329999999999999</v>
      </c>
      <c r="U137" s="20">
        <f>ROUND(IF(OR($A137&lt;VLOOKUP(U$2,行为概览!$D$3:$U$33,3,0),$A137&gt;VLOOKUP(U$2,行为概览!$D$3:$U$33,4,0)),0,VLOOKUP(U$2,行为概览!$D$3:$U$33,6,0)),4)</f>
        <v>0.16669999999999999</v>
      </c>
      <c r="V137" s="20">
        <f>ROUND(IF(OR($A137&lt;VLOOKUP(V$2,行为概览!$D$3:$U$33,3,0),$A137&gt;VLOOKUP(V$2,行为概览!$D$3:$U$33,4,0)),0,VLOOKUP(V$2,行为概览!$D$3:$U$33,6,0)),4)</f>
        <v>0.16669999999999999</v>
      </c>
      <c r="W137" s="20">
        <f>ROUND(IF(OR($A137&lt;VLOOKUP(W$2,行为概览!$D$3:$U$33,3,0),$A137&gt;VLOOKUP(W$2,行为概览!$D$3:$U$33,4,0)),0,VLOOKUP(W$2,行为概览!$D$3:$U$33,6,0)),4)</f>
        <v>0.16669999999999999</v>
      </c>
      <c r="X137" s="20">
        <f>ROUND(IF(OR($A137&lt;VLOOKUP(X$2,行为概览!$D$3:$U$33,3,0),$A137&gt;VLOOKUP(X$2,行为概览!$D$3:$U$33,4,0)),0,VLOOKUP(X$2,行为概览!$D$3:$U$33,6,0)),4)</f>
        <v>0.25</v>
      </c>
      <c r="Y137" s="20">
        <f>ROUND(IF(OR($A137&lt;VLOOKUP(Y$2,行为概览!$D$3:$U$33,3,0),$A137&gt;VLOOKUP(Y$2,行为概览!$D$3:$U$33,4,0)),0,VLOOKUP(Y$2,行为概览!$D$3:$U$33,6,0)),4)</f>
        <v>0.58330000000000004</v>
      </c>
      <c r="Z137" s="20">
        <f>ROUND(IF(OR($A137&lt;VLOOKUP(Z$2,行为概览!$D$3:$U$33,3,0),$A137&gt;VLOOKUP(Z$2,行为概览!$D$3:$U$33,4,0)),0,VLOOKUP(Z$2,行为概览!$D$3:$U$33,6,0)),4)</f>
        <v>0.16669999999999999</v>
      </c>
      <c r="AA137" s="20">
        <f>ROUND(IF(OR($A137&lt;VLOOKUP(AA$2,行为概览!$D$3:$U$33,3,0),$A137&gt;VLOOKUP(AA$2,行为概览!$D$3:$U$33,4,0)),0,VLOOKUP(AA$2,行为概览!$D$3:$U$33,6,0)),4)</f>
        <v>0</v>
      </c>
      <c r="AB137" s="20">
        <f>ROUND(IF(OR($A137&lt;VLOOKUP(AB$2,行为概览!$D$3:$U$33,3,0),$A137&gt;VLOOKUP(AB$2,行为概览!$D$3:$U$33,4,0)),0,VLOOKUP(AB$2,行为概览!$D$3:$U$33,6,0)),4)</f>
        <v>0</v>
      </c>
      <c r="AC137" s="20">
        <f>ROUND(IF(OR($A137&lt;VLOOKUP(AC$2,行为概览!$D$3:$U$33,3,0),$A137&gt;VLOOKUP(AC$2,行为概览!$D$3:$U$33,4,0)),0,VLOOKUP(AC$2,行为概览!$D$3:$U$33,6,0)),4)</f>
        <v>0</v>
      </c>
      <c r="AD137" s="20">
        <f>ROUND(IF(OR($A137&lt;VLOOKUP(AD$2,行为概览!$D$3:$U$33,3,0),$A137&gt;VLOOKUP(AD$2,行为概览!$D$3:$U$33,4,0)),0,VLOOKUP(AD$2,行为概览!$D$3:$U$33,6,0)),4)</f>
        <v>0</v>
      </c>
      <c r="AE137" s="20">
        <f>ROUND(IF(OR($A137&lt;VLOOKUP(AE$2,行为概览!$D$3:$U$33,3,0),$A137&gt;VLOOKUP(AE$2,行为概览!$D$3:$U$33,4,0)),0,VLOOKUP(AE$2,行为概览!$D$3:$U$33,6,0)),4)</f>
        <v>8.3299999999999999E-2</v>
      </c>
      <c r="AF137" s="20">
        <f>ROUND(IF(OR($A137&lt;VLOOKUP(AF$2,行为概览!$D$3:$U$33,3,0),$A137&gt;VLOOKUP(AF$2,行为概览!$D$3:$U$33,4,0)),0,VLOOKUP(AF$2,行为概览!$D$3:$U$33,6,0)),4)</f>
        <v>0</v>
      </c>
    </row>
    <row r="138" spans="1:32">
      <c r="A138" s="19">
        <v>136</v>
      </c>
      <c r="B138" s="20">
        <f>ROUND(IF(OR($A138&lt;VLOOKUP(B$2,行为概览!$D$3:$U$33,3,0),$A138&gt;VLOOKUP(B$2,行为概览!$D$3:$U$33,4,0)),0,VLOOKUP(B$2,行为概览!$D$3:$U$33,6,0)),4)</f>
        <v>0.33329999999999999</v>
      </c>
      <c r="C138" s="20">
        <f>ROUND(IF(OR($A138&lt;VLOOKUP(C$2,行为概览!$D$3:$U$33,3,0),$A138&gt;VLOOKUP(C$2,行为概览!$D$3:$U$33,4,0)),0,VLOOKUP(C$2,行为概览!$D$3:$U$33,6,0)),4)</f>
        <v>2</v>
      </c>
      <c r="D138" s="20">
        <f>ROUND(IF(OR($A138&lt;VLOOKUP(D$2,行为概览!$D$3:$U$33,3,0),$A138&gt;VLOOKUP(D$2,行为概览!$D$3:$U$33,4,0)),0,VLOOKUP(D$2,行为概览!$D$3:$U$33,6,0)),4)</f>
        <v>8.3299999999999999E-2</v>
      </c>
      <c r="E138" s="20">
        <f>ROUND(IF(OR($A138&lt;VLOOKUP(E$2,行为概览!$D$3:$U$33,3,0),$A138&gt;VLOOKUP(E$2,行为概览!$D$3:$U$33,4,0)),0,VLOOKUP(E$2,行为概览!$D$3:$U$33,6,0)),4)</f>
        <v>1</v>
      </c>
      <c r="F138" s="20">
        <f>ROUND(IF(OR($A138&lt;VLOOKUP(F$2,行为概览!$D$3:$U$33,3,0),$A138&gt;VLOOKUP(F$2,行为概览!$D$3:$U$33,4,0)),0,VLOOKUP(F$2,行为概览!$D$3:$U$33,6,0)),4)</f>
        <v>0.33329999999999999</v>
      </c>
      <c r="G138" s="20">
        <f>ROUND(IF(OR($A138&lt;VLOOKUP(G$2,行为概览!$D$3:$U$33,3,0),$A138&gt;VLOOKUP(G$2,行为概览!$D$3:$U$33,4,0)),0,VLOOKUP(G$2,行为概览!$D$3:$U$33,6,0)),4)</f>
        <v>0</v>
      </c>
      <c r="H138" s="20">
        <f>ROUND(IF(OR($A138&lt;VLOOKUP(H$2,行为概览!$D$3:$U$33,3,0),$A138&gt;VLOOKUP(H$2,行为概览!$D$3:$U$33,4,0)),0,VLOOKUP(H$2,行为概览!$D$3:$U$33,6,0)),4)</f>
        <v>0</v>
      </c>
      <c r="I138" s="20">
        <f>ROUND(IF(OR($A138&lt;VLOOKUP(I$2,行为概览!$D$3:$U$33,3,0),$A138&gt;VLOOKUP(I$2,行为概览!$D$3:$U$33,4,0)),0,VLOOKUP(I$2,行为概览!$D$3:$U$33,6,0)),4)</f>
        <v>0</v>
      </c>
      <c r="J138" s="20">
        <f>ROUND(IF(OR($A138&lt;VLOOKUP(J$2,行为概览!$D$3:$U$33,3,0),$A138&gt;VLOOKUP(J$2,行为概览!$D$3:$U$33,4,0)),0,VLOOKUP(J$2,行为概览!$D$3:$U$33,6,0)),4)</f>
        <v>0.5</v>
      </c>
      <c r="K138" s="20">
        <f>ROUND(IF(OR($A138&lt;VLOOKUP(K$2,行为概览!$D$3:$U$33,3,0),$A138&gt;VLOOKUP(K$2,行为概览!$D$3:$U$33,4,0)),0,VLOOKUP(K$2,行为概览!$D$3:$U$33,6,0)),4)</f>
        <v>0.16669999999999999</v>
      </c>
      <c r="L138" s="20">
        <f>ROUND(IF(OR($A138&lt;VLOOKUP(L$2,行为概览!$D$3:$U$33,3,0),$A138&gt;VLOOKUP(L$2,行为概览!$D$3:$U$33,4,0)),0,VLOOKUP(L$2,行为概览!$D$3:$U$33,6,0)),4)</f>
        <v>0.5</v>
      </c>
      <c r="M138" s="20">
        <f>ROUND(IF(OR($A138&lt;VLOOKUP(M$2,行为概览!$D$3:$U$33,3,0),$A138&gt;VLOOKUP(M$2,行为概览!$D$3:$U$33,4,0)),0,VLOOKUP(M$2,行为概览!$D$3:$U$33,6,0)),4)</f>
        <v>12</v>
      </c>
      <c r="N138" s="20">
        <f>ROUND(IF(OR($A138&lt;VLOOKUP(N$2,行为概览!$D$3:$U$33,3,0),$A138&gt;VLOOKUP(N$2,行为概览!$D$3:$U$33,4,0)),0,VLOOKUP(N$2,行为概览!$D$3:$U$33,6,0)),4)</f>
        <v>8.3299999999999999E-2</v>
      </c>
      <c r="O138" s="20">
        <f>ROUND(IF(OR($A138&lt;VLOOKUP(O$2,行为概览!$D$3:$U$33,3,0),$A138&gt;VLOOKUP(O$2,行为概览!$D$3:$U$33,4,0)),0,VLOOKUP(O$2,行为概览!$D$3:$U$33,6,0)),4)</f>
        <v>8.3299999999999999E-2</v>
      </c>
      <c r="P138" s="20">
        <f>ROUND(IF(OR($A138&lt;VLOOKUP(P$2,行为概览!$D$3:$U$33,3,0),$A138&gt;VLOOKUP(P$2,行为概览!$D$3:$U$33,4,0)),0,VLOOKUP(P$2,行为概览!$D$3:$U$33,6,0)),4)</f>
        <v>2.6</v>
      </c>
      <c r="Q138" s="20">
        <f>ROUND(IF(OR($A138&lt;VLOOKUP(Q$2,行为概览!$D$3:$U$33,3,0),$A138&gt;VLOOKUP(Q$2,行为概览!$D$3:$U$33,4,0)),0,VLOOKUP(Q$2,行为概览!$D$3:$U$33,6,0)),4)</f>
        <v>1</v>
      </c>
      <c r="R138" s="20">
        <f>ROUND(IF(OR($A138&lt;VLOOKUP(R$2,行为概览!$D$3:$U$33,3,0),$A138&gt;VLOOKUP(R$2,行为概览!$D$3:$U$33,4,0)),0,VLOOKUP(R$2,行为概览!$D$3:$U$33,6,0)),4)</f>
        <v>0.33329999999999999</v>
      </c>
      <c r="S138" s="20">
        <f>ROUND(IF(OR($A138&lt;VLOOKUP(S$2,行为概览!$D$3:$U$33,3,0),$A138&gt;VLOOKUP(S$2,行为概览!$D$3:$U$33,4,0)),0,VLOOKUP(S$2,行为概览!$D$3:$U$33,6,0)),4)</f>
        <v>0</v>
      </c>
      <c r="T138" s="20">
        <f>ROUND(IF(OR($A138&lt;VLOOKUP(T$2,行为概览!$D$3:$U$33,3,0),$A138&gt;VLOOKUP(T$2,行为概览!$D$3:$U$33,4,0)),0,VLOOKUP(T$2,行为概览!$D$3:$U$33,6,0)),4)</f>
        <v>0.33329999999999999</v>
      </c>
      <c r="U138" s="20">
        <f>ROUND(IF(OR($A138&lt;VLOOKUP(U$2,行为概览!$D$3:$U$33,3,0),$A138&gt;VLOOKUP(U$2,行为概览!$D$3:$U$33,4,0)),0,VLOOKUP(U$2,行为概览!$D$3:$U$33,6,0)),4)</f>
        <v>0.16669999999999999</v>
      </c>
      <c r="V138" s="20">
        <f>ROUND(IF(OR($A138&lt;VLOOKUP(V$2,行为概览!$D$3:$U$33,3,0),$A138&gt;VLOOKUP(V$2,行为概览!$D$3:$U$33,4,0)),0,VLOOKUP(V$2,行为概览!$D$3:$U$33,6,0)),4)</f>
        <v>0.16669999999999999</v>
      </c>
      <c r="W138" s="20">
        <f>ROUND(IF(OR($A138&lt;VLOOKUP(W$2,行为概览!$D$3:$U$33,3,0),$A138&gt;VLOOKUP(W$2,行为概览!$D$3:$U$33,4,0)),0,VLOOKUP(W$2,行为概览!$D$3:$U$33,6,0)),4)</f>
        <v>0.16669999999999999</v>
      </c>
      <c r="X138" s="20">
        <f>ROUND(IF(OR($A138&lt;VLOOKUP(X$2,行为概览!$D$3:$U$33,3,0),$A138&gt;VLOOKUP(X$2,行为概览!$D$3:$U$33,4,0)),0,VLOOKUP(X$2,行为概览!$D$3:$U$33,6,0)),4)</f>
        <v>0.25</v>
      </c>
      <c r="Y138" s="20">
        <f>ROUND(IF(OR($A138&lt;VLOOKUP(Y$2,行为概览!$D$3:$U$33,3,0),$A138&gt;VLOOKUP(Y$2,行为概览!$D$3:$U$33,4,0)),0,VLOOKUP(Y$2,行为概览!$D$3:$U$33,6,0)),4)</f>
        <v>0.58330000000000004</v>
      </c>
      <c r="Z138" s="20">
        <f>ROUND(IF(OR($A138&lt;VLOOKUP(Z$2,行为概览!$D$3:$U$33,3,0),$A138&gt;VLOOKUP(Z$2,行为概览!$D$3:$U$33,4,0)),0,VLOOKUP(Z$2,行为概览!$D$3:$U$33,6,0)),4)</f>
        <v>0.16669999999999999</v>
      </c>
      <c r="AA138" s="20">
        <f>ROUND(IF(OR($A138&lt;VLOOKUP(AA$2,行为概览!$D$3:$U$33,3,0),$A138&gt;VLOOKUP(AA$2,行为概览!$D$3:$U$33,4,0)),0,VLOOKUP(AA$2,行为概览!$D$3:$U$33,6,0)),4)</f>
        <v>0</v>
      </c>
      <c r="AB138" s="20">
        <f>ROUND(IF(OR($A138&lt;VLOOKUP(AB$2,行为概览!$D$3:$U$33,3,0),$A138&gt;VLOOKUP(AB$2,行为概览!$D$3:$U$33,4,0)),0,VLOOKUP(AB$2,行为概览!$D$3:$U$33,6,0)),4)</f>
        <v>0</v>
      </c>
      <c r="AC138" s="20">
        <f>ROUND(IF(OR($A138&lt;VLOOKUP(AC$2,行为概览!$D$3:$U$33,3,0),$A138&gt;VLOOKUP(AC$2,行为概览!$D$3:$U$33,4,0)),0,VLOOKUP(AC$2,行为概览!$D$3:$U$33,6,0)),4)</f>
        <v>0</v>
      </c>
      <c r="AD138" s="20">
        <f>ROUND(IF(OR($A138&lt;VLOOKUP(AD$2,行为概览!$D$3:$U$33,3,0),$A138&gt;VLOOKUP(AD$2,行为概览!$D$3:$U$33,4,0)),0,VLOOKUP(AD$2,行为概览!$D$3:$U$33,6,0)),4)</f>
        <v>0</v>
      </c>
      <c r="AE138" s="20">
        <f>ROUND(IF(OR($A138&lt;VLOOKUP(AE$2,行为概览!$D$3:$U$33,3,0),$A138&gt;VLOOKUP(AE$2,行为概览!$D$3:$U$33,4,0)),0,VLOOKUP(AE$2,行为概览!$D$3:$U$33,6,0)),4)</f>
        <v>8.3299999999999999E-2</v>
      </c>
      <c r="AF138" s="20">
        <f>ROUND(IF(OR($A138&lt;VLOOKUP(AF$2,行为概览!$D$3:$U$33,3,0),$A138&gt;VLOOKUP(AF$2,行为概览!$D$3:$U$33,4,0)),0,VLOOKUP(AF$2,行为概览!$D$3:$U$33,6,0)),4)</f>
        <v>0</v>
      </c>
    </row>
    <row r="139" spans="1:32">
      <c r="A139" s="19">
        <v>137</v>
      </c>
      <c r="B139" s="20">
        <f>ROUND(IF(OR($A139&lt;VLOOKUP(B$2,行为概览!$D$3:$U$33,3,0),$A139&gt;VLOOKUP(B$2,行为概览!$D$3:$U$33,4,0)),0,VLOOKUP(B$2,行为概览!$D$3:$U$33,6,0)),4)</f>
        <v>0.33329999999999999</v>
      </c>
      <c r="C139" s="20">
        <f>ROUND(IF(OR($A139&lt;VLOOKUP(C$2,行为概览!$D$3:$U$33,3,0),$A139&gt;VLOOKUP(C$2,行为概览!$D$3:$U$33,4,0)),0,VLOOKUP(C$2,行为概览!$D$3:$U$33,6,0)),4)</f>
        <v>2</v>
      </c>
      <c r="D139" s="20">
        <f>ROUND(IF(OR($A139&lt;VLOOKUP(D$2,行为概览!$D$3:$U$33,3,0),$A139&gt;VLOOKUP(D$2,行为概览!$D$3:$U$33,4,0)),0,VLOOKUP(D$2,行为概览!$D$3:$U$33,6,0)),4)</f>
        <v>8.3299999999999999E-2</v>
      </c>
      <c r="E139" s="20">
        <f>ROUND(IF(OR($A139&lt;VLOOKUP(E$2,行为概览!$D$3:$U$33,3,0),$A139&gt;VLOOKUP(E$2,行为概览!$D$3:$U$33,4,0)),0,VLOOKUP(E$2,行为概览!$D$3:$U$33,6,0)),4)</f>
        <v>1</v>
      </c>
      <c r="F139" s="20">
        <f>ROUND(IF(OR($A139&lt;VLOOKUP(F$2,行为概览!$D$3:$U$33,3,0),$A139&gt;VLOOKUP(F$2,行为概览!$D$3:$U$33,4,0)),0,VLOOKUP(F$2,行为概览!$D$3:$U$33,6,0)),4)</f>
        <v>0.33329999999999999</v>
      </c>
      <c r="G139" s="20">
        <f>ROUND(IF(OR($A139&lt;VLOOKUP(G$2,行为概览!$D$3:$U$33,3,0),$A139&gt;VLOOKUP(G$2,行为概览!$D$3:$U$33,4,0)),0,VLOOKUP(G$2,行为概览!$D$3:$U$33,6,0)),4)</f>
        <v>0</v>
      </c>
      <c r="H139" s="20">
        <f>ROUND(IF(OR($A139&lt;VLOOKUP(H$2,行为概览!$D$3:$U$33,3,0),$A139&gt;VLOOKUP(H$2,行为概览!$D$3:$U$33,4,0)),0,VLOOKUP(H$2,行为概览!$D$3:$U$33,6,0)),4)</f>
        <v>0</v>
      </c>
      <c r="I139" s="20">
        <f>ROUND(IF(OR($A139&lt;VLOOKUP(I$2,行为概览!$D$3:$U$33,3,0),$A139&gt;VLOOKUP(I$2,行为概览!$D$3:$U$33,4,0)),0,VLOOKUP(I$2,行为概览!$D$3:$U$33,6,0)),4)</f>
        <v>0</v>
      </c>
      <c r="J139" s="20">
        <f>ROUND(IF(OR($A139&lt;VLOOKUP(J$2,行为概览!$D$3:$U$33,3,0),$A139&gt;VLOOKUP(J$2,行为概览!$D$3:$U$33,4,0)),0,VLOOKUP(J$2,行为概览!$D$3:$U$33,6,0)),4)</f>
        <v>0.5</v>
      </c>
      <c r="K139" s="20">
        <f>ROUND(IF(OR($A139&lt;VLOOKUP(K$2,行为概览!$D$3:$U$33,3,0),$A139&gt;VLOOKUP(K$2,行为概览!$D$3:$U$33,4,0)),0,VLOOKUP(K$2,行为概览!$D$3:$U$33,6,0)),4)</f>
        <v>0.16669999999999999</v>
      </c>
      <c r="L139" s="20">
        <f>ROUND(IF(OR($A139&lt;VLOOKUP(L$2,行为概览!$D$3:$U$33,3,0),$A139&gt;VLOOKUP(L$2,行为概览!$D$3:$U$33,4,0)),0,VLOOKUP(L$2,行为概览!$D$3:$U$33,6,0)),4)</f>
        <v>0.5</v>
      </c>
      <c r="M139" s="20">
        <f>ROUND(IF(OR($A139&lt;VLOOKUP(M$2,行为概览!$D$3:$U$33,3,0),$A139&gt;VLOOKUP(M$2,行为概览!$D$3:$U$33,4,0)),0,VLOOKUP(M$2,行为概览!$D$3:$U$33,6,0)),4)</f>
        <v>12</v>
      </c>
      <c r="N139" s="20">
        <f>ROUND(IF(OR($A139&lt;VLOOKUP(N$2,行为概览!$D$3:$U$33,3,0),$A139&gt;VLOOKUP(N$2,行为概览!$D$3:$U$33,4,0)),0,VLOOKUP(N$2,行为概览!$D$3:$U$33,6,0)),4)</f>
        <v>8.3299999999999999E-2</v>
      </c>
      <c r="O139" s="20">
        <f>ROUND(IF(OR($A139&lt;VLOOKUP(O$2,行为概览!$D$3:$U$33,3,0),$A139&gt;VLOOKUP(O$2,行为概览!$D$3:$U$33,4,0)),0,VLOOKUP(O$2,行为概览!$D$3:$U$33,6,0)),4)</f>
        <v>8.3299999999999999E-2</v>
      </c>
      <c r="P139" s="20">
        <f>ROUND(IF(OR($A139&lt;VLOOKUP(P$2,行为概览!$D$3:$U$33,3,0),$A139&gt;VLOOKUP(P$2,行为概览!$D$3:$U$33,4,0)),0,VLOOKUP(P$2,行为概览!$D$3:$U$33,6,0)),4)</f>
        <v>2.6</v>
      </c>
      <c r="Q139" s="20">
        <f>ROUND(IF(OR($A139&lt;VLOOKUP(Q$2,行为概览!$D$3:$U$33,3,0),$A139&gt;VLOOKUP(Q$2,行为概览!$D$3:$U$33,4,0)),0,VLOOKUP(Q$2,行为概览!$D$3:$U$33,6,0)),4)</f>
        <v>1</v>
      </c>
      <c r="R139" s="20">
        <f>ROUND(IF(OR($A139&lt;VLOOKUP(R$2,行为概览!$D$3:$U$33,3,0),$A139&gt;VLOOKUP(R$2,行为概览!$D$3:$U$33,4,0)),0,VLOOKUP(R$2,行为概览!$D$3:$U$33,6,0)),4)</f>
        <v>0.33329999999999999</v>
      </c>
      <c r="S139" s="20">
        <f>ROUND(IF(OR($A139&lt;VLOOKUP(S$2,行为概览!$D$3:$U$33,3,0),$A139&gt;VLOOKUP(S$2,行为概览!$D$3:$U$33,4,0)),0,VLOOKUP(S$2,行为概览!$D$3:$U$33,6,0)),4)</f>
        <v>0</v>
      </c>
      <c r="T139" s="20">
        <f>ROUND(IF(OR($A139&lt;VLOOKUP(T$2,行为概览!$D$3:$U$33,3,0),$A139&gt;VLOOKUP(T$2,行为概览!$D$3:$U$33,4,0)),0,VLOOKUP(T$2,行为概览!$D$3:$U$33,6,0)),4)</f>
        <v>0.33329999999999999</v>
      </c>
      <c r="U139" s="20">
        <f>ROUND(IF(OR($A139&lt;VLOOKUP(U$2,行为概览!$D$3:$U$33,3,0),$A139&gt;VLOOKUP(U$2,行为概览!$D$3:$U$33,4,0)),0,VLOOKUP(U$2,行为概览!$D$3:$U$33,6,0)),4)</f>
        <v>0.16669999999999999</v>
      </c>
      <c r="V139" s="20">
        <f>ROUND(IF(OR($A139&lt;VLOOKUP(V$2,行为概览!$D$3:$U$33,3,0),$A139&gt;VLOOKUP(V$2,行为概览!$D$3:$U$33,4,0)),0,VLOOKUP(V$2,行为概览!$D$3:$U$33,6,0)),4)</f>
        <v>0.16669999999999999</v>
      </c>
      <c r="W139" s="20">
        <f>ROUND(IF(OR($A139&lt;VLOOKUP(W$2,行为概览!$D$3:$U$33,3,0),$A139&gt;VLOOKUP(W$2,行为概览!$D$3:$U$33,4,0)),0,VLOOKUP(W$2,行为概览!$D$3:$U$33,6,0)),4)</f>
        <v>0.16669999999999999</v>
      </c>
      <c r="X139" s="20">
        <f>ROUND(IF(OR($A139&lt;VLOOKUP(X$2,行为概览!$D$3:$U$33,3,0),$A139&gt;VLOOKUP(X$2,行为概览!$D$3:$U$33,4,0)),0,VLOOKUP(X$2,行为概览!$D$3:$U$33,6,0)),4)</f>
        <v>0.25</v>
      </c>
      <c r="Y139" s="20">
        <f>ROUND(IF(OR($A139&lt;VLOOKUP(Y$2,行为概览!$D$3:$U$33,3,0),$A139&gt;VLOOKUP(Y$2,行为概览!$D$3:$U$33,4,0)),0,VLOOKUP(Y$2,行为概览!$D$3:$U$33,6,0)),4)</f>
        <v>0.58330000000000004</v>
      </c>
      <c r="Z139" s="20">
        <f>ROUND(IF(OR($A139&lt;VLOOKUP(Z$2,行为概览!$D$3:$U$33,3,0),$A139&gt;VLOOKUP(Z$2,行为概览!$D$3:$U$33,4,0)),0,VLOOKUP(Z$2,行为概览!$D$3:$U$33,6,0)),4)</f>
        <v>0.16669999999999999</v>
      </c>
      <c r="AA139" s="20">
        <f>ROUND(IF(OR($A139&lt;VLOOKUP(AA$2,行为概览!$D$3:$U$33,3,0),$A139&gt;VLOOKUP(AA$2,行为概览!$D$3:$U$33,4,0)),0,VLOOKUP(AA$2,行为概览!$D$3:$U$33,6,0)),4)</f>
        <v>0</v>
      </c>
      <c r="AB139" s="20">
        <f>ROUND(IF(OR($A139&lt;VLOOKUP(AB$2,行为概览!$D$3:$U$33,3,0),$A139&gt;VLOOKUP(AB$2,行为概览!$D$3:$U$33,4,0)),0,VLOOKUP(AB$2,行为概览!$D$3:$U$33,6,0)),4)</f>
        <v>0</v>
      </c>
      <c r="AC139" s="20">
        <f>ROUND(IF(OR($A139&lt;VLOOKUP(AC$2,行为概览!$D$3:$U$33,3,0),$A139&gt;VLOOKUP(AC$2,行为概览!$D$3:$U$33,4,0)),0,VLOOKUP(AC$2,行为概览!$D$3:$U$33,6,0)),4)</f>
        <v>0</v>
      </c>
      <c r="AD139" s="20">
        <f>ROUND(IF(OR($A139&lt;VLOOKUP(AD$2,行为概览!$D$3:$U$33,3,0),$A139&gt;VLOOKUP(AD$2,行为概览!$D$3:$U$33,4,0)),0,VLOOKUP(AD$2,行为概览!$D$3:$U$33,6,0)),4)</f>
        <v>0</v>
      </c>
      <c r="AE139" s="20">
        <f>ROUND(IF(OR($A139&lt;VLOOKUP(AE$2,行为概览!$D$3:$U$33,3,0),$A139&gt;VLOOKUP(AE$2,行为概览!$D$3:$U$33,4,0)),0,VLOOKUP(AE$2,行为概览!$D$3:$U$33,6,0)),4)</f>
        <v>8.3299999999999999E-2</v>
      </c>
      <c r="AF139" s="20">
        <f>ROUND(IF(OR($A139&lt;VLOOKUP(AF$2,行为概览!$D$3:$U$33,3,0),$A139&gt;VLOOKUP(AF$2,行为概览!$D$3:$U$33,4,0)),0,VLOOKUP(AF$2,行为概览!$D$3:$U$33,6,0)),4)</f>
        <v>0</v>
      </c>
    </row>
    <row r="140" spans="1:32">
      <c r="A140" s="19">
        <v>138</v>
      </c>
      <c r="B140" s="20">
        <f>ROUND(IF(OR($A140&lt;VLOOKUP(B$2,行为概览!$D$3:$U$33,3,0),$A140&gt;VLOOKUP(B$2,行为概览!$D$3:$U$33,4,0)),0,VLOOKUP(B$2,行为概览!$D$3:$U$33,6,0)),4)</f>
        <v>0.33329999999999999</v>
      </c>
      <c r="C140" s="20">
        <f>ROUND(IF(OR($A140&lt;VLOOKUP(C$2,行为概览!$D$3:$U$33,3,0),$A140&gt;VLOOKUP(C$2,行为概览!$D$3:$U$33,4,0)),0,VLOOKUP(C$2,行为概览!$D$3:$U$33,6,0)),4)</f>
        <v>2</v>
      </c>
      <c r="D140" s="20">
        <f>ROUND(IF(OR($A140&lt;VLOOKUP(D$2,行为概览!$D$3:$U$33,3,0),$A140&gt;VLOOKUP(D$2,行为概览!$D$3:$U$33,4,0)),0,VLOOKUP(D$2,行为概览!$D$3:$U$33,6,0)),4)</f>
        <v>8.3299999999999999E-2</v>
      </c>
      <c r="E140" s="20">
        <f>ROUND(IF(OR($A140&lt;VLOOKUP(E$2,行为概览!$D$3:$U$33,3,0),$A140&gt;VLOOKUP(E$2,行为概览!$D$3:$U$33,4,0)),0,VLOOKUP(E$2,行为概览!$D$3:$U$33,6,0)),4)</f>
        <v>1</v>
      </c>
      <c r="F140" s="20">
        <f>ROUND(IF(OR($A140&lt;VLOOKUP(F$2,行为概览!$D$3:$U$33,3,0),$A140&gt;VLOOKUP(F$2,行为概览!$D$3:$U$33,4,0)),0,VLOOKUP(F$2,行为概览!$D$3:$U$33,6,0)),4)</f>
        <v>0.33329999999999999</v>
      </c>
      <c r="G140" s="20">
        <f>ROUND(IF(OR($A140&lt;VLOOKUP(G$2,行为概览!$D$3:$U$33,3,0),$A140&gt;VLOOKUP(G$2,行为概览!$D$3:$U$33,4,0)),0,VLOOKUP(G$2,行为概览!$D$3:$U$33,6,0)),4)</f>
        <v>0</v>
      </c>
      <c r="H140" s="20">
        <f>ROUND(IF(OR($A140&lt;VLOOKUP(H$2,行为概览!$D$3:$U$33,3,0),$A140&gt;VLOOKUP(H$2,行为概览!$D$3:$U$33,4,0)),0,VLOOKUP(H$2,行为概览!$D$3:$U$33,6,0)),4)</f>
        <v>0</v>
      </c>
      <c r="I140" s="20">
        <f>ROUND(IF(OR($A140&lt;VLOOKUP(I$2,行为概览!$D$3:$U$33,3,0),$A140&gt;VLOOKUP(I$2,行为概览!$D$3:$U$33,4,0)),0,VLOOKUP(I$2,行为概览!$D$3:$U$33,6,0)),4)</f>
        <v>0</v>
      </c>
      <c r="J140" s="20">
        <f>ROUND(IF(OR($A140&lt;VLOOKUP(J$2,行为概览!$D$3:$U$33,3,0),$A140&gt;VLOOKUP(J$2,行为概览!$D$3:$U$33,4,0)),0,VLOOKUP(J$2,行为概览!$D$3:$U$33,6,0)),4)</f>
        <v>0.5</v>
      </c>
      <c r="K140" s="20">
        <f>ROUND(IF(OR($A140&lt;VLOOKUP(K$2,行为概览!$D$3:$U$33,3,0),$A140&gt;VLOOKUP(K$2,行为概览!$D$3:$U$33,4,0)),0,VLOOKUP(K$2,行为概览!$D$3:$U$33,6,0)),4)</f>
        <v>0.16669999999999999</v>
      </c>
      <c r="L140" s="20">
        <f>ROUND(IF(OR($A140&lt;VLOOKUP(L$2,行为概览!$D$3:$U$33,3,0),$A140&gt;VLOOKUP(L$2,行为概览!$D$3:$U$33,4,0)),0,VLOOKUP(L$2,行为概览!$D$3:$U$33,6,0)),4)</f>
        <v>0.5</v>
      </c>
      <c r="M140" s="20">
        <f>ROUND(IF(OR($A140&lt;VLOOKUP(M$2,行为概览!$D$3:$U$33,3,0),$A140&gt;VLOOKUP(M$2,行为概览!$D$3:$U$33,4,0)),0,VLOOKUP(M$2,行为概览!$D$3:$U$33,6,0)),4)</f>
        <v>12</v>
      </c>
      <c r="N140" s="20">
        <f>ROUND(IF(OR($A140&lt;VLOOKUP(N$2,行为概览!$D$3:$U$33,3,0),$A140&gt;VLOOKUP(N$2,行为概览!$D$3:$U$33,4,0)),0,VLOOKUP(N$2,行为概览!$D$3:$U$33,6,0)),4)</f>
        <v>8.3299999999999999E-2</v>
      </c>
      <c r="O140" s="20">
        <f>ROUND(IF(OR($A140&lt;VLOOKUP(O$2,行为概览!$D$3:$U$33,3,0),$A140&gt;VLOOKUP(O$2,行为概览!$D$3:$U$33,4,0)),0,VLOOKUP(O$2,行为概览!$D$3:$U$33,6,0)),4)</f>
        <v>8.3299999999999999E-2</v>
      </c>
      <c r="P140" s="20">
        <f>ROUND(IF(OR($A140&lt;VLOOKUP(P$2,行为概览!$D$3:$U$33,3,0),$A140&gt;VLOOKUP(P$2,行为概览!$D$3:$U$33,4,0)),0,VLOOKUP(P$2,行为概览!$D$3:$U$33,6,0)),4)</f>
        <v>2.6</v>
      </c>
      <c r="Q140" s="20">
        <f>ROUND(IF(OR($A140&lt;VLOOKUP(Q$2,行为概览!$D$3:$U$33,3,0),$A140&gt;VLOOKUP(Q$2,行为概览!$D$3:$U$33,4,0)),0,VLOOKUP(Q$2,行为概览!$D$3:$U$33,6,0)),4)</f>
        <v>1</v>
      </c>
      <c r="R140" s="20">
        <f>ROUND(IF(OR($A140&lt;VLOOKUP(R$2,行为概览!$D$3:$U$33,3,0),$A140&gt;VLOOKUP(R$2,行为概览!$D$3:$U$33,4,0)),0,VLOOKUP(R$2,行为概览!$D$3:$U$33,6,0)),4)</f>
        <v>0.33329999999999999</v>
      </c>
      <c r="S140" s="20">
        <f>ROUND(IF(OR($A140&lt;VLOOKUP(S$2,行为概览!$D$3:$U$33,3,0),$A140&gt;VLOOKUP(S$2,行为概览!$D$3:$U$33,4,0)),0,VLOOKUP(S$2,行为概览!$D$3:$U$33,6,0)),4)</f>
        <v>0</v>
      </c>
      <c r="T140" s="20">
        <f>ROUND(IF(OR($A140&lt;VLOOKUP(T$2,行为概览!$D$3:$U$33,3,0),$A140&gt;VLOOKUP(T$2,行为概览!$D$3:$U$33,4,0)),0,VLOOKUP(T$2,行为概览!$D$3:$U$33,6,0)),4)</f>
        <v>0.33329999999999999</v>
      </c>
      <c r="U140" s="20">
        <f>ROUND(IF(OR($A140&lt;VLOOKUP(U$2,行为概览!$D$3:$U$33,3,0),$A140&gt;VLOOKUP(U$2,行为概览!$D$3:$U$33,4,0)),0,VLOOKUP(U$2,行为概览!$D$3:$U$33,6,0)),4)</f>
        <v>0.16669999999999999</v>
      </c>
      <c r="V140" s="20">
        <f>ROUND(IF(OR($A140&lt;VLOOKUP(V$2,行为概览!$D$3:$U$33,3,0),$A140&gt;VLOOKUP(V$2,行为概览!$D$3:$U$33,4,0)),0,VLOOKUP(V$2,行为概览!$D$3:$U$33,6,0)),4)</f>
        <v>0.16669999999999999</v>
      </c>
      <c r="W140" s="20">
        <f>ROUND(IF(OR($A140&lt;VLOOKUP(W$2,行为概览!$D$3:$U$33,3,0),$A140&gt;VLOOKUP(W$2,行为概览!$D$3:$U$33,4,0)),0,VLOOKUP(W$2,行为概览!$D$3:$U$33,6,0)),4)</f>
        <v>0.16669999999999999</v>
      </c>
      <c r="X140" s="20">
        <f>ROUND(IF(OR($A140&lt;VLOOKUP(X$2,行为概览!$D$3:$U$33,3,0),$A140&gt;VLOOKUP(X$2,行为概览!$D$3:$U$33,4,0)),0,VLOOKUP(X$2,行为概览!$D$3:$U$33,6,0)),4)</f>
        <v>0.25</v>
      </c>
      <c r="Y140" s="20">
        <f>ROUND(IF(OR($A140&lt;VLOOKUP(Y$2,行为概览!$D$3:$U$33,3,0),$A140&gt;VLOOKUP(Y$2,行为概览!$D$3:$U$33,4,0)),0,VLOOKUP(Y$2,行为概览!$D$3:$U$33,6,0)),4)</f>
        <v>0.58330000000000004</v>
      </c>
      <c r="Z140" s="20">
        <f>ROUND(IF(OR($A140&lt;VLOOKUP(Z$2,行为概览!$D$3:$U$33,3,0),$A140&gt;VLOOKUP(Z$2,行为概览!$D$3:$U$33,4,0)),0,VLOOKUP(Z$2,行为概览!$D$3:$U$33,6,0)),4)</f>
        <v>0.16669999999999999</v>
      </c>
      <c r="AA140" s="20">
        <f>ROUND(IF(OR($A140&lt;VLOOKUP(AA$2,行为概览!$D$3:$U$33,3,0),$A140&gt;VLOOKUP(AA$2,行为概览!$D$3:$U$33,4,0)),0,VLOOKUP(AA$2,行为概览!$D$3:$U$33,6,0)),4)</f>
        <v>0</v>
      </c>
      <c r="AB140" s="20">
        <f>ROUND(IF(OR($A140&lt;VLOOKUP(AB$2,行为概览!$D$3:$U$33,3,0),$A140&gt;VLOOKUP(AB$2,行为概览!$D$3:$U$33,4,0)),0,VLOOKUP(AB$2,行为概览!$D$3:$U$33,6,0)),4)</f>
        <v>0</v>
      </c>
      <c r="AC140" s="20">
        <f>ROUND(IF(OR($A140&lt;VLOOKUP(AC$2,行为概览!$D$3:$U$33,3,0),$A140&gt;VLOOKUP(AC$2,行为概览!$D$3:$U$33,4,0)),0,VLOOKUP(AC$2,行为概览!$D$3:$U$33,6,0)),4)</f>
        <v>0</v>
      </c>
      <c r="AD140" s="20">
        <f>ROUND(IF(OR($A140&lt;VLOOKUP(AD$2,行为概览!$D$3:$U$33,3,0),$A140&gt;VLOOKUP(AD$2,行为概览!$D$3:$U$33,4,0)),0,VLOOKUP(AD$2,行为概览!$D$3:$U$33,6,0)),4)</f>
        <v>0</v>
      </c>
      <c r="AE140" s="20">
        <f>ROUND(IF(OR($A140&lt;VLOOKUP(AE$2,行为概览!$D$3:$U$33,3,0),$A140&gt;VLOOKUP(AE$2,行为概览!$D$3:$U$33,4,0)),0,VLOOKUP(AE$2,行为概览!$D$3:$U$33,6,0)),4)</f>
        <v>8.3299999999999999E-2</v>
      </c>
      <c r="AF140" s="20">
        <f>ROUND(IF(OR($A140&lt;VLOOKUP(AF$2,行为概览!$D$3:$U$33,3,0),$A140&gt;VLOOKUP(AF$2,行为概览!$D$3:$U$33,4,0)),0,VLOOKUP(AF$2,行为概览!$D$3:$U$33,6,0)),4)</f>
        <v>0</v>
      </c>
    </row>
    <row r="141" spans="1:32">
      <c r="A141" s="19">
        <v>139</v>
      </c>
      <c r="B141" s="20">
        <f>ROUND(IF(OR($A141&lt;VLOOKUP(B$2,行为概览!$D$3:$U$33,3,0),$A141&gt;VLOOKUP(B$2,行为概览!$D$3:$U$33,4,0)),0,VLOOKUP(B$2,行为概览!$D$3:$U$33,6,0)),4)</f>
        <v>0.33329999999999999</v>
      </c>
      <c r="C141" s="20">
        <f>ROUND(IF(OR($A141&lt;VLOOKUP(C$2,行为概览!$D$3:$U$33,3,0),$A141&gt;VLOOKUP(C$2,行为概览!$D$3:$U$33,4,0)),0,VLOOKUP(C$2,行为概览!$D$3:$U$33,6,0)),4)</f>
        <v>2</v>
      </c>
      <c r="D141" s="20">
        <f>ROUND(IF(OR($A141&lt;VLOOKUP(D$2,行为概览!$D$3:$U$33,3,0),$A141&gt;VLOOKUP(D$2,行为概览!$D$3:$U$33,4,0)),0,VLOOKUP(D$2,行为概览!$D$3:$U$33,6,0)),4)</f>
        <v>8.3299999999999999E-2</v>
      </c>
      <c r="E141" s="20">
        <f>ROUND(IF(OR($A141&lt;VLOOKUP(E$2,行为概览!$D$3:$U$33,3,0),$A141&gt;VLOOKUP(E$2,行为概览!$D$3:$U$33,4,0)),0,VLOOKUP(E$2,行为概览!$D$3:$U$33,6,0)),4)</f>
        <v>1</v>
      </c>
      <c r="F141" s="20">
        <f>ROUND(IF(OR($A141&lt;VLOOKUP(F$2,行为概览!$D$3:$U$33,3,0),$A141&gt;VLOOKUP(F$2,行为概览!$D$3:$U$33,4,0)),0,VLOOKUP(F$2,行为概览!$D$3:$U$33,6,0)),4)</f>
        <v>0.33329999999999999</v>
      </c>
      <c r="G141" s="20">
        <f>ROUND(IF(OR($A141&lt;VLOOKUP(G$2,行为概览!$D$3:$U$33,3,0),$A141&gt;VLOOKUP(G$2,行为概览!$D$3:$U$33,4,0)),0,VLOOKUP(G$2,行为概览!$D$3:$U$33,6,0)),4)</f>
        <v>0</v>
      </c>
      <c r="H141" s="20">
        <f>ROUND(IF(OR($A141&lt;VLOOKUP(H$2,行为概览!$D$3:$U$33,3,0),$A141&gt;VLOOKUP(H$2,行为概览!$D$3:$U$33,4,0)),0,VLOOKUP(H$2,行为概览!$D$3:$U$33,6,0)),4)</f>
        <v>0</v>
      </c>
      <c r="I141" s="20">
        <f>ROUND(IF(OR($A141&lt;VLOOKUP(I$2,行为概览!$D$3:$U$33,3,0),$A141&gt;VLOOKUP(I$2,行为概览!$D$3:$U$33,4,0)),0,VLOOKUP(I$2,行为概览!$D$3:$U$33,6,0)),4)</f>
        <v>0</v>
      </c>
      <c r="J141" s="20">
        <f>ROUND(IF(OR($A141&lt;VLOOKUP(J$2,行为概览!$D$3:$U$33,3,0),$A141&gt;VLOOKUP(J$2,行为概览!$D$3:$U$33,4,0)),0,VLOOKUP(J$2,行为概览!$D$3:$U$33,6,0)),4)</f>
        <v>0.5</v>
      </c>
      <c r="K141" s="20">
        <f>ROUND(IF(OR($A141&lt;VLOOKUP(K$2,行为概览!$D$3:$U$33,3,0),$A141&gt;VLOOKUP(K$2,行为概览!$D$3:$U$33,4,0)),0,VLOOKUP(K$2,行为概览!$D$3:$U$33,6,0)),4)</f>
        <v>0.16669999999999999</v>
      </c>
      <c r="L141" s="20">
        <f>ROUND(IF(OR($A141&lt;VLOOKUP(L$2,行为概览!$D$3:$U$33,3,0),$A141&gt;VLOOKUP(L$2,行为概览!$D$3:$U$33,4,0)),0,VLOOKUP(L$2,行为概览!$D$3:$U$33,6,0)),4)</f>
        <v>0.5</v>
      </c>
      <c r="M141" s="20">
        <f>ROUND(IF(OR($A141&lt;VLOOKUP(M$2,行为概览!$D$3:$U$33,3,0),$A141&gt;VLOOKUP(M$2,行为概览!$D$3:$U$33,4,0)),0,VLOOKUP(M$2,行为概览!$D$3:$U$33,6,0)),4)</f>
        <v>12</v>
      </c>
      <c r="N141" s="20">
        <f>ROUND(IF(OR($A141&lt;VLOOKUP(N$2,行为概览!$D$3:$U$33,3,0),$A141&gt;VLOOKUP(N$2,行为概览!$D$3:$U$33,4,0)),0,VLOOKUP(N$2,行为概览!$D$3:$U$33,6,0)),4)</f>
        <v>8.3299999999999999E-2</v>
      </c>
      <c r="O141" s="20">
        <f>ROUND(IF(OR($A141&lt;VLOOKUP(O$2,行为概览!$D$3:$U$33,3,0),$A141&gt;VLOOKUP(O$2,行为概览!$D$3:$U$33,4,0)),0,VLOOKUP(O$2,行为概览!$D$3:$U$33,6,0)),4)</f>
        <v>8.3299999999999999E-2</v>
      </c>
      <c r="P141" s="20">
        <f>ROUND(IF(OR($A141&lt;VLOOKUP(P$2,行为概览!$D$3:$U$33,3,0),$A141&gt;VLOOKUP(P$2,行为概览!$D$3:$U$33,4,0)),0,VLOOKUP(P$2,行为概览!$D$3:$U$33,6,0)),4)</f>
        <v>2.6</v>
      </c>
      <c r="Q141" s="20">
        <f>ROUND(IF(OR($A141&lt;VLOOKUP(Q$2,行为概览!$D$3:$U$33,3,0),$A141&gt;VLOOKUP(Q$2,行为概览!$D$3:$U$33,4,0)),0,VLOOKUP(Q$2,行为概览!$D$3:$U$33,6,0)),4)</f>
        <v>1</v>
      </c>
      <c r="R141" s="20">
        <f>ROUND(IF(OR($A141&lt;VLOOKUP(R$2,行为概览!$D$3:$U$33,3,0),$A141&gt;VLOOKUP(R$2,行为概览!$D$3:$U$33,4,0)),0,VLOOKUP(R$2,行为概览!$D$3:$U$33,6,0)),4)</f>
        <v>0.33329999999999999</v>
      </c>
      <c r="S141" s="20">
        <f>ROUND(IF(OR($A141&lt;VLOOKUP(S$2,行为概览!$D$3:$U$33,3,0),$A141&gt;VLOOKUP(S$2,行为概览!$D$3:$U$33,4,0)),0,VLOOKUP(S$2,行为概览!$D$3:$U$33,6,0)),4)</f>
        <v>0</v>
      </c>
      <c r="T141" s="20">
        <f>ROUND(IF(OR($A141&lt;VLOOKUP(T$2,行为概览!$D$3:$U$33,3,0),$A141&gt;VLOOKUP(T$2,行为概览!$D$3:$U$33,4,0)),0,VLOOKUP(T$2,行为概览!$D$3:$U$33,6,0)),4)</f>
        <v>0.33329999999999999</v>
      </c>
      <c r="U141" s="20">
        <f>ROUND(IF(OR($A141&lt;VLOOKUP(U$2,行为概览!$D$3:$U$33,3,0),$A141&gt;VLOOKUP(U$2,行为概览!$D$3:$U$33,4,0)),0,VLOOKUP(U$2,行为概览!$D$3:$U$33,6,0)),4)</f>
        <v>0.16669999999999999</v>
      </c>
      <c r="V141" s="20">
        <f>ROUND(IF(OR($A141&lt;VLOOKUP(V$2,行为概览!$D$3:$U$33,3,0),$A141&gt;VLOOKUP(V$2,行为概览!$D$3:$U$33,4,0)),0,VLOOKUP(V$2,行为概览!$D$3:$U$33,6,0)),4)</f>
        <v>0.16669999999999999</v>
      </c>
      <c r="W141" s="20">
        <f>ROUND(IF(OR($A141&lt;VLOOKUP(W$2,行为概览!$D$3:$U$33,3,0),$A141&gt;VLOOKUP(W$2,行为概览!$D$3:$U$33,4,0)),0,VLOOKUP(W$2,行为概览!$D$3:$U$33,6,0)),4)</f>
        <v>0.16669999999999999</v>
      </c>
      <c r="X141" s="20">
        <f>ROUND(IF(OR($A141&lt;VLOOKUP(X$2,行为概览!$D$3:$U$33,3,0),$A141&gt;VLOOKUP(X$2,行为概览!$D$3:$U$33,4,0)),0,VLOOKUP(X$2,行为概览!$D$3:$U$33,6,0)),4)</f>
        <v>0.25</v>
      </c>
      <c r="Y141" s="20">
        <f>ROUND(IF(OR($A141&lt;VLOOKUP(Y$2,行为概览!$D$3:$U$33,3,0),$A141&gt;VLOOKUP(Y$2,行为概览!$D$3:$U$33,4,0)),0,VLOOKUP(Y$2,行为概览!$D$3:$U$33,6,0)),4)</f>
        <v>0.58330000000000004</v>
      </c>
      <c r="Z141" s="20">
        <f>ROUND(IF(OR($A141&lt;VLOOKUP(Z$2,行为概览!$D$3:$U$33,3,0),$A141&gt;VLOOKUP(Z$2,行为概览!$D$3:$U$33,4,0)),0,VLOOKUP(Z$2,行为概览!$D$3:$U$33,6,0)),4)</f>
        <v>0.16669999999999999</v>
      </c>
      <c r="AA141" s="20">
        <f>ROUND(IF(OR($A141&lt;VLOOKUP(AA$2,行为概览!$D$3:$U$33,3,0),$A141&gt;VLOOKUP(AA$2,行为概览!$D$3:$U$33,4,0)),0,VLOOKUP(AA$2,行为概览!$D$3:$U$33,6,0)),4)</f>
        <v>0</v>
      </c>
      <c r="AB141" s="20">
        <f>ROUND(IF(OR($A141&lt;VLOOKUP(AB$2,行为概览!$D$3:$U$33,3,0),$A141&gt;VLOOKUP(AB$2,行为概览!$D$3:$U$33,4,0)),0,VLOOKUP(AB$2,行为概览!$D$3:$U$33,6,0)),4)</f>
        <v>0</v>
      </c>
      <c r="AC141" s="20">
        <f>ROUND(IF(OR($A141&lt;VLOOKUP(AC$2,行为概览!$D$3:$U$33,3,0),$A141&gt;VLOOKUP(AC$2,行为概览!$D$3:$U$33,4,0)),0,VLOOKUP(AC$2,行为概览!$D$3:$U$33,6,0)),4)</f>
        <v>0</v>
      </c>
      <c r="AD141" s="20">
        <f>ROUND(IF(OR($A141&lt;VLOOKUP(AD$2,行为概览!$D$3:$U$33,3,0),$A141&gt;VLOOKUP(AD$2,行为概览!$D$3:$U$33,4,0)),0,VLOOKUP(AD$2,行为概览!$D$3:$U$33,6,0)),4)</f>
        <v>0</v>
      </c>
      <c r="AE141" s="20">
        <f>ROUND(IF(OR($A141&lt;VLOOKUP(AE$2,行为概览!$D$3:$U$33,3,0),$A141&gt;VLOOKUP(AE$2,行为概览!$D$3:$U$33,4,0)),0,VLOOKUP(AE$2,行为概览!$D$3:$U$33,6,0)),4)</f>
        <v>8.3299999999999999E-2</v>
      </c>
      <c r="AF141" s="20">
        <f>ROUND(IF(OR($A141&lt;VLOOKUP(AF$2,行为概览!$D$3:$U$33,3,0),$A141&gt;VLOOKUP(AF$2,行为概览!$D$3:$U$33,4,0)),0,VLOOKUP(AF$2,行为概览!$D$3:$U$33,6,0)),4)</f>
        <v>0</v>
      </c>
    </row>
    <row r="142" spans="1:32">
      <c r="A142" s="19">
        <v>140</v>
      </c>
      <c r="B142" s="20">
        <f>ROUND(IF(OR($A142&lt;VLOOKUP(B$2,行为概览!$D$3:$U$33,3,0),$A142&gt;VLOOKUP(B$2,行为概览!$D$3:$U$33,4,0)),0,VLOOKUP(B$2,行为概览!$D$3:$U$33,6,0)),4)</f>
        <v>0.33329999999999999</v>
      </c>
      <c r="C142" s="20">
        <f>ROUND(IF(OR($A142&lt;VLOOKUP(C$2,行为概览!$D$3:$U$33,3,0),$A142&gt;VLOOKUP(C$2,行为概览!$D$3:$U$33,4,0)),0,VLOOKUP(C$2,行为概览!$D$3:$U$33,6,0)),4)</f>
        <v>2</v>
      </c>
      <c r="D142" s="20">
        <f>ROUND(IF(OR($A142&lt;VLOOKUP(D$2,行为概览!$D$3:$U$33,3,0),$A142&gt;VLOOKUP(D$2,行为概览!$D$3:$U$33,4,0)),0,VLOOKUP(D$2,行为概览!$D$3:$U$33,6,0)),4)</f>
        <v>8.3299999999999999E-2</v>
      </c>
      <c r="E142" s="20">
        <f>ROUND(IF(OR($A142&lt;VLOOKUP(E$2,行为概览!$D$3:$U$33,3,0),$A142&gt;VLOOKUP(E$2,行为概览!$D$3:$U$33,4,0)),0,VLOOKUP(E$2,行为概览!$D$3:$U$33,6,0)),4)</f>
        <v>1</v>
      </c>
      <c r="F142" s="20">
        <f>ROUND(IF(OR($A142&lt;VLOOKUP(F$2,行为概览!$D$3:$U$33,3,0),$A142&gt;VLOOKUP(F$2,行为概览!$D$3:$U$33,4,0)),0,VLOOKUP(F$2,行为概览!$D$3:$U$33,6,0)),4)</f>
        <v>0.33329999999999999</v>
      </c>
      <c r="G142" s="20">
        <f>ROUND(IF(OR($A142&lt;VLOOKUP(G$2,行为概览!$D$3:$U$33,3,0),$A142&gt;VLOOKUP(G$2,行为概览!$D$3:$U$33,4,0)),0,VLOOKUP(G$2,行为概览!$D$3:$U$33,6,0)),4)</f>
        <v>0</v>
      </c>
      <c r="H142" s="20">
        <f>ROUND(IF(OR($A142&lt;VLOOKUP(H$2,行为概览!$D$3:$U$33,3,0),$A142&gt;VLOOKUP(H$2,行为概览!$D$3:$U$33,4,0)),0,VLOOKUP(H$2,行为概览!$D$3:$U$33,6,0)),4)</f>
        <v>0</v>
      </c>
      <c r="I142" s="20">
        <f>ROUND(IF(OR($A142&lt;VLOOKUP(I$2,行为概览!$D$3:$U$33,3,0),$A142&gt;VLOOKUP(I$2,行为概览!$D$3:$U$33,4,0)),0,VLOOKUP(I$2,行为概览!$D$3:$U$33,6,0)),4)</f>
        <v>0</v>
      </c>
      <c r="J142" s="20">
        <f>ROUND(IF(OR($A142&lt;VLOOKUP(J$2,行为概览!$D$3:$U$33,3,0),$A142&gt;VLOOKUP(J$2,行为概览!$D$3:$U$33,4,0)),0,VLOOKUP(J$2,行为概览!$D$3:$U$33,6,0)),4)</f>
        <v>0.5</v>
      </c>
      <c r="K142" s="20">
        <f>ROUND(IF(OR($A142&lt;VLOOKUP(K$2,行为概览!$D$3:$U$33,3,0),$A142&gt;VLOOKUP(K$2,行为概览!$D$3:$U$33,4,0)),0,VLOOKUP(K$2,行为概览!$D$3:$U$33,6,0)),4)</f>
        <v>0.16669999999999999</v>
      </c>
      <c r="L142" s="20">
        <f>ROUND(IF(OR($A142&lt;VLOOKUP(L$2,行为概览!$D$3:$U$33,3,0),$A142&gt;VLOOKUP(L$2,行为概览!$D$3:$U$33,4,0)),0,VLOOKUP(L$2,行为概览!$D$3:$U$33,6,0)),4)</f>
        <v>0.5</v>
      </c>
      <c r="M142" s="20">
        <f>ROUND(IF(OR($A142&lt;VLOOKUP(M$2,行为概览!$D$3:$U$33,3,0),$A142&gt;VLOOKUP(M$2,行为概览!$D$3:$U$33,4,0)),0,VLOOKUP(M$2,行为概览!$D$3:$U$33,6,0)),4)</f>
        <v>12</v>
      </c>
      <c r="N142" s="20">
        <f>ROUND(IF(OR($A142&lt;VLOOKUP(N$2,行为概览!$D$3:$U$33,3,0),$A142&gt;VLOOKUP(N$2,行为概览!$D$3:$U$33,4,0)),0,VLOOKUP(N$2,行为概览!$D$3:$U$33,6,0)),4)</f>
        <v>8.3299999999999999E-2</v>
      </c>
      <c r="O142" s="20">
        <f>ROUND(IF(OR($A142&lt;VLOOKUP(O$2,行为概览!$D$3:$U$33,3,0),$A142&gt;VLOOKUP(O$2,行为概览!$D$3:$U$33,4,0)),0,VLOOKUP(O$2,行为概览!$D$3:$U$33,6,0)),4)</f>
        <v>8.3299999999999999E-2</v>
      </c>
      <c r="P142" s="20">
        <f>ROUND(IF(OR($A142&lt;VLOOKUP(P$2,行为概览!$D$3:$U$33,3,0),$A142&gt;VLOOKUP(P$2,行为概览!$D$3:$U$33,4,0)),0,VLOOKUP(P$2,行为概览!$D$3:$U$33,6,0)),4)</f>
        <v>2.6</v>
      </c>
      <c r="Q142" s="20">
        <f>ROUND(IF(OR($A142&lt;VLOOKUP(Q$2,行为概览!$D$3:$U$33,3,0),$A142&gt;VLOOKUP(Q$2,行为概览!$D$3:$U$33,4,0)),0,VLOOKUP(Q$2,行为概览!$D$3:$U$33,6,0)),4)</f>
        <v>1</v>
      </c>
      <c r="R142" s="20">
        <f>ROUND(IF(OR($A142&lt;VLOOKUP(R$2,行为概览!$D$3:$U$33,3,0),$A142&gt;VLOOKUP(R$2,行为概览!$D$3:$U$33,4,0)),0,VLOOKUP(R$2,行为概览!$D$3:$U$33,6,0)),4)</f>
        <v>0.33329999999999999</v>
      </c>
      <c r="S142" s="20">
        <f>ROUND(IF(OR($A142&lt;VLOOKUP(S$2,行为概览!$D$3:$U$33,3,0),$A142&gt;VLOOKUP(S$2,行为概览!$D$3:$U$33,4,0)),0,VLOOKUP(S$2,行为概览!$D$3:$U$33,6,0)),4)</f>
        <v>0</v>
      </c>
      <c r="T142" s="20">
        <f>ROUND(IF(OR($A142&lt;VLOOKUP(T$2,行为概览!$D$3:$U$33,3,0),$A142&gt;VLOOKUP(T$2,行为概览!$D$3:$U$33,4,0)),0,VLOOKUP(T$2,行为概览!$D$3:$U$33,6,0)),4)</f>
        <v>0.33329999999999999</v>
      </c>
      <c r="U142" s="20">
        <f>ROUND(IF(OR($A142&lt;VLOOKUP(U$2,行为概览!$D$3:$U$33,3,0),$A142&gt;VLOOKUP(U$2,行为概览!$D$3:$U$33,4,0)),0,VLOOKUP(U$2,行为概览!$D$3:$U$33,6,0)),4)</f>
        <v>0.16669999999999999</v>
      </c>
      <c r="V142" s="20">
        <f>ROUND(IF(OR($A142&lt;VLOOKUP(V$2,行为概览!$D$3:$U$33,3,0),$A142&gt;VLOOKUP(V$2,行为概览!$D$3:$U$33,4,0)),0,VLOOKUP(V$2,行为概览!$D$3:$U$33,6,0)),4)</f>
        <v>0.16669999999999999</v>
      </c>
      <c r="W142" s="20">
        <f>ROUND(IF(OR($A142&lt;VLOOKUP(W$2,行为概览!$D$3:$U$33,3,0),$A142&gt;VLOOKUP(W$2,行为概览!$D$3:$U$33,4,0)),0,VLOOKUP(W$2,行为概览!$D$3:$U$33,6,0)),4)</f>
        <v>0.16669999999999999</v>
      </c>
      <c r="X142" s="20">
        <f>ROUND(IF(OR($A142&lt;VLOOKUP(X$2,行为概览!$D$3:$U$33,3,0),$A142&gt;VLOOKUP(X$2,行为概览!$D$3:$U$33,4,0)),0,VLOOKUP(X$2,行为概览!$D$3:$U$33,6,0)),4)</f>
        <v>0.25</v>
      </c>
      <c r="Y142" s="20">
        <f>ROUND(IF(OR($A142&lt;VLOOKUP(Y$2,行为概览!$D$3:$U$33,3,0),$A142&gt;VLOOKUP(Y$2,行为概览!$D$3:$U$33,4,0)),0,VLOOKUP(Y$2,行为概览!$D$3:$U$33,6,0)),4)</f>
        <v>0.58330000000000004</v>
      </c>
      <c r="Z142" s="20">
        <f>ROUND(IF(OR($A142&lt;VLOOKUP(Z$2,行为概览!$D$3:$U$33,3,0),$A142&gt;VLOOKUP(Z$2,行为概览!$D$3:$U$33,4,0)),0,VLOOKUP(Z$2,行为概览!$D$3:$U$33,6,0)),4)</f>
        <v>0.16669999999999999</v>
      </c>
      <c r="AA142" s="20">
        <f>ROUND(IF(OR($A142&lt;VLOOKUP(AA$2,行为概览!$D$3:$U$33,3,0),$A142&gt;VLOOKUP(AA$2,行为概览!$D$3:$U$33,4,0)),0,VLOOKUP(AA$2,行为概览!$D$3:$U$33,6,0)),4)</f>
        <v>0</v>
      </c>
      <c r="AB142" s="20">
        <f>ROUND(IF(OR($A142&lt;VLOOKUP(AB$2,行为概览!$D$3:$U$33,3,0),$A142&gt;VLOOKUP(AB$2,行为概览!$D$3:$U$33,4,0)),0,VLOOKUP(AB$2,行为概览!$D$3:$U$33,6,0)),4)</f>
        <v>0</v>
      </c>
      <c r="AC142" s="20">
        <f>ROUND(IF(OR($A142&lt;VLOOKUP(AC$2,行为概览!$D$3:$U$33,3,0),$A142&gt;VLOOKUP(AC$2,行为概览!$D$3:$U$33,4,0)),0,VLOOKUP(AC$2,行为概览!$D$3:$U$33,6,0)),4)</f>
        <v>0</v>
      </c>
      <c r="AD142" s="20">
        <f>ROUND(IF(OR($A142&lt;VLOOKUP(AD$2,行为概览!$D$3:$U$33,3,0),$A142&gt;VLOOKUP(AD$2,行为概览!$D$3:$U$33,4,0)),0,VLOOKUP(AD$2,行为概览!$D$3:$U$33,6,0)),4)</f>
        <v>0</v>
      </c>
      <c r="AE142" s="20">
        <f>ROUND(IF(OR($A142&lt;VLOOKUP(AE$2,行为概览!$D$3:$U$33,3,0),$A142&gt;VLOOKUP(AE$2,行为概览!$D$3:$U$33,4,0)),0,VLOOKUP(AE$2,行为概览!$D$3:$U$33,6,0)),4)</f>
        <v>8.3299999999999999E-2</v>
      </c>
      <c r="AF142" s="20">
        <f>ROUND(IF(OR($A142&lt;VLOOKUP(AF$2,行为概览!$D$3:$U$33,3,0),$A142&gt;VLOOKUP(AF$2,行为概览!$D$3:$U$33,4,0)),0,VLOOKUP(AF$2,行为概览!$D$3:$U$33,6,0)),4)</f>
        <v>0</v>
      </c>
    </row>
    <row r="143" spans="1:32">
      <c r="A143" s="19">
        <v>141</v>
      </c>
      <c r="B143" s="20">
        <f>ROUND(IF(OR($A143&lt;VLOOKUP(B$2,行为概览!$D$3:$U$33,3,0),$A143&gt;VLOOKUP(B$2,行为概览!$D$3:$U$33,4,0)),0,VLOOKUP(B$2,行为概览!$D$3:$U$33,6,0)),4)</f>
        <v>0.33329999999999999</v>
      </c>
      <c r="C143" s="20">
        <f>ROUND(IF(OR($A143&lt;VLOOKUP(C$2,行为概览!$D$3:$U$33,3,0),$A143&gt;VLOOKUP(C$2,行为概览!$D$3:$U$33,4,0)),0,VLOOKUP(C$2,行为概览!$D$3:$U$33,6,0)),4)</f>
        <v>2</v>
      </c>
      <c r="D143" s="20">
        <f>ROUND(IF(OR($A143&lt;VLOOKUP(D$2,行为概览!$D$3:$U$33,3,0),$A143&gt;VLOOKUP(D$2,行为概览!$D$3:$U$33,4,0)),0,VLOOKUP(D$2,行为概览!$D$3:$U$33,6,0)),4)</f>
        <v>8.3299999999999999E-2</v>
      </c>
      <c r="E143" s="20">
        <f>ROUND(IF(OR($A143&lt;VLOOKUP(E$2,行为概览!$D$3:$U$33,3,0),$A143&gt;VLOOKUP(E$2,行为概览!$D$3:$U$33,4,0)),0,VLOOKUP(E$2,行为概览!$D$3:$U$33,6,0)),4)</f>
        <v>1</v>
      </c>
      <c r="F143" s="20">
        <f>ROUND(IF(OR($A143&lt;VLOOKUP(F$2,行为概览!$D$3:$U$33,3,0),$A143&gt;VLOOKUP(F$2,行为概览!$D$3:$U$33,4,0)),0,VLOOKUP(F$2,行为概览!$D$3:$U$33,6,0)),4)</f>
        <v>0.33329999999999999</v>
      </c>
      <c r="G143" s="20">
        <f>ROUND(IF(OR($A143&lt;VLOOKUP(G$2,行为概览!$D$3:$U$33,3,0),$A143&gt;VLOOKUP(G$2,行为概览!$D$3:$U$33,4,0)),0,VLOOKUP(G$2,行为概览!$D$3:$U$33,6,0)),4)</f>
        <v>0</v>
      </c>
      <c r="H143" s="20">
        <f>ROUND(IF(OR($A143&lt;VLOOKUP(H$2,行为概览!$D$3:$U$33,3,0),$A143&gt;VLOOKUP(H$2,行为概览!$D$3:$U$33,4,0)),0,VLOOKUP(H$2,行为概览!$D$3:$U$33,6,0)),4)</f>
        <v>0</v>
      </c>
      <c r="I143" s="20">
        <f>ROUND(IF(OR($A143&lt;VLOOKUP(I$2,行为概览!$D$3:$U$33,3,0),$A143&gt;VLOOKUP(I$2,行为概览!$D$3:$U$33,4,0)),0,VLOOKUP(I$2,行为概览!$D$3:$U$33,6,0)),4)</f>
        <v>0</v>
      </c>
      <c r="J143" s="20">
        <f>ROUND(IF(OR($A143&lt;VLOOKUP(J$2,行为概览!$D$3:$U$33,3,0),$A143&gt;VLOOKUP(J$2,行为概览!$D$3:$U$33,4,0)),0,VLOOKUP(J$2,行为概览!$D$3:$U$33,6,0)),4)</f>
        <v>0.5</v>
      </c>
      <c r="K143" s="20">
        <f>ROUND(IF(OR($A143&lt;VLOOKUP(K$2,行为概览!$D$3:$U$33,3,0),$A143&gt;VLOOKUP(K$2,行为概览!$D$3:$U$33,4,0)),0,VLOOKUP(K$2,行为概览!$D$3:$U$33,6,0)),4)</f>
        <v>0.16669999999999999</v>
      </c>
      <c r="L143" s="20">
        <f>ROUND(IF(OR($A143&lt;VLOOKUP(L$2,行为概览!$D$3:$U$33,3,0),$A143&gt;VLOOKUP(L$2,行为概览!$D$3:$U$33,4,0)),0,VLOOKUP(L$2,行为概览!$D$3:$U$33,6,0)),4)</f>
        <v>0.5</v>
      </c>
      <c r="M143" s="20">
        <f>ROUND(IF(OR($A143&lt;VLOOKUP(M$2,行为概览!$D$3:$U$33,3,0),$A143&gt;VLOOKUP(M$2,行为概览!$D$3:$U$33,4,0)),0,VLOOKUP(M$2,行为概览!$D$3:$U$33,6,0)),4)</f>
        <v>12</v>
      </c>
      <c r="N143" s="20">
        <f>ROUND(IF(OR($A143&lt;VLOOKUP(N$2,行为概览!$D$3:$U$33,3,0),$A143&gt;VLOOKUP(N$2,行为概览!$D$3:$U$33,4,0)),0,VLOOKUP(N$2,行为概览!$D$3:$U$33,6,0)),4)</f>
        <v>8.3299999999999999E-2</v>
      </c>
      <c r="O143" s="20">
        <f>ROUND(IF(OR($A143&lt;VLOOKUP(O$2,行为概览!$D$3:$U$33,3,0),$A143&gt;VLOOKUP(O$2,行为概览!$D$3:$U$33,4,0)),0,VLOOKUP(O$2,行为概览!$D$3:$U$33,6,0)),4)</f>
        <v>8.3299999999999999E-2</v>
      </c>
      <c r="P143" s="20">
        <f>ROUND(IF(OR($A143&lt;VLOOKUP(P$2,行为概览!$D$3:$U$33,3,0),$A143&gt;VLOOKUP(P$2,行为概览!$D$3:$U$33,4,0)),0,VLOOKUP(P$2,行为概览!$D$3:$U$33,6,0)),4)</f>
        <v>2.6</v>
      </c>
      <c r="Q143" s="20">
        <f>ROUND(IF(OR($A143&lt;VLOOKUP(Q$2,行为概览!$D$3:$U$33,3,0),$A143&gt;VLOOKUP(Q$2,行为概览!$D$3:$U$33,4,0)),0,VLOOKUP(Q$2,行为概览!$D$3:$U$33,6,0)),4)</f>
        <v>1</v>
      </c>
      <c r="R143" s="20">
        <f>ROUND(IF(OR($A143&lt;VLOOKUP(R$2,行为概览!$D$3:$U$33,3,0),$A143&gt;VLOOKUP(R$2,行为概览!$D$3:$U$33,4,0)),0,VLOOKUP(R$2,行为概览!$D$3:$U$33,6,0)),4)</f>
        <v>0.33329999999999999</v>
      </c>
      <c r="S143" s="20">
        <f>ROUND(IF(OR($A143&lt;VLOOKUP(S$2,行为概览!$D$3:$U$33,3,0),$A143&gt;VLOOKUP(S$2,行为概览!$D$3:$U$33,4,0)),0,VLOOKUP(S$2,行为概览!$D$3:$U$33,6,0)),4)</f>
        <v>0</v>
      </c>
      <c r="T143" s="20">
        <f>ROUND(IF(OR($A143&lt;VLOOKUP(T$2,行为概览!$D$3:$U$33,3,0),$A143&gt;VLOOKUP(T$2,行为概览!$D$3:$U$33,4,0)),0,VLOOKUP(T$2,行为概览!$D$3:$U$33,6,0)),4)</f>
        <v>0.33329999999999999</v>
      </c>
      <c r="U143" s="20">
        <f>ROUND(IF(OR($A143&lt;VLOOKUP(U$2,行为概览!$D$3:$U$33,3,0),$A143&gt;VLOOKUP(U$2,行为概览!$D$3:$U$33,4,0)),0,VLOOKUP(U$2,行为概览!$D$3:$U$33,6,0)),4)</f>
        <v>0.16669999999999999</v>
      </c>
      <c r="V143" s="20">
        <f>ROUND(IF(OR($A143&lt;VLOOKUP(V$2,行为概览!$D$3:$U$33,3,0),$A143&gt;VLOOKUP(V$2,行为概览!$D$3:$U$33,4,0)),0,VLOOKUP(V$2,行为概览!$D$3:$U$33,6,0)),4)</f>
        <v>0.16669999999999999</v>
      </c>
      <c r="W143" s="20">
        <f>ROUND(IF(OR($A143&lt;VLOOKUP(W$2,行为概览!$D$3:$U$33,3,0),$A143&gt;VLOOKUP(W$2,行为概览!$D$3:$U$33,4,0)),0,VLOOKUP(W$2,行为概览!$D$3:$U$33,6,0)),4)</f>
        <v>0.16669999999999999</v>
      </c>
      <c r="X143" s="20">
        <f>ROUND(IF(OR($A143&lt;VLOOKUP(X$2,行为概览!$D$3:$U$33,3,0),$A143&gt;VLOOKUP(X$2,行为概览!$D$3:$U$33,4,0)),0,VLOOKUP(X$2,行为概览!$D$3:$U$33,6,0)),4)</f>
        <v>0.25</v>
      </c>
      <c r="Y143" s="20">
        <f>ROUND(IF(OR($A143&lt;VLOOKUP(Y$2,行为概览!$D$3:$U$33,3,0),$A143&gt;VLOOKUP(Y$2,行为概览!$D$3:$U$33,4,0)),0,VLOOKUP(Y$2,行为概览!$D$3:$U$33,6,0)),4)</f>
        <v>0.58330000000000004</v>
      </c>
      <c r="Z143" s="20">
        <f>ROUND(IF(OR($A143&lt;VLOOKUP(Z$2,行为概览!$D$3:$U$33,3,0),$A143&gt;VLOOKUP(Z$2,行为概览!$D$3:$U$33,4,0)),0,VLOOKUP(Z$2,行为概览!$D$3:$U$33,6,0)),4)</f>
        <v>0.16669999999999999</v>
      </c>
      <c r="AA143" s="20">
        <f>ROUND(IF(OR($A143&lt;VLOOKUP(AA$2,行为概览!$D$3:$U$33,3,0),$A143&gt;VLOOKUP(AA$2,行为概览!$D$3:$U$33,4,0)),0,VLOOKUP(AA$2,行为概览!$D$3:$U$33,6,0)),4)</f>
        <v>0</v>
      </c>
      <c r="AB143" s="20">
        <f>ROUND(IF(OR($A143&lt;VLOOKUP(AB$2,行为概览!$D$3:$U$33,3,0),$A143&gt;VLOOKUP(AB$2,行为概览!$D$3:$U$33,4,0)),0,VLOOKUP(AB$2,行为概览!$D$3:$U$33,6,0)),4)</f>
        <v>0</v>
      </c>
      <c r="AC143" s="20">
        <f>ROUND(IF(OR($A143&lt;VLOOKUP(AC$2,行为概览!$D$3:$U$33,3,0),$A143&gt;VLOOKUP(AC$2,行为概览!$D$3:$U$33,4,0)),0,VLOOKUP(AC$2,行为概览!$D$3:$U$33,6,0)),4)</f>
        <v>0</v>
      </c>
      <c r="AD143" s="20">
        <f>ROUND(IF(OR($A143&lt;VLOOKUP(AD$2,行为概览!$D$3:$U$33,3,0),$A143&gt;VLOOKUP(AD$2,行为概览!$D$3:$U$33,4,0)),0,VLOOKUP(AD$2,行为概览!$D$3:$U$33,6,0)),4)</f>
        <v>0</v>
      </c>
      <c r="AE143" s="20">
        <f>ROUND(IF(OR($A143&lt;VLOOKUP(AE$2,行为概览!$D$3:$U$33,3,0),$A143&gt;VLOOKUP(AE$2,行为概览!$D$3:$U$33,4,0)),0,VLOOKUP(AE$2,行为概览!$D$3:$U$33,6,0)),4)</f>
        <v>8.3299999999999999E-2</v>
      </c>
      <c r="AF143" s="20">
        <f>ROUND(IF(OR($A143&lt;VLOOKUP(AF$2,行为概览!$D$3:$U$33,3,0),$A143&gt;VLOOKUP(AF$2,行为概览!$D$3:$U$33,4,0)),0,VLOOKUP(AF$2,行为概览!$D$3:$U$33,6,0)),4)</f>
        <v>0</v>
      </c>
    </row>
    <row r="144" spans="1:32">
      <c r="A144" s="19">
        <v>142</v>
      </c>
      <c r="B144" s="20">
        <f>ROUND(IF(OR($A144&lt;VLOOKUP(B$2,行为概览!$D$3:$U$33,3,0),$A144&gt;VLOOKUP(B$2,行为概览!$D$3:$U$33,4,0)),0,VLOOKUP(B$2,行为概览!$D$3:$U$33,6,0)),4)</f>
        <v>0.33329999999999999</v>
      </c>
      <c r="C144" s="20">
        <f>ROUND(IF(OR($A144&lt;VLOOKUP(C$2,行为概览!$D$3:$U$33,3,0),$A144&gt;VLOOKUP(C$2,行为概览!$D$3:$U$33,4,0)),0,VLOOKUP(C$2,行为概览!$D$3:$U$33,6,0)),4)</f>
        <v>2</v>
      </c>
      <c r="D144" s="20">
        <f>ROUND(IF(OR($A144&lt;VLOOKUP(D$2,行为概览!$D$3:$U$33,3,0),$A144&gt;VLOOKUP(D$2,行为概览!$D$3:$U$33,4,0)),0,VLOOKUP(D$2,行为概览!$D$3:$U$33,6,0)),4)</f>
        <v>8.3299999999999999E-2</v>
      </c>
      <c r="E144" s="20">
        <f>ROUND(IF(OR($A144&lt;VLOOKUP(E$2,行为概览!$D$3:$U$33,3,0),$A144&gt;VLOOKUP(E$2,行为概览!$D$3:$U$33,4,0)),0,VLOOKUP(E$2,行为概览!$D$3:$U$33,6,0)),4)</f>
        <v>1</v>
      </c>
      <c r="F144" s="20">
        <f>ROUND(IF(OR($A144&lt;VLOOKUP(F$2,行为概览!$D$3:$U$33,3,0),$A144&gt;VLOOKUP(F$2,行为概览!$D$3:$U$33,4,0)),0,VLOOKUP(F$2,行为概览!$D$3:$U$33,6,0)),4)</f>
        <v>0.33329999999999999</v>
      </c>
      <c r="G144" s="20">
        <f>ROUND(IF(OR($A144&lt;VLOOKUP(G$2,行为概览!$D$3:$U$33,3,0),$A144&gt;VLOOKUP(G$2,行为概览!$D$3:$U$33,4,0)),0,VLOOKUP(G$2,行为概览!$D$3:$U$33,6,0)),4)</f>
        <v>0</v>
      </c>
      <c r="H144" s="20">
        <f>ROUND(IF(OR($A144&lt;VLOOKUP(H$2,行为概览!$D$3:$U$33,3,0),$A144&gt;VLOOKUP(H$2,行为概览!$D$3:$U$33,4,0)),0,VLOOKUP(H$2,行为概览!$D$3:$U$33,6,0)),4)</f>
        <v>0</v>
      </c>
      <c r="I144" s="20">
        <f>ROUND(IF(OR($A144&lt;VLOOKUP(I$2,行为概览!$D$3:$U$33,3,0),$A144&gt;VLOOKUP(I$2,行为概览!$D$3:$U$33,4,0)),0,VLOOKUP(I$2,行为概览!$D$3:$U$33,6,0)),4)</f>
        <v>0</v>
      </c>
      <c r="J144" s="20">
        <f>ROUND(IF(OR($A144&lt;VLOOKUP(J$2,行为概览!$D$3:$U$33,3,0),$A144&gt;VLOOKUP(J$2,行为概览!$D$3:$U$33,4,0)),0,VLOOKUP(J$2,行为概览!$D$3:$U$33,6,0)),4)</f>
        <v>0.5</v>
      </c>
      <c r="K144" s="20">
        <f>ROUND(IF(OR($A144&lt;VLOOKUP(K$2,行为概览!$D$3:$U$33,3,0),$A144&gt;VLOOKUP(K$2,行为概览!$D$3:$U$33,4,0)),0,VLOOKUP(K$2,行为概览!$D$3:$U$33,6,0)),4)</f>
        <v>0.16669999999999999</v>
      </c>
      <c r="L144" s="20">
        <f>ROUND(IF(OR($A144&lt;VLOOKUP(L$2,行为概览!$D$3:$U$33,3,0),$A144&gt;VLOOKUP(L$2,行为概览!$D$3:$U$33,4,0)),0,VLOOKUP(L$2,行为概览!$D$3:$U$33,6,0)),4)</f>
        <v>0.5</v>
      </c>
      <c r="M144" s="20">
        <f>ROUND(IF(OR($A144&lt;VLOOKUP(M$2,行为概览!$D$3:$U$33,3,0),$A144&gt;VLOOKUP(M$2,行为概览!$D$3:$U$33,4,0)),0,VLOOKUP(M$2,行为概览!$D$3:$U$33,6,0)),4)</f>
        <v>12</v>
      </c>
      <c r="N144" s="20">
        <f>ROUND(IF(OR($A144&lt;VLOOKUP(N$2,行为概览!$D$3:$U$33,3,0),$A144&gt;VLOOKUP(N$2,行为概览!$D$3:$U$33,4,0)),0,VLOOKUP(N$2,行为概览!$D$3:$U$33,6,0)),4)</f>
        <v>8.3299999999999999E-2</v>
      </c>
      <c r="O144" s="20">
        <f>ROUND(IF(OR($A144&lt;VLOOKUP(O$2,行为概览!$D$3:$U$33,3,0),$A144&gt;VLOOKUP(O$2,行为概览!$D$3:$U$33,4,0)),0,VLOOKUP(O$2,行为概览!$D$3:$U$33,6,0)),4)</f>
        <v>8.3299999999999999E-2</v>
      </c>
      <c r="P144" s="20">
        <f>ROUND(IF(OR($A144&lt;VLOOKUP(P$2,行为概览!$D$3:$U$33,3,0),$A144&gt;VLOOKUP(P$2,行为概览!$D$3:$U$33,4,0)),0,VLOOKUP(P$2,行为概览!$D$3:$U$33,6,0)),4)</f>
        <v>2.6</v>
      </c>
      <c r="Q144" s="20">
        <f>ROUND(IF(OR($A144&lt;VLOOKUP(Q$2,行为概览!$D$3:$U$33,3,0),$A144&gt;VLOOKUP(Q$2,行为概览!$D$3:$U$33,4,0)),0,VLOOKUP(Q$2,行为概览!$D$3:$U$33,6,0)),4)</f>
        <v>1</v>
      </c>
      <c r="R144" s="20">
        <f>ROUND(IF(OR($A144&lt;VLOOKUP(R$2,行为概览!$D$3:$U$33,3,0),$A144&gt;VLOOKUP(R$2,行为概览!$D$3:$U$33,4,0)),0,VLOOKUP(R$2,行为概览!$D$3:$U$33,6,0)),4)</f>
        <v>0.33329999999999999</v>
      </c>
      <c r="S144" s="20">
        <f>ROUND(IF(OR($A144&lt;VLOOKUP(S$2,行为概览!$D$3:$U$33,3,0),$A144&gt;VLOOKUP(S$2,行为概览!$D$3:$U$33,4,0)),0,VLOOKUP(S$2,行为概览!$D$3:$U$33,6,0)),4)</f>
        <v>0</v>
      </c>
      <c r="T144" s="20">
        <f>ROUND(IF(OR($A144&lt;VLOOKUP(T$2,行为概览!$D$3:$U$33,3,0),$A144&gt;VLOOKUP(T$2,行为概览!$D$3:$U$33,4,0)),0,VLOOKUP(T$2,行为概览!$D$3:$U$33,6,0)),4)</f>
        <v>0.33329999999999999</v>
      </c>
      <c r="U144" s="20">
        <f>ROUND(IF(OR($A144&lt;VLOOKUP(U$2,行为概览!$D$3:$U$33,3,0),$A144&gt;VLOOKUP(U$2,行为概览!$D$3:$U$33,4,0)),0,VLOOKUP(U$2,行为概览!$D$3:$U$33,6,0)),4)</f>
        <v>0.16669999999999999</v>
      </c>
      <c r="V144" s="20">
        <f>ROUND(IF(OR($A144&lt;VLOOKUP(V$2,行为概览!$D$3:$U$33,3,0),$A144&gt;VLOOKUP(V$2,行为概览!$D$3:$U$33,4,0)),0,VLOOKUP(V$2,行为概览!$D$3:$U$33,6,0)),4)</f>
        <v>0.16669999999999999</v>
      </c>
      <c r="W144" s="20">
        <f>ROUND(IF(OR($A144&lt;VLOOKUP(W$2,行为概览!$D$3:$U$33,3,0),$A144&gt;VLOOKUP(W$2,行为概览!$D$3:$U$33,4,0)),0,VLOOKUP(W$2,行为概览!$D$3:$U$33,6,0)),4)</f>
        <v>0.16669999999999999</v>
      </c>
      <c r="X144" s="20">
        <f>ROUND(IF(OR($A144&lt;VLOOKUP(X$2,行为概览!$D$3:$U$33,3,0),$A144&gt;VLOOKUP(X$2,行为概览!$D$3:$U$33,4,0)),0,VLOOKUP(X$2,行为概览!$D$3:$U$33,6,0)),4)</f>
        <v>0.25</v>
      </c>
      <c r="Y144" s="20">
        <f>ROUND(IF(OR($A144&lt;VLOOKUP(Y$2,行为概览!$D$3:$U$33,3,0),$A144&gt;VLOOKUP(Y$2,行为概览!$D$3:$U$33,4,0)),0,VLOOKUP(Y$2,行为概览!$D$3:$U$33,6,0)),4)</f>
        <v>0.58330000000000004</v>
      </c>
      <c r="Z144" s="20">
        <f>ROUND(IF(OR($A144&lt;VLOOKUP(Z$2,行为概览!$D$3:$U$33,3,0),$A144&gt;VLOOKUP(Z$2,行为概览!$D$3:$U$33,4,0)),0,VLOOKUP(Z$2,行为概览!$D$3:$U$33,6,0)),4)</f>
        <v>0.16669999999999999</v>
      </c>
      <c r="AA144" s="20">
        <f>ROUND(IF(OR($A144&lt;VLOOKUP(AA$2,行为概览!$D$3:$U$33,3,0),$A144&gt;VLOOKUP(AA$2,行为概览!$D$3:$U$33,4,0)),0,VLOOKUP(AA$2,行为概览!$D$3:$U$33,6,0)),4)</f>
        <v>0</v>
      </c>
      <c r="AB144" s="20">
        <f>ROUND(IF(OR($A144&lt;VLOOKUP(AB$2,行为概览!$D$3:$U$33,3,0),$A144&gt;VLOOKUP(AB$2,行为概览!$D$3:$U$33,4,0)),0,VLOOKUP(AB$2,行为概览!$D$3:$U$33,6,0)),4)</f>
        <v>0</v>
      </c>
      <c r="AC144" s="20">
        <f>ROUND(IF(OR($A144&lt;VLOOKUP(AC$2,行为概览!$D$3:$U$33,3,0),$A144&gt;VLOOKUP(AC$2,行为概览!$D$3:$U$33,4,0)),0,VLOOKUP(AC$2,行为概览!$D$3:$U$33,6,0)),4)</f>
        <v>0</v>
      </c>
      <c r="AD144" s="20">
        <f>ROUND(IF(OR($A144&lt;VLOOKUP(AD$2,行为概览!$D$3:$U$33,3,0),$A144&gt;VLOOKUP(AD$2,行为概览!$D$3:$U$33,4,0)),0,VLOOKUP(AD$2,行为概览!$D$3:$U$33,6,0)),4)</f>
        <v>0</v>
      </c>
      <c r="AE144" s="20">
        <f>ROUND(IF(OR($A144&lt;VLOOKUP(AE$2,行为概览!$D$3:$U$33,3,0),$A144&gt;VLOOKUP(AE$2,行为概览!$D$3:$U$33,4,0)),0,VLOOKUP(AE$2,行为概览!$D$3:$U$33,6,0)),4)</f>
        <v>8.3299999999999999E-2</v>
      </c>
      <c r="AF144" s="20">
        <f>ROUND(IF(OR($A144&lt;VLOOKUP(AF$2,行为概览!$D$3:$U$33,3,0),$A144&gt;VLOOKUP(AF$2,行为概览!$D$3:$U$33,4,0)),0,VLOOKUP(AF$2,行为概览!$D$3:$U$33,6,0)),4)</f>
        <v>0</v>
      </c>
    </row>
    <row r="145" spans="1:32">
      <c r="A145" s="19">
        <v>143</v>
      </c>
      <c r="B145" s="20">
        <f>ROUND(IF(OR($A145&lt;VLOOKUP(B$2,行为概览!$D$3:$U$33,3,0),$A145&gt;VLOOKUP(B$2,行为概览!$D$3:$U$33,4,0)),0,VLOOKUP(B$2,行为概览!$D$3:$U$33,6,0)),4)</f>
        <v>0.33329999999999999</v>
      </c>
      <c r="C145" s="20">
        <f>ROUND(IF(OR($A145&lt;VLOOKUP(C$2,行为概览!$D$3:$U$33,3,0),$A145&gt;VLOOKUP(C$2,行为概览!$D$3:$U$33,4,0)),0,VLOOKUP(C$2,行为概览!$D$3:$U$33,6,0)),4)</f>
        <v>2</v>
      </c>
      <c r="D145" s="20">
        <f>ROUND(IF(OR($A145&lt;VLOOKUP(D$2,行为概览!$D$3:$U$33,3,0),$A145&gt;VLOOKUP(D$2,行为概览!$D$3:$U$33,4,0)),0,VLOOKUP(D$2,行为概览!$D$3:$U$33,6,0)),4)</f>
        <v>8.3299999999999999E-2</v>
      </c>
      <c r="E145" s="20">
        <f>ROUND(IF(OR($A145&lt;VLOOKUP(E$2,行为概览!$D$3:$U$33,3,0),$A145&gt;VLOOKUP(E$2,行为概览!$D$3:$U$33,4,0)),0,VLOOKUP(E$2,行为概览!$D$3:$U$33,6,0)),4)</f>
        <v>1</v>
      </c>
      <c r="F145" s="20">
        <f>ROUND(IF(OR($A145&lt;VLOOKUP(F$2,行为概览!$D$3:$U$33,3,0),$A145&gt;VLOOKUP(F$2,行为概览!$D$3:$U$33,4,0)),0,VLOOKUP(F$2,行为概览!$D$3:$U$33,6,0)),4)</f>
        <v>0.33329999999999999</v>
      </c>
      <c r="G145" s="20">
        <f>ROUND(IF(OR($A145&lt;VLOOKUP(G$2,行为概览!$D$3:$U$33,3,0),$A145&gt;VLOOKUP(G$2,行为概览!$D$3:$U$33,4,0)),0,VLOOKUP(G$2,行为概览!$D$3:$U$33,6,0)),4)</f>
        <v>0</v>
      </c>
      <c r="H145" s="20">
        <f>ROUND(IF(OR($A145&lt;VLOOKUP(H$2,行为概览!$D$3:$U$33,3,0),$A145&gt;VLOOKUP(H$2,行为概览!$D$3:$U$33,4,0)),0,VLOOKUP(H$2,行为概览!$D$3:$U$33,6,0)),4)</f>
        <v>0</v>
      </c>
      <c r="I145" s="20">
        <f>ROUND(IF(OR($A145&lt;VLOOKUP(I$2,行为概览!$D$3:$U$33,3,0),$A145&gt;VLOOKUP(I$2,行为概览!$D$3:$U$33,4,0)),0,VLOOKUP(I$2,行为概览!$D$3:$U$33,6,0)),4)</f>
        <v>0</v>
      </c>
      <c r="J145" s="20">
        <f>ROUND(IF(OR($A145&lt;VLOOKUP(J$2,行为概览!$D$3:$U$33,3,0),$A145&gt;VLOOKUP(J$2,行为概览!$D$3:$U$33,4,0)),0,VLOOKUP(J$2,行为概览!$D$3:$U$33,6,0)),4)</f>
        <v>0.5</v>
      </c>
      <c r="K145" s="20">
        <f>ROUND(IF(OR($A145&lt;VLOOKUP(K$2,行为概览!$D$3:$U$33,3,0),$A145&gt;VLOOKUP(K$2,行为概览!$D$3:$U$33,4,0)),0,VLOOKUP(K$2,行为概览!$D$3:$U$33,6,0)),4)</f>
        <v>0.16669999999999999</v>
      </c>
      <c r="L145" s="20">
        <f>ROUND(IF(OR($A145&lt;VLOOKUP(L$2,行为概览!$D$3:$U$33,3,0),$A145&gt;VLOOKUP(L$2,行为概览!$D$3:$U$33,4,0)),0,VLOOKUP(L$2,行为概览!$D$3:$U$33,6,0)),4)</f>
        <v>0.5</v>
      </c>
      <c r="M145" s="20">
        <f>ROUND(IF(OR($A145&lt;VLOOKUP(M$2,行为概览!$D$3:$U$33,3,0),$A145&gt;VLOOKUP(M$2,行为概览!$D$3:$U$33,4,0)),0,VLOOKUP(M$2,行为概览!$D$3:$U$33,6,0)),4)</f>
        <v>12</v>
      </c>
      <c r="N145" s="20">
        <f>ROUND(IF(OR($A145&lt;VLOOKUP(N$2,行为概览!$D$3:$U$33,3,0),$A145&gt;VLOOKUP(N$2,行为概览!$D$3:$U$33,4,0)),0,VLOOKUP(N$2,行为概览!$D$3:$U$33,6,0)),4)</f>
        <v>8.3299999999999999E-2</v>
      </c>
      <c r="O145" s="20">
        <f>ROUND(IF(OR($A145&lt;VLOOKUP(O$2,行为概览!$D$3:$U$33,3,0),$A145&gt;VLOOKUP(O$2,行为概览!$D$3:$U$33,4,0)),0,VLOOKUP(O$2,行为概览!$D$3:$U$33,6,0)),4)</f>
        <v>8.3299999999999999E-2</v>
      </c>
      <c r="P145" s="20">
        <f>ROUND(IF(OR($A145&lt;VLOOKUP(P$2,行为概览!$D$3:$U$33,3,0),$A145&gt;VLOOKUP(P$2,行为概览!$D$3:$U$33,4,0)),0,VLOOKUP(P$2,行为概览!$D$3:$U$33,6,0)),4)</f>
        <v>2.6</v>
      </c>
      <c r="Q145" s="20">
        <f>ROUND(IF(OR($A145&lt;VLOOKUP(Q$2,行为概览!$D$3:$U$33,3,0),$A145&gt;VLOOKUP(Q$2,行为概览!$D$3:$U$33,4,0)),0,VLOOKUP(Q$2,行为概览!$D$3:$U$33,6,0)),4)</f>
        <v>1</v>
      </c>
      <c r="R145" s="20">
        <f>ROUND(IF(OR($A145&lt;VLOOKUP(R$2,行为概览!$D$3:$U$33,3,0),$A145&gt;VLOOKUP(R$2,行为概览!$D$3:$U$33,4,0)),0,VLOOKUP(R$2,行为概览!$D$3:$U$33,6,0)),4)</f>
        <v>0.33329999999999999</v>
      </c>
      <c r="S145" s="20">
        <f>ROUND(IF(OR($A145&lt;VLOOKUP(S$2,行为概览!$D$3:$U$33,3,0),$A145&gt;VLOOKUP(S$2,行为概览!$D$3:$U$33,4,0)),0,VLOOKUP(S$2,行为概览!$D$3:$U$33,6,0)),4)</f>
        <v>0</v>
      </c>
      <c r="T145" s="20">
        <f>ROUND(IF(OR($A145&lt;VLOOKUP(T$2,行为概览!$D$3:$U$33,3,0),$A145&gt;VLOOKUP(T$2,行为概览!$D$3:$U$33,4,0)),0,VLOOKUP(T$2,行为概览!$D$3:$U$33,6,0)),4)</f>
        <v>0.33329999999999999</v>
      </c>
      <c r="U145" s="20">
        <f>ROUND(IF(OR($A145&lt;VLOOKUP(U$2,行为概览!$D$3:$U$33,3,0),$A145&gt;VLOOKUP(U$2,行为概览!$D$3:$U$33,4,0)),0,VLOOKUP(U$2,行为概览!$D$3:$U$33,6,0)),4)</f>
        <v>0.16669999999999999</v>
      </c>
      <c r="V145" s="20">
        <f>ROUND(IF(OR($A145&lt;VLOOKUP(V$2,行为概览!$D$3:$U$33,3,0),$A145&gt;VLOOKUP(V$2,行为概览!$D$3:$U$33,4,0)),0,VLOOKUP(V$2,行为概览!$D$3:$U$33,6,0)),4)</f>
        <v>0.16669999999999999</v>
      </c>
      <c r="W145" s="20">
        <f>ROUND(IF(OR($A145&lt;VLOOKUP(W$2,行为概览!$D$3:$U$33,3,0),$A145&gt;VLOOKUP(W$2,行为概览!$D$3:$U$33,4,0)),0,VLOOKUP(W$2,行为概览!$D$3:$U$33,6,0)),4)</f>
        <v>0.16669999999999999</v>
      </c>
      <c r="X145" s="20">
        <f>ROUND(IF(OR($A145&lt;VLOOKUP(X$2,行为概览!$D$3:$U$33,3,0),$A145&gt;VLOOKUP(X$2,行为概览!$D$3:$U$33,4,0)),0,VLOOKUP(X$2,行为概览!$D$3:$U$33,6,0)),4)</f>
        <v>0.25</v>
      </c>
      <c r="Y145" s="20">
        <f>ROUND(IF(OR($A145&lt;VLOOKUP(Y$2,行为概览!$D$3:$U$33,3,0),$A145&gt;VLOOKUP(Y$2,行为概览!$D$3:$U$33,4,0)),0,VLOOKUP(Y$2,行为概览!$D$3:$U$33,6,0)),4)</f>
        <v>0.58330000000000004</v>
      </c>
      <c r="Z145" s="20">
        <f>ROUND(IF(OR($A145&lt;VLOOKUP(Z$2,行为概览!$D$3:$U$33,3,0),$A145&gt;VLOOKUP(Z$2,行为概览!$D$3:$U$33,4,0)),0,VLOOKUP(Z$2,行为概览!$D$3:$U$33,6,0)),4)</f>
        <v>0.16669999999999999</v>
      </c>
      <c r="AA145" s="20">
        <f>ROUND(IF(OR($A145&lt;VLOOKUP(AA$2,行为概览!$D$3:$U$33,3,0),$A145&gt;VLOOKUP(AA$2,行为概览!$D$3:$U$33,4,0)),0,VLOOKUP(AA$2,行为概览!$D$3:$U$33,6,0)),4)</f>
        <v>0</v>
      </c>
      <c r="AB145" s="20">
        <f>ROUND(IF(OR($A145&lt;VLOOKUP(AB$2,行为概览!$D$3:$U$33,3,0),$A145&gt;VLOOKUP(AB$2,行为概览!$D$3:$U$33,4,0)),0,VLOOKUP(AB$2,行为概览!$D$3:$U$33,6,0)),4)</f>
        <v>0</v>
      </c>
      <c r="AC145" s="20">
        <f>ROUND(IF(OR($A145&lt;VLOOKUP(AC$2,行为概览!$D$3:$U$33,3,0),$A145&gt;VLOOKUP(AC$2,行为概览!$D$3:$U$33,4,0)),0,VLOOKUP(AC$2,行为概览!$D$3:$U$33,6,0)),4)</f>
        <v>0</v>
      </c>
      <c r="AD145" s="20">
        <f>ROUND(IF(OR($A145&lt;VLOOKUP(AD$2,行为概览!$D$3:$U$33,3,0),$A145&gt;VLOOKUP(AD$2,行为概览!$D$3:$U$33,4,0)),0,VLOOKUP(AD$2,行为概览!$D$3:$U$33,6,0)),4)</f>
        <v>0</v>
      </c>
      <c r="AE145" s="20">
        <f>ROUND(IF(OR($A145&lt;VLOOKUP(AE$2,行为概览!$D$3:$U$33,3,0),$A145&gt;VLOOKUP(AE$2,行为概览!$D$3:$U$33,4,0)),0,VLOOKUP(AE$2,行为概览!$D$3:$U$33,6,0)),4)</f>
        <v>8.3299999999999999E-2</v>
      </c>
      <c r="AF145" s="20">
        <f>ROUND(IF(OR($A145&lt;VLOOKUP(AF$2,行为概览!$D$3:$U$33,3,0),$A145&gt;VLOOKUP(AF$2,行为概览!$D$3:$U$33,4,0)),0,VLOOKUP(AF$2,行为概览!$D$3:$U$33,6,0)),4)</f>
        <v>0</v>
      </c>
    </row>
    <row r="146" spans="1:32">
      <c r="A146" s="19">
        <v>144</v>
      </c>
      <c r="B146" s="20">
        <f>ROUND(IF(OR($A146&lt;VLOOKUP(B$2,行为概览!$D$3:$U$33,3,0),$A146&gt;VLOOKUP(B$2,行为概览!$D$3:$U$33,4,0)),0,VLOOKUP(B$2,行为概览!$D$3:$U$33,6,0)),4)</f>
        <v>0.33329999999999999</v>
      </c>
      <c r="C146" s="20">
        <f>ROUND(IF(OR($A146&lt;VLOOKUP(C$2,行为概览!$D$3:$U$33,3,0),$A146&gt;VLOOKUP(C$2,行为概览!$D$3:$U$33,4,0)),0,VLOOKUP(C$2,行为概览!$D$3:$U$33,6,0)),4)</f>
        <v>2</v>
      </c>
      <c r="D146" s="20">
        <f>ROUND(IF(OR($A146&lt;VLOOKUP(D$2,行为概览!$D$3:$U$33,3,0),$A146&gt;VLOOKUP(D$2,行为概览!$D$3:$U$33,4,0)),0,VLOOKUP(D$2,行为概览!$D$3:$U$33,6,0)),4)</f>
        <v>8.3299999999999999E-2</v>
      </c>
      <c r="E146" s="20">
        <f>ROUND(IF(OR($A146&lt;VLOOKUP(E$2,行为概览!$D$3:$U$33,3,0),$A146&gt;VLOOKUP(E$2,行为概览!$D$3:$U$33,4,0)),0,VLOOKUP(E$2,行为概览!$D$3:$U$33,6,0)),4)</f>
        <v>1</v>
      </c>
      <c r="F146" s="20">
        <f>ROUND(IF(OR($A146&lt;VLOOKUP(F$2,行为概览!$D$3:$U$33,3,0),$A146&gt;VLOOKUP(F$2,行为概览!$D$3:$U$33,4,0)),0,VLOOKUP(F$2,行为概览!$D$3:$U$33,6,0)),4)</f>
        <v>0.33329999999999999</v>
      </c>
      <c r="G146" s="20">
        <f>ROUND(IF(OR($A146&lt;VLOOKUP(G$2,行为概览!$D$3:$U$33,3,0),$A146&gt;VLOOKUP(G$2,行为概览!$D$3:$U$33,4,0)),0,VLOOKUP(G$2,行为概览!$D$3:$U$33,6,0)),4)</f>
        <v>0</v>
      </c>
      <c r="H146" s="20">
        <f>ROUND(IF(OR($A146&lt;VLOOKUP(H$2,行为概览!$D$3:$U$33,3,0),$A146&gt;VLOOKUP(H$2,行为概览!$D$3:$U$33,4,0)),0,VLOOKUP(H$2,行为概览!$D$3:$U$33,6,0)),4)</f>
        <v>0</v>
      </c>
      <c r="I146" s="20">
        <f>ROUND(IF(OR($A146&lt;VLOOKUP(I$2,行为概览!$D$3:$U$33,3,0),$A146&gt;VLOOKUP(I$2,行为概览!$D$3:$U$33,4,0)),0,VLOOKUP(I$2,行为概览!$D$3:$U$33,6,0)),4)</f>
        <v>0</v>
      </c>
      <c r="J146" s="20">
        <f>ROUND(IF(OR($A146&lt;VLOOKUP(J$2,行为概览!$D$3:$U$33,3,0),$A146&gt;VLOOKUP(J$2,行为概览!$D$3:$U$33,4,0)),0,VLOOKUP(J$2,行为概览!$D$3:$U$33,6,0)),4)</f>
        <v>0.5</v>
      </c>
      <c r="K146" s="20">
        <f>ROUND(IF(OR($A146&lt;VLOOKUP(K$2,行为概览!$D$3:$U$33,3,0),$A146&gt;VLOOKUP(K$2,行为概览!$D$3:$U$33,4,0)),0,VLOOKUP(K$2,行为概览!$D$3:$U$33,6,0)),4)</f>
        <v>0.16669999999999999</v>
      </c>
      <c r="L146" s="20">
        <f>ROUND(IF(OR($A146&lt;VLOOKUP(L$2,行为概览!$D$3:$U$33,3,0),$A146&gt;VLOOKUP(L$2,行为概览!$D$3:$U$33,4,0)),0,VLOOKUP(L$2,行为概览!$D$3:$U$33,6,0)),4)</f>
        <v>0.5</v>
      </c>
      <c r="M146" s="20">
        <f>ROUND(IF(OR($A146&lt;VLOOKUP(M$2,行为概览!$D$3:$U$33,3,0),$A146&gt;VLOOKUP(M$2,行为概览!$D$3:$U$33,4,0)),0,VLOOKUP(M$2,行为概览!$D$3:$U$33,6,0)),4)</f>
        <v>12</v>
      </c>
      <c r="N146" s="20">
        <f>ROUND(IF(OR($A146&lt;VLOOKUP(N$2,行为概览!$D$3:$U$33,3,0),$A146&gt;VLOOKUP(N$2,行为概览!$D$3:$U$33,4,0)),0,VLOOKUP(N$2,行为概览!$D$3:$U$33,6,0)),4)</f>
        <v>8.3299999999999999E-2</v>
      </c>
      <c r="O146" s="20">
        <f>ROUND(IF(OR($A146&lt;VLOOKUP(O$2,行为概览!$D$3:$U$33,3,0),$A146&gt;VLOOKUP(O$2,行为概览!$D$3:$U$33,4,0)),0,VLOOKUP(O$2,行为概览!$D$3:$U$33,6,0)),4)</f>
        <v>8.3299999999999999E-2</v>
      </c>
      <c r="P146" s="20">
        <f>ROUND(IF(OR($A146&lt;VLOOKUP(P$2,行为概览!$D$3:$U$33,3,0),$A146&gt;VLOOKUP(P$2,行为概览!$D$3:$U$33,4,0)),0,VLOOKUP(P$2,行为概览!$D$3:$U$33,6,0)),4)</f>
        <v>2.6</v>
      </c>
      <c r="Q146" s="20">
        <f>ROUND(IF(OR($A146&lt;VLOOKUP(Q$2,行为概览!$D$3:$U$33,3,0),$A146&gt;VLOOKUP(Q$2,行为概览!$D$3:$U$33,4,0)),0,VLOOKUP(Q$2,行为概览!$D$3:$U$33,6,0)),4)</f>
        <v>1</v>
      </c>
      <c r="R146" s="20">
        <f>ROUND(IF(OR($A146&lt;VLOOKUP(R$2,行为概览!$D$3:$U$33,3,0),$A146&gt;VLOOKUP(R$2,行为概览!$D$3:$U$33,4,0)),0,VLOOKUP(R$2,行为概览!$D$3:$U$33,6,0)),4)</f>
        <v>0.33329999999999999</v>
      </c>
      <c r="S146" s="20">
        <f>ROUND(IF(OR($A146&lt;VLOOKUP(S$2,行为概览!$D$3:$U$33,3,0),$A146&gt;VLOOKUP(S$2,行为概览!$D$3:$U$33,4,0)),0,VLOOKUP(S$2,行为概览!$D$3:$U$33,6,0)),4)</f>
        <v>0</v>
      </c>
      <c r="T146" s="20">
        <f>ROUND(IF(OR($A146&lt;VLOOKUP(T$2,行为概览!$D$3:$U$33,3,0),$A146&gt;VLOOKUP(T$2,行为概览!$D$3:$U$33,4,0)),0,VLOOKUP(T$2,行为概览!$D$3:$U$33,6,0)),4)</f>
        <v>0.33329999999999999</v>
      </c>
      <c r="U146" s="20">
        <f>ROUND(IF(OR($A146&lt;VLOOKUP(U$2,行为概览!$D$3:$U$33,3,0),$A146&gt;VLOOKUP(U$2,行为概览!$D$3:$U$33,4,0)),0,VLOOKUP(U$2,行为概览!$D$3:$U$33,6,0)),4)</f>
        <v>0.16669999999999999</v>
      </c>
      <c r="V146" s="20">
        <f>ROUND(IF(OR($A146&lt;VLOOKUP(V$2,行为概览!$D$3:$U$33,3,0),$A146&gt;VLOOKUP(V$2,行为概览!$D$3:$U$33,4,0)),0,VLOOKUP(V$2,行为概览!$D$3:$U$33,6,0)),4)</f>
        <v>0.16669999999999999</v>
      </c>
      <c r="W146" s="20">
        <f>ROUND(IF(OR($A146&lt;VLOOKUP(W$2,行为概览!$D$3:$U$33,3,0),$A146&gt;VLOOKUP(W$2,行为概览!$D$3:$U$33,4,0)),0,VLOOKUP(W$2,行为概览!$D$3:$U$33,6,0)),4)</f>
        <v>0.16669999999999999</v>
      </c>
      <c r="X146" s="20">
        <f>ROUND(IF(OR($A146&lt;VLOOKUP(X$2,行为概览!$D$3:$U$33,3,0),$A146&gt;VLOOKUP(X$2,行为概览!$D$3:$U$33,4,0)),0,VLOOKUP(X$2,行为概览!$D$3:$U$33,6,0)),4)</f>
        <v>0.25</v>
      </c>
      <c r="Y146" s="20">
        <f>ROUND(IF(OR($A146&lt;VLOOKUP(Y$2,行为概览!$D$3:$U$33,3,0),$A146&gt;VLOOKUP(Y$2,行为概览!$D$3:$U$33,4,0)),0,VLOOKUP(Y$2,行为概览!$D$3:$U$33,6,0)),4)</f>
        <v>0.58330000000000004</v>
      </c>
      <c r="Z146" s="20">
        <f>ROUND(IF(OR($A146&lt;VLOOKUP(Z$2,行为概览!$D$3:$U$33,3,0),$A146&gt;VLOOKUP(Z$2,行为概览!$D$3:$U$33,4,0)),0,VLOOKUP(Z$2,行为概览!$D$3:$U$33,6,0)),4)</f>
        <v>0.16669999999999999</v>
      </c>
      <c r="AA146" s="20">
        <f>ROUND(IF(OR($A146&lt;VLOOKUP(AA$2,行为概览!$D$3:$U$33,3,0),$A146&gt;VLOOKUP(AA$2,行为概览!$D$3:$U$33,4,0)),0,VLOOKUP(AA$2,行为概览!$D$3:$U$33,6,0)),4)</f>
        <v>0</v>
      </c>
      <c r="AB146" s="20">
        <f>ROUND(IF(OR($A146&lt;VLOOKUP(AB$2,行为概览!$D$3:$U$33,3,0),$A146&gt;VLOOKUP(AB$2,行为概览!$D$3:$U$33,4,0)),0,VLOOKUP(AB$2,行为概览!$D$3:$U$33,6,0)),4)</f>
        <v>0</v>
      </c>
      <c r="AC146" s="20">
        <f>ROUND(IF(OR($A146&lt;VLOOKUP(AC$2,行为概览!$D$3:$U$33,3,0),$A146&gt;VLOOKUP(AC$2,行为概览!$D$3:$U$33,4,0)),0,VLOOKUP(AC$2,行为概览!$D$3:$U$33,6,0)),4)</f>
        <v>0</v>
      </c>
      <c r="AD146" s="20">
        <f>ROUND(IF(OR($A146&lt;VLOOKUP(AD$2,行为概览!$D$3:$U$33,3,0),$A146&gt;VLOOKUP(AD$2,行为概览!$D$3:$U$33,4,0)),0,VLOOKUP(AD$2,行为概览!$D$3:$U$33,6,0)),4)</f>
        <v>0</v>
      </c>
      <c r="AE146" s="20">
        <f>ROUND(IF(OR($A146&lt;VLOOKUP(AE$2,行为概览!$D$3:$U$33,3,0),$A146&gt;VLOOKUP(AE$2,行为概览!$D$3:$U$33,4,0)),0,VLOOKUP(AE$2,行为概览!$D$3:$U$33,6,0)),4)</f>
        <v>8.3299999999999999E-2</v>
      </c>
      <c r="AF146" s="20">
        <f>ROUND(IF(OR($A146&lt;VLOOKUP(AF$2,行为概览!$D$3:$U$33,3,0),$A146&gt;VLOOKUP(AF$2,行为概览!$D$3:$U$33,4,0)),0,VLOOKUP(AF$2,行为概览!$D$3:$U$33,6,0)),4)</f>
        <v>0</v>
      </c>
    </row>
    <row r="147" spans="1:32">
      <c r="A147" s="19">
        <v>145</v>
      </c>
      <c r="B147" s="20">
        <f>ROUND(IF(OR($A147&lt;VLOOKUP(B$2,行为概览!$D$3:$U$33,3,0),$A147&gt;VLOOKUP(B$2,行为概览!$D$3:$U$33,4,0)),0,VLOOKUP(B$2,行为概览!$D$3:$U$33,6,0)),4)</f>
        <v>0.33329999999999999</v>
      </c>
      <c r="C147" s="20">
        <f>ROUND(IF(OR($A147&lt;VLOOKUP(C$2,行为概览!$D$3:$U$33,3,0),$A147&gt;VLOOKUP(C$2,行为概览!$D$3:$U$33,4,0)),0,VLOOKUP(C$2,行为概览!$D$3:$U$33,6,0)),4)</f>
        <v>2</v>
      </c>
      <c r="D147" s="20">
        <f>ROUND(IF(OR($A147&lt;VLOOKUP(D$2,行为概览!$D$3:$U$33,3,0),$A147&gt;VLOOKUP(D$2,行为概览!$D$3:$U$33,4,0)),0,VLOOKUP(D$2,行为概览!$D$3:$U$33,6,0)),4)</f>
        <v>8.3299999999999999E-2</v>
      </c>
      <c r="E147" s="20">
        <f>ROUND(IF(OR($A147&lt;VLOOKUP(E$2,行为概览!$D$3:$U$33,3,0),$A147&gt;VLOOKUP(E$2,行为概览!$D$3:$U$33,4,0)),0,VLOOKUP(E$2,行为概览!$D$3:$U$33,6,0)),4)</f>
        <v>1</v>
      </c>
      <c r="F147" s="20">
        <f>ROUND(IF(OR($A147&lt;VLOOKUP(F$2,行为概览!$D$3:$U$33,3,0),$A147&gt;VLOOKUP(F$2,行为概览!$D$3:$U$33,4,0)),0,VLOOKUP(F$2,行为概览!$D$3:$U$33,6,0)),4)</f>
        <v>0.33329999999999999</v>
      </c>
      <c r="G147" s="20">
        <f>ROUND(IF(OR($A147&lt;VLOOKUP(G$2,行为概览!$D$3:$U$33,3,0),$A147&gt;VLOOKUP(G$2,行为概览!$D$3:$U$33,4,0)),0,VLOOKUP(G$2,行为概览!$D$3:$U$33,6,0)),4)</f>
        <v>0</v>
      </c>
      <c r="H147" s="20">
        <f>ROUND(IF(OR($A147&lt;VLOOKUP(H$2,行为概览!$D$3:$U$33,3,0),$A147&gt;VLOOKUP(H$2,行为概览!$D$3:$U$33,4,0)),0,VLOOKUP(H$2,行为概览!$D$3:$U$33,6,0)),4)</f>
        <v>0</v>
      </c>
      <c r="I147" s="20">
        <f>ROUND(IF(OR($A147&lt;VLOOKUP(I$2,行为概览!$D$3:$U$33,3,0),$A147&gt;VLOOKUP(I$2,行为概览!$D$3:$U$33,4,0)),0,VLOOKUP(I$2,行为概览!$D$3:$U$33,6,0)),4)</f>
        <v>0</v>
      </c>
      <c r="J147" s="20">
        <f>ROUND(IF(OR($A147&lt;VLOOKUP(J$2,行为概览!$D$3:$U$33,3,0),$A147&gt;VLOOKUP(J$2,行为概览!$D$3:$U$33,4,0)),0,VLOOKUP(J$2,行为概览!$D$3:$U$33,6,0)),4)</f>
        <v>0.5</v>
      </c>
      <c r="K147" s="20">
        <f>ROUND(IF(OR($A147&lt;VLOOKUP(K$2,行为概览!$D$3:$U$33,3,0),$A147&gt;VLOOKUP(K$2,行为概览!$D$3:$U$33,4,0)),0,VLOOKUP(K$2,行为概览!$D$3:$U$33,6,0)),4)</f>
        <v>0.16669999999999999</v>
      </c>
      <c r="L147" s="20">
        <f>ROUND(IF(OR($A147&lt;VLOOKUP(L$2,行为概览!$D$3:$U$33,3,0),$A147&gt;VLOOKUP(L$2,行为概览!$D$3:$U$33,4,0)),0,VLOOKUP(L$2,行为概览!$D$3:$U$33,6,0)),4)</f>
        <v>0.5</v>
      </c>
      <c r="M147" s="20">
        <f>ROUND(IF(OR($A147&lt;VLOOKUP(M$2,行为概览!$D$3:$U$33,3,0),$A147&gt;VLOOKUP(M$2,行为概览!$D$3:$U$33,4,0)),0,VLOOKUP(M$2,行为概览!$D$3:$U$33,6,0)),4)</f>
        <v>12</v>
      </c>
      <c r="N147" s="20">
        <f>ROUND(IF(OR($A147&lt;VLOOKUP(N$2,行为概览!$D$3:$U$33,3,0),$A147&gt;VLOOKUP(N$2,行为概览!$D$3:$U$33,4,0)),0,VLOOKUP(N$2,行为概览!$D$3:$U$33,6,0)),4)</f>
        <v>8.3299999999999999E-2</v>
      </c>
      <c r="O147" s="20">
        <f>ROUND(IF(OR($A147&lt;VLOOKUP(O$2,行为概览!$D$3:$U$33,3,0),$A147&gt;VLOOKUP(O$2,行为概览!$D$3:$U$33,4,0)),0,VLOOKUP(O$2,行为概览!$D$3:$U$33,6,0)),4)</f>
        <v>8.3299999999999999E-2</v>
      </c>
      <c r="P147" s="20">
        <f>ROUND(IF(OR($A147&lt;VLOOKUP(P$2,行为概览!$D$3:$U$33,3,0),$A147&gt;VLOOKUP(P$2,行为概览!$D$3:$U$33,4,0)),0,VLOOKUP(P$2,行为概览!$D$3:$U$33,6,0)),4)</f>
        <v>2.6</v>
      </c>
      <c r="Q147" s="20">
        <f>ROUND(IF(OR($A147&lt;VLOOKUP(Q$2,行为概览!$D$3:$U$33,3,0),$A147&gt;VLOOKUP(Q$2,行为概览!$D$3:$U$33,4,0)),0,VLOOKUP(Q$2,行为概览!$D$3:$U$33,6,0)),4)</f>
        <v>1</v>
      </c>
      <c r="R147" s="20">
        <f>ROUND(IF(OR($A147&lt;VLOOKUP(R$2,行为概览!$D$3:$U$33,3,0),$A147&gt;VLOOKUP(R$2,行为概览!$D$3:$U$33,4,0)),0,VLOOKUP(R$2,行为概览!$D$3:$U$33,6,0)),4)</f>
        <v>0.33329999999999999</v>
      </c>
      <c r="S147" s="20">
        <f>ROUND(IF(OR($A147&lt;VLOOKUP(S$2,行为概览!$D$3:$U$33,3,0),$A147&gt;VLOOKUP(S$2,行为概览!$D$3:$U$33,4,0)),0,VLOOKUP(S$2,行为概览!$D$3:$U$33,6,0)),4)</f>
        <v>0</v>
      </c>
      <c r="T147" s="20">
        <f>ROUND(IF(OR($A147&lt;VLOOKUP(T$2,行为概览!$D$3:$U$33,3,0),$A147&gt;VLOOKUP(T$2,行为概览!$D$3:$U$33,4,0)),0,VLOOKUP(T$2,行为概览!$D$3:$U$33,6,0)),4)</f>
        <v>0.33329999999999999</v>
      </c>
      <c r="U147" s="20">
        <f>ROUND(IF(OR($A147&lt;VLOOKUP(U$2,行为概览!$D$3:$U$33,3,0),$A147&gt;VLOOKUP(U$2,行为概览!$D$3:$U$33,4,0)),0,VLOOKUP(U$2,行为概览!$D$3:$U$33,6,0)),4)</f>
        <v>0.16669999999999999</v>
      </c>
      <c r="V147" s="20">
        <f>ROUND(IF(OR($A147&lt;VLOOKUP(V$2,行为概览!$D$3:$U$33,3,0),$A147&gt;VLOOKUP(V$2,行为概览!$D$3:$U$33,4,0)),0,VLOOKUP(V$2,行为概览!$D$3:$U$33,6,0)),4)</f>
        <v>0.16669999999999999</v>
      </c>
      <c r="W147" s="20">
        <f>ROUND(IF(OR($A147&lt;VLOOKUP(W$2,行为概览!$D$3:$U$33,3,0),$A147&gt;VLOOKUP(W$2,行为概览!$D$3:$U$33,4,0)),0,VLOOKUP(W$2,行为概览!$D$3:$U$33,6,0)),4)</f>
        <v>0.16669999999999999</v>
      </c>
      <c r="X147" s="20">
        <f>ROUND(IF(OR($A147&lt;VLOOKUP(X$2,行为概览!$D$3:$U$33,3,0),$A147&gt;VLOOKUP(X$2,行为概览!$D$3:$U$33,4,0)),0,VLOOKUP(X$2,行为概览!$D$3:$U$33,6,0)),4)</f>
        <v>0.25</v>
      </c>
      <c r="Y147" s="20">
        <f>ROUND(IF(OR($A147&lt;VLOOKUP(Y$2,行为概览!$D$3:$U$33,3,0),$A147&gt;VLOOKUP(Y$2,行为概览!$D$3:$U$33,4,0)),0,VLOOKUP(Y$2,行为概览!$D$3:$U$33,6,0)),4)</f>
        <v>0.58330000000000004</v>
      </c>
      <c r="Z147" s="20">
        <f>ROUND(IF(OR($A147&lt;VLOOKUP(Z$2,行为概览!$D$3:$U$33,3,0),$A147&gt;VLOOKUP(Z$2,行为概览!$D$3:$U$33,4,0)),0,VLOOKUP(Z$2,行为概览!$D$3:$U$33,6,0)),4)</f>
        <v>0.16669999999999999</v>
      </c>
      <c r="AA147" s="20">
        <f>ROUND(IF(OR($A147&lt;VLOOKUP(AA$2,行为概览!$D$3:$U$33,3,0),$A147&gt;VLOOKUP(AA$2,行为概览!$D$3:$U$33,4,0)),0,VLOOKUP(AA$2,行为概览!$D$3:$U$33,6,0)),4)</f>
        <v>0</v>
      </c>
      <c r="AB147" s="20">
        <f>ROUND(IF(OR($A147&lt;VLOOKUP(AB$2,行为概览!$D$3:$U$33,3,0),$A147&gt;VLOOKUP(AB$2,行为概览!$D$3:$U$33,4,0)),0,VLOOKUP(AB$2,行为概览!$D$3:$U$33,6,0)),4)</f>
        <v>0</v>
      </c>
      <c r="AC147" s="20">
        <f>ROUND(IF(OR($A147&lt;VLOOKUP(AC$2,行为概览!$D$3:$U$33,3,0),$A147&gt;VLOOKUP(AC$2,行为概览!$D$3:$U$33,4,0)),0,VLOOKUP(AC$2,行为概览!$D$3:$U$33,6,0)),4)</f>
        <v>0</v>
      </c>
      <c r="AD147" s="20">
        <f>ROUND(IF(OR($A147&lt;VLOOKUP(AD$2,行为概览!$D$3:$U$33,3,0),$A147&gt;VLOOKUP(AD$2,行为概览!$D$3:$U$33,4,0)),0,VLOOKUP(AD$2,行为概览!$D$3:$U$33,6,0)),4)</f>
        <v>0</v>
      </c>
      <c r="AE147" s="20">
        <f>ROUND(IF(OR($A147&lt;VLOOKUP(AE$2,行为概览!$D$3:$U$33,3,0),$A147&gt;VLOOKUP(AE$2,行为概览!$D$3:$U$33,4,0)),0,VLOOKUP(AE$2,行为概览!$D$3:$U$33,6,0)),4)</f>
        <v>8.3299999999999999E-2</v>
      </c>
      <c r="AF147" s="20">
        <f>ROUND(IF(OR($A147&lt;VLOOKUP(AF$2,行为概览!$D$3:$U$33,3,0),$A147&gt;VLOOKUP(AF$2,行为概览!$D$3:$U$33,4,0)),0,VLOOKUP(AF$2,行为概览!$D$3:$U$33,6,0)),4)</f>
        <v>0</v>
      </c>
    </row>
    <row r="148" spans="1:32">
      <c r="A148" s="19">
        <v>146</v>
      </c>
      <c r="B148" s="20">
        <f>ROUND(IF(OR($A148&lt;VLOOKUP(B$2,行为概览!$D$3:$U$33,3,0),$A148&gt;VLOOKUP(B$2,行为概览!$D$3:$U$33,4,0)),0,VLOOKUP(B$2,行为概览!$D$3:$U$33,6,0)),4)</f>
        <v>0.33329999999999999</v>
      </c>
      <c r="C148" s="20">
        <f>ROUND(IF(OR($A148&lt;VLOOKUP(C$2,行为概览!$D$3:$U$33,3,0),$A148&gt;VLOOKUP(C$2,行为概览!$D$3:$U$33,4,0)),0,VLOOKUP(C$2,行为概览!$D$3:$U$33,6,0)),4)</f>
        <v>2</v>
      </c>
      <c r="D148" s="20">
        <f>ROUND(IF(OR($A148&lt;VLOOKUP(D$2,行为概览!$D$3:$U$33,3,0),$A148&gt;VLOOKUP(D$2,行为概览!$D$3:$U$33,4,0)),0,VLOOKUP(D$2,行为概览!$D$3:$U$33,6,0)),4)</f>
        <v>8.3299999999999999E-2</v>
      </c>
      <c r="E148" s="20">
        <f>ROUND(IF(OR($A148&lt;VLOOKUP(E$2,行为概览!$D$3:$U$33,3,0),$A148&gt;VLOOKUP(E$2,行为概览!$D$3:$U$33,4,0)),0,VLOOKUP(E$2,行为概览!$D$3:$U$33,6,0)),4)</f>
        <v>1</v>
      </c>
      <c r="F148" s="20">
        <f>ROUND(IF(OR($A148&lt;VLOOKUP(F$2,行为概览!$D$3:$U$33,3,0),$A148&gt;VLOOKUP(F$2,行为概览!$D$3:$U$33,4,0)),0,VLOOKUP(F$2,行为概览!$D$3:$U$33,6,0)),4)</f>
        <v>0.33329999999999999</v>
      </c>
      <c r="G148" s="20">
        <f>ROUND(IF(OR($A148&lt;VLOOKUP(G$2,行为概览!$D$3:$U$33,3,0),$A148&gt;VLOOKUP(G$2,行为概览!$D$3:$U$33,4,0)),0,VLOOKUP(G$2,行为概览!$D$3:$U$33,6,0)),4)</f>
        <v>0</v>
      </c>
      <c r="H148" s="20">
        <f>ROUND(IF(OR($A148&lt;VLOOKUP(H$2,行为概览!$D$3:$U$33,3,0),$A148&gt;VLOOKUP(H$2,行为概览!$D$3:$U$33,4,0)),0,VLOOKUP(H$2,行为概览!$D$3:$U$33,6,0)),4)</f>
        <v>0</v>
      </c>
      <c r="I148" s="20">
        <f>ROUND(IF(OR($A148&lt;VLOOKUP(I$2,行为概览!$D$3:$U$33,3,0),$A148&gt;VLOOKUP(I$2,行为概览!$D$3:$U$33,4,0)),0,VLOOKUP(I$2,行为概览!$D$3:$U$33,6,0)),4)</f>
        <v>0</v>
      </c>
      <c r="J148" s="20">
        <f>ROUND(IF(OR($A148&lt;VLOOKUP(J$2,行为概览!$D$3:$U$33,3,0),$A148&gt;VLOOKUP(J$2,行为概览!$D$3:$U$33,4,0)),0,VLOOKUP(J$2,行为概览!$D$3:$U$33,6,0)),4)</f>
        <v>0.5</v>
      </c>
      <c r="K148" s="20">
        <f>ROUND(IF(OR($A148&lt;VLOOKUP(K$2,行为概览!$D$3:$U$33,3,0),$A148&gt;VLOOKUP(K$2,行为概览!$D$3:$U$33,4,0)),0,VLOOKUP(K$2,行为概览!$D$3:$U$33,6,0)),4)</f>
        <v>0.16669999999999999</v>
      </c>
      <c r="L148" s="20">
        <f>ROUND(IF(OR($A148&lt;VLOOKUP(L$2,行为概览!$D$3:$U$33,3,0),$A148&gt;VLOOKUP(L$2,行为概览!$D$3:$U$33,4,0)),0,VLOOKUP(L$2,行为概览!$D$3:$U$33,6,0)),4)</f>
        <v>0.5</v>
      </c>
      <c r="M148" s="20">
        <f>ROUND(IF(OR($A148&lt;VLOOKUP(M$2,行为概览!$D$3:$U$33,3,0),$A148&gt;VLOOKUP(M$2,行为概览!$D$3:$U$33,4,0)),0,VLOOKUP(M$2,行为概览!$D$3:$U$33,6,0)),4)</f>
        <v>12</v>
      </c>
      <c r="N148" s="20">
        <f>ROUND(IF(OR($A148&lt;VLOOKUP(N$2,行为概览!$D$3:$U$33,3,0),$A148&gt;VLOOKUP(N$2,行为概览!$D$3:$U$33,4,0)),0,VLOOKUP(N$2,行为概览!$D$3:$U$33,6,0)),4)</f>
        <v>8.3299999999999999E-2</v>
      </c>
      <c r="O148" s="20">
        <f>ROUND(IF(OR($A148&lt;VLOOKUP(O$2,行为概览!$D$3:$U$33,3,0),$A148&gt;VLOOKUP(O$2,行为概览!$D$3:$U$33,4,0)),0,VLOOKUP(O$2,行为概览!$D$3:$U$33,6,0)),4)</f>
        <v>8.3299999999999999E-2</v>
      </c>
      <c r="P148" s="20">
        <f>ROUND(IF(OR($A148&lt;VLOOKUP(P$2,行为概览!$D$3:$U$33,3,0),$A148&gt;VLOOKUP(P$2,行为概览!$D$3:$U$33,4,0)),0,VLOOKUP(P$2,行为概览!$D$3:$U$33,6,0)),4)</f>
        <v>2.6</v>
      </c>
      <c r="Q148" s="20">
        <f>ROUND(IF(OR($A148&lt;VLOOKUP(Q$2,行为概览!$D$3:$U$33,3,0),$A148&gt;VLOOKUP(Q$2,行为概览!$D$3:$U$33,4,0)),0,VLOOKUP(Q$2,行为概览!$D$3:$U$33,6,0)),4)</f>
        <v>1</v>
      </c>
      <c r="R148" s="20">
        <f>ROUND(IF(OR($A148&lt;VLOOKUP(R$2,行为概览!$D$3:$U$33,3,0),$A148&gt;VLOOKUP(R$2,行为概览!$D$3:$U$33,4,0)),0,VLOOKUP(R$2,行为概览!$D$3:$U$33,6,0)),4)</f>
        <v>0.33329999999999999</v>
      </c>
      <c r="S148" s="20">
        <f>ROUND(IF(OR($A148&lt;VLOOKUP(S$2,行为概览!$D$3:$U$33,3,0),$A148&gt;VLOOKUP(S$2,行为概览!$D$3:$U$33,4,0)),0,VLOOKUP(S$2,行为概览!$D$3:$U$33,6,0)),4)</f>
        <v>0</v>
      </c>
      <c r="T148" s="20">
        <f>ROUND(IF(OR($A148&lt;VLOOKUP(T$2,行为概览!$D$3:$U$33,3,0),$A148&gt;VLOOKUP(T$2,行为概览!$D$3:$U$33,4,0)),0,VLOOKUP(T$2,行为概览!$D$3:$U$33,6,0)),4)</f>
        <v>0.33329999999999999</v>
      </c>
      <c r="U148" s="20">
        <f>ROUND(IF(OR($A148&lt;VLOOKUP(U$2,行为概览!$D$3:$U$33,3,0),$A148&gt;VLOOKUP(U$2,行为概览!$D$3:$U$33,4,0)),0,VLOOKUP(U$2,行为概览!$D$3:$U$33,6,0)),4)</f>
        <v>0.16669999999999999</v>
      </c>
      <c r="V148" s="20">
        <f>ROUND(IF(OR($A148&lt;VLOOKUP(V$2,行为概览!$D$3:$U$33,3,0),$A148&gt;VLOOKUP(V$2,行为概览!$D$3:$U$33,4,0)),0,VLOOKUP(V$2,行为概览!$D$3:$U$33,6,0)),4)</f>
        <v>0.16669999999999999</v>
      </c>
      <c r="W148" s="20">
        <f>ROUND(IF(OR($A148&lt;VLOOKUP(W$2,行为概览!$D$3:$U$33,3,0),$A148&gt;VLOOKUP(W$2,行为概览!$D$3:$U$33,4,0)),0,VLOOKUP(W$2,行为概览!$D$3:$U$33,6,0)),4)</f>
        <v>0.16669999999999999</v>
      </c>
      <c r="X148" s="20">
        <f>ROUND(IF(OR($A148&lt;VLOOKUP(X$2,行为概览!$D$3:$U$33,3,0),$A148&gt;VLOOKUP(X$2,行为概览!$D$3:$U$33,4,0)),0,VLOOKUP(X$2,行为概览!$D$3:$U$33,6,0)),4)</f>
        <v>0.25</v>
      </c>
      <c r="Y148" s="20">
        <f>ROUND(IF(OR($A148&lt;VLOOKUP(Y$2,行为概览!$D$3:$U$33,3,0),$A148&gt;VLOOKUP(Y$2,行为概览!$D$3:$U$33,4,0)),0,VLOOKUP(Y$2,行为概览!$D$3:$U$33,6,0)),4)</f>
        <v>0.58330000000000004</v>
      </c>
      <c r="Z148" s="20">
        <f>ROUND(IF(OR($A148&lt;VLOOKUP(Z$2,行为概览!$D$3:$U$33,3,0),$A148&gt;VLOOKUP(Z$2,行为概览!$D$3:$U$33,4,0)),0,VLOOKUP(Z$2,行为概览!$D$3:$U$33,6,0)),4)</f>
        <v>0.16669999999999999</v>
      </c>
      <c r="AA148" s="20">
        <f>ROUND(IF(OR($A148&lt;VLOOKUP(AA$2,行为概览!$D$3:$U$33,3,0),$A148&gt;VLOOKUP(AA$2,行为概览!$D$3:$U$33,4,0)),0,VLOOKUP(AA$2,行为概览!$D$3:$U$33,6,0)),4)</f>
        <v>0</v>
      </c>
      <c r="AB148" s="20">
        <f>ROUND(IF(OR($A148&lt;VLOOKUP(AB$2,行为概览!$D$3:$U$33,3,0),$A148&gt;VLOOKUP(AB$2,行为概览!$D$3:$U$33,4,0)),0,VLOOKUP(AB$2,行为概览!$D$3:$U$33,6,0)),4)</f>
        <v>0</v>
      </c>
      <c r="AC148" s="20">
        <f>ROUND(IF(OR($A148&lt;VLOOKUP(AC$2,行为概览!$D$3:$U$33,3,0),$A148&gt;VLOOKUP(AC$2,行为概览!$D$3:$U$33,4,0)),0,VLOOKUP(AC$2,行为概览!$D$3:$U$33,6,0)),4)</f>
        <v>0</v>
      </c>
      <c r="AD148" s="20">
        <f>ROUND(IF(OR($A148&lt;VLOOKUP(AD$2,行为概览!$D$3:$U$33,3,0),$A148&gt;VLOOKUP(AD$2,行为概览!$D$3:$U$33,4,0)),0,VLOOKUP(AD$2,行为概览!$D$3:$U$33,6,0)),4)</f>
        <v>0</v>
      </c>
      <c r="AE148" s="20">
        <f>ROUND(IF(OR($A148&lt;VLOOKUP(AE$2,行为概览!$D$3:$U$33,3,0),$A148&gt;VLOOKUP(AE$2,行为概览!$D$3:$U$33,4,0)),0,VLOOKUP(AE$2,行为概览!$D$3:$U$33,6,0)),4)</f>
        <v>8.3299999999999999E-2</v>
      </c>
      <c r="AF148" s="20">
        <f>ROUND(IF(OR($A148&lt;VLOOKUP(AF$2,行为概览!$D$3:$U$33,3,0),$A148&gt;VLOOKUP(AF$2,行为概览!$D$3:$U$33,4,0)),0,VLOOKUP(AF$2,行为概览!$D$3:$U$33,6,0)),4)</f>
        <v>0</v>
      </c>
    </row>
    <row r="149" spans="1:32">
      <c r="A149" s="19">
        <v>147</v>
      </c>
      <c r="B149" s="20">
        <f>ROUND(IF(OR($A149&lt;VLOOKUP(B$2,行为概览!$D$3:$U$33,3,0),$A149&gt;VLOOKUP(B$2,行为概览!$D$3:$U$33,4,0)),0,VLOOKUP(B$2,行为概览!$D$3:$U$33,6,0)),4)</f>
        <v>0.33329999999999999</v>
      </c>
      <c r="C149" s="20">
        <f>ROUND(IF(OR($A149&lt;VLOOKUP(C$2,行为概览!$D$3:$U$33,3,0),$A149&gt;VLOOKUP(C$2,行为概览!$D$3:$U$33,4,0)),0,VLOOKUP(C$2,行为概览!$D$3:$U$33,6,0)),4)</f>
        <v>2</v>
      </c>
      <c r="D149" s="20">
        <f>ROUND(IF(OR($A149&lt;VLOOKUP(D$2,行为概览!$D$3:$U$33,3,0),$A149&gt;VLOOKUP(D$2,行为概览!$D$3:$U$33,4,0)),0,VLOOKUP(D$2,行为概览!$D$3:$U$33,6,0)),4)</f>
        <v>8.3299999999999999E-2</v>
      </c>
      <c r="E149" s="20">
        <f>ROUND(IF(OR($A149&lt;VLOOKUP(E$2,行为概览!$D$3:$U$33,3,0),$A149&gt;VLOOKUP(E$2,行为概览!$D$3:$U$33,4,0)),0,VLOOKUP(E$2,行为概览!$D$3:$U$33,6,0)),4)</f>
        <v>1</v>
      </c>
      <c r="F149" s="20">
        <f>ROUND(IF(OR($A149&lt;VLOOKUP(F$2,行为概览!$D$3:$U$33,3,0),$A149&gt;VLOOKUP(F$2,行为概览!$D$3:$U$33,4,0)),0,VLOOKUP(F$2,行为概览!$D$3:$U$33,6,0)),4)</f>
        <v>0.33329999999999999</v>
      </c>
      <c r="G149" s="20">
        <f>ROUND(IF(OR($A149&lt;VLOOKUP(G$2,行为概览!$D$3:$U$33,3,0),$A149&gt;VLOOKUP(G$2,行为概览!$D$3:$U$33,4,0)),0,VLOOKUP(G$2,行为概览!$D$3:$U$33,6,0)),4)</f>
        <v>0</v>
      </c>
      <c r="H149" s="20">
        <f>ROUND(IF(OR($A149&lt;VLOOKUP(H$2,行为概览!$D$3:$U$33,3,0),$A149&gt;VLOOKUP(H$2,行为概览!$D$3:$U$33,4,0)),0,VLOOKUP(H$2,行为概览!$D$3:$U$33,6,0)),4)</f>
        <v>0</v>
      </c>
      <c r="I149" s="20">
        <f>ROUND(IF(OR($A149&lt;VLOOKUP(I$2,行为概览!$D$3:$U$33,3,0),$A149&gt;VLOOKUP(I$2,行为概览!$D$3:$U$33,4,0)),0,VLOOKUP(I$2,行为概览!$D$3:$U$33,6,0)),4)</f>
        <v>0</v>
      </c>
      <c r="J149" s="20">
        <f>ROUND(IF(OR($A149&lt;VLOOKUP(J$2,行为概览!$D$3:$U$33,3,0),$A149&gt;VLOOKUP(J$2,行为概览!$D$3:$U$33,4,0)),0,VLOOKUP(J$2,行为概览!$D$3:$U$33,6,0)),4)</f>
        <v>0.5</v>
      </c>
      <c r="K149" s="20">
        <f>ROUND(IF(OR($A149&lt;VLOOKUP(K$2,行为概览!$D$3:$U$33,3,0),$A149&gt;VLOOKUP(K$2,行为概览!$D$3:$U$33,4,0)),0,VLOOKUP(K$2,行为概览!$D$3:$U$33,6,0)),4)</f>
        <v>0.16669999999999999</v>
      </c>
      <c r="L149" s="20">
        <f>ROUND(IF(OR($A149&lt;VLOOKUP(L$2,行为概览!$D$3:$U$33,3,0),$A149&gt;VLOOKUP(L$2,行为概览!$D$3:$U$33,4,0)),0,VLOOKUP(L$2,行为概览!$D$3:$U$33,6,0)),4)</f>
        <v>0.5</v>
      </c>
      <c r="M149" s="20">
        <f>ROUND(IF(OR($A149&lt;VLOOKUP(M$2,行为概览!$D$3:$U$33,3,0),$A149&gt;VLOOKUP(M$2,行为概览!$D$3:$U$33,4,0)),0,VLOOKUP(M$2,行为概览!$D$3:$U$33,6,0)),4)</f>
        <v>12</v>
      </c>
      <c r="N149" s="20">
        <f>ROUND(IF(OR($A149&lt;VLOOKUP(N$2,行为概览!$D$3:$U$33,3,0),$A149&gt;VLOOKUP(N$2,行为概览!$D$3:$U$33,4,0)),0,VLOOKUP(N$2,行为概览!$D$3:$U$33,6,0)),4)</f>
        <v>8.3299999999999999E-2</v>
      </c>
      <c r="O149" s="20">
        <f>ROUND(IF(OR($A149&lt;VLOOKUP(O$2,行为概览!$D$3:$U$33,3,0),$A149&gt;VLOOKUP(O$2,行为概览!$D$3:$U$33,4,0)),0,VLOOKUP(O$2,行为概览!$D$3:$U$33,6,0)),4)</f>
        <v>8.3299999999999999E-2</v>
      </c>
      <c r="P149" s="20">
        <f>ROUND(IF(OR($A149&lt;VLOOKUP(P$2,行为概览!$D$3:$U$33,3,0),$A149&gt;VLOOKUP(P$2,行为概览!$D$3:$U$33,4,0)),0,VLOOKUP(P$2,行为概览!$D$3:$U$33,6,0)),4)</f>
        <v>2.6</v>
      </c>
      <c r="Q149" s="20">
        <f>ROUND(IF(OR($A149&lt;VLOOKUP(Q$2,行为概览!$D$3:$U$33,3,0),$A149&gt;VLOOKUP(Q$2,行为概览!$D$3:$U$33,4,0)),0,VLOOKUP(Q$2,行为概览!$D$3:$U$33,6,0)),4)</f>
        <v>1</v>
      </c>
      <c r="R149" s="20">
        <f>ROUND(IF(OR($A149&lt;VLOOKUP(R$2,行为概览!$D$3:$U$33,3,0),$A149&gt;VLOOKUP(R$2,行为概览!$D$3:$U$33,4,0)),0,VLOOKUP(R$2,行为概览!$D$3:$U$33,6,0)),4)</f>
        <v>0.33329999999999999</v>
      </c>
      <c r="S149" s="20">
        <f>ROUND(IF(OR($A149&lt;VLOOKUP(S$2,行为概览!$D$3:$U$33,3,0),$A149&gt;VLOOKUP(S$2,行为概览!$D$3:$U$33,4,0)),0,VLOOKUP(S$2,行为概览!$D$3:$U$33,6,0)),4)</f>
        <v>0</v>
      </c>
      <c r="T149" s="20">
        <f>ROUND(IF(OR($A149&lt;VLOOKUP(T$2,行为概览!$D$3:$U$33,3,0),$A149&gt;VLOOKUP(T$2,行为概览!$D$3:$U$33,4,0)),0,VLOOKUP(T$2,行为概览!$D$3:$U$33,6,0)),4)</f>
        <v>0.33329999999999999</v>
      </c>
      <c r="U149" s="20">
        <f>ROUND(IF(OR($A149&lt;VLOOKUP(U$2,行为概览!$D$3:$U$33,3,0),$A149&gt;VLOOKUP(U$2,行为概览!$D$3:$U$33,4,0)),0,VLOOKUP(U$2,行为概览!$D$3:$U$33,6,0)),4)</f>
        <v>0.16669999999999999</v>
      </c>
      <c r="V149" s="20">
        <f>ROUND(IF(OR($A149&lt;VLOOKUP(V$2,行为概览!$D$3:$U$33,3,0),$A149&gt;VLOOKUP(V$2,行为概览!$D$3:$U$33,4,0)),0,VLOOKUP(V$2,行为概览!$D$3:$U$33,6,0)),4)</f>
        <v>0.16669999999999999</v>
      </c>
      <c r="W149" s="20">
        <f>ROUND(IF(OR($A149&lt;VLOOKUP(W$2,行为概览!$D$3:$U$33,3,0),$A149&gt;VLOOKUP(W$2,行为概览!$D$3:$U$33,4,0)),0,VLOOKUP(W$2,行为概览!$D$3:$U$33,6,0)),4)</f>
        <v>0.16669999999999999</v>
      </c>
      <c r="X149" s="20">
        <f>ROUND(IF(OR($A149&lt;VLOOKUP(X$2,行为概览!$D$3:$U$33,3,0),$A149&gt;VLOOKUP(X$2,行为概览!$D$3:$U$33,4,0)),0,VLOOKUP(X$2,行为概览!$D$3:$U$33,6,0)),4)</f>
        <v>0.25</v>
      </c>
      <c r="Y149" s="20">
        <f>ROUND(IF(OR($A149&lt;VLOOKUP(Y$2,行为概览!$D$3:$U$33,3,0),$A149&gt;VLOOKUP(Y$2,行为概览!$D$3:$U$33,4,0)),0,VLOOKUP(Y$2,行为概览!$D$3:$U$33,6,0)),4)</f>
        <v>0.58330000000000004</v>
      </c>
      <c r="Z149" s="20">
        <f>ROUND(IF(OR($A149&lt;VLOOKUP(Z$2,行为概览!$D$3:$U$33,3,0),$A149&gt;VLOOKUP(Z$2,行为概览!$D$3:$U$33,4,0)),0,VLOOKUP(Z$2,行为概览!$D$3:$U$33,6,0)),4)</f>
        <v>0.16669999999999999</v>
      </c>
      <c r="AA149" s="20">
        <f>ROUND(IF(OR($A149&lt;VLOOKUP(AA$2,行为概览!$D$3:$U$33,3,0),$A149&gt;VLOOKUP(AA$2,行为概览!$D$3:$U$33,4,0)),0,VLOOKUP(AA$2,行为概览!$D$3:$U$33,6,0)),4)</f>
        <v>0</v>
      </c>
      <c r="AB149" s="20">
        <f>ROUND(IF(OR($A149&lt;VLOOKUP(AB$2,行为概览!$D$3:$U$33,3,0),$A149&gt;VLOOKUP(AB$2,行为概览!$D$3:$U$33,4,0)),0,VLOOKUP(AB$2,行为概览!$D$3:$U$33,6,0)),4)</f>
        <v>0</v>
      </c>
      <c r="AC149" s="20">
        <f>ROUND(IF(OR($A149&lt;VLOOKUP(AC$2,行为概览!$D$3:$U$33,3,0),$A149&gt;VLOOKUP(AC$2,行为概览!$D$3:$U$33,4,0)),0,VLOOKUP(AC$2,行为概览!$D$3:$U$33,6,0)),4)</f>
        <v>0</v>
      </c>
      <c r="AD149" s="20">
        <f>ROUND(IF(OR($A149&lt;VLOOKUP(AD$2,行为概览!$D$3:$U$33,3,0),$A149&gt;VLOOKUP(AD$2,行为概览!$D$3:$U$33,4,0)),0,VLOOKUP(AD$2,行为概览!$D$3:$U$33,6,0)),4)</f>
        <v>0</v>
      </c>
      <c r="AE149" s="20">
        <f>ROUND(IF(OR($A149&lt;VLOOKUP(AE$2,行为概览!$D$3:$U$33,3,0),$A149&gt;VLOOKUP(AE$2,行为概览!$D$3:$U$33,4,0)),0,VLOOKUP(AE$2,行为概览!$D$3:$U$33,6,0)),4)</f>
        <v>8.3299999999999999E-2</v>
      </c>
      <c r="AF149" s="20">
        <f>ROUND(IF(OR($A149&lt;VLOOKUP(AF$2,行为概览!$D$3:$U$33,3,0),$A149&gt;VLOOKUP(AF$2,行为概览!$D$3:$U$33,4,0)),0,VLOOKUP(AF$2,行为概览!$D$3:$U$33,6,0)),4)</f>
        <v>0</v>
      </c>
    </row>
    <row r="150" spans="1:32">
      <c r="A150" s="19">
        <v>148</v>
      </c>
      <c r="B150" s="20">
        <f>ROUND(IF(OR($A150&lt;VLOOKUP(B$2,行为概览!$D$3:$U$33,3,0),$A150&gt;VLOOKUP(B$2,行为概览!$D$3:$U$33,4,0)),0,VLOOKUP(B$2,行为概览!$D$3:$U$33,6,0)),4)</f>
        <v>0.33329999999999999</v>
      </c>
      <c r="C150" s="20">
        <f>ROUND(IF(OR($A150&lt;VLOOKUP(C$2,行为概览!$D$3:$U$33,3,0),$A150&gt;VLOOKUP(C$2,行为概览!$D$3:$U$33,4,0)),0,VLOOKUP(C$2,行为概览!$D$3:$U$33,6,0)),4)</f>
        <v>2</v>
      </c>
      <c r="D150" s="20">
        <f>ROUND(IF(OR($A150&lt;VLOOKUP(D$2,行为概览!$D$3:$U$33,3,0),$A150&gt;VLOOKUP(D$2,行为概览!$D$3:$U$33,4,0)),0,VLOOKUP(D$2,行为概览!$D$3:$U$33,6,0)),4)</f>
        <v>8.3299999999999999E-2</v>
      </c>
      <c r="E150" s="20">
        <f>ROUND(IF(OR($A150&lt;VLOOKUP(E$2,行为概览!$D$3:$U$33,3,0),$A150&gt;VLOOKUP(E$2,行为概览!$D$3:$U$33,4,0)),0,VLOOKUP(E$2,行为概览!$D$3:$U$33,6,0)),4)</f>
        <v>1</v>
      </c>
      <c r="F150" s="20">
        <f>ROUND(IF(OR($A150&lt;VLOOKUP(F$2,行为概览!$D$3:$U$33,3,0),$A150&gt;VLOOKUP(F$2,行为概览!$D$3:$U$33,4,0)),0,VLOOKUP(F$2,行为概览!$D$3:$U$33,6,0)),4)</f>
        <v>0.33329999999999999</v>
      </c>
      <c r="G150" s="20">
        <f>ROUND(IF(OR($A150&lt;VLOOKUP(G$2,行为概览!$D$3:$U$33,3,0),$A150&gt;VLOOKUP(G$2,行为概览!$D$3:$U$33,4,0)),0,VLOOKUP(G$2,行为概览!$D$3:$U$33,6,0)),4)</f>
        <v>0</v>
      </c>
      <c r="H150" s="20">
        <f>ROUND(IF(OR($A150&lt;VLOOKUP(H$2,行为概览!$D$3:$U$33,3,0),$A150&gt;VLOOKUP(H$2,行为概览!$D$3:$U$33,4,0)),0,VLOOKUP(H$2,行为概览!$D$3:$U$33,6,0)),4)</f>
        <v>0</v>
      </c>
      <c r="I150" s="20">
        <f>ROUND(IF(OR($A150&lt;VLOOKUP(I$2,行为概览!$D$3:$U$33,3,0),$A150&gt;VLOOKUP(I$2,行为概览!$D$3:$U$33,4,0)),0,VLOOKUP(I$2,行为概览!$D$3:$U$33,6,0)),4)</f>
        <v>0</v>
      </c>
      <c r="J150" s="20">
        <f>ROUND(IF(OR($A150&lt;VLOOKUP(J$2,行为概览!$D$3:$U$33,3,0),$A150&gt;VLOOKUP(J$2,行为概览!$D$3:$U$33,4,0)),0,VLOOKUP(J$2,行为概览!$D$3:$U$33,6,0)),4)</f>
        <v>0.5</v>
      </c>
      <c r="K150" s="20">
        <f>ROUND(IF(OR($A150&lt;VLOOKUP(K$2,行为概览!$D$3:$U$33,3,0),$A150&gt;VLOOKUP(K$2,行为概览!$D$3:$U$33,4,0)),0,VLOOKUP(K$2,行为概览!$D$3:$U$33,6,0)),4)</f>
        <v>0.16669999999999999</v>
      </c>
      <c r="L150" s="20">
        <f>ROUND(IF(OR($A150&lt;VLOOKUP(L$2,行为概览!$D$3:$U$33,3,0),$A150&gt;VLOOKUP(L$2,行为概览!$D$3:$U$33,4,0)),0,VLOOKUP(L$2,行为概览!$D$3:$U$33,6,0)),4)</f>
        <v>0.5</v>
      </c>
      <c r="M150" s="20">
        <f>ROUND(IF(OR($A150&lt;VLOOKUP(M$2,行为概览!$D$3:$U$33,3,0),$A150&gt;VLOOKUP(M$2,行为概览!$D$3:$U$33,4,0)),0,VLOOKUP(M$2,行为概览!$D$3:$U$33,6,0)),4)</f>
        <v>12</v>
      </c>
      <c r="N150" s="20">
        <f>ROUND(IF(OR($A150&lt;VLOOKUP(N$2,行为概览!$D$3:$U$33,3,0),$A150&gt;VLOOKUP(N$2,行为概览!$D$3:$U$33,4,0)),0,VLOOKUP(N$2,行为概览!$D$3:$U$33,6,0)),4)</f>
        <v>8.3299999999999999E-2</v>
      </c>
      <c r="O150" s="20">
        <f>ROUND(IF(OR($A150&lt;VLOOKUP(O$2,行为概览!$D$3:$U$33,3,0),$A150&gt;VLOOKUP(O$2,行为概览!$D$3:$U$33,4,0)),0,VLOOKUP(O$2,行为概览!$D$3:$U$33,6,0)),4)</f>
        <v>8.3299999999999999E-2</v>
      </c>
      <c r="P150" s="20">
        <f>ROUND(IF(OR($A150&lt;VLOOKUP(P$2,行为概览!$D$3:$U$33,3,0),$A150&gt;VLOOKUP(P$2,行为概览!$D$3:$U$33,4,0)),0,VLOOKUP(P$2,行为概览!$D$3:$U$33,6,0)),4)</f>
        <v>2.6</v>
      </c>
      <c r="Q150" s="20">
        <f>ROUND(IF(OR($A150&lt;VLOOKUP(Q$2,行为概览!$D$3:$U$33,3,0),$A150&gt;VLOOKUP(Q$2,行为概览!$D$3:$U$33,4,0)),0,VLOOKUP(Q$2,行为概览!$D$3:$U$33,6,0)),4)</f>
        <v>1</v>
      </c>
      <c r="R150" s="20">
        <f>ROUND(IF(OR($A150&lt;VLOOKUP(R$2,行为概览!$D$3:$U$33,3,0),$A150&gt;VLOOKUP(R$2,行为概览!$D$3:$U$33,4,0)),0,VLOOKUP(R$2,行为概览!$D$3:$U$33,6,0)),4)</f>
        <v>0.33329999999999999</v>
      </c>
      <c r="S150" s="20">
        <f>ROUND(IF(OR($A150&lt;VLOOKUP(S$2,行为概览!$D$3:$U$33,3,0),$A150&gt;VLOOKUP(S$2,行为概览!$D$3:$U$33,4,0)),0,VLOOKUP(S$2,行为概览!$D$3:$U$33,6,0)),4)</f>
        <v>0</v>
      </c>
      <c r="T150" s="20">
        <f>ROUND(IF(OR($A150&lt;VLOOKUP(T$2,行为概览!$D$3:$U$33,3,0),$A150&gt;VLOOKUP(T$2,行为概览!$D$3:$U$33,4,0)),0,VLOOKUP(T$2,行为概览!$D$3:$U$33,6,0)),4)</f>
        <v>0.33329999999999999</v>
      </c>
      <c r="U150" s="20">
        <f>ROUND(IF(OR($A150&lt;VLOOKUP(U$2,行为概览!$D$3:$U$33,3,0),$A150&gt;VLOOKUP(U$2,行为概览!$D$3:$U$33,4,0)),0,VLOOKUP(U$2,行为概览!$D$3:$U$33,6,0)),4)</f>
        <v>0.16669999999999999</v>
      </c>
      <c r="V150" s="20">
        <f>ROUND(IF(OR($A150&lt;VLOOKUP(V$2,行为概览!$D$3:$U$33,3,0),$A150&gt;VLOOKUP(V$2,行为概览!$D$3:$U$33,4,0)),0,VLOOKUP(V$2,行为概览!$D$3:$U$33,6,0)),4)</f>
        <v>0.16669999999999999</v>
      </c>
      <c r="W150" s="20">
        <f>ROUND(IF(OR($A150&lt;VLOOKUP(W$2,行为概览!$D$3:$U$33,3,0),$A150&gt;VLOOKUP(W$2,行为概览!$D$3:$U$33,4,0)),0,VLOOKUP(W$2,行为概览!$D$3:$U$33,6,0)),4)</f>
        <v>0.16669999999999999</v>
      </c>
      <c r="X150" s="20">
        <f>ROUND(IF(OR($A150&lt;VLOOKUP(X$2,行为概览!$D$3:$U$33,3,0),$A150&gt;VLOOKUP(X$2,行为概览!$D$3:$U$33,4,0)),0,VLOOKUP(X$2,行为概览!$D$3:$U$33,6,0)),4)</f>
        <v>0.25</v>
      </c>
      <c r="Y150" s="20">
        <f>ROUND(IF(OR($A150&lt;VLOOKUP(Y$2,行为概览!$D$3:$U$33,3,0),$A150&gt;VLOOKUP(Y$2,行为概览!$D$3:$U$33,4,0)),0,VLOOKUP(Y$2,行为概览!$D$3:$U$33,6,0)),4)</f>
        <v>0.58330000000000004</v>
      </c>
      <c r="Z150" s="20">
        <f>ROUND(IF(OR($A150&lt;VLOOKUP(Z$2,行为概览!$D$3:$U$33,3,0),$A150&gt;VLOOKUP(Z$2,行为概览!$D$3:$U$33,4,0)),0,VLOOKUP(Z$2,行为概览!$D$3:$U$33,6,0)),4)</f>
        <v>0.16669999999999999</v>
      </c>
      <c r="AA150" s="20">
        <f>ROUND(IF(OR($A150&lt;VLOOKUP(AA$2,行为概览!$D$3:$U$33,3,0),$A150&gt;VLOOKUP(AA$2,行为概览!$D$3:$U$33,4,0)),0,VLOOKUP(AA$2,行为概览!$D$3:$U$33,6,0)),4)</f>
        <v>0</v>
      </c>
      <c r="AB150" s="20">
        <f>ROUND(IF(OR($A150&lt;VLOOKUP(AB$2,行为概览!$D$3:$U$33,3,0),$A150&gt;VLOOKUP(AB$2,行为概览!$D$3:$U$33,4,0)),0,VLOOKUP(AB$2,行为概览!$D$3:$U$33,6,0)),4)</f>
        <v>0</v>
      </c>
      <c r="AC150" s="20">
        <f>ROUND(IF(OR($A150&lt;VLOOKUP(AC$2,行为概览!$D$3:$U$33,3,0),$A150&gt;VLOOKUP(AC$2,行为概览!$D$3:$U$33,4,0)),0,VLOOKUP(AC$2,行为概览!$D$3:$U$33,6,0)),4)</f>
        <v>0</v>
      </c>
      <c r="AD150" s="20">
        <f>ROUND(IF(OR($A150&lt;VLOOKUP(AD$2,行为概览!$D$3:$U$33,3,0),$A150&gt;VLOOKUP(AD$2,行为概览!$D$3:$U$33,4,0)),0,VLOOKUP(AD$2,行为概览!$D$3:$U$33,6,0)),4)</f>
        <v>0</v>
      </c>
      <c r="AE150" s="20">
        <f>ROUND(IF(OR($A150&lt;VLOOKUP(AE$2,行为概览!$D$3:$U$33,3,0),$A150&gt;VLOOKUP(AE$2,行为概览!$D$3:$U$33,4,0)),0,VLOOKUP(AE$2,行为概览!$D$3:$U$33,6,0)),4)</f>
        <v>8.3299999999999999E-2</v>
      </c>
      <c r="AF150" s="20">
        <f>ROUND(IF(OR($A150&lt;VLOOKUP(AF$2,行为概览!$D$3:$U$33,3,0),$A150&gt;VLOOKUP(AF$2,行为概览!$D$3:$U$33,4,0)),0,VLOOKUP(AF$2,行为概览!$D$3:$U$33,6,0)),4)</f>
        <v>0</v>
      </c>
    </row>
    <row r="151" spans="1:32">
      <c r="A151" s="19">
        <v>149</v>
      </c>
      <c r="B151" s="20">
        <f>ROUND(IF(OR($A151&lt;VLOOKUP(B$2,行为概览!$D$3:$U$33,3,0),$A151&gt;VLOOKUP(B$2,行为概览!$D$3:$U$33,4,0)),0,VLOOKUP(B$2,行为概览!$D$3:$U$33,6,0)),4)</f>
        <v>0.33329999999999999</v>
      </c>
      <c r="C151" s="20">
        <f>ROUND(IF(OR($A151&lt;VLOOKUP(C$2,行为概览!$D$3:$U$33,3,0),$A151&gt;VLOOKUP(C$2,行为概览!$D$3:$U$33,4,0)),0,VLOOKUP(C$2,行为概览!$D$3:$U$33,6,0)),4)</f>
        <v>2</v>
      </c>
      <c r="D151" s="20">
        <f>ROUND(IF(OR($A151&lt;VLOOKUP(D$2,行为概览!$D$3:$U$33,3,0),$A151&gt;VLOOKUP(D$2,行为概览!$D$3:$U$33,4,0)),0,VLOOKUP(D$2,行为概览!$D$3:$U$33,6,0)),4)</f>
        <v>8.3299999999999999E-2</v>
      </c>
      <c r="E151" s="20">
        <f>ROUND(IF(OR($A151&lt;VLOOKUP(E$2,行为概览!$D$3:$U$33,3,0),$A151&gt;VLOOKUP(E$2,行为概览!$D$3:$U$33,4,0)),0,VLOOKUP(E$2,行为概览!$D$3:$U$33,6,0)),4)</f>
        <v>1</v>
      </c>
      <c r="F151" s="20">
        <f>ROUND(IF(OR($A151&lt;VLOOKUP(F$2,行为概览!$D$3:$U$33,3,0),$A151&gt;VLOOKUP(F$2,行为概览!$D$3:$U$33,4,0)),0,VLOOKUP(F$2,行为概览!$D$3:$U$33,6,0)),4)</f>
        <v>0.33329999999999999</v>
      </c>
      <c r="G151" s="20">
        <f>ROUND(IF(OR($A151&lt;VLOOKUP(G$2,行为概览!$D$3:$U$33,3,0),$A151&gt;VLOOKUP(G$2,行为概览!$D$3:$U$33,4,0)),0,VLOOKUP(G$2,行为概览!$D$3:$U$33,6,0)),4)</f>
        <v>0</v>
      </c>
      <c r="H151" s="20">
        <f>ROUND(IF(OR($A151&lt;VLOOKUP(H$2,行为概览!$D$3:$U$33,3,0),$A151&gt;VLOOKUP(H$2,行为概览!$D$3:$U$33,4,0)),0,VLOOKUP(H$2,行为概览!$D$3:$U$33,6,0)),4)</f>
        <v>0</v>
      </c>
      <c r="I151" s="20">
        <f>ROUND(IF(OR($A151&lt;VLOOKUP(I$2,行为概览!$D$3:$U$33,3,0),$A151&gt;VLOOKUP(I$2,行为概览!$D$3:$U$33,4,0)),0,VLOOKUP(I$2,行为概览!$D$3:$U$33,6,0)),4)</f>
        <v>0</v>
      </c>
      <c r="J151" s="20">
        <f>ROUND(IF(OR($A151&lt;VLOOKUP(J$2,行为概览!$D$3:$U$33,3,0),$A151&gt;VLOOKUP(J$2,行为概览!$D$3:$U$33,4,0)),0,VLOOKUP(J$2,行为概览!$D$3:$U$33,6,0)),4)</f>
        <v>0.5</v>
      </c>
      <c r="K151" s="20">
        <f>ROUND(IF(OR($A151&lt;VLOOKUP(K$2,行为概览!$D$3:$U$33,3,0),$A151&gt;VLOOKUP(K$2,行为概览!$D$3:$U$33,4,0)),0,VLOOKUP(K$2,行为概览!$D$3:$U$33,6,0)),4)</f>
        <v>0.16669999999999999</v>
      </c>
      <c r="L151" s="20">
        <f>ROUND(IF(OR($A151&lt;VLOOKUP(L$2,行为概览!$D$3:$U$33,3,0),$A151&gt;VLOOKUP(L$2,行为概览!$D$3:$U$33,4,0)),0,VLOOKUP(L$2,行为概览!$D$3:$U$33,6,0)),4)</f>
        <v>0.5</v>
      </c>
      <c r="M151" s="20">
        <f>ROUND(IF(OR($A151&lt;VLOOKUP(M$2,行为概览!$D$3:$U$33,3,0),$A151&gt;VLOOKUP(M$2,行为概览!$D$3:$U$33,4,0)),0,VLOOKUP(M$2,行为概览!$D$3:$U$33,6,0)),4)</f>
        <v>12</v>
      </c>
      <c r="N151" s="20">
        <f>ROUND(IF(OR($A151&lt;VLOOKUP(N$2,行为概览!$D$3:$U$33,3,0),$A151&gt;VLOOKUP(N$2,行为概览!$D$3:$U$33,4,0)),0,VLOOKUP(N$2,行为概览!$D$3:$U$33,6,0)),4)</f>
        <v>8.3299999999999999E-2</v>
      </c>
      <c r="O151" s="20">
        <f>ROUND(IF(OR($A151&lt;VLOOKUP(O$2,行为概览!$D$3:$U$33,3,0),$A151&gt;VLOOKUP(O$2,行为概览!$D$3:$U$33,4,0)),0,VLOOKUP(O$2,行为概览!$D$3:$U$33,6,0)),4)</f>
        <v>8.3299999999999999E-2</v>
      </c>
      <c r="P151" s="20">
        <f>ROUND(IF(OR($A151&lt;VLOOKUP(P$2,行为概览!$D$3:$U$33,3,0),$A151&gt;VLOOKUP(P$2,行为概览!$D$3:$U$33,4,0)),0,VLOOKUP(P$2,行为概览!$D$3:$U$33,6,0)),4)</f>
        <v>2.6</v>
      </c>
      <c r="Q151" s="20">
        <f>ROUND(IF(OR($A151&lt;VLOOKUP(Q$2,行为概览!$D$3:$U$33,3,0),$A151&gt;VLOOKUP(Q$2,行为概览!$D$3:$U$33,4,0)),0,VLOOKUP(Q$2,行为概览!$D$3:$U$33,6,0)),4)</f>
        <v>1</v>
      </c>
      <c r="R151" s="20">
        <f>ROUND(IF(OR($A151&lt;VLOOKUP(R$2,行为概览!$D$3:$U$33,3,0),$A151&gt;VLOOKUP(R$2,行为概览!$D$3:$U$33,4,0)),0,VLOOKUP(R$2,行为概览!$D$3:$U$33,6,0)),4)</f>
        <v>0.33329999999999999</v>
      </c>
      <c r="S151" s="20">
        <f>ROUND(IF(OR($A151&lt;VLOOKUP(S$2,行为概览!$D$3:$U$33,3,0),$A151&gt;VLOOKUP(S$2,行为概览!$D$3:$U$33,4,0)),0,VLOOKUP(S$2,行为概览!$D$3:$U$33,6,0)),4)</f>
        <v>0</v>
      </c>
      <c r="T151" s="20">
        <f>ROUND(IF(OR($A151&lt;VLOOKUP(T$2,行为概览!$D$3:$U$33,3,0),$A151&gt;VLOOKUP(T$2,行为概览!$D$3:$U$33,4,0)),0,VLOOKUP(T$2,行为概览!$D$3:$U$33,6,0)),4)</f>
        <v>0.33329999999999999</v>
      </c>
      <c r="U151" s="20">
        <f>ROUND(IF(OR($A151&lt;VLOOKUP(U$2,行为概览!$D$3:$U$33,3,0),$A151&gt;VLOOKUP(U$2,行为概览!$D$3:$U$33,4,0)),0,VLOOKUP(U$2,行为概览!$D$3:$U$33,6,0)),4)</f>
        <v>0.16669999999999999</v>
      </c>
      <c r="V151" s="20">
        <f>ROUND(IF(OR($A151&lt;VLOOKUP(V$2,行为概览!$D$3:$U$33,3,0),$A151&gt;VLOOKUP(V$2,行为概览!$D$3:$U$33,4,0)),0,VLOOKUP(V$2,行为概览!$D$3:$U$33,6,0)),4)</f>
        <v>0.16669999999999999</v>
      </c>
      <c r="W151" s="20">
        <f>ROUND(IF(OR($A151&lt;VLOOKUP(W$2,行为概览!$D$3:$U$33,3,0),$A151&gt;VLOOKUP(W$2,行为概览!$D$3:$U$33,4,0)),0,VLOOKUP(W$2,行为概览!$D$3:$U$33,6,0)),4)</f>
        <v>0.16669999999999999</v>
      </c>
      <c r="X151" s="20">
        <f>ROUND(IF(OR($A151&lt;VLOOKUP(X$2,行为概览!$D$3:$U$33,3,0),$A151&gt;VLOOKUP(X$2,行为概览!$D$3:$U$33,4,0)),0,VLOOKUP(X$2,行为概览!$D$3:$U$33,6,0)),4)</f>
        <v>0.25</v>
      </c>
      <c r="Y151" s="20">
        <f>ROUND(IF(OR($A151&lt;VLOOKUP(Y$2,行为概览!$D$3:$U$33,3,0),$A151&gt;VLOOKUP(Y$2,行为概览!$D$3:$U$33,4,0)),0,VLOOKUP(Y$2,行为概览!$D$3:$U$33,6,0)),4)</f>
        <v>0.58330000000000004</v>
      </c>
      <c r="Z151" s="20">
        <f>ROUND(IF(OR($A151&lt;VLOOKUP(Z$2,行为概览!$D$3:$U$33,3,0),$A151&gt;VLOOKUP(Z$2,行为概览!$D$3:$U$33,4,0)),0,VLOOKUP(Z$2,行为概览!$D$3:$U$33,6,0)),4)</f>
        <v>0.16669999999999999</v>
      </c>
      <c r="AA151" s="20">
        <f>ROUND(IF(OR($A151&lt;VLOOKUP(AA$2,行为概览!$D$3:$U$33,3,0),$A151&gt;VLOOKUP(AA$2,行为概览!$D$3:$U$33,4,0)),0,VLOOKUP(AA$2,行为概览!$D$3:$U$33,6,0)),4)</f>
        <v>0</v>
      </c>
      <c r="AB151" s="20">
        <f>ROUND(IF(OR($A151&lt;VLOOKUP(AB$2,行为概览!$D$3:$U$33,3,0),$A151&gt;VLOOKUP(AB$2,行为概览!$D$3:$U$33,4,0)),0,VLOOKUP(AB$2,行为概览!$D$3:$U$33,6,0)),4)</f>
        <v>0</v>
      </c>
      <c r="AC151" s="20">
        <f>ROUND(IF(OR($A151&lt;VLOOKUP(AC$2,行为概览!$D$3:$U$33,3,0),$A151&gt;VLOOKUP(AC$2,行为概览!$D$3:$U$33,4,0)),0,VLOOKUP(AC$2,行为概览!$D$3:$U$33,6,0)),4)</f>
        <v>0</v>
      </c>
      <c r="AD151" s="20">
        <f>ROUND(IF(OR($A151&lt;VLOOKUP(AD$2,行为概览!$D$3:$U$33,3,0),$A151&gt;VLOOKUP(AD$2,行为概览!$D$3:$U$33,4,0)),0,VLOOKUP(AD$2,行为概览!$D$3:$U$33,6,0)),4)</f>
        <v>0</v>
      </c>
      <c r="AE151" s="20">
        <f>ROUND(IF(OR($A151&lt;VLOOKUP(AE$2,行为概览!$D$3:$U$33,3,0),$A151&gt;VLOOKUP(AE$2,行为概览!$D$3:$U$33,4,0)),0,VLOOKUP(AE$2,行为概览!$D$3:$U$33,6,0)),4)</f>
        <v>8.3299999999999999E-2</v>
      </c>
      <c r="AF151" s="20">
        <f>ROUND(IF(OR($A151&lt;VLOOKUP(AF$2,行为概览!$D$3:$U$33,3,0),$A151&gt;VLOOKUP(AF$2,行为概览!$D$3:$U$33,4,0)),0,VLOOKUP(AF$2,行为概览!$D$3:$U$33,6,0)),4)</f>
        <v>0</v>
      </c>
    </row>
    <row r="152" spans="1:32">
      <c r="A152" s="19">
        <v>150</v>
      </c>
      <c r="B152" s="20">
        <f>ROUND(IF(OR($A152&lt;VLOOKUP(B$2,行为概览!$D$3:$U$33,3,0),$A152&gt;VLOOKUP(B$2,行为概览!$D$3:$U$33,4,0)),0,VLOOKUP(B$2,行为概览!$D$3:$U$33,6,0)),4)</f>
        <v>0.33329999999999999</v>
      </c>
      <c r="C152" s="20">
        <f>ROUND(IF(OR($A152&lt;VLOOKUP(C$2,行为概览!$D$3:$U$33,3,0),$A152&gt;VLOOKUP(C$2,行为概览!$D$3:$U$33,4,0)),0,VLOOKUP(C$2,行为概览!$D$3:$U$33,6,0)),4)</f>
        <v>2</v>
      </c>
      <c r="D152" s="20">
        <f>ROUND(IF(OR($A152&lt;VLOOKUP(D$2,行为概览!$D$3:$U$33,3,0),$A152&gt;VLOOKUP(D$2,行为概览!$D$3:$U$33,4,0)),0,VLOOKUP(D$2,行为概览!$D$3:$U$33,6,0)),4)</f>
        <v>8.3299999999999999E-2</v>
      </c>
      <c r="E152" s="20">
        <f>ROUND(IF(OR($A152&lt;VLOOKUP(E$2,行为概览!$D$3:$U$33,3,0),$A152&gt;VLOOKUP(E$2,行为概览!$D$3:$U$33,4,0)),0,VLOOKUP(E$2,行为概览!$D$3:$U$33,6,0)),4)</f>
        <v>1</v>
      </c>
      <c r="F152" s="20">
        <f>ROUND(IF(OR($A152&lt;VLOOKUP(F$2,行为概览!$D$3:$U$33,3,0),$A152&gt;VLOOKUP(F$2,行为概览!$D$3:$U$33,4,0)),0,VLOOKUP(F$2,行为概览!$D$3:$U$33,6,0)),4)</f>
        <v>0.33329999999999999</v>
      </c>
      <c r="G152" s="20">
        <f>ROUND(IF(OR($A152&lt;VLOOKUP(G$2,行为概览!$D$3:$U$33,3,0),$A152&gt;VLOOKUP(G$2,行为概览!$D$3:$U$33,4,0)),0,VLOOKUP(G$2,行为概览!$D$3:$U$33,6,0)),4)</f>
        <v>0</v>
      </c>
      <c r="H152" s="20">
        <f>ROUND(IF(OR($A152&lt;VLOOKUP(H$2,行为概览!$D$3:$U$33,3,0),$A152&gt;VLOOKUP(H$2,行为概览!$D$3:$U$33,4,0)),0,VLOOKUP(H$2,行为概览!$D$3:$U$33,6,0)),4)</f>
        <v>0</v>
      </c>
      <c r="I152" s="20">
        <f>ROUND(IF(OR($A152&lt;VLOOKUP(I$2,行为概览!$D$3:$U$33,3,0),$A152&gt;VLOOKUP(I$2,行为概览!$D$3:$U$33,4,0)),0,VLOOKUP(I$2,行为概览!$D$3:$U$33,6,0)),4)</f>
        <v>0</v>
      </c>
      <c r="J152" s="20">
        <f>ROUND(IF(OR($A152&lt;VLOOKUP(J$2,行为概览!$D$3:$U$33,3,0),$A152&gt;VLOOKUP(J$2,行为概览!$D$3:$U$33,4,0)),0,VLOOKUP(J$2,行为概览!$D$3:$U$33,6,0)),4)</f>
        <v>0.5</v>
      </c>
      <c r="K152" s="20">
        <f>ROUND(IF(OR($A152&lt;VLOOKUP(K$2,行为概览!$D$3:$U$33,3,0),$A152&gt;VLOOKUP(K$2,行为概览!$D$3:$U$33,4,0)),0,VLOOKUP(K$2,行为概览!$D$3:$U$33,6,0)),4)</f>
        <v>0.16669999999999999</v>
      </c>
      <c r="L152" s="20">
        <f>ROUND(IF(OR($A152&lt;VLOOKUP(L$2,行为概览!$D$3:$U$33,3,0),$A152&gt;VLOOKUP(L$2,行为概览!$D$3:$U$33,4,0)),0,VLOOKUP(L$2,行为概览!$D$3:$U$33,6,0)),4)</f>
        <v>0.5</v>
      </c>
      <c r="M152" s="20">
        <f>ROUND(IF(OR($A152&lt;VLOOKUP(M$2,行为概览!$D$3:$U$33,3,0),$A152&gt;VLOOKUP(M$2,行为概览!$D$3:$U$33,4,0)),0,VLOOKUP(M$2,行为概览!$D$3:$U$33,6,0)),4)</f>
        <v>12</v>
      </c>
      <c r="N152" s="20">
        <f>ROUND(IF(OR($A152&lt;VLOOKUP(N$2,行为概览!$D$3:$U$33,3,0),$A152&gt;VLOOKUP(N$2,行为概览!$D$3:$U$33,4,0)),0,VLOOKUP(N$2,行为概览!$D$3:$U$33,6,0)),4)</f>
        <v>8.3299999999999999E-2</v>
      </c>
      <c r="O152" s="20">
        <f>ROUND(IF(OR($A152&lt;VLOOKUP(O$2,行为概览!$D$3:$U$33,3,0),$A152&gt;VLOOKUP(O$2,行为概览!$D$3:$U$33,4,0)),0,VLOOKUP(O$2,行为概览!$D$3:$U$33,6,0)),4)</f>
        <v>8.3299999999999999E-2</v>
      </c>
      <c r="P152" s="20">
        <f>ROUND(IF(OR($A152&lt;VLOOKUP(P$2,行为概览!$D$3:$U$33,3,0),$A152&gt;VLOOKUP(P$2,行为概览!$D$3:$U$33,4,0)),0,VLOOKUP(P$2,行为概览!$D$3:$U$33,6,0)),4)</f>
        <v>2.6</v>
      </c>
      <c r="Q152" s="20">
        <f>ROUND(IF(OR($A152&lt;VLOOKUP(Q$2,行为概览!$D$3:$U$33,3,0),$A152&gt;VLOOKUP(Q$2,行为概览!$D$3:$U$33,4,0)),0,VLOOKUP(Q$2,行为概览!$D$3:$U$33,6,0)),4)</f>
        <v>1</v>
      </c>
      <c r="R152" s="20">
        <f>ROUND(IF(OR($A152&lt;VLOOKUP(R$2,行为概览!$D$3:$U$33,3,0),$A152&gt;VLOOKUP(R$2,行为概览!$D$3:$U$33,4,0)),0,VLOOKUP(R$2,行为概览!$D$3:$U$33,6,0)),4)</f>
        <v>0.33329999999999999</v>
      </c>
      <c r="S152" s="20">
        <f>ROUND(IF(OR($A152&lt;VLOOKUP(S$2,行为概览!$D$3:$U$33,3,0),$A152&gt;VLOOKUP(S$2,行为概览!$D$3:$U$33,4,0)),0,VLOOKUP(S$2,行为概览!$D$3:$U$33,6,0)),4)</f>
        <v>0</v>
      </c>
      <c r="T152" s="20">
        <f>ROUND(IF(OR($A152&lt;VLOOKUP(T$2,行为概览!$D$3:$U$33,3,0),$A152&gt;VLOOKUP(T$2,行为概览!$D$3:$U$33,4,0)),0,VLOOKUP(T$2,行为概览!$D$3:$U$33,6,0)),4)</f>
        <v>0.33329999999999999</v>
      </c>
      <c r="U152" s="20">
        <f>ROUND(IF(OR($A152&lt;VLOOKUP(U$2,行为概览!$D$3:$U$33,3,0),$A152&gt;VLOOKUP(U$2,行为概览!$D$3:$U$33,4,0)),0,VLOOKUP(U$2,行为概览!$D$3:$U$33,6,0)),4)</f>
        <v>0.16669999999999999</v>
      </c>
      <c r="V152" s="20">
        <f>ROUND(IF(OR($A152&lt;VLOOKUP(V$2,行为概览!$D$3:$U$33,3,0),$A152&gt;VLOOKUP(V$2,行为概览!$D$3:$U$33,4,0)),0,VLOOKUP(V$2,行为概览!$D$3:$U$33,6,0)),4)</f>
        <v>0.16669999999999999</v>
      </c>
      <c r="W152" s="20">
        <f>ROUND(IF(OR($A152&lt;VLOOKUP(W$2,行为概览!$D$3:$U$33,3,0),$A152&gt;VLOOKUP(W$2,行为概览!$D$3:$U$33,4,0)),0,VLOOKUP(W$2,行为概览!$D$3:$U$33,6,0)),4)</f>
        <v>0.16669999999999999</v>
      </c>
      <c r="X152" s="20">
        <f>ROUND(IF(OR($A152&lt;VLOOKUP(X$2,行为概览!$D$3:$U$33,3,0),$A152&gt;VLOOKUP(X$2,行为概览!$D$3:$U$33,4,0)),0,VLOOKUP(X$2,行为概览!$D$3:$U$33,6,0)),4)</f>
        <v>0.25</v>
      </c>
      <c r="Y152" s="20">
        <f>ROUND(IF(OR($A152&lt;VLOOKUP(Y$2,行为概览!$D$3:$U$33,3,0),$A152&gt;VLOOKUP(Y$2,行为概览!$D$3:$U$33,4,0)),0,VLOOKUP(Y$2,行为概览!$D$3:$U$33,6,0)),4)</f>
        <v>0.58330000000000004</v>
      </c>
      <c r="Z152" s="20">
        <f>ROUND(IF(OR($A152&lt;VLOOKUP(Z$2,行为概览!$D$3:$U$33,3,0),$A152&gt;VLOOKUP(Z$2,行为概览!$D$3:$U$33,4,0)),0,VLOOKUP(Z$2,行为概览!$D$3:$U$33,6,0)),4)</f>
        <v>0.16669999999999999</v>
      </c>
      <c r="AA152" s="20">
        <f>ROUND(IF(OR($A152&lt;VLOOKUP(AA$2,行为概览!$D$3:$U$33,3,0),$A152&gt;VLOOKUP(AA$2,行为概览!$D$3:$U$33,4,0)),0,VLOOKUP(AA$2,行为概览!$D$3:$U$33,6,0)),4)</f>
        <v>0</v>
      </c>
      <c r="AB152" s="20">
        <f>ROUND(IF(OR($A152&lt;VLOOKUP(AB$2,行为概览!$D$3:$U$33,3,0),$A152&gt;VLOOKUP(AB$2,行为概览!$D$3:$U$33,4,0)),0,VLOOKUP(AB$2,行为概览!$D$3:$U$33,6,0)),4)</f>
        <v>0</v>
      </c>
      <c r="AC152" s="20">
        <f>ROUND(IF(OR($A152&lt;VLOOKUP(AC$2,行为概览!$D$3:$U$33,3,0),$A152&gt;VLOOKUP(AC$2,行为概览!$D$3:$U$33,4,0)),0,VLOOKUP(AC$2,行为概览!$D$3:$U$33,6,0)),4)</f>
        <v>0</v>
      </c>
      <c r="AD152" s="20">
        <f>ROUND(IF(OR($A152&lt;VLOOKUP(AD$2,行为概览!$D$3:$U$33,3,0),$A152&gt;VLOOKUP(AD$2,行为概览!$D$3:$U$33,4,0)),0,VLOOKUP(AD$2,行为概览!$D$3:$U$33,6,0)),4)</f>
        <v>0</v>
      </c>
      <c r="AE152" s="20">
        <f>ROUND(IF(OR($A152&lt;VLOOKUP(AE$2,行为概览!$D$3:$U$33,3,0),$A152&gt;VLOOKUP(AE$2,行为概览!$D$3:$U$33,4,0)),0,VLOOKUP(AE$2,行为概览!$D$3:$U$33,6,0)),4)</f>
        <v>8.3299999999999999E-2</v>
      </c>
      <c r="AF152" s="20">
        <f>ROUND(IF(OR($A152&lt;VLOOKUP(AF$2,行为概览!$D$3:$U$33,3,0),$A152&gt;VLOOKUP(AF$2,行为概览!$D$3:$U$33,4,0)),0,VLOOKUP(AF$2,行为概览!$D$3:$U$33,6,0)),4)</f>
        <v>0</v>
      </c>
    </row>
  </sheetData>
  <mergeCells count="3">
    <mergeCell ref="B1:Q1"/>
    <mergeCell ref="R1:AB1"/>
    <mergeCell ref="AC1:A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B1:T173"/>
  <sheetViews>
    <sheetView topLeftCell="A13" workbookViewId="0">
      <selection activeCell="M27" sqref="M27"/>
    </sheetView>
  </sheetViews>
  <sheetFormatPr defaultRowHeight="13.5"/>
  <cols>
    <col min="3" max="3" width="11.125" customWidth="1"/>
    <col min="4" max="4" width="14.125" style="7" customWidth="1"/>
    <col min="5" max="6" width="11.875" style="7" customWidth="1"/>
    <col min="7" max="7" width="9.125" style="7" customWidth="1"/>
    <col min="8" max="8" width="8.875" style="7" customWidth="1"/>
    <col min="10" max="10" width="9" style="7"/>
    <col min="12" max="15" width="9" style="7"/>
  </cols>
  <sheetData>
    <row r="1" spans="2:17">
      <c r="C1" s="13" t="s">
        <v>62</v>
      </c>
      <c r="D1" s="13"/>
      <c r="E1" s="13"/>
      <c r="F1" s="13"/>
    </row>
    <row r="2" spans="2:17" s="45" customFormat="1" ht="57.75" customHeight="1">
      <c r="B2" s="44" t="s">
        <v>0</v>
      </c>
      <c r="C2" s="129" t="s">
        <v>382</v>
      </c>
      <c r="D2" s="129" t="s">
        <v>383</v>
      </c>
      <c r="E2" s="129" t="s">
        <v>243</v>
      </c>
      <c r="F2" s="129" t="s">
        <v>244</v>
      </c>
      <c r="G2" s="129" t="s">
        <v>384</v>
      </c>
      <c r="H2" s="129" t="s">
        <v>385</v>
      </c>
      <c r="I2" s="129" t="s">
        <v>42</v>
      </c>
      <c r="J2" s="161" t="s">
        <v>526</v>
      </c>
      <c r="K2" s="46"/>
      <c r="L2" s="45" t="s">
        <v>572</v>
      </c>
      <c r="M2" s="45" t="s">
        <v>573</v>
      </c>
    </row>
    <row r="3" spans="2:17">
      <c r="B3">
        <v>1</v>
      </c>
      <c r="C3" s="7">
        <f>400*B3</f>
        <v>400</v>
      </c>
      <c r="D3" s="7">
        <f>5000*B3</f>
        <v>5000</v>
      </c>
      <c r="E3" s="7">
        <f>1000*B3</f>
        <v>1000</v>
      </c>
      <c r="F3" s="7">
        <f>1*B3</f>
        <v>1</v>
      </c>
      <c r="G3" s="7">
        <f>0.2*(1+0.01*B3^2)/24*I3</f>
        <v>0</v>
      </c>
      <c r="H3" s="7">
        <f>SUM($G$3:G3)</f>
        <v>0</v>
      </c>
      <c r="I3" s="7">
        <v>0</v>
      </c>
      <c r="J3" s="7">
        <f>2500+50*B3</f>
        <v>2550</v>
      </c>
      <c r="M3" s="7" t="str">
        <f t="shared" ref="M3:M45" si="0">IF(L3="","",1)</f>
        <v/>
      </c>
    </row>
    <row r="4" spans="2:17">
      <c r="B4">
        <v>2</v>
      </c>
      <c r="C4" s="7">
        <f t="shared" ref="C4:C67" si="1">400*B4</f>
        <v>800</v>
      </c>
      <c r="D4" s="7">
        <f t="shared" ref="D4:D67" si="2">5000*B4</f>
        <v>10000</v>
      </c>
      <c r="E4" s="7">
        <f t="shared" ref="E4:E67" si="3">1000*B4</f>
        <v>2000</v>
      </c>
      <c r="F4" s="7">
        <f t="shared" ref="F4:F67" si="4">1*B4</f>
        <v>2</v>
      </c>
      <c r="G4" s="7">
        <f t="shared" ref="G4:G67" si="5">0.2*(1+0.01*B4^2)/24*I4</f>
        <v>0</v>
      </c>
      <c r="H4" s="7">
        <f>SUM($G$3:G4)</f>
        <v>0</v>
      </c>
      <c r="I4" s="7">
        <v>0</v>
      </c>
      <c r="J4" s="7">
        <f t="shared" ref="J4:J67" si="6">2500+50*B4</f>
        <v>2600</v>
      </c>
      <c r="M4" s="7" t="str">
        <f t="shared" si="0"/>
        <v/>
      </c>
    </row>
    <row r="5" spans="2:17">
      <c r="B5" s="7">
        <v>3</v>
      </c>
      <c r="C5" s="7">
        <f t="shared" si="1"/>
        <v>1200</v>
      </c>
      <c r="D5" s="7">
        <f t="shared" si="2"/>
        <v>15000</v>
      </c>
      <c r="E5" s="7">
        <f t="shared" si="3"/>
        <v>3000</v>
      </c>
      <c r="F5" s="7">
        <f t="shared" si="4"/>
        <v>3</v>
      </c>
      <c r="G5" s="7">
        <f t="shared" si="5"/>
        <v>0</v>
      </c>
      <c r="H5" s="7">
        <f>SUM($G$3:G5)</f>
        <v>0</v>
      </c>
      <c r="I5" s="7">
        <v>0</v>
      </c>
      <c r="J5" s="7">
        <f t="shared" si="6"/>
        <v>2650</v>
      </c>
      <c r="M5" s="7" t="str">
        <f t="shared" si="0"/>
        <v/>
      </c>
    </row>
    <row r="6" spans="2:17">
      <c r="B6" s="7">
        <v>4</v>
      </c>
      <c r="C6" s="7">
        <f t="shared" si="1"/>
        <v>1600</v>
      </c>
      <c r="D6" s="7">
        <f t="shared" si="2"/>
        <v>20000</v>
      </c>
      <c r="E6" s="7">
        <f t="shared" si="3"/>
        <v>4000</v>
      </c>
      <c r="F6" s="7">
        <f t="shared" si="4"/>
        <v>4</v>
      </c>
      <c r="G6" s="7">
        <f t="shared" si="5"/>
        <v>0</v>
      </c>
      <c r="H6" s="7">
        <f>SUM($G$3:G6)</f>
        <v>0</v>
      </c>
      <c r="I6" s="7">
        <v>0</v>
      </c>
      <c r="J6" s="7">
        <f t="shared" si="6"/>
        <v>2700</v>
      </c>
      <c r="M6" s="7" t="str">
        <f t="shared" si="0"/>
        <v/>
      </c>
    </row>
    <row r="7" spans="2:17">
      <c r="B7" s="7">
        <v>5</v>
      </c>
      <c r="C7" s="7">
        <f t="shared" si="1"/>
        <v>2000</v>
      </c>
      <c r="D7" s="7">
        <f t="shared" si="2"/>
        <v>25000</v>
      </c>
      <c r="E7" s="7">
        <f t="shared" si="3"/>
        <v>5000</v>
      </c>
      <c r="F7" s="7">
        <f t="shared" si="4"/>
        <v>5</v>
      </c>
      <c r="G7" s="7">
        <f t="shared" si="5"/>
        <v>0</v>
      </c>
      <c r="H7" s="7">
        <f>SUM($G$3:G7)</f>
        <v>0</v>
      </c>
      <c r="I7" s="7">
        <v>0</v>
      </c>
      <c r="J7" s="7">
        <f t="shared" si="6"/>
        <v>2750</v>
      </c>
      <c r="M7" s="7" t="str">
        <f t="shared" si="0"/>
        <v/>
      </c>
    </row>
    <row r="8" spans="2:17">
      <c r="B8" s="7">
        <v>6</v>
      </c>
      <c r="C8" s="7">
        <f t="shared" si="1"/>
        <v>2400</v>
      </c>
      <c r="D8" s="7">
        <f t="shared" si="2"/>
        <v>30000</v>
      </c>
      <c r="E8" s="7">
        <f t="shared" si="3"/>
        <v>6000</v>
      </c>
      <c r="F8" s="7">
        <f t="shared" si="4"/>
        <v>6</v>
      </c>
      <c r="G8" s="7">
        <f t="shared" si="5"/>
        <v>0</v>
      </c>
      <c r="H8" s="7">
        <f>SUM($G$3:G8)</f>
        <v>0</v>
      </c>
      <c r="I8" s="7">
        <v>0</v>
      </c>
      <c r="J8" s="7">
        <f t="shared" si="6"/>
        <v>2800</v>
      </c>
      <c r="M8" s="7" t="str">
        <f t="shared" si="0"/>
        <v/>
      </c>
    </row>
    <row r="9" spans="2:17">
      <c r="B9" s="7">
        <v>7</v>
      </c>
      <c r="C9" s="7">
        <f t="shared" si="1"/>
        <v>2800</v>
      </c>
      <c r="D9" s="7">
        <f t="shared" si="2"/>
        <v>35000</v>
      </c>
      <c r="E9" s="7">
        <f t="shared" si="3"/>
        <v>7000</v>
      </c>
      <c r="F9" s="7">
        <f t="shared" si="4"/>
        <v>7</v>
      </c>
      <c r="G9" s="7">
        <f t="shared" si="5"/>
        <v>0</v>
      </c>
      <c r="H9" s="7">
        <f>SUM($G$3:G9)</f>
        <v>0</v>
      </c>
      <c r="I9" s="7">
        <v>0</v>
      </c>
      <c r="J9" s="7">
        <f t="shared" si="6"/>
        <v>2850</v>
      </c>
      <c r="M9" s="7" t="str">
        <f t="shared" si="0"/>
        <v/>
      </c>
    </row>
    <row r="10" spans="2:17">
      <c r="B10" s="7">
        <v>8</v>
      </c>
      <c r="C10" s="7">
        <f t="shared" si="1"/>
        <v>3200</v>
      </c>
      <c r="D10" s="7">
        <f t="shared" si="2"/>
        <v>40000</v>
      </c>
      <c r="E10" s="7">
        <f t="shared" si="3"/>
        <v>8000</v>
      </c>
      <c r="F10" s="7">
        <f t="shared" si="4"/>
        <v>8</v>
      </c>
      <c r="G10" s="7">
        <f t="shared" si="5"/>
        <v>0</v>
      </c>
      <c r="H10" s="7">
        <f>SUM($G$3:G10)</f>
        <v>0</v>
      </c>
      <c r="I10" s="7">
        <v>0</v>
      </c>
      <c r="J10" s="7">
        <f t="shared" si="6"/>
        <v>2900</v>
      </c>
      <c r="M10" s="7" t="str">
        <f t="shared" si="0"/>
        <v/>
      </c>
    </row>
    <row r="11" spans="2:17">
      <c r="B11" s="7">
        <v>9</v>
      </c>
      <c r="C11" s="7">
        <f t="shared" si="1"/>
        <v>3600</v>
      </c>
      <c r="D11" s="7">
        <f t="shared" si="2"/>
        <v>45000</v>
      </c>
      <c r="E11" s="7">
        <f t="shared" si="3"/>
        <v>9000</v>
      </c>
      <c r="F11" s="7">
        <f t="shared" si="4"/>
        <v>9</v>
      </c>
      <c r="G11" s="7">
        <f t="shared" si="5"/>
        <v>0</v>
      </c>
      <c r="H11" s="7">
        <f>SUM($G$3:G11)</f>
        <v>0</v>
      </c>
      <c r="I11" s="7">
        <v>0</v>
      </c>
      <c r="J11" s="7">
        <f t="shared" si="6"/>
        <v>2950</v>
      </c>
      <c r="M11" s="7" t="str">
        <f t="shared" si="0"/>
        <v/>
      </c>
    </row>
    <row r="12" spans="2:17">
      <c r="B12" s="7">
        <v>10</v>
      </c>
      <c r="C12" s="7">
        <f t="shared" si="1"/>
        <v>4000</v>
      </c>
      <c r="D12" s="7">
        <f t="shared" si="2"/>
        <v>50000</v>
      </c>
      <c r="E12" s="7">
        <f t="shared" si="3"/>
        <v>10000</v>
      </c>
      <c r="F12" s="7">
        <f t="shared" si="4"/>
        <v>10</v>
      </c>
      <c r="G12" s="7">
        <f t="shared" si="5"/>
        <v>0</v>
      </c>
      <c r="H12" s="7">
        <f>SUM($G$3:G12)</f>
        <v>0</v>
      </c>
      <c r="I12" s="7">
        <v>0</v>
      </c>
      <c r="J12" s="7">
        <f t="shared" si="6"/>
        <v>3000</v>
      </c>
      <c r="M12" s="7" t="str">
        <f t="shared" si="0"/>
        <v/>
      </c>
    </row>
    <row r="13" spans="2:17">
      <c r="B13" s="7">
        <v>11</v>
      </c>
      <c r="C13" s="7">
        <f t="shared" si="1"/>
        <v>4400</v>
      </c>
      <c r="D13" s="7">
        <f t="shared" si="2"/>
        <v>55000</v>
      </c>
      <c r="E13" s="7">
        <f t="shared" si="3"/>
        <v>11000</v>
      </c>
      <c r="F13" s="7">
        <f t="shared" si="4"/>
        <v>11</v>
      </c>
      <c r="G13" s="7">
        <f t="shared" si="5"/>
        <v>0</v>
      </c>
      <c r="H13" s="7">
        <f>SUM($G$3:G13)</f>
        <v>0</v>
      </c>
      <c r="I13" s="7">
        <v>0</v>
      </c>
      <c r="J13" s="7">
        <f t="shared" si="6"/>
        <v>3050</v>
      </c>
      <c r="M13" s="7" t="str">
        <f t="shared" si="0"/>
        <v/>
      </c>
      <c r="P13" s="7"/>
      <c r="Q13" s="7"/>
    </row>
    <row r="14" spans="2:17">
      <c r="B14" s="7">
        <v>12</v>
      </c>
      <c r="C14" s="7">
        <f t="shared" si="1"/>
        <v>4800</v>
      </c>
      <c r="D14" s="7">
        <f t="shared" si="2"/>
        <v>60000</v>
      </c>
      <c r="E14" s="7">
        <f t="shared" si="3"/>
        <v>12000</v>
      </c>
      <c r="F14" s="7">
        <f t="shared" si="4"/>
        <v>12</v>
      </c>
      <c r="G14" s="7">
        <f t="shared" si="5"/>
        <v>0</v>
      </c>
      <c r="H14" s="7">
        <f>SUM($G$3:G14)</f>
        <v>0</v>
      </c>
      <c r="I14" s="7">
        <v>0</v>
      </c>
      <c r="J14" s="7">
        <f t="shared" si="6"/>
        <v>3100</v>
      </c>
      <c r="M14" s="7" t="str">
        <f t="shared" si="0"/>
        <v/>
      </c>
      <c r="P14" s="7"/>
      <c r="Q14" s="7"/>
    </row>
    <row r="15" spans="2:17">
      <c r="B15" s="7">
        <v>13</v>
      </c>
      <c r="C15" s="7">
        <f t="shared" si="1"/>
        <v>5200</v>
      </c>
      <c r="D15" s="7">
        <f t="shared" si="2"/>
        <v>65000</v>
      </c>
      <c r="E15" s="7">
        <f t="shared" si="3"/>
        <v>13000</v>
      </c>
      <c r="F15" s="7">
        <f t="shared" si="4"/>
        <v>13</v>
      </c>
      <c r="G15" s="7">
        <f t="shared" si="5"/>
        <v>0</v>
      </c>
      <c r="H15" s="7">
        <f>SUM($G$3:G15)</f>
        <v>0</v>
      </c>
      <c r="I15" s="7">
        <v>0</v>
      </c>
      <c r="J15" s="7">
        <f t="shared" si="6"/>
        <v>3150</v>
      </c>
      <c r="M15" s="7" t="str">
        <f t="shared" si="0"/>
        <v/>
      </c>
      <c r="P15" s="7"/>
      <c r="Q15" s="7"/>
    </row>
    <row r="16" spans="2:17">
      <c r="B16" s="7">
        <v>14</v>
      </c>
      <c r="C16" s="7">
        <f t="shared" si="1"/>
        <v>5600</v>
      </c>
      <c r="D16" s="7">
        <f t="shared" si="2"/>
        <v>70000</v>
      </c>
      <c r="E16" s="7">
        <f t="shared" si="3"/>
        <v>14000</v>
      </c>
      <c r="F16" s="7">
        <f t="shared" si="4"/>
        <v>14</v>
      </c>
      <c r="G16" s="7">
        <f t="shared" si="5"/>
        <v>0</v>
      </c>
      <c r="H16" s="7">
        <f>SUM($G$3:G16)</f>
        <v>0</v>
      </c>
      <c r="I16" s="7">
        <v>0</v>
      </c>
      <c r="J16" s="7">
        <f t="shared" si="6"/>
        <v>3200</v>
      </c>
      <c r="M16" s="7" t="str">
        <f t="shared" si="0"/>
        <v/>
      </c>
      <c r="P16" s="7"/>
      <c r="Q16" s="7"/>
    </row>
    <row r="17" spans="2:17">
      <c r="B17" s="7">
        <v>15</v>
      </c>
      <c r="C17" s="7">
        <f t="shared" si="1"/>
        <v>6000</v>
      </c>
      <c r="D17" s="7">
        <f t="shared" si="2"/>
        <v>75000</v>
      </c>
      <c r="E17" s="7">
        <f t="shared" si="3"/>
        <v>15000</v>
      </c>
      <c r="F17" s="7">
        <f t="shared" si="4"/>
        <v>15</v>
      </c>
      <c r="G17" s="7">
        <f t="shared" si="5"/>
        <v>0</v>
      </c>
      <c r="H17" s="7">
        <f>SUM($G$3:G17)</f>
        <v>0</v>
      </c>
      <c r="I17" s="7">
        <v>0</v>
      </c>
      <c r="J17" s="7">
        <f t="shared" si="6"/>
        <v>3250</v>
      </c>
      <c r="M17" s="7" t="str">
        <f t="shared" si="0"/>
        <v/>
      </c>
      <c r="P17" s="7"/>
      <c r="Q17" s="7"/>
    </row>
    <row r="18" spans="2:17">
      <c r="B18" s="7">
        <v>16</v>
      </c>
      <c r="C18" s="7">
        <f t="shared" si="1"/>
        <v>6400</v>
      </c>
      <c r="D18" s="7">
        <f t="shared" si="2"/>
        <v>80000</v>
      </c>
      <c r="E18" s="7">
        <f t="shared" si="3"/>
        <v>16000</v>
      </c>
      <c r="F18" s="7">
        <f t="shared" si="4"/>
        <v>16</v>
      </c>
      <c r="G18" s="7">
        <f t="shared" si="5"/>
        <v>0</v>
      </c>
      <c r="H18" s="7">
        <f>SUM($G$3:G18)</f>
        <v>0</v>
      </c>
      <c r="I18" s="7">
        <v>0</v>
      </c>
      <c r="J18" s="7">
        <f t="shared" si="6"/>
        <v>3300</v>
      </c>
      <c r="M18" s="7" t="str">
        <f t="shared" si="0"/>
        <v/>
      </c>
      <c r="P18" s="7"/>
      <c r="Q18" s="7"/>
    </row>
    <row r="19" spans="2:17">
      <c r="B19" s="7">
        <v>17</v>
      </c>
      <c r="C19" s="7">
        <f t="shared" si="1"/>
        <v>6800</v>
      </c>
      <c r="D19" s="7">
        <f t="shared" si="2"/>
        <v>85000</v>
      </c>
      <c r="E19" s="7">
        <f t="shared" si="3"/>
        <v>17000</v>
      </c>
      <c r="F19" s="7">
        <f t="shared" si="4"/>
        <v>17</v>
      </c>
      <c r="G19" s="7">
        <f t="shared" si="5"/>
        <v>0</v>
      </c>
      <c r="H19" s="7">
        <f>SUM($G$3:G19)</f>
        <v>0</v>
      </c>
      <c r="I19" s="7">
        <v>0</v>
      </c>
      <c r="J19" s="7">
        <f t="shared" si="6"/>
        <v>3350</v>
      </c>
      <c r="M19" s="7" t="str">
        <f t="shared" si="0"/>
        <v/>
      </c>
      <c r="P19" s="7"/>
      <c r="Q19" s="7"/>
    </row>
    <row r="20" spans="2:17">
      <c r="B20" s="7">
        <v>18</v>
      </c>
      <c r="C20" s="7">
        <f t="shared" si="1"/>
        <v>7200</v>
      </c>
      <c r="D20" s="7">
        <f t="shared" si="2"/>
        <v>90000</v>
      </c>
      <c r="E20" s="7">
        <f t="shared" si="3"/>
        <v>18000</v>
      </c>
      <c r="F20" s="7">
        <f t="shared" si="4"/>
        <v>18</v>
      </c>
      <c r="G20" s="7">
        <f t="shared" si="5"/>
        <v>0</v>
      </c>
      <c r="H20" s="7">
        <f>SUM($G$3:G20)</f>
        <v>0</v>
      </c>
      <c r="I20" s="7">
        <v>0</v>
      </c>
      <c r="J20" s="7">
        <f t="shared" si="6"/>
        <v>3400</v>
      </c>
      <c r="M20" s="7" t="str">
        <f t="shared" si="0"/>
        <v/>
      </c>
      <c r="P20" s="7"/>
      <c r="Q20" s="7"/>
    </row>
    <row r="21" spans="2:17">
      <c r="B21" s="7">
        <v>19</v>
      </c>
      <c r="C21" s="7">
        <f t="shared" si="1"/>
        <v>7600</v>
      </c>
      <c r="D21" s="7">
        <f t="shared" si="2"/>
        <v>95000</v>
      </c>
      <c r="E21" s="7">
        <f t="shared" si="3"/>
        <v>19000</v>
      </c>
      <c r="F21" s="7">
        <f t="shared" si="4"/>
        <v>19</v>
      </c>
      <c r="G21" s="7">
        <f t="shared" si="5"/>
        <v>0</v>
      </c>
      <c r="H21" s="7">
        <f>SUM($G$3:G21)</f>
        <v>0</v>
      </c>
      <c r="I21" s="7">
        <v>0</v>
      </c>
      <c r="J21" s="7">
        <f t="shared" si="6"/>
        <v>3450</v>
      </c>
      <c r="M21" s="7" t="str">
        <f t="shared" si="0"/>
        <v/>
      </c>
      <c r="P21" s="7"/>
      <c r="Q21" s="7"/>
    </row>
    <row r="22" spans="2:17">
      <c r="B22" s="7">
        <v>20</v>
      </c>
      <c r="C22" s="7">
        <f t="shared" si="1"/>
        <v>8000</v>
      </c>
      <c r="D22" s="7">
        <f t="shared" si="2"/>
        <v>100000</v>
      </c>
      <c r="E22" s="7">
        <f t="shared" si="3"/>
        <v>20000</v>
      </c>
      <c r="F22" s="7">
        <f t="shared" si="4"/>
        <v>20</v>
      </c>
      <c r="G22" s="7">
        <f t="shared" si="5"/>
        <v>0</v>
      </c>
      <c r="H22" s="7">
        <f>SUM($G$3:G22)</f>
        <v>0</v>
      </c>
      <c r="I22" s="7">
        <v>0</v>
      </c>
      <c r="J22" s="7">
        <f t="shared" si="6"/>
        <v>3500</v>
      </c>
      <c r="M22" s="7" t="str">
        <f t="shared" si="0"/>
        <v/>
      </c>
      <c r="P22" s="7"/>
      <c r="Q22" s="7"/>
    </row>
    <row r="23" spans="2:17">
      <c r="B23" s="7">
        <v>21</v>
      </c>
      <c r="C23" s="7">
        <f t="shared" si="1"/>
        <v>8400</v>
      </c>
      <c r="D23" s="7">
        <f t="shared" si="2"/>
        <v>105000</v>
      </c>
      <c r="E23" s="7">
        <f t="shared" si="3"/>
        <v>21000</v>
      </c>
      <c r="F23" s="7">
        <f t="shared" si="4"/>
        <v>21</v>
      </c>
      <c r="G23" s="7">
        <f t="shared" si="5"/>
        <v>0</v>
      </c>
      <c r="H23" s="7">
        <f>SUM($G$3:G23)</f>
        <v>0</v>
      </c>
      <c r="I23" s="7">
        <v>0</v>
      </c>
      <c r="J23" s="7">
        <f t="shared" si="6"/>
        <v>3550</v>
      </c>
      <c r="M23" s="7" t="str">
        <f t="shared" si="0"/>
        <v/>
      </c>
      <c r="P23" s="7"/>
      <c r="Q23" s="7"/>
    </row>
    <row r="24" spans="2:17">
      <c r="B24" s="7">
        <v>22</v>
      </c>
      <c r="C24" s="7">
        <f t="shared" si="1"/>
        <v>8800</v>
      </c>
      <c r="D24" s="7">
        <f t="shared" si="2"/>
        <v>110000</v>
      </c>
      <c r="E24" s="7">
        <f t="shared" si="3"/>
        <v>22000</v>
      </c>
      <c r="F24" s="7">
        <f t="shared" si="4"/>
        <v>22</v>
      </c>
      <c r="G24" s="7">
        <f t="shared" si="5"/>
        <v>0</v>
      </c>
      <c r="H24" s="7">
        <f>SUM($G$3:G24)</f>
        <v>0</v>
      </c>
      <c r="I24" s="7">
        <v>0</v>
      </c>
      <c r="J24" s="7">
        <f t="shared" si="6"/>
        <v>3600</v>
      </c>
      <c r="M24" s="7" t="str">
        <f t="shared" si="0"/>
        <v/>
      </c>
      <c r="P24" s="7"/>
      <c r="Q24" s="7"/>
    </row>
    <row r="25" spans="2:17">
      <c r="B25" s="7">
        <v>23</v>
      </c>
      <c r="C25" s="7">
        <f t="shared" si="1"/>
        <v>9200</v>
      </c>
      <c r="D25" s="7">
        <f t="shared" si="2"/>
        <v>115000</v>
      </c>
      <c r="E25" s="7">
        <f t="shared" si="3"/>
        <v>23000</v>
      </c>
      <c r="F25" s="7">
        <f t="shared" si="4"/>
        <v>23</v>
      </c>
      <c r="G25" s="7">
        <f t="shared" si="5"/>
        <v>0</v>
      </c>
      <c r="H25" s="7">
        <f>SUM($G$3:G25)</f>
        <v>0</v>
      </c>
      <c r="I25" s="7">
        <v>0</v>
      </c>
      <c r="J25" s="7">
        <f t="shared" si="6"/>
        <v>3650</v>
      </c>
      <c r="M25" s="7" t="str">
        <f t="shared" si="0"/>
        <v/>
      </c>
      <c r="P25" s="7"/>
      <c r="Q25" s="7"/>
    </row>
    <row r="26" spans="2:17">
      <c r="B26" s="7">
        <v>24</v>
      </c>
      <c r="C26" s="7">
        <f t="shared" si="1"/>
        <v>9600</v>
      </c>
      <c r="D26" s="7">
        <f t="shared" si="2"/>
        <v>120000</v>
      </c>
      <c r="E26" s="7">
        <f t="shared" si="3"/>
        <v>24000</v>
      </c>
      <c r="F26" s="7">
        <f t="shared" si="4"/>
        <v>24</v>
      </c>
      <c r="G26" s="7">
        <f t="shared" si="5"/>
        <v>0</v>
      </c>
      <c r="H26" s="7">
        <f>SUM($G$3:G26)</f>
        <v>0</v>
      </c>
      <c r="I26" s="7">
        <v>0</v>
      </c>
      <c r="J26" s="7">
        <f t="shared" si="6"/>
        <v>3700</v>
      </c>
      <c r="M26" s="7" t="str">
        <f t="shared" si="0"/>
        <v/>
      </c>
      <c r="P26" s="7"/>
      <c r="Q26" s="7"/>
    </row>
    <row r="27" spans="2:17">
      <c r="B27" s="7">
        <v>25</v>
      </c>
      <c r="C27" s="7">
        <f t="shared" si="1"/>
        <v>10000</v>
      </c>
      <c r="D27" s="7">
        <f t="shared" si="2"/>
        <v>125000</v>
      </c>
      <c r="E27" s="7">
        <f t="shared" si="3"/>
        <v>25000</v>
      </c>
      <c r="F27" s="7">
        <f t="shared" si="4"/>
        <v>25</v>
      </c>
      <c r="G27" s="7">
        <f t="shared" si="5"/>
        <v>0</v>
      </c>
      <c r="H27" s="7">
        <f>SUM($G$3:G27)</f>
        <v>0</v>
      </c>
      <c r="I27" s="7">
        <v>0</v>
      </c>
      <c r="J27" s="7">
        <f t="shared" si="6"/>
        <v>3750</v>
      </c>
      <c r="M27" s="7" t="str">
        <f t="shared" si="0"/>
        <v/>
      </c>
      <c r="P27" s="7"/>
      <c r="Q27" s="7"/>
    </row>
    <row r="28" spans="2:17">
      <c r="B28" s="7">
        <v>26</v>
      </c>
      <c r="C28" s="7">
        <f t="shared" si="1"/>
        <v>10400</v>
      </c>
      <c r="D28" s="7">
        <f t="shared" si="2"/>
        <v>130000</v>
      </c>
      <c r="E28" s="7">
        <f t="shared" si="3"/>
        <v>26000</v>
      </c>
      <c r="F28" s="7">
        <f t="shared" si="4"/>
        <v>26</v>
      </c>
      <c r="G28" s="7">
        <f t="shared" si="5"/>
        <v>0</v>
      </c>
      <c r="H28" s="7">
        <f>SUM($G$3:G28)</f>
        <v>0</v>
      </c>
      <c r="I28" s="7">
        <v>0</v>
      </c>
      <c r="J28" s="7">
        <f t="shared" si="6"/>
        <v>3800</v>
      </c>
      <c r="M28" s="7" t="str">
        <f t="shared" si="0"/>
        <v/>
      </c>
      <c r="P28" s="7"/>
      <c r="Q28" s="7"/>
    </row>
    <row r="29" spans="2:17">
      <c r="B29" s="7">
        <v>27</v>
      </c>
      <c r="C29" s="7">
        <f t="shared" si="1"/>
        <v>10800</v>
      </c>
      <c r="D29" s="7">
        <f t="shared" si="2"/>
        <v>135000</v>
      </c>
      <c r="E29" s="7">
        <f t="shared" si="3"/>
        <v>27000</v>
      </c>
      <c r="F29" s="7">
        <f t="shared" si="4"/>
        <v>27</v>
      </c>
      <c r="G29" s="7">
        <f t="shared" si="5"/>
        <v>1.3816666666666666E-2</v>
      </c>
      <c r="H29" s="7">
        <f>SUM($G$3:G29)</f>
        <v>1.3816666666666666E-2</v>
      </c>
      <c r="I29" s="7">
        <v>0.2</v>
      </c>
      <c r="J29" s="7">
        <f t="shared" si="6"/>
        <v>3850</v>
      </c>
      <c r="M29" s="7" t="str">
        <f t="shared" si="0"/>
        <v/>
      </c>
      <c r="P29" s="7"/>
      <c r="Q29" s="7"/>
    </row>
    <row r="30" spans="2:17">
      <c r="B30" s="7">
        <v>28</v>
      </c>
      <c r="C30" s="7">
        <f t="shared" si="1"/>
        <v>11200</v>
      </c>
      <c r="D30" s="7">
        <f t="shared" si="2"/>
        <v>140000</v>
      </c>
      <c r="E30" s="7">
        <f t="shared" si="3"/>
        <v>28000</v>
      </c>
      <c r="F30" s="7">
        <f t="shared" si="4"/>
        <v>28</v>
      </c>
      <c r="G30" s="7">
        <f t="shared" si="5"/>
        <v>2.9466666666666669E-2</v>
      </c>
      <c r="H30" s="7">
        <f>SUM($G$3:G30)</f>
        <v>4.3283333333333333E-2</v>
      </c>
      <c r="I30" s="7">
        <v>0.4</v>
      </c>
      <c r="J30" s="7">
        <f t="shared" si="6"/>
        <v>3900</v>
      </c>
      <c r="M30" s="7" t="str">
        <f t="shared" si="0"/>
        <v/>
      </c>
      <c r="P30" s="7"/>
      <c r="Q30" s="7"/>
    </row>
    <row r="31" spans="2:17">
      <c r="B31" s="7">
        <v>29</v>
      </c>
      <c r="C31" s="7">
        <f t="shared" si="1"/>
        <v>11600</v>
      </c>
      <c r="D31" s="7">
        <f t="shared" si="2"/>
        <v>145000</v>
      </c>
      <c r="E31" s="7">
        <f t="shared" si="3"/>
        <v>29000</v>
      </c>
      <c r="F31" s="7">
        <f t="shared" si="4"/>
        <v>29</v>
      </c>
      <c r="G31" s="7">
        <f t="shared" si="5"/>
        <v>4.7050000000000002E-2</v>
      </c>
      <c r="H31" s="7">
        <f>SUM($G$3:G31)</f>
        <v>9.0333333333333335E-2</v>
      </c>
      <c r="I31" s="7">
        <v>0.6</v>
      </c>
      <c r="J31" s="7">
        <f t="shared" si="6"/>
        <v>3950</v>
      </c>
      <c r="M31" s="7" t="str">
        <f t="shared" si="0"/>
        <v/>
      </c>
      <c r="P31" s="7"/>
      <c r="Q31" s="7"/>
    </row>
    <row r="32" spans="2:17">
      <c r="B32" s="7">
        <v>30</v>
      </c>
      <c r="C32" s="7">
        <f t="shared" si="1"/>
        <v>12000</v>
      </c>
      <c r="D32" s="7">
        <f t="shared" si="2"/>
        <v>150000</v>
      </c>
      <c r="E32" s="7">
        <f t="shared" si="3"/>
        <v>30000</v>
      </c>
      <c r="F32" s="7">
        <f t="shared" si="4"/>
        <v>30</v>
      </c>
      <c r="G32" s="7">
        <f t="shared" si="5"/>
        <v>6.6666666666666666E-2</v>
      </c>
      <c r="H32" s="7">
        <f>SUM($G$3:G32)</f>
        <v>0.157</v>
      </c>
      <c r="I32" s="7">
        <v>0.8</v>
      </c>
      <c r="J32" s="7">
        <f t="shared" si="6"/>
        <v>4000</v>
      </c>
      <c r="M32" s="7" t="str">
        <f t="shared" si="0"/>
        <v/>
      </c>
      <c r="P32" s="7"/>
      <c r="Q32" s="7"/>
    </row>
    <row r="33" spans="2:17">
      <c r="B33" s="7">
        <v>31</v>
      </c>
      <c r="C33" s="7">
        <f t="shared" si="1"/>
        <v>12400</v>
      </c>
      <c r="D33" s="7">
        <f t="shared" si="2"/>
        <v>155000</v>
      </c>
      <c r="E33" s="7">
        <f t="shared" si="3"/>
        <v>31000</v>
      </c>
      <c r="F33" s="7">
        <f t="shared" si="4"/>
        <v>31</v>
      </c>
      <c r="G33" s="7">
        <f t="shared" si="5"/>
        <v>8.8416666666666657E-2</v>
      </c>
      <c r="H33" s="7">
        <f>SUM($G$3:G33)</f>
        <v>0.24541666666666667</v>
      </c>
      <c r="I33" s="7">
        <v>1</v>
      </c>
      <c r="J33" s="7">
        <f t="shared" si="6"/>
        <v>4050</v>
      </c>
      <c r="M33" s="7" t="str">
        <f t="shared" si="0"/>
        <v/>
      </c>
      <c r="P33" s="7"/>
      <c r="Q33" s="7"/>
    </row>
    <row r="34" spans="2:17">
      <c r="B34" s="7">
        <v>32</v>
      </c>
      <c r="C34" s="7">
        <f t="shared" si="1"/>
        <v>12800</v>
      </c>
      <c r="D34" s="7">
        <f t="shared" si="2"/>
        <v>160000</v>
      </c>
      <c r="E34" s="7">
        <f t="shared" si="3"/>
        <v>32000</v>
      </c>
      <c r="F34" s="7">
        <f t="shared" si="4"/>
        <v>32</v>
      </c>
      <c r="G34" s="7">
        <f t="shared" si="5"/>
        <v>9.3666666666666676E-2</v>
      </c>
      <c r="H34" s="7">
        <f>SUM($G$3:G34)</f>
        <v>0.33908333333333335</v>
      </c>
      <c r="I34" s="7">
        <v>1</v>
      </c>
      <c r="J34" s="7">
        <f t="shared" si="6"/>
        <v>4100</v>
      </c>
      <c r="M34" s="7" t="str">
        <f t="shared" si="0"/>
        <v/>
      </c>
      <c r="P34" s="7"/>
      <c r="Q34" s="7"/>
    </row>
    <row r="35" spans="2:17">
      <c r="B35" s="7">
        <v>33</v>
      </c>
      <c r="C35" s="7">
        <f t="shared" si="1"/>
        <v>13200</v>
      </c>
      <c r="D35" s="7">
        <f t="shared" si="2"/>
        <v>165000</v>
      </c>
      <c r="E35" s="7">
        <f t="shared" si="3"/>
        <v>33000</v>
      </c>
      <c r="F35" s="7">
        <f t="shared" si="4"/>
        <v>33</v>
      </c>
      <c r="G35" s="7">
        <f t="shared" si="5"/>
        <v>9.9083333333333343E-2</v>
      </c>
      <c r="H35" s="7">
        <f>SUM($G$3:G35)</f>
        <v>0.4381666666666667</v>
      </c>
      <c r="I35" s="7">
        <v>1</v>
      </c>
      <c r="J35" s="7">
        <f t="shared" si="6"/>
        <v>4150</v>
      </c>
      <c r="M35" s="7" t="str">
        <f t="shared" si="0"/>
        <v/>
      </c>
      <c r="P35" s="7"/>
      <c r="Q35" s="7"/>
    </row>
    <row r="36" spans="2:17">
      <c r="B36" s="7">
        <v>34</v>
      </c>
      <c r="C36" s="7">
        <f t="shared" si="1"/>
        <v>13600</v>
      </c>
      <c r="D36" s="7">
        <f t="shared" si="2"/>
        <v>170000</v>
      </c>
      <c r="E36" s="7">
        <f t="shared" si="3"/>
        <v>34000</v>
      </c>
      <c r="F36" s="7">
        <f t="shared" si="4"/>
        <v>34</v>
      </c>
      <c r="G36" s="7">
        <f t="shared" si="5"/>
        <v>0.11513333333333337</v>
      </c>
      <c r="H36" s="7">
        <f>SUM($G$3:G36)</f>
        <v>0.55330000000000013</v>
      </c>
      <c r="I36" s="7">
        <v>1.1000000000000001</v>
      </c>
      <c r="J36" s="7">
        <f t="shared" si="6"/>
        <v>4200</v>
      </c>
      <c r="M36" s="7" t="str">
        <f t="shared" si="0"/>
        <v/>
      </c>
      <c r="P36" s="7"/>
      <c r="Q36" s="7"/>
    </row>
    <row r="37" spans="2:17">
      <c r="B37" s="7">
        <v>35</v>
      </c>
      <c r="C37" s="7">
        <f t="shared" si="1"/>
        <v>14000</v>
      </c>
      <c r="D37" s="7">
        <f t="shared" si="2"/>
        <v>175000</v>
      </c>
      <c r="E37" s="7">
        <f t="shared" si="3"/>
        <v>35000</v>
      </c>
      <c r="F37" s="7">
        <f t="shared" si="4"/>
        <v>35</v>
      </c>
      <c r="G37" s="7">
        <f t="shared" si="5"/>
        <v>0.12145833333333335</v>
      </c>
      <c r="H37" s="7">
        <f>SUM($G$3:G37)</f>
        <v>0.67475833333333346</v>
      </c>
      <c r="I37" s="7">
        <v>1.1000000000000001</v>
      </c>
      <c r="J37" s="7">
        <f t="shared" si="6"/>
        <v>4250</v>
      </c>
      <c r="M37" s="7" t="str">
        <f t="shared" si="0"/>
        <v/>
      </c>
      <c r="P37" s="7"/>
      <c r="Q37" s="7"/>
    </row>
    <row r="38" spans="2:17">
      <c r="B38" s="7">
        <v>36</v>
      </c>
      <c r="C38" s="7">
        <f t="shared" si="1"/>
        <v>14400</v>
      </c>
      <c r="D38" s="7">
        <f t="shared" si="2"/>
        <v>180000</v>
      </c>
      <c r="E38" s="7">
        <f t="shared" si="3"/>
        <v>36000</v>
      </c>
      <c r="F38" s="7">
        <f t="shared" si="4"/>
        <v>36</v>
      </c>
      <c r="G38" s="7">
        <f t="shared" si="5"/>
        <v>0.1279666666666667</v>
      </c>
      <c r="H38" s="7">
        <f>SUM($G$3:G38)</f>
        <v>0.80272500000000013</v>
      </c>
      <c r="I38" s="7">
        <v>1.1000000000000001</v>
      </c>
      <c r="J38" s="7">
        <f t="shared" si="6"/>
        <v>4300</v>
      </c>
      <c r="M38" s="7" t="str">
        <f t="shared" si="0"/>
        <v/>
      </c>
    </row>
    <row r="39" spans="2:17">
      <c r="B39" s="7">
        <v>37</v>
      </c>
      <c r="C39" s="7">
        <f t="shared" si="1"/>
        <v>14800</v>
      </c>
      <c r="D39" s="7">
        <f t="shared" si="2"/>
        <v>185000</v>
      </c>
      <c r="E39" s="7">
        <f t="shared" si="3"/>
        <v>37000</v>
      </c>
      <c r="F39" s="7">
        <f t="shared" si="4"/>
        <v>37</v>
      </c>
      <c r="G39" s="7">
        <f t="shared" si="5"/>
        <v>0.13465833333333335</v>
      </c>
      <c r="H39" s="7">
        <f>SUM($G$3:G39)</f>
        <v>0.93738333333333346</v>
      </c>
      <c r="I39" s="7">
        <v>1.1000000000000001</v>
      </c>
      <c r="J39" s="7">
        <f t="shared" si="6"/>
        <v>4350</v>
      </c>
      <c r="M39" s="7" t="str">
        <f t="shared" si="0"/>
        <v/>
      </c>
    </row>
    <row r="40" spans="2:17">
      <c r="B40" s="7">
        <v>38</v>
      </c>
      <c r="C40" s="7">
        <f t="shared" si="1"/>
        <v>15200</v>
      </c>
      <c r="D40" s="7">
        <f t="shared" si="2"/>
        <v>190000</v>
      </c>
      <c r="E40" s="7">
        <f t="shared" si="3"/>
        <v>38000</v>
      </c>
      <c r="F40" s="7">
        <f t="shared" si="4"/>
        <v>38</v>
      </c>
      <c r="G40" s="7">
        <f t="shared" si="5"/>
        <v>0.14153333333333337</v>
      </c>
      <c r="H40" s="7">
        <f>SUM($G$3:G40)</f>
        <v>1.0789166666666667</v>
      </c>
      <c r="I40" s="7">
        <v>1.1000000000000001</v>
      </c>
      <c r="J40" s="7">
        <f t="shared" si="6"/>
        <v>4400</v>
      </c>
      <c r="K40" s="7">
        <f>ROUNDUP(H39,0)</f>
        <v>1</v>
      </c>
      <c r="M40" s="7" t="str">
        <f t="shared" si="0"/>
        <v/>
      </c>
    </row>
    <row r="41" spans="2:17">
      <c r="B41" s="7">
        <v>39</v>
      </c>
      <c r="C41" s="7">
        <f t="shared" si="1"/>
        <v>15600</v>
      </c>
      <c r="D41" s="7">
        <f t="shared" si="2"/>
        <v>195000</v>
      </c>
      <c r="E41" s="7">
        <f t="shared" si="3"/>
        <v>39000</v>
      </c>
      <c r="F41" s="7">
        <f t="shared" si="4"/>
        <v>39</v>
      </c>
      <c r="G41" s="7">
        <f t="shared" si="5"/>
        <v>0.17560833333333337</v>
      </c>
      <c r="H41" s="7">
        <f>SUM($G$3:G41)</f>
        <v>1.2545250000000001</v>
      </c>
      <c r="I41" s="7">
        <v>1.3</v>
      </c>
      <c r="J41" s="7">
        <f t="shared" si="6"/>
        <v>4450</v>
      </c>
      <c r="L41" s="10">
        <v>1</v>
      </c>
      <c r="M41" s="7">
        <f t="shared" si="0"/>
        <v>1</v>
      </c>
    </row>
    <row r="42" spans="2:17">
      <c r="B42" s="7">
        <v>40</v>
      </c>
      <c r="C42" s="7">
        <f t="shared" si="1"/>
        <v>16000</v>
      </c>
      <c r="D42" s="7">
        <f t="shared" si="2"/>
        <v>200000</v>
      </c>
      <c r="E42" s="7">
        <f t="shared" si="3"/>
        <v>40000</v>
      </c>
      <c r="F42" s="7">
        <f t="shared" si="4"/>
        <v>40</v>
      </c>
      <c r="G42" s="7">
        <f t="shared" si="5"/>
        <v>0.1841666666666667</v>
      </c>
      <c r="H42" s="7">
        <f>SUM($G$3:G42)</f>
        <v>1.4386916666666667</v>
      </c>
      <c r="I42" s="7">
        <v>1.3</v>
      </c>
      <c r="J42" s="7">
        <f t="shared" si="6"/>
        <v>4500</v>
      </c>
      <c r="L42" s="10"/>
      <c r="M42" s="7" t="str">
        <f t="shared" si="0"/>
        <v/>
      </c>
    </row>
    <row r="43" spans="2:17">
      <c r="B43" s="7">
        <v>41</v>
      </c>
      <c r="C43" s="7">
        <f t="shared" si="1"/>
        <v>16400</v>
      </c>
      <c r="D43" s="7">
        <f t="shared" si="2"/>
        <v>205000</v>
      </c>
      <c r="E43" s="7">
        <f t="shared" si="3"/>
        <v>41000</v>
      </c>
      <c r="F43" s="7">
        <f t="shared" si="4"/>
        <v>41</v>
      </c>
      <c r="G43" s="7">
        <f t="shared" si="5"/>
        <v>0.19294166666666668</v>
      </c>
      <c r="H43" s="7">
        <f>SUM($G$3:G43)</f>
        <v>1.6316333333333333</v>
      </c>
      <c r="I43" s="7">
        <v>1.3</v>
      </c>
      <c r="J43" s="7">
        <f t="shared" si="6"/>
        <v>4550</v>
      </c>
      <c r="L43" s="10"/>
      <c r="M43" s="7" t="str">
        <f t="shared" si="0"/>
        <v/>
      </c>
    </row>
    <row r="44" spans="2:17">
      <c r="B44" s="7">
        <v>42</v>
      </c>
      <c r="C44" s="7">
        <f t="shared" si="1"/>
        <v>16800</v>
      </c>
      <c r="D44" s="7">
        <f t="shared" si="2"/>
        <v>210000</v>
      </c>
      <c r="E44" s="7">
        <f t="shared" si="3"/>
        <v>42000</v>
      </c>
      <c r="F44" s="7">
        <f t="shared" si="4"/>
        <v>42</v>
      </c>
      <c r="G44" s="7">
        <f t="shared" si="5"/>
        <v>0.20193333333333335</v>
      </c>
      <c r="H44" s="7">
        <f>SUM($G$3:G44)</f>
        <v>1.8335666666666666</v>
      </c>
      <c r="I44" s="7">
        <v>1.3</v>
      </c>
      <c r="J44" s="7">
        <f t="shared" si="6"/>
        <v>4600</v>
      </c>
      <c r="L44" s="10"/>
      <c r="M44" s="7" t="str">
        <f t="shared" si="0"/>
        <v/>
      </c>
    </row>
    <row r="45" spans="2:17">
      <c r="B45" s="7">
        <v>43</v>
      </c>
      <c r="C45" s="7">
        <f t="shared" si="1"/>
        <v>17200</v>
      </c>
      <c r="D45" s="7">
        <f t="shared" si="2"/>
        <v>215000</v>
      </c>
      <c r="E45" s="7">
        <f t="shared" si="3"/>
        <v>43000</v>
      </c>
      <c r="F45" s="7">
        <f t="shared" si="4"/>
        <v>43</v>
      </c>
      <c r="G45" s="7">
        <f t="shared" si="5"/>
        <v>0.2111416666666667</v>
      </c>
      <c r="H45" s="7">
        <f>SUM($G$3:G45)</f>
        <v>2.0447083333333333</v>
      </c>
      <c r="I45" s="7">
        <v>1.3</v>
      </c>
      <c r="J45" s="7">
        <f t="shared" si="6"/>
        <v>4650</v>
      </c>
      <c r="K45" s="7">
        <f>ROUNDUP(H44,0)</f>
        <v>2</v>
      </c>
      <c r="L45" s="10"/>
      <c r="M45" s="7" t="str">
        <f t="shared" si="0"/>
        <v/>
      </c>
    </row>
    <row r="46" spans="2:17">
      <c r="B46" s="7">
        <v>44</v>
      </c>
      <c r="C46" s="7">
        <f t="shared" si="1"/>
        <v>17600</v>
      </c>
      <c r="D46" s="7">
        <f t="shared" si="2"/>
        <v>220000</v>
      </c>
      <c r="E46" s="7">
        <f t="shared" si="3"/>
        <v>44000</v>
      </c>
      <c r="F46" s="7">
        <f t="shared" si="4"/>
        <v>44</v>
      </c>
      <c r="G46" s="7">
        <f t="shared" si="5"/>
        <v>0.2545</v>
      </c>
      <c r="H46" s="7">
        <f>SUM($G$3:G46)</f>
        <v>2.2992083333333335</v>
      </c>
      <c r="I46" s="7">
        <v>1.5</v>
      </c>
      <c r="J46" s="7">
        <f t="shared" si="6"/>
        <v>4700</v>
      </c>
      <c r="L46" s="10">
        <v>2</v>
      </c>
      <c r="M46" s="7">
        <v>1</v>
      </c>
    </row>
    <row r="47" spans="2:17">
      <c r="B47" s="7">
        <v>45</v>
      </c>
      <c r="C47" s="7">
        <f t="shared" si="1"/>
        <v>18000</v>
      </c>
      <c r="D47" s="7">
        <f t="shared" si="2"/>
        <v>225000</v>
      </c>
      <c r="E47" s="7">
        <f t="shared" si="3"/>
        <v>45000</v>
      </c>
      <c r="F47" s="7">
        <f t="shared" si="4"/>
        <v>45</v>
      </c>
      <c r="G47" s="7">
        <f t="shared" si="5"/>
        <v>0.265625</v>
      </c>
      <c r="H47" s="7">
        <f>SUM($G$3:G47)</f>
        <v>2.5648333333333335</v>
      </c>
      <c r="I47" s="7">
        <v>1.5</v>
      </c>
      <c r="J47" s="7">
        <f t="shared" si="6"/>
        <v>4750</v>
      </c>
      <c r="L47" s="10"/>
    </row>
    <row r="48" spans="2:17">
      <c r="B48" s="7">
        <v>46</v>
      </c>
      <c r="C48" s="7">
        <f t="shared" si="1"/>
        <v>18400</v>
      </c>
      <c r="D48" s="7">
        <f t="shared" si="2"/>
        <v>230000</v>
      </c>
      <c r="E48" s="7">
        <f t="shared" si="3"/>
        <v>46000</v>
      </c>
      <c r="F48" s="7">
        <f t="shared" si="4"/>
        <v>46</v>
      </c>
      <c r="G48" s="7">
        <f t="shared" si="5"/>
        <v>0.27700000000000002</v>
      </c>
      <c r="H48" s="7">
        <f>SUM($G$3:G48)</f>
        <v>2.8418333333333337</v>
      </c>
      <c r="I48" s="7">
        <v>1.5</v>
      </c>
      <c r="J48" s="7">
        <f t="shared" si="6"/>
        <v>4800</v>
      </c>
      <c r="L48" s="10"/>
      <c r="M48" s="7" t="str">
        <f t="shared" ref="M48:M59" si="7">IF(L48="","",1)</f>
        <v/>
      </c>
    </row>
    <row r="49" spans="2:20">
      <c r="B49" s="7">
        <v>47</v>
      </c>
      <c r="C49" s="7">
        <f t="shared" si="1"/>
        <v>18800</v>
      </c>
      <c r="D49" s="7">
        <f t="shared" si="2"/>
        <v>235000</v>
      </c>
      <c r="E49" s="7">
        <f t="shared" si="3"/>
        <v>47000</v>
      </c>
      <c r="F49" s="7">
        <f t="shared" si="4"/>
        <v>47</v>
      </c>
      <c r="G49" s="7">
        <f t="shared" si="5"/>
        <v>0.28862500000000002</v>
      </c>
      <c r="H49" s="7">
        <f>SUM($G$3:G49)</f>
        <v>3.1304583333333338</v>
      </c>
      <c r="I49" s="7">
        <v>1.5</v>
      </c>
      <c r="J49" s="7">
        <f t="shared" si="6"/>
        <v>4850</v>
      </c>
      <c r="K49" s="7">
        <f>ROUNDUP(H48,0)</f>
        <v>3</v>
      </c>
      <c r="L49" s="10"/>
      <c r="M49" s="7" t="str">
        <f t="shared" si="7"/>
        <v/>
      </c>
    </row>
    <row r="50" spans="2:20">
      <c r="B50" s="7">
        <v>48</v>
      </c>
      <c r="C50" s="7">
        <f t="shared" si="1"/>
        <v>19200</v>
      </c>
      <c r="D50" s="7">
        <f t="shared" si="2"/>
        <v>240000</v>
      </c>
      <c r="E50" s="7">
        <f t="shared" si="3"/>
        <v>48000</v>
      </c>
      <c r="F50" s="7">
        <f t="shared" si="4"/>
        <v>48</v>
      </c>
      <c r="G50" s="7">
        <f t="shared" si="5"/>
        <v>0.30049999999999999</v>
      </c>
      <c r="H50" s="7">
        <f>SUM($G$3:G50)</f>
        <v>3.4309583333333338</v>
      </c>
      <c r="I50" s="7">
        <v>1.5</v>
      </c>
      <c r="J50" s="7">
        <f t="shared" si="6"/>
        <v>4900</v>
      </c>
      <c r="L50" s="10">
        <v>3</v>
      </c>
      <c r="M50" s="7">
        <f t="shared" si="7"/>
        <v>1</v>
      </c>
    </row>
    <row r="51" spans="2:20">
      <c r="B51" s="7">
        <v>49</v>
      </c>
      <c r="C51" s="7">
        <f t="shared" si="1"/>
        <v>19600</v>
      </c>
      <c r="D51" s="7">
        <f t="shared" si="2"/>
        <v>245000</v>
      </c>
      <c r="E51" s="7">
        <f t="shared" si="3"/>
        <v>49000</v>
      </c>
      <c r="F51" s="7">
        <f t="shared" si="4"/>
        <v>49</v>
      </c>
      <c r="G51" s="7">
        <f t="shared" si="5"/>
        <v>0.35430833333333339</v>
      </c>
      <c r="H51" s="7">
        <f>SUM($G$3:G51)</f>
        <v>3.7852666666666672</v>
      </c>
      <c r="I51" s="7">
        <v>1.7</v>
      </c>
      <c r="J51" s="7">
        <f t="shared" si="6"/>
        <v>4950</v>
      </c>
      <c r="L51" s="10"/>
      <c r="M51" s="7" t="str">
        <f t="shared" si="7"/>
        <v/>
      </c>
    </row>
    <row r="52" spans="2:20">
      <c r="B52" s="7">
        <v>50</v>
      </c>
      <c r="C52" s="7">
        <f t="shared" si="1"/>
        <v>20000</v>
      </c>
      <c r="D52" s="7">
        <f t="shared" si="2"/>
        <v>250000</v>
      </c>
      <c r="E52" s="7">
        <f t="shared" si="3"/>
        <v>50000</v>
      </c>
      <c r="F52" s="7">
        <f t="shared" si="4"/>
        <v>50</v>
      </c>
      <c r="G52" s="7">
        <f t="shared" si="5"/>
        <v>0.36833333333333335</v>
      </c>
      <c r="H52" s="7">
        <f>SUM($G$3:G52)</f>
        <v>4.1536000000000008</v>
      </c>
      <c r="I52" s="7">
        <v>1.7</v>
      </c>
      <c r="J52" s="7">
        <f t="shared" si="6"/>
        <v>5000</v>
      </c>
      <c r="K52" s="7">
        <f>ROUNDUP(H51,0)</f>
        <v>4</v>
      </c>
      <c r="L52" s="10"/>
      <c r="M52" s="7" t="str">
        <f t="shared" si="7"/>
        <v/>
      </c>
    </row>
    <row r="53" spans="2:20">
      <c r="B53" s="7">
        <v>51</v>
      </c>
      <c r="C53" s="7">
        <f t="shared" si="1"/>
        <v>20400</v>
      </c>
      <c r="D53" s="7">
        <f t="shared" si="2"/>
        <v>255000</v>
      </c>
      <c r="E53" s="7">
        <f t="shared" si="3"/>
        <v>51000</v>
      </c>
      <c r="F53" s="7">
        <f t="shared" si="4"/>
        <v>51</v>
      </c>
      <c r="G53" s="7">
        <f t="shared" si="5"/>
        <v>0.38264166666666677</v>
      </c>
      <c r="H53" s="7">
        <f>SUM($G$3:G53)</f>
        <v>4.5362416666666672</v>
      </c>
      <c r="I53" s="7">
        <v>1.7</v>
      </c>
      <c r="J53" s="7">
        <f t="shared" si="6"/>
        <v>5050</v>
      </c>
      <c r="L53" s="10">
        <v>4</v>
      </c>
      <c r="M53" s="7">
        <f t="shared" si="7"/>
        <v>1</v>
      </c>
    </row>
    <row r="54" spans="2:20">
      <c r="B54" s="7">
        <v>52</v>
      </c>
      <c r="C54" s="7">
        <f t="shared" si="1"/>
        <v>20800</v>
      </c>
      <c r="D54" s="7">
        <f t="shared" si="2"/>
        <v>260000</v>
      </c>
      <c r="E54" s="7">
        <f t="shared" si="3"/>
        <v>52000</v>
      </c>
      <c r="F54" s="7">
        <f t="shared" si="4"/>
        <v>52</v>
      </c>
      <c r="G54" s="7">
        <f t="shared" si="5"/>
        <v>0.39723333333333338</v>
      </c>
      <c r="H54" s="7">
        <f>SUM($G$3:G54)</f>
        <v>4.9334750000000005</v>
      </c>
      <c r="I54" s="7">
        <v>1.7</v>
      </c>
      <c r="J54" s="7">
        <f t="shared" si="6"/>
        <v>5100</v>
      </c>
      <c r="L54" s="10"/>
      <c r="M54" s="7" t="str">
        <f t="shared" si="7"/>
        <v/>
      </c>
    </row>
    <row r="55" spans="2:20">
      <c r="B55" s="7">
        <v>53</v>
      </c>
      <c r="C55" s="7">
        <f t="shared" si="1"/>
        <v>21200</v>
      </c>
      <c r="D55" s="7">
        <f t="shared" si="2"/>
        <v>265000</v>
      </c>
      <c r="E55" s="7">
        <f t="shared" si="3"/>
        <v>53000</v>
      </c>
      <c r="F55" s="7">
        <f t="shared" si="4"/>
        <v>53</v>
      </c>
      <c r="G55" s="7">
        <f t="shared" si="5"/>
        <v>0.41210833333333335</v>
      </c>
      <c r="H55" s="7">
        <f>SUM($G$3:G55)</f>
        <v>5.3455833333333338</v>
      </c>
      <c r="I55" s="7">
        <v>1.7</v>
      </c>
      <c r="J55" s="7">
        <f t="shared" si="6"/>
        <v>5150</v>
      </c>
      <c r="K55" s="7">
        <f>ROUNDUP(H54,0)</f>
        <v>5</v>
      </c>
      <c r="L55" s="10"/>
      <c r="M55" s="7" t="str">
        <f t="shared" si="7"/>
        <v/>
      </c>
    </row>
    <row r="56" spans="2:20">
      <c r="B56" s="7">
        <v>54</v>
      </c>
      <c r="C56" s="7">
        <f t="shared" si="1"/>
        <v>21600</v>
      </c>
      <c r="D56" s="7">
        <f t="shared" si="2"/>
        <v>270000</v>
      </c>
      <c r="E56" s="7">
        <f t="shared" si="3"/>
        <v>54000</v>
      </c>
      <c r="F56" s="7">
        <f t="shared" si="4"/>
        <v>54</v>
      </c>
      <c r="G56" s="7">
        <f t="shared" si="5"/>
        <v>0.50266666666666671</v>
      </c>
      <c r="H56" s="7">
        <f>SUM($G$3:G56)</f>
        <v>5.8482500000000002</v>
      </c>
      <c r="I56" s="7">
        <v>2</v>
      </c>
      <c r="J56" s="7">
        <f t="shared" si="6"/>
        <v>5200</v>
      </c>
      <c r="L56" s="10">
        <v>5</v>
      </c>
      <c r="M56" s="7">
        <f t="shared" si="7"/>
        <v>1</v>
      </c>
    </row>
    <row r="57" spans="2:20">
      <c r="B57" s="7">
        <v>55</v>
      </c>
      <c r="C57" s="7">
        <f t="shared" si="1"/>
        <v>22000</v>
      </c>
      <c r="D57" s="7">
        <f t="shared" si="2"/>
        <v>275000</v>
      </c>
      <c r="E57" s="7">
        <f t="shared" si="3"/>
        <v>55000</v>
      </c>
      <c r="F57" s="7">
        <f t="shared" si="4"/>
        <v>55</v>
      </c>
      <c r="G57" s="7">
        <f t="shared" si="5"/>
        <v>0.52083333333333337</v>
      </c>
      <c r="H57" s="7">
        <f>SUM($G$3:G57)</f>
        <v>6.3690833333333332</v>
      </c>
      <c r="I57" s="7">
        <v>2</v>
      </c>
      <c r="J57" s="7">
        <f t="shared" si="6"/>
        <v>5250</v>
      </c>
      <c r="K57" s="7">
        <f>ROUNDUP(H56,0)</f>
        <v>6</v>
      </c>
      <c r="M57" s="7" t="str">
        <f t="shared" si="7"/>
        <v/>
      </c>
    </row>
    <row r="58" spans="2:20">
      <c r="B58" s="7">
        <v>56</v>
      </c>
      <c r="C58" s="7">
        <f t="shared" si="1"/>
        <v>22400</v>
      </c>
      <c r="D58" s="7">
        <f t="shared" si="2"/>
        <v>280000</v>
      </c>
      <c r="E58" s="7">
        <f t="shared" si="3"/>
        <v>56000</v>
      </c>
      <c r="F58" s="7">
        <f t="shared" si="4"/>
        <v>56</v>
      </c>
      <c r="G58" s="7">
        <f t="shared" si="5"/>
        <v>0.80899999999999994</v>
      </c>
      <c r="H58" s="7">
        <f>SUM($G$3:G58)</f>
        <v>7.1780833333333334</v>
      </c>
      <c r="I58" s="7">
        <v>3</v>
      </c>
      <c r="J58" s="7">
        <f t="shared" si="6"/>
        <v>5300</v>
      </c>
      <c r="L58" s="10">
        <v>6</v>
      </c>
      <c r="M58" s="7">
        <f t="shared" si="7"/>
        <v>1</v>
      </c>
    </row>
    <row r="59" spans="2:20">
      <c r="B59" s="7">
        <v>57</v>
      </c>
      <c r="C59" s="7">
        <f t="shared" si="1"/>
        <v>22800</v>
      </c>
      <c r="D59" s="7">
        <f t="shared" si="2"/>
        <v>285000</v>
      </c>
      <c r="E59" s="7">
        <f t="shared" si="3"/>
        <v>57000</v>
      </c>
      <c r="F59" s="7">
        <f t="shared" si="4"/>
        <v>57</v>
      </c>
      <c r="G59" s="7">
        <f t="shared" si="5"/>
        <v>0.83725000000000005</v>
      </c>
      <c r="H59" s="7">
        <f>SUM($G$3:G59)</f>
        <v>8.0153333333333343</v>
      </c>
      <c r="I59" s="7">
        <v>3</v>
      </c>
      <c r="J59" s="7">
        <f t="shared" si="6"/>
        <v>5350</v>
      </c>
      <c r="L59" s="69"/>
      <c r="M59" s="7" t="str">
        <f t="shared" si="7"/>
        <v/>
      </c>
    </row>
    <row r="60" spans="2:20">
      <c r="B60" s="7">
        <v>58</v>
      </c>
      <c r="C60" s="7">
        <f t="shared" si="1"/>
        <v>23200</v>
      </c>
      <c r="D60" s="7">
        <f t="shared" si="2"/>
        <v>290000</v>
      </c>
      <c r="E60" s="7">
        <f t="shared" si="3"/>
        <v>58000</v>
      </c>
      <c r="F60" s="7">
        <f t="shared" si="4"/>
        <v>58</v>
      </c>
      <c r="G60" s="7">
        <f t="shared" si="5"/>
        <v>0.8660000000000001</v>
      </c>
      <c r="H60" s="7">
        <f>SUM($G$3:G60)</f>
        <v>8.881333333333334</v>
      </c>
      <c r="I60" s="7">
        <v>3</v>
      </c>
      <c r="J60" s="7">
        <f t="shared" si="6"/>
        <v>5400</v>
      </c>
      <c r="L60" s="69">
        <v>7</v>
      </c>
      <c r="M60" s="7">
        <f>IF(G60-INT(G60)&gt;=0.2,ROUNDUP(G60,0),ROUNDDOWN(G60,0))</f>
        <v>1</v>
      </c>
    </row>
    <row r="61" spans="2:20">
      <c r="B61" s="7">
        <v>59</v>
      </c>
      <c r="C61" s="7">
        <f t="shared" si="1"/>
        <v>23600</v>
      </c>
      <c r="D61" s="7">
        <f t="shared" si="2"/>
        <v>295000</v>
      </c>
      <c r="E61" s="7">
        <f t="shared" si="3"/>
        <v>59000</v>
      </c>
      <c r="F61" s="7">
        <f t="shared" si="4"/>
        <v>59</v>
      </c>
      <c r="G61" s="7">
        <f t="shared" si="5"/>
        <v>0.8952500000000001</v>
      </c>
      <c r="H61" s="7">
        <f>SUM($G$3:G61)</f>
        <v>9.7765833333333347</v>
      </c>
      <c r="I61" s="7">
        <v>3</v>
      </c>
      <c r="J61" s="7">
        <f t="shared" si="6"/>
        <v>5450</v>
      </c>
      <c r="L61" s="69">
        <f t="shared" ref="L61:L92" si="8">L60+M60</f>
        <v>8</v>
      </c>
      <c r="M61" s="7">
        <f t="shared" ref="M61:M124" si="9">IF(G61-INT(G61)&gt;=0.2,ROUNDUP(G61,0),ROUNDDOWN(G61,0))</f>
        <v>1</v>
      </c>
    </row>
    <row r="62" spans="2:20">
      <c r="B62" s="7">
        <v>60</v>
      </c>
      <c r="C62" s="7">
        <f t="shared" si="1"/>
        <v>24000</v>
      </c>
      <c r="D62" s="7">
        <f t="shared" si="2"/>
        <v>300000</v>
      </c>
      <c r="E62" s="7">
        <f t="shared" si="3"/>
        <v>60000</v>
      </c>
      <c r="F62" s="7">
        <f t="shared" si="4"/>
        <v>60</v>
      </c>
      <c r="G62" s="7">
        <f t="shared" si="5"/>
        <v>1.2333333333333334</v>
      </c>
      <c r="H62" s="7">
        <f>SUM($G$3:G62)</f>
        <v>11.009916666666669</v>
      </c>
      <c r="I62" s="7">
        <v>4</v>
      </c>
      <c r="J62" s="7">
        <f t="shared" si="6"/>
        <v>5500</v>
      </c>
      <c r="K62" s="7">
        <f>ROUNDUP(H61,0)</f>
        <v>10</v>
      </c>
      <c r="L62" s="69">
        <f t="shared" si="8"/>
        <v>9</v>
      </c>
      <c r="M62" s="7">
        <f t="shared" si="9"/>
        <v>2</v>
      </c>
    </row>
    <row r="63" spans="2:20">
      <c r="B63" s="7">
        <v>61</v>
      </c>
      <c r="C63" s="7">
        <f t="shared" si="1"/>
        <v>24400</v>
      </c>
      <c r="D63" s="7">
        <f t="shared" si="2"/>
        <v>305000</v>
      </c>
      <c r="E63" s="7">
        <f t="shared" si="3"/>
        <v>61000</v>
      </c>
      <c r="F63" s="7">
        <f t="shared" si="4"/>
        <v>61</v>
      </c>
      <c r="G63" s="7">
        <f t="shared" si="5"/>
        <v>1.5920833333333335</v>
      </c>
      <c r="H63" s="7">
        <f>SUM($G$3:G63)</f>
        <v>12.602000000000002</v>
      </c>
      <c r="I63" s="7">
        <v>5</v>
      </c>
      <c r="J63" s="7">
        <f t="shared" si="6"/>
        <v>5550</v>
      </c>
      <c r="L63" s="69">
        <f t="shared" si="8"/>
        <v>11</v>
      </c>
      <c r="M63" s="7">
        <f t="shared" si="9"/>
        <v>2</v>
      </c>
      <c r="S63" s="7"/>
      <c r="T63" s="7"/>
    </row>
    <row r="64" spans="2:20">
      <c r="B64" s="7">
        <v>62</v>
      </c>
      <c r="C64" s="7">
        <f t="shared" si="1"/>
        <v>24800</v>
      </c>
      <c r="D64" s="7">
        <f t="shared" si="2"/>
        <v>310000</v>
      </c>
      <c r="E64" s="7">
        <f t="shared" si="3"/>
        <v>62000</v>
      </c>
      <c r="F64" s="7">
        <f t="shared" si="4"/>
        <v>62</v>
      </c>
      <c r="G64" s="7">
        <f t="shared" si="5"/>
        <v>1.972</v>
      </c>
      <c r="H64" s="7">
        <f>SUM($G$3:G64)</f>
        <v>14.574000000000002</v>
      </c>
      <c r="I64" s="7">
        <v>6</v>
      </c>
      <c r="J64" s="7">
        <f t="shared" si="6"/>
        <v>5600</v>
      </c>
      <c r="L64" s="69">
        <f t="shared" si="8"/>
        <v>13</v>
      </c>
      <c r="M64" s="7">
        <f t="shared" si="9"/>
        <v>2</v>
      </c>
    </row>
    <row r="65" spans="2:18">
      <c r="B65" s="7">
        <v>63</v>
      </c>
      <c r="C65" s="7">
        <f t="shared" si="1"/>
        <v>25200</v>
      </c>
      <c r="D65" s="7">
        <f t="shared" si="2"/>
        <v>315000</v>
      </c>
      <c r="E65" s="7">
        <f t="shared" si="3"/>
        <v>63000</v>
      </c>
      <c r="F65" s="7">
        <f t="shared" si="4"/>
        <v>63</v>
      </c>
      <c r="G65" s="7">
        <f t="shared" si="5"/>
        <v>2.3735833333333334</v>
      </c>
      <c r="H65" s="7">
        <f>SUM($G$3:G65)</f>
        <v>16.947583333333334</v>
      </c>
      <c r="I65" s="7">
        <v>7</v>
      </c>
      <c r="J65" s="7">
        <f t="shared" si="6"/>
        <v>5650</v>
      </c>
      <c r="L65" s="69">
        <f t="shared" si="8"/>
        <v>15</v>
      </c>
      <c r="M65" s="7">
        <f t="shared" si="9"/>
        <v>3</v>
      </c>
    </row>
    <row r="66" spans="2:18">
      <c r="B66" s="7">
        <v>64</v>
      </c>
      <c r="C66" s="7">
        <f t="shared" si="1"/>
        <v>25600</v>
      </c>
      <c r="D66" s="7">
        <f t="shared" si="2"/>
        <v>320000</v>
      </c>
      <c r="E66" s="7">
        <f t="shared" si="3"/>
        <v>64000</v>
      </c>
      <c r="F66" s="7">
        <f t="shared" si="4"/>
        <v>64</v>
      </c>
      <c r="G66" s="7">
        <f t="shared" si="5"/>
        <v>2.7973333333333339</v>
      </c>
      <c r="H66" s="7">
        <f>SUM($G$3:G66)</f>
        <v>19.744916666666668</v>
      </c>
      <c r="I66" s="7">
        <v>8</v>
      </c>
      <c r="J66" s="7">
        <f t="shared" si="6"/>
        <v>5700</v>
      </c>
      <c r="L66" s="69">
        <f t="shared" si="8"/>
        <v>18</v>
      </c>
      <c r="M66" s="7">
        <f t="shared" si="9"/>
        <v>3</v>
      </c>
    </row>
    <row r="67" spans="2:18">
      <c r="B67" s="7">
        <v>65</v>
      </c>
      <c r="C67" s="7">
        <f t="shared" si="1"/>
        <v>26000</v>
      </c>
      <c r="D67" s="7">
        <f t="shared" si="2"/>
        <v>325000</v>
      </c>
      <c r="E67" s="7">
        <f t="shared" si="3"/>
        <v>65000</v>
      </c>
      <c r="F67" s="7">
        <f t="shared" si="4"/>
        <v>65</v>
      </c>
      <c r="G67" s="7">
        <f t="shared" si="5"/>
        <v>3.2437499999999999</v>
      </c>
      <c r="H67" s="7">
        <f>SUM($G$3:G67)</f>
        <v>22.988666666666667</v>
      </c>
      <c r="I67" s="7">
        <v>9</v>
      </c>
      <c r="J67" s="7">
        <f t="shared" si="6"/>
        <v>5750</v>
      </c>
      <c r="K67" s="7">
        <f>ROUNDUP(H66,0)</f>
        <v>20</v>
      </c>
      <c r="L67" s="69">
        <f t="shared" si="8"/>
        <v>21</v>
      </c>
      <c r="M67" s="7">
        <f t="shared" si="9"/>
        <v>4</v>
      </c>
    </row>
    <row r="68" spans="2:18">
      <c r="B68" s="7">
        <v>66</v>
      </c>
      <c r="C68" s="7">
        <f t="shared" ref="C68:C131" si="10">400*B68</f>
        <v>26400</v>
      </c>
      <c r="D68" s="7">
        <f t="shared" ref="D68:D131" si="11">5000*B68</f>
        <v>330000</v>
      </c>
      <c r="E68" s="7">
        <f t="shared" ref="E68:E131" si="12">1000*B68</f>
        <v>66000</v>
      </c>
      <c r="F68" s="7">
        <f t="shared" ref="F68:F131" si="13">1*B68</f>
        <v>66</v>
      </c>
      <c r="G68" s="7">
        <f t="shared" ref="G68:G131" si="14">0.2*(1+0.01*B68^2)/24*I68</f>
        <v>4.0846666666666671</v>
      </c>
      <c r="H68" s="7">
        <f>SUM($G$3:G68)</f>
        <v>27.073333333333334</v>
      </c>
      <c r="I68" s="7">
        <v>11</v>
      </c>
      <c r="J68" s="7">
        <f t="shared" ref="J68:J131" si="15">2500+50*B68</f>
        <v>5800</v>
      </c>
      <c r="L68" s="69">
        <f t="shared" si="8"/>
        <v>25</v>
      </c>
      <c r="M68" s="7">
        <f t="shared" si="9"/>
        <v>4</v>
      </c>
    </row>
    <row r="69" spans="2:18">
      <c r="B69" s="7">
        <v>67</v>
      </c>
      <c r="C69" s="7">
        <f t="shared" si="10"/>
        <v>26800</v>
      </c>
      <c r="D69" s="7">
        <f t="shared" si="11"/>
        <v>335000</v>
      </c>
      <c r="E69" s="7">
        <f t="shared" si="12"/>
        <v>67000</v>
      </c>
      <c r="F69" s="7">
        <f t="shared" si="13"/>
        <v>67</v>
      </c>
      <c r="G69" s="7">
        <f t="shared" si="14"/>
        <v>4.9714166666666673</v>
      </c>
      <c r="H69" s="7">
        <f>SUM($G$3:G69)</f>
        <v>32.044750000000001</v>
      </c>
      <c r="I69" s="7">
        <v>13</v>
      </c>
      <c r="J69" s="7">
        <f t="shared" si="15"/>
        <v>5850</v>
      </c>
      <c r="L69" s="69">
        <f t="shared" si="8"/>
        <v>29</v>
      </c>
      <c r="M69" s="7">
        <f t="shared" si="9"/>
        <v>5</v>
      </c>
    </row>
    <row r="70" spans="2:18">
      <c r="B70" s="7">
        <v>68</v>
      </c>
      <c r="C70" s="7">
        <f t="shared" si="10"/>
        <v>27200</v>
      </c>
      <c r="D70" s="7">
        <f t="shared" si="11"/>
        <v>340000</v>
      </c>
      <c r="E70" s="7">
        <f t="shared" si="12"/>
        <v>68000</v>
      </c>
      <c r="F70" s="7">
        <f t="shared" si="13"/>
        <v>68</v>
      </c>
      <c r="G70" s="7">
        <f t="shared" si="14"/>
        <v>5.9050000000000002</v>
      </c>
      <c r="H70" s="7">
        <f>SUM($G$3:G70)</f>
        <v>37.949750000000002</v>
      </c>
      <c r="I70" s="7">
        <v>15</v>
      </c>
      <c r="J70" s="7">
        <f t="shared" si="15"/>
        <v>5900</v>
      </c>
      <c r="L70" s="69">
        <f t="shared" si="8"/>
        <v>34</v>
      </c>
      <c r="M70" s="7">
        <f t="shared" si="9"/>
        <v>6</v>
      </c>
    </row>
    <row r="71" spans="2:18">
      <c r="B71" s="7">
        <v>69</v>
      </c>
      <c r="C71" s="7">
        <f t="shared" si="10"/>
        <v>27600</v>
      </c>
      <c r="D71" s="7">
        <f t="shared" si="11"/>
        <v>345000</v>
      </c>
      <c r="E71" s="7">
        <f t="shared" si="12"/>
        <v>69000</v>
      </c>
      <c r="F71" s="7">
        <f t="shared" si="13"/>
        <v>69</v>
      </c>
      <c r="G71" s="7">
        <f t="shared" si="14"/>
        <v>6.8864166666666682</v>
      </c>
      <c r="H71" s="7">
        <f>SUM($G$3:G71)</f>
        <v>44.836166666666671</v>
      </c>
      <c r="I71" s="7">
        <v>17</v>
      </c>
      <c r="J71" s="7">
        <f t="shared" si="15"/>
        <v>5950</v>
      </c>
      <c r="L71" s="69">
        <f t="shared" si="8"/>
        <v>40</v>
      </c>
      <c r="M71" s="7">
        <f t="shared" si="9"/>
        <v>7</v>
      </c>
    </row>
    <row r="72" spans="2:18">
      <c r="B72" s="7">
        <v>70</v>
      </c>
      <c r="C72" s="7">
        <f t="shared" si="10"/>
        <v>28000</v>
      </c>
      <c r="D72" s="7">
        <f t="shared" si="11"/>
        <v>350000</v>
      </c>
      <c r="E72" s="7">
        <f t="shared" si="12"/>
        <v>70000</v>
      </c>
      <c r="F72" s="7">
        <f t="shared" si="13"/>
        <v>70</v>
      </c>
      <c r="G72" s="7">
        <f t="shared" si="14"/>
        <v>7.0833333333333339</v>
      </c>
      <c r="H72" s="7">
        <f>SUM($G$3:G72)</f>
        <v>51.919500000000006</v>
      </c>
      <c r="I72" s="7">
        <v>17</v>
      </c>
      <c r="J72" s="7">
        <f t="shared" si="15"/>
        <v>6000</v>
      </c>
      <c r="K72">
        <f>ROUNDUP(H71,0)</f>
        <v>45</v>
      </c>
      <c r="L72" s="69">
        <f t="shared" si="8"/>
        <v>47</v>
      </c>
      <c r="M72" s="7">
        <f t="shared" si="9"/>
        <v>7</v>
      </c>
    </row>
    <row r="73" spans="2:18">
      <c r="B73" s="7">
        <v>71</v>
      </c>
      <c r="C73" s="7">
        <f t="shared" si="10"/>
        <v>28400</v>
      </c>
      <c r="D73" s="7">
        <f t="shared" si="11"/>
        <v>355000</v>
      </c>
      <c r="E73" s="7">
        <f t="shared" si="12"/>
        <v>71000</v>
      </c>
      <c r="F73" s="7">
        <f t="shared" si="13"/>
        <v>71</v>
      </c>
      <c r="G73" s="7">
        <f t="shared" si="14"/>
        <v>7.2830833333333347</v>
      </c>
      <c r="H73" s="7">
        <f>SUM($G$3:G73)</f>
        <v>59.202583333333344</v>
      </c>
      <c r="I73" s="7">
        <v>17</v>
      </c>
      <c r="J73" s="7">
        <f t="shared" si="15"/>
        <v>6050</v>
      </c>
      <c r="L73" s="69">
        <f t="shared" si="8"/>
        <v>54</v>
      </c>
      <c r="M73" s="7">
        <f t="shared" si="9"/>
        <v>8</v>
      </c>
    </row>
    <row r="74" spans="2:18">
      <c r="B74" s="7">
        <v>72</v>
      </c>
      <c r="C74" s="7">
        <f t="shared" si="10"/>
        <v>28800</v>
      </c>
      <c r="D74" s="7">
        <f t="shared" si="11"/>
        <v>360000</v>
      </c>
      <c r="E74" s="7">
        <f t="shared" si="12"/>
        <v>72000</v>
      </c>
      <c r="F74" s="7">
        <f t="shared" si="13"/>
        <v>72</v>
      </c>
      <c r="G74" s="7">
        <f t="shared" si="14"/>
        <v>7.4856666666666678</v>
      </c>
      <c r="H74" s="7">
        <f>SUM($G$3:G74)</f>
        <v>66.688250000000011</v>
      </c>
      <c r="I74" s="7">
        <v>17</v>
      </c>
      <c r="J74" s="7">
        <f t="shared" si="15"/>
        <v>6100</v>
      </c>
      <c r="L74" s="69">
        <f t="shared" si="8"/>
        <v>62</v>
      </c>
      <c r="M74" s="7">
        <f t="shared" si="9"/>
        <v>8</v>
      </c>
    </row>
    <row r="75" spans="2:18">
      <c r="B75" s="7">
        <v>73</v>
      </c>
      <c r="C75" s="7">
        <f t="shared" si="10"/>
        <v>29200</v>
      </c>
      <c r="D75" s="7">
        <f t="shared" si="11"/>
        <v>365000</v>
      </c>
      <c r="E75" s="7">
        <f t="shared" si="12"/>
        <v>73000</v>
      </c>
      <c r="F75" s="7">
        <f t="shared" si="13"/>
        <v>73</v>
      </c>
      <c r="G75" s="7">
        <f t="shared" si="14"/>
        <v>7.6910833333333333</v>
      </c>
      <c r="H75" s="7">
        <f>SUM($G$3:G75)</f>
        <v>74.379333333333349</v>
      </c>
      <c r="I75" s="7">
        <v>17</v>
      </c>
      <c r="J75" s="7">
        <f t="shared" si="15"/>
        <v>6150</v>
      </c>
      <c r="L75" s="69">
        <f t="shared" si="8"/>
        <v>70</v>
      </c>
      <c r="M75" s="7">
        <f t="shared" si="9"/>
        <v>8</v>
      </c>
    </row>
    <row r="76" spans="2:18">
      <c r="B76" s="7">
        <v>74</v>
      </c>
      <c r="C76" s="7">
        <f t="shared" si="10"/>
        <v>29600</v>
      </c>
      <c r="D76" s="7">
        <f t="shared" si="11"/>
        <v>370000</v>
      </c>
      <c r="E76" s="7">
        <f t="shared" si="12"/>
        <v>74000</v>
      </c>
      <c r="F76" s="7">
        <f t="shared" si="13"/>
        <v>74</v>
      </c>
      <c r="G76" s="7">
        <f t="shared" si="14"/>
        <v>7.8993333333333347</v>
      </c>
      <c r="H76" s="7">
        <f>SUM($G$3:G76)</f>
        <v>82.27866666666668</v>
      </c>
      <c r="I76" s="7">
        <v>17</v>
      </c>
      <c r="J76" s="7">
        <f t="shared" si="15"/>
        <v>6200</v>
      </c>
      <c r="L76" s="69">
        <f t="shared" si="8"/>
        <v>78</v>
      </c>
      <c r="M76" s="7">
        <f t="shared" si="9"/>
        <v>8</v>
      </c>
    </row>
    <row r="77" spans="2:18">
      <c r="B77" s="7">
        <v>75</v>
      </c>
      <c r="C77" s="7">
        <f t="shared" si="10"/>
        <v>30000</v>
      </c>
      <c r="D77" s="7">
        <f t="shared" si="11"/>
        <v>375000</v>
      </c>
      <c r="E77" s="7">
        <f t="shared" si="12"/>
        <v>75000</v>
      </c>
      <c r="F77" s="7">
        <f t="shared" si="13"/>
        <v>75</v>
      </c>
      <c r="G77" s="7">
        <f t="shared" si="14"/>
        <v>8.1104166666666675</v>
      </c>
      <c r="H77" s="7">
        <f>SUM($G$3:G77)</f>
        <v>90.389083333333346</v>
      </c>
      <c r="I77" s="7">
        <v>17</v>
      </c>
      <c r="J77" s="7">
        <f t="shared" si="15"/>
        <v>6250</v>
      </c>
      <c r="K77" s="7">
        <f>ROUNDUP(H76,0)</f>
        <v>83</v>
      </c>
      <c r="L77" s="69">
        <f t="shared" si="8"/>
        <v>86</v>
      </c>
      <c r="M77" s="7">
        <f t="shared" si="9"/>
        <v>8</v>
      </c>
    </row>
    <row r="78" spans="2:18">
      <c r="B78" s="7">
        <v>76</v>
      </c>
      <c r="C78" s="7">
        <f t="shared" si="10"/>
        <v>30400</v>
      </c>
      <c r="D78" s="7">
        <f t="shared" si="11"/>
        <v>380000</v>
      </c>
      <c r="E78" s="7">
        <f t="shared" si="12"/>
        <v>76000</v>
      </c>
      <c r="F78" s="7">
        <f t="shared" si="13"/>
        <v>76</v>
      </c>
      <c r="G78" s="7">
        <f t="shared" si="14"/>
        <v>8.3243333333333336</v>
      </c>
      <c r="H78" s="7">
        <f>SUM($G$3:G78)</f>
        <v>98.713416666666674</v>
      </c>
      <c r="I78" s="7">
        <v>17</v>
      </c>
      <c r="J78" s="7">
        <f t="shared" si="15"/>
        <v>6300</v>
      </c>
      <c r="L78" s="69">
        <f t="shared" si="8"/>
        <v>94</v>
      </c>
      <c r="M78" s="7">
        <f t="shared" si="9"/>
        <v>9</v>
      </c>
    </row>
    <row r="79" spans="2:18">
      <c r="B79" s="7">
        <v>77</v>
      </c>
      <c r="C79" s="7">
        <f t="shared" si="10"/>
        <v>30800</v>
      </c>
      <c r="D79" s="7">
        <f t="shared" si="11"/>
        <v>385000</v>
      </c>
      <c r="E79" s="7">
        <f t="shared" si="12"/>
        <v>77000</v>
      </c>
      <c r="F79" s="7">
        <f t="shared" si="13"/>
        <v>77</v>
      </c>
      <c r="G79" s="7">
        <f t="shared" si="14"/>
        <v>8.5410833333333329</v>
      </c>
      <c r="H79" s="7">
        <f>SUM($G$3:G79)</f>
        <v>107.25450000000001</v>
      </c>
      <c r="I79" s="7">
        <v>17</v>
      </c>
      <c r="J79" s="7">
        <f t="shared" si="15"/>
        <v>6350</v>
      </c>
      <c r="L79" s="69">
        <f t="shared" si="8"/>
        <v>103</v>
      </c>
      <c r="M79" s="7">
        <f t="shared" si="9"/>
        <v>9</v>
      </c>
    </row>
    <row r="80" spans="2:18">
      <c r="B80" s="7">
        <v>78</v>
      </c>
      <c r="C80" s="7">
        <f t="shared" si="10"/>
        <v>31200</v>
      </c>
      <c r="D80" s="7">
        <f t="shared" si="11"/>
        <v>390000</v>
      </c>
      <c r="E80" s="7">
        <f t="shared" si="12"/>
        <v>78000</v>
      </c>
      <c r="F80" s="7">
        <f t="shared" si="13"/>
        <v>78</v>
      </c>
      <c r="G80" s="7">
        <f t="shared" si="14"/>
        <v>8.760666666666669</v>
      </c>
      <c r="H80" s="7">
        <f>SUM($G$3:G80)</f>
        <v>116.01516666666667</v>
      </c>
      <c r="I80" s="7">
        <v>17</v>
      </c>
      <c r="J80" s="7">
        <f t="shared" si="15"/>
        <v>6400</v>
      </c>
      <c r="L80" s="69">
        <f t="shared" si="8"/>
        <v>112</v>
      </c>
      <c r="M80" s="7">
        <f t="shared" si="9"/>
        <v>9</v>
      </c>
      <c r="R80" s="7"/>
    </row>
    <row r="81" spans="2:18">
      <c r="B81" s="7">
        <v>79</v>
      </c>
      <c r="C81" s="7">
        <f t="shared" si="10"/>
        <v>31600</v>
      </c>
      <c r="D81" s="7">
        <f t="shared" si="11"/>
        <v>395000</v>
      </c>
      <c r="E81" s="7">
        <f t="shared" si="12"/>
        <v>79000</v>
      </c>
      <c r="F81" s="7">
        <f t="shared" si="13"/>
        <v>79</v>
      </c>
      <c r="G81" s="7">
        <f t="shared" si="14"/>
        <v>8.9830833333333349</v>
      </c>
      <c r="H81" s="7">
        <f>SUM($G$3:G81)</f>
        <v>124.99825000000001</v>
      </c>
      <c r="I81" s="7">
        <v>17</v>
      </c>
      <c r="J81" s="7">
        <f t="shared" si="15"/>
        <v>6450</v>
      </c>
      <c r="L81" s="69">
        <f t="shared" si="8"/>
        <v>121</v>
      </c>
      <c r="M81" s="7">
        <f t="shared" si="9"/>
        <v>9</v>
      </c>
      <c r="R81" s="7"/>
    </row>
    <row r="82" spans="2:18">
      <c r="B82" s="7">
        <v>80</v>
      </c>
      <c r="C82" s="7">
        <f t="shared" si="10"/>
        <v>32000</v>
      </c>
      <c r="D82" s="7">
        <f t="shared" si="11"/>
        <v>400000</v>
      </c>
      <c r="E82" s="7">
        <f t="shared" si="12"/>
        <v>80000</v>
      </c>
      <c r="F82" s="7">
        <f t="shared" si="13"/>
        <v>80</v>
      </c>
      <c r="G82" s="7">
        <f t="shared" si="14"/>
        <v>9.2083333333333321</v>
      </c>
      <c r="H82" s="7">
        <f>SUM($G$3:G82)</f>
        <v>134.20658333333336</v>
      </c>
      <c r="I82" s="7">
        <v>17</v>
      </c>
      <c r="J82" s="7">
        <f t="shared" si="15"/>
        <v>6500</v>
      </c>
      <c r="K82" s="7">
        <f>ROUNDUP(H81,0)</f>
        <v>125</v>
      </c>
      <c r="L82" s="69">
        <f t="shared" si="8"/>
        <v>130</v>
      </c>
      <c r="M82" s="7">
        <f t="shared" si="9"/>
        <v>10</v>
      </c>
      <c r="R82" s="7"/>
    </row>
    <row r="83" spans="2:18">
      <c r="B83" s="7">
        <v>81</v>
      </c>
      <c r="C83" s="7">
        <f t="shared" si="10"/>
        <v>32400</v>
      </c>
      <c r="D83" s="7">
        <f t="shared" si="11"/>
        <v>405000</v>
      </c>
      <c r="E83" s="7">
        <f t="shared" si="12"/>
        <v>81000</v>
      </c>
      <c r="F83" s="7">
        <f t="shared" si="13"/>
        <v>81</v>
      </c>
      <c r="G83" s="7">
        <f t="shared" si="14"/>
        <v>9.436416666666668</v>
      </c>
      <c r="H83" s="7">
        <f>SUM($G$3:G83)</f>
        <v>143.64300000000003</v>
      </c>
      <c r="I83" s="7">
        <v>17</v>
      </c>
      <c r="J83" s="7">
        <f t="shared" si="15"/>
        <v>6550</v>
      </c>
      <c r="L83" s="69">
        <f t="shared" si="8"/>
        <v>140</v>
      </c>
      <c r="M83" s="7">
        <f t="shared" si="9"/>
        <v>10</v>
      </c>
      <c r="R83" s="7"/>
    </row>
    <row r="84" spans="2:18">
      <c r="B84" s="7">
        <v>82</v>
      </c>
      <c r="C84" s="7">
        <f t="shared" si="10"/>
        <v>32800</v>
      </c>
      <c r="D84" s="7">
        <f t="shared" si="11"/>
        <v>410000</v>
      </c>
      <c r="E84" s="7">
        <f t="shared" si="12"/>
        <v>82000</v>
      </c>
      <c r="F84" s="7">
        <f t="shared" si="13"/>
        <v>82</v>
      </c>
      <c r="G84" s="7">
        <f t="shared" si="14"/>
        <v>9.6673333333333336</v>
      </c>
      <c r="H84" s="7">
        <f>SUM($G$3:G84)</f>
        <v>153.31033333333338</v>
      </c>
      <c r="I84" s="7">
        <v>17</v>
      </c>
      <c r="J84" s="7">
        <f t="shared" si="15"/>
        <v>6600</v>
      </c>
      <c r="L84" s="69">
        <f t="shared" si="8"/>
        <v>150</v>
      </c>
      <c r="M84" s="7">
        <f t="shared" si="9"/>
        <v>10</v>
      </c>
      <c r="R84" s="7"/>
    </row>
    <row r="85" spans="2:18">
      <c r="B85" s="7">
        <v>83</v>
      </c>
      <c r="C85" s="7">
        <f t="shared" si="10"/>
        <v>33200</v>
      </c>
      <c r="D85" s="7">
        <f t="shared" si="11"/>
        <v>415000</v>
      </c>
      <c r="E85" s="7">
        <f t="shared" si="12"/>
        <v>83000</v>
      </c>
      <c r="F85" s="7">
        <f t="shared" si="13"/>
        <v>83</v>
      </c>
      <c r="G85" s="7">
        <f t="shared" si="14"/>
        <v>9.9010833333333341</v>
      </c>
      <c r="H85" s="7">
        <f>SUM($G$3:G85)</f>
        <v>163.21141666666671</v>
      </c>
      <c r="I85" s="7">
        <v>17</v>
      </c>
      <c r="J85" s="7">
        <f t="shared" si="15"/>
        <v>6650</v>
      </c>
      <c r="L85" s="69">
        <f t="shared" si="8"/>
        <v>160</v>
      </c>
      <c r="M85" s="7">
        <f t="shared" si="9"/>
        <v>10</v>
      </c>
      <c r="R85" s="7"/>
    </row>
    <row r="86" spans="2:18">
      <c r="B86" s="7">
        <v>84</v>
      </c>
      <c r="C86" s="7">
        <f t="shared" si="10"/>
        <v>33600</v>
      </c>
      <c r="D86" s="7">
        <f t="shared" si="11"/>
        <v>420000</v>
      </c>
      <c r="E86" s="7">
        <f t="shared" si="12"/>
        <v>84000</v>
      </c>
      <c r="F86" s="7">
        <f t="shared" si="13"/>
        <v>84</v>
      </c>
      <c r="G86" s="7">
        <f t="shared" si="14"/>
        <v>10.137666666666668</v>
      </c>
      <c r="H86" s="7">
        <f>SUM($G$3:G86)</f>
        <v>173.34908333333337</v>
      </c>
      <c r="I86" s="7">
        <v>17</v>
      </c>
      <c r="J86" s="7">
        <f t="shared" si="15"/>
        <v>6700</v>
      </c>
      <c r="L86" s="69">
        <f t="shared" si="8"/>
        <v>170</v>
      </c>
      <c r="M86" s="7">
        <f t="shared" si="9"/>
        <v>10</v>
      </c>
      <c r="R86" s="7"/>
    </row>
    <row r="87" spans="2:18">
      <c r="B87" s="7">
        <v>85</v>
      </c>
      <c r="C87" s="7">
        <f t="shared" si="10"/>
        <v>34000</v>
      </c>
      <c r="D87" s="7">
        <f t="shared" si="11"/>
        <v>425000</v>
      </c>
      <c r="E87" s="7">
        <f t="shared" si="12"/>
        <v>85000</v>
      </c>
      <c r="F87" s="7">
        <f t="shared" si="13"/>
        <v>85</v>
      </c>
      <c r="G87" s="7">
        <f t="shared" si="14"/>
        <v>10.377083333333335</v>
      </c>
      <c r="H87" s="7">
        <f>SUM($G$3:G87)</f>
        <v>183.7261666666667</v>
      </c>
      <c r="I87" s="7">
        <v>17</v>
      </c>
      <c r="J87" s="7">
        <f t="shared" si="15"/>
        <v>6750</v>
      </c>
      <c r="L87" s="69">
        <f t="shared" si="8"/>
        <v>180</v>
      </c>
      <c r="M87" s="7">
        <f t="shared" si="9"/>
        <v>11</v>
      </c>
      <c r="R87" s="7"/>
    </row>
    <row r="88" spans="2:18">
      <c r="B88" s="7">
        <v>86</v>
      </c>
      <c r="C88" s="7">
        <f t="shared" si="10"/>
        <v>34400</v>
      </c>
      <c r="D88" s="7">
        <f t="shared" si="11"/>
        <v>430000</v>
      </c>
      <c r="E88" s="7">
        <f t="shared" si="12"/>
        <v>86000</v>
      </c>
      <c r="F88" s="7">
        <f t="shared" si="13"/>
        <v>86</v>
      </c>
      <c r="G88" s="7">
        <f t="shared" si="14"/>
        <v>10.619333333333335</v>
      </c>
      <c r="H88" s="7">
        <f>SUM($G$3:G88)</f>
        <v>194.34550000000004</v>
      </c>
      <c r="I88" s="7">
        <v>17</v>
      </c>
      <c r="J88" s="7">
        <f t="shared" si="15"/>
        <v>6800</v>
      </c>
      <c r="L88" s="69">
        <f t="shared" si="8"/>
        <v>191</v>
      </c>
      <c r="M88" s="7">
        <f t="shared" si="9"/>
        <v>11</v>
      </c>
      <c r="R88" s="7"/>
    </row>
    <row r="89" spans="2:18">
      <c r="B89" s="7">
        <v>87</v>
      </c>
      <c r="C89" s="7">
        <f t="shared" si="10"/>
        <v>34800</v>
      </c>
      <c r="D89" s="7">
        <f t="shared" si="11"/>
        <v>435000</v>
      </c>
      <c r="E89" s="7">
        <f t="shared" si="12"/>
        <v>87000</v>
      </c>
      <c r="F89" s="7">
        <f t="shared" si="13"/>
        <v>87</v>
      </c>
      <c r="G89" s="7">
        <f t="shared" si="14"/>
        <v>10.864416666666667</v>
      </c>
      <c r="H89" s="7">
        <f>SUM($G$3:G89)</f>
        <v>205.20991666666671</v>
      </c>
      <c r="I89" s="7">
        <v>17</v>
      </c>
      <c r="J89" s="7">
        <f t="shared" si="15"/>
        <v>6850</v>
      </c>
      <c r="L89" s="69">
        <f t="shared" si="8"/>
        <v>202</v>
      </c>
      <c r="M89" s="7">
        <f t="shared" si="9"/>
        <v>11</v>
      </c>
      <c r="R89" s="7"/>
    </row>
    <row r="90" spans="2:18">
      <c r="B90" s="7">
        <v>88</v>
      </c>
      <c r="C90" s="7">
        <f t="shared" si="10"/>
        <v>35200</v>
      </c>
      <c r="D90" s="7">
        <f t="shared" si="11"/>
        <v>440000</v>
      </c>
      <c r="E90" s="7">
        <f t="shared" si="12"/>
        <v>88000</v>
      </c>
      <c r="F90" s="7">
        <f t="shared" si="13"/>
        <v>88</v>
      </c>
      <c r="G90" s="7">
        <f t="shared" si="14"/>
        <v>11.112333333333334</v>
      </c>
      <c r="H90" s="7">
        <f>SUM($G$3:G90)</f>
        <v>216.32225000000005</v>
      </c>
      <c r="I90" s="7">
        <v>17</v>
      </c>
      <c r="J90" s="7">
        <f t="shared" si="15"/>
        <v>6900</v>
      </c>
      <c r="L90" s="69">
        <f t="shared" si="8"/>
        <v>213</v>
      </c>
      <c r="M90" s="7">
        <f t="shared" si="9"/>
        <v>11</v>
      </c>
      <c r="R90" s="7"/>
    </row>
    <row r="91" spans="2:18">
      <c r="B91" s="7">
        <v>89</v>
      </c>
      <c r="C91" s="7">
        <f t="shared" si="10"/>
        <v>35600</v>
      </c>
      <c r="D91" s="7">
        <f t="shared" si="11"/>
        <v>445000</v>
      </c>
      <c r="E91" s="7">
        <f t="shared" si="12"/>
        <v>89000</v>
      </c>
      <c r="F91" s="7">
        <f t="shared" si="13"/>
        <v>89</v>
      </c>
      <c r="G91" s="7">
        <f t="shared" si="14"/>
        <v>11.363083333333336</v>
      </c>
      <c r="H91" s="7">
        <f>SUM($G$3:G91)</f>
        <v>227.6853333333334</v>
      </c>
      <c r="I91" s="7">
        <v>17</v>
      </c>
      <c r="J91" s="7">
        <f t="shared" si="15"/>
        <v>6950</v>
      </c>
      <c r="L91" s="69">
        <f t="shared" si="8"/>
        <v>224</v>
      </c>
      <c r="M91" s="7">
        <f t="shared" si="9"/>
        <v>12</v>
      </c>
      <c r="R91" s="7"/>
    </row>
    <row r="92" spans="2:18">
      <c r="B92" s="7">
        <v>90</v>
      </c>
      <c r="C92" s="7">
        <f t="shared" si="10"/>
        <v>36000</v>
      </c>
      <c r="D92" s="7">
        <f t="shared" si="11"/>
        <v>450000</v>
      </c>
      <c r="E92" s="7">
        <f t="shared" si="12"/>
        <v>90000</v>
      </c>
      <c r="F92" s="7">
        <f t="shared" si="13"/>
        <v>90</v>
      </c>
      <c r="G92" s="7">
        <f t="shared" si="14"/>
        <v>11.616666666666669</v>
      </c>
      <c r="H92" s="7">
        <f>SUM($G$3:G92)</f>
        <v>239.30200000000008</v>
      </c>
      <c r="I92" s="7">
        <v>17</v>
      </c>
      <c r="J92" s="7">
        <f t="shared" si="15"/>
        <v>7000</v>
      </c>
      <c r="K92" s="7">
        <f>ROUNDUP(H91,0)</f>
        <v>228</v>
      </c>
      <c r="L92" s="69">
        <f t="shared" si="8"/>
        <v>236</v>
      </c>
      <c r="M92" s="7">
        <f t="shared" si="9"/>
        <v>12</v>
      </c>
      <c r="R92" s="7"/>
    </row>
    <row r="93" spans="2:18">
      <c r="B93" s="7">
        <v>91</v>
      </c>
      <c r="C93" s="7">
        <f t="shared" si="10"/>
        <v>36400</v>
      </c>
      <c r="D93" s="7">
        <f t="shared" si="11"/>
        <v>455000</v>
      </c>
      <c r="E93" s="7">
        <f t="shared" si="12"/>
        <v>91000</v>
      </c>
      <c r="F93" s="7">
        <f t="shared" si="13"/>
        <v>91</v>
      </c>
      <c r="G93" s="7">
        <f t="shared" si="14"/>
        <v>11.873083333333334</v>
      </c>
      <c r="H93" s="7">
        <f>SUM($G$3:G93)</f>
        <v>251.17508333333342</v>
      </c>
      <c r="I93" s="7">
        <v>17</v>
      </c>
      <c r="J93" s="7">
        <f t="shared" si="15"/>
        <v>7050</v>
      </c>
      <c r="L93" s="69">
        <f t="shared" ref="L93:L124" si="16">L92+M92</f>
        <v>248</v>
      </c>
      <c r="M93" s="7">
        <f t="shared" si="9"/>
        <v>12</v>
      </c>
      <c r="R93" s="7"/>
    </row>
    <row r="94" spans="2:18">
      <c r="B94" s="7">
        <v>92</v>
      </c>
      <c r="C94" s="7">
        <f t="shared" si="10"/>
        <v>36800</v>
      </c>
      <c r="D94" s="7">
        <f t="shared" si="11"/>
        <v>460000</v>
      </c>
      <c r="E94" s="7">
        <f t="shared" si="12"/>
        <v>92000</v>
      </c>
      <c r="F94" s="7">
        <f t="shared" si="13"/>
        <v>92</v>
      </c>
      <c r="G94" s="7">
        <f t="shared" si="14"/>
        <v>12.132333333333333</v>
      </c>
      <c r="H94" s="7">
        <f>SUM($G$3:G94)</f>
        <v>263.30741666666677</v>
      </c>
      <c r="I94" s="7">
        <v>17</v>
      </c>
      <c r="J94" s="7">
        <f t="shared" si="15"/>
        <v>7100</v>
      </c>
      <c r="L94" s="69">
        <f t="shared" si="16"/>
        <v>260</v>
      </c>
      <c r="M94" s="7">
        <f t="shared" si="9"/>
        <v>12</v>
      </c>
      <c r="R94" s="7"/>
    </row>
    <row r="95" spans="2:18">
      <c r="B95" s="7">
        <v>93</v>
      </c>
      <c r="C95" s="7">
        <f t="shared" si="10"/>
        <v>37200</v>
      </c>
      <c r="D95" s="7">
        <f t="shared" si="11"/>
        <v>465000</v>
      </c>
      <c r="E95" s="7">
        <f t="shared" si="12"/>
        <v>93000</v>
      </c>
      <c r="F95" s="7">
        <f t="shared" si="13"/>
        <v>93</v>
      </c>
      <c r="G95" s="7">
        <f t="shared" si="14"/>
        <v>12.394416666666668</v>
      </c>
      <c r="H95" s="7">
        <f>SUM($G$3:G95)</f>
        <v>275.70183333333341</v>
      </c>
      <c r="I95" s="7">
        <v>17</v>
      </c>
      <c r="J95" s="7">
        <f t="shared" si="15"/>
        <v>7150</v>
      </c>
      <c r="L95" s="69">
        <f t="shared" si="16"/>
        <v>272</v>
      </c>
      <c r="M95" s="7">
        <f t="shared" si="9"/>
        <v>13</v>
      </c>
      <c r="R95" s="7"/>
    </row>
    <row r="96" spans="2:18">
      <c r="B96" s="7">
        <v>94</v>
      </c>
      <c r="C96" s="7">
        <f t="shared" si="10"/>
        <v>37600</v>
      </c>
      <c r="D96" s="7">
        <f t="shared" si="11"/>
        <v>470000</v>
      </c>
      <c r="E96" s="7">
        <f t="shared" si="12"/>
        <v>94000</v>
      </c>
      <c r="F96" s="7">
        <f t="shared" si="13"/>
        <v>94</v>
      </c>
      <c r="G96" s="7">
        <f t="shared" si="14"/>
        <v>12.659333333333334</v>
      </c>
      <c r="H96" s="7">
        <f>SUM($G$3:G96)</f>
        <v>288.36116666666675</v>
      </c>
      <c r="I96" s="7">
        <v>17</v>
      </c>
      <c r="J96" s="7">
        <f t="shared" si="15"/>
        <v>7200</v>
      </c>
      <c r="L96" s="69">
        <f t="shared" si="16"/>
        <v>285</v>
      </c>
      <c r="M96" s="7">
        <f t="shared" si="9"/>
        <v>13</v>
      </c>
      <c r="R96" s="7"/>
    </row>
    <row r="97" spans="2:13">
      <c r="B97" s="7">
        <v>95</v>
      </c>
      <c r="C97" s="7">
        <f t="shared" si="10"/>
        <v>38000</v>
      </c>
      <c r="D97" s="7">
        <f t="shared" si="11"/>
        <v>475000</v>
      </c>
      <c r="E97" s="7">
        <f t="shared" si="12"/>
        <v>95000</v>
      </c>
      <c r="F97" s="7">
        <f t="shared" si="13"/>
        <v>95</v>
      </c>
      <c r="G97" s="7">
        <f t="shared" si="14"/>
        <v>12.927083333333332</v>
      </c>
      <c r="H97" s="7">
        <f>SUM($G$3:G97)</f>
        <v>301.28825000000006</v>
      </c>
      <c r="I97" s="7">
        <v>17</v>
      </c>
      <c r="J97" s="7">
        <f t="shared" si="15"/>
        <v>7250</v>
      </c>
      <c r="L97" s="69">
        <f t="shared" si="16"/>
        <v>298</v>
      </c>
      <c r="M97" s="7">
        <f t="shared" si="9"/>
        <v>13</v>
      </c>
    </row>
    <row r="98" spans="2:13">
      <c r="B98" s="7">
        <v>96</v>
      </c>
      <c r="C98" s="7">
        <f t="shared" si="10"/>
        <v>38400</v>
      </c>
      <c r="D98" s="7">
        <f t="shared" si="11"/>
        <v>480000</v>
      </c>
      <c r="E98" s="7">
        <f t="shared" si="12"/>
        <v>96000</v>
      </c>
      <c r="F98" s="7">
        <f t="shared" si="13"/>
        <v>96</v>
      </c>
      <c r="G98" s="7">
        <f t="shared" si="14"/>
        <v>13.197666666666668</v>
      </c>
      <c r="H98" s="7">
        <f>SUM($G$3:G98)</f>
        <v>314.48591666666675</v>
      </c>
      <c r="I98" s="7">
        <v>17</v>
      </c>
      <c r="J98" s="7">
        <f t="shared" si="15"/>
        <v>7300</v>
      </c>
      <c r="L98" s="69">
        <f t="shared" si="16"/>
        <v>311</v>
      </c>
      <c r="M98" s="7">
        <f t="shared" si="9"/>
        <v>13</v>
      </c>
    </row>
    <row r="99" spans="2:13">
      <c r="B99" s="7">
        <v>97</v>
      </c>
      <c r="C99" s="7">
        <f t="shared" si="10"/>
        <v>38800</v>
      </c>
      <c r="D99" s="7">
        <f t="shared" si="11"/>
        <v>485000</v>
      </c>
      <c r="E99" s="7">
        <f t="shared" si="12"/>
        <v>97000</v>
      </c>
      <c r="F99" s="7">
        <f t="shared" si="13"/>
        <v>97</v>
      </c>
      <c r="G99" s="7">
        <f t="shared" si="14"/>
        <v>13.471083333333333</v>
      </c>
      <c r="H99" s="7">
        <f>SUM($G$3:G99)</f>
        <v>327.95700000000011</v>
      </c>
      <c r="I99" s="7">
        <v>17</v>
      </c>
      <c r="J99" s="7">
        <f t="shared" si="15"/>
        <v>7350</v>
      </c>
      <c r="L99" s="69">
        <f t="shared" si="16"/>
        <v>324</v>
      </c>
      <c r="M99" s="7">
        <f t="shared" si="9"/>
        <v>14</v>
      </c>
    </row>
    <row r="100" spans="2:13">
      <c r="B100" s="7">
        <v>98</v>
      </c>
      <c r="C100" s="7">
        <f t="shared" si="10"/>
        <v>39200</v>
      </c>
      <c r="D100" s="7">
        <f t="shared" si="11"/>
        <v>490000</v>
      </c>
      <c r="E100" s="7">
        <f t="shared" si="12"/>
        <v>98000</v>
      </c>
      <c r="F100" s="7">
        <f t="shared" si="13"/>
        <v>98</v>
      </c>
      <c r="G100" s="7">
        <f t="shared" si="14"/>
        <v>13.747333333333335</v>
      </c>
      <c r="H100" s="7">
        <f>SUM($G$3:G100)</f>
        <v>341.70433333333347</v>
      </c>
      <c r="I100" s="7">
        <v>17</v>
      </c>
      <c r="J100" s="7">
        <f t="shared" si="15"/>
        <v>7400</v>
      </c>
      <c r="L100" s="69">
        <f t="shared" si="16"/>
        <v>338</v>
      </c>
      <c r="M100" s="7">
        <f t="shared" si="9"/>
        <v>14</v>
      </c>
    </row>
    <row r="101" spans="2:13">
      <c r="B101" s="7">
        <v>99</v>
      </c>
      <c r="C101" s="7">
        <f t="shared" si="10"/>
        <v>39600</v>
      </c>
      <c r="D101" s="7">
        <f t="shared" si="11"/>
        <v>495000</v>
      </c>
      <c r="E101" s="7">
        <f t="shared" si="12"/>
        <v>99000</v>
      </c>
      <c r="F101" s="7">
        <f t="shared" si="13"/>
        <v>99</v>
      </c>
      <c r="G101" s="7">
        <f t="shared" si="14"/>
        <v>14.02641666666667</v>
      </c>
      <c r="H101" s="7">
        <f>SUM($G$3:G101)</f>
        <v>355.73075000000011</v>
      </c>
      <c r="I101" s="7">
        <v>17</v>
      </c>
      <c r="J101" s="7">
        <f t="shared" si="15"/>
        <v>7450</v>
      </c>
      <c r="L101" s="69">
        <f t="shared" si="16"/>
        <v>352</v>
      </c>
      <c r="M101" s="7">
        <f t="shared" si="9"/>
        <v>14</v>
      </c>
    </row>
    <row r="102" spans="2:13">
      <c r="B102" s="7">
        <v>100</v>
      </c>
      <c r="C102" s="7">
        <f t="shared" si="10"/>
        <v>40000</v>
      </c>
      <c r="D102" s="7">
        <f t="shared" si="11"/>
        <v>500000</v>
      </c>
      <c r="E102" s="7">
        <f t="shared" si="12"/>
        <v>100000</v>
      </c>
      <c r="F102" s="7">
        <f t="shared" si="13"/>
        <v>100</v>
      </c>
      <c r="G102" s="7">
        <f t="shared" si="14"/>
        <v>14.308333333333335</v>
      </c>
      <c r="H102" s="7">
        <f>SUM($G$3:G102)</f>
        <v>370.03908333333345</v>
      </c>
      <c r="I102" s="7">
        <v>17</v>
      </c>
      <c r="J102" s="7">
        <f t="shared" si="15"/>
        <v>7500</v>
      </c>
      <c r="L102" s="69">
        <f t="shared" si="16"/>
        <v>366</v>
      </c>
      <c r="M102" s="7">
        <f t="shared" si="9"/>
        <v>15</v>
      </c>
    </row>
    <row r="103" spans="2:13">
      <c r="B103" s="7">
        <v>101</v>
      </c>
      <c r="C103" s="7">
        <f t="shared" si="10"/>
        <v>40400</v>
      </c>
      <c r="D103" s="7">
        <f t="shared" si="11"/>
        <v>505000</v>
      </c>
      <c r="E103" s="7">
        <f t="shared" si="12"/>
        <v>101000</v>
      </c>
      <c r="F103" s="7">
        <f t="shared" si="13"/>
        <v>101</v>
      </c>
      <c r="G103" s="7">
        <f t="shared" si="14"/>
        <v>14.593083333333336</v>
      </c>
      <c r="H103" s="7">
        <f>SUM($G$3:G103)</f>
        <v>384.63216666666676</v>
      </c>
      <c r="I103" s="7">
        <v>17</v>
      </c>
      <c r="J103" s="7">
        <f t="shared" si="15"/>
        <v>7550</v>
      </c>
      <c r="L103" s="69">
        <f t="shared" si="16"/>
        <v>381</v>
      </c>
      <c r="M103" s="7">
        <f t="shared" si="9"/>
        <v>15</v>
      </c>
    </row>
    <row r="104" spans="2:13">
      <c r="B104" s="7">
        <v>102</v>
      </c>
      <c r="C104" s="7">
        <f t="shared" si="10"/>
        <v>40800</v>
      </c>
      <c r="D104" s="7">
        <f t="shared" si="11"/>
        <v>510000</v>
      </c>
      <c r="E104" s="7">
        <f t="shared" si="12"/>
        <v>102000</v>
      </c>
      <c r="F104" s="7">
        <f t="shared" si="13"/>
        <v>102</v>
      </c>
      <c r="G104" s="7">
        <f t="shared" si="14"/>
        <v>14.880666666666668</v>
      </c>
      <c r="H104" s="7">
        <f>SUM($G$3:G104)</f>
        <v>399.51283333333345</v>
      </c>
      <c r="I104" s="7">
        <v>17</v>
      </c>
      <c r="J104" s="7">
        <f t="shared" si="15"/>
        <v>7600</v>
      </c>
      <c r="L104" s="69">
        <f t="shared" si="16"/>
        <v>396</v>
      </c>
      <c r="M104" s="7">
        <f t="shared" si="9"/>
        <v>15</v>
      </c>
    </row>
    <row r="105" spans="2:13">
      <c r="B105" s="7">
        <v>103</v>
      </c>
      <c r="C105" s="7">
        <f t="shared" si="10"/>
        <v>41200</v>
      </c>
      <c r="D105" s="7">
        <f t="shared" si="11"/>
        <v>515000</v>
      </c>
      <c r="E105" s="7">
        <f t="shared" si="12"/>
        <v>103000</v>
      </c>
      <c r="F105" s="7">
        <f t="shared" si="13"/>
        <v>103</v>
      </c>
      <c r="G105" s="7">
        <f t="shared" si="14"/>
        <v>15.171083333333335</v>
      </c>
      <c r="H105" s="7">
        <f>SUM($G$3:G105)</f>
        <v>414.68391666666679</v>
      </c>
      <c r="I105" s="7">
        <v>17</v>
      </c>
      <c r="J105" s="7">
        <f t="shared" si="15"/>
        <v>7650</v>
      </c>
      <c r="L105" s="69">
        <f t="shared" si="16"/>
        <v>411</v>
      </c>
      <c r="M105" s="7">
        <f t="shared" si="9"/>
        <v>15</v>
      </c>
    </row>
    <row r="106" spans="2:13">
      <c r="B106" s="7">
        <v>104</v>
      </c>
      <c r="C106" s="7">
        <f t="shared" si="10"/>
        <v>41600</v>
      </c>
      <c r="D106" s="7">
        <f t="shared" si="11"/>
        <v>520000</v>
      </c>
      <c r="E106" s="7">
        <f t="shared" si="12"/>
        <v>104000</v>
      </c>
      <c r="F106" s="7">
        <f t="shared" si="13"/>
        <v>104</v>
      </c>
      <c r="G106" s="7">
        <f t="shared" si="14"/>
        <v>15.464333333333334</v>
      </c>
      <c r="H106" s="7">
        <f>SUM($G$3:G106)</f>
        <v>430.14825000000013</v>
      </c>
      <c r="I106" s="7">
        <v>17</v>
      </c>
      <c r="J106" s="7">
        <f t="shared" si="15"/>
        <v>7700</v>
      </c>
      <c r="L106" s="69">
        <f t="shared" si="16"/>
        <v>426</v>
      </c>
      <c r="M106" s="7">
        <f t="shared" si="9"/>
        <v>16</v>
      </c>
    </row>
    <row r="107" spans="2:13">
      <c r="B107" s="7">
        <v>105</v>
      </c>
      <c r="C107" s="7">
        <f t="shared" si="10"/>
        <v>42000</v>
      </c>
      <c r="D107" s="7">
        <f t="shared" si="11"/>
        <v>525000</v>
      </c>
      <c r="E107" s="7">
        <f t="shared" si="12"/>
        <v>105000</v>
      </c>
      <c r="F107" s="7">
        <f t="shared" si="13"/>
        <v>105</v>
      </c>
      <c r="G107" s="7">
        <f t="shared" si="14"/>
        <v>15.760416666666668</v>
      </c>
      <c r="H107" s="7">
        <f>SUM($G$3:G107)</f>
        <v>445.90866666666682</v>
      </c>
      <c r="I107" s="7">
        <v>17</v>
      </c>
      <c r="J107" s="7">
        <f t="shared" si="15"/>
        <v>7750</v>
      </c>
      <c r="L107" s="69">
        <f t="shared" si="16"/>
        <v>442</v>
      </c>
      <c r="M107" s="7">
        <f t="shared" si="9"/>
        <v>16</v>
      </c>
    </row>
    <row r="108" spans="2:13">
      <c r="B108" s="7">
        <v>106</v>
      </c>
      <c r="C108" s="7">
        <f t="shared" si="10"/>
        <v>42400</v>
      </c>
      <c r="D108" s="7">
        <f t="shared" si="11"/>
        <v>530000</v>
      </c>
      <c r="E108" s="7">
        <f t="shared" si="12"/>
        <v>106000</v>
      </c>
      <c r="F108" s="7">
        <f t="shared" si="13"/>
        <v>106</v>
      </c>
      <c r="G108" s="7">
        <f t="shared" si="14"/>
        <v>16.059333333333335</v>
      </c>
      <c r="H108" s="7">
        <f>SUM($G$3:G108)</f>
        <v>461.96800000000013</v>
      </c>
      <c r="I108" s="7">
        <v>17</v>
      </c>
      <c r="J108" s="7">
        <f t="shared" si="15"/>
        <v>7800</v>
      </c>
      <c r="L108" s="69">
        <f t="shared" si="16"/>
        <v>458</v>
      </c>
      <c r="M108" s="7">
        <f t="shared" si="9"/>
        <v>16</v>
      </c>
    </row>
    <row r="109" spans="2:13">
      <c r="B109" s="7">
        <v>107</v>
      </c>
      <c r="C109" s="7">
        <f t="shared" si="10"/>
        <v>42800</v>
      </c>
      <c r="D109" s="7">
        <f t="shared" si="11"/>
        <v>535000</v>
      </c>
      <c r="E109" s="7">
        <f t="shared" si="12"/>
        <v>107000</v>
      </c>
      <c r="F109" s="7">
        <f t="shared" si="13"/>
        <v>107</v>
      </c>
      <c r="G109" s="7">
        <f t="shared" si="14"/>
        <v>16.361083333333337</v>
      </c>
      <c r="H109" s="7">
        <f>SUM($G$3:G109)</f>
        <v>478.32908333333347</v>
      </c>
      <c r="I109" s="7">
        <v>17</v>
      </c>
      <c r="J109" s="7">
        <f t="shared" si="15"/>
        <v>7850</v>
      </c>
      <c r="L109" s="69">
        <f t="shared" si="16"/>
        <v>474</v>
      </c>
      <c r="M109" s="7">
        <f t="shared" si="9"/>
        <v>17</v>
      </c>
    </row>
    <row r="110" spans="2:13">
      <c r="B110" s="7">
        <v>108</v>
      </c>
      <c r="C110" s="7">
        <f t="shared" si="10"/>
        <v>43200</v>
      </c>
      <c r="D110" s="7">
        <f t="shared" si="11"/>
        <v>540000</v>
      </c>
      <c r="E110" s="7">
        <f t="shared" si="12"/>
        <v>108000</v>
      </c>
      <c r="F110" s="7">
        <f t="shared" si="13"/>
        <v>108</v>
      </c>
      <c r="G110" s="7">
        <f t="shared" si="14"/>
        <v>16.665666666666667</v>
      </c>
      <c r="H110" s="7">
        <f>SUM($G$3:G110)</f>
        <v>494.99475000000012</v>
      </c>
      <c r="I110" s="7">
        <v>17</v>
      </c>
      <c r="J110" s="7">
        <f t="shared" si="15"/>
        <v>7900</v>
      </c>
      <c r="L110" s="69">
        <f t="shared" si="16"/>
        <v>491</v>
      </c>
      <c r="M110" s="7">
        <f t="shared" si="9"/>
        <v>17</v>
      </c>
    </row>
    <row r="111" spans="2:13">
      <c r="B111" s="7">
        <v>109</v>
      </c>
      <c r="C111" s="7">
        <f t="shared" si="10"/>
        <v>43600</v>
      </c>
      <c r="D111" s="7">
        <f t="shared" si="11"/>
        <v>545000</v>
      </c>
      <c r="E111" s="7">
        <f t="shared" si="12"/>
        <v>109000</v>
      </c>
      <c r="F111" s="7">
        <f t="shared" si="13"/>
        <v>109</v>
      </c>
      <c r="G111" s="7">
        <f t="shared" si="14"/>
        <v>16.973083333333335</v>
      </c>
      <c r="H111" s="7">
        <f>SUM($G$3:G111)</f>
        <v>511.96783333333349</v>
      </c>
      <c r="I111" s="7">
        <v>17</v>
      </c>
      <c r="J111" s="7">
        <f t="shared" si="15"/>
        <v>7950</v>
      </c>
      <c r="L111" s="69">
        <f t="shared" si="16"/>
        <v>508</v>
      </c>
      <c r="M111" s="7">
        <f t="shared" si="9"/>
        <v>17</v>
      </c>
    </row>
    <row r="112" spans="2:13">
      <c r="B112" s="7">
        <v>110</v>
      </c>
      <c r="C112" s="7">
        <f t="shared" si="10"/>
        <v>44000</v>
      </c>
      <c r="D112" s="7">
        <f t="shared" si="11"/>
        <v>550000</v>
      </c>
      <c r="E112" s="7">
        <f t="shared" si="12"/>
        <v>110000</v>
      </c>
      <c r="F112" s="7">
        <f t="shared" si="13"/>
        <v>110</v>
      </c>
      <c r="G112" s="7">
        <f t="shared" si="14"/>
        <v>17.283333333333335</v>
      </c>
      <c r="H112" s="7">
        <f>SUM($G$3:G112)</f>
        <v>529.25116666666679</v>
      </c>
      <c r="I112" s="7">
        <v>17</v>
      </c>
      <c r="J112" s="7">
        <f t="shared" si="15"/>
        <v>8000</v>
      </c>
      <c r="L112" s="69">
        <f t="shared" si="16"/>
        <v>525</v>
      </c>
      <c r="M112" s="7">
        <f t="shared" si="9"/>
        <v>18</v>
      </c>
    </row>
    <row r="113" spans="2:13">
      <c r="B113" s="7">
        <v>111</v>
      </c>
      <c r="C113" s="7">
        <f t="shared" si="10"/>
        <v>44400</v>
      </c>
      <c r="D113" s="7">
        <f t="shared" si="11"/>
        <v>555000</v>
      </c>
      <c r="E113" s="7">
        <f t="shared" si="12"/>
        <v>111000</v>
      </c>
      <c r="F113" s="7">
        <f t="shared" si="13"/>
        <v>111</v>
      </c>
      <c r="G113" s="7">
        <f t="shared" si="14"/>
        <v>17.596416666666666</v>
      </c>
      <c r="H113" s="7">
        <f>SUM($G$3:G113)</f>
        <v>546.84758333333343</v>
      </c>
      <c r="I113" s="7">
        <v>17</v>
      </c>
      <c r="J113" s="7">
        <f t="shared" si="15"/>
        <v>8050</v>
      </c>
      <c r="L113" s="69">
        <f t="shared" si="16"/>
        <v>543</v>
      </c>
      <c r="M113" s="7">
        <f t="shared" si="9"/>
        <v>18</v>
      </c>
    </row>
    <row r="114" spans="2:13">
      <c r="B114" s="7">
        <v>112</v>
      </c>
      <c r="C114" s="7">
        <f t="shared" si="10"/>
        <v>44800</v>
      </c>
      <c r="D114" s="7">
        <f t="shared" si="11"/>
        <v>560000</v>
      </c>
      <c r="E114" s="7">
        <f t="shared" si="12"/>
        <v>112000</v>
      </c>
      <c r="F114" s="7">
        <f t="shared" si="13"/>
        <v>112</v>
      </c>
      <c r="G114" s="7">
        <f t="shared" si="14"/>
        <v>17.912333333333336</v>
      </c>
      <c r="H114" s="7">
        <f>SUM($G$3:G114)</f>
        <v>564.75991666666675</v>
      </c>
      <c r="I114" s="7">
        <v>17</v>
      </c>
      <c r="J114" s="7">
        <f t="shared" si="15"/>
        <v>8100</v>
      </c>
      <c r="L114" s="69">
        <f t="shared" si="16"/>
        <v>561</v>
      </c>
      <c r="M114" s="7">
        <f t="shared" si="9"/>
        <v>18</v>
      </c>
    </row>
    <row r="115" spans="2:13">
      <c r="B115" s="7">
        <v>113</v>
      </c>
      <c r="C115" s="7">
        <f t="shared" si="10"/>
        <v>45200</v>
      </c>
      <c r="D115" s="7">
        <f t="shared" si="11"/>
        <v>565000</v>
      </c>
      <c r="E115" s="7">
        <f t="shared" si="12"/>
        <v>113000</v>
      </c>
      <c r="F115" s="7">
        <f t="shared" si="13"/>
        <v>113</v>
      </c>
      <c r="G115" s="7">
        <f t="shared" si="14"/>
        <v>18.231083333333331</v>
      </c>
      <c r="H115" s="7">
        <f>SUM($G$3:G115)</f>
        <v>582.9910000000001</v>
      </c>
      <c r="I115" s="7">
        <v>17</v>
      </c>
      <c r="J115" s="7">
        <f t="shared" si="15"/>
        <v>8150</v>
      </c>
      <c r="L115" s="69">
        <f t="shared" si="16"/>
        <v>579</v>
      </c>
      <c r="M115" s="7">
        <f t="shared" si="9"/>
        <v>19</v>
      </c>
    </row>
    <row r="116" spans="2:13">
      <c r="B116" s="7">
        <v>114</v>
      </c>
      <c r="C116" s="7">
        <f t="shared" si="10"/>
        <v>45600</v>
      </c>
      <c r="D116" s="7">
        <f t="shared" si="11"/>
        <v>570000</v>
      </c>
      <c r="E116" s="7">
        <f t="shared" si="12"/>
        <v>114000</v>
      </c>
      <c r="F116" s="7">
        <f t="shared" si="13"/>
        <v>114</v>
      </c>
      <c r="G116" s="7">
        <f t="shared" si="14"/>
        <v>18.552666666666671</v>
      </c>
      <c r="H116" s="7">
        <f>SUM($G$3:G116)</f>
        <v>601.54366666666681</v>
      </c>
      <c r="I116" s="7">
        <v>17</v>
      </c>
      <c r="J116" s="7">
        <f t="shared" si="15"/>
        <v>8200</v>
      </c>
      <c r="L116" s="69">
        <f t="shared" si="16"/>
        <v>598</v>
      </c>
      <c r="M116" s="7">
        <f t="shared" si="9"/>
        <v>19</v>
      </c>
    </row>
    <row r="117" spans="2:13">
      <c r="B117" s="7">
        <v>115</v>
      </c>
      <c r="C117" s="7">
        <f t="shared" si="10"/>
        <v>46000</v>
      </c>
      <c r="D117" s="7">
        <f t="shared" si="11"/>
        <v>575000</v>
      </c>
      <c r="E117" s="7">
        <f t="shared" si="12"/>
        <v>115000</v>
      </c>
      <c r="F117" s="7">
        <f t="shared" si="13"/>
        <v>115</v>
      </c>
      <c r="G117" s="7">
        <f t="shared" si="14"/>
        <v>18.877083333333335</v>
      </c>
      <c r="H117" s="7">
        <f>SUM($G$3:G117)</f>
        <v>620.42075000000011</v>
      </c>
      <c r="I117" s="7">
        <v>17</v>
      </c>
      <c r="J117" s="7">
        <f t="shared" si="15"/>
        <v>8250</v>
      </c>
      <c r="L117" s="69">
        <f t="shared" si="16"/>
        <v>617</v>
      </c>
      <c r="M117" s="7">
        <f t="shared" si="9"/>
        <v>19</v>
      </c>
    </row>
    <row r="118" spans="2:13">
      <c r="B118" s="7">
        <v>116</v>
      </c>
      <c r="C118" s="7">
        <f t="shared" si="10"/>
        <v>46400</v>
      </c>
      <c r="D118" s="7">
        <f t="shared" si="11"/>
        <v>580000</v>
      </c>
      <c r="E118" s="7">
        <f t="shared" si="12"/>
        <v>116000</v>
      </c>
      <c r="F118" s="7">
        <f t="shared" si="13"/>
        <v>116</v>
      </c>
      <c r="G118" s="7">
        <f t="shared" si="14"/>
        <v>19.204333333333334</v>
      </c>
      <c r="H118" s="7">
        <f>SUM($G$3:G118)</f>
        <v>639.62508333333346</v>
      </c>
      <c r="I118" s="7">
        <v>17</v>
      </c>
      <c r="J118" s="7">
        <f t="shared" si="15"/>
        <v>8300</v>
      </c>
      <c r="L118" s="69">
        <f t="shared" si="16"/>
        <v>636</v>
      </c>
      <c r="M118" s="7">
        <f t="shared" si="9"/>
        <v>20</v>
      </c>
    </row>
    <row r="119" spans="2:13">
      <c r="B119" s="7">
        <v>117</v>
      </c>
      <c r="C119" s="7">
        <f t="shared" si="10"/>
        <v>46800</v>
      </c>
      <c r="D119" s="7">
        <f t="shared" si="11"/>
        <v>585000</v>
      </c>
      <c r="E119" s="7">
        <f t="shared" si="12"/>
        <v>117000</v>
      </c>
      <c r="F119" s="7">
        <f t="shared" si="13"/>
        <v>117</v>
      </c>
      <c r="G119" s="7">
        <f t="shared" si="14"/>
        <v>19.534416666666669</v>
      </c>
      <c r="H119" s="7">
        <f>SUM($G$3:G119)</f>
        <v>659.15950000000009</v>
      </c>
      <c r="I119" s="7">
        <v>17</v>
      </c>
      <c r="J119" s="7">
        <f t="shared" si="15"/>
        <v>8350</v>
      </c>
      <c r="L119" s="69">
        <f t="shared" si="16"/>
        <v>656</v>
      </c>
      <c r="M119" s="7">
        <f t="shared" si="9"/>
        <v>20</v>
      </c>
    </row>
    <row r="120" spans="2:13">
      <c r="B120" s="7">
        <v>118</v>
      </c>
      <c r="C120" s="7">
        <f t="shared" si="10"/>
        <v>47200</v>
      </c>
      <c r="D120" s="7">
        <f t="shared" si="11"/>
        <v>590000</v>
      </c>
      <c r="E120" s="7">
        <f t="shared" si="12"/>
        <v>118000</v>
      </c>
      <c r="F120" s="7">
        <f t="shared" si="13"/>
        <v>118</v>
      </c>
      <c r="G120" s="7">
        <f t="shared" si="14"/>
        <v>19.867333333333335</v>
      </c>
      <c r="H120" s="7">
        <f>SUM($G$3:G120)</f>
        <v>679.02683333333346</v>
      </c>
      <c r="I120" s="7">
        <v>17</v>
      </c>
      <c r="J120" s="7">
        <f t="shared" si="15"/>
        <v>8400</v>
      </c>
      <c r="L120" s="69">
        <f t="shared" si="16"/>
        <v>676</v>
      </c>
      <c r="M120" s="7">
        <f t="shared" si="9"/>
        <v>20</v>
      </c>
    </row>
    <row r="121" spans="2:13">
      <c r="B121" s="7">
        <v>119</v>
      </c>
      <c r="C121" s="7">
        <f t="shared" si="10"/>
        <v>47600</v>
      </c>
      <c r="D121" s="7">
        <f t="shared" si="11"/>
        <v>595000</v>
      </c>
      <c r="E121" s="7">
        <f t="shared" si="12"/>
        <v>119000</v>
      </c>
      <c r="F121" s="7">
        <f t="shared" si="13"/>
        <v>119</v>
      </c>
      <c r="G121" s="7">
        <f t="shared" si="14"/>
        <v>20.203083333333339</v>
      </c>
      <c r="H121" s="7">
        <f>SUM($G$3:G121)</f>
        <v>699.22991666666678</v>
      </c>
      <c r="I121" s="7">
        <v>17</v>
      </c>
      <c r="J121" s="7">
        <f t="shared" si="15"/>
        <v>8450</v>
      </c>
      <c r="L121" s="69">
        <f t="shared" si="16"/>
        <v>696</v>
      </c>
      <c r="M121" s="7">
        <f t="shared" si="9"/>
        <v>21</v>
      </c>
    </row>
    <row r="122" spans="2:13">
      <c r="B122" s="7">
        <v>120</v>
      </c>
      <c r="C122" s="7">
        <f t="shared" si="10"/>
        <v>48000</v>
      </c>
      <c r="D122" s="7">
        <f t="shared" si="11"/>
        <v>600000</v>
      </c>
      <c r="E122" s="7">
        <f t="shared" si="12"/>
        <v>120000</v>
      </c>
      <c r="F122" s="7">
        <f t="shared" si="13"/>
        <v>120</v>
      </c>
      <c r="G122" s="7">
        <f t="shared" si="14"/>
        <v>20.541666666666664</v>
      </c>
      <c r="H122" s="7">
        <f>SUM($G$3:G122)</f>
        <v>719.77158333333341</v>
      </c>
      <c r="I122" s="7">
        <v>17</v>
      </c>
      <c r="J122" s="7">
        <f t="shared" si="15"/>
        <v>8500</v>
      </c>
      <c r="L122" s="69">
        <f t="shared" si="16"/>
        <v>717</v>
      </c>
      <c r="M122" s="7">
        <f t="shared" si="9"/>
        <v>21</v>
      </c>
    </row>
    <row r="123" spans="2:13">
      <c r="B123" s="7">
        <v>121</v>
      </c>
      <c r="C123" s="7">
        <f t="shared" si="10"/>
        <v>48400</v>
      </c>
      <c r="D123" s="7">
        <f t="shared" si="11"/>
        <v>605000</v>
      </c>
      <c r="E123" s="7">
        <f t="shared" si="12"/>
        <v>121000</v>
      </c>
      <c r="F123" s="7">
        <f t="shared" si="13"/>
        <v>121</v>
      </c>
      <c r="G123" s="7">
        <f t="shared" si="14"/>
        <v>20.883083333333335</v>
      </c>
      <c r="H123" s="7">
        <f>SUM($G$3:G123)</f>
        <v>740.6546666666668</v>
      </c>
      <c r="I123" s="7">
        <v>17</v>
      </c>
      <c r="J123" s="7">
        <f t="shared" si="15"/>
        <v>8550</v>
      </c>
      <c r="L123" s="69">
        <f t="shared" si="16"/>
        <v>738</v>
      </c>
      <c r="M123" s="7">
        <f t="shared" si="9"/>
        <v>21</v>
      </c>
    </row>
    <row r="124" spans="2:13">
      <c r="B124" s="7">
        <v>122</v>
      </c>
      <c r="C124" s="7">
        <f t="shared" si="10"/>
        <v>48800</v>
      </c>
      <c r="D124" s="7">
        <f t="shared" si="11"/>
        <v>610000</v>
      </c>
      <c r="E124" s="7">
        <f t="shared" si="12"/>
        <v>122000</v>
      </c>
      <c r="F124" s="7">
        <f t="shared" si="13"/>
        <v>122</v>
      </c>
      <c r="G124" s="7">
        <f t="shared" si="14"/>
        <v>21.227333333333334</v>
      </c>
      <c r="H124" s="7">
        <f>SUM($G$3:G124)</f>
        <v>761.88200000000018</v>
      </c>
      <c r="I124" s="7">
        <v>17</v>
      </c>
      <c r="J124" s="7">
        <f t="shared" si="15"/>
        <v>8600</v>
      </c>
      <c r="L124" s="69">
        <f t="shared" si="16"/>
        <v>759</v>
      </c>
      <c r="M124" s="7">
        <f t="shared" si="9"/>
        <v>22</v>
      </c>
    </row>
    <row r="125" spans="2:13">
      <c r="B125" s="7">
        <v>123</v>
      </c>
      <c r="C125" s="7">
        <f t="shared" si="10"/>
        <v>49200</v>
      </c>
      <c r="D125" s="7">
        <f t="shared" si="11"/>
        <v>615000</v>
      </c>
      <c r="E125" s="7">
        <f t="shared" si="12"/>
        <v>123000</v>
      </c>
      <c r="F125" s="7">
        <f t="shared" si="13"/>
        <v>123</v>
      </c>
      <c r="G125" s="7">
        <f t="shared" si="14"/>
        <v>21.574416666666668</v>
      </c>
      <c r="H125" s="7">
        <f>SUM($G$3:G125)</f>
        <v>783.45641666666688</v>
      </c>
      <c r="I125" s="7">
        <v>17</v>
      </c>
      <c r="J125" s="7">
        <f t="shared" si="15"/>
        <v>8650</v>
      </c>
      <c r="L125" s="69">
        <f t="shared" ref="L125:L152" si="17">L124+M124</f>
        <v>781</v>
      </c>
      <c r="M125" s="7">
        <f t="shared" ref="M125:M152" si="18">IF(G125-INT(G125)&gt;=0.2,ROUNDUP(G125,0),ROUNDDOWN(G125,0))</f>
        <v>22</v>
      </c>
    </row>
    <row r="126" spans="2:13">
      <c r="B126" s="7">
        <v>124</v>
      </c>
      <c r="C126" s="7">
        <f t="shared" si="10"/>
        <v>49600</v>
      </c>
      <c r="D126" s="7">
        <f t="shared" si="11"/>
        <v>620000</v>
      </c>
      <c r="E126" s="7">
        <f t="shared" si="12"/>
        <v>124000</v>
      </c>
      <c r="F126" s="7">
        <f t="shared" si="13"/>
        <v>124</v>
      </c>
      <c r="G126" s="7">
        <f t="shared" si="14"/>
        <v>21.92433333333333</v>
      </c>
      <c r="H126" s="7">
        <f>SUM($G$3:G126)</f>
        <v>805.38075000000026</v>
      </c>
      <c r="I126" s="7">
        <v>17</v>
      </c>
      <c r="J126" s="7">
        <f t="shared" si="15"/>
        <v>8700</v>
      </c>
      <c r="L126" s="69">
        <f t="shared" si="17"/>
        <v>803</v>
      </c>
      <c r="M126" s="7">
        <f t="shared" si="18"/>
        <v>22</v>
      </c>
    </row>
    <row r="127" spans="2:13">
      <c r="B127" s="7">
        <v>125</v>
      </c>
      <c r="C127" s="7">
        <f t="shared" si="10"/>
        <v>50000</v>
      </c>
      <c r="D127" s="7">
        <f t="shared" si="11"/>
        <v>625000</v>
      </c>
      <c r="E127" s="7">
        <f t="shared" si="12"/>
        <v>125000</v>
      </c>
      <c r="F127" s="7">
        <f t="shared" si="13"/>
        <v>125</v>
      </c>
      <c r="G127" s="7">
        <f t="shared" si="14"/>
        <v>22.277083333333337</v>
      </c>
      <c r="H127" s="7">
        <f>SUM($G$3:G127)</f>
        <v>827.65783333333366</v>
      </c>
      <c r="I127" s="7">
        <v>17</v>
      </c>
      <c r="J127" s="7">
        <f t="shared" si="15"/>
        <v>8750</v>
      </c>
      <c r="L127" s="69">
        <f t="shared" si="17"/>
        <v>825</v>
      </c>
      <c r="M127" s="7">
        <f t="shared" si="18"/>
        <v>23</v>
      </c>
    </row>
    <row r="128" spans="2:13">
      <c r="B128" s="7">
        <v>126</v>
      </c>
      <c r="C128" s="7">
        <f t="shared" si="10"/>
        <v>50400</v>
      </c>
      <c r="D128" s="7">
        <f t="shared" si="11"/>
        <v>630000</v>
      </c>
      <c r="E128" s="7">
        <f t="shared" si="12"/>
        <v>126000</v>
      </c>
      <c r="F128" s="7">
        <f t="shared" si="13"/>
        <v>126</v>
      </c>
      <c r="G128" s="7">
        <f t="shared" si="14"/>
        <v>22.632666666666665</v>
      </c>
      <c r="H128" s="7">
        <f>SUM($G$3:G128)</f>
        <v>850.29050000000029</v>
      </c>
      <c r="I128" s="7">
        <v>17</v>
      </c>
      <c r="J128" s="7">
        <f t="shared" si="15"/>
        <v>8800</v>
      </c>
      <c r="L128" s="69">
        <f t="shared" si="17"/>
        <v>848</v>
      </c>
      <c r="M128" s="7">
        <f t="shared" si="18"/>
        <v>23</v>
      </c>
    </row>
    <row r="129" spans="2:13">
      <c r="B129" s="7">
        <v>127</v>
      </c>
      <c r="C129" s="7">
        <f t="shared" si="10"/>
        <v>50800</v>
      </c>
      <c r="D129" s="7">
        <f t="shared" si="11"/>
        <v>635000</v>
      </c>
      <c r="E129" s="7">
        <f t="shared" si="12"/>
        <v>127000</v>
      </c>
      <c r="F129" s="7">
        <f t="shared" si="13"/>
        <v>127</v>
      </c>
      <c r="G129" s="7">
        <f t="shared" si="14"/>
        <v>22.991083333333332</v>
      </c>
      <c r="H129" s="7">
        <f>SUM($G$3:G129)</f>
        <v>873.28158333333363</v>
      </c>
      <c r="I129" s="7">
        <v>17</v>
      </c>
      <c r="J129" s="7">
        <f t="shared" si="15"/>
        <v>8850</v>
      </c>
      <c r="L129" s="69">
        <f t="shared" si="17"/>
        <v>871</v>
      </c>
      <c r="M129" s="7">
        <f t="shared" si="18"/>
        <v>23</v>
      </c>
    </row>
    <row r="130" spans="2:13">
      <c r="B130" s="7">
        <v>128</v>
      </c>
      <c r="C130" s="7">
        <f t="shared" si="10"/>
        <v>51200</v>
      </c>
      <c r="D130" s="7">
        <f t="shared" si="11"/>
        <v>640000</v>
      </c>
      <c r="E130" s="7">
        <f t="shared" si="12"/>
        <v>128000</v>
      </c>
      <c r="F130" s="7">
        <f t="shared" si="13"/>
        <v>128</v>
      </c>
      <c r="G130" s="7">
        <f t="shared" si="14"/>
        <v>23.352333333333334</v>
      </c>
      <c r="H130" s="7">
        <f>SUM($G$3:G130)</f>
        <v>896.63391666666701</v>
      </c>
      <c r="I130" s="7">
        <v>17</v>
      </c>
      <c r="J130" s="7">
        <f t="shared" si="15"/>
        <v>8900</v>
      </c>
      <c r="L130" s="69">
        <f t="shared" si="17"/>
        <v>894</v>
      </c>
      <c r="M130" s="7">
        <f t="shared" si="18"/>
        <v>24</v>
      </c>
    </row>
    <row r="131" spans="2:13">
      <c r="B131" s="7">
        <v>129</v>
      </c>
      <c r="C131" s="7">
        <f t="shared" si="10"/>
        <v>51600</v>
      </c>
      <c r="D131" s="7">
        <f t="shared" si="11"/>
        <v>645000</v>
      </c>
      <c r="E131" s="7">
        <f t="shared" si="12"/>
        <v>129000</v>
      </c>
      <c r="F131" s="7">
        <f t="shared" si="13"/>
        <v>129</v>
      </c>
      <c r="G131" s="7">
        <f t="shared" si="14"/>
        <v>23.716416666666664</v>
      </c>
      <c r="H131" s="7">
        <f>SUM($G$3:G131)</f>
        <v>920.35033333333365</v>
      </c>
      <c r="I131" s="7">
        <v>17</v>
      </c>
      <c r="J131" s="7">
        <f t="shared" si="15"/>
        <v>8950</v>
      </c>
      <c r="L131" s="69">
        <f t="shared" si="17"/>
        <v>918</v>
      </c>
      <c r="M131" s="7">
        <f t="shared" si="18"/>
        <v>24</v>
      </c>
    </row>
    <row r="132" spans="2:13">
      <c r="B132" s="7">
        <v>130</v>
      </c>
      <c r="C132" s="7">
        <f t="shared" ref="C132:C152" si="19">400*B132</f>
        <v>52000</v>
      </c>
      <c r="D132" s="7">
        <f t="shared" ref="D132:D152" si="20">5000*B132</f>
        <v>650000</v>
      </c>
      <c r="E132" s="7">
        <f t="shared" ref="E132:E152" si="21">1000*B132</f>
        <v>130000</v>
      </c>
      <c r="F132" s="7">
        <f t="shared" ref="F132:F152" si="22">1*B132</f>
        <v>130</v>
      </c>
      <c r="G132" s="7">
        <f t="shared" ref="G132:G152" si="23">0.2*(1+0.01*B132^2)/24*I132</f>
        <v>24.083333333333336</v>
      </c>
      <c r="H132" s="7">
        <f>SUM($G$3:G132)</f>
        <v>944.43366666666702</v>
      </c>
      <c r="I132" s="7">
        <v>17</v>
      </c>
      <c r="J132" s="7">
        <f t="shared" ref="J132:J152" si="24">2500+50*B132</f>
        <v>9000</v>
      </c>
      <c r="L132" s="69">
        <f t="shared" si="17"/>
        <v>942</v>
      </c>
      <c r="M132" s="7">
        <f t="shared" si="18"/>
        <v>24</v>
      </c>
    </row>
    <row r="133" spans="2:13">
      <c r="B133" s="7">
        <v>131</v>
      </c>
      <c r="C133" s="7">
        <f t="shared" si="19"/>
        <v>52400</v>
      </c>
      <c r="D133" s="7">
        <f t="shared" si="20"/>
        <v>655000</v>
      </c>
      <c r="E133" s="7">
        <f t="shared" si="21"/>
        <v>131000</v>
      </c>
      <c r="F133" s="7">
        <f t="shared" si="22"/>
        <v>131</v>
      </c>
      <c r="G133" s="7">
        <f t="shared" si="23"/>
        <v>24.453083333333339</v>
      </c>
      <c r="H133" s="7">
        <f>SUM($G$3:G133)</f>
        <v>968.88675000000035</v>
      </c>
      <c r="I133" s="7">
        <v>17</v>
      </c>
      <c r="J133" s="7">
        <f t="shared" si="24"/>
        <v>9050</v>
      </c>
      <c r="L133" s="69">
        <f t="shared" si="17"/>
        <v>966</v>
      </c>
      <c r="M133" s="7">
        <f t="shared" si="18"/>
        <v>25</v>
      </c>
    </row>
    <row r="134" spans="2:13">
      <c r="B134" s="7">
        <v>132</v>
      </c>
      <c r="C134" s="7">
        <f t="shared" si="19"/>
        <v>52800</v>
      </c>
      <c r="D134" s="7">
        <f t="shared" si="20"/>
        <v>660000</v>
      </c>
      <c r="E134" s="7">
        <f t="shared" si="21"/>
        <v>132000</v>
      </c>
      <c r="F134" s="7">
        <f t="shared" si="22"/>
        <v>132</v>
      </c>
      <c r="G134" s="7">
        <f t="shared" si="23"/>
        <v>24.82566666666667</v>
      </c>
      <c r="H134" s="7">
        <f>SUM($G$3:G134)</f>
        <v>993.71241666666697</v>
      </c>
      <c r="I134" s="7">
        <v>17</v>
      </c>
      <c r="J134" s="7">
        <f t="shared" si="24"/>
        <v>9100</v>
      </c>
      <c r="L134" s="69">
        <f t="shared" si="17"/>
        <v>991</v>
      </c>
      <c r="M134" s="7">
        <f t="shared" si="18"/>
        <v>25</v>
      </c>
    </row>
    <row r="135" spans="2:13">
      <c r="B135" s="7">
        <v>133</v>
      </c>
      <c r="C135" s="7">
        <f t="shared" si="19"/>
        <v>53200</v>
      </c>
      <c r="D135" s="7">
        <f t="shared" si="20"/>
        <v>665000</v>
      </c>
      <c r="E135" s="7">
        <f t="shared" si="21"/>
        <v>133000</v>
      </c>
      <c r="F135" s="7">
        <f t="shared" si="22"/>
        <v>133</v>
      </c>
      <c r="G135" s="7">
        <f t="shared" si="23"/>
        <v>25.201083333333333</v>
      </c>
      <c r="H135" s="7">
        <f>SUM($G$3:G135)</f>
        <v>1018.9135000000003</v>
      </c>
      <c r="I135" s="7">
        <v>17</v>
      </c>
      <c r="J135" s="7">
        <f t="shared" si="24"/>
        <v>9150</v>
      </c>
      <c r="L135" s="69">
        <f t="shared" si="17"/>
        <v>1016</v>
      </c>
      <c r="M135" s="7">
        <f t="shared" si="18"/>
        <v>26</v>
      </c>
    </row>
    <row r="136" spans="2:13">
      <c r="B136" s="7">
        <v>134</v>
      </c>
      <c r="C136" s="7">
        <f t="shared" si="19"/>
        <v>53600</v>
      </c>
      <c r="D136" s="7">
        <f t="shared" si="20"/>
        <v>670000</v>
      </c>
      <c r="E136" s="7">
        <f t="shared" si="21"/>
        <v>134000</v>
      </c>
      <c r="F136" s="7">
        <f t="shared" si="22"/>
        <v>134</v>
      </c>
      <c r="G136" s="7">
        <f t="shared" si="23"/>
        <v>25.579333333333334</v>
      </c>
      <c r="H136" s="7">
        <f>SUM($G$3:G136)</f>
        <v>1044.4928333333337</v>
      </c>
      <c r="I136" s="7">
        <v>17</v>
      </c>
      <c r="J136" s="7">
        <f t="shared" si="24"/>
        <v>9200</v>
      </c>
      <c r="L136" s="69">
        <f t="shared" si="17"/>
        <v>1042</v>
      </c>
      <c r="M136" s="7">
        <f t="shared" si="18"/>
        <v>26</v>
      </c>
    </row>
    <row r="137" spans="2:13">
      <c r="B137" s="7">
        <v>135</v>
      </c>
      <c r="C137" s="7">
        <f t="shared" si="19"/>
        <v>54000</v>
      </c>
      <c r="D137" s="7">
        <f t="shared" si="20"/>
        <v>675000</v>
      </c>
      <c r="E137" s="7">
        <f t="shared" si="21"/>
        <v>135000</v>
      </c>
      <c r="F137" s="7">
        <f t="shared" si="22"/>
        <v>135</v>
      </c>
      <c r="G137" s="7">
        <f t="shared" si="23"/>
        <v>25.960416666666667</v>
      </c>
      <c r="H137" s="7">
        <f>SUM($G$3:G137)</f>
        <v>1070.4532500000003</v>
      </c>
      <c r="I137" s="7">
        <v>17</v>
      </c>
      <c r="J137" s="7">
        <f t="shared" si="24"/>
        <v>9250</v>
      </c>
      <c r="L137" s="69">
        <f t="shared" si="17"/>
        <v>1068</v>
      </c>
      <c r="M137" s="7">
        <f t="shared" si="18"/>
        <v>26</v>
      </c>
    </row>
    <row r="138" spans="2:13">
      <c r="B138" s="7">
        <v>136</v>
      </c>
      <c r="C138" s="7">
        <f t="shared" si="19"/>
        <v>54400</v>
      </c>
      <c r="D138" s="7">
        <f t="shared" si="20"/>
        <v>680000</v>
      </c>
      <c r="E138" s="7">
        <f t="shared" si="21"/>
        <v>136000</v>
      </c>
      <c r="F138" s="7">
        <f t="shared" si="22"/>
        <v>136</v>
      </c>
      <c r="G138" s="7">
        <f t="shared" si="23"/>
        <v>26.344333333333335</v>
      </c>
      <c r="H138" s="7">
        <f>SUM($G$3:G138)</f>
        <v>1096.7975833333335</v>
      </c>
      <c r="I138" s="7">
        <v>17</v>
      </c>
      <c r="J138" s="7">
        <f t="shared" si="24"/>
        <v>9300</v>
      </c>
      <c r="L138" s="69">
        <f t="shared" si="17"/>
        <v>1094</v>
      </c>
      <c r="M138" s="7">
        <f t="shared" si="18"/>
        <v>27</v>
      </c>
    </row>
    <row r="139" spans="2:13">
      <c r="B139" s="7">
        <v>137</v>
      </c>
      <c r="C139" s="7">
        <f t="shared" si="19"/>
        <v>54800</v>
      </c>
      <c r="D139" s="7">
        <f t="shared" si="20"/>
        <v>685000</v>
      </c>
      <c r="E139" s="7">
        <f t="shared" si="21"/>
        <v>137000</v>
      </c>
      <c r="F139" s="7">
        <f t="shared" si="22"/>
        <v>137</v>
      </c>
      <c r="G139" s="7">
        <f t="shared" si="23"/>
        <v>26.731083333333331</v>
      </c>
      <c r="H139" s="7">
        <f>SUM($G$3:G139)</f>
        <v>1123.5286666666668</v>
      </c>
      <c r="I139" s="7">
        <v>17</v>
      </c>
      <c r="J139" s="7">
        <f t="shared" si="24"/>
        <v>9350</v>
      </c>
      <c r="L139" s="69">
        <f t="shared" si="17"/>
        <v>1121</v>
      </c>
      <c r="M139" s="7">
        <f t="shared" si="18"/>
        <v>27</v>
      </c>
    </row>
    <row r="140" spans="2:13">
      <c r="B140" s="7">
        <v>138</v>
      </c>
      <c r="C140" s="7">
        <f t="shared" si="19"/>
        <v>55200</v>
      </c>
      <c r="D140" s="7">
        <f t="shared" si="20"/>
        <v>690000</v>
      </c>
      <c r="E140" s="7">
        <f t="shared" si="21"/>
        <v>138000</v>
      </c>
      <c r="F140" s="7">
        <f t="shared" si="22"/>
        <v>138</v>
      </c>
      <c r="G140" s="7">
        <f t="shared" si="23"/>
        <v>27.120666666666668</v>
      </c>
      <c r="H140" s="7">
        <f>SUM($G$3:G140)</f>
        <v>1150.6493333333335</v>
      </c>
      <c r="I140" s="7">
        <v>17</v>
      </c>
      <c r="J140" s="7">
        <f t="shared" si="24"/>
        <v>9400</v>
      </c>
      <c r="L140" s="69">
        <f t="shared" si="17"/>
        <v>1148</v>
      </c>
      <c r="M140" s="7">
        <f t="shared" si="18"/>
        <v>27</v>
      </c>
    </row>
    <row r="141" spans="2:13">
      <c r="B141" s="7">
        <v>139</v>
      </c>
      <c r="C141" s="7">
        <f t="shared" si="19"/>
        <v>55600</v>
      </c>
      <c r="D141" s="7">
        <f t="shared" si="20"/>
        <v>695000</v>
      </c>
      <c r="E141" s="7">
        <f t="shared" si="21"/>
        <v>139000</v>
      </c>
      <c r="F141" s="7">
        <f t="shared" si="22"/>
        <v>139</v>
      </c>
      <c r="G141" s="7">
        <f t="shared" si="23"/>
        <v>27.513083333333338</v>
      </c>
      <c r="H141" s="7">
        <f>SUM($G$3:G141)</f>
        <v>1178.1624166666668</v>
      </c>
      <c r="I141" s="7">
        <v>17</v>
      </c>
      <c r="J141" s="7">
        <f t="shared" si="24"/>
        <v>9450</v>
      </c>
      <c r="L141" s="69">
        <f t="shared" si="17"/>
        <v>1175</v>
      </c>
      <c r="M141" s="7">
        <f t="shared" si="18"/>
        <v>28</v>
      </c>
    </row>
    <row r="142" spans="2:13">
      <c r="B142" s="7">
        <v>140</v>
      </c>
      <c r="C142" s="7">
        <f t="shared" si="19"/>
        <v>56000</v>
      </c>
      <c r="D142" s="7">
        <f t="shared" si="20"/>
        <v>700000</v>
      </c>
      <c r="E142" s="7">
        <f t="shared" si="21"/>
        <v>140000</v>
      </c>
      <c r="F142" s="7">
        <f t="shared" si="22"/>
        <v>140</v>
      </c>
      <c r="G142" s="7">
        <f t="shared" si="23"/>
        <v>27.908333333333335</v>
      </c>
      <c r="H142" s="7">
        <f>SUM($G$3:G142)</f>
        <v>1206.0707500000001</v>
      </c>
      <c r="I142" s="7">
        <v>17</v>
      </c>
      <c r="J142" s="7">
        <f t="shared" si="24"/>
        <v>9500</v>
      </c>
      <c r="L142" s="69">
        <f t="shared" si="17"/>
        <v>1203</v>
      </c>
      <c r="M142" s="7">
        <f t="shared" si="18"/>
        <v>28</v>
      </c>
    </row>
    <row r="143" spans="2:13">
      <c r="B143" s="7">
        <v>141</v>
      </c>
      <c r="C143" s="7">
        <f t="shared" si="19"/>
        <v>56400</v>
      </c>
      <c r="D143" s="7">
        <f t="shared" si="20"/>
        <v>705000</v>
      </c>
      <c r="E143" s="7">
        <f t="shared" si="21"/>
        <v>141000</v>
      </c>
      <c r="F143" s="7">
        <f t="shared" si="22"/>
        <v>141</v>
      </c>
      <c r="G143" s="7">
        <f t="shared" si="23"/>
        <v>28.306416666666671</v>
      </c>
      <c r="H143" s="7">
        <f>SUM($G$3:G143)</f>
        <v>1234.3771666666667</v>
      </c>
      <c r="I143" s="7">
        <v>17</v>
      </c>
      <c r="J143" s="7">
        <f t="shared" si="24"/>
        <v>9550</v>
      </c>
      <c r="L143" s="69">
        <f t="shared" si="17"/>
        <v>1231</v>
      </c>
      <c r="M143" s="7">
        <f t="shared" si="18"/>
        <v>29</v>
      </c>
    </row>
    <row r="144" spans="2:13">
      <c r="B144" s="7">
        <v>142</v>
      </c>
      <c r="C144" s="7">
        <f t="shared" si="19"/>
        <v>56800</v>
      </c>
      <c r="D144" s="7">
        <f t="shared" si="20"/>
        <v>710000</v>
      </c>
      <c r="E144" s="7">
        <f t="shared" si="21"/>
        <v>142000</v>
      </c>
      <c r="F144" s="7">
        <f t="shared" si="22"/>
        <v>142</v>
      </c>
      <c r="G144" s="7">
        <f t="shared" si="23"/>
        <v>28.707333333333338</v>
      </c>
      <c r="H144" s="7">
        <f>SUM($G$3:G144)</f>
        <v>1263.0844999999999</v>
      </c>
      <c r="I144" s="7">
        <v>17</v>
      </c>
      <c r="J144" s="7">
        <f t="shared" si="24"/>
        <v>9600</v>
      </c>
      <c r="L144" s="69">
        <f t="shared" si="17"/>
        <v>1260</v>
      </c>
      <c r="M144" s="7">
        <f t="shared" si="18"/>
        <v>29</v>
      </c>
    </row>
    <row r="145" spans="2:13">
      <c r="B145" s="7">
        <v>143</v>
      </c>
      <c r="C145" s="7">
        <f t="shared" si="19"/>
        <v>57200</v>
      </c>
      <c r="D145" s="7">
        <f t="shared" si="20"/>
        <v>715000</v>
      </c>
      <c r="E145" s="7">
        <f t="shared" si="21"/>
        <v>143000</v>
      </c>
      <c r="F145" s="7">
        <f t="shared" si="22"/>
        <v>143</v>
      </c>
      <c r="G145" s="7">
        <f t="shared" si="23"/>
        <v>29.111083333333337</v>
      </c>
      <c r="H145" s="7">
        <f>SUM($G$3:G145)</f>
        <v>1292.1955833333332</v>
      </c>
      <c r="I145" s="7">
        <v>17</v>
      </c>
      <c r="J145" s="7">
        <f t="shared" si="24"/>
        <v>9650</v>
      </c>
      <c r="L145" s="69">
        <f t="shared" si="17"/>
        <v>1289</v>
      </c>
      <c r="M145" s="7">
        <f t="shared" si="18"/>
        <v>29</v>
      </c>
    </row>
    <row r="146" spans="2:13">
      <c r="B146" s="7">
        <v>144</v>
      </c>
      <c r="C146" s="7">
        <f t="shared" si="19"/>
        <v>57600</v>
      </c>
      <c r="D146" s="7">
        <f t="shared" si="20"/>
        <v>720000</v>
      </c>
      <c r="E146" s="7">
        <f t="shared" si="21"/>
        <v>144000</v>
      </c>
      <c r="F146" s="7">
        <f t="shared" si="22"/>
        <v>144</v>
      </c>
      <c r="G146" s="7">
        <f t="shared" si="23"/>
        <v>29.51766666666667</v>
      </c>
      <c r="H146" s="7">
        <f>SUM($G$3:G146)</f>
        <v>1321.7132499999998</v>
      </c>
      <c r="I146" s="7">
        <v>17</v>
      </c>
      <c r="J146" s="7">
        <f t="shared" si="24"/>
        <v>9700</v>
      </c>
      <c r="L146" s="69">
        <f t="shared" si="17"/>
        <v>1318</v>
      </c>
      <c r="M146" s="7">
        <f t="shared" si="18"/>
        <v>30</v>
      </c>
    </row>
    <row r="147" spans="2:13">
      <c r="B147" s="7">
        <v>145</v>
      </c>
      <c r="C147" s="7">
        <f t="shared" si="19"/>
        <v>58000</v>
      </c>
      <c r="D147" s="7">
        <f t="shared" si="20"/>
        <v>725000</v>
      </c>
      <c r="E147" s="7">
        <f t="shared" si="21"/>
        <v>145000</v>
      </c>
      <c r="F147" s="7">
        <f t="shared" si="22"/>
        <v>145</v>
      </c>
      <c r="G147" s="7">
        <f t="shared" si="23"/>
        <v>29.927083333333336</v>
      </c>
      <c r="H147" s="7">
        <f>SUM($G$3:G147)</f>
        <v>1351.640333333333</v>
      </c>
      <c r="I147" s="7">
        <v>17</v>
      </c>
      <c r="J147" s="7">
        <f t="shared" si="24"/>
        <v>9750</v>
      </c>
      <c r="L147" s="69">
        <f t="shared" si="17"/>
        <v>1348</v>
      </c>
      <c r="M147" s="7">
        <f t="shared" si="18"/>
        <v>30</v>
      </c>
    </row>
    <row r="148" spans="2:13">
      <c r="B148" s="7">
        <v>146</v>
      </c>
      <c r="C148" s="7">
        <f t="shared" si="19"/>
        <v>58400</v>
      </c>
      <c r="D148" s="7">
        <f t="shared" si="20"/>
        <v>730000</v>
      </c>
      <c r="E148" s="7">
        <f t="shared" si="21"/>
        <v>146000</v>
      </c>
      <c r="F148" s="7">
        <f t="shared" si="22"/>
        <v>146</v>
      </c>
      <c r="G148" s="7">
        <f t="shared" si="23"/>
        <v>30.339333333333332</v>
      </c>
      <c r="H148" s="7">
        <f>SUM($G$3:G148)</f>
        <v>1381.9796666666664</v>
      </c>
      <c r="I148" s="7">
        <v>17</v>
      </c>
      <c r="J148" s="7">
        <f t="shared" si="24"/>
        <v>9800</v>
      </c>
      <c r="L148" s="69">
        <f t="shared" si="17"/>
        <v>1378</v>
      </c>
      <c r="M148" s="7">
        <f t="shared" si="18"/>
        <v>31</v>
      </c>
    </row>
    <row r="149" spans="2:13">
      <c r="B149" s="7">
        <v>147</v>
      </c>
      <c r="C149" s="7">
        <f t="shared" si="19"/>
        <v>58800</v>
      </c>
      <c r="D149" s="7">
        <f t="shared" si="20"/>
        <v>735000</v>
      </c>
      <c r="E149" s="7">
        <f t="shared" si="21"/>
        <v>147000</v>
      </c>
      <c r="F149" s="7">
        <f t="shared" si="22"/>
        <v>147</v>
      </c>
      <c r="G149" s="7">
        <f t="shared" si="23"/>
        <v>30.754416666666671</v>
      </c>
      <c r="H149" s="7">
        <f>SUM($G$3:G149)</f>
        <v>1412.734083333333</v>
      </c>
      <c r="I149" s="7">
        <v>17</v>
      </c>
      <c r="J149" s="7">
        <f t="shared" si="24"/>
        <v>9850</v>
      </c>
      <c r="L149" s="69">
        <f t="shared" si="17"/>
        <v>1409</v>
      </c>
      <c r="M149" s="7">
        <f t="shared" si="18"/>
        <v>31</v>
      </c>
    </row>
    <row r="150" spans="2:13">
      <c r="B150" s="7">
        <v>148</v>
      </c>
      <c r="C150" s="7">
        <f t="shared" si="19"/>
        <v>59200</v>
      </c>
      <c r="D150" s="7">
        <f t="shared" si="20"/>
        <v>740000</v>
      </c>
      <c r="E150" s="7">
        <f t="shared" si="21"/>
        <v>148000</v>
      </c>
      <c r="F150" s="7">
        <f t="shared" si="22"/>
        <v>148</v>
      </c>
      <c r="G150" s="7">
        <f t="shared" si="23"/>
        <v>31.172333333333334</v>
      </c>
      <c r="H150" s="7">
        <f>SUM($G$3:G150)</f>
        <v>1443.9064166666665</v>
      </c>
      <c r="I150" s="7">
        <v>17</v>
      </c>
      <c r="J150" s="7">
        <f t="shared" si="24"/>
        <v>9900</v>
      </c>
      <c r="L150" s="69">
        <f t="shared" si="17"/>
        <v>1440</v>
      </c>
      <c r="M150" s="7">
        <f t="shared" si="18"/>
        <v>31</v>
      </c>
    </row>
    <row r="151" spans="2:13">
      <c r="B151" s="7">
        <v>149</v>
      </c>
      <c r="C151" s="7">
        <f t="shared" si="19"/>
        <v>59600</v>
      </c>
      <c r="D151" s="7">
        <f t="shared" si="20"/>
        <v>745000</v>
      </c>
      <c r="E151" s="7">
        <f t="shared" si="21"/>
        <v>149000</v>
      </c>
      <c r="F151" s="7">
        <f t="shared" si="22"/>
        <v>149</v>
      </c>
      <c r="G151" s="7">
        <f t="shared" si="23"/>
        <v>31.593083333333336</v>
      </c>
      <c r="H151" s="7">
        <f>SUM($G$3:G151)</f>
        <v>1475.4994999999999</v>
      </c>
      <c r="I151" s="7">
        <v>17</v>
      </c>
      <c r="J151" s="7">
        <f t="shared" si="24"/>
        <v>9950</v>
      </c>
      <c r="L151" s="69">
        <f t="shared" si="17"/>
        <v>1471</v>
      </c>
      <c r="M151" s="7">
        <f t="shared" si="18"/>
        <v>32</v>
      </c>
    </row>
    <row r="152" spans="2:13">
      <c r="B152" s="7">
        <v>150</v>
      </c>
      <c r="C152" s="7">
        <f t="shared" si="19"/>
        <v>60000</v>
      </c>
      <c r="D152" s="7">
        <f t="shared" si="20"/>
        <v>750000</v>
      </c>
      <c r="E152" s="7">
        <f t="shared" si="21"/>
        <v>150000</v>
      </c>
      <c r="F152" s="7">
        <f t="shared" si="22"/>
        <v>150</v>
      </c>
      <c r="G152" s="7">
        <f t="shared" si="23"/>
        <v>32.016666666666673</v>
      </c>
      <c r="H152" s="7">
        <f>SUM($G$3:G152)</f>
        <v>1507.5161666666665</v>
      </c>
      <c r="I152" s="7">
        <v>17</v>
      </c>
      <c r="J152" s="7">
        <f t="shared" si="24"/>
        <v>10000</v>
      </c>
      <c r="L152" s="69">
        <f t="shared" si="17"/>
        <v>1503</v>
      </c>
      <c r="M152" s="7">
        <f t="shared" si="18"/>
        <v>32</v>
      </c>
    </row>
    <row r="153" spans="2:13">
      <c r="B153" s="7"/>
    </row>
    <row r="154" spans="2:13">
      <c r="B154" s="7"/>
    </row>
    <row r="155" spans="2:13">
      <c r="B155" s="7"/>
    </row>
    <row r="156" spans="2:13">
      <c r="B156" s="7"/>
    </row>
    <row r="157" spans="2:13">
      <c r="B157" s="7"/>
    </row>
    <row r="158" spans="2:13">
      <c r="B158" s="7"/>
    </row>
    <row r="159" spans="2:13">
      <c r="B159" s="7"/>
    </row>
    <row r="160" spans="2:13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</sheetData>
  <autoFilter ref="B2:M152">
    <filterColumn colId="11"/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BQ152"/>
  <sheetViews>
    <sheetView workbookViewId="0">
      <pane xSplit="2" ySplit="2" topLeftCell="AF127" activePane="bottomRight" state="frozen"/>
      <selection pane="topRight" activeCell="C1" sqref="C1"/>
      <selection pane="bottomLeft" activeCell="A3" sqref="A3"/>
      <selection pane="bottomRight" activeCell="AI146" sqref="AI146"/>
    </sheetView>
  </sheetViews>
  <sheetFormatPr defaultRowHeight="13.5"/>
  <cols>
    <col min="1" max="1" width="6.625" style="13" customWidth="1"/>
    <col min="2" max="2" width="6.625" style="84" customWidth="1"/>
    <col min="3" max="31" width="3.625" style="7" customWidth="1"/>
    <col min="32" max="57" width="4.625" customWidth="1"/>
    <col min="58" max="59" width="4.625" style="7" customWidth="1"/>
    <col min="60" max="60" width="4.625" customWidth="1"/>
    <col min="61" max="61" width="6.625" customWidth="1"/>
    <col min="62" max="62" width="9.5" bestFit="1" customWidth="1"/>
    <col min="63" max="63" width="8.5" bestFit="1" customWidth="1"/>
    <col min="64" max="64" width="9.5" bestFit="1" customWidth="1"/>
    <col min="65" max="65" width="6.625" customWidth="1"/>
    <col min="66" max="66" width="9.625" customWidth="1"/>
    <col min="67" max="67" width="6.625" customWidth="1"/>
  </cols>
  <sheetData>
    <row r="1" spans="1:69">
      <c r="A1" s="27"/>
      <c r="B1" s="30"/>
      <c r="C1" s="185" t="s">
        <v>57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7"/>
      <c r="AF1" s="170" t="s">
        <v>60</v>
      </c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1"/>
      <c r="AV1" s="182" t="s">
        <v>59</v>
      </c>
      <c r="AW1" s="183"/>
      <c r="AX1" s="183"/>
      <c r="AY1" s="183"/>
      <c r="AZ1" s="183"/>
      <c r="BA1" s="183"/>
      <c r="BB1" s="183"/>
      <c r="BC1" s="183"/>
      <c r="BD1" s="183"/>
      <c r="BE1" s="184"/>
      <c r="BF1" s="67"/>
      <c r="BG1" s="178" t="s">
        <v>61</v>
      </c>
      <c r="BH1" s="179"/>
      <c r="BI1" s="7"/>
      <c r="BJ1" s="7"/>
      <c r="BK1" s="7"/>
      <c r="BL1" s="7"/>
      <c r="BM1" s="7"/>
      <c r="BN1" s="7"/>
      <c r="BO1" s="7"/>
      <c r="BP1" s="7"/>
      <c r="BQ1" s="7"/>
    </row>
    <row r="2" spans="1:69" ht="181.5" customHeight="1">
      <c r="A2" s="28" t="s">
        <v>4</v>
      </c>
      <c r="B2" s="28" t="s">
        <v>367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66" t="s">
        <v>21</v>
      </c>
      <c r="AD2" s="17" t="s">
        <v>388</v>
      </c>
      <c r="AE2" s="17" t="s">
        <v>239</v>
      </c>
      <c r="AF2" s="15" t="s">
        <v>31</v>
      </c>
      <c r="AG2" s="15" t="s">
        <v>140</v>
      </c>
      <c r="AH2" s="15" t="s">
        <v>32</v>
      </c>
      <c r="AI2" s="15" t="s">
        <v>47</v>
      </c>
      <c r="AJ2" s="15" t="s">
        <v>33</v>
      </c>
      <c r="AK2" s="15" t="s">
        <v>7</v>
      </c>
      <c r="AL2" s="15" t="s">
        <v>138</v>
      </c>
      <c r="AM2" s="15" t="s">
        <v>387</v>
      </c>
      <c r="AN2" s="15" t="s">
        <v>139</v>
      </c>
      <c r="AO2" s="15" t="s">
        <v>372</v>
      </c>
      <c r="AP2" s="15" t="s">
        <v>471</v>
      </c>
      <c r="AQ2" s="15" t="s">
        <v>27</v>
      </c>
      <c r="AR2" s="15" t="s">
        <v>12</v>
      </c>
      <c r="AS2" s="15" t="s">
        <v>11</v>
      </c>
      <c r="AT2" s="15" t="s">
        <v>40</v>
      </c>
      <c r="AU2" s="15" t="s">
        <v>509</v>
      </c>
      <c r="AV2" s="16" t="s">
        <v>48</v>
      </c>
      <c r="AW2" s="16" t="s">
        <v>156</v>
      </c>
      <c r="AX2" s="16" t="s">
        <v>49</v>
      </c>
      <c r="AY2" s="16" t="s">
        <v>50</v>
      </c>
      <c r="AZ2" s="16" t="s">
        <v>161</v>
      </c>
      <c r="BA2" s="16" t="s">
        <v>36</v>
      </c>
      <c r="BB2" s="16" t="s">
        <v>380</v>
      </c>
      <c r="BC2" s="16" t="s">
        <v>477</v>
      </c>
      <c r="BD2" s="16" t="s">
        <v>468</v>
      </c>
      <c r="BE2" s="16" t="s">
        <v>20</v>
      </c>
      <c r="BF2" s="66" t="s">
        <v>21</v>
      </c>
      <c r="BG2" s="17" t="s">
        <v>388</v>
      </c>
      <c r="BH2" s="17" t="s">
        <v>239</v>
      </c>
      <c r="BI2" s="23" t="s">
        <v>54</v>
      </c>
      <c r="BJ2" s="23" t="s">
        <v>53</v>
      </c>
      <c r="BK2" s="23" t="s">
        <v>209</v>
      </c>
      <c r="BL2" s="22" t="s">
        <v>55</v>
      </c>
      <c r="BM2" s="23" t="s">
        <v>52</v>
      </c>
      <c r="BN2" s="24" t="s">
        <v>58</v>
      </c>
      <c r="BO2" s="22" t="s">
        <v>56</v>
      </c>
    </row>
    <row r="3" spans="1:69">
      <c r="A3" s="29">
        <v>1</v>
      </c>
      <c r="B3" s="84">
        <f>升级节奏!C3</f>
        <v>400</v>
      </c>
      <c r="C3" s="53">
        <f>IF(VLOOKUP(C$2,行为概览!$D$3:$J$33,7,0)="","",VLOOKUP(C$2,行为概览!$D$3:$J$33,7,0))</f>
        <v>50</v>
      </c>
      <c r="D3" s="53">
        <f>IF(VLOOKUP(D$2,行为概览!$D$3:$J$33,7,0)="","",VLOOKUP(D$2,行为概览!$D$3:$J$33,7,0))</f>
        <v>3.3</v>
      </c>
      <c r="E3" s="53">
        <f>IF(VLOOKUP(E$2,行为概览!$D$3:$J$33,7,0)="","",VLOOKUP(E$2,行为概览!$D$3:$J$33,7,0))</f>
        <v>30</v>
      </c>
      <c r="F3" s="53">
        <f>IF(VLOOKUP(F$2,行为概览!$D$3:$J$33,7,0)="","",VLOOKUP(F$2,行为概览!$D$3:$J$33,7,0))</f>
        <v>15</v>
      </c>
      <c r="G3" s="53" t="str">
        <f>IF(VLOOKUP(G$2,行为概览!$D$3:$J$33,7,0)="","",VLOOKUP(G$2,行为概览!$D$3:$J$33,7,0))</f>
        <v/>
      </c>
      <c r="H3" s="53" t="str">
        <f>IF(VLOOKUP(H$2,行为概览!$D$3:$J$33,7,0)="","",VLOOKUP(H$2,行为概览!$D$3:$J$33,7,0))</f>
        <v/>
      </c>
      <c r="I3" s="53" t="str">
        <f>IF(VLOOKUP(I$2,行为概览!$D$3:$J$33,7,0)="","",VLOOKUP(I$2,行为概览!$D$3:$J$33,7,0))</f>
        <v/>
      </c>
      <c r="J3" s="53" t="str">
        <f>IF(VLOOKUP(J$2,行为概览!$D$3:$J$33,7,0)="","",VLOOKUP(J$2,行为概览!$D$3:$J$33,7,0))</f>
        <v/>
      </c>
      <c r="K3" s="53">
        <f>IF(VLOOKUP(K$2,行为概览!$D$3:$J$33,7,0)="","",VLOOKUP(K$2,行为概览!$D$3:$J$33,7,0))</f>
        <v>20</v>
      </c>
      <c r="L3" s="53">
        <f>IF(VLOOKUP(L$2,行为概览!$D$3:$J$33,7,0)="","",VLOOKUP(L$2,行为概览!$D$3:$J$33,7,0))</f>
        <v>20</v>
      </c>
      <c r="M3" s="53">
        <f>IF(VLOOKUP(M$2,行为概览!$D$3:$J$33,7,0)="","",VLOOKUP(M$2,行为概览!$D$3:$J$33,7,0))</f>
        <v>40</v>
      </c>
      <c r="N3" s="53">
        <f>IF(VLOOKUP(N$2,行为概览!$D$3:$J$33,7,0)="","",VLOOKUP(N$2,行为概览!$D$3:$J$33,7,0))</f>
        <v>1</v>
      </c>
      <c r="O3" s="53">
        <f>IF(VLOOKUP(O$2,行为概览!$D$3:$J$33,7,0)="","",VLOOKUP(O$2,行为概览!$D$3:$J$33,7,0))</f>
        <v>150</v>
      </c>
      <c r="P3" s="53">
        <f>IF(VLOOKUP(P$2,行为概览!$D$3:$J$33,7,0)="","",VLOOKUP(P$2,行为概览!$D$3:$J$33,7,0))</f>
        <v>10</v>
      </c>
      <c r="Q3" s="53">
        <f>IF(VLOOKUP(Q$2,行为概览!$D$3:$J$33,7,0)="","",VLOOKUP(Q$2,行为概览!$D$3:$J$33,7,0))</f>
        <v>20</v>
      </c>
      <c r="R3" s="53">
        <f>IF(VLOOKUP(R$2,行为概览!$D$3:$J$33,7,0)="","",VLOOKUP(R$2,行为概览!$D$3:$J$33,7,0))</f>
        <v>6</v>
      </c>
      <c r="S3" s="53">
        <f>IF(VLOOKUP(S$2,行为概览!$D$3:$J$33,7,0)="","",VLOOKUP(S$2,行为概览!$D$3:$J$33,7,0))</f>
        <v>20</v>
      </c>
      <c r="T3" s="53">
        <f>IF(VLOOKUP(T$2,行为概览!$D$3:$J$33,7,0)="","",VLOOKUP(T$2,行为概览!$D$3:$J$33,7,0))</f>
        <v>15</v>
      </c>
      <c r="U3" s="53">
        <f>IF(VLOOKUP(U$2,行为概览!$D$3:$J$33,7,0)="","",VLOOKUP(U$2,行为概览!$D$3:$J$33,7,0))</f>
        <v>15</v>
      </c>
      <c r="V3" s="53">
        <f>IF(VLOOKUP(V$2,行为概览!$D$3:$J$33,7,0)="","",VLOOKUP(V$2,行为概览!$D$3:$J$33,7,0))</f>
        <v>40</v>
      </c>
      <c r="W3" s="53">
        <f>IF(VLOOKUP(W$2,行为概览!$D$3:$J$33,7,0)="","",VLOOKUP(W$2,行为概览!$D$3:$J$33,7,0))</f>
        <v>15</v>
      </c>
      <c r="X3" s="53">
        <f>IF(VLOOKUP(X$2,行为概览!$D$3:$J$33,7,0)="","",VLOOKUP(X$2,行为概览!$D$3:$J$33,7,0))</f>
        <v>30</v>
      </c>
      <c r="Y3" s="53">
        <f>IF(VLOOKUP(Y$2,行为概览!$D$3:$J$33,7,0)="","",VLOOKUP(Y$2,行为概览!$D$3:$J$33,7,0))</f>
        <v>25</v>
      </c>
      <c r="Z3" s="53">
        <f>IF(VLOOKUP(Z$2,行为概览!$D$3:$J$33,7,0)="","",VLOOKUP(Z$2,行为概览!$D$3:$J$33,7,0))</f>
        <v>15</v>
      </c>
      <c r="AA3" s="53">
        <f>IF(VLOOKUP(AA$2,行为概览!$D$3:$J$33,7,0)="","",VLOOKUP(AA$2,行为概览!$D$3:$J$33,7,0))</f>
        <v>15</v>
      </c>
      <c r="AB3" s="53" t="str">
        <f>IF(VLOOKUP(AB$2,行为概览!$D$3:$J$33,7,0)="","",VLOOKUP(AB$2,行为概览!$D$3:$J$33,7,0))</f>
        <v/>
      </c>
      <c r="AC3" s="53" t="str">
        <f>IF(VLOOKUP(AC$2,行为概览!$D$3:$J$33,7,0)="","",VLOOKUP(AC$2,行为概览!$D$3:$J$33,7,0))</f>
        <v/>
      </c>
      <c r="AD3" s="53" t="str">
        <f>IF(VLOOKUP(AD$2,行为概览!$D$3:$J$33,7,0)="","",VLOOKUP(AD$2,行为概览!$D$3:$J$33,7,0))</f>
        <v/>
      </c>
      <c r="AE3" s="68" t="str">
        <f>IF(VLOOKUP(AE$2,行为概览!$D$3:$J$33,7,0)="","",VLOOKUP(AE$2,行为概览!$D$3:$J$33,7,0))</f>
        <v/>
      </c>
      <c r="AF3" s="9">
        <f>IF(C3="","",ROUND(C3*玩法行为规划!B3,2))</f>
        <v>0</v>
      </c>
      <c r="AG3" s="25">
        <f>IF(D3="","",ROUND(D3*玩法行为规划!C3,2))</f>
        <v>0</v>
      </c>
      <c r="AH3" s="25">
        <f>IF(E3="","",ROUND(E3*玩法行为规划!D3,2))</f>
        <v>0</v>
      </c>
      <c r="AI3" s="25">
        <f>IF(F3="","",ROUND(F3*玩法行为规划!E3,2))</f>
        <v>0</v>
      </c>
      <c r="AJ3" s="25" t="str">
        <f>IF(G3="","",ROUND(G3*玩法行为规划!F3,2))</f>
        <v/>
      </c>
      <c r="AK3" s="25" t="str">
        <f>IF(H3="","",ROUND(H3*玩法行为规划!G3,2))</f>
        <v/>
      </c>
      <c r="AL3" s="25" t="str">
        <f>IF(I3="","",ROUND(I3*玩法行为规划!H3,2))</f>
        <v/>
      </c>
      <c r="AM3" s="25" t="str">
        <f>IF(J3="","",ROUND(J3*玩法行为规划!I3,2))</f>
        <v/>
      </c>
      <c r="AN3" s="25">
        <f>IF(K3="","",ROUND(K3*玩法行为规划!J3,2))</f>
        <v>0</v>
      </c>
      <c r="AO3" s="25">
        <f>IF(L3="","",ROUND(L3*玩法行为规划!K3,2))</f>
        <v>0</v>
      </c>
      <c r="AP3" s="25">
        <f>IF(M3="","",ROUND(M3*玩法行为规划!L3,2))</f>
        <v>0</v>
      </c>
      <c r="AQ3" s="25">
        <f>IF(N3="","",ROUND(N3*玩法行为规划!M3,2))</f>
        <v>0</v>
      </c>
      <c r="AR3" s="25">
        <f>IF(O3="","",ROUND(O3*玩法行为规划!N3,2))</f>
        <v>0</v>
      </c>
      <c r="AS3" s="25">
        <f>IF(P3="","",ROUND(P3*玩法行为规划!O3,2))</f>
        <v>0</v>
      </c>
      <c r="AT3" s="25">
        <f>IF(Q3="","",ROUND(Q3*玩法行为规划!P3,2))</f>
        <v>52</v>
      </c>
      <c r="AU3" s="25">
        <f>IF(R3="","",ROUND(R3*玩法行为规划!Q3,2))</f>
        <v>0</v>
      </c>
      <c r="AV3" s="25">
        <f>IF(S3="","",ROUND(S3*玩法行为规划!R3,2))</f>
        <v>0</v>
      </c>
      <c r="AW3" s="25">
        <f>IF(T3="","",ROUND(T3*玩法行为规划!S3,2))</f>
        <v>0</v>
      </c>
      <c r="AX3" s="25">
        <f>IF(U3="","",ROUND(U3*玩法行为规划!T3,2))</f>
        <v>0</v>
      </c>
      <c r="AY3" s="25">
        <f>IF(V3="","",ROUND(V3*玩法行为规划!U3,2))</f>
        <v>0</v>
      </c>
      <c r="AZ3" s="25">
        <f>IF(W3="","",ROUND(W3*玩法行为规划!V3,2))</f>
        <v>0</v>
      </c>
      <c r="BA3" s="25">
        <f>IF(X3="","",ROUND(X3*玩法行为规划!W3,2))</f>
        <v>0</v>
      </c>
      <c r="BB3" s="25">
        <f>IF(Y3="","",ROUND(Y3*玩法行为规划!X3,2))</f>
        <v>0</v>
      </c>
      <c r="BC3" s="25">
        <f>IF(Z3="","",ROUND(Z3*玩法行为规划!Y3,2))</f>
        <v>0</v>
      </c>
      <c r="BD3" s="25">
        <f>IF(AA3="","",ROUND(AA3*玩法行为规划!Z3,2))</f>
        <v>0</v>
      </c>
      <c r="BE3" s="25" t="str">
        <f>IF(AB3="","",ROUND(AB3*玩法行为规划!AA3,2))</f>
        <v/>
      </c>
      <c r="BF3" s="25" t="str">
        <f>IF(AC3="","",ROUND(AC3*玩法行为规划!AB3,2))</f>
        <v/>
      </c>
      <c r="BG3" s="25" t="str">
        <f>IF(AD3="","",ROUND(AD3*玩法行为规划!AC3,2))</f>
        <v/>
      </c>
      <c r="BH3" s="26" t="str">
        <f>IF(AE3="","",ROUND(AE3*玩法行为规划!AD3,2))</f>
        <v/>
      </c>
      <c r="BI3">
        <f t="shared" ref="BI3:BI34" si="0">SUM(AF3:BF3)</f>
        <v>52</v>
      </c>
      <c r="BJ3">
        <f t="shared" ref="BJ3:BJ34" si="1">B3*BI3</f>
        <v>20800</v>
      </c>
      <c r="BK3" s="10">
        <f>ROUND(B3*(4+MAX(A3-30,0)*0.6),-2)</f>
        <v>1600</v>
      </c>
      <c r="BL3" s="21">
        <f>SUM(BK3:BK11)</f>
        <v>72000</v>
      </c>
      <c r="BM3">
        <f t="shared" ref="BM3:BM34" si="2">BK3/BN3</f>
        <v>1</v>
      </c>
      <c r="BN3" s="69">
        <f>INT(BJ3*升级节奏!G3+BK3)</f>
        <v>1600</v>
      </c>
      <c r="BO3">
        <f>ROUND(B3/90,0)</f>
        <v>4</v>
      </c>
      <c r="BQ3" s="7"/>
    </row>
    <row r="4" spans="1:69">
      <c r="A4" s="29">
        <v>2</v>
      </c>
      <c r="B4" s="84">
        <f>升级节奏!C4</f>
        <v>800</v>
      </c>
      <c r="C4" s="53">
        <f>IF(VLOOKUP(C$2,行为概览!$D$3:$J$33,7,0)="","",VLOOKUP(C$2,行为概览!$D$3:$J$33,7,0))</f>
        <v>50</v>
      </c>
      <c r="D4" s="53">
        <f>IF(VLOOKUP(D$2,行为概览!$D$3:$J$33,7,0)="","",VLOOKUP(D$2,行为概览!$D$3:$J$33,7,0))</f>
        <v>3.3</v>
      </c>
      <c r="E4" s="53">
        <f>IF(VLOOKUP(E$2,行为概览!$D$3:$J$33,7,0)="","",VLOOKUP(E$2,行为概览!$D$3:$J$33,7,0))</f>
        <v>30</v>
      </c>
      <c r="F4" s="53">
        <f>IF(VLOOKUP(F$2,行为概览!$D$3:$J$33,7,0)="","",VLOOKUP(F$2,行为概览!$D$3:$J$33,7,0))</f>
        <v>15</v>
      </c>
      <c r="G4" s="53" t="str">
        <f>IF(VLOOKUP(G$2,行为概览!$D$3:$J$33,7,0)="","",VLOOKUP(G$2,行为概览!$D$3:$J$33,7,0))</f>
        <v/>
      </c>
      <c r="H4" s="53" t="str">
        <f>IF(VLOOKUP(H$2,行为概览!$D$3:$J$33,7,0)="","",VLOOKUP(H$2,行为概览!$D$3:$J$33,7,0))</f>
        <v/>
      </c>
      <c r="I4" s="53" t="str">
        <f>IF(VLOOKUP(I$2,行为概览!$D$3:$J$33,7,0)="","",VLOOKUP(I$2,行为概览!$D$3:$J$33,7,0))</f>
        <v/>
      </c>
      <c r="J4" s="53" t="str">
        <f>IF(VLOOKUP(J$2,行为概览!$D$3:$J$33,7,0)="","",VLOOKUP(J$2,行为概览!$D$3:$J$33,7,0))</f>
        <v/>
      </c>
      <c r="K4" s="53">
        <f>IF(VLOOKUP(K$2,行为概览!$D$3:$J$33,7,0)="","",VLOOKUP(K$2,行为概览!$D$3:$J$33,7,0))</f>
        <v>20</v>
      </c>
      <c r="L4" s="53">
        <f>IF(VLOOKUP(L$2,行为概览!$D$3:$J$33,7,0)="","",VLOOKUP(L$2,行为概览!$D$3:$J$33,7,0))</f>
        <v>20</v>
      </c>
      <c r="M4" s="53">
        <f>IF(VLOOKUP(M$2,行为概览!$D$3:$J$33,7,0)="","",VLOOKUP(M$2,行为概览!$D$3:$J$33,7,0))</f>
        <v>40</v>
      </c>
      <c r="N4" s="53">
        <f>IF(VLOOKUP(N$2,行为概览!$D$3:$J$33,7,0)="","",VLOOKUP(N$2,行为概览!$D$3:$J$33,7,0))</f>
        <v>1</v>
      </c>
      <c r="O4" s="53">
        <f>IF(VLOOKUP(O$2,行为概览!$D$3:$J$33,7,0)="","",VLOOKUP(O$2,行为概览!$D$3:$J$33,7,0))</f>
        <v>150</v>
      </c>
      <c r="P4" s="53">
        <f>IF(VLOOKUP(P$2,行为概览!$D$3:$J$33,7,0)="","",VLOOKUP(P$2,行为概览!$D$3:$J$33,7,0))</f>
        <v>10</v>
      </c>
      <c r="Q4" s="53">
        <f>IF(VLOOKUP(Q$2,行为概览!$D$3:$J$33,7,0)="","",VLOOKUP(Q$2,行为概览!$D$3:$J$33,7,0))</f>
        <v>20</v>
      </c>
      <c r="R4" s="53">
        <f>IF(VLOOKUP(R$2,行为概览!$D$3:$J$33,7,0)="","",VLOOKUP(R$2,行为概览!$D$3:$J$33,7,0))</f>
        <v>6</v>
      </c>
      <c r="S4" s="53">
        <f>IF(VLOOKUP(S$2,行为概览!$D$3:$J$33,7,0)="","",VLOOKUP(S$2,行为概览!$D$3:$J$33,7,0))</f>
        <v>20</v>
      </c>
      <c r="T4" s="53">
        <f>IF(VLOOKUP(T$2,行为概览!$D$3:$J$33,7,0)="","",VLOOKUP(T$2,行为概览!$D$3:$J$33,7,0))</f>
        <v>15</v>
      </c>
      <c r="U4" s="53">
        <f>IF(VLOOKUP(U$2,行为概览!$D$3:$J$33,7,0)="","",VLOOKUP(U$2,行为概览!$D$3:$J$33,7,0))</f>
        <v>15</v>
      </c>
      <c r="V4" s="53">
        <f>IF(VLOOKUP(V$2,行为概览!$D$3:$J$33,7,0)="","",VLOOKUP(V$2,行为概览!$D$3:$J$33,7,0))</f>
        <v>40</v>
      </c>
      <c r="W4" s="53">
        <f>IF(VLOOKUP(W$2,行为概览!$D$3:$J$33,7,0)="","",VLOOKUP(W$2,行为概览!$D$3:$J$33,7,0))</f>
        <v>15</v>
      </c>
      <c r="X4" s="53">
        <f>IF(VLOOKUP(X$2,行为概览!$D$3:$J$33,7,0)="","",VLOOKUP(X$2,行为概览!$D$3:$J$33,7,0))</f>
        <v>30</v>
      </c>
      <c r="Y4" s="53">
        <f>IF(VLOOKUP(Y$2,行为概览!$D$3:$J$33,7,0)="","",VLOOKUP(Y$2,行为概览!$D$3:$J$33,7,0))</f>
        <v>25</v>
      </c>
      <c r="Z4" s="53">
        <f>IF(VLOOKUP(Z$2,行为概览!$D$3:$J$33,7,0)="","",VLOOKUP(Z$2,行为概览!$D$3:$J$33,7,0))</f>
        <v>15</v>
      </c>
      <c r="AA4" s="53">
        <f>IF(VLOOKUP(AA$2,行为概览!$D$3:$J$33,7,0)="","",VLOOKUP(AA$2,行为概览!$D$3:$J$33,7,0))</f>
        <v>15</v>
      </c>
      <c r="AB4" s="53" t="str">
        <f>IF(VLOOKUP(AB$2,行为概览!$D$3:$J$33,7,0)="","",VLOOKUP(AB$2,行为概览!$D$3:$J$33,7,0))</f>
        <v/>
      </c>
      <c r="AC4" s="53" t="str">
        <f>IF(VLOOKUP(AC$2,行为概览!$D$3:$J$33,7,0)="","",VLOOKUP(AC$2,行为概览!$D$3:$J$33,7,0))</f>
        <v/>
      </c>
      <c r="AD4" s="53" t="str">
        <f>IF(VLOOKUP(AD$2,行为概览!$D$3:$J$33,7,0)="","",VLOOKUP(AD$2,行为概览!$D$3:$J$33,7,0))</f>
        <v/>
      </c>
      <c r="AE4" s="68" t="str">
        <f>IF(VLOOKUP(AE$2,行为概览!$D$3:$J$33,7,0)="","",VLOOKUP(AE$2,行为概览!$D$3:$J$33,7,0))</f>
        <v/>
      </c>
      <c r="AF4" s="1">
        <f>IF(C4="","",ROUND(C4*玩法行为规划!B4,2))</f>
        <v>0</v>
      </c>
      <c r="AG4" s="2">
        <f>IF(D4="","",ROUND(D4*玩法行为规划!C4,2))</f>
        <v>0</v>
      </c>
      <c r="AH4" s="2">
        <f>IF(E4="","",ROUND(E4*玩法行为规划!D4,2))</f>
        <v>0</v>
      </c>
      <c r="AI4" s="2">
        <f>IF(F4="","",ROUND(F4*玩法行为规划!E4,2))</f>
        <v>0</v>
      </c>
      <c r="AJ4" s="2" t="str">
        <f>IF(G4="","",ROUND(G4*玩法行为规划!F4,2))</f>
        <v/>
      </c>
      <c r="AK4" s="2" t="str">
        <f>IF(H4="","",ROUND(H4*玩法行为规划!G4,2))</f>
        <v/>
      </c>
      <c r="AL4" s="2" t="str">
        <f>IF(I4="","",ROUND(I4*玩法行为规划!H4,2))</f>
        <v/>
      </c>
      <c r="AM4" s="2" t="str">
        <f>IF(J4="","",ROUND(J4*玩法行为规划!I4,2))</f>
        <v/>
      </c>
      <c r="AN4" s="2">
        <f>IF(K4="","",ROUND(K4*玩法行为规划!J4,2))</f>
        <v>0</v>
      </c>
      <c r="AO4" s="2">
        <f>IF(L4="","",ROUND(L4*玩法行为规划!K4,2))</f>
        <v>0</v>
      </c>
      <c r="AP4" s="2">
        <f>IF(M4="","",ROUND(M4*玩法行为规划!L4,2))</f>
        <v>0</v>
      </c>
      <c r="AQ4" s="2">
        <f>IF(N4="","",ROUND(N4*玩法行为规划!M4,2))</f>
        <v>0</v>
      </c>
      <c r="AR4" s="2">
        <f>IF(O4="","",ROUND(O4*玩法行为规划!N4,2))</f>
        <v>0</v>
      </c>
      <c r="AS4" s="2">
        <f>IF(P4="","",ROUND(P4*玩法行为规划!O4,2))</f>
        <v>0</v>
      </c>
      <c r="AT4" s="2">
        <f>IF(Q4="","",ROUND(Q4*玩法行为规划!P4,2))</f>
        <v>52</v>
      </c>
      <c r="AU4" s="2">
        <f>IF(R4="","",ROUND(R4*玩法行为规划!Q4,2))</f>
        <v>0</v>
      </c>
      <c r="AV4" s="2">
        <f>IF(S4="","",ROUND(S4*玩法行为规划!R4,2))</f>
        <v>0</v>
      </c>
      <c r="AW4" s="2">
        <f>IF(T4="","",ROUND(T4*玩法行为规划!S4,2))</f>
        <v>0</v>
      </c>
      <c r="AX4" s="2">
        <f>IF(U4="","",ROUND(U4*玩法行为规划!T4,2))</f>
        <v>0</v>
      </c>
      <c r="AY4" s="2">
        <f>IF(V4="","",ROUND(V4*玩法行为规划!U4,2))</f>
        <v>0</v>
      </c>
      <c r="AZ4" s="2">
        <f>IF(W4="","",ROUND(W4*玩法行为规划!V4,2))</f>
        <v>0</v>
      </c>
      <c r="BA4" s="2">
        <f>IF(X4="","",ROUND(X4*玩法行为规划!W4,2))</f>
        <v>0</v>
      </c>
      <c r="BB4" s="2">
        <f>IF(Y4="","",ROUND(Y4*玩法行为规划!X4,2))</f>
        <v>0</v>
      </c>
      <c r="BC4" s="2">
        <f>IF(Z4="","",ROUND(Z4*玩法行为规划!Y4,2))</f>
        <v>0</v>
      </c>
      <c r="BD4" s="2">
        <f>IF(AA4="","",ROUND(AA4*玩法行为规划!Z4,2))</f>
        <v>0</v>
      </c>
      <c r="BE4" s="2" t="str">
        <f>IF(AB4="","",ROUND(AB4*玩法行为规划!AA4,2))</f>
        <v/>
      </c>
      <c r="BF4" s="2" t="str">
        <f>IF(AC4="","",ROUND(AC4*玩法行为规划!AB4,2))</f>
        <v/>
      </c>
      <c r="BG4" s="2" t="str">
        <f>IF(AD4="","",ROUND(AD4*玩法行为规划!AC4,2))</f>
        <v/>
      </c>
      <c r="BH4" s="3" t="str">
        <f>IF(AE4="","",ROUND(AE4*玩法行为规划!AD4,2))</f>
        <v/>
      </c>
      <c r="BI4" s="7">
        <f t="shared" si="0"/>
        <v>52</v>
      </c>
      <c r="BJ4" s="7">
        <f t="shared" si="1"/>
        <v>41600</v>
      </c>
      <c r="BK4" s="10">
        <f t="shared" ref="BK4:BK61" si="3">ROUND(B4*(4+MAX(A4-30,0)*0.6),-2)</f>
        <v>3200</v>
      </c>
      <c r="BL4" s="21"/>
      <c r="BM4" s="7">
        <f t="shared" si="2"/>
        <v>1</v>
      </c>
      <c r="BN4" s="69">
        <f>INT(BJ4*升级节奏!G4+BK4)</f>
        <v>3200</v>
      </c>
      <c r="BO4" s="7">
        <f t="shared" ref="BO4:BO67" si="4">ROUND(B4/90,0)</f>
        <v>9</v>
      </c>
      <c r="BP4" s="7"/>
      <c r="BQ4" s="7"/>
    </row>
    <row r="5" spans="1:69">
      <c r="A5" s="29">
        <v>3</v>
      </c>
      <c r="B5" s="84">
        <f>升级节奏!C5</f>
        <v>1200</v>
      </c>
      <c r="C5" s="53">
        <f>IF(VLOOKUP(C$2,行为概览!$D$3:$J$33,7,0)="","",VLOOKUP(C$2,行为概览!$D$3:$J$33,7,0))</f>
        <v>50</v>
      </c>
      <c r="D5" s="53">
        <f>IF(VLOOKUP(D$2,行为概览!$D$3:$J$33,7,0)="","",VLOOKUP(D$2,行为概览!$D$3:$J$33,7,0))</f>
        <v>3.3</v>
      </c>
      <c r="E5" s="53">
        <f>IF(VLOOKUP(E$2,行为概览!$D$3:$J$33,7,0)="","",VLOOKUP(E$2,行为概览!$D$3:$J$33,7,0))</f>
        <v>30</v>
      </c>
      <c r="F5" s="53">
        <f>IF(VLOOKUP(F$2,行为概览!$D$3:$J$33,7,0)="","",VLOOKUP(F$2,行为概览!$D$3:$J$33,7,0))</f>
        <v>15</v>
      </c>
      <c r="G5" s="53" t="str">
        <f>IF(VLOOKUP(G$2,行为概览!$D$3:$J$33,7,0)="","",VLOOKUP(G$2,行为概览!$D$3:$J$33,7,0))</f>
        <v/>
      </c>
      <c r="H5" s="53" t="str">
        <f>IF(VLOOKUP(H$2,行为概览!$D$3:$J$33,7,0)="","",VLOOKUP(H$2,行为概览!$D$3:$J$33,7,0))</f>
        <v/>
      </c>
      <c r="I5" s="53" t="str">
        <f>IF(VLOOKUP(I$2,行为概览!$D$3:$J$33,7,0)="","",VLOOKUP(I$2,行为概览!$D$3:$J$33,7,0))</f>
        <v/>
      </c>
      <c r="J5" s="53" t="str">
        <f>IF(VLOOKUP(J$2,行为概览!$D$3:$J$33,7,0)="","",VLOOKUP(J$2,行为概览!$D$3:$J$33,7,0))</f>
        <v/>
      </c>
      <c r="K5" s="53">
        <f>IF(VLOOKUP(K$2,行为概览!$D$3:$J$33,7,0)="","",VLOOKUP(K$2,行为概览!$D$3:$J$33,7,0))</f>
        <v>20</v>
      </c>
      <c r="L5" s="53">
        <f>IF(VLOOKUP(L$2,行为概览!$D$3:$J$33,7,0)="","",VLOOKUP(L$2,行为概览!$D$3:$J$33,7,0))</f>
        <v>20</v>
      </c>
      <c r="M5" s="53">
        <f>IF(VLOOKUP(M$2,行为概览!$D$3:$J$33,7,0)="","",VLOOKUP(M$2,行为概览!$D$3:$J$33,7,0))</f>
        <v>40</v>
      </c>
      <c r="N5" s="53">
        <f>IF(VLOOKUP(N$2,行为概览!$D$3:$J$33,7,0)="","",VLOOKUP(N$2,行为概览!$D$3:$J$33,7,0))</f>
        <v>1</v>
      </c>
      <c r="O5" s="53">
        <f>IF(VLOOKUP(O$2,行为概览!$D$3:$J$33,7,0)="","",VLOOKUP(O$2,行为概览!$D$3:$J$33,7,0))</f>
        <v>150</v>
      </c>
      <c r="P5" s="53">
        <f>IF(VLOOKUP(P$2,行为概览!$D$3:$J$33,7,0)="","",VLOOKUP(P$2,行为概览!$D$3:$J$33,7,0))</f>
        <v>10</v>
      </c>
      <c r="Q5" s="53">
        <f>IF(VLOOKUP(Q$2,行为概览!$D$3:$J$33,7,0)="","",VLOOKUP(Q$2,行为概览!$D$3:$J$33,7,0))</f>
        <v>20</v>
      </c>
      <c r="R5" s="53">
        <f>IF(VLOOKUP(R$2,行为概览!$D$3:$J$33,7,0)="","",VLOOKUP(R$2,行为概览!$D$3:$J$33,7,0))</f>
        <v>6</v>
      </c>
      <c r="S5" s="53">
        <f>IF(VLOOKUP(S$2,行为概览!$D$3:$J$33,7,0)="","",VLOOKUP(S$2,行为概览!$D$3:$J$33,7,0))</f>
        <v>20</v>
      </c>
      <c r="T5" s="53">
        <f>IF(VLOOKUP(T$2,行为概览!$D$3:$J$33,7,0)="","",VLOOKUP(T$2,行为概览!$D$3:$J$33,7,0))</f>
        <v>15</v>
      </c>
      <c r="U5" s="53">
        <f>IF(VLOOKUP(U$2,行为概览!$D$3:$J$33,7,0)="","",VLOOKUP(U$2,行为概览!$D$3:$J$33,7,0))</f>
        <v>15</v>
      </c>
      <c r="V5" s="53">
        <f>IF(VLOOKUP(V$2,行为概览!$D$3:$J$33,7,0)="","",VLOOKUP(V$2,行为概览!$D$3:$J$33,7,0))</f>
        <v>40</v>
      </c>
      <c r="W5" s="53">
        <f>IF(VLOOKUP(W$2,行为概览!$D$3:$J$33,7,0)="","",VLOOKUP(W$2,行为概览!$D$3:$J$33,7,0))</f>
        <v>15</v>
      </c>
      <c r="X5" s="53">
        <f>IF(VLOOKUP(X$2,行为概览!$D$3:$J$33,7,0)="","",VLOOKUP(X$2,行为概览!$D$3:$J$33,7,0))</f>
        <v>30</v>
      </c>
      <c r="Y5" s="53">
        <f>IF(VLOOKUP(Y$2,行为概览!$D$3:$J$33,7,0)="","",VLOOKUP(Y$2,行为概览!$D$3:$J$33,7,0))</f>
        <v>25</v>
      </c>
      <c r="Z5" s="53">
        <f>IF(VLOOKUP(Z$2,行为概览!$D$3:$J$33,7,0)="","",VLOOKUP(Z$2,行为概览!$D$3:$J$33,7,0))</f>
        <v>15</v>
      </c>
      <c r="AA5" s="53">
        <f>IF(VLOOKUP(AA$2,行为概览!$D$3:$J$33,7,0)="","",VLOOKUP(AA$2,行为概览!$D$3:$J$33,7,0))</f>
        <v>15</v>
      </c>
      <c r="AB5" s="53" t="str">
        <f>IF(VLOOKUP(AB$2,行为概览!$D$3:$J$33,7,0)="","",VLOOKUP(AB$2,行为概览!$D$3:$J$33,7,0))</f>
        <v/>
      </c>
      <c r="AC5" s="53" t="str">
        <f>IF(VLOOKUP(AC$2,行为概览!$D$3:$J$33,7,0)="","",VLOOKUP(AC$2,行为概览!$D$3:$J$33,7,0))</f>
        <v/>
      </c>
      <c r="AD5" s="53" t="str">
        <f>IF(VLOOKUP(AD$2,行为概览!$D$3:$J$33,7,0)="","",VLOOKUP(AD$2,行为概览!$D$3:$J$33,7,0))</f>
        <v/>
      </c>
      <c r="AE5" s="68" t="str">
        <f>IF(VLOOKUP(AE$2,行为概览!$D$3:$J$33,7,0)="","",VLOOKUP(AE$2,行为概览!$D$3:$J$33,7,0))</f>
        <v/>
      </c>
      <c r="AF5" s="1">
        <f>IF(C5="","",ROUND(C5*玩法行为规划!B5,2))</f>
        <v>0</v>
      </c>
      <c r="AG5" s="2">
        <f>IF(D5="","",ROUND(D5*玩法行为规划!C5,2))</f>
        <v>0</v>
      </c>
      <c r="AH5" s="2">
        <f>IF(E5="","",ROUND(E5*玩法行为规划!D5,2))</f>
        <v>0</v>
      </c>
      <c r="AI5" s="2">
        <f>IF(F5="","",ROUND(F5*玩法行为规划!E5,2))</f>
        <v>0</v>
      </c>
      <c r="AJ5" s="2" t="str">
        <f>IF(G5="","",ROUND(G5*玩法行为规划!F5,2))</f>
        <v/>
      </c>
      <c r="AK5" s="2" t="str">
        <f>IF(H5="","",ROUND(H5*玩法行为规划!G5,2))</f>
        <v/>
      </c>
      <c r="AL5" s="2" t="str">
        <f>IF(I5="","",ROUND(I5*玩法行为规划!H5,2))</f>
        <v/>
      </c>
      <c r="AM5" s="2" t="str">
        <f>IF(J5="","",ROUND(J5*玩法行为规划!I5,2))</f>
        <v/>
      </c>
      <c r="AN5" s="2">
        <f>IF(K5="","",ROUND(K5*玩法行为规划!J5,2))</f>
        <v>0</v>
      </c>
      <c r="AO5" s="2">
        <f>IF(L5="","",ROUND(L5*玩法行为规划!K5,2))</f>
        <v>0</v>
      </c>
      <c r="AP5" s="2">
        <f>IF(M5="","",ROUND(M5*玩法行为规划!L5,2))</f>
        <v>0</v>
      </c>
      <c r="AQ5" s="2">
        <f>IF(N5="","",ROUND(N5*玩法行为规划!M5,2))</f>
        <v>0</v>
      </c>
      <c r="AR5" s="2">
        <f>IF(O5="","",ROUND(O5*玩法行为规划!N5,2))</f>
        <v>0</v>
      </c>
      <c r="AS5" s="2">
        <f>IF(P5="","",ROUND(P5*玩法行为规划!O5,2))</f>
        <v>0</v>
      </c>
      <c r="AT5" s="2">
        <f>IF(Q5="","",ROUND(Q5*玩法行为规划!P5,2))</f>
        <v>52</v>
      </c>
      <c r="AU5" s="2">
        <f>IF(R5="","",ROUND(R5*玩法行为规划!Q5,2))</f>
        <v>0</v>
      </c>
      <c r="AV5" s="2">
        <f>IF(S5="","",ROUND(S5*玩法行为规划!R5,2))</f>
        <v>0</v>
      </c>
      <c r="AW5" s="2">
        <f>IF(T5="","",ROUND(T5*玩法行为规划!S5,2))</f>
        <v>0</v>
      </c>
      <c r="AX5" s="2">
        <f>IF(U5="","",ROUND(U5*玩法行为规划!T5,2))</f>
        <v>0</v>
      </c>
      <c r="AY5" s="2">
        <f>IF(V5="","",ROUND(V5*玩法行为规划!U5,2))</f>
        <v>0</v>
      </c>
      <c r="AZ5" s="2">
        <f>IF(W5="","",ROUND(W5*玩法行为规划!V5,2))</f>
        <v>0</v>
      </c>
      <c r="BA5" s="2">
        <f>IF(X5="","",ROUND(X5*玩法行为规划!W5,2))</f>
        <v>0</v>
      </c>
      <c r="BB5" s="2">
        <f>IF(Y5="","",ROUND(Y5*玩法行为规划!X5,2))</f>
        <v>0</v>
      </c>
      <c r="BC5" s="2">
        <f>IF(Z5="","",ROUND(Z5*玩法行为规划!Y5,2))</f>
        <v>0</v>
      </c>
      <c r="BD5" s="2">
        <f>IF(AA5="","",ROUND(AA5*玩法行为规划!Z5,2))</f>
        <v>0</v>
      </c>
      <c r="BE5" s="2" t="str">
        <f>IF(AB5="","",ROUND(AB5*玩法行为规划!AA5,2))</f>
        <v/>
      </c>
      <c r="BF5" s="2" t="str">
        <f>IF(AC5="","",ROUND(AC5*玩法行为规划!AB5,2))</f>
        <v/>
      </c>
      <c r="BG5" s="2" t="str">
        <f>IF(AD5="","",ROUND(AD5*玩法行为规划!AC5,2))</f>
        <v/>
      </c>
      <c r="BH5" s="3" t="str">
        <f>IF(AE5="","",ROUND(AE5*玩法行为规划!AD5,2))</f>
        <v/>
      </c>
      <c r="BI5" s="7">
        <f t="shared" si="0"/>
        <v>52</v>
      </c>
      <c r="BJ5" s="7">
        <f t="shared" si="1"/>
        <v>62400</v>
      </c>
      <c r="BK5" s="10">
        <f t="shared" si="3"/>
        <v>4800</v>
      </c>
      <c r="BL5" s="21"/>
      <c r="BM5" s="7">
        <f t="shared" si="2"/>
        <v>1</v>
      </c>
      <c r="BN5" s="69">
        <f>INT(BJ5*升级节奏!G5+BK5)</f>
        <v>4800</v>
      </c>
      <c r="BO5" s="7">
        <f t="shared" si="4"/>
        <v>13</v>
      </c>
      <c r="BP5" s="7"/>
      <c r="BQ5" s="7"/>
    </row>
    <row r="6" spans="1:69">
      <c r="A6" s="29">
        <v>4</v>
      </c>
      <c r="B6" s="84">
        <f>升级节奏!C6</f>
        <v>1600</v>
      </c>
      <c r="C6" s="53">
        <f>IF(VLOOKUP(C$2,行为概览!$D$3:$J$33,7,0)="","",VLOOKUP(C$2,行为概览!$D$3:$J$33,7,0))</f>
        <v>50</v>
      </c>
      <c r="D6" s="53">
        <f>IF(VLOOKUP(D$2,行为概览!$D$3:$J$33,7,0)="","",VLOOKUP(D$2,行为概览!$D$3:$J$33,7,0))</f>
        <v>3.3</v>
      </c>
      <c r="E6" s="53">
        <f>IF(VLOOKUP(E$2,行为概览!$D$3:$J$33,7,0)="","",VLOOKUP(E$2,行为概览!$D$3:$J$33,7,0))</f>
        <v>30</v>
      </c>
      <c r="F6" s="53">
        <f>IF(VLOOKUP(F$2,行为概览!$D$3:$J$33,7,0)="","",VLOOKUP(F$2,行为概览!$D$3:$J$33,7,0))</f>
        <v>15</v>
      </c>
      <c r="G6" s="53" t="str">
        <f>IF(VLOOKUP(G$2,行为概览!$D$3:$J$33,7,0)="","",VLOOKUP(G$2,行为概览!$D$3:$J$33,7,0))</f>
        <v/>
      </c>
      <c r="H6" s="53" t="str">
        <f>IF(VLOOKUP(H$2,行为概览!$D$3:$J$33,7,0)="","",VLOOKUP(H$2,行为概览!$D$3:$J$33,7,0))</f>
        <v/>
      </c>
      <c r="I6" s="53" t="str">
        <f>IF(VLOOKUP(I$2,行为概览!$D$3:$J$33,7,0)="","",VLOOKUP(I$2,行为概览!$D$3:$J$33,7,0))</f>
        <v/>
      </c>
      <c r="J6" s="53" t="str">
        <f>IF(VLOOKUP(J$2,行为概览!$D$3:$J$33,7,0)="","",VLOOKUP(J$2,行为概览!$D$3:$J$33,7,0))</f>
        <v/>
      </c>
      <c r="K6" s="53">
        <f>IF(VLOOKUP(K$2,行为概览!$D$3:$J$33,7,0)="","",VLOOKUP(K$2,行为概览!$D$3:$J$33,7,0))</f>
        <v>20</v>
      </c>
      <c r="L6" s="53">
        <f>IF(VLOOKUP(L$2,行为概览!$D$3:$J$33,7,0)="","",VLOOKUP(L$2,行为概览!$D$3:$J$33,7,0))</f>
        <v>20</v>
      </c>
      <c r="M6" s="53">
        <f>IF(VLOOKUP(M$2,行为概览!$D$3:$J$33,7,0)="","",VLOOKUP(M$2,行为概览!$D$3:$J$33,7,0))</f>
        <v>40</v>
      </c>
      <c r="N6" s="53">
        <f>IF(VLOOKUP(N$2,行为概览!$D$3:$J$33,7,0)="","",VLOOKUP(N$2,行为概览!$D$3:$J$33,7,0))</f>
        <v>1</v>
      </c>
      <c r="O6" s="53">
        <f>IF(VLOOKUP(O$2,行为概览!$D$3:$J$33,7,0)="","",VLOOKUP(O$2,行为概览!$D$3:$J$33,7,0))</f>
        <v>150</v>
      </c>
      <c r="P6" s="53">
        <f>IF(VLOOKUP(P$2,行为概览!$D$3:$J$33,7,0)="","",VLOOKUP(P$2,行为概览!$D$3:$J$33,7,0))</f>
        <v>10</v>
      </c>
      <c r="Q6" s="53">
        <f>IF(VLOOKUP(Q$2,行为概览!$D$3:$J$33,7,0)="","",VLOOKUP(Q$2,行为概览!$D$3:$J$33,7,0))</f>
        <v>20</v>
      </c>
      <c r="R6" s="53">
        <f>IF(VLOOKUP(R$2,行为概览!$D$3:$J$33,7,0)="","",VLOOKUP(R$2,行为概览!$D$3:$J$33,7,0))</f>
        <v>6</v>
      </c>
      <c r="S6" s="53">
        <f>IF(VLOOKUP(S$2,行为概览!$D$3:$J$33,7,0)="","",VLOOKUP(S$2,行为概览!$D$3:$J$33,7,0))</f>
        <v>20</v>
      </c>
      <c r="T6" s="53">
        <f>IF(VLOOKUP(T$2,行为概览!$D$3:$J$33,7,0)="","",VLOOKUP(T$2,行为概览!$D$3:$J$33,7,0))</f>
        <v>15</v>
      </c>
      <c r="U6" s="53">
        <f>IF(VLOOKUP(U$2,行为概览!$D$3:$J$33,7,0)="","",VLOOKUP(U$2,行为概览!$D$3:$J$33,7,0))</f>
        <v>15</v>
      </c>
      <c r="V6" s="53">
        <f>IF(VLOOKUP(V$2,行为概览!$D$3:$J$33,7,0)="","",VLOOKUP(V$2,行为概览!$D$3:$J$33,7,0))</f>
        <v>40</v>
      </c>
      <c r="W6" s="53">
        <f>IF(VLOOKUP(W$2,行为概览!$D$3:$J$33,7,0)="","",VLOOKUP(W$2,行为概览!$D$3:$J$33,7,0))</f>
        <v>15</v>
      </c>
      <c r="X6" s="53">
        <f>IF(VLOOKUP(X$2,行为概览!$D$3:$J$33,7,0)="","",VLOOKUP(X$2,行为概览!$D$3:$J$33,7,0))</f>
        <v>30</v>
      </c>
      <c r="Y6" s="53">
        <f>IF(VLOOKUP(Y$2,行为概览!$D$3:$J$33,7,0)="","",VLOOKUP(Y$2,行为概览!$D$3:$J$33,7,0))</f>
        <v>25</v>
      </c>
      <c r="Z6" s="53">
        <f>IF(VLOOKUP(Z$2,行为概览!$D$3:$J$33,7,0)="","",VLOOKUP(Z$2,行为概览!$D$3:$J$33,7,0))</f>
        <v>15</v>
      </c>
      <c r="AA6" s="53">
        <f>IF(VLOOKUP(AA$2,行为概览!$D$3:$J$33,7,0)="","",VLOOKUP(AA$2,行为概览!$D$3:$J$33,7,0))</f>
        <v>15</v>
      </c>
      <c r="AB6" s="53" t="str">
        <f>IF(VLOOKUP(AB$2,行为概览!$D$3:$J$33,7,0)="","",VLOOKUP(AB$2,行为概览!$D$3:$J$33,7,0))</f>
        <v/>
      </c>
      <c r="AC6" s="53" t="str">
        <f>IF(VLOOKUP(AC$2,行为概览!$D$3:$J$33,7,0)="","",VLOOKUP(AC$2,行为概览!$D$3:$J$33,7,0))</f>
        <v/>
      </c>
      <c r="AD6" s="53" t="str">
        <f>IF(VLOOKUP(AD$2,行为概览!$D$3:$J$33,7,0)="","",VLOOKUP(AD$2,行为概览!$D$3:$J$33,7,0))</f>
        <v/>
      </c>
      <c r="AE6" s="68" t="str">
        <f>IF(VLOOKUP(AE$2,行为概览!$D$3:$J$33,7,0)="","",VLOOKUP(AE$2,行为概览!$D$3:$J$33,7,0))</f>
        <v/>
      </c>
      <c r="AF6" s="1">
        <f>IF(C6="","",ROUND(C6*玩法行为规划!B6,2))</f>
        <v>0</v>
      </c>
      <c r="AG6" s="2">
        <f>IF(D6="","",ROUND(D6*玩法行为规划!C6,2))</f>
        <v>0</v>
      </c>
      <c r="AH6" s="2">
        <f>IF(E6="","",ROUND(E6*玩法行为规划!D6,2))</f>
        <v>0</v>
      </c>
      <c r="AI6" s="2">
        <f>IF(F6="","",ROUND(F6*玩法行为规划!E6,2))</f>
        <v>0</v>
      </c>
      <c r="AJ6" s="2" t="str">
        <f>IF(G6="","",ROUND(G6*玩法行为规划!F6,2))</f>
        <v/>
      </c>
      <c r="AK6" s="2" t="str">
        <f>IF(H6="","",ROUND(H6*玩法行为规划!G6,2))</f>
        <v/>
      </c>
      <c r="AL6" s="2" t="str">
        <f>IF(I6="","",ROUND(I6*玩法行为规划!H6,2))</f>
        <v/>
      </c>
      <c r="AM6" s="2" t="str">
        <f>IF(J6="","",ROUND(J6*玩法行为规划!I6,2))</f>
        <v/>
      </c>
      <c r="AN6" s="2">
        <f>IF(K6="","",ROUND(K6*玩法行为规划!J6,2))</f>
        <v>0</v>
      </c>
      <c r="AO6" s="2">
        <f>IF(L6="","",ROUND(L6*玩法行为规划!K6,2))</f>
        <v>0</v>
      </c>
      <c r="AP6" s="2">
        <f>IF(M6="","",ROUND(M6*玩法行为规划!L6,2))</f>
        <v>0</v>
      </c>
      <c r="AQ6" s="2">
        <f>IF(N6="","",ROUND(N6*玩法行为规划!M6,2))</f>
        <v>0</v>
      </c>
      <c r="AR6" s="2">
        <f>IF(O6="","",ROUND(O6*玩法行为规划!N6,2))</f>
        <v>0</v>
      </c>
      <c r="AS6" s="2">
        <f>IF(P6="","",ROUND(P6*玩法行为规划!O6,2))</f>
        <v>0</v>
      </c>
      <c r="AT6" s="2">
        <f>IF(Q6="","",ROUND(Q6*玩法行为规划!P6,2))</f>
        <v>52</v>
      </c>
      <c r="AU6" s="2">
        <f>IF(R6="","",ROUND(R6*玩法行为规划!Q6,2))</f>
        <v>0</v>
      </c>
      <c r="AV6" s="2">
        <f>IF(S6="","",ROUND(S6*玩法行为规划!R6,2))</f>
        <v>0</v>
      </c>
      <c r="AW6" s="2">
        <f>IF(T6="","",ROUND(T6*玩法行为规划!S6,2))</f>
        <v>0</v>
      </c>
      <c r="AX6" s="2">
        <f>IF(U6="","",ROUND(U6*玩法行为规划!T6,2))</f>
        <v>0</v>
      </c>
      <c r="AY6" s="2">
        <f>IF(V6="","",ROUND(V6*玩法行为规划!U6,2))</f>
        <v>0</v>
      </c>
      <c r="AZ6" s="2">
        <f>IF(W6="","",ROUND(W6*玩法行为规划!V6,2))</f>
        <v>0</v>
      </c>
      <c r="BA6" s="2">
        <f>IF(X6="","",ROUND(X6*玩法行为规划!W6,2))</f>
        <v>0</v>
      </c>
      <c r="BB6" s="2">
        <f>IF(Y6="","",ROUND(Y6*玩法行为规划!X6,2))</f>
        <v>0</v>
      </c>
      <c r="BC6" s="2">
        <f>IF(Z6="","",ROUND(Z6*玩法行为规划!Y6,2))</f>
        <v>0</v>
      </c>
      <c r="BD6" s="2">
        <f>IF(AA6="","",ROUND(AA6*玩法行为规划!Z6,2))</f>
        <v>0</v>
      </c>
      <c r="BE6" s="2" t="str">
        <f>IF(AB6="","",ROUND(AB6*玩法行为规划!AA6,2))</f>
        <v/>
      </c>
      <c r="BF6" s="2" t="str">
        <f>IF(AC6="","",ROUND(AC6*玩法行为规划!AB6,2))</f>
        <v/>
      </c>
      <c r="BG6" s="2" t="str">
        <f>IF(AD6="","",ROUND(AD6*玩法行为规划!AC6,2))</f>
        <v/>
      </c>
      <c r="BH6" s="3" t="str">
        <f>IF(AE6="","",ROUND(AE6*玩法行为规划!AD6,2))</f>
        <v/>
      </c>
      <c r="BI6" s="7">
        <f t="shared" si="0"/>
        <v>52</v>
      </c>
      <c r="BJ6" s="7">
        <f t="shared" si="1"/>
        <v>83200</v>
      </c>
      <c r="BK6" s="10">
        <f t="shared" si="3"/>
        <v>6400</v>
      </c>
      <c r="BL6" s="21"/>
      <c r="BM6" s="7">
        <f t="shared" si="2"/>
        <v>1</v>
      </c>
      <c r="BN6" s="69">
        <f>INT(BJ6*升级节奏!G6+BK6)</f>
        <v>6400</v>
      </c>
      <c r="BO6" s="7">
        <f t="shared" si="4"/>
        <v>18</v>
      </c>
      <c r="BP6" s="7"/>
      <c r="BQ6" s="7"/>
    </row>
    <row r="7" spans="1:69">
      <c r="A7" s="29">
        <v>5</v>
      </c>
      <c r="B7" s="84">
        <f>升级节奏!C7</f>
        <v>2000</v>
      </c>
      <c r="C7" s="53">
        <f>IF(VLOOKUP(C$2,行为概览!$D$3:$J$33,7,0)="","",VLOOKUP(C$2,行为概览!$D$3:$J$33,7,0))</f>
        <v>50</v>
      </c>
      <c r="D7" s="53">
        <f>IF(VLOOKUP(D$2,行为概览!$D$3:$J$33,7,0)="","",VLOOKUP(D$2,行为概览!$D$3:$J$33,7,0))</f>
        <v>3.3</v>
      </c>
      <c r="E7" s="53">
        <f>IF(VLOOKUP(E$2,行为概览!$D$3:$J$33,7,0)="","",VLOOKUP(E$2,行为概览!$D$3:$J$33,7,0))</f>
        <v>30</v>
      </c>
      <c r="F7" s="53">
        <f>IF(VLOOKUP(F$2,行为概览!$D$3:$J$33,7,0)="","",VLOOKUP(F$2,行为概览!$D$3:$J$33,7,0))</f>
        <v>15</v>
      </c>
      <c r="G7" s="53" t="str">
        <f>IF(VLOOKUP(G$2,行为概览!$D$3:$J$33,7,0)="","",VLOOKUP(G$2,行为概览!$D$3:$J$33,7,0))</f>
        <v/>
      </c>
      <c r="H7" s="53" t="str">
        <f>IF(VLOOKUP(H$2,行为概览!$D$3:$J$33,7,0)="","",VLOOKUP(H$2,行为概览!$D$3:$J$33,7,0))</f>
        <v/>
      </c>
      <c r="I7" s="53" t="str">
        <f>IF(VLOOKUP(I$2,行为概览!$D$3:$J$33,7,0)="","",VLOOKUP(I$2,行为概览!$D$3:$J$33,7,0))</f>
        <v/>
      </c>
      <c r="J7" s="53" t="str">
        <f>IF(VLOOKUP(J$2,行为概览!$D$3:$J$33,7,0)="","",VLOOKUP(J$2,行为概览!$D$3:$J$33,7,0))</f>
        <v/>
      </c>
      <c r="K7" s="53">
        <f>IF(VLOOKUP(K$2,行为概览!$D$3:$J$33,7,0)="","",VLOOKUP(K$2,行为概览!$D$3:$J$33,7,0))</f>
        <v>20</v>
      </c>
      <c r="L7" s="53">
        <f>IF(VLOOKUP(L$2,行为概览!$D$3:$J$33,7,0)="","",VLOOKUP(L$2,行为概览!$D$3:$J$33,7,0))</f>
        <v>20</v>
      </c>
      <c r="M7" s="53">
        <f>IF(VLOOKUP(M$2,行为概览!$D$3:$J$33,7,0)="","",VLOOKUP(M$2,行为概览!$D$3:$J$33,7,0))</f>
        <v>40</v>
      </c>
      <c r="N7" s="53">
        <f>IF(VLOOKUP(N$2,行为概览!$D$3:$J$33,7,0)="","",VLOOKUP(N$2,行为概览!$D$3:$J$33,7,0))</f>
        <v>1</v>
      </c>
      <c r="O7" s="53">
        <f>IF(VLOOKUP(O$2,行为概览!$D$3:$J$33,7,0)="","",VLOOKUP(O$2,行为概览!$D$3:$J$33,7,0))</f>
        <v>150</v>
      </c>
      <c r="P7" s="53">
        <f>IF(VLOOKUP(P$2,行为概览!$D$3:$J$33,7,0)="","",VLOOKUP(P$2,行为概览!$D$3:$J$33,7,0))</f>
        <v>10</v>
      </c>
      <c r="Q7" s="53">
        <f>IF(VLOOKUP(Q$2,行为概览!$D$3:$J$33,7,0)="","",VLOOKUP(Q$2,行为概览!$D$3:$J$33,7,0))</f>
        <v>20</v>
      </c>
      <c r="R7" s="53">
        <f>IF(VLOOKUP(R$2,行为概览!$D$3:$J$33,7,0)="","",VLOOKUP(R$2,行为概览!$D$3:$J$33,7,0))</f>
        <v>6</v>
      </c>
      <c r="S7" s="53">
        <f>IF(VLOOKUP(S$2,行为概览!$D$3:$J$33,7,0)="","",VLOOKUP(S$2,行为概览!$D$3:$J$33,7,0))</f>
        <v>20</v>
      </c>
      <c r="T7" s="53">
        <f>IF(VLOOKUP(T$2,行为概览!$D$3:$J$33,7,0)="","",VLOOKUP(T$2,行为概览!$D$3:$J$33,7,0))</f>
        <v>15</v>
      </c>
      <c r="U7" s="53">
        <f>IF(VLOOKUP(U$2,行为概览!$D$3:$J$33,7,0)="","",VLOOKUP(U$2,行为概览!$D$3:$J$33,7,0))</f>
        <v>15</v>
      </c>
      <c r="V7" s="53">
        <f>IF(VLOOKUP(V$2,行为概览!$D$3:$J$33,7,0)="","",VLOOKUP(V$2,行为概览!$D$3:$J$33,7,0))</f>
        <v>40</v>
      </c>
      <c r="W7" s="53">
        <f>IF(VLOOKUP(W$2,行为概览!$D$3:$J$33,7,0)="","",VLOOKUP(W$2,行为概览!$D$3:$J$33,7,0))</f>
        <v>15</v>
      </c>
      <c r="X7" s="53">
        <f>IF(VLOOKUP(X$2,行为概览!$D$3:$J$33,7,0)="","",VLOOKUP(X$2,行为概览!$D$3:$J$33,7,0))</f>
        <v>30</v>
      </c>
      <c r="Y7" s="53">
        <f>IF(VLOOKUP(Y$2,行为概览!$D$3:$J$33,7,0)="","",VLOOKUP(Y$2,行为概览!$D$3:$J$33,7,0))</f>
        <v>25</v>
      </c>
      <c r="Z7" s="53">
        <f>IF(VLOOKUP(Z$2,行为概览!$D$3:$J$33,7,0)="","",VLOOKUP(Z$2,行为概览!$D$3:$J$33,7,0))</f>
        <v>15</v>
      </c>
      <c r="AA7" s="53">
        <f>IF(VLOOKUP(AA$2,行为概览!$D$3:$J$33,7,0)="","",VLOOKUP(AA$2,行为概览!$D$3:$J$33,7,0))</f>
        <v>15</v>
      </c>
      <c r="AB7" s="53" t="str">
        <f>IF(VLOOKUP(AB$2,行为概览!$D$3:$J$33,7,0)="","",VLOOKUP(AB$2,行为概览!$D$3:$J$33,7,0))</f>
        <v/>
      </c>
      <c r="AC7" s="53" t="str">
        <f>IF(VLOOKUP(AC$2,行为概览!$D$3:$J$33,7,0)="","",VLOOKUP(AC$2,行为概览!$D$3:$J$33,7,0))</f>
        <v/>
      </c>
      <c r="AD7" s="53" t="str">
        <f>IF(VLOOKUP(AD$2,行为概览!$D$3:$J$33,7,0)="","",VLOOKUP(AD$2,行为概览!$D$3:$J$33,7,0))</f>
        <v/>
      </c>
      <c r="AE7" s="68" t="str">
        <f>IF(VLOOKUP(AE$2,行为概览!$D$3:$J$33,7,0)="","",VLOOKUP(AE$2,行为概览!$D$3:$J$33,7,0))</f>
        <v/>
      </c>
      <c r="AF7" s="1">
        <f>IF(C7="","",ROUND(C7*玩法行为规划!B7,2))</f>
        <v>0</v>
      </c>
      <c r="AG7" s="2">
        <f>IF(D7="","",ROUND(D7*玩法行为规划!C7,2))</f>
        <v>0</v>
      </c>
      <c r="AH7" s="2">
        <f>IF(E7="","",ROUND(E7*玩法行为规划!D7,2))</f>
        <v>0</v>
      </c>
      <c r="AI7" s="2">
        <f>IF(F7="","",ROUND(F7*玩法行为规划!E7,2))</f>
        <v>0</v>
      </c>
      <c r="AJ7" s="2" t="str">
        <f>IF(G7="","",ROUND(G7*玩法行为规划!F7,2))</f>
        <v/>
      </c>
      <c r="AK7" s="2" t="str">
        <f>IF(H7="","",ROUND(H7*玩法行为规划!G7,2))</f>
        <v/>
      </c>
      <c r="AL7" s="2" t="str">
        <f>IF(I7="","",ROUND(I7*玩法行为规划!H7,2))</f>
        <v/>
      </c>
      <c r="AM7" s="2" t="str">
        <f>IF(J7="","",ROUND(J7*玩法行为规划!I7,2))</f>
        <v/>
      </c>
      <c r="AN7" s="2">
        <f>IF(K7="","",ROUND(K7*玩法行为规划!J7,2))</f>
        <v>0</v>
      </c>
      <c r="AO7" s="2">
        <f>IF(L7="","",ROUND(L7*玩法行为规划!K7,2))</f>
        <v>0</v>
      </c>
      <c r="AP7" s="2">
        <f>IF(M7="","",ROUND(M7*玩法行为规划!L7,2))</f>
        <v>0</v>
      </c>
      <c r="AQ7" s="2">
        <f>IF(N7="","",ROUND(N7*玩法行为规划!M7,2))</f>
        <v>0</v>
      </c>
      <c r="AR7" s="2">
        <f>IF(O7="","",ROUND(O7*玩法行为规划!N7,2))</f>
        <v>0</v>
      </c>
      <c r="AS7" s="2">
        <f>IF(P7="","",ROUND(P7*玩法行为规划!O7,2))</f>
        <v>0</v>
      </c>
      <c r="AT7" s="2">
        <f>IF(Q7="","",ROUND(Q7*玩法行为规划!P7,2))</f>
        <v>52</v>
      </c>
      <c r="AU7" s="2">
        <f>IF(R7="","",ROUND(R7*玩法行为规划!Q7,2))</f>
        <v>0</v>
      </c>
      <c r="AV7" s="2">
        <f>IF(S7="","",ROUND(S7*玩法行为规划!R7,2))</f>
        <v>0</v>
      </c>
      <c r="AW7" s="2">
        <f>IF(T7="","",ROUND(T7*玩法行为规划!S7,2))</f>
        <v>0</v>
      </c>
      <c r="AX7" s="2">
        <f>IF(U7="","",ROUND(U7*玩法行为规划!T7,2))</f>
        <v>0</v>
      </c>
      <c r="AY7" s="2">
        <f>IF(V7="","",ROUND(V7*玩法行为规划!U7,2))</f>
        <v>0</v>
      </c>
      <c r="AZ7" s="2">
        <f>IF(W7="","",ROUND(W7*玩法行为规划!V7,2))</f>
        <v>0</v>
      </c>
      <c r="BA7" s="2">
        <f>IF(X7="","",ROUND(X7*玩法行为规划!W7,2))</f>
        <v>0</v>
      </c>
      <c r="BB7" s="2">
        <f>IF(Y7="","",ROUND(Y7*玩法行为规划!X7,2))</f>
        <v>0</v>
      </c>
      <c r="BC7" s="2">
        <f>IF(Z7="","",ROUND(Z7*玩法行为规划!Y7,2))</f>
        <v>0</v>
      </c>
      <c r="BD7" s="2">
        <f>IF(AA7="","",ROUND(AA7*玩法行为规划!Z7,2))</f>
        <v>0</v>
      </c>
      <c r="BE7" s="2" t="str">
        <f>IF(AB7="","",ROUND(AB7*玩法行为规划!AA7,2))</f>
        <v/>
      </c>
      <c r="BF7" s="2" t="str">
        <f>IF(AC7="","",ROUND(AC7*玩法行为规划!AB7,2))</f>
        <v/>
      </c>
      <c r="BG7" s="2" t="str">
        <f>IF(AD7="","",ROUND(AD7*玩法行为规划!AC7,2))</f>
        <v/>
      </c>
      <c r="BH7" s="3" t="str">
        <f>IF(AE7="","",ROUND(AE7*玩法行为规划!AD7,2))</f>
        <v/>
      </c>
      <c r="BI7" s="7">
        <f t="shared" si="0"/>
        <v>52</v>
      </c>
      <c r="BJ7" s="7">
        <f t="shared" si="1"/>
        <v>104000</v>
      </c>
      <c r="BK7" s="10">
        <f t="shared" si="3"/>
        <v>8000</v>
      </c>
      <c r="BL7" s="21"/>
      <c r="BM7" s="7">
        <f t="shared" si="2"/>
        <v>1</v>
      </c>
      <c r="BN7" s="69">
        <f>INT(BJ7*升级节奏!G7+BK7)</f>
        <v>8000</v>
      </c>
      <c r="BO7" s="7">
        <f t="shared" si="4"/>
        <v>22</v>
      </c>
      <c r="BP7" s="7"/>
      <c r="BQ7" s="7"/>
    </row>
    <row r="8" spans="1:69">
      <c r="A8" s="29">
        <v>6</v>
      </c>
      <c r="B8" s="84">
        <f>升级节奏!C8</f>
        <v>2400</v>
      </c>
      <c r="C8" s="53">
        <f>IF(VLOOKUP(C$2,行为概览!$D$3:$J$33,7,0)="","",VLOOKUP(C$2,行为概览!$D$3:$J$33,7,0))</f>
        <v>50</v>
      </c>
      <c r="D8" s="53">
        <f>IF(VLOOKUP(D$2,行为概览!$D$3:$J$33,7,0)="","",VLOOKUP(D$2,行为概览!$D$3:$J$33,7,0))</f>
        <v>3.3</v>
      </c>
      <c r="E8" s="53">
        <f>IF(VLOOKUP(E$2,行为概览!$D$3:$J$33,7,0)="","",VLOOKUP(E$2,行为概览!$D$3:$J$33,7,0))</f>
        <v>30</v>
      </c>
      <c r="F8" s="53">
        <f>IF(VLOOKUP(F$2,行为概览!$D$3:$J$33,7,0)="","",VLOOKUP(F$2,行为概览!$D$3:$J$33,7,0))</f>
        <v>15</v>
      </c>
      <c r="G8" s="53" t="str">
        <f>IF(VLOOKUP(G$2,行为概览!$D$3:$J$33,7,0)="","",VLOOKUP(G$2,行为概览!$D$3:$J$33,7,0))</f>
        <v/>
      </c>
      <c r="H8" s="53" t="str">
        <f>IF(VLOOKUP(H$2,行为概览!$D$3:$J$33,7,0)="","",VLOOKUP(H$2,行为概览!$D$3:$J$33,7,0))</f>
        <v/>
      </c>
      <c r="I8" s="53" t="str">
        <f>IF(VLOOKUP(I$2,行为概览!$D$3:$J$33,7,0)="","",VLOOKUP(I$2,行为概览!$D$3:$J$33,7,0))</f>
        <v/>
      </c>
      <c r="J8" s="53" t="str">
        <f>IF(VLOOKUP(J$2,行为概览!$D$3:$J$33,7,0)="","",VLOOKUP(J$2,行为概览!$D$3:$J$33,7,0))</f>
        <v/>
      </c>
      <c r="K8" s="53">
        <f>IF(VLOOKUP(K$2,行为概览!$D$3:$J$33,7,0)="","",VLOOKUP(K$2,行为概览!$D$3:$J$33,7,0))</f>
        <v>20</v>
      </c>
      <c r="L8" s="53">
        <f>IF(VLOOKUP(L$2,行为概览!$D$3:$J$33,7,0)="","",VLOOKUP(L$2,行为概览!$D$3:$J$33,7,0))</f>
        <v>20</v>
      </c>
      <c r="M8" s="53">
        <f>IF(VLOOKUP(M$2,行为概览!$D$3:$J$33,7,0)="","",VLOOKUP(M$2,行为概览!$D$3:$J$33,7,0))</f>
        <v>40</v>
      </c>
      <c r="N8" s="53">
        <f>IF(VLOOKUP(N$2,行为概览!$D$3:$J$33,7,0)="","",VLOOKUP(N$2,行为概览!$D$3:$J$33,7,0))</f>
        <v>1</v>
      </c>
      <c r="O8" s="53">
        <f>IF(VLOOKUP(O$2,行为概览!$D$3:$J$33,7,0)="","",VLOOKUP(O$2,行为概览!$D$3:$J$33,7,0))</f>
        <v>150</v>
      </c>
      <c r="P8" s="53">
        <f>IF(VLOOKUP(P$2,行为概览!$D$3:$J$33,7,0)="","",VLOOKUP(P$2,行为概览!$D$3:$J$33,7,0))</f>
        <v>10</v>
      </c>
      <c r="Q8" s="53">
        <f>IF(VLOOKUP(Q$2,行为概览!$D$3:$J$33,7,0)="","",VLOOKUP(Q$2,行为概览!$D$3:$J$33,7,0))</f>
        <v>20</v>
      </c>
      <c r="R8" s="53">
        <f>IF(VLOOKUP(R$2,行为概览!$D$3:$J$33,7,0)="","",VLOOKUP(R$2,行为概览!$D$3:$J$33,7,0))</f>
        <v>6</v>
      </c>
      <c r="S8" s="53">
        <f>IF(VLOOKUP(S$2,行为概览!$D$3:$J$33,7,0)="","",VLOOKUP(S$2,行为概览!$D$3:$J$33,7,0))</f>
        <v>20</v>
      </c>
      <c r="T8" s="53">
        <f>IF(VLOOKUP(T$2,行为概览!$D$3:$J$33,7,0)="","",VLOOKUP(T$2,行为概览!$D$3:$J$33,7,0))</f>
        <v>15</v>
      </c>
      <c r="U8" s="53">
        <f>IF(VLOOKUP(U$2,行为概览!$D$3:$J$33,7,0)="","",VLOOKUP(U$2,行为概览!$D$3:$J$33,7,0))</f>
        <v>15</v>
      </c>
      <c r="V8" s="53">
        <f>IF(VLOOKUP(V$2,行为概览!$D$3:$J$33,7,0)="","",VLOOKUP(V$2,行为概览!$D$3:$J$33,7,0))</f>
        <v>40</v>
      </c>
      <c r="W8" s="53">
        <f>IF(VLOOKUP(W$2,行为概览!$D$3:$J$33,7,0)="","",VLOOKUP(W$2,行为概览!$D$3:$J$33,7,0))</f>
        <v>15</v>
      </c>
      <c r="X8" s="53">
        <f>IF(VLOOKUP(X$2,行为概览!$D$3:$J$33,7,0)="","",VLOOKUP(X$2,行为概览!$D$3:$J$33,7,0))</f>
        <v>30</v>
      </c>
      <c r="Y8" s="53">
        <f>IF(VLOOKUP(Y$2,行为概览!$D$3:$J$33,7,0)="","",VLOOKUP(Y$2,行为概览!$D$3:$J$33,7,0))</f>
        <v>25</v>
      </c>
      <c r="Z8" s="53">
        <f>IF(VLOOKUP(Z$2,行为概览!$D$3:$J$33,7,0)="","",VLOOKUP(Z$2,行为概览!$D$3:$J$33,7,0))</f>
        <v>15</v>
      </c>
      <c r="AA8" s="53">
        <f>IF(VLOOKUP(AA$2,行为概览!$D$3:$J$33,7,0)="","",VLOOKUP(AA$2,行为概览!$D$3:$J$33,7,0))</f>
        <v>15</v>
      </c>
      <c r="AB8" s="53" t="str">
        <f>IF(VLOOKUP(AB$2,行为概览!$D$3:$J$33,7,0)="","",VLOOKUP(AB$2,行为概览!$D$3:$J$33,7,0))</f>
        <v/>
      </c>
      <c r="AC8" s="53" t="str">
        <f>IF(VLOOKUP(AC$2,行为概览!$D$3:$J$33,7,0)="","",VLOOKUP(AC$2,行为概览!$D$3:$J$33,7,0))</f>
        <v/>
      </c>
      <c r="AD8" s="53" t="str">
        <f>IF(VLOOKUP(AD$2,行为概览!$D$3:$J$33,7,0)="","",VLOOKUP(AD$2,行为概览!$D$3:$J$33,7,0))</f>
        <v/>
      </c>
      <c r="AE8" s="68" t="str">
        <f>IF(VLOOKUP(AE$2,行为概览!$D$3:$J$33,7,0)="","",VLOOKUP(AE$2,行为概览!$D$3:$J$33,7,0))</f>
        <v/>
      </c>
      <c r="AF8" s="1">
        <f>IF(C8="","",ROUND(C8*玩法行为规划!B8,2))</f>
        <v>0</v>
      </c>
      <c r="AG8" s="2">
        <f>IF(D8="","",ROUND(D8*玩法行为规划!C8,2))</f>
        <v>0</v>
      </c>
      <c r="AH8" s="2">
        <f>IF(E8="","",ROUND(E8*玩法行为规划!D8,2))</f>
        <v>0</v>
      </c>
      <c r="AI8" s="2">
        <f>IF(F8="","",ROUND(F8*玩法行为规划!E8,2))</f>
        <v>0</v>
      </c>
      <c r="AJ8" s="2" t="str">
        <f>IF(G8="","",ROUND(G8*玩法行为规划!F8,2))</f>
        <v/>
      </c>
      <c r="AK8" s="2" t="str">
        <f>IF(H8="","",ROUND(H8*玩法行为规划!G8,2))</f>
        <v/>
      </c>
      <c r="AL8" s="2" t="str">
        <f>IF(I8="","",ROUND(I8*玩法行为规划!H8,2))</f>
        <v/>
      </c>
      <c r="AM8" s="2" t="str">
        <f>IF(J8="","",ROUND(J8*玩法行为规划!I8,2))</f>
        <v/>
      </c>
      <c r="AN8" s="2">
        <f>IF(K8="","",ROUND(K8*玩法行为规划!J8,2))</f>
        <v>0</v>
      </c>
      <c r="AO8" s="2">
        <f>IF(L8="","",ROUND(L8*玩法行为规划!K8,2))</f>
        <v>0</v>
      </c>
      <c r="AP8" s="2">
        <f>IF(M8="","",ROUND(M8*玩法行为规划!L8,2))</f>
        <v>0</v>
      </c>
      <c r="AQ8" s="2">
        <f>IF(N8="","",ROUND(N8*玩法行为规划!M8,2))</f>
        <v>0</v>
      </c>
      <c r="AR8" s="2">
        <f>IF(O8="","",ROUND(O8*玩法行为规划!N8,2))</f>
        <v>0</v>
      </c>
      <c r="AS8" s="2">
        <f>IF(P8="","",ROUND(P8*玩法行为规划!O8,2))</f>
        <v>0</v>
      </c>
      <c r="AT8" s="2">
        <f>IF(Q8="","",ROUND(Q8*玩法行为规划!P8,2))</f>
        <v>52</v>
      </c>
      <c r="AU8" s="2">
        <f>IF(R8="","",ROUND(R8*玩法行为规划!Q8,2))</f>
        <v>0</v>
      </c>
      <c r="AV8" s="2">
        <f>IF(S8="","",ROUND(S8*玩法行为规划!R8,2))</f>
        <v>0</v>
      </c>
      <c r="AW8" s="2">
        <f>IF(T8="","",ROUND(T8*玩法行为规划!S8,2))</f>
        <v>0</v>
      </c>
      <c r="AX8" s="2">
        <f>IF(U8="","",ROUND(U8*玩法行为规划!T8,2))</f>
        <v>0</v>
      </c>
      <c r="AY8" s="2">
        <f>IF(V8="","",ROUND(V8*玩法行为规划!U8,2))</f>
        <v>0</v>
      </c>
      <c r="AZ8" s="2">
        <f>IF(W8="","",ROUND(W8*玩法行为规划!V8,2))</f>
        <v>0</v>
      </c>
      <c r="BA8" s="2">
        <f>IF(X8="","",ROUND(X8*玩法行为规划!W8,2))</f>
        <v>0</v>
      </c>
      <c r="BB8" s="2">
        <f>IF(Y8="","",ROUND(Y8*玩法行为规划!X8,2))</f>
        <v>0</v>
      </c>
      <c r="BC8" s="2">
        <f>IF(Z8="","",ROUND(Z8*玩法行为规划!Y8,2))</f>
        <v>0</v>
      </c>
      <c r="BD8" s="2">
        <f>IF(AA8="","",ROUND(AA8*玩法行为规划!Z8,2))</f>
        <v>0</v>
      </c>
      <c r="BE8" s="2" t="str">
        <f>IF(AB8="","",ROUND(AB8*玩法行为规划!AA8,2))</f>
        <v/>
      </c>
      <c r="BF8" s="2" t="str">
        <f>IF(AC8="","",ROUND(AC8*玩法行为规划!AB8,2))</f>
        <v/>
      </c>
      <c r="BG8" s="2" t="str">
        <f>IF(AD8="","",ROUND(AD8*玩法行为规划!AC8,2))</f>
        <v/>
      </c>
      <c r="BH8" s="3" t="str">
        <f>IF(AE8="","",ROUND(AE8*玩法行为规划!AD8,2))</f>
        <v/>
      </c>
      <c r="BI8" s="7">
        <f t="shared" si="0"/>
        <v>52</v>
      </c>
      <c r="BJ8" s="7">
        <f t="shared" si="1"/>
        <v>124800</v>
      </c>
      <c r="BK8" s="10">
        <f t="shared" si="3"/>
        <v>9600</v>
      </c>
      <c r="BL8" s="21"/>
      <c r="BM8" s="7">
        <f t="shared" si="2"/>
        <v>1</v>
      </c>
      <c r="BN8" s="69">
        <f>INT(BJ8*升级节奏!G8+BK8)</f>
        <v>9600</v>
      </c>
      <c r="BO8" s="7">
        <f t="shared" si="4"/>
        <v>27</v>
      </c>
      <c r="BP8" s="7"/>
      <c r="BQ8" s="7"/>
    </row>
    <row r="9" spans="1:69">
      <c r="A9" s="29">
        <v>7</v>
      </c>
      <c r="B9" s="84">
        <f>升级节奏!C9</f>
        <v>2800</v>
      </c>
      <c r="C9" s="53">
        <f>IF(VLOOKUP(C$2,行为概览!$D$3:$J$33,7,0)="","",VLOOKUP(C$2,行为概览!$D$3:$J$33,7,0))</f>
        <v>50</v>
      </c>
      <c r="D9" s="53">
        <f>IF(VLOOKUP(D$2,行为概览!$D$3:$J$33,7,0)="","",VLOOKUP(D$2,行为概览!$D$3:$J$33,7,0))</f>
        <v>3.3</v>
      </c>
      <c r="E9" s="53">
        <f>IF(VLOOKUP(E$2,行为概览!$D$3:$J$33,7,0)="","",VLOOKUP(E$2,行为概览!$D$3:$J$33,7,0))</f>
        <v>30</v>
      </c>
      <c r="F9" s="53">
        <f>IF(VLOOKUP(F$2,行为概览!$D$3:$J$33,7,0)="","",VLOOKUP(F$2,行为概览!$D$3:$J$33,7,0))</f>
        <v>15</v>
      </c>
      <c r="G9" s="53" t="str">
        <f>IF(VLOOKUP(G$2,行为概览!$D$3:$J$33,7,0)="","",VLOOKUP(G$2,行为概览!$D$3:$J$33,7,0))</f>
        <v/>
      </c>
      <c r="H9" s="53" t="str">
        <f>IF(VLOOKUP(H$2,行为概览!$D$3:$J$33,7,0)="","",VLOOKUP(H$2,行为概览!$D$3:$J$33,7,0))</f>
        <v/>
      </c>
      <c r="I9" s="53" t="str">
        <f>IF(VLOOKUP(I$2,行为概览!$D$3:$J$33,7,0)="","",VLOOKUP(I$2,行为概览!$D$3:$J$33,7,0))</f>
        <v/>
      </c>
      <c r="J9" s="53" t="str">
        <f>IF(VLOOKUP(J$2,行为概览!$D$3:$J$33,7,0)="","",VLOOKUP(J$2,行为概览!$D$3:$J$33,7,0))</f>
        <v/>
      </c>
      <c r="K9" s="53">
        <f>IF(VLOOKUP(K$2,行为概览!$D$3:$J$33,7,0)="","",VLOOKUP(K$2,行为概览!$D$3:$J$33,7,0))</f>
        <v>20</v>
      </c>
      <c r="L9" s="53">
        <f>IF(VLOOKUP(L$2,行为概览!$D$3:$J$33,7,0)="","",VLOOKUP(L$2,行为概览!$D$3:$J$33,7,0))</f>
        <v>20</v>
      </c>
      <c r="M9" s="53">
        <f>IF(VLOOKUP(M$2,行为概览!$D$3:$J$33,7,0)="","",VLOOKUP(M$2,行为概览!$D$3:$J$33,7,0))</f>
        <v>40</v>
      </c>
      <c r="N9" s="53">
        <f>IF(VLOOKUP(N$2,行为概览!$D$3:$J$33,7,0)="","",VLOOKUP(N$2,行为概览!$D$3:$J$33,7,0))</f>
        <v>1</v>
      </c>
      <c r="O9" s="53">
        <f>IF(VLOOKUP(O$2,行为概览!$D$3:$J$33,7,0)="","",VLOOKUP(O$2,行为概览!$D$3:$J$33,7,0))</f>
        <v>150</v>
      </c>
      <c r="P9" s="53">
        <f>IF(VLOOKUP(P$2,行为概览!$D$3:$J$33,7,0)="","",VLOOKUP(P$2,行为概览!$D$3:$J$33,7,0))</f>
        <v>10</v>
      </c>
      <c r="Q9" s="53">
        <f>IF(VLOOKUP(Q$2,行为概览!$D$3:$J$33,7,0)="","",VLOOKUP(Q$2,行为概览!$D$3:$J$33,7,0))</f>
        <v>20</v>
      </c>
      <c r="R9" s="53">
        <f>IF(VLOOKUP(R$2,行为概览!$D$3:$J$33,7,0)="","",VLOOKUP(R$2,行为概览!$D$3:$J$33,7,0))</f>
        <v>6</v>
      </c>
      <c r="S9" s="53">
        <f>IF(VLOOKUP(S$2,行为概览!$D$3:$J$33,7,0)="","",VLOOKUP(S$2,行为概览!$D$3:$J$33,7,0))</f>
        <v>20</v>
      </c>
      <c r="T9" s="53">
        <f>IF(VLOOKUP(T$2,行为概览!$D$3:$J$33,7,0)="","",VLOOKUP(T$2,行为概览!$D$3:$J$33,7,0))</f>
        <v>15</v>
      </c>
      <c r="U9" s="53">
        <f>IF(VLOOKUP(U$2,行为概览!$D$3:$J$33,7,0)="","",VLOOKUP(U$2,行为概览!$D$3:$J$33,7,0))</f>
        <v>15</v>
      </c>
      <c r="V9" s="53">
        <f>IF(VLOOKUP(V$2,行为概览!$D$3:$J$33,7,0)="","",VLOOKUP(V$2,行为概览!$D$3:$J$33,7,0))</f>
        <v>40</v>
      </c>
      <c r="W9" s="53">
        <f>IF(VLOOKUP(W$2,行为概览!$D$3:$J$33,7,0)="","",VLOOKUP(W$2,行为概览!$D$3:$J$33,7,0))</f>
        <v>15</v>
      </c>
      <c r="X9" s="53">
        <f>IF(VLOOKUP(X$2,行为概览!$D$3:$J$33,7,0)="","",VLOOKUP(X$2,行为概览!$D$3:$J$33,7,0))</f>
        <v>30</v>
      </c>
      <c r="Y9" s="53">
        <f>IF(VLOOKUP(Y$2,行为概览!$D$3:$J$33,7,0)="","",VLOOKUP(Y$2,行为概览!$D$3:$J$33,7,0))</f>
        <v>25</v>
      </c>
      <c r="Z9" s="53">
        <f>IF(VLOOKUP(Z$2,行为概览!$D$3:$J$33,7,0)="","",VLOOKUP(Z$2,行为概览!$D$3:$J$33,7,0))</f>
        <v>15</v>
      </c>
      <c r="AA9" s="53">
        <f>IF(VLOOKUP(AA$2,行为概览!$D$3:$J$33,7,0)="","",VLOOKUP(AA$2,行为概览!$D$3:$J$33,7,0))</f>
        <v>15</v>
      </c>
      <c r="AB9" s="53" t="str">
        <f>IF(VLOOKUP(AB$2,行为概览!$D$3:$J$33,7,0)="","",VLOOKUP(AB$2,行为概览!$D$3:$J$33,7,0))</f>
        <v/>
      </c>
      <c r="AC9" s="53" t="str">
        <f>IF(VLOOKUP(AC$2,行为概览!$D$3:$J$33,7,0)="","",VLOOKUP(AC$2,行为概览!$D$3:$J$33,7,0))</f>
        <v/>
      </c>
      <c r="AD9" s="53" t="str">
        <f>IF(VLOOKUP(AD$2,行为概览!$D$3:$J$33,7,0)="","",VLOOKUP(AD$2,行为概览!$D$3:$J$33,7,0))</f>
        <v/>
      </c>
      <c r="AE9" s="68" t="str">
        <f>IF(VLOOKUP(AE$2,行为概览!$D$3:$J$33,7,0)="","",VLOOKUP(AE$2,行为概览!$D$3:$J$33,7,0))</f>
        <v/>
      </c>
      <c r="AF9" s="1">
        <f>IF(C9="","",ROUND(C9*玩法行为规划!B9,2))</f>
        <v>0</v>
      </c>
      <c r="AG9" s="2">
        <f>IF(D9="","",ROUND(D9*玩法行为规划!C9,2))</f>
        <v>0</v>
      </c>
      <c r="AH9" s="2">
        <f>IF(E9="","",ROUND(E9*玩法行为规划!D9,2))</f>
        <v>0</v>
      </c>
      <c r="AI9" s="2">
        <f>IF(F9="","",ROUND(F9*玩法行为规划!E9,2))</f>
        <v>0</v>
      </c>
      <c r="AJ9" s="2" t="str">
        <f>IF(G9="","",ROUND(G9*玩法行为规划!F9,2))</f>
        <v/>
      </c>
      <c r="AK9" s="2" t="str">
        <f>IF(H9="","",ROUND(H9*玩法行为规划!G9,2))</f>
        <v/>
      </c>
      <c r="AL9" s="2" t="str">
        <f>IF(I9="","",ROUND(I9*玩法行为规划!H9,2))</f>
        <v/>
      </c>
      <c r="AM9" s="2" t="str">
        <f>IF(J9="","",ROUND(J9*玩法行为规划!I9,2))</f>
        <v/>
      </c>
      <c r="AN9" s="2">
        <f>IF(K9="","",ROUND(K9*玩法行为规划!J9,2))</f>
        <v>0</v>
      </c>
      <c r="AO9" s="2">
        <f>IF(L9="","",ROUND(L9*玩法行为规划!K9,2))</f>
        <v>0</v>
      </c>
      <c r="AP9" s="2">
        <f>IF(M9="","",ROUND(M9*玩法行为规划!L9,2))</f>
        <v>0</v>
      </c>
      <c r="AQ9" s="2">
        <f>IF(N9="","",ROUND(N9*玩法行为规划!M9,2))</f>
        <v>0</v>
      </c>
      <c r="AR9" s="2">
        <f>IF(O9="","",ROUND(O9*玩法行为规划!N9,2))</f>
        <v>0</v>
      </c>
      <c r="AS9" s="2">
        <f>IF(P9="","",ROUND(P9*玩法行为规划!O9,2))</f>
        <v>0</v>
      </c>
      <c r="AT9" s="2">
        <f>IF(Q9="","",ROUND(Q9*玩法行为规划!P9,2))</f>
        <v>52</v>
      </c>
      <c r="AU9" s="2">
        <f>IF(R9="","",ROUND(R9*玩法行为规划!Q9,2))</f>
        <v>0</v>
      </c>
      <c r="AV9" s="2">
        <f>IF(S9="","",ROUND(S9*玩法行为规划!R9,2))</f>
        <v>0</v>
      </c>
      <c r="AW9" s="2">
        <f>IF(T9="","",ROUND(T9*玩法行为规划!S9,2))</f>
        <v>0</v>
      </c>
      <c r="AX9" s="2">
        <f>IF(U9="","",ROUND(U9*玩法行为规划!T9,2))</f>
        <v>0</v>
      </c>
      <c r="AY9" s="2">
        <f>IF(V9="","",ROUND(V9*玩法行为规划!U9,2))</f>
        <v>0</v>
      </c>
      <c r="AZ9" s="2">
        <f>IF(W9="","",ROUND(W9*玩法行为规划!V9,2))</f>
        <v>0</v>
      </c>
      <c r="BA9" s="2">
        <f>IF(X9="","",ROUND(X9*玩法行为规划!W9,2))</f>
        <v>0</v>
      </c>
      <c r="BB9" s="2">
        <f>IF(Y9="","",ROUND(Y9*玩法行为规划!X9,2))</f>
        <v>0</v>
      </c>
      <c r="BC9" s="2">
        <f>IF(Z9="","",ROUND(Z9*玩法行为规划!Y9,2))</f>
        <v>0</v>
      </c>
      <c r="BD9" s="2">
        <f>IF(AA9="","",ROUND(AA9*玩法行为规划!Z9,2))</f>
        <v>0</v>
      </c>
      <c r="BE9" s="2" t="str">
        <f>IF(AB9="","",ROUND(AB9*玩法行为规划!AA9,2))</f>
        <v/>
      </c>
      <c r="BF9" s="2" t="str">
        <f>IF(AC9="","",ROUND(AC9*玩法行为规划!AB9,2))</f>
        <v/>
      </c>
      <c r="BG9" s="2" t="str">
        <f>IF(AD9="","",ROUND(AD9*玩法行为规划!AC9,2))</f>
        <v/>
      </c>
      <c r="BH9" s="3" t="str">
        <f>IF(AE9="","",ROUND(AE9*玩法行为规划!AD9,2))</f>
        <v/>
      </c>
      <c r="BI9" s="7">
        <f t="shared" si="0"/>
        <v>52</v>
      </c>
      <c r="BJ9" s="7">
        <f t="shared" si="1"/>
        <v>145600</v>
      </c>
      <c r="BK9" s="10">
        <f t="shared" si="3"/>
        <v>11200</v>
      </c>
      <c r="BL9" s="21"/>
      <c r="BM9" s="7">
        <f t="shared" si="2"/>
        <v>1</v>
      </c>
      <c r="BN9" s="69">
        <f>INT(BJ9*升级节奏!G9+BK9)</f>
        <v>11200</v>
      </c>
      <c r="BO9" s="7">
        <f t="shared" si="4"/>
        <v>31</v>
      </c>
      <c r="BP9" s="7"/>
      <c r="BQ9" s="7"/>
    </row>
    <row r="10" spans="1:69">
      <c r="A10" s="29">
        <v>8</v>
      </c>
      <c r="B10" s="84">
        <f>升级节奏!C10</f>
        <v>3200</v>
      </c>
      <c r="C10" s="53">
        <f>IF(VLOOKUP(C$2,行为概览!$D$3:$J$33,7,0)="","",VLOOKUP(C$2,行为概览!$D$3:$J$33,7,0))</f>
        <v>50</v>
      </c>
      <c r="D10" s="53">
        <f>IF(VLOOKUP(D$2,行为概览!$D$3:$J$33,7,0)="","",VLOOKUP(D$2,行为概览!$D$3:$J$33,7,0))</f>
        <v>3.3</v>
      </c>
      <c r="E10" s="53">
        <f>IF(VLOOKUP(E$2,行为概览!$D$3:$J$33,7,0)="","",VLOOKUP(E$2,行为概览!$D$3:$J$33,7,0))</f>
        <v>30</v>
      </c>
      <c r="F10" s="53">
        <f>IF(VLOOKUP(F$2,行为概览!$D$3:$J$33,7,0)="","",VLOOKUP(F$2,行为概览!$D$3:$J$33,7,0))</f>
        <v>15</v>
      </c>
      <c r="G10" s="53" t="str">
        <f>IF(VLOOKUP(G$2,行为概览!$D$3:$J$33,7,0)="","",VLOOKUP(G$2,行为概览!$D$3:$J$33,7,0))</f>
        <v/>
      </c>
      <c r="H10" s="53" t="str">
        <f>IF(VLOOKUP(H$2,行为概览!$D$3:$J$33,7,0)="","",VLOOKUP(H$2,行为概览!$D$3:$J$33,7,0))</f>
        <v/>
      </c>
      <c r="I10" s="53" t="str">
        <f>IF(VLOOKUP(I$2,行为概览!$D$3:$J$33,7,0)="","",VLOOKUP(I$2,行为概览!$D$3:$J$33,7,0))</f>
        <v/>
      </c>
      <c r="J10" s="53" t="str">
        <f>IF(VLOOKUP(J$2,行为概览!$D$3:$J$33,7,0)="","",VLOOKUP(J$2,行为概览!$D$3:$J$33,7,0))</f>
        <v/>
      </c>
      <c r="K10" s="53">
        <f>IF(VLOOKUP(K$2,行为概览!$D$3:$J$33,7,0)="","",VLOOKUP(K$2,行为概览!$D$3:$J$33,7,0))</f>
        <v>20</v>
      </c>
      <c r="L10" s="53">
        <f>IF(VLOOKUP(L$2,行为概览!$D$3:$J$33,7,0)="","",VLOOKUP(L$2,行为概览!$D$3:$J$33,7,0))</f>
        <v>20</v>
      </c>
      <c r="M10" s="53">
        <f>IF(VLOOKUP(M$2,行为概览!$D$3:$J$33,7,0)="","",VLOOKUP(M$2,行为概览!$D$3:$J$33,7,0))</f>
        <v>40</v>
      </c>
      <c r="N10" s="53">
        <f>IF(VLOOKUP(N$2,行为概览!$D$3:$J$33,7,0)="","",VLOOKUP(N$2,行为概览!$D$3:$J$33,7,0))</f>
        <v>1</v>
      </c>
      <c r="O10" s="53">
        <f>IF(VLOOKUP(O$2,行为概览!$D$3:$J$33,7,0)="","",VLOOKUP(O$2,行为概览!$D$3:$J$33,7,0))</f>
        <v>150</v>
      </c>
      <c r="P10" s="53">
        <f>IF(VLOOKUP(P$2,行为概览!$D$3:$J$33,7,0)="","",VLOOKUP(P$2,行为概览!$D$3:$J$33,7,0))</f>
        <v>10</v>
      </c>
      <c r="Q10" s="53">
        <f>IF(VLOOKUP(Q$2,行为概览!$D$3:$J$33,7,0)="","",VLOOKUP(Q$2,行为概览!$D$3:$J$33,7,0))</f>
        <v>20</v>
      </c>
      <c r="R10" s="53">
        <f>IF(VLOOKUP(R$2,行为概览!$D$3:$J$33,7,0)="","",VLOOKUP(R$2,行为概览!$D$3:$J$33,7,0))</f>
        <v>6</v>
      </c>
      <c r="S10" s="53">
        <f>IF(VLOOKUP(S$2,行为概览!$D$3:$J$33,7,0)="","",VLOOKUP(S$2,行为概览!$D$3:$J$33,7,0))</f>
        <v>20</v>
      </c>
      <c r="T10" s="53">
        <f>IF(VLOOKUP(T$2,行为概览!$D$3:$J$33,7,0)="","",VLOOKUP(T$2,行为概览!$D$3:$J$33,7,0))</f>
        <v>15</v>
      </c>
      <c r="U10" s="53">
        <f>IF(VLOOKUP(U$2,行为概览!$D$3:$J$33,7,0)="","",VLOOKUP(U$2,行为概览!$D$3:$J$33,7,0))</f>
        <v>15</v>
      </c>
      <c r="V10" s="53">
        <f>IF(VLOOKUP(V$2,行为概览!$D$3:$J$33,7,0)="","",VLOOKUP(V$2,行为概览!$D$3:$J$33,7,0))</f>
        <v>40</v>
      </c>
      <c r="W10" s="53">
        <f>IF(VLOOKUP(W$2,行为概览!$D$3:$J$33,7,0)="","",VLOOKUP(W$2,行为概览!$D$3:$J$33,7,0))</f>
        <v>15</v>
      </c>
      <c r="X10" s="53">
        <f>IF(VLOOKUP(X$2,行为概览!$D$3:$J$33,7,0)="","",VLOOKUP(X$2,行为概览!$D$3:$J$33,7,0))</f>
        <v>30</v>
      </c>
      <c r="Y10" s="53">
        <f>IF(VLOOKUP(Y$2,行为概览!$D$3:$J$33,7,0)="","",VLOOKUP(Y$2,行为概览!$D$3:$J$33,7,0))</f>
        <v>25</v>
      </c>
      <c r="Z10" s="53">
        <f>IF(VLOOKUP(Z$2,行为概览!$D$3:$J$33,7,0)="","",VLOOKUP(Z$2,行为概览!$D$3:$J$33,7,0))</f>
        <v>15</v>
      </c>
      <c r="AA10" s="53">
        <f>IF(VLOOKUP(AA$2,行为概览!$D$3:$J$33,7,0)="","",VLOOKUP(AA$2,行为概览!$D$3:$J$33,7,0))</f>
        <v>15</v>
      </c>
      <c r="AB10" s="53" t="str">
        <f>IF(VLOOKUP(AB$2,行为概览!$D$3:$J$33,7,0)="","",VLOOKUP(AB$2,行为概览!$D$3:$J$33,7,0))</f>
        <v/>
      </c>
      <c r="AC10" s="53" t="str">
        <f>IF(VLOOKUP(AC$2,行为概览!$D$3:$J$33,7,0)="","",VLOOKUP(AC$2,行为概览!$D$3:$J$33,7,0))</f>
        <v/>
      </c>
      <c r="AD10" s="53" t="str">
        <f>IF(VLOOKUP(AD$2,行为概览!$D$3:$J$33,7,0)="","",VLOOKUP(AD$2,行为概览!$D$3:$J$33,7,0))</f>
        <v/>
      </c>
      <c r="AE10" s="68" t="str">
        <f>IF(VLOOKUP(AE$2,行为概览!$D$3:$J$33,7,0)="","",VLOOKUP(AE$2,行为概览!$D$3:$J$33,7,0))</f>
        <v/>
      </c>
      <c r="AF10" s="1">
        <f>IF(C10="","",ROUND(C10*玩法行为规划!B10,2))</f>
        <v>0</v>
      </c>
      <c r="AG10" s="2">
        <f>IF(D10="","",ROUND(D10*玩法行为规划!C10,2))</f>
        <v>0</v>
      </c>
      <c r="AH10" s="2">
        <f>IF(E10="","",ROUND(E10*玩法行为规划!D10,2))</f>
        <v>0</v>
      </c>
      <c r="AI10" s="2">
        <f>IF(F10="","",ROUND(F10*玩法行为规划!E10,2))</f>
        <v>0</v>
      </c>
      <c r="AJ10" s="2" t="str">
        <f>IF(G10="","",ROUND(G10*玩法行为规划!F10,2))</f>
        <v/>
      </c>
      <c r="AK10" s="2" t="str">
        <f>IF(H10="","",ROUND(H10*玩法行为规划!G10,2))</f>
        <v/>
      </c>
      <c r="AL10" s="2" t="str">
        <f>IF(I10="","",ROUND(I10*玩法行为规划!H10,2))</f>
        <v/>
      </c>
      <c r="AM10" s="2" t="str">
        <f>IF(J10="","",ROUND(J10*玩法行为规划!I10,2))</f>
        <v/>
      </c>
      <c r="AN10" s="2">
        <f>IF(K10="","",ROUND(K10*玩法行为规划!J10,2))</f>
        <v>0</v>
      </c>
      <c r="AO10" s="2">
        <f>IF(L10="","",ROUND(L10*玩法行为规划!K10,2))</f>
        <v>0</v>
      </c>
      <c r="AP10" s="2">
        <f>IF(M10="","",ROUND(M10*玩法行为规划!L10,2))</f>
        <v>0</v>
      </c>
      <c r="AQ10" s="2">
        <f>IF(N10="","",ROUND(N10*玩法行为规划!M10,2))</f>
        <v>0</v>
      </c>
      <c r="AR10" s="2">
        <f>IF(O10="","",ROUND(O10*玩法行为规划!N10,2))</f>
        <v>0</v>
      </c>
      <c r="AS10" s="2">
        <f>IF(P10="","",ROUND(P10*玩法行为规划!O10,2))</f>
        <v>0</v>
      </c>
      <c r="AT10" s="2">
        <f>IF(Q10="","",ROUND(Q10*玩法行为规划!P10,2))</f>
        <v>52</v>
      </c>
      <c r="AU10" s="2">
        <f>IF(R10="","",ROUND(R10*玩法行为规划!Q10,2))</f>
        <v>0</v>
      </c>
      <c r="AV10" s="2">
        <f>IF(S10="","",ROUND(S10*玩法行为规划!R10,2))</f>
        <v>0</v>
      </c>
      <c r="AW10" s="2">
        <f>IF(T10="","",ROUND(T10*玩法行为规划!S10,2))</f>
        <v>0</v>
      </c>
      <c r="AX10" s="2">
        <f>IF(U10="","",ROUND(U10*玩法行为规划!T10,2))</f>
        <v>0</v>
      </c>
      <c r="AY10" s="2">
        <f>IF(V10="","",ROUND(V10*玩法行为规划!U10,2))</f>
        <v>0</v>
      </c>
      <c r="AZ10" s="2">
        <f>IF(W10="","",ROUND(W10*玩法行为规划!V10,2))</f>
        <v>0</v>
      </c>
      <c r="BA10" s="2">
        <f>IF(X10="","",ROUND(X10*玩法行为规划!W10,2))</f>
        <v>0</v>
      </c>
      <c r="BB10" s="2">
        <f>IF(Y10="","",ROUND(Y10*玩法行为规划!X10,2))</f>
        <v>0</v>
      </c>
      <c r="BC10" s="2">
        <f>IF(Z10="","",ROUND(Z10*玩法行为规划!Y10,2))</f>
        <v>0</v>
      </c>
      <c r="BD10" s="2">
        <f>IF(AA10="","",ROUND(AA10*玩法行为规划!Z10,2))</f>
        <v>0</v>
      </c>
      <c r="BE10" s="2" t="str">
        <f>IF(AB10="","",ROUND(AB10*玩法行为规划!AA10,2))</f>
        <v/>
      </c>
      <c r="BF10" s="2" t="str">
        <f>IF(AC10="","",ROUND(AC10*玩法行为规划!AB10,2))</f>
        <v/>
      </c>
      <c r="BG10" s="2" t="str">
        <f>IF(AD10="","",ROUND(AD10*玩法行为规划!AC10,2))</f>
        <v/>
      </c>
      <c r="BH10" s="3" t="str">
        <f>IF(AE10="","",ROUND(AE10*玩法行为规划!AD10,2))</f>
        <v/>
      </c>
      <c r="BI10" s="7">
        <f t="shared" si="0"/>
        <v>52</v>
      </c>
      <c r="BJ10" s="7">
        <f t="shared" si="1"/>
        <v>166400</v>
      </c>
      <c r="BK10" s="10">
        <f t="shared" si="3"/>
        <v>12800</v>
      </c>
      <c r="BL10" s="21"/>
      <c r="BM10" s="7">
        <f t="shared" si="2"/>
        <v>1</v>
      </c>
      <c r="BN10" s="69">
        <f>INT(BJ10*升级节奏!G10+BK10)</f>
        <v>12800</v>
      </c>
      <c r="BO10" s="7">
        <f t="shared" si="4"/>
        <v>36</v>
      </c>
      <c r="BP10" s="7"/>
      <c r="BQ10" s="7"/>
    </row>
    <row r="11" spans="1:69">
      <c r="A11" s="29">
        <v>9</v>
      </c>
      <c r="B11" s="84">
        <f>升级节奏!C11</f>
        <v>3600</v>
      </c>
      <c r="C11" s="53">
        <f>IF(VLOOKUP(C$2,行为概览!$D$3:$J$33,7,0)="","",VLOOKUP(C$2,行为概览!$D$3:$J$33,7,0))</f>
        <v>50</v>
      </c>
      <c r="D11" s="53">
        <f>IF(VLOOKUP(D$2,行为概览!$D$3:$J$33,7,0)="","",VLOOKUP(D$2,行为概览!$D$3:$J$33,7,0))</f>
        <v>3.3</v>
      </c>
      <c r="E11" s="53">
        <f>IF(VLOOKUP(E$2,行为概览!$D$3:$J$33,7,0)="","",VLOOKUP(E$2,行为概览!$D$3:$J$33,7,0))</f>
        <v>30</v>
      </c>
      <c r="F11" s="53">
        <f>IF(VLOOKUP(F$2,行为概览!$D$3:$J$33,7,0)="","",VLOOKUP(F$2,行为概览!$D$3:$J$33,7,0))</f>
        <v>15</v>
      </c>
      <c r="G11" s="53" t="str">
        <f>IF(VLOOKUP(G$2,行为概览!$D$3:$J$33,7,0)="","",VLOOKUP(G$2,行为概览!$D$3:$J$33,7,0))</f>
        <v/>
      </c>
      <c r="H11" s="53" t="str">
        <f>IF(VLOOKUP(H$2,行为概览!$D$3:$J$33,7,0)="","",VLOOKUP(H$2,行为概览!$D$3:$J$33,7,0))</f>
        <v/>
      </c>
      <c r="I11" s="53" t="str">
        <f>IF(VLOOKUP(I$2,行为概览!$D$3:$J$33,7,0)="","",VLOOKUP(I$2,行为概览!$D$3:$J$33,7,0))</f>
        <v/>
      </c>
      <c r="J11" s="53" t="str">
        <f>IF(VLOOKUP(J$2,行为概览!$D$3:$J$33,7,0)="","",VLOOKUP(J$2,行为概览!$D$3:$J$33,7,0))</f>
        <v/>
      </c>
      <c r="K11" s="53">
        <f>IF(VLOOKUP(K$2,行为概览!$D$3:$J$33,7,0)="","",VLOOKUP(K$2,行为概览!$D$3:$J$33,7,0))</f>
        <v>20</v>
      </c>
      <c r="L11" s="53">
        <f>IF(VLOOKUP(L$2,行为概览!$D$3:$J$33,7,0)="","",VLOOKUP(L$2,行为概览!$D$3:$J$33,7,0))</f>
        <v>20</v>
      </c>
      <c r="M11" s="53">
        <f>IF(VLOOKUP(M$2,行为概览!$D$3:$J$33,7,0)="","",VLOOKUP(M$2,行为概览!$D$3:$J$33,7,0))</f>
        <v>40</v>
      </c>
      <c r="N11" s="53">
        <f>IF(VLOOKUP(N$2,行为概览!$D$3:$J$33,7,0)="","",VLOOKUP(N$2,行为概览!$D$3:$J$33,7,0))</f>
        <v>1</v>
      </c>
      <c r="O11" s="53">
        <f>IF(VLOOKUP(O$2,行为概览!$D$3:$J$33,7,0)="","",VLOOKUP(O$2,行为概览!$D$3:$J$33,7,0))</f>
        <v>150</v>
      </c>
      <c r="P11" s="53">
        <f>IF(VLOOKUP(P$2,行为概览!$D$3:$J$33,7,0)="","",VLOOKUP(P$2,行为概览!$D$3:$J$33,7,0))</f>
        <v>10</v>
      </c>
      <c r="Q11" s="53">
        <f>IF(VLOOKUP(Q$2,行为概览!$D$3:$J$33,7,0)="","",VLOOKUP(Q$2,行为概览!$D$3:$J$33,7,0))</f>
        <v>20</v>
      </c>
      <c r="R11" s="53">
        <f>IF(VLOOKUP(R$2,行为概览!$D$3:$J$33,7,0)="","",VLOOKUP(R$2,行为概览!$D$3:$J$33,7,0))</f>
        <v>6</v>
      </c>
      <c r="S11" s="53">
        <f>IF(VLOOKUP(S$2,行为概览!$D$3:$J$33,7,0)="","",VLOOKUP(S$2,行为概览!$D$3:$J$33,7,0))</f>
        <v>20</v>
      </c>
      <c r="T11" s="53">
        <f>IF(VLOOKUP(T$2,行为概览!$D$3:$J$33,7,0)="","",VLOOKUP(T$2,行为概览!$D$3:$J$33,7,0))</f>
        <v>15</v>
      </c>
      <c r="U11" s="53">
        <f>IF(VLOOKUP(U$2,行为概览!$D$3:$J$33,7,0)="","",VLOOKUP(U$2,行为概览!$D$3:$J$33,7,0))</f>
        <v>15</v>
      </c>
      <c r="V11" s="53">
        <f>IF(VLOOKUP(V$2,行为概览!$D$3:$J$33,7,0)="","",VLOOKUP(V$2,行为概览!$D$3:$J$33,7,0))</f>
        <v>40</v>
      </c>
      <c r="W11" s="53">
        <f>IF(VLOOKUP(W$2,行为概览!$D$3:$J$33,7,0)="","",VLOOKUP(W$2,行为概览!$D$3:$J$33,7,0))</f>
        <v>15</v>
      </c>
      <c r="X11" s="53">
        <f>IF(VLOOKUP(X$2,行为概览!$D$3:$J$33,7,0)="","",VLOOKUP(X$2,行为概览!$D$3:$J$33,7,0))</f>
        <v>30</v>
      </c>
      <c r="Y11" s="53">
        <f>IF(VLOOKUP(Y$2,行为概览!$D$3:$J$33,7,0)="","",VLOOKUP(Y$2,行为概览!$D$3:$J$33,7,0))</f>
        <v>25</v>
      </c>
      <c r="Z11" s="53">
        <f>IF(VLOOKUP(Z$2,行为概览!$D$3:$J$33,7,0)="","",VLOOKUP(Z$2,行为概览!$D$3:$J$33,7,0))</f>
        <v>15</v>
      </c>
      <c r="AA11" s="53">
        <f>IF(VLOOKUP(AA$2,行为概览!$D$3:$J$33,7,0)="","",VLOOKUP(AA$2,行为概览!$D$3:$J$33,7,0))</f>
        <v>15</v>
      </c>
      <c r="AB11" s="53" t="str">
        <f>IF(VLOOKUP(AB$2,行为概览!$D$3:$J$33,7,0)="","",VLOOKUP(AB$2,行为概览!$D$3:$J$33,7,0))</f>
        <v/>
      </c>
      <c r="AC11" s="53" t="str">
        <f>IF(VLOOKUP(AC$2,行为概览!$D$3:$J$33,7,0)="","",VLOOKUP(AC$2,行为概览!$D$3:$J$33,7,0))</f>
        <v/>
      </c>
      <c r="AD11" s="53" t="str">
        <f>IF(VLOOKUP(AD$2,行为概览!$D$3:$J$33,7,0)="","",VLOOKUP(AD$2,行为概览!$D$3:$J$33,7,0))</f>
        <v/>
      </c>
      <c r="AE11" s="68" t="str">
        <f>IF(VLOOKUP(AE$2,行为概览!$D$3:$J$33,7,0)="","",VLOOKUP(AE$2,行为概览!$D$3:$J$33,7,0))</f>
        <v/>
      </c>
      <c r="AF11" s="1">
        <f>IF(C11="","",ROUND(C11*玩法行为规划!B11,2))</f>
        <v>0</v>
      </c>
      <c r="AG11" s="2">
        <f>IF(D11="","",ROUND(D11*玩法行为规划!C11,2))</f>
        <v>0</v>
      </c>
      <c r="AH11" s="2">
        <f>IF(E11="","",ROUND(E11*玩法行为规划!D11,2))</f>
        <v>0</v>
      </c>
      <c r="AI11" s="2">
        <f>IF(F11="","",ROUND(F11*玩法行为规划!E11,2))</f>
        <v>0</v>
      </c>
      <c r="AJ11" s="2" t="str">
        <f>IF(G11="","",ROUND(G11*玩法行为规划!F11,2))</f>
        <v/>
      </c>
      <c r="AK11" s="2" t="str">
        <f>IF(H11="","",ROUND(H11*玩法行为规划!G11,2))</f>
        <v/>
      </c>
      <c r="AL11" s="2" t="str">
        <f>IF(I11="","",ROUND(I11*玩法行为规划!H11,2))</f>
        <v/>
      </c>
      <c r="AM11" s="2" t="str">
        <f>IF(J11="","",ROUND(J11*玩法行为规划!I11,2))</f>
        <v/>
      </c>
      <c r="AN11" s="2">
        <f>IF(K11="","",ROUND(K11*玩法行为规划!J11,2))</f>
        <v>0</v>
      </c>
      <c r="AO11" s="2">
        <f>IF(L11="","",ROUND(L11*玩法行为规划!K11,2))</f>
        <v>0</v>
      </c>
      <c r="AP11" s="2">
        <f>IF(M11="","",ROUND(M11*玩法行为规划!L11,2))</f>
        <v>0</v>
      </c>
      <c r="AQ11" s="2">
        <f>IF(N11="","",ROUND(N11*玩法行为规划!M11,2))</f>
        <v>0</v>
      </c>
      <c r="AR11" s="2">
        <f>IF(O11="","",ROUND(O11*玩法行为规划!N11,2))</f>
        <v>0</v>
      </c>
      <c r="AS11" s="2">
        <f>IF(P11="","",ROUND(P11*玩法行为规划!O11,2))</f>
        <v>0</v>
      </c>
      <c r="AT11" s="2">
        <f>IF(Q11="","",ROUND(Q11*玩法行为规划!P11,2))</f>
        <v>52</v>
      </c>
      <c r="AU11" s="2">
        <f>IF(R11="","",ROUND(R11*玩法行为规划!Q11,2))</f>
        <v>0</v>
      </c>
      <c r="AV11" s="2">
        <f>IF(S11="","",ROUND(S11*玩法行为规划!R11,2))</f>
        <v>0</v>
      </c>
      <c r="AW11" s="2">
        <f>IF(T11="","",ROUND(T11*玩法行为规划!S11,2))</f>
        <v>0</v>
      </c>
      <c r="AX11" s="2">
        <f>IF(U11="","",ROUND(U11*玩法行为规划!T11,2))</f>
        <v>0</v>
      </c>
      <c r="AY11" s="2">
        <f>IF(V11="","",ROUND(V11*玩法行为规划!U11,2))</f>
        <v>0</v>
      </c>
      <c r="AZ11" s="2">
        <f>IF(W11="","",ROUND(W11*玩法行为规划!V11,2))</f>
        <v>0</v>
      </c>
      <c r="BA11" s="2">
        <f>IF(X11="","",ROUND(X11*玩法行为规划!W11,2))</f>
        <v>0</v>
      </c>
      <c r="BB11" s="2">
        <f>IF(Y11="","",ROUND(Y11*玩法行为规划!X11,2))</f>
        <v>0</v>
      </c>
      <c r="BC11" s="2">
        <f>IF(Z11="","",ROUND(Z11*玩法行为规划!Y11,2))</f>
        <v>0</v>
      </c>
      <c r="BD11" s="2">
        <f>IF(AA11="","",ROUND(AA11*玩法行为规划!Z11,2))</f>
        <v>0</v>
      </c>
      <c r="BE11" s="2" t="str">
        <f>IF(AB11="","",ROUND(AB11*玩法行为规划!AA11,2))</f>
        <v/>
      </c>
      <c r="BF11" s="2" t="str">
        <f>IF(AC11="","",ROUND(AC11*玩法行为规划!AB11,2))</f>
        <v/>
      </c>
      <c r="BG11" s="2" t="str">
        <f>IF(AD11="","",ROUND(AD11*玩法行为规划!AC11,2))</f>
        <v/>
      </c>
      <c r="BH11" s="3" t="str">
        <f>IF(AE11="","",ROUND(AE11*玩法行为规划!AD11,2))</f>
        <v/>
      </c>
      <c r="BI11" s="7">
        <f t="shared" si="0"/>
        <v>52</v>
      </c>
      <c r="BJ11" s="7">
        <f t="shared" si="1"/>
        <v>187200</v>
      </c>
      <c r="BK11" s="10">
        <f t="shared" si="3"/>
        <v>14400</v>
      </c>
      <c r="BL11" s="21"/>
      <c r="BM11" s="7">
        <f t="shared" si="2"/>
        <v>1</v>
      </c>
      <c r="BN11" s="69">
        <f>INT(BJ11*升级节奏!G11+BK11)</f>
        <v>14400</v>
      </c>
      <c r="BO11" s="7">
        <f t="shared" si="4"/>
        <v>40</v>
      </c>
      <c r="BP11" s="7"/>
      <c r="BQ11" s="7"/>
    </row>
    <row r="12" spans="1:69">
      <c r="A12" s="29">
        <v>10</v>
      </c>
      <c r="B12" s="84">
        <f>升级节奏!C12</f>
        <v>4000</v>
      </c>
      <c r="C12" s="53">
        <f>IF(VLOOKUP(C$2,行为概览!$D$3:$J$33,7,0)="","",VLOOKUP(C$2,行为概览!$D$3:$J$33,7,0))</f>
        <v>50</v>
      </c>
      <c r="D12" s="53">
        <f>IF(VLOOKUP(D$2,行为概览!$D$3:$J$33,7,0)="","",VLOOKUP(D$2,行为概览!$D$3:$J$33,7,0))</f>
        <v>3.3</v>
      </c>
      <c r="E12" s="53">
        <f>IF(VLOOKUP(E$2,行为概览!$D$3:$J$33,7,0)="","",VLOOKUP(E$2,行为概览!$D$3:$J$33,7,0))</f>
        <v>30</v>
      </c>
      <c r="F12" s="53">
        <f>IF(VLOOKUP(F$2,行为概览!$D$3:$J$33,7,0)="","",VLOOKUP(F$2,行为概览!$D$3:$J$33,7,0))</f>
        <v>15</v>
      </c>
      <c r="G12" s="53" t="str">
        <f>IF(VLOOKUP(G$2,行为概览!$D$3:$J$33,7,0)="","",VLOOKUP(G$2,行为概览!$D$3:$J$33,7,0))</f>
        <v/>
      </c>
      <c r="H12" s="53" t="str">
        <f>IF(VLOOKUP(H$2,行为概览!$D$3:$J$33,7,0)="","",VLOOKUP(H$2,行为概览!$D$3:$J$33,7,0))</f>
        <v/>
      </c>
      <c r="I12" s="53" t="str">
        <f>IF(VLOOKUP(I$2,行为概览!$D$3:$J$33,7,0)="","",VLOOKUP(I$2,行为概览!$D$3:$J$33,7,0))</f>
        <v/>
      </c>
      <c r="J12" s="53" t="str">
        <f>IF(VLOOKUP(J$2,行为概览!$D$3:$J$33,7,0)="","",VLOOKUP(J$2,行为概览!$D$3:$J$33,7,0))</f>
        <v/>
      </c>
      <c r="K12" s="53">
        <f>IF(VLOOKUP(K$2,行为概览!$D$3:$J$33,7,0)="","",VLOOKUP(K$2,行为概览!$D$3:$J$33,7,0))</f>
        <v>20</v>
      </c>
      <c r="L12" s="53">
        <f>IF(VLOOKUP(L$2,行为概览!$D$3:$J$33,7,0)="","",VLOOKUP(L$2,行为概览!$D$3:$J$33,7,0))</f>
        <v>20</v>
      </c>
      <c r="M12" s="53">
        <f>IF(VLOOKUP(M$2,行为概览!$D$3:$J$33,7,0)="","",VLOOKUP(M$2,行为概览!$D$3:$J$33,7,0))</f>
        <v>40</v>
      </c>
      <c r="N12" s="53">
        <f>IF(VLOOKUP(N$2,行为概览!$D$3:$J$33,7,0)="","",VLOOKUP(N$2,行为概览!$D$3:$J$33,7,0))</f>
        <v>1</v>
      </c>
      <c r="O12" s="53">
        <f>IF(VLOOKUP(O$2,行为概览!$D$3:$J$33,7,0)="","",VLOOKUP(O$2,行为概览!$D$3:$J$33,7,0))</f>
        <v>150</v>
      </c>
      <c r="P12" s="53">
        <f>IF(VLOOKUP(P$2,行为概览!$D$3:$J$33,7,0)="","",VLOOKUP(P$2,行为概览!$D$3:$J$33,7,0))</f>
        <v>10</v>
      </c>
      <c r="Q12" s="53">
        <f>IF(VLOOKUP(Q$2,行为概览!$D$3:$J$33,7,0)="","",VLOOKUP(Q$2,行为概览!$D$3:$J$33,7,0))</f>
        <v>20</v>
      </c>
      <c r="R12" s="53">
        <f>IF(VLOOKUP(R$2,行为概览!$D$3:$J$33,7,0)="","",VLOOKUP(R$2,行为概览!$D$3:$J$33,7,0))</f>
        <v>6</v>
      </c>
      <c r="S12" s="53">
        <f>IF(VLOOKUP(S$2,行为概览!$D$3:$J$33,7,0)="","",VLOOKUP(S$2,行为概览!$D$3:$J$33,7,0))</f>
        <v>20</v>
      </c>
      <c r="T12" s="53">
        <f>IF(VLOOKUP(T$2,行为概览!$D$3:$J$33,7,0)="","",VLOOKUP(T$2,行为概览!$D$3:$J$33,7,0))</f>
        <v>15</v>
      </c>
      <c r="U12" s="53">
        <f>IF(VLOOKUP(U$2,行为概览!$D$3:$J$33,7,0)="","",VLOOKUP(U$2,行为概览!$D$3:$J$33,7,0))</f>
        <v>15</v>
      </c>
      <c r="V12" s="53">
        <f>IF(VLOOKUP(V$2,行为概览!$D$3:$J$33,7,0)="","",VLOOKUP(V$2,行为概览!$D$3:$J$33,7,0))</f>
        <v>40</v>
      </c>
      <c r="W12" s="53">
        <f>IF(VLOOKUP(W$2,行为概览!$D$3:$J$33,7,0)="","",VLOOKUP(W$2,行为概览!$D$3:$J$33,7,0))</f>
        <v>15</v>
      </c>
      <c r="X12" s="53">
        <f>IF(VLOOKUP(X$2,行为概览!$D$3:$J$33,7,0)="","",VLOOKUP(X$2,行为概览!$D$3:$J$33,7,0))</f>
        <v>30</v>
      </c>
      <c r="Y12" s="53">
        <f>IF(VLOOKUP(Y$2,行为概览!$D$3:$J$33,7,0)="","",VLOOKUP(Y$2,行为概览!$D$3:$J$33,7,0))</f>
        <v>25</v>
      </c>
      <c r="Z12" s="53">
        <f>IF(VLOOKUP(Z$2,行为概览!$D$3:$J$33,7,0)="","",VLOOKUP(Z$2,行为概览!$D$3:$J$33,7,0))</f>
        <v>15</v>
      </c>
      <c r="AA12" s="53">
        <f>IF(VLOOKUP(AA$2,行为概览!$D$3:$J$33,7,0)="","",VLOOKUP(AA$2,行为概览!$D$3:$J$33,7,0))</f>
        <v>15</v>
      </c>
      <c r="AB12" s="53" t="str">
        <f>IF(VLOOKUP(AB$2,行为概览!$D$3:$J$33,7,0)="","",VLOOKUP(AB$2,行为概览!$D$3:$J$33,7,0))</f>
        <v/>
      </c>
      <c r="AC12" s="53" t="str">
        <f>IF(VLOOKUP(AC$2,行为概览!$D$3:$J$33,7,0)="","",VLOOKUP(AC$2,行为概览!$D$3:$J$33,7,0))</f>
        <v/>
      </c>
      <c r="AD12" s="53" t="str">
        <f>IF(VLOOKUP(AD$2,行为概览!$D$3:$J$33,7,0)="","",VLOOKUP(AD$2,行为概览!$D$3:$J$33,7,0))</f>
        <v/>
      </c>
      <c r="AE12" s="68" t="str">
        <f>IF(VLOOKUP(AE$2,行为概览!$D$3:$J$33,7,0)="","",VLOOKUP(AE$2,行为概览!$D$3:$J$33,7,0))</f>
        <v/>
      </c>
      <c r="AF12" s="1">
        <f>IF(C12="","",ROUND(C12*玩法行为规划!B12,2))</f>
        <v>0</v>
      </c>
      <c r="AG12" s="2">
        <f>IF(D12="","",ROUND(D12*玩法行为规划!C12,2))</f>
        <v>0</v>
      </c>
      <c r="AH12" s="2">
        <f>IF(E12="","",ROUND(E12*玩法行为规划!D12,2))</f>
        <v>0</v>
      </c>
      <c r="AI12" s="2">
        <f>IF(F12="","",ROUND(F12*玩法行为规划!E12,2))</f>
        <v>0</v>
      </c>
      <c r="AJ12" s="2" t="str">
        <f>IF(G12="","",ROUND(G12*玩法行为规划!F12,2))</f>
        <v/>
      </c>
      <c r="AK12" s="2" t="str">
        <f>IF(H12="","",ROUND(H12*玩法行为规划!G12,2))</f>
        <v/>
      </c>
      <c r="AL12" s="2" t="str">
        <f>IF(I12="","",ROUND(I12*玩法行为规划!H12,2))</f>
        <v/>
      </c>
      <c r="AM12" s="2" t="str">
        <f>IF(J12="","",ROUND(J12*玩法行为规划!I12,2))</f>
        <v/>
      </c>
      <c r="AN12" s="2">
        <f>IF(K12="","",ROUND(K12*玩法行为规划!J12,2))</f>
        <v>0</v>
      </c>
      <c r="AO12" s="2">
        <f>IF(L12="","",ROUND(L12*玩法行为规划!K12,2))</f>
        <v>0</v>
      </c>
      <c r="AP12" s="2">
        <f>IF(M12="","",ROUND(M12*玩法行为规划!L12,2))</f>
        <v>0</v>
      </c>
      <c r="AQ12" s="2">
        <f>IF(N12="","",ROUND(N12*玩法行为规划!M12,2))</f>
        <v>12</v>
      </c>
      <c r="AR12" s="2">
        <f>IF(O12="","",ROUND(O12*玩法行为规划!N12,2))</f>
        <v>0</v>
      </c>
      <c r="AS12" s="2">
        <f>IF(P12="","",ROUND(P12*玩法行为规划!O12,2))</f>
        <v>0.83</v>
      </c>
      <c r="AT12" s="2">
        <f>IF(Q12="","",ROUND(Q12*玩法行为规划!P12,2))</f>
        <v>52</v>
      </c>
      <c r="AU12" s="2">
        <f>IF(R12="","",ROUND(R12*玩法行为规划!Q12,2))</f>
        <v>0</v>
      </c>
      <c r="AV12" s="2">
        <f>IF(S12="","",ROUND(S12*玩法行为规划!R12,2))</f>
        <v>0</v>
      </c>
      <c r="AW12" s="2">
        <f>IF(T12="","",ROUND(T12*玩法行为规划!S12,2))</f>
        <v>0</v>
      </c>
      <c r="AX12" s="2">
        <f>IF(U12="","",ROUND(U12*玩法行为规划!T12,2))</f>
        <v>0</v>
      </c>
      <c r="AY12" s="2">
        <f>IF(V12="","",ROUND(V12*玩法行为规划!U12,2))</f>
        <v>0</v>
      </c>
      <c r="AZ12" s="2">
        <f>IF(W12="","",ROUND(W12*玩法行为规划!V12,2))</f>
        <v>0</v>
      </c>
      <c r="BA12" s="2">
        <f>IF(X12="","",ROUND(X12*玩法行为规划!W12,2))</f>
        <v>0</v>
      </c>
      <c r="BB12" s="2">
        <f>IF(Y12="","",ROUND(Y12*玩法行为规划!X12,2))</f>
        <v>0</v>
      </c>
      <c r="BC12" s="2">
        <f>IF(Z12="","",ROUND(Z12*玩法行为规划!Y12,2))</f>
        <v>0</v>
      </c>
      <c r="BD12" s="2">
        <f>IF(AA12="","",ROUND(AA12*玩法行为规划!Z12,2))</f>
        <v>0</v>
      </c>
      <c r="BE12" s="2" t="str">
        <f>IF(AB12="","",ROUND(AB12*玩法行为规划!AA12,2))</f>
        <v/>
      </c>
      <c r="BF12" s="2" t="str">
        <f>IF(AC12="","",ROUND(AC12*玩法行为规划!AB12,2))</f>
        <v/>
      </c>
      <c r="BG12" s="2" t="str">
        <f>IF(AD12="","",ROUND(AD12*玩法行为规划!AC12,2))</f>
        <v/>
      </c>
      <c r="BH12" s="3" t="str">
        <f>IF(AE12="","",ROUND(AE12*玩法行为规划!AD12,2))</f>
        <v/>
      </c>
      <c r="BI12" s="7">
        <f t="shared" si="0"/>
        <v>64.83</v>
      </c>
      <c r="BJ12" s="7">
        <f t="shared" si="1"/>
        <v>259320</v>
      </c>
      <c r="BK12" s="10">
        <f t="shared" si="3"/>
        <v>16000</v>
      </c>
      <c r="BL12" s="21">
        <f t="shared" ref="BL12:BL43" si="5">IF(--RIGHT(A12,1)=0,SUM(BK12:BK21),"")</f>
        <v>232000</v>
      </c>
      <c r="BM12" s="7">
        <f t="shared" si="2"/>
        <v>1</v>
      </c>
      <c r="BN12" s="69">
        <f>INT(BJ12*升级节奏!G12+BK12)</f>
        <v>16000</v>
      </c>
      <c r="BO12" s="7">
        <f t="shared" si="4"/>
        <v>44</v>
      </c>
      <c r="BP12" s="7"/>
      <c r="BQ12" s="7"/>
    </row>
    <row r="13" spans="1:69">
      <c r="A13" s="29">
        <v>11</v>
      </c>
      <c r="B13" s="84">
        <f>升级节奏!C13</f>
        <v>4400</v>
      </c>
      <c r="C13" s="53">
        <f>IF(VLOOKUP(C$2,行为概览!$D$3:$J$33,7,0)="","",VLOOKUP(C$2,行为概览!$D$3:$J$33,7,0))</f>
        <v>50</v>
      </c>
      <c r="D13" s="53">
        <f>IF(VLOOKUP(D$2,行为概览!$D$3:$J$33,7,0)="","",VLOOKUP(D$2,行为概览!$D$3:$J$33,7,0))</f>
        <v>3.3</v>
      </c>
      <c r="E13" s="53">
        <f>IF(VLOOKUP(E$2,行为概览!$D$3:$J$33,7,0)="","",VLOOKUP(E$2,行为概览!$D$3:$J$33,7,0))</f>
        <v>30</v>
      </c>
      <c r="F13" s="53">
        <f>IF(VLOOKUP(F$2,行为概览!$D$3:$J$33,7,0)="","",VLOOKUP(F$2,行为概览!$D$3:$J$33,7,0))</f>
        <v>15</v>
      </c>
      <c r="G13" s="53" t="str">
        <f>IF(VLOOKUP(G$2,行为概览!$D$3:$J$33,7,0)="","",VLOOKUP(G$2,行为概览!$D$3:$J$33,7,0))</f>
        <v/>
      </c>
      <c r="H13" s="53" t="str">
        <f>IF(VLOOKUP(H$2,行为概览!$D$3:$J$33,7,0)="","",VLOOKUP(H$2,行为概览!$D$3:$J$33,7,0))</f>
        <v/>
      </c>
      <c r="I13" s="53" t="str">
        <f>IF(VLOOKUP(I$2,行为概览!$D$3:$J$33,7,0)="","",VLOOKUP(I$2,行为概览!$D$3:$J$33,7,0))</f>
        <v/>
      </c>
      <c r="J13" s="53" t="str">
        <f>IF(VLOOKUP(J$2,行为概览!$D$3:$J$33,7,0)="","",VLOOKUP(J$2,行为概览!$D$3:$J$33,7,0))</f>
        <v/>
      </c>
      <c r="K13" s="53">
        <f>IF(VLOOKUP(K$2,行为概览!$D$3:$J$33,7,0)="","",VLOOKUP(K$2,行为概览!$D$3:$J$33,7,0))</f>
        <v>20</v>
      </c>
      <c r="L13" s="53">
        <f>IF(VLOOKUP(L$2,行为概览!$D$3:$J$33,7,0)="","",VLOOKUP(L$2,行为概览!$D$3:$J$33,7,0))</f>
        <v>20</v>
      </c>
      <c r="M13" s="53">
        <f>IF(VLOOKUP(M$2,行为概览!$D$3:$J$33,7,0)="","",VLOOKUP(M$2,行为概览!$D$3:$J$33,7,0))</f>
        <v>40</v>
      </c>
      <c r="N13" s="53">
        <f>IF(VLOOKUP(N$2,行为概览!$D$3:$J$33,7,0)="","",VLOOKUP(N$2,行为概览!$D$3:$J$33,7,0))</f>
        <v>1</v>
      </c>
      <c r="O13" s="53">
        <f>IF(VLOOKUP(O$2,行为概览!$D$3:$J$33,7,0)="","",VLOOKUP(O$2,行为概览!$D$3:$J$33,7,0))</f>
        <v>150</v>
      </c>
      <c r="P13" s="53">
        <f>IF(VLOOKUP(P$2,行为概览!$D$3:$J$33,7,0)="","",VLOOKUP(P$2,行为概览!$D$3:$J$33,7,0))</f>
        <v>10</v>
      </c>
      <c r="Q13" s="53">
        <f>IF(VLOOKUP(Q$2,行为概览!$D$3:$J$33,7,0)="","",VLOOKUP(Q$2,行为概览!$D$3:$J$33,7,0))</f>
        <v>20</v>
      </c>
      <c r="R13" s="53">
        <f>IF(VLOOKUP(R$2,行为概览!$D$3:$J$33,7,0)="","",VLOOKUP(R$2,行为概览!$D$3:$J$33,7,0))</f>
        <v>6</v>
      </c>
      <c r="S13" s="53">
        <f>IF(VLOOKUP(S$2,行为概览!$D$3:$J$33,7,0)="","",VLOOKUP(S$2,行为概览!$D$3:$J$33,7,0))</f>
        <v>20</v>
      </c>
      <c r="T13" s="53">
        <f>IF(VLOOKUP(T$2,行为概览!$D$3:$J$33,7,0)="","",VLOOKUP(T$2,行为概览!$D$3:$J$33,7,0))</f>
        <v>15</v>
      </c>
      <c r="U13" s="53">
        <f>IF(VLOOKUP(U$2,行为概览!$D$3:$J$33,7,0)="","",VLOOKUP(U$2,行为概览!$D$3:$J$33,7,0))</f>
        <v>15</v>
      </c>
      <c r="V13" s="53">
        <f>IF(VLOOKUP(V$2,行为概览!$D$3:$J$33,7,0)="","",VLOOKUP(V$2,行为概览!$D$3:$J$33,7,0))</f>
        <v>40</v>
      </c>
      <c r="W13" s="53">
        <f>IF(VLOOKUP(W$2,行为概览!$D$3:$J$33,7,0)="","",VLOOKUP(W$2,行为概览!$D$3:$J$33,7,0))</f>
        <v>15</v>
      </c>
      <c r="X13" s="53">
        <f>IF(VLOOKUP(X$2,行为概览!$D$3:$J$33,7,0)="","",VLOOKUP(X$2,行为概览!$D$3:$J$33,7,0))</f>
        <v>30</v>
      </c>
      <c r="Y13" s="53">
        <f>IF(VLOOKUP(Y$2,行为概览!$D$3:$J$33,7,0)="","",VLOOKUP(Y$2,行为概览!$D$3:$J$33,7,0))</f>
        <v>25</v>
      </c>
      <c r="Z13" s="53">
        <f>IF(VLOOKUP(Z$2,行为概览!$D$3:$J$33,7,0)="","",VLOOKUP(Z$2,行为概览!$D$3:$J$33,7,0))</f>
        <v>15</v>
      </c>
      <c r="AA13" s="53">
        <f>IF(VLOOKUP(AA$2,行为概览!$D$3:$J$33,7,0)="","",VLOOKUP(AA$2,行为概览!$D$3:$J$33,7,0))</f>
        <v>15</v>
      </c>
      <c r="AB13" s="53" t="str">
        <f>IF(VLOOKUP(AB$2,行为概览!$D$3:$J$33,7,0)="","",VLOOKUP(AB$2,行为概览!$D$3:$J$33,7,0))</f>
        <v/>
      </c>
      <c r="AC13" s="53" t="str">
        <f>IF(VLOOKUP(AC$2,行为概览!$D$3:$J$33,7,0)="","",VLOOKUP(AC$2,行为概览!$D$3:$J$33,7,0))</f>
        <v/>
      </c>
      <c r="AD13" s="53" t="str">
        <f>IF(VLOOKUP(AD$2,行为概览!$D$3:$J$33,7,0)="","",VLOOKUP(AD$2,行为概览!$D$3:$J$33,7,0))</f>
        <v/>
      </c>
      <c r="AE13" s="68" t="str">
        <f>IF(VLOOKUP(AE$2,行为概览!$D$3:$J$33,7,0)="","",VLOOKUP(AE$2,行为概览!$D$3:$J$33,7,0))</f>
        <v/>
      </c>
      <c r="AF13" s="1">
        <f>IF(C13="","",ROUND(C13*玩法行为规划!B13,2))</f>
        <v>0</v>
      </c>
      <c r="AG13" s="2">
        <f>IF(D13="","",ROUND(D13*玩法行为规划!C13,2))</f>
        <v>0</v>
      </c>
      <c r="AH13" s="2">
        <f>IF(E13="","",ROUND(E13*玩法行为规划!D13,2))</f>
        <v>0</v>
      </c>
      <c r="AI13" s="2">
        <f>IF(F13="","",ROUND(F13*玩法行为规划!E13,2))</f>
        <v>0</v>
      </c>
      <c r="AJ13" s="2" t="str">
        <f>IF(G13="","",ROUND(G13*玩法行为规划!F13,2))</f>
        <v/>
      </c>
      <c r="AK13" s="2" t="str">
        <f>IF(H13="","",ROUND(H13*玩法行为规划!G13,2))</f>
        <v/>
      </c>
      <c r="AL13" s="2" t="str">
        <f>IF(I13="","",ROUND(I13*玩法行为规划!H13,2))</f>
        <v/>
      </c>
      <c r="AM13" s="2" t="str">
        <f>IF(J13="","",ROUND(J13*玩法行为规划!I13,2))</f>
        <v/>
      </c>
      <c r="AN13" s="2">
        <f>IF(K13="","",ROUND(K13*玩法行为规划!J13,2))</f>
        <v>0</v>
      </c>
      <c r="AO13" s="2">
        <f>IF(L13="","",ROUND(L13*玩法行为规划!K13,2))</f>
        <v>0</v>
      </c>
      <c r="AP13" s="2">
        <f>IF(M13="","",ROUND(M13*玩法行为规划!L13,2))</f>
        <v>0</v>
      </c>
      <c r="AQ13" s="2">
        <f>IF(N13="","",ROUND(N13*玩法行为规划!M13,2))</f>
        <v>12</v>
      </c>
      <c r="AR13" s="2">
        <f>IF(O13="","",ROUND(O13*玩法行为规划!N13,2))</f>
        <v>0</v>
      </c>
      <c r="AS13" s="2">
        <f>IF(P13="","",ROUND(P13*玩法行为规划!O13,2))</f>
        <v>0.83</v>
      </c>
      <c r="AT13" s="2">
        <f>IF(Q13="","",ROUND(Q13*玩法行为规划!P13,2))</f>
        <v>52</v>
      </c>
      <c r="AU13" s="2">
        <f>IF(R13="","",ROUND(R13*玩法行为规划!Q13,2))</f>
        <v>0</v>
      </c>
      <c r="AV13" s="2">
        <f>IF(S13="","",ROUND(S13*玩法行为规划!R13,2))</f>
        <v>0</v>
      </c>
      <c r="AW13" s="2">
        <f>IF(T13="","",ROUND(T13*玩法行为规划!S13,2))</f>
        <v>0</v>
      </c>
      <c r="AX13" s="2">
        <f>IF(U13="","",ROUND(U13*玩法行为规划!T13,2))</f>
        <v>0</v>
      </c>
      <c r="AY13" s="2">
        <f>IF(V13="","",ROUND(V13*玩法行为规划!U13,2))</f>
        <v>0</v>
      </c>
      <c r="AZ13" s="2">
        <f>IF(W13="","",ROUND(W13*玩法行为规划!V13,2))</f>
        <v>0</v>
      </c>
      <c r="BA13" s="2">
        <f>IF(X13="","",ROUND(X13*玩法行为规划!W13,2))</f>
        <v>0</v>
      </c>
      <c r="BB13" s="2">
        <f>IF(Y13="","",ROUND(Y13*玩法行为规划!X13,2))</f>
        <v>0</v>
      </c>
      <c r="BC13" s="2">
        <f>IF(Z13="","",ROUND(Z13*玩法行为规划!Y13,2))</f>
        <v>0</v>
      </c>
      <c r="BD13" s="2">
        <f>IF(AA13="","",ROUND(AA13*玩法行为规划!Z13,2))</f>
        <v>0</v>
      </c>
      <c r="BE13" s="2" t="str">
        <f>IF(AB13="","",ROUND(AB13*玩法行为规划!AA13,2))</f>
        <v/>
      </c>
      <c r="BF13" s="2" t="str">
        <f>IF(AC13="","",ROUND(AC13*玩法行为规划!AB13,2))</f>
        <v/>
      </c>
      <c r="BG13" s="2" t="str">
        <f>IF(AD13="","",ROUND(AD13*玩法行为规划!AC13,2))</f>
        <v/>
      </c>
      <c r="BH13" s="3" t="str">
        <f>IF(AE13="","",ROUND(AE13*玩法行为规划!AD13,2))</f>
        <v/>
      </c>
      <c r="BI13" s="7">
        <f t="shared" si="0"/>
        <v>64.83</v>
      </c>
      <c r="BJ13" s="7">
        <f t="shared" si="1"/>
        <v>285252</v>
      </c>
      <c r="BK13" s="10">
        <f t="shared" si="3"/>
        <v>17600</v>
      </c>
      <c r="BL13" s="21" t="str">
        <f t="shared" si="5"/>
        <v/>
      </c>
      <c r="BM13" s="7">
        <f t="shared" si="2"/>
        <v>1</v>
      </c>
      <c r="BN13" s="69">
        <f>INT(BJ13*升级节奏!G13+BK13)</f>
        <v>17600</v>
      </c>
      <c r="BO13" s="7">
        <f t="shared" si="4"/>
        <v>49</v>
      </c>
      <c r="BP13" s="7"/>
      <c r="BQ13" s="7"/>
    </row>
    <row r="14" spans="1:69">
      <c r="A14" s="29">
        <v>12</v>
      </c>
      <c r="B14" s="84">
        <f>升级节奏!C14</f>
        <v>4800</v>
      </c>
      <c r="C14" s="53">
        <f>IF(VLOOKUP(C$2,行为概览!$D$3:$J$33,7,0)="","",VLOOKUP(C$2,行为概览!$D$3:$J$33,7,0))</f>
        <v>50</v>
      </c>
      <c r="D14" s="53">
        <f>IF(VLOOKUP(D$2,行为概览!$D$3:$J$33,7,0)="","",VLOOKUP(D$2,行为概览!$D$3:$J$33,7,0))</f>
        <v>3.3</v>
      </c>
      <c r="E14" s="53">
        <f>IF(VLOOKUP(E$2,行为概览!$D$3:$J$33,7,0)="","",VLOOKUP(E$2,行为概览!$D$3:$J$33,7,0))</f>
        <v>30</v>
      </c>
      <c r="F14" s="53">
        <f>IF(VLOOKUP(F$2,行为概览!$D$3:$J$33,7,0)="","",VLOOKUP(F$2,行为概览!$D$3:$J$33,7,0))</f>
        <v>15</v>
      </c>
      <c r="G14" s="53" t="str">
        <f>IF(VLOOKUP(G$2,行为概览!$D$3:$J$33,7,0)="","",VLOOKUP(G$2,行为概览!$D$3:$J$33,7,0))</f>
        <v/>
      </c>
      <c r="H14" s="53" t="str">
        <f>IF(VLOOKUP(H$2,行为概览!$D$3:$J$33,7,0)="","",VLOOKUP(H$2,行为概览!$D$3:$J$33,7,0))</f>
        <v/>
      </c>
      <c r="I14" s="53" t="str">
        <f>IF(VLOOKUP(I$2,行为概览!$D$3:$J$33,7,0)="","",VLOOKUP(I$2,行为概览!$D$3:$J$33,7,0))</f>
        <v/>
      </c>
      <c r="J14" s="53" t="str">
        <f>IF(VLOOKUP(J$2,行为概览!$D$3:$J$33,7,0)="","",VLOOKUP(J$2,行为概览!$D$3:$J$33,7,0))</f>
        <v/>
      </c>
      <c r="K14" s="53">
        <f>IF(VLOOKUP(K$2,行为概览!$D$3:$J$33,7,0)="","",VLOOKUP(K$2,行为概览!$D$3:$J$33,7,0))</f>
        <v>20</v>
      </c>
      <c r="L14" s="53">
        <f>IF(VLOOKUP(L$2,行为概览!$D$3:$J$33,7,0)="","",VLOOKUP(L$2,行为概览!$D$3:$J$33,7,0))</f>
        <v>20</v>
      </c>
      <c r="M14" s="53">
        <f>IF(VLOOKUP(M$2,行为概览!$D$3:$J$33,7,0)="","",VLOOKUP(M$2,行为概览!$D$3:$J$33,7,0))</f>
        <v>40</v>
      </c>
      <c r="N14" s="53">
        <f>IF(VLOOKUP(N$2,行为概览!$D$3:$J$33,7,0)="","",VLOOKUP(N$2,行为概览!$D$3:$J$33,7,0))</f>
        <v>1</v>
      </c>
      <c r="O14" s="53">
        <f>IF(VLOOKUP(O$2,行为概览!$D$3:$J$33,7,0)="","",VLOOKUP(O$2,行为概览!$D$3:$J$33,7,0))</f>
        <v>150</v>
      </c>
      <c r="P14" s="53">
        <f>IF(VLOOKUP(P$2,行为概览!$D$3:$J$33,7,0)="","",VLOOKUP(P$2,行为概览!$D$3:$J$33,7,0))</f>
        <v>10</v>
      </c>
      <c r="Q14" s="53">
        <f>IF(VLOOKUP(Q$2,行为概览!$D$3:$J$33,7,0)="","",VLOOKUP(Q$2,行为概览!$D$3:$J$33,7,0))</f>
        <v>20</v>
      </c>
      <c r="R14" s="53">
        <f>IF(VLOOKUP(R$2,行为概览!$D$3:$J$33,7,0)="","",VLOOKUP(R$2,行为概览!$D$3:$J$33,7,0))</f>
        <v>6</v>
      </c>
      <c r="S14" s="53">
        <f>IF(VLOOKUP(S$2,行为概览!$D$3:$J$33,7,0)="","",VLOOKUP(S$2,行为概览!$D$3:$J$33,7,0))</f>
        <v>20</v>
      </c>
      <c r="T14" s="53">
        <f>IF(VLOOKUP(T$2,行为概览!$D$3:$J$33,7,0)="","",VLOOKUP(T$2,行为概览!$D$3:$J$33,7,0))</f>
        <v>15</v>
      </c>
      <c r="U14" s="53">
        <f>IF(VLOOKUP(U$2,行为概览!$D$3:$J$33,7,0)="","",VLOOKUP(U$2,行为概览!$D$3:$J$33,7,0))</f>
        <v>15</v>
      </c>
      <c r="V14" s="53">
        <f>IF(VLOOKUP(V$2,行为概览!$D$3:$J$33,7,0)="","",VLOOKUP(V$2,行为概览!$D$3:$J$33,7,0))</f>
        <v>40</v>
      </c>
      <c r="W14" s="53">
        <f>IF(VLOOKUP(W$2,行为概览!$D$3:$J$33,7,0)="","",VLOOKUP(W$2,行为概览!$D$3:$J$33,7,0))</f>
        <v>15</v>
      </c>
      <c r="X14" s="53">
        <f>IF(VLOOKUP(X$2,行为概览!$D$3:$J$33,7,0)="","",VLOOKUP(X$2,行为概览!$D$3:$J$33,7,0))</f>
        <v>30</v>
      </c>
      <c r="Y14" s="53">
        <f>IF(VLOOKUP(Y$2,行为概览!$D$3:$J$33,7,0)="","",VLOOKUP(Y$2,行为概览!$D$3:$J$33,7,0))</f>
        <v>25</v>
      </c>
      <c r="Z14" s="53">
        <f>IF(VLOOKUP(Z$2,行为概览!$D$3:$J$33,7,0)="","",VLOOKUP(Z$2,行为概览!$D$3:$J$33,7,0))</f>
        <v>15</v>
      </c>
      <c r="AA14" s="53">
        <f>IF(VLOOKUP(AA$2,行为概览!$D$3:$J$33,7,0)="","",VLOOKUP(AA$2,行为概览!$D$3:$J$33,7,0))</f>
        <v>15</v>
      </c>
      <c r="AB14" s="53" t="str">
        <f>IF(VLOOKUP(AB$2,行为概览!$D$3:$J$33,7,0)="","",VLOOKUP(AB$2,行为概览!$D$3:$J$33,7,0))</f>
        <v/>
      </c>
      <c r="AC14" s="53" t="str">
        <f>IF(VLOOKUP(AC$2,行为概览!$D$3:$J$33,7,0)="","",VLOOKUP(AC$2,行为概览!$D$3:$J$33,7,0))</f>
        <v/>
      </c>
      <c r="AD14" s="53" t="str">
        <f>IF(VLOOKUP(AD$2,行为概览!$D$3:$J$33,7,0)="","",VLOOKUP(AD$2,行为概览!$D$3:$J$33,7,0))</f>
        <v/>
      </c>
      <c r="AE14" s="68" t="str">
        <f>IF(VLOOKUP(AE$2,行为概览!$D$3:$J$33,7,0)="","",VLOOKUP(AE$2,行为概览!$D$3:$J$33,7,0))</f>
        <v/>
      </c>
      <c r="AF14" s="1">
        <f>IF(C14="","",ROUND(C14*玩法行为规划!B14,2))</f>
        <v>0</v>
      </c>
      <c r="AG14" s="2">
        <f>IF(D14="","",ROUND(D14*玩法行为规划!C14,2))</f>
        <v>0</v>
      </c>
      <c r="AH14" s="2">
        <f>IF(E14="","",ROUND(E14*玩法行为规划!D14,2))</f>
        <v>0</v>
      </c>
      <c r="AI14" s="2">
        <f>IF(F14="","",ROUND(F14*玩法行为规划!E14,2))</f>
        <v>0</v>
      </c>
      <c r="AJ14" s="2" t="str">
        <f>IF(G14="","",ROUND(G14*玩法行为规划!F14,2))</f>
        <v/>
      </c>
      <c r="AK14" s="2" t="str">
        <f>IF(H14="","",ROUND(H14*玩法行为规划!G14,2))</f>
        <v/>
      </c>
      <c r="AL14" s="2" t="str">
        <f>IF(I14="","",ROUND(I14*玩法行为规划!H14,2))</f>
        <v/>
      </c>
      <c r="AM14" s="2" t="str">
        <f>IF(J14="","",ROUND(J14*玩法行为规划!I14,2))</f>
        <v/>
      </c>
      <c r="AN14" s="2">
        <f>IF(K14="","",ROUND(K14*玩法行为规划!J14,2))</f>
        <v>0</v>
      </c>
      <c r="AO14" s="2">
        <f>IF(L14="","",ROUND(L14*玩法行为规划!K14,2))</f>
        <v>0</v>
      </c>
      <c r="AP14" s="2">
        <f>IF(M14="","",ROUND(M14*玩法行为规划!L14,2))</f>
        <v>0</v>
      </c>
      <c r="AQ14" s="2">
        <f>IF(N14="","",ROUND(N14*玩法行为规划!M14,2))</f>
        <v>12</v>
      </c>
      <c r="AR14" s="2">
        <f>IF(O14="","",ROUND(O14*玩法行为规划!N14,2))</f>
        <v>0</v>
      </c>
      <c r="AS14" s="2">
        <f>IF(P14="","",ROUND(P14*玩法行为规划!O14,2))</f>
        <v>0.83</v>
      </c>
      <c r="AT14" s="2">
        <f>IF(Q14="","",ROUND(Q14*玩法行为规划!P14,2))</f>
        <v>52</v>
      </c>
      <c r="AU14" s="2">
        <f>IF(R14="","",ROUND(R14*玩法行为规划!Q14,2))</f>
        <v>0</v>
      </c>
      <c r="AV14" s="2">
        <f>IF(S14="","",ROUND(S14*玩法行为规划!R14,2))</f>
        <v>0</v>
      </c>
      <c r="AW14" s="2">
        <f>IF(T14="","",ROUND(T14*玩法行为规划!S14,2))</f>
        <v>0</v>
      </c>
      <c r="AX14" s="2">
        <f>IF(U14="","",ROUND(U14*玩法行为规划!T14,2))</f>
        <v>0</v>
      </c>
      <c r="AY14" s="2">
        <f>IF(V14="","",ROUND(V14*玩法行为规划!U14,2))</f>
        <v>0</v>
      </c>
      <c r="AZ14" s="2">
        <f>IF(W14="","",ROUND(W14*玩法行为规划!V14,2))</f>
        <v>0</v>
      </c>
      <c r="BA14" s="2">
        <f>IF(X14="","",ROUND(X14*玩法行为规划!W14,2))</f>
        <v>0</v>
      </c>
      <c r="BB14" s="2">
        <f>IF(Y14="","",ROUND(Y14*玩法行为规划!X14,2))</f>
        <v>0</v>
      </c>
      <c r="BC14" s="2">
        <f>IF(Z14="","",ROUND(Z14*玩法行为规划!Y14,2))</f>
        <v>0</v>
      </c>
      <c r="BD14" s="2">
        <f>IF(AA14="","",ROUND(AA14*玩法行为规划!Z14,2))</f>
        <v>0</v>
      </c>
      <c r="BE14" s="2" t="str">
        <f>IF(AB14="","",ROUND(AB14*玩法行为规划!AA14,2))</f>
        <v/>
      </c>
      <c r="BF14" s="2" t="str">
        <f>IF(AC14="","",ROUND(AC14*玩法行为规划!AB14,2))</f>
        <v/>
      </c>
      <c r="BG14" s="2" t="str">
        <f>IF(AD14="","",ROUND(AD14*玩法行为规划!AC14,2))</f>
        <v/>
      </c>
      <c r="BH14" s="3" t="str">
        <f>IF(AE14="","",ROUND(AE14*玩法行为规划!AD14,2))</f>
        <v/>
      </c>
      <c r="BI14" s="7">
        <f t="shared" si="0"/>
        <v>64.83</v>
      </c>
      <c r="BJ14" s="7">
        <f t="shared" si="1"/>
        <v>311184</v>
      </c>
      <c r="BK14" s="10">
        <f t="shared" si="3"/>
        <v>19200</v>
      </c>
      <c r="BL14" s="21" t="str">
        <f t="shared" si="5"/>
        <v/>
      </c>
      <c r="BM14" s="7">
        <f t="shared" si="2"/>
        <v>1</v>
      </c>
      <c r="BN14" s="69">
        <f>INT(BJ14*升级节奏!G14+BK14)</f>
        <v>19200</v>
      </c>
      <c r="BO14" s="7">
        <f t="shared" si="4"/>
        <v>53</v>
      </c>
      <c r="BP14" s="7"/>
      <c r="BQ14" s="7"/>
    </row>
    <row r="15" spans="1:69">
      <c r="A15" s="29">
        <v>13</v>
      </c>
      <c r="B15" s="84">
        <f>升级节奏!C15</f>
        <v>5200</v>
      </c>
      <c r="C15" s="53">
        <f>IF(VLOOKUP(C$2,行为概览!$D$3:$J$33,7,0)="","",VLOOKUP(C$2,行为概览!$D$3:$J$33,7,0))</f>
        <v>50</v>
      </c>
      <c r="D15" s="53">
        <f>IF(VLOOKUP(D$2,行为概览!$D$3:$J$33,7,0)="","",VLOOKUP(D$2,行为概览!$D$3:$J$33,7,0))</f>
        <v>3.3</v>
      </c>
      <c r="E15" s="53">
        <f>IF(VLOOKUP(E$2,行为概览!$D$3:$J$33,7,0)="","",VLOOKUP(E$2,行为概览!$D$3:$J$33,7,0))</f>
        <v>30</v>
      </c>
      <c r="F15" s="53">
        <f>IF(VLOOKUP(F$2,行为概览!$D$3:$J$33,7,0)="","",VLOOKUP(F$2,行为概览!$D$3:$J$33,7,0))</f>
        <v>15</v>
      </c>
      <c r="G15" s="53" t="str">
        <f>IF(VLOOKUP(G$2,行为概览!$D$3:$J$33,7,0)="","",VLOOKUP(G$2,行为概览!$D$3:$J$33,7,0))</f>
        <v/>
      </c>
      <c r="H15" s="53" t="str">
        <f>IF(VLOOKUP(H$2,行为概览!$D$3:$J$33,7,0)="","",VLOOKUP(H$2,行为概览!$D$3:$J$33,7,0))</f>
        <v/>
      </c>
      <c r="I15" s="53" t="str">
        <f>IF(VLOOKUP(I$2,行为概览!$D$3:$J$33,7,0)="","",VLOOKUP(I$2,行为概览!$D$3:$J$33,7,0))</f>
        <v/>
      </c>
      <c r="J15" s="53" t="str">
        <f>IF(VLOOKUP(J$2,行为概览!$D$3:$J$33,7,0)="","",VLOOKUP(J$2,行为概览!$D$3:$J$33,7,0))</f>
        <v/>
      </c>
      <c r="K15" s="53">
        <f>IF(VLOOKUP(K$2,行为概览!$D$3:$J$33,7,0)="","",VLOOKUP(K$2,行为概览!$D$3:$J$33,7,0))</f>
        <v>20</v>
      </c>
      <c r="L15" s="53">
        <f>IF(VLOOKUP(L$2,行为概览!$D$3:$J$33,7,0)="","",VLOOKUP(L$2,行为概览!$D$3:$J$33,7,0))</f>
        <v>20</v>
      </c>
      <c r="M15" s="53">
        <f>IF(VLOOKUP(M$2,行为概览!$D$3:$J$33,7,0)="","",VLOOKUP(M$2,行为概览!$D$3:$J$33,7,0))</f>
        <v>40</v>
      </c>
      <c r="N15" s="53">
        <f>IF(VLOOKUP(N$2,行为概览!$D$3:$J$33,7,0)="","",VLOOKUP(N$2,行为概览!$D$3:$J$33,7,0))</f>
        <v>1</v>
      </c>
      <c r="O15" s="53">
        <f>IF(VLOOKUP(O$2,行为概览!$D$3:$J$33,7,0)="","",VLOOKUP(O$2,行为概览!$D$3:$J$33,7,0))</f>
        <v>150</v>
      </c>
      <c r="P15" s="53">
        <f>IF(VLOOKUP(P$2,行为概览!$D$3:$J$33,7,0)="","",VLOOKUP(P$2,行为概览!$D$3:$J$33,7,0))</f>
        <v>10</v>
      </c>
      <c r="Q15" s="53">
        <f>IF(VLOOKUP(Q$2,行为概览!$D$3:$J$33,7,0)="","",VLOOKUP(Q$2,行为概览!$D$3:$J$33,7,0))</f>
        <v>20</v>
      </c>
      <c r="R15" s="53">
        <f>IF(VLOOKUP(R$2,行为概览!$D$3:$J$33,7,0)="","",VLOOKUP(R$2,行为概览!$D$3:$J$33,7,0))</f>
        <v>6</v>
      </c>
      <c r="S15" s="53">
        <f>IF(VLOOKUP(S$2,行为概览!$D$3:$J$33,7,0)="","",VLOOKUP(S$2,行为概览!$D$3:$J$33,7,0))</f>
        <v>20</v>
      </c>
      <c r="T15" s="53">
        <f>IF(VLOOKUP(T$2,行为概览!$D$3:$J$33,7,0)="","",VLOOKUP(T$2,行为概览!$D$3:$J$33,7,0))</f>
        <v>15</v>
      </c>
      <c r="U15" s="53">
        <f>IF(VLOOKUP(U$2,行为概览!$D$3:$J$33,7,0)="","",VLOOKUP(U$2,行为概览!$D$3:$J$33,7,0))</f>
        <v>15</v>
      </c>
      <c r="V15" s="53">
        <f>IF(VLOOKUP(V$2,行为概览!$D$3:$J$33,7,0)="","",VLOOKUP(V$2,行为概览!$D$3:$J$33,7,0))</f>
        <v>40</v>
      </c>
      <c r="W15" s="53">
        <f>IF(VLOOKUP(W$2,行为概览!$D$3:$J$33,7,0)="","",VLOOKUP(W$2,行为概览!$D$3:$J$33,7,0))</f>
        <v>15</v>
      </c>
      <c r="X15" s="53">
        <f>IF(VLOOKUP(X$2,行为概览!$D$3:$J$33,7,0)="","",VLOOKUP(X$2,行为概览!$D$3:$J$33,7,0))</f>
        <v>30</v>
      </c>
      <c r="Y15" s="53">
        <f>IF(VLOOKUP(Y$2,行为概览!$D$3:$J$33,7,0)="","",VLOOKUP(Y$2,行为概览!$D$3:$J$33,7,0))</f>
        <v>25</v>
      </c>
      <c r="Z15" s="53">
        <f>IF(VLOOKUP(Z$2,行为概览!$D$3:$J$33,7,0)="","",VLOOKUP(Z$2,行为概览!$D$3:$J$33,7,0))</f>
        <v>15</v>
      </c>
      <c r="AA15" s="53">
        <f>IF(VLOOKUP(AA$2,行为概览!$D$3:$J$33,7,0)="","",VLOOKUP(AA$2,行为概览!$D$3:$J$33,7,0))</f>
        <v>15</v>
      </c>
      <c r="AB15" s="53" t="str">
        <f>IF(VLOOKUP(AB$2,行为概览!$D$3:$J$33,7,0)="","",VLOOKUP(AB$2,行为概览!$D$3:$J$33,7,0))</f>
        <v/>
      </c>
      <c r="AC15" s="53" t="str">
        <f>IF(VLOOKUP(AC$2,行为概览!$D$3:$J$33,7,0)="","",VLOOKUP(AC$2,行为概览!$D$3:$J$33,7,0))</f>
        <v/>
      </c>
      <c r="AD15" s="53" t="str">
        <f>IF(VLOOKUP(AD$2,行为概览!$D$3:$J$33,7,0)="","",VLOOKUP(AD$2,行为概览!$D$3:$J$33,7,0))</f>
        <v/>
      </c>
      <c r="AE15" s="68" t="str">
        <f>IF(VLOOKUP(AE$2,行为概览!$D$3:$J$33,7,0)="","",VLOOKUP(AE$2,行为概览!$D$3:$J$33,7,0))</f>
        <v/>
      </c>
      <c r="AF15" s="1">
        <f>IF(C15="","",ROUND(C15*玩法行为规划!B15,2))</f>
        <v>0</v>
      </c>
      <c r="AG15" s="2">
        <f>IF(D15="","",ROUND(D15*玩法行为规划!C15,2))</f>
        <v>0</v>
      </c>
      <c r="AH15" s="2">
        <f>IF(E15="","",ROUND(E15*玩法行为规划!D15,2))</f>
        <v>0</v>
      </c>
      <c r="AI15" s="2">
        <f>IF(F15="","",ROUND(F15*玩法行为规划!E15,2))</f>
        <v>0</v>
      </c>
      <c r="AJ15" s="2" t="str">
        <f>IF(G15="","",ROUND(G15*玩法行为规划!F15,2))</f>
        <v/>
      </c>
      <c r="AK15" s="2" t="str">
        <f>IF(H15="","",ROUND(H15*玩法行为规划!G15,2))</f>
        <v/>
      </c>
      <c r="AL15" s="2" t="str">
        <f>IF(I15="","",ROUND(I15*玩法行为规划!H15,2))</f>
        <v/>
      </c>
      <c r="AM15" s="2" t="str">
        <f>IF(J15="","",ROUND(J15*玩法行为规划!I15,2))</f>
        <v/>
      </c>
      <c r="AN15" s="2">
        <f>IF(K15="","",ROUND(K15*玩法行为规划!J15,2))</f>
        <v>0</v>
      </c>
      <c r="AO15" s="2">
        <f>IF(L15="","",ROUND(L15*玩法行为规划!K15,2))</f>
        <v>0</v>
      </c>
      <c r="AP15" s="2">
        <f>IF(M15="","",ROUND(M15*玩法行为规划!L15,2))</f>
        <v>0</v>
      </c>
      <c r="AQ15" s="2">
        <f>IF(N15="","",ROUND(N15*玩法行为规划!M15,2))</f>
        <v>12</v>
      </c>
      <c r="AR15" s="2">
        <f>IF(O15="","",ROUND(O15*玩法行为规划!N15,2))</f>
        <v>0</v>
      </c>
      <c r="AS15" s="2">
        <f>IF(P15="","",ROUND(P15*玩法行为规划!O15,2))</f>
        <v>0.83</v>
      </c>
      <c r="AT15" s="2">
        <f>IF(Q15="","",ROUND(Q15*玩法行为规划!P15,2))</f>
        <v>52</v>
      </c>
      <c r="AU15" s="2">
        <f>IF(R15="","",ROUND(R15*玩法行为规划!Q15,2))</f>
        <v>0</v>
      </c>
      <c r="AV15" s="2">
        <f>IF(S15="","",ROUND(S15*玩法行为规划!R15,2))</f>
        <v>0</v>
      </c>
      <c r="AW15" s="2">
        <f>IF(T15="","",ROUND(T15*玩法行为规划!S15,2))</f>
        <v>0</v>
      </c>
      <c r="AX15" s="2">
        <f>IF(U15="","",ROUND(U15*玩法行为规划!T15,2))</f>
        <v>0</v>
      </c>
      <c r="AY15" s="2">
        <f>IF(V15="","",ROUND(V15*玩法行为规划!U15,2))</f>
        <v>0</v>
      </c>
      <c r="AZ15" s="2">
        <f>IF(W15="","",ROUND(W15*玩法行为规划!V15,2))</f>
        <v>0</v>
      </c>
      <c r="BA15" s="2">
        <f>IF(X15="","",ROUND(X15*玩法行为规划!W15,2))</f>
        <v>0</v>
      </c>
      <c r="BB15" s="2">
        <f>IF(Y15="","",ROUND(Y15*玩法行为规划!X15,2))</f>
        <v>0</v>
      </c>
      <c r="BC15" s="2">
        <f>IF(Z15="","",ROUND(Z15*玩法行为规划!Y15,2))</f>
        <v>0</v>
      </c>
      <c r="BD15" s="2">
        <f>IF(AA15="","",ROUND(AA15*玩法行为规划!Z15,2))</f>
        <v>0</v>
      </c>
      <c r="BE15" s="2" t="str">
        <f>IF(AB15="","",ROUND(AB15*玩法行为规划!AA15,2))</f>
        <v/>
      </c>
      <c r="BF15" s="2" t="str">
        <f>IF(AC15="","",ROUND(AC15*玩法行为规划!AB15,2))</f>
        <v/>
      </c>
      <c r="BG15" s="2" t="str">
        <f>IF(AD15="","",ROUND(AD15*玩法行为规划!AC15,2))</f>
        <v/>
      </c>
      <c r="BH15" s="3" t="str">
        <f>IF(AE15="","",ROUND(AE15*玩法行为规划!AD15,2))</f>
        <v/>
      </c>
      <c r="BI15" s="7">
        <f t="shared" si="0"/>
        <v>64.83</v>
      </c>
      <c r="BJ15" s="7">
        <f t="shared" si="1"/>
        <v>337116</v>
      </c>
      <c r="BK15" s="10">
        <f t="shared" si="3"/>
        <v>20800</v>
      </c>
      <c r="BL15" s="21" t="str">
        <f t="shared" si="5"/>
        <v/>
      </c>
      <c r="BM15" s="7">
        <f t="shared" si="2"/>
        <v>1</v>
      </c>
      <c r="BN15" s="69">
        <f>INT(BJ15*升级节奏!G15+BK15)</f>
        <v>20800</v>
      </c>
      <c r="BO15" s="7">
        <f t="shared" si="4"/>
        <v>58</v>
      </c>
      <c r="BP15" s="7"/>
      <c r="BQ15" s="7"/>
    </row>
    <row r="16" spans="1:69">
      <c r="A16" s="29">
        <v>14</v>
      </c>
      <c r="B16" s="84">
        <f>升级节奏!C16</f>
        <v>5600</v>
      </c>
      <c r="C16" s="53">
        <f>IF(VLOOKUP(C$2,行为概览!$D$3:$J$33,7,0)="","",VLOOKUP(C$2,行为概览!$D$3:$J$33,7,0))</f>
        <v>50</v>
      </c>
      <c r="D16" s="53">
        <f>IF(VLOOKUP(D$2,行为概览!$D$3:$J$33,7,0)="","",VLOOKUP(D$2,行为概览!$D$3:$J$33,7,0))</f>
        <v>3.3</v>
      </c>
      <c r="E16" s="53">
        <f>IF(VLOOKUP(E$2,行为概览!$D$3:$J$33,7,0)="","",VLOOKUP(E$2,行为概览!$D$3:$J$33,7,0))</f>
        <v>30</v>
      </c>
      <c r="F16" s="53">
        <f>IF(VLOOKUP(F$2,行为概览!$D$3:$J$33,7,0)="","",VLOOKUP(F$2,行为概览!$D$3:$J$33,7,0))</f>
        <v>15</v>
      </c>
      <c r="G16" s="53" t="str">
        <f>IF(VLOOKUP(G$2,行为概览!$D$3:$J$33,7,0)="","",VLOOKUP(G$2,行为概览!$D$3:$J$33,7,0))</f>
        <v/>
      </c>
      <c r="H16" s="53" t="str">
        <f>IF(VLOOKUP(H$2,行为概览!$D$3:$J$33,7,0)="","",VLOOKUP(H$2,行为概览!$D$3:$J$33,7,0))</f>
        <v/>
      </c>
      <c r="I16" s="53" t="str">
        <f>IF(VLOOKUP(I$2,行为概览!$D$3:$J$33,7,0)="","",VLOOKUP(I$2,行为概览!$D$3:$J$33,7,0))</f>
        <v/>
      </c>
      <c r="J16" s="53" t="str">
        <f>IF(VLOOKUP(J$2,行为概览!$D$3:$J$33,7,0)="","",VLOOKUP(J$2,行为概览!$D$3:$J$33,7,0))</f>
        <v/>
      </c>
      <c r="K16" s="53">
        <f>IF(VLOOKUP(K$2,行为概览!$D$3:$J$33,7,0)="","",VLOOKUP(K$2,行为概览!$D$3:$J$33,7,0))</f>
        <v>20</v>
      </c>
      <c r="L16" s="53">
        <f>IF(VLOOKUP(L$2,行为概览!$D$3:$J$33,7,0)="","",VLOOKUP(L$2,行为概览!$D$3:$J$33,7,0))</f>
        <v>20</v>
      </c>
      <c r="M16" s="53">
        <f>IF(VLOOKUP(M$2,行为概览!$D$3:$J$33,7,0)="","",VLOOKUP(M$2,行为概览!$D$3:$J$33,7,0))</f>
        <v>40</v>
      </c>
      <c r="N16" s="53">
        <f>IF(VLOOKUP(N$2,行为概览!$D$3:$J$33,7,0)="","",VLOOKUP(N$2,行为概览!$D$3:$J$33,7,0))</f>
        <v>1</v>
      </c>
      <c r="O16" s="53">
        <f>IF(VLOOKUP(O$2,行为概览!$D$3:$J$33,7,0)="","",VLOOKUP(O$2,行为概览!$D$3:$J$33,7,0))</f>
        <v>150</v>
      </c>
      <c r="P16" s="53">
        <f>IF(VLOOKUP(P$2,行为概览!$D$3:$J$33,7,0)="","",VLOOKUP(P$2,行为概览!$D$3:$J$33,7,0))</f>
        <v>10</v>
      </c>
      <c r="Q16" s="53">
        <f>IF(VLOOKUP(Q$2,行为概览!$D$3:$J$33,7,0)="","",VLOOKUP(Q$2,行为概览!$D$3:$J$33,7,0))</f>
        <v>20</v>
      </c>
      <c r="R16" s="53">
        <f>IF(VLOOKUP(R$2,行为概览!$D$3:$J$33,7,0)="","",VLOOKUP(R$2,行为概览!$D$3:$J$33,7,0))</f>
        <v>6</v>
      </c>
      <c r="S16" s="53">
        <f>IF(VLOOKUP(S$2,行为概览!$D$3:$J$33,7,0)="","",VLOOKUP(S$2,行为概览!$D$3:$J$33,7,0))</f>
        <v>20</v>
      </c>
      <c r="T16" s="53">
        <f>IF(VLOOKUP(T$2,行为概览!$D$3:$J$33,7,0)="","",VLOOKUP(T$2,行为概览!$D$3:$J$33,7,0))</f>
        <v>15</v>
      </c>
      <c r="U16" s="53">
        <f>IF(VLOOKUP(U$2,行为概览!$D$3:$J$33,7,0)="","",VLOOKUP(U$2,行为概览!$D$3:$J$33,7,0))</f>
        <v>15</v>
      </c>
      <c r="V16" s="53">
        <f>IF(VLOOKUP(V$2,行为概览!$D$3:$J$33,7,0)="","",VLOOKUP(V$2,行为概览!$D$3:$J$33,7,0))</f>
        <v>40</v>
      </c>
      <c r="W16" s="53">
        <f>IF(VLOOKUP(W$2,行为概览!$D$3:$J$33,7,0)="","",VLOOKUP(W$2,行为概览!$D$3:$J$33,7,0))</f>
        <v>15</v>
      </c>
      <c r="X16" s="53">
        <f>IF(VLOOKUP(X$2,行为概览!$D$3:$J$33,7,0)="","",VLOOKUP(X$2,行为概览!$D$3:$J$33,7,0))</f>
        <v>30</v>
      </c>
      <c r="Y16" s="53">
        <f>IF(VLOOKUP(Y$2,行为概览!$D$3:$J$33,7,0)="","",VLOOKUP(Y$2,行为概览!$D$3:$J$33,7,0))</f>
        <v>25</v>
      </c>
      <c r="Z16" s="53">
        <f>IF(VLOOKUP(Z$2,行为概览!$D$3:$J$33,7,0)="","",VLOOKUP(Z$2,行为概览!$D$3:$J$33,7,0))</f>
        <v>15</v>
      </c>
      <c r="AA16" s="53">
        <f>IF(VLOOKUP(AA$2,行为概览!$D$3:$J$33,7,0)="","",VLOOKUP(AA$2,行为概览!$D$3:$J$33,7,0))</f>
        <v>15</v>
      </c>
      <c r="AB16" s="53" t="str">
        <f>IF(VLOOKUP(AB$2,行为概览!$D$3:$J$33,7,0)="","",VLOOKUP(AB$2,行为概览!$D$3:$J$33,7,0))</f>
        <v/>
      </c>
      <c r="AC16" s="53" t="str">
        <f>IF(VLOOKUP(AC$2,行为概览!$D$3:$J$33,7,0)="","",VLOOKUP(AC$2,行为概览!$D$3:$J$33,7,0))</f>
        <v/>
      </c>
      <c r="AD16" s="53" t="str">
        <f>IF(VLOOKUP(AD$2,行为概览!$D$3:$J$33,7,0)="","",VLOOKUP(AD$2,行为概览!$D$3:$J$33,7,0))</f>
        <v/>
      </c>
      <c r="AE16" s="68" t="str">
        <f>IF(VLOOKUP(AE$2,行为概览!$D$3:$J$33,7,0)="","",VLOOKUP(AE$2,行为概览!$D$3:$J$33,7,0))</f>
        <v/>
      </c>
      <c r="AF16" s="1">
        <f>IF(C16="","",ROUND(C16*玩法行为规划!B16,2))</f>
        <v>0</v>
      </c>
      <c r="AG16" s="2">
        <f>IF(D16="","",ROUND(D16*玩法行为规划!C16,2))</f>
        <v>0</v>
      </c>
      <c r="AH16" s="2">
        <f>IF(E16="","",ROUND(E16*玩法行为规划!D16,2))</f>
        <v>0</v>
      </c>
      <c r="AI16" s="2">
        <f>IF(F16="","",ROUND(F16*玩法行为规划!E16,2))</f>
        <v>0</v>
      </c>
      <c r="AJ16" s="2" t="str">
        <f>IF(G16="","",ROUND(G16*玩法行为规划!F16,2))</f>
        <v/>
      </c>
      <c r="AK16" s="2" t="str">
        <f>IF(H16="","",ROUND(H16*玩法行为规划!G16,2))</f>
        <v/>
      </c>
      <c r="AL16" s="2" t="str">
        <f>IF(I16="","",ROUND(I16*玩法行为规划!H16,2))</f>
        <v/>
      </c>
      <c r="AM16" s="2" t="str">
        <f>IF(J16="","",ROUND(J16*玩法行为规划!I16,2))</f>
        <v/>
      </c>
      <c r="AN16" s="2">
        <f>IF(K16="","",ROUND(K16*玩法行为规划!J16,2))</f>
        <v>0</v>
      </c>
      <c r="AO16" s="2">
        <f>IF(L16="","",ROUND(L16*玩法行为规划!K16,2))</f>
        <v>0</v>
      </c>
      <c r="AP16" s="2">
        <f>IF(M16="","",ROUND(M16*玩法行为规划!L16,2))</f>
        <v>0</v>
      </c>
      <c r="AQ16" s="2">
        <f>IF(N16="","",ROUND(N16*玩法行为规划!M16,2))</f>
        <v>12</v>
      </c>
      <c r="AR16" s="2">
        <f>IF(O16="","",ROUND(O16*玩法行为规划!N16,2))</f>
        <v>0</v>
      </c>
      <c r="AS16" s="2">
        <f>IF(P16="","",ROUND(P16*玩法行为规划!O16,2))</f>
        <v>0.83</v>
      </c>
      <c r="AT16" s="2">
        <f>IF(Q16="","",ROUND(Q16*玩法行为规划!P16,2))</f>
        <v>52</v>
      </c>
      <c r="AU16" s="2">
        <f>IF(R16="","",ROUND(R16*玩法行为规划!Q16,2))</f>
        <v>0</v>
      </c>
      <c r="AV16" s="2">
        <f>IF(S16="","",ROUND(S16*玩法行为规划!R16,2))</f>
        <v>0</v>
      </c>
      <c r="AW16" s="2">
        <f>IF(T16="","",ROUND(T16*玩法行为规划!S16,2))</f>
        <v>0</v>
      </c>
      <c r="AX16" s="2">
        <f>IF(U16="","",ROUND(U16*玩法行为规划!T16,2))</f>
        <v>0</v>
      </c>
      <c r="AY16" s="2">
        <f>IF(V16="","",ROUND(V16*玩法行为规划!U16,2))</f>
        <v>0</v>
      </c>
      <c r="AZ16" s="2">
        <f>IF(W16="","",ROUND(W16*玩法行为规划!V16,2))</f>
        <v>0</v>
      </c>
      <c r="BA16" s="2">
        <f>IF(X16="","",ROUND(X16*玩法行为规划!W16,2))</f>
        <v>0</v>
      </c>
      <c r="BB16" s="2">
        <f>IF(Y16="","",ROUND(Y16*玩法行为规划!X16,2))</f>
        <v>0</v>
      </c>
      <c r="BC16" s="2">
        <f>IF(Z16="","",ROUND(Z16*玩法行为规划!Y16,2))</f>
        <v>0</v>
      </c>
      <c r="BD16" s="2">
        <f>IF(AA16="","",ROUND(AA16*玩法行为规划!Z16,2))</f>
        <v>0</v>
      </c>
      <c r="BE16" s="2" t="str">
        <f>IF(AB16="","",ROUND(AB16*玩法行为规划!AA16,2))</f>
        <v/>
      </c>
      <c r="BF16" s="2" t="str">
        <f>IF(AC16="","",ROUND(AC16*玩法行为规划!AB16,2))</f>
        <v/>
      </c>
      <c r="BG16" s="2" t="str">
        <f>IF(AD16="","",ROUND(AD16*玩法行为规划!AC16,2))</f>
        <v/>
      </c>
      <c r="BH16" s="3" t="str">
        <f>IF(AE16="","",ROUND(AE16*玩法行为规划!AD16,2))</f>
        <v/>
      </c>
      <c r="BI16" s="7">
        <f t="shared" si="0"/>
        <v>64.83</v>
      </c>
      <c r="BJ16" s="7">
        <f t="shared" si="1"/>
        <v>363048</v>
      </c>
      <c r="BK16" s="10">
        <f t="shared" si="3"/>
        <v>22400</v>
      </c>
      <c r="BL16" s="21" t="str">
        <f t="shared" si="5"/>
        <v/>
      </c>
      <c r="BM16" s="7">
        <f t="shared" si="2"/>
        <v>1</v>
      </c>
      <c r="BN16" s="69">
        <f>INT(BJ16*升级节奏!G16+BK16)</f>
        <v>22400</v>
      </c>
      <c r="BO16" s="7">
        <f t="shared" si="4"/>
        <v>62</v>
      </c>
      <c r="BP16" s="7"/>
      <c r="BQ16" s="7"/>
    </row>
    <row r="17" spans="1:69">
      <c r="A17" s="29">
        <v>15</v>
      </c>
      <c r="B17" s="84">
        <f>升级节奏!C17</f>
        <v>6000</v>
      </c>
      <c r="C17" s="53">
        <f>IF(VLOOKUP(C$2,行为概览!$D$3:$J$33,7,0)="","",VLOOKUP(C$2,行为概览!$D$3:$J$33,7,0))</f>
        <v>50</v>
      </c>
      <c r="D17" s="53">
        <f>IF(VLOOKUP(D$2,行为概览!$D$3:$J$33,7,0)="","",VLOOKUP(D$2,行为概览!$D$3:$J$33,7,0))</f>
        <v>3.3</v>
      </c>
      <c r="E17" s="53">
        <f>IF(VLOOKUP(E$2,行为概览!$D$3:$J$33,7,0)="","",VLOOKUP(E$2,行为概览!$D$3:$J$33,7,0))</f>
        <v>30</v>
      </c>
      <c r="F17" s="53">
        <f>IF(VLOOKUP(F$2,行为概览!$D$3:$J$33,7,0)="","",VLOOKUP(F$2,行为概览!$D$3:$J$33,7,0))</f>
        <v>15</v>
      </c>
      <c r="G17" s="53" t="str">
        <f>IF(VLOOKUP(G$2,行为概览!$D$3:$J$33,7,0)="","",VLOOKUP(G$2,行为概览!$D$3:$J$33,7,0))</f>
        <v/>
      </c>
      <c r="H17" s="53" t="str">
        <f>IF(VLOOKUP(H$2,行为概览!$D$3:$J$33,7,0)="","",VLOOKUP(H$2,行为概览!$D$3:$J$33,7,0))</f>
        <v/>
      </c>
      <c r="I17" s="53" t="str">
        <f>IF(VLOOKUP(I$2,行为概览!$D$3:$J$33,7,0)="","",VLOOKUP(I$2,行为概览!$D$3:$J$33,7,0))</f>
        <v/>
      </c>
      <c r="J17" s="53" t="str">
        <f>IF(VLOOKUP(J$2,行为概览!$D$3:$J$33,7,0)="","",VLOOKUP(J$2,行为概览!$D$3:$J$33,7,0))</f>
        <v/>
      </c>
      <c r="K17" s="53">
        <f>IF(VLOOKUP(K$2,行为概览!$D$3:$J$33,7,0)="","",VLOOKUP(K$2,行为概览!$D$3:$J$33,7,0))</f>
        <v>20</v>
      </c>
      <c r="L17" s="53">
        <f>IF(VLOOKUP(L$2,行为概览!$D$3:$J$33,7,0)="","",VLOOKUP(L$2,行为概览!$D$3:$J$33,7,0))</f>
        <v>20</v>
      </c>
      <c r="M17" s="53">
        <f>IF(VLOOKUP(M$2,行为概览!$D$3:$J$33,7,0)="","",VLOOKUP(M$2,行为概览!$D$3:$J$33,7,0))</f>
        <v>40</v>
      </c>
      <c r="N17" s="53">
        <f>IF(VLOOKUP(N$2,行为概览!$D$3:$J$33,7,0)="","",VLOOKUP(N$2,行为概览!$D$3:$J$33,7,0))</f>
        <v>1</v>
      </c>
      <c r="O17" s="53">
        <f>IF(VLOOKUP(O$2,行为概览!$D$3:$J$33,7,0)="","",VLOOKUP(O$2,行为概览!$D$3:$J$33,7,0))</f>
        <v>150</v>
      </c>
      <c r="P17" s="53">
        <f>IF(VLOOKUP(P$2,行为概览!$D$3:$J$33,7,0)="","",VLOOKUP(P$2,行为概览!$D$3:$J$33,7,0))</f>
        <v>10</v>
      </c>
      <c r="Q17" s="53">
        <f>IF(VLOOKUP(Q$2,行为概览!$D$3:$J$33,7,0)="","",VLOOKUP(Q$2,行为概览!$D$3:$J$33,7,0))</f>
        <v>20</v>
      </c>
      <c r="R17" s="53">
        <f>IF(VLOOKUP(R$2,行为概览!$D$3:$J$33,7,0)="","",VLOOKUP(R$2,行为概览!$D$3:$J$33,7,0))</f>
        <v>6</v>
      </c>
      <c r="S17" s="53">
        <f>IF(VLOOKUP(S$2,行为概览!$D$3:$J$33,7,0)="","",VLOOKUP(S$2,行为概览!$D$3:$J$33,7,0))</f>
        <v>20</v>
      </c>
      <c r="T17" s="53">
        <f>IF(VLOOKUP(T$2,行为概览!$D$3:$J$33,7,0)="","",VLOOKUP(T$2,行为概览!$D$3:$J$33,7,0))</f>
        <v>15</v>
      </c>
      <c r="U17" s="53">
        <f>IF(VLOOKUP(U$2,行为概览!$D$3:$J$33,7,0)="","",VLOOKUP(U$2,行为概览!$D$3:$J$33,7,0))</f>
        <v>15</v>
      </c>
      <c r="V17" s="53">
        <f>IF(VLOOKUP(V$2,行为概览!$D$3:$J$33,7,0)="","",VLOOKUP(V$2,行为概览!$D$3:$J$33,7,0))</f>
        <v>40</v>
      </c>
      <c r="W17" s="53">
        <f>IF(VLOOKUP(W$2,行为概览!$D$3:$J$33,7,0)="","",VLOOKUP(W$2,行为概览!$D$3:$J$33,7,0))</f>
        <v>15</v>
      </c>
      <c r="X17" s="53">
        <f>IF(VLOOKUP(X$2,行为概览!$D$3:$J$33,7,0)="","",VLOOKUP(X$2,行为概览!$D$3:$J$33,7,0))</f>
        <v>30</v>
      </c>
      <c r="Y17" s="53">
        <f>IF(VLOOKUP(Y$2,行为概览!$D$3:$J$33,7,0)="","",VLOOKUP(Y$2,行为概览!$D$3:$J$33,7,0))</f>
        <v>25</v>
      </c>
      <c r="Z17" s="53">
        <f>IF(VLOOKUP(Z$2,行为概览!$D$3:$J$33,7,0)="","",VLOOKUP(Z$2,行为概览!$D$3:$J$33,7,0))</f>
        <v>15</v>
      </c>
      <c r="AA17" s="53">
        <f>IF(VLOOKUP(AA$2,行为概览!$D$3:$J$33,7,0)="","",VLOOKUP(AA$2,行为概览!$D$3:$J$33,7,0))</f>
        <v>15</v>
      </c>
      <c r="AB17" s="53" t="str">
        <f>IF(VLOOKUP(AB$2,行为概览!$D$3:$J$33,7,0)="","",VLOOKUP(AB$2,行为概览!$D$3:$J$33,7,0))</f>
        <v/>
      </c>
      <c r="AC17" s="53" t="str">
        <f>IF(VLOOKUP(AC$2,行为概览!$D$3:$J$33,7,0)="","",VLOOKUP(AC$2,行为概览!$D$3:$J$33,7,0))</f>
        <v/>
      </c>
      <c r="AD17" s="53" t="str">
        <f>IF(VLOOKUP(AD$2,行为概览!$D$3:$J$33,7,0)="","",VLOOKUP(AD$2,行为概览!$D$3:$J$33,7,0))</f>
        <v/>
      </c>
      <c r="AE17" s="68" t="str">
        <f>IF(VLOOKUP(AE$2,行为概览!$D$3:$J$33,7,0)="","",VLOOKUP(AE$2,行为概览!$D$3:$J$33,7,0))</f>
        <v/>
      </c>
      <c r="AF17" s="1">
        <f>IF(C17="","",ROUND(C17*玩法行为规划!B17,2))</f>
        <v>16.670000000000002</v>
      </c>
      <c r="AG17" s="2">
        <f>IF(D17="","",ROUND(D17*玩法行为规划!C17,2))</f>
        <v>0</v>
      </c>
      <c r="AH17" s="2">
        <f>IF(E17="","",ROUND(E17*玩法行为规划!D17,2))</f>
        <v>0</v>
      </c>
      <c r="AI17" s="2">
        <f>IF(F17="","",ROUND(F17*玩法行为规划!E17,2))</f>
        <v>0</v>
      </c>
      <c r="AJ17" s="2" t="str">
        <f>IF(G17="","",ROUND(G17*玩法行为规划!F17,2))</f>
        <v/>
      </c>
      <c r="AK17" s="2" t="str">
        <f>IF(H17="","",ROUND(H17*玩法行为规划!G17,2))</f>
        <v/>
      </c>
      <c r="AL17" s="2" t="str">
        <f>IF(I17="","",ROUND(I17*玩法行为规划!H17,2))</f>
        <v/>
      </c>
      <c r="AM17" s="2" t="str">
        <f>IF(J17="","",ROUND(J17*玩法行为规划!I17,2))</f>
        <v/>
      </c>
      <c r="AN17" s="2">
        <f>IF(K17="","",ROUND(K17*玩法行为规划!J17,2))</f>
        <v>0</v>
      </c>
      <c r="AO17" s="2">
        <f>IF(L17="","",ROUND(L17*玩法行为规划!K17,2))</f>
        <v>0</v>
      </c>
      <c r="AP17" s="2">
        <f>IF(M17="","",ROUND(M17*玩法行为规划!L17,2))</f>
        <v>0</v>
      </c>
      <c r="AQ17" s="2">
        <f>IF(N17="","",ROUND(N17*玩法行为规划!M17,2))</f>
        <v>12</v>
      </c>
      <c r="AR17" s="2">
        <f>IF(O17="","",ROUND(O17*玩法行为规划!N17,2))</f>
        <v>0</v>
      </c>
      <c r="AS17" s="2">
        <f>IF(P17="","",ROUND(P17*玩法行为规划!O17,2))</f>
        <v>0.83</v>
      </c>
      <c r="AT17" s="2">
        <f>IF(Q17="","",ROUND(Q17*玩法行为规划!P17,2))</f>
        <v>52</v>
      </c>
      <c r="AU17" s="2">
        <f>IF(R17="","",ROUND(R17*玩法行为规划!Q17,2))</f>
        <v>0</v>
      </c>
      <c r="AV17" s="2">
        <f>IF(S17="","",ROUND(S17*玩法行为规划!R17,2))</f>
        <v>0</v>
      </c>
      <c r="AW17" s="2">
        <f>IF(T17="","",ROUND(T17*玩法行为规划!S17,2))</f>
        <v>0</v>
      </c>
      <c r="AX17" s="2">
        <f>IF(U17="","",ROUND(U17*玩法行为规划!T17,2))</f>
        <v>0</v>
      </c>
      <c r="AY17" s="2">
        <f>IF(V17="","",ROUND(V17*玩法行为规划!U17,2))</f>
        <v>0</v>
      </c>
      <c r="AZ17" s="2">
        <f>IF(W17="","",ROUND(W17*玩法行为规划!V17,2))</f>
        <v>0</v>
      </c>
      <c r="BA17" s="2">
        <f>IF(X17="","",ROUND(X17*玩法行为规划!W17,2))</f>
        <v>0</v>
      </c>
      <c r="BB17" s="2">
        <f>IF(Y17="","",ROUND(Y17*玩法行为规划!X17,2))</f>
        <v>0</v>
      </c>
      <c r="BC17" s="2">
        <f>IF(Z17="","",ROUND(Z17*玩法行为规划!Y17,2))</f>
        <v>0</v>
      </c>
      <c r="BD17" s="2">
        <f>IF(AA17="","",ROUND(AA17*玩法行为规划!Z17,2))</f>
        <v>0</v>
      </c>
      <c r="BE17" s="2" t="str">
        <f>IF(AB17="","",ROUND(AB17*玩法行为规划!AA17,2))</f>
        <v/>
      </c>
      <c r="BF17" s="2" t="str">
        <f>IF(AC17="","",ROUND(AC17*玩法行为规划!AB17,2))</f>
        <v/>
      </c>
      <c r="BG17" s="2" t="str">
        <f>IF(AD17="","",ROUND(AD17*玩法行为规划!AC17,2))</f>
        <v/>
      </c>
      <c r="BH17" s="3" t="str">
        <f>IF(AE17="","",ROUND(AE17*玩法行为规划!AD17,2))</f>
        <v/>
      </c>
      <c r="BI17" s="7">
        <f t="shared" si="0"/>
        <v>81.5</v>
      </c>
      <c r="BJ17" s="7">
        <f t="shared" si="1"/>
        <v>489000</v>
      </c>
      <c r="BK17" s="10">
        <f t="shared" si="3"/>
        <v>24000</v>
      </c>
      <c r="BL17" s="21" t="str">
        <f t="shared" si="5"/>
        <v/>
      </c>
      <c r="BM17" s="7">
        <f t="shared" si="2"/>
        <v>1</v>
      </c>
      <c r="BN17" s="69">
        <f>INT(BJ17*升级节奏!G17+BK17)</f>
        <v>24000</v>
      </c>
      <c r="BO17" s="7">
        <f t="shared" si="4"/>
        <v>67</v>
      </c>
      <c r="BP17" s="7"/>
      <c r="BQ17" s="7"/>
    </row>
    <row r="18" spans="1:69">
      <c r="A18" s="29">
        <v>16</v>
      </c>
      <c r="B18" s="84">
        <f>升级节奏!C18</f>
        <v>6400</v>
      </c>
      <c r="C18" s="53">
        <f>IF(VLOOKUP(C$2,行为概览!$D$3:$J$33,7,0)="","",VLOOKUP(C$2,行为概览!$D$3:$J$33,7,0))</f>
        <v>50</v>
      </c>
      <c r="D18" s="53">
        <f>IF(VLOOKUP(D$2,行为概览!$D$3:$J$33,7,0)="","",VLOOKUP(D$2,行为概览!$D$3:$J$33,7,0))</f>
        <v>3.3</v>
      </c>
      <c r="E18" s="53">
        <f>IF(VLOOKUP(E$2,行为概览!$D$3:$J$33,7,0)="","",VLOOKUP(E$2,行为概览!$D$3:$J$33,7,0))</f>
        <v>30</v>
      </c>
      <c r="F18" s="53">
        <f>IF(VLOOKUP(F$2,行为概览!$D$3:$J$33,7,0)="","",VLOOKUP(F$2,行为概览!$D$3:$J$33,7,0))</f>
        <v>15</v>
      </c>
      <c r="G18" s="53" t="str">
        <f>IF(VLOOKUP(G$2,行为概览!$D$3:$J$33,7,0)="","",VLOOKUP(G$2,行为概览!$D$3:$J$33,7,0))</f>
        <v/>
      </c>
      <c r="H18" s="53" t="str">
        <f>IF(VLOOKUP(H$2,行为概览!$D$3:$J$33,7,0)="","",VLOOKUP(H$2,行为概览!$D$3:$J$33,7,0))</f>
        <v/>
      </c>
      <c r="I18" s="53" t="str">
        <f>IF(VLOOKUP(I$2,行为概览!$D$3:$J$33,7,0)="","",VLOOKUP(I$2,行为概览!$D$3:$J$33,7,0))</f>
        <v/>
      </c>
      <c r="J18" s="53" t="str">
        <f>IF(VLOOKUP(J$2,行为概览!$D$3:$J$33,7,0)="","",VLOOKUP(J$2,行为概览!$D$3:$J$33,7,0))</f>
        <v/>
      </c>
      <c r="K18" s="53">
        <f>IF(VLOOKUP(K$2,行为概览!$D$3:$J$33,7,0)="","",VLOOKUP(K$2,行为概览!$D$3:$J$33,7,0))</f>
        <v>20</v>
      </c>
      <c r="L18" s="53">
        <f>IF(VLOOKUP(L$2,行为概览!$D$3:$J$33,7,0)="","",VLOOKUP(L$2,行为概览!$D$3:$J$33,7,0))</f>
        <v>20</v>
      </c>
      <c r="M18" s="53">
        <f>IF(VLOOKUP(M$2,行为概览!$D$3:$J$33,7,0)="","",VLOOKUP(M$2,行为概览!$D$3:$J$33,7,0))</f>
        <v>40</v>
      </c>
      <c r="N18" s="53">
        <f>IF(VLOOKUP(N$2,行为概览!$D$3:$J$33,7,0)="","",VLOOKUP(N$2,行为概览!$D$3:$J$33,7,0))</f>
        <v>1</v>
      </c>
      <c r="O18" s="53">
        <f>IF(VLOOKUP(O$2,行为概览!$D$3:$J$33,7,0)="","",VLOOKUP(O$2,行为概览!$D$3:$J$33,7,0))</f>
        <v>150</v>
      </c>
      <c r="P18" s="53">
        <f>IF(VLOOKUP(P$2,行为概览!$D$3:$J$33,7,0)="","",VLOOKUP(P$2,行为概览!$D$3:$J$33,7,0))</f>
        <v>10</v>
      </c>
      <c r="Q18" s="53">
        <f>IF(VLOOKUP(Q$2,行为概览!$D$3:$J$33,7,0)="","",VLOOKUP(Q$2,行为概览!$D$3:$J$33,7,0))</f>
        <v>20</v>
      </c>
      <c r="R18" s="53">
        <f>IF(VLOOKUP(R$2,行为概览!$D$3:$J$33,7,0)="","",VLOOKUP(R$2,行为概览!$D$3:$J$33,7,0))</f>
        <v>6</v>
      </c>
      <c r="S18" s="53">
        <f>IF(VLOOKUP(S$2,行为概览!$D$3:$J$33,7,0)="","",VLOOKUP(S$2,行为概览!$D$3:$J$33,7,0))</f>
        <v>20</v>
      </c>
      <c r="T18" s="53">
        <f>IF(VLOOKUP(T$2,行为概览!$D$3:$J$33,7,0)="","",VLOOKUP(T$2,行为概览!$D$3:$J$33,7,0))</f>
        <v>15</v>
      </c>
      <c r="U18" s="53">
        <f>IF(VLOOKUP(U$2,行为概览!$D$3:$J$33,7,0)="","",VLOOKUP(U$2,行为概览!$D$3:$J$33,7,0))</f>
        <v>15</v>
      </c>
      <c r="V18" s="53">
        <f>IF(VLOOKUP(V$2,行为概览!$D$3:$J$33,7,0)="","",VLOOKUP(V$2,行为概览!$D$3:$J$33,7,0))</f>
        <v>40</v>
      </c>
      <c r="W18" s="53">
        <f>IF(VLOOKUP(W$2,行为概览!$D$3:$J$33,7,0)="","",VLOOKUP(W$2,行为概览!$D$3:$J$33,7,0))</f>
        <v>15</v>
      </c>
      <c r="X18" s="53">
        <f>IF(VLOOKUP(X$2,行为概览!$D$3:$J$33,7,0)="","",VLOOKUP(X$2,行为概览!$D$3:$J$33,7,0))</f>
        <v>30</v>
      </c>
      <c r="Y18" s="53">
        <f>IF(VLOOKUP(Y$2,行为概览!$D$3:$J$33,7,0)="","",VLOOKUP(Y$2,行为概览!$D$3:$J$33,7,0))</f>
        <v>25</v>
      </c>
      <c r="Z18" s="53">
        <f>IF(VLOOKUP(Z$2,行为概览!$D$3:$J$33,7,0)="","",VLOOKUP(Z$2,行为概览!$D$3:$J$33,7,0))</f>
        <v>15</v>
      </c>
      <c r="AA18" s="53">
        <f>IF(VLOOKUP(AA$2,行为概览!$D$3:$J$33,7,0)="","",VLOOKUP(AA$2,行为概览!$D$3:$J$33,7,0))</f>
        <v>15</v>
      </c>
      <c r="AB18" s="53" t="str">
        <f>IF(VLOOKUP(AB$2,行为概览!$D$3:$J$33,7,0)="","",VLOOKUP(AB$2,行为概览!$D$3:$J$33,7,0))</f>
        <v/>
      </c>
      <c r="AC18" s="53" t="str">
        <f>IF(VLOOKUP(AC$2,行为概览!$D$3:$J$33,7,0)="","",VLOOKUP(AC$2,行为概览!$D$3:$J$33,7,0))</f>
        <v/>
      </c>
      <c r="AD18" s="53" t="str">
        <f>IF(VLOOKUP(AD$2,行为概览!$D$3:$J$33,7,0)="","",VLOOKUP(AD$2,行为概览!$D$3:$J$33,7,0))</f>
        <v/>
      </c>
      <c r="AE18" s="68" t="str">
        <f>IF(VLOOKUP(AE$2,行为概览!$D$3:$J$33,7,0)="","",VLOOKUP(AE$2,行为概览!$D$3:$J$33,7,0))</f>
        <v/>
      </c>
      <c r="AF18" s="1">
        <f>IF(C18="","",ROUND(C18*玩法行为规划!B18,2))</f>
        <v>16.670000000000002</v>
      </c>
      <c r="AG18" s="2">
        <f>IF(D18="","",ROUND(D18*玩法行为规划!C18,2))</f>
        <v>0</v>
      </c>
      <c r="AH18" s="2">
        <f>IF(E18="","",ROUND(E18*玩法行为规划!D18,2))</f>
        <v>0</v>
      </c>
      <c r="AI18" s="2">
        <f>IF(F18="","",ROUND(F18*玩法行为规划!E18,2))</f>
        <v>0</v>
      </c>
      <c r="AJ18" s="2" t="str">
        <f>IF(G18="","",ROUND(G18*玩法行为规划!F18,2))</f>
        <v/>
      </c>
      <c r="AK18" s="2" t="str">
        <f>IF(H18="","",ROUND(H18*玩法行为规划!G18,2))</f>
        <v/>
      </c>
      <c r="AL18" s="2" t="str">
        <f>IF(I18="","",ROUND(I18*玩法行为规划!H18,2))</f>
        <v/>
      </c>
      <c r="AM18" s="2" t="str">
        <f>IF(J18="","",ROUND(J18*玩法行为规划!I18,2))</f>
        <v/>
      </c>
      <c r="AN18" s="2">
        <f>IF(K18="","",ROUND(K18*玩法行为规划!J18,2))</f>
        <v>0</v>
      </c>
      <c r="AO18" s="2">
        <f>IF(L18="","",ROUND(L18*玩法行为规划!K18,2))</f>
        <v>0</v>
      </c>
      <c r="AP18" s="2">
        <f>IF(M18="","",ROUND(M18*玩法行为规划!L18,2))</f>
        <v>0</v>
      </c>
      <c r="AQ18" s="2">
        <f>IF(N18="","",ROUND(N18*玩法行为规划!M18,2))</f>
        <v>12</v>
      </c>
      <c r="AR18" s="2">
        <f>IF(O18="","",ROUND(O18*玩法行为规划!N18,2))</f>
        <v>0</v>
      </c>
      <c r="AS18" s="2">
        <f>IF(P18="","",ROUND(P18*玩法行为规划!O18,2))</f>
        <v>0.83</v>
      </c>
      <c r="AT18" s="2">
        <f>IF(Q18="","",ROUND(Q18*玩法行为规划!P18,2))</f>
        <v>52</v>
      </c>
      <c r="AU18" s="2">
        <f>IF(R18="","",ROUND(R18*玩法行为规划!Q18,2))</f>
        <v>0</v>
      </c>
      <c r="AV18" s="2">
        <f>IF(S18="","",ROUND(S18*玩法行为规划!R18,2))</f>
        <v>0</v>
      </c>
      <c r="AW18" s="2">
        <f>IF(T18="","",ROUND(T18*玩法行为规划!S18,2))</f>
        <v>0</v>
      </c>
      <c r="AX18" s="2">
        <f>IF(U18="","",ROUND(U18*玩法行为规划!T18,2))</f>
        <v>0</v>
      </c>
      <c r="AY18" s="2">
        <f>IF(V18="","",ROUND(V18*玩法行为规划!U18,2))</f>
        <v>0</v>
      </c>
      <c r="AZ18" s="2">
        <f>IF(W18="","",ROUND(W18*玩法行为规划!V18,2))</f>
        <v>0</v>
      </c>
      <c r="BA18" s="2">
        <f>IF(X18="","",ROUND(X18*玩法行为规划!W18,2))</f>
        <v>0</v>
      </c>
      <c r="BB18" s="2">
        <f>IF(Y18="","",ROUND(Y18*玩法行为规划!X18,2))</f>
        <v>0</v>
      </c>
      <c r="BC18" s="2">
        <f>IF(Z18="","",ROUND(Z18*玩法行为规划!Y18,2))</f>
        <v>0</v>
      </c>
      <c r="BD18" s="2">
        <f>IF(AA18="","",ROUND(AA18*玩法行为规划!Z18,2))</f>
        <v>0</v>
      </c>
      <c r="BE18" s="2" t="str">
        <f>IF(AB18="","",ROUND(AB18*玩法行为规划!AA18,2))</f>
        <v/>
      </c>
      <c r="BF18" s="2" t="str">
        <f>IF(AC18="","",ROUND(AC18*玩法行为规划!AB18,2))</f>
        <v/>
      </c>
      <c r="BG18" s="2" t="str">
        <f>IF(AD18="","",ROUND(AD18*玩法行为规划!AC18,2))</f>
        <v/>
      </c>
      <c r="BH18" s="3" t="str">
        <f>IF(AE18="","",ROUND(AE18*玩法行为规划!AD18,2))</f>
        <v/>
      </c>
      <c r="BI18" s="7">
        <f t="shared" si="0"/>
        <v>81.5</v>
      </c>
      <c r="BJ18" s="7">
        <f t="shared" si="1"/>
        <v>521600</v>
      </c>
      <c r="BK18" s="10">
        <f t="shared" si="3"/>
        <v>25600</v>
      </c>
      <c r="BL18" s="21" t="str">
        <f t="shared" si="5"/>
        <v/>
      </c>
      <c r="BM18" s="7">
        <f t="shared" si="2"/>
        <v>1</v>
      </c>
      <c r="BN18" s="69">
        <f>INT(BJ18*升级节奏!G18+BK18)</f>
        <v>25600</v>
      </c>
      <c r="BO18" s="7">
        <f t="shared" si="4"/>
        <v>71</v>
      </c>
      <c r="BP18" s="7"/>
      <c r="BQ18" s="7"/>
    </row>
    <row r="19" spans="1:69">
      <c r="A19" s="29">
        <v>17</v>
      </c>
      <c r="B19" s="84">
        <f>升级节奏!C19</f>
        <v>6800</v>
      </c>
      <c r="C19" s="53">
        <f>IF(VLOOKUP(C$2,行为概览!$D$3:$J$33,7,0)="","",VLOOKUP(C$2,行为概览!$D$3:$J$33,7,0))</f>
        <v>50</v>
      </c>
      <c r="D19" s="53">
        <f>IF(VLOOKUP(D$2,行为概览!$D$3:$J$33,7,0)="","",VLOOKUP(D$2,行为概览!$D$3:$J$33,7,0))</f>
        <v>3.3</v>
      </c>
      <c r="E19" s="53">
        <f>IF(VLOOKUP(E$2,行为概览!$D$3:$J$33,7,0)="","",VLOOKUP(E$2,行为概览!$D$3:$J$33,7,0))</f>
        <v>30</v>
      </c>
      <c r="F19" s="53">
        <f>IF(VLOOKUP(F$2,行为概览!$D$3:$J$33,7,0)="","",VLOOKUP(F$2,行为概览!$D$3:$J$33,7,0))</f>
        <v>15</v>
      </c>
      <c r="G19" s="53" t="str">
        <f>IF(VLOOKUP(G$2,行为概览!$D$3:$J$33,7,0)="","",VLOOKUP(G$2,行为概览!$D$3:$J$33,7,0))</f>
        <v/>
      </c>
      <c r="H19" s="53" t="str">
        <f>IF(VLOOKUP(H$2,行为概览!$D$3:$J$33,7,0)="","",VLOOKUP(H$2,行为概览!$D$3:$J$33,7,0))</f>
        <v/>
      </c>
      <c r="I19" s="53" t="str">
        <f>IF(VLOOKUP(I$2,行为概览!$D$3:$J$33,7,0)="","",VLOOKUP(I$2,行为概览!$D$3:$J$33,7,0))</f>
        <v/>
      </c>
      <c r="J19" s="53" t="str">
        <f>IF(VLOOKUP(J$2,行为概览!$D$3:$J$33,7,0)="","",VLOOKUP(J$2,行为概览!$D$3:$J$33,7,0))</f>
        <v/>
      </c>
      <c r="K19" s="53">
        <f>IF(VLOOKUP(K$2,行为概览!$D$3:$J$33,7,0)="","",VLOOKUP(K$2,行为概览!$D$3:$J$33,7,0))</f>
        <v>20</v>
      </c>
      <c r="L19" s="53">
        <f>IF(VLOOKUP(L$2,行为概览!$D$3:$J$33,7,0)="","",VLOOKUP(L$2,行为概览!$D$3:$J$33,7,0))</f>
        <v>20</v>
      </c>
      <c r="M19" s="53">
        <f>IF(VLOOKUP(M$2,行为概览!$D$3:$J$33,7,0)="","",VLOOKUP(M$2,行为概览!$D$3:$J$33,7,0))</f>
        <v>40</v>
      </c>
      <c r="N19" s="53">
        <f>IF(VLOOKUP(N$2,行为概览!$D$3:$J$33,7,0)="","",VLOOKUP(N$2,行为概览!$D$3:$J$33,7,0))</f>
        <v>1</v>
      </c>
      <c r="O19" s="53">
        <f>IF(VLOOKUP(O$2,行为概览!$D$3:$J$33,7,0)="","",VLOOKUP(O$2,行为概览!$D$3:$J$33,7,0))</f>
        <v>150</v>
      </c>
      <c r="P19" s="53">
        <f>IF(VLOOKUP(P$2,行为概览!$D$3:$J$33,7,0)="","",VLOOKUP(P$2,行为概览!$D$3:$J$33,7,0))</f>
        <v>10</v>
      </c>
      <c r="Q19" s="53">
        <f>IF(VLOOKUP(Q$2,行为概览!$D$3:$J$33,7,0)="","",VLOOKUP(Q$2,行为概览!$D$3:$J$33,7,0))</f>
        <v>20</v>
      </c>
      <c r="R19" s="53">
        <f>IF(VLOOKUP(R$2,行为概览!$D$3:$J$33,7,0)="","",VLOOKUP(R$2,行为概览!$D$3:$J$33,7,0))</f>
        <v>6</v>
      </c>
      <c r="S19" s="53">
        <f>IF(VLOOKUP(S$2,行为概览!$D$3:$J$33,7,0)="","",VLOOKUP(S$2,行为概览!$D$3:$J$33,7,0))</f>
        <v>20</v>
      </c>
      <c r="T19" s="53">
        <f>IF(VLOOKUP(T$2,行为概览!$D$3:$J$33,7,0)="","",VLOOKUP(T$2,行为概览!$D$3:$J$33,7,0))</f>
        <v>15</v>
      </c>
      <c r="U19" s="53">
        <f>IF(VLOOKUP(U$2,行为概览!$D$3:$J$33,7,0)="","",VLOOKUP(U$2,行为概览!$D$3:$J$33,7,0))</f>
        <v>15</v>
      </c>
      <c r="V19" s="53">
        <f>IF(VLOOKUP(V$2,行为概览!$D$3:$J$33,7,0)="","",VLOOKUP(V$2,行为概览!$D$3:$J$33,7,0))</f>
        <v>40</v>
      </c>
      <c r="W19" s="53">
        <f>IF(VLOOKUP(W$2,行为概览!$D$3:$J$33,7,0)="","",VLOOKUP(W$2,行为概览!$D$3:$J$33,7,0))</f>
        <v>15</v>
      </c>
      <c r="X19" s="53">
        <f>IF(VLOOKUP(X$2,行为概览!$D$3:$J$33,7,0)="","",VLOOKUP(X$2,行为概览!$D$3:$J$33,7,0))</f>
        <v>30</v>
      </c>
      <c r="Y19" s="53">
        <f>IF(VLOOKUP(Y$2,行为概览!$D$3:$J$33,7,0)="","",VLOOKUP(Y$2,行为概览!$D$3:$J$33,7,0))</f>
        <v>25</v>
      </c>
      <c r="Z19" s="53">
        <f>IF(VLOOKUP(Z$2,行为概览!$D$3:$J$33,7,0)="","",VLOOKUP(Z$2,行为概览!$D$3:$J$33,7,0))</f>
        <v>15</v>
      </c>
      <c r="AA19" s="53">
        <f>IF(VLOOKUP(AA$2,行为概览!$D$3:$J$33,7,0)="","",VLOOKUP(AA$2,行为概览!$D$3:$J$33,7,0))</f>
        <v>15</v>
      </c>
      <c r="AB19" s="53" t="str">
        <f>IF(VLOOKUP(AB$2,行为概览!$D$3:$J$33,7,0)="","",VLOOKUP(AB$2,行为概览!$D$3:$J$33,7,0))</f>
        <v/>
      </c>
      <c r="AC19" s="53" t="str">
        <f>IF(VLOOKUP(AC$2,行为概览!$D$3:$J$33,7,0)="","",VLOOKUP(AC$2,行为概览!$D$3:$J$33,7,0))</f>
        <v/>
      </c>
      <c r="AD19" s="53" t="str">
        <f>IF(VLOOKUP(AD$2,行为概览!$D$3:$J$33,7,0)="","",VLOOKUP(AD$2,行为概览!$D$3:$J$33,7,0))</f>
        <v/>
      </c>
      <c r="AE19" s="68" t="str">
        <f>IF(VLOOKUP(AE$2,行为概览!$D$3:$J$33,7,0)="","",VLOOKUP(AE$2,行为概览!$D$3:$J$33,7,0))</f>
        <v/>
      </c>
      <c r="AF19" s="1">
        <f>IF(C19="","",ROUND(C19*玩法行为规划!B19,2))</f>
        <v>16.670000000000002</v>
      </c>
      <c r="AG19" s="2">
        <f>IF(D19="","",ROUND(D19*玩法行为规划!C19,2))</f>
        <v>0</v>
      </c>
      <c r="AH19" s="2">
        <f>IF(E19="","",ROUND(E19*玩法行为规划!D19,2))</f>
        <v>0</v>
      </c>
      <c r="AI19" s="2">
        <f>IF(F19="","",ROUND(F19*玩法行为规划!E19,2))</f>
        <v>0</v>
      </c>
      <c r="AJ19" s="2" t="str">
        <f>IF(G19="","",ROUND(G19*玩法行为规划!F19,2))</f>
        <v/>
      </c>
      <c r="AK19" s="2" t="str">
        <f>IF(H19="","",ROUND(H19*玩法行为规划!G19,2))</f>
        <v/>
      </c>
      <c r="AL19" s="2" t="str">
        <f>IF(I19="","",ROUND(I19*玩法行为规划!H19,2))</f>
        <v/>
      </c>
      <c r="AM19" s="2" t="str">
        <f>IF(J19="","",ROUND(J19*玩法行为规划!I19,2))</f>
        <v/>
      </c>
      <c r="AN19" s="2">
        <f>IF(K19="","",ROUND(K19*玩法行为规划!J19,2))</f>
        <v>0</v>
      </c>
      <c r="AO19" s="2">
        <f>IF(L19="","",ROUND(L19*玩法行为规划!K19,2))</f>
        <v>0</v>
      </c>
      <c r="AP19" s="2">
        <f>IF(M19="","",ROUND(M19*玩法行为规划!L19,2))</f>
        <v>0</v>
      </c>
      <c r="AQ19" s="2">
        <f>IF(N19="","",ROUND(N19*玩法行为规划!M19,2))</f>
        <v>12</v>
      </c>
      <c r="AR19" s="2">
        <f>IF(O19="","",ROUND(O19*玩法行为规划!N19,2))</f>
        <v>0</v>
      </c>
      <c r="AS19" s="2">
        <f>IF(P19="","",ROUND(P19*玩法行为规划!O19,2))</f>
        <v>0.83</v>
      </c>
      <c r="AT19" s="2">
        <f>IF(Q19="","",ROUND(Q19*玩法行为规划!P19,2))</f>
        <v>52</v>
      </c>
      <c r="AU19" s="2">
        <f>IF(R19="","",ROUND(R19*玩法行为规划!Q19,2))</f>
        <v>0</v>
      </c>
      <c r="AV19" s="2">
        <f>IF(S19="","",ROUND(S19*玩法行为规划!R19,2))</f>
        <v>0</v>
      </c>
      <c r="AW19" s="2">
        <f>IF(T19="","",ROUND(T19*玩法行为规划!S19,2))</f>
        <v>0</v>
      </c>
      <c r="AX19" s="2">
        <f>IF(U19="","",ROUND(U19*玩法行为规划!T19,2))</f>
        <v>0</v>
      </c>
      <c r="AY19" s="2">
        <f>IF(V19="","",ROUND(V19*玩法行为规划!U19,2))</f>
        <v>0</v>
      </c>
      <c r="AZ19" s="2">
        <f>IF(W19="","",ROUND(W19*玩法行为规划!V19,2))</f>
        <v>0</v>
      </c>
      <c r="BA19" s="2">
        <f>IF(X19="","",ROUND(X19*玩法行为规划!W19,2))</f>
        <v>0</v>
      </c>
      <c r="BB19" s="2">
        <f>IF(Y19="","",ROUND(Y19*玩法行为规划!X19,2))</f>
        <v>0</v>
      </c>
      <c r="BC19" s="2">
        <f>IF(Z19="","",ROUND(Z19*玩法行为规划!Y19,2))</f>
        <v>0</v>
      </c>
      <c r="BD19" s="2">
        <f>IF(AA19="","",ROUND(AA19*玩法行为规划!Z19,2))</f>
        <v>0</v>
      </c>
      <c r="BE19" s="2" t="str">
        <f>IF(AB19="","",ROUND(AB19*玩法行为规划!AA19,2))</f>
        <v/>
      </c>
      <c r="BF19" s="2" t="str">
        <f>IF(AC19="","",ROUND(AC19*玩法行为规划!AB19,2))</f>
        <v/>
      </c>
      <c r="BG19" s="2" t="str">
        <f>IF(AD19="","",ROUND(AD19*玩法行为规划!AC19,2))</f>
        <v/>
      </c>
      <c r="BH19" s="3" t="str">
        <f>IF(AE19="","",ROUND(AE19*玩法行为规划!AD19,2))</f>
        <v/>
      </c>
      <c r="BI19" s="7">
        <f t="shared" si="0"/>
        <v>81.5</v>
      </c>
      <c r="BJ19" s="7">
        <f t="shared" si="1"/>
        <v>554200</v>
      </c>
      <c r="BK19" s="10">
        <f t="shared" si="3"/>
        <v>27200</v>
      </c>
      <c r="BL19" s="21" t="str">
        <f t="shared" si="5"/>
        <v/>
      </c>
      <c r="BM19" s="7">
        <f t="shared" si="2"/>
        <v>1</v>
      </c>
      <c r="BN19" s="69">
        <f>INT(BJ19*升级节奏!G19+BK19)</f>
        <v>27200</v>
      </c>
      <c r="BO19" s="7">
        <f t="shared" si="4"/>
        <v>76</v>
      </c>
      <c r="BP19" s="7"/>
      <c r="BQ19" s="7"/>
    </row>
    <row r="20" spans="1:69">
      <c r="A20" s="29">
        <v>18</v>
      </c>
      <c r="B20" s="84">
        <f>升级节奏!C20</f>
        <v>7200</v>
      </c>
      <c r="C20" s="53">
        <f>IF(VLOOKUP(C$2,行为概览!$D$3:$J$33,7,0)="","",VLOOKUP(C$2,行为概览!$D$3:$J$33,7,0))</f>
        <v>50</v>
      </c>
      <c r="D20" s="53">
        <f>IF(VLOOKUP(D$2,行为概览!$D$3:$J$33,7,0)="","",VLOOKUP(D$2,行为概览!$D$3:$J$33,7,0))</f>
        <v>3.3</v>
      </c>
      <c r="E20" s="53">
        <f>IF(VLOOKUP(E$2,行为概览!$D$3:$J$33,7,0)="","",VLOOKUP(E$2,行为概览!$D$3:$J$33,7,0))</f>
        <v>30</v>
      </c>
      <c r="F20" s="53">
        <f>IF(VLOOKUP(F$2,行为概览!$D$3:$J$33,7,0)="","",VLOOKUP(F$2,行为概览!$D$3:$J$33,7,0))</f>
        <v>15</v>
      </c>
      <c r="G20" s="53" t="str">
        <f>IF(VLOOKUP(G$2,行为概览!$D$3:$J$33,7,0)="","",VLOOKUP(G$2,行为概览!$D$3:$J$33,7,0))</f>
        <v/>
      </c>
      <c r="H20" s="53" t="str">
        <f>IF(VLOOKUP(H$2,行为概览!$D$3:$J$33,7,0)="","",VLOOKUP(H$2,行为概览!$D$3:$J$33,7,0))</f>
        <v/>
      </c>
      <c r="I20" s="53" t="str">
        <f>IF(VLOOKUP(I$2,行为概览!$D$3:$J$33,7,0)="","",VLOOKUP(I$2,行为概览!$D$3:$J$33,7,0))</f>
        <v/>
      </c>
      <c r="J20" s="53" t="str">
        <f>IF(VLOOKUP(J$2,行为概览!$D$3:$J$33,7,0)="","",VLOOKUP(J$2,行为概览!$D$3:$J$33,7,0))</f>
        <v/>
      </c>
      <c r="K20" s="53">
        <f>IF(VLOOKUP(K$2,行为概览!$D$3:$J$33,7,0)="","",VLOOKUP(K$2,行为概览!$D$3:$J$33,7,0))</f>
        <v>20</v>
      </c>
      <c r="L20" s="53">
        <f>IF(VLOOKUP(L$2,行为概览!$D$3:$J$33,7,0)="","",VLOOKUP(L$2,行为概览!$D$3:$J$33,7,0))</f>
        <v>20</v>
      </c>
      <c r="M20" s="53">
        <f>IF(VLOOKUP(M$2,行为概览!$D$3:$J$33,7,0)="","",VLOOKUP(M$2,行为概览!$D$3:$J$33,7,0))</f>
        <v>40</v>
      </c>
      <c r="N20" s="53">
        <f>IF(VLOOKUP(N$2,行为概览!$D$3:$J$33,7,0)="","",VLOOKUP(N$2,行为概览!$D$3:$J$33,7,0))</f>
        <v>1</v>
      </c>
      <c r="O20" s="53">
        <f>IF(VLOOKUP(O$2,行为概览!$D$3:$J$33,7,0)="","",VLOOKUP(O$2,行为概览!$D$3:$J$33,7,0))</f>
        <v>150</v>
      </c>
      <c r="P20" s="53">
        <f>IF(VLOOKUP(P$2,行为概览!$D$3:$J$33,7,0)="","",VLOOKUP(P$2,行为概览!$D$3:$J$33,7,0))</f>
        <v>10</v>
      </c>
      <c r="Q20" s="53">
        <f>IF(VLOOKUP(Q$2,行为概览!$D$3:$J$33,7,0)="","",VLOOKUP(Q$2,行为概览!$D$3:$J$33,7,0))</f>
        <v>20</v>
      </c>
      <c r="R20" s="53">
        <f>IF(VLOOKUP(R$2,行为概览!$D$3:$J$33,7,0)="","",VLOOKUP(R$2,行为概览!$D$3:$J$33,7,0))</f>
        <v>6</v>
      </c>
      <c r="S20" s="53">
        <f>IF(VLOOKUP(S$2,行为概览!$D$3:$J$33,7,0)="","",VLOOKUP(S$2,行为概览!$D$3:$J$33,7,0))</f>
        <v>20</v>
      </c>
      <c r="T20" s="53">
        <f>IF(VLOOKUP(T$2,行为概览!$D$3:$J$33,7,0)="","",VLOOKUP(T$2,行为概览!$D$3:$J$33,7,0))</f>
        <v>15</v>
      </c>
      <c r="U20" s="53">
        <f>IF(VLOOKUP(U$2,行为概览!$D$3:$J$33,7,0)="","",VLOOKUP(U$2,行为概览!$D$3:$J$33,7,0))</f>
        <v>15</v>
      </c>
      <c r="V20" s="53">
        <f>IF(VLOOKUP(V$2,行为概览!$D$3:$J$33,7,0)="","",VLOOKUP(V$2,行为概览!$D$3:$J$33,7,0))</f>
        <v>40</v>
      </c>
      <c r="W20" s="53">
        <f>IF(VLOOKUP(W$2,行为概览!$D$3:$J$33,7,0)="","",VLOOKUP(W$2,行为概览!$D$3:$J$33,7,0))</f>
        <v>15</v>
      </c>
      <c r="X20" s="53">
        <f>IF(VLOOKUP(X$2,行为概览!$D$3:$J$33,7,0)="","",VLOOKUP(X$2,行为概览!$D$3:$J$33,7,0))</f>
        <v>30</v>
      </c>
      <c r="Y20" s="53">
        <f>IF(VLOOKUP(Y$2,行为概览!$D$3:$J$33,7,0)="","",VLOOKUP(Y$2,行为概览!$D$3:$J$33,7,0))</f>
        <v>25</v>
      </c>
      <c r="Z20" s="53">
        <f>IF(VLOOKUP(Z$2,行为概览!$D$3:$J$33,7,0)="","",VLOOKUP(Z$2,行为概览!$D$3:$J$33,7,0))</f>
        <v>15</v>
      </c>
      <c r="AA20" s="53">
        <f>IF(VLOOKUP(AA$2,行为概览!$D$3:$J$33,7,0)="","",VLOOKUP(AA$2,行为概览!$D$3:$J$33,7,0))</f>
        <v>15</v>
      </c>
      <c r="AB20" s="53" t="str">
        <f>IF(VLOOKUP(AB$2,行为概览!$D$3:$J$33,7,0)="","",VLOOKUP(AB$2,行为概览!$D$3:$J$33,7,0))</f>
        <v/>
      </c>
      <c r="AC20" s="53" t="str">
        <f>IF(VLOOKUP(AC$2,行为概览!$D$3:$J$33,7,0)="","",VLOOKUP(AC$2,行为概览!$D$3:$J$33,7,0))</f>
        <v/>
      </c>
      <c r="AD20" s="53" t="str">
        <f>IF(VLOOKUP(AD$2,行为概览!$D$3:$J$33,7,0)="","",VLOOKUP(AD$2,行为概览!$D$3:$J$33,7,0))</f>
        <v/>
      </c>
      <c r="AE20" s="68" t="str">
        <f>IF(VLOOKUP(AE$2,行为概览!$D$3:$J$33,7,0)="","",VLOOKUP(AE$2,行为概览!$D$3:$J$33,7,0))</f>
        <v/>
      </c>
      <c r="AF20" s="1">
        <f>IF(C20="","",ROUND(C20*玩法行为规划!B20,2))</f>
        <v>16.670000000000002</v>
      </c>
      <c r="AG20" s="2">
        <f>IF(D20="","",ROUND(D20*玩法行为规划!C20,2))</f>
        <v>0</v>
      </c>
      <c r="AH20" s="2">
        <f>IF(E20="","",ROUND(E20*玩法行为规划!D20,2))</f>
        <v>0</v>
      </c>
      <c r="AI20" s="2">
        <f>IF(F20="","",ROUND(F20*玩法行为规划!E20,2))</f>
        <v>0</v>
      </c>
      <c r="AJ20" s="2" t="str">
        <f>IF(G20="","",ROUND(G20*玩法行为规划!F20,2))</f>
        <v/>
      </c>
      <c r="AK20" s="2" t="str">
        <f>IF(H20="","",ROUND(H20*玩法行为规划!G20,2))</f>
        <v/>
      </c>
      <c r="AL20" s="2" t="str">
        <f>IF(I20="","",ROUND(I20*玩法行为规划!H20,2))</f>
        <v/>
      </c>
      <c r="AM20" s="2" t="str">
        <f>IF(J20="","",ROUND(J20*玩法行为规划!I20,2))</f>
        <v/>
      </c>
      <c r="AN20" s="2">
        <f>IF(K20="","",ROUND(K20*玩法行为规划!J20,2))</f>
        <v>0</v>
      </c>
      <c r="AO20" s="2">
        <f>IF(L20="","",ROUND(L20*玩法行为规划!K20,2))</f>
        <v>0</v>
      </c>
      <c r="AP20" s="2">
        <f>IF(M20="","",ROUND(M20*玩法行为规划!L20,2))</f>
        <v>0</v>
      </c>
      <c r="AQ20" s="2">
        <f>IF(N20="","",ROUND(N20*玩法行为规划!M20,2))</f>
        <v>12</v>
      </c>
      <c r="AR20" s="2">
        <f>IF(O20="","",ROUND(O20*玩法行为规划!N20,2))</f>
        <v>0</v>
      </c>
      <c r="AS20" s="2">
        <f>IF(P20="","",ROUND(P20*玩法行为规划!O20,2))</f>
        <v>0.83</v>
      </c>
      <c r="AT20" s="2">
        <f>IF(Q20="","",ROUND(Q20*玩法行为规划!P20,2))</f>
        <v>52</v>
      </c>
      <c r="AU20" s="2">
        <f>IF(R20="","",ROUND(R20*玩法行为规划!Q20,2))</f>
        <v>0</v>
      </c>
      <c r="AV20" s="2">
        <f>IF(S20="","",ROUND(S20*玩法行为规划!R20,2))</f>
        <v>0</v>
      </c>
      <c r="AW20" s="2">
        <f>IF(T20="","",ROUND(T20*玩法行为规划!S20,2))</f>
        <v>0</v>
      </c>
      <c r="AX20" s="2">
        <f>IF(U20="","",ROUND(U20*玩法行为规划!T20,2))</f>
        <v>0</v>
      </c>
      <c r="AY20" s="2">
        <f>IF(V20="","",ROUND(V20*玩法行为规划!U20,2))</f>
        <v>0</v>
      </c>
      <c r="AZ20" s="2">
        <f>IF(W20="","",ROUND(W20*玩法行为规划!V20,2))</f>
        <v>0</v>
      </c>
      <c r="BA20" s="2">
        <f>IF(X20="","",ROUND(X20*玩法行为规划!W20,2))</f>
        <v>0</v>
      </c>
      <c r="BB20" s="2">
        <f>IF(Y20="","",ROUND(Y20*玩法行为规划!X20,2))</f>
        <v>0</v>
      </c>
      <c r="BC20" s="2">
        <f>IF(Z20="","",ROUND(Z20*玩法行为规划!Y20,2))</f>
        <v>0</v>
      </c>
      <c r="BD20" s="2">
        <f>IF(AA20="","",ROUND(AA20*玩法行为规划!Z20,2))</f>
        <v>0</v>
      </c>
      <c r="BE20" s="2" t="str">
        <f>IF(AB20="","",ROUND(AB20*玩法行为规划!AA20,2))</f>
        <v/>
      </c>
      <c r="BF20" s="2" t="str">
        <f>IF(AC20="","",ROUND(AC20*玩法行为规划!AB20,2))</f>
        <v/>
      </c>
      <c r="BG20" s="2" t="str">
        <f>IF(AD20="","",ROUND(AD20*玩法行为规划!AC20,2))</f>
        <v/>
      </c>
      <c r="BH20" s="3" t="str">
        <f>IF(AE20="","",ROUND(AE20*玩法行为规划!AD20,2))</f>
        <v/>
      </c>
      <c r="BI20" s="7">
        <f t="shared" si="0"/>
        <v>81.5</v>
      </c>
      <c r="BJ20" s="7">
        <f t="shared" si="1"/>
        <v>586800</v>
      </c>
      <c r="BK20" s="10">
        <f t="shared" si="3"/>
        <v>28800</v>
      </c>
      <c r="BL20" s="21" t="str">
        <f t="shared" si="5"/>
        <v/>
      </c>
      <c r="BM20" s="7">
        <f t="shared" si="2"/>
        <v>1</v>
      </c>
      <c r="BN20" s="69">
        <f>INT(BJ20*升级节奏!G20+BK20)</f>
        <v>28800</v>
      </c>
      <c r="BO20" s="7">
        <f t="shared" si="4"/>
        <v>80</v>
      </c>
      <c r="BP20" s="7"/>
      <c r="BQ20" s="7"/>
    </row>
    <row r="21" spans="1:69">
      <c r="A21" s="29">
        <v>19</v>
      </c>
      <c r="B21" s="84">
        <f>升级节奏!C21</f>
        <v>7600</v>
      </c>
      <c r="C21" s="53">
        <f>IF(VLOOKUP(C$2,行为概览!$D$3:$J$33,7,0)="","",VLOOKUP(C$2,行为概览!$D$3:$J$33,7,0))</f>
        <v>50</v>
      </c>
      <c r="D21" s="53">
        <f>IF(VLOOKUP(D$2,行为概览!$D$3:$J$33,7,0)="","",VLOOKUP(D$2,行为概览!$D$3:$J$33,7,0))</f>
        <v>3.3</v>
      </c>
      <c r="E21" s="53">
        <f>IF(VLOOKUP(E$2,行为概览!$D$3:$J$33,7,0)="","",VLOOKUP(E$2,行为概览!$D$3:$J$33,7,0))</f>
        <v>30</v>
      </c>
      <c r="F21" s="53">
        <f>IF(VLOOKUP(F$2,行为概览!$D$3:$J$33,7,0)="","",VLOOKUP(F$2,行为概览!$D$3:$J$33,7,0))</f>
        <v>15</v>
      </c>
      <c r="G21" s="53" t="str">
        <f>IF(VLOOKUP(G$2,行为概览!$D$3:$J$33,7,0)="","",VLOOKUP(G$2,行为概览!$D$3:$J$33,7,0))</f>
        <v/>
      </c>
      <c r="H21" s="53" t="str">
        <f>IF(VLOOKUP(H$2,行为概览!$D$3:$J$33,7,0)="","",VLOOKUP(H$2,行为概览!$D$3:$J$33,7,0))</f>
        <v/>
      </c>
      <c r="I21" s="53" t="str">
        <f>IF(VLOOKUP(I$2,行为概览!$D$3:$J$33,7,0)="","",VLOOKUP(I$2,行为概览!$D$3:$J$33,7,0))</f>
        <v/>
      </c>
      <c r="J21" s="53" t="str">
        <f>IF(VLOOKUP(J$2,行为概览!$D$3:$J$33,7,0)="","",VLOOKUP(J$2,行为概览!$D$3:$J$33,7,0))</f>
        <v/>
      </c>
      <c r="K21" s="53">
        <f>IF(VLOOKUP(K$2,行为概览!$D$3:$J$33,7,0)="","",VLOOKUP(K$2,行为概览!$D$3:$J$33,7,0))</f>
        <v>20</v>
      </c>
      <c r="L21" s="53">
        <f>IF(VLOOKUP(L$2,行为概览!$D$3:$J$33,7,0)="","",VLOOKUP(L$2,行为概览!$D$3:$J$33,7,0))</f>
        <v>20</v>
      </c>
      <c r="M21" s="53">
        <f>IF(VLOOKUP(M$2,行为概览!$D$3:$J$33,7,0)="","",VLOOKUP(M$2,行为概览!$D$3:$J$33,7,0))</f>
        <v>40</v>
      </c>
      <c r="N21" s="53">
        <f>IF(VLOOKUP(N$2,行为概览!$D$3:$J$33,7,0)="","",VLOOKUP(N$2,行为概览!$D$3:$J$33,7,0))</f>
        <v>1</v>
      </c>
      <c r="O21" s="53">
        <f>IF(VLOOKUP(O$2,行为概览!$D$3:$J$33,7,0)="","",VLOOKUP(O$2,行为概览!$D$3:$J$33,7,0))</f>
        <v>150</v>
      </c>
      <c r="P21" s="53">
        <f>IF(VLOOKUP(P$2,行为概览!$D$3:$J$33,7,0)="","",VLOOKUP(P$2,行为概览!$D$3:$J$33,7,0))</f>
        <v>10</v>
      </c>
      <c r="Q21" s="53">
        <f>IF(VLOOKUP(Q$2,行为概览!$D$3:$J$33,7,0)="","",VLOOKUP(Q$2,行为概览!$D$3:$J$33,7,0))</f>
        <v>20</v>
      </c>
      <c r="R21" s="53">
        <f>IF(VLOOKUP(R$2,行为概览!$D$3:$J$33,7,0)="","",VLOOKUP(R$2,行为概览!$D$3:$J$33,7,0))</f>
        <v>6</v>
      </c>
      <c r="S21" s="53">
        <f>IF(VLOOKUP(S$2,行为概览!$D$3:$J$33,7,0)="","",VLOOKUP(S$2,行为概览!$D$3:$J$33,7,0))</f>
        <v>20</v>
      </c>
      <c r="T21" s="53">
        <f>IF(VLOOKUP(T$2,行为概览!$D$3:$J$33,7,0)="","",VLOOKUP(T$2,行为概览!$D$3:$J$33,7,0))</f>
        <v>15</v>
      </c>
      <c r="U21" s="53">
        <f>IF(VLOOKUP(U$2,行为概览!$D$3:$J$33,7,0)="","",VLOOKUP(U$2,行为概览!$D$3:$J$33,7,0))</f>
        <v>15</v>
      </c>
      <c r="V21" s="53">
        <f>IF(VLOOKUP(V$2,行为概览!$D$3:$J$33,7,0)="","",VLOOKUP(V$2,行为概览!$D$3:$J$33,7,0))</f>
        <v>40</v>
      </c>
      <c r="W21" s="53">
        <f>IF(VLOOKUP(W$2,行为概览!$D$3:$J$33,7,0)="","",VLOOKUP(W$2,行为概览!$D$3:$J$33,7,0))</f>
        <v>15</v>
      </c>
      <c r="X21" s="53">
        <f>IF(VLOOKUP(X$2,行为概览!$D$3:$J$33,7,0)="","",VLOOKUP(X$2,行为概览!$D$3:$J$33,7,0))</f>
        <v>30</v>
      </c>
      <c r="Y21" s="53">
        <f>IF(VLOOKUP(Y$2,行为概览!$D$3:$J$33,7,0)="","",VLOOKUP(Y$2,行为概览!$D$3:$J$33,7,0))</f>
        <v>25</v>
      </c>
      <c r="Z21" s="53">
        <f>IF(VLOOKUP(Z$2,行为概览!$D$3:$J$33,7,0)="","",VLOOKUP(Z$2,行为概览!$D$3:$J$33,7,0))</f>
        <v>15</v>
      </c>
      <c r="AA21" s="53">
        <f>IF(VLOOKUP(AA$2,行为概览!$D$3:$J$33,7,0)="","",VLOOKUP(AA$2,行为概览!$D$3:$J$33,7,0))</f>
        <v>15</v>
      </c>
      <c r="AB21" s="53" t="str">
        <f>IF(VLOOKUP(AB$2,行为概览!$D$3:$J$33,7,0)="","",VLOOKUP(AB$2,行为概览!$D$3:$J$33,7,0))</f>
        <v/>
      </c>
      <c r="AC21" s="53" t="str">
        <f>IF(VLOOKUP(AC$2,行为概览!$D$3:$J$33,7,0)="","",VLOOKUP(AC$2,行为概览!$D$3:$J$33,7,0))</f>
        <v/>
      </c>
      <c r="AD21" s="53" t="str">
        <f>IF(VLOOKUP(AD$2,行为概览!$D$3:$J$33,7,0)="","",VLOOKUP(AD$2,行为概览!$D$3:$J$33,7,0))</f>
        <v/>
      </c>
      <c r="AE21" s="68" t="str">
        <f>IF(VLOOKUP(AE$2,行为概览!$D$3:$J$33,7,0)="","",VLOOKUP(AE$2,行为概览!$D$3:$J$33,7,0))</f>
        <v/>
      </c>
      <c r="AF21" s="1">
        <f>IF(C21="","",ROUND(C21*玩法行为规划!B21,2))</f>
        <v>16.670000000000002</v>
      </c>
      <c r="AG21" s="2">
        <f>IF(D21="","",ROUND(D21*玩法行为规划!C21,2))</f>
        <v>0</v>
      </c>
      <c r="AH21" s="2">
        <f>IF(E21="","",ROUND(E21*玩法行为规划!D21,2))</f>
        <v>0</v>
      </c>
      <c r="AI21" s="2">
        <f>IF(F21="","",ROUND(F21*玩法行为规划!E21,2))</f>
        <v>0</v>
      </c>
      <c r="AJ21" s="2" t="str">
        <f>IF(G21="","",ROUND(G21*玩法行为规划!F21,2))</f>
        <v/>
      </c>
      <c r="AK21" s="2" t="str">
        <f>IF(H21="","",ROUND(H21*玩法行为规划!G21,2))</f>
        <v/>
      </c>
      <c r="AL21" s="2" t="str">
        <f>IF(I21="","",ROUND(I21*玩法行为规划!H21,2))</f>
        <v/>
      </c>
      <c r="AM21" s="2" t="str">
        <f>IF(J21="","",ROUND(J21*玩法行为规划!I21,2))</f>
        <v/>
      </c>
      <c r="AN21" s="2">
        <f>IF(K21="","",ROUND(K21*玩法行为规划!J21,2))</f>
        <v>0</v>
      </c>
      <c r="AO21" s="2">
        <f>IF(L21="","",ROUND(L21*玩法行为规划!K21,2))</f>
        <v>0</v>
      </c>
      <c r="AP21" s="2">
        <f>IF(M21="","",ROUND(M21*玩法行为规划!L21,2))</f>
        <v>0</v>
      </c>
      <c r="AQ21" s="2">
        <f>IF(N21="","",ROUND(N21*玩法行为规划!M21,2))</f>
        <v>12</v>
      </c>
      <c r="AR21" s="2">
        <f>IF(O21="","",ROUND(O21*玩法行为规划!N21,2))</f>
        <v>0</v>
      </c>
      <c r="AS21" s="2">
        <f>IF(P21="","",ROUND(P21*玩法行为规划!O21,2))</f>
        <v>0.83</v>
      </c>
      <c r="AT21" s="2">
        <f>IF(Q21="","",ROUND(Q21*玩法行为规划!P21,2))</f>
        <v>52</v>
      </c>
      <c r="AU21" s="2">
        <f>IF(R21="","",ROUND(R21*玩法行为规划!Q21,2))</f>
        <v>0</v>
      </c>
      <c r="AV21" s="2">
        <f>IF(S21="","",ROUND(S21*玩法行为规划!R21,2))</f>
        <v>0</v>
      </c>
      <c r="AW21" s="2">
        <f>IF(T21="","",ROUND(T21*玩法行为规划!S21,2))</f>
        <v>0</v>
      </c>
      <c r="AX21" s="2">
        <f>IF(U21="","",ROUND(U21*玩法行为规划!T21,2))</f>
        <v>0</v>
      </c>
      <c r="AY21" s="2">
        <f>IF(V21="","",ROUND(V21*玩法行为规划!U21,2))</f>
        <v>0</v>
      </c>
      <c r="AZ21" s="2">
        <f>IF(W21="","",ROUND(W21*玩法行为规划!V21,2))</f>
        <v>0</v>
      </c>
      <c r="BA21" s="2">
        <f>IF(X21="","",ROUND(X21*玩法行为规划!W21,2))</f>
        <v>0</v>
      </c>
      <c r="BB21" s="2">
        <f>IF(Y21="","",ROUND(Y21*玩法行为规划!X21,2))</f>
        <v>0</v>
      </c>
      <c r="BC21" s="2">
        <f>IF(Z21="","",ROUND(Z21*玩法行为规划!Y21,2))</f>
        <v>0</v>
      </c>
      <c r="BD21" s="2">
        <f>IF(AA21="","",ROUND(AA21*玩法行为规划!Z21,2))</f>
        <v>0</v>
      </c>
      <c r="BE21" s="2" t="str">
        <f>IF(AB21="","",ROUND(AB21*玩法行为规划!AA21,2))</f>
        <v/>
      </c>
      <c r="BF21" s="2" t="str">
        <f>IF(AC21="","",ROUND(AC21*玩法行为规划!AB21,2))</f>
        <v/>
      </c>
      <c r="BG21" s="2" t="str">
        <f>IF(AD21="","",ROUND(AD21*玩法行为规划!AC21,2))</f>
        <v/>
      </c>
      <c r="BH21" s="3" t="str">
        <f>IF(AE21="","",ROUND(AE21*玩法行为规划!AD21,2))</f>
        <v/>
      </c>
      <c r="BI21" s="7">
        <f t="shared" si="0"/>
        <v>81.5</v>
      </c>
      <c r="BJ21" s="7">
        <f t="shared" si="1"/>
        <v>619400</v>
      </c>
      <c r="BK21" s="10">
        <f t="shared" si="3"/>
        <v>30400</v>
      </c>
      <c r="BL21" s="21" t="str">
        <f t="shared" si="5"/>
        <v/>
      </c>
      <c r="BM21" s="7">
        <f t="shared" si="2"/>
        <v>1</v>
      </c>
      <c r="BN21" s="69">
        <f>INT(BJ21*升级节奏!G21+BK21)</f>
        <v>30400</v>
      </c>
      <c r="BO21" s="7">
        <f t="shared" si="4"/>
        <v>84</v>
      </c>
      <c r="BP21" s="7"/>
      <c r="BQ21" s="7"/>
    </row>
    <row r="22" spans="1:69">
      <c r="A22" s="29">
        <v>20</v>
      </c>
      <c r="B22" s="84">
        <f>升级节奏!C22</f>
        <v>8000</v>
      </c>
      <c r="C22" s="53">
        <f>IF(VLOOKUP(C$2,行为概览!$D$3:$J$33,7,0)="","",VLOOKUP(C$2,行为概览!$D$3:$J$33,7,0))</f>
        <v>50</v>
      </c>
      <c r="D22" s="53">
        <f>IF(VLOOKUP(D$2,行为概览!$D$3:$J$33,7,0)="","",VLOOKUP(D$2,行为概览!$D$3:$J$33,7,0))</f>
        <v>3.3</v>
      </c>
      <c r="E22" s="53">
        <f>IF(VLOOKUP(E$2,行为概览!$D$3:$J$33,7,0)="","",VLOOKUP(E$2,行为概览!$D$3:$J$33,7,0))</f>
        <v>30</v>
      </c>
      <c r="F22" s="53">
        <f>IF(VLOOKUP(F$2,行为概览!$D$3:$J$33,7,0)="","",VLOOKUP(F$2,行为概览!$D$3:$J$33,7,0))</f>
        <v>15</v>
      </c>
      <c r="G22" s="53" t="str">
        <f>IF(VLOOKUP(G$2,行为概览!$D$3:$J$33,7,0)="","",VLOOKUP(G$2,行为概览!$D$3:$J$33,7,0))</f>
        <v/>
      </c>
      <c r="H22" s="53" t="str">
        <f>IF(VLOOKUP(H$2,行为概览!$D$3:$J$33,7,0)="","",VLOOKUP(H$2,行为概览!$D$3:$J$33,7,0))</f>
        <v/>
      </c>
      <c r="I22" s="53" t="str">
        <f>IF(VLOOKUP(I$2,行为概览!$D$3:$J$33,7,0)="","",VLOOKUP(I$2,行为概览!$D$3:$J$33,7,0))</f>
        <v/>
      </c>
      <c r="J22" s="53" t="str">
        <f>IF(VLOOKUP(J$2,行为概览!$D$3:$J$33,7,0)="","",VLOOKUP(J$2,行为概览!$D$3:$J$33,7,0))</f>
        <v/>
      </c>
      <c r="K22" s="53">
        <f>IF(VLOOKUP(K$2,行为概览!$D$3:$J$33,7,0)="","",VLOOKUP(K$2,行为概览!$D$3:$J$33,7,0))</f>
        <v>20</v>
      </c>
      <c r="L22" s="53">
        <f>IF(VLOOKUP(L$2,行为概览!$D$3:$J$33,7,0)="","",VLOOKUP(L$2,行为概览!$D$3:$J$33,7,0))</f>
        <v>20</v>
      </c>
      <c r="M22" s="53">
        <f>IF(VLOOKUP(M$2,行为概览!$D$3:$J$33,7,0)="","",VLOOKUP(M$2,行为概览!$D$3:$J$33,7,0))</f>
        <v>40</v>
      </c>
      <c r="N22" s="53">
        <f>IF(VLOOKUP(N$2,行为概览!$D$3:$J$33,7,0)="","",VLOOKUP(N$2,行为概览!$D$3:$J$33,7,0))</f>
        <v>1</v>
      </c>
      <c r="O22" s="53">
        <f>IF(VLOOKUP(O$2,行为概览!$D$3:$J$33,7,0)="","",VLOOKUP(O$2,行为概览!$D$3:$J$33,7,0))</f>
        <v>150</v>
      </c>
      <c r="P22" s="53">
        <f>IF(VLOOKUP(P$2,行为概览!$D$3:$J$33,7,0)="","",VLOOKUP(P$2,行为概览!$D$3:$J$33,7,0))</f>
        <v>10</v>
      </c>
      <c r="Q22" s="53">
        <f>IF(VLOOKUP(Q$2,行为概览!$D$3:$J$33,7,0)="","",VLOOKUP(Q$2,行为概览!$D$3:$J$33,7,0))</f>
        <v>20</v>
      </c>
      <c r="R22" s="53">
        <f>IF(VLOOKUP(R$2,行为概览!$D$3:$J$33,7,0)="","",VLOOKUP(R$2,行为概览!$D$3:$J$33,7,0))</f>
        <v>6</v>
      </c>
      <c r="S22" s="53">
        <f>IF(VLOOKUP(S$2,行为概览!$D$3:$J$33,7,0)="","",VLOOKUP(S$2,行为概览!$D$3:$J$33,7,0))</f>
        <v>20</v>
      </c>
      <c r="T22" s="53">
        <f>IF(VLOOKUP(T$2,行为概览!$D$3:$J$33,7,0)="","",VLOOKUP(T$2,行为概览!$D$3:$J$33,7,0))</f>
        <v>15</v>
      </c>
      <c r="U22" s="53">
        <f>IF(VLOOKUP(U$2,行为概览!$D$3:$J$33,7,0)="","",VLOOKUP(U$2,行为概览!$D$3:$J$33,7,0))</f>
        <v>15</v>
      </c>
      <c r="V22" s="53">
        <f>IF(VLOOKUP(V$2,行为概览!$D$3:$J$33,7,0)="","",VLOOKUP(V$2,行为概览!$D$3:$J$33,7,0))</f>
        <v>40</v>
      </c>
      <c r="W22" s="53">
        <f>IF(VLOOKUP(W$2,行为概览!$D$3:$J$33,7,0)="","",VLOOKUP(W$2,行为概览!$D$3:$J$33,7,0))</f>
        <v>15</v>
      </c>
      <c r="X22" s="53">
        <f>IF(VLOOKUP(X$2,行为概览!$D$3:$J$33,7,0)="","",VLOOKUP(X$2,行为概览!$D$3:$J$33,7,0))</f>
        <v>30</v>
      </c>
      <c r="Y22" s="53">
        <f>IF(VLOOKUP(Y$2,行为概览!$D$3:$J$33,7,0)="","",VLOOKUP(Y$2,行为概览!$D$3:$J$33,7,0))</f>
        <v>25</v>
      </c>
      <c r="Z22" s="53">
        <f>IF(VLOOKUP(Z$2,行为概览!$D$3:$J$33,7,0)="","",VLOOKUP(Z$2,行为概览!$D$3:$J$33,7,0))</f>
        <v>15</v>
      </c>
      <c r="AA22" s="53">
        <f>IF(VLOOKUP(AA$2,行为概览!$D$3:$J$33,7,0)="","",VLOOKUP(AA$2,行为概览!$D$3:$J$33,7,0))</f>
        <v>15</v>
      </c>
      <c r="AB22" s="53" t="str">
        <f>IF(VLOOKUP(AB$2,行为概览!$D$3:$J$33,7,0)="","",VLOOKUP(AB$2,行为概览!$D$3:$J$33,7,0))</f>
        <v/>
      </c>
      <c r="AC22" s="53" t="str">
        <f>IF(VLOOKUP(AC$2,行为概览!$D$3:$J$33,7,0)="","",VLOOKUP(AC$2,行为概览!$D$3:$J$33,7,0))</f>
        <v/>
      </c>
      <c r="AD22" s="53" t="str">
        <f>IF(VLOOKUP(AD$2,行为概览!$D$3:$J$33,7,0)="","",VLOOKUP(AD$2,行为概览!$D$3:$J$33,7,0))</f>
        <v/>
      </c>
      <c r="AE22" s="68" t="str">
        <f>IF(VLOOKUP(AE$2,行为概览!$D$3:$J$33,7,0)="","",VLOOKUP(AE$2,行为概览!$D$3:$J$33,7,0))</f>
        <v/>
      </c>
      <c r="AF22" s="1">
        <f>IF(C22="","",ROUND(C22*玩法行为规划!B22,2))</f>
        <v>16.670000000000002</v>
      </c>
      <c r="AG22" s="2">
        <f>IF(D22="","",ROUND(D22*玩法行为规划!C22,2))</f>
        <v>6.6</v>
      </c>
      <c r="AH22" s="2">
        <f>IF(E22="","",ROUND(E22*玩法行为规划!D22,2))</f>
        <v>2.5</v>
      </c>
      <c r="AI22" s="2">
        <f>IF(F22="","",ROUND(F22*玩法行为规划!E22,2))</f>
        <v>0</v>
      </c>
      <c r="AJ22" s="2" t="str">
        <f>IF(G22="","",ROUND(G22*玩法行为规划!F22,2))</f>
        <v/>
      </c>
      <c r="AK22" s="2" t="str">
        <f>IF(H22="","",ROUND(H22*玩法行为规划!G22,2))</f>
        <v/>
      </c>
      <c r="AL22" s="2" t="str">
        <f>IF(I22="","",ROUND(I22*玩法行为规划!H22,2))</f>
        <v/>
      </c>
      <c r="AM22" s="2" t="str">
        <f>IF(J22="","",ROUND(J22*玩法行为规划!I22,2))</f>
        <v/>
      </c>
      <c r="AN22" s="2">
        <f>IF(K22="","",ROUND(K22*玩法行为规划!J22,2))</f>
        <v>0</v>
      </c>
      <c r="AO22" s="2">
        <f>IF(L22="","",ROUND(L22*玩法行为规划!K22,2))</f>
        <v>0</v>
      </c>
      <c r="AP22" s="2">
        <f>IF(M22="","",ROUND(M22*玩法行为规划!L22,2))</f>
        <v>0</v>
      </c>
      <c r="AQ22" s="2">
        <f>IF(N22="","",ROUND(N22*玩法行为规划!M22,2))</f>
        <v>12</v>
      </c>
      <c r="AR22" s="2">
        <f>IF(O22="","",ROUND(O22*玩法行为规划!N22,2))</f>
        <v>12.5</v>
      </c>
      <c r="AS22" s="2">
        <f>IF(P22="","",ROUND(P22*玩法行为规划!O22,2))</f>
        <v>0.83</v>
      </c>
      <c r="AT22" s="2">
        <f>IF(Q22="","",ROUND(Q22*玩法行为规划!P22,2))</f>
        <v>52</v>
      </c>
      <c r="AU22" s="2">
        <f>IF(R22="","",ROUND(R22*玩法行为规划!Q22,2))</f>
        <v>0</v>
      </c>
      <c r="AV22" s="2">
        <f>IF(S22="","",ROUND(S22*玩法行为规划!R22,2))</f>
        <v>0</v>
      </c>
      <c r="AW22" s="2">
        <f>IF(T22="","",ROUND(T22*玩法行为规划!S22,2))</f>
        <v>0</v>
      </c>
      <c r="AX22" s="2">
        <f>IF(U22="","",ROUND(U22*玩法行为规划!T22,2))</f>
        <v>0</v>
      </c>
      <c r="AY22" s="2">
        <f>IF(V22="","",ROUND(V22*玩法行为规划!U22,2))</f>
        <v>0</v>
      </c>
      <c r="AZ22" s="2">
        <f>IF(W22="","",ROUND(W22*玩法行为规划!V22,2))</f>
        <v>0</v>
      </c>
      <c r="BA22" s="2">
        <f>IF(X22="","",ROUND(X22*玩法行为规划!W22,2))</f>
        <v>0</v>
      </c>
      <c r="BB22" s="2">
        <f>IF(Y22="","",ROUND(Y22*玩法行为规划!X22,2))</f>
        <v>0</v>
      </c>
      <c r="BC22" s="2">
        <f>IF(Z22="","",ROUND(Z22*玩法行为规划!Y22,2))</f>
        <v>0</v>
      </c>
      <c r="BD22" s="2">
        <f>IF(AA22="","",ROUND(AA22*玩法行为规划!Z22,2))</f>
        <v>0</v>
      </c>
      <c r="BE22" s="2" t="str">
        <f>IF(AB22="","",ROUND(AB22*玩法行为规划!AA22,2))</f>
        <v/>
      </c>
      <c r="BF22" s="2" t="str">
        <f>IF(AC22="","",ROUND(AC22*玩法行为规划!AB22,2))</f>
        <v/>
      </c>
      <c r="BG22" s="2" t="str">
        <f>IF(AD22="","",ROUND(AD22*玩法行为规划!AC22,2))</f>
        <v/>
      </c>
      <c r="BH22" s="3" t="str">
        <f>IF(AE22="","",ROUND(AE22*玩法行为规划!AD22,2))</f>
        <v/>
      </c>
      <c r="BI22" s="7">
        <f t="shared" si="0"/>
        <v>103.1</v>
      </c>
      <c r="BJ22" s="7">
        <f t="shared" si="1"/>
        <v>824800</v>
      </c>
      <c r="BK22" s="10">
        <f t="shared" si="3"/>
        <v>32000</v>
      </c>
      <c r="BL22" s="21">
        <f t="shared" si="5"/>
        <v>392000</v>
      </c>
      <c r="BM22" s="7">
        <f t="shared" si="2"/>
        <v>1</v>
      </c>
      <c r="BN22" s="69">
        <f>INT(BJ22*升级节奏!G22+BK22)</f>
        <v>32000</v>
      </c>
      <c r="BO22" s="7">
        <f t="shared" si="4"/>
        <v>89</v>
      </c>
      <c r="BP22" s="7"/>
      <c r="BQ22" s="7"/>
    </row>
    <row r="23" spans="1:69">
      <c r="A23" s="29">
        <v>21</v>
      </c>
      <c r="B23" s="84">
        <f>升级节奏!C23</f>
        <v>8400</v>
      </c>
      <c r="C23" s="53">
        <f>IF(VLOOKUP(C$2,行为概览!$D$3:$J$33,7,0)="","",VLOOKUP(C$2,行为概览!$D$3:$J$33,7,0))</f>
        <v>50</v>
      </c>
      <c r="D23" s="53">
        <f>IF(VLOOKUP(D$2,行为概览!$D$3:$J$33,7,0)="","",VLOOKUP(D$2,行为概览!$D$3:$J$33,7,0))</f>
        <v>3.3</v>
      </c>
      <c r="E23" s="53">
        <f>IF(VLOOKUP(E$2,行为概览!$D$3:$J$33,7,0)="","",VLOOKUP(E$2,行为概览!$D$3:$J$33,7,0))</f>
        <v>30</v>
      </c>
      <c r="F23" s="53">
        <f>IF(VLOOKUP(F$2,行为概览!$D$3:$J$33,7,0)="","",VLOOKUP(F$2,行为概览!$D$3:$J$33,7,0))</f>
        <v>15</v>
      </c>
      <c r="G23" s="53" t="str">
        <f>IF(VLOOKUP(G$2,行为概览!$D$3:$J$33,7,0)="","",VLOOKUP(G$2,行为概览!$D$3:$J$33,7,0))</f>
        <v/>
      </c>
      <c r="H23" s="53" t="str">
        <f>IF(VLOOKUP(H$2,行为概览!$D$3:$J$33,7,0)="","",VLOOKUP(H$2,行为概览!$D$3:$J$33,7,0))</f>
        <v/>
      </c>
      <c r="I23" s="53" t="str">
        <f>IF(VLOOKUP(I$2,行为概览!$D$3:$J$33,7,0)="","",VLOOKUP(I$2,行为概览!$D$3:$J$33,7,0))</f>
        <v/>
      </c>
      <c r="J23" s="53" t="str">
        <f>IF(VLOOKUP(J$2,行为概览!$D$3:$J$33,7,0)="","",VLOOKUP(J$2,行为概览!$D$3:$J$33,7,0))</f>
        <v/>
      </c>
      <c r="K23" s="53">
        <f>IF(VLOOKUP(K$2,行为概览!$D$3:$J$33,7,0)="","",VLOOKUP(K$2,行为概览!$D$3:$J$33,7,0))</f>
        <v>20</v>
      </c>
      <c r="L23" s="53">
        <f>IF(VLOOKUP(L$2,行为概览!$D$3:$J$33,7,0)="","",VLOOKUP(L$2,行为概览!$D$3:$J$33,7,0))</f>
        <v>20</v>
      </c>
      <c r="M23" s="53">
        <f>IF(VLOOKUP(M$2,行为概览!$D$3:$J$33,7,0)="","",VLOOKUP(M$2,行为概览!$D$3:$J$33,7,0))</f>
        <v>40</v>
      </c>
      <c r="N23" s="53">
        <f>IF(VLOOKUP(N$2,行为概览!$D$3:$J$33,7,0)="","",VLOOKUP(N$2,行为概览!$D$3:$J$33,7,0))</f>
        <v>1</v>
      </c>
      <c r="O23" s="53">
        <f>IF(VLOOKUP(O$2,行为概览!$D$3:$J$33,7,0)="","",VLOOKUP(O$2,行为概览!$D$3:$J$33,7,0))</f>
        <v>150</v>
      </c>
      <c r="P23" s="53">
        <f>IF(VLOOKUP(P$2,行为概览!$D$3:$J$33,7,0)="","",VLOOKUP(P$2,行为概览!$D$3:$J$33,7,0))</f>
        <v>10</v>
      </c>
      <c r="Q23" s="53">
        <f>IF(VLOOKUP(Q$2,行为概览!$D$3:$J$33,7,0)="","",VLOOKUP(Q$2,行为概览!$D$3:$J$33,7,0))</f>
        <v>20</v>
      </c>
      <c r="R23" s="53">
        <f>IF(VLOOKUP(R$2,行为概览!$D$3:$J$33,7,0)="","",VLOOKUP(R$2,行为概览!$D$3:$J$33,7,0))</f>
        <v>6</v>
      </c>
      <c r="S23" s="53">
        <f>IF(VLOOKUP(S$2,行为概览!$D$3:$J$33,7,0)="","",VLOOKUP(S$2,行为概览!$D$3:$J$33,7,0))</f>
        <v>20</v>
      </c>
      <c r="T23" s="53">
        <f>IF(VLOOKUP(T$2,行为概览!$D$3:$J$33,7,0)="","",VLOOKUP(T$2,行为概览!$D$3:$J$33,7,0))</f>
        <v>15</v>
      </c>
      <c r="U23" s="53">
        <f>IF(VLOOKUP(U$2,行为概览!$D$3:$J$33,7,0)="","",VLOOKUP(U$2,行为概览!$D$3:$J$33,7,0))</f>
        <v>15</v>
      </c>
      <c r="V23" s="53">
        <f>IF(VLOOKUP(V$2,行为概览!$D$3:$J$33,7,0)="","",VLOOKUP(V$2,行为概览!$D$3:$J$33,7,0))</f>
        <v>40</v>
      </c>
      <c r="W23" s="53">
        <f>IF(VLOOKUP(W$2,行为概览!$D$3:$J$33,7,0)="","",VLOOKUP(W$2,行为概览!$D$3:$J$33,7,0))</f>
        <v>15</v>
      </c>
      <c r="X23" s="53">
        <f>IF(VLOOKUP(X$2,行为概览!$D$3:$J$33,7,0)="","",VLOOKUP(X$2,行为概览!$D$3:$J$33,7,0))</f>
        <v>30</v>
      </c>
      <c r="Y23" s="53">
        <f>IF(VLOOKUP(Y$2,行为概览!$D$3:$J$33,7,0)="","",VLOOKUP(Y$2,行为概览!$D$3:$J$33,7,0))</f>
        <v>25</v>
      </c>
      <c r="Z23" s="53">
        <f>IF(VLOOKUP(Z$2,行为概览!$D$3:$J$33,7,0)="","",VLOOKUP(Z$2,行为概览!$D$3:$J$33,7,0))</f>
        <v>15</v>
      </c>
      <c r="AA23" s="53">
        <f>IF(VLOOKUP(AA$2,行为概览!$D$3:$J$33,7,0)="","",VLOOKUP(AA$2,行为概览!$D$3:$J$33,7,0))</f>
        <v>15</v>
      </c>
      <c r="AB23" s="53" t="str">
        <f>IF(VLOOKUP(AB$2,行为概览!$D$3:$J$33,7,0)="","",VLOOKUP(AB$2,行为概览!$D$3:$J$33,7,0))</f>
        <v/>
      </c>
      <c r="AC23" s="53" t="str">
        <f>IF(VLOOKUP(AC$2,行为概览!$D$3:$J$33,7,0)="","",VLOOKUP(AC$2,行为概览!$D$3:$J$33,7,0))</f>
        <v/>
      </c>
      <c r="AD23" s="53" t="str">
        <f>IF(VLOOKUP(AD$2,行为概览!$D$3:$J$33,7,0)="","",VLOOKUP(AD$2,行为概览!$D$3:$J$33,7,0))</f>
        <v/>
      </c>
      <c r="AE23" s="68" t="str">
        <f>IF(VLOOKUP(AE$2,行为概览!$D$3:$J$33,7,0)="","",VLOOKUP(AE$2,行为概览!$D$3:$J$33,7,0))</f>
        <v/>
      </c>
      <c r="AF23" s="1">
        <f>IF(C23="","",ROUND(C23*玩法行为规划!B23,2))</f>
        <v>16.670000000000002</v>
      </c>
      <c r="AG23" s="2">
        <f>IF(D23="","",ROUND(D23*玩法行为规划!C23,2))</f>
        <v>6.6</v>
      </c>
      <c r="AH23" s="2">
        <f>IF(E23="","",ROUND(E23*玩法行为规划!D23,2))</f>
        <v>2.5</v>
      </c>
      <c r="AI23" s="2">
        <f>IF(F23="","",ROUND(F23*玩法行为规划!E23,2))</f>
        <v>0</v>
      </c>
      <c r="AJ23" s="2" t="str">
        <f>IF(G23="","",ROUND(G23*玩法行为规划!F23,2))</f>
        <v/>
      </c>
      <c r="AK23" s="2" t="str">
        <f>IF(H23="","",ROUND(H23*玩法行为规划!G23,2))</f>
        <v/>
      </c>
      <c r="AL23" s="2" t="str">
        <f>IF(I23="","",ROUND(I23*玩法行为规划!H23,2))</f>
        <v/>
      </c>
      <c r="AM23" s="2" t="str">
        <f>IF(J23="","",ROUND(J23*玩法行为规划!I23,2))</f>
        <v/>
      </c>
      <c r="AN23" s="2">
        <f>IF(K23="","",ROUND(K23*玩法行为规划!J23,2))</f>
        <v>0</v>
      </c>
      <c r="AO23" s="2">
        <f>IF(L23="","",ROUND(L23*玩法行为规划!K23,2))</f>
        <v>0</v>
      </c>
      <c r="AP23" s="2">
        <f>IF(M23="","",ROUND(M23*玩法行为规划!L23,2))</f>
        <v>0</v>
      </c>
      <c r="AQ23" s="2">
        <f>IF(N23="","",ROUND(N23*玩法行为规划!M23,2))</f>
        <v>12</v>
      </c>
      <c r="AR23" s="2">
        <f>IF(O23="","",ROUND(O23*玩法行为规划!N23,2))</f>
        <v>12.5</v>
      </c>
      <c r="AS23" s="2">
        <f>IF(P23="","",ROUND(P23*玩法行为规划!O23,2))</f>
        <v>0.83</v>
      </c>
      <c r="AT23" s="2">
        <f>IF(Q23="","",ROUND(Q23*玩法行为规划!P23,2))</f>
        <v>52</v>
      </c>
      <c r="AU23" s="2">
        <f>IF(R23="","",ROUND(R23*玩法行为规划!Q23,2))</f>
        <v>0</v>
      </c>
      <c r="AV23" s="2">
        <f>IF(S23="","",ROUND(S23*玩法行为规划!R23,2))</f>
        <v>0</v>
      </c>
      <c r="AW23" s="2">
        <f>IF(T23="","",ROUND(T23*玩法行为规划!S23,2))</f>
        <v>0</v>
      </c>
      <c r="AX23" s="2">
        <f>IF(U23="","",ROUND(U23*玩法行为规划!T23,2))</f>
        <v>0</v>
      </c>
      <c r="AY23" s="2">
        <f>IF(V23="","",ROUND(V23*玩法行为规划!U23,2))</f>
        <v>0</v>
      </c>
      <c r="AZ23" s="2">
        <f>IF(W23="","",ROUND(W23*玩法行为规划!V23,2))</f>
        <v>0</v>
      </c>
      <c r="BA23" s="2">
        <f>IF(X23="","",ROUND(X23*玩法行为规划!W23,2))</f>
        <v>0</v>
      </c>
      <c r="BB23" s="2">
        <f>IF(Y23="","",ROUND(Y23*玩法行为规划!X23,2))</f>
        <v>0</v>
      </c>
      <c r="BC23" s="2">
        <f>IF(Z23="","",ROUND(Z23*玩法行为规划!Y23,2))</f>
        <v>0</v>
      </c>
      <c r="BD23" s="2">
        <f>IF(AA23="","",ROUND(AA23*玩法行为规划!Z23,2))</f>
        <v>0</v>
      </c>
      <c r="BE23" s="2" t="str">
        <f>IF(AB23="","",ROUND(AB23*玩法行为规划!AA23,2))</f>
        <v/>
      </c>
      <c r="BF23" s="2" t="str">
        <f>IF(AC23="","",ROUND(AC23*玩法行为规划!AB23,2))</f>
        <v/>
      </c>
      <c r="BG23" s="2" t="str">
        <f>IF(AD23="","",ROUND(AD23*玩法行为规划!AC23,2))</f>
        <v/>
      </c>
      <c r="BH23" s="3" t="str">
        <f>IF(AE23="","",ROUND(AE23*玩法行为规划!AD23,2))</f>
        <v/>
      </c>
      <c r="BI23" s="7">
        <f t="shared" si="0"/>
        <v>103.1</v>
      </c>
      <c r="BJ23" s="7">
        <f t="shared" si="1"/>
        <v>866040</v>
      </c>
      <c r="BK23" s="10">
        <f t="shared" si="3"/>
        <v>33600</v>
      </c>
      <c r="BL23" s="21" t="str">
        <f t="shared" si="5"/>
        <v/>
      </c>
      <c r="BM23" s="7">
        <f t="shared" si="2"/>
        <v>1</v>
      </c>
      <c r="BN23" s="69">
        <f>INT(BJ23*升级节奏!G23+BK23)</f>
        <v>33600</v>
      </c>
      <c r="BO23" s="7">
        <f t="shared" si="4"/>
        <v>93</v>
      </c>
      <c r="BP23" s="7"/>
      <c r="BQ23" s="7"/>
    </row>
    <row r="24" spans="1:69">
      <c r="A24" s="29">
        <v>22</v>
      </c>
      <c r="B24" s="84">
        <f>升级节奏!C24</f>
        <v>8800</v>
      </c>
      <c r="C24" s="53">
        <f>IF(VLOOKUP(C$2,行为概览!$D$3:$J$33,7,0)="","",VLOOKUP(C$2,行为概览!$D$3:$J$33,7,0))</f>
        <v>50</v>
      </c>
      <c r="D24" s="53">
        <f>IF(VLOOKUP(D$2,行为概览!$D$3:$J$33,7,0)="","",VLOOKUP(D$2,行为概览!$D$3:$J$33,7,0))</f>
        <v>3.3</v>
      </c>
      <c r="E24" s="53">
        <f>IF(VLOOKUP(E$2,行为概览!$D$3:$J$33,7,0)="","",VLOOKUP(E$2,行为概览!$D$3:$J$33,7,0))</f>
        <v>30</v>
      </c>
      <c r="F24" s="53">
        <f>IF(VLOOKUP(F$2,行为概览!$D$3:$J$33,7,0)="","",VLOOKUP(F$2,行为概览!$D$3:$J$33,7,0))</f>
        <v>15</v>
      </c>
      <c r="G24" s="53" t="str">
        <f>IF(VLOOKUP(G$2,行为概览!$D$3:$J$33,7,0)="","",VLOOKUP(G$2,行为概览!$D$3:$J$33,7,0))</f>
        <v/>
      </c>
      <c r="H24" s="53" t="str">
        <f>IF(VLOOKUP(H$2,行为概览!$D$3:$J$33,7,0)="","",VLOOKUP(H$2,行为概览!$D$3:$J$33,7,0))</f>
        <v/>
      </c>
      <c r="I24" s="53" t="str">
        <f>IF(VLOOKUP(I$2,行为概览!$D$3:$J$33,7,0)="","",VLOOKUP(I$2,行为概览!$D$3:$J$33,7,0))</f>
        <v/>
      </c>
      <c r="J24" s="53" t="str">
        <f>IF(VLOOKUP(J$2,行为概览!$D$3:$J$33,7,0)="","",VLOOKUP(J$2,行为概览!$D$3:$J$33,7,0))</f>
        <v/>
      </c>
      <c r="K24" s="53">
        <f>IF(VLOOKUP(K$2,行为概览!$D$3:$J$33,7,0)="","",VLOOKUP(K$2,行为概览!$D$3:$J$33,7,0))</f>
        <v>20</v>
      </c>
      <c r="L24" s="53">
        <f>IF(VLOOKUP(L$2,行为概览!$D$3:$J$33,7,0)="","",VLOOKUP(L$2,行为概览!$D$3:$J$33,7,0))</f>
        <v>20</v>
      </c>
      <c r="M24" s="53">
        <f>IF(VLOOKUP(M$2,行为概览!$D$3:$J$33,7,0)="","",VLOOKUP(M$2,行为概览!$D$3:$J$33,7,0))</f>
        <v>40</v>
      </c>
      <c r="N24" s="53">
        <f>IF(VLOOKUP(N$2,行为概览!$D$3:$J$33,7,0)="","",VLOOKUP(N$2,行为概览!$D$3:$J$33,7,0))</f>
        <v>1</v>
      </c>
      <c r="O24" s="53">
        <f>IF(VLOOKUP(O$2,行为概览!$D$3:$J$33,7,0)="","",VLOOKUP(O$2,行为概览!$D$3:$J$33,7,0))</f>
        <v>150</v>
      </c>
      <c r="P24" s="53">
        <f>IF(VLOOKUP(P$2,行为概览!$D$3:$J$33,7,0)="","",VLOOKUP(P$2,行为概览!$D$3:$J$33,7,0))</f>
        <v>10</v>
      </c>
      <c r="Q24" s="53">
        <f>IF(VLOOKUP(Q$2,行为概览!$D$3:$J$33,7,0)="","",VLOOKUP(Q$2,行为概览!$D$3:$J$33,7,0))</f>
        <v>20</v>
      </c>
      <c r="R24" s="53">
        <f>IF(VLOOKUP(R$2,行为概览!$D$3:$J$33,7,0)="","",VLOOKUP(R$2,行为概览!$D$3:$J$33,7,0))</f>
        <v>6</v>
      </c>
      <c r="S24" s="53">
        <f>IF(VLOOKUP(S$2,行为概览!$D$3:$J$33,7,0)="","",VLOOKUP(S$2,行为概览!$D$3:$J$33,7,0))</f>
        <v>20</v>
      </c>
      <c r="T24" s="53">
        <f>IF(VLOOKUP(T$2,行为概览!$D$3:$J$33,7,0)="","",VLOOKUP(T$2,行为概览!$D$3:$J$33,7,0))</f>
        <v>15</v>
      </c>
      <c r="U24" s="53">
        <f>IF(VLOOKUP(U$2,行为概览!$D$3:$J$33,7,0)="","",VLOOKUP(U$2,行为概览!$D$3:$J$33,7,0))</f>
        <v>15</v>
      </c>
      <c r="V24" s="53">
        <f>IF(VLOOKUP(V$2,行为概览!$D$3:$J$33,7,0)="","",VLOOKUP(V$2,行为概览!$D$3:$J$33,7,0))</f>
        <v>40</v>
      </c>
      <c r="W24" s="53">
        <f>IF(VLOOKUP(W$2,行为概览!$D$3:$J$33,7,0)="","",VLOOKUP(W$2,行为概览!$D$3:$J$33,7,0))</f>
        <v>15</v>
      </c>
      <c r="X24" s="53">
        <f>IF(VLOOKUP(X$2,行为概览!$D$3:$J$33,7,0)="","",VLOOKUP(X$2,行为概览!$D$3:$J$33,7,0))</f>
        <v>30</v>
      </c>
      <c r="Y24" s="53">
        <f>IF(VLOOKUP(Y$2,行为概览!$D$3:$J$33,7,0)="","",VLOOKUP(Y$2,行为概览!$D$3:$J$33,7,0))</f>
        <v>25</v>
      </c>
      <c r="Z24" s="53">
        <f>IF(VLOOKUP(Z$2,行为概览!$D$3:$J$33,7,0)="","",VLOOKUP(Z$2,行为概览!$D$3:$J$33,7,0))</f>
        <v>15</v>
      </c>
      <c r="AA24" s="53">
        <f>IF(VLOOKUP(AA$2,行为概览!$D$3:$J$33,7,0)="","",VLOOKUP(AA$2,行为概览!$D$3:$J$33,7,0))</f>
        <v>15</v>
      </c>
      <c r="AB24" s="53" t="str">
        <f>IF(VLOOKUP(AB$2,行为概览!$D$3:$J$33,7,0)="","",VLOOKUP(AB$2,行为概览!$D$3:$J$33,7,0))</f>
        <v/>
      </c>
      <c r="AC24" s="53" t="str">
        <f>IF(VLOOKUP(AC$2,行为概览!$D$3:$J$33,7,0)="","",VLOOKUP(AC$2,行为概览!$D$3:$J$33,7,0))</f>
        <v/>
      </c>
      <c r="AD24" s="53" t="str">
        <f>IF(VLOOKUP(AD$2,行为概览!$D$3:$J$33,7,0)="","",VLOOKUP(AD$2,行为概览!$D$3:$J$33,7,0))</f>
        <v/>
      </c>
      <c r="AE24" s="68" t="str">
        <f>IF(VLOOKUP(AE$2,行为概览!$D$3:$J$33,7,0)="","",VLOOKUP(AE$2,行为概览!$D$3:$J$33,7,0))</f>
        <v/>
      </c>
      <c r="AF24" s="1">
        <f>IF(C24="","",ROUND(C24*玩法行为规划!B24,2))</f>
        <v>16.670000000000002</v>
      </c>
      <c r="AG24" s="2">
        <f>IF(D24="","",ROUND(D24*玩法行为规划!C24,2))</f>
        <v>6.6</v>
      </c>
      <c r="AH24" s="2">
        <f>IF(E24="","",ROUND(E24*玩法行为规划!D24,2))</f>
        <v>2.5</v>
      </c>
      <c r="AI24" s="2">
        <f>IF(F24="","",ROUND(F24*玩法行为规划!E24,2))</f>
        <v>0</v>
      </c>
      <c r="AJ24" s="2" t="str">
        <f>IF(G24="","",ROUND(G24*玩法行为规划!F24,2))</f>
        <v/>
      </c>
      <c r="AK24" s="2" t="str">
        <f>IF(H24="","",ROUND(H24*玩法行为规划!G24,2))</f>
        <v/>
      </c>
      <c r="AL24" s="2" t="str">
        <f>IF(I24="","",ROUND(I24*玩法行为规划!H24,2))</f>
        <v/>
      </c>
      <c r="AM24" s="2" t="str">
        <f>IF(J24="","",ROUND(J24*玩法行为规划!I24,2))</f>
        <v/>
      </c>
      <c r="AN24" s="2">
        <f>IF(K24="","",ROUND(K24*玩法行为规划!J24,2))</f>
        <v>0</v>
      </c>
      <c r="AO24" s="2">
        <f>IF(L24="","",ROUND(L24*玩法行为规划!K24,2))</f>
        <v>0</v>
      </c>
      <c r="AP24" s="2">
        <f>IF(M24="","",ROUND(M24*玩法行为规划!L24,2))</f>
        <v>0</v>
      </c>
      <c r="AQ24" s="2">
        <f>IF(N24="","",ROUND(N24*玩法行为规划!M24,2))</f>
        <v>12</v>
      </c>
      <c r="AR24" s="2">
        <f>IF(O24="","",ROUND(O24*玩法行为规划!N24,2))</f>
        <v>12.5</v>
      </c>
      <c r="AS24" s="2">
        <f>IF(P24="","",ROUND(P24*玩法行为规划!O24,2))</f>
        <v>0.83</v>
      </c>
      <c r="AT24" s="2">
        <f>IF(Q24="","",ROUND(Q24*玩法行为规划!P24,2))</f>
        <v>52</v>
      </c>
      <c r="AU24" s="2">
        <f>IF(R24="","",ROUND(R24*玩法行为规划!Q24,2))</f>
        <v>0</v>
      </c>
      <c r="AV24" s="2">
        <f>IF(S24="","",ROUND(S24*玩法行为规划!R24,2))</f>
        <v>0</v>
      </c>
      <c r="AW24" s="2">
        <f>IF(T24="","",ROUND(T24*玩法行为规划!S24,2))</f>
        <v>0</v>
      </c>
      <c r="AX24" s="2">
        <f>IF(U24="","",ROUND(U24*玩法行为规划!T24,2))</f>
        <v>0</v>
      </c>
      <c r="AY24" s="2">
        <f>IF(V24="","",ROUND(V24*玩法行为规划!U24,2))</f>
        <v>0</v>
      </c>
      <c r="AZ24" s="2">
        <f>IF(W24="","",ROUND(W24*玩法行为规划!V24,2))</f>
        <v>0</v>
      </c>
      <c r="BA24" s="2">
        <f>IF(X24="","",ROUND(X24*玩法行为规划!W24,2))</f>
        <v>0</v>
      </c>
      <c r="BB24" s="2">
        <f>IF(Y24="","",ROUND(Y24*玩法行为规划!X24,2))</f>
        <v>0</v>
      </c>
      <c r="BC24" s="2">
        <f>IF(Z24="","",ROUND(Z24*玩法行为规划!Y24,2))</f>
        <v>0</v>
      </c>
      <c r="BD24" s="2">
        <f>IF(AA24="","",ROUND(AA24*玩法行为规划!Z24,2))</f>
        <v>0</v>
      </c>
      <c r="BE24" s="2" t="str">
        <f>IF(AB24="","",ROUND(AB24*玩法行为规划!AA24,2))</f>
        <v/>
      </c>
      <c r="BF24" s="2" t="str">
        <f>IF(AC24="","",ROUND(AC24*玩法行为规划!AB24,2))</f>
        <v/>
      </c>
      <c r="BG24" s="2" t="str">
        <f>IF(AD24="","",ROUND(AD24*玩法行为规划!AC24,2))</f>
        <v/>
      </c>
      <c r="BH24" s="3" t="str">
        <f>IF(AE24="","",ROUND(AE24*玩法行为规划!AD24,2))</f>
        <v/>
      </c>
      <c r="BI24" s="7">
        <f t="shared" si="0"/>
        <v>103.1</v>
      </c>
      <c r="BJ24" s="7">
        <f t="shared" si="1"/>
        <v>907280</v>
      </c>
      <c r="BK24" s="10">
        <f t="shared" si="3"/>
        <v>35200</v>
      </c>
      <c r="BL24" s="21" t="str">
        <f t="shared" si="5"/>
        <v/>
      </c>
      <c r="BM24" s="7">
        <f t="shared" si="2"/>
        <v>1</v>
      </c>
      <c r="BN24" s="69">
        <f>INT(BJ24*升级节奏!G24+BK24)</f>
        <v>35200</v>
      </c>
      <c r="BO24" s="7">
        <f t="shared" si="4"/>
        <v>98</v>
      </c>
      <c r="BP24" s="7"/>
      <c r="BQ24" s="7"/>
    </row>
    <row r="25" spans="1:69">
      <c r="A25" s="29">
        <v>23</v>
      </c>
      <c r="B25" s="84">
        <f>升级节奏!C25</f>
        <v>9200</v>
      </c>
      <c r="C25" s="53">
        <f>IF(VLOOKUP(C$2,行为概览!$D$3:$J$33,7,0)="","",VLOOKUP(C$2,行为概览!$D$3:$J$33,7,0))</f>
        <v>50</v>
      </c>
      <c r="D25" s="53">
        <f>IF(VLOOKUP(D$2,行为概览!$D$3:$J$33,7,0)="","",VLOOKUP(D$2,行为概览!$D$3:$J$33,7,0))</f>
        <v>3.3</v>
      </c>
      <c r="E25" s="53">
        <f>IF(VLOOKUP(E$2,行为概览!$D$3:$J$33,7,0)="","",VLOOKUP(E$2,行为概览!$D$3:$J$33,7,0))</f>
        <v>30</v>
      </c>
      <c r="F25" s="53">
        <f>IF(VLOOKUP(F$2,行为概览!$D$3:$J$33,7,0)="","",VLOOKUP(F$2,行为概览!$D$3:$J$33,7,0))</f>
        <v>15</v>
      </c>
      <c r="G25" s="53" t="str">
        <f>IF(VLOOKUP(G$2,行为概览!$D$3:$J$33,7,0)="","",VLOOKUP(G$2,行为概览!$D$3:$J$33,7,0))</f>
        <v/>
      </c>
      <c r="H25" s="53" t="str">
        <f>IF(VLOOKUP(H$2,行为概览!$D$3:$J$33,7,0)="","",VLOOKUP(H$2,行为概览!$D$3:$J$33,7,0))</f>
        <v/>
      </c>
      <c r="I25" s="53" t="str">
        <f>IF(VLOOKUP(I$2,行为概览!$D$3:$J$33,7,0)="","",VLOOKUP(I$2,行为概览!$D$3:$J$33,7,0))</f>
        <v/>
      </c>
      <c r="J25" s="53" t="str">
        <f>IF(VLOOKUP(J$2,行为概览!$D$3:$J$33,7,0)="","",VLOOKUP(J$2,行为概览!$D$3:$J$33,7,0))</f>
        <v/>
      </c>
      <c r="K25" s="53">
        <f>IF(VLOOKUP(K$2,行为概览!$D$3:$J$33,7,0)="","",VLOOKUP(K$2,行为概览!$D$3:$J$33,7,0))</f>
        <v>20</v>
      </c>
      <c r="L25" s="53">
        <f>IF(VLOOKUP(L$2,行为概览!$D$3:$J$33,7,0)="","",VLOOKUP(L$2,行为概览!$D$3:$J$33,7,0))</f>
        <v>20</v>
      </c>
      <c r="M25" s="53">
        <f>IF(VLOOKUP(M$2,行为概览!$D$3:$J$33,7,0)="","",VLOOKUP(M$2,行为概览!$D$3:$J$33,7,0))</f>
        <v>40</v>
      </c>
      <c r="N25" s="53">
        <f>IF(VLOOKUP(N$2,行为概览!$D$3:$J$33,7,0)="","",VLOOKUP(N$2,行为概览!$D$3:$J$33,7,0))</f>
        <v>1</v>
      </c>
      <c r="O25" s="53">
        <f>IF(VLOOKUP(O$2,行为概览!$D$3:$J$33,7,0)="","",VLOOKUP(O$2,行为概览!$D$3:$J$33,7,0))</f>
        <v>150</v>
      </c>
      <c r="P25" s="53">
        <f>IF(VLOOKUP(P$2,行为概览!$D$3:$J$33,7,0)="","",VLOOKUP(P$2,行为概览!$D$3:$J$33,7,0))</f>
        <v>10</v>
      </c>
      <c r="Q25" s="53">
        <f>IF(VLOOKUP(Q$2,行为概览!$D$3:$J$33,7,0)="","",VLOOKUP(Q$2,行为概览!$D$3:$J$33,7,0))</f>
        <v>20</v>
      </c>
      <c r="R25" s="53">
        <f>IF(VLOOKUP(R$2,行为概览!$D$3:$J$33,7,0)="","",VLOOKUP(R$2,行为概览!$D$3:$J$33,7,0))</f>
        <v>6</v>
      </c>
      <c r="S25" s="53">
        <f>IF(VLOOKUP(S$2,行为概览!$D$3:$J$33,7,0)="","",VLOOKUP(S$2,行为概览!$D$3:$J$33,7,0))</f>
        <v>20</v>
      </c>
      <c r="T25" s="53">
        <f>IF(VLOOKUP(T$2,行为概览!$D$3:$J$33,7,0)="","",VLOOKUP(T$2,行为概览!$D$3:$J$33,7,0))</f>
        <v>15</v>
      </c>
      <c r="U25" s="53">
        <f>IF(VLOOKUP(U$2,行为概览!$D$3:$J$33,7,0)="","",VLOOKUP(U$2,行为概览!$D$3:$J$33,7,0))</f>
        <v>15</v>
      </c>
      <c r="V25" s="53">
        <f>IF(VLOOKUP(V$2,行为概览!$D$3:$J$33,7,0)="","",VLOOKUP(V$2,行为概览!$D$3:$J$33,7,0))</f>
        <v>40</v>
      </c>
      <c r="W25" s="53">
        <f>IF(VLOOKUP(W$2,行为概览!$D$3:$J$33,7,0)="","",VLOOKUP(W$2,行为概览!$D$3:$J$33,7,0))</f>
        <v>15</v>
      </c>
      <c r="X25" s="53">
        <f>IF(VLOOKUP(X$2,行为概览!$D$3:$J$33,7,0)="","",VLOOKUP(X$2,行为概览!$D$3:$J$33,7,0))</f>
        <v>30</v>
      </c>
      <c r="Y25" s="53">
        <f>IF(VLOOKUP(Y$2,行为概览!$D$3:$J$33,7,0)="","",VLOOKUP(Y$2,行为概览!$D$3:$J$33,7,0))</f>
        <v>25</v>
      </c>
      <c r="Z25" s="53">
        <f>IF(VLOOKUP(Z$2,行为概览!$D$3:$J$33,7,0)="","",VLOOKUP(Z$2,行为概览!$D$3:$J$33,7,0))</f>
        <v>15</v>
      </c>
      <c r="AA25" s="53">
        <f>IF(VLOOKUP(AA$2,行为概览!$D$3:$J$33,7,0)="","",VLOOKUP(AA$2,行为概览!$D$3:$J$33,7,0))</f>
        <v>15</v>
      </c>
      <c r="AB25" s="53" t="str">
        <f>IF(VLOOKUP(AB$2,行为概览!$D$3:$J$33,7,0)="","",VLOOKUP(AB$2,行为概览!$D$3:$J$33,7,0))</f>
        <v/>
      </c>
      <c r="AC25" s="53" t="str">
        <f>IF(VLOOKUP(AC$2,行为概览!$D$3:$J$33,7,0)="","",VLOOKUP(AC$2,行为概览!$D$3:$J$33,7,0))</f>
        <v/>
      </c>
      <c r="AD25" s="53" t="str">
        <f>IF(VLOOKUP(AD$2,行为概览!$D$3:$J$33,7,0)="","",VLOOKUP(AD$2,行为概览!$D$3:$J$33,7,0))</f>
        <v/>
      </c>
      <c r="AE25" s="68" t="str">
        <f>IF(VLOOKUP(AE$2,行为概览!$D$3:$J$33,7,0)="","",VLOOKUP(AE$2,行为概览!$D$3:$J$33,7,0))</f>
        <v/>
      </c>
      <c r="AF25" s="1">
        <f>IF(C25="","",ROUND(C25*玩法行为规划!B25,2))</f>
        <v>16.670000000000002</v>
      </c>
      <c r="AG25" s="2">
        <f>IF(D25="","",ROUND(D25*玩法行为规划!C25,2))</f>
        <v>6.6</v>
      </c>
      <c r="AH25" s="2">
        <f>IF(E25="","",ROUND(E25*玩法行为规划!D25,2))</f>
        <v>2.5</v>
      </c>
      <c r="AI25" s="2">
        <f>IF(F25="","",ROUND(F25*玩法行为规划!E25,2))</f>
        <v>0</v>
      </c>
      <c r="AJ25" s="2" t="str">
        <f>IF(G25="","",ROUND(G25*玩法行为规划!F25,2))</f>
        <v/>
      </c>
      <c r="AK25" s="2" t="str">
        <f>IF(H25="","",ROUND(H25*玩法行为规划!G25,2))</f>
        <v/>
      </c>
      <c r="AL25" s="2" t="str">
        <f>IF(I25="","",ROUND(I25*玩法行为规划!H25,2))</f>
        <v/>
      </c>
      <c r="AM25" s="2" t="str">
        <f>IF(J25="","",ROUND(J25*玩法行为规划!I25,2))</f>
        <v/>
      </c>
      <c r="AN25" s="2">
        <f>IF(K25="","",ROUND(K25*玩法行为规划!J25,2))</f>
        <v>0</v>
      </c>
      <c r="AO25" s="2">
        <f>IF(L25="","",ROUND(L25*玩法行为规划!K25,2))</f>
        <v>0</v>
      </c>
      <c r="AP25" s="2">
        <f>IF(M25="","",ROUND(M25*玩法行为规划!L25,2))</f>
        <v>0</v>
      </c>
      <c r="AQ25" s="2">
        <f>IF(N25="","",ROUND(N25*玩法行为规划!M25,2))</f>
        <v>12</v>
      </c>
      <c r="AR25" s="2">
        <f>IF(O25="","",ROUND(O25*玩法行为规划!N25,2))</f>
        <v>12.5</v>
      </c>
      <c r="AS25" s="2">
        <f>IF(P25="","",ROUND(P25*玩法行为规划!O25,2))</f>
        <v>0.83</v>
      </c>
      <c r="AT25" s="2">
        <f>IF(Q25="","",ROUND(Q25*玩法行为规划!P25,2))</f>
        <v>52</v>
      </c>
      <c r="AU25" s="2">
        <f>IF(R25="","",ROUND(R25*玩法行为规划!Q25,2))</f>
        <v>0</v>
      </c>
      <c r="AV25" s="2">
        <f>IF(S25="","",ROUND(S25*玩法行为规划!R25,2))</f>
        <v>0</v>
      </c>
      <c r="AW25" s="2">
        <f>IF(T25="","",ROUND(T25*玩法行为规划!S25,2))</f>
        <v>0</v>
      </c>
      <c r="AX25" s="2">
        <f>IF(U25="","",ROUND(U25*玩法行为规划!T25,2))</f>
        <v>0</v>
      </c>
      <c r="AY25" s="2">
        <f>IF(V25="","",ROUND(V25*玩法行为规划!U25,2))</f>
        <v>0</v>
      </c>
      <c r="AZ25" s="2">
        <f>IF(W25="","",ROUND(W25*玩法行为规划!V25,2))</f>
        <v>0</v>
      </c>
      <c r="BA25" s="2">
        <f>IF(X25="","",ROUND(X25*玩法行为规划!W25,2))</f>
        <v>0</v>
      </c>
      <c r="BB25" s="2">
        <f>IF(Y25="","",ROUND(Y25*玩法行为规划!X25,2))</f>
        <v>0</v>
      </c>
      <c r="BC25" s="2">
        <f>IF(Z25="","",ROUND(Z25*玩法行为规划!Y25,2))</f>
        <v>0</v>
      </c>
      <c r="BD25" s="2">
        <f>IF(AA25="","",ROUND(AA25*玩法行为规划!Z25,2))</f>
        <v>0</v>
      </c>
      <c r="BE25" s="2" t="str">
        <f>IF(AB25="","",ROUND(AB25*玩法行为规划!AA25,2))</f>
        <v/>
      </c>
      <c r="BF25" s="2" t="str">
        <f>IF(AC25="","",ROUND(AC25*玩法行为规划!AB25,2))</f>
        <v/>
      </c>
      <c r="BG25" s="2" t="str">
        <f>IF(AD25="","",ROUND(AD25*玩法行为规划!AC25,2))</f>
        <v/>
      </c>
      <c r="BH25" s="3" t="str">
        <f>IF(AE25="","",ROUND(AE25*玩法行为规划!AD25,2))</f>
        <v/>
      </c>
      <c r="BI25" s="7">
        <f t="shared" si="0"/>
        <v>103.1</v>
      </c>
      <c r="BJ25" s="7">
        <f t="shared" si="1"/>
        <v>948520</v>
      </c>
      <c r="BK25" s="10">
        <f t="shared" si="3"/>
        <v>36800</v>
      </c>
      <c r="BL25" s="21" t="str">
        <f t="shared" si="5"/>
        <v/>
      </c>
      <c r="BM25" s="7">
        <f t="shared" si="2"/>
        <v>1</v>
      </c>
      <c r="BN25" s="69">
        <f>INT(BJ25*升级节奏!G25+BK25)</f>
        <v>36800</v>
      </c>
      <c r="BO25" s="7">
        <f t="shared" si="4"/>
        <v>102</v>
      </c>
      <c r="BP25" s="7"/>
      <c r="BQ25" s="7"/>
    </row>
    <row r="26" spans="1:69">
      <c r="A26" s="29">
        <v>24</v>
      </c>
      <c r="B26" s="84">
        <f>升级节奏!C26</f>
        <v>9600</v>
      </c>
      <c r="C26" s="53">
        <f>IF(VLOOKUP(C$2,行为概览!$D$3:$J$33,7,0)="","",VLOOKUP(C$2,行为概览!$D$3:$J$33,7,0))</f>
        <v>50</v>
      </c>
      <c r="D26" s="53">
        <f>IF(VLOOKUP(D$2,行为概览!$D$3:$J$33,7,0)="","",VLOOKUP(D$2,行为概览!$D$3:$J$33,7,0))</f>
        <v>3.3</v>
      </c>
      <c r="E26" s="53">
        <f>IF(VLOOKUP(E$2,行为概览!$D$3:$J$33,7,0)="","",VLOOKUP(E$2,行为概览!$D$3:$J$33,7,0))</f>
        <v>30</v>
      </c>
      <c r="F26" s="53">
        <f>IF(VLOOKUP(F$2,行为概览!$D$3:$J$33,7,0)="","",VLOOKUP(F$2,行为概览!$D$3:$J$33,7,0))</f>
        <v>15</v>
      </c>
      <c r="G26" s="53" t="str">
        <f>IF(VLOOKUP(G$2,行为概览!$D$3:$J$33,7,0)="","",VLOOKUP(G$2,行为概览!$D$3:$J$33,7,0))</f>
        <v/>
      </c>
      <c r="H26" s="53" t="str">
        <f>IF(VLOOKUP(H$2,行为概览!$D$3:$J$33,7,0)="","",VLOOKUP(H$2,行为概览!$D$3:$J$33,7,0))</f>
        <v/>
      </c>
      <c r="I26" s="53" t="str">
        <f>IF(VLOOKUP(I$2,行为概览!$D$3:$J$33,7,0)="","",VLOOKUP(I$2,行为概览!$D$3:$J$33,7,0))</f>
        <v/>
      </c>
      <c r="J26" s="53" t="str">
        <f>IF(VLOOKUP(J$2,行为概览!$D$3:$J$33,7,0)="","",VLOOKUP(J$2,行为概览!$D$3:$J$33,7,0))</f>
        <v/>
      </c>
      <c r="K26" s="53">
        <f>IF(VLOOKUP(K$2,行为概览!$D$3:$J$33,7,0)="","",VLOOKUP(K$2,行为概览!$D$3:$J$33,7,0))</f>
        <v>20</v>
      </c>
      <c r="L26" s="53">
        <f>IF(VLOOKUP(L$2,行为概览!$D$3:$J$33,7,0)="","",VLOOKUP(L$2,行为概览!$D$3:$J$33,7,0))</f>
        <v>20</v>
      </c>
      <c r="M26" s="53">
        <f>IF(VLOOKUP(M$2,行为概览!$D$3:$J$33,7,0)="","",VLOOKUP(M$2,行为概览!$D$3:$J$33,7,0))</f>
        <v>40</v>
      </c>
      <c r="N26" s="53">
        <f>IF(VLOOKUP(N$2,行为概览!$D$3:$J$33,7,0)="","",VLOOKUP(N$2,行为概览!$D$3:$J$33,7,0))</f>
        <v>1</v>
      </c>
      <c r="O26" s="53">
        <f>IF(VLOOKUP(O$2,行为概览!$D$3:$J$33,7,0)="","",VLOOKUP(O$2,行为概览!$D$3:$J$33,7,0))</f>
        <v>150</v>
      </c>
      <c r="P26" s="53">
        <f>IF(VLOOKUP(P$2,行为概览!$D$3:$J$33,7,0)="","",VLOOKUP(P$2,行为概览!$D$3:$J$33,7,0))</f>
        <v>10</v>
      </c>
      <c r="Q26" s="53">
        <f>IF(VLOOKUP(Q$2,行为概览!$D$3:$J$33,7,0)="","",VLOOKUP(Q$2,行为概览!$D$3:$J$33,7,0))</f>
        <v>20</v>
      </c>
      <c r="R26" s="53">
        <f>IF(VLOOKUP(R$2,行为概览!$D$3:$J$33,7,0)="","",VLOOKUP(R$2,行为概览!$D$3:$J$33,7,0))</f>
        <v>6</v>
      </c>
      <c r="S26" s="53">
        <f>IF(VLOOKUP(S$2,行为概览!$D$3:$J$33,7,0)="","",VLOOKUP(S$2,行为概览!$D$3:$J$33,7,0))</f>
        <v>20</v>
      </c>
      <c r="T26" s="53">
        <f>IF(VLOOKUP(T$2,行为概览!$D$3:$J$33,7,0)="","",VLOOKUP(T$2,行为概览!$D$3:$J$33,7,0))</f>
        <v>15</v>
      </c>
      <c r="U26" s="53">
        <f>IF(VLOOKUP(U$2,行为概览!$D$3:$J$33,7,0)="","",VLOOKUP(U$2,行为概览!$D$3:$J$33,7,0))</f>
        <v>15</v>
      </c>
      <c r="V26" s="53">
        <f>IF(VLOOKUP(V$2,行为概览!$D$3:$J$33,7,0)="","",VLOOKUP(V$2,行为概览!$D$3:$J$33,7,0))</f>
        <v>40</v>
      </c>
      <c r="W26" s="53">
        <f>IF(VLOOKUP(W$2,行为概览!$D$3:$J$33,7,0)="","",VLOOKUP(W$2,行为概览!$D$3:$J$33,7,0))</f>
        <v>15</v>
      </c>
      <c r="X26" s="53">
        <f>IF(VLOOKUP(X$2,行为概览!$D$3:$J$33,7,0)="","",VLOOKUP(X$2,行为概览!$D$3:$J$33,7,0))</f>
        <v>30</v>
      </c>
      <c r="Y26" s="53">
        <f>IF(VLOOKUP(Y$2,行为概览!$D$3:$J$33,7,0)="","",VLOOKUP(Y$2,行为概览!$D$3:$J$33,7,0))</f>
        <v>25</v>
      </c>
      <c r="Z26" s="53">
        <f>IF(VLOOKUP(Z$2,行为概览!$D$3:$J$33,7,0)="","",VLOOKUP(Z$2,行为概览!$D$3:$J$33,7,0))</f>
        <v>15</v>
      </c>
      <c r="AA26" s="53">
        <f>IF(VLOOKUP(AA$2,行为概览!$D$3:$J$33,7,0)="","",VLOOKUP(AA$2,行为概览!$D$3:$J$33,7,0))</f>
        <v>15</v>
      </c>
      <c r="AB26" s="53" t="str">
        <f>IF(VLOOKUP(AB$2,行为概览!$D$3:$J$33,7,0)="","",VLOOKUP(AB$2,行为概览!$D$3:$J$33,7,0))</f>
        <v/>
      </c>
      <c r="AC26" s="53" t="str">
        <f>IF(VLOOKUP(AC$2,行为概览!$D$3:$J$33,7,0)="","",VLOOKUP(AC$2,行为概览!$D$3:$J$33,7,0))</f>
        <v/>
      </c>
      <c r="AD26" s="53" t="str">
        <f>IF(VLOOKUP(AD$2,行为概览!$D$3:$J$33,7,0)="","",VLOOKUP(AD$2,行为概览!$D$3:$J$33,7,0))</f>
        <v/>
      </c>
      <c r="AE26" s="68" t="str">
        <f>IF(VLOOKUP(AE$2,行为概览!$D$3:$J$33,7,0)="","",VLOOKUP(AE$2,行为概览!$D$3:$J$33,7,0))</f>
        <v/>
      </c>
      <c r="AF26" s="1">
        <f>IF(C26="","",ROUND(C26*玩法行为规划!B26,2))</f>
        <v>16.670000000000002</v>
      </c>
      <c r="AG26" s="2">
        <f>IF(D26="","",ROUND(D26*玩法行为规划!C26,2))</f>
        <v>6.6</v>
      </c>
      <c r="AH26" s="2">
        <f>IF(E26="","",ROUND(E26*玩法行为规划!D26,2))</f>
        <v>2.5</v>
      </c>
      <c r="AI26" s="2">
        <f>IF(F26="","",ROUND(F26*玩法行为规划!E26,2))</f>
        <v>0</v>
      </c>
      <c r="AJ26" s="2" t="str">
        <f>IF(G26="","",ROUND(G26*玩法行为规划!F26,2))</f>
        <v/>
      </c>
      <c r="AK26" s="2" t="str">
        <f>IF(H26="","",ROUND(H26*玩法行为规划!G26,2))</f>
        <v/>
      </c>
      <c r="AL26" s="2" t="str">
        <f>IF(I26="","",ROUND(I26*玩法行为规划!H26,2))</f>
        <v/>
      </c>
      <c r="AM26" s="2" t="str">
        <f>IF(J26="","",ROUND(J26*玩法行为规划!I26,2))</f>
        <v/>
      </c>
      <c r="AN26" s="2">
        <f>IF(K26="","",ROUND(K26*玩法行为规划!J26,2))</f>
        <v>0</v>
      </c>
      <c r="AO26" s="2">
        <f>IF(L26="","",ROUND(L26*玩法行为规划!K26,2))</f>
        <v>0</v>
      </c>
      <c r="AP26" s="2">
        <f>IF(M26="","",ROUND(M26*玩法行为规划!L26,2))</f>
        <v>0</v>
      </c>
      <c r="AQ26" s="2">
        <f>IF(N26="","",ROUND(N26*玩法行为规划!M26,2))</f>
        <v>12</v>
      </c>
      <c r="AR26" s="2">
        <f>IF(O26="","",ROUND(O26*玩法行为规划!N26,2))</f>
        <v>12.5</v>
      </c>
      <c r="AS26" s="2">
        <f>IF(P26="","",ROUND(P26*玩法行为规划!O26,2))</f>
        <v>0.83</v>
      </c>
      <c r="AT26" s="2">
        <f>IF(Q26="","",ROUND(Q26*玩法行为规划!P26,2))</f>
        <v>52</v>
      </c>
      <c r="AU26" s="2">
        <f>IF(R26="","",ROUND(R26*玩法行为规划!Q26,2))</f>
        <v>0</v>
      </c>
      <c r="AV26" s="2">
        <f>IF(S26="","",ROUND(S26*玩法行为规划!R26,2))</f>
        <v>0</v>
      </c>
      <c r="AW26" s="2">
        <f>IF(T26="","",ROUND(T26*玩法行为规划!S26,2))</f>
        <v>0</v>
      </c>
      <c r="AX26" s="2">
        <f>IF(U26="","",ROUND(U26*玩法行为规划!T26,2))</f>
        <v>0</v>
      </c>
      <c r="AY26" s="2">
        <f>IF(V26="","",ROUND(V26*玩法行为规划!U26,2))</f>
        <v>0</v>
      </c>
      <c r="AZ26" s="2">
        <f>IF(W26="","",ROUND(W26*玩法行为规划!V26,2))</f>
        <v>0</v>
      </c>
      <c r="BA26" s="2">
        <f>IF(X26="","",ROUND(X26*玩法行为规划!W26,2))</f>
        <v>0</v>
      </c>
      <c r="BB26" s="2">
        <f>IF(Y26="","",ROUND(Y26*玩法行为规划!X26,2))</f>
        <v>0</v>
      </c>
      <c r="BC26" s="2">
        <f>IF(Z26="","",ROUND(Z26*玩法行为规划!Y26,2))</f>
        <v>0</v>
      </c>
      <c r="BD26" s="2">
        <f>IF(AA26="","",ROUND(AA26*玩法行为规划!Z26,2))</f>
        <v>0</v>
      </c>
      <c r="BE26" s="2" t="str">
        <f>IF(AB26="","",ROUND(AB26*玩法行为规划!AA26,2))</f>
        <v/>
      </c>
      <c r="BF26" s="2" t="str">
        <f>IF(AC26="","",ROUND(AC26*玩法行为规划!AB26,2))</f>
        <v/>
      </c>
      <c r="BG26" s="2" t="str">
        <f>IF(AD26="","",ROUND(AD26*玩法行为规划!AC26,2))</f>
        <v/>
      </c>
      <c r="BH26" s="3" t="str">
        <f>IF(AE26="","",ROUND(AE26*玩法行为规划!AD26,2))</f>
        <v/>
      </c>
      <c r="BI26" s="7">
        <f t="shared" si="0"/>
        <v>103.1</v>
      </c>
      <c r="BJ26" s="7">
        <f t="shared" si="1"/>
        <v>989760</v>
      </c>
      <c r="BK26" s="10">
        <f t="shared" si="3"/>
        <v>38400</v>
      </c>
      <c r="BL26" s="21" t="str">
        <f t="shared" si="5"/>
        <v/>
      </c>
      <c r="BM26" s="7">
        <f t="shared" si="2"/>
        <v>1</v>
      </c>
      <c r="BN26" s="69">
        <f>INT(BJ26*升级节奏!G26+BK26)</f>
        <v>38400</v>
      </c>
      <c r="BO26" s="7">
        <f t="shared" si="4"/>
        <v>107</v>
      </c>
      <c r="BP26" s="7"/>
      <c r="BQ26" s="7"/>
    </row>
    <row r="27" spans="1:69">
      <c r="A27" s="29">
        <v>25</v>
      </c>
      <c r="B27" s="84">
        <f>升级节奏!C27</f>
        <v>10000</v>
      </c>
      <c r="C27" s="53">
        <f>IF(VLOOKUP(C$2,行为概览!$D$3:$J$33,7,0)="","",VLOOKUP(C$2,行为概览!$D$3:$J$33,7,0))</f>
        <v>50</v>
      </c>
      <c r="D27" s="53">
        <f>IF(VLOOKUP(D$2,行为概览!$D$3:$J$33,7,0)="","",VLOOKUP(D$2,行为概览!$D$3:$J$33,7,0))</f>
        <v>3.3</v>
      </c>
      <c r="E27" s="53">
        <f>IF(VLOOKUP(E$2,行为概览!$D$3:$J$33,7,0)="","",VLOOKUP(E$2,行为概览!$D$3:$J$33,7,0))</f>
        <v>30</v>
      </c>
      <c r="F27" s="53">
        <f>IF(VLOOKUP(F$2,行为概览!$D$3:$J$33,7,0)="","",VLOOKUP(F$2,行为概览!$D$3:$J$33,7,0))</f>
        <v>15</v>
      </c>
      <c r="G27" s="53" t="str">
        <f>IF(VLOOKUP(G$2,行为概览!$D$3:$J$33,7,0)="","",VLOOKUP(G$2,行为概览!$D$3:$J$33,7,0))</f>
        <v/>
      </c>
      <c r="H27" s="53" t="str">
        <f>IF(VLOOKUP(H$2,行为概览!$D$3:$J$33,7,0)="","",VLOOKUP(H$2,行为概览!$D$3:$J$33,7,0))</f>
        <v/>
      </c>
      <c r="I27" s="53" t="str">
        <f>IF(VLOOKUP(I$2,行为概览!$D$3:$J$33,7,0)="","",VLOOKUP(I$2,行为概览!$D$3:$J$33,7,0))</f>
        <v/>
      </c>
      <c r="J27" s="53" t="str">
        <f>IF(VLOOKUP(J$2,行为概览!$D$3:$J$33,7,0)="","",VLOOKUP(J$2,行为概览!$D$3:$J$33,7,0))</f>
        <v/>
      </c>
      <c r="K27" s="53">
        <f>IF(VLOOKUP(K$2,行为概览!$D$3:$J$33,7,0)="","",VLOOKUP(K$2,行为概览!$D$3:$J$33,7,0))</f>
        <v>20</v>
      </c>
      <c r="L27" s="53">
        <f>IF(VLOOKUP(L$2,行为概览!$D$3:$J$33,7,0)="","",VLOOKUP(L$2,行为概览!$D$3:$J$33,7,0))</f>
        <v>20</v>
      </c>
      <c r="M27" s="53">
        <f>IF(VLOOKUP(M$2,行为概览!$D$3:$J$33,7,0)="","",VLOOKUP(M$2,行为概览!$D$3:$J$33,7,0))</f>
        <v>40</v>
      </c>
      <c r="N27" s="53">
        <f>IF(VLOOKUP(N$2,行为概览!$D$3:$J$33,7,0)="","",VLOOKUP(N$2,行为概览!$D$3:$J$33,7,0))</f>
        <v>1</v>
      </c>
      <c r="O27" s="53">
        <f>IF(VLOOKUP(O$2,行为概览!$D$3:$J$33,7,0)="","",VLOOKUP(O$2,行为概览!$D$3:$J$33,7,0))</f>
        <v>150</v>
      </c>
      <c r="P27" s="53">
        <f>IF(VLOOKUP(P$2,行为概览!$D$3:$J$33,7,0)="","",VLOOKUP(P$2,行为概览!$D$3:$J$33,7,0))</f>
        <v>10</v>
      </c>
      <c r="Q27" s="53">
        <f>IF(VLOOKUP(Q$2,行为概览!$D$3:$J$33,7,0)="","",VLOOKUP(Q$2,行为概览!$D$3:$J$33,7,0))</f>
        <v>20</v>
      </c>
      <c r="R27" s="53">
        <f>IF(VLOOKUP(R$2,行为概览!$D$3:$J$33,7,0)="","",VLOOKUP(R$2,行为概览!$D$3:$J$33,7,0))</f>
        <v>6</v>
      </c>
      <c r="S27" s="53">
        <f>IF(VLOOKUP(S$2,行为概览!$D$3:$J$33,7,0)="","",VLOOKUP(S$2,行为概览!$D$3:$J$33,7,0))</f>
        <v>20</v>
      </c>
      <c r="T27" s="53">
        <f>IF(VLOOKUP(T$2,行为概览!$D$3:$J$33,7,0)="","",VLOOKUP(T$2,行为概览!$D$3:$J$33,7,0))</f>
        <v>15</v>
      </c>
      <c r="U27" s="53">
        <f>IF(VLOOKUP(U$2,行为概览!$D$3:$J$33,7,0)="","",VLOOKUP(U$2,行为概览!$D$3:$J$33,7,0))</f>
        <v>15</v>
      </c>
      <c r="V27" s="53">
        <f>IF(VLOOKUP(V$2,行为概览!$D$3:$J$33,7,0)="","",VLOOKUP(V$2,行为概览!$D$3:$J$33,7,0))</f>
        <v>40</v>
      </c>
      <c r="W27" s="53">
        <f>IF(VLOOKUP(W$2,行为概览!$D$3:$J$33,7,0)="","",VLOOKUP(W$2,行为概览!$D$3:$J$33,7,0))</f>
        <v>15</v>
      </c>
      <c r="X27" s="53">
        <f>IF(VLOOKUP(X$2,行为概览!$D$3:$J$33,7,0)="","",VLOOKUP(X$2,行为概览!$D$3:$J$33,7,0))</f>
        <v>30</v>
      </c>
      <c r="Y27" s="53">
        <f>IF(VLOOKUP(Y$2,行为概览!$D$3:$J$33,7,0)="","",VLOOKUP(Y$2,行为概览!$D$3:$J$33,7,0))</f>
        <v>25</v>
      </c>
      <c r="Z27" s="53">
        <f>IF(VLOOKUP(Z$2,行为概览!$D$3:$J$33,7,0)="","",VLOOKUP(Z$2,行为概览!$D$3:$J$33,7,0))</f>
        <v>15</v>
      </c>
      <c r="AA27" s="53">
        <f>IF(VLOOKUP(AA$2,行为概览!$D$3:$J$33,7,0)="","",VLOOKUP(AA$2,行为概览!$D$3:$J$33,7,0))</f>
        <v>15</v>
      </c>
      <c r="AB27" s="53" t="str">
        <f>IF(VLOOKUP(AB$2,行为概览!$D$3:$J$33,7,0)="","",VLOOKUP(AB$2,行为概览!$D$3:$J$33,7,0))</f>
        <v/>
      </c>
      <c r="AC27" s="53" t="str">
        <f>IF(VLOOKUP(AC$2,行为概览!$D$3:$J$33,7,0)="","",VLOOKUP(AC$2,行为概览!$D$3:$J$33,7,0))</f>
        <v/>
      </c>
      <c r="AD27" s="53" t="str">
        <f>IF(VLOOKUP(AD$2,行为概览!$D$3:$J$33,7,0)="","",VLOOKUP(AD$2,行为概览!$D$3:$J$33,7,0))</f>
        <v/>
      </c>
      <c r="AE27" s="68" t="str">
        <f>IF(VLOOKUP(AE$2,行为概览!$D$3:$J$33,7,0)="","",VLOOKUP(AE$2,行为概览!$D$3:$J$33,7,0))</f>
        <v/>
      </c>
      <c r="AF27" s="1">
        <f>IF(C27="","",ROUND(C27*玩法行为规划!B27,2))</f>
        <v>16.670000000000002</v>
      </c>
      <c r="AG27" s="2">
        <f>IF(D27="","",ROUND(D27*玩法行为规划!C27,2))</f>
        <v>6.6</v>
      </c>
      <c r="AH27" s="2">
        <f>IF(E27="","",ROUND(E27*玩法行为规划!D27,2))</f>
        <v>2.5</v>
      </c>
      <c r="AI27" s="2">
        <f>IF(F27="","",ROUND(F27*玩法行为规划!E27,2))</f>
        <v>0</v>
      </c>
      <c r="AJ27" s="2" t="str">
        <f>IF(G27="","",ROUND(G27*玩法行为规划!F27,2))</f>
        <v/>
      </c>
      <c r="AK27" s="2" t="str">
        <f>IF(H27="","",ROUND(H27*玩法行为规划!G27,2))</f>
        <v/>
      </c>
      <c r="AL27" s="2" t="str">
        <f>IF(I27="","",ROUND(I27*玩法行为规划!H27,2))</f>
        <v/>
      </c>
      <c r="AM27" s="2" t="str">
        <f>IF(J27="","",ROUND(J27*玩法行为规划!I27,2))</f>
        <v/>
      </c>
      <c r="AN27" s="2">
        <f>IF(K27="","",ROUND(K27*玩法行为规划!J27,2))</f>
        <v>0</v>
      </c>
      <c r="AO27" s="2">
        <f>IF(L27="","",ROUND(L27*玩法行为规划!K27,2))</f>
        <v>0</v>
      </c>
      <c r="AP27" s="2">
        <f>IF(M27="","",ROUND(M27*玩法行为规划!L27,2))</f>
        <v>0</v>
      </c>
      <c r="AQ27" s="2">
        <f>IF(N27="","",ROUND(N27*玩法行为规划!M27,2))</f>
        <v>12</v>
      </c>
      <c r="AR27" s="2">
        <f>IF(O27="","",ROUND(O27*玩法行为规划!N27,2))</f>
        <v>12.5</v>
      </c>
      <c r="AS27" s="2">
        <f>IF(P27="","",ROUND(P27*玩法行为规划!O27,2))</f>
        <v>0.83</v>
      </c>
      <c r="AT27" s="2">
        <f>IF(Q27="","",ROUND(Q27*玩法行为规划!P27,2))</f>
        <v>52</v>
      </c>
      <c r="AU27" s="2">
        <f>IF(R27="","",ROUND(R27*玩法行为规划!Q27,2))</f>
        <v>0</v>
      </c>
      <c r="AV27" s="2">
        <f>IF(S27="","",ROUND(S27*玩法行为规划!R27,2))</f>
        <v>6.67</v>
      </c>
      <c r="AW27" s="2">
        <f>IF(T27="","",ROUND(T27*玩法行为规划!S27,2))</f>
        <v>0</v>
      </c>
      <c r="AX27" s="2">
        <f>IF(U27="","",ROUND(U27*玩法行为规划!T27,2))</f>
        <v>0</v>
      </c>
      <c r="AY27" s="2">
        <f>IF(V27="","",ROUND(V27*玩法行为规划!U27,2))</f>
        <v>6.67</v>
      </c>
      <c r="AZ27" s="2">
        <f>IF(W27="","",ROUND(W27*玩法行为规划!V27,2))</f>
        <v>0</v>
      </c>
      <c r="BA27" s="2">
        <f>IF(X27="","",ROUND(X27*玩法行为规划!W27,2))</f>
        <v>0</v>
      </c>
      <c r="BB27" s="2">
        <f>IF(Y27="","",ROUND(Y27*玩法行为规划!X27,2))</f>
        <v>0</v>
      </c>
      <c r="BC27" s="2">
        <f>IF(Z27="","",ROUND(Z27*玩法行为规划!Y27,2))</f>
        <v>0</v>
      </c>
      <c r="BD27" s="2">
        <f>IF(AA27="","",ROUND(AA27*玩法行为规划!Z27,2))</f>
        <v>0</v>
      </c>
      <c r="BE27" s="2" t="str">
        <f>IF(AB27="","",ROUND(AB27*玩法行为规划!AA27,2))</f>
        <v/>
      </c>
      <c r="BF27" s="2" t="str">
        <f>IF(AC27="","",ROUND(AC27*玩法行为规划!AB27,2))</f>
        <v/>
      </c>
      <c r="BG27" s="2" t="str">
        <f>IF(AD27="","",ROUND(AD27*玩法行为规划!AC27,2))</f>
        <v/>
      </c>
      <c r="BH27" s="3" t="str">
        <f>IF(AE27="","",ROUND(AE27*玩法行为规划!AD27,2))</f>
        <v/>
      </c>
      <c r="BI27" s="7">
        <f t="shared" si="0"/>
        <v>116.44</v>
      </c>
      <c r="BJ27" s="7">
        <f t="shared" si="1"/>
        <v>1164400</v>
      </c>
      <c r="BK27" s="10">
        <f t="shared" si="3"/>
        <v>40000</v>
      </c>
      <c r="BL27" s="21" t="str">
        <f t="shared" si="5"/>
        <v/>
      </c>
      <c r="BM27" s="7">
        <f t="shared" si="2"/>
        <v>1</v>
      </c>
      <c r="BN27" s="69">
        <f>INT(BJ27*升级节奏!G27+BK27)</f>
        <v>40000</v>
      </c>
      <c r="BO27" s="7">
        <f t="shared" si="4"/>
        <v>111</v>
      </c>
      <c r="BP27" s="7"/>
      <c r="BQ27" s="7"/>
    </row>
    <row r="28" spans="1:69">
      <c r="A28" s="29">
        <v>26</v>
      </c>
      <c r="B28" s="84">
        <f>升级节奏!C28</f>
        <v>10400</v>
      </c>
      <c r="C28" s="53">
        <f>IF(VLOOKUP(C$2,行为概览!$D$3:$J$33,7,0)="","",VLOOKUP(C$2,行为概览!$D$3:$J$33,7,0))</f>
        <v>50</v>
      </c>
      <c r="D28" s="53">
        <f>IF(VLOOKUP(D$2,行为概览!$D$3:$J$33,7,0)="","",VLOOKUP(D$2,行为概览!$D$3:$J$33,7,0))</f>
        <v>3.3</v>
      </c>
      <c r="E28" s="53">
        <f>IF(VLOOKUP(E$2,行为概览!$D$3:$J$33,7,0)="","",VLOOKUP(E$2,行为概览!$D$3:$J$33,7,0))</f>
        <v>30</v>
      </c>
      <c r="F28" s="53">
        <f>IF(VLOOKUP(F$2,行为概览!$D$3:$J$33,7,0)="","",VLOOKUP(F$2,行为概览!$D$3:$J$33,7,0))</f>
        <v>15</v>
      </c>
      <c r="G28" s="53" t="str">
        <f>IF(VLOOKUP(G$2,行为概览!$D$3:$J$33,7,0)="","",VLOOKUP(G$2,行为概览!$D$3:$J$33,7,0))</f>
        <v/>
      </c>
      <c r="H28" s="53" t="str">
        <f>IF(VLOOKUP(H$2,行为概览!$D$3:$J$33,7,0)="","",VLOOKUP(H$2,行为概览!$D$3:$J$33,7,0))</f>
        <v/>
      </c>
      <c r="I28" s="53" t="str">
        <f>IF(VLOOKUP(I$2,行为概览!$D$3:$J$33,7,0)="","",VLOOKUP(I$2,行为概览!$D$3:$J$33,7,0))</f>
        <v/>
      </c>
      <c r="J28" s="53" t="str">
        <f>IF(VLOOKUP(J$2,行为概览!$D$3:$J$33,7,0)="","",VLOOKUP(J$2,行为概览!$D$3:$J$33,7,0))</f>
        <v/>
      </c>
      <c r="K28" s="53">
        <f>IF(VLOOKUP(K$2,行为概览!$D$3:$J$33,7,0)="","",VLOOKUP(K$2,行为概览!$D$3:$J$33,7,0))</f>
        <v>20</v>
      </c>
      <c r="L28" s="53">
        <f>IF(VLOOKUP(L$2,行为概览!$D$3:$J$33,7,0)="","",VLOOKUP(L$2,行为概览!$D$3:$J$33,7,0))</f>
        <v>20</v>
      </c>
      <c r="M28" s="53">
        <f>IF(VLOOKUP(M$2,行为概览!$D$3:$J$33,7,0)="","",VLOOKUP(M$2,行为概览!$D$3:$J$33,7,0))</f>
        <v>40</v>
      </c>
      <c r="N28" s="53">
        <f>IF(VLOOKUP(N$2,行为概览!$D$3:$J$33,7,0)="","",VLOOKUP(N$2,行为概览!$D$3:$J$33,7,0))</f>
        <v>1</v>
      </c>
      <c r="O28" s="53">
        <f>IF(VLOOKUP(O$2,行为概览!$D$3:$J$33,7,0)="","",VLOOKUP(O$2,行为概览!$D$3:$J$33,7,0))</f>
        <v>150</v>
      </c>
      <c r="P28" s="53">
        <f>IF(VLOOKUP(P$2,行为概览!$D$3:$J$33,7,0)="","",VLOOKUP(P$2,行为概览!$D$3:$J$33,7,0))</f>
        <v>10</v>
      </c>
      <c r="Q28" s="53">
        <f>IF(VLOOKUP(Q$2,行为概览!$D$3:$J$33,7,0)="","",VLOOKUP(Q$2,行为概览!$D$3:$J$33,7,0))</f>
        <v>20</v>
      </c>
      <c r="R28" s="53">
        <f>IF(VLOOKUP(R$2,行为概览!$D$3:$J$33,7,0)="","",VLOOKUP(R$2,行为概览!$D$3:$J$33,7,0))</f>
        <v>6</v>
      </c>
      <c r="S28" s="53">
        <f>IF(VLOOKUP(S$2,行为概览!$D$3:$J$33,7,0)="","",VLOOKUP(S$2,行为概览!$D$3:$J$33,7,0))</f>
        <v>20</v>
      </c>
      <c r="T28" s="53">
        <f>IF(VLOOKUP(T$2,行为概览!$D$3:$J$33,7,0)="","",VLOOKUP(T$2,行为概览!$D$3:$J$33,7,0))</f>
        <v>15</v>
      </c>
      <c r="U28" s="53">
        <f>IF(VLOOKUP(U$2,行为概览!$D$3:$J$33,7,0)="","",VLOOKUP(U$2,行为概览!$D$3:$J$33,7,0))</f>
        <v>15</v>
      </c>
      <c r="V28" s="53">
        <f>IF(VLOOKUP(V$2,行为概览!$D$3:$J$33,7,0)="","",VLOOKUP(V$2,行为概览!$D$3:$J$33,7,0))</f>
        <v>40</v>
      </c>
      <c r="W28" s="53">
        <f>IF(VLOOKUP(W$2,行为概览!$D$3:$J$33,7,0)="","",VLOOKUP(W$2,行为概览!$D$3:$J$33,7,0))</f>
        <v>15</v>
      </c>
      <c r="X28" s="53">
        <f>IF(VLOOKUP(X$2,行为概览!$D$3:$J$33,7,0)="","",VLOOKUP(X$2,行为概览!$D$3:$J$33,7,0))</f>
        <v>30</v>
      </c>
      <c r="Y28" s="53">
        <f>IF(VLOOKUP(Y$2,行为概览!$D$3:$J$33,7,0)="","",VLOOKUP(Y$2,行为概览!$D$3:$J$33,7,0))</f>
        <v>25</v>
      </c>
      <c r="Z28" s="53">
        <f>IF(VLOOKUP(Z$2,行为概览!$D$3:$J$33,7,0)="","",VLOOKUP(Z$2,行为概览!$D$3:$J$33,7,0))</f>
        <v>15</v>
      </c>
      <c r="AA28" s="53">
        <f>IF(VLOOKUP(AA$2,行为概览!$D$3:$J$33,7,0)="","",VLOOKUP(AA$2,行为概览!$D$3:$J$33,7,0))</f>
        <v>15</v>
      </c>
      <c r="AB28" s="53" t="str">
        <f>IF(VLOOKUP(AB$2,行为概览!$D$3:$J$33,7,0)="","",VLOOKUP(AB$2,行为概览!$D$3:$J$33,7,0))</f>
        <v/>
      </c>
      <c r="AC28" s="53" t="str">
        <f>IF(VLOOKUP(AC$2,行为概览!$D$3:$J$33,7,0)="","",VLOOKUP(AC$2,行为概览!$D$3:$J$33,7,0))</f>
        <v/>
      </c>
      <c r="AD28" s="53" t="str">
        <f>IF(VLOOKUP(AD$2,行为概览!$D$3:$J$33,7,0)="","",VLOOKUP(AD$2,行为概览!$D$3:$J$33,7,0))</f>
        <v/>
      </c>
      <c r="AE28" s="68" t="str">
        <f>IF(VLOOKUP(AE$2,行为概览!$D$3:$J$33,7,0)="","",VLOOKUP(AE$2,行为概览!$D$3:$J$33,7,0))</f>
        <v/>
      </c>
      <c r="AF28" s="1">
        <f>IF(C28="","",ROUND(C28*玩法行为规划!B28,2))</f>
        <v>16.670000000000002</v>
      </c>
      <c r="AG28" s="2">
        <f>IF(D28="","",ROUND(D28*玩法行为规划!C28,2))</f>
        <v>6.6</v>
      </c>
      <c r="AH28" s="2">
        <f>IF(E28="","",ROUND(E28*玩法行为规划!D28,2))</f>
        <v>2.5</v>
      </c>
      <c r="AI28" s="2">
        <f>IF(F28="","",ROUND(F28*玩法行为规划!E28,2))</f>
        <v>0</v>
      </c>
      <c r="AJ28" s="2" t="str">
        <f>IF(G28="","",ROUND(G28*玩法行为规划!F28,2))</f>
        <v/>
      </c>
      <c r="AK28" s="2" t="str">
        <f>IF(H28="","",ROUND(H28*玩法行为规划!G28,2))</f>
        <v/>
      </c>
      <c r="AL28" s="2" t="str">
        <f>IF(I28="","",ROUND(I28*玩法行为规划!H28,2))</f>
        <v/>
      </c>
      <c r="AM28" s="2" t="str">
        <f>IF(J28="","",ROUND(J28*玩法行为规划!I28,2))</f>
        <v/>
      </c>
      <c r="AN28" s="2">
        <f>IF(K28="","",ROUND(K28*玩法行为规划!J28,2))</f>
        <v>0</v>
      </c>
      <c r="AO28" s="2">
        <f>IF(L28="","",ROUND(L28*玩法行为规划!K28,2))</f>
        <v>0</v>
      </c>
      <c r="AP28" s="2">
        <f>IF(M28="","",ROUND(M28*玩法行为规划!L28,2))</f>
        <v>0</v>
      </c>
      <c r="AQ28" s="2">
        <f>IF(N28="","",ROUND(N28*玩法行为规划!M28,2))</f>
        <v>12</v>
      </c>
      <c r="AR28" s="2">
        <f>IF(O28="","",ROUND(O28*玩法行为规划!N28,2))</f>
        <v>12.5</v>
      </c>
      <c r="AS28" s="2">
        <f>IF(P28="","",ROUND(P28*玩法行为规划!O28,2))</f>
        <v>0.83</v>
      </c>
      <c r="AT28" s="2">
        <f>IF(Q28="","",ROUND(Q28*玩法行为规划!P28,2))</f>
        <v>52</v>
      </c>
      <c r="AU28" s="2">
        <f>IF(R28="","",ROUND(R28*玩法行为规划!Q28,2))</f>
        <v>0</v>
      </c>
      <c r="AV28" s="2">
        <f>IF(S28="","",ROUND(S28*玩法行为规划!R28,2))</f>
        <v>6.67</v>
      </c>
      <c r="AW28" s="2">
        <f>IF(T28="","",ROUND(T28*玩法行为规划!S28,2))</f>
        <v>0</v>
      </c>
      <c r="AX28" s="2">
        <f>IF(U28="","",ROUND(U28*玩法行为规划!T28,2))</f>
        <v>0</v>
      </c>
      <c r="AY28" s="2">
        <f>IF(V28="","",ROUND(V28*玩法行为规划!U28,2))</f>
        <v>6.67</v>
      </c>
      <c r="AZ28" s="2">
        <f>IF(W28="","",ROUND(W28*玩法行为规划!V28,2))</f>
        <v>0</v>
      </c>
      <c r="BA28" s="2">
        <f>IF(X28="","",ROUND(X28*玩法行为规划!W28,2))</f>
        <v>0</v>
      </c>
      <c r="BB28" s="2">
        <f>IF(Y28="","",ROUND(Y28*玩法行为规划!X28,2))</f>
        <v>0</v>
      </c>
      <c r="BC28" s="2">
        <f>IF(Z28="","",ROUND(Z28*玩法行为规划!Y28,2))</f>
        <v>0</v>
      </c>
      <c r="BD28" s="2">
        <f>IF(AA28="","",ROUND(AA28*玩法行为规划!Z28,2))</f>
        <v>0</v>
      </c>
      <c r="BE28" s="2" t="str">
        <f>IF(AB28="","",ROUND(AB28*玩法行为规划!AA28,2))</f>
        <v/>
      </c>
      <c r="BF28" s="2" t="str">
        <f>IF(AC28="","",ROUND(AC28*玩法行为规划!AB28,2))</f>
        <v/>
      </c>
      <c r="BG28" s="2" t="str">
        <f>IF(AD28="","",ROUND(AD28*玩法行为规划!AC28,2))</f>
        <v/>
      </c>
      <c r="BH28" s="3" t="str">
        <f>IF(AE28="","",ROUND(AE28*玩法行为规划!AD28,2))</f>
        <v/>
      </c>
      <c r="BI28" s="7">
        <f t="shared" si="0"/>
        <v>116.44</v>
      </c>
      <c r="BJ28" s="7">
        <f t="shared" si="1"/>
        <v>1210976</v>
      </c>
      <c r="BK28" s="10">
        <f t="shared" si="3"/>
        <v>41600</v>
      </c>
      <c r="BL28" s="21" t="str">
        <f t="shared" si="5"/>
        <v/>
      </c>
      <c r="BM28" s="7">
        <f t="shared" si="2"/>
        <v>1</v>
      </c>
      <c r="BN28" s="69">
        <f>INT(BJ28*升级节奏!G28+BK28)</f>
        <v>41600</v>
      </c>
      <c r="BO28" s="7">
        <f t="shared" si="4"/>
        <v>116</v>
      </c>
      <c r="BP28" s="7"/>
      <c r="BQ28" s="7"/>
    </row>
    <row r="29" spans="1:69">
      <c r="A29" s="29">
        <v>27</v>
      </c>
      <c r="B29" s="84">
        <f>升级节奏!C29</f>
        <v>10800</v>
      </c>
      <c r="C29" s="53">
        <f>IF(VLOOKUP(C$2,行为概览!$D$3:$J$33,7,0)="","",VLOOKUP(C$2,行为概览!$D$3:$J$33,7,0))</f>
        <v>50</v>
      </c>
      <c r="D29" s="53">
        <f>IF(VLOOKUP(D$2,行为概览!$D$3:$J$33,7,0)="","",VLOOKUP(D$2,行为概览!$D$3:$J$33,7,0))</f>
        <v>3.3</v>
      </c>
      <c r="E29" s="53">
        <f>IF(VLOOKUP(E$2,行为概览!$D$3:$J$33,7,0)="","",VLOOKUP(E$2,行为概览!$D$3:$J$33,7,0))</f>
        <v>30</v>
      </c>
      <c r="F29" s="53">
        <f>IF(VLOOKUP(F$2,行为概览!$D$3:$J$33,7,0)="","",VLOOKUP(F$2,行为概览!$D$3:$J$33,7,0))</f>
        <v>15</v>
      </c>
      <c r="G29" s="53" t="str">
        <f>IF(VLOOKUP(G$2,行为概览!$D$3:$J$33,7,0)="","",VLOOKUP(G$2,行为概览!$D$3:$J$33,7,0))</f>
        <v/>
      </c>
      <c r="H29" s="53" t="str">
        <f>IF(VLOOKUP(H$2,行为概览!$D$3:$J$33,7,0)="","",VLOOKUP(H$2,行为概览!$D$3:$J$33,7,0))</f>
        <v/>
      </c>
      <c r="I29" s="53" t="str">
        <f>IF(VLOOKUP(I$2,行为概览!$D$3:$J$33,7,0)="","",VLOOKUP(I$2,行为概览!$D$3:$J$33,7,0))</f>
        <v/>
      </c>
      <c r="J29" s="53" t="str">
        <f>IF(VLOOKUP(J$2,行为概览!$D$3:$J$33,7,0)="","",VLOOKUP(J$2,行为概览!$D$3:$J$33,7,0))</f>
        <v/>
      </c>
      <c r="K29" s="53">
        <f>IF(VLOOKUP(K$2,行为概览!$D$3:$J$33,7,0)="","",VLOOKUP(K$2,行为概览!$D$3:$J$33,7,0))</f>
        <v>20</v>
      </c>
      <c r="L29" s="53">
        <f>IF(VLOOKUP(L$2,行为概览!$D$3:$J$33,7,0)="","",VLOOKUP(L$2,行为概览!$D$3:$J$33,7,0))</f>
        <v>20</v>
      </c>
      <c r="M29" s="53">
        <f>IF(VLOOKUP(M$2,行为概览!$D$3:$J$33,7,0)="","",VLOOKUP(M$2,行为概览!$D$3:$J$33,7,0))</f>
        <v>40</v>
      </c>
      <c r="N29" s="53">
        <f>IF(VLOOKUP(N$2,行为概览!$D$3:$J$33,7,0)="","",VLOOKUP(N$2,行为概览!$D$3:$J$33,7,0))</f>
        <v>1</v>
      </c>
      <c r="O29" s="53">
        <f>IF(VLOOKUP(O$2,行为概览!$D$3:$J$33,7,0)="","",VLOOKUP(O$2,行为概览!$D$3:$J$33,7,0))</f>
        <v>150</v>
      </c>
      <c r="P29" s="53">
        <f>IF(VLOOKUP(P$2,行为概览!$D$3:$J$33,7,0)="","",VLOOKUP(P$2,行为概览!$D$3:$J$33,7,0))</f>
        <v>10</v>
      </c>
      <c r="Q29" s="53">
        <f>IF(VLOOKUP(Q$2,行为概览!$D$3:$J$33,7,0)="","",VLOOKUP(Q$2,行为概览!$D$3:$J$33,7,0))</f>
        <v>20</v>
      </c>
      <c r="R29" s="53">
        <f>IF(VLOOKUP(R$2,行为概览!$D$3:$J$33,7,0)="","",VLOOKUP(R$2,行为概览!$D$3:$J$33,7,0))</f>
        <v>6</v>
      </c>
      <c r="S29" s="53">
        <f>IF(VLOOKUP(S$2,行为概览!$D$3:$J$33,7,0)="","",VLOOKUP(S$2,行为概览!$D$3:$J$33,7,0))</f>
        <v>20</v>
      </c>
      <c r="T29" s="53">
        <f>IF(VLOOKUP(T$2,行为概览!$D$3:$J$33,7,0)="","",VLOOKUP(T$2,行为概览!$D$3:$J$33,7,0))</f>
        <v>15</v>
      </c>
      <c r="U29" s="53">
        <f>IF(VLOOKUP(U$2,行为概览!$D$3:$J$33,7,0)="","",VLOOKUP(U$2,行为概览!$D$3:$J$33,7,0))</f>
        <v>15</v>
      </c>
      <c r="V29" s="53">
        <f>IF(VLOOKUP(V$2,行为概览!$D$3:$J$33,7,0)="","",VLOOKUP(V$2,行为概览!$D$3:$J$33,7,0))</f>
        <v>40</v>
      </c>
      <c r="W29" s="53">
        <f>IF(VLOOKUP(W$2,行为概览!$D$3:$J$33,7,0)="","",VLOOKUP(W$2,行为概览!$D$3:$J$33,7,0))</f>
        <v>15</v>
      </c>
      <c r="X29" s="53">
        <f>IF(VLOOKUP(X$2,行为概览!$D$3:$J$33,7,0)="","",VLOOKUP(X$2,行为概览!$D$3:$J$33,7,0))</f>
        <v>30</v>
      </c>
      <c r="Y29" s="53">
        <f>IF(VLOOKUP(Y$2,行为概览!$D$3:$J$33,7,0)="","",VLOOKUP(Y$2,行为概览!$D$3:$J$33,7,0))</f>
        <v>25</v>
      </c>
      <c r="Z29" s="53">
        <f>IF(VLOOKUP(Z$2,行为概览!$D$3:$J$33,7,0)="","",VLOOKUP(Z$2,行为概览!$D$3:$J$33,7,0))</f>
        <v>15</v>
      </c>
      <c r="AA29" s="53">
        <f>IF(VLOOKUP(AA$2,行为概览!$D$3:$J$33,7,0)="","",VLOOKUP(AA$2,行为概览!$D$3:$J$33,7,0))</f>
        <v>15</v>
      </c>
      <c r="AB29" s="53" t="str">
        <f>IF(VLOOKUP(AB$2,行为概览!$D$3:$J$33,7,0)="","",VLOOKUP(AB$2,行为概览!$D$3:$J$33,7,0))</f>
        <v/>
      </c>
      <c r="AC29" s="53" t="str">
        <f>IF(VLOOKUP(AC$2,行为概览!$D$3:$J$33,7,0)="","",VLOOKUP(AC$2,行为概览!$D$3:$J$33,7,0))</f>
        <v/>
      </c>
      <c r="AD29" s="53" t="str">
        <f>IF(VLOOKUP(AD$2,行为概览!$D$3:$J$33,7,0)="","",VLOOKUP(AD$2,行为概览!$D$3:$J$33,7,0))</f>
        <v/>
      </c>
      <c r="AE29" s="68" t="str">
        <f>IF(VLOOKUP(AE$2,行为概览!$D$3:$J$33,7,0)="","",VLOOKUP(AE$2,行为概览!$D$3:$J$33,7,0))</f>
        <v/>
      </c>
      <c r="AF29" s="1">
        <f>IF(C29="","",ROUND(C29*玩法行为规划!B29,2))</f>
        <v>16.670000000000002</v>
      </c>
      <c r="AG29" s="2">
        <f>IF(D29="","",ROUND(D29*玩法行为规划!C29,2))</f>
        <v>6.6</v>
      </c>
      <c r="AH29" s="2">
        <f>IF(E29="","",ROUND(E29*玩法行为规划!D29,2))</f>
        <v>2.5</v>
      </c>
      <c r="AI29" s="2">
        <f>IF(F29="","",ROUND(F29*玩法行为规划!E29,2))</f>
        <v>0</v>
      </c>
      <c r="AJ29" s="2" t="str">
        <f>IF(G29="","",ROUND(G29*玩法行为规划!F29,2))</f>
        <v/>
      </c>
      <c r="AK29" s="2" t="str">
        <f>IF(H29="","",ROUND(H29*玩法行为规划!G29,2))</f>
        <v/>
      </c>
      <c r="AL29" s="2" t="str">
        <f>IF(I29="","",ROUND(I29*玩法行为规划!H29,2))</f>
        <v/>
      </c>
      <c r="AM29" s="2" t="str">
        <f>IF(J29="","",ROUND(J29*玩法行为规划!I29,2))</f>
        <v/>
      </c>
      <c r="AN29" s="2">
        <f>IF(K29="","",ROUND(K29*玩法行为规划!J29,2))</f>
        <v>0</v>
      </c>
      <c r="AO29" s="2">
        <f>IF(L29="","",ROUND(L29*玩法行为规划!K29,2))</f>
        <v>0</v>
      </c>
      <c r="AP29" s="2">
        <f>IF(M29="","",ROUND(M29*玩法行为规划!L29,2))</f>
        <v>0</v>
      </c>
      <c r="AQ29" s="2">
        <f>IF(N29="","",ROUND(N29*玩法行为规划!M29,2))</f>
        <v>12</v>
      </c>
      <c r="AR29" s="2">
        <f>IF(O29="","",ROUND(O29*玩法行为规划!N29,2))</f>
        <v>12.5</v>
      </c>
      <c r="AS29" s="2">
        <f>IF(P29="","",ROUND(P29*玩法行为规划!O29,2))</f>
        <v>0.83</v>
      </c>
      <c r="AT29" s="2">
        <f>IF(Q29="","",ROUND(Q29*玩法行为规划!P29,2))</f>
        <v>52</v>
      </c>
      <c r="AU29" s="2">
        <f>IF(R29="","",ROUND(R29*玩法行为规划!Q29,2))</f>
        <v>0</v>
      </c>
      <c r="AV29" s="2">
        <f>IF(S29="","",ROUND(S29*玩法行为规划!R29,2))</f>
        <v>6.67</v>
      </c>
      <c r="AW29" s="2">
        <f>IF(T29="","",ROUND(T29*玩法行为规划!S29,2))</f>
        <v>0</v>
      </c>
      <c r="AX29" s="2">
        <f>IF(U29="","",ROUND(U29*玩法行为规划!T29,2))</f>
        <v>0</v>
      </c>
      <c r="AY29" s="2">
        <f>IF(V29="","",ROUND(V29*玩法行为规划!U29,2))</f>
        <v>6.67</v>
      </c>
      <c r="AZ29" s="2">
        <f>IF(W29="","",ROUND(W29*玩法行为规划!V29,2))</f>
        <v>0</v>
      </c>
      <c r="BA29" s="2">
        <f>IF(X29="","",ROUND(X29*玩法行为规划!W29,2))</f>
        <v>0</v>
      </c>
      <c r="BB29" s="2">
        <f>IF(Y29="","",ROUND(Y29*玩法行为规划!X29,2))</f>
        <v>0</v>
      </c>
      <c r="BC29" s="2">
        <f>IF(Z29="","",ROUND(Z29*玩法行为规划!Y29,2))</f>
        <v>0</v>
      </c>
      <c r="BD29" s="2">
        <f>IF(AA29="","",ROUND(AA29*玩法行为规划!Z29,2))</f>
        <v>0</v>
      </c>
      <c r="BE29" s="2" t="str">
        <f>IF(AB29="","",ROUND(AB29*玩法行为规划!AA29,2))</f>
        <v/>
      </c>
      <c r="BF29" s="2" t="str">
        <f>IF(AC29="","",ROUND(AC29*玩法行为规划!AB29,2))</f>
        <v/>
      </c>
      <c r="BG29" s="2" t="str">
        <f>IF(AD29="","",ROUND(AD29*玩法行为规划!AC29,2))</f>
        <v/>
      </c>
      <c r="BH29" s="3" t="str">
        <f>IF(AE29="","",ROUND(AE29*玩法行为规划!AD29,2))</f>
        <v/>
      </c>
      <c r="BI29" s="7">
        <f t="shared" si="0"/>
        <v>116.44</v>
      </c>
      <c r="BJ29" s="7">
        <f t="shared" si="1"/>
        <v>1257552</v>
      </c>
      <c r="BK29" s="10">
        <f t="shared" si="3"/>
        <v>43200</v>
      </c>
      <c r="BL29" s="21" t="str">
        <f t="shared" si="5"/>
        <v/>
      </c>
      <c r="BM29" s="7">
        <f t="shared" si="2"/>
        <v>0.71316549731737511</v>
      </c>
      <c r="BN29" s="69">
        <f>INT(BJ29*升级节奏!G29+BK29)</f>
        <v>60575</v>
      </c>
      <c r="BO29" s="7">
        <f t="shared" si="4"/>
        <v>120</v>
      </c>
      <c r="BP29" s="7"/>
      <c r="BQ29" s="7"/>
    </row>
    <row r="30" spans="1:69">
      <c r="A30" s="29">
        <v>28</v>
      </c>
      <c r="B30" s="84">
        <f>升级节奏!C30</f>
        <v>11200</v>
      </c>
      <c r="C30" s="53">
        <f>IF(VLOOKUP(C$2,行为概览!$D$3:$J$33,7,0)="","",VLOOKUP(C$2,行为概览!$D$3:$J$33,7,0))</f>
        <v>50</v>
      </c>
      <c r="D30" s="53">
        <f>IF(VLOOKUP(D$2,行为概览!$D$3:$J$33,7,0)="","",VLOOKUP(D$2,行为概览!$D$3:$J$33,7,0))</f>
        <v>3.3</v>
      </c>
      <c r="E30" s="53">
        <f>IF(VLOOKUP(E$2,行为概览!$D$3:$J$33,7,0)="","",VLOOKUP(E$2,行为概览!$D$3:$J$33,7,0))</f>
        <v>30</v>
      </c>
      <c r="F30" s="53">
        <f>IF(VLOOKUP(F$2,行为概览!$D$3:$J$33,7,0)="","",VLOOKUP(F$2,行为概览!$D$3:$J$33,7,0))</f>
        <v>15</v>
      </c>
      <c r="G30" s="53" t="str">
        <f>IF(VLOOKUP(G$2,行为概览!$D$3:$J$33,7,0)="","",VLOOKUP(G$2,行为概览!$D$3:$J$33,7,0))</f>
        <v/>
      </c>
      <c r="H30" s="53" t="str">
        <f>IF(VLOOKUP(H$2,行为概览!$D$3:$J$33,7,0)="","",VLOOKUP(H$2,行为概览!$D$3:$J$33,7,0))</f>
        <v/>
      </c>
      <c r="I30" s="53" t="str">
        <f>IF(VLOOKUP(I$2,行为概览!$D$3:$J$33,7,0)="","",VLOOKUP(I$2,行为概览!$D$3:$J$33,7,0))</f>
        <v/>
      </c>
      <c r="J30" s="53" t="str">
        <f>IF(VLOOKUP(J$2,行为概览!$D$3:$J$33,7,0)="","",VLOOKUP(J$2,行为概览!$D$3:$J$33,7,0))</f>
        <v/>
      </c>
      <c r="K30" s="53">
        <f>IF(VLOOKUP(K$2,行为概览!$D$3:$J$33,7,0)="","",VLOOKUP(K$2,行为概览!$D$3:$J$33,7,0))</f>
        <v>20</v>
      </c>
      <c r="L30" s="53">
        <f>IF(VLOOKUP(L$2,行为概览!$D$3:$J$33,7,0)="","",VLOOKUP(L$2,行为概览!$D$3:$J$33,7,0))</f>
        <v>20</v>
      </c>
      <c r="M30" s="53">
        <f>IF(VLOOKUP(M$2,行为概览!$D$3:$J$33,7,0)="","",VLOOKUP(M$2,行为概览!$D$3:$J$33,7,0))</f>
        <v>40</v>
      </c>
      <c r="N30" s="53">
        <f>IF(VLOOKUP(N$2,行为概览!$D$3:$J$33,7,0)="","",VLOOKUP(N$2,行为概览!$D$3:$J$33,7,0))</f>
        <v>1</v>
      </c>
      <c r="O30" s="53">
        <f>IF(VLOOKUP(O$2,行为概览!$D$3:$J$33,7,0)="","",VLOOKUP(O$2,行为概览!$D$3:$J$33,7,0))</f>
        <v>150</v>
      </c>
      <c r="P30" s="53">
        <f>IF(VLOOKUP(P$2,行为概览!$D$3:$J$33,7,0)="","",VLOOKUP(P$2,行为概览!$D$3:$J$33,7,0))</f>
        <v>10</v>
      </c>
      <c r="Q30" s="53">
        <f>IF(VLOOKUP(Q$2,行为概览!$D$3:$J$33,7,0)="","",VLOOKUP(Q$2,行为概览!$D$3:$J$33,7,0))</f>
        <v>20</v>
      </c>
      <c r="R30" s="53">
        <f>IF(VLOOKUP(R$2,行为概览!$D$3:$J$33,7,0)="","",VLOOKUP(R$2,行为概览!$D$3:$J$33,7,0))</f>
        <v>6</v>
      </c>
      <c r="S30" s="53">
        <f>IF(VLOOKUP(S$2,行为概览!$D$3:$J$33,7,0)="","",VLOOKUP(S$2,行为概览!$D$3:$J$33,7,0))</f>
        <v>20</v>
      </c>
      <c r="T30" s="53">
        <f>IF(VLOOKUP(T$2,行为概览!$D$3:$J$33,7,0)="","",VLOOKUP(T$2,行为概览!$D$3:$J$33,7,0))</f>
        <v>15</v>
      </c>
      <c r="U30" s="53">
        <f>IF(VLOOKUP(U$2,行为概览!$D$3:$J$33,7,0)="","",VLOOKUP(U$2,行为概览!$D$3:$J$33,7,0))</f>
        <v>15</v>
      </c>
      <c r="V30" s="53">
        <f>IF(VLOOKUP(V$2,行为概览!$D$3:$J$33,7,0)="","",VLOOKUP(V$2,行为概览!$D$3:$J$33,7,0))</f>
        <v>40</v>
      </c>
      <c r="W30" s="53">
        <f>IF(VLOOKUP(W$2,行为概览!$D$3:$J$33,7,0)="","",VLOOKUP(W$2,行为概览!$D$3:$J$33,7,0))</f>
        <v>15</v>
      </c>
      <c r="X30" s="53">
        <f>IF(VLOOKUP(X$2,行为概览!$D$3:$J$33,7,0)="","",VLOOKUP(X$2,行为概览!$D$3:$J$33,7,0))</f>
        <v>30</v>
      </c>
      <c r="Y30" s="53">
        <f>IF(VLOOKUP(Y$2,行为概览!$D$3:$J$33,7,0)="","",VLOOKUP(Y$2,行为概览!$D$3:$J$33,7,0))</f>
        <v>25</v>
      </c>
      <c r="Z30" s="53">
        <f>IF(VLOOKUP(Z$2,行为概览!$D$3:$J$33,7,0)="","",VLOOKUP(Z$2,行为概览!$D$3:$J$33,7,0))</f>
        <v>15</v>
      </c>
      <c r="AA30" s="53">
        <f>IF(VLOOKUP(AA$2,行为概览!$D$3:$J$33,7,0)="","",VLOOKUP(AA$2,行为概览!$D$3:$J$33,7,0))</f>
        <v>15</v>
      </c>
      <c r="AB30" s="53" t="str">
        <f>IF(VLOOKUP(AB$2,行为概览!$D$3:$J$33,7,0)="","",VLOOKUP(AB$2,行为概览!$D$3:$J$33,7,0))</f>
        <v/>
      </c>
      <c r="AC30" s="53" t="str">
        <f>IF(VLOOKUP(AC$2,行为概览!$D$3:$J$33,7,0)="","",VLOOKUP(AC$2,行为概览!$D$3:$J$33,7,0))</f>
        <v/>
      </c>
      <c r="AD30" s="53" t="str">
        <f>IF(VLOOKUP(AD$2,行为概览!$D$3:$J$33,7,0)="","",VLOOKUP(AD$2,行为概览!$D$3:$J$33,7,0))</f>
        <v/>
      </c>
      <c r="AE30" s="68" t="str">
        <f>IF(VLOOKUP(AE$2,行为概览!$D$3:$J$33,7,0)="","",VLOOKUP(AE$2,行为概览!$D$3:$J$33,7,0))</f>
        <v/>
      </c>
      <c r="AF30" s="1">
        <f>IF(C30="","",ROUND(C30*玩法行为规划!B30,2))</f>
        <v>16.670000000000002</v>
      </c>
      <c r="AG30" s="2">
        <f>IF(D30="","",ROUND(D30*玩法行为规划!C30,2))</f>
        <v>6.6</v>
      </c>
      <c r="AH30" s="2">
        <f>IF(E30="","",ROUND(E30*玩法行为规划!D30,2))</f>
        <v>2.5</v>
      </c>
      <c r="AI30" s="2">
        <f>IF(F30="","",ROUND(F30*玩法行为规划!E30,2))</f>
        <v>0</v>
      </c>
      <c r="AJ30" s="2" t="str">
        <f>IF(G30="","",ROUND(G30*玩法行为规划!F30,2))</f>
        <v/>
      </c>
      <c r="AK30" s="2" t="str">
        <f>IF(H30="","",ROUND(H30*玩法行为规划!G30,2))</f>
        <v/>
      </c>
      <c r="AL30" s="2" t="str">
        <f>IF(I30="","",ROUND(I30*玩法行为规划!H30,2))</f>
        <v/>
      </c>
      <c r="AM30" s="2" t="str">
        <f>IF(J30="","",ROUND(J30*玩法行为规划!I30,2))</f>
        <v/>
      </c>
      <c r="AN30" s="2">
        <f>IF(K30="","",ROUND(K30*玩法行为规划!J30,2))</f>
        <v>0</v>
      </c>
      <c r="AO30" s="2">
        <f>IF(L30="","",ROUND(L30*玩法行为规划!K30,2))</f>
        <v>0</v>
      </c>
      <c r="AP30" s="2">
        <f>IF(M30="","",ROUND(M30*玩法行为规划!L30,2))</f>
        <v>0</v>
      </c>
      <c r="AQ30" s="2">
        <f>IF(N30="","",ROUND(N30*玩法行为规划!M30,2))</f>
        <v>12</v>
      </c>
      <c r="AR30" s="2">
        <f>IF(O30="","",ROUND(O30*玩法行为规划!N30,2))</f>
        <v>12.5</v>
      </c>
      <c r="AS30" s="2">
        <f>IF(P30="","",ROUND(P30*玩法行为规划!O30,2))</f>
        <v>0.83</v>
      </c>
      <c r="AT30" s="2">
        <f>IF(Q30="","",ROUND(Q30*玩法行为规划!P30,2))</f>
        <v>52</v>
      </c>
      <c r="AU30" s="2">
        <f>IF(R30="","",ROUND(R30*玩法行为规划!Q30,2))</f>
        <v>0</v>
      </c>
      <c r="AV30" s="2">
        <f>IF(S30="","",ROUND(S30*玩法行为规划!R30,2))</f>
        <v>6.67</v>
      </c>
      <c r="AW30" s="2">
        <f>IF(T30="","",ROUND(T30*玩法行为规划!S30,2))</f>
        <v>0</v>
      </c>
      <c r="AX30" s="2">
        <f>IF(U30="","",ROUND(U30*玩法行为规划!T30,2))</f>
        <v>0</v>
      </c>
      <c r="AY30" s="2">
        <f>IF(V30="","",ROUND(V30*玩法行为规划!U30,2))</f>
        <v>6.67</v>
      </c>
      <c r="AZ30" s="2">
        <f>IF(W30="","",ROUND(W30*玩法行为规划!V30,2))</f>
        <v>0</v>
      </c>
      <c r="BA30" s="2">
        <f>IF(X30="","",ROUND(X30*玩法行为规划!W30,2))</f>
        <v>0</v>
      </c>
      <c r="BB30" s="2">
        <f>IF(Y30="","",ROUND(Y30*玩法行为规划!X30,2))</f>
        <v>0</v>
      </c>
      <c r="BC30" s="2">
        <f>IF(Z30="","",ROUND(Z30*玩法行为规划!Y30,2))</f>
        <v>0</v>
      </c>
      <c r="BD30" s="2">
        <f>IF(AA30="","",ROUND(AA30*玩法行为规划!Z30,2))</f>
        <v>0</v>
      </c>
      <c r="BE30" s="2" t="str">
        <f>IF(AB30="","",ROUND(AB30*玩法行为规划!AA30,2))</f>
        <v/>
      </c>
      <c r="BF30" s="2" t="str">
        <f>IF(AC30="","",ROUND(AC30*玩法行为规划!AB30,2))</f>
        <v/>
      </c>
      <c r="BG30" s="2" t="str">
        <f>IF(AD30="","",ROUND(AD30*玩法行为规划!AC30,2))</f>
        <v/>
      </c>
      <c r="BH30" s="3" t="str">
        <f>IF(AE30="","",ROUND(AE30*玩法行为规划!AD30,2))</f>
        <v/>
      </c>
      <c r="BI30" s="7">
        <f t="shared" si="0"/>
        <v>116.44</v>
      </c>
      <c r="BJ30" s="7">
        <f t="shared" si="1"/>
        <v>1304128</v>
      </c>
      <c r="BK30" s="10">
        <f t="shared" si="3"/>
        <v>44800</v>
      </c>
      <c r="BL30" s="21" t="str">
        <f t="shared" si="5"/>
        <v/>
      </c>
      <c r="BM30" s="7">
        <f t="shared" si="2"/>
        <v>0.53828038640842024</v>
      </c>
      <c r="BN30" s="69">
        <f>INT(BJ30*升级节奏!G30+BK30)</f>
        <v>83228</v>
      </c>
      <c r="BO30" s="7">
        <f t="shared" si="4"/>
        <v>124</v>
      </c>
      <c r="BP30" s="7"/>
      <c r="BQ30" s="7"/>
    </row>
    <row r="31" spans="1:69">
      <c r="A31" s="29">
        <v>29</v>
      </c>
      <c r="B31" s="84">
        <f>升级节奏!C31</f>
        <v>11600</v>
      </c>
      <c r="C31" s="53">
        <f>IF(VLOOKUP(C$2,行为概览!$D$3:$J$33,7,0)="","",VLOOKUP(C$2,行为概览!$D$3:$J$33,7,0))</f>
        <v>50</v>
      </c>
      <c r="D31" s="53">
        <f>IF(VLOOKUP(D$2,行为概览!$D$3:$J$33,7,0)="","",VLOOKUP(D$2,行为概览!$D$3:$J$33,7,0))</f>
        <v>3.3</v>
      </c>
      <c r="E31" s="53">
        <f>IF(VLOOKUP(E$2,行为概览!$D$3:$J$33,7,0)="","",VLOOKUP(E$2,行为概览!$D$3:$J$33,7,0))</f>
        <v>30</v>
      </c>
      <c r="F31" s="53">
        <f>IF(VLOOKUP(F$2,行为概览!$D$3:$J$33,7,0)="","",VLOOKUP(F$2,行为概览!$D$3:$J$33,7,0))</f>
        <v>15</v>
      </c>
      <c r="G31" s="53" t="str">
        <f>IF(VLOOKUP(G$2,行为概览!$D$3:$J$33,7,0)="","",VLOOKUP(G$2,行为概览!$D$3:$J$33,7,0))</f>
        <v/>
      </c>
      <c r="H31" s="53" t="str">
        <f>IF(VLOOKUP(H$2,行为概览!$D$3:$J$33,7,0)="","",VLOOKUP(H$2,行为概览!$D$3:$J$33,7,0))</f>
        <v/>
      </c>
      <c r="I31" s="53" t="str">
        <f>IF(VLOOKUP(I$2,行为概览!$D$3:$J$33,7,0)="","",VLOOKUP(I$2,行为概览!$D$3:$J$33,7,0))</f>
        <v/>
      </c>
      <c r="J31" s="53" t="str">
        <f>IF(VLOOKUP(J$2,行为概览!$D$3:$J$33,7,0)="","",VLOOKUP(J$2,行为概览!$D$3:$J$33,7,0))</f>
        <v/>
      </c>
      <c r="K31" s="53">
        <f>IF(VLOOKUP(K$2,行为概览!$D$3:$J$33,7,0)="","",VLOOKUP(K$2,行为概览!$D$3:$J$33,7,0))</f>
        <v>20</v>
      </c>
      <c r="L31" s="53">
        <f>IF(VLOOKUP(L$2,行为概览!$D$3:$J$33,7,0)="","",VLOOKUP(L$2,行为概览!$D$3:$J$33,7,0))</f>
        <v>20</v>
      </c>
      <c r="M31" s="53">
        <f>IF(VLOOKUP(M$2,行为概览!$D$3:$J$33,7,0)="","",VLOOKUP(M$2,行为概览!$D$3:$J$33,7,0))</f>
        <v>40</v>
      </c>
      <c r="N31" s="53">
        <f>IF(VLOOKUP(N$2,行为概览!$D$3:$J$33,7,0)="","",VLOOKUP(N$2,行为概览!$D$3:$J$33,7,0))</f>
        <v>1</v>
      </c>
      <c r="O31" s="53">
        <f>IF(VLOOKUP(O$2,行为概览!$D$3:$J$33,7,0)="","",VLOOKUP(O$2,行为概览!$D$3:$J$33,7,0))</f>
        <v>150</v>
      </c>
      <c r="P31" s="53">
        <f>IF(VLOOKUP(P$2,行为概览!$D$3:$J$33,7,0)="","",VLOOKUP(P$2,行为概览!$D$3:$J$33,7,0))</f>
        <v>10</v>
      </c>
      <c r="Q31" s="53">
        <f>IF(VLOOKUP(Q$2,行为概览!$D$3:$J$33,7,0)="","",VLOOKUP(Q$2,行为概览!$D$3:$J$33,7,0))</f>
        <v>20</v>
      </c>
      <c r="R31" s="53">
        <f>IF(VLOOKUP(R$2,行为概览!$D$3:$J$33,7,0)="","",VLOOKUP(R$2,行为概览!$D$3:$J$33,7,0))</f>
        <v>6</v>
      </c>
      <c r="S31" s="53">
        <f>IF(VLOOKUP(S$2,行为概览!$D$3:$J$33,7,0)="","",VLOOKUP(S$2,行为概览!$D$3:$J$33,7,0))</f>
        <v>20</v>
      </c>
      <c r="T31" s="53">
        <f>IF(VLOOKUP(T$2,行为概览!$D$3:$J$33,7,0)="","",VLOOKUP(T$2,行为概览!$D$3:$J$33,7,0))</f>
        <v>15</v>
      </c>
      <c r="U31" s="53">
        <f>IF(VLOOKUP(U$2,行为概览!$D$3:$J$33,7,0)="","",VLOOKUP(U$2,行为概览!$D$3:$J$33,7,0))</f>
        <v>15</v>
      </c>
      <c r="V31" s="53">
        <f>IF(VLOOKUP(V$2,行为概览!$D$3:$J$33,7,0)="","",VLOOKUP(V$2,行为概览!$D$3:$J$33,7,0))</f>
        <v>40</v>
      </c>
      <c r="W31" s="53">
        <f>IF(VLOOKUP(W$2,行为概览!$D$3:$J$33,7,0)="","",VLOOKUP(W$2,行为概览!$D$3:$J$33,7,0))</f>
        <v>15</v>
      </c>
      <c r="X31" s="53">
        <f>IF(VLOOKUP(X$2,行为概览!$D$3:$J$33,7,0)="","",VLOOKUP(X$2,行为概览!$D$3:$J$33,7,0))</f>
        <v>30</v>
      </c>
      <c r="Y31" s="53">
        <f>IF(VLOOKUP(Y$2,行为概览!$D$3:$J$33,7,0)="","",VLOOKUP(Y$2,行为概览!$D$3:$J$33,7,0))</f>
        <v>25</v>
      </c>
      <c r="Z31" s="53">
        <f>IF(VLOOKUP(Z$2,行为概览!$D$3:$J$33,7,0)="","",VLOOKUP(Z$2,行为概览!$D$3:$J$33,7,0))</f>
        <v>15</v>
      </c>
      <c r="AA31" s="53">
        <f>IF(VLOOKUP(AA$2,行为概览!$D$3:$J$33,7,0)="","",VLOOKUP(AA$2,行为概览!$D$3:$J$33,7,0))</f>
        <v>15</v>
      </c>
      <c r="AB31" s="53" t="str">
        <f>IF(VLOOKUP(AB$2,行为概览!$D$3:$J$33,7,0)="","",VLOOKUP(AB$2,行为概览!$D$3:$J$33,7,0))</f>
        <v/>
      </c>
      <c r="AC31" s="53" t="str">
        <f>IF(VLOOKUP(AC$2,行为概览!$D$3:$J$33,7,0)="","",VLOOKUP(AC$2,行为概览!$D$3:$J$33,7,0))</f>
        <v/>
      </c>
      <c r="AD31" s="53" t="str">
        <f>IF(VLOOKUP(AD$2,行为概览!$D$3:$J$33,7,0)="","",VLOOKUP(AD$2,行为概览!$D$3:$J$33,7,0))</f>
        <v/>
      </c>
      <c r="AE31" s="68" t="str">
        <f>IF(VLOOKUP(AE$2,行为概览!$D$3:$J$33,7,0)="","",VLOOKUP(AE$2,行为概览!$D$3:$J$33,7,0))</f>
        <v/>
      </c>
      <c r="AF31" s="1">
        <f>IF(C31="","",ROUND(C31*玩法行为规划!B31,2))</f>
        <v>16.670000000000002</v>
      </c>
      <c r="AG31" s="2">
        <f>IF(D31="","",ROUND(D31*玩法行为规划!C31,2))</f>
        <v>6.6</v>
      </c>
      <c r="AH31" s="2">
        <f>IF(E31="","",ROUND(E31*玩法行为规划!D31,2))</f>
        <v>2.5</v>
      </c>
      <c r="AI31" s="2">
        <f>IF(F31="","",ROUND(F31*玩法行为规划!E31,2))</f>
        <v>0</v>
      </c>
      <c r="AJ31" s="2" t="str">
        <f>IF(G31="","",ROUND(G31*玩法行为规划!F31,2))</f>
        <v/>
      </c>
      <c r="AK31" s="2" t="str">
        <f>IF(H31="","",ROUND(H31*玩法行为规划!G31,2))</f>
        <v/>
      </c>
      <c r="AL31" s="2" t="str">
        <f>IF(I31="","",ROUND(I31*玩法行为规划!H31,2))</f>
        <v/>
      </c>
      <c r="AM31" s="2" t="str">
        <f>IF(J31="","",ROUND(J31*玩法行为规划!I31,2))</f>
        <v/>
      </c>
      <c r="AN31" s="2">
        <f>IF(K31="","",ROUND(K31*玩法行为规划!J31,2))</f>
        <v>0</v>
      </c>
      <c r="AO31" s="2">
        <f>IF(L31="","",ROUND(L31*玩法行为规划!K31,2))</f>
        <v>0</v>
      </c>
      <c r="AP31" s="2">
        <f>IF(M31="","",ROUND(M31*玩法行为规划!L31,2))</f>
        <v>0</v>
      </c>
      <c r="AQ31" s="2">
        <f>IF(N31="","",ROUND(N31*玩法行为规划!M31,2))</f>
        <v>12</v>
      </c>
      <c r="AR31" s="2">
        <f>IF(O31="","",ROUND(O31*玩法行为规划!N31,2))</f>
        <v>12.5</v>
      </c>
      <c r="AS31" s="2">
        <f>IF(P31="","",ROUND(P31*玩法行为规划!O31,2))</f>
        <v>0.83</v>
      </c>
      <c r="AT31" s="2">
        <f>IF(Q31="","",ROUND(Q31*玩法行为规划!P31,2))</f>
        <v>52</v>
      </c>
      <c r="AU31" s="2">
        <f>IF(R31="","",ROUND(R31*玩法行为规划!Q31,2))</f>
        <v>0</v>
      </c>
      <c r="AV31" s="2">
        <f>IF(S31="","",ROUND(S31*玩法行为规划!R31,2))</f>
        <v>6.67</v>
      </c>
      <c r="AW31" s="2">
        <f>IF(T31="","",ROUND(T31*玩法行为规划!S31,2))</f>
        <v>0</v>
      </c>
      <c r="AX31" s="2">
        <f>IF(U31="","",ROUND(U31*玩法行为规划!T31,2))</f>
        <v>0</v>
      </c>
      <c r="AY31" s="2">
        <f>IF(V31="","",ROUND(V31*玩法行为规划!U31,2))</f>
        <v>6.67</v>
      </c>
      <c r="AZ31" s="2">
        <f>IF(W31="","",ROUND(W31*玩法行为规划!V31,2))</f>
        <v>0</v>
      </c>
      <c r="BA31" s="2">
        <f>IF(X31="","",ROUND(X31*玩法行为规划!W31,2))</f>
        <v>0</v>
      </c>
      <c r="BB31" s="2">
        <f>IF(Y31="","",ROUND(Y31*玩法行为规划!X31,2))</f>
        <v>0</v>
      </c>
      <c r="BC31" s="2">
        <f>IF(Z31="","",ROUND(Z31*玩法行为规划!Y31,2))</f>
        <v>0</v>
      </c>
      <c r="BD31" s="2">
        <f>IF(AA31="","",ROUND(AA31*玩法行为规划!Z31,2))</f>
        <v>0</v>
      </c>
      <c r="BE31" s="2" t="str">
        <f>IF(AB31="","",ROUND(AB31*玩法行为规划!AA31,2))</f>
        <v/>
      </c>
      <c r="BF31" s="2" t="str">
        <f>IF(AC31="","",ROUND(AC31*玩法行为规划!AB31,2))</f>
        <v/>
      </c>
      <c r="BG31" s="2" t="str">
        <f>IF(AD31="","",ROUND(AD31*玩法行为规划!AC31,2))</f>
        <v/>
      </c>
      <c r="BH31" s="3" t="str">
        <f>IF(AE31="","",ROUND(AE31*玩法行为规划!AD31,2))</f>
        <v/>
      </c>
      <c r="BI31" s="7">
        <f t="shared" si="0"/>
        <v>116.44</v>
      </c>
      <c r="BJ31" s="7">
        <f t="shared" si="1"/>
        <v>1350704</v>
      </c>
      <c r="BK31" s="10">
        <f t="shared" si="3"/>
        <v>46400</v>
      </c>
      <c r="BL31" s="21" t="str">
        <f t="shared" si="5"/>
        <v/>
      </c>
      <c r="BM31" s="7">
        <f t="shared" si="2"/>
        <v>0.42201000454752158</v>
      </c>
      <c r="BN31" s="69">
        <f>INT(BJ31*升级节奏!G31+BK31)</f>
        <v>109950</v>
      </c>
      <c r="BO31" s="7">
        <f t="shared" si="4"/>
        <v>129</v>
      </c>
      <c r="BP31" s="7"/>
      <c r="BQ31" s="7"/>
    </row>
    <row r="32" spans="1:69">
      <c r="A32" s="29">
        <v>30</v>
      </c>
      <c r="B32" s="84">
        <f>升级节奏!C32</f>
        <v>12000</v>
      </c>
      <c r="C32" s="53">
        <f>IF(VLOOKUP(C$2,行为概览!$D$3:$J$33,7,0)="","",VLOOKUP(C$2,行为概览!$D$3:$J$33,7,0))</f>
        <v>50</v>
      </c>
      <c r="D32" s="53">
        <f>IF(VLOOKUP(D$2,行为概览!$D$3:$J$33,7,0)="","",VLOOKUP(D$2,行为概览!$D$3:$J$33,7,0))</f>
        <v>3.3</v>
      </c>
      <c r="E32" s="53">
        <f>IF(VLOOKUP(E$2,行为概览!$D$3:$J$33,7,0)="","",VLOOKUP(E$2,行为概览!$D$3:$J$33,7,0))</f>
        <v>30</v>
      </c>
      <c r="F32" s="53">
        <f>IF(VLOOKUP(F$2,行为概览!$D$3:$J$33,7,0)="","",VLOOKUP(F$2,行为概览!$D$3:$J$33,7,0))</f>
        <v>15</v>
      </c>
      <c r="G32" s="53" t="str">
        <f>IF(VLOOKUP(G$2,行为概览!$D$3:$J$33,7,0)="","",VLOOKUP(G$2,行为概览!$D$3:$J$33,7,0))</f>
        <v/>
      </c>
      <c r="H32" s="53" t="str">
        <f>IF(VLOOKUP(H$2,行为概览!$D$3:$J$33,7,0)="","",VLOOKUP(H$2,行为概览!$D$3:$J$33,7,0))</f>
        <v/>
      </c>
      <c r="I32" s="53" t="str">
        <f>IF(VLOOKUP(I$2,行为概览!$D$3:$J$33,7,0)="","",VLOOKUP(I$2,行为概览!$D$3:$J$33,7,0))</f>
        <v/>
      </c>
      <c r="J32" s="53" t="str">
        <f>IF(VLOOKUP(J$2,行为概览!$D$3:$J$33,7,0)="","",VLOOKUP(J$2,行为概览!$D$3:$J$33,7,0))</f>
        <v/>
      </c>
      <c r="K32" s="53">
        <f>IF(VLOOKUP(K$2,行为概览!$D$3:$J$33,7,0)="","",VLOOKUP(K$2,行为概览!$D$3:$J$33,7,0))</f>
        <v>20</v>
      </c>
      <c r="L32" s="53">
        <f>IF(VLOOKUP(L$2,行为概览!$D$3:$J$33,7,0)="","",VLOOKUP(L$2,行为概览!$D$3:$J$33,7,0))</f>
        <v>20</v>
      </c>
      <c r="M32" s="53">
        <f>IF(VLOOKUP(M$2,行为概览!$D$3:$J$33,7,0)="","",VLOOKUP(M$2,行为概览!$D$3:$J$33,7,0))</f>
        <v>40</v>
      </c>
      <c r="N32" s="53">
        <f>IF(VLOOKUP(N$2,行为概览!$D$3:$J$33,7,0)="","",VLOOKUP(N$2,行为概览!$D$3:$J$33,7,0))</f>
        <v>1</v>
      </c>
      <c r="O32" s="53">
        <f>IF(VLOOKUP(O$2,行为概览!$D$3:$J$33,7,0)="","",VLOOKUP(O$2,行为概览!$D$3:$J$33,7,0))</f>
        <v>150</v>
      </c>
      <c r="P32" s="53">
        <f>IF(VLOOKUP(P$2,行为概览!$D$3:$J$33,7,0)="","",VLOOKUP(P$2,行为概览!$D$3:$J$33,7,0))</f>
        <v>10</v>
      </c>
      <c r="Q32" s="53">
        <f>IF(VLOOKUP(Q$2,行为概览!$D$3:$J$33,7,0)="","",VLOOKUP(Q$2,行为概览!$D$3:$J$33,7,0))</f>
        <v>20</v>
      </c>
      <c r="R32" s="53">
        <f>IF(VLOOKUP(R$2,行为概览!$D$3:$J$33,7,0)="","",VLOOKUP(R$2,行为概览!$D$3:$J$33,7,0))</f>
        <v>6</v>
      </c>
      <c r="S32" s="53">
        <f>IF(VLOOKUP(S$2,行为概览!$D$3:$J$33,7,0)="","",VLOOKUP(S$2,行为概览!$D$3:$J$33,7,0))</f>
        <v>20</v>
      </c>
      <c r="T32" s="53">
        <f>IF(VLOOKUP(T$2,行为概览!$D$3:$J$33,7,0)="","",VLOOKUP(T$2,行为概览!$D$3:$J$33,7,0))</f>
        <v>15</v>
      </c>
      <c r="U32" s="53">
        <f>IF(VLOOKUP(U$2,行为概览!$D$3:$J$33,7,0)="","",VLOOKUP(U$2,行为概览!$D$3:$J$33,7,0))</f>
        <v>15</v>
      </c>
      <c r="V32" s="53">
        <f>IF(VLOOKUP(V$2,行为概览!$D$3:$J$33,7,0)="","",VLOOKUP(V$2,行为概览!$D$3:$J$33,7,0))</f>
        <v>40</v>
      </c>
      <c r="W32" s="53">
        <f>IF(VLOOKUP(W$2,行为概览!$D$3:$J$33,7,0)="","",VLOOKUP(W$2,行为概览!$D$3:$J$33,7,0))</f>
        <v>15</v>
      </c>
      <c r="X32" s="53">
        <f>IF(VLOOKUP(X$2,行为概览!$D$3:$J$33,7,0)="","",VLOOKUP(X$2,行为概览!$D$3:$J$33,7,0))</f>
        <v>30</v>
      </c>
      <c r="Y32" s="53">
        <f>IF(VLOOKUP(Y$2,行为概览!$D$3:$J$33,7,0)="","",VLOOKUP(Y$2,行为概览!$D$3:$J$33,7,0))</f>
        <v>25</v>
      </c>
      <c r="Z32" s="53">
        <f>IF(VLOOKUP(Z$2,行为概览!$D$3:$J$33,7,0)="","",VLOOKUP(Z$2,行为概览!$D$3:$J$33,7,0))</f>
        <v>15</v>
      </c>
      <c r="AA32" s="53">
        <f>IF(VLOOKUP(AA$2,行为概览!$D$3:$J$33,7,0)="","",VLOOKUP(AA$2,行为概览!$D$3:$J$33,7,0))</f>
        <v>15</v>
      </c>
      <c r="AB32" s="53" t="str">
        <f>IF(VLOOKUP(AB$2,行为概览!$D$3:$J$33,7,0)="","",VLOOKUP(AB$2,行为概览!$D$3:$J$33,7,0))</f>
        <v/>
      </c>
      <c r="AC32" s="53" t="str">
        <f>IF(VLOOKUP(AC$2,行为概览!$D$3:$J$33,7,0)="","",VLOOKUP(AC$2,行为概览!$D$3:$J$33,7,0))</f>
        <v/>
      </c>
      <c r="AD32" s="53" t="str">
        <f>IF(VLOOKUP(AD$2,行为概览!$D$3:$J$33,7,0)="","",VLOOKUP(AD$2,行为概览!$D$3:$J$33,7,0))</f>
        <v/>
      </c>
      <c r="AE32" s="68" t="str">
        <f>IF(VLOOKUP(AE$2,行为概览!$D$3:$J$33,7,0)="","",VLOOKUP(AE$2,行为概览!$D$3:$J$33,7,0))</f>
        <v/>
      </c>
      <c r="AF32" s="1">
        <f>IF(C32="","",ROUND(C32*玩法行为规划!B32,2))</f>
        <v>16.670000000000002</v>
      </c>
      <c r="AG32" s="2">
        <f>IF(D32="","",ROUND(D32*玩法行为规划!C32,2))</f>
        <v>6.6</v>
      </c>
      <c r="AH32" s="2">
        <f>IF(E32="","",ROUND(E32*玩法行为规划!D32,2))</f>
        <v>2.5</v>
      </c>
      <c r="AI32" s="2">
        <f>IF(F32="","",ROUND(F32*玩法行为规划!E32,2))</f>
        <v>0</v>
      </c>
      <c r="AJ32" s="2" t="str">
        <f>IF(G32="","",ROUND(G32*玩法行为规划!F32,2))</f>
        <v/>
      </c>
      <c r="AK32" s="2" t="str">
        <f>IF(H32="","",ROUND(H32*玩法行为规划!G32,2))</f>
        <v/>
      </c>
      <c r="AL32" s="2" t="str">
        <f>IF(I32="","",ROUND(I32*玩法行为规划!H32,2))</f>
        <v/>
      </c>
      <c r="AM32" s="2" t="str">
        <f>IF(J32="","",ROUND(J32*玩法行为规划!I32,2))</f>
        <v/>
      </c>
      <c r="AN32" s="2">
        <f>IF(K32="","",ROUND(K32*玩法行为规划!J32,2))</f>
        <v>10</v>
      </c>
      <c r="AO32" s="2">
        <f>IF(L32="","",ROUND(L32*玩法行为规划!K32,2))</f>
        <v>0</v>
      </c>
      <c r="AP32" s="2">
        <f>IF(M32="","",ROUND(M32*玩法行为规划!L32,2))</f>
        <v>0</v>
      </c>
      <c r="AQ32" s="2">
        <f>IF(N32="","",ROUND(N32*玩法行为规划!M32,2))</f>
        <v>12</v>
      </c>
      <c r="AR32" s="2">
        <f>IF(O32="","",ROUND(O32*玩法行为规划!N32,2))</f>
        <v>12.5</v>
      </c>
      <c r="AS32" s="2">
        <f>IF(P32="","",ROUND(P32*玩法行为规划!O32,2))</f>
        <v>0.83</v>
      </c>
      <c r="AT32" s="2">
        <f>IF(Q32="","",ROUND(Q32*玩法行为规划!P32,2))</f>
        <v>52</v>
      </c>
      <c r="AU32" s="2">
        <f>IF(R32="","",ROUND(R32*玩法行为规划!Q32,2))</f>
        <v>6</v>
      </c>
      <c r="AV32" s="2">
        <f>IF(S32="","",ROUND(S32*玩法行为规划!R32,2))</f>
        <v>6.67</v>
      </c>
      <c r="AW32" s="2">
        <f>IF(T32="","",ROUND(T32*玩法行为规划!S32,2))</f>
        <v>0</v>
      </c>
      <c r="AX32" s="2">
        <f>IF(U32="","",ROUND(U32*玩法行为规划!T32,2))</f>
        <v>0</v>
      </c>
      <c r="AY32" s="2">
        <f>IF(V32="","",ROUND(V32*玩法行为规划!U32,2))</f>
        <v>6.67</v>
      </c>
      <c r="AZ32" s="2">
        <f>IF(W32="","",ROUND(W32*玩法行为规划!V32,2))</f>
        <v>2.5</v>
      </c>
      <c r="BA32" s="2">
        <f>IF(X32="","",ROUND(X32*玩法行为规划!W32,2))</f>
        <v>5</v>
      </c>
      <c r="BB32" s="2">
        <f>IF(Y32="","",ROUND(Y32*玩法行为规划!X32,2))</f>
        <v>0</v>
      </c>
      <c r="BC32" s="2">
        <f>IF(Z32="","",ROUND(Z32*玩法行为规划!Y32,2))</f>
        <v>0</v>
      </c>
      <c r="BD32" s="2">
        <f>IF(AA32="","",ROUND(AA32*玩法行为规划!Z32,2))</f>
        <v>0</v>
      </c>
      <c r="BE32" s="2" t="str">
        <f>IF(AB32="","",ROUND(AB32*玩法行为规划!AA32,2))</f>
        <v/>
      </c>
      <c r="BF32" s="2" t="str">
        <f>IF(AC32="","",ROUND(AC32*玩法行为规划!AB32,2))</f>
        <v/>
      </c>
      <c r="BG32" s="2" t="str">
        <f>IF(AD32="","",ROUND(AD32*玩法行为规划!AC32,2))</f>
        <v/>
      </c>
      <c r="BH32" s="3" t="str">
        <f>IF(AE32="","",ROUND(AE32*玩法行为规划!AD32,2))</f>
        <v/>
      </c>
      <c r="BI32" s="7">
        <f t="shared" si="0"/>
        <v>139.94</v>
      </c>
      <c r="BJ32" s="7">
        <f t="shared" si="1"/>
        <v>1679280</v>
      </c>
      <c r="BK32" s="10">
        <f t="shared" si="3"/>
        <v>48000</v>
      </c>
      <c r="BL32" s="21">
        <f t="shared" si="5"/>
        <v>944400</v>
      </c>
      <c r="BM32" s="7">
        <f t="shared" si="2"/>
        <v>0.30009002700810244</v>
      </c>
      <c r="BN32" s="69">
        <f>INT(BJ32*升级节奏!G32+BK32)</f>
        <v>159952</v>
      </c>
      <c r="BO32" s="7">
        <f t="shared" si="4"/>
        <v>133</v>
      </c>
      <c r="BP32" s="7"/>
      <c r="BQ32" s="7"/>
    </row>
    <row r="33" spans="1:69">
      <c r="A33" s="29">
        <v>31</v>
      </c>
      <c r="B33" s="84">
        <f>升级节奏!C33</f>
        <v>12400</v>
      </c>
      <c r="C33" s="53">
        <f>IF(VLOOKUP(C$2,行为概览!$D$3:$J$33,7,0)="","",VLOOKUP(C$2,行为概览!$D$3:$J$33,7,0))</f>
        <v>50</v>
      </c>
      <c r="D33" s="53">
        <f>IF(VLOOKUP(D$2,行为概览!$D$3:$J$33,7,0)="","",VLOOKUP(D$2,行为概览!$D$3:$J$33,7,0))</f>
        <v>3.3</v>
      </c>
      <c r="E33" s="53">
        <f>IF(VLOOKUP(E$2,行为概览!$D$3:$J$33,7,0)="","",VLOOKUP(E$2,行为概览!$D$3:$J$33,7,0))</f>
        <v>30</v>
      </c>
      <c r="F33" s="53">
        <f>IF(VLOOKUP(F$2,行为概览!$D$3:$J$33,7,0)="","",VLOOKUP(F$2,行为概览!$D$3:$J$33,7,0))</f>
        <v>15</v>
      </c>
      <c r="G33" s="53" t="str">
        <f>IF(VLOOKUP(G$2,行为概览!$D$3:$J$33,7,0)="","",VLOOKUP(G$2,行为概览!$D$3:$J$33,7,0))</f>
        <v/>
      </c>
      <c r="H33" s="53" t="str">
        <f>IF(VLOOKUP(H$2,行为概览!$D$3:$J$33,7,0)="","",VLOOKUP(H$2,行为概览!$D$3:$J$33,7,0))</f>
        <v/>
      </c>
      <c r="I33" s="53" t="str">
        <f>IF(VLOOKUP(I$2,行为概览!$D$3:$J$33,7,0)="","",VLOOKUP(I$2,行为概览!$D$3:$J$33,7,0))</f>
        <v/>
      </c>
      <c r="J33" s="53" t="str">
        <f>IF(VLOOKUP(J$2,行为概览!$D$3:$J$33,7,0)="","",VLOOKUP(J$2,行为概览!$D$3:$J$33,7,0))</f>
        <v/>
      </c>
      <c r="K33" s="53">
        <f>IF(VLOOKUP(K$2,行为概览!$D$3:$J$33,7,0)="","",VLOOKUP(K$2,行为概览!$D$3:$J$33,7,0))</f>
        <v>20</v>
      </c>
      <c r="L33" s="53">
        <f>IF(VLOOKUP(L$2,行为概览!$D$3:$J$33,7,0)="","",VLOOKUP(L$2,行为概览!$D$3:$J$33,7,0))</f>
        <v>20</v>
      </c>
      <c r="M33" s="53">
        <f>IF(VLOOKUP(M$2,行为概览!$D$3:$J$33,7,0)="","",VLOOKUP(M$2,行为概览!$D$3:$J$33,7,0))</f>
        <v>40</v>
      </c>
      <c r="N33" s="53">
        <f>IF(VLOOKUP(N$2,行为概览!$D$3:$J$33,7,0)="","",VLOOKUP(N$2,行为概览!$D$3:$J$33,7,0))</f>
        <v>1</v>
      </c>
      <c r="O33" s="53">
        <f>IF(VLOOKUP(O$2,行为概览!$D$3:$J$33,7,0)="","",VLOOKUP(O$2,行为概览!$D$3:$J$33,7,0))</f>
        <v>150</v>
      </c>
      <c r="P33" s="53">
        <f>IF(VLOOKUP(P$2,行为概览!$D$3:$J$33,7,0)="","",VLOOKUP(P$2,行为概览!$D$3:$J$33,7,0))</f>
        <v>10</v>
      </c>
      <c r="Q33" s="53">
        <f>IF(VLOOKUP(Q$2,行为概览!$D$3:$J$33,7,0)="","",VLOOKUP(Q$2,行为概览!$D$3:$J$33,7,0))</f>
        <v>20</v>
      </c>
      <c r="R33" s="53">
        <f>IF(VLOOKUP(R$2,行为概览!$D$3:$J$33,7,0)="","",VLOOKUP(R$2,行为概览!$D$3:$J$33,7,0))</f>
        <v>6</v>
      </c>
      <c r="S33" s="53">
        <f>IF(VLOOKUP(S$2,行为概览!$D$3:$J$33,7,0)="","",VLOOKUP(S$2,行为概览!$D$3:$J$33,7,0))</f>
        <v>20</v>
      </c>
      <c r="T33" s="53">
        <f>IF(VLOOKUP(T$2,行为概览!$D$3:$J$33,7,0)="","",VLOOKUP(T$2,行为概览!$D$3:$J$33,7,0))</f>
        <v>15</v>
      </c>
      <c r="U33" s="53">
        <f>IF(VLOOKUP(U$2,行为概览!$D$3:$J$33,7,0)="","",VLOOKUP(U$2,行为概览!$D$3:$J$33,7,0))</f>
        <v>15</v>
      </c>
      <c r="V33" s="53">
        <f>IF(VLOOKUP(V$2,行为概览!$D$3:$J$33,7,0)="","",VLOOKUP(V$2,行为概览!$D$3:$J$33,7,0))</f>
        <v>40</v>
      </c>
      <c r="W33" s="53">
        <f>IF(VLOOKUP(W$2,行为概览!$D$3:$J$33,7,0)="","",VLOOKUP(W$2,行为概览!$D$3:$J$33,7,0))</f>
        <v>15</v>
      </c>
      <c r="X33" s="53">
        <f>IF(VLOOKUP(X$2,行为概览!$D$3:$J$33,7,0)="","",VLOOKUP(X$2,行为概览!$D$3:$J$33,7,0))</f>
        <v>30</v>
      </c>
      <c r="Y33" s="53">
        <f>IF(VLOOKUP(Y$2,行为概览!$D$3:$J$33,7,0)="","",VLOOKUP(Y$2,行为概览!$D$3:$J$33,7,0))</f>
        <v>25</v>
      </c>
      <c r="Z33" s="53">
        <f>IF(VLOOKUP(Z$2,行为概览!$D$3:$J$33,7,0)="","",VLOOKUP(Z$2,行为概览!$D$3:$J$33,7,0))</f>
        <v>15</v>
      </c>
      <c r="AA33" s="53">
        <f>IF(VLOOKUP(AA$2,行为概览!$D$3:$J$33,7,0)="","",VLOOKUP(AA$2,行为概览!$D$3:$J$33,7,0))</f>
        <v>15</v>
      </c>
      <c r="AB33" s="53" t="str">
        <f>IF(VLOOKUP(AB$2,行为概览!$D$3:$J$33,7,0)="","",VLOOKUP(AB$2,行为概览!$D$3:$J$33,7,0))</f>
        <v/>
      </c>
      <c r="AC33" s="53" t="str">
        <f>IF(VLOOKUP(AC$2,行为概览!$D$3:$J$33,7,0)="","",VLOOKUP(AC$2,行为概览!$D$3:$J$33,7,0))</f>
        <v/>
      </c>
      <c r="AD33" s="53" t="str">
        <f>IF(VLOOKUP(AD$2,行为概览!$D$3:$J$33,7,0)="","",VLOOKUP(AD$2,行为概览!$D$3:$J$33,7,0))</f>
        <v/>
      </c>
      <c r="AE33" s="68" t="str">
        <f>IF(VLOOKUP(AE$2,行为概览!$D$3:$J$33,7,0)="","",VLOOKUP(AE$2,行为概览!$D$3:$J$33,7,0))</f>
        <v/>
      </c>
      <c r="AF33" s="1">
        <f>IF(C33="","",ROUND(C33*玩法行为规划!B33,2))</f>
        <v>16.670000000000002</v>
      </c>
      <c r="AG33" s="2">
        <f>IF(D33="","",ROUND(D33*玩法行为规划!C33,2))</f>
        <v>6.6</v>
      </c>
      <c r="AH33" s="2">
        <f>IF(E33="","",ROUND(E33*玩法行为规划!D33,2))</f>
        <v>2.5</v>
      </c>
      <c r="AI33" s="2">
        <f>IF(F33="","",ROUND(F33*玩法行为规划!E33,2))</f>
        <v>0</v>
      </c>
      <c r="AJ33" s="2" t="str">
        <f>IF(G33="","",ROUND(G33*玩法行为规划!F33,2))</f>
        <v/>
      </c>
      <c r="AK33" s="2" t="str">
        <f>IF(H33="","",ROUND(H33*玩法行为规划!G33,2))</f>
        <v/>
      </c>
      <c r="AL33" s="2" t="str">
        <f>IF(I33="","",ROUND(I33*玩法行为规划!H33,2))</f>
        <v/>
      </c>
      <c r="AM33" s="2" t="str">
        <f>IF(J33="","",ROUND(J33*玩法行为规划!I33,2))</f>
        <v/>
      </c>
      <c r="AN33" s="2">
        <f>IF(K33="","",ROUND(K33*玩法行为规划!J33,2))</f>
        <v>10</v>
      </c>
      <c r="AO33" s="2">
        <f>IF(L33="","",ROUND(L33*玩法行为规划!K33,2))</f>
        <v>0</v>
      </c>
      <c r="AP33" s="2">
        <f>IF(M33="","",ROUND(M33*玩法行为规划!L33,2))</f>
        <v>0</v>
      </c>
      <c r="AQ33" s="2">
        <f>IF(N33="","",ROUND(N33*玩法行为规划!M33,2))</f>
        <v>12</v>
      </c>
      <c r="AR33" s="2">
        <f>IF(O33="","",ROUND(O33*玩法行为规划!N33,2))</f>
        <v>12.5</v>
      </c>
      <c r="AS33" s="2">
        <f>IF(P33="","",ROUND(P33*玩法行为规划!O33,2))</f>
        <v>0.83</v>
      </c>
      <c r="AT33" s="2">
        <f>IF(Q33="","",ROUND(Q33*玩法行为规划!P33,2))</f>
        <v>52</v>
      </c>
      <c r="AU33" s="2">
        <f>IF(R33="","",ROUND(R33*玩法行为规划!Q33,2))</f>
        <v>6</v>
      </c>
      <c r="AV33" s="2">
        <f>IF(S33="","",ROUND(S33*玩法行为规划!R33,2))</f>
        <v>6.67</v>
      </c>
      <c r="AW33" s="2">
        <f>IF(T33="","",ROUND(T33*玩法行为规划!S33,2))</f>
        <v>0</v>
      </c>
      <c r="AX33" s="2">
        <f>IF(U33="","",ROUND(U33*玩法行为规划!T33,2))</f>
        <v>0</v>
      </c>
      <c r="AY33" s="2">
        <f>IF(V33="","",ROUND(V33*玩法行为规划!U33,2))</f>
        <v>6.67</v>
      </c>
      <c r="AZ33" s="2">
        <f>IF(W33="","",ROUND(W33*玩法行为规划!V33,2))</f>
        <v>2.5</v>
      </c>
      <c r="BA33" s="2">
        <f>IF(X33="","",ROUND(X33*玩法行为规划!W33,2))</f>
        <v>5</v>
      </c>
      <c r="BB33" s="2">
        <f>IF(Y33="","",ROUND(Y33*玩法行为规划!X33,2))</f>
        <v>0</v>
      </c>
      <c r="BC33" s="2">
        <f>IF(Z33="","",ROUND(Z33*玩法行为规划!Y33,2))</f>
        <v>0</v>
      </c>
      <c r="BD33" s="2">
        <f>IF(AA33="","",ROUND(AA33*玩法行为规划!Z33,2))</f>
        <v>0</v>
      </c>
      <c r="BE33" s="2" t="str">
        <f>IF(AB33="","",ROUND(AB33*玩法行为规划!AA33,2))</f>
        <v/>
      </c>
      <c r="BF33" s="2" t="str">
        <f>IF(AC33="","",ROUND(AC33*玩法行为规划!AB33,2))</f>
        <v/>
      </c>
      <c r="BG33" s="2" t="str">
        <f>IF(AD33="","",ROUND(AD33*玩法行为规划!AC33,2))</f>
        <v/>
      </c>
      <c r="BH33" s="3" t="str">
        <f>IF(AE33="","",ROUND(AE33*玩法行为规划!AD33,2))</f>
        <v/>
      </c>
      <c r="BI33" s="7">
        <f t="shared" si="0"/>
        <v>139.94</v>
      </c>
      <c r="BJ33" s="7">
        <f t="shared" si="1"/>
        <v>1735256</v>
      </c>
      <c r="BK33" s="10">
        <f t="shared" si="3"/>
        <v>57000</v>
      </c>
      <c r="BL33" s="21" t="str">
        <f t="shared" si="5"/>
        <v/>
      </c>
      <c r="BM33" s="7">
        <f t="shared" si="2"/>
        <v>0.27088036117381492</v>
      </c>
      <c r="BN33" s="69">
        <f>INT(BJ33*升级节奏!G33+BK33)</f>
        <v>210425</v>
      </c>
      <c r="BO33" s="7">
        <f t="shared" si="4"/>
        <v>138</v>
      </c>
      <c r="BP33" s="7"/>
      <c r="BQ33" s="7"/>
    </row>
    <row r="34" spans="1:69">
      <c r="A34" s="29">
        <v>32</v>
      </c>
      <c r="B34" s="84">
        <f>升级节奏!C34</f>
        <v>12800</v>
      </c>
      <c r="C34" s="53">
        <f>IF(VLOOKUP(C$2,行为概览!$D$3:$J$33,7,0)="","",VLOOKUP(C$2,行为概览!$D$3:$J$33,7,0))</f>
        <v>50</v>
      </c>
      <c r="D34" s="53">
        <f>IF(VLOOKUP(D$2,行为概览!$D$3:$J$33,7,0)="","",VLOOKUP(D$2,行为概览!$D$3:$J$33,7,0))</f>
        <v>3.3</v>
      </c>
      <c r="E34" s="53">
        <f>IF(VLOOKUP(E$2,行为概览!$D$3:$J$33,7,0)="","",VLOOKUP(E$2,行为概览!$D$3:$J$33,7,0))</f>
        <v>30</v>
      </c>
      <c r="F34" s="53">
        <f>IF(VLOOKUP(F$2,行为概览!$D$3:$J$33,7,0)="","",VLOOKUP(F$2,行为概览!$D$3:$J$33,7,0))</f>
        <v>15</v>
      </c>
      <c r="G34" s="53" t="str">
        <f>IF(VLOOKUP(G$2,行为概览!$D$3:$J$33,7,0)="","",VLOOKUP(G$2,行为概览!$D$3:$J$33,7,0))</f>
        <v/>
      </c>
      <c r="H34" s="53" t="str">
        <f>IF(VLOOKUP(H$2,行为概览!$D$3:$J$33,7,0)="","",VLOOKUP(H$2,行为概览!$D$3:$J$33,7,0))</f>
        <v/>
      </c>
      <c r="I34" s="53" t="str">
        <f>IF(VLOOKUP(I$2,行为概览!$D$3:$J$33,7,0)="","",VLOOKUP(I$2,行为概览!$D$3:$J$33,7,0))</f>
        <v/>
      </c>
      <c r="J34" s="53" t="str">
        <f>IF(VLOOKUP(J$2,行为概览!$D$3:$J$33,7,0)="","",VLOOKUP(J$2,行为概览!$D$3:$J$33,7,0))</f>
        <v/>
      </c>
      <c r="K34" s="53">
        <f>IF(VLOOKUP(K$2,行为概览!$D$3:$J$33,7,0)="","",VLOOKUP(K$2,行为概览!$D$3:$J$33,7,0))</f>
        <v>20</v>
      </c>
      <c r="L34" s="53">
        <f>IF(VLOOKUP(L$2,行为概览!$D$3:$J$33,7,0)="","",VLOOKUP(L$2,行为概览!$D$3:$J$33,7,0))</f>
        <v>20</v>
      </c>
      <c r="M34" s="53">
        <f>IF(VLOOKUP(M$2,行为概览!$D$3:$J$33,7,0)="","",VLOOKUP(M$2,行为概览!$D$3:$J$33,7,0))</f>
        <v>40</v>
      </c>
      <c r="N34" s="53">
        <f>IF(VLOOKUP(N$2,行为概览!$D$3:$J$33,7,0)="","",VLOOKUP(N$2,行为概览!$D$3:$J$33,7,0))</f>
        <v>1</v>
      </c>
      <c r="O34" s="53">
        <f>IF(VLOOKUP(O$2,行为概览!$D$3:$J$33,7,0)="","",VLOOKUP(O$2,行为概览!$D$3:$J$33,7,0))</f>
        <v>150</v>
      </c>
      <c r="P34" s="53">
        <f>IF(VLOOKUP(P$2,行为概览!$D$3:$J$33,7,0)="","",VLOOKUP(P$2,行为概览!$D$3:$J$33,7,0))</f>
        <v>10</v>
      </c>
      <c r="Q34" s="53">
        <f>IF(VLOOKUP(Q$2,行为概览!$D$3:$J$33,7,0)="","",VLOOKUP(Q$2,行为概览!$D$3:$J$33,7,0))</f>
        <v>20</v>
      </c>
      <c r="R34" s="53">
        <f>IF(VLOOKUP(R$2,行为概览!$D$3:$J$33,7,0)="","",VLOOKUP(R$2,行为概览!$D$3:$J$33,7,0))</f>
        <v>6</v>
      </c>
      <c r="S34" s="53">
        <f>IF(VLOOKUP(S$2,行为概览!$D$3:$J$33,7,0)="","",VLOOKUP(S$2,行为概览!$D$3:$J$33,7,0))</f>
        <v>20</v>
      </c>
      <c r="T34" s="53">
        <f>IF(VLOOKUP(T$2,行为概览!$D$3:$J$33,7,0)="","",VLOOKUP(T$2,行为概览!$D$3:$J$33,7,0))</f>
        <v>15</v>
      </c>
      <c r="U34" s="53">
        <f>IF(VLOOKUP(U$2,行为概览!$D$3:$J$33,7,0)="","",VLOOKUP(U$2,行为概览!$D$3:$J$33,7,0))</f>
        <v>15</v>
      </c>
      <c r="V34" s="53">
        <f>IF(VLOOKUP(V$2,行为概览!$D$3:$J$33,7,0)="","",VLOOKUP(V$2,行为概览!$D$3:$J$33,7,0))</f>
        <v>40</v>
      </c>
      <c r="W34" s="53">
        <f>IF(VLOOKUP(W$2,行为概览!$D$3:$J$33,7,0)="","",VLOOKUP(W$2,行为概览!$D$3:$J$33,7,0))</f>
        <v>15</v>
      </c>
      <c r="X34" s="53">
        <f>IF(VLOOKUP(X$2,行为概览!$D$3:$J$33,7,0)="","",VLOOKUP(X$2,行为概览!$D$3:$J$33,7,0))</f>
        <v>30</v>
      </c>
      <c r="Y34" s="53">
        <f>IF(VLOOKUP(Y$2,行为概览!$D$3:$J$33,7,0)="","",VLOOKUP(Y$2,行为概览!$D$3:$J$33,7,0))</f>
        <v>25</v>
      </c>
      <c r="Z34" s="53">
        <f>IF(VLOOKUP(Z$2,行为概览!$D$3:$J$33,7,0)="","",VLOOKUP(Z$2,行为概览!$D$3:$J$33,7,0))</f>
        <v>15</v>
      </c>
      <c r="AA34" s="53">
        <f>IF(VLOOKUP(AA$2,行为概览!$D$3:$J$33,7,0)="","",VLOOKUP(AA$2,行为概览!$D$3:$J$33,7,0))</f>
        <v>15</v>
      </c>
      <c r="AB34" s="53" t="str">
        <f>IF(VLOOKUP(AB$2,行为概览!$D$3:$J$33,7,0)="","",VLOOKUP(AB$2,行为概览!$D$3:$J$33,7,0))</f>
        <v/>
      </c>
      <c r="AC34" s="53" t="str">
        <f>IF(VLOOKUP(AC$2,行为概览!$D$3:$J$33,7,0)="","",VLOOKUP(AC$2,行为概览!$D$3:$J$33,7,0))</f>
        <v/>
      </c>
      <c r="AD34" s="53" t="str">
        <f>IF(VLOOKUP(AD$2,行为概览!$D$3:$J$33,7,0)="","",VLOOKUP(AD$2,行为概览!$D$3:$J$33,7,0))</f>
        <v/>
      </c>
      <c r="AE34" s="68" t="str">
        <f>IF(VLOOKUP(AE$2,行为概览!$D$3:$J$33,7,0)="","",VLOOKUP(AE$2,行为概览!$D$3:$J$33,7,0))</f>
        <v/>
      </c>
      <c r="AF34" s="1">
        <f>IF(C34="","",ROUND(C34*玩法行为规划!B34,2))</f>
        <v>16.670000000000002</v>
      </c>
      <c r="AG34" s="2">
        <f>IF(D34="","",ROUND(D34*玩法行为规划!C34,2))</f>
        <v>6.6</v>
      </c>
      <c r="AH34" s="2">
        <f>IF(E34="","",ROUND(E34*玩法行为规划!D34,2))</f>
        <v>2.5</v>
      </c>
      <c r="AI34" s="2">
        <f>IF(F34="","",ROUND(F34*玩法行为规划!E34,2))</f>
        <v>0</v>
      </c>
      <c r="AJ34" s="2" t="str">
        <f>IF(G34="","",ROUND(G34*玩法行为规划!F34,2))</f>
        <v/>
      </c>
      <c r="AK34" s="2" t="str">
        <f>IF(H34="","",ROUND(H34*玩法行为规划!G34,2))</f>
        <v/>
      </c>
      <c r="AL34" s="2" t="str">
        <f>IF(I34="","",ROUND(I34*玩法行为规划!H34,2))</f>
        <v/>
      </c>
      <c r="AM34" s="2" t="str">
        <f>IF(J34="","",ROUND(J34*玩法行为规划!I34,2))</f>
        <v/>
      </c>
      <c r="AN34" s="2">
        <f>IF(K34="","",ROUND(K34*玩法行为规划!J34,2))</f>
        <v>10</v>
      </c>
      <c r="AO34" s="2">
        <f>IF(L34="","",ROUND(L34*玩法行为规划!K34,2))</f>
        <v>0</v>
      </c>
      <c r="AP34" s="2">
        <f>IF(M34="","",ROUND(M34*玩法行为规划!L34,2))</f>
        <v>0</v>
      </c>
      <c r="AQ34" s="2">
        <f>IF(N34="","",ROUND(N34*玩法行为规划!M34,2))</f>
        <v>12</v>
      </c>
      <c r="AR34" s="2">
        <f>IF(O34="","",ROUND(O34*玩法行为规划!N34,2))</f>
        <v>12.5</v>
      </c>
      <c r="AS34" s="2">
        <f>IF(P34="","",ROUND(P34*玩法行为规划!O34,2))</f>
        <v>0.83</v>
      </c>
      <c r="AT34" s="2">
        <f>IF(Q34="","",ROUND(Q34*玩法行为规划!P34,2))</f>
        <v>52</v>
      </c>
      <c r="AU34" s="2">
        <f>IF(R34="","",ROUND(R34*玩法行为规划!Q34,2))</f>
        <v>6</v>
      </c>
      <c r="AV34" s="2">
        <f>IF(S34="","",ROUND(S34*玩法行为规划!R34,2))</f>
        <v>6.67</v>
      </c>
      <c r="AW34" s="2">
        <f>IF(T34="","",ROUND(T34*玩法行为规划!S34,2))</f>
        <v>0</v>
      </c>
      <c r="AX34" s="2">
        <f>IF(U34="","",ROUND(U34*玩法行为规划!T34,2))</f>
        <v>0</v>
      </c>
      <c r="AY34" s="2">
        <f>IF(V34="","",ROUND(V34*玩法行为规划!U34,2))</f>
        <v>6.67</v>
      </c>
      <c r="AZ34" s="2">
        <f>IF(W34="","",ROUND(W34*玩法行为规划!V34,2))</f>
        <v>2.5</v>
      </c>
      <c r="BA34" s="2">
        <f>IF(X34="","",ROUND(X34*玩法行为规划!W34,2))</f>
        <v>5</v>
      </c>
      <c r="BB34" s="2">
        <f>IF(Y34="","",ROUND(Y34*玩法行为规划!X34,2))</f>
        <v>0</v>
      </c>
      <c r="BC34" s="2">
        <f>IF(Z34="","",ROUND(Z34*玩法行为规划!Y34,2))</f>
        <v>0</v>
      </c>
      <c r="BD34" s="2">
        <f>IF(AA34="","",ROUND(AA34*玩法行为规划!Z34,2))</f>
        <v>0</v>
      </c>
      <c r="BE34" s="2" t="str">
        <f>IF(AB34="","",ROUND(AB34*玩法行为规划!AA34,2))</f>
        <v/>
      </c>
      <c r="BF34" s="2" t="str">
        <f>IF(AC34="","",ROUND(AC34*玩法行为规划!AB34,2))</f>
        <v/>
      </c>
      <c r="BG34" s="2" t="str">
        <f>IF(AD34="","",ROUND(AD34*玩法行为规划!AC34,2))</f>
        <v/>
      </c>
      <c r="BH34" s="3" t="str">
        <f>IF(AE34="","",ROUND(AE34*玩法行为规划!AD34,2))</f>
        <v/>
      </c>
      <c r="BI34" s="7">
        <f t="shared" si="0"/>
        <v>139.94</v>
      </c>
      <c r="BJ34" s="7">
        <f t="shared" si="1"/>
        <v>1791232</v>
      </c>
      <c r="BK34" s="10">
        <f t="shared" si="3"/>
        <v>66600</v>
      </c>
      <c r="BL34" s="21" t="str">
        <f t="shared" si="5"/>
        <v/>
      </c>
      <c r="BM34" s="7">
        <f t="shared" si="2"/>
        <v>0.28415636279855616</v>
      </c>
      <c r="BN34" s="69">
        <f>INT(BJ34*升级节奏!G34+BK34)</f>
        <v>234378</v>
      </c>
      <c r="BO34" s="7">
        <f t="shared" si="4"/>
        <v>142</v>
      </c>
      <c r="BP34" s="7"/>
      <c r="BQ34" s="7"/>
    </row>
    <row r="35" spans="1:69">
      <c r="A35" s="29">
        <v>33</v>
      </c>
      <c r="B35" s="84">
        <f>升级节奏!C35</f>
        <v>13200</v>
      </c>
      <c r="C35" s="53">
        <f>IF(VLOOKUP(C$2,行为概览!$D$3:$J$33,7,0)="","",VLOOKUP(C$2,行为概览!$D$3:$J$33,7,0))</f>
        <v>50</v>
      </c>
      <c r="D35" s="53">
        <f>IF(VLOOKUP(D$2,行为概览!$D$3:$J$33,7,0)="","",VLOOKUP(D$2,行为概览!$D$3:$J$33,7,0))</f>
        <v>3.3</v>
      </c>
      <c r="E35" s="53">
        <f>IF(VLOOKUP(E$2,行为概览!$D$3:$J$33,7,0)="","",VLOOKUP(E$2,行为概览!$D$3:$J$33,7,0))</f>
        <v>30</v>
      </c>
      <c r="F35" s="53">
        <f>IF(VLOOKUP(F$2,行为概览!$D$3:$J$33,7,0)="","",VLOOKUP(F$2,行为概览!$D$3:$J$33,7,0))</f>
        <v>15</v>
      </c>
      <c r="G35" s="53" t="str">
        <f>IF(VLOOKUP(G$2,行为概览!$D$3:$J$33,7,0)="","",VLOOKUP(G$2,行为概览!$D$3:$J$33,7,0))</f>
        <v/>
      </c>
      <c r="H35" s="53" t="str">
        <f>IF(VLOOKUP(H$2,行为概览!$D$3:$J$33,7,0)="","",VLOOKUP(H$2,行为概览!$D$3:$J$33,7,0))</f>
        <v/>
      </c>
      <c r="I35" s="53" t="str">
        <f>IF(VLOOKUP(I$2,行为概览!$D$3:$J$33,7,0)="","",VLOOKUP(I$2,行为概览!$D$3:$J$33,7,0))</f>
        <v/>
      </c>
      <c r="J35" s="53" t="str">
        <f>IF(VLOOKUP(J$2,行为概览!$D$3:$J$33,7,0)="","",VLOOKUP(J$2,行为概览!$D$3:$J$33,7,0))</f>
        <v/>
      </c>
      <c r="K35" s="53">
        <f>IF(VLOOKUP(K$2,行为概览!$D$3:$J$33,7,0)="","",VLOOKUP(K$2,行为概览!$D$3:$J$33,7,0))</f>
        <v>20</v>
      </c>
      <c r="L35" s="53">
        <f>IF(VLOOKUP(L$2,行为概览!$D$3:$J$33,7,0)="","",VLOOKUP(L$2,行为概览!$D$3:$J$33,7,0))</f>
        <v>20</v>
      </c>
      <c r="M35" s="53">
        <f>IF(VLOOKUP(M$2,行为概览!$D$3:$J$33,7,0)="","",VLOOKUP(M$2,行为概览!$D$3:$J$33,7,0))</f>
        <v>40</v>
      </c>
      <c r="N35" s="53">
        <f>IF(VLOOKUP(N$2,行为概览!$D$3:$J$33,7,0)="","",VLOOKUP(N$2,行为概览!$D$3:$J$33,7,0))</f>
        <v>1</v>
      </c>
      <c r="O35" s="53">
        <f>IF(VLOOKUP(O$2,行为概览!$D$3:$J$33,7,0)="","",VLOOKUP(O$2,行为概览!$D$3:$J$33,7,0))</f>
        <v>150</v>
      </c>
      <c r="P35" s="53">
        <f>IF(VLOOKUP(P$2,行为概览!$D$3:$J$33,7,0)="","",VLOOKUP(P$2,行为概览!$D$3:$J$33,7,0))</f>
        <v>10</v>
      </c>
      <c r="Q35" s="53">
        <f>IF(VLOOKUP(Q$2,行为概览!$D$3:$J$33,7,0)="","",VLOOKUP(Q$2,行为概览!$D$3:$J$33,7,0))</f>
        <v>20</v>
      </c>
      <c r="R35" s="53">
        <f>IF(VLOOKUP(R$2,行为概览!$D$3:$J$33,7,0)="","",VLOOKUP(R$2,行为概览!$D$3:$J$33,7,0))</f>
        <v>6</v>
      </c>
      <c r="S35" s="53">
        <f>IF(VLOOKUP(S$2,行为概览!$D$3:$J$33,7,0)="","",VLOOKUP(S$2,行为概览!$D$3:$J$33,7,0))</f>
        <v>20</v>
      </c>
      <c r="T35" s="53">
        <f>IF(VLOOKUP(T$2,行为概览!$D$3:$J$33,7,0)="","",VLOOKUP(T$2,行为概览!$D$3:$J$33,7,0))</f>
        <v>15</v>
      </c>
      <c r="U35" s="53">
        <f>IF(VLOOKUP(U$2,行为概览!$D$3:$J$33,7,0)="","",VLOOKUP(U$2,行为概览!$D$3:$J$33,7,0))</f>
        <v>15</v>
      </c>
      <c r="V35" s="53">
        <f>IF(VLOOKUP(V$2,行为概览!$D$3:$J$33,7,0)="","",VLOOKUP(V$2,行为概览!$D$3:$J$33,7,0))</f>
        <v>40</v>
      </c>
      <c r="W35" s="53">
        <f>IF(VLOOKUP(W$2,行为概览!$D$3:$J$33,7,0)="","",VLOOKUP(W$2,行为概览!$D$3:$J$33,7,0))</f>
        <v>15</v>
      </c>
      <c r="X35" s="53">
        <f>IF(VLOOKUP(X$2,行为概览!$D$3:$J$33,7,0)="","",VLOOKUP(X$2,行为概览!$D$3:$J$33,7,0))</f>
        <v>30</v>
      </c>
      <c r="Y35" s="53">
        <f>IF(VLOOKUP(Y$2,行为概览!$D$3:$J$33,7,0)="","",VLOOKUP(Y$2,行为概览!$D$3:$J$33,7,0))</f>
        <v>25</v>
      </c>
      <c r="Z35" s="53">
        <f>IF(VLOOKUP(Z$2,行为概览!$D$3:$J$33,7,0)="","",VLOOKUP(Z$2,行为概览!$D$3:$J$33,7,0))</f>
        <v>15</v>
      </c>
      <c r="AA35" s="53">
        <f>IF(VLOOKUP(AA$2,行为概览!$D$3:$J$33,7,0)="","",VLOOKUP(AA$2,行为概览!$D$3:$J$33,7,0))</f>
        <v>15</v>
      </c>
      <c r="AB35" s="53" t="str">
        <f>IF(VLOOKUP(AB$2,行为概览!$D$3:$J$33,7,0)="","",VLOOKUP(AB$2,行为概览!$D$3:$J$33,7,0))</f>
        <v/>
      </c>
      <c r="AC35" s="53" t="str">
        <f>IF(VLOOKUP(AC$2,行为概览!$D$3:$J$33,7,0)="","",VLOOKUP(AC$2,行为概览!$D$3:$J$33,7,0))</f>
        <v/>
      </c>
      <c r="AD35" s="53" t="str">
        <f>IF(VLOOKUP(AD$2,行为概览!$D$3:$J$33,7,0)="","",VLOOKUP(AD$2,行为概览!$D$3:$J$33,7,0))</f>
        <v/>
      </c>
      <c r="AE35" s="68" t="str">
        <f>IF(VLOOKUP(AE$2,行为概览!$D$3:$J$33,7,0)="","",VLOOKUP(AE$2,行为概览!$D$3:$J$33,7,0))</f>
        <v/>
      </c>
      <c r="AF35" s="1">
        <f>IF(C35="","",ROUND(C35*玩法行为规划!B35,2))</f>
        <v>16.670000000000002</v>
      </c>
      <c r="AG35" s="2">
        <f>IF(D35="","",ROUND(D35*玩法行为规划!C35,2))</f>
        <v>6.6</v>
      </c>
      <c r="AH35" s="2">
        <f>IF(E35="","",ROUND(E35*玩法行为规划!D35,2))</f>
        <v>2.5</v>
      </c>
      <c r="AI35" s="2">
        <f>IF(F35="","",ROUND(F35*玩法行为规划!E35,2))</f>
        <v>0</v>
      </c>
      <c r="AJ35" s="2" t="str">
        <f>IF(G35="","",ROUND(G35*玩法行为规划!F35,2))</f>
        <v/>
      </c>
      <c r="AK35" s="2" t="str">
        <f>IF(H35="","",ROUND(H35*玩法行为规划!G35,2))</f>
        <v/>
      </c>
      <c r="AL35" s="2" t="str">
        <f>IF(I35="","",ROUND(I35*玩法行为规划!H35,2))</f>
        <v/>
      </c>
      <c r="AM35" s="2" t="str">
        <f>IF(J35="","",ROUND(J35*玩法行为规划!I35,2))</f>
        <v/>
      </c>
      <c r="AN35" s="2">
        <f>IF(K35="","",ROUND(K35*玩法行为规划!J35,2))</f>
        <v>10</v>
      </c>
      <c r="AO35" s="2">
        <f>IF(L35="","",ROUND(L35*玩法行为规划!K35,2))</f>
        <v>0</v>
      </c>
      <c r="AP35" s="2">
        <f>IF(M35="","",ROUND(M35*玩法行为规划!L35,2))</f>
        <v>0</v>
      </c>
      <c r="AQ35" s="2">
        <f>IF(N35="","",ROUND(N35*玩法行为规划!M35,2))</f>
        <v>12</v>
      </c>
      <c r="AR35" s="2">
        <f>IF(O35="","",ROUND(O35*玩法行为规划!N35,2))</f>
        <v>12.5</v>
      </c>
      <c r="AS35" s="2">
        <f>IF(P35="","",ROUND(P35*玩法行为规划!O35,2))</f>
        <v>0.83</v>
      </c>
      <c r="AT35" s="2">
        <f>IF(Q35="","",ROUND(Q35*玩法行为规划!P35,2))</f>
        <v>52</v>
      </c>
      <c r="AU35" s="2">
        <f>IF(R35="","",ROUND(R35*玩法行为规划!Q35,2))</f>
        <v>6</v>
      </c>
      <c r="AV35" s="2">
        <f>IF(S35="","",ROUND(S35*玩法行为规划!R35,2))</f>
        <v>6.67</v>
      </c>
      <c r="AW35" s="2">
        <f>IF(T35="","",ROUND(T35*玩法行为规划!S35,2))</f>
        <v>0</v>
      </c>
      <c r="AX35" s="2">
        <f>IF(U35="","",ROUND(U35*玩法行为规划!T35,2))</f>
        <v>0</v>
      </c>
      <c r="AY35" s="2">
        <f>IF(V35="","",ROUND(V35*玩法行为规划!U35,2))</f>
        <v>6.67</v>
      </c>
      <c r="AZ35" s="2">
        <f>IF(W35="","",ROUND(W35*玩法行为规划!V35,2))</f>
        <v>2.5</v>
      </c>
      <c r="BA35" s="2">
        <f>IF(X35="","",ROUND(X35*玩法行为规划!W35,2))</f>
        <v>5</v>
      </c>
      <c r="BB35" s="2">
        <f>IF(Y35="","",ROUND(Y35*玩法行为规划!X35,2))</f>
        <v>0</v>
      </c>
      <c r="BC35" s="2">
        <f>IF(Z35="","",ROUND(Z35*玩法行为规划!Y35,2))</f>
        <v>0</v>
      </c>
      <c r="BD35" s="2">
        <f>IF(AA35="","",ROUND(AA35*玩法行为规划!Z35,2))</f>
        <v>0</v>
      </c>
      <c r="BE35" s="2" t="str">
        <f>IF(AB35="","",ROUND(AB35*玩法行为规划!AA35,2))</f>
        <v/>
      </c>
      <c r="BF35" s="2" t="str">
        <f>IF(AC35="","",ROUND(AC35*玩法行为规划!AB35,2))</f>
        <v/>
      </c>
      <c r="BG35" s="2" t="str">
        <f>IF(AD35="","",ROUND(AD35*玩法行为规划!AC35,2))</f>
        <v/>
      </c>
      <c r="BH35" s="3" t="str">
        <f>IF(AE35="","",ROUND(AE35*玩法行为规划!AD35,2))</f>
        <v/>
      </c>
      <c r="BI35" s="7">
        <f t="shared" ref="BI35:BI66" si="6">SUM(AF35:BF35)</f>
        <v>139.94</v>
      </c>
      <c r="BJ35" s="7">
        <f t="shared" ref="BJ35:BJ66" si="7">B35*BI35</f>
        <v>1847208</v>
      </c>
      <c r="BK35" s="10">
        <f t="shared" si="3"/>
        <v>76600</v>
      </c>
      <c r="BL35" s="21" t="str">
        <f t="shared" si="5"/>
        <v/>
      </c>
      <c r="BM35" s="7">
        <f t="shared" ref="BM35:BM66" si="8">BK35/BN35</f>
        <v>0.29503865160403192</v>
      </c>
      <c r="BN35" s="69">
        <f>INT(BJ35*升级节奏!G35+BK35)</f>
        <v>259627</v>
      </c>
      <c r="BO35" s="7">
        <f t="shared" si="4"/>
        <v>147</v>
      </c>
      <c r="BP35" s="7"/>
    </row>
    <row r="36" spans="1:69">
      <c r="A36" s="29">
        <v>34</v>
      </c>
      <c r="B36" s="84">
        <f>升级节奏!C36</f>
        <v>13600</v>
      </c>
      <c r="C36" s="53">
        <f>IF(VLOOKUP(C$2,行为概览!$D$3:$J$33,7,0)="","",VLOOKUP(C$2,行为概览!$D$3:$J$33,7,0))</f>
        <v>50</v>
      </c>
      <c r="D36" s="53">
        <f>IF(VLOOKUP(D$2,行为概览!$D$3:$J$33,7,0)="","",VLOOKUP(D$2,行为概览!$D$3:$J$33,7,0))</f>
        <v>3.3</v>
      </c>
      <c r="E36" s="53">
        <f>IF(VLOOKUP(E$2,行为概览!$D$3:$J$33,7,0)="","",VLOOKUP(E$2,行为概览!$D$3:$J$33,7,0))</f>
        <v>30</v>
      </c>
      <c r="F36" s="53">
        <f>IF(VLOOKUP(F$2,行为概览!$D$3:$J$33,7,0)="","",VLOOKUP(F$2,行为概览!$D$3:$J$33,7,0))</f>
        <v>15</v>
      </c>
      <c r="G36" s="53" t="str">
        <f>IF(VLOOKUP(G$2,行为概览!$D$3:$J$33,7,0)="","",VLOOKUP(G$2,行为概览!$D$3:$J$33,7,0))</f>
        <v/>
      </c>
      <c r="H36" s="53" t="str">
        <f>IF(VLOOKUP(H$2,行为概览!$D$3:$J$33,7,0)="","",VLOOKUP(H$2,行为概览!$D$3:$J$33,7,0))</f>
        <v/>
      </c>
      <c r="I36" s="53" t="str">
        <f>IF(VLOOKUP(I$2,行为概览!$D$3:$J$33,7,0)="","",VLOOKUP(I$2,行为概览!$D$3:$J$33,7,0))</f>
        <v/>
      </c>
      <c r="J36" s="53" t="str">
        <f>IF(VLOOKUP(J$2,行为概览!$D$3:$J$33,7,0)="","",VLOOKUP(J$2,行为概览!$D$3:$J$33,7,0))</f>
        <v/>
      </c>
      <c r="K36" s="53">
        <f>IF(VLOOKUP(K$2,行为概览!$D$3:$J$33,7,0)="","",VLOOKUP(K$2,行为概览!$D$3:$J$33,7,0))</f>
        <v>20</v>
      </c>
      <c r="L36" s="53">
        <f>IF(VLOOKUP(L$2,行为概览!$D$3:$J$33,7,0)="","",VLOOKUP(L$2,行为概览!$D$3:$J$33,7,0))</f>
        <v>20</v>
      </c>
      <c r="M36" s="53">
        <f>IF(VLOOKUP(M$2,行为概览!$D$3:$J$33,7,0)="","",VLOOKUP(M$2,行为概览!$D$3:$J$33,7,0))</f>
        <v>40</v>
      </c>
      <c r="N36" s="53">
        <f>IF(VLOOKUP(N$2,行为概览!$D$3:$J$33,7,0)="","",VLOOKUP(N$2,行为概览!$D$3:$J$33,7,0))</f>
        <v>1</v>
      </c>
      <c r="O36" s="53">
        <f>IF(VLOOKUP(O$2,行为概览!$D$3:$J$33,7,0)="","",VLOOKUP(O$2,行为概览!$D$3:$J$33,7,0))</f>
        <v>150</v>
      </c>
      <c r="P36" s="53">
        <f>IF(VLOOKUP(P$2,行为概览!$D$3:$J$33,7,0)="","",VLOOKUP(P$2,行为概览!$D$3:$J$33,7,0))</f>
        <v>10</v>
      </c>
      <c r="Q36" s="53">
        <f>IF(VLOOKUP(Q$2,行为概览!$D$3:$J$33,7,0)="","",VLOOKUP(Q$2,行为概览!$D$3:$J$33,7,0))</f>
        <v>20</v>
      </c>
      <c r="R36" s="53">
        <f>IF(VLOOKUP(R$2,行为概览!$D$3:$J$33,7,0)="","",VLOOKUP(R$2,行为概览!$D$3:$J$33,7,0))</f>
        <v>6</v>
      </c>
      <c r="S36" s="53">
        <f>IF(VLOOKUP(S$2,行为概览!$D$3:$J$33,7,0)="","",VLOOKUP(S$2,行为概览!$D$3:$J$33,7,0))</f>
        <v>20</v>
      </c>
      <c r="T36" s="53">
        <f>IF(VLOOKUP(T$2,行为概览!$D$3:$J$33,7,0)="","",VLOOKUP(T$2,行为概览!$D$3:$J$33,7,0))</f>
        <v>15</v>
      </c>
      <c r="U36" s="53">
        <f>IF(VLOOKUP(U$2,行为概览!$D$3:$J$33,7,0)="","",VLOOKUP(U$2,行为概览!$D$3:$J$33,7,0))</f>
        <v>15</v>
      </c>
      <c r="V36" s="53">
        <f>IF(VLOOKUP(V$2,行为概览!$D$3:$J$33,7,0)="","",VLOOKUP(V$2,行为概览!$D$3:$J$33,7,0))</f>
        <v>40</v>
      </c>
      <c r="W36" s="53">
        <f>IF(VLOOKUP(W$2,行为概览!$D$3:$J$33,7,0)="","",VLOOKUP(W$2,行为概览!$D$3:$J$33,7,0))</f>
        <v>15</v>
      </c>
      <c r="X36" s="53">
        <f>IF(VLOOKUP(X$2,行为概览!$D$3:$J$33,7,0)="","",VLOOKUP(X$2,行为概览!$D$3:$J$33,7,0))</f>
        <v>30</v>
      </c>
      <c r="Y36" s="53">
        <f>IF(VLOOKUP(Y$2,行为概览!$D$3:$J$33,7,0)="","",VLOOKUP(Y$2,行为概览!$D$3:$J$33,7,0))</f>
        <v>25</v>
      </c>
      <c r="Z36" s="53">
        <f>IF(VLOOKUP(Z$2,行为概览!$D$3:$J$33,7,0)="","",VLOOKUP(Z$2,行为概览!$D$3:$J$33,7,0))</f>
        <v>15</v>
      </c>
      <c r="AA36" s="53">
        <f>IF(VLOOKUP(AA$2,行为概览!$D$3:$J$33,7,0)="","",VLOOKUP(AA$2,行为概览!$D$3:$J$33,7,0))</f>
        <v>15</v>
      </c>
      <c r="AB36" s="53" t="str">
        <f>IF(VLOOKUP(AB$2,行为概览!$D$3:$J$33,7,0)="","",VLOOKUP(AB$2,行为概览!$D$3:$J$33,7,0))</f>
        <v/>
      </c>
      <c r="AC36" s="53" t="str">
        <f>IF(VLOOKUP(AC$2,行为概览!$D$3:$J$33,7,0)="","",VLOOKUP(AC$2,行为概览!$D$3:$J$33,7,0))</f>
        <v/>
      </c>
      <c r="AD36" s="53" t="str">
        <f>IF(VLOOKUP(AD$2,行为概览!$D$3:$J$33,7,0)="","",VLOOKUP(AD$2,行为概览!$D$3:$J$33,7,0))</f>
        <v/>
      </c>
      <c r="AE36" s="68" t="str">
        <f>IF(VLOOKUP(AE$2,行为概览!$D$3:$J$33,7,0)="","",VLOOKUP(AE$2,行为概览!$D$3:$J$33,7,0))</f>
        <v/>
      </c>
      <c r="AF36" s="1">
        <f>IF(C36="","",ROUND(C36*玩法行为规划!B36,2))</f>
        <v>16.670000000000002</v>
      </c>
      <c r="AG36" s="2">
        <f>IF(D36="","",ROUND(D36*玩法行为规划!C36,2))</f>
        <v>6.6</v>
      </c>
      <c r="AH36" s="2">
        <f>IF(E36="","",ROUND(E36*玩法行为规划!D36,2))</f>
        <v>2.5</v>
      </c>
      <c r="AI36" s="2">
        <f>IF(F36="","",ROUND(F36*玩法行为规划!E36,2))</f>
        <v>0</v>
      </c>
      <c r="AJ36" s="2" t="str">
        <f>IF(G36="","",ROUND(G36*玩法行为规划!F36,2))</f>
        <v/>
      </c>
      <c r="AK36" s="2" t="str">
        <f>IF(H36="","",ROUND(H36*玩法行为规划!G36,2))</f>
        <v/>
      </c>
      <c r="AL36" s="2" t="str">
        <f>IF(I36="","",ROUND(I36*玩法行为规划!H36,2))</f>
        <v/>
      </c>
      <c r="AM36" s="2" t="str">
        <f>IF(J36="","",ROUND(J36*玩法行为规划!I36,2))</f>
        <v/>
      </c>
      <c r="AN36" s="2">
        <f>IF(K36="","",ROUND(K36*玩法行为规划!J36,2))</f>
        <v>10</v>
      </c>
      <c r="AO36" s="2">
        <f>IF(L36="","",ROUND(L36*玩法行为规划!K36,2))</f>
        <v>0</v>
      </c>
      <c r="AP36" s="2">
        <f>IF(M36="","",ROUND(M36*玩法行为规划!L36,2))</f>
        <v>0</v>
      </c>
      <c r="AQ36" s="2">
        <f>IF(N36="","",ROUND(N36*玩法行为规划!M36,2))</f>
        <v>12</v>
      </c>
      <c r="AR36" s="2">
        <f>IF(O36="","",ROUND(O36*玩法行为规划!N36,2))</f>
        <v>12.5</v>
      </c>
      <c r="AS36" s="2">
        <f>IF(P36="","",ROUND(P36*玩法行为规划!O36,2))</f>
        <v>0.83</v>
      </c>
      <c r="AT36" s="2">
        <f>IF(Q36="","",ROUND(Q36*玩法行为规划!P36,2))</f>
        <v>52</v>
      </c>
      <c r="AU36" s="2">
        <f>IF(R36="","",ROUND(R36*玩法行为规划!Q36,2))</f>
        <v>6</v>
      </c>
      <c r="AV36" s="2">
        <f>IF(S36="","",ROUND(S36*玩法行为规划!R36,2))</f>
        <v>6.67</v>
      </c>
      <c r="AW36" s="2">
        <f>IF(T36="","",ROUND(T36*玩法行为规划!S36,2))</f>
        <v>0</v>
      </c>
      <c r="AX36" s="2">
        <f>IF(U36="","",ROUND(U36*玩法行为规划!T36,2))</f>
        <v>0</v>
      </c>
      <c r="AY36" s="2">
        <f>IF(V36="","",ROUND(V36*玩法行为规划!U36,2))</f>
        <v>6.67</v>
      </c>
      <c r="AZ36" s="2">
        <f>IF(W36="","",ROUND(W36*玩法行为规划!V36,2))</f>
        <v>2.5</v>
      </c>
      <c r="BA36" s="2">
        <f>IF(X36="","",ROUND(X36*玩法行为规划!W36,2))</f>
        <v>5</v>
      </c>
      <c r="BB36" s="2">
        <f>IF(Y36="","",ROUND(Y36*玩法行为规划!X36,2))</f>
        <v>0</v>
      </c>
      <c r="BC36" s="2">
        <f>IF(Z36="","",ROUND(Z36*玩法行为规划!Y36,2))</f>
        <v>0</v>
      </c>
      <c r="BD36" s="2">
        <f>IF(AA36="","",ROUND(AA36*玩法行为规划!Z36,2))</f>
        <v>0</v>
      </c>
      <c r="BE36" s="2" t="str">
        <f>IF(AB36="","",ROUND(AB36*玩法行为规划!AA36,2))</f>
        <v/>
      </c>
      <c r="BF36" s="2" t="str">
        <f>IF(AC36="","",ROUND(AC36*玩法行为规划!AB36,2))</f>
        <v/>
      </c>
      <c r="BG36" s="2" t="str">
        <f>IF(AD36="","",ROUND(AD36*玩法行为规划!AC36,2))</f>
        <v/>
      </c>
      <c r="BH36" s="3" t="str">
        <f>IF(AE36="","",ROUND(AE36*玩法行为规划!AD36,2))</f>
        <v/>
      </c>
      <c r="BI36" s="7">
        <f t="shared" si="6"/>
        <v>139.94</v>
      </c>
      <c r="BJ36" s="7">
        <f t="shared" si="7"/>
        <v>1903184</v>
      </c>
      <c r="BK36" s="10">
        <f t="shared" si="3"/>
        <v>87000</v>
      </c>
      <c r="BL36" s="21" t="str">
        <f t="shared" si="5"/>
        <v/>
      </c>
      <c r="BM36" s="7">
        <f t="shared" si="8"/>
        <v>0.2842032020227428</v>
      </c>
      <c r="BN36" s="69">
        <f>INT(BJ36*升级节奏!G36+BK36)</f>
        <v>306119</v>
      </c>
      <c r="BO36" s="7">
        <f t="shared" si="4"/>
        <v>151</v>
      </c>
      <c r="BP36" s="7"/>
    </row>
    <row r="37" spans="1:69">
      <c r="A37" s="29">
        <v>35</v>
      </c>
      <c r="B37" s="84">
        <f>升级节奏!C37</f>
        <v>14000</v>
      </c>
      <c r="C37" s="53">
        <f>IF(VLOOKUP(C$2,行为概览!$D$3:$J$33,7,0)="","",VLOOKUP(C$2,行为概览!$D$3:$J$33,7,0))</f>
        <v>50</v>
      </c>
      <c r="D37" s="53">
        <f>IF(VLOOKUP(D$2,行为概览!$D$3:$J$33,7,0)="","",VLOOKUP(D$2,行为概览!$D$3:$J$33,7,0))</f>
        <v>3.3</v>
      </c>
      <c r="E37" s="53">
        <f>IF(VLOOKUP(E$2,行为概览!$D$3:$J$33,7,0)="","",VLOOKUP(E$2,行为概览!$D$3:$J$33,7,0))</f>
        <v>30</v>
      </c>
      <c r="F37" s="53">
        <f>IF(VLOOKUP(F$2,行为概览!$D$3:$J$33,7,0)="","",VLOOKUP(F$2,行为概览!$D$3:$J$33,7,0))</f>
        <v>15</v>
      </c>
      <c r="G37" s="53" t="str">
        <f>IF(VLOOKUP(G$2,行为概览!$D$3:$J$33,7,0)="","",VLOOKUP(G$2,行为概览!$D$3:$J$33,7,0))</f>
        <v/>
      </c>
      <c r="H37" s="53" t="str">
        <f>IF(VLOOKUP(H$2,行为概览!$D$3:$J$33,7,0)="","",VLOOKUP(H$2,行为概览!$D$3:$J$33,7,0))</f>
        <v/>
      </c>
      <c r="I37" s="53" t="str">
        <f>IF(VLOOKUP(I$2,行为概览!$D$3:$J$33,7,0)="","",VLOOKUP(I$2,行为概览!$D$3:$J$33,7,0))</f>
        <v/>
      </c>
      <c r="J37" s="53" t="str">
        <f>IF(VLOOKUP(J$2,行为概览!$D$3:$J$33,7,0)="","",VLOOKUP(J$2,行为概览!$D$3:$J$33,7,0))</f>
        <v/>
      </c>
      <c r="K37" s="53">
        <f>IF(VLOOKUP(K$2,行为概览!$D$3:$J$33,7,0)="","",VLOOKUP(K$2,行为概览!$D$3:$J$33,7,0))</f>
        <v>20</v>
      </c>
      <c r="L37" s="53">
        <f>IF(VLOOKUP(L$2,行为概览!$D$3:$J$33,7,0)="","",VLOOKUP(L$2,行为概览!$D$3:$J$33,7,0))</f>
        <v>20</v>
      </c>
      <c r="M37" s="53">
        <f>IF(VLOOKUP(M$2,行为概览!$D$3:$J$33,7,0)="","",VLOOKUP(M$2,行为概览!$D$3:$J$33,7,0))</f>
        <v>40</v>
      </c>
      <c r="N37" s="53">
        <f>IF(VLOOKUP(N$2,行为概览!$D$3:$J$33,7,0)="","",VLOOKUP(N$2,行为概览!$D$3:$J$33,7,0))</f>
        <v>1</v>
      </c>
      <c r="O37" s="53">
        <f>IF(VLOOKUP(O$2,行为概览!$D$3:$J$33,7,0)="","",VLOOKUP(O$2,行为概览!$D$3:$J$33,7,0))</f>
        <v>150</v>
      </c>
      <c r="P37" s="53">
        <f>IF(VLOOKUP(P$2,行为概览!$D$3:$J$33,7,0)="","",VLOOKUP(P$2,行为概览!$D$3:$J$33,7,0))</f>
        <v>10</v>
      </c>
      <c r="Q37" s="53">
        <f>IF(VLOOKUP(Q$2,行为概览!$D$3:$J$33,7,0)="","",VLOOKUP(Q$2,行为概览!$D$3:$J$33,7,0))</f>
        <v>20</v>
      </c>
      <c r="R37" s="53">
        <f>IF(VLOOKUP(R$2,行为概览!$D$3:$J$33,7,0)="","",VLOOKUP(R$2,行为概览!$D$3:$J$33,7,0))</f>
        <v>6</v>
      </c>
      <c r="S37" s="53">
        <f>IF(VLOOKUP(S$2,行为概览!$D$3:$J$33,7,0)="","",VLOOKUP(S$2,行为概览!$D$3:$J$33,7,0))</f>
        <v>20</v>
      </c>
      <c r="T37" s="53">
        <f>IF(VLOOKUP(T$2,行为概览!$D$3:$J$33,7,0)="","",VLOOKUP(T$2,行为概览!$D$3:$J$33,7,0))</f>
        <v>15</v>
      </c>
      <c r="U37" s="53">
        <f>IF(VLOOKUP(U$2,行为概览!$D$3:$J$33,7,0)="","",VLOOKUP(U$2,行为概览!$D$3:$J$33,7,0))</f>
        <v>15</v>
      </c>
      <c r="V37" s="53">
        <f>IF(VLOOKUP(V$2,行为概览!$D$3:$J$33,7,0)="","",VLOOKUP(V$2,行为概览!$D$3:$J$33,7,0))</f>
        <v>40</v>
      </c>
      <c r="W37" s="53">
        <f>IF(VLOOKUP(W$2,行为概览!$D$3:$J$33,7,0)="","",VLOOKUP(W$2,行为概览!$D$3:$J$33,7,0))</f>
        <v>15</v>
      </c>
      <c r="X37" s="53">
        <f>IF(VLOOKUP(X$2,行为概览!$D$3:$J$33,7,0)="","",VLOOKUP(X$2,行为概览!$D$3:$J$33,7,0))</f>
        <v>30</v>
      </c>
      <c r="Y37" s="53">
        <f>IF(VLOOKUP(Y$2,行为概览!$D$3:$J$33,7,0)="","",VLOOKUP(Y$2,行为概览!$D$3:$J$33,7,0))</f>
        <v>25</v>
      </c>
      <c r="Z37" s="53">
        <f>IF(VLOOKUP(Z$2,行为概览!$D$3:$J$33,7,0)="","",VLOOKUP(Z$2,行为概览!$D$3:$J$33,7,0))</f>
        <v>15</v>
      </c>
      <c r="AA37" s="53">
        <f>IF(VLOOKUP(AA$2,行为概览!$D$3:$J$33,7,0)="","",VLOOKUP(AA$2,行为概览!$D$3:$J$33,7,0))</f>
        <v>15</v>
      </c>
      <c r="AB37" s="53" t="str">
        <f>IF(VLOOKUP(AB$2,行为概览!$D$3:$J$33,7,0)="","",VLOOKUP(AB$2,行为概览!$D$3:$J$33,7,0))</f>
        <v/>
      </c>
      <c r="AC37" s="53" t="str">
        <f>IF(VLOOKUP(AC$2,行为概览!$D$3:$J$33,7,0)="","",VLOOKUP(AC$2,行为概览!$D$3:$J$33,7,0))</f>
        <v/>
      </c>
      <c r="AD37" s="53" t="str">
        <f>IF(VLOOKUP(AD$2,行为概览!$D$3:$J$33,7,0)="","",VLOOKUP(AD$2,行为概览!$D$3:$J$33,7,0))</f>
        <v/>
      </c>
      <c r="AE37" s="68" t="str">
        <f>IF(VLOOKUP(AE$2,行为概览!$D$3:$J$33,7,0)="","",VLOOKUP(AE$2,行为概览!$D$3:$J$33,7,0))</f>
        <v/>
      </c>
      <c r="AF37" s="1">
        <f>IF(C37="","",ROUND(C37*玩法行为规划!B37,2))</f>
        <v>16.670000000000002</v>
      </c>
      <c r="AG37" s="2">
        <f>IF(D37="","",ROUND(D37*玩法行为规划!C37,2))</f>
        <v>6.6</v>
      </c>
      <c r="AH37" s="2">
        <f>IF(E37="","",ROUND(E37*玩法行为规划!D37,2))</f>
        <v>2.5</v>
      </c>
      <c r="AI37" s="2">
        <f>IF(F37="","",ROUND(F37*玩法行为规划!E37,2))</f>
        <v>0</v>
      </c>
      <c r="AJ37" s="2" t="str">
        <f>IF(G37="","",ROUND(G37*玩法行为规划!F37,2))</f>
        <v/>
      </c>
      <c r="AK37" s="2" t="str">
        <f>IF(H37="","",ROUND(H37*玩法行为规划!G37,2))</f>
        <v/>
      </c>
      <c r="AL37" s="2" t="str">
        <f>IF(I37="","",ROUND(I37*玩法行为规划!H37,2))</f>
        <v/>
      </c>
      <c r="AM37" s="2" t="str">
        <f>IF(J37="","",ROUND(J37*玩法行为规划!I37,2))</f>
        <v/>
      </c>
      <c r="AN37" s="2">
        <f>IF(K37="","",ROUND(K37*玩法行为规划!J37,2))</f>
        <v>10</v>
      </c>
      <c r="AO37" s="2">
        <f>IF(L37="","",ROUND(L37*玩法行为规划!K37,2))</f>
        <v>3.33</v>
      </c>
      <c r="AP37" s="2">
        <f>IF(M37="","",ROUND(M37*玩法行为规划!L37,2))</f>
        <v>0</v>
      </c>
      <c r="AQ37" s="2">
        <f>IF(N37="","",ROUND(N37*玩法行为规划!M37,2))</f>
        <v>12</v>
      </c>
      <c r="AR37" s="2">
        <f>IF(O37="","",ROUND(O37*玩法行为规划!N37,2))</f>
        <v>12.5</v>
      </c>
      <c r="AS37" s="2">
        <f>IF(P37="","",ROUND(P37*玩法行为规划!O37,2))</f>
        <v>0.83</v>
      </c>
      <c r="AT37" s="2">
        <f>IF(Q37="","",ROUND(Q37*玩法行为规划!P37,2))</f>
        <v>52</v>
      </c>
      <c r="AU37" s="2">
        <f>IF(R37="","",ROUND(R37*玩法行为规划!Q37,2))</f>
        <v>6</v>
      </c>
      <c r="AV37" s="2">
        <f>IF(S37="","",ROUND(S37*玩法行为规划!R37,2))</f>
        <v>6.67</v>
      </c>
      <c r="AW37" s="2">
        <f>IF(T37="","",ROUND(T37*玩法行为规划!S37,2))</f>
        <v>7.5</v>
      </c>
      <c r="AX37" s="2">
        <f>IF(U37="","",ROUND(U37*玩法行为规划!T37,2))</f>
        <v>0</v>
      </c>
      <c r="AY37" s="2">
        <f>IF(V37="","",ROUND(V37*玩法行为规划!U37,2))</f>
        <v>6.67</v>
      </c>
      <c r="AZ37" s="2">
        <f>IF(W37="","",ROUND(W37*玩法行为规划!V37,2))</f>
        <v>2.5</v>
      </c>
      <c r="BA37" s="2">
        <f>IF(X37="","",ROUND(X37*玩法行为规划!W37,2))</f>
        <v>5</v>
      </c>
      <c r="BB37" s="2">
        <f>IF(Y37="","",ROUND(Y37*玩法行为规划!X37,2))</f>
        <v>0</v>
      </c>
      <c r="BC37" s="2">
        <f>IF(Z37="","",ROUND(Z37*玩法行为规划!Y37,2))</f>
        <v>0</v>
      </c>
      <c r="BD37" s="2">
        <f>IF(AA37="","",ROUND(AA37*玩法行为规划!Z37,2))</f>
        <v>0</v>
      </c>
      <c r="BE37" s="2" t="str">
        <f>IF(AB37="","",ROUND(AB37*玩法行为规划!AA37,2))</f>
        <v/>
      </c>
      <c r="BF37" s="2" t="str">
        <f>IF(AC37="","",ROUND(AC37*玩法行为规划!AB37,2))</f>
        <v/>
      </c>
      <c r="BG37" s="2" t="str">
        <f>IF(AD37="","",ROUND(AD37*玩法行为规划!AC37,2))</f>
        <v/>
      </c>
      <c r="BH37" s="3" t="str">
        <f>IF(AE37="","",ROUND(AE37*玩法行为规划!AD37,2))</f>
        <v/>
      </c>
      <c r="BI37" s="7">
        <f t="shared" si="6"/>
        <v>150.76999999999998</v>
      </c>
      <c r="BJ37" s="7">
        <f t="shared" si="7"/>
        <v>2110779.9999999995</v>
      </c>
      <c r="BK37" s="10">
        <f t="shared" si="3"/>
        <v>98000</v>
      </c>
      <c r="BL37" s="21" t="str">
        <f t="shared" si="5"/>
        <v/>
      </c>
      <c r="BM37" s="7">
        <f t="shared" si="8"/>
        <v>0.27654633138716206</v>
      </c>
      <c r="BN37" s="69">
        <f>INT(BJ37*升级节奏!G37+BK37)</f>
        <v>354371</v>
      </c>
      <c r="BO37" s="7">
        <f t="shared" si="4"/>
        <v>156</v>
      </c>
      <c r="BP37" s="7"/>
    </row>
    <row r="38" spans="1:69">
      <c r="A38" s="29">
        <v>36</v>
      </c>
      <c r="B38" s="84">
        <f>升级节奏!C38</f>
        <v>14400</v>
      </c>
      <c r="C38" s="53">
        <f>IF(VLOOKUP(C$2,行为概览!$D$3:$J$33,7,0)="","",VLOOKUP(C$2,行为概览!$D$3:$J$33,7,0))</f>
        <v>50</v>
      </c>
      <c r="D38" s="53">
        <f>IF(VLOOKUP(D$2,行为概览!$D$3:$J$33,7,0)="","",VLOOKUP(D$2,行为概览!$D$3:$J$33,7,0))</f>
        <v>3.3</v>
      </c>
      <c r="E38" s="53">
        <f>IF(VLOOKUP(E$2,行为概览!$D$3:$J$33,7,0)="","",VLOOKUP(E$2,行为概览!$D$3:$J$33,7,0))</f>
        <v>30</v>
      </c>
      <c r="F38" s="53">
        <f>IF(VLOOKUP(F$2,行为概览!$D$3:$J$33,7,0)="","",VLOOKUP(F$2,行为概览!$D$3:$J$33,7,0))</f>
        <v>15</v>
      </c>
      <c r="G38" s="53" t="str">
        <f>IF(VLOOKUP(G$2,行为概览!$D$3:$J$33,7,0)="","",VLOOKUP(G$2,行为概览!$D$3:$J$33,7,0))</f>
        <v/>
      </c>
      <c r="H38" s="53" t="str">
        <f>IF(VLOOKUP(H$2,行为概览!$D$3:$J$33,7,0)="","",VLOOKUP(H$2,行为概览!$D$3:$J$33,7,0))</f>
        <v/>
      </c>
      <c r="I38" s="53" t="str">
        <f>IF(VLOOKUP(I$2,行为概览!$D$3:$J$33,7,0)="","",VLOOKUP(I$2,行为概览!$D$3:$J$33,7,0))</f>
        <v/>
      </c>
      <c r="J38" s="53" t="str">
        <f>IF(VLOOKUP(J$2,行为概览!$D$3:$J$33,7,0)="","",VLOOKUP(J$2,行为概览!$D$3:$J$33,7,0))</f>
        <v/>
      </c>
      <c r="K38" s="53">
        <f>IF(VLOOKUP(K$2,行为概览!$D$3:$J$33,7,0)="","",VLOOKUP(K$2,行为概览!$D$3:$J$33,7,0))</f>
        <v>20</v>
      </c>
      <c r="L38" s="53">
        <f>IF(VLOOKUP(L$2,行为概览!$D$3:$J$33,7,0)="","",VLOOKUP(L$2,行为概览!$D$3:$J$33,7,0))</f>
        <v>20</v>
      </c>
      <c r="M38" s="53">
        <f>IF(VLOOKUP(M$2,行为概览!$D$3:$J$33,7,0)="","",VLOOKUP(M$2,行为概览!$D$3:$J$33,7,0))</f>
        <v>40</v>
      </c>
      <c r="N38" s="53">
        <f>IF(VLOOKUP(N$2,行为概览!$D$3:$J$33,7,0)="","",VLOOKUP(N$2,行为概览!$D$3:$J$33,7,0))</f>
        <v>1</v>
      </c>
      <c r="O38" s="53">
        <f>IF(VLOOKUP(O$2,行为概览!$D$3:$J$33,7,0)="","",VLOOKUP(O$2,行为概览!$D$3:$J$33,7,0))</f>
        <v>150</v>
      </c>
      <c r="P38" s="53">
        <f>IF(VLOOKUP(P$2,行为概览!$D$3:$J$33,7,0)="","",VLOOKUP(P$2,行为概览!$D$3:$J$33,7,0))</f>
        <v>10</v>
      </c>
      <c r="Q38" s="53">
        <f>IF(VLOOKUP(Q$2,行为概览!$D$3:$J$33,7,0)="","",VLOOKUP(Q$2,行为概览!$D$3:$J$33,7,0))</f>
        <v>20</v>
      </c>
      <c r="R38" s="53">
        <f>IF(VLOOKUP(R$2,行为概览!$D$3:$J$33,7,0)="","",VLOOKUP(R$2,行为概览!$D$3:$J$33,7,0))</f>
        <v>6</v>
      </c>
      <c r="S38" s="53">
        <f>IF(VLOOKUP(S$2,行为概览!$D$3:$J$33,7,0)="","",VLOOKUP(S$2,行为概览!$D$3:$J$33,7,0))</f>
        <v>20</v>
      </c>
      <c r="T38" s="53">
        <f>IF(VLOOKUP(T$2,行为概览!$D$3:$J$33,7,0)="","",VLOOKUP(T$2,行为概览!$D$3:$J$33,7,0))</f>
        <v>15</v>
      </c>
      <c r="U38" s="53">
        <f>IF(VLOOKUP(U$2,行为概览!$D$3:$J$33,7,0)="","",VLOOKUP(U$2,行为概览!$D$3:$J$33,7,0))</f>
        <v>15</v>
      </c>
      <c r="V38" s="53">
        <f>IF(VLOOKUP(V$2,行为概览!$D$3:$J$33,7,0)="","",VLOOKUP(V$2,行为概览!$D$3:$J$33,7,0))</f>
        <v>40</v>
      </c>
      <c r="W38" s="53">
        <f>IF(VLOOKUP(W$2,行为概览!$D$3:$J$33,7,0)="","",VLOOKUP(W$2,行为概览!$D$3:$J$33,7,0))</f>
        <v>15</v>
      </c>
      <c r="X38" s="53">
        <f>IF(VLOOKUP(X$2,行为概览!$D$3:$J$33,7,0)="","",VLOOKUP(X$2,行为概览!$D$3:$J$33,7,0))</f>
        <v>30</v>
      </c>
      <c r="Y38" s="53">
        <f>IF(VLOOKUP(Y$2,行为概览!$D$3:$J$33,7,0)="","",VLOOKUP(Y$2,行为概览!$D$3:$J$33,7,0))</f>
        <v>25</v>
      </c>
      <c r="Z38" s="53">
        <f>IF(VLOOKUP(Z$2,行为概览!$D$3:$J$33,7,0)="","",VLOOKUP(Z$2,行为概览!$D$3:$J$33,7,0))</f>
        <v>15</v>
      </c>
      <c r="AA38" s="53">
        <f>IF(VLOOKUP(AA$2,行为概览!$D$3:$J$33,7,0)="","",VLOOKUP(AA$2,行为概览!$D$3:$J$33,7,0))</f>
        <v>15</v>
      </c>
      <c r="AB38" s="53" t="str">
        <f>IF(VLOOKUP(AB$2,行为概览!$D$3:$J$33,7,0)="","",VLOOKUP(AB$2,行为概览!$D$3:$J$33,7,0))</f>
        <v/>
      </c>
      <c r="AC38" s="53" t="str">
        <f>IF(VLOOKUP(AC$2,行为概览!$D$3:$J$33,7,0)="","",VLOOKUP(AC$2,行为概览!$D$3:$J$33,7,0))</f>
        <v/>
      </c>
      <c r="AD38" s="53" t="str">
        <f>IF(VLOOKUP(AD$2,行为概览!$D$3:$J$33,7,0)="","",VLOOKUP(AD$2,行为概览!$D$3:$J$33,7,0))</f>
        <v/>
      </c>
      <c r="AE38" s="68" t="str">
        <f>IF(VLOOKUP(AE$2,行为概览!$D$3:$J$33,7,0)="","",VLOOKUP(AE$2,行为概览!$D$3:$J$33,7,0))</f>
        <v/>
      </c>
      <c r="AF38" s="1">
        <f>IF(C38="","",ROUND(C38*玩法行为规划!B38,2))</f>
        <v>16.670000000000002</v>
      </c>
      <c r="AG38" s="2">
        <f>IF(D38="","",ROUND(D38*玩法行为规划!C38,2))</f>
        <v>6.6</v>
      </c>
      <c r="AH38" s="2">
        <f>IF(E38="","",ROUND(E38*玩法行为规划!D38,2))</f>
        <v>2.5</v>
      </c>
      <c r="AI38" s="2">
        <f>IF(F38="","",ROUND(F38*玩法行为规划!E38,2))</f>
        <v>0</v>
      </c>
      <c r="AJ38" s="2" t="str">
        <f>IF(G38="","",ROUND(G38*玩法行为规划!F38,2))</f>
        <v/>
      </c>
      <c r="AK38" s="2" t="str">
        <f>IF(H38="","",ROUND(H38*玩法行为规划!G38,2))</f>
        <v/>
      </c>
      <c r="AL38" s="2" t="str">
        <f>IF(I38="","",ROUND(I38*玩法行为规划!H38,2))</f>
        <v/>
      </c>
      <c r="AM38" s="2" t="str">
        <f>IF(J38="","",ROUND(J38*玩法行为规划!I38,2))</f>
        <v/>
      </c>
      <c r="AN38" s="2">
        <f>IF(K38="","",ROUND(K38*玩法行为规划!J38,2))</f>
        <v>10</v>
      </c>
      <c r="AO38" s="2">
        <f>IF(L38="","",ROUND(L38*玩法行为规划!K38,2))</f>
        <v>3.33</v>
      </c>
      <c r="AP38" s="2">
        <f>IF(M38="","",ROUND(M38*玩法行为规划!L38,2))</f>
        <v>0</v>
      </c>
      <c r="AQ38" s="2">
        <f>IF(N38="","",ROUND(N38*玩法行为规划!M38,2))</f>
        <v>12</v>
      </c>
      <c r="AR38" s="2">
        <f>IF(O38="","",ROUND(O38*玩法行为规划!N38,2))</f>
        <v>12.5</v>
      </c>
      <c r="AS38" s="2">
        <f>IF(P38="","",ROUND(P38*玩法行为规划!O38,2))</f>
        <v>0.83</v>
      </c>
      <c r="AT38" s="2">
        <f>IF(Q38="","",ROUND(Q38*玩法行为规划!P38,2))</f>
        <v>52</v>
      </c>
      <c r="AU38" s="2">
        <f>IF(R38="","",ROUND(R38*玩法行为规划!Q38,2))</f>
        <v>6</v>
      </c>
      <c r="AV38" s="2">
        <f>IF(S38="","",ROUND(S38*玩法行为规划!R38,2))</f>
        <v>6.67</v>
      </c>
      <c r="AW38" s="2">
        <f>IF(T38="","",ROUND(T38*玩法行为规划!S38,2))</f>
        <v>7.5</v>
      </c>
      <c r="AX38" s="2">
        <f>IF(U38="","",ROUND(U38*玩法行为规划!T38,2))</f>
        <v>0</v>
      </c>
      <c r="AY38" s="2">
        <f>IF(V38="","",ROUND(V38*玩法行为规划!U38,2))</f>
        <v>6.67</v>
      </c>
      <c r="AZ38" s="2">
        <f>IF(W38="","",ROUND(W38*玩法行为规划!V38,2))</f>
        <v>2.5</v>
      </c>
      <c r="BA38" s="2">
        <f>IF(X38="","",ROUND(X38*玩法行为规划!W38,2))</f>
        <v>5</v>
      </c>
      <c r="BB38" s="2">
        <f>IF(Y38="","",ROUND(Y38*玩法行为规划!X38,2))</f>
        <v>0</v>
      </c>
      <c r="BC38" s="2">
        <f>IF(Z38="","",ROUND(Z38*玩法行为规划!Y38,2))</f>
        <v>0</v>
      </c>
      <c r="BD38" s="2">
        <f>IF(AA38="","",ROUND(AA38*玩法行为规划!Z38,2))</f>
        <v>0</v>
      </c>
      <c r="BE38" s="2" t="str">
        <f>IF(AB38="","",ROUND(AB38*玩法行为规划!AA38,2))</f>
        <v/>
      </c>
      <c r="BF38" s="2" t="str">
        <f>IF(AC38="","",ROUND(AC38*玩法行为规划!AB38,2))</f>
        <v/>
      </c>
      <c r="BG38" s="2" t="str">
        <f>IF(AD38="","",ROUND(AD38*玩法行为规划!AC38,2))</f>
        <v/>
      </c>
      <c r="BH38" s="3" t="str">
        <f>IF(AE38="","",ROUND(AE38*玩法行为规划!AD38,2))</f>
        <v/>
      </c>
      <c r="BI38" s="7">
        <f t="shared" si="6"/>
        <v>150.76999999999998</v>
      </c>
      <c r="BJ38" s="7">
        <f t="shared" si="7"/>
        <v>2171087.9999999995</v>
      </c>
      <c r="BK38" s="10">
        <f t="shared" si="3"/>
        <v>109400</v>
      </c>
      <c r="BL38" s="21" t="str">
        <f t="shared" si="5"/>
        <v/>
      </c>
      <c r="BM38" s="7">
        <f t="shared" si="8"/>
        <v>0.28252235128839487</v>
      </c>
      <c r="BN38" s="69">
        <f>INT(BJ38*升级节奏!G38+BK38)</f>
        <v>387226</v>
      </c>
      <c r="BO38" s="7">
        <f t="shared" si="4"/>
        <v>160</v>
      </c>
      <c r="BP38" s="7"/>
    </row>
    <row r="39" spans="1:69">
      <c r="A39" s="29">
        <v>37</v>
      </c>
      <c r="B39" s="84">
        <f>升级节奏!C39</f>
        <v>14800</v>
      </c>
      <c r="C39" s="53">
        <f>IF(VLOOKUP(C$2,行为概览!$D$3:$J$33,7,0)="","",VLOOKUP(C$2,行为概览!$D$3:$J$33,7,0))</f>
        <v>50</v>
      </c>
      <c r="D39" s="53">
        <f>IF(VLOOKUP(D$2,行为概览!$D$3:$J$33,7,0)="","",VLOOKUP(D$2,行为概览!$D$3:$J$33,7,0))</f>
        <v>3.3</v>
      </c>
      <c r="E39" s="53">
        <f>IF(VLOOKUP(E$2,行为概览!$D$3:$J$33,7,0)="","",VLOOKUP(E$2,行为概览!$D$3:$J$33,7,0))</f>
        <v>30</v>
      </c>
      <c r="F39" s="53">
        <f>IF(VLOOKUP(F$2,行为概览!$D$3:$J$33,7,0)="","",VLOOKUP(F$2,行为概览!$D$3:$J$33,7,0))</f>
        <v>15</v>
      </c>
      <c r="G39" s="53" t="str">
        <f>IF(VLOOKUP(G$2,行为概览!$D$3:$J$33,7,0)="","",VLOOKUP(G$2,行为概览!$D$3:$J$33,7,0))</f>
        <v/>
      </c>
      <c r="H39" s="53" t="str">
        <f>IF(VLOOKUP(H$2,行为概览!$D$3:$J$33,7,0)="","",VLOOKUP(H$2,行为概览!$D$3:$J$33,7,0))</f>
        <v/>
      </c>
      <c r="I39" s="53" t="str">
        <f>IF(VLOOKUP(I$2,行为概览!$D$3:$J$33,7,0)="","",VLOOKUP(I$2,行为概览!$D$3:$J$33,7,0))</f>
        <v/>
      </c>
      <c r="J39" s="53" t="str">
        <f>IF(VLOOKUP(J$2,行为概览!$D$3:$J$33,7,0)="","",VLOOKUP(J$2,行为概览!$D$3:$J$33,7,0))</f>
        <v/>
      </c>
      <c r="K39" s="53">
        <f>IF(VLOOKUP(K$2,行为概览!$D$3:$J$33,7,0)="","",VLOOKUP(K$2,行为概览!$D$3:$J$33,7,0))</f>
        <v>20</v>
      </c>
      <c r="L39" s="53">
        <f>IF(VLOOKUP(L$2,行为概览!$D$3:$J$33,7,0)="","",VLOOKUP(L$2,行为概览!$D$3:$J$33,7,0))</f>
        <v>20</v>
      </c>
      <c r="M39" s="53">
        <f>IF(VLOOKUP(M$2,行为概览!$D$3:$J$33,7,0)="","",VLOOKUP(M$2,行为概览!$D$3:$J$33,7,0))</f>
        <v>40</v>
      </c>
      <c r="N39" s="53">
        <f>IF(VLOOKUP(N$2,行为概览!$D$3:$J$33,7,0)="","",VLOOKUP(N$2,行为概览!$D$3:$J$33,7,0))</f>
        <v>1</v>
      </c>
      <c r="O39" s="53">
        <f>IF(VLOOKUP(O$2,行为概览!$D$3:$J$33,7,0)="","",VLOOKUP(O$2,行为概览!$D$3:$J$33,7,0))</f>
        <v>150</v>
      </c>
      <c r="P39" s="53">
        <f>IF(VLOOKUP(P$2,行为概览!$D$3:$J$33,7,0)="","",VLOOKUP(P$2,行为概览!$D$3:$J$33,7,0))</f>
        <v>10</v>
      </c>
      <c r="Q39" s="53">
        <f>IF(VLOOKUP(Q$2,行为概览!$D$3:$J$33,7,0)="","",VLOOKUP(Q$2,行为概览!$D$3:$J$33,7,0))</f>
        <v>20</v>
      </c>
      <c r="R39" s="53">
        <f>IF(VLOOKUP(R$2,行为概览!$D$3:$J$33,7,0)="","",VLOOKUP(R$2,行为概览!$D$3:$J$33,7,0))</f>
        <v>6</v>
      </c>
      <c r="S39" s="53">
        <f>IF(VLOOKUP(S$2,行为概览!$D$3:$J$33,7,0)="","",VLOOKUP(S$2,行为概览!$D$3:$J$33,7,0))</f>
        <v>20</v>
      </c>
      <c r="T39" s="53">
        <f>IF(VLOOKUP(T$2,行为概览!$D$3:$J$33,7,0)="","",VLOOKUP(T$2,行为概览!$D$3:$J$33,7,0))</f>
        <v>15</v>
      </c>
      <c r="U39" s="53">
        <f>IF(VLOOKUP(U$2,行为概览!$D$3:$J$33,7,0)="","",VLOOKUP(U$2,行为概览!$D$3:$J$33,7,0))</f>
        <v>15</v>
      </c>
      <c r="V39" s="53">
        <f>IF(VLOOKUP(V$2,行为概览!$D$3:$J$33,7,0)="","",VLOOKUP(V$2,行为概览!$D$3:$J$33,7,0))</f>
        <v>40</v>
      </c>
      <c r="W39" s="53">
        <f>IF(VLOOKUP(W$2,行为概览!$D$3:$J$33,7,0)="","",VLOOKUP(W$2,行为概览!$D$3:$J$33,7,0))</f>
        <v>15</v>
      </c>
      <c r="X39" s="53">
        <f>IF(VLOOKUP(X$2,行为概览!$D$3:$J$33,7,0)="","",VLOOKUP(X$2,行为概览!$D$3:$J$33,7,0))</f>
        <v>30</v>
      </c>
      <c r="Y39" s="53">
        <f>IF(VLOOKUP(Y$2,行为概览!$D$3:$J$33,7,0)="","",VLOOKUP(Y$2,行为概览!$D$3:$J$33,7,0))</f>
        <v>25</v>
      </c>
      <c r="Z39" s="53">
        <f>IF(VLOOKUP(Z$2,行为概览!$D$3:$J$33,7,0)="","",VLOOKUP(Z$2,行为概览!$D$3:$J$33,7,0))</f>
        <v>15</v>
      </c>
      <c r="AA39" s="53">
        <f>IF(VLOOKUP(AA$2,行为概览!$D$3:$J$33,7,0)="","",VLOOKUP(AA$2,行为概览!$D$3:$J$33,7,0))</f>
        <v>15</v>
      </c>
      <c r="AB39" s="53" t="str">
        <f>IF(VLOOKUP(AB$2,行为概览!$D$3:$J$33,7,0)="","",VLOOKUP(AB$2,行为概览!$D$3:$J$33,7,0))</f>
        <v/>
      </c>
      <c r="AC39" s="53" t="str">
        <f>IF(VLOOKUP(AC$2,行为概览!$D$3:$J$33,7,0)="","",VLOOKUP(AC$2,行为概览!$D$3:$J$33,7,0))</f>
        <v/>
      </c>
      <c r="AD39" s="53" t="str">
        <f>IF(VLOOKUP(AD$2,行为概览!$D$3:$J$33,7,0)="","",VLOOKUP(AD$2,行为概览!$D$3:$J$33,7,0))</f>
        <v/>
      </c>
      <c r="AE39" s="68" t="str">
        <f>IF(VLOOKUP(AE$2,行为概览!$D$3:$J$33,7,0)="","",VLOOKUP(AE$2,行为概览!$D$3:$J$33,7,0))</f>
        <v/>
      </c>
      <c r="AF39" s="1">
        <f>IF(C39="","",ROUND(C39*玩法行为规划!B39,2))</f>
        <v>16.670000000000002</v>
      </c>
      <c r="AG39" s="2">
        <f>IF(D39="","",ROUND(D39*玩法行为规划!C39,2))</f>
        <v>6.6</v>
      </c>
      <c r="AH39" s="2">
        <f>IF(E39="","",ROUND(E39*玩法行为规划!D39,2))</f>
        <v>2.5</v>
      </c>
      <c r="AI39" s="2">
        <f>IF(F39="","",ROUND(F39*玩法行为规划!E39,2))</f>
        <v>0</v>
      </c>
      <c r="AJ39" s="2" t="str">
        <f>IF(G39="","",ROUND(G39*玩法行为规划!F39,2))</f>
        <v/>
      </c>
      <c r="AK39" s="2" t="str">
        <f>IF(H39="","",ROUND(H39*玩法行为规划!G39,2))</f>
        <v/>
      </c>
      <c r="AL39" s="2" t="str">
        <f>IF(I39="","",ROUND(I39*玩法行为规划!H39,2))</f>
        <v/>
      </c>
      <c r="AM39" s="2" t="str">
        <f>IF(J39="","",ROUND(J39*玩法行为规划!I39,2))</f>
        <v/>
      </c>
      <c r="AN39" s="2">
        <f>IF(K39="","",ROUND(K39*玩法行为规划!J39,2))</f>
        <v>10</v>
      </c>
      <c r="AO39" s="2">
        <f>IF(L39="","",ROUND(L39*玩法行为规划!K39,2))</f>
        <v>3.33</v>
      </c>
      <c r="AP39" s="2">
        <f>IF(M39="","",ROUND(M39*玩法行为规划!L39,2))</f>
        <v>0</v>
      </c>
      <c r="AQ39" s="2">
        <f>IF(N39="","",ROUND(N39*玩法行为规划!M39,2))</f>
        <v>12</v>
      </c>
      <c r="AR39" s="2">
        <f>IF(O39="","",ROUND(O39*玩法行为规划!N39,2))</f>
        <v>12.5</v>
      </c>
      <c r="AS39" s="2">
        <f>IF(P39="","",ROUND(P39*玩法行为规划!O39,2))</f>
        <v>0.83</v>
      </c>
      <c r="AT39" s="2">
        <f>IF(Q39="","",ROUND(Q39*玩法行为规划!P39,2))</f>
        <v>52</v>
      </c>
      <c r="AU39" s="2">
        <f>IF(R39="","",ROUND(R39*玩法行为规划!Q39,2))</f>
        <v>6</v>
      </c>
      <c r="AV39" s="2">
        <f>IF(S39="","",ROUND(S39*玩法行为规划!R39,2))</f>
        <v>6.67</v>
      </c>
      <c r="AW39" s="2">
        <f>IF(T39="","",ROUND(T39*玩法行为规划!S39,2))</f>
        <v>7.5</v>
      </c>
      <c r="AX39" s="2">
        <f>IF(U39="","",ROUND(U39*玩法行为规划!T39,2))</f>
        <v>0</v>
      </c>
      <c r="AY39" s="2">
        <f>IF(V39="","",ROUND(V39*玩法行为规划!U39,2))</f>
        <v>6.67</v>
      </c>
      <c r="AZ39" s="2">
        <f>IF(W39="","",ROUND(W39*玩法行为规划!V39,2))</f>
        <v>2.5</v>
      </c>
      <c r="BA39" s="2">
        <f>IF(X39="","",ROUND(X39*玩法行为规划!W39,2))</f>
        <v>5</v>
      </c>
      <c r="BB39" s="2">
        <f>IF(Y39="","",ROUND(Y39*玩法行为规划!X39,2))</f>
        <v>0</v>
      </c>
      <c r="BC39" s="2">
        <f>IF(Z39="","",ROUND(Z39*玩法行为规划!Y39,2))</f>
        <v>0</v>
      </c>
      <c r="BD39" s="2">
        <f>IF(AA39="","",ROUND(AA39*玩法行为规划!Z39,2))</f>
        <v>0</v>
      </c>
      <c r="BE39" s="2" t="str">
        <f>IF(AB39="","",ROUND(AB39*玩法行为规划!AA39,2))</f>
        <v/>
      </c>
      <c r="BF39" s="2" t="str">
        <f>IF(AC39="","",ROUND(AC39*玩法行为规划!AB39,2))</f>
        <v/>
      </c>
      <c r="BG39" s="2" t="str">
        <f>IF(AD39="","",ROUND(AD39*玩法行为规划!AC39,2))</f>
        <v/>
      </c>
      <c r="BH39" s="3" t="str">
        <f>IF(AE39="","",ROUND(AE39*玩法行为规划!AD39,2))</f>
        <v/>
      </c>
      <c r="BI39" s="7">
        <f t="shared" si="6"/>
        <v>150.76999999999998</v>
      </c>
      <c r="BJ39" s="7">
        <f t="shared" si="7"/>
        <v>2231395.9999999995</v>
      </c>
      <c r="BK39" s="10">
        <f t="shared" si="3"/>
        <v>121400</v>
      </c>
      <c r="BL39" s="21" t="str">
        <f t="shared" si="5"/>
        <v/>
      </c>
      <c r="BM39" s="7">
        <f t="shared" si="8"/>
        <v>0.28776228085977873</v>
      </c>
      <c r="BN39" s="69">
        <f>INT(BJ39*升级节奏!G39+BK39)</f>
        <v>421876</v>
      </c>
      <c r="BO39" s="7">
        <f t="shared" si="4"/>
        <v>164</v>
      </c>
      <c r="BP39" s="7"/>
    </row>
    <row r="40" spans="1:69">
      <c r="A40" s="29">
        <v>38</v>
      </c>
      <c r="B40" s="84">
        <f>升级节奏!C40</f>
        <v>15200</v>
      </c>
      <c r="C40" s="53">
        <f>IF(VLOOKUP(C$2,行为概览!$D$3:$J$33,7,0)="","",VLOOKUP(C$2,行为概览!$D$3:$J$33,7,0))</f>
        <v>50</v>
      </c>
      <c r="D40" s="53">
        <f>IF(VLOOKUP(D$2,行为概览!$D$3:$J$33,7,0)="","",VLOOKUP(D$2,行为概览!$D$3:$J$33,7,0))</f>
        <v>3.3</v>
      </c>
      <c r="E40" s="53">
        <f>IF(VLOOKUP(E$2,行为概览!$D$3:$J$33,7,0)="","",VLOOKUP(E$2,行为概览!$D$3:$J$33,7,0))</f>
        <v>30</v>
      </c>
      <c r="F40" s="53">
        <f>IF(VLOOKUP(F$2,行为概览!$D$3:$J$33,7,0)="","",VLOOKUP(F$2,行为概览!$D$3:$J$33,7,0))</f>
        <v>15</v>
      </c>
      <c r="G40" s="53" t="str">
        <f>IF(VLOOKUP(G$2,行为概览!$D$3:$J$33,7,0)="","",VLOOKUP(G$2,行为概览!$D$3:$J$33,7,0))</f>
        <v/>
      </c>
      <c r="H40" s="53" t="str">
        <f>IF(VLOOKUP(H$2,行为概览!$D$3:$J$33,7,0)="","",VLOOKUP(H$2,行为概览!$D$3:$J$33,7,0))</f>
        <v/>
      </c>
      <c r="I40" s="53" t="str">
        <f>IF(VLOOKUP(I$2,行为概览!$D$3:$J$33,7,0)="","",VLOOKUP(I$2,行为概览!$D$3:$J$33,7,0))</f>
        <v/>
      </c>
      <c r="J40" s="53" t="str">
        <f>IF(VLOOKUP(J$2,行为概览!$D$3:$J$33,7,0)="","",VLOOKUP(J$2,行为概览!$D$3:$J$33,7,0))</f>
        <v/>
      </c>
      <c r="K40" s="53">
        <f>IF(VLOOKUP(K$2,行为概览!$D$3:$J$33,7,0)="","",VLOOKUP(K$2,行为概览!$D$3:$J$33,7,0))</f>
        <v>20</v>
      </c>
      <c r="L40" s="53">
        <f>IF(VLOOKUP(L$2,行为概览!$D$3:$J$33,7,0)="","",VLOOKUP(L$2,行为概览!$D$3:$J$33,7,0))</f>
        <v>20</v>
      </c>
      <c r="M40" s="53">
        <f>IF(VLOOKUP(M$2,行为概览!$D$3:$J$33,7,0)="","",VLOOKUP(M$2,行为概览!$D$3:$J$33,7,0))</f>
        <v>40</v>
      </c>
      <c r="N40" s="53">
        <f>IF(VLOOKUP(N$2,行为概览!$D$3:$J$33,7,0)="","",VLOOKUP(N$2,行为概览!$D$3:$J$33,7,0))</f>
        <v>1</v>
      </c>
      <c r="O40" s="53">
        <f>IF(VLOOKUP(O$2,行为概览!$D$3:$J$33,7,0)="","",VLOOKUP(O$2,行为概览!$D$3:$J$33,7,0))</f>
        <v>150</v>
      </c>
      <c r="P40" s="53">
        <f>IF(VLOOKUP(P$2,行为概览!$D$3:$J$33,7,0)="","",VLOOKUP(P$2,行为概览!$D$3:$J$33,7,0))</f>
        <v>10</v>
      </c>
      <c r="Q40" s="53">
        <f>IF(VLOOKUP(Q$2,行为概览!$D$3:$J$33,7,0)="","",VLOOKUP(Q$2,行为概览!$D$3:$J$33,7,0))</f>
        <v>20</v>
      </c>
      <c r="R40" s="53">
        <f>IF(VLOOKUP(R$2,行为概览!$D$3:$J$33,7,0)="","",VLOOKUP(R$2,行为概览!$D$3:$J$33,7,0))</f>
        <v>6</v>
      </c>
      <c r="S40" s="53">
        <f>IF(VLOOKUP(S$2,行为概览!$D$3:$J$33,7,0)="","",VLOOKUP(S$2,行为概览!$D$3:$J$33,7,0))</f>
        <v>20</v>
      </c>
      <c r="T40" s="53">
        <f>IF(VLOOKUP(T$2,行为概览!$D$3:$J$33,7,0)="","",VLOOKUP(T$2,行为概览!$D$3:$J$33,7,0))</f>
        <v>15</v>
      </c>
      <c r="U40" s="53">
        <f>IF(VLOOKUP(U$2,行为概览!$D$3:$J$33,7,0)="","",VLOOKUP(U$2,行为概览!$D$3:$J$33,7,0))</f>
        <v>15</v>
      </c>
      <c r="V40" s="53">
        <f>IF(VLOOKUP(V$2,行为概览!$D$3:$J$33,7,0)="","",VLOOKUP(V$2,行为概览!$D$3:$J$33,7,0))</f>
        <v>40</v>
      </c>
      <c r="W40" s="53">
        <f>IF(VLOOKUP(W$2,行为概览!$D$3:$J$33,7,0)="","",VLOOKUP(W$2,行为概览!$D$3:$J$33,7,0))</f>
        <v>15</v>
      </c>
      <c r="X40" s="53">
        <f>IF(VLOOKUP(X$2,行为概览!$D$3:$J$33,7,0)="","",VLOOKUP(X$2,行为概览!$D$3:$J$33,7,0))</f>
        <v>30</v>
      </c>
      <c r="Y40" s="53">
        <f>IF(VLOOKUP(Y$2,行为概览!$D$3:$J$33,7,0)="","",VLOOKUP(Y$2,行为概览!$D$3:$J$33,7,0))</f>
        <v>25</v>
      </c>
      <c r="Z40" s="53">
        <f>IF(VLOOKUP(Z$2,行为概览!$D$3:$J$33,7,0)="","",VLOOKUP(Z$2,行为概览!$D$3:$J$33,7,0))</f>
        <v>15</v>
      </c>
      <c r="AA40" s="53">
        <f>IF(VLOOKUP(AA$2,行为概览!$D$3:$J$33,7,0)="","",VLOOKUP(AA$2,行为概览!$D$3:$J$33,7,0))</f>
        <v>15</v>
      </c>
      <c r="AB40" s="53" t="str">
        <f>IF(VLOOKUP(AB$2,行为概览!$D$3:$J$33,7,0)="","",VLOOKUP(AB$2,行为概览!$D$3:$J$33,7,0))</f>
        <v/>
      </c>
      <c r="AC40" s="53" t="str">
        <f>IF(VLOOKUP(AC$2,行为概览!$D$3:$J$33,7,0)="","",VLOOKUP(AC$2,行为概览!$D$3:$J$33,7,0))</f>
        <v/>
      </c>
      <c r="AD40" s="53" t="str">
        <f>IF(VLOOKUP(AD$2,行为概览!$D$3:$J$33,7,0)="","",VLOOKUP(AD$2,行为概览!$D$3:$J$33,7,0))</f>
        <v/>
      </c>
      <c r="AE40" s="68" t="str">
        <f>IF(VLOOKUP(AE$2,行为概览!$D$3:$J$33,7,0)="","",VLOOKUP(AE$2,行为概览!$D$3:$J$33,7,0))</f>
        <v/>
      </c>
      <c r="AF40" s="1">
        <f>IF(C40="","",ROUND(C40*玩法行为规划!B40,2))</f>
        <v>16.670000000000002</v>
      </c>
      <c r="AG40" s="2">
        <f>IF(D40="","",ROUND(D40*玩法行为规划!C40,2))</f>
        <v>6.6</v>
      </c>
      <c r="AH40" s="2">
        <f>IF(E40="","",ROUND(E40*玩法行为规划!D40,2))</f>
        <v>2.5</v>
      </c>
      <c r="AI40" s="2">
        <f>IF(F40="","",ROUND(F40*玩法行为规划!E40,2))</f>
        <v>0</v>
      </c>
      <c r="AJ40" s="2" t="str">
        <f>IF(G40="","",ROUND(G40*玩法行为规划!F40,2))</f>
        <v/>
      </c>
      <c r="AK40" s="2" t="str">
        <f>IF(H40="","",ROUND(H40*玩法行为规划!G40,2))</f>
        <v/>
      </c>
      <c r="AL40" s="2" t="str">
        <f>IF(I40="","",ROUND(I40*玩法行为规划!H40,2))</f>
        <v/>
      </c>
      <c r="AM40" s="2" t="str">
        <f>IF(J40="","",ROUND(J40*玩法行为规划!I40,2))</f>
        <v/>
      </c>
      <c r="AN40" s="2">
        <f>IF(K40="","",ROUND(K40*玩法行为规划!J40,2))</f>
        <v>10</v>
      </c>
      <c r="AO40" s="2">
        <f>IF(L40="","",ROUND(L40*玩法行为规划!K40,2))</f>
        <v>3.33</v>
      </c>
      <c r="AP40" s="2">
        <f>IF(M40="","",ROUND(M40*玩法行为规划!L40,2))</f>
        <v>0</v>
      </c>
      <c r="AQ40" s="2">
        <f>IF(N40="","",ROUND(N40*玩法行为规划!M40,2))</f>
        <v>12</v>
      </c>
      <c r="AR40" s="2">
        <f>IF(O40="","",ROUND(O40*玩法行为规划!N40,2))</f>
        <v>12.5</v>
      </c>
      <c r="AS40" s="2">
        <f>IF(P40="","",ROUND(P40*玩法行为规划!O40,2))</f>
        <v>0.83</v>
      </c>
      <c r="AT40" s="2">
        <f>IF(Q40="","",ROUND(Q40*玩法行为规划!P40,2))</f>
        <v>52</v>
      </c>
      <c r="AU40" s="2">
        <f>IF(R40="","",ROUND(R40*玩法行为规划!Q40,2))</f>
        <v>6</v>
      </c>
      <c r="AV40" s="2">
        <f>IF(S40="","",ROUND(S40*玩法行为规划!R40,2))</f>
        <v>6.67</v>
      </c>
      <c r="AW40" s="2">
        <f>IF(T40="","",ROUND(T40*玩法行为规划!S40,2))</f>
        <v>7.5</v>
      </c>
      <c r="AX40" s="2">
        <f>IF(U40="","",ROUND(U40*玩法行为规划!T40,2))</f>
        <v>0</v>
      </c>
      <c r="AY40" s="2">
        <f>IF(V40="","",ROUND(V40*玩法行为规划!U40,2))</f>
        <v>6.67</v>
      </c>
      <c r="AZ40" s="2">
        <f>IF(W40="","",ROUND(W40*玩法行为规划!V40,2))</f>
        <v>2.5</v>
      </c>
      <c r="BA40" s="2">
        <f>IF(X40="","",ROUND(X40*玩法行为规划!W40,2))</f>
        <v>5</v>
      </c>
      <c r="BB40" s="2">
        <f>IF(Y40="","",ROUND(Y40*玩法行为规划!X40,2))</f>
        <v>0</v>
      </c>
      <c r="BC40" s="2">
        <f>IF(Z40="","",ROUND(Z40*玩法行为规划!Y40,2))</f>
        <v>0</v>
      </c>
      <c r="BD40" s="2">
        <f>IF(AA40="","",ROUND(AA40*玩法行为规划!Z40,2))</f>
        <v>0</v>
      </c>
      <c r="BE40" s="2" t="str">
        <f>IF(AB40="","",ROUND(AB40*玩法行为规划!AA40,2))</f>
        <v/>
      </c>
      <c r="BF40" s="2" t="str">
        <f>IF(AC40="","",ROUND(AC40*玩法行为规划!AB40,2))</f>
        <v/>
      </c>
      <c r="BG40" s="2" t="str">
        <f>IF(AD40="","",ROUND(AD40*玩法行为规划!AC40,2))</f>
        <v/>
      </c>
      <c r="BH40" s="3" t="str">
        <f>IF(AE40="","",ROUND(AE40*玩法行为规划!AD40,2))</f>
        <v/>
      </c>
      <c r="BI40" s="7">
        <f t="shared" si="6"/>
        <v>150.76999999999998</v>
      </c>
      <c r="BJ40" s="7">
        <f t="shared" si="7"/>
        <v>2291703.9999999995</v>
      </c>
      <c r="BK40" s="10">
        <f t="shared" si="3"/>
        <v>133800</v>
      </c>
      <c r="BL40" s="21" t="str">
        <f t="shared" si="5"/>
        <v/>
      </c>
      <c r="BM40" s="7">
        <f t="shared" si="8"/>
        <v>0.29204281548481725</v>
      </c>
      <c r="BN40" s="69">
        <f>INT(BJ40*升级节奏!G40+BK40)</f>
        <v>458152</v>
      </c>
      <c r="BO40" s="7">
        <f t="shared" si="4"/>
        <v>169</v>
      </c>
      <c r="BP40" s="7"/>
    </row>
    <row r="41" spans="1:69">
      <c r="A41" s="29">
        <v>39</v>
      </c>
      <c r="B41" s="84">
        <f>升级节奏!C41</f>
        <v>15600</v>
      </c>
      <c r="C41" s="53">
        <f>IF(VLOOKUP(C$2,行为概览!$D$3:$J$33,7,0)="","",VLOOKUP(C$2,行为概览!$D$3:$J$33,7,0))</f>
        <v>50</v>
      </c>
      <c r="D41" s="53">
        <f>IF(VLOOKUP(D$2,行为概览!$D$3:$J$33,7,0)="","",VLOOKUP(D$2,行为概览!$D$3:$J$33,7,0))</f>
        <v>3.3</v>
      </c>
      <c r="E41" s="53">
        <f>IF(VLOOKUP(E$2,行为概览!$D$3:$J$33,7,0)="","",VLOOKUP(E$2,行为概览!$D$3:$J$33,7,0))</f>
        <v>30</v>
      </c>
      <c r="F41" s="53">
        <f>IF(VLOOKUP(F$2,行为概览!$D$3:$J$33,7,0)="","",VLOOKUP(F$2,行为概览!$D$3:$J$33,7,0))</f>
        <v>15</v>
      </c>
      <c r="G41" s="53" t="str">
        <f>IF(VLOOKUP(G$2,行为概览!$D$3:$J$33,7,0)="","",VLOOKUP(G$2,行为概览!$D$3:$J$33,7,0))</f>
        <v/>
      </c>
      <c r="H41" s="53" t="str">
        <f>IF(VLOOKUP(H$2,行为概览!$D$3:$J$33,7,0)="","",VLOOKUP(H$2,行为概览!$D$3:$J$33,7,0))</f>
        <v/>
      </c>
      <c r="I41" s="53" t="str">
        <f>IF(VLOOKUP(I$2,行为概览!$D$3:$J$33,7,0)="","",VLOOKUP(I$2,行为概览!$D$3:$J$33,7,0))</f>
        <v/>
      </c>
      <c r="J41" s="53" t="str">
        <f>IF(VLOOKUP(J$2,行为概览!$D$3:$J$33,7,0)="","",VLOOKUP(J$2,行为概览!$D$3:$J$33,7,0))</f>
        <v/>
      </c>
      <c r="K41" s="53">
        <f>IF(VLOOKUP(K$2,行为概览!$D$3:$J$33,7,0)="","",VLOOKUP(K$2,行为概览!$D$3:$J$33,7,0))</f>
        <v>20</v>
      </c>
      <c r="L41" s="53">
        <f>IF(VLOOKUP(L$2,行为概览!$D$3:$J$33,7,0)="","",VLOOKUP(L$2,行为概览!$D$3:$J$33,7,0))</f>
        <v>20</v>
      </c>
      <c r="M41" s="53">
        <f>IF(VLOOKUP(M$2,行为概览!$D$3:$J$33,7,0)="","",VLOOKUP(M$2,行为概览!$D$3:$J$33,7,0))</f>
        <v>40</v>
      </c>
      <c r="N41" s="53">
        <f>IF(VLOOKUP(N$2,行为概览!$D$3:$J$33,7,0)="","",VLOOKUP(N$2,行为概览!$D$3:$J$33,7,0))</f>
        <v>1</v>
      </c>
      <c r="O41" s="53">
        <f>IF(VLOOKUP(O$2,行为概览!$D$3:$J$33,7,0)="","",VLOOKUP(O$2,行为概览!$D$3:$J$33,7,0))</f>
        <v>150</v>
      </c>
      <c r="P41" s="53">
        <f>IF(VLOOKUP(P$2,行为概览!$D$3:$J$33,7,0)="","",VLOOKUP(P$2,行为概览!$D$3:$J$33,7,0))</f>
        <v>10</v>
      </c>
      <c r="Q41" s="53">
        <f>IF(VLOOKUP(Q$2,行为概览!$D$3:$J$33,7,0)="","",VLOOKUP(Q$2,行为概览!$D$3:$J$33,7,0))</f>
        <v>20</v>
      </c>
      <c r="R41" s="53">
        <f>IF(VLOOKUP(R$2,行为概览!$D$3:$J$33,7,0)="","",VLOOKUP(R$2,行为概览!$D$3:$J$33,7,0))</f>
        <v>6</v>
      </c>
      <c r="S41" s="53">
        <f>IF(VLOOKUP(S$2,行为概览!$D$3:$J$33,7,0)="","",VLOOKUP(S$2,行为概览!$D$3:$J$33,7,0))</f>
        <v>20</v>
      </c>
      <c r="T41" s="53">
        <f>IF(VLOOKUP(T$2,行为概览!$D$3:$J$33,7,0)="","",VLOOKUP(T$2,行为概览!$D$3:$J$33,7,0))</f>
        <v>15</v>
      </c>
      <c r="U41" s="53">
        <f>IF(VLOOKUP(U$2,行为概览!$D$3:$J$33,7,0)="","",VLOOKUP(U$2,行为概览!$D$3:$J$33,7,0))</f>
        <v>15</v>
      </c>
      <c r="V41" s="53">
        <f>IF(VLOOKUP(V$2,行为概览!$D$3:$J$33,7,0)="","",VLOOKUP(V$2,行为概览!$D$3:$J$33,7,0))</f>
        <v>40</v>
      </c>
      <c r="W41" s="53">
        <f>IF(VLOOKUP(W$2,行为概览!$D$3:$J$33,7,0)="","",VLOOKUP(W$2,行为概览!$D$3:$J$33,7,0))</f>
        <v>15</v>
      </c>
      <c r="X41" s="53">
        <f>IF(VLOOKUP(X$2,行为概览!$D$3:$J$33,7,0)="","",VLOOKUP(X$2,行为概览!$D$3:$J$33,7,0))</f>
        <v>30</v>
      </c>
      <c r="Y41" s="53">
        <f>IF(VLOOKUP(Y$2,行为概览!$D$3:$J$33,7,0)="","",VLOOKUP(Y$2,行为概览!$D$3:$J$33,7,0))</f>
        <v>25</v>
      </c>
      <c r="Z41" s="53">
        <f>IF(VLOOKUP(Z$2,行为概览!$D$3:$J$33,7,0)="","",VLOOKUP(Z$2,行为概览!$D$3:$J$33,7,0))</f>
        <v>15</v>
      </c>
      <c r="AA41" s="53">
        <f>IF(VLOOKUP(AA$2,行为概览!$D$3:$J$33,7,0)="","",VLOOKUP(AA$2,行为概览!$D$3:$J$33,7,0))</f>
        <v>15</v>
      </c>
      <c r="AB41" s="53" t="str">
        <f>IF(VLOOKUP(AB$2,行为概览!$D$3:$J$33,7,0)="","",VLOOKUP(AB$2,行为概览!$D$3:$J$33,7,0))</f>
        <v/>
      </c>
      <c r="AC41" s="53" t="str">
        <f>IF(VLOOKUP(AC$2,行为概览!$D$3:$J$33,7,0)="","",VLOOKUP(AC$2,行为概览!$D$3:$J$33,7,0))</f>
        <v/>
      </c>
      <c r="AD41" s="53" t="str">
        <f>IF(VLOOKUP(AD$2,行为概览!$D$3:$J$33,7,0)="","",VLOOKUP(AD$2,行为概览!$D$3:$J$33,7,0))</f>
        <v/>
      </c>
      <c r="AE41" s="68" t="str">
        <f>IF(VLOOKUP(AE$2,行为概览!$D$3:$J$33,7,0)="","",VLOOKUP(AE$2,行为概览!$D$3:$J$33,7,0))</f>
        <v/>
      </c>
      <c r="AF41" s="1">
        <f>IF(C41="","",ROUND(C41*玩法行为规划!B41,2))</f>
        <v>16.670000000000002</v>
      </c>
      <c r="AG41" s="2">
        <f>IF(D41="","",ROUND(D41*玩法行为规划!C41,2))</f>
        <v>6.6</v>
      </c>
      <c r="AH41" s="2">
        <f>IF(E41="","",ROUND(E41*玩法行为规划!D41,2))</f>
        <v>2.5</v>
      </c>
      <c r="AI41" s="2">
        <f>IF(F41="","",ROUND(F41*玩法行为规划!E41,2))</f>
        <v>0</v>
      </c>
      <c r="AJ41" s="2" t="str">
        <f>IF(G41="","",ROUND(G41*玩法行为规划!F41,2))</f>
        <v/>
      </c>
      <c r="AK41" s="2" t="str">
        <f>IF(H41="","",ROUND(H41*玩法行为规划!G41,2))</f>
        <v/>
      </c>
      <c r="AL41" s="2" t="str">
        <f>IF(I41="","",ROUND(I41*玩法行为规划!H41,2))</f>
        <v/>
      </c>
      <c r="AM41" s="2" t="str">
        <f>IF(J41="","",ROUND(J41*玩法行为规划!I41,2))</f>
        <v/>
      </c>
      <c r="AN41" s="2">
        <f>IF(K41="","",ROUND(K41*玩法行为规划!J41,2))</f>
        <v>10</v>
      </c>
      <c r="AO41" s="2">
        <f>IF(L41="","",ROUND(L41*玩法行为规划!K41,2))</f>
        <v>3.33</v>
      </c>
      <c r="AP41" s="2">
        <f>IF(M41="","",ROUND(M41*玩法行为规划!L41,2))</f>
        <v>0</v>
      </c>
      <c r="AQ41" s="2">
        <f>IF(N41="","",ROUND(N41*玩法行为规划!M41,2))</f>
        <v>12</v>
      </c>
      <c r="AR41" s="2">
        <f>IF(O41="","",ROUND(O41*玩法行为规划!N41,2))</f>
        <v>12.5</v>
      </c>
      <c r="AS41" s="2">
        <f>IF(P41="","",ROUND(P41*玩法行为规划!O41,2))</f>
        <v>0.83</v>
      </c>
      <c r="AT41" s="2">
        <f>IF(Q41="","",ROUND(Q41*玩法行为规划!P41,2))</f>
        <v>52</v>
      </c>
      <c r="AU41" s="2">
        <f>IF(R41="","",ROUND(R41*玩法行为规划!Q41,2))</f>
        <v>6</v>
      </c>
      <c r="AV41" s="2">
        <f>IF(S41="","",ROUND(S41*玩法行为规划!R41,2))</f>
        <v>6.67</v>
      </c>
      <c r="AW41" s="2">
        <f>IF(T41="","",ROUND(T41*玩法行为规划!S41,2))</f>
        <v>7.5</v>
      </c>
      <c r="AX41" s="2">
        <f>IF(U41="","",ROUND(U41*玩法行为规划!T41,2))</f>
        <v>0</v>
      </c>
      <c r="AY41" s="2">
        <f>IF(V41="","",ROUND(V41*玩法行为规划!U41,2))</f>
        <v>6.67</v>
      </c>
      <c r="AZ41" s="2">
        <f>IF(W41="","",ROUND(W41*玩法行为规划!V41,2))</f>
        <v>2.5</v>
      </c>
      <c r="BA41" s="2">
        <f>IF(X41="","",ROUND(X41*玩法行为规划!W41,2))</f>
        <v>5</v>
      </c>
      <c r="BB41" s="2">
        <f>IF(Y41="","",ROUND(Y41*玩法行为规划!X41,2))</f>
        <v>0</v>
      </c>
      <c r="BC41" s="2">
        <f>IF(Z41="","",ROUND(Z41*玩法行为规划!Y41,2))</f>
        <v>0</v>
      </c>
      <c r="BD41" s="2">
        <f>IF(AA41="","",ROUND(AA41*玩法行为规划!Z41,2))</f>
        <v>0</v>
      </c>
      <c r="BE41" s="2" t="str">
        <f>IF(AB41="","",ROUND(AB41*玩法行为规划!AA41,2))</f>
        <v/>
      </c>
      <c r="BF41" s="2" t="str">
        <f>IF(AC41="","",ROUND(AC41*玩法行为规划!AB41,2))</f>
        <v/>
      </c>
      <c r="BG41" s="2" t="str">
        <f>IF(AD41="","",ROUND(AD41*玩法行为规划!AC41,2))</f>
        <v/>
      </c>
      <c r="BH41" s="3" t="str">
        <f>IF(AE41="","",ROUND(AE41*玩法行为规划!AD41,2))</f>
        <v/>
      </c>
      <c r="BI41" s="7">
        <f t="shared" si="6"/>
        <v>150.76999999999998</v>
      </c>
      <c r="BJ41" s="7">
        <f t="shared" si="7"/>
        <v>2352011.9999999995</v>
      </c>
      <c r="BK41" s="10">
        <f t="shared" si="3"/>
        <v>146600</v>
      </c>
      <c r="BL41" s="21" t="str">
        <f t="shared" si="5"/>
        <v/>
      </c>
      <c r="BM41" s="7">
        <f t="shared" si="8"/>
        <v>0.2619578580209852</v>
      </c>
      <c r="BN41" s="69">
        <f>INT(BJ41*升级节奏!G41+BK41)</f>
        <v>559632</v>
      </c>
      <c r="BO41" s="7">
        <f t="shared" si="4"/>
        <v>173</v>
      </c>
      <c r="BP41" s="7"/>
    </row>
    <row r="42" spans="1:69">
      <c r="A42" s="29">
        <v>40</v>
      </c>
      <c r="B42" s="84">
        <f>升级节奏!C42</f>
        <v>16000</v>
      </c>
      <c r="C42" s="53">
        <f>IF(VLOOKUP(C$2,行为概览!$D$3:$J$33,7,0)="","",VLOOKUP(C$2,行为概览!$D$3:$J$33,7,0))</f>
        <v>50</v>
      </c>
      <c r="D42" s="53">
        <f>IF(VLOOKUP(D$2,行为概览!$D$3:$J$33,7,0)="","",VLOOKUP(D$2,行为概览!$D$3:$J$33,7,0))</f>
        <v>3.3</v>
      </c>
      <c r="E42" s="53">
        <f>IF(VLOOKUP(E$2,行为概览!$D$3:$J$33,7,0)="","",VLOOKUP(E$2,行为概览!$D$3:$J$33,7,0))</f>
        <v>30</v>
      </c>
      <c r="F42" s="53">
        <f>IF(VLOOKUP(F$2,行为概览!$D$3:$J$33,7,0)="","",VLOOKUP(F$2,行为概览!$D$3:$J$33,7,0))</f>
        <v>15</v>
      </c>
      <c r="G42" s="53" t="str">
        <f>IF(VLOOKUP(G$2,行为概览!$D$3:$J$33,7,0)="","",VLOOKUP(G$2,行为概览!$D$3:$J$33,7,0))</f>
        <v/>
      </c>
      <c r="H42" s="53" t="str">
        <f>IF(VLOOKUP(H$2,行为概览!$D$3:$J$33,7,0)="","",VLOOKUP(H$2,行为概览!$D$3:$J$33,7,0))</f>
        <v/>
      </c>
      <c r="I42" s="53" t="str">
        <f>IF(VLOOKUP(I$2,行为概览!$D$3:$J$33,7,0)="","",VLOOKUP(I$2,行为概览!$D$3:$J$33,7,0))</f>
        <v/>
      </c>
      <c r="J42" s="53" t="str">
        <f>IF(VLOOKUP(J$2,行为概览!$D$3:$J$33,7,0)="","",VLOOKUP(J$2,行为概览!$D$3:$J$33,7,0))</f>
        <v/>
      </c>
      <c r="K42" s="53">
        <f>IF(VLOOKUP(K$2,行为概览!$D$3:$J$33,7,0)="","",VLOOKUP(K$2,行为概览!$D$3:$J$33,7,0))</f>
        <v>20</v>
      </c>
      <c r="L42" s="53">
        <f>IF(VLOOKUP(L$2,行为概览!$D$3:$J$33,7,0)="","",VLOOKUP(L$2,行为概览!$D$3:$J$33,7,0))</f>
        <v>20</v>
      </c>
      <c r="M42" s="53">
        <f>IF(VLOOKUP(M$2,行为概览!$D$3:$J$33,7,0)="","",VLOOKUP(M$2,行为概览!$D$3:$J$33,7,0))</f>
        <v>40</v>
      </c>
      <c r="N42" s="53">
        <f>IF(VLOOKUP(N$2,行为概览!$D$3:$J$33,7,0)="","",VLOOKUP(N$2,行为概览!$D$3:$J$33,7,0))</f>
        <v>1</v>
      </c>
      <c r="O42" s="53">
        <f>IF(VLOOKUP(O$2,行为概览!$D$3:$J$33,7,0)="","",VLOOKUP(O$2,行为概览!$D$3:$J$33,7,0))</f>
        <v>150</v>
      </c>
      <c r="P42" s="53">
        <f>IF(VLOOKUP(P$2,行为概览!$D$3:$J$33,7,0)="","",VLOOKUP(P$2,行为概览!$D$3:$J$33,7,0))</f>
        <v>10</v>
      </c>
      <c r="Q42" s="53">
        <f>IF(VLOOKUP(Q$2,行为概览!$D$3:$J$33,7,0)="","",VLOOKUP(Q$2,行为概览!$D$3:$J$33,7,0))</f>
        <v>20</v>
      </c>
      <c r="R42" s="53">
        <f>IF(VLOOKUP(R$2,行为概览!$D$3:$J$33,7,0)="","",VLOOKUP(R$2,行为概览!$D$3:$J$33,7,0))</f>
        <v>6</v>
      </c>
      <c r="S42" s="53">
        <f>IF(VLOOKUP(S$2,行为概览!$D$3:$J$33,7,0)="","",VLOOKUP(S$2,行为概览!$D$3:$J$33,7,0))</f>
        <v>20</v>
      </c>
      <c r="T42" s="53">
        <f>IF(VLOOKUP(T$2,行为概览!$D$3:$J$33,7,0)="","",VLOOKUP(T$2,行为概览!$D$3:$J$33,7,0))</f>
        <v>15</v>
      </c>
      <c r="U42" s="53">
        <f>IF(VLOOKUP(U$2,行为概览!$D$3:$J$33,7,0)="","",VLOOKUP(U$2,行为概览!$D$3:$J$33,7,0))</f>
        <v>15</v>
      </c>
      <c r="V42" s="53">
        <f>IF(VLOOKUP(V$2,行为概览!$D$3:$J$33,7,0)="","",VLOOKUP(V$2,行为概览!$D$3:$J$33,7,0))</f>
        <v>40</v>
      </c>
      <c r="W42" s="53">
        <f>IF(VLOOKUP(W$2,行为概览!$D$3:$J$33,7,0)="","",VLOOKUP(W$2,行为概览!$D$3:$J$33,7,0))</f>
        <v>15</v>
      </c>
      <c r="X42" s="53">
        <f>IF(VLOOKUP(X$2,行为概览!$D$3:$J$33,7,0)="","",VLOOKUP(X$2,行为概览!$D$3:$J$33,7,0))</f>
        <v>30</v>
      </c>
      <c r="Y42" s="53">
        <f>IF(VLOOKUP(Y$2,行为概览!$D$3:$J$33,7,0)="","",VLOOKUP(Y$2,行为概览!$D$3:$J$33,7,0))</f>
        <v>25</v>
      </c>
      <c r="Z42" s="53">
        <f>IF(VLOOKUP(Z$2,行为概览!$D$3:$J$33,7,0)="","",VLOOKUP(Z$2,行为概览!$D$3:$J$33,7,0))</f>
        <v>15</v>
      </c>
      <c r="AA42" s="53">
        <f>IF(VLOOKUP(AA$2,行为概览!$D$3:$J$33,7,0)="","",VLOOKUP(AA$2,行为概览!$D$3:$J$33,7,0))</f>
        <v>15</v>
      </c>
      <c r="AB42" s="53" t="str">
        <f>IF(VLOOKUP(AB$2,行为概览!$D$3:$J$33,7,0)="","",VLOOKUP(AB$2,行为概览!$D$3:$J$33,7,0))</f>
        <v/>
      </c>
      <c r="AC42" s="53" t="str">
        <f>IF(VLOOKUP(AC$2,行为概览!$D$3:$J$33,7,0)="","",VLOOKUP(AC$2,行为概览!$D$3:$J$33,7,0))</f>
        <v/>
      </c>
      <c r="AD42" s="53" t="str">
        <f>IF(VLOOKUP(AD$2,行为概览!$D$3:$J$33,7,0)="","",VLOOKUP(AD$2,行为概览!$D$3:$J$33,7,0))</f>
        <v/>
      </c>
      <c r="AE42" s="68" t="str">
        <f>IF(VLOOKUP(AE$2,行为概览!$D$3:$J$33,7,0)="","",VLOOKUP(AE$2,行为概览!$D$3:$J$33,7,0))</f>
        <v/>
      </c>
      <c r="AF42" s="1">
        <f>IF(C42="","",ROUND(C42*玩法行为规划!B42,2))</f>
        <v>16.670000000000002</v>
      </c>
      <c r="AG42" s="2">
        <f>IF(D42="","",ROUND(D42*玩法行为规划!C42,2))</f>
        <v>6.6</v>
      </c>
      <c r="AH42" s="2">
        <f>IF(E42="","",ROUND(E42*玩法行为规划!D42,2))</f>
        <v>2.5</v>
      </c>
      <c r="AI42" s="2">
        <f>IF(F42="","",ROUND(F42*玩法行为规划!E42,2))</f>
        <v>15</v>
      </c>
      <c r="AJ42" s="2" t="str">
        <f>IF(G42="","",ROUND(G42*玩法行为规划!F42,2))</f>
        <v/>
      </c>
      <c r="AK42" s="2" t="str">
        <f>IF(H42="","",ROUND(H42*玩法行为规划!G42,2))</f>
        <v/>
      </c>
      <c r="AL42" s="2" t="str">
        <f>IF(I42="","",ROUND(I42*玩法行为规划!H42,2))</f>
        <v/>
      </c>
      <c r="AM42" s="2" t="str">
        <f>IF(J42="","",ROUND(J42*玩法行为规划!I42,2))</f>
        <v/>
      </c>
      <c r="AN42" s="2">
        <f>IF(K42="","",ROUND(K42*玩法行为规划!J42,2))</f>
        <v>10</v>
      </c>
      <c r="AO42" s="2">
        <f>IF(L42="","",ROUND(L42*玩法行为规划!K42,2))</f>
        <v>3.33</v>
      </c>
      <c r="AP42" s="2">
        <f>IF(M42="","",ROUND(M42*玩法行为规划!L42,2))</f>
        <v>0</v>
      </c>
      <c r="AQ42" s="2">
        <f>IF(N42="","",ROUND(N42*玩法行为规划!M42,2))</f>
        <v>12</v>
      </c>
      <c r="AR42" s="2">
        <f>IF(O42="","",ROUND(O42*玩法行为规划!N42,2))</f>
        <v>12.5</v>
      </c>
      <c r="AS42" s="2">
        <f>IF(P42="","",ROUND(P42*玩法行为规划!O42,2))</f>
        <v>0.83</v>
      </c>
      <c r="AT42" s="2">
        <f>IF(Q42="","",ROUND(Q42*玩法行为规划!P42,2))</f>
        <v>52</v>
      </c>
      <c r="AU42" s="2">
        <f>IF(R42="","",ROUND(R42*玩法行为规划!Q42,2))</f>
        <v>6</v>
      </c>
      <c r="AV42" s="2">
        <f>IF(S42="","",ROUND(S42*玩法行为规划!R42,2))</f>
        <v>6.67</v>
      </c>
      <c r="AW42" s="2">
        <f>IF(T42="","",ROUND(T42*玩法行为规划!S42,2))</f>
        <v>7.5</v>
      </c>
      <c r="AX42" s="2">
        <f>IF(U42="","",ROUND(U42*玩法行为规划!T42,2))</f>
        <v>0</v>
      </c>
      <c r="AY42" s="2">
        <f>IF(V42="","",ROUND(V42*玩法行为规划!U42,2))</f>
        <v>6.67</v>
      </c>
      <c r="AZ42" s="2">
        <f>IF(W42="","",ROUND(W42*玩法行为规划!V42,2))</f>
        <v>2.5</v>
      </c>
      <c r="BA42" s="2">
        <f>IF(X42="","",ROUND(X42*玩法行为规划!W42,2))</f>
        <v>5</v>
      </c>
      <c r="BB42" s="2">
        <f>IF(Y42="","",ROUND(Y42*玩法行为规划!X42,2))</f>
        <v>6.25</v>
      </c>
      <c r="BC42" s="2">
        <f>IF(Z42="","",ROUND(Z42*玩法行为规划!Y42,2))</f>
        <v>8.75</v>
      </c>
      <c r="BD42" s="2">
        <f>IF(AA42="","",ROUND(AA42*玩法行为规划!Z42,2))</f>
        <v>2.5</v>
      </c>
      <c r="BE42" s="2" t="str">
        <f>IF(AB42="","",ROUND(AB42*玩法行为规划!AA42,2))</f>
        <v/>
      </c>
      <c r="BF42" s="2" t="str">
        <f>IF(AC42="","",ROUND(AC42*玩法行为规划!AB42,2))</f>
        <v/>
      </c>
      <c r="BG42" s="2" t="str">
        <f>IF(AD42="","",ROUND(AD42*玩法行为规划!AC42,2))</f>
        <v/>
      </c>
      <c r="BH42" s="3" t="str">
        <f>IF(AE42="","",ROUND(AE42*玩法行为规划!AD42,2))</f>
        <v/>
      </c>
      <c r="BI42" s="7">
        <f t="shared" si="6"/>
        <v>183.26999999999998</v>
      </c>
      <c r="BJ42" s="7">
        <f t="shared" si="7"/>
        <v>2932319.9999999995</v>
      </c>
      <c r="BK42" s="10">
        <f t="shared" si="3"/>
        <v>160000</v>
      </c>
      <c r="BL42" s="21">
        <f t="shared" si="5"/>
        <v>2280400</v>
      </c>
      <c r="BM42" s="7">
        <f t="shared" si="8"/>
        <v>0.2285600005714</v>
      </c>
      <c r="BN42" s="69">
        <f>INT(BJ42*升级节奏!G42+BK42)</f>
        <v>700035</v>
      </c>
      <c r="BO42" s="7">
        <f t="shared" si="4"/>
        <v>178</v>
      </c>
      <c r="BP42" s="7"/>
    </row>
    <row r="43" spans="1:69">
      <c r="A43" s="29">
        <v>41</v>
      </c>
      <c r="B43" s="84">
        <f>升级节奏!C43</f>
        <v>16400</v>
      </c>
      <c r="C43" s="53">
        <f>IF(VLOOKUP(C$2,行为概览!$D$3:$J$33,7,0)="","",VLOOKUP(C$2,行为概览!$D$3:$J$33,7,0))</f>
        <v>50</v>
      </c>
      <c r="D43" s="53">
        <f>IF(VLOOKUP(D$2,行为概览!$D$3:$J$33,7,0)="","",VLOOKUP(D$2,行为概览!$D$3:$J$33,7,0))</f>
        <v>3.3</v>
      </c>
      <c r="E43" s="53">
        <f>IF(VLOOKUP(E$2,行为概览!$D$3:$J$33,7,0)="","",VLOOKUP(E$2,行为概览!$D$3:$J$33,7,0))</f>
        <v>30</v>
      </c>
      <c r="F43" s="53">
        <f>IF(VLOOKUP(F$2,行为概览!$D$3:$J$33,7,0)="","",VLOOKUP(F$2,行为概览!$D$3:$J$33,7,0))</f>
        <v>15</v>
      </c>
      <c r="G43" s="53" t="str">
        <f>IF(VLOOKUP(G$2,行为概览!$D$3:$J$33,7,0)="","",VLOOKUP(G$2,行为概览!$D$3:$J$33,7,0))</f>
        <v/>
      </c>
      <c r="H43" s="53" t="str">
        <f>IF(VLOOKUP(H$2,行为概览!$D$3:$J$33,7,0)="","",VLOOKUP(H$2,行为概览!$D$3:$J$33,7,0))</f>
        <v/>
      </c>
      <c r="I43" s="53" t="str">
        <f>IF(VLOOKUP(I$2,行为概览!$D$3:$J$33,7,0)="","",VLOOKUP(I$2,行为概览!$D$3:$J$33,7,0))</f>
        <v/>
      </c>
      <c r="J43" s="53" t="str">
        <f>IF(VLOOKUP(J$2,行为概览!$D$3:$J$33,7,0)="","",VLOOKUP(J$2,行为概览!$D$3:$J$33,7,0))</f>
        <v/>
      </c>
      <c r="K43" s="53">
        <f>IF(VLOOKUP(K$2,行为概览!$D$3:$J$33,7,0)="","",VLOOKUP(K$2,行为概览!$D$3:$J$33,7,0))</f>
        <v>20</v>
      </c>
      <c r="L43" s="53">
        <f>IF(VLOOKUP(L$2,行为概览!$D$3:$J$33,7,0)="","",VLOOKUP(L$2,行为概览!$D$3:$J$33,7,0))</f>
        <v>20</v>
      </c>
      <c r="M43" s="53">
        <f>IF(VLOOKUP(M$2,行为概览!$D$3:$J$33,7,0)="","",VLOOKUP(M$2,行为概览!$D$3:$J$33,7,0))</f>
        <v>40</v>
      </c>
      <c r="N43" s="53">
        <f>IF(VLOOKUP(N$2,行为概览!$D$3:$J$33,7,0)="","",VLOOKUP(N$2,行为概览!$D$3:$J$33,7,0))</f>
        <v>1</v>
      </c>
      <c r="O43" s="53">
        <f>IF(VLOOKUP(O$2,行为概览!$D$3:$J$33,7,0)="","",VLOOKUP(O$2,行为概览!$D$3:$J$33,7,0))</f>
        <v>150</v>
      </c>
      <c r="P43" s="53">
        <f>IF(VLOOKUP(P$2,行为概览!$D$3:$J$33,7,0)="","",VLOOKUP(P$2,行为概览!$D$3:$J$33,7,0))</f>
        <v>10</v>
      </c>
      <c r="Q43" s="53">
        <f>IF(VLOOKUP(Q$2,行为概览!$D$3:$J$33,7,0)="","",VLOOKUP(Q$2,行为概览!$D$3:$J$33,7,0))</f>
        <v>20</v>
      </c>
      <c r="R43" s="53">
        <f>IF(VLOOKUP(R$2,行为概览!$D$3:$J$33,7,0)="","",VLOOKUP(R$2,行为概览!$D$3:$J$33,7,0))</f>
        <v>6</v>
      </c>
      <c r="S43" s="53">
        <f>IF(VLOOKUP(S$2,行为概览!$D$3:$J$33,7,0)="","",VLOOKUP(S$2,行为概览!$D$3:$J$33,7,0))</f>
        <v>20</v>
      </c>
      <c r="T43" s="53">
        <f>IF(VLOOKUP(T$2,行为概览!$D$3:$J$33,7,0)="","",VLOOKUP(T$2,行为概览!$D$3:$J$33,7,0))</f>
        <v>15</v>
      </c>
      <c r="U43" s="53">
        <f>IF(VLOOKUP(U$2,行为概览!$D$3:$J$33,7,0)="","",VLOOKUP(U$2,行为概览!$D$3:$J$33,7,0))</f>
        <v>15</v>
      </c>
      <c r="V43" s="53">
        <f>IF(VLOOKUP(V$2,行为概览!$D$3:$J$33,7,0)="","",VLOOKUP(V$2,行为概览!$D$3:$J$33,7,0))</f>
        <v>40</v>
      </c>
      <c r="W43" s="53">
        <f>IF(VLOOKUP(W$2,行为概览!$D$3:$J$33,7,0)="","",VLOOKUP(W$2,行为概览!$D$3:$J$33,7,0))</f>
        <v>15</v>
      </c>
      <c r="X43" s="53">
        <f>IF(VLOOKUP(X$2,行为概览!$D$3:$J$33,7,0)="","",VLOOKUP(X$2,行为概览!$D$3:$J$33,7,0))</f>
        <v>30</v>
      </c>
      <c r="Y43" s="53">
        <f>IF(VLOOKUP(Y$2,行为概览!$D$3:$J$33,7,0)="","",VLOOKUP(Y$2,行为概览!$D$3:$J$33,7,0))</f>
        <v>25</v>
      </c>
      <c r="Z43" s="53">
        <f>IF(VLOOKUP(Z$2,行为概览!$D$3:$J$33,7,0)="","",VLOOKUP(Z$2,行为概览!$D$3:$J$33,7,0))</f>
        <v>15</v>
      </c>
      <c r="AA43" s="53">
        <f>IF(VLOOKUP(AA$2,行为概览!$D$3:$J$33,7,0)="","",VLOOKUP(AA$2,行为概览!$D$3:$J$33,7,0))</f>
        <v>15</v>
      </c>
      <c r="AB43" s="53" t="str">
        <f>IF(VLOOKUP(AB$2,行为概览!$D$3:$J$33,7,0)="","",VLOOKUP(AB$2,行为概览!$D$3:$J$33,7,0))</f>
        <v/>
      </c>
      <c r="AC43" s="53" t="str">
        <f>IF(VLOOKUP(AC$2,行为概览!$D$3:$J$33,7,0)="","",VLOOKUP(AC$2,行为概览!$D$3:$J$33,7,0))</f>
        <v/>
      </c>
      <c r="AD43" s="53" t="str">
        <f>IF(VLOOKUP(AD$2,行为概览!$D$3:$J$33,7,0)="","",VLOOKUP(AD$2,行为概览!$D$3:$J$33,7,0))</f>
        <v/>
      </c>
      <c r="AE43" s="68" t="str">
        <f>IF(VLOOKUP(AE$2,行为概览!$D$3:$J$33,7,0)="","",VLOOKUP(AE$2,行为概览!$D$3:$J$33,7,0))</f>
        <v/>
      </c>
      <c r="AF43" s="1">
        <f>IF(C43="","",ROUND(C43*玩法行为规划!B43,2))</f>
        <v>16.670000000000002</v>
      </c>
      <c r="AG43" s="2">
        <f>IF(D43="","",ROUND(D43*玩法行为规划!C43,2))</f>
        <v>6.6</v>
      </c>
      <c r="AH43" s="2">
        <f>IF(E43="","",ROUND(E43*玩法行为规划!D43,2))</f>
        <v>2.5</v>
      </c>
      <c r="AI43" s="2">
        <f>IF(F43="","",ROUND(F43*玩法行为规划!E43,2))</f>
        <v>15</v>
      </c>
      <c r="AJ43" s="2" t="str">
        <f>IF(G43="","",ROUND(G43*玩法行为规划!F43,2))</f>
        <v/>
      </c>
      <c r="AK43" s="2" t="str">
        <f>IF(H43="","",ROUND(H43*玩法行为规划!G43,2))</f>
        <v/>
      </c>
      <c r="AL43" s="2" t="str">
        <f>IF(I43="","",ROUND(I43*玩法行为规划!H43,2))</f>
        <v/>
      </c>
      <c r="AM43" s="2" t="str">
        <f>IF(J43="","",ROUND(J43*玩法行为规划!I43,2))</f>
        <v/>
      </c>
      <c r="AN43" s="2">
        <f>IF(K43="","",ROUND(K43*玩法行为规划!J43,2))</f>
        <v>10</v>
      </c>
      <c r="AO43" s="2">
        <f>IF(L43="","",ROUND(L43*玩法行为规划!K43,2))</f>
        <v>3.33</v>
      </c>
      <c r="AP43" s="2">
        <f>IF(M43="","",ROUND(M43*玩法行为规划!L43,2))</f>
        <v>0</v>
      </c>
      <c r="AQ43" s="2">
        <f>IF(N43="","",ROUND(N43*玩法行为规划!M43,2))</f>
        <v>12</v>
      </c>
      <c r="AR43" s="2">
        <f>IF(O43="","",ROUND(O43*玩法行为规划!N43,2))</f>
        <v>12.5</v>
      </c>
      <c r="AS43" s="2">
        <f>IF(P43="","",ROUND(P43*玩法行为规划!O43,2))</f>
        <v>0.83</v>
      </c>
      <c r="AT43" s="2">
        <f>IF(Q43="","",ROUND(Q43*玩法行为规划!P43,2))</f>
        <v>52</v>
      </c>
      <c r="AU43" s="2">
        <f>IF(R43="","",ROUND(R43*玩法行为规划!Q43,2))</f>
        <v>6</v>
      </c>
      <c r="AV43" s="2">
        <f>IF(S43="","",ROUND(S43*玩法行为规划!R43,2))</f>
        <v>6.67</v>
      </c>
      <c r="AW43" s="2">
        <f>IF(T43="","",ROUND(T43*玩法行为规划!S43,2))</f>
        <v>7.5</v>
      </c>
      <c r="AX43" s="2">
        <f>IF(U43="","",ROUND(U43*玩法行为规划!T43,2))</f>
        <v>0</v>
      </c>
      <c r="AY43" s="2">
        <f>IF(V43="","",ROUND(V43*玩法行为规划!U43,2))</f>
        <v>6.67</v>
      </c>
      <c r="AZ43" s="2">
        <f>IF(W43="","",ROUND(W43*玩法行为规划!V43,2))</f>
        <v>2.5</v>
      </c>
      <c r="BA43" s="2">
        <f>IF(X43="","",ROUND(X43*玩法行为规划!W43,2))</f>
        <v>5</v>
      </c>
      <c r="BB43" s="2">
        <f>IF(Y43="","",ROUND(Y43*玩法行为规划!X43,2))</f>
        <v>6.25</v>
      </c>
      <c r="BC43" s="2">
        <f>IF(Z43="","",ROUND(Z43*玩法行为规划!Y43,2))</f>
        <v>8.75</v>
      </c>
      <c r="BD43" s="2">
        <f>IF(AA43="","",ROUND(AA43*玩法行为规划!Z43,2))</f>
        <v>2.5</v>
      </c>
      <c r="BE43" s="2" t="str">
        <f>IF(AB43="","",ROUND(AB43*玩法行为规划!AA43,2))</f>
        <v/>
      </c>
      <c r="BF43" s="2" t="str">
        <f>IF(AC43="","",ROUND(AC43*玩法行为规划!AB43,2))</f>
        <v/>
      </c>
      <c r="BG43" s="2" t="str">
        <f>IF(AD43="","",ROUND(AD43*玩法行为规划!AC43,2))</f>
        <v/>
      </c>
      <c r="BH43" s="3" t="str">
        <f>IF(AE43="","",ROUND(AE43*玩法行为规划!AD43,2))</f>
        <v/>
      </c>
      <c r="BI43" s="7">
        <f t="shared" si="6"/>
        <v>183.26999999999998</v>
      </c>
      <c r="BJ43" s="7">
        <f t="shared" si="7"/>
        <v>3005627.9999999995</v>
      </c>
      <c r="BK43" s="10">
        <f t="shared" si="3"/>
        <v>173800</v>
      </c>
      <c r="BL43" s="21" t="str">
        <f t="shared" si="5"/>
        <v/>
      </c>
      <c r="BM43" s="7">
        <f t="shared" si="8"/>
        <v>0.23059266826763608</v>
      </c>
      <c r="BN43" s="69">
        <f>INT(BJ43*升级节奏!G43+BK43)</f>
        <v>753710</v>
      </c>
      <c r="BO43" s="7">
        <f t="shared" si="4"/>
        <v>182</v>
      </c>
      <c r="BP43" s="7"/>
    </row>
    <row r="44" spans="1:69">
      <c r="A44" s="29">
        <v>42</v>
      </c>
      <c r="B44" s="84">
        <f>升级节奏!C44</f>
        <v>16800</v>
      </c>
      <c r="C44" s="53">
        <f>IF(VLOOKUP(C$2,行为概览!$D$3:$J$33,7,0)="","",VLOOKUP(C$2,行为概览!$D$3:$J$33,7,0))</f>
        <v>50</v>
      </c>
      <c r="D44" s="53">
        <f>IF(VLOOKUP(D$2,行为概览!$D$3:$J$33,7,0)="","",VLOOKUP(D$2,行为概览!$D$3:$J$33,7,0))</f>
        <v>3.3</v>
      </c>
      <c r="E44" s="53">
        <f>IF(VLOOKUP(E$2,行为概览!$D$3:$J$33,7,0)="","",VLOOKUP(E$2,行为概览!$D$3:$J$33,7,0))</f>
        <v>30</v>
      </c>
      <c r="F44" s="53">
        <f>IF(VLOOKUP(F$2,行为概览!$D$3:$J$33,7,0)="","",VLOOKUP(F$2,行为概览!$D$3:$J$33,7,0))</f>
        <v>15</v>
      </c>
      <c r="G44" s="53" t="str">
        <f>IF(VLOOKUP(G$2,行为概览!$D$3:$J$33,7,0)="","",VLOOKUP(G$2,行为概览!$D$3:$J$33,7,0))</f>
        <v/>
      </c>
      <c r="H44" s="53" t="str">
        <f>IF(VLOOKUP(H$2,行为概览!$D$3:$J$33,7,0)="","",VLOOKUP(H$2,行为概览!$D$3:$J$33,7,0))</f>
        <v/>
      </c>
      <c r="I44" s="53" t="str">
        <f>IF(VLOOKUP(I$2,行为概览!$D$3:$J$33,7,0)="","",VLOOKUP(I$2,行为概览!$D$3:$J$33,7,0))</f>
        <v/>
      </c>
      <c r="J44" s="53" t="str">
        <f>IF(VLOOKUP(J$2,行为概览!$D$3:$J$33,7,0)="","",VLOOKUP(J$2,行为概览!$D$3:$J$33,7,0))</f>
        <v/>
      </c>
      <c r="K44" s="53">
        <f>IF(VLOOKUP(K$2,行为概览!$D$3:$J$33,7,0)="","",VLOOKUP(K$2,行为概览!$D$3:$J$33,7,0))</f>
        <v>20</v>
      </c>
      <c r="L44" s="53">
        <f>IF(VLOOKUP(L$2,行为概览!$D$3:$J$33,7,0)="","",VLOOKUP(L$2,行为概览!$D$3:$J$33,7,0))</f>
        <v>20</v>
      </c>
      <c r="M44" s="53">
        <f>IF(VLOOKUP(M$2,行为概览!$D$3:$J$33,7,0)="","",VLOOKUP(M$2,行为概览!$D$3:$J$33,7,0))</f>
        <v>40</v>
      </c>
      <c r="N44" s="53">
        <f>IF(VLOOKUP(N$2,行为概览!$D$3:$J$33,7,0)="","",VLOOKUP(N$2,行为概览!$D$3:$J$33,7,0))</f>
        <v>1</v>
      </c>
      <c r="O44" s="53">
        <f>IF(VLOOKUP(O$2,行为概览!$D$3:$J$33,7,0)="","",VLOOKUP(O$2,行为概览!$D$3:$J$33,7,0))</f>
        <v>150</v>
      </c>
      <c r="P44" s="53">
        <f>IF(VLOOKUP(P$2,行为概览!$D$3:$J$33,7,0)="","",VLOOKUP(P$2,行为概览!$D$3:$J$33,7,0))</f>
        <v>10</v>
      </c>
      <c r="Q44" s="53">
        <f>IF(VLOOKUP(Q$2,行为概览!$D$3:$J$33,7,0)="","",VLOOKUP(Q$2,行为概览!$D$3:$J$33,7,0))</f>
        <v>20</v>
      </c>
      <c r="R44" s="53">
        <f>IF(VLOOKUP(R$2,行为概览!$D$3:$J$33,7,0)="","",VLOOKUP(R$2,行为概览!$D$3:$J$33,7,0))</f>
        <v>6</v>
      </c>
      <c r="S44" s="53">
        <f>IF(VLOOKUP(S$2,行为概览!$D$3:$J$33,7,0)="","",VLOOKUP(S$2,行为概览!$D$3:$J$33,7,0))</f>
        <v>20</v>
      </c>
      <c r="T44" s="53">
        <f>IF(VLOOKUP(T$2,行为概览!$D$3:$J$33,7,0)="","",VLOOKUP(T$2,行为概览!$D$3:$J$33,7,0))</f>
        <v>15</v>
      </c>
      <c r="U44" s="53">
        <f>IF(VLOOKUP(U$2,行为概览!$D$3:$J$33,7,0)="","",VLOOKUP(U$2,行为概览!$D$3:$J$33,7,0))</f>
        <v>15</v>
      </c>
      <c r="V44" s="53">
        <f>IF(VLOOKUP(V$2,行为概览!$D$3:$J$33,7,0)="","",VLOOKUP(V$2,行为概览!$D$3:$J$33,7,0))</f>
        <v>40</v>
      </c>
      <c r="W44" s="53">
        <f>IF(VLOOKUP(W$2,行为概览!$D$3:$J$33,7,0)="","",VLOOKUP(W$2,行为概览!$D$3:$J$33,7,0))</f>
        <v>15</v>
      </c>
      <c r="X44" s="53">
        <f>IF(VLOOKUP(X$2,行为概览!$D$3:$J$33,7,0)="","",VLOOKUP(X$2,行为概览!$D$3:$J$33,7,0))</f>
        <v>30</v>
      </c>
      <c r="Y44" s="53">
        <f>IF(VLOOKUP(Y$2,行为概览!$D$3:$J$33,7,0)="","",VLOOKUP(Y$2,行为概览!$D$3:$J$33,7,0))</f>
        <v>25</v>
      </c>
      <c r="Z44" s="53">
        <f>IF(VLOOKUP(Z$2,行为概览!$D$3:$J$33,7,0)="","",VLOOKUP(Z$2,行为概览!$D$3:$J$33,7,0))</f>
        <v>15</v>
      </c>
      <c r="AA44" s="53">
        <f>IF(VLOOKUP(AA$2,行为概览!$D$3:$J$33,7,0)="","",VLOOKUP(AA$2,行为概览!$D$3:$J$33,7,0))</f>
        <v>15</v>
      </c>
      <c r="AB44" s="53" t="str">
        <f>IF(VLOOKUP(AB$2,行为概览!$D$3:$J$33,7,0)="","",VLOOKUP(AB$2,行为概览!$D$3:$J$33,7,0))</f>
        <v/>
      </c>
      <c r="AC44" s="53" t="str">
        <f>IF(VLOOKUP(AC$2,行为概览!$D$3:$J$33,7,0)="","",VLOOKUP(AC$2,行为概览!$D$3:$J$33,7,0))</f>
        <v/>
      </c>
      <c r="AD44" s="53" t="str">
        <f>IF(VLOOKUP(AD$2,行为概览!$D$3:$J$33,7,0)="","",VLOOKUP(AD$2,行为概览!$D$3:$J$33,7,0))</f>
        <v/>
      </c>
      <c r="AE44" s="68" t="str">
        <f>IF(VLOOKUP(AE$2,行为概览!$D$3:$J$33,7,0)="","",VLOOKUP(AE$2,行为概览!$D$3:$J$33,7,0))</f>
        <v/>
      </c>
      <c r="AF44" s="1">
        <f>IF(C44="","",ROUND(C44*玩法行为规划!B44,2))</f>
        <v>16.670000000000002</v>
      </c>
      <c r="AG44" s="2">
        <f>IF(D44="","",ROUND(D44*玩法行为规划!C44,2))</f>
        <v>6.6</v>
      </c>
      <c r="AH44" s="2">
        <f>IF(E44="","",ROUND(E44*玩法行为规划!D44,2))</f>
        <v>2.5</v>
      </c>
      <c r="AI44" s="2">
        <f>IF(F44="","",ROUND(F44*玩法行为规划!E44,2))</f>
        <v>15</v>
      </c>
      <c r="AJ44" s="2" t="str">
        <f>IF(G44="","",ROUND(G44*玩法行为规划!F44,2))</f>
        <v/>
      </c>
      <c r="AK44" s="2" t="str">
        <f>IF(H44="","",ROUND(H44*玩法行为规划!G44,2))</f>
        <v/>
      </c>
      <c r="AL44" s="2" t="str">
        <f>IF(I44="","",ROUND(I44*玩法行为规划!H44,2))</f>
        <v/>
      </c>
      <c r="AM44" s="2" t="str">
        <f>IF(J44="","",ROUND(J44*玩法行为规划!I44,2))</f>
        <v/>
      </c>
      <c r="AN44" s="2">
        <f>IF(K44="","",ROUND(K44*玩法行为规划!J44,2))</f>
        <v>10</v>
      </c>
      <c r="AO44" s="2">
        <f>IF(L44="","",ROUND(L44*玩法行为规划!K44,2))</f>
        <v>3.33</v>
      </c>
      <c r="AP44" s="2">
        <f>IF(M44="","",ROUND(M44*玩法行为规划!L44,2))</f>
        <v>0</v>
      </c>
      <c r="AQ44" s="2">
        <f>IF(N44="","",ROUND(N44*玩法行为规划!M44,2))</f>
        <v>12</v>
      </c>
      <c r="AR44" s="2">
        <f>IF(O44="","",ROUND(O44*玩法行为规划!N44,2))</f>
        <v>12.5</v>
      </c>
      <c r="AS44" s="2">
        <f>IF(P44="","",ROUND(P44*玩法行为规划!O44,2))</f>
        <v>0.83</v>
      </c>
      <c r="AT44" s="2">
        <f>IF(Q44="","",ROUND(Q44*玩法行为规划!P44,2))</f>
        <v>52</v>
      </c>
      <c r="AU44" s="2">
        <f>IF(R44="","",ROUND(R44*玩法行为规划!Q44,2))</f>
        <v>6</v>
      </c>
      <c r="AV44" s="2">
        <f>IF(S44="","",ROUND(S44*玩法行为规划!R44,2))</f>
        <v>6.67</v>
      </c>
      <c r="AW44" s="2">
        <f>IF(T44="","",ROUND(T44*玩法行为规划!S44,2))</f>
        <v>7.5</v>
      </c>
      <c r="AX44" s="2">
        <f>IF(U44="","",ROUND(U44*玩法行为规划!T44,2))</f>
        <v>0</v>
      </c>
      <c r="AY44" s="2">
        <f>IF(V44="","",ROUND(V44*玩法行为规划!U44,2))</f>
        <v>6.67</v>
      </c>
      <c r="AZ44" s="2">
        <f>IF(W44="","",ROUND(W44*玩法行为规划!V44,2))</f>
        <v>2.5</v>
      </c>
      <c r="BA44" s="2">
        <f>IF(X44="","",ROUND(X44*玩法行为规划!W44,2))</f>
        <v>5</v>
      </c>
      <c r="BB44" s="2">
        <f>IF(Y44="","",ROUND(Y44*玩法行为规划!X44,2))</f>
        <v>6.25</v>
      </c>
      <c r="BC44" s="2">
        <f>IF(Z44="","",ROUND(Z44*玩法行为规划!Y44,2))</f>
        <v>8.75</v>
      </c>
      <c r="BD44" s="2">
        <f>IF(AA44="","",ROUND(AA44*玩法行为规划!Z44,2))</f>
        <v>2.5</v>
      </c>
      <c r="BE44" s="2" t="str">
        <f>IF(AB44="","",ROUND(AB44*玩法行为规划!AA44,2))</f>
        <v/>
      </c>
      <c r="BF44" s="2" t="str">
        <f>IF(AC44="","",ROUND(AC44*玩法行为规划!AB44,2))</f>
        <v/>
      </c>
      <c r="BG44" s="2" t="str">
        <f>IF(AD44="","",ROUND(AD44*玩法行为规划!AC44,2))</f>
        <v/>
      </c>
      <c r="BH44" s="3" t="str">
        <f>IF(AE44="","",ROUND(AE44*玩法行为规划!AD44,2))</f>
        <v/>
      </c>
      <c r="BI44" s="7">
        <f t="shared" si="6"/>
        <v>183.26999999999998</v>
      </c>
      <c r="BJ44" s="7">
        <f t="shared" si="7"/>
        <v>3078935.9999999995</v>
      </c>
      <c r="BK44" s="10">
        <f t="shared" si="3"/>
        <v>188200</v>
      </c>
      <c r="BL44" s="21" t="str">
        <f t="shared" ref="BL44:BL75" si="9">IF(--RIGHT(A44,1)=0,SUM(BK44:BK53),"")</f>
        <v/>
      </c>
      <c r="BM44" s="7">
        <f t="shared" si="8"/>
        <v>0.23236317796772349</v>
      </c>
      <c r="BN44" s="69">
        <f>INT(BJ44*升级节奏!G44+BK44)</f>
        <v>809939</v>
      </c>
      <c r="BO44" s="7">
        <f t="shared" si="4"/>
        <v>187</v>
      </c>
      <c r="BP44" s="7"/>
    </row>
    <row r="45" spans="1:69">
      <c r="A45" s="29">
        <v>43</v>
      </c>
      <c r="B45" s="84">
        <f>升级节奏!C45</f>
        <v>17200</v>
      </c>
      <c r="C45" s="53">
        <f>IF(VLOOKUP(C$2,行为概览!$D$3:$J$33,7,0)="","",VLOOKUP(C$2,行为概览!$D$3:$J$33,7,0))</f>
        <v>50</v>
      </c>
      <c r="D45" s="53">
        <f>IF(VLOOKUP(D$2,行为概览!$D$3:$J$33,7,0)="","",VLOOKUP(D$2,行为概览!$D$3:$J$33,7,0))</f>
        <v>3.3</v>
      </c>
      <c r="E45" s="53">
        <f>IF(VLOOKUP(E$2,行为概览!$D$3:$J$33,7,0)="","",VLOOKUP(E$2,行为概览!$D$3:$J$33,7,0))</f>
        <v>30</v>
      </c>
      <c r="F45" s="53">
        <f>IF(VLOOKUP(F$2,行为概览!$D$3:$J$33,7,0)="","",VLOOKUP(F$2,行为概览!$D$3:$J$33,7,0))</f>
        <v>15</v>
      </c>
      <c r="G45" s="53" t="str">
        <f>IF(VLOOKUP(G$2,行为概览!$D$3:$J$33,7,0)="","",VLOOKUP(G$2,行为概览!$D$3:$J$33,7,0))</f>
        <v/>
      </c>
      <c r="H45" s="53" t="str">
        <f>IF(VLOOKUP(H$2,行为概览!$D$3:$J$33,7,0)="","",VLOOKUP(H$2,行为概览!$D$3:$J$33,7,0))</f>
        <v/>
      </c>
      <c r="I45" s="53" t="str">
        <f>IF(VLOOKUP(I$2,行为概览!$D$3:$J$33,7,0)="","",VLOOKUP(I$2,行为概览!$D$3:$J$33,7,0))</f>
        <v/>
      </c>
      <c r="J45" s="53" t="str">
        <f>IF(VLOOKUP(J$2,行为概览!$D$3:$J$33,7,0)="","",VLOOKUP(J$2,行为概览!$D$3:$J$33,7,0))</f>
        <v/>
      </c>
      <c r="K45" s="53">
        <f>IF(VLOOKUP(K$2,行为概览!$D$3:$J$33,7,0)="","",VLOOKUP(K$2,行为概览!$D$3:$J$33,7,0))</f>
        <v>20</v>
      </c>
      <c r="L45" s="53">
        <f>IF(VLOOKUP(L$2,行为概览!$D$3:$J$33,7,0)="","",VLOOKUP(L$2,行为概览!$D$3:$J$33,7,0))</f>
        <v>20</v>
      </c>
      <c r="M45" s="53">
        <f>IF(VLOOKUP(M$2,行为概览!$D$3:$J$33,7,0)="","",VLOOKUP(M$2,行为概览!$D$3:$J$33,7,0))</f>
        <v>40</v>
      </c>
      <c r="N45" s="53">
        <f>IF(VLOOKUP(N$2,行为概览!$D$3:$J$33,7,0)="","",VLOOKUP(N$2,行为概览!$D$3:$J$33,7,0))</f>
        <v>1</v>
      </c>
      <c r="O45" s="53">
        <f>IF(VLOOKUP(O$2,行为概览!$D$3:$J$33,7,0)="","",VLOOKUP(O$2,行为概览!$D$3:$J$33,7,0))</f>
        <v>150</v>
      </c>
      <c r="P45" s="53">
        <f>IF(VLOOKUP(P$2,行为概览!$D$3:$J$33,7,0)="","",VLOOKUP(P$2,行为概览!$D$3:$J$33,7,0))</f>
        <v>10</v>
      </c>
      <c r="Q45" s="53">
        <f>IF(VLOOKUP(Q$2,行为概览!$D$3:$J$33,7,0)="","",VLOOKUP(Q$2,行为概览!$D$3:$J$33,7,0))</f>
        <v>20</v>
      </c>
      <c r="R45" s="53">
        <f>IF(VLOOKUP(R$2,行为概览!$D$3:$J$33,7,0)="","",VLOOKUP(R$2,行为概览!$D$3:$J$33,7,0))</f>
        <v>6</v>
      </c>
      <c r="S45" s="53">
        <f>IF(VLOOKUP(S$2,行为概览!$D$3:$J$33,7,0)="","",VLOOKUP(S$2,行为概览!$D$3:$J$33,7,0))</f>
        <v>20</v>
      </c>
      <c r="T45" s="53">
        <f>IF(VLOOKUP(T$2,行为概览!$D$3:$J$33,7,0)="","",VLOOKUP(T$2,行为概览!$D$3:$J$33,7,0))</f>
        <v>15</v>
      </c>
      <c r="U45" s="53">
        <f>IF(VLOOKUP(U$2,行为概览!$D$3:$J$33,7,0)="","",VLOOKUP(U$2,行为概览!$D$3:$J$33,7,0))</f>
        <v>15</v>
      </c>
      <c r="V45" s="53">
        <f>IF(VLOOKUP(V$2,行为概览!$D$3:$J$33,7,0)="","",VLOOKUP(V$2,行为概览!$D$3:$J$33,7,0))</f>
        <v>40</v>
      </c>
      <c r="W45" s="53">
        <f>IF(VLOOKUP(W$2,行为概览!$D$3:$J$33,7,0)="","",VLOOKUP(W$2,行为概览!$D$3:$J$33,7,0))</f>
        <v>15</v>
      </c>
      <c r="X45" s="53">
        <f>IF(VLOOKUP(X$2,行为概览!$D$3:$J$33,7,0)="","",VLOOKUP(X$2,行为概览!$D$3:$J$33,7,0))</f>
        <v>30</v>
      </c>
      <c r="Y45" s="53">
        <f>IF(VLOOKUP(Y$2,行为概览!$D$3:$J$33,7,0)="","",VLOOKUP(Y$2,行为概览!$D$3:$J$33,7,0))</f>
        <v>25</v>
      </c>
      <c r="Z45" s="53">
        <f>IF(VLOOKUP(Z$2,行为概览!$D$3:$J$33,7,0)="","",VLOOKUP(Z$2,行为概览!$D$3:$J$33,7,0))</f>
        <v>15</v>
      </c>
      <c r="AA45" s="53">
        <f>IF(VLOOKUP(AA$2,行为概览!$D$3:$J$33,7,0)="","",VLOOKUP(AA$2,行为概览!$D$3:$J$33,7,0))</f>
        <v>15</v>
      </c>
      <c r="AB45" s="53" t="str">
        <f>IF(VLOOKUP(AB$2,行为概览!$D$3:$J$33,7,0)="","",VLOOKUP(AB$2,行为概览!$D$3:$J$33,7,0))</f>
        <v/>
      </c>
      <c r="AC45" s="53" t="str">
        <f>IF(VLOOKUP(AC$2,行为概览!$D$3:$J$33,7,0)="","",VLOOKUP(AC$2,行为概览!$D$3:$J$33,7,0))</f>
        <v/>
      </c>
      <c r="AD45" s="53" t="str">
        <f>IF(VLOOKUP(AD$2,行为概览!$D$3:$J$33,7,0)="","",VLOOKUP(AD$2,行为概览!$D$3:$J$33,7,0))</f>
        <v/>
      </c>
      <c r="AE45" s="68" t="str">
        <f>IF(VLOOKUP(AE$2,行为概览!$D$3:$J$33,7,0)="","",VLOOKUP(AE$2,行为概览!$D$3:$J$33,7,0))</f>
        <v/>
      </c>
      <c r="AF45" s="1">
        <f>IF(C45="","",ROUND(C45*玩法行为规划!B45,2))</f>
        <v>16.670000000000002</v>
      </c>
      <c r="AG45" s="2">
        <f>IF(D45="","",ROUND(D45*玩法行为规划!C45,2))</f>
        <v>6.6</v>
      </c>
      <c r="AH45" s="2">
        <f>IF(E45="","",ROUND(E45*玩法行为规划!D45,2))</f>
        <v>2.5</v>
      </c>
      <c r="AI45" s="2">
        <f>IF(F45="","",ROUND(F45*玩法行为规划!E45,2))</f>
        <v>15</v>
      </c>
      <c r="AJ45" s="2" t="str">
        <f>IF(G45="","",ROUND(G45*玩法行为规划!F45,2))</f>
        <v/>
      </c>
      <c r="AK45" s="2" t="str">
        <f>IF(H45="","",ROUND(H45*玩法行为规划!G45,2))</f>
        <v/>
      </c>
      <c r="AL45" s="2" t="str">
        <f>IF(I45="","",ROUND(I45*玩法行为规划!H45,2))</f>
        <v/>
      </c>
      <c r="AM45" s="2" t="str">
        <f>IF(J45="","",ROUND(J45*玩法行为规划!I45,2))</f>
        <v/>
      </c>
      <c r="AN45" s="2">
        <f>IF(K45="","",ROUND(K45*玩法行为规划!J45,2))</f>
        <v>10</v>
      </c>
      <c r="AO45" s="2">
        <f>IF(L45="","",ROUND(L45*玩法行为规划!K45,2))</f>
        <v>3.33</v>
      </c>
      <c r="AP45" s="2">
        <f>IF(M45="","",ROUND(M45*玩法行为规划!L45,2))</f>
        <v>0</v>
      </c>
      <c r="AQ45" s="2">
        <f>IF(N45="","",ROUND(N45*玩法行为规划!M45,2))</f>
        <v>12</v>
      </c>
      <c r="AR45" s="2">
        <f>IF(O45="","",ROUND(O45*玩法行为规划!N45,2))</f>
        <v>12.5</v>
      </c>
      <c r="AS45" s="2">
        <f>IF(P45="","",ROUND(P45*玩法行为规划!O45,2))</f>
        <v>0.83</v>
      </c>
      <c r="AT45" s="2">
        <f>IF(Q45="","",ROUND(Q45*玩法行为规划!P45,2))</f>
        <v>52</v>
      </c>
      <c r="AU45" s="2">
        <f>IF(R45="","",ROUND(R45*玩法行为规划!Q45,2))</f>
        <v>6</v>
      </c>
      <c r="AV45" s="2">
        <f>IF(S45="","",ROUND(S45*玩法行为规划!R45,2))</f>
        <v>6.67</v>
      </c>
      <c r="AW45" s="2">
        <f>IF(T45="","",ROUND(T45*玩法行为规划!S45,2))</f>
        <v>7.5</v>
      </c>
      <c r="AX45" s="2">
        <f>IF(U45="","",ROUND(U45*玩法行为规划!T45,2))</f>
        <v>0</v>
      </c>
      <c r="AY45" s="2">
        <f>IF(V45="","",ROUND(V45*玩法行为规划!U45,2))</f>
        <v>6.67</v>
      </c>
      <c r="AZ45" s="2">
        <f>IF(W45="","",ROUND(W45*玩法行为规划!V45,2))</f>
        <v>2.5</v>
      </c>
      <c r="BA45" s="2">
        <f>IF(X45="","",ROUND(X45*玩法行为规划!W45,2))</f>
        <v>5</v>
      </c>
      <c r="BB45" s="2">
        <f>IF(Y45="","",ROUND(Y45*玩法行为规划!X45,2))</f>
        <v>6.25</v>
      </c>
      <c r="BC45" s="2">
        <f>IF(Z45="","",ROUND(Z45*玩法行为规划!Y45,2))</f>
        <v>8.75</v>
      </c>
      <c r="BD45" s="2">
        <f>IF(AA45="","",ROUND(AA45*玩法行为规划!Z45,2))</f>
        <v>2.5</v>
      </c>
      <c r="BE45" s="2" t="str">
        <f>IF(AB45="","",ROUND(AB45*玩法行为规划!AA45,2))</f>
        <v/>
      </c>
      <c r="BF45" s="2" t="str">
        <f>IF(AC45="","",ROUND(AC45*玩法行为规划!AB45,2))</f>
        <v/>
      </c>
      <c r="BG45" s="2" t="str">
        <f>IF(AD45="","",ROUND(AD45*玩法行为规划!AC45,2))</f>
        <v/>
      </c>
      <c r="BH45" s="3" t="str">
        <f>IF(AE45="","",ROUND(AE45*玩法行为规划!AD45,2))</f>
        <v/>
      </c>
      <c r="BI45" s="7">
        <f t="shared" si="6"/>
        <v>183.26999999999998</v>
      </c>
      <c r="BJ45" s="7">
        <f t="shared" si="7"/>
        <v>3152243.9999999995</v>
      </c>
      <c r="BK45" s="10">
        <f t="shared" si="3"/>
        <v>203000</v>
      </c>
      <c r="BL45" s="21" t="str">
        <f t="shared" si="9"/>
        <v/>
      </c>
      <c r="BM45" s="7">
        <f t="shared" si="8"/>
        <v>0.23371748966692379</v>
      </c>
      <c r="BN45" s="69">
        <f>INT(BJ45*升级节奏!G45+BK45)</f>
        <v>868570</v>
      </c>
      <c r="BO45" s="7">
        <f t="shared" si="4"/>
        <v>191</v>
      </c>
      <c r="BP45" s="7"/>
    </row>
    <row r="46" spans="1:69">
      <c r="A46" s="29">
        <v>44</v>
      </c>
      <c r="B46" s="84">
        <f>升级节奏!C46</f>
        <v>17600</v>
      </c>
      <c r="C46" s="53">
        <f>IF(VLOOKUP(C$2,行为概览!$D$3:$J$33,7,0)="","",VLOOKUP(C$2,行为概览!$D$3:$J$33,7,0))</f>
        <v>50</v>
      </c>
      <c r="D46" s="53">
        <f>IF(VLOOKUP(D$2,行为概览!$D$3:$J$33,7,0)="","",VLOOKUP(D$2,行为概览!$D$3:$J$33,7,0))</f>
        <v>3.3</v>
      </c>
      <c r="E46" s="53">
        <f>IF(VLOOKUP(E$2,行为概览!$D$3:$J$33,7,0)="","",VLOOKUP(E$2,行为概览!$D$3:$J$33,7,0))</f>
        <v>30</v>
      </c>
      <c r="F46" s="53">
        <f>IF(VLOOKUP(F$2,行为概览!$D$3:$J$33,7,0)="","",VLOOKUP(F$2,行为概览!$D$3:$J$33,7,0))</f>
        <v>15</v>
      </c>
      <c r="G46" s="53" t="str">
        <f>IF(VLOOKUP(G$2,行为概览!$D$3:$J$33,7,0)="","",VLOOKUP(G$2,行为概览!$D$3:$J$33,7,0))</f>
        <v/>
      </c>
      <c r="H46" s="53" t="str">
        <f>IF(VLOOKUP(H$2,行为概览!$D$3:$J$33,7,0)="","",VLOOKUP(H$2,行为概览!$D$3:$J$33,7,0))</f>
        <v/>
      </c>
      <c r="I46" s="53" t="str">
        <f>IF(VLOOKUP(I$2,行为概览!$D$3:$J$33,7,0)="","",VLOOKUP(I$2,行为概览!$D$3:$J$33,7,0))</f>
        <v/>
      </c>
      <c r="J46" s="53" t="str">
        <f>IF(VLOOKUP(J$2,行为概览!$D$3:$J$33,7,0)="","",VLOOKUP(J$2,行为概览!$D$3:$J$33,7,0))</f>
        <v/>
      </c>
      <c r="K46" s="53">
        <f>IF(VLOOKUP(K$2,行为概览!$D$3:$J$33,7,0)="","",VLOOKUP(K$2,行为概览!$D$3:$J$33,7,0))</f>
        <v>20</v>
      </c>
      <c r="L46" s="53">
        <f>IF(VLOOKUP(L$2,行为概览!$D$3:$J$33,7,0)="","",VLOOKUP(L$2,行为概览!$D$3:$J$33,7,0))</f>
        <v>20</v>
      </c>
      <c r="M46" s="53">
        <f>IF(VLOOKUP(M$2,行为概览!$D$3:$J$33,7,0)="","",VLOOKUP(M$2,行为概览!$D$3:$J$33,7,0))</f>
        <v>40</v>
      </c>
      <c r="N46" s="53">
        <f>IF(VLOOKUP(N$2,行为概览!$D$3:$J$33,7,0)="","",VLOOKUP(N$2,行为概览!$D$3:$J$33,7,0))</f>
        <v>1</v>
      </c>
      <c r="O46" s="53">
        <f>IF(VLOOKUP(O$2,行为概览!$D$3:$J$33,7,0)="","",VLOOKUP(O$2,行为概览!$D$3:$J$33,7,0))</f>
        <v>150</v>
      </c>
      <c r="P46" s="53">
        <f>IF(VLOOKUP(P$2,行为概览!$D$3:$J$33,7,0)="","",VLOOKUP(P$2,行为概览!$D$3:$J$33,7,0))</f>
        <v>10</v>
      </c>
      <c r="Q46" s="53">
        <f>IF(VLOOKUP(Q$2,行为概览!$D$3:$J$33,7,0)="","",VLOOKUP(Q$2,行为概览!$D$3:$J$33,7,0))</f>
        <v>20</v>
      </c>
      <c r="R46" s="53">
        <f>IF(VLOOKUP(R$2,行为概览!$D$3:$J$33,7,0)="","",VLOOKUP(R$2,行为概览!$D$3:$J$33,7,0))</f>
        <v>6</v>
      </c>
      <c r="S46" s="53">
        <f>IF(VLOOKUP(S$2,行为概览!$D$3:$J$33,7,0)="","",VLOOKUP(S$2,行为概览!$D$3:$J$33,7,0))</f>
        <v>20</v>
      </c>
      <c r="T46" s="53">
        <f>IF(VLOOKUP(T$2,行为概览!$D$3:$J$33,7,0)="","",VLOOKUP(T$2,行为概览!$D$3:$J$33,7,0))</f>
        <v>15</v>
      </c>
      <c r="U46" s="53">
        <f>IF(VLOOKUP(U$2,行为概览!$D$3:$J$33,7,0)="","",VLOOKUP(U$2,行为概览!$D$3:$J$33,7,0))</f>
        <v>15</v>
      </c>
      <c r="V46" s="53">
        <f>IF(VLOOKUP(V$2,行为概览!$D$3:$J$33,7,0)="","",VLOOKUP(V$2,行为概览!$D$3:$J$33,7,0))</f>
        <v>40</v>
      </c>
      <c r="W46" s="53">
        <f>IF(VLOOKUP(W$2,行为概览!$D$3:$J$33,7,0)="","",VLOOKUP(W$2,行为概览!$D$3:$J$33,7,0))</f>
        <v>15</v>
      </c>
      <c r="X46" s="53">
        <f>IF(VLOOKUP(X$2,行为概览!$D$3:$J$33,7,0)="","",VLOOKUP(X$2,行为概览!$D$3:$J$33,7,0))</f>
        <v>30</v>
      </c>
      <c r="Y46" s="53">
        <f>IF(VLOOKUP(Y$2,行为概览!$D$3:$J$33,7,0)="","",VLOOKUP(Y$2,行为概览!$D$3:$J$33,7,0))</f>
        <v>25</v>
      </c>
      <c r="Z46" s="53">
        <f>IF(VLOOKUP(Z$2,行为概览!$D$3:$J$33,7,0)="","",VLOOKUP(Z$2,行为概览!$D$3:$J$33,7,0))</f>
        <v>15</v>
      </c>
      <c r="AA46" s="53">
        <f>IF(VLOOKUP(AA$2,行为概览!$D$3:$J$33,7,0)="","",VLOOKUP(AA$2,行为概览!$D$3:$J$33,7,0))</f>
        <v>15</v>
      </c>
      <c r="AB46" s="53" t="str">
        <f>IF(VLOOKUP(AB$2,行为概览!$D$3:$J$33,7,0)="","",VLOOKUP(AB$2,行为概览!$D$3:$J$33,7,0))</f>
        <v/>
      </c>
      <c r="AC46" s="53" t="str">
        <f>IF(VLOOKUP(AC$2,行为概览!$D$3:$J$33,7,0)="","",VLOOKUP(AC$2,行为概览!$D$3:$J$33,7,0))</f>
        <v/>
      </c>
      <c r="AD46" s="53" t="str">
        <f>IF(VLOOKUP(AD$2,行为概览!$D$3:$J$33,7,0)="","",VLOOKUP(AD$2,行为概览!$D$3:$J$33,7,0))</f>
        <v/>
      </c>
      <c r="AE46" s="68" t="str">
        <f>IF(VLOOKUP(AE$2,行为概览!$D$3:$J$33,7,0)="","",VLOOKUP(AE$2,行为概览!$D$3:$J$33,7,0))</f>
        <v/>
      </c>
      <c r="AF46" s="1">
        <f>IF(C46="","",ROUND(C46*玩法行为规划!B46,2))</f>
        <v>16.670000000000002</v>
      </c>
      <c r="AG46" s="2">
        <f>IF(D46="","",ROUND(D46*玩法行为规划!C46,2))</f>
        <v>6.6</v>
      </c>
      <c r="AH46" s="2">
        <f>IF(E46="","",ROUND(E46*玩法行为规划!D46,2))</f>
        <v>2.5</v>
      </c>
      <c r="AI46" s="2">
        <f>IF(F46="","",ROUND(F46*玩法行为规划!E46,2))</f>
        <v>15</v>
      </c>
      <c r="AJ46" s="2" t="str">
        <f>IF(G46="","",ROUND(G46*玩法行为规划!F46,2))</f>
        <v/>
      </c>
      <c r="AK46" s="2" t="str">
        <f>IF(H46="","",ROUND(H46*玩法行为规划!G46,2))</f>
        <v/>
      </c>
      <c r="AL46" s="2" t="str">
        <f>IF(I46="","",ROUND(I46*玩法行为规划!H46,2))</f>
        <v/>
      </c>
      <c r="AM46" s="2" t="str">
        <f>IF(J46="","",ROUND(J46*玩法行为规划!I46,2))</f>
        <v/>
      </c>
      <c r="AN46" s="2">
        <f>IF(K46="","",ROUND(K46*玩法行为规划!J46,2))</f>
        <v>10</v>
      </c>
      <c r="AO46" s="2">
        <f>IF(L46="","",ROUND(L46*玩法行为规划!K46,2))</f>
        <v>3.33</v>
      </c>
      <c r="AP46" s="2">
        <f>IF(M46="","",ROUND(M46*玩法行为规划!L46,2))</f>
        <v>0</v>
      </c>
      <c r="AQ46" s="2">
        <f>IF(N46="","",ROUND(N46*玩法行为规划!M46,2))</f>
        <v>12</v>
      </c>
      <c r="AR46" s="2">
        <f>IF(O46="","",ROUND(O46*玩法行为规划!N46,2))</f>
        <v>12.5</v>
      </c>
      <c r="AS46" s="2">
        <f>IF(P46="","",ROUND(P46*玩法行为规划!O46,2))</f>
        <v>0.83</v>
      </c>
      <c r="AT46" s="2">
        <f>IF(Q46="","",ROUND(Q46*玩法行为规划!P46,2))</f>
        <v>52</v>
      </c>
      <c r="AU46" s="2">
        <f>IF(R46="","",ROUND(R46*玩法行为规划!Q46,2))</f>
        <v>6</v>
      </c>
      <c r="AV46" s="2">
        <f>IF(S46="","",ROUND(S46*玩法行为规划!R46,2))</f>
        <v>6.67</v>
      </c>
      <c r="AW46" s="2">
        <f>IF(T46="","",ROUND(T46*玩法行为规划!S46,2))</f>
        <v>7.5</v>
      </c>
      <c r="AX46" s="2">
        <f>IF(U46="","",ROUND(U46*玩法行为规划!T46,2))</f>
        <v>0</v>
      </c>
      <c r="AY46" s="2">
        <f>IF(V46="","",ROUND(V46*玩法行为规划!U46,2))</f>
        <v>6.67</v>
      </c>
      <c r="AZ46" s="2">
        <f>IF(W46="","",ROUND(W46*玩法行为规划!V46,2))</f>
        <v>2.5</v>
      </c>
      <c r="BA46" s="2">
        <f>IF(X46="","",ROUND(X46*玩法行为规划!W46,2))</f>
        <v>5</v>
      </c>
      <c r="BB46" s="2">
        <f>IF(Y46="","",ROUND(Y46*玩法行为规划!X46,2))</f>
        <v>6.25</v>
      </c>
      <c r="BC46" s="2">
        <f>IF(Z46="","",ROUND(Z46*玩法行为规划!Y46,2))</f>
        <v>8.75</v>
      </c>
      <c r="BD46" s="2">
        <f>IF(AA46="","",ROUND(AA46*玩法行为规划!Z46,2))</f>
        <v>2.5</v>
      </c>
      <c r="BE46" s="2" t="str">
        <f>IF(AB46="","",ROUND(AB46*玩法行为规划!AA46,2))</f>
        <v/>
      </c>
      <c r="BF46" s="2" t="str">
        <f>IF(AC46="","",ROUND(AC46*玩法行为规划!AB46,2))</f>
        <v/>
      </c>
      <c r="BG46" s="2" t="str">
        <f>IF(AD46="","",ROUND(AD46*玩法行为规划!AC46,2))</f>
        <v/>
      </c>
      <c r="BH46" s="3" t="str">
        <f>IF(AE46="","",ROUND(AE46*玩法行为规划!AD46,2))</f>
        <v/>
      </c>
      <c r="BI46" s="7">
        <f t="shared" si="6"/>
        <v>183.26999999999998</v>
      </c>
      <c r="BJ46" s="7">
        <f t="shared" si="7"/>
        <v>3225551.9999999995</v>
      </c>
      <c r="BK46" s="10">
        <f t="shared" si="3"/>
        <v>218200</v>
      </c>
      <c r="BL46" s="21" t="str">
        <f t="shared" si="9"/>
        <v/>
      </c>
      <c r="BM46" s="7">
        <f t="shared" si="8"/>
        <v>0.20998900974110338</v>
      </c>
      <c r="BN46" s="69">
        <f>INT(BJ46*升级节奏!G46+BK46)</f>
        <v>1039102</v>
      </c>
      <c r="BO46" s="7">
        <f t="shared" si="4"/>
        <v>196</v>
      </c>
      <c r="BP46" s="7"/>
    </row>
    <row r="47" spans="1:69">
      <c r="A47" s="29">
        <v>45</v>
      </c>
      <c r="B47" s="84">
        <f>升级节奏!C47</f>
        <v>18000</v>
      </c>
      <c r="C47" s="53">
        <f>IF(VLOOKUP(C$2,行为概览!$D$3:$J$33,7,0)="","",VLOOKUP(C$2,行为概览!$D$3:$J$33,7,0))</f>
        <v>50</v>
      </c>
      <c r="D47" s="53">
        <f>IF(VLOOKUP(D$2,行为概览!$D$3:$J$33,7,0)="","",VLOOKUP(D$2,行为概览!$D$3:$J$33,7,0))</f>
        <v>3.3</v>
      </c>
      <c r="E47" s="53">
        <f>IF(VLOOKUP(E$2,行为概览!$D$3:$J$33,7,0)="","",VLOOKUP(E$2,行为概览!$D$3:$J$33,7,0))</f>
        <v>30</v>
      </c>
      <c r="F47" s="53">
        <f>IF(VLOOKUP(F$2,行为概览!$D$3:$J$33,7,0)="","",VLOOKUP(F$2,行为概览!$D$3:$J$33,7,0))</f>
        <v>15</v>
      </c>
      <c r="G47" s="53" t="str">
        <f>IF(VLOOKUP(G$2,行为概览!$D$3:$J$33,7,0)="","",VLOOKUP(G$2,行为概览!$D$3:$J$33,7,0))</f>
        <v/>
      </c>
      <c r="H47" s="53" t="str">
        <f>IF(VLOOKUP(H$2,行为概览!$D$3:$J$33,7,0)="","",VLOOKUP(H$2,行为概览!$D$3:$J$33,7,0))</f>
        <v/>
      </c>
      <c r="I47" s="53" t="str">
        <f>IF(VLOOKUP(I$2,行为概览!$D$3:$J$33,7,0)="","",VLOOKUP(I$2,行为概览!$D$3:$J$33,7,0))</f>
        <v/>
      </c>
      <c r="J47" s="53" t="str">
        <f>IF(VLOOKUP(J$2,行为概览!$D$3:$J$33,7,0)="","",VLOOKUP(J$2,行为概览!$D$3:$J$33,7,0))</f>
        <v/>
      </c>
      <c r="K47" s="53">
        <f>IF(VLOOKUP(K$2,行为概览!$D$3:$J$33,7,0)="","",VLOOKUP(K$2,行为概览!$D$3:$J$33,7,0))</f>
        <v>20</v>
      </c>
      <c r="L47" s="53">
        <f>IF(VLOOKUP(L$2,行为概览!$D$3:$J$33,7,0)="","",VLOOKUP(L$2,行为概览!$D$3:$J$33,7,0))</f>
        <v>20</v>
      </c>
      <c r="M47" s="53">
        <f>IF(VLOOKUP(M$2,行为概览!$D$3:$J$33,7,0)="","",VLOOKUP(M$2,行为概览!$D$3:$J$33,7,0))</f>
        <v>40</v>
      </c>
      <c r="N47" s="53">
        <f>IF(VLOOKUP(N$2,行为概览!$D$3:$J$33,7,0)="","",VLOOKUP(N$2,行为概览!$D$3:$J$33,7,0))</f>
        <v>1</v>
      </c>
      <c r="O47" s="53">
        <f>IF(VLOOKUP(O$2,行为概览!$D$3:$J$33,7,0)="","",VLOOKUP(O$2,行为概览!$D$3:$J$33,7,0))</f>
        <v>150</v>
      </c>
      <c r="P47" s="53">
        <f>IF(VLOOKUP(P$2,行为概览!$D$3:$J$33,7,0)="","",VLOOKUP(P$2,行为概览!$D$3:$J$33,7,0))</f>
        <v>10</v>
      </c>
      <c r="Q47" s="53">
        <f>IF(VLOOKUP(Q$2,行为概览!$D$3:$J$33,7,0)="","",VLOOKUP(Q$2,行为概览!$D$3:$J$33,7,0))</f>
        <v>20</v>
      </c>
      <c r="R47" s="53">
        <f>IF(VLOOKUP(R$2,行为概览!$D$3:$J$33,7,0)="","",VLOOKUP(R$2,行为概览!$D$3:$J$33,7,0))</f>
        <v>6</v>
      </c>
      <c r="S47" s="53">
        <f>IF(VLOOKUP(S$2,行为概览!$D$3:$J$33,7,0)="","",VLOOKUP(S$2,行为概览!$D$3:$J$33,7,0))</f>
        <v>20</v>
      </c>
      <c r="T47" s="53">
        <f>IF(VLOOKUP(T$2,行为概览!$D$3:$J$33,7,0)="","",VLOOKUP(T$2,行为概览!$D$3:$J$33,7,0))</f>
        <v>15</v>
      </c>
      <c r="U47" s="53">
        <f>IF(VLOOKUP(U$2,行为概览!$D$3:$J$33,7,0)="","",VLOOKUP(U$2,行为概览!$D$3:$J$33,7,0))</f>
        <v>15</v>
      </c>
      <c r="V47" s="53">
        <f>IF(VLOOKUP(V$2,行为概览!$D$3:$J$33,7,0)="","",VLOOKUP(V$2,行为概览!$D$3:$J$33,7,0))</f>
        <v>40</v>
      </c>
      <c r="W47" s="53">
        <f>IF(VLOOKUP(W$2,行为概览!$D$3:$J$33,7,0)="","",VLOOKUP(W$2,行为概览!$D$3:$J$33,7,0))</f>
        <v>15</v>
      </c>
      <c r="X47" s="53">
        <f>IF(VLOOKUP(X$2,行为概览!$D$3:$J$33,7,0)="","",VLOOKUP(X$2,行为概览!$D$3:$J$33,7,0))</f>
        <v>30</v>
      </c>
      <c r="Y47" s="53">
        <f>IF(VLOOKUP(Y$2,行为概览!$D$3:$J$33,7,0)="","",VLOOKUP(Y$2,行为概览!$D$3:$J$33,7,0))</f>
        <v>25</v>
      </c>
      <c r="Z47" s="53">
        <f>IF(VLOOKUP(Z$2,行为概览!$D$3:$J$33,7,0)="","",VLOOKUP(Z$2,行为概览!$D$3:$J$33,7,0))</f>
        <v>15</v>
      </c>
      <c r="AA47" s="53">
        <f>IF(VLOOKUP(AA$2,行为概览!$D$3:$J$33,7,0)="","",VLOOKUP(AA$2,行为概览!$D$3:$J$33,7,0))</f>
        <v>15</v>
      </c>
      <c r="AB47" s="53" t="str">
        <f>IF(VLOOKUP(AB$2,行为概览!$D$3:$J$33,7,0)="","",VLOOKUP(AB$2,行为概览!$D$3:$J$33,7,0))</f>
        <v/>
      </c>
      <c r="AC47" s="53" t="str">
        <f>IF(VLOOKUP(AC$2,行为概览!$D$3:$J$33,7,0)="","",VLOOKUP(AC$2,行为概览!$D$3:$J$33,7,0))</f>
        <v/>
      </c>
      <c r="AD47" s="53" t="str">
        <f>IF(VLOOKUP(AD$2,行为概览!$D$3:$J$33,7,0)="","",VLOOKUP(AD$2,行为概览!$D$3:$J$33,7,0))</f>
        <v/>
      </c>
      <c r="AE47" s="68" t="str">
        <f>IF(VLOOKUP(AE$2,行为概览!$D$3:$J$33,7,0)="","",VLOOKUP(AE$2,行为概览!$D$3:$J$33,7,0))</f>
        <v/>
      </c>
      <c r="AF47" s="1">
        <f>IF(C47="","",ROUND(C47*玩法行为规划!B47,2))</f>
        <v>16.670000000000002</v>
      </c>
      <c r="AG47" s="2">
        <f>IF(D47="","",ROUND(D47*玩法行为规划!C47,2))</f>
        <v>6.6</v>
      </c>
      <c r="AH47" s="2">
        <f>IF(E47="","",ROUND(E47*玩法行为规划!D47,2))</f>
        <v>2.5</v>
      </c>
      <c r="AI47" s="2">
        <f>IF(F47="","",ROUND(F47*玩法行为规划!E47,2))</f>
        <v>15</v>
      </c>
      <c r="AJ47" s="2" t="str">
        <f>IF(G47="","",ROUND(G47*玩法行为规划!F47,2))</f>
        <v/>
      </c>
      <c r="AK47" s="2" t="str">
        <f>IF(H47="","",ROUND(H47*玩法行为规划!G47,2))</f>
        <v/>
      </c>
      <c r="AL47" s="2" t="str">
        <f>IF(I47="","",ROUND(I47*玩法行为规划!H47,2))</f>
        <v/>
      </c>
      <c r="AM47" s="2" t="str">
        <f>IF(J47="","",ROUND(J47*玩法行为规划!I47,2))</f>
        <v/>
      </c>
      <c r="AN47" s="2">
        <f>IF(K47="","",ROUND(K47*玩法行为规划!J47,2))</f>
        <v>10</v>
      </c>
      <c r="AO47" s="2">
        <f>IF(L47="","",ROUND(L47*玩法行为规划!K47,2))</f>
        <v>3.33</v>
      </c>
      <c r="AP47" s="2">
        <f>IF(M47="","",ROUND(M47*玩法行为规划!L47,2))</f>
        <v>0</v>
      </c>
      <c r="AQ47" s="2">
        <f>IF(N47="","",ROUND(N47*玩法行为规划!M47,2))</f>
        <v>12</v>
      </c>
      <c r="AR47" s="2">
        <f>IF(O47="","",ROUND(O47*玩法行为规划!N47,2))</f>
        <v>12.5</v>
      </c>
      <c r="AS47" s="2">
        <f>IF(P47="","",ROUND(P47*玩法行为规划!O47,2))</f>
        <v>0.83</v>
      </c>
      <c r="AT47" s="2">
        <f>IF(Q47="","",ROUND(Q47*玩法行为规划!P47,2))</f>
        <v>52</v>
      </c>
      <c r="AU47" s="2">
        <f>IF(R47="","",ROUND(R47*玩法行为规划!Q47,2))</f>
        <v>6</v>
      </c>
      <c r="AV47" s="2">
        <f>IF(S47="","",ROUND(S47*玩法行为规划!R47,2))</f>
        <v>6.67</v>
      </c>
      <c r="AW47" s="2">
        <f>IF(T47="","",ROUND(T47*玩法行为规划!S47,2))</f>
        <v>7.5</v>
      </c>
      <c r="AX47" s="2">
        <f>IF(U47="","",ROUND(U47*玩法行为规划!T47,2))</f>
        <v>0</v>
      </c>
      <c r="AY47" s="2">
        <f>IF(V47="","",ROUND(V47*玩法行为规划!U47,2))</f>
        <v>6.67</v>
      </c>
      <c r="AZ47" s="2">
        <f>IF(W47="","",ROUND(W47*玩法行为规划!V47,2))</f>
        <v>2.5</v>
      </c>
      <c r="BA47" s="2">
        <f>IF(X47="","",ROUND(X47*玩法行为规划!W47,2))</f>
        <v>5</v>
      </c>
      <c r="BB47" s="2">
        <f>IF(Y47="","",ROUND(Y47*玩法行为规划!X47,2))</f>
        <v>6.25</v>
      </c>
      <c r="BC47" s="2">
        <f>IF(Z47="","",ROUND(Z47*玩法行为规划!Y47,2))</f>
        <v>8.75</v>
      </c>
      <c r="BD47" s="2">
        <f>IF(AA47="","",ROUND(AA47*玩法行为规划!Z47,2))</f>
        <v>2.5</v>
      </c>
      <c r="BE47" s="2" t="str">
        <f>IF(AB47="","",ROUND(AB47*玩法行为规划!AA47,2))</f>
        <v/>
      </c>
      <c r="BF47" s="2" t="str">
        <f>IF(AC47="","",ROUND(AC47*玩法行为规划!AB47,2))</f>
        <v/>
      </c>
      <c r="BG47" s="2" t="str">
        <f>IF(AD47="","",ROUND(AD47*玩法行为规划!AC47,2))</f>
        <v/>
      </c>
      <c r="BH47" s="3" t="str">
        <f>IF(AE47="","",ROUND(AE47*玩法行为规划!AD47,2))</f>
        <v/>
      </c>
      <c r="BI47" s="7">
        <f t="shared" si="6"/>
        <v>183.26999999999998</v>
      </c>
      <c r="BJ47" s="7">
        <f t="shared" si="7"/>
        <v>3298859.9999999995</v>
      </c>
      <c r="BK47" s="10">
        <f t="shared" si="3"/>
        <v>234000</v>
      </c>
      <c r="BL47" s="21" t="str">
        <f t="shared" si="9"/>
        <v/>
      </c>
      <c r="BM47" s="7">
        <f t="shared" si="8"/>
        <v>0.21076163309642165</v>
      </c>
      <c r="BN47" s="69">
        <f>INT(BJ47*升级节奏!G47+BK47)</f>
        <v>1110259</v>
      </c>
      <c r="BO47" s="7">
        <f t="shared" si="4"/>
        <v>200</v>
      </c>
      <c r="BP47" s="7"/>
    </row>
    <row r="48" spans="1:69">
      <c r="A48" s="29">
        <v>46</v>
      </c>
      <c r="B48" s="84">
        <f>升级节奏!C48</f>
        <v>18400</v>
      </c>
      <c r="C48" s="53">
        <f>IF(VLOOKUP(C$2,行为概览!$D$3:$J$33,7,0)="","",VLOOKUP(C$2,行为概览!$D$3:$J$33,7,0))</f>
        <v>50</v>
      </c>
      <c r="D48" s="53">
        <f>IF(VLOOKUP(D$2,行为概览!$D$3:$J$33,7,0)="","",VLOOKUP(D$2,行为概览!$D$3:$J$33,7,0))</f>
        <v>3.3</v>
      </c>
      <c r="E48" s="53">
        <f>IF(VLOOKUP(E$2,行为概览!$D$3:$J$33,7,0)="","",VLOOKUP(E$2,行为概览!$D$3:$J$33,7,0))</f>
        <v>30</v>
      </c>
      <c r="F48" s="53">
        <f>IF(VLOOKUP(F$2,行为概览!$D$3:$J$33,7,0)="","",VLOOKUP(F$2,行为概览!$D$3:$J$33,7,0))</f>
        <v>15</v>
      </c>
      <c r="G48" s="53" t="str">
        <f>IF(VLOOKUP(G$2,行为概览!$D$3:$J$33,7,0)="","",VLOOKUP(G$2,行为概览!$D$3:$J$33,7,0))</f>
        <v/>
      </c>
      <c r="H48" s="53" t="str">
        <f>IF(VLOOKUP(H$2,行为概览!$D$3:$J$33,7,0)="","",VLOOKUP(H$2,行为概览!$D$3:$J$33,7,0))</f>
        <v/>
      </c>
      <c r="I48" s="53" t="str">
        <f>IF(VLOOKUP(I$2,行为概览!$D$3:$J$33,7,0)="","",VLOOKUP(I$2,行为概览!$D$3:$J$33,7,0))</f>
        <v/>
      </c>
      <c r="J48" s="53" t="str">
        <f>IF(VLOOKUP(J$2,行为概览!$D$3:$J$33,7,0)="","",VLOOKUP(J$2,行为概览!$D$3:$J$33,7,0))</f>
        <v/>
      </c>
      <c r="K48" s="53">
        <f>IF(VLOOKUP(K$2,行为概览!$D$3:$J$33,7,0)="","",VLOOKUP(K$2,行为概览!$D$3:$J$33,7,0))</f>
        <v>20</v>
      </c>
      <c r="L48" s="53">
        <f>IF(VLOOKUP(L$2,行为概览!$D$3:$J$33,7,0)="","",VLOOKUP(L$2,行为概览!$D$3:$J$33,7,0))</f>
        <v>20</v>
      </c>
      <c r="M48" s="53">
        <f>IF(VLOOKUP(M$2,行为概览!$D$3:$J$33,7,0)="","",VLOOKUP(M$2,行为概览!$D$3:$J$33,7,0))</f>
        <v>40</v>
      </c>
      <c r="N48" s="53">
        <f>IF(VLOOKUP(N$2,行为概览!$D$3:$J$33,7,0)="","",VLOOKUP(N$2,行为概览!$D$3:$J$33,7,0))</f>
        <v>1</v>
      </c>
      <c r="O48" s="53">
        <f>IF(VLOOKUP(O$2,行为概览!$D$3:$J$33,7,0)="","",VLOOKUP(O$2,行为概览!$D$3:$J$33,7,0))</f>
        <v>150</v>
      </c>
      <c r="P48" s="53">
        <f>IF(VLOOKUP(P$2,行为概览!$D$3:$J$33,7,0)="","",VLOOKUP(P$2,行为概览!$D$3:$J$33,7,0))</f>
        <v>10</v>
      </c>
      <c r="Q48" s="53">
        <f>IF(VLOOKUP(Q$2,行为概览!$D$3:$J$33,7,0)="","",VLOOKUP(Q$2,行为概览!$D$3:$J$33,7,0))</f>
        <v>20</v>
      </c>
      <c r="R48" s="53">
        <f>IF(VLOOKUP(R$2,行为概览!$D$3:$J$33,7,0)="","",VLOOKUP(R$2,行为概览!$D$3:$J$33,7,0))</f>
        <v>6</v>
      </c>
      <c r="S48" s="53">
        <f>IF(VLOOKUP(S$2,行为概览!$D$3:$J$33,7,0)="","",VLOOKUP(S$2,行为概览!$D$3:$J$33,7,0))</f>
        <v>20</v>
      </c>
      <c r="T48" s="53">
        <f>IF(VLOOKUP(T$2,行为概览!$D$3:$J$33,7,0)="","",VLOOKUP(T$2,行为概览!$D$3:$J$33,7,0))</f>
        <v>15</v>
      </c>
      <c r="U48" s="53">
        <f>IF(VLOOKUP(U$2,行为概览!$D$3:$J$33,7,0)="","",VLOOKUP(U$2,行为概览!$D$3:$J$33,7,0))</f>
        <v>15</v>
      </c>
      <c r="V48" s="53">
        <f>IF(VLOOKUP(V$2,行为概览!$D$3:$J$33,7,0)="","",VLOOKUP(V$2,行为概览!$D$3:$J$33,7,0))</f>
        <v>40</v>
      </c>
      <c r="W48" s="53">
        <f>IF(VLOOKUP(W$2,行为概览!$D$3:$J$33,7,0)="","",VLOOKUP(W$2,行为概览!$D$3:$J$33,7,0))</f>
        <v>15</v>
      </c>
      <c r="X48" s="53">
        <f>IF(VLOOKUP(X$2,行为概览!$D$3:$J$33,7,0)="","",VLOOKUP(X$2,行为概览!$D$3:$J$33,7,0))</f>
        <v>30</v>
      </c>
      <c r="Y48" s="53">
        <f>IF(VLOOKUP(Y$2,行为概览!$D$3:$J$33,7,0)="","",VLOOKUP(Y$2,行为概览!$D$3:$J$33,7,0))</f>
        <v>25</v>
      </c>
      <c r="Z48" s="53">
        <f>IF(VLOOKUP(Z$2,行为概览!$D$3:$J$33,7,0)="","",VLOOKUP(Z$2,行为概览!$D$3:$J$33,7,0))</f>
        <v>15</v>
      </c>
      <c r="AA48" s="53">
        <f>IF(VLOOKUP(AA$2,行为概览!$D$3:$J$33,7,0)="","",VLOOKUP(AA$2,行为概览!$D$3:$J$33,7,0))</f>
        <v>15</v>
      </c>
      <c r="AB48" s="53" t="str">
        <f>IF(VLOOKUP(AB$2,行为概览!$D$3:$J$33,7,0)="","",VLOOKUP(AB$2,行为概览!$D$3:$J$33,7,0))</f>
        <v/>
      </c>
      <c r="AC48" s="53" t="str">
        <f>IF(VLOOKUP(AC$2,行为概览!$D$3:$J$33,7,0)="","",VLOOKUP(AC$2,行为概览!$D$3:$J$33,7,0))</f>
        <v/>
      </c>
      <c r="AD48" s="53" t="str">
        <f>IF(VLOOKUP(AD$2,行为概览!$D$3:$J$33,7,0)="","",VLOOKUP(AD$2,行为概览!$D$3:$J$33,7,0))</f>
        <v/>
      </c>
      <c r="AE48" s="68" t="str">
        <f>IF(VLOOKUP(AE$2,行为概览!$D$3:$J$33,7,0)="","",VLOOKUP(AE$2,行为概览!$D$3:$J$33,7,0))</f>
        <v/>
      </c>
      <c r="AF48" s="1">
        <f>IF(C48="","",ROUND(C48*玩法行为规划!B48,2))</f>
        <v>16.670000000000002</v>
      </c>
      <c r="AG48" s="2">
        <f>IF(D48="","",ROUND(D48*玩法行为规划!C48,2))</f>
        <v>6.6</v>
      </c>
      <c r="AH48" s="2">
        <f>IF(E48="","",ROUND(E48*玩法行为规划!D48,2))</f>
        <v>2.5</v>
      </c>
      <c r="AI48" s="2">
        <f>IF(F48="","",ROUND(F48*玩法行为规划!E48,2))</f>
        <v>15</v>
      </c>
      <c r="AJ48" s="2" t="str">
        <f>IF(G48="","",ROUND(G48*玩法行为规划!F48,2))</f>
        <v/>
      </c>
      <c r="AK48" s="2" t="str">
        <f>IF(H48="","",ROUND(H48*玩法行为规划!G48,2))</f>
        <v/>
      </c>
      <c r="AL48" s="2" t="str">
        <f>IF(I48="","",ROUND(I48*玩法行为规划!H48,2))</f>
        <v/>
      </c>
      <c r="AM48" s="2" t="str">
        <f>IF(J48="","",ROUND(J48*玩法行为规划!I48,2))</f>
        <v/>
      </c>
      <c r="AN48" s="2">
        <f>IF(K48="","",ROUND(K48*玩法行为规划!J48,2))</f>
        <v>10</v>
      </c>
      <c r="AO48" s="2">
        <f>IF(L48="","",ROUND(L48*玩法行为规划!K48,2))</f>
        <v>3.33</v>
      </c>
      <c r="AP48" s="2">
        <f>IF(M48="","",ROUND(M48*玩法行为规划!L48,2))</f>
        <v>0</v>
      </c>
      <c r="AQ48" s="2">
        <f>IF(N48="","",ROUND(N48*玩法行为规划!M48,2))</f>
        <v>12</v>
      </c>
      <c r="AR48" s="2">
        <f>IF(O48="","",ROUND(O48*玩法行为规划!N48,2))</f>
        <v>12.5</v>
      </c>
      <c r="AS48" s="2">
        <f>IF(P48="","",ROUND(P48*玩法行为规划!O48,2))</f>
        <v>0.83</v>
      </c>
      <c r="AT48" s="2">
        <f>IF(Q48="","",ROUND(Q48*玩法行为规划!P48,2))</f>
        <v>52</v>
      </c>
      <c r="AU48" s="2">
        <f>IF(R48="","",ROUND(R48*玩法行为规划!Q48,2))</f>
        <v>6</v>
      </c>
      <c r="AV48" s="2">
        <f>IF(S48="","",ROUND(S48*玩法行为规划!R48,2))</f>
        <v>6.67</v>
      </c>
      <c r="AW48" s="2">
        <f>IF(T48="","",ROUND(T48*玩法行为规划!S48,2))</f>
        <v>7.5</v>
      </c>
      <c r="AX48" s="2">
        <f>IF(U48="","",ROUND(U48*玩法行为规划!T48,2))</f>
        <v>0</v>
      </c>
      <c r="AY48" s="2">
        <f>IF(V48="","",ROUND(V48*玩法行为规划!U48,2))</f>
        <v>6.67</v>
      </c>
      <c r="AZ48" s="2">
        <f>IF(W48="","",ROUND(W48*玩法行为规划!V48,2))</f>
        <v>2.5</v>
      </c>
      <c r="BA48" s="2">
        <f>IF(X48="","",ROUND(X48*玩法行为规划!W48,2))</f>
        <v>5</v>
      </c>
      <c r="BB48" s="2">
        <f>IF(Y48="","",ROUND(Y48*玩法行为规划!X48,2))</f>
        <v>6.25</v>
      </c>
      <c r="BC48" s="2">
        <f>IF(Z48="","",ROUND(Z48*玩法行为规划!Y48,2))</f>
        <v>8.75</v>
      </c>
      <c r="BD48" s="2">
        <f>IF(AA48="","",ROUND(AA48*玩法行为规划!Z48,2))</f>
        <v>2.5</v>
      </c>
      <c r="BE48" s="2" t="str">
        <f>IF(AB48="","",ROUND(AB48*玩法行为规划!AA48,2))</f>
        <v/>
      </c>
      <c r="BF48" s="2" t="str">
        <f>IF(AC48="","",ROUND(AC48*玩法行为规划!AB48,2))</f>
        <v/>
      </c>
      <c r="BG48" s="2" t="str">
        <f>IF(AD48="","",ROUND(AD48*玩法行为规划!AC48,2))</f>
        <v/>
      </c>
      <c r="BH48" s="3" t="str">
        <f>IF(AE48="","",ROUND(AE48*玩法行为规划!AD48,2))</f>
        <v/>
      </c>
      <c r="BI48" s="7">
        <f t="shared" si="6"/>
        <v>183.26999999999998</v>
      </c>
      <c r="BJ48" s="7">
        <f t="shared" si="7"/>
        <v>3372167.9999999995</v>
      </c>
      <c r="BK48" s="10">
        <f t="shared" si="3"/>
        <v>250200</v>
      </c>
      <c r="BL48" s="21" t="str">
        <f t="shared" si="9"/>
        <v/>
      </c>
      <c r="BM48" s="7">
        <f t="shared" si="8"/>
        <v>0.21126582171596484</v>
      </c>
      <c r="BN48" s="69">
        <f>INT(BJ48*升级节奏!G48+BK48)</f>
        <v>1184290</v>
      </c>
      <c r="BO48" s="7">
        <f t="shared" si="4"/>
        <v>204</v>
      </c>
      <c r="BP48" s="7"/>
    </row>
    <row r="49" spans="1:68">
      <c r="A49" s="29">
        <v>47</v>
      </c>
      <c r="B49" s="84">
        <f>升级节奏!C49</f>
        <v>18800</v>
      </c>
      <c r="C49" s="53">
        <f>IF(VLOOKUP(C$2,行为概览!$D$3:$J$33,7,0)="","",VLOOKUP(C$2,行为概览!$D$3:$J$33,7,0))</f>
        <v>50</v>
      </c>
      <c r="D49" s="53">
        <f>IF(VLOOKUP(D$2,行为概览!$D$3:$J$33,7,0)="","",VLOOKUP(D$2,行为概览!$D$3:$J$33,7,0))</f>
        <v>3.3</v>
      </c>
      <c r="E49" s="53">
        <f>IF(VLOOKUP(E$2,行为概览!$D$3:$J$33,7,0)="","",VLOOKUP(E$2,行为概览!$D$3:$J$33,7,0))</f>
        <v>30</v>
      </c>
      <c r="F49" s="53">
        <f>IF(VLOOKUP(F$2,行为概览!$D$3:$J$33,7,0)="","",VLOOKUP(F$2,行为概览!$D$3:$J$33,7,0))</f>
        <v>15</v>
      </c>
      <c r="G49" s="53" t="str">
        <f>IF(VLOOKUP(G$2,行为概览!$D$3:$J$33,7,0)="","",VLOOKUP(G$2,行为概览!$D$3:$J$33,7,0))</f>
        <v/>
      </c>
      <c r="H49" s="53" t="str">
        <f>IF(VLOOKUP(H$2,行为概览!$D$3:$J$33,7,0)="","",VLOOKUP(H$2,行为概览!$D$3:$J$33,7,0))</f>
        <v/>
      </c>
      <c r="I49" s="53" t="str">
        <f>IF(VLOOKUP(I$2,行为概览!$D$3:$J$33,7,0)="","",VLOOKUP(I$2,行为概览!$D$3:$J$33,7,0))</f>
        <v/>
      </c>
      <c r="J49" s="53" t="str">
        <f>IF(VLOOKUP(J$2,行为概览!$D$3:$J$33,7,0)="","",VLOOKUP(J$2,行为概览!$D$3:$J$33,7,0))</f>
        <v/>
      </c>
      <c r="K49" s="53">
        <f>IF(VLOOKUP(K$2,行为概览!$D$3:$J$33,7,0)="","",VLOOKUP(K$2,行为概览!$D$3:$J$33,7,0))</f>
        <v>20</v>
      </c>
      <c r="L49" s="53">
        <f>IF(VLOOKUP(L$2,行为概览!$D$3:$J$33,7,0)="","",VLOOKUP(L$2,行为概览!$D$3:$J$33,7,0))</f>
        <v>20</v>
      </c>
      <c r="M49" s="53">
        <f>IF(VLOOKUP(M$2,行为概览!$D$3:$J$33,7,0)="","",VLOOKUP(M$2,行为概览!$D$3:$J$33,7,0))</f>
        <v>40</v>
      </c>
      <c r="N49" s="53">
        <f>IF(VLOOKUP(N$2,行为概览!$D$3:$J$33,7,0)="","",VLOOKUP(N$2,行为概览!$D$3:$J$33,7,0))</f>
        <v>1</v>
      </c>
      <c r="O49" s="53">
        <f>IF(VLOOKUP(O$2,行为概览!$D$3:$J$33,7,0)="","",VLOOKUP(O$2,行为概览!$D$3:$J$33,7,0))</f>
        <v>150</v>
      </c>
      <c r="P49" s="53">
        <f>IF(VLOOKUP(P$2,行为概览!$D$3:$J$33,7,0)="","",VLOOKUP(P$2,行为概览!$D$3:$J$33,7,0))</f>
        <v>10</v>
      </c>
      <c r="Q49" s="53">
        <f>IF(VLOOKUP(Q$2,行为概览!$D$3:$J$33,7,0)="","",VLOOKUP(Q$2,行为概览!$D$3:$J$33,7,0))</f>
        <v>20</v>
      </c>
      <c r="R49" s="53">
        <f>IF(VLOOKUP(R$2,行为概览!$D$3:$J$33,7,0)="","",VLOOKUP(R$2,行为概览!$D$3:$J$33,7,0))</f>
        <v>6</v>
      </c>
      <c r="S49" s="53">
        <f>IF(VLOOKUP(S$2,行为概览!$D$3:$J$33,7,0)="","",VLOOKUP(S$2,行为概览!$D$3:$J$33,7,0))</f>
        <v>20</v>
      </c>
      <c r="T49" s="53">
        <f>IF(VLOOKUP(T$2,行为概览!$D$3:$J$33,7,0)="","",VLOOKUP(T$2,行为概览!$D$3:$J$33,7,0))</f>
        <v>15</v>
      </c>
      <c r="U49" s="53">
        <f>IF(VLOOKUP(U$2,行为概览!$D$3:$J$33,7,0)="","",VLOOKUP(U$2,行为概览!$D$3:$J$33,7,0))</f>
        <v>15</v>
      </c>
      <c r="V49" s="53">
        <f>IF(VLOOKUP(V$2,行为概览!$D$3:$J$33,7,0)="","",VLOOKUP(V$2,行为概览!$D$3:$J$33,7,0))</f>
        <v>40</v>
      </c>
      <c r="W49" s="53">
        <f>IF(VLOOKUP(W$2,行为概览!$D$3:$J$33,7,0)="","",VLOOKUP(W$2,行为概览!$D$3:$J$33,7,0))</f>
        <v>15</v>
      </c>
      <c r="X49" s="53">
        <f>IF(VLOOKUP(X$2,行为概览!$D$3:$J$33,7,0)="","",VLOOKUP(X$2,行为概览!$D$3:$J$33,7,0))</f>
        <v>30</v>
      </c>
      <c r="Y49" s="53">
        <f>IF(VLOOKUP(Y$2,行为概览!$D$3:$J$33,7,0)="","",VLOOKUP(Y$2,行为概览!$D$3:$J$33,7,0))</f>
        <v>25</v>
      </c>
      <c r="Z49" s="53">
        <f>IF(VLOOKUP(Z$2,行为概览!$D$3:$J$33,7,0)="","",VLOOKUP(Z$2,行为概览!$D$3:$J$33,7,0))</f>
        <v>15</v>
      </c>
      <c r="AA49" s="53">
        <f>IF(VLOOKUP(AA$2,行为概览!$D$3:$J$33,7,0)="","",VLOOKUP(AA$2,行为概览!$D$3:$J$33,7,0))</f>
        <v>15</v>
      </c>
      <c r="AB49" s="53" t="str">
        <f>IF(VLOOKUP(AB$2,行为概览!$D$3:$J$33,7,0)="","",VLOOKUP(AB$2,行为概览!$D$3:$J$33,7,0))</f>
        <v/>
      </c>
      <c r="AC49" s="53" t="str">
        <f>IF(VLOOKUP(AC$2,行为概览!$D$3:$J$33,7,0)="","",VLOOKUP(AC$2,行为概览!$D$3:$J$33,7,0))</f>
        <v/>
      </c>
      <c r="AD49" s="53" t="str">
        <f>IF(VLOOKUP(AD$2,行为概览!$D$3:$J$33,7,0)="","",VLOOKUP(AD$2,行为概览!$D$3:$J$33,7,0))</f>
        <v/>
      </c>
      <c r="AE49" s="68" t="str">
        <f>IF(VLOOKUP(AE$2,行为概览!$D$3:$J$33,7,0)="","",VLOOKUP(AE$2,行为概览!$D$3:$J$33,7,0))</f>
        <v/>
      </c>
      <c r="AF49" s="1">
        <f>IF(C49="","",ROUND(C49*玩法行为规划!B49,2))</f>
        <v>16.670000000000002</v>
      </c>
      <c r="AG49" s="2">
        <f>IF(D49="","",ROUND(D49*玩法行为规划!C49,2))</f>
        <v>6.6</v>
      </c>
      <c r="AH49" s="2">
        <f>IF(E49="","",ROUND(E49*玩法行为规划!D49,2))</f>
        <v>2.5</v>
      </c>
      <c r="AI49" s="2">
        <f>IF(F49="","",ROUND(F49*玩法行为规划!E49,2))</f>
        <v>15</v>
      </c>
      <c r="AJ49" s="2" t="str">
        <f>IF(G49="","",ROUND(G49*玩法行为规划!F49,2))</f>
        <v/>
      </c>
      <c r="AK49" s="2" t="str">
        <f>IF(H49="","",ROUND(H49*玩法行为规划!G49,2))</f>
        <v/>
      </c>
      <c r="AL49" s="2" t="str">
        <f>IF(I49="","",ROUND(I49*玩法行为规划!H49,2))</f>
        <v/>
      </c>
      <c r="AM49" s="2" t="str">
        <f>IF(J49="","",ROUND(J49*玩法行为规划!I49,2))</f>
        <v/>
      </c>
      <c r="AN49" s="2">
        <f>IF(K49="","",ROUND(K49*玩法行为规划!J49,2))</f>
        <v>10</v>
      </c>
      <c r="AO49" s="2">
        <f>IF(L49="","",ROUND(L49*玩法行为规划!K49,2))</f>
        <v>3.33</v>
      </c>
      <c r="AP49" s="2">
        <f>IF(M49="","",ROUND(M49*玩法行为规划!L49,2))</f>
        <v>0</v>
      </c>
      <c r="AQ49" s="2">
        <f>IF(N49="","",ROUND(N49*玩法行为规划!M49,2))</f>
        <v>12</v>
      </c>
      <c r="AR49" s="2">
        <f>IF(O49="","",ROUND(O49*玩法行为规划!N49,2))</f>
        <v>12.5</v>
      </c>
      <c r="AS49" s="2">
        <f>IF(P49="","",ROUND(P49*玩法行为规划!O49,2))</f>
        <v>0.83</v>
      </c>
      <c r="AT49" s="2">
        <f>IF(Q49="","",ROUND(Q49*玩法行为规划!P49,2))</f>
        <v>52</v>
      </c>
      <c r="AU49" s="2">
        <f>IF(R49="","",ROUND(R49*玩法行为规划!Q49,2))</f>
        <v>6</v>
      </c>
      <c r="AV49" s="2">
        <f>IF(S49="","",ROUND(S49*玩法行为规划!R49,2))</f>
        <v>6.67</v>
      </c>
      <c r="AW49" s="2">
        <f>IF(T49="","",ROUND(T49*玩法行为规划!S49,2))</f>
        <v>7.5</v>
      </c>
      <c r="AX49" s="2">
        <f>IF(U49="","",ROUND(U49*玩法行为规划!T49,2))</f>
        <v>0</v>
      </c>
      <c r="AY49" s="2">
        <f>IF(V49="","",ROUND(V49*玩法行为规划!U49,2))</f>
        <v>6.67</v>
      </c>
      <c r="AZ49" s="2">
        <f>IF(W49="","",ROUND(W49*玩法行为规划!V49,2))</f>
        <v>2.5</v>
      </c>
      <c r="BA49" s="2">
        <f>IF(X49="","",ROUND(X49*玩法行为规划!W49,2))</f>
        <v>5</v>
      </c>
      <c r="BB49" s="2">
        <f>IF(Y49="","",ROUND(Y49*玩法行为规划!X49,2))</f>
        <v>6.25</v>
      </c>
      <c r="BC49" s="2">
        <f>IF(Z49="","",ROUND(Z49*玩法行为规划!Y49,2))</f>
        <v>8.75</v>
      </c>
      <c r="BD49" s="2">
        <f>IF(AA49="","",ROUND(AA49*玩法行为规划!Z49,2))</f>
        <v>2.5</v>
      </c>
      <c r="BE49" s="2" t="str">
        <f>IF(AB49="","",ROUND(AB49*玩法行为规划!AA49,2))</f>
        <v/>
      </c>
      <c r="BF49" s="2" t="str">
        <f>IF(AC49="","",ROUND(AC49*玩法行为规划!AB49,2))</f>
        <v/>
      </c>
      <c r="BG49" s="2" t="str">
        <f>IF(AD49="","",ROUND(AD49*玩法行为规划!AC49,2))</f>
        <v/>
      </c>
      <c r="BH49" s="3" t="str">
        <f>IF(AE49="","",ROUND(AE49*玩法行为规划!AD49,2))</f>
        <v/>
      </c>
      <c r="BI49" s="7">
        <f t="shared" si="6"/>
        <v>183.26999999999998</v>
      </c>
      <c r="BJ49" s="7">
        <f t="shared" si="7"/>
        <v>3445475.9999999995</v>
      </c>
      <c r="BK49" s="10">
        <f t="shared" si="3"/>
        <v>267000</v>
      </c>
      <c r="BL49" s="21" t="str">
        <f t="shared" si="9"/>
        <v/>
      </c>
      <c r="BM49" s="7">
        <f t="shared" si="8"/>
        <v>0.21166118355860319</v>
      </c>
      <c r="BN49" s="69">
        <f>INT(BJ49*升级节奏!G49+BK49)</f>
        <v>1261450</v>
      </c>
      <c r="BO49" s="7">
        <f t="shared" si="4"/>
        <v>209</v>
      </c>
      <c r="BP49" s="7"/>
    </row>
    <row r="50" spans="1:68">
      <c r="A50" s="29">
        <v>48</v>
      </c>
      <c r="B50" s="84">
        <f>升级节奏!C50</f>
        <v>19200</v>
      </c>
      <c r="C50" s="53">
        <f>IF(VLOOKUP(C$2,行为概览!$D$3:$J$33,7,0)="","",VLOOKUP(C$2,行为概览!$D$3:$J$33,7,0))</f>
        <v>50</v>
      </c>
      <c r="D50" s="53">
        <f>IF(VLOOKUP(D$2,行为概览!$D$3:$J$33,7,0)="","",VLOOKUP(D$2,行为概览!$D$3:$J$33,7,0))</f>
        <v>3.3</v>
      </c>
      <c r="E50" s="53">
        <f>IF(VLOOKUP(E$2,行为概览!$D$3:$J$33,7,0)="","",VLOOKUP(E$2,行为概览!$D$3:$J$33,7,0))</f>
        <v>30</v>
      </c>
      <c r="F50" s="53">
        <f>IF(VLOOKUP(F$2,行为概览!$D$3:$J$33,7,0)="","",VLOOKUP(F$2,行为概览!$D$3:$J$33,7,0))</f>
        <v>15</v>
      </c>
      <c r="G50" s="53" t="str">
        <f>IF(VLOOKUP(G$2,行为概览!$D$3:$J$33,7,0)="","",VLOOKUP(G$2,行为概览!$D$3:$J$33,7,0))</f>
        <v/>
      </c>
      <c r="H50" s="53" t="str">
        <f>IF(VLOOKUP(H$2,行为概览!$D$3:$J$33,7,0)="","",VLOOKUP(H$2,行为概览!$D$3:$J$33,7,0))</f>
        <v/>
      </c>
      <c r="I50" s="53" t="str">
        <f>IF(VLOOKUP(I$2,行为概览!$D$3:$J$33,7,0)="","",VLOOKUP(I$2,行为概览!$D$3:$J$33,7,0))</f>
        <v/>
      </c>
      <c r="J50" s="53" t="str">
        <f>IF(VLOOKUP(J$2,行为概览!$D$3:$J$33,7,0)="","",VLOOKUP(J$2,行为概览!$D$3:$J$33,7,0))</f>
        <v/>
      </c>
      <c r="K50" s="53">
        <f>IF(VLOOKUP(K$2,行为概览!$D$3:$J$33,7,0)="","",VLOOKUP(K$2,行为概览!$D$3:$J$33,7,0))</f>
        <v>20</v>
      </c>
      <c r="L50" s="53">
        <f>IF(VLOOKUP(L$2,行为概览!$D$3:$J$33,7,0)="","",VLOOKUP(L$2,行为概览!$D$3:$J$33,7,0))</f>
        <v>20</v>
      </c>
      <c r="M50" s="53">
        <f>IF(VLOOKUP(M$2,行为概览!$D$3:$J$33,7,0)="","",VLOOKUP(M$2,行为概览!$D$3:$J$33,7,0))</f>
        <v>40</v>
      </c>
      <c r="N50" s="53">
        <f>IF(VLOOKUP(N$2,行为概览!$D$3:$J$33,7,0)="","",VLOOKUP(N$2,行为概览!$D$3:$J$33,7,0))</f>
        <v>1</v>
      </c>
      <c r="O50" s="53">
        <f>IF(VLOOKUP(O$2,行为概览!$D$3:$J$33,7,0)="","",VLOOKUP(O$2,行为概览!$D$3:$J$33,7,0))</f>
        <v>150</v>
      </c>
      <c r="P50" s="53">
        <f>IF(VLOOKUP(P$2,行为概览!$D$3:$J$33,7,0)="","",VLOOKUP(P$2,行为概览!$D$3:$J$33,7,0))</f>
        <v>10</v>
      </c>
      <c r="Q50" s="53">
        <f>IF(VLOOKUP(Q$2,行为概览!$D$3:$J$33,7,0)="","",VLOOKUP(Q$2,行为概览!$D$3:$J$33,7,0))</f>
        <v>20</v>
      </c>
      <c r="R50" s="53">
        <f>IF(VLOOKUP(R$2,行为概览!$D$3:$J$33,7,0)="","",VLOOKUP(R$2,行为概览!$D$3:$J$33,7,0))</f>
        <v>6</v>
      </c>
      <c r="S50" s="53">
        <f>IF(VLOOKUP(S$2,行为概览!$D$3:$J$33,7,0)="","",VLOOKUP(S$2,行为概览!$D$3:$J$33,7,0))</f>
        <v>20</v>
      </c>
      <c r="T50" s="53">
        <f>IF(VLOOKUP(T$2,行为概览!$D$3:$J$33,7,0)="","",VLOOKUP(T$2,行为概览!$D$3:$J$33,7,0))</f>
        <v>15</v>
      </c>
      <c r="U50" s="53">
        <f>IF(VLOOKUP(U$2,行为概览!$D$3:$J$33,7,0)="","",VLOOKUP(U$2,行为概览!$D$3:$J$33,7,0))</f>
        <v>15</v>
      </c>
      <c r="V50" s="53">
        <f>IF(VLOOKUP(V$2,行为概览!$D$3:$J$33,7,0)="","",VLOOKUP(V$2,行为概览!$D$3:$J$33,7,0))</f>
        <v>40</v>
      </c>
      <c r="W50" s="53">
        <f>IF(VLOOKUP(W$2,行为概览!$D$3:$J$33,7,0)="","",VLOOKUP(W$2,行为概览!$D$3:$J$33,7,0))</f>
        <v>15</v>
      </c>
      <c r="X50" s="53">
        <f>IF(VLOOKUP(X$2,行为概览!$D$3:$J$33,7,0)="","",VLOOKUP(X$2,行为概览!$D$3:$J$33,7,0))</f>
        <v>30</v>
      </c>
      <c r="Y50" s="53">
        <f>IF(VLOOKUP(Y$2,行为概览!$D$3:$J$33,7,0)="","",VLOOKUP(Y$2,行为概览!$D$3:$J$33,7,0))</f>
        <v>25</v>
      </c>
      <c r="Z50" s="53">
        <f>IF(VLOOKUP(Z$2,行为概览!$D$3:$J$33,7,0)="","",VLOOKUP(Z$2,行为概览!$D$3:$J$33,7,0))</f>
        <v>15</v>
      </c>
      <c r="AA50" s="53">
        <f>IF(VLOOKUP(AA$2,行为概览!$D$3:$J$33,7,0)="","",VLOOKUP(AA$2,行为概览!$D$3:$J$33,7,0))</f>
        <v>15</v>
      </c>
      <c r="AB50" s="53" t="str">
        <f>IF(VLOOKUP(AB$2,行为概览!$D$3:$J$33,7,0)="","",VLOOKUP(AB$2,行为概览!$D$3:$J$33,7,0))</f>
        <v/>
      </c>
      <c r="AC50" s="53" t="str">
        <f>IF(VLOOKUP(AC$2,行为概览!$D$3:$J$33,7,0)="","",VLOOKUP(AC$2,行为概览!$D$3:$J$33,7,0))</f>
        <v/>
      </c>
      <c r="AD50" s="53" t="str">
        <f>IF(VLOOKUP(AD$2,行为概览!$D$3:$J$33,7,0)="","",VLOOKUP(AD$2,行为概览!$D$3:$J$33,7,0))</f>
        <v/>
      </c>
      <c r="AE50" s="68" t="str">
        <f>IF(VLOOKUP(AE$2,行为概览!$D$3:$J$33,7,0)="","",VLOOKUP(AE$2,行为概览!$D$3:$J$33,7,0))</f>
        <v/>
      </c>
      <c r="AF50" s="1">
        <f>IF(C50="","",ROUND(C50*玩法行为规划!B50,2))</f>
        <v>16.670000000000002</v>
      </c>
      <c r="AG50" s="2">
        <f>IF(D50="","",ROUND(D50*玩法行为规划!C50,2))</f>
        <v>6.6</v>
      </c>
      <c r="AH50" s="2">
        <f>IF(E50="","",ROUND(E50*玩法行为规划!D50,2))</f>
        <v>2.5</v>
      </c>
      <c r="AI50" s="2">
        <f>IF(F50="","",ROUND(F50*玩法行为规划!E50,2))</f>
        <v>15</v>
      </c>
      <c r="AJ50" s="2" t="str">
        <f>IF(G50="","",ROUND(G50*玩法行为规划!F50,2))</f>
        <v/>
      </c>
      <c r="AK50" s="2" t="str">
        <f>IF(H50="","",ROUND(H50*玩法行为规划!G50,2))</f>
        <v/>
      </c>
      <c r="AL50" s="2" t="str">
        <f>IF(I50="","",ROUND(I50*玩法行为规划!H50,2))</f>
        <v/>
      </c>
      <c r="AM50" s="2" t="str">
        <f>IF(J50="","",ROUND(J50*玩法行为规划!I50,2))</f>
        <v/>
      </c>
      <c r="AN50" s="2">
        <f>IF(K50="","",ROUND(K50*玩法行为规划!J50,2))</f>
        <v>10</v>
      </c>
      <c r="AO50" s="2">
        <f>IF(L50="","",ROUND(L50*玩法行为规划!K50,2))</f>
        <v>3.33</v>
      </c>
      <c r="AP50" s="2">
        <f>IF(M50="","",ROUND(M50*玩法行为规划!L50,2))</f>
        <v>0</v>
      </c>
      <c r="AQ50" s="2">
        <f>IF(N50="","",ROUND(N50*玩法行为规划!M50,2))</f>
        <v>12</v>
      </c>
      <c r="AR50" s="2">
        <f>IF(O50="","",ROUND(O50*玩法行为规划!N50,2))</f>
        <v>12.5</v>
      </c>
      <c r="AS50" s="2">
        <f>IF(P50="","",ROUND(P50*玩法行为规划!O50,2))</f>
        <v>0.83</v>
      </c>
      <c r="AT50" s="2">
        <f>IF(Q50="","",ROUND(Q50*玩法行为规划!P50,2))</f>
        <v>52</v>
      </c>
      <c r="AU50" s="2">
        <f>IF(R50="","",ROUND(R50*玩法行为规划!Q50,2))</f>
        <v>6</v>
      </c>
      <c r="AV50" s="2">
        <f>IF(S50="","",ROUND(S50*玩法行为规划!R50,2))</f>
        <v>6.67</v>
      </c>
      <c r="AW50" s="2">
        <f>IF(T50="","",ROUND(T50*玩法行为规划!S50,2))</f>
        <v>7.5</v>
      </c>
      <c r="AX50" s="2">
        <f>IF(U50="","",ROUND(U50*玩法行为规划!T50,2))</f>
        <v>0</v>
      </c>
      <c r="AY50" s="2">
        <f>IF(V50="","",ROUND(V50*玩法行为规划!U50,2))</f>
        <v>6.67</v>
      </c>
      <c r="AZ50" s="2">
        <f>IF(W50="","",ROUND(W50*玩法行为规划!V50,2))</f>
        <v>2.5</v>
      </c>
      <c r="BA50" s="2">
        <f>IF(X50="","",ROUND(X50*玩法行为规划!W50,2))</f>
        <v>5</v>
      </c>
      <c r="BB50" s="2">
        <f>IF(Y50="","",ROUND(Y50*玩法行为规划!X50,2))</f>
        <v>6.25</v>
      </c>
      <c r="BC50" s="2">
        <f>IF(Z50="","",ROUND(Z50*玩法行为规划!Y50,2))</f>
        <v>8.75</v>
      </c>
      <c r="BD50" s="2">
        <f>IF(AA50="","",ROUND(AA50*玩法行为规划!Z50,2))</f>
        <v>2.5</v>
      </c>
      <c r="BE50" s="2" t="str">
        <f>IF(AB50="","",ROUND(AB50*玩法行为规划!AA50,2))</f>
        <v/>
      </c>
      <c r="BF50" s="2" t="str">
        <f>IF(AC50="","",ROUND(AC50*玩法行为规划!AB50,2))</f>
        <v/>
      </c>
      <c r="BG50" s="2" t="str">
        <f>IF(AD50="","",ROUND(AD50*玩法行为规划!AC50,2))</f>
        <v/>
      </c>
      <c r="BH50" s="3" t="str">
        <f>IF(AE50="","",ROUND(AE50*玩法行为规划!AD50,2))</f>
        <v/>
      </c>
      <c r="BI50" s="7">
        <f t="shared" si="6"/>
        <v>183.26999999999998</v>
      </c>
      <c r="BJ50" s="7">
        <f t="shared" si="7"/>
        <v>3518783.9999999995</v>
      </c>
      <c r="BK50" s="10">
        <f t="shared" si="3"/>
        <v>284200</v>
      </c>
      <c r="BL50" s="21" t="str">
        <f t="shared" si="9"/>
        <v/>
      </c>
      <c r="BM50" s="7">
        <f t="shared" si="8"/>
        <v>0.21183756039457541</v>
      </c>
      <c r="BN50" s="69">
        <f>INT(BJ50*升级节奏!G50+BK50)</f>
        <v>1341594</v>
      </c>
      <c r="BO50" s="7">
        <f t="shared" si="4"/>
        <v>213</v>
      </c>
      <c r="BP50" s="7"/>
    </row>
    <row r="51" spans="1:68">
      <c r="A51" s="29">
        <v>49</v>
      </c>
      <c r="B51" s="84">
        <f>升级节奏!C51</f>
        <v>19600</v>
      </c>
      <c r="C51" s="53">
        <f>IF(VLOOKUP(C$2,行为概览!$D$3:$J$33,7,0)="","",VLOOKUP(C$2,行为概览!$D$3:$J$33,7,0))</f>
        <v>50</v>
      </c>
      <c r="D51" s="53">
        <f>IF(VLOOKUP(D$2,行为概览!$D$3:$J$33,7,0)="","",VLOOKUP(D$2,行为概览!$D$3:$J$33,7,0))</f>
        <v>3.3</v>
      </c>
      <c r="E51" s="53">
        <f>IF(VLOOKUP(E$2,行为概览!$D$3:$J$33,7,0)="","",VLOOKUP(E$2,行为概览!$D$3:$J$33,7,0))</f>
        <v>30</v>
      </c>
      <c r="F51" s="53">
        <f>IF(VLOOKUP(F$2,行为概览!$D$3:$J$33,7,0)="","",VLOOKUP(F$2,行为概览!$D$3:$J$33,7,0))</f>
        <v>15</v>
      </c>
      <c r="G51" s="53" t="str">
        <f>IF(VLOOKUP(G$2,行为概览!$D$3:$J$33,7,0)="","",VLOOKUP(G$2,行为概览!$D$3:$J$33,7,0))</f>
        <v/>
      </c>
      <c r="H51" s="53" t="str">
        <f>IF(VLOOKUP(H$2,行为概览!$D$3:$J$33,7,0)="","",VLOOKUP(H$2,行为概览!$D$3:$J$33,7,0))</f>
        <v/>
      </c>
      <c r="I51" s="53" t="str">
        <f>IF(VLOOKUP(I$2,行为概览!$D$3:$J$33,7,0)="","",VLOOKUP(I$2,行为概览!$D$3:$J$33,7,0))</f>
        <v/>
      </c>
      <c r="J51" s="53" t="str">
        <f>IF(VLOOKUP(J$2,行为概览!$D$3:$J$33,7,0)="","",VLOOKUP(J$2,行为概览!$D$3:$J$33,7,0))</f>
        <v/>
      </c>
      <c r="K51" s="53">
        <f>IF(VLOOKUP(K$2,行为概览!$D$3:$J$33,7,0)="","",VLOOKUP(K$2,行为概览!$D$3:$J$33,7,0))</f>
        <v>20</v>
      </c>
      <c r="L51" s="53">
        <f>IF(VLOOKUP(L$2,行为概览!$D$3:$J$33,7,0)="","",VLOOKUP(L$2,行为概览!$D$3:$J$33,7,0))</f>
        <v>20</v>
      </c>
      <c r="M51" s="53">
        <f>IF(VLOOKUP(M$2,行为概览!$D$3:$J$33,7,0)="","",VLOOKUP(M$2,行为概览!$D$3:$J$33,7,0))</f>
        <v>40</v>
      </c>
      <c r="N51" s="53">
        <f>IF(VLOOKUP(N$2,行为概览!$D$3:$J$33,7,0)="","",VLOOKUP(N$2,行为概览!$D$3:$J$33,7,0))</f>
        <v>1</v>
      </c>
      <c r="O51" s="53">
        <f>IF(VLOOKUP(O$2,行为概览!$D$3:$J$33,7,0)="","",VLOOKUP(O$2,行为概览!$D$3:$J$33,7,0))</f>
        <v>150</v>
      </c>
      <c r="P51" s="53">
        <f>IF(VLOOKUP(P$2,行为概览!$D$3:$J$33,7,0)="","",VLOOKUP(P$2,行为概览!$D$3:$J$33,7,0))</f>
        <v>10</v>
      </c>
      <c r="Q51" s="53">
        <f>IF(VLOOKUP(Q$2,行为概览!$D$3:$J$33,7,0)="","",VLOOKUP(Q$2,行为概览!$D$3:$J$33,7,0))</f>
        <v>20</v>
      </c>
      <c r="R51" s="53">
        <f>IF(VLOOKUP(R$2,行为概览!$D$3:$J$33,7,0)="","",VLOOKUP(R$2,行为概览!$D$3:$J$33,7,0))</f>
        <v>6</v>
      </c>
      <c r="S51" s="53">
        <f>IF(VLOOKUP(S$2,行为概览!$D$3:$J$33,7,0)="","",VLOOKUP(S$2,行为概览!$D$3:$J$33,7,0))</f>
        <v>20</v>
      </c>
      <c r="T51" s="53">
        <f>IF(VLOOKUP(T$2,行为概览!$D$3:$J$33,7,0)="","",VLOOKUP(T$2,行为概览!$D$3:$J$33,7,0))</f>
        <v>15</v>
      </c>
      <c r="U51" s="53">
        <f>IF(VLOOKUP(U$2,行为概览!$D$3:$J$33,7,0)="","",VLOOKUP(U$2,行为概览!$D$3:$J$33,7,0))</f>
        <v>15</v>
      </c>
      <c r="V51" s="53">
        <f>IF(VLOOKUP(V$2,行为概览!$D$3:$J$33,7,0)="","",VLOOKUP(V$2,行为概览!$D$3:$J$33,7,0))</f>
        <v>40</v>
      </c>
      <c r="W51" s="53">
        <f>IF(VLOOKUP(W$2,行为概览!$D$3:$J$33,7,0)="","",VLOOKUP(W$2,行为概览!$D$3:$J$33,7,0))</f>
        <v>15</v>
      </c>
      <c r="X51" s="53">
        <f>IF(VLOOKUP(X$2,行为概览!$D$3:$J$33,7,0)="","",VLOOKUP(X$2,行为概览!$D$3:$J$33,7,0))</f>
        <v>30</v>
      </c>
      <c r="Y51" s="53">
        <f>IF(VLOOKUP(Y$2,行为概览!$D$3:$J$33,7,0)="","",VLOOKUP(Y$2,行为概览!$D$3:$J$33,7,0))</f>
        <v>25</v>
      </c>
      <c r="Z51" s="53">
        <f>IF(VLOOKUP(Z$2,行为概览!$D$3:$J$33,7,0)="","",VLOOKUP(Z$2,行为概览!$D$3:$J$33,7,0))</f>
        <v>15</v>
      </c>
      <c r="AA51" s="53">
        <f>IF(VLOOKUP(AA$2,行为概览!$D$3:$J$33,7,0)="","",VLOOKUP(AA$2,行为概览!$D$3:$J$33,7,0))</f>
        <v>15</v>
      </c>
      <c r="AB51" s="53" t="str">
        <f>IF(VLOOKUP(AB$2,行为概览!$D$3:$J$33,7,0)="","",VLOOKUP(AB$2,行为概览!$D$3:$J$33,7,0))</f>
        <v/>
      </c>
      <c r="AC51" s="53" t="str">
        <f>IF(VLOOKUP(AC$2,行为概览!$D$3:$J$33,7,0)="","",VLOOKUP(AC$2,行为概览!$D$3:$J$33,7,0))</f>
        <v/>
      </c>
      <c r="AD51" s="53" t="str">
        <f>IF(VLOOKUP(AD$2,行为概览!$D$3:$J$33,7,0)="","",VLOOKUP(AD$2,行为概览!$D$3:$J$33,7,0))</f>
        <v/>
      </c>
      <c r="AE51" s="68" t="str">
        <f>IF(VLOOKUP(AE$2,行为概览!$D$3:$J$33,7,0)="","",VLOOKUP(AE$2,行为概览!$D$3:$J$33,7,0))</f>
        <v/>
      </c>
      <c r="AF51" s="1">
        <f>IF(C51="","",ROUND(C51*玩法行为规划!B51,2))</f>
        <v>16.670000000000002</v>
      </c>
      <c r="AG51" s="2">
        <f>IF(D51="","",ROUND(D51*玩法行为规划!C51,2))</f>
        <v>6.6</v>
      </c>
      <c r="AH51" s="2">
        <f>IF(E51="","",ROUND(E51*玩法行为规划!D51,2))</f>
        <v>2.5</v>
      </c>
      <c r="AI51" s="2">
        <f>IF(F51="","",ROUND(F51*玩法行为规划!E51,2))</f>
        <v>15</v>
      </c>
      <c r="AJ51" s="2" t="str">
        <f>IF(G51="","",ROUND(G51*玩法行为规划!F51,2))</f>
        <v/>
      </c>
      <c r="AK51" s="2" t="str">
        <f>IF(H51="","",ROUND(H51*玩法行为规划!G51,2))</f>
        <v/>
      </c>
      <c r="AL51" s="2" t="str">
        <f>IF(I51="","",ROUND(I51*玩法行为规划!H51,2))</f>
        <v/>
      </c>
      <c r="AM51" s="2" t="str">
        <f>IF(J51="","",ROUND(J51*玩法行为规划!I51,2))</f>
        <v/>
      </c>
      <c r="AN51" s="2">
        <f>IF(K51="","",ROUND(K51*玩法行为规划!J51,2))</f>
        <v>10</v>
      </c>
      <c r="AO51" s="2">
        <f>IF(L51="","",ROUND(L51*玩法行为规划!K51,2))</f>
        <v>3.33</v>
      </c>
      <c r="AP51" s="2">
        <f>IF(M51="","",ROUND(M51*玩法行为规划!L51,2))</f>
        <v>0</v>
      </c>
      <c r="AQ51" s="2">
        <f>IF(N51="","",ROUND(N51*玩法行为规划!M51,2))</f>
        <v>12</v>
      </c>
      <c r="AR51" s="2">
        <f>IF(O51="","",ROUND(O51*玩法行为规划!N51,2))</f>
        <v>12.5</v>
      </c>
      <c r="AS51" s="2">
        <f>IF(P51="","",ROUND(P51*玩法行为规划!O51,2))</f>
        <v>0.83</v>
      </c>
      <c r="AT51" s="2">
        <f>IF(Q51="","",ROUND(Q51*玩法行为规划!P51,2))</f>
        <v>52</v>
      </c>
      <c r="AU51" s="2">
        <f>IF(R51="","",ROUND(R51*玩法行为规划!Q51,2))</f>
        <v>6</v>
      </c>
      <c r="AV51" s="2">
        <f>IF(S51="","",ROUND(S51*玩法行为规划!R51,2))</f>
        <v>6.67</v>
      </c>
      <c r="AW51" s="2">
        <f>IF(T51="","",ROUND(T51*玩法行为规划!S51,2))</f>
        <v>7.5</v>
      </c>
      <c r="AX51" s="2">
        <f>IF(U51="","",ROUND(U51*玩法行为规划!T51,2))</f>
        <v>0</v>
      </c>
      <c r="AY51" s="2">
        <f>IF(V51="","",ROUND(V51*玩法行为规划!U51,2))</f>
        <v>6.67</v>
      </c>
      <c r="AZ51" s="2">
        <f>IF(W51="","",ROUND(W51*玩法行为规划!V51,2))</f>
        <v>2.5</v>
      </c>
      <c r="BA51" s="2">
        <f>IF(X51="","",ROUND(X51*玩法行为规划!W51,2))</f>
        <v>5</v>
      </c>
      <c r="BB51" s="2">
        <f>IF(Y51="","",ROUND(Y51*玩法行为规划!X51,2))</f>
        <v>6.25</v>
      </c>
      <c r="BC51" s="2">
        <f>IF(Z51="","",ROUND(Z51*玩法行为规划!Y51,2))</f>
        <v>8.75</v>
      </c>
      <c r="BD51" s="2">
        <f>IF(AA51="","",ROUND(AA51*玩法行为规划!Z51,2))</f>
        <v>2.5</v>
      </c>
      <c r="BE51" s="2" t="str">
        <f>IF(AB51="","",ROUND(AB51*玩法行为规划!AA51,2))</f>
        <v/>
      </c>
      <c r="BF51" s="2" t="str">
        <f>IF(AC51="","",ROUND(AC51*玩法行为规划!AB51,2))</f>
        <v/>
      </c>
      <c r="BG51" s="2" t="str">
        <f>IF(AD51="","",ROUND(AD51*玩法行为规划!AC51,2))</f>
        <v/>
      </c>
      <c r="BH51" s="3" t="str">
        <f>IF(AE51="","",ROUND(AE51*玩法行为规划!AD51,2))</f>
        <v/>
      </c>
      <c r="BI51" s="7">
        <f t="shared" si="6"/>
        <v>183.26999999999998</v>
      </c>
      <c r="BJ51" s="7">
        <f t="shared" si="7"/>
        <v>3592091.9999999995</v>
      </c>
      <c r="BK51" s="10">
        <f t="shared" si="3"/>
        <v>301800</v>
      </c>
      <c r="BL51" s="21" t="str">
        <f t="shared" si="9"/>
        <v/>
      </c>
      <c r="BM51" s="7">
        <f t="shared" si="8"/>
        <v>0.19167892446402304</v>
      </c>
      <c r="BN51" s="69">
        <f>INT(BJ51*升级节奏!G51+BK51)</f>
        <v>1574508</v>
      </c>
      <c r="BO51" s="7">
        <f t="shared" si="4"/>
        <v>218</v>
      </c>
      <c r="BP51" s="7"/>
    </row>
    <row r="52" spans="1:68">
      <c r="A52" s="29">
        <v>50</v>
      </c>
      <c r="B52" s="84">
        <f>升级节奏!C52</f>
        <v>20000</v>
      </c>
      <c r="C52" s="53">
        <f>IF(VLOOKUP(C$2,行为概览!$D$3:$J$33,7,0)="","",VLOOKUP(C$2,行为概览!$D$3:$J$33,7,0))</f>
        <v>50</v>
      </c>
      <c r="D52" s="53">
        <f>IF(VLOOKUP(D$2,行为概览!$D$3:$J$33,7,0)="","",VLOOKUP(D$2,行为概览!$D$3:$J$33,7,0))</f>
        <v>3.3</v>
      </c>
      <c r="E52" s="53">
        <f>IF(VLOOKUP(E$2,行为概览!$D$3:$J$33,7,0)="","",VLOOKUP(E$2,行为概览!$D$3:$J$33,7,0))</f>
        <v>30</v>
      </c>
      <c r="F52" s="53">
        <f>IF(VLOOKUP(F$2,行为概览!$D$3:$J$33,7,0)="","",VLOOKUP(F$2,行为概览!$D$3:$J$33,7,0))</f>
        <v>15</v>
      </c>
      <c r="G52" s="53" t="str">
        <f>IF(VLOOKUP(G$2,行为概览!$D$3:$J$33,7,0)="","",VLOOKUP(G$2,行为概览!$D$3:$J$33,7,0))</f>
        <v/>
      </c>
      <c r="H52" s="53" t="str">
        <f>IF(VLOOKUP(H$2,行为概览!$D$3:$J$33,7,0)="","",VLOOKUP(H$2,行为概览!$D$3:$J$33,7,0))</f>
        <v/>
      </c>
      <c r="I52" s="53" t="str">
        <f>IF(VLOOKUP(I$2,行为概览!$D$3:$J$33,7,0)="","",VLOOKUP(I$2,行为概览!$D$3:$J$33,7,0))</f>
        <v/>
      </c>
      <c r="J52" s="53" t="str">
        <f>IF(VLOOKUP(J$2,行为概览!$D$3:$J$33,7,0)="","",VLOOKUP(J$2,行为概览!$D$3:$J$33,7,0))</f>
        <v/>
      </c>
      <c r="K52" s="53">
        <f>IF(VLOOKUP(K$2,行为概览!$D$3:$J$33,7,0)="","",VLOOKUP(K$2,行为概览!$D$3:$J$33,7,0))</f>
        <v>20</v>
      </c>
      <c r="L52" s="53">
        <f>IF(VLOOKUP(L$2,行为概览!$D$3:$J$33,7,0)="","",VLOOKUP(L$2,行为概览!$D$3:$J$33,7,0))</f>
        <v>20</v>
      </c>
      <c r="M52" s="53">
        <f>IF(VLOOKUP(M$2,行为概览!$D$3:$J$33,7,0)="","",VLOOKUP(M$2,行为概览!$D$3:$J$33,7,0))</f>
        <v>40</v>
      </c>
      <c r="N52" s="53">
        <f>IF(VLOOKUP(N$2,行为概览!$D$3:$J$33,7,0)="","",VLOOKUP(N$2,行为概览!$D$3:$J$33,7,0))</f>
        <v>1</v>
      </c>
      <c r="O52" s="53">
        <f>IF(VLOOKUP(O$2,行为概览!$D$3:$J$33,7,0)="","",VLOOKUP(O$2,行为概览!$D$3:$J$33,7,0))</f>
        <v>150</v>
      </c>
      <c r="P52" s="53">
        <f>IF(VLOOKUP(P$2,行为概览!$D$3:$J$33,7,0)="","",VLOOKUP(P$2,行为概览!$D$3:$J$33,7,0))</f>
        <v>10</v>
      </c>
      <c r="Q52" s="53">
        <f>IF(VLOOKUP(Q$2,行为概览!$D$3:$J$33,7,0)="","",VLOOKUP(Q$2,行为概览!$D$3:$J$33,7,0))</f>
        <v>20</v>
      </c>
      <c r="R52" s="53">
        <f>IF(VLOOKUP(R$2,行为概览!$D$3:$J$33,7,0)="","",VLOOKUP(R$2,行为概览!$D$3:$J$33,7,0))</f>
        <v>6</v>
      </c>
      <c r="S52" s="53">
        <f>IF(VLOOKUP(S$2,行为概览!$D$3:$J$33,7,0)="","",VLOOKUP(S$2,行为概览!$D$3:$J$33,7,0))</f>
        <v>20</v>
      </c>
      <c r="T52" s="53">
        <f>IF(VLOOKUP(T$2,行为概览!$D$3:$J$33,7,0)="","",VLOOKUP(T$2,行为概览!$D$3:$J$33,7,0))</f>
        <v>15</v>
      </c>
      <c r="U52" s="53">
        <f>IF(VLOOKUP(U$2,行为概览!$D$3:$J$33,7,0)="","",VLOOKUP(U$2,行为概览!$D$3:$J$33,7,0))</f>
        <v>15</v>
      </c>
      <c r="V52" s="53">
        <f>IF(VLOOKUP(V$2,行为概览!$D$3:$J$33,7,0)="","",VLOOKUP(V$2,行为概览!$D$3:$J$33,7,0))</f>
        <v>40</v>
      </c>
      <c r="W52" s="53">
        <f>IF(VLOOKUP(W$2,行为概览!$D$3:$J$33,7,0)="","",VLOOKUP(W$2,行为概览!$D$3:$J$33,7,0))</f>
        <v>15</v>
      </c>
      <c r="X52" s="53">
        <f>IF(VLOOKUP(X$2,行为概览!$D$3:$J$33,7,0)="","",VLOOKUP(X$2,行为概览!$D$3:$J$33,7,0))</f>
        <v>30</v>
      </c>
      <c r="Y52" s="53">
        <f>IF(VLOOKUP(Y$2,行为概览!$D$3:$J$33,7,0)="","",VLOOKUP(Y$2,行为概览!$D$3:$J$33,7,0))</f>
        <v>25</v>
      </c>
      <c r="Z52" s="53">
        <f>IF(VLOOKUP(Z$2,行为概览!$D$3:$J$33,7,0)="","",VLOOKUP(Z$2,行为概览!$D$3:$J$33,7,0))</f>
        <v>15</v>
      </c>
      <c r="AA52" s="53">
        <f>IF(VLOOKUP(AA$2,行为概览!$D$3:$J$33,7,0)="","",VLOOKUP(AA$2,行为概览!$D$3:$J$33,7,0))</f>
        <v>15</v>
      </c>
      <c r="AB52" s="53" t="str">
        <f>IF(VLOOKUP(AB$2,行为概览!$D$3:$J$33,7,0)="","",VLOOKUP(AB$2,行为概览!$D$3:$J$33,7,0))</f>
        <v/>
      </c>
      <c r="AC52" s="53" t="str">
        <f>IF(VLOOKUP(AC$2,行为概览!$D$3:$J$33,7,0)="","",VLOOKUP(AC$2,行为概览!$D$3:$J$33,7,0))</f>
        <v/>
      </c>
      <c r="AD52" s="53" t="str">
        <f>IF(VLOOKUP(AD$2,行为概览!$D$3:$J$33,7,0)="","",VLOOKUP(AD$2,行为概览!$D$3:$J$33,7,0))</f>
        <v/>
      </c>
      <c r="AE52" s="68" t="str">
        <f>IF(VLOOKUP(AE$2,行为概览!$D$3:$J$33,7,0)="","",VLOOKUP(AE$2,行为概览!$D$3:$J$33,7,0))</f>
        <v/>
      </c>
      <c r="AF52" s="1">
        <f>IF(C52="","",ROUND(C52*玩法行为规划!B52,2))</f>
        <v>16.670000000000002</v>
      </c>
      <c r="AG52" s="2">
        <f>IF(D52="","",ROUND(D52*玩法行为规划!C52,2))</f>
        <v>6.6</v>
      </c>
      <c r="AH52" s="2">
        <f>IF(E52="","",ROUND(E52*玩法行为规划!D52,2))</f>
        <v>2.5</v>
      </c>
      <c r="AI52" s="2">
        <f>IF(F52="","",ROUND(F52*玩法行为规划!E52,2))</f>
        <v>15</v>
      </c>
      <c r="AJ52" s="2" t="str">
        <f>IF(G52="","",ROUND(G52*玩法行为规划!F52,2))</f>
        <v/>
      </c>
      <c r="AK52" s="2" t="str">
        <f>IF(H52="","",ROUND(H52*玩法行为规划!G52,2))</f>
        <v/>
      </c>
      <c r="AL52" s="2" t="str">
        <f>IF(I52="","",ROUND(I52*玩法行为规划!H52,2))</f>
        <v/>
      </c>
      <c r="AM52" s="2" t="str">
        <f>IF(J52="","",ROUND(J52*玩法行为规划!I52,2))</f>
        <v/>
      </c>
      <c r="AN52" s="2">
        <f>IF(K52="","",ROUND(K52*玩法行为规划!J52,2))</f>
        <v>10</v>
      </c>
      <c r="AO52" s="2">
        <f>IF(L52="","",ROUND(L52*玩法行为规划!K52,2))</f>
        <v>3.33</v>
      </c>
      <c r="AP52" s="2">
        <f>IF(M52="","",ROUND(M52*玩法行为规划!L52,2))</f>
        <v>20</v>
      </c>
      <c r="AQ52" s="2">
        <f>IF(N52="","",ROUND(N52*玩法行为规划!M52,2))</f>
        <v>12</v>
      </c>
      <c r="AR52" s="2">
        <f>IF(O52="","",ROUND(O52*玩法行为规划!N52,2))</f>
        <v>12.5</v>
      </c>
      <c r="AS52" s="2">
        <f>IF(P52="","",ROUND(P52*玩法行为规划!O52,2))</f>
        <v>0.83</v>
      </c>
      <c r="AT52" s="2">
        <f>IF(Q52="","",ROUND(Q52*玩法行为规划!P52,2))</f>
        <v>52</v>
      </c>
      <c r="AU52" s="2">
        <f>IF(R52="","",ROUND(R52*玩法行为规划!Q52,2))</f>
        <v>6</v>
      </c>
      <c r="AV52" s="2">
        <f>IF(S52="","",ROUND(S52*玩法行为规划!R52,2))</f>
        <v>6.67</v>
      </c>
      <c r="AW52" s="2">
        <f>IF(T52="","",ROUND(T52*玩法行为规划!S52,2))</f>
        <v>0</v>
      </c>
      <c r="AX52" s="2">
        <f>IF(U52="","",ROUND(U52*玩法行为规划!T52,2))</f>
        <v>5</v>
      </c>
      <c r="AY52" s="2">
        <f>IF(V52="","",ROUND(V52*玩法行为规划!U52,2))</f>
        <v>6.67</v>
      </c>
      <c r="AZ52" s="2">
        <f>IF(W52="","",ROUND(W52*玩法行为规划!V52,2))</f>
        <v>2.5</v>
      </c>
      <c r="BA52" s="2">
        <f>IF(X52="","",ROUND(X52*玩法行为规划!W52,2))</f>
        <v>5</v>
      </c>
      <c r="BB52" s="2">
        <f>IF(Y52="","",ROUND(Y52*玩法行为规划!X52,2))</f>
        <v>6.25</v>
      </c>
      <c r="BC52" s="2">
        <f>IF(Z52="","",ROUND(Z52*玩法行为规划!Y52,2))</f>
        <v>8.75</v>
      </c>
      <c r="BD52" s="2">
        <f>IF(AA52="","",ROUND(AA52*玩法行为规划!Z52,2))</f>
        <v>2.5</v>
      </c>
      <c r="BE52" s="2" t="str">
        <f>IF(AB52="","",ROUND(AB52*玩法行为规划!AA52,2))</f>
        <v/>
      </c>
      <c r="BF52" s="2" t="str">
        <f>IF(AC52="","",ROUND(AC52*玩法行为规划!AB52,2))</f>
        <v/>
      </c>
      <c r="BG52" s="2" t="str">
        <f>IF(AD52="","",ROUND(AD52*玩法行为规划!AC52,2))</f>
        <v/>
      </c>
      <c r="BH52" s="3" t="str">
        <f>IF(AE52="","",ROUND(AE52*玩法行为规划!AD52,2))</f>
        <v/>
      </c>
      <c r="BI52" s="7">
        <f t="shared" si="6"/>
        <v>200.76999999999998</v>
      </c>
      <c r="BJ52" s="7">
        <f t="shared" si="7"/>
        <v>4015399.9999999995</v>
      </c>
      <c r="BK52" s="10">
        <f t="shared" si="3"/>
        <v>320000</v>
      </c>
      <c r="BL52" s="21">
        <f t="shared" si="9"/>
        <v>4096400</v>
      </c>
      <c r="BM52" s="7">
        <f t="shared" si="8"/>
        <v>0.17787610373512025</v>
      </c>
      <c r="BN52" s="69">
        <f>INT(BJ52*升级节奏!G52+BK52)</f>
        <v>1799005</v>
      </c>
      <c r="BO52" s="7">
        <f t="shared" si="4"/>
        <v>222</v>
      </c>
      <c r="BP52" s="7"/>
    </row>
    <row r="53" spans="1:68">
      <c r="A53" s="29">
        <v>51</v>
      </c>
      <c r="B53" s="84">
        <f>升级节奏!C53</f>
        <v>20400</v>
      </c>
      <c r="C53" s="53">
        <f>IF(VLOOKUP(C$2,行为概览!$D$3:$J$33,7,0)="","",VLOOKUP(C$2,行为概览!$D$3:$J$33,7,0))</f>
        <v>50</v>
      </c>
      <c r="D53" s="53">
        <f>IF(VLOOKUP(D$2,行为概览!$D$3:$J$33,7,0)="","",VLOOKUP(D$2,行为概览!$D$3:$J$33,7,0))</f>
        <v>3.3</v>
      </c>
      <c r="E53" s="53">
        <f>IF(VLOOKUP(E$2,行为概览!$D$3:$J$33,7,0)="","",VLOOKUP(E$2,行为概览!$D$3:$J$33,7,0))</f>
        <v>30</v>
      </c>
      <c r="F53" s="53">
        <f>IF(VLOOKUP(F$2,行为概览!$D$3:$J$33,7,0)="","",VLOOKUP(F$2,行为概览!$D$3:$J$33,7,0))</f>
        <v>15</v>
      </c>
      <c r="G53" s="53" t="str">
        <f>IF(VLOOKUP(G$2,行为概览!$D$3:$J$33,7,0)="","",VLOOKUP(G$2,行为概览!$D$3:$J$33,7,0))</f>
        <v/>
      </c>
      <c r="H53" s="53" t="str">
        <f>IF(VLOOKUP(H$2,行为概览!$D$3:$J$33,7,0)="","",VLOOKUP(H$2,行为概览!$D$3:$J$33,7,0))</f>
        <v/>
      </c>
      <c r="I53" s="53" t="str">
        <f>IF(VLOOKUP(I$2,行为概览!$D$3:$J$33,7,0)="","",VLOOKUP(I$2,行为概览!$D$3:$J$33,7,0))</f>
        <v/>
      </c>
      <c r="J53" s="53" t="str">
        <f>IF(VLOOKUP(J$2,行为概览!$D$3:$J$33,7,0)="","",VLOOKUP(J$2,行为概览!$D$3:$J$33,7,0))</f>
        <v/>
      </c>
      <c r="K53" s="53">
        <f>IF(VLOOKUP(K$2,行为概览!$D$3:$J$33,7,0)="","",VLOOKUP(K$2,行为概览!$D$3:$J$33,7,0))</f>
        <v>20</v>
      </c>
      <c r="L53" s="53">
        <f>IF(VLOOKUP(L$2,行为概览!$D$3:$J$33,7,0)="","",VLOOKUP(L$2,行为概览!$D$3:$J$33,7,0))</f>
        <v>20</v>
      </c>
      <c r="M53" s="53">
        <f>IF(VLOOKUP(M$2,行为概览!$D$3:$J$33,7,0)="","",VLOOKUP(M$2,行为概览!$D$3:$J$33,7,0))</f>
        <v>40</v>
      </c>
      <c r="N53" s="53">
        <f>IF(VLOOKUP(N$2,行为概览!$D$3:$J$33,7,0)="","",VLOOKUP(N$2,行为概览!$D$3:$J$33,7,0))</f>
        <v>1</v>
      </c>
      <c r="O53" s="53">
        <f>IF(VLOOKUP(O$2,行为概览!$D$3:$J$33,7,0)="","",VLOOKUP(O$2,行为概览!$D$3:$J$33,7,0))</f>
        <v>150</v>
      </c>
      <c r="P53" s="53">
        <f>IF(VLOOKUP(P$2,行为概览!$D$3:$J$33,7,0)="","",VLOOKUP(P$2,行为概览!$D$3:$J$33,7,0))</f>
        <v>10</v>
      </c>
      <c r="Q53" s="53">
        <f>IF(VLOOKUP(Q$2,行为概览!$D$3:$J$33,7,0)="","",VLOOKUP(Q$2,行为概览!$D$3:$J$33,7,0))</f>
        <v>20</v>
      </c>
      <c r="R53" s="53">
        <f>IF(VLOOKUP(R$2,行为概览!$D$3:$J$33,7,0)="","",VLOOKUP(R$2,行为概览!$D$3:$J$33,7,0))</f>
        <v>6</v>
      </c>
      <c r="S53" s="53">
        <f>IF(VLOOKUP(S$2,行为概览!$D$3:$J$33,7,0)="","",VLOOKUP(S$2,行为概览!$D$3:$J$33,7,0))</f>
        <v>20</v>
      </c>
      <c r="T53" s="53">
        <f>IF(VLOOKUP(T$2,行为概览!$D$3:$J$33,7,0)="","",VLOOKUP(T$2,行为概览!$D$3:$J$33,7,0))</f>
        <v>15</v>
      </c>
      <c r="U53" s="53">
        <f>IF(VLOOKUP(U$2,行为概览!$D$3:$J$33,7,0)="","",VLOOKUP(U$2,行为概览!$D$3:$J$33,7,0))</f>
        <v>15</v>
      </c>
      <c r="V53" s="53">
        <f>IF(VLOOKUP(V$2,行为概览!$D$3:$J$33,7,0)="","",VLOOKUP(V$2,行为概览!$D$3:$J$33,7,0))</f>
        <v>40</v>
      </c>
      <c r="W53" s="53">
        <f>IF(VLOOKUP(W$2,行为概览!$D$3:$J$33,7,0)="","",VLOOKUP(W$2,行为概览!$D$3:$J$33,7,0))</f>
        <v>15</v>
      </c>
      <c r="X53" s="53">
        <f>IF(VLOOKUP(X$2,行为概览!$D$3:$J$33,7,0)="","",VLOOKUP(X$2,行为概览!$D$3:$J$33,7,0))</f>
        <v>30</v>
      </c>
      <c r="Y53" s="53">
        <f>IF(VLOOKUP(Y$2,行为概览!$D$3:$J$33,7,0)="","",VLOOKUP(Y$2,行为概览!$D$3:$J$33,7,0))</f>
        <v>25</v>
      </c>
      <c r="Z53" s="53">
        <f>IF(VLOOKUP(Z$2,行为概览!$D$3:$J$33,7,0)="","",VLOOKUP(Z$2,行为概览!$D$3:$J$33,7,0))</f>
        <v>15</v>
      </c>
      <c r="AA53" s="53">
        <f>IF(VLOOKUP(AA$2,行为概览!$D$3:$J$33,7,0)="","",VLOOKUP(AA$2,行为概览!$D$3:$J$33,7,0))</f>
        <v>15</v>
      </c>
      <c r="AB53" s="53" t="str">
        <f>IF(VLOOKUP(AB$2,行为概览!$D$3:$J$33,7,0)="","",VLOOKUP(AB$2,行为概览!$D$3:$J$33,7,0))</f>
        <v/>
      </c>
      <c r="AC53" s="53" t="str">
        <f>IF(VLOOKUP(AC$2,行为概览!$D$3:$J$33,7,0)="","",VLOOKUP(AC$2,行为概览!$D$3:$J$33,7,0))</f>
        <v/>
      </c>
      <c r="AD53" s="53" t="str">
        <f>IF(VLOOKUP(AD$2,行为概览!$D$3:$J$33,7,0)="","",VLOOKUP(AD$2,行为概览!$D$3:$J$33,7,0))</f>
        <v/>
      </c>
      <c r="AE53" s="68" t="str">
        <f>IF(VLOOKUP(AE$2,行为概览!$D$3:$J$33,7,0)="","",VLOOKUP(AE$2,行为概览!$D$3:$J$33,7,0))</f>
        <v/>
      </c>
      <c r="AF53" s="1">
        <f>IF(C53="","",ROUND(C53*玩法行为规划!B53,2))</f>
        <v>16.670000000000002</v>
      </c>
      <c r="AG53" s="2">
        <f>IF(D53="","",ROUND(D53*玩法行为规划!C53,2))</f>
        <v>6.6</v>
      </c>
      <c r="AH53" s="2">
        <f>IF(E53="","",ROUND(E53*玩法行为规划!D53,2))</f>
        <v>2.5</v>
      </c>
      <c r="AI53" s="2">
        <f>IF(F53="","",ROUND(F53*玩法行为规划!E53,2))</f>
        <v>15</v>
      </c>
      <c r="AJ53" s="2" t="str">
        <f>IF(G53="","",ROUND(G53*玩法行为规划!F53,2))</f>
        <v/>
      </c>
      <c r="AK53" s="2" t="str">
        <f>IF(H53="","",ROUND(H53*玩法行为规划!G53,2))</f>
        <v/>
      </c>
      <c r="AL53" s="2" t="str">
        <f>IF(I53="","",ROUND(I53*玩法行为规划!H53,2))</f>
        <v/>
      </c>
      <c r="AM53" s="2" t="str">
        <f>IF(J53="","",ROUND(J53*玩法行为规划!I53,2))</f>
        <v/>
      </c>
      <c r="AN53" s="2">
        <f>IF(K53="","",ROUND(K53*玩法行为规划!J53,2))</f>
        <v>10</v>
      </c>
      <c r="AO53" s="2">
        <f>IF(L53="","",ROUND(L53*玩法行为规划!K53,2))</f>
        <v>3.33</v>
      </c>
      <c r="AP53" s="2">
        <f>IF(M53="","",ROUND(M53*玩法行为规划!L53,2))</f>
        <v>20</v>
      </c>
      <c r="AQ53" s="2">
        <f>IF(N53="","",ROUND(N53*玩法行为规划!M53,2))</f>
        <v>12</v>
      </c>
      <c r="AR53" s="2">
        <f>IF(O53="","",ROUND(O53*玩法行为规划!N53,2))</f>
        <v>12.5</v>
      </c>
      <c r="AS53" s="2">
        <f>IF(P53="","",ROUND(P53*玩法行为规划!O53,2))</f>
        <v>0.83</v>
      </c>
      <c r="AT53" s="2">
        <f>IF(Q53="","",ROUND(Q53*玩法行为规划!P53,2))</f>
        <v>52</v>
      </c>
      <c r="AU53" s="2">
        <f>IF(R53="","",ROUND(R53*玩法行为规划!Q53,2))</f>
        <v>6</v>
      </c>
      <c r="AV53" s="2">
        <f>IF(S53="","",ROUND(S53*玩法行为规划!R53,2))</f>
        <v>6.67</v>
      </c>
      <c r="AW53" s="2">
        <f>IF(T53="","",ROUND(T53*玩法行为规划!S53,2))</f>
        <v>0</v>
      </c>
      <c r="AX53" s="2">
        <f>IF(U53="","",ROUND(U53*玩法行为规划!T53,2))</f>
        <v>5</v>
      </c>
      <c r="AY53" s="2">
        <f>IF(V53="","",ROUND(V53*玩法行为规划!U53,2))</f>
        <v>6.67</v>
      </c>
      <c r="AZ53" s="2">
        <f>IF(W53="","",ROUND(W53*玩法行为规划!V53,2))</f>
        <v>2.5</v>
      </c>
      <c r="BA53" s="2">
        <f>IF(X53="","",ROUND(X53*玩法行为规划!W53,2))</f>
        <v>5</v>
      </c>
      <c r="BB53" s="2">
        <f>IF(Y53="","",ROUND(Y53*玩法行为规划!X53,2))</f>
        <v>6.25</v>
      </c>
      <c r="BC53" s="2">
        <f>IF(Z53="","",ROUND(Z53*玩法行为规划!Y53,2))</f>
        <v>8.75</v>
      </c>
      <c r="BD53" s="2">
        <f>IF(AA53="","",ROUND(AA53*玩法行为规划!Z53,2))</f>
        <v>2.5</v>
      </c>
      <c r="BE53" s="2" t="str">
        <f>IF(AB53="","",ROUND(AB53*玩法行为规划!AA53,2))</f>
        <v/>
      </c>
      <c r="BF53" s="2" t="str">
        <f>IF(AC53="","",ROUND(AC53*玩法行为规划!AB53,2))</f>
        <v/>
      </c>
      <c r="BG53" s="2" t="str">
        <f>IF(AD53="","",ROUND(AD53*玩法行为规划!AC53,2))</f>
        <v/>
      </c>
      <c r="BH53" s="3" t="str">
        <f>IF(AE53="","",ROUND(AE53*玩法行为规划!AD53,2))</f>
        <v/>
      </c>
      <c r="BI53" s="7">
        <f t="shared" si="6"/>
        <v>200.76999999999998</v>
      </c>
      <c r="BJ53" s="7">
        <f t="shared" si="7"/>
        <v>4095707.9999999995</v>
      </c>
      <c r="BK53" s="10">
        <f t="shared" si="3"/>
        <v>338600</v>
      </c>
      <c r="BL53" s="21" t="str">
        <f t="shared" si="9"/>
        <v/>
      </c>
      <c r="BM53" s="7">
        <f t="shared" si="8"/>
        <v>0.17766928955371741</v>
      </c>
      <c r="BN53" s="69">
        <f>INT(BJ53*升级节奏!G53+BK53)</f>
        <v>1905788</v>
      </c>
      <c r="BO53" s="7">
        <f t="shared" si="4"/>
        <v>227</v>
      </c>
      <c r="BP53" s="7"/>
    </row>
    <row r="54" spans="1:68">
      <c r="A54" s="29">
        <v>52</v>
      </c>
      <c r="B54" s="84">
        <f>升级节奏!C54</f>
        <v>20800</v>
      </c>
      <c r="C54" s="53">
        <f>IF(VLOOKUP(C$2,行为概览!$D$3:$J$33,7,0)="","",VLOOKUP(C$2,行为概览!$D$3:$J$33,7,0))</f>
        <v>50</v>
      </c>
      <c r="D54" s="53">
        <f>IF(VLOOKUP(D$2,行为概览!$D$3:$J$33,7,0)="","",VLOOKUP(D$2,行为概览!$D$3:$J$33,7,0))</f>
        <v>3.3</v>
      </c>
      <c r="E54" s="53">
        <f>IF(VLOOKUP(E$2,行为概览!$D$3:$J$33,7,0)="","",VLOOKUP(E$2,行为概览!$D$3:$J$33,7,0))</f>
        <v>30</v>
      </c>
      <c r="F54" s="53">
        <f>IF(VLOOKUP(F$2,行为概览!$D$3:$J$33,7,0)="","",VLOOKUP(F$2,行为概览!$D$3:$J$33,7,0))</f>
        <v>15</v>
      </c>
      <c r="G54" s="53" t="str">
        <f>IF(VLOOKUP(G$2,行为概览!$D$3:$J$33,7,0)="","",VLOOKUP(G$2,行为概览!$D$3:$J$33,7,0))</f>
        <v/>
      </c>
      <c r="H54" s="53" t="str">
        <f>IF(VLOOKUP(H$2,行为概览!$D$3:$J$33,7,0)="","",VLOOKUP(H$2,行为概览!$D$3:$J$33,7,0))</f>
        <v/>
      </c>
      <c r="I54" s="53" t="str">
        <f>IF(VLOOKUP(I$2,行为概览!$D$3:$J$33,7,0)="","",VLOOKUP(I$2,行为概览!$D$3:$J$33,7,0))</f>
        <v/>
      </c>
      <c r="J54" s="53" t="str">
        <f>IF(VLOOKUP(J$2,行为概览!$D$3:$J$33,7,0)="","",VLOOKUP(J$2,行为概览!$D$3:$J$33,7,0))</f>
        <v/>
      </c>
      <c r="K54" s="53">
        <f>IF(VLOOKUP(K$2,行为概览!$D$3:$J$33,7,0)="","",VLOOKUP(K$2,行为概览!$D$3:$J$33,7,0))</f>
        <v>20</v>
      </c>
      <c r="L54" s="53">
        <f>IF(VLOOKUP(L$2,行为概览!$D$3:$J$33,7,0)="","",VLOOKUP(L$2,行为概览!$D$3:$J$33,7,0))</f>
        <v>20</v>
      </c>
      <c r="M54" s="53">
        <f>IF(VLOOKUP(M$2,行为概览!$D$3:$J$33,7,0)="","",VLOOKUP(M$2,行为概览!$D$3:$J$33,7,0))</f>
        <v>40</v>
      </c>
      <c r="N54" s="53">
        <f>IF(VLOOKUP(N$2,行为概览!$D$3:$J$33,7,0)="","",VLOOKUP(N$2,行为概览!$D$3:$J$33,7,0))</f>
        <v>1</v>
      </c>
      <c r="O54" s="53">
        <f>IF(VLOOKUP(O$2,行为概览!$D$3:$J$33,7,0)="","",VLOOKUP(O$2,行为概览!$D$3:$J$33,7,0))</f>
        <v>150</v>
      </c>
      <c r="P54" s="53">
        <f>IF(VLOOKUP(P$2,行为概览!$D$3:$J$33,7,0)="","",VLOOKUP(P$2,行为概览!$D$3:$J$33,7,0))</f>
        <v>10</v>
      </c>
      <c r="Q54" s="53">
        <f>IF(VLOOKUP(Q$2,行为概览!$D$3:$J$33,7,0)="","",VLOOKUP(Q$2,行为概览!$D$3:$J$33,7,0))</f>
        <v>20</v>
      </c>
      <c r="R54" s="53">
        <f>IF(VLOOKUP(R$2,行为概览!$D$3:$J$33,7,0)="","",VLOOKUP(R$2,行为概览!$D$3:$J$33,7,0))</f>
        <v>6</v>
      </c>
      <c r="S54" s="53">
        <f>IF(VLOOKUP(S$2,行为概览!$D$3:$J$33,7,0)="","",VLOOKUP(S$2,行为概览!$D$3:$J$33,7,0))</f>
        <v>20</v>
      </c>
      <c r="T54" s="53">
        <f>IF(VLOOKUP(T$2,行为概览!$D$3:$J$33,7,0)="","",VLOOKUP(T$2,行为概览!$D$3:$J$33,7,0))</f>
        <v>15</v>
      </c>
      <c r="U54" s="53">
        <f>IF(VLOOKUP(U$2,行为概览!$D$3:$J$33,7,0)="","",VLOOKUP(U$2,行为概览!$D$3:$J$33,7,0))</f>
        <v>15</v>
      </c>
      <c r="V54" s="53">
        <f>IF(VLOOKUP(V$2,行为概览!$D$3:$J$33,7,0)="","",VLOOKUP(V$2,行为概览!$D$3:$J$33,7,0))</f>
        <v>40</v>
      </c>
      <c r="W54" s="53">
        <f>IF(VLOOKUP(W$2,行为概览!$D$3:$J$33,7,0)="","",VLOOKUP(W$2,行为概览!$D$3:$J$33,7,0))</f>
        <v>15</v>
      </c>
      <c r="X54" s="53">
        <f>IF(VLOOKUP(X$2,行为概览!$D$3:$J$33,7,0)="","",VLOOKUP(X$2,行为概览!$D$3:$J$33,7,0))</f>
        <v>30</v>
      </c>
      <c r="Y54" s="53">
        <f>IF(VLOOKUP(Y$2,行为概览!$D$3:$J$33,7,0)="","",VLOOKUP(Y$2,行为概览!$D$3:$J$33,7,0))</f>
        <v>25</v>
      </c>
      <c r="Z54" s="53">
        <f>IF(VLOOKUP(Z$2,行为概览!$D$3:$J$33,7,0)="","",VLOOKUP(Z$2,行为概览!$D$3:$J$33,7,0))</f>
        <v>15</v>
      </c>
      <c r="AA54" s="53">
        <f>IF(VLOOKUP(AA$2,行为概览!$D$3:$J$33,7,0)="","",VLOOKUP(AA$2,行为概览!$D$3:$J$33,7,0))</f>
        <v>15</v>
      </c>
      <c r="AB54" s="53" t="str">
        <f>IF(VLOOKUP(AB$2,行为概览!$D$3:$J$33,7,0)="","",VLOOKUP(AB$2,行为概览!$D$3:$J$33,7,0))</f>
        <v/>
      </c>
      <c r="AC54" s="53" t="str">
        <f>IF(VLOOKUP(AC$2,行为概览!$D$3:$J$33,7,0)="","",VLOOKUP(AC$2,行为概览!$D$3:$J$33,7,0))</f>
        <v/>
      </c>
      <c r="AD54" s="53" t="str">
        <f>IF(VLOOKUP(AD$2,行为概览!$D$3:$J$33,7,0)="","",VLOOKUP(AD$2,行为概览!$D$3:$J$33,7,0))</f>
        <v/>
      </c>
      <c r="AE54" s="68" t="str">
        <f>IF(VLOOKUP(AE$2,行为概览!$D$3:$J$33,7,0)="","",VLOOKUP(AE$2,行为概览!$D$3:$J$33,7,0))</f>
        <v/>
      </c>
      <c r="AF54" s="1">
        <f>IF(C54="","",ROUND(C54*玩法行为规划!B54,2))</f>
        <v>16.670000000000002</v>
      </c>
      <c r="AG54" s="2">
        <f>IF(D54="","",ROUND(D54*玩法行为规划!C54,2))</f>
        <v>6.6</v>
      </c>
      <c r="AH54" s="2">
        <f>IF(E54="","",ROUND(E54*玩法行为规划!D54,2))</f>
        <v>2.5</v>
      </c>
      <c r="AI54" s="2">
        <f>IF(F54="","",ROUND(F54*玩法行为规划!E54,2))</f>
        <v>15</v>
      </c>
      <c r="AJ54" s="2" t="str">
        <f>IF(G54="","",ROUND(G54*玩法行为规划!F54,2))</f>
        <v/>
      </c>
      <c r="AK54" s="2" t="str">
        <f>IF(H54="","",ROUND(H54*玩法行为规划!G54,2))</f>
        <v/>
      </c>
      <c r="AL54" s="2" t="str">
        <f>IF(I54="","",ROUND(I54*玩法行为规划!H54,2))</f>
        <v/>
      </c>
      <c r="AM54" s="2" t="str">
        <f>IF(J54="","",ROUND(J54*玩法行为规划!I54,2))</f>
        <v/>
      </c>
      <c r="AN54" s="2">
        <f>IF(K54="","",ROUND(K54*玩法行为规划!J54,2))</f>
        <v>10</v>
      </c>
      <c r="AO54" s="2">
        <f>IF(L54="","",ROUND(L54*玩法行为规划!K54,2))</f>
        <v>3.33</v>
      </c>
      <c r="AP54" s="2">
        <f>IF(M54="","",ROUND(M54*玩法行为规划!L54,2))</f>
        <v>20</v>
      </c>
      <c r="AQ54" s="2">
        <f>IF(N54="","",ROUND(N54*玩法行为规划!M54,2))</f>
        <v>12</v>
      </c>
      <c r="AR54" s="2">
        <f>IF(O54="","",ROUND(O54*玩法行为规划!N54,2))</f>
        <v>12.5</v>
      </c>
      <c r="AS54" s="2">
        <f>IF(P54="","",ROUND(P54*玩法行为规划!O54,2))</f>
        <v>0.83</v>
      </c>
      <c r="AT54" s="2">
        <f>IF(Q54="","",ROUND(Q54*玩法行为规划!P54,2))</f>
        <v>52</v>
      </c>
      <c r="AU54" s="2">
        <f>IF(R54="","",ROUND(R54*玩法行为规划!Q54,2))</f>
        <v>6</v>
      </c>
      <c r="AV54" s="2">
        <f>IF(S54="","",ROUND(S54*玩法行为规划!R54,2))</f>
        <v>6.67</v>
      </c>
      <c r="AW54" s="2">
        <f>IF(T54="","",ROUND(T54*玩法行为规划!S54,2))</f>
        <v>0</v>
      </c>
      <c r="AX54" s="2">
        <f>IF(U54="","",ROUND(U54*玩法行为规划!T54,2))</f>
        <v>5</v>
      </c>
      <c r="AY54" s="2">
        <f>IF(V54="","",ROUND(V54*玩法行为规划!U54,2))</f>
        <v>6.67</v>
      </c>
      <c r="AZ54" s="2">
        <f>IF(W54="","",ROUND(W54*玩法行为规划!V54,2))</f>
        <v>2.5</v>
      </c>
      <c r="BA54" s="2">
        <f>IF(X54="","",ROUND(X54*玩法行为规划!W54,2))</f>
        <v>5</v>
      </c>
      <c r="BB54" s="2">
        <f>IF(Y54="","",ROUND(Y54*玩法行为规划!X54,2))</f>
        <v>6.25</v>
      </c>
      <c r="BC54" s="2">
        <f>IF(Z54="","",ROUND(Z54*玩法行为规划!Y54,2))</f>
        <v>8.75</v>
      </c>
      <c r="BD54" s="2">
        <f>IF(AA54="","",ROUND(AA54*玩法行为规划!Z54,2))</f>
        <v>2.5</v>
      </c>
      <c r="BE54" s="2" t="str">
        <f>IF(AB54="","",ROUND(AB54*玩法行为规划!AA54,2))</f>
        <v/>
      </c>
      <c r="BF54" s="2" t="str">
        <f>IF(AC54="","",ROUND(AC54*玩法行为规划!AB54,2))</f>
        <v/>
      </c>
      <c r="BG54" s="2" t="str">
        <f>IF(AD54="","",ROUND(AD54*玩法行为规划!AC54,2))</f>
        <v/>
      </c>
      <c r="BH54" s="3" t="str">
        <f>IF(AE54="","",ROUND(AE54*玩法行为规划!AD54,2))</f>
        <v/>
      </c>
      <c r="BI54" s="7">
        <f t="shared" si="6"/>
        <v>200.76999999999998</v>
      </c>
      <c r="BJ54" s="7">
        <f t="shared" si="7"/>
        <v>4176015.9999999995</v>
      </c>
      <c r="BK54" s="10">
        <f t="shared" si="3"/>
        <v>357800</v>
      </c>
      <c r="BL54" s="21" t="str">
        <f t="shared" si="9"/>
        <v/>
      </c>
      <c r="BM54" s="7">
        <f t="shared" si="8"/>
        <v>0.17742277795078179</v>
      </c>
      <c r="BN54" s="69">
        <f>INT(BJ54*升级节奏!G54+BK54)</f>
        <v>2016652</v>
      </c>
      <c r="BO54" s="7">
        <f t="shared" si="4"/>
        <v>231</v>
      </c>
      <c r="BP54" s="7"/>
    </row>
    <row r="55" spans="1:68">
      <c r="A55" s="29">
        <v>53</v>
      </c>
      <c r="B55" s="84">
        <f>升级节奏!C55</f>
        <v>21200</v>
      </c>
      <c r="C55" s="53">
        <f>IF(VLOOKUP(C$2,行为概览!$D$3:$J$33,7,0)="","",VLOOKUP(C$2,行为概览!$D$3:$J$33,7,0))</f>
        <v>50</v>
      </c>
      <c r="D55" s="53">
        <f>IF(VLOOKUP(D$2,行为概览!$D$3:$J$33,7,0)="","",VLOOKUP(D$2,行为概览!$D$3:$J$33,7,0))</f>
        <v>3.3</v>
      </c>
      <c r="E55" s="53">
        <f>IF(VLOOKUP(E$2,行为概览!$D$3:$J$33,7,0)="","",VLOOKUP(E$2,行为概览!$D$3:$J$33,7,0))</f>
        <v>30</v>
      </c>
      <c r="F55" s="53">
        <f>IF(VLOOKUP(F$2,行为概览!$D$3:$J$33,7,0)="","",VLOOKUP(F$2,行为概览!$D$3:$J$33,7,0))</f>
        <v>15</v>
      </c>
      <c r="G55" s="53" t="str">
        <f>IF(VLOOKUP(G$2,行为概览!$D$3:$J$33,7,0)="","",VLOOKUP(G$2,行为概览!$D$3:$J$33,7,0))</f>
        <v/>
      </c>
      <c r="H55" s="53" t="str">
        <f>IF(VLOOKUP(H$2,行为概览!$D$3:$J$33,7,0)="","",VLOOKUP(H$2,行为概览!$D$3:$J$33,7,0))</f>
        <v/>
      </c>
      <c r="I55" s="53" t="str">
        <f>IF(VLOOKUP(I$2,行为概览!$D$3:$J$33,7,0)="","",VLOOKUP(I$2,行为概览!$D$3:$J$33,7,0))</f>
        <v/>
      </c>
      <c r="J55" s="53" t="str">
        <f>IF(VLOOKUP(J$2,行为概览!$D$3:$J$33,7,0)="","",VLOOKUP(J$2,行为概览!$D$3:$J$33,7,0))</f>
        <v/>
      </c>
      <c r="K55" s="53">
        <f>IF(VLOOKUP(K$2,行为概览!$D$3:$J$33,7,0)="","",VLOOKUP(K$2,行为概览!$D$3:$J$33,7,0))</f>
        <v>20</v>
      </c>
      <c r="L55" s="53">
        <f>IF(VLOOKUP(L$2,行为概览!$D$3:$J$33,7,0)="","",VLOOKUP(L$2,行为概览!$D$3:$J$33,7,0))</f>
        <v>20</v>
      </c>
      <c r="M55" s="53">
        <f>IF(VLOOKUP(M$2,行为概览!$D$3:$J$33,7,0)="","",VLOOKUP(M$2,行为概览!$D$3:$J$33,7,0))</f>
        <v>40</v>
      </c>
      <c r="N55" s="53">
        <f>IF(VLOOKUP(N$2,行为概览!$D$3:$J$33,7,0)="","",VLOOKUP(N$2,行为概览!$D$3:$J$33,7,0))</f>
        <v>1</v>
      </c>
      <c r="O55" s="53">
        <f>IF(VLOOKUP(O$2,行为概览!$D$3:$J$33,7,0)="","",VLOOKUP(O$2,行为概览!$D$3:$J$33,7,0))</f>
        <v>150</v>
      </c>
      <c r="P55" s="53">
        <f>IF(VLOOKUP(P$2,行为概览!$D$3:$J$33,7,0)="","",VLOOKUP(P$2,行为概览!$D$3:$J$33,7,0))</f>
        <v>10</v>
      </c>
      <c r="Q55" s="53">
        <f>IF(VLOOKUP(Q$2,行为概览!$D$3:$J$33,7,0)="","",VLOOKUP(Q$2,行为概览!$D$3:$J$33,7,0))</f>
        <v>20</v>
      </c>
      <c r="R55" s="53">
        <f>IF(VLOOKUP(R$2,行为概览!$D$3:$J$33,7,0)="","",VLOOKUP(R$2,行为概览!$D$3:$J$33,7,0))</f>
        <v>6</v>
      </c>
      <c r="S55" s="53">
        <f>IF(VLOOKUP(S$2,行为概览!$D$3:$J$33,7,0)="","",VLOOKUP(S$2,行为概览!$D$3:$J$33,7,0))</f>
        <v>20</v>
      </c>
      <c r="T55" s="53">
        <f>IF(VLOOKUP(T$2,行为概览!$D$3:$J$33,7,0)="","",VLOOKUP(T$2,行为概览!$D$3:$J$33,7,0))</f>
        <v>15</v>
      </c>
      <c r="U55" s="53">
        <f>IF(VLOOKUP(U$2,行为概览!$D$3:$J$33,7,0)="","",VLOOKUP(U$2,行为概览!$D$3:$J$33,7,0))</f>
        <v>15</v>
      </c>
      <c r="V55" s="53">
        <f>IF(VLOOKUP(V$2,行为概览!$D$3:$J$33,7,0)="","",VLOOKUP(V$2,行为概览!$D$3:$J$33,7,0))</f>
        <v>40</v>
      </c>
      <c r="W55" s="53">
        <f>IF(VLOOKUP(W$2,行为概览!$D$3:$J$33,7,0)="","",VLOOKUP(W$2,行为概览!$D$3:$J$33,7,0))</f>
        <v>15</v>
      </c>
      <c r="X55" s="53">
        <f>IF(VLOOKUP(X$2,行为概览!$D$3:$J$33,7,0)="","",VLOOKUP(X$2,行为概览!$D$3:$J$33,7,0))</f>
        <v>30</v>
      </c>
      <c r="Y55" s="53">
        <f>IF(VLOOKUP(Y$2,行为概览!$D$3:$J$33,7,0)="","",VLOOKUP(Y$2,行为概览!$D$3:$J$33,7,0))</f>
        <v>25</v>
      </c>
      <c r="Z55" s="53">
        <f>IF(VLOOKUP(Z$2,行为概览!$D$3:$J$33,7,0)="","",VLOOKUP(Z$2,行为概览!$D$3:$J$33,7,0))</f>
        <v>15</v>
      </c>
      <c r="AA55" s="53">
        <f>IF(VLOOKUP(AA$2,行为概览!$D$3:$J$33,7,0)="","",VLOOKUP(AA$2,行为概览!$D$3:$J$33,7,0))</f>
        <v>15</v>
      </c>
      <c r="AB55" s="53" t="str">
        <f>IF(VLOOKUP(AB$2,行为概览!$D$3:$J$33,7,0)="","",VLOOKUP(AB$2,行为概览!$D$3:$J$33,7,0))</f>
        <v/>
      </c>
      <c r="AC55" s="53" t="str">
        <f>IF(VLOOKUP(AC$2,行为概览!$D$3:$J$33,7,0)="","",VLOOKUP(AC$2,行为概览!$D$3:$J$33,7,0))</f>
        <v/>
      </c>
      <c r="AD55" s="53" t="str">
        <f>IF(VLOOKUP(AD$2,行为概览!$D$3:$J$33,7,0)="","",VLOOKUP(AD$2,行为概览!$D$3:$J$33,7,0))</f>
        <v/>
      </c>
      <c r="AE55" s="68" t="str">
        <f>IF(VLOOKUP(AE$2,行为概览!$D$3:$J$33,7,0)="","",VLOOKUP(AE$2,行为概览!$D$3:$J$33,7,0))</f>
        <v/>
      </c>
      <c r="AF55" s="1">
        <f>IF(C55="","",ROUND(C55*玩法行为规划!B55,2))</f>
        <v>16.670000000000002</v>
      </c>
      <c r="AG55" s="2">
        <f>IF(D55="","",ROUND(D55*玩法行为规划!C55,2))</f>
        <v>6.6</v>
      </c>
      <c r="AH55" s="2">
        <f>IF(E55="","",ROUND(E55*玩法行为规划!D55,2))</f>
        <v>2.5</v>
      </c>
      <c r="AI55" s="2">
        <f>IF(F55="","",ROUND(F55*玩法行为规划!E55,2))</f>
        <v>15</v>
      </c>
      <c r="AJ55" s="2" t="str">
        <f>IF(G55="","",ROUND(G55*玩法行为规划!F55,2))</f>
        <v/>
      </c>
      <c r="AK55" s="2" t="str">
        <f>IF(H55="","",ROUND(H55*玩法行为规划!G55,2))</f>
        <v/>
      </c>
      <c r="AL55" s="2" t="str">
        <f>IF(I55="","",ROUND(I55*玩法行为规划!H55,2))</f>
        <v/>
      </c>
      <c r="AM55" s="2" t="str">
        <f>IF(J55="","",ROUND(J55*玩法行为规划!I55,2))</f>
        <v/>
      </c>
      <c r="AN55" s="2">
        <f>IF(K55="","",ROUND(K55*玩法行为规划!J55,2))</f>
        <v>10</v>
      </c>
      <c r="AO55" s="2">
        <f>IF(L55="","",ROUND(L55*玩法行为规划!K55,2))</f>
        <v>3.33</v>
      </c>
      <c r="AP55" s="2">
        <f>IF(M55="","",ROUND(M55*玩法行为规划!L55,2))</f>
        <v>20</v>
      </c>
      <c r="AQ55" s="2">
        <f>IF(N55="","",ROUND(N55*玩法行为规划!M55,2))</f>
        <v>12</v>
      </c>
      <c r="AR55" s="2">
        <f>IF(O55="","",ROUND(O55*玩法行为规划!N55,2))</f>
        <v>12.5</v>
      </c>
      <c r="AS55" s="2">
        <f>IF(P55="","",ROUND(P55*玩法行为规划!O55,2))</f>
        <v>0.83</v>
      </c>
      <c r="AT55" s="2">
        <f>IF(Q55="","",ROUND(Q55*玩法行为规划!P55,2))</f>
        <v>52</v>
      </c>
      <c r="AU55" s="2">
        <f>IF(R55="","",ROUND(R55*玩法行为规划!Q55,2))</f>
        <v>6</v>
      </c>
      <c r="AV55" s="2">
        <f>IF(S55="","",ROUND(S55*玩法行为规划!R55,2))</f>
        <v>6.67</v>
      </c>
      <c r="AW55" s="2">
        <f>IF(T55="","",ROUND(T55*玩法行为规划!S55,2))</f>
        <v>0</v>
      </c>
      <c r="AX55" s="2">
        <f>IF(U55="","",ROUND(U55*玩法行为规划!T55,2))</f>
        <v>5</v>
      </c>
      <c r="AY55" s="2">
        <f>IF(V55="","",ROUND(V55*玩法行为规划!U55,2))</f>
        <v>6.67</v>
      </c>
      <c r="AZ55" s="2">
        <f>IF(W55="","",ROUND(W55*玩法行为规划!V55,2))</f>
        <v>2.5</v>
      </c>
      <c r="BA55" s="2">
        <f>IF(X55="","",ROUND(X55*玩法行为规划!W55,2))</f>
        <v>5</v>
      </c>
      <c r="BB55" s="2">
        <f>IF(Y55="","",ROUND(Y55*玩法行为规划!X55,2))</f>
        <v>6.25</v>
      </c>
      <c r="BC55" s="2">
        <f>IF(Z55="","",ROUND(Z55*玩法行为规划!Y55,2))</f>
        <v>8.75</v>
      </c>
      <c r="BD55" s="2">
        <f>IF(AA55="","",ROUND(AA55*玩法行为规划!Z55,2))</f>
        <v>2.5</v>
      </c>
      <c r="BE55" s="2" t="str">
        <f>IF(AB55="","",ROUND(AB55*玩法行为规划!AA55,2))</f>
        <v/>
      </c>
      <c r="BF55" s="2" t="str">
        <f>IF(AC55="","",ROUND(AC55*玩法行为规划!AB55,2))</f>
        <v/>
      </c>
      <c r="BG55" s="2" t="str">
        <f>IF(AD55="","",ROUND(AD55*玩法行为规划!AC55,2))</f>
        <v/>
      </c>
      <c r="BH55" s="3" t="str">
        <f>IF(AE55="","",ROUND(AE55*玩法行为规划!AD55,2))</f>
        <v/>
      </c>
      <c r="BI55" s="7">
        <f t="shared" si="6"/>
        <v>200.76999999999998</v>
      </c>
      <c r="BJ55" s="7">
        <f t="shared" si="7"/>
        <v>4256324</v>
      </c>
      <c r="BK55" s="10">
        <f t="shared" si="3"/>
        <v>377400</v>
      </c>
      <c r="BL55" s="21" t="str">
        <f t="shared" si="9"/>
        <v/>
      </c>
      <c r="BM55" s="7">
        <f t="shared" si="8"/>
        <v>0.17706123391130799</v>
      </c>
      <c r="BN55" s="69">
        <f>INT(BJ55*升级节奏!G55+BK55)</f>
        <v>2131466</v>
      </c>
      <c r="BO55" s="7">
        <f t="shared" si="4"/>
        <v>236</v>
      </c>
      <c r="BP55" s="7"/>
    </row>
    <row r="56" spans="1:68">
      <c r="A56" s="29">
        <v>54</v>
      </c>
      <c r="B56" s="84">
        <f>升级节奏!C56</f>
        <v>21600</v>
      </c>
      <c r="C56" s="53">
        <f>IF(VLOOKUP(C$2,行为概览!$D$3:$J$33,7,0)="","",VLOOKUP(C$2,行为概览!$D$3:$J$33,7,0))</f>
        <v>50</v>
      </c>
      <c r="D56" s="53">
        <f>IF(VLOOKUP(D$2,行为概览!$D$3:$J$33,7,0)="","",VLOOKUP(D$2,行为概览!$D$3:$J$33,7,0))</f>
        <v>3.3</v>
      </c>
      <c r="E56" s="53">
        <f>IF(VLOOKUP(E$2,行为概览!$D$3:$J$33,7,0)="","",VLOOKUP(E$2,行为概览!$D$3:$J$33,7,0))</f>
        <v>30</v>
      </c>
      <c r="F56" s="53">
        <f>IF(VLOOKUP(F$2,行为概览!$D$3:$J$33,7,0)="","",VLOOKUP(F$2,行为概览!$D$3:$J$33,7,0))</f>
        <v>15</v>
      </c>
      <c r="G56" s="53" t="str">
        <f>IF(VLOOKUP(G$2,行为概览!$D$3:$J$33,7,0)="","",VLOOKUP(G$2,行为概览!$D$3:$J$33,7,0))</f>
        <v/>
      </c>
      <c r="H56" s="53" t="str">
        <f>IF(VLOOKUP(H$2,行为概览!$D$3:$J$33,7,0)="","",VLOOKUP(H$2,行为概览!$D$3:$J$33,7,0))</f>
        <v/>
      </c>
      <c r="I56" s="53" t="str">
        <f>IF(VLOOKUP(I$2,行为概览!$D$3:$J$33,7,0)="","",VLOOKUP(I$2,行为概览!$D$3:$J$33,7,0))</f>
        <v/>
      </c>
      <c r="J56" s="53" t="str">
        <f>IF(VLOOKUP(J$2,行为概览!$D$3:$J$33,7,0)="","",VLOOKUP(J$2,行为概览!$D$3:$J$33,7,0))</f>
        <v/>
      </c>
      <c r="K56" s="53">
        <f>IF(VLOOKUP(K$2,行为概览!$D$3:$J$33,7,0)="","",VLOOKUP(K$2,行为概览!$D$3:$J$33,7,0))</f>
        <v>20</v>
      </c>
      <c r="L56" s="53">
        <f>IF(VLOOKUP(L$2,行为概览!$D$3:$J$33,7,0)="","",VLOOKUP(L$2,行为概览!$D$3:$J$33,7,0))</f>
        <v>20</v>
      </c>
      <c r="M56" s="53">
        <f>IF(VLOOKUP(M$2,行为概览!$D$3:$J$33,7,0)="","",VLOOKUP(M$2,行为概览!$D$3:$J$33,7,0))</f>
        <v>40</v>
      </c>
      <c r="N56" s="53">
        <f>IF(VLOOKUP(N$2,行为概览!$D$3:$J$33,7,0)="","",VLOOKUP(N$2,行为概览!$D$3:$J$33,7,0))</f>
        <v>1</v>
      </c>
      <c r="O56" s="53">
        <f>IF(VLOOKUP(O$2,行为概览!$D$3:$J$33,7,0)="","",VLOOKUP(O$2,行为概览!$D$3:$J$33,7,0))</f>
        <v>150</v>
      </c>
      <c r="P56" s="53">
        <f>IF(VLOOKUP(P$2,行为概览!$D$3:$J$33,7,0)="","",VLOOKUP(P$2,行为概览!$D$3:$J$33,7,0))</f>
        <v>10</v>
      </c>
      <c r="Q56" s="53">
        <f>IF(VLOOKUP(Q$2,行为概览!$D$3:$J$33,7,0)="","",VLOOKUP(Q$2,行为概览!$D$3:$J$33,7,0))</f>
        <v>20</v>
      </c>
      <c r="R56" s="53">
        <f>IF(VLOOKUP(R$2,行为概览!$D$3:$J$33,7,0)="","",VLOOKUP(R$2,行为概览!$D$3:$J$33,7,0))</f>
        <v>6</v>
      </c>
      <c r="S56" s="53">
        <f>IF(VLOOKUP(S$2,行为概览!$D$3:$J$33,7,0)="","",VLOOKUP(S$2,行为概览!$D$3:$J$33,7,0))</f>
        <v>20</v>
      </c>
      <c r="T56" s="53">
        <f>IF(VLOOKUP(T$2,行为概览!$D$3:$J$33,7,0)="","",VLOOKUP(T$2,行为概览!$D$3:$J$33,7,0))</f>
        <v>15</v>
      </c>
      <c r="U56" s="53">
        <f>IF(VLOOKUP(U$2,行为概览!$D$3:$J$33,7,0)="","",VLOOKUP(U$2,行为概览!$D$3:$J$33,7,0))</f>
        <v>15</v>
      </c>
      <c r="V56" s="53">
        <f>IF(VLOOKUP(V$2,行为概览!$D$3:$J$33,7,0)="","",VLOOKUP(V$2,行为概览!$D$3:$J$33,7,0))</f>
        <v>40</v>
      </c>
      <c r="W56" s="53">
        <f>IF(VLOOKUP(W$2,行为概览!$D$3:$J$33,7,0)="","",VLOOKUP(W$2,行为概览!$D$3:$J$33,7,0))</f>
        <v>15</v>
      </c>
      <c r="X56" s="53">
        <f>IF(VLOOKUP(X$2,行为概览!$D$3:$J$33,7,0)="","",VLOOKUP(X$2,行为概览!$D$3:$J$33,7,0))</f>
        <v>30</v>
      </c>
      <c r="Y56" s="53">
        <f>IF(VLOOKUP(Y$2,行为概览!$D$3:$J$33,7,0)="","",VLOOKUP(Y$2,行为概览!$D$3:$J$33,7,0))</f>
        <v>25</v>
      </c>
      <c r="Z56" s="53">
        <f>IF(VLOOKUP(Z$2,行为概览!$D$3:$J$33,7,0)="","",VLOOKUP(Z$2,行为概览!$D$3:$J$33,7,0))</f>
        <v>15</v>
      </c>
      <c r="AA56" s="53">
        <f>IF(VLOOKUP(AA$2,行为概览!$D$3:$J$33,7,0)="","",VLOOKUP(AA$2,行为概览!$D$3:$J$33,7,0))</f>
        <v>15</v>
      </c>
      <c r="AB56" s="53" t="str">
        <f>IF(VLOOKUP(AB$2,行为概览!$D$3:$J$33,7,0)="","",VLOOKUP(AB$2,行为概览!$D$3:$J$33,7,0))</f>
        <v/>
      </c>
      <c r="AC56" s="53" t="str">
        <f>IF(VLOOKUP(AC$2,行为概览!$D$3:$J$33,7,0)="","",VLOOKUP(AC$2,行为概览!$D$3:$J$33,7,0))</f>
        <v/>
      </c>
      <c r="AD56" s="53" t="str">
        <f>IF(VLOOKUP(AD$2,行为概览!$D$3:$J$33,7,0)="","",VLOOKUP(AD$2,行为概览!$D$3:$J$33,7,0))</f>
        <v/>
      </c>
      <c r="AE56" s="68" t="str">
        <f>IF(VLOOKUP(AE$2,行为概览!$D$3:$J$33,7,0)="","",VLOOKUP(AE$2,行为概览!$D$3:$J$33,7,0))</f>
        <v/>
      </c>
      <c r="AF56" s="1">
        <f>IF(C56="","",ROUND(C56*玩法行为规划!B56,2))</f>
        <v>16.670000000000002</v>
      </c>
      <c r="AG56" s="2">
        <f>IF(D56="","",ROUND(D56*玩法行为规划!C56,2))</f>
        <v>6.6</v>
      </c>
      <c r="AH56" s="2">
        <f>IF(E56="","",ROUND(E56*玩法行为规划!D56,2))</f>
        <v>2.5</v>
      </c>
      <c r="AI56" s="2">
        <f>IF(F56="","",ROUND(F56*玩法行为规划!E56,2))</f>
        <v>15</v>
      </c>
      <c r="AJ56" s="2" t="str">
        <f>IF(G56="","",ROUND(G56*玩法行为规划!F56,2))</f>
        <v/>
      </c>
      <c r="AK56" s="2" t="str">
        <f>IF(H56="","",ROUND(H56*玩法行为规划!G56,2))</f>
        <v/>
      </c>
      <c r="AL56" s="2" t="str">
        <f>IF(I56="","",ROUND(I56*玩法行为规划!H56,2))</f>
        <v/>
      </c>
      <c r="AM56" s="2" t="str">
        <f>IF(J56="","",ROUND(J56*玩法行为规划!I56,2))</f>
        <v/>
      </c>
      <c r="AN56" s="2">
        <f>IF(K56="","",ROUND(K56*玩法行为规划!J56,2))</f>
        <v>10</v>
      </c>
      <c r="AO56" s="2">
        <f>IF(L56="","",ROUND(L56*玩法行为规划!K56,2))</f>
        <v>3.33</v>
      </c>
      <c r="AP56" s="2">
        <f>IF(M56="","",ROUND(M56*玩法行为规划!L56,2))</f>
        <v>20</v>
      </c>
      <c r="AQ56" s="2">
        <f>IF(N56="","",ROUND(N56*玩法行为规划!M56,2))</f>
        <v>12</v>
      </c>
      <c r="AR56" s="2">
        <f>IF(O56="","",ROUND(O56*玩法行为规划!N56,2))</f>
        <v>12.5</v>
      </c>
      <c r="AS56" s="2">
        <f>IF(P56="","",ROUND(P56*玩法行为规划!O56,2))</f>
        <v>0.83</v>
      </c>
      <c r="AT56" s="2">
        <f>IF(Q56="","",ROUND(Q56*玩法行为规划!P56,2))</f>
        <v>52</v>
      </c>
      <c r="AU56" s="2">
        <f>IF(R56="","",ROUND(R56*玩法行为规划!Q56,2))</f>
        <v>6</v>
      </c>
      <c r="AV56" s="2">
        <f>IF(S56="","",ROUND(S56*玩法行为规划!R56,2))</f>
        <v>6.67</v>
      </c>
      <c r="AW56" s="2">
        <f>IF(T56="","",ROUND(T56*玩法行为规划!S56,2))</f>
        <v>0</v>
      </c>
      <c r="AX56" s="2">
        <f>IF(U56="","",ROUND(U56*玩法行为规划!T56,2))</f>
        <v>5</v>
      </c>
      <c r="AY56" s="2">
        <f>IF(V56="","",ROUND(V56*玩法行为规划!U56,2))</f>
        <v>6.67</v>
      </c>
      <c r="AZ56" s="2">
        <f>IF(W56="","",ROUND(W56*玩法行为规划!V56,2))</f>
        <v>2.5</v>
      </c>
      <c r="BA56" s="2">
        <f>IF(X56="","",ROUND(X56*玩法行为规划!W56,2))</f>
        <v>5</v>
      </c>
      <c r="BB56" s="2">
        <f>IF(Y56="","",ROUND(Y56*玩法行为规划!X56,2))</f>
        <v>6.25</v>
      </c>
      <c r="BC56" s="2">
        <f>IF(Z56="","",ROUND(Z56*玩法行为规划!Y56,2))</f>
        <v>8.75</v>
      </c>
      <c r="BD56" s="2">
        <f>IF(AA56="","",ROUND(AA56*玩法行为规划!Z56,2))</f>
        <v>2.5</v>
      </c>
      <c r="BE56" s="2" t="str">
        <f>IF(AB56="","",ROUND(AB56*玩法行为规划!AA56,2))</f>
        <v/>
      </c>
      <c r="BF56" s="2" t="str">
        <f>IF(AC56="","",ROUND(AC56*玩法行为规划!AB56,2))</f>
        <v/>
      </c>
      <c r="BG56" s="2" t="str">
        <f>IF(AD56="","",ROUND(AD56*玩法行为规划!AC56,2))</f>
        <v/>
      </c>
      <c r="BH56" s="3" t="str">
        <f>IF(AE56="","",ROUND(AE56*玩法行为规划!AD56,2))</f>
        <v/>
      </c>
      <c r="BI56" s="7">
        <f t="shared" si="6"/>
        <v>200.76999999999998</v>
      </c>
      <c r="BJ56" s="7">
        <f t="shared" si="7"/>
        <v>4336632</v>
      </c>
      <c r="BK56" s="10">
        <f t="shared" si="3"/>
        <v>397400</v>
      </c>
      <c r="BL56" s="21" t="str">
        <f t="shared" si="9"/>
        <v/>
      </c>
      <c r="BM56" s="7">
        <f t="shared" si="8"/>
        <v>0.15419356841321083</v>
      </c>
      <c r="BN56" s="69">
        <f>INT(BJ56*升级节奏!G56+BK56)</f>
        <v>2577280</v>
      </c>
      <c r="BO56" s="7">
        <f t="shared" si="4"/>
        <v>240</v>
      </c>
      <c r="BP56" s="7"/>
    </row>
    <row r="57" spans="1:68">
      <c r="A57" s="29">
        <v>55</v>
      </c>
      <c r="B57" s="84">
        <f>升级节奏!C57</f>
        <v>22000</v>
      </c>
      <c r="C57" s="53">
        <f>IF(VLOOKUP(C$2,行为概览!$D$3:$J$33,7,0)="","",VLOOKUP(C$2,行为概览!$D$3:$J$33,7,0))</f>
        <v>50</v>
      </c>
      <c r="D57" s="53">
        <f>IF(VLOOKUP(D$2,行为概览!$D$3:$J$33,7,0)="","",VLOOKUP(D$2,行为概览!$D$3:$J$33,7,0))</f>
        <v>3.3</v>
      </c>
      <c r="E57" s="53">
        <f>IF(VLOOKUP(E$2,行为概览!$D$3:$J$33,7,0)="","",VLOOKUP(E$2,行为概览!$D$3:$J$33,7,0))</f>
        <v>30</v>
      </c>
      <c r="F57" s="53">
        <f>IF(VLOOKUP(F$2,行为概览!$D$3:$J$33,7,0)="","",VLOOKUP(F$2,行为概览!$D$3:$J$33,7,0))</f>
        <v>15</v>
      </c>
      <c r="G57" s="53" t="str">
        <f>IF(VLOOKUP(G$2,行为概览!$D$3:$J$33,7,0)="","",VLOOKUP(G$2,行为概览!$D$3:$J$33,7,0))</f>
        <v/>
      </c>
      <c r="H57" s="53" t="str">
        <f>IF(VLOOKUP(H$2,行为概览!$D$3:$J$33,7,0)="","",VLOOKUP(H$2,行为概览!$D$3:$J$33,7,0))</f>
        <v/>
      </c>
      <c r="I57" s="53" t="str">
        <f>IF(VLOOKUP(I$2,行为概览!$D$3:$J$33,7,0)="","",VLOOKUP(I$2,行为概览!$D$3:$J$33,7,0))</f>
        <v/>
      </c>
      <c r="J57" s="53" t="str">
        <f>IF(VLOOKUP(J$2,行为概览!$D$3:$J$33,7,0)="","",VLOOKUP(J$2,行为概览!$D$3:$J$33,7,0))</f>
        <v/>
      </c>
      <c r="K57" s="53">
        <f>IF(VLOOKUP(K$2,行为概览!$D$3:$J$33,7,0)="","",VLOOKUP(K$2,行为概览!$D$3:$J$33,7,0))</f>
        <v>20</v>
      </c>
      <c r="L57" s="53">
        <f>IF(VLOOKUP(L$2,行为概览!$D$3:$J$33,7,0)="","",VLOOKUP(L$2,行为概览!$D$3:$J$33,7,0))</f>
        <v>20</v>
      </c>
      <c r="M57" s="53">
        <f>IF(VLOOKUP(M$2,行为概览!$D$3:$J$33,7,0)="","",VLOOKUP(M$2,行为概览!$D$3:$J$33,7,0))</f>
        <v>40</v>
      </c>
      <c r="N57" s="53">
        <f>IF(VLOOKUP(N$2,行为概览!$D$3:$J$33,7,0)="","",VLOOKUP(N$2,行为概览!$D$3:$J$33,7,0))</f>
        <v>1</v>
      </c>
      <c r="O57" s="53">
        <f>IF(VLOOKUP(O$2,行为概览!$D$3:$J$33,7,0)="","",VLOOKUP(O$2,行为概览!$D$3:$J$33,7,0))</f>
        <v>150</v>
      </c>
      <c r="P57" s="53">
        <f>IF(VLOOKUP(P$2,行为概览!$D$3:$J$33,7,0)="","",VLOOKUP(P$2,行为概览!$D$3:$J$33,7,0))</f>
        <v>10</v>
      </c>
      <c r="Q57" s="53">
        <f>IF(VLOOKUP(Q$2,行为概览!$D$3:$J$33,7,0)="","",VLOOKUP(Q$2,行为概览!$D$3:$J$33,7,0))</f>
        <v>20</v>
      </c>
      <c r="R57" s="53">
        <f>IF(VLOOKUP(R$2,行为概览!$D$3:$J$33,7,0)="","",VLOOKUP(R$2,行为概览!$D$3:$J$33,7,0))</f>
        <v>6</v>
      </c>
      <c r="S57" s="53">
        <f>IF(VLOOKUP(S$2,行为概览!$D$3:$J$33,7,0)="","",VLOOKUP(S$2,行为概览!$D$3:$J$33,7,0))</f>
        <v>20</v>
      </c>
      <c r="T57" s="53">
        <f>IF(VLOOKUP(T$2,行为概览!$D$3:$J$33,7,0)="","",VLOOKUP(T$2,行为概览!$D$3:$J$33,7,0))</f>
        <v>15</v>
      </c>
      <c r="U57" s="53">
        <f>IF(VLOOKUP(U$2,行为概览!$D$3:$J$33,7,0)="","",VLOOKUP(U$2,行为概览!$D$3:$J$33,7,0))</f>
        <v>15</v>
      </c>
      <c r="V57" s="53">
        <f>IF(VLOOKUP(V$2,行为概览!$D$3:$J$33,7,0)="","",VLOOKUP(V$2,行为概览!$D$3:$J$33,7,0))</f>
        <v>40</v>
      </c>
      <c r="W57" s="53">
        <f>IF(VLOOKUP(W$2,行为概览!$D$3:$J$33,7,0)="","",VLOOKUP(W$2,行为概览!$D$3:$J$33,7,0))</f>
        <v>15</v>
      </c>
      <c r="X57" s="53">
        <f>IF(VLOOKUP(X$2,行为概览!$D$3:$J$33,7,0)="","",VLOOKUP(X$2,行为概览!$D$3:$J$33,7,0))</f>
        <v>30</v>
      </c>
      <c r="Y57" s="53">
        <f>IF(VLOOKUP(Y$2,行为概览!$D$3:$J$33,7,0)="","",VLOOKUP(Y$2,行为概览!$D$3:$J$33,7,0))</f>
        <v>25</v>
      </c>
      <c r="Z57" s="53">
        <f>IF(VLOOKUP(Z$2,行为概览!$D$3:$J$33,7,0)="","",VLOOKUP(Z$2,行为概览!$D$3:$J$33,7,0))</f>
        <v>15</v>
      </c>
      <c r="AA57" s="53">
        <f>IF(VLOOKUP(AA$2,行为概览!$D$3:$J$33,7,0)="","",VLOOKUP(AA$2,行为概览!$D$3:$J$33,7,0))</f>
        <v>15</v>
      </c>
      <c r="AB57" s="53" t="str">
        <f>IF(VLOOKUP(AB$2,行为概览!$D$3:$J$33,7,0)="","",VLOOKUP(AB$2,行为概览!$D$3:$J$33,7,0))</f>
        <v/>
      </c>
      <c r="AC57" s="53" t="str">
        <f>IF(VLOOKUP(AC$2,行为概览!$D$3:$J$33,7,0)="","",VLOOKUP(AC$2,行为概览!$D$3:$J$33,7,0))</f>
        <v/>
      </c>
      <c r="AD57" s="53" t="str">
        <f>IF(VLOOKUP(AD$2,行为概览!$D$3:$J$33,7,0)="","",VLOOKUP(AD$2,行为概览!$D$3:$J$33,7,0))</f>
        <v/>
      </c>
      <c r="AE57" s="68" t="str">
        <f>IF(VLOOKUP(AE$2,行为概览!$D$3:$J$33,7,0)="","",VLOOKUP(AE$2,行为概览!$D$3:$J$33,7,0))</f>
        <v/>
      </c>
      <c r="AF57" s="1">
        <f>IF(C57="","",ROUND(C57*玩法行为规划!B57,2))</f>
        <v>16.670000000000002</v>
      </c>
      <c r="AG57" s="2">
        <f>IF(D57="","",ROUND(D57*玩法行为规划!C57,2))</f>
        <v>6.6</v>
      </c>
      <c r="AH57" s="2">
        <f>IF(E57="","",ROUND(E57*玩法行为规划!D57,2))</f>
        <v>2.5</v>
      </c>
      <c r="AI57" s="2">
        <f>IF(F57="","",ROUND(F57*玩法行为规划!E57,2))</f>
        <v>15</v>
      </c>
      <c r="AJ57" s="2" t="str">
        <f>IF(G57="","",ROUND(G57*玩法行为规划!F57,2))</f>
        <v/>
      </c>
      <c r="AK57" s="2" t="str">
        <f>IF(H57="","",ROUND(H57*玩法行为规划!G57,2))</f>
        <v/>
      </c>
      <c r="AL57" s="2" t="str">
        <f>IF(I57="","",ROUND(I57*玩法行为规划!H57,2))</f>
        <v/>
      </c>
      <c r="AM57" s="2" t="str">
        <f>IF(J57="","",ROUND(J57*玩法行为规划!I57,2))</f>
        <v/>
      </c>
      <c r="AN57" s="2">
        <f>IF(K57="","",ROUND(K57*玩法行为规划!J57,2))</f>
        <v>10</v>
      </c>
      <c r="AO57" s="2">
        <f>IF(L57="","",ROUND(L57*玩法行为规划!K57,2))</f>
        <v>3.33</v>
      </c>
      <c r="AP57" s="2">
        <f>IF(M57="","",ROUND(M57*玩法行为规划!L57,2))</f>
        <v>20</v>
      </c>
      <c r="AQ57" s="2">
        <f>IF(N57="","",ROUND(N57*玩法行为规划!M57,2))</f>
        <v>12</v>
      </c>
      <c r="AR57" s="2">
        <f>IF(O57="","",ROUND(O57*玩法行为规划!N57,2))</f>
        <v>12.5</v>
      </c>
      <c r="AS57" s="2">
        <f>IF(P57="","",ROUND(P57*玩法行为规划!O57,2))</f>
        <v>0.83</v>
      </c>
      <c r="AT57" s="2">
        <f>IF(Q57="","",ROUND(Q57*玩法行为规划!P57,2))</f>
        <v>52</v>
      </c>
      <c r="AU57" s="2">
        <f>IF(R57="","",ROUND(R57*玩法行为规划!Q57,2))</f>
        <v>6</v>
      </c>
      <c r="AV57" s="2">
        <f>IF(S57="","",ROUND(S57*玩法行为规划!R57,2))</f>
        <v>6.67</v>
      </c>
      <c r="AW57" s="2">
        <f>IF(T57="","",ROUND(T57*玩法行为规划!S57,2))</f>
        <v>0</v>
      </c>
      <c r="AX57" s="2">
        <f>IF(U57="","",ROUND(U57*玩法行为规划!T57,2))</f>
        <v>5</v>
      </c>
      <c r="AY57" s="2">
        <f>IF(V57="","",ROUND(V57*玩法行为规划!U57,2))</f>
        <v>6.67</v>
      </c>
      <c r="AZ57" s="2">
        <f>IF(W57="","",ROUND(W57*玩法行为规划!V57,2))</f>
        <v>2.5</v>
      </c>
      <c r="BA57" s="2">
        <f>IF(X57="","",ROUND(X57*玩法行为规划!W57,2))</f>
        <v>5</v>
      </c>
      <c r="BB57" s="2">
        <f>IF(Y57="","",ROUND(Y57*玩法行为规划!X57,2))</f>
        <v>6.25</v>
      </c>
      <c r="BC57" s="2">
        <f>IF(Z57="","",ROUND(Z57*玩法行为规划!Y57,2))</f>
        <v>8.75</v>
      </c>
      <c r="BD57" s="2">
        <f>IF(AA57="","",ROUND(AA57*玩法行为规划!Z57,2))</f>
        <v>2.5</v>
      </c>
      <c r="BE57" s="2" t="str">
        <f>IF(AB57="","",ROUND(AB57*玩法行为规划!AA57,2))</f>
        <v/>
      </c>
      <c r="BF57" s="2" t="str">
        <f>IF(AC57="","",ROUND(AC57*玩法行为规划!AB57,2))</f>
        <v/>
      </c>
      <c r="BG57" s="2" t="str">
        <f>IF(AD57="","",ROUND(AD57*玩法行为规划!AC57,2))</f>
        <v/>
      </c>
      <c r="BH57" s="3" t="str">
        <f>IF(AE57="","",ROUND(AE57*玩法行为规划!AD57,2))</f>
        <v/>
      </c>
      <c r="BI57" s="7">
        <f t="shared" si="6"/>
        <v>200.76999999999998</v>
      </c>
      <c r="BJ57" s="7">
        <f t="shared" si="7"/>
        <v>4416940</v>
      </c>
      <c r="BK57" s="10">
        <f t="shared" si="3"/>
        <v>418000</v>
      </c>
      <c r="BL57" s="21" t="str">
        <f t="shared" si="9"/>
        <v/>
      </c>
      <c r="BM57" s="7">
        <f t="shared" si="8"/>
        <v>0.15376188757798909</v>
      </c>
      <c r="BN57" s="69">
        <f>INT(BJ57*升级节奏!G57+BK57)</f>
        <v>2718489</v>
      </c>
      <c r="BO57" s="7">
        <f t="shared" si="4"/>
        <v>244</v>
      </c>
      <c r="BP57" s="7"/>
    </row>
    <row r="58" spans="1:68">
      <c r="A58" s="29">
        <v>56</v>
      </c>
      <c r="B58" s="84">
        <f>升级节奏!C58</f>
        <v>22400</v>
      </c>
      <c r="C58" s="53">
        <f>IF(VLOOKUP(C$2,行为概览!$D$3:$J$33,7,0)="","",VLOOKUP(C$2,行为概览!$D$3:$J$33,7,0))</f>
        <v>50</v>
      </c>
      <c r="D58" s="53">
        <f>IF(VLOOKUP(D$2,行为概览!$D$3:$J$33,7,0)="","",VLOOKUP(D$2,行为概览!$D$3:$J$33,7,0))</f>
        <v>3.3</v>
      </c>
      <c r="E58" s="53">
        <f>IF(VLOOKUP(E$2,行为概览!$D$3:$J$33,7,0)="","",VLOOKUP(E$2,行为概览!$D$3:$J$33,7,0))</f>
        <v>30</v>
      </c>
      <c r="F58" s="53">
        <f>IF(VLOOKUP(F$2,行为概览!$D$3:$J$33,7,0)="","",VLOOKUP(F$2,行为概览!$D$3:$J$33,7,0))</f>
        <v>15</v>
      </c>
      <c r="G58" s="53" t="str">
        <f>IF(VLOOKUP(G$2,行为概览!$D$3:$J$33,7,0)="","",VLOOKUP(G$2,行为概览!$D$3:$J$33,7,0))</f>
        <v/>
      </c>
      <c r="H58" s="53" t="str">
        <f>IF(VLOOKUP(H$2,行为概览!$D$3:$J$33,7,0)="","",VLOOKUP(H$2,行为概览!$D$3:$J$33,7,0))</f>
        <v/>
      </c>
      <c r="I58" s="53" t="str">
        <f>IF(VLOOKUP(I$2,行为概览!$D$3:$J$33,7,0)="","",VLOOKUP(I$2,行为概览!$D$3:$J$33,7,0))</f>
        <v/>
      </c>
      <c r="J58" s="53" t="str">
        <f>IF(VLOOKUP(J$2,行为概览!$D$3:$J$33,7,0)="","",VLOOKUP(J$2,行为概览!$D$3:$J$33,7,0))</f>
        <v/>
      </c>
      <c r="K58" s="53">
        <f>IF(VLOOKUP(K$2,行为概览!$D$3:$J$33,7,0)="","",VLOOKUP(K$2,行为概览!$D$3:$J$33,7,0))</f>
        <v>20</v>
      </c>
      <c r="L58" s="53">
        <f>IF(VLOOKUP(L$2,行为概览!$D$3:$J$33,7,0)="","",VLOOKUP(L$2,行为概览!$D$3:$J$33,7,0))</f>
        <v>20</v>
      </c>
      <c r="M58" s="53">
        <f>IF(VLOOKUP(M$2,行为概览!$D$3:$J$33,7,0)="","",VLOOKUP(M$2,行为概览!$D$3:$J$33,7,0))</f>
        <v>40</v>
      </c>
      <c r="N58" s="53">
        <f>IF(VLOOKUP(N$2,行为概览!$D$3:$J$33,7,0)="","",VLOOKUP(N$2,行为概览!$D$3:$J$33,7,0))</f>
        <v>1</v>
      </c>
      <c r="O58" s="53">
        <f>IF(VLOOKUP(O$2,行为概览!$D$3:$J$33,7,0)="","",VLOOKUP(O$2,行为概览!$D$3:$J$33,7,0))</f>
        <v>150</v>
      </c>
      <c r="P58" s="53">
        <f>IF(VLOOKUP(P$2,行为概览!$D$3:$J$33,7,0)="","",VLOOKUP(P$2,行为概览!$D$3:$J$33,7,0))</f>
        <v>10</v>
      </c>
      <c r="Q58" s="53">
        <f>IF(VLOOKUP(Q$2,行为概览!$D$3:$J$33,7,0)="","",VLOOKUP(Q$2,行为概览!$D$3:$J$33,7,0))</f>
        <v>20</v>
      </c>
      <c r="R58" s="53">
        <f>IF(VLOOKUP(R$2,行为概览!$D$3:$J$33,7,0)="","",VLOOKUP(R$2,行为概览!$D$3:$J$33,7,0))</f>
        <v>6</v>
      </c>
      <c r="S58" s="53">
        <f>IF(VLOOKUP(S$2,行为概览!$D$3:$J$33,7,0)="","",VLOOKUP(S$2,行为概览!$D$3:$J$33,7,0))</f>
        <v>20</v>
      </c>
      <c r="T58" s="53">
        <f>IF(VLOOKUP(T$2,行为概览!$D$3:$J$33,7,0)="","",VLOOKUP(T$2,行为概览!$D$3:$J$33,7,0))</f>
        <v>15</v>
      </c>
      <c r="U58" s="53">
        <f>IF(VLOOKUP(U$2,行为概览!$D$3:$J$33,7,0)="","",VLOOKUP(U$2,行为概览!$D$3:$J$33,7,0))</f>
        <v>15</v>
      </c>
      <c r="V58" s="53">
        <f>IF(VLOOKUP(V$2,行为概览!$D$3:$J$33,7,0)="","",VLOOKUP(V$2,行为概览!$D$3:$J$33,7,0))</f>
        <v>40</v>
      </c>
      <c r="W58" s="53">
        <f>IF(VLOOKUP(W$2,行为概览!$D$3:$J$33,7,0)="","",VLOOKUP(W$2,行为概览!$D$3:$J$33,7,0))</f>
        <v>15</v>
      </c>
      <c r="X58" s="53">
        <f>IF(VLOOKUP(X$2,行为概览!$D$3:$J$33,7,0)="","",VLOOKUP(X$2,行为概览!$D$3:$J$33,7,0))</f>
        <v>30</v>
      </c>
      <c r="Y58" s="53">
        <f>IF(VLOOKUP(Y$2,行为概览!$D$3:$J$33,7,0)="","",VLOOKUP(Y$2,行为概览!$D$3:$J$33,7,0))</f>
        <v>25</v>
      </c>
      <c r="Z58" s="53">
        <f>IF(VLOOKUP(Z$2,行为概览!$D$3:$J$33,7,0)="","",VLOOKUP(Z$2,行为概览!$D$3:$J$33,7,0))</f>
        <v>15</v>
      </c>
      <c r="AA58" s="53">
        <f>IF(VLOOKUP(AA$2,行为概览!$D$3:$J$33,7,0)="","",VLOOKUP(AA$2,行为概览!$D$3:$J$33,7,0))</f>
        <v>15</v>
      </c>
      <c r="AB58" s="53" t="str">
        <f>IF(VLOOKUP(AB$2,行为概览!$D$3:$J$33,7,0)="","",VLOOKUP(AB$2,行为概览!$D$3:$J$33,7,0))</f>
        <v/>
      </c>
      <c r="AC58" s="53" t="str">
        <f>IF(VLOOKUP(AC$2,行为概览!$D$3:$J$33,7,0)="","",VLOOKUP(AC$2,行为概览!$D$3:$J$33,7,0))</f>
        <v/>
      </c>
      <c r="AD58" s="53" t="str">
        <f>IF(VLOOKUP(AD$2,行为概览!$D$3:$J$33,7,0)="","",VLOOKUP(AD$2,行为概览!$D$3:$J$33,7,0))</f>
        <v/>
      </c>
      <c r="AE58" s="68" t="str">
        <f>IF(VLOOKUP(AE$2,行为概览!$D$3:$J$33,7,0)="","",VLOOKUP(AE$2,行为概览!$D$3:$J$33,7,0))</f>
        <v/>
      </c>
      <c r="AF58" s="1">
        <f>IF(C58="","",ROUND(C58*玩法行为规划!B58,2))</f>
        <v>16.670000000000002</v>
      </c>
      <c r="AG58" s="2">
        <f>IF(D58="","",ROUND(D58*玩法行为规划!C58,2))</f>
        <v>6.6</v>
      </c>
      <c r="AH58" s="2">
        <f>IF(E58="","",ROUND(E58*玩法行为规划!D58,2))</f>
        <v>2.5</v>
      </c>
      <c r="AI58" s="2">
        <f>IF(F58="","",ROUND(F58*玩法行为规划!E58,2))</f>
        <v>15</v>
      </c>
      <c r="AJ58" s="2" t="str">
        <f>IF(G58="","",ROUND(G58*玩法行为规划!F58,2))</f>
        <v/>
      </c>
      <c r="AK58" s="2" t="str">
        <f>IF(H58="","",ROUND(H58*玩法行为规划!G58,2))</f>
        <v/>
      </c>
      <c r="AL58" s="2" t="str">
        <f>IF(I58="","",ROUND(I58*玩法行为规划!H58,2))</f>
        <v/>
      </c>
      <c r="AM58" s="2" t="str">
        <f>IF(J58="","",ROUND(J58*玩法行为规划!I58,2))</f>
        <v/>
      </c>
      <c r="AN58" s="2">
        <f>IF(K58="","",ROUND(K58*玩法行为规划!J58,2))</f>
        <v>10</v>
      </c>
      <c r="AO58" s="2">
        <f>IF(L58="","",ROUND(L58*玩法行为规划!K58,2))</f>
        <v>3.33</v>
      </c>
      <c r="AP58" s="2">
        <f>IF(M58="","",ROUND(M58*玩法行为规划!L58,2))</f>
        <v>20</v>
      </c>
      <c r="AQ58" s="2">
        <f>IF(N58="","",ROUND(N58*玩法行为规划!M58,2))</f>
        <v>12</v>
      </c>
      <c r="AR58" s="2">
        <f>IF(O58="","",ROUND(O58*玩法行为规划!N58,2))</f>
        <v>12.5</v>
      </c>
      <c r="AS58" s="2">
        <f>IF(P58="","",ROUND(P58*玩法行为规划!O58,2))</f>
        <v>0.83</v>
      </c>
      <c r="AT58" s="2">
        <f>IF(Q58="","",ROUND(Q58*玩法行为规划!P58,2))</f>
        <v>52</v>
      </c>
      <c r="AU58" s="2">
        <f>IF(R58="","",ROUND(R58*玩法行为规划!Q58,2))</f>
        <v>6</v>
      </c>
      <c r="AV58" s="2">
        <f>IF(S58="","",ROUND(S58*玩法行为规划!R58,2))</f>
        <v>6.67</v>
      </c>
      <c r="AW58" s="2">
        <f>IF(T58="","",ROUND(T58*玩法行为规划!S58,2))</f>
        <v>0</v>
      </c>
      <c r="AX58" s="2">
        <f>IF(U58="","",ROUND(U58*玩法行为规划!T58,2))</f>
        <v>5</v>
      </c>
      <c r="AY58" s="2">
        <f>IF(V58="","",ROUND(V58*玩法行为规划!U58,2))</f>
        <v>6.67</v>
      </c>
      <c r="AZ58" s="2">
        <f>IF(W58="","",ROUND(W58*玩法行为规划!V58,2))</f>
        <v>2.5</v>
      </c>
      <c r="BA58" s="2">
        <f>IF(X58="","",ROUND(X58*玩法行为规划!W58,2))</f>
        <v>5</v>
      </c>
      <c r="BB58" s="2">
        <f>IF(Y58="","",ROUND(Y58*玩法行为规划!X58,2))</f>
        <v>6.25</v>
      </c>
      <c r="BC58" s="2">
        <f>IF(Z58="","",ROUND(Z58*玩法行为规划!Y58,2))</f>
        <v>8.75</v>
      </c>
      <c r="BD58" s="2">
        <f>IF(AA58="","",ROUND(AA58*玩法行为规划!Z58,2))</f>
        <v>2.5</v>
      </c>
      <c r="BE58" s="2" t="str">
        <f>IF(AB58="","",ROUND(AB58*玩法行为规划!AA58,2))</f>
        <v/>
      </c>
      <c r="BF58" s="2" t="str">
        <f>IF(AC58="","",ROUND(AC58*玩法行为规划!AB58,2))</f>
        <v/>
      </c>
      <c r="BG58" s="2" t="str">
        <f>IF(AD58="","",ROUND(AD58*玩法行为规划!AC58,2))</f>
        <v/>
      </c>
      <c r="BH58" s="3" t="str">
        <f>IF(AE58="","",ROUND(AE58*玩法行为规划!AD58,2))</f>
        <v/>
      </c>
      <c r="BI58" s="7">
        <f t="shared" si="6"/>
        <v>200.76999999999998</v>
      </c>
      <c r="BJ58" s="7">
        <f t="shared" si="7"/>
        <v>4497248</v>
      </c>
      <c r="BK58" s="10">
        <f t="shared" si="3"/>
        <v>439000</v>
      </c>
      <c r="BL58" s="21" t="str">
        <f t="shared" si="9"/>
        <v/>
      </c>
      <c r="BM58" s="7">
        <f t="shared" si="8"/>
        <v>0.10767000394626507</v>
      </c>
      <c r="BN58" s="69">
        <f>INT(BJ58*升级节奏!G58+BK58)</f>
        <v>4077273</v>
      </c>
      <c r="BO58" s="7">
        <f t="shared" si="4"/>
        <v>249</v>
      </c>
      <c r="BP58" s="7"/>
    </row>
    <row r="59" spans="1:68">
      <c r="A59" s="29">
        <v>57</v>
      </c>
      <c r="B59" s="84">
        <f>升级节奏!C59</f>
        <v>22800</v>
      </c>
      <c r="C59" s="53">
        <f>IF(VLOOKUP(C$2,行为概览!$D$3:$J$33,7,0)="","",VLOOKUP(C$2,行为概览!$D$3:$J$33,7,0))</f>
        <v>50</v>
      </c>
      <c r="D59" s="53">
        <f>IF(VLOOKUP(D$2,行为概览!$D$3:$J$33,7,0)="","",VLOOKUP(D$2,行为概览!$D$3:$J$33,7,0))</f>
        <v>3.3</v>
      </c>
      <c r="E59" s="53">
        <f>IF(VLOOKUP(E$2,行为概览!$D$3:$J$33,7,0)="","",VLOOKUP(E$2,行为概览!$D$3:$J$33,7,0))</f>
        <v>30</v>
      </c>
      <c r="F59" s="53">
        <f>IF(VLOOKUP(F$2,行为概览!$D$3:$J$33,7,0)="","",VLOOKUP(F$2,行为概览!$D$3:$J$33,7,0))</f>
        <v>15</v>
      </c>
      <c r="G59" s="53" t="str">
        <f>IF(VLOOKUP(G$2,行为概览!$D$3:$J$33,7,0)="","",VLOOKUP(G$2,行为概览!$D$3:$J$33,7,0))</f>
        <v/>
      </c>
      <c r="H59" s="53" t="str">
        <f>IF(VLOOKUP(H$2,行为概览!$D$3:$J$33,7,0)="","",VLOOKUP(H$2,行为概览!$D$3:$J$33,7,0))</f>
        <v/>
      </c>
      <c r="I59" s="53" t="str">
        <f>IF(VLOOKUP(I$2,行为概览!$D$3:$J$33,7,0)="","",VLOOKUP(I$2,行为概览!$D$3:$J$33,7,0))</f>
        <v/>
      </c>
      <c r="J59" s="53" t="str">
        <f>IF(VLOOKUP(J$2,行为概览!$D$3:$J$33,7,0)="","",VLOOKUP(J$2,行为概览!$D$3:$J$33,7,0))</f>
        <v/>
      </c>
      <c r="K59" s="53">
        <f>IF(VLOOKUP(K$2,行为概览!$D$3:$J$33,7,0)="","",VLOOKUP(K$2,行为概览!$D$3:$J$33,7,0))</f>
        <v>20</v>
      </c>
      <c r="L59" s="53">
        <f>IF(VLOOKUP(L$2,行为概览!$D$3:$J$33,7,0)="","",VLOOKUP(L$2,行为概览!$D$3:$J$33,7,0))</f>
        <v>20</v>
      </c>
      <c r="M59" s="53">
        <f>IF(VLOOKUP(M$2,行为概览!$D$3:$J$33,7,0)="","",VLOOKUP(M$2,行为概览!$D$3:$J$33,7,0))</f>
        <v>40</v>
      </c>
      <c r="N59" s="53">
        <f>IF(VLOOKUP(N$2,行为概览!$D$3:$J$33,7,0)="","",VLOOKUP(N$2,行为概览!$D$3:$J$33,7,0))</f>
        <v>1</v>
      </c>
      <c r="O59" s="53">
        <f>IF(VLOOKUP(O$2,行为概览!$D$3:$J$33,7,0)="","",VLOOKUP(O$2,行为概览!$D$3:$J$33,7,0))</f>
        <v>150</v>
      </c>
      <c r="P59" s="53">
        <f>IF(VLOOKUP(P$2,行为概览!$D$3:$J$33,7,0)="","",VLOOKUP(P$2,行为概览!$D$3:$J$33,7,0))</f>
        <v>10</v>
      </c>
      <c r="Q59" s="53">
        <f>IF(VLOOKUP(Q$2,行为概览!$D$3:$J$33,7,0)="","",VLOOKUP(Q$2,行为概览!$D$3:$J$33,7,0))</f>
        <v>20</v>
      </c>
      <c r="R59" s="53">
        <f>IF(VLOOKUP(R$2,行为概览!$D$3:$J$33,7,0)="","",VLOOKUP(R$2,行为概览!$D$3:$J$33,7,0))</f>
        <v>6</v>
      </c>
      <c r="S59" s="53">
        <f>IF(VLOOKUP(S$2,行为概览!$D$3:$J$33,7,0)="","",VLOOKUP(S$2,行为概览!$D$3:$J$33,7,0))</f>
        <v>20</v>
      </c>
      <c r="T59" s="53">
        <f>IF(VLOOKUP(T$2,行为概览!$D$3:$J$33,7,0)="","",VLOOKUP(T$2,行为概览!$D$3:$J$33,7,0))</f>
        <v>15</v>
      </c>
      <c r="U59" s="53">
        <f>IF(VLOOKUP(U$2,行为概览!$D$3:$J$33,7,0)="","",VLOOKUP(U$2,行为概览!$D$3:$J$33,7,0))</f>
        <v>15</v>
      </c>
      <c r="V59" s="53">
        <f>IF(VLOOKUP(V$2,行为概览!$D$3:$J$33,7,0)="","",VLOOKUP(V$2,行为概览!$D$3:$J$33,7,0))</f>
        <v>40</v>
      </c>
      <c r="W59" s="53">
        <f>IF(VLOOKUP(W$2,行为概览!$D$3:$J$33,7,0)="","",VLOOKUP(W$2,行为概览!$D$3:$J$33,7,0))</f>
        <v>15</v>
      </c>
      <c r="X59" s="53">
        <f>IF(VLOOKUP(X$2,行为概览!$D$3:$J$33,7,0)="","",VLOOKUP(X$2,行为概览!$D$3:$J$33,7,0))</f>
        <v>30</v>
      </c>
      <c r="Y59" s="53">
        <f>IF(VLOOKUP(Y$2,行为概览!$D$3:$J$33,7,0)="","",VLOOKUP(Y$2,行为概览!$D$3:$J$33,7,0))</f>
        <v>25</v>
      </c>
      <c r="Z59" s="53">
        <f>IF(VLOOKUP(Z$2,行为概览!$D$3:$J$33,7,0)="","",VLOOKUP(Z$2,行为概览!$D$3:$J$33,7,0))</f>
        <v>15</v>
      </c>
      <c r="AA59" s="53">
        <f>IF(VLOOKUP(AA$2,行为概览!$D$3:$J$33,7,0)="","",VLOOKUP(AA$2,行为概览!$D$3:$J$33,7,0))</f>
        <v>15</v>
      </c>
      <c r="AB59" s="53" t="str">
        <f>IF(VLOOKUP(AB$2,行为概览!$D$3:$J$33,7,0)="","",VLOOKUP(AB$2,行为概览!$D$3:$J$33,7,0))</f>
        <v/>
      </c>
      <c r="AC59" s="53" t="str">
        <f>IF(VLOOKUP(AC$2,行为概览!$D$3:$J$33,7,0)="","",VLOOKUP(AC$2,行为概览!$D$3:$J$33,7,0))</f>
        <v/>
      </c>
      <c r="AD59" s="53" t="str">
        <f>IF(VLOOKUP(AD$2,行为概览!$D$3:$J$33,7,0)="","",VLOOKUP(AD$2,行为概览!$D$3:$J$33,7,0))</f>
        <v/>
      </c>
      <c r="AE59" s="68" t="str">
        <f>IF(VLOOKUP(AE$2,行为概览!$D$3:$J$33,7,0)="","",VLOOKUP(AE$2,行为概览!$D$3:$J$33,7,0))</f>
        <v/>
      </c>
      <c r="AF59" s="1">
        <f>IF(C59="","",ROUND(C59*玩法行为规划!B59,2))</f>
        <v>16.670000000000002</v>
      </c>
      <c r="AG59" s="2">
        <f>IF(D59="","",ROUND(D59*玩法行为规划!C59,2))</f>
        <v>6.6</v>
      </c>
      <c r="AH59" s="2">
        <f>IF(E59="","",ROUND(E59*玩法行为规划!D59,2))</f>
        <v>2.5</v>
      </c>
      <c r="AI59" s="2">
        <f>IF(F59="","",ROUND(F59*玩法行为规划!E59,2))</f>
        <v>15</v>
      </c>
      <c r="AJ59" s="2" t="str">
        <f>IF(G59="","",ROUND(G59*玩法行为规划!F59,2))</f>
        <v/>
      </c>
      <c r="AK59" s="2" t="str">
        <f>IF(H59="","",ROUND(H59*玩法行为规划!G59,2))</f>
        <v/>
      </c>
      <c r="AL59" s="2" t="str">
        <f>IF(I59="","",ROUND(I59*玩法行为规划!H59,2))</f>
        <v/>
      </c>
      <c r="AM59" s="2" t="str">
        <f>IF(J59="","",ROUND(J59*玩法行为规划!I59,2))</f>
        <v/>
      </c>
      <c r="AN59" s="2">
        <f>IF(K59="","",ROUND(K59*玩法行为规划!J59,2))</f>
        <v>10</v>
      </c>
      <c r="AO59" s="2">
        <f>IF(L59="","",ROUND(L59*玩法行为规划!K59,2))</f>
        <v>3.33</v>
      </c>
      <c r="AP59" s="2">
        <f>IF(M59="","",ROUND(M59*玩法行为规划!L59,2))</f>
        <v>20</v>
      </c>
      <c r="AQ59" s="2">
        <f>IF(N59="","",ROUND(N59*玩法行为规划!M59,2))</f>
        <v>12</v>
      </c>
      <c r="AR59" s="2">
        <f>IF(O59="","",ROUND(O59*玩法行为规划!N59,2))</f>
        <v>12.5</v>
      </c>
      <c r="AS59" s="2">
        <f>IF(P59="","",ROUND(P59*玩法行为规划!O59,2))</f>
        <v>0.83</v>
      </c>
      <c r="AT59" s="2">
        <f>IF(Q59="","",ROUND(Q59*玩法行为规划!P59,2))</f>
        <v>52</v>
      </c>
      <c r="AU59" s="2">
        <f>IF(R59="","",ROUND(R59*玩法行为规划!Q59,2))</f>
        <v>6</v>
      </c>
      <c r="AV59" s="2">
        <f>IF(S59="","",ROUND(S59*玩法行为规划!R59,2))</f>
        <v>6.67</v>
      </c>
      <c r="AW59" s="2">
        <f>IF(T59="","",ROUND(T59*玩法行为规划!S59,2))</f>
        <v>0</v>
      </c>
      <c r="AX59" s="2">
        <f>IF(U59="","",ROUND(U59*玩法行为规划!T59,2))</f>
        <v>5</v>
      </c>
      <c r="AY59" s="2">
        <f>IF(V59="","",ROUND(V59*玩法行为规划!U59,2))</f>
        <v>6.67</v>
      </c>
      <c r="AZ59" s="2">
        <f>IF(W59="","",ROUND(W59*玩法行为规划!V59,2))</f>
        <v>2.5</v>
      </c>
      <c r="BA59" s="2">
        <f>IF(X59="","",ROUND(X59*玩法行为规划!W59,2))</f>
        <v>5</v>
      </c>
      <c r="BB59" s="2">
        <f>IF(Y59="","",ROUND(Y59*玩法行为规划!X59,2))</f>
        <v>6.25</v>
      </c>
      <c r="BC59" s="2">
        <f>IF(Z59="","",ROUND(Z59*玩法行为规划!Y59,2))</f>
        <v>8.75</v>
      </c>
      <c r="BD59" s="2">
        <f>IF(AA59="","",ROUND(AA59*玩法行为规划!Z59,2))</f>
        <v>2.5</v>
      </c>
      <c r="BE59" s="2" t="str">
        <f>IF(AB59="","",ROUND(AB59*玩法行为规划!AA59,2))</f>
        <v/>
      </c>
      <c r="BF59" s="2" t="str">
        <f>IF(AC59="","",ROUND(AC59*玩法行为规划!AB59,2))</f>
        <v/>
      </c>
      <c r="BG59" s="2" t="str">
        <f>IF(AD59="","",ROUND(AD59*玩法行为规划!AC59,2))</f>
        <v/>
      </c>
      <c r="BH59" s="3" t="str">
        <f>IF(AE59="","",ROUND(AE59*玩法行为规划!AD59,2))</f>
        <v/>
      </c>
      <c r="BI59" s="7">
        <f t="shared" si="6"/>
        <v>200.76999999999998</v>
      </c>
      <c r="BJ59" s="7">
        <f t="shared" si="7"/>
        <v>4577556</v>
      </c>
      <c r="BK59" s="10">
        <f t="shared" si="3"/>
        <v>460600</v>
      </c>
      <c r="BL59" s="21" t="str">
        <f t="shared" si="9"/>
        <v/>
      </c>
      <c r="BM59" s="7">
        <f t="shared" si="8"/>
        <v>0.10728699013639843</v>
      </c>
      <c r="BN59" s="69">
        <f>INT(BJ59*升级节奏!G59+BK59)</f>
        <v>4293158</v>
      </c>
      <c r="BO59" s="7">
        <f t="shared" si="4"/>
        <v>253</v>
      </c>
      <c r="BP59" s="7"/>
    </row>
    <row r="60" spans="1:68">
      <c r="A60" s="29">
        <v>58</v>
      </c>
      <c r="B60" s="84">
        <f>升级节奏!C60</f>
        <v>23200</v>
      </c>
      <c r="C60" s="53">
        <f>IF(VLOOKUP(C$2,行为概览!$D$3:$J$33,7,0)="","",VLOOKUP(C$2,行为概览!$D$3:$J$33,7,0))</f>
        <v>50</v>
      </c>
      <c r="D60" s="53">
        <f>IF(VLOOKUP(D$2,行为概览!$D$3:$J$33,7,0)="","",VLOOKUP(D$2,行为概览!$D$3:$J$33,7,0))</f>
        <v>3.3</v>
      </c>
      <c r="E60" s="53">
        <f>IF(VLOOKUP(E$2,行为概览!$D$3:$J$33,7,0)="","",VLOOKUP(E$2,行为概览!$D$3:$J$33,7,0))</f>
        <v>30</v>
      </c>
      <c r="F60" s="53">
        <f>IF(VLOOKUP(F$2,行为概览!$D$3:$J$33,7,0)="","",VLOOKUP(F$2,行为概览!$D$3:$J$33,7,0))</f>
        <v>15</v>
      </c>
      <c r="G60" s="53" t="str">
        <f>IF(VLOOKUP(G$2,行为概览!$D$3:$J$33,7,0)="","",VLOOKUP(G$2,行为概览!$D$3:$J$33,7,0))</f>
        <v/>
      </c>
      <c r="H60" s="53" t="str">
        <f>IF(VLOOKUP(H$2,行为概览!$D$3:$J$33,7,0)="","",VLOOKUP(H$2,行为概览!$D$3:$J$33,7,0))</f>
        <v/>
      </c>
      <c r="I60" s="53" t="str">
        <f>IF(VLOOKUP(I$2,行为概览!$D$3:$J$33,7,0)="","",VLOOKUP(I$2,行为概览!$D$3:$J$33,7,0))</f>
        <v/>
      </c>
      <c r="J60" s="53" t="str">
        <f>IF(VLOOKUP(J$2,行为概览!$D$3:$J$33,7,0)="","",VLOOKUP(J$2,行为概览!$D$3:$J$33,7,0))</f>
        <v/>
      </c>
      <c r="K60" s="53">
        <f>IF(VLOOKUP(K$2,行为概览!$D$3:$J$33,7,0)="","",VLOOKUP(K$2,行为概览!$D$3:$J$33,7,0))</f>
        <v>20</v>
      </c>
      <c r="L60" s="53">
        <f>IF(VLOOKUP(L$2,行为概览!$D$3:$J$33,7,0)="","",VLOOKUP(L$2,行为概览!$D$3:$J$33,7,0))</f>
        <v>20</v>
      </c>
      <c r="M60" s="53">
        <f>IF(VLOOKUP(M$2,行为概览!$D$3:$J$33,7,0)="","",VLOOKUP(M$2,行为概览!$D$3:$J$33,7,0))</f>
        <v>40</v>
      </c>
      <c r="N60" s="53">
        <f>IF(VLOOKUP(N$2,行为概览!$D$3:$J$33,7,0)="","",VLOOKUP(N$2,行为概览!$D$3:$J$33,7,0))</f>
        <v>1</v>
      </c>
      <c r="O60" s="53">
        <f>IF(VLOOKUP(O$2,行为概览!$D$3:$J$33,7,0)="","",VLOOKUP(O$2,行为概览!$D$3:$J$33,7,0))</f>
        <v>150</v>
      </c>
      <c r="P60" s="53">
        <f>IF(VLOOKUP(P$2,行为概览!$D$3:$J$33,7,0)="","",VLOOKUP(P$2,行为概览!$D$3:$J$33,7,0))</f>
        <v>10</v>
      </c>
      <c r="Q60" s="53">
        <f>IF(VLOOKUP(Q$2,行为概览!$D$3:$J$33,7,0)="","",VLOOKUP(Q$2,行为概览!$D$3:$J$33,7,0))</f>
        <v>20</v>
      </c>
      <c r="R60" s="53">
        <f>IF(VLOOKUP(R$2,行为概览!$D$3:$J$33,7,0)="","",VLOOKUP(R$2,行为概览!$D$3:$J$33,7,0))</f>
        <v>6</v>
      </c>
      <c r="S60" s="53">
        <f>IF(VLOOKUP(S$2,行为概览!$D$3:$J$33,7,0)="","",VLOOKUP(S$2,行为概览!$D$3:$J$33,7,0))</f>
        <v>20</v>
      </c>
      <c r="T60" s="53">
        <f>IF(VLOOKUP(T$2,行为概览!$D$3:$J$33,7,0)="","",VLOOKUP(T$2,行为概览!$D$3:$J$33,7,0))</f>
        <v>15</v>
      </c>
      <c r="U60" s="53">
        <f>IF(VLOOKUP(U$2,行为概览!$D$3:$J$33,7,0)="","",VLOOKUP(U$2,行为概览!$D$3:$J$33,7,0))</f>
        <v>15</v>
      </c>
      <c r="V60" s="53">
        <f>IF(VLOOKUP(V$2,行为概览!$D$3:$J$33,7,0)="","",VLOOKUP(V$2,行为概览!$D$3:$J$33,7,0))</f>
        <v>40</v>
      </c>
      <c r="W60" s="53">
        <f>IF(VLOOKUP(W$2,行为概览!$D$3:$J$33,7,0)="","",VLOOKUP(W$2,行为概览!$D$3:$J$33,7,0))</f>
        <v>15</v>
      </c>
      <c r="X60" s="53">
        <f>IF(VLOOKUP(X$2,行为概览!$D$3:$J$33,7,0)="","",VLOOKUP(X$2,行为概览!$D$3:$J$33,7,0))</f>
        <v>30</v>
      </c>
      <c r="Y60" s="53">
        <f>IF(VLOOKUP(Y$2,行为概览!$D$3:$J$33,7,0)="","",VLOOKUP(Y$2,行为概览!$D$3:$J$33,7,0))</f>
        <v>25</v>
      </c>
      <c r="Z60" s="53">
        <f>IF(VLOOKUP(Z$2,行为概览!$D$3:$J$33,7,0)="","",VLOOKUP(Z$2,行为概览!$D$3:$J$33,7,0))</f>
        <v>15</v>
      </c>
      <c r="AA60" s="53">
        <f>IF(VLOOKUP(AA$2,行为概览!$D$3:$J$33,7,0)="","",VLOOKUP(AA$2,行为概览!$D$3:$J$33,7,0))</f>
        <v>15</v>
      </c>
      <c r="AB60" s="53" t="str">
        <f>IF(VLOOKUP(AB$2,行为概览!$D$3:$J$33,7,0)="","",VLOOKUP(AB$2,行为概览!$D$3:$J$33,7,0))</f>
        <v/>
      </c>
      <c r="AC60" s="53" t="str">
        <f>IF(VLOOKUP(AC$2,行为概览!$D$3:$J$33,7,0)="","",VLOOKUP(AC$2,行为概览!$D$3:$J$33,7,0))</f>
        <v/>
      </c>
      <c r="AD60" s="53" t="str">
        <f>IF(VLOOKUP(AD$2,行为概览!$D$3:$J$33,7,0)="","",VLOOKUP(AD$2,行为概览!$D$3:$J$33,7,0))</f>
        <v/>
      </c>
      <c r="AE60" s="68" t="str">
        <f>IF(VLOOKUP(AE$2,行为概览!$D$3:$J$33,7,0)="","",VLOOKUP(AE$2,行为概览!$D$3:$J$33,7,0))</f>
        <v/>
      </c>
      <c r="AF60" s="1">
        <f>IF(C60="","",ROUND(C60*玩法行为规划!B60,2))</f>
        <v>16.670000000000002</v>
      </c>
      <c r="AG60" s="2">
        <f>IF(D60="","",ROUND(D60*玩法行为规划!C60,2))</f>
        <v>6.6</v>
      </c>
      <c r="AH60" s="2">
        <f>IF(E60="","",ROUND(E60*玩法行为规划!D60,2))</f>
        <v>2.5</v>
      </c>
      <c r="AI60" s="2">
        <f>IF(F60="","",ROUND(F60*玩法行为规划!E60,2))</f>
        <v>15</v>
      </c>
      <c r="AJ60" s="2" t="str">
        <f>IF(G60="","",ROUND(G60*玩法行为规划!F60,2))</f>
        <v/>
      </c>
      <c r="AK60" s="2" t="str">
        <f>IF(H60="","",ROUND(H60*玩法行为规划!G60,2))</f>
        <v/>
      </c>
      <c r="AL60" s="2" t="str">
        <f>IF(I60="","",ROUND(I60*玩法行为规划!H60,2))</f>
        <v/>
      </c>
      <c r="AM60" s="2" t="str">
        <f>IF(J60="","",ROUND(J60*玩法行为规划!I60,2))</f>
        <v/>
      </c>
      <c r="AN60" s="2">
        <f>IF(K60="","",ROUND(K60*玩法行为规划!J60,2))</f>
        <v>10</v>
      </c>
      <c r="AO60" s="2">
        <f>IF(L60="","",ROUND(L60*玩法行为规划!K60,2))</f>
        <v>3.33</v>
      </c>
      <c r="AP60" s="2">
        <f>IF(M60="","",ROUND(M60*玩法行为规划!L60,2))</f>
        <v>20</v>
      </c>
      <c r="AQ60" s="2">
        <f>IF(N60="","",ROUND(N60*玩法行为规划!M60,2))</f>
        <v>12</v>
      </c>
      <c r="AR60" s="2">
        <f>IF(O60="","",ROUND(O60*玩法行为规划!N60,2))</f>
        <v>12.5</v>
      </c>
      <c r="AS60" s="2">
        <f>IF(P60="","",ROUND(P60*玩法行为规划!O60,2))</f>
        <v>0.83</v>
      </c>
      <c r="AT60" s="2">
        <f>IF(Q60="","",ROUND(Q60*玩法行为规划!P60,2))</f>
        <v>52</v>
      </c>
      <c r="AU60" s="2">
        <f>IF(R60="","",ROUND(R60*玩法行为规划!Q60,2))</f>
        <v>6</v>
      </c>
      <c r="AV60" s="2">
        <f>IF(S60="","",ROUND(S60*玩法行为规划!R60,2))</f>
        <v>6.67</v>
      </c>
      <c r="AW60" s="2">
        <f>IF(T60="","",ROUND(T60*玩法行为规划!S60,2))</f>
        <v>0</v>
      </c>
      <c r="AX60" s="2">
        <f>IF(U60="","",ROUND(U60*玩法行为规划!T60,2))</f>
        <v>5</v>
      </c>
      <c r="AY60" s="2">
        <f>IF(V60="","",ROUND(V60*玩法行为规划!U60,2))</f>
        <v>6.67</v>
      </c>
      <c r="AZ60" s="2">
        <f>IF(W60="","",ROUND(W60*玩法行为规划!V60,2))</f>
        <v>2.5</v>
      </c>
      <c r="BA60" s="2">
        <f>IF(X60="","",ROUND(X60*玩法行为规划!W60,2))</f>
        <v>5</v>
      </c>
      <c r="BB60" s="2">
        <f>IF(Y60="","",ROUND(Y60*玩法行为规划!X60,2))</f>
        <v>6.25</v>
      </c>
      <c r="BC60" s="2">
        <f>IF(Z60="","",ROUND(Z60*玩法行为规划!Y60,2))</f>
        <v>8.75</v>
      </c>
      <c r="BD60" s="2">
        <f>IF(AA60="","",ROUND(AA60*玩法行为规划!Z60,2))</f>
        <v>2.5</v>
      </c>
      <c r="BE60" s="2" t="str">
        <f>IF(AB60="","",ROUND(AB60*玩法行为规划!AA60,2))</f>
        <v/>
      </c>
      <c r="BF60" s="2" t="str">
        <f>IF(AC60="","",ROUND(AC60*玩法行为规划!AB60,2))</f>
        <v/>
      </c>
      <c r="BG60" s="2" t="str">
        <f>IF(AD60="","",ROUND(AD60*玩法行为规划!AC60,2))</f>
        <v/>
      </c>
      <c r="BH60" s="3" t="str">
        <f>IF(AE60="","",ROUND(AE60*玩法行为规划!AD60,2))</f>
        <v/>
      </c>
      <c r="BI60" s="7">
        <f t="shared" si="6"/>
        <v>200.76999999999998</v>
      </c>
      <c r="BJ60" s="7">
        <f t="shared" si="7"/>
        <v>4657864</v>
      </c>
      <c r="BK60" s="10">
        <f t="shared" si="3"/>
        <v>482600</v>
      </c>
      <c r="BL60" s="21" t="str">
        <f t="shared" si="9"/>
        <v/>
      </c>
      <c r="BM60" s="7">
        <f t="shared" si="8"/>
        <v>0.10685714665290913</v>
      </c>
      <c r="BN60" s="69">
        <f>INT(BJ60*升级节奏!G60+BK60)</f>
        <v>4516310</v>
      </c>
      <c r="BO60" s="7">
        <f t="shared" si="4"/>
        <v>258</v>
      </c>
      <c r="BP60" s="7"/>
    </row>
    <row r="61" spans="1:68">
      <c r="A61" s="29">
        <v>59</v>
      </c>
      <c r="B61" s="84">
        <f>升级节奏!C61</f>
        <v>23600</v>
      </c>
      <c r="C61" s="53">
        <f>IF(VLOOKUP(C$2,行为概览!$D$3:$J$33,7,0)="","",VLOOKUP(C$2,行为概览!$D$3:$J$33,7,0))</f>
        <v>50</v>
      </c>
      <c r="D61" s="53">
        <f>IF(VLOOKUP(D$2,行为概览!$D$3:$J$33,7,0)="","",VLOOKUP(D$2,行为概览!$D$3:$J$33,7,0))</f>
        <v>3.3</v>
      </c>
      <c r="E61" s="53">
        <f>IF(VLOOKUP(E$2,行为概览!$D$3:$J$33,7,0)="","",VLOOKUP(E$2,行为概览!$D$3:$J$33,7,0))</f>
        <v>30</v>
      </c>
      <c r="F61" s="53">
        <f>IF(VLOOKUP(F$2,行为概览!$D$3:$J$33,7,0)="","",VLOOKUP(F$2,行为概览!$D$3:$J$33,7,0))</f>
        <v>15</v>
      </c>
      <c r="G61" s="53" t="str">
        <f>IF(VLOOKUP(G$2,行为概览!$D$3:$J$33,7,0)="","",VLOOKUP(G$2,行为概览!$D$3:$J$33,7,0))</f>
        <v/>
      </c>
      <c r="H61" s="53" t="str">
        <f>IF(VLOOKUP(H$2,行为概览!$D$3:$J$33,7,0)="","",VLOOKUP(H$2,行为概览!$D$3:$J$33,7,0))</f>
        <v/>
      </c>
      <c r="I61" s="53" t="str">
        <f>IF(VLOOKUP(I$2,行为概览!$D$3:$J$33,7,0)="","",VLOOKUP(I$2,行为概览!$D$3:$J$33,7,0))</f>
        <v/>
      </c>
      <c r="J61" s="53" t="str">
        <f>IF(VLOOKUP(J$2,行为概览!$D$3:$J$33,7,0)="","",VLOOKUP(J$2,行为概览!$D$3:$J$33,7,0))</f>
        <v/>
      </c>
      <c r="K61" s="53">
        <f>IF(VLOOKUP(K$2,行为概览!$D$3:$J$33,7,0)="","",VLOOKUP(K$2,行为概览!$D$3:$J$33,7,0))</f>
        <v>20</v>
      </c>
      <c r="L61" s="53">
        <f>IF(VLOOKUP(L$2,行为概览!$D$3:$J$33,7,0)="","",VLOOKUP(L$2,行为概览!$D$3:$J$33,7,0))</f>
        <v>20</v>
      </c>
      <c r="M61" s="53">
        <f>IF(VLOOKUP(M$2,行为概览!$D$3:$J$33,7,0)="","",VLOOKUP(M$2,行为概览!$D$3:$J$33,7,0))</f>
        <v>40</v>
      </c>
      <c r="N61" s="53">
        <f>IF(VLOOKUP(N$2,行为概览!$D$3:$J$33,7,0)="","",VLOOKUP(N$2,行为概览!$D$3:$J$33,7,0))</f>
        <v>1</v>
      </c>
      <c r="O61" s="53">
        <f>IF(VLOOKUP(O$2,行为概览!$D$3:$J$33,7,0)="","",VLOOKUP(O$2,行为概览!$D$3:$J$33,7,0))</f>
        <v>150</v>
      </c>
      <c r="P61" s="53">
        <f>IF(VLOOKUP(P$2,行为概览!$D$3:$J$33,7,0)="","",VLOOKUP(P$2,行为概览!$D$3:$J$33,7,0))</f>
        <v>10</v>
      </c>
      <c r="Q61" s="53">
        <f>IF(VLOOKUP(Q$2,行为概览!$D$3:$J$33,7,0)="","",VLOOKUP(Q$2,行为概览!$D$3:$J$33,7,0))</f>
        <v>20</v>
      </c>
      <c r="R61" s="53">
        <f>IF(VLOOKUP(R$2,行为概览!$D$3:$J$33,7,0)="","",VLOOKUP(R$2,行为概览!$D$3:$J$33,7,0))</f>
        <v>6</v>
      </c>
      <c r="S61" s="53">
        <f>IF(VLOOKUP(S$2,行为概览!$D$3:$J$33,7,0)="","",VLOOKUP(S$2,行为概览!$D$3:$J$33,7,0))</f>
        <v>20</v>
      </c>
      <c r="T61" s="53">
        <f>IF(VLOOKUP(T$2,行为概览!$D$3:$J$33,7,0)="","",VLOOKUP(T$2,行为概览!$D$3:$J$33,7,0))</f>
        <v>15</v>
      </c>
      <c r="U61" s="53">
        <f>IF(VLOOKUP(U$2,行为概览!$D$3:$J$33,7,0)="","",VLOOKUP(U$2,行为概览!$D$3:$J$33,7,0))</f>
        <v>15</v>
      </c>
      <c r="V61" s="53">
        <f>IF(VLOOKUP(V$2,行为概览!$D$3:$J$33,7,0)="","",VLOOKUP(V$2,行为概览!$D$3:$J$33,7,0))</f>
        <v>40</v>
      </c>
      <c r="W61" s="53">
        <f>IF(VLOOKUP(W$2,行为概览!$D$3:$J$33,7,0)="","",VLOOKUP(W$2,行为概览!$D$3:$J$33,7,0))</f>
        <v>15</v>
      </c>
      <c r="X61" s="53">
        <f>IF(VLOOKUP(X$2,行为概览!$D$3:$J$33,7,0)="","",VLOOKUP(X$2,行为概览!$D$3:$J$33,7,0))</f>
        <v>30</v>
      </c>
      <c r="Y61" s="53">
        <f>IF(VLOOKUP(Y$2,行为概览!$D$3:$J$33,7,0)="","",VLOOKUP(Y$2,行为概览!$D$3:$J$33,7,0))</f>
        <v>25</v>
      </c>
      <c r="Z61" s="53">
        <f>IF(VLOOKUP(Z$2,行为概览!$D$3:$J$33,7,0)="","",VLOOKUP(Z$2,行为概览!$D$3:$J$33,7,0))</f>
        <v>15</v>
      </c>
      <c r="AA61" s="53">
        <f>IF(VLOOKUP(AA$2,行为概览!$D$3:$J$33,7,0)="","",VLOOKUP(AA$2,行为概览!$D$3:$J$33,7,0))</f>
        <v>15</v>
      </c>
      <c r="AB61" s="53" t="str">
        <f>IF(VLOOKUP(AB$2,行为概览!$D$3:$J$33,7,0)="","",VLOOKUP(AB$2,行为概览!$D$3:$J$33,7,0))</f>
        <v/>
      </c>
      <c r="AC61" s="53" t="str">
        <f>IF(VLOOKUP(AC$2,行为概览!$D$3:$J$33,7,0)="","",VLOOKUP(AC$2,行为概览!$D$3:$J$33,7,0))</f>
        <v/>
      </c>
      <c r="AD61" s="53" t="str">
        <f>IF(VLOOKUP(AD$2,行为概览!$D$3:$J$33,7,0)="","",VLOOKUP(AD$2,行为概览!$D$3:$J$33,7,0))</f>
        <v/>
      </c>
      <c r="AE61" s="68" t="str">
        <f>IF(VLOOKUP(AE$2,行为概览!$D$3:$J$33,7,0)="","",VLOOKUP(AE$2,行为概览!$D$3:$J$33,7,0))</f>
        <v/>
      </c>
      <c r="AF61" s="1">
        <f>IF(C61="","",ROUND(C61*玩法行为规划!B61,2))</f>
        <v>16.670000000000002</v>
      </c>
      <c r="AG61" s="2">
        <f>IF(D61="","",ROUND(D61*玩法行为规划!C61,2))</f>
        <v>6.6</v>
      </c>
      <c r="AH61" s="2">
        <f>IF(E61="","",ROUND(E61*玩法行为规划!D61,2))</f>
        <v>2.5</v>
      </c>
      <c r="AI61" s="2">
        <f>IF(F61="","",ROUND(F61*玩法行为规划!E61,2))</f>
        <v>15</v>
      </c>
      <c r="AJ61" s="2" t="str">
        <f>IF(G61="","",ROUND(G61*玩法行为规划!F61,2))</f>
        <v/>
      </c>
      <c r="AK61" s="2" t="str">
        <f>IF(H61="","",ROUND(H61*玩法行为规划!G61,2))</f>
        <v/>
      </c>
      <c r="AL61" s="2" t="str">
        <f>IF(I61="","",ROUND(I61*玩法行为规划!H61,2))</f>
        <v/>
      </c>
      <c r="AM61" s="2" t="str">
        <f>IF(J61="","",ROUND(J61*玩法行为规划!I61,2))</f>
        <v/>
      </c>
      <c r="AN61" s="2">
        <f>IF(K61="","",ROUND(K61*玩法行为规划!J61,2))</f>
        <v>10</v>
      </c>
      <c r="AO61" s="2">
        <f>IF(L61="","",ROUND(L61*玩法行为规划!K61,2))</f>
        <v>3.33</v>
      </c>
      <c r="AP61" s="2">
        <f>IF(M61="","",ROUND(M61*玩法行为规划!L61,2))</f>
        <v>20</v>
      </c>
      <c r="AQ61" s="2">
        <f>IF(N61="","",ROUND(N61*玩法行为规划!M61,2))</f>
        <v>12</v>
      </c>
      <c r="AR61" s="2">
        <f>IF(O61="","",ROUND(O61*玩法行为规划!N61,2))</f>
        <v>12.5</v>
      </c>
      <c r="AS61" s="2">
        <f>IF(P61="","",ROUND(P61*玩法行为规划!O61,2))</f>
        <v>0.83</v>
      </c>
      <c r="AT61" s="2">
        <f>IF(Q61="","",ROUND(Q61*玩法行为规划!P61,2))</f>
        <v>52</v>
      </c>
      <c r="AU61" s="2">
        <f>IF(R61="","",ROUND(R61*玩法行为规划!Q61,2))</f>
        <v>6</v>
      </c>
      <c r="AV61" s="2">
        <f>IF(S61="","",ROUND(S61*玩法行为规划!R61,2))</f>
        <v>6.67</v>
      </c>
      <c r="AW61" s="2">
        <f>IF(T61="","",ROUND(T61*玩法行为规划!S61,2))</f>
        <v>0</v>
      </c>
      <c r="AX61" s="2">
        <f>IF(U61="","",ROUND(U61*玩法行为规划!T61,2))</f>
        <v>5</v>
      </c>
      <c r="AY61" s="2">
        <f>IF(V61="","",ROUND(V61*玩法行为规划!U61,2))</f>
        <v>6.67</v>
      </c>
      <c r="AZ61" s="2">
        <f>IF(W61="","",ROUND(W61*玩法行为规划!V61,2))</f>
        <v>2.5</v>
      </c>
      <c r="BA61" s="2">
        <f>IF(X61="","",ROUND(X61*玩法行为规划!W61,2))</f>
        <v>5</v>
      </c>
      <c r="BB61" s="2">
        <f>IF(Y61="","",ROUND(Y61*玩法行为规划!X61,2))</f>
        <v>6.25</v>
      </c>
      <c r="BC61" s="2">
        <f>IF(Z61="","",ROUND(Z61*玩法行为规划!Y61,2))</f>
        <v>8.75</v>
      </c>
      <c r="BD61" s="2">
        <f>IF(AA61="","",ROUND(AA61*玩法行为规划!Z61,2))</f>
        <v>2.5</v>
      </c>
      <c r="BE61" s="2" t="str">
        <f>IF(AB61="","",ROUND(AB61*玩法行为规划!AA61,2))</f>
        <v/>
      </c>
      <c r="BF61" s="2" t="str">
        <f>IF(AC61="","",ROUND(AC61*玩法行为规划!AB61,2))</f>
        <v/>
      </c>
      <c r="BG61" s="2" t="str">
        <f>IF(AD61="","",ROUND(AD61*玩法行为规划!AC61,2))</f>
        <v/>
      </c>
      <c r="BH61" s="3" t="str">
        <f>IF(AE61="","",ROUND(AE61*玩法行为规划!AD61,2))</f>
        <v/>
      </c>
      <c r="BI61" s="7">
        <f t="shared" si="6"/>
        <v>200.76999999999998</v>
      </c>
      <c r="BJ61" s="7">
        <f t="shared" si="7"/>
        <v>4738172</v>
      </c>
      <c r="BK61" s="10">
        <f t="shared" si="3"/>
        <v>505000</v>
      </c>
      <c r="BL61" s="21" t="str">
        <f t="shared" si="9"/>
        <v/>
      </c>
      <c r="BM61" s="7">
        <f t="shared" si="8"/>
        <v>0.10638638523921558</v>
      </c>
      <c r="BN61" s="69">
        <f>INT(BJ61*升级节奏!G61+BK61)</f>
        <v>4746848</v>
      </c>
      <c r="BO61" s="7">
        <f t="shared" si="4"/>
        <v>262</v>
      </c>
      <c r="BP61" s="7"/>
    </row>
    <row r="62" spans="1:68">
      <c r="A62" s="29">
        <v>60</v>
      </c>
      <c r="B62" s="84">
        <f>升级节奏!C62</f>
        <v>24000</v>
      </c>
      <c r="C62" s="53">
        <f>IF(VLOOKUP(C$2,行为概览!$D$3:$J$33,7,0)="","",VLOOKUP(C$2,行为概览!$D$3:$J$33,7,0))</f>
        <v>50</v>
      </c>
      <c r="D62" s="53">
        <f>IF(VLOOKUP(D$2,行为概览!$D$3:$J$33,7,0)="","",VLOOKUP(D$2,行为概览!$D$3:$J$33,7,0))</f>
        <v>3.3</v>
      </c>
      <c r="E62" s="53">
        <f>IF(VLOOKUP(E$2,行为概览!$D$3:$J$33,7,0)="","",VLOOKUP(E$2,行为概览!$D$3:$J$33,7,0))</f>
        <v>30</v>
      </c>
      <c r="F62" s="53">
        <f>IF(VLOOKUP(F$2,行为概览!$D$3:$J$33,7,0)="","",VLOOKUP(F$2,行为概览!$D$3:$J$33,7,0))</f>
        <v>15</v>
      </c>
      <c r="G62" s="53" t="str">
        <f>IF(VLOOKUP(G$2,行为概览!$D$3:$J$33,7,0)="","",VLOOKUP(G$2,行为概览!$D$3:$J$33,7,0))</f>
        <v/>
      </c>
      <c r="H62" s="53" t="str">
        <f>IF(VLOOKUP(H$2,行为概览!$D$3:$J$33,7,0)="","",VLOOKUP(H$2,行为概览!$D$3:$J$33,7,0))</f>
        <v/>
      </c>
      <c r="I62" s="53" t="str">
        <f>IF(VLOOKUP(I$2,行为概览!$D$3:$J$33,7,0)="","",VLOOKUP(I$2,行为概览!$D$3:$J$33,7,0))</f>
        <v/>
      </c>
      <c r="J62" s="53" t="str">
        <f>IF(VLOOKUP(J$2,行为概览!$D$3:$J$33,7,0)="","",VLOOKUP(J$2,行为概览!$D$3:$J$33,7,0))</f>
        <v/>
      </c>
      <c r="K62" s="53">
        <f>IF(VLOOKUP(K$2,行为概览!$D$3:$J$33,7,0)="","",VLOOKUP(K$2,行为概览!$D$3:$J$33,7,0))</f>
        <v>20</v>
      </c>
      <c r="L62" s="53">
        <f>IF(VLOOKUP(L$2,行为概览!$D$3:$J$33,7,0)="","",VLOOKUP(L$2,行为概览!$D$3:$J$33,7,0))</f>
        <v>20</v>
      </c>
      <c r="M62" s="53">
        <f>IF(VLOOKUP(M$2,行为概览!$D$3:$J$33,7,0)="","",VLOOKUP(M$2,行为概览!$D$3:$J$33,7,0))</f>
        <v>40</v>
      </c>
      <c r="N62" s="53">
        <f>IF(VLOOKUP(N$2,行为概览!$D$3:$J$33,7,0)="","",VLOOKUP(N$2,行为概览!$D$3:$J$33,7,0))</f>
        <v>1</v>
      </c>
      <c r="O62" s="53">
        <f>IF(VLOOKUP(O$2,行为概览!$D$3:$J$33,7,0)="","",VLOOKUP(O$2,行为概览!$D$3:$J$33,7,0))</f>
        <v>150</v>
      </c>
      <c r="P62" s="53">
        <f>IF(VLOOKUP(P$2,行为概览!$D$3:$J$33,7,0)="","",VLOOKUP(P$2,行为概览!$D$3:$J$33,7,0))</f>
        <v>10</v>
      </c>
      <c r="Q62" s="53">
        <f>IF(VLOOKUP(Q$2,行为概览!$D$3:$J$33,7,0)="","",VLOOKUP(Q$2,行为概览!$D$3:$J$33,7,0))</f>
        <v>20</v>
      </c>
      <c r="R62" s="53">
        <f>IF(VLOOKUP(R$2,行为概览!$D$3:$J$33,7,0)="","",VLOOKUP(R$2,行为概览!$D$3:$J$33,7,0))</f>
        <v>6</v>
      </c>
      <c r="S62" s="53">
        <f>IF(VLOOKUP(S$2,行为概览!$D$3:$J$33,7,0)="","",VLOOKUP(S$2,行为概览!$D$3:$J$33,7,0))</f>
        <v>20</v>
      </c>
      <c r="T62" s="53">
        <f>IF(VLOOKUP(T$2,行为概览!$D$3:$J$33,7,0)="","",VLOOKUP(T$2,行为概览!$D$3:$J$33,7,0))</f>
        <v>15</v>
      </c>
      <c r="U62" s="53">
        <f>IF(VLOOKUP(U$2,行为概览!$D$3:$J$33,7,0)="","",VLOOKUP(U$2,行为概览!$D$3:$J$33,7,0))</f>
        <v>15</v>
      </c>
      <c r="V62" s="53">
        <f>IF(VLOOKUP(V$2,行为概览!$D$3:$J$33,7,0)="","",VLOOKUP(V$2,行为概览!$D$3:$J$33,7,0))</f>
        <v>40</v>
      </c>
      <c r="W62" s="53">
        <f>IF(VLOOKUP(W$2,行为概览!$D$3:$J$33,7,0)="","",VLOOKUP(W$2,行为概览!$D$3:$J$33,7,0))</f>
        <v>15</v>
      </c>
      <c r="X62" s="53">
        <f>IF(VLOOKUP(X$2,行为概览!$D$3:$J$33,7,0)="","",VLOOKUP(X$2,行为概览!$D$3:$J$33,7,0))</f>
        <v>30</v>
      </c>
      <c r="Y62" s="53">
        <f>IF(VLOOKUP(Y$2,行为概览!$D$3:$J$33,7,0)="","",VLOOKUP(Y$2,行为概览!$D$3:$J$33,7,0))</f>
        <v>25</v>
      </c>
      <c r="Z62" s="53">
        <f>IF(VLOOKUP(Z$2,行为概览!$D$3:$J$33,7,0)="","",VLOOKUP(Z$2,行为概览!$D$3:$J$33,7,0))</f>
        <v>15</v>
      </c>
      <c r="AA62" s="53">
        <f>IF(VLOOKUP(AA$2,行为概览!$D$3:$J$33,7,0)="","",VLOOKUP(AA$2,行为概览!$D$3:$J$33,7,0))</f>
        <v>15</v>
      </c>
      <c r="AB62" s="53" t="str">
        <f>IF(VLOOKUP(AB$2,行为概览!$D$3:$J$33,7,0)="","",VLOOKUP(AB$2,行为概览!$D$3:$J$33,7,0))</f>
        <v/>
      </c>
      <c r="AC62" s="53" t="str">
        <f>IF(VLOOKUP(AC$2,行为概览!$D$3:$J$33,7,0)="","",VLOOKUP(AC$2,行为概览!$D$3:$J$33,7,0))</f>
        <v/>
      </c>
      <c r="AD62" s="53" t="str">
        <f>IF(VLOOKUP(AD$2,行为概览!$D$3:$J$33,7,0)="","",VLOOKUP(AD$2,行为概览!$D$3:$J$33,7,0))</f>
        <v/>
      </c>
      <c r="AE62" s="68" t="str">
        <f>IF(VLOOKUP(AE$2,行为概览!$D$3:$J$33,7,0)="","",VLOOKUP(AE$2,行为概览!$D$3:$J$33,7,0))</f>
        <v/>
      </c>
      <c r="AF62" s="1">
        <f>IF(C62="","",ROUND(C62*玩法行为规划!B62,2))</f>
        <v>16.670000000000002</v>
      </c>
      <c r="AG62" s="2">
        <f>IF(D62="","",ROUND(D62*玩法行为规划!C62,2))</f>
        <v>6.6</v>
      </c>
      <c r="AH62" s="2">
        <f>IF(E62="","",ROUND(E62*玩法行为规划!D62,2))</f>
        <v>2.5</v>
      </c>
      <c r="AI62" s="2">
        <f>IF(F62="","",ROUND(F62*玩法行为规划!E62,2))</f>
        <v>15</v>
      </c>
      <c r="AJ62" s="2" t="str">
        <f>IF(G62="","",ROUND(G62*玩法行为规划!F62,2))</f>
        <v/>
      </c>
      <c r="AK62" s="2" t="str">
        <f>IF(H62="","",ROUND(H62*玩法行为规划!G62,2))</f>
        <v/>
      </c>
      <c r="AL62" s="2" t="str">
        <f>IF(I62="","",ROUND(I62*玩法行为规划!H62,2))</f>
        <v/>
      </c>
      <c r="AM62" s="2" t="str">
        <f>IF(J62="","",ROUND(J62*玩法行为规划!I62,2))</f>
        <v/>
      </c>
      <c r="AN62" s="2">
        <f>IF(K62="","",ROUND(K62*玩法行为规划!J62,2))</f>
        <v>10</v>
      </c>
      <c r="AO62" s="2">
        <f>IF(L62="","",ROUND(L62*玩法行为规划!K62,2))</f>
        <v>3.33</v>
      </c>
      <c r="AP62" s="2">
        <f>IF(M62="","",ROUND(M62*玩法行为规划!L62,2))</f>
        <v>20</v>
      </c>
      <c r="AQ62" s="2">
        <f>IF(N62="","",ROUND(N62*玩法行为规划!M62,2))</f>
        <v>12</v>
      </c>
      <c r="AR62" s="2">
        <f>IF(O62="","",ROUND(O62*玩法行为规划!N62,2))</f>
        <v>12.5</v>
      </c>
      <c r="AS62" s="2">
        <f>IF(P62="","",ROUND(P62*玩法行为规划!O62,2))</f>
        <v>0.83</v>
      </c>
      <c r="AT62" s="2">
        <f>IF(Q62="","",ROUND(Q62*玩法行为规划!P62,2))</f>
        <v>52</v>
      </c>
      <c r="AU62" s="2">
        <f>IF(R62="","",ROUND(R62*玩法行为规划!Q62,2))</f>
        <v>6</v>
      </c>
      <c r="AV62" s="2">
        <f>IF(S62="","",ROUND(S62*玩法行为规划!R62,2))</f>
        <v>6.67</v>
      </c>
      <c r="AW62" s="2">
        <f>IF(T62="","",ROUND(T62*玩法行为规划!S62,2))</f>
        <v>0</v>
      </c>
      <c r="AX62" s="2">
        <f>IF(U62="","",ROUND(U62*玩法行为规划!T62,2))</f>
        <v>5</v>
      </c>
      <c r="AY62" s="2">
        <f>IF(V62="","",ROUND(V62*玩法行为规划!U62,2))</f>
        <v>6.67</v>
      </c>
      <c r="AZ62" s="2">
        <f>IF(W62="","",ROUND(W62*玩法行为规划!V62,2))</f>
        <v>2.5</v>
      </c>
      <c r="BA62" s="2">
        <f>IF(X62="","",ROUND(X62*玩法行为规划!W62,2))</f>
        <v>5</v>
      </c>
      <c r="BB62" s="2">
        <f>IF(Y62="","",ROUND(Y62*玩法行为规划!X62,2))</f>
        <v>6.25</v>
      </c>
      <c r="BC62" s="2">
        <f>IF(Z62="","",ROUND(Z62*玩法行为规划!Y62,2))</f>
        <v>8.75</v>
      </c>
      <c r="BD62" s="2">
        <f>IF(AA62="","",ROUND(AA62*玩法行为规划!Z62,2))</f>
        <v>2.5</v>
      </c>
      <c r="BE62" s="2" t="str">
        <f>IF(AB62="","",ROUND(AB62*玩法行为规划!AA62,2))</f>
        <v/>
      </c>
      <c r="BF62" s="2" t="str">
        <f>IF(AC62="","",ROUND(AC62*玩法行为规划!AB62,2))</f>
        <v/>
      </c>
      <c r="BG62" s="2" t="str">
        <f>IF(AD62="","",ROUND(AD62*玩法行为规划!AC62,2))</f>
        <v/>
      </c>
      <c r="BH62" s="3" t="str">
        <f>IF(AE62="","",ROUND(AE62*玩法行为规划!AD62,2))</f>
        <v/>
      </c>
      <c r="BI62" s="7">
        <f t="shared" si="6"/>
        <v>200.76999999999998</v>
      </c>
      <c r="BJ62" s="7">
        <f t="shared" si="7"/>
        <v>4818480</v>
      </c>
      <c r="BK62" s="69">
        <f>ROUND(B62*(5+MAX(A62-30,0)*1),-2)</f>
        <v>840000</v>
      </c>
      <c r="BL62" s="21">
        <f t="shared" si="9"/>
        <v>10224000</v>
      </c>
      <c r="BM62" s="7">
        <f t="shared" si="8"/>
        <v>0.12384280691491055</v>
      </c>
      <c r="BN62" s="69">
        <f>INT(BJ62*升级节奏!G62+BK62)</f>
        <v>6782792</v>
      </c>
      <c r="BO62" s="7">
        <f t="shared" si="4"/>
        <v>267</v>
      </c>
      <c r="BP62" s="7"/>
    </row>
    <row r="63" spans="1:68">
      <c r="A63" s="29">
        <v>61</v>
      </c>
      <c r="B63" s="84">
        <f>升级节奏!C63</f>
        <v>24400</v>
      </c>
      <c r="C63" s="53">
        <f>IF(VLOOKUP(C$2,行为概览!$D$3:$J$33,7,0)="","",VLOOKUP(C$2,行为概览!$D$3:$J$33,7,0))</f>
        <v>50</v>
      </c>
      <c r="D63" s="53">
        <f>IF(VLOOKUP(D$2,行为概览!$D$3:$J$33,7,0)="","",VLOOKUP(D$2,行为概览!$D$3:$J$33,7,0))</f>
        <v>3.3</v>
      </c>
      <c r="E63" s="53">
        <f>IF(VLOOKUP(E$2,行为概览!$D$3:$J$33,7,0)="","",VLOOKUP(E$2,行为概览!$D$3:$J$33,7,0))</f>
        <v>30</v>
      </c>
      <c r="F63" s="53">
        <f>IF(VLOOKUP(F$2,行为概览!$D$3:$J$33,7,0)="","",VLOOKUP(F$2,行为概览!$D$3:$J$33,7,0))</f>
        <v>15</v>
      </c>
      <c r="G63" s="53" t="str">
        <f>IF(VLOOKUP(G$2,行为概览!$D$3:$J$33,7,0)="","",VLOOKUP(G$2,行为概览!$D$3:$J$33,7,0))</f>
        <v/>
      </c>
      <c r="H63" s="53" t="str">
        <f>IF(VLOOKUP(H$2,行为概览!$D$3:$J$33,7,0)="","",VLOOKUP(H$2,行为概览!$D$3:$J$33,7,0))</f>
        <v/>
      </c>
      <c r="I63" s="53" t="str">
        <f>IF(VLOOKUP(I$2,行为概览!$D$3:$J$33,7,0)="","",VLOOKUP(I$2,行为概览!$D$3:$J$33,7,0))</f>
        <v/>
      </c>
      <c r="J63" s="53" t="str">
        <f>IF(VLOOKUP(J$2,行为概览!$D$3:$J$33,7,0)="","",VLOOKUP(J$2,行为概览!$D$3:$J$33,7,0))</f>
        <v/>
      </c>
      <c r="K63" s="53">
        <f>IF(VLOOKUP(K$2,行为概览!$D$3:$J$33,7,0)="","",VLOOKUP(K$2,行为概览!$D$3:$J$33,7,0))</f>
        <v>20</v>
      </c>
      <c r="L63" s="53">
        <f>IF(VLOOKUP(L$2,行为概览!$D$3:$J$33,7,0)="","",VLOOKUP(L$2,行为概览!$D$3:$J$33,7,0))</f>
        <v>20</v>
      </c>
      <c r="M63" s="53">
        <f>IF(VLOOKUP(M$2,行为概览!$D$3:$J$33,7,0)="","",VLOOKUP(M$2,行为概览!$D$3:$J$33,7,0))</f>
        <v>40</v>
      </c>
      <c r="N63" s="53">
        <f>IF(VLOOKUP(N$2,行为概览!$D$3:$J$33,7,0)="","",VLOOKUP(N$2,行为概览!$D$3:$J$33,7,0))</f>
        <v>1</v>
      </c>
      <c r="O63" s="53">
        <f>IF(VLOOKUP(O$2,行为概览!$D$3:$J$33,7,0)="","",VLOOKUP(O$2,行为概览!$D$3:$J$33,7,0))</f>
        <v>150</v>
      </c>
      <c r="P63" s="53">
        <f>IF(VLOOKUP(P$2,行为概览!$D$3:$J$33,7,0)="","",VLOOKUP(P$2,行为概览!$D$3:$J$33,7,0))</f>
        <v>10</v>
      </c>
      <c r="Q63" s="53">
        <f>IF(VLOOKUP(Q$2,行为概览!$D$3:$J$33,7,0)="","",VLOOKUP(Q$2,行为概览!$D$3:$J$33,7,0))</f>
        <v>20</v>
      </c>
      <c r="R63" s="53">
        <f>IF(VLOOKUP(R$2,行为概览!$D$3:$J$33,7,0)="","",VLOOKUP(R$2,行为概览!$D$3:$J$33,7,0))</f>
        <v>6</v>
      </c>
      <c r="S63" s="53">
        <f>IF(VLOOKUP(S$2,行为概览!$D$3:$J$33,7,0)="","",VLOOKUP(S$2,行为概览!$D$3:$J$33,7,0))</f>
        <v>20</v>
      </c>
      <c r="T63" s="53">
        <f>IF(VLOOKUP(T$2,行为概览!$D$3:$J$33,7,0)="","",VLOOKUP(T$2,行为概览!$D$3:$J$33,7,0))</f>
        <v>15</v>
      </c>
      <c r="U63" s="53">
        <f>IF(VLOOKUP(U$2,行为概览!$D$3:$J$33,7,0)="","",VLOOKUP(U$2,行为概览!$D$3:$J$33,7,0))</f>
        <v>15</v>
      </c>
      <c r="V63" s="53">
        <f>IF(VLOOKUP(V$2,行为概览!$D$3:$J$33,7,0)="","",VLOOKUP(V$2,行为概览!$D$3:$J$33,7,0))</f>
        <v>40</v>
      </c>
      <c r="W63" s="53">
        <f>IF(VLOOKUP(W$2,行为概览!$D$3:$J$33,7,0)="","",VLOOKUP(W$2,行为概览!$D$3:$J$33,7,0))</f>
        <v>15</v>
      </c>
      <c r="X63" s="53">
        <f>IF(VLOOKUP(X$2,行为概览!$D$3:$J$33,7,0)="","",VLOOKUP(X$2,行为概览!$D$3:$J$33,7,0))</f>
        <v>30</v>
      </c>
      <c r="Y63" s="53">
        <f>IF(VLOOKUP(Y$2,行为概览!$D$3:$J$33,7,0)="","",VLOOKUP(Y$2,行为概览!$D$3:$J$33,7,0))</f>
        <v>25</v>
      </c>
      <c r="Z63" s="53">
        <f>IF(VLOOKUP(Z$2,行为概览!$D$3:$J$33,7,0)="","",VLOOKUP(Z$2,行为概览!$D$3:$J$33,7,0))</f>
        <v>15</v>
      </c>
      <c r="AA63" s="53">
        <f>IF(VLOOKUP(AA$2,行为概览!$D$3:$J$33,7,0)="","",VLOOKUP(AA$2,行为概览!$D$3:$J$33,7,0))</f>
        <v>15</v>
      </c>
      <c r="AB63" s="53" t="str">
        <f>IF(VLOOKUP(AB$2,行为概览!$D$3:$J$33,7,0)="","",VLOOKUP(AB$2,行为概览!$D$3:$J$33,7,0))</f>
        <v/>
      </c>
      <c r="AC63" s="53" t="str">
        <f>IF(VLOOKUP(AC$2,行为概览!$D$3:$J$33,7,0)="","",VLOOKUP(AC$2,行为概览!$D$3:$J$33,7,0))</f>
        <v/>
      </c>
      <c r="AD63" s="53" t="str">
        <f>IF(VLOOKUP(AD$2,行为概览!$D$3:$J$33,7,0)="","",VLOOKUP(AD$2,行为概览!$D$3:$J$33,7,0))</f>
        <v/>
      </c>
      <c r="AE63" s="68" t="str">
        <f>IF(VLOOKUP(AE$2,行为概览!$D$3:$J$33,7,0)="","",VLOOKUP(AE$2,行为概览!$D$3:$J$33,7,0))</f>
        <v/>
      </c>
      <c r="AF63" s="1">
        <f>IF(C63="","",ROUND(C63*玩法行为规划!B63,2))</f>
        <v>16.670000000000002</v>
      </c>
      <c r="AG63" s="2">
        <f>IF(D63="","",ROUND(D63*玩法行为规划!C63,2))</f>
        <v>6.6</v>
      </c>
      <c r="AH63" s="2">
        <f>IF(E63="","",ROUND(E63*玩法行为规划!D63,2))</f>
        <v>2.5</v>
      </c>
      <c r="AI63" s="2">
        <f>IF(F63="","",ROUND(F63*玩法行为规划!E63,2))</f>
        <v>15</v>
      </c>
      <c r="AJ63" s="2" t="str">
        <f>IF(G63="","",ROUND(G63*玩法行为规划!F63,2))</f>
        <v/>
      </c>
      <c r="AK63" s="2" t="str">
        <f>IF(H63="","",ROUND(H63*玩法行为规划!G63,2))</f>
        <v/>
      </c>
      <c r="AL63" s="2" t="str">
        <f>IF(I63="","",ROUND(I63*玩法行为规划!H63,2))</f>
        <v/>
      </c>
      <c r="AM63" s="2" t="str">
        <f>IF(J63="","",ROUND(J63*玩法行为规划!I63,2))</f>
        <v/>
      </c>
      <c r="AN63" s="2">
        <f>IF(K63="","",ROUND(K63*玩法行为规划!J63,2))</f>
        <v>10</v>
      </c>
      <c r="AO63" s="2">
        <f>IF(L63="","",ROUND(L63*玩法行为规划!K63,2))</f>
        <v>3.33</v>
      </c>
      <c r="AP63" s="2">
        <f>IF(M63="","",ROUND(M63*玩法行为规划!L63,2))</f>
        <v>20</v>
      </c>
      <c r="AQ63" s="2">
        <f>IF(N63="","",ROUND(N63*玩法行为规划!M63,2))</f>
        <v>12</v>
      </c>
      <c r="AR63" s="2">
        <f>IF(O63="","",ROUND(O63*玩法行为规划!N63,2))</f>
        <v>12.5</v>
      </c>
      <c r="AS63" s="2">
        <f>IF(P63="","",ROUND(P63*玩法行为规划!O63,2))</f>
        <v>0.83</v>
      </c>
      <c r="AT63" s="2">
        <f>IF(Q63="","",ROUND(Q63*玩法行为规划!P63,2))</f>
        <v>52</v>
      </c>
      <c r="AU63" s="2">
        <f>IF(R63="","",ROUND(R63*玩法行为规划!Q63,2))</f>
        <v>6</v>
      </c>
      <c r="AV63" s="2">
        <f>IF(S63="","",ROUND(S63*玩法行为规划!R63,2))</f>
        <v>6.67</v>
      </c>
      <c r="AW63" s="2">
        <f>IF(T63="","",ROUND(T63*玩法行为规划!S63,2))</f>
        <v>0</v>
      </c>
      <c r="AX63" s="2">
        <f>IF(U63="","",ROUND(U63*玩法行为规划!T63,2))</f>
        <v>5</v>
      </c>
      <c r="AY63" s="2">
        <f>IF(V63="","",ROUND(V63*玩法行为规划!U63,2))</f>
        <v>6.67</v>
      </c>
      <c r="AZ63" s="2">
        <f>IF(W63="","",ROUND(W63*玩法行为规划!V63,2))</f>
        <v>2.5</v>
      </c>
      <c r="BA63" s="2">
        <f>IF(X63="","",ROUND(X63*玩法行为规划!W63,2))</f>
        <v>5</v>
      </c>
      <c r="BB63" s="2">
        <f>IF(Y63="","",ROUND(Y63*玩法行为规划!X63,2))</f>
        <v>6.25</v>
      </c>
      <c r="BC63" s="2">
        <f>IF(Z63="","",ROUND(Z63*玩法行为规划!Y63,2))</f>
        <v>8.75</v>
      </c>
      <c r="BD63" s="2">
        <f>IF(AA63="","",ROUND(AA63*玩法行为规划!Z63,2))</f>
        <v>2.5</v>
      </c>
      <c r="BE63" s="2" t="str">
        <f>IF(AB63="","",ROUND(AB63*玩法行为规划!AA63,2))</f>
        <v/>
      </c>
      <c r="BF63" s="2" t="str">
        <f>IF(AC63="","",ROUND(AC63*玩法行为规划!AB63,2))</f>
        <v/>
      </c>
      <c r="BG63" s="2" t="str">
        <f>IF(AD63="","",ROUND(AD63*玩法行为规划!AC63,2))</f>
        <v/>
      </c>
      <c r="BH63" s="3" t="str">
        <f>IF(AE63="","",ROUND(AE63*玩法行为规划!AD63,2))</f>
        <v/>
      </c>
      <c r="BI63" s="7">
        <f t="shared" si="6"/>
        <v>200.76999999999998</v>
      </c>
      <c r="BJ63" s="7">
        <f t="shared" si="7"/>
        <v>4898788</v>
      </c>
      <c r="BK63" s="69">
        <f t="shared" ref="BK63:BK71" si="10">ROUND(B63*(5+MAX(A63-30,0)*1),-2)</f>
        <v>878400</v>
      </c>
      <c r="BL63" s="21" t="str">
        <f t="shared" si="9"/>
        <v/>
      </c>
      <c r="BM63" s="7">
        <f t="shared" si="8"/>
        <v>0.10122523559873967</v>
      </c>
      <c r="BN63" s="69">
        <f>INT(BJ63*升级节奏!G63+BK63)</f>
        <v>8677678</v>
      </c>
      <c r="BO63" s="7">
        <f t="shared" si="4"/>
        <v>271</v>
      </c>
      <c r="BP63" s="7"/>
    </row>
    <row r="64" spans="1:68">
      <c r="A64" s="29">
        <v>62</v>
      </c>
      <c r="B64" s="84">
        <f>升级节奏!C64</f>
        <v>24800</v>
      </c>
      <c r="C64" s="53">
        <f>IF(VLOOKUP(C$2,行为概览!$D$3:$J$33,7,0)="","",VLOOKUP(C$2,行为概览!$D$3:$J$33,7,0))</f>
        <v>50</v>
      </c>
      <c r="D64" s="53">
        <f>IF(VLOOKUP(D$2,行为概览!$D$3:$J$33,7,0)="","",VLOOKUP(D$2,行为概览!$D$3:$J$33,7,0))</f>
        <v>3.3</v>
      </c>
      <c r="E64" s="53">
        <f>IF(VLOOKUP(E$2,行为概览!$D$3:$J$33,7,0)="","",VLOOKUP(E$2,行为概览!$D$3:$J$33,7,0))</f>
        <v>30</v>
      </c>
      <c r="F64" s="53">
        <f>IF(VLOOKUP(F$2,行为概览!$D$3:$J$33,7,0)="","",VLOOKUP(F$2,行为概览!$D$3:$J$33,7,0))</f>
        <v>15</v>
      </c>
      <c r="G64" s="53" t="str">
        <f>IF(VLOOKUP(G$2,行为概览!$D$3:$J$33,7,0)="","",VLOOKUP(G$2,行为概览!$D$3:$J$33,7,0))</f>
        <v/>
      </c>
      <c r="H64" s="53" t="str">
        <f>IF(VLOOKUP(H$2,行为概览!$D$3:$J$33,7,0)="","",VLOOKUP(H$2,行为概览!$D$3:$J$33,7,0))</f>
        <v/>
      </c>
      <c r="I64" s="53" t="str">
        <f>IF(VLOOKUP(I$2,行为概览!$D$3:$J$33,7,0)="","",VLOOKUP(I$2,行为概览!$D$3:$J$33,7,0))</f>
        <v/>
      </c>
      <c r="J64" s="53" t="str">
        <f>IF(VLOOKUP(J$2,行为概览!$D$3:$J$33,7,0)="","",VLOOKUP(J$2,行为概览!$D$3:$J$33,7,0))</f>
        <v/>
      </c>
      <c r="K64" s="53">
        <f>IF(VLOOKUP(K$2,行为概览!$D$3:$J$33,7,0)="","",VLOOKUP(K$2,行为概览!$D$3:$J$33,7,0))</f>
        <v>20</v>
      </c>
      <c r="L64" s="53">
        <f>IF(VLOOKUP(L$2,行为概览!$D$3:$J$33,7,0)="","",VLOOKUP(L$2,行为概览!$D$3:$J$33,7,0))</f>
        <v>20</v>
      </c>
      <c r="M64" s="53">
        <f>IF(VLOOKUP(M$2,行为概览!$D$3:$J$33,7,0)="","",VLOOKUP(M$2,行为概览!$D$3:$J$33,7,0))</f>
        <v>40</v>
      </c>
      <c r="N64" s="53">
        <f>IF(VLOOKUP(N$2,行为概览!$D$3:$J$33,7,0)="","",VLOOKUP(N$2,行为概览!$D$3:$J$33,7,0))</f>
        <v>1</v>
      </c>
      <c r="O64" s="53">
        <f>IF(VLOOKUP(O$2,行为概览!$D$3:$J$33,7,0)="","",VLOOKUP(O$2,行为概览!$D$3:$J$33,7,0))</f>
        <v>150</v>
      </c>
      <c r="P64" s="53">
        <f>IF(VLOOKUP(P$2,行为概览!$D$3:$J$33,7,0)="","",VLOOKUP(P$2,行为概览!$D$3:$J$33,7,0))</f>
        <v>10</v>
      </c>
      <c r="Q64" s="53">
        <f>IF(VLOOKUP(Q$2,行为概览!$D$3:$J$33,7,0)="","",VLOOKUP(Q$2,行为概览!$D$3:$J$33,7,0))</f>
        <v>20</v>
      </c>
      <c r="R64" s="53">
        <f>IF(VLOOKUP(R$2,行为概览!$D$3:$J$33,7,0)="","",VLOOKUP(R$2,行为概览!$D$3:$J$33,7,0))</f>
        <v>6</v>
      </c>
      <c r="S64" s="53">
        <f>IF(VLOOKUP(S$2,行为概览!$D$3:$J$33,7,0)="","",VLOOKUP(S$2,行为概览!$D$3:$J$33,7,0))</f>
        <v>20</v>
      </c>
      <c r="T64" s="53">
        <f>IF(VLOOKUP(T$2,行为概览!$D$3:$J$33,7,0)="","",VLOOKUP(T$2,行为概览!$D$3:$J$33,7,0))</f>
        <v>15</v>
      </c>
      <c r="U64" s="53">
        <f>IF(VLOOKUP(U$2,行为概览!$D$3:$J$33,7,0)="","",VLOOKUP(U$2,行为概览!$D$3:$J$33,7,0))</f>
        <v>15</v>
      </c>
      <c r="V64" s="53">
        <f>IF(VLOOKUP(V$2,行为概览!$D$3:$J$33,7,0)="","",VLOOKUP(V$2,行为概览!$D$3:$J$33,7,0))</f>
        <v>40</v>
      </c>
      <c r="W64" s="53">
        <f>IF(VLOOKUP(W$2,行为概览!$D$3:$J$33,7,0)="","",VLOOKUP(W$2,行为概览!$D$3:$J$33,7,0))</f>
        <v>15</v>
      </c>
      <c r="X64" s="53">
        <f>IF(VLOOKUP(X$2,行为概览!$D$3:$J$33,7,0)="","",VLOOKUP(X$2,行为概览!$D$3:$J$33,7,0))</f>
        <v>30</v>
      </c>
      <c r="Y64" s="53">
        <f>IF(VLOOKUP(Y$2,行为概览!$D$3:$J$33,7,0)="","",VLOOKUP(Y$2,行为概览!$D$3:$J$33,7,0))</f>
        <v>25</v>
      </c>
      <c r="Z64" s="53">
        <f>IF(VLOOKUP(Z$2,行为概览!$D$3:$J$33,7,0)="","",VLOOKUP(Z$2,行为概览!$D$3:$J$33,7,0))</f>
        <v>15</v>
      </c>
      <c r="AA64" s="53">
        <f>IF(VLOOKUP(AA$2,行为概览!$D$3:$J$33,7,0)="","",VLOOKUP(AA$2,行为概览!$D$3:$J$33,7,0))</f>
        <v>15</v>
      </c>
      <c r="AB64" s="53" t="str">
        <f>IF(VLOOKUP(AB$2,行为概览!$D$3:$J$33,7,0)="","",VLOOKUP(AB$2,行为概览!$D$3:$J$33,7,0))</f>
        <v/>
      </c>
      <c r="AC64" s="53" t="str">
        <f>IF(VLOOKUP(AC$2,行为概览!$D$3:$J$33,7,0)="","",VLOOKUP(AC$2,行为概览!$D$3:$J$33,7,0))</f>
        <v/>
      </c>
      <c r="AD64" s="53" t="str">
        <f>IF(VLOOKUP(AD$2,行为概览!$D$3:$J$33,7,0)="","",VLOOKUP(AD$2,行为概览!$D$3:$J$33,7,0))</f>
        <v/>
      </c>
      <c r="AE64" s="68" t="str">
        <f>IF(VLOOKUP(AE$2,行为概览!$D$3:$J$33,7,0)="","",VLOOKUP(AE$2,行为概览!$D$3:$J$33,7,0))</f>
        <v/>
      </c>
      <c r="AF64" s="1">
        <f>IF(C64="","",ROUND(C64*玩法行为规划!B64,2))</f>
        <v>16.670000000000002</v>
      </c>
      <c r="AG64" s="2">
        <f>IF(D64="","",ROUND(D64*玩法行为规划!C64,2))</f>
        <v>6.6</v>
      </c>
      <c r="AH64" s="2">
        <f>IF(E64="","",ROUND(E64*玩法行为规划!D64,2))</f>
        <v>2.5</v>
      </c>
      <c r="AI64" s="2">
        <f>IF(F64="","",ROUND(F64*玩法行为规划!E64,2))</f>
        <v>15</v>
      </c>
      <c r="AJ64" s="2" t="str">
        <f>IF(G64="","",ROUND(G64*玩法行为规划!F64,2))</f>
        <v/>
      </c>
      <c r="AK64" s="2" t="str">
        <f>IF(H64="","",ROUND(H64*玩法行为规划!G64,2))</f>
        <v/>
      </c>
      <c r="AL64" s="2" t="str">
        <f>IF(I64="","",ROUND(I64*玩法行为规划!H64,2))</f>
        <v/>
      </c>
      <c r="AM64" s="2" t="str">
        <f>IF(J64="","",ROUND(J64*玩法行为规划!I64,2))</f>
        <v/>
      </c>
      <c r="AN64" s="2">
        <f>IF(K64="","",ROUND(K64*玩法行为规划!J64,2))</f>
        <v>10</v>
      </c>
      <c r="AO64" s="2">
        <f>IF(L64="","",ROUND(L64*玩法行为规划!K64,2))</f>
        <v>3.33</v>
      </c>
      <c r="AP64" s="2">
        <f>IF(M64="","",ROUND(M64*玩法行为规划!L64,2))</f>
        <v>20</v>
      </c>
      <c r="AQ64" s="2">
        <f>IF(N64="","",ROUND(N64*玩法行为规划!M64,2))</f>
        <v>12</v>
      </c>
      <c r="AR64" s="2">
        <f>IF(O64="","",ROUND(O64*玩法行为规划!N64,2))</f>
        <v>12.5</v>
      </c>
      <c r="AS64" s="2">
        <f>IF(P64="","",ROUND(P64*玩法行为规划!O64,2))</f>
        <v>0.83</v>
      </c>
      <c r="AT64" s="2">
        <f>IF(Q64="","",ROUND(Q64*玩法行为规划!P64,2))</f>
        <v>52</v>
      </c>
      <c r="AU64" s="2">
        <f>IF(R64="","",ROUND(R64*玩法行为规划!Q64,2))</f>
        <v>6</v>
      </c>
      <c r="AV64" s="2">
        <f>IF(S64="","",ROUND(S64*玩法行为规划!R64,2))</f>
        <v>6.67</v>
      </c>
      <c r="AW64" s="2">
        <f>IF(T64="","",ROUND(T64*玩法行为规划!S64,2))</f>
        <v>0</v>
      </c>
      <c r="AX64" s="2">
        <f>IF(U64="","",ROUND(U64*玩法行为规划!T64,2))</f>
        <v>5</v>
      </c>
      <c r="AY64" s="2">
        <f>IF(V64="","",ROUND(V64*玩法行为规划!U64,2))</f>
        <v>6.67</v>
      </c>
      <c r="AZ64" s="2">
        <f>IF(W64="","",ROUND(W64*玩法行为规划!V64,2))</f>
        <v>2.5</v>
      </c>
      <c r="BA64" s="2">
        <f>IF(X64="","",ROUND(X64*玩法行为规划!W64,2))</f>
        <v>5</v>
      </c>
      <c r="BB64" s="2">
        <f>IF(Y64="","",ROUND(Y64*玩法行为规划!X64,2))</f>
        <v>6.25</v>
      </c>
      <c r="BC64" s="2">
        <f>IF(Z64="","",ROUND(Z64*玩法行为规划!Y64,2))</f>
        <v>8.75</v>
      </c>
      <c r="BD64" s="2">
        <f>IF(AA64="","",ROUND(AA64*玩法行为规划!Z64,2))</f>
        <v>2.5</v>
      </c>
      <c r="BE64" s="2" t="str">
        <f>IF(AB64="","",ROUND(AB64*玩法行为规划!AA64,2))</f>
        <v/>
      </c>
      <c r="BF64" s="2" t="str">
        <f>IF(AC64="","",ROUND(AC64*玩法行为规划!AB64,2))</f>
        <v/>
      </c>
      <c r="BG64" s="2" t="str">
        <f>IF(AD64="","",ROUND(AD64*玩法行为规划!AC64,2))</f>
        <v/>
      </c>
      <c r="BH64" s="3" t="str">
        <f>IF(AE64="","",ROUND(AE64*玩法行为规划!AD64,2))</f>
        <v/>
      </c>
      <c r="BI64" s="7">
        <f t="shared" si="6"/>
        <v>200.76999999999998</v>
      </c>
      <c r="BJ64" s="7">
        <f t="shared" si="7"/>
        <v>4979096</v>
      </c>
      <c r="BK64" s="69">
        <f t="shared" si="10"/>
        <v>917600</v>
      </c>
      <c r="BL64" s="21" t="str">
        <f t="shared" si="9"/>
        <v/>
      </c>
      <c r="BM64" s="7">
        <f t="shared" si="8"/>
        <v>8.5466447387233135E-2</v>
      </c>
      <c r="BN64" s="69">
        <f>INT(BJ64*升级节奏!G64+BK64)</f>
        <v>10736377</v>
      </c>
      <c r="BO64" s="7">
        <f t="shared" si="4"/>
        <v>276</v>
      </c>
      <c r="BP64" s="7"/>
    </row>
    <row r="65" spans="1:68">
      <c r="A65" s="29">
        <v>63</v>
      </c>
      <c r="B65" s="84">
        <f>升级节奏!C65</f>
        <v>25200</v>
      </c>
      <c r="C65" s="53">
        <f>IF(VLOOKUP(C$2,行为概览!$D$3:$J$33,7,0)="","",VLOOKUP(C$2,行为概览!$D$3:$J$33,7,0))</f>
        <v>50</v>
      </c>
      <c r="D65" s="53">
        <f>IF(VLOOKUP(D$2,行为概览!$D$3:$J$33,7,0)="","",VLOOKUP(D$2,行为概览!$D$3:$J$33,7,0))</f>
        <v>3.3</v>
      </c>
      <c r="E65" s="53">
        <f>IF(VLOOKUP(E$2,行为概览!$D$3:$J$33,7,0)="","",VLOOKUP(E$2,行为概览!$D$3:$J$33,7,0))</f>
        <v>30</v>
      </c>
      <c r="F65" s="53">
        <f>IF(VLOOKUP(F$2,行为概览!$D$3:$J$33,7,0)="","",VLOOKUP(F$2,行为概览!$D$3:$J$33,7,0))</f>
        <v>15</v>
      </c>
      <c r="G65" s="53" t="str">
        <f>IF(VLOOKUP(G$2,行为概览!$D$3:$J$33,7,0)="","",VLOOKUP(G$2,行为概览!$D$3:$J$33,7,0))</f>
        <v/>
      </c>
      <c r="H65" s="53" t="str">
        <f>IF(VLOOKUP(H$2,行为概览!$D$3:$J$33,7,0)="","",VLOOKUP(H$2,行为概览!$D$3:$J$33,7,0))</f>
        <v/>
      </c>
      <c r="I65" s="53" t="str">
        <f>IF(VLOOKUP(I$2,行为概览!$D$3:$J$33,7,0)="","",VLOOKUP(I$2,行为概览!$D$3:$J$33,7,0))</f>
        <v/>
      </c>
      <c r="J65" s="53" t="str">
        <f>IF(VLOOKUP(J$2,行为概览!$D$3:$J$33,7,0)="","",VLOOKUP(J$2,行为概览!$D$3:$J$33,7,0))</f>
        <v/>
      </c>
      <c r="K65" s="53">
        <f>IF(VLOOKUP(K$2,行为概览!$D$3:$J$33,7,0)="","",VLOOKUP(K$2,行为概览!$D$3:$J$33,7,0))</f>
        <v>20</v>
      </c>
      <c r="L65" s="53">
        <f>IF(VLOOKUP(L$2,行为概览!$D$3:$J$33,7,0)="","",VLOOKUP(L$2,行为概览!$D$3:$J$33,7,0))</f>
        <v>20</v>
      </c>
      <c r="M65" s="53">
        <f>IF(VLOOKUP(M$2,行为概览!$D$3:$J$33,7,0)="","",VLOOKUP(M$2,行为概览!$D$3:$J$33,7,0))</f>
        <v>40</v>
      </c>
      <c r="N65" s="53">
        <f>IF(VLOOKUP(N$2,行为概览!$D$3:$J$33,7,0)="","",VLOOKUP(N$2,行为概览!$D$3:$J$33,7,0))</f>
        <v>1</v>
      </c>
      <c r="O65" s="53">
        <f>IF(VLOOKUP(O$2,行为概览!$D$3:$J$33,7,0)="","",VLOOKUP(O$2,行为概览!$D$3:$J$33,7,0))</f>
        <v>150</v>
      </c>
      <c r="P65" s="53">
        <f>IF(VLOOKUP(P$2,行为概览!$D$3:$J$33,7,0)="","",VLOOKUP(P$2,行为概览!$D$3:$J$33,7,0))</f>
        <v>10</v>
      </c>
      <c r="Q65" s="53">
        <f>IF(VLOOKUP(Q$2,行为概览!$D$3:$J$33,7,0)="","",VLOOKUP(Q$2,行为概览!$D$3:$J$33,7,0))</f>
        <v>20</v>
      </c>
      <c r="R65" s="53">
        <f>IF(VLOOKUP(R$2,行为概览!$D$3:$J$33,7,0)="","",VLOOKUP(R$2,行为概览!$D$3:$J$33,7,0))</f>
        <v>6</v>
      </c>
      <c r="S65" s="53">
        <f>IF(VLOOKUP(S$2,行为概览!$D$3:$J$33,7,0)="","",VLOOKUP(S$2,行为概览!$D$3:$J$33,7,0))</f>
        <v>20</v>
      </c>
      <c r="T65" s="53">
        <f>IF(VLOOKUP(T$2,行为概览!$D$3:$J$33,7,0)="","",VLOOKUP(T$2,行为概览!$D$3:$J$33,7,0))</f>
        <v>15</v>
      </c>
      <c r="U65" s="53">
        <f>IF(VLOOKUP(U$2,行为概览!$D$3:$J$33,7,0)="","",VLOOKUP(U$2,行为概览!$D$3:$J$33,7,0))</f>
        <v>15</v>
      </c>
      <c r="V65" s="53">
        <f>IF(VLOOKUP(V$2,行为概览!$D$3:$J$33,7,0)="","",VLOOKUP(V$2,行为概览!$D$3:$J$33,7,0))</f>
        <v>40</v>
      </c>
      <c r="W65" s="53">
        <f>IF(VLOOKUP(W$2,行为概览!$D$3:$J$33,7,0)="","",VLOOKUP(W$2,行为概览!$D$3:$J$33,7,0))</f>
        <v>15</v>
      </c>
      <c r="X65" s="53">
        <f>IF(VLOOKUP(X$2,行为概览!$D$3:$J$33,7,0)="","",VLOOKUP(X$2,行为概览!$D$3:$J$33,7,0))</f>
        <v>30</v>
      </c>
      <c r="Y65" s="53">
        <f>IF(VLOOKUP(Y$2,行为概览!$D$3:$J$33,7,0)="","",VLOOKUP(Y$2,行为概览!$D$3:$J$33,7,0))</f>
        <v>25</v>
      </c>
      <c r="Z65" s="53">
        <f>IF(VLOOKUP(Z$2,行为概览!$D$3:$J$33,7,0)="","",VLOOKUP(Z$2,行为概览!$D$3:$J$33,7,0))</f>
        <v>15</v>
      </c>
      <c r="AA65" s="53">
        <f>IF(VLOOKUP(AA$2,行为概览!$D$3:$J$33,7,0)="","",VLOOKUP(AA$2,行为概览!$D$3:$J$33,7,0))</f>
        <v>15</v>
      </c>
      <c r="AB65" s="53" t="str">
        <f>IF(VLOOKUP(AB$2,行为概览!$D$3:$J$33,7,0)="","",VLOOKUP(AB$2,行为概览!$D$3:$J$33,7,0))</f>
        <v/>
      </c>
      <c r="AC65" s="53" t="str">
        <f>IF(VLOOKUP(AC$2,行为概览!$D$3:$J$33,7,0)="","",VLOOKUP(AC$2,行为概览!$D$3:$J$33,7,0))</f>
        <v/>
      </c>
      <c r="AD65" s="53" t="str">
        <f>IF(VLOOKUP(AD$2,行为概览!$D$3:$J$33,7,0)="","",VLOOKUP(AD$2,行为概览!$D$3:$J$33,7,0))</f>
        <v/>
      </c>
      <c r="AE65" s="68" t="str">
        <f>IF(VLOOKUP(AE$2,行为概览!$D$3:$J$33,7,0)="","",VLOOKUP(AE$2,行为概览!$D$3:$J$33,7,0))</f>
        <v/>
      </c>
      <c r="AF65" s="1">
        <f>IF(C65="","",ROUND(C65*玩法行为规划!B65,2))</f>
        <v>16.670000000000002</v>
      </c>
      <c r="AG65" s="2">
        <f>IF(D65="","",ROUND(D65*玩法行为规划!C65,2))</f>
        <v>6.6</v>
      </c>
      <c r="AH65" s="2">
        <f>IF(E65="","",ROUND(E65*玩法行为规划!D65,2))</f>
        <v>2.5</v>
      </c>
      <c r="AI65" s="2">
        <f>IF(F65="","",ROUND(F65*玩法行为规划!E65,2))</f>
        <v>15</v>
      </c>
      <c r="AJ65" s="2" t="str">
        <f>IF(G65="","",ROUND(G65*玩法行为规划!F65,2))</f>
        <v/>
      </c>
      <c r="AK65" s="2" t="str">
        <f>IF(H65="","",ROUND(H65*玩法行为规划!G65,2))</f>
        <v/>
      </c>
      <c r="AL65" s="2" t="str">
        <f>IF(I65="","",ROUND(I65*玩法行为规划!H65,2))</f>
        <v/>
      </c>
      <c r="AM65" s="2" t="str">
        <f>IF(J65="","",ROUND(J65*玩法行为规划!I65,2))</f>
        <v/>
      </c>
      <c r="AN65" s="2">
        <f>IF(K65="","",ROUND(K65*玩法行为规划!J65,2))</f>
        <v>10</v>
      </c>
      <c r="AO65" s="2">
        <f>IF(L65="","",ROUND(L65*玩法行为规划!K65,2))</f>
        <v>3.33</v>
      </c>
      <c r="AP65" s="2">
        <f>IF(M65="","",ROUND(M65*玩法行为规划!L65,2))</f>
        <v>20</v>
      </c>
      <c r="AQ65" s="2">
        <f>IF(N65="","",ROUND(N65*玩法行为规划!M65,2))</f>
        <v>12</v>
      </c>
      <c r="AR65" s="2">
        <f>IF(O65="","",ROUND(O65*玩法行为规划!N65,2))</f>
        <v>12.5</v>
      </c>
      <c r="AS65" s="2">
        <f>IF(P65="","",ROUND(P65*玩法行为规划!O65,2))</f>
        <v>0.83</v>
      </c>
      <c r="AT65" s="2">
        <f>IF(Q65="","",ROUND(Q65*玩法行为规划!P65,2))</f>
        <v>52</v>
      </c>
      <c r="AU65" s="2">
        <f>IF(R65="","",ROUND(R65*玩法行为规划!Q65,2))</f>
        <v>6</v>
      </c>
      <c r="AV65" s="2">
        <f>IF(S65="","",ROUND(S65*玩法行为规划!R65,2))</f>
        <v>6.67</v>
      </c>
      <c r="AW65" s="2">
        <f>IF(T65="","",ROUND(T65*玩法行为规划!S65,2))</f>
        <v>0</v>
      </c>
      <c r="AX65" s="2">
        <f>IF(U65="","",ROUND(U65*玩法行为规划!T65,2))</f>
        <v>5</v>
      </c>
      <c r="AY65" s="2">
        <f>IF(V65="","",ROUND(V65*玩法行为规划!U65,2))</f>
        <v>6.67</v>
      </c>
      <c r="AZ65" s="2">
        <f>IF(W65="","",ROUND(W65*玩法行为规划!V65,2))</f>
        <v>2.5</v>
      </c>
      <c r="BA65" s="2">
        <f>IF(X65="","",ROUND(X65*玩法行为规划!W65,2))</f>
        <v>5</v>
      </c>
      <c r="BB65" s="2">
        <f>IF(Y65="","",ROUND(Y65*玩法行为规划!X65,2))</f>
        <v>6.25</v>
      </c>
      <c r="BC65" s="2">
        <f>IF(Z65="","",ROUND(Z65*玩法行为规划!Y65,2))</f>
        <v>8.75</v>
      </c>
      <c r="BD65" s="2">
        <f>IF(AA65="","",ROUND(AA65*玩法行为规划!Z65,2))</f>
        <v>2.5</v>
      </c>
      <c r="BE65" s="2" t="str">
        <f>IF(AB65="","",ROUND(AB65*玩法行为规划!AA65,2))</f>
        <v/>
      </c>
      <c r="BF65" s="2" t="str">
        <f>IF(AC65="","",ROUND(AC65*玩法行为规划!AB65,2))</f>
        <v/>
      </c>
      <c r="BG65" s="2" t="str">
        <f>IF(AD65="","",ROUND(AD65*玩法行为规划!AC65,2))</f>
        <v/>
      </c>
      <c r="BH65" s="3" t="str">
        <f>IF(AE65="","",ROUND(AE65*玩法行为规划!AD65,2))</f>
        <v/>
      </c>
      <c r="BI65" s="7">
        <f t="shared" si="6"/>
        <v>200.76999999999998</v>
      </c>
      <c r="BJ65" s="7">
        <f t="shared" si="7"/>
        <v>5059404</v>
      </c>
      <c r="BK65" s="69">
        <f t="shared" si="10"/>
        <v>957600</v>
      </c>
      <c r="BL65" s="21" t="str">
        <f t="shared" si="9"/>
        <v/>
      </c>
      <c r="BM65" s="7">
        <f t="shared" si="8"/>
        <v>7.385175217060988E-2</v>
      </c>
      <c r="BN65" s="69">
        <f>INT(BJ65*升级节奏!G65+BK65)</f>
        <v>12966517</v>
      </c>
      <c r="BO65" s="7">
        <f t="shared" si="4"/>
        <v>280</v>
      </c>
      <c r="BP65" s="7"/>
    </row>
    <row r="66" spans="1:68">
      <c r="A66" s="29">
        <v>64</v>
      </c>
      <c r="B66" s="84">
        <f>升级节奏!C66</f>
        <v>25600</v>
      </c>
      <c r="C66" s="53">
        <f>IF(VLOOKUP(C$2,行为概览!$D$3:$J$33,7,0)="","",VLOOKUP(C$2,行为概览!$D$3:$J$33,7,0))</f>
        <v>50</v>
      </c>
      <c r="D66" s="53">
        <f>IF(VLOOKUP(D$2,行为概览!$D$3:$J$33,7,0)="","",VLOOKUP(D$2,行为概览!$D$3:$J$33,7,0))</f>
        <v>3.3</v>
      </c>
      <c r="E66" s="53">
        <f>IF(VLOOKUP(E$2,行为概览!$D$3:$J$33,7,0)="","",VLOOKUP(E$2,行为概览!$D$3:$J$33,7,0))</f>
        <v>30</v>
      </c>
      <c r="F66" s="53">
        <f>IF(VLOOKUP(F$2,行为概览!$D$3:$J$33,7,0)="","",VLOOKUP(F$2,行为概览!$D$3:$J$33,7,0))</f>
        <v>15</v>
      </c>
      <c r="G66" s="53" t="str">
        <f>IF(VLOOKUP(G$2,行为概览!$D$3:$J$33,7,0)="","",VLOOKUP(G$2,行为概览!$D$3:$J$33,7,0))</f>
        <v/>
      </c>
      <c r="H66" s="53" t="str">
        <f>IF(VLOOKUP(H$2,行为概览!$D$3:$J$33,7,0)="","",VLOOKUP(H$2,行为概览!$D$3:$J$33,7,0))</f>
        <v/>
      </c>
      <c r="I66" s="53" t="str">
        <f>IF(VLOOKUP(I$2,行为概览!$D$3:$J$33,7,0)="","",VLOOKUP(I$2,行为概览!$D$3:$J$33,7,0))</f>
        <v/>
      </c>
      <c r="J66" s="53" t="str">
        <f>IF(VLOOKUP(J$2,行为概览!$D$3:$J$33,7,0)="","",VLOOKUP(J$2,行为概览!$D$3:$J$33,7,0))</f>
        <v/>
      </c>
      <c r="K66" s="53">
        <f>IF(VLOOKUP(K$2,行为概览!$D$3:$J$33,7,0)="","",VLOOKUP(K$2,行为概览!$D$3:$J$33,7,0))</f>
        <v>20</v>
      </c>
      <c r="L66" s="53">
        <f>IF(VLOOKUP(L$2,行为概览!$D$3:$J$33,7,0)="","",VLOOKUP(L$2,行为概览!$D$3:$J$33,7,0))</f>
        <v>20</v>
      </c>
      <c r="M66" s="53">
        <f>IF(VLOOKUP(M$2,行为概览!$D$3:$J$33,7,0)="","",VLOOKUP(M$2,行为概览!$D$3:$J$33,7,0))</f>
        <v>40</v>
      </c>
      <c r="N66" s="53">
        <f>IF(VLOOKUP(N$2,行为概览!$D$3:$J$33,7,0)="","",VLOOKUP(N$2,行为概览!$D$3:$J$33,7,0))</f>
        <v>1</v>
      </c>
      <c r="O66" s="53">
        <f>IF(VLOOKUP(O$2,行为概览!$D$3:$J$33,7,0)="","",VLOOKUP(O$2,行为概览!$D$3:$J$33,7,0))</f>
        <v>150</v>
      </c>
      <c r="P66" s="53">
        <f>IF(VLOOKUP(P$2,行为概览!$D$3:$J$33,7,0)="","",VLOOKUP(P$2,行为概览!$D$3:$J$33,7,0))</f>
        <v>10</v>
      </c>
      <c r="Q66" s="53">
        <f>IF(VLOOKUP(Q$2,行为概览!$D$3:$J$33,7,0)="","",VLOOKUP(Q$2,行为概览!$D$3:$J$33,7,0))</f>
        <v>20</v>
      </c>
      <c r="R66" s="53">
        <f>IF(VLOOKUP(R$2,行为概览!$D$3:$J$33,7,0)="","",VLOOKUP(R$2,行为概览!$D$3:$J$33,7,0))</f>
        <v>6</v>
      </c>
      <c r="S66" s="53">
        <f>IF(VLOOKUP(S$2,行为概览!$D$3:$J$33,7,0)="","",VLOOKUP(S$2,行为概览!$D$3:$J$33,7,0))</f>
        <v>20</v>
      </c>
      <c r="T66" s="53">
        <f>IF(VLOOKUP(T$2,行为概览!$D$3:$J$33,7,0)="","",VLOOKUP(T$2,行为概览!$D$3:$J$33,7,0))</f>
        <v>15</v>
      </c>
      <c r="U66" s="53">
        <f>IF(VLOOKUP(U$2,行为概览!$D$3:$J$33,7,0)="","",VLOOKUP(U$2,行为概览!$D$3:$J$33,7,0))</f>
        <v>15</v>
      </c>
      <c r="V66" s="53">
        <f>IF(VLOOKUP(V$2,行为概览!$D$3:$J$33,7,0)="","",VLOOKUP(V$2,行为概览!$D$3:$J$33,7,0))</f>
        <v>40</v>
      </c>
      <c r="W66" s="53">
        <f>IF(VLOOKUP(W$2,行为概览!$D$3:$J$33,7,0)="","",VLOOKUP(W$2,行为概览!$D$3:$J$33,7,0))</f>
        <v>15</v>
      </c>
      <c r="X66" s="53">
        <f>IF(VLOOKUP(X$2,行为概览!$D$3:$J$33,7,0)="","",VLOOKUP(X$2,行为概览!$D$3:$J$33,7,0))</f>
        <v>30</v>
      </c>
      <c r="Y66" s="53">
        <f>IF(VLOOKUP(Y$2,行为概览!$D$3:$J$33,7,0)="","",VLOOKUP(Y$2,行为概览!$D$3:$J$33,7,0))</f>
        <v>25</v>
      </c>
      <c r="Z66" s="53">
        <f>IF(VLOOKUP(Z$2,行为概览!$D$3:$J$33,7,0)="","",VLOOKUP(Z$2,行为概览!$D$3:$J$33,7,0))</f>
        <v>15</v>
      </c>
      <c r="AA66" s="53">
        <f>IF(VLOOKUP(AA$2,行为概览!$D$3:$J$33,7,0)="","",VLOOKUP(AA$2,行为概览!$D$3:$J$33,7,0))</f>
        <v>15</v>
      </c>
      <c r="AB66" s="53" t="str">
        <f>IF(VLOOKUP(AB$2,行为概览!$D$3:$J$33,7,0)="","",VLOOKUP(AB$2,行为概览!$D$3:$J$33,7,0))</f>
        <v/>
      </c>
      <c r="AC66" s="53" t="str">
        <f>IF(VLOOKUP(AC$2,行为概览!$D$3:$J$33,7,0)="","",VLOOKUP(AC$2,行为概览!$D$3:$J$33,7,0))</f>
        <v/>
      </c>
      <c r="AD66" s="53" t="str">
        <f>IF(VLOOKUP(AD$2,行为概览!$D$3:$J$33,7,0)="","",VLOOKUP(AD$2,行为概览!$D$3:$J$33,7,0))</f>
        <v/>
      </c>
      <c r="AE66" s="68" t="str">
        <f>IF(VLOOKUP(AE$2,行为概览!$D$3:$J$33,7,0)="","",VLOOKUP(AE$2,行为概览!$D$3:$J$33,7,0))</f>
        <v/>
      </c>
      <c r="AF66" s="1">
        <f>IF(C66="","",ROUND(C66*玩法行为规划!B66,2))</f>
        <v>16.670000000000002</v>
      </c>
      <c r="AG66" s="2">
        <f>IF(D66="","",ROUND(D66*玩法行为规划!C66,2))</f>
        <v>6.6</v>
      </c>
      <c r="AH66" s="2">
        <f>IF(E66="","",ROUND(E66*玩法行为规划!D66,2))</f>
        <v>2.5</v>
      </c>
      <c r="AI66" s="2">
        <f>IF(F66="","",ROUND(F66*玩法行为规划!E66,2))</f>
        <v>15</v>
      </c>
      <c r="AJ66" s="2" t="str">
        <f>IF(G66="","",ROUND(G66*玩法行为规划!F66,2))</f>
        <v/>
      </c>
      <c r="AK66" s="2" t="str">
        <f>IF(H66="","",ROUND(H66*玩法行为规划!G66,2))</f>
        <v/>
      </c>
      <c r="AL66" s="2" t="str">
        <f>IF(I66="","",ROUND(I66*玩法行为规划!H66,2))</f>
        <v/>
      </c>
      <c r="AM66" s="2" t="str">
        <f>IF(J66="","",ROUND(J66*玩法行为规划!I66,2))</f>
        <v/>
      </c>
      <c r="AN66" s="2">
        <f>IF(K66="","",ROUND(K66*玩法行为规划!J66,2))</f>
        <v>10</v>
      </c>
      <c r="AO66" s="2">
        <f>IF(L66="","",ROUND(L66*玩法行为规划!K66,2))</f>
        <v>3.33</v>
      </c>
      <c r="AP66" s="2">
        <f>IF(M66="","",ROUND(M66*玩法行为规划!L66,2))</f>
        <v>20</v>
      </c>
      <c r="AQ66" s="2">
        <f>IF(N66="","",ROUND(N66*玩法行为规划!M66,2))</f>
        <v>12</v>
      </c>
      <c r="AR66" s="2">
        <f>IF(O66="","",ROUND(O66*玩法行为规划!N66,2))</f>
        <v>12.5</v>
      </c>
      <c r="AS66" s="2">
        <f>IF(P66="","",ROUND(P66*玩法行为规划!O66,2))</f>
        <v>0.83</v>
      </c>
      <c r="AT66" s="2">
        <f>IF(Q66="","",ROUND(Q66*玩法行为规划!P66,2))</f>
        <v>52</v>
      </c>
      <c r="AU66" s="2">
        <f>IF(R66="","",ROUND(R66*玩法行为规划!Q66,2))</f>
        <v>6</v>
      </c>
      <c r="AV66" s="2">
        <f>IF(S66="","",ROUND(S66*玩法行为规划!R66,2))</f>
        <v>6.67</v>
      </c>
      <c r="AW66" s="2">
        <f>IF(T66="","",ROUND(T66*玩法行为规划!S66,2))</f>
        <v>0</v>
      </c>
      <c r="AX66" s="2">
        <f>IF(U66="","",ROUND(U66*玩法行为规划!T66,2))</f>
        <v>5</v>
      </c>
      <c r="AY66" s="2">
        <f>IF(V66="","",ROUND(V66*玩法行为规划!U66,2))</f>
        <v>6.67</v>
      </c>
      <c r="AZ66" s="2">
        <f>IF(W66="","",ROUND(W66*玩法行为规划!V66,2))</f>
        <v>2.5</v>
      </c>
      <c r="BA66" s="2">
        <f>IF(X66="","",ROUND(X66*玩法行为规划!W66,2))</f>
        <v>5</v>
      </c>
      <c r="BB66" s="2">
        <f>IF(Y66="","",ROUND(Y66*玩法行为规划!X66,2))</f>
        <v>6.25</v>
      </c>
      <c r="BC66" s="2">
        <f>IF(Z66="","",ROUND(Z66*玩法行为规划!Y66,2))</f>
        <v>8.75</v>
      </c>
      <c r="BD66" s="2">
        <f>IF(AA66="","",ROUND(AA66*玩法行为规划!Z66,2))</f>
        <v>2.5</v>
      </c>
      <c r="BE66" s="2" t="str">
        <f>IF(AB66="","",ROUND(AB66*玩法行为规划!AA66,2))</f>
        <v/>
      </c>
      <c r="BF66" s="2" t="str">
        <f>IF(AC66="","",ROUND(AC66*玩法行为规划!AB66,2))</f>
        <v/>
      </c>
      <c r="BG66" s="2" t="str">
        <f>IF(AD66="","",ROUND(AD66*玩法行为规划!AC66,2))</f>
        <v/>
      </c>
      <c r="BH66" s="3" t="str">
        <f>IF(AE66="","",ROUND(AE66*玩法行为规划!AD66,2))</f>
        <v/>
      </c>
      <c r="BI66" s="7">
        <f t="shared" si="6"/>
        <v>200.76999999999998</v>
      </c>
      <c r="BJ66" s="7">
        <f t="shared" si="7"/>
        <v>5139712</v>
      </c>
      <c r="BK66" s="69">
        <f t="shared" si="10"/>
        <v>998400</v>
      </c>
      <c r="BL66" s="21" t="str">
        <f t="shared" si="9"/>
        <v/>
      </c>
      <c r="BM66" s="7">
        <f t="shared" si="8"/>
        <v>6.4932839321724986E-2</v>
      </c>
      <c r="BN66" s="69">
        <f>INT(BJ66*升级节奏!G66+BK66)</f>
        <v>15375887</v>
      </c>
      <c r="BO66" s="7">
        <f t="shared" si="4"/>
        <v>284</v>
      </c>
      <c r="BP66" s="7"/>
    </row>
    <row r="67" spans="1:68">
      <c r="A67" s="29">
        <v>65</v>
      </c>
      <c r="B67" s="84">
        <f>升级节奏!C67</f>
        <v>26000</v>
      </c>
      <c r="C67" s="53">
        <f>IF(VLOOKUP(C$2,行为概览!$D$3:$J$33,7,0)="","",VLOOKUP(C$2,行为概览!$D$3:$J$33,7,0))</f>
        <v>50</v>
      </c>
      <c r="D67" s="53">
        <f>IF(VLOOKUP(D$2,行为概览!$D$3:$J$33,7,0)="","",VLOOKUP(D$2,行为概览!$D$3:$J$33,7,0))</f>
        <v>3.3</v>
      </c>
      <c r="E67" s="53">
        <f>IF(VLOOKUP(E$2,行为概览!$D$3:$J$33,7,0)="","",VLOOKUP(E$2,行为概览!$D$3:$J$33,7,0))</f>
        <v>30</v>
      </c>
      <c r="F67" s="53">
        <f>IF(VLOOKUP(F$2,行为概览!$D$3:$J$33,7,0)="","",VLOOKUP(F$2,行为概览!$D$3:$J$33,7,0))</f>
        <v>15</v>
      </c>
      <c r="G67" s="53" t="str">
        <f>IF(VLOOKUP(G$2,行为概览!$D$3:$J$33,7,0)="","",VLOOKUP(G$2,行为概览!$D$3:$J$33,7,0))</f>
        <v/>
      </c>
      <c r="H67" s="53" t="str">
        <f>IF(VLOOKUP(H$2,行为概览!$D$3:$J$33,7,0)="","",VLOOKUP(H$2,行为概览!$D$3:$J$33,7,0))</f>
        <v/>
      </c>
      <c r="I67" s="53" t="str">
        <f>IF(VLOOKUP(I$2,行为概览!$D$3:$J$33,7,0)="","",VLOOKUP(I$2,行为概览!$D$3:$J$33,7,0))</f>
        <v/>
      </c>
      <c r="J67" s="53" t="str">
        <f>IF(VLOOKUP(J$2,行为概览!$D$3:$J$33,7,0)="","",VLOOKUP(J$2,行为概览!$D$3:$J$33,7,0))</f>
        <v/>
      </c>
      <c r="K67" s="53">
        <f>IF(VLOOKUP(K$2,行为概览!$D$3:$J$33,7,0)="","",VLOOKUP(K$2,行为概览!$D$3:$J$33,7,0))</f>
        <v>20</v>
      </c>
      <c r="L67" s="53">
        <f>IF(VLOOKUP(L$2,行为概览!$D$3:$J$33,7,0)="","",VLOOKUP(L$2,行为概览!$D$3:$J$33,7,0))</f>
        <v>20</v>
      </c>
      <c r="M67" s="53">
        <f>IF(VLOOKUP(M$2,行为概览!$D$3:$J$33,7,0)="","",VLOOKUP(M$2,行为概览!$D$3:$J$33,7,0))</f>
        <v>40</v>
      </c>
      <c r="N67" s="53">
        <f>IF(VLOOKUP(N$2,行为概览!$D$3:$J$33,7,0)="","",VLOOKUP(N$2,行为概览!$D$3:$J$33,7,0))</f>
        <v>1</v>
      </c>
      <c r="O67" s="53">
        <f>IF(VLOOKUP(O$2,行为概览!$D$3:$J$33,7,0)="","",VLOOKUP(O$2,行为概览!$D$3:$J$33,7,0))</f>
        <v>150</v>
      </c>
      <c r="P67" s="53">
        <f>IF(VLOOKUP(P$2,行为概览!$D$3:$J$33,7,0)="","",VLOOKUP(P$2,行为概览!$D$3:$J$33,7,0))</f>
        <v>10</v>
      </c>
      <c r="Q67" s="53">
        <f>IF(VLOOKUP(Q$2,行为概览!$D$3:$J$33,7,0)="","",VLOOKUP(Q$2,行为概览!$D$3:$J$33,7,0))</f>
        <v>20</v>
      </c>
      <c r="R67" s="53">
        <f>IF(VLOOKUP(R$2,行为概览!$D$3:$J$33,7,0)="","",VLOOKUP(R$2,行为概览!$D$3:$J$33,7,0))</f>
        <v>6</v>
      </c>
      <c r="S67" s="53">
        <f>IF(VLOOKUP(S$2,行为概览!$D$3:$J$33,7,0)="","",VLOOKUP(S$2,行为概览!$D$3:$J$33,7,0))</f>
        <v>20</v>
      </c>
      <c r="T67" s="53">
        <f>IF(VLOOKUP(T$2,行为概览!$D$3:$J$33,7,0)="","",VLOOKUP(T$2,行为概览!$D$3:$J$33,7,0))</f>
        <v>15</v>
      </c>
      <c r="U67" s="53">
        <f>IF(VLOOKUP(U$2,行为概览!$D$3:$J$33,7,0)="","",VLOOKUP(U$2,行为概览!$D$3:$J$33,7,0))</f>
        <v>15</v>
      </c>
      <c r="V67" s="53">
        <f>IF(VLOOKUP(V$2,行为概览!$D$3:$J$33,7,0)="","",VLOOKUP(V$2,行为概览!$D$3:$J$33,7,0))</f>
        <v>40</v>
      </c>
      <c r="W67" s="53">
        <f>IF(VLOOKUP(W$2,行为概览!$D$3:$J$33,7,0)="","",VLOOKUP(W$2,行为概览!$D$3:$J$33,7,0))</f>
        <v>15</v>
      </c>
      <c r="X67" s="53">
        <f>IF(VLOOKUP(X$2,行为概览!$D$3:$J$33,7,0)="","",VLOOKUP(X$2,行为概览!$D$3:$J$33,7,0))</f>
        <v>30</v>
      </c>
      <c r="Y67" s="53">
        <f>IF(VLOOKUP(Y$2,行为概览!$D$3:$J$33,7,0)="","",VLOOKUP(Y$2,行为概览!$D$3:$J$33,7,0))</f>
        <v>25</v>
      </c>
      <c r="Z67" s="53">
        <f>IF(VLOOKUP(Z$2,行为概览!$D$3:$J$33,7,0)="","",VLOOKUP(Z$2,行为概览!$D$3:$J$33,7,0))</f>
        <v>15</v>
      </c>
      <c r="AA67" s="53">
        <f>IF(VLOOKUP(AA$2,行为概览!$D$3:$J$33,7,0)="","",VLOOKUP(AA$2,行为概览!$D$3:$J$33,7,0))</f>
        <v>15</v>
      </c>
      <c r="AB67" s="53" t="str">
        <f>IF(VLOOKUP(AB$2,行为概览!$D$3:$J$33,7,0)="","",VLOOKUP(AB$2,行为概览!$D$3:$J$33,7,0))</f>
        <v/>
      </c>
      <c r="AC67" s="53" t="str">
        <f>IF(VLOOKUP(AC$2,行为概览!$D$3:$J$33,7,0)="","",VLOOKUP(AC$2,行为概览!$D$3:$J$33,7,0))</f>
        <v/>
      </c>
      <c r="AD67" s="53" t="str">
        <f>IF(VLOOKUP(AD$2,行为概览!$D$3:$J$33,7,0)="","",VLOOKUP(AD$2,行为概览!$D$3:$J$33,7,0))</f>
        <v/>
      </c>
      <c r="AE67" s="68" t="str">
        <f>IF(VLOOKUP(AE$2,行为概览!$D$3:$J$33,7,0)="","",VLOOKUP(AE$2,行为概览!$D$3:$J$33,7,0))</f>
        <v/>
      </c>
      <c r="AF67" s="1">
        <f>IF(C67="","",ROUND(C67*玩法行为规划!B67,2))</f>
        <v>16.670000000000002</v>
      </c>
      <c r="AG67" s="2">
        <f>IF(D67="","",ROUND(D67*玩法行为规划!C67,2))</f>
        <v>6.6</v>
      </c>
      <c r="AH67" s="2">
        <f>IF(E67="","",ROUND(E67*玩法行为规划!D67,2))</f>
        <v>2.5</v>
      </c>
      <c r="AI67" s="2">
        <f>IF(F67="","",ROUND(F67*玩法行为规划!E67,2))</f>
        <v>15</v>
      </c>
      <c r="AJ67" s="2" t="str">
        <f>IF(G67="","",ROUND(G67*玩法行为规划!F67,2))</f>
        <v/>
      </c>
      <c r="AK67" s="2" t="str">
        <f>IF(H67="","",ROUND(H67*玩法行为规划!G67,2))</f>
        <v/>
      </c>
      <c r="AL67" s="2" t="str">
        <f>IF(I67="","",ROUND(I67*玩法行为规划!H67,2))</f>
        <v/>
      </c>
      <c r="AM67" s="2" t="str">
        <f>IF(J67="","",ROUND(J67*玩法行为规划!I67,2))</f>
        <v/>
      </c>
      <c r="AN67" s="2">
        <f>IF(K67="","",ROUND(K67*玩法行为规划!J67,2))</f>
        <v>10</v>
      </c>
      <c r="AO67" s="2">
        <f>IF(L67="","",ROUND(L67*玩法行为规划!K67,2))</f>
        <v>3.33</v>
      </c>
      <c r="AP67" s="2">
        <f>IF(M67="","",ROUND(M67*玩法行为规划!L67,2))</f>
        <v>20</v>
      </c>
      <c r="AQ67" s="2">
        <f>IF(N67="","",ROUND(N67*玩法行为规划!M67,2))</f>
        <v>12</v>
      </c>
      <c r="AR67" s="2">
        <f>IF(O67="","",ROUND(O67*玩法行为规划!N67,2))</f>
        <v>12.5</v>
      </c>
      <c r="AS67" s="2">
        <f>IF(P67="","",ROUND(P67*玩法行为规划!O67,2))</f>
        <v>0.83</v>
      </c>
      <c r="AT67" s="2">
        <f>IF(Q67="","",ROUND(Q67*玩法行为规划!P67,2))</f>
        <v>52</v>
      </c>
      <c r="AU67" s="2">
        <f>IF(R67="","",ROUND(R67*玩法行为规划!Q67,2))</f>
        <v>6</v>
      </c>
      <c r="AV67" s="2">
        <f>IF(S67="","",ROUND(S67*玩法行为规划!R67,2))</f>
        <v>6.67</v>
      </c>
      <c r="AW67" s="2">
        <f>IF(T67="","",ROUND(T67*玩法行为规划!S67,2))</f>
        <v>0</v>
      </c>
      <c r="AX67" s="2">
        <f>IF(U67="","",ROUND(U67*玩法行为规划!T67,2))</f>
        <v>5</v>
      </c>
      <c r="AY67" s="2">
        <f>IF(V67="","",ROUND(V67*玩法行为规划!U67,2))</f>
        <v>6.67</v>
      </c>
      <c r="AZ67" s="2">
        <f>IF(W67="","",ROUND(W67*玩法行为规划!V67,2))</f>
        <v>2.5</v>
      </c>
      <c r="BA67" s="2">
        <f>IF(X67="","",ROUND(X67*玩法行为规划!W67,2))</f>
        <v>5</v>
      </c>
      <c r="BB67" s="2">
        <f>IF(Y67="","",ROUND(Y67*玩法行为规划!X67,2))</f>
        <v>6.25</v>
      </c>
      <c r="BC67" s="2">
        <f>IF(Z67="","",ROUND(Z67*玩法行为规划!Y67,2))</f>
        <v>8.75</v>
      </c>
      <c r="BD67" s="2">
        <f>IF(AA67="","",ROUND(AA67*玩法行为规划!Z67,2))</f>
        <v>2.5</v>
      </c>
      <c r="BE67" s="2" t="str">
        <f>IF(AB67="","",ROUND(AB67*玩法行为规划!AA67,2))</f>
        <v/>
      </c>
      <c r="BF67" s="2" t="str">
        <f>IF(AC67="","",ROUND(AC67*玩法行为规划!AB67,2))</f>
        <v/>
      </c>
      <c r="BG67" s="2" t="str">
        <f>IF(AD67="","",ROUND(AD67*玩法行为规划!AC67,2))</f>
        <v/>
      </c>
      <c r="BH67" s="3" t="str">
        <f>IF(AE67="","",ROUND(AE67*玩法行为规划!AD67,2))</f>
        <v/>
      </c>
      <c r="BI67" s="7">
        <f t="shared" ref="BI67:BI98" si="11">SUM(AF67:BF67)</f>
        <v>200.76999999999998</v>
      </c>
      <c r="BJ67" s="7">
        <f t="shared" ref="BJ67:BJ98" si="12">B67*BI67</f>
        <v>5220019.9999999991</v>
      </c>
      <c r="BK67" s="69">
        <f t="shared" si="10"/>
        <v>1040000</v>
      </c>
      <c r="BL67" s="21" t="str">
        <f t="shared" si="9"/>
        <v/>
      </c>
      <c r="BM67" s="7">
        <f t="shared" ref="BM67:BM98" si="13">BK67/BN67</f>
        <v>5.7866380851257865E-2</v>
      </c>
      <c r="BN67" s="69">
        <f>INT(BJ67*升级节奏!G67+BK67)</f>
        <v>17972439</v>
      </c>
      <c r="BO67" s="7">
        <f t="shared" si="4"/>
        <v>289</v>
      </c>
      <c r="BP67" s="7"/>
    </row>
    <row r="68" spans="1:68">
      <c r="A68" s="29">
        <v>66</v>
      </c>
      <c r="B68" s="84">
        <f>升级节奏!C68</f>
        <v>26400</v>
      </c>
      <c r="C68" s="53">
        <f>IF(VLOOKUP(C$2,行为概览!$D$3:$J$33,7,0)="","",VLOOKUP(C$2,行为概览!$D$3:$J$33,7,0))</f>
        <v>50</v>
      </c>
      <c r="D68" s="53">
        <f>IF(VLOOKUP(D$2,行为概览!$D$3:$J$33,7,0)="","",VLOOKUP(D$2,行为概览!$D$3:$J$33,7,0))</f>
        <v>3.3</v>
      </c>
      <c r="E68" s="53">
        <f>IF(VLOOKUP(E$2,行为概览!$D$3:$J$33,7,0)="","",VLOOKUP(E$2,行为概览!$D$3:$J$33,7,0))</f>
        <v>30</v>
      </c>
      <c r="F68" s="53">
        <f>IF(VLOOKUP(F$2,行为概览!$D$3:$J$33,7,0)="","",VLOOKUP(F$2,行为概览!$D$3:$J$33,7,0))</f>
        <v>15</v>
      </c>
      <c r="G68" s="53" t="str">
        <f>IF(VLOOKUP(G$2,行为概览!$D$3:$J$33,7,0)="","",VLOOKUP(G$2,行为概览!$D$3:$J$33,7,0))</f>
        <v/>
      </c>
      <c r="H68" s="53" t="str">
        <f>IF(VLOOKUP(H$2,行为概览!$D$3:$J$33,7,0)="","",VLOOKUP(H$2,行为概览!$D$3:$J$33,7,0))</f>
        <v/>
      </c>
      <c r="I68" s="53" t="str">
        <f>IF(VLOOKUP(I$2,行为概览!$D$3:$J$33,7,0)="","",VLOOKUP(I$2,行为概览!$D$3:$J$33,7,0))</f>
        <v/>
      </c>
      <c r="J68" s="53" t="str">
        <f>IF(VLOOKUP(J$2,行为概览!$D$3:$J$33,7,0)="","",VLOOKUP(J$2,行为概览!$D$3:$J$33,7,0))</f>
        <v/>
      </c>
      <c r="K68" s="53">
        <f>IF(VLOOKUP(K$2,行为概览!$D$3:$J$33,7,0)="","",VLOOKUP(K$2,行为概览!$D$3:$J$33,7,0))</f>
        <v>20</v>
      </c>
      <c r="L68" s="53">
        <f>IF(VLOOKUP(L$2,行为概览!$D$3:$J$33,7,0)="","",VLOOKUP(L$2,行为概览!$D$3:$J$33,7,0))</f>
        <v>20</v>
      </c>
      <c r="M68" s="53">
        <f>IF(VLOOKUP(M$2,行为概览!$D$3:$J$33,7,0)="","",VLOOKUP(M$2,行为概览!$D$3:$J$33,7,0))</f>
        <v>40</v>
      </c>
      <c r="N68" s="53">
        <f>IF(VLOOKUP(N$2,行为概览!$D$3:$J$33,7,0)="","",VLOOKUP(N$2,行为概览!$D$3:$J$33,7,0))</f>
        <v>1</v>
      </c>
      <c r="O68" s="53">
        <f>IF(VLOOKUP(O$2,行为概览!$D$3:$J$33,7,0)="","",VLOOKUP(O$2,行为概览!$D$3:$J$33,7,0))</f>
        <v>150</v>
      </c>
      <c r="P68" s="53">
        <f>IF(VLOOKUP(P$2,行为概览!$D$3:$J$33,7,0)="","",VLOOKUP(P$2,行为概览!$D$3:$J$33,7,0))</f>
        <v>10</v>
      </c>
      <c r="Q68" s="53">
        <f>IF(VLOOKUP(Q$2,行为概览!$D$3:$J$33,7,0)="","",VLOOKUP(Q$2,行为概览!$D$3:$J$33,7,0))</f>
        <v>20</v>
      </c>
      <c r="R68" s="53">
        <f>IF(VLOOKUP(R$2,行为概览!$D$3:$J$33,7,0)="","",VLOOKUP(R$2,行为概览!$D$3:$J$33,7,0))</f>
        <v>6</v>
      </c>
      <c r="S68" s="53">
        <f>IF(VLOOKUP(S$2,行为概览!$D$3:$J$33,7,0)="","",VLOOKUP(S$2,行为概览!$D$3:$J$33,7,0))</f>
        <v>20</v>
      </c>
      <c r="T68" s="53">
        <f>IF(VLOOKUP(T$2,行为概览!$D$3:$J$33,7,0)="","",VLOOKUP(T$2,行为概览!$D$3:$J$33,7,0))</f>
        <v>15</v>
      </c>
      <c r="U68" s="53">
        <f>IF(VLOOKUP(U$2,行为概览!$D$3:$J$33,7,0)="","",VLOOKUP(U$2,行为概览!$D$3:$J$33,7,0))</f>
        <v>15</v>
      </c>
      <c r="V68" s="53">
        <f>IF(VLOOKUP(V$2,行为概览!$D$3:$J$33,7,0)="","",VLOOKUP(V$2,行为概览!$D$3:$J$33,7,0))</f>
        <v>40</v>
      </c>
      <c r="W68" s="53">
        <f>IF(VLOOKUP(W$2,行为概览!$D$3:$J$33,7,0)="","",VLOOKUP(W$2,行为概览!$D$3:$J$33,7,0))</f>
        <v>15</v>
      </c>
      <c r="X68" s="53">
        <f>IF(VLOOKUP(X$2,行为概览!$D$3:$J$33,7,0)="","",VLOOKUP(X$2,行为概览!$D$3:$J$33,7,0))</f>
        <v>30</v>
      </c>
      <c r="Y68" s="53">
        <f>IF(VLOOKUP(Y$2,行为概览!$D$3:$J$33,7,0)="","",VLOOKUP(Y$2,行为概览!$D$3:$J$33,7,0))</f>
        <v>25</v>
      </c>
      <c r="Z68" s="53">
        <f>IF(VLOOKUP(Z$2,行为概览!$D$3:$J$33,7,0)="","",VLOOKUP(Z$2,行为概览!$D$3:$J$33,7,0))</f>
        <v>15</v>
      </c>
      <c r="AA68" s="53">
        <f>IF(VLOOKUP(AA$2,行为概览!$D$3:$J$33,7,0)="","",VLOOKUP(AA$2,行为概览!$D$3:$J$33,7,0))</f>
        <v>15</v>
      </c>
      <c r="AB68" s="53" t="str">
        <f>IF(VLOOKUP(AB$2,行为概览!$D$3:$J$33,7,0)="","",VLOOKUP(AB$2,行为概览!$D$3:$J$33,7,0))</f>
        <v/>
      </c>
      <c r="AC68" s="53" t="str">
        <f>IF(VLOOKUP(AC$2,行为概览!$D$3:$J$33,7,0)="","",VLOOKUP(AC$2,行为概览!$D$3:$J$33,7,0))</f>
        <v/>
      </c>
      <c r="AD68" s="53" t="str">
        <f>IF(VLOOKUP(AD$2,行为概览!$D$3:$J$33,7,0)="","",VLOOKUP(AD$2,行为概览!$D$3:$J$33,7,0))</f>
        <v/>
      </c>
      <c r="AE68" s="68" t="str">
        <f>IF(VLOOKUP(AE$2,行为概览!$D$3:$J$33,7,0)="","",VLOOKUP(AE$2,行为概览!$D$3:$J$33,7,0))</f>
        <v/>
      </c>
      <c r="AF68" s="1">
        <f>IF(C68="","",ROUND(C68*玩法行为规划!B68,2))</f>
        <v>16.670000000000002</v>
      </c>
      <c r="AG68" s="2">
        <f>IF(D68="","",ROUND(D68*玩法行为规划!C68,2))</f>
        <v>6.6</v>
      </c>
      <c r="AH68" s="2">
        <f>IF(E68="","",ROUND(E68*玩法行为规划!D68,2))</f>
        <v>2.5</v>
      </c>
      <c r="AI68" s="2">
        <f>IF(F68="","",ROUND(F68*玩法行为规划!E68,2))</f>
        <v>15</v>
      </c>
      <c r="AJ68" s="2" t="str">
        <f>IF(G68="","",ROUND(G68*玩法行为规划!F68,2))</f>
        <v/>
      </c>
      <c r="AK68" s="2" t="str">
        <f>IF(H68="","",ROUND(H68*玩法行为规划!G68,2))</f>
        <v/>
      </c>
      <c r="AL68" s="2" t="str">
        <f>IF(I68="","",ROUND(I68*玩法行为规划!H68,2))</f>
        <v/>
      </c>
      <c r="AM68" s="2" t="str">
        <f>IF(J68="","",ROUND(J68*玩法行为规划!I68,2))</f>
        <v/>
      </c>
      <c r="AN68" s="2">
        <f>IF(K68="","",ROUND(K68*玩法行为规划!J68,2))</f>
        <v>10</v>
      </c>
      <c r="AO68" s="2">
        <f>IF(L68="","",ROUND(L68*玩法行为规划!K68,2))</f>
        <v>3.33</v>
      </c>
      <c r="AP68" s="2">
        <f>IF(M68="","",ROUND(M68*玩法行为规划!L68,2))</f>
        <v>20</v>
      </c>
      <c r="AQ68" s="2">
        <f>IF(N68="","",ROUND(N68*玩法行为规划!M68,2))</f>
        <v>12</v>
      </c>
      <c r="AR68" s="2">
        <f>IF(O68="","",ROUND(O68*玩法行为规划!N68,2))</f>
        <v>12.5</v>
      </c>
      <c r="AS68" s="2">
        <f>IF(P68="","",ROUND(P68*玩法行为规划!O68,2))</f>
        <v>0.83</v>
      </c>
      <c r="AT68" s="2">
        <f>IF(Q68="","",ROUND(Q68*玩法行为规划!P68,2))</f>
        <v>52</v>
      </c>
      <c r="AU68" s="2">
        <f>IF(R68="","",ROUND(R68*玩法行为规划!Q68,2))</f>
        <v>6</v>
      </c>
      <c r="AV68" s="2">
        <f>IF(S68="","",ROUND(S68*玩法行为规划!R68,2))</f>
        <v>6.67</v>
      </c>
      <c r="AW68" s="2">
        <f>IF(T68="","",ROUND(T68*玩法行为规划!S68,2))</f>
        <v>0</v>
      </c>
      <c r="AX68" s="2">
        <f>IF(U68="","",ROUND(U68*玩法行为规划!T68,2))</f>
        <v>5</v>
      </c>
      <c r="AY68" s="2">
        <f>IF(V68="","",ROUND(V68*玩法行为规划!U68,2))</f>
        <v>6.67</v>
      </c>
      <c r="AZ68" s="2">
        <f>IF(W68="","",ROUND(W68*玩法行为规划!V68,2))</f>
        <v>2.5</v>
      </c>
      <c r="BA68" s="2">
        <f>IF(X68="","",ROUND(X68*玩法行为规划!W68,2))</f>
        <v>5</v>
      </c>
      <c r="BB68" s="2">
        <f>IF(Y68="","",ROUND(Y68*玩法行为规划!X68,2))</f>
        <v>6.25</v>
      </c>
      <c r="BC68" s="2">
        <f>IF(Z68="","",ROUND(Z68*玩法行为规划!Y68,2))</f>
        <v>8.75</v>
      </c>
      <c r="BD68" s="2">
        <f>IF(AA68="","",ROUND(AA68*玩法行为规划!Z68,2))</f>
        <v>2.5</v>
      </c>
      <c r="BE68" s="2" t="str">
        <f>IF(AB68="","",ROUND(AB68*玩法行为规划!AA68,2))</f>
        <v/>
      </c>
      <c r="BF68" s="2" t="str">
        <f>IF(AC68="","",ROUND(AC68*玩法行为规划!AB68,2))</f>
        <v/>
      </c>
      <c r="BG68" s="2" t="str">
        <f>IF(AD68="","",ROUND(AD68*玩法行为规划!AC68,2))</f>
        <v/>
      </c>
      <c r="BH68" s="3" t="str">
        <f>IF(AE68="","",ROUND(AE68*玩法行为规划!AD68,2))</f>
        <v/>
      </c>
      <c r="BI68" s="7">
        <f t="shared" si="11"/>
        <v>200.76999999999998</v>
      </c>
      <c r="BJ68" s="7">
        <f t="shared" si="12"/>
        <v>5300327.9999999991</v>
      </c>
      <c r="BK68" s="69">
        <f t="shared" si="10"/>
        <v>1082400</v>
      </c>
      <c r="BL68" s="21" t="str">
        <f t="shared" si="9"/>
        <v/>
      </c>
      <c r="BM68" s="7">
        <f t="shared" si="13"/>
        <v>4.761470518407742E-2</v>
      </c>
      <c r="BN68" s="69">
        <f>INT(BJ68*升级节奏!G68+BK68)</f>
        <v>22732473</v>
      </c>
      <c r="BO68" s="7">
        <f t="shared" ref="BO68:BO131" si="14">ROUND(B68/90,0)</f>
        <v>293</v>
      </c>
      <c r="BP68" s="7"/>
    </row>
    <row r="69" spans="1:68">
      <c r="A69" s="29">
        <v>67</v>
      </c>
      <c r="B69" s="84">
        <f>升级节奏!C69</f>
        <v>26800</v>
      </c>
      <c r="C69" s="53">
        <f>IF(VLOOKUP(C$2,行为概览!$D$3:$J$33,7,0)="","",VLOOKUP(C$2,行为概览!$D$3:$J$33,7,0))</f>
        <v>50</v>
      </c>
      <c r="D69" s="53">
        <f>IF(VLOOKUP(D$2,行为概览!$D$3:$J$33,7,0)="","",VLOOKUP(D$2,行为概览!$D$3:$J$33,7,0))</f>
        <v>3.3</v>
      </c>
      <c r="E69" s="53">
        <f>IF(VLOOKUP(E$2,行为概览!$D$3:$J$33,7,0)="","",VLOOKUP(E$2,行为概览!$D$3:$J$33,7,0))</f>
        <v>30</v>
      </c>
      <c r="F69" s="53">
        <f>IF(VLOOKUP(F$2,行为概览!$D$3:$J$33,7,0)="","",VLOOKUP(F$2,行为概览!$D$3:$J$33,7,0))</f>
        <v>15</v>
      </c>
      <c r="G69" s="53" t="str">
        <f>IF(VLOOKUP(G$2,行为概览!$D$3:$J$33,7,0)="","",VLOOKUP(G$2,行为概览!$D$3:$J$33,7,0))</f>
        <v/>
      </c>
      <c r="H69" s="53" t="str">
        <f>IF(VLOOKUP(H$2,行为概览!$D$3:$J$33,7,0)="","",VLOOKUP(H$2,行为概览!$D$3:$J$33,7,0))</f>
        <v/>
      </c>
      <c r="I69" s="53" t="str">
        <f>IF(VLOOKUP(I$2,行为概览!$D$3:$J$33,7,0)="","",VLOOKUP(I$2,行为概览!$D$3:$J$33,7,0))</f>
        <v/>
      </c>
      <c r="J69" s="53" t="str">
        <f>IF(VLOOKUP(J$2,行为概览!$D$3:$J$33,7,0)="","",VLOOKUP(J$2,行为概览!$D$3:$J$33,7,0))</f>
        <v/>
      </c>
      <c r="K69" s="53">
        <f>IF(VLOOKUP(K$2,行为概览!$D$3:$J$33,7,0)="","",VLOOKUP(K$2,行为概览!$D$3:$J$33,7,0))</f>
        <v>20</v>
      </c>
      <c r="L69" s="53">
        <f>IF(VLOOKUP(L$2,行为概览!$D$3:$J$33,7,0)="","",VLOOKUP(L$2,行为概览!$D$3:$J$33,7,0))</f>
        <v>20</v>
      </c>
      <c r="M69" s="53">
        <f>IF(VLOOKUP(M$2,行为概览!$D$3:$J$33,7,0)="","",VLOOKUP(M$2,行为概览!$D$3:$J$33,7,0))</f>
        <v>40</v>
      </c>
      <c r="N69" s="53">
        <f>IF(VLOOKUP(N$2,行为概览!$D$3:$J$33,7,0)="","",VLOOKUP(N$2,行为概览!$D$3:$J$33,7,0))</f>
        <v>1</v>
      </c>
      <c r="O69" s="53">
        <f>IF(VLOOKUP(O$2,行为概览!$D$3:$J$33,7,0)="","",VLOOKUP(O$2,行为概览!$D$3:$J$33,7,0))</f>
        <v>150</v>
      </c>
      <c r="P69" s="53">
        <f>IF(VLOOKUP(P$2,行为概览!$D$3:$J$33,7,0)="","",VLOOKUP(P$2,行为概览!$D$3:$J$33,7,0))</f>
        <v>10</v>
      </c>
      <c r="Q69" s="53">
        <f>IF(VLOOKUP(Q$2,行为概览!$D$3:$J$33,7,0)="","",VLOOKUP(Q$2,行为概览!$D$3:$J$33,7,0))</f>
        <v>20</v>
      </c>
      <c r="R69" s="53">
        <f>IF(VLOOKUP(R$2,行为概览!$D$3:$J$33,7,0)="","",VLOOKUP(R$2,行为概览!$D$3:$J$33,7,0))</f>
        <v>6</v>
      </c>
      <c r="S69" s="53">
        <f>IF(VLOOKUP(S$2,行为概览!$D$3:$J$33,7,0)="","",VLOOKUP(S$2,行为概览!$D$3:$J$33,7,0))</f>
        <v>20</v>
      </c>
      <c r="T69" s="53">
        <f>IF(VLOOKUP(T$2,行为概览!$D$3:$J$33,7,0)="","",VLOOKUP(T$2,行为概览!$D$3:$J$33,7,0))</f>
        <v>15</v>
      </c>
      <c r="U69" s="53">
        <f>IF(VLOOKUP(U$2,行为概览!$D$3:$J$33,7,0)="","",VLOOKUP(U$2,行为概览!$D$3:$J$33,7,0))</f>
        <v>15</v>
      </c>
      <c r="V69" s="53">
        <f>IF(VLOOKUP(V$2,行为概览!$D$3:$J$33,7,0)="","",VLOOKUP(V$2,行为概览!$D$3:$J$33,7,0))</f>
        <v>40</v>
      </c>
      <c r="W69" s="53">
        <f>IF(VLOOKUP(W$2,行为概览!$D$3:$J$33,7,0)="","",VLOOKUP(W$2,行为概览!$D$3:$J$33,7,0))</f>
        <v>15</v>
      </c>
      <c r="X69" s="53">
        <f>IF(VLOOKUP(X$2,行为概览!$D$3:$J$33,7,0)="","",VLOOKUP(X$2,行为概览!$D$3:$J$33,7,0))</f>
        <v>30</v>
      </c>
      <c r="Y69" s="53">
        <f>IF(VLOOKUP(Y$2,行为概览!$D$3:$J$33,7,0)="","",VLOOKUP(Y$2,行为概览!$D$3:$J$33,7,0))</f>
        <v>25</v>
      </c>
      <c r="Z69" s="53">
        <f>IF(VLOOKUP(Z$2,行为概览!$D$3:$J$33,7,0)="","",VLOOKUP(Z$2,行为概览!$D$3:$J$33,7,0))</f>
        <v>15</v>
      </c>
      <c r="AA69" s="53">
        <f>IF(VLOOKUP(AA$2,行为概览!$D$3:$J$33,7,0)="","",VLOOKUP(AA$2,行为概览!$D$3:$J$33,7,0))</f>
        <v>15</v>
      </c>
      <c r="AB69" s="53" t="str">
        <f>IF(VLOOKUP(AB$2,行为概览!$D$3:$J$33,7,0)="","",VLOOKUP(AB$2,行为概览!$D$3:$J$33,7,0))</f>
        <v/>
      </c>
      <c r="AC69" s="53" t="str">
        <f>IF(VLOOKUP(AC$2,行为概览!$D$3:$J$33,7,0)="","",VLOOKUP(AC$2,行为概览!$D$3:$J$33,7,0))</f>
        <v/>
      </c>
      <c r="AD69" s="53" t="str">
        <f>IF(VLOOKUP(AD$2,行为概览!$D$3:$J$33,7,0)="","",VLOOKUP(AD$2,行为概览!$D$3:$J$33,7,0))</f>
        <v/>
      </c>
      <c r="AE69" s="68" t="str">
        <f>IF(VLOOKUP(AE$2,行为概览!$D$3:$J$33,7,0)="","",VLOOKUP(AE$2,行为概览!$D$3:$J$33,7,0))</f>
        <v/>
      </c>
      <c r="AF69" s="1">
        <f>IF(C69="","",ROUND(C69*玩法行为规划!B69,2))</f>
        <v>16.670000000000002</v>
      </c>
      <c r="AG69" s="2">
        <f>IF(D69="","",ROUND(D69*玩法行为规划!C69,2))</f>
        <v>6.6</v>
      </c>
      <c r="AH69" s="2">
        <f>IF(E69="","",ROUND(E69*玩法行为规划!D69,2))</f>
        <v>2.5</v>
      </c>
      <c r="AI69" s="2">
        <f>IF(F69="","",ROUND(F69*玩法行为规划!E69,2))</f>
        <v>15</v>
      </c>
      <c r="AJ69" s="2" t="str">
        <f>IF(G69="","",ROUND(G69*玩法行为规划!F69,2))</f>
        <v/>
      </c>
      <c r="AK69" s="2" t="str">
        <f>IF(H69="","",ROUND(H69*玩法行为规划!G69,2))</f>
        <v/>
      </c>
      <c r="AL69" s="2" t="str">
        <f>IF(I69="","",ROUND(I69*玩法行为规划!H69,2))</f>
        <v/>
      </c>
      <c r="AM69" s="2" t="str">
        <f>IF(J69="","",ROUND(J69*玩法行为规划!I69,2))</f>
        <v/>
      </c>
      <c r="AN69" s="2">
        <f>IF(K69="","",ROUND(K69*玩法行为规划!J69,2))</f>
        <v>10</v>
      </c>
      <c r="AO69" s="2">
        <f>IF(L69="","",ROUND(L69*玩法行为规划!K69,2))</f>
        <v>3.33</v>
      </c>
      <c r="AP69" s="2">
        <f>IF(M69="","",ROUND(M69*玩法行为规划!L69,2))</f>
        <v>20</v>
      </c>
      <c r="AQ69" s="2">
        <f>IF(N69="","",ROUND(N69*玩法行为规划!M69,2))</f>
        <v>12</v>
      </c>
      <c r="AR69" s="2">
        <f>IF(O69="","",ROUND(O69*玩法行为规划!N69,2))</f>
        <v>12.5</v>
      </c>
      <c r="AS69" s="2">
        <f>IF(P69="","",ROUND(P69*玩法行为规划!O69,2))</f>
        <v>0.83</v>
      </c>
      <c r="AT69" s="2">
        <f>IF(Q69="","",ROUND(Q69*玩法行为规划!P69,2))</f>
        <v>52</v>
      </c>
      <c r="AU69" s="2">
        <f>IF(R69="","",ROUND(R69*玩法行为规划!Q69,2))</f>
        <v>6</v>
      </c>
      <c r="AV69" s="2">
        <f>IF(S69="","",ROUND(S69*玩法行为规划!R69,2))</f>
        <v>6.67</v>
      </c>
      <c r="AW69" s="2">
        <f>IF(T69="","",ROUND(T69*玩法行为规划!S69,2))</f>
        <v>0</v>
      </c>
      <c r="AX69" s="2">
        <f>IF(U69="","",ROUND(U69*玩法行为规划!T69,2))</f>
        <v>5</v>
      </c>
      <c r="AY69" s="2">
        <f>IF(V69="","",ROUND(V69*玩法行为规划!U69,2))</f>
        <v>6.67</v>
      </c>
      <c r="AZ69" s="2">
        <f>IF(W69="","",ROUND(W69*玩法行为规划!V69,2))</f>
        <v>2.5</v>
      </c>
      <c r="BA69" s="2">
        <f>IF(X69="","",ROUND(X69*玩法行为规划!W69,2))</f>
        <v>5</v>
      </c>
      <c r="BB69" s="2">
        <f>IF(Y69="","",ROUND(Y69*玩法行为规划!X69,2))</f>
        <v>6.25</v>
      </c>
      <c r="BC69" s="2">
        <f>IF(Z69="","",ROUND(Z69*玩法行为规划!Y69,2))</f>
        <v>8.75</v>
      </c>
      <c r="BD69" s="2">
        <f>IF(AA69="","",ROUND(AA69*玩法行为规划!Z69,2))</f>
        <v>2.5</v>
      </c>
      <c r="BE69" s="2" t="str">
        <f>IF(AB69="","",ROUND(AB69*玩法行为规划!AA69,2))</f>
        <v/>
      </c>
      <c r="BF69" s="2" t="str">
        <f>IF(AC69="","",ROUND(AC69*玩法行为规划!AB69,2))</f>
        <v/>
      </c>
      <c r="BG69" s="2" t="str">
        <f>IF(AD69="","",ROUND(AD69*玩法行为规划!AC69,2))</f>
        <v/>
      </c>
      <c r="BH69" s="3" t="str">
        <f>IF(AE69="","",ROUND(AE69*玩法行为规划!AD69,2))</f>
        <v/>
      </c>
      <c r="BI69" s="7">
        <f t="shared" si="11"/>
        <v>200.76999999999998</v>
      </c>
      <c r="BJ69" s="7">
        <f t="shared" si="12"/>
        <v>5380635.9999999991</v>
      </c>
      <c r="BK69" s="69">
        <f t="shared" si="10"/>
        <v>1125600</v>
      </c>
      <c r="BL69" s="21" t="str">
        <f t="shared" si="9"/>
        <v/>
      </c>
      <c r="BM69" s="7">
        <f t="shared" si="13"/>
        <v>4.0380293684842784E-2</v>
      </c>
      <c r="BN69" s="69">
        <f>INT(BJ69*升级节奏!G69+BK69)</f>
        <v>27874983</v>
      </c>
      <c r="BO69" s="7">
        <f t="shared" si="14"/>
        <v>298</v>
      </c>
      <c r="BP69" s="7"/>
    </row>
    <row r="70" spans="1:68">
      <c r="A70" s="29">
        <v>68</v>
      </c>
      <c r="B70" s="84">
        <f>升级节奏!C70</f>
        <v>27200</v>
      </c>
      <c r="C70" s="53">
        <f>IF(VLOOKUP(C$2,行为概览!$D$3:$J$33,7,0)="","",VLOOKUP(C$2,行为概览!$D$3:$J$33,7,0))</f>
        <v>50</v>
      </c>
      <c r="D70" s="53">
        <f>IF(VLOOKUP(D$2,行为概览!$D$3:$J$33,7,0)="","",VLOOKUP(D$2,行为概览!$D$3:$J$33,7,0))</f>
        <v>3.3</v>
      </c>
      <c r="E70" s="53">
        <f>IF(VLOOKUP(E$2,行为概览!$D$3:$J$33,7,0)="","",VLOOKUP(E$2,行为概览!$D$3:$J$33,7,0))</f>
        <v>30</v>
      </c>
      <c r="F70" s="53">
        <f>IF(VLOOKUP(F$2,行为概览!$D$3:$J$33,7,0)="","",VLOOKUP(F$2,行为概览!$D$3:$J$33,7,0))</f>
        <v>15</v>
      </c>
      <c r="G70" s="53" t="str">
        <f>IF(VLOOKUP(G$2,行为概览!$D$3:$J$33,7,0)="","",VLOOKUP(G$2,行为概览!$D$3:$J$33,7,0))</f>
        <v/>
      </c>
      <c r="H70" s="53" t="str">
        <f>IF(VLOOKUP(H$2,行为概览!$D$3:$J$33,7,0)="","",VLOOKUP(H$2,行为概览!$D$3:$J$33,7,0))</f>
        <v/>
      </c>
      <c r="I70" s="53" t="str">
        <f>IF(VLOOKUP(I$2,行为概览!$D$3:$J$33,7,0)="","",VLOOKUP(I$2,行为概览!$D$3:$J$33,7,0))</f>
        <v/>
      </c>
      <c r="J70" s="53" t="str">
        <f>IF(VLOOKUP(J$2,行为概览!$D$3:$J$33,7,0)="","",VLOOKUP(J$2,行为概览!$D$3:$J$33,7,0))</f>
        <v/>
      </c>
      <c r="K70" s="53">
        <f>IF(VLOOKUP(K$2,行为概览!$D$3:$J$33,7,0)="","",VLOOKUP(K$2,行为概览!$D$3:$J$33,7,0))</f>
        <v>20</v>
      </c>
      <c r="L70" s="53">
        <f>IF(VLOOKUP(L$2,行为概览!$D$3:$J$33,7,0)="","",VLOOKUP(L$2,行为概览!$D$3:$J$33,7,0))</f>
        <v>20</v>
      </c>
      <c r="M70" s="53">
        <f>IF(VLOOKUP(M$2,行为概览!$D$3:$J$33,7,0)="","",VLOOKUP(M$2,行为概览!$D$3:$J$33,7,0))</f>
        <v>40</v>
      </c>
      <c r="N70" s="53">
        <f>IF(VLOOKUP(N$2,行为概览!$D$3:$J$33,7,0)="","",VLOOKUP(N$2,行为概览!$D$3:$J$33,7,0))</f>
        <v>1</v>
      </c>
      <c r="O70" s="53">
        <f>IF(VLOOKUP(O$2,行为概览!$D$3:$J$33,7,0)="","",VLOOKUP(O$2,行为概览!$D$3:$J$33,7,0))</f>
        <v>150</v>
      </c>
      <c r="P70" s="53">
        <f>IF(VLOOKUP(P$2,行为概览!$D$3:$J$33,7,0)="","",VLOOKUP(P$2,行为概览!$D$3:$J$33,7,0))</f>
        <v>10</v>
      </c>
      <c r="Q70" s="53">
        <f>IF(VLOOKUP(Q$2,行为概览!$D$3:$J$33,7,0)="","",VLOOKUP(Q$2,行为概览!$D$3:$J$33,7,0))</f>
        <v>20</v>
      </c>
      <c r="R70" s="53">
        <f>IF(VLOOKUP(R$2,行为概览!$D$3:$J$33,7,0)="","",VLOOKUP(R$2,行为概览!$D$3:$J$33,7,0))</f>
        <v>6</v>
      </c>
      <c r="S70" s="53">
        <f>IF(VLOOKUP(S$2,行为概览!$D$3:$J$33,7,0)="","",VLOOKUP(S$2,行为概览!$D$3:$J$33,7,0))</f>
        <v>20</v>
      </c>
      <c r="T70" s="53">
        <f>IF(VLOOKUP(T$2,行为概览!$D$3:$J$33,7,0)="","",VLOOKUP(T$2,行为概览!$D$3:$J$33,7,0))</f>
        <v>15</v>
      </c>
      <c r="U70" s="53">
        <f>IF(VLOOKUP(U$2,行为概览!$D$3:$J$33,7,0)="","",VLOOKUP(U$2,行为概览!$D$3:$J$33,7,0))</f>
        <v>15</v>
      </c>
      <c r="V70" s="53">
        <f>IF(VLOOKUP(V$2,行为概览!$D$3:$J$33,7,0)="","",VLOOKUP(V$2,行为概览!$D$3:$J$33,7,0))</f>
        <v>40</v>
      </c>
      <c r="W70" s="53">
        <f>IF(VLOOKUP(W$2,行为概览!$D$3:$J$33,7,0)="","",VLOOKUP(W$2,行为概览!$D$3:$J$33,7,0))</f>
        <v>15</v>
      </c>
      <c r="X70" s="53">
        <f>IF(VLOOKUP(X$2,行为概览!$D$3:$J$33,7,0)="","",VLOOKUP(X$2,行为概览!$D$3:$J$33,7,0))</f>
        <v>30</v>
      </c>
      <c r="Y70" s="53">
        <f>IF(VLOOKUP(Y$2,行为概览!$D$3:$J$33,7,0)="","",VLOOKUP(Y$2,行为概览!$D$3:$J$33,7,0))</f>
        <v>25</v>
      </c>
      <c r="Z70" s="53">
        <f>IF(VLOOKUP(Z$2,行为概览!$D$3:$J$33,7,0)="","",VLOOKUP(Z$2,行为概览!$D$3:$J$33,7,0))</f>
        <v>15</v>
      </c>
      <c r="AA70" s="53">
        <f>IF(VLOOKUP(AA$2,行为概览!$D$3:$J$33,7,0)="","",VLOOKUP(AA$2,行为概览!$D$3:$J$33,7,0))</f>
        <v>15</v>
      </c>
      <c r="AB70" s="53" t="str">
        <f>IF(VLOOKUP(AB$2,行为概览!$D$3:$J$33,7,0)="","",VLOOKUP(AB$2,行为概览!$D$3:$J$33,7,0))</f>
        <v/>
      </c>
      <c r="AC70" s="53" t="str">
        <f>IF(VLOOKUP(AC$2,行为概览!$D$3:$J$33,7,0)="","",VLOOKUP(AC$2,行为概览!$D$3:$J$33,7,0))</f>
        <v/>
      </c>
      <c r="AD70" s="53" t="str">
        <f>IF(VLOOKUP(AD$2,行为概览!$D$3:$J$33,7,0)="","",VLOOKUP(AD$2,行为概览!$D$3:$J$33,7,0))</f>
        <v/>
      </c>
      <c r="AE70" s="68" t="str">
        <f>IF(VLOOKUP(AE$2,行为概览!$D$3:$J$33,7,0)="","",VLOOKUP(AE$2,行为概览!$D$3:$J$33,7,0))</f>
        <v/>
      </c>
      <c r="AF70" s="1">
        <f>IF(C70="","",ROUND(C70*玩法行为规划!B70,2))</f>
        <v>16.670000000000002</v>
      </c>
      <c r="AG70" s="2">
        <f>IF(D70="","",ROUND(D70*玩法行为规划!C70,2))</f>
        <v>6.6</v>
      </c>
      <c r="AH70" s="2">
        <f>IF(E70="","",ROUND(E70*玩法行为规划!D70,2))</f>
        <v>2.5</v>
      </c>
      <c r="AI70" s="2">
        <f>IF(F70="","",ROUND(F70*玩法行为规划!E70,2))</f>
        <v>15</v>
      </c>
      <c r="AJ70" s="2" t="str">
        <f>IF(G70="","",ROUND(G70*玩法行为规划!F70,2))</f>
        <v/>
      </c>
      <c r="AK70" s="2" t="str">
        <f>IF(H70="","",ROUND(H70*玩法行为规划!G70,2))</f>
        <v/>
      </c>
      <c r="AL70" s="2" t="str">
        <f>IF(I70="","",ROUND(I70*玩法行为规划!H70,2))</f>
        <v/>
      </c>
      <c r="AM70" s="2" t="str">
        <f>IF(J70="","",ROUND(J70*玩法行为规划!I70,2))</f>
        <v/>
      </c>
      <c r="AN70" s="2">
        <f>IF(K70="","",ROUND(K70*玩法行为规划!J70,2))</f>
        <v>10</v>
      </c>
      <c r="AO70" s="2">
        <f>IF(L70="","",ROUND(L70*玩法行为规划!K70,2))</f>
        <v>3.33</v>
      </c>
      <c r="AP70" s="2">
        <f>IF(M70="","",ROUND(M70*玩法行为规划!L70,2))</f>
        <v>20</v>
      </c>
      <c r="AQ70" s="2">
        <f>IF(N70="","",ROUND(N70*玩法行为规划!M70,2))</f>
        <v>12</v>
      </c>
      <c r="AR70" s="2">
        <f>IF(O70="","",ROUND(O70*玩法行为规划!N70,2))</f>
        <v>12.5</v>
      </c>
      <c r="AS70" s="2">
        <f>IF(P70="","",ROUND(P70*玩法行为规划!O70,2))</f>
        <v>0.83</v>
      </c>
      <c r="AT70" s="2">
        <f>IF(Q70="","",ROUND(Q70*玩法行为规划!P70,2))</f>
        <v>52</v>
      </c>
      <c r="AU70" s="2">
        <f>IF(R70="","",ROUND(R70*玩法行为规划!Q70,2))</f>
        <v>6</v>
      </c>
      <c r="AV70" s="2">
        <f>IF(S70="","",ROUND(S70*玩法行为规划!R70,2))</f>
        <v>6.67</v>
      </c>
      <c r="AW70" s="2">
        <f>IF(T70="","",ROUND(T70*玩法行为规划!S70,2))</f>
        <v>0</v>
      </c>
      <c r="AX70" s="2">
        <f>IF(U70="","",ROUND(U70*玩法行为规划!T70,2))</f>
        <v>5</v>
      </c>
      <c r="AY70" s="2">
        <f>IF(V70="","",ROUND(V70*玩法行为规划!U70,2))</f>
        <v>6.67</v>
      </c>
      <c r="AZ70" s="2">
        <f>IF(W70="","",ROUND(W70*玩法行为规划!V70,2))</f>
        <v>2.5</v>
      </c>
      <c r="BA70" s="2">
        <f>IF(X70="","",ROUND(X70*玩法行为规划!W70,2))</f>
        <v>5</v>
      </c>
      <c r="BB70" s="2">
        <f>IF(Y70="","",ROUND(Y70*玩法行为规划!X70,2))</f>
        <v>6.25</v>
      </c>
      <c r="BC70" s="2">
        <f>IF(Z70="","",ROUND(Z70*玩法行为规划!Y70,2))</f>
        <v>8.75</v>
      </c>
      <c r="BD70" s="2">
        <f>IF(AA70="","",ROUND(AA70*玩法行为规划!Z70,2))</f>
        <v>2.5</v>
      </c>
      <c r="BE70" s="2" t="str">
        <f>IF(AB70="","",ROUND(AB70*玩法行为规划!AA70,2))</f>
        <v/>
      </c>
      <c r="BF70" s="2" t="str">
        <f>IF(AC70="","",ROUND(AC70*玩法行为规划!AB70,2))</f>
        <v/>
      </c>
      <c r="BG70" s="2" t="str">
        <f>IF(AD70="","",ROUND(AD70*玩法行为规划!AC70,2))</f>
        <v/>
      </c>
      <c r="BH70" s="3" t="str">
        <f>IF(AE70="","",ROUND(AE70*玩法行为规划!AD70,2))</f>
        <v/>
      </c>
      <c r="BI70" s="7">
        <f t="shared" si="11"/>
        <v>200.76999999999998</v>
      </c>
      <c r="BJ70" s="7">
        <f t="shared" si="12"/>
        <v>5460943.9999999991</v>
      </c>
      <c r="BK70" s="69">
        <f t="shared" si="10"/>
        <v>1169600</v>
      </c>
      <c r="BL70" s="21" t="str">
        <f t="shared" si="9"/>
        <v/>
      </c>
      <c r="BM70" s="7">
        <f t="shared" si="13"/>
        <v>3.5000700552667526E-2</v>
      </c>
      <c r="BN70" s="69">
        <f>INT(BJ70*升级节奏!G70+BK70)</f>
        <v>33416474</v>
      </c>
      <c r="BO70" s="7">
        <f t="shared" si="14"/>
        <v>302</v>
      </c>
      <c r="BP70" s="7"/>
    </row>
    <row r="71" spans="1:68">
      <c r="A71" s="29">
        <v>69</v>
      </c>
      <c r="B71" s="84">
        <f>升级节奏!C71</f>
        <v>27600</v>
      </c>
      <c r="C71" s="53">
        <f>IF(VLOOKUP(C$2,行为概览!$D$3:$J$33,7,0)="","",VLOOKUP(C$2,行为概览!$D$3:$J$33,7,0))</f>
        <v>50</v>
      </c>
      <c r="D71" s="53">
        <f>IF(VLOOKUP(D$2,行为概览!$D$3:$J$33,7,0)="","",VLOOKUP(D$2,行为概览!$D$3:$J$33,7,0))</f>
        <v>3.3</v>
      </c>
      <c r="E71" s="53">
        <f>IF(VLOOKUP(E$2,行为概览!$D$3:$J$33,7,0)="","",VLOOKUP(E$2,行为概览!$D$3:$J$33,7,0))</f>
        <v>30</v>
      </c>
      <c r="F71" s="53">
        <f>IF(VLOOKUP(F$2,行为概览!$D$3:$J$33,7,0)="","",VLOOKUP(F$2,行为概览!$D$3:$J$33,7,0))</f>
        <v>15</v>
      </c>
      <c r="G71" s="53" t="str">
        <f>IF(VLOOKUP(G$2,行为概览!$D$3:$J$33,7,0)="","",VLOOKUP(G$2,行为概览!$D$3:$J$33,7,0))</f>
        <v/>
      </c>
      <c r="H71" s="53" t="str">
        <f>IF(VLOOKUP(H$2,行为概览!$D$3:$J$33,7,0)="","",VLOOKUP(H$2,行为概览!$D$3:$J$33,7,0))</f>
        <v/>
      </c>
      <c r="I71" s="53" t="str">
        <f>IF(VLOOKUP(I$2,行为概览!$D$3:$J$33,7,0)="","",VLOOKUP(I$2,行为概览!$D$3:$J$33,7,0))</f>
        <v/>
      </c>
      <c r="J71" s="53" t="str">
        <f>IF(VLOOKUP(J$2,行为概览!$D$3:$J$33,7,0)="","",VLOOKUP(J$2,行为概览!$D$3:$J$33,7,0))</f>
        <v/>
      </c>
      <c r="K71" s="53">
        <f>IF(VLOOKUP(K$2,行为概览!$D$3:$J$33,7,0)="","",VLOOKUP(K$2,行为概览!$D$3:$J$33,7,0))</f>
        <v>20</v>
      </c>
      <c r="L71" s="53">
        <f>IF(VLOOKUP(L$2,行为概览!$D$3:$J$33,7,0)="","",VLOOKUP(L$2,行为概览!$D$3:$J$33,7,0))</f>
        <v>20</v>
      </c>
      <c r="M71" s="53">
        <f>IF(VLOOKUP(M$2,行为概览!$D$3:$J$33,7,0)="","",VLOOKUP(M$2,行为概览!$D$3:$J$33,7,0))</f>
        <v>40</v>
      </c>
      <c r="N71" s="53">
        <f>IF(VLOOKUP(N$2,行为概览!$D$3:$J$33,7,0)="","",VLOOKUP(N$2,行为概览!$D$3:$J$33,7,0))</f>
        <v>1</v>
      </c>
      <c r="O71" s="53">
        <f>IF(VLOOKUP(O$2,行为概览!$D$3:$J$33,7,0)="","",VLOOKUP(O$2,行为概览!$D$3:$J$33,7,0))</f>
        <v>150</v>
      </c>
      <c r="P71" s="53">
        <f>IF(VLOOKUP(P$2,行为概览!$D$3:$J$33,7,0)="","",VLOOKUP(P$2,行为概览!$D$3:$J$33,7,0))</f>
        <v>10</v>
      </c>
      <c r="Q71" s="53">
        <f>IF(VLOOKUP(Q$2,行为概览!$D$3:$J$33,7,0)="","",VLOOKUP(Q$2,行为概览!$D$3:$J$33,7,0))</f>
        <v>20</v>
      </c>
      <c r="R71" s="53">
        <f>IF(VLOOKUP(R$2,行为概览!$D$3:$J$33,7,0)="","",VLOOKUP(R$2,行为概览!$D$3:$J$33,7,0))</f>
        <v>6</v>
      </c>
      <c r="S71" s="53">
        <f>IF(VLOOKUP(S$2,行为概览!$D$3:$J$33,7,0)="","",VLOOKUP(S$2,行为概览!$D$3:$J$33,7,0))</f>
        <v>20</v>
      </c>
      <c r="T71" s="53">
        <f>IF(VLOOKUP(T$2,行为概览!$D$3:$J$33,7,0)="","",VLOOKUP(T$2,行为概览!$D$3:$J$33,7,0))</f>
        <v>15</v>
      </c>
      <c r="U71" s="53">
        <f>IF(VLOOKUP(U$2,行为概览!$D$3:$J$33,7,0)="","",VLOOKUP(U$2,行为概览!$D$3:$J$33,7,0))</f>
        <v>15</v>
      </c>
      <c r="V71" s="53">
        <f>IF(VLOOKUP(V$2,行为概览!$D$3:$J$33,7,0)="","",VLOOKUP(V$2,行为概览!$D$3:$J$33,7,0))</f>
        <v>40</v>
      </c>
      <c r="W71" s="53">
        <f>IF(VLOOKUP(W$2,行为概览!$D$3:$J$33,7,0)="","",VLOOKUP(W$2,行为概览!$D$3:$J$33,7,0))</f>
        <v>15</v>
      </c>
      <c r="X71" s="53">
        <f>IF(VLOOKUP(X$2,行为概览!$D$3:$J$33,7,0)="","",VLOOKUP(X$2,行为概览!$D$3:$J$33,7,0))</f>
        <v>30</v>
      </c>
      <c r="Y71" s="53">
        <f>IF(VLOOKUP(Y$2,行为概览!$D$3:$J$33,7,0)="","",VLOOKUP(Y$2,行为概览!$D$3:$J$33,7,0))</f>
        <v>25</v>
      </c>
      <c r="Z71" s="53">
        <f>IF(VLOOKUP(Z$2,行为概览!$D$3:$J$33,7,0)="","",VLOOKUP(Z$2,行为概览!$D$3:$J$33,7,0))</f>
        <v>15</v>
      </c>
      <c r="AA71" s="53">
        <f>IF(VLOOKUP(AA$2,行为概览!$D$3:$J$33,7,0)="","",VLOOKUP(AA$2,行为概览!$D$3:$J$33,7,0))</f>
        <v>15</v>
      </c>
      <c r="AB71" s="53" t="str">
        <f>IF(VLOOKUP(AB$2,行为概览!$D$3:$J$33,7,0)="","",VLOOKUP(AB$2,行为概览!$D$3:$J$33,7,0))</f>
        <v/>
      </c>
      <c r="AC71" s="53" t="str">
        <f>IF(VLOOKUP(AC$2,行为概览!$D$3:$J$33,7,0)="","",VLOOKUP(AC$2,行为概览!$D$3:$J$33,7,0))</f>
        <v/>
      </c>
      <c r="AD71" s="53" t="str">
        <f>IF(VLOOKUP(AD$2,行为概览!$D$3:$J$33,7,0)="","",VLOOKUP(AD$2,行为概览!$D$3:$J$33,7,0))</f>
        <v/>
      </c>
      <c r="AE71" s="68" t="str">
        <f>IF(VLOOKUP(AE$2,行为概览!$D$3:$J$33,7,0)="","",VLOOKUP(AE$2,行为概览!$D$3:$J$33,7,0))</f>
        <v/>
      </c>
      <c r="AF71" s="1">
        <f>IF(C71="","",ROUND(C71*玩法行为规划!B71,2))</f>
        <v>16.670000000000002</v>
      </c>
      <c r="AG71" s="2">
        <f>IF(D71="","",ROUND(D71*玩法行为规划!C71,2))</f>
        <v>6.6</v>
      </c>
      <c r="AH71" s="2">
        <f>IF(E71="","",ROUND(E71*玩法行为规划!D71,2))</f>
        <v>2.5</v>
      </c>
      <c r="AI71" s="2">
        <f>IF(F71="","",ROUND(F71*玩法行为规划!E71,2))</f>
        <v>15</v>
      </c>
      <c r="AJ71" s="2" t="str">
        <f>IF(G71="","",ROUND(G71*玩法行为规划!F71,2))</f>
        <v/>
      </c>
      <c r="AK71" s="2" t="str">
        <f>IF(H71="","",ROUND(H71*玩法行为规划!G71,2))</f>
        <v/>
      </c>
      <c r="AL71" s="2" t="str">
        <f>IF(I71="","",ROUND(I71*玩法行为规划!H71,2))</f>
        <v/>
      </c>
      <c r="AM71" s="2" t="str">
        <f>IF(J71="","",ROUND(J71*玩法行为规划!I71,2))</f>
        <v/>
      </c>
      <c r="AN71" s="2">
        <f>IF(K71="","",ROUND(K71*玩法行为规划!J71,2))</f>
        <v>10</v>
      </c>
      <c r="AO71" s="2">
        <f>IF(L71="","",ROUND(L71*玩法行为规划!K71,2))</f>
        <v>3.33</v>
      </c>
      <c r="AP71" s="2">
        <f>IF(M71="","",ROUND(M71*玩法行为规划!L71,2))</f>
        <v>20</v>
      </c>
      <c r="AQ71" s="2">
        <f>IF(N71="","",ROUND(N71*玩法行为规划!M71,2))</f>
        <v>12</v>
      </c>
      <c r="AR71" s="2">
        <f>IF(O71="","",ROUND(O71*玩法行为规划!N71,2))</f>
        <v>12.5</v>
      </c>
      <c r="AS71" s="2">
        <f>IF(P71="","",ROUND(P71*玩法行为规划!O71,2))</f>
        <v>0.83</v>
      </c>
      <c r="AT71" s="2">
        <f>IF(Q71="","",ROUND(Q71*玩法行为规划!P71,2))</f>
        <v>52</v>
      </c>
      <c r="AU71" s="2">
        <f>IF(R71="","",ROUND(R71*玩法行为规划!Q71,2))</f>
        <v>6</v>
      </c>
      <c r="AV71" s="2">
        <f>IF(S71="","",ROUND(S71*玩法行为规划!R71,2))</f>
        <v>6.67</v>
      </c>
      <c r="AW71" s="2">
        <f>IF(T71="","",ROUND(T71*玩法行为规划!S71,2))</f>
        <v>0</v>
      </c>
      <c r="AX71" s="2">
        <f>IF(U71="","",ROUND(U71*玩法行为规划!T71,2))</f>
        <v>5</v>
      </c>
      <c r="AY71" s="2">
        <f>IF(V71="","",ROUND(V71*玩法行为规划!U71,2))</f>
        <v>6.67</v>
      </c>
      <c r="AZ71" s="2">
        <f>IF(W71="","",ROUND(W71*玩法行为规划!V71,2))</f>
        <v>2.5</v>
      </c>
      <c r="BA71" s="2">
        <f>IF(X71="","",ROUND(X71*玩法行为规划!W71,2))</f>
        <v>5</v>
      </c>
      <c r="BB71" s="2">
        <f>IF(Y71="","",ROUND(Y71*玩法行为规划!X71,2))</f>
        <v>6.25</v>
      </c>
      <c r="BC71" s="2">
        <f>IF(Z71="","",ROUND(Z71*玩法行为规划!Y71,2))</f>
        <v>8.75</v>
      </c>
      <c r="BD71" s="2">
        <f>IF(AA71="","",ROUND(AA71*玩法行为规划!Z71,2))</f>
        <v>2.5</v>
      </c>
      <c r="BE71" s="2" t="str">
        <f>IF(AB71="","",ROUND(AB71*玩法行为规划!AA71,2))</f>
        <v/>
      </c>
      <c r="BF71" s="2" t="str">
        <f>IF(AC71="","",ROUND(AC71*玩法行为规划!AB71,2))</f>
        <v/>
      </c>
      <c r="BG71" s="2" t="str">
        <f>IF(AD71="","",ROUND(AD71*玩法行为规划!AC71,2))</f>
        <v/>
      </c>
      <c r="BH71" s="3" t="str">
        <f>IF(AE71="","",ROUND(AE71*玩法行为规划!AD71,2))</f>
        <v/>
      </c>
      <c r="BI71" s="7">
        <f t="shared" si="11"/>
        <v>200.76999999999998</v>
      </c>
      <c r="BJ71" s="7">
        <f t="shared" si="12"/>
        <v>5541251.9999999991</v>
      </c>
      <c r="BK71" s="69">
        <f t="shared" si="10"/>
        <v>1214400</v>
      </c>
      <c r="BL71" s="21" t="str">
        <f t="shared" si="9"/>
        <v/>
      </c>
      <c r="BM71" s="7">
        <f t="shared" si="13"/>
        <v>3.0842868234360082E-2</v>
      </c>
      <c r="BN71" s="69">
        <f>INT(BJ71*升级节奏!G71+BK71)</f>
        <v>39373770</v>
      </c>
      <c r="BO71" s="7">
        <f t="shared" si="14"/>
        <v>307</v>
      </c>
      <c r="BP71" s="7"/>
    </row>
    <row r="72" spans="1:68">
      <c r="A72" s="29">
        <v>70</v>
      </c>
      <c r="B72" s="84">
        <f>升级节奏!C72</f>
        <v>28000</v>
      </c>
      <c r="C72" s="53">
        <f>IF(VLOOKUP(C$2,行为概览!$D$3:$J$33,7,0)="","",VLOOKUP(C$2,行为概览!$D$3:$J$33,7,0))</f>
        <v>50</v>
      </c>
      <c r="D72" s="53">
        <f>IF(VLOOKUP(D$2,行为概览!$D$3:$J$33,7,0)="","",VLOOKUP(D$2,行为概览!$D$3:$J$33,7,0))</f>
        <v>3.3</v>
      </c>
      <c r="E72" s="53">
        <f>IF(VLOOKUP(E$2,行为概览!$D$3:$J$33,7,0)="","",VLOOKUP(E$2,行为概览!$D$3:$J$33,7,0))</f>
        <v>30</v>
      </c>
      <c r="F72" s="53">
        <f>IF(VLOOKUP(F$2,行为概览!$D$3:$J$33,7,0)="","",VLOOKUP(F$2,行为概览!$D$3:$J$33,7,0))</f>
        <v>15</v>
      </c>
      <c r="G72" s="53" t="str">
        <f>IF(VLOOKUP(G$2,行为概览!$D$3:$J$33,7,0)="","",VLOOKUP(G$2,行为概览!$D$3:$J$33,7,0))</f>
        <v/>
      </c>
      <c r="H72" s="53" t="str">
        <f>IF(VLOOKUP(H$2,行为概览!$D$3:$J$33,7,0)="","",VLOOKUP(H$2,行为概览!$D$3:$J$33,7,0))</f>
        <v/>
      </c>
      <c r="I72" s="53" t="str">
        <f>IF(VLOOKUP(I$2,行为概览!$D$3:$J$33,7,0)="","",VLOOKUP(I$2,行为概览!$D$3:$J$33,7,0))</f>
        <v/>
      </c>
      <c r="J72" s="53" t="str">
        <f>IF(VLOOKUP(J$2,行为概览!$D$3:$J$33,7,0)="","",VLOOKUP(J$2,行为概览!$D$3:$J$33,7,0))</f>
        <v/>
      </c>
      <c r="K72" s="53">
        <f>IF(VLOOKUP(K$2,行为概览!$D$3:$J$33,7,0)="","",VLOOKUP(K$2,行为概览!$D$3:$J$33,7,0))</f>
        <v>20</v>
      </c>
      <c r="L72" s="53">
        <f>IF(VLOOKUP(L$2,行为概览!$D$3:$J$33,7,0)="","",VLOOKUP(L$2,行为概览!$D$3:$J$33,7,0))</f>
        <v>20</v>
      </c>
      <c r="M72" s="53">
        <f>IF(VLOOKUP(M$2,行为概览!$D$3:$J$33,7,0)="","",VLOOKUP(M$2,行为概览!$D$3:$J$33,7,0))</f>
        <v>40</v>
      </c>
      <c r="N72" s="53">
        <f>IF(VLOOKUP(N$2,行为概览!$D$3:$J$33,7,0)="","",VLOOKUP(N$2,行为概览!$D$3:$J$33,7,0))</f>
        <v>1</v>
      </c>
      <c r="O72" s="53">
        <f>IF(VLOOKUP(O$2,行为概览!$D$3:$J$33,7,0)="","",VLOOKUP(O$2,行为概览!$D$3:$J$33,7,0))</f>
        <v>150</v>
      </c>
      <c r="P72" s="53">
        <f>IF(VLOOKUP(P$2,行为概览!$D$3:$J$33,7,0)="","",VLOOKUP(P$2,行为概览!$D$3:$J$33,7,0))</f>
        <v>10</v>
      </c>
      <c r="Q72" s="53">
        <f>IF(VLOOKUP(Q$2,行为概览!$D$3:$J$33,7,0)="","",VLOOKUP(Q$2,行为概览!$D$3:$J$33,7,0))</f>
        <v>20</v>
      </c>
      <c r="R72" s="53">
        <f>IF(VLOOKUP(R$2,行为概览!$D$3:$J$33,7,0)="","",VLOOKUP(R$2,行为概览!$D$3:$J$33,7,0))</f>
        <v>6</v>
      </c>
      <c r="S72" s="53">
        <f>IF(VLOOKUP(S$2,行为概览!$D$3:$J$33,7,0)="","",VLOOKUP(S$2,行为概览!$D$3:$J$33,7,0))</f>
        <v>20</v>
      </c>
      <c r="T72" s="53">
        <f>IF(VLOOKUP(T$2,行为概览!$D$3:$J$33,7,0)="","",VLOOKUP(T$2,行为概览!$D$3:$J$33,7,0))</f>
        <v>15</v>
      </c>
      <c r="U72" s="53">
        <f>IF(VLOOKUP(U$2,行为概览!$D$3:$J$33,7,0)="","",VLOOKUP(U$2,行为概览!$D$3:$J$33,7,0))</f>
        <v>15</v>
      </c>
      <c r="V72" s="53">
        <f>IF(VLOOKUP(V$2,行为概览!$D$3:$J$33,7,0)="","",VLOOKUP(V$2,行为概览!$D$3:$J$33,7,0))</f>
        <v>40</v>
      </c>
      <c r="W72" s="53">
        <f>IF(VLOOKUP(W$2,行为概览!$D$3:$J$33,7,0)="","",VLOOKUP(W$2,行为概览!$D$3:$J$33,7,0))</f>
        <v>15</v>
      </c>
      <c r="X72" s="53">
        <f>IF(VLOOKUP(X$2,行为概览!$D$3:$J$33,7,0)="","",VLOOKUP(X$2,行为概览!$D$3:$J$33,7,0))</f>
        <v>30</v>
      </c>
      <c r="Y72" s="53">
        <f>IF(VLOOKUP(Y$2,行为概览!$D$3:$J$33,7,0)="","",VLOOKUP(Y$2,行为概览!$D$3:$J$33,7,0))</f>
        <v>25</v>
      </c>
      <c r="Z72" s="53">
        <f>IF(VLOOKUP(Z$2,行为概览!$D$3:$J$33,7,0)="","",VLOOKUP(Z$2,行为概览!$D$3:$J$33,7,0))</f>
        <v>15</v>
      </c>
      <c r="AA72" s="53">
        <f>IF(VLOOKUP(AA$2,行为概览!$D$3:$J$33,7,0)="","",VLOOKUP(AA$2,行为概览!$D$3:$J$33,7,0))</f>
        <v>15</v>
      </c>
      <c r="AB72" s="53" t="str">
        <f>IF(VLOOKUP(AB$2,行为概览!$D$3:$J$33,7,0)="","",VLOOKUP(AB$2,行为概览!$D$3:$J$33,7,0))</f>
        <v/>
      </c>
      <c r="AC72" s="53" t="str">
        <f>IF(VLOOKUP(AC$2,行为概览!$D$3:$J$33,7,0)="","",VLOOKUP(AC$2,行为概览!$D$3:$J$33,7,0))</f>
        <v/>
      </c>
      <c r="AD72" s="53" t="str">
        <f>IF(VLOOKUP(AD$2,行为概览!$D$3:$J$33,7,0)="","",VLOOKUP(AD$2,行为概览!$D$3:$J$33,7,0))</f>
        <v/>
      </c>
      <c r="AE72" s="68" t="str">
        <f>IF(VLOOKUP(AE$2,行为概览!$D$3:$J$33,7,0)="","",VLOOKUP(AE$2,行为概览!$D$3:$J$33,7,0))</f>
        <v/>
      </c>
      <c r="AF72" s="1">
        <f>IF(C72="","",ROUND(C72*玩法行为规划!B72,2))</f>
        <v>16.670000000000002</v>
      </c>
      <c r="AG72" s="2">
        <f>IF(D72="","",ROUND(D72*玩法行为规划!C72,2))</f>
        <v>6.6</v>
      </c>
      <c r="AH72" s="2">
        <f>IF(E72="","",ROUND(E72*玩法行为规划!D72,2))</f>
        <v>2.5</v>
      </c>
      <c r="AI72" s="2">
        <f>IF(F72="","",ROUND(F72*玩法行为规划!E72,2))</f>
        <v>15</v>
      </c>
      <c r="AJ72" s="2" t="str">
        <f>IF(G72="","",ROUND(G72*玩法行为规划!F72,2))</f>
        <v/>
      </c>
      <c r="AK72" s="2" t="str">
        <f>IF(H72="","",ROUND(H72*玩法行为规划!G72,2))</f>
        <v/>
      </c>
      <c r="AL72" s="2" t="str">
        <f>IF(I72="","",ROUND(I72*玩法行为规划!H72,2))</f>
        <v/>
      </c>
      <c r="AM72" s="2" t="str">
        <f>IF(J72="","",ROUND(J72*玩法行为规划!I72,2))</f>
        <v/>
      </c>
      <c r="AN72" s="2">
        <f>IF(K72="","",ROUND(K72*玩法行为规划!J72,2))</f>
        <v>10</v>
      </c>
      <c r="AO72" s="2">
        <f>IF(L72="","",ROUND(L72*玩法行为规划!K72,2))</f>
        <v>3.33</v>
      </c>
      <c r="AP72" s="2">
        <f>IF(M72="","",ROUND(M72*玩法行为规划!L72,2))</f>
        <v>20</v>
      </c>
      <c r="AQ72" s="2">
        <f>IF(N72="","",ROUND(N72*玩法行为规划!M72,2))</f>
        <v>12</v>
      </c>
      <c r="AR72" s="2">
        <f>IF(O72="","",ROUND(O72*玩法行为规划!N72,2))</f>
        <v>12.5</v>
      </c>
      <c r="AS72" s="2">
        <f>IF(P72="","",ROUND(P72*玩法行为规划!O72,2))</f>
        <v>0.83</v>
      </c>
      <c r="AT72" s="2">
        <f>IF(Q72="","",ROUND(Q72*玩法行为规划!P72,2))</f>
        <v>52</v>
      </c>
      <c r="AU72" s="2">
        <f>IF(R72="","",ROUND(R72*玩法行为规划!Q72,2))</f>
        <v>6</v>
      </c>
      <c r="AV72" s="2">
        <f>IF(S72="","",ROUND(S72*玩法行为规划!R72,2))</f>
        <v>6.67</v>
      </c>
      <c r="AW72" s="2">
        <f>IF(T72="","",ROUND(T72*玩法行为规划!S72,2))</f>
        <v>0</v>
      </c>
      <c r="AX72" s="2">
        <f>IF(U72="","",ROUND(U72*玩法行为规划!T72,2))</f>
        <v>5</v>
      </c>
      <c r="AY72" s="2">
        <f>IF(V72="","",ROUND(V72*玩法行为规划!U72,2))</f>
        <v>6.67</v>
      </c>
      <c r="AZ72" s="2">
        <f>IF(W72="","",ROUND(W72*玩法行为规划!V72,2))</f>
        <v>2.5</v>
      </c>
      <c r="BA72" s="2">
        <f>IF(X72="","",ROUND(X72*玩法行为规划!W72,2))</f>
        <v>5</v>
      </c>
      <c r="BB72" s="2">
        <f>IF(Y72="","",ROUND(Y72*玩法行为规划!X72,2))</f>
        <v>6.25</v>
      </c>
      <c r="BC72" s="2">
        <f>IF(Z72="","",ROUND(Z72*玩法行为规划!Y72,2))</f>
        <v>8.75</v>
      </c>
      <c r="BD72" s="2">
        <f>IF(AA72="","",ROUND(AA72*玩法行为规划!Z72,2))</f>
        <v>2.5</v>
      </c>
      <c r="BE72" s="2" t="str">
        <f>IF(AB72="","",ROUND(AB72*玩法行为规划!AA72,2))</f>
        <v/>
      </c>
      <c r="BF72" s="2" t="str">
        <f>IF(AC72="","",ROUND(AC72*玩法行为规划!AB72,2))</f>
        <v/>
      </c>
      <c r="BG72" s="2" t="str">
        <f>IF(AD72="","",ROUND(AD72*玩法行为规划!AC72,2))</f>
        <v/>
      </c>
      <c r="BH72" s="3" t="str">
        <f>IF(AE72="","",ROUND(AE72*玩法行为规划!AD72,2))</f>
        <v/>
      </c>
      <c r="BI72" s="7">
        <f t="shared" si="11"/>
        <v>200.76999999999998</v>
      </c>
      <c r="BJ72" s="7">
        <f t="shared" si="12"/>
        <v>5621559.9999999991</v>
      </c>
      <c r="BK72" s="69">
        <f>ROUND(B72*(6+MAX(A72-30,0)*1.1),-2)</f>
        <v>1400000</v>
      </c>
      <c r="BL72" s="21">
        <f t="shared" si="9"/>
        <v>16411400</v>
      </c>
      <c r="BM72" s="7">
        <f t="shared" si="13"/>
        <v>3.3964603497340075E-2</v>
      </c>
      <c r="BN72" s="69">
        <f>INT(BJ72*升级节奏!G72+BK72)</f>
        <v>41219383</v>
      </c>
      <c r="BO72" s="7">
        <f t="shared" si="14"/>
        <v>311</v>
      </c>
      <c r="BP72" s="7"/>
    </row>
    <row r="73" spans="1:68">
      <c r="A73" s="29">
        <v>71</v>
      </c>
      <c r="B73" s="84">
        <f>升级节奏!C73</f>
        <v>28400</v>
      </c>
      <c r="C73" s="53">
        <f>IF(VLOOKUP(C$2,行为概览!$D$3:$J$33,7,0)="","",VLOOKUP(C$2,行为概览!$D$3:$J$33,7,0))</f>
        <v>50</v>
      </c>
      <c r="D73" s="53">
        <f>IF(VLOOKUP(D$2,行为概览!$D$3:$J$33,7,0)="","",VLOOKUP(D$2,行为概览!$D$3:$J$33,7,0))</f>
        <v>3.3</v>
      </c>
      <c r="E73" s="53">
        <f>IF(VLOOKUP(E$2,行为概览!$D$3:$J$33,7,0)="","",VLOOKUP(E$2,行为概览!$D$3:$J$33,7,0))</f>
        <v>30</v>
      </c>
      <c r="F73" s="53">
        <f>IF(VLOOKUP(F$2,行为概览!$D$3:$J$33,7,0)="","",VLOOKUP(F$2,行为概览!$D$3:$J$33,7,0))</f>
        <v>15</v>
      </c>
      <c r="G73" s="53" t="str">
        <f>IF(VLOOKUP(G$2,行为概览!$D$3:$J$33,7,0)="","",VLOOKUP(G$2,行为概览!$D$3:$J$33,7,0))</f>
        <v/>
      </c>
      <c r="H73" s="53" t="str">
        <f>IF(VLOOKUP(H$2,行为概览!$D$3:$J$33,7,0)="","",VLOOKUP(H$2,行为概览!$D$3:$J$33,7,0))</f>
        <v/>
      </c>
      <c r="I73" s="53" t="str">
        <f>IF(VLOOKUP(I$2,行为概览!$D$3:$J$33,7,0)="","",VLOOKUP(I$2,行为概览!$D$3:$J$33,7,0))</f>
        <v/>
      </c>
      <c r="J73" s="53" t="str">
        <f>IF(VLOOKUP(J$2,行为概览!$D$3:$J$33,7,0)="","",VLOOKUP(J$2,行为概览!$D$3:$J$33,7,0))</f>
        <v/>
      </c>
      <c r="K73" s="53">
        <f>IF(VLOOKUP(K$2,行为概览!$D$3:$J$33,7,0)="","",VLOOKUP(K$2,行为概览!$D$3:$J$33,7,0))</f>
        <v>20</v>
      </c>
      <c r="L73" s="53">
        <f>IF(VLOOKUP(L$2,行为概览!$D$3:$J$33,7,0)="","",VLOOKUP(L$2,行为概览!$D$3:$J$33,7,0))</f>
        <v>20</v>
      </c>
      <c r="M73" s="53">
        <f>IF(VLOOKUP(M$2,行为概览!$D$3:$J$33,7,0)="","",VLOOKUP(M$2,行为概览!$D$3:$J$33,7,0))</f>
        <v>40</v>
      </c>
      <c r="N73" s="53">
        <f>IF(VLOOKUP(N$2,行为概览!$D$3:$J$33,7,0)="","",VLOOKUP(N$2,行为概览!$D$3:$J$33,7,0))</f>
        <v>1</v>
      </c>
      <c r="O73" s="53">
        <f>IF(VLOOKUP(O$2,行为概览!$D$3:$J$33,7,0)="","",VLOOKUP(O$2,行为概览!$D$3:$J$33,7,0))</f>
        <v>150</v>
      </c>
      <c r="P73" s="53">
        <f>IF(VLOOKUP(P$2,行为概览!$D$3:$J$33,7,0)="","",VLOOKUP(P$2,行为概览!$D$3:$J$33,7,0))</f>
        <v>10</v>
      </c>
      <c r="Q73" s="53">
        <f>IF(VLOOKUP(Q$2,行为概览!$D$3:$J$33,7,0)="","",VLOOKUP(Q$2,行为概览!$D$3:$J$33,7,0))</f>
        <v>20</v>
      </c>
      <c r="R73" s="53">
        <f>IF(VLOOKUP(R$2,行为概览!$D$3:$J$33,7,0)="","",VLOOKUP(R$2,行为概览!$D$3:$J$33,7,0))</f>
        <v>6</v>
      </c>
      <c r="S73" s="53">
        <f>IF(VLOOKUP(S$2,行为概览!$D$3:$J$33,7,0)="","",VLOOKUP(S$2,行为概览!$D$3:$J$33,7,0))</f>
        <v>20</v>
      </c>
      <c r="T73" s="53">
        <f>IF(VLOOKUP(T$2,行为概览!$D$3:$J$33,7,0)="","",VLOOKUP(T$2,行为概览!$D$3:$J$33,7,0))</f>
        <v>15</v>
      </c>
      <c r="U73" s="53">
        <f>IF(VLOOKUP(U$2,行为概览!$D$3:$J$33,7,0)="","",VLOOKUP(U$2,行为概览!$D$3:$J$33,7,0))</f>
        <v>15</v>
      </c>
      <c r="V73" s="53">
        <f>IF(VLOOKUP(V$2,行为概览!$D$3:$J$33,7,0)="","",VLOOKUP(V$2,行为概览!$D$3:$J$33,7,0))</f>
        <v>40</v>
      </c>
      <c r="W73" s="53">
        <f>IF(VLOOKUP(W$2,行为概览!$D$3:$J$33,7,0)="","",VLOOKUP(W$2,行为概览!$D$3:$J$33,7,0))</f>
        <v>15</v>
      </c>
      <c r="X73" s="53">
        <f>IF(VLOOKUP(X$2,行为概览!$D$3:$J$33,7,0)="","",VLOOKUP(X$2,行为概览!$D$3:$J$33,7,0))</f>
        <v>30</v>
      </c>
      <c r="Y73" s="53">
        <f>IF(VLOOKUP(Y$2,行为概览!$D$3:$J$33,7,0)="","",VLOOKUP(Y$2,行为概览!$D$3:$J$33,7,0))</f>
        <v>25</v>
      </c>
      <c r="Z73" s="53">
        <f>IF(VLOOKUP(Z$2,行为概览!$D$3:$J$33,7,0)="","",VLOOKUP(Z$2,行为概览!$D$3:$J$33,7,0))</f>
        <v>15</v>
      </c>
      <c r="AA73" s="53">
        <f>IF(VLOOKUP(AA$2,行为概览!$D$3:$J$33,7,0)="","",VLOOKUP(AA$2,行为概览!$D$3:$J$33,7,0))</f>
        <v>15</v>
      </c>
      <c r="AB73" s="53" t="str">
        <f>IF(VLOOKUP(AB$2,行为概览!$D$3:$J$33,7,0)="","",VLOOKUP(AB$2,行为概览!$D$3:$J$33,7,0))</f>
        <v/>
      </c>
      <c r="AC73" s="53" t="str">
        <f>IF(VLOOKUP(AC$2,行为概览!$D$3:$J$33,7,0)="","",VLOOKUP(AC$2,行为概览!$D$3:$J$33,7,0))</f>
        <v/>
      </c>
      <c r="AD73" s="53" t="str">
        <f>IF(VLOOKUP(AD$2,行为概览!$D$3:$J$33,7,0)="","",VLOOKUP(AD$2,行为概览!$D$3:$J$33,7,0))</f>
        <v/>
      </c>
      <c r="AE73" s="68" t="str">
        <f>IF(VLOOKUP(AE$2,行为概览!$D$3:$J$33,7,0)="","",VLOOKUP(AE$2,行为概览!$D$3:$J$33,7,0))</f>
        <v/>
      </c>
      <c r="AF73" s="1">
        <f>IF(C73="","",ROUND(C73*玩法行为规划!B73,2))</f>
        <v>16.670000000000002</v>
      </c>
      <c r="AG73" s="2">
        <f>IF(D73="","",ROUND(D73*玩法行为规划!C73,2))</f>
        <v>6.6</v>
      </c>
      <c r="AH73" s="2">
        <f>IF(E73="","",ROUND(E73*玩法行为规划!D73,2))</f>
        <v>2.5</v>
      </c>
      <c r="AI73" s="2">
        <f>IF(F73="","",ROUND(F73*玩法行为规划!E73,2))</f>
        <v>15</v>
      </c>
      <c r="AJ73" s="2" t="str">
        <f>IF(G73="","",ROUND(G73*玩法行为规划!F73,2))</f>
        <v/>
      </c>
      <c r="AK73" s="2" t="str">
        <f>IF(H73="","",ROUND(H73*玩法行为规划!G73,2))</f>
        <v/>
      </c>
      <c r="AL73" s="2" t="str">
        <f>IF(I73="","",ROUND(I73*玩法行为规划!H73,2))</f>
        <v/>
      </c>
      <c r="AM73" s="2" t="str">
        <f>IF(J73="","",ROUND(J73*玩法行为规划!I73,2))</f>
        <v/>
      </c>
      <c r="AN73" s="2">
        <f>IF(K73="","",ROUND(K73*玩法行为规划!J73,2))</f>
        <v>10</v>
      </c>
      <c r="AO73" s="2">
        <f>IF(L73="","",ROUND(L73*玩法行为规划!K73,2))</f>
        <v>3.33</v>
      </c>
      <c r="AP73" s="2">
        <f>IF(M73="","",ROUND(M73*玩法行为规划!L73,2))</f>
        <v>20</v>
      </c>
      <c r="AQ73" s="2">
        <f>IF(N73="","",ROUND(N73*玩法行为规划!M73,2))</f>
        <v>12</v>
      </c>
      <c r="AR73" s="2">
        <f>IF(O73="","",ROUND(O73*玩法行为规划!N73,2))</f>
        <v>12.5</v>
      </c>
      <c r="AS73" s="2">
        <f>IF(P73="","",ROUND(P73*玩法行为规划!O73,2))</f>
        <v>0.83</v>
      </c>
      <c r="AT73" s="2">
        <f>IF(Q73="","",ROUND(Q73*玩法行为规划!P73,2))</f>
        <v>52</v>
      </c>
      <c r="AU73" s="2">
        <f>IF(R73="","",ROUND(R73*玩法行为规划!Q73,2))</f>
        <v>6</v>
      </c>
      <c r="AV73" s="2">
        <f>IF(S73="","",ROUND(S73*玩法行为规划!R73,2))</f>
        <v>6.67</v>
      </c>
      <c r="AW73" s="2">
        <f>IF(T73="","",ROUND(T73*玩法行为规划!S73,2))</f>
        <v>0</v>
      </c>
      <c r="AX73" s="2">
        <f>IF(U73="","",ROUND(U73*玩法行为规划!T73,2))</f>
        <v>5</v>
      </c>
      <c r="AY73" s="2">
        <f>IF(V73="","",ROUND(V73*玩法行为规划!U73,2))</f>
        <v>6.67</v>
      </c>
      <c r="AZ73" s="2">
        <f>IF(W73="","",ROUND(W73*玩法行为规划!V73,2))</f>
        <v>2.5</v>
      </c>
      <c r="BA73" s="2">
        <f>IF(X73="","",ROUND(X73*玩法行为规划!W73,2))</f>
        <v>5</v>
      </c>
      <c r="BB73" s="2">
        <f>IF(Y73="","",ROUND(Y73*玩法行为规划!X73,2))</f>
        <v>6.25</v>
      </c>
      <c r="BC73" s="2">
        <f>IF(Z73="","",ROUND(Z73*玩法行为规划!Y73,2))</f>
        <v>8.75</v>
      </c>
      <c r="BD73" s="2">
        <f>IF(AA73="","",ROUND(AA73*玩法行为规划!Z73,2))</f>
        <v>2.5</v>
      </c>
      <c r="BE73" s="2" t="str">
        <f>IF(AB73="","",ROUND(AB73*玩法行为规划!AA73,2))</f>
        <v/>
      </c>
      <c r="BF73" s="2" t="str">
        <f>IF(AC73="","",ROUND(AC73*玩法行为规划!AB73,2))</f>
        <v/>
      </c>
      <c r="BG73" s="2" t="str">
        <f>IF(AD73="","",ROUND(AD73*玩法行为规划!AC73,2))</f>
        <v/>
      </c>
      <c r="BH73" s="3" t="str">
        <f>IF(AE73="","",ROUND(AE73*玩法行为规划!AD73,2))</f>
        <v/>
      </c>
      <c r="BI73" s="7">
        <f t="shared" si="11"/>
        <v>200.76999999999998</v>
      </c>
      <c r="BJ73" s="7">
        <f t="shared" si="12"/>
        <v>5701867.9999999991</v>
      </c>
      <c r="BK73" s="69">
        <f t="shared" ref="BK73:BK136" si="15">ROUND(B73*(6+MAX(A73-30,0)*1.1),-2)</f>
        <v>1451200</v>
      </c>
      <c r="BL73" s="21" t="str">
        <f t="shared" si="9"/>
        <v/>
      </c>
      <c r="BM73" s="7">
        <f t="shared" si="13"/>
        <v>3.3765815132301757E-2</v>
      </c>
      <c r="BN73" s="69">
        <f>INT(BJ73*升级节奏!G73+BK73)</f>
        <v>42978379</v>
      </c>
      <c r="BO73" s="7">
        <f t="shared" si="14"/>
        <v>316</v>
      </c>
      <c r="BP73" s="7"/>
    </row>
    <row r="74" spans="1:68">
      <c r="A74" s="29">
        <v>72</v>
      </c>
      <c r="B74" s="84">
        <f>升级节奏!C74</f>
        <v>28800</v>
      </c>
      <c r="C74" s="53">
        <f>IF(VLOOKUP(C$2,行为概览!$D$3:$J$33,7,0)="","",VLOOKUP(C$2,行为概览!$D$3:$J$33,7,0))</f>
        <v>50</v>
      </c>
      <c r="D74" s="53">
        <f>IF(VLOOKUP(D$2,行为概览!$D$3:$J$33,7,0)="","",VLOOKUP(D$2,行为概览!$D$3:$J$33,7,0))</f>
        <v>3.3</v>
      </c>
      <c r="E74" s="53">
        <f>IF(VLOOKUP(E$2,行为概览!$D$3:$J$33,7,0)="","",VLOOKUP(E$2,行为概览!$D$3:$J$33,7,0))</f>
        <v>30</v>
      </c>
      <c r="F74" s="53">
        <f>IF(VLOOKUP(F$2,行为概览!$D$3:$J$33,7,0)="","",VLOOKUP(F$2,行为概览!$D$3:$J$33,7,0))</f>
        <v>15</v>
      </c>
      <c r="G74" s="53" t="str">
        <f>IF(VLOOKUP(G$2,行为概览!$D$3:$J$33,7,0)="","",VLOOKUP(G$2,行为概览!$D$3:$J$33,7,0))</f>
        <v/>
      </c>
      <c r="H74" s="53" t="str">
        <f>IF(VLOOKUP(H$2,行为概览!$D$3:$J$33,7,0)="","",VLOOKUP(H$2,行为概览!$D$3:$J$33,7,0))</f>
        <v/>
      </c>
      <c r="I74" s="53" t="str">
        <f>IF(VLOOKUP(I$2,行为概览!$D$3:$J$33,7,0)="","",VLOOKUP(I$2,行为概览!$D$3:$J$33,7,0))</f>
        <v/>
      </c>
      <c r="J74" s="53" t="str">
        <f>IF(VLOOKUP(J$2,行为概览!$D$3:$J$33,7,0)="","",VLOOKUP(J$2,行为概览!$D$3:$J$33,7,0))</f>
        <v/>
      </c>
      <c r="K74" s="53">
        <f>IF(VLOOKUP(K$2,行为概览!$D$3:$J$33,7,0)="","",VLOOKUP(K$2,行为概览!$D$3:$J$33,7,0))</f>
        <v>20</v>
      </c>
      <c r="L74" s="53">
        <f>IF(VLOOKUP(L$2,行为概览!$D$3:$J$33,7,0)="","",VLOOKUP(L$2,行为概览!$D$3:$J$33,7,0))</f>
        <v>20</v>
      </c>
      <c r="M74" s="53">
        <f>IF(VLOOKUP(M$2,行为概览!$D$3:$J$33,7,0)="","",VLOOKUP(M$2,行为概览!$D$3:$J$33,7,0))</f>
        <v>40</v>
      </c>
      <c r="N74" s="53">
        <f>IF(VLOOKUP(N$2,行为概览!$D$3:$J$33,7,0)="","",VLOOKUP(N$2,行为概览!$D$3:$J$33,7,0))</f>
        <v>1</v>
      </c>
      <c r="O74" s="53">
        <f>IF(VLOOKUP(O$2,行为概览!$D$3:$J$33,7,0)="","",VLOOKUP(O$2,行为概览!$D$3:$J$33,7,0))</f>
        <v>150</v>
      </c>
      <c r="P74" s="53">
        <f>IF(VLOOKUP(P$2,行为概览!$D$3:$J$33,7,0)="","",VLOOKUP(P$2,行为概览!$D$3:$J$33,7,0))</f>
        <v>10</v>
      </c>
      <c r="Q74" s="53">
        <f>IF(VLOOKUP(Q$2,行为概览!$D$3:$J$33,7,0)="","",VLOOKUP(Q$2,行为概览!$D$3:$J$33,7,0))</f>
        <v>20</v>
      </c>
      <c r="R74" s="53">
        <f>IF(VLOOKUP(R$2,行为概览!$D$3:$J$33,7,0)="","",VLOOKUP(R$2,行为概览!$D$3:$J$33,7,0))</f>
        <v>6</v>
      </c>
      <c r="S74" s="53">
        <f>IF(VLOOKUP(S$2,行为概览!$D$3:$J$33,7,0)="","",VLOOKUP(S$2,行为概览!$D$3:$J$33,7,0))</f>
        <v>20</v>
      </c>
      <c r="T74" s="53">
        <f>IF(VLOOKUP(T$2,行为概览!$D$3:$J$33,7,0)="","",VLOOKUP(T$2,行为概览!$D$3:$J$33,7,0))</f>
        <v>15</v>
      </c>
      <c r="U74" s="53">
        <f>IF(VLOOKUP(U$2,行为概览!$D$3:$J$33,7,0)="","",VLOOKUP(U$2,行为概览!$D$3:$J$33,7,0))</f>
        <v>15</v>
      </c>
      <c r="V74" s="53">
        <f>IF(VLOOKUP(V$2,行为概览!$D$3:$J$33,7,0)="","",VLOOKUP(V$2,行为概览!$D$3:$J$33,7,0))</f>
        <v>40</v>
      </c>
      <c r="W74" s="53">
        <f>IF(VLOOKUP(W$2,行为概览!$D$3:$J$33,7,0)="","",VLOOKUP(W$2,行为概览!$D$3:$J$33,7,0))</f>
        <v>15</v>
      </c>
      <c r="X74" s="53">
        <f>IF(VLOOKUP(X$2,行为概览!$D$3:$J$33,7,0)="","",VLOOKUP(X$2,行为概览!$D$3:$J$33,7,0))</f>
        <v>30</v>
      </c>
      <c r="Y74" s="53">
        <f>IF(VLOOKUP(Y$2,行为概览!$D$3:$J$33,7,0)="","",VLOOKUP(Y$2,行为概览!$D$3:$J$33,7,0))</f>
        <v>25</v>
      </c>
      <c r="Z74" s="53">
        <f>IF(VLOOKUP(Z$2,行为概览!$D$3:$J$33,7,0)="","",VLOOKUP(Z$2,行为概览!$D$3:$J$33,7,0))</f>
        <v>15</v>
      </c>
      <c r="AA74" s="53">
        <f>IF(VLOOKUP(AA$2,行为概览!$D$3:$J$33,7,0)="","",VLOOKUP(AA$2,行为概览!$D$3:$J$33,7,0))</f>
        <v>15</v>
      </c>
      <c r="AB74" s="53" t="str">
        <f>IF(VLOOKUP(AB$2,行为概览!$D$3:$J$33,7,0)="","",VLOOKUP(AB$2,行为概览!$D$3:$J$33,7,0))</f>
        <v/>
      </c>
      <c r="AC74" s="53" t="str">
        <f>IF(VLOOKUP(AC$2,行为概览!$D$3:$J$33,7,0)="","",VLOOKUP(AC$2,行为概览!$D$3:$J$33,7,0))</f>
        <v/>
      </c>
      <c r="AD74" s="53" t="str">
        <f>IF(VLOOKUP(AD$2,行为概览!$D$3:$J$33,7,0)="","",VLOOKUP(AD$2,行为概览!$D$3:$J$33,7,0))</f>
        <v/>
      </c>
      <c r="AE74" s="68" t="str">
        <f>IF(VLOOKUP(AE$2,行为概览!$D$3:$J$33,7,0)="","",VLOOKUP(AE$2,行为概览!$D$3:$J$33,7,0))</f>
        <v/>
      </c>
      <c r="AF74" s="1">
        <f>IF(C74="","",ROUND(C74*玩法行为规划!B74,2))</f>
        <v>16.670000000000002</v>
      </c>
      <c r="AG74" s="2">
        <f>IF(D74="","",ROUND(D74*玩法行为规划!C74,2))</f>
        <v>6.6</v>
      </c>
      <c r="AH74" s="2">
        <f>IF(E74="","",ROUND(E74*玩法行为规划!D74,2))</f>
        <v>2.5</v>
      </c>
      <c r="AI74" s="2">
        <f>IF(F74="","",ROUND(F74*玩法行为规划!E74,2))</f>
        <v>15</v>
      </c>
      <c r="AJ74" s="2" t="str">
        <f>IF(G74="","",ROUND(G74*玩法行为规划!F74,2))</f>
        <v/>
      </c>
      <c r="AK74" s="2" t="str">
        <f>IF(H74="","",ROUND(H74*玩法行为规划!G74,2))</f>
        <v/>
      </c>
      <c r="AL74" s="2" t="str">
        <f>IF(I74="","",ROUND(I74*玩法行为规划!H74,2))</f>
        <v/>
      </c>
      <c r="AM74" s="2" t="str">
        <f>IF(J74="","",ROUND(J74*玩法行为规划!I74,2))</f>
        <v/>
      </c>
      <c r="AN74" s="2">
        <f>IF(K74="","",ROUND(K74*玩法行为规划!J74,2))</f>
        <v>10</v>
      </c>
      <c r="AO74" s="2">
        <f>IF(L74="","",ROUND(L74*玩法行为规划!K74,2))</f>
        <v>3.33</v>
      </c>
      <c r="AP74" s="2">
        <f>IF(M74="","",ROUND(M74*玩法行为规划!L74,2))</f>
        <v>20</v>
      </c>
      <c r="AQ74" s="2">
        <f>IF(N74="","",ROUND(N74*玩法行为规划!M74,2))</f>
        <v>12</v>
      </c>
      <c r="AR74" s="2">
        <f>IF(O74="","",ROUND(O74*玩法行为规划!N74,2))</f>
        <v>12.5</v>
      </c>
      <c r="AS74" s="2">
        <f>IF(P74="","",ROUND(P74*玩法行为规划!O74,2))</f>
        <v>0.83</v>
      </c>
      <c r="AT74" s="2">
        <f>IF(Q74="","",ROUND(Q74*玩法行为规划!P74,2))</f>
        <v>52</v>
      </c>
      <c r="AU74" s="2">
        <f>IF(R74="","",ROUND(R74*玩法行为规划!Q74,2))</f>
        <v>6</v>
      </c>
      <c r="AV74" s="2">
        <f>IF(S74="","",ROUND(S74*玩法行为规划!R74,2))</f>
        <v>6.67</v>
      </c>
      <c r="AW74" s="2">
        <f>IF(T74="","",ROUND(T74*玩法行为规划!S74,2))</f>
        <v>0</v>
      </c>
      <c r="AX74" s="2">
        <f>IF(U74="","",ROUND(U74*玩法行为规划!T74,2))</f>
        <v>5</v>
      </c>
      <c r="AY74" s="2">
        <f>IF(V74="","",ROUND(V74*玩法行为规划!U74,2))</f>
        <v>6.67</v>
      </c>
      <c r="AZ74" s="2">
        <f>IF(W74="","",ROUND(W74*玩法行为规划!V74,2))</f>
        <v>2.5</v>
      </c>
      <c r="BA74" s="2">
        <f>IF(X74="","",ROUND(X74*玩法行为规划!W74,2))</f>
        <v>5</v>
      </c>
      <c r="BB74" s="2">
        <f>IF(Y74="","",ROUND(Y74*玩法行为规划!X74,2))</f>
        <v>6.25</v>
      </c>
      <c r="BC74" s="2">
        <f>IF(Z74="","",ROUND(Z74*玩法行为规划!Y74,2))</f>
        <v>8.75</v>
      </c>
      <c r="BD74" s="2">
        <f>IF(AA74="","",ROUND(AA74*玩法行为规划!Z74,2))</f>
        <v>2.5</v>
      </c>
      <c r="BE74" s="2" t="str">
        <f>IF(AB74="","",ROUND(AB74*玩法行为规划!AA74,2))</f>
        <v/>
      </c>
      <c r="BF74" s="2" t="str">
        <f>IF(AC74="","",ROUND(AC74*玩法行为规划!AB74,2))</f>
        <v/>
      </c>
      <c r="BG74" s="2" t="str">
        <f>IF(AD74="","",ROUND(AD74*玩法行为规划!AC74,2))</f>
        <v/>
      </c>
      <c r="BH74" s="3" t="str">
        <f>IF(AE74="","",ROUND(AE74*玩法行为规划!AD74,2))</f>
        <v/>
      </c>
      <c r="BI74" s="7">
        <f t="shared" si="11"/>
        <v>200.76999999999998</v>
      </c>
      <c r="BJ74" s="7">
        <f t="shared" si="12"/>
        <v>5782175.9999999991</v>
      </c>
      <c r="BK74" s="69">
        <f t="shared" si="15"/>
        <v>1503400</v>
      </c>
      <c r="BL74" s="21" t="str">
        <f t="shared" si="9"/>
        <v/>
      </c>
      <c r="BM74" s="7">
        <f t="shared" si="13"/>
        <v>3.3567894784812022E-2</v>
      </c>
      <c r="BN74" s="69">
        <f>INT(BJ74*升级节奏!G74+BK74)</f>
        <v>44786842</v>
      </c>
      <c r="BO74" s="7">
        <f t="shared" si="14"/>
        <v>320</v>
      </c>
      <c r="BP74" s="7"/>
    </row>
    <row r="75" spans="1:68">
      <c r="A75" s="29">
        <v>73</v>
      </c>
      <c r="B75" s="84">
        <f>升级节奏!C75</f>
        <v>29200</v>
      </c>
      <c r="C75" s="53">
        <f>IF(VLOOKUP(C$2,行为概览!$D$3:$J$33,7,0)="","",VLOOKUP(C$2,行为概览!$D$3:$J$33,7,0))</f>
        <v>50</v>
      </c>
      <c r="D75" s="53">
        <f>IF(VLOOKUP(D$2,行为概览!$D$3:$J$33,7,0)="","",VLOOKUP(D$2,行为概览!$D$3:$J$33,7,0))</f>
        <v>3.3</v>
      </c>
      <c r="E75" s="53">
        <f>IF(VLOOKUP(E$2,行为概览!$D$3:$J$33,7,0)="","",VLOOKUP(E$2,行为概览!$D$3:$J$33,7,0))</f>
        <v>30</v>
      </c>
      <c r="F75" s="53">
        <f>IF(VLOOKUP(F$2,行为概览!$D$3:$J$33,7,0)="","",VLOOKUP(F$2,行为概览!$D$3:$J$33,7,0))</f>
        <v>15</v>
      </c>
      <c r="G75" s="53" t="str">
        <f>IF(VLOOKUP(G$2,行为概览!$D$3:$J$33,7,0)="","",VLOOKUP(G$2,行为概览!$D$3:$J$33,7,0))</f>
        <v/>
      </c>
      <c r="H75" s="53" t="str">
        <f>IF(VLOOKUP(H$2,行为概览!$D$3:$J$33,7,0)="","",VLOOKUP(H$2,行为概览!$D$3:$J$33,7,0))</f>
        <v/>
      </c>
      <c r="I75" s="53" t="str">
        <f>IF(VLOOKUP(I$2,行为概览!$D$3:$J$33,7,0)="","",VLOOKUP(I$2,行为概览!$D$3:$J$33,7,0))</f>
        <v/>
      </c>
      <c r="J75" s="53" t="str">
        <f>IF(VLOOKUP(J$2,行为概览!$D$3:$J$33,7,0)="","",VLOOKUP(J$2,行为概览!$D$3:$J$33,7,0))</f>
        <v/>
      </c>
      <c r="K75" s="53">
        <f>IF(VLOOKUP(K$2,行为概览!$D$3:$J$33,7,0)="","",VLOOKUP(K$2,行为概览!$D$3:$J$33,7,0))</f>
        <v>20</v>
      </c>
      <c r="L75" s="53">
        <f>IF(VLOOKUP(L$2,行为概览!$D$3:$J$33,7,0)="","",VLOOKUP(L$2,行为概览!$D$3:$J$33,7,0))</f>
        <v>20</v>
      </c>
      <c r="M75" s="53">
        <f>IF(VLOOKUP(M$2,行为概览!$D$3:$J$33,7,0)="","",VLOOKUP(M$2,行为概览!$D$3:$J$33,7,0))</f>
        <v>40</v>
      </c>
      <c r="N75" s="53">
        <f>IF(VLOOKUP(N$2,行为概览!$D$3:$J$33,7,0)="","",VLOOKUP(N$2,行为概览!$D$3:$J$33,7,0))</f>
        <v>1</v>
      </c>
      <c r="O75" s="53">
        <f>IF(VLOOKUP(O$2,行为概览!$D$3:$J$33,7,0)="","",VLOOKUP(O$2,行为概览!$D$3:$J$33,7,0))</f>
        <v>150</v>
      </c>
      <c r="P75" s="53">
        <f>IF(VLOOKUP(P$2,行为概览!$D$3:$J$33,7,0)="","",VLOOKUP(P$2,行为概览!$D$3:$J$33,7,0))</f>
        <v>10</v>
      </c>
      <c r="Q75" s="53">
        <f>IF(VLOOKUP(Q$2,行为概览!$D$3:$J$33,7,0)="","",VLOOKUP(Q$2,行为概览!$D$3:$J$33,7,0))</f>
        <v>20</v>
      </c>
      <c r="R75" s="53">
        <f>IF(VLOOKUP(R$2,行为概览!$D$3:$J$33,7,0)="","",VLOOKUP(R$2,行为概览!$D$3:$J$33,7,0))</f>
        <v>6</v>
      </c>
      <c r="S75" s="53">
        <f>IF(VLOOKUP(S$2,行为概览!$D$3:$J$33,7,0)="","",VLOOKUP(S$2,行为概览!$D$3:$J$33,7,0))</f>
        <v>20</v>
      </c>
      <c r="T75" s="53">
        <f>IF(VLOOKUP(T$2,行为概览!$D$3:$J$33,7,0)="","",VLOOKUP(T$2,行为概览!$D$3:$J$33,7,0))</f>
        <v>15</v>
      </c>
      <c r="U75" s="53">
        <f>IF(VLOOKUP(U$2,行为概览!$D$3:$J$33,7,0)="","",VLOOKUP(U$2,行为概览!$D$3:$J$33,7,0))</f>
        <v>15</v>
      </c>
      <c r="V75" s="53">
        <f>IF(VLOOKUP(V$2,行为概览!$D$3:$J$33,7,0)="","",VLOOKUP(V$2,行为概览!$D$3:$J$33,7,0))</f>
        <v>40</v>
      </c>
      <c r="W75" s="53">
        <f>IF(VLOOKUP(W$2,行为概览!$D$3:$J$33,7,0)="","",VLOOKUP(W$2,行为概览!$D$3:$J$33,7,0))</f>
        <v>15</v>
      </c>
      <c r="X75" s="53">
        <f>IF(VLOOKUP(X$2,行为概览!$D$3:$J$33,7,0)="","",VLOOKUP(X$2,行为概览!$D$3:$J$33,7,0))</f>
        <v>30</v>
      </c>
      <c r="Y75" s="53">
        <f>IF(VLOOKUP(Y$2,行为概览!$D$3:$J$33,7,0)="","",VLOOKUP(Y$2,行为概览!$D$3:$J$33,7,0))</f>
        <v>25</v>
      </c>
      <c r="Z75" s="53">
        <f>IF(VLOOKUP(Z$2,行为概览!$D$3:$J$33,7,0)="","",VLOOKUP(Z$2,行为概览!$D$3:$J$33,7,0))</f>
        <v>15</v>
      </c>
      <c r="AA75" s="53">
        <f>IF(VLOOKUP(AA$2,行为概览!$D$3:$J$33,7,0)="","",VLOOKUP(AA$2,行为概览!$D$3:$J$33,7,0))</f>
        <v>15</v>
      </c>
      <c r="AB75" s="53" t="str">
        <f>IF(VLOOKUP(AB$2,行为概览!$D$3:$J$33,7,0)="","",VLOOKUP(AB$2,行为概览!$D$3:$J$33,7,0))</f>
        <v/>
      </c>
      <c r="AC75" s="53" t="str">
        <f>IF(VLOOKUP(AC$2,行为概览!$D$3:$J$33,7,0)="","",VLOOKUP(AC$2,行为概览!$D$3:$J$33,7,0))</f>
        <v/>
      </c>
      <c r="AD75" s="53" t="str">
        <f>IF(VLOOKUP(AD$2,行为概览!$D$3:$J$33,7,0)="","",VLOOKUP(AD$2,行为概览!$D$3:$J$33,7,0))</f>
        <v/>
      </c>
      <c r="AE75" s="68" t="str">
        <f>IF(VLOOKUP(AE$2,行为概览!$D$3:$J$33,7,0)="","",VLOOKUP(AE$2,行为概览!$D$3:$J$33,7,0))</f>
        <v/>
      </c>
      <c r="AF75" s="1">
        <f>IF(C75="","",ROUND(C75*玩法行为规划!B75,2))</f>
        <v>16.670000000000002</v>
      </c>
      <c r="AG75" s="2">
        <f>IF(D75="","",ROUND(D75*玩法行为规划!C75,2))</f>
        <v>6.6</v>
      </c>
      <c r="AH75" s="2">
        <f>IF(E75="","",ROUND(E75*玩法行为规划!D75,2))</f>
        <v>2.5</v>
      </c>
      <c r="AI75" s="2">
        <f>IF(F75="","",ROUND(F75*玩法行为规划!E75,2))</f>
        <v>15</v>
      </c>
      <c r="AJ75" s="2" t="str">
        <f>IF(G75="","",ROUND(G75*玩法行为规划!F75,2))</f>
        <v/>
      </c>
      <c r="AK75" s="2" t="str">
        <f>IF(H75="","",ROUND(H75*玩法行为规划!G75,2))</f>
        <v/>
      </c>
      <c r="AL75" s="2" t="str">
        <f>IF(I75="","",ROUND(I75*玩法行为规划!H75,2))</f>
        <v/>
      </c>
      <c r="AM75" s="2" t="str">
        <f>IF(J75="","",ROUND(J75*玩法行为规划!I75,2))</f>
        <v/>
      </c>
      <c r="AN75" s="2">
        <f>IF(K75="","",ROUND(K75*玩法行为规划!J75,2))</f>
        <v>10</v>
      </c>
      <c r="AO75" s="2">
        <f>IF(L75="","",ROUND(L75*玩法行为规划!K75,2))</f>
        <v>3.33</v>
      </c>
      <c r="AP75" s="2">
        <f>IF(M75="","",ROUND(M75*玩法行为规划!L75,2))</f>
        <v>20</v>
      </c>
      <c r="AQ75" s="2">
        <f>IF(N75="","",ROUND(N75*玩法行为规划!M75,2))</f>
        <v>12</v>
      </c>
      <c r="AR75" s="2">
        <f>IF(O75="","",ROUND(O75*玩法行为规划!N75,2))</f>
        <v>12.5</v>
      </c>
      <c r="AS75" s="2">
        <f>IF(P75="","",ROUND(P75*玩法行为规划!O75,2))</f>
        <v>0.83</v>
      </c>
      <c r="AT75" s="2">
        <f>IF(Q75="","",ROUND(Q75*玩法行为规划!P75,2))</f>
        <v>52</v>
      </c>
      <c r="AU75" s="2">
        <f>IF(R75="","",ROUND(R75*玩法行为规划!Q75,2))</f>
        <v>6</v>
      </c>
      <c r="AV75" s="2">
        <f>IF(S75="","",ROUND(S75*玩法行为规划!R75,2))</f>
        <v>6.67</v>
      </c>
      <c r="AW75" s="2">
        <f>IF(T75="","",ROUND(T75*玩法行为规划!S75,2))</f>
        <v>0</v>
      </c>
      <c r="AX75" s="2">
        <f>IF(U75="","",ROUND(U75*玩法行为规划!T75,2))</f>
        <v>5</v>
      </c>
      <c r="AY75" s="2">
        <f>IF(V75="","",ROUND(V75*玩法行为规划!U75,2))</f>
        <v>6.67</v>
      </c>
      <c r="AZ75" s="2">
        <f>IF(W75="","",ROUND(W75*玩法行为规划!V75,2))</f>
        <v>2.5</v>
      </c>
      <c r="BA75" s="2">
        <f>IF(X75="","",ROUND(X75*玩法行为规划!W75,2))</f>
        <v>5</v>
      </c>
      <c r="BB75" s="2">
        <f>IF(Y75="","",ROUND(Y75*玩法行为规划!X75,2))</f>
        <v>6.25</v>
      </c>
      <c r="BC75" s="2">
        <f>IF(Z75="","",ROUND(Z75*玩法行为规划!Y75,2))</f>
        <v>8.75</v>
      </c>
      <c r="BD75" s="2">
        <f>IF(AA75="","",ROUND(AA75*玩法行为规划!Z75,2))</f>
        <v>2.5</v>
      </c>
      <c r="BE75" s="2" t="str">
        <f>IF(AB75="","",ROUND(AB75*玩法行为规划!AA75,2))</f>
        <v/>
      </c>
      <c r="BF75" s="2" t="str">
        <f>IF(AC75="","",ROUND(AC75*玩法行为规划!AB75,2))</f>
        <v/>
      </c>
      <c r="BG75" s="2" t="str">
        <f>IF(AD75="","",ROUND(AD75*玩法行为规划!AC75,2))</f>
        <v/>
      </c>
      <c r="BH75" s="3" t="str">
        <f>IF(AE75="","",ROUND(AE75*玩法行为规划!AD75,2))</f>
        <v/>
      </c>
      <c r="BI75" s="7">
        <f t="shared" si="11"/>
        <v>200.76999999999998</v>
      </c>
      <c r="BJ75" s="7">
        <f t="shared" si="12"/>
        <v>5862483.9999999991</v>
      </c>
      <c r="BK75" s="69">
        <f t="shared" si="15"/>
        <v>1556400</v>
      </c>
      <c r="BL75" s="21" t="str">
        <f t="shared" si="9"/>
        <v/>
      </c>
      <c r="BM75" s="7">
        <f t="shared" si="13"/>
        <v>3.3366740091788978E-2</v>
      </c>
      <c r="BN75" s="69">
        <f>INT(BJ75*升级节奏!G75+BK75)</f>
        <v>46645252</v>
      </c>
      <c r="BO75" s="7">
        <f t="shared" si="14"/>
        <v>324</v>
      </c>
      <c r="BP75" s="7"/>
    </row>
    <row r="76" spans="1:68">
      <c r="A76" s="29">
        <v>74</v>
      </c>
      <c r="B76" s="84">
        <f>升级节奏!C76</f>
        <v>29600</v>
      </c>
      <c r="C76" s="53">
        <f>IF(VLOOKUP(C$2,行为概览!$D$3:$J$33,7,0)="","",VLOOKUP(C$2,行为概览!$D$3:$J$33,7,0))</f>
        <v>50</v>
      </c>
      <c r="D76" s="53">
        <f>IF(VLOOKUP(D$2,行为概览!$D$3:$J$33,7,0)="","",VLOOKUP(D$2,行为概览!$D$3:$J$33,7,0))</f>
        <v>3.3</v>
      </c>
      <c r="E76" s="53">
        <f>IF(VLOOKUP(E$2,行为概览!$D$3:$J$33,7,0)="","",VLOOKUP(E$2,行为概览!$D$3:$J$33,7,0))</f>
        <v>30</v>
      </c>
      <c r="F76" s="53">
        <f>IF(VLOOKUP(F$2,行为概览!$D$3:$J$33,7,0)="","",VLOOKUP(F$2,行为概览!$D$3:$J$33,7,0))</f>
        <v>15</v>
      </c>
      <c r="G76" s="53" t="str">
        <f>IF(VLOOKUP(G$2,行为概览!$D$3:$J$33,7,0)="","",VLOOKUP(G$2,行为概览!$D$3:$J$33,7,0))</f>
        <v/>
      </c>
      <c r="H76" s="53" t="str">
        <f>IF(VLOOKUP(H$2,行为概览!$D$3:$J$33,7,0)="","",VLOOKUP(H$2,行为概览!$D$3:$J$33,7,0))</f>
        <v/>
      </c>
      <c r="I76" s="53" t="str">
        <f>IF(VLOOKUP(I$2,行为概览!$D$3:$J$33,7,0)="","",VLOOKUP(I$2,行为概览!$D$3:$J$33,7,0))</f>
        <v/>
      </c>
      <c r="J76" s="53" t="str">
        <f>IF(VLOOKUP(J$2,行为概览!$D$3:$J$33,7,0)="","",VLOOKUP(J$2,行为概览!$D$3:$J$33,7,0))</f>
        <v/>
      </c>
      <c r="K76" s="53">
        <f>IF(VLOOKUP(K$2,行为概览!$D$3:$J$33,7,0)="","",VLOOKUP(K$2,行为概览!$D$3:$J$33,7,0))</f>
        <v>20</v>
      </c>
      <c r="L76" s="53">
        <f>IF(VLOOKUP(L$2,行为概览!$D$3:$J$33,7,0)="","",VLOOKUP(L$2,行为概览!$D$3:$J$33,7,0))</f>
        <v>20</v>
      </c>
      <c r="M76" s="53">
        <f>IF(VLOOKUP(M$2,行为概览!$D$3:$J$33,7,0)="","",VLOOKUP(M$2,行为概览!$D$3:$J$33,7,0))</f>
        <v>40</v>
      </c>
      <c r="N76" s="53">
        <f>IF(VLOOKUP(N$2,行为概览!$D$3:$J$33,7,0)="","",VLOOKUP(N$2,行为概览!$D$3:$J$33,7,0))</f>
        <v>1</v>
      </c>
      <c r="O76" s="53">
        <f>IF(VLOOKUP(O$2,行为概览!$D$3:$J$33,7,0)="","",VLOOKUP(O$2,行为概览!$D$3:$J$33,7,0))</f>
        <v>150</v>
      </c>
      <c r="P76" s="53">
        <f>IF(VLOOKUP(P$2,行为概览!$D$3:$J$33,7,0)="","",VLOOKUP(P$2,行为概览!$D$3:$J$33,7,0))</f>
        <v>10</v>
      </c>
      <c r="Q76" s="53">
        <f>IF(VLOOKUP(Q$2,行为概览!$D$3:$J$33,7,0)="","",VLOOKUP(Q$2,行为概览!$D$3:$J$33,7,0))</f>
        <v>20</v>
      </c>
      <c r="R76" s="53">
        <f>IF(VLOOKUP(R$2,行为概览!$D$3:$J$33,7,0)="","",VLOOKUP(R$2,行为概览!$D$3:$J$33,7,0))</f>
        <v>6</v>
      </c>
      <c r="S76" s="53">
        <f>IF(VLOOKUP(S$2,行为概览!$D$3:$J$33,7,0)="","",VLOOKUP(S$2,行为概览!$D$3:$J$33,7,0))</f>
        <v>20</v>
      </c>
      <c r="T76" s="53">
        <f>IF(VLOOKUP(T$2,行为概览!$D$3:$J$33,7,0)="","",VLOOKUP(T$2,行为概览!$D$3:$J$33,7,0))</f>
        <v>15</v>
      </c>
      <c r="U76" s="53">
        <f>IF(VLOOKUP(U$2,行为概览!$D$3:$J$33,7,0)="","",VLOOKUP(U$2,行为概览!$D$3:$J$33,7,0))</f>
        <v>15</v>
      </c>
      <c r="V76" s="53">
        <f>IF(VLOOKUP(V$2,行为概览!$D$3:$J$33,7,0)="","",VLOOKUP(V$2,行为概览!$D$3:$J$33,7,0))</f>
        <v>40</v>
      </c>
      <c r="W76" s="53">
        <f>IF(VLOOKUP(W$2,行为概览!$D$3:$J$33,7,0)="","",VLOOKUP(W$2,行为概览!$D$3:$J$33,7,0))</f>
        <v>15</v>
      </c>
      <c r="X76" s="53">
        <f>IF(VLOOKUP(X$2,行为概览!$D$3:$J$33,7,0)="","",VLOOKUP(X$2,行为概览!$D$3:$J$33,7,0))</f>
        <v>30</v>
      </c>
      <c r="Y76" s="53">
        <f>IF(VLOOKUP(Y$2,行为概览!$D$3:$J$33,7,0)="","",VLOOKUP(Y$2,行为概览!$D$3:$J$33,7,0))</f>
        <v>25</v>
      </c>
      <c r="Z76" s="53">
        <f>IF(VLOOKUP(Z$2,行为概览!$D$3:$J$33,7,0)="","",VLOOKUP(Z$2,行为概览!$D$3:$J$33,7,0))</f>
        <v>15</v>
      </c>
      <c r="AA76" s="53">
        <f>IF(VLOOKUP(AA$2,行为概览!$D$3:$J$33,7,0)="","",VLOOKUP(AA$2,行为概览!$D$3:$J$33,7,0))</f>
        <v>15</v>
      </c>
      <c r="AB76" s="53" t="str">
        <f>IF(VLOOKUP(AB$2,行为概览!$D$3:$J$33,7,0)="","",VLOOKUP(AB$2,行为概览!$D$3:$J$33,7,0))</f>
        <v/>
      </c>
      <c r="AC76" s="53" t="str">
        <f>IF(VLOOKUP(AC$2,行为概览!$D$3:$J$33,7,0)="","",VLOOKUP(AC$2,行为概览!$D$3:$J$33,7,0))</f>
        <v/>
      </c>
      <c r="AD76" s="53" t="str">
        <f>IF(VLOOKUP(AD$2,行为概览!$D$3:$J$33,7,0)="","",VLOOKUP(AD$2,行为概览!$D$3:$J$33,7,0))</f>
        <v/>
      </c>
      <c r="AE76" s="68" t="str">
        <f>IF(VLOOKUP(AE$2,行为概览!$D$3:$J$33,7,0)="","",VLOOKUP(AE$2,行为概览!$D$3:$J$33,7,0))</f>
        <v/>
      </c>
      <c r="AF76" s="1">
        <f>IF(C76="","",ROUND(C76*玩法行为规划!B76,2))</f>
        <v>16.670000000000002</v>
      </c>
      <c r="AG76" s="2">
        <f>IF(D76="","",ROUND(D76*玩法行为规划!C76,2))</f>
        <v>6.6</v>
      </c>
      <c r="AH76" s="2">
        <f>IF(E76="","",ROUND(E76*玩法行为规划!D76,2))</f>
        <v>2.5</v>
      </c>
      <c r="AI76" s="2">
        <f>IF(F76="","",ROUND(F76*玩法行为规划!E76,2))</f>
        <v>15</v>
      </c>
      <c r="AJ76" s="2" t="str">
        <f>IF(G76="","",ROUND(G76*玩法行为规划!F76,2))</f>
        <v/>
      </c>
      <c r="AK76" s="2" t="str">
        <f>IF(H76="","",ROUND(H76*玩法行为规划!G76,2))</f>
        <v/>
      </c>
      <c r="AL76" s="2" t="str">
        <f>IF(I76="","",ROUND(I76*玩法行为规划!H76,2))</f>
        <v/>
      </c>
      <c r="AM76" s="2" t="str">
        <f>IF(J76="","",ROUND(J76*玩法行为规划!I76,2))</f>
        <v/>
      </c>
      <c r="AN76" s="2">
        <f>IF(K76="","",ROUND(K76*玩法行为规划!J76,2))</f>
        <v>10</v>
      </c>
      <c r="AO76" s="2">
        <f>IF(L76="","",ROUND(L76*玩法行为规划!K76,2))</f>
        <v>3.33</v>
      </c>
      <c r="AP76" s="2">
        <f>IF(M76="","",ROUND(M76*玩法行为规划!L76,2))</f>
        <v>20</v>
      </c>
      <c r="AQ76" s="2">
        <f>IF(N76="","",ROUND(N76*玩法行为规划!M76,2))</f>
        <v>12</v>
      </c>
      <c r="AR76" s="2">
        <f>IF(O76="","",ROUND(O76*玩法行为规划!N76,2))</f>
        <v>12.5</v>
      </c>
      <c r="AS76" s="2">
        <f>IF(P76="","",ROUND(P76*玩法行为规划!O76,2))</f>
        <v>0.83</v>
      </c>
      <c r="AT76" s="2">
        <f>IF(Q76="","",ROUND(Q76*玩法行为规划!P76,2))</f>
        <v>52</v>
      </c>
      <c r="AU76" s="2">
        <f>IF(R76="","",ROUND(R76*玩法行为规划!Q76,2))</f>
        <v>6</v>
      </c>
      <c r="AV76" s="2">
        <f>IF(S76="","",ROUND(S76*玩法行为规划!R76,2))</f>
        <v>6.67</v>
      </c>
      <c r="AW76" s="2">
        <f>IF(T76="","",ROUND(T76*玩法行为规划!S76,2))</f>
        <v>0</v>
      </c>
      <c r="AX76" s="2">
        <f>IF(U76="","",ROUND(U76*玩法行为规划!T76,2))</f>
        <v>5</v>
      </c>
      <c r="AY76" s="2">
        <f>IF(V76="","",ROUND(V76*玩法行为规划!U76,2))</f>
        <v>6.67</v>
      </c>
      <c r="AZ76" s="2">
        <f>IF(W76="","",ROUND(W76*玩法行为规划!V76,2))</f>
        <v>2.5</v>
      </c>
      <c r="BA76" s="2">
        <f>IF(X76="","",ROUND(X76*玩法行为规划!W76,2))</f>
        <v>5</v>
      </c>
      <c r="BB76" s="2">
        <f>IF(Y76="","",ROUND(Y76*玩法行为规划!X76,2))</f>
        <v>6.25</v>
      </c>
      <c r="BC76" s="2">
        <f>IF(Z76="","",ROUND(Z76*玩法行为规划!Y76,2))</f>
        <v>8.75</v>
      </c>
      <c r="BD76" s="2">
        <f>IF(AA76="","",ROUND(AA76*玩法行为规划!Z76,2))</f>
        <v>2.5</v>
      </c>
      <c r="BE76" s="2" t="str">
        <f>IF(AB76="","",ROUND(AB76*玩法行为规划!AA76,2))</f>
        <v/>
      </c>
      <c r="BF76" s="2" t="str">
        <f>IF(AC76="","",ROUND(AC76*玩法行为规划!AB76,2))</f>
        <v/>
      </c>
      <c r="BG76" s="2" t="str">
        <f>IF(AD76="","",ROUND(AD76*玩法行为规划!AC76,2))</f>
        <v/>
      </c>
      <c r="BH76" s="3" t="str">
        <f>IF(AE76="","",ROUND(AE76*玩法行为规划!AD76,2))</f>
        <v/>
      </c>
      <c r="BI76" s="7">
        <f t="shared" si="11"/>
        <v>200.76999999999998</v>
      </c>
      <c r="BJ76" s="7">
        <f t="shared" si="12"/>
        <v>5942791.9999999991</v>
      </c>
      <c r="BK76" s="69">
        <f t="shared" si="15"/>
        <v>1610200</v>
      </c>
      <c r="BL76" s="21" t="str">
        <f t="shared" ref="BL76:BL107" si="16">IF(--RIGHT(A76,1)=0,SUM(BK76:BK85),"")</f>
        <v/>
      </c>
      <c r="BM76" s="7">
        <f t="shared" si="13"/>
        <v>3.3162875357635721E-2</v>
      </c>
      <c r="BN76" s="69">
        <f>INT(BJ76*升级节奏!G76+BK76)</f>
        <v>48554294</v>
      </c>
      <c r="BO76" s="7">
        <f t="shared" si="14"/>
        <v>329</v>
      </c>
      <c r="BP76" s="7"/>
    </row>
    <row r="77" spans="1:68">
      <c r="A77" s="29">
        <v>75</v>
      </c>
      <c r="B77" s="84">
        <f>升级节奏!C77</f>
        <v>30000</v>
      </c>
      <c r="C77" s="53">
        <f>IF(VLOOKUP(C$2,行为概览!$D$3:$J$33,7,0)="","",VLOOKUP(C$2,行为概览!$D$3:$J$33,7,0))</f>
        <v>50</v>
      </c>
      <c r="D77" s="53">
        <f>IF(VLOOKUP(D$2,行为概览!$D$3:$J$33,7,0)="","",VLOOKUP(D$2,行为概览!$D$3:$J$33,7,0))</f>
        <v>3.3</v>
      </c>
      <c r="E77" s="53">
        <f>IF(VLOOKUP(E$2,行为概览!$D$3:$J$33,7,0)="","",VLOOKUP(E$2,行为概览!$D$3:$J$33,7,0))</f>
        <v>30</v>
      </c>
      <c r="F77" s="53">
        <f>IF(VLOOKUP(F$2,行为概览!$D$3:$J$33,7,0)="","",VLOOKUP(F$2,行为概览!$D$3:$J$33,7,0))</f>
        <v>15</v>
      </c>
      <c r="G77" s="53" t="str">
        <f>IF(VLOOKUP(G$2,行为概览!$D$3:$J$33,7,0)="","",VLOOKUP(G$2,行为概览!$D$3:$J$33,7,0))</f>
        <v/>
      </c>
      <c r="H77" s="53" t="str">
        <f>IF(VLOOKUP(H$2,行为概览!$D$3:$J$33,7,0)="","",VLOOKUP(H$2,行为概览!$D$3:$J$33,7,0))</f>
        <v/>
      </c>
      <c r="I77" s="53" t="str">
        <f>IF(VLOOKUP(I$2,行为概览!$D$3:$J$33,7,0)="","",VLOOKUP(I$2,行为概览!$D$3:$J$33,7,0))</f>
        <v/>
      </c>
      <c r="J77" s="53" t="str">
        <f>IF(VLOOKUP(J$2,行为概览!$D$3:$J$33,7,0)="","",VLOOKUP(J$2,行为概览!$D$3:$J$33,7,0))</f>
        <v/>
      </c>
      <c r="K77" s="53">
        <f>IF(VLOOKUP(K$2,行为概览!$D$3:$J$33,7,0)="","",VLOOKUP(K$2,行为概览!$D$3:$J$33,7,0))</f>
        <v>20</v>
      </c>
      <c r="L77" s="53">
        <f>IF(VLOOKUP(L$2,行为概览!$D$3:$J$33,7,0)="","",VLOOKUP(L$2,行为概览!$D$3:$J$33,7,0))</f>
        <v>20</v>
      </c>
      <c r="M77" s="53">
        <f>IF(VLOOKUP(M$2,行为概览!$D$3:$J$33,7,0)="","",VLOOKUP(M$2,行为概览!$D$3:$J$33,7,0))</f>
        <v>40</v>
      </c>
      <c r="N77" s="53">
        <f>IF(VLOOKUP(N$2,行为概览!$D$3:$J$33,7,0)="","",VLOOKUP(N$2,行为概览!$D$3:$J$33,7,0))</f>
        <v>1</v>
      </c>
      <c r="O77" s="53">
        <f>IF(VLOOKUP(O$2,行为概览!$D$3:$J$33,7,0)="","",VLOOKUP(O$2,行为概览!$D$3:$J$33,7,0))</f>
        <v>150</v>
      </c>
      <c r="P77" s="53">
        <f>IF(VLOOKUP(P$2,行为概览!$D$3:$J$33,7,0)="","",VLOOKUP(P$2,行为概览!$D$3:$J$33,7,0))</f>
        <v>10</v>
      </c>
      <c r="Q77" s="53">
        <f>IF(VLOOKUP(Q$2,行为概览!$D$3:$J$33,7,0)="","",VLOOKUP(Q$2,行为概览!$D$3:$J$33,7,0))</f>
        <v>20</v>
      </c>
      <c r="R77" s="53">
        <f>IF(VLOOKUP(R$2,行为概览!$D$3:$J$33,7,0)="","",VLOOKUP(R$2,行为概览!$D$3:$J$33,7,0))</f>
        <v>6</v>
      </c>
      <c r="S77" s="53">
        <f>IF(VLOOKUP(S$2,行为概览!$D$3:$J$33,7,0)="","",VLOOKUP(S$2,行为概览!$D$3:$J$33,7,0))</f>
        <v>20</v>
      </c>
      <c r="T77" s="53">
        <f>IF(VLOOKUP(T$2,行为概览!$D$3:$J$33,7,0)="","",VLOOKUP(T$2,行为概览!$D$3:$J$33,7,0))</f>
        <v>15</v>
      </c>
      <c r="U77" s="53">
        <f>IF(VLOOKUP(U$2,行为概览!$D$3:$J$33,7,0)="","",VLOOKUP(U$2,行为概览!$D$3:$J$33,7,0))</f>
        <v>15</v>
      </c>
      <c r="V77" s="53">
        <f>IF(VLOOKUP(V$2,行为概览!$D$3:$J$33,7,0)="","",VLOOKUP(V$2,行为概览!$D$3:$J$33,7,0))</f>
        <v>40</v>
      </c>
      <c r="W77" s="53">
        <f>IF(VLOOKUP(W$2,行为概览!$D$3:$J$33,7,0)="","",VLOOKUP(W$2,行为概览!$D$3:$J$33,7,0))</f>
        <v>15</v>
      </c>
      <c r="X77" s="53">
        <f>IF(VLOOKUP(X$2,行为概览!$D$3:$J$33,7,0)="","",VLOOKUP(X$2,行为概览!$D$3:$J$33,7,0))</f>
        <v>30</v>
      </c>
      <c r="Y77" s="53">
        <f>IF(VLOOKUP(Y$2,行为概览!$D$3:$J$33,7,0)="","",VLOOKUP(Y$2,行为概览!$D$3:$J$33,7,0))</f>
        <v>25</v>
      </c>
      <c r="Z77" s="53">
        <f>IF(VLOOKUP(Z$2,行为概览!$D$3:$J$33,7,0)="","",VLOOKUP(Z$2,行为概览!$D$3:$J$33,7,0))</f>
        <v>15</v>
      </c>
      <c r="AA77" s="53">
        <f>IF(VLOOKUP(AA$2,行为概览!$D$3:$J$33,7,0)="","",VLOOKUP(AA$2,行为概览!$D$3:$J$33,7,0))</f>
        <v>15</v>
      </c>
      <c r="AB77" s="53" t="str">
        <f>IF(VLOOKUP(AB$2,行为概览!$D$3:$J$33,7,0)="","",VLOOKUP(AB$2,行为概览!$D$3:$J$33,7,0))</f>
        <v/>
      </c>
      <c r="AC77" s="53" t="str">
        <f>IF(VLOOKUP(AC$2,行为概览!$D$3:$J$33,7,0)="","",VLOOKUP(AC$2,行为概览!$D$3:$J$33,7,0))</f>
        <v/>
      </c>
      <c r="AD77" s="53" t="str">
        <f>IF(VLOOKUP(AD$2,行为概览!$D$3:$J$33,7,0)="","",VLOOKUP(AD$2,行为概览!$D$3:$J$33,7,0))</f>
        <v/>
      </c>
      <c r="AE77" s="68" t="str">
        <f>IF(VLOOKUP(AE$2,行为概览!$D$3:$J$33,7,0)="","",VLOOKUP(AE$2,行为概览!$D$3:$J$33,7,0))</f>
        <v/>
      </c>
      <c r="AF77" s="1">
        <f>IF(C77="","",ROUND(C77*玩法行为规划!B77,2))</f>
        <v>16.670000000000002</v>
      </c>
      <c r="AG77" s="2">
        <f>IF(D77="","",ROUND(D77*玩法行为规划!C77,2))</f>
        <v>6.6</v>
      </c>
      <c r="AH77" s="2">
        <f>IF(E77="","",ROUND(E77*玩法行为规划!D77,2))</f>
        <v>2.5</v>
      </c>
      <c r="AI77" s="2">
        <f>IF(F77="","",ROUND(F77*玩法行为规划!E77,2))</f>
        <v>15</v>
      </c>
      <c r="AJ77" s="2" t="str">
        <f>IF(G77="","",ROUND(G77*玩法行为规划!F77,2))</f>
        <v/>
      </c>
      <c r="AK77" s="2" t="str">
        <f>IF(H77="","",ROUND(H77*玩法行为规划!G77,2))</f>
        <v/>
      </c>
      <c r="AL77" s="2" t="str">
        <f>IF(I77="","",ROUND(I77*玩法行为规划!H77,2))</f>
        <v/>
      </c>
      <c r="AM77" s="2" t="str">
        <f>IF(J77="","",ROUND(J77*玩法行为规划!I77,2))</f>
        <v/>
      </c>
      <c r="AN77" s="2">
        <f>IF(K77="","",ROUND(K77*玩法行为规划!J77,2))</f>
        <v>10</v>
      </c>
      <c r="AO77" s="2">
        <f>IF(L77="","",ROUND(L77*玩法行为规划!K77,2))</f>
        <v>3.33</v>
      </c>
      <c r="AP77" s="2">
        <f>IF(M77="","",ROUND(M77*玩法行为规划!L77,2))</f>
        <v>20</v>
      </c>
      <c r="AQ77" s="2">
        <f>IF(N77="","",ROUND(N77*玩法行为规划!M77,2))</f>
        <v>12</v>
      </c>
      <c r="AR77" s="2">
        <f>IF(O77="","",ROUND(O77*玩法行为规划!N77,2))</f>
        <v>12.5</v>
      </c>
      <c r="AS77" s="2">
        <f>IF(P77="","",ROUND(P77*玩法行为规划!O77,2))</f>
        <v>0.83</v>
      </c>
      <c r="AT77" s="2">
        <f>IF(Q77="","",ROUND(Q77*玩法行为规划!P77,2))</f>
        <v>52</v>
      </c>
      <c r="AU77" s="2">
        <f>IF(R77="","",ROUND(R77*玩法行为规划!Q77,2))</f>
        <v>6</v>
      </c>
      <c r="AV77" s="2">
        <f>IF(S77="","",ROUND(S77*玩法行为规划!R77,2))</f>
        <v>6.67</v>
      </c>
      <c r="AW77" s="2">
        <f>IF(T77="","",ROUND(T77*玩法行为规划!S77,2))</f>
        <v>0</v>
      </c>
      <c r="AX77" s="2">
        <f>IF(U77="","",ROUND(U77*玩法行为规划!T77,2))</f>
        <v>5</v>
      </c>
      <c r="AY77" s="2">
        <f>IF(V77="","",ROUND(V77*玩法行为规划!U77,2))</f>
        <v>6.67</v>
      </c>
      <c r="AZ77" s="2">
        <f>IF(W77="","",ROUND(W77*玩法行为规划!V77,2))</f>
        <v>2.5</v>
      </c>
      <c r="BA77" s="2">
        <f>IF(X77="","",ROUND(X77*玩法行为规划!W77,2))</f>
        <v>5</v>
      </c>
      <c r="BB77" s="2">
        <f>IF(Y77="","",ROUND(Y77*玩法行为规划!X77,2))</f>
        <v>6.25</v>
      </c>
      <c r="BC77" s="2">
        <f>IF(Z77="","",ROUND(Z77*玩法行为规划!Y77,2))</f>
        <v>8.75</v>
      </c>
      <c r="BD77" s="2">
        <f>IF(AA77="","",ROUND(AA77*玩法行为规划!Z77,2))</f>
        <v>2.5</v>
      </c>
      <c r="BE77" s="2" t="str">
        <f>IF(AB77="","",ROUND(AB77*玩法行为规划!AA77,2))</f>
        <v/>
      </c>
      <c r="BF77" s="2" t="str">
        <f>IF(AC77="","",ROUND(AC77*玩法行为规划!AB77,2))</f>
        <v/>
      </c>
      <c r="BG77" s="2" t="str">
        <f>IF(AD77="","",ROUND(AD77*玩法行为规划!AC77,2))</f>
        <v/>
      </c>
      <c r="BH77" s="3" t="str">
        <f>IF(AE77="","",ROUND(AE77*玩法行为规划!AD77,2))</f>
        <v/>
      </c>
      <c r="BI77" s="7">
        <f t="shared" si="11"/>
        <v>200.76999999999998</v>
      </c>
      <c r="BJ77" s="7">
        <f t="shared" si="12"/>
        <v>6023099.9999999991</v>
      </c>
      <c r="BK77" s="69">
        <f t="shared" si="15"/>
        <v>1665000</v>
      </c>
      <c r="BL77" s="21" t="str">
        <f t="shared" si="16"/>
        <v/>
      </c>
      <c r="BM77" s="7">
        <f t="shared" si="13"/>
        <v>3.2960604653879011E-2</v>
      </c>
      <c r="BN77" s="69">
        <f>INT(BJ77*升级节奏!G77+BK77)</f>
        <v>50514850</v>
      </c>
      <c r="BO77" s="7">
        <f t="shared" si="14"/>
        <v>333</v>
      </c>
      <c r="BP77" s="7"/>
    </row>
    <row r="78" spans="1:68">
      <c r="A78" s="29">
        <v>76</v>
      </c>
      <c r="B78" s="84">
        <f>升级节奏!C78</f>
        <v>30400</v>
      </c>
      <c r="C78" s="53">
        <f>IF(VLOOKUP(C$2,行为概览!$D$3:$J$33,7,0)="","",VLOOKUP(C$2,行为概览!$D$3:$J$33,7,0))</f>
        <v>50</v>
      </c>
      <c r="D78" s="53">
        <f>IF(VLOOKUP(D$2,行为概览!$D$3:$J$33,7,0)="","",VLOOKUP(D$2,行为概览!$D$3:$J$33,7,0))</f>
        <v>3.3</v>
      </c>
      <c r="E78" s="53">
        <f>IF(VLOOKUP(E$2,行为概览!$D$3:$J$33,7,0)="","",VLOOKUP(E$2,行为概览!$D$3:$J$33,7,0))</f>
        <v>30</v>
      </c>
      <c r="F78" s="53">
        <f>IF(VLOOKUP(F$2,行为概览!$D$3:$J$33,7,0)="","",VLOOKUP(F$2,行为概览!$D$3:$J$33,7,0))</f>
        <v>15</v>
      </c>
      <c r="G78" s="53" t="str">
        <f>IF(VLOOKUP(G$2,行为概览!$D$3:$J$33,7,0)="","",VLOOKUP(G$2,行为概览!$D$3:$J$33,7,0))</f>
        <v/>
      </c>
      <c r="H78" s="53" t="str">
        <f>IF(VLOOKUP(H$2,行为概览!$D$3:$J$33,7,0)="","",VLOOKUP(H$2,行为概览!$D$3:$J$33,7,0))</f>
        <v/>
      </c>
      <c r="I78" s="53" t="str">
        <f>IF(VLOOKUP(I$2,行为概览!$D$3:$J$33,7,0)="","",VLOOKUP(I$2,行为概览!$D$3:$J$33,7,0))</f>
        <v/>
      </c>
      <c r="J78" s="53" t="str">
        <f>IF(VLOOKUP(J$2,行为概览!$D$3:$J$33,7,0)="","",VLOOKUP(J$2,行为概览!$D$3:$J$33,7,0))</f>
        <v/>
      </c>
      <c r="K78" s="53">
        <f>IF(VLOOKUP(K$2,行为概览!$D$3:$J$33,7,0)="","",VLOOKUP(K$2,行为概览!$D$3:$J$33,7,0))</f>
        <v>20</v>
      </c>
      <c r="L78" s="53">
        <f>IF(VLOOKUP(L$2,行为概览!$D$3:$J$33,7,0)="","",VLOOKUP(L$2,行为概览!$D$3:$J$33,7,0))</f>
        <v>20</v>
      </c>
      <c r="M78" s="53">
        <f>IF(VLOOKUP(M$2,行为概览!$D$3:$J$33,7,0)="","",VLOOKUP(M$2,行为概览!$D$3:$J$33,7,0))</f>
        <v>40</v>
      </c>
      <c r="N78" s="53">
        <f>IF(VLOOKUP(N$2,行为概览!$D$3:$J$33,7,0)="","",VLOOKUP(N$2,行为概览!$D$3:$J$33,7,0))</f>
        <v>1</v>
      </c>
      <c r="O78" s="53">
        <f>IF(VLOOKUP(O$2,行为概览!$D$3:$J$33,7,0)="","",VLOOKUP(O$2,行为概览!$D$3:$J$33,7,0))</f>
        <v>150</v>
      </c>
      <c r="P78" s="53">
        <f>IF(VLOOKUP(P$2,行为概览!$D$3:$J$33,7,0)="","",VLOOKUP(P$2,行为概览!$D$3:$J$33,7,0))</f>
        <v>10</v>
      </c>
      <c r="Q78" s="53">
        <f>IF(VLOOKUP(Q$2,行为概览!$D$3:$J$33,7,0)="","",VLOOKUP(Q$2,行为概览!$D$3:$J$33,7,0))</f>
        <v>20</v>
      </c>
      <c r="R78" s="53">
        <f>IF(VLOOKUP(R$2,行为概览!$D$3:$J$33,7,0)="","",VLOOKUP(R$2,行为概览!$D$3:$J$33,7,0))</f>
        <v>6</v>
      </c>
      <c r="S78" s="53">
        <f>IF(VLOOKUP(S$2,行为概览!$D$3:$J$33,7,0)="","",VLOOKUP(S$2,行为概览!$D$3:$J$33,7,0))</f>
        <v>20</v>
      </c>
      <c r="T78" s="53">
        <f>IF(VLOOKUP(T$2,行为概览!$D$3:$J$33,7,0)="","",VLOOKUP(T$2,行为概览!$D$3:$J$33,7,0))</f>
        <v>15</v>
      </c>
      <c r="U78" s="53">
        <f>IF(VLOOKUP(U$2,行为概览!$D$3:$J$33,7,0)="","",VLOOKUP(U$2,行为概览!$D$3:$J$33,7,0))</f>
        <v>15</v>
      </c>
      <c r="V78" s="53">
        <f>IF(VLOOKUP(V$2,行为概览!$D$3:$J$33,7,0)="","",VLOOKUP(V$2,行为概览!$D$3:$J$33,7,0))</f>
        <v>40</v>
      </c>
      <c r="W78" s="53">
        <f>IF(VLOOKUP(W$2,行为概览!$D$3:$J$33,7,0)="","",VLOOKUP(W$2,行为概览!$D$3:$J$33,7,0))</f>
        <v>15</v>
      </c>
      <c r="X78" s="53">
        <f>IF(VLOOKUP(X$2,行为概览!$D$3:$J$33,7,0)="","",VLOOKUP(X$2,行为概览!$D$3:$J$33,7,0))</f>
        <v>30</v>
      </c>
      <c r="Y78" s="53">
        <f>IF(VLOOKUP(Y$2,行为概览!$D$3:$J$33,7,0)="","",VLOOKUP(Y$2,行为概览!$D$3:$J$33,7,0))</f>
        <v>25</v>
      </c>
      <c r="Z78" s="53">
        <f>IF(VLOOKUP(Z$2,行为概览!$D$3:$J$33,7,0)="","",VLOOKUP(Z$2,行为概览!$D$3:$J$33,7,0))</f>
        <v>15</v>
      </c>
      <c r="AA78" s="53">
        <f>IF(VLOOKUP(AA$2,行为概览!$D$3:$J$33,7,0)="","",VLOOKUP(AA$2,行为概览!$D$3:$J$33,7,0))</f>
        <v>15</v>
      </c>
      <c r="AB78" s="53" t="str">
        <f>IF(VLOOKUP(AB$2,行为概览!$D$3:$J$33,7,0)="","",VLOOKUP(AB$2,行为概览!$D$3:$J$33,7,0))</f>
        <v/>
      </c>
      <c r="AC78" s="53" t="str">
        <f>IF(VLOOKUP(AC$2,行为概览!$D$3:$J$33,7,0)="","",VLOOKUP(AC$2,行为概览!$D$3:$J$33,7,0))</f>
        <v/>
      </c>
      <c r="AD78" s="53" t="str">
        <f>IF(VLOOKUP(AD$2,行为概览!$D$3:$J$33,7,0)="","",VLOOKUP(AD$2,行为概览!$D$3:$J$33,7,0))</f>
        <v/>
      </c>
      <c r="AE78" s="68" t="str">
        <f>IF(VLOOKUP(AE$2,行为概览!$D$3:$J$33,7,0)="","",VLOOKUP(AE$2,行为概览!$D$3:$J$33,7,0))</f>
        <v/>
      </c>
      <c r="AF78" s="1">
        <f>IF(C78="","",ROUND(C78*玩法行为规划!B78,2))</f>
        <v>16.670000000000002</v>
      </c>
      <c r="AG78" s="2">
        <f>IF(D78="","",ROUND(D78*玩法行为规划!C78,2))</f>
        <v>6.6</v>
      </c>
      <c r="AH78" s="2">
        <f>IF(E78="","",ROUND(E78*玩法行为规划!D78,2))</f>
        <v>2.5</v>
      </c>
      <c r="AI78" s="2">
        <f>IF(F78="","",ROUND(F78*玩法行为规划!E78,2))</f>
        <v>15</v>
      </c>
      <c r="AJ78" s="2" t="str">
        <f>IF(G78="","",ROUND(G78*玩法行为规划!F78,2))</f>
        <v/>
      </c>
      <c r="AK78" s="2" t="str">
        <f>IF(H78="","",ROUND(H78*玩法行为规划!G78,2))</f>
        <v/>
      </c>
      <c r="AL78" s="2" t="str">
        <f>IF(I78="","",ROUND(I78*玩法行为规划!H78,2))</f>
        <v/>
      </c>
      <c r="AM78" s="2" t="str">
        <f>IF(J78="","",ROUND(J78*玩法行为规划!I78,2))</f>
        <v/>
      </c>
      <c r="AN78" s="2">
        <f>IF(K78="","",ROUND(K78*玩法行为规划!J78,2))</f>
        <v>10</v>
      </c>
      <c r="AO78" s="2">
        <f>IF(L78="","",ROUND(L78*玩法行为规划!K78,2))</f>
        <v>3.33</v>
      </c>
      <c r="AP78" s="2">
        <f>IF(M78="","",ROUND(M78*玩法行为规划!L78,2))</f>
        <v>20</v>
      </c>
      <c r="AQ78" s="2">
        <f>IF(N78="","",ROUND(N78*玩法行为规划!M78,2))</f>
        <v>12</v>
      </c>
      <c r="AR78" s="2">
        <f>IF(O78="","",ROUND(O78*玩法行为规划!N78,2))</f>
        <v>12.5</v>
      </c>
      <c r="AS78" s="2">
        <f>IF(P78="","",ROUND(P78*玩法行为规划!O78,2))</f>
        <v>0.83</v>
      </c>
      <c r="AT78" s="2">
        <f>IF(Q78="","",ROUND(Q78*玩法行为规划!P78,2))</f>
        <v>52</v>
      </c>
      <c r="AU78" s="2">
        <f>IF(R78="","",ROUND(R78*玩法行为规划!Q78,2))</f>
        <v>6</v>
      </c>
      <c r="AV78" s="2">
        <f>IF(S78="","",ROUND(S78*玩法行为规划!R78,2))</f>
        <v>6.67</v>
      </c>
      <c r="AW78" s="2">
        <f>IF(T78="","",ROUND(T78*玩法行为规划!S78,2))</f>
        <v>0</v>
      </c>
      <c r="AX78" s="2">
        <f>IF(U78="","",ROUND(U78*玩法行为规划!T78,2))</f>
        <v>5</v>
      </c>
      <c r="AY78" s="2">
        <f>IF(V78="","",ROUND(V78*玩法行为规划!U78,2))</f>
        <v>6.67</v>
      </c>
      <c r="AZ78" s="2">
        <f>IF(W78="","",ROUND(W78*玩法行为规划!V78,2))</f>
        <v>2.5</v>
      </c>
      <c r="BA78" s="2">
        <f>IF(X78="","",ROUND(X78*玩法行为规划!W78,2))</f>
        <v>5</v>
      </c>
      <c r="BB78" s="2">
        <f>IF(Y78="","",ROUND(Y78*玩法行为规划!X78,2))</f>
        <v>6.25</v>
      </c>
      <c r="BC78" s="2">
        <f>IF(Z78="","",ROUND(Z78*玩法行为规划!Y78,2))</f>
        <v>8.75</v>
      </c>
      <c r="BD78" s="2">
        <f>IF(AA78="","",ROUND(AA78*玩法行为规划!Z78,2))</f>
        <v>2.5</v>
      </c>
      <c r="BE78" s="2" t="str">
        <f>IF(AB78="","",ROUND(AB78*玩法行为规划!AA78,2))</f>
        <v/>
      </c>
      <c r="BF78" s="2" t="str">
        <f>IF(AC78="","",ROUND(AC78*玩法行为规划!AB78,2))</f>
        <v/>
      </c>
      <c r="BG78" s="2" t="str">
        <f>IF(AD78="","",ROUND(AD78*玩法行为规划!AC78,2))</f>
        <v/>
      </c>
      <c r="BH78" s="3" t="str">
        <f>IF(AE78="","",ROUND(AE78*玩法行为规划!AD78,2))</f>
        <v/>
      </c>
      <c r="BI78" s="7">
        <f t="shared" si="11"/>
        <v>200.76999999999998</v>
      </c>
      <c r="BJ78" s="7">
        <f t="shared" si="12"/>
        <v>6103407.9999999991</v>
      </c>
      <c r="BK78" s="69">
        <f t="shared" si="15"/>
        <v>1720600</v>
      </c>
      <c r="BL78" s="21" t="str">
        <f t="shared" si="16"/>
        <v/>
      </c>
      <c r="BM78" s="7">
        <f t="shared" si="13"/>
        <v>3.2756236449691535E-2</v>
      </c>
      <c r="BN78" s="69">
        <f>INT(BJ78*升级节奏!G78+BK78)</f>
        <v>52527402</v>
      </c>
      <c r="BO78" s="7">
        <f t="shared" si="14"/>
        <v>338</v>
      </c>
      <c r="BP78" s="7"/>
    </row>
    <row r="79" spans="1:68">
      <c r="A79" s="29">
        <v>77</v>
      </c>
      <c r="B79" s="84">
        <f>升级节奏!C79</f>
        <v>30800</v>
      </c>
      <c r="C79" s="53">
        <f>IF(VLOOKUP(C$2,行为概览!$D$3:$J$33,7,0)="","",VLOOKUP(C$2,行为概览!$D$3:$J$33,7,0))</f>
        <v>50</v>
      </c>
      <c r="D79" s="53">
        <f>IF(VLOOKUP(D$2,行为概览!$D$3:$J$33,7,0)="","",VLOOKUP(D$2,行为概览!$D$3:$J$33,7,0))</f>
        <v>3.3</v>
      </c>
      <c r="E79" s="53">
        <f>IF(VLOOKUP(E$2,行为概览!$D$3:$J$33,7,0)="","",VLOOKUP(E$2,行为概览!$D$3:$J$33,7,0))</f>
        <v>30</v>
      </c>
      <c r="F79" s="53">
        <f>IF(VLOOKUP(F$2,行为概览!$D$3:$J$33,7,0)="","",VLOOKUP(F$2,行为概览!$D$3:$J$33,7,0))</f>
        <v>15</v>
      </c>
      <c r="G79" s="53" t="str">
        <f>IF(VLOOKUP(G$2,行为概览!$D$3:$J$33,7,0)="","",VLOOKUP(G$2,行为概览!$D$3:$J$33,7,0))</f>
        <v/>
      </c>
      <c r="H79" s="53" t="str">
        <f>IF(VLOOKUP(H$2,行为概览!$D$3:$J$33,7,0)="","",VLOOKUP(H$2,行为概览!$D$3:$J$33,7,0))</f>
        <v/>
      </c>
      <c r="I79" s="53" t="str">
        <f>IF(VLOOKUP(I$2,行为概览!$D$3:$J$33,7,0)="","",VLOOKUP(I$2,行为概览!$D$3:$J$33,7,0))</f>
        <v/>
      </c>
      <c r="J79" s="53" t="str">
        <f>IF(VLOOKUP(J$2,行为概览!$D$3:$J$33,7,0)="","",VLOOKUP(J$2,行为概览!$D$3:$J$33,7,0))</f>
        <v/>
      </c>
      <c r="K79" s="53">
        <f>IF(VLOOKUP(K$2,行为概览!$D$3:$J$33,7,0)="","",VLOOKUP(K$2,行为概览!$D$3:$J$33,7,0))</f>
        <v>20</v>
      </c>
      <c r="L79" s="53">
        <f>IF(VLOOKUP(L$2,行为概览!$D$3:$J$33,7,0)="","",VLOOKUP(L$2,行为概览!$D$3:$J$33,7,0))</f>
        <v>20</v>
      </c>
      <c r="M79" s="53">
        <f>IF(VLOOKUP(M$2,行为概览!$D$3:$J$33,7,0)="","",VLOOKUP(M$2,行为概览!$D$3:$J$33,7,0))</f>
        <v>40</v>
      </c>
      <c r="N79" s="53">
        <f>IF(VLOOKUP(N$2,行为概览!$D$3:$J$33,7,0)="","",VLOOKUP(N$2,行为概览!$D$3:$J$33,7,0))</f>
        <v>1</v>
      </c>
      <c r="O79" s="53">
        <f>IF(VLOOKUP(O$2,行为概览!$D$3:$J$33,7,0)="","",VLOOKUP(O$2,行为概览!$D$3:$J$33,7,0))</f>
        <v>150</v>
      </c>
      <c r="P79" s="53">
        <f>IF(VLOOKUP(P$2,行为概览!$D$3:$J$33,7,0)="","",VLOOKUP(P$2,行为概览!$D$3:$J$33,7,0))</f>
        <v>10</v>
      </c>
      <c r="Q79" s="53">
        <f>IF(VLOOKUP(Q$2,行为概览!$D$3:$J$33,7,0)="","",VLOOKUP(Q$2,行为概览!$D$3:$J$33,7,0))</f>
        <v>20</v>
      </c>
      <c r="R79" s="53">
        <f>IF(VLOOKUP(R$2,行为概览!$D$3:$J$33,7,0)="","",VLOOKUP(R$2,行为概览!$D$3:$J$33,7,0))</f>
        <v>6</v>
      </c>
      <c r="S79" s="53">
        <f>IF(VLOOKUP(S$2,行为概览!$D$3:$J$33,7,0)="","",VLOOKUP(S$2,行为概览!$D$3:$J$33,7,0))</f>
        <v>20</v>
      </c>
      <c r="T79" s="53">
        <f>IF(VLOOKUP(T$2,行为概览!$D$3:$J$33,7,0)="","",VLOOKUP(T$2,行为概览!$D$3:$J$33,7,0))</f>
        <v>15</v>
      </c>
      <c r="U79" s="53">
        <f>IF(VLOOKUP(U$2,行为概览!$D$3:$J$33,7,0)="","",VLOOKUP(U$2,行为概览!$D$3:$J$33,7,0))</f>
        <v>15</v>
      </c>
      <c r="V79" s="53">
        <f>IF(VLOOKUP(V$2,行为概览!$D$3:$J$33,7,0)="","",VLOOKUP(V$2,行为概览!$D$3:$J$33,7,0))</f>
        <v>40</v>
      </c>
      <c r="W79" s="53">
        <f>IF(VLOOKUP(W$2,行为概览!$D$3:$J$33,7,0)="","",VLOOKUP(W$2,行为概览!$D$3:$J$33,7,0))</f>
        <v>15</v>
      </c>
      <c r="X79" s="53">
        <f>IF(VLOOKUP(X$2,行为概览!$D$3:$J$33,7,0)="","",VLOOKUP(X$2,行为概览!$D$3:$J$33,7,0))</f>
        <v>30</v>
      </c>
      <c r="Y79" s="53">
        <f>IF(VLOOKUP(Y$2,行为概览!$D$3:$J$33,7,0)="","",VLOOKUP(Y$2,行为概览!$D$3:$J$33,7,0))</f>
        <v>25</v>
      </c>
      <c r="Z79" s="53">
        <f>IF(VLOOKUP(Z$2,行为概览!$D$3:$J$33,7,0)="","",VLOOKUP(Z$2,行为概览!$D$3:$J$33,7,0))</f>
        <v>15</v>
      </c>
      <c r="AA79" s="53">
        <f>IF(VLOOKUP(AA$2,行为概览!$D$3:$J$33,7,0)="","",VLOOKUP(AA$2,行为概览!$D$3:$J$33,7,0))</f>
        <v>15</v>
      </c>
      <c r="AB79" s="53" t="str">
        <f>IF(VLOOKUP(AB$2,行为概览!$D$3:$J$33,7,0)="","",VLOOKUP(AB$2,行为概览!$D$3:$J$33,7,0))</f>
        <v/>
      </c>
      <c r="AC79" s="53" t="str">
        <f>IF(VLOOKUP(AC$2,行为概览!$D$3:$J$33,7,0)="","",VLOOKUP(AC$2,行为概览!$D$3:$J$33,7,0))</f>
        <v/>
      </c>
      <c r="AD79" s="53" t="str">
        <f>IF(VLOOKUP(AD$2,行为概览!$D$3:$J$33,7,0)="","",VLOOKUP(AD$2,行为概览!$D$3:$J$33,7,0))</f>
        <v/>
      </c>
      <c r="AE79" s="68" t="str">
        <f>IF(VLOOKUP(AE$2,行为概览!$D$3:$J$33,7,0)="","",VLOOKUP(AE$2,行为概览!$D$3:$J$33,7,0))</f>
        <v/>
      </c>
      <c r="AF79" s="1">
        <f>IF(C79="","",ROUND(C79*玩法行为规划!B79,2))</f>
        <v>16.670000000000002</v>
      </c>
      <c r="AG79" s="2">
        <f>IF(D79="","",ROUND(D79*玩法行为规划!C79,2))</f>
        <v>6.6</v>
      </c>
      <c r="AH79" s="2">
        <f>IF(E79="","",ROUND(E79*玩法行为规划!D79,2))</f>
        <v>2.5</v>
      </c>
      <c r="AI79" s="2">
        <f>IF(F79="","",ROUND(F79*玩法行为规划!E79,2))</f>
        <v>15</v>
      </c>
      <c r="AJ79" s="2" t="str">
        <f>IF(G79="","",ROUND(G79*玩法行为规划!F79,2))</f>
        <v/>
      </c>
      <c r="AK79" s="2" t="str">
        <f>IF(H79="","",ROUND(H79*玩法行为规划!G79,2))</f>
        <v/>
      </c>
      <c r="AL79" s="2" t="str">
        <f>IF(I79="","",ROUND(I79*玩法行为规划!H79,2))</f>
        <v/>
      </c>
      <c r="AM79" s="2" t="str">
        <f>IF(J79="","",ROUND(J79*玩法行为规划!I79,2))</f>
        <v/>
      </c>
      <c r="AN79" s="2">
        <f>IF(K79="","",ROUND(K79*玩法行为规划!J79,2))</f>
        <v>10</v>
      </c>
      <c r="AO79" s="2">
        <f>IF(L79="","",ROUND(L79*玩法行为规划!K79,2))</f>
        <v>3.33</v>
      </c>
      <c r="AP79" s="2">
        <f>IF(M79="","",ROUND(M79*玩法行为规划!L79,2))</f>
        <v>20</v>
      </c>
      <c r="AQ79" s="2">
        <f>IF(N79="","",ROUND(N79*玩法行为规划!M79,2))</f>
        <v>12</v>
      </c>
      <c r="AR79" s="2">
        <f>IF(O79="","",ROUND(O79*玩法行为规划!N79,2))</f>
        <v>12.5</v>
      </c>
      <c r="AS79" s="2">
        <f>IF(P79="","",ROUND(P79*玩法行为规划!O79,2))</f>
        <v>0.83</v>
      </c>
      <c r="AT79" s="2">
        <f>IF(Q79="","",ROUND(Q79*玩法行为规划!P79,2))</f>
        <v>52</v>
      </c>
      <c r="AU79" s="2">
        <f>IF(R79="","",ROUND(R79*玩法行为规划!Q79,2))</f>
        <v>6</v>
      </c>
      <c r="AV79" s="2">
        <f>IF(S79="","",ROUND(S79*玩法行为规划!R79,2))</f>
        <v>6.67</v>
      </c>
      <c r="AW79" s="2">
        <f>IF(T79="","",ROUND(T79*玩法行为规划!S79,2))</f>
        <v>0</v>
      </c>
      <c r="AX79" s="2">
        <f>IF(U79="","",ROUND(U79*玩法行为规划!T79,2))</f>
        <v>5</v>
      </c>
      <c r="AY79" s="2">
        <f>IF(V79="","",ROUND(V79*玩法行为规划!U79,2))</f>
        <v>6.67</v>
      </c>
      <c r="AZ79" s="2">
        <f>IF(W79="","",ROUND(W79*玩法行为规划!V79,2))</f>
        <v>2.5</v>
      </c>
      <c r="BA79" s="2">
        <f>IF(X79="","",ROUND(X79*玩法行为规划!W79,2))</f>
        <v>5</v>
      </c>
      <c r="BB79" s="2">
        <f>IF(Y79="","",ROUND(Y79*玩法行为规划!X79,2))</f>
        <v>6.25</v>
      </c>
      <c r="BC79" s="2">
        <f>IF(Z79="","",ROUND(Z79*玩法行为规划!Y79,2))</f>
        <v>8.75</v>
      </c>
      <c r="BD79" s="2">
        <f>IF(AA79="","",ROUND(AA79*玩法行为规划!Z79,2))</f>
        <v>2.5</v>
      </c>
      <c r="BE79" s="2" t="str">
        <f>IF(AB79="","",ROUND(AB79*玩法行为规划!AA79,2))</f>
        <v/>
      </c>
      <c r="BF79" s="2" t="str">
        <f>IF(AC79="","",ROUND(AC79*玩法行为规划!AB79,2))</f>
        <v/>
      </c>
      <c r="BG79" s="2" t="str">
        <f>IF(AD79="","",ROUND(AD79*玩法行为规划!AC79,2))</f>
        <v/>
      </c>
      <c r="BH79" s="3" t="str">
        <f>IF(AE79="","",ROUND(AE79*玩法行为规划!AD79,2))</f>
        <v/>
      </c>
      <c r="BI79" s="7">
        <f t="shared" si="11"/>
        <v>200.76999999999998</v>
      </c>
      <c r="BJ79" s="7">
        <f t="shared" si="12"/>
        <v>6183715.9999999991</v>
      </c>
      <c r="BK79" s="69">
        <f t="shared" si="15"/>
        <v>1777200</v>
      </c>
      <c r="BL79" s="21" t="str">
        <f t="shared" si="16"/>
        <v/>
      </c>
      <c r="BM79" s="7">
        <f t="shared" si="13"/>
        <v>3.2553723672849144E-2</v>
      </c>
      <c r="BN79" s="69">
        <f>INT(BJ79*升级节奏!G79+BK79)</f>
        <v>54592833</v>
      </c>
      <c r="BO79" s="7">
        <f t="shared" si="14"/>
        <v>342</v>
      </c>
      <c r="BP79" s="7"/>
    </row>
    <row r="80" spans="1:68">
      <c r="A80" s="29">
        <v>78</v>
      </c>
      <c r="B80" s="84">
        <f>升级节奏!C80</f>
        <v>31200</v>
      </c>
      <c r="C80" s="53">
        <f>IF(VLOOKUP(C$2,行为概览!$D$3:$J$33,7,0)="","",VLOOKUP(C$2,行为概览!$D$3:$J$33,7,0))</f>
        <v>50</v>
      </c>
      <c r="D80" s="53">
        <f>IF(VLOOKUP(D$2,行为概览!$D$3:$J$33,7,0)="","",VLOOKUP(D$2,行为概览!$D$3:$J$33,7,0))</f>
        <v>3.3</v>
      </c>
      <c r="E80" s="53">
        <f>IF(VLOOKUP(E$2,行为概览!$D$3:$J$33,7,0)="","",VLOOKUP(E$2,行为概览!$D$3:$J$33,7,0))</f>
        <v>30</v>
      </c>
      <c r="F80" s="53">
        <f>IF(VLOOKUP(F$2,行为概览!$D$3:$J$33,7,0)="","",VLOOKUP(F$2,行为概览!$D$3:$J$33,7,0))</f>
        <v>15</v>
      </c>
      <c r="G80" s="53" t="str">
        <f>IF(VLOOKUP(G$2,行为概览!$D$3:$J$33,7,0)="","",VLOOKUP(G$2,行为概览!$D$3:$J$33,7,0))</f>
        <v/>
      </c>
      <c r="H80" s="53" t="str">
        <f>IF(VLOOKUP(H$2,行为概览!$D$3:$J$33,7,0)="","",VLOOKUP(H$2,行为概览!$D$3:$J$33,7,0))</f>
        <v/>
      </c>
      <c r="I80" s="53" t="str">
        <f>IF(VLOOKUP(I$2,行为概览!$D$3:$J$33,7,0)="","",VLOOKUP(I$2,行为概览!$D$3:$J$33,7,0))</f>
        <v/>
      </c>
      <c r="J80" s="53" t="str">
        <f>IF(VLOOKUP(J$2,行为概览!$D$3:$J$33,7,0)="","",VLOOKUP(J$2,行为概览!$D$3:$J$33,7,0))</f>
        <v/>
      </c>
      <c r="K80" s="53">
        <f>IF(VLOOKUP(K$2,行为概览!$D$3:$J$33,7,0)="","",VLOOKUP(K$2,行为概览!$D$3:$J$33,7,0))</f>
        <v>20</v>
      </c>
      <c r="L80" s="53">
        <f>IF(VLOOKUP(L$2,行为概览!$D$3:$J$33,7,0)="","",VLOOKUP(L$2,行为概览!$D$3:$J$33,7,0))</f>
        <v>20</v>
      </c>
      <c r="M80" s="53">
        <f>IF(VLOOKUP(M$2,行为概览!$D$3:$J$33,7,0)="","",VLOOKUP(M$2,行为概览!$D$3:$J$33,7,0))</f>
        <v>40</v>
      </c>
      <c r="N80" s="53">
        <f>IF(VLOOKUP(N$2,行为概览!$D$3:$J$33,7,0)="","",VLOOKUP(N$2,行为概览!$D$3:$J$33,7,0))</f>
        <v>1</v>
      </c>
      <c r="O80" s="53">
        <f>IF(VLOOKUP(O$2,行为概览!$D$3:$J$33,7,0)="","",VLOOKUP(O$2,行为概览!$D$3:$J$33,7,0))</f>
        <v>150</v>
      </c>
      <c r="P80" s="53">
        <f>IF(VLOOKUP(P$2,行为概览!$D$3:$J$33,7,0)="","",VLOOKUP(P$2,行为概览!$D$3:$J$33,7,0))</f>
        <v>10</v>
      </c>
      <c r="Q80" s="53">
        <f>IF(VLOOKUP(Q$2,行为概览!$D$3:$J$33,7,0)="","",VLOOKUP(Q$2,行为概览!$D$3:$J$33,7,0))</f>
        <v>20</v>
      </c>
      <c r="R80" s="53">
        <f>IF(VLOOKUP(R$2,行为概览!$D$3:$J$33,7,0)="","",VLOOKUP(R$2,行为概览!$D$3:$J$33,7,0))</f>
        <v>6</v>
      </c>
      <c r="S80" s="53">
        <f>IF(VLOOKUP(S$2,行为概览!$D$3:$J$33,7,0)="","",VLOOKUP(S$2,行为概览!$D$3:$J$33,7,0))</f>
        <v>20</v>
      </c>
      <c r="T80" s="53">
        <f>IF(VLOOKUP(T$2,行为概览!$D$3:$J$33,7,0)="","",VLOOKUP(T$2,行为概览!$D$3:$J$33,7,0))</f>
        <v>15</v>
      </c>
      <c r="U80" s="53">
        <f>IF(VLOOKUP(U$2,行为概览!$D$3:$J$33,7,0)="","",VLOOKUP(U$2,行为概览!$D$3:$J$33,7,0))</f>
        <v>15</v>
      </c>
      <c r="V80" s="53">
        <f>IF(VLOOKUP(V$2,行为概览!$D$3:$J$33,7,0)="","",VLOOKUP(V$2,行为概览!$D$3:$J$33,7,0))</f>
        <v>40</v>
      </c>
      <c r="W80" s="53">
        <f>IF(VLOOKUP(W$2,行为概览!$D$3:$J$33,7,0)="","",VLOOKUP(W$2,行为概览!$D$3:$J$33,7,0))</f>
        <v>15</v>
      </c>
      <c r="X80" s="53">
        <f>IF(VLOOKUP(X$2,行为概览!$D$3:$J$33,7,0)="","",VLOOKUP(X$2,行为概览!$D$3:$J$33,7,0))</f>
        <v>30</v>
      </c>
      <c r="Y80" s="53">
        <f>IF(VLOOKUP(Y$2,行为概览!$D$3:$J$33,7,0)="","",VLOOKUP(Y$2,行为概览!$D$3:$J$33,7,0))</f>
        <v>25</v>
      </c>
      <c r="Z80" s="53">
        <f>IF(VLOOKUP(Z$2,行为概览!$D$3:$J$33,7,0)="","",VLOOKUP(Z$2,行为概览!$D$3:$J$33,7,0))</f>
        <v>15</v>
      </c>
      <c r="AA80" s="53">
        <f>IF(VLOOKUP(AA$2,行为概览!$D$3:$J$33,7,0)="","",VLOOKUP(AA$2,行为概览!$D$3:$J$33,7,0))</f>
        <v>15</v>
      </c>
      <c r="AB80" s="53" t="str">
        <f>IF(VLOOKUP(AB$2,行为概览!$D$3:$J$33,7,0)="","",VLOOKUP(AB$2,行为概览!$D$3:$J$33,7,0))</f>
        <v/>
      </c>
      <c r="AC80" s="53" t="str">
        <f>IF(VLOOKUP(AC$2,行为概览!$D$3:$J$33,7,0)="","",VLOOKUP(AC$2,行为概览!$D$3:$J$33,7,0))</f>
        <v/>
      </c>
      <c r="AD80" s="53" t="str">
        <f>IF(VLOOKUP(AD$2,行为概览!$D$3:$J$33,7,0)="","",VLOOKUP(AD$2,行为概览!$D$3:$J$33,7,0))</f>
        <v/>
      </c>
      <c r="AE80" s="68" t="str">
        <f>IF(VLOOKUP(AE$2,行为概览!$D$3:$J$33,7,0)="","",VLOOKUP(AE$2,行为概览!$D$3:$J$33,7,0))</f>
        <v/>
      </c>
      <c r="AF80" s="1">
        <f>IF(C80="","",ROUND(C80*玩法行为规划!B80,2))</f>
        <v>16.670000000000002</v>
      </c>
      <c r="AG80" s="2">
        <f>IF(D80="","",ROUND(D80*玩法行为规划!C80,2))</f>
        <v>6.6</v>
      </c>
      <c r="AH80" s="2">
        <f>IF(E80="","",ROUND(E80*玩法行为规划!D80,2))</f>
        <v>2.5</v>
      </c>
      <c r="AI80" s="2">
        <f>IF(F80="","",ROUND(F80*玩法行为规划!E80,2))</f>
        <v>15</v>
      </c>
      <c r="AJ80" s="2" t="str">
        <f>IF(G80="","",ROUND(G80*玩法行为规划!F80,2))</f>
        <v/>
      </c>
      <c r="AK80" s="2" t="str">
        <f>IF(H80="","",ROUND(H80*玩法行为规划!G80,2))</f>
        <v/>
      </c>
      <c r="AL80" s="2" t="str">
        <f>IF(I80="","",ROUND(I80*玩法行为规划!H80,2))</f>
        <v/>
      </c>
      <c r="AM80" s="2" t="str">
        <f>IF(J80="","",ROUND(J80*玩法行为规划!I80,2))</f>
        <v/>
      </c>
      <c r="AN80" s="2">
        <f>IF(K80="","",ROUND(K80*玩法行为规划!J80,2))</f>
        <v>10</v>
      </c>
      <c r="AO80" s="2">
        <f>IF(L80="","",ROUND(L80*玩法行为规划!K80,2))</f>
        <v>3.33</v>
      </c>
      <c r="AP80" s="2">
        <f>IF(M80="","",ROUND(M80*玩法行为规划!L80,2))</f>
        <v>20</v>
      </c>
      <c r="AQ80" s="2">
        <f>IF(N80="","",ROUND(N80*玩法行为规划!M80,2))</f>
        <v>12</v>
      </c>
      <c r="AR80" s="2">
        <f>IF(O80="","",ROUND(O80*玩法行为规划!N80,2))</f>
        <v>12.5</v>
      </c>
      <c r="AS80" s="2">
        <f>IF(P80="","",ROUND(P80*玩法行为规划!O80,2))</f>
        <v>0.83</v>
      </c>
      <c r="AT80" s="2">
        <f>IF(Q80="","",ROUND(Q80*玩法行为规划!P80,2))</f>
        <v>52</v>
      </c>
      <c r="AU80" s="2">
        <f>IF(R80="","",ROUND(R80*玩法行为规划!Q80,2))</f>
        <v>6</v>
      </c>
      <c r="AV80" s="2">
        <f>IF(S80="","",ROUND(S80*玩法行为规划!R80,2))</f>
        <v>6.67</v>
      </c>
      <c r="AW80" s="2">
        <f>IF(T80="","",ROUND(T80*玩法行为规划!S80,2))</f>
        <v>0</v>
      </c>
      <c r="AX80" s="2">
        <f>IF(U80="","",ROUND(U80*玩法行为规划!T80,2))</f>
        <v>5</v>
      </c>
      <c r="AY80" s="2">
        <f>IF(V80="","",ROUND(V80*玩法行为规划!U80,2))</f>
        <v>6.67</v>
      </c>
      <c r="AZ80" s="2">
        <f>IF(W80="","",ROUND(W80*玩法行为规划!V80,2))</f>
        <v>2.5</v>
      </c>
      <c r="BA80" s="2">
        <f>IF(X80="","",ROUND(X80*玩法行为规划!W80,2))</f>
        <v>5</v>
      </c>
      <c r="BB80" s="2">
        <f>IF(Y80="","",ROUND(Y80*玩法行为规划!X80,2))</f>
        <v>6.25</v>
      </c>
      <c r="BC80" s="2">
        <f>IF(Z80="","",ROUND(Z80*玩法行为规划!Y80,2))</f>
        <v>8.75</v>
      </c>
      <c r="BD80" s="2">
        <f>IF(AA80="","",ROUND(AA80*玩法行为规划!Z80,2))</f>
        <v>2.5</v>
      </c>
      <c r="BE80" s="2" t="str">
        <f>IF(AB80="","",ROUND(AB80*玩法行为规划!AA80,2))</f>
        <v/>
      </c>
      <c r="BF80" s="2" t="str">
        <f>IF(AC80="","",ROUND(AC80*玩法行为规划!AB80,2))</f>
        <v/>
      </c>
      <c r="BG80" s="2" t="str">
        <f>IF(AD80="","",ROUND(AD80*玩法行为规划!AC80,2))</f>
        <v/>
      </c>
      <c r="BH80" s="3" t="str">
        <f>IF(AE80="","",ROUND(AE80*玩法行为规划!AD80,2))</f>
        <v/>
      </c>
      <c r="BI80" s="7">
        <f t="shared" si="11"/>
        <v>200.76999999999998</v>
      </c>
      <c r="BJ80" s="7">
        <f t="shared" si="12"/>
        <v>6264023.9999999991</v>
      </c>
      <c r="BK80" s="69">
        <f t="shared" si="15"/>
        <v>1834600</v>
      </c>
      <c r="BL80" s="21" t="str">
        <f t="shared" si="16"/>
        <v/>
      </c>
      <c r="BM80" s="7">
        <f t="shared" si="13"/>
        <v>3.2349627922853071E-2</v>
      </c>
      <c r="BN80" s="69">
        <f>INT(BJ80*升级节奏!G80+BK80)</f>
        <v>56711626</v>
      </c>
      <c r="BO80" s="7">
        <f t="shared" si="14"/>
        <v>347</v>
      </c>
      <c r="BP80" s="7"/>
    </row>
    <row r="81" spans="1:68">
      <c r="A81" s="29">
        <v>79</v>
      </c>
      <c r="B81" s="84">
        <f>升级节奏!C81</f>
        <v>31600</v>
      </c>
      <c r="C81" s="53">
        <f>IF(VLOOKUP(C$2,行为概览!$D$3:$J$33,7,0)="","",VLOOKUP(C$2,行为概览!$D$3:$J$33,7,0))</f>
        <v>50</v>
      </c>
      <c r="D81" s="53">
        <f>IF(VLOOKUP(D$2,行为概览!$D$3:$J$33,7,0)="","",VLOOKUP(D$2,行为概览!$D$3:$J$33,7,0))</f>
        <v>3.3</v>
      </c>
      <c r="E81" s="53">
        <f>IF(VLOOKUP(E$2,行为概览!$D$3:$J$33,7,0)="","",VLOOKUP(E$2,行为概览!$D$3:$J$33,7,0))</f>
        <v>30</v>
      </c>
      <c r="F81" s="53">
        <f>IF(VLOOKUP(F$2,行为概览!$D$3:$J$33,7,0)="","",VLOOKUP(F$2,行为概览!$D$3:$J$33,7,0))</f>
        <v>15</v>
      </c>
      <c r="G81" s="53" t="str">
        <f>IF(VLOOKUP(G$2,行为概览!$D$3:$J$33,7,0)="","",VLOOKUP(G$2,行为概览!$D$3:$J$33,7,0))</f>
        <v/>
      </c>
      <c r="H81" s="53" t="str">
        <f>IF(VLOOKUP(H$2,行为概览!$D$3:$J$33,7,0)="","",VLOOKUP(H$2,行为概览!$D$3:$J$33,7,0))</f>
        <v/>
      </c>
      <c r="I81" s="53" t="str">
        <f>IF(VLOOKUP(I$2,行为概览!$D$3:$J$33,7,0)="","",VLOOKUP(I$2,行为概览!$D$3:$J$33,7,0))</f>
        <v/>
      </c>
      <c r="J81" s="53" t="str">
        <f>IF(VLOOKUP(J$2,行为概览!$D$3:$J$33,7,0)="","",VLOOKUP(J$2,行为概览!$D$3:$J$33,7,0))</f>
        <v/>
      </c>
      <c r="K81" s="53">
        <f>IF(VLOOKUP(K$2,行为概览!$D$3:$J$33,7,0)="","",VLOOKUP(K$2,行为概览!$D$3:$J$33,7,0))</f>
        <v>20</v>
      </c>
      <c r="L81" s="53">
        <f>IF(VLOOKUP(L$2,行为概览!$D$3:$J$33,7,0)="","",VLOOKUP(L$2,行为概览!$D$3:$J$33,7,0))</f>
        <v>20</v>
      </c>
      <c r="M81" s="53">
        <f>IF(VLOOKUP(M$2,行为概览!$D$3:$J$33,7,0)="","",VLOOKUP(M$2,行为概览!$D$3:$J$33,7,0))</f>
        <v>40</v>
      </c>
      <c r="N81" s="53">
        <f>IF(VLOOKUP(N$2,行为概览!$D$3:$J$33,7,0)="","",VLOOKUP(N$2,行为概览!$D$3:$J$33,7,0))</f>
        <v>1</v>
      </c>
      <c r="O81" s="53">
        <f>IF(VLOOKUP(O$2,行为概览!$D$3:$J$33,7,0)="","",VLOOKUP(O$2,行为概览!$D$3:$J$33,7,0))</f>
        <v>150</v>
      </c>
      <c r="P81" s="53">
        <f>IF(VLOOKUP(P$2,行为概览!$D$3:$J$33,7,0)="","",VLOOKUP(P$2,行为概览!$D$3:$J$33,7,0))</f>
        <v>10</v>
      </c>
      <c r="Q81" s="53">
        <f>IF(VLOOKUP(Q$2,行为概览!$D$3:$J$33,7,0)="","",VLOOKUP(Q$2,行为概览!$D$3:$J$33,7,0))</f>
        <v>20</v>
      </c>
      <c r="R81" s="53">
        <f>IF(VLOOKUP(R$2,行为概览!$D$3:$J$33,7,0)="","",VLOOKUP(R$2,行为概览!$D$3:$J$33,7,0))</f>
        <v>6</v>
      </c>
      <c r="S81" s="53">
        <f>IF(VLOOKUP(S$2,行为概览!$D$3:$J$33,7,0)="","",VLOOKUP(S$2,行为概览!$D$3:$J$33,7,0))</f>
        <v>20</v>
      </c>
      <c r="T81" s="53">
        <f>IF(VLOOKUP(T$2,行为概览!$D$3:$J$33,7,0)="","",VLOOKUP(T$2,行为概览!$D$3:$J$33,7,0))</f>
        <v>15</v>
      </c>
      <c r="U81" s="53">
        <f>IF(VLOOKUP(U$2,行为概览!$D$3:$J$33,7,0)="","",VLOOKUP(U$2,行为概览!$D$3:$J$33,7,0))</f>
        <v>15</v>
      </c>
      <c r="V81" s="53">
        <f>IF(VLOOKUP(V$2,行为概览!$D$3:$J$33,7,0)="","",VLOOKUP(V$2,行为概览!$D$3:$J$33,7,0))</f>
        <v>40</v>
      </c>
      <c r="W81" s="53">
        <f>IF(VLOOKUP(W$2,行为概览!$D$3:$J$33,7,0)="","",VLOOKUP(W$2,行为概览!$D$3:$J$33,7,0))</f>
        <v>15</v>
      </c>
      <c r="X81" s="53">
        <f>IF(VLOOKUP(X$2,行为概览!$D$3:$J$33,7,0)="","",VLOOKUP(X$2,行为概览!$D$3:$J$33,7,0))</f>
        <v>30</v>
      </c>
      <c r="Y81" s="53">
        <f>IF(VLOOKUP(Y$2,行为概览!$D$3:$J$33,7,0)="","",VLOOKUP(Y$2,行为概览!$D$3:$J$33,7,0))</f>
        <v>25</v>
      </c>
      <c r="Z81" s="53">
        <f>IF(VLOOKUP(Z$2,行为概览!$D$3:$J$33,7,0)="","",VLOOKUP(Z$2,行为概览!$D$3:$J$33,7,0))</f>
        <v>15</v>
      </c>
      <c r="AA81" s="53">
        <f>IF(VLOOKUP(AA$2,行为概览!$D$3:$J$33,7,0)="","",VLOOKUP(AA$2,行为概览!$D$3:$J$33,7,0))</f>
        <v>15</v>
      </c>
      <c r="AB81" s="53" t="str">
        <f>IF(VLOOKUP(AB$2,行为概览!$D$3:$J$33,7,0)="","",VLOOKUP(AB$2,行为概览!$D$3:$J$33,7,0))</f>
        <v/>
      </c>
      <c r="AC81" s="53" t="str">
        <f>IF(VLOOKUP(AC$2,行为概览!$D$3:$J$33,7,0)="","",VLOOKUP(AC$2,行为概览!$D$3:$J$33,7,0))</f>
        <v/>
      </c>
      <c r="AD81" s="53" t="str">
        <f>IF(VLOOKUP(AD$2,行为概览!$D$3:$J$33,7,0)="","",VLOOKUP(AD$2,行为概览!$D$3:$J$33,7,0))</f>
        <v/>
      </c>
      <c r="AE81" s="68" t="str">
        <f>IF(VLOOKUP(AE$2,行为概览!$D$3:$J$33,7,0)="","",VLOOKUP(AE$2,行为概览!$D$3:$J$33,7,0))</f>
        <v/>
      </c>
      <c r="AF81" s="1">
        <f>IF(C81="","",ROUND(C81*玩法行为规划!B81,2))</f>
        <v>16.670000000000002</v>
      </c>
      <c r="AG81" s="2">
        <f>IF(D81="","",ROUND(D81*玩法行为规划!C81,2))</f>
        <v>6.6</v>
      </c>
      <c r="AH81" s="2">
        <f>IF(E81="","",ROUND(E81*玩法行为规划!D81,2))</f>
        <v>2.5</v>
      </c>
      <c r="AI81" s="2">
        <f>IF(F81="","",ROUND(F81*玩法行为规划!E81,2))</f>
        <v>15</v>
      </c>
      <c r="AJ81" s="2" t="str">
        <f>IF(G81="","",ROUND(G81*玩法行为规划!F81,2))</f>
        <v/>
      </c>
      <c r="AK81" s="2" t="str">
        <f>IF(H81="","",ROUND(H81*玩法行为规划!G81,2))</f>
        <v/>
      </c>
      <c r="AL81" s="2" t="str">
        <f>IF(I81="","",ROUND(I81*玩法行为规划!H81,2))</f>
        <v/>
      </c>
      <c r="AM81" s="2" t="str">
        <f>IF(J81="","",ROUND(J81*玩法行为规划!I81,2))</f>
        <v/>
      </c>
      <c r="AN81" s="2">
        <f>IF(K81="","",ROUND(K81*玩法行为规划!J81,2))</f>
        <v>10</v>
      </c>
      <c r="AO81" s="2">
        <f>IF(L81="","",ROUND(L81*玩法行为规划!K81,2))</f>
        <v>3.33</v>
      </c>
      <c r="AP81" s="2">
        <f>IF(M81="","",ROUND(M81*玩法行为规划!L81,2))</f>
        <v>20</v>
      </c>
      <c r="AQ81" s="2">
        <f>IF(N81="","",ROUND(N81*玩法行为规划!M81,2))</f>
        <v>12</v>
      </c>
      <c r="AR81" s="2">
        <f>IF(O81="","",ROUND(O81*玩法行为规划!N81,2))</f>
        <v>12.5</v>
      </c>
      <c r="AS81" s="2">
        <f>IF(P81="","",ROUND(P81*玩法行为规划!O81,2))</f>
        <v>0.83</v>
      </c>
      <c r="AT81" s="2">
        <f>IF(Q81="","",ROUND(Q81*玩法行为规划!P81,2))</f>
        <v>52</v>
      </c>
      <c r="AU81" s="2">
        <f>IF(R81="","",ROUND(R81*玩法行为规划!Q81,2))</f>
        <v>6</v>
      </c>
      <c r="AV81" s="2">
        <f>IF(S81="","",ROUND(S81*玩法行为规划!R81,2))</f>
        <v>6.67</v>
      </c>
      <c r="AW81" s="2">
        <f>IF(T81="","",ROUND(T81*玩法行为规划!S81,2))</f>
        <v>0</v>
      </c>
      <c r="AX81" s="2">
        <f>IF(U81="","",ROUND(U81*玩法行为规划!T81,2))</f>
        <v>5</v>
      </c>
      <c r="AY81" s="2">
        <f>IF(V81="","",ROUND(V81*玩法行为规划!U81,2))</f>
        <v>6.67</v>
      </c>
      <c r="AZ81" s="2">
        <f>IF(W81="","",ROUND(W81*玩法行为规划!V81,2))</f>
        <v>2.5</v>
      </c>
      <c r="BA81" s="2">
        <f>IF(X81="","",ROUND(X81*玩法行为规划!W81,2))</f>
        <v>5</v>
      </c>
      <c r="BB81" s="2">
        <f>IF(Y81="","",ROUND(Y81*玩法行为规划!X81,2))</f>
        <v>6.25</v>
      </c>
      <c r="BC81" s="2">
        <f>IF(Z81="","",ROUND(Z81*玩法行为规划!Y81,2))</f>
        <v>8.75</v>
      </c>
      <c r="BD81" s="2">
        <f>IF(AA81="","",ROUND(AA81*玩法行为规划!Z81,2))</f>
        <v>2.5</v>
      </c>
      <c r="BE81" s="2" t="str">
        <f>IF(AB81="","",ROUND(AB81*玩法行为规划!AA81,2))</f>
        <v/>
      </c>
      <c r="BF81" s="2" t="str">
        <f>IF(AC81="","",ROUND(AC81*玩法行为规划!AB81,2))</f>
        <v/>
      </c>
      <c r="BG81" s="2" t="str">
        <f>IF(AD81="","",ROUND(AD81*玩法行为规划!AC81,2))</f>
        <v/>
      </c>
      <c r="BH81" s="3" t="str">
        <f>IF(AE81="","",ROUND(AE81*玩法行为规划!AD81,2))</f>
        <v/>
      </c>
      <c r="BI81" s="7">
        <f t="shared" si="11"/>
        <v>200.76999999999998</v>
      </c>
      <c r="BJ81" s="7">
        <f t="shared" si="12"/>
        <v>6344331.9999999991</v>
      </c>
      <c r="BK81" s="69">
        <f t="shared" si="15"/>
        <v>1892800</v>
      </c>
      <c r="BL81" s="21" t="str">
        <f t="shared" si="16"/>
        <v/>
      </c>
      <c r="BM81" s="7">
        <f t="shared" si="13"/>
        <v>3.2144302649070602E-2</v>
      </c>
      <c r="BN81" s="69">
        <f>INT(BJ81*升级节奏!G81+BK81)</f>
        <v>58884463</v>
      </c>
      <c r="BO81" s="7">
        <f t="shared" si="14"/>
        <v>351</v>
      </c>
      <c r="BP81" s="7"/>
    </row>
    <row r="82" spans="1:68">
      <c r="A82" s="29">
        <v>80</v>
      </c>
      <c r="B82" s="84">
        <f>升级节奏!C82</f>
        <v>32000</v>
      </c>
      <c r="C82" s="53">
        <f>IF(VLOOKUP(C$2,行为概览!$D$3:$J$33,7,0)="","",VLOOKUP(C$2,行为概览!$D$3:$J$33,7,0))</f>
        <v>50</v>
      </c>
      <c r="D82" s="53">
        <f>IF(VLOOKUP(D$2,行为概览!$D$3:$J$33,7,0)="","",VLOOKUP(D$2,行为概览!$D$3:$J$33,7,0))</f>
        <v>3.3</v>
      </c>
      <c r="E82" s="53">
        <f>IF(VLOOKUP(E$2,行为概览!$D$3:$J$33,7,0)="","",VLOOKUP(E$2,行为概览!$D$3:$J$33,7,0))</f>
        <v>30</v>
      </c>
      <c r="F82" s="53">
        <f>IF(VLOOKUP(F$2,行为概览!$D$3:$J$33,7,0)="","",VLOOKUP(F$2,行为概览!$D$3:$J$33,7,0))</f>
        <v>15</v>
      </c>
      <c r="G82" s="53" t="str">
        <f>IF(VLOOKUP(G$2,行为概览!$D$3:$J$33,7,0)="","",VLOOKUP(G$2,行为概览!$D$3:$J$33,7,0))</f>
        <v/>
      </c>
      <c r="H82" s="53" t="str">
        <f>IF(VLOOKUP(H$2,行为概览!$D$3:$J$33,7,0)="","",VLOOKUP(H$2,行为概览!$D$3:$J$33,7,0))</f>
        <v/>
      </c>
      <c r="I82" s="53" t="str">
        <f>IF(VLOOKUP(I$2,行为概览!$D$3:$J$33,7,0)="","",VLOOKUP(I$2,行为概览!$D$3:$J$33,7,0))</f>
        <v/>
      </c>
      <c r="J82" s="53" t="str">
        <f>IF(VLOOKUP(J$2,行为概览!$D$3:$J$33,7,0)="","",VLOOKUP(J$2,行为概览!$D$3:$J$33,7,0))</f>
        <v/>
      </c>
      <c r="K82" s="53">
        <f>IF(VLOOKUP(K$2,行为概览!$D$3:$J$33,7,0)="","",VLOOKUP(K$2,行为概览!$D$3:$J$33,7,0))</f>
        <v>20</v>
      </c>
      <c r="L82" s="53">
        <f>IF(VLOOKUP(L$2,行为概览!$D$3:$J$33,7,0)="","",VLOOKUP(L$2,行为概览!$D$3:$J$33,7,0))</f>
        <v>20</v>
      </c>
      <c r="M82" s="53">
        <f>IF(VLOOKUP(M$2,行为概览!$D$3:$J$33,7,0)="","",VLOOKUP(M$2,行为概览!$D$3:$J$33,7,0))</f>
        <v>40</v>
      </c>
      <c r="N82" s="53">
        <f>IF(VLOOKUP(N$2,行为概览!$D$3:$J$33,7,0)="","",VLOOKUP(N$2,行为概览!$D$3:$J$33,7,0))</f>
        <v>1</v>
      </c>
      <c r="O82" s="53">
        <f>IF(VLOOKUP(O$2,行为概览!$D$3:$J$33,7,0)="","",VLOOKUP(O$2,行为概览!$D$3:$J$33,7,0))</f>
        <v>150</v>
      </c>
      <c r="P82" s="53">
        <f>IF(VLOOKUP(P$2,行为概览!$D$3:$J$33,7,0)="","",VLOOKUP(P$2,行为概览!$D$3:$J$33,7,0))</f>
        <v>10</v>
      </c>
      <c r="Q82" s="53">
        <f>IF(VLOOKUP(Q$2,行为概览!$D$3:$J$33,7,0)="","",VLOOKUP(Q$2,行为概览!$D$3:$J$33,7,0))</f>
        <v>20</v>
      </c>
      <c r="R82" s="53">
        <f>IF(VLOOKUP(R$2,行为概览!$D$3:$J$33,7,0)="","",VLOOKUP(R$2,行为概览!$D$3:$J$33,7,0))</f>
        <v>6</v>
      </c>
      <c r="S82" s="53">
        <f>IF(VLOOKUP(S$2,行为概览!$D$3:$J$33,7,0)="","",VLOOKUP(S$2,行为概览!$D$3:$J$33,7,0))</f>
        <v>20</v>
      </c>
      <c r="T82" s="53">
        <f>IF(VLOOKUP(T$2,行为概览!$D$3:$J$33,7,0)="","",VLOOKUP(T$2,行为概览!$D$3:$J$33,7,0))</f>
        <v>15</v>
      </c>
      <c r="U82" s="53">
        <f>IF(VLOOKUP(U$2,行为概览!$D$3:$J$33,7,0)="","",VLOOKUP(U$2,行为概览!$D$3:$J$33,7,0))</f>
        <v>15</v>
      </c>
      <c r="V82" s="53">
        <f>IF(VLOOKUP(V$2,行为概览!$D$3:$J$33,7,0)="","",VLOOKUP(V$2,行为概览!$D$3:$J$33,7,0))</f>
        <v>40</v>
      </c>
      <c r="W82" s="53">
        <f>IF(VLOOKUP(W$2,行为概览!$D$3:$J$33,7,0)="","",VLOOKUP(W$2,行为概览!$D$3:$J$33,7,0))</f>
        <v>15</v>
      </c>
      <c r="X82" s="53">
        <f>IF(VLOOKUP(X$2,行为概览!$D$3:$J$33,7,0)="","",VLOOKUP(X$2,行为概览!$D$3:$J$33,7,0))</f>
        <v>30</v>
      </c>
      <c r="Y82" s="53">
        <f>IF(VLOOKUP(Y$2,行为概览!$D$3:$J$33,7,0)="","",VLOOKUP(Y$2,行为概览!$D$3:$J$33,7,0))</f>
        <v>25</v>
      </c>
      <c r="Z82" s="53">
        <f>IF(VLOOKUP(Z$2,行为概览!$D$3:$J$33,7,0)="","",VLOOKUP(Z$2,行为概览!$D$3:$J$33,7,0))</f>
        <v>15</v>
      </c>
      <c r="AA82" s="53">
        <f>IF(VLOOKUP(AA$2,行为概览!$D$3:$J$33,7,0)="","",VLOOKUP(AA$2,行为概览!$D$3:$J$33,7,0))</f>
        <v>15</v>
      </c>
      <c r="AB82" s="53" t="str">
        <f>IF(VLOOKUP(AB$2,行为概览!$D$3:$J$33,7,0)="","",VLOOKUP(AB$2,行为概览!$D$3:$J$33,7,0))</f>
        <v/>
      </c>
      <c r="AC82" s="53" t="str">
        <f>IF(VLOOKUP(AC$2,行为概览!$D$3:$J$33,7,0)="","",VLOOKUP(AC$2,行为概览!$D$3:$J$33,7,0))</f>
        <v/>
      </c>
      <c r="AD82" s="53" t="str">
        <f>IF(VLOOKUP(AD$2,行为概览!$D$3:$J$33,7,0)="","",VLOOKUP(AD$2,行为概览!$D$3:$J$33,7,0))</f>
        <v/>
      </c>
      <c r="AE82" s="68" t="str">
        <f>IF(VLOOKUP(AE$2,行为概览!$D$3:$J$33,7,0)="","",VLOOKUP(AE$2,行为概览!$D$3:$J$33,7,0))</f>
        <v/>
      </c>
      <c r="AF82" s="1">
        <f>IF(C82="","",ROUND(C82*玩法行为规划!B82,2))</f>
        <v>16.670000000000002</v>
      </c>
      <c r="AG82" s="2">
        <f>IF(D82="","",ROUND(D82*玩法行为规划!C82,2))</f>
        <v>6.6</v>
      </c>
      <c r="AH82" s="2">
        <f>IF(E82="","",ROUND(E82*玩法行为规划!D82,2))</f>
        <v>2.5</v>
      </c>
      <c r="AI82" s="2">
        <f>IF(F82="","",ROUND(F82*玩法行为规划!E82,2))</f>
        <v>15</v>
      </c>
      <c r="AJ82" s="2" t="str">
        <f>IF(G82="","",ROUND(G82*玩法行为规划!F82,2))</f>
        <v/>
      </c>
      <c r="AK82" s="2" t="str">
        <f>IF(H82="","",ROUND(H82*玩法行为规划!G82,2))</f>
        <v/>
      </c>
      <c r="AL82" s="2" t="str">
        <f>IF(I82="","",ROUND(I82*玩法行为规划!H82,2))</f>
        <v/>
      </c>
      <c r="AM82" s="2" t="str">
        <f>IF(J82="","",ROUND(J82*玩法行为规划!I82,2))</f>
        <v/>
      </c>
      <c r="AN82" s="2">
        <f>IF(K82="","",ROUND(K82*玩法行为规划!J82,2))</f>
        <v>10</v>
      </c>
      <c r="AO82" s="2">
        <f>IF(L82="","",ROUND(L82*玩法行为规划!K82,2))</f>
        <v>3.33</v>
      </c>
      <c r="AP82" s="2">
        <f>IF(M82="","",ROUND(M82*玩法行为规划!L82,2))</f>
        <v>20</v>
      </c>
      <c r="AQ82" s="2">
        <f>IF(N82="","",ROUND(N82*玩法行为规划!M82,2))</f>
        <v>12</v>
      </c>
      <c r="AR82" s="2">
        <f>IF(O82="","",ROUND(O82*玩法行为规划!N82,2))</f>
        <v>12.5</v>
      </c>
      <c r="AS82" s="2">
        <f>IF(P82="","",ROUND(P82*玩法行为规划!O82,2))</f>
        <v>0.83</v>
      </c>
      <c r="AT82" s="2">
        <f>IF(Q82="","",ROUND(Q82*玩法行为规划!P82,2))</f>
        <v>52</v>
      </c>
      <c r="AU82" s="2">
        <f>IF(R82="","",ROUND(R82*玩法行为规划!Q82,2))</f>
        <v>6</v>
      </c>
      <c r="AV82" s="2">
        <f>IF(S82="","",ROUND(S82*玩法行为规划!R82,2))</f>
        <v>6.67</v>
      </c>
      <c r="AW82" s="2">
        <f>IF(T82="","",ROUND(T82*玩法行为规划!S82,2))</f>
        <v>0</v>
      </c>
      <c r="AX82" s="2">
        <f>IF(U82="","",ROUND(U82*玩法行为规划!T82,2))</f>
        <v>5</v>
      </c>
      <c r="AY82" s="2">
        <f>IF(V82="","",ROUND(V82*玩法行为规划!U82,2))</f>
        <v>6.67</v>
      </c>
      <c r="AZ82" s="2">
        <f>IF(W82="","",ROUND(W82*玩法行为规划!V82,2))</f>
        <v>2.5</v>
      </c>
      <c r="BA82" s="2">
        <f>IF(X82="","",ROUND(X82*玩法行为规划!W82,2))</f>
        <v>5</v>
      </c>
      <c r="BB82" s="2">
        <f>IF(Y82="","",ROUND(Y82*玩法行为规划!X82,2))</f>
        <v>6.25</v>
      </c>
      <c r="BC82" s="2">
        <f>IF(Z82="","",ROUND(Z82*玩法行为规划!Y82,2))</f>
        <v>8.75</v>
      </c>
      <c r="BD82" s="2">
        <f>IF(AA82="","",ROUND(AA82*玩法行为规划!Z82,2))</f>
        <v>2.5</v>
      </c>
      <c r="BE82" s="2" t="str">
        <f>IF(AB82="","",ROUND(AB82*玩法行为规划!AA82,2))</f>
        <v/>
      </c>
      <c r="BF82" s="2" t="str">
        <f>IF(AC82="","",ROUND(AC82*玩法行为规划!AB82,2))</f>
        <v/>
      </c>
      <c r="BG82" s="2" t="str">
        <f>IF(AD82="","",ROUND(AD82*玩法行为规划!AC82,2))</f>
        <v/>
      </c>
      <c r="BH82" s="3" t="str">
        <f>IF(AE82="","",ROUND(AE82*玩法行为规划!AD82,2))</f>
        <v/>
      </c>
      <c r="BI82" s="7">
        <f t="shared" si="11"/>
        <v>200.76999999999998</v>
      </c>
      <c r="BJ82" s="7">
        <f t="shared" si="12"/>
        <v>6424639.9999999991</v>
      </c>
      <c r="BK82" s="69">
        <f t="shared" si="15"/>
        <v>1952000</v>
      </c>
      <c r="BL82" s="21">
        <f t="shared" si="16"/>
        <v>22327400</v>
      </c>
      <c r="BM82" s="7">
        <f t="shared" si="13"/>
        <v>3.1941235457533489E-2</v>
      </c>
      <c r="BN82" s="69">
        <f>INT(BJ82*升级节奏!G82+BK82)</f>
        <v>61112226</v>
      </c>
      <c r="BO82" s="7">
        <f t="shared" si="14"/>
        <v>356</v>
      </c>
      <c r="BP82" s="7"/>
    </row>
    <row r="83" spans="1:68">
      <c r="A83" s="29">
        <v>81</v>
      </c>
      <c r="B83" s="84">
        <f>升级节奏!C83</f>
        <v>32400</v>
      </c>
      <c r="C83" s="53">
        <f>IF(VLOOKUP(C$2,行为概览!$D$3:$J$33,7,0)="","",VLOOKUP(C$2,行为概览!$D$3:$J$33,7,0))</f>
        <v>50</v>
      </c>
      <c r="D83" s="53">
        <f>IF(VLOOKUP(D$2,行为概览!$D$3:$J$33,7,0)="","",VLOOKUP(D$2,行为概览!$D$3:$J$33,7,0))</f>
        <v>3.3</v>
      </c>
      <c r="E83" s="53">
        <f>IF(VLOOKUP(E$2,行为概览!$D$3:$J$33,7,0)="","",VLOOKUP(E$2,行为概览!$D$3:$J$33,7,0))</f>
        <v>30</v>
      </c>
      <c r="F83" s="53">
        <f>IF(VLOOKUP(F$2,行为概览!$D$3:$J$33,7,0)="","",VLOOKUP(F$2,行为概览!$D$3:$J$33,7,0))</f>
        <v>15</v>
      </c>
      <c r="G83" s="53" t="str">
        <f>IF(VLOOKUP(G$2,行为概览!$D$3:$J$33,7,0)="","",VLOOKUP(G$2,行为概览!$D$3:$J$33,7,0))</f>
        <v/>
      </c>
      <c r="H83" s="53" t="str">
        <f>IF(VLOOKUP(H$2,行为概览!$D$3:$J$33,7,0)="","",VLOOKUP(H$2,行为概览!$D$3:$J$33,7,0))</f>
        <v/>
      </c>
      <c r="I83" s="53" t="str">
        <f>IF(VLOOKUP(I$2,行为概览!$D$3:$J$33,7,0)="","",VLOOKUP(I$2,行为概览!$D$3:$J$33,7,0))</f>
        <v/>
      </c>
      <c r="J83" s="53" t="str">
        <f>IF(VLOOKUP(J$2,行为概览!$D$3:$J$33,7,0)="","",VLOOKUP(J$2,行为概览!$D$3:$J$33,7,0))</f>
        <v/>
      </c>
      <c r="K83" s="53">
        <f>IF(VLOOKUP(K$2,行为概览!$D$3:$J$33,7,0)="","",VLOOKUP(K$2,行为概览!$D$3:$J$33,7,0))</f>
        <v>20</v>
      </c>
      <c r="L83" s="53">
        <f>IF(VLOOKUP(L$2,行为概览!$D$3:$J$33,7,0)="","",VLOOKUP(L$2,行为概览!$D$3:$J$33,7,0))</f>
        <v>20</v>
      </c>
      <c r="M83" s="53">
        <f>IF(VLOOKUP(M$2,行为概览!$D$3:$J$33,7,0)="","",VLOOKUP(M$2,行为概览!$D$3:$J$33,7,0))</f>
        <v>40</v>
      </c>
      <c r="N83" s="53">
        <f>IF(VLOOKUP(N$2,行为概览!$D$3:$J$33,7,0)="","",VLOOKUP(N$2,行为概览!$D$3:$J$33,7,0))</f>
        <v>1</v>
      </c>
      <c r="O83" s="53">
        <f>IF(VLOOKUP(O$2,行为概览!$D$3:$J$33,7,0)="","",VLOOKUP(O$2,行为概览!$D$3:$J$33,7,0))</f>
        <v>150</v>
      </c>
      <c r="P83" s="53">
        <f>IF(VLOOKUP(P$2,行为概览!$D$3:$J$33,7,0)="","",VLOOKUP(P$2,行为概览!$D$3:$J$33,7,0))</f>
        <v>10</v>
      </c>
      <c r="Q83" s="53">
        <f>IF(VLOOKUP(Q$2,行为概览!$D$3:$J$33,7,0)="","",VLOOKUP(Q$2,行为概览!$D$3:$J$33,7,0))</f>
        <v>20</v>
      </c>
      <c r="R83" s="53">
        <f>IF(VLOOKUP(R$2,行为概览!$D$3:$J$33,7,0)="","",VLOOKUP(R$2,行为概览!$D$3:$J$33,7,0))</f>
        <v>6</v>
      </c>
      <c r="S83" s="53">
        <f>IF(VLOOKUP(S$2,行为概览!$D$3:$J$33,7,0)="","",VLOOKUP(S$2,行为概览!$D$3:$J$33,7,0))</f>
        <v>20</v>
      </c>
      <c r="T83" s="53">
        <f>IF(VLOOKUP(T$2,行为概览!$D$3:$J$33,7,0)="","",VLOOKUP(T$2,行为概览!$D$3:$J$33,7,0))</f>
        <v>15</v>
      </c>
      <c r="U83" s="53">
        <f>IF(VLOOKUP(U$2,行为概览!$D$3:$J$33,7,0)="","",VLOOKUP(U$2,行为概览!$D$3:$J$33,7,0))</f>
        <v>15</v>
      </c>
      <c r="V83" s="53">
        <f>IF(VLOOKUP(V$2,行为概览!$D$3:$J$33,7,0)="","",VLOOKUP(V$2,行为概览!$D$3:$J$33,7,0))</f>
        <v>40</v>
      </c>
      <c r="W83" s="53">
        <f>IF(VLOOKUP(W$2,行为概览!$D$3:$J$33,7,0)="","",VLOOKUP(W$2,行为概览!$D$3:$J$33,7,0))</f>
        <v>15</v>
      </c>
      <c r="X83" s="53">
        <f>IF(VLOOKUP(X$2,行为概览!$D$3:$J$33,7,0)="","",VLOOKUP(X$2,行为概览!$D$3:$J$33,7,0))</f>
        <v>30</v>
      </c>
      <c r="Y83" s="53">
        <f>IF(VLOOKUP(Y$2,行为概览!$D$3:$J$33,7,0)="","",VLOOKUP(Y$2,行为概览!$D$3:$J$33,7,0))</f>
        <v>25</v>
      </c>
      <c r="Z83" s="53">
        <f>IF(VLOOKUP(Z$2,行为概览!$D$3:$J$33,7,0)="","",VLOOKUP(Z$2,行为概览!$D$3:$J$33,7,0))</f>
        <v>15</v>
      </c>
      <c r="AA83" s="53">
        <f>IF(VLOOKUP(AA$2,行为概览!$D$3:$J$33,7,0)="","",VLOOKUP(AA$2,行为概览!$D$3:$J$33,7,0))</f>
        <v>15</v>
      </c>
      <c r="AB83" s="53" t="str">
        <f>IF(VLOOKUP(AB$2,行为概览!$D$3:$J$33,7,0)="","",VLOOKUP(AB$2,行为概览!$D$3:$J$33,7,0))</f>
        <v/>
      </c>
      <c r="AC83" s="53" t="str">
        <f>IF(VLOOKUP(AC$2,行为概览!$D$3:$J$33,7,0)="","",VLOOKUP(AC$2,行为概览!$D$3:$J$33,7,0))</f>
        <v/>
      </c>
      <c r="AD83" s="53" t="str">
        <f>IF(VLOOKUP(AD$2,行为概览!$D$3:$J$33,7,0)="","",VLOOKUP(AD$2,行为概览!$D$3:$J$33,7,0))</f>
        <v/>
      </c>
      <c r="AE83" s="68" t="str">
        <f>IF(VLOOKUP(AE$2,行为概览!$D$3:$J$33,7,0)="","",VLOOKUP(AE$2,行为概览!$D$3:$J$33,7,0))</f>
        <v/>
      </c>
      <c r="AF83" s="1">
        <f>IF(C83="","",ROUND(C83*玩法行为规划!B83,2))</f>
        <v>16.670000000000002</v>
      </c>
      <c r="AG83" s="2">
        <f>IF(D83="","",ROUND(D83*玩法行为规划!C83,2))</f>
        <v>6.6</v>
      </c>
      <c r="AH83" s="2">
        <f>IF(E83="","",ROUND(E83*玩法行为规划!D83,2))</f>
        <v>2.5</v>
      </c>
      <c r="AI83" s="2">
        <f>IF(F83="","",ROUND(F83*玩法行为规划!E83,2))</f>
        <v>15</v>
      </c>
      <c r="AJ83" s="2" t="str">
        <f>IF(G83="","",ROUND(G83*玩法行为规划!F83,2))</f>
        <v/>
      </c>
      <c r="AK83" s="2" t="str">
        <f>IF(H83="","",ROUND(H83*玩法行为规划!G83,2))</f>
        <v/>
      </c>
      <c r="AL83" s="2" t="str">
        <f>IF(I83="","",ROUND(I83*玩法行为规划!H83,2))</f>
        <v/>
      </c>
      <c r="AM83" s="2" t="str">
        <f>IF(J83="","",ROUND(J83*玩法行为规划!I83,2))</f>
        <v/>
      </c>
      <c r="AN83" s="2">
        <f>IF(K83="","",ROUND(K83*玩法行为规划!J83,2))</f>
        <v>10</v>
      </c>
      <c r="AO83" s="2">
        <f>IF(L83="","",ROUND(L83*玩法行为规划!K83,2))</f>
        <v>3.33</v>
      </c>
      <c r="AP83" s="2">
        <f>IF(M83="","",ROUND(M83*玩法行为规划!L83,2))</f>
        <v>20</v>
      </c>
      <c r="AQ83" s="2">
        <f>IF(N83="","",ROUND(N83*玩法行为规划!M83,2))</f>
        <v>12</v>
      </c>
      <c r="AR83" s="2">
        <f>IF(O83="","",ROUND(O83*玩法行为规划!N83,2))</f>
        <v>12.5</v>
      </c>
      <c r="AS83" s="2">
        <f>IF(P83="","",ROUND(P83*玩法行为规划!O83,2))</f>
        <v>0.83</v>
      </c>
      <c r="AT83" s="2">
        <f>IF(Q83="","",ROUND(Q83*玩法行为规划!P83,2))</f>
        <v>52</v>
      </c>
      <c r="AU83" s="2">
        <f>IF(R83="","",ROUND(R83*玩法行为规划!Q83,2))</f>
        <v>6</v>
      </c>
      <c r="AV83" s="2">
        <f>IF(S83="","",ROUND(S83*玩法行为规划!R83,2))</f>
        <v>6.67</v>
      </c>
      <c r="AW83" s="2">
        <f>IF(T83="","",ROUND(T83*玩法行为规划!S83,2))</f>
        <v>0</v>
      </c>
      <c r="AX83" s="2">
        <f>IF(U83="","",ROUND(U83*玩法行为规划!T83,2))</f>
        <v>5</v>
      </c>
      <c r="AY83" s="2">
        <f>IF(V83="","",ROUND(V83*玩法行为规划!U83,2))</f>
        <v>6.67</v>
      </c>
      <c r="AZ83" s="2">
        <f>IF(W83="","",ROUND(W83*玩法行为规划!V83,2))</f>
        <v>2.5</v>
      </c>
      <c r="BA83" s="2">
        <f>IF(X83="","",ROUND(X83*玩法行为规划!W83,2))</f>
        <v>5</v>
      </c>
      <c r="BB83" s="2">
        <f>IF(Y83="","",ROUND(Y83*玩法行为规划!X83,2))</f>
        <v>6.25</v>
      </c>
      <c r="BC83" s="2">
        <f>IF(Z83="","",ROUND(Z83*玩法行为规划!Y83,2))</f>
        <v>8.75</v>
      </c>
      <c r="BD83" s="2">
        <f>IF(AA83="","",ROUND(AA83*玩法行为规划!Z83,2))</f>
        <v>2.5</v>
      </c>
      <c r="BE83" s="2" t="str">
        <f>IF(AB83="","",ROUND(AB83*玩法行为规划!AA83,2))</f>
        <v/>
      </c>
      <c r="BF83" s="2" t="str">
        <f>IF(AC83="","",ROUND(AC83*玩法行为规划!AB83,2))</f>
        <v/>
      </c>
      <c r="BG83" s="2" t="str">
        <f>IF(AD83="","",ROUND(AD83*玩法行为规划!AC83,2))</f>
        <v/>
      </c>
      <c r="BH83" s="3" t="str">
        <f>IF(AE83="","",ROUND(AE83*玩法行为规划!AD83,2))</f>
        <v/>
      </c>
      <c r="BI83" s="7">
        <f t="shared" si="11"/>
        <v>200.76999999999998</v>
      </c>
      <c r="BJ83" s="7">
        <f t="shared" si="12"/>
        <v>6504947.9999999991</v>
      </c>
      <c r="BK83" s="69">
        <f t="shared" si="15"/>
        <v>2012000</v>
      </c>
      <c r="BL83" s="21" t="str">
        <f t="shared" si="16"/>
        <v/>
      </c>
      <c r="BM83" s="7">
        <f t="shared" si="13"/>
        <v>3.1737318981145617E-2</v>
      </c>
      <c r="BN83" s="69">
        <f>INT(BJ83*升级节奏!G83+BK83)</f>
        <v>63395399</v>
      </c>
      <c r="BO83" s="7">
        <f t="shared" si="14"/>
        <v>360</v>
      </c>
      <c r="BP83" s="7"/>
    </row>
    <row r="84" spans="1:68">
      <c r="A84" s="29">
        <v>82</v>
      </c>
      <c r="B84" s="84">
        <f>升级节奏!C84</f>
        <v>32800</v>
      </c>
      <c r="C84" s="53">
        <f>IF(VLOOKUP(C$2,行为概览!$D$3:$J$33,7,0)="","",VLOOKUP(C$2,行为概览!$D$3:$J$33,7,0))</f>
        <v>50</v>
      </c>
      <c r="D84" s="53">
        <f>IF(VLOOKUP(D$2,行为概览!$D$3:$J$33,7,0)="","",VLOOKUP(D$2,行为概览!$D$3:$J$33,7,0))</f>
        <v>3.3</v>
      </c>
      <c r="E84" s="53">
        <f>IF(VLOOKUP(E$2,行为概览!$D$3:$J$33,7,0)="","",VLOOKUP(E$2,行为概览!$D$3:$J$33,7,0))</f>
        <v>30</v>
      </c>
      <c r="F84" s="53">
        <f>IF(VLOOKUP(F$2,行为概览!$D$3:$J$33,7,0)="","",VLOOKUP(F$2,行为概览!$D$3:$J$33,7,0))</f>
        <v>15</v>
      </c>
      <c r="G84" s="53" t="str">
        <f>IF(VLOOKUP(G$2,行为概览!$D$3:$J$33,7,0)="","",VLOOKUP(G$2,行为概览!$D$3:$J$33,7,0))</f>
        <v/>
      </c>
      <c r="H84" s="53" t="str">
        <f>IF(VLOOKUP(H$2,行为概览!$D$3:$J$33,7,0)="","",VLOOKUP(H$2,行为概览!$D$3:$J$33,7,0))</f>
        <v/>
      </c>
      <c r="I84" s="53" t="str">
        <f>IF(VLOOKUP(I$2,行为概览!$D$3:$J$33,7,0)="","",VLOOKUP(I$2,行为概览!$D$3:$J$33,7,0))</f>
        <v/>
      </c>
      <c r="J84" s="53" t="str">
        <f>IF(VLOOKUP(J$2,行为概览!$D$3:$J$33,7,0)="","",VLOOKUP(J$2,行为概览!$D$3:$J$33,7,0))</f>
        <v/>
      </c>
      <c r="K84" s="53">
        <f>IF(VLOOKUP(K$2,行为概览!$D$3:$J$33,7,0)="","",VLOOKUP(K$2,行为概览!$D$3:$J$33,7,0))</f>
        <v>20</v>
      </c>
      <c r="L84" s="53">
        <f>IF(VLOOKUP(L$2,行为概览!$D$3:$J$33,7,0)="","",VLOOKUP(L$2,行为概览!$D$3:$J$33,7,0))</f>
        <v>20</v>
      </c>
      <c r="M84" s="53">
        <f>IF(VLOOKUP(M$2,行为概览!$D$3:$J$33,7,0)="","",VLOOKUP(M$2,行为概览!$D$3:$J$33,7,0))</f>
        <v>40</v>
      </c>
      <c r="N84" s="53">
        <f>IF(VLOOKUP(N$2,行为概览!$D$3:$J$33,7,0)="","",VLOOKUP(N$2,行为概览!$D$3:$J$33,7,0))</f>
        <v>1</v>
      </c>
      <c r="O84" s="53">
        <f>IF(VLOOKUP(O$2,行为概览!$D$3:$J$33,7,0)="","",VLOOKUP(O$2,行为概览!$D$3:$J$33,7,0))</f>
        <v>150</v>
      </c>
      <c r="P84" s="53">
        <f>IF(VLOOKUP(P$2,行为概览!$D$3:$J$33,7,0)="","",VLOOKUP(P$2,行为概览!$D$3:$J$33,7,0))</f>
        <v>10</v>
      </c>
      <c r="Q84" s="53">
        <f>IF(VLOOKUP(Q$2,行为概览!$D$3:$J$33,7,0)="","",VLOOKUP(Q$2,行为概览!$D$3:$J$33,7,0))</f>
        <v>20</v>
      </c>
      <c r="R84" s="53">
        <f>IF(VLOOKUP(R$2,行为概览!$D$3:$J$33,7,0)="","",VLOOKUP(R$2,行为概览!$D$3:$J$33,7,0))</f>
        <v>6</v>
      </c>
      <c r="S84" s="53">
        <f>IF(VLOOKUP(S$2,行为概览!$D$3:$J$33,7,0)="","",VLOOKUP(S$2,行为概览!$D$3:$J$33,7,0))</f>
        <v>20</v>
      </c>
      <c r="T84" s="53">
        <f>IF(VLOOKUP(T$2,行为概览!$D$3:$J$33,7,0)="","",VLOOKUP(T$2,行为概览!$D$3:$J$33,7,0))</f>
        <v>15</v>
      </c>
      <c r="U84" s="53">
        <f>IF(VLOOKUP(U$2,行为概览!$D$3:$J$33,7,0)="","",VLOOKUP(U$2,行为概览!$D$3:$J$33,7,0))</f>
        <v>15</v>
      </c>
      <c r="V84" s="53">
        <f>IF(VLOOKUP(V$2,行为概览!$D$3:$J$33,7,0)="","",VLOOKUP(V$2,行为概览!$D$3:$J$33,7,0))</f>
        <v>40</v>
      </c>
      <c r="W84" s="53">
        <f>IF(VLOOKUP(W$2,行为概览!$D$3:$J$33,7,0)="","",VLOOKUP(W$2,行为概览!$D$3:$J$33,7,0))</f>
        <v>15</v>
      </c>
      <c r="X84" s="53">
        <f>IF(VLOOKUP(X$2,行为概览!$D$3:$J$33,7,0)="","",VLOOKUP(X$2,行为概览!$D$3:$J$33,7,0))</f>
        <v>30</v>
      </c>
      <c r="Y84" s="53">
        <f>IF(VLOOKUP(Y$2,行为概览!$D$3:$J$33,7,0)="","",VLOOKUP(Y$2,行为概览!$D$3:$J$33,7,0))</f>
        <v>25</v>
      </c>
      <c r="Z84" s="53">
        <f>IF(VLOOKUP(Z$2,行为概览!$D$3:$J$33,7,0)="","",VLOOKUP(Z$2,行为概览!$D$3:$J$33,7,0))</f>
        <v>15</v>
      </c>
      <c r="AA84" s="53">
        <f>IF(VLOOKUP(AA$2,行为概览!$D$3:$J$33,7,0)="","",VLOOKUP(AA$2,行为概览!$D$3:$J$33,7,0))</f>
        <v>15</v>
      </c>
      <c r="AB84" s="53" t="str">
        <f>IF(VLOOKUP(AB$2,行为概览!$D$3:$J$33,7,0)="","",VLOOKUP(AB$2,行为概览!$D$3:$J$33,7,0))</f>
        <v/>
      </c>
      <c r="AC84" s="53" t="str">
        <f>IF(VLOOKUP(AC$2,行为概览!$D$3:$J$33,7,0)="","",VLOOKUP(AC$2,行为概览!$D$3:$J$33,7,0))</f>
        <v/>
      </c>
      <c r="AD84" s="53" t="str">
        <f>IF(VLOOKUP(AD$2,行为概览!$D$3:$J$33,7,0)="","",VLOOKUP(AD$2,行为概览!$D$3:$J$33,7,0))</f>
        <v/>
      </c>
      <c r="AE84" s="68" t="str">
        <f>IF(VLOOKUP(AE$2,行为概览!$D$3:$J$33,7,0)="","",VLOOKUP(AE$2,行为概览!$D$3:$J$33,7,0))</f>
        <v/>
      </c>
      <c r="AF84" s="1">
        <f>IF(C84="","",ROUND(C84*玩法行为规划!B84,2))</f>
        <v>16.670000000000002</v>
      </c>
      <c r="AG84" s="2">
        <f>IF(D84="","",ROUND(D84*玩法行为规划!C84,2))</f>
        <v>6.6</v>
      </c>
      <c r="AH84" s="2">
        <f>IF(E84="","",ROUND(E84*玩法行为规划!D84,2))</f>
        <v>2.5</v>
      </c>
      <c r="AI84" s="2">
        <f>IF(F84="","",ROUND(F84*玩法行为规划!E84,2))</f>
        <v>15</v>
      </c>
      <c r="AJ84" s="2" t="str">
        <f>IF(G84="","",ROUND(G84*玩法行为规划!F84,2))</f>
        <v/>
      </c>
      <c r="AK84" s="2" t="str">
        <f>IF(H84="","",ROUND(H84*玩法行为规划!G84,2))</f>
        <v/>
      </c>
      <c r="AL84" s="2" t="str">
        <f>IF(I84="","",ROUND(I84*玩法行为规划!H84,2))</f>
        <v/>
      </c>
      <c r="AM84" s="2" t="str">
        <f>IF(J84="","",ROUND(J84*玩法行为规划!I84,2))</f>
        <v/>
      </c>
      <c r="AN84" s="2">
        <f>IF(K84="","",ROUND(K84*玩法行为规划!J84,2))</f>
        <v>10</v>
      </c>
      <c r="AO84" s="2">
        <f>IF(L84="","",ROUND(L84*玩法行为规划!K84,2))</f>
        <v>3.33</v>
      </c>
      <c r="AP84" s="2">
        <f>IF(M84="","",ROUND(M84*玩法行为规划!L84,2))</f>
        <v>20</v>
      </c>
      <c r="AQ84" s="2">
        <f>IF(N84="","",ROUND(N84*玩法行为规划!M84,2))</f>
        <v>12</v>
      </c>
      <c r="AR84" s="2">
        <f>IF(O84="","",ROUND(O84*玩法行为规划!N84,2))</f>
        <v>12.5</v>
      </c>
      <c r="AS84" s="2">
        <f>IF(P84="","",ROUND(P84*玩法行为规划!O84,2))</f>
        <v>0.83</v>
      </c>
      <c r="AT84" s="2">
        <f>IF(Q84="","",ROUND(Q84*玩法行为规划!P84,2))</f>
        <v>52</v>
      </c>
      <c r="AU84" s="2">
        <f>IF(R84="","",ROUND(R84*玩法行为规划!Q84,2))</f>
        <v>6</v>
      </c>
      <c r="AV84" s="2">
        <f>IF(S84="","",ROUND(S84*玩法行为规划!R84,2))</f>
        <v>6.67</v>
      </c>
      <c r="AW84" s="2">
        <f>IF(T84="","",ROUND(T84*玩法行为规划!S84,2))</f>
        <v>0</v>
      </c>
      <c r="AX84" s="2">
        <f>IF(U84="","",ROUND(U84*玩法行为规划!T84,2))</f>
        <v>5</v>
      </c>
      <c r="AY84" s="2">
        <f>IF(V84="","",ROUND(V84*玩法行为规划!U84,2))</f>
        <v>6.67</v>
      </c>
      <c r="AZ84" s="2">
        <f>IF(W84="","",ROUND(W84*玩法行为规划!V84,2))</f>
        <v>2.5</v>
      </c>
      <c r="BA84" s="2">
        <f>IF(X84="","",ROUND(X84*玩法行为规划!W84,2))</f>
        <v>5</v>
      </c>
      <c r="BB84" s="2">
        <f>IF(Y84="","",ROUND(Y84*玩法行为规划!X84,2))</f>
        <v>6.25</v>
      </c>
      <c r="BC84" s="2">
        <f>IF(Z84="","",ROUND(Z84*玩法行为规划!Y84,2))</f>
        <v>8.75</v>
      </c>
      <c r="BD84" s="2">
        <f>IF(AA84="","",ROUND(AA84*玩法行为规划!Z84,2))</f>
        <v>2.5</v>
      </c>
      <c r="BE84" s="2" t="str">
        <f>IF(AB84="","",ROUND(AB84*玩法行为规划!AA84,2))</f>
        <v/>
      </c>
      <c r="BF84" s="2" t="str">
        <f>IF(AC84="","",ROUND(AC84*玩法行为规划!AB84,2))</f>
        <v/>
      </c>
      <c r="BG84" s="2" t="str">
        <f>IF(AD84="","",ROUND(AD84*玩法行为规划!AC84,2))</f>
        <v/>
      </c>
      <c r="BH84" s="3" t="str">
        <f>IF(AE84="","",ROUND(AE84*玩法行为规划!AD84,2))</f>
        <v/>
      </c>
      <c r="BI84" s="7">
        <f t="shared" si="11"/>
        <v>200.76999999999998</v>
      </c>
      <c r="BJ84" s="7">
        <f t="shared" si="12"/>
        <v>6585255.9999999991</v>
      </c>
      <c r="BK84" s="69">
        <f t="shared" si="15"/>
        <v>2073000</v>
      </c>
      <c r="BL84" s="21" t="str">
        <f t="shared" si="16"/>
        <v/>
      </c>
      <c r="BM84" s="7">
        <f t="shared" si="13"/>
        <v>3.153577681395979E-2</v>
      </c>
      <c r="BN84" s="69">
        <f>INT(BJ84*升级节奏!G84+BK84)</f>
        <v>65734864</v>
      </c>
      <c r="BO84" s="7">
        <f t="shared" si="14"/>
        <v>364</v>
      </c>
      <c r="BP84" s="7"/>
    </row>
    <row r="85" spans="1:68">
      <c r="A85" s="29">
        <v>83</v>
      </c>
      <c r="B85" s="84">
        <f>升级节奏!C85</f>
        <v>33200</v>
      </c>
      <c r="C85" s="53">
        <f>IF(VLOOKUP(C$2,行为概览!$D$3:$J$33,7,0)="","",VLOOKUP(C$2,行为概览!$D$3:$J$33,7,0))</f>
        <v>50</v>
      </c>
      <c r="D85" s="53">
        <f>IF(VLOOKUP(D$2,行为概览!$D$3:$J$33,7,0)="","",VLOOKUP(D$2,行为概览!$D$3:$J$33,7,0))</f>
        <v>3.3</v>
      </c>
      <c r="E85" s="53">
        <f>IF(VLOOKUP(E$2,行为概览!$D$3:$J$33,7,0)="","",VLOOKUP(E$2,行为概览!$D$3:$J$33,7,0))</f>
        <v>30</v>
      </c>
      <c r="F85" s="53">
        <f>IF(VLOOKUP(F$2,行为概览!$D$3:$J$33,7,0)="","",VLOOKUP(F$2,行为概览!$D$3:$J$33,7,0))</f>
        <v>15</v>
      </c>
      <c r="G85" s="53" t="str">
        <f>IF(VLOOKUP(G$2,行为概览!$D$3:$J$33,7,0)="","",VLOOKUP(G$2,行为概览!$D$3:$J$33,7,0))</f>
        <v/>
      </c>
      <c r="H85" s="53" t="str">
        <f>IF(VLOOKUP(H$2,行为概览!$D$3:$J$33,7,0)="","",VLOOKUP(H$2,行为概览!$D$3:$J$33,7,0))</f>
        <v/>
      </c>
      <c r="I85" s="53" t="str">
        <f>IF(VLOOKUP(I$2,行为概览!$D$3:$J$33,7,0)="","",VLOOKUP(I$2,行为概览!$D$3:$J$33,7,0))</f>
        <v/>
      </c>
      <c r="J85" s="53" t="str">
        <f>IF(VLOOKUP(J$2,行为概览!$D$3:$J$33,7,0)="","",VLOOKUP(J$2,行为概览!$D$3:$J$33,7,0))</f>
        <v/>
      </c>
      <c r="K85" s="53">
        <f>IF(VLOOKUP(K$2,行为概览!$D$3:$J$33,7,0)="","",VLOOKUP(K$2,行为概览!$D$3:$J$33,7,0))</f>
        <v>20</v>
      </c>
      <c r="L85" s="53">
        <f>IF(VLOOKUP(L$2,行为概览!$D$3:$J$33,7,0)="","",VLOOKUP(L$2,行为概览!$D$3:$J$33,7,0))</f>
        <v>20</v>
      </c>
      <c r="M85" s="53">
        <f>IF(VLOOKUP(M$2,行为概览!$D$3:$J$33,7,0)="","",VLOOKUP(M$2,行为概览!$D$3:$J$33,7,0))</f>
        <v>40</v>
      </c>
      <c r="N85" s="53">
        <f>IF(VLOOKUP(N$2,行为概览!$D$3:$J$33,7,0)="","",VLOOKUP(N$2,行为概览!$D$3:$J$33,7,0))</f>
        <v>1</v>
      </c>
      <c r="O85" s="53">
        <f>IF(VLOOKUP(O$2,行为概览!$D$3:$J$33,7,0)="","",VLOOKUP(O$2,行为概览!$D$3:$J$33,7,0))</f>
        <v>150</v>
      </c>
      <c r="P85" s="53">
        <f>IF(VLOOKUP(P$2,行为概览!$D$3:$J$33,7,0)="","",VLOOKUP(P$2,行为概览!$D$3:$J$33,7,0))</f>
        <v>10</v>
      </c>
      <c r="Q85" s="53">
        <f>IF(VLOOKUP(Q$2,行为概览!$D$3:$J$33,7,0)="","",VLOOKUP(Q$2,行为概览!$D$3:$J$33,7,0))</f>
        <v>20</v>
      </c>
      <c r="R85" s="53">
        <f>IF(VLOOKUP(R$2,行为概览!$D$3:$J$33,7,0)="","",VLOOKUP(R$2,行为概览!$D$3:$J$33,7,0))</f>
        <v>6</v>
      </c>
      <c r="S85" s="53">
        <f>IF(VLOOKUP(S$2,行为概览!$D$3:$J$33,7,0)="","",VLOOKUP(S$2,行为概览!$D$3:$J$33,7,0))</f>
        <v>20</v>
      </c>
      <c r="T85" s="53">
        <f>IF(VLOOKUP(T$2,行为概览!$D$3:$J$33,7,0)="","",VLOOKUP(T$2,行为概览!$D$3:$J$33,7,0))</f>
        <v>15</v>
      </c>
      <c r="U85" s="53">
        <f>IF(VLOOKUP(U$2,行为概览!$D$3:$J$33,7,0)="","",VLOOKUP(U$2,行为概览!$D$3:$J$33,7,0))</f>
        <v>15</v>
      </c>
      <c r="V85" s="53">
        <f>IF(VLOOKUP(V$2,行为概览!$D$3:$J$33,7,0)="","",VLOOKUP(V$2,行为概览!$D$3:$J$33,7,0))</f>
        <v>40</v>
      </c>
      <c r="W85" s="53">
        <f>IF(VLOOKUP(W$2,行为概览!$D$3:$J$33,7,0)="","",VLOOKUP(W$2,行为概览!$D$3:$J$33,7,0))</f>
        <v>15</v>
      </c>
      <c r="X85" s="53">
        <f>IF(VLOOKUP(X$2,行为概览!$D$3:$J$33,7,0)="","",VLOOKUP(X$2,行为概览!$D$3:$J$33,7,0))</f>
        <v>30</v>
      </c>
      <c r="Y85" s="53">
        <f>IF(VLOOKUP(Y$2,行为概览!$D$3:$J$33,7,0)="","",VLOOKUP(Y$2,行为概览!$D$3:$J$33,7,0))</f>
        <v>25</v>
      </c>
      <c r="Z85" s="53">
        <f>IF(VLOOKUP(Z$2,行为概览!$D$3:$J$33,7,0)="","",VLOOKUP(Z$2,行为概览!$D$3:$J$33,7,0))</f>
        <v>15</v>
      </c>
      <c r="AA85" s="53">
        <f>IF(VLOOKUP(AA$2,行为概览!$D$3:$J$33,7,0)="","",VLOOKUP(AA$2,行为概览!$D$3:$J$33,7,0))</f>
        <v>15</v>
      </c>
      <c r="AB85" s="53" t="str">
        <f>IF(VLOOKUP(AB$2,行为概览!$D$3:$J$33,7,0)="","",VLOOKUP(AB$2,行为概览!$D$3:$J$33,7,0))</f>
        <v/>
      </c>
      <c r="AC85" s="53" t="str">
        <f>IF(VLOOKUP(AC$2,行为概览!$D$3:$J$33,7,0)="","",VLOOKUP(AC$2,行为概览!$D$3:$J$33,7,0))</f>
        <v/>
      </c>
      <c r="AD85" s="53" t="str">
        <f>IF(VLOOKUP(AD$2,行为概览!$D$3:$J$33,7,0)="","",VLOOKUP(AD$2,行为概览!$D$3:$J$33,7,0))</f>
        <v/>
      </c>
      <c r="AE85" s="68" t="str">
        <f>IF(VLOOKUP(AE$2,行为概览!$D$3:$J$33,7,0)="","",VLOOKUP(AE$2,行为概览!$D$3:$J$33,7,0))</f>
        <v/>
      </c>
      <c r="AF85" s="1">
        <f>IF(C85="","",ROUND(C85*玩法行为规划!B85,2))</f>
        <v>16.670000000000002</v>
      </c>
      <c r="AG85" s="2">
        <f>IF(D85="","",ROUND(D85*玩法行为规划!C85,2))</f>
        <v>6.6</v>
      </c>
      <c r="AH85" s="2">
        <f>IF(E85="","",ROUND(E85*玩法行为规划!D85,2))</f>
        <v>2.5</v>
      </c>
      <c r="AI85" s="2">
        <f>IF(F85="","",ROUND(F85*玩法行为规划!E85,2))</f>
        <v>15</v>
      </c>
      <c r="AJ85" s="2" t="str">
        <f>IF(G85="","",ROUND(G85*玩法行为规划!F85,2))</f>
        <v/>
      </c>
      <c r="AK85" s="2" t="str">
        <f>IF(H85="","",ROUND(H85*玩法行为规划!G85,2))</f>
        <v/>
      </c>
      <c r="AL85" s="2" t="str">
        <f>IF(I85="","",ROUND(I85*玩法行为规划!H85,2))</f>
        <v/>
      </c>
      <c r="AM85" s="2" t="str">
        <f>IF(J85="","",ROUND(J85*玩法行为规划!I85,2))</f>
        <v/>
      </c>
      <c r="AN85" s="2">
        <f>IF(K85="","",ROUND(K85*玩法行为规划!J85,2))</f>
        <v>10</v>
      </c>
      <c r="AO85" s="2">
        <f>IF(L85="","",ROUND(L85*玩法行为规划!K85,2))</f>
        <v>3.33</v>
      </c>
      <c r="AP85" s="2">
        <f>IF(M85="","",ROUND(M85*玩法行为规划!L85,2))</f>
        <v>20</v>
      </c>
      <c r="AQ85" s="2">
        <f>IF(N85="","",ROUND(N85*玩法行为规划!M85,2))</f>
        <v>12</v>
      </c>
      <c r="AR85" s="2">
        <f>IF(O85="","",ROUND(O85*玩法行为规划!N85,2))</f>
        <v>12.5</v>
      </c>
      <c r="AS85" s="2">
        <f>IF(P85="","",ROUND(P85*玩法行为规划!O85,2))</f>
        <v>0.83</v>
      </c>
      <c r="AT85" s="2">
        <f>IF(Q85="","",ROUND(Q85*玩法行为规划!P85,2))</f>
        <v>52</v>
      </c>
      <c r="AU85" s="2">
        <f>IF(R85="","",ROUND(R85*玩法行为规划!Q85,2))</f>
        <v>6</v>
      </c>
      <c r="AV85" s="2">
        <f>IF(S85="","",ROUND(S85*玩法行为规划!R85,2))</f>
        <v>6.67</v>
      </c>
      <c r="AW85" s="2">
        <f>IF(T85="","",ROUND(T85*玩法行为规划!S85,2))</f>
        <v>0</v>
      </c>
      <c r="AX85" s="2">
        <f>IF(U85="","",ROUND(U85*玩法行为规划!T85,2))</f>
        <v>5</v>
      </c>
      <c r="AY85" s="2">
        <f>IF(V85="","",ROUND(V85*玩法行为规划!U85,2))</f>
        <v>6.67</v>
      </c>
      <c r="AZ85" s="2">
        <f>IF(W85="","",ROUND(W85*玩法行为规划!V85,2))</f>
        <v>2.5</v>
      </c>
      <c r="BA85" s="2">
        <f>IF(X85="","",ROUND(X85*玩法行为规划!W85,2))</f>
        <v>5</v>
      </c>
      <c r="BB85" s="2">
        <f>IF(Y85="","",ROUND(Y85*玩法行为规划!X85,2))</f>
        <v>6.25</v>
      </c>
      <c r="BC85" s="2">
        <f>IF(Z85="","",ROUND(Z85*玩法行为规划!Y85,2))</f>
        <v>8.75</v>
      </c>
      <c r="BD85" s="2">
        <f>IF(AA85="","",ROUND(AA85*玩法行为规划!Z85,2))</f>
        <v>2.5</v>
      </c>
      <c r="BE85" s="2" t="str">
        <f>IF(AB85="","",ROUND(AB85*玩法行为规划!AA85,2))</f>
        <v/>
      </c>
      <c r="BF85" s="2" t="str">
        <f>IF(AC85="","",ROUND(AC85*玩法行为规划!AB85,2))</f>
        <v/>
      </c>
      <c r="BG85" s="2" t="str">
        <f>IF(AD85="","",ROUND(AD85*玩法行为规划!AC85,2))</f>
        <v/>
      </c>
      <c r="BH85" s="3" t="str">
        <f>IF(AE85="","",ROUND(AE85*玩法行为规划!AD85,2))</f>
        <v/>
      </c>
      <c r="BI85" s="7">
        <f t="shared" si="11"/>
        <v>200.76999999999998</v>
      </c>
      <c r="BJ85" s="7">
        <f t="shared" si="12"/>
        <v>6665563.9999999991</v>
      </c>
      <c r="BK85" s="69">
        <f t="shared" si="15"/>
        <v>2134800</v>
      </c>
      <c r="BL85" s="21" t="str">
        <f t="shared" si="16"/>
        <v/>
      </c>
      <c r="BM85" s="7">
        <f t="shared" si="13"/>
        <v>3.1333706261386866E-2</v>
      </c>
      <c r="BN85" s="69">
        <f>INT(BJ85*升级节奏!G85+BK85)</f>
        <v>68131104</v>
      </c>
      <c r="BO85" s="7">
        <f t="shared" si="14"/>
        <v>369</v>
      </c>
      <c r="BP85" s="7"/>
    </row>
    <row r="86" spans="1:68">
      <c r="A86" s="29">
        <v>84</v>
      </c>
      <c r="B86" s="84">
        <f>升级节奏!C86</f>
        <v>33600</v>
      </c>
      <c r="C86" s="53">
        <f>IF(VLOOKUP(C$2,行为概览!$D$3:$J$33,7,0)="","",VLOOKUP(C$2,行为概览!$D$3:$J$33,7,0))</f>
        <v>50</v>
      </c>
      <c r="D86" s="53">
        <f>IF(VLOOKUP(D$2,行为概览!$D$3:$J$33,7,0)="","",VLOOKUP(D$2,行为概览!$D$3:$J$33,7,0))</f>
        <v>3.3</v>
      </c>
      <c r="E86" s="53">
        <f>IF(VLOOKUP(E$2,行为概览!$D$3:$J$33,7,0)="","",VLOOKUP(E$2,行为概览!$D$3:$J$33,7,0))</f>
        <v>30</v>
      </c>
      <c r="F86" s="53">
        <f>IF(VLOOKUP(F$2,行为概览!$D$3:$J$33,7,0)="","",VLOOKUP(F$2,行为概览!$D$3:$J$33,7,0))</f>
        <v>15</v>
      </c>
      <c r="G86" s="53" t="str">
        <f>IF(VLOOKUP(G$2,行为概览!$D$3:$J$33,7,0)="","",VLOOKUP(G$2,行为概览!$D$3:$J$33,7,0))</f>
        <v/>
      </c>
      <c r="H86" s="53" t="str">
        <f>IF(VLOOKUP(H$2,行为概览!$D$3:$J$33,7,0)="","",VLOOKUP(H$2,行为概览!$D$3:$J$33,7,0))</f>
        <v/>
      </c>
      <c r="I86" s="53" t="str">
        <f>IF(VLOOKUP(I$2,行为概览!$D$3:$J$33,7,0)="","",VLOOKUP(I$2,行为概览!$D$3:$J$33,7,0))</f>
        <v/>
      </c>
      <c r="J86" s="53" t="str">
        <f>IF(VLOOKUP(J$2,行为概览!$D$3:$J$33,7,0)="","",VLOOKUP(J$2,行为概览!$D$3:$J$33,7,0))</f>
        <v/>
      </c>
      <c r="K86" s="53">
        <f>IF(VLOOKUP(K$2,行为概览!$D$3:$J$33,7,0)="","",VLOOKUP(K$2,行为概览!$D$3:$J$33,7,0))</f>
        <v>20</v>
      </c>
      <c r="L86" s="53">
        <f>IF(VLOOKUP(L$2,行为概览!$D$3:$J$33,7,0)="","",VLOOKUP(L$2,行为概览!$D$3:$J$33,7,0))</f>
        <v>20</v>
      </c>
      <c r="M86" s="53">
        <f>IF(VLOOKUP(M$2,行为概览!$D$3:$J$33,7,0)="","",VLOOKUP(M$2,行为概览!$D$3:$J$33,7,0))</f>
        <v>40</v>
      </c>
      <c r="N86" s="53">
        <f>IF(VLOOKUP(N$2,行为概览!$D$3:$J$33,7,0)="","",VLOOKUP(N$2,行为概览!$D$3:$J$33,7,0))</f>
        <v>1</v>
      </c>
      <c r="O86" s="53">
        <f>IF(VLOOKUP(O$2,行为概览!$D$3:$J$33,7,0)="","",VLOOKUP(O$2,行为概览!$D$3:$J$33,7,0))</f>
        <v>150</v>
      </c>
      <c r="P86" s="53">
        <f>IF(VLOOKUP(P$2,行为概览!$D$3:$J$33,7,0)="","",VLOOKUP(P$2,行为概览!$D$3:$J$33,7,0))</f>
        <v>10</v>
      </c>
      <c r="Q86" s="53">
        <f>IF(VLOOKUP(Q$2,行为概览!$D$3:$J$33,7,0)="","",VLOOKUP(Q$2,行为概览!$D$3:$J$33,7,0))</f>
        <v>20</v>
      </c>
      <c r="R86" s="53">
        <f>IF(VLOOKUP(R$2,行为概览!$D$3:$J$33,7,0)="","",VLOOKUP(R$2,行为概览!$D$3:$J$33,7,0))</f>
        <v>6</v>
      </c>
      <c r="S86" s="53">
        <f>IF(VLOOKUP(S$2,行为概览!$D$3:$J$33,7,0)="","",VLOOKUP(S$2,行为概览!$D$3:$J$33,7,0))</f>
        <v>20</v>
      </c>
      <c r="T86" s="53">
        <f>IF(VLOOKUP(T$2,行为概览!$D$3:$J$33,7,0)="","",VLOOKUP(T$2,行为概览!$D$3:$J$33,7,0))</f>
        <v>15</v>
      </c>
      <c r="U86" s="53">
        <f>IF(VLOOKUP(U$2,行为概览!$D$3:$J$33,7,0)="","",VLOOKUP(U$2,行为概览!$D$3:$J$33,7,0))</f>
        <v>15</v>
      </c>
      <c r="V86" s="53">
        <f>IF(VLOOKUP(V$2,行为概览!$D$3:$J$33,7,0)="","",VLOOKUP(V$2,行为概览!$D$3:$J$33,7,0))</f>
        <v>40</v>
      </c>
      <c r="W86" s="53">
        <f>IF(VLOOKUP(W$2,行为概览!$D$3:$J$33,7,0)="","",VLOOKUP(W$2,行为概览!$D$3:$J$33,7,0))</f>
        <v>15</v>
      </c>
      <c r="X86" s="53">
        <f>IF(VLOOKUP(X$2,行为概览!$D$3:$J$33,7,0)="","",VLOOKUP(X$2,行为概览!$D$3:$J$33,7,0))</f>
        <v>30</v>
      </c>
      <c r="Y86" s="53">
        <f>IF(VLOOKUP(Y$2,行为概览!$D$3:$J$33,7,0)="","",VLOOKUP(Y$2,行为概览!$D$3:$J$33,7,0))</f>
        <v>25</v>
      </c>
      <c r="Z86" s="53">
        <f>IF(VLOOKUP(Z$2,行为概览!$D$3:$J$33,7,0)="","",VLOOKUP(Z$2,行为概览!$D$3:$J$33,7,0))</f>
        <v>15</v>
      </c>
      <c r="AA86" s="53">
        <f>IF(VLOOKUP(AA$2,行为概览!$D$3:$J$33,7,0)="","",VLOOKUP(AA$2,行为概览!$D$3:$J$33,7,0))</f>
        <v>15</v>
      </c>
      <c r="AB86" s="53" t="str">
        <f>IF(VLOOKUP(AB$2,行为概览!$D$3:$J$33,7,0)="","",VLOOKUP(AB$2,行为概览!$D$3:$J$33,7,0))</f>
        <v/>
      </c>
      <c r="AC86" s="53" t="str">
        <f>IF(VLOOKUP(AC$2,行为概览!$D$3:$J$33,7,0)="","",VLOOKUP(AC$2,行为概览!$D$3:$J$33,7,0))</f>
        <v/>
      </c>
      <c r="AD86" s="53" t="str">
        <f>IF(VLOOKUP(AD$2,行为概览!$D$3:$J$33,7,0)="","",VLOOKUP(AD$2,行为概览!$D$3:$J$33,7,0))</f>
        <v/>
      </c>
      <c r="AE86" s="68" t="str">
        <f>IF(VLOOKUP(AE$2,行为概览!$D$3:$J$33,7,0)="","",VLOOKUP(AE$2,行为概览!$D$3:$J$33,7,0))</f>
        <v/>
      </c>
      <c r="AF86" s="1">
        <f>IF(C86="","",ROUND(C86*玩法行为规划!B86,2))</f>
        <v>16.670000000000002</v>
      </c>
      <c r="AG86" s="2">
        <f>IF(D86="","",ROUND(D86*玩法行为规划!C86,2))</f>
        <v>6.6</v>
      </c>
      <c r="AH86" s="2">
        <f>IF(E86="","",ROUND(E86*玩法行为规划!D86,2))</f>
        <v>2.5</v>
      </c>
      <c r="AI86" s="2">
        <f>IF(F86="","",ROUND(F86*玩法行为规划!E86,2))</f>
        <v>15</v>
      </c>
      <c r="AJ86" s="2" t="str">
        <f>IF(G86="","",ROUND(G86*玩法行为规划!F86,2))</f>
        <v/>
      </c>
      <c r="AK86" s="2" t="str">
        <f>IF(H86="","",ROUND(H86*玩法行为规划!G86,2))</f>
        <v/>
      </c>
      <c r="AL86" s="2" t="str">
        <f>IF(I86="","",ROUND(I86*玩法行为规划!H86,2))</f>
        <v/>
      </c>
      <c r="AM86" s="2" t="str">
        <f>IF(J86="","",ROUND(J86*玩法行为规划!I86,2))</f>
        <v/>
      </c>
      <c r="AN86" s="2">
        <f>IF(K86="","",ROUND(K86*玩法行为规划!J86,2))</f>
        <v>10</v>
      </c>
      <c r="AO86" s="2">
        <f>IF(L86="","",ROUND(L86*玩法行为规划!K86,2))</f>
        <v>3.33</v>
      </c>
      <c r="AP86" s="2">
        <f>IF(M86="","",ROUND(M86*玩法行为规划!L86,2))</f>
        <v>20</v>
      </c>
      <c r="AQ86" s="2">
        <f>IF(N86="","",ROUND(N86*玩法行为规划!M86,2))</f>
        <v>12</v>
      </c>
      <c r="AR86" s="2">
        <f>IF(O86="","",ROUND(O86*玩法行为规划!N86,2))</f>
        <v>12.5</v>
      </c>
      <c r="AS86" s="2">
        <f>IF(P86="","",ROUND(P86*玩法行为规划!O86,2))</f>
        <v>0.83</v>
      </c>
      <c r="AT86" s="2">
        <f>IF(Q86="","",ROUND(Q86*玩法行为规划!P86,2))</f>
        <v>52</v>
      </c>
      <c r="AU86" s="2">
        <f>IF(R86="","",ROUND(R86*玩法行为规划!Q86,2))</f>
        <v>6</v>
      </c>
      <c r="AV86" s="2">
        <f>IF(S86="","",ROUND(S86*玩法行为规划!R86,2))</f>
        <v>6.67</v>
      </c>
      <c r="AW86" s="2">
        <f>IF(T86="","",ROUND(T86*玩法行为规划!S86,2))</f>
        <v>0</v>
      </c>
      <c r="AX86" s="2">
        <f>IF(U86="","",ROUND(U86*玩法行为规划!T86,2))</f>
        <v>5</v>
      </c>
      <c r="AY86" s="2">
        <f>IF(V86="","",ROUND(V86*玩法行为规划!U86,2))</f>
        <v>6.67</v>
      </c>
      <c r="AZ86" s="2">
        <f>IF(W86="","",ROUND(W86*玩法行为规划!V86,2))</f>
        <v>2.5</v>
      </c>
      <c r="BA86" s="2">
        <f>IF(X86="","",ROUND(X86*玩法行为规划!W86,2))</f>
        <v>5</v>
      </c>
      <c r="BB86" s="2">
        <f>IF(Y86="","",ROUND(Y86*玩法行为规划!X86,2))</f>
        <v>6.25</v>
      </c>
      <c r="BC86" s="2">
        <f>IF(Z86="","",ROUND(Z86*玩法行为规划!Y86,2))</f>
        <v>8.75</v>
      </c>
      <c r="BD86" s="2">
        <f>IF(AA86="","",ROUND(AA86*玩法行为规划!Z86,2))</f>
        <v>2.5</v>
      </c>
      <c r="BE86" s="2" t="str">
        <f>IF(AB86="","",ROUND(AB86*玩法行为规划!AA86,2))</f>
        <v/>
      </c>
      <c r="BF86" s="2" t="str">
        <f>IF(AC86="","",ROUND(AC86*玩法行为规划!AB86,2))</f>
        <v/>
      </c>
      <c r="BG86" s="2" t="str">
        <f>IF(AD86="","",ROUND(AD86*玩法行为规划!AC86,2))</f>
        <v/>
      </c>
      <c r="BH86" s="3" t="str">
        <f>IF(AE86="","",ROUND(AE86*玩法行为规划!AD86,2))</f>
        <v/>
      </c>
      <c r="BI86" s="7">
        <f t="shared" si="11"/>
        <v>200.76999999999998</v>
      </c>
      <c r="BJ86" s="7">
        <f t="shared" si="12"/>
        <v>6745871.9999999991</v>
      </c>
      <c r="BK86" s="69">
        <f t="shared" si="15"/>
        <v>2197400</v>
      </c>
      <c r="BL86" s="21" t="str">
        <f t="shared" si="16"/>
        <v/>
      </c>
      <c r="BM86" s="7">
        <f t="shared" si="13"/>
        <v>3.1131347951239532E-2</v>
      </c>
      <c r="BN86" s="69">
        <f>INT(BJ86*升级节奏!G86+BK86)</f>
        <v>70584801</v>
      </c>
      <c r="BO86" s="7">
        <f t="shared" si="14"/>
        <v>373</v>
      </c>
      <c r="BP86" s="7"/>
    </row>
    <row r="87" spans="1:68">
      <c r="A87" s="29">
        <v>85</v>
      </c>
      <c r="B87" s="84">
        <f>升级节奏!C87</f>
        <v>34000</v>
      </c>
      <c r="C87" s="53">
        <f>IF(VLOOKUP(C$2,行为概览!$D$3:$J$33,7,0)="","",VLOOKUP(C$2,行为概览!$D$3:$J$33,7,0))</f>
        <v>50</v>
      </c>
      <c r="D87" s="53">
        <f>IF(VLOOKUP(D$2,行为概览!$D$3:$J$33,7,0)="","",VLOOKUP(D$2,行为概览!$D$3:$J$33,7,0))</f>
        <v>3.3</v>
      </c>
      <c r="E87" s="53">
        <f>IF(VLOOKUP(E$2,行为概览!$D$3:$J$33,7,0)="","",VLOOKUP(E$2,行为概览!$D$3:$J$33,7,0))</f>
        <v>30</v>
      </c>
      <c r="F87" s="53">
        <f>IF(VLOOKUP(F$2,行为概览!$D$3:$J$33,7,0)="","",VLOOKUP(F$2,行为概览!$D$3:$J$33,7,0))</f>
        <v>15</v>
      </c>
      <c r="G87" s="53" t="str">
        <f>IF(VLOOKUP(G$2,行为概览!$D$3:$J$33,7,0)="","",VLOOKUP(G$2,行为概览!$D$3:$J$33,7,0))</f>
        <v/>
      </c>
      <c r="H87" s="53" t="str">
        <f>IF(VLOOKUP(H$2,行为概览!$D$3:$J$33,7,0)="","",VLOOKUP(H$2,行为概览!$D$3:$J$33,7,0))</f>
        <v/>
      </c>
      <c r="I87" s="53" t="str">
        <f>IF(VLOOKUP(I$2,行为概览!$D$3:$J$33,7,0)="","",VLOOKUP(I$2,行为概览!$D$3:$J$33,7,0))</f>
        <v/>
      </c>
      <c r="J87" s="53" t="str">
        <f>IF(VLOOKUP(J$2,行为概览!$D$3:$J$33,7,0)="","",VLOOKUP(J$2,行为概览!$D$3:$J$33,7,0))</f>
        <v/>
      </c>
      <c r="K87" s="53">
        <f>IF(VLOOKUP(K$2,行为概览!$D$3:$J$33,7,0)="","",VLOOKUP(K$2,行为概览!$D$3:$J$33,7,0))</f>
        <v>20</v>
      </c>
      <c r="L87" s="53">
        <f>IF(VLOOKUP(L$2,行为概览!$D$3:$J$33,7,0)="","",VLOOKUP(L$2,行为概览!$D$3:$J$33,7,0))</f>
        <v>20</v>
      </c>
      <c r="M87" s="53">
        <f>IF(VLOOKUP(M$2,行为概览!$D$3:$J$33,7,0)="","",VLOOKUP(M$2,行为概览!$D$3:$J$33,7,0))</f>
        <v>40</v>
      </c>
      <c r="N87" s="53">
        <f>IF(VLOOKUP(N$2,行为概览!$D$3:$J$33,7,0)="","",VLOOKUP(N$2,行为概览!$D$3:$J$33,7,0))</f>
        <v>1</v>
      </c>
      <c r="O87" s="53">
        <f>IF(VLOOKUP(O$2,行为概览!$D$3:$J$33,7,0)="","",VLOOKUP(O$2,行为概览!$D$3:$J$33,7,0))</f>
        <v>150</v>
      </c>
      <c r="P87" s="53">
        <f>IF(VLOOKUP(P$2,行为概览!$D$3:$J$33,7,0)="","",VLOOKUP(P$2,行为概览!$D$3:$J$33,7,0))</f>
        <v>10</v>
      </c>
      <c r="Q87" s="53">
        <f>IF(VLOOKUP(Q$2,行为概览!$D$3:$J$33,7,0)="","",VLOOKUP(Q$2,行为概览!$D$3:$J$33,7,0))</f>
        <v>20</v>
      </c>
      <c r="R87" s="53">
        <f>IF(VLOOKUP(R$2,行为概览!$D$3:$J$33,7,0)="","",VLOOKUP(R$2,行为概览!$D$3:$J$33,7,0))</f>
        <v>6</v>
      </c>
      <c r="S87" s="53">
        <f>IF(VLOOKUP(S$2,行为概览!$D$3:$J$33,7,0)="","",VLOOKUP(S$2,行为概览!$D$3:$J$33,7,0))</f>
        <v>20</v>
      </c>
      <c r="T87" s="53">
        <f>IF(VLOOKUP(T$2,行为概览!$D$3:$J$33,7,0)="","",VLOOKUP(T$2,行为概览!$D$3:$J$33,7,0))</f>
        <v>15</v>
      </c>
      <c r="U87" s="53">
        <f>IF(VLOOKUP(U$2,行为概览!$D$3:$J$33,7,0)="","",VLOOKUP(U$2,行为概览!$D$3:$J$33,7,0))</f>
        <v>15</v>
      </c>
      <c r="V87" s="53">
        <f>IF(VLOOKUP(V$2,行为概览!$D$3:$J$33,7,0)="","",VLOOKUP(V$2,行为概览!$D$3:$J$33,7,0))</f>
        <v>40</v>
      </c>
      <c r="W87" s="53">
        <f>IF(VLOOKUP(W$2,行为概览!$D$3:$J$33,7,0)="","",VLOOKUP(W$2,行为概览!$D$3:$J$33,7,0))</f>
        <v>15</v>
      </c>
      <c r="X87" s="53">
        <f>IF(VLOOKUP(X$2,行为概览!$D$3:$J$33,7,0)="","",VLOOKUP(X$2,行为概览!$D$3:$J$33,7,0))</f>
        <v>30</v>
      </c>
      <c r="Y87" s="53">
        <f>IF(VLOOKUP(Y$2,行为概览!$D$3:$J$33,7,0)="","",VLOOKUP(Y$2,行为概览!$D$3:$J$33,7,0))</f>
        <v>25</v>
      </c>
      <c r="Z87" s="53">
        <f>IF(VLOOKUP(Z$2,行为概览!$D$3:$J$33,7,0)="","",VLOOKUP(Z$2,行为概览!$D$3:$J$33,7,0))</f>
        <v>15</v>
      </c>
      <c r="AA87" s="53">
        <f>IF(VLOOKUP(AA$2,行为概览!$D$3:$J$33,7,0)="","",VLOOKUP(AA$2,行为概览!$D$3:$J$33,7,0))</f>
        <v>15</v>
      </c>
      <c r="AB87" s="53" t="str">
        <f>IF(VLOOKUP(AB$2,行为概览!$D$3:$J$33,7,0)="","",VLOOKUP(AB$2,行为概览!$D$3:$J$33,7,0))</f>
        <v/>
      </c>
      <c r="AC87" s="53" t="str">
        <f>IF(VLOOKUP(AC$2,行为概览!$D$3:$J$33,7,0)="","",VLOOKUP(AC$2,行为概览!$D$3:$J$33,7,0))</f>
        <v/>
      </c>
      <c r="AD87" s="53" t="str">
        <f>IF(VLOOKUP(AD$2,行为概览!$D$3:$J$33,7,0)="","",VLOOKUP(AD$2,行为概览!$D$3:$J$33,7,0))</f>
        <v/>
      </c>
      <c r="AE87" s="68" t="str">
        <f>IF(VLOOKUP(AE$2,行为概览!$D$3:$J$33,7,0)="","",VLOOKUP(AE$2,行为概览!$D$3:$J$33,7,0))</f>
        <v/>
      </c>
      <c r="AF87" s="1">
        <f>IF(C87="","",ROUND(C87*玩法行为规划!B87,2))</f>
        <v>16.670000000000002</v>
      </c>
      <c r="AG87" s="2">
        <f>IF(D87="","",ROUND(D87*玩法行为规划!C87,2))</f>
        <v>6.6</v>
      </c>
      <c r="AH87" s="2">
        <f>IF(E87="","",ROUND(E87*玩法行为规划!D87,2))</f>
        <v>2.5</v>
      </c>
      <c r="AI87" s="2">
        <f>IF(F87="","",ROUND(F87*玩法行为规划!E87,2))</f>
        <v>15</v>
      </c>
      <c r="AJ87" s="2" t="str">
        <f>IF(G87="","",ROUND(G87*玩法行为规划!F87,2))</f>
        <v/>
      </c>
      <c r="AK87" s="2" t="str">
        <f>IF(H87="","",ROUND(H87*玩法行为规划!G87,2))</f>
        <v/>
      </c>
      <c r="AL87" s="2" t="str">
        <f>IF(I87="","",ROUND(I87*玩法行为规划!H87,2))</f>
        <v/>
      </c>
      <c r="AM87" s="2" t="str">
        <f>IF(J87="","",ROUND(J87*玩法行为规划!I87,2))</f>
        <v/>
      </c>
      <c r="AN87" s="2">
        <f>IF(K87="","",ROUND(K87*玩法行为规划!J87,2))</f>
        <v>10</v>
      </c>
      <c r="AO87" s="2">
        <f>IF(L87="","",ROUND(L87*玩法行为规划!K87,2))</f>
        <v>3.33</v>
      </c>
      <c r="AP87" s="2">
        <f>IF(M87="","",ROUND(M87*玩法行为规划!L87,2))</f>
        <v>20</v>
      </c>
      <c r="AQ87" s="2">
        <f>IF(N87="","",ROUND(N87*玩法行为规划!M87,2))</f>
        <v>12</v>
      </c>
      <c r="AR87" s="2">
        <f>IF(O87="","",ROUND(O87*玩法行为规划!N87,2))</f>
        <v>12.5</v>
      </c>
      <c r="AS87" s="2">
        <f>IF(P87="","",ROUND(P87*玩法行为规划!O87,2))</f>
        <v>0.83</v>
      </c>
      <c r="AT87" s="2">
        <f>IF(Q87="","",ROUND(Q87*玩法行为规划!P87,2))</f>
        <v>52</v>
      </c>
      <c r="AU87" s="2">
        <f>IF(R87="","",ROUND(R87*玩法行为规划!Q87,2))</f>
        <v>6</v>
      </c>
      <c r="AV87" s="2">
        <f>IF(S87="","",ROUND(S87*玩法行为规划!R87,2))</f>
        <v>6.67</v>
      </c>
      <c r="AW87" s="2">
        <f>IF(T87="","",ROUND(T87*玩法行为规划!S87,2))</f>
        <v>0</v>
      </c>
      <c r="AX87" s="2">
        <f>IF(U87="","",ROUND(U87*玩法行为规划!T87,2))</f>
        <v>5</v>
      </c>
      <c r="AY87" s="2">
        <f>IF(V87="","",ROUND(V87*玩法行为规划!U87,2))</f>
        <v>6.67</v>
      </c>
      <c r="AZ87" s="2">
        <f>IF(W87="","",ROUND(W87*玩法行为规划!V87,2))</f>
        <v>2.5</v>
      </c>
      <c r="BA87" s="2">
        <f>IF(X87="","",ROUND(X87*玩法行为规划!W87,2))</f>
        <v>5</v>
      </c>
      <c r="BB87" s="2">
        <f>IF(Y87="","",ROUND(Y87*玩法行为规划!X87,2))</f>
        <v>6.25</v>
      </c>
      <c r="BC87" s="2">
        <f>IF(Z87="","",ROUND(Z87*玩法行为规划!Y87,2))</f>
        <v>8.75</v>
      </c>
      <c r="BD87" s="2">
        <f>IF(AA87="","",ROUND(AA87*玩法行为规划!Z87,2))</f>
        <v>2.5</v>
      </c>
      <c r="BE87" s="2" t="str">
        <f>IF(AB87="","",ROUND(AB87*玩法行为规划!AA87,2))</f>
        <v/>
      </c>
      <c r="BF87" s="2" t="str">
        <f>IF(AC87="","",ROUND(AC87*玩法行为规划!AB87,2))</f>
        <v/>
      </c>
      <c r="BG87" s="2" t="str">
        <f>IF(AD87="","",ROUND(AD87*玩法行为规划!AC87,2))</f>
        <v/>
      </c>
      <c r="BH87" s="3" t="str">
        <f>IF(AE87="","",ROUND(AE87*玩法行为规划!AD87,2))</f>
        <v/>
      </c>
      <c r="BI87" s="7">
        <f t="shared" si="11"/>
        <v>200.76999999999998</v>
      </c>
      <c r="BJ87" s="7">
        <f t="shared" si="12"/>
        <v>6826179.9999999991</v>
      </c>
      <c r="BK87" s="69">
        <f t="shared" si="15"/>
        <v>2261000</v>
      </c>
      <c r="BL87" s="21" t="str">
        <f t="shared" si="16"/>
        <v/>
      </c>
      <c r="BM87" s="7">
        <f t="shared" si="13"/>
        <v>3.09315705283996E-2</v>
      </c>
      <c r="BN87" s="69">
        <f>INT(BJ87*升级节奏!G87+BK87)</f>
        <v>73096838</v>
      </c>
      <c r="BO87" s="7">
        <f t="shared" si="14"/>
        <v>378</v>
      </c>
      <c r="BP87" s="7"/>
    </row>
    <row r="88" spans="1:68">
      <c r="A88" s="29">
        <v>86</v>
      </c>
      <c r="B88" s="84">
        <f>升级节奏!C88</f>
        <v>34400</v>
      </c>
      <c r="C88" s="53">
        <f>IF(VLOOKUP(C$2,行为概览!$D$3:$J$33,7,0)="","",VLOOKUP(C$2,行为概览!$D$3:$J$33,7,0))</f>
        <v>50</v>
      </c>
      <c r="D88" s="53">
        <f>IF(VLOOKUP(D$2,行为概览!$D$3:$J$33,7,0)="","",VLOOKUP(D$2,行为概览!$D$3:$J$33,7,0))</f>
        <v>3.3</v>
      </c>
      <c r="E88" s="53">
        <f>IF(VLOOKUP(E$2,行为概览!$D$3:$J$33,7,0)="","",VLOOKUP(E$2,行为概览!$D$3:$J$33,7,0))</f>
        <v>30</v>
      </c>
      <c r="F88" s="53">
        <f>IF(VLOOKUP(F$2,行为概览!$D$3:$J$33,7,0)="","",VLOOKUP(F$2,行为概览!$D$3:$J$33,7,0))</f>
        <v>15</v>
      </c>
      <c r="G88" s="53" t="str">
        <f>IF(VLOOKUP(G$2,行为概览!$D$3:$J$33,7,0)="","",VLOOKUP(G$2,行为概览!$D$3:$J$33,7,0))</f>
        <v/>
      </c>
      <c r="H88" s="53" t="str">
        <f>IF(VLOOKUP(H$2,行为概览!$D$3:$J$33,7,0)="","",VLOOKUP(H$2,行为概览!$D$3:$J$33,7,0))</f>
        <v/>
      </c>
      <c r="I88" s="53" t="str">
        <f>IF(VLOOKUP(I$2,行为概览!$D$3:$J$33,7,0)="","",VLOOKUP(I$2,行为概览!$D$3:$J$33,7,0))</f>
        <v/>
      </c>
      <c r="J88" s="53" t="str">
        <f>IF(VLOOKUP(J$2,行为概览!$D$3:$J$33,7,0)="","",VLOOKUP(J$2,行为概览!$D$3:$J$33,7,0))</f>
        <v/>
      </c>
      <c r="K88" s="53">
        <f>IF(VLOOKUP(K$2,行为概览!$D$3:$J$33,7,0)="","",VLOOKUP(K$2,行为概览!$D$3:$J$33,7,0))</f>
        <v>20</v>
      </c>
      <c r="L88" s="53">
        <f>IF(VLOOKUP(L$2,行为概览!$D$3:$J$33,7,0)="","",VLOOKUP(L$2,行为概览!$D$3:$J$33,7,0))</f>
        <v>20</v>
      </c>
      <c r="M88" s="53">
        <f>IF(VLOOKUP(M$2,行为概览!$D$3:$J$33,7,0)="","",VLOOKUP(M$2,行为概览!$D$3:$J$33,7,0))</f>
        <v>40</v>
      </c>
      <c r="N88" s="53">
        <f>IF(VLOOKUP(N$2,行为概览!$D$3:$J$33,7,0)="","",VLOOKUP(N$2,行为概览!$D$3:$J$33,7,0))</f>
        <v>1</v>
      </c>
      <c r="O88" s="53">
        <f>IF(VLOOKUP(O$2,行为概览!$D$3:$J$33,7,0)="","",VLOOKUP(O$2,行为概览!$D$3:$J$33,7,0))</f>
        <v>150</v>
      </c>
      <c r="P88" s="53">
        <f>IF(VLOOKUP(P$2,行为概览!$D$3:$J$33,7,0)="","",VLOOKUP(P$2,行为概览!$D$3:$J$33,7,0))</f>
        <v>10</v>
      </c>
      <c r="Q88" s="53">
        <f>IF(VLOOKUP(Q$2,行为概览!$D$3:$J$33,7,0)="","",VLOOKUP(Q$2,行为概览!$D$3:$J$33,7,0))</f>
        <v>20</v>
      </c>
      <c r="R88" s="53">
        <f>IF(VLOOKUP(R$2,行为概览!$D$3:$J$33,7,0)="","",VLOOKUP(R$2,行为概览!$D$3:$J$33,7,0))</f>
        <v>6</v>
      </c>
      <c r="S88" s="53">
        <f>IF(VLOOKUP(S$2,行为概览!$D$3:$J$33,7,0)="","",VLOOKUP(S$2,行为概览!$D$3:$J$33,7,0))</f>
        <v>20</v>
      </c>
      <c r="T88" s="53">
        <f>IF(VLOOKUP(T$2,行为概览!$D$3:$J$33,7,0)="","",VLOOKUP(T$2,行为概览!$D$3:$J$33,7,0))</f>
        <v>15</v>
      </c>
      <c r="U88" s="53">
        <f>IF(VLOOKUP(U$2,行为概览!$D$3:$J$33,7,0)="","",VLOOKUP(U$2,行为概览!$D$3:$J$33,7,0))</f>
        <v>15</v>
      </c>
      <c r="V88" s="53">
        <f>IF(VLOOKUP(V$2,行为概览!$D$3:$J$33,7,0)="","",VLOOKUP(V$2,行为概览!$D$3:$J$33,7,0))</f>
        <v>40</v>
      </c>
      <c r="W88" s="53">
        <f>IF(VLOOKUP(W$2,行为概览!$D$3:$J$33,7,0)="","",VLOOKUP(W$2,行为概览!$D$3:$J$33,7,0))</f>
        <v>15</v>
      </c>
      <c r="X88" s="53">
        <f>IF(VLOOKUP(X$2,行为概览!$D$3:$J$33,7,0)="","",VLOOKUP(X$2,行为概览!$D$3:$J$33,7,0))</f>
        <v>30</v>
      </c>
      <c r="Y88" s="53">
        <f>IF(VLOOKUP(Y$2,行为概览!$D$3:$J$33,7,0)="","",VLOOKUP(Y$2,行为概览!$D$3:$J$33,7,0))</f>
        <v>25</v>
      </c>
      <c r="Z88" s="53">
        <f>IF(VLOOKUP(Z$2,行为概览!$D$3:$J$33,7,0)="","",VLOOKUP(Z$2,行为概览!$D$3:$J$33,7,0))</f>
        <v>15</v>
      </c>
      <c r="AA88" s="53">
        <f>IF(VLOOKUP(AA$2,行为概览!$D$3:$J$33,7,0)="","",VLOOKUP(AA$2,行为概览!$D$3:$J$33,7,0))</f>
        <v>15</v>
      </c>
      <c r="AB88" s="53" t="str">
        <f>IF(VLOOKUP(AB$2,行为概览!$D$3:$J$33,7,0)="","",VLOOKUP(AB$2,行为概览!$D$3:$J$33,7,0))</f>
        <v/>
      </c>
      <c r="AC88" s="53" t="str">
        <f>IF(VLOOKUP(AC$2,行为概览!$D$3:$J$33,7,0)="","",VLOOKUP(AC$2,行为概览!$D$3:$J$33,7,0))</f>
        <v/>
      </c>
      <c r="AD88" s="53" t="str">
        <f>IF(VLOOKUP(AD$2,行为概览!$D$3:$J$33,7,0)="","",VLOOKUP(AD$2,行为概览!$D$3:$J$33,7,0))</f>
        <v/>
      </c>
      <c r="AE88" s="68" t="str">
        <f>IF(VLOOKUP(AE$2,行为概览!$D$3:$J$33,7,0)="","",VLOOKUP(AE$2,行为概览!$D$3:$J$33,7,0))</f>
        <v/>
      </c>
      <c r="AF88" s="1">
        <f>IF(C88="","",ROUND(C88*玩法行为规划!B88,2))</f>
        <v>16.670000000000002</v>
      </c>
      <c r="AG88" s="2">
        <f>IF(D88="","",ROUND(D88*玩法行为规划!C88,2))</f>
        <v>6.6</v>
      </c>
      <c r="AH88" s="2">
        <f>IF(E88="","",ROUND(E88*玩法行为规划!D88,2))</f>
        <v>2.5</v>
      </c>
      <c r="AI88" s="2">
        <f>IF(F88="","",ROUND(F88*玩法行为规划!E88,2))</f>
        <v>15</v>
      </c>
      <c r="AJ88" s="2" t="str">
        <f>IF(G88="","",ROUND(G88*玩法行为规划!F88,2))</f>
        <v/>
      </c>
      <c r="AK88" s="2" t="str">
        <f>IF(H88="","",ROUND(H88*玩法行为规划!G88,2))</f>
        <v/>
      </c>
      <c r="AL88" s="2" t="str">
        <f>IF(I88="","",ROUND(I88*玩法行为规划!H88,2))</f>
        <v/>
      </c>
      <c r="AM88" s="2" t="str">
        <f>IF(J88="","",ROUND(J88*玩法行为规划!I88,2))</f>
        <v/>
      </c>
      <c r="AN88" s="2">
        <f>IF(K88="","",ROUND(K88*玩法行为规划!J88,2))</f>
        <v>10</v>
      </c>
      <c r="AO88" s="2">
        <f>IF(L88="","",ROUND(L88*玩法行为规划!K88,2))</f>
        <v>3.33</v>
      </c>
      <c r="AP88" s="2">
        <f>IF(M88="","",ROUND(M88*玩法行为规划!L88,2))</f>
        <v>20</v>
      </c>
      <c r="AQ88" s="2">
        <f>IF(N88="","",ROUND(N88*玩法行为规划!M88,2))</f>
        <v>12</v>
      </c>
      <c r="AR88" s="2">
        <f>IF(O88="","",ROUND(O88*玩法行为规划!N88,2))</f>
        <v>12.5</v>
      </c>
      <c r="AS88" s="2">
        <f>IF(P88="","",ROUND(P88*玩法行为规划!O88,2))</f>
        <v>0.83</v>
      </c>
      <c r="AT88" s="2">
        <f>IF(Q88="","",ROUND(Q88*玩法行为规划!P88,2))</f>
        <v>52</v>
      </c>
      <c r="AU88" s="2">
        <f>IF(R88="","",ROUND(R88*玩法行为规划!Q88,2))</f>
        <v>6</v>
      </c>
      <c r="AV88" s="2">
        <f>IF(S88="","",ROUND(S88*玩法行为规划!R88,2))</f>
        <v>6.67</v>
      </c>
      <c r="AW88" s="2">
        <f>IF(T88="","",ROUND(T88*玩法行为规划!S88,2))</f>
        <v>0</v>
      </c>
      <c r="AX88" s="2">
        <f>IF(U88="","",ROUND(U88*玩法行为规划!T88,2))</f>
        <v>5</v>
      </c>
      <c r="AY88" s="2">
        <f>IF(V88="","",ROUND(V88*玩法行为规划!U88,2))</f>
        <v>6.67</v>
      </c>
      <c r="AZ88" s="2">
        <f>IF(W88="","",ROUND(W88*玩法行为规划!V88,2))</f>
        <v>2.5</v>
      </c>
      <c r="BA88" s="2">
        <f>IF(X88="","",ROUND(X88*玩法行为规划!W88,2))</f>
        <v>5</v>
      </c>
      <c r="BB88" s="2">
        <f>IF(Y88="","",ROUND(Y88*玩法行为规划!X88,2))</f>
        <v>6.25</v>
      </c>
      <c r="BC88" s="2">
        <f>IF(Z88="","",ROUND(Z88*玩法行为规划!Y88,2))</f>
        <v>8.75</v>
      </c>
      <c r="BD88" s="2">
        <f>IF(AA88="","",ROUND(AA88*玩法行为规划!Z88,2))</f>
        <v>2.5</v>
      </c>
      <c r="BE88" s="2" t="str">
        <f>IF(AB88="","",ROUND(AB88*玩法行为规划!AA88,2))</f>
        <v/>
      </c>
      <c r="BF88" s="2" t="str">
        <f>IF(AC88="","",ROUND(AC88*玩法行为规划!AB88,2))</f>
        <v/>
      </c>
      <c r="BG88" s="2" t="str">
        <f>IF(AD88="","",ROUND(AD88*玩法行为规划!AC88,2))</f>
        <v/>
      </c>
      <c r="BH88" s="3" t="str">
        <f>IF(AE88="","",ROUND(AE88*玩法行为规划!AD88,2))</f>
        <v/>
      </c>
      <c r="BI88" s="7">
        <f t="shared" si="11"/>
        <v>200.76999999999998</v>
      </c>
      <c r="BJ88" s="7">
        <f t="shared" si="12"/>
        <v>6906487.9999999991</v>
      </c>
      <c r="BK88" s="69">
        <f t="shared" si="15"/>
        <v>2325400</v>
      </c>
      <c r="BL88" s="21" t="str">
        <f t="shared" si="16"/>
        <v/>
      </c>
      <c r="BM88" s="7">
        <f t="shared" si="13"/>
        <v>3.0731739718049836E-2</v>
      </c>
      <c r="BN88" s="69">
        <f>INT(BJ88*升级节奏!G88+BK88)</f>
        <v>75667698</v>
      </c>
      <c r="BO88" s="7">
        <f t="shared" si="14"/>
        <v>382</v>
      </c>
      <c r="BP88" s="7"/>
    </row>
    <row r="89" spans="1:68">
      <c r="A89" s="29">
        <v>87</v>
      </c>
      <c r="B89" s="84">
        <f>升级节奏!C89</f>
        <v>34800</v>
      </c>
      <c r="C89" s="53">
        <f>IF(VLOOKUP(C$2,行为概览!$D$3:$J$33,7,0)="","",VLOOKUP(C$2,行为概览!$D$3:$J$33,7,0))</f>
        <v>50</v>
      </c>
      <c r="D89" s="53">
        <f>IF(VLOOKUP(D$2,行为概览!$D$3:$J$33,7,0)="","",VLOOKUP(D$2,行为概览!$D$3:$J$33,7,0))</f>
        <v>3.3</v>
      </c>
      <c r="E89" s="53">
        <f>IF(VLOOKUP(E$2,行为概览!$D$3:$J$33,7,0)="","",VLOOKUP(E$2,行为概览!$D$3:$J$33,7,0))</f>
        <v>30</v>
      </c>
      <c r="F89" s="53">
        <f>IF(VLOOKUP(F$2,行为概览!$D$3:$J$33,7,0)="","",VLOOKUP(F$2,行为概览!$D$3:$J$33,7,0))</f>
        <v>15</v>
      </c>
      <c r="G89" s="53" t="str">
        <f>IF(VLOOKUP(G$2,行为概览!$D$3:$J$33,7,0)="","",VLOOKUP(G$2,行为概览!$D$3:$J$33,7,0))</f>
        <v/>
      </c>
      <c r="H89" s="53" t="str">
        <f>IF(VLOOKUP(H$2,行为概览!$D$3:$J$33,7,0)="","",VLOOKUP(H$2,行为概览!$D$3:$J$33,7,0))</f>
        <v/>
      </c>
      <c r="I89" s="53" t="str">
        <f>IF(VLOOKUP(I$2,行为概览!$D$3:$J$33,7,0)="","",VLOOKUP(I$2,行为概览!$D$3:$J$33,7,0))</f>
        <v/>
      </c>
      <c r="J89" s="53" t="str">
        <f>IF(VLOOKUP(J$2,行为概览!$D$3:$J$33,7,0)="","",VLOOKUP(J$2,行为概览!$D$3:$J$33,7,0))</f>
        <v/>
      </c>
      <c r="K89" s="53">
        <f>IF(VLOOKUP(K$2,行为概览!$D$3:$J$33,7,0)="","",VLOOKUP(K$2,行为概览!$D$3:$J$33,7,0))</f>
        <v>20</v>
      </c>
      <c r="L89" s="53">
        <f>IF(VLOOKUP(L$2,行为概览!$D$3:$J$33,7,0)="","",VLOOKUP(L$2,行为概览!$D$3:$J$33,7,0))</f>
        <v>20</v>
      </c>
      <c r="M89" s="53">
        <f>IF(VLOOKUP(M$2,行为概览!$D$3:$J$33,7,0)="","",VLOOKUP(M$2,行为概览!$D$3:$J$33,7,0))</f>
        <v>40</v>
      </c>
      <c r="N89" s="53">
        <f>IF(VLOOKUP(N$2,行为概览!$D$3:$J$33,7,0)="","",VLOOKUP(N$2,行为概览!$D$3:$J$33,7,0))</f>
        <v>1</v>
      </c>
      <c r="O89" s="53">
        <f>IF(VLOOKUP(O$2,行为概览!$D$3:$J$33,7,0)="","",VLOOKUP(O$2,行为概览!$D$3:$J$33,7,0))</f>
        <v>150</v>
      </c>
      <c r="P89" s="53">
        <f>IF(VLOOKUP(P$2,行为概览!$D$3:$J$33,7,0)="","",VLOOKUP(P$2,行为概览!$D$3:$J$33,7,0))</f>
        <v>10</v>
      </c>
      <c r="Q89" s="53">
        <f>IF(VLOOKUP(Q$2,行为概览!$D$3:$J$33,7,0)="","",VLOOKUP(Q$2,行为概览!$D$3:$J$33,7,0))</f>
        <v>20</v>
      </c>
      <c r="R89" s="53">
        <f>IF(VLOOKUP(R$2,行为概览!$D$3:$J$33,7,0)="","",VLOOKUP(R$2,行为概览!$D$3:$J$33,7,0))</f>
        <v>6</v>
      </c>
      <c r="S89" s="53">
        <f>IF(VLOOKUP(S$2,行为概览!$D$3:$J$33,7,0)="","",VLOOKUP(S$2,行为概览!$D$3:$J$33,7,0))</f>
        <v>20</v>
      </c>
      <c r="T89" s="53">
        <f>IF(VLOOKUP(T$2,行为概览!$D$3:$J$33,7,0)="","",VLOOKUP(T$2,行为概览!$D$3:$J$33,7,0))</f>
        <v>15</v>
      </c>
      <c r="U89" s="53">
        <f>IF(VLOOKUP(U$2,行为概览!$D$3:$J$33,7,0)="","",VLOOKUP(U$2,行为概览!$D$3:$J$33,7,0))</f>
        <v>15</v>
      </c>
      <c r="V89" s="53">
        <f>IF(VLOOKUP(V$2,行为概览!$D$3:$J$33,7,0)="","",VLOOKUP(V$2,行为概览!$D$3:$J$33,7,0))</f>
        <v>40</v>
      </c>
      <c r="W89" s="53">
        <f>IF(VLOOKUP(W$2,行为概览!$D$3:$J$33,7,0)="","",VLOOKUP(W$2,行为概览!$D$3:$J$33,7,0))</f>
        <v>15</v>
      </c>
      <c r="X89" s="53">
        <f>IF(VLOOKUP(X$2,行为概览!$D$3:$J$33,7,0)="","",VLOOKUP(X$2,行为概览!$D$3:$J$33,7,0))</f>
        <v>30</v>
      </c>
      <c r="Y89" s="53">
        <f>IF(VLOOKUP(Y$2,行为概览!$D$3:$J$33,7,0)="","",VLOOKUP(Y$2,行为概览!$D$3:$J$33,7,0))</f>
        <v>25</v>
      </c>
      <c r="Z89" s="53">
        <f>IF(VLOOKUP(Z$2,行为概览!$D$3:$J$33,7,0)="","",VLOOKUP(Z$2,行为概览!$D$3:$J$33,7,0))</f>
        <v>15</v>
      </c>
      <c r="AA89" s="53">
        <f>IF(VLOOKUP(AA$2,行为概览!$D$3:$J$33,7,0)="","",VLOOKUP(AA$2,行为概览!$D$3:$J$33,7,0))</f>
        <v>15</v>
      </c>
      <c r="AB89" s="53" t="str">
        <f>IF(VLOOKUP(AB$2,行为概览!$D$3:$J$33,7,0)="","",VLOOKUP(AB$2,行为概览!$D$3:$J$33,7,0))</f>
        <v/>
      </c>
      <c r="AC89" s="53" t="str">
        <f>IF(VLOOKUP(AC$2,行为概览!$D$3:$J$33,7,0)="","",VLOOKUP(AC$2,行为概览!$D$3:$J$33,7,0))</f>
        <v/>
      </c>
      <c r="AD89" s="53" t="str">
        <f>IF(VLOOKUP(AD$2,行为概览!$D$3:$J$33,7,0)="","",VLOOKUP(AD$2,行为概览!$D$3:$J$33,7,0))</f>
        <v/>
      </c>
      <c r="AE89" s="68" t="str">
        <f>IF(VLOOKUP(AE$2,行为概览!$D$3:$J$33,7,0)="","",VLOOKUP(AE$2,行为概览!$D$3:$J$33,7,0))</f>
        <v/>
      </c>
      <c r="AF89" s="1">
        <f>IF(C89="","",ROUND(C89*玩法行为规划!B89,2))</f>
        <v>16.670000000000002</v>
      </c>
      <c r="AG89" s="2">
        <f>IF(D89="","",ROUND(D89*玩法行为规划!C89,2))</f>
        <v>6.6</v>
      </c>
      <c r="AH89" s="2">
        <f>IF(E89="","",ROUND(E89*玩法行为规划!D89,2))</f>
        <v>2.5</v>
      </c>
      <c r="AI89" s="2">
        <f>IF(F89="","",ROUND(F89*玩法行为规划!E89,2))</f>
        <v>15</v>
      </c>
      <c r="AJ89" s="2" t="str">
        <f>IF(G89="","",ROUND(G89*玩法行为规划!F89,2))</f>
        <v/>
      </c>
      <c r="AK89" s="2" t="str">
        <f>IF(H89="","",ROUND(H89*玩法行为规划!G89,2))</f>
        <v/>
      </c>
      <c r="AL89" s="2" t="str">
        <f>IF(I89="","",ROUND(I89*玩法行为规划!H89,2))</f>
        <v/>
      </c>
      <c r="AM89" s="2" t="str">
        <f>IF(J89="","",ROUND(J89*玩法行为规划!I89,2))</f>
        <v/>
      </c>
      <c r="AN89" s="2">
        <f>IF(K89="","",ROUND(K89*玩法行为规划!J89,2))</f>
        <v>10</v>
      </c>
      <c r="AO89" s="2">
        <f>IF(L89="","",ROUND(L89*玩法行为规划!K89,2))</f>
        <v>3.33</v>
      </c>
      <c r="AP89" s="2">
        <f>IF(M89="","",ROUND(M89*玩法行为规划!L89,2))</f>
        <v>20</v>
      </c>
      <c r="AQ89" s="2">
        <f>IF(N89="","",ROUND(N89*玩法行为规划!M89,2))</f>
        <v>12</v>
      </c>
      <c r="AR89" s="2">
        <f>IF(O89="","",ROUND(O89*玩法行为规划!N89,2))</f>
        <v>12.5</v>
      </c>
      <c r="AS89" s="2">
        <f>IF(P89="","",ROUND(P89*玩法行为规划!O89,2))</f>
        <v>0.83</v>
      </c>
      <c r="AT89" s="2">
        <f>IF(Q89="","",ROUND(Q89*玩法行为规划!P89,2))</f>
        <v>52</v>
      </c>
      <c r="AU89" s="2">
        <f>IF(R89="","",ROUND(R89*玩法行为规划!Q89,2))</f>
        <v>6</v>
      </c>
      <c r="AV89" s="2">
        <f>IF(S89="","",ROUND(S89*玩法行为规划!R89,2))</f>
        <v>6.67</v>
      </c>
      <c r="AW89" s="2">
        <f>IF(T89="","",ROUND(T89*玩法行为规划!S89,2))</f>
        <v>0</v>
      </c>
      <c r="AX89" s="2">
        <f>IF(U89="","",ROUND(U89*玩法行为规划!T89,2))</f>
        <v>5</v>
      </c>
      <c r="AY89" s="2">
        <f>IF(V89="","",ROUND(V89*玩法行为规划!U89,2))</f>
        <v>6.67</v>
      </c>
      <c r="AZ89" s="2">
        <f>IF(W89="","",ROUND(W89*玩法行为规划!V89,2))</f>
        <v>2.5</v>
      </c>
      <c r="BA89" s="2">
        <f>IF(X89="","",ROUND(X89*玩法行为规划!W89,2))</f>
        <v>5</v>
      </c>
      <c r="BB89" s="2">
        <f>IF(Y89="","",ROUND(Y89*玩法行为规划!X89,2))</f>
        <v>6.25</v>
      </c>
      <c r="BC89" s="2">
        <f>IF(Z89="","",ROUND(Z89*玩法行为规划!Y89,2))</f>
        <v>8.75</v>
      </c>
      <c r="BD89" s="2">
        <f>IF(AA89="","",ROUND(AA89*玩法行为规划!Z89,2))</f>
        <v>2.5</v>
      </c>
      <c r="BE89" s="2" t="str">
        <f>IF(AB89="","",ROUND(AB89*玩法行为规划!AA89,2))</f>
        <v/>
      </c>
      <c r="BF89" s="2" t="str">
        <f>IF(AC89="","",ROUND(AC89*玩法行为规划!AB89,2))</f>
        <v/>
      </c>
      <c r="BG89" s="2" t="str">
        <f>IF(AD89="","",ROUND(AD89*玩法行为规划!AC89,2))</f>
        <v/>
      </c>
      <c r="BH89" s="3" t="str">
        <f>IF(AE89="","",ROUND(AE89*玩法行为规划!AD89,2))</f>
        <v/>
      </c>
      <c r="BI89" s="7">
        <f t="shared" si="11"/>
        <v>200.76999999999998</v>
      </c>
      <c r="BJ89" s="7">
        <f t="shared" si="12"/>
        <v>6986795.9999999991</v>
      </c>
      <c r="BK89" s="69">
        <f t="shared" si="15"/>
        <v>2390800</v>
      </c>
      <c r="BL89" s="21" t="str">
        <f t="shared" si="16"/>
        <v/>
      </c>
      <c r="BM89" s="7">
        <f t="shared" si="13"/>
        <v>3.0534521954012211E-2</v>
      </c>
      <c r="BN89" s="69">
        <f>INT(BJ89*升级节奏!G89+BK89)</f>
        <v>78298262</v>
      </c>
      <c r="BO89" s="7">
        <f t="shared" si="14"/>
        <v>387</v>
      </c>
      <c r="BP89" s="7"/>
    </row>
    <row r="90" spans="1:68">
      <c r="A90" s="29">
        <v>88</v>
      </c>
      <c r="B90" s="84">
        <f>升级节奏!C90</f>
        <v>35200</v>
      </c>
      <c r="C90" s="53">
        <f>IF(VLOOKUP(C$2,行为概览!$D$3:$J$33,7,0)="","",VLOOKUP(C$2,行为概览!$D$3:$J$33,7,0))</f>
        <v>50</v>
      </c>
      <c r="D90" s="53">
        <f>IF(VLOOKUP(D$2,行为概览!$D$3:$J$33,7,0)="","",VLOOKUP(D$2,行为概览!$D$3:$J$33,7,0))</f>
        <v>3.3</v>
      </c>
      <c r="E90" s="53">
        <f>IF(VLOOKUP(E$2,行为概览!$D$3:$J$33,7,0)="","",VLOOKUP(E$2,行为概览!$D$3:$J$33,7,0))</f>
        <v>30</v>
      </c>
      <c r="F90" s="53">
        <f>IF(VLOOKUP(F$2,行为概览!$D$3:$J$33,7,0)="","",VLOOKUP(F$2,行为概览!$D$3:$J$33,7,0))</f>
        <v>15</v>
      </c>
      <c r="G90" s="53" t="str">
        <f>IF(VLOOKUP(G$2,行为概览!$D$3:$J$33,7,0)="","",VLOOKUP(G$2,行为概览!$D$3:$J$33,7,0))</f>
        <v/>
      </c>
      <c r="H90" s="53" t="str">
        <f>IF(VLOOKUP(H$2,行为概览!$D$3:$J$33,7,0)="","",VLOOKUP(H$2,行为概览!$D$3:$J$33,7,0))</f>
        <v/>
      </c>
      <c r="I90" s="53" t="str">
        <f>IF(VLOOKUP(I$2,行为概览!$D$3:$J$33,7,0)="","",VLOOKUP(I$2,行为概览!$D$3:$J$33,7,0))</f>
        <v/>
      </c>
      <c r="J90" s="53" t="str">
        <f>IF(VLOOKUP(J$2,行为概览!$D$3:$J$33,7,0)="","",VLOOKUP(J$2,行为概览!$D$3:$J$33,7,0))</f>
        <v/>
      </c>
      <c r="K90" s="53">
        <f>IF(VLOOKUP(K$2,行为概览!$D$3:$J$33,7,0)="","",VLOOKUP(K$2,行为概览!$D$3:$J$33,7,0))</f>
        <v>20</v>
      </c>
      <c r="L90" s="53">
        <f>IF(VLOOKUP(L$2,行为概览!$D$3:$J$33,7,0)="","",VLOOKUP(L$2,行为概览!$D$3:$J$33,7,0))</f>
        <v>20</v>
      </c>
      <c r="M90" s="53">
        <f>IF(VLOOKUP(M$2,行为概览!$D$3:$J$33,7,0)="","",VLOOKUP(M$2,行为概览!$D$3:$J$33,7,0))</f>
        <v>40</v>
      </c>
      <c r="N90" s="53">
        <f>IF(VLOOKUP(N$2,行为概览!$D$3:$J$33,7,0)="","",VLOOKUP(N$2,行为概览!$D$3:$J$33,7,0))</f>
        <v>1</v>
      </c>
      <c r="O90" s="53">
        <f>IF(VLOOKUP(O$2,行为概览!$D$3:$J$33,7,0)="","",VLOOKUP(O$2,行为概览!$D$3:$J$33,7,0))</f>
        <v>150</v>
      </c>
      <c r="P90" s="53">
        <f>IF(VLOOKUP(P$2,行为概览!$D$3:$J$33,7,0)="","",VLOOKUP(P$2,行为概览!$D$3:$J$33,7,0))</f>
        <v>10</v>
      </c>
      <c r="Q90" s="53">
        <f>IF(VLOOKUP(Q$2,行为概览!$D$3:$J$33,7,0)="","",VLOOKUP(Q$2,行为概览!$D$3:$J$33,7,0))</f>
        <v>20</v>
      </c>
      <c r="R90" s="53">
        <f>IF(VLOOKUP(R$2,行为概览!$D$3:$J$33,7,0)="","",VLOOKUP(R$2,行为概览!$D$3:$J$33,7,0))</f>
        <v>6</v>
      </c>
      <c r="S90" s="53">
        <f>IF(VLOOKUP(S$2,行为概览!$D$3:$J$33,7,0)="","",VLOOKUP(S$2,行为概览!$D$3:$J$33,7,0))</f>
        <v>20</v>
      </c>
      <c r="T90" s="53">
        <f>IF(VLOOKUP(T$2,行为概览!$D$3:$J$33,7,0)="","",VLOOKUP(T$2,行为概览!$D$3:$J$33,7,0))</f>
        <v>15</v>
      </c>
      <c r="U90" s="53">
        <f>IF(VLOOKUP(U$2,行为概览!$D$3:$J$33,7,0)="","",VLOOKUP(U$2,行为概览!$D$3:$J$33,7,0))</f>
        <v>15</v>
      </c>
      <c r="V90" s="53">
        <f>IF(VLOOKUP(V$2,行为概览!$D$3:$J$33,7,0)="","",VLOOKUP(V$2,行为概览!$D$3:$J$33,7,0))</f>
        <v>40</v>
      </c>
      <c r="W90" s="53">
        <f>IF(VLOOKUP(W$2,行为概览!$D$3:$J$33,7,0)="","",VLOOKUP(W$2,行为概览!$D$3:$J$33,7,0))</f>
        <v>15</v>
      </c>
      <c r="X90" s="53">
        <f>IF(VLOOKUP(X$2,行为概览!$D$3:$J$33,7,0)="","",VLOOKUP(X$2,行为概览!$D$3:$J$33,7,0))</f>
        <v>30</v>
      </c>
      <c r="Y90" s="53">
        <f>IF(VLOOKUP(Y$2,行为概览!$D$3:$J$33,7,0)="","",VLOOKUP(Y$2,行为概览!$D$3:$J$33,7,0))</f>
        <v>25</v>
      </c>
      <c r="Z90" s="53">
        <f>IF(VLOOKUP(Z$2,行为概览!$D$3:$J$33,7,0)="","",VLOOKUP(Z$2,行为概览!$D$3:$J$33,7,0))</f>
        <v>15</v>
      </c>
      <c r="AA90" s="53">
        <f>IF(VLOOKUP(AA$2,行为概览!$D$3:$J$33,7,0)="","",VLOOKUP(AA$2,行为概览!$D$3:$J$33,7,0))</f>
        <v>15</v>
      </c>
      <c r="AB90" s="53" t="str">
        <f>IF(VLOOKUP(AB$2,行为概览!$D$3:$J$33,7,0)="","",VLOOKUP(AB$2,行为概览!$D$3:$J$33,7,0))</f>
        <v/>
      </c>
      <c r="AC90" s="53" t="str">
        <f>IF(VLOOKUP(AC$2,行为概览!$D$3:$J$33,7,0)="","",VLOOKUP(AC$2,行为概览!$D$3:$J$33,7,0))</f>
        <v/>
      </c>
      <c r="AD90" s="53" t="str">
        <f>IF(VLOOKUP(AD$2,行为概览!$D$3:$J$33,7,0)="","",VLOOKUP(AD$2,行为概览!$D$3:$J$33,7,0))</f>
        <v/>
      </c>
      <c r="AE90" s="68" t="str">
        <f>IF(VLOOKUP(AE$2,行为概览!$D$3:$J$33,7,0)="","",VLOOKUP(AE$2,行为概览!$D$3:$J$33,7,0))</f>
        <v/>
      </c>
      <c r="AF90" s="1">
        <f>IF(C90="","",ROUND(C90*玩法行为规划!B90,2))</f>
        <v>16.670000000000002</v>
      </c>
      <c r="AG90" s="2">
        <f>IF(D90="","",ROUND(D90*玩法行为规划!C90,2))</f>
        <v>6.6</v>
      </c>
      <c r="AH90" s="2">
        <f>IF(E90="","",ROUND(E90*玩法行为规划!D90,2))</f>
        <v>2.5</v>
      </c>
      <c r="AI90" s="2">
        <f>IF(F90="","",ROUND(F90*玩法行为规划!E90,2))</f>
        <v>15</v>
      </c>
      <c r="AJ90" s="2" t="str">
        <f>IF(G90="","",ROUND(G90*玩法行为规划!F90,2))</f>
        <v/>
      </c>
      <c r="AK90" s="2" t="str">
        <f>IF(H90="","",ROUND(H90*玩法行为规划!G90,2))</f>
        <v/>
      </c>
      <c r="AL90" s="2" t="str">
        <f>IF(I90="","",ROUND(I90*玩法行为规划!H90,2))</f>
        <v/>
      </c>
      <c r="AM90" s="2" t="str">
        <f>IF(J90="","",ROUND(J90*玩法行为规划!I90,2))</f>
        <v/>
      </c>
      <c r="AN90" s="2">
        <f>IF(K90="","",ROUND(K90*玩法行为规划!J90,2))</f>
        <v>10</v>
      </c>
      <c r="AO90" s="2">
        <f>IF(L90="","",ROUND(L90*玩法行为规划!K90,2))</f>
        <v>3.33</v>
      </c>
      <c r="AP90" s="2">
        <f>IF(M90="","",ROUND(M90*玩法行为规划!L90,2))</f>
        <v>20</v>
      </c>
      <c r="AQ90" s="2">
        <f>IF(N90="","",ROUND(N90*玩法行为规划!M90,2))</f>
        <v>12</v>
      </c>
      <c r="AR90" s="2">
        <f>IF(O90="","",ROUND(O90*玩法行为规划!N90,2))</f>
        <v>12.5</v>
      </c>
      <c r="AS90" s="2">
        <f>IF(P90="","",ROUND(P90*玩法行为规划!O90,2))</f>
        <v>0.83</v>
      </c>
      <c r="AT90" s="2">
        <f>IF(Q90="","",ROUND(Q90*玩法行为规划!P90,2))</f>
        <v>52</v>
      </c>
      <c r="AU90" s="2">
        <f>IF(R90="","",ROUND(R90*玩法行为规划!Q90,2))</f>
        <v>6</v>
      </c>
      <c r="AV90" s="2">
        <f>IF(S90="","",ROUND(S90*玩法行为规划!R90,2))</f>
        <v>6.67</v>
      </c>
      <c r="AW90" s="2">
        <f>IF(T90="","",ROUND(T90*玩法行为规划!S90,2))</f>
        <v>0</v>
      </c>
      <c r="AX90" s="2">
        <f>IF(U90="","",ROUND(U90*玩法行为规划!T90,2))</f>
        <v>5</v>
      </c>
      <c r="AY90" s="2">
        <f>IF(V90="","",ROUND(V90*玩法行为规划!U90,2))</f>
        <v>6.67</v>
      </c>
      <c r="AZ90" s="2">
        <f>IF(W90="","",ROUND(W90*玩法行为规划!V90,2))</f>
        <v>2.5</v>
      </c>
      <c r="BA90" s="2">
        <f>IF(X90="","",ROUND(X90*玩法行为规划!W90,2))</f>
        <v>5</v>
      </c>
      <c r="BB90" s="2">
        <f>IF(Y90="","",ROUND(Y90*玩法行为规划!X90,2))</f>
        <v>6.25</v>
      </c>
      <c r="BC90" s="2">
        <f>IF(Z90="","",ROUND(Z90*玩法行为规划!Y90,2))</f>
        <v>8.75</v>
      </c>
      <c r="BD90" s="2">
        <f>IF(AA90="","",ROUND(AA90*玩法行为规划!Z90,2))</f>
        <v>2.5</v>
      </c>
      <c r="BE90" s="2" t="str">
        <f>IF(AB90="","",ROUND(AB90*玩法行为规划!AA90,2))</f>
        <v/>
      </c>
      <c r="BF90" s="2" t="str">
        <f>IF(AC90="","",ROUND(AC90*玩法行为规划!AB90,2))</f>
        <v/>
      </c>
      <c r="BG90" s="2" t="str">
        <f>IF(AD90="","",ROUND(AD90*玩法行为规划!AC90,2))</f>
        <v/>
      </c>
      <c r="BH90" s="3" t="str">
        <f>IF(AE90="","",ROUND(AE90*玩法行为规划!AD90,2))</f>
        <v/>
      </c>
      <c r="BI90" s="7">
        <f t="shared" si="11"/>
        <v>200.76999999999998</v>
      </c>
      <c r="BJ90" s="7">
        <f t="shared" si="12"/>
        <v>7067103.9999999991</v>
      </c>
      <c r="BK90" s="69">
        <f t="shared" si="15"/>
        <v>2457000</v>
      </c>
      <c r="BL90" s="21" t="str">
        <f t="shared" si="16"/>
        <v/>
      </c>
      <c r="BM90" s="7">
        <f t="shared" si="13"/>
        <v>3.0337447615580951E-2</v>
      </c>
      <c r="BN90" s="69">
        <f>INT(BJ90*升级节奏!G90+BK90)</f>
        <v>80989015</v>
      </c>
      <c r="BO90" s="7">
        <f t="shared" si="14"/>
        <v>391</v>
      </c>
      <c r="BP90" s="7"/>
    </row>
    <row r="91" spans="1:68">
      <c r="A91" s="29">
        <v>89</v>
      </c>
      <c r="B91" s="84">
        <f>升级节奏!C91</f>
        <v>35600</v>
      </c>
      <c r="C91" s="53">
        <f>IF(VLOOKUP(C$2,行为概览!$D$3:$J$33,7,0)="","",VLOOKUP(C$2,行为概览!$D$3:$J$33,7,0))</f>
        <v>50</v>
      </c>
      <c r="D91" s="53">
        <f>IF(VLOOKUP(D$2,行为概览!$D$3:$J$33,7,0)="","",VLOOKUP(D$2,行为概览!$D$3:$J$33,7,0))</f>
        <v>3.3</v>
      </c>
      <c r="E91" s="53">
        <f>IF(VLOOKUP(E$2,行为概览!$D$3:$J$33,7,0)="","",VLOOKUP(E$2,行为概览!$D$3:$J$33,7,0))</f>
        <v>30</v>
      </c>
      <c r="F91" s="53">
        <f>IF(VLOOKUP(F$2,行为概览!$D$3:$J$33,7,0)="","",VLOOKUP(F$2,行为概览!$D$3:$J$33,7,0))</f>
        <v>15</v>
      </c>
      <c r="G91" s="53" t="str">
        <f>IF(VLOOKUP(G$2,行为概览!$D$3:$J$33,7,0)="","",VLOOKUP(G$2,行为概览!$D$3:$J$33,7,0))</f>
        <v/>
      </c>
      <c r="H91" s="53" t="str">
        <f>IF(VLOOKUP(H$2,行为概览!$D$3:$J$33,7,0)="","",VLOOKUP(H$2,行为概览!$D$3:$J$33,7,0))</f>
        <v/>
      </c>
      <c r="I91" s="53" t="str">
        <f>IF(VLOOKUP(I$2,行为概览!$D$3:$J$33,7,0)="","",VLOOKUP(I$2,行为概览!$D$3:$J$33,7,0))</f>
        <v/>
      </c>
      <c r="J91" s="53" t="str">
        <f>IF(VLOOKUP(J$2,行为概览!$D$3:$J$33,7,0)="","",VLOOKUP(J$2,行为概览!$D$3:$J$33,7,0))</f>
        <v/>
      </c>
      <c r="K91" s="53">
        <f>IF(VLOOKUP(K$2,行为概览!$D$3:$J$33,7,0)="","",VLOOKUP(K$2,行为概览!$D$3:$J$33,7,0))</f>
        <v>20</v>
      </c>
      <c r="L91" s="53">
        <f>IF(VLOOKUP(L$2,行为概览!$D$3:$J$33,7,0)="","",VLOOKUP(L$2,行为概览!$D$3:$J$33,7,0))</f>
        <v>20</v>
      </c>
      <c r="M91" s="53">
        <f>IF(VLOOKUP(M$2,行为概览!$D$3:$J$33,7,0)="","",VLOOKUP(M$2,行为概览!$D$3:$J$33,7,0))</f>
        <v>40</v>
      </c>
      <c r="N91" s="53">
        <f>IF(VLOOKUP(N$2,行为概览!$D$3:$J$33,7,0)="","",VLOOKUP(N$2,行为概览!$D$3:$J$33,7,0))</f>
        <v>1</v>
      </c>
      <c r="O91" s="53">
        <f>IF(VLOOKUP(O$2,行为概览!$D$3:$J$33,7,0)="","",VLOOKUP(O$2,行为概览!$D$3:$J$33,7,0))</f>
        <v>150</v>
      </c>
      <c r="P91" s="53">
        <f>IF(VLOOKUP(P$2,行为概览!$D$3:$J$33,7,0)="","",VLOOKUP(P$2,行为概览!$D$3:$J$33,7,0))</f>
        <v>10</v>
      </c>
      <c r="Q91" s="53">
        <f>IF(VLOOKUP(Q$2,行为概览!$D$3:$J$33,7,0)="","",VLOOKUP(Q$2,行为概览!$D$3:$J$33,7,0))</f>
        <v>20</v>
      </c>
      <c r="R91" s="53">
        <f>IF(VLOOKUP(R$2,行为概览!$D$3:$J$33,7,0)="","",VLOOKUP(R$2,行为概览!$D$3:$J$33,7,0))</f>
        <v>6</v>
      </c>
      <c r="S91" s="53">
        <f>IF(VLOOKUP(S$2,行为概览!$D$3:$J$33,7,0)="","",VLOOKUP(S$2,行为概览!$D$3:$J$33,7,0))</f>
        <v>20</v>
      </c>
      <c r="T91" s="53">
        <f>IF(VLOOKUP(T$2,行为概览!$D$3:$J$33,7,0)="","",VLOOKUP(T$2,行为概览!$D$3:$J$33,7,0))</f>
        <v>15</v>
      </c>
      <c r="U91" s="53">
        <f>IF(VLOOKUP(U$2,行为概览!$D$3:$J$33,7,0)="","",VLOOKUP(U$2,行为概览!$D$3:$J$33,7,0))</f>
        <v>15</v>
      </c>
      <c r="V91" s="53">
        <f>IF(VLOOKUP(V$2,行为概览!$D$3:$J$33,7,0)="","",VLOOKUP(V$2,行为概览!$D$3:$J$33,7,0))</f>
        <v>40</v>
      </c>
      <c r="W91" s="53">
        <f>IF(VLOOKUP(W$2,行为概览!$D$3:$J$33,7,0)="","",VLOOKUP(W$2,行为概览!$D$3:$J$33,7,0))</f>
        <v>15</v>
      </c>
      <c r="X91" s="53">
        <f>IF(VLOOKUP(X$2,行为概览!$D$3:$J$33,7,0)="","",VLOOKUP(X$2,行为概览!$D$3:$J$33,7,0))</f>
        <v>30</v>
      </c>
      <c r="Y91" s="53">
        <f>IF(VLOOKUP(Y$2,行为概览!$D$3:$J$33,7,0)="","",VLOOKUP(Y$2,行为概览!$D$3:$J$33,7,0))</f>
        <v>25</v>
      </c>
      <c r="Z91" s="53">
        <f>IF(VLOOKUP(Z$2,行为概览!$D$3:$J$33,7,0)="","",VLOOKUP(Z$2,行为概览!$D$3:$J$33,7,0))</f>
        <v>15</v>
      </c>
      <c r="AA91" s="53">
        <f>IF(VLOOKUP(AA$2,行为概览!$D$3:$J$33,7,0)="","",VLOOKUP(AA$2,行为概览!$D$3:$J$33,7,0))</f>
        <v>15</v>
      </c>
      <c r="AB91" s="53" t="str">
        <f>IF(VLOOKUP(AB$2,行为概览!$D$3:$J$33,7,0)="","",VLOOKUP(AB$2,行为概览!$D$3:$J$33,7,0))</f>
        <v/>
      </c>
      <c r="AC91" s="53" t="str">
        <f>IF(VLOOKUP(AC$2,行为概览!$D$3:$J$33,7,0)="","",VLOOKUP(AC$2,行为概览!$D$3:$J$33,7,0))</f>
        <v/>
      </c>
      <c r="AD91" s="53" t="str">
        <f>IF(VLOOKUP(AD$2,行为概览!$D$3:$J$33,7,0)="","",VLOOKUP(AD$2,行为概览!$D$3:$J$33,7,0))</f>
        <v/>
      </c>
      <c r="AE91" s="68" t="str">
        <f>IF(VLOOKUP(AE$2,行为概览!$D$3:$J$33,7,0)="","",VLOOKUP(AE$2,行为概览!$D$3:$J$33,7,0))</f>
        <v/>
      </c>
      <c r="AF91" s="1">
        <f>IF(C91="","",ROUND(C91*玩法行为规划!B91,2))</f>
        <v>16.670000000000002</v>
      </c>
      <c r="AG91" s="2">
        <f>IF(D91="","",ROUND(D91*玩法行为规划!C91,2))</f>
        <v>6.6</v>
      </c>
      <c r="AH91" s="2">
        <f>IF(E91="","",ROUND(E91*玩法行为规划!D91,2))</f>
        <v>2.5</v>
      </c>
      <c r="AI91" s="2">
        <f>IF(F91="","",ROUND(F91*玩法行为规划!E91,2))</f>
        <v>15</v>
      </c>
      <c r="AJ91" s="2" t="str">
        <f>IF(G91="","",ROUND(G91*玩法行为规划!F91,2))</f>
        <v/>
      </c>
      <c r="AK91" s="2" t="str">
        <f>IF(H91="","",ROUND(H91*玩法行为规划!G91,2))</f>
        <v/>
      </c>
      <c r="AL91" s="2" t="str">
        <f>IF(I91="","",ROUND(I91*玩法行为规划!H91,2))</f>
        <v/>
      </c>
      <c r="AM91" s="2" t="str">
        <f>IF(J91="","",ROUND(J91*玩法行为规划!I91,2))</f>
        <v/>
      </c>
      <c r="AN91" s="2">
        <f>IF(K91="","",ROUND(K91*玩法行为规划!J91,2))</f>
        <v>10</v>
      </c>
      <c r="AO91" s="2">
        <f>IF(L91="","",ROUND(L91*玩法行为规划!K91,2))</f>
        <v>3.33</v>
      </c>
      <c r="AP91" s="2">
        <f>IF(M91="","",ROUND(M91*玩法行为规划!L91,2))</f>
        <v>20</v>
      </c>
      <c r="AQ91" s="2">
        <f>IF(N91="","",ROUND(N91*玩法行为规划!M91,2))</f>
        <v>12</v>
      </c>
      <c r="AR91" s="2">
        <f>IF(O91="","",ROUND(O91*玩法行为规划!N91,2))</f>
        <v>12.5</v>
      </c>
      <c r="AS91" s="2">
        <f>IF(P91="","",ROUND(P91*玩法行为规划!O91,2))</f>
        <v>0.83</v>
      </c>
      <c r="AT91" s="2">
        <f>IF(Q91="","",ROUND(Q91*玩法行为规划!P91,2))</f>
        <v>52</v>
      </c>
      <c r="AU91" s="2">
        <f>IF(R91="","",ROUND(R91*玩法行为规划!Q91,2))</f>
        <v>6</v>
      </c>
      <c r="AV91" s="2">
        <f>IF(S91="","",ROUND(S91*玩法行为规划!R91,2))</f>
        <v>6.67</v>
      </c>
      <c r="AW91" s="2">
        <f>IF(T91="","",ROUND(T91*玩法行为规划!S91,2))</f>
        <v>0</v>
      </c>
      <c r="AX91" s="2">
        <f>IF(U91="","",ROUND(U91*玩法行为规划!T91,2))</f>
        <v>5</v>
      </c>
      <c r="AY91" s="2">
        <f>IF(V91="","",ROUND(V91*玩法行为规划!U91,2))</f>
        <v>6.67</v>
      </c>
      <c r="AZ91" s="2">
        <f>IF(W91="","",ROUND(W91*玩法行为规划!V91,2))</f>
        <v>2.5</v>
      </c>
      <c r="BA91" s="2">
        <f>IF(X91="","",ROUND(X91*玩法行为规划!W91,2))</f>
        <v>5</v>
      </c>
      <c r="BB91" s="2">
        <f>IF(Y91="","",ROUND(Y91*玩法行为规划!X91,2))</f>
        <v>6.25</v>
      </c>
      <c r="BC91" s="2">
        <f>IF(Z91="","",ROUND(Z91*玩法行为规划!Y91,2))</f>
        <v>8.75</v>
      </c>
      <c r="BD91" s="2">
        <f>IF(AA91="","",ROUND(AA91*玩法行为规划!Z91,2))</f>
        <v>2.5</v>
      </c>
      <c r="BE91" s="2" t="str">
        <f>IF(AB91="","",ROUND(AB91*玩法行为规划!AA91,2))</f>
        <v/>
      </c>
      <c r="BF91" s="2" t="str">
        <f>IF(AC91="","",ROUND(AC91*玩法行为规划!AB91,2))</f>
        <v/>
      </c>
      <c r="BG91" s="2" t="str">
        <f>IF(AD91="","",ROUND(AD91*玩法行为规划!AC91,2))</f>
        <v/>
      </c>
      <c r="BH91" s="3" t="str">
        <f>IF(AE91="","",ROUND(AE91*玩法行为规划!AD91,2))</f>
        <v/>
      </c>
      <c r="BI91" s="7">
        <f t="shared" si="11"/>
        <v>200.76999999999998</v>
      </c>
      <c r="BJ91" s="7">
        <f t="shared" si="12"/>
        <v>7147411.9999999991</v>
      </c>
      <c r="BK91" s="69">
        <f t="shared" si="15"/>
        <v>2524000</v>
      </c>
      <c r="BL91" s="21" t="str">
        <f t="shared" si="16"/>
        <v/>
      </c>
      <c r="BM91" s="7">
        <f t="shared" si="13"/>
        <v>3.0140682711302009E-2</v>
      </c>
      <c r="BN91" s="69">
        <f>INT(BJ91*升级节奏!G91+BK91)</f>
        <v>83740638</v>
      </c>
      <c r="BO91" s="7">
        <f t="shared" si="14"/>
        <v>396</v>
      </c>
      <c r="BP91" s="7"/>
    </row>
    <row r="92" spans="1:68">
      <c r="A92" s="29">
        <v>90</v>
      </c>
      <c r="B92" s="84">
        <f>升级节奏!C92</f>
        <v>36000</v>
      </c>
      <c r="C92" s="53">
        <f>IF(VLOOKUP(C$2,行为概览!$D$3:$J$33,7,0)="","",VLOOKUP(C$2,行为概览!$D$3:$J$33,7,0))</f>
        <v>50</v>
      </c>
      <c r="D92" s="53">
        <f>IF(VLOOKUP(D$2,行为概览!$D$3:$J$33,7,0)="","",VLOOKUP(D$2,行为概览!$D$3:$J$33,7,0))</f>
        <v>3.3</v>
      </c>
      <c r="E92" s="53">
        <f>IF(VLOOKUP(E$2,行为概览!$D$3:$J$33,7,0)="","",VLOOKUP(E$2,行为概览!$D$3:$J$33,7,0))</f>
        <v>30</v>
      </c>
      <c r="F92" s="53">
        <f>IF(VLOOKUP(F$2,行为概览!$D$3:$J$33,7,0)="","",VLOOKUP(F$2,行为概览!$D$3:$J$33,7,0))</f>
        <v>15</v>
      </c>
      <c r="G92" s="53" t="str">
        <f>IF(VLOOKUP(G$2,行为概览!$D$3:$J$33,7,0)="","",VLOOKUP(G$2,行为概览!$D$3:$J$33,7,0))</f>
        <v/>
      </c>
      <c r="H92" s="53" t="str">
        <f>IF(VLOOKUP(H$2,行为概览!$D$3:$J$33,7,0)="","",VLOOKUP(H$2,行为概览!$D$3:$J$33,7,0))</f>
        <v/>
      </c>
      <c r="I92" s="53" t="str">
        <f>IF(VLOOKUP(I$2,行为概览!$D$3:$J$33,7,0)="","",VLOOKUP(I$2,行为概览!$D$3:$J$33,7,0))</f>
        <v/>
      </c>
      <c r="J92" s="53" t="str">
        <f>IF(VLOOKUP(J$2,行为概览!$D$3:$J$33,7,0)="","",VLOOKUP(J$2,行为概览!$D$3:$J$33,7,0))</f>
        <v/>
      </c>
      <c r="K92" s="53">
        <f>IF(VLOOKUP(K$2,行为概览!$D$3:$J$33,7,0)="","",VLOOKUP(K$2,行为概览!$D$3:$J$33,7,0))</f>
        <v>20</v>
      </c>
      <c r="L92" s="53">
        <f>IF(VLOOKUP(L$2,行为概览!$D$3:$J$33,7,0)="","",VLOOKUP(L$2,行为概览!$D$3:$J$33,7,0))</f>
        <v>20</v>
      </c>
      <c r="M92" s="53">
        <f>IF(VLOOKUP(M$2,行为概览!$D$3:$J$33,7,0)="","",VLOOKUP(M$2,行为概览!$D$3:$J$33,7,0))</f>
        <v>40</v>
      </c>
      <c r="N92" s="53">
        <f>IF(VLOOKUP(N$2,行为概览!$D$3:$J$33,7,0)="","",VLOOKUP(N$2,行为概览!$D$3:$J$33,7,0))</f>
        <v>1</v>
      </c>
      <c r="O92" s="53">
        <f>IF(VLOOKUP(O$2,行为概览!$D$3:$J$33,7,0)="","",VLOOKUP(O$2,行为概览!$D$3:$J$33,7,0))</f>
        <v>150</v>
      </c>
      <c r="P92" s="53">
        <f>IF(VLOOKUP(P$2,行为概览!$D$3:$J$33,7,0)="","",VLOOKUP(P$2,行为概览!$D$3:$J$33,7,0))</f>
        <v>10</v>
      </c>
      <c r="Q92" s="53">
        <f>IF(VLOOKUP(Q$2,行为概览!$D$3:$J$33,7,0)="","",VLOOKUP(Q$2,行为概览!$D$3:$J$33,7,0))</f>
        <v>20</v>
      </c>
      <c r="R92" s="53">
        <f>IF(VLOOKUP(R$2,行为概览!$D$3:$J$33,7,0)="","",VLOOKUP(R$2,行为概览!$D$3:$J$33,7,0))</f>
        <v>6</v>
      </c>
      <c r="S92" s="53">
        <f>IF(VLOOKUP(S$2,行为概览!$D$3:$J$33,7,0)="","",VLOOKUP(S$2,行为概览!$D$3:$J$33,7,0))</f>
        <v>20</v>
      </c>
      <c r="T92" s="53">
        <f>IF(VLOOKUP(T$2,行为概览!$D$3:$J$33,7,0)="","",VLOOKUP(T$2,行为概览!$D$3:$J$33,7,0))</f>
        <v>15</v>
      </c>
      <c r="U92" s="53">
        <f>IF(VLOOKUP(U$2,行为概览!$D$3:$J$33,7,0)="","",VLOOKUP(U$2,行为概览!$D$3:$J$33,7,0))</f>
        <v>15</v>
      </c>
      <c r="V92" s="53">
        <f>IF(VLOOKUP(V$2,行为概览!$D$3:$J$33,7,0)="","",VLOOKUP(V$2,行为概览!$D$3:$J$33,7,0))</f>
        <v>40</v>
      </c>
      <c r="W92" s="53">
        <f>IF(VLOOKUP(W$2,行为概览!$D$3:$J$33,7,0)="","",VLOOKUP(W$2,行为概览!$D$3:$J$33,7,0))</f>
        <v>15</v>
      </c>
      <c r="X92" s="53">
        <f>IF(VLOOKUP(X$2,行为概览!$D$3:$J$33,7,0)="","",VLOOKUP(X$2,行为概览!$D$3:$J$33,7,0))</f>
        <v>30</v>
      </c>
      <c r="Y92" s="53">
        <f>IF(VLOOKUP(Y$2,行为概览!$D$3:$J$33,7,0)="","",VLOOKUP(Y$2,行为概览!$D$3:$J$33,7,0))</f>
        <v>25</v>
      </c>
      <c r="Z92" s="53">
        <f>IF(VLOOKUP(Z$2,行为概览!$D$3:$J$33,7,0)="","",VLOOKUP(Z$2,行为概览!$D$3:$J$33,7,0))</f>
        <v>15</v>
      </c>
      <c r="AA92" s="53">
        <f>IF(VLOOKUP(AA$2,行为概览!$D$3:$J$33,7,0)="","",VLOOKUP(AA$2,行为概览!$D$3:$J$33,7,0))</f>
        <v>15</v>
      </c>
      <c r="AB92" s="53" t="str">
        <f>IF(VLOOKUP(AB$2,行为概览!$D$3:$J$33,7,0)="","",VLOOKUP(AB$2,行为概览!$D$3:$J$33,7,0))</f>
        <v/>
      </c>
      <c r="AC92" s="53" t="str">
        <f>IF(VLOOKUP(AC$2,行为概览!$D$3:$J$33,7,0)="","",VLOOKUP(AC$2,行为概览!$D$3:$J$33,7,0))</f>
        <v/>
      </c>
      <c r="AD92" s="53" t="str">
        <f>IF(VLOOKUP(AD$2,行为概览!$D$3:$J$33,7,0)="","",VLOOKUP(AD$2,行为概览!$D$3:$J$33,7,0))</f>
        <v/>
      </c>
      <c r="AE92" s="68" t="str">
        <f>IF(VLOOKUP(AE$2,行为概览!$D$3:$J$33,7,0)="","",VLOOKUP(AE$2,行为概览!$D$3:$J$33,7,0))</f>
        <v/>
      </c>
      <c r="AF92" s="1">
        <f>IF(C92="","",ROUND(C92*玩法行为规划!B92,2))</f>
        <v>16.670000000000002</v>
      </c>
      <c r="AG92" s="2">
        <f>IF(D92="","",ROUND(D92*玩法行为规划!C92,2))</f>
        <v>6.6</v>
      </c>
      <c r="AH92" s="2">
        <f>IF(E92="","",ROUND(E92*玩法行为规划!D92,2))</f>
        <v>2.5</v>
      </c>
      <c r="AI92" s="2">
        <f>IF(F92="","",ROUND(F92*玩法行为规划!E92,2))</f>
        <v>15</v>
      </c>
      <c r="AJ92" s="2" t="str">
        <f>IF(G92="","",ROUND(G92*玩法行为规划!F92,2))</f>
        <v/>
      </c>
      <c r="AK92" s="2" t="str">
        <f>IF(H92="","",ROUND(H92*玩法行为规划!G92,2))</f>
        <v/>
      </c>
      <c r="AL92" s="2" t="str">
        <f>IF(I92="","",ROUND(I92*玩法行为规划!H92,2))</f>
        <v/>
      </c>
      <c r="AM92" s="2" t="str">
        <f>IF(J92="","",ROUND(J92*玩法行为规划!I92,2))</f>
        <v/>
      </c>
      <c r="AN92" s="2">
        <f>IF(K92="","",ROUND(K92*玩法行为规划!J92,2))</f>
        <v>10</v>
      </c>
      <c r="AO92" s="2">
        <f>IF(L92="","",ROUND(L92*玩法行为规划!K92,2))</f>
        <v>3.33</v>
      </c>
      <c r="AP92" s="2">
        <f>IF(M92="","",ROUND(M92*玩法行为规划!L92,2))</f>
        <v>20</v>
      </c>
      <c r="AQ92" s="2">
        <f>IF(N92="","",ROUND(N92*玩法行为规划!M92,2))</f>
        <v>12</v>
      </c>
      <c r="AR92" s="2">
        <f>IF(O92="","",ROUND(O92*玩法行为规划!N92,2))</f>
        <v>12.5</v>
      </c>
      <c r="AS92" s="2">
        <f>IF(P92="","",ROUND(P92*玩法行为规划!O92,2))</f>
        <v>0.83</v>
      </c>
      <c r="AT92" s="2">
        <f>IF(Q92="","",ROUND(Q92*玩法行为规划!P92,2))</f>
        <v>52</v>
      </c>
      <c r="AU92" s="2">
        <f>IF(R92="","",ROUND(R92*玩法行为规划!Q92,2))</f>
        <v>6</v>
      </c>
      <c r="AV92" s="2">
        <f>IF(S92="","",ROUND(S92*玩法行为规划!R92,2))</f>
        <v>6.67</v>
      </c>
      <c r="AW92" s="2">
        <f>IF(T92="","",ROUND(T92*玩法行为规划!S92,2))</f>
        <v>0</v>
      </c>
      <c r="AX92" s="2">
        <f>IF(U92="","",ROUND(U92*玩法行为规划!T92,2))</f>
        <v>5</v>
      </c>
      <c r="AY92" s="2">
        <f>IF(V92="","",ROUND(V92*玩法行为规划!U92,2))</f>
        <v>6.67</v>
      </c>
      <c r="AZ92" s="2">
        <f>IF(W92="","",ROUND(W92*玩法行为规划!V92,2))</f>
        <v>2.5</v>
      </c>
      <c r="BA92" s="2">
        <f>IF(X92="","",ROUND(X92*玩法行为规划!W92,2))</f>
        <v>5</v>
      </c>
      <c r="BB92" s="2">
        <f>IF(Y92="","",ROUND(Y92*玩法行为规划!X92,2))</f>
        <v>6.25</v>
      </c>
      <c r="BC92" s="2">
        <f>IF(Z92="","",ROUND(Z92*玩法行为规划!Y92,2))</f>
        <v>8.75</v>
      </c>
      <c r="BD92" s="2">
        <f>IF(AA92="","",ROUND(AA92*玩法行为规划!Z92,2))</f>
        <v>2.5</v>
      </c>
      <c r="BE92" s="2" t="str">
        <f>IF(AB92="","",ROUND(AB92*玩法行为规划!AA92,2))</f>
        <v/>
      </c>
      <c r="BF92" s="2" t="str">
        <f>IF(AC92="","",ROUND(AC92*玩法行为规划!AB92,2))</f>
        <v/>
      </c>
      <c r="BG92" s="2" t="str">
        <f>IF(AD92="","",ROUND(AD92*玩法行为规划!AC92,2))</f>
        <v/>
      </c>
      <c r="BH92" s="3" t="str">
        <f>IF(AE92="","",ROUND(AE92*玩法行为规划!AD92,2))</f>
        <v/>
      </c>
      <c r="BI92" s="7">
        <f t="shared" si="11"/>
        <v>200.76999999999998</v>
      </c>
      <c r="BJ92" s="7">
        <f t="shared" si="12"/>
        <v>7227719.9999999991</v>
      </c>
      <c r="BK92" s="69">
        <f t="shared" si="15"/>
        <v>2592000</v>
      </c>
      <c r="BL92" s="21">
        <f t="shared" si="16"/>
        <v>29123400</v>
      </c>
      <c r="BM92" s="7">
        <f t="shared" si="13"/>
        <v>2.9946618073657449E-2</v>
      </c>
      <c r="BN92" s="69">
        <f>INT(BJ92*升级节奏!G92+BK92)</f>
        <v>86554014</v>
      </c>
      <c r="BO92" s="7">
        <f t="shared" si="14"/>
        <v>400</v>
      </c>
      <c r="BP92" s="7"/>
    </row>
    <row r="93" spans="1:68">
      <c r="A93" s="29">
        <v>91</v>
      </c>
      <c r="B93" s="84">
        <f>升级节奏!C93</f>
        <v>36400</v>
      </c>
      <c r="C93" s="53">
        <f>IF(VLOOKUP(C$2,行为概览!$D$3:$J$33,7,0)="","",VLOOKUP(C$2,行为概览!$D$3:$J$33,7,0))</f>
        <v>50</v>
      </c>
      <c r="D93" s="53">
        <f>IF(VLOOKUP(D$2,行为概览!$D$3:$J$33,7,0)="","",VLOOKUP(D$2,行为概览!$D$3:$J$33,7,0))</f>
        <v>3.3</v>
      </c>
      <c r="E93" s="53">
        <f>IF(VLOOKUP(E$2,行为概览!$D$3:$J$33,7,0)="","",VLOOKUP(E$2,行为概览!$D$3:$J$33,7,0))</f>
        <v>30</v>
      </c>
      <c r="F93" s="53">
        <f>IF(VLOOKUP(F$2,行为概览!$D$3:$J$33,7,0)="","",VLOOKUP(F$2,行为概览!$D$3:$J$33,7,0))</f>
        <v>15</v>
      </c>
      <c r="G93" s="53" t="str">
        <f>IF(VLOOKUP(G$2,行为概览!$D$3:$J$33,7,0)="","",VLOOKUP(G$2,行为概览!$D$3:$J$33,7,0))</f>
        <v/>
      </c>
      <c r="H93" s="53" t="str">
        <f>IF(VLOOKUP(H$2,行为概览!$D$3:$J$33,7,0)="","",VLOOKUP(H$2,行为概览!$D$3:$J$33,7,0))</f>
        <v/>
      </c>
      <c r="I93" s="53" t="str">
        <f>IF(VLOOKUP(I$2,行为概览!$D$3:$J$33,7,0)="","",VLOOKUP(I$2,行为概览!$D$3:$J$33,7,0))</f>
        <v/>
      </c>
      <c r="J93" s="53" t="str">
        <f>IF(VLOOKUP(J$2,行为概览!$D$3:$J$33,7,0)="","",VLOOKUP(J$2,行为概览!$D$3:$J$33,7,0))</f>
        <v/>
      </c>
      <c r="K93" s="53">
        <f>IF(VLOOKUP(K$2,行为概览!$D$3:$J$33,7,0)="","",VLOOKUP(K$2,行为概览!$D$3:$J$33,7,0))</f>
        <v>20</v>
      </c>
      <c r="L93" s="53">
        <f>IF(VLOOKUP(L$2,行为概览!$D$3:$J$33,7,0)="","",VLOOKUP(L$2,行为概览!$D$3:$J$33,7,0))</f>
        <v>20</v>
      </c>
      <c r="M93" s="53">
        <f>IF(VLOOKUP(M$2,行为概览!$D$3:$J$33,7,0)="","",VLOOKUP(M$2,行为概览!$D$3:$J$33,7,0))</f>
        <v>40</v>
      </c>
      <c r="N93" s="53">
        <f>IF(VLOOKUP(N$2,行为概览!$D$3:$J$33,7,0)="","",VLOOKUP(N$2,行为概览!$D$3:$J$33,7,0))</f>
        <v>1</v>
      </c>
      <c r="O93" s="53">
        <f>IF(VLOOKUP(O$2,行为概览!$D$3:$J$33,7,0)="","",VLOOKUP(O$2,行为概览!$D$3:$J$33,7,0))</f>
        <v>150</v>
      </c>
      <c r="P93" s="53">
        <f>IF(VLOOKUP(P$2,行为概览!$D$3:$J$33,7,0)="","",VLOOKUP(P$2,行为概览!$D$3:$J$33,7,0))</f>
        <v>10</v>
      </c>
      <c r="Q93" s="53">
        <f>IF(VLOOKUP(Q$2,行为概览!$D$3:$J$33,7,0)="","",VLOOKUP(Q$2,行为概览!$D$3:$J$33,7,0))</f>
        <v>20</v>
      </c>
      <c r="R93" s="53">
        <f>IF(VLOOKUP(R$2,行为概览!$D$3:$J$33,7,0)="","",VLOOKUP(R$2,行为概览!$D$3:$J$33,7,0))</f>
        <v>6</v>
      </c>
      <c r="S93" s="53">
        <f>IF(VLOOKUP(S$2,行为概览!$D$3:$J$33,7,0)="","",VLOOKUP(S$2,行为概览!$D$3:$J$33,7,0))</f>
        <v>20</v>
      </c>
      <c r="T93" s="53">
        <f>IF(VLOOKUP(T$2,行为概览!$D$3:$J$33,7,0)="","",VLOOKUP(T$2,行为概览!$D$3:$J$33,7,0))</f>
        <v>15</v>
      </c>
      <c r="U93" s="53">
        <f>IF(VLOOKUP(U$2,行为概览!$D$3:$J$33,7,0)="","",VLOOKUP(U$2,行为概览!$D$3:$J$33,7,0))</f>
        <v>15</v>
      </c>
      <c r="V93" s="53">
        <f>IF(VLOOKUP(V$2,行为概览!$D$3:$J$33,7,0)="","",VLOOKUP(V$2,行为概览!$D$3:$J$33,7,0))</f>
        <v>40</v>
      </c>
      <c r="W93" s="53">
        <f>IF(VLOOKUP(W$2,行为概览!$D$3:$J$33,7,0)="","",VLOOKUP(W$2,行为概览!$D$3:$J$33,7,0))</f>
        <v>15</v>
      </c>
      <c r="X93" s="53">
        <f>IF(VLOOKUP(X$2,行为概览!$D$3:$J$33,7,0)="","",VLOOKUP(X$2,行为概览!$D$3:$J$33,7,0))</f>
        <v>30</v>
      </c>
      <c r="Y93" s="53">
        <f>IF(VLOOKUP(Y$2,行为概览!$D$3:$J$33,7,0)="","",VLOOKUP(Y$2,行为概览!$D$3:$J$33,7,0))</f>
        <v>25</v>
      </c>
      <c r="Z93" s="53">
        <f>IF(VLOOKUP(Z$2,行为概览!$D$3:$J$33,7,0)="","",VLOOKUP(Z$2,行为概览!$D$3:$J$33,7,0))</f>
        <v>15</v>
      </c>
      <c r="AA93" s="53">
        <f>IF(VLOOKUP(AA$2,行为概览!$D$3:$J$33,7,0)="","",VLOOKUP(AA$2,行为概览!$D$3:$J$33,7,0))</f>
        <v>15</v>
      </c>
      <c r="AB93" s="53" t="str">
        <f>IF(VLOOKUP(AB$2,行为概览!$D$3:$J$33,7,0)="","",VLOOKUP(AB$2,行为概览!$D$3:$J$33,7,0))</f>
        <v/>
      </c>
      <c r="AC93" s="53" t="str">
        <f>IF(VLOOKUP(AC$2,行为概览!$D$3:$J$33,7,0)="","",VLOOKUP(AC$2,行为概览!$D$3:$J$33,7,0))</f>
        <v/>
      </c>
      <c r="AD93" s="53" t="str">
        <f>IF(VLOOKUP(AD$2,行为概览!$D$3:$J$33,7,0)="","",VLOOKUP(AD$2,行为概览!$D$3:$J$33,7,0))</f>
        <v/>
      </c>
      <c r="AE93" s="68" t="str">
        <f>IF(VLOOKUP(AE$2,行为概览!$D$3:$J$33,7,0)="","",VLOOKUP(AE$2,行为概览!$D$3:$J$33,7,0))</f>
        <v/>
      </c>
      <c r="AF93" s="1">
        <f>IF(C93="","",ROUND(C93*玩法行为规划!B93,2))</f>
        <v>16.670000000000002</v>
      </c>
      <c r="AG93" s="2">
        <f>IF(D93="","",ROUND(D93*玩法行为规划!C93,2))</f>
        <v>6.6</v>
      </c>
      <c r="AH93" s="2">
        <f>IF(E93="","",ROUND(E93*玩法行为规划!D93,2))</f>
        <v>2.5</v>
      </c>
      <c r="AI93" s="2">
        <f>IF(F93="","",ROUND(F93*玩法行为规划!E93,2))</f>
        <v>15</v>
      </c>
      <c r="AJ93" s="2" t="str">
        <f>IF(G93="","",ROUND(G93*玩法行为规划!F93,2))</f>
        <v/>
      </c>
      <c r="AK93" s="2" t="str">
        <f>IF(H93="","",ROUND(H93*玩法行为规划!G93,2))</f>
        <v/>
      </c>
      <c r="AL93" s="2" t="str">
        <f>IF(I93="","",ROUND(I93*玩法行为规划!H93,2))</f>
        <v/>
      </c>
      <c r="AM93" s="2" t="str">
        <f>IF(J93="","",ROUND(J93*玩法行为规划!I93,2))</f>
        <v/>
      </c>
      <c r="AN93" s="2">
        <f>IF(K93="","",ROUND(K93*玩法行为规划!J93,2))</f>
        <v>10</v>
      </c>
      <c r="AO93" s="2">
        <f>IF(L93="","",ROUND(L93*玩法行为规划!K93,2))</f>
        <v>3.33</v>
      </c>
      <c r="AP93" s="2">
        <f>IF(M93="","",ROUND(M93*玩法行为规划!L93,2))</f>
        <v>20</v>
      </c>
      <c r="AQ93" s="2">
        <f>IF(N93="","",ROUND(N93*玩法行为规划!M93,2))</f>
        <v>12</v>
      </c>
      <c r="AR93" s="2">
        <f>IF(O93="","",ROUND(O93*玩法行为规划!N93,2))</f>
        <v>12.5</v>
      </c>
      <c r="AS93" s="2">
        <f>IF(P93="","",ROUND(P93*玩法行为规划!O93,2))</f>
        <v>0.83</v>
      </c>
      <c r="AT93" s="2">
        <f>IF(Q93="","",ROUND(Q93*玩法行为规划!P93,2))</f>
        <v>52</v>
      </c>
      <c r="AU93" s="2">
        <f>IF(R93="","",ROUND(R93*玩法行为规划!Q93,2))</f>
        <v>6</v>
      </c>
      <c r="AV93" s="2">
        <f>IF(S93="","",ROUND(S93*玩法行为规划!R93,2))</f>
        <v>6.67</v>
      </c>
      <c r="AW93" s="2">
        <f>IF(T93="","",ROUND(T93*玩法行为规划!S93,2))</f>
        <v>0</v>
      </c>
      <c r="AX93" s="2">
        <f>IF(U93="","",ROUND(U93*玩法行为规划!T93,2))</f>
        <v>5</v>
      </c>
      <c r="AY93" s="2">
        <f>IF(V93="","",ROUND(V93*玩法行为规划!U93,2))</f>
        <v>6.67</v>
      </c>
      <c r="AZ93" s="2">
        <f>IF(W93="","",ROUND(W93*玩法行为规划!V93,2))</f>
        <v>2.5</v>
      </c>
      <c r="BA93" s="2">
        <f>IF(X93="","",ROUND(X93*玩法行为规划!W93,2))</f>
        <v>5</v>
      </c>
      <c r="BB93" s="2">
        <f>IF(Y93="","",ROUND(Y93*玩法行为规划!X93,2))</f>
        <v>6.25</v>
      </c>
      <c r="BC93" s="2">
        <f>IF(Z93="","",ROUND(Z93*玩法行为规划!Y93,2))</f>
        <v>8.75</v>
      </c>
      <c r="BD93" s="2">
        <f>IF(AA93="","",ROUND(AA93*玩法行为规划!Z93,2))</f>
        <v>2.5</v>
      </c>
      <c r="BE93" s="2" t="str">
        <f>IF(AB93="","",ROUND(AB93*玩法行为规划!AA93,2))</f>
        <v/>
      </c>
      <c r="BF93" s="2" t="str">
        <f>IF(AC93="","",ROUND(AC93*玩法行为规划!AB93,2))</f>
        <v/>
      </c>
      <c r="BG93" s="2" t="str">
        <f>IF(AD93="","",ROUND(AD93*玩法行为规划!AC93,2))</f>
        <v/>
      </c>
      <c r="BH93" s="3" t="str">
        <f>IF(AE93="","",ROUND(AE93*玩法行为规划!AD93,2))</f>
        <v/>
      </c>
      <c r="BI93" s="7">
        <f t="shared" si="11"/>
        <v>200.76999999999998</v>
      </c>
      <c r="BJ93" s="7">
        <f t="shared" si="12"/>
        <v>7308027.9999999991</v>
      </c>
      <c r="BK93" s="69">
        <f t="shared" si="15"/>
        <v>2660800</v>
      </c>
      <c r="BL93" s="21" t="str">
        <f t="shared" si="16"/>
        <v/>
      </c>
      <c r="BM93" s="7">
        <f t="shared" si="13"/>
        <v>2.9753004107978761E-2</v>
      </c>
      <c r="BN93" s="69">
        <f>INT(BJ93*升级节奏!G93+BK93)</f>
        <v>89429625</v>
      </c>
      <c r="BO93" s="7">
        <f t="shared" si="14"/>
        <v>404</v>
      </c>
      <c r="BP93" s="7"/>
    </row>
    <row r="94" spans="1:68">
      <c r="A94" s="29">
        <v>92</v>
      </c>
      <c r="B94" s="84">
        <f>升级节奏!C94</f>
        <v>36800</v>
      </c>
      <c r="C94" s="53">
        <f>IF(VLOOKUP(C$2,行为概览!$D$3:$J$33,7,0)="","",VLOOKUP(C$2,行为概览!$D$3:$J$33,7,0))</f>
        <v>50</v>
      </c>
      <c r="D94" s="53">
        <f>IF(VLOOKUP(D$2,行为概览!$D$3:$J$33,7,0)="","",VLOOKUP(D$2,行为概览!$D$3:$J$33,7,0))</f>
        <v>3.3</v>
      </c>
      <c r="E94" s="53">
        <f>IF(VLOOKUP(E$2,行为概览!$D$3:$J$33,7,0)="","",VLOOKUP(E$2,行为概览!$D$3:$J$33,7,0))</f>
        <v>30</v>
      </c>
      <c r="F94" s="53">
        <f>IF(VLOOKUP(F$2,行为概览!$D$3:$J$33,7,0)="","",VLOOKUP(F$2,行为概览!$D$3:$J$33,7,0))</f>
        <v>15</v>
      </c>
      <c r="G94" s="53" t="str">
        <f>IF(VLOOKUP(G$2,行为概览!$D$3:$J$33,7,0)="","",VLOOKUP(G$2,行为概览!$D$3:$J$33,7,0))</f>
        <v/>
      </c>
      <c r="H94" s="53" t="str">
        <f>IF(VLOOKUP(H$2,行为概览!$D$3:$J$33,7,0)="","",VLOOKUP(H$2,行为概览!$D$3:$J$33,7,0))</f>
        <v/>
      </c>
      <c r="I94" s="53" t="str">
        <f>IF(VLOOKUP(I$2,行为概览!$D$3:$J$33,7,0)="","",VLOOKUP(I$2,行为概览!$D$3:$J$33,7,0))</f>
        <v/>
      </c>
      <c r="J94" s="53" t="str">
        <f>IF(VLOOKUP(J$2,行为概览!$D$3:$J$33,7,0)="","",VLOOKUP(J$2,行为概览!$D$3:$J$33,7,0))</f>
        <v/>
      </c>
      <c r="K94" s="53">
        <f>IF(VLOOKUP(K$2,行为概览!$D$3:$J$33,7,0)="","",VLOOKUP(K$2,行为概览!$D$3:$J$33,7,0))</f>
        <v>20</v>
      </c>
      <c r="L94" s="53">
        <f>IF(VLOOKUP(L$2,行为概览!$D$3:$J$33,7,0)="","",VLOOKUP(L$2,行为概览!$D$3:$J$33,7,0))</f>
        <v>20</v>
      </c>
      <c r="M94" s="53">
        <f>IF(VLOOKUP(M$2,行为概览!$D$3:$J$33,7,0)="","",VLOOKUP(M$2,行为概览!$D$3:$J$33,7,0))</f>
        <v>40</v>
      </c>
      <c r="N94" s="53">
        <f>IF(VLOOKUP(N$2,行为概览!$D$3:$J$33,7,0)="","",VLOOKUP(N$2,行为概览!$D$3:$J$33,7,0))</f>
        <v>1</v>
      </c>
      <c r="O94" s="53">
        <f>IF(VLOOKUP(O$2,行为概览!$D$3:$J$33,7,0)="","",VLOOKUP(O$2,行为概览!$D$3:$J$33,7,0))</f>
        <v>150</v>
      </c>
      <c r="P94" s="53">
        <f>IF(VLOOKUP(P$2,行为概览!$D$3:$J$33,7,0)="","",VLOOKUP(P$2,行为概览!$D$3:$J$33,7,0))</f>
        <v>10</v>
      </c>
      <c r="Q94" s="53">
        <f>IF(VLOOKUP(Q$2,行为概览!$D$3:$J$33,7,0)="","",VLOOKUP(Q$2,行为概览!$D$3:$J$33,7,0))</f>
        <v>20</v>
      </c>
      <c r="R94" s="53">
        <f>IF(VLOOKUP(R$2,行为概览!$D$3:$J$33,7,0)="","",VLOOKUP(R$2,行为概览!$D$3:$J$33,7,0))</f>
        <v>6</v>
      </c>
      <c r="S94" s="53">
        <f>IF(VLOOKUP(S$2,行为概览!$D$3:$J$33,7,0)="","",VLOOKUP(S$2,行为概览!$D$3:$J$33,7,0))</f>
        <v>20</v>
      </c>
      <c r="T94" s="53">
        <f>IF(VLOOKUP(T$2,行为概览!$D$3:$J$33,7,0)="","",VLOOKUP(T$2,行为概览!$D$3:$J$33,7,0))</f>
        <v>15</v>
      </c>
      <c r="U94" s="53">
        <f>IF(VLOOKUP(U$2,行为概览!$D$3:$J$33,7,0)="","",VLOOKUP(U$2,行为概览!$D$3:$J$33,7,0))</f>
        <v>15</v>
      </c>
      <c r="V94" s="53">
        <f>IF(VLOOKUP(V$2,行为概览!$D$3:$J$33,7,0)="","",VLOOKUP(V$2,行为概览!$D$3:$J$33,7,0))</f>
        <v>40</v>
      </c>
      <c r="W94" s="53">
        <f>IF(VLOOKUP(W$2,行为概览!$D$3:$J$33,7,0)="","",VLOOKUP(W$2,行为概览!$D$3:$J$33,7,0))</f>
        <v>15</v>
      </c>
      <c r="X94" s="53">
        <f>IF(VLOOKUP(X$2,行为概览!$D$3:$J$33,7,0)="","",VLOOKUP(X$2,行为概览!$D$3:$J$33,7,0))</f>
        <v>30</v>
      </c>
      <c r="Y94" s="53">
        <f>IF(VLOOKUP(Y$2,行为概览!$D$3:$J$33,7,0)="","",VLOOKUP(Y$2,行为概览!$D$3:$J$33,7,0))</f>
        <v>25</v>
      </c>
      <c r="Z94" s="53">
        <f>IF(VLOOKUP(Z$2,行为概览!$D$3:$J$33,7,0)="","",VLOOKUP(Z$2,行为概览!$D$3:$J$33,7,0))</f>
        <v>15</v>
      </c>
      <c r="AA94" s="53">
        <f>IF(VLOOKUP(AA$2,行为概览!$D$3:$J$33,7,0)="","",VLOOKUP(AA$2,行为概览!$D$3:$J$33,7,0))</f>
        <v>15</v>
      </c>
      <c r="AB94" s="53" t="str">
        <f>IF(VLOOKUP(AB$2,行为概览!$D$3:$J$33,7,0)="","",VLOOKUP(AB$2,行为概览!$D$3:$J$33,7,0))</f>
        <v/>
      </c>
      <c r="AC94" s="53" t="str">
        <f>IF(VLOOKUP(AC$2,行为概览!$D$3:$J$33,7,0)="","",VLOOKUP(AC$2,行为概览!$D$3:$J$33,7,0))</f>
        <v/>
      </c>
      <c r="AD94" s="53" t="str">
        <f>IF(VLOOKUP(AD$2,行为概览!$D$3:$J$33,7,0)="","",VLOOKUP(AD$2,行为概览!$D$3:$J$33,7,0))</f>
        <v/>
      </c>
      <c r="AE94" s="68" t="str">
        <f>IF(VLOOKUP(AE$2,行为概览!$D$3:$J$33,7,0)="","",VLOOKUP(AE$2,行为概览!$D$3:$J$33,7,0))</f>
        <v/>
      </c>
      <c r="AF94" s="1">
        <f>IF(C94="","",ROUND(C94*玩法行为规划!B94,2))</f>
        <v>16.670000000000002</v>
      </c>
      <c r="AG94" s="2">
        <f>IF(D94="","",ROUND(D94*玩法行为规划!C94,2))</f>
        <v>6.6</v>
      </c>
      <c r="AH94" s="2">
        <f>IF(E94="","",ROUND(E94*玩法行为规划!D94,2))</f>
        <v>2.5</v>
      </c>
      <c r="AI94" s="2">
        <f>IF(F94="","",ROUND(F94*玩法行为规划!E94,2))</f>
        <v>15</v>
      </c>
      <c r="AJ94" s="2" t="str">
        <f>IF(G94="","",ROUND(G94*玩法行为规划!F94,2))</f>
        <v/>
      </c>
      <c r="AK94" s="2" t="str">
        <f>IF(H94="","",ROUND(H94*玩法行为规划!G94,2))</f>
        <v/>
      </c>
      <c r="AL94" s="2" t="str">
        <f>IF(I94="","",ROUND(I94*玩法行为规划!H94,2))</f>
        <v/>
      </c>
      <c r="AM94" s="2" t="str">
        <f>IF(J94="","",ROUND(J94*玩法行为规划!I94,2))</f>
        <v/>
      </c>
      <c r="AN94" s="2">
        <f>IF(K94="","",ROUND(K94*玩法行为规划!J94,2))</f>
        <v>10</v>
      </c>
      <c r="AO94" s="2">
        <f>IF(L94="","",ROUND(L94*玩法行为规划!K94,2))</f>
        <v>3.33</v>
      </c>
      <c r="AP94" s="2">
        <f>IF(M94="","",ROUND(M94*玩法行为规划!L94,2))</f>
        <v>20</v>
      </c>
      <c r="AQ94" s="2">
        <f>IF(N94="","",ROUND(N94*玩法行为规划!M94,2))</f>
        <v>12</v>
      </c>
      <c r="AR94" s="2">
        <f>IF(O94="","",ROUND(O94*玩法行为规划!N94,2))</f>
        <v>12.5</v>
      </c>
      <c r="AS94" s="2">
        <f>IF(P94="","",ROUND(P94*玩法行为规划!O94,2))</f>
        <v>0.83</v>
      </c>
      <c r="AT94" s="2">
        <f>IF(Q94="","",ROUND(Q94*玩法行为规划!P94,2))</f>
        <v>52</v>
      </c>
      <c r="AU94" s="2">
        <f>IF(R94="","",ROUND(R94*玩法行为规划!Q94,2))</f>
        <v>6</v>
      </c>
      <c r="AV94" s="2">
        <f>IF(S94="","",ROUND(S94*玩法行为规划!R94,2))</f>
        <v>6.67</v>
      </c>
      <c r="AW94" s="2">
        <f>IF(T94="","",ROUND(T94*玩法行为规划!S94,2))</f>
        <v>0</v>
      </c>
      <c r="AX94" s="2">
        <f>IF(U94="","",ROUND(U94*玩法行为规划!T94,2))</f>
        <v>5</v>
      </c>
      <c r="AY94" s="2">
        <f>IF(V94="","",ROUND(V94*玩法行为规划!U94,2))</f>
        <v>6.67</v>
      </c>
      <c r="AZ94" s="2">
        <f>IF(W94="","",ROUND(W94*玩法行为规划!V94,2))</f>
        <v>2.5</v>
      </c>
      <c r="BA94" s="2">
        <f>IF(X94="","",ROUND(X94*玩法行为规划!W94,2))</f>
        <v>5</v>
      </c>
      <c r="BB94" s="2">
        <f>IF(Y94="","",ROUND(Y94*玩法行为规划!X94,2))</f>
        <v>6.25</v>
      </c>
      <c r="BC94" s="2">
        <f>IF(Z94="","",ROUND(Z94*玩法行为规划!Y94,2))</f>
        <v>8.75</v>
      </c>
      <c r="BD94" s="2">
        <f>IF(AA94="","",ROUND(AA94*玩法行为规划!Z94,2))</f>
        <v>2.5</v>
      </c>
      <c r="BE94" s="2" t="str">
        <f>IF(AB94="","",ROUND(AB94*玩法行为规划!AA94,2))</f>
        <v/>
      </c>
      <c r="BF94" s="2" t="str">
        <f>IF(AC94="","",ROUND(AC94*玩法行为规划!AB94,2))</f>
        <v/>
      </c>
      <c r="BG94" s="2" t="str">
        <f>IF(AD94="","",ROUND(AD94*玩法行为规划!AC94,2))</f>
        <v/>
      </c>
      <c r="BH94" s="3" t="str">
        <f>IF(AE94="","",ROUND(AE94*玩法行为规划!AD94,2))</f>
        <v/>
      </c>
      <c r="BI94" s="7">
        <f t="shared" si="11"/>
        <v>200.76999999999998</v>
      </c>
      <c r="BJ94" s="7">
        <f t="shared" si="12"/>
        <v>7388335.9999999991</v>
      </c>
      <c r="BK94" s="69">
        <f t="shared" si="15"/>
        <v>2730600</v>
      </c>
      <c r="BL94" s="21" t="str">
        <f t="shared" si="16"/>
        <v/>
      </c>
      <c r="BM94" s="7">
        <f t="shared" si="13"/>
        <v>2.9562072421880848E-2</v>
      </c>
      <c r="BN94" s="69">
        <f>INT(BJ94*升级节奏!G94+BK94)</f>
        <v>92368355</v>
      </c>
      <c r="BO94" s="7">
        <f t="shared" si="14"/>
        <v>409</v>
      </c>
      <c r="BP94" s="7"/>
    </row>
    <row r="95" spans="1:68">
      <c r="A95" s="29">
        <v>93</v>
      </c>
      <c r="B95" s="84">
        <f>升级节奏!C95</f>
        <v>37200</v>
      </c>
      <c r="C95" s="53">
        <f>IF(VLOOKUP(C$2,行为概览!$D$3:$J$33,7,0)="","",VLOOKUP(C$2,行为概览!$D$3:$J$33,7,0))</f>
        <v>50</v>
      </c>
      <c r="D95" s="53">
        <f>IF(VLOOKUP(D$2,行为概览!$D$3:$J$33,7,0)="","",VLOOKUP(D$2,行为概览!$D$3:$J$33,7,0))</f>
        <v>3.3</v>
      </c>
      <c r="E95" s="53">
        <f>IF(VLOOKUP(E$2,行为概览!$D$3:$J$33,7,0)="","",VLOOKUP(E$2,行为概览!$D$3:$J$33,7,0))</f>
        <v>30</v>
      </c>
      <c r="F95" s="53">
        <f>IF(VLOOKUP(F$2,行为概览!$D$3:$J$33,7,0)="","",VLOOKUP(F$2,行为概览!$D$3:$J$33,7,0))</f>
        <v>15</v>
      </c>
      <c r="G95" s="53" t="str">
        <f>IF(VLOOKUP(G$2,行为概览!$D$3:$J$33,7,0)="","",VLOOKUP(G$2,行为概览!$D$3:$J$33,7,0))</f>
        <v/>
      </c>
      <c r="H95" s="53" t="str">
        <f>IF(VLOOKUP(H$2,行为概览!$D$3:$J$33,7,0)="","",VLOOKUP(H$2,行为概览!$D$3:$J$33,7,0))</f>
        <v/>
      </c>
      <c r="I95" s="53" t="str">
        <f>IF(VLOOKUP(I$2,行为概览!$D$3:$J$33,7,0)="","",VLOOKUP(I$2,行为概览!$D$3:$J$33,7,0))</f>
        <v/>
      </c>
      <c r="J95" s="53" t="str">
        <f>IF(VLOOKUP(J$2,行为概览!$D$3:$J$33,7,0)="","",VLOOKUP(J$2,行为概览!$D$3:$J$33,7,0))</f>
        <v/>
      </c>
      <c r="K95" s="53">
        <f>IF(VLOOKUP(K$2,行为概览!$D$3:$J$33,7,0)="","",VLOOKUP(K$2,行为概览!$D$3:$J$33,7,0))</f>
        <v>20</v>
      </c>
      <c r="L95" s="53">
        <f>IF(VLOOKUP(L$2,行为概览!$D$3:$J$33,7,0)="","",VLOOKUP(L$2,行为概览!$D$3:$J$33,7,0))</f>
        <v>20</v>
      </c>
      <c r="M95" s="53">
        <f>IF(VLOOKUP(M$2,行为概览!$D$3:$J$33,7,0)="","",VLOOKUP(M$2,行为概览!$D$3:$J$33,7,0))</f>
        <v>40</v>
      </c>
      <c r="N95" s="53">
        <f>IF(VLOOKUP(N$2,行为概览!$D$3:$J$33,7,0)="","",VLOOKUP(N$2,行为概览!$D$3:$J$33,7,0))</f>
        <v>1</v>
      </c>
      <c r="O95" s="53">
        <f>IF(VLOOKUP(O$2,行为概览!$D$3:$J$33,7,0)="","",VLOOKUP(O$2,行为概览!$D$3:$J$33,7,0))</f>
        <v>150</v>
      </c>
      <c r="P95" s="53">
        <f>IF(VLOOKUP(P$2,行为概览!$D$3:$J$33,7,0)="","",VLOOKUP(P$2,行为概览!$D$3:$J$33,7,0))</f>
        <v>10</v>
      </c>
      <c r="Q95" s="53">
        <f>IF(VLOOKUP(Q$2,行为概览!$D$3:$J$33,7,0)="","",VLOOKUP(Q$2,行为概览!$D$3:$J$33,7,0))</f>
        <v>20</v>
      </c>
      <c r="R95" s="53">
        <f>IF(VLOOKUP(R$2,行为概览!$D$3:$J$33,7,0)="","",VLOOKUP(R$2,行为概览!$D$3:$J$33,7,0))</f>
        <v>6</v>
      </c>
      <c r="S95" s="53">
        <f>IF(VLOOKUP(S$2,行为概览!$D$3:$J$33,7,0)="","",VLOOKUP(S$2,行为概览!$D$3:$J$33,7,0))</f>
        <v>20</v>
      </c>
      <c r="T95" s="53">
        <f>IF(VLOOKUP(T$2,行为概览!$D$3:$J$33,7,0)="","",VLOOKUP(T$2,行为概览!$D$3:$J$33,7,0))</f>
        <v>15</v>
      </c>
      <c r="U95" s="53">
        <f>IF(VLOOKUP(U$2,行为概览!$D$3:$J$33,7,0)="","",VLOOKUP(U$2,行为概览!$D$3:$J$33,7,0))</f>
        <v>15</v>
      </c>
      <c r="V95" s="53">
        <f>IF(VLOOKUP(V$2,行为概览!$D$3:$J$33,7,0)="","",VLOOKUP(V$2,行为概览!$D$3:$J$33,7,0))</f>
        <v>40</v>
      </c>
      <c r="W95" s="53">
        <f>IF(VLOOKUP(W$2,行为概览!$D$3:$J$33,7,0)="","",VLOOKUP(W$2,行为概览!$D$3:$J$33,7,0))</f>
        <v>15</v>
      </c>
      <c r="X95" s="53">
        <f>IF(VLOOKUP(X$2,行为概览!$D$3:$J$33,7,0)="","",VLOOKUP(X$2,行为概览!$D$3:$J$33,7,0))</f>
        <v>30</v>
      </c>
      <c r="Y95" s="53">
        <f>IF(VLOOKUP(Y$2,行为概览!$D$3:$J$33,7,0)="","",VLOOKUP(Y$2,行为概览!$D$3:$J$33,7,0))</f>
        <v>25</v>
      </c>
      <c r="Z95" s="53">
        <f>IF(VLOOKUP(Z$2,行为概览!$D$3:$J$33,7,0)="","",VLOOKUP(Z$2,行为概览!$D$3:$J$33,7,0))</f>
        <v>15</v>
      </c>
      <c r="AA95" s="53">
        <f>IF(VLOOKUP(AA$2,行为概览!$D$3:$J$33,7,0)="","",VLOOKUP(AA$2,行为概览!$D$3:$J$33,7,0))</f>
        <v>15</v>
      </c>
      <c r="AB95" s="53" t="str">
        <f>IF(VLOOKUP(AB$2,行为概览!$D$3:$J$33,7,0)="","",VLOOKUP(AB$2,行为概览!$D$3:$J$33,7,0))</f>
        <v/>
      </c>
      <c r="AC95" s="53" t="str">
        <f>IF(VLOOKUP(AC$2,行为概览!$D$3:$J$33,7,0)="","",VLOOKUP(AC$2,行为概览!$D$3:$J$33,7,0))</f>
        <v/>
      </c>
      <c r="AD95" s="53" t="str">
        <f>IF(VLOOKUP(AD$2,行为概览!$D$3:$J$33,7,0)="","",VLOOKUP(AD$2,行为概览!$D$3:$J$33,7,0))</f>
        <v/>
      </c>
      <c r="AE95" s="68" t="str">
        <f>IF(VLOOKUP(AE$2,行为概览!$D$3:$J$33,7,0)="","",VLOOKUP(AE$2,行为概览!$D$3:$J$33,7,0))</f>
        <v/>
      </c>
      <c r="AF95" s="1">
        <f>IF(C95="","",ROUND(C95*玩法行为规划!B95,2))</f>
        <v>16.670000000000002</v>
      </c>
      <c r="AG95" s="2">
        <f>IF(D95="","",ROUND(D95*玩法行为规划!C95,2))</f>
        <v>6.6</v>
      </c>
      <c r="AH95" s="2">
        <f>IF(E95="","",ROUND(E95*玩法行为规划!D95,2))</f>
        <v>2.5</v>
      </c>
      <c r="AI95" s="2">
        <f>IF(F95="","",ROUND(F95*玩法行为规划!E95,2))</f>
        <v>15</v>
      </c>
      <c r="AJ95" s="2" t="str">
        <f>IF(G95="","",ROUND(G95*玩法行为规划!F95,2))</f>
        <v/>
      </c>
      <c r="AK95" s="2" t="str">
        <f>IF(H95="","",ROUND(H95*玩法行为规划!G95,2))</f>
        <v/>
      </c>
      <c r="AL95" s="2" t="str">
        <f>IF(I95="","",ROUND(I95*玩法行为规划!H95,2))</f>
        <v/>
      </c>
      <c r="AM95" s="2" t="str">
        <f>IF(J95="","",ROUND(J95*玩法行为规划!I95,2))</f>
        <v/>
      </c>
      <c r="AN95" s="2">
        <f>IF(K95="","",ROUND(K95*玩法行为规划!J95,2))</f>
        <v>10</v>
      </c>
      <c r="AO95" s="2">
        <f>IF(L95="","",ROUND(L95*玩法行为规划!K95,2))</f>
        <v>3.33</v>
      </c>
      <c r="AP95" s="2">
        <f>IF(M95="","",ROUND(M95*玩法行为规划!L95,2))</f>
        <v>20</v>
      </c>
      <c r="AQ95" s="2">
        <f>IF(N95="","",ROUND(N95*玩法行为规划!M95,2))</f>
        <v>12</v>
      </c>
      <c r="AR95" s="2">
        <f>IF(O95="","",ROUND(O95*玩法行为规划!N95,2))</f>
        <v>12.5</v>
      </c>
      <c r="AS95" s="2">
        <f>IF(P95="","",ROUND(P95*玩法行为规划!O95,2))</f>
        <v>0.83</v>
      </c>
      <c r="AT95" s="2">
        <f>IF(Q95="","",ROUND(Q95*玩法行为规划!P95,2))</f>
        <v>52</v>
      </c>
      <c r="AU95" s="2">
        <f>IF(R95="","",ROUND(R95*玩法行为规划!Q95,2))</f>
        <v>6</v>
      </c>
      <c r="AV95" s="2">
        <f>IF(S95="","",ROUND(S95*玩法行为规划!R95,2))</f>
        <v>6.67</v>
      </c>
      <c r="AW95" s="2">
        <f>IF(T95="","",ROUND(T95*玩法行为规划!S95,2))</f>
        <v>0</v>
      </c>
      <c r="AX95" s="2">
        <f>IF(U95="","",ROUND(U95*玩法行为规划!T95,2))</f>
        <v>5</v>
      </c>
      <c r="AY95" s="2">
        <f>IF(V95="","",ROUND(V95*玩法行为规划!U95,2))</f>
        <v>6.67</v>
      </c>
      <c r="AZ95" s="2">
        <f>IF(W95="","",ROUND(W95*玩法行为规划!V95,2))</f>
        <v>2.5</v>
      </c>
      <c r="BA95" s="2">
        <f>IF(X95="","",ROUND(X95*玩法行为规划!W95,2))</f>
        <v>5</v>
      </c>
      <c r="BB95" s="2">
        <f>IF(Y95="","",ROUND(Y95*玩法行为规划!X95,2))</f>
        <v>6.25</v>
      </c>
      <c r="BC95" s="2">
        <f>IF(Z95="","",ROUND(Z95*玩法行为规划!Y95,2))</f>
        <v>8.75</v>
      </c>
      <c r="BD95" s="2">
        <f>IF(AA95="","",ROUND(AA95*玩法行为规划!Z95,2))</f>
        <v>2.5</v>
      </c>
      <c r="BE95" s="2" t="str">
        <f>IF(AB95="","",ROUND(AB95*玩法行为规划!AA95,2))</f>
        <v/>
      </c>
      <c r="BF95" s="2" t="str">
        <f>IF(AC95="","",ROUND(AC95*玩法行为规划!AB95,2))</f>
        <v/>
      </c>
      <c r="BG95" s="2" t="str">
        <f>IF(AD95="","",ROUND(AD95*玩法行为规划!AC95,2))</f>
        <v/>
      </c>
      <c r="BH95" s="3" t="str">
        <f>IF(AE95="","",ROUND(AE95*玩法行为规划!AD95,2))</f>
        <v/>
      </c>
      <c r="BI95" s="7">
        <f t="shared" si="11"/>
        <v>200.76999999999998</v>
      </c>
      <c r="BJ95" s="7">
        <f t="shared" si="12"/>
        <v>7468643.9999999991</v>
      </c>
      <c r="BK95" s="69">
        <f t="shared" si="15"/>
        <v>2801200</v>
      </c>
      <c r="BL95" s="21" t="str">
        <f t="shared" si="16"/>
        <v/>
      </c>
      <c r="BM95" s="7">
        <f t="shared" si="13"/>
        <v>2.9371708927119482E-2</v>
      </c>
      <c r="BN95" s="69">
        <f>INT(BJ95*升级节奏!G95+BK95)</f>
        <v>95370685</v>
      </c>
      <c r="BO95" s="7">
        <f t="shared" si="14"/>
        <v>413</v>
      </c>
      <c r="BP95" s="7"/>
    </row>
    <row r="96" spans="1:68">
      <c r="A96" s="29">
        <v>94</v>
      </c>
      <c r="B96" s="84">
        <f>升级节奏!C96</f>
        <v>37600</v>
      </c>
      <c r="C96" s="53">
        <f>IF(VLOOKUP(C$2,行为概览!$D$3:$J$33,7,0)="","",VLOOKUP(C$2,行为概览!$D$3:$J$33,7,0))</f>
        <v>50</v>
      </c>
      <c r="D96" s="53">
        <f>IF(VLOOKUP(D$2,行为概览!$D$3:$J$33,7,0)="","",VLOOKUP(D$2,行为概览!$D$3:$J$33,7,0))</f>
        <v>3.3</v>
      </c>
      <c r="E96" s="53">
        <f>IF(VLOOKUP(E$2,行为概览!$D$3:$J$33,7,0)="","",VLOOKUP(E$2,行为概览!$D$3:$J$33,7,0))</f>
        <v>30</v>
      </c>
      <c r="F96" s="53">
        <f>IF(VLOOKUP(F$2,行为概览!$D$3:$J$33,7,0)="","",VLOOKUP(F$2,行为概览!$D$3:$J$33,7,0))</f>
        <v>15</v>
      </c>
      <c r="G96" s="53" t="str">
        <f>IF(VLOOKUP(G$2,行为概览!$D$3:$J$33,7,0)="","",VLOOKUP(G$2,行为概览!$D$3:$J$33,7,0))</f>
        <v/>
      </c>
      <c r="H96" s="53" t="str">
        <f>IF(VLOOKUP(H$2,行为概览!$D$3:$J$33,7,0)="","",VLOOKUP(H$2,行为概览!$D$3:$J$33,7,0))</f>
        <v/>
      </c>
      <c r="I96" s="53" t="str">
        <f>IF(VLOOKUP(I$2,行为概览!$D$3:$J$33,7,0)="","",VLOOKUP(I$2,行为概览!$D$3:$J$33,7,0))</f>
        <v/>
      </c>
      <c r="J96" s="53" t="str">
        <f>IF(VLOOKUP(J$2,行为概览!$D$3:$J$33,7,0)="","",VLOOKUP(J$2,行为概览!$D$3:$J$33,7,0))</f>
        <v/>
      </c>
      <c r="K96" s="53">
        <f>IF(VLOOKUP(K$2,行为概览!$D$3:$J$33,7,0)="","",VLOOKUP(K$2,行为概览!$D$3:$J$33,7,0))</f>
        <v>20</v>
      </c>
      <c r="L96" s="53">
        <f>IF(VLOOKUP(L$2,行为概览!$D$3:$J$33,7,0)="","",VLOOKUP(L$2,行为概览!$D$3:$J$33,7,0))</f>
        <v>20</v>
      </c>
      <c r="M96" s="53">
        <f>IF(VLOOKUP(M$2,行为概览!$D$3:$J$33,7,0)="","",VLOOKUP(M$2,行为概览!$D$3:$J$33,7,0))</f>
        <v>40</v>
      </c>
      <c r="N96" s="53">
        <f>IF(VLOOKUP(N$2,行为概览!$D$3:$J$33,7,0)="","",VLOOKUP(N$2,行为概览!$D$3:$J$33,7,0))</f>
        <v>1</v>
      </c>
      <c r="O96" s="53">
        <f>IF(VLOOKUP(O$2,行为概览!$D$3:$J$33,7,0)="","",VLOOKUP(O$2,行为概览!$D$3:$J$33,7,0))</f>
        <v>150</v>
      </c>
      <c r="P96" s="53">
        <f>IF(VLOOKUP(P$2,行为概览!$D$3:$J$33,7,0)="","",VLOOKUP(P$2,行为概览!$D$3:$J$33,7,0))</f>
        <v>10</v>
      </c>
      <c r="Q96" s="53">
        <f>IF(VLOOKUP(Q$2,行为概览!$D$3:$J$33,7,0)="","",VLOOKUP(Q$2,行为概览!$D$3:$J$33,7,0))</f>
        <v>20</v>
      </c>
      <c r="R96" s="53">
        <f>IF(VLOOKUP(R$2,行为概览!$D$3:$J$33,7,0)="","",VLOOKUP(R$2,行为概览!$D$3:$J$33,7,0))</f>
        <v>6</v>
      </c>
      <c r="S96" s="53">
        <f>IF(VLOOKUP(S$2,行为概览!$D$3:$J$33,7,0)="","",VLOOKUP(S$2,行为概览!$D$3:$J$33,7,0))</f>
        <v>20</v>
      </c>
      <c r="T96" s="53">
        <f>IF(VLOOKUP(T$2,行为概览!$D$3:$J$33,7,0)="","",VLOOKUP(T$2,行为概览!$D$3:$J$33,7,0))</f>
        <v>15</v>
      </c>
      <c r="U96" s="53">
        <f>IF(VLOOKUP(U$2,行为概览!$D$3:$J$33,7,0)="","",VLOOKUP(U$2,行为概览!$D$3:$J$33,7,0))</f>
        <v>15</v>
      </c>
      <c r="V96" s="53">
        <f>IF(VLOOKUP(V$2,行为概览!$D$3:$J$33,7,0)="","",VLOOKUP(V$2,行为概览!$D$3:$J$33,7,0))</f>
        <v>40</v>
      </c>
      <c r="W96" s="53">
        <f>IF(VLOOKUP(W$2,行为概览!$D$3:$J$33,7,0)="","",VLOOKUP(W$2,行为概览!$D$3:$J$33,7,0))</f>
        <v>15</v>
      </c>
      <c r="X96" s="53">
        <f>IF(VLOOKUP(X$2,行为概览!$D$3:$J$33,7,0)="","",VLOOKUP(X$2,行为概览!$D$3:$J$33,7,0))</f>
        <v>30</v>
      </c>
      <c r="Y96" s="53">
        <f>IF(VLOOKUP(Y$2,行为概览!$D$3:$J$33,7,0)="","",VLOOKUP(Y$2,行为概览!$D$3:$J$33,7,0))</f>
        <v>25</v>
      </c>
      <c r="Z96" s="53">
        <f>IF(VLOOKUP(Z$2,行为概览!$D$3:$J$33,7,0)="","",VLOOKUP(Z$2,行为概览!$D$3:$J$33,7,0))</f>
        <v>15</v>
      </c>
      <c r="AA96" s="53">
        <f>IF(VLOOKUP(AA$2,行为概览!$D$3:$J$33,7,0)="","",VLOOKUP(AA$2,行为概览!$D$3:$J$33,7,0))</f>
        <v>15</v>
      </c>
      <c r="AB96" s="53" t="str">
        <f>IF(VLOOKUP(AB$2,行为概览!$D$3:$J$33,7,0)="","",VLOOKUP(AB$2,行为概览!$D$3:$J$33,7,0))</f>
        <v/>
      </c>
      <c r="AC96" s="53" t="str">
        <f>IF(VLOOKUP(AC$2,行为概览!$D$3:$J$33,7,0)="","",VLOOKUP(AC$2,行为概览!$D$3:$J$33,7,0))</f>
        <v/>
      </c>
      <c r="AD96" s="53" t="str">
        <f>IF(VLOOKUP(AD$2,行为概览!$D$3:$J$33,7,0)="","",VLOOKUP(AD$2,行为概览!$D$3:$J$33,7,0))</f>
        <v/>
      </c>
      <c r="AE96" s="68" t="str">
        <f>IF(VLOOKUP(AE$2,行为概览!$D$3:$J$33,7,0)="","",VLOOKUP(AE$2,行为概览!$D$3:$J$33,7,0))</f>
        <v/>
      </c>
      <c r="AF96" s="1">
        <f>IF(C96="","",ROUND(C96*玩法行为规划!B96,2))</f>
        <v>16.670000000000002</v>
      </c>
      <c r="AG96" s="2">
        <f>IF(D96="","",ROUND(D96*玩法行为规划!C96,2))</f>
        <v>6.6</v>
      </c>
      <c r="AH96" s="2">
        <f>IF(E96="","",ROUND(E96*玩法行为规划!D96,2))</f>
        <v>2.5</v>
      </c>
      <c r="AI96" s="2">
        <f>IF(F96="","",ROUND(F96*玩法行为规划!E96,2))</f>
        <v>15</v>
      </c>
      <c r="AJ96" s="2" t="str">
        <f>IF(G96="","",ROUND(G96*玩法行为规划!F96,2))</f>
        <v/>
      </c>
      <c r="AK96" s="2" t="str">
        <f>IF(H96="","",ROUND(H96*玩法行为规划!G96,2))</f>
        <v/>
      </c>
      <c r="AL96" s="2" t="str">
        <f>IF(I96="","",ROUND(I96*玩法行为规划!H96,2))</f>
        <v/>
      </c>
      <c r="AM96" s="2" t="str">
        <f>IF(J96="","",ROUND(J96*玩法行为规划!I96,2))</f>
        <v/>
      </c>
      <c r="AN96" s="2">
        <f>IF(K96="","",ROUND(K96*玩法行为规划!J96,2))</f>
        <v>10</v>
      </c>
      <c r="AO96" s="2">
        <f>IF(L96="","",ROUND(L96*玩法行为规划!K96,2))</f>
        <v>3.33</v>
      </c>
      <c r="AP96" s="2">
        <f>IF(M96="","",ROUND(M96*玩法行为规划!L96,2))</f>
        <v>20</v>
      </c>
      <c r="AQ96" s="2">
        <f>IF(N96="","",ROUND(N96*玩法行为规划!M96,2))</f>
        <v>12</v>
      </c>
      <c r="AR96" s="2">
        <f>IF(O96="","",ROUND(O96*玩法行为规划!N96,2))</f>
        <v>12.5</v>
      </c>
      <c r="AS96" s="2">
        <f>IF(P96="","",ROUND(P96*玩法行为规划!O96,2))</f>
        <v>0.83</v>
      </c>
      <c r="AT96" s="2">
        <f>IF(Q96="","",ROUND(Q96*玩法行为规划!P96,2))</f>
        <v>52</v>
      </c>
      <c r="AU96" s="2">
        <f>IF(R96="","",ROUND(R96*玩法行为规划!Q96,2))</f>
        <v>6</v>
      </c>
      <c r="AV96" s="2">
        <f>IF(S96="","",ROUND(S96*玩法行为规划!R96,2))</f>
        <v>6.67</v>
      </c>
      <c r="AW96" s="2">
        <f>IF(T96="","",ROUND(T96*玩法行为规划!S96,2))</f>
        <v>0</v>
      </c>
      <c r="AX96" s="2">
        <f>IF(U96="","",ROUND(U96*玩法行为规划!T96,2))</f>
        <v>5</v>
      </c>
      <c r="AY96" s="2">
        <f>IF(V96="","",ROUND(V96*玩法行为规划!U96,2))</f>
        <v>6.67</v>
      </c>
      <c r="AZ96" s="2">
        <f>IF(W96="","",ROUND(W96*玩法行为规划!V96,2))</f>
        <v>2.5</v>
      </c>
      <c r="BA96" s="2">
        <f>IF(X96="","",ROUND(X96*玩法行为规划!W96,2))</f>
        <v>5</v>
      </c>
      <c r="BB96" s="2">
        <f>IF(Y96="","",ROUND(Y96*玩法行为规划!X96,2))</f>
        <v>6.25</v>
      </c>
      <c r="BC96" s="2">
        <f>IF(Z96="","",ROUND(Z96*玩法行为规划!Y96,2))</f>
        <v>8.75</v>
      </c>
      <c r="BD96" s="2">
        <f>IF(AA96="","",ROUND(AA96*玩法行为规划!Z96,2))</f>
        <v>2.5</v>
      </c>
      <c r="BE96" s="2" t="str">
        <f>IF(AB96="","",ROUND(AB96*玩法行为规划!AA96,2))</f>
        <v/>
      </c>
      <c r="BF96" s="2" t="str">
        <f>IF(AC96="","",ROUND(AC96*玩法行为规划!AB96,2))</f>
        <v/>
      </c>
      <c r="BG96" s="2" t="str">
        <f>IF(AD96="","",ROUND(AD96*玩法行为规划!AC96,2))</f>
        <v/>
      </c>
      <c r="BH96" s="3" t="str">
        <f>IF(AE96="","",ROUND(AE96*玩法行为规划!AD96,2))</f>
        <v/>
      </c>
      <c r="BI96" s="7">
        <f t="shared" si="11"/>
        <v>200.76999999999998</v>
      </c>
      <c r="BJ96" s="7">
        <f t="shared" si="12"/>
        <v>7548951.9999999991</v>
      </c>
      <c r="BK96" s="69">
        <f t="shared" si="15"/>
        <v>2872600</v>
      </c>
      <c r="BL96" s="21" t="str">
        <f t="shared" si="16"/>
        <v/>
      </c>
      <c r="BM96" s="7">
        <f t="shared" si="13"/>
        <v>2.9182027840889864E-2</v>
      </c>
      <c r="BN96" s="69">
        <f>INT(BJ96*升级节奏!G96+BK96)</f>
        <v>98437299</v>
      </c>
      <c r="BO96" s="7">
        <f t="shared" si="14"/>
        <v>418</v>
      </c>
      <c r="BP96" s="7"/>
    </row>
    <row r="97" spans="1:68">
      <c r="A97" s="29">
        <v>95</v>
      </c>
      <c r="B97" s="84">
        <f>升级节奏!C97</f>
        <v>38000</v>
      </c>
      <c r="C97" s="53">
        <f>IF(VLOOKUP(C$2,行为概览!$D$3:$J$33,7,0)="","",VLOOKUP(C$2,行为概览!$D$3:$J$33,7,0))</f>
        <v>50</v>
      </c>
      <c r="D97" s="53">
        <f>IF(VLOOKUP(D$2,行为概览!$D$3:$J$33,7,0)="","",VLOOKUP(D$2,行为概览!$D$3:$J$33,7,0))</f>
        <v>3.3</v>
      </c>
      <c r="E97" s="53">
        <f>IF(VLOOKUP(E$2,行为概览!$D$3:$J$33,7,0)="","",VLOOKUP(E$2,行为概览!$D$3:$J$33,7,0))</f>
        <v>30</v>
      </c>
      <c r="F97" s="53">
        <f>IF(VLOOKUP(F$2,行为概览!$D$3:$J$33,7,0)="","",VLOOKUP(F$2,行为概览!$D$3:$J$33,7,0))</f>
        <v>15</v>
      </c>
      <c r="G97" s="53" t="str">
        <f>IF(VLOOKUP(G$2,行为概览!$D$3:$J$33,7,0)="","",VLOOKUP(G$2,行为概览!$D$3:$J$33,7,0))</f>
        <v/>
      </c>
      <c r="H97" s="53" t="str">
        <f>IF(VLOOKUP(H$2,行为概览!$D$3:$J$33,7,0)="","",VLOOKUP(H$2,行为概览!$D$3:$J$33,7,0))</f>
        <v/>
      </c>
      <c r="I97" s="53" t="str">
        <f>IF(VLOOKUP(I$2,行为概览!$D$3:$J$33,7,0)="","",VLOOKUP(I$2,行为概览!$D$3:$J$33,7,0))</f>
        <v/>
      </c>
      <c r="J97" s="53" t="str">
        <f>IF(VLOOKUP(J$2,行为概览!$D$3:$J$33,7,0)="","",VLOOKUP(J$2,行为概览!$D$3:$J$33,7,0))</f>
        <v/>
      </c>
      <c r="K97" s="53">
        <f>IF(VLOOKUP(K$2,行为概览!$D$3:$J$33,7,0)="","",VLOOKUP(K$2,行为概览!$D$3:$J$33,7,0))</f>
        <v>20</v>
      </c>
      <c r="L97" s="53">
        <f>IF(VLOOKUP(L$2,行为概览!$D$3:$J$33,7,0)="","",VLOOKUP(L$2,行为概览!$D$3:$J$33,7,0))</f>
        <v>20</v>
      </c>
      <c r="M97" s="53">
        <f>IF(VLOOKUP(M$2,行为概览!$D$3:$J$33,7,0)="","",VLOOKUP(M$2,行为概览!$D$3:$J$33,7,0))</f>
        <v>40</v>
      </c>
      <c r="N97" s="53">
        <f>IF(VLOOKUP(N$2,行为概览!$D$3:$J$33,7,0)="","",VLOOKUP(N$2,行为概览!$D$3:$J$33,7,0))</f>
        <v>1</v>
      </c>
      <c r="O97" s="53">
        <f>IF(VLOOKUP(O$2,行为概览!$D$3:$J$33,7,0)="","",VLOOKUP(O$2,行为概览!$D$3:$J$33,7,0))</f>
        <v>150</v>
      </c>
      <c r="P97" s="53">
        <f>IF(VLOOKUP(P$2,行为概览!$D$3:$J$33,7,0)="","",VLOOKUP(P$2,行为概览!$D$3:$J$33,7,0))</f>
        <v>10</v>
      </c>
      <c r="Q97" s="53">
        <f>IF(VLOOKUP(Q$2,行为概览!$D$3:$J$33,7,0)="","",VLOOKUP(Q$2,行为概览!$D$3:$J$33,7,0))</f>
        <v>20</v>
      </c>
      <c r="R97" s="53">
        <f>IF(VLOOKUP(R$2,行为概览!$D$3:$J$33,7,0)="","",VLOOKUP(R$2,行为概览!$D$3:$J$33,7,0))</f>
        <v>6</v>
      </c>
      <c r="S97" s="53">
        <f>IF(VLOOKUP(S$2,行为概览!$D$3:$J$33,7,0)="","",VLOOKUP(S$2,行为概览!$D$3:$J$33,7,0))</f>
        <v>20</v>
      </c>
      <c r="T97" s="53">
        <f>IF(VLOOKUP(T$2,行为概览!$D$3:$J$33,7,0)="","",VLOOKUP(T$2,行为概览!$D$3:$J$33,7,0))</f>
        <v>15</v>
      </c>
      <c r="U97" s="53">
        <f>IF(VLOOKUP(U$2,行为概览!$D$3:$J$33,7,0)="","",VLOOKUP(U$2,行为概览!$D$3:$J$33,7,0))</f>
        <v>15</v>
      </c>
      <c r="V97" s="53">
        <f>IF(VLOOKUP(V$2,行为概览!$D$3:$J$33,7,0)="","",VLOOKUP(V$2,行为概览!$D$3:$J$33,7,0))</f>
        <v>40</v>
      </c>
      <c r="W97" s="53">
        <f>IF(VLOOKUP(W$2,行为概览!$D$3:$J$33,7,0)="","",VLOOKUP(W$2,行为概览!$D$3:$J$33,7,0))</f>
        <v>15</v>
      </c>
      <c r="X97" s="53">
        <f>IF(VLOOKUP(X$2,行为概览!$D$3:$J$33,7,0)="","",VLOOKUP(X$2,行为概览!$D$3:$J$33,7,0))</f>
        <v>30</v>
      </c>
      <c r="Y97" s="53">
        <f>IF(VLOOKUP(Y$2,行为概览!$D$3:$J$33,7,0)="","",VLOOKUP(Y$2,行为概览!$D$3:$J$33,7,0))</f>
        <v>25</v>
      </c>
      <c r="Z97" s="53">
        <f>IF(VLOOKUP(Z$2,行为概览!$D$3:$J$33,7,0)="","",VLOOKUP(Z$2,行为概览!$D$3:$J$33,7,0))</f>
        <v>15</v>
      </c>
      <c r="AA97" s="53">
        <f>IF(VLOOKUP(AA$2,行为概览!$D$3:$J$33,7,0)="","",VLOOKUP(AA$2,行为概览!$D$3:$J$33,7,0))</f>
        <v>15</v>
      </c>
      <c r="AB97" s="53" t="str">
        <f>IF(VLOOKUP(AB$2,行为概览!$D$3:$J$33,7,0)="","",VLOOKUP(AB$2,行为概览!$D$3:$J$33,7,0))</f>
        <v/>
      </c>
      <c r="AC97" s="53" t="str">
        <f>IF(VLOOKUP(AC$2,行为概览!$D$3:$J$33,7,0)="","",VLOOKUP(AC$2,行为概览!$D$3:$J$33,7,0))</f>
        <v/>
      </c>
      <c r="AD97" s="53" t="str">
        <f>IF(VLOOKUP(AD$2,行为概览!$D$3:$J$33,7,0)="","",VLOOKUP(AD$2,行为概览!$D$3:$J$33,7,0))</f>
        <v/>
      </c>
      <c r="AE97" s="68" t="str">
        <f>IF(VLOOKUP(AE$2,行为概览!$D$3:$J$33,7,0)="","",VLOOKUP(AE$2,行为概览!$D$3:$J$33,7,0))</f>
        <v/>
      </c>
      <c r="AF97" s="1">
        <f>IF(C97="","",ROUND(C97*玩法行为规划!B97,2))</f>
        <v>16.670000000000002</v>
      </c>
      <c r="AG97" s="2">
        <f>IF(D97="","",ROUND(D97*玩法行为规划!C97,2))</f>
        <v>6.6</v>
      </c>
      <c r="AH97" s="2">
        <f>IF(E97="","",ROUND(E97*玩法行为规划!D97,2))</f>
        <v>2.5</v>
      </c>
      <c r="AI97" s="2">
        <f>IF(F97="","",ROUND(F97*玩法行为规划!E97,2))</f>
        <v>15</v>
      </c>
      <c r="AJ97" s="2" t="str">
        <f>IF(G97="","",ROUND(G97*玩法行为规划!F97,2))</f>
        <v/>
      </c>
      <c r="AK97" s="2" t="str">
        <f>IF(H97="","",ROUND(H97*玩法行为规划!G97,2))</f>
        <v/>
      </c>
      <c r="AL97" s="2" t="str">
        <f>IF(I97="","",ROUND(I97*玩法行为规划!H97,2))</f>
        <v/>
      </c>
      <c r="AM97" s="2" t="str">
        <f>IF(J97="","",ROUND(J97*玩法行为规划!I97,2))</f>
        <v/>
      </c>
      <c r="AN97" s="2">
        <f>IF(K97="","",ROUND(K97*玩法行为规划!J97,2))</f>
        <v>10</v>
      </c>
      <c r="AO97" s="2">
        <f>IF(L97="","",ROUND(L97*玩法行为规划!K97,2))</f>
        <v>3.33</v>
      </c>
      <c r="AP97" s="2">
        <f>IF(M97="","",ROUND(M97*玩法行为规划!L97,2))</f>
        <v>20</v>
      </c>
      <c r="AQ97" s="2">
        <f>IF(N97="","",ROUND(N97*玩法行为规划!M97,2))</f>
        <v>12</v>
      </c>
      <c r="AR97" s="2">
        <f>IF(O97="","",ROUND(O97*玩法行为规划!N97,2))</f>
        <v>12.5</v>
      </c>
      <c r="AS97" s="2">
        <f>IF(P97="","",ROUND(P97*玩法行为规划!O97,2))</f>
        <v>0.83</v>
      </c>
      <c r="AT97" s="2">
        <f>IF(Q97="","",ROUND(Q97*玩法行为规划!P97,2))</f>
        <v>52</v>
      </c>
      <c r="AU97" s="2">
        <f>IF(R97="","",ROUND(R97*玩法行为规划!Q97,2))</f>
        <v>6</v>
      </c>
      <c r="AV97" s="2">
        <f>IF(S97="","",ROUND(S97*玩法行为规划!R97,2))</f>
        <v>6.67</v>
      </c>
      <c r="AW97" s="2">
        <f>IF(T97="","",ROUND(T97*玩法行为规划!S97,2))</f>
        <v>0</v>
      </c>
      <c r="AX97" s="2">
        <f>IF(U97="","",ROUND(U97*玩法行为规划!T97,2))</f>
        <v>5</v>
      </c>
      <c r="AY97" s="2">
        <f>IF(V97="","",ROUND(V97*玩法行为规划!U97,2))</f>
        <v>6.67</v>
      </c>
      <c r="AZ97" s="2">
        <f>IF(W97="","",ROUND(W97*玩法行为规划!V97,2))</f>
        <v>2.5</v>
      </c>
      <c r="BA97" s="2">
        <f>IF(X97="","",ROUND(X97*玩法行为规划!W97,2))</f>
        <v>5</v>
      </c>
      <c r="BB97" s="2">
        <f>IF(Y97="","",ROUND(Y97*玩法行为规划!X97,2))</f>
        <v>6.25</v>
      </c>
      <c r="BC97" s="2">
        <f>IF(Z97="","",ROUND(Z97*玩法行为规划!Y97,2))</f>
        <v>8.75</v>
      </c>
      <c r="BD97" s="2">
        <f>IF(AA97="","",ROUND(AA97*玩法行为规划!Z97,2))</f>
        <v>2.5</v>
      </c>
      <c r="BE97" s="2" t="str">
        <f>IF(AB97="","",ROUND(AB97*玩法行为规划!AA97,2))</f>
        <v/>
      </c>
      <c r="BF97" s="2" t="str">
        <f>IF(AC97="","",ROUND(AC97*玩法行为规划!AB97,2))</f>
        <v/>
      </c>
      <c r="BG97" s="2" t="str">
        <f>IF(AD97="","",ROUND(AD97*玩法行为规划!AC97,2))</f>
        <v/>
      </c>
      <c r="BH97" s="3" t="str">
        <f>IF(AE97="","",ROUND(AE97*玩法行为规划!AD97,2))</f>
        <v/>
      </c>
      <c r="BI97" s="7">
        <f t="shared" si="11"/>
        <v>200.76999999999998</v>
      </c>
      <c r="BJ97" s="7">
        <f t="shared" si="12"/>
        <v>7629259.9999999991</v>
      </c>
      <c r="BK97" s="69">
        <f t="shared" si="15"/>
        <v>2945000</v>
      </c>
      <c r="BL97" s="21" t="str">
        <f t="shared" si="16"/>
        <v/>
      </c>
      <c r="BM97" s="7">
        <f t="shared" si="13"/>
        <v>2.8995044840369185E-2</v>
      </c>
      <c r="BN97" s="69">
        <f>INT(BJ97*升级节奏!G97+BK97)</f>
        <v>101569079</v>
      </c>
      <c r="BO97" s="7">
        <f t="shared" si="14"/>
        <v>422</v>
      </c>
      <c r="BP97" s="7"/>
    </row>
    <row r="98" spans="1:68">
      <c r="A98" s="29">
        <v>96</v>
      </c>
      <c r="B98" s="84">
        <f>升级节奏!C98</f>
        <v>38400</v>
      </c>
      <c r="C98" s="53">
        <f>IF(VLOOKUP(C$2,行为概览!$D$3:$J$33,7,0)="","",VLOOKUP(C$2,行为概览!$D$3:$J$33,7,0))</f>
        <v>50</v>
      </c>
      <c r="D98" s="53">
        <f>IF(VLOOKUP(D$2,行为概览!$D$3:$J$33,7,0)="","",VLOOKUP(D$2,行为概览!$D$3:$J$33,7,0))</f>
        <v>3.3</v>
      </c>
      <c r="E98" s="53">
        <f>IF(VLOOKUP(E$2,行为概览!$D$3:$J$33,7,0)="","",VLOOKUP(E$2,行为概览!$D$3:$J$33,7,0))</f>
        <v>30</v>
      </c>
      <c r="F98" s="53">
        <f>IF(VLOOKUP(F$2,行为概览!$D$3:$J$33,7,0)="","",VLOOKUP(F$2,行为概览!$D$3:$J$33,7,0))</f>
        <v>15</v>
      </c>
      <c r="G98" s="53" t="str">
        <f>IF(VLOOKUP(G$2,行为概览!$D$3:$J$33,7,0)="","",VLOOKUP(G$2,行为概览!$D$3:$J$33,7,0))</f>
        <v/>
      </c>
      <c r="H98" s="53" t="str">
        <f>IF(VLOOKUP(H$2,行为概览!$D$3:$J$33,7,0)="","",VLOOKUP(H$2,行为概览!$D$3:$J$33,7,0))</f>
        <v/>
      </c>
      <c r="I98" s="53" t="str">
        <f>IF(VLOOKUP(I$2,行为概览!$D$3:$J$33,7,0)="","",VLOOKUP(I$2,行为概览!$D$3:$J$33,7,0))</f>
        <v/>
      </c>
      <c r="J98" s="53" t="str">
        <f>IF(VLOOKUP(J$2,行为概览!$D$3:$J$33,7,0)="","",VLOOKUP(J$2,行为概览!$D$3:$J$33,7,0))</f>
        <v/>
      </c>
      <c r="K98" s="53">
        <f>IF(VLOOKUP(K$2,行为概览!$D$3:$J$33,7,0)="","",VLOOKUP(K$2,行为概览!$D$3:$J$33,7,0))</f>
        <v>20</v>
      </c>
      <c r="L98" s="53">
        <f>IF(VLOOKUP(L$2,行为概览!$D$3:$J$33,7,0)="","",VLOOKUP(L$2,行为概览!$D$3:$J$33,7,0))</f>
        <v>20</v>
      </c>
      <c r="M98" s="53">
        <f>IF(VLOOKUP(M$2,行为概览!$D$3:$J$33,7,0)="","",VLOOKUP(M$2,行为概览!$D$3:$J$33,7,0))</f>
        <v>40</v>
      </c>
      <c r="N98" s="53">
        <f>IF(VLOOKUP(N$2,行为概览!$D$3:$J$33,7,0)="","",VLOOKUP(N$2,行为概览!$D$3:$J$33,7,0))</f>
        <v>1</v>
      </c>
      <c r="O98" s="53">
        <f>IF(VLOOKUP(O$2,行为概览!$D$3:$J$33,7,0)="","",VLOOKUP(O$2,行为概览!$D$3:$J$33,7,0))</f>
        <v>150</v>
      </c>
      <c r="P98" s="53">
        <f>IF(VLOOKUP(P$2,行为概览!$D$3:$J$33,7,0)="","",VLOOKUP(P$2,行为概览!$D$3:$J$33,7,0))</f>
        <v>10</v>
      </c>
      <c r="Q98" s="53">
        <f>IF(VLOOKUP(Q$2,行为概览!$D$3:$J$33,7,0)="","",VLOOKUP(Q$2,行为概览!$D$3:$J$33,7,0))</f>
        <v>20</v>
      </c>
      <c r="R98" s="53">
        <f>IF(VLOOKUP(R$2,行为概览!$D$3:$J$33,7,0)="","",VLOOKUP(R$2,行为概览!$D$3:$J$33,7,0))</f>
        <v>6</v>
      </c>
      <c r="S98" s="53">
        <f>IF(VLOOKUP(S$2,行为概览!$D$3:$J$33,7,0)="","",VLOOKUP(S$2,行为概览!$D$3:$J$33,7,0))</f>
        <v>20</v>
      </c>
      <c r="T98" s="53">
        <f>IF(VLOOKUP(T$2,行为概览!$D$3:$J$33,7,0)="","",VLOOKUP(T$2,行为概览!$D$3:$J$33,7,0))</f>
        <v>15</v>
      </c>
      <c r="U98" s="53">
        <f>IF(VLOOKUP(U$2,行为概览!$D$3:$J$33,7,0)="","",VLOOKUP(U$2,行为概览!$D$3:$J$33,7,0))</f>
        <v>15</v>
      </c>
      <c r="V98" s="53">
        <f>IF(VLOOKUP(V$2,行为概览!$D$3:$J$33,7,0)="","",VLOOKUP(V$2,行为概览!$D$3:$J$33,7,0))</f>
        <v>40</v>
      </c>
      <c r="W98" s="53">
        <f>IF(VLOOKUP(W$2,行为概览!$D$3:$J$33,7,0)="","",VLOOKUP(W$2,行为概览!$D$3:$J$33,7,0))</f>
        <v>15</v>
      </c>
      <c r="X98" s="53">
        <f>IF(VLOOKUP(X$2,行为概览!$D$3:$J$33,7,0)="","",VLOOKUP(X$2,行为概览!$D$3:$J$33,7,0))</f>
        <v>30</v>
      </c>
      <c r="Y98" s="53">
        <f>IF(VLOOKUP(Y$2,行为概览!$D$3:$J$33,7,0)="","",VLOOKUP(Y$2,行为概览!$D$3:$J$33,7,0))</f>
        <v>25</v>
      </c>
      <c r="Z98" s="53">
        <f>IF(VLOOKUP(Z$2,行为概览!$D$3:$J$33,7,0)="","",VLOOKUP(Z$2,行为概览!$D$3:$J$33,7,0))</f>
        <v>15</v>
      </c>
      <c r="AA98" s="53">
        <f>IF(VLOOKUP(AA$2,行为概览!$D$3:$J$33,7,0)="","",VLOOKUP(AA$2,行为概览!$D$3:$J$33,7,0))</f>
        <v>15</v>
      </c>
      <c r="AB98" s="53" t="str">
        <f>IF(VLOOKUP(AB$2,行为概览!$D$3:$J$33,7,0)="","",VLOOKUP(AB$2,行为概览!$D$3:$J$33,7,0))</f>
        <v/>
      </c>
      <c r="AC98" s="53" t="str">
        <f>IF(VLOOKUP(AC$2,行为概览!$D$3:$J$33,7,0)="","",VLOOKUP(AC$2,行为概览!$D$3:$J$33,7,0))</f>
        <v/>
      </c>
      <c r="AD98" s="53" t="str">
        <f>IF(VLOOKUP(AD$2,行为概览!$D$3:$J$33,7,0)="","",VLOOKUP(AD$2,行为概览!$D$3:$J$33,7,0))</f>
        <v/>
      </c>
      <c r="AE98" s="68" t="str">
        <f>IF(VLOOKUP(AE$2,行为概览!$D$3:$J$33,7,0)="","",VLOOKUP(AE$2,行为概览!$D$3:$J$33,7,0))</f>
        <v/>
      </c>
      <c r="AF98" s="1">
        <f>IF(C98="","",ROUND(C98*玩法行为规划!B98,2))</f>
        <v>16.670000000000002</v>
      </c>
      <c r="AG98" s="2">
        <f>IF(D98="","",ROUND(D98*玩法行为规划!C98,2))</f>
        <v>6.6</v>
      </c>
      <c r="AH98" s="2">
        <f>IF(E98="","",ROUND(E98*玩法行为规划!D98,2))</f>
        <v>2.5</v>
      </c>
      <c r="AI98" s="2">
        <f>IF(F98="","",ROUND(F98*玩法行为规划!E98,2))</f>
        <v>15</v>
      </c>
      <c r="AJ98" s="2" t="str">
        <f>IF(G98="","",ROUND(G98*玩法行为规划!F98,2))</f>
        <v/>
      </c>
      <c r="AK98" s="2" t="str">
        <f>IF(H98="","",ROUND(H98*玩法行为规划!G98,2))</f>
        <v/>
      </c>
      <c r="AL98" s="2" t="str">
        <f>IF(I98="","",ROUND(I98*玩法行为规划!H98,2))</f>
        <v/>
      </c>
      <c r="AM98" s="2" t="str">
        <f>IF(J98="","",ROUND(J98*玩法行为规划!I98,2))</f>
        <v/>
      </c>
      <c r="AN98" s="2">
        <f>IF(K98="","",ROUND(K98*玩法行为规划!J98,2))</f>
        <v>10</v>
      </c>
      <c r="AO98" s="2">
        <f>IF(L98="","",ROUND(L98*玩法行为规划!K98,2))</f>
        <v>3.33</v>
      </c>
      <c r="AP98" s="2">
        <f>IF(M98="","",ROUND(M98*玩法行为规划!L98,2))</f>
        <v>20</v>
      </c>
      <c r="AQ98" s="2">
        <f>IF(N98="","",ROUND(N98*玩法行为规划!M98,2))</f>
        <v>12</v>
      </c>
      <c r="AR98" s="2">
        <f>IF(O98="","",ROUND(O98*玩法行为规划!N98,2))</f>
        <v>12.5</v>
      </c>
      <c r="AS98" s="2">
        <f>IF(P98="","",ROUND(P98*玩法行为规划!O98,2))</f>
        <v>0.83</v>
      </c>
      <c r="AT98" s="2">
        <f>IF(Q98="","",ROUND(Q98*玩法行为规划!P98,2))</f>
        <v>52</v>
      </c>
      <c r="AU98" s="2">
        <f>IF(R98="","",ROUND(R98*玩法行为规划!Q98,2))</f>
        <v>6</v>
      </c>
      <c r="AV98" s="2">
        <f>IF(S98="","",ROUND(S98*玩法行为规划!R98,2))</f>
        <v>6.67</v>
      </c>
      <c r="AW98" s="2">
        <f>IF(T98="","",ROUND(T98*玩法行为规划!S98,2))</f>
        <v>0</v>
      </c>
      <c r="AX98" s="2">
        <f>IF(U98="","",ROUND(U98*玩法行为规划!T98,2))</f>
        <v>5</v>
      </c>
      <c r="AY98" s="2">
        <f>IF(V98="","",ROUND(V98*玩法行为规划!U98,2))</f>
        <v>6.67</v>
      </c>
      <c r="AZ98" s="2">
        <f>IF(W98="","",ROUND(W98*玩法行为规划!V98,2))</f>
        <v>2.5</v>
      </c>
      <c r="BA98" s="2">
        <f>IF(X98="","",ROUND(X98*玩法行为规划!W98,2))</f>
        <v>5</v>
      </c>
      <c r="BB98" s="2">
        <f>IF(Y98="","",ROUND(Y98*玩法行为规划!X98,2))</f>
        <v>6.25</v>
      </c>
      <c r="BC98" s="2">
        <f>IF(Z98="","",ROUND(Z98*玩法行为规划!Y98,2))</f>
        <v>8.75</v>
      </c>
      <c r="BD98" s="2">
        <f>IF(AA98="","",ROUND(AA98*玩法行为规划!Z98,2))</f>
        <v>2.5</v>
      </c>
      <c r="BE98" s="2" t="str">
        <f>IF(AB98="","",ROUND(AB98*玩法行为规划!AA98,2))</f>
        <v/>
      </c>
      <c r="BF98" s="2" t="str">
        <f>IF(AC98="","",ROUND(AC98*玩法行为规划!AB98,2))</f>
        <v/>
      </c>
      <c r="BG98" s="2" t="str">
        <f>IF(AD98="","",ROUND(AD98*玩法行为规划!AC98,2))</f>
        <v/>
      </c>
      <c r="BH98" s="3" t="str">
        <f>IF(AE98="","",ROUND(AE98*玩法行为规划!AD98,2))</f>
        <v/>
      </c>
      <c r="BI98" s="7">
        <f t="shared" si="11"/>
        <v>200.76999999999998</v>
      </c>
      <c r="BJ98" s="7">
        <f t="shared" si="12"/>
        <v>7709567.9999999991</v>
      </c>
      <c r="BK98" s="69">
        <f t="shared" si="15"/>
        <v>3018200</v>
      </c>
      <c r="BL98" s="21" t="str">
        <f t="shared" si="16"/>
        <v/>
      </c>
      <c r="BM98" s="7">
        <f t="shared" si="13"/>
        <v>2.8808825049318244E-2</v>
      </c>
      <c r="BN98" s="69">
        <f>INT(BJ98*升级节奏!G98+BK98)</f>
        <v>104766508</v>
      </c>
      <c r="BO98" s="7">
        <f t="shared" si="14"/>
        <v>427</v>
      </c>
      <c r="BP98" s="7"/>
    </row>
    <row r="99" spans="1:68">
      <c r="A99" s="29">
        <v>97</v>
      </c>
      <c r="B99" s="84">
        <f>升级节奏!C99</f>
        <v>38800</v>
      </c>
      <c r="C99" s="53">
        <f>IF(VLOOKUP(C$2,行为概览!$D$3:$J$33,7,0)="","",VLOOKUP(C$2,行为概览!$D$3:$J$33,7,0))</f>
        <v>50</v>
      </c>
      <c r="D99" s="53">
        <f>IF(VLOOKUP(D$2,行为概览!$D$3:$J$33,7,0)="","",VLOOKUP(D$2,行为概览!$D$3:$J$33,7,0))</f>
        <v>3.3</v>
      </c>
      <c r="E99" s="53">
        <f>IF(VLOOKUP(E$2,行为概览!$D$3:$J$33,7,0)="","",VLOOKUP(E$2,行为概览!$D$3:$J$33,7,0))</f>
        <v>30</v>
      </c>
      <c r="F99" s="53">
        <f>IF(VLOOKUP(F$2,行为概览!$D$3:$J$33,7,0)="","",VLOOKUP(F$2,行为概览!$D$3:$J$33,7,0))</f>
        <v>15</v>
      </c>
      <c r="G99" s="53" t="str">
        <f>IF(VLOOKUP(G$2,行为概览!$D$3:$J$33,7,0)="","",VLOOKUP(G$2,行为概览!$D$3:$J$33,7,0))</f>
        <v/>
      </c>
      <c r="H99" s="53" t="str">
        <f>IF(VLOOKUP(H$2,行为概览!$D$3:$J$33,7,0)="","",VLOOKUP(H$2,行为概览!$D$3:$J$33,7,0))</f>
        <v/>
      </c>
      <c r="I99" s="53" t="str">
        <f>IF(VLOOKUP(I$2,行为概览!$D$3:$J$33,7,0)="","",VLOOKUP(I$2,行为概览!$D$3:$J$33,7,0))</f>
        <v/>
      </c>
      <c r="J99" s="53" t="str">
        <f>IF(VLOOKUP(J$2,行为概览!$D$3:$J$33,7,0)="","",VLOOKUP(J$2,行为概览!$D$3:$J$33,7,0))</f>
        <v/>
      </c>
      <c r="K99" s="53">
        <f>IF(VLOOKUP(K$2,行为概览!$D$3:$J$33,7,0)="","",VLOOKUP(K$2,行为概览!$D$3:$J$33,7,0))</f>
        <v>20</v>
      </c>
      <c r="L99" s="53">
        <f>IF(VLOOKUP(L$2,行为概览!$D$3:$J$33,7,0)="","",VLOOKUP(L$2,行为概览!$D$3:$J$33,7,0))</f>
        <v>20</v>
      </c>
      <c r="M99" s="53">
        <f>IF(VLOOKUP(M$2,行为概览!$D$3:$J$33,7,0)="","",VLOOKUP(M$2,行为概览!$D$3:$J$33,7,0))</f>
        <v>40</v>
      </c>
      <c r="N99" s="53">
        <f>IF(VLOOKUP(N$2,行为概览!$D$3:$J$33,7,0)="","",VLOOKUP(N$2,行为概览!$D$3:$J$33,7,0))</f>
        <v>1</v>
      </c>
      <c r="O99" s="53">
        <f>IF(VLOOKUP(O$2,行为概览!$D$3:$J$33,7,0)="","",VLOOKUP(O$2,行为概览!$D$3:$J$33,7,0))</f>
        <v>150</v>
      </c>
      <c r="P99" s="53">
        <f>IF(VLOOKUP(P$2,行为概览!$D$3:$J$33,7,0)="","",VLOOKUP(P$2,行为概览!$D$3:$J$33,7,0))</f>
        <v>10</v>
      </c>
      <c r="Q99" s="53">
        <f>IF(VLOOKUP(Q$2,行为概览!$D$3:$J$33,7,0)="","",VLOOKUP(Q$2,行为概览!$D$3:$J$33,7,0))</f>
        <v>20</v>
      </c>
      <c r="R99" s="53">
        <f>IF(VLOOKUP(R$2,行为概览!$D$3:$J$33,7,0)="","",VLOOKUP(R$2,行为概览!$D$3:$J$33,7,0))</f>
        <v>6</v>
      </c>
      <c r="S99" s="53">
        <f>IF(VLOOKUP(S$2,行为概览!$D$3:$J$33,7,0)="","",VLOOKUP(S$2,行为概览!$D$3:$J$33,7,0))</f>
        <v>20</v>
      </c>
      <c r="T99" s="53">
        <f>IF(VLOOKUP(T$2,行为概览!$D$3:$J$33,7,0)="","",VLOOKUP(T$2,行为概览!$D$3:$J$33,7,0))</f>
        <v>15</v>
      </c>
      <c r="U99" s="53">
        <f>IF(VLOOKUP(U$2,行为概览!$D$3:$J$33,7,0)="","",VLOOKUP(U$2,行为概览!$D$3:$J$33,7,0))</f>
        <v>15</v>
      </c>
      <c r="V99" s="53">
        <f>IF(VLOOKUP(V$2,行为概览!$D$3:$J$33,7,0)="","",VLOOKUP(V$2,行为概览!$D$3:$J$33,7,0))</f>
        <v>40</v>
      </c>
      <c r="W99" s="53">
        <f>IF(VLOOKUP(W$2,行为概览!$D$3:$J$33,7,0)="","",VLOOKUP(W$2,行为概览!$D$3:$J$33,7,0))</f>
        <v>15</v>
      </c>
      <c r="X99" s="53">
        <f>IF(VLOOKUP(X$2,行为概览!$D$3:$J$33,7,0)="","",VLOOKUP(X$2,行为概览!$D$3:$J$33,7,0))</f>
        <v>30</v>
      </c>
      <c r="Y99" s="53">
        <f>IF(VLOOKUP(Y$2,行为概览!$D$3:$J$33,7,0)="","",VLOOKUP(Y$2,行为概览!$D$3:$J$33,7,0))</f>
        <v>25</v>
      </c>
      <c r="Z99" s="53">
        <f>IF(VLOOKUP(Z$2,行为概览!$D$3:$J$33,7,0)="","",VLOOKUP(Z$2,行为概览!$D$3:$J$33,7,0))</f>
        <v>15</v>
      </c>
      <c r="AA99" s="53">
        <f>IF(VLOOKUP(AA$2,行为概览!$D$3:$J$33,7,0)="","",VLOOKUP(AA$2,行为概览!$D$3:$J$33,7,0))</f>
        <v>15</v>
      </c>
      <c r="AB99" s="53" t="str">
        <f>IF(VLOOKUP(AB$2,行为概览!$D$3:$J$33,7,0)="","",VLOOKUP(AB$2,行为概览!$D$3:$J$33,7,0))</f>
        <v/>
      </c>
      <c r="AC99" s="53" t="str">
        <f>IF(VLOOKUP(AC$2,行为概览!$D$3:$J$33,7,0)="","",VLOOKUP(AC$2,行为概览!$D$3:$J$33,7,0))</f>
        <v/>
      </c>
      <c r="AD99" s="53" t="str">
        <f>IF(VLOOKUP(AD$2,行为概览!$D$3:$J$33,7,0)="","",VLOOKUP(AD$2,行为概览!$D$3:$J$33,7,0))</f>
        <v/>
      </c>
      <c r="AE99" s="68" t="str">
        <f>IF(VLOOKUP(AE$2,行为概览!$D$3:$J$33,7,0)="","",VLOOKUP(AE$2,行为概览!$D$3:$J$33,7,0))</f>
        <v/>
      </c>
      <c r="AF99" s="1">
        <f>IF(C99="","",ROUND(C99*玩法行为规划!B99,2))</f>
        <v>16.670000000000002</v>
      </c>
      <c r="AG99" s="2">
        <f>IF(D99="","",ROUND(D99*玩法行为规划!C99,2))</f>
        <v>6.6</v>
      </c>
      <c r="AH99" s="2">
        <f>IF(E99="","",ROUND(E99*玩法行为规划!D99,2))</f>
        <v>2.5</v>
      </c>
      <c r="AI99" s="2">
        <f>IF(F99="","",ROUND(F99*玩法行为规划!E99,2))</f>
        <v>15</v>
      </c>
      <c r="AJ99" s="2" t="str">
        <f>IF(G99="","",ROUND(G99*玩法行为规划!F99,2))</f>
        <v/>
      </c>
      <c r="AK99" s="2" t="str">
        <f>IF(H99="","",ROUND(H99*玩法行为规划!G99,2))</f>
        <v/>
      </c>
      <c r="AL99" s="2" t="str">
        <f>IF(I99="","",ROUND(I99*玩法行为规划!H99,2))</f>
        <v/>
      </c>
      <c r="AM99" s="2" t="str">
        <f>IF(J99="","",ROUND(J99*玩法行为规划!I99,2))</f>
        <v/>
      </c>
      <c r="AN99" s="2">
        <f>IF(K99="","",ROUND(K99*玩法行为规划!J99,2))</f>
        <v>10</v>
      </c>
      <c r="AO99" s="2">
        <f>IF(L99="","",ROUND(L99*玩法行为规划!K99,2))</f>
        <v>3.33</v>
      </c>
      <c r="AP99" s="2">
        <f>IF(M99="","",ROUND(M99*玩法行为规划!L99,2))</f>
        <v>20</v>
      </c>
      <c r="AQ99" s="2">
        <f>IF(N99="","",ROUND(N99*玩法行为规划!M99,2))</f>
        <v>12</v>
      </c>
      <c r="AR99" s="2">
        <f>IF(O99="","",ROUND(O99*玩法行为规划!N99,2))</f>
        <v>12.5</v>
      </c>
      <c r="AS99" s="2">
        <f>IF(P99="","",ROUND(P99*玩法行为规划!O99,2))</f>
        <v>0.83</v>
      </c>
      <c r="AT99" s="2">
        <f>IF(Q99="","",ROUND(Q99*玩法行为规划!P99,2))</f>
        <v>52</v>
      </c>
      <c r="AU99" s="2">
        <f>IF(R99="","",ROUND(R99*玩法行为规划!Q99,2))</f>
        <v>6</v>
      </c>
      <c r="AV99" s="2">
        <f>IF(S99="","",ROUND(S99*玩法行为规划!R99,2))</f>
        <v>6.67</v>
      </c>
      <c r="AW99" s="2">
        <f>IF(T99="","",ROUND(T99*玩法行为规划!S99,2))</f>
        <v>0</v>
      </c>
      <c r="AX99" s="2">
        <f>IF(U99="","",ROUND(U99*玩法行为规划!T99,2))</f>
        <v>5</v>
      </c>
      <c r="AY99" s="2">
        <f>IF(V99="","",ROUND(V99*玩法行为规划!U99,2))</f>
        <v>6.67</v>
      </c>
      <c r="AZ99" s="2">
        <f>IF(W99="","",ROUND(W99*玩法行为规划!V99,2))</f>
        <v>2.5</v>
      </c>
      <c r="BA99" s="2">
        <f>IF(X99="","",ROUND(X99*玩法行为规划!W99,2))</f>
        <v>5</v>
      </c>
      <c r="BB99" s="2">
        <f>IF(Y99="","",ROUND(Y99*玩法行为规划!X99,2))</f>
        <v>6.25</v>
      </c>
      <c r="BC99" s="2">
        <f>IF(Z99="","",ROUND(Z99*玩法行为规划!Y99,2))</f>
        <v>8.75</v>
      </c>
      <c r="BD99" s="2">
        <f>IF(AA99="","",ROUND(AA99*玩法行为规划!Z99,2))</f>
        <v>2.5</v>
      </c>
      <c r="BE99" s="2" t="str">
        <f>IF(AB99="","",ROUND(AB99*玩法行为规划!AA99,2))</f>
        <v/>
      </c>
      <c r="BF99" s="2" t="str">
        <f>IF(AC99="","",ROUND(AC99*玩法行为规划!AB99,2))</f>
        <v/>
      </c>
      <c r="BG99" s="2" t="str">
        <f>IF(AD99="","",ROUND(AD99*玩法行为规划!AC99,2))</f>
        <v/>
      </c>
      <c r="BH99" s="3" t="str">
        <f>IF(AE99="","",ROUND(AE99*玩法行为规划!AD99,2))</f>
        <v/>
      </c>
      <c r="BI99" s="7">
        <f t="shared" ref="BI99:BI130" si="17">SUM(AF99:BF99)</f>
        <v>200.76999999999998</v>
      </c>
      <c r="BJ99" s="7">
        <f t="shared" ref="BJ99:BJ130" si="18">B99*BI99</f>
        <v>7789875.9999999991</v>
      </c>
      <c r="BK99" s="69">
        <f t="shared" si="15"/>
        <v>3092400</v>
      </c>
      <c r="BL99" s="21" t="str">
        <f t="shared" si="16"/>
        <v/>
      </c>
      <c r="BM99" s="7">
        <f t="shared" ref="BM99:BM130" si="19">BK99/BN99</f>
        <v>2.8625257830041058E-2</v>
      </c>
      <c r="BN99" s="69">
        <f>INT(BJ99*升级节奏!G99+BK99)</f>
        <v>108030468</v>
      </c>
      <c r="BO99" s="7">
        <f t="shared" si="14"/>
        <v>431</v>
      </c>
      <c r="BP99" s="7"/>
    </row>
    <row r="100" spans="1:68">
      <c r="A100" s="29">
        <v>98</v>
      </c>
      <c r="B100" s="84">
        <f>升级节奏!C100</f>
        <v>39200</v>
      </c>
      <c r="C100" s="53">
        <f>IF(VLOOKUP(C$2,行为概览!$D$3:$J$33,7,0)="","",VLOOKUP(C$2,行为概览!$D$3:$J$33,7,0))</f>
        <v>50</v>
      </c>
      <c r="D100" s="53">
        <f>IF(VLOOKUP(D$2,行为概览!$D$3:$J$33,7,0)="","",VLOOKUP(D$2,行为概览!$D$3:$J$33,7,0))</f>
        <v>3.3</v>
      </c>
      <c r="E100" s="53">
        <f>IF(VLOOKUP(E$2,行为概览!$D$3:$J$33,7,0)="","",VLOOKUP(E$2,行为概览!$D$3:$J$33,7,0))</f>
        <v>30</v>
      </c>
      <c r="F100" s="53">
        <f>IF(VLOOKUP(F$2,行为概览!$D$3:$J$33,7,0)="","",VLOOKUP(F$2,行为概览!$D$3:$J$33,7,0))</f>
        <v>15</v>
      </c>
      <c r="G100" s="53" t="str">
        <f>IF(VLOOKUP(G$2,行为概览!$D$3:$J$33,7,0)="","",VLOOKUP(G$2,行为概览!$D$3:$J$33,7,0))</f>
        <v/>
      </c>
      <c r="H100" s="53" t="str">
        <f>IF(VLOOKUP(H$2,行为概览!$D$3:$J$33,7,0)="","",VLOOKUP(H$2,行为概览!$D$3:$J$33,7,0))</f>
        <v/>
      </c>
      <c r="I100" s="53" t="str">
        <f>IF(VLOOKUP(I$2,行为概览!$D$3:$J$33,7,0)="","",VLOOKUP(I$2,行为概览!$D$3:$J$33,7,0))</f>
        <v/>
      </c>
      <c r="J100" s="53" t="str">
        <f>IF(VLOOKUP(J$2,行为概览!$D$3:$J$33,7,0)="","",VLOOKUP(J$2,行为概览!$D$3:$J$33,7,0))</f>
        <v/>
      </c>
      <c r="K100" s="53">
        <f>IF(VLOOKUP(K$2,行为概览!$D$3:$J$33,7,0)="","",VLOOKUP(K$2,行为概览!$D$3:$J$33,7,0))</f>
        <v>20</v>
      </c>
      <c r="L100" s="53">
        <f>IF(VLOOKUP(L$2,行为概览!$D$3:$J$33,7,0)="","",VLOOKUP(L$2,行为概览!$D$3:$J$33,7,0))</f>
        <v>20</v>
      </c>
      <c r="M100" s="53">
        <f>IF(VLOOKUP(M$2,行为概览!$D$3:$J$33,7,0)="","",VLOOKUP(M$2,行为概览!$D$3:$J$33,7,0))</f>
        <v>40</v>
      </c>
      <c r="N100" s="53">
        <f>IF(VLOOKUP(N$2,行为概览!$D$3:$J$33,7,0)="","",VLOOKUP(N$2,行为概览!$D$3:$J$33,7,0))</f>
        <v>1</v>
      </c>
      <c r="O100" s="53">
        <f>IF(VLOOKUP(O$2,行为概览!$D$3:$J$33,7,0)="","",VLOOKUP(O$2,行为概览!$D$3:$J$33,7,0))</f>
        <v>150</v>
      </c>
      <c r="P100" s="53">
        <f>IF(VLOOKUP(P$2,行为概览!$D$3:$J$33,7,0)="","",VLOOKUP(P$2,行为概览!$D$3:$J$33,7,0))</f>
        <v>10</v>
      </c>
      <c r="Q100" s="53">
        <f>IF(VLOOKUP(Q$2,行为概览!$D$3:$J$33,7,0)="","",VLOOKUP(Q$2,行为概览!$D$3:$J$33,7,0))</f>
        <v>20</v>
      </c>
      <c r="R100" s="53">
        <f>IF(VLOOKUP(R$2,行为概览!$D$3:$J$33,7,0)="","",VLOOKUP(R$2,行为概览!$D$3:$J$33,7,0))</f>
        <v>6</v>
      </c>
      <c r="S100" s="53">
        <f>IF(VLOOKUP(S$2,行为概览!$D$3:$J$33,7,0)="","",VLOOKUP(S$2,行为概览!$D$3:$J$33,7,0))</f>
        <v>20</v>
      </c>
      <c r="T100" s="53">
        <f>IF(VLOOKUP(T$2,行为概览!$D$3:$J$33,7,0)="","",VLOOKUP(T$2,行为概览!$D$3:$J$33,7,0))</f>
        <v>15</v>
      </c>
      <c r="U100" s="53">
        <f>IF(VLOOKUP(U$2,行为概览!$D$3:$J$33,7,0)="","",VLOOKUP(U$2,行为概览!$D$3:$J$33,7,0))</f>
        <v>15</v>
      </c>
      <c r="V100" s="53">
        <f>IF(VLOOKUP(V$2,行为概览!$D$3:$J$33,7,0)="","",VLOOKUP(V$2,行为概览!$D$3:$J$33,7,0))</f>
        <v>40</v>
      </c>
      <c r="W100" s="53">
        <f>IF(VLOOKUP(W$2,行为概览!$D$3:$J$33,7,0)="","",VLOOKUP(W$2,行为概览!$D$3:$J$33,7,0))</f>
        <v>15</v>
      </c>
      <c r="X100" s="53">
        <f>IF(VLOOKUP(X$2,行为概览!$D$3:$J$33,7,0)="","",VLOOKUP(X$2,行为概览!$D$3:$J$33,7,0))</f>
        <v>30</v>
      </c>
      <c r="Y100" s="53">
        <f>IF(VLOOKUP(Y$2,行为概览!$D$3:$J$33,7,0)="","",VLOOKUP(Y$2,行为概览!$D$3:$J$33,7,0))</f>
        <v>25</v>
      </c>
      <c r="Z100" s="53">
        <f>IF(VLOOKUP(Z$2,行为概览!$D$3:$J$33,7,0)="","",VLOOKUP(Z$2,行为概览!$D$3:$J$33,7,0))</f>
        <v>15</v>
      </c>
      <c r="AA100" s="53">
        <f>IF(VLOOKUP(AA$2,行为概览!$D$3:$J$33,7,0)="","",VLOOKUP(AA$2,行为概览!$D$3:$J$33,7,0))</f>
        <v>15</v>
      </c>
      <c r="AB100" s="53" t="str">
        <f>IF(VLOOKUP(AB$2,行为概览!$D$3:$J$33,7,0)="","",VLOOKUP(AB$2,行为概览!$D$3:$J$33,7,0))</f>
        <v/>
      </c>
      <c r="AC100" s="53" t="str">
        <f>IF(VLOOKUP(AC$2,行为概览!$D$3:$J$33,7,0)="","",VLOOKUP(AC$2,行为概览!$D$3:$J$33,7,0))</f>
        <v/>
      </c>
      <c r="AD100" s="53" t="str">
        <f>IF(VLOOKUP(AD$2,行为概览!$D$3:$J$33,7,0)="","",VLOOKUP(AD$2,行为概览!$D$3:$J$33,7,0))</f>
        <v/>
      </c>
      <c r="AE100" s="68" t="str">
        <f>IF(VLOOKUP(AE$2,行为概览!$D$3:$J$33,7,0)="","",VLOOKUP(AE$2,行为概览!$D$3:$J$33,7,0))</f>
        <v/>
      </c>
      <c r="AF100" s="1">
        <f>IF(C100="","",ROUND(C100*玩法行为规划!B100,2))</f>
        <v>16.670000000000002</v>
      </c>
      <c r="AG100" s="2">
        <f>IF(D100="","",ROUND(D100*玩法行为规划!C100,2))</f>
        <v>6.6</v>
      </c>
      <c r="AH100" s="2">
        <f>IF(E100="","",ROUND(E100*玩法行为规划!D100,2))</f>
        <v>2.5</v>
      </c>
      <c r="AI100" s="2">
        <f>IF(F100="","",ROUND(F100*玩法行为规划!E100,2))</f>
        <v>15</v>
      </c>
      <c r="AJ100" s="2" t="str">
        <f>IF(G100="","",ROUND(G100*玩法行为规划!F100,2))</f>
        <v/>
      </c>
      <c r="AK100" s="2" t="str">
        <f>IF(H100="","",ROUND(H100*玩法行为规划!G100,2))</f>
        <v/>
      </c>
      <c r="AL100" s="2" t="str">
        <f>IF(I100="","",ROUND(I100*玩法行为规划!H100,2))</f>
        <v/>
      </c>
      <c r="AM100" s="2" t="str">
        <f>IF(J100="","",ROUND(J100*玩法行为规划!I100,2))</f>
        <v/>
      </c>
      <c r="AN100" s="2">
        <f>IF(K100="","",ROUND(K100*玩法行为规划!J100,2))</f>
        <v>10</v>
      </c>
      <c r="AO100" s="2">
        <f>IF(L100="","",ROUND(L100*玩法行为规划!K100,2))</f>
        <v>3.33</v>
      </c>
      <c r="AP100" s="2">
        <f>IF(M100="","",ROUND(M100*玩法行为规划!L100,2))</f>
        <v>20</v>
      </c>
      <c r="AQ100" s="2">
        <f>IF(N100="","",ROUND(N100*玩法行为规划!M100,2))</f>
        <v>12</v>
      </c>
      <c r="AR100" s="2">
        <f>IF(O100="","",ROUND(O100*玩法行为规划!N100,2))</f>
        <v>12.5</v>
      </c>
      <c r="AS100" s="2">
        <f>IF(P100="","",ROUND(P100*玩法行为规划!O100,2))</f>
        <v>0.83</v>
      </c>
      <c r="AT100" s="2">
        <f>IF(Q100="","",ROUND(Q100*玩法行为规划!P100,2))</f>
        <v>52</v>
      </c>
      <c r="AU100" s="2">
        <f>IF(R100="","",ROUND(R100*玩法行为规划!Q100,2))</f>
        <v>6</v>
      </c>
      <c r="AV100" s="2">
        <f>IF(S100="","",ROUND(S100*玩法行为规划!R100,2))</f>
        <v>6.67</v>
      </c>
      <c r="AW100" s="2">
        <f>IF(T100="","",ROUND(T100*玩法行为规划!S100,2))</f>
        <v>0</v>
      </c>
      <c r="AX100" s="2">
        <f>IF(U100="","",ROUND(U100*玩法行为规划!T100,2))</f>
        <v>5</v>
      </c>
      <c r="AY100" s="2">
        <f>IF(V100="","",ROUND(V100*玩法行为规划!U100,2))</f>
        <v>6.67</v>
      </c>
      <c r="AZ100" s="2">
        <f>IF(W100="","",ROUND(W100*玩法行为规划!V100,2))</f>
        <v>2.5</v>
      </c>
      <c r="BA100" s="2">
        <f>IF(X100="","",ROUND(X100*玩法行为规划!W100,2))</f>
        <v>5</v>
      </c>
      <c r="BB100" s="2">
        <f>IF(Y100="","",ROUND(Y100*玩法行为规划!X100,2))</f>
        <v>6.25</v>
      </c>
      <c r="BC100" s="2">
        <f>IF(Z100="","",ROUND(Z100*玩法行为规划!Y100,2))</f>
        <v>8.75</v>
      </c>
      <c r="BD100" s="2">
        <f>IF(AA100="","",ROUND(AA100*玩法行为规划!Z100,2))</f>
        <v>2.5</v>
      </c>
      <c r="BE100" s="2" t="str">
        <f>IF(AB100="","",ROUND(AB100*玩法行为规划!AA100,2))</f>
        <v/>
      </c>
      <c r="BF100" s="2" t="str">
        <f>IF(AC100="","",ROUND(AC100*玩法行为规划!AB100,2))</f>
        <v/>
      </c>
      <c r="BG100" s="2" t="str">
        <f>IF(AD100="","",ROUND(AD100*玩法行为规划!AC100,2))</f>
        <v/>
      </c>
      <c r="BH100" s="3" t="str">
        <f>IF(AE100="","",ROUND(AE100*玩法行为规划!AD100,2))</f>
        <v/>
      </c>
      <c r="BI100" s="7">
        <f t="shared" si="17"/>
        <v>200.76999999999998</v>
      </c>
      <c r="BJ100" s="7">
        <f t="shared" si="18"/>
        <v>7870183.9999999991</v>
      </c>
      <c r="BK100" s="69">
        <f t="shared" si="15"/>
        <v>3167400</v>
      </c>
      <c r="BL100" s="21" t="str">
        <f t="shared" si="16"/>
        <v/>
      </c>
      <c r="BM100" s="7">
        <f t="shared" si="19"/>
        <v>2.844251962901127E-2</v>
      </c>
      <c r="BN100" s="69">
        <f>INT(BJ100*升级节奏!G100+BK100)</f>
        <v>111361442</v>
      </c>
      <c r="BO100" s="7">
        <f t="shared" si="14"/>
        <v>436</v>
      </c>
      <c r="BP100" s="7"/>
    </row>
    <row r="101" spans="1:68">
      <c r="A101" s="29">
        <v>99</v>
      </c>
      <c r="B101" s="84">
        <f>升级节奏!C101</f>
        <v>39600</v>
      </c>
      <c r="C101" s="53">
        <f>IF(VLOOKUP(C$2,行为概览!$D$3:$J$33,7,0)="","",VLOOKUP(C$2,行为概览!$D$3:$J$33,7,0))</f>
        <v>50</v>
      </c>
      <c r="D101" s="53">
        <f>IF(VLOOKUP(D$2,行为概览!$D$3:$J$33,7,0)="","",VLOOKUP(D$2,行为概览!$D$3:$J$33,7,0))</f>
        <v>3.3</v>
      </c>
      <c r="E101" s="53">
        <f>IF(VLOOKUP(E$2,行为概览!$D$3:$J$33,7,0)="","",VLOOKUP(E$2,行为概览!$D$3:$J$33,7,0))</f>
        <v>30</v>
      </c>
      <c r="F101" s="53">
        <f>IF(VLOOKUP(F$2,行为概览!$D$3:$J$33,7,0)="","",VLOOKUP(F$2,行为概览!$D$3:$J$33,7,0))</f>
        <v>15</v>
      </c>
      <c r="G101" s="53" t="str">
        <f>IF(VLOOKUP(G$2,行为概览!$D$3:$J$33,7,0)="","",VLOOKUP(G$2,行为概览!$D$3:$J$33,7,0))</f>
        <v/>
      </c>
      <c r="H101" s="53" t="str">
        <f>IF(VLOOKUP(H$2,行为概览!$D$3:$J$33,7,0)="","",VLOOKUP(H$2,行为概览!$D$3:$J$33,7,0))</f>
        <v/>
      </c>
      <c r="I101" s="53" t="str">
        <f>IF(VLOOKUP(I$2,行为概览!$D$3:$J$33,7,0)="","",VLOOKUP(I$2,行为概览!$D$3:$J$33,7,0))</f>
        <v/>
      </c>
      <c r="J101" s="53" t="str">
        <f>IF(VLOOKUP(J$2,行为概览!$D$3:$J$33,7,0)="","",VLOOKUP(J$2,行为概览!$D$3:$J$33,7,0))</f>
        <v/>
      </c>
      <c r="K101" s="53">
        <f>IF(VLOOKUP(K$2,行为概览!$D$3:$J$33,7,0)="","",VLOOKUP(K$2,行为概览!$D$3:$J$33,7,0))</f>
        <v>20</v>
      </c>
      <c r="L101" s="53">
        <f>IF(VLOOKUP(L$2,行为概览!$D$3:$J$33,7,0)="","",VLOOKUP(L$2,行为概览!$D$3:$J$33,7,0))</f>
        <v>20</v>
      </c>
      <c r="M101" s="53">
        <f>IF(VLOOKUP(M$2,行为概览!$D$3:$J$33,7,0)="","",VLOOKUP(M$2,行为概览!$D$3:$J$33,7,0))</f>
        <v>40</v>
      </c>
      <c r="N101" s="53">
        <f>IF(VLOOKUP(N$2,行为概览!$D$3:$J$33,7,0)="","",VLOOKUP(N$2,行为概览!$D$3:$J$33,7,0))</f>
        <v>1</v>
      </c>
      <c r="O101" s="53">
        <f>IF(VLOOKUP(O$2,行为概览!$D$3:$J$33,7,0)="","",VLOOKUP(O$2,行为概览!$D$3:$J$33,7,0))</f>
        <v>150</v>
      </c>
      <c r="P101" s="53">
        <f>IF(VLOOKUP(P$2,行为概览!$D$3:$J$33,7,0)="","",VLOOKUP(P$2,行为概览!$D$3:$J$33,7,0))</f>
        <v>10</v>
      </c>
      <c r="Q101" s="53">
        <f>IF(VLOOKUP(Q$2,行为概览!$D$3:$J$33,7,0)="","",VLOOKUP(Q$2,行为概览!$D$3:$J$33,7,0))</f>
        <v>20</v>
      </c>
      <c r="R101" s="53">
        <f>IF(VLOOKUP(R$2,行为概览!$D$3:$J$33,7,0)="","",VLOOKUP(R$2,行为概览!$D$3:$J$33,7,0))</f>
        <v>6</v>
      </c>
      <c r="S101" s="53">
        <f>IF(VLOOKUP(S$2,行为概览!$D$3:$J$33,7,0)="","",VLOOKUP(S$2,行为概览!$D$3:$J$33,7,0))</f>
        <v>20</v>
      </c>
      <c r="T101" s="53">
        <f>IF(VLOOKUP(T$2,行为概览!$D$3:$J$33,7,0)="","",VLOOKUP(T$2,行为概览!$D$3:$J$33,7,0))</f>
        <v>15</v>
      </c>
      <c r="U101" s="53">
        <f>IF(VLOOKUP(U$2,行为概览!$D$3:$J$33,7,0)="","",VLOOKUP(U$2,行为概览!$D$3:$J$33,7,0))</f>
        <v>15</v>
      </c>
      <c r="V101" s="53">
        <f>IF(VLOOKUP(V$2,行为概览!$D$3:$J$33,7,0)="","",VLOOKUP(V$2,行为概览!$D$3:$J$33,7,0))</f>
        <v>40</v>
      </c>
      <c r="W101" s="53">
        <f>IF(VLOOKUP(W$2,行为概览!$D$3:$J$33,7,0)="","",VLOOKUP(W$2,行为概览!$D$3:$J$33,7,0))</f>
        <v>15</v>
      </c>
      <c r="X101" s="53">
        <f>IF(VLOOKUP(X$2,行为概览!$D$3:$J$33,7,0)="","",VLOOKUP(X$2,行为概览!$D$3:$J$33,7,0))</f>
        <v>30</v>
      </c>
      <c r="Y101" s="53">
        <f>IF(VLOOKUP(Y$2,行为概览!$D$3:$J$33,7,0)="","",VLOOKUP(Y$2,行为概览!$D$3:$J$33,7,0))</f>
        <v>25</v>
      </c>
      <c r="Z101" s="53">
        <f>IF(VLOOKUP(Z$2,行为概览!$D$3:$J$33,7,0)="","",VLOOKUP(Z$2,行为概览!$D$3:$J$33,7,0))</f>
        <v>15</v>
      </c>
      <c r="AA101" s="53">
        <f>IF(VLOOKUP(AA$2,行为概览!$D$3:$J$33,7,0)="","",VLOOKUP(AA$2,行为概览!$D$3:$J$33,7,0))</f>
        <v>15</v>
      </c>
      <c r="AB101" s="53" t="str">
        <f>IF(VLOOKUP(AB$2,行为概览!$D$3:$J$33,7,0)="","",VLOOKUP(AB$2,行为概览!$D$3:$J$33,7,0))</f>
        <v/>
      </c>
      <c r="AC101" s="53" t="str">
        <f>IF(VLOOKUP(AC$2,行为概览!$D$3:$J$33,7,0)="","",VLOOKUP(AC$2,行为概览!$D$3:$J$33,7,0))</f>
        <v/>
      </c>
      <c r="AD101" s="53" t="str">
        <f>IF(VLOOKUP(AD$2,行为概览!$D$3:$J$33,7,0)="","",VLOOKUP(AD$2,行为概览!$D$3:$J$33,7,0))</f>
        <v/>
      </c>
      <c r="AE101" s="68" t="str">
        <f>IF(VLOOKUP(AE$2,行为概览!$D$3:$J$33,7,0)="","",VLOOKUP(AE$2,行为概览!$D$3:$J$33,7,0))</f>
        <v/>
      </c>
      <c r="AF101" s="1">
        <f>IF(C101="","",ROUND(C101*玩法行为规划!B101,2))</f>
        <v>16.670000000000002</v>
      </c>
      <c r="AG101" s="2">
        <f>IF(D101="","",ROUND(D101*玩法行为规划!C101,2))</f>
        <v>6.6</v>
      </c>
      <c r="AH101" s="2">
        <f>IF(E101="","",ROUND(E101*玩法行为规划!D101,2))</f>
        <v>2.5</v>
      </c>
      <c r="AI101" s="2">
        <f>IF(F101="","",ROUND(F101*玩法行为规划!E101,2))</f>
        <v>15</v>
      </c>
      <c r="AJ101" s="2" t="str">
        <f>IF(G101="","",ROUND(G101*玩法行为规划!F101,2))</f>
        <v/>
      </c>
      <c r="AK101" s="2" t="str">
        <f>IF(H101="","",ROUND(H101*玩法行为规划!G101,2))</f>
        <v/>
      </c>
      <c r="AL101" s="2" t="str">
        <f>IF(I101="","",ROUND(I101*玩法行为规划!H101,2))</f>
        <v/>
      </c>
      <c r="AM101" s="2" t="str">
        <f>IF(J101="","",ROUND(J101*玩法行为规划!I101,2))</f>
        <v/>
      </c>
      <c r="AN101" s="2">
        <f>IF(K101="","",ROUND(K101*玩法行为规划!J101,2))</f>
        <v>10</v>
      </c>
      <c r="AO101" s="2">
        <f>IF(L101="","",ROUND(L101*玩法行为规划!K101,2))</f>
        <v>3.33</v>
      </c>
      <c r="AP101" s="2">
        <f>IF(M101="","",ROUND(M101*玩法行为规划!L101,2))</f>
        <v>20</v>
      </c>
      <c r="AQ101" s="2">
        <f>IF(N101="","",ROUND(N101*玩法行为规划!M101,2))</f>
        <v>12</v>
      </c>
      <c r="AR101" s="2">
        <f>IF(O101="","",ROUND(O101*玩法行为规划!N101,2))</f>
        <v>12.5</v>
      </c>
      <c r="AS101" s="2">
        <f>IF(P101="","",ROUND(P101*玩法行为规划!O101,2))</f>
        <v>0.83</v>
      </c>
      <c r="AT101" s="2">
        <f>IF(Q101="","",ROUND(Q101*玩法行为规划!P101,2))</f>
        <v>52</v>
      </c>
      <c r="AU101" s="2">
        <f>IF(R101="","",ROUND(R101*玩法行为规划!Q101,2))</f>
        <v>6</v>
      </c>
      <c r="AV101" s="2">
        <f>IF(S101="","",ROUND(S101*玩法行为规划!R101,2))</f>
        <v>6.67</v>
      </c>
      <c r="AW101" s="2">
        <f>IF(T101="","",ROUND(T101*玩法行为规划!S101,2))</f>
        <v>0</v>
      </c>
      <c r="AX101" s="2">
        <f>IF(U101="","",ROUND(U101*玩法行为规划!T101,2))</f>
        <v>5</v>
      </c>
      <c r="AY101" s="2">
        <f>IF(V101="","",ROUND(V101*玩法行为规划!U101,2))</f>
        <v>6.67</v>
      </c>
      <c r="AZ101" s="2">
        <f>IF(W101="","",ROUND(W101*玩法行为规划!V101,2))</f>
        <v>2.5</v>
      </c>
      <c r="BA101" s="2">
        <f>IF(X101="","",ROUND(X101*玩法行为规划!W101,2))</f>
        <v>5</v>
      </c>
      <c r="BB101" s="2">
        <f>IF(Y101="","",ROUND(Y101*玩法行为规划!X101,2))</f>
        <v>6.25</v>
      </c>
      <c r="BC101" s="2">
        <f>IF(Z101="","",ROUND(Z101*玩法行为规划!Y101,2))</f>
        <v>8.75</v>
      </c>
      <c r="BD101" s="2">
        <f>IF(AA101="","",ROUND(AA101*玩法行为规划!Z101,2))</f>
        <v>2.5</v>
      </c>
      <c r="BE101" s="2" t="str">
        <f>IF(AB101="","",ROUND(AB101*玩法行为规划!AA101,2))</f>
        <v/>
      </c>
      <c r="BF101" s="2" t="str">
        <f>IF(AC101="","",ROUND(AC101*玩法行为规划!AB101,2))</f>
        <v/>
      </c>
      <c r="BG101" s="2" t="str">
        <f>IF(AD101="","",ROUND(AD101*玩法行为规划!AC101,2))</f>
        <v/>
      </c>
      <c r="BH101" s="3" t="str">
        <f>IF(AE101="","",ROUND(AE101*玩法行为规划!AD101,2))</f>
        <v/>
      </c>
      <c r="BI101" s="7">
        <f t="shared" si="17"/>
        <v>200.76999999999998</v>
      </c>
      <c r="BJ101" s="7">
        <f t="shared" si="18"/>
        <v>7950491.9999999991</v>
      </c>
      <c r="BK101" s="69">
        <f t="shared" si="15"/>
        <v>3243200</v>
      </c>
      <c r="BL101" s="21" t="str">
        <f t="shared" si="16"/>
        <v/>
      </c>
      <c r="BM101" s="7">
        <f t="shared" si="19"/>
        <v>2.8260690192941862E-2</v>
      </c>
      <c r="BN101" s="69">
        <f>INT(BJ101*升级节奏!G101+BK101)</f>
        <v>114760113</v>
      </c>
      <c r="BO101" s="7">
        <f t="shared" si="14"/>
        <v>440</v>
      </c>
      <c r="BP101" s="7"/>
    </row>
    <row r="102" spans="1:68">
      <c r="A102" s="29">
        <v>100</v>
      </c>
      <c r="B102" s="84">
        <f>升级节奏!C102</f>
        <v>40000</v>
      </c>
      <c r="C102" s="53">
        <f>IF(VLOOKUP(C$2,行为概览!$D$3:$J$33,7,0)="","",VLOOKUP(C$2,行为概览!$D$3:$J$33,7,0))</f>
        <v>50</v>
      </c>
      <c r="D102" s="53">
        <f>IF(VLOOKUP(D$2,行为概览!$D$3:$J$33,7,0)="","",VLOOKUP(D$2,行为概览!$D$3:$J$33,7,0))</f>
        <v>3.3</v>
      </c>
      <c r="E102" s="53">
        <f>IF(VLOOKUP(E$2,行为概览!$D$3:$J$33,7,0)="","",VLOOKUP(E$2,行为概览!$D$3:$J$33,7,0))</f>
        <v>30</v>
      </c>
      <c r="F102" s="53">
        <f>IF(VLOOKUP(F$2,行为概览!$D$3:$J$33,7,0)="","",VLOOKUP(F$2,行为概览!$D$3:$J$33,7,0))</f>
        <v>15</v>
      </c>
      <c r="G102" s="53" t="str">
        <f>IF(VLOOKUP(G$2,行为概览!$D$3:$J$33,7,0)="","",VLOOKUP(G$2,行为概览!$D$3:$J$33,7,0))</f>
        <v/>
      </c>
      <c r="H102" s="53" t="str">
        <f>IF(VLOOKUP(H$2,行为概览!$D$3:$J$33,7,0)="","",VLOOKUP(H$2,行为概览!$D$3:$J$33,7,0))</f>
        <v/>
      </c>
      <c r="I102" s="53" t="str">
        <f>IF(VLOOKUP(I$2,行为概览!$D$3:$J$33,7,0)="","",VLOOKUP(I$2,行为概览!$D$3:$J$33,7,0))</f>
        <v/>
      </c>
      <c r="J102" s="53" t="str">
        <f>IF(VLOOKUP(J$2,行为概览!$D$3:$J$33,7,0)="","",VLOOKUP(J$2,行为概览!$D$3:$J$33,7,0))</f>
        <v/>
      </c>
      <c r="K102" s="53">
        <f>IF(VLOOKUP(K$2,行为概览!$D$3:$J$33,7,0)="","",VLOOKUP(K$2,行为概览!$D$3:$J$33,7,0))</f>
        <v>20</v>
      </c>
      <c r="L102" s="53">
        <f>IF(VLOOKUP(L$2,行为概览!$D$3:$J$33,7,0)="","",VLOOKUP(L$2,行为概览!$D$3:$J$33,7,0))</f>
        <v>20</v>
      </c>
      <c r="M102" s="53">
        <f>IF(VLOOKUP(M$2,行为概览!$D$3:$J$33,7,0)="","",VLOOKUP(M$2,行为概览!$D$3:$J$33,7,0))</f>
        <v>40</v>
      </c>
      <c r="N102" s="53">
        <f>IF(VLOOKUP(N$2,行为概览!$D$3:$J$33,7,0)="","",VLOOKUP(N$2,行为概览!$D$3:$J$33,7,0))</f>
        <v>1</v>
      </c>
      <c r="O102" s="53">
        <f>IF(VLOOKUP(O$2,行为概览!$D$3:$J$33,7,0)="","",VLOOKUP(O$2,行为概览!$D$3:$J$33,7,0))</f>
        <v>150</v>
      </c>
      <c r="P102" s="53">
        <f>IF(VLOOKUP(P$2,行为概览!$D$3:$J$33,7,0)="","",VLOOKUP(P$2,行为概览!$D$3:$J$33,7,0))</f>
        <v>10</v>
      </c>
      <c r="Q102" s="53">
        <f>IF(VLOOKUP(Q$2,行为概览!$D$3:$J$33,7,0)="","",VLOOKUP(Q$2,行为概览!$D$3:$J$33,7,0))</f>
        <v>20</v>
      </c>
      <c r="R102" s="53">
        <f>IF(VLOOKUP(R$2,行为概览!$D$3:$J$33,7,0)="","",VLOOKUP(R$2,行为概览!$D$3:$J$33,7,0))</f>
        <v>6</v>
      </c>
      <c r="S102" s="53">
        <f>IF(VLOOKUP(S$2,行为概览!$D$3:$J$33,7,0)="","",VLOOKUP(S$2,行为概览!$D$3:$J$33,7,0))</f>
        <v>20</v>
      </c>
      <c r="T102" s="53">
        <f>IF(VLOOKUP(T$2,行为概览!$D$3:$J$33,7,0)="","",VLOOKUP(T$2,行为概览!$D$3:$J$33,7,0))</f>
        <v>15</v>
      </c>
      <c r="U102" s="53">
        <f>IF(VLOOKUP(U$2,行为概览!$D$3:$J$33,7,0)="","",VLOOKUP(U$2,行为概览!$D$3:$J$33,7,0))</f>
        <v>15</v>
      </c>
      <c r="V102" s="53">
        <f>IF(VLOOKUP(V$2,行为概览!$D$3:$J$33,7,0)="","",VLOOKUP(V$2,行为概览!$D$3:$J$33,7,0))</f>
        <v>40</v>
      </c>
      <c r="W102" s="53">
        <f>IF(VLOOKUP(W$2,行为概览!$D$3:$J$33,7,0)="","",VLOOKUP(W$2,行为概览!$D$3:$J$33,7,0))</f>
        <v>15</v>
      </c>
      <c r="X102" s="53">
        <f>IF(VLOOKUP(X$2,行为概览!$D$3:$J$33,7,0)="","",VLOOKUP(X$2,行为概览!$D$3:$J$33,7,0))</f>
        <v>30</v>
      </c>
      <c r="Y102" s="53">
        <f>IF(VLOOKUP(Y$2,行为概览!$D$3:$J$33,7,0)="","",VLOOKUP(Y$2,行为概览!$D$3:$J$33,7,0))</f>
        <v>25</v>
      </c>
      <c r="Z102" s="53">
        <f>IF(VLOOKUP(Z$2,行为概览!$D$3:$J$33,7,0)="","",VLOOKUP(Z$2,行为概览!$D$3:$J$33,7,0))</f>
        <v>15</v>
      </c>
      <c r="AA102" s="53">
        <f>IF(VLOOKUP(AA$2,行为概览!$D$3:$J$33,7,0)="","",VLOOKUP(AA$2,行为概览!$D$3:$J$33,7,0))</f>
        <v>15</v>
      </c>
      <c r="AB102" s="53" t="str">
        <f>IF(VLOOKUP(AB$2,行为概览!$D$3:$J$33,7,0)="","",VLOOKUP(AB$2,行为概览!$D$3:$J$33,7,0))</f>
        <v/>
      </c>
      <c r="AC102" s="53" t="str">
        <f>IF(VLOOKUP(AC$2,行为概览!$D$3:$J$33,7,0)="","",VLOOKUP(AC$2,行为概览!$D$3:$J$33,7,0))</f>
        <v/>
      </c>
      <c r="AD102" s="53" t="str">
        <f>IF(VLOOKUP(AD$2,行为概览!$D$3:$J$33,7,0)="","",VLOOKUP(AD$2,行为概览!$D$3:$J$33,7,0))</f>
        <v/>
      </c>
      <c r="AE102" s="68" t="str">
        <f>IF(VLOOKUP(AE$2,行为概览!$D$3:$J$33,7,0)="","",VLOOKUP(AE$2,行为概览!$D$3:$J$33,7,0))</f>
        <v/>
      </c>
      <c r="AF102" s="1">
        <f>IF(C102="","",ROUND(C102*玩法行为规划!B102,2))</f>
        <v>16.670000000000002</v>
      </c>
      <c r="AG102" s="2">
        <f>IF(D102="","",ROUND(D102*玩法行为规划!C102,2))</f>
        <v>6.6</v>
      </c>
      <c r="AH102" s="2">
        <f>IF(E102="","",ROUND(E102*玩法行为规划!D102,2))</f>
        <v>2.5</v>
      </c>
      <c r="AI102" s="2">
        <f>IF(F102="","",ROUND(F102*玩法行为规划!E102,2))</f>
        <v>15</v>
      </c>
      <c r="AJ102" s="2" t="str">
        <f>IF(G102="","",ROUND(G102*玩法行为规划!F102,2))</f>
        <v/>
      </c>
      <c r="AK102" s="2" t="str">
        <f>IF(H102="","",ROUND(H102*玩法行为规划!G102,2))</f>
        <v/>
      </c>
      <c r="AL102" s="2" t="str">
        <f>IF(I102="","",ROUND(I102*玩法行为规划!H102,2))</f>
        <v/>
      </c>
      <c r="AM102" s="2" t="str">
        <f>IF(J102="","",ROUND(J102*玩法行为规划!I102,2))</f>
        <v/>
      </c>
      <c r="AN102" s="2">
        <f>IF(K102="","",ROUND(K102*玩法行为规划!J102,2))</f>
        <v>10</v>
      </c>
      <c r="AO102" s="2">
        <f>IF(L102="","",ROUND(L102*玩法行为规划!K102,2))</f>
        <v>3.33</v>
      </c>
      <c r="AP102" s="2">
        <f>IF(M102="","",ROUND(M102*玩法行为规划!L102,2))</f>
        <v>20</v>
      </c>
      <c r="AQ102" s="2">
        <f>IF(N102="","",ROUND(N102*玩法行为规划!M102,2))</f>
        <v>12</v>
      </c>
      <c r="AR102" s="2">
        <f>IF(O102="","",ROUND(O102*玩法行为规划!N102,2))</f>
        <v>12.5</v>
      </c>
      <c r="AS102" s="2">
        <f>IF(P102="","",ROUND(P102*玩法行为规划!O102,2))</f>
        <v>0.83</v>
      </c>
      <c r="AT102" s="2">
        <f>IF(Q102="","",ROUND(Q102*玩法行为规划!P102,2))</f>
        <v>52</v>
      </c>
      <c r="AU102" s="2">
        <f>IF(R102="","",ROUND(R102*玩法行为规划!Q102,2))</f>
        <v>6</v>
      </c>
      <c r="AV102" s="2">
        <f>IF(S102="","",ROUND(S102*玩法行为规划!R102,2))</f>
        <v>6.67</v>
      </c>
      <c r="AW102" s="2">
        <f>IF(T102="","",ROUND(T102*玩法行为规划!S102,2))</f>
        <v>0</v>
      </c>
      <c r="AX102" s="2">
        <f>IF(U102="","",ROUND(U102*玩法行为规划!T102,2))</f>
        <v>5</v>
      </c>
      <c r="AY102" s="2">
        <f>IF(V102="","",ROUND(V102*玩法行为规划!U102,2))</f>
        <v>6.67</v>
      </c>
      <c r="AZ102" s="2">
        <f>IF(W102="","",ROUND(W102*玩法行为规划!V102,2))</f>
        <v>2.5</v>
      </c>
      <c r="BA102" s="2">
        <f>IF(X102="","",ROUND(X102*玩法行为规划!W102,2))</f>
        <v>5</v>
      </c>
      <c r="BB102" s="2">
        <f>IF(Y102="","",ROUND(Y102*玩法行为规划!X102,2))</f>
        <v>6.25</v>
      </c>
      <c r="BC102" s="2">
        <f>IF(Z102="","",ROUND(Z102*玩法行为规划!Y102,2))</f>
        <v>8.75</v>
      </c>
      <c r="BD102" s="2">
        <f>IF(AA102="","",ROUND(AA102*玩法行为规划!Z102,2))</f>
        <v>2.5</v>
      </c>
      <c r="BE102" s="2" t="str">
        <f>IF(AB102="","",ROUND(AB102*玩法行为规划!AA102,2))</f>
        <v/>
      </c>
      <c r="BF102" s="2" t="str">
        <f>IF(AC102="","",ROUND(AC102*玩法行为规划!AB102,2))</f>
        <v/>
      </c>
      <c r="BG102" s="2" t="str">
        <f>IF(AD102="","",ROUND(AD102*玩法行为规划!AC102,2))</f>
        <v/>
      </c>
      <c r="BH102" s="3" t="str">
        <f>IF(AE102="","",ROUND(AE102*玩法行为规划!AD102,2))</f>
        <v/>
      </c>
      <c r="BI102" s="7">
        <f t="shared" si="17"/>
        <v>200.76999999999998</v>
      </c>
      <c r="BJ102" s="7">
        <f t="shared" si="18"/>
        <v>8030799.9999999991</v>
      </c>
      <c r="BK102" s="69">
        <f t="shared" si="15"/>
        <v>3320000</v>
      </c>
      <c r="BL102" s="21">
        <f t="shared" si="16"/>
        <v>36799400</v>
      </c>
      <c r="BM102" s="7">
        <f t="shared" si="19"/>
        <v>2.808148567096096E-2</v>
      </c>
      <c r="BN102" s="69">
        <f>INT(BJ102*升级节奏!G102+BK102)</f>
        <v>118227363</v>
      </c>
      <c r="BO102" s="7">
        <f t="shared" si="14"/>
        <v>444</v>
      </c>
      <c r="BP102" s="7"/>
    </row>
    <row r="103" spans="1:68">
      <c r="A103" s="29">
        <v>101</v>
      </c>
      <c r="B103" s="84">
        <f>升级节奏!C103</f>
        <v>40400</v>
      </c>
      <c r="C103" s="53">
        <f>IF(VLOOKUP(C$2,行为概览!$D$3:$J$33,7,0)="","",VLOOKUP(C$2,行为概览!$D$3:$J$33,7,0))</f>
        <v>50</v>
      </c>
      <c r="D103" s="53">
        <f>IF(VLOOKUP(D$2,行为概览!$D$3:$J$33,7,0)="","",VLOOKUP(D$2,行为概览!$D$3:$J$33,7,0))</f>
        <v>3.3</v>
      </c>
      <c r="E103" s="53">
        <f>IF(VLOOKUP(E$2,行为概览!$D$3:$J$33,7,0)="","",VLOOKUP(E$2,行为概览!$D$3:$J$33,7,0))</f>
        <v>30</v>
      </c>
      <c r="F103" s="53">
        <f>IF(VLOOKUP(F$2,行为概览!$D$3:$J$33,7,0)="","",VLOOKUP(F$2,行为概览!$D$3:$J$33,7,0))</f>
        <v>15</v>
      </c>
      <c r="G103" s="53" t="str">
        <f>IF(VLOOKUP(G$2,行为概览!$D$3:$J$33,7,0)="","",VLOOKUP(G$2,行为概览!$D$3:$J$33,7,0))</f>
        <v/>
      </c>
      <c r="H103" s="53" t="str">
        <f>IF(VLOOKUP(H$2,行为概览!$D$3:$J$33,7,0)="","",VLOOKUP(H$2,行为概览!$D$3:$J$33,7,0))</f>
        <v/>
      </c>
      <c r="I103" s="53" t="str">
        <f>IF(VLOOKUP(I$2,行为概览!$D$3:$J$33,7,0)="","",VLOOKUP(I$2,行为概览!$D$3:$J$33,7,0))</f>
        <v/>
      </c>
      <c r="J103" s="53" t="str">
        <f>IF(VLOOKUP(J$2,行为概览!$D$3:$J$33,7,0)="","",VLOOKUP(J$2,行为概览!$D$3:$J$33,7,0))</f>
        <v/>
      </c>
      <c r="K103" s="53">
        <f>IF(VLOOKUP(K$2,行为概览!$D$3:$J$33,7,0)="","",VLOOKUP(K$2,行为概览!$D$3:$J$33,7,0))</f>
        <v>20</v>
      </c>
      <c r="L103" s="53">
        <f>IF(VLOOKUP(L$2,行为概览!$D$3:$J$33,7,0)="","",VLOOKUP(L$2,行为概览!$D$3:$J$33,7,0))</f>
        <v>20</v>
      </c>
      <c r="M103" s="53">
        <f>IF(VLOOKUP(M$2,行为概览!$D$3:$J$33,7,0)="","",VLOOKUP(M$2,行为概览!$D$3:$J$33,7,0))</f>
        <v>40</v>
      </c>
      <c r="N103" s="53">
        <f>IF(VLOOKUP(N$2,行为概览!$D$3:$J$33,7,0)="","",VLOOKUP(N$2,行为概览!$D$3:$J$33,7,0))</f>
        <v>1</v>
      </c>
      <c r="O103" s="53">
        <f>IF(VLOOKUP(O$2,行为概览!$D$3:$J$33,7,0)="","",VLOOKUP(O$2,行为概览!$D$3:$J$33,7,0))</f>
        <v>150</v>
      </c>
      <c r="P103" s="53">
        <f>IF(VLOOKUP(P$2,行为概览!$D$3:$J$33,7,0)="","",VLOOKUP(P$2,行为概览!$D$3:$J$33,7,0))</f>
        <v>10</v>
      </c>
      <c r="Q103" s="53">
        <f>IF(VLOOKUP(Q$2,行为概览!$D$3:$J$33,7,0)="","",VLOOKUP(Q$2,行为概览!$D$3:$J$33,7,0))</f>
        <v>20</v>
      </c>
      <c r="R103" s="53">
        <f>IF(VLOOKUP(R$2,行为概览!$D$3:$J$33,7,0)="","",VLOOKUP(R$2,行为概览!$D$3:$J$33,7,0))</f>
        <v>6</v>
      </c>
      <c r="S103" s="53">
        <f>IF(VLOOKUP(S$2,行为概览!$D$3:$J$33,7,0)="","",VLOOKUP(S$2,行为概览!$D$3:$J$33,7,0))</f>
        <v>20</v>
      </c>
      <c r="T103" s="53">
        <f>IF(VLOOKUP(T$2,行为概览!$D$3:$J$33,7,0)="","",VLOOKUP(T$2,行为概览!$D$3:$J$33,7,0))</f>
        <v>15</v>
      </c>
      <c r="U103" s="53">
        <f>IF(VLOOKUP(U$2,行为概览!$D$3:$J$33,7,0)="","",VLOOKUP(U$2,行为概览!$D$3:$J$33,7,0))</f>
        <v>15</v>
      </c>
      <c r="V103" s="53">
        <f>IF(VLOOKUP(V$2,行为概览!$D$3:$J$33,7,0)="","",VLOOKUP(V$2,行为概览!$D$3:$J$33,7,0))</f>
        <v>40</v>
      </c>
      <c r="W103" s="53">
        <f>IF(VLOOKUP(W$2,行为概览!$D$3:$J$33,7,0)="","",VLOOKUP(W$2,行为概览!$D$3:$J$33,7,0))</f>
        <v>15</v>
      </c>
      <c r="X103" s="53">
        <f>IF(VLOOKUP(X$2,行为概览!$D$3:$J$33,7,0)="","",VLOOKUP(X$2,行为概览!$D$3:$J$33,7,0))</f>
        <v>30</v>
      </c>
      <c r="Y103" s="53">
        <f>IF(VLOOKUP(Y$2,行为概览!$D$3:$J$33,7,0)="","",VLOOKUP(Y$2,行为概览!$D$3:$J$33,7,0))</f>
        <v>25</v>
      </c>
      <c r="Z103" s="53">
        <f>IF(VLOOKUP(Z$2,行为概览!$D$3:$J$33,7,0)="","",VLOOKUP(Z$2,行为概览!$D$3:$J$33,7,0))</f>
        <v>15</v>
      </c>
      <c r="AA103" s="53">
        <f>IF(VLOOKUP(AA$2,行为概览!$D$3:$J$33,7,0)="","",VLOOKUP(AA$2,行为概览!$D$3:$J$33,7,0))</f>
        <v>15</v>
      </c>
      <c r="AB103" s="53" t="str">
        <f>IF(VLOOKUP(AB$2,行为概览!$D$3:$J$33,7,0)="","",VLOOKUP(AB$2,行为概览!$D$3:$J$33,7,0))</f>
        <v/>
      </c>
      <c r="AC103" s="53" t="str">
        <f>IF(VLOOKUP(AC$2,行为概览!$D$3:$J$33,7,0)="","",VLOOKUP(AC$2,行为概览!$D$3:$J$33,7,0))</f>
        <v/>
      </c>
      <c r="AD103" s="53" t="str">
        <f>IF(VLOOKUP(AD$2,行为概览!$D$3:$J$33,7,0)="","",VLOOKUP(AD$2,行为概览!$D$3:$J$33,7,0))</f>
        <v/>
      </c>
      <c r="AE103" s="68" t="str">
        <f>IF(VLOOKUP(AE$2,行为概览!$D$3:$J$33,7,0)="","",VLOOKUP(AE$2,行为概览!$D$3:$J$33,7,0))</f>
        <v/>
      </c>
      <c r="AF103" s="1">
        <f>IF(C103="","",ROUND(C103*玩法行为规划!B103,2))</f>
        <v>16.670000000000002</v>
      </c>
      <c r="AG103" s="2">
        <f>IF(D103="","",ROUND(D103*玩法行为规划!C103,2))</f>
        <v>6.6</v>
      </c>
      <c r="AH103" s="2">
        <f>IF(E103="","",ROUND(E103*玩法行为规划!D103,2))</f>
        <v>2.5</v>
      </c>
      <c r="AI103" s="2">
        <f>IF(F103="","",ROUND(F103*玩法行为规划!E103,2))</f>
        <v>15</v>
      </c>
      <c r="AJ103" s="2" t="str">
        <f>IF(G103="","",ROUND(G103*玩法行为规划!F103,2))</f>
        <v/>
      </c>
      <c r="AK103" s="2" t="str">
        <f>IF(H103="","",ROUND(H103*玩法行为规划!G103,2))</f>
        <v/>
      </c>
      <c r="AL103" s="2" t="str">
        <f>IF(I103="","",ROUND(I103*玩法行为规划!H103,2))</f>
        <v/>
      </c>
      <c r="AM103" s="2" t="str">
        <f>IF(J103="","",ROUND(J103*玩法行为规划!I103,2))</f>
        <v/>
      </c>
      <c r="AN103" s="2">
        <f>IF(K103="","",ROUND(K103*玩法行为规划!J103,2))</f>
        <v>10</v>
      </c>
      <c r="AO103" s="2">
        <f>IF(L103="","",ROUND(L103*玩法行为规划!K103,2))</f>
        <v>3.33</v>
      </c>
      <c r="AP103" s="2">
        <f>IF(M103="","",ROUND(M103*玩法行为规划!L103,2))</f>
        <v>20</v>
      </c>
      <c r="AQ103" s="2">
        <f>IF(N103="","",ROUND(N103*玩法行为规划!M103,2))</f>
        <v>12</v>
      </c>
      <c r="AR103" s="2">
        <f>IF(O103="","",ROUND(O103*玩法行为规划!N103,2))</f>
        <v>12.5</v>
      </c>
      <c r="AS103" s="2">
        <f>IF(P103="","",ROUND(P103*玩法行为规划!O103,2))</f>
        <v>0.83</v>
      </c>
      <c r="AT103" s="2">
        <f>IF(Q103="","",ROUND(Q103*玩法行为规划!P103,2))</f>
        <v>52</v>
      </c>
      <c r="AU103" s="2">
        <f>IF(R103="","",ROUND(R103*玩法行为规划!Q103,2))</f>
        <v>6</v>
      </c>
      <c r="AV103" s="2">
        <f>IF(S103="","",ROUND(S103*玩法行为规划!R103,2))</f>
        <v>6.67</v>
      </c>
      <c r="AW103" s="2">
        <f>IF(T103="","",ROUND(T103*玩法行为规划!S103,2))</f>
        <v>0</v>
      </c>
      <c r="AX103" s="2">
        <f>IF(U103="","",ROUND(U103*玩法行为规划!T103,2))</f>
        <v>5</v>
      </c>
      <c r="AY103" s="2">
        <f>IF(V103="","",ROUND(V103*玩法行为规划!U103,2))</f>
        <v>6.67</v>
      </c>
      <c r="AZ103" s="2">
        <f>IF(W103="","",ROUND(W103*玩法行为规划!V103,2))</f>
        <v>2.5</v>
      </c>
      <c r="BA103" s="2">
        <f>IF(X103="","",ROUND(X103*玩法行为规划!W103,2))</f>
        <v>5</v>
      </c>
      <c r="BB103" s="2">
        <f>IF(Y103="","",ROUND(Y103*玩法行为规划!X103,2))</f>
        <v>6.25</v>
      </c>
      <c r="BC103" s="2">
        <f>IF(Z103="","",ROUND(Z103*玩法行为规划!Y103,2))</f>
        <v>8.75</v>
      </c>
      <c r="BD103" s="2">
        <f>IF(AA103="","",ROUND(AA103*玩法行为规划!Z103,2))</f>
        <v>2.5</v>
      </c>
      <c r="BE103" s="2" t="str">
        <f>IF(AB103="","",ROUND(AB103*玩法行为规划!AA103,2))</f>
        <v/>
      </c>
      <c r="BF103" s="2" t="str">
        <f>IF(AC103="","",ROUND(AC103*玩法行为规划!AB103,2))</f>
        <v/>
      </c>
      <c r="BG103" s="2" t="str">
        <f>IF(AD103="","",ROUND(AD103*玩法行为规划!AC103,2))</f>
        <v/>
      </c>
      <c r="BH103" s="3" t="str">
        <f>IF(AE103="","",ROUND(AE103*玩法行为规划!AD103,2))</f>
        <v/>
      </c>
      <c r="BI103" s="7">
        <f t="shared" si="17"/>
        <v>200.76999999999998</v>
      </c>
      <c r="BJ103" s="7">
        <f t="shared" si="18"/>
        <v>8111107.9999999991</v>
      </c>
      <c r="BK103" s="69">
        <f t="shared" si="15"/>
        <v>3397600</v>
      </c>
      <c r="BL103" s="21" t="str">
        <f t="shared" si="16"/>
        <v/>
      </c>
      <c r="BM103" s="7">
        <f t="shared" si="19"/>
        <v>2.7903231632120429E-2</v>
      </c>
      <c r="BN103" s="69">
        <f>INT(BJ103*升级节奏!G103+BK103)</f>
        <v>121763674</v>
      </c>
      <c r="BO103" s="7">
        <f t="shared" si="14"/>
        <v>449</v>
      </c>
      <c r="BP103" s="7"/>
    </row>
    <row r="104" spans="1:68">
      <c r="A104" s="29">
        <v>102</v>
      </c>
      <c r="B104" s="84">
        <f>升级节奏!C104</f>
        <v>40800</v>
      </c>
      <c r="C104" s="53">
        <f>IF(VLOOKUP(C$2,行为概览!$D$3:$J$33,7,0)="","",VLOOKUP(C$2,行为概览!$D$3:$J$33,7,0))</f>
        <v>50</v>
      </c>
      <c r="D104" s="53">
        <f>IF(VLOOKUP(D$2,行为概览!$D$3:$J$33,7,0)="","",VLOOKUP(D$2,行为概览!$D$3:$J$33,7,0))</f>
        <v>3.3</v>
      </c>
      <c r="E104" s="53">
        <f>IF(VLOOKUP(E$2,行为概览!$D$3:$J$33,7,0)="","",VLOOKUP(E$2,行为概览!$D$3:$J$33,7,0))</f>
        <v>30</v>
      </c>
      <c r="F104" s="53">
        <f>IF(VLOOKUP(F$2,行为概览!$D$3:$J$33,7,0)="","",VLOOKUP(F$2,行为概览!$D$3:$J$33,7,0))</f>
        <v>15</v>
      </c>
      <c r="G104" s="53" t="str">
        <f>IF(VLOOKUP(G$2,行为概览!$D$3:$J$33,7,0)="","",VLOOKUP(G$2,行为概览!$D$3:$J$33,7,0))</f>
        <v/>
      </c>
      <c r="H104" s="53" t="str">
        <f>IF(VLOOKUP(H$2,行为概览!$D$3:$J$33,7,0)="","",VLOOKUP(H$2,行为概览!$D$3:$J$33,7,0))</f>
        <v/>
      </c>
      <c r="I104" s="53" t="str">
        <f>IF(VLOOKUP(I$2,行为概览!$D$3:$J$33,7,0)="","",VLOOKUP(I$2,行为概览!$D$3:$J$33,7,0))</f>
        <v/>
      </c>
      <c r="J104" s="53" t="str">
        <f>IF(VLOOKUP(J$2,行为概览!$D$3:$J$33,7,0)="","",VLOOKUP(J$2,行为概览!$D$3:$J$33,7,0))</f>
        <v/>
      </c>
      <c r="K104" s="53">
        <f>IF(VLOOKUP(K$2,行为概览!$D$3:$J$33,7,0)="","",VLOOKUP(K$2,行为概览!$D$3:$J$33,7,0))</f>
        <v>20</v>
      </c>
      <c r="L104" s="53">
        <f>IF(VLOOKUP(L$2,行为概览!$D$3:$J$33,7,0)="","",VLOOKUP(L$2,行为概览!$D$3:$J$33,7,0))</f>
        <v>20</v>
      </c>
      <c r="M104" s="53">
        <f>IF(VLOOKUP(M$2,行为概览!$D$3:$J$33,7,0)="","",VLOOKUP(M$2,行为概览!$D$3:$J$33,7,0))</f>
        <v>40</v>
      </c>
      <c r="N104" s="53">
        <f>IF(VLOOKUP(N$2,行为概览!$D$3:$J$33,7,0)="","",VLOOKUP(N$2,行为概览!$D$3:$J$33,7,0))</f>
        <v>1</v>
      </c>
      <c r="O104" s="53">
        <f>IF(VLOOKUP(O$2,行为概览!$D$3:$J$33,7,0)="","",VLOOKUP(O$2,行为概览!$D$3:$J$33,7,0))</f>
        <v>150</v>
      </c>
      <c r="P104" s="53">
        <f>IF(VLOOKUP(P$2,行为概览!$D$3:$J$33,7,0)="","",VLOOKUP(P$2,行为概览!$D$3:$J$33,7,0))</f>
        <v>10</v>
      </c>
      <c r="Q104" s="53">
        <f>IF(VLOOKUP(Q$2,行为概览!$D$3:$J$33,7,0)="","",VLOOKUP(Q$2,行为概览!$D$3:$J$33,7,0))</f>
        <v>20</v>
      </c>
      <c r="R104" s="53">
        <f>IF(VLOOKUP(R$2,行为概览!$D$3:$J$33,7,0)="","",VLOOKUP(R$2,行为概览!$D$3:$J$33,7,0))</f>
        <v>6</v>
      </c>
      <c r="S104" s="53">
        <f>IF(VLOOKUP(S$2,行为概览!$D$3:$J$33,7,0)="","",VLOOKUP(S$2,行为概览!$D$3:$J$33,7,0))</f>
        <v>20</v>
      </c>
      <c r="T104" s="53">
        <f>IF(VLOOKUP(T$2,行为概览!$D$3:$J$33,7,0)="","",VLOOKUP(T$2,行为概览!$D$3:$J$33,7,0))</f>
        <v>15</v>
      </c>
      <c r="U104" s="53">
        <f>IF(VLOOKUP(U$2,行为概览!$D$3:$J$33,7,0)="","",VLOOKUP(U$2,行为概览!$D$3:$J$33,7,0))</f>
        <v>15</v>
      </c>
      <c r="V104" s="53">
        <f>IF(VLOOKUP(V$2,行为概览!$D$3:$J$33,7,0)="","",VLOOKUP(V$2,行为概览!$D$3:$J$33,7,0))</f>
        <v>40</v>
      </c>
      <c r="W104" s="53">
        <f>IF(VLOOKUP(W$2,行为概览!$D$3:$J$33,7,0)="","",VLOOKUP(W$2,行为概览!$D$3:$J$33,7,0))</f>
        <v>15</v>
      </c>
      <c r="X104" s="53">
        <f>IF(VLOOKUP(X$2,行为概览!$D$3:$J$33,7,0)="","",VLOOKUP(X$2,行为概览!$D$3:$J$33,7,0))</f>
        <v>30</v>
      </c>
      <c r="Y104" s="53">
        <f>IF(VLOOKUP(Y$2,行为概览!$D$3:$J$33,7,0)="","",VLOOKUP(Y$2,行为概览!$D$3:$J$33,7,0))</f>
        <v>25</v>
      </c>
      <c r="Z104" s="53">
        <f>IF(VLOOKUP(Z$2,行为概览!$D$3:$J$33,7,0)="","",VLOOKUP(Z$2,行为概览!$D$3:$J$33,7,0))</f>
        <v>15</v>
      </c>
      <c r="AA104" s="53">
        <f>IF(VLOOKUP(AA$2,行为概览!$D$3:$J$33,7,0)="","",VLOOKUP(AA$2,行为概览!$D$3:$J$33,7,0))</f>
        <v>15</v>
      </c>
      <c r="AB104" s="53" t="str">
        <f>IF(VLOOKUP(AB$2,行为概览!$D$3:$J$33,7,0)="","",VLOOKUP(AB$2,行为概览!$D$3:$J$33,7,0))</f>
        <v/>
      </c>
      <c r="AC104" s="53" t="str">
        <f>IF(VLOOKUP(AC$2,行为概览!$D$3:$J$33,7,0)="","",VLOOKUP(AC$2,行为概览!$D$3:$J$33,7,0))</f>
        <v/>
      </c>
      <c r="AD104" s="53" t="str">
        <f>IF(VLOOKUP(AD$2,行为概览!$D$3:$J$33,7,0)="","",VLOOKUP(AD$2,行为概览!$D$3:$J$33,7,0))</f>
        <v/>
      </c>
      <c r="AE104" s="68" t="str">
        <f>IF(VLOOKUP(AE$2,行为概览!$D$3:$J$33,7,0)="","",VLOOKUP(AE$2,行为概览!$D$3:$J$33,7,0))</f>
        <v/>
      </c>
      <c r="AF104" s="1">
        <f>IF(C104="","",ROUND(C104*玩法行为规划!B104,2))</f>
        <v>16.670000000000002</v>
      </c>
      <c r="AG104" s="2">
        <f>IF(D104="","",ROUND(D104*玩法行为规划!C104,2))</f>
        <v>6.6</v>
      </c>
      <c r="AH104" s="2">
        <f>IF(E104="","",ROUND(E104*玩法行为规划!D104,2))</f>
        <v>2.5</v>
      </c>
      <c r="AI104" s="2">
        <f>IF(F104="","",ROUND(F104*玩法行为规划!E104,2))</f>
        <v>15</v>
      </c>
      <c r="AJ104" s="2" t="str">
        <f>IF(G104="","",ROUND(G104*玩法行为规划!F104,2))</f>
        <v/>
      </c>
      <c r="AK104" s="2" t="str">
        <f>IF(H104="","",ROUND(H104*玩法行为规划!G104,2))</f>
        <v/>
      </c>
      <c r="AL104" s="2" t="str">
        <f>IF(I104="","",ROUND(I104*玩法行为规划!H104,2))</f>
        <v/>
      </c>
      <c r="AM104" s="2" t="str">
        <f>IF(J104="","",ROUND(J104*玩法行为规划!I104,2))</f>
        <v/>
      </c>
      <c r="AN104" s="2">
        <f>IF(K104="","",ROUND(K104*玩法行为规划!J104,2))</f>
        <v>10</v>
      </c>
      <c r="AO104" s="2">
        <f>IF(L104="","",ROUND(L104*玩法行为规划!K104,2))</f>
        <v>3.33</v>
      </c>
      <c r="AP104" s="2">
        <f>IF(M104="","",ROUND(M104*玩法行为规划!L104,2))</f>
        <v>20</v>
      </c>
      <c r="AQ104" s="2">
        <f>IF(N104="","",ROUND(N104*玩法行为规划!M104,2))</f>
        <v>12</v>
      </c>
      <c r="AR104" s="2">
        <f>IF(O104="","",ROUND(O104*玩法行为规划!N104,2))</f>
        <v>12.5</v>
      </c>
      <c r="AS104" s="2">
        <f>IF(P104="","",ROUND(P104*玩法行为规划!O104,2))</f>
        <v>0.83</v>
      </c>
      <c r="AT104" s="2">
        <f>IF(Q104="","",ROUND(Q104*玩法行为规划!P104,2))</f>
        <v>52</v>
      </c>
      <c r="AU104" s="2">
        <f>IF(R104="","",ROUND(R104*玩法行为规划!Q104,2))</f>
        <v>6</v>
      </c>
      <c r="AV104" s="2">
        <f>IF(S104="","",ROUND(S104*玩法行为规划!R104,2))</f>
        <v>6.67</v>
      </c>
      <c r="AW104" s="2">
        <f>IF(T104="","",ROUND(T104*玩法行为规划!S104,2))</f>
        <v>0</v>
      </c>
      <c r="AX104" s="2">
        <f>IF(U104="","",ROUND(U104*玩法行为规划!T104,2))</f>
        <v>5</v>
      </c>
      <c r="AY104" s="2">
        <f>IF(V104="","",ROUND(V104*玩法行为规划!U104,2))</f>
        <v>6.67</v>
      </c>
      <c r="AZ104" s="2">
        <f>IF(W104="","",ROUND(W104*玩法行为规划!V104,2))</f>
        <v>2.5</v>
      </c>
      <c r="BA104" s="2">
        <f>IF(X104="","",ROUND(X104*玩法行为规划!W104,2))</f>
        <v>5</v>
      </c>
      <c r="BB104" s="2">
        <f>IF(Y104="","",ROUND(Y104*玩法行为规划!X104,2))</f>
        <v>6.25</v>
      </c>
      <c r="BC104" s="2">
        <f>IF(Z104="","",ROUND(Z104*玩法行为规划!Y104,2))</f>
        <v>8.75</v>
      </c>
      <c r="BD104" s="2">
        <f>IF(AA104="","",ROUND(AA104*玩法行为规划!Z104,2))</f>
        <v>2.5</v>
      </c>
      <c r="BE104" s="2" t="str">
        <f>IF(AB104="","",ROUND(AB104*玩法行为规划!AA104,2))</f>
        <v/>
      </c>
      <c r="BF104" s="2" t="str">
        <f>IF(AC104="","",ROUND(AC104*玩法行为规划!AB104,2))</f>
        <v/>
      </c>
      <c r="BG104" s="2" t="str">
        <f>IF(AD104="","",ROUND(AD104*玩法行为规划!AC104,2))</f>
        <v/>
      </c>
      <c r="BH104" s="3" t="str">
        <f>IF(AE104="","",ROUND(AE104*玩法行为规划!AD104,2))</f>
        <v/>
      </c>
      <c r="BI104" s="7">
        <f t="shared" si="17"/>
        <v>200.76999999999998</v>
      </c>
      <c r="BJ104" s="7">
        <f t="shared" si="18"/>
        <v>8191415.9999999991</v>
      </c>
      <c r="BK104" s="69">
        <f t="shared" si="15"/>
        <v>3476200</v>
      </c>
      <c r="BL104" s="21" t="str">
        <f t="shared" si="16"/>
        <v/>
      </c>
      <c r="BM104" s="7">
        <f t="shared" si="19"/>
        <v>2.7727541781928555E-2</v>
      </c>
      <c r="BN104" s="69">
        <f>INT(BJ104*升级节奏!G104+BK104)</f>
        <v>125369931</v>
      </c>
      <c r="BO104" s="7">
        <f t="shared" si="14"/>
        <v>453</v>
      </c>
      <c r="BP104" s="7"/>
    </row>
    <row r="105" spans="1:68">
      <c r="A105" s="29">
        <v>103</v>
      </c>
      <c r="B105" s="84">
        <f>升级节奏!C105</f>
        <v>41200</v>
      </c>
      <c r="C105" s="53">
        <f>IF(VLOOKUP(C$2,行为概览!$D$3:$J$33,7,0)="","",VLOOKUP(C$2,行为概览!$D$3:$J$33,7,0))</f>
        <v>50</v>
      </c>
      <c r="D105" s="53">
        <f>IF(VLOOKUP(D$2,行为概览!$D$3:$J$33,7,0)="","",VLOOKUP(D$2,行为概览!$D$3:$J$33,7,0))</f>
        <v>3.3</v>
      </c>
      <c r="E105" s="53">
        <f>IF(VLOOKUP(E$2,行为概览!$D$3:$J$33,7,0)="","",VLOOKUP(E$2,行为概览!$D$3:$J$33,7,0))</f>
        <v>30</v>
      </c>
      <c r="F105" s="53">
        <f>IF(VLOOKUP(F$2,行为概览!$D$3:$J$33,7,0)="","",VLOOKUP(F$2,行为概览!$D$3:$J$33,7,0))</f>
        <v>15</v>
      </c>
      <c r="G105" s="53" t="str">
        <f>IF(VLOOKUP(G$2,行为概览!$D$3:$J$33,7,0)="","",VLOOKUP(G$2,行为概览!$D$3:$J$33,7,0))</f>
        <v/>
      </c>
      <c r="H105" s="53" t="str">
        <f>IF(VLOOKUP(H$2,行为概览!$D$3:$J$33,7,0)="","",VLOOKUP(H$2,行为概览!$D$3:$J$33,7,0))</f>
        <v/>
      </c>
      <c r="I105" s="53" t="str">
        <f>IF(VLOOKUP(I$2,行为概览!$D$3:$J$33,7,0)="","",VLOOKUP(I$2,行为概览!$D$3:$J$33,7,0))</f>
        <v/>
      </c>
      <c r="J105" s="53" t="str">
        <f>IF(VLOOKUP(J$2,行为概览!$D$3:$J$33,7,0)="","",VLOOKUP(J$2,行为概览!$D$3:$J$33,7,0))</f>
        <v/>
      </c>
      <c r="K105" s="53">
        <f>IF(VLOOKUP(K$2,行为概览!$D$3:$J$33,7,0)="","",VLOOKUP(K$2,行为概览!$D$3:$J$33,7,0))</f>
        <v>20</v>
      </c>
      <c r="L105" s="53">
        <f>IF(VLOOKUP(L$2,行为概览!$D$3:$J$33,7,0)="","",VLOOKUP(L$2,行为概览!$D$3:$J$33,7,0))</f>
        <v>20</v>
      </c>
      <c r="M105" s="53">
        <f>IF(VLOOKUP(M$2,行为概览!$D$3:$J$33,7,0)="","",VLOOKUP(M$2,行为概览!$D$3:$J$33,7,0))</f>
        <v>40</v>
      </c>
      <c r="N105" s="53">
        <f>IF(VLOOKUP(N$2,行为概览!$D$3:$J$33,7,0)="","",VLOOKUP(N$2,行为概览!$D$3:$J$33,7,0))</f>
        <v>1</v>
      </c>
      <c r="O105" s="53">
        <f>IF(VLOOKUP(O$2,行为概览!$D$3:$J$33,7,0)="","",VLOOKUP(O$2,行为概览!$D$3:$J$33,7,0))</f>
        <v>150</v>
      </c>
      <c r="P105" s="53">
        <f>IF(VLOOKUP(P$2,行为概览!$D$3:$J$33,7,0)="","",VLOOKUP(P$2,行为概览!$D$3:$J$33,7,0))</f>
        <v>10</v>
      </c>
      <c r="Q105" s="53">
        <f>IF(VLOOKUP(Q$2,行为概览!$D$3:$J$33,7,0)="","",VLOOKUP(Q$2,行为概览!$D$3:$J$33,7,0))</f>
        <v>20</v>
      </c>
      <c r="R105" s="53">
        <f>IF(VLOOKUP(R$2,行为概览!$D$3:$J$33,7,0)="","",VLOOKUP(R$2,行为概览!$D$3:$J$33,7,0))</f>
        <v>6</v>
      </c>
      <c r="S105" s="53">
        <f>IF(VLOOKUP(S$2,行为概览!$D$3:$J$33,7,0)="","",VLOOKUP(S$2,行为概览!$D$3:$J$33,7,0))</f>
        <v>20</v>
      </c>
      <c r="T105" s="53">
        <f>IF(VLOOKUP(T$2,行为概览!$D$3:$J$33,7,0)="","",VLOOKUP(T$2,行为概览!$D$3:$J$33,7,0))</f>
        <v>15</v>
      </c>
      <c r="U105" s="53">
        <f>IF(VLOOKUP(U$2,行为概览!$D$3:$J$33,7,0)="","",VLOOKUP(U$2,行为概览!$D$3:$J$33,7,0))</f>
        <v>15</v>
      </c>
      <c r="V105" s="53">
        <f>IF(VLOOKUP(V$2,行为概览!$D$3:$J$33,7,0)="","",VLOOKUP(V$2,行为概览!$D$3:$J$33,7,0))</f>
        <v>40</v>
      </c>
      <c r="W105" s="53">
        <f>IF(VLOOKUP(W$2,行为概览!$D$3:$J$33,7,0)="","",VLOOKUP(W$2,行为概览!$D$3:$J$33,7,0))</f>
        <v>15</v>
      </c>
      <c r="X105" s="53">
        <f>IF(VLOOKUP(X$2,行为概览!$D$3:$J$33,7,0)="","",VLOOKUP(X$2,行为概览!$D$3:$J$33,7,0))</f>
        <v>30</v>
      </c>
      <c r="Y105" s="53">
        <f>IF(VLOOKUP(Y$2,行为概览!$D$3:$J$33,7,0)="","",VLOOKUP(Y$2,行为概览!$D$3:$J$33,7,0))</f>
        <v>25</v>
      </c>
      <c r="Z105" s="53">
        <f>IF(VLOOKUP(Z$2,行为概览!$D$3:$J$33,7,0)="","",VLOOKUP(Z$2,行为概览!$D$3:$J$33,7,0))</f>
        <v>15</v>
      </c>
      <c r="AA105" s="53">
        <f>IF(VLOOKUP(AA$2,行为概览!$D$3:$J$33,7,0)="","",VLOOKUP(AA$2,行为概览!$D$3:$J$33,7,0))</f>
        <v>15</v>
      </c>
      <c r="AB105" s="53" t="str">
        <f>IF(VLOOKUP(AB$2,行为概览!$D$3:$J$33,7,0)="","",VLOOKUP(AB$2,行为概览!$D$3:$J$33,7,0))</f>
        <v/>
      </c>
      <c r="AC105" s="53" t="str">
        <f>IF(VLOOKUP(AC$2,行为概览!$D$3:$J$33,7,0)="","",VLOOKUP(AC$2,行为概览!$D$3:$J$33,7,0))</f>
        <v/>
      </c>
      <c r="AD105" s="53" t="str">
        <f>IF(VLOOKUP(AD$2,行为概览!$D$3:$J$33,7,0)="","",VLOOKUP(AD$2,行为概览!$D$3:$J$33,7,0))</f>
        <v/>
      </c>
      <c r="AE105" s="68" t="str">
        <f>IF(VLOOKUP(AE$2,行为概览!$D$3:$J$33,7,0)="","",VLOOKUP(AE$2,行为概览!$D$3:$J$33,7,0))</f>
        <v/>
      </c>
      <c r="AF105" s="1">
        <f>IF(C105="","",ROUND(C105*玩法行为规划!B105,2))</f>
        <v>16.670000000000002</v>
      </c>
      <c r="AG105" s="2">
        <f>IF(D105="","",ROUND(D105*玩法行为规划!C105,2))</f>
        <v>6.6</v>
      </c>
      <c r="AH105" s="2">
        <f>IF(E105="","",ROUND(E105*玩法行为规划!D105,2))</f>
        <v>2.5</v>
      </c>
      <c r="AI105" s="2">
        <f>IF(F105="","",ROUND(F105*玩法行为规划!E105,2))</f>
        <v>15</v>
      </c>
      <c r="AJ105" s="2" t="str">
        <f>IF(G105="","",ROUND(G105*玩法行为规划!F105,2))</f>
        <v/>
      </c>
      <c r="AK105" s="2" t="str">
        <f>IF(H105="","",ROUND(H105*玩法行为规划!G105,2))</f>
        <v/>
      </c>
      <c r="AL105" s="2" t="str">
        <f>IF(I105="","",ROUND(I105*玩法行为规划!H105,2))</f>
        <v/>
      </c>
      <c r="AM105" s="2" t="str">
        <f>IF(J105="","",ROUND(J105*玩法行为规划!I105,2))</f>
        <v/>
      </c>
      <c r="AN105" s="2">
        <f>IF(K105="","",ROUND(K105*玩法行为规划!J105,2))</f>
        <v>10</v>
      </c>
      <c r="AO105" s="2">
        <f>IF(L105="","",ROUND(L105*玩法行为规划!K105,2))</f>
        <v>3.33</v>
      </c>
      <c r="AP105" s="2">
        <f>IF(M105="","",ROUND(M105*玩法行为规划!L105,2))</f>
        <v>20</v>
      </c>
      <c r="AQ105" s="2">
        <f>IF(N105="","",ROUND(N105*玩法行为规划!M105,2))</f>
        <v>12</v>
      </c>
      <c r="AR105" s="2">
        <f>IF(O105="","",ROUND(O105*玩法行为规划!N105,2))</f>
        <v>12.5</v>
      </c>
      <c r="AS105" s="2">
        <f>IF(P105="","",ROUND(P105*玩法行为规划!O105,2))</f>
        <v>0.83</v>
      </c>
      <c r="AT105" s="2">
        <f>IF(Q105="","",ROUND(Q105*玩法行为规划!P105,2))</f>
        <v>52</v>
      </c>
      <c r="AU105" s="2">
        <f>IF(R105="","",ROUND(R105*玩法行为规划!Q105,2))</f>
        <v>6</v>
      </c>
      <c r="AV105" s="2">
        <f>IF(S105="","",ROUND(S105*玩法行为规划!R105,2))</f>
        <v>6.67</v>
      </c>
      <c r="AW105" s="2">
        <f>IF(T105="","",ROUND(T105*玩法行为规划!S105,2))</f>
        <v>0</v>
      </c>
      <c r="AX105" s="2">
        <f>IF(U105="","",ROUND(U105*玩法行为规划!T105,2))</f>
        <v>5</v>
      </c>
      <c r="AY105" s="2">
        <f>IF(V105="","",ROUND(V105*玩法行为规划!U105,2))</f>
        <v>6.67</v>
      </c>
      <c r="AZ105" s="2">
        <f>IF(W105="","",ROUND(W105*玩法行为规划!V105,2))</f>
        <v>2.5</v>
      </c>
      <c r="BA105" s="2">
        <f>IF(X105="","",ROUND(X105*玩法行为规划!W105,2))</f>
        <v>5</v>
      </c>
      <c r="BB105" s="2">
        <f>IF(Y105="","",ROUND(Y105*玩法行为规划!X105,2))</f>
        <v>6.25</v>
      </c>
      <c r="BC105" s="2">
        <f>IF(Z105="","",ROUND(Z105*玩法行为规划!Y105,2))</f>
        <v>8.75</v>
      </c>
      <c r="BD105" s="2">
        <f>IF(AA105="","",ROUND(AA105*玩法行为规划!Z105,2))</f>
        <v>2.5</v>
      </c>
      <c r="BE105" s="2" t="str">
        <f>IF(AB105="","",ROUND(AB105*玩法行为规划!AA105,2))</f>
        <v/>
      </c>
      <c r="BF105" s="2" t="str">
        <f>IF(AC105="","",ROUND(AC105*玩法行为规划!AB105,2))</f>
        <v/>
      </c>
      <c r="BG105" s="2" t="str">
        <f>IF(AD105="","",ROUND(AD105*玩法行为规划!AC105,2))</f>
        <v/>
      </c>
      <c r="BH105" s="3" t="str">
        <f>IF(AE105="","",ROUND(AE105*玩法行为规划!AD105,2))</f>
        <v/>
      </c>
      <c r="BI105" s="7">
        <f t="shared" si="17"/>
        <v>200.76999999999998</v>
      </c>
      <c r="BJ105" s="7">
        <f t="shared" si="18"/>
        <v>8271723.9999999991</v>
      </c>
      <c r="BK105" s="69">
        <f t="shared" si="15"/>
        <v>3555600</v>
      </c>
      <c r="BL105" s="21" t="str">
        <f t="shared" si="16"/>
        <v/>
      </c>
      <c r="BM105" s="7">
        <f t="shared" si="19"/>
        <v>2.7552834512961338E-2</v>
      </c>
      <c r="BN105" s="69">
        <f>INT(BJ105*升级节奏!G105+BK105)</f>
        <v>129046614</v>
      </c>
      <c r="BO105" s="7">
        <f t="shared" si="14"/>
        <v>458</v>
      </c>
      <c r="BP105" s="7"/>
    </row>
    <row r="106" spans="1:68">
      <c r="A106" s="29">
        <v>104</v>
      </c>
      <c r="B106" s="84">
        <f>升级节奏!C106</f>
        <v>41600</v>
      </c>
      <c r="C106" s="53">
        <f>IF(VLOOKUP(C$2,行为概览!$D$3:$J$33,7,0)="","",VLOOKUP(C$2,行为概览!$D$3:$J$33,7,0))</f>
        <v>50</v>
      </c>
      <c r="D106" s="53">
        <f>IF(VLOOKUP(D$2,行为概览!$D$3:$J$33,7,0)="","",VLOOKUP(D$2,行为概览!$D$3:$J$33,7,0))</f>
        <v>3.3</v>
      </c>
      <c r="E106" s="53">
        <f>IF(VLOOKUP(E$2,行为概览!$D$3:$J$33,7,0)="","",VLOOKUP(E$2,行为概览!$D$3:$J$33,7,0))</f>
        <v>30</v>
      </c>
      <c r="F106" s="53">
        <f>IF(VLOOKUP(F$2,行为概览!$D$3:$J$33,7,0)="","",VLOOKUP(F$2,行为概览!$D$3:$J$33,7,0))</f>
        <v>15</v>
      </c>
      <c r="G106" s="53" t="str">
        <f>IF(VLOOKUP(G$2,行为概览!$D$3:$J$33,7,0)="","",VLOOKUP(G$2,行为概览!$D$3:$J$33,7,0))</f>
        <v/>
      </c>
      <c r="H106" s="53" t="str">
        <f>IF(VLOOKUP(H$2,行为概览!$D$3:$J$33,7,0)="","",VLOOKUP(H$2,行为概览!$D$3:$J$33,7,0))</f>
        <v/>
      </c>
      <c r="I106" s="53" t="str">
        <f>IF(VLOOKUP(I$2,行为概览!$D$3:$J$33,7,0)="","",VLOOKUP(I$2,行为概览!$D$3:$J$33,7,0))</f>
        <v/>
      </c>
      <c r="J106" s="53" t="str">
        <f>IF(VLOOKUP(J$2,行为概览!$D$3:$J$33,7,0)="","",VLOOKUP(J$2,行为概览!$D$3:$J$33,7,0))</f>
        <v/>
      </c>
      <c r="K106" s="53">
        <f>IF(VLOOKUP(K$2,行为概览!$D$3:$J$33,7,0)="","",VLOOKUP(K$2,行为概览!$D$3:$J$33,7,0))</f>
        <v>20</v>
      </c>
      <c r="L106" s="53">
        <f>IF(VLOOKUP(L$2,行为概览!$D$3:$J$33,7,0)="","",VLOOKUP(L$2,行为概览!$D$3:$J$33,7,0))</f>
        <v>20</v>
      </c>
      <c r="M106" s="53">
        <f>IF(VLOOKUP(M$2,行为概览!$D$3:$J$33,7,0)="","",VLOOKUP(M$2,行为概览!$D$3:$J$33,7,0))</f>
        <v>40</v>
      </c>
      <c r="N106" s="53">
        <f>IF(VLOOKUP(N$2,行为概览!$D$3:$J$33,7,0)="","",VLOOKUP(N$2,行为概览!$D$3:$J$33,7,0))</f>
        <v>1</v>
      </c>
      <c r="O106" s="53">
        <f>IF(VLOOKUP(O$2,行为概览!$D$3:$J$33,7,0)="","",VLOOKUP(O$2,行为概览!$D$3:$J$33,7,0))</f>
        <v>150</v>
      </c>
      <c r="P106" s="53">
        <f>IF(VLOOKUP(P$2,行为概览!$D$3:$J$33,7,0)="","",VLOOKUP(P$2,行为概览!$D$3:$J$33,7,0))</f>
        <v>10</v>
      </c>
      <c r="Q106" s="53">
        <f>IF(VLOOKUP(Q$2,行为概览!$D$3:$J$33,7,0)="","",VLOOKUP(Q$2,行为概览!$D$3:$J$33,7,0))</f>
        <v>20</v>
      </c>
      <c r="R106" s="53">
        <f>IF(VLOOKUP(R$2,行为概览!$D$3:$J$33,7,0)="","",VLOOKUP(R$2,行为概览!$D$3:$J$33,7,0))</f>
        <v>6</v>
      </c>
      <c r="S106" s="53">
        <f>IF(VLOOKUP(S$2,行为概览!$D$3:$J$33,7,0)="","",VLOOKUP(S$2,行为概览!$D$3:$J$33,7,0))</f>
        <v>20</v>
      </c>
      <c r="T106" s="53">
        <f>IF(VLOOKUP(T$2,行为概览!$D$3:$J$33,7,0)="","",VLOOKUP(T$2,行为概览!$D$3:$J$33,7,0))</f>
        <v>15</v>
      </c>
      <c r="U106" s="53">
        <f>IF(VLOOKUP(U$2,行为概览!$D$3:$J$33,7,0)="","",VLOOKUP(U$2,行为概览!$D$3:$J$33,7,0))</f>
        <v>15</v>
      </c>
      <c r="V106" s="53">
        <f>IF(VLOOKUP(V$2,行为概览!$D$3:$J$33,7,0)="","",VLOOKUP(V$2,行为概览!$D$3:$J$33,7,0))</f>
        <v>40</v>
      </c>
      <c r="W106" s="53">
        <f>IF(VLOOKUP(W$2,行为概览!$D$3:$J$33,7,0)="","",VLOOKUP(W$2,行为概览!$D$3:$J$33,7,0))</f>
        <v>15</v>
      </c>
      <c r="X106" s="53">
        <f>IF(VLOOKUP(X$2,行为概览!$D$3:$J$33,7,0)="","",VLOOKUP(X$2,行为概览!$D$3:$J$33,7,0))</f>
        <v>30</v>
      </c>
      <c r="Y106" s="53">
        <f>IF(VLOOKUP(Y$2,行为概览!$D$3:$J$33,7,0)="","",VLOOKUP(Y$2,行为概览!$D$3:$J$33,7,0))</f>
        <v>25</v>
      </c>
      <c r="Z106" s="53">
        <f>IF(VLOOKUP(Z$2,行为概览!$D$3:$J$33,7,0)="","",VLOOKUP(Z$2,行为概览!$D$3:$J$33,7,0))</f>
        <v>15</v>
      </c>
      <c r="AA106" s="53">
        <f>IF(VLOOKUP(AA$2,行为概览!$D$3:$J$33,7,0)="","",VLOOKUP(AA$2,行为概览!$D$3:$J$33,7,0))</f>
        <v>15</v>
      </c>
      <c r="AB106" s="53" t="str">
        <f>IF(VLOOKUP(AB$2,行为概览!$D$3:$J$33,7,0)="","",VLOOKUP(AB$2,行为概览!$D$3:$J$33,7,0))</f>
        <v/>
      </c>
      <c r="AC106" s="53" t="str">
        <f>IF(VLOOKUP(AC$2,行为概览!$D$3:$J$33,7,0)="","",VLOOKUP(AC$2,行为概览!$D$3:$J$33,7,0))</f>
        <v/>
      </c>
      <c r="AD106" s="53" t="str">
        <f>IF(VLOOKUP(AD$2,行为概览!$D$3:$J$33,7,0)="","",VLOOKUP(AD$2,行为概览!$D$3:$J$33,7,0))</f>
        <v/>
      </c>
      <c r="AE106" s="68" t="str">
        <f>IF(VLOOKUP(AE$2,行为概览!$D$3:$J$33,7,0)="","",VLOOKUP(AE$2,行为概览!$D$3:$J$33,7,0))</f>
        <v/>
      </c>
      <c r="AF106" s="1">
        <f>IF(C106="","",ROUND(C106*玩法行为规划!B106,2))</f>
        <v>16.670000000000002</v>
      </c>
      <c r="AG106" s="2">
        <f>IF(D106="","",ROUND(D106*玩法行为规划!C106,2))</f>
        <v>6.6</v>
      </c>
      <c r="AH106" s="2">
        <f>IF(E106="","",ROUND(E106*玩法行为规划!D106,2))</f>
        <v>2.5</v>
      </c>
      <c r="AI106" s="2">
        <f>IF(F106="","",ROUND(F106*玩法行为规划!E106,2))</f>
        <v>15</v>
      </c>
      <c r="AJ106" s="2" t="str">
        <f>IF(G106="","",ROUND(G106*玩法行为规划!F106,2))</f>
        <v/>
      </c>
      <c r="AK106" s="2" t="str">
        <f>IF(H106="","",ROUND(H106*玩法行为规划!G106,2))</f>
        <v/>
      </c>
      <c r="AL106" s="2" t="str">
        <f>IF(I106="","",ROUND(I106*玩法行为规划!H106,2))</f>
        <v/>
      </c>
      <c r="AM106" s="2" t="str">
        <f>IF(J106="","",ROUND(J106*玩法行为规划!I106,2))</f>
        <v/>
      </c>
      <c r="AN106" s="2">
        <f>IF(K106="","",ROUND(K106*玩法行为规划!J106,2))</f>
        <v>10</v>
      </c>
      <c r="AO106" s="2">
        <f>IF(L106="","",ROUND(L106*玩法行为规划!K106,2))</f>
        <v>3.33</v>
      </c>
      <c r="AP106" s="2">
        <f>IF(M106="","",ROUND(M106*玩法行为规划!L106,2))</f>
        <v>20</v>
      </c>
      <c r="AQ106" s="2">
        <f>IF(N106="","",ROUND(N106*玩法行为规划!M106,2))</f>
        <v>12</v>
      </c>
      <c r="AR106" s="2">
        <f>IF(O106="","",ROUND(O106*玩法行为规划!N106,2))</f>
        <v>12.5</v>
      </c>
      <c r="AS106" s="2">
        <f>IF(P106="","",ROUND(P106*玩法行为规划!O106,2))</f>
        <v>0.83</v>
      </c>
      <c r="AT106" s="2">
        <f>IF(Q106="","",ROUND(Q106*玩法行为规划!P106,2))</f>
        <v>52</v>
      </c>
      <c r="AU106" s="2">
        <f>IF(R106="","",ROUND(R106*玩法行为规划!Q106,2))</f>
        <v>6</v>
      </c>
      <c r="AV106" s="2">
        <f>IF(S106="","",ROUND(S106*玩法行为规划!R106,2))</f>
        <v>6.67</v>
      </c>
      <c r="AW106" s="2">
        <f>IF(T106="","",ROUND(T106*玩法行为规划!S106,2))</f>
        <v>0</v>
      </c>
      <c r="AX106" s="2">
        <f>IF(U106="","",ROUND(U106*玩法行为规划!T106,2))</f>
        <v>5</v>
      </c>
      <c r="AY106" s="2">
        <f>IF(V106="","",ROUND(V106*玩法行为规划!U106,2))</f>
        <v>6.67</v>
      </c>
      <c r="AZ106" s="2">
        <f>IF(W106="","",ROUND(W106*玩法行为规划!V106,2))</f>
        <v>2.5</v>
      </c>
      <c r="BA106" s="2">
        <f>IF(X106="","",ROUND(X106*玩法行为规划!W106,2))</f>
        <v>5</v>
      </c>
      <c r="BB106" s="2">
        <f>IF(Y106="","",ROUND(Y106*玩法行为规划!X106,2))</f>
        <v>6.25</v>
      </c>
      <c r="BC106" s="2">
        <f>IF(Z106="","",ROUND(Z106*玩法行为规划!Y106,2))</f>
        <v>8.75</v>
      </c>
      <c r="BD106" s="2">
        <f>IF(AA106="","",ROUND(AA106*玩法行为规划!Z106,2))</f>
        <v>2.5</v>
      </c>
      <c r="BE106" s="2" t="str">
        <f>IF(AB106="","",ROUND(AB106*玩法行为规划!AA106,2))</f>
        <v/>
      </c>
      <c r="BF106" s="2" t="str">
        <f>IF(AC106="","",ROUND(AC106*玩法行为规划!AB106,2))</f>
        <v/>
      </c>
      <c r="BG106" s="2" t="str">
        <f>IF(AD106="","",ROUND(AD106*玩法行为规划!AC106,2))</f>
        <v/>
      </c>
      <c r="BH106" s="3" t="str">
        <f>IF(AE106="","",ROUND(AE106*玩法行为规划!AD106,2))</f>
        <v/>
      </c>
      <c r="BI106" s="7">
        <f t="shared" si="17"/>
        <v>200.76999999999998</v>
      </c>
      <c r="BJ106" s="7">
        <f t="shared" si="18"/>
        <v>8352031.9999999991</v>
      </c>
      <c r="BK106" s="69">
        <f t="shared" si="15"/>
        <v>3635800</v>
      </c>
      <c r="BL106" s="21" t="str">
        <f t="shared" si="16"/>
        <v/>
      </c>
      <c r="BM106" s="7">
        <f t="shared" si="19"/>
        <v>2.7379165354299639E-2</v>
      </c>
      <c r="BN106" s="69">
        <f>INT(BJ106*升级节奏!G106+BK106)</f>
        <v>132794406</v>
      </c>
      <c r="BO106" s="7">
        <f t="shared" si="14"/>
        <v>462</v>
      </c>
      <c r="BP106" s="7"/>
    </row>
    <row r="107" spans="1:68">
      <c r="A107" s="29">
        <v>105</v>
      </c>
      <c r="B107" s="84">
        <f>升级节奏!C107</f>
        <v>42000</v>
      </c>
      <c r="C107" s="53">
        <f>IF(VLOOKUP(C$2,行为概览!$D$3:$J$33,7,0)="","",VLOOKUP(C$2,行为概览!$D$3:$J$33,7,0))</f>
        <v>50</v>
      </c>
      <c r="D107" s="53">
        <f>IF(VLOOKUP(D$2,行为概览!$D$3:$J$33,7,0)="","",VLOOKUP(D$2,行为概览!$D$3:$J$33,7,0))</f>
        <v>3.3</v>
      </c>
      <c r="E107" s="53">
        <f>IF(VLOOKUP(E$2,行为概览!$D$3:$J$33,7,0)="","",VLOOKUP(E$2,行为概览!$D$3:$J$33,7,0))</f>
        <v>30</v>
      </c>
      <c r="F107" s="53">
        <f>IF(VLOOKUP(F$2,行为概览!$D$3:$J$33,7,0)="","",VLOOKUP(F$2,行为概览!$D$3:$J$33,7,0))</f>
        <v>15</v>
      </c>
      <c r="G107" s="53" t="str">
        <f>IF(VLOOKUP(G$2,行为概览!$D$3:$J$33,7,0)="","",VLOOKUP(G$2,行为概览!$D$3:$J$33,7,0))</f>
        <v/>
      </c>
      <c r="H107" s="53" t="str">
        <f>IF(VLOOKUP(H$2,行为概览!$D$3:$J$33,7,0)="","",VLOOKUP(H$2,行为概览!$D$3:$J$33,7,0))</f>
        <v/>
      </c>
      <c r="I107" s="53" t="str">
        <f>IF(VLOOKUP(I$2,行为概览!$D$3:$J$33,7,0)="","",VLOOKUP(I$2,行为概览!$D$3:$J$33,7,0))</f>
        <v/>
      </c>
      <c r="J107" s="53" t="str">
        <f>IF(VLOOKUP(J$2,行为概览!$D$3:$J$33,7,0)="","",VLOOKUP(J$2,行为概览!$D$3:$J$33,7,0))</f>
        <v/>
      </c>
      <c r="K107" s="53">
        <f>IF(VLOOKUP(K$2,行为概览!$D$3:$J$33,7,0)="","",VLOOKUP(K$2,行为概览!$D$3:$J$33,7,0))</f>
        <v>20</v>
      </c>
      <c r="L107" s="53">
        <f>IF(VLOOKUP(L$2,行为概览!$D$3:$J$33,7,0)="","",VLOOKUP(L$2,行为概览!$D$3:$J$33,7,0))</f>
        <v>20</v>
      </c>
      <c r="M107" s="53">
        <f>IF(VLOOKUP(M$2,行为概览!$D$3:$J$33,7,0)="","",VLOOKUP(M$2,行为概览!$D$3:$J$33,7,0))</f>
        <v>40</v>
      </c>
      <c r="N107" s="53">
        <f>IF(VLOOKUP(N$2,行为概览!$D$3:$J$33,7,0)="","",VLOOKUP(N$2,行为概览!$D$3:$J$33,7,0))</f>
        <v>1</v>
      </c>
      <c r="O107" s="53">
        <f>IF(VLOOKUP(O$2,行为概览!$D$3:$J$33,7,0)="","",VLOOKUP(O$2,行为概览!$D$3:$J$33,7,0))</f>
        <v>150</v>
      </c>
      <c r="P107" s="53">
        <f>IF(VLOOKUP(P$2,行为概览!$D$3:$J$33,7,0)="","",VLOOKUP(P$2,行为概览!$D$3:$J$33,7,0))</f>
        <v>10</v>
      </c>
      <c r="Q107" s="53">
        <f>IF(VLOOKUP(Q$2,行为概览!$D$3:$J$33,7,0)="","",VLOOKUP(Q$2,行为概览!$D$3:$J$33,7,0))</f>
        <v>20</v>
      </c>
      <c r="R107" s="53">
        <f>IF(VLOOKUP(R$2,行为概览!$D$3:$J$33,7,0)="","",VLOOKUP(R$2,行为概览!$D$3:$J$33,7,0))</f>
        <v>6</v>
      </c>
      <c r="S107" s="53">
        <f>IF(VLOOKUP(S$2,行为概览!$D$3:$J$33,7,0)="","",VLOOKUP(S$2,行为概览!$D$3:$J$33,7,0))</f>
        <v>20</v>
      </c>
      <c r="T107" s="53">
        <f>IF(VLOOKUP(T$2,行为概览!$D$3:$J$33,7,0)="","",VLOOKUP(T$2,行为概览!$D$3:$J$33,7,0))</f>
        <v>15</v>
      </c>
      <c r="U107" s="53">
        <f>IF(VLOOKUP(U$2,行为概览!$D$3:$J$33,7,0)="","",VLOOKUP(U$2,行为概览!$D$3:$J$33,7,0))</f>
        <v>15</v>
      </c>
      <c r="V107" s="53">
        <f>IF(VLOOKUP(V$2,行为概览!$D$3:$J$33,7,0)="","",VLOOKUP(V$2,行为概览!$D$3:$J$33,7,0))</f>
        <v>40</v>
      </c>
      <c r="W107" s="53">
        <f>IF(VLOOKUP(W$2,行为概览!$D$3:$J$33,7,0)="","",VLOOKUP(W$2,行为概览!$D$3:$J$33,7,0))</f>
        <v>15</v>
      </c>
      <c r="X107" s="53">
        <f>IF(VLOOKUP(X$2,行为概览!$D$3:$J$33,7,0)="","",VLOOKUP(X$2,行为概览!$D$3:$J$33,7,0))</f>
        <v>30</v>
      </c>
      <c r="Y107" s="53">
        <f>IF(VLOOKUP(Y$2,行为概览!$D$3:$J$33,7,0)="","",VLOOKUP(Y$2,行为概览!$D$3:$J$33,7,0))</f>
        <v>25</v>
      </c>
      <c r="Z107" s="53">
        <f>IF(VLOOKUP(Z$2,行为概览!$D$3:$J$33,7,0)="","",VLOOKUP(Z$2,行为概览!$D$3:$J$33,7,0))</f>
        <v>15</v>
      </c>
      <c r="AA107" s="53">
        <f>IF(VLOOKUP(AA$2,行为概览!$D$3:$J$33,7,0)="","",VLOOKUP(AA$2,行为概览!$D$3:$J$33,7,0))</f>
        <v>15</v>
      </c>
      <c r="AB107" s="53" t="str">
        <f>IF(VLOOKUP(AB$2,行为概览!$D$3:$J$33,7,0)="","",VLOOKUP(AB$2,行为概览!$D$3:$J$33,7,0))</f>
        <v/>
      </c>
      <c r="AC107" s="53" t="str">
        <f>IF(VLOOKUP(AC$2,行为概览!$D$3:$J$33,7,0)="","",VLOOKUP(AC$2,行为概览!$D$3:$J$33,7,0))</f>
        <v/>
      </c>
      <c r="AD107" s="53" t="str">
        <f>IF(VLOOKUP(AD$2,行为概览!$D$3:$J$33,7,0)="","",VLOOKUP(AD$2,行为概览!$D$3:$J$33,7,0))</f>
        <v/>
      </c>
      <c r="AE107" s="68" t="str">
        <f>IF(VLOOKUP(AE$2,行为概览!$D$3:$J$33,7,0)="","",VLOOKUP(AE$2,行为概览!$D$3:$J$33,7,0))</f>
        <v/>
      </c>
      <c r="AF107" s="1">
        <f>IF(C107="","",ROUND(C107*玩法行为规划!B107,2))</f>
        <v>16.670000000000002</v>
      </c>
      <c r="AG107" s="2">
        <f>IF(D107="","",ROUND(D107*玩法行为规划!C107,2))</f>
        <v>6.6</v>
      </c>
      <c r="AH107" s="2">
        <f>IF(E107="","",ROUND(E107*玩法行为规划!D107,2))</f>
        <v>2.5</v>
      </c>
      <c r="AI107" s="2">
        <f>IF(F107="","",ROUND(F107*玩法行为规划!E107,2))</f>
        <v>15</v>
      </c>
      <c r="AJ107" s="2" t="str">
        <f>IF(G107="","",ROUND(G107*玩法行为规划!F107,2))</f>
        <v/>
      </c>
      <c r="AK107" s="2" t="str">
        <f>IF(H107="","",ROUND(H107*玩法行为规划!G107,2))</f>
        <v/>
      </c>
      <c r="AL107" s="2" t="str">
        <f>IF(I107="","",ROUND(I107*玩法行为规划!H107,2))</f>
        <v/>
      </c>
      <c r="AM107" s="2" t="str">
        <f>IF(J107="","",ROUND(J107*玩法行为规划!I107,2))</f>
        <v/>
      </c>
      <c r="AN107" s="2">
        <f>IF(K107="","",ROUND(K107*玩法行为规划!J107,2))</f>
        <v>10</v>
      </c>
      <c r="AO107" s="2">
        <f>IF(L107="","",ROUND(L107*玩法行为规划!K107,2))</f>
        <v>3.33</v>
      </c>
      <c r="AP107" s="2">
        <f>IF(M107="","",ROUND(M107*玩法行为规划!L107,2))</f>
        <v>20</v>
      </c>
      <c r="AQ107" s="2">
        <f>IF(N107="","",ROUND(N107*玩法行为规划!M107,2))</f>
        <v>12</v>
      </c>
      <c r="AR107" s="2">
        <f>IF(O107="","",ROUND(O107*玩法行为规划!N107,2))</f>
        <v>12.5</v>
      </c>
      <c r="AS107" s="2">
        <f>IF(P107="","",ROUND(P107*玩法行为规划!O107,2))</f>
        <v>0.83</v>
      </c>
      <c r="AT107" s="2">
        <f>IF(Q107="","",ROUND(Q107*玩法行为规划!P107,2))</f>
        <v>52</v>
      </c>
      <c r="AU107" s="2">
        <f>IF(R107="","",ROUND(R107*玩法行为规划!Q107,2))</f>
        <v>6</v>
      </c>
      <c r="AV107" s="2">
        <f>IF(S107="","",ROUND(S107*玩法行为规划!R107,2))</f>
        <v>6.67</v>
      </c>
      <c r="AW107" s="2">
        <f>IF(T107="","",ROUND(T107*玩法行为规划!S107,2))</f>
        <v>0</v>
      </c>
      <c r="AX107" s="2">
        <f>IF(U107="","",ROUND(U107*玩法行为规划!T107,2))</f>
        <v>5</v>
      </c>
      <c r="AY107" s="2">
        <f>IF(V107="","",ROUND(V107*玩法行为规划!U107,2))</f>
        <v>6.67</v>
      </c>
      <c r="AZ107" s="2">
        <f>IF(W107="","",ROUND(W107*玩法行为规划!V107,2))</f>
        <v>2.5</v>
      </c>
      <c r="BA107" s="2">
        <f>IF(X107="","",ROUND(X107*玩法行为规划!W107,2))</f>
        <v>5</v>
      </c>
      <c r="BB107" s="2">
        <f>IF(Y107="","",ROUND(Y107*玩法行为规划!X107,2))</f>
        <v>6.25</v>
      </c>
      <c r="BC107" s="2">
        <f>IF(Z107="","",ROUND(Z107*玩法行为规划!Y107,2))</f>
        <v>8.75</v>
      </c>
      <c r="BD107" s="2">
        <f>IF(AA107="","",ROUND(AA107*玩法行为规划!Z107,2))</f>
        <v>2.5</v>
      </c>
      <c r="BE107" s="2" t="str">
        <f>IF(AB107="","",ROUND(AB107*玩法行为规划!AA107,2))</f>
        <v/>
      </c>
      <c r="BF107" s="2" t="str">
        <f>IF(AC107="","",ROUND(AC107*玩法行为规划!AB107,2))</f>
        <v/>
      </c>
      <c r="BG107" s="2" t="str">
        <f>IF(AD107="","",ROUND(AD107*玩法行为规划!AC107,2))</f>
        <v/>
      </c>
      <c r="BH107" s="3" t="str">
        <f>IF(AE107="","",ROUND(AE107*玩法行为规划!AD107,2))</f>
        <v/>
      </c>
      <c r="BI107" s="7">
        <f t="shared" si="17"/>
        <v>200.76999999999998</v>
      </c>
      <c r="BJ107" s="7">
        <f t="shared" si="18"/>
        <v>8432340</v>
      </c>
      <c r="BK107" s="69">
        <f t="shared" si="15"/>
        <v>3717000</v>
      </c>
      <c r="BL107" s="21" t="str">
        <f t="shared" si="16"/>
        <v/>
      </c>
      <c r="BM107" s="7">
        <f t="shared" si="19"/>
        <v>2.7208007987984204E-2</v>
      </c>
      <c r="BN107" s="69">
        <f>INT(BJ107*升级节奏!G107+BK107)</f>
        <v>136614191</v>
      </c>
      <c r="BO107" s="7">
        <f t="shared" si="14"/>
        <v>467</v>
      </c>
      <c r="BP107" s="7"/>
    </row>
    <row r="108" spans="1:68">
      <c r="A108" s="29">
        <v>106</v>
      </c>
      <c r="B108" s="84">
        <f>升级节奏!C108</f>
        <v>42400</v>
      </c>
      <c r="C108" s="53">
        <f>IF(VLOOKUP(C$2,行为概览!$D$3:$J$33,7,0)="","",VLOOKUP(C$2,行为概览!$D$3:$J$33,7,0))</f>
        <v>50</v>
      </c>
      <c r="D108" s="53">
        <f>IF(VLOOKUP(D$2,行为概览!$D$3:$J$33,7,0)="","",VLOOKUP(D$2,行为概览!$D$3:$J$33,7,0))</f>
        <v>3.3</v>
      </c>
      <c r="E108" s="53">
        <f>IF(VLOOKUP(E$2,行为概览!$D$3:$J$33,7,0)="","",VLOOKUP(E$2,行为概览!$D$3:$J$33,7,0))</f>
        <v>30</v>
      </c>
      <c r="F108" s="53">
        <f>IF(VLOOKUP(F$2,行为概览!$D$3:$J$33,7,0)="","",VLOOKUP(F$2,行为概览!$D$3:$J$33,7,0))</f>
        <v>15</v>
      </c>
      <c r="G108" s="53" t="str">
        <f>IF(VLOOKUP(G$2,行为概览!$D$3:$J$33,7,0)="","",VLOOKUP(G$2,行为概览!$D$3:$J$33,7,0))</f>
        <v/>
      </c>
      <c r="H108" s="53" t="str">
        <f>IF(VLOOKUP(H$2,行为概览!$D$3:$J$33,7,0)="","",VLOOKUP(H$2,行为概览!$D$3:$J$33,7,0))</f>
        <v/>
      </c>
      <c r="I108" s="53" t="str">
        <f>IF(VLOOKUP(I$2,行为概览!$D$3:$J$33,7,0)="","",VLOOKUP(I$2,行为概览!$D$3:$J$33,7,0))</f>
        <v/>
      </c>
      <c r="J108" s="53" t="str">
        <f>IF(VLOOKUP(J$2,行为概览!$D$3:$J$33,7,0)="","",VLOOKUP(J$2,行为概览!$D$3:$J$33,7,0))</f>
        <v/>
      </c>
      <c r="K108" s="53">
        <f>IF(VLOOKUP(K$2,行为概览!$D$3:$J$33,7,0)="","",VLOOKUP(K$2,行为概览!$D$3:$J$33,7,0))</f>
        <v>20</v>
      </c>
      <c r="L108" s="53">
        <f>IF(VLOOKUP(L$2,行为概览!$D$3:$J$33,7,0)="","",VLOOKUP(L$2,行为概览!$D$3:$J$33,7,0))</f>
        <v>20</v>
      </c>
      <c r="M108" s="53">
        <f>IF(VLOOKUP(M$2,行为概览!$D$3:$J$33,7,0)="","",VLOOKUP(M$2,行为概览!$D$3:$J$33,7,0))</f>
        <v>40</v>
      </c>
      <c r="N108" s="53">
        <f>IF(VLOOKUP(N$2,行为概览!$D$3:$J$33,7,0)="","",VLOOKUP(N$2,行为概览!$D$3:$J$33,7,0))</f>
        <v>1</v>
      </c>
      <c r="O108" s="53">
        <f>IF(VLOOKUP(O$2,行为概览!$D$3:$J$33,7,0)="","",VLOOKUP(O$2,行为概览!$D$3:$J$33,7,0))</f>
        <v>150</v>
      </c>
      <c r="P108" s="53">
        <f>IF(VLOOKUP(P$2,行为概览!$D$3:$J$33,7,0)="","",VLOOKUP(P$2,行为概览!$D$3:$J$33,7,0))</f>
        <v>10</v>
      </c>
      <c r="Q108" s="53">
        <f>IF(VLOOKUP(Q$2,行为概览!$D$3:$J$33,7,0)="","",VLOOKUP(Q$2,行为概览!$D$3:$J$33,7,0))</f>
        <v>20</v>
      </c>
      <c r="R108" s="53">
        <f>IF(VLOOKUP(R$2,行为概览!$D$3:$J$33,7,0)="","",VLOOKUP(R$2,行为概览!$D$3:$J$33,7,0))</f>
        <v>6</v>
      </c>
      <c r="S108" s="53">
        <f>IF(VLOOKUP(S$2,行为概览!$D$3:$J$33,7,0)="","",VLOOKUP(S$2,行为概览!$D$3:$J$33,7,0))</f>
        <v>20</v>
      </c>
      <c r="T108" s="53">
        <f>IF(VLOOKUP(T$2,行为概览!$D$3:$J$33,7,0)="","",VLOOKUP(T$2,行为概览!$D$3:$J$33,7,0))</f>
        <v>15</v>
      </c>
      <c r="U108" s="53">
        <f>IF(VLOOKUP(U$2,行为概览!$D$3:$J$33,7,0)="","",VLOOKUP(U$2,行为概览!$D$3:$J$33,7,0))</f>
        <v>15</v>
      </c>
      <c r="V108" s="53">
        <f>IF(VLOOKUP(V$2,行为概览!$D$3:$J$33,7,0)="","",VLOOKUP(V$2,行为概览!$D$3:$J$33,7,0))</f>
        <v>40</v>
      </c>
      <c r="W108" s="53">
        <f>IF(VLOOKUP(W$2,行为概览!$D$3:$J$33,7,0)="","",VLOOKUP(W$2,行为概览!$D$3:$J$33,7,0))</f>
        <v>15</v>
      </c>
      <c r="X108" s="53">
        <f>IF(VLOOKUP(X$2,行为概览!$D$3:$J$33,7,0)="","",VLOOKUP(X$2,行为概览!$D$3:$J$33,7,0))</f>
        <v>30</v>
      </c>
      <c r="Y108" s="53">
        <f>IF(VLOOKUP(Y$2,行为概览!$D$3:$J$33,7,0)="","",VLOOKUP(Y$2,行为概览!$D$3:$J$33,7,0))</f>
        <v>25</v>
      </c>
      <c r="Z108" s="53">
        <f>IF(VLOOKUP(Z$2,行为概览!$D$3:$J$33,7,0)="","",VLOOKUP(Z$2,行为概览!$D$3:$J$33,7,0))</f>
        <v>15</v>
      </c>
      <c r="AA108" s="53">
        <f>IF(VLOOKUP(AA$2,行为概览!$D$3:$J$33,7,0)="","",VLOOKUP(AA$2,行为概览!$D$3:$J$33,7,0))</f>
        <v>15</v>
      </c>
      <c r="AB108" s="53" t="str">
        <f>IF(VLOOKUP(AB$2,行为概览!$D$3:$J$33,7,0)="","",VLOOKUP(AB$2,行为概览!$D$3:$J$33,7,0))</f>
        <v/>
      </c>
      <c r="AC108" s="53" t="str">
        <f>IF(VLOOKUP(AC$2,行为概览!$D$3:$J$33,7,0)="","",VLOOKUP(AC$2,行为概览!$D$3:$J$33,7,0))</f>
        <v/>
      </c>
      <c r="AD108" s="53" t="str">
        <f>IF(VLOOKUP(AD$2,行为概览!$D$3:$J$33,7,0)="","",VLOOKUP(AD$2,行为概览!$D$3:$J$33,7,0))</f>
        <v/>
      </c>
      <c r="AE108" s="68" t="str">
        <f>IF(VLOOKUP(AE$2,行为概览!$D$3:$J$33,7,0)="","",VLOOKUP(AE$2,行为概览!$D$3:$J$33,7,0))</f>
        <v/>
      </c>
      <c r="AF108" s="1">
        <f>IF(C108="","",ROUND(C108*玩法行为规划!B108,2))</f>
        <v>16.670000000000002</v>
      </c>
      <c r="AG108" s="2">
        <f>IF(D108="","",ROUND(D108*玩法行为规划!C108,2))</f>
        <v>6.6</v>
      </c>
      <c r="AH108" s="2">
        <f>IF(E108="","",ROUND(E108*玩法行为规划!D108,2))</f>
        <v>2.5</v>
      </c>
      <c r="AI108" s="2">
        <f>IF(F108="","",ROUND(F108*玩法行为规划!E108,2))</f>
        <v>15</v>
      </c>
      <c r="AJ108" s="2" t="str">
        <f>IF(G108="","",ROUND(G108*玩法行为规划!F108,2))</f>
        <v/>
      </c>
      <c r="AK108" s="2" t="str">
        <f>IF(H108="","",ROUND(H108*玩法行为规划!G108,2))</f>
        <v/>
      </c>
      <c r="AL108" s="2" t="str">
        <f>IF(I108="","",ROUND(I108*玩法行为规划!H108,2))</f>
        <v/>
      </c>
      <c r="AM108" s="2" t="str">
        <f>IF(J108="","",ROUND(J108*玩法行为规划!I108,2))</f>
        <v/>
      </c>
      <c r="AN108" s="2">
        <f>IF(K108="","",ROUND(K108*玩法行为规划!J108,2))</f>
        <v>10</v>
      </c>
      <c r="AO108" s="2">
        <f>IF(L108="","",ROUND(L108*玩法行为规划!K108,2))</f>
        <v>3.33</v>
      </c>
      <c r="AP108" s="2">
        <f>IF(M108="","",ROUND(M108*玩法行为规划!L108,2))</f>
        <v>20</v>
      </c>
      <c r="AQ108" s="2">
        <f>IF(N108="","",ROUND(N108*玩法行为规划!M108,2))</f>
        <v>12</v>
      </c>
      <c r="AR108" s="2">
        <f>IF(O108="","",ROUND(O108*玩法行为规划!N108,2))</f>
        <v>12.5</v>
      </c>
      <c r="AS108" s="2">
        <f>IF(P108="","",ROUND(P108*玩法行为规划!O108,2))</f>
        <v>0.83</v>
      </c>
      <c r="AT108" s="2">
        <f>IF(Q108="","",ROUND(Q108*玩法行为规划!P108,2))</f>
        <v>52</v>
      </c>
      <c r="AU108" s="2">
        <f>IF(R108="","",ROUND(R108*玩法行为规划!Q108,2))</f>
        <v>6</v>
      </c>
      <c r="AV108" s="2">
        <f>IF(S108="","",ROUND(S108*玩法行为规划!R108,2))</f>
        <v>6.67</v>
      </c>
      <c r="AW108" s="2">
        <f>IF(T108="","",ROUND(T108*玩法行为规划!S108,2))</f>
        <v>0</v>
      </c>
      <c r="AX108" s="2">
        <f>IF(U108="","",ROUND(U108*玩法行为规划!T108,2))</f>
        <v>5</v>
      </c>
      <c r="AY108" s="2">
        <f>IF(V108="","",ROUND(V108*玩法行为规划!U108,2))</f>
        <v>6.67</v>
      </c>
      <c r="AZ108" s="2">
        <f>IF(W108="","",ROUND(W108*玩法行为规划!V108,2))</f>
        <v>2.5</v>
      </c>
      <c r="BA108" s="2">
        <f>IF(X108="","",ROUND(X108*玩法行为规划!W108,2))</f>
        <v>5</v>
      </c>
      <c r="BB108" s="2">
        <f>IF(Y108="","",ROUND(Y108*玩法行为规划!X108,2))</f>
        <v>6.25</v>
      </c>
      <c r="BC108" s="2">
        <f>IF(Z108="","",ROUND(Z108*玩法行为规划!Y108,2))</f>
        <v>8.75</v>
      </c>
      <c r="BD108" s="2">
        <f>IF(AA108="","",ROUND(AA108*玩法行为规划!Z108,2))</f>
        <v>2.5</v>
      </c>
      <c r="BE108" s="2" t="str">
        <f>IF(AB108="","",ROUND(AB108*玩法行为规划!AA108,2))</f>
        <v/>
      </c>
      <c r="BF108" s="2" t="str">
        <f>IF(AC108="","",ROUND(AC108*玩法行为规划!AB108,2))</f>
        <v/>
      </c>
      <c r="BG108" s="2" t="str">
        <f>IF(AD108="","",ROUND(AD108*玩法行为规划!AC108,2))</f>
        <v/>
      </c>
      <c r="BH108" s="3" t="str">
        <f>IF(AE108="","",ROUND(AE108*玩法行为规划!AD108,2))</f>
        <v/>
      </c>
      <c r="BI108" s="7">
        <f t="shared" si="17"/>
        <v>200.76999999999998</v>
      </c>
      <c r="BJ108" s="7">
        <f t="shared" si="18"/>
        <v>8512648</v>
      </c>
      <c r="BK108" s="69">
        <f t="shared" si="15"/>
        <v>3799000</v>
      </c>
      <c r="BL108" s="21" t="str">
        <f t="shared" ref="BL108:BL139" si="20">IF(--RIGHT(A108,1)=0,SUM(BK108:BK117),"")</f>
        <v/>
      </c>
      <c r="BM108" s="7">
        <f t="shared" si="19"/>
        <v>2.703790447315476E-2</v>
      </c>
      <c r="BN108" s="69">
        <f>INT(BJ108*升级节奏!G108+BK108)</f>
        <v>140506451</v>
      </c>
      <c r="BO108" s="7">
        <f t="shared" si="14"/>
        <v>471</v>
      </c>
      <c r="BP108" s="7"/>
    </row>
    <row r="109" spans="1:68">
      <c r="A109" s="29">
        <v>107</v>
      </c>
      <c r="B109" s="84">
        <f>升级节奏!C109</f>
        <v>42800</v>
      </c>
      <c r="C109" s="53">
        <f>IF(VLOOKUP(C$2,行为概览!$D$3:$J$33,7,0)="","",VLOOKUP(C$2,行为概览!$D$3:$J$33,7,0))</f>
        <v>50</v>
      </c>
      <c r="D109" s="53">
        <f>IF(VLOOKUP(D$2,行为概览!$D$3:$J$33,7,0)="","",VLOOKUP(D$2,行为概览!$D$3:$J$33,7,0))</f>
        <v>3.3</v>
      </c>
      <c r="E109" s="53">
        <f>IF(VLOOKUP(E$2,行为概览!$D$3:$J$33,7,0)="","",VLOOKUP(E$2,行为概览!$D$3:$J$33,7,0))</f>
        <v>30</v>
      </c>
      <c r="F109" s="53">
        <f>IF(VLOOKUP(F$2,行为概览!$D$3:$J$33,7,0)="","",VLOOKUP(F$2,行为概览!$D$3:$J$33,7,0))</f>
        <v>15</v>
      </c>
      <c r="G109" s="53" t="str">
        <f>IF(VLOOKUP(G$2,行为概览!$D$3:$J$33,7,0)="","",VLOOKUP(G$2,行为概览!$D$3:$J$33,7,0))</f>
        <v/>
      </c>
      <c r="H109" s="53" t="str">
        <f>IF(VLOOKUP(H$2,行为概览!$D$3:$J$33,7,0)="","",VLOOKUP(H$2,行为概览!$D$3:$J$33,7,0))</f>
        <v/>
      </c>
      <c r="I109" s="53" t="str">
        <f>IF(VLOOKUP(I$2,行为概览!$D$3:$J$33,7,0)="","",VLOOKUP(I$2,行为概览!$D$3:$J$33,7,0))</f>
        <v/>
      </c>
      <c r="J109" s="53" t="str">
        <f>IF(VLOOKUP(J$2,行为概览!$D$3:$J$33,7,0)="","",VLOOKUP(J$2,行为概览!$D$3:$J$33,7,0))</f>
        <v/>
      </c>
      <c r="K109" s="53">
        <f>IF(VLOOKUP(K$2,行为概览!$D$3:$J$33,7,0)="","",VLOOKUP(K$2,行为概览!$D$3:$J$33,7,0))</f>
        <v>20</v>
      </c>
      <c r="L109" s="53">
        <f>IF(VLOOKUP(L$2,行为概览!$D$3:$J$33,7,0)="","",VLOOKUP(L$2,行为概览!$D$3:$J$33,7,0))</f>
        <v>20</v>
      </c>
      <c r="M109" s="53">
        <f>IF(VLOOKUP(M$2,行为概览!$D$3:$J$33,7,0)="","",VLOOKUP(M$2,行为概览!$D$3:$J$33,7,0))</f>
        <v>40</v>
      </c>
      <c r="N109" s="53">
        <f>IF(VLOOKUP(N$2,行为概览!$D$3:$J$33,7,0)="","",VLOOKUP(N$2,行为概览!$D$3:$J$33,7,0))</f>
        <v>1</v>
      </c>
      <c r="O109" s="53">
        <f>IF(VLOOKUP(O$2,行为概览!$D$3:$J$33,7,0)="","",VLOOKUP(O$2,行为概览!$D$3:$J$33,7,0))</f>
        <v>150</v>
      </c>
      <c r="P109" s="53">
        <f>IF(VLOOKUP(P$2,行为概览!$D$3:$J$33,7,0)="","",VLOOKUP(P$2,行为概览!$D$3:$J$33,7,0))</f>
        <v>10</v>
      </c>
      <c r="Q109" s="53">
        <f>IF(VLOOKUP(Q$2,行为概览!$D$3:$J$33,7,0)="","",VLOOKUP(Q$2,行为概览!$D$3:$J$33,7,0))</f>
        <v>20</v>
      </c>
      <c r="R109" s="53">
        <f>IF(VLOOKUP(R$2,行为概览!$D$3:$J$33,7,0)="","",VLOOKUP(R$2,行为概览!$D$3:$J$33,7,0))</f>
        <v>6</v>
      </c>
      <c r="S109" s="53">
        <f>IF(VLOOKUP(S$2,行为概览!$D$3:$J$33,7,0)="","",VLOOKUP(S$2,行为概览!$D$3:$J$33,7,0))</f>
        <v>20</v>
      </c>
      <c r="T109" s="53">
        <f>IF(VLOOKUP(T$2,行为概览!$D$3:$J$33,7,0)="","",VLOOKUP(T$2,行为概览!$D$3:$J$33,7,0))</f>
        <v>15</v>
      </c>
      <c r="U109" s="53">
        <f>IF(VLOOKUP(U$2,行为概览!$D$3:$J$33,7,0)="","",VLOOKUP(U$2,行为概览!$D$3:$J$33,7,0))</f>
        <v>15</v>
      </c>
      <c r="V109" s="53">
        <f>IF(VLOOKUP(V$2,行为概览!$D$3:$J$33,7,0)="","",VLOOKUP(V$2,行为概览!$D$3:$J$33,7,0))</f>
        <v>40</v>
      </c>
      <c r="W109" s="53">
        <f>IF(VLOOKUP(W$2,行为概览!$D$3:$J$33,7,0)="","",VLOOKUP(W$2,行为概览!$D$3:$J$33,7,0))</f>
        <v>15</v>
      </c>
      <c r="X109" s="53">
        <f>IF(VLOOKUP(X$2,行为概览!$D$3:$J$33,7,0)="","",VLOOKUP(X$2,行为概览!$D$3:$J$33,7,0))</f>
        <v>30</v>
      </c>
      <c r="Y109" s="53">
        <f>IF(VLOOKUP(Y$2,行为概览!$D$3:$J$33,7,0)="","",VLOOKUP(Y$2,行为概览!$D$3:$J$33,7,0))</f>
        <v>25</v>
      </c>
      <c r="Z109" s="53">
        <f>IF(VLOOKUP(Z$2,行为概览!$D$3:$J$33,7,0)="","",VLOOKUP(Z$2,行为概览!$D$3:$J$33,7,0))</f>
        <v>15</v>
      </c>
      <c r="AA109" s="53">
        <f>IF(VLOOKUP(AA$2,行为概览!$D$3:$J$33,7,0)="","",VLOOKUP(AA$2,行为概览!$D$3:$J$33,7,0))</f>
        <v>15</v>
      </c>
      <c r="AB109" s="53" t="str">
        <f>IF(VLOOKUP(AB$2,行为概览!$D$3:$J$33,7,0)="","",VLOOKUP(AB$2,行为概览!$D$3:$J$33,7,0))</f>
        <v/>
      </c>
      <c r="AC109" s="53" t="str">
        <f>IF(VLOOKUP(AC$2,行为概览!$D$3:$J$33,7,0)="","",VLOOKUP(AC$2,行为概览!$D$3:$J$33,7,0))</f>
        <v/>
      </c>
      <c r="AD109" s="53" t="str">
        <f>IF(VLOOKUP(AD$2,行为概览!$D$3:$J$33,7,0)="","",VLOOKUP(AD$2,行为概览!$D$3:$J$33,7,0))</f>
        <v/>
      </c>
      <c r="AE109" s="68" t="str">
        <f>IF(VLOOKUP(AE$2,行为概览!$D$3:$J$33,7,0)="","",VLOOKUP(AE$2,行为概览!$D$3:$J$33,7,0))</f>
        <v/>
      </c>
      <c r="AF109" s="1">
        <f>IF(C109="","",ROUND(C109*玩法行为规划!B109,2))</f>
        <v>16.670000000000002</v>
      </c>
      <c r="AG109" s="2">
        <f>IF(D109="","",ROUND(D109*玩法行为规划!C109,2))</f>
        <v>6.6</v>
      </c>
      <c r="AH109" s="2">
        <f>IF(E109="","",ROUND(E109*玩法行为规划!D109,2))</f>
        <v>2.5</v>
      </c>
      <c r="AI109" s="2">
        <f>IF(F109="","",ROUND(F109*玩法行为规划!E109,2))</f>
        <v>15</v>
      </c>
      <c r="AJ109" s="2" t="str">
        <f>IF(G109="","",ROUND(G109*玩法行为规划!F109,2))</f>
        <v/>
      </c>
      <c r="AK109" s="2" t="str">
        <f>IF(H109="","",ROUND(H109*玩法行为规划!G109,2))</f>
        <v/>
      </c>
      <c r="AL109" s="2" t="str">
        <f>IF(I109="","",ROUND(I109*玩法行为规划!H109,2))</f>
        <v/>
      </c>
      <c r="AM109" s="2" t="str">
        <f>IF(J109="","",ROUND(J109*玩法行为规划!I109,2))</f>
        <v/>
      </c>
      <c r="AN109" s="2">
        <f>IF(K109="","",ROUND(K109*玩法行为规划!J109,2))</f>
        <v>10</v>
      </c>
      <c r="AO109" s="2">
        <f>IF(L109="","",ROUND(L109*玩法行为规划!K109,2))</f>
        <v>3.33</v>
      </c>
      <c r="AP109" s="2">
        <f>IF(M109="","",ROUND(M109*玩法行为规划!L109,2))</f>
        <v>20</v>
      </c>
      <c r="AQ109" s="2">
        <f>IF(N109="","",ROUND(N109*玩法行为规划!M109,2))</f>
        <v>12</v>
      </c>
      <c r="AR109" s="2">
        <f>IF(O109="","",ROUND(O109*玩法行为规划!N109,2))</f>
        <v>12.5</v>
      </c>
      <c r="AS109" s="2">
        <f>IF(P109="","",ROUND(P109*玩法行为规划!O109,2))</f>
        <v>0.83</v>
      </c>
      <c r="AT109" s="2">
        <f>IF(Q109="","",ROUND(Q109*玩法行为规划!P109,2))</f>
        <v>52</v>
      </c>
      <c r="AU109" s="2">
        <f>IF(R109="","",ROUND(R109*玩法行为规划!Q109,2))</f>
        <v>6</v>
      </c>
      <c r="AV109" s="2">
        <f>IF(S109="","",ROUND(S109*玩法行为规划!R109,2))</f>
        <v>6.67</v>
      </c>
      <c r="AW109" s="2">
        <f>IF(T109="","",ROUND(T109*玩法行为规划!S109,2))</f>
        <v>0</v>
      </c>
      <c r="AX109" s="2">
        <f>IF(U109="","",ROUND(U109*玩法行为规划!T109,2))</f>
        <v>5</v>
      </c>
      <c r="AY109" s="2">
        <f>IF(V109="","",ROUND(V109*玩法行为规划!U109,2))</f>
        <v>6.67</v>
      </c>
      <c r="AZ109" s="2">
        <f>IF(W109="","",ROUND(W109*玩法行为规划!V109,2))</f>
        <v>2.5</v>
      </c>
      <c r="BA109" s="2">
        <f>IF(X109="","",ROUND(X109*玩法行为规划!W109,2))</f>
        <v>5</v>
      </c>
      <c r="BB109" s="2">
        <f>IF(Y109="","",ROUND(Y109*玩法行为规划!X109,2))</f>
        <v>6.25</v>
      </c>
      <c r="BC109" s="2">
        <f>IF(Z109="","",ROUND(Z109*玩法行为规划!Y109,2))</f>
        <v>8.75</v>
      </c>
      <c r="BD109" s="2">
        <f>IF(AA109="","",ROUND(AA109*玩法行为规划!Z109,2))</f>
        <v>2.5</v>
      </c>
      <c r="BE109" s="2" t="str">
        <f>IF(AB109="","",ROUND(AB109*玩法行为规划!AA109,2))</f>
        <v/>
      </c>
      <c r="BF109" s="2" t="str">
        <f>IF(AC109="","",ROUND(AC109*玩法行为规划!AB109,2))</f>
        <v/>
      </c>
      <c r="BG109" s="2" t="str">
        <f>IF(AD109="","",ROUND(AD109*玩法行为规划!AC109,2))</f>
        <v/>
      </c>
      <c r="BH109" s="3" t="str">
        <f>IF(AE109="","",ROUND(AE109*玩法行为规划!AD109,2))</f>
        <v/>
      </c>
      <c r="BI109" s="7">
        <f t="shared" si="17"/>
        <v>200.76999999999998</v>
      </c>
      <c r="BJ109" s="7">
        <f t="shared" si="18"/>
        <v>8592956</v>
      </c>
      <c r="BK109" s="69">
        <f t="shared" si="15"/>
        <v>3882000</v>
      </c>
      <c r="BL109" s="21" t="str">
        <f t="shared" si="20"/>
        <v/>
      </c>
      <c r="BM109" s="7">
        <f t="shared" si="19"/>
        <v>2.6870245763560015E-2</v>
      </c>
      <c r="BN109" s="69">
        <f>INT(BJ109*升级节奏!G109+BK109)</f>
        <v>144472069</v>
      </c>
      <c r="BO109" s="7">
        <f t="shared" si="14"/>
        <v>476</v>
      </c>
      <c r="BP109" s="7"/>
    </row>
    <row r="110" spans="1:68">
      <c r="A110" s="29">
        <v>108</v>
      </c>
      <c r="B110" s="84">
        <f>升级节奏!C110</f>
        <v>43200</v>
      </c>
      <c r="C110" s="53">
        <f>IF(VLOOKUP(C$2,行为概览!$D$3:$J$33,7,0)="","",VLOOKUP(C$2,行为概览!$D$3:$J$33,7,0))</f>
        <v>50</v>
      </c>
      <c r="D110" s="53">
        <f>IF(VLOOKUP(D$2,行为概览!$D$3:$J$33,7,0)="","",VLOOKUP(D$2,行为概览!$D$3:$J$33,7,0))</f>
        <v>3.3</v>
      </c>
      <c r="E110" s="53">
        <f>IF(VLOOKUP(E$2,行为概览!$D$3:$J$33,7,0)="","",VLOOKUP(E$2,行为概览!$D$3:$J$33,7,0))</f>
        <v>30</v>
      </c>
      <c r="F110" s="53">
        <f>IF(VLOOKUP(F$2,行为概览!$D$3:$J$33,7,0)="","",VLOOKUP(F$2,行为概览!$D$3:$J$33,7,0))</f>
        <v>15</v>
      </c>
      <c r="G110" s="53" t="str">
        <f>IF(VLOOKUP(G$2,行为概览!$D$3:$J$33,7,0)="","",VLOOKUP(G$2,行为概览!$D$3:$J$33,7,0))</f>
        <v/>
      </c>
      <c r="H110" s="53" t="str">
        <f>IF(VLOOKUP(H$2,行为概览!$D$3:$J$33,7,0)="","",VLOOKUP(H$2,行为概览!$D$3:$J$33,7,0))</f>
        <v/>
      </c>
      <c r="I110" s="53" t="str">
        <f>IF(VLOOKUP(I$2,行为概览!$D$3:$J$33,7,0)="","",VLOOKUP(I$2,行为概览!$D$3:$J$33,7,0))</f>
        <v/>
      </c>
      <c r="J110" s="53" t="str">
        <f>IF(VLOOKUP(J$2,行为概览!$D$3:$J$33,7,0)="","",VLOOKUP(J$2,行为概览!$D$3:$J$33,7,0))</f>
        <v/>
      </c>
      <c r="K110" s="53">
        <f>IF(VLOOKUP(K$2,行为概览!$D$3:$J$33,7,0)="","",VLOOKUP(K$2,行为概览!$D$3:$J$33,7,0))</f>
        <v>20</v>
      </c>
      <c r="L110" s="53">
        <f>IF(VLOOKUP(L$2,行为概览!$D$3:$J$33,7,0)="","",VLOOKUP(L$2,行为概览!$D$3:$J$33,7,0))</f>
        <v>20</v>
      </c>
      <c r="M110" s="53">
        <f>IF(VLOOKUP(M$2,行为概览!$D$3:$J$33,7,0)="","",VLOOKUP(M$2,行为概览!$D$3:$J$33,7,0))</f>
        <v>40</v>
      </c>
      <c r="N110" s="53">
        <f>IF(VLOOKUP(N$2,行为概览!$D$3:$J$33,7,0)="","",VLOOKUP(N$2,行为概览!$D$3:$J$33,7,0))</f>
        <v>1</v>
      </c>
      <c r="O110" s="53">
        <f>IF(VLOOKUP(O$2,行为概览!$D$3:$J$33,7,0)="","",VLOOKUP(O$2,行为概览!$D$3:$J$33,7,0))</f>
        <v>150</v>
      </c>
      <c r="P110" s="53">
        <f>IF(VLOOKUP(P$2,行为概览!$D$3:$J$33,7,0)="","",VLOOKUP(P$2,行为概览!$D$3:$J$33,7,0))</f>
        <v>10</v>
      </c>
      <c r="Q110" s="53">
        <f>IF(VLOOKUP(Q$2,行为概览!$D$3:$J$33,7,0)="","",VLOOKUP(Q$2,行为概览!$D$3:$J$33,7,0))</f>
        <v>20</v>
      </c>
      <c r="R110" s="53">
        <f>IF(VLOOKUP(R$2,行为概览!$D$3:$J$33,7,0)="","",VLOOKUP(R$2,行为概览!$D$3:$J$33,7,0))</f>
        <v>6</v>
      </c>
      <c r="S110" s="53">
        <f>IF(VLOOKUP(S$2,行为概览!$D$3:$J$33,7,0)="","",VLOOKUP(S$2,行为概览!$D$3:$J$33,7,0))</f>
        <v>20</v>
      </c>
      <c r="T110" s="53">
        <f>IF(VLOOKUP(T$2,行为概览!$D$3:$J$33,7,0)="","",VLOOKUP(T$2,行为概览!$D$3:$J$33,7,0))</f>
        <v>15</v>
      </c>
      <c r="U110" s="53">
        <f>IF(VLOOKUP(U$2,行为概览!$D$3:$J$33,7,0)="","",VLOOKUP(U$2,行为概览!$D$3:$J$33,7,0))</f>
        <v>15</v>
      </c>
      <c r="V110" s="53">
        <f>IF(VLOOKUP(V$2,行为概览!$D$3:$J$33,7,0)="","",VLOOKUP(V$2,行为概览!$D$3:$J$33,7,0))</f>
        <v>40</v>
      </c>
      <c r="W110" s="53">
        <f>IF(VLOOKUP(W$2,行为概览!$D$3:$J$33,7,0)="","",VLOOKUP(W$2,行为概览!$D$3:$J$33,7,0))</f>
        <v>15</v>
      </c>
      <c r="X110" s="53">
        <f>IF(VLOOKUP(X$2,行为概览!$D$3:$J$33,7,0)="","",VLOOKUP(X$2,行为概览!$D$3:$J$33,7,0))</f>
        <v>30</v>
      </c>
      <c r="Y110" s="53">
        <f>IF(VLOOKUP(Y$2,行为概览!$D$3:$J$33,7,0)="","",VLOOKUP(Y$2,行为概览!$D$3:$J$33,7,0))</f>
        <v>25</v>
      </c>
      <c r="Z110" s="53">
        <f>IF(VLOOKUP(Z$2,行为概览!$D$3:$J$33,7,0)="","",VLOOKUP(Z$2,行为概览!$D$3:$J$33,7,0))</f>
        <v>15</v>
      </c>
      <c r="AA110" s="53">
        <f>IF(VLOOKUP(AA$2,行为概览!$D$3:$J$33,7,0)="","",VLOOKUP(AA$2,行为概览!$D$3:$J$33,7,0))</f>
        <v>15</v>
      </c>
      <c r="AB110" s="53" t="str">
        <f>IF(VLOOKUP(AB$2,行为概览!$D$3:$J$33,7,0)="","",VLOOKUP(AB$2,行为概览!$D$3:$J$33,7,0))</f>
        <v/>
      </c>
      <c r="AC110" s="53" t="str">
        <f>IF(VLOOKUP(AC$2,行为概览!$D$3:$J$33,7,0)="","",VLOOKUP(AC$2,行为概览!$D$3:$J$33,7,0))</f>
        <v/>
      </c>
      <c r="AD110" s="53" t="str">
        <f>IF(VLOOKUP(AD$2,行为概览!$D$3:$J$33,7,0)="","",VLOOKUP(AD$2,行为概览!$D$3:$J$33,7,0))</f>
        <v/>
      </c>
      <c r="AE110" s="68" t="str">
        <f>IF(VLOOKUP(AE$2,行为概览!$D$3:$J$33,7,0)="","",VLOOKUP(AE$2,行为概览!$D$3:$J$33,7,0))</f>
        <v/>
      </c>
      <c r="AF110" s="1">
        <f>IF(C110="","",ROUND(C110*玩法行为规划!B110,2))</f>
        <v>16.670000000000002</v>
      </c>
      <c r="AG110" s="2">
        <f>IF(D110="","",ROUND(D110*玩法行为规划!C110,2))</f>
        <v>6.6</v>
      </c>
      <c r="AH110" s="2">
        <f>IF(E110="","",ROUND(E110*玩法行为规划!D110,2))</f>
        <v>2.5</v>
      </c>
      <c r="AI110" s="2">
        <f>IF(F110="","",ROUND(F110*玩法行为规划!E110,2))</f>
        <v>15</v>
      </c>
      <c r="AJ110" s="2" t="str">
        <f>IF(G110="","",ROUND(G110*玩法行为规划!F110,2))</f>
        <v/>
      </c>
      <c r="AK110" s="2" t="str">
        <f>IF(H110="","",ROUND(H110*玩法行为规划!G110,2))</f>
        <v/>
      </c>
      <c r="AL110" s="2" t="str">
        <f>IF(I110="","",ROUND(I110*玩法行为规划!H110,2))</f>
        <v/>
      </c>
      <c r="AM110" s="2" t="str">
        <f>IF(J110="","",ROUND(J110*玩法行为规划!I110,2))</f>
        <v/>
      </c>
      <c r="AN110" s="2">
        <f>IF(K110="","",ROUND(K110*玩法行为规划!J110,2))</f>
        <v>10</v>
      </c>
      <c r="AO110" s="2">
        <f>IF(L110="","",ROUND(L110*玩法行为规划!K110,2))</f>
        <v>3.33</v>
      </c>
      <c r="AP110" s="2">
        <f>IF(M110="","",ROUND(M110*玩法行为规划!L110,2))</f>
        <v>20</v>
      </c>
      <c r="AQ110" s="2">
        <f>IF(N110="","",ROUND(N110*玩法行为规划!M110,2))</f>
        <v>12</v>
      </c>
      <c r="AR110" s="2">
        <f>IF(O110="","",ROUND(O110*玩法行为规划!N110,2))</f>
        <v>12.5</v>
      </c>
      <c r="AS110" s="2">
        <f>IF(P110="","",ROUND(P110*玩法行为规划!O110,2))</f>
        <v>0.83</v>
      </c>
      <c r="AT110" s="2">
        <f>IF(Q110="","",ROUND(Q110*玩法行为规划!P110,2))</f>
        <v>52</v>
      </c>
      <c r="AU110" s="2">
        <f>IF(R110="","",ROUND(R110*玩法行为规划!Q110,2))</f>
        <v>6</v>
      </c>
      <c r="AV110" s="2">
        <f>IF(S110="","",ROUND(S110*玩法行为规划!R110,2))</f>
        <v>6.67</v>
      </c>
      <c r="AW110" s="2">
        <f>IF(T110="","",ROUND(T110*玩法行为规划!S110,2))</f>
        <v>0</v>
      </c>
      <c r="AX110" s="2">
        <f>IF(U110="","",ROUND(U110*玩法行为规划!T110,2))</f>
        <v>5</v>
      </c>
      <c r="AY110" s="2">
        <f>IF(V110="","",ROUND(V110*玩法行为规划!U110,2))</f>
        <v>6.67</v>
      </c>
      <c r="AZ110" s="2">
        <f>IF(W110="","",ROUND(W110*玩法行为规划!V110,2))</f>
        <v>2.5</v>
      </c>
      <c r="BA110" s="2">
        <f>IF(X110="","",ROUND(X110*玩法行为规划!W110,2))</f>
        <v>5</v>
      </c>
      <c r="BB110" s="2">
        <f>IF(Y110="","",ROUND(Y110*玩法行为规划!X110,2))</f>
        <v>6.25</v>
      </c>
      <c r="BC110" s="2">
        <f>IF(Z110="","",ROUND(Z110*玩法行为规划!Y110,2))</f>
        <v>8.75</v>
      </c>
      <c r="BD110" s="2">
        <f>IF(AA110="","",ROUND(AA110*玩法行为规划!Z110,2))</f>
        <v>2.5</v>
      </c>
      <c r="BE110" s="2" t="str">
        <f>IF(AB110="","",ROUND(AB110*玩法行为规划!AA110,2))</f>
        <v/>
      </c>
      <c r="BF110" s="2" t="str">
        <f>IF(AC110="","",ROUND(AC110*玩法行为规划!AB110,2))</f>
        <v/>
      </c>
      <c r="BG110" s="2" t="str">
        <f>IF(AD110="","",ROUND(AD110*玩法行为规划!AC110,2))</f>
        <v/>
      </c>
      <c r="BH110" s="3" t="str">
        <f>IF(AE110="","",ROUND(AE110*玩法行为规划!AD110,2))</f>
        <v/>
      </c>
      <c r="BI110" s="7">
        <f t="shared" si="17"/>
        <v>200.76999999999998</v>
      </c>
      <c r="BJ110" s="7">
        <f t="shared" si="18"/>
        <v>8673264</v>
      </c>
      <c r="BK110" s="69">
        <f t="shared" si="15"/>
        <v>3965800</v>
      </c>
      <c r="BL110" s="21" t="str">
        <f t="shared" si="20"/>
        <v/>
      </c>
      <c r="BM110" s="7">
        <f t="shared" si="19"/>
        <v>2.6703651270811129E-2</v>
      </c>
      <c r="BN110" s="69">
        <f>INT(BJ110*升级节奏!G110+BK110)</f>
        <v>148511526</v>
      </c>
      <c r="BO110" s="7">
        <f t="shared" si="14"/>
        <v>480</v>
      </c>
      <c r="BP110" s="7"/>
    </row>
    <row r="111" spans="1:68">
      <c r="A111" s="29">
        <v>109</v>
      </c>
      <c r="B111" s="84">
        <f>升级节奏!C111</f>
        <v>43600</v>
      </c>
      <c r="C111" s="53">
        <f>IF(VLOOKUP(C$2,行为概览!$D$3:$J$33,7,0)="","",VLOOKUP(C$2,行为概览!$D$3:$J$33,7,0))</f>
        <v>50</v>
      </c>
      <c r="D111" s="53">
        <f>IF(VLOOKUP(D$2,行为概览!$D$3:$J$33,7,0)="","",VLOOKUP(D$2,行为概览!$D$3:$J$33,7,0))</f>
        <v>3.3</v>
      </c>
      <c r="E111" s="53">
        <f>IF(VLOOKUP(E$2,行为概览!$D$3:$J$33,7,0)="","",VLOOKUP(E$2,行为概览!$D$3:$J$33,7,0))</f>
        <v>30</v>
      </c>
      <c r="F111" s="53">
        <f>IF(VLOOKUP(F$2,行为概览!$D$3:$J$33,7,0)="","",VLOOKUP(F$2,行为概览!$D$3:$J$33,7,0))</f>
        <v>15</v>
      </c>
      <c r="G111" s="53" t="str">
        <f>IF(VLOOKUP(G$2,行为概览!$D$3:$J$33,7,0)="","",VLOOKUP(G$2,行为概览!$D$3:$J$33,7,0))</f>
        <v/>
      </c>
      <c r="H111" s="53" t="str">
        <f>IF(VLOOKUP(H$2,行为概览!$D$3:$J$33,7,0)="","",VLOOKUP(H$2,行为概览!$D$3:$J$33,7,0))</f>
        <v/>
      </c>
      <c r="I111" s="53" t="str">
        <f>IF(VLOOKUP(I$2,行为概览!$D$3:$J$33,7,0)="","",VLOOKUP(I$2,行为概览!$D$3:$J$33,7,0))</f>
        <v/>
      </c>
      <c r="J111" s="53" t="str">
        <f>IF(VLOOKUP(J$2,行为概览!$D$3:$J$33,7,0)="","",VLOOKUP(J$2,行为概览!$D$3:$J$33,7,0))</f>
        <v/>
      </c>
      <c r="K111" s="53">
        <f>IF(VLOOKUP(K$2,行为概览!$D$3:$J$33,7,0)="","",VLOOKUP(K$2,行为概览!$D$3:$J$33,7,0))</f>
        <v>20</v>
      </c>
      <c r="L111" s="53">
        <f>IF(VLOOKUP(L$2,行为概览!$D$3:$J$33,7,0)="","",VLOOKUP(L$2,行为概览!$D$3:$J$33,7,0))</f>
        <v>20</v>
      </c>
      <c r="M111" s="53">
        <f>IF(VLOOKUP(M$2,行为概览!$D$3:$J$33,7,0)="","",VLOOKUP(M$2,行为概览!$D$3:$J$33,7,0))</f>
        <v>40</v>
      </c>
      <c r="N111" s="53">
        <f>IF(VLOOKUP(N$2,行为概览!$D$3:$J$33,7,0)="","",VLOOKUP(N$2,行为概览!$D$3:$J$33,7,0))</f>
        <v>1</v>
      </c>
      <c r="O111" s="53">
        <f>IF(VLOOKUP(O$2,行为概览!$D$3:$J$33,7,0)="","",VLOOKUP(O$2,行为概览!$D$3:$J$33,7,0))</f>
        <v>150</v>
      </c>
      <c r="P111" s="53">
        <f>IF(VLOOKUP(P$2,行为概览!$D$3:$J$33,7,0)="","",VLOOKUP(P$2,行为概览!$D$3:$J$33,7,0))</f>
        <v>10</v>
      </c>
      <c r="Q111" s="53">
        <f>IF(VLOOKUP(Q$2,行为概览!$D$3:$J$33,7,0)="","",VLOOKUP(Q$2,行为概览!$D$3:$J$33,7,0))</f>
        <v>20</v>
      </c>
      <c r="R111" s="53">
        <f>IF(VLOOKUP(R$2,行为概览!$D$3:$J$33,7,0)="","",VLOOKUP(R$2,行为概览!$D$3:$J$33,7,0))</f>
        <v>6</v>
      </c>
      <c r="S111" s="53">
        <f>IF(VLOOKUP(S$2,行为概览!$D$3:$J$33,7,0)="","",VLOOKUP(S$2,行为概览!$D$3:$J$33,7,0))</f>
        <v>20</v>
      </c>
      <c r="T111" s="53">
        <f>IF(VLOOKUP(T$2,行为概览!$D$3:$J$33,7,0)="","",VLOOKUP(T$2,行为概览!$D$3:$J$33,7,0))</f>
        <v>15</v>
      </c>
      <c r="U111" s="53">
        <f>IF(VLOOKUP(U$2,行为概览!$D$3:$J$33,7,0)="","",VLOOKUP(U$2,行为概览!$D$3:$J$33,7,0))</f>
        <v>15</v>
      </c>
      <c r="V111" s="53">
        <f>IF(VLOOKUP(V$2,行为概览!$D$3:$J$33,7,0)="","",VLOOKUP(V$2,行为概览!$D$3:$J$33,7,0))</f>
        <v>40</v>
      </c>
      <c r="W111" s="53">
        <f>IF(VLOOKUP(W$2,行为概览!$D$3:$J$33,7,0)="","",VLOOKUP(W$2,行为概览!$D$3:$J$33,7,0))</f>
        <v>15</v>
      </c>
      <c r="X111" s="53">
        <f>IF(VLOOKUP(X$2,行为概览!$D$3:$J$33,7,0)="","",VLOOKUP(X$2,行为概览!$D$3:$J$33,7,0))</f>
        <v>30</v>
      </c>
      <c r="Y111" s="53">
        <f>IF(VLOOKUP(Y$2,行为概览!$D$3:$J$33,7,0)="","",VLOOKUP(Y$2,行为概览!$D$3:$J$33,7,0))</f>
        <v>25</v>
      </c>
      <c r="Z111" s="53">
        <f>IF(VLOOKUP(Z$2,行为概览!$D$3:$J$33,7,0)="","",VLOOKUP(Z$2,行为概览!$D$3:$J$33,7,0))</f>
        <v>15</v>
      </c>
      <c r="AA111" s="53">
        <f>IF(VLOOKUP(AA$2,行为概览!$D$3:$J$33,7,0)="","",VLOOKUP(AA$2,行为概览!$D$3:$J$33,7,0))</f>
        <v>15</v>
      </c>
      <c r="AB111" s="53" t="str">
        <f>IF(VLOOKUP(AB$2,行为概览!$D$3:$J$33,7,0)="","",VLOOKUP(AB$2,行为概览!$D$3:$J$33,7,0))</f>
        <v/>
      </c>
      <c r="AC111" s="53" t="str">
        <f>IF(VLOOKUP(AC$2,行为概览!$D$3:$J$33,7,0)="","",VLOOKUP(AC$2,行为概览!$D$3:$J$33,7,0))</f>
        <v/>
      </c>
      <c r="AD111" s="53" t="str">
        <f>IF(VLOOKUP(AD$2,行为概览!$D$3:$J$33,7,0)="","",VLOOKUP(AD$2,行为概览!$D$3:$J$33,7,0))</f>
        <v/>
      </c>
      <c r="AE111" s="68" t="str">
        <f>IF(VLOOKUP(AE$2,行为概览!$D$3:$J$33,7,0)="","",VLOOKUP(AE$2,行为概览!$D$3:$J$33,7,0))</f>
        <v/>
      </c>
      <c r="AF111" s="1">
        <f>IF(C111="","",ROUND(C111*玩法行为规划!B111,2))</f>
        <v>16.670000000000002</v>
      </c>
      <c r="AG111" s="2">
        <f>IF(D111="","",ROUND(D111*玩法行为规划!C111,2))</f>
        <v>6.6</v>
      </c>
      <c r="AH111" s="2">
        <f>IF(E111="","",ROUND(E111*玩法行为规划!D111,2))</f>
        <v>2.5</v>
      </c>
      <c r="AI111" s="2">
        <f>IF(F111="","",ROUND(F111*玩法行为规划!E111,2))</f>
        <v>15</v>
      </c>
      <c r="AJ111" s="2" t="str">
        <f>IF(G111="","",ROUND(G111*玩法行为规划!F111,2))</f>
        <v/>
      </c>
      <c r="AK111" s="2" t="str">
        <f>IF(H111="","",ROUND(H111*玩法行为规划!G111,2))</f>
        <v/>
      </c>
      <c r="AL111" s="2" t="str">
        <f>IF(I111="","",ROUND(I111*玩法行为规划!H111,2))</f>
        <v/>
      </c>
      <c r="AM111" s="2" t="str">
        <f>IF(J111="","",ROUND(J111*玩法行为规划!I111,2))</f>
        <v/>
      </c>
      <c r="AN111" s="2">
        <f>IF(K111="","",ROUND(K111*玩法行为规划!J111,2))</f>
        <v>10</v>
      </c>
      <c r="AO111" s="2">
        <f>IF(L111="","",ROUND(L111*玩法行为规划!K111,2))</f>
        <v>3.33</v>
      </c>
      <c r="AP111" s="2">
        <f>IF(M111="","",ROUND(M111*玩法行为规划!L111,2))</f>
        <v>20</v>
      </c>
      <c r="AQ111" s="2">
        <f>IF(N111="","",ROUND(N111*玩法行为规划!M111,2))</f>
        <v>12</v>
      </c>
      <c r="AR111" s="2">
        <f>IF(O111="","",ROUND(O111*玩法行为规划!N111,2))</f>
        <v>12.5</v>
      </c>
      <c r="AS111" s="2">
        <f>IF(P111="","",ROUND(P111*玩法行为规划!O111,2))</f>
        <v>0.83</v>
      </c>
      <c r="AT111" s="2">
        <f>IF(Q111="","",ROUND(Q111*玩法行为规划!P111,2))</f>
        <v>52</v>
      </c>
      <c r="AU111" s="2">
        <f>IF(R111="","",ROUND(R111*玩法行为规划!Q111,2))</f>
        <v>6</v>
      </c>
      <c r="AV111" s="2">
        <f>IF(S111="","",ROUND(S111*玩法行为规划!R111,2))</f>
        <v>6.67</v>
      </c>
      <c r="AW111" s="2">
        <f>IF(T111="","",ROUND(T111*玩法行为规划!S111,2))</f>
        <v>0</v>
      </c>
      <c r="AX111" s="2">
        <f>IF(U111="","",ROUND(U111*玩法行为规划!T111,2))</f>
        <v>5</v>
      </c>
      <c r="AY111" s="2">
        <f>IF(V111="","",ROUND(V111*玩法行为规划!U111,2))</f>
        <v>6.67</v>
      </c>
      <c r="AZ111" s="2">
        <f>IF(W111="","",ROUND(W111*玩法行为规划!V111,2))</f>
        <v>2.5</v>
      </c>
      <c r="BA111" s="2">
        <f>IF(X111="","",ROUND(X111*玩法行为规划!W111,2))</f>
        <v>5</v>
      </c>
      <c r="BB111" s="2">
        <f>IF(Y111="","",ROUND(Y111*玩法行为规划!X111,2))</f>
        <v>6.25</v>
      </c>
      <c r="BC111" s="2">
        <f>IF(Z111="","",ROUND(Z111*玩法行为规划!Y111,2))</f>
        <v>8.75</v>
      </c>
      <c r="BD111" s="2">
        <f>IF(AA111="","",ROUND(AA111*玩法行为规划!Z111,2))</f>
        <v>2.5</v>
      </c>
      <c r="BE111" s="2" t="str">
        <f>IF(AB111="","",ROUND(AB111*玩法行为规划!AA111,2))</f>
        <v/>
      </c>
      <c r="BF111" s="2" t="str">
        <f>IF(AC111="","",ROUND(AC111*玩法行为规划!AB111,2))</f>
        <v/>
      </c>
      <c r="BG111" s="2" t="str">
        <f>IF(AD111="","",ROUND(AD111*玩法行为规划!AC111,2))</f>
        <v/>
      </c>
      <c r="BH111" s="3" t="str">
        <f>IF(AE111="","",ROUND(AE111*玩法行为规划!AD111,2))</f>
        <v/>
      </c>
      <c r="BI111" s="7">
        <f t="shared" si="17"/>
        <v>200.76999999999998</v>
      </c>
      <c r="BJ111" s="7">
        <f t="shared" si="18"/>
        <v>8753572</v>
      </c>
      <c r="BK111" s="69">
        <f t="shared" si="15"/>
        <v>4050400</v>
      </c>
      <c r="BL111" s="21" t="str">
        <f t="shared" si="20"/>
        <v/>
      </c>
      <c r="BM111" s="7">
        <f t="shared" si="19"/>
        <v>2.6538159182003571E-2</v>
      </c>
      <c r="BN111" s="69">
        <f>INT(BJ111*升级节奏!G111+BK111)</f>
        <v>152625507</v>
      </c>
      <c r="BO111" s="7">
        <f t="shared" si="14"/>
        <v>484</v>
      </c>
      <c r="BP111" s="7"/>
    </row>
    <row r="112" spans="1:68">
      <c r="A112" s="29">
        <v>110</v>
      </c>
      <c r="B112" s="84">
        <f>升级节奏!C112</f>
        <v>44000</v>
      </c>
      <c r="C112" s="53">
        <f>IF(VLOOKUP(C$2,行为概览!$D$3:$J$33,7,0)="","",VLOOKUP(C$2,行为概览!$D$3:$J$33,7,0))</f>
        <v>50</v>
      </c>
      <c r="D112" s="53">
        <f>IF(VLOOKUP(D$2,行为概览!$D$3:$J$33,7,0)="","",VLOOKUP(D$2,行为概览!$D$3:$J$33,7,0))</f>
        <v>3.3</v>
      </c>
      <c r="E112" s="53">
        <f>IF(VLOOKUP(E$2,行为概览!$D$3:$J$33,7,0)="","",VLOOKUP(E$2,行为概览!$D$3:$J$33,7,0))</f>
        <v>30</v>
      </c>
      <c r="F112" s="53">
        <f>IF(VLOOKUP(F$2,行为概览!$D$3:$J$33,7,0)="","",VLOOKUP(F$2,行为概览!$D$3:$J$33,7,0))</f>
        <v>15</v>
      </c>
      <c r="G112" s="53" t="str">
        <f>IF(VLOOKUP(G$2,行为概览!$D$3:$J$33,7,0)="","",VLOOKUP(G$2,行为概览!$D$3:$J$33,7,0))</f>
        <v/>
      </c>
      <c r="H112" s="53" t="str">
        <f>IF(VLOOKUP(H$2,行为概览!$D$3:$J$33,7,0)="","",VLOOKUP(H$2,行为概览!$D$3:$J$33,7,0))</f>
        <v/>
      </c>
      <c r="I112" s="53" t="str">
        <f>IF(VLOOKUP(I$2,行为概览!$D$3:$J$33,7,0)="","",VLOOKUP(I$2,行为概览!$D$3:$J$33,7,0))</f>
        <v/>
      </c>
      <c r="J112" s="53" t="str">
        <f>IF(VLOOKUP(J$2,行为概览!$D$3:$J$33,7,0)="","",VLOOKUP(J$2,行为概览!$D$3:$J$33,7,0))</f>
        <v/>
      </c>
      <c r="K112" s="53">
        <f>IF(VLOOKUP(K$2,行为概览!$D$3:$J$33,7,0)="","",VLOOKUP(K$2,行为概览!$D$3:$J$33,7,0))</f>
        <v>20</v>
      </c>
      <c r="L112" s="53">
        <f>IF(VLOOKUP(L$2,行为概览!$D$3:$J$33,7,0)="","",VLOOKUP(L$2,行为概览!$D$3:$J$33,7,0))</f>
        <v>20</v>
      </c>
      <c r="M112" s="53">
        <f>IF(VLOOKUP(M$2,行为概览!$D$3:$J$33,7,0)="","",VLOOKUP(M$2,行为概览!$D$3:$J$33,7,0))</f>
        <v>40</v>
      </c>
      <c r="N112" s="53">
        <f>IF(VLOOKUP(N$2,行为概览!$D$3:$J$33,7,0)="","",VLOOKUP(N$2,行为概览!$D$3:$J$33,7,0))</f>
        <v>1</v>
      </c>
      <c r="O112" s="53">
        <f>IF(VLOOKUP(O$2,行为概览!$D$3:$J$33,7,0)="","",VLOOKUP(O$2,行为概览!$D$3:$J$33,7,0))</f>
        <v>150</v>
      </c>
      <c r="P112" s="53">
        <f>IF(VLOOKUP(P$2,行为概览!$D$3:$J$33,7,0)="","",VLOOKUP(P$2,行为概览!$D$3:$J$33,7,0))</f>
        <v>10</v>
      </c>
      <c r="Q112" s="53">
        <f>IF(VLOOKUP(Q$2,行为概览!$D$3:$J$33,7,0)="","",VLOOKUP(Q$2,行为概览!$D$3:$J$33,7,0))</f>
        <v>20</v>
      </c>
      <c r="R112" s="53">
        <f>IF(VLOOKUP(R$2,行为概览!$D$3:$J$33,7,0)="","",VLOOKUP(R$2,行为概览!$D$3:$J$33,7,0))</f>
        <v>6</v>
      </c>
      <c r="S112" s="53">
        <f>IF(VLOOKUP(S$2,行为概览!$D$3:$J$33,7,0)="","",VLOOKUP(S$2,行为概览!$D$3:$J$33,7,0))</f>
        <v>20</v>
      </c>
      <c r="T112" s="53">
        <f>IF(VLOOKUP(T$2,行为概览!$D$3:$J$33,7,0)="","",VLOOKUP(T$2,行为概览!$D$3:$J$33,7,0))</f>
        <v>15</v>
      </c>
      <c r="U112" s="53">
        <f>IF(VLOOKUP(U$2,行为概览!$D$3:$J$33,7,0)="","",VLOOKUP(U$2,行为概览!$D$3:$J$33,7,0))</f>
        <v>15</v>
      </c>
      <c r="V112" s="53">
        <f>IF(VLOOKUP(V$2,行为概览!$D$3:$J$33,7,0)="","",VLOOKUP(V$2,行为概览!$D$3:$J$33,7,0))</f>
        <v>40</v>
      </c>
      <c r="W112" s="53">
        <f>IF(VLOOKUP(W$2,行为概览!$D$3:$J$33,7,0)="","",VLOOKUP(W$2,行为概览!$D$3:$J$33,7,0))</f>
        <v>15</v>
      </c>
      <c r="X112" s="53">
        <f>IF(VLOOKUP(X$2,行为概览!$D$3:$J$33,7,0)="","",VLOOKUP(X$2,行为概览!$D$3:$J$33,7,0))</f>
        <v>30</v>
      </c>
      <c r="Y112" s="53">
        <f>IF(VLOOKUP(Y$2,行为概览!$D$3:$J$33,7,0)="","",VLOOKUP(Y$2,行为概览!$D$3:$J$33,7,0))</f>
        <v>25</v>
      </c>
      <c r="Z112" s="53">
        <f>IF(VLOOKUP(Z$2,行为概览!$D$3:$J$33,7,0)="","",VLOOKUP(Z$2,行为概览!$D$3:$J$33,7,0))</f>
        <v>15</v>
      </c>
      <c r="AA112" s="53">
        <f>IF(VLOOKUP(AA$2,行为概览!$D$3:$J$33,7,0)="","",VLOOKUP(AA$2,行为概览!$D$3:$J$33,7,0))</f>
        <v>15</v>
      </c>
      <c r="AB112" s="53" t="str">
        <f>IF(VLOOKUP(AB$2,行为概览!$D$3:$J$33,7,0)="","",VLOOKUP(AB$2,行为概览!$D$3:$J$33,7,0))</f>
        <v/>
      </c>
      <c r="AC112" s="53" t="str">
        <f>IF(VLOOKUP(AC$2,行为概览!$D$3:$J$33,7,0)="","",VLOOKUP(AC$2,行为概览!$D$3:$J$33,7,0))</f>
        <v/>
      </c>
      <c r="AD112" s="53" t="str">
        <f>IF(VLOOKUP(AD$2,行为概览!$D$3:$J$33,7,0)="","",VLOOKUP(AD$2,行为概览!$D$3:$J$33,7,0))</f>
        <v/>
      </c>
      <c r="AE112" s="68" t="str">
        <f>IF(VLOOKUP(AE$2,行为概览!$D$3:$J$33,7,0)="","",VLOOKUP(AE$2,行为概览!$D$3:$J$33,7,0))</f>
        <v/>
      </c>
      <c r="AF112" s="1">
        <f>IF(C112="","",ROUND(C112*玩法行为规划!B112,2))</f>
        <v>16.670000000000002</v>
      </c>
      <c r="AG112" s="2">
        <f>IF(D112="","",ROUND(D112*玩法行为规划!C112,2))</f>
        <v>6.6</v>
      </c>
      <c r="AH112" s="2">
        <f>IF(E112="","",ROUND(E112*玩法行为规划!D112,2))</f>
        <v>2.5</v>
      </c>
      <c r="AI112" s="2">
        <f>IF(F112="","",ROUND(F112*玩法行为规划!E112,2))</f>
        <v>15</v>
      </c>
      <c r="AJ112" s="2" t="str">
        <f>IF(G112="","",ROUND(G112*玩法行为规划!F112,2))</f>
        <v/>
      </c>
      <c r="AK112" s="2" t="str">
        <f>IF(H112="","",ROUND(H112*玩法行为规划!G112,2))</f>
        <v/>
      </c>
      <c r="AL112" s="2" t="str">
        <f>IF(I112="","",ROUND(I112*玩法行为规划!H112,2))</f>
        <v/>
      </c>
      <c r="AM112" s="2" t="str">
        <f>IF(J112="","",ROUND(J112*玩法行为规划!I112,2))</f>
        <v/>
      </c>
      <c r="AN112" s="2">
        <f>IF(K112="","",ROUND(K112*玩法行为规划!J112,2))</f>
        <v>10</v>
      </c>
      <c r="AO112" s="2">
        <f>IF(L112="","",ROUND(L112*玩法行为规划!K112,2))</f>
        <v>3.33</v>
      </c>
      <c r="AP112" s="2">
        <f>IF(M112="","",ROUND(M112*玩法行为规划!L112,2))</f>
        <v>20</v>
      </c>
      <c r="AQ112" s="2">
        <f>IF(N112="","",ROUND(N112*玩法行为规划!M112,2))</f>
        <v>12</v>
      </c>
      <c r="AR112" s="2">
        <f>IF(O112="","",ROUND(O112*玩法行为规划!N112,2))</f>
        <v>12.5</v>
      </c>
      <c r="AS112" s="2">
        <f>IF(P112="","",ROUND(P112*玩法行为规划!O112,2))</f>
        <v>0.83</v>
      </c>
      <c r="AT112" s="2">
        <f>IF(Q112="","",ROUND(Q112*玩法行为规划!P112,2))</f>
        <v>52</v>
      </c>
      <c r="AU112" s="2">
        <f>IF(R112="","",ROUND(R112*玩法行为规划!Q112,2))</f>
        <v>6</v>
      </c>
      <c r="AV112" s="2">
        <f>IF(S112="","",ROUND(S112*玩法行为规划!R112,2))</f>
        <v>6.67</v>
      </c>
      <c r="AW112" s="2">
        <f>IF(T112="","",ROUND(T112*玩法行为规划!S112,2))</f>
        <v>0</v>
      </c>
      <c r="AX112" s="2">
        <f>IF(U112="","",ROUND(U112*玩法行为规划!T112,2))</f>
        <v>5</v>
      </c>
      <c r="AY112" s="2">
        <f>IF(V112="","",ROUND(V112*玩法行为规划!U112,2))</f>
        <v>6.67</v>
      </c>
      <c r="AZ112" s="2">
        <f>IF(W112="","",ROUND(W112*玩法行为规划!V112,2))</f>
        <v>2.5</v>
      </c>
      <c r="BA112" s="2">
        <f>IF(X112="","",ROUND(X112*玩法行为规划!W112,2))</f>
        <v>5</v>
      </c>
      <c r="BB112" s="2">
        <f>IF(Y112="","",ROUND(Y112*玩法行为规划!X112,2))</f>
        <v>6.25</v>
      </c>
      <c r="BC112" s="2">
        <f>IF(Z112="","",ROUND(Z112*玩法行为规划!Y112,2))</f>
        <v>8.75</v>
      </c>
      <c r="BD112" s="2">
        <f>IF(AA112="","",ROUND(AA112*玩法行为规划!Z112,2))</f>
        <v>2.5</v>
      </c>
      <c r="BE112" s="2" t="str">
        <f>IF(AB112="","",ROUND(AB112*玩法行为规划!AA112,2))</f>
        <v/>
      </c>
      <c r="BF112" s="2" t="str">
        <f>IF(AC112="","",ROUND(AC112*玩法行为规划!AB112,2))</f>
        <v/>
      </c>
      <c r="BG112" s="2" t="str">
        <f>IF(AD112="","",ROUND(AD112*玩法行为规划!AC112,2))</f>
        <v/>
      </c>
      <c r="BH112" s="3" t="str">
        <f>IF(AE112="","",ROUND(AE112*玩法行为规划!AD112,2))</f>
        <v/>
      </c>
      <c r="BI112" s="7">
        <f t="shared" si="17"/>
        <v>200.76999999999998</v>
      </c>
      <c r="BJ112" s="7">
        <f t="shared" si="18"/>
        <v>8833880</v>
      </c>
      <c r="BK112" s="69">
        <f t="shared" si="15"/>
        <v>4136000</v>
      </c>
      <c r="BL112" s="21">
        <f t="shared" si="20"/>
        <v>45355400</v>
      </c>
      <c r="BM112" s="7">
        <f t="shared" si="19"/>
        <v>2.6375046063864902E-2</v>
      </c>
      <c r="BN112" s="69">
        <f>INT(BJ112*升级节奏!G112+BK112)</f>
        <v>156814892</v>
      </c>
      <c r="BO112" s="7">
        <f t="shared" si="14"/>
        <v>489</v>
      </c>
      <c r="BP112" s="7"/>
    </row>
    <row r="113" spans="1:68">
      <c r="A113" s="29">
        <v>111</v>
      </c>
      <c r="B113" s="84">
        <f>升级节奏!C113</f>
        <v>44400</v>
      </c>
      <c r="C113" s="53">
        <f>IF(VLOOKUP(C$2,行为概览!$D$3:$J$33,7,0)="","",VLOOKUP(C$2,行为概览!$D$3:$J$33,7,0))</f>
        <v>50</v>
      </c>
      <c r="D113" s="53">
        <f>IF(VLOOKUP(D$2,行为概览!$D$3:$J$33,7,0)="","",VLOOKUP(D$2,行为概览!$D$3:$J$33,7,0))</f>
        <v>3.3</v>
      </c>
      <c r="E113" s="53">
        <f>IF(VLOOKUP(E$2,行为概览!$D$3:$J$33,7,0)="","",VLOOKUP(E$2,行为概览!$D$3:$J$33,7,0))</f>
        <v>30</v>
      </c>
      <c r="F113" s="53">
        <f>IF(VLOOKUP(F$2,行为概览!$D$3:$J$33,7,0)="","",VLOOKUP(F$2,行为概览!$D$3:$J$33,7,0))</f>
        <v>15</v>
      </c>
      <c r="G113" s="53" t="str">
        <f>IF(VLOOKUP(G$2,行为概览!$D$3:$J$33,7,0)="","",VLOOKUP(G$2,行为概览!$D$3:$J$33,7,0))</f>
        <v/>
      </c>
      <c r="H113" s="53" t="str">
        <f>IF(VLOOKUP(H$2,行为概览!$D$3:$J$33,7,0)="","",VLOOKUP(H$2,行为概览!$D$3:$J$33,7,0))</f>
        <v/>
      </c>
      <c r="I113" s="53" t="str">
        <f>IF(VLOOKUP(I$2,行为概览!$D$3:$J$33,7,0)="","",VLOOKUP(I$2,行为概览!$D$3:$J$33,7,0))</f>
        <v/>
      </c>
      <c r="J113" s="53" t="str">
        <f>IF(VLOOKUP(J$2,行为概览!$D$3:$J$33,7,0)="","",VLOOKUP(J$2,行为概览!$D$3:$J$33,7,0))</f>
        <v/>
      </c>
      <c r="K113" s="53">
        <f>IF(VLOOKUP(K$2,行为概览!$D$3:$J$33,7,0)="","",VLOOKUP(K$2,行为概览!$D$3:$J$33,7,0))</f>
        <v>20</v>
      </c>
      <c r="L113" s="53">
        <f>IF(VLOOKUP(L$2,行为概览!$D$3:$J$33,7,0)="","",VLOOKUP(L$2,行为概览!$D$3:$J$33,7,0))</f>
        <v>20</v>
      </c>
      <c r="M113" s="53">
        <f>IF(VLOOKUP(M$2,行为概览!$D$3:$J$33,7,0)="","",VLOOKUP(M$2,行为概览!$D$3:$J$33,7,0))</f>
        <v>40</v>
      </c>
      <c r="N113" s="53">
        <f>IF(VLOOKUP(N$2,行为概览!$D$3:$J$33,7,0)="","",VLOOKUP(N$2,行为概览!$D$3:$J$33,7,0))</f>
        <v>1</v>
      </c>
      <c r="O113" s="53">
        <f>IF(VLOOKUP(O$2,行为概览!$D$3:$J$33,7,0)="","",VLOOKUP(O$2,行为概览!$D$3:$J$33,7,0))</f>
        <v>150</v>
      </c>
      <c r="P113" s="53">
        <f>IF(VLOOKUP(P$2,行为概览!$D$3:$J$33,7,0)="","",VLOOKUP(P$2,行为概览!$D$3:$J$33,7,0))</f>
        <v>10</v>
      </c>
      <c r="Q113" s="53">
        <f>IF(VLOOKUP(Q$2,行为概览!$D$3:$J$33,7,0)="","",VLOOKUP(Q$2,行为概览!$D$3:$J$33,7,0))</f>
        <v>20</v>
      </c>
      <c r="R113" s="53">
        <f>IF(VLOOKUP(R$2,行为概览!$D$3:$J$33,7,0)="","",VLOOKUP(R$2,行为概览!$D$3:$J$33,7,0))</f>
        <v>6</v>
      </c>
      <c r="S113" s="53">
        <f>IF(VLOOKUP(S$2,行为概览!$D$3:$J$33,7,0)="","",VLOOKUP(S$2,行为概览!$D$3:$J$33,7,0))</f>
        <v>20</v>
      </c>
      <c r="T113" s="53">
        <f>IF(VLOOKUP(T$2,行为概览!$D$3:$J$33,7,0)="","",VLOOKUP(T$2,行为概览!$D$3:$J$33,7,0))</f>
        <v>15</v>
      </c>
      <c r="U113" s="53">
        <f>IF(VLOOKUP(U$2,行为概览!$D$3:$J$33,7,0)="","",VLOOKUP(U$2,行为概览!$D$3:$J$33,7,0))</f>
        <v>15</v>
      </c>
      <c r="V113" s="53">
        <f>IF(VLOOKUP(V$2,行为概览!$D$3:$J$33,7,0)="","",VLOOKUP(V$2,行为概览!$D$3:$J$33,7,0))</f>
        <v>40</v>
      </c>
      <c r="W113" s="53">
        <f>IF(VLOOKUP(W$2,行为概览!$D$3:$J$33,7,0)="","",VLOOKUP(W$2,行为概览!$D$3:$J$33,7,0))</f>
        <v>15</v>
      </c>
      <c r="X113" s="53">
        <f>IF(VLOOKUP(X$2,行为概览!$D$3:$J$33,7,0)="","",VLOOKUP(X$2,行为概览!$D$3:$J$33,7,0))</f>
        <v>30</v>
      </c>
      <c r="Y113" s="53">
        <f>IF(VLOOKUP(Y$2,行为概览!$D$3:$J$33,7,0)="","",VLOOKUP(Y$2,行为概览!$D$3:$J$33,7,0))</f>
        <v>25</v>
      </c>
      <c r="Z113" s="53">
        <f>IF(VLOOKUP(Z$2,行为概览!$D$3:$J$33,7,0)="","",VLOOKUP(Z$2,行为概览!$D$3:$J$33,7,0))</f>
        <v>15</v>
      </c>
      <c r="AA113" s="53">
        <f>IF(VLOOKUP(AA$2,行为概览!$D$3:$J$33,7,0)="","",VLOOKUP(AA$2,行为概览!$D$3:$J$33,7,0))</f>
        <v>15</v>
      </c>
      <c r="AB113" s="53" t="str">
        <f>IF(VLOOKUP(AB$2,行为概览!$D$3:$J$33,7,0)="","",VLOOKUP(AB$2,行为概览!$D$3:$J$33,7,0))</f>
        <v/>
      </c>
      <c r="AC113" s="53" t="str">
        <f>IF(VLOOKUP(AC$2,行为概览!$D$3:$J$33,7,0)="","",VLOOKUP(AC$2,行为概览!$D$3:$J$33,7,0))</f>
        <v/>
      </c>
      <c r="AD113" s="53" t="str">
        <f>IF(VLOOKUP(AD$2,行为概览!$D$3:$J$33,7,0)="","",VLOOKUP(AD$2,行为概览!$D$3:$J$33,7,0))</f>
        <v/>
      </c>
      <c r="AE113" s="68" t="str">
        <f>IF(VLOOKUP(AE$2,行为概览!$D$3:$J$33,7,0)="","",VLOOKUP(AE$2,行为概览!$D$3:$J$33,7,0))</f>
        <v/>
      </c>
      <c r="AF113" s="1">
        <f>IF(C113="","",ROUND(C113*玩法行为规划!B113,2))</f>
        <v>16.670000000000002</v>
      </c>
      <c r="AG113" s="2">
        <f>IF(D113="","",ROUND(D113*玩法行为规划!C113,2))</f>
        <v>6.6</v>
      </c>
      <c r="AH113" s="2">
        <f>IF(E113="","",ROUND(E113*玩法行为规划!D113,2))</f>
        <v>2.5</v>
      </c>
      <c r="AI113" s="2">
        <f>IF(F113="","",ROUND(F113*玩法行为规划!E113,2))</f>
        <v>15</v>
      </c>
      <c r="AJ113" s="2" t="str">
        <f>IF(G113="","",ROUND(G113*玩法行为规划!F113,2))</f>
        <v/>
      </c>
      <c r="AK113" s="2" t="str">
        <f>IF(H113="","",ROUND(H113*玩法行为规划!G113,2))</f>
        <v/>
      </c>
      <c r="AL113" s="2" t="str">
        <f>IF(I113="","",ROUND(I113*玩法行为规划!H113,2))</f>
        <v/>
      </c>
      <c r="AM113" s="2" t="str">
        <f>IF(J113="","",ROUND(J113*玩法行为规划!I113,2))</f>
        <v/>
      </c>
      <c r="AN113" s="2">
        <f>IF(K113="","",ROUND(K113*玩法行为规划!J113,2))</f>
        <v>10</v>
      </c>
      <c r="AO113" s="2">
        <f>IF(L113="","",ROUND(L113*玩法行为规划!K113,2))</f>
        <v>3.33</v>
      </c>
      <c r="AP113" s="2">
        <f>IF(M113="","",ROUND(M113*玩法行为规划!L113,2))</f>
        <v>20</v>
      </c>
      <c r="AQ113" s="2">
        <f>IF(N113="","",ROUND(N113*玩法行为规划!M113,2))</f>
        <v>12</v>
      </c>
      <c r="AR113" s="2">
        <f>IF(O113="","",ROUND(O113*玩法行为规划!N113,2))</f>
        <v>12.5</v>
      </c>
      <c r="AS113" s="2">
        <f>IF(P113="","",ROUND(P113*玩法行为规划!O113,2))</f>
        <v>0.83</v>
      </c>
      <c r="AT113" s="2">
        <f>IF(Q113="","",ROUND(Q113*玩法行为规划!P113,2))</f>
        <v>52</v>
      </c>
      <c r="AU113" s="2">
        <f>IF(R113="","",ROUND(R113*玩法行为规划!Q113,2))</f>
        <v>6</v>
      </c>
      <c r="AV113" s="2">
        <f>IF(S113="","",ROUND(S113*玩法行为规划!R113,2))</f>
        <v>6.67</v>
      </c>
      <c r="AW113" s="2">
        <f>IF(T113="","",ROUND(T113*玩法行为规划!S113,2))</f>
        <v>0</v>
      </c>
      <c r="AX113" s="2">
        <f>IF(U113="","",ROUND(U113*玩法行为规划!T113,2))</f>
        <v>5</v>
      </c>
      <c r="AY113" s="2">
        <f>IF(V113="","",ROUND(V113*玩法行为规划!U113,2))</f>
        <v>6.67</v>
      </c>
      <c r="AZ113" s="2">
        <f>IF(W113="","",ROUND(W113*玩法行为规划!V113,2))</f>
        <v>2.5</v>
      </c>
      <c r="BA113" s="2">
        <f>IF(X113="","",ROUND(X113*玩法行为规划!W113,2))</f>
        <v>5</v>
      </c>
      <c r="BB113" s="2">
        <f>IF(Y113="","",ROUND(Y113*玩法行为规划!X113,2))</f>
        <v>6.25</v>
      </c>
      <c r="BC113" s="2">
        <f>IF(Z113="","",ROUND(Z113*玩法行为规划!Y113,2))</f>
        <v>8.75</v>
      </c>
      <c r="BD113" s="2">
        <f>IF(AA113="","",ROUND(AA113*玩法行为规划!Z113,2))</f>
        <v>2.5</v>
      </c>
      <c r="BE113" s="2" t="str">
        <f>IF(AB113="","",ROUND(AB113*玩法行为规划!AA113,2))</f>
        <v/>
      </c>
      <c r="BF113" s="2" t="str">
        <f>IF(AC113="","",ROUND(AC113*玩法行为规划!AB113,2))</f>
        <v/>
      </c>
      <c r="BG113" s="2" t="str">
        <f>IF(AD113="","",ROUND(AD113*玩法行为规划!AC113,2))</f>
        <v/>
      </c>
      <c r="BH113" s="3" t="str">
        <f>IF(AE113="","",ROUND(AE113*玩法行为规划!AD113,2))</f>
        <v/>
      </c>
      <c r="BI113" s="7">
        <f t="shared" si="17"/>
        <v>200.76999999999998</v>
      </c>
      <c r="BJ113" s="7">
        <f t="shared" si="18"/>
        <v>8914188</v>
      </c>
      <c r="BK113" s="69">
        <f t="shared" si="15"/>
        <v>4222400</v>
      </c>
      <c r="BL113" s="21" t="str">
        <f t="shared" si="20"/>
        <v/>
      </c>
      <c r="BM113" s="7">
        <f t="shared" si="19"/>
        <v>2.6213034818948475E-2</v>
      </c>
      <c r="BN113" s="69">
        <f>INT(BJ113*升级节奏!G113+BK113)</f>
        <v>161080166</v>
      </c>
      <c r="BO113" s="7">
        <f t="shared" si="14"/>
        <v>493</v>
      </c>
      <c r="BP113" s="7"/>
    </row>
    <row r="114" spans="1:68">
      <c r="A114" s="29">
        <v>112</v>
      </c>
      <c r="B114" s="84">
        <f>升级节奏!C114</f>
        <v>44800</v>
      </c>
      <c r="C114" s="53">
        <f>IF(VLOOKUP(C$2,行为概览!$D$3:$J$33,7,0)="","",VLOOKUP(C$2,行为概览!$D$3:$J$33,7,0))</f>
        <v>50</v>
      </c>
      <c r="D114" s="53">
        <f>IF(VLOOKUP(D$2,行为概览!$D$3:$J$33,7,0)="","",VLOOKUP(D$2,行为概览!$D$3:$J$33,7,0))</f>
        <v>3.3</v>
      </c>
      <c r="E114" s="53">
        <f>IF(VLOOKUP(E$2,行为概览!$D$3:$J$33,7,0)="","",VLOOKUP(E$2,行为概览!$D$3:$J$33,7,0))</f>
        <v>30</v>
      </c>
      <c r="F114" s="53">
        <f>IF(VLOOKUP(F$2,行为概览!$D$3:$J$33,7,0)="","",VLOOKUP(F$2,行为概览!$D$3:$J$33,7,0))</f>
        <v>15</v>
      </c>
      <c r="G114" s="53" t="str">
        <f>IF(VLOOKUP(G$2,行为概览!$D$3:$J$33,7,0)="","",VLOOKUP(G$2,行为概览!$D$3:$J$33,7,0))</f>
        <v/>
      </c>
      <c r="H114" s="53" t="str">
        <f>IF(VLOOKUP(H$2,行为概览!$D$3:$J$33,7,0)="","",VLOOKUP(H$2,行为概览!$D$3:$J$33,7,0))</f>
        <v/>
      </c>
      <c r="I114" s="53" t="str">
        <f>IF(VLOOKUP(I$2,行为概览!$D$3:$J$33,7,0)="","",VLOOKUP(I$2,行为概览!$D$3:$J$33,7,0))</f>
        <v/>
      </c>
      <c r="J114" s="53" t="str">
        <f>IF(VLOOKUP(J$2,行为概览!$D$3:$J$33,7,0)="","",VLOOKUP(J$2,行为概览!$D$3:$J$33,7,0))</f>
        <v/>
      </c>
      <c r="K114" s="53">
        <f>IF(VLOOKUP(K$2,行为概览!$D$3:$J$33,7,0)="","",VLOOKUP(K$2,行为概览!$D$3:$J$33,7,0))</f>
        <v>20</v>
      </c>
      <c r="L114" s="53">
        <f>IF(VLOOKUP(L$2,行为概览!$D$3:$J$33,7,0)="","",VLOOKUP(L$2,行为概览!$D$3:$J$33,7,0))</f>
        <v>20</v>
      </c>
      <c r="M114" s="53">
        <f>IF(VLOOKUP(M$2,行为概览!$D$3:$J$33,7,0)="","",VLOOKUP(M$2,行为概览!$D$3:$J$33,7,0))</f>
        <v>40</v>
      </c>
      <c r="N114" s="53">
        <f>IF(VLOOKUP(N$2,行为概览!$D$3:$J$33,7,0)="","",VLOOKUP(N$2,行为概览!$D$3:$J$33,7,0))</f>
        <v>1</v>
      </c>
      <c r="O114" s="53">
        <f>IF(VLOOKUP(O$2,行为概览!$D$3:$J$33,7,0)="","",VLOOKUP(O$2,行为概览!$D$3:$J$33,7,0))</f>
        <v>150</v>
      </c>
      <c r="P114" s="53">
        <f>IF(VLOOKUP(P$2,行为概览!$D$3:$J$33,7,0)="","",VLOOKUP(P$2,行为概览!$D$3:$J$33,7,0))</f>
        <v>10</v>
      </c>
      <c r="Q114" s="53">
        <f>IF(VLOOKUP(Q$2,行为概览!$D$3:$J$33,7,0)="","",VLOOKUP(Q$2,行为概览!$D$3:$J$33,7,0))</f>
        <v>20</v>
      </c>
      <c r="R114" s="53">
        <f>IF(VLOOKUP(R$2,行为概览!$D$3:$J$33,7,0)="","",VLOOKUP(R$2,行为概览!$D$3:$J$33,7,0))</f>
        <v>6</v>
      </c>
      <c r="S114" s="53">
        <f>IF(VLOOKUP(S$2,行为概览!$D$3:$J$33,7,0)="","",VLOOKUP(S$2,行为概览!$D$3:$J$33,7,0))</f>
        <v>20</v>
      </c>
      <c r="T114" s="53">
        <f>IF(VLOOKUP(T$2,行为概览!$D$3:$J$33,7,0)="","",VLOOKUP(T$2,行为概览!$D$3:$J$33,7,0))</f>
        <v>15</v>
      </c>
      <c r="U114" s="53">
        <f>IF(VLOOKUP(U$2,行为概览!$D$3:$J$33,7,0)="","",VLOOKUP(U$2,行为概览!$D$3:$J$33,7,0))</f>
        <v>15</v>
      </c>
      <c r="V114" s="53">
        <f>IF(VLOOKUP(V$2,行为概览!$D$3:$J$33,7,0)="","",VLOOKUP(V$2,行为概览!$D$3:$J$33,7,0))</f>
        <v>40</v>
      </c>
      <c r="W114" s="53">
        <f>IF(VLOOKUP(W$2,行为概览!$D$3:$J$33,7,0)="","",VLOOKUP(W$2,行为概览!$D$3:$J$33,7,0))</f>
        <v>15</v>
      </c>
      <c r="X114" s="53">
        <f>IF(VLOOKUP(X$2,行为概览!$D$3:$J$33,7,0)="","",VLOOKUP(X$2,行为概览!$D$3:$J$33,7,0))</f>
        <v>30</v>
      </c>
      <c r="Y114" s="53">
        <f>IF(VLOOKUP(Y$2,行为概览!$D$3:$J$33,7,0)="","",VLOOKUP(Y$2,行为概览!$D$3:$J$33,7,0))</f>
        <v>25</v>
      </c>
      <c r="Z114" s="53">
        <f>IF(VLOOKUP(Z$2,行为概览!$D$3:$J$33,7,0)="","",VLOOKUP(Z$2,行为概览!$D$3:$J$33,7,0))</f>
        <v>15</v>
      </c>
      <c r="AA114" s="53">
        <f>IF(VLOOKUP(AA$2,行为概览!$D$3:$J$33,7,0)="","",VLOOKUP(AA$2,行为概览!$D$3:$J$33,7,0))</f>
        <v>15</v>
      </c>
      <c r="AB114" s="53" t="str">
        <f>IF(VLOOKUP(AB$2,行为概览!$D$3:$J$33,7,0)="","",VLOOKUP(AB$2,行为概览!$D$3:$J$33,7,0))</f>
        <v/>
      </c>
      <c r="AC114" s="53" t="str">
        <f>IF(VLOOKUP(AC$2,行为概览!$D$3:$J$33,7,0)="","",VLOOKUP(AC$2,行为概览!$D$3:$J$33,7,0))</f>
        <v/>
      </c>
      <c r="AD114" s="53" t="str">
        <f>IF(VLOOKUP(AD$2,行为概览!$D$3:$J$33,7,0)="","",VLOOKUP(AD$2,行为概览!$D$3:$J$33,7,0))</f>
        <v/>
      </c>
      <c r="AE114" s="68" t="str">
        <f>IF(VLOOKUP(AE$2,行为概览!$D$3:$J$33,7,0)="","",VLOOKUP(AE$2,行为概览!$D$3:$J$33,7,0))</f>
        <v/>
      </c>
      <c r="AF114" s="1">
        <f>IF(C114="","",ROUND(C114*玩法行为规划!B114,2))</f>
        <v>16.670000000000002</v>
      </c>
      <c r="AG114" s="2">
        <f>IF(D114="","",ROUND(D114*玩法行为规划!C114,2))</f>
        <v>6.6</v>
      </c>
      <c r="AH114" s="2">
        <f>IF(E114="","",ROUND(E114*玩法行为规划!D114,2))</f>
        <v>2.5</v>
      </c>
      <c r="AI114" s="2">
        <f>IF(F114="","",ROUND(F114*玩法行为规划!E114,2))</f>
        <v>15</v>
      </c>
      <c r="AJ114" s="2" t="str">
        <f>IF(G114="","",ROUND(G114*玩法行为规划!F114,2))</f>
        <v/>
      </c>
      <c r="AK114" s="2" t="str">
        <f>IF(H114="","",ROUND(H114*玩法行为规划!G114,2))</f>
        <v/>
      </c>
      <c r="AL114" s="2" t="str">
        <f>IF(I114="","",ROUND(I114*玩法行为规划!H114,2))</f>
        <v/>
      </c>
      <c r="AM114" s="2" t="str">
        <f>IF(J114="","",ROUND(J114*玩法行为规划!I114,2))</f>
        <v/>
      </c>
      <c r="AN114" s="2">
        <f>IF(K114="","",ROUND(K114*玩法行为规划!J114,2))</f>
        <v>10</v>
      </c>
      <c r="AO114" s="2">
        <f>IF(L114="","",ROUND(L114*玩法行为规划!K114,2))</f>
        <v>3.33</v>
      </c>
      <c r="AP114" s="2">
        <f>IF(M114="","",ROUND(M114*玩法行为规划!L114,2))</f>
        <v>20</v>
      </c>
      <c r="AQ114" s="2">
        <f>IF(N114="","",ROUND(N114*玩法行为规划!M114,2))</f>
        <v>12</v>
      </c>
      <c r="AR114" s="2">
        <f>IF(O114="","",ROUND(O114*玩法行为规划!N114,2))</f>
        <v>12.5</v>
      </c>
      <c r="AS114" s="2">
        <f>IF(P114="","",ROUND(P114*玩法行为规划!O114,2))</f>
        <v>0.83</v>
      </c>
      <c r="AT114" s="2">
        <f>IF(Q114="","",ROUND(Q114*玩法行为规划!P114,2))</f>
        <v>52</v>
      </c>
      <c r="AU114" s="2">
        <f>IF(R114="","",ROUND(R114*玩法行为规划!Q114,2))</f>
        <v>6</v>
      </c>
      <c r="AV114" s="2">
        <f>IF(S114="","",ROUND(S114*玩法行为规划!R114,2))</f>
        <v>6.67</v>
      </c>
      <c r="AW114" s="2">
        <f>IF(T114="","",ROUND(T114*玩法行为规划!S114,2))</f>
        <v>0</v>
      </c>
      <c r="AX114" s="2">
        <f>IF(U114="","",ROUND(U114*玩法行为规划!T114,2))</f>
        <v>5</v>
      </c>
      <c r="AY114" s="2">
        <f>IF(V114="","",ROUND(V114*玩法行为规划!U114,2))</f>
        <v>6.67</v>
      </c>
      <c r="AZ114" s="2">
        <f>IF(W114="","",ROUND(W114*玩法行为规划!V114,2))</f>
        <v>2.5</v>
      </c>
      <c r="BA114" s="2">
        <f>IF(X114="","",ROUND(X114*玩法行为规划!W114,2))</f>
        <v>5</v>
      </c>
      <c r="BB114" s="2">
        <f>IF(Y114="","",ROUND(Y114*玩法行为规划!X114,2))</f>
        <v>6.25</v>
      </c>
      <c r="BC114" s="2">
        <f>IF(Z114="","",ROUND(Z114*玩法行为规划!Y114,2))</f>
        <v>8.75</v>
      </c>
      <c r="BD114" s="2">
        <f>IF(AA114="","",ROUND(AA114*玩法行为规划!Z114,2))</f>
        <v>2.5</v>
      </c>
      <c r="BE114" s="2" t="str">
        <f>IF(AB114="","",ROUND(AB114*玩法行为规划!AA114,2))</f>
        <v/>
      </c>
      <c r="BF114" s="2" t="str">
        <f>IF(AC114="","",ROUND(AC114*玩法行为规划!AB114,2))</f>
        <v/>
      </c>
      <c r="BG114" s="2" t="str">
        <f>IF(AD114="","",ROUND(AD114*玩法行为规划!AC114,2))</f>
        <v/>
      </c>
      <c r="BH114" s="3" t="str">
        <f>IF(AE114="","",ROUND(AE114*玩法行为规划!AD114,2))</f>
        <v/>
      </c>
      <c r="BI114" s="7">
        <f t="shared" si="17"/>
        <v>200.76999999999998</v>
      </c>
      <c r="BJ114" s="7">
        <f t="shared" si="18"/>
        <v>8994496</v>
      </c>
      <c r="BK114" s="69">
        <f t="shared" si="15"/>
        <v>4309800</v>
      </c>
      <c r="BL114" s="21" t="str">
        <f t="shared" si="20"/>
        <v/>
      </c>
      <c r="BM114" s="7">
        <f t="shared" si="19"/>
        <v>2.6053333467132376E-2</v>
      </c>
      <c r="BN114" s="69">
        <f>INT(BJ114*升级节奏!G114+BK114)</f>
        <v>165422210</v>
      </c>
      <c r="BO114" s="7">
        <f t="shared" si="14"/>
        <v>498</v>
      </c>
      <c r="BP114" s="7"/>
    </row>
    <row r="115" spans="1:68">
      <c r="A115" s="29">
        <v>113</v>
      </c>
      <c r="B115" s="84">
        <f>升级节奏!C115</f>
        <v>45200</v>
      </c>
      <c r="C115" s="53">
        <f>IF(VLOOKUP(C$2,行为概览!$D$3:$J$33,7,0)="","",VLOOKUP(C$2,行为概览!$D$3:$J$33,7,0))</f>
        <v>50</v>
      </c>
      <c r="D115" s="53">
        <f>IF(VLOOKUP(D$2,行为概览!$D$3:$J$33,7,0)="","",VLOOKUP(D$2,行为概览!$D$3:$J$33,7,0))</f>
        <v>3.3</v>
      </c>
      <c r="E115" s="53">
        <f>IF(VLOOKUP(E$2,行为概览!$D$3:$J$33,7,0)="","",VLOOKUP(E$2,行为概览!$D$3:$J$33,7,0))</f>
        <v>30</v>
      </c>
      <c r="F115" s="53">
        <f>IF(VLOOKUP(F$2,行为概览!$D$3:$J$33,7,0)="","",VLOOKUP(F$2,行为概览!$D$3:$J$33,7,0))</f>
        <v>15</v>
      </c>
      <c r="G115" s="53" t="str">
        <f>IF(VLOOKUP(G$2,行为概览!$D$3:$J$33,7,0)="","",VLOOKUP(G$2,行为概览!$D$3:$J$33,7,0))</f>
        <v/>
      </c>
      <c r="H115" s="53" t="str">
        <f>IF(VLOOKUP(H$2,行为概览!$D$3:$J$33,7,0)="","",VLOOKUP(H$2,行为概览!$D$3:$J$33,7,0))</f>
        <v/>
      </c>
      <c r="I115" s="53" t="str">
        <f>IF(VLOOKUP(I$2,行为概览!$D$3:$J$33,7,0)="","",VLOOKUP(I$2,行为概览!$D$3:$J$33,7,0))</f>
        <v/>
      </c>
      <c r="J115" s="53" t="str">
        <f>IF(VLOOKUP(J$2,行为概览!$D$3:$J$33,7,0)="","",VLOOKUP(J$2,行为概览!$D$3:$J$33,7,0))</f>
        <v/>
      </c>
      <c r="K115" s="53">
        <f>IF(VLOOKUP(K$2,行为概览!$D$3:$J$33,7,0)="","",VLOOKUP(K$2,行为概览!$D$3:$J$33,7,0))</f>
        <v>20</v>
      </c>
      <c r="L115" s="53">
        <f>IF(VLOOKUP(L$2,行为概览!$D$3:$J$33,7,0)="","",VLOOKUP(L$2,行为概览!$D$3:$J$33,7,0))</f>
        <v>20</v>
      </c>
      <c r="M115" s="53">
        <f>IF(VLOOKUP(M$2,行为概览!$D$3:$J$33,7,0)="","",VLOOKUP(M$2,行为概览!$D$3:$J$33,7,0))</f>
        <v>40</v>
      </c>
      <c r="N115" s="53">
        <f>IF(VLOOKUP(N$2,行为概览!$D$3:$J$33,7,0)="","",VLOOKUP(N$2,行为概览!$D$3:$J$33,7,0))</f>
        <v>1</v>
      </c>
      <c r="O115" s="53">
        <f>IF(VLOOKUP(O$2,行为概览!$D$3:$J$33,7,0)="","",VLOOKUP(O$2,行为概览!$D$3:$J$33,7,0))</f>
        <v>150</v>
      </c>
      <c r="P115" s="53">
        <f>IF(VLOOKUP(P$2,行为概览!$D$3:$J$33,7,0)="","",VLOOKUP(P$2,行为概览!$D$3:$J$33,7,0))</f>
        <v>10</v>
      </c>
      <c r="Q115" s="53">
        <f>IF(VLOOKUP(Q$2,行为概览!$D$3:$J$33,7,0)="","",VLOOKUP(Q$2,行为概览!$D$3:$J$33,7,0))</f>
        <v>20</v>
      </c>
      <c r="R115" s="53">
        <f>IF(VLOOKUP(R$2,行为概览!$D$3:$J$33,7,0)="","",VLOOKUP(R$2,行为概览!$D$3:$J$33,7,0))</f>
        <v>6</v>
      </c>
      <c r="S115" s="53">
        <f>IF(VLOOKUP(S$2,行为概览!$D$3:$J$33,7,0)="","",VLOOKUP(S$2,行为概览!$D$3:$J$33,7,0))</f>
        <v>20</v>
      </c>
      <c r="T115" s="53">
        <f>IF(VLOOKUP(T$2,行为概览!$D$3:$J$33,7,0)="","",VLOOKUP(T$2,行为概览!$D$3:$J$33,7,0))</f>
        <v>15</v>
      </c>
      <c r="U115" s="53">
        <f>IF(VLOOKUP(U$2,行为概览!$D$3:$J$33,7,0)="","",VLOOKUP(U$2,行为概览!$D$3:$J$33,7,0))</f>
        <v>15</v>
      </c>
      <c r="V115" s="53">
        <f>IF(VLOOKUP(V$2,行为概览!$D$3:$J$33,7,0)="","",VLOOKUP(V$2,行为概览!$D$3:$J$33,7,0))</f>
        <v>40</v>
      </c>
      <c r="W115" s="53">
        <f>IF(VLOOKUP(W$2,行为概览!$D$3:$J$33,7,0)="","",VLOOKUP(W$2,行为概览!$D$3:$J$33,7,0))</f>
        <v>15</v>
      </c>
      <c r="X115" s="53">
        <f>IF(VLOOKUP(X$2,行为概览!$D$3:$J$33,7,0)="","",VLOOKUP(X$2,行为概览!$D$3:$J$33,7,0))</f>
        <v>30</v>
      </c>
      <c r="Y115" s="53">
        <f>IF(VLOOKUP(Y$2,行为概览!$D$3:$J$33,7,0)="","",VLOOKUP(Y$2,行为概览!$D$3:$J$33,7,0))</f>
        <v>25</v>
      </c>
      <c r="Z115" s="53">
        <f>IF(VLOOKUP(Z$2,行为概览!$D$3:$J$33,7,0)="","",VLOOKUP(Z$2,行为概览!$D$3:$J$33,7,0))</f>
        <v>15</v>
      </c>
      <c r="AA115" s="53">
        <f>IF(VLOOKUP(AA$2,行为概览!$D$3:$J$33,7,0)="","",VLOOKUP(AA$2,行为概览!$D$3:$J$33,7,0))</f>
        <v>15</v>
      </c>
      <c r="AB115" s="53" t="str">
        <f>IF(VLOOKUP(AB$2,行为概览!$D$3:$J$33,7,0)="","",VLOOKUP(AB$2,行为概览!$D$3:$J$33,7,0))</f>
        <v/>
      </c>
      <c r="AC115" s="53" t="str">
        <f>IF(VLOOKUP(AC$2,行为概览!$D$3:$J$33,7,0)="","",VLOOKUP(AC$2,行为概览!$D$3:$J$33,7,0))</f>
        <v/>
      </c>
      <c r="AD115" s="53" t="str">
        <f>IF(VLOOKUP(AD$2,行为概览!$D$3:$J$33,7,0)="","",VLOOKUP(AD$2,行为概览!$D$3:$J$33,7,0))</f>
        <v/>
      </c>
      <c r="AE115" s="68" t="str">
        <f>IF(VLOOKUP(AE$2,行为概览!$D$3:$J$33,7,0)="","",VLOOKUP(AE$2,行为概览!$D$3:$J$33,7,0))</f>
        <v/>
      </c>
      <c r="AF115" s="1">
        <f>IF(C115="","",ROUND(C115*玩法行为规划!B115,2))</f>
        <v>16.670000000000002</v>
      </c>
      <c r="AG115" s="2">
        <f>IF(D115="","",ROUND(D115*玩法行为规划!C115,2))</f>
        <v>6.6</v>
      </c>
      <c r="AH115" s="2">
        <f>IF(E115="","",ROUND(E115*玩法行为规划!D115,2))</f>
        <v>2.5</v>
      </c>
      <c r="AI115" s="2">
        <f>IF(F115="","",ROUND(F115*玩法行为规划!E115,2))</f>
        <v>15</v>
      </c>
      <c r="AJ115" s="2" t="str">
        <f>IF(G115="","",ROUND(G115*玩法行为规划!F115,2))</f>
        <v/>
      </c>
      <c r="AK115" s="2" t="str">
        <f>IF(H115="","",ROUND(H115*玩法行为规划!G115,2))</f>
        <v/>
      </c>
      <c r="AL115" s="2" t="str">
        <f>IF(I115="","",ROUND(I115*玩法行为规划!H115,2))</f>
        <v/>
      </c>
      <c r="AM115" s="2" t="str">
        <f>IF(J115="","",ROUND(J115*玩法行为规划!I115,2))</f>
        <v/>
      </c>
      <c r="AN115" s="2">
        <f>IF(K115="","",ROUND(K115*玩法行为规划!J115,2))</f>
        <v>10</v>
      </c>
      <c r="AO115" s="2">
        <f>IF(L115="","",ROUND(L115*玩法行为规划!K115,2))</f>
        <v>3.33</v>
      </c>
      <c r="AP115" s="2">
        <f>IF(M115="","",ROUND(M115*玩法行为规划!L115,2))</f>
        <v>20</v>
      </c>
      <c r="AQ115" s="2">
        <f>IF(N115="","",ROUND(N115*玩法行为规划!M115,2))</f>
        <v>12</v>
      </c>
      <c r="AR115" s="2">
        <f>IF(O115="","",ROUND(O115*玩法行为规划!N115,2))</f>
        <v>12.5</v>
      </c>
      <c r="AS115" s="2">
        <f>IF(P115="","",ROUND(P115*玩法行为规划!O115,2))</f>
        <v>0.83</v>
      </c>
      <c r="AT115" s="2">
        <f>IF(Q115="","",ROUND(Q115*玩法行为规划!P115,2))</f>
        <v>52</v>
      </c>
      <c r="AU115" s="2">
        <f>IF(R115="","",ROUND(R115*玩法行为规划!Q115,2))</f>
        <v>6</v>
      </c>
      <c r="AV115" s="2">
        <f>IF(S115="","",ROUND(S115*玩法行为规划!R115,2))</f>
        <v>6.67</v>
      </c>
      <c r="AW115" s="2">
        <f>IF(T115="","",ROUND(T115*玩法行为规划!S115,2))</f>
        <v>0</v>
      </c>
      <c r="AX115" s="2">
        <f>IF(U115="","",ROUND(U115*玩法行为规划!T115,2))</f>
        <v>5</v>
      </c>
      <c r="AY115" s="2">
        <f>IF(V115="","",ROUND(V115*玩法行为规划!U115,2))</f>
        <v>6.67</v>
      </c>
      <c r="AZ115" s="2">
        <f>IF(W115="","",ROUND(W115*玩法行为规划!V115,2))</f>
        <v>2.5</v>
      </c>
      <c r="BA115" s="2">
        <f>IF(X115="","",ROUND(X115*玩法行为规划!W115,2))</f>
        <v>5</v>
      </c>
      <c r="BB115" s="2">
        <f>IF(Y115="","",ROUND(Y115*玩法行为规划!X115,2))</f>
        <v>6.25</v>
      </c>
      <c r="BC115" s="2">
        <f>IF(Z115="","",ROUND(Z115*玩法行为规划!Y115,2))</f>
        <v>8.75</v>
      </c>
      <c r="BD115" s="2">
        <f>IF(AA115="","",ROUND(AA115*玩法行为规划!Z115,2))</f>
        <v>2.5</v>
      </c>
      <c r="BE115" s="2" t="str">
        <f>IF(AB115="","",ROUND(AB115*玩法行为规划!AA115,2))</f>
        <v/>
      </c>
      <c r="BF115" s="2" t="str">
        <f>IF(AC115="","",ROUND(AC115*玩法行为规划!AB115,2))</f>
        <v/>
      </c>
      <c r="BG115" s="2" t="str">
        <f>IF(AD115="","",ROUND(AD115*玩法行为规划!AC115,2))</f>
        <v/>
      </c>
      <c r="BH115" s="3" t="str">
        <f>IF(AE115="","",ROUND(AE115*玩法行为规划!AD115,2))</f>
        <v/>
      </c>
      <c r="BI115" s="7">
        <f t="shared" si="17"/>
        <v>200.76999999999998</v>
      </c>
      <c r="BJ115" s="7">
        <f t="shared" si="18"/>
        <v>9074804</v>
      </c>
      <c r="BK115" s="69">
        <f t="shared" si="15"/>
        <v>4398000</v>
      </c>
      <c r="BL115" s="21" t="str">
        <f t="shared" si="20"/>
        <v/>
      </c>
      <c r="BM115" s="7">
        <f t="shared" si="19"/>
        <v>2.5894730196900573E-2</v>
      </c>
      <c r="BN115" s="69">
        <f>INT(BJ115*升级节奏!G115+BK115)</f>
        <v>169841507</v>
      </c>
      <c r="BO115" s="7">
        <f t="shared" si="14"/>
        <v>502</v>
      </c>
      <c r="BP115" s="7"/>
    </row>
    <row r="116" spans="1:68">
      <c r="A116" s="29">
        <v>114</v>
      </c>
      <c r="B116" s="84">
        <f>升级节奏!C116</f>
        <v>45600</v>
      </c>
      <c r="C116" s="53">
        <f>IF(VLOOKUP(C$2,行为概览!$D$3:$J$33,7,0)="","",VLOOKUP(C$2,行为概览!$D$3:$J$33,7,0))</f>
        <v>50</v>
      </c>
      <c r="D116" s="53">
        <f>IF(VLOOKUP(D$2,行为概览!$D$3:$J$33,7,0)="","",VLOOKUP(D$2,行为概览!$D$3:$J$33,7,0))</f>
        <v>3.3</v>
      </c>
      <c r="E116" s="53">
        <f>IF(VLOOKUP(E$2,行为概览!$D$3:$J$33,7,0)="","",VLOOKUP(E$2,行为概览!$D$3:$J$33,7,0))</f>
        <v>30</v>
      </c>
      <c r="F116" s="53">
        <f>IF(VLOOKUP(F$2,行为概览!$D$3:$J$33,7,0)="","",VLOOKUP(F$2,行为概览!$D$3:$J$33,7,0))</f>
        <v>15</v>
      </c>
      <c r="G116" s="53" t="str">
        <f>IF(VLOOKUP(G$2,行为概览!$D$3:$J$33,7,0)="","",VLOOKUP(G$2,行为概览!$D$3:$J$33,7,0))</f>
        <v/>
      </c>
      <c r="H116" s="53" t="str">
        <f>IF(VLOOKUP(H$2,行为概览!$D$3:$J$33,7,0)="","",VLOOKUP(H$2,行为概览!$D$3:$J$33,7,0))</f>
        <v/>
      </c>
      <c r="I116" s="53" t="str">
        <f>IF(VLOOKUP(I$2,行为概览!$D$3:$J$33,7,0)="","",VLOOKUP(I$2,行为概览!$D$3:$J$33,7,0))</f>
        <v/>
      </c>
      <c r="J116" s="53" t="str">
        <f>IF(VLOOKUP(J$2,行为概览!$D$3:$J$33,7,0)="","",VLOOKUP(J$2,行为概览!$D$3:$J$33,7,0))</f>
        <v/>
      </c>
      <c r="K116" s="53">
        <f>IF(VLOOKUP(K$2,行为概览!$D$3:$J$33,7,0)="","",VLOOKUP(K$2,行为概览!$D$3:$J$33,7,0))</f>
        <v>20</v>
      </c>
      <c r="L116" s="53">
        <f>IF(VLOOKUP(L$2,行为概览!$D$3:$J$33,7,0)="","",VLOOKUP(L$2,行为概览!$D$3:$J$33,7,0))</f>
        <v>20</v>
      </c>
      <c r="M116" s="53">
        <f>IF(VLOOKUP(M$2,行为概览!$D$3:$J$33,7,0)="","",VLOOKUP(M$2,行为概览!$D$3:$J$33,7,0))</f>
        <v>40</v>
      </c>
      <c r="N116" s="53">
        <f>IF(VLOOKUP(N$2,行为概览!$D$3:$J$33,7,0)="","",VLOOKUP(N$2,行为概览!$D$3:$J$33,7,0))</f>
        <v>1</v>
      </c>
      <c r="O116" s="53">
        <f>IF(VLOOKUP(O$2,行为概览!$D$3:$J$33,7,0)="","",VLOOKUP(O$2,行为概览!$D$3:$J$33,7,0))</f>
        <v>150</v>
      </c>
      <c r="P116" s="53">
        <f>IF(VLOOKUP(P$2,行为概览!$D$3:$J$33,7,0)="","",VLOOKUP(P$2,行为概览!$D$3:$J$33,7,0))</f>
        <v>10</v>
      </c>
      <c r="Q116" s="53">
        <f>IF(VLOOKUP(Q$2,行为概览!$D$3:$J$33,7,0)="","",VLOOKUP(Q$2,行为概览!$D$3:$J$33,7,0))</f>
        <v>20</v>
      </c>
      <c r="R116" s="53">
        <f>IF(VLOOKUP(R$2,行为概览!$D$3:$J$33,7,0)="","",VLOOKUP(R$2,行为概览!$D$3:$J$33,7,0))</f>
        <v>6</v>
      </c>
      <c r="S116" s="53">
        <f>IF(VLOOKUP(S$2,行为概览!$D$3:$J$33,7,0)="","",VLOOKUP(S$2,行为概览!$D$3:$J$33,7,0))</f>
        <v>20</v>
      </c>
      <c r="T116" s="53">
        <f>IF(VLOOKUP(T$2,行为概览!$D$3:$J$33,7,0)="","",VLOOKUP(T$2,行为概览!$D$3:$J$33,7,0))</f>
        <v>15</v>
      </c>
      <c r="U116" s="53">
        <f>IF(VLOOKUP(U$2,行为概览!$D$3:$J$33,7,0)="","",VLOOKUP(U$2,行为概览!$D$3:$J$33,7,0))</f>
        <v>15</v>
      </c>
      <c r="V116" s="53">
        <f>IF(VLOOKUP(V$2,行为概览!$D$3:$J$33,7,0)="","",VLOOKUP(V$2,行为概览!$D$3:$J$33,7,0))</f>
        <v>40</v>
      </c>
      <c r="W116" s="53">
        <f>IF(VLOOKUP(W$2,行为概览!$D$3:$J$33,7,0)="","",VLOOKUP(W$2,行为概览!$D$3:$J$33,7,0))</f>
        <v>15</v>
      </c>
      <c r="X116" s="53">
        <f>IF(VLOOKUP(X$2,行为概览!$D$3:$J$33,7,0)="","",VLOOKUP(X$2,行为概览!$D$3:$J$33,7,0))</f>
        <v>30</v>
      </c>
      <c r="Y116" s="53">
        <f>IF(VLOOKUP(Y$2,行为概览!$D$3:$J$33,7,0)="","",VLOOKUP(Y$2,行为概览!$D$3:$J$33,7,0))</f>
        <v>25</v>
      </c>
      <c r="Z116" s="53">
        <f>IF(VLOOKUP(Z$2,行为概览!$D$3:$J$33,7,0)="","",VLOOKUP(Z$2,行为概览!$D$3:$J$33,7,0))</f>
        <v>15</v>
      </c>
      <c r="AA116" s="53">
        <f>IF(VLOOKUP(AA$2,行为概览!$D$3:$J$33,7,0)="","",VLOOKUP(AA$2,行为概览!$D$3:$J$33,7,0))</f>
        <v>15</v>
      </c>
      <c r="AB116" s="53" t="str">
        <f>IF(VLOOKUP(AB$2,行为概览!$D$3:$J$33,7,0)="","",VLOOKUP(AB$2,行为概览!$D$3:$J$33,7,0))</f>
        <v/>
      </c>
      <c r="AC116" s="53" t="str">
        <f>IF(VLOOKUP(AC$2,行为概览!$D$3:$J$33,7,0)="","",VLOOKUP(AC$2,行为概览!$D$3:$J$33,7,0))</f>
        <v/>
      </c>
      <c r="AD116" s="53" t="str">
        <f>IF(VLOOKUP(AD$2,行为概览!$D$3:$J$33,7,0)="","",VLOOKUP(AD$2,行为概览!$D$3:$J$33,7,0))</f>
        <v/>
      </c>
      <c r="AE116" s="68" t="str">
        <f>IF(VLOOKUP(AE$2,行为概览!$D$3:$J$33,7,0)="","",VLOOKUP(AE$2,行为概览!$D$3:$J$33,7,0))</f>
        <v/>
      </c>
      <c r="AF116" s="1">
        <f>IF(C116="","",ROUND(C116*玩法行为规划!B116,2))</f>
        <v>16.670000000000002</v>
      </c>
      <c r="AG116" s="2">
        <f>IF(D116="","",ROUND(D116*玩法行为规划!C116,2))</f>
        <v>6.6</v>
      </c>
      <c r="AH116" s="2">
        <f>IF(E116="","",ROUND(E116*玩法行为规划!D116,2))</f>
        <v>2.5</v>
      </c>
      <c r="AI116" s="2">
        <f>IF(F116="","",ROUND(F116*玩法行为规划!E116,2))</f>
        <v>15</v>
      </c>
      <c r="AJ116" s="2" t="str">
        <f>IF(G116="","",ROUND(G116*玩法行为规划!F116,2))</f>
        <v/>
      </c>
      <c r="AK116" s="2" t="str">
        <f>IF(H116="","",ROUND(H116*玩法行为规划!G116,2))</f>
        <v/>
      </c>
      <c r="AL116" s="2" t="str">
        <f>IF(I116="","",ROUND(I116*玩法行为规划!H116,2))</f>
        <v/>
      </c>
      <c r="AM116" s="2" t="str">
        <f>IF(J116="","",ROUND(J116*玩法行为规划!I116,2))</f>
        <v/>
      </c>
      <c r="AN116" s="2">
        <f>IF(K116="","",ROUND(K116*玩法行为规划!J116,2))</f>
        <v>10</v>
      </c>
      <c r="AO116" s="2">
        <f>IF(L116="","",ROUND(L116*玩法行为规划!K116,2))</f>
        <v>3.33</v>
      </c>
      <c r="AP116" s="2">
        <f>IF(M116="","",ROUND(M116*玩法行为规划!L116,2))</f>
        <v>20</v>
      </c>
      <c r="AQ116" s="2">
        <f>IF(N116="","",ROUND(N116*玩法行为规划!M116,2))</f>
        <v>12</v>
      </c>
      <c r="AR116" s="2">
        <f>IF(O116="","",ROUND(O116*玩法行为规划!N116,2))</f>
        <v>12.5</v>
      </c>
      <c r="AS116" s="2">
        <f>IF(P116="","",ROUND(P116*玩法行为规划!O116,2))</f>
        <v>0.83</v>
      </c>
      <c r="AT116" s="2">
        <f>IF(Q116="","",ROUND(Q116*玩法行为规划!P116,2))</f>
        <v>52</v>
      </c>
      <c r="AU116" s="2">
        <f>IF(R116="","",ROUND(R116*玩法行为规划!Q116,2))</f>
        <v>6</v>
      </c>
      <c r="AV116" s="2">
        <f>IF(S116="","",ROUND(S116*玩法行为规划!R116,2))</f>
        <v>6.67</v>
      </c>
      <c r="AW116" s="2">
        <f>IF(T116="","",ROUND(T116*玩法行为规划!S116,2))</f>
        <v>0</v>
      </c>
      <c r="AX116" s="2">
        <f>IF(U116="","",ROUND(U116*玩法行为规划!T116,2))</f>
        <v>5</v>
      </c>
      <c r="AY116" s="2">
        <f>IF(V116="","",ROUND(V116*玩法行为规划!U116,2))</f>
        <v>6.67</v>
      </c>
      <c r="AZ116" s="2">
        <f>IF(W116="","",ROUND(W116*玩法行为规划!V116,2))</f>
        <v>2.5</v>
      </c>
      <c r="BA116" s="2">
        <f>IF(X116="","",ROUND(X116*玩法行为规划!W116,2))</f>
        <v>5</v>
      </c>
      <c r="BB116" s="2">
        <f>IF(Y116="","",ROUND(Y116*玩法行为规划!X116,2))</f>
        <v>6.25</v>
      </c>
      <c r="BC116" s="2">
        <f>IF(Z116="","",ROUND(Z116*玩法行为规划!Y116,2))</f>
        <v>8.75</v>
      </c>
      <c r="BD116" s="2">
        <f>IF(AA116="","",ROUND(AA116*玩法行为规划!Z116,2))</f>
        <v>2.5</v>
      </c>
      <c r="BE116" s="2" t="str">
        <f>IF(AB116="","",ROUND(AB116*玩法行为规划!AA116,2))</f>
        <v/>
      </c>
      <c r="BF116" s="2" t="str">
        <f>IF(AC116="","",ROUND(AC116*玩法行为规划!AB116,2))</f>
        <v/>
      </c>
      <c r="BG116" s="2" t="str">
        <f>IF(AD116="","",ROUND(AD116*玩法行为规划!AC116,2))</f>
        <v/>
      </c>
      <c r="BH116" s="3" t="str">
        <f>IF(AE116="","",ROUND(AE116*玩法行为规划!AD116,2))</f>
        <v/>
      </c>
      <c r="BI116" s="7">
        <f t="shared" si="17"/>
        <v>200.76999999999998</v>
      </c>
      <c r="BJ116" s="7">
        <f t="shared" si="18"/>
        <v>9155112</v>
      </c>
      <c r="BK116" s="69">
        <f t="shared" si="15"/>
        <v>4487000</v>
      </c>
      <c r="BL116" s="21" t="str">
        <f t="shared" si="20"/>
        <v/>
      </c>
      <c r="BM116" s="7">
        <f t="shared" si="19"/>
        <v>2.5737251366292704E-2</v>
      </c>
      <c r="BN116" s="69">
        <f>INT(BJ116*升级节奏!G116+BK116)</f>
        <v>174338741</v>
      </c>
      <c r="BO116" s="7">
        <f t="shared" si="14"/>
        <v>507</v>
      </c>
      <c r="BP116" s="7"/>
    </row>
    <row r="117" spans="1:68">
      <c r="A117" s="29">
        <v>115</v>
      </c>
      <c r="B117" s="84">
        <f>升级节奏!C117</f>
        <v>46000</v>
      </c>
      <c r="C117" s="53">
        <f>IF(VLOOKUP(C$2,行为概览!$D$3:$J$33,7,0)="","",VLOOKUP(C$2,行为概览!$D$3:$J$33,7,0))</f>
        <v>50</v>
      </c>
      <c r="D117" s="53">
        <f>IF(VLOOKUP(D$2,行为概览!$D$3:$J$33,7,0)="","",VLOOKUP(D$2,行为概览!$D$3:$J$33,7,0))</f>
        <v>3.3</v>
      </c>
      <c r="E117" s="53">
        <f>IF(VLOOKUP(E$2,行为概览!$D$3:$J$33,7,0)="","",VLOOKUP(E$2,行为概览!$D$3:$J$33,7,0))</f>
        <v>30</v>
      </c>
      <c r="F117" s="53">
        <f>IF(VLOOKUP(F$2,行为概览!$D$3:$J$33,7,0)="","",VLOOKUP(F$2,行为概览!$D$3:$J$33,7,0))</f>
        <v>15</v>
      </c>
      <c r="G117" s="53" t="str">
        <f>IF(VLOOKUP(G$2,行为概览!$D$3:$J$33,7,0)="","",VLOOKUP(G$2,行为概览!$D$3:$J$33,7,0))</f>
        <v/>
      </c>
      <c r="H117" s="53" t="str">
        <f>IF(VLOOKUP(H$2,行为概览!$D$3:$J$33,7,0)="","",VLOOKUP(H$2,行为概览!$D$3:$J$33,7,0))</f>
        <v/>
      </c>
      <c r="I117" s="53" t="str">
        <f>IF(VLOOKUP(I$2,行为概览!$D$3:$J$33,7,0)="","",VLOOKUP(I$2,行为概览!$D$3:$J$33,7,0))</f>
        <v/>
      </c>
      <c r="J117" s="53" t="str">
        <f>IF(VLOOKUP(J$2,行为概览!$D$3:$J$33,7,0)="","",VLOOKUP(J$2,行为概览!$D$3:$J$33,7,0))</f>
        <v/>
      </c>
      <c r="K117" s="53">
        <f>IF(VLOOKUP(K$2,行为概览!$D$3:$J$33,7,0)="","",VLOOKUP(K$2,行为概览!$D$3:$J$33,7,0))</f>
        <v>20</v>
      </c>
      <c r="L117" s="53">
        <f>IF(VLOOKUP(L$2,行为概览!$D$3:$J$33,7,0)="","",VLOOKUP(L$2,行为概览!$D$3:$J$33,7,0))</f>
        <v>20</v>
      </c>
      <c r="M117" s="53">
        <f>IF(VLOOKUP(M$2,行为概览!$D$3:$J$33,7,0)="","",VLOOKUP(M$2,行为概览!$D$3:$J$33,7,0))</f>
        <v>40</v>
      </c>
      <c r="N117" s="53">
        <f>IF(VLOOKUP(N$2,行为概览!$D$3:$J$33,7,0)="","",VLOOKUP(N$2,行为概览!$D$3:$J$33,7,0))</f>
        <v>1</v>
      </c>
      <c r="O117" s="53">
        <f>IF(VLOOKUP(O$2,行为概览!$D$3:$J$33,7,0)="","",VLOOKUP(O$2,行为概览!$D$3:$J$33,7,0))</f>
        <v>150</v>
      </c>
      <c r="P117" s="53">
        <f>IF(VLOOKUP(P$2,行为概览!$D$3:$J$33,7,0)="","",VLOOKUP(P$2,行为概览!$D$3:$J$33,7,0))</f>
        <v>10</v>
      </c>
      <c r="Q117" s="53">
        <f>IF(VLOOKUP(Q$2,行为概览!$D$3:$J$33,7,0)="","",VLOOKUP(Q$2,行为概览!$D$3:$J$33,7,0))</f>
        <v>20</v>
      </c>
      <c r="R117" s="53">
        <f>IF(VLOOKUP(R$2,行为概览!$D$3:$J$33,7,0)="","",VLOOKUP(R$2,行为概览!$D$3:$J$33,7,0))</f>
        <v>6</v>
      </c>
      <c r="S117" s="53">
        <f>IF(VLOOKUP(S$2,行为概览!$D$3:$J$33,7,0)="","",VLOOKUP(S$2,行为概览!$D$3:$J$33,7,0))</f>
        <v>20</v>
      </c>
      <c r="T117" s="53">
        <f>IF(VLOOKUP(T$2,行为概览!$D$3:$J$33,7,0)="","",VLOOKUP(T$2,行为概览!$D$3:$J$33,7,0))</f>
        <v>15</v>
      </c>
      <c r="U117" s="53">
        <f>IF(VLOOKUP(U$2,行为概览!$D$3:$J$33,7,0)="","",VLOOKUP(U$2,行为概览!$D$3:$J$33,7,0))</f>
        <v>15</v>
      </c>
      <c r="V117" s="53">
        <f>IF(VLOOKUP(V$2,行为概览!$D$3:$J$33,7,0)="","",VLOOKUP(V$2,行为概览!$D$3:$J$33,7,0))</f>
        <v>40</v>
      </c>
      <c r="W117" s="53">
        <f>IF(VLOOKUP(W$2,行为概览!$D$3:$J$33,7,0)="","",VLOOKUP(W$2,行为概览!$D$3:$J$33,7,0))</f>
        <v>15</v>
      </c>
      <c r="X117" s="53">
        <f>IF(VLOOKUP(X$2,行为概览!$D$3:$J$33,7,0)="","",VLOOKUP(X$2,行为概览!$D$3:$J$33,7,0))</f>
        <v>30</v>
      </c>
      <c r="Y117" s="53">
        <f>IF(VLOOKUP(Y$2,行为概览!$D$3:$J$33,7,0)="","",VLOOKUP(Y$2,行为概览!$D$3:$J$33,7,0))</f>
        <v>25</v>
      </c>
      <c r="Z117" s="53">
        <f>IF(VLOOKUP(Z$2,行为概览!$D$3:$J$33,7,0)="","",VLOOKUP(Z$2,行为概览!$D$3:$J$33,7,0))</f>
        <v>15</v>
      </c>
      <c r="AA117" s="53">
        <f>IF(VLOOKUP(AA$2,行为概览!$D$3:$J$33,7,0)="","",VLOOKUP(AA$2,行为概览!$D$3:$J$33,7,0))</f>
        <v>15</v>
      </c>
      <c r="AB117" s="53" t="str">
        <f>IF(VLOOKUP(AB$2,行为概览!$D$3:$J$33,7,0)="","",VLOOKUP(AB$2,行为概览!$D$3:$J$33,7,0))</f>
        <v/>
      </c>
      <c r="AC117" s="53" t="str">
        <f>IF(VLOOKUP(AC$2,行为概览!$D$3:$J$33,7,0)="","",VLOOKUP(AC$2,行为概览!$D$3:$J$33,7,0))</f>
        <v/>
      </c>
      <c r="AD117" s="53" t="str">
        <f>IF(VLOOKUP(AD$2,行为概览!$D$3:$J$33,7,0)="","",VLOOKUP(AD$2,行为概览!$D$3:$J$33,7,0))</f>
        <v/>
      </c>
      <c r="AE117" s="68" t="str">
        <f>IF(VLOOKUP(AE$2,行为概览!$D$3:$J$33,7,0)="","",VLOOKUP(AE$2,行为概览!$D$3:$J$33,7,0))</f>
        <v/>
      </c>
      <c r="AF117" s="1">
        <f>IF(C117="","",ROUND(C117*玩法行为规划!B117,2))</f>
        <v>16.670000000000002</v>
      </c>
      <c r="AG117" s="2">
        <f>IF(D117="","",ROUND(D117*玩法行为规划!C117,2))</f>
        <v>6.6</v>
      </c>
      <c r="AH117" s="2">
        <f>IF(E117="","",ROUND(E117*玩法行为规划!D117,2))</f>
        <v>2.5</v>
      </c>
      <c r="AI117" s="2">
        <f>IF(F117="","",ROUND(F117*玩法行为规划!E117,2))</f>
        <v>15</v>
      </c>
      <c r="AJ117" s="2" t="str">
        <f>IF(G117="","",ROUND(G117*玩法行为规划!F117,2))</f>
        <v/>
      </c>
      <c r="AK117" s="2" t="str">
        <f>IF(H117="","",ROUND(H117*玩法行为规划!G117,2))</f>
        <v/>
      </c>
      <c r="AL117" s="2" t="str">
        <f>IF(I117="","",ROUND(I117*玩法行为规划!H117,2))</f>
        <v/>
      </c>
      <c r="AM117" s="2" t="str">
        <f>IF(J117="","",ROUND(J117*玩法行为规划!I117,2))</f>
        <v/>
      </c>
      <c r="AN117" s="2">
        <f>IF(K117="","",ROUND(K117*玩法行为规划!J117,2))</f>
        <v>10</v>
      </c>
      <c r="AO117" s="2">
        <f>IF(L117="","",ROUND(L117*玩法行为规划!K117,2))</f>
        <v>3.33</v>
      </c>
      <c r="AP117" s="2">
        <f>IF(M117="","",ROUND(M117*玩法行为规划!L117,2))</f>
        <v>20</v>
      </c>
      <c r="AQ117" s="2">
        <f>IF(N117="","",ROUND(N117*玩法行为规划!M117,2))</f>
        <v>12</v>
      </c>
      <c r="AR117" s="2">
        <f>IF(O117="","",ROUND(O117*玩法行为规划!N117,2))</f>
        <v>12.5</v>
      </c>
      <c r="AS117" s="2">
        <f>IF(P117="","",ROUND(P117*玩法行为规划!O117,2))</f>
        <v>0.83</v>
      </c>
      <c r="AT117" s="2">
        <f>IF(Q117="","",ROUND(Q117*玩法行为规划!P117,2))</f>
        <v>52</v>
      </c>
      <c r="AU117" s="2">
        <f>IF(R117="","",ROUND(R117*玩法行为规划!Q117,2))</f>
        <v>6</v>
      </c>
      <c r="AV117" s="2">
        <f>IF(S117="","",ROUND(S117*玩法行为规划!R117,2))</f>
        <v>6.67</v>
      </c>
      <c r="AW117" s="2">
        <f>IF(T117="","",ROUND(T117*玩法行为规划!S117,2))</f>
        <v>0</v>
      </c>
      <c r="AX117" s="2">
        <f>IF(U117="","",ROUND(U117*玩法行为规划!T117,2))</f>
        <v>5</v>
      </c>
      <c r="AY117" s="2">
        <f>IF(V117="","",ROUND(V117*玩法行为规划!U117,2))</f>
        <v>6.67</v>
      </c>
      <c r="AZ117" s="2">
        <f>IF(W117="","",ROUND(W117*玩法行为规划!V117,2))</f>
        <v>2.5</v>
      </c>
      <c r="BA117" s="2">
        <f>IF(X117="","",ROUND(X117*玩法行为规划!W117,2))</f>
        <v>5</v>
      </c>
      <c r="BB117" s="2">
        <f>IF(Y117="","",ROUND(Y117*玩法行为规划!X117,2))</f>
        <v>6.25</v>
      </c>
      <c r="BC117" s="2">
        <f>IF(Z117="","",ROUND(Z117*玩法行为规划!Y117,2))</f>
        <v>8.75</v>
      </c>
      <c r="BD117" s="2">
        <f>IF(AA117="","",ROUND(AA117*玩法行为规划!Z117,2))</f>
        <v>2.5</v>
      </c>
      <c r="BE117" s="2" t="str">
        <f>IF(AB117="","",ROUND(AB117*玩法行为规划!AA117,2))</f>
        <v/>
      </c>
      <c r="BF117" s="2" t="str">
        <f>IF(AC117="","",ROUND(AC117*玩法行为规划!AB117,2))</f>
        <v/>
      </c>
      <c r="BG117" s="2" t="str">
        <f>IF(AD117="","",ROUND(AD117*玩法行为规划!AC117,2))</f>
        <v/>
      </c>
      <c r="BH117" s="3" t="str">
        <f>IF(AE117="","",ROUND(AE117*玩法行为规划!AD117,2))</f>
        <v/>
      </c>
      <c r="BI117" s="7">
        <f t="shared" si="17"/>
        <v>200.76999999999998</v>
      </c>
      <c r="BJ117" s="7">
        <f t="shared" si="18"/>
        <v>9235420</v>
      </c>
      <c r="BK117" s="69">
        <f t="shared" si="15"/>
        <v>4577000</v>
      </c>
      <c r="BL117" s="21" t="str">
        <f t="shared" si="20"/>
        <v/>
      </c>
      <c r="BM117" s="7">
        <f t="shared" si="19"/>
        <v>2.5582010010664742E-2</v>
      </c>
      <c r="BN117" s="69">
        <f>INT(BJ117*升级节奏!G117+BK117)</f>
        <v>178914792</v>
      </c>
      <c r="BO117" s="7">
        <f t="shared" si="14"/>
        <v>511</v>
      </c>
      <c r="BP117" s="7"/>
    </row>
    <row r="118" spans="1:68">
      <c r="A118" s="29">
        <v>116</v>
      </c>
      <c r="B118" s="84">
        <f>升级节奏!C118</f>
        <v>46400</v>
      </c>
      <c r="C118" s="53">
        <f>IF(VLOOKUP(C$2,行为概览!$D$3:$J$33,7,0)="","",VLOOKUP(C$2,行为概览!$D$3:$J$33,7,0))</f>
        <v>50</v>
      </c>
      <c r="D118" s="53">
        <f>IF(VLOOKUP(D$2,行为概览!$D$3:$J$33,7,0)="","",VLOOKUP(D$2,行为概览!$D$3:$J$33,7,0))</f>
        <v>3.3</v>
      </c>
      <c r="E118" s="53">
        <f>IF(VLOOKUP(E$2,行为概览!$D$3:$J$33,7,0)="","",VLOOKUP(E$2,行为概览!$D$3:$J$33,7,0))</f>
        <v>30</v>
      </c>
      <c r="F118" s="53">
        <f>IF(VLOOKUP(F$2,行为概览!$D$3:$J$33,7,0)="","",VLOOKUP(F$2,行为概览!$D$3:$J$33,7,0))</f>
        <v>15</v>
      </c>
      <c r="G118" s="53" t="str">
        <f>IF(VLOOKUP(G$2,行为概览!$D$3:$J$33,7,0)="","",VLOOKUP(G$2,行为概览!$D$3:$J$33,7,0))</f>
        <v/>
      </c>
      <c r="H118" s="53" t="str">
        <f>IF(VLOOKUP(H$2,行为概览!$D$3:$J$33,7,0)="","",VLOOKUP(H$2,行为概览!$D$3:$J$33,7,0))</f>
        <v/>
      </c>
      <c r="I118" s="53" t="str">
        <f>IF(VLOOKUP(I$2,行为概览!$D$3:$J$33,7,0)="","",VLOOKUP(I$2,行为概览!$D$3:$J$33,7,0))</f>
        <v/>
      </c>
      <c r="J118" s="53" t="str">
        <f>IF(VLOOKUP(J$2,行为概览!$D$3:$J$33,7,0)="","",VLOOKUP(J$2,行为概览!$D$3:$J$33,7,0))</f>
        <v/>
      </c>
      <c r="K118" s="53">
        <f>IF(VLOOKUP(K$2,行为概览!$D$3:$J$33,7,0)="","",VLOOKUP(K$2,行为概览!$D$3:$J$33,7,0))</f>
        <v>20</v>
      </c>
      <c r="L118" s="53">
        <f>IF(VLOOKUP(L$2,行为概览!$D$3:$J$33,7,0)="","",VLOOKUP(L$2,行为概览!$D$3:$J$33,7,0))</f>
        <v>20</v>
      </c>
      <c r="M118" s="53">
        <f>IF(VLOOKUP(M$2,行为概览!$D$3:$J$33,7,0)="","",VLOOKUP(M$2,行为概览!$D$3:$J$33,7,0))</f>
        <v>40</v>
      </c>
      <c r="N118" s="53">
        <f>IF(VLOOKUP(N$2,行为概览!$D$3:$J$33,7,0)="","",VLOOKUP(N$2,行为概览!$D$3:$J$33,7,0))</f>
        <v>1</v>
      </c>
      <c r="O118" s="53">
        <f>IF(VLOOKUP(O$2,行为概览!$D$3:$J$33,7,0)="","",VLOOKUP(O$2,行为概览!$D$3:$J$33,7,0))</f>
        <v>150</v>
      </c>
      <c r="P118" s="53">
        <f>IF(VLOOKUP(P$2,行为概览!$D$3:$J$33,7,0)="","",VLOOKUP(P$2,行为概览!$D$3:$J$33,7,0))</f>
        <v>10</v>
      </c>
      <c r="Q118" s="53">
        <f>IF(VLOOKUP(Q$2,行为概览!$D$3:$J$33,7,0)="","",VLOOKUP(Q$2,行为概览!$D$3:$J$33,7,0))</f>
        <v>20</v>
      </c>
      <c r="R118" s="53">
        <f>IF(VLOOKUP(R$2,行为概览!$D$3:$J$33,7,0)="","",VLOOKUP(R$2,行为概览!$D$3:$J$33,7,0))</f>
        <v>6</v>
      </c>
      <c r="S118" s="53">
        <f>IF(VLOOKUP(S$2,行为概览!$D$3:$J$33,7,0)="","",VLOOKUP(S$2,行为概览!$D$3:$J$33,7,0))</f>
        <v>20</v>
      </c>
      <c r="T118" s="53">
        <f>IF(VLOOKUP(T$2,行为概览!$D$3:$J$33,7,0)="","",VLOOKUP(T$2,行为概览!$D$3:$J$33,7,0))</f>
        <v>15</v>
      </c>
      <c r="U118" s="53">
        <f>IF(VLOOKUP(U$2,行为概览!$D$3:$J$33,7,0)="","",VLOOKUP(U$2,行为概览!$D$3:$J$33,7,0))</f>
        <v>15</v>
      </c>
      <c r="V118" s="53">
        <f>IF(VLOOKUP(V$2,行为概览!$D$3:$J$33,7,0)="","",VLOOKUP(V$2,行为概览!$D$3:$J$33,7,0))</f>
        <v>40</v>
      </c>
      <c r="W118" s="53">
        <f>IF(VLOOKUP(W$2,行为概览!$D$3:$J$33,7,0)="","",VLOOKUP(W$2,行为概览!$D$3:$J$33,7,0))</f>
        <v>15</v>
      </c>
      <c r="X118" s="53">
        <f>IF(VLOOKUP(X$2,行为概览!$D$3:$J$33,7,0)="","",VLOOKUP(X$2,行为概览!$D$3:$J$33,7,0))</f>
        <v>30</v>
      </c>
      <c r="Y118" s="53">
        <f>IF(VLOOKUP(Y$2,行为概览!$D$3:$J$33,7,0)="","",VLOOKUP(Y$2,行为概览!$D$3:$J$33,7,0))</f>
        <v>25</v>
      </c>
      <c r="Z118" s="53">
        <f>IF(VLOOKUP(Z$2,行为概览!$D$3:$J$33,7,0)="","",VLOOKUP(Z$2,行为概览!$D$3:$J$33,7,0))</f>
        <v>15</v>
      </c>
      <c r="AA118" s="53">
        <f>IF(VLOOKUP(AA$2,行为概览!$D$3:$J$33,7,0)="","",VLOOKUP(AA$2,行为概览!$D$3:$J$33,7,0))</f>
        <v>15</v>
      </c>
      <c r="AB118" s="53" t="str">
        <f>IF(VLOOKUP(AB$2,行为概览!$D$3:$J$33,7,0)="","",VLOOKUP(AB$2,行为概览!$D$3:$J$33,7,0))</f>
        <v/>
      </c>
      <c r="AC118" s="53" t="str">
        <f>IF(VLOOKUP(AC$2,行为概览!$D$3:$J$33,7,0)="","",VLOOKUP(AC$2,行为概览!$D$3:$J$33,7,0))</f>
        <v/>
      </c>
      <c r="AD118" s="53" t="str">
        <f>IF(VLOOKUP(AD$2,行为概览!$D$3:$J$33,7,0)="","",VLOOKUP(AD$2,行为概览!$D$3:$J$33,7,0))</f>
        <v/>
      </c>
      <c r="AE118" s="68" t="str">
        <f>IF(VLOOKUP(AE$2,行为概览!$D$3:$J$33,7,0)="","",VLOOKUP(AE$2,行为概览!$D$3:$J$33,7,0))</f>
        <v/>
      </c>
      <c r="AF118" s="1">
        <f>IF(C118="","",ROUND(C118*玩法行为规划!B118,2))</f>
        <v>16.670000000000002</v>
      </c>
      <c r="AG118" s="2">
        <f>IF(D118="","",ROUND(D118*玩法行为规划!C118,2))</f>
        <v>6.6</v>
      </c>
      <c r="AH118" s="2">
        <f>IF(E118="","",ROUND(E118*玩法行为规划!D118,2))</f>
        <v>2.5</v>
      </c>
      <c r="AI118" s="2">
        <f>IF(F118="","",ROUND(F118*玩法行为规划!E118,2))</f>
        <v>15</v>
      </c>
      <c r="AJ118" s="2" t="str">
        <f>IF(G118="","",ROUND(G118*玩法行为规划!F118,2))</f>
        <v/>
      </c>
      <c r="AK118" s="2" t="str">
        <f>IF(H118="","",ROUND(H118*玩法行为规划!G118,2))</f>
        <v/>
      </c>
      <c r="AL118" s="2" t="str">
        <f>IF(I118="","",ROUND(I118*玩法行为规划!H118,2))</f>
        <v/>
      </c>
      <c r="AM118" s="2" t="str">
        <f>IF(J118="","",ROUND(J118*玩法行为规划!I118,2))</f>
        <v/>
      </c>
      <c r="AN118" s="2">
        <f>IF(K118="","",ROUND(K118*玩法行为规划!J118,2))</f>
        <v>10</v>
      </c>
      <c r="AO118" s="2">
        <f>IF(L118="","",ROUND(L118*玩法行为规划!K118,2))</f>
        <v>3.33</v>
      </c>
      <c r="AP118" s="2">
        <f>IF(M118="","",ROUND(M118*玩法行为规划!L118,2))</f>
        <v>20</v>
      </c>
      <c r="AQ118" s="2">
        <f>IF(N118="","",ROUND(N118*玩法行为规划!M118,2))</f>
        <v>12</v>
      </c>
      <c r="AR118" s="2">
        <f>IF(O118="","",ROUND(O118*玩法行为规划!N118,2))</f>
        <v>12.5</v>
      </c>
      <c r="AS118" s="2">
        <f>IF(P118="","",ROUND(P118*玩法行为规划!O118,2))</f>
        <v>0.83</v>
      </c>
      <c r="AT118" s="2">
        <f>IF(Q118="","",ROUND(Q118*玩法行为规划!P118,2))</f>
        <v>52</v>
      </c>
      <c r="AU118" s="2">
        <f>IF(R118="","",ROUND(R118*玩法行为规划!Q118,2))</f>
        <v>6</v>
      </c>
      <c r="AV118" s="2">
        <f>IF(S118="","",ROUND(S118*玩法行为规划!R118,2))</f>
        <v>6.67</v>
      </c>
      <c r="AW118" s="2">
        <f>IF(T118="","",ROUND(T118*玩法行为规划!S118,2))</f>
        <v>0</v>
      </c>
      <c r="AX118" s="2">
        <f>IF(U118="","",ROUND(U118*玩法行为规划!T118,2))</f>
        <v>5</v>
      </c>
      <c r="AY118" s="2">
        <f>IF(V118="","",ROUND(V118*玩法行为规划!U118,2))</f>
        <v>6.67</v>
      </c>
      <c r="AZ118" s="2">
        <f>IF(W118="","",ROUND(W118*玩法行为规划!V118,2))</f>
        <v>2.5</v>
      </c>
      <c r="BA118" s="2">
        <f>IF(X118="","",ROUND(X118*玩法行为规划!W118,2))</f>
        <v>5</v>
      </c>
      <c r="BB118" s="2">
        <f>IF(Y118="","",ROUND(Y118*玩法行为规划!X118,2))</f>
        <v>6.25</v>
      </c>
      <c r="BC118" s="2">
        <f>IF(Z118="","",ROUND(Z118*玩法行为规划!Y118,2))</f>
        <v>8.75</v>
      </c>
      <c r="BD118" s="2">
        <f>IF(AA118="","",ROUND(AA118*玩法行为规划!Z118,2))</f>
        <v>2.5</v>
      </c>
      <c r="BE118" s="2" t="str">
        <f>IF(AB118="","",ROUND(AB118*玩法行为规划!AA118,2))</f>
        <v/>
      </c>
      <c r="BF118" s="2" t="str">
        <f>IF(AC118="","",ROUND(AC118*玩法行为规划!AB118,2))</f>
        <v/>
      </c>
      <c r="BG118" s="2" t="str">
        <f>IF(AD118="","",ROUND(AD118*玩法行为规划!AC118,2))</f>
        <v/>
      </c>
      <c r="BH118" s="3" t="str">
        <f>IF(AE118="","",ROUND(AE118*玩法行为规划!AD118,2))</f>
        <v/>
      </c>
      <c r="BI118" s="7">
        <f t="shared" si="17"/>
        <v>200.76999999999998</v>
      </c>
      <c r="BJ118" s="7">
        <f t="shared" si="18"/>
        <v>9315728</v>
      </c>
      <c r="BK118" s="69">
        <f t="shared" si="15"/>
        <v>4667800</v>
      </c>
      <c r="BL118" s="21" t="str">
        <f t="shared" si="20"/>
        <v/>
      </c>
      <c r="BM118" s="7">
        <f t="shared" si="19"/>
        <v>2.5427882077447832E-2</v>
      </c>
      <c r="BN118" s="69">
        <f>INT(BJ118*升级节奏!G118+BK118)</f>
        <v>183570145</v>
      </c>
      <c r="BO118" s="7">
        <f t="shared" si="14"/>
        <v>516</v>
      </c>
      <c r="BP118" s="7"/>
    </row>
    <row r="119" spans="1:68">
      <c r="A119" s="29">
        <v>117</v>
      </c>
      <c r="B119" s="84">
        <f>升级节奏!C119</f>
        <v>46800</v>
      </c>
      <c r="C119" s="53">
        <f>IF(VLOOKUP(C$2,行为概览!$D$3:$J$33,7,0)="","",VLOOKUP(C$2,行为概览!$D$3:$J$33,7,0))</f>
        <v>50</v>
      </c>
      <c r="D119" s="53">
        <f>IF(VLOOKUP(D$2,行为概览!$D$3:$J$33,7,0)="","",VLOOKUP(D$2,行为概览!$D$3:$J$33,7,0))</f>
        <v>3.3</v>
      </c>
      <c r="E119" s="53">
        <f>IF(VLOOKUP(E$2,行为概览!$D$3:$J$33,7,0)="","",VLOOKUP(E$2,行为概览!$D$3:$J$33,7,0))</f>
        <v>30</v>
      </c>
      <c r="F119" s="53">
        <f>IF(VLOOKUP(F$2,行为概览!$D$3:$J$33,7,0)="","",VLOOKUP(F$2,行为概览!$D$3:$J$33,7,0))</f>
        <v>15</v>
      </c>
      <c r="G119" s="53" t="str">
        <f>IF(VLOOKUP(G$2,行为概览!$D$3:$J$33,7,0)="","",VLOOKUP(G$2,行为概览!$D$3:$J$33,7,0))</f>
        <v/>
      </c>
      <c r="H119" s="53" t="str">
        <f>IF(VLOOKUP(H$2,行为概览!$D$3:$J$33,7,0)="","",VLOOKUP(H$2,行为概览!$D$3:$J$33,7,0))</f>
        <v/>
      </c>
      <c r="I119" s="53" t="str">
        <f>IF(VLOOKUP(I$2,行为概览!$D$3:$J$33,7,0)="","",VLOOKUP(I$2,行为概览!$D$3:$J$33,7,0))</f>
        <v/>
      </c>
      <c r="J119" s="53" t="str">
        <f>IF(VLOOKUP(J$2,行为概览!$D$3:$J$33,7,0)="","",VLOOKUP(J$2,行为概览!$D$3:$J$33,7,0))</f>
        <v/>
      </c>
      <c r="K119" s="53">
        <f>IF(VLOOKUP(K$2,行为概览!$D$3:$J$33,7,0)="","",VLOOKUP(K$2,行为概览!$D$3:$J$33,7,0))</f>
        <v>20</v>
      </c>
      <c r="L119" s="53">
        <f>IF(VLOOKUP(L$2,行为概览!$D$3:$J$33,7,0)="","",VLOOKUP(L$2,行为概览!$D$3:$J$33,7,0))</f>
        <v>20</v>
      </c>
      <c r="M119" s="53">
        <f>IF(VLOOKUP(M$2,行为概览!$D$3:$J$33,7,0)="","",VLOOKUP(M$2,行为概览!$D$3:$J$33,7,0))</f>
        <v>40</v>
      </c>
      <c r="N119" s="53">
        <f>IF(VLOOKUP(N$2,行为概览!$D$3:$J$33,7,0)="","",VLOOKUP(N$2,行为概览!$D$3:$J$33,7,0))</f>
        <v>1</v>
      </c>
      <c r="O119" s="53">
        <f>IF(VLOOKUP(O$2,行为概览!$D$3:$J$33,7,0)="","",VLOOKUP(O$2,行为概览!$D$3:$J$33,7,0))</f>
        <v>150</v>
      </c>
      <c r="P119" s="53">
        <f>IF(VLOOKUP(P$2,行为概览!$D$3:$J$33,7,0)="","",VLOOKUP(P$2,行为概览!$D$3:$J$33,7,0))</f>
        <v>10</v>
      </c>
      <c r="Q119" s="53">
        <f>IF(VLOOKUP(Q$2,行为概览!$D$3:$J$33,7,0)="","",VLOOKUP(Q$2,行为概览!$D$3:$J$33,7,0))</f>
        <v>20</v>
      </c>
      <c r="R119" s="53">
        <f>IF(VLOOKUP(R$2,行为概览!$D$3:$J$33,7,0)="","",VLOOKUP(R$2,行为概览!$D$3:$J$33,7,0))</f>
        <v>6</v>
      </c>
      <c r="S119" s="53">
        <f>IF(VLOOKUP(S$2,行为概览!$D$3:$J$33,7,0)="","",VLOOKUP(S$2,行为概览!$D$3:$J$33,7,0))</f>
        <v>20</v>
      </c>
      <c r="T119" s="53">
        <f>IF(VLOOKUP(T$2,行为概览!$D$3:$J$33,7,0)="","",VLOOKUP(T$2,行为概览!$D$3:$J$33,7,0))</f>
        <v>15</v>
      </c>
      <c r="U119" s="53">
        <f>IF(VLOOKUP(U$2,行为概览!$D$3:$J$33,7,0)="","",VLOOKUP(U$2,行为概览!$D$3:$J$33,7,0))</f>
        <v>15</v>
      </c>
      <c r="V119" s="53">
        <f>IF(VLOOKUP(V$2,行为概览!$D$3:$J$33,7,0)="","",VLOOKUP(V$2,行为概览!$D$3:$J$33,7,0))</f>
        <v>40</v>
      </c>
      <c r="W119" s="53">
        <f>IF(VLOOKUP(W$2,行为概览!$D$3:$J$33,7,0)="","",VLOOKUP(W$2,行为概览!$D$3:$J$33,7,0))</f>
        <v>15</v>
      </c>
      <c r="X119" s="53">
        <f>IF(VLOOKUP(X$2,行为概览!$D$3:$J$33,7,0)="","",VLOOKUP(X$2,行为概览!$D$3:$J$33,7,0))</f>
        <v>30</v>
      </c>
      <c r="Y119" s="53">
        <f>IF(VLOOKUP(Y$2,行为概览!$D$3:$J$33,7,0)="","",VLOOKUP(Y$2,行为概览!$D$3:$J$33,7,0))</f>
        <v>25</v>
      </c>
      <c r="Z119" s="53">
        <f>IF(VLOOKUP(Z$2,行为概览!$D$3:$J$33,7,0)="","",VLOOKUP(Z$2,行为概览!$D$3:$J$33,7,0))</f>
        <v>15</v>
      </c>
      <c r="AA119" s="53">
        <f>IF(VLOOKUP(AA$2,行为概览!$D$3:$J$33,7,0)="","",VLOOKUP(AA$2,行为概览!$D$3:$J$33,7,0))</f>
        <v>15</v>
      </c>
      <c r="AB119" s="53" t="str">
        <f>IF(VLOOKUP(AB$2,行为概览!$D$3:$J$33,7,0)="","",VLOOKUP(AB$2,行为概览!$D$3:$J$33,7,0))</f>
        <v/>
      </c>
      <c r="AC119" s="53" t="str">
        <f>IF(VLOOKUP(AC$2,行为概览!$D$3:$J$33,7,0)="","",VLOOKUP(AC$2,行为概览!$D$3:$J$33,7,0))</f>
        <v/>
      </c>
      <c r="AD119" s="53" t="str">
        <f>IF(VLOOKUP(AD$2,行为概览!$D$3:$J$33,7,0)="","",VLOOKUP(AD$2,行为概览!$D$3:$J$33,7,0))</f>
        <v/>
      </c>
      <c r="AE119" s="68" t="str">
        <f>IF(VLOOKUP(AE$2,行为概览!$D$3:$J$33,7,0)="","",VLOOKUP(AE$2,行为概览!$D$3:$J$33,7,0))</f>
        <v/>
      </c>
      <c r="AF119" s="1">
        <f>IF(C119="","",ROUND(C119*玩法行为规划!B119,2))</f>
        <v>16.670000000000002</v>
      </c>
      <c r="AG119" s="2">
        <f>IF(D119="","",ROUND(D119*玩法行为规划!C119,2))</f>
        <v>6.6</v>
      </c>
      <c r="AH119" s="2">
        <f>IF(E119="","",ROUND(E119*玩法行为规划!D119,2))</f>
        <v>2.5</v>
      </c>
      <c r="AI119" s="2">
        <f>IF(F119="","",ROUND(F119*玩法行为规划!E119,2))</f>
        <v>15</v>
      </c>
      <c r="AJ119" s="2" t="str">
        <f>IF(G119="","",ROUND(G119*玩法行为规划!F119,2))</f>
        <v/>
      </c>
      <c r="AK119" s="2" t="str">
        <f>IF(H119="","",ROUND(H119*玩法行为规划!G119,2))</f>
        <v/>
      </c>
      <c r="AL119" s="2" t="str">
        <f>IF(I119="","",ROUND(I119*玩法行为规划!H119,2))</f>
        <v/>
      </c>
      <c r="AM119" s="2" t="str">
        <f>IF(J119="","",ROUND(J119*玩法行为规划!I119,2))</f>
        <v/>
      </c>
      <c r="AN119" s="2">
        <f>IF(K119="","",ROUND(K119*玩法行为规划!J119,2))</f>
        <v>10</v>
      </c>
      <c r="AO119" s="2">
        <f>IF(L119="","",ROUND(L119*玩法行为规划!K119,2))</f>
        <v>3.33</v>
      </c>
      <c r="AP119" s="2">
        <f>IF(M119="","",ROUND(M119*玩法行为规划!L119,2))</f>
        <v>20</v>
      </c>
      <c r="AQ119" s="2">
        <f>IF(N119="","",ROUND(N119*玩法行为规划!M119,2))</f>
        <v>12</v>
      </c>
      <c r="AR119" s="2">
        <f>IF(O119="","",ROUND(O119*玩法行为规划!N119,2))</f>
        <v>12.5</v>
      </c>
      <c r="AS119" s="2">
        <f>IF(P119="","",ROUND(P119*玩法行为规划!O119,2))</f>
        <v>0.83</v>
      </c>
      <c r="AT119" s="2">
        <f>IF(Q119="","",ROUND(Q119*玩法行为规划!P119,2))</f>
        <v>52</v>
      </c>
      <c r="AU119" s="2">
        <f>IF(R119="","",ROUND(R119*玩法行为规划!Q119,2))</f>
        <v>6</v>
      </c>
      <c r="AV119" s="2">
        <f>IF(S119="","",ROUND(S119*玩法行为规划!R119,2))</f>
        <v>6.67</v>
      </c>
      <c r="AW119" s="2">
        <f>IF(T119="","",ROUND(T119*玩法行为规划!S119,2))</f>
        <v>0</v>
      </c>
      <c r="AX119" s="2">
        <f>IF(U119="","",ROUND(U119*玩法行为规划!T119,2))</f>
        <v>5</v>
      </c>
      <c r="AY119" s="2">
        <f>IF(V119="","",ROUND(V119*玩法行为规划!U119,2))</f>
        <v>6.67</v>
      </c>
      <c r="AZ119" s="2">
        <f>IF(W119="","",ROUND(W119*玩法行为规划!V119,2))</f>
        <v>2.5</v>
      </c>
      <c r="BA119" s="2">
        <f>IF(X119="","",ROUND(X119*玩法行为规划!W119,2))</f>
        <v>5</v>
      </c>
      <c r="BB119" s="2">
        <f>IF(Y119="","",ROUND(Y119*玩法行为规划!X119,2))</f>
        <v>6.25</v>
      </c>
      <c r="BC119" s="2">
        <f>IF(Z119="","",ROUND(Z119*玩法行为规划!Y119,2))</f>
        <v>8.75</v>
      </c>
      <c r="BD119" s="2">
        <f>IF(AA119="","",ROUND(AA119*玩法行为规划!Z119,2))</f>
        <v>2.5</v>
      </c>
      <c r="BE119" s="2" t="str">
        <f>IF(AB119="","",ROUND(AB119*玩法行为规划!AA119,2))</f>
        <v/>
      </c>
      <c r="BF119" s="2" t="str">
        <f>IF(AC119="","",ROUND(AC119*玩法行为规划!AB119,2))</f>
        <v/>
      </c>
      <c r="BG119" s="2" t="str">
        <f>IF(AD119="","",ROUND(AD119*玩法行为规划!AC119,2))</f>
        <v/>
      </c>
      <c r="BH119" s="3" t="str">
        <f>IF(AE119="","",ROUND(AE119*玩法行为规划!AD119,2))</f>
        <v/>
      </c>
      <c r="BI119" s="7">
        <f t="shared" si="17"/>
        <v>200.76999999999998</v>
      </c>
      <c r="BJ119" s="7">
        <f t="shared" si="18"/>
        <v>9396036</v>
      </c>
      <c r="BK119" s="69">
        <f t="shared" si="15"/>
        <v>4759600</v>
      </c>
      <c r="BL119" s="21" t="str">
        <f t="shared" si="20"/>
        <v/>
      </c>
      <c r="BM119" s="7">
        <f t="shared" si="19"/>
        <v>2.5275923431774087E-2</v>
      </c>
      <c r="BN119" s="69">
        <f>INT(BJ119*升级节奏!G119+BK119)</f>
        <v>188305682</v>
      </c>
      <c r="BO119" s="7">
        <f t="shared" si="14"/>
        <v>520</v>
      </c>
      <c r="BP119" s="7"/>
    </row>
    <row r="120" spans="1:68">
      <c r="A120" s="29">
        <v>118</v>
      </c>
      <c r="B120" s="84">
        <f>升级节奏!C120</f>
        <v>47200</v>
      </c>
      <c r="C120" s="53">
        <f>IF(VLOOKUP(C$2,行为概览!$D$3:$J$33,7,0)="","",VLOOKUP(C$2,行为概览!$D$3:$J$33,7,0))</f>
        <v>50</v>
      </c>
      <c r="D120" s="53">
        <f>IF(VLOOKUP(D$2,行为概览!$D$3:$J$33,7,0)="","",VLOOKUP(D$2,行为概览!$D$3:$J$33,7,0))</f>
        <v>3.3</v>
      </c>
      <c r="E120" s="53">
        <f>IF(VLOOKUP(E$2,行为概览!$D$3:$J$33,7,0)="","",VLOOKUP(E$2,行为概览!$D$3:$J$33,7,0))</f>
        <v>30</v>
      </c>
      <c r="F120" s="53">
        <f>IF(VLOOKUP(F$2,行为概览!$D$3:$J$33,7,0)="","",VLOOKUP(F$2,行为概览!$D$3:$J$33,7,0))</f>
        <v>15</v>
      </c>
      <c r="G120" s="53" t="str">
        <f>IF(VLOOKUP(G$2,行为概览!$D$3:$J$33,7,0)="","",VLOOKUP(G$2,行为概览!$D$3:$J$33,7,0))</f>
        <v/>
      </c>
      <c r="H120" s="53" t="str">
        <f>IF(VLOOKUP(H$2,行为概览!$D$3:$J$33,7,0)="","",VLOOKUP(H$2,行为概览!$D$3:$J$33,7,0))</f>
        <v/>
      </c>
      <c r="I120" s="53" t="str">
        <f>IF(VLOOKUP(I$2,行为概览!$D$3:$J$33,7,0)="","",VLOOKUP(I$2,行为概览!$D$3:$J$33,7,0))</f>
        <v/>
      </c>
      <c r="J120" s="53" t="str">
        <f>IF(VLOOKUP(J$2,行为概览!$D$3:$J$33,7,0)="","",VLOOKUP(J$2,行为概览!$D$3:$J$33,7,0))</f>
        <v/>
      </c>
      <c r="K120" s="53">
        <f>IF(VLOOKUP(K$2,行为概览!$D$3:$J$33,7,0)="","",VLOOKUP(K$2,行为概览!$D$3:$J$33,7,0))</f>
        <v>20</v>
      </c>
      <c r="L120" s="53">
        <f>IF(VLOOKUP(L$2,行为概览!$D$3:$J$33,7,0)="","",VLOOKUP(L$2,行为概览!$D$3:$J$33,7,0))</f>
        <v>20</v>
      </c>
      <c r="M120" s="53">
        <f>IF(VLOOKUP(M$2,行为概览!$D$3:$J$33,7,0)="","",VLOOKUP(M$2,行为概览!$D$3:$J$33,7,0))</f>
        <v>40</v>
      </c>
      <c r="N120" s="53">
        <f>IF(VLOOKUP(N$2,行为概览!$D$3:$J$33,7,0)="","",VLOOKUP(N$2,行为概览!$D$3:$J$33,7,0))</f>
        <v>1</v>
      </c>
      <c r="O120" s="53">
        <f>IF(VLOOKUP(O$2,行为概览!$D$3:$J$33,7,0)="","",VLOOKUP(O$2,行为概览!$D$3:$J$33,7,0))</f>
        <v>150</v>
      </c>
      <c r="P120" s="53">
        <f>IF(VLOOKUP(P$2,行为概览!$D$3:$J$33,7,0)="","",VLOOKUP(P$2,行为概览!$D$3:$J$33,7,0))</f>
        <v>10</v>
      </c>
      <c r="Q120" s="53">
        <f>IF(VLOOKUP(Q$2,行为概览!$D$3:$J$33,7,0)="","",VLOOKUP(Q$2,行为概览!$D$3:$J$33,7,0))</f>
        <v>20</v>
      </c>
      <c r="R120" s="53">
        <f>IF(VLOOKUP(R$2,行为概览!$D$3:$J$33,7,0)="","",VLOOKUP(R$2,行为概览!$D$3:$J$33,7,0))</f>
        <v>6</v>
      </c>
      <c r="S120" s="53">
        <f>IF(VLOOKUP(S$2,行为概览!$D$3:$J$33,7,0)="","",VLOOKUP(S$2,行为概览!$D$3:$J$33,7,0))</f>
        <v>20</v>
      </c>
      <c r="T120" s="53">
        <f>IF(VLOOKUP(T$2,行为概览!$D$3:$J$33,7,0)="","",VLOOKUP(T$2,行为概览!$D$3:$J$33,7,0))</f>
        <v>15</v>
      </c>
      <c r="U120" s="53">
        <f>IF(VLOOKUP(U$2,行为概览!$D$3:$J$33,7,0)="","",VLOOKUP(U$2,行为概览!$D$3:$J$33,7,0))</f>
        <v>15</v>
      </c>
      <c r="V120" s="53">
        <f>IF(VLOOKUP(V$2,行为概览!$D$3:$J$33,7,0)="","",VLOOKUP(V$2,行为概览!$D$3:$J$33,7,0))</f>
        <v>40</v>
      </c>
      <c r="W120" s="53">
        <f>IF(VLOOKUP(W$2,行为概览!$D$3:$J$33,7,0)="","",VLOOKUP(W$2,行为概览!$D$3:$J$33,7,0))</f>
        <v>15</v>
      </c>
      <c r="X120" s="53">
        <f>IF(VLOOKUP(X$2,行为概览!$D$3:$J$33,7,0)="","",VLOOKUP(X$2,行为概览!$D$3:$J$33,7,0))</f>
        <v>30</v>
      </c>
      <c r="Y120" s="53">
        <f>IF(VLOOKUP(Y$2,行为概览!$D$3:$J$33,7,0)="","",VLOOKUP(Y$2,行为概览!$D$3:$J$33,7,0))</f>
        <v>25</v>
      </c>
      <c r="Z120" s="53">
        <f>IF(VLOOKUP(Z$2,行为概览!$D$3:$J$33,7,0)="","",VLOOKUP(Z$2,行为概览!$D$3:$J$33,7,0))</f>
        <v>15</v>
      </c>
      <c r="AA120" s="53">
        <f>IF(VLOOKUP(AA$2,行为概览!$D$3:$J$33,7,0)="","",VLOOKUP(AA$2,行为概览!$D$3:$J$33,7,0))</f>
        <v>15</v>
      </c>
      <c r="AB120" s="53" t="str">
        <f>IF(VLOOKUP(AB$2,行为概览!$D$3:$J$33,7,0)="","",VLOOKUP(AB$2,行为概览!$D$3:$J$33,7,0))</f>
        <v/>
      </c>
      <c r="AC120" s="53" t="str">
        <f>IF(VLOOKUP(AC$2,行为概览!$D$3:$J$33,7,0)="","",VLOOKUP(AC$2,行为概览!$D$3:$J$33,7,0))</f>
        <v/>
      </c>
      <c r="AD120" s="53" t="str">
        <f>IF(VLOOKUP(AD$2,行为概览!$D$3:$J$33,7,0)="","",VLOOKUP(AD$2,行为概览!$D$3:$J$33,7,0))</f>
        <v/>
      </c>
      <c r="AE120" s="68" t="str">
        <f>IF(VLOOKUP(AE$2,行为概览!$D$3:$J$33,7,0)="","",VLOOKUP(AE$2,行为概览!$D$3:$J$33,7,0))</f>
        <v/>
      </c>
      <c r="AF120" s="1">
        <f>IF(C120="","",ROUND(C120*玩法行为规划!B120,2))</f>
        <v>16.670000000000002</v>
      </c>
      <c r="AG120" s="2">
        <f>IF(D120="","",ROUND(D120*玩法行为规划!C120,2))</f>
        <v>6.6</v>
      </c>
      <c r="AH120" s="2">
        <f>IF(E120="","",ROUND(E120*玩法行为规划!D120,2))</f>
        <v>2.5</v>
      </c>
      <c r="AI120" s="2">
        <f>IF(F120="","",ROUND(F120*玩法行为规划!E120,2))</f>
        <v>15</v>
      </c>
      <c r="AJ120" s="2" t="str">
        <f>IF(G120="","",ROUND(G120*玩法行为规划!F120,2))</f>
        <v/>
      </c>
      <c r="AK120" s="2" t="str">
        <f>IF(H120="","",ROUND(H120*玩法行为规划!G120,2))</f>
        <v/>
      </c>
      <c r="AL120" s="2" t="str">
        <f>IF(I120="","",ROUND(I120*玩法行为规划!H120,2))</f>
        <v/>
      </c>
      <c r="AM120" s="2" t="str">
        <f>IF(J120="","",ROUND(J120*玩法行为规划!I120,2))</f>
        <v/>
      </c>
      <c r="AN120" s="2">
        <f>IF(K120="","",ROUND(K120*玩法行为规划!J120,2))</f>
        <v>10</v>
      </c>
      <c r="AO120" s="2">
        <f>IF(L120="","",ROUND(L120*玩法行为规划!K120,2))</f>
        <v>3.33</v>
      </c>
      <c r="AP120" s="2">
        <f>IF(M120="","",ROUND(M120*玩法行为规划!L120,2))</f>
        <v>20</v>
      </c>
      <c r="AQ120" s="2">
        <f>IF(N120="","",ROUND(N120*玩法行为规划!M120,2))</f>
        <v>12</v>
      </c>
      <c r="AR120" s="2">
        <f>IF(O120="","",ROUND(O120*玩法行为规划!N120,2))</f>
        <v>12.5</v>
      </c>
      <c r="AS120" s="2">
        <f>IF(P120="","",ROUND(P120*玩法行为规划!O120,2))</f>
        <v>0.83</v>
      </c>
      <c r="AT120" s="2">
        <f>IF(Q120="","",ROUND(Q120*玩法行为规划!P120,2))</f>
        <v>52</v>
      </c>
      <c r="AU120" s="2">
        <f>IF(R120="","",ROUND(R120*玩法行为规划!Q120,2))</f>
        <v>6</v>
      </c>
      <c r="AV120" s="2">
        <f>IF(S120="","",ROUND(S120*玩法行为规划!R120,2))</f>
        <v>6.67</v>
      </c>
      <c r="AW120" s="2">
        <f>IF(T120="","",ROUND(T120*玩法行为规划!S120,2))</f>
        <v>0</v>
      </c>
      <c r="AX120" s="2">
        <f>IF(U120="","",ROUND(U120*玩法行为规划!T120,2))</f>
        <v>5</v>
      </c>
      <c r="AY120" s="2">
        <f>IF(V120="","",ROUND(V120*玩法行为规划!U120,2))</f>
        <v>6.67</v>
      </c>
      <c r="AZ120" s="2">
        <f>IF(W120="","",ROUND(W120*玩法行为规划!V120,2))</f>
        <v>2.5</v>
      </c>
      <c r="BA120" s="2">
        <f>IF(X120="","",ROUND(X120*玩法行为规划!W120,2))</f>
        <v>5</v>
      </c>
      <c r="BB120" s="2">
        <f>IF(Y120="","",ROUND(Y120*玩法行为规划!X120,2))</f>
        <v>6.25</v>
      </c>
      <c r="BC120" s="2">
        <f>IF(Z120="","",ROUND(Z120*玩法行为规划!Y120,2))</f>
        <v>8.75</v>
      </c>
      <c r="BD120" s="2">
        <f>IF(AA120="","",ROUND(AA120*玩法行为规划!Z120,2))</f>
        <v>2.5</v>
      </c>
      <c r="BE120" s="2" t="str">
        <f>IF(AB120="","",ROUND(AB120*玩法行为规划!AA120,2))</f>
        <v/>
      </c>
      <c r="BF120" s="2" t="str">
        <f>IF(AC120="","",ROUND(AC120*玩法行为规划!AB120,2))</f>
        <v/>
      </c>
      <c r="BG120" s="2" t="str">
        <f>IF(AD120="","",ROUND(AD120*玩法行为规划!AC120,2))</f>
        <v/>
      </c>
      <c r="BH120" s="3" t="str">
        <f>IF(AE120="","",ROUND(AE120*玩法行为规划!AD120,2))</f>
        <v/>
      </c>
      <c r="BI120" s="7">
        <f t="shared" si="17"/>
        <v>200.76999999999998</v>
      </c>
      <c r="BJ120" s="7">
        <f t="shared" si="18"/>
        <v>9476344</v>
      </c>
      <c r="BK120" s="69">
        <f t="shared" si="15"/>
        <v>4852200</v>
      </c>
      <c r="BL120" s="21" t="str">
        <f t="shared" si="20"/>
        <v/>
      </c>
      <c r="BM120" s="7">
        <f t="shared" si="19"/>
        <v>2.5125065447657576E-2</v>
      </c>
      <c r="BN120" s="69">
        <f>INT(BJ120*升级节奏!G120+BK120)</f>
        <v>193121885</v>
      </c>
      <c r="BO120" s="7">
        <f t="shared" si="14"/>
        <v>524</v>
      </c>
      <c r="BP120" s="7"/>
    </row>
    <row r="121" spans="1:68">
      <c r="A121" s="29">
        <v>119</v>
      </c>
      <c r="B121" s="84">
        <f>升级节奏!C121</f>
        <v>47600</v>
      </c>
      <c r="C121" s="53">
        <f>IF(VLOOKUP(C$2,行为概览!$D$3:$J$33,7,0)="","",VLOOKUP(C$2,行为概览!$D$3:$J$33,7,0))</f>
        <v>50</v>
      </c>
      <c r="D121" s="53">
        <f>IF(VLOOKUP(D$2,行为概览!$D$3:$J$33,7,0)="","",VLOOKUP(D$2,行为概览!$D$3:$J$33,7,0))</f>
        <v>3.3</v>
      </c>
      <c r="E121" s="53">
        <f>IF(VLOOKUP(E$2,行为概览!$D$3:$J$33,7,0)="","",VLOOKUP(E$2,行为概览!$D$3:$J$33,7,0))</f>
        <v>30</v>
      </c>
      <c r="F121" s="53">
        <f>IF(VLOOKUP(F$2,行为概览!$D$3:$J$33,7,0)="","",VLOOKUP(F$2,行为概览!$D$3:$J$33,7,0))</f>
        <v>15</v>
      </c>
      <c r="G121" s="53" t="str">
        <f>IF(VLOOKUP(G$2,行为概览!$D$3:$J$33,7,0)="","",VLOOKUP(G$2,行为概览!$D$3:$J$33,7,0))</f>
        <v/>
      </c>
      <c r="H121" s="53" t="str">
        <f>IF(VLOOKUP(H$2,行为概览!$D$3:$J$33,7,0)="","",VLOOKUP(H$2,行为概览!$D$3:$J$33,7,0))</f>
        <v/>
      </c>
      <c r="I121" s="53" t="str">
        <f>IF(VLOOKUP(I$2,行为概览!$D$3:$J$33,7,0)="","",VLOOKUP(I$2,行为概览!$D$3:$J$33,7,0))</f>
        <v/>
      </c>
      <c r="J121" s="53" t="str">
        <f>IF(VLOOKUP(J$2,行为概览!$D$3:$J$33,7,0)="","",VLOOKUP(J$2,行为概览!$D$3:$J$33,7,0))</f>
        <v/>
      </c>
      <c r="K121" s="53">
        <f>IF(VLOOKUP(K$2,行为概览!$D$3:$J$33,7,0)="","",VLOOKUP(K$2,行为概览!$D$3:$J$33,7,0))</f>
        <v>20</v>
      </c>
      <c r="L121" s="53">
        <f>IF(VLOOKUP(L$2,行为概览!$D$3:$J$33,7,0)="","",VLOOKUP(L$2,行为概览!$D$3:$J$33,7,0))</f>
        <v>20</v>
      </c>
      <c r="M121" s="53">
        <f>IF(VLOOKUP(M$2,行为概览!$D$3:$J$33,7,0)="","",VLOOKUP(M$2,行为概览!$D$3:$J$33,7,0))</f>
        <v>40</v>
      </c>
      <c r="N121" s="53">
        <f>IF(VLOOKUP(N$2,行为概览!$D$3:$J$33,7,0)="","",VLOOKUP(N$2,行为概览!$D$3:$J$33,7,0))</f>
        <v>1</v>
      </c>
      <c r="O121" s="53">
        <f>IF(VLOOKUP(O$2,行为概览!$D$3:$J$33,7,0)="","",VLOOKUP(O$2,行为概览!$D$3:$J$33,7,0))</f>
        <v>150</v>
      </c>
      <c r="P121" s="53">
        <f>IF(VLOOKUP(P$2,行为概览!$D$3:$J$33,7,0)="","",VLOOKUP(P$2,行为概览!$D$3:$J$33,7,0))</f>
        <v>10</v>
      </c>
      <c r="Q121" s="53">
        <f>IF(VLOOKUP(Q$2,行为概览!$D$3:$J$33,7,0)="","",VLOOKUP(Q$2,行为概览!$D$3:$J$33,7,0))</f>
        <v>20</v>
      </c>
      <c r="R121" s="53">
        <f>IF(VLOOKUP(R$2,行为概览!$D$3:$J$33,7,0)="","",VLOOKUP(R$2,行为概览!$D$3:$J$33,7,0))</f>
        <v>6</v>
      </c>
      <c r="S121" s="53">
        <f>IF(VLOOKUP(S$2,行为概览!$D$3:$J$33,7,0)="","",VLOOKUP(S$2,行为概览!$D$3:$J$33,7,0))</f>
        <v>20</v>
      </c>
      <c r="T121" s="53">
        <f>IF(VLOOKUP(T$2,行为概览!$D$3:$J$33,7,0)="","",VLOOKUP(T$2,行为概览!$D$3:$J$33,7,0))</f>
        <v>15</v>
      </c>
      <c r="U121" s="53">
        <f>IF(VLOOKUP(U$2,行为概览!$D$3:$J$33,7,0)="","",VLOOKUP(U$2,行为概览!$D$3:$J$33,7,0))</f>
        <v>15</v>
      </c>
      <c r="V121" s="53">
        <f>IF(VLOOKUP(V$2,行为概览!$D$3:$J$33,7,0)="","",VLOOKUP(V$2,行为概览!$D$3:$J$33,7,0))</f>
        <v>40</v>
      </c>
      <c r="W121" s="53">
        <f>IF(VLOOKUP(W$2,行为概览!$D$3:$J$33,7,0)="","",VLOOKUP(W$2,行为概览!$D$3:$J$33,7,0))</f>
        <v>15</v>
      </c>
      <c r="X121" s="53">
        <f>IF(VLOOKUP(X$2,行为概览!$D$3:$J$33,7,0)="","",VLOOKUP(X$2,行为概览!$D$3:$J$33,7,0))</f>
        <v>30</v>
      </c>
      <c r="Y121" s="53">
        <f>IF(VLOOKUP(Y$2,行为概览!$D$3:$J$33,7,0)="","",VLOOKUP(Y$2,行为概览!$D$3:$J$33,7,0))</f>
        <v>25</v>
      </c>
      <c r="Z121" s="53">
        <f>IF(VLOOKUP(Z$2,行为概览!$D$3:$J$33,7,0)="","",VLOOKUP(Z$2,行为概览!$D$3:$J$33,7,0))</f>
        <v>15</v>
      </c>
      <c r="AA121" s="53">
        <f>IF(VLOOKUP(AA$2,行为概览!$D$3:$J$33,7,0)="","",VLOOKUP(AA$2,行为概览!$D$3:$J$33,7,0))</f>
        <v>15</v>
      </c>
      <c r="AB121" s="53" t="str">
        <f>IF(VLOOKUP(AB$2,行为概览!$D$3:$J$33,7,0)="","",VLOOKUP(AB$2,行为概览!$D$3:$J$33,7,0))</f>
        <v/>
      </c>
      <c r="AC121" s="53" t="str">
        <f>IF(VLOOKUP(AC$2,行为概览!$D$3:$J$33,7,0)="","",VLOOKUP(AC$2,行为概览!$D$3:$J$33,7,0))</f>
        <v/>
      </c>
      <c r="AD121" s="53" t="str">
        <f>IF(VLOOKUP(AD$2,行为概览!$D$3:$J$33,7,0)="","",VLOOKUP(AD$2,行为概览!$D$3:$J$33,7,0))</f>
        <v/>
      </c>
      <c r="AE121" s="68" t="str">
        <f>IF(VLOOKUP(AE$2,行为概览!$D$3:$J$33,7,0)="","",VLOOKUP(AE$2,行为概览!$D$3:$J$33,7,0))</f>
        <v/>
      </c>
      <c r="AF121" s="1">
        <f>IF(C121="","",ROUND(C121*玩法行为规划!B121,2))</f>
        <v>16.670000000000002</v>
      </c>
      <c r="AG121" s="2">
        <f>IF(D121="","",ROUND(D121*玩法行为规划!C121,2))</f>
        <v>6.6</v>
      </c>
      <c r="AH121" s="2">
        <f>IF(E121="","",ROUND(E121*玩法行为规划!D121,2))</f>
        <v>2.5</v>
      </c>
      <c r="AI121" s="2">
        <f>IF(F121="","",ROUND(F121*玩法行为规划!E121,2))</f>
        <v>15</v>
      </c>
      <c r="AJ121" s="2" t="str">
        <f>IF(G121="","",ROUND(G121*玩法行为规划!F121,2))</f>
        <v/>
      </c>
      <c r="AK121" s="2" t="str">
        <f>IF(H121="","",ROUND(H121*玩法行为规划!G121,2))</f>
        <v/>
      </c>
      <c r="AL121" s="2" t="str">
        <f>IF(I121="","",ROUND(I121*玩法行为规划!H121,2))</f>
        <v/>
      </c>
      <c r="AM121" s="2" t="str">
        <f>IF(J121="","",ROUND(J121*玩法行为规划!I121,2))</f>
        <v/>
      </c>
      <c r="AN121" s="2">
        <f>IF(K121="","",ROUND(K121*玩法行为规划!J121,2))</f>
        <v>10</v>
      </c>
      <c r="AO121" s="2">
        <f>IF(L121="","",ROUND(L121*玩法行为规划!K121,2))</f>
        <v>3.33</v>
      </c>
      <c r="AP121" s="2">
        <f>IF(M121="","",ROUND(M121*玩法行为规划!L121,2))</f>
        <v>20</v>
      </c>
      <c r="AQ121" s="2">
        <f>IF(N121="","",ROUND(N121*玩法行为规划!M121,2))</f>
        <v>12</v>
      </c>
      <c r="AR121" s="2">
        <f>IF(O121="","",ROUND(O121*玩法行为规划!N121,2))</f>
        <v>12.5</v>
      </c>
      <c r="AS121" s="2">
        <f>IF(P121="","",ROUND(P121*玩法行为规划!O121,2))</f>
        <v>0.83</v>
      </c>
      <c r="AT121" s="2">
        <f>IF(Q121="","",ROUND(Q121*玩法行为规划!P121,2))</f>
        <v>52</v>
      </c>
      <c r="AU121" s="2">
        <f>IF(R121="","",ROUND(R121*玩法行为规划!Q121,2))</f>
        <v>6</v>
      </c>
      <c r="AV121" s="2">
        <f>IF(S121="","",ROUND(S121*玩法行为规划!R121,2))</f>
        <v>6.67</v>
      </c>
      <c r="AW121" s="2">
        <f>IF(T121="","",ROUND(T121*玩法行为规划!S121,2))</f>
        <v>0</v>
      </c>
      <c r="AX121" s="2">
        <f>IF(U121="","",ROUND(U121*玩法行为规划!T121,2))</f>
        <v>5</v>
      </c>
      <c r="AY121" s="2">
        <f>IF(V121="","",ROUND(V121*玩法行为规划!U121,2))</f>
        <v>6.67</v>
      </c>
      <c r="AZ121" s="2">
        <f>IF(W121="","",ROUND(W121*玩法行为规划!V121,2))</f>
        <v>2.5</v>
      </c>
      <c r="BA121" s="2">
        <f>IF(X121="","",ROUND(X121*玩法行为规划!W121,2))</f>
        <v>5</v>
      </c>
      <c r="BB121" s="2">
        <f>IF(Y121="","",ROUND(Y121*玩法行为规划!X121,2))</f>
        <v>6.25</v>
      </c>
      <c r="BC121" s="2">
        <f>IF(Z121="","",ROUND(Z121*玩法行为规划!Y121,2))</f>
        <v>8.75</v>
      </c>
      <c r="BD121" s="2">
        <f>IF(AA121="","",ROUND(AA121*玩法行为规划!Z121,2))</f>
        <v>2.5</v>
      </c>
      <c r="BE121" s="2" t="str">
        <f>IF(AB121="","",ROUND(AB121*玩法行为规划!AA121,2))</f>
        <v/>
      </c>
      <c r="BF121" s="2" t="str">
        <f>IF(AC121="","",ROUND(AC121*玩法行为规划!AB121,2))</f>
        <v/>
      </c>
      <c r="BG121" s="2" t="str">
        <f>IF(AD121="","",ROUND(AD121*玩法行为规划!AC121,2))</f>
        <v/>
      </c>
      <c r="BH121" s="3" t="str">
        <f>IF(AE121="","",ROUND(AE121*玩法行为规划!AD121,2))</f>
        <v/>
      </c>
      <c r="BI121" s="7">
        <f t="shared" si="17"/>
        <v>200.76999999999998</v>
      </c>
      <c r="BJ121" s="7">
        <f t="shared" si="18"/>
        <v>9556652</v>
      </c>
      <c r="BK121" s="69">
        <f t="shared" si="15"/>
        <v>4945600</v>
      </c>
      <c r="BL121" s="21" t="str">
        <f t="shared" si="20"/>
        <v/>
      </c>
      <c r="BM121" s="7">
        <f t="shared" si="19"/>
        <v>2.4975326159397807E-2</v>
      </c>
      <c r="BN121" s="69">
        <f>INT(BJ121*升级节奏!G121+BK121)</f>
        <v>198019436</v>
      </c>
      <c r="BO121" s="7">
        <f t="shared" si="14"/>
        <v>529</v>
      </c>
      <c r="BP121" s="7"/>
    </row>
    <row r="122" spans="1:68">
      <c r="A122" s="29">
        <v>120</v>
      </c>
      <c r="B122" s="84">
        <f>升级节奏!C122</f>
        <v>48000</v>
      </c>
      <c r="C122" s="53">
        <f>IF(VLOOKUP(C$2,行为概览!$D$3:$J$33,7,0)="","",VLOOKUP(C$2,行为概览!$D$3:$J$33,7,0))</f>
        <v>50</v>
      </c>
      <c r="D122" s="53">
        <f>IF(VLOOKUP(D$2,行为概览!$D$3:$J$33,7,0)="","",VLOOKUP(D$2,行为概览!$D$3:$J$33,7,0))</f>
        <v>3.3</v>
      </c>
      <c r="E122" s="53">
        <f>IF(VLOOKUP(E$2,行为概览!$D$3:$J$33,7,0)="","",VLOOKUP(E$2,行为概览!$D$3:$J$33,7,0))</f>
        <v>30</v>
      </c>
      <c r="F122" s="53">
        <f>IF(VLOOKUP(F$2,行为概览!$D$3:$J$33,7,0)="","",VLOOKUP(F$2,行为概览!$D$3:$J$33,7,0))</f>
        <v>15</v>
      </c>
      <c r="G122" s="53" t="str">
        <f>IF(VLOOKUP(G$2,行为概览!$D$3:$J$33,7,0)="","",VLOOKUP(G$2,行为概览!$D$3:$J$33,7,0))</f>
        <v/>
      </c>
      <c r="H122" s="53" t="str">
        <f>IF(VLOOKUP(H$2,行为概览!$D$3:$J$33,7,0)="","",VLOOKUP(H$2,行为概览!$D$3:$J$33,7,0))</f>
        <v/>
      </c>
      <c r="I122" s="53" t="str">
        <f>IF(VLOOKUP(I$2,行为概览!$D$3:$J$33,7,0)="","",VLOOKUP(I$2,行为概览!$D$3:$J$33,7,0))</f>
        <v/>
      </c>
      <c r="J122" s="53" t="str">
        <f>IF(VLOOKUP(J$2,行为概览!$D$3:$J$33,7,0)="","",VLOOKUP(J$2,行为概览!$D$3:$J$33,7,0))</f>
        <v/>
      </c>
      <c r="K122" s="53">
        <f>IF(VLOOKUP(K$2,行为概览!$D$3:$J$33,7,0)="","",VLOOKUP(K$2,行为概览!$D$3:$J$33,7,0))</f>
        <v>20</v>
      </c>
      <c r="L122" s="53">
        <f>IF(VLOOKUP(L$2,行为概览!$D$3:$J$33,7,0)="","",VLOOKUP(L$2,行为概览!$D$3:$J$33,7,0))</f>
        <v>20</v>
      </c>
      <c r="M122" s="53">
        <f>IF(VLOOKUP(M$2,行为概览!$D$3:$J$33,7,0)="","",VLOOKUP(M$2,行为概览!$D$3:$J$33,7,0))</f>
        <v>40</v>
      </c>
      <c r="N122" s="53">
        <f>IF(VLOOKUP(N$2,行为概览!$D$3:$J$33,7,0)="","",VLOOKUP(N$2,行为概览!$D$3:$J$33,7,0))</f>
        <v>1</v>
      </c>
      <c r="O122" s="53">
        <f>IF(VLOOKUP(O$2,行为概览!$D$3:$J$33,7,0)="","",VLOOKUP(O$2,行为概览!$D$3:$J$33,7,0))</f>
        <v>150</v>
      </c>
      <c r="P122" s="53">
        <f>IF(VLOOKUP(P$2,行为概览!$D$3:$J$33,7,0)="","",VLOOKUP(P$2,行为概览!$D$3:$J$33,7,0))</f>
        <v>10</v>
      </c>
      <c r="Q122" s="53">
        <f>IF(VLOOKUP(Q$2,行为概览!$D$3:$J$33,7,0)="","",VLOOKUP(Q$2,行为概览!$D$3:$J$33,7,0))</f>
        <v>20</v>
      </c>
      <c r="R122" s="53">
        <f>IF(VLOOKUP(R$2,行为概览!$D$3:$J$33,7,0)="","",VLOOKUP(R$2,行为概览!$D$3:$J$33,7,0))</f>
        <v>6</v>
      </c>
      <c r="S122" s="53">
        <f>IF(VLOOKUP(S$2,行为概览!$D$3:$J$33,7,0)="","",VLOOKUP(S$2,行为概览!$D$3:$J$33,7,0))</f>
        <v>20</v>
      </c>
      <c r="T122" s="53">
        <f>IF(VLOOKUP(T$2,行为概览!$D$3:$J$33,7,0)="","",VLOOKUP(T$2,行为概览!$D$3:$J$33,7,0))</f>
        <v>15</v>
      </c>
      <c r="U122" s="53">
        <f>IF(VLOOKUP(U$2,行为概览!$D$3:$J$33,7,0)="","",VLOOKUP(U$2,行为概览!$D$3:$J$33,7,0))</f>
        <v>15</v>
      </c>
      <c r="V122" s="53">
        <f>IF(VLOOKUP(V$2,行为概览!$D$3:$J$33,7,0)="","",VLOOKUP(V$2,行为概览!$D$3:$J$33,7,0))</f>
        <v>40</v>
      </c>
      <c r="W122" s="53">
        <f>IF(VLOOKUP(W$2,行为概览!$D$3:$J$33,7,0)="","",VLOOKUP(W$2,行为概览!$D$3:$J$33,7,0))</f>
        <v>15</v>
      </c>
      <c r="X122" s="53">
        <f>IF(VLOOKUP(X$2,行为概览!$D$3:$J$33,7,0)="","",VLOOKUP(X$2,行为概览!$D$3:$J$33,7,0))</f>
        <v>30</v>
      </c>
      <c r="Y122" s="53">
        <f>IF(VLOOKUP(Y$2,行为概览!$D$3:$J$33,7,0)="","",VLOOKUP(Y$2,行为概览!$D$3:$J$33,7,0))</f>
        <v>25</v>
      </c>
      <c r="Z122" s="53">
        <f>IF(VLOOKUP(Z$2,行为概览!$D$3:$J$33,7,0)="","",VLOOKUP(Z$2,行为概览!$D$3:$J$33,7,0))</f>
        <v>15</v>
      </c>
      <c r="AA122" s="53">
        <f>IF(VLOOKUP(AA$2,行为概览!$D$3:$J$33,7,0)="","",VLOOKUP(AA$2,行为概览!$D$3:$J$33,7,0))</f>
        <v>15</v>
      </c>
      <c r="AB122" s="53" t="str">
        <f>IF(VLOOKUP(AB$2,行为概览!$D$3:$J$33,7,0)="","",VLOOKUP(AB$2,行为概览!$D$3:$J$33,7,0))</f>
        <v/>
      </c>
      <c r="AC122" s="53" t="str">
        <f>IF(VLOOKUP(AC$2,行为概览!$D$3:$J$33,7,0)="","",VLOOKUP(AC$2,行为概览!$D$3:$J$33,7,0))</f>
        <v/>
      </c>
      <c r="AD122" s="53" t="str">
        <f>IF(VLOOKUP(AD$2,行为概览!$D$3:$J$33,7,0)="","",VLOOKUP(AD$2,行为概览!$D$3:$J$33,7,0))</f>
        <v/>
      </c>
      <c r="AE122" s="68" t="str">
        <f>IF(VLOOKUP(AE$2,行为概览!$D$3:$J$33,7,0)="","",VLOOKUP(AE$2,行为概览!$D$3:$J$33,7,0))</f>
        <v/>
      </c>
      <c r="AF122" s="1">
        <f>IF(C122="","",ROUND(C122*玩法行为规划!B122,2))</f>
        <v>16.670000000000002</v>
      </c>
      <c r="AG122" s="2">
        <f>IF(D122="","",ROUND(D122*玩法行为规划!C122,2))</f>
        <v>6.6</v>
      </c>
      <c r="AH122" s="2">
        <f>IF(E122="","",ROUND(E122*玩法行为规划!D122,2))</f>
        <v>2.5</v>
      </c>
      <c r="AI122" s="2">
        <f>IF(F122="","",ROUND(F122*玩法行为规划!E122,2))</f>
        <v>15</v>
      </c>
      <c r="AJ122" s="2" t="str">
        <f>IF(G122="","",ROUND(G122*玩法行为规划!F122,2))</f>
        <v/>
      </c>
      <c r="AK122" s="2" t="str">
        <f>IF(H122="","",ROUND(H122*玩法行为规划!G122,2))</f>
        <v/>
      </c>
      <c r="AL122" s="2" t="str">
        <f>IF(I122="","",ROUND(I122*玩法行为规划!H122,2))</f>
        <v/>
      </c>
      <c r="AM122" s="2" t="str">
        <f>IF(J122="","",ROUND(J122*玩法行为规划!I122,2))</f>
        <v/>
      </c>
      <c r="AN122" s="2">
        <f>IF(K122="","",ROUND(K122*玩法行为规划!J122,2))</f>
        <v>10</v>
      </c>
      <c r="AO122" s="2">
        <f>IF(L122="","",ROUND(L122*玩法行为规划!K122,2))</f>
        <v>3.33</v>
      </c>
      <c r="AP122" s="2">
        <f>IF(M122="","",ROUND(M122*玩法行为规划!L122,2))</f>
        <v>20</v>
      </c>
      <c r="AQ122" s="2">
        <f>IF(N122="","",ROUND(N122*玩法行为规划!M122,2))</f>
        <v>12</v>
      </c>
      <c r="AR122" s="2">
        <f>IF(O122="","",ROUND(O122*玩法行为规划!N122,2))</f>
        <v>12.5</v>
      </c>
      <c r="AS122" s="2">
        <f>IF(P122="","",ROUND(P122*玩法行为规划!O122,2))</f>
        <v>0.83</v>
      </c>
      <c r="AT122" s="2">
        <f>IF(Q122="","",ROUND(Q122*玩法行为规划!P122,2))</f>
        <v>52</v>
      </c>
      <c r="AU122" s="2">
        <f>IF(R122="","",ROUND(R122*玩法行为规划!Q122,2))</f>
        <v>6</v>
      </c>
      <c r="AV122" s="2">
        <f>IF(S122="","",ROUND(S122*玩法行为规划!R122,2))</f>
        <v>6.67</v>
      </c>
      <c r="AW122" s="2">
        <f>IF(T122="","",ROUND(T122*玩法行为规划!S122,2))</f>
        <v>0</v>
      </c>
      <c r="AX122" s="2">
        <f>IF(U122="","",ROUND(U122*玩法行为规划!T122,2))</f>
        <v>5</v>
      </c>
      <c r="AY122" s="2">
        <f>IF(V122="","",ROUND(V122*玩法行为规划!U122,2))</f>
        <v>6.67</v>
      </c>
      <c r="AZ122" s="2">
        <f>IF(W122="","",ROUND(W122*玩法行为规划!V122,2))</f>
        <v>2.5</v>
      </c>
      <c r="BA122" s="2">
        <f>IF(X122="","",ROUND(X122*玩法行为规划!W122,2))</f>
        <v>5</v>
      </c>
      <c r="BB122" s="2">
        <f>IF(Y122="","",ROUND(Y122*玩法行为规划!X122,2))</f>
        <v>6.25</v>
      </c>
      <c r="BC122" s="2">
        <f>IF(Z122="","",ROUND(Z122*玩法行为规划!Y122,2))</f>
        <v>8.75</v>
      </c>
      <c r="BD122" s="2">
        <f>IF(AA122="","",ROUND(AA122*玩法行为规划!Z122,2))</f>
        <v>2.5</v>
      </c>
      <c r="BE122" s="2" t="str">
        <f>IF(AB122="","",ROUND(AB122*玩法行为规划!AA122,2))</f>
        <v/>
      </c>
      <c r="BF122" s="2" t="str">
        <f>IF(AC122="","",ROUND(AC122*玩法行为规划!AB122,2))</f>
        <v/>
      </c>
      <c r="BG122" s="2" t="str">
        <f>IF(AD122="","",ROUND(AD122*玩法行为规划!AC122,2))</f>
        <v/>
      </c>
      <c r="BH122" s="3" t="str">
        <f>IF(AE122="","",ROUND(AE122*玩法行为规划!AD122,2))</f>
        <v/>
      </c>
      <c r="BI122" s="7">
        <f t="shared" si="17"/>
        <v>200.76999999999998</v>
      </c>
      <c r="BJ122" s="7">
        <f t="shared" si="18"/>
        <v>9636960</v>
      </c>
      <c r="BK122" s="69">
        <f t="shared" si="15"/>
        <v>5040000</v>
      </c>
      <c r="BL122" s="21">
        <f t="shared" si="20"/>
        <v>54791400</v>
      </c>
      <c r="BM122" s="7">
        <f t="shared" si="19"/>
        <v>2.4827681603899757E-2</v>
      </c>
      <c r="BN122" s="69">
        <f>INT(BJ122*升级节奏!G122+BK122)</f>
        <v>202999220</v>
      </c>
      <c r="BO122" s="7">
        <f t="shared" si="14"/>
        <v>533</v>
      </c>
      <c r="BP122" s="7"/>
    </row>
    <row r="123" spans="1:68">
      <c r="A123" s="29">
        <v>121</v>
      </c>
      <c r="B123" s="84">
        <f>升级节奏!C123</f>
        <v>48400</v>
      </c>
      <c r="C123" s="53">
        <f>IF(VLOOKUP(C$2,行为概览!$D$3:$J$33,7,0)="","",VLOOKUP(C$2,行为概览!$D$3:$J$33,7,0))</f>
        <v>50</v>
      </c>
      <c r="D123" s="53">
        <f>IF(VLOOKUP(D$2,行为概览!$D$3:$J$33,7,0)="","",VLOOKUP(D$2,行为概览!$D$3:$J$33,7,0))</f>
        <v>3.3</v>
      </c>
      <c r="E123" s="53">
        <f>IF(VLOOKUP(E$2,行为概览!$D$3:$J$33,7,0)="","",VLOOKUP(E$2,行为概览!$D$3:$J$33,7,0))</f>
        <v>30</v>
      </c>
      <c r="F123" s="53">
        <f>IF(VLOOKUP(F$2,行为概览!$D$3:$J$33,7,0)="","",VLOOKUP(F$2,行为概览!$D$3:$J$33,7,0))</f>
        <v>15</v>
      </c>
      <c r="G123" s="53" t="str">
        <f>IF(VLOOKUP(G$2,行为概览!$D$3:$J$33,7,0)="","",VLOOKUP(G$2,行为概览!$D$3:$J$33,7,0))</f>
        <v/>
      </c>
      <c r="H123" s="53" t="str">
        <f>IF(VLOOKUP(H$2,行为概览!$D$3:$J$33,7,0)="","",VLOOKUP(H$2,行为概览!$D$3:$J$33,7,0))</f>
        <v/>
      </c>
      <c r="I123" s="53" t="str">
        <f>IF(VLOOKUP(I$2,行为概览!$D$3:$J$33,7,0)="","",VLOOKUP(I$2,行为概览!$D$3:$J$33,7,0))</f>
        <v/>
      </c>
      <c r="J123" s="53" t="str">
        <f>IF(VLOOKUP(J$2,行为概览!$D$3:$J$33,7,0)="","",VLOOKUP(J$2,行为概览!$D$3:$J$33,7,0))</f>
        <v/>
      </c>
      <c r="K123" s="53">
        <f>IF(VLOOKUP(K$2,行为概览!$D$3:$J$33,7,0)="","",VLOOKUP(K$2,行为概览!$D$3:$J$33,7,0))</f>
        <v>20</v>
      </c>
      <c r="L123" s="53">
        <f>IF(VLOOKUP(L$2,行为概览!$D$3:$J$33,7,0)="","",VLOOKUP(L$2,行为概览!$D$3:$J$33,7,0))</f>
        <v>20</v>
      </c>
      <c r="M123" s="53">
        <f>IF(VLOOKUP(M$2,行为概览!$D$3:$J$33,7,0)="","",VLOOKUP(M$2,行为概览!$D$3:$J$33,7,0))</f>
        <v>40</v>
      </c>
      <c r="N123" s="53">
        <f>IF(VLOOKUP(N$2,行为概览!$D$3:$J$33,7,0)="","",VLOOKUP(N$2,行为概览!$D$3:$J$33,7,0))</f>
        <v>1</v>
      </c>
      <c r="O123" s="53">
        <f>IF(VLOOKUP(O$2,行为概览!$D$3:$J$33,7,0)="","",VLOOKUP(O$2,行为概览!$D$3:$J$33,7,0))</f>
        <v>150</v>
      </c>
      <c r="P123" s="53">
        <f>IF(VLOOKUP(P$2,行为概览!$D$3:$J$33,7,0)="","",VLOOKUP(P$2,行为概览!$D$3:$J$33,7,0))</f>
        <v>10</v>
      </c>
      <c r="Q123" s="53">
        <f>IF(VLOOKUP(Q$2,行为概览!$D$3:$J$33,7,0)="","",VLOOKUP(Q$2,行为概览!$D$3:$J$33,7,0))</f>
        <v>20</v>
      </c>
      <c r="R123" s="53">
        <f>IF(VLOOKUP(R$2,行为概览!$D$3:$J$33,7,0)="","",VLOOKUP(R$2,行为概览!$D$3:$J$33,7,0))</f>
        <v>6</v>
      </c>
      <c r="S123" s="53">
        <f>IF(VLOOKUP(S$2,行为概览!$D$3:$J$33,7,0)="","",VLOOKUP(S$2,行为概览!$D$3:$J$33,7,0))</f>
        <v>20</v>
      </c>
      <c r="T123" s="53">
        <f>IF(VLOOKUP(T$2,行为概览!$D$3:$J$33,7,0)="","",VLOOKUP(T$2,行为概览!$D$3:$J$33,7,0))</f>
        <v>15</v>
      </c>
      <c r="U123" s="53">
        <f>IF(VLOOKUP(U$2,行为概览!$D$3:$J$33,7,0)="","",VLOOKUP(U$2,行为概览!$D$3:$J$33,7,0))</f>
        <v>15</v>
      </c>
      <c r="V123" s="53">
        <f>IF(VLOOKUP(V$2,行为概览!$D$3:$J$33,7,0)="","",VLOOKUP(V$2,行为概览!$D$3:$J$33,7,0))</f>
        <v>40</v>
      </c>
      <c r="W123" s="53">
        <f>IF(VLOOKUP(W$2,行为概览!$D$3:$J$33,7,0)="","",VLOOKUP(W$2,行为概览!$D$3:$J$33,7,0))</f>
        <v>15</v>
      </c>
      <c r="X123" s="53">
        <f>IF(VLOOKUP(X$2,行为概览!$D$3:$J$33,7,0)="","",VLOOKUP(X$2,行为概览!$D$3:$J$33,7,0))</f>
        <v>30</v>
      </c>
      <c r="Y123" s="53">
        <f>IF(VLOOKUP(Y$2,行为概览!$D$3:$J$33,7,0)="","",VLOOKUP(Y$2,行为概览!$D$3:$J$33,7,0))</f>
        <v>25</v>
      </c>
      <c r="Z123" s="53">
        <f>IF(VLOOKUP(Z$2,行为概览!$D$3:$J$33,7,0)="","",VLOOKUP(Z$2,行为概览!$D$3:$J$33,7,0))</f>
        <v>15</v>
      </c>
      <c r="AA123" s="53">
        <f>IF(VLOOKUP(AA$2,行为概览!$D$3:$J$33,7,0)="","",VLOOKUP(AA$2,行为概览!$D$3:$J$33,7,0))</f>
        <v>15</v>
      </c>
      <c r="AB123" s="53" t="str">
        <f>IF(VLOOKUP(AB$2,行为概览!$D$3:$J$33,7,0)="","",VLOOKUP(AB$2,行为概览!$D$3:$J$33,7,0))</f>
        <v/>
      </c>
      <c r="AC123" s="53" t="str">
        <f>IF(VLOOKUP(AC$2,行为概览!$D$3:$J$33,7,0)="","",VLOOKUP(AC$2,行为概览!$D$3:$J$33,7,0))</f>
        <v/>
      </c>
      <c r="AD123" s="53" t="str">
        <f>IF(VLOOKUP(AD$2,行为概览!$D$3:$J$33,7,0)="","",VLOOKUP(AD$2,行为概览!$D$3:$J$33,7,0))</f>
        <v/>
      </c>
      <c r="AE123" s="68" t="str">
        <f>IF(VLOOKUP(AE$2,行为概览!$D$3:$J$33,7,0)="","",VLOOKUP(AE$2,行为概览!$D$3:$J$33,7,0))</f>
        <v/>
      </c>
      <c r="AF123" s="1">
        <f>IF(C123="","",ROUND(C123*玩法行为规划!B123,2))</f>
        <v>16.670000000000002</v>
      </c>
      <c r="AG123" s="2">
        <f>IF(D123="","",ROUND(D123*玩法行为规划!C123,2))</f>
        <v>6.6</v>
      </c>
      <c r="AH123" s="2">
        <f>IF(E123="","",ROUND(E123*玩法行为规划!D123,2))</f>
        <v>2.5</v>
      </c>
      <c r="AI123" s="2">
        <f>IF(F123="","",ROUND(F123*玩法行为规划!E123,2))</f>
        <v>15</v>
      </c>
      <c r="AJ123" s="2" t="str">
        <f>IF(G123="","",ROUND(G123*玩法行为规划!F123,2))</f>
        <v/>
      </c>
      <c r="AK123" s="2" t="str">
        <f>IF(H123="","",ROUND(H123*玩法行为规划!G123,2))</f>
        <v/>
      </c>
      <c r="AL123" s="2" t="str">
        <f>IF(I123="","",ROUND(I123*玩法行为规划!H123,2))</f>
        <v/>
      </c>
      <c r="AM123" s="2" t="str">
        <f>IF(J123="","",ROUND(J123*玩法行为规划!I123,2))</f>
        <v/>
      </c>
      <c r="AN123" s="2">
        <f>IF(K123="","",ROUND(K123*玩法行为规划!J123,2))</f>
        <v>10</v>
      </c>
      <c r="AO123" s="2">
        <f>IF(L123="","",ROUND(L123*玩法行为规划!K123,2))</f>
        <v>3.33</v>
      </c>
      <c r="AP123" s="2">
        <f>IF(M123="","",ROUND(M123*玩法行为规划!L123,2))</f>
        <v>20</v>
      </c>
      <c r="AQ123" s="2">
        <f>IF(N123="","",ROUND(N123*玩法行为规划!M123,2))</f>
        <v>12</v>
      </c>
      <c r="AR123" s="2">
        <f>IF(O123="","",ROUND(O123*玩法行为规划!N123,2))</f>
        <v>12.5</v>
      </c>
      <c r="AS123" s="2">
        <f>IF(P123="","",ROUND(P123*玩法行为规划!O123,2))</f>
        <v>0.83</v>
      </c>
      <c r="AT123" s="2">
        <f>IF(Q123="","",ROUND(Q123*玩法行为规划!P123,2))</f>
        <v>52</v>
      </c>
      <c r="AU123" s="2">
        <f>IF(R123="","",ROUND(R123*玩法行为规划!Q123,2))</f>
        <v>6</v>
      </c>
      <c r="AV123" s="2">
        <f>IF(S123="","",ROUND(S123*玩法行为规划!R123,2))</f>
        <v>6.67</v>
      </c>
      <c r="AW123" s="2">
        <f>IF(T123="","",ROUND(T123*玩法行为规划!S123,2))</f>
        <v>0</v>
      </c>
      <c r="AX123" s="2">
        <f>IF(U123="","",ROUND(U123*玩法行为规划!T123,2))</f>
        <v>5</v>
      </c>
      <c r="AY123" s="2">
        <f>IF(V123="","",ROUND(V123*玩法行为规划!U123,2))</f>
        <v>6.67</v>
      </c>
      <c r="AZ123" s="2">
        <f>IF(W123="","",ROUND(W123*玩法行为规划!V123,2))</f>
        <v>2.5</v>
      </c>
      <c r="BA123" s="2">
        <f>IF(X123="","",ROUND(X123*玩法行为规划!W123,2))</f>
        <v>5</v>
      </c>
      <c r="BB123" s="2">
        <f>IF(Y123="","",ROUND(Y123*玩法行为规划!X123,2))</f>
        <v>6.25</v>
      </c>
      <c r="BC123" s="2">
        <f>IF(Z123="","",ROUND(Z123*玩法行为规划!Y123,2))</f>
        <v>8.75</v>
      </c>
      <c r="BD123" s="2">
        <f>IF(AA123="","",ROUND(AA123*玩法行为规划!Z123,2))</f>
        <v>2.5</v>
      </c>
      <c r="BE123" s="2" t="str">
        <f>IF(AB123="","",ROUND(AB123*玩法行为规划!AA123,2))</f>
        <v/>
      </c>
      <c r="BF123" s="2" t="str">
        <f>IF(AC123="","",ROUND(AC123*玩法行为规划!AB123,2))</f>
        <v/>
      </c>
      <c r="BG123" s="2" t="str">
        <f>IF(AD123="","",ROUND(AD123*玩法行为规划!AC123,2))</f>
        <v/>
      </c>
      <c r="BH123" s="3" t="str">
        <f>IF(AE123="","",ROUND(AE123*玩法行为规划!AD123,2))</f>
        <v/>
      </c>
      <c r="BI123" s="7">
        <f t="shared" si="17"/>
        <v>200.76999999999998</v>
      </c>
      <c r="BJ123" s="7">
        <f t="shared" si="18"/>
        <v>9717268</v>
      </c>
      <c r="BK123" s="69">
        <f t="shared" si="15"/>
        <v>5135200</v>
      </c>
      <c r="BL123" s="21" t="str">
        <f t="shared" si="20"/>
        <v/>
      </c>
      <c r="BM123" s="7">
        <f t="shared" si="19"/>
        <v>2.4681138241303659E-2</v>
      </c>
      <c r="BN123" s="69">
        <f>INT(BJ123*升级节奏!G123+BK123)</f>
        <v>208061717</v>
      </c>
      <c r="BO123" s="7">
        <f t="shared" si="14"/>
        <v>538</v>
      </c>
      <c r="BP123" s="7"/>
    </row>
    <row r="124" spans="1:68">
      <c r="A124" s="29">
        <v>122</v>
      </c>
      <c r="B124" s="84">
        <f>升级节奏!C124</f>
        <v>48800</v>
      </c>
      <c r="C124" s="53">
        <f>IF(VLOOKUP(C$2,行为概览!$D$3:$J$33,7,0)="","",VLOOKUP(C$2,行为概览!$D$3:$J$33,7,0))</f>
        <v>50</v>
      </c>
      <c r="D124" s="53">
        <f>IF(VLOOKUP(D$2,行为概览!$D$3:$J$33,7,0)="","",VLOOKUP(D$2,行为概览!$D$3:$J$33,7,0))</f>
        <v>3.3</v>
      </c>
      <c r="E124" s="53">
        <f>IF(VLOOKUP(E$2,行为概览!$D$3:$J$33,7,0)="","",VLOOKUP(E$2,行为概览!$D$3:$J$33,7,0))</f>
        <v>30</v>
      </c>
      <c r="F124" s="53">
        <f>IF(VLOOKUP(F$2,行为概览!$D$3:$J$33,7,0)="","",VLOOKUP(F$2,行为概览!$D$3:$J$33,7,0))</f>
        <v>15</v>
      </c>
      <c r="G124" s="53" t="str">
        <f>IF(VLOOKUP(G$2,行为概览!$D$3:$J$33,7,0)="","",VLOOKUP(G$2,行为概览!$D$3:$J$33,7,0))</f>
        <v/>
      </c>
      <c r="H124" s="53" t="str">
        <f>IF(VLOOKUP(H$2,行为概览!$D$3:$J$33,7,0)="","",VLOOKUP(H$2,行为概览!$D$3:$J$33,7,0))</f>
        <v/>
      </c>
      <c r="I124" s="53" t="str">
        <f>IF(VLOOKUP(I$2,行为概览!$D$3:$J$33,7,0)="","",VLOOKUP(I$2,行为概览!$D$3:$J$33,7,0))</f>
        <v/>
      </c>
      <c r="J124" s="53" t="str">
        <f>IF(VLOOKUP(J$2,行为概览!$D$3:$J$33,7,0)="","",VLOOKUP(J$2,行为概览!$D$3:$J$33,7,0))</f>
        <v/>
      </c>
      <c r="K124" s="53">
        <f>IF(VLOOKUP(K$2,行为概览!$D$3:$J$33,7,0)="","",VLOOKUP(K$2,行为概览!$D$3:$J$33,7,0))</f>
        <v>20</v>
      </c>
      <c r="L124" s="53">
        <f>IF(VLOOKUP(L$2,行为概览!$D$3:$J$33,7,0)="","",VLOOKUP(L$2,行为概览!$D$3:$J$33,7,0))</f>
        <v>20</v>
      </c>
      <c r="M124" s="53">
        <f>IF(VLOOKUP(M$2,行为概览!$D$3:$J$33,7,0)="","",VLOOKUP(M$2,行为概览!$D$3:$J$33,7,0))</f>
        <v>40</v>
      </c>
      <c r="N124" s="53">
        <f>IF(VLOOKUP(N$2,行为概览!$D$3:$J$33,7,0)="","",VLOOKUP(N$2,行为概览!$D$3:$J$33,7,0))</f>
        <v>1</v>
      </c>
      <c r="O124" s="53">
        <f>IF(VLOOKUP(O$2,行为概览!$D$3:$J$33,7,0)="","",VLOOKUP(O$2,行为概览!$D$3:$J$33,7,0))</f>
        <v>150</v>
      </c>
      <c r="P124" s="53">
        <f>IF(VLOOKUP(P$2,行为概览!$D$3:$J$33,7,0)="","",VLOOKUP(P$2,行为概览!$D$3:$J$33,7,0))</f>
        <v>10</v>
      </c>
      <c r="Q124" s="53">
        <f>IF(VLOOKUP(Q$2,行为概览!$D$3:$J$33,7,0)="","",VLOOKUP(Q$2,行为概览!$D$3:$J$33,7,0))</f>
        <v>20</v>
      </c>
      <c r="R124" s="53">
        <f>IF(VLOOKUP(R$2,行为概览!$D$3:$J$33,7,0)="","",VLOOKUP(R$2,行为概览!$D$3:$J$33,7,0))</f>
        <v>6</v>
      </c>
      <c r="S124" s="53">
        <f>IF(VLOOKUP(S$2,行为概览!$D$3:$J$33,7,0)="","",VLOOKUP(S$2,行为概览!$D$3:$J$33,7,0))</f>
        <v>20</v>
      </c>
      <c r="T124" s="53">
        <f>IF(VLOOKUP(T$2,行为概览!$D$3:$J$33,7,0)="","",VLOOKUP(T$2,行为概览!$D$3:$J$33,7,0))</f>
        <v>15</v>
      </c>
      <c r="U124" s="53">
        <f>IF(VLOOKUP(U$2,行为概览!$D$3:$J$33,7,0)="","",VLOOKUP(U$2,行为概览!$D$3:$J$33,7,0))</f>
        <v>15</v>
      </c>
      <c r="V124" s="53">
        <f>IF(VLOOKUP(V$2,行为概览!$D$3:$J$33,7,0)="","",VLOOKUP(V$2,行为概览!$D$3:$J$33,7,0))</f>
        <v>40</v>
      </c>
      <c r="W124" s="53">
        <f>IF(VLOOKUP(W$2,行为概览!$D$3:$J$33,7,0)="","",VLOOKUP(W$2,行为概览!$D$3:$J$33,7,0))</f>
        <v>15</v>
      </c>
      <c r="X124" s="53">
        <f>IF(VLOOKUP(X$2,行为概览!$D$3:$J$33,7,0)="","",VLOOKUP(X$2,行为概览!$D$3:$J$33,7,0))</f>
        <v>30</v>
      </c>
      <c r="Y124" s="53">
        <f>IF(VLOOKUP(Y$2,行为概览!$D$3:$J$33,7,0)="","",VLOOKUP(Y$2,行为概览!$D$3:$J$33,7,0))</f>
        <v>25</v>
      </c>
      <c r="Z124" s="53">
        <f>IF(VLOOKUP(Z$2,行为概览!$D$3:$J$33,7,0)="","",VLOOKUP(Z$2,行为概览!$D$3:$J$33,7,0))</f>
        <v>15</v>
      </c>
      <c r="AA124" s="53">
        <f>IF(VLOOKUP(AA$2,行为概览!$D$3:$J$33,7,0)="","",VLOOKUP(AA$2,行为概览!$D$3:$J$33,7,0))</f>
        <v>15</v>
      </c>
      <c r="AB124" s="53" t="str">
        <f>IF(VLOOKUP(AB$2,行为概览!$D$3:$J$33,7,0)="","",VLOOKUP(AB$2,行为概览!$D$3:$J$33,7,0))</f>
        <v/>
      </c>
      <c r="AC124" s="53" t="str">
        <f>IF(VLOOKUP(AC$2,行为概览!$D$3:$J$33,7,0)="","",VLOOKUP(AC$2,行为概览!$D$3:$J$33,7,0))</f>
        <v/>
      </c>
      <c r="AD124" s="53" t="str">
        <f>IF(VLOOKUP(AD$2,行为概览!$D$3:$J$33,7,0)="","",VLOOKUP(AD$2,行为概览!$D$3:$J$33,7,0))</f>
        <v/>
      </c>
      <c r="AE124" s="68" t="str">
        <f>IF(VLOOKUP(AE$2,行为概览!$D$3:$J$33,7,0)="","",VLOOKUP(AE$2,行为概览!$D$3:$J$33,7,0))</f>
        <v/>
      </c>
      <c r="AF124" s="1">
        <f>IF(C124="","",ROUND(C124*玩法行为规划!B124,2))</f>
        <v>16.670000000000002</v>
      </c>
      <c r="AG124" s="2">
        <f>IF(D124="","",ROUND(D124*玩法行为规划!C124,2))</f>
        <v>6.6</v>
      </c>
      <c r="AH124" s="2">
        <f>IF(E124="","",ROUND(E124*玩法行为规划!D124,2))</f>
        <v>2.5</v>
      </c>
      <c r="AI124" s="2">
        <f>IF(F124="","",ROUND(F124*玩法行为规划!E124,2))</f>
        <v>15</v>
      </c>
      <c r="AJ124" s="2" t="str">
        <f>IF(G124="","",ROUND(G124*玩法行为规划!F124,2))</f>
        <v/>
      </c>
      <c r="AK124" s="2" t="str">
        <f>IF(H124="","",ROUND(H124*玩法行为规划!G124,2))</f>
        <v/>
      </c>
      <c r="AL124" s="2" t="str">
        <f>IF(I124="","",ROUND(I124*玩法行为规划!H124,2))</f>
        <v/>
      </c>
      <c r="AM124" s="2" t="str">
        <f>IF(J124="","",ROUND(J124*玩法行为规划!I124,2))</f>
        <v/>
      </c>
      <c r="AN124" s="2">
        <f>IF(K124="","",ROUND(K124*玩法行为规划!J124,2))</f>
        <v>10</v>
      </c>
      <c r="AO124" s="2">
        <f>IF(L124="","",ROUND(L124*玩法行为规划!K124,2))</f>
        <v>3.33</v>
      </c>
      <c r="AP124" s="2">
        <f>IF(M124="","",ROUND(M124*玩法行为规划!L124,2))</f>
        <v>20</v>
      </c>
      <c r="AQ124" s="2">
        <f>IF(N124="","",ROUND(N124*玩法行为规划!M124,2))</f>
        <v>12</v>
      </c>
      <c r="AR124" s="2">
        <f>IF(O124="","",ROUND(O124*玩法行为规划!N124,2))</f>
        <v>12.5</v>
      </c>
      <c r="AS124" s="2">
        <f>IF(P124="","",ROUND(P124*玩法行为规划!O124,2))</f>
        <v>0.83</v>
      </c>
      <c r="AT124" s="2">
        <f>IF(Q124="","",ROUND(Q124*玩法行为规划!P124,2))</f>
        <v>52</v>
      </c>
      <c r="AU124" s="2">
        <f>IF(R124="","",ROUND(R124*玩法行为规划!Q124,2))</f>
        <v>6</v>
      </c>
      <c r="AV124" s="2">
        <f>IF(S124="","",ROUND(S124*玩法行为规划!R124,2))</f>
        <v>6.67</v>
      </c>
      <c r="AW124" s="2">
        <f>IF(T124="","",ROUND(T124*玩法行为规划!S124,2))</f>
        <v>0</v>
      </c>
      <c r="AX124" s="2">
        <f>IF(U124="","",ROUND(U124*玩法行为规划!T124,2))</f>
        <v>5</v>
      </c>
      <c r="AY124" s="2">
        <f>IF(V124="","",ROUND(V124*玩法行为规划!U124,2))</f>
        <v>6.67</v>
      </c>
      <c r="AZ124" s="2">
        <f>IF(W124="","",ROUND(W124*玩法行为规划!V124,2))</f>
        <v>2.5</v>
      </c>
      <c r="BA124" s="2">
        <f>IF(X124="","",ROUND(X124*玩法行为规划!W124,2))</f>
        <v>5</v>
      </c>
      <c r="BB124" s="2">
        <f>IF(Y124="","",ROUND(Y124*玩法行为规划!X124,2))</f>
        <v>6.25</v>
      </c>
      <c r="BC124" s="2">
        <f>IF(Z124="","",ROUND(Z124*玩法行为规划!Y124,2))</f>
        <v>8.75</v>
      </c>
      <c r="BD124" s="2">
        <f>IF(AA124="","",ROUND(AA124*玩法行为规划!Z124,2))</f>
        <v>2.5</v>
      </c>
      <c r="BE124" s="2" t="str">
        <f>IF(AB124="","",ROUND(AB124*玩法行为规划!AA124,2))</f>
        <v/>
      </c>
      <c r="BF124" s="2" t="str">
        <f>IF(AC124="","",ROUND(AC124*玩法行为规划!AB124,2))</f>
        <v/>
      </c>
      <c r="BG124" s="2" t="str">
        <f>IF(AD124="","",ROUND(AD124*玩法行为规划!AC124,2))</f>
        <v/>
      </c>
      <c r="BH124" s="3" t="str">
        <f>IF(AE124="","",ROUND(AE124*玩法行为规划!AD124,2))</f>
        <v/>
      </c>
      <c r="BI124" s="7">
        <f t="shared" si="17"/>
        <v>200.76999999999998</v>
      </c>
      <c r="BJ124" s="7">
        <f t="shared" si="18"/>
        <v>9797576</v>
      </c>
      <c r="BK124" s="69">
        <f t="shared" si="15"/>
        <v>5231400</v>
      </c>
      <c r="BL124" s="21" t="str">
        <f t="shared" si="20"/>
        <v/>
      </c>
      <c r="BM124" s="7">
        <f t="shared" si="19"/>
        <v>2.4536624504812348E-2</v>
      </c>
      <c r="BN124" s="69">
        <f>INT(BJ124*升级节奏!G124+BK124)</f>
        <v>213207811</v>
      </c>
      <c r="BO124" s="7">
        <f t="shared" si="14"/>
        <v>542</v>
      </c>
      <c r="BP124" s="7"/>
    </row>
    <row r="125" spans="1:68">
      <c r="A125" s="29">
        <v>123</v>
      </c>
      <c r="B125" s="84">
        <f>升级节奏!C125</f>
        <v>49200</v>
      </c>
      <c r="C125" s="53">
        <f>IF(VLOOKUP(C$2,行为概览!$D$3:$J$33,7,0)="","",VLOOKUP(C$2,行为概览!$D$3:$J$33,7,0))</f>
        <v>50</v>
      </c>
      <c r="D125" s="53">
        <f>IF(VLOOKUP(D$2,行为概览!$D$3:$J$33,7,0)="","",VLOOKUP(D$2,行为概览!$D$3:$J$33,7,0))</f>
        <v>3.3</v>
      </c>
      <c r="E125" s="53">
        <f>IF(VLOOKUP(E$2,行为概览!$D$3:$J$33,7,0)="","",VLOOKUP(E$2,行为概览!$D$3:$J$33,7,0))</f>
        <v>30</v>
      </c>
      <c r="F125" s="53">
        <f>IF(VLOOKUP(F$2,行为概览!$D$3:$J$33,7,0)="","",VLOOKUP(F$2,行为概览!$D$3:$J$33,7,0))</f>
        <v>15</v>
      </c>
      <c r="G125" s="53" t="str">
        <f>IF(VLOOKUP(G$2,行为概览!$D$3:$J$33,7,0)="","",VLOOKUP(G$2,行为概览!$D$3:$J$33,7,0))</f>
        <v/>
      </c>
      <c r="H125" s="53" t="str">
        <f>IF(VLOOKUP(H$2,行为概览!$D$3:$J$33,7,0)="","",VLOOKUP(H$2,行为概览!$D$3:$J$33,7,0))</f>
        <v/>
      </c>
      <c r="I125" s="53" t="str">
        <f>IF(VLOOKUP(I$2,行为概览!$D$3:$J$33,7,0)="","",VLOOKUP(I$2,行为概览!$D$3:$J$33,7,0))</f>
        <v/>
      </c>
      <c r="J125" s="53" t="str">
        <f>IF(VLOOKUP(J$2,行为概览!$D$3:$J$33,7,0)="","",VLOOKUP(J$2,行为概览!$D$3:$J$33,7,0))</f>
        <v/>
      </c>
      <c r="K125" s="53">
        <f>IF(VLOOKUP(K$2,行为概览!$D$3:$J$33,7,0)="","",VLOOKUP(K$2,行为概览!$D$3:$J$33,7,0))</f>
        <v>20</v>
      </c>
      <c r="L125" s="53">
        <f>IF(VLOOKUP(L$2,行为概览!$D$3:$J$33,7,0)="","",VLOOKUP(L$2,行为概览!$D$3:$J$33,7,0))</f>
        <v>20</v>
      </c>
      <c r="M125" s="53">
        <f>IF(VLOOKUP(M$2,行为概览!$D$3:$J$33,7,0)="","",VLOOKUP(M$2,行为概览!$D$3:$J$33,7,0))</f>
        <v>40</v>
      </c>
      <c r="N125" s="53">
        <f>IF(VLOOKUP(N$2,行为概览!$D$3:$J$33,7,0)="","",VLOOKUP(N$2,行为概览!$D$3:$J$33,7,0))</f>
        <v>1</v>
      </c>
      <c r="O125" s="53">
        <f>IF(VLOOKUP(O$2,行为概览!$D$3:$J$33,7,0)="","",VLOOKUP(O$2,行为概览!$D$3:$J$33,7,0))</f>
        <v>150</v>
      </c>
      <c r="P125" s="53">
        <f>IF(VLOOKUP(P$2,行为概览!$D$3:$J$33,7,0)="","",VLOOKUP(P$2,行为概览!$D$3:$J$33,7,0))</f>
        <v>10</v>
      </c>
      <c r="Q125" s="53">
        <f>IF(VLOOKUP(Q$2,行为概览!$D$3:$J$33,7,0)="","",VLOOKUP(Q$2,行为概览!$D$3:$J$33,7,0))</f>
        <v>20</v>
      </c>
      <c r="R125" s="53">
        <f>IF(VLOOKUP(R$2,行为概览!$D$3:$J$33,7,0)="","",VLOOKUP(R$2,行为概览!$D$3:$J$33,7,0))</f>
        <v>6</v>
      </c>
      <c r="S125" s="53">
        <f>IF(VLOOKUP(S$2,行为概览!$D$3:$J$33,7,0)="","",VLOOKUP(S$2,行为概览!$D$3:$J$33,7,0))</f>
        <v>20</v>
      </c>
      <c r="T125" s="53">
        <f>IF(VLOOKUP(T$2,行为概览!$D$3:$J$33,7,0)="","",VLOOKUP(T$2,行为概览!$D$3:$J$33,7,0))</f>
        <v>15</v>
      </c>
      <c r="U125" s="53">
        <f>IF(VLOOKUP(U$2,行为概览!$D$3:$J$33,7,0)="","",VLOOKUP(U$2,行为概览!$D$3:$J$33,7,0))</f>
        <v>15</v>
      </c>
      <c r="V125" s="53">
        <f>IF(VLOOKUP(V$2,行为概览!$D$3:$J$33,7,0)="","",VLOOKUP(V$2,行为概览!$D$3:$J$33,7,0))</f>
        <v>40</v>
      </c>
      <c r="W125" s="53">
        <f>IF(VLOOKUP(W$2,行为概览!$D$3:$J$33,7,0)="","",VLOOKUP(W$2,行为概览!$D$3:$J$33,7,0))</f>
        <v>15</v>
      </c>
      <c r="X125" s="53">
        <f>IF(VLOOKUP(X$2,行为概览!$D$3:$J$33,7,0)="","",VLOOKUP(X$2,行为概览!$D$3:$J$33,7,0))</f>
        <v>30</v>
      </c>
      <c r="Y125" s="53">
        <f>IF(VLOOKUP(Y$2,行为概览!$D$3:$J$33,7,0)="","",VLOOKUP(Y$2,行为概览!$D$3:$J$33,7,0))</f>
        <v>25</v>
      </c>
      <c r="Z125" s="53">
        <f>IF(VLOOKUP(Z$2,行为概览!$D$3:$J$33,7,0)="","",VLOOKUP(Z$2,行为概览!$D$3:$J$33,7,0))</f>
        <v>15</v>
      </c>
      <c r="AA125" s="53">
        <f>IF(VLOOKUP(AA$2,行为概览!$D$3:$J$33,7,0)="","",VLOOKUP(AA$2,行为概览!$D$3:$J$33,7,0))</f>
        <v>15</v>
      </c>
      <c r="AB125" s="53" t="str">
        <f>IF(VLOOKUP(AB$2,行为概览!$D$3:$J$33,7,0)="","",VLOOKUP(AB$2,行为概览!$D$3:$J$33,7,0))</f>
        <v/>
      </c>
      <c r="AC125" s="53" t="str">
        <f>IF(VLOOKUP(AC$2,行为概览!$D$3:$J$33,7,0)="","",VLOOKUP(AC$2,行为概览!$D$3:$J$33,7,0))</f>
        <v/>
      </c>
      <c r="AD125" s="53" t="str">
        <f>IF(VLOOKUP(AD$2,行为概览!$D$3:$J$33,7,0)="","",VLOOKUP(AD$2,行为概览!$D$3:$J$33,7,0))</f>
        <v/>
      </c>
      <c r="AE125" s="68" t="str">
        <f>IF(VLOOKUP(AE$2,行为概览!$D$3:$J$33,7,0)="","",VLOOKUP(AE$2,行为概览!$D$3:$J$33,7,0))</f>
        <v/>
      </c>
      <c r="AF125" s="1">
        <f>IF(C125="","",ROUND(C125*玩法行为规划!B125,2))</f>
        <v>16.670000000000002</v>
      </c>
      <c r="AG125" s="2">
        <f>IF(D125="","",ROUND(D125*玩法行为规划!C125,2))</f>
        <v>6.6</v>
      </c>
      <c r="AH125" s="2">
        <f>IF(E125="","",ROUND(E125*玩法行为规划!D125,2))</f>
        <v>2.5</v>
      </c>
      <c r="AI125" s="2">
        <f>IF(F125="","",ROUND(F125*玩法行为规划!E125,2))</f>
        <v>15</v>
      </c>
      <c r="AJ125" s="2" t="str">
        <f>IF(G125="","",ROUND(G125*玩法行为规划!F125,2))</f>
        <v/>
      </c>
      <c r="AK125" s="2" t="str">
        <f>IF(H125="","",ROUND(H125*玩法行为规划!G125,2))</f>
        <v/>
      </c>
      <c r="AL125" s="2" t="str">
        <f>IF(I125="","",ROUND(I125*玩法行为规划!H125,2))</f>
        <v/>
      </c>
      <c r="AM125" s="2" t="str">
        <f>IF(J125="","",ROUND(J125*玩法行为规划!I125,2))</f>
        <v/>
      </c>
      <c r="AN125" s="2">
        <f>IF(K125="","",ROUND(K125*玩法行为规划!J125,2))</f>
        <v>10</v>
      </c>
      <c r="AO125" s="2">
        <f>IF(L125="","",ROUND(L125*玩法行为规划!K125,2))</f>
        <v>3.33</v>
      </c>
      <c r="AP125" s="2">
        <f>IF(M125="","",ROUND(M125*玩法行为规划!L125,2))</f>
        <v>20</v>
      </c>
      <c r="AQ125" s="2">
        <f>IF(N125="","",ROUND(N125*玩法行为规划!M125,2))</f>
        <v>12</v>
      </c>
      <c r="AR125" s="2">
        <f>IF(O125="","",ROUND(O125*玩法行为规划!N125,2))</f>
        <v>12.5</v>
      </c>
      <c r="AS125" s="2">
        <f>IF(P125="","",ROUND(P125*玩法行为规划!O125,2))</f>
        <v>0.83</v>
      </c>
      <c r="AT125" s="2">
        <f>IF(Q125="","",ROUND(Q125*玩法行为规划!P125,2))</f>
        <v>52</v>
      </c>
      <c r="AU125" s="2">
        <f>IF(R125="","",ROUND(R125*玩法行为规划!Q125,2))</f>
        <v>6</v>
      </c>
      <c r="AV125" s="2">
        <f>IF(S125="","",ROUND(S125*玩法行为规划!R125,2))</f>
        <v>6.67</v>
      </c>
      <c r="AW125" s="2">
        <f>IF(T125="","",ROUND(T125*玩法行为规划!S125,2))</f>
        <v>0</v>
      </c>
      <c r="AX125" s="2">
        <f>IF(U125="","",ROUND(U125*玩法行为规划!T125,2))</f>
        <v>5</v>
      </c>
      <c r="AY125" s="2">
        <f>IF(V125="","",ROUND(V125*玩法行为规划!U125,2))</f>
        <v>6.67</v>
      </c>
      <c r="AZ125" s="2">
        <f>IF(W125="","",ROUND(W125*玩法行为规划!V125,2))</f>
        <v>2.5</v>
      </c>
      <c r="BA125" s="2">
        <f>IF(X125="","",ROUND(X125*玩法行为规划!W125,2))</f>
        <v>5</v>
      </c>
      <c r="BB125" s="2">
        <f>IF(Y125="","",ROUND(Y125*玩法行为规划!X125,2))</f>
        <v>6.25</v>
      </c>
      <c r="BC125" s="2">
        <f>IF(Z125="","",ROUND(Z125*玩法行为规划!Y125,2))</f>
        <v>8.75</v>
      </c>
      <c r="BD125" s="2">
        <f>IF(AA125="","",ROUND(AA125*玩法行为规划!Z125,2))</f>
        <v>2.5</v>
      </c>
      <c r="BE125" s="2" t="str">
        <f>IF(AB125="","",ROUND(AB125*玩法行为规划!AA125,2))</f>
        <v/>
      </c>
      <c r="BF125" s="2" t="str">
        <f>IF(AC125="","",ROUND(AC125*玩法行为规划!AB125,2))</f>
        <v/>
      </c>
      <c r="BG125" s="2" t="str">
        <f>IF(AD125="","",ROUND(AD125*玩法行为规划!AC125,2))</f>
        <v/>
      </c>
      <c r="BH125" s="3" t="str">
        <f>IF(AE125="","",ROUND(AE125*玩法行为规划!AD125,2))</f>
        <v/>
      </c>
      <c r="BI125" s="7">
        <f t="shared" si="17"/>
        <v>200.76999999999998</v>
      </c>
      <c r="BJ125" s="7">
        <f t="shared" si="18"/>
        <v>9877884</v>
      </c>
      <c r="BK125" s="69">
        <f t="shared" si="15"/>
        <v>5328400</v>
      </c>
      <c r="BL125" s="21" t="str">
        <f t="shared" si="20"/>
        <v/>
      </c>
      <c r="BM125" s="7">
        <f t="shared" si="19"/>
        <v>2.4393193335856857E-2</v>
      </c>
      <c r="BN125" s="69">
        <f>INT(BJ125*升级节奏!G125+BK125)</f>
        <v>218437985</v>
      </c>
      <c r="BO125" s="7">
        <f t="shared" si="14"/>
        <v>547</v>
      </c>
      <c r="BP125" s="7"/>
    </row>
    <row r="126" spans="1:68">
      <c r="A126" s="29">
        <v>124</v>
      </c>
      <c r="B126" s="84">
        <f>升级节奏!C126</f>
        <v>49600</v>
      </c>
      <c r="C126" s="53">
        <f>IF(VLOOKUP(C$2,行为概览!$D$3:$J$33,7,0)="","",VLOOKUP(C$2,行为概览!$D$3:$J$33,7,0))</f>
        <v>50</v>
      </c>
      <c r="D126" s="53">
        <f>IF(VLOOKUP(D$2,行为概览!$D$3:$J$33,7,0)="","",VLOOKUP(D$2,行为概览!$D$3:$J$33,7,0))</f>
        <v>3.3</v>
      </c>
      <c r="E126" s="53">
        <f>IF(VLOOKUP(E$2,行为概览!$D$3:$J$33,7,0)="","",VLOOKUP(E$2,行为概览!$D$3:$J$33,7,0))</f>
        <v>30</v>
      </c>
      <c r="F126" s="53">
        <f>IF(VLOOKUP(F$2,行为概览!$D$3:$J$33,7,0)="","",VLOOKUP(F$2,行为概览!$D$3:$J$33,7,0))</f>
        <v>15</v>
      </c>
      <c r="G126" s="53" t="str">
        <f>IF(VLOOKUP(G$2,行为概览!$D$3:$J$33,7,0)="","",VLOOKUP(G$2,行为概览!$D$3:$J$33,7,0))</f>
        <v/>
      </c>
      <c r="H126" s="53" t="str">
        <f>IF(VLOOKUP(H$2,行为概览!$D$3:$J$33,7,0)="","",VLOOKUP(H$2,行为概览!$D$3:$J$33,7,0))</f>
        <v/>
      </c>
      <c r="I126" s="53" t="str">
        <f>IF(VLOOKUP(I$2,行为概览!$D$3:$J$33,7,0)="","",VLOOKUP(I$2,行为概览!$D$3:$J$33,7,0))</f>
        <v/>
      </c>
      <c r="J126" s="53" t="str">
        <f>IF(VLOOKUP(J$2,行为概览!$D$3:$J$33,7,0)="","",VLOOKUP(J$2,行为概览!$D$3:$J$33,7,0))</f>
        <v/>
      </c>
      <c r="K126" s="53">
        <f>IF(VLOOKUP(K$2,行为概览!$D$3:$J$33,7,0)="","",VLOOKUP(K$2,行为概览!$D$3:$J$33,7,0))</f>
        <v>20</v>
      </c>
      <c r="L126" s="53">
        <f>IF(VLOOKUP(L$2,行为概览!$D$3:$J$33,7,0)="","",VLOOKUP(L$2,行为概览!$D$3:$J$33,7,0))</f>
        <v>20</v>
      </c>
      <c r="M126" s="53">
        <f>IF(VLOOKUP(M$2,行为概览!$D$3:$J$33,7,0)="","",VLOOKUP(M$2,行为概览!$D$3:$J$33,7,0))</f>
        <v>40</v>
      </c>
      <c r="N126" s="53">
        <f>IF(VLOOKUP(N$2,行为概览!$D$3:$J$33,7,0)="","",VLOOKUP(N$2,行为概览!$D$3:$J$33,7,0))</f>
        <v>1</v>
      </c>
      <c r="O126" s="53">
        <f>IF(VLOOKUP(O$2,行为概览!$D$3:$J$33,7,0)="","",VLOOKUP(O$2,行为概览!$D$3:$J$33,7,0))</f>
        <v>150</v>
      </c>
      <c r="P126" s="53">
        <f>IF(VLOOKUP(P$2,行为概览!$D$3:$J$33,7,0)="","",VLOOKUP(P$2,行为概览!$D$3:$J$33,7,0))</f>
        <v>10</v>
      </c>
      <c r="Q126" s="53">
        <f>IF(VLOOKUP(Q$2,行为概览!$D$3:$J$33,7,0)="","",VLOOKUP(Q$2,行为概览!$D$3:$J$33,7,0))</f>
        <v>20</v>
      </c>
      <c r="R126" s="53">
        <f>IF(VLOOKUP(R$2,行为概览!$D$3:$J$33,7,0)="","",VLOOKUP(R$2,行为概览!$D$3:$J$33,7,0))</f>
        <v>6</v>
      </c>
      <c r="S126" s="53">
        <f>IF(VLOOKUP(S$2,行为概览!$D$3:$J$33,7,0)="","",VLOOKUP(S$2,行为概览!$D$3:$J$33,7,0))</f>
        <v>20</v>
      </c>
      <c r="T126" s="53">
        <f>IF(VLOOKUP(T$2,行为概览!$D$3:$J$33,7,0)="","",VLOOKUP(T$2,行为概览!$D$3:$J$33,7,0))</f>
        <v>15</v>
      </c>
      <c r="U126" s="53">
        <f>IF(VLOOKUP(U$2,行为概览!$D$3:$J$33,7,0)="","",VLOOKUP(U$2,行为概览!$D$3:$J$33,7,0))</f>
        <v>15</v>
      </c>
      <c r="V126" s="53">
        <f>IF(VLOOKUP(V$2,行为概览!$D$3:$J$33,7,0)="","",VLOOKUP(V$2,行为概览!$D$3:$J$33,7,0))</f>
        <v>40</v>
      </c>
      <c r="W126" s="53">
        <f>IF(VLOOKUP(W$2,行为概览!$D$3:$J$33,7,0)="","",VLOOKUP(W$2,行为概览!$D$3:$J$33,7,0))</f>
        <v>15</v>
      </c>
      <c r="X126" s="53">
        <f>IF(VLOOKUP(X$2,行为概览!$D$3:$J$33,7,0)="","",VLOOKUP(X$2,行为概览!$D$3:$J$33,7,0))</f>
        <v>30</v>
      </c>
      <c r="Y126" s="53">
        <f>IF(VLOOKUP(Y$2,行为概览!$D$3:$J$33,7,0)="","",VLOOKUP(Y$2,行为概览!$D$3:$J$33,7,0))</f>
        <v>25</v>
      </c>
      <c r="Z126" s="53">
        <f>IF(VLOOKUP(Z$2,行为概览!$D$3:$J$33,7,0)="","",VLOOKUP(Z$2,行为概览!$D$3:$J$33,7,0))</f>
        <v>15</v>
      </c>
      <c r="AA126" s="53">
        <f>IF(VLOOKUP(AA$2,行为概览!$D$3:$J$33,7,0)="","",VLOOKUP(AA$2,行为概览!$D$3:$J$33,7,0))</f>
        <v>15</v>
      </c>
      <c r="AB126" s="53" t="str">
        <f>IF(VLOOKUP(AB$2,行为概览!$D$3:$J$33,7,0)="","",VLOOKUP(AB$2,行为概览!$D$3:$J$33,7,0))</f>
        <v/>
      </c>
      <c r="AC126" s="53" t="str">
        <f>IF(VLOOKUP(AC$2,行为概览!$D$3:$J$33,7,0)="","",VLOOKUP(AC$2,行为概览!$D$3:$J$33,7,0))</f>
        <v/>
      </c>
      <c r="AD126" s="53" t="str">
        <f>IF(VLOOKUP(AD$2,行为概览!$D$3:$J$33,7,0)="","",VLOOKUP(AD$2,行为概览!$D$3:$J$33,7,0))</f>
        <v/>
      </c>
      <c r="AE126" s="68" t="str">
        <f>IF(VLOOKUP(AE$2,行为概览!$D$3:$J$33,7,0)="","",VLOOKUP(AE$2,行为概览!$D$3:$J$33,7,0))</f>
        <v/>
      </c>
      <c r="AF126" s="1">
        <f>IF(C126="","",ROUND(C126*玩法行为规划!B126,2))</f>
        <v>16.670000000000002</v>
      </c>
      <c r="AG126" s="2">
        <f>IF(D126="","",ROUND(D126*玩法行为规划!C126,2))</f>
        <v>6.6</v>
      </c>
      <c r="AH126" s="2">
        <f>IF(E126="","",ROUND(E126*玩法行为规划!D126,2))</f>
        <v>2.5</v>
      </c>
      <c r="AI126" s="2">
        <f>IF(F126="","",ROUND(F126*玩法行为规划!E126,2))</f>
        <v>15</v>
      </c>
      <c r="AJ126" s="2" t="str">
        <f>IF(G126="","",ROUND(G126*玩法行为规划!F126,2))</f>
        <v/>
      </c>
      <c r="AK126" s="2" t="str">
        <f>IF(H126="","",ROUND(H126*玩法行为规划!G126,2))</f>
        <v/>
      </c>
      <c r="AL126" s="2" t="str">
        <f>IF(I126="","",ROUND(I126*玩法行为规划!H126,2))</f>
        <v/>
      </c>
      <c r="AM126" s="2" t="str">
        <f>IF(J126="","",ROUND(J126*玩法行为规划!I126,2))</f>
        <v/>
      </c>
      <c r="AN126" s="2">
        <f>IF(K126="","",ROUND(K126*玩法行为规划!J126,2))</f>
        <v>10</v>
      </c>
      <c r="AO126" s="2">
        <f>IF(L126="","",ROUND(L126*玩法行为规划!K126,2))</f>
        <v>3.33</v>
      </c>
      <c r="AP126" s="2">
        <f>IF(M126="","",ROUND(M126*玩法行为规划!L126,2))</f>
        <v>20</v>
      </c>
      <c r="AQ126" s="2">
        <f>IF(N126="","",ROUND(N126*玩法行为规划!M126,2))</f>
        <v>12</v>
      </c>
      <c r="AR126" s="2">
        <f>IF(O126="","",ROUND(O126*玩法行为规划!N126,2))</f>
        <v>12.5</v>
      </c>
      <c r="AS126" s="2">
        <f>IF(P126="","",ROUND(P126*玩法行为规划!O126,2))</f>
        <v>0.83</v>
      </c>
      <c r="AT126" s="2">
        <f>IF(Q126="","",ROUND(Q126*玩法行为规划!P126,2))</f>
        <v>52</v>
      </c>
      <c r="AU126" s="2">
        <f>IF(R126="","",ROUND(R126*玩法行为规划!Q126,2))</f>
        <v>6</v>
      </c>
      <c r="AV126" s="2">
        <f>IF(S126="","",ROUND(S126*玩法行为规划!R126,2))</f>
        <v>6.67</v>
      </c>
      <c r="AW126" s="2">
        <f>IF(T126="","",ROUND(T126*玩法行为规划!S126,2))</f>
        <v>0</v>
      </c>
      <c r="AX126" s="2">
        <f>IF(U126="","",ROUND(U126*玩法行为规划!T126,2))</f>
        <v>5</v>
      </c>
      <c r="AY126" s="2">
        <f>IF(V126="","",ROUND(V126*玩法行为规划!U126,2))</f>
        <v>6.67</v>
      </c>
      <c r="AZ126" s="2">
        <f>IF(W126="","",ROUND(W126*玩法行为规划!V126,2))</f>
        <v>2.5</v>
      </c>
      <c r="BA126" s="2">
        <f>IF(X126="","",ROUND(X126*玩法行为规划!W126,2))</f>
        <v>5</v>
      </c>
      <c r="BB126" s="2">
        <f>IF(Y126="","",ROUND(Y126*玩法行为规划!X126,2))</f>
        <v>6.25</v>
      </c>
      <c r="BC126" s="2">
        <f>IF(Z126="","",ROUND(Z126*玩法行为规划!Y126,2))</f>
        <v>8.75</v>
      </c>
      <c r="BD126" s="2">
        <f>IF(AA126="","",ROUND(AA126*玩法行为规划!Z126,2))</f>
        <v>2.5</v>
      </c>
      <c r="BE126" s="2" t="str">
        <f>IF(AB126="","",ROUND(AB126*玩法行为规划!AA126,2))</f>
        <v/>
      </c>
      <c r="BF126" s="2" t="str">
        <f>IF(AC126="","",ROUND(AC126*玩法行为规划!AB126,2))</f>
        <v/>
      </c>
      <c r="BG126" s="2" t="str">
        <f>IF(AD126="","",ROUND(AD126*玩法行为规划!AC126,2))</f>
        <v/>
      </c>
      <c r="BH126" s="3" t="str">
        <f>IF(AE126="","",ROUND(AE126*玩法行为规划!AD126,2))</f>
        <v/>
      </c>
      <c r="BI126" s="7">
        <f t="shared" si="17"/>
        <v>200.76999999999998</v>
      </c>
      <c r="BJ126" s="7">
        <f t="shared" si="18"/>
        <v>9958192</v>
      </c>
      <c r="BK126" s="69">
        <f t="shared" si="15"/>
        <v>5426200</v>
      </c>
      <c r="BL126" s="21" t="str">
        <f t="shared" si="20"/>
        <v/>
      </c>
      <c r="BM126" s="7">
        <f t="shared" si="19"/>
        <v>2.4250856703903572E-2</v>
      </c>
      <c r="BN126" s="69">
        <f>INT(BJ126*升级节奏!G126+BK126)</f>
        <v>223752920</v>
      </c>
      <c r="BO126" s="7">
        <f t="shared" si="14"/>
        <v>551</v>
      </c>
      <c r="BP126" s="7"/>
    </row>
    <row r="127" spans="1:68">
      <c r="A127" s="29">
        <v>125</v>
      </c>
      <c r="B127" s="84">
        <f>升级节奏!C127</f>
        <v>50000</v>
      </c>
      <c r="C127" s="53">
        <f>IF(VLOOKUP(C$2,行为概览!$D$3:$J$33,7,0)="","",VLOOKUP(C$2,行为概览!$D$3:$J$33,7,0))</f>
        <v>50</v>
      </c>
      <c r="D127" s="53">
        <f>IF(VLOOKUP(D$2,行为概览!$D$3:$J$33,7,0)="","",VLOOKUP(D$2,行为概览!$D$3:$J$33,7,0))</f>
        <v>3.3</v>
      </c>
      <c r="E127" s="53">
        <f>IF(VLOOKUP(E$2,行为概览!$D$3:$J$33,7,0)="","",VLOOKUP(E$2,行为概览!$D$3:$J$33,7,0))</f>
        <v>30</v>
      </c>
      <c r="F127" s="53">
        <f>IF(VLOOKUP(F$2,行为概览!$D$3:$J$33,7,0)="","",VLOOKUP(F$2,行为概览!$D$3:$J$33,7,0))</f>
        <v>15</v>
      </c>
      <c r="G127" s="53" t="str">
        <f>IF(VLOOKUP(G$2,行为概览!$D$3:$J$33,7,0)="","",VLOOKUP(G$2,行为概览!$D$3:$J$33,7,0))</f>
        <v/>
      </c>
      <c r="H127" s="53" t="str">
        <f>IF(VLOOKUP(H$2,行为概览!$D$3:$J$33,7,0)="","",VLOOKUP(H$2,行为概览!$D$3:$J$33,7,0))</f>
        <v/>
      </c>
      <c r="I127" s="53" t="str">
        <f>IF(VLOOKUP(I$2,行为概览!$D$3:$J$33,7,0)="","",VLOOKUP(I$2,行为概览!$D$3:$J$33,7,0))</f>
        <v/>
      </c>
      <c r="J127" s="53" t="str">
        <f>IF(VLOOKUP(J$2,行为概览!$D$3:$J$33,7,0)="","",VLOOKUP(J$2,行为概览!$D$3:$J$33,7,0))</f>
        <v/>
      </c>
      <c r="K127" s="53">
        <f>IF(VLOOKUP(K$2,行为概览!$D$3:$J$33,7,0)="","",VLOOKUP(K$2,行为概览!$D$3:$J$33,7,0))</f>
        <v>20</v>
      </c>
      <c r="L127" s="53">
        <f>IF(VLOOKUP(L$2,行为概览!$D$3:$J$33,7,0)="","",VLOOKUP(L$2,行为概览!$D$3:$J$33,7,0))</f>
        <v>20</v>
      </c>
      <c r="M127" s="53">
        <f>IF(VLOOKUP(M$2,行为概览!$D$3:$J$33,7,0)="","",VLOOKUP(M$2,行为概览!$D$3:$J$33,7,0))</f>
        <v>40</v>
      </c>
      <c r="N127" s="53">
        <f>IF(VLOOKUP(N$2,行为概览!$D$3:$J$33,7,0)="","",VLOOKUP(N$2,行为概览!$D$3:$J$33,7,0))</f>
        <v>1</v>
      </c>
      <c r="O127" s="53">
        <f>IF(VLOOKUP(O$2,行为概览!$D$3:$J$33,7,0)="","",VLOOKUP(O$2,行为概览!$D$3:$J$33,7,0))</f>
        <v>150</v>
      </c>
      <c r="P127" s="53">
        <f>IF(VLOOKUP(P$2,行为概览!$D$3:$J$33,7,0)="","",VLOOKUP(P$2,行为概览!$D$3:$J$33,7,0))</f>
        <v>10</v>
      </c>
      <c r="Q127" s="53">
        <f>IF(VLOOKUP(Q$2,行为概览!$D$3:$J$33,7,0)="","",VLOOKUP(Q$2,行为概览!$D$3:$J$33,7,0))</f>
        <v>20</v>
      </c>
      <c r="R127" s="53">
        <f>IF(VLOOKUP(R$2,行为概览!$D$3:$J$33,7,0)="","",VLOOKUP(R$2,行为概览!$D$3:$J$33,7,0))</f>
        <v>6</v>
      </c>
      <c r="S127" s="53">
        <f>IF(VLOOKUP(S$2,行为概览!$D$3:$J$33,7,0)="","",VLOOKUP(S$2,行为概览!$D$3:$J$33,7,0))</f>
        <v>20</v>
      </c>
      <c r="T127" s="53">
        <f>IF(VLOOKUP(T$2,行为概览!$D$3:$J$33,7,0)="","",VLOOKUP(T$2,行为概览!$D$3:$J$33,7,0))</f>
        <v>15</v>
      </c>
      <c r="U127" s="53">
        <f>IF(VLOOKUP(U$2,行为概览!$D$3:$J$33,7,0)="","",VLOOKUP(U$2,行为概览!$D$3:$J$33,7,0))</f>
        <v>15</v>
      </c>
      <c r="V127" s="53">
        <f>IF(VLOOKUP(V$2,行为概览!$D$3:$J$33,7,0)="","",VLOOKUP(V$2,行为概览!$D$3:$J$33,7,0))</f>
        <v>40</v>
      </c>
      <c r="W127" s="53">
        <f>IF(VLOOKUP(W$2,行为概览!$D$3:$J$33,7,0)="","",VLOOKUP(W$2,行为概览!$D$3:$J$33,7,0))</f>
        <v>15</v>
      </c>
      <c r="X127" s="53">
        <f>IF(VLOOKUP(X$2,行为概览!$D$3:$J$33,7,0)="","",VLOOKUP(X$2,行为概览!$D$3:$J$33,7,0))</f>
        <v>30</v>
      </c>
      <c r="Y127" s="53">
        <f>IF(VLOOKUP(Y$2,行为概览!$D$3:$J$33,7,0)="","",VLOOKUP(Y$2,行为概览!$D$3:$J$33,7,0))</f>
        <v>25</v>
      </c>
      <c r="Z127" s="53">
        <f>IF(VLOOKUP(Z$2,行为概览!$D$3:$J$33,7,0)="","",VLOOKUP(Z$2,行为概览!$D$3:$J$33,7,0))</f>
        <v>15</v>
      </c>
      <c r="AA127" s="53">
        <f>IF(VLOOKUP(AA$2,行为概览!$D$3:$J$33,7,0)="","",VLOOKUP(AA$2,行为概览!$D$3:$J$33,7,0))</f>
        <v>15</v>
      </c>
      <c r="AB127" s="53" t="str">
        <f>IF(VLOOKUP(AB$2,行为概览!$D$3:$J$33,7,0)="","",VLOOKUP(AB$2,行为概览!$D$3:$J$33,7,0))</f>
        <v/>
      </c>
      <c r="AC127" s="53" t="str">
        <f>IF(VLOOKUP(AC$2,行为概览!$D$3:$J$33,7,0)="","",VLOOKUP(AC$2,行为概览!$D$3:$J$33,7,0))</f>
        <v/>
      </c>
      <c r="AD127" s="53" t="str">
        <f>IF(VLOOKUP(AD$2,行为概览!$D$3:$J$33,7,0)="","",VLOOKUP(AD$2,行为概览!$D$3:$J$33,7,0))</f>
        <v/>
      </c>
      <c r="AE127" s="68" t="str">
        <f>IF(VLOOKUP(AE$2,行为概览!$D$3:$J$33,7,0)="","",VLOOKUP(AE$2,行为概览!$D$3:$J$33,7,0))</f>
        <v/>
      </c>
      <c r="AF127" s="1">
        <f>IF(C127="","",ROUND(C127*玩法行为规划!B127,2))</f>
        <v>16.670000000000002</v>
      </c>
      <c r="AG127" s="2">
        <f>IF(D127="","",ROUND(D127*玩法行为规划!C127,2))</f>
        <v>6.6</v>
      </c>
      <c r="AH127" s="2">
        <f>IF(E127="","",ROUND(E127*玩法行为规划!D127,2))</f>
        <v>2.5</v>
      </c>
      <c r="AI127" s="2">
        <f>IF(F127="","",ROUND(F127*玩法行为规划!E127,2))</f>
        <v>15</v>
      </c>
      <c r="AJ127" s="2" t="str">
        <f>IF(G127="","",ROUND(G127*玩法行为规划!F127,2))</f>
        <v/>
      </c>
      <c r="AK127" s="2" t="str">
        <f>IF(H127="","",ROUND(H127*玩法行为规划!G127,2))</f>
        <v/>
      </c>
      <c r="AL127" s="2" t="str">
        <f>IF(I127="","",ROUND(I127*玩法行为规划!H127,2))</f>
        <v/>
      </c>
      <c r="AM127" s="2" t="str">
        <f>IF(J127="","",ROUND(J127*玩法行为规划!I127,2))</f>
        <v/>
      </c>
      <c r="AN127" s="2">
        <f>IF(K127="","",ROUND(K127*玩法行为规划!J127,2))</f>
        <v>10</v>
      </c>
      <c r="AO127" s="2">
        <f>IF(L127="","",ROUND(L127*玩法行为规划!K127,2))</f>
        <v>3.33</v>
      </c>
      <c r="AP127" s="2">
        <f>IF(M127="","",ROUND(M127*玩法行为规划!L127,2))</f>
        <v>20</v>
      </c>
      <c r="AQ127" s="2">
        <f>IF(N127="","",ROUND(N127*玩法行为规划!M127,2))</f>
        <v>12</v>
      </c>
      <c r="AR127" s="2">
        <f>IF(O127="","",ROUND(O127*玩法行为规划!N127,2))</f>
        <v>12.5</v>
      </c>
      <c r="AS127" s="2">
        <f>IF(P127="","",ROUND(P127*玩法行为规划!O127,2))</f>
        <v>0.83</v>
      </c>
      <c r="AT127" s="2">
        <f>IF(Q127="","",ROUND(Q127*玩法行为规划!P127,2))</f>
        <v>52</v>
      </c>
      <c r="AU127" s="2">
        <f>IF(R127="","",ROUND(R127*玩法行为规划!Q127,2))</f>
        <v>6</v>
      </c>
      <c r="AV127" s="2">
        <f>IF(S127="","",ROUND(S127*玩法行为规划!R127,2))</f>
        <v>6.67</v>
      </c>
      <c r="AW127" s="2">
        <f>IF(T127="","",ROUND(T127*玩法行为规划!S127,2))</f>
        <v>0</v>
      </c>
      <c r="AX127" s="2">
        <f>IF(U127="","",ROUND(U127*玩法行为规划!T127,2))</f>
        <v>5</v>
      </c>
      <c r="AY127" s="2">
        <f>IF(V127="","",ROUND(V127*玩法行为规划!U127,2))</f>
        <v>6.67</v>
      </c>
      <c r="AZ127" s="2">
        <f>IF(W127="","",ROUND(W127*玩法行为规划!V127,2))</f>
        <v>2.5</v>
      </c>
      <c r="BA127" s="2">
        <f>IF(X127="","",ROUND(X127*玩法行为规划!W127,2))</f>
        <v>5</v>
      </c>
      <c r="BB127" s="2">
        <f>IF(Y127="","",ROUND(Y127*玩法行为规划!X127,2))</f>
        <v>6.25</v>
      </c>
      <c r="BC127" s="2">
        <f>IF(Z127="","",ROUND(Z127*玩法行为规划!Y127,2))</f>
        <v>8.75</v>
      </c>
      <c r="BD127" s="2">
        <f>IF(AA127="","",ROUND(AA127*玩法行为规划!Z127,2))</f>
        <v>2.5</v>
      </c>
      <c r="BE127" s="2" t="str">
        <f>IF(AB127="","",ROUND(AB127*玩法行为规划!AA127,2))</f>
        <v/>
      </c>
      <c r="BF127" s="2" t="str">
        <f>IF(AC127="","",ROUND(AC127*玩法行为规划!AB127,2))</f>
        <v/>
      </c>
      <c r="BG127" s="2" t="str">
        <f>IF(AD127="","",ROUND(AD127*玩法行为规划!AC127,2))</f>
        <v/>
      </c>
      <c r="BH127" s="3" t="str">
        <f>IF(AE127="","",ROUND(AE127*玩法行为规划!AD127,2))</f>
        <v/>
      </c>
      <c r="BI127" s="7">
        <f t="shared" si="17"/>
        <v>200.76999999999998</v>
      </c>
      <c r="BJ127" s="7">
        <f t="shared" si="18"/>
        <v>10038500</v>
      </c>
      <c r="BK127" s="69">
        <f t="shared" si="15"/>
        <v>5525000</v>
      </c>
      <c r="BL127" s="21" t="str">
        <f t="shared" si="20"/>
        <v/>
      </c>
      <c r="BM127" s="7">
        <f t="shared" si="19"/>
        <v>2.4110476060324296E-2</v>
      </c>
      <c r="BN127" s="69">
        <f>INT(BJ127*升级节奏!G127+BK127)</f>
        <v>229153501</v>
      </c>
      <c r="BO127" s="7">
        <f t="shared" si="14"/>
        <v>556</v>
      </c>
      <c r="BP127" s="7"/>
    </row>
    <row r="128" spans="1:68">
      <c r="A128" s="29">
        <v>126</v>
      </c>
      <c r="B128" s="84">
        <f>升级节奏!C128</f>
        <v>50400</v>
      </c>
      <c r="C128" s="53">
        <f>IF(VLOOKUP(C$2,行为概览!$D$3:$J$33,7,0)="","",VLOOKUP(C$2,行为概览!$D$3:$J$33,7,0))</f>
        <v>50</v>
      </c>
      <c r="D128" s="53">
        <f>IF(VLOOKUP(D$2,行为概览!$D$3:$J$33,7,0)="","",VLOOKUP(D$2,行为概览!$D$3:$J$33,7,0))</f>
        <v>3.3</v>
      </c>
      <c r="E128" s="53">
        <f>IF(VLOOKUP(E$2,行为概览!$D$3:$J$33,7,0)="","",VLOOKUP(E$2,行为概览!$D$3:$J$33,7,0))</f>
        <v>30</v>
      </c>
      <c r="F128" s="53">
        <f>IF(VLOOKUP(F$2,行为概览!$D$3:$J$33,7,0)="","",VLOOKUP(F$2,行为概览!$D$3:$J$33,7,0))</f>
        <v>15</v>
      </c>
      <c r="G128" s="53" t="str">
        <f>IF(VLOOKUP(G$2,行为概览!$D$3:$J$33,7,0)="","",VLOOKUP(G$2,行为概览!$D$3:$J$33,7,0))</f>
        <v/>
      </c>
      <c r="H128" s="53" t="str">
        <f>IF(VLOOKUP(H$2,行为概览!$D$3:$J$33,7,0)="","",VLOOKUP(H$2,行为概览!$D$3:$J$33,7,0))</f>
        <v/>
      </c>
      <c r="I128" s="53" t="str">
        <f>IF(VLOOKUP(I$2,行为概览!$D$3:$J$33,7,0)="","",VLOOKUP(I$2,行为概览!$D$3:$J$33,7,0))</f>
        <v/>
      </c>
      <c r="J128" s="53" t="str">
        <f>IF(VLOOKUP(J$2,行为概览!$D$3:$J$33,7,0)="","",VLOOKUP(J$2,行为概览!$D$3:$J$33,7,0))</f>
        <v/>
      </c>
      <c r="K128" s="53">
        <f>IF(VLOOKUP(K$2,行为概览!$D$3:$J$33,7,0)="","",VLOOKUP(K$2,行为概览!$D$3:$J$33,7,0))</f>
        <v>20</v>
      </c>
      <c r="L128" s="53">
        <f>IF(VLOOKUP(L$2,行为概览!$D$3:$J$33,7,0)="","",VLOOKUP(L$2,行为概览!$D$3:$J$33,7,0))</f>
        <v>20</v>
      </c>
      <c r="M128" s="53">
        <f>IF(VLOOKUP(M$2,行为概览!$D$3:$J$33,7,0)="","",VLOOKUP(M$2,行为概览!$D$3:$J$33,7,0))</f>
        <v>40</v>
      </c>
      <c r="N128" s="53">
        <f>IF(VLOOKUP(N$2,行为概览!$D$3:$J$33,7,0)="","",VLOOKUP(N$2,行为概览!$D$3:$J$33,7,0))</f>
        <v>1</v>
      </c>
      <c r="O128" s="53">
        <f>IF(VLOOKUP(O$2,行为概览!$D$3:$J$33,7,0)="","",VLOOKUP(O$2,行为概览!$D$3:$J$33,7,0))</f>
        <v>150</v>
      </c>
      <c r="P128" s="53">
        <f>IF(VLOOKUP(P$2,行为概览!$D$3:$J$33,7,0)="","",VLOOKUP(P$2,行为概览!$D$3:$J$33,7,0))</f>
        <v>10</v>
      </c>
      <c r="Q128" s="53">
        <f>IF(VLOOKUP(Q$2,行为概览!$D$3:$J$33,7,0)="","",VLOOKUP(Q$2,行为概览!$D$3:$J$33,7,0))</f>
        <v>20</v>
      </c>
      <c r="R128" s="53">
        <f>IF(VLOOKUP(R$2,行为概览!$D$3:$J$33,7,0)="","",VLOOKUP(R$2,行为概览!$D$3:$J$33,7,0))</f>
        <v>6</v>
      </c>
      <c r="S128" s="53">
        <f>IF(VLOOKUP(S$2,行为概览!$D$3:$J$33,7,0)="","",VLOOKUP(S$2,行为概览!$D$3:$J$33,7,0))</f>
        <v>20</v>
      </c>
      <c r="T128" s="53">
        <f>IF(VLOOKUP(T$2,行为概览!$D$3:$J$33,7,0)="","",VLOOKUP(T$2,行为概览!$D$3:$J$33,7,0))</f>
        <v>15</v>
      </c>
      <c r="U128" s="53">
        <f>IF(VLOOKUP(U$2,行为概览!$D$3:$J$33,7,0)="","",VLOOKUP(U$2,行为概览!$D$3:$J$33,7,0))</f>
        <v>15</v>
      </c>
      <c r="V128" s="53">
        <f>IF(VLOOKUP(V$2,行为概览!$D$3:$J$33,7,0)="","",VLOOKUP(V$2,行为概览!$D$3:$J$33,7,0))</f>
        <v>40</v>
      </c>
      <c r="W128" s="53">
        <f>IF(VLOOKUP(W$2,行为概览!$D$3:$J$33,7,0)="","",VLOOKUP(W$2,行为概览!$D$3:$J$33,7,0))</f>
        <v>15</v>
      </c>
      <c r="X128" s="53">
        <f>IF(VLOOKUP(X$2,行为概览!$D$3:$J$33,7,0)="","",VLOOKUP(X$2,行为概览!$D$3:$J$33,7,0))</f>
        <v>30</v>
      </c>
      <c r="Y128" s="53">
        <f>IF(VLOOKUP(Y$2,行为概览!$D$3:$J$33,7,0)="","",VLOOKUP(Y$2,行为概览!$D$3:$J$33,7,0))</f>
        <v>25</v>
      </c>
      <c r="Z128" s="53">
        <f>IF(VLOOKUP(Z$2,行为概览!$D$3:$J$33,7,0)="","",VLOOKUP(Z$2,行为概览!$D$3:$J$33,7,0))</f>
        <v>15</v>
      </c>
      <c r="AA128" s="53">
        <f>IF(VLOOKUP(AA$2,行为概览!$D$3:$J$33,7,0)="","",VLOOKUP(AA$2,行为概览!$D$3:$J$33,7,0))</f>
        <v>15</v>
      </c>
      <c r="AB128" s="53" t="str">
        <f>IF(VLOOKUP(AB$2,行为概览!$D$3:$J$33,7,0)="","",VLOOKUP(AB$2,行为概览!$D$3:$J$33,7,0))</f>
        <v/>
      </c>
      <c r="AC128" s="53" t="str">
        <f>IF(VLOOKUP(AC$2,行为概览!$D$3:$J$33,7,0)="","",VLOOKUP(AC$2,行为概览!$D$3:$J$33,7,0))</f>
        <v/>
      </c>
      <c r="AD128" s="53" t="str">
        <f>IF(VLOOKUP(AD$2,行为概览!$D$3:$J$33,7,0)="","",VLOOKUP(AD$2,行为概览!$D$3:$J$33,7,0))</f>
        <v/>
      </c>
      <c r="AE128" s="68" t="str">
        <f>IF(VLOOKUP(AE$2,行为概览!$D$3:$J$33,7,0)="","",VLOOKUP(AE$2,行为概览!$D$3:$J$33,7,0))</f>
        <v/>
      </c>
      <c r="AF128" s="1">
        <f>IF(C128="","",ROUND(C128*玩法行为规划!B128,2))</f>
        <v>16.670000000000002</v>
      </c>
      <c r="AG128" s="2">
        <f>IF(D128="","",ROUND(D128*玩法行为规划!C128,2))</f>
        <v>6.6</v>
      </c>
      <c r="AH128" s="2">
        <f>IF(E128="","",ROUND(E128*玩法行为规划!D128,2))</f>
        <v>2.5</v>
      </c>
      <c r="AI128" s="2">
        <f>IF(F128="","",ROUND(F128*玩法行为规划!E128,2))</f>
        <v>15</v>
      </c>
      <c r="AJ128" s="2" t="str">
        <f>IF(G128="","",ROUND(G128*玩法行为规划!F128,2))</f>
        <v/>
      </c>
      <c r="AK128" s="2" t="str">
        <f>IF(H128="","",ROUND(H128*玩法行为规划!G128,2))</f>
        <v/>
      </c>
      <c r="AL128" s="2" t="str">
        <f>IF(I128="","",ROUND(I128*玩法行为规划!H128,2))</f>
        <v/>
      </c>
      <c r="AM128" s="2" t="str">
        <f>IF(J128="","",ROUND(J128*玩法行为规划!I128,2))</f>
        <v/>
      </c>
      <c r="AN128" s="2">
        <f>IF(K128="","",ROUND(K128*玩法行为规划!J128,2))</f>
        <v>10</v>
      </c>
      <c r="AO128" s="2">
        <f>IF(L128="","",ROUND(L128*玩法行为规划!K128,2))</f>
        <v>3.33</v>
      </c>
      <c r="AP128" s="2">
        <f>IF(M128="","",ROUND(M128*玩法行为规划!L128,2))</f>
        <v>20</v>
      </c>
      <c r="AQ128" s="2">
        <f>IF(N128="","",ROUND(N128*玩法行为规划!M128,2))</f>
        <v>12</v>
      </c>
      <c r="AR128" s="2">
        <f>IF(O128="","",ROUND(O128*玩法行为规划!N128,2))</f>
        <v>12.5</v>
      </c>
      <c r="AS128" s="2">
        <f>IF(P128="","",ROUND(P128*玩法行为规划!O128,2))</f>
        <v>0.83</v>
      </c>
      <c r="AT128" s="2">
        <f>IF(Q128="","",ROUND(Q128*玩法行为规划!P128,2))</f>
        <v>52</v>
      </c>
      <c r="AU128" s="2">
        <f>IF(R128="","",ROUND(R128*玩法行为规划!Q128,2))</f>
        <v>6</v>
      </c>
      <c r="AV128" s="2">
        <f>IF(S128="","",ROUND(S128*玩法行为规划!R128,2))</f>
        <v>6.67</v>
      </c>
      <c r="AW128" s="2">
        <f>IF(T128="","",ROUND(T128*玩法行为规划!S128,2))</f>
        <v>0</v>
      </c>
      <c r="AX128" s="2">
        <f>IF(U128="","",ROUND(U128*玩法行为规划!T128,2))</f>
        <v>5</v>
      </c>
      <c r="AY128" s="2">
        <f>IF(V128="","",ROUND(V128*玩法行为规划!U128,2))</f>
        <v>6.67</v>
      </c>
      <c r="AZ128" s="2">
        <f>IF(W128="","",ROUND(W128*玩法行为规划!V128,2))</f>
        <v>2.5</v>
      </c>
      <c r="BA128" s="2">
        <f>IF(X128="","",ROUND(X128*玩法行为规划!W128,2))</f>
        <v>5</v>
      </c>
      <c r="BB128" s="2">
        <f>IF(Y128="","",ROUND(Y128*玩法行为规划!X128,2))</f>
        <v>6.25</v>
      </c>
      <c r="BC128" s="2">
        <f>IF(Z128="","",ROUND(Z128*玩法行为规划!Y128,2))</f>
        <v>8.75</v>
      </c>
      <c r="BD128" s="2">
        <f>IF(AA128="","",ROUND(AA128*玩法行为规划!Z128,2))</f>
        <v>2.5</v>
      </c>
      <c r="BE128" s="2" t="str">
        <f>IF(AB128="","",ROUND(AB128*玩法行为规划!AA128,2))</f>
        <v/>
      </c>
      <c r="BF128" s="2" t="str">
        <f>IF(AC128="","",ROUND(AC128*玩法行为规划!AB128,2))</f>
        <v/>
      </c>
      <c r="BG128" s="2" t="str">
        <f>IF(AD128="","",ROUND(AD128*玩法行为规划!AC128,2))</f>
        <v/>
      </c>
      <c r="BH128" s="3" t="str">
        <f>IF(AE128="","",ROUND(AE128*玩法行为规划!AD128,2))</f>
        <v/>
      </c>
      <c r="BI128" s="7">
        <f t="shared" si="17"/>
        <v>200.76999999999998</v>
      </c>
      <c r="BJ128" s="7">
        <f t="shared" si="18"/>
        <v>10118808</v>
      </c>
      <c r="BK128" s="69">
        <f t="shared" si="15"/>
        <v>5624600</v>
      </c>
      <c r="BL128" s="21" t="str">
        <f t="shared" si="20"/>
        <v/>
      </c>
      <c r="BM128" s="7">
        <f t="shared" si="19"/>
        <v>2.3971168658357137E-2</v>
      </c>
      <c r="BN128" s="69">
        <f>INT(BJ128*升级节奏!G128+BK128)</f>
        <v>234640208</v>
      </c>
      <c r="BO128" s="7">
        <f t="shared" si="14"/>
        <v>560</v>
      </c>
      <c r="BP128" s="7"/>
    </row>
    <row r="129" spans="1:68">
      <c r="A129" s="29">
        <v>127</v>
      </c>
      <c r="B129" s="84">
        <f>升级节奏!C129</f>
        <v>50800</v>
      </c>
      <c r="C129" s="53">
        <f>IF(VLOOKUP(C$2,行为概览!$D$3:$J$33,7,0)="","",VLOOKUP(C$2,行为概览!$D$3:$J$33,7,0))</f>
        <v>50</v>
      </c>
      <c r="D129" s="53">
        <f>IF(VLOOKUP(D$2,行为概览!$D$3:$J$33,7,0)="","",VLOOKUP(D$2,行为概览!$D$3:$J$33,7,0))</f>
        <v>3.3</v>
      </c>
      <c r="E129" s="53">
        <f>IF(VLOOKUP(E$2,行为概览!$D$3:$J$33,7,0)="","",VLOOKUP(E$2,行为概览!$D$3:$J$33,7,0))</f>
        <v>30</v>
      </c>
      <c r="F129" s="53">
        <f>IF(VLOOKUP(F$2,行为概览!$D$3:$J$33,7,0)="","",VLOOKUP(F$2,行为概览!$D$3:$J$33,7,0))</f>
        <v>15</v>
      </c>
      <c r="G129" s="53" t="str">
        <f>IF(VLOOKUP(G$2,行为概览!$D$3:$J$33,7,0)="","",VLOOKUP(G$2,行为概览!$D$3:$J$33,7,0))</f>
        <v/>
      </c>
      <c r="H129" s="53" t="str">
        <f>IF(VLOOKUP(H$2,行为概览!$D$3:$J$33,7,0)="","",VLOOKUP(H$2,行为概览!$D$3:$J$33,7,0))</f>
        <v/>
      </c>
      <c r="I129" s="53" t="str">
        <f>IF(VLOOKUP(I$2,行为概览!$D$3:$J$33,7,0)="","",VLOOKUP(I$2,行为概览!$D$3:$J$33,7,0))</f>
        <v/>
      </c>
      <c r="J129" s="53" t="str">
        <f>IF(VLOOKUP(J$2,行为概览!$D$3:$J$33,7,0)="","",VLOOKUP(J$2,行为概览!$D$3:$J$33,7,0))</f>
        <v/>
      </c>
      <c r="K129" s="53">
        <f>IF(VLOOKUP(K$2,行为概览!$D$3:$J$33,7,0)="","",VLOOKUP(K$2,行为概览!$D$3:$J$33,7,0))</f>
        <v>20</v>
      </c>
      <c r="L129" s="53">
        <f>IF(VLOOKUP(L$2,行为概览!$D$3:$J$33,7,0)="","",VLOOKUP(L$2,行为概览!$D$3:$J$33,7,0))</f>
        <v>20</v>
      </c>
      <c r="M129" s="53">
        <f>IF(VLOOKUP(M$2,行为概览!$D$3:$J$33,7,0)="","",VLOOKUP(M$2,行为概览!$D$3:$J$33,7,0))</f>
        <v>40</v>
      </c>
      <c r="N129" s="53">
        <f>IF(VLOOKUP(N$2,行为概览!$D$3:$J$33,7,0)="","",VLOOKUP(N$2,行为概览!$D$3:$J$33,7,0))</f>
        <v>1</v>
      </c>
      <c r="O129" s="53">
        <f>IF(VLOOKUP(O$2,行为概览!$D$3:$J$33,7,0)="","",VLOOKUP(O$2,行为概览!$D$3:$J$33,7,0))</f>
        <v>150</v>
      </c>
      <c r="P129" s="53">
        <f>IF(VLOOKUP(P$2,行为概览!$D$3:$J$33,7,0)="","",VLOOKUP(P$2,行为概览!$D$3:$J$33,7,0))</f>
        <v>10</v>
      </c>
      <c r="Q129" s="53">
        <f>IF(VLOOKUP(Q$2,行为概览!$D$3:$J$33,7,0)="","",VLOOKUP(Q$2,行为概览!$D$3:$J$33,7,0))</f>
        <v>20</v>
      </c>
      <c r="R129" s="53">
        <f>IF(VLOOKUP(R$2,行为概览!$D$3:$J$33,7,0)="","",VLOOKUP(R$2,行为概览!$D$3:$J$33,7,0))</f>
        <v>6</v>
      </c>
      <c r="S129" s="53">
        <f>IF(VLOOKUP(S$2,行为概览!$D$3:$J$33,7,0)="","",VLOOKUP(S$2,行为概览!$D$3:$J$33,7,0))</f>
        <v>20</v>
      </c>
      <c r="T129" s="53">
        <f>IF(VLOOKUP(T$2,行为概览!$D$3:$J$33,7,0)="","",VLOOKUP(T$2,行为概览!$D$3:$J$33,7,0))</f>
        <v>15</v>
      </c>
      <c r="U129" s="53">
        <f>IF(VLOOKUP(U$2,行为概览!$D$3:$J$33,7,0)="","",VLOOKUP(U$2,行为概览!$D$3:$J$33,7,0))</f>
        <v>15</v>
      </c>
      <c r="V129" s="53">
        <f>IF(VLOOKUP(V$2,行为概览!$D$3:$J$33,7,0)="","",VLOOKUP(V$2,行为概览!$D$3:$J$33,7,0))</f>
        <v>40</v>
      </c>
      <c r="W129" s="53">
        <f>IF(VLOOKUP(W$2,行为概览!$D$3:$J$33,7,0)="","",VLOOKUP(W$2,行为概览!$D$3:$J$33,7,0))</f>
        <v>15</v>
      </c>
      <c r="X129" s="53">
        <f>IF(VLOOKUP(X$2,行为概览!$D$3:$J$33,7,0)="","",VLOOKUP(X$2,行为概览!$D$3:$J$33,7,0))</f>
        <v>30</v>
      </c>
      <c r="Y129" s="53">
        <f>IF(VLOOKUP(Y$2,行为概览!$D$3:$J$33,7,0)="","",VLOOKUP(Y$2,行为概览!$D$3:$J$33,7,0))</f>
        <v>25</v>
      </c>
      <c r="Z129" s="53">
        <f>IF(VLOOKUP(Z$2,行为概览!$D$3:$J$33,7,0)="","",VLOOKUP(Z$2,行为概览!$D$3:$J$33,7,0))</f>
        <v>15</v>
      </c>
      <c r="AA129" s="53">
        <f>IF(VLOOKUP(AA$2,行为概览!$D$3:$J$33,7,0)="","",VLOOKUP(AA$2,行为概览!$D$3:$J$33,7,0))</f>
        <v>15</v>
      </c>
      <c r="AB129" s="53" t="str">
        <f>IF(VLOOKUP(AB$2,行为概览!$D$3:$J$33,7,0)="","",VLOOKUP(AB$2,行为概览!$D$3:$J$33,7,0))</f>
        <v/>
      </c>
      <c r="AC129" s="53" t="str">
        <f>IF(VLOOKUP(AC$2,行为概览!$D$3:$J$33,7,0)="","",VLOOKUP(AC$2,行为概览!$D$3:$J$33,7,0))</f>
        <v/>
      </c>
      <c r="AD129" s="53" t="str">
        <f>IF(VLOOKUP(AD$2,行为概览!$D$3:$J$33,7,0)="","",VLOOKUP(AD$2,行为概览!$D$3:$J$33,7,0))</f>
        <v/>
      </c>
      <c r="AE129" s="68" t="str">
        <f>IF(VLOOKUP(AE$2,行为概览!$D$3:$J$33,7,0)="","",VLOOKUP(AE$2,行为概览!$D$3:$J$33,7,0))</f>
        <v/>
      </c>
      <c r="AF129" s="1">
        <f>IF(C129="","",ROUND(C129*玩法行为规划!B129,2))</f>
        <v>16.670000000000002</v>
      </c>
      <c r="AG129" s="2">
        <f>IF(D129="","",ROUND(D129*玩法行为规划!C129,2))</f>
        <v>6.6</v>
      </c>
      <c r="AH129" s="2">
        <f>IF(E129="","",ROUND(E129*玩法行为规划!D129,2))</f>
        <v>2.5</v>
      </c>
      <c r="AI129" s="2">
        <f>IF(F129="","",ROUND(F129*玩法行为规划!E129,2))</f>
        <v>15</v>
      </c>
      <c r="AJ129" s="2" t="str">
        <f>IF(G129="","",ROUND(G129*玩法行为规划!F129,2))</f>
        <v/>
      </c>
      <c r="AK129" s="2" t="str">
        <f>IF(H129="","",ROUND(H129*玩法行为规划!G129,2))</f>
        <v/>
      </c>
      <c r="AL129" s="2" t="str">
        <f>IF(I129="","",ROUND(I129*玩法行为规划!H129,2))</f>
        <v/>
      </c>
      <c r="AM129" s="2" t="str">
        <f>IF(J129="","",ROUND(J129*玩法行为规划!I129,2))</f>
        <v/>
      </c>
      <c r="AN129" s="2">
        <f>IF(K129="","",ROUND(K129*玩法行为规划!J129,2))</f>
        <v>10</v>
      </c>
      <c r="AO129" s="2">
        <f>IF(L129="","",ROUND(L129*玩法行为规划!K129,2))</f>
        <v>3.33</v>
      </c>
      <c r="AP129" s="2">
        <f>IF(M129="","",ROUND(M129*玩法行为规划!L129,2))</f>
        <v>20</v>
      </c>
      <c r="AQ129" s="2">
        <f>IF(N129="","",ROUND(N129*玩法行为规划!M129,2))</f>
        <v>12</v>
      </c>
      <c r="AR129" s="2">
        <f>IF(O129="","",ROUND(O129*玩法行为规划!N129,2))</f>
        <v>12.5</v>
      </c>
      <c r="AS129" s="2">
        <f>IF(P129="","",ROUND(P129*玩法行为规划!O129,2))</f>
        <v>0.83</v>
      </c>
      <c r="AT129" s="2">
        <f>IF(Q129="","",ROUND(Q129*玩法行为规划!P129,2))</f>
        <v>52</v>
      </c>
      <c r="AU129" s="2">
        <f>IF(R129="","",ROUND(R129*玩法行为规划!Q129,2))</f>
        <v>6</v>
      </c>
      <c r="AV129" s="2">
        <f>IF(S129="","",ROUND(S129*玩法行为规划!R129,2))</f>
        <v>6.67</v>
      </c>
      <c r="AW129" s="2">
        <f>IF(T129="","",ROUND(T129*玩法行为规划!S129,2))</f>
        <v>0</v>
      </c>
      <c r="AX129" s="2">
        <f>IF(U129="","",ROUND(U129*玩法行为规划!T129,2))</f>
        <v>5</v>
      </c>
      <c r="AY129" s="2">
        <f>IF(V129="","",ROUND(V129*玩法行为规划!U129,2))</f>
        <v>6.67</v>
      </c>
      <c r="AZ129" s="2">
        <f>IF(W129="","",ROUND(W129*玩法行为规划!V129,2))</f>
        <v>2.5</v>
      </c>
      <c r="BA129" s="2">
        <f>IF(X129="","",ROUND(X129*玩法行为规划!W129,2))</f>
        <v>5</v>
      </c>
      <c r="BB129" s="2">
        <f>IF(Y129="","",ROUND(Y129*玩法行为规划!X129,2))</f>
        <v>6.25</v>
      </c>
      <c r="BC129" s="2">
        <f>IF(Z129="","",ROUND(Z129*玩法行为规划!Y129,2))</f>
        <v>8.75</v>
      </c>
      <c r="BD129" s="2">
        <f>IF(AA129="","",ROUND(AA129*玩法行为规划!Z129,2))</f>
        <v>2.5</v>
      </c>
      <c r="BE129" s="2" t="str">
        <f>IF(AB129="","",ROUND(AB129*玩法行为规划!AA129,2))</f>
        <v/>
      </c>
      <c r="BF129" s="2" t="str">
        <f>IF(AC129="","",ROUND(AC129*玩法行为规划!AB129,2))</f>
        <v/>
      </c>
      <c r="BG129" s="2" t="str">
        <f>IF(AD129="","",ROUND(AD129*玩法行为规划!AC129,2))</f>
        <v/>
      </c>
      <c r="BH129" s="3" t="str">
        <f>IF(AE129="","",ROUND(AE129*玩法行为规划!AD129,2))</f>
        <v/>
      </c>
      <c r="BI129" s="7">
        <f t="shared" si="17"/>
        <v>200.76999999999998</v>
      </c>
      <c r="BJ129" s="7">
        <f t="shared" si="18"/>
        <v>10199116</v>
      </c>
      <c r="BK129" s="69">
        <f t="shared" si="15"/>
        <v>5725200</v>
      </c>
      <c r="BL129" s="21" t="str">
        <f t="shared" si="20"/>
        <v/>
      </c>
      <c r="BM129" s="7">
        <f t="shared" si="19"/>
        <v>2.383375568256503E-2</v>
      </c>
      <c r="BN129" s="69">
        <f>INT(BJ129*升级节奏!G129+BK129)</f>
        <v>240213925</v>
      </c>
      <c r="BO129" s="7">
        <f t="shared" si="14"/>
        <v>564</v>
      </c>
      <c r="BP129" s="7"/>
    </row>
    <row r="130" spans="1:68">
      <c r="A130" s="29">
        <v>128</v>
      </c>
      <c r="B130" s="84">
        <f>升级节奏!C130</f>
        <v>51200</v>
      </c>
      <c r="C130" s="53">
        <f>IF(VLOOKUP(C$2,行为概览!$D$3:$J$33,7,0)="","",VLOOKUP(C$2,行为概览!$D$3:$J$33,7,0))</f>
        <v>50</v>
      </c>
      <c r="D130" s="53">
        <f>IF(VLOOKUP(D$2,行为概览!$D$3:$J$33,7,0)="","",VLOOKUP(D$2,行为概览!$D$3:$J$33,7,0))</f>
        <v>3.3</v>
      </c>
      <c r="E130" s="53">
        <f>IF(VLOOKUP(E$2,行为概览!$D$3:$J$33,7,0)="","",VLOOKUP(E$2,行为概览!$D$3:$J$33,7,0))</f>
        <v>30</v>
      </c>
      <c r="F130" s="53">
        <f>IF(VLOOKUP(F$2,行为概览!$D$3:$J$33,7,0)="","",VLOOKUP(F$2,行为概览!$D$3:$J$33,7,0))</f>
        <v>15</v>
      </c>
      <c r="G130" s="53" t="str">
        <f>IF(VLOOKUP(G$2,行为概览!$D$3:$J$33,7,0)="","",VLOOKUP(G$2,行为概览!$D$3:$J$33,7,0))</f>
        <v/>
      </c>
      <c r="H130" s="53" t="str">
        <f>IF(VLOOKUP(H$2,行为概览!$D$3:$J$33,7,0)="","",VLOOKUP(H$2,行为概览!$D$3:$J$33,7,0))</f>
        <v/>
      </c>
      <c r="I130" s="53" t="str">
        <f>IF(VLOOKUP(I$2,行为概览!$D$3:$J$33,7,0)="","",VLOOKUP(I$2,行为概览!$D$3:$J$33,7,0))</f>
        <v/>
      </c>
      <c r="J130" s="53" t="str">
        <f>IF(VLOOKUP(J$2,行为概览!$D$3:$J$33,7,0)="","",VLOOKUP(J$2,行为概览!$D$3:$J$33,7,0))</f>
        <v/>
      </c>
      <c r="K130" s="53">
        <f>IF(VLOOKUP(K$2,行为概览!$D$3:$J$33,7,0)="","",VLOOKUP(K$2,行为概览!$D$3:$J$33,7,0))</f>
        <v>20</v>
      </c>
      <c r="L130" s="53">
        <f>IF(VLOOKUP(L$2,行为概览!$D$3:$J$33,7,0)="","",VLOOKUP(L$2,行为概览!$D$3:$J$33,7,0))</f>
        <v>20</v>
      </c>
      <c r="M130" s="53">
        <f>IF(VLOOKUP(M$2,行为概览!$D$3:$J$33,7,0)="","",VLOOKUP(M$2,行为概览!$D$3:$J$33,7,0))</f>
        <v>40</v>
      </c>
      <c r="N130" s="53">
        <f>IF(VLOOKUP(N$2,行为概览!$D$3:$J$33,7,0)="","",VLOOKUP(N$2,行为概览!$D$3:$J$33,7,0))</f>
        <v>1</v>
      </c>
      <c r="O130" s="53">
        <f>IF(VLOOKUP(O$2,行为概览!$D$3:$J$33,7,0)="","",VLOOKUP(O$2,行为概览!$D$3:$J$33,7,0))</f>
        <v>150</v>
      </c>
      <c r="P130" s="53">
        <f>IF(VLOOKUP(P$2,行为概览!$D$3:$J$33,7,0)="","",VLOOKUP(P$2,行为概览!$D$3:$J$33,7,0))</f>
        <v>10</v>
      </c>
      <c r="Q130" s="53">
        <f>IF(VLOOKUP(Q$2,行为概览!$D$3:$J$33,7,0)="","",VLOOKUP(Q$2,行为概览!$D$3:$J$33,7,0))</f>
        <v>20</v>
      </c>
      <c r="R130" s="53">
        <f>IF(VLOOKUP(R$2,行为概览!$D$3:$J$33,7,0)="","",VLOOKUP(R$2,行为概览!$D$3:$J$33,7,0))</f>
        <v>6</v>
      </c>
      <c r="S130" s="53">
        <f>IF(VLOOKUP(S$2,行为概览!$D$3:$J$33,7,0)="","",VLOOKUP(S$2,行为概览!$D$3:$J$33,7,0))</f>
        <v>20</v>
      </c>
      <c r="T130" s="53">
        <f>IF(VLOOKUP(T$2,行为概览!$D$3:$J$33,7,0)="","",VLOOKUP(T$2,行为概览!$D$3:$J$33,7,0))</f>
        <v>15</v>
      </c>
      <c r="U130" s="53">
        <f>IF(VLOOKUP(U$2,行为概览!$D$3:$J$33,7,0)="","",VLOOKUP(U$2,行为概览!$D$3:$J$33,7,0))</f>
        <v>15</v>
      </c>
      <c r="V130" s="53">
        <f>IF(VLOOKUP(V$2,行为概览!$D$3:$J$33,7,0)="","",VLOOKUP(V$2,行为概览!$D$3:$J$33,7,0))</f>
        <v>40</v>
      </c>
      <c r="W130" s="53">
        <f>IF(VLOOKUP(W$2,行为概览!$D$3:$J$33,7,0)="","",VLOOKUP(W$2,行为概览!$D$3:$J$33,7,0))</f>
        <v>15</v>
      </c>
      <c r="X130" s="53">
        <f>IF(VLOOKUP(X$2,行为概览!$D$3:$J$33,7,0)="","",VLOOKUP(X$2,行为概览!$D$3:$J$33,7,0))</f>
        <v>30</v>
      </c>
      <c r="Y130" s="53">
        <f>IF(VLOOKUP(Y$2,行为概览!$D$3:$J$33,7,0)="","",VLOOKUP(Y$2,行为概览!$D$3:$J$33,7,0))</f>
        <v>25</v>
      </c>
      <c r="Z130" s="53">
        <f>IF(VLOOKUP(Z$2,行为概览!$D$3:$J$33,7,0)="","",VLOOKUP(Z$2,行为概览!$D$3:$J$33,7,0))</f>
        <v>15</v>
      </c>
      <c r="AA130" s="53">
        <f>IF(VLOOKUP(AA$2,行为概览!$D$3:$J$33,7,0)="","",VLOOKUP(AA$2,行为概览!$D$3:$J$33,7,0))</f>
        <v>15</v>
      </c>
      <c r="AB130" s="53" t="str">
        <f>IF(VLOOKUP(AB$2,行为概览!$D$3:$J$33,7,0)="","",VLOOKUP(AB$2,行为概览!$D$3:$J$33,7,0))</f>
        <v/>
      </c>
      <c r="AC130" s="53" t="str">
        <f>IF(VLOOKUP(AC$2,行为概览!$D$3:$J$33,7,0)="","",VLOOKUP(AC$2,行为概览!$D$3:$J$33,7,0))</f>
        <v/>
      </c>
      <c r="AD130" s="53" t="str">
        <f>IF(VLOOKUP(AD$2,行为概览!$D$3:$J$33,7,0)="","",VLOOKUP(AD$2,行为概览!$D$3:$J$33,7,0))</f>
        <v/>
      </c>
      <c r="AE130" s="68" t="str">
        <f>IF(VLOOKUP(AE$2,行为概览!$D$3:$J$33,7,0)="","",VLOOKUP(AE$2,行为概览!$D$3:$J$33,7,0))</f>
        <v/>
      </c>
      <c r="AF130" s="1">
        <f>IF(C130="","",ROUND(C130*玩法行为规划!B130,2))</f>
        <v>16.670000000000002</v>
      </c>
      <c r="AG130" s="2">
        <f>IF(D130="","",ROUND(D130*玩法行为规划!C130,2))</f>
        <v>6.6</v>
      </c>
      <c r="AH130" s="2">
        <f>IF(E130="","",ROUND(E130*玩法行为规划!D130,2))</f>
        <v>2.5</v>
      </c>
      <c r="AI130" s="2">
        <f>IF(F130="","",ROUND(F130*玩法行为规划!E130,2))</f>
        <v>15</v>
      </c>
      <c r="AJ130" s="2" t="str">
        <f>IF(G130="","",ROUND(G130*玩法行为规划!F130,2))</f>
        <v/>
      </c>
      <c r="AK130" s="2" t="str">
        <f>IF(H130="","",ROUND(H130*玩法行为规划!G130,2))</f>
        <v/>
      </c>
      <c r="AL130" s="2" t="str">
        <f>IF(I130="","",ROUND(I130*玩法行为规划!H130,2))</f>
        <v/>
      </c>
      <c r="AM130" s="2" t="str">
        <f>IF(J130="","",ROUND(J130*玩法行为规划!I130,2))</f>
        <v/>
      </c>
      <c r="AN130" s="2">
        <f>IF(K130="","",ROUND(K130*玩法行为规划!J130,2))</f>
        <v>10</v>
      </c>
      <c r="AO130" s="2">
        <f>IF(L130="","",ROUND(L130*玩法行为规划!K130,2))</f>
        <v>3.33</v>
      </c>
      <c r="AP130" s="2">
        <f>IF(M130="","",ROUND(M130*玩法行为规划!L130,2))</f>
        <v>20</v>
      </c>
      <c r="AQ130" s="2">
        <f>IF(N130="","",ROUND(N130*玩法行为规划!M130,2))</f>
        <v>12</v>
      </c>
      <c r="AR130" s="2">
        <f>IF(O130="","",ROUND(O130*玩法行为规划!N130,2))</f>
        <v>12.5</v>
      </c>
      <c r="AS130" s="2">
        <f>IF(P130="","",ROUND(P130*玩法行为规划!O130,2))</f>
        <v>0.83</v>
      </c>
      <c r="AT130" s="2">
        <f>IF(Q130="","",ROUND(Q130*玩法行为规划!P130,2))</f>
        <v>52</v>
      </c>
      <c r="AU130" s="2">
        <f>IF(R130="","",ROUND(R130*玩法行为规划!Q130,2))</f>
        <v>6</v>
      </c>
      <c r="AV130" s="2">
        <f>IF(S130="","",ROUND(S130*玩法行为规划!R130,2))</f>
        <v>6.67</v>
      </c>
      <c r="AW130" s="2">
        <f>IF(T130="","",ROUND(T130*玩法行为规划!S130,2))</f>
        <v>0</v>
      </c>
      <c r="AX130" s="2">
        <f>IF(U130="","",ROUND(U130*玩法行为规划!T130,2))</f>
        <v>5</v>
      </c>
      <c r="AY130" s="2">
        <f>IF(V130="","",ROUND(V130*玩法行为规划!U130,2))</f>
        <v>6.67</v>
      </c>
      <c r="AZ130" s="2">
        <f>IF(W130="","",ROUND(W130*玩法行为规划!V130,2))</f>
        <v>2.5</v>
      </c>
      <c r="BA130" s="2">
        <f>IF(X130="","",ROUND(X130*玩法行为规划!W130,2))</f>
        <v>5</v>
      </c>
      <c r="BB130" s="2">
        <f>IF(Y130="","",ROUND(Y130*玩法行为规划!X130,2))</f>
        <v>6.25</v>
      </c>
      <c r="BC130" s="2">
        <f>IF(Z130="","",ROUND(Z130*玩法行为规划!Y130,2))</f>
        <v>8.75</v>
      </c>
      <c r="BD130" s="2">
        <f>IF(AA130="","",ROUND(AA130*玩法行为规划!Z130,2))</f>
        <v>2.5</v>
      </c>
      <c r="BE130" s="2" t="str">
        <f>IF(AB130="","",ROUND(AB130*玩法行为规划!AA130,2))</f>
        <v/>
      </c>
      <c r="BF130" s="2" t="str">
        <f>IF(AC130="","",ROUND(AC130*玩法行为规划!AB130,2))</f>
        <v/>
      </c>
      <c r="BG130" s="2" t="str">
        <f>IF(AD130="","",ROUND(AD130*玩法行为规划!AC130,2))</f>
        <v/>
      </c>
      <c r="BH130" s="3" t="str">
        <f>IF(AE130="","",ROUND(AE130*玩法行为规划!AD130,2))</f>
        <v/>
      </c>
      <c r="BI130" s="7">
        <f t="shared" si="17"/>
        <v>200.76999999999998</v>
      </c>
      <c r="BJ130" s="7">
        <f t="shared" si="18"/>
        <v>10279424</v>
      </c>
      <c r="BK130" s="69">
        <f t="shared" si="15"/>
        <v>5826600</v>
      </c>
      <c r="BL130" s="21" t="str">
        <f t="shared" si="20"/>
        <v/>
      </c>
      <c r="BM130" s="7">
        <f t="shared" si="19"/>
        <v>2.3697394207836429E-2</v>
      </c>
      <c r="BN130" s="69">
        <f>INT(BJ130*升级节奏!G130+BK130)</f>
        <v>245875135</v>
      </c>
      <c r="BO130" s="7">
        <f t="shared" si="14"/>
        <v>569</v>
      </c>
      <c r="BP130" s="7"/>
    </row>
    <row r="131" spans="1:68">
      <c r="A131" s="29">
        <v>129</v>
      </c>
      <c r="B131" s="84">
        <f>升级节奏!C131</f>
        <v>51600</v>
      </c>
      <c r="C131" s="53">
        <f>IF(VLOOKUP(C$2,行为概览!$D$3:$J$33,7,0)="","",VLOOKUP(C$2,行为概览!$D$3:$J$33,7,0))</f>
        <v>50</v>
      </c>
      <c r="D131" s="53">
        <f>IF(VLOOKUP(D$2,行为概览!$D$3:$J$33,7,0)="","",VLOOKUP(D$2,行为概览!$D$3:$J$33,7,0))</f>
        <v>3.3</v>
      </c>
      <c r="E131" s="53">
        <f>IF(VLOOKUP(E$2,行为概览!$D$3:$J$33,7,0)="","",VLOOKUP(E$2,行为概览!$D$3:$J$33,7,0))</f>
        <v>30</v>
      </c>
      <c r="F131" s="53">
        <f>IF(VLOOKUP(F$2,行为概览!$D$3:$J$33,7,0)="","",VLOOKUP(F$2,行为概览!$D$3:$J$33,7,0))</f>
        <v>15</v>
      </c>
      <c r="G131" s="53" t="str">
        <f>IF(VLOOKUP(G$2,行为概览!$D$3:$J$33,7,0)="","",VLOOKUP(G$2,行为概览!$D$3:$J$33,7,0))</f>
        <v/>
      </c>
      <c r="H131" s="53" t="str">
        <f>IF(VLOOKUP(H$2,行为概览!$D$3:$J$33,7,0)="","",VLOOKUP(H$2,行为概览!$D$3:$J$33,7,0))</f>
        <v/>
      </c>
      <c r="I131" s="53" t="str">
        <f>IF(VLOOKUP(I$2,行为概览!$D$3:$J$33,7,0)="","",VLOOKUP(I$2,行为概览!$D$3:$J$33,7,0))</f>
        <v/>
      </c>
      <c r="J131" s="53" t="str">
        <f>IF(VLOOKUP(J$2,行为概览!$D$3:$J$33,7,0)="","",VLOOKUP(J$2,行为概览!$D$3:$J$33,7,0))</f>
        <v/>
      </c>
      <c r="K131" s="53">
        <f>IF(VLOOKUP(K$2,行为概览!$D$3:$J$33,7,0)="","",VLOOKUP(K$2,行为概览!$D$3:$J$33,7,0))</f>
        <v>20</v>
      </c>
      <c r="L131" s="53">
        <f>IF(VLOOKUP(L$2,行为概览!$D$3:$J$33,7,0)="","",VLOOKUP(L$2,行为概览!$D$3:$J$33,7,0))</f>
        <v>20</v>
      </c>
      <c r="M131" s="53">
        <f>IF(VLOOKUP(M$2,行为概览!$D$3:$J$33,7,0)="","",VLOOKUP(M$2,行为概览!$D$3:$J$33,7,0))</f>
        <v>40</v>
      </c>
      <c r="N131" s="53">
        <f>IF(VLOOKUP(N$2,行为概览!$D$3:$J$33,7,0)="","",VLOOKUP(N$2,行为概览!$D$3:$J$33,7,0))</f>
        <v>1</v>
      </c>
      <c r="O131" s="53">
        <f>IF(VLOOKUP(O$2,行为概览!$D$3:$J$33,7,0)="","",VLOOKUP(O$2,行为概览!$D$3:$J$33,7,0))</f>
        <v>150</v>
      </c>
      <c r="P131" s="53">
        <f>IF(VLOOKUP(P$2,行为概览!$D$3:$J$33,7,0)="","",VLOOKUP(P$2,行为概览!$D$3:$J$33,7,0))</f>
        <v>10</v>
      </c>
      <c r="Q131" s="53">
        <f>IF(VLOOKUP(Q$2,行为概览!$D$3:$J$33,7,0)="","",VLOOKUP(Q$2,行为概览!$D$3:$J$33,7,0))</f>
        <v>20</v>
      </c>
      <c r="R131" s="53">
        <f>IF(VLOOKUP(R$2,行为概览!$D$3:$J$33,7,0)="","",VLOOKUP(R$2,行为概览!$D$3:$J$33,7,0))</f>
        <v>6</v>
      </c>
      <c r="S131" s="53">
        <f>IF(VLOOKUP(S$2,行为概览!$D$3:$J$33,7,0)="","",VLOOKUP(S$2,行为概览!$D$3:$J$33,7,0))</f>
        <v>20</v>
      </c>
      <c r="T131" s="53">
        <f>IF(VLOOKUP(T$2,行为概览!$D$3:$J$33,7,0)="","",VLOOKUP(T$2,行为概览!$D$3:$J$33,7,0))</f>
        <v>15</v>
      </c>
      <c r="U131" s="53">
        <f>IF(VLOOKUP(U$2,行为概览!$D$3:$J$33,7,0)="","",VLOOKUP(U$2,行为概览!$D$3:$J$33,7,0))</f>
        <v>15</v>
      </c>
      <c r="V131" s="53">
        <f>IF(VLOOKUP(V$2,行为概览!$D$3:$J$33,7,0)="","",VLOOKUP(V$2,行为概览!$D$3:$J$33,7,0))</f>
        <v>40</v>
      </c>
      <c r="W131" s="53">
        <f>IF(VLOOKUP(W$2,行为概览!$D$3:$J$33,7,0)="","",VLOOKUP(W$2,行为概览!$D$3:$J$33,7,0))</f>
        <v>15</v>
      </c>
      <c r="X131" s="53">
        <f>IF(VLOOKUP(X$2,行为概览!$D$3:$J$33,7,0)="","",VLOOKUP(X$2,行为概览!$D$3:$J$33,7,0))</f>
        <v>30</v>
      </c>
      <c r="Y131" s="53">
        <f>IF(VLOOKUP(Y$2,行为概览!$D$3:$J$33,7,0)="","",VLOOKUP(Y$2,行为概览!$D$3:$J$33,7,0))</f>
        <v>25</v>
      </c>
      <c r="Z131" s="53">
        <f>IF(VLOOKUP(Z$2,行为概览!$D$3:$J$33,7,0)="","",VLOOKUP(Z$2,行为概览!$D$3:$J$33,7,0))</f>
        <v>15</v>
      </c>
      <c r="AA131" s="53">
        <f>IF(VLOOKUP(AA$2,行为概览!$D$3:$J$33,7,0)="","",VLOOKUP(AA$2,行为概览!$D$3:$J$33,7,0))</f>
        <v>15</v>
      </c>
      <c r="AB131" s="53" t="str">
        <f>IF(VLOOKUP(AB$2,行为概览!$D$3:$J$33,7,0)="","",VLOOKUP(AB$2,行为概览!$D$3:$J$33,7,0))</f>
        <v/>
      </c>
      <c r="AC131" s="53" t="str">
        <f>IF(VLOOKUP(AC$2,行为概览!$D$3:$J$33,7,0)="","",VLOOKUP(AC$2,行为概览!$D$3:$J$33,7,0))</f>
        <v/>
      </c>
      <c r="AD131" s="53" t="str">
        <f>IF(VLOOKUP(AD$2,行为概览!$D$3:$J$33,7,0)="","",VLOOKUP(AD$2,行为概览!$D$3:$J$33,7,0))</f>
        <v/>
      </c>
      <c r="AE131" s="68" t="str">
        <f>IF(VLOOKUP(AE$2,行为概览!$D$3:$J$33,7,0)="","",VLOOKUP(AE$2,行为概览!$D$3:$J$33,7,0))</f>
        <v/>
      </c>
      <c r="AF131" s="1">
        <f>IF(C131="","",ROUND(C131*玩法行为规划!B131,2))</f>
        <v>16.670000000000002</v>
      </c>
      <c r="AG131" s="2">
        <f>IF(D131="","",ROUND(D131*玩法行为规划!C131,2))</f>
        <v>6.6</v>
      </c>
      <c r="AH131" s="2">
        <f>IF(E131="","",ROUND(E131*玩法行为规划!D131,2))</f>
        <v>2.5</v>
      </c>
      <c r="AI131" s="2">
        <f>IF(F131="","",ROUND(F131*玩法行为规划!E131,2))</f>
        <v>15</v>
      </c>
      <c r="AJ131" s="2" t="str">
        <f>IF(G131="","",ROUND(G131*玩法行为规划!F131,2))</f>
        <v/>
      </c>
      <c r="AK131" s="2" t="str">
        <f>IF(H131="","",ROUND(H131*玩法行为规划!G131,2))</f>
        <v/>
      </c>
      <c r="AL131" s="2" t="str">
        <f>IF(I131="","",ROUND(I131*玩法行为规划!H131,2))</f>
        <v/>
      </c>
      <c r="AM131" s="2" t="str">
        <f>IF(J131="","",ROUND(J131*玩法行为规划!I131,2))</f>
        <v/>
      </c>
      <c r="AN131" s="2">
        <f>IF(K131="","",ROUND(K131*玩法行为规划!J131,2))</f>
        <v>10</v>
      </c>
      <c r="AO131" s="2">
        <f>IF(L131="","",ROUND(L131*玩法行为规划!K131,2))</f>
        <v>3.33</v>
      </c>
      <c r="AP131" s="2">
        <f>IF(M131="","",ROUND(M131*玩法行为规划!L131,2))</f>
        <v>20</v>
      </c>
      <c r="AQ131" s="2">
        <f>IF(N131="","",ROUND(N131*玩法行为规划!M131,2))</f>
        <v>12</v>
      </c>
      <c r="AR131" s="2">
        <f>IF(O131="","",ROUND(O131*玩法行为规划!N131,2))</f>
        <v>12.5</v>
      </c>
      <c r="AS131" s="2">
        <f>IF(P131="","",ROUND(P131*玩法行为规划!O131,2))</f>
        <v>0.83</v>
      </c>
      <c r="AT131" s="2">
        <f>IF(Q131="","",ROUND(Q131*玩法行为规划!P131,2))</f>
        <v>52</v>
      </c>
      <c r="AU131" s="2">
        <f>IF(R131="","",ROUND(R131*玩法行为规划!Q131,2))</f>
        <v>6</v>
      </c>
      <c r="AV131" s="2">
        <f>IF(S131="","",ROUND(S131*玩法行为规划!R131,2))</f>
        <v>6.67</v>
      </c>
      <c r="AW131" s="2">
        <f>IF(T131="","",ROUND(T131*玩法行为规划!S131,2))</f>
        <v>0</v>
      </c>
      <c r="AX131" s="2">
        <f>IF(U131="","",ROUND(U131*玩法行为规划!T131,2))</f>
        <v>5</v>
      </c>
      <c r="AY131" s="2">
        <f>IF(V131="","",ROUND(V131*玩法行为规划!U131,2))</f>
        <v>6.67</v>
      </c>
      <c r="AZ131" s="2">
        <f>IF(W131="","",ROUND(W131*玩法行为规划!V131,2))</f>
        <v>2.5</v>
      </c>
      <c r="BA131" s="2">
        <f>IF(X131="","",ROUND(X131*玩法行为规划!W131,2))</f>
        <v>5</v>
      </c>
      <c r="BB131" s="2">
        <f>IF(Y131="","",ROUND(Y131*玩法行为规划!X131,2))</f>
        <v>6.25</v>
      </c>
      <c r="BC131" s="2">
        <f>IF(Z131="","",ROUND(Z131*玩法行为规划!Y131,2))</f>
        <v>8.75</v>
      </c>
      <c r="BD131" s="2">
        <f>IF(AA131="","",ROUND(AA131*玩法行为规划!Z131,2))</f>
        <v>2.5</v>
      </c>
      <c r="BE131" s="2" t="str">
        <f>IF(AB131="","",ROUND(AB131*玩法行为规划!AA131,2))</f>
        <v/>
      </c>
      <c r="BF131" s="2" t="str">
        <f>IF(AC131="","",ROUND(AC131*玩法行为规划!AB131,2))</f>
        <v/>
      </c>
      <c r="BG131" s="2" t="str">
        <f>IF(AD131="","",ROUND(AD131*玩法行为规划!AC131,2))</f>
        <v/>
      </c>
      <c r="BH131" s="3" t="str">
        <f>IF(AE131="","",ROUND(AE131*玩法行为规划!AD131,2))</f>
        <v/>
      </c>
      <c r="BI131" s="7">
        <f t="shared" ref="BI131:BI152" si="21">SUM(AF131:BF131)</f>
        <v>200.76999999999998</v>
      </c>
      <c r="BJ131" s="7">
        <f t="shared" ref="BJ131:BJ152" si="22">B131*BI131</f>
        <v>10359731.999999998</v>
      </c>
      <c r="BK131" s="69">
        <f t="shared" si="15"/>
        <v>5928800</v>
      </c>
      <c r="BL131" s="21" t="str">
        <f t="shared" si="20"/>
        <v/>
      </c>
      <c r="BM131" s="7">
        <f t="shared" ref="BM131:BM152" si="23">BK131/BN131</f>
        <v>2.3562091643532991E-2</v>
      </c>
      <c r="BN131" s="69">
        <f>INT(BJ131*升级节奏!G131+BK131)</f>
        <v>251624520</v>
      </c>
      <c r="BO131" s="7">
        <f t="shared" si="14"/>
        <v>573</v>
      </c>
      <c r="BP131" s="7"/>
    </row>
    <row r="132" spans="1:68">
      <c r="A132" s="29">
        <v>130</v>
      </c>
      <c r="B132" s="84">
        <f>升级节奏!C132</f>
        <v>52000</v>
      </c>
      <c r="C132" s="53">
        <f>IF(VLOOKUP(C$2,行为概览!$D$3:$J$33,7,0)="","",VLOOKUP(C$2,行为概览!$D$3:$J$33,7,0))</f>
        <v>50</v>
      </c>
      <c r="D132" s="53">
        <f>IF(VLOOKUP(D$2,行为概览!$D$3:$J$33,7,0)="","",VLOOKUP(D$2,行为概览!$D$3:$J$33,7,0))</f>
        <v>3.3</v>
      </c>
      <c r="E132" s="53">
        <f>IF(VLOOKUP(E$2,行为概览!$D$3:$J$33,7,0)="","",VLOOKUP(E$2,行为概览!$D$3:$J$33,7,0))</f>
        <v>30</v>
      </c>
      <c r="F132" s="53">
        <f>IF(VLOOKUP(F$2,行为概览!$D$3:$J$33,7,0)="","",VLOOKUP(F$2,行为概览!$D$3:$J$33,7,0))</f>
        <v>15</v>
      </c>
      <c r="G132" s="53" t="str">
        <f>IF(VLOOKUP(G$2,行为概览!$D$3:$J$33,7,0)="","",VLOOKUP(G$2,行为概览!$D$3:$J$33,7,0))</f>
        <v/>
      </c>
      <c r="H132" s="53" t="str">
        <f>IF(VLOOKUP(H$2,行为概览!$D$3:$J$33,7,0)="","",VLOOKUP(H$2,行为概览!$D$3:$J$33,7,0))</f>
        <v/>
      </c>
      <c r="I132" s="53" t="str">
        <f>IF(VLOOKUP(I$2,行为概览!$D$3:$J$33,7,0)="","",VLOOKUP(I$2,行为概览!$D$3:$J$33,7,0))</f>
        <v/>
      </c>
      <c r="J132" s="53" t="str">
        <f>IF(VLOOKUP(J$2,行为概览!$D$3:$J$33,7,0)="","",VLOOKUP(J$2,行为概览!$D$3:$J$33,7,0))</f>
        <v/>
      </c>
      <c r="K132" s="53">
        <f>IF(VLOOKUP(K$2,行为概览!$D$3:$J$33,7,0)="","",VLOOKUP(K$2,行为概览!$D$3:$J$33,7,0))</f>
        <v>20</v>
      </c>
      <c r="L132" s="53">
        <f>IF(VLOOKUP(L$2,行为概览!$D$3:$J$33,7,0)="","",VLOOKUP(L$2,行为概览!$D$3:$J$33,7,0))</f>
        <v>20</v>
      </c>
      <c r="M132" s="53">
        <f>IF(VLOOKUP(M$2,行为概览!$D$3:$J$33,7,0)="","",VLOOKUP(M$2,行为概览!$D$3:$J$33,7,0))</f>
        <v>40</v>
      </c>
      <c r="N132" s="53">
        <f>IF(VLOOKUP(N$2,行为概览!$D$3:$J$33,7,0)="","",VLOOKUP(N$2,行为概览!$D$3:$J$33,7,0))</f>
        <v>1</v>
      </c>
      <c r="O132" s="53">
        <f>IF(VLOOKUP(O$2,行为概览!$D$3:$J$33,7,0)="","",VLOOKUP(O$2,行为概览!$D$3:$J$33,7,0))</f>
        <v>150</v>
      </c>
      <c r="P132" s="53">
        <f>IF(VLOOKUP(P$2,行为概览!$D$3:$J$33,7,0)="","",VLOOKUP(P$2,行为概览!$D$3:$J$33,7,0))</f>
        <v>10</v>
      </c>
      <c r="Q132" s="53">
        <f>IF(VLOOKUP(Q$2,行为概览!$D$3:$J$33,7,0)="","",VLOOKUP(Q$2,行为概览!$D$3:$J$33,7,0))</f>
        <v>20</v>
      </c>
      <c r="R132" s="53">
        <f>IF(VLOOKUP(R$2,行为概览!$D$3:$J$33,7,0)="","",VLOOKUP(R$2,行为概览!$D$3:$J$33,7,0))</f>
        <v>6</v>
      </c>
      <c r="S132" s="53">
        <f>IF(VLOOKUP(S$2,行为概览!$D$3:$J$33,7,0)="","",VLOOKUP(S$2,行为概览!$D$3:$J$33,7,0))</f>
        <v>20</v>
      </c>
      <c r="T132" s="53">
        <f>IF(VLOOKUP(T$2,行为概览!$D$3:$J$33,7,0)="","",VLOOKUP(T$2,行为概览!$D$3:$J$33,7,0))</f>
        <v>15</v>
      </c>
      <c r="U132" s="53">
        <f>IF(VLOOKUP(U$2,行为概览!$D$3:$J$33,7,0)="","",VLOOKUP(U$2,行为概览!$D$3:$J$33,7,0))</f>
        <v>15</v>
      </c>
      <c r="V132" s="53">
        <f>IF(VLOOKUP(V$2,行为概览!$D$3:$J$33,7,0)="","",VLOOKUP(V$2,行为概览!$D$3:$J$33,7,0))</f>
        <v>40</v>
      </c>
      <c r="W132" s="53">
        <f>IF(VLOOKUP(W$2,行为概览!$D$3:$J$33,7,0)="","",VLOOKUP(W$2,行为概览!$D$3:$J$33,7,0))</f>
        <v>15</v>
      </c>
      <c r="X132" s="53">
        <f>IF(VLOOKUP(X$2,行为概览!$D$3:$J$33,7,0)="","",VLOOKUP(X$2,行为概览!$D$3:$J$33,7,0))</f>
        <v>30</v>
      </c>
      <c r="Y132" s="53">
        <f>IF(VLOOKUP(Y$2,行为概览!$D$3:$J$33,7,0)="","",VLOOKUP(Y$2,行为概览!$D$3:$J$33,7,0))</f>
        <v>25</v>
      </c>
      <c r="Z132" s="53">
        <f>IF(VLOOKUP(Z$2,行为概览!$D$3:$J$33,7,0)="","",VLOOKUP(Z$2,行为概览!$D$3:$J$33,7,0))</f>
        <v>15</v>
      </c>
      <c r="AA132" s="53">
        <f>IF(VLOOKUP(AA$2,行为概览!$D$3:$J$33,7,0)="","",VLOOKUP(AA$2,行为概览!$D$3:$J$33,7,0))</f>
        <v>15</v>
      </c>
      <c r="AB132" s="53" t="str">
        <f>IF(VLOOKUP(AB$2,行为概览!$D$3:$J$33,7,0)="","",VLOOKUP(AB$2,行为概览!$D$3:$J$33,7,0))</f>
        <v/>
      </c>
      <c r="AC132" s="53" t="str">
        <f>IF(VLOOKUP(AC$2,行为概览!$D$3:$J$33,7,0)="","",VLOOKUP(AC$2,行为概览!$D$3:$J$33,7,0))</f>
        <v/>
      </c>
      <c r="AD132" s="53" t="str">
        <f>IF(VLOOKUP(AD$2,行为概览!$D$3:$J$33,7,0)="","",VLOOKUP(AD$2,行为概览!$D$3:$J$33,7,0))</f>
        <v/>
      </c>
      <c r="AE132" s="68" t="str">
        <f>IF(VLOOKUP(AE$2,行为概览!$D$3:$J$33,7,0)="","",VLOOKUP(AE$2,行为概览!$D$3:$J$33,7,0))</f>
        <v/>
      </c>
      <c r="AF132" s="1">
        <f>IF(C132="","",ROUND(C132*玩法行为规划!B132,2))</f>
        <v>16.670000000000002</v>
      </c>
      <c r="AG132" s="2">
        <f>IF(D132="","",ROUND(D132*玩法行为规划!C132,2))</f>
        <v>6.6</v>
      </c>
      <c r="AH132" s="2">
        <f>IF(E132="","",ROUND(E132*玩法行为规划!D132,2))</f>
        <v>2.5</v>
      </c>
      <c r="AI132" s="2">
        <f>IF(F132="","",ROUND(F132*玩法行为规划!E132,2))</f>
        <v>15</v>
      </c>
      <c r="AJ132" s="2" t="str">
        <f>IF(G132="","",ROUND(G132*玩法行为规划!F132,2))</f>
        <v/>
      </c>
      <c r="AK132" s="2" t="str">
        <f>IF(H132="","",ROUND(H132*玩法行为规划!G132,2))</f>
        <v/>
      </c>
      <c r="AL132" s="2" t="str">
        <f>IF(I132="","",ROUND(I132*玩法行为规划!H132,2))</f>
        <v/>
      </c>
      <c r="AM132" s="2" t="str">
        <f>IF(J132="","",ROUND(J132*玩法行为规划!I132,2))</f>
        <v/>
      </c>
      <c r="AN132" s="2">
        <f>IF(K132="","",ROUND(K132*玩法行为规划!J132,2))</f>
        <v>10</v>
      </c>
      <c r="AO132" s="2">
        <f>IF(L132="","",ROUND(L132*玩法行为规划!K132,2))</f>
        <v>3.33</v>
      </c>
      <c r="AP132" s="2">
        <f>IF(M132="","",ROUND(M132*玩法行为规划!L132,2))</f>
        <v>20</v>
      </c>
      <c r="AQ132" s="2">
        <f>IF(N132="","",ROUND(N132*玩法行为规划!M132,2))</f>
        <v>12</v>
      </c>
      <c r="AR132" s="2">
        <f>IF(O132="","",ROUND(O132*玩法行为规划!N132,2))</f>
        <v>12.5</v>
      </c>
      <c r="AS132" s="2">
        <f>IF(P132="","",ROUND(P132*玩法行为规划!O132,2))</f>
        <v>0.83</v>
      </c>
      <c r="AT132" s="2">
        <f>IF(Q132="","",ROUND(Q132*玩法行为规划!P132,2))</f>
        <v>52</v>
      </c>
      <c r="AU132" s="2">
        <f>IF(R132="","",ROUND(R132*玩法行为规划!Q132,2))</f>
        <v>6</v>
      </c>
      <c r="AV132" s="2">
        <f>IF(S132="","",ROUND(S132*玩法行为规划!R132,2))</f>
        <v>6.67</v>
      </c>
      <c r="AW132" s="2">
        <f>IF(T132="","",ROUND(T132*玩法行为规划!S132,2))</f>
        <v>0</v>
      </c>
      <c r="AX132" s="2">
        <f>IF(U132="","",ROUND(U132*玩法行为规划!T132,2))</f>
        <v>5</v>
      </c>
      <c r="AY132" s="2">
        <f>IF(V132="","",ROUND(V132*玩法行为规划!U132,2))</f>
        <v>6.67</v>
      </c>
      <c r="AZ132" s="2">
        <f>IF(W132="","",ROUND(W132*玩法行为规划!V132,2))</f>
        <v>2.5</v>
      </c>
      <c r="BA132" s="2">
        <f>IF(X132="","",ROUND(X132*玩法行为规划!W132,2))</f>
        <v>5</v>
      </c>
      <c r="BB132" s="2">
        <f>IF(Y132="","",ROUND(Y132*玩法行为规划!X132,2))</f>
        <v>6.25</v>
      </c>
      <c r="BC132" s="2">
        <f>IF(Z132="","",ROUND(Z132*玩法行为规划!Y132,2))</f>
        <v>8.75</v>
      </c>
      <c r="BD132" s="2">
        <f>IF(AA132="","",ROUND(AA132*玩法行为规划!Z132,2))</f>
        <v>2.5</v>
      </c>
      <c r="BE132" s="2" t="str">
        <f>IF(AB132="","",ROUND(AB132*玩法行为规划!AA132,2))</f>
        <v/>
      </c>
      <c r="BF132" s="2" t="str">
        <f>IF(AC132="","",ROUND(AC132*玩法行为规划!AB132,2))</f>
        <v/>
      </c>
      <c r="BG132" s="2" t="str">
        <f>IF(AD132="","",ROUND(AD132*玩法行为规划!AC132,2))</f>
        <v/>
      </c>
      <c r="BH132" s="3" t="str">
        <f>IF(AE132="","",ROUND(AE132*玩法行为规划!AD132,2))</f>
        <v/>
      </c>
      <c r="BI132" s="7">
        <f t="shared" si="21"/>
        <v>200.76999999999998</v>
      </c>
      <c r="BJ132" s="7">
        <f t="shared" si="22"/>
        <v>10440039.999999998</v>
      </c>
      <c r="BK132" s="69">
        <f t="shared" si="15"/>
        <v>6032000</v>
      </c>
      <c r="BL132" s="21">
        <f t="shared" si="20"/>
        <v>65107400</v>
      </c>
      <c r="BM132" s="7">
        <f t="shared" si="23"/>
        <v>2.3428612526299561E-2</v>
      </c>
      <c r="BN132" s="69">
        <f>INT(BJ132*升级节奏!G132+BK132)</f>
        <v>257462963</v>
      </c>
      <c r="BO132" s="7">
        <f t="shared" ref="BO132:BO152" si="24">ROUND(B132/90,0)</f>
        <v>578</v>
      </c>
      <c r="BP132" s="7"/>
    </row>
    <row r="133" spans="1:68">
      <c r="A133" s="29">
        <v>131</v>
      </c>
      <c r="B133" s="84">
        <f>升级节奏!C133</f>
        <v>52400</v>
      </c>
      <c r="C133" s="53">
        <f>IF(VLOOKUP(C$2,行为概览!$D$3:$J$33,7,0)="","",VLOOKUP(C$2,行为概览!$D$3:$J$33,7,0))</f>
        <v>50</v>
      </c>
      <c r="D133" s="53">
        <f>IF(VLOOKUP(D$2,行为概览!$D$3:$J$33,7,0)="","",VLOOKUP(D$2,行为概览!$D$3:$J$33,7,0))</f>
        <v>3.3</v>
      </c>
      <c r="E133" s="53">
        <f>IF(VLOOKUP(E$2,行为概览!$D$3:$J$33,7,0)="","",VLOOKUP(E$2,行为概览!$D$3:$J$33,7,0))</f>
        <v>30</v>
      </c>
      <c r="F133" s="53">
        <f>IF(VLOOKUP(F$2,行为概览!$D$3:$J$33,7,0)="","",VLOOKUP(F$2,行为概览!$D$3:$J$33,7,0))</f>
        <v>15</v>
      </c>
      <c r="G133" s="53" t="str">
        <f>IF(VLOOKUP(G$2,行为概览!$D$3:$J$33,7,0)="","",VLOOKUP(G$2,行为概览!$D$3:$J$33,7,0))</f>
        <v/>
      </c>
      <c r="H133" s="53" t="str">
        <f>IF(VLOOKUP(H$2,行为概览!$D$3:$J$33,7,0)="","",VLOOKUP(H$2,行为概览!$D$3:$J$33,7,0))</f>
        <v/>
      </c>
      <c r="I133" s="53" t="str">
        <f>IF(VLOOKUP(I$2,行为概览!$D$3:$J$33,7,0)="","",VLOOKUP(I$2,行为概览!$D$3:$J$33,7,0))</f>
        <v/>
      </c>
      <c r="J133" s="53" t="str">
        <f>IF(VLOOKUP(J$2,行为概览!$D$3:$J$33,7,0)="","",VLOOKUP(J$2,行为概览!$D$3:$J$33,7,0))</f>
        <v/>
      </c>
      <c r="K133" s="53">
        <f>IF(VLOOKUP(K$2,行为概览!$D$3:$J$33,7,0)="","",VLOOKUP(K$2,行为概览!$D$3:$J$33,7,0))</f>
        <v>20</v>
      </c>
      <c r="L133" s="53">
        <f>IF(VLOOKUP(L$2,行为概览!$D$3:$J$33,7,0)="","",VLOOKUP(L$2,行为概览!$D$3:$J$33,7,0))</f>
        <v>20</v>
      </c>
      <c r="M133" s="53">
        <f>IF(VLOOKUP(M$2,行为概览!$D$3:$J$33,7,0)="","",VLOOKUP(M$2,行为概览!$D$3:$J$33,7,0))</f>
        <v>40</v>
      </c>
      <c r="N133" s="53">
        <f>IF(VLOOKUP(N$2,行为概览!$D$3:$J$33,7,0)="","",VLOOKUP(N$2,行为概览!$D$3:$J$33,7,0))</f>
        <v>1</v>
      </c>
      <c r="O133" s="53">
        <f>IF(VLOOKUP(O$2,行为概览!$D$3:$J$33,7,0)="","",VLOOKUP(O$2,行为概览!$D$3:$J$33,7,0))</f>
        <v>150</v>
      </c>
      <c r="P133" s="53">
        <f>IF(VLOOKUP(P$2,行为概览!$D$3:$J$33,7,0)="","",VLOOKUP(P$2,行为概览!$D$3:$J$33,7,0))</f>
        <v>10</v>
      </c>
      <c r="Q133" s="53">
        <f>IF(VLOOKUP(Q$2,行为概览!$D$3:$J$33,7,0)="","",VLOOKUP(Q$2,行为概览!$D$3:$J$33,7,0))</f>
        <v>20</v>
      </c>
      <c r="R133" s="53">
        <f>IF(VLOOKUP(R$2,行为概览!$D$3:$J$33,7,0)="","",VLOOKUP(R$2,行为概览!$D$3:$J$33,7,0))</f>
        <v>6</v>
      </c>
      <c r="S133" s="53">
        <f>IF(VLOOKUP(S$2,行为概览!$D$3:$J$33,7,0)="","",VLOOKUP(S$2,行为概览!$D$3:$J$33,7,0))</f>
        <v>20</v>
      </c>
      <c r="T133" s="53">
        <f>IF(VLOOKUP(T$2,行为概览!$D$3:$J$33,7,0)="","",VLOOKUP(T$2,行为概览!$D$3:$J$33,7,0))</f>
        <v>15</v>
      </c>
      <c r="U133" s="53">
        <f>IF(VLOOKUP(U$2,行为概览!$D$3:$J$33,7,0)="","",VLOOKUP(U$2,行为概览!$D$3:$J$33,7,0))</f>
        <v>15</v>
      </c>
      <c r="V133" s="53">
        <f>IF(VLOOKUP(V$2,行为概览!$D$3:$J$33,7,0)="","",VLOOKUP(V$2,行为概览!$D$3:$J$33,7,0))</f>
        <v>40</v>
      </c>
      <c r="W133" s="53">
        <f>IF(VLOOKUP(W$2,行为概览!$D$3:$J$33,7,0)="","",VLOOKUP(W$2,行为概览!$D$3:$J$33,7,0))</f>
        <v>15</v>
      </c>
      <c r="X133" s="53">
        <f>IF(VLOOKUP(X$2,行为概览!$D$3:$J$33,7,0)="","",VLOOKUP(X$2,行为概览!$D$3:$J$33,7,0))</f>
        <v>30</v>
      </c>
      <c r="Y133" s="53">
        <f>IF(VLOOKUP(Y$2,行为概览!$D$3:$J$33,7,0)="","",VLOOKUP(Y$2,行为概览!$D$3:$J$33,7,0))</f>
        <v>25</v>
      </c>
      <c r="Z133" s="53">
        <f>IF(VLOOKUP(Z$2,行为概览!$D$3:$J$33,7,0)="","",VLOOKUP(Z$2,行为概览!$D$3:$J$33,7,0))</f>
        <v>15</v>
      </c>
      <c r="AA133" s="53">
        <f>IF(VLOOKUP(AA$2,行为概览!$D$3:$J$33,7,0)="","",VLOOKUP(AA$2,行为概览!$D$3:$J$33,7,0))</f>
        <v>15</v>
      </c>
      <c r="AB133" s="53" t="str">
        <f>IF(VLOOKUP(AB$2,行为概览!$D$3:$J$33,7,0)="","",VLOOKUP(AB$2,行为概览!$D$3:$J$33,7,0))</f>
        <v/>
      </c>
      <c r="AC133" s="53" t="str">
        <f>IF(VLOOKUP(AC$2,行为概览!$D$3:$J$33,7,0)="","",VLOOKUP(AC$2,行为概览!$D$3:$J$33,7,0))</f>
        <v/>
      </c>
      <c r="AD133" s="53" t="str">
        <f>IF(VLOOKUP(AD$2,行为概览!$D$3:$J$33,7,0)="","",VLOOKUP(AD$2,行为概览!$D$3:$J$33,7,0))</f>
        <v/>
      </c>
      <c r="AE133" s="68" t="str">
        <f>IF(VLOOKUP(AE$2,行为概览!$D$3:$J$33,7,0)="","",VLOOKUP(AE$2,行为概览!$D$3:$J$33,7,0))</f>
        <v/>
      </c>
      <c r="AF133" s="1">
        <f>IF(C133="","",ROUND(C133*玩法行为规划!B133,2))</f>
        <v>16.670000000000002</v>
      </c>
      <c r="AG133" s="2">
        <f>IF(D133="","",ROUND(D133*玩法行为规划!C133,2))</f>
        <v>6.6</v>
      </c>
      <c r="AH133" s="2">
        <f>IF(E133="","",ROUND(E133*玩法行为规划!D133,2))</f>
        <v>2.5</v>
      </c>
      <c r="AI133" s="2">
        <f>IF(F133="","",ROUND(F133*玩法行为规划!E133,2))</f>
        <v>15</v>
      </c>
      <c r="AJ133" s="2" t="str">
        <f>IF(G133="","",ROUND(G133*玩法行为规划!F133,2))</f>
        <v/>
      </c>
      <c r="AK133" s="2" t="str">
        <f>IF(H133="","",ROUND(H133*玩法行为规划!G133,2))</f>
        <v/>
      </c>
      <c r="AL133" s="2" t="str">
        <f>IF(I133="","",ROUND(I133*玩法行为规划!H133,2))</f>
        <v/>
      </c>
      <c r="AM133" s="2" t="str">
        <f>IF(J133="","",ROUND(J133*玩法行为规划!I133,2))</f>
        <v/>
      </c>
      <c r="AN133" s="2">
        <f>IF(K133="","",ROUND(K133*玩法行为规划!J133,2))</f>
        <v>10</v>
      </c>
      <c r="AO133" s="2">
        <f>IF(L133="","",ROUND(L133*玩法行为规划!K133,2))</f>
        <v>3.33</v>
      </c>
      <c r="AP133" s="2">
        <f>IF(M133="","",ROUND(M133*玩法行为规划!L133,2))</f>
        <v>20</v>
      </c>
      <c r="AQ133" s="2">
        <f>IF(N133="","",ROUND(N133*玩法行为规划!M133,2))</f>
        <v>12</v>
      </c>
      <c r="AR133" s="2">
        <f>IF(O133="","",ROUND(O133*玩法行为规划!N133,2))</f>
        <v>12.5</v>
      </c>
      <c r="AS133" s="2">
        <f>IF(P133="","",ROUND(P133*玩法行为规划!O133,2))</f>
        <v>0.83</v>
      </c>
      <c r="AT133" s="2">
        <f>IF(Q133="","",ROUND(Q133*玩法行为规划!P133,2))</f>
        <v>52</v>
      </c>
      <c r="AU133" s="2">
        <f>IF(R133="","",ROUND(R133*玩法行为规划!Q133,2))</f>
        <v>6</v>
      </c>
      <c r="AV133" s="2">
        <f>IF(S133="","",ROUND(S133*玩法行为规划!R133,2))</f>
        <v>6.67</v>
      </c>
      <c r="AW133" s="2">
        <f>IF(T133="","",ROUND(T133*玩法行为规划!S133,2))</f>
        <v>0</v>
      </c>
      <c r="AX133" s="2">
        <f>IF(U133="","",ROUND(U133*玩法行为规划!T133,2))</f>
        <v>5</v>
      </c>
      <c r="AY133" s="2">
        <f>IF(V133="","",ROUND(V133*玩法行为规划!U133,2))</f>
        <v>6.67</v>
      </c>
      <c r="AZ133" s="2">
        <f>IF(W133="","",ROUND(W133*玩法行为规划!V133,2))</f>
        <v>2.5</v>
      </c>
      <c r="BA133" s="2">
        <f>IF(X133="","",ROUND(X133*玩法行为规划!W133,2))</f>
        <v>5</v>
      </c>
      <c r="BB133" s="2">
        <f>IF(Y133="","",ROUND(Y133*玩法行为规划!X133,2))</f>
        <v>6.25</v>
      </c>
      <c r="BC133" s="2">
        <f>IF(Z133="","",ROUND(Z133*玩法行为规划!Y133,2))</f>
        <v>8.75</v>
      </c>
      <c r="BD133" s="2">
        <f>IF(AA133="","",ROUND(AA133*玩法行为规划!Z133,2))</f>
        <v>2.5</v>
      </c>
      <c r="BE133" s="2" t="str">
        <f>IF(AB133="","",ROUND(AB133*玩法行为规划!AA133,2))</f>
        <v/>
      </c>
      <c r="BF133" s="2" t="str">
        <f>IF(AC133="","",ROUND(AC133*玩法行为规划!AB133,2))</f>
        <v/>
      </c>
      <c r="BG133" s="2" t="str">
        <f>IF(AD133="","",ROUND(AD133*玩法行为规划!AC133,2))</f>
        <v/>
      </c>
      <c r="BH133" s="3" t="str">
        <f>IF(AE133="","",ROUND(AE133*玩法行为规划!AD133,2))</f>
        <v/>
      </c>
      <c r="BI133" s="7">
        <f t="shared" si="21"/>
        <v>200.76999999999998</v>
      </c>
      <c r="BJ133" s="7">
        <f t="shared" si="22"/>
        <v>10520347.999999998</v>
      </c>
      <c r="BK133" s="69">
        <f t="shared" si="15"/>
        <v>6136000</v>
      </c>
      <c r="BL133" s="21" t="str">
        <f t="shared" si="20"/>
        <v/>
      </c>
      <c r="BM133" s="7">
        <f t="shared" si="23"/>
        <v>2.3296169033843708E-2</v>
      </c>
      <c r="BN133" s="69">
        <f>INT(BJ133*升级节奏!G133+BK133)</f>
        <v>263390946</v>
      </c>
      <c r="BO133" s="7">
        <f t="shared" si="24"/>
        <v>582</v>
      </c>
      <c r="BP133" s="7"/>
    </row>
    <row r="134" spans="1:68">
      <c r="A134" s="29">
        <v>132</v>
      </c>
      <c r="B134" s="84">
        <f>升级节奏!C134</f>
        <v>52800</v>
      </c>
      <c r="C134" s="53">
        <f>IF(VLOOKUP(C$2,行为概览!$D$3:$J$33,7,0)="","",VLOOKUP(C$2,行为概览!$D$3:$J$33,7,0))</f>
        <v>50</v>
      </c>
      <c r="D134" s="53">
        <f>IF(VLOOKUP(D$2,行为概览!$D$3:$J$33,7,0)="","",VLOOKUP(D$2,行为概览!$D$3:$J$33,7,0))</f>
        <v>3.3</v>
      </c>
      <c r="E134" s="53">
        <f>IF(VLOOKUP(E$2,行为概览!$D$3:$J$33,7,0)="","",VLOOKUP(E$2,行为概览!$D$3:$J$33,7,0))</f>
        <v>30</v>
      </c>
      <c r="F134" s="53">
        <f>IF(VLOOKUP(F$2,行为概览!$D$3:$J$33,7,0)="","",VLOOKUP(F$2,行为概览!$D$3:$J$33,7,0))</f>
        <v>15</v>
      </c>
      <c r="G134" s="53" t="str">
        <f>IF(VLOOKUP(G$2,行为概览!$D$3:$J$33,7,0)="","",VLOOKUP(G$2,行为概览!$D$3:$J$33,7,0))</f>
        <v/>
      </c>
      <c r="H134" s="53" t="str">
        <f>IF(VLOOKUP(H$2,行为概览!$D$3:$J$33,7,0)="","",VLOOKUP(H$2,行为概览!$D$3:$J$33,7,0))</f>
        <v/>
      </c>
      <c r="I134" s="53" t="str">
        <f>IF(VLOOKUP(I$2,行为概览!$D$3:$J$33,7,0)="","",VLOOKUP(I$2,行为概览!$D$3:$J$33,7,0))</f>
        <v/>
      </c>
      <c r="J134" s="53" t="str">
        <f>IF(VLOOKUP(J$2,行为概览!$D$3:$J$33,7,0)="","",VLOOKUP(J$2,行为概览!$D$3:$J$33,7,0))</f>
        <v/>
      </c>
      <c r="K134" s="53">
        <f>IF(VLOOKUP(K$2,行为概览!$D$3:$J$33,7,0)="","",VLOOKUP(K$2,行为概览!$D$3:$J$33,7,0))</f>
        <v>20</v>
      </c>
      <c r="L134" s="53">
        <f>IF(VLOOKUP(L$2,行为概览!$D$3:$J$33,7,0)="","",VLOOKUP(L$2,行为概览!$D$3:$J$33,7,0))</f>
        <v>20</v>
      </c>
      <c r="M134" s="53">
        <f>IF(VLOOKUP(M$2,行为概览!$D$3:$J$33,7,0)="","",VLOOKUP(M$2,行为概览!$D$3:$J$33,7,0))</f>
        <v>40</v>
      </c>
      <c r="N134" s="53">
        <f>IF(VLOOKUP(N$2,行为概览!$D$3:$J$33,7,0)="","",VLOOKUP(N$2,行为概览!$D$3:$J$33,7,0))</f>
        <v>1</v>
      </c>
      <c r="O134" s="53">
        <f>IF(VLOOKUP(O$2,行为概览!$D$3:$J$33,7,0)="","",VLOOKUP(O$2,行为概览!$D$3:$J$33,7,0))</f>
        <v>150</v>
      </c>
      <c r="P134" s="53">
        <f>IF(VLOOKUP(P$2,行为概览!$D$3:$J$33,7,0)="","",VLOOKUP(P$2,行为概览!$D$3:$J$33,7,0))</f>
        <v>10</v>
      </c>
      <c r="Q134" s="53">
        <f>IF(VLOOKUP(Q$2,行为概览!$D$3:$J$33,7,0)="","",VLOOKUP(Q$2,行为概览!$D$3:$J$33,7,0))</f>
        <v>20</v>
      </c>
      <c r="R134" s="53">
        <f>IF(VLOOKUP(R$2,行为概览!$D$3:$J$33,7,0)="","",VLOOKUP(R$2,行为概览!$D$3:$J$33,7,0))</f>
        <v>6</v>
      </c>
      <c r="S134" s="53">
        <f>IF(VLOOKUP(S$2,行为概览!$D$3:$J$33,7,0)="","",VLOOKUP(S$2,行为概览!$D$3:$J$33,7,0))</f>
        <v>20</v>
      </c>
      <c r="T134" s="53">
        <f>IF(VLOOKUP(T$2,行为概览!$D$3:$J$33,7,0)="","",VLOOKUP(T$2,行为概览!$D$3:$J$33,7,0))</f>
        <v>15</v>
      </c>
      <c r="U134" s="53">
        <f>IF(VLOOKUP(U$2,行为概览!$D$3:$J$33,7,0)="","",VLOOKUP(U$2,行为概览!$D$3:$J$33,7,0))</f>
        <v>15</v>
      </c>
      <c r="V134" s="53">
        <f>IF(VLOOKUP(V$2,行为概览!$D$3:$J$33,7,0)="","",VLOOKUP(V$2,行为概览!$D$3:$J$33,7,0))</f>
        <v>40</v>
      </c>
      <c r="W134" s="53">
        <f>IF(VLOOKUP(W$2,行为概览!$D$3:$J$33,7,0)="","",VLOOKUP(W$2,行为概览!$D$3:$J$33,7,0))</f>
        <v>15</v>
      </c>
      <c r="X134" s="53">
        <f>IF(VLOOKUP(X$2,行为概览!$D$3:$J$33,7,0)="","",VLOOKUP(X$2,行为概览!$D$3:$J$33,7,0))</f>
        <v>30</v>
      </c>
      <c r="Y134" s="53">
        <f>IF(VLOOKUP(Y$2,行为概览!$D$3:$J$33,7,0)="","",VLOOKUP(Y$2,行为概览!$D$3:$J$33,7,0))</f>
        <v>25</v>
      </c>
      <c r="Z134" s="53">
        <f>IF(VLOOKUP(Z$2,行为概览!$D$3:$J$33,7,0)="","",VLOOKUP(Z$2,行为概览!$D$3:$J$33,7,0))</f>
        <v>15</v>
      </c>
      <c r="AA134" s="53">
        <f>IF(VLOOKUP(AA$2,行为概览!$D$3:$J$33,7,0)="","",VLOOKUP(AA$2,行为概览!$D$3:$J$33,7,0))</f>
        <v>15</v>
      </c>
      <c r="AB134" s="53" t="str">
        <f>IF(VLOOKUP(AB$2,行为概览!$D$3:$J$33,7,0)="","",VLOOKUP(AB$2,行为概览!$D$3:$J$33,7,0))</f>
        <v/>
      </c>
      <c r="AC134" s="53" t="str">
        <f>IF(VLOOKUP(AC$2,行为概览!$D$3:$J$33,7,0)="","",VLOOKUP(AC$2,行为概览!$D$3:$J$33,7,0))</f>
        <v/>
      </c>
      <c r="AD134" s="53" t="str">
        <f>IF(VLOOKUP(AD$2,行为概览!$D$3:$J$33,7,0)="","",VLOOKUP(AD$2,行为概览!$D$3:$J$33,7,0))</f>
        <v/>
      </c>
      <c r="AE134" s="68" t="str">
        <f>IF(VLOOKUP(AE$2,行为概览!$D$3:$J$33,7,0)="","",VLOOKUP(AE$2,行为概览!$D$3:$J$33,7,0))</f>
        <v/>
      </c>
      <c r="AF134" s="1">
        <f>IF(C134="","",ROUND(C134*玩法行为规划!B134,2))</f>
        <v>16.670000000000002</v>
      </c>
      <c r="AG134" s="2">
        <f>IF(D134="","",ROUND(D134*玩法行为规划!C134,2))</f>
        <v>6.6</v>
      </c>
      <c r="AH134" s="2">
        <f>IF(E134="","",ROUND(E134*玩法行为规划!D134,2))</f>
        <v>2.5</v>
      </c>
      <c r="AI134" s="2">
        <f>IF(F134="","",ROUND(F134*玩法行为规划!E134,2))</f>
        <v>15</v>
      </c>
      <c r="AJ134" s="2" t="str">
        <f>IF(G134="","",ROUND(G134*玩法行为规划!F134,2))</f>
        <v/>
      </c>
      <c r="AK134" s="2" t="str">
        <f>IF(H134="","",ROUND(H134*玩法行为规划!G134,2))</f>
        <v/>
      </c>
      <c r="AL134" s="2" t="str">
        <f>IF(I134="","",ROUND(I134*玩法行为规划!H134,2))</f>
        <v/>
      </c>
      <c r="AM134" s="2" t="str">
        <f>IF(J134="","",ROUND(J134*玩法行为规划!I134,2))</f>
        <v/>
      </c>
      <c r="AN134" s="2">
        <f>IF(K134="","",ROUND(K134*玩法行为规划!J134,2))</f>
        <v>10</v>
      </c>
      <c r="AO134" s="2">
        <f>IF(L134="","",ROUND(L134*玩法行为规划!K134,2))</f>
        <v>3.33</v>
      </c>
      <c r="AP134" s="2">
        <f>IF(M134="","",ROUND(M134*玩法行为规划!L134,2))</f>
        <v>20</v>
      </c>
      <c r="AQ134" s="2">
        <f>IF(N134="","",ROUND(N134*玩法行为规划!M134,2))</f>
        <v>12</v>
      </c>
      <c r="AR134" s="2">
        <f>IF(O134="","",ROUND(O134*玩法行为规划!N134,2))</f>
        <v>12.5</v>
      </c>
      <c r="AS134" s="2">
        <f>IF(P134="","",ROUND(P134*玩法行为规划!O134,2))</f>
        <v>0.83</v>
      </c>
      <c r="AT134" s="2">
        <f>IF(Q134="","",ROUND(Q134*玩法行为规划!P134,2))</f>
        <v>52</v>
      </c>
      <c r="AU134" s="2">
        <f>IF(R134="","",ROUND(R134*玩法行为规划!Q134,2))</f>
        <v>6</v>
      </c>
      <c r="AV134" s="2">
        <f>IF(S134="","",ROUND(S134*玩法行为规划!R134,2))</f>
        <v>6.67</v>
      </c>
      <c r="AW134" s="2">
        <f>IF(T134="","",ROUND(T134*玩法行为规划!S134,2))</f>
        <v>0</v>
      </c>
      <c r="AX134" s="2">
        <f>IF(U134="","",ROUND(U134*玩法行为规划!T134,2))</f>
        <v>5</v>
      </c>
      <c r="AY134" s="2">
        <f>IF(V134="","",ROUND(V134*玩法行为规划!U134,2))</f>
        <v>6.67</v>
      </c>
      <c r="AZ134" s="2">
        <f>IF(W134="","",ROUND(W134*玩法行为规划!V134,2))</f>
        <v>2.5</v>
      </c>
      <c r="BA134" s="2">
        <f>IF(X134="","",ROUND(X134*玩法行为规划!W134,2))</f>
        <v>5</v>
      </c>
      <c r="BB134" s="2">
        <f>IF(Y134="","",ROUND(Y134*玩法行为规划!X134,2))</f>
        <v>6.25</v>
      </c>
      <c r="BC134" s="2">
        <f>IF(Z134="","",ROUND(Z134*玩法行为规划!Y134,2))</f>
        <v>8.75</v>
      </c>
      <c r="BD134" s="2">
        <f>IF(AA134="","",ROUND(AA134*玩法行为规划!Z134,2))</f>
        <v>2.5</v>
      </c>
      <c r="BE134" s="2" t="str">
        <f>IF(AB134="","",ROUND(AB134*玩法行为规划!AA134,2))</f>
        <v/>
      </c>
      <c r="BF134" s="2" t="str">
        <f>IF(AC134="","",ROUND(AC134*玩法行为规划!AB134,2))</f>
        <v/>
      </c>
      <c r="BG134" s="2" t="str">
        <f>IF(AD134="","",ROUND(AD134*玩法行为规划!AC134,2))</f>
        <v/>
      </c>
      <c r="BH134" s="3" t="str">
        <f>IF(AE134="","",ROUND(AE134*玩法行为规划!AD134,2))</f>
        <v/>
      </c>
      <c r="BI134" s="7">
        <f t="shared" si="21"/>
        <v>200.76999999999998</v>
      </c>
      <c r="BJ134" s="7">
        <f t="shared" si="22"/>
        <v>10600655.999999998</v>
      </c>
      <c r="BK134" s="69">
        <f t="shared" si="15"/>
        <v>6241000</v>
      </c>
      <c r="BL134" s="21" t="str">
        <f t="shared" si="20"/>
        <v/>
      </c>
      <c r="BM134" s="7">
        <f t="shared" si="23"/>
        <v>2.3165491300391087E-2</v>
      </c>
      <c r="BN134" s="69">
        <f>INT(BJ134*升级节奏!G134+BK134)</f>
        <v>269409352</v>
      </c>
      <c r="BO134" s="7">
        <f t="shared" si="24"/>
        <v>587</v>
      </c>
      <c r="BP134" s="7"/>
    </row>
    <row r="135" spans="1:68">
      <c r="A135" s="29">
        <v>133</v>
      </c>
      <c r="B135" s="84">
        <f>升级节奏!C135</f>
        <v>53200</v>
      </c>
      <c r="C135" s="53">
        <f>IF(VLOOKUP(C$2,行为概览!$D$3:$J$33,7,0)="","",VLOOKUP(C$2,行为概览!$D$3:$J$33,7,0))</f>
        <v>50</v>
      </c>
      <c r="D135" s="53">
        <f>IF(VLOOKUP(D$2,行为概览!$D$3:$J$33,7,0)="","",VLOOKUP(D$2,行为概览!$D$3:$J$33,7,0))</f>
        <v>3.3</v>
      </c>
      <c r="E135" s="53">
        <f>IF(VLOOKUP(E$2,行为概览!$D$3:$J$33,7,0)="","",VLOOKUP(E$2,行为概览!$D$3:$J$33,7,0))</f>
        <v>30</v>
      </c>
      <c r="F135" s="53">
        <f>IF(VLOOKUP(F$2,行为概览!$D$3:$J$33,7,0)="","",VLOOKUP(F$2,行为概览!$D$3:$J$33,7,0))</f>
        <v>15</v>
      </c>
      <c r="G135" s="53" t="str">
        <f>IF(VLOOKUP(G$2,行为概览!$D$3:$J$33,7,0)="","",VLOOKUP(G$2,行为概览!$D$3:$J$33,7,0))</f>
        <v/>
      </c>
      <c r="H135" s="53" t="str">
        <f>IF(VLOOKUP(H$2,行为概览!$D$3:$J$33,7,0)="","",VLOOKUP(H$2,行为概览!$D$3:$J$33,7,0))</f>
        <v/>
      </c>
      <c r="I135" s="53" t="str">
        <f>IF(VLOOKUP(I$2,行为概览!$D$3:$J$33,7,0)="","",VLOOKUP(I$2,行为概览!$D$3:$J$33,7,0))</f>
        <v/>
      </c>
      <c r="J135" s="53" t="str">
        <f>IF(VLOOKUP(J$2,行为概览!$D$3:$J$33,7,0)="","",VLOOKUP(J$2,行为概览!$D$3:$J$33,7,0))</f>
        <v/>
      </c>
      <c r="K135" s="53">
        <f>IF(VLOOKUP(K$2,行为概览!$D$3:$J$33,7,0)="","",VLOOKUP(K$2,行为概览!$D$3:$J$33,7,0))</f>
        <v>20</v>
      </c>
      <c r="L135" s="53">
        <f>IF(VLOOKUP(L$2,行为概览!$D$3:$J$33,7,0)="","",VLOOKUP(L$2,行为概览!$D$3:$J$33,7,0))</f>
        <v>20</v>
      </c>
      <c r="M135" s="53">
        <f>IF(VLOOKUP(M$2,行为概览!$D$3:$J$33,7,0)="","",VLOOKUP(M$2,行为概览!$D$3:$J$33,7,0))</f>
        <v>40</v>
      </c>
      <c r="N135" s="53">
        <f>IF(VLOOKUP(N$2,行为概览!$D$3:$J$33,7,0)="","",VLOOKUP(N$2,行为概览!$D$3:$J$33,7,0))</f>
        <v>1</v>
      </c>
      <c r="O135" s="53">
        <f>IF(VLOOKUP(O$2,行为概览!$D$3:$J$33,7,0)="","",VLOOKUP(O$2,行为概览!$D$3:$J$33,7,0))</f>
        <v>150</v>
      </c>
      <c r="P135" s="53">
        <f>IF(VLOOKUP(P$2,行为概览!$D$3:$J$33,7,0)="","",VLOOKUP(P$2,行为概览!$D$3:$J$33,7,0))</f>
        <v>10</v>
      </c>
      <c r="Q135" s="53">
        <f>IF(VLOOKUP(Q$2,行为概览!$D$3:$J$33,7,0)="","",VLOOKUP(Q$2,行为概览!$D$3:$J$33,7,0))</f>
        <v>20</v>
      </c>
      <c r="R135" s="53">
        <f>IF(VLOOKUP(R$2,行为概览!$D$3:$J$33,7,0)="","",VLOOKUP(R$2,行为概览!$D$3:$J$33,7,0))</f>
        <v>6</v>
      </c>
      <c r="S135" s="53">
        <f>IF(VLOOKUP(S$2,行为概览!$D$3:$J$33,7,0)="","",VLOOKUP(S$2,行为概览!$D$3:$J$33,7,0))</f>
        <v>20</v>
      </c>
      <c r="T135" s="53">
        <f>IF(VLOOKUP(T$2,行为概览!$D$3:$J$33,7,0)="","",VLOOKUP(T$2,行为概览!$D$3:$J$33,7,0))</f>
        <v>15</v>
      </c>
      <c r="U135" s="53">
        <f>IF(VLOOKUP(U$2,行为概览!$D$3:$J$33,7,0)="","",VLOOKUP(U$2,行为概览!$D$3:$J$33,7,0))</f>
        <v>15</v>
      </c>
      <c r="V135" s="53">
        <f>IF(VLOOKUP(V$2,行为概览!$D$3:$J$33,7,0)="","",VLOOKUP(V$2,行为概览!$D$3:$J$33,7,0))</f>
        <v>40</v>
      </c>
      <c r="W135" s="53">
        <f>IF(VLOOKUP(W$2,行为概览!$D$3:$J$33,7,0)="","",VLOOKUP(W$2,行为概览!$D$3:$J$33,7,0))</f>
        <v>15</v>
      </c>
      <c r="X135" s="53">
        <f>IF(VLOOKUP(X$2,行为概览!$D$3:$J$33,7,0)="","",VLOOKUP(X$2,行为概览!$D$3:$J$33,7,0))</f>
        <v>30</v>
      </c>
      <c r="Y135" s="53">
        <f>IF(VLOOKUP(Y$2,行为概览!$D$3:$J$33,7,0)="","",VLOOKUP(Y$2,行为概览!$D$3:$J$33,7,0))</f>
        <v>25</v>
      </c>
      <c r="Z135" s="53">
        <f>IF(VLOOKUP(Z$2,行为概览!$D$3:$J$33,7,0)="","",VLOOKUP(Z$2,行为概览!$D$3:$J$33,7,0))</f>
        <v>15</v>
      </c>
      <c r="AA135" s="53">
        <f>IF(VLOOKUP(AA$2,行为概览!$D$3:$J$33,7,0)="","",VLOOKUP(AA$2,行为概览!$D$3:$J$33,7,0))</f>
        <v>15</v>
      </c>
      <c r="AB135" s="53" t="str">
        <f>IF(VLOOKUP(AB$2,行为概览!$D$3:$J$33,7,0)="","",VLOOKUP(AB$2,行为概览!$D$3:$J$33,7,0))</f>
        <v/>
      </c>
      <c r="AC135" s="53" t="str">
        <f>IF(VLOOKUP(AC$2,行为概览!$D$3:$J$33,7,0)="","",VLOOKUP(AC$2,行为概览!$D$3:$J$33,7,0))</f>
        <v/>
      </c>
      <c r="AD135" s="53" t="str">
        <f>IF(VLOOKUP(AD$2,行为概览!$D$3:$J$33,7,0)="","",VLOOKUP(AD$2,行为概览!$D$3:$J$33,7,0))</f>
        <v/>
      </c>
      <c r="AE135" s="68" t="str">
        <f>IF(VLOOKUP(AE$2,行为概览!$D$3:$J$33,7,0)="","",VLOOKUP(AE$2,行为概览!$D$3:$J$33,7,0))</f>
        <v/>
      </c>
      <c r="AF135" s="1">
        <f>IF(C135="","",ROUND(C135*玩法行为规划!B135,2))</f>
        <v>16.670000000000002</v>
      </c>
      <c r="AG135" s="2">
        <f>IF(D135="","",ROUND(D135*玩法行为规划!C135,2))</f>
        <v>6.6</v>
      </c>
      <c r="AH135" s="2">
        <f>IF(E135="","",ROUND(E135*玩法行为规划!D135,2))</f>
        <v>2.5</v>
      </c>
      <c r="AI135" s="2">
        <f>IF(F135="","",ROUND(F135*玩法行为规划!E135,2))</f>
        <v>15</v>
      </c>
      <c r="AJ135" s="2" t="str">
        <f>IF(G135="","",ROUND(G135*玩法行为规划!F135,2))</f>
        <v/>
      </c>
      <c r="AK135" s="2" t="str">
        <f>IF(H135="","",ROUND(H135*玩法行为规划!G135,2))</f>
        <v/>
      </c>
      <c r="AL135" s="2" t="str">
        <f>IF(I135="","",ROUND(I135*玩法行为规划!H135,2))</f>
        <v/>
      </c>
      <c r="AM135" s="2" t="str">
        <f>IF(J135="","",ROUND(J135*玩法行为规划!I135,2))</f>
        <v/>
      </c>
      <c r="AN135" s="2">
        <f>IF(K135="","",ROUND(K135*玩法行为规划!J135,2))</f>
        <v>10</v>
      </c>
      <c r="AO135" s="2">
        <f>IF(L135="","",ROUND(L135*玩法行为规划!K135,2))</f>
        <v>3.33</v>
      </c>
      <c r="AP135" s="2">
        <f>IF(M135="","",ROUND(M135*玩法行为规划!L135,2))</f>
        <v>20</v>
      </c>
      <c r="AQ135" s="2">
        <f>IF(N135="","",ROUND(N135*玩法行为规划!M135,2))</f>
        <v>12</v>
      </c>
      <c r="AR135" s="2">
        <f>IF(O135="","",ROUND(O135*玩法行为规划!N135,2))</f>
        <v>12.5</v>
      </c>
      <c r="AS135" s="2">
        <f>IF(P135="","",ROUND(P135*玩法行为规划!O135,2))</f>
        <v>0.83</v>
      </c>
      <c r="AT135" s="2">
        <f>IF(Q135="","",ROUND(Q135*玩法行为规划!P135,2))</f>
        <v>52</v>
      </c>
      <c r="AU135" s="2">
        <f>IF(R135="","",ROUND(R135*玩法行为规划!Q135,2))</f>
        <v>6</v>
      </c>
      <c r="AV135" s="2">
        <f>IF(S135="","",ROUND(S135*玩法行为规划!R135,2))</f>
        <v>6.67</v>
      </c>
      <c r="AW135" s="2">
        <f>IF(T135="","",ROUND(T135*玩法行为规划!S135,2))</f>
        <v>0</v>
      </c>
      <c r="AX135" s="2">
        <f>IF(U135="","",ROUND(U135*玩法行为规划!T135,2))</f>
        <v>5</v>
      </c>
      <c r="AY135" s="2">
        <f>IF(V135="","",ROUND(V135*玩法行为规划!U135,2))</f>
        <v>6.67</v>
      </c>
      <c r="AZ135" s="2">
        <f>IF(W135="","",ROUND(W135*玩法行为规划!V135,2))</f>
        <v>2.5</v>
      </c>
      <c r="BA135" s="2">
        <f>IF(X135="","",ROUND(X135*玩法行为规划!W135,2))</f>
        <v>5</v>
      </c>
      <c r="BB135" s="2">
        <f>IF(Y135="","",ROUND(Y135*玩法行为规划!X135,2))</f>
        <v>6.25</v>
      </c>
      <c r="BC135" s="2">
        <f>IF(Z135="","",ROUND(Z135*玩法行为规划!Y135,2))</f>
        <v>8.75</v>
      </c>
      <c r="BD135" s="2">
        <f>IF(AA135="","",ROUND(AA135*玩法行为规划!Z135,2))</f>
        <v>2.5</v>
      </c>
      <c r="BE135" s="2" t="str">
        <f>IF(AB135="","",ROUND(AB135*玩法行为规划!AA135,2))</f>
        <v/>
      </c>
      <c r="BF135" s="2" t="str">
        <f>IF(AC135="","",ROUND(AC135*玩法行为规划!AB135,2))</f>
        <v/>
      </c>
      <c r="BG135" s="2" t="str">
        <f>IF(AD135="","",ROUND(AD135*玩法行为规划!AC135,2))</f>
        <v/>
      </c>
      <c r="BH135" s="3" t="str">
        <f>IF(AE135="","",ROUND(AE135*玩法行为规划!AD135,2))</f>
        <v/>
      </c>
      <c r="BI135" s="7">
        <f t="shared" si="21"/>
        <v>200.76999999999998</v>
      </c>
      <c r="BJ135" s="7">
        <f t="shared" si="22"/>
        <v>10680963.999999998</v>
      </c>
      <c r="BK135" s="69">
        <f t="shared" si="15"/>
        <v>6346800</v>
      </c>
      <c r="BL135" s="21" t="str">
        <f t="shared" si="20"/>
        <v/>
      </c>
      <c r="BM135" s="7">
        <f t="shared" si="23"/>
        <v>2.3035826070337748E-2</v>
      </c>
      <c r="BN135" s="69">
        <f>INT(BJ135*升级节奏!G135+BK135)</f>
        <v>275518663</v>
      </c>
      <c r="BO135" s="7">
        <f t="shared" si="24"/>
        <v>591</v>
      </c>
      <c r="BP135" s="7"/>
    </row>
    <row r="136" spans="1:68">
      <c r="A136" s="29">
        <v>134</v>
      </c>
      <c r="B136" s="84">
        <f>升级节奏!C136</f>
        <v>53600</v>
      </c>
      <c r="C136" s="53">
        <f>IF(VLOOKUP(C$2,行为概览!$D$3:$J$33,7,0)="","",VLOOKUP(C$2,行为概览!$D$3:$J$33,7,0))</f>
        <v>50</v>
      </c>
      <c r="D136" s="53">
        <f>IF(VLOOKUP(D$2,行为概览!$D$3:$J$33,7,0)="","",VLOOKUP(D$2,行为概览!$D$3:$J$33,7,0))</f>
        <v>3.3</v>
      </c>
      <c r="E136" s="53">
        <f>IF(VLOOKUP(E$2,行为概览!$D$3:$J$33,7,0)="","",VLOOKUP(E$2,行为概览!$D$3:$J$33,7,0))</f>
        <v>30</v>
      </c>
      <c r="F136" s="53">
        <f>IF(VLOOKUP(F$2,行为概览!$D$3:$J$33,7,0)="","",VLOOKUP(F$2,行为概览!$D$3:$J$33,7,0))</f>
        <v>15</v>
      </c>
      <c r="G136" s="53" t="str">
        <f>IF(VLOOKUP(G$2,行为概览!$D$3:$J$33,7,0)="","",VLOOKUP(G$2,行为概览!$D$3:$J$33,7,0))</f>
        <v/>
      </c>
      <c r="H136" s="53" t="str">
        <f>IF(VLOOKUP(H$2,行为概览!$D$3:$J$33,7,0)="","",VLOOKUP(H$2,行为概览!$D$3:$J$33,7,0))</f>
        <v/>
      </c>
      <c r="I136" s="53" t="str">
        <f>IF(VLOOKUP(I$2,行为概览!$D$3:$J$33,7,0)="","",VLOOKUP(I$2,行为概览!$D$3:$J$33,7,0))</f>
        <v/>
      </c>
      <c r="J136" s="53" t="str">
        <f>IF(VLOOKUP(J$2,行为概览!$D$3:$J$33,7,0)="","",VLOOKUP(J$2,行为概览!$D$3:$J$33,7,0))</f>
        <v/>
      </c>
      <c r="K136" s="53">
        <f>IF(VLOOKUP(K$2,行为概览!$D$3:$J$33,7,0)="","",VLOOKUP(K$2,行为概览!$D$3:$J$33,7,0))</f>
        <v>20</v>
      </c>
      <c r="L136" s="53">
        <f>IF(VLOOKUP(L$2,行为概览!$D$3:$J$33,7,0)="","",VLOOKUP(L$2,行为概览!$D$3:$J$33,7,0))</f>
        <v>20</v>
      </c>
      <c r="M136" s="53">
        <f>IF(VLOOKUP(M$2,行为概览!$D$3:$J$33,7,0)="","",VLOOKUP(M$2,行为概览!$D$3:$J$33,7,0))</f>
        <v>40</v>
      </c>
      <c r="N136" s="53">
        <f>IF(VLOOKUP(N$2,行为概览!$D$3:$J$33,7,0)="","",VLOOKUP(N$2,行为概览!$D$3:$J$33,7,0))</f>
        <v>1</v>
      </c>
      <c r="O136" s="53">
        <f>IF(VLOOKUP(O$2,行为概览!$D$3:$J$33,7,0)="","",VLOOKUP(O$2,行为概览!$D$3:$J$33,7,0))</f>
        <v>150</v>
      </c>
      <c r="P136" s="53">
        <f>IF(VLOOKUP(P$2,行为概览!$D$3:$J$33,7,0)="","",VLOOKUP(P$2,行为概览!$D$3:$J$33,7,0))</f>
        <v>10</v>
      </c>
      <c r="Q136" s="53">
        <f>IF(VLOOKUP(Q$2,行为概览!$D$3:$J$33,7,0)="","",VLOOKUP(Q$2,行为概览!$D$3:$J$33,7,0))</f>
        <v>20</v>
      </c>
      <c r="R136" s="53">
        <f>IF(VLOOKUP(R$2,行为概览!$D$3:$J$33,7,0)="","",VLOOKUP(R$2,行为概览!$D$3:$J$33,7,0))</f>
        <v>6</v>
      </c>
      <c r="S136" s="53">
        <f>IF(VLOOKUP(S$2,行为概览!$D$3:$J$33,7,0)="","",VLOOKUP(S$2,行为概览!$D$3:$J$33,7,0))</f>
        <v>20</v>
      </c>
      <c r="T136" s="53">
        <f>IF(VLOOKUP(T$2,行为概览!$D$3:$J$33,7,0)="","",VLOOKUP(T$2,行为概览!$D$3:$J$33,7,0))</f>
        <v>15</v>
      </c>
      <c r="U136" s="53">
        <f>IF(VLOOKUP(U$2,行为概览!$D$3:$J$33,7,0)="","",VLOOKUP(U$2,行为概览!$D$3:$J$33,7,0))</f>
        <v>15</v>
      </c>
      <c r="V136" s="53">
        <f>IF(VLOOKUP(V$2,行为概览!$D$3:$J$33,7,0)="","",VLOOKUP(V$2,行为概览!$D$3:$J$33,7,0))</f>
        <v>40</v>
      </c>
      <c r="W136" s="53">
        <f>IF(VLOOKUP(W$2,行为概览!$D$3:$J$33,7,0)="","",VLOOKUP(W$2,行为概览!$D$3:$J$33,7,0))</f>
        <v>15</v>
      </c>
      <c r="X136" s="53">
        <f>IF(VLOOKUP(X$2,行为概览!$D$3:$J$33,7,0)="","",VLOOKUP(X$2,行为概览!$D$3:$J$33,7,0))</f>
        <v>30</v>
      </c>
      <c r="Y136" s="53">
        <f>IF(VLOOKUP(Y$2,行为概览!$D$3:$J$33,7,0)="","",VLOOKUP(Y$2,行为概览!$D$3:$J$33,7,0))</f>
        <v>25</v>
      </c>
      <c r="Z136" s="53">
        <f>IF(VLOOKUP(Z$2,行为概览!$D$3:$J$33,7,0)="","",VLOOKUP(Z$2,行为概览!$D$3:$J$33,7,0))</f>
        <v>15</v>
      </c>
      <c r="AA136" s="53">
        <f>IF(VLOOKUP(AA$2,行为概览!$D$3:$J$33,7,0)="","",VLOOKUP(AA$2,行为概览!$D$3:$J$33,7,0))</f>
        <v>15</v>
      </c>
      <c r="AB136" s="53" t="str">
        <f>IF(VLOOKUP(AB$2,行为概览!$D$3:$J$33,7,0)="","",VLOOKUP(AB$2,行为概览!$D$3:$J$33,7,0))</f>
        <v/>
      </c>
      <c r="AC136" s="53" t="str">
        <f>IF(VLOOKUP(AC$2,行为概览!$D$3:$J$33,7,0)="","",VLOOKUP(AC$2,行为概览!$D$3:$J$33,7,0))</f>
        <v/>
      </c>
      <c r="AD136" s="53" t="str">
        <f>IF(VLOOKUP(AD$2,行为概览!$D$3:$J$33,7,0)="","",VLOOKUP(AD$2,行为概览!$D$3:$J$33,7,0))</f>
        <v/>
      </c>
      <c r="AE136" s="68" t="str">
        <f>IF(VLOOKUP(AE$2,行为概览!$D$3:$J$33,7,0)="","",VLOOKUP(AE$2,行为概览!$D$3:$J$33,7,0))</f>
        <v/>
      </c>
      <c r="AF136" s="1">
        <f>IF(C136="","",ROUND(C136*玩法行为规划!B136,2))</f>
        <v>16.670000000000002</v>
      </c>
      <c r="AG136" s="2">
        <f>IF(D136="","",ROUND(D136*玩法行为规划!C136,2))</f>
        <v>6.6</v>
      </c>
      <c r="AH136" s="2">
        <f>IF(E136="","",ROUND(E136*玩法行为规划!D136,2))</f>
        <v>2.5</v>
      </c>
      <c r="AI136" s="2">
        <f>IF(F136="","",ROUND(F136*玩法行为规划!E136,2))</f>
        <v>15</v>
      </c>
      <c r="AJ136" s="2" t="str">
        <f>IF(G136="","",ROUND(G136*玩法行为规划!F136,2))</f>
        <v/>
      </c>
      <c r="AK136" s="2" t="str">
        <f>IF(H136="","",ROUND(H136*玩法行为规划!G136,2))</f>
        <v/>
      </c>
      <c r="AL136" s="2" t="str">
        <f>IF(I136="","",ROUND(I136*玩法行为规划!H136,2))</f>
        <v/>
      </c>
      <c r="AM136" s="2" t="str">
        <f>IF(J136="","",ROUND(J136*玩法行为规划!I136,2))</f>
        <v/>
      </c>
      <c r="AN136" s="2">
        <f>IF(K136="","",ROUND(K136*玩法行为规划!J136,2))</f>
        <v>10</v>
      </c>
      <c r="AO136" s="2">
        <f>IF(L136="","",ROUND(L136*玩法行为规划!K136,2))</f>
        <v>3.33</v>
      </c>
      <c r="AP136" s="2">
        <f>IF(M136="","",ROUND(M136*玩法行为规划!L136,2))</f>
        <v>20</v>
      </c>
      <c r="AQ136" s="2">
        <f>IF(N136="","",ROUND(N136*玩法行为规划!M136,2))</f>
        <v>12</v>
      </c>
      <c r="AR136" s="2">
        <f>IF(O136="","",ROUND(O136*玩法行为规划!N136,2))</f>
        <v>12.5</v>
      </c>
      <c r="AS136" s="2">
        <f>IF(P136="","",ROUND(P136*玩法行为规划!O136,2))</f>
        <v>0.83</v>
      </c>
      <c r="AT136" s="2">
        <f>IF(Q136="","",ROUND(Q136*玩法行为规划!P136,2))</f>
        <v>52</v>
      </c>
      <c r="AU136" s="2">
        <f>IF(R136="","",ROUND(R136*玩法行为规划!Q136,2))</f>
        <v>6</v>
      </c>
      <c r="AV136" s="2">
        <f>IF(S136="","",ROUND(S136*玩法行为规划!R136,2))</f>
        <v>6.67</v>
      </c>
      <c r="AW136" s="2">
        <f>IF(T136="","",ROUND(T136*玩法行为规划!S136,2))</f>
        <v>0</v>
      </c>
      <c r="AX136" s="2">
        <f>IF(U136="","",ROUND(U136*玩法行为规划!T136,2))</f>
        <v>5</v>
      </c>
      <c r="AY136" s="2">
        <f>IF(V136="","",ROUND(V136*玩法行为规划!U136,2))</f>
        <v>6.67</v>
      </c>
      <c r="AZ136" s="2">
        <f>IF(W136="","",ROUND(W136*玩法行为规划!V136,2))</f>
        <v>2.5</v>
      </c>
      <c r="BA136" s="2">
        <f>IF(X136="","",ROUND(X136*玩法行为规划!W136,2))</f>
        <v>5</v>
      </c>
      <c r="BB136" s="2">
        <f>IF(Y136="","",ROUND(Y136*玩法行为规划!X136,2))</f>
        <v>6.25</v>
      </c>
      <c r="BC136" s="2">
        <f>IF(Z136="","",ROUND(Z136*玩法行为规划!Y136,2))</f>
        <v>8.75</v>
      </c>
      <c r="BD136" s="2">
        <f>IF(AA136="","",ROUND(AA136*玩法行为规划!Z136,2))</f>
        <v>2.5</v>
      </c>
      <c r="BE136" s="2" t="str">
        <f>IF(AB136="","",ROUND(AB136*玩法行为规划!AA136,2))</f>
        <v/>
      </c>
      <c r="BF136" s="2" t="str">
        <f>IF(AC136="","",ROUND(AC136*玩法行为规划!AB136,2))</f>
        <v/>
      </c>
      <c r="BG136" s="2" t="str">
        <f>IF(AD136="","",ROUND(AD136*玩法行为规划!AC136,2))</f>
        <v/>
      </c>
      <c r="BH136" s="3" t="str">
        <f>IF(AE136="","",ROUND(AE136*玩法行为规划!AD136,2))</f>
        <v/>
      </c>
      <c r="BI136" s="7">
        <f t="shared" si="21"/>
        <v>200.76999999999998</v>
      </c>
      <c r="BJ136" s="7">
        <f t="shared" si="22"/>
        <v>10761271.999999998</v>
      </c>
      <c r="BK136" s="69">
        <f t="shared" si="15"/>
        <v>6453400</v>
      </c>
      <c r="BL136" s="21" t="str">
        <f t="shared" si="20"/>
        <v/>
      </c>
      <c r="BM136" s="7">
        <f t="shared" si="23"/>
        <v>2.2907177376247742E-2</v>
      </c>
      <c r="BN136" s="69">
        <f>INT(BJ136*升级节奏!G136+BK136)</f>
        <v>281719563</v>
      </c>
      <c r="BO136" s="7">
        <f t="shared" si="24"/>
        <v>596</v>
      </c>
      <c r="BP136" s="7"/>
    </row>
    <row r="137" spans="1:68">
      <c r="A137" s="29">
        <v>135</v>
      </c>
      <c r="B137" s="84">
        <f>升级节奏!C137</f>
        <v>54000</v>
      </c>
      <c r="C137" s="53">
        <f>IF(VLOOKUP(C$2,行为概览!$D$3:$J$33,7,0)="","",VLOOKUP(C$2,行为概览!$D$3:$J$33,7,0))</f>
        <v>50</v>
      </c>
      <c r="D137" s="53">
        <f>IF(VLOOKUP(D$2,行为概览!$D$3:$J$33,7,0)="","",VLOOKUP(D$2,行为概览!$D$3:$J$33,7,0))</f>
        <v>3.3</v>
      </c>
      <c r="E137" s="53">
        <f>IF(VLOOKUP(E$2,行为概览!$D$3:$J$33,7,0)="","",VLOOKUP(E$2,行为概览!$D$3:$J$33,7,0))</f>
        <v>30</v>
      </c>
      <c r="F137" s="53">
        <f>IF(VLOOKUP(F$2,行为概览!$D$3:$J$33,7,0)="","",VLOOKUP(F$2,行为概览!$D$3:$J$33,7,0))</f>
        <v>15</v>
      </c>
      <c r="G137" s="53" t="str">
        <f>IF(VLOOKUP(G$2,行为概览!$D$3:$J$33,7,0)="","",VLOOKUP(G$2,行为概览!$D$3:$J$33,7,0))</f>
        <v/>
      </c>
      <c r="H137" s="53" t="str">
        <f>IF(VLOOKUP(H$2,行为概览!$D$3:$J$33,7,0)="","",VLOOKUP(H$2,行为概览!$D$3:$J$33,7,0))</f>
        <v/>
      </c>
      <c r="I137" s="53" t="str">
        <f>IF(VLOOKUP(I$2,行为概览!$D$3:$J$33,7,0)="","",VLOOKUP(I$2,行为概览!$D$3:$J$33,7,0))</f>
        <v/>
      </c>
      <c r="J137" s="53" t="str">
        <f>IF(VLOOKUP(J$2,行为概览!$D$3:$J$33,7,0)="","",VLOOKUP(J$2,行为概览!$D$3:$J$33,7,0))</f>
        <v/>
      </c>
      <c r="K137" s="53">
        <f>IF(VLOOKUP(K$2,行为概览!$D$3:$J$33,7,0)="","",VLOOKUP(K$2,行为概览!$D$3:$J$33,7,0))</f>
        <v>20</v>
      </c>
      <c r="L137" s="53">
        <f>IF(VLOOKUP(L$2,行为概览!$D$3:$J$33,7,0)="","",VLOOKUP(L$2,行为概览!$D$3:$J$33,7,0))</f>
        <v>20</v>
      </c>
      <c r="M137" s="53">
        <f>IF(VLOOKUP(M$2,行为概览!$D$3:$J$33,7,0)="","",VLOOKUP(M$2,行为概览!$D$3:$J$33,7,0))</f>
        <v>40</v>
      </c>
      <c r="N137" s="53">
        <f>IF(VLOOKUP(N$2,行为概览!$D$3:$J$33,7,0)="","",VLOOKUP(N$2,行为概览!$D$3:$J$33,7,0))</f>
        <v>1</v>
      </c>
      <c r="O137" s="53">
        <f>IF(VLOOKUP(O$2,行为概览!$D$3:$J$33,7,0)="","",VLOOKUP(O$2,行为概览!$D$3:$J$33,7,0))</f>
        <v>150</v>
      </c>
      <c r="P137" s="53">
        <f>IF(VLOOKUP(P$2,行为概览!$D$3:$J$33,7,0)="","",VLOOKUP(P$2,行为概览!$D$3:$J$33,7,0))</f>
        <v>10</v>
      </c>
      <c r="Q137" s="53">
        <f>IF(VLOOKUP(Q$2,行为概览!$D$3:$J$33,7,0)="","",VLOOKUP(Q$2,行为概览!$D$3:$J$33,7,0))</f>
        <v>20</v>
      </c>
      <c r="R137" s="53">
        <f>IF(VLOOKUP(R$2,行为概览!$D$3:$J$33,7,0)="","",VLOOKUP(R$2,行为概览!$D$3:$J$33,7,0))</f>
        <v>6</v>
      </c>
      <c r="S137" s="53">
        <f>IF(VLOOKUP(S$2,行为概览!$D$3:$J$33,7,0)="","",VLOOKUP(S$2,行为概览!$D$3:$J$33,7,0))</f>
        <v>20</v>
      </c>
      <c r="T137" s="53">
        <f>IF(VLOOKUP(T$2,行为概览!$D$3:$J$33,7,0)="","",VLOOKUP(T$2,行为概览!$D$3:$J$33,7,0))</f>
        <v>15</v>
      </c>
      <c r="U137" s="53">
        <f>IF(VLOOKUP(U$2,行为概览!$D$3:$J$33,7,0)="","",VLOOKUP(U$2,行为概览!$D$3:$J$33,7,0))</f>
        <v>15</v>
      </c>
      <c r="V137" s="53">
        <f>IF(VLOOKUP(V$2,行为概览!$D$3:$J$33,7,0)="","",VLOOKUP(V$2,行为概览!$D$3:$J$33,7,0))</f>
        <v>40</v>
      </c>
      <c r="W137" s="53">
        <f>IF(VLOOKUP(W$2,行为概览!$D$3:$J$33,7,0)="","",VLOOKUP(W$2,行为概览!$D$3:$J$33,7,0))</f>
        <v>15</v>
      </c>
      <c r="X137" s="53">
        <f>IF(VLOOKUP(X$2,行为概览!$D$3:$J$33,7,0)="","",VLOOKUP(X$2,行为概览!$D$3:$J$33,7,0))</f>
        <v>30</v>
      </c>
      <c r="Y137" s="53">
        <f>IF(VLOOKUP(Y$2,行为概览!$D$3:$J$33,7,0)="","",VLOOKUP(Y$2,行为概览!$D$3:$J$33,7,0))</f>
        <v>25</v>
      </c>
      <c r="Z137" s="53">
        <f>IF(VLOOKUP(Z$2,行为概览!$D$3:$J$33,7,0)="","",VLOOKUP(Z$2,行为概览!$D$3:$J$33,7,0))</f>
        <v>15</v>
      </c>
      <c r="AA137" s="53">
        <f>IF(VLOOKUP(AA$2,行为概览!$D$3:$J$33,7,0)="","",VLOOKUP(AA$2,行为概览!$D$3:$J$33,7,0))</f>
        <v>15</v>
      </c>
      <c r="AB137" s="53" t="str">
        <f>IF(VLOOKUP(AB$2,行为概览!$D$3:$J$33,7,0)="","",VLOOKUP(AB$2,行为概览!$D$3:$J$33,7,0))</f>
        <v/>
      </c>
      <c r="AC137" s="53" t="str">
        <f>IF(VLOOKUP(AC$2,行为概览!$D$3:$J$33,7,0)="","",VLOOKUP(AC$2,行为概览!$D$3:$J$33,7,0))</f>
        <v/>
      </c>
      <c r="AD137" s="53" t="str">
        <f>IF(VLOOKUP(AD$2,行为概览!$D$3:$J$33,7,0)="","",VLOOKUP(AD$2,行为概览!$D$3:$J$33,7,0))</f>
        <v/>
      </c>
      <c r="AE137" s="68" t="str">
        <f>IF(VLOOKUP(AE$2,行为概览!$D$3:$J$33,7,0)="","",VLOOKUP(AE$2,行为概览!$D$3:$J$33,7,0))</f>
        <v/>
      </c>
      <c r="AF137" s="1">
        <f>IF(C137="","",ROUND(C137*玩法行为规划!B137,2))</f>
        <v>16.670000000000002</v>
      </c>
      <c r="AG137" s="2">
        <f>IF(D137="","",ROUND(D137*玩法行为规划!C137,2))</f>
        <v>6.6</v>
      </c>
      <c r="AH137" s="2">
        <f>IF(E137="","",ROUND(E137*玩法行为规划!D137,2))</f>
        <v>2.5</v>
      </c>
      <c r="AI137" s="2">
        <f>IF(F137="","",ROUND(F137*玩法行为规划!E137,2))</f>
        <v>15</v>
      </c>
      <c r="AJ137" s="2" t="str">
        <f>IF(G137="","",ROUND(G137*玩法行为规划!F137,2))</f>
        <v/>
      </c>
      <c r="AK137" s="2" t="str">
        <f>IF(H137="","",ROUND(H137*玩法行为规划!G137,2))</f>
        <v/>
      </c>
      <c r="AL137" s="2" t="str">
        <f>IF(I137="","",ROUND(I137*玩法行为规划!H137,2))</f>
        <v/>
      </c>
      <c r="AM137" s="2" t="str">
        <f>IF(J137="","",ROUND(J137*玩法行为规划!I137,2))</f>
        <v/>
      </c>
      <c r="AN137" s="2">
        <f>IF(K137="","",ROUND(K137*玩法行为规划!J137,2))</f>
        <v>10</v>
      </c>
      <c r="AO137" s="2">
        <f>IF(L137="","",ROUND(L137*玩法行为规划!K137,2))</f>
        <v>3.33</v>
      </c>
      <c r="AP137" s="2">
        <f>IF(M137="","",ROUND(M137*玩法行为规划!L137,2))</f>
        <v>20</v>
      </c>
      <c r="AQ137" s="2">
        <f>IF(N137="","",ROUND(N137*玩法行为规划!M137,2))</f>
        <v>12</v>
      </c>
      <c r="AR137" s="2">
        <f>IF(O137="","",ROUND(O137*玩法行为规划!N137,2))</f>
        <v>12.5</v>
      </c>
      <c r="AS137" s="2">
        <f>IF(P137="","",ROUND(P137*玩法行为规划!O137,2))</f>
        <v>0.83</v>
      </c>
      <c r="AT137" s="2">
        <f>IF(Q137="","",ROUND(Q137*玩法行为规划!P137,2))</f>
        <v>52</v>
      </c>
      <c r="AU137" s="2">
        <f>IF(R137="","",ROUND(R137*玩法行为规划!Q137,2))</f>
        <v>6</v>
      </c>
      <c r="AV137" s="2">
        <f>IF(S137="","",ROUND(S137*玩法行为规划!R137,2))</f>
        <v>6.67</v>
      </c>
      <c r="AW137" s="2">
        <f>IF(T137="","",ROUND(T137*玩法行为规划!S137,2))</f>
        <v>0</v>
      </c>
      <c r="AX137" s="2">
        <f>IF(U137="","",ROUND(U137*玩法行为规划!T137,2))</f>
        <v>5</v>
      </c>
      <c r="AY137" s="2">
        <f>IF(V137="","",ROUND(V137*玩法行为规划!U137,2))</f>
        <v>6.67</v>
      </c>
      <c r="AZ137" s="2">
        <f>IF(W137="","",ROUND(W137*玩法行为规划!V137,2))</f>
        <v>2.5</v>
      </c>
      <c r="BA137" s="2">
        <f>IF(X137="","",ROUND(X137*玩法行为规划!W137,2))</f>
        <v>5</v>
      </c>
      <c r="BB137" s="2">
        <f>IF(Y137="","",ROUND(Y137*玩法行为规划!X137,2))</f>
        <v>6.25</v>
      </c>
      <c r="BC137" s="2">
        <f>IF(Z137="","",ROUND(Z137*玩法行为规划!Y137,2))</f>
        <v>8.75</v>
      </c>
      <c r="BD137" s="2">
        <f>IF(AA137="","",ROUND(AA137*玩法行为规划!Z137,2))</f>
        <v>2.5</v>
      </c>
      <c r="BE137" s="2" t="str">
        <f>IF(AB137="","",ROUND(AB137*玩法行为规划!AA137,2))</f>
        <v/>
      </c>
      <c r="BF137" s="2" t="str">
        <f>IF(AC137="","",ROUND(AC137*玩法行为规划!AB137,2))</f>
        <v/>
      </c>
      <c r="BG137" s="2" t="str">
        <f>IF(AD137="","",ROUND(AD137*玩法行为规划!AC137,2))</f>
        <v/>
      </c>
      <c r="BH137" s="3" t="str">
        <f>IF(AE137="","",ROUND(AE137*玩法行为规划!AD137,2))</f>
        <v/>
      </c>
      <c r="BI137" s="7">
        <f t="shared" si="21"/>
        <v>200.76999999999998</v>
      </c>
      <c r="BJ137" s="7">
        <f t="shared" si="22"/>
        <v>10841579.999999998</v>
      </c>
      <c r="BK137" s="69">
        <f t="shared" ref="BK137:BK152" si="25">ROUND(B137*(6+MAX(A137-30,0)*1.1),-2)</f>
        <v>6561000</v>
      </c>
      <c r="BL137" s="21" t="str">
        <f t="shared" si="20"/>
        <v/>
      </c>
      <c r="BM137" s="7">
        <f t="shared" si="23"/>
        <v>2.2780226946335681E-2</v>
      </c>
      <c r="BN137" s="69">
        <f>INT(BJ137*升级节奏!G137+BK137)</f>
        <v>288012934</v>
      </c>
      <c r="BO137" s="7">
        <f t="shared" si="24"/>
        <v>600</v>
      </c>
      <c r="BP137" s="7"/>
    </row>
    <row r="138" spans="1:68">
      <c r="A138" s="29">
        <v>136</v>
      </c>
      <c r="B138" s="84">
        <f>升级节奏!C138</f>
        <v>54400</v>
      </c>
      <c r="C138" s="53">
        <f>IF(VLOOKUP(C$2,行为概览!$D$3:$J$33,7,0)="","",VLOOKUP(C$2,行为概览!$D$3:$J$33,7,0))</f>
        <v>50</v>
      </c>
      <c r="D138" s="53">
        <f>IF(VLOOKUP(D$2,行为概览!$D$3:$J$33,7,0)="","",VLOOKUP(D$2,行为概览!$D$3:$J$33,7,0))</f>
        <v>3.3</v>
      </c>
      <c r="E138" s="53">
        <f>IF(VLOOKUP(E$2,行为概览!$D$3:$J$33,7,0)="","",VLOOKUP(E$2,行为概览!$D$3:$J$33,7,0))</f>
        <v>30</v>
      </c>
      <c r="F138" s="53">
        <f>IF(VLOOKUP(F$2,行为概览!$D$3:$J$33,7,0)="","",VLOOKUP(F$2,行为概览!$D$3:$J$33,7,0))</f>
        <v>15</v>
      </c>
      <c r="G138" s="53" t="str">
        <f>IF(VLOOKUP(G$2,行为概览!$D$3:$J$33,7,0)="","",VLOOKUP(G$2,行为概览!$D$3:$J$33,7,0))</f>
        <v/>
      </c>
      <c r="H138" s="53" t="str">
        <f>IF(VLOOKUP(H$2,行为概览!$D$3:$J$33,7,0)="","",VLOOKUP(H$2,行为概览!$D$3:$J$33,7,0))</f>
        <v/>
      </c>
      <c r="I138" s="53" t="str">
        <f>IF(VLOOKUP(I$2,行为概览!$D$3:$J$33,7,0)="","",VLOOKUP(I$2,行为概览!$D$3:$J$33,7,0))</f>
        <v/>
      </c>
      <c r="J138" s="53" t="str">
        <f>IF(VLOOKUP(J$2,行为概览!$D$3:$J$33,7,0)="","",VLOOKUP(J$2,行为概览!$D$3:$J$33,7,0))</f>
        <v/>
      </c>
      <c r="K138" s="53">
        <f>IF(VLOOKUP(K$2,行为概览!$D$3:$J$33,7,0)="","",VLOOKUP(K$2,行为概览!$D$3:$J$33,7,0))</f>
        <v>20</v>
      </c>
      <c r="L138" s="53">
        <f>IF(VLOOKUP(L$2,行为概览!$D$3:$J$33,7,0)="","",VLOOKUP(L$2,行为概览!$D$3:$J$33,7,0))</f>
        <v>20</v>
      </c>
      <c r="M138" s="53">
        <f>IF(VLOOKUP(M$2,行为概览!$D$3:$J$33,7,0)="","",VLOOKUP(M$2,行为概览!$D$3:$J$33,7,0))</f>
        <v>40</v>
      </c>
      <c r="N138" s="53">
        <f>IF(VLOOKUP(N$2,行为概览!$D$3:$J$33,7,0)="","",VLOOKUP(N$2,行为概览!$D$3:$J$33,7,0))</f>
        <v>1</v>
      </c>
      <c r="O138" s="53">
        <f>IF(VLOOKUP(O$2,行为概览!$D$3:$J$33,7,0)="","",VLOOKUP(O$2,行为概览!$D$3:$J$33,7,0))</f>
        <v>150</v>
      </c>
      <c r="P138" s="53">
        <f>IF(VLOOKUP(P$2,行为概览!$D$3:$J$33,7,0)="","",VLOOKUP(P$2,行为概览!$D$3:$J$33,7,0))</f>
        <v>10</v>
      </c>
      <c r="Q138" s="53">
        <f>IF(VLOOKUP(Q$2,行为概览!$D$3:$J$33,7,0)="","",VLOOKUP(Q$2,行为概览!$D$3:$J$33,7,0))</f>
        <v>20</v>
      </c>
      <c r="R138" s="53">
        <f>IF(VLOOKUP(R$2,行为概览!$D$3:$J$33,7,0)="","",VLOOKUP(R$2,行为概览!$D$3:$J$33,7,0))</f>
        <v>6</v>
      </c>
      <c r="S138" s="53">
        <f>IF(VLOOKUP(S$2,行为概览!$D$3:$J$33,7,0)="","",VLOOKUP(S$2,行为概览!$D$3:$J$33,7,0))</f>
        <v>20</v>
      </c>
      <c r="T138" s="53">
        <f>IF(VLOOKUP(T$2,行为概览!$D$3:$J$33,7,0)="","",VLOOKUP(T$2,行为概览!$D$3:$J$33,7,0))</f>
        <v>15</v>
      </c>
      <c r="U138" s="53">
        <f>IF(VLOOKUP(U$2,行为概览!$D$3:$J$33,7,0)="","",VLOOKUP(U$2,行为概览!$D$3:$J$33,7,0))</f>
        <v>15</v>
      </c>
      <c r="V138" s="53">
        <f>IF(VLOOKUP(V$2,行为概览!$D$3:$J$33,7,0)="","",VLOOKUP(V$2,行为概览!$D$3:$J$33,7,0))</f>
        <v>40</v>
      </c>
      <c r="W138" s="53">
        <f>IF(VLOOKUP(W$2,行为概览!$D$3:$J$33,7,0)="","",VLOOKUP(W$2,行为概览!$D$3:$J$33,7,0))</f>
        <v>15</v>
      </c>
      <c r="X138" s="53">
        <f>IF(VLOOKUP(X$2,行为概览!$D$3:$J$33,7,0)="","",VLOOKUP(X$2,行为概览!$D$3:$J$33,7,0))</f>
        <v>30</v>
      </c>
      <c r="Y138" s="53">
        <f>IF(VLOOKUP(Y$2,行为概览!$D$3:$J$33,7,0)="","",VLOOKUP(Y$2,行为概览!$D$3:$J$33,7,0))</f>
        <v>25</v>
      </c>
      <c r="Z138" s="53">
        <f>IF(VLOOKUP(Z$2,行为概览!$D$3:$J$33,7,0)="","",VLOOKUP(Z$2,行为概览!$D$3:$J$33,7,0))</f>
        <v>15</v>
      </c>
      <c r="AA138" s="53">
        <f>IF(VLOOKUP(AA$2,行为概览!$D$3:$J$33,7,0)="","",VLOOKUP(AA$2,行为概览!$D$3:$J$33,7,0))</f>
        <v>15</v>
      </c>
      <c r="AB138" s="53" t="str">
        <f>IF(VLOOKUP(AB$2,行为概览!$D$3:$J$33,7,0)="","",VLOOKUP(AB$2,行为概览!$D$3:$J$33,7,0))</f>
        <v/>
      </c>
      <c r="AC138" s="53" t="str">
        <f>IF(VLOOKUP(AC$2,行为概览!$D$3:$J$33,7,0)="","",VLOOKUP(AC$2,行为概览!$D$3:$J$33,7,0))</f>
        <v/>
      </c>
      <c r="AD138" s="53" t="str">
        <f>IF(VLOOKUP(AD$2,行为概览!$D$3:$J$33,7,0)="","",VLOOKUP(AD$2,行为概览!$D$3:$J$33,7,0))</f>
        <v/>
      </c>
      <c r="AE138" s="68" t="str">
        <f>IF(VLOOKUP(AE$2,行为概览!$D$3:$J$33,7,0)="","",VLOOKUP(AE$2,行为概览!$D$3:$J$33,7,0))</f>
        <v/>
      </c>
      <c r="AF138" s="1">
        <f>IF(C138="","",ROUND(C138*玩法行为规划!B138,2))</f>
        <v>16.670000000000002</v>
      </c>
      <c r="AG138" s="2">
        <f>IF(D138="","",ROUND(D138*玩法行为规划!C138,2))</f>
        <v>6.6</v>
      </c>
      <c r="AH138" s="2">
        <f>IF(E138="","",ROUND(E138*玩法行为规划!D138,2))</f>
        <v>2.5</v>
      </c>
      <c r="AI138" s="2">
        <f>IF(F138="","",ROUND(F138*玩法行为规划!E138,2))</f>
        <v>15</v>
      </c>
      <c r="AJ138" s="2" t="str">
        <f>IF(G138="","",ROUND(G138*玩法行为规划!F138,2))</f>
        <v/>
      </c>
      <c r="AK138" s="2" t="str">
        <f>IF(H138="","",ROUND(H138*玩法行为规划!G138,2))</f>
        <v/>
      </c>
      <c r="AL138" s="2" t="str">
        <f>IF(I138="","",ROUND(I138*玩法行为规划!H138,2))</f>
        <v/>
      </c>
      <c r="AM138" s="2" t="str">
        <f>IF(J138="","",ROUND(J138*玩法行为规划!I138,2))</f>
        <v/>
      </c>
      <c r="AN138" s="2">
        <f>IF(K138="","",ROUND(K138*玩法行为规划!J138,2))</f>
        <v>10</v>
      </c>
      <c r="AO138" s="2">
        <f>IF(L138="","",ROUND(L138*玩法行为规划!K138,2))</f>
        <v>3.33</v>
      </c>
      <c r="AP138" s="2">
        <f>IF(M138="","",ROUND(M138*玩法行为规划!L138,2))</f>
        <v>20</v>
      </c>
      <c r="AQ138" s="2">
        <f>IF(N138="","",ROUND(N138*玩法行为规划!M138,2))</f>
        <v>12</v>
      </c>
      <c r="AR138" s="2">
        <f>IF(O138="","",ROUND(O138*玩法行为规划!N138,2))</f>
        <v>12.5</v>
      </c>
      <c r="AS138" s="2">
        <f>IF(P138="","",ROUND(P138*玩法行为规划!O138,2))</f>
        <v>0.83</v>
      </c>
      <c r="AT138" s="2">
        <f>IF(Q138="","",ROUND(Q138*玩法行为规划!P138,2))</f>
        <v>52</v>
      </c>
      <c r="AU138" s="2">
        <f>IF(R138="","",ROUND(R138*玩法行为规划!Q138,2))</f>
        <v>6</v>
      </c>
      <c r="AV138" s="2">
        <f>IF(S138="","",ROUND(S138*玩法行为规划!R138,2))</f>
        <v>6.67</v>
      </c>
      <c r="AW138" s="2">
        <f>IF(T138="","",ROUND(T138*玩法行为规划!S138,2))</f>
        <v>0</v>
      </c>
      <c r="AX138" s="2">
        <f>IF(U138="","",ROUND(U138*玩法行为规划!T138,2))</f>
        <v>5</v>
      </c>
      <c r="AY138" s="2">
        <f>IF(V138="","",ROUND(V138*玩法行为规划!U138,2))</f>
        <v>6.67</v>
      </c>
      <c r="AZ138" s="2">
        <f>IF(W138="","",ROUND(W138*玩法行为规划!V138,2))</f>
        <v>2.5</v>
      </c>
      <c r="BA138" s="2">
        <f>IF(X138="","",ROUND(X138*玩法行为规划!W138,2))</f>
        <v>5</v>
      </c>
      <c r="BB138" s="2">
        <f>IF(Y138="","",ROUND(Y138*玩法行为规划!X138,2))</f>
        <v>6.25</v>
      </c>
      <c r="BC138" s="2">
        <f>IF(Z138="","",ROUND(Z138*玩法行为规划!Y138,2))</f>
        <v>8.75</v>
      </c>
      <c r="BD138" s="2">
        <f>IF(AA138="","",ROUND(AA138*玩法行为规划!Z138,2))</f>
        <v>2.5</v>
      </c>
      <c r="BE138" s="2" t="str">
        <f>IF(AB138="","",ROUND(AB138*玩法行为规划!AA138,2))</f>
        <v/>
      </c>
      <c r="BF138" s="2" t="str">
        <f>IF(AC138="","",ROUND(AC138*玩法行为规划!AB138,2))</f>
        <v/>
      </c>
      <c r="BG138" s="2" t="str">
        <f>IF(AD138="","",ROUND(AD138*玩法行为规划!AC138,2))</f>
        <v/>
      </c>
      <c r="BH138" s="3" t="str">
        <f>IF(AE138="","",ROUND(AE138*玩法行为规划!AD138,2))</f>
        <v/>
      </c>
      <c r="BI138" s="7">
        <f t="shared" si="21"/>
        <v>200.76999999999998</v>
      </c>
      <c r="BJ138" s="7">
        <f t="shared" si="22"/>
        <v>10921887.999999998</v>
      </c>
      <c r="BK138" s="69">
        <f t="shared" si="25"/>
        <v>6669400</v>
      </c>
      <c r="BL138" s="21" t="str">
        <f t="shared" si="20"/>
        <v/>
      </c>
      <c r="BM138" s="7">
        <f t="shared" si="23"/>
        <v>2.2654269053898227E-2</v>
      </c>
      <c r="BN138" s="69">
        <f>INT(BJ138*升级节奏!G138+BK138)</f>
        <v>294399258</v>
      </c>
      <c r="BO138" s="7">
        <f t="shared" si="24"/>
        <v>604</v>
      </c>
      <c r="BP138" s="7"/>
    </row>
    <row r="139" spans="1:68">
      <c r="A139" s="29">
        <v>137</v>
      </c>
      <c r="B139" s="84">
        <f>升级节奏!C139</f>
        <v>54800</v>
      </c>
      <c r="C139" s="53">
        <f>IF(VLOOKUP(C$2,行为概览!$D$3:$J$33,7,0)="","",VLOOKUP(C$2,行为概览!$D$3:$J$33,7,0))</f>
        <v>50</v>
      </c>
      <c r="D139" s="53">
        <f>IF(VLOOKUP(D$2,行为概览!$D$3:$J$33,7,0)="","",VLOOKUP(D$2,行为概览!$D$3:$J$33,7,0))</f>
        <v>3.3</v>
      </c>
      <c r="E139" s="53">
        <f>IF(VLOOKUP(E$2,行为概览!$D$3:$J$33,7,0)="","",VLOOKUP(E$2,行为概览!$D$3:$J$33,7,0))</f>
        <v>30</v>
      </c>
      <c r="F139" s="53">
        <f>IF(VLOOKUP(F$2,行为概览!$D$3:$J$33,7,0)="","",VLOOKUP(F$2,行为概览!$D$3:$J$33,7,0))</f>
        <v>15</v>
      </c>
      <c r="G139" s="53" t="str">
        <f>IF(VLOOKUP(G$2,行为概览!$D$3:$J$33,7,0)="","",VLOOKUP(G$2,行为概览!$D$3:$J$33,7,0))</f>
        <v/>
      </c>
      <c r="H139" s="53" t="str">
        <f>IF(VLOOKUP(H$2,行为概览!$D$3:$J$33,7,0)="","",VLOOKUP(H$2,行为概览!$D$3:$J$33,7,0))</f>
        <v/>
      </c>
      <c r="I139" s="53" t="str">
        <f>IF(VLOOKUP(I$2,行为概览!$D$3:$J$33,7,0)="","",VLOOKUP(I$2,行为概览!$D$3:$J$33,7,0))</f>
        <v/>
      </c>
      <c r="J139" s="53" t="str">
        <f>IF(VLOOKUP(J$2,行为概览!$D$3:$J$33,7,0)="","",VLOOKUP(J$2,行为概览!$D$3:$J$33,7,0))</f>
        <v/>
      </c>
      <c r="K139" s="53">
        <f>IF(VLOOKUP(K$2,行为概览!$D$3:$J$33,7,0)="","",VLOOKUP(K$2,行为概览!$D$3:$J$33,7,0))</f>
        <v>20</v>
      </c>
      <c r="L139" s="53">
        <f>IF(VLOOKUP(L$2,行为概览!$D$3:$J$33,7,0)="","",VLOOKUP(L$2,行为概览!$D$3:$J$33,7,0))</f>
        <v>20</v>
      </c>
      <c r="M139" s="53">
        <f>IF(VLOOKUP(M$2,行为概览!$D$3:$J$33,7,0)="","",VLOOKUP(M$2,行为概览!$D$3:$J$33,7,0))</f>
        <v>40</v>
      </c>
      <c r="N139" s="53">
        <f>IF(VLOOKUP(N$2,行为概览!$D$3:$J$33,7,0)="","",VLOOKUP(N$2,行为概览!$D$3:$J$33,7,0))</f>
        <v>1</v>
      </c>
      <c r="O139" s="53">
        <f>IF(VLOOKUP(O$2,行为概览!$D$3:$J$33,7,0)="","",VLOOKUP(O$2,行为概览!$D$3:$J$33,7,0))</f>
        <v>150</v>
      </c>
      <c r="P139" s="53">
        <f>IF(VLOOKUP(P$2,行为概览!$D$3:$J$33,7,0)="","",VLOOKUP(P$2,行为概览!$D$3:$J$33,7,0))</f>
        <v>10</v>
      </c>
      <c r="Q139" s="53">
        <f>IF(VLOOKUP(Q$2,行为概览!$D$3:$J$33,7,0)="","",VLOOKUP(Q$2,行为概览!$D$3:$J$33,7,0))</f>
        <v>20</v>
      </c>
      <c r="R139" s="53">
        <f>IF(VLOOKUP(R$2,行为概览!$D$3:$J$33,7,0)="","",VLOOKUP(R$2,行为概览!$D$3:$J$33,7,0))</f>
        <v>6</v>
      </c>
      <c r="S139" s="53">
        <f>IF(VLOOKUP(S$2,行为概览!$D$3:$J$33,7,0)="","",VLOOKUP(S$2,行为概览!$D$3:$J$33,7,0))</f>
        <v>20</v>
      </c>
      <c r="T139" s="53">
        <f>IF(VLOOKUP(T$2,行为概览!$D$3:$J$33,7,0)="","",VLOOKUP(T$2,行为概览!$D$3:$J$33,7,0))</f>
        <v>15</v>
      </c>
      <c r="U139" s="53">
        <f>IF(VLOOKUP(U$2,行为概览!$D$3:$J$33,7,0)="","",VLOOKUP(U$2,行为概览!$D$3:$J$33,7,0))</f>
        <v>15</v>
      </c>
      <c r="V139" s="53">
        <f>IF(VLOOKUP(V$2,行为概览!$D$3:$J$33,7,0)="","",VLOOKUP(V$2,行为概览!$D$3:$J$33,7,0))</f>
        <v>40</v>
      </c>
      <c r="W139" s="53">
        <f>IF(VLOOKUP(W$2,行为概览!$D$3:$J$33,7,0)="","",VLOOKUP(W$2,行为概览!$D$3:$J$33,7,0))</f>
        <v>15</v>
      </c>
      <c r="X139" s="53">
        <f>IF(VLOOKUP(X$2,行为概览!$D$3:$J$33,7,0)="","",VLOOKUP(X$2,行为概览!$D$3:$J$33,7,0))</f>
        <v>30</v>
      </c>
      <c r="Y139" s="53">
        <f>IF(VLOOKUP(Y$2,行为概览!$D$3:$J$33,7,0)="","",VLOOKUP(Y$2,行为概览!$D$3:$J$33,7,0))</f>
        <v>25</v>
      </c>
      <c r="Z139" s="53">
        <f>IF(VLOOKUP(Z$2,行为概览!$D$3:$J$33,7,0)="","",VLOOKUP(Z$2,行为概览!$D$3:$J$33,7,0))</f>
        <v>15</v>
      </c>
      <c r="AA139" s="53">
        <f>IF(VLOOKUP(AA$2,行为概览!$D$3:$J$33,7,0)="","",VLOOKUP(AA$2,行为概览!$D$3:$J$33,7,0))</f>
        <v>15</v>
      </c>
      <c r="AB139" s="53" t="str">
        <f>IF(VLOOKUP(AB$2,行为概览!$D$3:$J$33,7,0)="","",VLOOKUP(AB$2,行为概览!$D$3:$J$33,7,0))</f>
        <v/>
      </c>
      <c r="AC139" s="53" t="str">
        <f>IF(VLOOKUP(AC$2,行为概览!$D$3:$J$33,7,0)="","",VLOOKUP(AC$2,行为概览!$D$3:$J$33,7,0))</f>
        <v/>
      </c>
      <c r="AD139" s="53" t="str">
        <f>IF(VLOOKUP(AD$2,行为概览!$D$3:$J$33,7,0)="","",VLOOKUP(AD$2,行为概览!$D$3:$J$33,7,0))</f>
        <v/>
      </c>
      <c r="AE139" s="68" t="str">
        <f>IF(VLOOKUP(AE$2,行为概览!$D$3:$J$33,7,0)="","",VLOOKUP(AE$2,行为概览!$D$3:$J$33,7,0))</f>
        <v/>
      </c>
      <c r="AF139" s="1">
        <f>IF(C139="","",ROUND(C139*玩法行为规划!B139,2))</f>
        <v>16.670000000000002</v>
      </c>
      <c r="AG139" s="2">
        <f>IF(D139="","",ROUND(D139*玩法行为规划!C139,2))</f>
        <v>6.6</v>
      </c>
      <c r="AH139" s="2">
        <f>IF(E139="","",ROUND(E139*玩法行为规划!D139,2))</f>
        <v>2.5</v>
      </c>
      <c r="AI139" s="2">
        <f>IF(F139="","",ROUND(F139*玩法行为规划!E139,2))</f>
        <v>15</v>
      </c>
      <c r="AJ139" s="2" t="str">
        <f>IF(G139="","",ROUND(G139*玩法行为规划!F139,2))</f>
        <v/>
      </c>
      <c r="AK139" s="2" t="str">
        <f>IF(H139="","",ROUND(H139*玩法行为规划!G139,2))</f>
        <v/>
      </c>
      <c r="AL139" s="2" t="str">
        <f>IF(I139="","",ROUND(I139*玩法行为规划!H139,2))</f>
        <v/>
      </c>
      <c r="AM139" s="2" t="str">
        <f>IF(J139="","",ROUND(J139*玩法行为规划!I139,2))</f>
        <v/>
      </c>
      <c r="AN139" s="2">
        <f>IF(K139="","",ROUND(K139*玩法行为规划!J139,2))</f>
        <v>10</v>
      </c>
      <c r="AO139" s="2">
        <f>IF(L139="","",ROUND(L139*玩法行为规划!K139,2))</f>
        <v>3.33</v>
      </c>
      <c r="AP139" s="2">
        <f>IF(M139="","",ROUND(M139*玩法行为规划!L139,2))</f>
        <v>20</v>
      </c>
      <c r="AQ139" s="2">
        <f>IF(N139="","",ROUND(N139*玩法行为规划!M139,2))</f>
        <v>12</v>
      </c>
      <c r="AR139" s="2">
        <f>IF(O139="","",ROUND(O139*玩法行为规划!N139,2))</f>
        <v>12.5</v>
      </c>
      <c r="AS139" s="2">
        <f>IF(P139="","",ROUND(P139*玩法行为规划!O139,2))</f>
        <v>0.83</v>
      </c>
      <c r="AT139" s="2">
        <f>IF(Q139="","",ROUND(Q139*玩法行为规划!P139,2))</f>
        <v>52</v>
      </c>
      <c r="AU139" s="2">
        <f>IF(R139="","",ROUND(R139*玩法行为规划!Q139,2))</f>
        <v>6</v>
      </c>
      <c r="AV139" s="2">
        <f>IF(S139="","",ROUND(S139*玩法行为规划!R139,2))</f>
        <v>6.67</v>
      </c>
      <c r="AW139" s="2">
        <f>IF(T139="","",ROUND(T139*玩法行为规划!S139,2))</f>
        <v>0</v>
      </c>
      <c r="AX139" s="2">
        <f>IF(U139="","",ROUND(U139*玩法行为规划!T139,2))</f>
        <v>5</v>
      </c>
      <c r="AY139" s="2">
        <f>IF(V139="","",ROUND(V139*玩法行为规划!U139,2))</f>
        <v>6.67</v>
      </c>
      <c r="AZ139" s="2">
        <f>IF(W139="","",ROUND(W139*玩法行为规划!V139,2))</f>
        <v>2.5</v>
      </c>
      <c r="BA139" s="2">
        <f>IF(X139="","",ROUND(X139*玩法行为规划!W139,2))</f>
        <v>5</v>
      </c>
      <c r="BB139" s="2">
        <f>IF(Y139="","",ROUND(Y139*玩法行为规划!X139,2))</f>
        <v>6.25</v>
      </c>
      <c r="BC139" s="2">
        <f>IF(Z139="","",ROUND(Z139*玩法行为规划!Y139,2))</f>
        <v>8.75</v>
      </c>
      <c r="BD139" s="2">
        <f>IF(AA139="","",ROUND(AA139*玩法行为规划!Z139,2))</f>
        <v>2.5</v>
      </c>
      <c r="BE139" s="2" t="str">
        <f>IF(AB139="","",ROUND(AB139*玩法行为规划!AA139,2))</f>
        <v/>
      </c>
      <c r="BF139" s="2" t="str">
        <f>IF(AC139="","",ROUND(AC139*玩法行为规划!AB139,2))</f>
        <v/>
      </c>
      <c r="BG139" s="2" t="str">
        <f>IF(AD139="","",ROUND(AD139*玩法行为规划!AC139,2))</f>
        <v/>
      </c>
      <c r="BH139" s="3" t="str">
        <f>IF(AE139="","",ROUND(AE139*玩法行为规划!AD139,2))</f>
        <v/>
      </c>
      <c r="BI139" s="7">
        <f t="shared" si="21"/>
        <v>200.76999999999998</v>
      </c>
      <c r="BJ139" s="7">
        <f t="shared" si="22"/>
        <v>11002195.999999998</v>
      </c>
      <c r="BK139" s="69">
        <f t="shared" si="25"/>
        <v>6778800</v>
      </c>
      <c r="BL139" s="21" t="str">
        <f t="shared" si="20"/>
        <v/>
      </c>
      <c r="BM139" s="7">
        <f t="shared" si="23"/>
        <v>2.2529955837657198E-2</v>
      </c>
      <c r="BN139" s="69">
        <f>INT(BJ139*升级节奏!G139+BK139)</f>
        <v>300879418</v>
      </c>
      <c r="BO139" s="7">
        <f t="shared" si="24"/>
        <v>609</v>
      </c>
      <c r="BP139" s="7"/>
    </row>
    <row r="140" spans="1:68">
      <c r="A140" s="29">
        <v>138</v>
      </c>
      <c r="B140" s="84">
        <f>升级节奏!C140</f>
        <v>55200</v>
      </c>
      <c r="C140" s="53">
        <f>IF(VLOOKUP(C$2,行为概览!$D$3:$J$33,7,0)="","",VLOOKUP(C$2,行为概览!$D$3:$J$33,7,0))</f>
        <v>50</v>
      </c>
      <c r="D140" s="53">
        <f>IF(VLOOKUP(D$2,行为概览!$D$3:$J$33,7,0)="","",VLOOKUP(D$2,行为概览!$D$3:$J$33,7,0))</f>
        <v>3.3</v>
      </c>
      <c r="E140" s="53">
        <f>IF(VLOOKUP(E$2,行为概览!$D$3:$J$33,7,0)="","",VLOOKUP(E$2,行为概览!$D$3:$J$33,7,0))</f>
        <v>30</v>
      </c>
      <c r="F140" s="53">
        <f>IF(VLOOKUP(F$2,行为概览!$D$3:$J$33,7,0)="","",VLOOKUP(F$2,行为概览!$D$3:$J$33,7,0))</f>
        <v>15</v>
      </c>
      <c r="G140" s="53" t="str">
        <f>IF(VLOOKUP(G$2,行为概览!$D$3:$J$33,7,0)="","",VLOOKUP(G$2,行为概览!$D$3:$J$33,7,0))</f>
        <v/>
      </c>
      <c r="H140" s="53" t="str">
        <f>IF(VLOOKUP(H$2,行为概览!$D$3:$J$33,7,0)="","",VLOOKUP(H$2,行为概览!$D$3:$J$33,7,0))</f>
        <v/>
      </c>
      <c r="I140" s="53" t="str">
        <f>IF(VLOOKUP(I$2,行为概览!$D$3:$J$33,7,0)="","",VLOOKUP(I$2,行为概览!$D$3:$J$33,7,0))</f>
        <v/>
      </c>
      <c r="J140" s="53" t="str">
        <f>IF(VLOOKUP(J$2,行为概览!$D$3:$J$33,7,0)="","",VLOOKUP(J$2,行为概览!$D$3:$J$33,7,0))</f>
        <v/>
      </c>
      <c r="K140" s="53">
        <f>IF(VLOOKUP(K$2,行为概览!$D$3:$J$33,7,0)="","",VLOOKUP(K$2,行为概览!$D$3:$J$33,7,0))</f>
        <v>20</v>
      </c>
      <c r="L140" s="53">
        <f>IF(VLOOKUP(L$2,行为概览!$D$3:$J$33,7,0)="","",VLOOKUP(L$2,行为概览!$D$3:$J$33,7,0))</f>
        <v>20</v>
      </c>
      <c r="M140" s="53">
        <f>IF(VLOOKUP(M$2,行为概览!$D$3:$J$33,7,0)="","",VLOOKUP(M$2,行为概览!$D$3:$J$33,7,0))</f>
        <v>40</v>
      </c>
      <c r="N140" s="53">
        <f>IF(VLOOKUP(N$2,行为概览!$D$3:$J$33,7,0)="","",VLOOKUP(N$2,行为概览!$D$3:$J$33,7,0))</f>
        <v>1</v>
      </c>
      <c r="O140" s="53">
        <f>IF(VLOOKUP(O$2,行为概览!$D$3:$J$33,7,0)="","",VLOOKUP(O$2,行为概览!$D$3:$J$33,7,0))</f>
        <v>150</v>
      </c>
      <c r="P140" s="53">
        <f>IF(VLOOKUP(P$2,行为概览!$D$3:$J$33,7,0)="","",VLOOKUP(P$2,行为概览!$D$3:$J$33,7,0))</f>
        <v>10</v>
      </c>
      <c r="Q140" s="53">
        <f>IF(VLOOKUP(Q$2,行为概览!$D$3:$J$33,7,0)="","",VLOOKUP(Q$2,行为概览!$D$3:$J$33,7,0))</f>
        <v>20</v>
      </c>
      <c r="R140" s="53">
        <f>IF(VLOOKUP(R$2,行为概览!$D$3:$J$33,7,0)="","",VLOOKUP(R$2,行为概览!$D$3:$J$33,7,0))</f>
        <v>6</v>
      </c>
      <c r="S140" s="53">
        <f>IF(VLOOKUP(S$2,行为概览!$D$3:$J$33,7,0)="","",VLOOKUP(S$2,行为概览!$D$3:$J$33,7,0))</f>
        <v>20</v>
      </c>
      <c r="T140" s="53">
        <f>IF(VLOOKUP(T$2,行为概览!$D$3:$J$33,7,0)="","",VLOOKUP(T$2,行为概览!$D$3:$J$33,7,0))</f>
        <v>15</v>
      </c>
      <c r="U140" s="53">
        <f>IF(VLOOKUP(U$2,行为概览!$D$3:$J$33,7,0)="","",VLOOKUP(U$2,行为概览!$D$3:$J$33,7,0))</f>
        <v>15</v>
      </c>
      <c r="V140" s="53">
        <f>IF(VLOOKUP(V$2,行为概览!$D$3:$J$33,7,0)="","",VLOOKUP(V$2,行为概览!$D$3:$J$33,7,0))</f>
        <v>40</v>
      </c>
      <c r="W140" s="53">
        <f>IF(VLOOKUP(W$2,行为概览!$D$3:$J$33,7,0)="","",VLOOKUP(W$2,行为概览!$D$3:$J$33,7,0))</f>
        <v>15</v>
      </c>
      <c r="X140" s="53">
        <f>IF(VLOOKUP(X$2,行为概览!$D$3:$J$33,7,0)="","",VLOOKUP(X$2,行为概览!$D$3:$J$33,7,0))</f>
        <v>30</v>
      </c>
      <c r="Y140" s="53">
        <f>IF(VLOOKUP(Y$2,行为概览!$D$3:$J$33,7,0)="","",VLOOKUP(Y$2,行为概览!$D$3:$J$33,7,0))</f>
        <v>25</v>
      </c>
      <c r="Z140" s="53">
        <f>IF(VLOOKUP(Z$2,行为概览!$D$3:$J$33,7,0)="","",VLOOKUP(Z$2,行为概览!$D$3:$J$33,7,0))</f>
        <v>15</v>
      </c>
      <c r="AA140" s="53">
        <f>IF(VLOOKUP(AA$2,行为概览!$D$3:$J$33,7,0)="","",VLOOKUP(AA$2,行为概览!$D$3:$J$33,7,0))</f>
        <v>15</v>
      </c>
      <c r="AB140" s="53" t="str">
        <f>IF(VLOOKUP(AB$2,行为概览!$D$3:$J$33,7,0)="","",VLOOKUP(AB$2,行为概览!$D$3:$J$33,7,0))</f>
        <v/>
      </c>
      <c r="AC140" s="53" t="str">
        <f>IF(VLOOKUP(AC$2,行为概览!$D$3:$J$33,7,0)="","",VLOOKUP(AC$2,行为概览!$D$3:$J$33,7,0))</f>
        <v/>
      </c>
      <c r="AD140" s="53" t="str">
        <f>IF(VLOOKUP(AD$2,行为概览!$D$3:$J$33,7,0)="","",VLOOKUP(AD$2,行为概览!$D$3:$J$33,7,0))</f>
        <v/>
      </c>
      <c r="AE140" s="68" t="str">
        <f>IF(VLOOKUP(AE$2,行为概览!$D$3:$J$33,7,0)="","",VLOOKUP(AE$2,行为概览!$D$3:$J$33,7,0))</f>
        <v/>
      </c>
      <c r="AF140" s="1">
        <f>IF(C140="","",ROUND(C140*玩法行为规划!B140,2))</f>
        <v>16.670000000000002</v>
      </c>
      <c r="AG140" s="2">
        <f>IF(D140="","",ROUND(D140*玩法行为规划!C140,2))</f>
        <v>6.6</v>
      </c>
      <c r="AH140" s="2">
        <f>IF(E140="","",ROUND(E140*玩法行为规划!D140,2))</f>
        <v>2.5</v>
      </c>
      <c r="AI140" s="2">
        <f>IF(F140="","",ROUND(F140*玩法行为规划!E140,2))</f>
        <v>15</v>
      </c>
      <c r="AJ140" s="2" t="str">
        <f>IF(G140="","",ROUND(G140*玩法行为规划!F140,2))</f>
        <v/>
      </c>
      <c r="AK140" s="2" t="str">
        <f>IF(H140="","",ROUND(H140*玩法行为规划!G140,2))</f>
        <v/>
      </c>
      <c r="AL140" s="2" t="str">
        <f>IF(I140="","",ROUND(I140*玩法行为规划!H140,2))</f>
        <v/>
      </c>
      <c r="AM140" s="2" t="str">
        <f>IF(J140="","",ROUND(J140*玩法行为规划!I140,2))</f>
        <v/>
      </c>
      <c r="AN140" s="2">
        <f>IF(K140="","",ROUND(K140*玩法行为规划!J140,2))</f>
        <v>10</v>
      </c>
      <c r="AO140" s="2">
        <f>IF(L140="","",ROUND(L140*玩法行为规划!K140,2))</f>
        <v>3.33</v>
      </c>
      <c r="AP140" s="2">
        <f>IF(M140="","",ROUND(M140*玩法行为规划!L140,2))</f>
        <v>20</v>
      </c>
      <c r="AQ140" s="2">
        <f>IF(N140="","",ROUND(N140*玩法行为规划!M140,2))</f>
        <v>12</v>
      </c>
      <c r="AR140" s="2">
        <f>IF(O140="","",ROUND(O140*玩法行为规划!N140,2))</f>
        <v>12.5</v>
      </c>
      <c r="AS140" s="2">
        <f>IF(P140="","",ROUND(P140*玩法行为规划!O140,2))</f>
        <v>0.83</v>
      </c>
      <c r="AT140" s="2">
        <f>IF(Q140="","",ROUND(Q140*玩法行为规划!P140,2))</f>
        <v>52</v>
      </c>
      <c r="AU140" s="2">
        <f>IF(R140="","",ROUND(R140*玩法行为规划!Q140,2))</f>
        <v>6</v>
      </c>
      <c r="AV140" s="2">
        <f>IF(S140="","",ROUND(S140*玩法行为规划!R140,2))</f>
        <v>6.67</v>
      </c>
      <c r="AW140" s="2">
        <f>IF(T140="","",ROUND(T140*玩法行为规划!S140,2))</f>
        <v>0</v>
      </c>
      <c r="AX140" s="2">
        <f>IF(U140="","",ROUND(U140*玩法行为规划!T140,2))</f>
        <v>5</v>
      </c>
      <c r="AY140" s="2">
        <f>IF(V140="","",ROUND(V140*玩法行为规划!U140,2))</f>
        <v>6.67</v>
      </c>
      <c r="AZ140" s="2">
        <f>IF(W140="","",ROUND(W140*玩法行为规划!V140,2))</f>
        <v>2.5</v>
      </c>
      <c r="BA140" s="2">
        <f>IF(X140="","",ROUND(X140*玩法行为规划!W140,2))</f>
        <v>5</v>
      </c>
      <c r="BB140" s="2">
        <f>IF(Y140="","",ROUND(Y140*玩法行为规划!X140,2))</f>
        <v>6.25</v>
      </c>
      <c r="BC140" s="2">
        <f>IF(Z140="","",ROUND(Z140*玩法行为规划!Y140,2))</f>
        <v>8.75</v>
      </c>
      <c r="BD140" s="2">
        <f>IF(AA140="","",ROUND(AA140*玩法行为规划!Z140,2))</f>
        <v>2.5</v>
      </c>
      <c r="BE140" s="2" t="str">
        <f>IF(AB140="","",ROUND(AB140*玩法行为规划!AA140,2))</f>
        <v/>
      </c>
      <c r="BF140" s="2" t="str">
        <f>IF(AC140="","",ROUND(AC140*玩法行为规划!AB140,2))</f>
        <v/>
      </c>
      <c r="BG140" s="2" t="str">
        <f>IF(AD140="","",ROUND(AD140*玩法行为规划!AC140,2))</f>
        <v/>
      </c>
      <c r="BH140" s="3" t="str">
        <f>IF(AE140="","",ROUND(AE140*玩法行为规划!AD140,2))</f>
        <v/>
      </c>
      <c r="BI140" s="7">
        <f t="shared" si="21"/>
        <v>200.76999999999998</v>
      </c>
      <c r="BJ140" s="7">
        <f t="shared" si="22"/>
        <v>11082503.999999998</v>
      </c>
      <c r="BK140" s="69">
        <f t="shared" si="25"/>
        <v>6889000</v>
      </c>
      <c r="BL140" s="21" t="str">
        <f t="shared" ref="BL140:BL152" si="26">IF(--RIGHT(A140,1)=0,SUM(BK140:BK149),"")</f>
        <v/>
      </c>
      <c r="BM140" s="7">
        <f t="shared" si="23"/>
        <v>2.2406611494036815E-2</v>
      </c>
      <c r="BN140" s="69">
        <f>INT(BJ140*升级节奏!G140+BK140)</f>
        <v>307453896</v>
      </c>
      <c r="BO140" s="7">
        <f t="shared" si="24"/>
        <v>613</v>
      </c>
      <c r="BP140" s="7"/>
    </row>
    <row r="141" spans="1:68">
      <c r="A141" s="29">
        <v>139</v>
      </c>
      <c r="B141" s="84">
        <f>升级节奏!C141</f>
        <v>55600</v>
      </c>
      <c r="C141" s="53">
        <f>IF(VLOOKUP(C$2,行为概览!$D$3:$J$33,7,0)="","",VLOOKUP(C$2,行为概览!$D$3:$J$33,7,0))</f>
        <v>50</v>
      </c>
      <c r="D141" s="53">
        <f>IF(VLOOKUP(D$2,行为概览!$D$3:$J$33,7,0)="","",VLOOKUP(D$2,行为概览!$D$3:$J$33,7,0))</f>
        <v>3.3</v>
      </c>
      <c r="E141" s="53">
        <f>IF(VLOOKUP(E$2,行为概览!$D$3:$J$33,7,0)="","",VLOOKUP(E$2,行为概览!$D$3:$J$33,7,0))</f>
        <v>30</v>
      </c>
      <c r="F141" s="53">
        <f>IF(VLOOKUP(F$2,行为概览!$D$3:$J$33,7,0)="","",VLOOKUP(F$2,行为概览!$D$3:$J$33,7,0))</f>
        <v>15</v>
      </c>
      <c r="G141" s="53" t="str">
        <f>IF(VLOOKUP(G$2,行为概览!$D$3:$J$33,7,0)="","",VLOOKUP(G$2,行为概览!$D$3:$J$33,7,0))</f>
        <v/>
      </c>
      <c r="H141" s="53" t="str">
        <f>IF(VLOOKUP(H$2,行为概览!$D$3:$J$33,7,0)="","",VLOOKUP(H$2,行为概览!$D$3:$J$33,7,0))</f>
        <v/>
      </c>
      <c r="I141" s="53" t="str">
        <f>IF(VLOOKUP(I$2,行为概览!$D$3:$J$33,7,0)="","",VLOOKUP(I$2,行为概览!$D$3:$J$33,7,0))</f>
        <v/>
      </c>
      <c r="J141" s="53" t="str">
        <f>IF(VLOOKUP(J$2,行为概览!$D$3:$J$33,7,0)="","",VLOOKUP(J$2,行为概览!$D$3:$J$33,7,0))</f>
        <v/>
      </c>
      <c r="K141" s="53">
        <f>IF(VLOOKUP(K$2,行为概览!$D$3:$J$33,7,0)="","",VLOOKUP(K$2,行为概览!$D$3:$J$33,7,0))</f>
        <v>20</v>
      </c>
      <c r="L141" s="53">
        <f>IF(VLOOKUP(L$2,行为概览!$D$3:$J$33,7,0)="","",VLOOKUP(L$2,行为概览!$D$3:$J$33,7,0))</f>
        <v>20</v>
      </c>
      <c r="M141" s="53">
        <f>IF(VLOOKUP(M$2,行为概览!$D$3:$J$33,7,0)="","",VLOOKUP(M$2,行为概览!$D$3:$J$33,7,0))</f>
        <v>40</v>
      </c>
      <c r="N141" s="53">
        <f>IF(VLOOKUP(N$2,行为概览!$D$3:$J$33,7,0)="","",VLOOKUP(N$2,行为概览!$D$3:$J$33,7,0))</f>
        <v>1</v>
      </c>
      <c r="O141" s="53">
        <f>IF(VLOOKUP(O$2,行为概览!$D$3:$J$33,7,0)="","",VLOOKUP(O$2,行为概览!$D$3:$J$33,7,0))</f>
        <v>150</v>
      </c>
      <c r="P141" s="53">
        <f>IF(VLOOKUP(P$2,行为概览!$D$3:$J$33,7,0)="","",VLOOKUP(P$2,行为概览!$D$3:$J$33,7,0))</f>
        <v>10</v>
      </c>
      <c r="Q141" s="53">
        <f>IF(VLOOKUP(Q$2,行为概览!$D$3:$J$33,7,0)="","",VLOOKUP(Q$2,行为概览!$D$3:$J$33,7,0))</f>
        <v>20</v>
      </c>
      <c r="R141" s="53">
        <f>IF(VLOOKUP(R$2,行为概览!$D$3:$J$33,7,0)="","",VLOOKUP(R$2,行为概览!$D$3:$J$33,7,0))</f>
        <v>6</v>
      </c>
      <c r="S141" s="53">
        <f>IF(VLOOKUP(S$2,行为概览!$D$3:$J$33,7,0)="","",VLOOKUP(S$2,行为概览!$D$3:$J$33,7,0))</f>
        <v>20</v>
      </c>
      <c r="T141" s="53">
        <f>IF(VLOOKUP(T$2,行为概览!$D$3:$J$33,7,0)="","",VLOOKUP(T$2,行为概览!$D$3:$J$33,7,0))</f>
        <v>15</v>
      </c>
      <c r="U141" s="53">
        <f>IF(VLOOKUP(U$2,行为概览!$D$3:$J$33,7,0)="","",VLOOKUP(U$2,行为概览!$D$3:$J$33,7,0))</f>
        <v>15</v>
      </c>
      <c r="V141" s="53">
        <f>IF(VLOOKUP(V$2,行为概览!$D$3:$J$33,7,0)="","",VLOOKUP(V$2,行为概览!$D$3:$J$33,7,0))</f>
        <v>40</v>
      </c>
      <c r="W141" s="53">
        <f>IF(VLOOKUP(W$2,行为概览!$D$3:$J$33,7,0)="","",VLOOKUP(W$2,行为概览!$D$3:$J$33,7,0))</f>
        <v>15</v>
      </c>
      <c r="X141" s="53">
        <f>IF(VLOOKUP(X$2,行为概览!$D$3:$J$33,7,0)="","",VLOOKUP(X$2,行为概览!$D$3:$J$33,7,0))</f>
        <v>30</v>
      </c>
      <c r="Y141" s="53">
        <f>IF(VLOOKUP(Y$2,行为概览!$D$3:$J$33,7,0)="","",VLOOKUP(Y$2,行为概览!$D$3:$J$33,7,0))</f>
        <v>25</v>
      </c>
      <c r="Z141" s="53">
        <f>IF(VLOOKUP(Z$2,行为概览!$D$3:$J$33,7,0)="","",VLOOKUP(Z$2,行为概览!$D$3:$J$33,7,0))</f>
        <v>15</v>
      </c>
      <c r="AA141" s="53">
        <f>IF(VLOOKUP(AA$2,行为概览!$D$3:$J$33,7,0)="","",VLOOKUP(AA$2,行为概览!$D$3:$J$33,7,0))</f>
        <v>15</v>
      </c>
      <c r="AB141" s="53" t="str">
        <f>IF(VLOOKUP(AB$2,行为概览!$D$3:$J$33,7,0)="","",VLOOKUP(AB$2,行为概览!$D$3:$J$33,7,0))</f>
        <v/>
      </c>
      <c r="AC141" s="53" t="str">
        <f>IF(VLOOKUP(AC$2,行为概览!$D$3:$J$33,7,0)="","",VLOOKUP(AC$2,行为概览!$D$3:$J$33,7,0))</f>
        <v/>
      </c>
      <c r="AD141" s="53" t="str">
        <f>IF(VLOOKUP(AD$2,行为概览!$D$3:$J$33,7,0)="","",VLOOKUP(AD$2,行为概览!$D$3:$J$33,7,0))</f>
        <v/>
      </c>
      <c r="AE141" s="68" t="str">
        <f>IF(VLOOKUP(AE$2,行为概览!$D$3:$J$33,7,0)="","",VLOOKUP(AE$2,行为概览!$D$3:$J$33,7,0))</f>
        <v/>
      </c>
      <c r="AF141" s="1">
        <f>IF(C141="","",ROUND(C141*玩法行为规划!B141,2))</f>
        <v>16.670000000000002</v>
      </c>
      <c r="AG141" s="2">
        <f>IF(D141="","",ROUND(D141*玩法行为规划!C141,2))</f>
        <v>6.6</v>
      </c>
      <c r="AH141" s="2">
        <f>IF(E141="","",ROUND(E141*玩法行为规划!D141,2))</f>
        <v>2.5</v>
      </c>
      <c r="AI141" s="2">
        <f>IF(F141="","",ROUND(F141*玩法行为规划!E141,2))</f>
        <v>15</v>
      </c>
      <c r="AJ141" s="2" t="str">
        <f>IF(G141="","",ROUND(G141*玩法行为规划!F141,2))</f>
        <v/>
      </c>
      <c r="AK141" s="2" t="str">
        <f>IF(H141="","",ROUND(H141*玩法行为规划!G141,2))</f>
        <v/>
      </c>
      <c r="AL141" s="2" t="str">
        <f>IF(I141="","",ROUND(I141*玩法行为规划!H141,2))</f>
        <v/>
      </c>
      <c r="AM141" s="2" t="str">
        <f>IF(J141="","",ROUND(J141*玩法行为规划!I141,2))</f>
        <v/>
      </c>
      <c r="AN141" s="2">
        <f>IF(K141="","",ROUND(K141*玩法行为规划!J141,2))</f>
        <v>10</v>
      </c>
      <c r="AO141" s="2">
        <f>IF(L141="","",ROUND(L141*玩法行为规划!K141,2))</f>
        <v>3.33</v>
      </c>
      <c r="AP141" s="2">
        <f>IF(M141="","",ROUND(M141*玩法行为规划!L141,2))</f>
        <v>20</v>
      </c>
      <c r="AQ141" s="2">
        <f>IF(N141="","",ROUND(N141*玩法行为规划!M141,2))</f>
        <v>12</v>
      </c>
      <c r="AR141" s="2">
        <f>IF(O141="","",ROUND(O141*玩法行为规划!N141,2))</f>
        <v>12.5</v>
      </c>
      <c r="AS141" s="2">
        <f>IF(P141="","",ROUND(P141*玩法行为规划!O141,2))</f>
        <v>0.83</v>
      </c>
      <c r="AT141" s="2">
        <f>IF(Q141="","",ROUND(Q141*玩法行为规划!P141,2))</f>
        <v>52</v>
      </c>
      <c r="AU141" s="2">
        <f>IF(R141="","",ROUND(R141*玩法行为规划!Q141,2))</f>
        <v>6</v>
      </c>
      <c r="AV141" s="2">
        <f>IF(S141="","",ROUND(S141*玩法行为规划!R141,2))</f>
        <v>6.67</v>
      </c>
      <c r="AW141" s="2">
        <f>IF(T141="","",ROUND(T141*玩法行为规划!S141,2))</f>
        <v>0</v>
      </c>
      <c r="AX141" s="2">
        <f>IF(U141="","",ROUND(U141*玩法行为规划!T141,2))</f>
        <v>5</v>
      </c>
      <c r="AY141" s="2">
        <f>IF(V141="","",ROUND(V141*玩法行为规划!U141,2))</f>
        <v>6.67</v>
      </c>
      <c r="AZ141" s="2">
        <f>IF(W141="","",ROUND(W141*玩法行为规划!V141,2))</f>
        <v>2.5</v>
      </c>
      <c r="BA141" s="2">
        <f>IF(X141="","",ROUND(X141*玩法行为规划!W141,2))</f>
        <v>5</v>
      </c>
      <c r="BB141" s="2">
        <f>IF(Y141="","",ROUND(Y141*玩法行为规划!X141,2))</f>
        <v>6.25</v>
      </c>
      <c r="BC141" s="2">
        <f>IF(Z141="","",ROUND(Z141*玩法行为规划!Y141,2))</f>
        <v>8.75</v>
      </c>
      <c r="BD141" s="2">
        <f>IF(AA141="","",ROUND(AA141*玩法行为规划!Z141,2))</f>
        <v>2.5</v>
      </c>
      <c r="BE141" s="2" t="str">
        <f>IF(AB141="","",ROUND(AB141*玩法行为规划!AA141,2))</f>
        <v/>
      </c>
      <c r="BF141" s="2" t="str">
        <f>IF(AC141="","",ROUND(AC141*玩法行为规划!AB141,2))</f>
        <v/>
      </c>
      <c r="BG141" s="2" t="str">
        <f>IF(AD141="","",ROUND(AD141*玩法行为规划!AC141,2))</f>
        <v/>
      </c>
      <c r="BH141" s="3" t="str">
        <f>IF(AE141="","",ROUND(AE141*玩法行为规划!AD141,2))</f>
        <v/>
      </c>
      <c r="BI141" s="7">
        <f t="shared" si="21"/>
        <v>200.76999999999998</v>
      </c>
      <c r="BJ141" s="7">
        <f t="shared" si="22"/>
        <v>11162811.999999998</v>
      </c>
      <c r="BK141" s="69">
        <f t="shared" si="25"/>
        <v>7000000</v>
      </c>
      <c r="BL141" s="21" t="str">
        <f t="shared" si="26"/>
        <v/>
      </c>
      <c r="BM141" s="7">
        <f t="shared" si="23"/>
        <v>2.2284237770321173E-2</v>
      </c>
      <c r="BN141" s="69">
        <f>INT(BJ141*升级节奏!G141+BK141)</f>
        <v>314123376</v>
      </c>
      <c r="BO141" s="7">
        <f t="shared" si="24"/>
        <v>618</v>
      </c>
      <c r="BP141" s="7"/>
    </row>
    <row r="142" spans="1:68">
      <c r="A142" s="29">
        <v>140</v>
      </c>
      <c r="B142" s="84">
        <f>升级节奏!C142</f>
        <v>56000</v>
      </c>
      <c r="C142" s="53">
        <f>IF(VLOOKUP(C$2,行为概览!$D$3:$J$33,7,0)="","",VLOOKUP(C$2,行为概览!$D$3:$J$33,7,0))</f>
        <v>50</v>
      </c>
      <c r="D142" s="53">
        <f>IF(VLOOKUP(D$2,行为概览!$D$3:$J$33,7,0)="","",VLOOKUP(D$2,行为概览!$D$3:$J$33,7,0))</f>
        <v>3.3</v>
      </c>
      <c r="E142" s="53">
        <f>IF(VLOOKUP(E$2,行为概览!$D$3:$J$33,7,0)="","",VLOOKUP(E$2,行为概览!$D$3:$J$33,7,0))</f>
        <v>30</v>
      </c>
      <c r="F142" s="53">
        <f>IF(VLOOKUP(F$2,行为概览!$D$3:$J$33,7,0)="","",VLOOKUP(F$2,行为概览!$D$3:$J$33,7,0))</f>
        <v>15</v>
      </c>
      <c r="G142" s="53" t="str">
        <f>IF(VLOOKUP(G$2,行为概览!$D$3:$J$33,7,0)="","",VLOOKUP(G$2,行为概览!$D$3:$J$33,7,0))</f>
        <v/>
      </c>
      <c r="H142" s="53" t="str">
        <f>IF(VLOOKUP(H$2,行为概览!$D$3:$J$33,7,0)="","",VLOOKUP(H$2,行为概览!$D$3:$J$33,7,0))</f>
        <v/>
      </c>
      <c r="I142" s="53" t="str">
        <f>IF(VLOOKUP(I$2,行为概览!$D$3:$J$33,7,0)="","",VLOOKUP(I$2,行为概览!$D$3:$J$33,7,0))</f>
        <v/>
      </c>
      <c r="J142" s="53" t="str">
        <f>IF(VLOOKUP(J$2,行为概览!$D$3:$J$33,7,0)="","",VLOOKUP(J$2,行为概览!$D$3:$J$33,7,0))</f>
        <v/>
      </c>
      <c r="K142" s="53">
        <f>IF(VLOOKUP(K$2,行为概览!$D$3:$J$33,7,0)="","",VLOOKUP(K$2,行为概览!$D$3:$J$33,7,0))</f>
        <v>20</v>
      </c>
      <c r="L142" s="53">
        <f>IF(VLOOKUP(L$2,行为概览!$D$3:$J$33,7,0)="","",VLOOKUP(L$2,行为概览!$D$3:$J$33,7,0))</f>
        <v>20</v>
      </c>
      <c r="M142" s="53">
        <f>IF(VLOOKUP(M$2,行为概览!$D$3:$J$33,7,0)="","",VLOOKUP(M$2,行为概览!$D$3:$J$33,7,0))</f>
        <v>40</v>
      </c>
      <c r="N142" s="53">
        <f>IF(VLOOKUP(N$2,行为概览!$D$3:$J$33,7,0)="","",VLOOKUP(N$2,行为概览!$D$3:$J$33,7,0))</f>
        <v>1</v>
      </c>
      <c r="O142" s="53">
        <f>IF(VLOOKUP(O$2,行为概览!$D$3:$J$33,7,0)="","",VLOOKUP(O$2,行为概览!$D$3:$J$33,7,0))</f>
        <v>150</v>
      </c>
      <c r="P142" s="53">
        <f>IF(VLOOKUP(P$2,行为概览!$D$3:$J$33,7,0)="","",VLOOKUP(P$2,行为概览!$D$3:$J$33,7,0))</f>
        <v>10</v>
      </c>
      <c r="Q142" s="53">
        <f>IF(VLOOKUP(Q$2,行为概览!$D$3:$J$33,7,0)="","",VLOOKUP(Q$2,行为概览!$D$3:$J$33,7,0))</f>
        <v>20</v>
      </c>
      <c r="R142" s="53">
        <f>IF(VLOOKUP(R$2,行为概览!$D$3:$J$33,7,0)="","",VLOOKUP(R$2,行为概览!$D$3:$J$33,7,0))</f>
        <v>6</v>
      </c>
      <c r="S142" s="53">
        <f>IF(VLOOKUP(S$2,行为概览!$D$3:$J$33,7,0)="","",VLOOKUP(S$2,行为概览!$D$3:$J$33,7,0))</f>
        <v>20</v>
      </c>
      <c r="T142" s="53">
        <f>IF(VLOOKUP(T$2,行为概览!$D$3:$J$33,7,0)="","",VLOOKUP(T$2,行为概览!$D$3:$J$33,7,0))</f>
        <v>15</v>
      </c>
      <c r="U142" s="53">
        <f>IF(VLOOKUP(U$2,行为概览!$D$3:$J$33,7,0)="","",VLOOKUP(U$2,行为概览!$D$3:$J$33,7,0))</f>
        <v>15</v>
      </c>
      <c r="V142" s="53">
        <f>IF(VLOOKUP(V$2,行为概览!$D$3:$J$33,7,0)="","",VLOOKUP(V$2,行为概览!$D$3:$J$33,7,0))</f>
        <v>40</v>
      </c>
      <c r="W142" s="53">
        <f>IF(VLOOKUP(W$2,行为概览!$D$3:$J$33,7,0)="","",VLOOKUP(W$2,行为概览!$D$3:$J$33,7,0))</f>
        <v>15</v>
      </c>
      <c r="X142" s="53">
        <f>IF(VLOOKUP(X$2,行为概览!$D$3:$J$33,7,0)="","",VLOOKUP(X$2,行为概览!$D$3:$J$33,7,0))</f>
        <v>30</v>
      </c>
      <c r="Y142" s="53">
        <f>IF(VLOOKUP(Y$2,行为概览!$D$3:$J$33,7,0)="","",VLOOKUP(Y$2,行为概览!$D$3:$J$33,7,0))</f>
        <v>25</v>
      </c>
      <c r="Z142" s="53">
        <f>IF(VLOOKUP(Z$2,行为概览!$D$3:$J$33,7,0)="","",VLOOKUP(Z$2,行为概览!$D$3:$J$33,7,0))</f>
        <v>15</v>
      </c>
      <c r="AA142" s="53">
        <f>IF(VLOOKUP(AA$2,行为概览!$D$3:$J$33,7,0)="","",VLOOKUP(AA$2,行为概览!$D$3:$J$33,7,0))</f>
        <v>15</v>
      </c>
      <c r="AB142" s="53" t="str">
        <f>IF(VLOOKUP(AB$2,行为概览!$D$3:$J$33,7,0)="","",VLOOKUP(AB$2,行为概览!$D$3:$J$33,7,0))</f>
        <v/>
      </c>
      <c r="AC142" s="53" t="str">
        <f>IF(VLOOKUP(AC$2,行为概览!$D$3:$J$33,7,0)="","",VLOOKUP(AC$2,行为概览!$D$3:$J$33,7,0))</f>
        <v/>
      </c>
      <c r="AD142" s="53" t="str">
        <f>IF(VLOOKUP(AD$2,行为概览!$D$3:$J$33,7,0)="","",VLOOKUP(AD$2,行为概览!$D$3:$J$33,7,0))</f>
        <v/>
      </c>
      <c r="AE142" s="68" t="str">
        <f>IF(VLOOKUP(AE$2,行为概览!$D$3:$J$33,7,0)="","",VLOOKUP(AE$2,行为概览!$D$3:$J$33,7,0))</f>
        <v/>
      </c>
      <c r="AF142" s="1">
        <f>IF(C142="","",ROUND(C142*玩法行为规划!B142,2))</f>
        <v>16.670000000000002</v>
      </c>
      <c r="AG142" s="2">
        <f>IF(D142="","",ROUND(D142*玩法行为规划!C142,2))</f>
        <v>6.6</v>
      </c>
      <c r="AH142" s="2">
        <f>IF(E142="","",ROUND(E142*玩法行为规划!D142,2))</f>
        <v>2.5</v>
      </c>
      <c r="AI142" s="2">
        <f>IF(F142="","",ROUND(F142*玩法行为规划!E142,2))</f>
        <v>15</v>
      </c>
      <c r="AJ142" s="2" t="str">
        <f>IF(G142="","",ROUND(G142*玩法行为规划!F142,2))</f>
        <v/>
      </c>
      <c r="AK142" s="2" t="str">
        <f>IF(H142="","",ROUND(H142*玩法行为规划!G142,2))</f>
        <v/>
      </c>
      <c r="AL142" s="2" t="str">
        <f>IF(I142="","",ROUND(I142*玩法行为规划!H142,2))</f>
        <v/>
      </c>
      <c r="AM142" s="2" t="str">
        <f>IF(J142="","",ROUND(J142*玩法行为规划!I142,2))</f>
        <v/>
      </c>
      <c r="AN142" s="2">
        <f>IF(K142="","",ROUND(K142*玩法行为规划!J142,2))</f>
        <v>10</v>
      </c>
      <c r="AO142" s="2">
        <f>IF(L142="","",ROUND(L142*玩法行为规划!K142,2))</f>
        <v>3.33</v>
      </c>
      <c r="AP142" s="2">
        <f>IF(M142="","",ROUND(M142*玩法行为规划!L142,2))</f>
        <v>20</v>
      </c>
      <c r="AQ142" s="2">
        <f>IF(N142="","",ROUND(N142*玩法行为规划!M142,2))</f>
        <v>12</v>
      </c>
      <c r="AR142" s="2">
        <f>IF(O142="","",ROUND(O142*玩法行为规划!N142,2))</f>
        <v>12.5</v>
      </c>
      <c r="AS142" s="2">
        <f>IF(P142="","",ROUND(P142*玩法行为规划!O142,2))</f>
        <v>0.83</v>
      </c>
      <c r="AT142" s="2">
        <f>IF(Q142="","",ROUND(Q142*玩法行为规划!P142,2))</f>
        <v>52</v>
      </c>
      <c r="AU142" s="2">
        <f>IF(R142="","",ROUND(R142*玩法行为规划!Q142,2))</f>
        <v>6</v>
      </c>
      <c r="AV142" s="2">
        <f>IF(S142="","",ROUND(S142*玩法行为规划!R142,2))</f>
        <v>6.67</v>
      </c>
      <c r="AW142" s="2">
        <f>IF(T142="","",ROUND(T142*玩法行为规划!S142,2))</f>
        <v>0</v>
      </c>
      <c r="AX142" s="2">
        <f>IF(U142="","",ROUND(U142*玩法行为规划!T142,2))</f>
        <v>5</v>
      </c>
      <c r="AY142" s="2">
        <f>IF(V142="","",ROUND(V142*玩法行为规划!U142,2))</f>
        <v>6.67</v>
      </c>
      <c r="AZ142" s="2">
        <f>IF(W142="","",ROUND(W142*玩法行为规划!V142,2))</f>
        <v>2.5</v>
      </c>
      <c r="BA142" s="2">
        <f>IF(X142="","",ROUND(X142*玩法行为规划!W142,2))</f>
        <v>5</v>
      </c>
      <c r="BB142" s="2">
        <f>IF(Y142="","",ROUND(Y142*玩法行为规划!X142,2))</f>
        <v>6.25</v>
      </c>
      <c r="BC142" s="2">
        <f>IF(Z142="","",ROUND(Z142*玩法行为规划!Y142,2))</f>
        <v>8.75</v>
      </c>
      <c r="BD142" s="2">
        <f>IF(AA142="","",ROUND(AA142*玩法行为规划!Z142,2))</f>
        <v>2.5</v>
      </c>
      <c r="BE142" s="2" t="str">
        <f>IF(AB142="","",ROUND(AB142*玩法行为规划!AA142,2))</f>
        <v/>
      </c>
      <c r="BF142" s="2" t="str">
        <f>IF(AC142="","",ROUND(AC142*玩法行为规划!AB142,2))</f>
        <v/>
      </c>
      <c r="BG142" s="2" t="str">
        <f>IF(AD142="","",ROUND(AD142*玩法行为规划!AC142,2))</f>
        <v/>
      </c>
      <c r="BH142" s="3" t="str">
        <f>IF(AE142="","",ROUND(AE142*玩法行为规划!AD142,2))</f>
        <v/>
      </c>
      <c r="BI142" s="7">
        <f t="shared" si="21"/>
        <v>200.76999999999998</v>
      </c>
      <c r="BJ142" s="7">
        <f t="shared" si="22"/>
        <v>11243119.999999998</v>
      </c>
      <c r="BK142" s="69">
        <f t="shared" si="25"/>
        <v>7112000</v>
      </c>
      <c r="BL142" s="21">
        <f t="shared" si="26"/>
        <v>76303400</v>
      </c>
      <c r="BM142" s="7">
        <f t="shared" si="23"/>
        <v>2.2163445186640079E-2</v>
      </c>
      <c r="BN142" s="69">
        <f>INT(BJ142*升级节奏!G142+BK142)</f>
        <v>320888740</v>
      </c>
      <c r="BO142" s="7">
        <f t="shared" si="24"/>
        <v>622</v>
      </c>
      <c r="BP142" s="7"/>
    </row>
    <row r="143" spans="1:68">
      <c r="A143" s="29">
        <v>141</v>
      </c>
      <c r="B143" s="84">
        <f>升级节奏!C143</f>
        <v>56400</v>
      </c>
      <c r="C143" s="53">
        <f>IF(VLOOKUP(C$2,行为概览!$D$3:$J$33,7,0)="","",VLOOKUP(C$2,行为概览!$D$3:$J$33,7,0))</f>
        <v>50</v>
      </c>
      <c r="D143" s="53">
        <f>IF(VLOOKUP(D$2,行为概览!$D$3:$J$33,7,0)="","",VLOOKUP(D$2,行为概览!$D$3:$J$33,7,0))</f>
        <v>3.3</v>
      </c>
      <c r="E143" s="53">
        <f>IF(VLOOKUP(E$2,行为概览!$D$3:$J$33,7,0)="","",VLOOKUP(E$2,行为概览!$D$3:$J$33,7,0))</f>
        <v>30</v>
      </c>
      <c r="F143" s="53">
        <f>IF(VLOOKUP(F$2,行为概览!$D$3:$J$33,7,0)="","",VLOOKUP(F$2,行为概览!$D$3:$J$33,7,0))</f>
        <v>15</v>
      </c>
      <c r="G143" s="53" t="str">
        <f>IF(VLOOKUP(G$2,行为概览!$D$3:$J$33,7,0)="","",VLOOKUP(G$2,行为概览!$D$3:$J$33,7,0))</f>
        <v/>
      </c>
      <c r="H143" s="53" t="str">
        <f>IF(VLOOKUP(H$2,行为概览!$D$3:$J$33,7,0)="","",VLOOKUP(H$2,行为概览!$D$3:$J$33,7,0))</f>
        <v/>
      </c>
      <c r="I143" s="53" t="str">
        <f>IF(VLOOKUP(I$2,行为概览!$D$3:$J$33,7,0)="","",VLOOKUP(I$2,行为概览!$D$3:$J$33,7,0))</f>
        <v/>
      </c>
      <c r="J143" s="53" t="str">
        <f>IF(VLOOKUP(J$2,行为概览!$D$3:$J$33,7,0)="","",VLOOKUP(J$2,行为概览!$D$3:$J$33,7,0))</f>
        <v/>
      </c>
      <c r="K143" s="53">
        <f>IF(VLOOKUP(K$2,行为概览!$D$3:$J$33,7,0)="","",VLOOKUP(K$2,行为概览!$D$3:$J$33,7,0))</f>
        <v>20</v>
      </c>
      <c r="L143" s="53">
        <f>IF(VLOOKUP(L$2,行为概览!$D$3:$J$33,7,0)="","",VLOOKUP(L$2,行为概览!$D$3:$J$33,7,0))</f>
        <v>20</v>
      </c>
      <c r="M143" s="53">
        <f>IF(VLOOKUP(M$2,行为概览!$D$3:$J$33,7,0)="","",VLOOKUP(M$2,行为概览!$D$3:$J$33,7,0))</f>
        <v>40</v>
      </c>
      <c r="N143" s="53">
        <f>IF(VLOOKUP(N$2,行为概览!$D$3:$J$33,7,0)="","",VLOOKUP(N$2,行为概览!$D$3:$J$33,7,0))</f>
        <v>1</v>
      </c>
      <c r="O143" s="53">
        <f>IF(VLOOKUP(O$2,行为概览!$D$3:$J$33,7,0)="","",VLOOKUP(O$2,行为概览!$D$3:$J$33,7,0))</f>
        <v>150</v>
      </c>
      <c r="P143" s="53">
        <f>IF(VLOOKUP(P$2,行为概览!$D$3:$J$33,7,0)="","",VLOOKUP(P$2,行为概览!$D$3:$J$33,7,0))</f>
        <v>10</v>
      </c>
      <c r="Q143" s="53">
        <f>IF(VLOOKUP(Q$2,行为概览!$D$3:$J$33,7,0)="","",VLOOKUP(Q$2,行为概览!$D$3:$J$33,7,0))</f>
        <v>20</v>
      </c>
      <c r="R143" s="53">
        <f>IF(VLOOKUP(R$2,行为概览!$D$3:$J$33,7,0)="","",VLOOKUP(R$2,行为概览!$D$3:$J$33,7,0))</f>
        <v>6</v>
      </c>
      <c r="S143" s="53">
        <f>IF(VLOOKUP(S$2,行为概览!$D$3:$J$33,7,0)="","",VLOOKUP(S$2,行为概览!$D$3:$J$33,7,0))</f>
        <v>20</v>
      </c>
      <c r="T143" s="53">
        <f>IF(VLOOKUP(T$2,行为概览!$D$3:$J$33,7,0)="","",VLOOKUP(T$2,行为概览!$D$3:$J$33,7,0))</f>
        <v>15</v>
      </c>
      <c r="U143" s="53">
        <f>IF(VLOOKUP(U$2,行为概览!$D$3:$J$33,7,0)="","",VLOOKUP(U$2,行为概览!$D$3:$J$33,7,0))</f>
        <v>15</v>
      </c>
      <c r="V143" s="53">
        <f>IF(VLOOKUP(V$2,行为概览!$D$3:$J$33,7,0)="","",VLOOKUP(V$2,行为概览!$D$3:$J$33,7,0))</f>
        <v>40</v>
      </c>
      <c r="W143" s="53">
        <f>IF(VLOOKUP(W$2,行为概览!$D$3:$J$33,7,0)="","",VLOOKUP(W$2,行为概览!$D$3:$J$33,7,0))</f>
        <v>15</v>
      </c>
      <c r="X143" s="53">
        <f>IF(VLOOKUP(X$2,行为概览!$D$3:$J$33,7,0)="","",VLOOKUP(X$2,行为概览!$D$3:$J$33,7,0))</f>
        <v>30</v>
      </c>
      <c r="Y143" s="53">
        <f>IF(VLOOKUP(Y$2,行为概览!$D$3:$J$33,7,0)="","",VLOOKUP(Y$2,行为概览!$D$3:$J$33,7,0))</f>
        <v>25</v>
      </c>
      <c r="Z143" s="53">
        <f>IF(VLOOKUP(Z$2,行为概览!$D$3:$J$33,7,0)="","",VLOOKUP(Z$2,行为概览!$D$3:$J$33,7,0))</f>
        <v>15</v>
      </c>
      <c r="AA143" s="53">
        <f>IF(VLOOKUP(AA$2,行为概览!$D$3:$J$33,7,0)="","",VLOOKUP(AA$2,行为概览!$D$3:$J$33,7,0))</f>
        <v>15</v>
      </c>
      <c r="AB143" s="53" t="str">
        <f>IF(VLOOKUP(AB$2,行为概览!$D$3:$J$33,7,0)="","",VLOOKUP(AB$2,行为概览!$D$3:$J$33,7,0))</f>
        <v/>
      </c>
      <c r="AC143" s="53" t="str">
        <f>IF(VLOOKUP(AC$2,行为概览!$D$3:$J$33,7,0)="","",VLOOKUP(AC$2,行为概览!$D$3:$J$33,7,0))</f>
        <v/>
      </c>
      <c r="AD143" s="53" t="str">
        <f>IF(VLOOKUP(AD$2,行为概览!$D$3:$J$33,7,0)="","",VLOOKUP(AD$2,行为概览!$D$3:$J$33,7,0))</f>
        <v/>
      </c>
      <c r="AE143" s="68" t="str">
        <f>IF(VLOOKUP(AE$2,行为概览!$D$3:$J$33,7,0)="","",VLOOKUP(AE$2,行为概览!$D$3:$J$33,7,0))</f>
        <v/>
      </c>
      <c r="AF143" s="1">
        <f>IF(C143="","",ROUND(C143*玩法行为规划!B143,2))</f>
        <v>16.670000000000002</v>
      </c>
      <c r="AG143" s="2">
        <f>IF(D143="","",ROUND(D143*玩法行为规划!C143,2))</f>
        <v>6.6</v>
      </c>
      <c r="AH143" s="2">
        <f>IF(E143="","",ROUND(E143*玩法行为规划!D143,2))</f>
        <v>2.5</v>
      </c>
      <c r="AI143" s="2">
        <f>IF(F143="","",ROUND(F143*玩法行为规划!E143,2))</f>
        <v>15</v>
      </c>
      <c r="AJ143" s="2" t="str">
        <f>IF(G143="","",ROUND(G143*玩法行为规划!F143,2))</f>
        <v/>
      </c>
      <c r="AK143" s="2" t="str">
        <f>IF(H143="","",ROUND(H143*玩法行为规划!G143,2))</f>
        <v/>
      </c>
      <c r="AL143" s="2" t="str">
        <f>IF(I143="","",ROUND(I143*玩法行为规划!H143,2))</f>
        <v/>
      </c>
      <c r="AM143" s="2" t="str">
        <f>IF(J143="","",ROUND(J143*玩法行为规划!I143,2))</f>
        <v/>
      </c>
      <c r="AN143" s="2">
        <f>IF(K143="","",ROUND(K143*玩法行为规划!J143,2))</f>
        <v>10</v>
      </c>
      <c r="AO143" s="2">
        <f>IF(L143="","",ROUND(L143*玩法行为规划!K143,2))</f>
        <v>3.33</v>
      </c>
      <c r="AP143" s="2">
        <f>IF(M143="","",ROUND(M143*玩法行为规划!L143,2))</f>
        <v>20</v>
      </c>
      <c r="AQ143" s="2">
        <f>IF(N143="","",ROUND(N143*玩法行为规划!M143,2))</f>
        <v>12</v>
      </c>
      <c r="AR143" s="2">
        <f>IF(O143="","",ROUND(O143*玩法行为规划!N143,2))</f>
        <v>12.5</v>
      </c>
      <c r="AS143" s="2">
        <f>IF(P143="","",ROUND(P143*玩法行为规划!O143,2))</f>
        <v>0.83</v>
      </c>
      <c r="AT143" s="2">
        <f>IF(Q143="","",ROUND(Q143*玩法行为规划!P143,2))</f>
        <v>52</v>
      </c>
      <c r="AU143" s="2">
        <f>IF(R143="","",ROUND(R143*玩法行为规划!Q143,2))</f>
        <v>6</v>
      </c>
      <c r="AV143" s="2">
        <f>IF(S143="","",ROUND(S143*玩法行为规划!R143,2))</f>
        <v>6.67</v>
      </c>
      <c r="AW143" s="2">
        <f>IF(T143="","",ROUND(T143*玩法行为规划!S143,2))</f>
        <v>0</v>
      </c>
      <c r="AX143" s="2">
        <f>IF(U143="","",ROUND(U143*玩法行为规划!T143,2))</f>
        <v>5</v>
      </c>
      <c r="AY143" s="2">
        <f>IF(V143="","",ROUND(V143*玩法行为规划!U143,2))</f>
        <v>6.67</v>
      </c>
      <c r="AZ143" s="2">
        <f>IF(W143="","",ROUND(W143*玩法行为规划!V143,2))</f>
        <v>2.5</v>
      </c>
      <c r="BA143" s="2">
        <f>IF(X143="","",ROUND(X143*玩法行为规划!W143,2))</f>
        <v>5</v>
      </c>
      <c r="BB143" s="2">
        <f>IF(Y143="","",ROUND(Y143*玩法行为规划!X143,2))</f>
        <v>6.25</v>
      </c>
      <c r="BC143" s="2">
        <f>IF(Z143="","",ROUND(Z143*玩法行为规划!Y143,2))</f>
        <v>8.75</v>
      </c>
      <c r="BD143" s="2">
        <f>IF(AA143="","",ROUND(AA143*玩法行为规划!Z143,2))</f>
        <v>2.5</v>
      </c>
      <c r="BE143" s="2" t="str">
        <f>IF(AB143="","",ROUND(AB143*玩法行为规划!AA143,2))</f>
        <v/>
      </c>
      <c r="BF143" s="2" t="str">
        <f>IF(AC143="","",ROUND(AC143*玩法行为规划!AB143,2))</f>
        <v/>
      </c>
      <c r="BG143" s="2" t="str">
        <f>IF(AD143="","",ROUND(AD143*玩法行为规划!AC143,2))</f>
        <v/>
      </c>
      <c r="BH143" s="3" t="str">
        <f>IF(AE143="","",ROUND(AE143*玩法行为规划!AD143,2))</f>
        <v/>
      </c>
      <c r="BI143" s="7">
        <f t="shared" si="21"/>
        <v>200.76999999999998</v>
      </c>
      <c r="BJ143" s="7">
        <f t="shared" si="22"/>
        <v>11323427.999999998</v>
      </c>
      <c r="BK143" s="69">
        <f t="shared" si="25"/>
        <v>7224800</v>
      </c>
      <c r="BL143" s="21" t="str">
        <f t="shared" si="26"/>
        <v/>
      </c>
      <c r="BM143" s="7">
        <f t="shared" si="23"/>
        <v>2.2043599137955169E-2</v>
      </c>
      <c r="BN143" s="69">
        <f>INT(BJ143*升级节奏!G143+BK143)</f>
        <v>327750471</v>
      </c>
      <c r="BO143" s="7">
        <f t="shared" si="24"/>
        <v>627</v>
      </c>
      <c r="BP143" s="7"/>
    </row>
    <row r="144" spans="1:68">
      <c r="A144" s="29">
        <v>142</v>
      </c>
      <c r="B144" s="84">
        <f>升级节奏!C144</f>
        <v>56800</v>
      </c>
      <c r="C144" s="53">
        <f>IF(VLOOKUP(C$2,行为概览!$D$3:$J$33,7,0)="","",VLOOKUP(C$2,行为概览!$D$3:$J$33,7,0))</f>
        <v>50</v>
      </c>
      <c r="D144" s="53">
        <f>IF(VLOOKUP(D$2,行为概览!$D$3:$J$33,7,0)="","",VLOOKUP(D$2,行为概览!$D$3:$J$33,7,0))</f>
        <v>3.3</v>
      </c>
      <c r="E144" s="53">
        <f>IF(VLOOKUP(E$2,行为概览!$D$3:$J$33,7,0)="","",VLOOKUP(E$2,行为概览!$D$3:$J$33,7,0))</f>
        <v>30</v>
      </c>
      <c r="F144" s="53">
        <f>IF(VLOOKUP(F$2,行为概览!$D$3:$J$33,7,0)="","",VLOOKUP(F$2,行为概览!$D$3:$J$33,7,0))</f>
        <v>15</v>
      </c>
      <c r="G144" s="53" t="str">
        <f>IF(VLOOKUP(G$2,行为概览!$D$3:$J$33,7,0)="","",VLOOKUP(G$2,行为概览!$D$3:$J$33,7,0))</f>
        <v/>
      </c>
      <c r="H144" s="53" t="str">
        <f>IF(VLOOKUP(H$2,行为概览!$D$3:$J$33,7,0)="","",VLOOKUP(H$2,行为概览!$D$3:$J$33,7,0))</f>
        <v/>
      </c>
      <c r="I144" s="53" t="str">
        <f>IF(VLOOKUP(I$2,行为概览!$D$3:$J$33,7,0)="","",VLOOKUP(I$2,行为概览!$D$3:$J$33,7,0))</f>
        <v/>
      </c>
      <c r="J144" s="53" t="str">
        <f>IF(VLOOKUP(J$2,行为概览!$D$3:$J$33,7,0)="","",VLOOKUP(J$2,行为概览!$D$3:$J$33,7,0))</f>
        <v/>
      </c>
      <c r="K144" s="53">
        <f>IF(VLOOKUP(K$2,行为概览!$D$3:$J$33,7,0)="","",VLOOKUP(K$2,行为概览!$D$3:$J$33,7,0))</f>
        <v>20</v>
      </c>
      <c r="L144" s="53">
        <f>IF(VLOOKUP(L$2,行为概览!$D$3:$J$33,7,0)="","",VLOOKUP(L$2,行为概览!$D$3:$J$33,7,0))</f>
        <v>20</v>
      </c>
      <c r="M144" s="53">
        <f>IF(VLOOKUP(M$2,行为概览!$D$3:$J$33,7,0)="","",VLOOKUP(M$2,行为概览!$D$3:$J$33,7,0))</f>
        <v>40</v>
      </c>
      <c r="N144" s="53">
        <f>IF(VLOOKUP(N$2,行为概览!$D$3:$J$33,7,0)="","",VLOOKUP(N$2,行为概览!$D$3:$J$33,7,0))</f>
        <v>1</v>
      </c>
      <c r="O144" s="53">
        <f>IF(VLOOKUP(O$2,行为概览!$D$3:$J$33,7,0)="","",VLOOKUP(O$2,行为概览!$D$3:$J$33,7,0))</f>
        <v>150</v>
      </c>
      <c r="P144" s="53">
        <f>IF(VLOOKUP(P$2,行为概览!$D$3:$J$33,7,0)="","",VLOOKUP(P$2,行为概览!$D$3:$J$33,7,0))</f>
        <v>10</v>
      </c>
      <c r="Q144" s="53">
        <f>IF(VLOOKUP(Q$2,行为概览!$D$3:$J$33,7,0)="","",VLOOKUP(Q$2,行为概览!$D$3:$J$33,7,0))</f>
        <v>20</v>
      </c>
      <c r="R144" s="53">
        <f>IF(VLOOKUP(R$2,行为概览!$D$3:$J$33,7,0)="","",VLOOKUP(R$2,行为概览!$D$3:$J$33,7,0))</f>
        <v>6</v>
      </c>
      <c r="S144" s="53">
        <f>IF(VLOOKUP(S$2,行为概览!$D$3:$J$33,7,0)="","",VLOOKUP(S$2,行为概览!$D$3:$J$33,7,0))</f>
        <v>20</v>
      </c>
      <c r="T144" s="53">
        <f>IF(VLOOKUP(T$2,行为概览!$D$3:$J$33,7,0)="","",VLOOKUP(T$2,行为概览!$D$3:$J$33,7,0))</f>
        <v>15</v>
      </c>
      <c r="U144" s="53">
        <f>IF(VLOOKUP(U$2,行为概览!$D$3:$J$33,7,0)="","",VLOOKUP(U$2,行为概览!$D$3:$J$33,7,0))</f>
        <v>15</v>
      </c>
      <c r="V144" s="53">
        <f>IF(VLOOKUP(V$2,行为概览!$D$3:$J$33,7,0)="","",VLOOKUP(V$2,行为概览!$D$3:$J$33,7,0))</f>
        <v>40</v>
      </c>
      <c r="W144" s="53">
        <f>IF(VLOOKUP(W$2,行为概览!$D$3:$J$33,7,0)="","",VLOOKUP(W$2,行为概览!$D$3:$J$33,7,0))</f>
        <v>15</v>
      </c>
      <c r="X144" s="53">
        <f>IF(VLOOKUP(X$2,行为概览!$D$3:$J$33,7,0)="","",VLOOKUP(X$2,行为概览!$D$3:$J$33,7,0))</f>
        <v>30</v>
      </c>
      <c r="Y144" s="53">
        <f>IF(VLOOKUP(Y$2,行为概览!$D$3:$J$33,7,0)="","",VLOOKUP(Y$2,行为概览!$D$3:$J$33,7,0))</f>
        <v>25</v>
      </c>
      <c r="Z144" s="53">
        <f>IF(VLOOKUP(Z$2,行为概览!$D$3:$J$33,7,0)="","",VLOOKUP(Z$2,行为概览!$D$3:$J$33,7,0))</f>
        <v>15</v>
      </c>
      <c r="AA144" s="53">
        <f>IF(VLOOKUP(AA$2,行为概览!$D$3:$J$33,7,0)="","",VLOOKUP(AA$2,行为概览!$D$3:$J$33,7,0))</f>
        <v>15</v>
      </c>
      <c r="AB144" s="53" t="str">
        <f>IF(VLOOKUP(AB$2,行为概览!$D$3:$J$33,7,0)="","",VLOOKUP(AB$2,行为概览!$D$3:$J$33,7,0))</f>
        <v/>
      </c>
      <c r="AC144" s="53" t="str">
        <f>IF(VLOOKUP(AC$2,行为概览!$D$3:$J$33,7,0)="","",VLOOKUP(AC$2,行为概览!$D$3:$J$33,7,0))</f>
        <v/>
      </c>
      <c r="AD144" s="53" t="str">
        <f>IF(VLOOKUP(AD$2,行为概览!$D$3:$J$33,7,0)="","",VLOOKUP(AD$2,行为概览!$D$3:$J$33,7,0))</f>
        <v/>
      </c>
      <c r="AE144" s="68" t="str">
        <f>IF(VLOOKUP(AE$2,行为概览!$D$3:$J$33,7,0)="","",VLOOKUP(AE$2,行为概览!$D$3:$J$33,7,0))</f>
        <v/>
      </c>
      <c r="AF144" s="1">
        <f>IF(C144="","",ROUND(C144*玩法行为规划!B144,2))</f>
        <v>16.670000000000002</v>
      </c>
      <c r="AG144" s="2">
        <f>IF(D144="","",ROUND(D144*玩法行为规划!C144,2))</f>
        <v>6.6</v>
      </c>
      <c r="AH144" s="2">
        <f>IF(E144="","",ROUND(E144*玩法行为规划!D144,2))</f>
        <v>2.5</v>
      </c>
      <c r="AI144" s="2">
        <f>IF(F144="","",ROUND(F144*玩法行为规划!E144,2))</f>
        <v>15</v>
      </c>
      <c r="AJ144" s="2" t="str">
        <f>IF(G144="","",ROUND(G144*玩法行为规划!F144,2))</f>
        <v/>
      </c>
      <c r="AK144" s="2" t="str">
        <f>IF(H144="","",ROUND(H144*玩法行为规划!G144,2))</f>
        <v/>
      </c>
      <c r="AL144" s="2" t="str">
        <f>IF(I144="","",ROUND(I144*玩法行为规划!H144,2))</f>
        <v/>
      </c>
      <c r="AM144" s="2" t="str">
        <f>IF(J144="","",ROUND(J144*玩法行为规划!I144,2))</f>
        <v/>
      </c>
      <c r="AN144" s="2">
        <f>IF(K144="","",ROUND(K144*玩法行为规划!J144,2))</f>
        <v>10</v>
      </c>
      <c r="AO144" s="2">
        <f>IF(L144="","",ROUND(L144*玩法行为规划!K144,2))</f>
        <v>3.33</v>
      </c>
      <c r="AP144" s="2">
        <f>IF(M144="","",ROUND(M144*玩法行为规划!L144,2))</f>
        <v>20</v>
      </c>
      <c r="AQ144" s="2">
        <f>IF(N144="","",ROUND(N144*玩法行为规划!M144,2))</f>
        <v>12</v>
      </c>
      <c r="AR144" s="2">
        <f>IF(O144="","",ROUND(O144*玩法行为规划!N144,2))</f>
        <v>12.5</v>
      </c>
      <c r="AS144" s="2">
        <f>IF(P144="","",ROUND(P144*玩法行为规划!O144,2))</f>
        <v>0.83</v>
      </c>
      <c r="AT144" s="2">
        <f>IF(Q144="","",ROUND(Q144*玩法行为规划!P144,2))</f>
        <v>52</v>
      </c>
      <c r="AU144" s="2">
        <f>IF(R144="","",ROUND(R144*玩法行为规划!Q144,2))</f>
        <v>6</v>
      </c>
      <c r="AV144" s="2">
        <f>IF(S144="","",ROUND(S144*玩法行为规划!R144,2))</f>
        <v>6.67</v>
      </c>
      <c r="AW144" s="2">
        <f>IF(T144="","",ROUND(T144*玩法行为规划!S144,2))</f>
        <v>0</v>
      </c>
      <c r="AX144" s="2">
        <f>IF(U144="","",ROUND(U144*玩法行为规划!T144,2))</f>
        <v>5</v>
      </c>
      <c r="AY144" s="2">
        <f>IF(V144="","",ROUND(V144*玩法行为规划!U144,2))</f>
        <v>6.67</v>
      </c>
      <c r="AZ144" s="2">
        <f>IF(W144="","",ROUND(W144*玩法行为规划!V144,2))</f>
        <v>2.5</v>
      </c>
      <c r="BA144" s="2">
        <f>IF(X144="","",ROUND(X144*玩法行为规划!W144,2))</f>
        <v>5</v>
      </c>
      <c r="BB144" s="2">
        <f>IF(Y144="","",ROUND(Y144*玩法行为规划!X144,2))</f>
        <v>6.25</v>
      </c>
      <c r="BC144" s="2">
        <f>IF(Z144="","",ROUND(Z144*玩法行为规划!Y144,2))</f>
        <v>8.75</v>
      </c>
      <c r="BD144" s="2">
        <f>IF(AA144="","",ROUND(AA144*玩法行为规划!Z144,2))</f>
        <v>2.5</v>
      </c>
      <c r="BE144" s="2" t="str">
        <f>IF(AB144="","",ROUND(AB144*玩法行为规划!AA144,2))</f>
        <v/>
      </c>
      <c r="BF144" s="2" t="str">
        <f>IF(AC144="","",ROUND(AC144*玩法行为规划!AB144,2))</f>
        <v/>
      </c>
      <c r="BG144" s="2" t="str">
        <f>IF(AD144="","",ROUND(AD144*玩法行为规划!AC144,2))</f>
        <v/>
      </c>
      <c r="BH144" s="3" t="str">
        <f>IF(AE144="","",ROUND(AE144*玩法行为规划!AD144,2))</f>
        <v/>
      </c>
      <c r="BI144" s="7">
        <f t="shared" si="21"/>
        <v>200.76999999999998</v>
      </c>
      <c r="BJ144" s="7">
        <f t="shared" si="22"/>
        <v>11403735.999999998</v>
      </c>
      <c r="BK144" s="69">
        <f t="shared" si="25"/>
        <v>7338600</v>
      </c>
      <c r="BL144" s="21" t="str">
        <f t="shared" si="26"/>
        <v/>
      </c>
      <c r="BM144" s="7">
        <f t="shared" si="23"/>
        <v>2.192528475069945E-2</v>
      </c>
      <c r="BN144" s="69">
        <f>INT(BJ144*升级节奏!G144+BK144)</f>
        <v>334709450</v>
      </c>
      <c r="BO144" s="7">
        <f t="shared" si="24"/>
        <v>631</v>
      </c>
      <c r="BP144" s="7"/>
    </row>
    <row r="145" spans="1:68">
      <c r="A145" s="29">
        <v>143</v>
      </c>
      <c r="B145" s="84">
        <f>升级节奏!C145</f>
        <v>57200</v>
      </c>
      <c r="C145" s="53">
        <f>IF(VLOOKUP(C$2,行为概览!$D$3:$J$33,7,0)="","",VLOOKUP(C$2,行为概览!$D$3:$J$33,7,0))</f>
        <v>50</v>
      </c>
      <c r="D145" s="53">
        <f>IF(VLOOKUP(D$2,行为概览!$D$3:$J$33,7,0)="","",VLOOKUP(D$2,行为概览!$D$3:$J$33,7,0))</f>
        <v>3.3</v>
      </c>
      <c r="E145" s="53">
        <f>IF(VLOOKUP(E$2,行为概览!$D$3:$J$33,7,0)="","",VLOOKUP(E$2,行为概览!$D$3:$J$33,7,0))</f>
        <v>30</v>
      </c>
      <c r="F145" s="53">
        <f>IF(VLOOKUP(F$2,行为概览!$D$3:$J$33,7,0)="","",VLOOKUP(F$2,行为概览!$D$3:$J$33,7,0))</f>
        <v>15</v>
      </c>
      <c r="G145" s="53" t="str">
        <f>IF(VLOOKUP(G$2,行为概览!$D$3:$J$33,7,0)="","",VLOOKUP(G$2,行为概览!$D$3:$J$33,7,0))</f>
        <v/>
      </c>
      <c r="H145" s="53" t="str">
        <f>IF(VLOOKUP(H$2,行为概览!$D$3:$J$33,7,0)="","",VLOOKUP(H$2,行为概览!$D$3:$J$33,7,0))</f>
        <v/>
      </c>
      <c r="I145" s="53" t="str">
        <f>IF(VLOOKUP(I$2,行为概览!$D$3:$J$33,7,0)="","",VLOOKUP(I$2,行为概览!$D$3:$J$33,7,0))</f>
        <v/>
      </c>
      <c r="J145" s="53" t="str">
        <f>IF(VLOOKUP(J$2,行为概览!$D$3:$J$33,7,0)="","",VLOOKUP(J$2,行为概览!$D$3:$J$33,7,0))</f>
        <v/>
      </c>
      <c r="K145" s="53">
        <f>IF(VLOOKUP(K$2,行为概览!$D$3:$J$33,7,0)="","",VLOOKUP(K$2,行为概览!$D$3:$J$33,7,0))</f>
        <v>20</v>
      </c>
      <c r="L145" s="53">
        <f>IF(VLOOKUP(L$2,行为概览!$D$3:$J$33,7,0)="","",VLOOKUP(L$2,行为概览!$D$3:$J$33,7,0))</f>
        <v>20</v>
      </c>
      <c r="M145" s="53">
        <f>IF(VLOOKUP(M$2,行为概览!$D$3:$J$33,7,0)="","",VLOOKUP(M$2,行为概览!$D$3:$J$33,7,0))</f>
        <v>40</v>
      </c>
      <c r="N145" s="53">
        <f>IF(VLOOKUP(N$2,行为概览!$D$3:$J$33,7,0)="","",VLOOKUP(N$2,行为概览!$D$3:$J$33,7,0))</f>
        <v>1</v>
      </c>
      <c r="O145" s="53">
        <f>IF(VLOOKUP(O$2,行为概览!$D$3:$J$33,7,0)="","",VLOOKUP(O$2,行为概览!$D$3:$J$33,7,0))</f>
        <v>150</v>
      </c>
      <c r="P145" s="53">
        <f>IF(VLOOKUP(P$2,行为概览!$D$3:$J$33,7,0)="","",VLOOKUP(P$2,行为概览!$D$3:$J$33,7,0))</f>
        <v>10</v>
      </c>
      <c r="Q145" s="53">
        <f>IF(VLOOKUP(Q$2,行为概览!$D$3:$J$33,7,0)="","",VLOOKUP(Q$2,行为概览!$D$3:$J$33,7,0))</f>
        <v>20</v>
      </c>
      <c r="R145" s="53">
        <f>IF(VLOOKUP(R$2,行为概览!$D$3:$J$33,7,0)="","",VLOOKUP(R$2,行为概览!$D$3:$J$33,7,0))</f>
        <v>6</v>
      </c>
      <c r="S145" s="53">
        <f>IF(VLOOKUP(S$2,行为概览!$D$3:$J$33,7,0)="","",VLOOKUP(S$2,行为概览!$D$3:$J$33,7,0))</f>
        <v>20</v>
      </c>
      <c r="T145" s="53">
        <f>IF(VLOOKUP(T$2,行为概览!$D$3:$J$33,7,0)="","",VLOOKUP(T$2,行为概览!$D$3:$J$33,7,0))</f>
        <v>15</v>
      </c>
      <c r="U145" s="53">
        <f>IF(VLOOKUP(U$2,行为概览!$D$3:$J$33,7,0)="","",VLOOKUP(U$2,行为概览!$D$3:$J$33,7,0))</f>
        <v>15</v>
      </c>
      <c r="V145" s="53">
        <f>IF(VLOOKUP(V$2,行为概览!$D$3:$J$33,7,0)="","",VLOOKUP(V$2,行为概览!$D$3:$J$33,7,0))</f>
        <v>40</v>
      </c>
      <c r="W145" s="53">
        <f>IF(VLOOKUP(W$2,行为概览!$D$3:$J$33,7,0)="","",VLOOKUP(W$2,行为概览!$D$3:$J$33,7,0))</f>
        <v>15</v>
      </c>
      <c r="X145" s="53">
        <f>IF(VLOOKUP(X$2,行为概览!$D$3:$J$33,7,0)="","",VLOOKUP(X$2,行为概览!$D$3:$J$33,7,0))</f>
        <v>30</v>
      </c>
      <c r="Y145" s="53">
        <f>IF(VLOOKUP(Y$2,行为概览!$D$3:$J$33,7,0)="","",VLOOKUP(Y$2,行为概览!$D$3:$J$33,7,0))</f>
        <v>25</v>
      </c>
      <c r="Z145" s="53">
        <f>IF(VLOOKUP(Z$2,行为概览!$D$3:$J$33,7,0)="","",VLOOKUP(Z$2,行为概览!$D$3:$J$33,7,0))</f>
        <v>15</v>
      </c>
      <c r="AA145" s="53">
        <f>IF(VLOOKUP(AA$2,行为概览!$D$3:$J$33,7,0)="","",VLOOKUP(AA$2,行为概览!$D$3:$J$33,7,0))</f>
        <v>15</v>
      </c>
      <c r="AB145" s="53" t="str">
        <f>IF(VLOOKUP(AB$2,行为概览!$D$3:$J$33,7,0)="","",VLOOKUP(AB$2,行为概览!$D$3:$J$33,7,0))</f>
        <v/>
      </c>
      <c r="AC145" s="53" t="str">
        <f>IF(VLOOKUP(AC$2,行为概览!$D$3:$J$33,7,0)="","",VLOOKUP(AC$2,行为概览!$D$3:$J$33,7,0))</f>
        <v/>
      </c>
      <c r="AD145" s="53" t="str">
        <f>IF(VLOOKUP(AD$2,行为概览!$D$3:$J$33,7,0)="","",VLOOKUP(AD$2,行为概览!$D$3:$J$33,7,0))</f>
        <v/>
      </c>
      <c r="AE145" s="68" t="str">
        <f>IF(VLOOKUP(AE$2,行为概览!$D$3:$J$33,7,0)="","",VLOOKUP(AE$2,行为概览!$D$3:$J$33,7,0))</f>
        <v/>
      </c>
      <c r="AF145" s="1">
        <f>IF(C145="","",ROUND(C145*玩法行为规划!B145,2))</f>
        <v>16.670000000000002</v>
      </c>
      <c r="AG145" s="2">
        <f>IF(D145="","",ROUND(D145*玩法行为规划!C145,2))</f>
        <v>6.6</v>
      </c>
      <c r="AH145" s="2">
        <f>IF(E145="","",ROUND(E145*玩法行为规划!D145,2))</f>
        <v>2.5</v>
      </c>
      <c r="AI145" s="2">
        <f>IF(F145="","",ROUND(F145*玩法行为规划!E145,2))</f>
        <v>15</v>
      </c>
      <c r="AJ145" s="2" t="str">
        <f>IF(G145="","",ROUND(G145*玩法行为规划!F145,2))</f>
        <v/>
      </c>
      <c r="AK145" s="2" t="str">
        <f>IF(H145="","",ROUND(H145*玩法行为规划!G145,2))</f>
        <v/>
      </c>
      <c r="AL145" s="2" t="str">
        <f>IF(I145="","",ROUND(I145*玩法行为规划!H145,2))</f>
        <v/>
      </c>
      <c r="AM145" s="2" t="str">
        <f>IF(J145="","",ROUND(J145*玩法行为规划!I145,2))</f>
        <v/>
      </c>
      <c r="AN145" s="2">
        <f>IF(K145="","",ROUND(K145*玩法行为规划!J145,2))</f>
        <v>10</v>
      </c>
      <c r="AO145" s="2">
        <f>IF(L145="","",ROUND(L145*玩法行为规划!K145,2))</f>
        <v>3.33</v>
      </c>
      <c r="AP145" s="2">
        <f>IF(M145="","",ROUND(M145*玩法行为规划!L145,2))</f>
        <v>20</v>
      </c>
      <c r="AQ145" s="2">
        <f>IF(N145="","",ROUND(N145*玩法行为规划!M145,2))</f>
        <v>12</v>
      </c>
      <c r="AR145" s="2">
        <f>IF(O145="","",ROUND(O145*玩法行为规划!N145,2))</f>
        <v>12.5</v>
      </c>
      <c r="AS145" s="2">
        <f>IF(P145="","",ROUND(P145*玩法行为规划!O145,2))</f>
        <v>0.83</v>
      </c>
      <c r="AT145" s="2">
        <f>IF(Q145="","",ROUND(Q145*玩法行为规划!P145,2))</f>
        <v>52</v>
      </c>
      <c r="AU145" s="2">
        <f>IF(R145="","",ROUND(R145*玩法行为规划!Q145,2))</f>
        <v>6</v>
      </c>
      <c r="AV145" s="2">
        <f>IF(S145="","",ROUND(S145*玩法行为规划!R145,2))</f>
        <v>6.67</v>
      </c>
      <c r="AW145" s="2">
        <f>IF(T145="","",ROUND(T145*玩法行为规划!S145,2))</f>
        <v>0</v>
      </c>
      <c r="AX145" s="2">
        <f>IF(U145="","",ROUND(U145*玩法行为规划!T145,2))</f>
        <v>5</v>
      </c>
      <c r="AY145" s="2">
        <f>IF(V145="","",ROUND(V145*玩法行为规划!U145,2))</f>
        <v>6.67</v>
      </c>
      <c r="AZ145" s="2">
        <f>IF(W145="","",ROUND(W145*玩法行为规划!V145,2))</f>
        <v>2.5</v>
      </c>
      <c r="BA145" s="2">
        <f>IF(X145="","",ROUND(X145*玩法行为规划!W145,2))</f>
        <v>5</v>
      </c>
      <c r="BB145" s="2">
        <f>IF(Y145="","",ROUND(Y145*玩法行为规划!X145,2))</f>
        <v>6.25</v>
      </c>
      <c r="BC145" s="2">
        <f>IF(Z145="","",ROUND(Z145*玩法行为规划!Y145,2))</f>
        <v>8.75</v>
      </c>
      <c r="BD145" s="2">
        <f>IF(AA145="","",ROUND(AA145*玩法行为规划!Z145,2))</f>
        <v>2.5</v>
      </c>
      <c r="BE145" s="2" t="str">
        <f>IF(AB145="","",ROUND(AB145*玩法行为规划!AA145,2))</f>
        <v/>
      </c>
      <c r="BF145" s="2" t="str">
        <f>IF(AC145="","",ROUND(AC145*玩法行为规划!AB145,2))</f>
        <v/>
      </c>
      <c r="BG145" s="2" t="str">
        <f>IF(AD145="","",ROUND(AD145*玩法行为规划!AC145,2))</f>
        <v/>
      </c>
      <c r="BH145" s="3" t="str">
        <f>IF(AE145="","",ROUND(AE145*玩法行为规划!AD145,2))</f>
        <v/>
      </c>
      <c r="BI145" s="7">
        <f t="shared" si="21"/>
        <v>200.76999999999998</v>
      </c>
      <c r="BJ145" s="7">
        <f t="shared" si="22"/>
        <v>11484043.999999998</v>
      </c>
      <c r="BK145" s="69">
        <f t="shared" si="25"/>
        <v>7453200</v>
      </c>
      <c r="BL145" s="21" t="str">
        <f t="shared" si="26"/>
        <v/>
      </c>
      <c r="BM145" s="7">
        <f t="shared" si="23"/>
        <v>2.1807893380058771E-2</v>
      </c>
      <c r="BN145" s="69">
        <f>INT(BJ145*升级节奏!G145+BK145)</f>
        <v>341766161</v>
      </c>
      <c r="BO145" s="7">
        <f t="shared" si="24"/>
        <v>636</v>
      </c>
      <c r="BP145" s="7"/>
    </row>
    <row r="146" spans="1:68">
      <c r="A146" s="29">
        <v>144</v>
      </c>
      <c r="B146" s="84">
        <f>升级节奏!C146</f>
        <v>57600</v>
      </c>
      <c r="C146" s="53">
        <f>IF(VLOOKUP(C$2,行为概览!$D$3:$J$33,7,0)="","",VLOOKUP(C$2,行为概览!$D$3:$J$33,7,0))</f>
        <v>50</v>
      </c>
      <c r="D146" s="53">
        <f>IF(VLOOKUP(D$2,行为概览!$D$3:$J$33,7,0)="","",VLOOKUP(D$2,行为概览!$D$3:$J$33,7,0))</f>
        <v>3.3</v>
      </c>
      <c r="E146" s="53">
        <f>IF(VLOOKUP(E$2,行为概览!$D$3:$J$33,7,0)="","",VLOOKUP(E$2,行为概览!$D$3:$J$33,7,0))</f>
        <v>30</v>
      </c>
      <c r="F146" s="53">
        <f>IF(VLOOKUP(F$2,行为概览!$D$3:$J$33,7,0)="","",VLOOKUP(F$2,行为概览!$D$3:$J$33,7,0))</f>
        <v>15</v>
      </c>
      <c r="G146" s="53" t="str">
        <f>IF(VLOOKUP(G$2,行为概览!$D$3:$J$33,7,0)="","",VLOOKUP(G$2,行为概览!$D$3:$J$33,7,0))</f>
        <v/>
      </c>
      <c r="H146" s="53" t="str">
        <f>IF(VLOOKUP(H$2,行为概览!$D$3:$J$33,7,0)="","",VLOOKUP(H$2,行为概览!$D$3:$J$33,7,0))</f>
        <v/>
      </c>
      <c r="I146" s="53" t="str">
        <f>IF(VLOOKUP(I$2,行为概览!$D$3:$J$33,7,0)="","",VLOOKUP(I$2,行为概览!$D$3:$J$33,7,0))</f>
        <v/>
      </c>
      <c r="J146" s="53" t="str">
        <f>IF(VLOOKUP(J$2,行为概览!$D$3:$J$33,7,0)="","",VLOOKUP(J$2,行为概览!$D$3:$J$33,7,0))</f>
        <v/>
      </c>
      <c r="K146" s="53">
        <f>IF(VLOOKUP(K$2,行为概览!$D$3:$J$33,7,0)="","",VLOOKUP(K$2,行为概览!$D$3:$J$33,7,0))</f>
        <v>20</v>
      </c>
      <c r="L146" s="53">
        <f>IF(VLOOKUP(L$2,行为概览!$D$3:$J$33,7,0)="","",VLOOKUP(L$2,行为概览!$D$3:$J$33,7,0))</f>
        <v>20</v>
      </c>
      <c r="M146" s="53">
        <f>IF(VLOOKUP(M$2,行为概览!$D$3:$J$33,7,0)="","",VLOOKUP(M$2,行为概览!$D$3:$J$33,7,0))</f>
        <v>40</v>
      </c>
      <c r="N146" s="53">
        <f>IF(VLOOKUP(N$2,行为概览!$D$3:$J$33,7,0)="","",VLOOKUP(N$2,行为概览!$D$3:$J$33,7,0))</f>
        <v>1</v>
      </c>
      <c r="O146" s="53">
        <f>IF(VLOOKUP(O$2,行为概览!$D$3:$J$33,7,0)="","",VLOOKUP(O$2,行为概览!$D$3:$J$33,7,0))</f>
        <v>150</v>
      </c>
      <c r="P146" s="53">
        <f>IF(VLOOKUP(P$2,行为概览!$D$3:$J$33,7,0)="","",VLOOKUP(P$2,行为概览!$D$3:$J$33,7,0))</f>
        <v>10</v>
      </c>
      <c r="Q146" s="53">
        <f>IF(VLOOKUP(Q$2,行为概览!$D$3:$J$33,7,0)="","",VLOOKUP(Q$2,行为概览!$D$3:$J$33,7,0))</f>
        <v>20</v>
      </c>
      <c r="R146" s="53">
        <f>IF(VLOOKUP(R$2,行为概览!$D$3:$J$33,7,0)="","",VLOOKUP(R$2,行为概览!$D$3:$J$33,7,0))</f>
        <v>6</v>
      </c>
      <c r="S146" s="53">
        <f>IF(VLOOKUP(S$2,行为概览!$D$3:$J$33,7,0)="","",VLOOKUP(S$2,行为概览!$D$3:$J$33,7,0))</f>
        <v>20</v>
      </c>
      <c r="T146" s="53">
        <f>IF(VLOOKUP(T$2,行为概览!$D$3:$J$33,7,0)="","",VLOOKUP(T$2,行为概览!$D$3:$J$33,7,0))</f>
        <v>15</v>
      </c>
      <c r="U146" s="53">
        <f>IF(VLOOKUP(U$2,行为概览!$D$3:$J$33,7,0)="","",VLOOKUP(U$2,行为概览!$D$3:$J$33,7,0))</f>
        <v>15</v>
      </c>
      <c r="V146" s="53">
        <f>IF(VLOOKUP(V$2,行为概览!$D$3:$J$33,7,0)="","",VLOOKUP(V$2,行为概览!$D$3:$J$33,7,0))</f>
        <v>40</v>
      </c>
      <c r="W146" s="53">
        <f>IF(VLOOKUP(W$2,行为概览!$D$3:$J$33,7,0)="","",VLOOKUP(W$2,行为概览!$D$3:$J$33,7,0))</f>
        <v>15</v>
      </c>
      <c r="X146" s="53">
        <f>IF(VLOOKUP(X$2,行为概览!$D$3:$J$33,7,0)="","",VLOOKUP(X$2,行为概览!$D$3:$J$33,7,0))</f>
        <v>30</v>
      </c>
      <c r="Y146" s="53">
        <f>IF(VLOOKUP(Y$2,行为概览!$D$3:$J$33,7,0)="","",VLOOKUP(Y$2,行为概览!$D$3:$J$33,7,0))</f>
        <v>25</v>
      </c>
      <c r="Z146" s="53">
        <f>IF(VLOOKUP(Z$2,行为概览!$D$3:$J$33,7,0)="","",VLOOKUP(Z$2,行为概览!$D$3:$J$33,7,0))</f>
        <v>15</v>
      </c>
      <c r="AA146" s="53">
        <f>IF(VLOOKUP(AA$2,行为概览!$D$3:$J$33,7,0)="","",VLOOKUP(AA$2,行为概览!$D$3:$J$33,7,0))</f>
        <v>15</v>
      </c>
      <c r="AB146" s="53" t="str">
        <f>IF(VLOOKUP(AB$2,行为概览!$D$3:$J$33,7,0)="","",VLOOKUP(AB$2,行为概览!$D$3:$J$33,7,0))</f>
        <v/>
      </c>
      <c r="AC146" s="53" t="str">
        <f>IF(VLOOKUP(AC$2,行为概览!$D$3:$J$33,7,0)="","",VLOOKUP(AC$2,行为概览!$D$3:$J$33,7,0))</f>
        <v/>
      </c>
      <c r="AD146" s="53" t="str">
        <f>IF(VLOOKUP(AD$2,行为概览!$D$3:$J$33,7,0)="","",VLOOKUP(AD$2,行为概览!$D$3:$J$33,7,0))</f>
        <v/>
      </c>
      <c r="AE146" s="68" t="str">
        <f>IF(VLOOKUP(AE$2,行为概览!$D$3:$J$33,7,0)="","",VLOOKUP(AE$2,行为概览!$D$3:$J$33,7,0))</f>
        <v/>
      </c>
      <c r="AF146" s="1">
        <f>IF(C146="","",ROUND(C146*玩法行为规划!B146,2))</f>
        <v>16.670000000000002</v>
      </c>
      <c r="AG146" s="2">
        <f>IF(D146="","",ROUND(D146*玩法行为规划!C146,2))</f>
        <v>6.6</v>
      </c>
      <c r="AH146" s="2">
        <f>IF(E146="","",ROUND(E146*玩法行为规划!D146,2))</f>
        <v>2.5</v>
      </c>
      <c r="AI146" s="2">
        <f>IF(F146="","",ROUND(F146*玩法行为规划!E146,2))</f>
        <v>15</v>
      </c>
      <c r="AJ146" s="2" t="str">
        <f>IF(G146="","",ROUND(G146*玩法行为规划!F146,2))</f>
        <v/>
      </c>
      <c r="AK146" s="2" t="str">
        <f>IF(H146="","",ROUND(H146*玩法行为规划!G146,2))</f>
        <v/>
      </c>
      <c r="AL146" s="2" t="str">
        <f>IF(I146="","",ROUND(I146*玩法行为规划!H146,2))</f>
        <v/>
      </c>
      <c r="AM146" s="2" t="str">
        <f>IF(J146="","",ROUND(J146*玩法行为规划!I146,2))</f>
        <v/>
      </c>
      <c r="AN146" s="2">
        <f>IF(K146="","",ROUND(K146*玩法行为规划!J146,2))</f>
        <v>10</v>
      </c>
      <c r="AO146" s="2">
        <f>IF(L146="","",ROUND(L146*玩法行为规划!K146,2))</f>
        <v>3.33</v>
      </c>
      <c r="AP146" s="2">
        <f>IF(M146="","",ROUND(M146*玩法行为规划!L146,2))</f>
        <v>20</v>
      </c>
      <c r="AQ146" s="2">
        <f>IF(N146="","",ROUND(N146*玩法行为规划!M146,2))</f>
        <v>12</v>
      </c>
      <c r="AR146" s="2">
        <f>IF(O146="","",ROUND(O146*玩法行为规划!N146,2))</f>
        <v>12.5</v>
      </c>
      <c r="AS146" s="2">
        <f>IF(P146="","",ROUND(P146*玩法行为规划!O146,2))</f>
        <v>0.83</v>
      </c>
      <c r="AT146" s="2">
        <f>IF(Q146="","",ROUND(Q146*玩法行为规划!P146,2))</f>
        <v>52</v>
      </c>
      <c r="AU146" s="2">
        <f>IF(R146="","",ROUND(R146*玩法行为规划!Q146,2))</f>
        <v>6</v>
      </c>
      <c r="AV146" s="2">
        <f>IF(S146="","",ROUND(S146*玩法行为规划!R146,2))</f>
        <v>6.67</v>
      </c>
      <c r="AW146" s="2">
        <f>IF(T146="","",ROUND(T146*玩法行为规划!S146,2))</f>
        <v>0</v>
      </c>
      <c r="AX146" s="2">
        <f>IF(U146="","",ROUND(U146*玩法行为规划!T146,2))</f>
        <v>5</v>
      </c>
      <c r="AY146" s="2">
        <f>IF(V146="","",ROUND(V146*玩法行为规划!U146,2))</f>
        <v>6.67</v>
      </c>
      <c r="AZ146" s="2">
        <f>IF(W146="","",ROUND(W146*玩法行为规划!V146,2))</f>
        <v>2.5</v>
      </c>
      <c r="BA146" s="2">
        <f>IF(X146="","",ROUND(X146*玩法行为规划!W146,2))</f>
        <v>5</v>
      </c>
      <c r="BB146" s="2">
        <f>IF(Y146="","",ROUND(Y146*玩法行为规划!X146,2))</f>
        <v>6.25</v>
      </c>
      <c r="BC146" s="2">
        <f>IF(Z146="","",ROUND(Z146*玩法行为规划!Y146,2))</f>
        <v>8.75</v>
      </c>
      <c r="BD146" s="2">
        <f>IF(AA146="","",ROUND(AA146*玩法行为规划!Z146,2))</f>
        <v>2.5</v>
      </c>
      <c r="BE146" s="2" t="str">
        <f>IF(AB146="","",ROUND(AB146*玩法行为规划!AA146,2))</f>
        <v/>
      </c>
      <c r="BF146" s="2" t="str">
        <f>IF(AC146="","",ROUND(AC146*玩法行为规划!AB146,2))</f>
        <v/>
      </c>
      <c r="BG146" s="2" t="str">
        <f>IF(AD146="","",ROUND(AD146*玩法行为规划!AC146,2))</f>
        <v/>
      </c>
      <c r="BH146" s="3" t="str">
        <f>IF(AE146="","",ROUND(AE146*玩法行为规划!AD146,2))</f>
        <v/>
      </c>
      <c r="BI146" s="7">
        <f t="shared" si="21"/>
        <v>200.76999999999998</v>
      </c>
      <c r="BJ146" s="7">
        <f t="shared" si="22"/>
        <v>11564351.999999998</v>
      </c>
      <c r="BK146" s="69">
        <f t="shared" si="25"/>
        <v>7568600</v>
      </c>
      <c r="BL146" s="21" t="str">
        <f t="shared" si="26"/>
        <v/>
      </c>
      <c r="BM146" s="7">
        <f t="shared" si="23"/>
        <v>2.1691425206740108E-2</v>
      </c>
      <c r="BN146" s="69">
        <f>INT(BJ146*升级节奏!G146+BK146)</f>
        <v>348921287</v>
      </c>
      <c r="BO146" s="7">
        <f t="shared" si="24"/>
        <v>640</v>
      </c>
      <c r="BP146" s="7"/>
    </row>
    <row r="147" spans="1:68">
      <c r="A147" s="29">
        <v>145</v>
      </c>
      <c r="B147" s="84">
        <f>升级节奏!C147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IF(VLOOKUP(D$2,行为概览!$D$3:$J$33,7,0)="","",VLOOKUP(D$2,行为概览!$D$3:$J$33,7,0))</f>
        <v>3.3</v>
      </c>
      <c r="E147" s="53">
        <f>IF(VLOOKUP(E$2,行为概览!$D$3:$J$33,7,0)="","",VLOOKUP(E$2,行为概览!$D$3:$J$33,7,0))</f>
        <v>30</v>
      </c>
      <c r="F147" s="53">
        <f>IF(VLOOKUP(F$2,行为概览!$D$3:$J$33,7,0)="","",VLOOKUP(F$2,行为概览!$D$3:$J$33,7,0))</f>
        <v>15</v>
      </c>
      <c r="G147" s="53" t="str">
        <f>IF(VLOOKUP(G$2,行为概览!$D$3:$J$33,7,0)="","",VLOOKUP(G$2,行为概览!$D$3:$J$33,7,0))</f>
        <v/>
      </c>
      <c r="H147" s="53" t="str">
        <f>IF(VLOOKUP(H$2,行为概览!$D$3:$J$33,7,0)="","",VLOOKUP(H$2,行为概览!$D$3:$J$33,7,0))</f>
        <v/>
      </c>
      <c r="I147" s="53" t="str">
        <f>IF(VLOOKUP(I$2,行为概览!$D$3:$J$33,7,0)="","",VLOOKUP(I$2,行为概览!$D$3:$J$33,7,0))</f>
        <v/>
      </c>
      <c r="J147" s="53" t="str">
        <f>IF(VLOOKUP(J$2,行为概览!$D$3:$J$33,7,0)="","",VLOOKUP(J$2,行为概览!$D$3:$J$33,7,0))</f>
        <v/>
      </c>
      <c r="K147" s="53">
        <f>IF(VLOOKUP(K$2,行为概览!$D$3:$J$33,7,0)="","",VLOOKUP(K$2,行为概览!$D$3:$J$33,7,0))</f>
        <v>20</v>
      </c>
      <c r="L147" s="53">
        <f>IF(VLOOKUP(L$2,行为概览!$D$3:$J$33,7,0)="","",VLOOKUP(L$2,行为概览!$D$3:$J$33,7,0))</f>
        <v>20</v>
      </c>
      <c r="M147" s="53">
        <f>IF(VLOOKUP(M$2,行为概览!$D$3:$J$33,7,0)="","",VLOOKUP(M$2,行为概览!$D$3:$J$33,7,0))</f>
        <v>40</v>
      </c>
      <c r="N147" s="53">
        <f>IF(VLOOKUP(N$2,行为概览!$D$3:$J$33,7,0)="","",VLOOKUP(N$2,行为概览!$D$3:$J$33,7,0))</f>
        <v>1</v>
      </c>
      <c r="O147" s="53">
        <f>IF(VLOOKUP(O$2,行为概览!$D$3:$J$33,7,0)="","",VLOOKUP(O$2,行为概览!$D$3:$J$33,7,0))</f>
        <v>150</v>
      </c>
      <c r="P147" s="53">
        <f>IF(VLOOKUP(P$2,行为概览!$D$3:$J$33,7,0)="","",VLOOKUP(P$2,行为概览!$D$3:$J$33,7,0))</f>
        <v>10</v>
      </c>
      <c r="Q147" s="53">
        <f>IF(VLOOKUP(Q$2,行为概览!$D$3:$J$33,7,0)="","",VLOOKUP(Q$2,行为概览!$D$3:$J$33,7,0))</f>
        <v>20</v>
      </c>
      <c r="R147" s="53">
        <f>IF(VLOOKUP(R$2,行为概览!$D$3:$J$33,7,0)="","",VLOOKUP(R$2,行为概览!$D$3:$J$33,7,0))</f>
        <v>6</v>
      </c>
      <c r="S147" s="53">
        <f>IF(VLOOKUP(S$2,行为概览!$D$3:$J$33,7,0)="","",VLOOKUP(S$2,行为概览!$D$3:$J$33,7,0))</f>
        <v>20</v>
      </c>
      <c r="T147" s="53">
        <f>IF(VLOOKUP(T$2,行为概览!$D$3:$J$33,7,0)="","",VLOOKUP(T$2,行为概览!$D$3:$J$33,7,0))</f>
        <v>15</v>
      </c>
      <c r="U147" s="53">
        <f>IF(VLOOKUP(U$2,行为概览!$D$3:$J$33,7,0)="","",VLOOKUP(U$2,行为概览!$D$3:$J$33,7,0))</f>
        <v>15</v>
      </c>
      <c r="V147" s="53">
        <f>IF(VLOOKUP(V$2,行为概览!$D$3:$J$33,7,0)="","",VLOOKUP(V$2,行为概览!$D$3:$J$33,7,0))</f>
        <v>40</v>
      </c>
      <c r="W147" s="53">
        <f>IF(VLOOKUP(W$2,行为概览!$D$3:$J$33,7,0)="","",VLOOKUP(W$2,行为概览!$D$3:$J$33,7,0))</f>
        <v>15</v>
      </c>
      <c r="X147" s="53">
        <f>IF(VLOOKUP(X$2,行为概览!$D$3:$J$33,7,0)="","",VLOOKUP(X$2,行为概览!$D$3:$J$33,7,0))</f>
        <v>30</v>
      </c>
      <c r="Y147" s="53">
        <f>IF(VLOOKUP(Y$2,行为概览!$D$3:$J$33,7,0)="","",VLOOKUP(Y$2,行为概览!$D$3:$J$33,7,0))</f>
        <v>25</v>
      </c>
      <c r="Z147" s="53">
        <f>IF(VLOOKUP(Z$2,行为概览!$D$3:$J$33,7,0)="","",VLOOKUP(Z$2,行为概览!$D$3:$J$33,7,0))</f>
        <v>15</v>
      </c>
      <c r="AA147" s="53">
        <f>IF(VLOOKUP(AA$2,行为概览!$D$3:$J$33,7,0)="","",VLOOKUP(AA$2,行为概览!$D$3:$J$33,7,0))</f>
        <v>15</v>
      </c>
      <c r="AB147" s="53" t="str">
        <f>IF(VLOOKUP(AB$2,行为概览!$D$3:$J$33,7,0)="","",VLOOKUP(AB$2,行为概览!$D$3:$J$33,7,0))</f>
        <v/>
      </c>
      <c r="AC147" s="53" t="str">
        <f>IF(VLOOKUP(AC$2,行为概览!$D$3:$J$33,7,0)="","",VLOOKUP(AC$2,行为概览!$D$3:$J$33,7,0))</f>
        <v/>
      </c>
      <c r="AD147" s="53" t="str">
        <f>IF(VLOOKUP(AD$2,行为概览!$D$3:$J$33,7,0)="","",VLOOKUP(AD$2,行为概览!$D$3:$J$33,7,0))</f>
        <v/>
      </c>
      <c r="AE147" s="68" t="str">
        <f>IF(VLOOKUP(AE$2,行为概览!$D$3:$J$33,7,0)="","",VLOOKUP(AE$2,行为概览!$D$3:$J$33,7,0))</f>
        <v/>
      </c>
      <c r="AF147" s="1">
        <f>IF(C147="","",ROUND(C147*玩法行为规划!B147,2))</f>
        <v>16.670000000000002</v>
      </c>
      <c r="AG147" s="2">
        <f>IF(D147="","",ROUND(D147*玩法行为规划!C147,2))</f>
        <v>6.6</v>
      </c>
      <c r="AH147" s="2">
        <f>IF(E147="","",ROUND(E147*玩法行为规划!D147,2))</f>
        <v>2.5</v>
      </c>
      <c r="AI147" s="2">
        <f>IF(F147="","",ROUND(F147*玩法行为规划!E147,2))</f>
        <v>15</v>
      </c>
      <c r="AJ147" s="2" t="str">
        <f>IF(G147="","",ROUND(G147*玩法行为规划!F147,2))</f>
        <v/>
      </c>
      <c r="AK147" s="2" t="str">
        <f>IF(H147="","",ROUND(H147*玩法行为规划!G147,2))</f>
        <v/>
      </c>
      <c r="AL147" s="2" t="str">
        <f>IF(I147="","",ROUND(I147*玩法行为规划!H147,2))</f>
        <v/>
      </c>
      <c r="AM147" s="2" t="str">
        <f>IF(J147="","",ROUND(J147*玩法行为规划!I147,2))</f>
        <v/>
      </c>
      <c r="AN147" s="2">
        <f>IF(K147="","",ROUND(K147*玩法行为规划!J147,2))</f>
        <v>10</v>
      </c>
      <c r="AO147" s="2">
        <f>IF(L147="","",ROUND(L147*玩法行为规划!K147,2))</f>
        <v>3.33</v>
      </c>
      <c r="AP147" s="2">
        <f>IF(M147="","",ROUND(M147*玩法行为规划!L147,2))</f>
        <v>20</v>
      </c>
      <c r="AQ147" s="2">
        <f>IF(N147="","",ROUND(N147*玩法行为规划!M147,2))</f>
        <v>12</v>
      </c>
      <c r="AR147" s="2">
        <f>IF(O147="","",ROUND(O147*玩法行为规划!N147,2))</f>
        <v>12.5</v>
      </c>
      <c r="AS147" s="2">
        <f>IF(P147="","",ROUND(P147*玩法行为规划!O147,2))</f>
        <v>0.83</v>
      </c>
      <c r="AT147" s="2">
        <f>IF(Q147="","",ROUND(Q147*玩法行为规划!P147,2))</f>
        <v>52</v>
      </c>
      <c r="AU147" s="2">
        <f>IF(R147="","",ROUND(R147*玩法行为规划!Q147,2))</f>
        <v>6</v>
      </c>
      <c r="AV147" s="2">
        <f>IF(S147="","",ROUND(S147*玩法行为规划!R147,2))</f>
        <v>6.67</v>
      </c>
      <c r="AW147" s="2">
        <f>IF(T147="","",ROUND(T147*玩法行为规划!S147,2))</f>
        <v>0</v>
      </c>
      <c r="AX147" s="2">
        <f>IF(U147="","",ROUND(U147*玩法行为规划!T147,2))</f>
        <v>5</v>
      </c>
      <c r="AY147" s="2">
        <f>IF(V147="","",ROUND(V147*玩法行为规划!U147,2))</f>
        <v>6.67</v>
      </c>
      <c r="AZ147" s="2">
        <f>IF(W147="","",ROUND(W147*玩法行为规划!V147,2))</f>
        <v>2.5</v>
      </c>
      <c r="BA147" s="2">
        <f>IF(X147="","",ROUND(X147*玩法行为规划!W147,2))</f>
        <v>5</v>
      </c>
      <c r="BB147" s="2">
        <f>IF(Y147="","",ROUND(Y147*玩法行为规划!X147,2))</f>
        <v>6.25</v>
      </c>
      <c r="BC147" s="2">
        <f>IF(Z147="","",ROUND(Z147*玩法行为规划!Y147,2))</f>
        <v>8.75</v>
      </c>
      <c r="BD147" s="2">
        <f>IF(AA147="","",ROUND(AA147*玩法行为规划!Z147,2))</f>
        <v>2.5</v>
      </c>
      <c r="BE147" s="2" t="str">
        <f>IF(AB147="","",ROUND(AB147*玩法行为规划!AA147,2))</f>
        <v/>
      </c>
      <c r="BF147" s="2" t="str">
        <f>IF(AC147="","",ROUND(AC147*玩法行为规划!AB147,2))</f>
        <v/>
      </c>
      <c r="BG147" s="2" t="str">
        <f>IF(AD147="","",ROUND(AD147*玩法行为规划!AC147,2))</f>
        <v/>
      </c>
      <c r="BH147" s="3" t="str">
        <f>IF(AE147="","",ROUND(AE147*玩法行为规划!AD147,2))</f>
        <v/>
      </c>
      <c r="BI147" s="7">
        <f t="shared" si="21"/>
        <v>200.76999999999998</v>
      </c>
      <c r="BJ147" s="7">
        <f t="shared" si="22"/>
        <v>11644659.999999998</v>
      </c>
      <c r="BK147" s="69">
        <f t="shared" si="25"/>
        <v>7685000</v>
      </c>
      <c r="BL147" s="21" t="str">
        <f t="shared" si="26"/>
        <v/>
      </c>
      <c r="BM147" s="7">
        <f t="shared" si="23"/>
        <v>2.1576429229270014E-2</v>
      </c>
      <c r="BN147" s="69">
        <f>INT(BJ147*升级节奏!G147+BK147)</f>
        <v>356175710</v>
      </c>
      <c r="BO147" s="7">
        <f t="shared" si="24"/>
        <v>644</v>
      </c>
      <c r="BP147" s="7"/>
    </row>
    <row r="148" spans="1:68">
      <c r="A148" s="29">
        <v>146</v>
      </c>
      <c r="B148" s="84">
        <f>升级节奏!C148</f>
        <v>58400</v>
      </c>
      <c r="C148" s="53">
        <f>IF(VLOOKUP(C$2,行为概览!$D$3:$J$33,7,0)="","",VLOOKUP(C$2,行为概览!$D$3:$J$33,7,0))</f>
        <v>50</v>
      </c>
      <c r="D148" s="53">
        <f>IF(VLOOKUP(D$2,行为概览!$D$3:$J$33,7,0)="","",VLOOKUP(D$2,行为概览!$D$3:$J$33,7,0))</f>
        <v>3.3</v>
      </c>
      <c r="E148" s="53">
        <f>IF(VLOOKUP(E$2,行为概览!$D$3:$J$33,7,0)="","",VLOOKUP(E$2,行为概览!$D$3:$J$33,7,0))</f>
        <v>30</v>
      </c>
      <c r="F148" s="53">
        <f>IF(VLOOKUP(F$2,行为概览!$D$3:$J$33,7,0)="","",VLOOKUP(F$2,行为概览!$D$3:$J$33,7,0))</f>
        <v>15</v>
      </c>
      <c r="G148" s="53" t="str">
        <f>IF(VLOOKUP(G$2,行为概览!$D$3:$J$33,7,0)="","",VLOOKUP(G$2,行为概览!$D$3:$J$33,7,0))</f>
        <v/>
      </c>
      <c r="H148" s="53" t="str">
        <f>IF(VLOOKUP(H$2,行为概览!$D$3:$J$33,7,0)="","",VLOOKUP(H$2,行为概览!$D$3:$J$33,7,0))</f>
        <v/>
      </c>
      <c r="I148" s="53" t="str">
        <f>IF(VLOOKUP(I$2,行为概览!$D$3:$J$33,7,0)="","",VLOOKUP(I$2,行为概览!$D$3:$J$33,7,0))</f>
        <v/>
      </c>
      <c r="J148" s="53" t="str">
        <f>IF(VLOOKUP(J$2,行为概览!$D$3:$J$33,7,0)="","",VLOOKUP(J$2,行为概览!$D$3:$J$33,7,0))</f>
        <v/>
      </c>
      <c r="K148" s="53">
        <f>IF(VLOOKUP(K$2,行为概览!$D$3:$J$33,7,0)="","",VLOOKUP(K$2,行为概览!$D$3:$J$33,7,0))</f>
        <v>20</v>
      </c>
      <c r="L148" s="53">
        <f>IF(VLOOKUP(L$2,行为概览!$D$3:$J$33,7,0)="","",VLOOKUP(L$2,行为概览!$D$3:$J$33,7,0))</f>
        <v>20</v>
      </c>
      <c r="M148" s="53">
        <f>IF(VLOOKUP(M$2,行为概览!$D$3:$J$33,7,0)="","",VLOOKUP(M$2,行为概览!$D$3:$J$33,7,0))</f>
        <v>40</v>
      </c>
      <c r="N148" s="53">
        <f>IF(VLOOKUP(N$2,行为概览!$D$3:$J$33,7,0)="","",VLOOKUP(N$2,行为概览!$D$3:$J$33,7,0))</f>
        <v>1</v>
      </c>
      <c r="O148" s="53">
        <f>IF(VLOOKUP(O$2,行为概览!$D$3:$J$33,7,0)="","",VLOOKUP(O$2,行为概览!$D$3:$J$33,7,0))</f>
        <v>150</v>
      </c>
      <c r="P148" s="53">
        <f>IF(VLOOKUP(P$2,行为概览!$D$3:$J$33,7,0)="","",VLOOKUP(P$2,行为概览!$D$3:$J$33,7,0))</f>
        <v>10</v>
      </c>
      <c r="Q148" s="53">
        <f>IF(VLOOKUP(Q$2,行为概览!$D$3:$J$33,7,0)="","",VLOOKUP(Q$2,行为概览!$D$3:$J$33,7,0))</f>
        <v>20</v>
      </c>
      <c r="R148" s="53">
        <f>IF(VLOOKUP(R$2,行为概览!$D$3:$J$33,7,0)="","",VLOOKUP(R$2,行为概览!$D$3:$J$33,7,0))</f>
        <v>6</v>
      </c>
      <c r="S148" s="53">
        <f>IF(VLOOKUP(S$2,行为概览!$D$3:$J$33,7,0)="","",VLOOKUP(S$2,行为概览!$D$3:$J$33,7,0))</f>
        <v>20</v>
      </c>
      <c r="T148" s="53">
        <f>IF(VLOOKUP(T$2,行为概览!$D$3:$J$33,7,0)="","",VLOOKUP(T$2,行为概览!$D$3:$J$33,7,0))</f>
        <v>15</v>
      </c>
      <c r="U148" s="53">
        <f>IF(VLOOKUP(U$2,行为概览!$D$3:$J$33,7,0)="","",VLOOKUP(U$2,行为概览!$D$3:$J$33,7,0))</f>
        <v>15</v>
      </c>
      <c r="V148" s="53">
        <f>IF(VLOOKUP(V$2,行为概览!$D$3:$J$33,7,0)="","",VLOOKUP(V$2,行为概览!$D$3:$J$33,7,0))</f>
        <v>40</v>
      </c>
      <c r="W148" s="53">
        <f>IF(VLOOKUP(W$2,行为概览!$D$3:$J$33,7,0)="","",VLOOKUP(W$2,行为概览!$D$3:$J$33,7,0))</f>
        <v>15</v>
      </c>
      <c r="X148" s="53">
        <f>IF(VLOOKUP(X$2,行为概览!$D$3:$J$33,7,0)="","",VLOOKUP(X$2,行为概览!$D$3:$J$33,7,0))</f>
        <v>30</v>
      </c>
      <c r="Y148" s="53">
        <f>IF(VLOOKUP(Y$2,行为概览!$D$3:$J$33,7,0)="","",VLOOKUP(Y$2,行为概览!$D$3:$J$33,7,0))</f>
        <v>25</v>
      </c>
      <c r="Z148" s="53">
        <f>IF(VLOOKUP(Z$2,行为概览!$D$3:$J$33,7,0)="","",VLOOKUP(Z$2,行为概览!$D$3:$J$33,7,0))</f>
        <v>15</v>
      </c>
      <c r="AA148" s="53">
        <f>IF(VLOOKUP(AA$2,行为概览!$D$3:$J$33,7,0)="","",VLOOKUP(AA$2,行为概览!$D$3:$J$33,7,0))</f>
        <v>15</v>
      </c>
      <c r="AB148" s="53" t="str">
        <f>IF(VLOOKUP(AB$2,行为概览!$D$3:$J$33,7,0)="","",VLOOKUP(AB$2,行为概览!$D$3:$J$33,7,0))</f>
        <v/>
      </c>
      <c r="AC148" s="53" t="str">
        <f>IF(VLOOKUP(AC$2,行为概览!$D$3:$J$33,7,0)="","",VLOOKUP(AC$2,行为概览!$D$3:$J$33,7,0))</f>
        <v/>
      </c>
      <c r="AD148" s="53" t="str">
        <f>IF(VLOOKUP(AD$2,行为概览!$D$3:$J$33,7,0)="","",VLOOKUP(AD$2,行为概览!$D$3:$J$33,7,0))</f>
        <v/>
      </c>
      <c r="AE148" s="68" t="str">
        <f>IF(VLOOKUP(AE$2,行为概览!$D$3:$J$33,7,0)="","",VLOOKUP(AE$2,行为概览!$D$3:$J$33,7,0))</f>
        <v/>
      </c>
      <c r="AF148" s="1">
        <f>IF(C148="","",ROUND(C148*玩法行为规划!B148,2))</f>
        <v>16.670000000000002</v>
      </c>
      <c r="AG148" s="2">
        <f>IF(D148="","",ROUND(D148*玩法行为规划!C148,2))</f>
        <v>6.6</v>
      </c>
      <c r="AH148" s="2">
        <f>IF(E148="","",ROUND(E148*玩法行为规划!D148,2))</f>
        <v>2.5</v>
      </c>
      <c r="AI148" s="2">
        <f>IF(F148="","",ROUND(F148*玩法行为规划!E148,2))</f>
        <v>15</v>
      </c>
      <c r="AJ148" s="2" t="str">
        <f>IF(G148="","",ROUND(G148*玩法行为规划!F148,2))</f>
        <v/>
      </c>
      <c r="AK148" s="2" t="str">
        <f>IF(H148="","",ROUND(H148*玩法行为规划!G148,2))</f>
        <v/>
      </c>
      <c r="AL148" s="2" t="str">
        <f>IF(I148="","",ROUND(I148*玩法行为规划!H148,2))</f>
        <v/>
      </c>
      <c r="AM148" s="2" t="str">
        <f>IF(J148="","",ROUND(J148*玩法行为规划!I148,2))</f>
        <v/>
      </c>
      <c r="AN148" s="2">
        <f>IF(K148="","",ROUND(K148*玩法行为规划!J148,2))</f>
        <v>10</v>
      </c>
      <c r="AO148" s="2">
        <f>IF(L148="","",ROUND(L148*玩法行为规划!K148,2))</f>
        <v>3.33</v>
      </c>
      <c r="AP148" s="2">
        <f>IF(M148="","",ROUND(M148*玩法行为规划!L148,2))</f>
        <v>20</v>
      </c>
      <c r="AQ148" s="2">
        <f>IF(N148="","",ROUND(N148*玩法行为规划!M148,2))</f>
        <v>12</v>
      </c>
      <c r="AR148" s="2">
        <f>IF(O148="","",ROUND(O148*玩法行为规划!N148,2))</f>
        <v>12.5</v>
      </c>
      <c r="AS148" s="2">
        <f>IF(P148="","",ROUND(P148*玩法行为规划!O148,2))</f>
        <v>0.83</v>
      </c>
      <c r="AT148" s="2">
        <f>IF(Q148="","",ROUND(Q148*玩法行为规划!P148,2))</f>
        <v>52</v>
      </c>
      <c r="AU148" s="2">
        <f>IF(R148="","",ROUND(R148*玩法行为规划!Q148,2))</f>
        <v>6</v>
      </c>
      <c r="AV148" s="2">
        <f>IF(S148="","",ROUND(S148*玩法行为规划!R148,2))</f>
        <v>6.67</v>
      </c>
      <c r="AW148" s="2">
        <f>IF(T148="","",ROUND(T148*玩法行为规划!S148,2))</f>
        <v>0</v>
      </c>
      <c r="AX148" s="2">
        <f>IF(U148="","",ROUND(U148*玩法行为规划!T148,2))</f>
        <v>5</v>
      </c>
      <c r="AY148" s="2">
        <f>IF(V148="","",ROUND(V148*玩法行为规划!U148,2))</f>
        <v>6.67</v>
      </c>
      <c r="AZ148" s="2">
        <f>IF(W148="","",ROUND(W148*玩法行为规划!V148,2))</f>
        <v>2.5</v>
      </c>
      <c r="BA148" s="2">
        <f>IF(X148="","",ROUND(X148*玩法行为规划!W148,2))</f>
        <v>5</v>
      </c>
      <c r="BB148" s="2">
        <f>IF(Y148="","",ROUND(Y148*玩法行为规划!X148,2))</f>
        <v>6.25</v>
      </c>
      <c r="BC148" s="2">
        <f>IF(Z148="","",ROUND(Z148*玩法行为规划!Y148,2))</f>
        <v>8.75</v>
      </c>
      <c r="BD148" s="2">
        <f>IF(AA148="","",ROUND(AA148*玩法行为规划!Z148,2))</f>
        <v>2.5</v>
      </c>
      <c r="BE148" s="2" t="str">
        <f>IF(AB148="","",ROUND(AB148*玩法行为规划!AA148,2))</f>
        <v/>
      </c>
      <c r="BF148" s="2" t="str">
        <f>IF(AC148="","",ROUND(AC148*玩法行为规划!AB148,2))</f>
        <v/>
      </c>
      <c r="BG148" s="2" t="str">
        <f>IF(AD148="","",ROUND(AD148*玩法行为规划!AC148,2))</f>
        <v/>
      </c>
      <c r="BH148" s="3" t="str">
        <f>IF(AE148="","",ROUND(AE148*玩法行为规划!AD148,2))</f>
        <v/>
      </c>
      <c r="BI148" s="7">
        <f t="shared" si="21"/>
        <v>200.76999999999998</v>
      </c>
      <c r="BJ148" s="7">
        <f t="shared" si="22"/>
        <v>11724967.999999998</v>
      </c>
      <c r="BK148" s="69">
        <f t="shared" si="25"/>
        <v>7802200</v>
      </c>
      <c r="BL148" s="21" t="str">
        <f t="shared" si="26"/>
        <v/>
      </c>
      <c r="BM148" s="7">
        <f t="shared" si="23"/>
        <v>2.1462332926265502E-2</v>
      </c>
      <c r="BN148" s="69">
        <f>INT(BJ148*升级节奏!G148+BK148)</f>
        <v>363529912</v>
      </c>
      <c r="BO148" s="7">
        <f t="shared" si="24"/>
        <v>649</v>
      </c>
      <c r="BP148" s="7"/>
    </row>
    <row r="149" spans="1:68">
      <c r="A149" s="29">
        <v>147</v>
      </c>
      <c r="B149" s="84">
        <f>升级节奏!C149</f>
        <v>58800</v>
      </c>
      <c r="C149" s="53">
        <f>IF(VLOOKUP(C$2,行为概览!$D$3:$J$33,7,0)="","",VLOOKUP(C$2,行为概览!$D$3:$J$33,7,0))</f>
        <v>50</v>
      </c>
      <c r="D149" s="53">
        <f>IF(VLOOKUP(D$2,行为概览!$D$3:$J$33,7,0)="","",VLOOKUP(D$2,行为概览!$D$3:$J$33,7,0))</f>
        <v>3.3</v>
      </c>
      <c r="E149" s="53">
        <f>IF(VLOOKUP(E$2,行为概览!$D$3:$J$33,7,0)="","",VLOOKUP(E$2,行为概览!$D$3:$J$33,7,0))</f>
        <v>30</v>
      </c>
      <c r="F149" s="53">
        <f>IF(VLOOKUP(F$2,行为概览!$D$3:$J$33,7,0)="","",VLOOKUP(F$2,行为概览!$D$3:$J$33,7,0))</f>
        <v>15</v>
      </c>
      <c r="G149" s="53" t="str">
        <f>IF(VLOOKUP(G$2,行为概览!$D$3:$J$33,7,0)="","",VLOOKUP(G$2,行为概览!$D$3:$J$33,7,0))</f>
        <v/>
      </c>
      <c r="H149" s="53" t="str">
        <f>IF(VLOOKUP(H$2,行为概览!$D$3:$J$33,7,0)="","",VLOOKUP(H$2,行为概览!$D$3:$J$33,7,0))</f>
        <v/>
      </c>
      <c r="I149" s="53" t="str">
        <f>IF(VLOOKUP(I$2,行为概览!$D$3:$J$33,7,0)="","",VLOOKUP(I$2,行为概览!$D$3:$J$33,7,0))</f>
        <v/>
      </c>
      <c r="J149" s="53" t="str">
        <f>IF(VLOOKUP(J$2,行为概览!$D$3:$J$33,7,0)="","",VLOOKUP(J$2,行为概览!$D$3:$J$33,7,0))</f>
        <v/>
      </c>
      <c r="K149" s="53">
        <f>IF(VLOOKUP(K$2,行为概览!$D$3:$J$33,7,0)="","",VLOOKUP(K$2,行为概览!$D$3:$J$33,7,0))</f>
        <v>20</v>
      </c>
      <c r="L149" s="53">
        <f>IF(VLOOKUP(L$2,行为概览!$D$3:$J$33,7,0)="","",VLOOKUP(L$2,行为概览!$D$3:$J$33,7,0))</f>
        <v>20</v>
      </c>
      <c r="M149" s="53">
        <f>IF(VLOOKUP(M$2,行为概览!$D$3:$J$33,7,0)="","",VLOOKUP(M$2,行为概览!$D$3:$J$33,7,0))</f>
        <v>40</v>
      </c>
      <c r="N149" s="53">
        <f>IF(VLOOKUP(N$2,行为概览!$D$3:$J$33,7,0)="","",VLOOKUP(N$2,行为概览!$D$3:$J$33,7,0))</f>
        <v>1</v>
      </c>
      <c r="O149" s="53">
        <f>IF(VLOOKUP(O$2,行为概览!$D$3:$J$33,7,0)="","",VLOOKUP(O$2,行为概览!$D$3:$J$33,7,0))</f>
        <v>150</v>
      </c>
      <c r="P149" s="53">
        <f>IF(VLOOKUP(P$2,行为概览!$D$3:$J$33,7,0)="","",VLOOKUP(P$2,行为概览!$D$3:$J$33,7,0))</f>
        <v>10</v>
      </c>
      <c r="Q149" s="53">
        <f>IF(VLOOKUP(Q$2,行为概览!$D$3:$J$33,7,0)="","",VLOOKUP(Q$2,行为概览!$D$3:$J$33,7,0))</f>
        <v>20</v>
      </c>
      <c r="R149" s="53">
        <f>IF(VLOOKUP(R$2,行为概览!$D$3:$J$33,7,0)="","",VLOOKUP(R$2,行为概览!$D$3:$J$33,7,0))</f>
        <v>6</v>
      </c>
      <c r="S149" s="53">
        <f>IF(VLOOKUP(S$2,行为概览!$D$3:$J$33,7,0)="","",VLOOKUP(S$2,行为概览!$D$3:$J$33,7,0))</f>
        <v>20</v>
      </c>
      <c r="T149" s="53">
        <f>IF(VLOOKUP(T$2,行为概览!$D$3:$J$33,7,0)="","",VLOOKUP(T$2,行为概览!$D$3:$J$33,7,0))</f>
        <v>15</v>
      </c>
      <c r="U149" s="53">
        <f>IF(VLOOKUP(U$2,行为概览!$D$3:$J$33,7,0)="","",VLOOKUP(U$2,行为概览!$D$3:$J$33,7,0))</f>
        <v>15</v>
      </c>
      <c r="V149" s="53">
        <f>IF(VLOOKUP(V$2,行为概览!$D$3:$J$33,7,0)="","",VLOOKUP(V$2,行为概览!$D$3:$J$33,7,0))</f>
        <v>40</v>
      </c>
      <c r="W149" s="53">
        <f>IF(VLOOKUP(W$2,行为概览!$D$3:$J$33,7,0)="","",VLOOKUP(W$2,行为概览!$D$3:$J$33,7,0))</f>
        <v>15</v>
      </c>
      <c r="X149" s="53">
        <f>IF(VLOOKUP(X$2,行为概览!$D$3:$J$33,7,0)="","",VLOOKUP(X$2,行为概览!$D$3:$J$33,7,0))</f>
        <v>30</v>
      </c>
      <c r="Y149" s="53">
        <f>IF(VLOOKUP(Y$2,行为概览!$D$3:$J$33,7,0)="","",VLOOKUP(Y$2,行为概览!$D$3:$J$33,7,0))</f>
        <v>25</v>
      </c>
      <c r="Z149" s="53">
        <f>IF(VLOOKUP(Z$2,行为概览!$D$3:$J$33,7,0)="","",VLOOKUP(Z$2,行为概览!$D$3:$J$33,7,0))</f>
        <v>15</v>
      </c>
      <c r="AA149" s="53">
        <f>IF(VLOOKUP(AA$2,行为概览!$D$3:$J$33,7,0)="","",VLOOKUP(AA$2,行为概览!$D$3:$J$33,7,0))</f>
        <v>15</v>
      </c>
      <c r="AB149" s="53" t="str">
        <f>IF(VLOOKUP(AB$2,行为概览!$D$3:$J$33,7,0)="","",VLOOKUP(AB$2,行为概览!$D$3:$J$33,7,0))</f>
        <v/>
      </c>
      <c r="AC149" s="53" t="str">
        <f>IF(VLOOKUP(AC$2,行为概览!$D$3:$J$33,7,0)="","",VLOOKUP(AC$2,行为概览!$D$3:$J$33,7,0))</f>
        <v/>
      </c>
      <c r="AD149" s="53" t="str">
        <f>IF(VLOOKUP(AD$2,行为概览!$D$3:$J$33,7,0)="","",VLOOKUP(AD$2,行为概览!$D$3:$J$33,7,0))</f>
        <v/>
      </c>
      <c r="AE149" s="68" t="str">
        <f>IF(VLOOKUP(AE$2,行为概览!$D$3:$J$33,7,0)="","",VLOOKUP(AE$2,行为概览!$D$3:$J$33,7,0))</f>
        <v/>
      </c>
      <c r="AF149" s="1">
        <f>IF(C149="","",ROUND(C149*玩法行为规划!B149,2))</f>
        <v>16.670000000000002</v>
      </c>
      <c r="AG149" s="2">
        <f>IF(D149="","",ROUND(D149*玩法行为规划!C149,2))</f>
        <v>6.6</v>
      </c>
      <c r="AH149" s="2">
        <f>IF(E149="","",ROUND(E149*玩法行为规划!D149,2))</f>
        <v>2.5</v>
      </c>
      <c r="AI149" s="2">
        <f>IF(F149="","",ROUND(F149*玩法行为规划!E149,2))</f>
        <v>15</v>
      </c>
      <c r="AJ149" s="2" t="str">
        <f>IF(G149="","",ROUND(G149*玩法行为规划!F149,2))</f>
        <v/>
      </c>
      <c r="AK149" s="2" t="str">
        <f>IF(H149="","",ROUND(H149*玩法行为规划!G149,2))</f>
        <v/>
      </c>
      <c r="AL149" s="2" t="str">
        <f>IF(I149="","",ROUND(I149*玩法行为规划!H149,2))</f>
        <v/>
      </c>
      <c r="AM149" s="2" t="str">
        <f>IF(J149="","",ROUND(J149*玩法行为规划!I149,2))</f>
        <v/>
      </c>
      <c r="AN149" s="2">
        <f>IF(K149="","",ROUND(K149*玩法行为规划!J149,2))</f>
        <v>10</v>
      </c>
      <c r="AO149" s="2">
        <f>IF(L149="","",ROUND(L149*玩法行为规划!K149,2))</f>
        <v>3.33</v>
      </c>
      <c r="AP149" s="2">
        <f>IF(M149="","",ROUND(M149*玩法行为规划!L149,2))</f>
        <v>20</v>
      </c>
      <c r="AQ149" s="2">
        <f>IF(N149="","",ROUND(N149*玩法行为规划!M149,2))</f>
        <v>12</v>
      </c>
      <c r="AR149" s="2">
        <f>IF(O149="","",ROUND(O149*玩法行为规划!N149,2))</f>
        <v>12.5</v>
      </c>
      <c r="AS149" s="2">
        <f>IF(P149="","",ROUND(P149*玩法行为规划!O149,2))</f>
        <v>0.83</v>
      </c>
      <c r="AT149" s="2">
        <f>IF(Q149="","",ROUND(Q149*玩法行为规划!P149,2))</f>
        <v>52</v>
      </c>
      <c r="AU149" s="2">
        <f>IF(R149="","",ROUND(R149*玩法行为规划!Q149,2))</f>
        <v>6</v>
      </c>
      <c r="AV149" s="2">
        <f>IF(S149="","",ROUND(S149*玩法行为规划!R149,2))</f>
        <v>6.67</v>
      </c>
      <c r="AW149" s="2">
        <f>IF(T149="","",ROUND(T149*玩法行为规划!S149,2))</f>
        <v>0</v>
      </c>
      <c r="AX149" s="2">
        <f>IF(U149="","",ROUND(U149*玩法行为规划!T149,2))</f>
        <v>5</v>
      </c>
      <c r="AY149" s="2">
        <f>IF(V149="","",ROUND(V149*玩法行为规划!U149,2))</f>
        <v>6.67</v>
      </c>
      <c r="AZ149" s="2">
        <f>IF(W149="","",ROUND(W149*玩法行为规划!V149,2))</f>
        <v>2.5</v>
      </c>
      <c r="BA149" s="2">
        <f>IF(X149="","",ROUND(X149*玩法行为规划!W149,2))</f>
        <v>5</v>
      </c>
      <c r="BB149" s="2">
        <f>IF(Y149="","",ROUND(Y149*玩法行为规划!X149,2))</f>
        <v>6.25</v>
      </c>
      <c r="BC149" s="2">
        <f>IF(Z149="","",ROUND(Z149*玩法行为规划!Y149,2))</f>
        <v>8.75</v>
      </c>
      <c r="BD149" s="2">
        <f>IF(AA149="","",ROUND(AA149*玩法行为规划!Z149,2))</f>
        <v>2.5</v>
      </c>
      <c r="BE149" s="2" t="str">
        <f>IF(AB149="","",ROUND(AB149*玩法行为规划!AA149,2))</f>
        <v/>
      </c>
      <c r="BF149" s="2" t="str">
        <f>IF(AC149="","",ROUND(AC149*玩法行为规划!AB149,2))</f>
        <v/>
      </c>
      <c r="BG149" s="2" t="str">
        <f>IF(AD149="","",ROUND(AD149*玩法行为规划!AC149,2))</f>
        <v/>
      </c>
      <c r="BH149" s="3" t="str">
        <f>IF(AE149="","",ROUND(AE149*玩法行为规划!AD149,2))</f>
        <v/>
      </c>
      <c r="BI149" s="7">
        <f t="shared" si="21"/>
        <v>200.76999999999998</v>
      </c>
      <c r="BJ149" s="7">
        <f t="shared" si="22"/>
        <v>11805275.999999998</v>
      </c>
      <c r="BK149" s="69">
        <f t="shared" si="25"/>
        <v>7920400</v>
      </c>
      <c r="BL149" s="21" t="str">
        <f t="shared" si="26"/>
        <v/>
      </c>
      <c r="BM149" s="7">
        <f t="shared" si="23"/>
        <v>2.134966314628501E-2</v>
      </c>
      <c r="BN149" s="69">
        <f>INT(BJ149*升级节奏!G149+BK149)</f>
        <v>370984776</v>
      </c>
      <c r="BO149" s="7">
        <f t="shared" si="24"/>
        <v>653</v>
      </c>
      <c r="BP149" s="7"/>
    </row>
    <row r="150" spans="1:68">
      <c r="A150" s="29">
        <v>148</v>
      </c>
      <c r="B150" s="84">
        <f>升级节奏!C150</f>
        <v>59200</v>
      </c>
      <c r="C150" s="53">
        <f>IF(VLOOKUP(C$2,行为概览!$D$3:$J$33,7,0)="","",VLOOKUP(C$2,行为概览!$D$3:$J$33,7,0))</f>
        <v>50</v>
      </c>
      <c r="D150" s="53">
        <f>IF(VLOOKUP(D$2,行为概览!$D$3:$J$33,7,0)="","",VLOOKUP(D$2,行为概览!$D$3:$J$33,7,0))</f>
        <v>3.3</v>
      </c>
      <c r="E150" s="53">
        <f>IF(VLOOKUP(E$2,行为概览!$D$3:$J$33,7,0)="","",VLOOKUP(E$2,行为概览!$D$3:$J$33,7,0))</f>
        <v>30</v>
      </c>
      <c r="F150" s="53">
        <f>IF(VLOOKUP(F$2,行为概览!$D$3:$J$33,7,0)="","",VLOOKUP(F$2,行为概览!$D$3:$J$33,7,0))</f>
        <v>15</v>
      </c>
      <c r="G150" s="53" t="str">
        <f>IF(VLOOKUP(G$2,行为概览!$D$3:$J$33,7,0)="","",VLOOKUP(G$2,行为概览!$D$3:$J$33,7,0))</f>
        <v/>
      </c>
      <c r="H150" s="53" t="str">
        <f>IF(VLOOKUP(H$2,行为概览!$D$3:$J$33,7,0)="","",VLOOKUP(H$2,行为概览!$D$3:$J$33,7,0))</f>
        <v/>
      </c>
      <c r="I150" s="53" t="str">
        <f>IF(VLOOKUP(I$2,行为概览!$D$3:$J$33,7,0)="","",VLOOKUP(I$2,行为概览!$D$3:$J$33,7,0))</f>
        <v/>
      </c>
      <c r="J150" s="53" t="str">
        <f>IF(VLOOKUP(J$2,行为概览!$D$3:$J$33,7,0)="","",VLOOKUP(J$2,行为概览!$D$3:$J$33,7,0))</f>
        <v/>
      </c>
      <c r="K150" s="53">
        <f>IF(VLOOKUP(K$2,行为概览!$D$3:$J$33,7,0)="","",VLOOKUP(K$2,行为概览!$D$3:$J$33,7,0))</f>
        <v>20</v>
      </c>
      <c r="L150" s="53">
        <f>IF(VLOOKUP(L$2,行为概览!$D$3:$J$33,7,0)="","",VLOOKUP(L$2,行为概览!$D$3:$J$33,7,0))</f>
        <v>20</v>
      </c>
      <c r="M150" s="53">
        <f>IF(VLOOKUP(M$2,行为概览!$D$3:$J$33,7,0)="","",VLOOKUP(M$2,行为概览!$D$3:$J$33,7,0))</f>
        <v>40</v>
      </c>
      <c r="N150" s="53">
        <f>IF(VLOOKUP(N$2,行为概览!$D$3:$J$33,7,0)="","",VLOOKUP(N$2,行为概览!$D$3:$J$33,7,0))</f>
        <v>1</v>
      </c>
      <c r="O150" s="53">
        <f>IF(VLOOKUP(O$2,行为概览!$D$3:$J$33,7,0)="","",VLOOKUP(O$2,行为概览!$D$3:$J$33,7,0))</f>
        <v>150</v>
      </c>
      <c r="P150" s="53">
        <f>IF(VLOOKUP(P$2,行为概览!$D$3:$J$33,7,0)="","",VLOOKUP(P$2,行为概览!$D$3:$J$33,7,0))</f>
        <v>10</v>
      </c>
      <c r="Q150" s="53">
        <f>IF(VLOOKUP(Q$2,行为概览!$D$3:$J$33,7,0)="","",VLOOKUP(Q$2,行为概览!$D$3:$J$33,7,0))</f>
        <v>20</v>
      </c>
      <c r="R150" s="53">
        <f>IF(VLOOKUP(R$2,行为概览!$D$3:$J$33,7,0)="","",VLOOKUP(R$2,行为概览!$D$3:$J$33,7,0))</f>
        <v>6</v>
      </c>
      <c r="S150" s="53">
        <f>IF(VLOOKUP(S$2,行为概览!$D$3:$J$33,7,0)="","",VLOOKUP(S$2,行为概览!$D$3:$J$33,7,0))</f>
        <v>20</v>
      </c>
      <c r="T150" s="53">
        <f>IF(VLOOKUP(T$2,行为概览!$D$3:$J$33,7,0)="","",VLOOKUP(T$2,行为概览!$D$3:$J$33,7,0))</f>
        <v>15</v>
      </c>
      <c r="U150" s="53">
        <f>IF(VLOOKUP(U$2,行为概览!$D$3:$J$33,7,0)="","",VLOOKUP(U$2,行为概览!$D$3:$J$33,7,0))</f>
        <v>15</v>
      </c>
      <c r="V150" s="53">
        <f>IF(VLOOKUP(V$2,行为概览!$D$3:$J$33,7,0)="","",VLOOKUP(V$2,行为概览!$D$3:$J$33,7,0))</f>
        <v>40</v>
      </c>
      <c r="W150" s="53">
        <f>IF(VLOOKUP(W$2,行为概览!$D$3:$J$33,7,0)="","",VLOOKUP(W$2,行为概览!$D$3:$J$33,7,0))</f>
        <v>15</v>
      </c>
      <c r="X150" s="53">
        <f>IF(VLOOKUP(X$2,行为概览!$D$3:$J$33,7,0)="","",VLOOKUP(X$2,行为概览!$D$3:$J$33,7,0))</f>
        <v>30</v>
      </c>
      <c r="Y150" s="53">
        <f>IF(VLOOKUP(Y$2,行为概览!$D$3:$J$33,7,0)="","",VLOOKUP(Y$2,行为概览!$D$3:$J$33,7,0))</f>
        <v>25</v>
      </c>
      <c r="Z150" s="53">
        <f>IF(VLOOKUP(Z$2,行为概览!$D$3:$J$33,7,0)="","",VLOOKUP(Z$2,行为概览!$D$3:$J$33,7,0))</f>
        <v>15</v>
      </c>
      <c r="AA150" s="53">
        <f>IF(VLOOKUP(AA$2,行为概览!$D$3:$J$33,7,0)="","",VLOOKUP(AA$2,行为概览!$D$3:$J$33,7,0))</f>
        <v>15</v>
      </c>
      <c r="AB150" s="53" t="str">
        <f>IF(VLOOKUP(AB$2,行为概览!$D$3:$J$33,7,0)="","",VLOOKUP(AB$2,行为概览!$D$3:$J$33,7,0))</f>
        <v/>
      </c>
      <c r="AC150" s="53" t="str">
        <f>IF(VLOOKUP(AC$2,行为概览!$D$3:$J$33,7,0)="","",VLOOKUP(AC$2,行为概览!$D$3:$J$33,7,0))</f>
        <v/>
      </c>
      <c r="AD150" s="53" t="str">
        <f>IF(VLOOKUP(AD$2,行为概览!$D$3:$J$33,7,0)="","",VLOOKUP(AD$2,行为概览!$D$3:$J$33,7,0))</f>
        <v/>
      </c>
      <c r="AE150" s="68" t="str">
        <f>IF(VLOOKUP(AE$2,行为概览!$D$3:$J$33,7,0)="","",VLOOKUP(AE$2,行为概览!$D$3:$J$33,7,0))</f>
        <v/>
      </c>
      <c r="AF150" s="1">
        <f>IF(C150="","",ROUND(C150*玩法行为规划!B150,2))</f>
        <v>16.670000000000002</v>
      </c>
      <c r="AG150" s="2">
        <f>IF(D150="","",ROUND(D150*玩法行为规划!C150,2))</f>
        <v>6.6</v>
      </c>
      <c r="AH150" s="2">
        <f>IF(E150="","",ROUND(E150*玩法行为规划!D150,2))</f>
        <v>2.5</v>
      </c>
      <c r="AI150" s="2">
        <f>IF(F150="","",ROUND(F150*玩法行为规划!E150,2))</f>
        <v>15</v>
      </c>
      <c r="AJ150" s="2" t="str">
        <f>IF(G150="","",ROUND(G150*玩法行为规划!F150,2))</f>
        <v/>
      </c>
      <c r="AK150" s="2" t="str">
        <f>IF(H150="","",ROUND(H150*玩法行为规划!G150,2))</f>
        <v/>
      </c>
      <c r="AL150" s="2" t="str">
        <f>IF(I150="","",ROUND(I150*玩法行为规划!H150,2))</f>
        <v/>
      </c>
      <c r="AM150" s="2" t="str">
        <f>IF(J150="","",ROUND(J150*玩法行为规划!I150,2))</f>
        <v/>
      </c>
      <c r="AN150" s="2">
        <f>IF(K150="","",ROUND(K150*玩法行为规划!J150,2))</f>
        <v>10</v>
      </c>
      <c r="AO150" s="2">
        <f>IF(L150="","",ROUND(L150*玩法行为规划!K150,2))</f>
        <v>3.33</v>
      </c>
      <c r="AP150" s="2">
        <f>IF(M150="","",ROUND(M150*玩法行为规划!L150,2))</f>
        <v>20</v>
      </c>
      <c r="AQ150" s="2">
        <f>IF(N150="","",ROUND(N150*玩法行为规划!M150,2))</f>
        <v>12</v>
      </c>
      <c r="AR150" s="2">
        <f>IF(O150="","",ROUND(O150*玩法行为规划!N150,2))</f>
        <v>12.5</v>
      </c>
      <c r="AS150" s="2">
        <f>IF(P150="","",ROUND(P150*玩法行为规划!O150,2))</f>
        <v>0.83</v>
      </c>
      <c r="AT150" s="2">
        <f>IF(Q150="","",ROUND(Q150*玩法行为规划!P150,2))</f>
        <v>52</v>
      </c>
      <c r="AU150" s="2">
        <f>IF(R150="","",ROUND(R150*玩法行为规划!Q150,2))</f>
        <v>6</v>
      </c>
      <c r="AV150" s="2">
        <f>IF(S150="","",ROUND(S150*玩法行为规划!R150,2))</f>
        <v>6.67</v>
      </c>
      <c r="AW150" s="2">
        <f>IF(T150="","",ROUND(T150*玩法行为规划!S150,2))</f>
        <v>0</v>
      </c>
      <c r="AX150" s="2">
        <f>IF(U150="","",ROUND(U150*玩法行为规划!T150,2))</f>
        <v>5</v>
      </c>
      <c r="AY150" s="2">
        <f>IF(V150="","",ROUND(V150*玩法行为规划!U150,2))</f>
        <v>6.67</v>
      </c>
      <c r="AZ150" s="2">
        <f>IF(W150="","",ROUND(W150*玩法行为规划!V150,2))</f>
        <v>2.5</v>
      </c>
      <c r="BA150" s="2">
        <f>IF(X150="","",ROUND(X150*玩法行为规划!W150,2))</f>
        <v>5</v>
      </c>
      <c r="BB150" s="2">
        <f>IF(Y150="","",ROUND(Y150*玩法行为规划!X150,2))</f>
        <v>6.25</v>
      </c>
      <c r="BC150" s="2">
        <f>IF(Z150="","",ROUND(Z150*玩法行为规划!Y150,2))</f>
        <v>8.75</v>
      </c>
      <c r="BD150" s="2">
        <f>IF(AA150="","",ROUND(AA150*玩法行为规划!Z150,2))</f>
        <v>2.5</v>
      </c>
      <c r="BE150" s="2" t="str">
        <f>IF(AB150="","",ROUND(AB150*玩法行为规划!AA150,2))</f>
        <v/>
      </c>
      <c r="BF150" s="2" t="str">
        <f>IF(AC150="","",ROUND(AC150*玩法行为规划!AB150,2))</f>
        <v/>
      </c>
      <c r="BG150" s="2" t="str">
        <f>IF(AD150="","",ROUND(AD150*玩法行为规划!AC150,2))</f>
        <v/>
      </c>
      <c r="BH150" s="3" t="str">
        <f>IF(AE150="","",ROUND(AE150*玩法行为规划!AD150,2))</f>
        <v/>
      </c>
      <c r="BI150" s="7">
        <f t="shared" si="21"/>
        <v>200.76999999999998</v>
      </c>
      <c r="BJ150" s="7">
        <f t="shared" si="22"/>
        <v>11885583.999999998</v>
      </c>
      <c r="BK150" s="69">
        <f t="shared" si="25"/>
        <v>8039400</v>
      </c>
      <c r="BL150" s="21" t="str">
        <f t="shared" si="26"/>
        <v/>
      </c>
      <c r="BM150" s="7">
        <f t="shared" si="23"/>
        <v>2.1237869992693469E-2</v>
      </c>
      <c r="BN150" s="69">
        <f>INT(BJ150*升级节奏!G150+BK150)</f>
        <v>378540786</v>
      </c>
      <c r="BO150" s="7">
        <f t="shared" si="24"/>
        <v>658</v>
      </c>
      <c r="BP150" s="7"/>
    </row>
    <row r="151" spans="1:68">
      <c r="A151" s="29">
        <v>149</v>
      </c>
      <c r="B151" s="84">
        <f>升级节奏!C151</f>
        <v>59600</v>
      </c>
      <c r="C151" s="53">
        <f>IF(VLOOKUP(C$2,行为概览!$D$3:$J$33,7,0)="","",VLOOKUP(C$2,行为概览!$D$3:$J$33,7,0))</f>
        <v>50</v>
      </c>
      <c r="D151" s="53">
        <f>IF(VLOOKUP(D$2,行为概览!$D$3:$J$33,7,0)="","",VLOOKUP(D$2,行为概览!$D$3:$J$33,7,0))</f>
        <v>3.3</v>
      </c>
      <c r="E151" s="53">
        <f>IF(VLOOKUP(E$2,行为概览!$D$3:$J$33,7,0)="","",VLOOKUP(E$2,行为概览!$D$3:$J$33,7,0))</f>
        <v>30</v>
      </c>
      <c r="F151" s="53">
        <f>IF(VLOOKUP(F$2,行为概览!$D$3:$J$33,7,0)="","",VLOOKUP(F$2,行为概览!$D$3:$J$33,7,0))</f>
        <v>15</v>
      </c>
      <c r="G151" s="53" t="str">
        <f>IF(VLOOKUP(G$2,行为概览!$D$3:$J$33,7,0)="","",VLOOKUP(G$2,行为概览!$D$3:$J$33,7,0))</f>
        <v/>
      </c>
      <c r="H151" s="53" t="str">
        <f>IF(VLOOKUP(H$2,行为概览!$D$3:$J$33,7,0)="","",VLOOKUP(H$2,行为概览!$D$3:$J$33,7,0))</f>
        <v/>
      </c>
      <c r="I151" s="53" t="str">
        <f>IF(VLOOKUP(I$2,行为概览!$D$3:$J$33,7,0)="","",VLOOKUP(I$2,行为概览!$D$3:$J$33,7,0))</f>
        <v/>
      </c>
      <c r="J151" s="53" t="str">
        <f>IF(VLOOKUP(J$2,行为概览!$D$3:$J$33,7,0)="","",VLOOKUP(J$2,行为概览!$D$3:$J$33,7,0))</f>
        <v/>
      </c>
      <c r="K151" s="53">
        <f>IF(VLOOKUP(K$2,行为概览!$D$3:$J$33,7,0)="","",VLOOKUP(K$2,行为概览!$D$3:$J$33,7,0))</f>
        <v>20</v>
      </c>
      <c r="L151" s="53">
        <f>IF(VLOOKUP(L$2,行为概览!$D$3:$J$33,7,0)="","",VLOOKUP(L$2,行为概览!$D$3:$J$33,7,0))</f>
        <v>20</v>
      </c>
      <c r="M151" s="53">
        <f>IF(VLOOKUP(M$2,行为概览!$D$3:$J$33,7,0)="","",VLOOKUP(M$2,行为概览!$D$3:$J$33,7,0))</f>
        <v>40</v>
      </c>
      <c r="N151" s="53">
        <f>IF(VLOOKUP(N$2,行为概览!$D$3:$J$33,7,0)="","",VLOOKUP(N$2,行为概览!$D$3:$J$33,7,0))</f>
        <v>1</v>
      </c>
      <c r="O151" s="53">
        <f>IF(VLOOKUP(O$2,行为概览!$D$3:$J$33,7,0)="","",VLOOKUP(O$2,行为概览!$D$3:$J$33,7,0))</f>
        <v>150</v>
      </c>
      <c r="P151" s="53">
        <f>IF(VLOOKUP(P$2,行为概览!$D$3:$J$33,7,0)="","",VLOOKUP(P$2,行为概览!$D$3:$J$33,7,0))</f>
        <v>10</v>
      </c>
      <c r="Q151" s="53">
        <f>IF(VLOOKUP(Q$2,行为概览!$D$3:$J$33,7,0)="","",VLOOKUP(Q$2,行为概览!$D$3:$J$33,7,0))</f>
        <v>20</v>
      </c>
      <c r="R151" s="53">
        <f>IF(VLOOKUP(R$2,行为概览!$D$3:$J$33,7,0)="","",VLOOKUP(R$2,行为概览!$D$3:$J$33,7,0))</f>
        <v>6</v>
      </c>
      <c r="S151" s="53">
        <f>IF(VLOOKUP(S$2,行为概览!$D$3:$J$33,7,0)="","",VLOOKUP(S$2,行为概览!$D$3:$J$33,7,0))</f>
        <v>20</v>
      </c>
      <c r="T151" s="53">
        <f>IF(VLOOKUP(T$2,行为概览!$D$3:$J$33,7,0)="","",VLOOKUP(T$2,行为概览!$D$3:$J$33,7,0))</f>
        <v>15</v>
      </c>
      <c r="U151" s="53">
        <f>IF(VLOOKUP(U$2,行为概览!$D$3:$J$33,7,0)="","",VLOOKUP(U$2,行为概览!$D$3:$J$33,7,0))</f>
        <v>15</v>
      </c>
      <c r="V151" s="53">
        <f>IF(VLOOKUP(V$2,行为概览!$D$3:$J$33,7,0)="","",VLOOKUP(V$2,行为概览!$D$3:$J$33,7,0))</f>
        <v>40</v>
      </c>
      <c r="W151" s="53">
        <f>IF(VLOOKUP(W$2,行为概览!$D$3:$J$33,7,0)="","",VLOOKUP(W$2,行为概览!$D$3:$J$33,7,0))</f>
        <v>15</v>
      </c>
      <c r="X151" s="53">
        <f>IF(VLOOKUP(X$2,行为概览!$D$3:$J$33,7,0)="","",VLOOKUP(X$2,行为概览!$D$3:$J$33,7,0))</f>
        <v>30</v>
      </c>
      <c r="Y151" s="53">
        <f>IF(VLOOKUP(Y$2,行为概览!$D$3:$J$33,7,0)="","",VLOOKUP(Y$2,行为概览!$D$3:$J$33,7,0))</f>
        <v>25</v>
      </c>
      <c r="Z151" s="53">
        <f>IF(VLOOKUP(Z$2,行为概览!$D$3:$J$33,7,0)="","",VLOOKUP(Z$2,行为概览!$D$3:$J$33,7,0))</f>
        <v>15</v>
      </c>
      <c r="AA151" s="53">
        <f>IF(VLOOKUP(AA$2,行为概览!$D$3:$J$33,7,0)="","",VLOOKUP(AA$2,行为概览!$D$3:$J$33,7,0))</f>
        <v>15</v>
      </c>
      <c r="AB151" s="53" t="str">
        <f>IF(VLOOKUP(AB$2,行为概览!$D$3:$J$33,7,0)="","",VLOOKUP(AB$2,行为概览!$D$3:$J$33,7,0))</f>
        <v/>
      </c>
      <c r="AC151" s="53" t="str">
        <f>IF(VLOOKUP(AC$2,行为概览!$D$3:$J$33,7,0)="","",VLOOKUP(AC$2,行为概览!$D$3:$J$33,7,0))</f>
        <v/>
      </c>
      <c r="AD151" s="53" t="str">
        <f>IF(VLOOKUP(AD$2,行为概览!$D$3:$J$33,7,0)="","",VLOOKUP(AD$2,行为概览!$D$3:$J$33,7,0))</f>
        <v/>
      </c>
      <c r="AE151" s="68" t="str">
        <f>IF(VLOOKUP(AE$2,行为概览!$D$3:$J$33,7,0)="","",VLOOKUP(AE$2,行为概览!$D$3:$J$33,7,0))</f>
        <v/>
      </c>
      <c r="AF151" s="1">
        <f>IF(C151="","",ROUND(C151*玩法行为规划!B151,2))</f>
        <v>16.670000000000002</v>
      </c>
      <c r="AG151" s="2">
        <f>IF(D151="","",ROUND(D151*玩法行为规划!C151,2))</f>
        <v>6.6</v>
      </c>
      <c r="AH151" s="2">
        <f>IF(E151="","",ROUND(E151*玩法行为规划!D151,2))</f>
        <v>2.5</v>
      </c>
      <c r="AI151" s="2">
        <f>IF(F151="","",ROUND(F151*玩法行为规划!E151,2))</f>
        <v>15</v>
      </c>
      <c r="AJ151" s="2" t="str">
        <f>IF(G151="","",ROUND(G151*玩法行为规划!F151,2))</f>
        <v/>
      </c>
      <c r="AK151" s="2" t="str">
        <f>IF(H151="","",ROUND(H151*玩法行为规划!G151,2))</f>
        <v/>
      </c>
      <c r="AL151" s="2" t="str">
        <f>IF(I151="","",ROUND(I151*玩法行为规划!H151,2))</f>
        <v/>
      </c>
      <c r="AM151" s="2" t="str">
        <f>IF(J151="","",ROUND(J151*玩法行为规划!I151,2))</f>
        <v/>
      </c>
      <c r="AN151" s="2">
        <f>IF(K151="","",ROUND(K151*玩法行为规划!J151,2))</f>
        <v>10</v>
      </c>
      <c r="AO151" s="2">
        <f>IF(L151="","",ROUND(L151*玩法行为规划!K151,2))</f>
        <v>3.33</v>
      </c>
      <c r="AP151" s="2">
        <f>IF(M151="","",ROUND(M151*玩法行为规划!L151,2))</f>
        <v>20</v>
      </c>
      <c r="AQ151" s="2">
        <f>IF(N151="","",ROUND(N151*玩法行为规划!M151,2))</f>
        <v>12</v>
      </c>
      <c r="AR151" s="2">
        <f>IF(O151="","",ROUND(O151*玩法行为规划!N151,2))</f>
        <v>12.5</v>
      </c>
      <c r="AS151" s="2">
        <f>IF(P151="","",ROUND(P151*玩法行为规划!O151,2))</f>
        <v>0.83</v>
      </c>
      <c r="AT151" s="2">
        <f>IF(Q151="","",ROUND(Q151*玩法行为规划!P151,2))</f>
        <v>52</v>
      </c>
      <c r="AU151" s="2">
        <f>IF(R151="","",ROUND(R151*玩法行为规划!Q151,2))</f>
        <v>6</v>
      </c>
      <c r="AV151" s="2">
        <f>IF(S151="","",ROUND(S151*玩法行为规划!R151,2))</f>
        <v>6.67</v>
      </c>
      <c r="AW151" s="2">
        <f>IF(T151="","",ROUND(T151*玩法行为规划!S151,2))</f>
        <v>0</v>
      </c>
      <c r="AX151" s="2">
        <f>IF(U151="","",ROUND(U151*玩法行为规划!T151,2))</f>
        <v>5</v>
      </c>
      <c r="AY151" s="2">
        <f>IF(V151="","",ROUND(V151*玩法行为规划!U151,2))</f>
        <v>6.67</v>
      </c>
      <c r="AZ151" s="2">
        <f>IF(W151="","",ROUND(W151*玩法行为规划!V151,2))</f>
        <v>2.5</v>
      </c>
      <c r="BA151" s="2">
        <f>IF(X151="","",ROUND(X151*玩法行为规划!W151,2))</f>
        <v>5</v>
      </c>
      <c r="BB151" s="2">
        <f>IF(Y151="","",ROUND(Y151*玩法行为规划!X151,2))</f>
        <v>6.25</v>
      </c>
      <c r="BC151" s="2">
        <f>IF(Z151="","",ROUND(Z151*玩法行为规划!Y151,2))</f>
        <v>8.75</v>
      </c>
      <c r="BD151" s="2">
        <f>IF(AA151="","",ROUND(AA151*玩法行为规划!Z151,2))</f>
        <v>2.5</v>
      </c>
      <c r="BE151" s="2" t="str">
        <f>IF(AB151="","",ROUND(AB151*玩法行为规划!AA151,2))</f>
        <v/>
      </c>
      <c r="BF151" s="2" t="str">
        <f>IF(AC151="","",ROUND(AC151*玩法行为规划!AB151,2))</f>
        <v/>
      </c>
      <c r="BG151" s="2" t="str">
        <f>IF(AD151="","",ROUND(AD151*玩法行为规划!AC151,2))</f>
        <v/>
      </c>
      <c r="BH151" s="3" t="str">
        <f>IF(AE151="","",ROUND(AE151*玩法行为规划!AD151,2))</f>
        <v/>
      </c>
      <c r="BI151" s="7">
        <f t="shared" si="21"/>
        <v>200.76999999999998</v>
      </c>
      <c r="BJ151" s="7">
        <f t="shared" si="22"/>
        <v>11965891.999999998</v>
      </c>
      <c r="BK151" s="69">
        <f t="shared" si="25"/>
        <v>8159200</v>
      </c>
      <c r="BL151" s="21" t="str">
        <f t="shared" si="26"/>
        <v/>
      </c>
      <c r="BM151" s="7">
        <f t="shared" si="23"/>
        <v>2.1126952594028282E-2</v>
      </c>
      <c r="BN151" s="69">
        <f>INT(BJ151*升级节奏!G151+BK151)</f>
        <v>386198623</v>
      </c>
      <c r="BO151" s="7">
        <f t="shared" si="24"/>
        <v>662</v>
      </c>
      <c r="BP151" s="7"/>
    </row>
    <row r="152" spans="1:68">
      <c r="A152" s="29">
        <v>150</v>
      </c>
      <c r="B152" s="84">
        <f>升级节奏!C152</f>
        <v>60000</v>
      </c>
      <c r="C152" s="53">
        <f>IF(VLOOKUP(C$2,行为概览!$D$3:$J$33,7,0)="","",VLOOKUP(C$2,行为概览!$D$3:$J$33,7,0))</f>
        <v>50</v>
      </c>
      <c r="D152" s="53">
        <f>IF(VLOOKUP(D$2,行为概览!$D$3:$J$33,7,0)="","",VLOOKUP(D$2,行为概览!$D$3:$J$33,7,0))</f>
        <v>3.3</v>
      </c>
      <c r="E152" s="53">
        <f>IF(VLOOKUP(E$2,行为概览!$D$3:$J$33,7,0)="","",VLOOKUP(E$2,行为概览!$D$3:$J$33,7,0))</f>
        <v>30</v>
      </c>
      <c r="F152" s="53">
        <f>IF(VLOOKUP(F$2,行为概览!$D$3:$J$33,7,0)="","",VLOOKUP(F$2,行为概览!$D$3:$J$33,7,0))</f>
        <v>15</v>
      </c>
      <c r="G152" s="53" t="str">
        <f>IF(VLOOKUP(G$2,行为概览!$D$3:$J$33,7,0)="","",VLOOKUP(G$2,行为概览!$D$3:$J$33,7,0))</f>
        <v/>
      </c>
      <c r="H152" s="53" t="str">
        <f>IF(VLOOKUP(H$2,行为概览!$D$3:$J$33,7,0)="","",VLOOKUP(H$2,行为概览!$D$3:$J$33,7,0))</f>
        <v/>
      </c>
      <c r="I152" s="53" t="str">
        <f>IF(VLOOKUP(I$2,行为概览!$D$3:$J$33,7,0)="","",VLOOKUP(I$2,行为概览!$D$3:$J$33,7,0))</f>
        <v/>
      </c>
      <c r="J152" s="53" t="str">
        <f>IF(VLOOKUP(J$2,行为概览!$D$3:$J$33,7,0)="","",VLOOKUP(J$2,行为概览!$D$3:$J$33,7,0))</f>
        <v/>
      </c>
      <c r="K152" s="53">
        <f>IF(VLOOKUP(K$2,行为概览!$D$3:$J$33,7,0)="","",VLOOKUP(K$2,行为概览!$D$3:$J$33,7,0))</f>
        <v>20</v>
      </c>
      <c r="L152" s="53">
        <f>IF(VLOOKUP(L$2,行为概览!$D$3:$J$33,7,0)="","",VLOOKUP(L$2,行为概览!$D$3:$J$33,7,0))</f>
        <v>20</v>
      </c>
      <c r="M152" s="53">
        <f>IF(VLOOKUP(M$2,行为概览!$D$3:$J$33,7,0)="","",VLOOKUP(M$2,行为概览!$D$3:$J$33,7,0))</f>
        <v>40</v>
      </c>
      <c r="N152" s="53">
        <f>IF(VLOOKUP(N$2,行为概览!$D$3:$J$33,7,0)="","",VLOOKUP(N$2,行为概览!$D$3:$J$33,7,0))</f>
        <v>1</v>
      </c>
      <c r="O152" s="53">
        <f>IF(VLOOKUP(O$2,行为概览!$D$3:$J$33,7,0)="","",VLOOKUP(O$2,行为概览!$D$3:$J$33,7,0))</f>
        <v>150</v>
      </c>
      <c r="P152" s="53">
        <f>IF(VLOOKUP(P$2,行为概览!$D$3:$J$33,7,0)="","",VLOOKUP(P$2,行为概览!$D$3:$J$33,7,0))</f>
        <v>10</v>
      </c>
      <c r="Q152" s="53">
        <f>IF(VLOOKUP(Q$2,行为概览!$D$3:$J$33,7,0)="","",VLOOKUP(Q$2,行为概览!$D$3:$J$33,7,0))</f>
        <v>20</v>
      </c>
      <c r="R152" s="53">
        <f>IF(VLOOKUP(R$2,行为概览!$D$3:$J$33,7,0)="","",VLOOKUP(R$2,行为概览!$D$3:$J$33,7,0))</f>
        <v>6</v>
      </c>
      <c r="S152" s="53">
        <f>IF(VLOOKUP(S$2,行为概览!$D$3:$J$33,7,0)="","",VLOOKUP(S$2,行为概览!$D$3:$J$33,7,0))</f>
        <v>20</v>
      </c>
      <c r="T152" s="53">
        <f>IF(VLOOKUP(T$2,行为概览!$D$3:$J$33,7,0)="","",VLOOKUP(T$2,行为概览!$D$3:$J$33,7,0))</f>
        <v>15</v>
      </c>
      <c r="U152" s="53">
        <f>IF(VLOOKUP(U$2,行为概览!$D$3:$J$33,7,0)="","",VLOOKUP(U$2,行为概览!$D$3:$J$33,7,0))</f>
        <v>15</v>
      </c>
      <c r="V152" s="53">
        <f>IF(VLOOKUP(V$2,行为概览!$D$3:$J$33,7,0)="","",VLOOKUP(V$2,行为概览!$D$3:$J$33,7,0))</f>
        <v>40</v>
      </c>
      <c r="W152" s="53">
        <f>IF(VLOOKUP(W$2,行为概览!$D$3:$J$33,7,0)="","",VLOOKUP(W$2,行为概览!$D$3:$J$33,7,0))</f>
        <v>15</v>
      </c>
      <c r="X152" s="53">
        <f>IF(VLOOKUP(X$2,行为概览!$D$3:$J$33,7,0)="","",VLOOKUP(X$2,行为概览!$D$3:$J$33,7,0))</f>
        <v>30</v>
      </c>
      <c r="Y152" s="53">
        <f>IF(VLOOKUP(Y$2,行为概览!$D$3:$J$33,7,0)="","",VLOOKUP(Y$2,行为概览!$D$3:$J$33,7,0))</f>
        <v>25</v>
      </c>
      <c r="Z152" s="53">
        <f>IF(VLOOKUP(Z$2,行为概览!$D$3:$J$33,7,0)="","",VLOOKUP(Z$2,行为概览!$D$3:$J$33,7,0))</f>
        <v>15</v>
      </c>
      <c r="AA152" s="53">
        <f>IF(VLOOKUP(AA$2,行为概览!$D$3:$J$33,7,0)="","",VLOOKUP(AA$2,行为概览!$D$3:$J$33,7,0))</f>
        <v>15</v>
      </c>
      <c r="AB152" s="53" t="str">
        <f>IF(VLOOKUP(AB$2,行为概览!$D$3:$J$33,7,0)="","",VLOOKUP(AB$2,行为概览!$D$3:$J$33,7,0))</f>
        <v/>
      </c>
      <c r="AC152" s="53" t="str">
        <f>IF(VLOOKUP(AC$2,行为概览!$D$3:$J$33,7,0)="","",VLOOKUP(AC$2,行为概览!$D$3:$J$33,7,0))</f>
        <v/>
      </c>
      <c r="AD152" s="53" t="str">
        <f>IF(VLOOKUP(AD$2,行为概览!$D$3:$J$33,7,0)="","",VLOOKUP(AD$2,行为概览!$D$3:$J$33,7,0))</f>
        <v/>
      </c>
      <c r="AE152" s="68" t="str">
        <f>IF(VLOOKUP(AE$2,行为概览!$D$3:$J$33,7,0)="","",VLOOKUP(AE$2,行为概览!$D$3:$J$33,7,0))</f>
        <v/>
      </c>
      <c r="AF152" s="4">
        <f>IF(C152="","",ROUND(C152*玩法行为规划!B152,2))</f>
        <v>16.670000000000002</v>
      </c>
      <c r="AG152" s="5">
        <f>IF(D152="","",ROUND(D152*玩法行为规划!C152,2))</f>
        <v>6.6</v>
      </c>
      <c r="AH152" s="5">
        <f>IF(E152="","",ROUND(E152*玩法行为规划!D152,2))</f>
        <v>2.5</v>
      </c>
      <c r="AI152" s="5">
        <f>IF(F152="","",ROUND(F152*玩法行为规划!E152,2))</f>
        <v>15</v>
      </c>
      <c r="AJ152" s="5" t="str">
        <f>IF(G152="","",ROUND(G152*玩法行为规划!F152,2))</f>
        <v/>
      </c>
      <c r="AK152" s="5" t="str">
        <f>IF(H152="","",ROUND(H152*玩法行为规划!G152,2))</f>
        <v/>
      </c>
      <c r="AL152" s="5" t="str">
        <f>IF(I152="","",ROUND(I152*玩法行为规划!H152,2))</f>
        <v/>
      </c>
      <c r="AM152" s="5" t="str">
        <f>IF(J152="","",ROUND(J152*玩法行为规划!I152,2))</f>
        <v/>
      </c>
      <c r="AN152" s="5">
        <f>IF(K152="","",ROUND(K152*玩法行为规划!J152,2))</f>
        <v>10</v>
      </c>
      <c r="AO152" s="5">
        <f>IF(L152="","",ROUND(L152*玩法行为规划!K152,2))</f>
        <v>3.33</v>
      </c>
      <c r="AP152" s="5">
        <f>IF(M152="","",ROUND(M152*玩法行为规划!L152,2))</f>
        <v>20</v>
      </c>
      <c r="AQ152" s="5">
        <f>IF(N152="","",ROUND(N152*玩法行为规划!M152,2))</f>
        <v>12</v>
      </c>
      <c r="AR152" s="5">
        <f>IF(O152="","",ROUND(O152*玩法行为规划!N152,2))</f>
        <v>12.5</v>
      </c>
      <c r="AS152" s="5">
        <f>IF(P152="","",ROUND(P152*玩法行为规划!O152,2))</f>
        <v>0.83</v>
      </c>
      <c r="AT152" s="5">
        <f>IF(Q152="","",ROUND(Q152*玩法行为规划!P152,2))</f>
        <v>52</v>
      </c>
      <c r="AU152" s="5">
        <f>IF(R152="","",ROUND(R152*玩法行为规划!Q152,2))</f>
        <v>6</v>
      </c>
      <c r="AV152" s="5">
        <f>IF(S152="","",ROUND(S152*玩法行为规划!R152,2))</f>
        <v>6.67</v>
      </c>
      <c r="AW152" s="5">
        <f>IF(T152="","",ROUND(T152*玩法行为规划!S152,2))</f>
        <v>0</v>
      </c>
      <c r="AX152" s="5">
        <f>IF(U152="","",ROUND(U152*玩法行为规划!T152,2))</f>
        <v>5</v>
      </c>
      <c r="AY152" s="5">
        <f>IF(V152="","",ROUND(V152*玩法行为规划!U152,2))</f>
        <v>6.67</v>
      </c>
      <c r="AZ152" s="5">
        <f>IF(W152="","",ROUND(W152*玩法行为规划!V152,2))</f>
        <v>2.5</v>
      </c>
      <c r="BA152" s="5">
        <f>IF(X152="","",ROUND(X152*玩法行为规划!W152,2))</f>
        <v>5</v>
      </c>
      <c r="BB152" s="5">
        <f>IF(Y152="","",ROUND(Y152*玩法行为规划!X152,2))</f>
        <v>6.25</v>
      </c>
      <c r="BC152" s="5">
        <f>IF(Z152="","",ROUND(Z152*玩法行为规划!Y152,2))</f>
        <v>8.75</v>
      </c>
      <c r="BD152" s="5">
        <f>IF(AA152="","",ROUND(AA152*玩法行为规划!Z152,2))</f>
        <v>2.5</v>
      </c>
      <c r="BE152" s="5" t="str">
        <f>IF(AB152="","",ROUND(AB152*玩法行为规划!AA152,2))</f>
        <v/>
      </c>
      <c r="BF152" s="5" t="str">
        <f>IF(AC152="","",ROUND(AC152*玩法行为规划!AB152,2))</f>
        <v/>
      </c>
      <c r="BG152" s="5" t="str">
        <f>IF(AD152="","",ROUND(AD152*玩法行为规划!AC152,2))</f>
        <v/>
      </c>
      <c r="BH152" s="6" t="str">
        <f>IF(AE152="","",ROUND(AE152*玩法行为规划!AD152,2))</f>
        <v/>
      </c>
      <c r="BI152" s="7">
        <f t="shared" si="21"/>
        <v>200.76999999999998</v>
      </c>
      <c r="BJ152" s="7">
        <f t="shared" si="22"/>
        <v>12046199.999999998</v>
      </c>
      <c r="BK152" s="69">
        <f t="shared" si="25"/>
        <v>8280000</v>
      </c>
      <c r="BL152" s="21">
        <f t="shared" si="26"/>
        <v>8280000</v>
      </c>
      <c r="BM152" s="7">
        <f t="shared" si="23"/>
        <v>2.1017406448490587E-2</v>
      </c>
      <c r="BN152" s="69">
        <f>INT(BJ152*升级节奏!G152+BK152)</f>
        <v>393959170</v>
      </c>
      <c r="BO152" s="7">
        <f t="shared" si="24"/>
        <v>667</v>
      </c>
      <c r="BP152" s="7"/>
    </row>
  </sheetData>
  <mergeCells count="4">
    <mergeCell ref="BG1:BH1"/>
    <mergeCell ref="AF1:AU1"/>
    <mergeCell ref="AV1:BE1"/>
    <mergeCell ref="C1:A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AP152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AK18" sqref="AK18"/>
    </sheetView>
  </sheetViews>
  <sheetFormatPr defaultRowHeight="13.5"/>
  <cols>
    <col min="1" max="2" width="6.625" style="84" customWidth="1"/>
    <col min="3" max="28" width="3.625" customWidth="1"/>
    <col min="29" max="30" width="3.625" style="7" customWidth="1"/>
    <col min="31" max="31" width="3.625" customWidth="1"/>
    <col min="32" max="35" width="7.625" style="7" customWidth="1"/>
    <col min="36" max="36" width="7.625" style="73" customWidth="1"/>
    <col min="37" max="38" width="7.625" style="10" customWidth="1"/>
    <col min="39" max="39" width="7.625" style="7" customWidth="1"/>
    <col min="40" max="40" width="7.625" style="10" customWidth="1"/>
    <col min="41" max="42" width="7.625" customWidth="1"/>
  </cols>
  <sheetData>
    <row r="1" spans="1:42">
      <c r="A1" s="30"/>
      <c r="B1" s="30"/>
      <c r="C1" s="188" t="s">
        <v>198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82" t="s">
        <v>199</v>
      </c>
      <c r="T1" s="192"/>
      <c r="U1" s="192"/>
      <c r="V1" s="192"/>
      <c r="W1" s="192"/>
      <c r="X1" s="192"/>
      <c r="Y1" s="192"/>
      <c r="Z1" s="192"/>
      <c r="AA1" s="192"/>
      <c r="AB1" s="192"/>
      <c r="AC1" s="193"/>
      <c r="AD1" s="176" t="s">
        <v>200</v>
      </c>
      <c r="AE1" s="177"/>
      <c r="AF1" s="47"/>
      <c r="AG1" s="47"/>
      <c r="AH1" s="47"/>
      <c r="AJ1" s="72"/>
    </row>
    <row r="2" spans="1:42" ht="193.5">
      <c r="A2" s="28" t="s">
        <v>63</v>
      </c>
      <c r="B2" s="28" t="s">
        <v>383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142" t="s">
        <v>21</v>
      </c>
      <c r="AD2" s="17" t="s">
        <v>388</v>
      </c>
      <c r="AE2" s="17" t="s">
        <v>239</v>
      </c>
      <c r="AF2" s="23" t="s">
        <v>54</v>
      </c>
      <c r="AG2" s="23" t="s">
        <v>53</v>
      </c>
      <c r="AH2" s="127" t="s">
        <v>209</v>
      </c>
      <c r="AI2" s="71" t="s">
        <v>202</v>
      </c>
      <c r="AJ2" s="128" t="s">
        <v>188</v>
      </c>
      <c r="AK2" s="76" t="s">
        <v>190</v>
      </c>
      <c r="AL2" s="71" t="s">
        <v>191</v>
      </c>
      <c r="AM2" s="75" t="s">
        <v>189</v>
      </c>
      <c r="AN2" s="76" t="s">
        <v>192</v>
      </c>
      <c r="AO2" s="22" t="s">
        <v>187</v>
      </c>
      <c r="AP2" s="22" t="s">
        <v>195</v>
      </c>
    </row>
    <row r="3" spans="1:42">
      <c r="A3" s="31">
        <v>1</v>
      </c>
      <c r="B3" s="86">
        <f>升级节奏!D3</f>
        <v>5000</v>
      </c>
      <c r="C3">
        <f>IF(VLOOKUP(C$2,行为概览!$D$3:$K$33,8,0)="","",VLOOKUP(C$2,行为概览!$D$3:$K$33,8,0)*玩法行为规划!B3)</f>
        <v>0</v>
      </c>
      <c r="D3" s="7">
        <f>IF(VLOOKUP(D$2,行为概览!$D$3:$K$33,8,0)="","",VLOOKUP(D$2,行为概览!$D$3:$K$33,8,0)*玩法行为规划!C3)</f>
        <v>0</v>
      </c>
      <c r="E3" s="7" t="str">
        <f>IF(VLOOKUP(E$2,行为概览!$D$3:$K$33,8,0)="","",VLOOKUP(E$2,行为概览!$D$3:$K$33,8,0)*玩法行为规划!D3)</f>
        <v/>
      </c>
      <c r="F3" s="7">
        <f>IF(VLOOKUP(F$2,行为概览!$D$3:$K$33,8,0)="","",VLOOKUP(F$2,行为概览!$D$3:$K$33,8,0)*玩法行为规划!E3)</f>
        <v>0</v>
      </c>
      <c r="G3" s="7">
        <f>IF(VLOOKUP(G$2,行为概览!$D$3:$K$33,8,0)="","",VLOOKUP(G$2,行为概览!$D$3:$K$33,8,0)*玩法行为规划!F3)</f>
        <v>0</v>
      </c>
      <c r="H3" s="7" t="str">
        <f>IF(VLOOKUP(H$2,行为概览!$D$3:$K$33,8,0)="","",VLOOKUP(H$2,行为概览!$D$3:$K$33,8,0)*玩法行为规划!G3)</f>
        <v/>
      </c>
      <c r="I3" s="7" t="str">
        <f>IF(VLOOKUP(I$2,行为概览!$D$3:$K$33,8,0)="","",VLOOKUP(I$2,行为概览!$D$3:$K$33,8,0)*玩法行为规划!H3)</f>
        <v/>
      </c>
      <c r="J3" s="7" t="str">
        <f>IF(VLOOKUP(J$2,行为概览!$D$3:$K$33,8,0)="","",VLOOKUP(J$2,行为概览!$D$3:$K$33,8,0)*玩法行为规划!I3)</f>
        <v/>
      </c>
      <c r="K3" s="7">
        <f>IF(VLOOKUP(K$2,行为概览!$D$3:$K$33,8,0)="","",VLOOKUP(K$2,行为概览!$D$3:$K$33,8,0)*玩法行为规划!J3)</f>
        <v>0</v>
      </c>
      <c r="L3" s="7" t="str">
        <f>IF(VLOOKUP(L$2,行为概览!$D$3:$K$33,8,0)="","",VLOOKUP(L$2,行为概览!$D$3:$K$33,8,0)*玩法行为规划!K3)</f>
        <v/>
      </c>
      <c r="M3" s="7" t="str">
        <f>IF(VLOOKUP(M$2,行为概览!$D$3:$K$33,8,0)="","",VLOOKUP(M$2,行为概览!$D$3:$K$33,8,0)*玩法行为规划!L3)</f>
        <v/>
      </c>
      <c r="N3" s="7">
        <f>IF(VLOOKUP(N$2,行为概览!$D$3:$K$33,8,0)="","",VLOOKUP(N$2,行为概览!$D$3:$K$33,8,0)*玩法行为规划!M3)</f>
        <v>0</v>
      </c>
      <c r="O3" s="7" t="str">
        <f>IF(VLOOKUP(O$2,行为概览!$D$3:$K$33,8,0)="","",VLOOKUP(O$2,行为概览!$D$3:$K$33,8,0)*玩法行为规划!N3)</f>
        <v/>
      </c>
      <c r="P3" s="7" t="str">
        <f>IF(VLOOKUP(P$2,行为概览!$D$3:$K$33,8,0)="","",VLOOKUP(P$2,行为概览!$D$3:$K$33,8,0)*玩法行为规划!O3)</f>
        <v/>
      </c>
      <c r="Q3" s="7">
        <f>IF(VLOOKUP(Q$2,行为概览!$D$3:$K$33,8,0)="","",VLOOKUP(Q$2,行为概览!$D$3:$K$33,8,0)*玩法行为规划!P3)</f>
        <v>5.2</v>
      </c>
      <c r="R3" s="7" t="str">
        <f>IF(VLOOKUP(R$2,行为概览!$D$3:$K$33,8,0)="","",VLOOKUP(R$2,行为概览!$D$3:$K$33,8,0)*玩法行为规划!Q3)</f>
        <v/>
      </c>
      <c r="S3" s="7">
        <f>IF(VLOOKUP(S$2,行为概览!$D$3:$K$33,8,0)="","",VLOOKUP(S$2,行为概览!$D$3:$K$33,8,0)*玩法行为规划!R3)</f>
        <v>0</v>
      </c>
      <c r="T3" s="7">
        <f>IF(VLOOKUP(T$2,行为概览!$D$3:$K$33,8,0)="","",VLOOKUP(T$2,行为概览!$D$3:$K$33,8,0)*玩法行为规划!S3)</f>
        <v>0</v>
      </c>
      <c r="U3" s="7">
        <f>IF(VLOOKUP(U$2,行为概览!$D$3:$K$33,8,0)="","",VLOOKUP(U$2,行为概览!$D$3:$K$33,8,0)*玩法行为规划!T3)</f>
        <v>0</v>
      </c>
      <c r="V3" s="7">
        <f>IF(VLOOKUP(V$2,行为概览!$D$3:$K$33,8,0)="","",VLOOKUP(V$2,行为概览!$D$3:$K$33,8,0)*玩法行为规划!U3)</f>
        <v>0</v>
      </c>
      <c r="W3" s="7" t="str">
        <f>IF(VLOOKUP(W$2,行为概览!$D$3:$K$33,8,0)="","",VLOOKUP(W$2,行为概览!$D$3:$K$33,8,0)*玩法行为规划!V3)</f>
        <v/>
      </c>
      <c r="X3" s="7" t="str">
        <f>IF(VLOOKUP(X$2,行为概览!$D$3:$K$33,8,0)="","",VLOOKUP(X$2,行为概览!$D$3:$K$33,8,0)*玩法行为规划!W3)</f>
        <v/>
      </c>
      <c r="Y3" s="7">
        <f>IF(VLOOKUP(Y$2,行为概览!$D$3:$K$33,8,0)="","",VLOOKUP(Y$2,行为概览!$D$3:$K$33,8,0)*玩法行为规划!X3)</f>
        <v>0</v>
      </c>
      <c r="Z3" s="7" t="str">
        <f>IF(VLOOKUP(Z$2,行为概览!$D$3:$K$33,8,0)="","",VLOOKUP(Z$2,行为概览!$D$3:$K$33,8,0)*玩法行为规划!Y3)</f>
        <v/>
      </c>
      <c r="AA3" s="7">
        <f>IF(VLOOKUP(AA$2,行为概览!$D$3:$K$33,8,0)="","",VLOOKUP(AA$2,行为概览!$D$3:$K$33,8,0)*玩法行为规划!Z3)</f>
        <v>0</v>
      </c>
      <c r="AB3" s="7" t="str">
        <f>IF(VLOOKUP(AB$2,行为概览!$D$3:$K$33,8,0)="","",VLOOKUP(AB$2,行为概览!$D$3:$K$33,8,0)*玩法行为规划!AA3)</f>
        <v/>
      </c>
      <c r="AC3" s="7" t="str">
        <f>IF(VLOOKUP(AC$2,行为概览!$D$3:$K$33,8,0)="","",VLOOKUP(AC$2,行为概览!$D$3:$K$33,8,0)*玩法行为规划!AB3)</f>
        <v/>
      </c>
      <c r="AD3" s="7" t="str">
        <f>IF(VLOOKUP(AD$2,行为概览!$D$3:$K$33,8,0)="","",VLOOKUP(AD$2,行为概览!$D$3:$K$33,8,0)*玩法行为规划!AC3)</f>
        <v/>
      </c>
      <c r="AE3" s="7" t="str">
        <f>IF(VLOOKUP(AE$2,行为概览!$D$3:$K$33,8,0)="","",VLOOKUP(AE$2,行为概览!$D$3:$K$33,8,0)*玩法行为规划!AD3)</f>
        <v/>
      </c>
      <c r="AF3" s="7">
        <f t="shared" ref="AF3:AF34" si="0">SUM(C3:AC3)</f>
        <v>5.2</v>
      </c>
      <c r="AG3" s="7">
        <f t="shared" ref="AG3:AG34" si="1">INT(B3*AF3)</f>
        <v>26000</v>
      </c>
      <c r="AH3" s="7">
        <f>AJ8</f>
        <v>1820</v>
      </c>
      <c r="AI3" s="21">
        <f>SUM($AH$3:AH11)</f>
        <v>48180</v>
      </c>
      <c r="AJ3" s="73">
        <f>20+50*A3^2</f>
        <v>70</v>
      </c>
      <c r="AK3" s="10">
        <f>ROUND(AG3*升级节奏!G3/AJ3,2)</f>
        <v>0</v>
      </c>
      <c r="AL3" s="77">
        <f>ROUND(AG3*升级节奏!G3/SUM($AJ$3:AJ3),2)</f>
        <v>0</v>
      </c>
      <c r="AM3" s="74">
        <f>ROUND(AG3*升级节奏!G3,2)</f>
        <v>0</v>
      </c>
      <c r="AN3" s="10">
        <f>ROUND(AG3*升级节奏!H3/SUM($AJ$3:AJ3),2)</f>
        <v>0</v>
      </c>
      <c r="AO3">
        <f t="shared" ref="AO3:AO34" si="2">ROUND(B3/60,0)</f>
        <v>83</v>
      </c>
      <c r="AP3">
        <f t="shared" ref="AP3:AP34" si="3">ROUND(AJ3/AO3,0)</f>
        <v>1</v>
      </c>
    </row>
    <row r="4" spans="1:42">
      <c r="A4" s="32">
        <v>2</v>
      </c>
      <c r="B4" s="87">
        <f>升级节奏!D4</f>
        <v>10000</v>
      </c>
      <c r="C4" s="7">
        <f>IF(VLOOKUP(C$2,行为概览!$D$3:$K$33,8,0)="","",VLOOKUP(C$2,行为概览!$D$3:$K$33,8,0)*玩法行为规划!B4)</f>
        <v>0</v>
      </c>
      <c r="D4" s="7">
        <f>IF(VLOOKUP(D$2,行为概览!$D$3:$K$33,8,0)="","",VLOOKUP(D$2,行为概览!$D$3:$K$33,8,0)*玩法行为规划!C4)</f>
        <v>0</v>
      </c>
      <c r="E4" s="7" t="str">
        <f>IF(VLOOKUP(E$2,行为概览!$D$3:$K$33,8,0)="","",VLOOKUP(E$2,行为概览!$D$3:$K$33,8,0)*玩法行为规划!D4)</f>
        <v/>
      </c>
      <c r="F4" s="7">
        <f>IF(VLOOKUP(F$2,行为概览!$D$3:$K$33,8,0)="","",VLOOKUP(F$2,行为概览!$D$3:$K$33,8,0)*玩法行为规划!E4)</f>
        <v>0</v>
      </c>
      <c r="G4" s="7">
        <f>IF(VLOOKUP(G$2,行为概览!$D$3:$K$33,8,0)="","",VLOOKUP(G$2,行为概览!$D$3:$K$33,8,0)*玩法行为规划!F4)</f>
        <v>0</v>
      </c>
      <c r="H4" s="7" t="str">
        <f>IF(VLOOKUP(H$2,行为概览!$D$3:$K$33,8,0)="","",VLOOKUP(H$2,行为概览!$D$3:$K$33,8,0)*玩法行为规划!G4)</f>
        <v/>
      </c>
      <c r="I4" s="7" t="str">
        <f>IF(VLOOKUP(I$2,行为概览!$D$3:$K$33,8,0)="","",VLOOKUP(I$2,行为概览!$D$3:$K$33,8,0)*玩法行为规划!H4)</f>
        <v/>
      </c>
      <c r="J4" s="7" t="str">
        <f>IF(VLOOKUP(J$2,行为概览!$D$3:$K$33,8,0)="","",VLOOKUP(J$2,行为概览!$D$3:$K$33,8,0)*玩法行为规划!I4)</f>
        <v/>
      </c>
      <c r="K4" s="7">
        <f>IF(VLOOKUP(K$2,行为概览!$D$3:$K$33,8,0)="","",VLOOKUP(K$2,行为概览!$D$3:$K$33,8,0)*玩法行为规划!J4)</f>
        <v>0</v>
      </c>
      <c r="L4" s="7" t="str">
        <f>IF(VLOOKUP(L$2,行为概览!$D$3:$K$33,8,0)="","",VLOOKUP(L$2,行为概览!$D$3:$K$33,8,0)*玩法行为规划!K4)</f>
        <v/>
      </c>
      <c r="M4" s="7" t="str">
        <f>IF(VLOOKUP(M$2,行为概览!$D$3:$K$33,8,0)="","",VLOOKUP(M$2,行为概览!$D$3:$K$33,8,0)*玩法行为规划!L4)</f>
        <v/>
      </c>
      <c r="N4" s="7">
        <f>IF(VLOOKUP(N$2,行为概览!$D$3:$K$33,8,0)="","",VLOOKUP(N$2,行为概览!$D$3:$K$33,8,0)*玩法行为规划!M4)</f>
        <v>0</v>
      </c>
      <c r="O4" s="7" t="str">
        <f>IF(VLOOKUP(O$2,行为概览!$D$3:$K$33,8,0)="","",VLOOKUP(O$2,行为概览!$D$3:$K$33,8,0)*玩法行为规划!N4)</f>
        <v/>
      </c>
      <c r="P4" s="7" t="str">
        <f>IF(VLOOKUP(P$2,行为概览!$D$3:$K$33,8,0)="","",VLOOKUP(P$2,行为概览!$D$3:$K$33,8,0)*玩法行为规划!O4)</f>
        <v/>
      </c>
      <c r="Q4" s="7">
        <f>IF(VLOOKUP(Q$2,行为概览!$D$3:$K$33,8,0)="","",VLOOKUP(Q$2,行为概览!$D$3:$K$33,8,0)*玩法行为规划!P4)</f>
        <v>5.2</v>
      </c>
      <c r="R4" s="7" t="str">
        <f>IF(VLOOKUP(R$2,行为概览!$D$3:$K$33,8,0)="","",VLOOKUP(R$2,行为概览!$D$3:$K$33,8,0)*玩法行为规划!Q4)</f>
        <v/>
      </c>
      <c r="S4" s="7">
        <f>IF(VLOOKUP(S$2,行为概览!$D$3:$K$33,8,0)="","",VLOOKUP(S$2,行为概览!$D$3:$K$33,8,0)*玩法行为规划!R4)</f>
        <v>0</v>
      </c>
      <c r="T4" s="7">
        <f>IF(VLOOKUP(T$2,行为概览!$D$3:$K$33,8,0)="","",VLOOKUP(T$2,行为概览!$D$3:$K$33,8,0)*玩法行为规划!S4)</f>
        <v>0</v>
      </c>
      <c r="U4" s="7">
        <f>IF(VLOOKUP(U$2,行为概览!$D$3:$K$33,8,0)="","",VLOOKUP(U$2,行为概览!$D$3:$K$33,8,0)*玩法行为规划!T4)</f>
        <v>0</v>
      </c>
      <c r="V4" s="7">
        <f>IF(VLOOKUP(V$2,行为概览!$D$3:$K$33,8,0)="","",VLOOKUP(V$2,行为概览!$D$3:$K$33,8,0)*玩法行为规划!U4)</f>
        <v>0</v>
      </c>
      <c r="W4" s="7" t="str">
        <f>IF(VLOOKUP(W$2,行为概览!$D$3:$K$33,8,0)="","",VLOOKUP(W$2,行为概览!$D$3:$K$33,8,0)*玩法行为规划!V4)</f>
        <v/>
      </c>
      <c r="X4" s="7" t="str">
        <f>IF(VLOOKUP(X$2,行为概览!$D$3:$K$33,8,0)="","",VLOOKUP(X$2,行为概览!$D$3:$K$33,8,0)*玩法行为规划!W4)</f>
        <v/>
      </c>
      <c r="Y4" s="7">
        <f>IF(VLOOKUP(Y$2,行为概览!$D$3:$K$33,8,0)="","",VLOOKUP(Y$2,行为概览!$D$3:$K$33,8,0)*玩法行为规划!X4)</f>
        <v>0</v>
      </c>
      <c r="Z4" s="7" t="str">
        <f>IF(VLOOKUP(Z$2,行为概览!$D$3:$K$33,8,0)="","",VLOOKUP(Z$2,行为概览!$D$3:$K$33,8,0)*玩法行为规划!Y4)</f>
        <v/>
      </c>
      <c r="AA4" s="7">
        <f>IF(VLOOKUP(AA$2,行为概览!$D$3:$K$33,8,0)="","",VLOOKUP(AA$2,行为概览!$D$3:$K$33,8,0)*玩法行为规划!Z4)</f>
        <v>0</v>
      </c>
      <c r="AB4" s="7" t="str">
        <f>IF(VLOOKUP(AB$2,行为概览!$D$3:$K$33,8,0)="","",VLOOKUP(AB$2,行为概览!$D$3:$K$33,8,0)*玩法行为规划!AA4)</f>
        <v/>
      </c>
      <c r="AC4" s="7" t="str">
        <f>IF(VLOOKUP(AC$2,行为概览!$D$3:$K$33,8,0)="","",VLOOKUP(AC$2,行为概览!$D$3:$K$33,8,0)*玩法行为规划!AB4)</f>
        <v/>
      </c>
      <c r="AD4" s="7" t="str">
        <f>IF(VLOOKUP(AD$2,行为概览!$D$3:$K$33,8,0)="","",VLOOKUP(AD$2,行为概览!$D$3:$K$33,8,0)*玩法行为规划!AC4)</f>
        <v/>
      </c>
      <c r="AE4" s="7" t="str">
        <f>IF(VLOOKUP(AE$2,行为概览!$D$3:$K$33,8,0)="","",VLOOKUP(AE$2,行为概览!$D$3:$K$33,8,0)*玩法行为规划!AD4)</f>
        <v/>
      </c>
      <c r="AF4" s="7">
        <f t="shared" si="0"/>
        <v>5.2</v>
      </c>
      <c r="AG4" s="7">
        <f t="shared" si="1"/>
        <v>52000</v>
      </c>
      <c r="AH4" s="7">
        <f t="shared" ref="AH4:AH67" si="4">AJ9</f>
        <v>2470</v>
      </c>
      <c r="AI4" s="21"/>
      <c r="AJ4" s="73">
        <f t="shared" ref="AJ4:AJ67" si="5">20+50*A4^2</f>
        <v>220</v>
      </c>
      <c r="AK4" s="77">
        <f>ROUND(AG4*升级节奏!G4/AJ4,2)</f>
        <v>0</v>
      </c>
      <c r="AL4" s="77">
        <f>ROUND(AG4*升级节奏!G4/SUM($AJ$3:AJ4),2)</f>
        <v>0</v>
      </c>
      <c r="AM4" s="74">
        <f>ROUND(AG4*升级节奏!G4,2)</f>
        <v>0</v>
      </c>
      <c r="AN4" s="77">
        <f>ROUND(AG4*升级节奏!H4/SUM($AJ$3:AJ4),2)</f>
        <v>0</v>
      </c>
      <c r="AO4" s="7">
        <f t="shared" si="2"/>
        <v>167</v>
      </c>
      <c r="AP4" s="7">
        <f t="shared" si="3"/>
        <v>1</v>
      </c>
    </row>
    <row r="5" spans="1:42">
      <c r="A5" s="32">
        <v>3</v>
      </c>
      <c r="B5" s="87">
        <f>升级节奏!D5</f>
        <v>15000</v>
      </c>
      <c r="C5" s="7">
        <f>IF(VLOOKUP(C$2,行为概览!$D$3:$K$33,8,0)="","",VLOOKUP(C$2,行为概览!$D$3:$K$33,8,0)*玩法行为规划!B5)</f>
        <v>0</v>
      </c>
      <c r="D5" s="7">
        <f>IF(VLOOKUP(D$2,行为概览!$D$3:$K$33,8,0)="","",VLOOKUP(D$2,行为概览!$D$3:$K$33,8,0)*玩法行为规划!C5)</f>
        <v>0</v>
      </c>
      <c r="E5" s="7" t="str">
        <f>IF(VLOOKUP(E$2,行为概览!$D$3:$K$33,8,0)="","",VLOOKUP(E$2,行为概览!$D$3:$K$33,8,0)*玩法行为规划!D5)</f>
        <v/>
      </c>
      <c r="F5" s="7">
        <f>IF(VLOOKUP(F$2,行为概览!$D$3:$K$33,8,0)="","",VLOOKUP(F$2,行为概览!$D$3:$K$33,8,0)*玩法行为规划!E5)</f>
        <v>0</v>
      </c>
      <c r="G5" s="7">
        <f>IF(VLOOKUP(G$2,行为概览!$D$3:$K$33,8,0)="","",VLOOKUP(G$2,行为概览!$D$3:$K$33,8,0)*玩法行为规划!F5)</f>
        <v>0</v>
      </c>
      <c r="H5" s="7" t="str">
        <f>IF(VLOOKUP(H$2,行为概览!$D$3:$K$33,8,0)="","",VLOOKUP(H$2,行为概览!$D$3:$K$33,8,0)*玩法行为规划!G5)</f>
        <v/>
      </c>
      <c r="I5" s="7" t="str">
        <f>IF(VLOOKUP(I$2,行为概览!$D$3:$K$33,8,0)="","",VLOOKUP(I$2,行为概览!$D$3:$K$33,8,0)*玩法行为规划!H5)</f>
        <v/>
      </c>
      <c r="J5" s="7" t="str">
        <f>IF(VLOOKUP(J$2,行为概览!$D$3:$K$33,8,0)="","",VLOOKUP(J$2,行为概览!$D$3:$K$33,8,0)*玩法行为规划!I5)</f>
        <v/>
      </c>
      <c r="K5" s="7">
        <f>IF(VLOOKUP(K$2,行为概览!$D$3:$K$33,8,0)="","",VLOOKUP(K$2,行为概览!$D$3:$K$33,8,0)*玩法行为规划!J5)</f>
        <v>0</v>
      </c>
      <c r="L5" s="7" t="str">
        <f>IF(VLOOKUP(L$2,行为概览!$D$3:$K$33,8,0)="","",VLOOKUP(L$2,行为概览!$D$3:$K$33,8,0)*玩法行为规划!K5)</f>
        <v/>
      </c>
      <c r="M5" s="7" t="str">
        <f>IF(VLOOKUP(M$2,行为概览!$D$3:$K$33,8,0)="","",VLOOKUP(M$2,行为概览!$D$3:$K$33,8,0)*玩法行为规划!L5)</f>
        <v/>
      </c>
      <c r="N5" s="7">
        <f>IF(VLOOKUP(N$2,行为概览!$D$3:$K$33,8,0)="","",VLOOKUP(N$2,行为概览!$D$3:$K$33,8,0)*玩法行为规划!M5)</f>
        <v>0</v>
      </c>
      <c r="O5" s="7" t="str">
        <f>IF(VLOOKUP(O$2,行为概览!$D$3:$K$33,8,0)="","",VLOOKUP(O$2,行为概览!$D$3:$K$33,8,0)*玩法行为规划!N5)</f>
        <v/>
      </c>
      <c r="P5" s="7" t="str">
        <f>IF(VLOOKUP(P$2,行为概览!$D$3:$K$33,8,0)="","",VLOOKUP(P$2,行为概览!$D$3:$K$33,8,0)*玩法行为规划!O5)</f>
        <v/>
      </c>
      <c r="Q5" s="7">
        <f>IF(VLOOKUP(Q$2,行为概览!$D$3:$K$33,8,0)="","",VLOOKUP(Q$2,行为概览!$D$3:$K$33,8,0)*玩法行为规划!P5)</f>
        <v>5.2</v>
      </c>
      <c r="R5" s="7" t="str">
        <f>IF(VLOOKUP(R$2,行为概览!$D$3:$K$33,8,0)="","",VLOOKUP(R$2,行为概览!$D$3:$K$33,8,0)*玩法行为规划!Q5)</f>
        <v/>
      </c>
      <c r="S5" s="7">
        <f>IF(VLOOKUP(S$2,行为概览!$D$3:$K$33,8,0)="","",VLOOKUP(S$2,行为概览!$D$3:$K$33,8,0)*玩法行为规划!R5)</f>
        <v>0</v>
      </c>
      <c r="T5" s="7">
        <f>IF(VLOOKUP(T$2,行为概览!$D$3:$K$33,8,0)="","",VLOOKUP(T$2,行为概览!$D$3:$K$33,8,0)*玩法行为规划!S5)</f>
        <v>0</v>
      </c>
      <c r="U5" s="7">
        <f>IF(VLOOKUP(U$2,行为概览!$D$3:$K$33,8,0)="","",VLOOKUP(U$2,行为概览!$D$3:$K$33,8,0)*玩法行为规划!T5)</f>
        <v>0</v>
      </c>
      <c r="V5" s="7">
        <f>IF(VLOOKUP(V$2,行为概览!$D$3:$K$33,8,0)="","",VLOOKUP(V$2,行为概览!$D$3:$K$33,8,0)*玩法行为规划!U5)</f>
        <v>0</v>
      </c>
      <c r="W5" s="7" t="str">
        <f>IF(VLOOKUP(W$2,行为概览!$D$3:$K$33,8,0)="","",VLOOKUP(W$2,行为概览!$D$3:$K$33,8,0)*玩法行为规划!V5)</f>
        <v/>
      </c>
      <c r="X5" s="7" t="str">
        <f>IF(VLOOKUP(X$2,行为概览!$D$3:$K$33,8,0)="","",VLOOKUP(X$2,行为概览!$D$3:$K$33,8,0)*玩法行为规划!W5)</f>
        <v/>
      </c>
      <c r="Y5" s="7">
        <f>IF(VLOOKUP(Y$2,行为概览!$D$3:$K$33,8,0)="","",VLOOKUP(Y$2,行为概览!$D$3:$K$33,8,0)*玩法行为规划!X5)</f>
        <v>0</v>
      </c>
      <c r="Z5" s="7" t="str">
        <f>IF(VLOOKUP(Z$2,行为概览!$D$3:$K$33,8,0)="","",VLOOKUP(Z$2,行为概览!$D$3:$K$33,8,0)*玩法行为规划!Y5)</f>
        <v/>
      </c>
      <c r="AA5" s="7">
        <f>IF(VLOOKUP(AA$2,行为概览!$D$3:$K$33,8,0)="","",VLOOKUP(AA$2,行为概览!$D$3:$K$33,8,0)*玩法行为规划!Z5)</f>
        <v>0</v>
      </c>
      <c r="AB5" s="7" t="str">
        <f>IF(VLOOKUP(AB$2,行为概览!$D$3:$K$33,8,0)="","",VLOOKUP(AB$2,行为概览!$D$3:$K$33,8,0)*玩法行为规划!AA5)</f>
        <v/>
      </c>
      <c r="AC5" s="7" t="str">
        <f>IF(VLOOKUP(AC$2,行为概览!$D$3:$K$33,8,0)="","",VLOOKUP(AC$2,行为概览!$D$3:$K$33,8,0)*玩法行为规划!AB5)</f>
        <v/>
      </c>
      <c r="AD5" s="7" t="str">
        <f>IF(VLOOKUP(AD$2,行为概览!$D$3:$K$33,8,0)="","",VLOOKUP(AD$2,行为概览!$D$3:$K$33,8,0)*玩法行为规划!AC5)</f>
        <v/>
      </c>
      <c r="AE5" s="7" t="str">
        <f>IF(VLOOKUP(AE$2,行为概览!$D$3:$K$33,8,0)="","",VLOOKUP(AE$2,行为概览!$D$3:$K$33,8,0)*玩法行为规划!AD5)</f>
        <v/>
      </c>
      <c r="AF5" s="7">
        <f t="shared" si="0"/>
        <v>5.2</v>
      </c>
      <c r="AG5" s="7">
        <f t="shared" si="1"/>
        <v>78000</v>
      </c>
      <c r="AH5" s="7">
        <f t="shared" si="4"/>
        <v>3220</v>
      </c>
      <c r="AI5" s="21"/>
      <c r="AJ5" s="73">
        <f t="shared" si="5"/>
        <v>470</v>
      </c>
      <c r="AK5" s="77">
        <f>ROUND(AG5*升级节奏!G5/AJ5,2)</f>
        <v>0</v>
      </c>
      <c r="AL5" s="77">
        <f>ROUND(AG5*升级节奏!G5/SUM($AJ$3:AJ5),2)</f>
        <v>0</v>
      </c>
      <c r="AM5" s="74">
        <f>ROUND(AG5*升级节奏!G5,2)</f>
        <v>0</v>
      </c>
      <c r="AN5" s="77">
        <f>ROUND(AG5*升级节奏!H5/SUM($AJ$3:AJ5),2)</f>
        <v>0</v>
      </c>
      <c r="AO5" s="7">
        <f t="shared" si="2"/>
        <v>250</v>
      </c>
      <c r="AP5" s="7">
        <f t="shared" si="3"/>
        <v>2</v>
      </c>
    </row>
    <row r="6" spans="1:42">
      <c r="A6" s="32">
        <v>4</v>
      </c>
      <c r="B6" s="87">
        <f>升级节奏!D6</f>
        <v>20000</v>
      </c>
      <c r="C6" s="7">
        <f>IF(VLOOKUP(C$2,行为概览!$D$3:$K$33,8,0)="","",VLOOKUP(C$2,行为概览!$D$3:$K$33,8,0)*玩法行为规划!B6)</f>
        <v>0</v>
      </c>
      <c r="D6" s="7">
        <f>IF(VLOOKUP(D$2,行为概览!$D$3:$K$33,8,0)="","",VLOOKUP(D$2,行为概览!$D$3:$K$33,8,0)*玩法行为规划!C6)</f>
        <v>0</v>
      </c>
      <c r="E6" s="7" t="str">
        <f>IF(VLOOKUP(E$2,行为概览!$D$3:$K$33,8,0)="","",VLOOKUP(E$2,行为概览!$D$3:$K$33,8,0)*玩法行为规划!D6)</f>
        <v/>
      </c>
      <c r="F6" s="7">
        <f>IF(VLOOKUP(F$2,行为概览!$D$3:$K$33,8,0)="","",VLOOKUP(F$2,行为概览!$D$3:$K$33,8,0)*玩法行为规划!E6)</f>
        <v>0</v>
      </c>
      <c r="G6" s="7">
        <f>IF(VLOOKUP(G$2,行为概览!$D$3:$K$33,8,0)="","",VLOOKUP(G$2,行为概览!$D$3:$K$33,8,0)*玩法行为规划!F6)</f>
        <v>0</v>
      </c>
      <c r="H6" s="7" t="str">
        <f>IF(VLOOKUP(H$2,行为概览!$D$3:$K$33,8,0)="","",VLOOKUP(H$2,行为概览!$D$3:$K$33,8,0)*玩法行为规划!G6)</f>
        <v/>
      </c>
      <c r="I6" s="7" t="str">
        <f>IF(VLOOKUP(I$2,行为概览!$D$3:$K$33,8,0)="","",VLOOKUP(I$2,行为概览!$D$3:$K$33,8,0)*玩法行为规划!H6)</f>
        <v/>
      </c>
      <c r="J6" s="7" t="str">
        <f>IF(VLOOKUP(J$2,行为概览!$D$3:$K$33,8,0)="","",VLOOKUP(J$2,行为概览!$D$3:$K$33,8,0)*玩法行为规划!I6)</f>
        <v/>
      </c>
      <c r="K6" s="7">
        <f>IF(VLOOKUP(K$2,行为概览!$D$3:$K$33,8,0)="","",VLOOKUP(K$2,行为概览!$D$3:$K$33,8,0)*玩法行为规划!J6)</f>
        <v>0</v>
      </c>
      <c r="L6" s="7" t="str">
        <f>IF(VLOOKUP(L$2,行为概览!$D$3:$K$33,8,0)="","",VLOOKUP(L$2,行为概览!$D$3:$K$33,8,0)*玩法行为规划!K6)</f>
        <v/>
      </c>
      <c r="M6" s="7" t="str">
        <f>IF(VLOOKUP(M$2,行为概览!$D$3:$K$33,8,0)="","",VLOOKUP(M$2,行为概览!$D$3:$K$33,8,0)*玩法行为规划!L6)</f>
        <v/>
      </c>
      <c r="N6" s="7">
        <f>IF(VLOOKUP(N$2,行为概览!$D$3:$K$33,8,0)="","",VLOOKUP(N$2,行为概览!$D$3:$K$33,8,0)*玩法行为规划!M6)</f>
        <v>0</v>
      </c>
      <c r="O6" s="7" t="str">
        <f>IF(VLOOKUP(O$2,行为概览!$D$3:$K$33,8,0)="","",VLOOKUP(O$2,行为概览!$D$3:$K$33,8,0)*玩法行为规划!N6)</f>
        <v/>
      </c>
      <c r="P6" s="7" t="str">
        <f>IF(VLOOKUP(P$2,行为概览!$D$3:$K$33,8,0)="","",VLOOKUP(P$2,行为概览!$D$3:$K$33,8,0)*玩法行为规划!O6)</f>
        <v/>
      </c>
      <c r="Q6" s="7">
        <f>IF(VLOOKUP(Q$2,行为概览!$D$3:$K$33,8,0)="","",VLOOKUP(Q$2,行为概览!$D$3:$K$33,8,0)*玩法行为规划!P6)</f>
        <v>5.2</v>
      </c>
      <c r="R6" s="7" t="str">
        <f>IF(VLOOKUP(R$2,行为概览!$D$3:$K$33,8,0)="","",VLOOKUP(R$2,行为概览!$D$3:$K$33,8,0)*玩法行为规划!Q6)</f>
        <v/>
      </c>
      <c r="S6" s="7">
        <f>IF(VLOOKUP(S$2,行为概览!$D$3:$K$33,8,0)="","",VLOOKUP(S$2,行为概览!$D$3:$K$33,8,0)*玩法行为规划!R6)</f>
        <v>0</v>
      </c>
      <c r="T6" s="7">
        <f>IF(VLOOKUP(T$2,行为概览!$D$3:$K$33,8,0)="","",VLOOKUP(T$2,行为概览!$D$3:$K$33,8,0)*玩法行为规划!S6)</f>
        <v>0</v>
      </c>
      <c r="U6" s="7">
        <f>IF(VLOOKUP(U$2,行为概览!$D$3:$K$33,8,0)="","",VLOOKUP(U$2,行为概览!$D$3:$K$33,8,0)*玩法行为规划!T6)</f>
        <v>0</v>
      </c>
      <c r="V6" s="7">
        <f>IF(VLOOKUP(V$2,行为概览!$D$3:$K$33,8,0)="","",VLOOKUP(V$2,行为概览!$D$3:$K$33,8,0)*玩法行为规划!U6)</f>
        <v>0</v>
      </c>
      <c r="W6" s="7" t="str">
        <f>IF(VLOOKUP(W$2,行为概览!$D$3:$K$33,8,0)="","",VLOOKUP(W$2,行为概览!$D$3:$K$33,8,0)*玩法行为规划!V6)</f>
        <v/>
      </c>
      <c r="X6" s="7" t="str">
        <f>IF(VLOOKUP(X$2,行为概览!$D$3:$K$33,8,0)="","",VLOOKUP(X$2,行为概览!$D$3:$K$33,8,0)*玩法行为规划!W6)</f>
        <v/>
      </c>
      <c r="Y6" s="7">
        <f>IF(VLOOKUP(Y$2,行为概览!$D$3:$K$33,8,0)="","",VLOOKUP(Y$2,行为概览!$D$3:$K$33,8,0)*玩法行为规划!X6)</f>
        <v>0</v>
      </c>
      <c r="Z6" s="7" t="str">
        <f>IF(VLOOKUP(Z$2,行为概览!$D$3:$K$33,8,0)="","",VLOOKUP(Z$2,行为概览!$D$3:$K$33,8,0)*玩法行为规划!Y6)</f>
        <v/>
      </c>
      <c r="AA6" s="7">
        <f>IF(VLOOKUP(AA$2,行为概览!$D$3:$K$33,8,0)="","",VLOOKUP(AA$2,行为概览!$D$3:$K$33,8,0)*玩法行为规划!Z6)</f>
        <v>0</v>
      </c>
      <c r="AB6" s="7" t="str">
        <f>IF(VLOOKUP(AB$2,行为概览!$D$3:$K$33,8,0)="","",VLOOKUP(AB$2,行为概览!$D$3:$K$33,8,0)*玩法行为规划!AA6)</f>
        <v/>
      </c>
      <c r="AC6" s="7" t="str">
        <f>IF(VLOOKUP(AC$2,行为概览!$D$3:$K$33,8,0)="","",VLOOKUP(AC$2,行为概览!$D$3:$K$33,8,0)*玩法行为规划!AB6)</f>
        <v/>
      </c>
      <c r="AD6" s="7" t="str">
        <f>IF(VLOOKUP(AD$2,行为概览!$D$3:$K$33,8,0)="","",VLOOKUP(AD$2,行为概览!$D$3:$K$33,8,0)*玩法行为规划!AC6)</f>
        <v/>
      </c>
      <c r="AE6" s="7" t="str">
        <f>IF(VLOOKUP(AE$2,行为概览!$D$3:$K$33,8,0)="","",VLOOKUP(AE$2,行为概览!$D$3:$K$33,8,0)*玩法行为规划!AD6)</f>
        <v/>
      </c>
      <c r="AF6" s="7">
        <f t="shared" si="0"/>
        <v>5.2</v>
      </c>
      <c r="AG6" s="7">
        <f t="shared" si="1"/>
        <v>104000</v>
      </c>
      <c r="AH6" s="7">
        <f t="shared" si="4"/>
        <v>4070</v>
      </c>
      <c r="AI6" s="21"/>
      <c r="AJ6" s="73">
        <f t="shared" si="5"/>
        <v>820</v>
      </c>
      <c r="AK6" s="77">
        <f>ROUND(AG6*升级节奏!G6/AJ6,2)</f>
        <v>0</v>
      </c>
      <c r="AL6" s="77">
        <f>ROUND(AG6*升级节奏!G6/SUM($AJ$3:AJ6),2)</f>
        <v>0</v>
      </c>
      <c r="AM6" s="74">
        <f>ROUND(AG6*升级节奏!G6,2)</f>
        <v>0</v>
      </c>
      <c r="AN6" s="77">
        <f>ROUND(AG6*升级节奏!H6/SUM($AJ$3:AJ6),2)</f>
        <v>0</v>
      </c>
      <c r="AO6" s="7">
        <f t="shared" si="2"/>
        <v>333</v>
      </c>
      <c r="AP6" s="7">
        <f t="shared" si="3"/>
        <v>2</v>
      </c>
    </row>
    <row r="7" spans="1:42">
      <c r="A7" s="32">
        <v>5</v>
      </c>
      <c r="B7" s="87">
        <f>升级节奏!D7</f>
        <v>25000</v>
      </c>
      <c r="C7" s="7">
        <f>IF(VLOOKUP(C$2,行为概览!$D$3:$K$33,8,0)="","",VLOOKUP(C$2,行为概览!$D$3:$K$33,8,0)*玩法行为规划!B7)</f>
        <v>0</v>
      </c>
      <c r="D7" s="7">
        <f>IF(VLOOKUP(D$2,行为概览!$D$3:$K$33,8,0)="","",VLOOKUP(D$2,行为概览!$D$3:$K$33,8,0)*玩法行为规划!C7)</f>
        <v>0</v>
      </c>
      <c r="E7" s="7" t="str">
        <f>IF(VLOOKUP(E$2,行为概览!$D$3:$K$33,8,0)="","",VLOOKUP(E$2,行为概览!$D$3:$K$33,8,0)*玩法行为规划!D7)</f>
        <v/>
      </c>
      <c r="F7" s="7">
        <f>IF(VLOOKUP(F$2,行为概览!$D$3:$K$33,8,0)="","",VLOOKUP(F$2,行为概览!$D$3:$K$33,8,0)*玩法行为规划!E7)</f>
        <v>0</v>
      </c>
      <c r="G7" s="7">
        <f>IF(VLOOKUP(G$2,行为概览!$D$3:$K$33,8,0)="","",VLOOKUP(G$2,行为概览!$D$3:$K$33,8,0)*玩法行为规划!F7)</f>
        <v>0</v>
      </c>
      <c r="H7" s="7" t="str">
        <f>IF(VLOOKUP(H$2,行为概览!$D$3:$K$33,8,0)="","",VLOOKUP(H$2,行为概览!$D$3:$K$33,8,0)*玩法行为规划!G7)</f>
        <v/>
      </c>
      <c r="I7" s="7" t="str">
        <f>IF(VLOOKUP(I$2,行为概览!$D$3:$K$33,8,0)="","",VLOOKUP(I$2,行为概览!$D$3:$K$33,8,0)*玩法行为规划!H7)</f>
        <v/>
      </c>
      <c r="J7" s="7" t="str">
        <f>IF(VLOOKUP(J$2,行为概览!$D$3:$K$33,8,0)="","",VLOOKUP(J$2,行为概览!$D$3:$K$33,8,0)*玩法行为规划!I7)</f>
        <v/>
      </c>
      <c r="K7" s="7">
        <f>IF(VLOOKUP(K$2,行为概览!$D$3:$K$33,8,0)="","",VLOOKUP(K$2,行为概览!$D$3:$K$33,8,0)*玩法行为规划!J7)</f>
        <v>0</v>
      </c>
      <c r="L7" s="7" t="str">
        <f>IF(VLOOKUP(L$2,行为概览!$D$3:$K$33,8,0)="","",VLOOKUP(L$2,行为概览!$D$3:$K$33,8,0)*玩法行为规划!K7)</f>
        <v/>
      </c>
      <c r="M7" s="7" t="str">
        <f>IF(VLOOKUP(M$2,行为概览!$D$3:$K$33,8,0)="","",VLOOKUP(M$2,行为概览!$D$3:$K$33,8,0)*玩法行为规划!L7)</f>
        <v/>
      </c>
      <c r="N7" s="7">
        <f>IF(VLOOKUP(N$2,行为概览!$D$3:$K$33,8,0)="","",VLOOKUP(N$2,行为概览!$D$3:$K$33,8,0)*玩法行为规划!M7)</f>
        <v>0</v>
      </c>
      <c r="O7" s="7" t="str">
        <f>IF(VLOOKUP(O$2,行为概览!$D$3:$K$33,8,0)="","",VLOOKUP(O$2,行为概览!$D$3:$K$33,8,0)*玩法行为规划!N7)</f>
        <v/>
      </c>
      <c r="P7" s="7" t="str">
        <f>IF(VLOOKUP(P$2,行为概览!$D$3:$K$33,8,0)="","",VLOOKUP(P$2,行为概览!$D$3:$K$33,8,0)*玩法行为规划!O7)</f>
        <v/>
      </c>
      <c r="Q7" s="7">
        <f>IF(VLOOKUP(Q$2,行为概览!$D$3:$K$33,8,0)="","",VLOOKUP(Q$2,行为概览!$D$3:$K$33,8,0)*玩法行为规划!P7)</f>
        <v>5.2</v>
      </c>
      <c r="R7" s="7" t="str">
        <f>IF(VLOOKUP(R$2,行为概览!$D$3:$K$33,8,0)="","",VLOOKUP(R$2,行为概览!$D$3:$K$33,8,0)*玩法行为规划!Q7)</f>
        <v/>
      </c>
      <c r="S7" s="7">
        <f>IF(VLOOKUP(S$2,行为概览!$D$3:$K$33,8,0)="","",VLOOKUP(S$2,行为概览!$D$3:$K$33,8,0)*玩法行为规划!R7)</f>
        <v>0</v>
      </c>
      <c r="T7" s="7">
        <f>IF(VLOOKUP(T$2,行为概览!$D$3:$K$33,8,0)="","",VLOOKUP(T$2,行为概览!$D$3:$K$33,8,0)*玩法行为规划!S7)</f>
        <v>0</v>
      </c>
      <c r="U7" s="7">
        <f>IF(VLOOKUP(U$2,行为概览!$D$3:$K$33,8,0)="","",VLOOKUP(U$2,行为概览!$D$3:$K$33,8,0)*玩法行为规划!T7)</f>
        <v>0</v>
      </c>
      <c r="V7" s="7">
        <f>IF(VLOOKUP(V$2,行为概览!$D$3:$K$33,8,0)="","",VLOOKUP(V$2,行为概览!$D$3:$K$33,8,0)*玩法行为规划!U7)</f>
        <v>0</v>
      </c>
      <c r="W7" s="7" t="str">
        <f>IF(VLOOKUP(W$2,行为概览!$D$3:$K$33,8,0)="","",VLOOKUP(W$2,行为概览!$D$3:$K$33,8,0)*玩法行为规划!V7)</f>
        <v/>
      </c>
      <c r="X7" s="7" t="str">
        <f>IF(VLOOKUP(X$2,行为概览!$D$3:$K$33,8,0)="","",VLOOKUP(X$2,行为概览!$D$3:$K$33,8,0)*玩法行为规划!W7)</f>
        <v/>
      </c>
      <c r="Y7" s="7">
        <f>IF(VLOOKUP(Y$2,行为概览!$D$3:$K$33,8,0)="","",VLOOKUP(Y$2,行为概览!$D$3:$K$33,8,0)*玩法行为规划!X7)</f>
        <v>0</v>
      </c>
      <c r="Z7" s="7" t="str">
        <f>IF(VLOOKUP(Z$2,行为概览!$D$3:$K$33,8,0)="","",VLOOKUP(Z$2,行为概览!$D$3:$K$33,8,0)*玩法行为规划!Y7)</f>
        <v/>
      </c>
      <c r="AA7" s="7">
        <f>IF(VLOOKUP(AA$2,行为概览!$D$3:$K$33,8,0)="","",VLOOKUP(AA$2,行为概览!$D$3:$K$33,8,0)*玩法行为规划!Z7)</f>
        <v>0</v>
      </c>
      <c r="AB7" s="7" t="str">
        <f>IF(VLOOKUP(AB$2,行为概览!$D$3:$K$33,8,0)="","",VLOOKUP(AB$2,行为概览!$D$3:$K$33,8,0)*玩法行为规划!AA7)</f>
        <v/>
      </c>
      <c r="AC7" s="7" t="str">
        <f>IF(VLOOKUP(AC$2,行为概览!$D$3:$K$33,8,0)="","",VLOOKUP(AC$2,行为概览!$D$3:$K$33,8,0)*玩法行为规划!AB7)</f>
        <v/>
      </c>
      <c r="AD7" s="7" t="str">
        <f>IF(VLOOKUP(AD$2,行为概览!$D$3:$K$33,8,0)="","",VLOOKUP(AD$2,行为概览!$D$3:$K$33,8,0)*玩法行为规划!AC7)</f>
        <v/>
      </c>
      <c r="AE7" s="7" t="str">
        <f>IF(VLOOKUP(AE$2,行为概览!$D$3:$K$33,8,0)="","",VLOOKUP(AE$2,行为概览!$D$3:$K$33,8,0)*玩法行为规划!AD7)</f>
        <v/>
      </c>
      <c r="AF7" s="7">
        <f t="shared" si="0"/>
        <v>5.2</v>
      </c>
      <c r="AG7" s="7">
        <f t="shared" si="1"/>
        <v>130000</v>
      </c>
      <c r="AH7" s="7">
        <f t="shared" si="4"/>
        <v>5020</v>
      </c>
      <c r="AI7" s="21"/>
      <c r="AJ7" s="73">
        <f t="shared" si="5"/>
        <v>1270</v>
      </c>
      <c r="AK7" s="77">
        <f>ROUND(AG7*升级节奏!G7/AJ7,2)</f>
        <v>0</v>
      </c>
      <c r="AL7" s="77">
        <f>ROUND(AG7*升级节奏!G7/SUM($AJ$3:AJ7),2)</f>
        <v>0</v>
      </c>
      <c r="AM7" s="74">
        <f>ROUND(AG7*升级节奏!G7,2)</f>
        <v>0</v>
      </c>
      <c r="AN7" s="77">
        <f>ROUND(AG7*升级节奏!H7/SUM($AJ$3:AJ7),2)</f>
        <v>0</v>
      </c>
      <c r="AO7" s="7">
        <f t="shared" si="2"/>
        <v>417</v>
      </c>
      <c r="AP7" s="7">
        <f t="shared" si="3"/>
        <v>3</v>
      </c>
    </row>
    <row r="8" spans="1:42">
      <c r="A8" s="32">
        <v>6</v>
      </c>
      <c r="B8" s="87">
        <f>升级节奏!D8</f>
        <v>30000</v>
      </c>
      <c r="C8" s="7">
        <f>IF(VLOOKUP(C$2,行为概览!$D$3:$K$33,8,0)="","",VLOOKUP(C$2,行为概览!$D$3:$K$33,8,0)*玩法行为规划!B8)</f>
        <v>0</v>
      </c>
      <c r="D8" s="7">
        <f>IF(VLOOKUP(D$2,行为概览!$D$3:$K$33,8,0)="","",VLOOKUP(D$2,行为概览!$D$3:$K$33,8,0)*玩法行为规划!C8)</f>
        <v>0</v>
      </c>
      <c r="E8" s="7" t="str">
        <f>IF(VLOOKUP(E$2,行为概览!$D$3:$K$33,8,0)="","",VLOOKUP(E$2,行为概览!$D$3:$K$33,8,0)*玩法行为规划!D8)</f>
        <v/>
      </c>
      <c r="F8" s="7">
        <f>IF(VLOOKUP(F$2,行为概览!$D$3:$K$33,8,0)="","",VLOOKUP(F$2,行为概览!$D$3:$K$33,8,0)*玩法行为规划!E8)</f>
        <v>0</v>
      </c>
      <c r="G8" s="7">
        <f>IF(VLOOKUP(G$2,行为概览!$D$3:$K$33,8,0)="","",VLOOKUP(G$2,行为概览!$D$3:$K$33,8,0)*玩法行为规划!F8)</f>
        <v>0</v>
      </c>
      <c r="H8" s="7" t="str">
        <f>IF(VLOOKUP(H$2,行为概览!$D$3:$K$33,8,0)="","",VLOOKUP(H$2,行为概览!$D$3:$K$33,8,0)*玩法行为规划!G8)</f>
        <v/>
      </c>
      <c r="I8" s="7" t="str">
        <f>IF(VLOOKUP(I$2,行为概览!$D$3:$K$33,8,0)="","",VLOOKUP(I$2,行为概览!$D$3:$K$33,8,0)*玩法行为规划!H8)</f>
        <v/>
      </c>
      <c r="J8" s="7" t="str">
        <f>IF(VLOOKUP(J$2,行为概览!$D$3:$K$33,8,0)="","",VLOOKUP(J$2,行为概览!$D$3:$K$33,8,0)*玩法行为规划!I8)</f>
        <v/>
      </c>
      <c r="K8" s="7">
        <f>IF(VLOOKUP(K$2,行为概览!$D$3:$K$33,8,0)="","",VLOOKUP(K$2,行为概览!$D$3:$K$33,8,0)*玩法行为规划!J8)</f>
        <v>0</v>
      </c>
      <c r="L8" s="7" t="str">
        <f>IF(VLOOKUP(L$2,行为概览!$D$3:$K$33,8,0)="","",VLOOKUP(L$2,行为概览!$D$3:$K$33,8,0)*玩法行为规划!K8)</f>
        <v/>
      </c>
      <c r="M8" s="7" t="str">
        <f>IF(VLOOKUP(M$2,行为概览!$D$3:$K$33,8,0)="","",VLOOKUP(M$2,行为概览!$D$3:$K$33,8,0)*玩法行为规划!L8)</f>
        <v/>
      </c>
      <c r="N8" s="7">
        <f>IF(VLOOKUP(N$2,行为概览!$D$3:$K$33,8,0)="","",VLOOKUP(N$2,行为概览!$D$3:$K$33,8,0)*玩法行为规划!M8)</f>
        <v>0</v>
      </c>
      <c r="O8" s="7" t="str">
        <f>IF(VLOOKUP(O$2,行为概览!$D$3:$K$33,8,0)="","",VLOOKUP(O$2,行为概览!$D$3:$K$33,8,0)*玩法行为规划!N8)</f>
        <v/>
      </c>
      <c r="P8" s="7" t="str">
        <f>IF(VLOOKUP(P$2,行为概览!$D$3:$K$33,8,0)="","",VLOOKUP(P$2,行为概览!$D$3:$K$33,8,0)*玩法行为规划!O8)</f>
        <v/>
      </c>
      <c r="Q8" s="7">
        <f>IF(VLOOKUP(Q$2,行为概览!$D$3:$K$33,8,0)="","",VLOOKUP(Q$2,行为概览!$D$3:$K$33,8,0)*玩法行为规划!P8)</f>
        <v>5.2</v>
      </c>
      <c r="R8" s="7" t="str">
        <f>IF(VLOOKUP(R$2,行为概览!$D$3:$K$33,8,0)="","",VLOOKUP(R$2,行为概览!$D$3:$K$33,8,0)*玩法行为规划!Q8)</f>
        <v/>
      </c>
      <c r="S8" s="7">
        <f>IF(VLOOKUP(S$2,行为概览!$D$3:$K$33,8,0)="","",VLOOKUP(S$2,行为概览!$D$3:$K$33,8,0)*玩法行为规划!R8)</f>
        <v>0</v>
      </c>
      <c r="T8" s="7">
        <f>IF(VLOOKUP(T$2,行为概览!$D$3:$K$33,8,0)="","",VLOOKUP(T$2,行为概览!$D$3:$K$33,8,0)*玩法行为规划!S8)</f>
        <v>0</v>
      </c>
      <c r="U8" s="7">
        <f>IF(VLOOKUP(U$2,行为概览!$D$3:$K$33,8,0)="","",VLOOKUP(U$2,行为概览!$D$3:$K$33,8,0)*玩法行为规划!T8)</f>
        <v>0</v>
      </c>
      <c r="V8" s="7">
        <f>IF(VLOOKUP(V$2,行为概览!$D$3:$K$33,8,0)="","",VLOOKUP(V$2,行为概览!$D$3:$K$33,8,0)*玩法行为规划!U8)</f>
        <v>0</v>
      </c>
      <c r="W8" s="7" t="str">
        <f>IF(VLOOKUP(W$2,行为概览!$D$3:$K$33,8,0)="","",VLOOKUP(W$2,行为概览!$D$3:$K$33,8,0)*玩法行为规划!V8)</f>
        <v/>
      </c>
      <c r="X8" s="7" t="str">
        <f>IF(VLOOKUP(X$2,行为概览!$D$3:$K$33,8,0)="","",VLOOKUP(X$2,行为概览!$D$3:$K$33,8,0)*玩法行为规划!W8)</f>
        <v/>
      </c>
      <c r="Y8" s="7">
        <f>IF(VLOOKUP(Y$2,行为概览!$D$3:$K$33,8,0)="","",VLOOKUP(Y$2,行为概览!$D$3:$K$33,8,0)*玩法行为规划!X8)</f>
        <v>0</v>
      </c>
      <c r="Z8" s="7" t="str">
        <f>IF(VLOOKUP(Z$2,行为概览!$D$3:$K$33,8,0)="","",VLOOKUP(Z$2,行为概览!$D$3:$K$33,8,0)*玩法行为规划!Y8)</f>
        <v/>
      </c>
      <c r="AA8" s="7">
        <f>IF(VLOOKUP(AA$2,行为概览!$D$3:$K$33,8,0)="","",VLOOKUP(AA$2,行为概览!$D$3:$K$33,8,0)*玩法行为规划!Z8)</f>
        <v>0</v>
      </c>
      <c r="AB8" s="7" t="str">
        <f>IF(VLOOKUP(AB$2,行为概览!$D$3:$K$33,8,0)="","",VLOOKUP(AB$2,行为概览!$D$3:$K$33,8,0)*玩法行为规划!AA8)</f>
        <v/>
      </c>
      <c r="AC8" s="7" t="str">
        <f>IF(VLOOKUP(AC$2,行为概览!$D$3:$K$33,8,0)="","",VLOOKUP(AC$2,行为概览!$D$3:$K$33,8,0)*玩法行为规划!AB8)</f>
        <v/>
      </c>
      <c r="AD8" s="7" t="str">
        <f>IF(VLOOKUP(AD$2,行为概览!$D$3:$K$33,8,0)="","",VLOOKUP(AD$2,行为概览!$D$3:$K$33,8,0)*玩法行为规划!AC8)</f>
        <v/>
      </c>
      <c r="AE8" s="7" t="str">
        <f>IF(VLOOKUP(AE$2,行为概览!$D$3:$K$33,8,0)="","",VLOOKUP(AE$2,行为概览!$D$3:$K$33,8,0)*玩法行为规划!AD8)</f>
        <v/>
      </c>
      <c r="AF8" s="7">
        <f t="shared" si="0"/>
        <v>5.2</v>
      </c>
      <c r="AG8" s="7">
        <f t="shared" si="1"/>
        <v>156000</v>
      </c>
      <c r="AH8" s="7">
        <f t="shared" si="4"/>
        <v>6070</v>
      </c>
      <c r="AI8" s="21"/>
      <c r="AJ8" s="73">
        <f t="shared" si="5"/>
        <v>1820</v>
      </c>
      <c r="AK8" s="77">
        <f>ROUND(AG8*升级节奏!G8/AJ8,2)</f>
        <v>0</v>
      </c>
      <c r="AL8" s="77">
        <f>ROUND(AG8*升级节奏!G8/SUM($AJ$3:AJ8),2)</f>
        <v>0</v>
      </c>
      <c r="AM8" s="74">
        <f>ROUND(AG8*升级节奏!G8,2)</f>
        <v>0</v>
      </c>
      <c r="AN8" s="77">
        <f>ROUND(AG8*升级节奏!H8/SUM($AJ$3:AJ8),2)</f>
        <v>0</v>
      </c>
      <c r="AO8" s="7">
        <f t="shared" si="2"/>
        <v>500</v>
      </c>
      <c r="AP8" s="7">
        <f t="shared" si="3"/>
        <v>4</v>
      </c>
    </row>
    <row r="9" spans="1:42">
      <c r="A9" s="32">
        <v>7</v>
      </c>
      <c r="B9" s="87">
        <f>升级节奏!D9</f>
        <v>35000</v>
      </c>
      <c r="C9" s="7">
        <f>IF(VLOOKUP(C$2,行为概览!$D$3:$K$33,8,0)="","",VLOOKUP(C$2,行为概览!$D$3:$K$33,8,0)*玩法行为规划!B9)</f>
        <v>0</v>
      </c>
      <c r="D9" s="7">
        <f>IF(VLOOKUP(D$2,行为概览!$D$3:$K$33,8,0)="","",VLOOKUP(D$2,行为概览!$D$3:$K$33,8,0)*玩法行为规划!C9)</f>
        <v>0</v>
      </c>
      <c r="E9" s="7" t="str">
        <f>IF(VLOOKUP(E$2,行为概览!$D$3:$K$33,8,0)="","",VLOOKUP(E$2,行为概览!$D$3:$K$33,8,0)*玩法行为规划!D9)</f>
        <v/>
      </c>
      <c r="F9" s="7">
        <f>IF(VLOOKUP(F$2,行为概览!$D$3:$K$33,8,0)="","",VLOOKUP(F$2,行为概览!$D$3:$K$33,8,0)*玩法行为规划!E9)</f>
        <v>0</v>
      </c>
      <c r="G9" s="7">
        <f>IF(VLOOKUP(G$2,行为概览!$D$3:$K$33,8,0)="","",VLOOKUP(G$2,行为概览!$D$3:$K$33,8,0)*玩法行为规划!F9)</f>
        <v>0</v>
      </c>
      <c r="H9" s="7" t="str">
        <f>IF(VLOOKUP(H$2,行为概览!$D$3:$K$33,8,0)="","",VLOOKUP(H$2,行为概览!$D$3:$K$33,8,0)*玩法行为规划!G9)</f>
        <v/>
      </c>
      <c r="I9" s="7" t="str">
        <f>IF(VLOOKUP(I$2,行为概览!$D$3:$K$33,8,0)="","",VLOOKUP(I$2,行为概览!$D$3:$K$33,8,0)*玩法行为规划!H9)</f>
        <v/>
      </c>
      <c r="J9" s="7" t="str">
        <f>IF(VLOOKUP(J$2,行为概览!$D$3:$K$33,8,0)="","",VLOOKUP(J$2,行为概览!$D$3:$K$33,8,0)*玩法行为规划!I9)</f>
        <v/>
      </c>
      <c r="K9" s="7">
        <f>IF(VLOOKUP(K$2,行为概览!$D$3:$K$33,8,0)="","",VLOOKUP(K$2,行为概览!$D$3:$K$33,8,0)*玩法行为规划!J9)</f>
        <v>0</v>
      </c>
      <c r="L9" s="7" t="str">
        <f>IF(VLOOKUP(L$2,行为概览!$D$3:$K$33,8,0)="","",VLOOKUP(L$2,行为概览!$D$3:$K$33,8,0)*玩法行为规划!K9)</f>
        <v/>
      </c>
      <c r="M9" s="7" t="str">
        <f>IF(VLOOKUP(M$2,行为概览!$D$3:$K$33,8,0)="","",VLOOKUP(M$2,行为概览!$D$3:$K$33,8,0)*玩法行为规划!L9)</f>
        <v/>
      </c>
      <c r="N9" s="7">
        <f>IF(VLOOKUP(N$2,行为概览!$D$3:$K$33,8,0)="","",VLOOKUP(N$2,行为概览!$D$3:$K$33,8,0)*玩法行为规划!M9)</f>
        <v>0</v>
      </c>
      <c r="O9" s="7" t="str">
        <f>IF(VLOOKUP(O$2,行为概览!$D$3:$K$33,8,0)="","",VLOOKUP(O$2,行为概览!$D$3:$K$33,8,0)*玩法行为规划!N9)</f>
        <v/>
      </c>
      <c r="P9" s="7" t="str">
        <f>IF(VLOOKUP(P$2,行为概览!$D$3:$K$33,8,0)="","",VLOOKUP(P$2,行为概览!$D$3:$K$33,8,0)*玩法行为规划!O9)</f>
        <v/>
      </c>
      <c r="Q9" s="7">
        <f>IF(VLOOKUP(Q$2,行为概览!$D$3:$K$33,8,0)="","",VLOOKUP(Q$2,行为概览!$D$3:$K$33,8,0)*玩法行为规划!P9)</f>
        <v>5.2</v>
      </c>
      <c r="R9" s="7" t="str">
        <f>IF(VLOOKUP(R$2,行为概览!$D$3:$K$33,8,0)="","",VLOOKUP(R$2,行为概览!$D$3:$K$33,8,0)*玩法行为规划!Q9)</f>
        <v/>
      </c>
      <c r="S9" s="7">
        <f>IF(VLOOKUP(S$2,行为概览!$D$3:$K$33,8,0)="","",VLOOKUP(S$2,行为概览!$D$3:$K$33,8,0)*玩法行为规划!R9)</f>
        <v>0</v>
      </c>
      <c r="T9" s="7">
        <f>IF(VLOOKUP(T$2,行为概览!$D$3:$K$33,8,0)="","",VLOOKUP(T$2,行为概览!$D$3:$K$33,8,0)*玩法行为规划!S9)</f>
        <v>0</v>
      </c>
      <c r="U9" s="7">
        <f>IF(VLOOKUP(U$2,行为概览!$D$3:$K$33,8,0)="","",VLOOKUP(U$2,行为概览!$D$3:$K$33,8,0)*玩法行为规划!T9)</f>
        <v>0</v>
      </c>
      <c r="V9" s="7">
        <f>IF(VLOOKUP(V$2,行为概览!$D$3:$K$33,8,0)="","",VLOOKUP(V$2,行为概览!$D$3:$K$33,8,0)*玩法行为规划!U9)</f>
        <v>0</v>
      </c>
      <c r="W9" s="7" t="str">
        <f>IF(VLOOKUP(W$2,行为概览!$D$3:$K$33,8,0)="","",VLOOKUP(W$2,行为概览!$D$3:$K$33,8,0)*玩法行为规划!V9)</f>
        <v/>
      </c>
      <c r="X9" s="7" t="str">
        <f>IF(VLOOKUP(X$2,行为概览!$D$3:$K$33,8,0)="","",VLOOKUP(X$2,行为概览!$D$3:$K$33,8,0)*玩法行为规划!W9)</f>
        <v/>
      </c>
      <c r="Y9" s="7">
        <f>IF(VLOOKUP(Y$2,行为概览!$D$3:$K$33,8,0)="","",VLOOKUP(Y$2,行为概览!$D$3:$K$33,8,0)*玩法行为规划!X9)</f>
        <v>0</v>
      </c>
      <c r="Z9" s="7" t="str">
        <f>IF(VLOOKUP(Z$2,行为概览!$D$3:$K$33,8,0)="","",VLOOKUP(Z$2,行为概览!$D$3:$K$33,8,0)*玩法行为规划!Y9)</f>
        <v/>
      </c>
      <c r="AA9" s="7">
        <f>IF(VLOOKUP(AA$2,行为概览!$D$3:$K$33,8,0)="","",VLOOKUP(AA$2,行为概览!$D$3:$K$33,8,0)*玩法行为规划!Z9)</f>
        <v>0</v>
      </c>
      <c r="AB9" s="7" t="str">
        <f>IF(VLOOKUP(AB$2,行为概览!$D$3:$K$33,8,0)="","",VLOOKUP(AB$2,行为概览!$D$3:$K$33,8,0)*玩法行为规划!AA9)</f>
        <v/>
      </c>
      <c r="AC9" s="7" t="str">
        <f>IF(VLOOKUP(AC$2,行为概览!$D$3:$K$33,8,0)="","",VLOOKUP(AC$2,行为概览!$D$3:$K$33,8,0)*玩法行为规划!AB9)</f>
        <v/>
      </c>
      <c r="AD9" s="7" t="str">
        <f>IF(VLOOKUP(AD$2,行为概览!$D$3:$K$33,8,0)="","",VLOOKUP(AD$2,行为概览!$D$3:$K$33,8,0)*玩法行为规划!AC9)</f>
        <v/>
      </c>
      <c r="AE9" s="7" t="str">
        <f>IF(VLOOKUP(AE$2,行为概览!$D$3:$K$33,8,0)="","",VLOOKUP(AE$2,行为概览!$D$3:$K$33,8,0)*玩法行为规划!AD9)</f>
        <v/>
      </c>
      <c r="AF9" s="7">
        <f t="shared" si="0"/>
        <v>5.2</v>
      </c>
      <c r="AG9" s="7">
        <f t="shared" si="1"/>
        <v>182000</v>
      </c>
      <c r="AH9" s="7">
        <f t="shared" si="4"/>
        <v>7220</v>
      </c>
      <c r="AI9" s="21"/>
      <c r="AJ9" s="73">
        <f t="shared" si="5"/>
        <v>2470</v>
      </c>
      <c r="AK9" s="77">
        <f>ROUND(AG9*升级节奏!G9/AJ9,2)</f>
        <v>0</v>
      </c>
      <c r="AL9" s="77">
        <f>ROUND(AG9*升级节奏!G9/SUM($AJ$3:AJ9),2)</f>
        <v>0</v>
      </c>
      <c r="AM9" s="74">
        <f>ROUND(AG9*升级节奏!G9,2)</f>
        <v>0</v>
      </c>
      <c r="AN9" s="77">
        <f>ROUND(AG9*升级节奏!H9/SUM($AJ$3:AJ9),2)</f>
        <v>0</v>
      </c>
      <c r="AO9" s="7">
        <f t="shared" si="2"/>
        <v>583</v>
      </c>
      <c r="AP9" s="7">
        <f t="shared" si="3"/>
        <v>4</v>
      </c>
    </row>
    <row r="10" spans="1:42">
      <c r="A10" s="32">
        <v>8</v>
      </c>
      <c r="B10" s="87">
        <f>升级节奏!D10</f>
        <v>40000</v>
      </c>
      <c r="C10" s="7">
        <f>IF(VLOOKUP(C$2,行为概览!$D$3:$K$33,8,0)="","",VLOOKUP(C$2,行为概览!$D$3:$K$33,8,0)*玩法行为规划!B10)</f>
        <v>0</v>
      </c>
      <c r="D10" s="7">
        <f>IF(VLOOKUP(D$2,行为概览!$D$3:$K$33,8,0)="","",VLOOKUP(D$2,行为概览!$D$3:$K$33,8,0)*玩法行为规划!C10)</f>
        <v>0</v>
      </c>
      <c r="E10" s="7" t="str">
        <f>IF(VLOOKUP(E$2,行为概览!$D$3:$K$33,8,0)="","",VLOOKUP(E$2,行为概览!$D$3:$K$33,8,0)*玩法行为规划!D10)</f>
        <v/>
      </c>
      <c r="F10" s="7">
        <f>IF(VLOOKUP(F$2,行为概览!$D$3:$K$33,8,0)="","",VLOOKUP(F$2,行为概览!$D$3:$K$33,8,0)*玩法行为规划!E10)</f>
        <v>0</v>
      </c>
      <c r="G10" s="7">
        <f>IF(VLOOKUP(G$2,行为概览!$D$3:$K$33,8,0)="","",VLOOKUP(G$2,行为概览!$D$3:$K$33,8,0)*玩法行为规划!F10)</f>
        <v>0</v>
      </c>
      <c r="H10" s="7" t="str">
        <f>IF(VLOOKUP(H$2,行为概览!$D$3:$K$33,8,0)="","",VLOOKUP(H$2,行为概览!$D$3:$K$33,8,0)*玩法行为规划!G10)</f>
        <v/>
      </c>
      <c r="I10" s="7" t="str">
        <f>IF(VLOOKUP(I$2,行为概览!$D$3:$K$33,8,0)="","",VLOOKUP(I$2,行为概览!$D$3:$K$33,8,0)*玩法行为规划!H10)</f>
        <v/>
      </c>
      <c r="J10" s="7" t="str">
        <f>IF(VLOOKUP(J$2,行为概览!$D$3:$K$33,8,0)="","",VLOOKUP(J$2,行为概览!$D$3:$K$33,8,0)*玩法行为规划!I10)</f>
        <v/>
      </c>
      <c r="K10" s="7">
        <f>IF(VLOOKUP(K$2,行为概览!$D$3:$K$33,8,0)="","",VLOOKUP(K$2,行为概览!$D$3:$K$33,8,0)*玩法行为规划!J10)</f>
        <v>0</v>
      </c>
      <c r="L10" s="7" t="str">
        <f>IF(VLOOKUP(L$2,行为概览!$D$3:$K$33,8,0)="","",VLOOKUP(L$2,行为概览!$D$3:$K$33,8,0)*玩法行为规划!K10)</f>
        <v/>
      </c>
      <c r="M10" s="7" t="str">
        <f>IF(VLOOKUP(M$2,行为概览!$D$3:$K$33,8,0)="","",VLOOKUP(M$2,行为概览!$D$3:$K$33,8,0)*玩法行为规划!L10)</f>
        <v/>
      </c>
      <c r="N10" s="7">
        <f>IF(VLOOKUP(N$2,行为概览!$D$3:$K$33,8,0)="","",VLOOKUP(N$2,行为概览!$D$3:$K$33,8,0)*玩法行为规划!M10)</f>
        <v>0</v>
      </c>
      <c r="O10" s="7" t="str">
        <f>IF(VLOOKUP(O$2,行为概览!$D$3:$K$33,8,0)="","",VLOOKUP(O$2,行为概览!$D$3:$K$33,8,0)*玩法行为规划!N10)</f>
        <v/>
      </c>
      <c r="P10" s="7" t="str">
        <f>IF(VLOOKUP(P$2,行为概览!$D$3:$K$33,8,0)="","",VLOOKUP(P$2,行为概览!$D$3:$K$33,8,0)*玩法行为规划!O10)</f>
        <v/>
      </c>
      <c r="Q10" s="7">
        <f>IF(VLOOKUP(Q$2,行为概览!$D$3:$K$33,8,0)="","",VLOOKUP(Q$2,行为概览!$D$3:$K$33,8,0)*玩法行为规划!P10)</f>
        <v>5.2</v>
      </c>
      <c r="R10" s="7" t="str">
        <f>IF(VLOOKUP(R$2,行为概览!$D$3:$K$33,8,0)="","",VLOOKUP(R$2,行为概览!$D$3:$K$33,8,0)*玩法行为规划!Q10)</f>
        <v/>
      </c>
      <c r="S10" s="7">
        <f>IF(VLOOKUP(S$2,行为概览!$D$3:$K$33,8,0)="","",VLOOKUP(S$2,行为概览!$D$3:$K$33,8,0)*玩法行为规划!R10)</f>
        <v>0</v>
      </c>
      <c r="T10" s="7">
        <f>IF(VLOOKUP(T$2,行为概览!$D$3:$K$33,8,0)="","",VLOOKUP(T$2,行为概览!$D$3:$K$33,8,0)*玩法行为规划!S10)</f>
        <v>0</v>
      </c>
      <c r="U10" s="7">
        <f>IF(VLOOKUP(U$2,行为概览!$D$3:$K$33,8,0)="","",VLOOKUP(U$2,行为概览!$D$3:$K$33,8,0)*玩法行为规划!T10)</f>
        <v>0</v>
      </c>
      <c r="V10" s="7">
        <f>IF(VLOOKUP(V$2,行为概览!$D$3:$K$33,8,0)="","",VLOOKUP(V$2,行为概览!$D$3:$K$33,8,0)*玩法行为规划!U10)</f>
        <v>0</v>
      </c>
      <c r="W10" s="7" t="str">
        <f>IF(VLOOKUP(W$2,行为概览!$D$3:$K$33,8,0)="","",VLOOKUP(W$2,行为概览!$D$3:$K$33,8,0)*玩法行为规划!V10)</f>
        <v/>
      </c>
      <c r="X10" s="7" t="str">
        <f>IF(VLOOKUP(X$2,行为概览!$D$3:$K$33,8,0)="","",VLOOKUP(X$2,行为概览!$D$3:$K$33,8,0)*玩法行为规划!W10)</f>
        <v/>
      </c>
      <c r="Y10" s="7">
        <f>IF(VLOOKUP(Y$2,行为概览!$D$3:$K$33,8,0)="","",VLOOKUP(Y$2,行为概览!$D$3:$K$33,8,0)*玩法行为规划!X10)</f>
        <v>0</v>
      </c>
      <c r="Z10" s="7" t="str">
        <f>IF(VLOOKUP(Z$2,行为概览!$D$3:$K$33,8,0)="","",VLOOKUP(Z$2,行为概览!$D$3:$K$33,8,0)*玩法行为规划!Y10)</f>
        <v/>
      </c>
      <c r="AA10" s="7">
        <f>IF(VLOOKUP(AA$2,行为概览!$D$3:$K$33,8,0)="","",VLOOKUP(AA$2,行为概览!$D$3:$K$33,8,0)*玩法行为规划!Z10)</f>
        <v>0</v>
      </c>
      <c r="AB10" s="7" t="str">
        <f>IF(VLOOKUP(AB$2,行为概览!$D$3:$K$33,8,0)="","",VLOOKUP(AB$2,行为概览!$D$3:$K$33,8,0)*玩法行为规划!AA10)</f>
        <v/>
      </c>
      <c r="AC10" s="7" t="str">
        <f>IF(VLOOKUP(AC$2,行为概览!$D$3:$K$33,8,0)="","",VLOOKUP(AC$2,行为概览!$D$3:$K$33,8,0)*玩法行为规划!AB10)</f>
        <v/>
      </c>
      <c r="AD10" s="7" t="str">
        <f>IF(VLOOKUP(AD$2,行为概览!$D$3:$K$33,8,0)="","",VLOOKUP(AD$2,行为概览!$D$3:$K$33,8,0)*玩法行为规划!AC10)</f>
        <v/>
      </c>
      <c r="AE10" s="7" t="str">
        <f>IF(VLOOKUP(AE$2,行为概览!$D$3:$K$33,8,0)="","",VLOOKUP(AE$2,行为概览!$D$3:$K$33,8,0)*玩法行为规划!AD10)</f>
        <v/>
      </c>
      <c r="AF10" s="7">
        <f t="shared" si="0"/>
        <v>5.2</v>
      </c>
      <c r="AG10" s="7">
        <f t="shared" si="1"/>
        <v>208000</v>
      </c>
      <c r="AH10" s="7">
        <f t="shared" si="4"/>
        <v>8470</v>
      </c>
      <c r="AI10" s="21"/>
      <c r="AJ10" s="73">
        <f t="shared" si="5"/>
        <v>3220</v>
      </c>
      <c r="AK10" s="77">
        <f>ROUND(AG10*升级节奏!G10/AJ10,2)</f>
        <v>0</v>
      </c>
      <c r="AL10" s="77">
        <f>ROUND(AG10*升级节奏!G10/SUM($AJ$3:AJ10),2)</f>
        <v>0</v>
      </c>
      <c r="AM10" s="74">
        <f>ROUND(AG10*升级节奏!G10,2)</f>
        <v>0</v>
      </c>
      <c r="AN10" s="77">
        <f>ROUND(AG10*升级节奏!H10/SUM($AJ$3:AJ10),2)</f>
        <v>0</v>
      </c>
      <c r="AO10" s="7">
        <f t="shared" si="2"/>
        <v>667</v>
      </c>
      <c r="AP10" s="7">
        <f t="shared" si="3"/>
        <v>5</v>
      </c>
    </row>
    <row r="11" spans="1:42">
      <c r="A11" s="32">
        <v>9</v>
      </c>
      <c r="B11" s="87">
        <f>升级节奏!D11</f>
        <v>45000</v>
      </c>
      <c r="C11" s="7">
        <f>IF(VLOOKUP(C$2,行为概览!$D$3:$K$33,8,0)="","",VLOOKUP(C$2,行为概览!$D$3:$K$33,8,0)*玩法行为规划!B11)</f>
        <v>0</v>
      </c>
      <c r="D11" s="7">
        <f>IF(VLOOKUP(D$2,行为概览!$D$3:$K$33,8,0)="","",VLOOKUP(D$2,行为概览!$D$3:$K$33,8,0)*玩法行为规划!C11)</f>
        <v>0</v>
      </c>
      <c r="E11" s="7" t="str">
        <f>IF(VLOOKUP(E$2,行为概览!$D$3:$K$33,8,0)="","",VLOOKUP(E$2,行为概览!$D$3:$K$33,8,0)*玩法行为规划!D11)</f>
        <v/>
      </c>
      <c r="F11" s="7">
        <f>IF(VLOOKUP(F$2,行为概览!$D$3:$K$33,8,0)="","",VLOOKUP(F$2,行为概览!$D$3:$K$33,8,0)*玩法行为规划!E11)</f>
        <v>0</v>
      </c>
      <c r="G11" s="7">
        <f>IF(VLOOKUP(G$2,行为概览!$D$3:$K$33,8,0)="","",VLOOKUP(G$2,行为概览!$D$3:$K$33,8,0)*玩法行为规划!F11)</f>
        <v>0</v>
      </c>
      <c r="H11" s="7" t="str">
        <f>IF(VLOOKUP(H$2,行为概览!$D$3:$K$33,8,0)="","",VLOOKUP(H$2,行为概览!$D$3:$K$33,8,0)*玩法行为规划!G11)</f>
        <v/>
      </c>
      <c r="I11" s="7" t="str">
        <f>IF(VLOOKUP(I$2,行为概览!$D$3:$K$33,8,0)="","",VLOOKUP(I$2,行为概览!$D$3:$K$33,8,0)*玩法行为规划!H11)</f>
        <v/>
      </c>
      <c r="J11" s="7" t="str">
        <f>IF(VLOOKUP(J$2,行为概览!$D$3:$K$33,8,0)="","",VLOOKUP(J$2,行为概览!$D$3:$K$33,8,0)*玩法行为规划!I11)</f>
        <v/>
      </c>
      <c r="K11" s="7">
        <f>IF(VLOOKUP(K$2,行为概览!$D$3:$K$33,8,0)="","",VLOOKUP(K$2,行为概览!$D$3:$K$33,8,0)*玩法行为规划!J11)</f>
        <v>0</v>
      </c>
      <c r="L11" s="7" t="str">
        <f>IF(VLOOKUP(L$2,行为概览!$D$3:$K$33,8,0)="","",VLOOKUP(L$2,行为概览!$D$3:$K$33,8,0)*玩法行为规划!K11)</f>
        <v/>
      </c>
      <c r="M11" s="7" t="str">
        <f>IF(VLOOKUP(M$2,行为概览!$D$3:$K$33,8,0)="","",VLOOKUP(M$2,行为概览!$D$3:$K$33,8,0)*玩法行为规划!L11)</f>
        <v/>
      </c>
      <c r="N11" s="7">
        <f>IF(VLOOKUP(N$2,行为概览!$D$3:$K$33,8,0)="","",VLOOKUP(N$2,行为概览!$D$3:$K$33,8,0)*玩法行为规划!M11)</f>
        <v>0</v>
      </c>
      <c r="O11" s="7" t="str">
        <f>IF(VLOOKUP(O$2,行为概览!$D$3:$K$33,8,0)="","",VLOOKUP(O$2,行为概览!$D$3:$K$33,8,0)*玩法行为规划!N11)</f>
        <v/>
      </c>
      <c r="P11" s="7" t="str">
        <f>IF(VLOOKUP(P$2,行为概览!$D$3:$K$33,8,0)="","",VLOOKUP(P$2,行为概览!$D$3:$K$33,8,0)*玩法行为规划!O11)</f>
        <v/>
      </c>
      <c r="Q11" s="7">
        <f>IF(VLOOKUP(Q$2,行为概览!$D$3:$K$33,8,0)="","",VLOOKUP(Q$2,行为概览!$D$3:$K$33,8,0)*玩法行为规划!P11)</f>
        <v>5.2</v>
      </c>
      <c r="R11" s="7" t="str">
        <f>IF(VLOOKUP(R$2,行为概览!$D$3:$K$33,8,0)="","",VLOOKUP(R$2,行为概览!$D$3:$K$33,8,0)*玩法行为规划!Q11)</f>
        <v/>
      </c>
      <c r="S11" s="7">
        <f>IF(VLOOKUP(S$2,行为概览!$D$3:$K$33,8,0)="","",VLOOKUP(S$2,行为概览!$D$3:$K$33,8,0)*玩法行为规划!R11)</f>
        <v>0</v>
      </c>
      <c r="T11" s="7">
        <f>IF(VLOOKUP(T$2,行为概览!$D$3:$K$33,8,0)="","",VLOOKUP(T$2,行为概览!$D$3:$K$33,8,0)*玩法行为规划!S11)</f>
        <v>0</v>
      </c>
      <c r="U11" s="7">
        <f>IF(VLOOKUP(U$2,行为概览!$D$3:$K$33,8,0)="","",VLOOKUP(U$2,行为概览!$D$3:$K$33,8,0)*玩法行为规划!T11)</f>
        <v>0</v>
      </c>
      <c r="V11" s="7">
        <f>IF(VLOOKUP(V$2,行为概览!$D$3:$K$33,8,0)="","",VLOOKUP(V$2,行为概览!$D$3:$K$33,8,0)*玩法行为规划!U11)</f>
        <v>0</v>
      </c>
      <c r="W11" s="7" t="str">
        <f>IF(VLOOKUP(W$2,行为概览!$D$3:$K$33,8,0)="","",VLOOKUP(W$2,行为概览!$D$3:$K$33,8,0)*玩法行为规划!V11)</f>
        <v/>
      </c>
      <c r="X11" s="7" t="str">
        <f>IF(VLOOKUP(X$2,行为概览!$D$3:$K$33,8,0)="","",VLOOKUP(X$2,行为概览!$D$3:$K$33,8,0)*玩法行为规划!W11)</f>
        <v/>
      </c>
      <c r="Y11" s="7">
        <f>IF(VLOOKUP(Y$2,行为概览!$D$3:$K$33,8,0)="","",VLOOKUP(Y$2,行为概览!$D$3:$K$33,8,0)*玩法行为规划!X11)</f>
        <v>0</v>
      </c>
      <c r="Z11" s="7" t="str">
        <f>IF(VLOOKUP(Z$2,行为概览!$D$3:$K$33,8,0)="","",VLOOKUP(Z$2,行为概览!$D$3:$K$33,8,0)*玩法行为规划!Y11)</f>
        <v/>
      </c>
      <c r="AA11" s="7">
        <f>IF(VLOOKUP(AA$2,行为概览!$D$3:$K$33,8,0)="","",VLOOKUP(AA$2,行为概览!$D$3:$K$33,8,0)*玩法行为规划!Z11)</f>
        <v>0</v>
      </c>
      <c r="AB11" s="7" t="str">
        <f>IF(VLOOKUP(AB$2,行为概览!$D$3:$K$33,8,0)="","",VLOOKUP(AB$2,行为概览!$D$3:$K$33,8,0)*玩法行为规划!AA11)</f>
        <v/>
      </c>
      <c r="AC11" s="7" t="str">
        <f>IF(VLOOKUP(AC$2,行为概览!$D$3:$K$33,8,0)="","",VLOOKUP(AC$2,行为概览!$D$3:$K$33,8,0)*玩法行为规划!AB11)</f>
        <v/>
      </c>
      <c r="AD11" s="7" t="str">
        <f>IF(VLOOKUP(AD$2,行为概览!$D$3:$K$33,8,0)="","",VLOOKUP(AD$2,行为概览!$D$3:$K$33,8,0)*玩法行为规划!AC11)</f>
        <v/>
      </c>
      <c r="AE11" s="7" t="str">
        <f>IF(VLOOKUP(AE$2,行为概览!$D$3:$K$33,8,0)="","",VLOOKUP(AE$2,行为概览!$D$3:$K$33,8,0)*玩法行为规划!AD11)</f>
        <v/>
      </c>
      <c r="AF11" s="7">
        <f t="shared" si="0"/>
        <v>5.2</v>
      </c>
      <c r="AG11" s="7">
        <f t="shared" si="1"/>
        <v>234000</v>
      </c>
      <c r="AH11" s="7">
        <f t="shared" si="4"/>
        <v>9820</v>
      </c>
      <c r="AI11" s="21"/>
      <c r="AJ11" s="73">
        <f t="shared" si="5"/>
        <v>4070</v>
      </c>
      <c r="AK11" s="77">
        <f>ROUND(AG11*升级节奏!G11/AJ11,2)</f>
        <v>0</v>
      </c>
      <c r="AL11" s="77">
        <f>ROUND(AG11*升级节奏!G11/SUM($AJ$3:AJ11),2)</f>
        <v>0</v>
      </c>
      <c r="AM11" s="74">
        <f>ROUND(AG11*升级节奏!G11,2)</f>
        <v>0</v>
      </c>
      <c r="AN11" s="77">
        <f>ROUND(AG11*升级节奏!H11/SUM($AJ$3:AJ11),2)</f>
        <v>0</v>
      </c>
      <c r="AO11" s="7">
        <f t="shared" si="2"/>
        <v>750</v>
      </c>
      <c r="AP11" s="7">
        <f t="shared" si="3"/>
        <v>5</v>
      </c>
    </row>
    <row r="12" spans="1:42">
      <c r="A12" s="32">
        <v>10</v>
      </c>
      <c r="B12" s="87">
        <f>升级节奏!D12</f>
        <v>50000</v>
      </c>
      <c r="C12" s="7">
        <f>IF(VLOOKUP(C$2,行为概览!$D$3:$K$33,8,0)="","",VLOOKUP(C$2,行为概览!$D$3:$K$33,8,0)*玩法行为规划!B12)</f>
        <v>0</v>
      </c>
      <c r="D12" s="7">
        <f>IF(VLOOKUP(D$2,行为概览!$D$3:$K$33,8,0)="","",VLOOKUP(D$2,行为概览!$D$3:$K$33,8,0)*玩法行为规划!C12)</f>
        <v>0</v>
      </c>
      <c r="E12" s="7" t="str">
        <f>IF(VLOOKUP(E$2,行为概览!$D$3:$K$33,8,0)="","",VLOOKUP(E$2,行为概览!$D$3:$K$33,8,0)*玩法行为规划!D12)</f>
        <v/>
      </c>
      <c r="F12" s="7">
        <f>IF(VLOOKUP(F$2,行为概览!$D$3:$K$33,8,0)="","",VLOOKUP(F$2,行为概览!$D$3:$K$33,8,0)*玩法行为规划!E12)</f>
        <v>0</v>
      </c>
      <c r="G12" s="7">
        <f>IF(VLOOKUP(G$2,行为概览!$D$3:$K$33,8,0)="","",VLOOKUP(G$2,行为概览!$D$3:$K$33,8,0)*玩法行为规划!F12)</f>
        <v>0</v>
      </c>
      <c r="H12" s="7" t="str">
        <f>IF(VLOOKUP(H$2,行为概览!$D$3:$K$33,8,0)="","",VLOOKUP(H$2,行为概览!$D$3:$K$33,8,0)*玩法行为规划!G12)</f>
        <v/>
      </c>
      <c r="I12" s="7" t="str">
        <f>IF(VLOOKUP(I$2,行为概览!$D$3:$K$33,8,0)="","",VLOOKUP(I$2,行为概览!$D$3:$K$33,8,0)*玩法行为规划!H12)</f>
        <v/>
      </c>
      <c r="J12" s="7" t="str">
        <f>IF(VLOOKUP(J$2,行为概览!$D$3:$K$33,8,0)="","",VLOOKUP(J$2,行为概览!$D$3:$K$33,8,0)*玩法行为规划!I12)</f>
        <v/>
      </c>
      <c r="K12" s="7">
        <f>IF(VLOOKUP(K$2,行为概览!$D$3:$K$33,8,0)="","",VLOOKUP(K$2,行为概览!$D$3:$K$33,8,0)*玩法行为规划!J12)</f>
        <v>0</v>
      </c>
      <c r="L12" s="7" t="str">
        <f>IF(VLOOKUP(L$2,行为概览!$D$3:$K$33,8,0)="","",VLOOKUP(L$2,行为概览!$D$3:$K$33,8,0)*玩法行为规划!K12)</f>
        <v/>
      </c>
      <c r="M12" s="7" t="str">
        <f>IF(VLOOKUP(M$2,行为概览!$D$3:$K$33,8,0)="","",VLOOKUP(M$2,行为概览!$D$3:$K$33,8,0)*玩法行为规划!L12)</f>
        <v/>
      </c>
      <c r="N12" s="7">
        <f>IF(VLOOKUP(N$2,行为概览!$D$3:$K$33,8,0)="","",VLOOKUP(N$2,行为概览!$D$3:$K$33,8,0)*玩法行为规划!M12)</f>
        <v>12</v>
      </c>
      <c r="O12" s="7" t="str">
        <f>IF(VLOOKUP(O$2,行为概览!$D$3:$K$33,8,0)="","",VLOOKUP(O$2,行为概览!$D$3:$K$33,8,0)*玩法行为规划!N12)</f>
        <v/>
      </c>
      <c r="P12" s="7" t="str">
        <f>IF(VLOOKUP(P$2,行为概览!$D$3:$K$33,8,0)="","",VLOOKUP(P$2,行为概览!$D$3:$K$33,8,0)*玩法行为规划!O12)</f>
        <v/>
      </c>
      <c r="Q12" s="7">
        <f>IF(VLOOKUP(Q$2,行为概览!$D$3:$K$33,8,0)="","",VLOOKUP(Q$2,行为概览!$D$3:$K$33,8,0)*玩法行为规划!P12)</f>
        <v>5.2</v>
      </c>
      <c r="R12" s="7" t="str">
        <f>IF(VLOOKUP(R$2,行为概览!$D$3:$K$33,8,0)="","",VLOOKUP(R$2,行为概览!$D$3:$K$33,8,0)*玩法行为规划!Q12)</f>
        <v/>
      </c>
      <c r="S12" s="7">
        <f>IF(VLOOKUP(S$2,行为概览!$D$3:$K$33,8,0)="","",VLOOKUP(S$2,行为概览!$D$3:$K$33,8,0)*玩法行为规划!R12)</f>
        <v>0</v>
      </c>
      <c r="T12" s="7">
        <f>IF(VLOOKUP(T$2,行为概览!$D$3:$K$33,8,0)="","",VLOOKUP(T$2,行为概览!$D$3:$K$33,8,0)*玩法行为规划!S12)</f>
        <v>0</v>
      </c>
      <c r="U12" s="7">
        <f>IF(VLOOKUP(U$2,行为概览!$D$3:$K$33,8,0)="","",VLOOKUP(U$2,行为概览!$D$3:$K$33,8,0)*玩法行为规划!T12)</f>
        <v>0</v>
      </c>
      <c r="V12" s="7">
        <f>IF(VLOOKUP(V$2,行为概览!$D$3:$K$33,8,0)="","",VLOOKUP(V$2,行为概览!$D$3:$K$33,8,0)*玩法行为规划!U12)</f>
        <v>0</v>
      </c>
      <c r="W12" s="7" t="str">
        <f>IF(VLOOKUP(W$2,行为概览!$D$3:$K$33,8,0)="","",VLOOKUP(W$2,行为概览!$D$3:$K$33,8,0)*玩法行为规划!V12)</f>
        <v/>
      </c>
      <c r="X12" s="7" t="str">
        <f>IF(VLOOKUP(X$2,行为概览!$D$3:$K$33,8,0)="","",VLOOKUP(X$2,行为概览!$D$3:$K$33,8,0)*玩法行为规划!W12)</f>
        <v/>
      </c>
      <c r="Y12" s="7">
        <f>IF(VLOOKUP(Y$2,行为概览!$D$3:$K$33,8,0)="","",VLOOKUP(Y$2,行为概览!$D$3:$K$33,8,0)*玩法行为规划!X12)</f>
        <v>0</v>
      </c>
      <c r="Z12" s="7" t="str">
        <f>IF(VLOOKUP(Z$2,行为概览!$D$3:$K$33,8,0)="","",VLOOKUP(Z$2,行为概览!$D$3:$K$33,8,0)*玩法行为规划!Y12)</f>
        <v/>
      </c>
      <c r="AA12" s="7">
        <f>IF(VLOOKUP(AA$2,行为概览!$D$3:$K$33,8,0)="","",VLOOKUP(AA$2,行为概览!$D$3:$K$33,8,0)*玩法行为规划!Z12)</f>
        <v>0</v>
      </c>
      <c r="AB12" s="7" t="str">
        <f>IF(VLOOKUP(AB$2,行为概览!$D$3:$K$33,8,0)="","",VLOOKUP(AB$2,行为概览!$D$3:$K$33,8,0)*玩法行为规划!AA12)</f>
        <v/>
      </c>
      <c r="AC12" s="7" t="str">
        <f>IF(VLOOKUP(AC$2,行为概览!$D$3:$K$33,8,0)="","",VLOOKUP(AC$2,行为概览!$D$3:$K$33,8,0)*玩法行为规划!AB12)</f>
        <v/>
      </c>
      <c r="AD12" s="7" t="str">
        <f>IF(VLOOKUP(AD$2,行为概览!$D$3:$K$33,8,0)="","",VLOOKUP(AD$2,行为概览!$D$3:$K$33,8,0)*玩法行为规划!AC12)</f>
        <v/>
      </c>
      <c r="AE12" s="7" t="str">
        <f>IF(VLOOKUP(AE$2,行为概览!$D$3:$K$33,8,0)="","",VLOOKUP(AE$2,行为概览!$D$3:$K$33,8,0)*玩法行为规划!AD12)</f>
        <v/>
      </c>
      <c r="AF12" s="7">
        <f t="shared" si="0"/>
        <v>17.2</v>
      </c>
      <c r="AG12" s="7">
        <f t="shared" si="1"/>
        <v>860000</v>
      </c>
      <c r="AH12" s="7">
        <f t="shared" si="4"/>
        <v>11270</v>
      </c>
      <c r="AI12" s="21">
        <f t="shared" ref="AI12:AI31" si="6">IF(--RIGHT(A12,1)=0,SUM(AH12:AH21),"")</f>
        <v>194450</v>
      </c>
      <c r="AJ12" s="73">
        <f t="shared" si="5"/>
        <v>5020</v>
      </c>
      <c r="AK12" s="77">
        <f>ROUND(AG12*升级节奏!G12/AJ12,2)</f>
        <v>0</v>
      </c>
      <c r="AL12" s="77">
        <f>ROUND(AG12*升级节奏!G12/SUM($AJ$3:AJ12),2)</f>
        <v>0</v>
      </c>
      <c r="AM12" s="74">
        <f>ROUND(AG12*升级节奏!G12,2)</f>
        <v>0</v>
      </c>
      <c r="AN12" s="77">
        <f>ROUND(AG12*升级节奏!H12/SUM($AJ$3:AJ12),2)</f>
        <v>0</v>
      </c>
      <c r="AO12" s="7">
        <f t="shared" si="2"/>
        <v>833</v>
      </c>
      <c r="AP12" s="7">
        <f t="shared" si="3"/>
        <v>6</v>
      </c>
    </row>
    <row r="13" spans="1:42">
      <c r="A13" s="32">
        <v>11</v>
      </c>
      <c r="B13" s="87">
        <f>升级节奏!D13</f>
        <v>55000</v>
      </c>
      <c r="C13" s="7">
        <f>IF(VLOOKUP(C$2,行为概览!$D$3:$K$33,8,0)="","",VLOOKUP(C$2,行为概览!$D$3:$K$33,8,0)*玩法行为规划!B13)</f>
        <v>0</v>
      </c>
      <c r="D13" s="7">
        <f>IF(VLOOKUP(D$2,行为概览!$D$3:$K$33,8,0)="","",VLOOKUP(D$2,行为概览!$D$3:$K$33,8,0)*玩法行为规划!C13)</f>
        <v>0</v>
      </c>
      <c r="E13" s="7" t="str">
        <f>IF(VLOOKUP(E$2,行为概览!$D$3:$K$33,8,0)="","",VLOOKUP(E$2,行为概览!$D$3:$K$33,8,0)*玩法行为规划!D13)</f>
        <v/>
      </c>
      <c r="F13" s="7">
        <f>IF(VLOOKUP(F$2,行为概览!$D$3:$K$33,8,0)="","",VLOOKUP(F$2,行为概览!$D$3:$K$33,8,0)*玩法行为规划!E13)</f>
        <v>0</v>
      </c>
      <c r="G13" s="7">
        <f>IF(VLOOKUP(G$2,行为概览!$D$3:$K$33,8,0)="","",VLOOKUP(G$2,行为概览!$D$3:$K$33,8,0)*玩法行为规划!F13)</f>
        <v>0</v>
      </c>
      <c r="H13" s="7" t="str">
        <f>IF(VLOOKUP(H$2,行为概览!$D$3:$K$33,8,0)="","",VLOOKUP(H$2,行为概览!$D$3:$K$33,8,0)*玩法行为规划!G13)</f>
        <v/>
      </c>
      <c r="I13" s="7" t="str">
        <f>IF(VLOOKUP(I$2,行为概览!$D$3:$K$33,8,0)="","",VLOOKUP(I$2,行为概览!$D$3:$K$33,8,0)*玩法行为规划!H13)</f>
        <v/>
      </c>
      <c r="J13" s="7" t="str">
        <f>IF(VLOOKUP(J$2,行为概览!$D$3:$K$33,8,0)="","",VLOOKUP(J$2,行为概览!$D$3:$K$33,8,0)*玩法行为规划!I13)</f>
        <v/>
      </c>
      <c r="K13" s="7">
        <f>IF(VLOOKUP(K$2,行为概览!$D$3:$K$33,8,0)="","",VLOOKUP(K$2,行为概览!$D$3:$K$33,8,0)*玩法行为规划!J13)</f>
        <v>0</v>
      </c>
      <c r="L13" s="7" t="str">
        <f>IF(VLOOKUP(L$2,行为概览!$D$3:$K$33,8,0)="","",VLOOKUP(L$2,行为概览!$D$3:$K$33,8,0)*玩法行为规划!K13)</f>
        <v/>
      </c>
      <c r="M13" s="7" t="str">
        <f>IF(VLOOKUP(M$2,行为概览!$D$3:$K$33,8,0)="","",VLOOKUP(M$2,行为概览!$D$3:$K$33,8,0)*玩法行为规划!L13)</f>
        <v/>
      </c>
      <c r="N13" s="7">
        <f>IF(VLOOKUP(N$2,行为概览!$D$3:$K$33,8,0)="","",VLOOKUP(N$2,行为概览!$D$3:$K$33,8,0)*玩法行为规划!M13)</f>
        <v>12</v>
      </c>
      <c r="O13" s="7" t="str">
        <f>IF(VLOOKUP(O$2,行为概览!$D$3:$K$33,8,0)="","",VLOOKUP(O$2,行为概览!$D$3:$K$33,8,0)*玩法行为规划!N13)</f>
        <v/>
      </c>
      <c r="P13" s="7" t="str">
        <f>IF(VLOOKUP(P$2,行为概览!$D$3:$K$33,8,0)="","",VLOOKUP(P$2,行为概览!$D$3:$K$33,8,0)*玩法行为规划!O13)</f>
        <v/>
      </c>
      <c r="Q13" s="7">
        <f>IF(VLOOKUP(Q$2,行为概览!$D$3:$K$33,8,0)="","",VLOOKUP(Q$2,行为概览!$D$3:$K$33,8,0)*玩法行为规划!P13)</f>
        <v>5.2</v>
      </c>
      <c r="R13" s="7" t="str">
        <f>IF(VLOOKUP(R$2,行为概览!$D$3:$K$33,8,0)="","",VLOOKUP(R$2,行为概览!$D$3:$K$33,8,0)*玩法行为规划!Q13)</f>
        <v/>
      </c>
      <c r="S13" s="7">
        <f>IF(VLOOKUP(S$2,行为概览!$D$3:$K$33,8,0)="","",VLOOKUP(S$2,行为概览!$D$3:$K$33,8,0)*玩法行为规划!R13)</f>
        <v>0</v>
      </c>
      <c r="T13" s="7">
        <f>IF(VLOOKUP(T$2,行为概览!$D$3:$K$33,8,0)="","",VLOOKUP(T$2,行为概览!$D$3:$K$33,8,0)*玩法行为规划!S13)</f>
        <v>0</v>
      </c>
      <c r="U13" s="7">
        <f>IF(VLOOKUP(U$2,行为概览!$D$3:$K$33,8,0)="","",VLOOKUP(U$2,行为概览!$D$3:$K$33,8,0)*玩法行为规划!T13)</f>
        <v>0</v>
      </c>
      <c r="V13" s="7">
        <f>IF(VLOOKUP(V$2,行为概览!$D$3:$K$33,8,0)="","",VLOOKUP(V$2,行为概览!$D$3:$K$33,8,0)*玩法行为规划!U13)</f>
        <v>0</v>
      </c>
      <c r="W13" s="7" t="str">
        <f>IF(VLOOKUP(W$2,行为概览!$D$3:$K$33,8,0)="","",VLOOKUP(W$2,行为概览!$D$3:$K$33,8,0)*玩法行为规划!V13)</f>
        <v/>
      </c>
      <c r="X13" s="7" t="str">
        <f>IF(VLOOKUP(X$2,行为概览!$D$3:$K$33,8,0)="","",VLOOKUP(X$2,行为概览!$D$3:$K$33,8,0)*玩法行为规划!W13)</f>
        <v/>
      </c>
      <c r="Y13" s="7">
        <f>IF(VLOOKUP(Y$2,行为概览!$D$3:$K$33,8,0)="","",VLOOKUP(Y$2,行为概览!$D$3:$K$33,8,0)*玩法行为规划!X13)</f>
        <v>0</v>
      </c>
      <c r="Z13" s="7" t="str">
        <f>IF(VLOOKUP(Z$2,行为概览!$D$3:$K$33,8,0)="","",VLOOKUP(Z$2,行为概览!$D$3:$K$33,8,0)*玩法行为规划!Y13)</f>
        <v/>
      </c>
      <c r="AA13" s="7">
        <f>IF(VLOOKUP(AA$2,行为概览!$D$3:$K$33,8,0)="","",VLOOKUP(AA$2,行为概览!$D$3:$K$33,8,0)*玩法行为规划!Z13)</f>
        <v>0</v>
      </c>
      <c r="AB13" s="7" t="str">
        <f>IF(VLOOKUP(AB$2,行为概览!$D$3:$K$33,8,0)="","",VLOOKUP(AB$2,行为概览!$D$3:$K$33,8,0)*玩法行为规划!AA13)</f>
        <v/>
      </c>
      <c r="AC13" s="7" t="str">
        <f>IF(VLOOKUP(AC$2,行为概览!$D$3:$K$33,8,0)="","",VLOOKUP(AC$2,行为概览!$D$3:$K$33,8,0)*玩法行为规划!AB13)</f>
        <v/>
      </c>
      <c r="AD13" s="7" t="str">
        <f>IF(VLOOKUP(AD$2,行为概览!$D$3:$K$33,8,0)="","",VLOOKUP(AD$2,行为概览!$D$3:$K$33,8,0)*玩法行为规划!AC13)</f>
        <v/>
      </c>
      <c r="AE13" s="7" t="str">
        <f>IF(VLOOKUP(AE$2,行为概览!$D$3:$K$33,8,0)="","",VLOOKUP(AE$2,行为概览!$D$3:$K$33,8,0)*玩法行为规划!AD13)</f>
        <v/>
      </c>
      <c r="AF13" s="7">
        <f t="shared" si="0"/>
        <v>17.2</v>
      </c>
      <c r="AG13" s="7">
        <f t="shared" si="1"/>
        <v>946000</v>
      </c>
      <c r="AH13" s="7">
        <f t="shared" si="4"/>
        <v>12820</v>
      </c>
      <c r="AI13" s="21" t="str">
        <f t="shared" si="6"/>
        <v/>
      </c>
      <c r="AJ13" s="73">
        <f t="shared" si="5"/>
        <v>6070</v>
      </c>
      <c r="AK13" s="77">
        <f>ROUND(AG13*升级节奏!G13/AJ13,2)</f>
        <v>0</v>
      </c>
      <c r="AL13" s="77">
        <f>ROUND(AG13*升级节奏!G13/SUM($AJ$3:AJ13),2)</f>
        <v>0</v>
      </c>
      <c r="AM13" s="74">
        <f>ROUND(AG13*升级节奏!G13,2)</f>
        <v>0</v>
      </c>
      <c r="AN13" s="77">
        <f>ROUND(AG13*升级节奏!H13/SUM($AJ$3:AJ13),2)</f>
        <v>0</v>
      </c>
      <c r="AO13" s="7">
        <f t="shared" si="2"/>
        <v>917</v>
      </c>
      <c r="AP13" s="7">
        <f t="shared" si="3"/>
        <v>7</v>
      </c>
    </row>
    <row r="14" spans="1:42">
      <c r="A14" s="32">
        <v>12</v>
      </c>
      <c r="B14" s="87">
        <f>升级节奏!D14</f>
        <v>60000</v>
      </c>
      <c r="C14" s="7">
        <f>IF(VLOOKUP(C$2,行为概览!$D$3:$K$33,8,0)="","",VLOOKUP(C$2,行为概览!$D$3:$K$33,8,0)*玩法行为规划!B14)</f>
        <v>0</v>
      </c>
      <c r="D14" s="7">
        <f>IF(VLOOKUP(D$2,行为概览!$D$3:$K$33,8,0)="","",VLOOKUP(D$2,行为概览!$D$3:$K$33,8,0)*玩法行为规划!C14)</f>
        <v>0</v>
      </c>
      <c r="E14" s="7" t="str">
        <f>IF(VLOOKUP(E$2,行为概览!$D$3:$K$33,8,0)="","",VLOOKUP(E$2,行为概览!$D$3:$K$33,8,0)*玩法行为规划!D14)</f>
        <v/>
      </c>
      <c r="F14" s="7">
        <f>IF(VLOOKUP(F$2,行为概览!$D$3:$K$33,8,0)="","",VLOOKUP(F$2,行为概览!$D$3:$K$33,8,0)*玩法行为规划!E14)</f>
        <v>0</v>
      </c>
      <c r="G14" s="7">
        <f>IF(VLOOKUP(G$2,行为概览!$D$3:$K$33,8,0)="","",VLOOKUP(G$2,行为概览!$D$3:$K$33,8,0)*玩法行为规划!F14)</f>
        <v>0</v>
      </c>
      <c r="H14" s="7" t="str">
        <f>IF(VLOOKUP(H$2,行为概览!$D$3:$K$33,8,0)="","",VLOOKUP(H$2,行为概览!$D$3:$K$33,8,0)*玩法行为规划!G14)</f>
        <v/>
      </c>
      <c r="I14" s="7" t="str">
        <f>IF(VLOOKUP(I$2,行为概览!$D$3:$K$33,8,0)="","",VLOOKUP(I$2,行为概览!$D$3:$K$33,8,0)*玩法行为规划!H14)</f>
        <v/>
      </c>
      <c r="J14" s="7" t="str">
        <f>IF(VLOOKUP(J$2,行为概览!$D$3:$K$33,8,0)="","",VLOOKUP(J$2,行为概览!$D$3:$K$33,8,0)*玩法行为规划!I14)</f>
        <v/>
      </c>
      <c r="K14" s="7">
        <f>IF(VLOOKUP(K$2,行为概览!$D$3:$K$33,8,0)="","",VLOOKUP(K$2,行为概览!$D$3:$K$33,8,0)*玩法行为规划!J14)</f>
        <v>0</v>
      </c>
      <c r="L14" s="7" t="str">
        <f>IF(VLOOKUP(L$2,行为概览!$D$3:$K$33,8,0)="","",VLOOKUP(L$2,行为概览!$D$3:$K$33,8,0)*玩法行为规划!K14)</f>
        <v/>
      </c>
      <c r="M14" s="7" t="str">
        <f>IF(VLOOKUP(M$2,行为概览!$D$3:$K$33,8,0)="","",VLOOKUP(M$2,行为概览!$D$3:$K$33,8,0)*玩法行为规划!L14)</f>
        <v/>
      </c>
      <c r="N14" s="7">
        <f>IF(VLOOKUP(N$2,行为概览!$D$3:$K$33,8,0)="","",VLOOKUP(N$2,行为概览!$D$3:$K$33,8,0)*玩法行为规划!M14)</f>
        <v>12</v>
      </c>
      <c r="O14" s="7" t="str">
        <f>IF(VLOOKUP(O$2,行为概览!$D$3:$K$33,8,0)="","",VLOOKUP(O$2,行为概览!$D$3:$K$33,8,0)*玩法行为规划!N14)</f>
        <v/>
      </c>
      <c r="P14" s="7" t="str">
        <f>IF(VLOOKUP(P$2,行为概览!$D$3:$K$33,8,0)="","",VLOOKUP(P$2,行为概览!$D$3:$K$33,8,0)*玩法行为规划!O14)</f>
        <v/>
      </c>
      <c r="Q14" s="7">
        <f>IF(VLOOKUP(Q$2,行为概览!$D$3:$K$33,8,0)="","",VLOOKUP(Q$2,行为概览!$D$3:$K$33,8,0)*玩法行为规划!P14)</f>
        <v>5.2</v>
      </c>
      <c r="R14" s="7" t="str">
        <f>IF(VLOOKUP(R$2,行为概览!$D$3:$K$33,8,0)="","",VLOOKUP(R$2,行为概览!$D$3:$K$33,8,0)*玩法行为规划!Q14)</f>
        <v/>
      </c>
      <c r="S14" s="7">
        <f>IF(VLOOKUP(S$2,行为概览!$D$3:$K$33,8,0)="","",VLOOKUP(S$2,行为概览!$D$3:$K$33,8,0)*玩法行为规划!R14)</f>
        <v>0</v>
      </c>
      <c r="T14" s="7">
        <f>IF(VLOOKUP(T$2,行为概览!$D$3:$K$33,8,0)="","",VLOOKUP(T$2,行为概览!$D$3:$K$33,8,0)*玩法行为规划!S14)</f>
        <v>0</v>
      </c>
      <c r="U14" s="7">
        <f>IF(VLOOKUP(U$2,行为概览!$D$3:$K$33,8,0)="","",VLOOKUP(U$2,行为概览!$D$3:$K$33,8,0)*玩法行为规划!T14)</f>
        <v>0</v>
      </c>
      <c r="V14" s="7">
        <f>IF(VLOOKUP(V$2,行为概览!$D$3:$K$33,8,0)="","",VLOOKUP(V$2,行为概览!$D$3:$K$33,8,0)*玩法行为规划!U14)</f>
        <v>0</v>
      </c>
      <c r="W14" s="7" t="str">
        <f>IF(VLOOKUP(W$2,行为概览!$D$3:$K$33,8,0)="","",VLOOKUP(W$2,行为概览!$D$3:$K$33,8,0)*玩法行为规划!V14)</f>
        <v/>
      </c>
      <c r="X14" s="7" t="str">
        <f>IF(VLOOKUP(X$2,行为概览!$D$3:$K$33,8,0)="","",VLOOKUP(X$2,行为概览!$D$3:$K$33,8,0)*玩法行为规划!W14)</f>
        <v/>
      </c>
      <c r="Y14" s="7">
        <f>IF(VLOOKUP(Y$2,行为概览!$D$3:$K$33,8,0)="","",VLOOKUP(Y$2,行为概览!$D$3:$K$33,8,0)*玩法行为规划!X14)</f>
        <v>0</v>
      </c>
      <c r="Z14" s="7" t="str">
        <f>IF(VLOOKUP(Z$2,行为概览!$D$3:$K$33,8,0)="","",VLOOKUP(Z$2,行为概览!$D$3:$K$33,8,0)*玩法行为规划!Y14)</f>
        <v/>
      </c>
      <c r="AA14" s="7">
        <f>IF(VLOOKUP(AA$2,行为概览!$D$3:$K$33,8,0)="","",VLOOKUP(AA$2,行为概览!$D$3:$K$33,8,0)*玩法行为规划!Z14)</f>
        <v>0</v>
      </c>
      <c r="AB14" s="7" t="str">
        <f>IF(VLOOKUP(AB$2,行为概览!$D$3:$K$33,8,0)="","",VLOOKUP(AB$2,行为概览!$D$3:$K$33,8,0)*玩法行为规划!AA14)</f>
        <v/>
      </c>
      <c r="AC14" s="7" t="str">
        <f>IF(VLOOKUP(AC$2,行为概览!$D$3:$K$33,8,0)="","",VLOOKUP(AC$2,行为概览!$D$3:$K$33,8,0)*玩法行为规划!AB14)</f>
        <v/>
      </c>
      <c r="AD14" s="7" t="str">
        <f>IF(VLOOKUP(AD$2,行为概览!$D$3:$K$33,8,0)="","",VLOOKUP(AD$2,行为概览!$D$3:$K$33,8,0)*玩法行为规划!AC14)</f>
        <v/>
      </c>
      <c r="AE14" s="7" t="str">
        <f>IF(VLOOKUP(AE$2,行为概览!$D$3:$K$33,8,0)="","",VLOOKUP(AE$2,行为概览!$D$3:$K$33,8,0)*玩法行为规划!AD14)</f>
        <v/>
      </c>
      <c r="AF14" s="7">
        <f t="shared" si="0"/>
        <v>17.2</v>
      </c>
      <c r="AG14" s="7">
        <f t="shared" si="1"/>
        <v>1032000</v>
      </c>
      <c r="AH14" s="7">
        <f t="shared" si="4"/>
        <v>14470</v>
      </c>
      <c r="AI14" s="21" t="str">
        <f t="shared" si="6"/>
        <v/>
      </c>
      <c r="AJ14" s="73">
        <f t="shared" si="5"/>
        <v>7220</v>
      </c>
      <c r="AK14" s="77">
        <f>ROUND(AG14*升级节奏!G14/AJ14,2)</f>
        <v>0</v>
      </c>
      <c r="AL14" s="77">
        <f>ROUND(AG14*升级节奏!G14/SUM($AJ$3:AJ14),2)</f>
        <v>0</v>
      </c>
      <c r="AM14" s="74">
        <f>ROUND(AG14*升级节奏!G14,2)</f>
        <v>0</v>
      </c>
      <c r="AN14" s="77">
        <f>ROUND(AG14*升级节奏!H14/SUM($AJ$3:AJ14),2)</f>
        <v>0</v>
      </c>
      <c r="AO14" s="7">
        <f t="shared" si="2"/>
        <v>1000</v>
      </c>
      <c r="AP14" s="7">
        <f t="shared" si="3"/>
        <v>7</v>
      </c>
    </row>
    <row r="15" spans="1:42">
      <c r="A15" s="32">
        <v>13</v>
      </c>
      <c r="B15" s="87">
        <f>升级节奏!D15</f>
        <v>65000</v>
      </c>
      <c r="C15" s="7">
        <f>IF(VLOOKUP(C$2,行为概览!$D$3:$K$33,8,0)="","",VLOOKUP(C$2,行为概览!$D$3:$K$33,8,0)*玩法行为规划!B15)</f>
        <v>0</v>
      </c>
      <c r="D15" s="7">
        <f>IF(VLOOKUP(D$2,行为概览!$D$3:$K$33,8,0)="","",VLOOKUP(D$2,行为概览!$D$3:$K$33,8,0)*玩法行为规划!C15)</f>
        <v>0</v>
      </c>
      <c r="E15" s="7" t="str">
        <f>IF(VLOOKUP(E$2,行为概览!$D$3:$K$33,8,0)="","",VLOOKUP(E$2,行为概览!$D$3:$K$33,8,0)*玩法行为规划!D15)</f>
        <v/>
      </c>
      <c r="F15" s="7">
        <f>IF(VLOOKUP(F$2,行为概览!$D$3:$K$33,8,0)="","",VLOOKUP(F$2,行为概览!$D$3:$K$33,8,0)*玩法行为规划!E15)</f>
        <v>0</v>
      </c>
      <c r="G15" s="7">
        <f>IF(VLOOKUP(G$2,行为概览!$D$3:$K$33,8,0)="","",VLOOKUP(G$2,行为概览!$D$3:$K$33,8,0)*玩法行为规划!F15)</f>
        <v>0</v>
      </c>
      <c r="H15" s="7" t="str">
        <f>IF(VLOOKUP(H$2,行为概览!$D$3:$K$33,8,0)="","",VLOOKUP(H$2,行为概览!$D$3:$K$33,8,0)*玩法行为规划!G15)</f>
        <v/>
      </c>
      <c r="I15" s="7" t="str">
        <f>IF(VLOOKUP(I$2,行为概览!$D$3:$K$33,8,0)="","",VLOOKUP(I$2,行为概览!$D$3:$K$33,8,0)*玩法行为规划!H15)</f>
        <v/>
      </c>
      <c r="J15" s="7" t="str">
        <f>IF(VLOOKUP(J$2,行为概览!$D$3:$K$33,8,0)="","",VLOOKUP(J$2,行为概览!$D$3:$K$33,8,0)*玩法行为规划!I15)</f>
        <v/>
      </c>
      <c r="K15" s="7">
        <f>IF(VLOOKUP(K$2,行为概览!$D$3:$K$33,8,0)="","",VLOOKUP(K$2,行为概览!$D$3:$K$33,8,0)*玩法行为规划!J15)</f>
        <v>0</v>
      </c>
      <c r="L15" s="7" t="str">
        <f>IF(VLOOKUP(L$2,行为概览!$D$3:$K$33,8,0)="","",VLOOKUP(L$2,行为概览!$D$3:$K$33,8,0)*玩法行为规划!K15)</f>
        <v/>
      </c>
      <c r="M15" s="7" t="str">
        <f>IF(VLOOKUP(M$2,行为概览!$D$3:$K$33,8,0)="","",VLOOKUP(M$2,行为概览!$D$3:$K$33,8,0)*玩法行为规划!L15)</f>
        <v/>
      </c>
      <c r="N15" s="7">
        <f>IF(VLOOKUP(N$2,行为概览!$D$3:$K$33,8,0)="","",VLOOKUP(N$2,行为概览!$D$3:$K$33,8,0)*玩法行为规划!M15)</f>
        <v>12</v>
      </c>
      <c r="O15" s="7" t="str">
        <f>IF(VLOOKUP(O$2,行为概览!$D$3:$K$33,8,0)="","",VLOOKUP(O$2,行为概览!$D$3:$K$33,8,0)*玩法行为规划!N15)</f>
        <v/>
      </c>
      <c r="P15" s="7" t="str">
        <f>IF(VLOOKUP(P$2,行为概览!$D$3:$K$33,8,0)="","",VLOOKUP(P$2,行为概览!$D$3:$K$33,8,0)*玩法行为规划!O15)</f>
        <v/>
      </c>
      <c r="Q15" s="7">
        <f>IF(VLOOKUP(Q$2,行为概览!$D$3:$K$33,8,0)="","",VLOOKUP(Q$2,行为概览!$D$3:$K$33,8,0)*玩法行为规划!P15)</f>
        <v>5.2</v>
      </c>
      <c r="R15" s="7" t="str">
        <f>IF(VLOOKUP(R$2,行为概览!$D$3:$K$33,8,0)="","",VLOOKUP(R$2,行为概览!$D$3:$K$33,8,0)*玩法行为规划!Q15)</f>
        <v/>
      </c>
      <c r="S15" s="7">
        <f>IF(VLOOKUP(S$2,行为概览!$D$3:$K$33,8,0)="","",VLOOKUP(S$2,行为概览!$D$3:$K$33,8,0)*玩法行为规划!R15)</f>
        <v>0</v>
      </c>
      <c r="T15" s="7">
        <f>IF(VLOOKUP(T$2,行为概览!$D$3:$K$33,8,0)="","",VLOOKUP(T$2,行为概览!$D$3:$K$33,8,0)*玩法行为规划!S15)</f>
        <v>0</v>
      </c>
      <c r="U15" s="7">
        <f>IF(VLOOKUP(U$2,行为概览!$D$3:$K$33,8,0)="","",VLOOKUP(U$2,行为概览!$D$3:$K$33,8,0)*玩法行为规划!T15)</f>
        <v>0</v>
      </c>
      <c r="V15" s="7">
        <f>IF(VLOOKUP(V$2,行为概览!$D$3:$K$33,8,0)="","",VLOOKUP(V$2,行为概览!$D$3:$K$33,8,0)*玩法行为规划!U15)</f>
        <v>0</v>
      </c>
      <c r="W15" s="7" t="str">
        <f>IF(VLOOKUP(W$2,行为概览!$D$3:$K$33,8,0)="","",VLOOKUP(W$2,行为概览!$D$3:$K$33,8,0)*玩法行为规划!V15)</f>
        <v/>
      </c>
      <c r="X15" s="7" t="str">
        <f>IF(VLOOKUP(X$2,行为概览!$D$3:$K$33,8,0)="","",VLOOKUP(X$2,行为概览!$D$3:$K$33,8,0)*玩法行为规划!W15)</f>
        <v/>
      </c>
      <c r="Y15" s="7">
        <f>IF(VLOOKUP(Y$2,行为概览!$D$3:$K$33,8,0)="","",VLOOKUP(Y$2,行为概览!$D$3:$K$33,8,0)*玩法行为规划!X15)</f>
        <v>0</v>
      </c>
      <c r="Z15" s="7" t="str">
        <f>IF(VLOOKUP(Z$2,行为概览!$D$3:$K$33,8,0)="","",VLOOKUP(Z$2,行为概览!$D$3:$K$33,8,0)*玩法行为规划!Y15)</f>
        <v/>
      </c>
      <c r="AA15" s="7">
        <f>IF(VLOOKUP(AA$2,行为概览!$D$3:$K$33,8,0)="","",VLOOKUP(AA$2,行为概览!$D$3:$K$33,8,0)*玩法行为规划!Z15)</f>
        <v>0</v>
      </c>
      <c r="AB15" s="7" t="str">
        <f>IF(VLOOKUP(AB$2,行为概览!$D$3:$K$33,8,0)="","",VLOOKUP(AB$2,行为概览!$D$3:$K$33,8,0)*玩法行为规划!AA15)</f>
        <v/>
      </c>
      <c r="AC15" s="7" t="str">
        <f>IF(VLOOKUP(AC$2,行为概览!$D$3:$K$33,8,0)="","",VLOOKUP(AC$2,行为概览!$D$3:$K$33,8,0)*玩法行为规划!AB15)</f>
        <v/>
      </c>
      <c r="AD15" s="7" t="str">
        <f>IF(VLOOKUP(AD$2,行为概览!$D$3:$K$33,8,0)="","",VLOOKUP(AD$2,行为概览!$D$3:$K$33,8,0)*玩法行为规划!AC15)</f>
        <v/>
      </c>
      <c r="AE15" s="7" t="str">
        <f>IF(VLOOKUP(AE$2,行为概览!$D$3:$K$33,8,0)="","",VLOOKUP(AE$2,行为概览!$D$3:$K$33,8,0)*玩法行为规划!AD15)</f>
        <v/>
      </c>
      <c r="AF15" s="7">
        <f t="shared" si="0"/>
        <v>17.2</v>
      </c>
      <c r="AG15" s="7">
        <f t="shared" si="1"/>
        <v>1118000</v>
      </c>
      <c r="AH15" s="7">
        <f t="shared" si="4"/>
        <v>16220</v>
      </c>
      <c r="AI15" s="21" t="str">
        <f t="shared" si="6"/>
        <v/>
      </c>
      <c r="AJ15" s="73">
        <f t="shared" si="5"/>
        <v>8470</v>
      </c>
      <c r="AK15" s="77">
        <f>ROUND(AG15*升级节奏!G15/AJ15,2)</f>
        <v>0</v>
      </c>
      <c r="AL15" s="77">
        <f>ROUND(AG15*升级节奏!G15/SUM($AJ$3:AJ15),2)</f>
        <v>0</v>
      </c>
      <c r="AM15" s="74">
        <f>ROUND(AG15*升级节奏!G15,2)</f>
        <v>0</v>
      </c>
      <c r="AN15" s="77">
        <f>ROUND(AG15*升级节奏!H15/SUM($AJ$3:AJ15),2)</f>
        <v>0</v>
      </c>
      <c r="AO15" s="7">
        <f t="shared" si="2"/>
        <v>1083</v>
      </c>
      <c r="AP15" s="7">
        <f t="shared" si="3"/>
        <v>8</v>
      </c>
    </row>
    <row r="16" spans="1:42">
      <c r="A16" s="32">
        <v>14</v>
      </c>
      <c r="B16" s="87">
        <f>升级节奏!D16</f>
        <v>70000</v>
      </c>
      <c r="C16" s="7">
        <f>IF(VLOOKUP(C$2,行为概览!$D$3:$K$33,8,0)="","",VLOOKUP(C$2,行为概览!$D$3:$K$33,8,0)*玩法行为规划!B16)</f>
        <v>0</v>
      </c>
      <c r="D16" s="7">
        <f>IF(VLOOKUP(D$2,行为概览!$D$3:$K$33,8,0)="","",VLOOKUP(D$2,行为概览!$D$3:$K$33,8,0)*玩法行为规划!C16)</f>
        <v>0</v>
      </c>
      <c r="E16" s="7" t="str">
        <f>IF(VLOOKUP(E$2,行为概览!$D$3:$K$33,8,0)="","",VLOOKUP(E$2,行为概览!$D$3:$K$33,8,0)*玩法行为规划!D16)</f>
        <v/>
      </c>
      <c r="F16" s="7">
        <f>IF(VLOOKUP(F$2,行为概览!$D$3:$K$33,8,0)="","",VLOOKUP(F$2,行为概览!$D$3:$K$33,8,0)*玩法行为规划!E16)</f>
        <v>0</v>
      </c>
      <c r="G16" s="7">
        <f>IF(VLOOKUP(G$2,行为概览!$D$3:$K$33,8,0)="","",VLOOKUP(G$2,行为概览!$D$3:$K$33,8,0)*玩法行为规划!F16)</f>
        <v>0</v>
      </c>
      <c r="H16" s="7" t="str">
        <f>IF(VLOOKUP(H$2,行为概览!$D$3:$K$33,8,0)="","",VLOOKUP(H$2,行为概览!$D$3:$K$33,8,0)*玩法行为规划!G16)</f>
        <v/>
      </c>
      <c r="I16" s="7" t="str">
        <f>IF(VLOOKUP(I$2,行为概览!$D$3:$K$33,8,0)="","",VLOOKUP(I$2,行为概览!$D$3:$K$33,8,0)*玩法行为规划!H16)</f>
        <v/>
      </c>
      <c r="J16" s="7" t="str">
        <f>IF(VLOOKUP(J$2,行为概览!$D$3:$K$33,8,0)="","",VLOOKUP(J$2,行为概览!$D$3:$K$33,8,0)*玩法行为规划!I16)</f>
        <v/>
      </c>
      <c r="K16" s="7">
        <f>IF(VLOOKUP(K$2,行为概览!$D$3:$K$33,8,0)="","",VLOOKUP(K$2,行为概览!$D$3:$K$33,8,0)*玩法行为规划!J16)</f>
        <v>0</v>
      </c>
      <c r="L16" s="7" t="str">
        <f>IF(VLOOKUP(L$2,行为概览!$D$3:$K$33,8,0)="","",VLOOKUP(L$2,行为概览!$D$3:$K$33,8,0)*玩法行为规划!K16)</f>
        <v/>
      </c>
      <c r="M16" s="7" t="str">
        <f>IF(VLOOKUP(M$2,行为概览!$D$3:$K$33,8,0)="","",VLOOKUP(M$2,行为概览!$D$3:$K$33,8,0)*玩法行为规划!L16)</f>
        <v/>
      </c>
      <c r="N16" s="7">
        <f>IF(VLOOKUP(N$2,行为概览!$D$3:$K$33,8,0)="","",VLOOKUP(N$2,行为概览!$D$3:$K$33,8,0)*玩法行为规划!M16)</f>
        <v>12</v>
      </c>
      <c r="O16" s="7" t="str">
        <f>IF(VLOOKUP(O$2,行为概览!$D$3:$K$33,8,0)="","",VLOOKUP(O$2,行为概览!$D$3:$K$33,8,0)*玩法行为规划!N16)</f>
        <v/>
      </c>
      <c r="P16" s="7" t="str">
        <f>IF(VLOOKUP(P$2,行为概览!$D$3:$K$33,8,0)="","",VLOOKUP(P$2,行为概览!$D$3:$K$33,8,0)*玩法行为规划!O16)</f>
        <v/>
      </c>
      <c r="Q16" s="7">
        <f>IF(VLOOKUP(Q$2,行为概览!$D$3:$K$33,8,0)="","",VLOOKUP(Q$2,行为概览!$D$3:$K$33,8,0)*玩法行为规划!P16)</f>
        <v>5.2</v>
      </c>
      <c r="R16" s="7" t="str">
        <f>IF(VLOOKUP(R$2,行为概览!$D$3:$K$33,8,0)="","",VLOOKUP(R$2,行为概览!$D$3:$K$33,8,0)*玩法行为规划!Q16)</f>
        <v/>
      </c>
      <c r="S16" s="7">
        <f>IF(VLOOKUP(S$2,行为概览!$D$3:$K$33,8,0)="","",VLOOKUP(S$2,行为概览!$D$3:$K$33,8,0)*玩法行为规划!R16)</f>
        <v>0</v>
      </c>
      <c r="T16" s="7">
        <f>IF(VLOOKUP(T$2,行为概览!$D$3:$K$33,8,0)="","",VLOOKUP(T$2,行为概览!$D$3:$K$33,8,0)*玩法行为规划!S16)</f>
        <v>0</v>
      </c>
      <c r="U16" s="7">
        <f>IF(VLOOKUP(U$2,行为概览!$D$3:$K$33,8,0)="","",VLOOKUP(U$2,行为概览!$D$3:$K$33,8,0)*玩法行为规划!T16)</f>
        <v>0</v>
      </c>
      <c r="V16" s="7">
        <f>IF(VLOOKUP(V$2,行为概览!$D$3:$K$33,8,0)="","",VLOOKUP(V$2,行为概览!$D$3:$K$33,8,0)*玩法行为规划!U16)</f>
        <v>0</v>
      </c>
      <c r="W16" s="7" t="str">
        <f>IF(VLOOKUP(W$2,行为概览!$D$3:$K$33,8,0)="","",VLOOKUP(W$2,行为概览!$D$3:$K$33,8,0)*玩法行为规划!V16)</f>
        <v/>
      </c>
      <c r="X16" s="7" t="str">
        <f>IF(VLOOKUP(X$2,行为概览!$D$3:$K$33,8,0)="","",VLOOKUP(X$2,行为概览!$D$3:$K$33,8,0)*玩法行为规划!W16)</f>
        <v/>
      </c>
      <c r="Y16" s="7">
        <f>IF(VLOOKUP(Y$2,行为概览!$D$3:$K$33,8,0)="","",VLOOKUP(Y$2,行为概览!$D$3:$K$33,8,0)*玩法行为规划!X16)</f>
        <v>0</v>
      </c>
      <c r="Z16" s="7" t="str">
        <f>IF(VLOOKUP(Z$2,行为概览!$D$3:$K$33,8,0)="","",VLOOKUP(Z$2,行为概览!$D$3:$K$33,8,0)*玩法行为规划!Y16)</f>
        <v/>
      </c>
      <c r="AA16" s="7">
        <f>IF(VLOOKUP(AA$2,行为概览!$D$3:$K$33,8,0)="","",VLOOKUP(AA$2,行为概览!$D$3:$K$33,8,0)*玩法行为规划!Z16)</f>
        <v>0</v>
      </c>
      <c r="AB16" s="7" t="str">
        <f>IF(VLOOKUP(AB$2,行为概览!$D$3:$K$33,8,0)="","",VLOOKUP(AB$2,行为概览!$D$3:$K$33,8,0)*玩法行为规划!AA16)</f>
        <v/>
      </c>
      <c r="AC16" s="7" t="str">
        <f>IF(VLOOKUP(AC$2,行为概览!$D$3:$K$33,8,0)="","",VLOOKUP(AC$2,行为概览!$D$3:$K$33,8,0)*玩法行为规划!AB16)</f>
        <v/>
      </c>
      <c r="AD16" s="7" t="str">
        <f>IF(VLOOKUP(AD$2,行为概览!$D$3:$K$33,8,0)="","",VLOOKUP(AD$2,行为概览!$D$3:$K$33,8,0)*玩法行为规划!AC16)</f>
        <v/>
      </c>
      <c r="AE16" s="7" t="str">
        <f>IF(VLOOKUP(AE$2,行为概览!$D$3:$K$33,8,0)="","",VLOOKUP(AE$2,行为概览!$D$3:$K$33,8,0)*玩法行为规划!AD16)</f>
        <v/>
      </c>
      <c r="AF16" s="7">
        <f t="shared" si="0"/>
        <v>17.2</v>
      </c>
      <c r="AG16" s="7">
        <f t="shared" si="1"/>
        <v>1204000</v>
      </c>
      <c r="AH16" s="7">
        <f t="shared" si="4"/>
        <v>18070</v>
      </c>
      <c r="AI16" s="21" t="str">
        <f t="shared" si="6"/>
        <v/>
      </c>
      <c r="AJ16" s="73">
        <f t="shared" si="5"/>
        <v>9820</v>
      </c>
      <c r="AK16" s="77">
        <f>ROUND(AG16*升级节奏!G16/AJ16,2)</f>
        <v>0</v>
      </c>
      <c r="AL16" s="77">
        <f>ROUND(AG16*升级节奏!G16/SUM($AJ$3:AJ16),2)</f>
        <v>0</v>
      </c>
      <c r="AM16" s="74">
        <f>ROUND(AG16*升级节奏!G16,2)</f>
        <v>0</v>
      </c>
      <c r="AN16" s="77">
        <f>ROUND(AG16*升级节奏!H16/SUM($AJ$3:AJ16),2)</f>
        <v>0</v>
      </c>
      <c r="AO16" s="7">
        <f t="shared" si="2"/>
        <v>1167</v>
      </c>
      <c r="AP16" s="7">
        <f t="shared" si="3"/>
        <v>8</v>
      </c>
    </row>
    <row r="17" spans="1:42">
      <c r="A17" s="32">
        <v>15</v>
      </c>
      <c r="B17" s="87">
        <f>升级节奏!D17</f>
        <v>75000</v>
      </c>
      <c r="C17" s="7">
        <f>IF(VLOOKUP(C$2,行为概览!$D$3:$K$33,8,0)="","",VLOOKUP(C$2,行为概览!$D$3:$K$33,8,0)*玩法行为规划!B17)</f>
        <v>0.99990000000000001</v>
      </c>
      <c r="D17" s="7">
        <f>IF(VLOOKUP(D$2,行为概览!$D$3:$K$33,8,0)="","",VLOOKUP(D$2,行为概览!$D$3:$K$33,8,0)*玩法行为规划!C17)</f>
        <v>0</v>
      </c>
      <c r="E17" s="7" t="str">
        <f>IF(VLOOKUP(E$2,行为概览!$D$3:$K$33,8,0)="","",VLOOKUP(E$2,行为概览!$D$3:$K$33,8,0)*玩法行为规划!D17)</f>
        <v/>
      </c>
      <c r="F17" s="7">
        <f>IF(VLOOKUP(F$2,行为概览!$D$3:$K$33,8,0)="","",VLOOKUP(F$2,行为概览!$D$3:$K$33,8,0)*玩法行为规划!E17)</f>
        <v>0</v>
      </c>
      <c r="G17" s="7">
        <f>IF(VLOOKUP(G$2,行为概览!$D$3:$K$33,8,0)="","",VLOOKUP(G$2,行为概览!$D$3:$K$33,8,0)*玩法行为规划!F17)</f>
        <v>0</v>
      </c>
      <c r="H17" s="7" t="str">
        <f>IF(VLOOKUP(H$2,行为概览!$D$3:$K$33,8,0)="","",VLOOKUP(H$2,行为概览!$D$3:$K$33,8,0)*玩法行为规划!G17)</f>
        <v/>
      </c>
      <c r="I17" s="7" t="str">
        <f>IF(VLOOKUP(I$2,行为概览!$D$3:$K$33,8,0)="","",VLOOKUP(I$2,行为概览!$D$3:$K$33,8,0)*玩法行为规划!H17)</f>
        <v/>
      </c>
      <c r="J17" s="7" t="str">
        <f>IF(VLOOKUP(J$2,行为概览!$D$3:$K$33,8,0)="","",VLOOKUP(J$2,行为概览!$D$3:$K$33,8,0)*玩法行为规划!I17)</f>
        <v/>
      </c>
      <c r="K17" s="7">
        <f>IF(VLOOKUP(K$2,行为概览!$D$3:$K$33,8,0)="","",VLOOKUP(K$2,行为概览!$D$3:$K$33,8,0)*玩法行为规划!J17)</f>
        <v>0</v>
      </c>
      <c r="L17" s="7" t="str">
        <f>IF(VLOOKUP(L$2,行为概览!$D$3:$K$33,8,0)="","",VLOOKUP(L$2,行为概览!$D$3:$K$33,8,0)*玩法行为规划!K17)</f>
        <v/>
      </c>
      <c r="M17" s="7" t="str">
        <f>IF(VLOOKUP(M$2,行为概览!$D$3:$K$33,8,0)="","",VLOOKUP(M$2,行为概览!$D$3:$K$33,8,0)*玩法行为规划!L17)</f>
        <v/>
      </c>
      <c r="N17" s="7">
        <f>IF(VLOOKUP(N$2,行为概览!$D$3:$K$33,8,0)="","",VLOOKUP(N$2,行为概览!$D$3:$K$33,8,0)*玩法行为规划!M17)</f>
        <v>12</v>
      </c>
      <c r="O17" s="7" t="str">
        <f>IF(VLOOKUP(O$2,行为概览!$D$3:$K$33,8,0)="","",VLOOKUP(O$2,行为概览!$D$3:$K$33,8,0)*玩法行为规划!N17)</f>
        <v/>
      </c>
      <c r="P17" s="7" t="str">
        <f>IF(VLOOKUP(P$2,行为概览!$D$3:$K$33,8,0)="","",VLOOKUP(P$2,行为概览!$D$3:$K$33,8,0)*玩法行为规划!O17)</f>
        <v/>
      </c>
      <c r="Q17" s="7">
        <f>IF(VLOOKUP(Q$2,行为概览!$D$3:$K$33,8,0)="","",VLOOKUP(Q$2,行为概览!$D$3:$K$33,8,0)*玩法行为规划!P17)</f>
        <v>5.2</v>
      </c>
      <c r="R17" s="7" t="str">
        <f>IF(VLOOKUP(R$2,行为概览!$D$3:$K$33,8,0)="","",VLOOKUP(R$2,行为概览!$D$3:$K$33,8,0)*玩法行为规划!Q17)</f>
        <v/>
      </c>
      <c r="S17" s="7">
        <f>IF(VLOOKUP(S$2,行为概览!$D$3:$K$33,8,0)="","",VLOOKUP(S$2,行为概览!$D$3:$K$33,8,0)*玩法行为规划!R17)</f>
        <v>0</v>
      </c>
      <c r="T17" s="7">
        <f>IF(VLOOKUP(T$2,行为概览!$D$3:$K$33,8,0)="","",VLOOKUP(T$2,行为概览!$D$3:$K$33,8,0)*玩法行为规划!S17)</f>
        <v>0</v>
      </c>
      <c r="U17" s="7">
        <f>IF(VLOOKUP(U$2,行为概览!$D$3:$K$33,8,0)="","",VLOOKUP(U$2,行为概览!$D$3:$K$33,8,0)*玩法行为规划!T17)</f>
        <v>0</v>
      </c>
      <c r="V17" s="7">
        <f>IF(VLOOKUP(V$2,行为概览!$D$3:$K$33,8,0)="","",VLOOKUP(V$2,行为概览!$D$3:$K$33,8,0)*玩法行为规划!U17)</f>
        <v>0</v>
      </c>
      <c r="W17" s="7" t="str">
        <f>IF(VLOOKUP(W$2,行为概览!$D$3:$K$33,8,0)="","",VLOOKUP(W$2,行为概览!$D$3:$K$33,8,0)*玩法行为规划!V17)</f>
        <v/>
      </c>
      <c r="X17" s="7" t="str">
        <f>IF(VLOOKUP(X$2,行为概览!$D$3:$K$33,8,0)="","",VLOOKUP(X$2,行为概览!$D$3:$K$33,8,0)*玩法行为规划!W17)</f>
        <v/>
      </c>
      <c r="Y17" s="7">
        <f>IF(VLOOKUP(Y$2,行为概览!$D$3:$K$33,8,0)="","",VLOOKUP(Y$2,行为概览!$D$3:$K$33,8,0)*玩法行为规划!X17)</f>
        <v>0</v>
      </c>
      <c r="Z17" s="7" t="str">
        <f>IF(VLOOKUP(Z$2,行为概览!$D$3:$K$33,8,0)="","",VLOOKUP(Z$2,行为概览!$D$3:$K$33,8,0)*玩法行为规划!Y17)</f>
        <v/>
      </c>
      <c r="AA17" s="7">
        <f>IF(VLOOKUP(AA$2,行为概览!$D$3:$K$33,8,0)="","",VLOOKUP(AA$2,行为概览!$D$3:$K$33,8,0)*玩法行为规划!Z17)</f>
        <v>0</v>
      </c>
      <c r="AB17" s="7" t="str">
        <f>IF(VLOOKUP(AB$2,行为概览!$D$3:$K$33,8,0)="","",VLOOKUP(AB$2,行为概览!$D$3:$K$33,8,0)*玩法行为规划!AA17)</f>
        <v/>
      </c>
      <c r="AC17" s="7" t="str">
        <f>IF(VLOOKUP(AC$2,行为概览!$D$3:$K$33,8,0)="","",VLOOKUP(AC$2,行为概览!$D$3:$K$33,8,0)*玩法行为规划!AB17)</f>
        <v/>
      </c>
      <c r="AD17" s="7" t="str">
        <f>IF(VLOOKUP(AD$2,行为概览!$D$3:$K$33,8,0)="","",VLOOKUP(AD$2,行为概览!$D$3:$K$33,8,0)*玩法行为规划!AC17)</f>
        <v/>
      </c>
      <c r="AE17" s="7" t="str">
        <f>IF(VLOOKUP(AE$2,行为概览!$D$3:$K$33,8,0)="","",VLOOKUP(AE$2,行为概览!$D$3:$K$33,8,0)*玩法行为规划!AD17)</f>
        <v/>
      </c>
      <c r="AF17" s="7">
        <f t="shared" si="0"/>
        <v>18.1999</v>
      </c>
      <c r="AG17" s="7">
        <f t="shared" si="1"/>
        <v>1364992</v>
      </c>
      <c r="AH17" s="7">
        <f t="shared" si="4"/>
        <v>20020</v>
      </c>
      <c r="AI17" s="21" t="str">
        <f t="shared" si="6"/>
        <v/>
      </c>
      <c r="AJ17" s="73">
        <f t="shared" si="5"/>
        <v>11270</v>
      </c>
      <c r="AK17" s="77">
        <f>ROUND(AG17*升级节奏!G17/AJ17,2)</f>
        <v>0</v>
      </c>
      <c r="AL17" s="77">
        <f>ROUND(AG17*升级节奏!G17/SUM($AJ$3:AJ17),2)</f>
        <v>0</v>
      </c>
      <c r="AM17" s="74">
        <f>ROUND(AG17*升级节奏!G17,2)</f>
        <v>0</v>
      </c>
      <c r="AN17" s="77">
        <f>ROUND(AG17*升级节奏!H17/SUM($AJ$3:AJ17),2)</f>
        <v>0</v>
      </c>
      <c r="AO17" s="7">
        <f t="shared" si="2"/>
        <v>1250</v>
      </c>
      <c r="AP17" s="7">
        <f t="shared" si="3"/>
        <v>9</v>
      </c>
    </row>
    <row r="18" spans="1:42">
      <c r="A18" s="32">
        <v>16</v>
      </c>
      <c r="B18" s="87">
        <f>升级节奏!D18</f>
        <v>80000</v>
      </c>
      <c r="C18" s="7">
        <f>IF(VLOOKUP(C$2,行为概览!$D$3:$K$33,8,0)="","",VLOOKUP(C$2,行为概览!$D$3:$K$33,8,0)*玩法行为规划!B18)</f>
        <v>0.99990000000000001</v>
      </c>
      <c r="D18" s="7">
        <f>IF(VLOOKUP(D$2,行为概览!$D$3:$K$33,8,0)="","",VLOOKUP(D$2,行为概览!$D$3:$K$33,8,0)*玩法行为规划!C18)</f>
        <v>0</v>
      </c>
      <c r="E18" s="7" t="str">
        <f>IF(VLOOKUP(E$2,行为概览!$D$3:$K$33,8,0)="","",VLOOKUP(E$2,行为概览!$D$3:$K$33,8,0)*玩法行为规划!D18)</f>
        <v/>
      </c>
      <c r="F18" s="7">
        <f>IF(VLOOKUP(F$2,行为概览!$D$3:$K$33,8,0)="","",VLOOKUP(F$2,行为概览!$D$3:$K$33,8,0)*玩法行为规划!E18)</f>
        <v>0</v>
      </c>
      <c r="G18" s="7">
        <f>IF(VLOOKUP(G$2,行为概览!$D$3:$K$33,8,0)="","",VLOOKUP(G$2,行为概览!$D$3:$K$33,8,0)*玩法行为规划!F18)</f>
        <v>0</v>
      </c>
      <c r="H18" s="7" t="str">
        <f>IF(VLOOKUP(H$2,行为概览!$D$3:$K$33,8,0)="","",VLOOKUP(H$2,行为概览!$D$3:$K$33,8,0)*玩法行为规划!G18)</f>
        <v/>
      </c>
      <c r="I18" s="7" t="str">
        <f>IF(VLOOKUP(I$2,行为概览!$D$3:$K$33,8,0)="","",VLOOKUP(I$2,行为概览!$D$3:$K$33,8,0)*玩法行为规划!H18)</f>
        <v/>
      </c>
      <c r="J18" s="7" t="str">
        <f>IF(VLOOKUP(J$2,行为概览!$D$3:$K$33,8,0)="","",VLOOKUP(J$2,行为概览!$D$3:$K$33,8,0)*玩法行为规划!I18)</f>
        <v/>
      </c>
      <c r="K18" s="7">
        <f>IF(VLOOKUP(K$2,行为概览!$D$3:$K$33,8,0)="","",VLOOKUP(K$2,行为概览!$D$3:$K$33,8,0)*玩法行为规划!J18)</f>
        <v>0</v>
      </c>
      <c r="L18" s="7" t="str">
        <f>IF(VLOOKUP(L$2,行为概览!$D$3:$K$33,8,0)="","",VLOOKUP(L$2,行为概览!$D$3:$K$33,8,0)*玩法行为规划!K18)</f>
        <v/>
      </c>
      <c r="M18" s="7" t="str">
        <f>IF(VLOOKUP(M$2,行为概览!$D$3:$K$33,8,0)="","",VLOOKUP(M$2,行为概览!$D$3:$K$33,8,0)*玩法行为规划!L18)</f>
        <v/>
      </c>
      <c r="N18" s="7">
        <f>IF(VLOOKUP(N$2,行为概览!$D$3:$K$33,8,0)="","",VLOOKUP(N$2,行为概览!$D$3:$K$33,8,0)*玩法行为规划!M18)</f>
        <v>12</v>
      </c>
      <c r="O18" s="7" t="str">
        <f>IF(VLOOKUP(O$2,行为概览!$D$3:$K$33,8,0)="","",VLOOKUP(O$2,行为概览!$D$3:$K$33,8,0)*玩法行为规划!N18)</f>
        <v/>
      </c>
      <c r="P18" s="7" t="str">
        <f>IF(VLOOKUP(P$2,行为概览!$D$3:$K$33,8,0)="","",VLOOKUP(P$2,行为概览!$D$3:$K$33,8,0)*玩法行为规划!O18)</f>
        <v/>
      </c>
      <c r="Q18" s="7">
        <f>IF(VLOOKUP(Q$2,行为概览!$D$3:$K$33,8,0)="","",VLOOKUP(Q$2,行为概览!$D$3:$K$33,8,0)*玩法行为规划!P18)</f>
        <v>5.2</v>
      </c>
      <c r="R18" s="7" t="str">
        <f>IF(VLOOKUP(R$2,行为概览!$D$3:$K$33,8,0)="","",VLOOKUP(R$2,行为概览!$D$3:$K$33,8,0)*玩法行为规划!Q18)</f>
        <v/>
      </c>
      <c r="S18" s="7">
        <f>IF(VLOOKUP(S$2,行为概览!$D$3:$K$33,8,0)="","",VLOOKUP(S$2,行为概览!$D$3:$K$33,8,0)*玩法行为规划!R18)</f>
        <v>0</v>
      </c>
      <c r="T18" s="7">
        <f>IF(VLOOKUP(T$2,行为概览!$D$3:$K$33,8,0)="","",VLOOKUP(T$2,行为概览!$D$3:$K$33,8,0)*玩法行为规划!S18)</f>
        <v>0</v>
      </c>
      <c r="U18" s="7">
        <f>IF(VLOOKUP(U$2,行为概览!$D$3:$K$33,8,0)="","",VLOOKUP(U$2,行为概览!$D$3:$K$33,8,0)*玩法行为规划!T18)</f>
        <v>0</v>
      </c>
      <c r="V18" s="7">
        <f>IF(VLOOKUP(V$2,行为概览!$D$3:$K$33,8,0)="","",VLOOKUP(V$2,行为概览!$D$3:$K$33,8,0)*玩法行为规划!U18)</f>
        <v>0</v>
      </c>
      <c r="W18" s="7" t="str">
        <f>IF(VLOOKUP(W$2,行为概览!$D$3:$K$33,8,0)="","",VLOOKUP(W$2,行为概览!$D$3:$K$33,8,0)*玩法行为规划!V18)</f>
        <v/>
      </c>
      <c r="X18" s="7" t="str">
        <f>IF(VLOOKUP(X$2,行为概览!$D$3:$K$33,8,0)="","",VLOOKUP(X$2,行为概览!$D$3:$K$33,8,0)*玩法行为规划!W18)</f>
        <v/>
      </c>
      <c r="Y18" s="7">
        <f>IF(VLOOKUP(Y$2,行为概览!$D$3:$K$33,8,0)="","",VLOOKUP(Y$2,行为概览!$D$3:$K$33,8,0)*玩法行为规划!X18)</f>
        <v>0</v>
      </c>
      <c r="Z18" s="7" t="str">
        <f>IF(VLOOKUP(Z$2,行为概览!$D$3:$K$33,8,0)="","",VLOOKUP(Z$2,行为概览!$D$3:$K$33,8,0)*玩法行为规划!Y18)</f>
        <v/>
      </c>
      <c r="AA18" s="7">
        <f>IF(VLOOKUP(AA$2,行为概览!$D$3:$K$33,8,0)="","",VLOOKUP(AA$2,行为概览!$D$3:$K$33,8,0)*玩法行为规划!Z18)</f>
        <v>0</v>
      </c>
      <c r="AB18" s="7" t="str">
        <f>IF(VLOOKUP(AB$2,行为概览!$D$3:$K$33,8,0)="","",VLOOKUP(AB$2,行为概览!$D$3:$K$33,8,0)*玩法行为规划!AA18)</f>
        <v/>
      </c>
      <c r="AC18" s="7" t="str">
        <f>IF(VLOOKUP(AC$2,行为概览!$D$3:$K$33,8,0)="","",VLOOKUP(AC$2,行为概览!$D$3:$K$33,8,0)*玩法行为规划!AB18)</f>
        <v/>
      </c>
      <c r="AD18" s="7" t="str">
        <f>IF(VLOOKUP(AD$2,行为概览!$D$3:$K$33,8,0)="","",VLOOKUP(AD$2,行为概览!$D$3:$K$33,8,0)*玩法行为规划!AC18)</f>
        <v/>
      </c>
      <c r="AE18" s="7" t="str">
        <f>IF(VLOOKUP(AE$2,行为概览!$D$3:$K$33,8,0)="","",VLOOKUP(AE$2,行为概览!$D$3:$K$33,8,0)*玩法行为规划!AD18)</f>
        <v/>
      </c>
      <c r="AF18" s="7">
        <f t="shared" si="0"/>
        <v>18.1999</v>
      </c>
      <c r="AG18" s="7">
        <f t="shared" si="1"/>
        <v>1455992</v>
      </c>
      <c r="AH18" s="7">
        <f t="shared" si="4"/>
        <v>22070</v>
      </c>
      <c r="AI18" s="21" t="str">
        <f t="shared" si="6"/>
        <v/>
      </c>
      <c r="AJ18" s="73">
        <f t="shared" si="5"/>
        <v>12820</v>
      </c>
      <c r="AK18" s="77">
        <f>ROUND(AG18*升级节奏!G18/AJ18,2)</f>
        <v>0</v>
      </c>
      <c r="AL18" s="77">
        <f>ROUND(AG18*升级节奏!G18/SUM($AJ$3:AJ18),2)</f>
        <v>0</v>
      </c>
      <c r="AM18" s="74">
        <f>ROUND(AG18*升级节奏!G18,2)</f>
        <v>0</v>
      </c>
      <c r="AN18" s="77">
        <f>ROUND(AG18*升级节奏!H18/SUM($AJ$3:AJ18),2)</f>
        <v>0</v>
      </c>
      <c r="AO18" s="7">
        <f t="shared" si="2"/>
        <v>1333</v>
      </c>
      <c r="AP18" s="7">
        <f t="shared" si="3"/>
        <v>10</v>
      </c>
    </row>
    <row r="19" spans="1:42">
      <c r="A19" s="32">
        <v>17</v>
      </c>
      <c r="B19" s="87">
        <f>升级节奏!D19</f>
        <v>85000</v>
      </c>
      <c r="C19" s="7">
        <f>IF(VLOOKUP(C$2,行为概览!$D$3:$K$33,8,0)="","",VLOOKUP(C$2,行为概览!$D$3:$K$33,8,0)*玩法行为规划!B19)</f>
        <v>0.99990000000000001</v>
      </c>
      <c r="D19" s="7">
        <f>IF(VLOOKUP(D$2,行为概览!$D$3:$K$33,8,0)="","",VLOOKUP(D$2,行为概览!$D$3:$K$33,8,0)*玩法行为规划!C19)</f>
        <v>0</v>
      </c>
      <c r="E19" s="7" t="str">
        <f>IF(VLOOKUP(E$2,行为概览!$D$3:$K$33,8,0)="","",VLOOKUP(E$2,行为概览!$D$3:$K$33,8,0)*玩法行为规划!D19)</f>
        <v/>
      </c>
      <c r="F19" s="7">
        <f>IF(VLOOKUP(F$2,行为概览!$D$3:$K$33,8,0)="","",VLOOKUP(F$2,行为概览!$D$3:$K$33,8,0)*玩法行为规划!E19)</f>
        <v>0</v>
      </c>
      <c r="G19" s="7">
        <f>IF(VLOOKUP(G$2,行为概览!$D$3:$K$33,8,0)="","",VLOOKUP(G$2,行为概览!$D$3:$K$33,8,0)*玩法行为规划!F19)</f>
        <v>0</v>
      </c>
      <c r="H19" s="7" t="str">
        <f>IF(VLOOKUP(H$2,行为概览!$D$3:$K$33,8,0)="","",VLOOKUP(H$2,行为概览!$D$3:$K$33,8,0)*玩法行为规划!G19)</f>
        <v/>
      </c>
      <c r="I19" s="7" t="str">
        <f>IF(VLOOKUP(I$2,行为概览!$D$3:$K$33,8,0)="","",VLOOKUP(I$2,行为概览!$D$3:$K$33,8,0)*玩法行为规划!H19)</f>
        <v/>
      </c>
      <c r="J19" s="7" t="str">
        <f>IF(VLOOKUP(J$2,行为概览!$D$3:$K$33,8,0)="","",VLOOKUP(J$2,行为概览!$D$3:$K$33,8,0)*玩法行为规划!I19)</f>
        <v/>
      </c>
      <c r="K19" s="7">
        <f>IF(VLOOKUP(K$2,行为概览!$D$3:$K$33,8,0)="","",VLOOKUP(K$2,行为概览!$D$3:$K$33,8,0)*玩法行为规划!J19)</f>
        <v>0</v>
      </c>
      <c r="L19" s="7" t="str">
        <f>IF(VLOOKUP(L$2,行为概览!$D$3:$K$33,8,0)="","",VLOOKUP(L$2,行为概览!$D$3:$K$33,8,0)*玩法行为规划!K19)</f>
        <v/>
      </c>
      <c r="M19" s="7" t="str">
        <f>IF(VLOOKUP(M$2,行为概览!$D$3:$K$33,8,0)="","",VLOOKUP(M$2,行为概览!$D$3:$K$33,8,0)*玩法行为规划!L19)</f>
        <v/>
      </c>
      <c r="N19" s="7">
        <f>IF(VLOOKUP(N$2,行为概览!$D$3:$K$33,8,0)="","",VLOOKUP(N$2,行为概览!$D$3:$K$33,8,0)*玩法行为规划!M19)</f>
        <v>12</v>
      </c>
      <c r="O19" s="7" t="str">
        <f>IF(VLOOKUP(O$2,行为概览!$D$3:$K$33,8,0)="","",VLOOKUP(O$2,行为概览!$D$3:$K$33,8,0)*玩法行为规划!N19)</f>
        <v/>
      </c>
      <c r="P19" s="7" t="str">
        <f>IF(VLOOKUP(P$2,行为概览!$D$3:$K$33,8,0)="","",VLOOKUP(P$2,行为概览!$D$3:$K$33,8,0)*玩法行为规划!O19)</f>
        <v/>
      </c>
      <c r="Q19" s="7">
        <f>IF(VLOOKUP(Q$2,行为概览!$D$3:$K$33,8,0)="","",VLOOKUP(Q$2,行为概览!$D$3:$K$33,8,0)*玩法行为规划!P19)</f>
        <v>5.2</v>
      </c>
      <c r="R19" s="7" t="str">
        <f>IF(VLOOKUP(R$2,行为概览!$D$3:$K$33,8,0)="","",VLOOKUP(R$2,行为概览!$D$3:$K$33,8,0)*玩法行为规划!Q19)</f>
        <v/>
      </c>
      <c r="S19" s="7">
        <f>IF(VLOOKUP(S$2,行为概览!$D$3:$K$33,8,0)="","",VLOOKUP(S$2,行为概览!$D$3:$K$33,8,0)*玩法行为规划!R19)</f>
        <v>0</v>
      </c>
      <c r="T19" s="7">
        <f>IF(VLOOKUP(T$2,行为概览!$D$3:$K$33,8,0)="","",VLOOKUP(T$2,行为概览!$D$3:$K$33,8,0)*玩法行为规划!S19)</f>
        <v>0</v>
      </c>
      <c r="U19" s="7">
        <f>IF(VLOOKUP(U$2,行为概览!$D$3:$K$33,8,0)="","",VLOOKUP(U$2,行为概览!$D$3:$K$33,8,0)*玩法行为规划!T19)</f>
        <v>0</v>
      </c>
      <c r="V19" s="7">
        <f>IF(VLOOKUP(V$2,行为概览!$D$3:$K$33,8,0)="","",VLOOKUP(V$2,行为概览!$D$3:$K$33,8,0)*玩法行为规划!U19)</f>
        <v>0</v>
      </c>
      <c r="W19" s="7" t="str">
        <f>IF(VLOOKUP(W$2,行为概览!$D$3:$K$33,8,0)="","",VLOOKUP(W$2,行为概览!$D$3:$K$33,8,0)*玩法行为规划!V19)</f>
        <v/>
      </c>
      <c r="X19" s="7" t="str">
        <f>IF(VLOOKUP(X$2,行为概览!$D$3:$K$33,8,0)="","",VLOOKUP(X$2,行为概览!$D$3:$K$33,8,0)*玩法行为规划!W19)</f>
        <v/>
      </c>
      <c r="Y19" s="7">
        <f>IF(VLOOKUP(Y$2,行为概览!$D$3:$K$33,8,0)="","",VLOOKUP(Y$2,行为概览!$D$3:$K$33,8,0)*玩法行为规划!X19)</f>
        <v>0</v>
      </c>
      <c r="Z19" s="7" t="str">
        <f>IF(VLOOKUP(Z$2,行为概览!$D$3:$K$33,8,0)="","",VLOOKUP(Z$2,行为概览!$D$3:$K$33,8,0)*玩法行为规划!Y19)</f>
        <v/>
      </c>
      <c r="AA19" s="7">
        <f>IF(VLOOKUP(AA$2,行为概览!$D$3:$K$33,8,0)="","",VLOOKUP(AA$2,行为概览!$D$3:$K$33,8,0)*玩法行为规划!Z19)</f>
        <v>0</v>
      </c>
      <c r="AB19" s="7" t="str">
        <f>IF(VLOOKUP(AB$2,行为概览!$D$3:$K$33,8,0)="","",VLOOKUP(AB$2,行为概览!$D$3:$K$33,8,0)*玩法行为规划!AA19)</f>
        <v/>
      </c>
      <c r="AC19" s="7" t="str">
        <f>IF(VLOOKUP(AC$2,行为概览!$D$3:$K$33,8,0)="","",VLOOKUP(AC$2,行为概览!$D$3:$K$33,8,0)*玩法行为规划!AB19)</f>
        <v/>
      </c>
      <c r="AD19" s="7" t="str">
        <f>IF(VLOOKUP(AD$2,行为概览!$D$3:$K$33,8,0)="","",VLOOKUP(AD$2,行为概览!$D$3:$K$33,8,0)*玩法行为规划!AC19)</f>
        <v/>
      </c>
      <c r="AE19" s="7" t="str">
        <f>IF(VLOOKUP(AE$2,行为概览!$D$3:$K$33,8,0)="","",VLOOKUP(AE$2,行为概览!$D$3:$K$33,8,0)*玩法行为规划!AD19)</f>
        <v/>
      </c>
      <c r="AF19" s="7">
        <f t="shared" si="0"/>
        <v>18.1999</v>
      </c>
      <c r="AG19" s="7">
        <f t="shared" si="1"/>
        <v>1546991</v>
      </c>
      <c r="AH19" s="7">
        <f t="shared" si="4"/>
        <v>24220</v>
      </c>
      <c r="AI19" s="21" t="str">
        <f t="shared" si="6"/>
        <v/>
      </c>
      <c r="AJ19" s="73">
        <f t="shared" si="5"/>
        <v>14470</v>
      </c>
      <c r="AK19" s="77">
        <f>ROUND(AG19*升级节奏!G19/AJ19,2)</f>
        <v>0</v>
      </c>
      <c r="AL19" s="77">
        <f>ROUND(AG19*升级节奏!G19/SUM($AJ$3:AJ19),2)</f>
        <v>0</v>
      </c>
      <c r="AM19" s="74">
        <f>ROUND(AG19*升级节奏!G19,2)</f>
        <v>0</v>
      </c>
      <c r="AN19" s="77">
        <f>ROUND(AG19*升级节奏!H19/SUM($AJ$3:AJ19),2)</f>
        <v>0</v>
      </c>
      <c r="AO19" s="7">
        <f t="shared" si="2"/>
        <v>1417</v>
      </c>
      <c r="AP19" s="7">
        <f t="shared" si="3"/>
        <v>10</v>
      </c>
    </row>
    <row r="20" spans="1:42">
      <c r="A20" s="32">
        <v>18</v>
      </c>
      <c r="B20" s="87">
        <f>升级节奏!D20</f>
        <v>90000</v>
      </c>
      <c r="C20" s="7">
        <f>IF(VLOOKUP(C$2,行为概览!$D$3:$K$33,8,0)="","",VLOOKUP(C$2,行为概览!$D$3:$K$33,8,0)*玩法行为规划!B20)</f>
        <v>0.99990000000000001</v>
      </c>
      <c r="D20" s="7">
        <f>IF(VLOOKUP(D$2,行为概览!$D$3:$K$33,8,0)="","",VLOOKUP(D$2,行为概览!$D$3:$K$33,8,0)*玩法行为规划!C20)</f>
        <v>0</v>
      </c>
      <c r="E20" s="7" t="str">
        <f>IF(VLOOKUP(E$2,行为概览!$D$3:$K$33,8,0)="","",VLOOKUP(E$2,行为概览!$D$3:$K$33,8,0)*玩法行为规划!D20)</f>
        <v/>
      </c>
      <c r="F20" s="7">
        <f>IF(VLOOKUP(F$2,行为概览!$D$3:$K$33,8,0)="","",VLOOKUP(F$2,行为概览!$D$3:$K$33,8,0)*玩法行为规划!E20)</f>
        <v>0</v>
      </c>
      <c r="G20" s="7">
        <f>IF(VLOOKUP(G$2,行为概览!$D$3:$K$33,8,0)="","",VLOOKUP(G$2,行为概览!$D$3:$K$33,8,0)*玩法行为规划!F20)</f>
        <v>0</v>
      </c>
      <c r="H20" s="7" t="str">
        <f>IF(VLOOKUP(H$2,行为概览!$D$3:$K$33,8,0)="","",VLOOKUP(H$2,行为概览!$D$3:$K$33,8,0)*玩法行为规划!G20)</f>
        <v/>
      </c>
      <c r="I20" s="7" t="str">
        <f>IF(VLOOKUP(I$2,行为概览!$D$3:$K$33,8,0)="","",VLOOKUP(I$2,行为概览!$D$3:$K$33,8,0)*玩法行为规划!H20)</f>
        <v/>
      </c>
      <c r="J20" s="7" t="str">
        <f>IF(VLOOKUP(J$2,行为概览!$D$3:$K$33,8,0)="","",VLOOKUP(J$2,行为概览!$D$3:$K$33,8,0)*玩法行为规划!I20)</f>
        <v/>
      </c>
      <c r="K20" s="7">
        <f>IF(VLOOKUP(K$2,行为概览!$D$3:$K$33,8,0)="","",VLOOKUP(K$2,行为概览!$D$3:$K$33,8,0)*玩法行为规划!J20)</f>
        <v>0</v>
      </c>
      <c r="L20" s="7" t="str">
        <f>IF(VLOOKUP(L$2,行为概览!$D$3:$K$33,8,0)="","",VLOOKUP(L$2,行为概览!$D$3:$K$33,8,0)*玩法行为规划!K20)</f>
        <v/>
      </c>
      <c r="M20" s="7" t="str">
        <f>IF(VLOOKUP(M$2,行为概览!$D$3:$K$33,8,0)="","",VLOOKUP(M$2,行为概览!$D$3:$K$33,8,0)*玩法行为规划!L20)</f>
        <v/>
      </c>
      <c r="N20" s="7">
        <f>IF(VLOOKUP(N$2,行为概览!$D$3:$K$33,8,0)="","",VLOOKUP(N$2,行为概览!$D$3:$K$33,8,0)*玩法行为规划!M20)</f>
        <v>12</v>
      </c>
      <c r="O20" s="7" t="str">
        <f>IF(VLOOKUP(O$2,行为概览!$D$3:$K$33,8,0)="","",VLOOKUP(O$2,行为概览!$D$3:$K$33,8,0)*玩法行为规划!N20)</f>
        <v/>
      </c>
      <c r="P20" s="7" t="str">
        <f>IF(VLOOKUP(P$2,行为概览!$D$3:$K$33,8,0)="","",VLOOKUP(P$2,行为概览!$D$3:$K$33,8,0)*玩法行为规划!O20)</f>
        <v/>
      </c>
      <c r="Q20" s="7">
        <f>IF(VLOOKUP(Q$2,行为概览!$D$3:$K$33,8,0)="","",VLOOKUP(Q$2,行为概览!$D$3:$K$33,8,0)*玩法行为规划!P20)</f>
        <v>5.2</v>
      </c>
      <c r="R20" s="7" t="str">
        <f>IF(VLOOKUP(R$2,行为概览!$D$3:$K$33,8,0)="","",VLOOKUP(R$2,行为概览!$D$3:$K$33,8,0)*玩法行为规划!Q20)</f>
        <v/>
      </c>
      <c r="S20" s="7">
        <f>IF(VLOOKUP(S$2,行为概览!$D$3:$K$33,8,0)="","",VLOOKUP(S$2,行为概览!$D$3:$K$33,8,0)*玩法行为规划!R20)</f>
        <v>0</v>
      </c>
      <c r="T20" s="7">
        <f>IF(VLOOKUP(T$2,行为概览!$D$3:$K$33,8,0)="","",VLOOKUP(T$2,行为概览!$D$3:$K$33,8,0)*玩法行为规划!S20)</f>
        <v>0</v>
      </c>
      <c r="U20" s="7">
        <f>IF(VLOOKUP(U$2,行为概览!$D$3:$K$33,8,0)="","",VLOOKUP(U$2,行为概览!$D$3:$K$33,8,0)*玩法行为规划!T20)</f>
        <v>0</v>
      </c>
      <c r="V20" s="7">
        <f>IF(VLOOKUP(V$2,行为概览!$D$3:$K$33,8,0)="","",VLOOKUP(V$2,行为概览!$D$3:$K$33,8,0)*玩法行为规划!U20)</f>
        <v>0</v>
      </c>
      <c r="W20" s="7" t="str">
        <f>IF(VLOOKUP(W$2,行为概览!$D$3:$K$33,8,0)="","",VLOOKUP(W$2,行为概览!$D$3:$K$33,8,0)*玩法行为规划!V20)</f>
        <v/>
      </c>
      <c r="X20" s="7" t="str">
        <f>IF(VLOOKUP(X$2,行为概览!$D$3:$K$33,8,0)="","",VLOOKUP(X$2,行为概览!$D$3:$K$33,8,0)*玩法行为规划!W20)</f>
        <v/>
      </c>
      <c r="Y20" s="7">
        <f>IF(VLOOKUP(Y$2,行为概览!$D$3:$K$33,8,0)="","",VLOOKUP(Y$2,行为概览!$D$3:$K$33,8,0)*玩法行为规划!X20)</f>
        <v>0</v>
      </c>
      <c r="Z20" s="7" t="str">
        <f>IF(VLOOKUP(Z$2,行为概览!$D$3:$K$33,8,0)="","",VLOOKUP(Z$2,行为概览!$D$3:$K$33,8,0)*玩法行为规划!Y20)</f>
        <v/>
      </c>
      <c r="AA20" s="7">
        <f>IF(VLOOKUP(AA$2,行为概览!$D$3:$K$33,8,0)="","",VLOOKUP(AA$2,行为概览!$D$3:$K$33,8,0)*玩法行为规划!Z20)</f>
        <v>0</v>
      </c>
      <c r="AB20" s="7" t="str">
        <f>IF(VLOOKUP(AB$2,行为概览!$D$3:$K$33,8,0)="","",VLOOKUP(AB$2,行为概览!$D$3:$K$33,8,0)*玩法行为规划!AA20)</f>
        <v/>
      </c>
      <c r="AC20" s="7" t="str">
        <f>IF(VLOOKUP(AC$2,行为概览!$D$3:$K$33,8,0)="","",VLOOKUP(AC$2,行为概览!$D$3:$K$33,8,0)*玩法行为规划!AB20)</f>
        <v/>
      </c>
      <c r="AD20" s="7" t="str">
        <f>IF(VLOOKUP(AD$2,行为概览!$D$3:$K$33,8,0)="","",VLOOKUP(AD$2,行为概览!$D$3:$K$33,8,0)*玩法行为规划!AC20)</f>
        <v/>
      </c>
      <c r="AE20" s="7" t="str">
        <f>IF(VLOOKUP(AE$2,行为概览!$D$3:$K$33,8,0)="","",VLOOKUP(AE$2,行为概览!$D$3:$K$33,8,0)*玩法行为规划!AD20)</f>
        <v/>
      </c>
      <c r="AF20" s="7">
        <f t="shared" si="0"/>
        <v>18.1999</v>
      </c>
      <c r="AG20" s="7">
        <f t="shared" si="1"/>
        <v>1637991</v>
      </c>
      <c r="AH20" s="7">
        <f t="shared" si="4"/>
        <v>26470</v>
      </c>
      <c r="AI20" s="21" t="str">
        <f t="shared" si="6"/>
        <v/>
      </c>
      <c r="AJ20" s="73">
        <f t="shared" si="5"/>
        <v>16220</v>
      </c>
      <c r="AK20" s="77">
        <f>ROUND(AG20*升级节奏!G20/AJ20,2)</f>
        <v>0</v>
      </c>
      <c r="AL20" s="77">
        <f>ROUND(AG20*升级节奏!G20/SUM($AJ$3:AJ20),2)</f>
        <v>0</v>
      </c>
      <c r="AM20" s="74">
        <f>ROUND(AG20*升级节奏!G20,2)</f>
        <v>0</v>
      </c>
      <c r="AN20" s="77">
        <f>ROUND(AG20*升级节奏!H20/SUM($AJ$3:AJ20),2)</f>
        <v>0</v>
      </c>
      <c r="AO20" s="7">
        <f t="shared" si="2"/>
        <v>1500</v>
      </c>
      <c r="AP20" s="7">
        <f t="shared" si="3"/>
        <v>11</v>
      </c>
    </row>
    <row r="21" spans="1:42">
      <c r="A21" s="32">
        <v>19</v>
      </c>
      <c r="B21" s="87">
        <f>升级节奏!D21</f>
        <v>95000</v>
      </c>
      <c r="C21" s="7">
        <f>IF(VLOOKUP(C$2,行为概览!$D$3:$K$33,8,0)="","",VLOOKUP(C$2,行为概览!$D$3:$K$33,8,0)*玩法行为规划!B21)</f>
        <v>0.99990000000000001</v>
      </c>
      <c r="D21" s="7">
        <f>IF(VLOOKUP(D$2,行为概览!$D$3:$K$33,8,0)="","",VLOOKUP(D$2,行为概览!$D$3:$K$33,8,0)*玩法行为规划!C21)</f>
        <v>0</v>
      </c>
      <c r="E21" s="7" t="str">
        <f>IF(VLOOKUP(E$2,行为概览!$D$3:$K$33,8,0)="","",VLOOKUP(E$2,行为概览!$D$3:$K$33,8,0)*玩法行为规划!D21)</f>
        <v/>
      </c>
      <c r="F21" s="7">
        <f>IF(VLOOKUP(F$2,行为概览!$D$3:$K$33,8,0)="","",VLOOKUP(F$2,行为概览!$D$3:$K$33,8,0)*玩法行为规划!E21)</f>
        <v>0</v>
      </c>
      <c r="G21" s="7">
        <f>IF(VLOOKUP(G$2,行为概览!$D$3:$K$33,8,0)="","",VLOOKUP(G$2,行为概览!$D$3:$K$33,8,0)*玩法行为规划!F21)</f>
        <v>0</v>
      </c>
      <c r="H21" s="7" t="str">
        <f>IF(VLOOKUP(H$2,行为概览!$D$3:$K$33,8,0)="","",VLOOKUP(H$2,行为概览!$D$3:$K$33,8,0)*玩法行为规划!G21)</f>
        <v/>
      </c>
      <c r="I21" s="7" t="str">
        <f>IF(VLOOKUP(I$2,行为概览!$D$3:$K$33,8,0)="","",VLOOKUP(I$2,行为概览!$D$3:$K$33,8,0)*玩法行为规划!H21)</f>
        <v/>
      </c>
      <c r="J21" s="7" t="str">
        <f>IF(VLOOKUP(J$2,行为概览!$D$3:$K$33,8,0)="","",VLOOKUP(J$2,行为概览!$D$3:$K$33,8,0)*玩法行为规划!I21)</f>
        <v/>
      </c>
      <c r="K21" s="7">
        <f>IF(VLOOKUP(K$2,行为概览!$D$3:$K$33,8,0)="","",VLOOKUP(K$2,行为概览!$D$3:$K$33,8,0)*玩法行为规划!J21)</f>
        <v>0</v>
      </c>
      <c r="L21" s="7" t="str">
        <f>IF(VLOOKUP(L$2,行为概览!$D$3:$K$33,8,0)="","",VLOOKUP(L$2,行为概览!$D$3:$K$33,8,0)*玩法行为规划!K21)</f>
        <v/>
      </c>
      <c r="M21" s="7" t="str">
        <f>IF(VLOOKUP(M$2,行为概览!$D$3:$K$33,8,0)="","",VLOOKUP(M$2,行为概览!$D$3:$K$33,8,0)*玩法行为规划!L21)</f>
        <v/>
      </c>
      <c r="N21" s="7">
        <f>IF(VLOOKUP(N$2,行为概览!$D$3:$K$33,8,0)="","",VLOOKUP(N$2,行为概览!$D$3:$K$33,8,0)*玩法行为规划!M21)</f>
        <v>12</v>
      </c>
      <c r="O21" s="7" t="str">
        <f>IF(VLOOKUP(O$2,行为概览!$D$3:$K$33,8,0)="","",VLOOKUP(O$2,行为概览!$D$3:$K$33,8,0)*玩法行为规划!N21)</f>
        <v/>
      </c>
      <c r="P21" s="7" t="str">
        <f>IF(VLOOKUP(P$2,行为概览!$D$3:$K$33,8,0)="","",VLOOKUP(P$2,行为概览!$D$3:$K$33,8,0)*玩法行为规划!O21)</f>
        <v/>
      </c>
      <c r="Q21" s="7">
        <f>IF(VLOOKUP(Q$2,行为概览!$D$3:$K$33,8,0)="","",VLOOKUP(Q$2,行为概览!$D$3:$K$33,8,0)*玩法行为规划!P21)</f>
        <v>5.2</v>
      </c>
      <c r="R21" s="7" t="str">
        <f>IF(VLOOKUP(R$2,行为概览!$D$3:$K$33,8,0)="","",VLOOKUP(R$2,行为概览!$D$3:$K$33,8,0)*玩法行为规划!Q21)</f>
        <v/>
      </c>
      <c r="S21" s="7">
        <f>IF(VLOOKUP(S$2,行为概览!$D$3:$K$33,8,0)="","",VLOOKUP(S$2,行为概览!$D$3:$K$33,8,0)*玩法行为规划!R21)</f>
        <v>0</v>
      </c>
      <c r="T21" s="7">
        <f>IF(VLOOKUP(T$2,行为概览!$D$3:$K$33,8,0)="","",VLOOKUP(T$2,行为概览!$D$3:$K$33,8,0)*玩法行为规划!S21)</f>
        <v>0</v>
      </c>
      <c r="U21" s="7">
        <f>IF(VLOOKUP(U$2,行为概览!$D$3:$K$33,8,0)="","",VLOOKUP(U$2,行为概览!$D$3:$K$33,8,0)*玩法行为规划!T21)</f>
        <v>0</v>
      </c>
      <c r="V21" s="7">
        <f>IF(VLOOKUP(V$2,行为概览!$D$3:$K$33,8,0)="","",VLOOKUP(V$2,行为概览!$D$3:$K$33,8,0)*玩法行为规划!U21)</f>
        <v>0</v>
      </c>
      <c r="W21" s="7" t="str">
        <f>IF(VLOOKUP(W$2,行为概览!$D$3:$K$33,8,0)="","",VLOOKUP(W$2,行为概览!$D$3:$K$33,8,0)*玩法行为规划!V21)</f>
        <v/>
      </c>
      <c r="X21" s="7" t="str">
        <f>IF(VLOOKUP(X$2,行为概览!$D$3:$K$33,8,0)="","",VLOOKUP(X$2,行为概览!$D$3:$K$33,8,0)*玩法行为规划!W21)</f>
        <v/>
      </c>
      <c r="Y21" s="7">
        <f>IF(VLOOKUP(Y$2,行为概览!$D$3:$K$33,8,0)="","",VLOOKUP(Y$2,行为概览!$D$3:$K$33,8,0)*玩法行为规划!X21)</f>
        <v>0</v>
      </c>
      <c r="Z21" s="7" t="str">
        <f>IF(VLOOKUP(Z$2,行为概览!$D$3:$K$33,8,0)="","",VLOOKUP(Z$2,行为概览!$D$3:$K$33,8,0)*玩法行为规划!Y21)</f>
        <v/>
      </c>
      <c r="AA21" s="7">
        <f>IF(VLOOKUP(AA$2,行为概览!$D$3:$K$33,8,0)="","",VLOOKUP(AA$2,行为概览!$D$3:$K$33,8,0)*玩法行为规划!Z21)</f>
        <v>0</v>
      </c>
      <c r="AB21" s="7" t="str">
        <f>IF(VLOOKUP(AB$2,行为概览!$D$3:$K$33,8,0)="","",VLOOKUP(AB$2,行为概览!$D$3:$K$33,8,0)*玩法行为规划!AA21)</f>
        <v/>
      </c>
      <c r="AC21" s="7" t="str">
        <f>IF(VLOOKUP(AC$2,行为概览!$D$3:$K$33,8,0)="","",VLOOKUP(AC$2,行为概览!$D$3:$K$33,8,0)*玩法行为规划!AB21)</f>
        <v/>
      </c>
      <c r="AD21" s="7" t="str">
        <f>IF(VLOOKUP(AD$2,行为概览!$D$3:$K$33,8,0)="","",VLOOKUP(AD$2,行为概览!$D$3:$K$33,8,0)*玩法行为规划!AC21)</f>
        <v/>
      </c>
      <c r="AE21" s="7" t="str">
        <f>IF(VLOOKUP(AE$2,行为概览!$D$3:$K$33,8,0)="","",VLOOKUP(AE$2,行为概览!$D$3:$K$33,8,0)*玩法行为规划!AD21)</f>
        <v/>
      </c>
      <c r="AF21" s="7">
        <f t="shared" si="0"/>
        <v>18.1999</v>
      </c>
      <c r="AG21" s="7">
        <f t="shared" si="1"/>
        <v>1728990</v>
      </c>
      <c r="AH21" s="7">
        <f t="shared" si="4"/>
        <v>28820</v>
      </c>
      <c r="AI21" s="21" t="str">
        <f t="shared" si="6"/>
        <v/>
      </c>
      <c r="AJ21" s="73">
        <f t="shared" si="5"/>
        <v>18070</v>
      </c>
      <c r="AK21" s="77">
        <f>ROUND(AG21*升级节奏!G21/AJ21,2)</f>
        <v>0</v>
      </c>
      <c r="AL21" s="77">
        <f>ROUND(AG21*升级节奏!G21/SUM($AJ$3:AJ21),2)</f>
        <v>0</v>
      </c>
      <c r="AM21" s="74">
        <f>ROUND(AG21*升级节奏!G21,2)</f>
        <v>0</v>
      </c>
      <c r="AN21" s="77">
        <f>ROUND(AG21*升级节奏!H21/SUM($AJ$3:AJ21),2)</f>
        <v>0</v>
      </c>
      <c r="AO21" s="7">
        <f t="shared" si="2"/>
        <v>1583</v>
      </c>
      <c r="AP21" s="7">
        <f t="shared" si="3"/>
        <v>11</v>
      </c>
    </row>
    <row r="22" spans="1:42">
      <c r="A22" s="32">
        <v>20</v>
      </c>
      <c r="B22" s="87">
        <f>升级节奏!D22</f>
        <v>100000</v>
      </c>
      <c r="C22" s="7">
        <f>IF(VLOOKUP(C$2,行为概览!$D$3:$K$33,8,0)="","",VLOOKUP(C$2,行为概览!$D$3:$K$33,8,0)*玩法行为规划!B22)</f>
        <v>0.99990000000000001</v>
      </c>
      <c r="D22" s="7">
        <f>IF(VLOOKUP(D$2,行为概览!$D$3:$K$33,8,0)="","",VLOOKUP(D$2,行为概览!$D$3:$K$33,8,0)*玩法行为规划!C22)</f>
        <v>1.1000000000000001</v>
      </c>
      <c r="E22" s="7" t="str">
        <f>IF(VLOOKUP(E$2,行为概览!$D$3:$K$33,8,0)="","",VLOOKUP(E$2,行为概览!$D$3:$K$33,8,0)*玩法行为规划!D22)</f>
        <v/>
      </c>
      <c r="F22" s="7">
        <f>IF(VLOOKUP(F$2,行为概览!$D$3:$K$33,8,0)="","",VLOOKUP(F$2,行为概览!$D$3:$K$33,8,0)*玩法行为规划!E22)</f>
        <v>0</v>
      </c>
      <c r="G22" s="7">
        <f>IF(VLOOKUP(G$2,行为概览!$D$3:$K$33,8,0)="","",VLOOKUP(G$2,行为概览!$D$3:$K$33,8,0)*玩法行为规划!F22)</f>
        <v>0</v>
      </c>
      <c r="H22" s="7" t="str">
        <f>IF(VLOOKUP(H$2,行为概览!$D$3:$K$33,8,0)="","",VLOOKUP(H$2,行为概览!$D$3:$K$33,8,0)*玩法行为规划!G22)</f>
        <v/>
      </c>
      <c r="I22" s="7" t="str">
        <f>IF(VLOOKUP(I$2,行为概览!$D$3:$K$33,8,0)="","",VLOOKUP(I$2,行为概览!$D$3:$K$33,8,0)*玩法行为规划!H22)</f>
        <v/>
      </c>
      <c r="J22" s="7" t="str">
        <f>IF(VLOOKUP(J$2,行为概览!$D$3:$K$33,8,0)="","",VLOOKUP(J$2,行为概览!$D$3:$K$33,8,0)*玩法行为规划!I22)</f>
        <v/>
      </c>
      <c r="K22" s="7">
        <f>IF(VLOOKUP(K$2,行为概览!$D$3:$K$33,8,0)="","",VLOOKUP(K$2,行为概览!$D$3:$K$33,8,0)*玩法行为规划!J22)</f>
        <v>0</v>
      </c>
      <c r="L22" s="7" t="str">
        <f>IF(VLOOKUP(L$2,行为概览!$D$3:$K$33,8,0)="","",VLOOKUP(L$2,行为概览!$D$3:$K$33,8,0)*玩法行为规划!K22)</f>
        <v/>
      </c>
      <c r="M22" s="7" t="str">
        <f>IF(VLOOKUP(M$2,行为概览!$D$3:$K$33,8,0)="","",VLOOKUP(M$2,行为概览!$D$3:$K$33,8,0)*玩法行为规划!L22)</f>
        <v/>
      </c>
      <c r="N22" s="7">
        <f>IF(VLOOKUP(N$2,行为概览!$D$3:$K$33,8,0)="","",VLOOKUP(N$2,行为概览!$D$3:$K$33,8,0)*玩法行为规划!M22)</f>
        <v>12</v>
      </c>
      <c r="O22" s="7" t="str">
        <f>IF(VLOOKUP(O$2,行为概览!$D$3:$K$33,8,0)="","",VLOOKUP(O$2,行为概览!$D$3:$K$33,8,0)*玩法行为规划!N22)</f>
        <v/>
      </c>
      <c r="P22" s="7" t="str">
        <f>IF(VLOOKUP(P$2,行为概览!$D$3:$K$33,8,0)="","",VLOOKUP(P$2,行为概览!$D$3:$K$33,8,0)*玩法行为规划!O22)</f>
        <v/>
      </c>
      <c r="Q22" s="7">
        <f>IF(VLOOKUP(Q$2,行为概览!$D$3:$K$33,8,0)="","",VLOOKUP(Q$2,行为概览!$D$3:$K$33,8,0)*玩法行为规划!P22)</f>
        <v>5.2</v>
      </c>
      <c r="R22" s="7" t="str">
        <f>IF(VLOOKUP(R$2,行为概览!$D$3:$K$33,8,0)="","",VLOOKUP(R$2,行为概览!$D$3:$K$33,8,0)*玩法行为规划!Q22)</f>
        <v/>
      </c>
      <c r="S22" s="7">
        <f>IF(VLOOKUP(S$2,行为概览!$D$3:$K$33,8,0)="","",VLOOKUP(S$2,行为概览!$D$3:$K$33,8,0)*玩法行为规划!R22)</f>
        <v>0</v>
      </c>
      <c r="T22" s="7">
        <f>IF(VLOOKUP(T$2,行为概览!$D$3:$K$33,8,0)="","",VLOOKUP(T$2,行为概览!$D$3:$K$33,8,0)*玩法行为规划!S22)</f>
        <v>0</v>
      </c>
      <c r="U22" s="7">
        <f>IF(VLOOKUP(U$2,行为概览!$D$3:$K$33,8,0)="","",VLOOKUP(U$2,行为概览!$D$3:$K$33,8,0)*玩法行为规划!T22)</f>
        <v>0</v>
      </c>
      <c r="V22" s="7">
        <f>IF(VLOOKUP(V$2,行为概览!$D$3:$K$33,8,0)="","",VLOOKUP(V$2,行为概览!$D$3:$K$33,8,0)*玩法行为规划!U22)</f>
        <v>0</v>
      </c>
      <c r="W22" s="7" t="str">
        <f>IF(VLOOKUP(W$2,行为概览!$D$3:$K$33,8,0)="","",VLOOKUP(W$2,行为概览!$D$3:$K$33,8,0)*玩法行为规划!V22)</f>
        <v/>
      </c>
      <c r="X22" s="7" t="str">
        <f>IF(VLOOKUP(X$2,行为概览!$D$3:$K$33,8,0)="","",VLOOKUP(X$2,行为概览!$D$3:$K$33,8,0)*玩法行为规划!W22)</f>
        <v/>
      </c>
      <c r="Y22" s="7">
        <f>IF(VLOOKUP(Y$2,行为概览!$D$3:$K$33,8,0)="","",VLOOKUP(Y$2,行为概览!$D$3:$K$33,8,0)*玩法行为规划!X22)</f>
        <v>0</v>
      </c>
      <c r="Z22" s="7" t="str">
        <f>IF(VLOOKUP(Z$2,行为概览!$D$3:$K$33,8,0)="","",VLOOKUP(Z$2,行为概览!$D$3:$K$33,8,0)*玩法行为规划!Y22)</f>
        <v/>
      </c>
      <c r="AA22" s="7">
        <f>IF(VLOOKUP(AA$2,行为概览!$D$3:$K$33,8,0)="","",VLOOKUP(AA$2,行为概览!$D$3:$K$33,8,0)*玩法行为规划!Z22)</f>
        <v>0</v>
      </c>
      <c r="AB22" s="7" t="str">
        <f>IF(VLOOKUP(AB$2,行为概览!$D$3:$K$33,8,0)="","",VLOOKUP(AB$2,行为概览!$D$3:$K$33,8,0)*玩法行为规划!AA22)</f>
        <v/>
      </c>
      <c r="AC22" s="7" t="str">
        <f>IF(VLOOKUP(AC$2,行为概览!$D$3:$K$33,8,0)="","",VLOOKUP(AC$2,行为概览!$D$3:$K$33,8,0)*玩法行为规划!AB22)</f>
        <v/>
      </c>
      <c r="AD22" s="7" t="str">
        <f>IF(VLOOKUP(AD$2,行为概览!$D$3:$K$33,8,0)="","",VLOOKUP(AD$2,行为概览!$D$3:$K$33,8,0)*玩法行为规划!AC22)</f>
        <v/>
      </c>
      <c r="AE22" s="7" t="str">
        <f>IF(VLOOKUP(AE$2,行为概览!$D$3:$K$33,8,0)="","",VLOOKUP(AE$2,行为概览!$D$3:$K$33,8,0)*玩法行为规划!AD22)</f>
        <v/>
      </c>
      <c r="AF22" s="7">
        <f t="shared" si="0"/>
        <v>19.299900000000001</v>
      </c>
      <c r="AG22" s="7">
        <f t="shared" si="1"/>
        <v>1929990</v>
      </c>
      <c r="AH22" s="7">
        <f t="shared" si="4"/>
        <v>31270</v>
      </c>
      <c r="AI22" s="21">
        <f t="shared" si="6"/>
        <v>439450</v>
      </c>
      <c r="AJ22" s="73">
        <f t="shared" si="5"/>
        <v>20020</v>
      </c>
      <c r="AK22" s="77">
        <f>ROUND(AG22*升级节奏!G22/AJ22,2)</f>
        <v>0</v>
      </c>
      <c r="AL22" s="77">
        <f>ROUND(AG22*升级节奏!G22/SUM($AJ$3:AJ22),2)</f>
        <v>0</v>
      </c>
      <c r="AM22" s="74">
        <f>ROUND(AG22*升级节奏!G22,2)</f>
        <v>0</v>
      </c>
      <c r="AN22" s="77">
        <f>ROUND(AG22*升级节奏!H22/SUM($AJ$3:AJ22),2)</f>
        <v>0</v>
      </c>
      <c r="AO22" s="7">
        <f t="shared" si="2"/>
        <v>1667</v>
      </c>
      <c r="AP22" s="7">
        <f t="shared" si="3"/>
        <v>12</v>
      </c>
    </row>
    <row r="23" spans="1:42">
      <c r="A23" s="32">
        <v>21</v>
      </c>
      <c r="B23" s="87">
        <f>升级节奏!D23</f>
        <v>105000</v>
      </c>
      <c r="C23" s="7">
        <f>IF(VLOOKUP(C$2,行为概览!$D$3:$K$33,8,0)="","",VLOOKUP(C$2,行为概览!$D$3:$K$33,8,0)*玩法行为规划!B23)</f>
        <v>0.99990000000000001</v>
      </c>
      <c r="D23" s="7">
        <f>IF(VLOOKUP(D$2,行为概览!$D$3:$K$33,8,0)="","",VLOOKUP(D$2,行为概览!$D$3:$K$33,8,0)*玩法行为规划!C23)</f>
        <v>1.1000000000000001</v>
      </c>
      <c r="E23" s="7" t="str">
        <f>IF(VLOOKUP(E$2,行为概览!$D$3:$K$33,8,0)="","",VLOOKUP(E$2,行为概览!$D$3:$K$33,8,0)*玩法行为规划!D23)</f>
        <v/>
      </c>
      <c r="F23" s="7">
        <f>IF(VLOOKUP(F$2,行为概览!$D$3:$K$33,8,0)="","",VLOOKUP(F$2,行为概览!$D$3:$K$33,8,0)*玩法行为规划!E23)</f>
        <v>0</v>
      </c>
      <c r="G23" s="7">
        <f>IF(VLOOKUP(G$2,行为概览!$D$3:$K$33,8,0)="","",VLOOKUP(G$2,行为概览!$D$3:$K$33,8,0)*玩法行为规划!F23)</f>
        <v>0</v>
      </c>
      <c r="H23" s="7" t="str">
        <f>IF(VLOOKUP(H$2,行为概览!$D$3:$K$33,8,0)="","",VLOOKUP(H$2,行为概览!$D$3:$K$33,8,0)*玩法行为规划!G23)</f>
        <v/>
      </c>
      <c r="I23" s="7" t="str">
        <f>IF(VLOOKUP(I$2,行为概览!$D$3:$K$33,8,0)="","",VLOOKUP(I$2,行为概览!$D$3:$K$33,8,0)*玩法行为规划!H23)</f>
        <v/>
      </c>
      <c r="J23" s="7" t="str">
        <f>IF(VLOOKUP(J$2,行为概览!$D$3:$K$33,8,0)="","",VLOOKUP(J$2,行为概览!$D$3:$K$33,8,0)*玩法行为规划!I23)</f>
        <v/>
      </c>
      <c r="K23" s="7">
        <f>IF(VLOOKUP(K$2,行为概览!$D$3:$K$33,8,0)="","",VLOOKUP(K$2,行为概览!$D$3:$K$33,8,0)*玩法行为规划!J23)</f>
        <v>0</v>
      </c>
      <c r="L23" s="7" t="str">
        <f>IF(VLOOKUP(L$2,行为概览!$D$3:$K$33,8,0)="","",VLOOKUP(L$2,行为概览!$D$3:$K$33,8,0)*玩法行为规划!K23)</f>
        <v/>
      </c>
      <c r="M23" s="7" t="str">
        <f>IF(VLOOKUP(M$2,行为概览!$D$3:$K$33,8,0)="","",VLOOKUP(M$2,行为概览!$D$3:$K$33,8,0)*玩法行为规划!L23)</f>
        <v/>
      </c>
      <c r="N23" s="7">
        <f>IF(VLOOKUP(N$2,行为概览!$D$3:$K$33,8,0)="","",VLOOKUP(N$2,行为概览!$D$3:$K$33,8,0)*玩法行为规划!M23)</f>
        <v>12</v>
      </c>
      <c r="O23" s="7" t="str">
        <f>IF(VLOOKUP(O$2,行为概览!$D$3:$K$33,8,0)="","",VLOOKUP(O$2,行为概览!$D$3:$K$33,8,0)*玩法行为规划!N23)</f>
        <v/>
      </c>
      <c r="P23" s="7" t="str">
        <f>IF(VLOOKUP(P$2,行为概览!$D$3:$K$33,8,0)="","",VLOOKUP(P$2,行为概览!$D$3:$K$33,8,0)*玩法行为规划!O23)</f>
        <v/>
      </c>
      <c r="Q23" s="7">
        <f>IF(VLOOKUP(Q$2,行为概览!$D$3:$K$33,8,0)="","",VLOOKUP(Q$2,行为概览!$D$3:$K$33,8,0)*玩法行为规划!P23)</f>
        <v>5.2</v>
      </c>
      <c r="R23" s="7" t="str">
        <f>IF(VLOOKUP(R$2,行为概览!$D$3:$K$33,8,0)="","",VLOOKUP(R$2,行为概览!$D$3:$K$33,8,0)*玩法行为规划!Q23)</f>
        <v/>
      </c>
      <c r="S23" s="7">
        <f>IF(VLOOKUP(S$2,行为概览!$D$3:$K$33,8,0)="","",VLOOKUP(S$2,行为概览!$D$3:$K$33,8,0)*玩法行为规划!R23)</f>
        <v>0</v>
      </c>
      <c r="T23" s="7">
        <f>IF(VLOOKUP(T$2,行为概览!$D$3:$K$33,8,0)="","",VLOOKUP(T$2,行为概览!$D$3:$K$33,8,0)*玩法行为规划!S23)</f>
        <v>0</v>
      </c>
      <c r="U23" s="7">
        <f>IF(VLOOKUP(U$2,行为概览!$D$3:$K$33,8,0)="","",VLOOKUP(U$2,行为概览!$D$3:$K$33,8,0)*玩法行为规划!T23)</f>
        <v>0</v>
      </c>
      <c r="V23" s="7">
        <f>IF(VLOOKUP(V$2,行为概览!$D$3:$K$33,8,0)="","",VLOOKUP(V$2,行为概览!$D$3:$K$33,8,0)*玩法行为规划!U23)</f>
        <v>0</v>
      </c>
      <c r="W23" s="7" t="str">
        <f>IF(VLOOKUP(W$2,行为概览!$D$3:$K$33,8,0)="","",VLOOKUP(W$2,行为概览!$D$3:$K$33,8,0)*玩法行为规划!V23)</f>
        <v/>
      </c>
      <c r="X23" s="7" t="str">
        <f>IF(VLOOKUP(X$2,行为概览!$D$3:$K$33,8,0)="","",VLOOKUP(X$2,行为概览!$D$3:$K$33,8,0)*玩法行为规划!W23)</f>
        <v/>
      </c>
      <c r="Y23" s="7">
        <f>IF(VLOOKUP(Y$2,行为概览!$D$3:$K$33,8,0)="","",VLOOKUP(Y$2,行为概览!$D$3:$K$33,8,0)*玩法行为规划!X23)</f>
        <v>0</v>
      </c>
      <c r="Z23" s="7" t="str">
        <f>IF(VLOOKUP(Z$2,行为概览!$D$3:$K$33,8,0)="","",VLOOKUP(Z$2,行为概览!$D$3:$K$33,8,0)*玩法行为规划!Y23)</f>
        <v/>
      </c>
      <c r="AA23" s="7">
        <f>IF(VLOOKUP(AA$2,行为概览!$D$3:$K$33,8,0)="","",VLOOKUP(AA$2,行为概览!$D$3:$K$33,8,0)*玩法行为规划!Z23)</f>
        <v>0</v>
      </c>
      <c r="AB23" s="7" t="str">
        <f>IF(VLOOKUP(AB$2,行为概览!$D$3:$K$33,8,0)="","",VLOOKUP(AB$2,行为概览!$D$3:$K$33,8,0)*玩法行为规划!AA23)</f>
        <v/>
      </c>
      <c r="AC23" s="7" t="str">
        <f>IF(VLOOKUP(AC$2,行为概览!$D$3:$K$33,8,0)="","",VLOOKUP(AC$2,行为概览!$D$3:$K$33,8,0)*玩法行为规划!AB23)</f>
        <v/>
      </c>
      <c r="AD23" s="7" t="str">
        <f>IF(VLOOKUP(AD$2,行为概览!$D$3:$K$33,8,0)="","",VLOOKUP(AD$2,行为概览!$D$3:$K$33,8,0)*玩法行为规划!AC23)</f>
        <v/>
      </c>
      <c r="AE23" s="7" t="str">
        <f>IF(VLOOKUP(AE$2,行为概览!$D$3:$K$33,8,0)="","",VLOOKUP(AE$2,行为概览!$D$3:$K$33,8,0)*玩法行为规划!AD23)</f>
        <v/>
      </c>
      <c r="AF23" s="7">
        <f t="shared" si="0"/>
        <v>19.299900000000001</v>
      </c>
      <c r="AG23" s="7">
        <f t="shared" si="1"/>
        <v>2026489</v>
      </c>
      <c r="AH23" s="7">
        <f t="shared" si="4"/>
        <v>33820</v>
      </c>
      <c r="AI23" s="21" t="str">
        <f t="shared" si="6"/>
        <v/>
      </c>
      <c r="AJ23" s="73">
        <f t="shared" si="5"/>
        <v>22070</v>
      </c>
      <c r="AK23" s="77">
        <f>ROUND(AG23*升级节奏!G23/AJ23,2)</f>
        <v>0</v>
      </c>
      <c r="AL23" s="77">
        <f>ROUND(AG23*升级节奏!G23/SUM($AJ$3:AJ23),2)</f>
        <v>0</v>
      </c>
      <c r="AM23" s="74">
        <f>ROUND(AG23*升级节奏!G23,2)</f>
        <v>0</v>
      </c>
      <c r="AN23" s="77">
        <f>ROUND(AG23*升级节奏!H23/SUM($AJ$3:AJ23),2)</f>
        <v>0</v>
      </c>
      <c r="AO23" s="7">
        <f t="shared" si="2"/>
        <v>1750</v>
      </c>
      <c r="AP23" s="7">
        <f t="shared" si="3"/>
        <v>13</v>
      </c>
    </row>
    <row r="24" spans="1:42">
      <c r="A24" s="32">
        <v>22</v>
      </c>
      <c r="B24" s="87">
        <f>升级节奏!D24</f>
        <v>110000</v>
      </c>
      <c r="C24" s="7">
        <f>IF(VLOOKUP(C$2,行为概览!$D$3:$K$33,8,0)="","",VLOOKUP(C$2,行为概览!$D$3:$K$33,8,0)*玩法行为规划!B24)</f>
        <v>0.99990000000000001</v>
      </c>
      <c r="D24" s="7">
        <f>IF(VLOOKUP(D$2,行为概览!$D$3:$K$33,8,0)="","",VLOOKUP(D$2,行为概览!$D$3:$K$33,8,0)*玩法行为规划!C24)</f>
        <v>1.1000000000000001</v>
      </c>
      <c r="E24" s="7" t="str">
        <f>IF(VLOOKUP(E$2,行为概览!$D$3:$K$33,8,0)="","",VLOOKUP(E$2,行为概览!$D$3:$K$33,8,0)*玩法行为规划!D24)</f>
        <v/>
      </c>
      <c r="F24" s="7">
        <f>IF(VLOOKUP(F$2,行为概览!$D$3:$K$33,8,0)="","",VLOOKUP(F$2,行为概览!$D$3:$K$33,8,0)*玩法行为规划!E24)</f>
        <v>0</v>
      </c>
      <c r="G24" s="7">
        <f>IF(VLOOKUP(G$2,行为概览!$D$3:$K$33,8,0)="","",VLOOKUP(G$2,行为概览!$D$3:$K$33,8,0)*玩法行为规划!F24)</f>
        <v>0</v>
      </c>
      <c r="H24" s="7" t="str">
        <f>IF(VLOOKUP(H$2,行为概览!$D$3:$K$33,8,0)="","",VLOOKUP(H$2,行为概览!$D$3:$K$33,8,0)*玩法行为规划!G24)</f>
        <v/>
      </c>
      <c r="I24" s="7" t="str">
        <f>IF(VLOOKUP(I$2,行为概览!$D$3:$K$33,8,0)="","",VLOOKUP(I$2,行为概览!$D$3:$K$33,8,0)*玩法行为规划!H24)</f>
        <v/>
      </c>
      <c r="J24" s="7" t="str">
        <f>IF(VLOOKUP(J$2,行为概览!$D$3:$K$33,8,0)="","",VLOOKUP(J$2,行为概览!$D$3:$K$33,8,0)*玩法行为规划!I24)</f>
        <v/>
      </c>
      <c r="K24" s="7">
        <f>IF(VLOOKUP(K$2,行为概览!$D$3:$K$33,8,0)="","",VLOOKUP(K$2,行为概览!$D$3:$K$33,8,0)*玩法行为规划!J24)</f>
        <v>0</v>
      </c>
      <c r="L24" s="7" t="str">
        <f>IF(VLOOKUP(L$2,行为概览!$D$3:$K$33,8,0)="","",VLOOKUP(L$2,行为概览!$D$3:$K$33,8,0)*玩法行为规划!K24)</f>
        <v/>
      </c>
      <c r="M24" s="7" t="str">
        <f>IF(VLOOKUP(M$2,行为概览!$D$3:$K$33,8,0)="","",VLOOKUP(M$2,行为概览!$D$3:$K$33,8,0)*玩法行为规划!L24)</f>
        <v/>
      </c>
      <c r="N24" s="7">
        <f>IF(VLOOKUP(N$2,行为概览!$D$3:$K$33,8,0)="","",VLOOKUP(N$2,行为概览!$D$3:$K$33,8,0)*玩法行为规划!M24)</f>
        <v>12</v>
      </c>
      <c r="O24" s="7" t="str">
        <f>IF(VLOOKUP(O$2,行为概览!$D$3:$K$33,8,0)="","",VLOOKUP(O$2,行为概览!$D$3:$K$33,8,0)*玩法行为规划!N24)</f>
        <v/>
      </c>
      <c r="P24" s="7" t="str">
        <f>IF(VLOOKUP(P$2,行为概览!$D$3:$K$33,8,0)="","",VLOOKUP(P$2,行为概览!$D$3:$K$33,8,0)*玩法行为规划!O24)</f>
        <v/>
      </c>
      <c r="Q24" s="7">
        <f>IF(VLOOKUP(Q$2,行为概览!$D$3:$K$33,8,0)="","",VLOOKUP(Q$2,行为概览!$D$3:$K$33,8,0)*玩法行为规划!P24)</f>
        <v>5.2</v>
      </c>
      <c r="R24" s="7" t="str">
        <f>IF(VLOOKUP(R$2,行为概览!$D$3:$K$33,8,0)="","",VLOOKUP(R$2,行为概览!$D$3:$K$33,8,0)*玩法行为规划!Q24)</f>
        <v/>
      </c>
      <c r="S24" s="7">
        <f>IF(VLOOKUP(S$2,行为概览!$D$3:$K$33,8,0)="","",VLOOKUP(S$2,行为概览!$D$3:$K$33,8,0)*玩法行为规划!R24)</f>
        <v>0</v>
      </c>
      <c r="T24" s="7">
        <f>IF(VLOOKUP(T$2,行为概览!$D$3:$K$33,8,0)="","",VLOOKUP(T$2,行为概览!$D$3:$K$33,8,0)*玩法行为规划!S24)</f>
        <v>0</v>
      </c>
      <c r="U24" s="7">
        <f>IF(VLOOKUP(U$2,行为概览!$D$3:$K$33,8,0)="","",VLOOKUP(U$2,行为概览!$D$3:$K$33,8,0)*玩法行为规划!T24)</f>
        <v>0</v>
      </c>
      <c r="V24" s="7">
        <f>IF(VLOOKUP(V$2,行为概览!$D$3:$K$33,8,0)="","",VLOOKUP(V$2,行为概览!$D$3:$K$33,8,0)*玩法行为规划!U24)</f>
        <v>0</v>
      </c>
      <c r="W24" s="7" t="str">
        <f>IF(VLOOKUP(W$2,行为概览!$D$3:$K$33,8,0)="","",VLOOKUP(W$2,行为概览!$D$3:$K$33,8,0)*玩法行为规划!V24)</f>
        <v/>
      </c>
      <c r="X24" s="7" t="str">
        <f>IF(VLOOKUP(X$2,行为概览!$D$3:$K$33,8,0)="","",VLOOKUP(X$2,行为概览!$D$3:$K$33,8,0)*玩法行为规划!W24)</f>
        <v/>
      </c>
      <c r="Y24" s="7">
        <f>IF(VLOOKUP(Y$2,行为概览!$D$3:$K$33,8,0)="","",VLOOKUP(Y$2,行为概览!$D$3:$K$33,8,0)*玩法行为规划!X24)</f>
        <v>0</v>
      </c>
      <c r="Z24" s="7" t="str">
        <f>IF(VLOOKUP(Z$2,行为概览!$D$3:$K$33,8,0)="","",VLOOKUP(Z$2,行为概览!$D$3:$K$33,8,0)*玩法行为规划!Y24)</f>
        <v/>
      </c>
      <c r="AA24" s="7">
        <f>IF(VLOOKUP(AA$2,行为概览!$D$3:$K$33,8,0)="","",VLOOKUP(AA$2,行为概览!$D$3:$K$33,8,0)*玩法行为规划!Z24)</f>
        <v>0</v>
      </c>
      <c r="AB24" s="7" t="str">
        <f>IF(VLOOKUP(AB$2,行为概览!$D$3:$K$33,8,0)="","",VLOOKUP(AB$2,行为概览!$D$3:$K$33,8,0)*玩法行为规划!AA24)</f>
        <v/>
      </c>
      <c r="AC24" s="7" t="str">
        <f>IF(VLOOKUP(AC$2,行为概览!$D$3:$K$33,8,0)="","",VLOOKUP(AC$2,行为概览!$D$3:$K$33,8,0)*玩法行为规划!AB24)</f>
        <v/>
      </c>
      <c r="AD24" s="7" t="str">
        <f>IF(VLOOKUP(AD$2,行为概览!$D$3:$K$33,8,0)="","",VLOOKUP(AD$2,行为概览!$D$3:$K$33,8,0)*玩法行为规划!AC24)</f>
        <v/>
      </c>
      <c r="AE24" s="7" t="str">
        <f>IF(VLOOKUP(AE$2,行为概览!$D$3:$K$33,8,0)="","",VLOOKUP(AE$2,行为概览!$D$3:$K$33,8,0)*玩法行为规划!AD24)</f>
        <v/>
      </c>
      <c r="AF24" s="7">
        <f t="shared" si="0"/>
        <v>19.299900000000001</v>
      </c>
      <c r="AG24" s="7">
        <f t="shared" si="1"/>
        <v>2122989</v>
      </c>
      <c r="AH24" s="7">
        <f t="shared" si="4"/>
        <v>36470</v>
      </c>
      <c r="AI24" s="21" t="str">
        <f t="shared" si="6"/>
        <v/>
      </c>
      <c r="AJ24" s="73">
        <f t="shared" si="5"/>
        <v>24220</v>
      </c>
      <c r="AK24" s="77">
        <f>ROUND(AG24*升级节奏!G24/AJ24,2)</f>
        <v>0</v>
      </c>
      <c r="AL24" s="77">
        <f>ROUND(AG24*升级节奏!G24/SUM($AJ$3:AJ24),2)</f>
        <v>0</v>
      </c>
      <c r="AM24" s="74">
        <f>ROUND(AG24*升级节奏!G24,2)</f>
        <v>0</v>
      </c>
      <c r="AN24" s="77">
        <f>ROUND(AG24*升级节奏!H24/SUM($AJ$3:AJ24),2)</f>
        <v>0</v>
      </c>
      <c r="AO24" s="7">
        <f t="shared" si="2"/>
        <v>1833</v>
      </c>
      <c r="AP24" s="7">
        <f t="shared" si="3"/>
        <v>13</v>
      </c>
    </row>
    <row r="25" spans="1:42">
      <c r="A25" s="32">
        <v>23</v>
      </c>
      <c r="B25" s="87">
        <f>升级节奏!D25</f>
        <v>115000</v>
      </c>
      <c r="C25" s="7">
        <f>IF(VLOOKUP(C$2,行为概览!$D$3:$K$33,8,0)="","",VLOOKUP(C$2,行为概览!$D$3:$K$33,8,0)*玩法行为规划!B25)</f>
        <v>0.99990000000000001</v>
      </c>
      <c r="D25" s="7">
        <f>IF(VLOOKUP(D$2,行为概览!$D$3:$K$33,8,0)="","",VLOOKUP(D$2,行为概览!$D$3:$K$33,8,0)*玩法行为规划!C25)</f>
        <v>1.1000000000000001</v>
      </c>
      <c r="E25" s="7" t="str">
        <f>IF(VLOOKUP(E$2,行为概览!$D$3:$K$33,8,0)="","",VLOOKUP(E$2,行为概览!$D$3:$K$33,8,0)*玩法行为规划!D25)</f>
        <v/>
      </c>
      <c r="F25" s="7">
        <f>IF(VLOOKUP(F$2,行为概览!$D$3:$K$33,8,0)="","",VLOOKUP(F$2,行为概览!$D$3:$K$33,8,0)*玩法行为规划!E25)</f>
        <v>0</v>
      </c>
      <c r="G25" s="7">
        <f>IF(VLOOKUP(G$2,行为概览!$D$3:$K$33,8,0)="","",VLOOKUP(G$2,行为概览!$D$3:$K$33,8,0)*玩法行为规划!F25)</f>
        <v>0</v>
      </c>
      <c r="H25" s="7" t="str">
        <f>IF(VLOOKUP(H$2,行为概览!$D$3:$K$33,8,0)="","",VLOOKUP(H$2,行为概览!$D$3:$K$33,8,0)*玩法行为规划!G25)</f>
        <v/>
      </c>
      <c r="I25" s="7" t="str">
        <f>IF(VLOOKUP(I$2,行为概览!$D$3:$K$33,8,0)="","",VLOOKUP(I$2,行为概览!$D$3:$K$33,8,0)*玩法行为规划!H25)</f>
        <v/>
      </c>
      <c r="J25" s="7" t="str">
        <f>IF(VLOOKUP(J$2,行为概览!$D$3:$K$33,8,0)="","",VLOOKUP(J$2,行为概览!$D$3:$K$33,8,0)*玩法行为规划!I25)</f>
        <v/>
      </c>
      <c r="K25" s="7">
        <f>IF(VLOOKUP(K$2,行为概览!$D$3:$K$33,8,0)="","",VLOOKUP(K$2,行为概览!$D$3:$K$33,8,0)*玩法行为规划!J25)</f>
        <v>0</v>
      </c>
      <c r="L25" s="7" t="str">
        <f>IF(VLOOKUP(L$2,行为概览!$D$3:$K$33,8,0)="","",VLOOKUP(L$2,行为概览!$D$3:$K$33,8,0)*玩法行为规划!K25)</f>
        <v/>
      </c>
      <c r="M25" s="7" t="str">
        <f>IF(VLOOKUP(M$2,行为概览!$D$3:$K$33,8,0)="","",VLOOKUP(M$2,行为概览!$D$3:$K$33,8,0)*玩法行为规划!L25)</f>
        <v/>
      </c>
      <c r="N25" s="7">
        <f>IF(VLOOKUP(N$2,行为概览!$D$3:$K$33,8,0)="","",VLOOKUP(N$2,行为概览!$D$3:$K$33,8,0)*玩法行为规划!M25)</f>
        <v>12</v>
      </c>
      <c r="O25" s="7" t="str">
        <f>IF(VLOOKUP(O$2,行为概览!$D$3:$K$33,8,0)="","",VLOOKUP(O$2,行为概览!$D$3:$K$33,8,0)*玩法行为规划!N25)</f>
        <v/>
      </c>
      <c r="P25" s="7" t="str">
        <f>IF(VLOOKUP(P$2,行为概览!$D$3:$K$33,8,0)="","",VLOOKUP(P$2,行为概览!$D$3:$K$33,8,0)*玩法行为规划!O25)</f>
        <v/>
      </c>
      <c r="Q25" s="7">
        <f>IF(VLOOKUP(Q$2,行为概览!$D$3:$K$33,8,0)="","",VLOOKUP(Q$2,行为概览!$D$3:$K$33,8,0)*玩法行为规划!P25)</f>
        <v>5.2</v>
      </c>
      <c r="R25" s="7" t="str">
        <f>IF(VLOOKUP(R$2,行为概览!$D$3:$K$33,8,0)="","",VLOOKUP(R$2,行为概览!$D$3:$K$33,8,0)*玩法行为规划!Q25)</f>
        <v/>
      </c>
      <c r="S25" s="7">
        <f>IF(VLOOKUP(S$2,行为概览!$D$3:$K$33,8,0)="","",VLOOKUP(S$2,行为概览!$D$3:$K$33,8,0)*玩法行为规划!R25)</f>
        <v>0</v>
      </c>
      <c r="T25" s="7">
        <f>IF(VLOOKUP(T$2,行为概览!$D$3:$K$33,8,0)="","",VLOOKUP(T$2,行为概览!$D$3:$K$33,8,0)*玩法行为规划!S25)</f>
        <v>0</v>
      </c>
      <c r="U25" s="7">
        <f>IF(VLOOKUP(U$2,行为概览!$D$3:$K$33,8,0)="","",VLOOKUP(U$2,行为概览!$D$3:$K$33,8,0)*玩法行为规划!T25)</f>
        <v>0</v>
      </c>
      <c r="V25" s="7">
        <f>IF(VLOOKUP(V$2,行为概览!$D$3:$K$33,8,0)="","",VLOOKUP(V$2,行为概览!$D$3:$K$33,8,0)*玩法行为规划!U25)</f>
        <v>0</v>
      </c>
      <c r="W25" s="7" t="str">
        <f>IF(VLOOKUP(W$2,行为概览!$D$3:$K$33,8,0)="","",VLOOKUP(W$2,行为概览!$D$3:$K$33,8,0)*玩法行为规划!V25)</f>
        <v/>
      </c>
      <c r="X25" s="7" t="str">
        <f>IF(VLOOKUP(X$2,行为概览!$D$3:$K$33,8,0)="","",VLOOKUP(X$2,行为概览!$D$3:$K$33,8,0)*玩法行为规划!W25)</f>
        <v/>
      </c>
      <c r="Y25" s="7">
        <f>IF(VLOOKUP(Y$2,行为概览!$D$3:$K$33,8,0)="","",VLOOKUP(Y$2,行为概览!$D$3:$K$33,8,0)*玩法行为规划!X25)</f>
        <v>0</v>
      </c>
      <c r="Z25" s="7" t="str">
        <f>IF(VLOOKUP(Z$2,行为概览!$D$3:$K$33,8,0)="","",VLOOKUP(Z$2,行为概览!$D$3:$K$33,8,0)*玩法行为规划!Y25)</f>
        <v/>
      </c>
      <c r="AA25" s="7">
        <f>IF(VLOOKUP(AA$2,行为概览!$D$3:$K$33,8,0)="","",VLOOKUP(AA$2,行为概览!$D$3:$K$33,8,0)*玩法行为规划!Z25)</f>
        <v>0</v>
      </c>
      <c r="AB25" s="7" t="str">
        <f>IF(VLOOKUP(AB$2,行为概览!$D$3:$K$33,8,0)="","",VLOOKUP(AB$2,行为概览!$D$3:$K$33,8,0)*玩法行为规划!AA25)</f>
        <v/>
      </c>
      <c r="AC25" s="7" t="str">
        <f>IF(VLOOKUP(AC$2,行为概览!$D$3:$K$33,8,0)="","",VLOOKUP(AC$2,行为概览!$D$3:$K$33,8,0)*玩法行为规划!AB25)</f>
        <v/>
      </c>
      <c r="AD25" s="7" t="str">
        <f>IF(VLOOKUP(AD$2,行为概览!$D$3:$K$33,8,0)="","",VLOOKUP(AD$2,行为概览!$D$3:$K$33,8,0)*玩法行为规划!AC25)</f>
        <v/>
      </c>
      <c r="AE25" s="7" t="str">
        <f>IF(VLOOKUP(AE$2,行为概览!$D$3:$K$33,8,0)="","",VLOOKUP(AE$2,行为概览!$D$3:$K$33,8,0)*玩法行为规划!AD25)</f>
        <v/>
      </c>
      <c r="AF25" s="7">
        <f t="shared" si="0"/>
        <v>19.299900000000001</v>
      </c>
      <c r="AG25" s="7">
        <f t="shared" si="1"/>
        <v>2219488</v>
      </c>
      <c r="AH25" s="7">
        <f t="shared" si="4"/>
        <v>39220</v>
      </c>
      <c r="AI25" s="21" t="str">
        <f t="shared" si="6"/>
        <v/>
      </c>
      <c r="AJ25" s="73">
        <f t="shared" si="5"/>
        <v>26470</v>
      </c>
      <c r="AK25" s="77">
        <f>ROUND(AG25*升级节奏!G25/AJ25,2)</f>
        <v>0</v>
      </c>
      <c r="AL25" s="77">
        <f>ROUND(AG25*升级节奏!G25/SUM($AJ$3:AJ25),2)</f>
        <v>0</v>
      </c>
      <c r="AM25" s="74">
        <f>ROUND(AG25*升级节奏!G25,2)</f>
        <v>0</v>
      </c>
      <c r="AN25" s="77">
        <f>ROUND(AG25*升级节奏!H25/SUM($AJ$3:AJ25),2)</f>
        <v>0</v>
      </c>
      <c r="AO25" s="7">
        <f t="shared" si="2"/>
        <v>1917</v>
      </c>
      <c r="AP25" s="7">
        <f t="shared" si="3"/>
        <v>14</v>
      </c>
    </row>
    <row r="26" spans="1:42">
      <c r="A26" s="32">
        <v>24</v>
      </c>
      <c r="B26" s="87">
        <f>升级节奏!D26</f>
        <v>120000</v>
      </c>
      <c r="C26" s="7">
        <f>IF(VLOOKUP(C$2,行为概览!$D$3:$K$33,8,0)="","",VLOOKUP(C$2,行为概览!$D$3:$K$33,8,0)*玩法行为规划!B26)</f>
        <v>0.99990000000000001</v>
      </c>
      <c r="D26" s="7">
        <f>IF(VLOOKUP(D$2,行为概览!$D$3:$K$33,8,0)="","",VLOOKUP(D$2,行为概览!$D$3:$K$33,8,0)*玩法行为规划!C26)</f>
        <v>1.1000000000000001</v>
      </c>
      <c r="E26" s="7" t="str">
        <f>IF(VLOOKUP(E$2,行为概览!$D$3:$K$33,8,0)="","",VLOOKUP(E$2,行为概览!$D$3:$K$33,8,0)*玩法行为规划!D26)</f>
        <v/>
      </c>
      <c r="F26" s="7">
        <f>IF(VLOOKUP(F$2,行为概览!$D$3:$K$33,8,0)="","",VLOOKUP(F$2,行为概览!$D$3:$K$33,8,0)*玩法行为规划!E26)</f>
        <v>0</v>
      </c>
      <c r="G26" s="7">
        <f>IF(VLOOKUP(G$2,行为概览!$D$3:$K$33,8,0)="","",VLOOKUP(G$2,行为概览!$D$3:$K$33,8,0)*玩法行为规划!F26)</f>
        <v>0</v>
      </c>
      <c r="H26" s="7" t="str">
        <f>IF(VLOOKUP(H$2,行为概览!$D$3:$K$33,8,0)="","",VLOOKUP(H$2,行为概览!$D$3:$K$33,8,0)*玩法行为规划!G26)</f>
        <v/>
      </c>
      <c r="I26" s="7" t="str">
        <f>IF(VLOOKUP(I$2,行为概览!$D$3:$K$33,8,0)="","",VLOOKUP(I$2,行为概览!$D$3:$K$33,8,0)*玩法行为规划!H26)</f>
        <v/>
      </c>
      <c r="J26" s="7" t="str">
        <f>IF(VLOOKUP(J$2,行为概览!$D$3:$K$33,8,0)="","",VLOOKUP(J$2,行为概览!$D$3:$K$33,8,0)*玩法行为规划!I26)</f>
        <v/>
      </c>
      <c r="K26" s="7">
        <f>IF(VLOOKUP(K$2,行为概览!$D$3:$K$33,8,0)="","",VLOOKUP(K$2,行为概览!$D$3:$K$33,8,0)*玩法行为规划!J26)</f>
        <v>0</v>
      </c>
      <c r="L26" s="7" t="str">
        <f>IF(VLOOKUP(L$2,行为概览!$D$3:$K$33,8,0)="","",VLOOKUP(L$2,行为概览!$D$3:$K$33,8,0)*玩法行为规划!K26)</f>
        <v/>
      </c>
      <c r="M26" s="7" t="str">
        <f>IF(VLOOKUP(M$2,行为概览!$D$3:$K$33,8,0)="","",VLOOKUP(M$2,行为概览!$D$3:$K$33,8,0)*玩法行为规划!L26)</f>
        <v/>
      </c>
      <c r="N26" s="7">
        <f>IF(VLOOKUP(N$2,行为概览!$D$3:$K$33,8,0)="","",VLOOKUP(N$2,行为概览!$D$3:$K$33,8,0)*玩法行为规划!M26)</f>
        <v>12</v>
      </c>
      <c r="O26" s="7" t="str">
        <f>IF(VLOOKUP(O$2,行为概览!$D$3:$K$33,8,0)="","",VLOOKUP(O$2,行为概览!$D$3:$K$33,8,0)*玩法行为规划!N26)</f>
        <v/>
      </c>
      <c r="P26" s="7" t="str">
        <f>IF(VLOOKUP(P$2,行为概览!$D$3:$K$33,8,0)="","",VLOOKUP(P$2,行为概览!$D$3:$K$33,8,0)*玩法行为规划!O26)</f>
        <v/>
      </c>
      <c r="Q26" s="7">
        <f>IF(VLOOKUP(Q$2,行为概览!$D$3:$K$33,8,0)="","",VLOOKUP(Q$2,行为概览!$D$3:$K$33,8,0)*玩法行为规划!P26)</f>
        <v>5.2</v>
      </c>
      <c r="R26" s="7" t="str">
        <f>IF(VLOOKUP(R$2,行为概览!$D$3:$K$33,8,0)="","",VLOOKUP(R$2,行为概览!$D$3:$K$33,8,0)*玩法行为规划!Q26)</f>
        <v/>
      </c>
      <c r="S26" s="7">
        <f>IF(VLOOKUP(S$2,行为概览!$D$3:$K$33,8,0)="","",VLOOKUP(S$2,行为概览!$D$3:$K$33,8,0)*玩法行为规划!R26)</f>
        <v>0</v>
      </c>
      <c r="T26" s="7">
        <f>IF(VLOOKUP(T$2,行为概览!$D$3:$K$33,8,0)="","",VLOOKUP(T$2,行为概览!$D$3:$K$33,8,0)*玩法行为规划!S26)</f>
        <v>0</v>
      </c>
      <c r="U26" s="7">
        <f>IF(VLOOKUP(U$2,行为概览!$D$3:$K$33,8,0)="","",VLOOKUP(U$2,行为概览!$D$3:$K$33,8,0)*玩法行为规划!T26)</f>
        <v>0</v>
      </c>
      <c r="V26" s="7">
        <f>IF(VLOOKUP(V$2,行为概览!$D$3:$K$33,8,0)="","",VLOOKUP(V$2,行为概览!$D$3:$K$33,8,0)*玩法行为规划!U26)</f>
        <v>0</v>
      </c>
      <c r="W26" s="7" t="str">
        <f>IF(VLOOKUP(W$2,行为概览!$D$3:$K$33,8,0)="","",VLOOKUP(W$2,行为概览!$D$3:$K$33,8,0)*玩法行为规划!V26)</f>
        <v/>
      </c>
      <c r="X26" s="7" t="str">
        <f>IF(VLOOKUP(X$2,行为概览!$D$3:$K$33,8,0)="","",VLOOKUP(X$2,行为概览!$D$3:$K$33,8,0)*玩法行为规划!W26)</f>
        <v/>
      </c>
      <c r="Y26" s="7">
        <f>IF(VLOOKUP(Y$2,行为概览!$D$3:$K$33,8,0)="","",VLOOKUP(Y$2,行为概览!$D$3:$K$33,8,0)*玩法行为规划!X26)</f>
        <v>0</v>
      </c>
      <c r="Z26" s="7" t="str">
        <f>IF(VLOOKUP(Z$2,行为概览!$D$3:$K$33,8,0)="","",VLOOKUP(Z$2,行为概览!$D$3:$K$33,8,0)*玩法行为规划!Y26)</f>
        <v/>
      </c>
      <c r="AA26" s="7">
        <f>IF(VLOOKUP(AA$2,行为概览!$D$3:$K$33,8,0)="","",VLOOKUP(AA$2,行为概览!$D$3:$K$33,8,0)*玩法行为规划!Z26)</f>
        <v>0</v>
      </c>
      <c r="AB26" s="7" t="str">
        <f>IF(VLOOKUP(AB$2,行为概览!$D$3:$K$33,8,0)="","",VLOOKUP(AB$2,行为概览!$D$3:$K$33,8,0)*玩法行为规划!AA26)</f>
        <v/>
      </c>
      <c r="AC26" s="7" t="str">
        <f>IF(VLOOKUP(AC$2,行为概览!$D$3:$K$33,8,0)="","",VLOOKUP(AC$2,行为概览!$D$3:$K$33,8,0)*玩法行为规划!AB26)</f>
        <v/>
      </c>
      <c r="AD26" s="7" t="str">
        <f>IF(VLOOKUP(AD$2,行为概览!$D$3:$K$33,8,0)="","",VLOOKUP(AD$2,行为概览!$D$3:$K$33,8,0)*玩法行为规划!AC26)</f>
        <v/>
      </c>
      <c r="AE26" s="7" t="str">
        <f>IF(VLOOKUP(AE$2,行为概览!$D$3:$K$33,8,0)="","",VLOOKUP(AE$2,行为概览!$D$3:$K$33,8,0)*玩法行为规划!AD26)</f>
        <v/>
      </c>
      <c r="AF26" s="7">
        <f t="shared" si="0"/>
        <v>19.299900000000001</v>
      </c>
      <c r="AG26" s="7">
        <f t="shared" si="1"/>
        <v>2315988</v>
      </c>
      <c r="AH26" s="7">
        <f t="shared" si="4"/>
        <v>42070</v>
      </c>
      <c r="AI26" s="21" t="str">
        <f t="shared" si="6"/>
        <v/>
      </c>
      <c r="AJ26" s="73">
        <f t="shared" si="5"/>
        <v>28820</v>
      </c>
      <c r="AK26" s="77">
        <f>ROUND(AG26*升级节奏!G26/AJ26,2)</f>
        <v>0</v>
      </c>
      <c r="AL26" s="77">
        <f>ROUND(AG26*升级节奏!G26/SUM($AJ$3:AJ26),2)</f>
        <v>0</v>
      </c>
      <c r="AM26" s="74">
        <f>ROUND(AG26*升级节奏!G26,2)</f>
        <v>0</v>
      </c>
      <c r="AN26" s="77">
        <f>ROUND(AG26*升级节奏!H26/SUM($AJ$3:AJ26),2)</f>
        <v>0</v>
      </c>
      <c r="AO26" s="7">
        <f t="shared" si="2"/>
        <v>2000</v>
      </c>
      <c r="AP26" s="7">
        <f t="shared" si="3"/>
        <v>14</v>
      </c>
    </row>
    <row r="27" spans="1:42">
      <c r="A27" s="32">
        <v>25</v>
      </c>
      <c r="B27" s="87">
        <f>升级节奏!D27</f>
        <v>125000</v>
      </c>
      <c r="C27" s="7">
        <f>IF(VLOOKUP(C$2,行为概览!$D$3:$K$33,8,0)="","",VLOOKUP(C$2,行为概览!$D$3:$K$33,8,0)*玩法行为规划!B27)</f>
        <v>0.99990000000000001</v>
      </c>
      <c r="D27" s="7">
        <f>IF(VLOOKUP(D$2,行为概览!$D$3:$K$33,8,0)="","",VLOOKUP(D$2,行为概览!$D$3:$K$33,8,0)*玩法行为规划!C27)</f>
        <v>1.1000000000000001</v>
      </c>
      <c r="E27" s="7" t="str">
        <f>IF(VLOOKUP(E$2,行为概览!$D$3:$K$33,8,0)="","",VLOOKUP(E$2,行为概览!$D$3:$K$33,8,0)*玩法行为规划!D27)</f>
        <v/>
      </c>
      <c r="F27" s="7">
        <f>IF(VLOOKUP(F$2,行为概览!$D$3:$K$33,8,0)="","",VLOOKUP(F$2,行为概览!$D$3:$K$33,8,0)*玩法行为规划!E27)</f>
        <v>0</v>
      </c>
      <c r="G27" s="7">
        <f>IF(VLOOKUP(G$2,行为概览!$D$3:$K$33,8,0)="","",VLOOKUP(G$2,行为概览!$D$3:$K$33,8,0)*玩法行为规划!F27)</f>
        <v>0.66659999999999997</v>
      </c>
      <c r="H27" s="7" t="str">
        <f>IF(VLOOKUP(H$2,行为概览!$D$3:$K$33,8,0)="","",VLOOKUP(H$2,行为概览!$D$3:$K$33,8,0)*玩法行为规划!G27)</f>
        <v/>
      </c>
      <c r="I27" s="7" t="str">
        <f>IF(VLOOKUP(I$2,行为概览!$D$3:$K$33,8,0)="","",VLOOKUP(I$2,行为概览!$D$3:$K$33,8,0)*玩法行为规划!H27)</f>
        <v/>
      </c>
      <c r="J27" s="7" t="str">
        <f>IF(VLOOKUP(J$2,行为概览!$D$3:$K$33,8,0)="","",VLOOKUP(J$2,行为概览!$D$3:$K$33,8,0)*玩法行为规划!I27)</f>
        <v/>
      </c>
      <c r="K27" s="7">
        <f>IF(VLOOKUP(K$2,行为概览!$D$3:$K$33,8,0)="","",VLOOKUP(K$2,行为概览!$D$3:$K$33,8,0)*玩法行为规划!J27)</f>
        <v>0</v>
      </c>
      <c r="L27" s="7" t="str">
        <f>IF(VLOOKUP(L$2,行为概览!$D$3:$K$33,8,0)="","",VLOOKUP(L$2,行为概览!$D$3:$K$33,8,0)*玩法行为规划!K27)</f>
        <v/>
      </c>
      <c r="M27" s="7" t="str">
        <f>IF(VLOOKUP(M$2,行为概览!$D$3:$K$33,8,0)="","",VLOOKUP(M$2,行为概览!$D$3:$K$33,8,0)*玩法行为规划!L27)</f>
        <v/>
      </c>
      <c r="N27" s="7">
        <f>IF(VLOOKUP(N$2,行为概览!$D$3:$K$33,8,0)="","",VLOOKUP(N$2,行为概览!$D$3:$K$33,8,0)*玩法行为规划!M27)</f>
        <v>12</v>
      </c>
      <c r="O27" s="7" t="str">
        <f>IF(VLOOKUP(O$2,行为概览!$D$3:$K$33,8,0)="","",VLOOKUP(O$2,行为概览!$D$3:$K$33,8,0)*玩法行为规划!N27)</f>
        <v/>
      </c>
      <c r="P27" s="7" t="str">
        <f>IF(VLOOKUP(P$2,行为概览!$D$3:$K$33,8,0)="","",VLOOKUP(P$2,行为概览!$D$3:$K$33,8,0)*玩法行为规划!O27)</f>
        <v/>
      </c>
      <c r="Q27" s="7">
        <f>IF(VLOOKUP(Q$2,行为概览!$D$3:$K$33,8,0)="","",VLOOKUP(Q$2,行为概览!$D$3:$K$33,8,0)*玩法行为规划!P27)</f>
        <v>5.2</v>
      </c>
      <c r="R27" s="7" t="str">
        <f>IF(VLOOKUP(R$2,行为概览!$D$3:$K$33,8,0)="","",VLOOKUP(R$2,行为概览!$D$3:$K$33,8,0)*玩法行为规划!Q27)</f>
        <v/>
      </c>
      <c r="S27" s="7">
        <f>IF(VLOOKUP(S$2,行为概览!$D$3:$K$33,8,0)="","",VLOOKUP(S$2,行为概览!$D$3:$K$33,8,0)*玩法行为规划!R27)</f>
        <v>0.49995000000000001</v>
      </c>
      <c r="T27" s="7">
        <f>IF(VLOOKUP(T$2,行为概览!$D$3:$K$33,8,0)="","",VLOOKUP(T$2,行为概览!$D$3:$K$33,8,0)*玩法行为规划!S27)</f>
        <v>0</v>
      </c>
      <c r="U27" s="7">
        <f>IF(VLOOKUP(U$2,行为概览!$D$3:$K$33,8,0)="","",VLOOKUP(U$2,行为概览!$D$3:$K$33,8,0)*玩法行为规划!T27)</f>
        <v>0</v>
      </c>
      <c r="V27" s="7">
        <f>IF(VLOOKUP(V$2,行为概览!$D$3:$K$33,8,0)="","",VLOOKUP(V$2,行为概览!$D$3:$K$33,8,0)*玩法行为规划!U27)</f>
        <v>0.33339999999999997</v>
      </c>
      <c r="W27" s="7" t="str">
        <f>IF(VLOOKUP(W$2,行为概览!$D$3:$K$33,8,0)="","",VLOOKUP(W$2,行为概览!$D$3:$K$33,8,0)*玩法行为规划!V27)</f>
        <v/>
      </c>
      <c r="X27" s="7" t="str">
        <f>IF(VLOOKUP(X$2,行为概览!$D$3:$K$33,8,0)="","",VLOOKUP(X$2,行为概览!$D$3:$K$33,8,0)*玩法行为规划!W27)</f>
        <v/>
      </c>
      <c r="Y27" s="7">
        <f>IF(VLOOKUP(Y$2,行为概览!$D$3:$K$33,8,0)="","",VLOOKUP(Y$2,行为概览!$D$3:$K$33,8,0)*玩法行为规划!X27)</f>
        <v>0</v>
      </c>
      <c r="Z27" s="7" t="str">
        <f>IF(VLOOKUP(Z$2,行为概览!$D$3:$K$33,8,0)="","",VLOOKUP(Z$2,行为概览!$D$3:$K$33,8,0)*玩法行为规划!Y27)</f>
        <v/>
      </c>
      <c r="AA27" s="7">
        <f>IF(VLOOKUP(AA$2,行为概览!$D$3:$K$33,8,0)="","",VLOOKUP(AA$2,行为概览!$D$3:$K$33,8,0)*玩法行为规划!Z27)</f>
        <v>0</v>
      </c>
      <c r="AB27" s="7" t="str">
        <f>IF(VLOOKUP(AB$2,行为概览!$D$3:$K$33,8,0)="","",VLOOKUP(AB$2,行为概览!$D$3:$K$33,8,0)*玩法行为规划!AA27)</f>
        <v/>
      </c>
      <c r="AC27" s="7" t="str">
        <f>IF(VLOOKUP(AC$2,行为概览!$D$3:$K$33,8,0)="","",VLOOKUP(AC$2,行为概览!$D$3:$K$33,8,0)*玩法行为规划!AB27)</f>
        <v/>
      </c>
      <c r="AD27" s="7" t="str">
        <f>IF(VLOOKUP(AD$2,行为概览!$D$3:$K$33,8,0)="","",VLOOKUP(AD$2,行为概览!$D$3:$K$33,8,0)*玩法行为规划!AC27)</f>
        <v/>
      </c>
      <c r="AE27" s="7" t="str">
        <f>IF(VLOOKUP(AE$2,行为概览!$D$3:$K$33,8,0)="","",VLOOKUP(AE$2,行为概览!$D$3:$K$33,8,0)*玩法行为规划!AD27)</f>
        <v/>
      </c>
      <c r="AF27" s="7">
        <f t="shared" si="0"/>
        <v>20.799849999999999</v>
      </c>
      <c r="AG27" s="7">
        <f t="shared" si="1"/>
        <v>2599981</v>
      </c>
      <c r="AH27" s="7">
        <f t="shared" si="4"/>
        <v>45020</v>
      </c>
      <c r="AI27" s="21" t="str">
        <f t="shared" si="6"/>
        <v/>
      </c>
      <c r="AJ27" s="73">
        <f t="shared" si="5"/>
        <v>31270</v>
      </c>
      <c r="AK27" s="77">
        <f>ROUND(AG27*升级节奏!G27/AJ27,2)</f>
        <v>0</v>
      </c>
      <c r="AL27" s="77">
        <f>ROUND(AG27*升级节奏!G27/SUM($AJ$3:AJ27),2)</f>
        <v>0</v>
      </c>
      <c r="AM27" s="74">
        <f>ROUND(AG27*升级节奏!G27,2)</f>
        <v>0</v>
      </c>
      <c r="AN27" s="77">
        <f>ROUND(AG27*升级节奏!H27/SUM($AJ$3:AJ27),2)</f>
        <v>0</v>
      </c>
      <c r="AO27" s="7">
        <f t="shared" si="2"/>
        <v>2083</v>
      </c>
      <c r="AP27" s="7">
        <f t="shared" si="3"/>
        <v>15</v>
      </c>
    </row>
    <row r="28" spans="1:42">
      <c r="A28" s="32">
        <v>26</v>
      </c>
      <c r="B28" s="87">
        <f>升级节奏!D28</f>
        <v>130000</v>
      </c>
      <c r="C28" s="7">
        <f>IF(VLOOKUP(C$2,行为概览!$D$3:$K$33,8,0)="","",VLOOKUP(C$2,行为概览!$D$3:$K$33,8,0)*玩法行为规划!B28)</f>
        <v>0.99990000000000001</v>
      </c>
      <c r="D28" s="7">
        <f>IF(VLOOKUP(D$2,行为概览!$D$3:$K$33,8,0)="","",VLOOKUP(D$2,行为概览!$D$3:$K$33,8,0)*玩法行为规划!C28)</f>
        <v>1.1000000000000001</v>
      </c>
      <c r="E28" s="7" t="str">
        <f>IF(VLOOKUP(E$2,行为概览!$D$3:$K$33,8,0)="","",VLOOKUP(E$2,行为概览!$D$3:$K$33,8,0)*玩法行为规划!D28)</f>
        <v/>
      </c>
      <c r="F28" s="7">
        <f>IF(VLOOKUP(F$2,行为概览!$D$3:$K$33,8,0)="","",VLOOKUP(F$2,行为概览!$D$3:$K$33,8,0)*玩法行为规划!E28)</f>
        <v>0</v>
      </c>
      <c r="G28" s="7">
        <f>IF(VLOOKUP(G$2,行为概览!$D$3:$K$33,8,0)="","",VLOOKUP(G$2,行为概览!$D$3:$K$33,8,0)*玩法行为规划!F28)</f>
        <v>0.66659999999999997</v>
      </c>
      <c r="H28" s="7" t="str">
        <f>IF(VLOOKUP(H$2,行为概览!$D$3:$K$33,8,0)="","",VLOOKUP(H$2,行为概览!$D$3:$K$33,8,0)*玩法行为规划!G28)</f>
        <v/>
      </c>
      <c r="I28" s="7" t="str">
        <f>IF(VLOOKUP(I$2,行为概览!$D$3:$K$33,8,0)="","",VLOOKUP(I$2,行为概览!$D$3:$K$33,8,0)*玩法行为规划!H28)</f>
        <v/>
      </c>
      <c r="J28" s="7" t="str">
        <f>IF(VLOOKUP(J$2,行为概览!$D$3:$K$33,8,0)="","",VLOOKUP(J$2,行为概览!$D$3:$K$33,8,0)*玩法行为规划!I28)</f>
        <v/>
      </c>
      <c r="K28" s="7">
        <f>IF(VLOOKUP(K$2,行为概览!$D$3:$K$33,8,0)="","",VLOOKUP(K$2,行为概览!$D$3:$K$33,8,0)*玩法行为规划!J28)</f>
        <v>0</v>
      </c>
      <c r="L28" s="7" t="str">
        <f>IF(VLOOKUP(L$2,行为概览!$D$3:$K$33,8,0)="","",VLOOKUP(L$2,行为概览!$D$3:$K$33,8,0)*玩法行为规划!K28)</f>
        <v/>
      </c>
      <c r="M28" s="7" t="str">
        <f>IF(VLOOKUP(M$2,行为概览!$D$3:$K$33,8,0)="","",VLOOKUP(M$2,行为概览!$D$3:$K$33,8,0)*玩法行为规划!L28)</f>
        <v/>
      </c>
      <c r="N28" s="7">
        <f>IF(VLOOKUP(N$2,行为概览!$D$3:$K$33,8,0)="","",VLOOKUP(N$2,行为概览!$D$3:$K$33,8,0)*玩法行为规划!M28)</f>
        <v>12</v>
      </c>
      <c r="O28" s="7" t="str">
        <f>IF(VLOOKUP(O$2,行为概览!$D$3:$K$33,8,0)="","",VLOOKUP(O$2,行为概览!$D$3:$K$33,8,0)*玩法行为规划!N28)</f>
        <v/>
      </c>
      <c r="P28" s="7" t="str">
        <f>IF(VLOOKUP(P$2,行为概览!$D$3:$K$33,8,0)="","",VLOOKUP(P$2,行为概览!$D$3:$K$33,8,0)*玩法行为规划!O28)</f>
        <v/>
      </c>
      <c r="Q28" s="7">
        <f>IF(VLOOKUP(Q$2,行为概览!$D$3:$K$33,8,0)="","",VLOOKUP(Q$2,行为概览!$D$3:$K$33,8,0)*玩法行为规划!P28)</f>
        <v>5.2</v>
      </c>
      <c r="R28" s="7" t="str">
        <f>IF(VLOOKUP(R$2,行为概览!$D$3:$K$33,8,0)="","",VLOOKUP(R$2,行为概览!$D$3:$K$33,8,0)*玩法行为规划!Q28)</f>
        <v/>
      </c>
      <c r="S28" s="7">
        <f>IF(VLOOKUP(S$2,行为概览!$D$3:$K$33,8,0)="","",VLOOKUP(S$2,行为概览!$D$3:$K$33,8,0)*玩法行为规划!R28)</f>
        <v>0.49995000000000001</v>
      </c>
      <c r="T28" s="7">
        <f>IF(VLOOKUP(T$2,行为概览!$D$3:$K$33,8,0)="","",VLOOKUP(T$2,行为概览!$D$3:$K$33,8,0)*玩法行为规划!S28)</f>
        <v>0</v>
      </c>
      <c r="U28" s="7">
        <f>IF(VLOOKUP(U$2,行为概览!$D$3:$K$33,8,0)="","",VLOOKUP(U$2,行为概览!$D$3:$K$33,8,0)*玩法行为规划!T28)</f>
        <v>0</v>
      </c>
      <c r="V28" s="7">
        <f>IF(VLOOKUP(V$2,行为概览!$D$3:$K$33,8,0)="","",VLOOKUP(V$2,行为概览!$D$3:$K$33,8,0)*玩法行为规划!U28)</f>
        <v>0.33339999999999997</v>
      </c>
      <c r="W28" s="7" t="str">
        <f>IF(VLOOKUP(W$2,行为概览!$D$3:$K$33,8,0)="","",VLOOKUP(W$2,行为概览!$D$3:$K$33,8,0)*玩法行为规划!V28)</f>
        <v/>
      </c>
      <c r="X28" s="7" t="str">
        <f>IF(VLOOKUP(X$2,行为概览!$D$3:$K$33,8,0)="","",VLOOKUP(X$2,行为概览!$D$3:$K$33,8,0)*玩法行为规划!W28)</f>
        <v/>
      </c>
      <c r="Y28" s="7">
        <f>IF(VLOOKUP(Y$2,行为概览!$D$3:$K$33,8,0)="","",VLOOKUP(Y$2,行为概览!$D$3:$K$33,8,0)*玩法行为规划!X28)</f>
        <v>0</v>
      </c>
      <c r="Z28" s="7" t="str">
        <f>IF(VLOOKUP(Z$2,行为概览!$D$3:$K$33,8,0)="","",VLOOKUP(Z$2,行为概览!$D$3:$K$33,8,0)*玩法行为规划!Y28)</f>
        <v/>
      </c>
      <c r="AA28" s="7">
        <f>IF(VLOOKUP(AA$2,行为概览!$D$3:$K$33,8,0)="","",VLOOKUP(AA$2,行为概览!$D$3:$K$33,8,0)*玩法行为规划!Z28)</f>
        <v>0</v>
      </c>
      <c r="AB28" s="7" t="str">
        <f>IF(VLOOKUP(AB$2,行为概览!$D$3:$K$33,8,0)="","",VLOOKUP(AB$2,行为概览!$D$3:$K$33,8,0)*玩法行为规划!AA28)</f>
        <v/>
      </c>
      <c r="AC28" s="7" t="str">
        <f>IF(VLOOKUP(AC$2,行为概览!$D$3:$K$33,8,0)="","",VLOOKUP(AC$2,行为概览!$D$3:$K$33,8,0)*玩法行为规划!AB28)</f>
        <v/>
      </c>
      <c r="AD28" s="7" t="str">
        <f>IF(VLOOKUP(AD$2,行为概览!$D$3:$K$33,8,0)="","",VLOOKUP(AD$2,行为概览!$D$3:$K$33,8,0)*玩法行为规划!AC28)</f>
        <v/>
      </c>
      <c r="AE28" s="7" t="str">
        <f>IF(VLOOKUP(AE$2,行为概览!$D$3:$K$33,8,0)="","",VLOOKUP(AE$2,行为概览!$D$3:$K$33,8,0)*玩法行为规划!AD28)</f>
        <v/>
      </c>
      <c r="AF28" s="7">
        <f t="shared" si="0"/>
        <v>20.799849999999999</v>
      </c>
      <c r="AG28" s="7">
        <f t="shared" si="1"/>
        <v>2703980</v>
      </c>
      <c r="AH28" s="7">
        <f t="shared" si="4"/>
        <v>48070</v>
      </c>
      <c r="AI28" s="21" t="str">
        <f t="shared" si="6"/>
        <v/>
      </c>
      <c r="AJ28" s="73">
        <f t="shared" si="5"/>
        <v>33820</v>
      </c>
      <c r="AK28" s="77">
        <f>ROUND(AG28*升级节奏!G28/AJ28,2)</f>
        <v>0</v>
      </c>
      <c r="AL28" s="77">
        <f>ROUND(AG28*升级节奏!G28/SUM($AJ$3:AJ28),2)</f>
        <v>0</v>
      </c>
      <c r="AM28" s="74">
        <f>ROUND(AG28*升级节奏!G28,2)</f>
        <v>0</v>
      </c>
      <c r="AN28" s="77">
        <f>ROUND(AG28*升级节奏!H28/SUM($AJ$3:AJ28),2)</f>
        <v>0</v>
      </c>
      <c r="AO28" s="7">
        <f t="shared" si="2"/>
        <v>2167</v>
      </c>
      <c r="AP28" s="7">
        <f t="shared" si="3"/>
        <v>16</v>
      </c>
    </row>
    <row r="29" spans="1:42">
      <c r="A29" s="32">
        <v>27</v>
      </c>
      <c r="B29" s="87">
        <f>升级节奏!D29</f>
        <v>135000</v>
      </c>
      <c r="C29" s="7">
        <f>IF(VLOOKUP(C$2,行为概览!$D$3:$K$33,8,0)="","",VLOOKUP(C$2,行为概览!$D$3:$K$33,8,0)*玩法行为规划!B29)</f>
        <v>0.99990000000000001</v>
      </c>
      <c r="D29" s="7">
        <f>IF(VLOOKUP(D$2,行为概览!$D$3:$K$33,8,0)="","",VLOOKUP(D$2,行为概览!$D$3:$K$33,8,0)*玩法行为规划!C29)</f>
        <v>1.1000000000000001</v>
      </c>
      <c r="E29" s="7" t="str">
        <f>IF(VLOOKUP(E$2,行为概览!$D$3:$K$33,8,0)="","",VLOOKUP(E$2,行为概览!$D$3:$K$33,8,0)*玩法行为规划!D29)</f>
        <v/>
      </c>
      <c r="F29" s="7">
        <f>IF(VLOOKUP(F$2,行为概览!$D$3:$K$33,8,0)="","",VLOOKUP(F$2,行为概览!$D$3:$K$33,8,0)*玩法行为规划!E29)</f>
        <v>0</v>
      </c>
      <c r="G29" s="7">
        <f>IF(VLOOKUP(G$2,行为概览!$D$3:$K$33,8,0)="","",VLOOKUP(G$2,行为概览!$D$3:$K$33,8,0)*玩法行为规划!F29)</f>
        <v>0.66659999999999997</v>
      </c>
      <c r="H29" s="7" t="str">
        <f>IF(VLOOKUP(H$2,行为概览!$D$3:$K$33,8,0)="","",VLOOKUP(H$2,行为概览!$D$3:$K$33,8,0)*玩法行为规划!G29)</f>
        <v/>
      </c>
      <c r="I29" s="7" t="str">
        <f>IF(VLOOKUP(I$2,行为概览!$D$3:$K$33,8,0)="","",VLOOKUP(I$2,行为概览!$D$3:$K$33,8,0)*玩法行为规划!H29)</f>
        <v/>
      </c>
      <c r="J29" s="7" t="str">
        <f>IF(VLOOKUP(J$2,行为概览!$D$3:$K$33,8,0)="","",VLOOKUP(J$2,行为概览!$D$3:$K$33,8,0)*玩法行为规划!I29)</f>
        <v/>
      </c>
      <c r="K29" s="7">
        <f>IF(VLOOKUP(K$2,行为概览!$D$3:$K$33,8,0)="","",VLOOKUP(K$2,行为概览!$D$3:$K$33,8,0)*玩法行为规划!J29)</f>
        <v>0</v>
      </c>
      <c r="L29" s="7" t="str">
        <f>IF(VLOOKUP(L$2,行为概览!$D$3:$K$33,8,0)="","",VLOOKUP(L$2,行为概览!$D$3:$K$33,8,0)*玩法行为规划!K29)</f>
        <v/>
      </c>
      <c r="M29" s="7" t="str">
        <f>IF(VLOOKUP(M$2,行为概览!$D$3:$K$33,8,0)="","",VLOOKUP(M$2,行为概览!$D$3:$K$33,8,0)*玩法行为规划!L29)</f>
        <v/>
      </c>
      <c r="N29" s="7">
        <f>IF(VLOOKUP(N$2,行为概览!$D$3:$K$33,8,0)="","",VLOOKUP(N$2,行为概览!$D$3:$K$33,8,0)*玩法行为规划!M29)</f>
        <v>12</v>
      </c>
      <c r="O29" s="7" t="str">
        <f>IF(VLOOKUP(O$2,行为概览!$D$3:$K$33,8,0)="","",VLOOKUP(O$2,行为概览!$D$3:$K$33,8,0)*玩法行为规划!N29)</f>
        <v/>
      </c>
      <c r="P29" s="7" t="str">
        <f>IF(VLOOKUP(P$2,行为概览!$D$3:$K$33,8,0)="","",VLOOKUP(P$2,行为概览!$D$3:$K$33,8,0)*玩法行为规划!O29)</f>
        <v/>
      </c>
      <c r="Q29" s="7">
        <f>IF(VLOOKUP(Q$2,行为概览!$D$3:$K$33,8,0)="","",VLOOKUP(Q$2,行为概览!$D$3:$K$33,8,0)*玩法行为规划!P29)</f>
        <v>5.2</v>
      </c>
      <c r="R29" s="7" t="str">
        <f>IF(VLOOKUP(R$2,行为概览!$D$3:$K$33,8,0)="","",VLOOKUP(R$2,行为概览!$D$3:$K$33,8,0)*玩法行为规划!Q29)</f>
        <v/>
      </c>
      <c r="S29" s="7">
        <f>IF(VLOOKUP(S$2,行为概览!$D$3:$K$33,8,0)="","",VLOOKUP(S$2,行为概览!$D$3:$K$33,8,0)*玩法行为规划!R29)</f>
        <v>0.49995000000000001</v>
      </c>
      <c r="T29" s="7">
        <f>IF(VLOOKUP(T$2,行为概览!$D$3:$K$33,8,0)="","",VLOOKUP(T$2,行为概览!$D$3:$K$33,8,0)*玩法行为规划!S29)</f>
        <v>0</v>
      </c>
      <c r="U29" s="7">
        <f>IF(VLOOKUP(U$2,行为概览!$D$3:$K$33,8,0)="","",VLOOKUP(U$2,行为概览!$D$3:$K$33,8,0)*玩法行为规划!T29)</f>
        <v>0</v>
      </c>
      <c r="V29" s="7">
        <f>IF(VLOOKUP(V$2,行为概览!$D$3:$K$33,8,0)="","",VLOOKUP(V$2,行为概览!$D$3:$K$33,8,0)*玩法行为规划!U29)</f>
        <v>0.33339999999999997</v>
      </c>
      <c r="W29" s="7" t="str">
        <f>IF(VLOOKUP(W$2,行为概览!$D$3:$K$33,8,0)="","",VLOOKUP(W$2,行为概览!$D$3:$K$33,8,0)*玩法行为规划!V29)</f>
        <v/>
      </c>
      <c r="X29" s="7" t="str">
        <f>IF(VLOOKUP(X$2,行为概览!$D$3:$K$33,8,0)="","",VLOOKUP(X$2,行为概览!$D$3:$K$33,8,0)*玩法行为规划!W29)</f>
        <v/>
      </c>
      <c r="Y29" s="7">
        <f>IF(VLOOKUP(Y$2,行为概览!$D$3:$K$33,8,0)="","",VLOOKUP(Y$2,行为概览!$D$3:$K$33,8,0)*玩法行为规划!X29)</f>
        <v>0</v>
      </c>
      <c r="Z29" s="7" t="str">
        <f>IF(VLOOKUP(Z$2,行为概览!$D$3:$K$33,8,0)="","",VLOOKUP(Z$2,行为概览!$D$3:$K$33,8,0)*玩法行为规划!Y29)</f>
        <v/>
      </c>
      <c r="AA29" s="7">
        <f>IF(VLOOKUP(AA$2,行为概览!$D$3:$K$33,8,0)="","",VLOOKUP(AA$2,行为概览!$D$3:$K$33,8,0)*玩法行为规划!Z29)</f>
        <v>0</v>
      </c>
      <c r="AB29" s="7" t="str">
        <f>IF(VLOOKUP(AB$2,行为概览!$D$3:$K$33,8,0)="","",VLOOKUP(AB$2,行为概览!$D$3:$K$33,8,0)*玩法行为规划!AA29)</f>
        <v/>
      </c>
      <c r="AC29" s="7" t="str">
        <f>IF(VLOOKUP(AC$2,行为概览!$D$3:$K$33,8,0)="","",VLOOKUP(AC$2,行为概览!$D$3:$K$33,8,0)*玩法行为规划!AB29)</f>
        <v/>
      </c>
      <c r="AD29" s="7" t="str">
        <f>IF(VLOOKUP(AD$2,行为概览!$D$3:$K$33,8,0)="","",VLOOKUP(AD$2,行为概览!$D$3:$K$33,8,0)*玩法行为规划!AC29)</f>
        <v/>
      </c>
      <c r="AE29" s="7" t="str">
        <f>IF(VLOOKUP(AE$2,行为概览!$D$3:$K$33,8,0)="","",VLOOKUP(AE$2,行为概览!$D$3:$K$33,8,0)*玩法行为规划!AD29)</f>
        <v/>
      </c>
      <c r="AF29" s="7">
        <f t="shared" si="0"/>
        <v>20.799849999999999</v>
      </c>
      <c r="AG29" s="7">
        <f t="shared" si="1"/>
        <v>2807979</v>
      </c>
      <c r="AH29" s="7">
        <f t="shared" si="4"/>
        <v>51220</v>
      </c>
      <c r="AI29" s="21" t="str">
        <f t="shared" si="6"/>
        <v/>
      </c>
      <c r="AJ29" s="73">
        <f t="shared" si="5"/>
        <v>36470</v>
      </c>
      <c r="AK29" s="77">
        <f>ROUND(AG29*升级节奏!G29/AJ29,2)</f>
        <v>1.06</v>
      </c>
      <c r="AL29" s="77">
        <f>ROUND(AG29*升级节奏!G29/SUM($AJ$3:AJ29),2)</f>
        <v>0.11</v>
      </c>
      <c r="AM29" s="74">
        <f>ROUND(AG29*升级节奏!G29,2)</f>
        <v>38796.910000000003</v>
      </c>
      <c r="AN29" s="77">
        <f>ROUND(AG29*升级节奏!H29/SUM($AJ$3:AJ29),2)</f>
        <v>0.11</v>
      </c>
      <c r="AO29" s="7">
        <f t="shared" si="2"/>
        <v>2250</v>
      </c>
      <c r="AP29" s="7">
        <f t="shared" si="3"/>
        <v>16</v>
      </c>
    </row>
    <row r="30" spans="1:42">
      <c r="A30" s="32">
        <v>28</v>
      </c>
      <c r="B30" s="87">
        <f>升级节奏!D30</f>
        <v>140000</v>
      </c>
      <c r="C30" s="7">
        <f>IF(VLOOKUP(C$2,行为概览!$D$3:$K$33,8,0)="","",VLOOKUP(C$2,行为概览!$D$3:$K$33,8,0)*玩法行为规划!B30)</f>
        <v>0.99990000000000001</v>
      </c>
      <c r="D30" s="7">
        <f>IF(VLOOKUP(D$2,行为概览!$D$3:$K$33,8,0)="","",VLOOKUP(D$2,行为概览!$D$3:$K$33,8,0)*玩法行为规划!C30)</f>
        <v>1.1000000000000001</v>
      </c>
      <c r="E30" s="7" t="str">
        <f>IF(VLOOKUP(E$2,行为概览!$D$3:$K$33,8,0)="","",VLOOKUP(E$2,行为概览!$D$3:$K$33,8,0)*玩法行为规划!D30)</f>
        <v/>
      </c>
      <c r="F30" s="7">
        <f>IF(VLOOKUP(F$2,行为概览!$D$3:$K$33,8,0)="","",VLOOKUP(F$2,行为概览!$D$3:$K$33,8,0)*玩法行为规划!E30)</f>
        <v>0</v>
      </c>
      <c r="G30" s="7">
        <f>IF(VLOOKUP(G$2,行为概览!$D$3:$K$33,8,0)="","",VLOOKUP(G$2,行为概览!$D$3:$K$33,8,0)*玩法行为规划!F30)</f>
        <v>0.66659999999999997</v>
      </c>
      <c r="H30" s="7" t="str">
        <f>IF(VLOOKUP(H$2,行为概览!$D$3:$K$33,8,0)="","",VLOOKUP(H$2,行为概览!$D$3:$K$33,8,0)*玩法行为规划!G30)</f>
        <v/>
      </c>
      <c r="I30" s="7" t="str">
        <f>IF(VLOOKUP(I$2,行为概览!$D$3:$K$33,8,0)="","",VLOOKUP(I$2,行为概览!$D$3:$K$33,8,0)*玩法行为规划!H30)</f>
        <v/>
      </c>
      <c r="J30" s="7" t="str">
        <f>IF(VLOOKUP(J$2,行为概览!$D$3:$K$33,8,0)="","",VLOOKUP(J$2,行为概览!$D$3:$K$33,8,0)*玩法行为规划!I30)</f>
        <v/>
      </c>
      <c r="K30" s="7">
        <f>IF(VLOOKUP(K$2,行为概览!$D$3:$K$33,8,0)="","",VLOOKUP(K$2,行为概览!$D$3:$K$33,8,0)*玩法行为规划!J30)</f>
        <v>0</v>
      </c>
      <c r="L30" s="7" t="str">
        <f>IF(VLOOKUP(L$2,行为概览!$D$3:$K$33,8,0)="","",VLOOKUP(L$2,行为概览!$D$3:$K$33,8,0)*玩法行为规划!K30)</f>
        <v/>
      </c>
      <c r="M30" s="7" t="str">
        <f>IF(VLOOKUP(M$2,行为概览!$D$3:$K$33,8,0)="","",VLOOKUP(M$2,行为概览!$D$3:$K$33,8,0)*玩法行为规划!L30)</f>
        <v/>
      </c>
      <c r="N30" s="7">
        <f>IF(VLOOKUP(N$2,行为概览!$D$3:$K$33,8,0)="","",VLOOKUP(N$2,行为概览!$D$3:$K$33,8,0)*玩法行为规划!M30)</f>
        <v>12</v>
      </c>
      <c r="O30" s="7" t="str">
        <f>IF(VLOOKUP(O$2,行为概览!$D$3:$K$33,8,0)="","",VLOOKUP(O$2,行为概览!$D$3:$K$33,8,0)*玩法行为规划!N30)</f>
        <v/>
      </c>
      <c r="P30" s="7" t="str">
        <f>IF(VLOOKUP(P$2,行为概览!$D$3:$K$33,8,0)="","",VLOOKUP(P$2,行为概览!$D$3:$K$33,8,0)*玩法行为规划!O30)</f>
        <v/>
      </c>
      <c r="Q30" s="7">
        <f>IF(VLOOKUP(Q$2,行为概览!$D$3:$K$33,8,0)="","",VLOOKUP(Q$2,行为概览!$D$3:$K$33,8,0)*玩法行为规划!P30)</f>
        <v>5.2</v>
      </c>
      <c r="R30" s="7" t="str">
        <f>IF(VLOOKUP(R$2,行为概览!$D$3:$K$33,8,0)="","",VLOOKUP(R$2,行为概览!$D$3:$K$33,8,0)*玩法行为规划!Q30)</f>
        <v/>
      </c>
      <c r="S30" s="7">
        <f>IF(VLOOKUP(S$2,行为概览!$D$3:$K$33,8,0)="","",VLOOKUP(S$2,行为概览!$D$3:$K$33,8,0)*玩法行为规划!R30)</f>
        <v>0.49995000000000001</v>
      </c>
      <c r="T30" s="7">
        <f>IF(VLOOKUP(T$2,行为概览!$D$3:$K$33,8,0)="","",VLOOKUP(T$2,行为概览!$D$3:$K$33,8,0)*玩法行为规划!S30)</f>
        <v>0</v>
      </c>
      <c r="U30" s="7">
        <f>IF(VLOOKUP(U$2,行为概览!$D$3:$K$33,8,0)="","",VLOOKUP(U$2,行为概览!$D$3:$K$33,8,0)*玩法行为规划!T30)</f>
        <v>0</v>
      </c>
      <c r="V30" s="7">
        <f>IF(VLOOKUP(V$2,行为概览!$D$3:$K$33,8,0)="","",VLOOKUP(V$2,行为概览!$D$3:$K$33,8,0)*玩法行为规划!U30)</f>
        <v>0.33339999999999997</v>
      </c>
      <c r="W30" s="7" t="str">
        <f>IF(VLOOKUP(W$2,行为概览!$D$3:$K$33,8,0)="","",VLOOKUP(W$2,行为概览!$D$3:$K$33,8,0)*玩法行为规划!V30)</f>
        <v/>
      </c>
      <c r="X30" s="7" t="str">
        <f>IF(VLOOKUP(X$2,行为概览!$D$3:$K$33,8,0)="","",VLOOKUP(X$2,行为概览!$D$3:$K$33,8,0)*玩法行为规划!W30)</f>
        <v/>
      </c>
      <c r="Y30" s="7">
        <f>IF(VLOOKUP(Y$2,行为概览!$D$3:$K$33,8,0)="","",VLOOKUP(Y$2,行为概览!$D$3:$K$33,8,0)*玩法行为规划!X30)</f>
        <v>0</v>
      </c>
      <c r="Z30" s="7" t="str">
        <f>IF(VLOOKUP(Z$2,行为概览!$D$3:$K$33,8,0)="","",VLOOKUP(Z$2,行为概览!$D$3:$K$33,8,0)*玩法行为规划!Y30)</f>
        <v/>
      </c>
      <c r="AA30" s="7">
        <f>IF(VLOOKUP(AA$2,行为概览!$D$3:$K$33,8,0)="","",VLOOKUP(AA$2,行为概览!$D$3:$K$33,8,0)*玩法行为规划!Z30)</f>
        <v>0</v>
      </c>
      <c r="AB30" s="7" t="str">
        <f>IF(VLOOKUP(AB$2,行为概览!$D$3:$K$33,8,0)="","",VLOOKUP(AB$2,行为概览!$D$3:$K$33,8,0)*玩法行为规划!AA30)</f>
        <v/>
      </c>
      <c r="AC30" s="7" t="str">
        <f>IF(VLOOKUP(AC$2,行为概览!$D$3:$K$33,8,0)="","",VLOOKUP(AC$2,行为概览!$D$3:$K$33,8,0)*玩法行为规划!AB30)</f>
        <v/>
      </c>
      <c r="AD30" s="7" t="str">
        <f>IF(VLOOKUP(AD$2,行为概览!$D$3:$K$33,8,0)="","",VLOOKUP(AD$2,行为概览!$D$3:$K$33,8,0)*玩法行为规划!AC30)</f>
        <v/>
      </c>
      <c r="AE30" s="7" t="str">
        <f>IF(VLOOKUP(AE$2,行为概览!$D$3:$K$33,8,0)="","",VLOOKUP(AE$2,行为概览!$D$3:$K$33,8,0)*玩法行为规划!AD30)</f>
        <v/>
      </c>
      <c r="AF30" s="7">
        <f t="shared" si="0"/>
        <v>20.799849999999999</v>
      </c>
      <c r="AG30" s="7">
        <f t="shared" si="1"/>
        <v>2911979</v>
      </c>
      <c r="AH30" s="7">
        <f t="shared" si="4"/>
        <v>54470</v>
      </c>
      <c r="AI30" s="21" t="str">
        <f t="shared" si="6"/>
        <v/>
      </c>
      <c r="AJ30" s="73">
        <f t="shared" si="5"/>
        <v>39220</v>
      </c>
      <c r="AK30" s="77">
        <f>ROUND(AG30*升级节奏!G30/AJ30,2)</f>
        <v>2.19</v>
      </c>
      <c r="AL30" s="77">
        <f>ROUND(AG30*升级节奏!G30/SUM($AJ$3:AJ30),2)</f>
        <v>0.22</v>
      </c>
      <c r="AM30" s="74">
        <f>ROUND(AG30*升级节奏!G30,2)</f>
        <v>85806.31</v>
      </c>
      <c r="AN30" s="77">
        <f>ROUND(AG30*升级节奏!H30/SUM($AJ$3:AJ30),2)</f>
        <v>0.33</v>
      </c>
      <c r="AO30" s="7">
        <f t="shared" si="2"/>
        <v>2333</v>
      </c>
      <c r="AP30" s="7">
        <f t="shared" si="3"/>
        <v>17</v>
      </c>
    </row>
    <row r="31" spans="1:42">
      <c r="A31" s="32">
        <v>29</v>
      </c>
      <c r="B31" s="87">
        <f>升级节奏!D31</f>
        <v>145000</v>
      </c>
      <c r="C31" s="7">
        <f>IF(VLOOKUP(C$2,行为概览!$D$3:$K$33,8,0)="","",VLOOKUP(C$2,行为概览!$D$3:$K$33,8,0)*玩法行为规划!B31)</f>
        <v>0.99990000000000001</v>
      </c>
      <c r="D31" s="7">
        <f>IF(VLOOKUP(D$2,行为概览!$D$3:$K$33,8,0)="","",VLOOKUP(D$2,行为概览!$D$3:$K$33,8,0)*玩法行为规划!C31)</f>
        <v>1.1000000000000001</v>
      </c>
      <c r="E31" s="7" t="str">
        <f>IF(VLOOKUP(E$2,行为概览!$D$3:$K$33,8,0)="","",VLOOKUP(E$2,行为概览!$D$3:$K$33,8,0)*玩法行为规划!D31)</f>
        <v/>
      </c>
      <c r="F31" s="7">
        <f>IF(VLOOKUP(F$2,行为概览!$D$3:$K$33,8,0)="","",VLOOKUP(F$2,行为概览!$D$3:$K$33,8,0)*玩法行为规划!E31)</f>
        <v>0</v>
      </c>
      <c r="G31" s="7">
        <f>IF(VLOOKUP(G$2,行为概览!$D$3:$K$33,8,0)="","",VLOOKUP(G$2,行为概览!$D$3:$K$33,8,0)*玩法行为规划!F31)</f>
        <v>0.66659999999999997</v>
      </c>
      <c r="H31" s="7" t="str">
        <f>IF(VLOOKUP(H$2,行为概览!$D$3:$K$33,8,0)="","",VLOOKUP(H$2,行为概览!$D$3:$K$33,8,0)*玩法行为规划!G31)</f>
        <v/>
      </c>
      <c r="I31" s="7" t="str">
        <f>IF(VLOOKUP(I$2,行为概览!$D$3:$K$33,8,0)="","",VLOOKUP(I$2,行为概览!$D$3:$K$33,8,0)*玩法行为规划!H31)</f>
        <v/>
      </c>
      <c r="J31" s="7" t="str">
        <f>IF(VLOOKUP(J$2,行为概览!$D$3:$K$33,8,0)="","",VLOOKUP(J$2,行为概览!$D$3:$K$33,8,0)*玩法行为规划!I31)</f>
        <v/>
      </c>
      <c r="K31" s="7">
        <f>IF(VLOOKUP(K$2,行为概览!$D$3:$K$33,8,0)="","",VLOOKUP(K$2,行为概览!$D$3:$K$33,8,0)*玩法行为规划!J31)</f>
        <v>0</v>
      </c>
      <c r="L31" s="7" t="str">
        <f>IF(VLOOKUP(L$2,行为概览!$D$3:$K$33,8,0)="","",VLOOKUP(L$2,行为概览!$D$3:$K$33,8,0)*玩法行为规划!K31)</f>
        <v/>
      </c>
      <c r="M31" s="7" t="str">
        <f>IF(VLOOKUP(M$2,行为概览!$D$3:$K$33,8,0)="","",VLOOKUP(M$2,行为概览!$D$3:$K$33,8,0)*玩法行为规划!L31)</f>
        <v/>
      </c>
      <c r="N31" s="7">
        <f>IF(VLOOKUP(N$2,行为概览!$D$3:$K$33,8,0)="","",VLOOKUP(N$2,行为概览!$D$3:$K$33,8,0)*玩法行为规划!M31)</f>
        <v>12</v>
      </c>
      <c r="O31" s="7" t="str">
        <f>IF(VLOOKUP(O$2,行为概览!$D$3:$K$33,8,0)="","",VLOOKUP(O$2,行为概览!$D$3:$K$33,8,0)*玩法行为规划!N31)</f>
        <v/>
      </c>
      <c r="P31" s="7" t="str">
        <f>IF(VLOOKUP(P$2,行为概览!$D$3:$K$33,8,0)="","",VLOOKUP(P$2,行为概览!$D$3:$K$33,8,0)*玩法行为规划!O31)</f>
        <v/>
      </c>
      <c r="Q31" s="7">
        <f>IF(VLOOKUP(Q$2,行为概览!$D$3:$K$33,8,0)="","",VLOOKUP(Q$2,行为概览!$D$3:$K$33,8,0)*玩法行为规划!P31)</f>
        <v>5.2</v>
      </c>
      <c r="R31" s="7" t="str">
        <f>IF(VLOOKUP(R$2,行为概览!$D$3:$K$33,8,0)="","",VLOOKUP(R$2,行为概览!$D$3:$K$33,8,0)*玩法行为规划!Q31)</f>
        <v/>
      </c>
      <c r="S31" s="7">
        <f>IF(VLOOKUP(S$2,行为概览!$D$3:$K$33,8,0)="","",VLOOKUP(S$2,行为概览!$D$3:$K$33,8,0)*玩法行为规划!R31)</f>
        <v>0.49995000000000001</v>
      </c>
      <c r="T31" s="7">
        <f>IF(VLOOKUP(T$2,行为概览!$D$3:$K$33,8,0)="","",VLOOKUP(T$2,行为概览!$D$3:$K$33,8,0)*玩法行为规划!S31)</f>
        <v>0</v>
      </c>
      <c r="U31" s="7">
        <f>IF(VLOOKUP(U$2,行为概览!$D$3:$K$33,8,0)="","",VLOOKUP(U$2,行为概览!$D$3:$K$33,8,0)*玩法行为规划!T31)</f>
        <v>0</v>
      </c>
      <c r="V31" s="7">
        <f>IF(VLOOKUP(V$2,行为概览!$D$3:$K$33,8,0)="","",VLOOKUP(V$2,行为概览!$D$3:$K$33,8,0)*玩法行为规划!U31)</f>
        <v>0.33339999999999997</v>
      </c>
      <c r="W31" s="7" t="str">
        <f>IF(VLOOKUP(W$2,行为概览!$D$3:$K$33,8,0)="","",VLOOKUP(W$2,行为概览!$D$3:$K$33,8,0)*玩法行为规划!V31)</f>
        <v/>
      </c>
      <c r="X31" s="7" t="str">
        <f>IF(VLOOKUP(X$2,行为概览!$D$3:$K$33,8,0)="","",VLOOKUP(X$2,行为概览!$D$3:$K$33,8,0)*玩法行为规划!W31)</f>
        <v/>
      </c>
      <c r="Y31" s="7">
        <f>IF(VLOOKUP(Y$2,行为概览!$D$3:$K$33,8,0)="","",VLOOKUP(Y$2,行为概览!$D$3:$K$33,8,0)*玩法行为规划!X31)</f>
        <v>0</v>
      </c>
      <c r="Z31" s="7" t="str">
        <f>IF(VLOOKUP(Z$2,行为概览!$D$3:$K$33,8,0)="","",VLOOKUP(Z$2,行为概览!$D$3:$K$33,8,0)*玩法行为规划!Y31)</f>
        <v/>
      </c>
      <c r="AA31" s="7">
        <f>IF(VLOOKUP(AA$2,行为概览!$D$3:$K$33,8,0)="","",VLOOKUP(AA$2,行为概览!$D$3:$K$33,8,0)*玩法行为规划!Z31)</f>
        <v>0</v>
      </c>
      <c r="AB31" s="7" t="str">
        <f>IF(VLOOKUP(AB$2,行为概览!$D$3:$K$33,8,0)="","",VLOOKUP(AB$2,行为概览!$D$3:$K$33,8,0)*玩法行为规划!AA31)</f>
        <v/>
      </c>
      <c r="AC31" s="7" t="str">
        <f>IF(VLOOKUP(AC$2,行为概览!$D$3:$K$33,8,0)="","",VLOOKUP(AC$2,行为概览!$D$3:$K$33,8,0)*玩法行为规划!AB31)</f>
        <v/>
      </c>
      <c r="AD31" s="7" t="str">
        <f>IF(VLOOKUP(AD$2,行为概览!$D$3:$K$33,8,0)="","",VLOOKUP(AD$2,行为概览!$D$3:$K$33,8,0)*玩法行为规划!AC31)</f>
        <v/>
      </c>
      <c r="AE31" s="7" t="str">
        <f>IF(VLOOKUP(AE$2,行为概览!$D$3:$K$33,8,0)="","",VLOOKUP(AE$2,行为概览!$D$3:$K$33,8,0)*玩法行为规划!AD31)</f>
        <v/>
      </c>
      <c r="AF31" s="7">
        <f t="shared" si="0"/>
        <v>20.799849999999999</v>
      </c>
      <c r="AG31" s="7">
        <f t="shared" si="1"/>
        <v>3015978</v>
      </c>
      <c r="AH31" s="7">
        <f t="shared" si="4"/>
        <v>57820</v>
      </c>
      <c r="AI31" s="21" t="str">
        <f t="shared" si="6"/>
        <v/>
      </c>
      <c r="AJ31" s="73">
        <f t="shared" si="5"/>
        <v>42070</v>
      </c>
      <c r="AK31" s="77">
        <f>ROUND(AG31*升级节奏!G31/AJ36,2)</f>
        <v>2.4500000000000002</v>
      </c>
      <c r="AL31" s="77">
        <f>ROUND(AG31*升级节奏!G31/SUM($AJ$3:AJ36),2)</f>
        <v>0.21</v>
      </c>
      <c r="AM31" s="74">
        <f>ROUND(AG31*升级节奏!G31,0)</f>
        <v>141902</v>
      </c>
      <c r="AN31" s="77">
        <f>ROUND(SUM($AM$3:AM31)/SUM($AJ$3:AJ36),2)</f>
        <v>0.39</v>
      </c>
      <c r="AO31" s="7">
        <f t="shared" si="2"/>
        <v>2417</v>
      </c>
      <c r="AP31" s="7">
        <f t="shared" si="3"/>
        <v>17</v>
      </c>
    </row>
    <row r="32" spans="1:42">
      <c r="A32" s="32">
        <v>30</v>
      </c>
      <c r="B32" s="87">
        <f>升级节奏!D32</f>
        <v>150000</v>
      </c>
      <c r="C32" s="7">
        <f>IF(VLOOKUP(C$2,行为概览!$D$3:$K$33,8,0)="","",VLOOKUP(C$2,行为概览!$D$3:$K$33,8,0)*玩法行为规划!B32)</f>
        <v>0.99990000000000001</v>
      </c>
      <c r="D32" s="7">
        <f>IF(VLOOKUP(D$2,行为概览!$D$3:$K$33,8,0)="","",VLOOKUP(D$2,行为概览!$D$3:$K$33,8,0)*玩法行为规划!C32)</f>
        <v>1.1000000000000001</v>
      </c>
      <c r="E32" s="7" t="str">
        <f>IF(VLOOKUP(E$2,行为概览!$D$3:$K$33,8,0)="","",VLOOKUP(E$2,行为概览!$D$3:$K$33,8,0)*玩法行为规划!D32)</f>
        <v/>
      </c>
      <c r="F32" s="7">
        <f>IF(VLOOKUP(F$2,行为概览!$D$3:$K$33,8,0)="","",VLOOKUP(F$2,行为概览!$D$3:$K$33,8,0)*玩法行为规划!E32)</f>
        <v>0</v>
      </c>
      <c r="G32" s="7">
        <f>IF(VLOOKUP(G$2,行为概览!$D$3:$K$33,8,0)="","",VLOOKUP(G$2,行为概览!$D$3:$K$33,8,0)*玩法行为规划!F32)</f>
        <v>0.66659999999999997</v>
      </c>
      <c r="H32" s="7" t="str">
        <f>IF(VLOOKUP(H$2,行为概览!$D$3:$K$33,8,0)="","",VLOOKUP(H$2,行为概览!$D$3:$K$33,8,0)*玩法行为规划!G32)</f>
        <v/>
      </c>
      <c r="I32" s="7" t="str">
        <f>IF(VLOOKUP(I$2,行为概览!$D$3:$K$33,8,0)="","",VLOOKUP(I$2,行为概览!$D$3:$K$33,8,0)*玩法行为规划!H32)</f>
        <v/>
      </c>
      <c r="J32" s="7" t="str">
        <f>IF(VLOOKUP(J$2,行为概览!$D$3:$K$33,8,0)="","",VLOOKUP(J$2,行为概览!$D$3:$K$33,8,0)*玩法行为规划!I32)</f>
        <v/>
      </c>
      <c r="K32" s="7">
        <f>IF(VLOOKUP(K$2,行为概览!$D$3:$K$33,8,0)="","",VLOOKUP(K$2,行为概览!$D$3:$K$33,8,0)*玩法行为规划!J32)</f>
        <v>1</v>
      </c>
      <c r="L32" s="7" t="str">
        <f>IF(VLOOKUP(L$2,行为概览!$D$3:$K$33,8,0)="","",VLOOKUP(L$2,行为概览!$D$3:$K$33,8,0)*玩法行为规划!K32)</f>
        <v/>
      </c>
      <c r="M32" s="7" t="str">
        <f>IF(VLOOKUP(M$2,行为概览!$D$3:$K$33,8,0)="","",VLOOKUP(M$2,行为概览!$D$3:$K$33,8,0)*玩法行为规划!L32)</f>
        <v/>
      </c>
      <c r="N32" s="7">
        <f>IF(VLOOKUP(N$2,行为概览!$D$3:$K$33,8,0)="","",VLOOKUP(N$2,行为概览!$D$3:$K$33,8,0)*玩法行为规划!M32)</f>
        <v>12</v>
      </c>
      <c r="O32" s="7" t="str">
        <f>IF(VLOOKUP(O$2,行为概览!$D$3:$K$33,8,0)="","",VLOOKUP(O$2,行为概览!$D$3:$K$33,8,0)*玩法行为规划!N32)</f>
        <v/>
      </c>
      <c r="P32" s="7" t="str">
        <f>IF(VLOOKUP(P$2,行为概览!$D$3:$K$33,8,0)="","",VLOOKUP(P$2,行为概览!$D$3:$K$33,8,0)*玩法行为规划!O32)</f>
        <v/>
      </c>
      <c r="Q32" s="7">
        <f>IF(VLOOKUP(Q$2,行为概览!$D$3:$K$33,8,0)="","",VLOOKUP(Q$2,行为概览!$D$3:$K$33,8,0)*玩法行为规划!P32)</f>
        <v>5.2</v>
      </c>
      <c r="R32" s="7" t="str">
        <f>IF(VLOOKUP(R$2,行为概览!$D$3:$K$33,8,0)="","",VLOOKUP(R$2,行为概览!$D$3:$K$33,8,0)*玩法行为规划!Q32)</f>
        <v/>
      </c>
      <c r="S32" s="7">
        <f>IF(VLOOKUP(S$2,行为概览!$D$3:$K$33,8,0)="","",VLOOKUP(S$2,行为概览!$D$3:$K$33,8,0)*玩法行为规划!R32)</f>
        <v>0.49995000000000001</v>
      </c>
      <c r="T32" s="7">
        <f>IF(VLOOKUP(T$2,行为概览!$D$3:$K$33,8,0)="","",VLOOKUP(T$2,行为概览!$D$3:$K$33,8,0)*玩法行为规划!S32)</f>
        <v>0</v>
      </c>
      <c r="U32" s="7">
        <f>IF(VLOOKUP(U$2,行为概览!$D$3:$K$33,8,0)="","",VLOOKUP(U$2,行为概览!$D$3:$K$33,8,0)*玩法行为规划!T32)</f>
        <v>0</v>
      </c>
      <c r="V32" s="7">
        <f>IF(VLOOKUP(V$2,行为概览!$D$3:$K$33,8,0)="","",VLOOKUP(V$2,行为概览!$D$3:$K$33,8,0)*玩法行为规划!U32)</f>
        <v>0.33339999999999997</v>
      </c>
      <c r="W32" s="7" t="str">
        <f>IF(VLOOKUP(W$2,行为概览!$D$3:$K$33,8,0)="","",VLOOKUP(W$2,行为概览!$D$3:$K$33,8,0)*玩法行为规划!V32)</f>
        <v/>
      </c>
      <c r="X32" s="7" t="str">
        <f>IF(VLOOKUP(X$2,行为概览!$D$3:$K$33,8,0)="","",VLOOKUP(X$2,行为概览!$D$3:$K$33,8,0)*玩法行为规划!W32)</f>
        <v/>
      </c>
      <c r="Y32" s="7">
        <f>IF(VLOOKUP(Y$2,行为概览!$D$3:$K$33,8,0)="","",VLOOKUP(Y$2,行为概览!$D$3:$K$33,8,0)*玩法行为规划!X32)</f>
        <v>0</v>
      </c>
      <c r="Z32" s="7" t="str">
        <f>IF(VLOOKUP(Z$2,行为概览!$D$3:$K$33,8,0)="","",VLOOKUP(Z$2,行为概览!$D$3:$K$33,8,0)*玩法行为规划!Y32)</f>
        <v/>
      </c>
      <c r="AA32" s="7">
        <f>IF(VLOOKUP(AA$2,行为概览!$D$3:$K$33,8,0)="","",VLOOKUP(AA$2,行为概览!$D$3:$K$33,8,0)*玩法行为规划!Z32)</f>
        <v>0</v>
      </c>
      <c r="AB32" s="7" t="str">
        <f>IF(VLOOKUP(AB$2,行为概览!$D$3:$K$33,8,0)="","",VLOOKUP(AB$2,行为概览!$D$3:$K$33,8,0)*玩法行为规划!AA32)</f>
        <v/>
      </c>
      <c r="AC32" s="7" t="str">
        <f>IF(VLOOKUP(AC$2,行为概览!$D$3:$K$33,8,0)="","",VLOOKUP(AC$2,行为概览!$D$3:$K$33,8,0)*玩法行为规划!AB32)</f>
        <v/>
      </c>
      <c r="AD32" s="7" t="str">
        <f>IF(VLOOKUP(AD$2,行为概览!$D$3:$K$33,8,0)="","",VLOOKUP(AD$2,行为概览!$D$3:$K$33,8,0)*玩法行为规划!AC32)</f>
        <v/>
      </c>
      <c r="AE32" s="7" t="str">
        <f>IF(VLOOKUP(AE$2,行为概览!$D$3:$K$33,8,0)="","",VLOOKUP(AE$2,行为概览!$D$3:$K$33,8,0)*玩法行为规划!AD32)</f>
        <v/>
      </c>
      <c r="AF32" s="7">
        <f t="shared" si="0"/>
        <v>21.799849999999999</v>
      </c>
      <c r="AG32" s="7">
        <f t="shared" si="1"/>
        <v>3269977</v>
      </c>
      <c r="AH32" s="7">
        <f t="shared" si="4"/>
        <v>61270</v>
      </c>
      <c r="AI32" s="10">
        <f>IF(--RIGHT(A32,1)=0,SUM(AH22:AH41),"")</f>
        <v>1223900</v>
      </c>
      <c r="AJ32" s="73">
        <f t="shared" si="5"/>
        <v>45020</v>
      </c>
      <c r="AK32" s="77">
        <f>ROUND(AG32*升级节奏!G32/AJ37,2)</f>
        <v>3.56</v>
      </c>
      <c r="AL32" s="77">
        <f>ROUND(AG32*升级节奏!G32/SUM($AJ$3:AJ37),2)</f>
        <v>0.28999999999999998</v>
      </c>
      <c r="AM32" s="74">
        <f>ROUND(AG32*升级节奏!G32,0)</f>
        <v>217998</v>
      </c>
      <c r="AN32" s="77">
        <f>ROUND(SUM($AM$3:AM32)/SUM($AJ$3:AJ37),2)</f>
        <v>0.65</v>
      </c>
      <c r="AO32" s="7">
        <f t="shared" si="2"/>
        <v>2500</v>
      </c>
      <c r="AP32" s="7">
        <f t="shared" si="3"/>
        <v>18</v>
      </c>
    </row>
    <row r="33" spans="1:42">
      <c r="A33" s="32">
        <v>31</v>
      </c>
      <c r="B33" s="87">
        <f>升级节奏!D33</f>
        <v>155000</v>
      </c>
      <c r="C33" s="7">
        <f>IF(VLOOKUP(C$2,行为概览!$D$3:$K$33,8,0)="","",VLOOKUP(C$2,行为概览!$D$3:$K$33,8,0)*玩法行为规划!B33)</f>
        <v>0.99990000000000001</v>
      </c>
      <c r="D33" s="7">
        <f>IF(VLOOKUP(D$2,行为概览!$D$3:$K$33,8,0)="","",VLOOKUP(D$2,行为概览!$D$3:$K$33,8,0)*玩法行为规划!C33)</f>
        <v>1.1000000000000001</v>
      </c>
      <c r="E33" s="7" t="str">
        <f>IF(VLOOKUP(E$2,行为概览!$D$3:$K$33,8,0)="","",VLOOKUP(E$2,行为概览!$D$3:$K$33,8,0)*玩法行为规划!D33)</f>
        <v/>
      </c>
      <c r="F33" s="7">
        <f>IF(VLOOKUP(F$2,行为概览!$D$3:$K$33,8,0)="","",VLOOKUP(F$2,行为概览!$D$3:$K$33,8,0)*玩法行为规划!E33)</f>
        <v>0</v>
      </c>
      <c r="G33" s="7">
        <f>IF(VLOOKUP(G$2,行为概览!$D$3:$K$33,8,0)="","",VLOOKUP(G$2,行为概览!$D$3:$K$33,8,0)*玩法行为规划!F33)</f>
        <v>0.66659999999999997</v>
      </c>
      <c r="H33" s="7" t="str">
        <f>IF(VLOOKUP(H$2,行为概览!$D$3:$K$33,8,0)="","",VLOOKUP(H$2,行为概览!$D$3:$K$33,8,0)*玩法行为规划!G33)</f>
        <v/>
      </c>
      <c r="I33" s="7" t="str">
        <f>IF(VLOOKUP(I$2,行为概览!$D$3:$K$33,8,0)="","",VLOOKUP(I$2,行为概览!$D$3:$K$33,8,0)*玩法行为规划!H33)</f>
        <v/>
      </c>
      <c r="J33" s="7" t="str">
        <f>IF(VLOOKUP(J$2,行为概览!$D$3:$K$33,8,0)="","",VLOOKUP(J$2,行为概览!$D$3:$K$33,8,0)*玩法行为规划!I33)</f>
        <v/>
      </c>
      <c r="K33" s="7">
        <f>IF(VLOOKUP(K$2,行为概览!$D$3:$K$33,8,0)="","",VLOOKUP(K$2,行为概览!$D$3:$K$33,8,0)*玩法行为规划!J33)</f>
        <v>1</v>
      </c>
      <c r="L33" s="7" t="str">
        <f>IF(VLOOKUP(L$2,行为概览!$D$3:$K$33,8,0)="","",VLOOKUP(L$2,行为概览!$D$3:$K$33,8,0)*玩法行为规划!K33)</f>
        <v/>
      </c>
      <c r="M33" s="7" t="str">
        <f>IF(VLOOKUP(M$2,行为概览!$D$3:$K$33,8,0)="","",VLOOKUP(M$2,行为概览!$D$3:$K$33,8,0)*玩法行为规划!L33)</f>
        <v/>
      </c>
      <c r="N33" s="7">
        <f>IF(VLOOKUP(N$2,行为概览!$D$3:$K$33,8,0)="","",VLOOKUP(N$2,行为概览!$D$3:$K$33,8,0)*玩法行为规划!M33)</f>
        <v>12</v>
      </c>
      <c r="O33" s="7" t="str">
        <f>IF(VLOOKUP(O$2,行为概览!$D$3:$K$33,8,0)="","",VLOOKUP(O$2,行为概览!$D$3:$K$33,8,0)*玩法行为规划!N33)</f>
        <v/>
      </c>
      <c r="P33" s="7" t="str">
        <f>IF(VLOOKUP(P$2,行为概览!$D$3:$K$33,8,0)="","",VLOOKUP(P$2,行为概览!$D$3:$K$33,8,0)*玩法行为规划!O33)</f>
        <v/>
      </c>
      <c r="Q33" s="7">
        <f>IF(VLOOKUP(Q$2,行为概览!$D$3:$K$33,8,0)="","",VLOOKUP(Q$2,行为概览!$D$3:$K$33,8,0)*玩法行为规划!P33)</f>
        <v>5.2</v>
      </c>
      <c r="R33" s="7" t="str">
        <f>IF(VLOOKUP(R$2,行为概览!$D$3:$K$33,8,0)="","",VLOOKUP(R$2,行为概览!$D$3:$K$33,8,0)*玩法行为规划!Q33)</f>
        <v/>
      </c>
      <c r="S33" s="7">
        <f>IF(VLOOKUP(S$2,行为概览!$D$3:$K$33,8,0)="","",VLOOKUP(S$2,行为概览!$D$3:$K$33,8,0)*玩法行为规划!R33)</f>
        <v>0.49995000000000001</v>
      </c>
      <c r="T33" s="7">
        <f>IF(VLOOKUP(T$2,行为概览!$D$3:$K$33,8,0)="","",VLOOKUP(T$2,行为概览!$D$3:$K$33,8,0)*玩法行为规划!S33)</f>
        <v>0</v>
      </c>
      <c r="U33" s="7">
        <f>IF(VLOOKUP(U$2,行为概览!$D$3:$K$33,8,0)="","",VLOOKUP(U$2,行为概览!$D$3:$K$33,8,0)*玩法行为规划!T33)</f>
        <v>0</v>
      </c>
      <c r="V33" s="7">
        <f>IF(VLOOKUP(V$2,行为概览!$D$3:$K$33,8,0)="","",VLOOKUP(V$2,行为概览!$D$3:$K$33,8,0)*玩法行为规划!U33)</f>
        <v>0.33339999999999997</v>
      </c>
      <c r="W33" s="7" t="str">
        <f>IF(VLOOKUP(W$2,行为概览!$D$3:$K$33,8,0)="","",VLOOKUP(W$2,行为概览!$D$3:$K$33,8,0)*玩法行为规划!V33)</f>
        <v/>
      </c>
      <c r="X33" s="7" t="str">
        <f>IF(VLOOKUP(X$2,行为概览!$D$3:$K$33,8,0)="","",VLOOKUP(X$2,行为概览!$D$3:$K$33,8,0)*玩法行为规划!W33)</f>
        <v/>
      </c>
      <c r="Y33" s="7">
        <f>IF(VLOOKUP(Y$2,行为概览!$D$3:$K$33,8,0)="","",VLOOKUP(Y$2,行为概览!$D$3:$K$33,8,0)*玩法行为规划!X33)</f>
        <v>0</v>
      </c>
      <c r="Z33" s="7" t="str">
        <f>IF(VLOOKUP(Z$2,行为概览!$D$3:$K$33,8,0)="","",VLOOKUP(Z$2,行为概览!$D$3:$K$33,8,0)*玩法行为规划!Y33)</f>
        <v/>
      </c>
      <c r="AA33" s="7">
        <f>IF(VLOOKUP(AA$2,行为概览!$D$3:$K$33,8,0)="","",VLOOKUP(AA$2,行为概览!$D$3:$K$33,8,0)*玩法行为规划!Z33)</f>
        <v>0</v>
      </c>
      <c r="AB33" s="7" t="str">
        <f>IF(VLOOKUP(AB$2,行为概览!$D$3:$K$33,8,0)="","",VLOOKUP(AB$2,行为概览!$D$3:$K$33,8,0)*玩法行为规划!AA33)</f>
        <v/>
      </c>
      <c r="AC33" s="7" t="str">
        <f>IF(VLOOKUP(AC$2,行为概览!$D$3:$K$33,8,0)="","",VLOOKUP(AC$2,行为概览!$D$3:$K$33,8,0)*玩法行为规划!AB33)</f>
        <v/>
      </c>
      <c r="AD33" s="7" t="str">
        <f>IF(VLOOKUP(AD$2,行为概览!$D$3:$K$33,8,0)="","",VLOOKUP(AD$2,行为概览!$D$3:$K$33,8,0)*玩法行为规划!AC33)</f>
        <v/>
      </c>
      <c r="AE33" s="7" t="str">
        <f>IF(VLOOKUP(AE$2,行为概览!$D$3:$K$33,8,0)="","",VLOOKUP(AE$2,行为概览!$D$3:$K$33,8,0)*玩法行为规划!AD33)</f>
        <v/>
      </c>
      <c r="AF33" s="7">
        <f t="shared" si="0"/>
        <v>21.799849999999999</v>
      </c>
      <c r="AG33" s="7">
        <f t="shared" si="1"/>
        <v>3378976</v>
      </c>
      <c r="AH33" s="7">
        <f t="shared" si="4"/>
        <v>64820</v>
      </c>
      <c r="AI33" s="10" t="str">
        <f t="shared" ref="AI33:AI96" si="7">IF(--RIGHT(A33,1)=0,SUM(AH23:AH42),"")</f>
        <v/>
      </c>
      <c r="AJ33" s="73">
        <f t="shared" si="5"/>
        <v>48070</v>
      </c>
      <c r="AK33" s="77">
        <f>ROUND(AG33*升级节奏!G33/AJ38,2)</f>
        <v>4.6100000000000003</v>
      </c>
      <c r="AL33" s="77">
        <f>ROUND(AG33*升级节奏!G33/SUM($AJ$3:AJ38),2)</f>
        <v>0.37</v>
      </c>
      <c r="AM33" s="74">
        <f>ROUND(AG33*升级节奏!G33,0)</f>
        <v>298758</v>
      </c>
      <c r="AN33" s="77">
        <f>ROUND(SUM($AM$3:AM33)/SUM($AJ$3:AJ38),2)</f>
        <v>0.97</v>
      </c>
      <c r="AO33" s="7">
        <f t="shared" si="2"/>
        <v>2583</v>
      </c>
      <c r="AP33" s="7">
        <f t="shared" si="3"/>
        <v>19</v>
      </c>
    </row>
    <row r="34" spans="1:42">
      <c r="A34" s="32">
        <v>32</v>
      </c>
      <c r="B34" s="87">
        <f>升级节奏!D34</f>
        <v>160000</v>
      </c>
      <c r="C34" s="7">
        <f>IF(VLOOKUP(C$2,行为概览!$D$3:$K$33,8,0)="","",VLOOKUP(C$2,行为概览!$D$3:$K$33,8,0)*玩法行为规划!B34)</f>
        <v>0.99990000000000001</v>
      </c>
      <c r="D34" s="7">
        <f>IF(VLOOKUP(D$2,行为概览!$D$3:$K$33,8,0)="","",VLOOKUP(D$2,行为概览!$D$3:$K$33,8,0)*玩法行为规划!C34)</f>
        <v>1.1000000000000001</v>
      </c>
      <c r="E34" s="7" t="str">
        <f>IF(VLOOKUP(E$2,行为概览!$D$3:$K$33,8,0)="","",VLOOKUP(E$2,行为概览!$D$3:$K$33,8,0)*玩法行为规划!D34)</f>
        <v/>
      </c>
      <c r="F34" s="7">
        <f>IF(VLOOKUP(F$2,行为概览!$D$3:$K$33,8,0)="","",VLOOKUP(F$2,行为概览!$D$3:$K$33,8,0)*玩法行为规划!E34)</f>
        <v>0</v>
      </c>
      <c r="G34" s="7">
        <f>IF(VLOOKUP(G$2,行为概览!$D$3:$K$33,8,0)="","",VLOOKUP(G$2,行为概览!$D$3:$K$33,8,0)*玩法行为规划!F34)</f>
        <v>0.66659999999999997</v>
      </c>
      <c r="H34" s="7" t="str">
        <f>IF(VLOOKUP(H$2,行为概览!$D$3:$K$33,8,0)="","",VLOOKUP(H$2,行为概览!$D$3:$K$33,8,0)*玩法行为规划!G34)</f>
        <v/>
      </c>
      <c r="I34" s="7" t="str">
        <f>IF(VLOOKUP(I$2,行为概览!$D$3:$K$33,8,0)="","",VLOOKUP(I$2,行为概览!$D$3:$K$33,8,0)*玩法行为规划!H34)</f>
        <v/>
      </c>
      <c r="J34" s="7" t="str">
        <f>IF(VLOOKUP(J$2,行为概览!$D$3:$K$33,8,0)="","",VLOOKUP(J$2,行为概览!$D$3:$K$33,8,0)*玩法行为规划!I34)</f>
        <v/>
      </c>
      <c r="K34" s="7">
        <f>IF(VLOOKUP(K$2,行为概览!$D$3:$K$33,8,0)="","",VLOOKUP(K$2,行为概览!$D$3:$K$33,8,0)*玩法行为规划!J34)</f>
        <v>1</v>
      </c>
      <c r="L34" s="7" t="str">
        <f>IF(VLOOKUP(L$2,行为概览!$D$3:$K$33,8,0)="","",VLOOKUP(L$2,行为概览!$D$3:$K$33,8,0)*玩法行为规划!K34)</f>
        <v/>
      </c>
      <c r="M34" s="7" t="str">
        <f>IF(VLOOKUP(M$2,行为概览!$D$3:$K$33,8,0)="","",VLOOKUP(M$2,行为概览!$D$3:$K$33,8,0)*玩法行为规划!L34)</f>
        <v/>
      </c>
      <c r="N34" s="7">
        <f>IF(VLOOKUP(N$2,行为概览!$D$3:$K$33,8,0)="","",VLOOKUP(N$2,行为概览!$D$3:$K$33,8,0)*玩法行为规划!M34)</f>
        <v>12</v>
      </c>
      <c r="O34" s="7" t="str">
        <f>IF(VLOOKUP(O$2,行为概览!$D$3:$K$33,8,0)="","",VLOOKUP(O$2,行为概览!$D$3:$K$33,8,0)*玩法行为规划!N34)</f>
        <v/>
      </c>
      <c r="P34" s="7" t="str">
        <f>IF(VLOOKUP(P$2,行为概览!$D$3:$K$33,8,0)="","",VLOOKUP(P$2,行为概览!$D$3:$K$33,8,0)*玩法行为规划!O34)</f>
        <v/>
      </c>
      <c r="Q34" s="7">
        <f>IF(VLOOKUP(Q$2,行为概览!$D$3:$K$33,8,0)="","",VLOOKUP(Q$2,行为概览!$D$3:$K$33,8,0)*玩法行为规划!P34)</f>
        <v>5.2</v>
      </c>
      <c r="R34" s="7" t="str">
        <f>IF(VLOOKUP(R$2,行为概览!$D$3:$K$33,8,0)="","",VLOOKUP(R$2,行为概览!$D$3:$K$33,8,0)*玩法行为规划!Q34)</f>
        <v/>
      </c>
      <c r="S34" s="7">
        <f>IF(VLOOKUP(S$2,行为概览!$D$3:$K$33,8,0)="","",VLOOKUP(S$2,行为概览!$D$3:$K$33,8,0)*玩法行为规划!R34)</f>
        <v>0.49995000000000001</v>
      </c>
      <c r="T34" s="7">
        <f>IF(VLOOKUP(T$2,行为概览!$D$3:$K$33,8,0)="","",VLOOKUP(T$2,行为概览!$D$3:$K$33,8,0)*玩法行为规划!S34)</f>
        <v>0</v>
      </c>
      <c r="U34" s="7">
        <f>IF(VLOOKUP(U$2,行为概览!$D$3:$K$33,8,0)="","",VLOOKUP(U$2,行为概览!$D$3:$K$33,8,0)*玩法行为规划!T34)</f>
        <v>0</v>
      </c>
      <c r="V34" s="7">
        <f>IF(VLOOKUP(V$2,行为概览!$D$3:$K$33,8,0)="","",VLOOKUP(V$2,行为概览!$D$3:$K$33,8,0)*玩法行为规划!U34)</f>
        <v>0.33339999999999997</v>
      </c>
      <c r="W34" s="7" t="str">
        <f>IF(VLOOKUP(W$2,行为概览!$D$3:$K$33,8,0)="","",VLOOKUP(W$2,行为概览!$D$3:$K$33,8,0)*玩法行为规划!V34)</f>
        <v/>
      </c>
      <c r="X34" s="7" t="str">
        <f>IF(VLOOKUP(X$2,行为概览!$D$3:$K$33,8,0)="","",VLOOKUP(X$2,行为概览!$D$3:$K$33,8,0)*玩法行为规划!W34)</f>
        <v/>
      </c>
      <c r="Y34" s="7">
        <f>IF(VLOOKUP(Y$2,行为概览!$D$3:$K$33,8,0)="","",VLOOKUP(Y$2,行为概览!$D$3:$K$33,8,0)*玩法行为规划!X34)</f>
        <v>0</v>
      </c>
      <c r="Z34" s="7" t="str">
        <f>IF(VLOOKUP(Z$2,行为概览!$D$3:$K$33,8,0)="","",VLOOKUP(Z$2,行为概览!$D$3:$K$33,8,0)*玩法行为规划!Y34)</f>
        <v/>
      </c>
      <c r="AA34" s="7">
        <f>IF(VLOOKUP(AA$2,行为概览!$D$3:$K$33,8,0)="","",VLOOKUP(AA$2,行为概览!$D$3:$K$33,8,0)*玩法行为规划!Z34)</f>
        <v>0</v>
      </c>
      <c r="AB34" s="7" t="str">
        <f>IF(VLOOKUP(AB$2,行为概览!$D$3:$K$33,8,0)="","",VLOOKUP(AB$2,行为概览!$D$3:$K$33,8,0)*玩法行为规划!AA34)</f>
        <v/>
      </c>
      <c r="AC34" s="7" t="str">
        <f>IF(VLOOKUP(AC$2,行为概览!$D$3:$K$33,8,0)="","",VLOOKUP(AC$2,行为概览!$D$3:$K$33,8,0)*玩法行为规划!AB34)</f>
        <v/>
      </c>
      <c r="AD34" s="7" t="str">
        <f>IF(VLOOKUP(AD$2,行为概览!$D$3:$K$33,8,0)="","",VLOOKUP(AD$2,行为概览!$D$3:$K$33,8,0)*玩法行为规划!AC34)</f>
        <v/>
      </c>
      <c r="AE34" s="7" t="str">
        <f>IF(VLOOKUP(AE$2,行为概览!$D$3:$K$33,8,0)="","",VLOOKUP(AE$2,行为概览!$D$3:$K$33,8,0)*玩法行为规划!AD34)</f>
        <v/>
      </c>
      <c r="AF34" s="7">
        <f t="shared" si="0"/>
        <v>21.799849999999999</v>
      </c>
      <c r="AG34" s="7">
        <f t="shared" si="1"/>
        <v>3487976</v>
      </c>
      <c r="AH34" s="7">
        <f t="shared" si="4"/>
        <v>68470</v>
      </c>
      <c r="AI34" s="10" t="str">
        <f t="shared" si="7"/>
        <v/>
      </c>
      <c r="AJ34" s="73">
        <f t="shared" si="5"/>
        <v>51220</v>
      </c>
      <c r="AK34" s="77">
        <f>ROUND(AG34*升级节奏!G34/AJ39,2)</f>
        <v>4.7699999999999996</v>
      </c>
      <c r="AL34" s="77">
        <f>ROUND(AG34*升级节奏!G34/SUM($AJ$3:AJ39),2)</f>
        <v>0.37</v>
      </c>
      <c r="AM34" s="74">
        <f>ROUND(AG34*升级节奏!G34,0)</f>
        <v>326707</v>
      </c>
      <c r="AN34" s="77">
        <f>ROUND(SUM($AM$3:AM34)/SUM($AJ$3:AJ39),2)</f>
        <v>1.26</v>
      </c>
      <c r="AO34" s="7">
        <f t="shared" si="2"/>
        <v>2667</v>
      </c>
      <c r="AP34" s="7">
        <f t="shared" si="3"/>
        <v>19</v>
      </c>
    </row>
    <row r="35" spans="1:42">
      <c r="A35" s="32">
        <v>33</v>
      </c>
      <c r="B35" s="87">
        <f>升级节奏!D35</f>
        <v>165000</v>
      </c>
      <c r="C35" s="7">
        <f>IF(VLOOKUP(C$2,行为概览!$D$3:$K$33,8,0)="","",VLOOKUP(C$2,行为概览!$D$3:$K$33,8,0)*玩法行为规划!B35)</f>
        <v>0.99990000000000001</v>
      </c>
      <c r="D35" s="7">
        <f>IF(VLOOKUP(D$2,行为概览!$D$3:$K$33,8,0)="","",VLOOKUP(D$2,行为概览!$D$3:$K$33,8,0)*玩法行为规划!C35)</f>
        <v>1.1000000000000001</v>
      </c>
      <c r="E35" s="7" t="str">
        <f>IF(VLOOKUP(E$2,行为概览!$D$3:$K$33,8,0)="","",VLOOKUP(E$2,行为概览!$D$3:$K$33,8,0)*玩法行为规划!D35)</f>
        <v/>
      </c>
      <c r="F35" s="7">
        <f>IF(VLOOKUP(F$2,行为概览!$D$3:$K$33,8,0)="","",VLOOKUP(F$2,行为概览!$D$3:$K$33,8,0)*玩法行为规划!E35)</f>
        <v>0</v>
      </c>
      <c r="G35" s="7">
        <f>IF(VLOOKUP(G$2,行为概览!$D$3:$K$33,8,0)="","",VLOOKUP(G$2,行为概览!$D$3:$K$33,8,0)*玩法行为规划!F35)</f>
        <v>0.66659999999999997</v>
      </c>
      <c r="H35" s="7" t="str">
        <f>IF(VLOOKUP(H$2,行为概览!$D$3:$K$33,8,0)="","",VLOOKUP(H$2,行为概览!$D$3:$K$33,8,0)*玩法行为规划!G35)</f>
        <v/>
      </c>
      <c r="I35" s="7" t="str">
        <f>IF(VLOOKUP(I$2,行为概览!$D$3:$K$33,8,0)="","",VLOOKUP(I$2,行为概览!$D$3:$K$33,8,0)*玩法行为规划!H35)</f>
        <v/>
      </c>
      <c r="J35" s="7" t="str">
        <f>IF(VLOOKUP(J$2,行为概览!$D$3:$K$33,8,0)="","",VLOOKUP(J$2,行为概览!$D$3:$K$33,8,0)*玩法行为规划!I35)</f>
        <v/>
      </c>
      <c r="K35" s="7">
        <f>IF(VLOOKUP(K$2,行为概览!$D$3:$K$33,8,0)="","",VLOOKUP(K$2,行为概览!$D$3:$K$33,8,0)*玩法行为规划!J35)</f>
        <v>1</v>
      </c>
      <c r="L35" s="7" t="str">
        <f>IF(VLOOKUP(L$2,行为概览!$D$3:$K$33,8,0)="","",VLOOKUP(L$2,行为概览!$D$3:$K$33,8,0)*玩法行为规划!K35)</f>
        <v/>
      </c>
      <c r="M35" s="7" t="str">
        <f>IF(VLOOKUP(M$2,行为概览!$D$3:$K$33,8,0)="","",VLOOKUP(M$2,行为概览!$D$3:$K$33,8,0)*玩法行为规划!L35)</f>
        <v/>
      </c>
      <c r="N35" s="7">
        <f>IF(VLOOKUP(N$2,行为概览!$D$3:$K$33,8,0)="","",VLOOKUP(N$2,行为概览!$D$3:$K$33,8,0)*玩法行为规划!M35)</f>
        <v>12</v>
      </c>
      <c r="O35" s="7" t="str">
        <f>IF(VLOOKUP(O$2,行为概览!$D$3:$K$33,8,0)="","",VLOOKUP(O$2,行为概览!$D$3:$K$33,8,0)*玩法行为规划!N35)</f>
        <v/>
      </c>
      <c r="P35" s="7" t="str">
        <f>IF(VLOOKUP(P$2,行为概览!$D$3:$K$33,8,0)="","",VLOOKUP(P$2,行为概览!$D$3:$K$33,8,0)*玩法行为规划!O35)</f>
        <v/>
      </c>
      <c r="Q35" s="7">
        <f>IF(VLOOKUP(Q$2,行为概览!$D$3:$K$33,8,0)="","",VLOOKUP(Q$2,行为概览!$D$3:$K$33,8,0)*玩法行为规划!P35)</f>
        <v>5.2</v>
      </c>
      <c r="R35" s="7" t="str">
        <f>IF(VLOOKUP(R$2,行为概览!$D$3:$K$33,8,0)="","",VLOOKUP(R$2,行为概览!$D$3:$K$33,8,0)*玩法行为规划!Q35)</f>
        <v/>
      </c>
      <c r="S35" s="7">
        <f>IF(VLOOKUP(S$2,行为概览!$D$3:$K$33,8,0)="","",VLOOKUP(S$2,行为概览!$D$3:$K$33,8,0)*玩法行为规划!R35)</f>
        <v>0.49995000000000001</v>
      </c>
      <c r="T35" s="7">
        <f>IF(VLOOKUP(T$2,行为概览!$D$3:$K$33,8,0)="","",VLOOKUP(T$2,行为概览!$D$3:$K$33,8,0)*玩法行为规划!S35)</f>
        <v>0</v>
      </c>
      <c r="U35" s="7">
        <f>IF(VLOOKUP(U$2,行为概览!$D$3:$K$33,8,0)="","",VLOOKUP(U$2,行为概览!$D$3:$K$33,8,0)*玩法行为规划!T35)</f>
        <v>0</v>
      </c>
      <c r="V35" s="7">
        <f>IF(VLOOKUP(V$2,行为概览!$D$3:$K$33,8,0)="","",VLOOKUP(V$2,行为概览!$D$3:$K$33,8,0)*玩法行为规划!U35)</f>
        <v>0.33339999999999997</v>
      </c>
      <c r="W35" s="7" t="str">
        <f>IF(VLOOKUP(W$2,行为概览!$D$3:$K$33,8,0)="","",VLOOKUP(W$2,行为概览!$D$3:$K$33,8,0)*玩法行为规划!V35)</f>
        <v/>
      </c>
      <c r="X35" s="7" t="str">
        <f>IF(VLOOKUP(X$2,行为概览!$D$3:$K$33,8,0)="","",VLOOKUP(X$2,行为概览!$D$3:$K$33,8,0)*玩法行为规划!W35)</f>
        <v/>
      </c>
      <c r="Y35" s="7">
        <f>IF(VLOOKUP(Y$2,行为概览!$D$3:$K$33,8,0)="","",VLOOKUP(Y$2,行为概览!$D$3:$K$33,8,0)*玩法行为规划!X35)</f>
        <v>0</v>
      </c>
      <c r="Z35" s="7" t="str">
        <f>IF(VLOOKUP(Z$2,行为概览!$D$3:$K$33,8,0)="","",VLOOKUP(Z$2,行为概览!$D$3:$K$33,8,0)*玩法行为规划!Y35)</f>
        <v/>
      </c>
      <c r="AA35" s="7">
        <f>IF(VLOOKUP(AA$2,行为概览!$D$3:$K$33,8,0)="","",VLOOKUP(AA$2,行为概览!$D$3:$K$33,8,0)*玩法行为规划!Z35)</f>
        <v>0</v>
      </c>
      <c r="AB35" s="7" t="str">
        <f>IF(VLOOKUP(AB$2,行为概览!$D$3:$K$33,8,0)="","",VLOOKUP(AB$2,行为概览!$D$3:$K$33,8,0)*玩法行为规划!AA35)</f>
        <v/>
      </c>
      <c r="AC35" s="7" t="str">
        <f>IF(VLOOKUP(AC$2,行为概览!$D$3:$K$33,8,0)="","",VLOOKUP(AC$2,行为概览!$D$3:$K$33,8,0)*玩法行为规划!AB35)</f>
        <v/>
      </c>
      <c r="AD35" s="7" t="str">
        <f>IF(VLOOKUP(AD$2,行为概览!$D$3:$K$33,8,0)="","",VLOOKUP(AD$2,行为概览!$D$3:$K$33,8,0)*玩法行为规划!AC35)</f>
        <v/>
      </c>
      <c r="AE35" s="7" t="str">
        <f>IF(VLOOKUP(AE$2,行为概览!$D$3:$K$33,8,0)="","",VLOOKUP(AE$2,行为概览!$D$3:$K$33,8,0)*玩法行为规划!AD35)</f>
        <v/>
      </c>
      <c r="AF35" s="7">
        <f t="shared" ref="AF35:AF66" si="8">SUM(C35:AC35)</f>
        <v>21.799849999999999</v>
      </c>
      <c r="AG35" s="7">
        <f t="shared" ref="AG35:AG66" si="9">INT(B35*AF35)</f>
        <v>3596975</v>
      </c>
      <c r="AH35" s="7">
        <f t="shared" si="4"/>
        <v>72220</v>
      </c>
      <c r="AI35" s="10" t="str">
        <f t="shared" si="7"/>
        <v/>
      </c>
      <c r="AJ35" s="73">
        <f t="shared" si="5"/>
        <v>54470</v>
      </c>
      <c r="AK35" s="77">
        <f>ROUND(AG35*升级节奏!G35/AJ40,2)</f>
        <v>4.93</v>
      </c>
      <c r="AL35" s="77">
        <f>ROUND(AG35*升级节奏!G35/SUM($AJ$3:AJ40),2)</f>
        <v>0.37</v>
      </c>
      <c r="AM35" s="74">
        <f>ROUND(AG35*升级节奏!G35,0)</f>
        <v>356400</v>
      </c>
      <c r="AN35" s="77">
        <f>ROUND(SUM($AM$3:AM35)/SUM($AJ$3:AJ40),2)</f>
        <v>1.54</v>
      </c>
      <c r="AO35" s="7">
        <f t="shared" ref="AO35:AO66" si="10">ROUND(B35/60,0)</f>
        <v>2750</v>
      </c>
      <c r="AP35" s="7">
        <f t="shared" ref="AP35:AP66" si="11">ROUND(AJ35/AO35,0)</f>
        <v>20</v>
      </c>
    </row>
    <row r="36" spans="1:42">
      <c r="A36" s="32">
        <v>34</v>
      </c>
      <c r="B36" s="87">
        <f>升级节奏!D36</f>
        <v>170000</v>
      </c>
      <c r="C36" s="7">
        <f>IF(VLOOKUP(C$2,行为概览!$D$3:$K$33,8,0)="","",VLOOKUP(C$2,行为概览!$D$3:$K$33,8,0)*玩法行为规划!B36)</f>
        <v>0.99990000000000001</v>
      </c>
      <c r="D36" s="7">
        <f>IF(VLOOKUP(D$2,行为概览!$D$3:$K$33,8,0)="","",VLOOKUP(D$2,行为概览!$D$3:$K$33,8,0)*玩法行为规划!C36)</f>
        <v>1.1000000000000001</v>
      </c>
      <c r="E36" s="7" t="str">
        <f>IF(VLOOKUP(E$2,行为概览!$D$3:$K$33,8,0)="","",VLOOKUP(E$2,行为概览!$D$3:$K$33,8,0)*玩法行为规划!D36)</f>
        <v/>
      </c>
      <c r="F36" s="7">
        <f>IF(VLOOKUP(F$2,行为概览!$D$3:$K$33,8,0)="","",VLOOKUP(F$2,行为概览!$D$3:$K$33,8,0)*玩法行为规划!E36)</f>
        <v>0</v>
      </c>
      <c r="G36" s="7">
        <f>IF(VLOOKUP(G$2,行为概览!$D$3:$K$33,8,0)="","",VLOOKUP(G$2,行为概览!$D$3:$K$33,8,0)*玩法行为规划!F36)</f>
        <v>0.66659999999999997</v>
      </c>
      <c r="H36" s="7" t="str">
        <f>IF(VLOOKUP(H$2,行为概览!$D$3:$K$33,8,0)="","",VLOOKUP(H$2,行为概览!$D$3:$K$33,8,0)*玩法行为规划!G36)</f>
        <v/>
      </c>
      <c r="I36" s="7" t="str">
        <f>IF(VLOOKUP(I$2,行为概览!$D$3:$K$33,8,0)="","",VLOOKUP(I$2,行为概览!$D$3:$K$33,8,0)*玩法行为规划!H36)</f>
        <v/>
      </c>
      <c r="J36" s="7" t="str">
        <f>IF(VLOOKUP(J$2,行为概览!$D$3:$K$33,8,0)="","",VLOOKUP(J$2,行为概览!$D$3:$K$33,8,0)*玩法行为规划!I36)</f>
        <v/>
      </c>
      <c r="K36" s="7">
        <f>IF(VLOOKUP(K$2,行为概览!$D$3:$K$33,8,0)="","",VLOOKUP(K$2,行为概览!$D$3:$K$33,8,0)*玩法行为规划!J36)</f>
        <v>1</v>
      </c>
      <c r="L36" s="7" t="str">
        <f>IF(VLOOKUP(L$2,行为概览!$D$3:$K$33,8,0)="","",VLOOKUP(L$2,行为概览!$D$3:$K$33,8,0)*玩法行为规划!K36)</f>
        <v/>
      </c>
      <c r="M36" s="7" t="str">
        <f>IF(VLOOKUP(M$2,行为概览!$D$3:$K$33,8,0)="","",VLOOKUP(M$2,行为概览!$D$3:$K$33,8,0)*玩法行为规划!L36)</f>
        <v/>
      </c>
      <c r="N36" s="7">
        <f>IF(VLOOKUP(N$2,行为概览!$D$3:$K$33,8,0)="","",VLOOKUP(N$2,行为概览!$D$3:$K$33,8,0)*玩法行为规划!M36)</f>
        <v>12</v>
      </c>
      <c r="O36" s="7" t="str">
        <f>IF(VLOOKUP(O$2,行为概览!$D$3:$K$33,8,0)="","",VLOOKUP(O$2,行为概览!$D$3:$K$33,8,0)*玩法行为规划!N36)</f>
        <v/>
      </c>
      <c r="P36" s="7" t="str">
        <f>IF(VLOOKUP(P$2,行为概览!$D$3:$K$33,8,0)="","",VLOOKUP(P$2,行为概览!$D$3:$K$33,8,0)*玩法行为规划!O36)</f>
        <v/>
      </c>
      <c r="Q36" s="7">
        <f>IF(VLOOKUP(Q$2,行为概览!$D$3:$K$33,8,0)="","",VLOOKUP(Q$2,行为概览!$D$3:$K$33,8,0)*玩法行为规划!P36)</f>
        <v>5.2</v>
      </c>
      <c r="R36" s="7" t="str">
        <f>IF(VLOOKUP(R$2,行为概览!$D$3:$K$33,8,0)="","",VLOOKUP(R$2,行为概览!$D$3:$K$33,8,0)*玩法行为规划!Q36)</f>
        <v/>
      </c>
      <c r="S36" s="7">
        <f>IF(VLOOKUP(S$2,行为概览!$D$3:$K$33,8,0)="","",VLOOKUP(S$2,行为概览!$D$3:$K$33,8,0)*玩法行为规划!R36)</f>
        <v>0.49995000000000001</v>
      </c>
      <c r="T36" s="7">
        <f>IF(VLOOKUP(T$2,行为概览!$D$3:$K$33,8,0)="","",VLOOKUP(T$2,行为概览!$D$3:$K$33,8,0)*玩法行为规划!S36)</f>
        <v>0</v>
      </c>
      <c r="U36" s="7">
        <f>IF(VLOOKUP(U$2,行为概览!$D$3:$K$33,8,0)="","",VLOOKUP(U$2,行为概览!$D$3:$K$33,8,0)*玩法行为规划!T36)</f>
        <v>0</v>
      </c>
      <c r="V36" s="7">
        <f>IF(VLOOKUP(V$2,行为概览!$D$3:$K$33,8,0)="","",VLOOKUP(V$2,行为概览!$D$3:$K$33,8,0)*玩法行为规划!U36)</f>
        <v>0.33339999999999997</v>
      </c>
      <c r="W36" s="7" t="str">
        <f>IF(VLOOKUP(W$2,行为概览!$D$3:$K$33,8,0)="","",VLOOKUP(W$2,行为概览!$D$3:$K$33,8,0)*玩法行为规划!V36)</f>
        <v/>
      </c>
      <c r="X36" s="7" t="str">
        <f>IF(VLOOKUP(X$2,行为概览!$D$3:$K$33,8,0)="","",VLOOKUP(X$2,行为概览!$D$3:$K$33,8,0)*玩法行为规划!W36)</f>
        <v/>
      </c>
      <c r="Y36" s="7">
        <f>IF(VLOOKUP(Y$2,行为概览!$D$3:$K$33,8,0)="","",VLOOKUP(Y$2,行为概览!$D$3:$K$33,8,0)*玩法行为规划!X36)</f>
        <v>0</v>
      </c>
      <c r="Z36" s="7" t="str">
        <f>IF(VLOOKUP(Z$2,行为概览!$D$3:$K$33,8,0)="","",VLOOKUP(Z$2,行为概览!$D$3:$K$33,8,0)*玩法行为规划!Y36)</f>
        <v/>
      </c>
      <c r="AA36" s="7">
        <f>IF(VLOOKUP(AA$2,行为概览!$D$3:$K$33,8,0)="","",VLOOKUP(AA$2,行为概览!$D$3:$K$33,8,0)*玩法行为规划!Z36)</f>
        <v>0</v>
      </c>
      <c r="AB36" s="7" t="str">
        <f>IF(VLOOKUP(AB$2,行为概览!$D$3:$K$33,8,0)="","",VLOOKUP(AB$2,行为概览!$D$3:$K$33,8,0)*玩法行为规划!AA36)</f>
        <v/>
      </c>
      <c r="AC36" s="7" t="str">
        <f>IF(VLOOKUP(AC$2,行为概览!$D$3:$K$33,8,0)="","",VLOOKUP(AC$2,行为概览!$D$3:$K$33,8,0)*玩法行为规划!AB36)</f>
        <v/>
      </c>
      <c r="AD36" s="7" t="str">
        <f>IF(VLOOKUP(AD$2,行为概览!$D$3:$K$33,8,0)="","",VLOOKUP(AD$2,行为概览!$D$3:$K$33,8,0)*玩法行为规划!AC36)</f>
        <v/>
      </c>
      <c r="AE36" s="7" t="str">
        <f>IF(VLOOKUP(AE$2,行为概览!$D$3:$K$33,8,0)="","",VLOOKUP(AE$2,行为概览!$D$3:$K$33,8,0)*玩法行为规划!AD36)</f>
        <v/>
      </c>
      <c r="AF36" s="7">
        <f t="shared" si="8"/>
        <v>21.799849999999999</v>
      </c>
      <c r="AG36" s="7">
        <f t="shared" si="9"/>
        <v>3705974</v>
      </c>
      <c r="AH36" s="7">
        <f t="shared" si="4"/>
        <v>76070</v>
      </c>
      <c r="AI36" s="10" t="str">
        <f t="shared" si="7"/>
        <v/>
      </c>
      <c r="AJ36" s="73">
        <f t="shared" si="5"/>
        <v>57820</v>
      </c>
      <c r="AK36" s="77">
        <f>ROUND(AG36*升级节奏!G36/AJ41,2)</f>
        <v>5.61</v>
      </c>
      <c r="AL36" s="77">
        <f>ROUND(AG36*升级节奏!G36/SUM($AJ$3:AJ41),2)</f>
        <v>0.42</v>
      </c>
      <c r="AM36" s="74">
        <f>ROUND(AG36*升级节奏!G36,0)</f>
        <v>426681</v>
      </c>
      <c r="AN36" s="77">
        <f>ROUND(SUM($AM$3:AM36)/SUM($AJ$3:AJ41),2)</f>
        <v>1.84</v>
      </c>
      <c r="AO36" s="7">
        <f t="shared" si="10"/>
        <v>2833</v>
      </c>
      <c r="AP36" s="7">
        <f t="shared" si="11"/>
        <v>20</v>
      </c>
    </row>
    <row r="37" spans="1:42">
      <c r="A37" s="32">
        <v>35</v>
      </c>
      <c r="B37" s="87">
        <f>升级节奏!D37</f>
        <v>175000</v>
      </c>
      <c r="C37" s="7">
        <f>IF(VLOOKUP(C$2,行为概览!$D$3:$K$33,8,0)="","",VLOOKUP(C$2,行为概览!$D$3:$K$33,8,0)*玩法行为规划!B37)</f>
        <v>0.99990000000000001</v>
      </c>
      <c r="D37" s="7">
        <f>IF(VLOOKUP(D$2,行为概览!$D$3:$K$33,8,0)="","",VLOOKUP(D$2,行为概览!$D$3:$K$33,8,0)*玩法行为规划!C37)</f>
        <v>1.1000000000000001</v>
      </c>
      <c r="E37" s="7" t="str">
        <f>IF(VLOOKUP(E$2,行为概览!$D$3:$K$33,8,0)="","",VLOOKUP(E$2,行为概览!$D$3:$K$33,8,0)*玩法行为规划!D37)</f>
        <v/>
      </c>
      <c r="F37" s="7">
        <f>IF(VLOOKUP(F$2,行为概览!$D$3:$K$33,8,0)="","",VLOOKUP(F$2,行为概览!$D$3:$K$33,8,0)*玩法行为规划!E37)</f>
        <v>0</v>
      </c>
      <c r="G37" s="7">
        <f>IF(VLOOKUP(G$2,行为概览!$D$3:$K$33,8,0)="","",VLOOKUP(G$2,行为概览!$D$3:$K$33,8,0)*玩法行为规划!F37)</f>
        <v>0.66659999999999997</v>
      </c>
      <c r="H37" s="7" t="str">
        <f>IF(VLOOKUP(H$2,行为概览!$D$3:$K$33,8,0)="","",VLOOKUP(H$2,行为概览!$D$3:$K$33,8,0)*玩法行为规划!G37)</f>
        <v/>
      </c>
      <c r="I37" s="7" t="str">
        <f>IF(VLOOKUP(I$2,行为概览!$D$3:$K$33,8,0)="","",VLOOKUP(I$2,行为概览!$D$3:$K$33,8,0)*玩法行为规划!H37)</f>
        <v/>
      </c>
      <c r="J37" s="7" t="str">
        <f>IF(VLOOKUP(J$2,行为概览!$D$3:$K$33,8,0)="","",VLOOKUP(J$2,行为概览!$D$3:$K$33,8,0)*玩法行为规划!I37)</f>
        <v/>
      </c>
      <c r="K37" s="7">
        <f>IF(VLOOKUP(K$2,行为概览!$D$3:$K$33,8,0)="","",VLOOKUP(K$2,行为概览!$D$3:$K$33,8,0)*玩法行为规划!J37)</f>
        <v>1</v>
      </c>
      <c r="L37" s="7" t="str">
        <f>IF(VLOOKUP(L$2,行为概览!$D$3:$K$33,8,0)="","",VLOOKUP(L$2,行为概览!$D$3:$K$33,8,0)*玩法行为规划!K37)</f>
        <v/>
      </c>
      <c r="M37" s="7" t="str">
        <f>IF(VLOOKUP(M$2,行为概览!$D$3:$K$33,8,0)="","",VLOOKUP(M$2,行为概览!$D$3:$K$33,8,0)*玩法行为规划!L37)</f>
        <v/>
      </c>
      <c r="N37" s="7">
        <f>IF(VLOOKUP(N$2,行为概览!$D$3:$K$33,8,0)="","",VLOOKUP(N$2,行为概览!$D$3:$K$33,8,0)*玩法行为规划!M37)</f>
        <v>12</v>
      </c>
      <c r="O37" s="7" t="str">
        <f>IF(VLOOKUP(O$2,行为概览!$D$3:$K$33,8,0)="","",VLOOKUP(O$2,行为概览!$D$3:$K$33,8,0)*玩法行为规划!N37)</f>
        <v/>
      </c>
      <c r="P37" s="7" t="str">
        <f>IF(VLOOKUP(P$2,行为概览!$D$3:$K$33,8,0)="","",VLOOKUP(P$2,行为概览!$D$3:$K$33,8,0)*玩法行为规划!O37)</f>
        <v/>
      </c>
      <c r="Q37" s="7">
        <f>IF(VLOOKUP(Q$2,行为概览!$D$3:$K$33,8,0)="","",VLOOKUP(Q$2,行为概览!$D$3:$K$33,8,0)*玩法行为规划!P37)</f>
        <v>5.2</v>
      </c>
      <c r="R37" s="7" t="str">
        <f>IF(VLOOKUP(R$2,行为概览!$D$3:$K$33,8,0)="","",VLOOKUP(R$2,行为概览!$D$3:$K$33,8,0)*玩法行为规划!Q37)</f>
        <v/>
      </c>
      <c r="S37" s="7">
        <f>IF(VLOOKUP(S$2,行为概览!$D$3:$K$33,8,0)="","",VLOOKUP(S$2,行为概览!$D$3:$K$33,8,0)*玩法行为规划!R37)</f>
        <v>0.49995000000000001</v>
      </c>
      <c r="T37" s="7">
        <f>IF(VLOOKUP(T$2,行为概览!$D$3:$K$33,8,0)="","",VLOOKUP(T$2,行为概览!$D$3:$K$33,8,0)*玩法行为规划!S37)</f>
        <v>0.75</v>
      </c>
      <c r="U37" s="7">
        <f>IF(VLOOKUP(U$2,行为概览!$D$3:$K$33,8,0)="","",VLOOKUP(U$2,行为概览!$D$3:$K$33,8,0)*玩法行为规划!T37)</f>
        <v>0</v>
      </c>
      <c r="V37" s="7">
        <f>IF(VLOOKUP(V$2,行为概览!$D$3:$K$33,8,0)="","",VLOOKUP(V$2,行为概览!$D$3:$K$33,8,0)*玩法行为规划!U37)</f>
        <v>0.33339999999999997</v>
      </c>
      <c r="W37" s="7" t="str">
        <f>IF(VLOOKUP(W$2,行为概览!$D$3:$K$33,8,0)="","",VLOOKUP(W$2,行为概览!$D$3:$K$33,8,0)*玩法行为规划!V37)</f>
        <v/>
      </c>
      <c r="X37" s="7" t="str">
        <f>IF(VLOOKUP(X$2,行为概览!$D$3:$K$33,8,0)="","",VLOOKUP(X$2,行为概览!$D$3:$K$33,8,0)*玩法行为规划!W37)</f>
        <v/>
      </c>
      <c r="Y37" s="7">
        <f>IF(VLOOKUP(Y$2,行为概览!$D$3:$K$33,8,0)="","",VLOOKUP(Y$2,行为概览!$D$3:$K$33,8,0)*玩法行为规划!X37)</f>
        <v>0</v>
      </c>
      <c r="Z37" s="7" t="str">
        <f>IF(VLOOKUP(Z$2,行为概览!$D$3:$K$33,8,0)="","",VLOOKUP(Z$2,行为概览!$D$3:$K$33,8,0)*玩法行为规划!Y37)</f>
        <v/>
      </c>
      <c r="AA37" s="7">
        <f>IF(VLOOKUP(AA$2,行为概览!$D$3:$K$33,8,0)="","",VLOOKUP(AA$2,行为概览!$D$3:$K$33,8,0)*玩法行为规划!Z37)</f>
        <v>0</v>
      </c>
      <c r="AB37" s="7" t="str">
        <f>IF(VLOOKUP(AB$2,行为概览!$D$3:$K$33,8,0)="","",VLOOKUP(AB$2,行为概览!$D$3:$K$33,8,0)*玩法行为规划!AA37)</f>
        <v/>
      </c>
      <c r="AC37" s="7" t="str">
        <f>IF(VLOOKUP(AC$2,行为概览!$D$3:$K$33,8,0)="","",VLOOKUP(AC$2,行为概览!$D$3:$K$33,8,0)*玩法行为规划!AB37)</f>
        <v/>
      </c>
      <c r="AD37" s="7" t="str">
        <f>IF(VLOOKUP(AD$2,行为概览!$D$3:$K$33,8,0)="","",VLOOKUP(AD$2,行为概览!$D$3:$K$33,8,0)*玩法行为规划!AC37)</f>
        <v/>
      </c>
      <c r="AE37" s="7" t="str">
        <f>IF(VLOOKUP(AE$2,行为概览!$D$3:$K$33,8,0)="","",VLOOKUP(AE$2,行为概览!$D$3:$K$33,8,0)*玩法行为规划!AD37)</f>
        <v/>
      </c>
      <c r="AF37" s="7">
        <f t="shared" si="8"/>
        <v>22.549849999999999</v>
      </c>
      <c r="AG37" s="7">
        <f t="shared" si="9"/>
        <v>3946223</v>
      </c>
      <c r="AH37" s="7">
        <f t="shared" si="4"/>
        <v>80020</v>
      </c>
      <c r="AI37" s="10" t="str">
        <f t="shared" si="7"/>
        <v/>
      </c>
      <c r="AJ37" s="73">
        <f t="shared" si="5"/>
        <v>61270</v>
      </c>
      <c r="AK37" s="77">
        <f>ROUND(AG37*升级节奏!G37/AJ42,2)</f>
        <v>5.99</v>
      </c>
      <c r="AL37" s="77">
        <f>ROUND(AG37*升级节奏!G37/SUM($AJ$3:AJ42),2)</f>
        <v>0.43</v>
      </c>
      <c r="AM37" s="74">
        <f>ROUND(AG37*升级节奏!G37,0)</f>
        <v>479302</v>
      </c>
      <c r="AN37" s="77">
        <f>ROUND(SUM($AM$3:AM37)/SUM($AJ$3:AJ42),2)</f>
        <v>2.14</v>
      </c>
      <c r="AO37" s="7">
        <f t="shared" si="10"/>
        <v>2917</v>
      </c>
      <c r="AP37" s="7">
        <f t="shared" si="11"/>
        <v>21</v>
      </c>
    </row>
    <row r="38" spans="1:42">
      <c r="A38" s="32">
        <v>36</v>
      </c>
      <c r="B38" s="87">
        <f>升级节奏!D38</f>
        <v>180000</v>
      </c>
      <c r="C38" s="7">
        <f>IF(VLOOKUP(C$2,行为概览!$D$3:$K$33,8,0)="","",VLOOKUP(C$2,行为概览!$D$3:$K$33,8,0)*玩法行为规划!B38)</f>
        <v>0.99990000000000001</v>
      </c>
      <c r="D38" s="7">
        <f>IF(VLOOKUP(D$2,行为概览!$D$3:$K$33,8,0)="","",VLOOKUP(D$2,行为概览!$D$3:$K$33,8,0)*玩法行为规划!C38)</f>
        <v>1.1000000000000001</v>
      </c>
      <c r="E38" s="7" t="str">
        <f>IF(VLOOKUP(E$2,行为概览!$D$3:$K$33,8,0)="","",VLOOKUP(E$2,行为概览!$D$3:$K$33,8,0)*玩法行为规划!D38)</f>
        <v/>
      </c>
      <c r="F38" s="7">
        <f>IF(VLOOKUP(F$2,行为概览!$D$3:$K$33,8,0)="","",VLOOKUP(F$2,行为概览!$D$3:$K$33,8,0)*玩法行为规划!E38)</f>
        <v>0</v>
      </c>
      <c r="G38" s="7">
        <f>IF(VLOOKUP(G$2,行为概览!$D$3:$K$33,8,0)="","",VLOOKUP(G$2,行为概览!$D$3:$K$33,8,0)*玩法行为规划!F38)</f>
        <v>0.66659999999999997</v>
      </c>
      <c r="H38" s="7" t="str">
        <f>IF(VLOOKUP(H$2,行为概览!$D$3:$K$33,8,0)="","",VLOOKUP(H$2,行为概览!$D$3:$K$33,8,0)*玩法行为规划!G38)</f>
        <v/>
      </c>
      <c r="I38" s="7" t="str">
        <f>IF(VLOOKUP(I$2,行为概览!$D$3:$K$33,8,0)="","",VLOOKUP(I$2,行为概览!$D$3:$K$33,8,0)*玩法行为规划!H38)</f>
        <v/>
      </c>
      <c r="J38" s="7" t="str">
        <f>IF(VLOOKUP(J$2,行为概览!$D$3:$K$33,8,0)="","",VLOOKUP(J$2,行为概览!$D$3:$K$33,8,0)*玩法行为规划!I38)</f>
        <v/>
      </c>
      <c r="K38" s="7">
        <f>IF(VLOOKUP(K$2,行为概览!$D$3:$K$33,8,0)="","",VLOOKUP(K$2,行为概览!$D$3:$K$33,8,0)*玩法行为规划!J38)</f>
        <v>1</v>
      </c>
      <c r="L38" s="7" t="str">
        <f>IF(VLOOKUP(L$2,行为概览!$D$3:$K$33,8,0)="","",VLOOKUP(L$2,行为概览!$D$3:$K$33,8,0)*玩法行为规划!K38)</f>
        <v/>
      </c>
      <c r="M38" s="7" t="str">
        <f>IF(VLOOKUP(M$2,行为概览!$D$3:$K$33,8,0)="","",VLOOKUP(M$2,行为概览!$D$3:$K$33,8,0)*玩法行为规划!L38)</f>
        <v/>
      </c>
      <c r="N38" s="7">
        <f>IF(VLOOKUP(N$2,行为概览!$D$3:$K$33,8,0)="","",VLOOKUP(N$2,行为概览!$D$3:$K$33,8,0)*玩法行为规划!M38)</f>
        <v>12</v>
      </c>
      <c r="O38" s="7" t="str">
        <f>IF(VLOOKUP(O$2,行为概览!$D$3:$K$33,8,0)="","",VLOOKUP(O$2,行为概览!$D$3:$K$33,8,0)*玩法行为规划!N38)</f>
        <v/>
      </c>
      <c r="P38" s="7" t="str">
        <f>IF(VLOOKUP(P$2,行为概览!$D$3:$K$33,8,0)="","",VLOOKUP(P$2,行为概览!$D$3:$K$33,8,0)*玩法行为规划!O38)</f>
        <v/>
      </c>
      <c r="Q38" s="7">
        <f>IF(VLOOKUP(Q$2,行为概览!$D$3:$K$33,8,0)="","",VLOOKUP(Q$2,行为概览!$D$3:$K$33,8,0)*玩法行为规划!P38)</f>
        <v>5.2</v>
      </c>
      <c r="R38" s="7" t="str">
        <f>IF(VLOOKUP(R$2,行为概览!$D$3:$K$33,8,0)="","",VLOOKUP(R$2,行为概览!$D$3:$K$33,8,0)*玩法行为规划!Q38)</f>
        <v/>
      </c>
      <c r="S38" s="7">
        <f>IF(VLOOKUP(S$2,行为概览!$D$3:$K$33,8,0)="","",VLOOKUP(S$2,行为概览!$D$3:$K$33,8,0)*玩法行为规划!R38)</f>
        <v>0.49995000000000001</v>
      </c>
      <c r="T38" s="7">
        <f>IF(VLOOKUP(T$2,行为概览!$D$3:$K$33,8,0)="","",VLOOKUP(T$2,行为概览!$D$3:$K$33,8,0)*玩法行为规划!S38)</f>
        <v>0.75</v>
      </c>
      <c r="U38" s="7">
        <f>IF(VLOOKUP(U$2,行为概览!$D$3:$K$33,8,0)="","",VLOOKUP(U$2,行为概览!$D$3:$K$33,8,0)*玩法行为规划!T38)</f>
        <v>0</v>
      </c>
      <c r="V38" s="7">
        <f>IF(VLOOKUP(V$2,行为概览!$D$3:$K$33,8,0)="","",VLOOKUP(V$2,行为概览!$D$3:$K$33,8,0)*玩法行为规划!U38)</f>
        <v>0.33339999999999997</v>
      </c>
      <c r="W38" s="7" t="str">
        <f>IF(VLOOKUP(W$2,行为概览!$D$3:$K$33,8,0)="","",VLOOKUP(W$2,行为概览!$D$3:$K$33,8,0)*玩法行为规划!V38)</f>
        <v/>
      </c>
      <c r="X38" s="7" t="str">
        <f>IF(VLOOKUP(X$2,行为概览!$D$3:$K$33,8,0)="","",VLOOKUP(X$2,行为概览!$D$3:$K$33,8,0)*玩法行为规划!W38)</f>
        <v/>
      </c>
      <c r="Y38" s="7">
        <f>IF(VLOOKUP(Y$2,行为概览!$D$3:$K$33,8,0)="","",VLOOKUP(Y$2,行为概览!$D$3:$K$33,8,0)*玩法行为规划!X38)</f>
        <v>0</v>
      </c>
      <c r="Z38" s="7" t="str">
        <f>IF(VLOOKUP(Z$2,行为概览!$D$3:$K$33,8,0)="","",VLOOKUP(Z$2,行为概览!$D$3:$K$33,8,0)*玩法行为规划!Y38)</f>
        <v/>
      </c>
      <c r="AA38" s="7">
        <f>IF(VLOOKUP(AA$2,行为概览!$D$3:$K$33,8,0)="","",VLOOKUP(AA$2,行为概览!$D$3:$K$33,8,0)*玩法行为规划!Z38)</f>
        <v>0</v>
      </c>
      <c r="AB38" s="7" t="str">
        <f>IF(VLOOKUP(AB$2,行为概览!$D$3:$K$33,8,0)="","",VLOOKUP(AB$2,行为概览!$D$3:$K$33,8,0)*玩法行为规划!AA38)</f>
        <v/>
      </c>
      <c r="AC38" s="7" t="str">
        <f>IF(VLOOKUP(AC$2,行为概览!$D$3:$K$33,8,0)="","",VLOOKUP(AC$2,行为概览!$D$3:$K$33,8,0)*玩法行为规划!AB38)</f>
        <v/>
      </c>
      <c r="AD38" s="7" t="str">
        <f>IF(VLOOKUP(AD$2,行为概览!$D$3:$K$33,8,0)="","",VLOOKUP(AD$2,行为概览!$D$3:$K$33,8,0)*玩法行为规划!AC38)</f>
        <v/>
      </c>
      <c r="AE38" s="7" t="str">
        <f>IF(VLOOKUP(AE$2,行为概览!$D$3:$K$33,8,0)="","",VLOOKUP(AE$2,行为概览!$D$3:$K$33,8,0)*玩法行为规划!AD38)</f>
        <v/>
      </c>
      <c r="AF38" s="7">
        <f t="shared" si="8"/>
        <v>22.549849999999999</v>
      </c>
      <c r="AG38" s="7">
        <f t="shared" si="9"/>
        <v>4058973</v>
      </c>
      <c r="AH38" s="7">
        <f t="shared" si="4"/>
        <v>84070</v>
      </c>
      <c r="AI38" s="10" t="str">
        <f t="shared" si="7"/>
        <v/>
      </c>
      <c r="AJ38" s="73">
        <f t="shared" si="5"/>
        <v>64820</v>
      </c>
      <c r="AK38" s="77">
        <f>ROUND(AG38*升级节奏!G38/AJ43,2)</f>
        <v>6.18</v>
      </c>
      <c r="AL38" s="77">
        <f>ROUND(AG38*升级节奏!G38/SUM($AJ$3:AJ43),2)</f>
        <v>0.44</v>
      </c>
      <c r="AM38" s="74">
        <f>ROUND(AG38*升级节奏!G38,0)</f>
        <v>519413</v>
      </c>
      <c r="AN38" s="77">
        <f>ROUND(SUM($AM$3:AM38)/SUM($AJ$3:AJ43),2)</f>
        <v>2.4300000000000002</v>
      </c>
      <c r="AO38" s="7">
        <f t="shared" si="10"/>
        <v>3000</v>
      </c>
      <c r="AP38" s="7">
        <f t="shared" si="11"/>
        <v>22</v>
      </c>
    </row>
    <row r="39" spans="1:42">
      <c r="A39" s="32">
        <v>37</v>
      </c>
      <c r="B39" s="87">
        <f>升级节奏!D39</f>
        <v>185000</v>
      </c>
      <c r="C39" s="7">
        <f>IF(VLOOKUP(C$2,行为概览!$D$3:$K$33,8,0)="","",VLOOKUP(C$2,行为概览!$D$3:$K$33,8,0)*玩法行为规划!B39)</f>
        <v>0.99990000000000001</v>
      </c>
      <c r="D39" s="7">
        <f>IF(VLOOKUP(D$2,行为概览!$D$3:$K$33,8,0)="","",VLOOKUP(D$2,行为概览!$D$3:$K$33,8,0)*玩法行为规划!C39)</f>
        <v>1.1000000000000001</v>
      </c>
      <c r="E39" s="7" t="str">
        <f>IF(VLOOKUP(E$2,行为概览!$D$3:$K$33,8,0)="","",VLOOKUP(E$2,行为概览!$D$3:$K$33,8,0)*玩法行为规划!D39)</f>
        <v/>
      </c>
      <c r="F39" s="7">
        <f>IF(VLOOKUP(F$2,行为概览!$D$3:$K$33,8,0)="","",VLOOKUP(F$2,行为概览!$D$3:$K$33,8,0)*玩法行为规划!E39)</f>
        <v>0</v>
      </c>
      <c r="G39" s="7">
        <f>IF(VLOOKUP(G$2,行为概览!$D$3:$K$33,8,0)="","",VLOOKUP(G$2,行为概览!$D$3:$K$33,8,0)*玩法行为规划!F39)</f>
        <v>0.66659999999999997</v>
      </c>
      <c r="H39" s="7" t="str">
        <f>IF(VLOOKUP(H$2,行为概览!$D$3:$K$33,8,0)="","",VLOOKUP(H$2,行为概览!$D$3:$K$33,8,0)*玩法行为规划!G39)</f>
        <v/>
      </c>
      <c r="I39" s="7" t="str">
        <f>IF(VLOOKUP(I$2,行为概览!$D$3:$K$33,8,0)="","",VLOOKUP(I$2,行为概览!$D$3:$K$33,8,0)*玩法行为规划!H39)</f>
        <v/>
      </c>
      <c r="J39" s="7" t="str">
        <f>IF(VLOOKUP(J$2,行为概览!$D$3:$K$33,8,0)="","",VLOOKUP(J$2,行为概览!$D$3:$K$33,8,0)*玩法行为规划!I39)</f>
        <v/>
      </c>
      <c r="K39" s="7">
        <f>IF(VLOOKUP(K$2,行为概览!$D$3:$K$33,8,0)="","",VLOOKUP(K$2,行为概览!$D$3:$K$33,8,0)*玩法行为规划!J39)</f>
        <v>1</v>
      </c>
      <c r="L39" s="7" t="str">
        <f>IF(VLOOKUP(L$2,行为概览!$D$3:$K$33,8,0)="","",VLOOKUP(L$2,行为概览!$D$3:$K$33,8,0)*玩法行为规划!K39)</f>
        <v/>
      </c>
      <c r="M39" s="7" t="str">
        <f>IF(VLOOKUP(M$2,行为概览!$D$3:$K$33,8,0)="","",VLOOKUP(M$2,行为概览!$D$3:$K$33,8,0)*玩法行为规划!L39)</f>
        <v/>
      </c>
      <c r="N39" s="7">
        <f>IF(VLOOKUP(N$2,行为概览!$D$3:$K$33,8,0)="","",VLOOKUP(N$2,行为概览!$D$3:$K$33,8,0)*玩法行为规划!M39)</f>
        <v>12</v>
      </c>
      <c r="O39" s="7" t="str">
        <f>IF(VLOOKUP(O$2,行为概览!$D$3:$K$33,8,0)="","",VLOOKUP(O$2,行为概览!$D$3:$K$33,8,0)*玩法行为规划!N39)</f>
        <v/>
      </c>
      <c r="P39" s="7" t="str">
        <f>IF(VLOOKUP(P$2,行为概览!$D$3:$K$33,8,0)="","",VLOOKUP(P$2,行为概览!$D$3:$K$33,8,0)*玩法行为规划!O39)</f>
        <v/>
      </c>
      <c r="Q39" s="7">
        <f>IF(VLOOKUP(Q$2,行为概览!$D$3:$K$33,8,0)="","",VLOOKUP(Q$2,行为概览!$D$3:$K$33,8,0)*玩法行为规划!P39)</f>
        <v>5.2</v>
      </c>
      <c r="R39" s="7" t="str">
        <f>IF(VLOOKUP(R$2,行为概览!$D$3:$K$33,8,0)="","",VLOOKUP(R$2,行为概览!$D$3:$K$33,8,0)*玩法行为规划!Q39)</f>
        <v/>
      </c>
      <c r="S39" s="7">
        <f>IF(VLOOKUP(S$2,行为概览!$D$3:$K$33,8,0)="","",VLOOKUP(S$2,行为概览!$D$3:$K$33,8,0)*玩法行为规划!R39)</f>
        <v>0.49995000000000001</v>
      </c>
      <c r="T39" s="7">
        <f>IF(VLOOKUP(T$2,行为概览!$D$3:$K$33,8,0)="","",VLOOKUP(T$2,行为概览!$D$3:$K$33,8,0)*玩法行为规划!S39)</f>
        <v>0.75</v>
      </c>
      <c r="U39" s="7">
        <f>IF(VLOOKUP(U$2,行为概览!$D$3:$K$33,8,0)="","",VLOOKUP(U$2,行为概览!$D$3:$K$33,8,0)*玩法行为规划!T39)</f>
        <v>0</v>
      </c>
      <c r="V39" s="7">
        <f>IF(VLOOKUP(V$2,行为概览!$D$3:$K$33,8,0)="","",VLOOKUP(V$2,行为概览!$D$3:$K$33,8,0)*玩法行为规划!U39)</f>
        <v>0.33339999999999997</v>
      </c>
      <c r="W39" s="7" t="str">
        <f>IF(VLOOKUP(W$2,行为概览!$D$3:$K$33,8,0)="","",VLOOKUP(W$2,行为概览!$D$3:$K$33,8,0)*玩法行为规划!V39)</f>
        <v/>
      </c>
      <c r="X39" s="7" t="str">
        <f>IF(VLOOKUP(X$2,行为概览!$D$3:$K$33,8,0)="","",VLOOKUP(X$2,行为概览!$D$3:$K$33,8,0)*玩法行为规划!W39)</f>
        <v/>
      </c>
      <c r="Y39" s="7">
        <f>IF(VLOOKUP(Y$2,行为概览!$D$3:$K$33,8,0)="","",VLOOKUP(Y$2,行为概览!$D$3:$K$33,8,0)*玩法行为规划!X39)</f>
        <v>0</v>
      </c>
      <c r="Z39" s="7" t="str">
        <f>IF(VLOOKUP(Z$2,行为概览!$D$3:$K$33,8,0)="","",VLOOKUP(Z$2,行为概览!$D$3:$K$33,8,0)*玩法行为规划!Y39)</f>
        <v/>
      </c>
      <c r="AA39" s="7">
        <f>IF(VLOOKUP(AA$2,行为概览!$D$3:$K$33,8,0)="","",VLOOKUP(AA$2,行为概览!$D$3:$K$33,8,0)*玩法行为规划!Z39)</f>
        <v>0</v>
      </c>
      <c r="AB39" s="7" t="str">
        <f>IF(VLOOKUP(AB$2,行为概览!$D$3:$K$33,8,0)="","",VLOOKUP(AB$2,行为概览!$D$3:$K$33,8,0)*玩法行为规划!AA39)</f>
        <v/>
      </c>
      <c r="AC39" s="7" t="str">
        <f>IF(VLOOKUP(AC$2,行为概览!$D$3:$K$33,8,0)="","",VLOOKUP(AC$2,行为概览!$D$3:$K$33,8,0)*玩法行为规划!AB39)</f>
        <v/>
      </c>
      <c r="AD39" s="7" t="str">
        <f>IF(VLOOKUP(AD$2,行为概览!$D$3:$K$33,8,0)="","",VLOOKUP(AD$2,行为概览!$D$3:$K$33,8,0)*玩法行为规划!AC39)</f>
        <v/>
      </c>
      <c r="AE39" s="7" t="str">
        <f>IF(VLOOKUP(AE$2,行为概览!$D$3:$K$33,8,0)="","",VLOOKUP(AE$2,行为概览!$D$3:$K$33,8,0)*玩法行为规划!AD39)</f>
        <v/>
      </c>
      <c r="AF39" s="7">
        <f t="shared" si="8"/>
        <v>22.549849999999999</v>
      </c>
      <c r="AG39" s="7">
        <f t="shared" si="9"/>
        <v>4171722</v>
      </c>
      <c r="AH39" s="7">
        <f t="shared" si="4"/>
        <v>88220</v>
      </c>
      <c r="AI39" s="10" t="str">
        <f t="shared" si="7"/>
        <v/>
      </c>
      <c r="AJ39" s="73">
        <f t="shared" si="5"/>
        <v>68470</v>
      </c>
      <c r="AK39" s="77">
        <f>ROUND(AG39*升级节奏!G39/AJ44,2)</f>
        <v>6.37</v>
      </c>
      <c r="AL39" s="77">
        <f>ROUND(AG39*升级节奏!G39/SUM($AJ$3:AJ44),2)</f>
        <v>0.44</v>
      </c>
      <c r="AM39" s="74">
        <f>ROUND(AG39*升级节奏!G39,0)</f>
        <v>561757</v>
      </c>
      <c r="AN39" s="77">
        <f>ROUND(SUM($AM$3:AM39)/SUM($AJ$3:AJ44),2)</f>
        <v>2.7</v>
      </c>
      <c r="AO39" s="7">
        <f t="shared" si="10"/>
        <v>3083</v>
      </c>
      <c r="AP39" s="7">
        <f t="shared" si="11"/>
        <v>22</v>
      </c>
    </row>
    <row r="40" spans="1:42">
      <c r="A40" s="32">
        <v>38</v>
      </c>
      <c r="B40" s="87">
        <f>升级节奏!D40</f>
        <v>190000</v>
      </c>
      <c r="C40" s="7">
        <f>IF(VLOOKUP(C$2,行为概览!$D$3:$K$33,8,0)="","",VLOOKUP(C$2,行为概览!$D$3:$K$33,8,0)*玩法行为规划!B40)</f>
        <v>0.99990000000000001</v>
      </c>
      <c r="D40" s="7">
        <f>IF(VLOOKUP(D$2,行为概览!$D$3:$K$33,8,0)="","",VLOOKUP(D$2,行为概览!$D$3:$K$33,8,0)*玩法行为规划!C40)</f>
        <v>1.1000000000000001</v>
      </c>
      <c r="E40" s="7" t="str">
        <f>IF(VLOOKUP(E$2,行为概览!$D$3:$K$33,8,0)="","",VLOOKUP(E$2,行为概览!$D$3:$K$33,8,0)*玩法行为规划!D40)</f>
        <v/>
      </c>
      <c r="F40" s="7">
        <f>IF(VLOOKUP(F$2,行为概览!$D$3:$K$33,8,0)="","",VLOOKUP(F$2,行为概览!$D$3:$K$33,8,0)*玩法行为规划!E40)</f>
        <v>0</v>
      </c>
      <c r="G40" s="7">
        <f>IF(VLOOKUP(G$2,行为概览!$D$3:$K$33,8,0)="","",VLOOKUP(G$2,行为概览!$D$3:$K$33,8,0)*玩法行为规划!F40)</f>
        <v>0.66659999999999997</v>
      </c>
      <c r="H40" s="7" t="str">
        <f>IF(VLOOKUP(H$2,行为概览!$D$3:$K$33,8,0)="","",VLOOKUP(H$2,行为概览!$D$3:$K$33,8,0)*玩法行为规划!G40)</f>
        <v/>
      </c>
      <c r="I40" s="7" t="str">
        <f>IF(VLOOKUP(I$2,行为概览!$D$3:$K$33,8,0)="","",VLOOKUP(I$2,行为概览!$D$3:$K$33,8,0)*玩法行为规划!H40)</f>
        <v/>
      </c>
      <c r="J40" s="7" t="str">
        <f>IF(VLOOKUP(J$2,行为概览!$D$3:$K$33,8,0)="","",VLOOKUP(J$2,行为概览!$D$3:$K$33,8,0)*玩法行为规划!I40)</f>
        <v/>
      </c>
      <c r="K40" s="7">
        <f>IF(VLOOKUP(K$2,行为概览!$D$3:$K$33,8,0)="","",VLOOKUP(K$2,行为概览!$D$3:$K$33,8,0)*玩法行为规划!J40)</f>
        <v>1</v>
      </c>
      <c r="L40" s="7" t="str">
        <f>IF(VLOOKUP(L$2,行为概览!$D$3:$K$33,8,0)="","",VLOOKUP(L$2,行为概览!$D$3:$K$33,8,0)*玩法行为规划!K40)</f>
        <v/>
      </c>
      <c r="M40" s="7" t="str">
        <f>IF(VLOOKUP(M$2,行为概览!$D$3:$K$33,8,0)="","",VLOOKUP(M$2,行为概览!$D$3:$K$33,8,0)*玩法行为规划!L40)</f>
        <v/>
      </c>
      <c r="N40" s="7">
        <f>IF(VLOOKUP(N$2,行为概览!$D$3:$K$33,8,0)="","",VLOOKUP(N$2,行为概览!$D$3:$K$33,8,0)*玩法行为规划!M40)</f>
        <v>12</v>
      </c>
      <c r="O40" s="7" t="str">
        <f>IF(VLOOKUP(O$2,行为概览!$D$3:$K$33,8,0)="","",VLOOKUP(O$2,行为概览!$D$3:$K$33,8,0)*玩法行为规划!N40)</f>
        <v/>
      </c>
      <c r="P40" s="7" t="str">
        <f>IF(VLOOKUP(P$2,行为概览!$D$3:$K$33,8,0)="","",VLOOKUP(P$2,行为概览!$D$3:$K$33,8,0)*玩法行为规划!O40)</f>
        <v/>
      </c>
      <c r="Q40" s="7">
        <f>IF(VLOOKUP(Q$2,行为概览!$D$3:$K$33,8,0)="","",VLOOKUP(Q$2,行为概览!$D$3:$K$33,8,0)*玩法行为规划!P40)</f>
        <v>5.2</v>
      </c>
      <c r="R40" s="7" t="str">
        <f>IF(VLOOKUP(R$2,行为概览!$D$3:$K$33,8,0)="","",VLOOKUP(R$2,行为概览!$D$3:$K$33,8,0)*玩法行为规划!Q40)</f>
        <v/>
      </c>
      <c r="S40" s="7">
        <f>IF(VLOOKUP(S$2,行为概览!$D$3:$K$33,8,0)="","",VLOOKUP(S$2,行为概览!$D$3:$K$33,8,0)*玩法行为规划!R40)</f>
        <v>0.49995000000000001</v>
      </c>
      <c r="T40" s="7">
        <f>IF(VLOOKUP(T$2,行为概览!$D$3:$K$33,8,0)="","",VLOOKUP(T$2,行为概览!$D$3:$K$33,8,0)*玩法行为规划!S40)</f>
        <v>0.75</v>
      </c>
      <c r="U40" s="7">
        <f>IF(VLOOKUP(U$2,行为概览!$D$3:$K$33,8,0)="","",VLOOKUP(U$2,行为概览!$D$3:$K$33,8,0)*玩法行为规划!T40)</f>
        <v>0</v>
      </c>
      <c r="V40" s="7">
        <f>IF(VLOOKUP(V$2,行为概览!$D$3:$K$33,8,0)="","",VLOOKUP(V$2,行为概览!$D$3:$K$33,8,0)*玩法行为规划!U40)</f>
        <v>0.33339999999999997</v>
      </c>
      <c r="W40" s="7" t="str">
        <f>IF(VLOOKUP(W$2,行为概览!$D$3:$K$33,8,0)="","",VLOOKUP(W$2,行为概览!$D$3:$K$33,8,0)*玩法行为规划!V40)</f>
        <v/>
      </c>
      <c r="X40" s="7" t="str">
        <f>IF(VLOOKUP(X$2,行为概览!$D$3:$K$33,8,0)="","",VLOOKUP(X$2,行为概览!$D$3:$K$33,8,0)*玩法行为规划!W40)</f>
        <v/>
      </c>
      <c r="Y40" s="7">
        <f>IF(VLOOKUP(Y$2,行为概览!$D$3:$K$33,8,0)="","",VLOOKUP(Y$2,行为概览!$D$3:$K$33,8,0)*玩法行为规划!X40)</f>
        <v>0</v>
      </c>
      <c r="Z40" s="7" t="str">
        <f>IF(VLOOKUP(Z$2,行为概览!$D$3:$K$33,8,0)="","",VLOOKUP(Z$2,行为概览!$D$3:$K$33,8,0)*玩法行为规划!Y40)</f>
        <v/>
      </c>
      <c r="AA40" s="7">
        <f>IF(VLOOKUP(AA$2,行为概览!$D$3:$K$33,8,0)="","",VLOOKUP(AA$2,行为概览!$D$3:$K$33,8,0)*玩法行为规划!Z40)</f>
        <v>0</v>
      </c>
      <c r="AB40" s="7" t="str">
        <f>IF(VLOOKUP(AB$2,行为概览!$D$3:$K$33,8,0)="","",VLOOKUP(AB$2,行为概览!$D$3:$K$33,8,0)*玩法行为规划!AA40)</f>
        <v/>
      </c>
      <c r="AC40" s="7" t="str">
        <f>IF(VLOOKUP(AC$2,行为概览!$D$3:$K$33,8,0)="","",VLOOKUP(AC$2,行为概览!$D$3:$K$33,8,0)*玩法行为规划!AB40)</f>
        <v/>
      </c>
      <c r="AD40" s="7" t="str">
        <f>IF(VLOOKUP(AD$2,行为概览!$D$3:$K$33,8,0)="","",VLOOKUP(AD$2,行为概览!$D$3:$K$33,8,0)*玩法行为规划!AC40)</f>
        <v/>
      </c>
      <c r="AE40" s="7" t="str">
        <f>IF(VLOOKUP(AE$2,行为概览!$D$3:$K$33,8,0)="","",VLOOKUP(AE$2,行为概览!$D$3:$K$33,8,0)*玩法行为规划!AD40)</f>
        <v/>
      </c>
      <c r="AF40" s="7">
        <f t="shared" si="8"/>
        <v>22.549849999999999</v>
      </c>
      <c r="AG40" s="7">
        <f t="shared" si="9"/>
        <v>4284471</v>
      </c>
      <c r="AH40" s="7">
        <f t="shared" si="4"/>
        <v>92470</v>
      </c>
      <c r="AI40" s="10" t="str">
        <f t="shared" si="7"/>
        <v/>
      </c>
      <c r="AJ40" s="73">
        <f t="shared" si="5"/>
        <v>72220</v>
      </c>
      <c r="AK40" s="77">
        <f>ROUND(AG40*升级节奏!G40/AJ45,2)</f>
        <v>6.56</v>
      </c>
      <c r="AL40" s="77">
        <f>ROUND(AG40*升级节奏!G40/SUM($AJ$3:AJ45),2)</f>
        <v>0.44</v>
      </c>
      <c r="AM40" s="74">
        <f>ROUND(AG40*升级节奏!G40,0)</f>
        <v>606395</v>
      </c>
      <c r="AN40" s="77">
        <f>ROUND(SUM($AM$3:AM40)/SUM($AJ$3:AJ45),2)</f>
        <v>2.96</v>
      </c>
      <c r="AO40" s="7">
        <f t="shared" si="10"/>
        <v>3167</v>
      </c>
      <c r="AP40" s="7">
        <f t="shared" si="11"/>
        <v>23</v>
      </c>
    </row>
    <row r="41" spans="1:42">
      <c r="A41" s="32">
        <v>39</v>
      </c>
      <c r="B41" s="87">
        <f>升级节奏!D41</f>
        <v>195000</v>
      </c>
      <c r="C41" s="7">
        <f>IF(VLOOKUP(C$2,行为概览!$D$3:$K$33,8,0)="","",VLOOKUP(C$2,行为概览!$D$3:$K$33,8,0)*玩法行为规划!B41)</f>
        <v>0.99990000000000001</v>
      </c>
      <c r="D41" s="7">
        <f>IF(VLOOKUP(D$2,行为概览!$D$3:$K$33,8,0)="","",VLOOKUP(D$2,行为概览!$D$3:$K$33,8,0)*玩法行为规划!C41)</f>
        <v>1.1000000000000001</v>
      </c>
      <c r="E41" s="7" t="str">
        <f>IF(VLOOKUP(E$2,行为概览!$D$3:$K$33,8,0)="","",VLOOKUP(E$2,行为概览!$D$3:$K$33,8,0)*玩法行为规划!D41)</f>
        <v/>
      </c>
      <c r="F41" s="7">
        <f>IF(VLOOKUP(F$2,行为概览!$D$3:$K$33,8,0)="","",VLOOKUP(F$2,行为概览!$D$3:$K$33,8,0)*玩法行为规划!E41)</f>
        <v>0</v>
      </c>
      <c r="G41" s="7">
        <f>IF(VLOOKUP(G$2,行为概览!$D$3:$K$33,8,0)="","",VLOOKUP(G$2,行为概览!$D$3:$K$33,8,0)*玩法行为规划!F41)</f>
        <v>0.66659999999999997</v>
      </c>
      <c r="H41" s="7" t="str">
        <f>IF(VLOOKUP(H$2,行为概览!$D$3:$K$33,8,0)="","",VLOOKUP(H$2,行为概览!$D$3:$K$33,8,0)*玩法行为规划!G41)</f>
        <v/>
      </c>
      <c r="I41" s="7" t="str">
        <f>IF(VLOOKUP(I$2,行为概览!$D$3:$K$33,8,0)="","",VLOOKUP(I$2,行为概览!$D$3:$K$33,8,0)*玩法行为规划!H41)</f>
        <v/>
      </c>
      <c r="J41" s="7" t="str">
        <f>IF(VLOOKUP(J$2,行为概览!$D$3:$K$33,8,0)="","",VLOOKUP(J$2,行为概览!$D$3:$K$33,8,0)*玩法行为规划!I41)</f>
        <v/>
      </c>
      <c r="K41" s="7">
        <f>IF(VLOOKUP(K$2,行为概览!$D$3:$K$33,8,0)="","",VLOOKUP(K$2,行为概览!$D$3:$K$33,8,0)*玩法行为规划!J41)</f>
        <v>1</v>
      </c>
      <c r="L41" s="7" t="str">
        <f>IF(VLOOKUP(L$2,行为概览!$D$3:$K$33,8,0)="","",VLOOKUP(L$2,行为概览!$D$3:$K$33,8,0)*玩法行为规划!K41)</f>
        <v/>
      </c>
      <c r="M41" s="7" t="str">
        <f>IF(VLOOKUP(M$2,行为概览!$D$3:$K$33,8,0)="","",VLOOKUP(M$2,行为概览!$D$3:$K$33,8,0)*玩法行为规划!L41)</f>
        <v/>
      </c>
      <c r="N41" s="7">
        <f>IF(VLOOKUP(N$2,行为概览!$D$3:$K$33,8,0)="","",VLOOKUP(N$2,行为概览!$D$3:$K$33,8,0)*玩法行为规划!M41)</f>
        <v>12</v>
      </c>
      <c r="O41" s="7" t="str">
        <f>IF(VLOOKUP(O$2,行为概览!$D$3:$K$33,8,0)="","",VLOOKUP(O$2,行为概览!$D$3:$K$33,8,0)*玩法行为规划!N41)</f>
        <v/>
      </c>
      <c r="P41" s="7" t="str">
        <f>IF(VLOOKUP(P$2,行为概览!$D$3:$K$33,8,0)="","",VLOOKUP(P$2,行为概览!$D$3:$K$33,8,0)*玩法行为规划!O41)</f>
        <v/>
      </c>
      <c r="Q41" s="7">
        <f>IF(VLOOKUP(Q$2,行为概览!$D$3:$K$33,8,0)="","",VLOOKUP(Q$2,行为概览!$D$3:$K$33,8,0)*玩法行为规划!P41)</f>
        <v>5.2</v>
      </c>
      <c r="R41" s="7" t="str">
        <f>IF(VLOOKUP(R$2,行为概览!$D$3:$K$33,8,0)="","",VLOOKUP(R$2,行为概览!$D$3:$K$33,8,0)*玩法行为规划!Q41)</f>
        <v/>
      </c>
      <c r="S41" s="7">
        <f>IF(VLOOKUP(S$2,行为概览!$D$3:$K$33,8,0)="","",VLOOKUP(S$2,行为概览!$D$3:$K$33,8,0)*玩法行为规划!R41)</f>
        <v>0.49995000000000001</v>
      </c>
      <c r="T41" s="7">
        <f>IF(VLOOKUP(T$2,行为概览!$D$3:$K$33,8,0)="","",VLOOKUP(T$2,行为概览!$D$3:$K$33,8,0)*玩法行为规划!S41)</f>
        <v>0.75</v>
      </c>
      <c r="U41" s="7">
        <f>IF(VLOOKUP(U$2,行为概览!$D$3:$K$33,8,0)="","",VLOOKUP(U$2,行为概览!$D$3:$K$33,8,0)*玩法行为规划!T41)</f>
        <v>0</v>
      </c>
      <c r="V41" s="7">
        <f>IF(VLOOKUP(V$2,行为概览!$D$3:$K$33,8,0)="","",VLOOKUP(V$2,行为概览!$D$3:$K$33,8,0)*玩法行为规划!U41)</f>
        <v>0.33339999999999997</v>
      </c>
      <c r="W41" s="7" t="str">
        <f>IF(VLOOKUP(W$2,行为概览!$D$3:$K$33,8,0)="","",VLOOKUP(W$2,行为概览!$D$3:$K$33,8,0)*玩法行为规划!V41)</f>
        <v/>
      </c>
      <c r="X41" s="7" t="str">
        <f>IF(VLOOKUP(X$2,行为概览!$D$3:$K$33,8,0)="","",VLOOKUP(X$2,行为概览!$D$3:$K$33,8,0)*玩法行为规划!W41)</f>
        <v/>
      </c>
      <c r="Y41" s="7">
        <f>IF(VLOOKUP(Y$2,行为概览!$D$3:$K$33,8,0)="","",VLOOKUP(Y$2,行为概览!$D$3:$K$33,8,0)*玩法行为规划!X41)</f>
        <v>0</v>
      </c>
      <c r="Z41" s="7" t="str">
        <f>IF(VLOOKUP(Z$2,行为概览!$D$3:$K$33,8,0)="","",VLOOKUP(Z$2,行为概览!$D$3:$K$33,8,0)*玩法行为规划!Y41)</f>
        <v/>
      </c>
      <c r="AA41" s="7">
        <f>IF(VLOOKUP(AA$2,行为概览!$D$3:$K$33,8,0)="","",VLOOKUP(AA$2,行为概览!$D$3:$K$33,8,0)*玩法行为规划!Z41)</f>
        <v>0</v>
      </c>
      <c r="AB41" s="7" t="str">
        <f>IF(VLOOKUP(AB$2,行为概览!$D$3:$K$33,8,0)="","",VLOOKUP(AB$2,行为概览!$D$3:$K$33,8,0)*玩法行为规划!AA41)</f>
        <v/>
      </c>
      <c r="AC41" s="7" t="str">
        <f>IF(VLOOKUP(AC$2,行为概览!$D$3:$K$33,8,0)="","",VLOOKUP(AC$2,行为概览!$D$3:$K$33,8,0)*玩法行为规划!AB41)</f>
        <v/>
      </c>
      <c r="AD41" s="7" t="str">
        <f>IF(VLOOKUP(AD$2,行为概览!$D$3:$K$33,8,0)="","",VLOOKUP(AD$2,行为概览!$D$3:$K$33,8,0)*玩法行为规划!AC41)</f>
        <v/>
      </c>
      <c r="AE41" s="7" t="str">
        <f>IF(VLOOKUP(AE$2,行为概览!$D$3:$K$33,8,0)="","",VLOOKUP(AE$2,行为概览!$D$3:$K$33,8,0)*玩法行为规划!AD41)</f>
        <v/>
      </c>
      <c r="AF41" s="7">
        <f t="shared" si="8"/>
        <v>22.549849999999999</v>
      </c>
      <c r="AG41" s="7">
        <f t="shared" si="9"/>
        <v>4397220</v>
      </c>
      <c r="AH41" s="7">
        <f t="shared" si="4"/>
        <v>96820</v>
      </c>
      <c r="AI41" s="10" t="str">
        <f t="shared" si="7"/>
        <v/>
      </c>
      <c r="AJ41" s="73">
        <f t="shared" si="5"/>
        <v>76070</v>
      </c>
      <c r="AK41" s="77">
        <f>ROUND(AG41*升级节奏!G41/AJ46,2)</f>
        <v>7.98</v>
      </c>
      <c r="AL41" s="77">
        <f>ROUND(AG41*升级节奏!G41/SUM($AJ$3:AJ46),2)</f>
        <v>0.53</v>
      </c>
      <c r="AM41" s="74">
        <f>ROUND(AG41*升级节奏!G41,0)</f>
        <v>772188</v>
      </c>
      <c r="AN41" s="77">
        <f>ROUND(SUM($AM$3:AM41)/SUM($AJ$3:AJ46),2)</f>
        <v>3.29</v>
      </c>
      <c r="AO41" s="7">
        <f t="shared" si="10"/>
        <v>3250</v>
      </c>
      <c r="AP41" s="7">
        <f t="shared" si="11"/>
        <v>23</v>
      </c>
    </row>
    <row r="42" spans="1:42">
      <c r="A42" s="32">
        <v>40</v>
      </c>
      <c r="B42" s="87">
        <f>升级节奏!D42</f>
        <v>200000</v>
      </c>
      <c r="C42" s="7">
        <f>IF(VLOOKUP(C$2,行为概览!$D$3:$K$33,8,0)="","",VLOOKUP(C$2,行为概览!$D$3:$K$33,8,0)*玩法行为规划!B42)</f>
        <v>0.99990000000000001</v>
      </c>
      <c r="D42" s="7">
        <f>IF(VLOOKUP(D$2,行为概览!$D$3:$K$33,8,0)="","",VLOOKUP(D$2,行为概览!$D$3:$K$33,8,0)*玩法行为规划!C42)</f>
        <v>1.1000000000000001</v>
      </c>
      <c r="E42" s="7" t="str">
        <f>IF(VLOOKUP(E$2,行为概览!$D$3:$K$33,8,0)="","",VLOOKUP(E$2,行为概览!$D$3:$K$33,8,0)*玩法行为规划!D42)</f>
        <v/>
      </c>
      <c r="F42" s="7">
        <f>IF(VLOOKUP(F$2,行为概览!$D$3:$K$33,8,0)="","",VLOOKUP(F$2,行为概览!$D$3:$K$33,8,0)*玩法行为规划!E42)</f>
        <v>1.5</v>
      </c>
      <c r="G42" s="7">
        <f>IF(VLOOKUP(G$2,行为概览!$D$3:$K$33,8,0)="","",VLOOKUP(G$2,行为概览!$D$3:$K$33,8,0)*玩法行为规划!F42)</f>
        <v>0.66659999999999997</v>
      </c>
      <c r="H42" s="7" t="str">
        <f>IF(VLOOKUP(H$2,行为概览!$D$3:$K$33,8,0)="","",VLOOKUP(H$2,行为概览!$D$3:$K$33,8,0)*玩法行为规划!G42)</f>
        <v/>
      </c>
      <c r="I42" s="7" t="str">
        <f>IF(VLOOKUP(I$2,行为概览!$D$3:$K$33,8,0)="","",VLOOKUP(I$2,行为概览!$D$3:$K$33,8,0)*玩法行为规划!H42)</f>
        <v/>
      </c>
      <c r="J42" s="7" t="str">
        <f>IF(VLOOKUP(J$2,行为概览!$D$3:$K$33,8,0)="","",VLOOKUP(J$2,行为概览!$D$3:$K$33,8,0)*玩法行为规划!I42)</f>
        <v/>
      </c>
      <c r="K42" s="7">
        <f>IF(VLOOKUP(K$2,行为概览!$D$3:$K$33,8,0)="","",VLOOKUP(K$2,行为概览!$D$3:$K$33,8,0)*玩法行为规划!J42)</f>
        <v>1</v>
      </c>
      <c r="L42" s="7" t="str">
        <f>IF(VLOOKUP(L$2,行为概览!$D$3:$K$33,8,0)="","",VLOOKUP(L$2,行为概览!$D$3:$K$33,8,0)*玩法行为规划!K42)</f>
        <v/>
      </c>
      <c r="M42" s="7" t="str">
        <f>IF(VLOOKUP(M$2,行为概览!$D$3:$K$33,8,0)="","",VLOOKUP(M$2,行为概览!$D$3:$K$33,8,0)*玩法行为规划!L42)</f>
        <v/>
      </c>
      <c r="N42" s="7">
        <f>IF(VLOOKUP(N$2,行为概览!$D$3:$K$33,8,0)="","",VLOOKUP(N$2,行为概览!$D$3:$K$33,8,0)*玩法行为规划!M42)</f>
        <v>12</v>
      </c>
      <c r="O42" s="7" t="str">
        <f>IF(VLOOKUP(O$2,行为概览!$D$3:$K$33,8,0)="","",VLOOKUP(O$2,行为概览!$D$3:$K$33,8,0)*玩法行为规划!N42)</f>
        <v/>
      </c>
      <c r="P42" s="7" t="str">
        <f>IF(VLOOKUP(P$2,行为概览!$D$3:$K$33,8,0)="","",VLOOKUP(P$2,行为概览!$D$3:$K$33,8,0)*玩法行为规划!O42)</f>
        <v/>
      </c>
      <c r="Q42" s="7">
        <f>IF(VLOOKUP(Q$2,行为概览!$D$3:$K$33,8,0)="","",VLOOKUP(Q$2,行为概览!$D$3:$K$33,8,0)*玩法行为规划!P42)</f>
        <v>5.2</v>
      </c>
      <c r="R42" s="7" t="str">
        <f>IF(VLOOKUP(R$2,行为概览!$D$3:$K$33,8,0)="","",VLOOKUP(R$2,行为概览!$D$3:$K$33,8,0)*玩法行为规划!Q42)</f>
        <v/>
      </c>
      <c r="S42" s="7">
        <f>IF(VLOOKUP(S$2,行为概览!$D$3:$K$33,8,0)="","",VLOOKUP(S$2,行为概览!$D$3:$K$33,8,0)*玩法行为规划!R42)</f>
        <v>0.49995000000000001</v>
      </c>
      <c r="T42" s="7">
        <f>IF(VLOOKUP(T$2,行为概览!$D$3:$K$33,8,0)="","",VLOOKUP(T$2,行为概览!$D$3:$K$33,8,0)*玩法行为规划!S42)</f>
        <v>0.75</v>
      </c>
      <c r="U42" s="7">
        <f>IF(VLOOKUP(U$2,行为概览!$D$3:$K$33,8,0)="","",VLOOKUP(U$2,行为概览!$D$3:$K$33,8,0)*玩法行为规划!T42)</f>
        <v>0</v>
      </c>
      <c r="V42" s="7">
        <f>IF(VLOOKUP(V$2,行为概览!$D$3:$K$33,8,0)="","",VLOOKUP(V$2,行为概览!$D$3:$K$33,8,0)*玩法行为规划!U42)</f>
        <v>0.33339999999999997</v>
      </c>
      <c r="W42" s="7" t="str">
        <f>IF(VLOOKUP(W$2,行为概览!$D$3:$K$33,8,0)="","",VLOOKUP(W$2,行为概览!$D$3:$K$33,8,0)*玩法行为规划!V42)</f>
        <v/>
      </c>
      <c r="X42" s="7" t="str">
        <f>IF(VLOOKUP(X$2,行为概览!$D$3:$K$33,8,0)="","",VLOOKUP(X$2,行为概览!$D$3:$K$33,8,0)*玩法行为规划!W42)</f>
        <v/>
      </c>
      <c r="Y42" s="7">
        <f>IF(VLOOKUP(Y$2,行为概览!$D$3:$K$33,8,0)="","",VLOOKUP(Y$2,行为概览!$D$3:$K$33,8,0)*玩法行为规划!X42)</f>
        <v>0.25</v>
      </c>
      <c r="Z42" s="7" t="str">
        <f>IF(VLOOKUP(Z$2,行为概览!$D$3:$K$33,8,0)="","",VLOOKUP(Z$2,行为概览!$D$3:$K$33,8,0)*玩法行为规划!Y42)</f>
        <v/>
      </c>
      <c r="AA42" s="7">
        <f>IF(VLOOKUP(AA$2,行为概览!$D$3:$K$33,8,0)="","",VLOOKUP(AA$2,行为概览!$D$3:$K$33,8,0)*玩法行为规划!Z42)</f>
        <v>8.3349999999999994E-2</v>
      </c>
      <c r="AB42" s="7" t="str">
        <f>IF(VLOOKUP(AB$2,行为概览!$D$3:$K$33,8,0)="","",VLOOKUP(AB$2,行为概览!$D$3:$K$33,8,0)*玩法行为规划!AA42)</f>
        <v/>
      </c>
      <c r="AC42" s="7" t="str">
        <f>IF(VLOOKUP(AC$2,行为概览!$D$3:$K$33,8,0)="","",VLOOKUP(AC$2,行为概览!$D$3:$K$33,8,0)*玩法行为规划!AB42)</f>
        <v/>
      </c>
      <c r="AD42" s="7" t="str">
        <f>IF(VLOOKUP(AD$2,行为概览!$D$3:$K$33,8,0)="","",VLOOKUP(AD$2,行为概览!$D$3:$K$33,8,0)*玩法行为规划!AC42)</f>
        <v/>
      </c>
      <c r="AE42" s="7" t="str">
        <f>IF(VLOOKUP(AE$2,行为概览!$D$3:$K$33,8,0)="","",VLOOKUP(AE$2,行为概览!$D$3:$K$33,8,0)*玩法行为规划!AD42)</f>
        <v/>
      </c>
      <c r="AF42" s="7">
        <f t="shared" si="8"/>
        <v>24.383199999999999</v>
      </c>
      <c r="AG42" s="7">
        <f t="shared" si="9"/>
        <v>4876640</v>
      </c>
      <c r="AH42" s="7">
        <f t="shared" si="4"/>
        <v>101270</v>
      </c>
      <c r="AI42" s="10">
        <f t="shared" si="7"/>
        <v>2013900</v>
      </c>
      <c r="AJ42" s="73">
        <f t="shared" si="5"/>
        <v>80020</v>
      </c>
      <c r="AK42" s="77">
        <f>ROUND(AG42*升级节奏!G42/AJ47,2)</f>
        <v>8.8699999999999992</v>
      </c>
      <c r="AL42" s="77">
        <f>ROUND(AG42*升级节奏!G42/SUM($AJ$3:AJ47),2)</f>
        <v>0.56999999999999995</v>
      </c>
      <c r="AM42" s="74">
        <f>ROUND(AG42*升级节奏!G42,0)</f>
        <v>898115</v>
      </c>
      <c r="AN42" s="77">
        <f>ROUND(SUM($AM$3:AM42)/SUM($AJ$3:AJ47),2)</f>
        <v>3.65</v>
      </c>
      <c r="AO42" s="7">
        <f t="shared" si="10"/>
        <v>3333</v>
      </c>
      <c r="AP42" s="7">
        <f t="shared" si="11"/>
        <v>24</v>
      </c>
    </row>
    <row r="43" spans="1:42">
      <c r="A43" s="32">
        <v>41</v>
      </c>
      <c r="B43" s="87">
        <f>升级节奏!D43</f>
        <v>205000</v>
      </c>
      <c r="C43" s="7">
        <f>IF(VLOOKUP(C$2,行为概览!$D$3:$K$33,8,0)="","",VLOOKUP(C$2,行为概览!$D$3:$K$33,8,0)*玩法行为规划!B43)</f>
        <v>0.99990000000000001</v>
      </c>
      <c r="D43" s="7">
        <f>IF(VLOOKUP(D$2,行为概览!$D$3:$K$33,8,0)="","",VLOOKUP(D$2,行为概览!$D$3:$K$33,8,0)*玩法行为规划!C43)</f>
        <v>1.1000000000000001</v>
      </c>
      <c r="E43" s="7" t="str">
        <f>IF(VLOOKUP(E$2,行为概览!$D$3:$K$33,8,0)="","",VLOOKUP(E$2,行为概览!$D$3:$K$33,8,0)*玩法行为规划!D43)</f>
        <v/>
      </c>
      <c r="F43" s="7">
        <f>IF(VLOOKUP(F$2,行为概览!$D$3:$K$33,8,0)="","",VLOOKUP(F$2,行为概览!$D$3:$K$33,8,0)*玩法行为规划!E43)</f>
        <v>1.5</v>
      </c>
      <c r="G43" s="7">
        <f>IF(VLOOKUP(G$2,行为概览!$D$3:$K$33,8,0)="","",VLOOKUP(G$2,行为概览!$D$3:$K$33,8,0)*玩法行为规划!F43)</f>
        <v>0.66659999999999997</v>
      </c>
      <c r="H43" s="7" t="str">
        <f>IF(VLOOKUP(H$2,行为概览!$D$3:$K$33,8,0)="","",VLOOKUP(H$2,行为概览!$D$3:$K$33,8,0)*玩法行为规划!G43)</f>
        <v/>
      </c>
      <c r="I43" s="7" t="str">
        <f>IF(VLOOKUP(I$2,行为概览!$D$3:$K$33,8,0)="","",VLOOKUP(I$2,行为概览!$D$3:$K$33,8,0)*玩法行为规划!H43)</f>
        <v/>
      </c>
      <c r="J43" s="7" t="str">
        <f>IF(VLOOKUP(J$2,行为概览!$D$3:$K$33,8,0)="","",VLOOKUP(J$2,行为概览!$D$3:$K$33,8,0)*玩法行为规划!I43)</f>
        <v/>
      </c>
      <c r="K43" s="7">
        <f>IF(VLOOKUP(K$2,行为概览!$D$3:$K$33,8,0)="","",VLOOKUP(K$2,行为概览!$D$3:$K$33,8,0)*玩法行为规划!J43)</f>
        <v>1</v>
      </c>
      <c r="L43" s="7" t="str">
        <f>IF(VLOOKUP(L$2,行为概览!$D$3:$K$33,8,0)="","",VLOOKUP(L$2,行为概览!$D$3:$K$33,8,0)*玩法行为规划!K43)</f>
        <v/>
      </c>
      <c r="M43" s="7" t="str">
        <f>IF(VLOOKUP(M$2,行为概览!$D$3:$K$33,8,0)="","",VLOOKUP(M$2,行为概览!$D$3:$K$33,8,0)*玩法行为规划!L43)</f>
        <v/>
      </c>
      <c r="N43" s="7">
        <f>IF(VLOOKUP(N$2,行为概览!$D$3:$K$33,8,0)="","",VLOOKUP(N$2,行为概览!$D$3:$K$33,8,0)*玩法行为规划!M43)</f>
        <v>12</v>
      </c>
      <c r="O43" s="7" t="str">
        <f>IF(VLOOKUP(O$2,行为概览!$D$3:$K$33,8,0)="","",VLOOKUP(O$2,行为概览!$D$3:$K$33,8,0)*玩法行为规划!N43)</f>
        <v/>
      </c>
      <c r="P43" s="7" t="str">
        <f>IF(VLOOKUP(P$2,行为概览!$D$3:$K$33,8,0)="","",VLOOKUP(P$2,行为概览!$D$3:$K$33,8,0)*玩法行为规划!O43)</f>
        <v/>
      </c>
      <c r="Q43" s="7">
        <f>IF(VLOOKUP(Q$2,行为概览!$D$3:$K$33,8,0)="","",VLOOKUP(Q$2,行为概览!$D$3:$K$33,8,0)*玩法行为规划!P43)</f>
        <v>5.2</v>
      </c>
      <c r="R43" s="7" t="str">
        <f>IF(VLOOKUP(R$2,行为概览!$D$3:$K$33,8,0)="","",VLOOKUP(R$2,行为概览!$D$3:$K$33,8,0)*玩法行为规划!Q43)</f>
        <v/>
      </c>
      <c r="S43" s="7">
        <f>IF(VLOOKUP(S$2,行为概览!$D$3:$K$33,8,0)="","",VLOOKUP(S$2,行为概览!$D$3:$K$33,8,0)*玩法行为规划!R43)</f>
        <v>0.49995000000000001</v>
      </c>
      <c r="T43" s="7">
        <f>IF(VLOOKUP(T$2,行为概览!$D$3:$K$33,8,0)="","",VLOOKUP(T$2,行为概览!$D$3:$K$33,8,0)*玩法行为规划!S43)</f>
        <v>0.75</v>
      </c>
      <c r="U43" s="7">
        <f>IF(VLOOKUP(U$2,行为概览!$D$3:$K$33,8,0)="","",VLOOKUP(U$2,行为概览!$D$3:$K$33,8,0)*玩法行为规划!T43)</f>
        <v>0</v>
      </c>
      <c r="V43" s="7">
        <f>IF(VLOOKUP(V$2,行为概览!$D$3:$K$33,8,0)="","",VLOOKUP(V$2,行为概览!$D$3:$K$33,8,0)*玩法行为规划!U43)</f>
        <v>0.33339999999999997</v>
      </c>
      <c r="W43" s="7" t="str">
        <f>IF(VLOOKUP(W$2,行为概览!$D$3:$K$33,8,0)="","",VLOOKUP(W$2,行为概览!$D$3:$K$33,8,0)*玩法行为规划!V43)</f>
        <v/>
      </c>
      <c r="X43" s="7" t="str">
        <f>IF(VLOOKUP(X$2,行为概览!$D$3:$K$33,8,0)="","",VLOOKUP(X$2,行为概览!$D$3:$K$33,8,0)*玩法行为规划!W43)</f>
        <v/>
      </c>
      <c r="Y43" s="7">
        <f>IF(VLOOKUP(Y$2,行为概览!$D$3:$K$33,8,0)="","",VLOOKUP(Y$2,行为概览!$D$3:$K$33,8,0)*玩法行为规划!X43)</f>
        <v>0.25</v>
      </c>
      <c r="Z43" s="7" t="str">
        <f>IF(VLOOKUP(Z$2,行为概览!$D$3:$K$33,8,0)="","",VLOOKUP(Z$2,行为概览!$D$3:$K$33,8,0)*玩法行为规划!Y43)</f>
        <v/>
      </c>
      <c r="AA43" s="7">
        <f>IF(VLOOKUP(AA$2,行为概览!$D$3:$K$33,8,0)="","",VLOOKUP(AA$2,行为概览!$D$3:$K$33,8,0)*玩法行为规划!Z43)</f>
        <v>8.3349999999999994E-2</v>
      </c>
      <c r="AB43" s="7" t="str">
        <f>IF(VLOOKUP(AB$2,行为概览!$D$3:$K$33,8,0)="","",VLOOKUP(AB$2,行为概览!$D$3:$K$33,8,0)*玩法行为规划!AA43)</f>
        <v/>
      </c>
      <c r="AC43" s="7" t="str">
        <f>IF(VLOOKUP(AC$2,行为概览!$D$3:$K$33,8,0)="","",VLOOKUP(AC$2,行为概览!$D$3:$K$33,8,0)*玩法行为规划!AB43)</f>
        <v/>
      </c>
      <c r="AD43" s="7" t="str">
        <f>IF(VLOOKUP(AD$2,行为概览!$D$3:$K$33,8,0)="","",VLOOKUP(AD$2,行为概览!$D$3:$K$33,8,0)*玩法行为规划!AC43)</f>
        <v/>
      </c>
      <c r="AE43" s="7" t="str">
        <f>IF(VLOOKUP(AE$2,行为概览!$D$3:$K$33,8,0)="","",VLOOKUP(AE$2,行为概览!$D$3:$K$33,8,0)*玩法行为规划!AD43)</f>
        <v/>
      </c>
      <c r="AF43" s="7">
        <f t="shared" si="8"/>
        <v>24.383199999999999</v>
      </c>
      <c r="AG43" s="7">
        <f t="shared" si="9"/>
        <v>4998556</v>
      </c>
      <c r="AH43" s="7">
        <f t="shared" si="4"/>
        <v>105820</v>
      </c>
      <c r="AI43" s="10" t="str">
        <f t="shared" si="7"/>
        <v/>
      </c>
      <c r="AJ43" s="73">
        <f t="shared" si="5"/>
        <v>84070</v>
      </c>
      <c r="AK43" s="77">
        <f>ROUND(AG43*升级节奏!G43/AJ48,2)</f>
        <v>9.11</v>
      </c>
      <c r="AL43" s="77">
        <f>ROUND(AG43*升级节奏!G43/SUM($AJ$3:AJ48),2)</f>
        <v>0.57999999999999996</v>
      </c>
      <c r="AM43" s="74">
        <f>ROUND(AG43*升级节奏!G43,0)</f>
        <v>964430</v>
      </c>
      <c r="AN43" s="77">
        <f>ROUND(SUM($AM$3:AM43)/SUM($AJ$3:AJ48),2)</f>
        <v>3.99</v>
      </c>
      <c r="AO43" s="7">
        <f t="shared" si="10"/>
        <v>3417</v>
      </c>
      <c r="AP43" s="7">
        <f t="shared" si="11"/>
        <v>25</v>
      </c>
    </row>
    <row r="44" spans="1:42">
      <c r="A44" s="32">
        <v>42</v>
      </c>
      <c r="B44" s="87">
        <f>升级节奏!D44</f>
        <v>210000</v>
      </c>
      <c r="C44" s="7">
        <f>IF(VLOOKUP(C$2,行为概览!$D$3:$K$33,8,0)="","",VLOOKUP(C$2,行为概览!$D$3:$K$33,8,0)*玩法行为规划!B44)</f>
        <v>0.99990000000000001</v>
      </c>
      <c r="D44" s="7">
        <f>IF(VLOOKUP(D$2,行为概览!$D$3:$K$33,8,0)="","",VLOOKUP(D$2,行为概览!$D$3:$K$33,8,0)*玩法行为规划!C44)</f>
        <v>1.1000000000000001</v>
      </c>
      <c r="E44" s="7" t="str">
        <f>IF(VLOOKUP(E$2,行为概览!$D$3:$K$33,8,0)="","",VLOOKUP(E$2,行为概览!$D$3:$K$33,8,0)*玩法行为规划!D44)</f>
        <v/>
      </c>
      <c r="F44" s="7">
        <f>IF(VLOOKUP(F$2,行为概览!$D$3:$K$33,8,0)="","",VLOOKUP(F$2,行为概览!$D$3:$K$33,8,0)*玩法行为规划!E44)</f>
        <v>1.5</v>
      </c>
      <c r="G44" s="7">
        <f>IF(VLOOKUP(G$2,行为概览!$D$3:$K$33,8,0)="","",VLOOKUP(G$2,行为概览!$D$3:$K$33,8,0)*玩法行为规划!F44)</f>
        <v>0.66659999999999997</v>
      </c>
      <c r="H44" s="7" t="str">
        <f>IF(VLOOKUP(H$2,行为概览!$D$3:$K$33,8,0)="","",VLOOKUP(H$2,行为概览!$D$3:$K$33,8,0)*玩法行为规划!G44)</f>
        <v/>
      </c>
      <c r="I44" s="7" t="str">
        <f>IF(VLOOKUP(I$2,行为概览!$D$3:$K$33,8,0)="","",VLOOKUP(I$2,行为概览!$D$3:$K$33,8,0)*玩法行为规划!H44)</f>
        <v/>
      </c>
      <c r="J44" s="7" t="str">
        <f>IF(VLOOKUP(J$2,行为概览!$D$3:$K$33,8,0)="","",VLOOKUP(J$2,行为概览!$D$3:$K$33,8,0)*玩法行为规划!I44)</f>
        <v/>
      </c>
      <c r="K44" s="7">
        <f>IF(VLOOKUP(K$2,行为概览!$D$3:$K$33,8,0)="","",VLOOKUP(K$2,行为概览!$D$3:$K$33,8,0)*玩法行为规划!J44)</f>
        <v>1</v>
      </c>
      <c r="L44" s="7" t="str">
        <f>IF(VLOOKUP(L$2,行为概览!$D$3:$K$33,8,0)="","",VLOOKUP(L$2,行为概览!$D$3:$K$33,8,0)*玩法行为规划!K44)</f>
        <v/>
      </c>
      <c r="M44" s="7" t="str">
        <f>IF(VLOOKUP(M$2,行为概览!$D$3:$K$33,8,0)="","",VLOOKUP(M$2,行为概览!$D$3:$K$33,8,0)*玩法行为规划!L44)</f>
        <v/>
      </c>
      <c r="N44" s="7">
        <f>IF(VLOOKUP(N$2,行为概览!$D$3:$K$33,8,0)="","",VLOOKUP(N$2,行为概览!$D$3:$K$33,8,0)*玩法行为规划!M44)</f>
        <v>12</v>
      </c>
      <c r="O44" s="7" t="str">
        <f>IF(VLOOKUP(O$2,行为概览!$D$3:$K$33,8,0)="","",VLOOKUP(O$2,行为概览!$D$3:$K$33,8,0)*玩法行为规划!N44)</f>
        <v/>
      </c>
      <c r="P44" s="7" t="str">
        <f>IF(VLOOKUP(P$2,行为概览!$D$3:$K$33,8,0)="","",VLOOKUP(P$2,行为概览!$D$3:$K$33,8,0)*玩法行为规划!O44)</f>
        <v/>
      </c>
      <c r="Q44" s="7">
        <f>IF(VLOOKUP(Q$2,行为概览!$D$3:$K$33,8,0)="","",VLOOKUP(Q$2,行为概览!$D$3:$K$33,8,0)*玩法行为规划!P44)</f>
        <v>5.2</v>
      </c>
      <c r="R44" s="7" t="str">
        <f>IF(VLOOKUP(R$2,行为概览!$D$3:$K$33,8,0)="","",VLOOKUP(R$2,行为概览!$D$3:$K$33,8,0)*玩法行为规划!Q44)</f>
        <v/>
      </c>
      <c r="S44" s="7">
        <f>IF(VLOOKUP(S$2,行为概览!$D$3:$K$33,8,0)="","",VLOOKUP(S$2,行为概览!$D$3:$K$33,8,0)*玩法行为规划!R44)</f>
        <v>0.49995000000000001</v>
      </c>
      <c r="T44" s="7">
        <f>IF(VLOOKUP(T$2,行为概览!$D$3:$K$33,8,0)="","",VLOOKUP(T$2,行为概览!$D$3:$K$33,8,0)*玩法行为规划!S44)</f>
        <v>0.75</v>
      </c>
      <c r="U44" s="7">
        <f>IF(VLOOKUP(U$2,行为概览!$D$3:$K$33,8,0)="","",VLOOKUP(U$2,行为概览!$D$3:$K$33,8,0)*玩法行为规划!T44)</f>
        <v>0</v>
      </c>
      <c r="V44" s="7">
        <f>IF(VLOOKUP(V$2,行为概览!$D$3:$K$33,8,0)="","",VLOOKUP(V$2,行为概览!$D$3:$K$33,8,0)*玩法行为规划!U44)</f>
        <v>0.33339999999999997</v>
      </c>
      <c r="W44" s="7" t="str">
        <f>IF(VLOOKUP(W$2,行为概览!$D$3:$K$33,8,0)="","",VLOOKUP(W$2,行为概览!$D$3:$K$33,8,0)*玩法行为规划!V44)</f>
        <v/>
      </c>
      <c r="X44" s="7" t="str">
        <f>IF(VLOOKUP(X$2,行为概览!$D$3:$K$33,8,0)="","",VLOOKUP(X$2,行为概览!$D$3:$K$33,8,0)*玩法行为规划!W44)</f>
        <v/>
      </c>
      <c r="Y44" s="7">
        <f>IF(VLOOKUP(Y$2,行为概览!$D$3:$K$33,8,0)="","",VLOOKUP(Y$2,行为概览!$D$3:$K$33,8,0)*玩法行为规划!X44)</f>
        <v>0.25</v>
      </c>
      <c r="Z44" s="7" t="str">
        <f>IF(VLOOKUP(Z$2,行为概览!$D$3:$K$33,8,0)="","",VLOOKUP(Z$2,行为概览!$D$3:$K$33,8,0)*玩法行为规划!Y44)</f>
        <v/>
      </c>
      <c r="AA44" s="7">
        <f>IF(VLOOKUP(AA$2,行为概览!$D$3:$K$33,8,0)="","",VLOOKUP(AA$2,行为概览!$D$3:$K$33,8,0)*玩法行为规划!Z44)</f>
        <v>8.3349999999999994E-2</v>
      </c>
      <c r="AB44" s="7" t="str">
        <f>IF(VLOOKUP(AB$2,行为概览!$D$3:$K$33,8,0)="","",VLOOKUP(AB$2,行为概览!$D$3:$K$33,8,0)*玩法行为规划!AA44)</f>
        <v/>
      </c>
      <c r="AC44" s="7" t="str">
        <f>IF(VLOOKUP(AC$2,行为概览!$D$3:$K$33,8,0)="","",VLOOKUP(AC$2,行为概览!$D$3:$K$33,8,0)*玩法行为规划!AB44)</f>
        <v/>
      </c>
      <c r="AD44" s="7" t="str">
        <f>IF(VLOOKUP(AD$2,行为概览!$D$3:$K$33,8,0)="","",VLOOKUP(AD$2,行为概览!$D$3:$K$33,8,0)*玩法行为规划!AC44)</f>
        <v/>
      </c>
      <c r="AE44" s="7" t="str">
        <f>IF(VLOOKUP(AE$2,行为概览!$D$3:$K$33,8,0)="","",VLOOKUP(AE$2,行为概览!$D$3:$K$33,8,0)*玩法行为规划!AD44)</f>
        <v/>
      </c>
      <c r="AF44" s="7">
        <f t="shared" si="8"/>
        <v>24.383199999999999</v>
      </c>
      <c r="AG44" s="7">
        <f t="shared" si="9"/>
        <v>5120472</v>
      </c>
      <c r="AH44" s="7">
        <f t="shared" si="4"/>
        <v>110470</v>
      </c>
      <c r="AI44" s="10" t="str">
        <f t="shared" si="7"/>
        <v/>
      </c>
      <c r="AJ44" s="73">
        <f t="shared" si="5"/>
        <v>88220</v>
      </c>
      <c r="AK44" s="77">
        <f>ROUND(AG44*升级节奏!G44/AJ49,2)</f>
        <v>9.36</v>
      </c>
      <c r="AL44" s="77">
        <f>ROUND(AG44*升级节奏!G44/SUM($AJ$3:AJ49),2)</f>
        <v>0.57999999999999996</v>
      </c>
      <c r="AM44" s="74">
        <f>ROUND(AG44*升级节奏!G44,0)</f>
        <v>1033994</v>
      </c>
      <c r="AN44" s="77">
        <f>ROUND(SUM($AM$3:AM44)/SUM($AJ$3:AJ49),2)</f>
        <v>4.33</v>
      </c>
      <c r="AO44" s="7">
        <f t="shared" si="10"/>
        <v>3500</v>
      </c>
      <c r="AP44" s="7">
        <f t="shared" si="11"/>
        <v>25</v>
      </c>
    </row>
    <row r="45" spans="1:42">
      <c r="A45" s="32">
        <v>43</v>
      </c>
      <c r="B45" s="87">
        <f>升级节奏!D45</f>
        <v>215000</v>
      </c>
      <c r="C45" s="7">
        <f>IF(VLOOKUP(C$2,行为概览!$D$3:$K$33,8,0)="","",VLOOKUP(C$2,行为概览!$D$3:$K$33,8,0)*玩法行为规划!B45)</f>
        <v>0.99990000000000001</v>
      </c>
      <c r="D45" s="7">
        <f>IF(VLOOKUP(D$2,行为概览!$D$3:$K$33,8,0)="","",VLOOKUP(D$2,行为概览!$D$3:$K$33,8,0)*玩法行为规划!C45)</f>
        <v>1.1000000000000001</v>
      </c>
      <c r="E45" s="7" t="str">
        <f>IF(VLOOKUP(E$2,行为概览!$D$3:$K$33,8,0)="","",VLOOKUP(E$2,行为概览!$D$3:$K$33,8,0)*玩法行为规划!D45)</f>
        <v/>
      </c>
      <c r="F45" s="7">
        <f>IF(VLOOKUP(F$2,行为概览!$D$3:$K$33,8,0)="","",VLOOKUP(F$2,行为概览!$D$3:$K$33,8,0)*玩法行为规划!E45)</f>
        <v>1.5</v>
      </c>
      <c r="G45" s="7">
        <f>IF(VLOOKUP(G$2,行为概览!$D$3:$K$33,8,0)="","",VLOOKUP(G$2,行为概览!$D$3:$K$33,8,0)*玩法行为规划!F45)</f>
        <v>0.66659999999999997</v>
      </c>
      <c r="H45" s="7" t="str">
        <f>IF(VLOOKUP(H$2,行为概览!$D$3:$K$33,8,0)="","",VLOOKUP(H$2,行为概览!$D$3:$K$33,8,0)*玩法行为规划!G45)</f>
        <v/>
      </c>
      <c r="I45" s="7" t="str">
        <f>IF(VLOOKUP(I$2,行为概览!$D$3:$K$33,8,0)="","",VLOOKUP(I$2,行为概览!$D$3:$K$33,8,0)*玩法行为规划!H45)</f>
        <v/>
      </c>
      <c r="J45" s="7" t="str">
        <f>IF(VLOOKUP(J$2,行为概览!$D$3:$K$33,8,0)="","",VLOOKUP(J$2,行为概览!$D$3:$K$33,8,0)*玩法行为规划!I45)</f>
        <v/>
      </c>
      <c r="K45" s="7">
        <f>IF(VLOOKUP(K$2,行为概览!$D$3:$K$33,8,0)="","",VLOOKUP(K$2,行为概览!$D$3:$K$33,8,0)*玩法行为规划!J45)</f>
        <v>1</v>
      </c>
      <c r="L45" s="7" t="str">
        <f>IF(VLOOKUP(L$2,行为概览!$D$3:$K$33,8,0)="","",VLOOKUP(L$2,行为概览!$D$3:$K$33,8,0)*玩法行为规划!K45)</f>
        <v/>
      </c>
      <c r="M45" s="7" t="str">
        <f>IF(VLOOKUP(M$2,行为概览!$D$3:$K$33,8,0)="","",VLOOKUP(M$2,行为概览!$D$3:$K$33,8,0)*玩法行为规划!L45)</f>
        <v/>
      </c>
      <c r="N45" s="7">
        <f>IF(VLOOKUP(N$2,行为概览!$D$3:$K$33,8,0)="","",VLOOKUP(N$2,行为概览!$D$3:$K$33,8,0)*玩法行为规划!M45)</f>
        <v>12</v>
      </c>
      <c r="O45" s="7" t="str">
        <f>IF(VLOOKUP(O$2,行为概览!$D$3:$K$33,8,0)="","",VLOOKUP(O$2,行为概览!$D$3:$K$33,8,0)*玩法行为规划!N45)</f>
        <v/>
      </c>
      <c r="P45" s="7" t="str">
        <f>IF(VLOOKUP(P$2,行为概览!$D$3:$K$33,8,0)="","",VLOOKUP(P$2,行为概览!$D$3:$K$33,8,0)*玩法行为规划!O45)</f>
        <v/>
      </c>
      <c r="Q45" s="7">
        <f>IF(VLOOKUP(Q$2,行为概览!$D$3:$K$33,8,0)="","",VLOOKUP(Q$2,行为概览!$D$3:$K$33,8,0)*玩法行为规划!P45)</f>
        <v>5.2</v>
      </c>
      <c r="R45" s="7" t="str">
        <f>IF(VLOOKUP(R$2,行为概览!$D$3:$K$33,8,0)="","",VLOOKUP(R$2,行为概览!$D$3:$K$33,8,0)*玩法行为规划!Q45)</f>
        <v/>
      </c>
      <c r="S45" s="7">
        <f>IF(VLOOKUP(S$2,行为概览!$D$3:$K$33,8,0)="","",VLOOKUP(S$2,行为概览!$D$3:$K$33,8,0)*玩法行为规划!R45)</f>
        <v>0.49995000000000001</v>
      </c>
      <c r="T45" s="7">
        <f>IF(VLOOKUP(T$2,行为概览!$D$3:$K$33,8,0)="","",VLOOKUP(T$2,行为概览!$D$3:$K$33,8,0)*玩法行为规划!S45)</f>
        <v>0.75</v>
      </c>
      <c r="U45" s="7">
        <f>IF(VLOOKUP(U$2,行为概览!$D$3:$K$33,8,0)="","",VLOOKUP(U$2,行为概览!$D$3:$K$33,8,0)*玩法行为规划!T45)</f>
        <v>0</v>
      </c>
      <c r="V45" s="7">
        <f>IF(VLOOKUP(V$2,行为概览!$D$3:$K$33,8,0)="","",VLOOKUP(V$2,行为概览!$D$3:$K$33,8,0)*玩法行为规划!U45)</f>
        <v>0.33339999999999997</v>
      </c>
      <c r="W45" s="7" t="str">
        <f>IF(VLOOKUP(W$2,行为概览!$D$3:$K$33,8,0)="","",VLOOKUP(W$2,行为概览!$D$3:$K$33,8,0)*玩法行为规划!V45)</f>
        <v/>
      </c>
      <c r="X45" s="7" t="str">
        <f>IF(VLOOKUP(X$2,行为概览!$D$3:$K$33,8,0)="","",VLOOKUP(X$2,行为概览!$D$3:$K$33,8,0)*玩法行为规划!W45)</f>
        <v/>
      </c>
      <c r="Y45" s="7">
        <f>IF(VLOOKUP(Y$2,行为概览!$D$3:$K$33,8,0)="","",VLOOKUP(Y$2,行为概览!$D$3:$K$33,8,0)*玩法行为规划!X45)</f>
        <v>0.25</v>
      </c>
      <c r="Z45" s="7" t="str">
        <f>IF(VLOOKUP(Z$2,行为概览!$D$3:$K$33,8,0)="","",VLOOKUP(Z$2,行为概览!$D$3:$K$33,8,0)*玩法行为规划!Y45)</f>
        <v/>
      </c>
      <c r="AA45" s="7">
        <f>IF(VLOOKUP(AA$2,行为概览!$D$3:$K$33,8,0)="","",VLOOKUP(AA$2,行为概览!$D$3:$K$33,8,0)*玩法行为规划!Z45)</f>
        <v>8.3349999999999994E-2</v>
      </c>
      <c r="AB45" s="7" t="str">
        <f>IF(VLOOKUP(AB$2,行为概览!$D$3:$K$33,8,0)="","",VLOOKUP(AB$2,行为概览!$D$3:$K$33,8,0)*玩法行为规划!AA45)</f>
        <v/>
      </c>
      <c r="AC45" s="7" t="str">
        <f>IF(VLOOKUP(AC$2,行为概览!$D$3:$K$33,8,0)="","",VLOOKUP(AC$2,行为概览!$D$3:$K$33,8,0)*玩法行为规划!AB45)</f>
        <v/>
      </c>
      <c r="AD45" s="7" t="str">
        <f>IF(VLOOKUP(AD$2,行为概览!$D$3:$K$33,8,0)="","",VLOOKUP(AD$2,行为概览!$D$3:$K$33,8,0)*玩法行为规划!AC45)</f>
        <v/>
      </c>
      <c r="AE45" s="7" t="str">
        <f>IF(VLOOKUP(AE$2,行为概览!$D$3:$K$33,8,0)="","",VLOOKUP(AE$2,行为概览!$D$3:$K$33,8,0)*玩法行为规划!AD45)</f>
        <v/>
      </c>
      <c r="AF45" s="7">
        <f t="shared" si="8"/>
        <v>24.383199999999999</v>
      </c>
      <c r="AG45" s="7">
        <f t="shared" si="9"/>
        <v>5242388</v>
      </c>
      <c r="AH45" s="7">
        <f t="shared" si="4"/>
        <v>115220</v>
      </c>
      <c r="AI45" s="10" t="str">
        <f t="shared" si="7"/>
        <v/>
      </c>
      <c r="AJ45" s="73">
        <f t="shared" si="5"/>
        <v>92470</v>
      </c>
      <c r="AK45" s="77">
        <f>ROUND(AG45*升级节奏!G45/AJ50,2)</f>
        <v>9.61</v>
      </c>
      <c r="AL45" s="77">
        <f>ROUND(AG45*升级节奏!G45/SUM($AJ$3:AJ50),2)</f>
        <v>0.57999999999999996</v>
      </c>
      <c r="AM45" s="74">
        <f>ROUND(AG45*升级节奏!G45,0)</f>
        <v>1106887</v>
      </c>
      <c r="AN45" s="77">
        <f>ROUND(SUM($AM$3:AM45)/SUM($AJ$3:AJ50),2)</f>
        <v>4.6399999999999997</v>
      </c>
      <c r="AO45" s="7">
        <f t="shared" si="10"/>
        <v>3583</v>
      </c>
      <c r="AP45" s="7">
        <f t="shared" si="11"/>
        <v>26</v>
      </c>
    </row>
    <row r="46" spans="1:42">
      <c r="A46" s="32">
        <v>44</v>
      </c>
      <c r="B46" s="87">
        <f>升级节奏!D46</f>
        <v>220000</v>
      </c>
      <c r="C46" s="7">
        <f>IF(VLOOKUP(C$2,行为概览!$D$3:$K$33,8,0)="","",VLOOKUP(C$2,行为概览!$D$3:$K$33,8,0)*玩法行为规划!B46)</f>
        <v>0.99990000000000001</v>
      </c>
      <c r="D46" s="7">
        <f>IF(VLOOKUP(D$2,行为概览!$D$3:$K$33,8,0)="","",VLOOKUP(D$2,行为概览!$D$3:$K$33,8,0)*玩法行为规划!C46)</f>
        <v>1.1000000000000001</v>
      </c>
      <c r="E46" s="7" t="str">
        <f>IF(VLOOKUP(E$2,行为概览!$D$3:$K$33,8,0)="","",VLOOKUP(E$2,行为概览!$D$3:$K$33,8,0)*玩法行为规划!D46)</f>
        <v/>
      </c>
      <c r="F46" s="7">
        <f>IF(VLOOKUP(F$2,行为概览!$D$3:$K$33,8,0)="","",VLOOKUP(F$2,行为概览!$D$3:$K$33,8,0)*玩法行为规划!E46)</f>
        <v>1.5</v>
      </c>
      <c r="G46" s="7">
        <f>IF(VLOOKUP(G$2,行为概览!$D$3:$K$33,8,0)="","",VLOOKUP(G$2,行为概览!$D$3:$K$33,8,0)*玩法行为规划!F46)</f>
        <v>0.66659999999999997</v>
      </c>
      <c r="H46" s="7" t="str">
        <f>IF(VLOOKUP(H$2,行为概览!$D$3:$K$33,8,0)="","",VLOOKUP(H$2,行为概览!$D$3:$K$33,8,0)*玩法行为规划!G46)</f>
        <v/>
      </c>
      <c r="I46" s="7" t="str">
        <f>IF(VLOOKUP(I$2,行为概览!$D$3:$K$33,8,0)="","",VLOOKUP(I$2,行为概览!$D$3:$K$33,8,0)*玩法行为规划!H46)</f>
        <v/>
      </c>
      <c r="J46" s="7" t="str">
        <f>IF(VLOOKUP(J$2,行为概览!$D$3:$K$33,8,0)="","",VLOOKUP(J$2,行为概览!$D$3:$K$33,8,0)*玩法行为规划!I46)</f>
        <v/>
      </c>
      <c r="K46" s="7">
        <f>IF(VLOOKUP(K$2,行为概览!$D$3:$K$33,8,0)="","",VLOOKUP(K$2,行为概览!$D$3:$K$33,8,0)*玩法行为规划!J46)</f>
        <v>1</v>
      </c>
      <c r="L46" s="7" t="str">
        <f>IF(VLOOKUP(L$2,行为概览!$D$3:$K$33,8,0)="","",VLOOKUP(L$2,行为概览!$D$3:$K$33,8,0)*玩法行为规划!K46)</f>
        <v/>
      </c>
      <c r="M46" s="7" t="str">
        <f>IF(VLOOKUP(M$2,行为概览!$D$3:$K$33,8,0)="","",VLOOKUP(M$2,行为概览!$D$3:$K$33,8,0)*玩法行为规划!L46)</f>
        <v/>
      </c>
      <c r="N46" s="7">
        <f>IF(VLOOKUP(N$2,行为概览!$D$3:$K$33,8,0)="","",VLOOKUP(N$2,行为概览!$D$3:$K$33,8,0)*玩法行为规划!M46)</f>
        <v>12</v>
      </c>
      <c r="O46" s="7" t="str">
        <f>IF(VLOOKUP(O$2,行为概览!$D$3:$K$33,8,0)="","",VLOOKUP(O$2,行为概览!$D$3:$K$33,8,0)*玩法行为规划!N46)</f>
        <v/>
      </c>
      <c r="P46" s="7" t="str">
        <f>IF(VLOOKUP(P$2,行为概览!$D$3:$K$33,8,0)="","",VLOOKUP(P$2,行为概览!$D$3:$K$33,8,0)*玩法行为规划!O46)</f>
        <v/>
      </c>
      <c r="Q46" s="7">
        <f>IF(VLOOKUP(Q$2,行为概览!$D$3:$K$33,8,0)="","",VLOOKUP(Q$2,行为概览!$D$3:$K$33,8,0)*玩法行为规划!P46)</f>
        <v>5.2</v>
      </c>
      <c r="R46" s="7" t="str">
        <f>IF(VLOOKUP(R$2,行为概览!$D$3:$K$33,8,0)="","",VLOOKUP(R$2,行为概览!$D$3:$K$33,8,0)*玩法行为规划!Q46)</f>
        <v/>
      </c>
      <c r="S46" s="7">
        <f>IF(VLOOKUP(S$2,行为概览!$D$3:$K$33,8,0)="","",VLOOKUP(S$2,行为概览!$D$3:$K$33,8,0)*玩法行为规划!R46)</f>
        <v>0.49995000000000001</v>
      </c>
      <c r="T46" s="7">
        <f>IF(VLOOKUP(T$2,行为概览!$D$3:$K$33,8,0)="","",VLOOKUP(T$2,行为概览!$D$3:$K$33,8,0)*玩法行为规划!S46)</f>
        <v>0.75</v>
      </c>
      <c r="U46" s="7">
        <f>IF(VLOOKUP(U$2,行为概览!$D$3:$K$33,8,0)="","",VLOOKUP(U$2,行为概览!$D$3:$K$33,8,0)*玩法行为规划!T46)</f>
        <v>0</v>
      </c>
      <c r="V46" s="7">
        <f>IF(VLOOKUP(V$2,行为概览!$D$3:$K$33,8,0)="","",VLOOKUP(V$2,行为概览!$D$3:$K$33,8,0)*玩法行为规划!U46)</f>
        <v>0.33339999999999997</v>
      </c>
      <c r="W46" s="7" t="str">
        <f>IF(VLOOKUP(W$2,行为概览!$D$3:$K$33,8,0)="","",VLOOKUP(W$2,行为概览!$D$3:$K$33,8,0)*玩法行为规划!V46)</f>
        <v/>
      </c>
      <c r="X46" s="7" t="str">
        <f>IF(VLOOKUP(X$2,行为概览!$D$3:$K$33,8,0)="","",VLOOKUP(X$2,行为概览!$D$3:$K$33,8,0)*玩法行为规划!W46)</f>
        <v/>
      </c>
      <c r="Y46" s="7">
        <f>IF(VLOOKUP(Y$2,行为概览!$D$3:$K$33,8,0)="","",VLOOKUP(Y$2,行为概览!$D$3:$K$33,8,0)*玩法行为规划!X46)</f>
        <v>0.25</v>
      </c>
      <c r="Z46" s="7" t="str">
        <f>IF(VLOOKUP(Z$2,行为概览!$D$3:$K$33,8,0)="","",VLOOKUP(Z$2,行为概览!$D$3:$K$33,8,0)*玩法行为规划!Y46)</f>
        <v/>
      </c>
      <c r="AA46" s="7">
        <f>IF(VLOOKUP(AA$2,行为概览!$D$3:$K$33,8,0)="","",VLOOKUP(AA$2,行为概览!$D$3:$K$33,8,0)*玩法行为规划!Z46)</f>
        <v>8.3349999999999994E-2</v>
      </c>
      <c r="AB46" s="7" t="str">
        <f>IF(VLOOKUP(AB$2,行为概览!$D$3:$K$33,8,0)="","",VLOOKUP(AB$2,行为概览!$D$3:$K$33,8,0)*玩法行为规划!AA46)</f>
        <v/>
      </c>
      <c r="AC46" s="7" t="str">
        <f>IF(VLOOKUP(AC$2,行为概览!$D$3:$K$33,8,0)="","",VLOOKUP(AC$2,行为概览!$D$3:$K$33,8,0)*玩法行为规划!AB46)</f>
        <v/>
      </c>
      <c r="AD46" s="7" t="str">
        <f>IF(VLOOKUP(AD$2,行为概览!$D$3:$K$33,8,0)="","",VLOOKUP(AD$2,行为概览!$D$3:$K$33,8,0)*玩法行为规划!AC46)</f>
        <v/>
      </c>
      <c r="AE46" s="7" t="str">
        <f>IF(VLOOKUP(AE$2,行为概览!$D$3:$K$33,8,0)="","",VLOOKUP(AE$2,行为概览!$D$3:$K$33,8,0)*玩法行为规划!AD46)</f>
        <v/>
      </c>
      <c r="AF46" s="7">
        <f t="shared" si="8"/>
        <v>24.383199999999999</v>
      </c>
      <c r="AG46" s="7">
        <f t="shared" si="9"/>
        <v>5364304</v>
      </c>
      <c r="AH46" s="7">
        <f t="shared" si="4"/>
        <v>120070</v>
      </c>
      <c r="AI46" s="10" t="str">
        <f t="shared" si="7"/>
        <v/>
      </c>
      <c r="AJ46" s="73">
        <f t="shared" si="5"/>
        <v>96820</v>
      </c>
      <c r="AK46" s="77">
        <f>ROUND(AG46*升级节奏!G46/AJ51,2)</f>
        <v>11.37</v>
      </c>
      <c r="AL46" s="77">
        <f>ROUND(AG46*升级节奏!G46/SUM($AJ$3:AJ51),2)</f>
        <v>0.68</v>
      </c>
      <c r="AM46" s="74">
        <f>ROUND(AG46*升级节奏!G46,0)</f>
        <v>1365215</v>
      </c>
      <c r="AN46" s="77">
        <f>ROUND(SUM($AM$3:AM46)/SUM($AJ$3:AJ51),2)</f>
        <v>5.04</v>
      </c>
      <c r="AO46" s="7">
        <f t="shared" si="10"/>
        <v>3667</v>
      </c>
      <c r="AP46" s="7">
        <f t="shared" si="11"/>
        <v>26</v>
      </c>
    </row>
    <row r="47" spans="1:42">
      <c r="A47" s="32">
        <v>45</v>
      </c>
      <c r="B47" s="87">
        <f>升级节奏!D47</f>
        <v>225000</v>
      </c>
      <c r="C47" s="7">
        <f>IF(VLOOKUP(C$2,行为概览!$D$3:$K$33,8,0)="","",VLOOKUP(C$2,行为概览!$D$3:$K$33,8,0)*玩法行为规划!B47)</f>
        <v>0.99990000000000001</v>
      </c>
      <c r="D47" s="7">
        <f>IF(VLOOKUP(D$2,行为概览!$D$3:$K$33,8,0)="","",VLOOKUP(D$2,行为概览!$D$3:$K$33,8,0)*玩法行为规划!C47)</f>
        <v>1.1000000000000001</v>
      </c>
      <c r="E47" s="7" t="str">
        <f>IF(VLOOKUP(E$2,行为概览!$D$3:$K$33,8,0)="","",VLOOKUP(E$2,行为概览!$D$3:$K$33,8,0)*玩法行为规划!D47)</f>
        <v/>
      </c>
      <c r="F47" s="7">
        <f>IF(VLOOKUP(F$2,行为概览!$D$3:$K$33,8,0)="","",VLOOKUP(F$2,行为概览!$D$3:$K$33,8,0)*玩法行为规划!E47)</f>
        <v>1.5</v>
      </c>
      <c r="G47" s="7">
        <f>IF(VLOOKUP(G$2,行为概览!$D$3:$K$33,8,0)="","",VLOOKUP(G$2,行为概览!$D$3:$K$33,8,0)*玩法行为规划!F47)</f>
        <v>0.66659999999999997</v>
      </c>
      <c r="H47" s="7" t="str">
        <f>IF(VLOOKUP(H$2,行为概览!$D$3:$K$33,8,0)="","",VLOOKUP(H$2,行为概览!$D$3:$K$33,8,0)*玩法行为规划!G47)</f>
        <v/>
      </c>
      <c r="I47" s="7" t="str">
        <f>IF(VLOOKUP(I$2,行为概览!$D$3:$K$33,8,0)="","",VLOOKUP(I$2,行为概览!$D$3:$K$33,8,0)*玩法行为规划!H47)</f>
        <v/>
      </c>
      <c r="J47" s="7" t="str">
        <f>IF(VLOOKUP(J$2,行为概览!$D$3:$K$33,8,0)="","",VLOOKUP(J$2,行为概览!$D$3:$K$33,8,0)*玩法行为规划!I47)</f>
        <v/>
      </c>
      <c r="K47" s="7">
        <f>IF(VLOOKUP(K$2,行为概览!$D$3:$K$33,8,0)="","",VLOOKUP(K$2,行为概览!$D$3:$K$33,8,0)*玩法行为规划!J47)</f>
        <v>1</v>
      </c>
      <c r="L47" s="7" t="str">
        <f>IF(VLOOKUP(L$2,行为概览!$D$3:$K$33,8,0)="","",VLOOKUP(L$2,行为概览!$D$3:$K$33,8,0)*玩法行为规划!K47)</f>
        <v/>
      </c>
      <c r="M47" s="7" t="str">
        <f>IF(VLOOKUP(M$2,行为概览!$D$3:$K$33,8,0)="","",VLOOKUP(M$2,行为概览!$D$3:$K$33,8,0)*玩法行为规划!L47)</f>
        <v/>
      </c>
      <c r="N47" s="7">
        <f>IF(VLOOKUP(N$2,行为概览!$D$3:$K$33,8,0)="","",VLOOKUP(N$2,行为概览!$D$3:$K$33,8,0)*玩法行为规划!M47)</f>
        <v>12</v>
      </c>
      <c r="O47" s="7" t="str">
        <f>IF(VLOOKUP(O$2,行为概览!$D$3:$K$33,8,0)="","",VLOOKUP(O$2,行为概览!$D$3:$K$33,8,0)*玩法行为规划!N47)</f>
        <v/>
      </c>
      <c r="P47" s="7" t="str">
        <f>IF(VLOOKUP(P$2,行为概览!$D$3:$K$33,8,0)="","",VLOOKUP(P$2,行为概览!$D$3:$K$33,8,0)*玩法行为规划!O47)</f>
        <v/>
      </c>
      <c r="Q47" s="7">
        <f>IF(VLOOKUP(Q$2,行为概览!$D$3:$K$33,8,0)="","",VLOOKUP(Q$2,行为概览!$D$3:$K$33,8,0)*玩法行为规划!P47)</f>
        <v>5.2</v>
      </c>
      <c r="R47" s="7" t="str">
        <f>IF(VLOOKUP(R$2,行为概览!$D$3:$K$33,8,0)="","",VLOOKUP(R$2,行为概览!$D$3:$K$33,8,0)*玩法行为规划!Q47)</f>
        <v/>
      </c>
      <c r="S47" s="7">
        <f>IF(VLOOKUP(S$2,行为概览!$D$3:$K$33,8,0)="","",VLOOKUP(S$2,行为概览!$D$3:$K$33,8,0)*玩法行为规划!R47)</f>
        <v>0.49995000000000001</v>
      </c>
      <c r="T47" s="7">
        <f>IF(VLOOKUP(T$2,行为概览!$D$3:$K$33,8,0)="","",VLOOKUP(T$2,行为概览!$D$3:$K$33,8,0)*玩法行为规划!S47)</f>
        <v>0.75</v>
      </c>
      <c r="U47" s="7">
        <f>IF(VLOOKUP(U$2,行为概览!$D$3:$K$33,8,0)="","",VLOOKUP(U$2,行为概览!$D$3:$K$33,8,0)*玩法行为规划!T47)</f>
        <v>0</v>
      </c>
      <c r="V47" s="7">
        <f>IF(VLOOKUP(V$2,行为概览!$D$3:$K$33,8,0)="","",VLOOKUP(V$2,行为概览!$D$3:$K$33,8,0)*玩法行为规划!U47)</f>
        <v>0.33339999999999997</v>
      </c>
      <c r="W47" s="7" t="str">
        <f>IF(VLOOKUP(W$2,行为概览!$D$3:$K$33,8,0)="","",VLOOKUP(W$2,行为概览!$D$3:$K$33,8,0)*玩法行为规划!V47)</f>
        <v/>
      </c>
      <c r="X47" s="7" t="str">
        <f>IF(VLOOKUP(X$2,行为概览!$D$3:$K$33,8,0)="","",VLOOKUP(X$2,行为概览!$D$3:$K$33,8,0)*玩法行为规划!W47)</f>
        <v/>
      </c>
      <c r="Y47" s="7">
        <f>IF(VLOOKUP(Y$2,行为概览!$D$3:$K$33,8,0)="","",VLOOKUP(Y$2,行为概览!$D$3:$K$33,8,0)*玩法行为规划!X47)</f>
        <v>0.25</v>
      </c>
      <c r="Z47" s="7" t="str">
        <f>IF(VLOOKUP(Z$2,行为概览!$D$3:$K$33,8,0)="","",VLOOKUP(Z$2,行为概览!$D$3:$K$33,8,0)*玩法行为规划!Y47)</f>
        <v/>
      </c>
      <c r="AA47" s="7">
        <f>IF(VLOOKUP(AA$2,行为概览!$D$3:$K$33,8,0)="","",VLOOKUP(AA$2,行为概览!$D$3:$K$33,8,0)*玩法行为规划!Z47)</f>
        <v>8.3349999999999994E-2</v>
      </c>
      <c r="AB47" s="7" t="str">
        <f>IF(VLOOKUP(AB$2,行为概览!$D$3:$K$33,8,0)="","",VLOOKUP(AB$2,行为概览!$D$3:$K$33,8,0)*玩法行为规划!AA47)</f>
        <v/>
      </c>
      <c r="AC47" s="7" t="str">
        <f>IF(VLOOKUP(AC$2,行为概览!$D$3:$K$33,8,0)="","",VLOOKUP(AC$2,行为概览!$D$3:$K$33,8,0)*玩法行为规划!AB47)</f>
        <v/>
      </c>
      <c r="AD47" s="7" t="str">
        <f>IF(VLOOKUP(AD$2,行为概览!$D$3:$K$33,8,0)="","",VLOOKUP(AD$2,行为概览!$D$3:$K$33,8,0)*玩法行为规划!AC47)</f>
        <v/>
      </c>
      <c r="AE47" s="7" t="str">
        <f>IF(VLOOKUP(AE$2,行为概览!$D$3:$K$33,8,0)="","",VLOOKUP(AE$2,行为概览!$D$3:$K$33,8,0)*玩法行为规划!AD47)</f>
        <v/>
      </c>
      <c r="AF47" s="7">
        <f t="shared" si="8"/>
        <v>24.383199999999999</v>
      </c>
      <c r="AG47" s="7">
        <f t="shared" si="9"/>
        <v>5486220</v>
      </c>
      <c r="AH47" s="7">
        <f t="shared" si="4"/>
        <v>125020</v>
      </c>
      <c r="AI47" s="10" t="str">
        <f t="shared" si="7"/>
        <v/>
      </c>
      <c r="AJ47" s="73">
        <f t="shared" si="5"/>
        <v>101270</v>
      </c>
      <c r="AK47" s="77">
        <f>ROUND(AG47*升级节奏!G47/AJ52,2)</f>
        <v>11.66</v>
      </c>
      <c r="AL47" s="77">
        <f>ROUND(AG47*升级节奏!G47/SUM($AJ$3:AJ52),2)</f>
        <v>0.68</v>
      </c>
      <c r="AM47" s="74">
        <f>ROUND(AG47*升级节奏!G47,0)</f>
        <v>1457277</v>
      </c>
      <c r="AN47" s="77">
        <f>ROUND(SUM($AM$3:AM47)/SUM($AJ$3:AJ52),2)</f>
        <v>5.43</v>
      </c>
      <c r="AO47" s="7">
        <f t="shared" si="10"/>
        <v>3750</v>
      </c>
      <c r="AP47" s="7">
        <f t="shared" si="11"/>
        <v>27</v>
      </c>
    </row>
    <row r="48" spans="1:42">
      <c r="A48" s="32">
        <v>46</v>
      </c>
      <c r="B48" s="87">
        <f>升级节奏!D48</f>
        <v>230000</v>
      </c>
      <c r="C48" s="7">
        <f>IF(VLOOKUP(C$2,行为概览!$D$3:$K$33,8,0)="","",VLOOKUP(C$2,行为概览!$D$3:$K$33,8,0)*玩法行为规划!B48)</f>
        <v>0.99990000000000001</v>
      </c>
      <c r="D48" s="7">
        <f>IF(VLOOKUP(D$2,行为概览!$D$3:$K$33,8,0)="","",VLOOKUP(D$2,行为概览!$D$3:$K$33,8,0)*玩法行为规划!C48)</f>
        <v>1.1000000000000001</v>
      </c>
      <c r="E48" s="7" t="str">
        <f>IF(VLOOKUP(E$2,行为概览!$D$3:$K$33,8,0)="","",VLOOKUP(E$2,行为概览!$D$3:$K$33,8,0)*玩法行为规划!D48)</f>
        <v/>
      </c>
      <c r="F48" s="7">
        <f>IF(VLOOKUP(F$2,行为概览!$D$3:$K$33,8,0)="","",VLOOKUP(F$2,行为概览!$D$3:$K$33,8,0)*玩法行为规划!E48)</f>
        <v>1.5</v>
      </c>
      <c r="G48" s="7">
        <f>IF(VLOOKUP(G$2,行为概览!$D$3:$K$33,8,0)="","",VLOOKUP(G$2,行为概览!$D$3:$K$33,8,0)*玩法行为规划!F48)</f>
        <v>0.66659999999999997</v>
      </c>
      <c r="H48" s="7" t="str">
        <f>IF(VLOOKUP(H$2,行为概览!$D$3:$K$33,8,0)="","",VLOOKUP(H$2,行为概览!$D$3:$K$33,8,0)*玩法行为规划!G48)</f>
        <v/>
      </c>
      <c r="I48" s="7" t="str">
        <f>IF(VLOOKUP(I$2,行为概览!$D$3:$K$33,8,0)="","",VLOOKUP(I$2,行为概览!$D$3:$K$33,8,0)*玩法行为规划!H48)</f>
        <v/>
      </c>
      <c r="J48" s="7" t="str">
        <f>IF(VLOOKUP(J$2,行为概览!$D$3:$K$33,8,0)="","",VLOOKUP(J$2,行为概览!$D$3:$K$33,8,0)*玩法行为规划!I48)</f>
        <v/>
      </c>
      <c r="K48" s="7">
        <f>IF(VLOOKUP(K$2,行为概览!$D$3:$K$33,8,0)="","",VLOOKUP(K$2,行为概览!$D$3:$K$33,8,0)*玩法行为规划!J48)</f>
        <v>1</v>
      </c>
      <c r="L48" s="7" t="str">
        <f>IF(VLOOKUP(L$2,行为概览!$D$3:$K$33,8,0)="","",VLOOKUP(L$2,行为概览!$D$3:$K$33,8,0)*玩法行为规划!K48)</f>
        <v/>
      </c>
      <c r="M48" s="7" t="str">
        <f>IF(VLOOKUP(M$2,行为概览!$D$3:$K$33,8,0)="","",VLOOKUP(M$2,行为概览!$D$3:$K$33,8,0)*玩法行为规划!L48)</f>
        <v/>
      </c>
      <c r="N48" s="7">
        <f>IF(VLOOKUP(N$2,行为概览!$D$3:$K$33,8,0)="","",VLOOKUP(N$2,行为概览!$D$3:$K$33,8,0)*玩法行为规划!M48)</f>
        <v>12</v>
      </c>
      <c r="O48" s="7" t="str">
        <f>IF(VLOOKUP(O$2,行为概览!$D$3:$K$33,8,0)="","",VLOOKUP(O$2,行为概览!$D$3:$K$33,8,0)*玩法行为规划!N48)</f>
        <v/>
      </c>
      <c r="P48" s="7" t="str">
        <f>IF(VLOOKUP(P$2,行为概览!$D$3:$K$33,8,0)="","",VLOOKUP(P$2,行为概览!$D$3:$K$33,8,0)*玩法行为规划!O48)</f>
        <v/>
      </c>
      <c r="Q48" s="7">
        <f>IF(VLOOKUP(Q$2,行为概览!$D$3:$K$33,8,0)="","",VLOOKUP(Q$2,行为概览!$D$3:$K$33,8,0)*玩法行为规划!P48)</f>
        <v>5.2</v>
      </c>
      <c r="R48" s="7" t="str">
        <f>IF(VLOOKUP(R$2,行为概览!$D$3:$K$33,8,0)="","",VLOOKUP(R$2,行为概览!$D$3:$K$33,8,0)*玩法行为规划!Q48)</f>
        <v/>
      </c>
      <c r="S48" s="7">
        <f>IF(VLOOKUP(S$2,行为概览!$D$3:$K$33,8,0)="","",VLOOKUP(S$2,行为概览!$D$3:$K$33,8,0)*玩法行为规划!R48)</f>
        <v>0.49995000000000001</v>
      </c>
      <c r="T48" s="7">
        <f>IF(VLOOKUP(T$2,行为概览!$D$3:$K$33,8,0)="","",VLOOKUP(T$2,行为概览!$D$3:$K$33,8,0)*玩法行为规划!S48)</f>
        <v>0.75</v>
      </c>
      <c r="U48" s="7">
        <f>IF(VLOOKUP(U$2,行为概览!$D$3:$K$33,8,0)="","",VLOOKUP(U$2,行为概览!$D$3:$K$33,8,0)*玩法行为规划!T48)</f>
        <v>0</v>
      </c>
      <c r="V48" s="7">
        <f>IF(VLOOKUP(V$2,行为概览!$D$3:$K$33,8,0)="","",VLOOKUP(V$2,行为概览!$D$3:$K$33,8,0)*玩法行为规划!U48)</f>
        <v>0.33339999999999997</v>
      </c>
      <c r="W48" s="7" t="str">
        <f>IF(VLOOKUP(W$2,行为概览!$D$3:$K$33,8,0)="","",VLOOKUP(W$2,行为概览!$D$3:$K$33,8,0)*玩法行为规划!V48)</f>
        <v/>
      </c>
      <c r="X48" s="7" t="str">
        <f>IF(VLOOKUP(X$2,行为概览!$D$3:$K$33,8,0)="","",VLOOKUP(X$2,行为概览!$D$3:$K$33,8,0)*玩法行为规划!W48)</f>
        <v/>
      </c>
      <c r="Y48" s="7">
        <f>IF(VLOOKUP(Y$2,行为概览!$D$3:$K$33,8,0)="","",VLOOKUP(Y$2,行为概览!$D$3:$K$33,8,0)*玩法行为规划!X48)</f>
        <v>0.25</v>
      </c>
      <c r="Z48" s="7" t="str">
        <f>IF(VLOOKUP(Z$2,行为概览!$D$3:$K$33,8,0)="","",VLOOKUP(Z$2,行为概览!$D$3:$K$33,8,0)*玩法行为规划!Y48)</f>
        <v/>
      </c>
      <c r="AA48" s="7">
        <f>IF(VLOOKUP(AA$2,行为概览!$D$3:$K$33,8,0)="","",VLOOKUP(AA$2,行为概览!$D$3:$K$33,8,0)*玩法行为规划!Z48)</f>
        <v>8.3349999999999994E-2</v>
      </c>
      <c r="AB48" s="7" t="str">
        <f>IF(VLOOKUP(AB$2,行为概览!$D$3:$K$33,8,0)="","",VLOOKUP(AB$2,行为概览!$D$3:$K$33,8,0)*玩法行为规划!AA48)</f>
        <v/>
      </c>
      <c r="AC48" s="7" t="str">
        <f>IF(VLOOKUP(AC$2,行为概览!$D$3:$K$33,8,0)="","",VLOOKUP(AC$2,行为概览!$D$3:$K$33,8,0)*玩法行为规划!AB48)</f>
        <v/>
      </c>
      <c r="AD48" s="7" t="str">
        <f>IF(VLOOKUP(AD$2,行为概览!$D$3:$K$33,8,0)="","",VLOOKUP(AD$2,行为概览!$D$3:$K$33,8,0)*玩法行为规划!AC48)</f>
        <v/>
      </c>
      <c r="AE48" s="7" t="str">
        <f>IF(VLOOKUP(AE$2,行为概览!$D$3:$K$33,8,0)="","",VLOOKUP(AE$2,行为概览!$D$3:$K$33,8,0)*玩法行为规划!AD48)</f>
        <v/>
      </c>
      <c r="AF48" s="7">
        <f t="shared" si="8"/>
        <v>24.383199999999999</v>
      </c>
      <c r="AG48" s="7">
        <f t="shared" si="9"/>
        <v>5608136</v>
      </c>
      <c r="AH48" s="7">
        <f t="shared" si="4"/>
        <v>130070</v>
      </c>
      <c r="AI48" s="10" t="str">
        <f t="shared" si="7"/>
        <v/>
      </c>
      <c r="AJ48" s="73">
        <f t="shared" si="5"/>
        <v>105820</v>
      </c>
      <c r="AK48" s="77">
        <f>ROUND(AG48*升级节奏!G48/AJ53,2)</f>
        <v>11.94</v>
      </c>
      <c r="AL48" s="77">
        <f>ROUND(AG48*升级节奏!G48/SUM($AJ$3:AJ53),2)</f>
        <v>0.68</v>
      </c>
      <c r="AM48" s="74">
        <f>ROUND(AG48*升级节奏!G48,0)</f>
        <v>1553454</v>
      </c>
      <c r="AN48" s="77">
        <f>ROUND(SUM($AM$3:AM48)/SUM($AJ$3:AJ53),2)</f>
        <v>5.8</v>
      </c>
      <c r="AO48" s="7">
        <f t="shared" si="10"/>
        <v>3833</v>
      </c>
      <c r="AP48" s="7">
        <f t="shared" si="11"/>
        <v>28</v>
      </c>
    </row>
    <row r="49" spans="1:42">
      <c r="A49" s="32">
        <v>47</v>
      </c>
      <c r="B49" s="87">
        <f>升级节奏!D49</f>
        <v>235000</v>
      </c>
      <c r="C49" s="7">
        <f>IF(VLOOKUP(C$2,行为概览!$D$3:$K$33,8,0)="","",VLOOKUP(C$2,行为概览!$D$3:$K$33,8,0)*玩法行为规划!B49)</f>
        <v>0.99990000000000001</v>
      </c>
      <c r="D49" s="7">
        <f>IF(VLOOKUP(D$2,行为概览!$D$3:$K$33,8,0)="","",VLOOKUP(D$2,行为概览!$D$3:$K$33,8,0)*玩法行为规划!C49)</f>
        <v>1.1000000000000001</v>
      </c>
      <c r="E49" s="7" t="str">
        <f>IF(VLOOKUP(E$2,行为概览!$D$3:$K$33,8,0)="","",VLOOKUP(E$2,行为概览!$D$3:$K$33,8,0)*玩法行为规划!D49)</f>
        <v/>
      </c>
      <c r="F49" s="7">
        <f>IF(VLOOKUP(F$2,行为概览!$D$3:$K$33,8,0)="","",VLOOKUP(F$2,行为概览!$D$3:$K$33,8,0)*玩法行为规划!E49)</f>
        <v>1.5</v>
      </c>
      <c r="G49" s="7">
        <f>IF(VLOOKUP(G$2,行为概览!$D$3:$K$33,8,0)="","",VLOOKUP(G$2,行为概览!$D$3:$K$33,8,0)*玩法行为规划!F49)</f>
        <v>0.66659999999999997</v>
      </c>
      <c r="H49" s="7" t="str">
        <f>IF(VLOOKUP(H$2,行为概览!$D$3:$K$33,8,0)="","",VLOOKUP(H$2,行为概览!$D$3:$K$33,8,0)*玩法行为规划!G49)</f>
        <v/>
      </c>
      <c r="I49" s="7" t="str">
        <f>IF(VLOOKUP(I$2,行为概览!$D$3:$K$33,8,0)="","",VLOOKUP(I$2,行为概览!$D$3:$K$33,8,0)*玩法行为规划!H49)</f>
        <v/>
      </c>
      <c r="J49" s="7" t="str">
        <f>IF(VLOOKUP(J$2,行为概览!$D$3:$K$33,8,0)="","",VLOOKUP(J$2,行为概览!$D$3:$K$33,8,0)*玩法行为规划!I49)</f>
        <v/>
      </c>
      <c r="K49" s="7">
        <f>IF(VLOOKUP(K$2,行为概览!$D$3:$K$33,8,0)="","",VLOOKUP(K$2,行为概览!$D$3:$K$33,8,0)*玩法行为规划!J49)</f>
        <v>1</v>
      </c>
      <c r="L49" s="7" t="str">
        <f>IF(VLOOKUP(L$2,行为概览!$D$3:$K$33,8,0)="","",VLOOKUP(L$2,行为概览!$D$3:$K$33,8,0)*玩法行为规划!K49)</f>
        <v/>
      </c>
      <c r="M49" s="7" t="str">
        <f>IF(VLOOKUP(M$2,行为概览!$D$3:$K$33,8,0)="","",VLOOKUP(M$2,行为概览!$D$3:$K$33,8,0)*玩法行为规划!L49)</f>
        <v/>
      </c>
      <c r="N49" s="7">
        <f>IF(VLOOKUP(N$2,行为概览!$D$3:$K$33,8,0)="","",VLOOKUP(N$2,行为概览!$D$3:$K$33,8,0)*玩法行为规划!M49)</f>
        <v>12</v>
      </c>
      <c r="O49" s="7" t="str">
        <f>IF(VLOOKUP(O$2,行为概览!$D$3:$K$33,8,0)="","",VLOOKUP(O$2,行为概览!$D$3:$K$33,8,0)*玩法行为规划!N49)</f>
        <v/>
      </c>
      <c r="P49" s="7" t="str">
        <f>IF(VLOOKUP(P$2,行为概览!$D$3:$K$33,8,0)="","",VLOOKUP(P$2,行为概览!$D$3:$K$33,8,0)*玩法行为规划!O49)</f>
        <v/>
      </c>
      <c r="Q49" s="7">
        <f>IF(VLOOKUP(Q$2,行为概览!$D$3:$K$33,8,0)="","",VLOOKUP(Q$2,行为概览!$D$3:$K$33,8,0)*玩法行为规划!P49)</f>
        <v>5.2</v>
      </c>
      <c r="R49" s="7" t="str">
        <f>IF(VLOOKUP(R$2,行为概览!$D$3:$K$33,8,0)="","",VLOOKUP(R$2,行为概览!$D$3:$K$33,8,0)*玩法行为规划!Q49)</f>
        <v/>
      </c>
      <c r="S49" s="7">
        <f>IF(VLOOKUP(S$2,行为概览!$D$3:$K$33,8,0)="","",VLOOKUP(S$2,行为概览!$D$3:$K$33,8,0)*玩法行为规划!R49)</f>
        <v>0.49995000000000001</v>
      </c>
      <c r="T49" s="7">
        <f>IF(VLOOKUP(T$2,行为概览!$D$3:$K$33,8,0)="","",VLOOKUP(T$2,行为概览!$D$3:$K$33,8,0)*玩法行为规划!S49)</f>
        <v>0.75</v>
      </c>
      <c r="U49" s="7">
        <f>IF(VLOOKUP(U$2,行为概览!$D$3:$K$33,8,0)="","",VLOOKUP(U$2,行为概览!$D$3:$K$33,8,0)*玩法行为规划!T49)</f>
        <v>0</v>
      </c>
      <c r="V49" s="7">
        <f>IF(VLOOKUP(V$2,行为概览!$D$3:$K$33,8,0)="","",VLOOKUP(V$2,行为概览!$D$3:$K$33,8,0)*玩法行为规划!U49)</f>
        <v>0.33339999999999997</v>
      </c>
      <c r="W49" s="7" t="str">
        <f>IF(VLOOKUP(W$2,行为概览!$D$3:$K$33,8,0)="","",VLOOKUP(W$2,行为概览!$D$3:$K$33,8,0)*玩法行为规划!V49)</f>
        <v/>
      </c>
      <c r="X49" s="7" t="str">
        <f>IF(VLOOKUP(X$2,行为概览!$D$3:$K$33,8,0)="","",VLOOKUP(X$2,行为概览!$D$3:$K$33,8,0)*玩法行为规划!W49)</f>
        <v/>
      </c>
      <c r="Y49" s="7">
        <f>IF(VLOOKUP(Y$2,行为概览!$D$3:$K$33,8,0)="","",VLOOKUP(Y$2,行为概览!$D$3:$K$33,8,0)*玩法行为规划!X49)</f>
        <v>0.25</v>
      </c>
      <c r="Z49" s="7" t="str">
        <f>IF(VLOOKUP(Z$2,行为概览!$D$3:$K$33,8,0)="","",VLOOKUP(Z$2,行为概览!$D$3:$K$33,8,0)*玩法行为规划!Y49)</f>
        <v/>
      </c>
      <c r="AA49" s="7">
        <f>IF(VLOOKUP(AA$2,行为概览!$D$3:$K$33,8,0)="","",VLOOKUP(AA$2,行为概览!$D$3:$K$33,8,0)*玩法行为规划!Z49)</f>
        <v>8.3349999999999994E-2</v>
      </c>
      <c r="AB49" s="7" t="str">
        <f>IF(VLOOKUP(AB$2,行为概览!$D$3:$K$33,8,0)="","",VLOOKUP(AB$2,行为概览!$D$3:$K$33,8,0)*玩法行为规划!AA49)</f>
        <v/>
      </c>
      <c r="AC49" s="7" t="str">
        <f>IF(VLOOKUP(AC$2,行为概览!$D$3:$K$33,8,0)="","",VLOOKUP(AC$2,行为概览!$D$3:$K$33,8,0)*玩法行为规划!AB49)</f>
        <v/>
      </c>
      <c r="AD49" s="7" t="str">
        <f>IF(VLOOKUP(AD$2,行为概览!$D$3:$K$33,8,0)="","",VLOOKUP(AD$2,行为概览!$D$3:$K$33,8,0)*玩法行为规划!AC49)</f>
        <v/>
      </c>
      <c r="AE49" s="7" t="str">
        <f>IF(VLOOKUP(AE$2,行为概览!$D$3:$K$33,8,0)="","",VLOOKUP(AE$2,行为概览!$D$3:$K$33,8,0)*玩法行为规划!AD49)</f>
        <v/>
      </c>
      <c r="AF49" s="7">
        <f t="shared" si="8"/>
        <v>24.383199999999999</v>
      </c>
      <c r="AG49" s="7">
        <f t="shared" si="9"/>
        <v>5730052</v>
      </c>
      <c r="AH49" s="7">
        <f t="shared" si="4"/>
        <v>135220</v>
      </c>
      <c r="AI49" s="10" t="str">
        <f t="shared" si="7"/>
        <v/>
      </c>
      <c r="AJ49" s="73">
        <f t="shared" si="5"/>
        <v>110470</v>
      </c>
      <c r="AK49" s="77">
        <f>ROUND(AG49*升级节奏!G49/AJ54,2)</f>
        <v>12.23</v>
      </c>
      <c r="AL49" s="77">
        <f>ROUND(AG49*升级节奏!G49/SUM($AJ$3:AJ54),2)</f>
        <v>0.69</v>
      </c>
      <c r="AM49" s="74">
        <f>ROUND(AG49*升级节奏!G49,0)</f>
        <v>1653836</v>
      </c>
      <c r="AN49" s="77">
        <f>ROUND(SUM($AM$3:AM49)/SUM($AJ$3:AJ54),2)</f>
        <v>6.16</v>
      </c>
      <c r="AO49" s="7">
        <f t="shared" si="10"/>
        <v>3917</v>
      </c>
      <c r="AP49" s="7">
        <f t="shared" si="11"/>
        <v>28</v>
      </c>
    </row>
    <row r="50" spans="1:42">
      <c r="A50" s="32">
        <v>48</v>
      </c>
      <c r="B50" s="87">
        <f>升级节奏!D50</f>
        <v>240000</v>
      </c>
      <c r="C50" s="7">
        <f>IF(VLOOKUP(C$2,行为概览!$D$3:$K$33,8,0)="","",VLOOKUP(C$2,行为概览!$D$3:$K$33,8,0)*玩法行为规划!B50)</f>
        <v>0.99990000000000001</v>
      </c>
      <c r="D50" s="7">
        <f>IF(VLOOKUP(D$2,行为概览!$D$3:$K$33,8,0)="","",VLOOKUP(D$2,行为概览!$D$3:$K$33,8,0)*玩法行为规划!C50)</f>
        <v>1.1000000000000001</v>
      </c>
      <c r="E50" s="7" t="str">
        <f>IF(VLOOKUP(E$2,行为概览!$D$3:$K$33,8,0)="","",VLOOKUP(E$2,行为概览!$D$3:$K$33,8,0)*玩法行为规划!D50)</f>
        <v/>
      </c>
      <c r="F50" s="7">
        <f>IF(VLOOKUP(F$2,行为概览!$D$3:$K$33,8,0)="","",VLOOKUP(F$2,行为概览!$D$3:$K$33,8,0)*玩法行为规划!E50)</f>
        <v>1.5</v>
      </c>
      <c r="G50" s="7">
        <f>IF(VLOOKUP(G$2,行为概览!$D$3:$K$33,8,0)="","",VLOOKUP(G$2,行为概览!$D$3:$K$33,8,0)*玩法行为规划!F50)</f>
        <v>0.66659999999999997</v>
      </c>
      <c r="H50" s="7" t="str">
        <f>IF(VLOOKUP(H$2,行为概览!$D$3:$K$33,8,0)="","",VLOOKUP(H$2,行为概览!$D$3:$K$33,8,0)*玩法行为规划!G50)</f>
        <v/>
      </c>
      <c r="I50" s="7" t="str">
        <f>IF(VLOOKUP(I$2,行为概览!$D$3:$K$33,8,0)="","",VLOOKUP(I$2,行为概览!$D$3:$K$33,8,0)*玩法行为规划!H50)</f>
        <v/>
      </c>
      <c r="J50" s="7" t="str">
        <f>IF(VLOOKUP(J$2,行为概览!$D$3:$K$33,8,0)="","",VLOOKUP(J$2,行为概览!$D$3:$K$33,8,0)*玩法行为规划!I50)</f>
        <v/>
      </c>
      <c r="K50" s="7">
        <f>IF(VLOOKUP(K$2,行为概览!$D$3:$K$33,8,0)="","",VLOOKUP(K$2,行为概览!$D$3:$K$33,8,0)*玩法行为规划!J50)</f>
        <v>1</v>
      </c>
      <c r="L50" s="7" t="str">
        <f>IF(VLOOKUP(L$2,行为概览!$D$3:$K$33,8,0)="","",VLOOKUP(L$2,行为概览!$D$3:$K$33,8,0)*玩法行为规划!K50)</f>
        <v/>
      </c>
      <c r="M50" s="7" t="str">
        <f>IF(VLOOKUP(M$2,行为概览!$D$3:$K$33,8,0)="","",VLOOKUP(M$2,行为概览!$D$3:$K$33,8,0)*玩法行为规划!L50)</f>
        <v/>
      </c>
      <c r="N50" s="7">
        <f>IF(VLOOKUP(N$2,行为概览!$D$3:$K$33,8,0)="","",VLOOKUP(N$2,行为概览!$D$3:$K$33,8,0)*玩法行为规划!M50)</f>
        <v>12</v>
      </c>
      <c r="O50" s="7" t="str">
        <f>IF(VLOOKUP(O$2,行为概览!$D$3:$K$33,8,0)="","",VLOOKUP(O$2,行为概览!$D$3:$K$33,8,0)*玩法行为规划!N50)</f>
        <v/>
      </c>
      <c r="P50" s="7" t="str">
        <f>IF(VLOOKUP(P$2,行为概览!$D$3:$K$33,8,0)="","",VLOOKUP(P$2,行为概览!$D$3:$K$33,8,0)*玩法行为规划!O50)</f>
        <v/>
      </c>
      <c r="Q50" s="7">
        <f>IF(VLOOKUP(Q$2,行为概览!$D$3:$K$33,8,0)="","",VLOOKUP(Q$2,行为概览!$D$3:$K$33,8,0)*玩法行为规划!P50)</f>
        <v>5.2</v>
      </c>
      <c r="R50" s="7" t="str">
        <f>IF(VLOOKUP(R$2,行为概览!$D$3:$K$33,8,0)="","",VLOOKUP(R$2,行为概览!$D$3:$K$33,8,0)*玩法行为规划!Q50)</f>
        <v/>
      </c>
      <c r="S50" s="7">
        <f>IF(VLOOKUP(S$2,行为概览!$D$3:$K$33,8,0)="","",VLOOKUP(S$2,行为概览!$D$3:$K$33,8,0)*玩法行为规划!R50)</f>
        <v>0.49995000000000001</v>
      </c>
      <c r="T50" s="7">
        <f>IF(VLOOKUP(T$2,行为概览!$D$3:$K$33,8,0)="","",VLOOKUP(T$2,行为概览!$D$3:$K$33,8,0)*玩法行为规划!S50)</f>
        <v>0.75</v>
      </c>
      <c r="U50" s="7">
        <f>IF(VLOOKUP(U$2,行为概览!$D$3:$K$33,8,0)="","",VLOOKUP(U$2,行为概览!$D$3:$K$33,8,0)*玩法行为规划!T50)</f>
        <v>0</v>
      </c>
      <c r="V50" s="7">
        <f>IF(VLOOKUP(V$2,行为概览!$D$3:$K$33,8,0)="","",VLOOKUP(V$2,行为概览!$D$3:$K$33,8,0)*玩法行为规划!U50)</f>
        <v>0.33339999999999997</v>
      </c>
      <c r="W50" s="7" t="str">
        <f>IF(VLOOKUP(W$2,行为概览!$D$3:$K$33,8,0)="","",VLOOKUP(W$2,行为概览!$D$3:$K$33,8,0)*玩法行为规划!V50)</f>
        <v/>
      </c>
      <c r="X50" s="7" t="str">
        <f>IF(VLOOKUP(X$2,行为概览!$D$3:$K$33,8,0)="","",VLOOKUP(X$2,行为概览!$D$3:$K$33,8,0)*玩法行为规划!W50)</f>
        <v/>
      </c>
      <c r="Y50" s="7">
        <f>IF(VLOOKUP(Y$2,行为概览!$D$3:$K$33,8,0)="","",VLOOKUP(Y$2,行为概览!$D$3:$K$33,8,0)*玩法行为规划!X50)</f>
        <v>0.25</v>
      </c>
      <c r="Z50" s="7" t="str">
        <f>IF(VLOOKUP(Z$2,行为概览!$D$3:$K$33,8,0)="","",VLOOKUP(Z$2,行为概览!$D$3:$K$33,8,0)*玩法行为规划!Y50)</f>
        <v/>
      </c>
      <c r="AA50" s="7">
        <f>IF(VLOOKUP(AA$2,行为概览!$D$3:$K$33,8,0)="","",VLOOKUP(AA$2,行为概览!$D$3:$K$33,8,0)*玩法行为规划!Z50)</f>
        <v>8.3349999999999994E-2</v>
      </c>
      <c r="AB50" s="7" t="str">
        <f>IF(VLOOKUP(AB$2,行为概览!$D$3:$K$33,8,0)="","",VLOOKUP(AB$2,行为概览!$D$3:$K$33,8,0)*玩法行为规划!AA50)</f>
        <v/>
      </c>
      <c r="AC50" s="7" t="str">
        <f>IF(VLOOKUP(AC$2,行为概览!$D$3:$K$33,8,0)="","",VLOOKUP(AC$2,行为概览!$D$3:$K$33,8,0)*玩法行为规划!AB50)</f>
        <v/>
      </c>
      <c r="AD50" s="7" t="str">
        <f>IF(VLOOKUP(AD$2,行为概览!$D$3:$K$33,8,0)="","",VLOOKUP(AD$2,行为概览!$D$3:$K$33,8,0)*玩法行为规划!AC50)</f>
        <v/>
      </c>
      <c r="AE50" s="7" t="str">
        <f>IF(VLOOKUP(AE$2,行为概览!$D$3:$K$33,8,0)="","",VLOOKUP(AE$2,行为概览!$D$3:$K$33,8,0)*玩法行为规划!AD50)</f>
        <v/>
      </c>
      <c r="AF50" s="7">
        <f t="shared" si="8"/>
        <v>24.383199999999999</v>
      </c>
      <c r="AG50" s="7">
        <f t="shared" si="9"/>
        <v>5851968</v>
      </c>
      <c r="AH50" s="7">
        <f t="shared" si="4"/>
        <v>140470</v>
      </c>
      <c r="AI50" s="10" t="str">
        <f t="shared" si="7"/>
        <v/>
      </c>
      <c r="AJ50" s="73">
        <f t="shared" si="5"/>
        <v>115220</v>
      </c>
      <c r="AK50" s="77">
        <f>ROUND(AG50*升级节奏!G50/AJ55,2)</f>
        <v>12.52</v>
      </c>
      <c r="AL50" s="77">
        <f>ROUND(AG50*升级节奏!G50/SUM($AJ$3:AJ55),2)</f>
        <v>0.69</v>
      </c>
      <c r="AM50" s="74">
        <f>ROUND(AG50*升级节奏!G50,0)</f>
        <v>1758516</v>
      </c>
      <c r="AN50" s="77">
        <f>ROUND(SUM($AM$3:AM50)/SUM($AJ$3:AJ55),2)</f>
        <v>6.51</v>
      </c>
      <c r="AO50" s="7">
        <f t="shared" si="10"/>
        <v>4000</v>
      </c>
      <c r="AP50" s="7">
        <f t="shared" si="11"/>
        <v>29</v>
      </c>
    </row>
    <row r="51" spans="1:42">
      <c r="A51" s="32">
        <v>49</v>
      </c>
      <c r="B51" s="87">
        <f>升级节奏!D51</f>
        <v>245000</v>
      </c>
      <c r="C51" s="7">
        <f>IF(VLOOKUP(C$2,行为概览!$D$3:$K$33,8,0)="","",VLOOKUP(C$2,行为概览!$D$3:$K$33,8,0)*玩法行为规划!B51)</f>
        <v>0.99990000000000001</v>
      </c>
      <c r="D51" s="7">
        <f>IF(VLOOKUP(D$2,行为概览!$D$3:$K$33,8,0)="","",VLOOKUP(D$2,行为概览!$D$3:$K$33,8,0)*玩法行为规划!C51)</f>
        <v>1.1000000000000001</v>
      </c>
      <c r="E51" s="7" t="str">
        <f>IF(VLOOKUP(E$2,行为概览!$D$3:$K$33,8,0)="","",VLOOKUP(E$2,行为概览!$D$3:$K$33,8,0)*玩法行为规划!D51)</f>
        <v/>
      </c>
      <c r="F51" s="7">
        <f>IF(VLOOKUP(F$2,行为概览!$D$3:$K$33,8,0)="","",VLOOKUP(F$2,行为概览!$D$3:$K$33,8,0)*玩法行为规划!E51)</f>
        <v>1.5</v>
      </c>
      <c r="G51" s="7">
        <f>IF(VLOOKUP(G$2,行为概览!$D$3:$K$33,8,0)="","",VLOOKUP(G$2,行为概览!$D$3:$K$33,8,0)*玩法行为规划!F51)</f>
        <v>0.66659999999999997</v>
      </c>
      <c r="H51" s="7" t="str">
        <f>IF(VLOOKUP(H$2,行为概览!$D$3:$K$33,8,0)="","",VLOOKUP(H$2,行为概览!$D$3:$K$33,8,0)*玩法行为规划!G51)</f>
        <v/>
      </c>
      <c r="I51" s="7" t="str">
        <f>IF(VLOOKUP(I$2,行为概览!$D$3:$K$33,8,0)="","",VLOOKUP(I$2,行为概览!$D$3:$K$33,8,0)*玩法行为规划!H51)</f>
        <v/>
      </c>
      <c r="J51" s="7" t="str">
        <f>IF(VLOOKUP(J$2,行为概览!$D$3:$K$33,8,0)="","",VLOOKUP(J$2,行为概览!$D$3:$K$33,8,0)*玩法行为规划!I51)</f>
        <v/>
      </c>
      <c r="K51" s="7">
        <f>IF(VLOOKUP(K$2,行为概览!$D$3:$K$33,8,0)="","",VLOOKUP(K$2,行为概览!$D$3:$K$33,8,0)*玩法行为规划!J51)</f>
        <v>1</v>
      </c>
      <c r="L51" s="7" t="str">
        <f>IF(VLOOKUP(L$2,行为概览!$D$3:$K$33,8,0)="","",VLOOKUP(L$2,行为概览!$D$3:$K$33,8,0)*玩法行为规划!K51)</f>
        <v/>
      </c>
      <c r="M51" s="7" t="str">
        <f>IF(VLOOKUP(M$2,行为概览!$D$3:$K$33,8,0)="","",VLOOKUP(M$2,行为概览!$D$3:$K$33,8,0)*玩法行为规划!L51)</f>
        <v/>
      </c>
      <c r="N51" s="7">
        <f>IF(VLOOKUP(N$2,行为概览!$D$3:$K$33,8,0)="","",VLOOKUP(N$2,行为概览!$D$3:$K$33,8,0)*玩法行为规划!M51)</f>
        <v>12</v>
      </c>
      <c r="O51" s="7" t="str">
        <f>IF(VLOOKUP(O$2,行为概览!$D$3:$K$33,8,0)="","",VLOOKUP(O$2,行为概览!$D$3:$K$33,8,0)*玩法行为规划!N51)</f>
        <v/>
      </c>
      <c r="P51" s="7" t="str">
        <f>IF(VLOOKUP(P$2,行为概览!$D$3:$K$33,8,0)="","",VLOOKUP(P$2,行为概览!$D$3:$K$33,8,0)*玩法行为规划!O51)</f>
        <v/>
      </c>
      <c r="Q51" s="7">
        <f>IF(VLOOKUP(Q$2,行为概览!$D$3:$K$33,8,0)="","",VLOOKUP(Q$2,行为概览!$D$3:$K$33,8,0)*玩法行为规划!P51)</f>
        <v>5.2</v>
      </c>
      <c r="R51" s="7" t="str">
        <f>IF(VLOOKUP(R$2,行为概览!$D$3:$K$33,8,0)="","",VLOOKUP(R$2,行为概览!$D$3:$K$33,8,0)*玩法行为规划!Q51)</f>
        <v/>
      </c>
      <c r="S51" s="7">
        <f>IF(VLOOKUP(S$2,行为概览!$D$3:$K$33,8,0)="","",VLOOKUP(S$2,行为概览!$D$3:$K$33,8,0)*玩法行为规划!R51)</f>
        <v>0.49995000000000001</v>
      </c>
      <c r="T51" s="7">
        <f>IF(VLOOKUP(T$2,行为概览!$D$3:$K$33,8,0)="","",VLOOKUP(T$2,行为概览!$D$3:$K$33,8,0)*玩法行为规划!S51)</f>
        <v>0.75</v>
      </c>
      <c r="U51" s="7">
        <f>IF(VLOOKUP(U$2,行为概览!$D$3:$K$33,8,0)="","",VLOOKUP(U$2,行为概览!$D$3:$K$33,8,0)*玩法行为规划!T51)</f>
        <v>0</v>
      </c>
      <c r="V51" s="7">
        <f>IF(VLOOKUP(V$2,行为概览!$D$3:$K$33,8,0)="","",VLOOKUP(V$2,行为概览!$D$3:$K$33,8,0)*玩法行为规划!U51)</f>
        <v>0.33339999999999997</v>
      </c>
      <c r="W51" s="7" t="str">
        <f>IF(VLOOKUP(W$2,行为概览!$D$3:$K$33,8,0)="","",VLOOKUP(W$2,行为概览!$D$3:$K$33,8,0)*玩法行为规划!V51)</f>
        <v/>
      </c>
      <c r="X51" s="7" t="str">
        <f>IF(VLOOKUP(X$2,行为概览!$D$3:$K$33,8,0)="","",VLOOKUP(X$2,行为概览!$D$3:$K$33,8,0)*玩法行为规划!W51)</f>
        <v/>
      </c>
      <c r="Y51" s="7">
        <f>IF(VLOOKUP(Y$2,行为概览!$D$3:$K$33,8,0)="","",VLOOKUP(Y$2,行为概览!$D$3:$K$33,8,0)*玩法行为规划!X51)</f>
        <v>0.25</v>
      </c>
      <c r="Z51" s="7" t="str">
        <f>IF(VLOOKUP(Z$2,行为概览!$D$3:$K$33,8,0)="","",VLOOKUP(Z$2,行为概览!$D$3:$K$33,8,0)*玩法行为规划!Y51)</f>
        <v/>
      </c>
      <c r="AA51" s="7">
        <f>IF(VLOOKUP(AA$2,行为概览!$D$3:$K$33,8,0)="","",VLOOKUP(AA$2,行为概览!$D$3:$K$33,8,0)*玩法行为规划!Z51)</f>
        <v>8.3349999999999994E-2</v>
      </c>
      <c r="AB51" s="7" t="str">
        <f>IF(VLOOKUP(AB$2,行为概览!$D$3:$K$33,8,0)="","",VLOOKUP(AB$2,行为概览!$D$3:$K$33,8,0)*玩法行为规划!AA51)</f>
        <v/>
      </c>
      <c r="AC51" s="7" t="str">
        <f>IF(VLOOKUP(AC$2,行为概览!$D$3:$K$33,8,0)="","",VLOOKUP(AC$2,行为概览!$D$3:$K$33,8,0)*玩法行为规划!AB51)</f>
        <v/>
      </c>
      <c r="AD51" s="7" t="str">
        <f>IF(VLOOKUP(AD$2,行为概览!$D$3:$K$33,8,0)="","",VLOOKUP(AD$2,行为概览!$D$3:$K$33,8,0)*玩法行为规划!AC51)</f>
        <v/>
      </c>
      <c r="AE51" s="7" t="str">
        <f>IF(VLOOKUP(AE$2,行为概览!$D$3:$K$33,8,0)="","",VLOOKUP(AE$2,行为概览!$D$3:$K$33,8,0)*玩法行为规划!AD51)</f>
        <v/>
      </c>
      <c r="AF51" s="7">
        <f t="shared" si="8"/>
        <v>24.383199999999999</v>
      </c>
      <c r="AG51" s="7">
        <f t="shared" si="9"/>
        <v>5973884</v>
      </c>
      <c r="AH51" s="7">
        <f t="shared" si="4"/>
        <v>145820</v>
      </c>
      <c r="AI51" s="10" t="str">
        <f t="shared" si="7"/>
        <v/>
      </c>
      <c r="AJ51" s="73">
        <f t="shared" si="5"/>
        <v>120070</v>
      </c>
      <c r="AK51" s="77">
        <f>ROUND(AG51*升级节奏!G51/AJ56,2)</f>
        <v>14.52</v>
      </c>
      <c r="AL51" s="77">
        <f>ROUND(AG51*升级节奏!G51/SUM($AJ$3:AJ56),2)</f>
        <v>0.78</v>
      </c>
      <c r="AM51" s="74">
        <f>ROUND(AG51*升级节奏!G51,0)</f>
        <v>2116597</v>
      </c>
      <c r="AN51" s="77">
        <f>ROUND(SUM($AM$3:AM51)/SUM($AJ$3:AJ56),2)</f>
        <v>6.94</v>
      </c>
      <c r="AO51" s="7">
        <f t="shared" si="10"/>
        <v>4083</v>
      </c>
      <c r="AP51" s="7">
        <f t="shared" si="11"/>
        <v>29</v>
      </c>
    </row>
    <row r="52" spans="1:42">
      <c r="A52" s="32">
        <v>50</v>
      </c>
      <c r="B52" s="87">
        <f>升级节奏!D52</f>
        <v>250000</v>
      </c>
      <c r="C52" s="7">
        <f>IF(VLOOKUP(C$2,行为概览!$D$3:$K$33,8,0)="","",VLOOKUP(C$2,行为概览!$D$3:$K$33,8,0)*玩法行为规划!B52)</f>
        <v>0.99990000000000001</v>
      </c>
      <c r="D52" s="7">
        <f>IF(VLOOKUP(D$2,行为概览!$D$3:$K$33,8,0)="","",VLOOKUP(D$2,行为概览!$D$3:$K$33,8,0)*玩法行为规划!C52)</f>
        <v>1.1000000000000001</v>
      </c>
      <c r="E52" s="7" t="str">
        <f>IF(VLOOKUP(E$2,行为概览!$D$3:$K$33,8,0)="","",VLOOKUP(E$2,行为概览!$D$3:$K$33,8,0)*玩法行为规划!D52)</f>
        <v/>
      </c>
      <c r="F52" s="7">
        <f>IF(VLOOKUP(F$2,行为概览!$D$3:$K$33,8,0)="","",VLOOKUP(F$2,行为概览!$D$3:$K$33,8,0)*玩法行为规划!E52)</f>
        <v>1.5</v>
      </c>
      <c r="G52" s="7">
        <f>IF(VLOOKUP(G$2,行为概览!$D$3:$K$33,8,0)="","",VLOOKUP(G$2,行为概览!$D$3:$K$33,8,0)*玩法行为规划!F52)</f>
        <v>0.66659999999999997</v>
      </c>
      <c r="H52" s="7" t="str">
        <f>IF(VLOOKUP(H$2,行为概览!$D$3:$K$33,8,0)="","",VLOOKUP(H$2,行为概览!$D$3:$K$33,8,0)*玩法行为规划!G52)</f>
        <v/>
      </c>
      <c r="I52" s="7" t="str">
        <f>IF(VLOOKUP(I$2,行为概览!$D$3:$K$33,8,0)="","",VLOOKUP(I$2,行为概览!$D$3:$K$33,8,0)*玩法行为规划!H52)</f>
        <v/>
      </c>
      <c r="J52" s="7" t="str">
        <f>IF(VLOOKUP(J$2,行为概览!$D$3:$K$33,8,0)="","",VLOOKUP(J$2,行为概览!$D$3:$K$33,8,0)*玩法行为规划!I52)</f>
        <v/>
      </c>
      <c r="K52" s="7">
        <f>IF(VLOOKUP(K$2,行为概览!$D$3:$K$33,8,0)="","",VLOOKUP(K$2,行为概览!$D$3:$K$33,8,0)*玩法行为规划!J52)</f>
        <v>1</v>
      </c>
      <c r="L52" s="7" t="str">
        <f>IF(VLOOKUP(L$2,行为概览!$D$3:$K$33,8,0)="","",VLOOKUP(L$2,行为概览!$D$3:$K$33,8,0)*玩法行为规划!K52)</f>
        <v/>
      </c>
      <c r="M52" s="7" t="str">
        <f>IF(VLOOKUP(M$2,行为概览!$D$3:$K$33,8,0)="","",VLOOKUP(M$2,行为概览!$D$3:$K$33,8,0)*玩法行为规划!L52)</f>
        <v/>
      </c>
      <c r="N52" s="7">
        <f>IF(VLOOKUP(N$2,行为概览!$D$3:$K$33,8,0)="","",VLOOKUP(N$2,行为概览!$D$3:$K$33,8,0)*玩法行为规划!M52)</f>
        <v>12</v>
      </c>
      <c r="O52" s="7" t="str">
        <f>IF(VLOOKUP(O$2,行为概览!$D$3:$K$33,8,0)="","",VLOOKUP(O$2,行为概览!$D$3:$K$33,8,0)*玩法行为规划!N52)</f>
        <v/>
      </c>
      <c r="P52" s="7" t="str">
        <f>IF(VLOOKUP(P$2,行为概览!$D$3:$K$33,8,0)="","",VLOOKUP(P$2,行为概览!$D$3:$K$33,8,0)*玩法行为规划!O52)</f>
        <v/>
      </c>
      <c r="Q52" s="7">
        <f>IF(VLOOKUP(Q$2,行为概览!$D$3:$K$33,8,0)="","",VLOOKUP(Q$2,行为概览!$D$3:$K$33,8,0)*玩法行为规划!P52)</f>
        <v>5.2</v>
      </c>
      <c r="R52" s="7" t="str">
        <f>IF(VLOOKUP(R$2,行为概览!$D$3:$K$33,8,0)="","",VLOOKUP(R$2,行为概览!$D$3:$K$33,8,0)*玩法行为规划!Q52)</f>
        <v/>
      </c>
      <c r="S52" s="7">
        <f>IF(VLOOKUP(S$2,行为概览!$D$3:$K$33,8,0)="","",VLOOKUP(S$2,行为概览!$D$3:$K$33,8,0)*玩法行为规划!R52)</f>
        <v>0.49995000000000001</v>
      </c>
      <c r="T52" s="7">
        <f>IF(VLOOKUP(T$2,行为概览!$D$3:$K$33,8,0)="","",VLOOKUP(T$2,行为概览!$D$3:$K$33,8,0)*玩法行为规划!S52)</f>
        <v>0</v>
      </c>
      <c r="U52" s="7">
        <f>IF(VLOOKUP(U$2,行为概览!$D$3:$K$33,8,0)="","",VLOOKUP(U$2,行为概览!$D$3:$K$33,8,0)*玩法行为规划!T52)</f>
        <v>0.49995000000000001</v>
      </c>
      <c r="V52" s="7">
        <f>IF(VLOOKUP(V$2,行为概览!$D$3:$K$33,8,0)="","",VLOOKUP(V$2,行为概览!$D$3:$K$33,8,0)*玩法行为规划!U52)</f>
        <v>0.33339999999999997</v>
      </c>
      <c r="W52" s="7" t="str">
        <f>IF(VLOOKUP(W$2,行为概览!$D$3:$K$33,8,0)="","",VLOOKUP(W$2,行为概览!$D$3:$K$33,8,0)*玩法行为规划!V52)</f>
        <v/>
      </c>
      <c r="X52" s="7" t="str">
        <f>IF(VLOOKUP(X$2,行为概览!$D$3:$K$33,8,0)="","",VLOOKUP(X$2,行为概览!$D$3:$K$33,8,0)*玩法行为规划!W52)</f>
        <v/>
      </c>
      <c r="Y52" s="7">
        <f>IF(VLOOKUP(Y$2,行为概览!$D$3:$K$33,8,0)="","",VLOOKUP(Y$2,行为概览!$D$3:$K$33,8,0)*玩法行为规划!X52)</f>
        <v>0.25</v>
      </c>
      <c r="Z52" s="7" t="str">
        <f>IF(VLOOKUP(Z$2,行为概览!$D$3:$K$33,8,0)="","",VLOOKUP(Z$2,行为概览!$D$3:$K$33,8,0)*玩法行为规划!Y52)</f>
        <v/>
      </c>
      <c r="AA52" s="7">
        <f>IF(VLOOKUP(AA$2,行为概览!$D$3:$K$33,8,0)="","",VLOOKUP(AA$2,行为概览!$D$3:$K$33,8,0)*玩法行为规划!Z52)</f>
        <v>8.3349999999999994E-2</v>
      </c>
      <c r="AB52" s="7" t="str">
        <f>IF(VLOOKUP(AB$2,行为概览!$D$3:$K$33,8,0)="","",VLOOKUP(AB$2,行为概览!$D$3:$K$33,8,0)*玩法行为规划!AA52)</f>
        <v/>
      </c>
      <c r="AC52" s="7" t="str">
        <f>IF(VLOOKUP(AC$2,行为概览!$D$3:$K$33,8,0)="","",VLOOKUP(AC$2,行为概览!$D$3:$K$33,8,0)*玩法行为规划!AB52)</f>
        <v/>
      </c>
      <c r="AD52" s="7" t="str">
        <f>IF(VLOOKUP(AD$2,行为概览!$D$3:$K$33,8,0)="","",VLOOKUP(AD$2,行为概览!$D$3:$K$33,8,0)*玩法行为规划!AC52)</f>
        <v/>
      </c>
      <c r="AE52" s="7" t="str">
        <f>IF(VLOOKUP(AE$2,行为概览!$D$3:$K$33,8,0)="","",VLOOKUP(AE$2,行为概览!$D$3:$K$33,8,0)*玩法行为规划!AD52)</f>
        <v/>
      </c>
      <c r="AF52" s="7">
        <f t="shared" si="8"/>
        <v>24.133149999999997</v>
      </c>
      <c r="AG52" s="7">
        <f t="shared" si="9"/>
        <v>6033287</v>
      </c>
      <c r="AH52" s="7">
        <f t="shared" si="4"/>
        <v>151270</v>
      </c>
      <c r="AI52" s="10">
        <f t="shared" si="7"/>
        <v>3003900</v>
      </c>
      <c r="AJ52" s="73">
        <f t="shared" si="5"/>
        <v>125020</v>
      </c>
      <c r="AK52" s="77">
        <f>ROUND(AG52*升级节奏!G52/AJ57,2)</f>
        <v>14.69</v>
      </c>
      <c r="AL52" s="77">
        <f>ROUND(AG52*升级节奏!G52/SUM($AJ$3:AJ57),2)</f>
        <v>0.78</v>
      </c>
      <c r="AM52" s="74">
        <f>ROUND(AG52*升级节奏!G52,0)</f>
        <v>2222261</v>
      </c>
      <c r="AN52" s="77">
        <f>ROUND(SUM($AM$3:AM52)/SUM($AJ$3:AJ57),2)</f>
        <v>7.36</v>
      </c>
      <c r="AO52" s="7">
        <f>ROUND(B52/60,0)</f>
        <v>4167</v>
      </c>
      <c r="AP52" s="7">
        <f t="shared" si="11"/>
        <v>30</v>
      </c>
    </row>
    <row r="53" spans="1:42">
      <c r="A53" s="32">
        <v>51</v>
      </c>
      <c r="B53" s="87">
        <f>升级节奏!D53</f>
        <v>255000</v>
      </c>
      <c r="C53" s="7">
        <f>IF(VLOOKUP(C$2,行为概览!$D$3:$K$33,8,0)="","",VLOOKUP(C$2,行为概览!$D$3:$K$33,8,0)*玩法行为规划!B53)</f>
        <v>0.99990000000000001</v>
      </c>
      <c r="D53" s="7">
        <f>IF(VLOOKUP(D$2,行为概览!$D$3:$K$33,8,0)="","",VLOOKUP(D$2,行为概览!$D$3:$K$33,8,0)*玩法行为规划!C53)</f>
        <v>1.1000000000000001</v>
      </c>
      <c r="E53" s="7" t="str">
        <f>IF(VLOOKUP(E$2,行为概览!$D$3:$K$33,8,0)="","",VLOOKUP(E$2,行为概览!$D$3:$K$33,8,0)*玩法行为规划!D53)</f>
        <v/>
      </c>
      <c r="F53" s="7">
        <f>IF(VLOOKUP(F$2,行为概览!$D$3:$K$33,8,0)="","",VLOOKUP(F$2,行为概览!$D$3:$K$33,8,0)*玩法行为规划!E53)</f>
        <v>1.5</v>
      </c>
      <c r="G53" s="7">
        <f>IF(VLOOKUP(G$2,行为概览!$D$3:$K$33,8,0)="","",VLOOKUP(G$2,行为概览!$D$3:$K$33,8,0)*玩法行为规划!F53)</f>
        <v>0.66659999999999997</v>
      </c>
      <c r="H53" s="7" t="str">
        <f>IF(VLOOKUP(H$2,行为概览!$D$3:$K$33,8,0)="","",VLOOKUP(H$2,行为概览!$D$3:$K$33,8,0)*玩法行为规划!G53)</f>
        <v/>
      </c>
      <c r="I53" s="7" t="str">
        <f>IF(VLOOKUP(I$2,行为概览!$D$3:$K$33,8,0)="","",VLOOKUP(I$2,行为概览!$D$3:$K$33,8,0)*玩法行为规划!H53)</f>
        <v/>
      </c>
      <c r="J53" s="7" t="str">
        <f>IF(VLOOKUP(J$2,行为概览!$D$3:$K$33,8,0)="","",VLOOKUP(J$2,行为概览!$D$3:$K$33,8,0)*玩法行为规划!I53)</f>
        <v/>
      </c>
      <c r="K53" s="7">
        <f>IF(VLOOKUP(K$2,行为概览!$D$3:$K$33,8,0)="","",VLOOKUP(K$2,行为概览!$D$3:$K$33,8,0)*玩法行为规划!J53)</f>
        <v>1</v>
      </c>
      <c r="L53" s="7" t="str">
        <f>IF(VLOOKUP(L$2,行为概览!$D$3:$K$33,8,0)="","",VLOOKUP(L$2,行为概览!$D$3:$K$33,8,0)*玩法行为规划!K53)</f>
        <v/>
      </c>
      <c r="M53" s="7" t="str">
        <f>IF(VLOOKUP(M$2,行为概览!$D$3:$K$33,8,0)="","",VLOOKUP(M$2,行为概览!$D$3:$K$33,8,0)*玩法行为规划!L53)</f>
        <v/>
      </c>
      <c r="N53" s="7">
        <f>IF(VLOOKUP(N$2,行为概览!$D$3:$K$33,8,0)="","",VLOOKUP(N$2,行为概览!$D$3:$K$33,8,0)*玩法行为规划!M53)</f>
        <v>12</v>
      </c>
      <c r="O53" s="7" t="str">
        <f>IF(VLOOKUP(O$2,行为概览!$D$3:$K$33,8,0)="","",VLOOKUP(O$2,行为概览!$D$3:$K$33,8,0)*玩法行为规划!N53)</f>
        <v/>
      </c>
      <c r="P53" s="7" t="str">
        <f>IF(VLOOKUP(P$2,行为概览!$D$3:$K$33,8,0)="","",VLOOKUP(P$2,行为概览!$D$3:$K$33,8,0)*玩法行为规划!O53)</f>
        <v/>
      </c>
      <c r="Q53" s="7">
        <f>IF(VLOOKUP(Q$2,行为概览!$D$3:$K$33,8,0)="","",VLOOKUP(Q$2,行为概览!$D$3:$K$33,8,0)*玩法行为规划!P53)</f>
        <v>5.2</v>
      </c>
      <c r="R53" s="7" t="str">
        <f>IF(VLOOKUP(R$2,行为概览!$D$3:$K$33,8,0)="","",VLOOKUP(R$2,行为概览!$D$3:$K$33,8,0)*玩法行为规划!Q53)</f>
        <v/>
      </c>
      <c r="S53" s="7">
        <f>IF(VLOOKUP(S$2,行为概览!$D$3:$K$33,8,0)="","",VLOOKUP(S$2,行为概览!$D$3:$K$33,8,0)*玩法行为规划!R53)</f>
        <v>0.49995000000000001</v>
      </c>
      <c r="T53" s="7">
        <f>IF(VLOOKUP(T$2,行为概览!$D$3:$K$33,8,0)="","",VLOOKUP(T$2,行为概览!$D$3:$K$33,8,0)*玩法行为规划!S53)</f>
        <v>0</v>
      </c>
      <c r="U53" s="7">
        <f>IF(VLOOKUP(U$2,行为概览!$D$3:$K$33,8,0)="","",VLOOKUP(U$2,行为概览!$D$3:$K$33,8,0)*玩法行为规划!T53)</f>
        <v>0.49995000000000001</v>
      </c>
      <c r="V53" s="7">
        <f>IF(VLOOKUP(V$2,行为概览!$D$3:$K$33,8,0)="","",VLOOKUP(V$2,行为概览!$D$3:$K$33,8,0)*玩法行为规划!U53)</f>
        <v>0.33339999999999997</v>
      </c>
      <c r="W53" s="7" t="str">
        <f>IF(VLOOKUP(W$2,行为概览!$D$3:$K$33,8,0)="","",VLOOKUP(W$2,行为概览!$D$3:$K$33,8,0)*玩法行为规划!V53)</f>
        <v/>
      </c>
      <c r="X53" s="7" t="str">
        <f>IF(VLOOKUP(X$2,行为概览!$D$3:$K$33,8,0)="","",VLOOKUP(X$2,行为概览!$D$3:$K$33,8,0)*玩法行为规划!W53)</f>
        <v/>
      </c>
      <c r="Y53" s="7">
        <f>IF(VLOOKUP(Y$2,行为概览!$D$3:$K$33,8,0)="","",VLOOKUP(Y$2,行为概览!$D$3:$K$33,8,0)*玩法行为规划!X53)</f>
        <v>0.25</v>
      </c>
      <c r="Z53" s="7" t="str">
        <f>IF(VLOOKUP(Z$2,行为概览!$D$3:$K$33,8,0)="","",VLOOKUP(Z$2,行为概览!$D$3:$K$33,8,0)*玩法行为规划!Y53)</f>
        <v/>
      </c>
      <c r="AA53" s="7">
        <f>IF(VLOOKUP(AA$2,行为概览!$D$3:$K$33,8,0)="","",VLOOKUP(AA$2,行为概览!$D$3:$K$33,8,0)*玩法行为规划!Z53)</f>
        <v>8.3349999999999994E-2</v>
      </c>
      <c r="AB53" s="7" t="str">
        <f>IF(VLOOKUP(AB$2,行为概览!$D$3:$K$33,8,0)="","",VLOOKUP(AB$2,行为概览!$D$3:$K$33,8,0)*玩法行为规划!AA53)</f>
        <v/>
      </c>
      <c r="AC53" s="7" t="str">
        <f>IF(VLOOKUP(AC$2,行为概览!$D$3:$K$33,8,0)="","",VLOOKUP(AC$2,行为概览!$D$3:$K$33,8,0)*玩法行为规划!AB53)</f>
        <v/>
      </c>
      <c r="AD53" s="7" t="str">
        <f>IF(VLOOKUP(AD$2,行为概览!$D$3:$K$33,8,0)="","",VLOOKUP(AD$2,行为概览!$D$3:$K$33,8,0)*玩法行为规划!AC53)</f>
        <v/>
      </c>
      <c r="AE53" s="7" t="str">
        <f>IF(VLOOKUP(AE$2,行为概览!$D$3:$K$33,8,0)="","",VLOOKUP(AE$2,行为概览!$D$3:$K$33,8,0)*玩法行为规划!AD53)</f>
        <v/>
      </c>
      <c r="AF53" s="7">
        <f t="shared" si="8"/>
        <v>24.133149999999997</v>
      </c>
      <c r="AG53" s="7">
        <f t="shared" si="9"/>
        <v>6153953</v>
      </c>
      <c r="AH53" s="7">
        <f t="shared" si="4"/>
        <v>156820</v>
      </c>
      <c r="AI53" s="10" t="str">
        <f t="shared" si="7"/>
        <v/>
      </c>
      <c r="AJ53" s="73">
        <f t="shared" si="5"/>
        <v>130070</v>
      </c>
      <c r="AK53" s="77">
        <f>ROUND(AG53*升级节奏!G53/AJ58,2)</f>
        <v>15.02</v>
      </c>
      <c r="AL53" s="77">
        <f>ROUND(AG53*升级节奏!G53/SUM($AJ$3:AJ58),2)</f>
        <v>0.78</v>
      </c>
      <c r="AM53" s="74">
        <f>ROUND(AG53*升级节奏!G53,0)</f>
        <v>2354759</v>
      </c>
      <c r="AN53" s="77">
        <f>ROUND(SUM($AM$3:AM53)/SUM($AJ$3:AJ58),2)</f>
        <v>7.75</v>
      </c>
      <c r="AO53" s="7">
        <f t="shared" si="10"/>
        <v>4250</v>
      </c>
      <c r="AP53" s="7">
        <f t="shared" si="11"/>
        <v>31</v>
      </c>
    </row>
    <row r="54" spans="1:42">
      <c r="A54" s="32">
        <v>52</v>
      </c>
      <c r="B54" s="87">
        <f>升级节奏!D54</f>
        <v>260000</v>
      </c>
      <c r="C54" s="7">
        <f>IF(VLOOKUP(C$2,行为概览!$D$3:$K$33,8,0)="","",VLOOKUP(C$2,行为概览!$D$3:$K$33,8,0)*玩法行为规划!B54)</f>
        <v>0.99990000000000001</v>
      </c>
      <c r="D54" s="7">
        <f>IF(VLOOKUP(D$2,行为概览!$D$3:$K$33,8,0)="","",VLOOKUP(D$2,行为概览!$D$3:$K$33,8,0)*玩法行为规划!C54)</f>
        <v>1.1000000000000001</v>
      </c>
      <c r="E54" s="7" t="str">
        <f>IF(VLOOKUP(E$2,行为概览!$D$3:$K$33,8,0)="","",VLOOKUP(E$2,行为概览!$D$3:$K$33,8,0)*玩法行为规划!D54)</f>
        <v/>
      </c>
      <c r="F54" s="7">
        <f>IF(VLOOKUP(F$2,行为概览!$D$3:$K$33,8,0)="","",VLOOKUP(F$2,行为概览!$D$3:$K$33,8,0)*玩法行为规划!E54)</f>
        <v>1.5</v>
      </c>
      <c r="G54" s="7">
        <f>IF(VLOOKUP(G$2,行为概览!$D$3:$K$33,8,0)="","",VLOOKUP(G$2,行为概览!$D$3:$K$33,8,0)*玩法行为规划!F54)</f>
        <v>0.66659999999999997</v>
      </c>
      <c r="H54" s="7" t="str">
        <f>IF(VLOOKUP(H$2,行为概览!$D$3:$K$33,8,0)="","",VLOOKUP(H$2,行为概览!$D$3:$K$33,8,0)*玩法行为规划!G54)</f>
        <v/>
      </c>
      <c r="I54" s="7" t="str">
        <f>IF(VLOOKUP(I$2,行为概览!$D$3:$K$33,8,0)="","",VLOOKUP(I$2,行为概览!$D$3:$K$33,8,0)*玩法行为规划!H54)</f>
        <v/>
      </c>
      <c r="J54" s="7" t="str">
        <f>IF(VLOOKUP(J$2,行为概览!$D$3:$K$33,8,0)="","",VLOOKUP(J$2,行为概览!$D$3:$K$33,8,0)*玩法行为规划!I54)</f>
        <v/>
      </c>
      <c r="K54" s="7">
        <f>IF(VLOOKUP(K$2,行为概览!$D$3:$K$33,8,0)="","",VLOOKUP(K$2,行为概览!$D$3:$K$33,8,0)*玩法行为规划!J54)</f>
        <v>1</v>
      </c>
      <c r="L54" s="7" t="str">
        <f>IF(VLOOKUP(L$2,行为概览!$D$3:$K$33,8,0)="","",VLOOKUP(L$2,行为概览!$D$3:$K$33,8,0)*玩法行为规划!K54)</f>
        <v/>
      </c>
      <c r="M54" s="7" t="str">
        <f>IF(VLOOKUP(M$2,行为概览!$D$3:$K$33,8,0)="","",VLOOKUP(M$2,行为概览!$D$3:$K$33,8,0)*玩法行为规划!L54)</f>
        <v/>
      </c>
      <c r="N54" s="7">
        <f>IF(VLOOKUP(N$2,行为概览!$D$3:$K$33,8,0)="","",VLOOKUP(N$2,行为概览!$D$3:$K$33,8,0)*玩法行为规划!M54)</f>
        <v>12</v>
      </c>
      <c r="O54" s="7" t="str">
        <f>IF(VLOOKUP(O$2,行为概览!$D$3:$K$33,8,0)="","",VLOOKUP(O$2,行为概览!$D$3:$K$33,8,0)*玩法行为规划!N54)</f>
        <v/>
      </c>
      <c r="P54" s="7" t="str">
        <f>IF(VLOOKUP(P$2,行为概览!$D$3:$K$33,8,0)="","",VLOOKUP(P$2,行为概览!$D$3:$K$33,8,0)*玩法行为规划!O54)</f>
        <v/>
      </c>
      <c r="Q54" s="7">
        <f>IF(VLOOKUP(Q$2,行为概览!$D$3:$K$33,8,0)="","",VLOOKUP(Q$2,行为概览!$D$3:$K$33,8,0)*玩法行为规划!P54)</f>
        <v>5.2</v>
      </c>
      <c r="R54" s="7" t="str">
        <f>IF(VLOOKUP(R$2,行为概览!$D$3:$K$33,8,0)="","",VLOOKUP(R$2,行为概览!$D$3:$K$33,8,0)*玩法行为规划!Q54)</f>
        <v/>
      </c>
      <c r="S54" s="7">
        <f>IF(VLOOKUP(S$2,行为概览!$D$3:$K$33,8,0)="","",VLOOKUP(S$2,行为概览!$D$3:$K$33,8,0)*玩法行为规划!R54)</f>
        <v>0.49995000000000001</v>
      </c>
      <c r="T54" s="7">
        <f>IF(VLOOKUP(T$2,行为概览!$D$3:$K$33,8,0)="","",VLOOKUP(T$2,行为概览!$D$3:$K$33,8,0)*玩法行为规划!S54)</f>
        <v>0</v>
      </c>
      <c r="U54" s="7">
        <f>IF(VLOOKUP(U$2,行为概览!$D$3:$K$33,8,0)="","",VLOOKUP(U$2,行为概览!$D$3:$K$33,8,0)*玩法行为规划!T54)</f>
        <v>0.49995000000000001</v>
      </c>
      <c r="V54" s="7">
        <f>IF(VLOOKUP(V$2,行为概览!$D$3:$K$33,8,0)="","",VLOOKUP(V$2,行为概览!$D$3:$K$33,8,0)*玩法行为规划!U54)</f>
        <v>0.33339999999999997</v>
      </c>
      <c r="W54" s="7" t="str">
        <f>IF(VLOOKUP(W$2,行为概览!$D$3:$K$33,8,0)="","",VLOOKUP(W$2,行为概览!$D$3:$K$33,8,0)*玩法行为规划!V54)</f>
        <v/>
      </c>
      <c r="X54" s="7" t="str">
        <f>IF(VLOOKUP(X$2,行为概览!$D$3:$K$33,8,0)="","",VLOOKUP(X$2,行为概览!$D$3:$K$33,8,0)*玩法行为规划!W54)</f>
        <v/>
      </c>
      <c r="Y54" s="7">
        <f>IF(VLOOKUP(Y$2,行为概览!$D$3:$K$33,8,0)="","",VLOOKUP(Y$2,行为概览!$D$3:$K$33,8,0)*玩法行为规划!X54)</f>
        <v>0.25</v>
      </c>
      <c r="Z54" s="7" t="str">
        <f>IF(VLOOKUP(Z$2,行为概览!$D$3:$K$33,8,0)="","",VLOOKUP(Z$2,行为概览!$D$3:$K$33,8,0)*玩法行为规划!Y54)</f>
        <v/>
      </c>
      <c r="AA54" s="7">
        <f>IF(VLOOKUP(AA$2,行为概览!$D$3:$K$33,8,0)="","",VLOOKUP(AA$2,行为概览!$D$3:$K$33,8,0)*玩法行为规划!Z54)</f>
        <v>8.3349999999999994E-2</v>
      </c>
      <c r="AB54" s="7" t="str">
        <f>IF(VLOOKUP(AB$2,行为概览!$D$3:$K$33,8,0)="","",VLOOKUP(AB$2,行为概览!$D$3:$K$33,8,0)*玩法行为规划!AA54)</f>
        <v/>
      </c>
      <c r="AC54" s="7" t="str">
        <f>IF(VLOOKUP(AC$2,行为概览!$D$3:$K$33,8,0)="","",VLOOKUP(AC$2,行为概览!$D$3:$K$33,8,0)*玩法行为规划!AB54)</f>
        <v/>
      </c>
      <c r="AD54" s="7" t="str">
        <f>IF(VLOOKUP(AD$2,行为概览!$D$3:$K$33,8,0)="","",VLOOKUP(AD$2,行为概览!$D$3:$K$33,8,0)*玩法行为规划!AC54)</f>
        <v/>
      </c>
      <c r="AE54" s="7" t="str">
        <f>IF(VLOOKUP(AE$2,行为概览!$D$3:$K$33,8,0)="","",VLOOKUP(AE$2,行为概览!$D$3:$K$33,8,0)*玩法行为规划!AD54)</f>
        <v/>
      </c>
      <c r="AF54" s="7">
        <f t="shared" si="8"/>
        <v>24.133149999999997</v>
      </c>
      <c r="AG54" s="7">
        <f t="shared" si="9"/>
        <v>6274619</v>
      </c>
      <c r="AH54" s="7">
        <f t="shared" si="4"/>
        <v>162470</v>
      </c>
      <c r="AI54" s="10" t="str">
        <f t="shared" si="7"/>
        <v/>
      </c>
      <c r="AJ54" s="73">
        <f t="shared" si="5"/>
        <v>135220</v>
      </c>
      <c r="AK54" s="77">
        <f>ROUND(AG54*升级节奏!G54/AJ59,2)</f>
        <v>15.34</v>
      </c>
      <c r="AL54" s="77">
        <f>ROUND(AG54*升级节奏!G54/SUM($AJ$3:AJ59),2)</f>
        <v>0.79</v>
      </c>
      <c r="AM54" s="74">
        <f>ROUND(AG54*升级节奏!G54,0)</f>
        <v>2492488</v>
      </c>
      <c r="AN54" s="77">
        <f>ROUND(SUM($AM$3:AM54)/SUM($AJ$3:AJ59),2)</f>
        <v>8.14</v>
      </c>
      <c r="AO54" s="7">
        <f t="shared" si="10"/>
        <v>4333</v>
      </c>
      <c r="AP54" s="7">
        <f t="shared" si="11"/>
        <v>31</v>
      </c>
    </row>
    <row r="55" spans="1:42">
      <c r="A55" s="32">
        <v>53</v>
      </c>
      <c r="B55" s="87">
        <f>升级节奏!D55</f>
        <v>265000</v>
      </c>
      <c r="C55" s="7">
        <f>IF(VLOOKUP(C$2,行为概览!$D$3:$K$33,8,0)="","",VLOOKUP(C$2,行为概览!$D$3:$K$33,8,0)*玩法行为规划!B55)</f>
        <v>0.99990000000000001</v>
      </c>
      <c r="D55" s="7">
        <f>IF(VLOOKUP(D$2,行为概览!$D$3:$K$33,8,0)="","",VLOOKUP(D$2,行为概览!$D$3:$K$33,8,0)*玩法行为规划!C55)</f>
        <v>1.1000000000000001</v>
      </c>
      <c r="E55" s="7" t="str">
        <f>IF(VLOOKUP(E$2,行为概览!$D$3:$K$33,8,0)="","",VLOOKUP(E$2,行为概览!$D$3:$K$33,8,0)*玩法行为规划!D55)</f>
        <v/>
      </c>
      <c r="F55" s="7">
        <f>IF(VLOOKUP(F$2,行为概览!$D$3:$K$33,8,0)="","",VLOOKUP(F$2,行为概览!$D$3:$K$33,8,0)*玩法行为规划!E55)</f>
        <v>1.5</v>
      </c>
      <c r="G55" s="7">
        <f>IF(VLOOKUP(G$2,行为概览!$D$3:$K$33,8,0)="","",VLOOKUP(G$2,行为概览!$D$3:$K$33,8,0)*玩法行为规划!F55)</f>
        <v>0.66659999999999997</v>
      </c>
      <c r="H55" s="7" t="str">
        <f>IF(VLOOKUP(H$2,行为概览!$D$3:$K$33,8,0)="","",VLOOKUP(H$2,行为概览!$D$3:$K$33,8,0)*玩法行为规划!G55)</f>
        <v/>
      </c>
      <c r="I55" s="7" t="str">
        <f>IF(VLOOKUP(I$2,行为概览!$D$3:$K$33,8,0)="","",VLOOKUP(I$2,行为概览!$D$3:$K$33,8,0)*玩法行为规划!H55)</f>
        <v/>
      </c>
      <c r="J55" s="7" t="str">
        <f>IF(VLOOKUP(J$2,行为概览!$D$3:$K$33,8,0)="","",VLOOKUP(J$2,行为概览!$D$3:$K$33,8,0)*玩法行为规划!I55)</f>
        <v/>
      </c>
      <c r="K55" s="7">
        <f>IF(VLOOKUP(K$2,行为概览!$D$3:$K$33,8,0)="","",VLOOKUP(K$2,行为概览!$D$3:$K$33,8,0)*玩法行为规划!J55)</f>
        <v>1</v>
      </c>
      <c r="L55" s="7" t="str">
        <f>IF(VLOOKUP(L$2,行为概览!$D$3:$K$33,8,0)="","",VLOOKUP(L$2,行为概览!$D$3:$K$33,8,0)*玩法行为规划!K55)</f>
        <v/>
      </c>
      <c r="M55" s="7" t="str">
        <f>IF(VLOOKUP(M$2,行为概览!$D$3:$K$33,8,0)="","",VLOOKUP(M$2,行为概览!$D$3:$K$33,8,0)*玩法行为规划!L55)</f>
        <v/>
      </c>
      <c r="N55" s="7">
        <f>IF(VLOOKUP(N$2,行为概览!$D$3:$K$33,8,0)="","",VLOOKUP(N$2,行为概览!$D$3:$K$33,8,0)*玩法行为规划!M55)</f>
        <v>12</v>
      </c>
      <c r="O55" s="7" t="str">
        <f>IF(VLOOKUP(O$2,行为概览!$D$3:$K$33,8,0)="","",VLOOKUP(O$2,行为概览!$D$3:$K$33,8,0)*玩法行为规划!N55)</f>
        <v/>
      </c>
      <c r="P55" s="7" t="str">
        <f>IF(VLOOKUP(P$2,行为概览!$D$3:$K$33,8,0)="","",VLOOKUP(P$2,行为概览!$D$3:$K$33,8,0)*玩法行为规划!O55)</f>
        <v/>
      </c>
      <c r="Q55" s="7">
        <f>IF(VLOOKUP(Q$2,行为概览!$D$3:$K$33,8,0)="","",VLOOKUP(Q$2,行为概览!$D$3:$K$33,8,0)*玩法行为规划!P55)</f>
        <v>5.2</v>
      </c>
      <c r="R55" s="7" t="str">
        <f>IF(VLOOKUP(R$2,行为概览!$D$3:$K$33,8,0)="","",VLOOKUP(R$2,行为概览!$D$3:$K$33,8,0)*玩法行为规划!Q55)</f>
        <v/>
      </c>
      <c r="S55" s="7">
        <f>IF(VLOOKUP(S$2,行为概览!$D$3:$K$33,8,0)="","",VLOOKUP(S$2,行为概览!$D$3:$K$33,8,0)*玩法行为规划!R55)</f>
        <v>0.49995000000000001</v>
      </c>
      <c r="T55" s="7">
        <f>IF(VLOOKUP(T$2,行为概览!$D$3:$K$33,8,0)="","",VLOOKUP(T$2,行为概览!$D$3:$K$33,8,0)*玩法行为规划!S55)</f>
        <v>0</v>
      </c>
      <c r="U55" s="7">
        <f>IF(VLOOKUP(U$2,行为概览!$D$3:$K$33,8,0)="","",VLOOKUP(U$2,行为概览!$D$3:$K$33,8,0)*玩法行为规划!T55)</f>
        <v>0.49995000000000001</v>
      </c>
      <c r="V55" s="7">
        <f>IF(VLOOKUP(V$2,行为概览!$D$3:$K$33,8,0)="","",VLOOKUP(V$2,行为概览!$D$3:$K$33,8,0)*玩法行为规划!U55)</f>
        <v>0.33339999999999997</v>
      </c>
      <c r="W55" s="7" t="str">
        <f>IF(VLOOKUP(W$2,行为概览!$D$3:$K$33,8,0)="","",VLOOKUP(W$2,行为概览!$D$3:$K$33,8,0)*玩法行为规划!V55)</f>
        <v/>
      </c>
      <c r="X55" s="7" t="str">
        <f>IF(VLOOKUP(X$2,行为概览!$D$3:$K$33,8,0)="","",VLOOKUP(X$2,行为概览!$D$3:$K$33,8,0)*玩法行为规划!W55)</f>
        <v/>
      </c>
      <c r="Y55" s="7">
        <f>IF(VLOOKUP(Y$2,行为概览!$D$3:$K$33,8,0)="","",VLOOKUP(Y$2,行为概览!$D$3:$K$33,8,0)*玩法行为规划!X55)</f>
        <v>0.25</v>
      </c>
      <c r="Z55" s="7" t="str">
        <f>IF(VLOOKUP(Z$2,行为概览!$D$3:$K$33,8,0)="","",VLOOKUP(Z$2,行为概览!$D$3:$K$33,8,0)*玩法行为规划!Y55)</f>
        <v/>
      </c>
      <c r="AA55" s="7">
        <f>IF(VLOOKUP(AA$2,行为概览!$D$3:$K$33,8,0)="","",VLOOKUP(AA$2,行为概览!$D$3:$K$33,8,0)*玩法行为规划!Z55)</f>
        <v>8.3349999999999994E-2</v>
      </c>
      <c r="AB55" s="7" t="str">
        <f>IF(VLOOKUP(AB$2,行为概览!$D$3:$K$33,8,0)="","",VLOOKUP(AB$2,行为概览!$D$3:$K$33,8,0)*玩法行为规划!AA55)</f>
        <v/>
      </c>
      <c r="AC55" s="7" t="str">
        <f>IF(VLOOKUP(AC$2,行为概览!$D$3:$K$33,8,0)="","",VLOOKUP(AC$2,行为概览!$D$3:$K$33,8,0)*玩法行为规划!AB55)</f>
        <v/>
      </c>
      <c r="AD55" s="7" t="str">
        <f>IF(VLOOKUP(AD$2,行为概览!$D$3:$K$33,8,0)="","",VLOOKUP(AD$2,行为概览!$D$3:$K$33,8,0)*玩法行为规划!AC55)</f>
        <v/>
      </c>
      <c r="AE55" s="7" t="str">
        <f>IF(VLOOKUP(AE$2,行为概览!$D$3:$K$33,8,0)="","",VLOOKUP(AE$2,行为概览!$D$3:$K$33,8,0)*玩法行为规划!AD55)</f>
        <v/>
      </c>
      <c r="AF55" s="7">
        <f t="shared" si="8"/>
        <v>24.133149999999997</v>
      </c>
      <c r="AG55" s="7">
        <f t="shared" si="9"/>
        <v>6395284</v>
      </c>
      <c r="AH55" s="7">
        <f t="shared" si="4"/>
        <v>168220</v>
      </c>
      <c r="AI55" s="10" t="str">
        <f t="shared" si="7"/>
        <v/>
      </c>
      <c r="AJ55" s="73">
        <f t="shared" si="5"/>
        <v>140470</v>
      </c>
      <c r="AK55" s="77">
        <f>ROUND(AG55*升级节奏!G55/AJ60,2)</f>
        <v>15.67</v>
      </c>
      <c r="AL55" s="77">
        <f>ROUND(AG55*升级节奏!G55/SUM($AJ$3:AJ60),2)</f>
        <v>0.79</v>
      </c>
      <c r="AM55" s="74">
        <f>ROUND(AG55*升级节奏!G55,0)</f>
        <v>2635550</v>
      </c>
      <c r="AN55" s="77">
        <f>ROUND(SUM($AM$3:AM55)/SUM($AJ$3:AJ60),2)</f>
        <v>8.52</v>
      </c>
      <c r="AO55" s="7">
        <f t="shared" si="10"/>
        <v>4417</v>
      </c>
      <c r="AP55" s="7">
        <f t="shared" si="11"/>
        <v>32</v>
      </c>
    </row>
    <row r="56" spans="1:42">
      <c r="A56" s="32">
        <v>54</v>
      </c>
      <c r="B56" s="87">
        <f>升级节奏!D56</f>
        <v>270000</v>
      </c>
      <c r="C56" s="7">
        <f>IF(VLOOKUP(C$2,行为概览!$D$3:$K$33,8,0)="","",VLOOKUP(C$2,行为概览!$D$3:$K$33,8,0)*玩法行为规划!B56)</f>
        <v>0.99990000000000001</v>
      </c>
      <c r="D56" s="7">
        <f>IF(VLOOKUP(D$2,行为概览!$D$3:$K$33,8,0)="","",VLOOKUP(D$2,行为概览!$D$3:$K$33,8,0)*玩法行为规划!C56)</f>
        <v>1.1000000000000001</v>
      </c>
      <c r="E56" s="7" t="str">
        <f>IF(VLOOKUP(E$2,行为概览!$D$3:$K$33,8,0)="","",VLOOKUP(E$2,行为概览!$D$3:$K$33,8,0)*玩法行为规划!D56)</f>
        <v/>
      </c>
      <c r="F56" s="7">
        <f>IF(VLOOKUP(F$2,行为概览!$D$3:$K$33,8,0)="","",VLOOKUP(F$2,行为概览!$D$3:$K$33,8,0)*玩法行为规划!E56)</f>
        <v>1.5</v>
      </c>
      <c r="G56" s="7">
        <f>IF(VLOOKUP(G$2,行为概览!$D$3:$K$33,8,0)="","",VLOOKUP(G$2,行为概览!$D$3:$K$33,8,0)*玩法行为规划!F56)</f>
        <v>0.66659999999999997</v>
      </c>
      <c r="H56" s="7" t="str">
        <f>IF(VLOOKUP(H$2,行为概览!$D$3:$K$33,8,0)="","",VLOOKUP(H$2,行为概览!$D$3:$K$33,8,0)*玩法行为规划!G56)</f>
        <v/>
      </c>
      <c r="I56" s="7" t="str">
        <f>IF(VLOOKUP(I$2,行为概览!$D$3:$K$33,8,0)="","",VLOOKUP(I$2,行为概览!$D$3:$K$33,8,0)*玩法行为规划!H56)</f>
        <v/>
      </c>
      <c r="J56" s="7" t="str">
        <f>IF(VLOOKUP(J$2,行为概览!$D$3:$K$33,8,0)="","",VLOOKUP(J$2,行为概览!$D$3:$K$33,8,0)*玩法行为规划!I56)</f>
        <v/>
      </c>
      <c r="K56" s="7">
        <f>IF(VLOOKUP(K$2,行为概览!$D$3:$K$33,8,0)="","",VLOOKUP(K$2,行为概览!$D$3:$K$33,8,0)*玩法行为规划!J56)</f>
        <v>1</v>
      </c>
      <c r="L56" s="7" t="str">
        <f>IF(VLOOKUP(L$2,行为概览!$D$3:$K$33,8,0)="","",VLOOKUP(L$2,行为概览!$D$3:$K$33,8,0)*玩法行为规划!K56)</f>
        <v/>
      </c>
      <c r="M56" s="7" t="str">
        <f>IF(VLOOKUP(M$2,行为概览!$D$3:$K$33,8,0)="","",VLOOKUP(M$2,行为概览!$D$3:$K$33,8,0)*玩法行为规划!L56)</f>
        <v/>
      </c>
      <c r="N56" s="7">
        <f>IF(VLOOKUP(N$2,行为概览!$D$3:$K$33,8,0)="","",VLOOKUP(N$2,行为概览!$D$3:$K$33,8,0)*玩法行为规划!M56)</f>
        <v>12</v>
      </c>
      <c r="O56" s="7" t="str">
        <f>IF(VLOOKUP(O$2,行为概览!$D$3:$K$33,8,0)="","",VLOOKUP(O$2,行为概览!$D$3:$K$33,8,0)*玩法行为规划!N56)</f>
        <v/>
      </c>
      <c r="P56" s="7" t="str">
        <f>IF(VLOOKUP(P$2,行为概览!$D$3:$K$33,8,0)="","",VLOOKUP(P$2,行为概览!$D$3:$K$33,8,0)*玩法行为规划!O56)</f>
        <v/>
      </c>
      <c r="Q56" s="7">
        <f>IF(VLOOKUP(Q$2,行为概览!$D$3:$K$33,8,0)="","",VLOOKUP(Q$2,行为概览!$D$3:$K$33,8,0)*玩法行为规划!P56)</f>
        <v>5.2</v>
      </c>
      <c r="R56" s="7" t="str">
        <f>IF(VLOOKUP(R$2,行为概览!$D$3:$K$33,8,0)="","",VLOOKUP(R$2,行为概览!$D$3:$K$33,8,0)*玩法行为规划!Q56)</f>
        <v/>
      </c>
      <c r="S56" s="7">
        <f>IF(VLOOKUP(S$2,行为概览!$D$3:$K$33,8,0)="","",VLOOKUP(S$2,行为概览!$D$3:$K$33,8,0)*玩法行为规划!R56)</f>
        <v>0.49995000000000001</v>
      </c>
      <c r="T56" s="7">
        <f>IF(VLOOKUP(T$2,行为概览!$D$3:$K$33,8,0)="","",VLOOKUP(T$2,行为概览!$D$3:$K$33,8,0)*玩法行为规划!S56)</f>
        <v>0</v>
      </c>
      <c r="U56" s="7">
        <f>IF(VLOOKUP(U$2,行为概览!$D$3:$K$33,8,0)="","",VLOOKUP(U$2,行为概览!$D$3:$K$33,8,0)*玩法行为规划!T56)</f>
        <v>0.49995000000000001</v>
      </c>
      <c r="V56" s="7">
        <f>IF(VLOOKUP(V$2,行为概览!$D$3:$K$33,8,0)="","",VLOOKUP(V$2,行为概览!$D$3:$K$33,8,0)*玩法行为规划!U56)</f>
        <v>0.33339999999999997</v>
      </c>
      <c r="W56" s="7" t="str">
        <f>IF(VLOOKUP(W$2,行为概览!$D$3:$K$33,8,0)="","",VLOOKUP(W$2,行为概览!$D$3:$K$33,8,0)*玩法行为规划!V56)</f>
        <v/>
      </c>
      <c r="X56" s="7" t="str">
        <f>IF(VLOOKUP(X$2,行为概览!$D$3:$K$33,8,0)="","",VLOOKUP(X$2,行为概览!$D$3:$K$33,8,0)*玩法行为规划!W56)</f>
        <v/>
      </c>
      <c r="Y56" s="7">
        <f>IF(VLOOKUP(Y$2,行为概览!$D$3:$K$33,8,0)="","",VLOOKUP(Y$2,行为概览!$D$3:$K$33,8,0)*玩法行为规划!X56)</f>
        <v>0.25</v>
      </c>
      <c r="Z56" s="7" t="str">
        <f>IF(VLOOKUP(Z$2,行为概览!$D$3:$K$33,8,0)="","",VLOOKUP(Z$2,行为概览!$D$3:$K$33,8,0)*玩法行为规划!Y56)</f>
        <v/>
      </c>
      <c r="AA56" s="7">
        <f>IF(VLOOKUP(AA$2,行为概览!$D$3:$K$33,8,0)="","",VLOOKUP(AA$2,行为概览!$D$3:$K$33,8,0)*玩法行为规划!Z56)</f>
        <v>8.3349999999999994E-2</v>
      </c>
      <c r="AB56" s="7" t="str">
        <f>IF(VLOOKUP(AB$2,行为概览!$D$3:$K$33,8,0)="","",VLOOKUP(AB$2,行为概览!$D$3:$K$33,8,0)*玩法行为规划!AA56)</f>
        <v/>
      </c>
      <c r="AC56" s="7" t="str">
        <f>IF(VLOOKUP(AC$2,行为概览!$D$3:$K$33,8,0)="","",VLOOKUP(AC$2,行为概览!$D$3:$K$33,8,0)*玩法行为规划!AB56)</f>
        <v/>
      </c>
      <c r="AD56" s="7" t="str">
        <f>IF(VLOOKUP(AD$2,行为概览!$D$3:$K$33,8,0)="","",VLOOKUP(AD$2,行为概览!$D$3:$K$33,8,0)*玩法行为规划!AC56)</f>
        <v/>
      </c>
      <c r="AE56" s="7" t="str">
        <f>IF(VLOOKUP(AE$2,行为概览!$D$3:$K$33,8,0)="","",VLOOKUP(AE$2,行为概览!$D$3:$K$33,8,0)*玩法行为规划!AD56)</f>
        <v/>
      </c>
      <c r="AF56" s="7">
        <f t="shared" si="8"/>
        <v>24.133149999999997</v>
      </c>
      <c r="AG56" s="7">
        <f t="shared" si="9"/>
        <v>6515950</v>
      </c>
      <c r="AH56" s="7">
        <f t="shared" si="4"/>
        <v>174070</v>
      </c>
      <c r="AI56" s="10" t="str">
        <f t="shared" si="7"/>
        <v/>
      </c>
      <c r="AJ56" s="73">
        <f t="shared" si="5"/>
        <v>145820</v>
      </c>
      <c r="AK56" s="77">
        <f>ROUND(AG56*升级节奏!G56/AJ61,2)</f>
        <v>18.82</v>
      </c>
      <c r="AL56" s="77">
        <f>ROUND(AG56*升级节奏!G56/SUM($AJ$3:AJ61),2)</f>
        <v>0.93</v>
      </c>
      <c r="AM56" s="74">
        <f>ROUND(AG56*升级节奏!G56,0)</f>
        <v>3275351</v>
      </c>
      <c r="AN56" s="77">
        <f>ROUND(SUM($AM$3:AM56)/SUM($AJ$3:AJ61),2)</f>
        <v>9.0299999999999994</v>
      </c>
      <c r="AO56" s="7">
        <f t="shared" si="10"/>
        <v>4500</v>
      </c>
      <c r="AP56" s="7">
        <f t="shared" si="11"/>
        <v>32</v>
      </c>
    </row>
    <row r="57" spans="1:42">
      <c r="A57" s="32">
        <v>55</v>
      </c>
      <c r="B57" s="87">
        <f>升级节奏!D57</f>
        <v>275000</v>
      </c>
      <c r="C57" s="7">
        <f>IF(VLOOKUP(C$2,行为概览!$D$3:$K$33,8,0)="","",VLOOKUP(C$2,行为概览!$D$3:$K$33,8,0)*玩法行为规划!B57)</f>
        <v>0.99990000000000001</v>
      </c>
      <c r="D57" s="7">
        <f>IF(VLOOKUP(D$2,行为概览!$D$3:$K$33,8,0)="","",VLOOKUP(D$2,行为概览!$D$3:$K$33,8,0)*玩法行为规划!C57)</f>
        <v>1.1000000000000001</v>
      </c>
      <c r="E57" s="7" t="str">
        <f>IF(VLOOKUP(E$2,行为概览!$D$3:$K$33,8,0)="","",VLOOKUP(E$2,行为概览!$D$3:$K$33,8,0)*玩法行为规划!D57)</f>
        <v/>
      </c>
      <c r="F57" s="7">
        <f>IF(VLOOKUP(F$2,行为概览!$D$3:$K$33,8,0)="","",VLOOKUP(F$2,行为概览!$D$3:$K$33,8,0)*玩法行为规划!E57)</f>
        <v>1.5</v>
      </c>
      <c r="G57" s="7">
        <f>IF(VLOOKUP(G$2,行为概览!$D$3:$K$33,8,0)="","",VLOOKUP(G$2,行为概览!$D$3:$K$33,8,0)*玩法行为规划!F57)</f>
        <v>0.66659999999999997</v>
      </c>
      <c r="H57" s="7" t="str">
        <f>IF(VLOOKUP(H$2,行为概览!$D$3:$K$33,8,0)="","",VLOOKUP(H$2,行为概览!$D$3:$K$33,8,0)*玩法行为规划!G57)</f>
        <v/>
      </c>
      <c r="I57" s="7" t="str">
        <f>IF(VLOOKUP(I$2,行为概览!$D$3:$K$33,8,0)="","",VLOOKUP(I$2,行为概览!$D$3:$K$33,8,0)*玩法行为规划!H57)</f>
        <v/>
      </c>
      <c r="J57" s="7" t="str">
        <f>IF(VLOOKUP(J$2,行为概览!$D$3:$K$33,8,0)="","",VLOOKUP(J$2,行为概览!$D$3:$K$33,8,0)*玩法行为规划!I57)</f>
        <v/>
      </c>
      <c r="K57" s="7">
        <f>IF(VLOOKUP(K$2,行为概览!$D$3:$K$33,8,0)="","",VLOOKUP(K$2,行为概览!$D$3:$K$33,8,0)*玩法行为规划!J57)</f>
        <v>1</v>
      </c>
      <c r="L57" s="7" t="str">
        <f>IF(VLOOKUP(L$2,行为概览!$D$3:$K$33,8,0)="","",VLOOKUP(L$2,行为概览!$D$3:$K$33,8,0)*玩法行为规划!K57)</f>
        <v/>
      </c>
      <c r="M57" s="7" t="str">
        <f>IF(VLOOKUP(M$2,行为概览!$D$3:$K$33,8,0)="","",VLOOKUP(M$2,行为概览!$D$3:$K$33,8,0)*玩法行为规划!L57)</f>
        <v/>
      </c>
      <c r="N57" s="7">
        <f>IF(VLOOKUP(N$2,行为概览!$D$3:$K$33,8,0)="","",VLOOKUP(N$2,行为概览!$D$3:$K$33,8,0)*玩法行为规划!M57)</f>
        <v>12</v>
      </c>
      <c r="O57" s="7" t="str">
        <f>IF(VLOOKUP(O$2,行为概览!$D$3:$K$33,8,0)="","",VLOOKUP(O$2,行为概览!$D$3:$K$33,8,0)*玩法行为规划!N57)</f>
        <v/>
      </c>
      <c r="P57" s="7" t="str">
        <f>IF(VLOOKUP(P$2,行为概览!$D$3:$K$33,8,0)="","",VLOOKUP(P$2,行为概览!$D$3:$K$33,8,0)*玩法行为规划!O57)</f>
        <v/>
      </c>
      <c r="Q57" s="7">
        <f>IF(VLOOKUP(Q$2,行为概览!$D$3:$K$33,8,0)="","",VLOOKUP(Q$2,行为概览!$D$3:$K$33,8,0)*玩法行为规划!P57)</f>
        <v>5.2</v>
      </c>
      <c r="R57" s="7" t="str">
        <f>IF(VLOOKUP(R$2,行为概览!$D$3:$K$33,8,0)="","",VLOOKUP(R$2,行为概览!$D$3:$K$33,8,0)*玩法行为规划!Q57)</f>
        <v/>
      </c>
      <c r="S57" s="7">
        <f>IF(VLOOKUP(S$2,行为概览!$D$3:$K$33,8,0)="","",VLOOKUP(S$2,行为概览!$D$3:$K$33,8,0)*玩法行为规划!R57)</f>
        <v>0.49995000000000001</v>
      </c>
      <c r="T57" s="7">
        <f>IF(VLOOKUP(T$2,行为概览!$D$3:$K$33,8,0)="","",VLOOKUP(T$2,行为概览!$D$3:$K$33,8,0)*玩法行为规划!S57)</f>
        <v>0</v>
      </c>
      <c r="U57" s="7">
        <f>IF(VLOOKUP(U$2,行为概览!$D$3:$K$33,8,0)="","",VLOOKUP(U$2,行为概览!$D$3:$K$33,8,0)*玩法行为规划!T57)</f>
        <v>0.49995000000000001</v>
      </c>
      <c r="V57" s="7">
        <f>IF(VLOOKUP(V$2,行为概览!$D$3:$K$33,8,0)="","",VLOOKUP(V$2,行为概览!$D$3:$K$33,8,0)*玩法行为规划!U57)</f>
        <v>0.33339999999999997</v>
      </c>
      <c r="W57" s="7" t="str">
        <f>IF(VLOOKUP(W$2,行为概览!$D$3:$K$33,8,0)="","",VLOOKUP(W$2,行为概览!$D$3:$K$33,8,0)*玩法行为规划!V57)</f>
        <v/>
      </c>
      <c r="X57" s="7" t="str">
        <f>IF(VLOOKUP(X$2,行为概览!$D$3:$K$33,8,0)="","",VLOOKUP(X$2,行为概览!$D$3:$K$33,8,0)*玩法行为规划!W57)</f>
        <v/>
      </c>
      <c r="Y57" s="7">
        <f>IF(VLOOKUP(Y$2,行为概览!$D$3:$K$33,8,0)="","",VLOOKUP(Y$2,行为概览!$D$3:$K$33,8,0)*玩法行为规划!X57)</f>
        <v>0.25</v>
      </c>
      <c r="Z57" s="7" t="str">
        <f>IF(VLOOKUP(Z$2,行为概览!$D$3:$K$33,8,0)="","",VLOOKUP(Z$2,行为概览!$D$3:$K$33,8,0)*玩法行为规划!Y57)</f>
        <v/>
      </c>
      <c r="AA57" s="7">
        <f>IF(VLOOKUP(AA$2,行为概览!$D$3:$K$33,8,0)="","",VLOOKUP(AA$2,行为概览!$D$3:$K$33,8,0)*玩法行为规划!Z57)</f>
        <v>8.3349999999999994E-2</v>
      </c>
      <c r="AB57" s="7" t="str">
        <f>IF(VLOOKUP(AB$2,行为概览!$D$3:$K$33,8,0)="","",VLOOKUP(AB$2,行为概览!$D$3:$K$33,8,0)*玩法行为规划!AA57)</f>
        <v/>
      </c>
      <c r="AC57" s="7" t="str">
        <f>IF(VLOOKUP(AC$2,行为概览!$D$3:$K$33,8,0)="","",VLOOKUP(AC$2,行为概览!$D$3:$K$33,8,0)*玩法行为规划!AB57)</f>
        <v/>
      </c>
      <c r="AD57" s="7" t="str">
        <f>IF(VLOOKUP(AD$2,行为概览!$D$3:$K$33,8,0)="","",VLOOKUP(AD$2,行为概览!$D$3:$K$33,8,0)*玩法行为规划!AC57)</f>
        <v/>
      </c>
      <c r="AE57" s="7" t="str">
        <f>IF(VLOOKUP(AE$2,行为概览!$D$3:$K$33,8,0)="","",VLOOKUP(AE$2,行为概览!$D$3:$K$33,8,0)*玩法行为规划!AD57)</f>
        <v/>
      </c>
      <c r="AF57" s="7">
        <f t="shared" si="8"/>
        <v>24.133149999999997</v>
      </c>
      <c r="AG57" s="7">
        <f t="shared" si="9"/>
        <v>6636616</v>
      </c>
      <c r="AH57" s="7">
        <f t="shared" si="4"/>
        <v>180020</v>
      </c>
      <c r="AI57" s="10" t="str">
        <f t="shared" si="7"/>
        <v/>
      </c>
      <c r="AJ57" s="73">
        <f t="shared" si="5"/>
        <v>151270</v>
      </c>
      <c r="AK57" s="77">
        <f>ROUND(AG57*升级节奏!G57/AJ62,2)</f>
        <v>19.2</v>
      </c>
      <c r="AL57" s="77">
        <f>ROUND(AG57*升级节奏!G57/SUM($AJ$3:AJ62),2)</f>
        <v>0.94</v>
      </c>
      <c r="AM57" s="74">
        <f>ROUND(AG57*升级节奏!G57,0)</f>
        <v>3456571</v>
      </c>
      <c r="AN57" s="77">
        <f>ROUND(SUM($AM$3:AM57)/SUM($AJ$3:AJ62),2)</f>
        <v>9.5299999999999994</v>
      </c>
      <c r="AO57" s="7">
        <f t="shared" si="10"/>
        <v>4583</v>
      </c>
      <c r="AP57" s="7">
        <f t="shared" si="11"/>
        <v>33</v>
      </c>
    </row>
    <row r="58" spans="1:42">
      <c r="A58" s="32">
        <v>56</v>
      </c>
      <c r="B58" s="87">
        <f>升级节奏!D58</f>
        <v>280000</v>
      </c>
      <c r="C58" s="7">
        <f>IF(VLOOKUP(C$2,行为概览!$D$3:$K$33,8,0)="","",VLOOKUP(C$2,行为概览!$D$3:$K$33,8,0)*玩法行为规划!B58)</f>
        <v>0.99990000000000001</v>
      </c>
      <c r="D58" s="7">
        <f>IF(VLOOKUP(D$2,行为概览!$D$3:$K$33,8,0)="","",VLOOKUP(D$2,行为概览!$D$3:$K$33,8,0)*玩法行为规划!C58)</f>
        <v>1.1000000000000001</v>
      </c>
      <c r="E58" s="7" t="str">
        <f>IF(VLOOKUP(E$2,行为概览!$D$3:$K$33,8,0)="","",VLOOKUP(E$2,行为概览!$D$3:$K$33,8,0)*玩法行为规划!D58)</f>
        <v/>
      </c>
      <c r="F58" s="7">
        <f>IF(VLOOKUP(F$2,行为概览!$D$3:$K$33,8,0)="","",VLOOKUP(F$2,行为概览!$D$3:$K$33,8,0)*玩法行为规划!E58)</f>
        <v>1.5</v>
      </c>
      <c r="G58" s="7">
        <f>IF(VLOOKUP(G$2,行为概览!$D$3:$K$33,8,0)="","",VLOOKUP(G$2,行为概览!$D$3:$K$33,8,0)*玩法行为规划!F58)</f>
        <v>0.66659999999999997</v>
      </c>
      <c r="H58" s="7" t="str">
        <f>IF(VLOOKUP(H$2,行为概览!$D$3:$K$33,8,0)="","",VLOOKUP(H$2,行为概览!$D$3:$K$33,8,0)*玩法行为规划!G58)</f>
        <v/>
      </c>
      <c r="I58" s="7" t="str">
        <f>IF(VLOOKUP(I$2,行为概览!$D$3:$K$33,8,0)="","",VLOOKUP(I$2,行为概览!$D$3:$K$33,8,0)*玩法行为规划!H58)</f>
        <v/>
      </c>
      <c r="J58" s="7" t="str">
        <f>IF(VLOOKUP(J$2,行为概览!$D$3:$K$33,8,0)="","",VLOOKUP(J$2,行为概览!$D$3:$K$33,8,0)*玩法行为规划!I58)</f>
        <v/>
      </c>
      <c r="K58" s="7">
        <f>IF(VLOOKUP(K$2,行为概览!$D$3:$K$33,8,0)="","",VLOOKUP(K$2,行为概览!$D$3:$K$33,8,0)*玩法行为规划!J58)</f>
        <v>1</v>
      </c>
      <c r="L58" s="7" t="str">
        <f>IF(VLOOKUP(L$2,行为概览!$D$3:$K$33,8,0)="","",VLOOKUP(L$2,行为概览!$D$3:$K$33,8,0)*玩法行为规划!K58)</f>
        <v/>
      </c>
      <c r="M58" s="7" t="str">
        <f>IF(VLOOKUP(M$2,行为概览!$D$3:$K$33,8,0)="","",VLOOKUP(M$2,行为概览!$D$3:$K$33,8,0)*玩法行为规划!L58)</f>
        <v/>
      </c>
      <c r="N58" s="7">
        <f>IF(VLOOKUP(N$2,行为概览!$D$3:$K$33,8,0)="","",VLOOKUP(N$2,行为概览!$D$3:$K$33,8,0)*玩法行为规划!M58)</f>
        <v>12</v>
      </c>
      <c r="O58" s="7" t="str">
        <f>IF(VLOOKUP(O$2,行为概览!$D$3:$K$33,8,0)="","",VLOOKUP(O$2,行为概览!$D$3:$K$33,8,0)*玩法行为规划!N58)</f>
        <v/>
      </c>
      <c r="P58" s="7" t="str">
        <f>IF(VLOOKUP(P$2,行为概览!$D$3:$K$33,8,0)="","",VLOOKUP(P$2,行为概览!$D$3:$K$33,8,0)*玩法行为规划!O58)</f>
        <v/>
      </c>
      <c r="Q58" s="7">
        <f>IF(VLOOKUP(Q$2,行为概览!$D$3:$K$33,8,0)="","",VLOOKUP(Q$2,行为概览!$D$3:$K$33,8,0)*玩法行为规划!P58)</f>
        <v>5.2</v>
      </c>
      <c r="R58" s="7" t="str">
        <f>IF(VLOOKUP(R$2,行为概览!$D$3:$K$33,8,0)="","",VLOOKUP(R$2,行为概览!$D$3:$K$33,8,0)*玩法行为规划!Q58)</f>
        <v/>
      </c>
      <c r="S58" s="7">
        <f>IF(VLOOKUP(S$2,行为概览!$D$3:$K$33,8,0)="","",VLOOKUP(S$2,行为概览!$D$3:$K$33,8,0)*玩法行为规划!R58)</f>
        <v>0.49995000000000001</v>
      </c>
      <c r="T58" s="7">
        <f>IF(VLOOKUP(T$2,行为概览!$D$3:$K$33,8,0)="","",VLOOKUP(T$2,行为概览!$D$3:$K$33,8,0)*玩法行为规划!S58)</f>
        <v>0</v>
      </c>
      <c r="U58" s="7">
        <f>IF(VLOOKUP(U$2,行为概览!$D$3:$K$33,8,0)="","",VLOOKUP(U$2,行为概览!$D$3:$K$33,8,0)*玩法行为规划!T58)</f>
        <v>0.49995000000000001</v>
      </c>
      <c r="V58" s="7">
        <f>IF(VLOOKUP(V$2,行为概览!$D$3:$K$33,8,0)="","",VLOOKUP(V$2,行为概览!$D$3:$K$33,8,0)*玩法行为规划!U58)</f>
        <v>0.33339999999999997</v>
      </c>
      <c r="W58" s="7" t="str">
        <f>IF(VLOOKUP(W$2,行为概览!$D$3:$K$33,8,0)="","",VLOOKUP(W$2,行为概览!$D$3:$K$33,8,0)*玩法行为规划!V58)</f>
        <v/>
      </c>
      <c r="X58" s="7" t="str">
        <f>IF(VLOOKUP(X$2,行为概览!$D$3:$K$33,8,0)="","",VLOOKUP(X$2,行为概览!$D$3:$K$33,8,0)*玩法行为规划!W58)</f>
        <v/>
      </c>
      <c r="Y58" s="7">
        <f>IF(VLOOKUP(Y$2,行为概览!$D$3:$K$33,8,0)="","",VLOOKUP(Y$2,行为概览!$D$3:$K$33,8,0)*玩法行为规划!X58)</f>
        <v>0.25</v>
      </c>
      <c r="Z58" s="7" t="str">
        <f>IF(VLOOKUP(Z$2,行为概览!$D$3:$K$33,8,0)="","",VLOOKUP(Z$2,行为概览!$D$3:$K$33,8,0)*玩法行为规划!Y58)</f>
        <v/>
      </c>
      <c r="AA58" s="7">
        <f>IF(VLOOKUP(AA$2,行为概览!$D$3:$K$33,8,0)="","",VLOOKUP(AA$2,行为概览!$D$3:$K$33,8,0)*玩法行为规划!Z58)</f>
        <v>8.3349999999999994E-2</v>
      </c>
      <c r="AB58" s="7" t="str">
        <f>IF(VLOOKUP(AB$2,行为概览!$D$3:$K$33,8,0)="","",VLOOKUP(AB$2,行为概览!$D$3:$K$33,8,0)*玩法行为规划!AA58)</f>
        <v/>
      </c>
      <c r="AC58" s="7" t="str">
        <f>IF(VLOOKUP(AC$2,行为概览!$D$3:$K$33,8,0)="","",VLOOKUP(AC$2,行为概览!$D$3:$K$33,8,0)*玩法行为规划!AB58)</f>
        <v/>
      </c>
      <c r="AD58" s="7" t="str">
        <f>IF(VLOOKUP(AD$2,行为概览!$D$3:$K$33,8,0)="","",VLOOKUP(AD$2,行为概览!$D$3:$K$33,8,0)*玩法行为规划!AC58)</f>
        <v/>
      </c>
      <c r="AE58" s="7" t="str">
        <f>IF(VLOOKUP(AE$2,行为概览!$D$3:$K$33,8,0)="","",VLOOKUP(AE$2,行为概览!$D$3:$K$33,8,0)*玩法行为规划!AD58)</f>
        <v/>
      </c>
      <c r="AF58" s="7">
        <f t="shared" si="8"/>
        <v>24.133149999999997</v>
      </c>
      <c r="AG58" s="7">
        <f t="shared" si="9"/>
        <v>6757282</v>
      </c>
      <c r="AH58" s="7">
        <f t="shared" si="4"/>
        <v>186070</v>
      </c>
      <c r="AI58" s="10" t="str">
        <f t="shared" si="7"/>
        <v/>
      </c>
      <c r="AJ58" s="73">
        <f t="shared" si="5"/>
        <v>156820</v>
      </c>
      <c r="AK58" s="77">
        <f>ROUND(AG58*升级节奏!G58/AJ63,2)</f>
        <v>29.38</v>
      </c>
      <c r="AL58" s="77">
        <f>ROUND(AG58*升级节奏!G58/SUM($AJ$3:AJ63),2)</f>
        <v>1.41</v>
      </c>
      <c r="AM58" s="74">
        <f>ROUND(AG58*升级节奏!G58,0)</f>
        <v>5466641</v>
      </c>
      <c r="AN58" s="77">
        <f>ROUND(SUM($AM$3:AM58)/SUM($AJ$3:AJ63),2)</f>
        <v>10.48</v>
      </c>
      <c r="AO58" s="7">
        <f t="shared" si="10"/>
        <v>4667</v>
      </c>
      <c r="AP58" s="7">
        <f t="shared" si="11"/>
        <v>34</v>
      </c>
    </row>
    <row r="59" spans="1:42">
      <c r="A59" s="32">
        <v>57</v>
      </c>
      <c r="B59" s="87">
        <f>升级节奏!D59</f>
        <v>285000</v>
      </c>
      <c r="C59" s="7">
        <f>IF(VLOOKUP(C$2,行为概览!$D$3:$K$33,8,0)="","",VLOOKUP(C$2,行为概览!$D$3:$K$33,8,0)*玩法行为规划!B59)</f>
        <v>0.99990000000000001</v>
      </c>
      <c r="D59" s="7">
        <f>IF(VLOOKUP(D$2,行为概览!$D$3:$K$33,8,0)="","",VLOOKUP(D$2,行为概览!$D$3:$K$33,8,0)*玩法行为规划!C59)</f>
        <v>1.1000000000000001</v>
      </c>
      <c r="E59" s="7" t="str">
        <f>IF(VLOOKUP(E$2,行为概览!$D$3:$K$33,8,0)="","",VLOOKUP(E$2,行为概览!$D$3:$K$33,8,0)*玩法行为规划!D59)</f>
        <v/>
      </c>
      <c r="F59" s="7">
        <f>IF(VLOOKUP(F$2,行为概览!$D$3:$K$33,8,0)="","",VLOOKUP(F$2,行为概览!$D$3:$K$33,8,0)*玩法行为规划!E59)</f>
        <v>1.5</v>
      </c>
      <c r="G59" s="7">
        <f>IF(VLOOKUP(G$2,行为概览!$D$3:$K$33,8,0)="","",VLOOKUP(G$2,行为概览!$D$3:$K$33,8,0)*玩法行为规划!F59)</f>
        <v>0.66659999999999997</v>
      </c>
      <c r="H59" s="7" t="str">
        <f>IF(VLOOKUP(H$2,行为概览!$D$3:$K$33,8,0)="","",VLOOKUP(H$2,行为概览!$D$3:$K$33,8,0)*玩法行为规划!G59)</f>
        <v/>
      </c>
      <c r="I59" s="7" t="str">
        <f>IF(VLOOKUP(I$2,行为概览!$D$3:$K$33,8,0)="","",VLOOKUP(I$2,行为概览!$D$3:$K$33,8,0)*玩法行为规划!H59)</f>
        <v/>
      </c>
      <c r="J59" s="7" t="str">
        <f>IF(VLOOKUP(J$2,行为概览!$D$3:$K$33,8,0)="","",VLOOKUP(J$2,行为概览!$D$3:$K$33,8,0)*玩法行为规划!I59)</f>
        <v/>
      </c>
      <c r="K59" s="7">
        <f>IF(VLOOKUP(K$2,行为概览!$D$3:$K$33,8,0)="","",VLOOKUP(K$2,行为概览!$D$3:$K$33,8,0)*玩法行为规划!J59)</f>
        <v>1</v>
      </c>
      <c r="L59" s="7" t="str">
        <f>IF(VLOOKUP(L$2,行为概览!$D$3:$K$33,8,0)="","",VLOOKUP(L$2,行为概览!$D$3:$K$33,8,0)*玩法行为规划!K59)</f>
        <v/>
      </c>
      <c r="M59" s="7" t="str">
        <f>IF(VLOOKUP(M$2,行为概览!$D$3:$K$33,8,0)="","",VLOOKUP(M$2,行为概览!$D$3:$K$33,8,0)*玩法行为规划!L59)</f>
        <v/>
      </c>
      <c r="N59" s="7">
        <f>IF(VLOOKUP(N$2,行为概览!$D$3:$K$33,8,0)="","",VLOOKUP(N$2,行为概览!$D$3:$K$33,8,0)*玩法行为规划!M59)</f>
        <v>12</v>
      </c>
      <c r="O59" s="7" t="str">
        <f>IF(VLOOKUP(O$2,行为概览!$D$3:$K$33,8,0)="","",VLOOKUP(O$2,行为概览!$D$3:$K$33,8,0)*玩法行为规划!N59)</f>
        <v/>
      </c>
      <c r="P59" s="7" t="str">
        <f>IF(VLOOKUP(P$2,行为概览!$D$3:$K$33,8,0)="","",VLOOKUP(P$2,行为概览!$D$3:$K$33,8,0)*玩法行为规划!O59)</f>
        <v/>
      </c>
      <c r="Q59" s="7">
        <f>IF(VLOOKUP(Q$2,行为概览!$D$3:$K$33,8,0)="","",VLOOKUP(Q$2,行为概览!$D$3:$K$33,8,0)*玩法行为规划!P59)</f>
        <v>5.2</v>
      </c>
      <c r="R59" s="7" t="str">
        <f>IF(VLOOKUP(R$2,行为概览!$D$3:$K$33,8,0)="","",VLOOKUP(R$2,行为概览!$D$3:$K$33,8,0)*玩法行为规划!Q59)</f>
        <v/>
      </c>
      <c r="S59" s="7">
        <f>IF(VLOOKUP(S$2,行为概览!$D$3:$K$33,8,0)="","",VLOOKUP(S$2,行为概览!$D$3:$K$33,8,0)*玩法行为规划!R59)</f>
        <v>0.49995000000000001</v>
      </c>
      <c r="T59" s="7">
        <f>IF(VLOOKUP(T$2,行为概览!$D$3:$K$33,8,0)="","",VLOOKUP(T$2,行为概览!$D$3:$K$33,8,0)*玩法行为规划!S59)</f>
        <v>0</v>
      </c>
      <c r="U59" s="7">
        <f>IF(VLOOKUP(U$2,行为概览!$D$3:$K$33,8,0)="","",VLOOKUP(U$2,行为概览!$D$3:$K$33,8,0)*玩法行为规划!T59)</f>
        <v>0.49995000000000001</v>
      </c>
      <c r="V59" s="7">
        <f>IF(VLOOKUP(V$2,行为概览!$D$3:$K$33,8,0)="","",VLOOKUP(V$2,行为概览!$D$3:$K$33,8,0)*玩法行为规划!U59)</f>
        <v>0.33339999999999997</v>
      </c>
      <c r="W59" s="7" t="str">
        <f>IF(VLOOKUP(W$2,行为概览!$D$3:$K$33,8,0)="","",VLOOKUP(W$2,行为概览!$D$3:$K$33,8,0)*玩法行为规划!V59)</f>
        <v/>
      </c>
      <c r="X59" s="7" t="str">
        <f>IF(VLOOKUP(X$2,行为概览!$D$3:$K$33,8,0)="","",VLOOKUP(X$2,行为概览!$D$3:$K$33,8,0)*玩法行为规划!W59)</f>
        <v/>
      </c>
      <c r="Y59" s="7">
        <f>IF(VLOOKUP(Y$2,行为概览!$D$3:$K$33,8,0)="","",VLOOKUP(Y$2,行为概览!$D$3:$K$33,8,0)*玩法行为规划!X59)</f>
        <v>0.25</v>
      </c>
      <c r="Z59" s="7" t="str">
        <f>IF(VLOOKUP(Z$2,行为概览!$D$3:$K$33,8,0)="","",VLOOKUP(Z$2,行为概览!$D$3:$K$33,8,0)*玩法行为规划!Y59)</f>
        <v/>
      </c>
      <c r="AA59" s="7">
        <f>IF(VLOOKUP(AA$2,行为概览!$D$3:$K$33,8,0)="","",VLOOKUP(AA$2,行为概览!$D$3:$K$33,8,0)*玩法行为规划!Z59)</f>
        <v>8.3349999999999994E-2</v>
      </c>
      <c r="AB59" s="7" t="str">
        <f>IF(VLOOKUP(AB$2,行为概览!$D$3:$K$33,8,0)="","",VLOOKUP(AB$2,行为概览!$D$3:$K$33,8,0)*玩法行为规划!AA59)</f>
        <v/>
      </c>
      <c r="AC59" s="7" t="str">
        <f>IF(VLOOKUP(AC$2,行为概览!$D$3:$K$33,8,0)="","",VLOOKUP(AC$2,行为概览!$D$3:$K$33,8,0)*玩法行为规划!AB59)</f>
        <v/>
      </c>
      <c r="AD59" s="7" t="str">
        <f>IF(VLOOKUP(AD$2,行为概览!$D$3:$K$33,8,0)="","",VLOOKUP(AD$2,行为概览!$D$3:$K$33,8,0)*玩法行为规划!AC59)</f>
        <v/>
      </c>
      <c r="AE59" s="7" t="str">
        <f>IF(VLOOKUP(AE$2,行为概览!$D$3:$K$33,8,0)="","",VLOOKUP(AE$2,行为概览!$D$3:$K$33,8,0)*玩法行为规划!AD59)</f>
        <v/>
      </c>
      <c r="AF59" s="7">
        <f t="shared" si="8"/>
        <v>24.133149999999997</v>
      </c>
      <c r="AG59" s="7">
        <f t="shared" si="9"/>
        <v>6877947</v>
      </c>
      <c r="AH59" s="7">
        <f t="shared" si="4"/>
        <v>192220</v>
      </c>
      <c r="AI59" s="10" t="str">
        <f t="shared" si="7"/>
        <v/>
      </c>
      <c r="AJ59" s="73">
        <f t="shared" si="5"/>
        <v>162470</v>
      </c>
      <c r="AK59" s="77">
        <f>ROUND(AG59*升级节奏!G59/AJ64,2)</f>
        <v>29.96</v>
      </c>
      <c r="AL59" s="77">
        <f>ROUND(AG59*升级节奏!G59/SUM($AJ$3:AJ64),2)</f>
        <v>1.41</v>
      </c>
      <c r="AM59" s="74">
        <f>ROUND(AG59*升级节奏!G59,0)</f>
        <v>5758561</v>
      </c>
      <c r="AN59" s="77">
        <f>ROUND(SUM($AM$3:AM59)/SUM($AJ$3:AJ64),2)</f>
        <v>11.4</v>
      </c>
      <c r="AO59" s="7">
        <f t="shared" si="10"/>
        <v>4750</v>
      </c>
      <c r="AP59" s="7">
        <f t="shared" si="11"/>
        <v>34</v>
      </c>
    </row>
    <row r="60" spans="1:42">
      <c r="A60" s="32">
        <v>58</v>
      </c>
      <c r="B60" s="87">
        <f>升级节奏!D60</f>
        <v>290000</v>
      </c>
      <c r="C60" s="7">
        <f>IF(VLOOKUP(C$2,行为概览!$D$3:$K$33,8,0)="","",VLOOKUP(C$2,行为概览!$D$3:$K$33,8,0)*玩法行为规划!B60)</f>
        <v>0.99990000000000001</v>
      </c>
      <c r="D60" s="7">
        <f>IF(VLOOKUP(D$2,行为概览!$D$3:$K$33,8,0)="","",VLOOKUP(D$2,行为概览!$D$3:$K$33,8,0)*玩法行为规划!C60)</f>
        <v>1.1000000000000001</v>
      </c>
      <c r="E60" s="7" t="str">
        <f>IF(VLOOKUP(E$2,行为概览!$D$3:$K$33,8,0)="","",VLOOKUP(E$2,行为概览!$D$3:$K$33,8,0)*玩法行为规划!D60)</f>
        <v/>
      </c>
      <c r="F60" s="7">
        <f>IF(VLOOKUP(F$2,行为概览!$D$3:$K$33,8,0)="","",VLOOKUP(F$2,行为概览!$D$3:$K$33,8,0)*玩法行为规划!E60)</f>
        <v>1.5</v>
      </c>
      <c r="G60" s="7">
        <f>IF(VLOOKUP(G$2,行为概览!$D$3:$K$33,8,0)="","",VLOOKUP(G$2,行为概览!$D$3:$K$33,8,0)*玩法行为规划!F60)</f>
        <v>0.66659999999999997</v>
      </c>
      <c r="H60" s="7" t="str">
        <f>IF(VLOOKUP(H$2,行为概览!$D$3:$K$33,8,0)="","",VLOOKUP(H$2,行为概览!$D$3:$K$33,8,0)*玩法行为规划!G60)</f>
        <v/>
      </c>
      <c r="I60" s="7" t="str">
        <f>IF(VLOOKUP(I$2,行为概览!$D$3:$K$33,8,0)="","",VLOOKUP(I$2,行为概览!$D$3:$K$33,8,0)*玩法行为规划!H60)</f>
        <v/>
      </c>
      <c r="J60" s="7" t="str">
        <f>IF(VLOOKUP(J$2,行为概览!$D$3:$K$33,8,0)="","",VLOOKUP(J$2,行为概览!$D$3:$K$33,8,0)*玩法行为规划!I60)</f>
        <v/>
      </c>
      <c r="K60" s="7">
        <f>IF(VLOOKUP(K$2,行为概览!$D$3:$K$33,8,0)="","",VLOOKUP(K$2,行为概览!$D$3:$K$33,8,0)*玩法行为规划!J60)</f>
        <v>1</v>
      </c>
      <c r="L60" s="7" t="str">
        <f>IF(VLOOKUP(L$2,行为概览!$D$3:$K$33,8,0)="","",VLOOKUP(L$2,行为概览!$D$3:$K$33,8,0)*玩法行为规划!K60)</f>
        <v/>
      </c>
      <c r="M60" s="7" t="str">
        <f>IF(VLOOKUP(M$2,行为概览!$D$3:$K$33,8,0)="","",VLOOKUP(M$2,行为概览!$D$3:$K$33,8,0)*玩法行为规划!L60)</f>
        <v/>
      </c>
      <c r="N60" s="7">
        <f>IF(VLOOKUP(N$2,行为概览!$D$3:$K$33,8,0)="","",VLOOKUP(N$2,行为概览!$D$3:$K$33,8,0)*玩法行为规划!M60)</f>
        <v>12</v>
      </c>
      <c r="O60" s="7" t="str">
        <f>IF(VLOOKUP(O$2,行为概览!$D$3:$K$33,8,0)="","",VLOOKUP(O$2,行为概览!$D$3:$K$33,8,0)*玩法行为规划!N60)</f>
        <v/>
      </c>
      <c r="P60" s="7" t="str">
        <f>IF(VLOOKUP(P$2,行为概览!$D$3:$K$33,8,0)="","",VLOOKUP(P$2,行为概览!$D$3:$K$33,8,0)*玩法行为规划!O60)</f>
        <v/>
      </c>
      <c r="Q60" s="7">
        <f>IF(VLOOKUP(Q$2,行为概览!$D$3:$K$33,8,0)="","",VLOOKUP(Q$2,行为概览!$D$3:$K$33,8,0)*玩法行为规划!P60)</f>
        <v>5.2</v>
      </c>
      <c r="R60" s="7" t="str">
        <f>IF(VLOOKUP(R$2,行为概览!$D$3:$K$33,8,0)="","",VLOOKUP(R$2,行为概览!$D$3:$K$33,8,0)*玩法行为规划!Q60)</f>
        <v/>
      </c>
      <c r="S60" s="7">
        <f>IF(VLOOKUP(S$2,行为概览!$D$3:$K$33,8,0)="","",VLOOKUP(S$2,行为概览!$D$3:$K$33,8,0)*玩法行为规划!R60)</f>
        <v>0.49995000000000001</v>
      </c>
      <c r="T60" s="7">
        <f>IF(VLOOKUP(T$2,行为概览!$D$3:$K$33,8,0)="","",VLOOKUP(T$2,行为概览!$D$3:$K$33,8,0)*玩法行为规划!S60)</f>
        <v>0</v>
      </c>
      <c r="U60" s="7">
        <f>IF(VLOOKUP(U$2,行为概览!$D$3:$K$33,8,0)="","",VLOOKUP(U$2,行为概览!$D$3:$K$33,8,0)*玩法行为规划!T60)</f>
        <v>0.49995000000000001</v>
      </c>
      <c r="V60" s="7">
        <f>IF(VLOOKUP(V$2,行为概览!$D$3:$K$33,8,0)="","",VLOOKUP(V$2,行为概览!$D$3:$K$33,8,0)*玩法行为规划!U60)</f>
        <v>0.33339999999999997</v>
      </c>
      <c r="W60" s="7" t="str">
        <f>IF(VLOOKUP(W$2,行为概览!$D$3:$K$33,8,0)="","",VLOOKUP(W$2,行为概览!$D$3:$K$33,8,0)*玩法行为规划!V60)</f>
        <v/>
      </c>
      <c r="X60" s="7" t="str">
        <f>IF(VLOOKUP(X$2,行为概览!$D$3:$K$33,8,0)="","",VLOOKUP(X$2,行为概览!$D$3:$K$33,8,0)*玩法行为规划!W60)</f>
        <v/>
      </c>
      <c r="Y60" s="7">
        <f>IF(VLOOKUP(Y$2,行为概览!$D$3:$K$33,8,0)="","",VLOOKUP(Y$2,行为概览!$D$3:$K$33,8,0)*玩法行为规划!X60)</f>
        <v>0.25</v>
      </c>
      <c r="Z60" s="7" t="str">
        <f>IF(VLOOKUP(Z$2,行为概览!$D$3:$K$33,8,0)="","",VLOOKUP(Z$2,行为概览!$D$3:$K$33,8,0)*玩法行为规划!Y60)</f>
        <v/>
      </c>
      <c r="AA60" s="7">
        <f>IF(VLOOKUP(AA$2,行为概览!$D$3:$K$33,8,0)="","",VLOOKUP(AA$2,行为概览!$D$3:$K$33,8,0)*玩法行为规划!Z60)</f>
        <v>8.3349999999999994E-2</v>
      </c>
      <c r="AB60" s="7" t="str">
        <f>IF(VLOOKUP(AB$2,行为概览!$D$3:$K$33,8,0)="","",VLOOKUP(AB$2,行为概览!$D$3:$K$33,8,0)*玩法行为规划!AA60)</f>
        <v/>
      </c>
      <c r="AC60" s="7" t="str">
        <f>IF(VLOOKUP(AC$2,行为概览!$D$3:$K$33,8,0)="","",VLOOKUP(AC$2,行为概览!$D$3:$K$33,8,0)*玩法行为规划!AB60)</f>
        <v/>
      </c>
      <c r="AD60" s="7" t="str">
        <f>IF(VLOOKUP(AD$2,行为概览!$D$3:$K$33,8,0)="","",VLOOKUP(AD$2,行为概览!$D$3:$K$33,8,0)*玩法行为规划!AC60)</f>
        <v/>
      </c>
      <c r="AE60" s="7" t="str">
        <f>IF(VLOOKUP(AE$2,行为概览!$D$3:$K$33,8,0)="","",VLOOKUP(AE$2,行为概览!$D$3:$K$33,8,0)*玩法行为规划!AD60)</f>
        <v/>
      </c>
      <c r="AF60" s="7">
        <f t="shared" si="8"/>
        <v>24.133149999999997</v>
      </c>
      <c r="AG60" s="7">
        <f t="shared" si="9"/>
        <v>6998613</v>
      </c>
      <c r="AH60" s="7">
        <f t="shared" si="4"/>
        <v>198470</v>
      </c>
      <c r="AI60" s="10" t="str">
        <f t="shared" si="7"/>
        <v/>
      </c>
      <c r="AJ60" s="73">
        <f t="shared" si="5"/>
        <v>168220</v>
      </c>
      <c r="AK60" s="77">
        <f>ROUND(AG60*升级节奏!G60/AJ65,2)</f>
        <v>30.54</v>
      </c>
      <c r="AL60" s="77">
        <f>ROUND(AG60*升级节奏!G60/SUM($AJ$3:AJ65),2)</f>
        <v>1.42</v>
      </c>
      <c r="AM60" s="74">
        <f>ROUND(AG60*升级节奏!G60,0)</f>
        <v>6060799</v>
      </c>
      <c r="AN60" s="77">
        <f>ROUND(SUM($AM$3:AM60)/SUM($AJ$3:AJ65),2)</f>
        <v>12.29</v>
      </c>
      <c r="AO60" s="7">
        <f t="shared" si="10"/>
        <v>4833</v>
      </c>
      <c r="AP60" s="7">
        <f t="shared" si="11"/>
        <v>35</v>
      </c>
    </row>
    <row r="61" spans="1:42">
      <c r="A61" s="32">
        <v>59</v>
      </c>
      <c r="B61" s="87">
        <f>升级节奏!D61</f>
        <v>295000</v>
      </c>
      <c r="C61" s="7">
        <f>IF(VLOOKUP(C$2,行为概览!$D$3:$K$33,8,0)="","",VLOOKUP(C$2,行为概览!$D$3:$K$33,8,0)*玩法行为规划!B61)</f>
        <v>0.99990000000000001</v>
      </c>
      <c r="D61" s="7">
        <f>IF(VLOOKUP(D$2,行为概览!$D$3:$K$33,8,0)="","",VLOOKUP(D$2,行为概览!$D$3:$K$33,8,0)*玩法行为规划!C61)</f>
        <v>1.1000000000000001</v>
      </c>
      <c r="E61" s="7" t="str">
        <f>IF(VLOOKUP(E$2,行为概览!$D$3:$K$33,8,0)="","",VLOOKUP(E$2,行为概览!$D$3:$K$33,8,0)*玩法行为规划!D61)</f>
        <v/>
      </c>
      <c r="F61" s="7">
        <f>IF(VLOOKUP(F$2,行为概览!$D$3:$K$33,8,0)="","",VLOOKUP(F$2,行为概览!$D$3:$K$33,8,0)*玩法行为规划!E61)</f>
        <v>1.5</v>
      </c>
      <c r="G61" s="7">
        <f>IF(VLOOKUP(G$2,行为概览!$D$3:$K$33,8,0)="","",VLOOKUP(G$2,行为概览!$D$3:$K$33,8,0)*玩法行为规划!F61)</f>
        <v>0.66659999999999997</v>
      </c>
      <c r="H61" s="7" t="str">
        <f>IF(VLOOKUP(H$2,行为概览!$D$3:$K$33,8,0)="","",VLOOKUP(H$2,行为概览!$D$3:$K$33,8,0)*玩法行为规划!G61)</f>
        <v/>
      </c>
      <c r="I61" s="7" t="str">
        <f>IF(VLOOKUP(I$2,行为概览!$D$3:$K$33,8,0)="","",VLOOKUP(I$2,行为概览!$D$3:$K$33,8,0)*玩法行为规划!H61)</f>
        <v/>
      </c>
      <c r="J61" s="7" t="str">
        <f>IF(VLOOKUP(J$2,行为概览!$D$3:$K$33,8,0)="","",VLOOKUP(J$2,行为概览!$D$3:$K$33,8,0)*玩法行为规划!I61)</f>
        <v/>
      </c>
      <c r="K61" s="7">
        <f>IF(VLOOKUP(K$2,行为概览!$D$3:$K$33,8,0)="","",VLOOKUP(K$2,行为概览!$D$3:$K$33,8,0)*玩法行为规划!J61)</f>
        <v>1</v>
      </c>
      <c r="L61" s="7" t="str">
        <f>IF(VLOOKUP(L$2,行为概览!$D$3:$K$33,8,0)="","",VLOOKUP(L$2,行为概览!$D$3:$K$33,8,0)*玩法行为规划!K61)</f>
        <v/>
      </c>
      <c r="M61" s="7" t="str">
        <f>IF(VLOOKUP(M$2,行为概览!$D$3:$K$33,8,0)="","",VLOOKUP(M$2,行为概览!$D$3:$K$33,8,0)*玩法行为规划!L61)</f>
        <v/>
      </c>
      <c r="N61" s="7">
        <f>IF(VLOOKUP(N$2,行为概览!$D$3:$K$33,8,0)="","",VLOOKUP(N$2,行为概览!$D$3:$K$33,8,0)*玩法行为规划!M61)</f>
        <v>12</v>
      </c>
      <c r="O61" s="7" t="str">
        <f>IF(VLOOKUP(O$2,行为概览!$D$3:$K$33,8,0)="","",VLOOKUP(O$2,行为概览!$D$3:$K$33,8,0)*玩法行为规划!N61)</f>
        <v/>
      </c>
      <c r="P61" s="7" t="str">
        <f>IF(VLOOKUP(P$2,行为概览!$D$3:$K$33,8,0)="","",VLOOKUP(P$2,行为概览!$D$3:$K$33,8,0)*玩法行为规划!O61)</f>
        <v/>
      </c>
      <c r="Q61" s="7">
        <f>IF(VLOOKUP(Q$2,行为概览!$D$3:$K$33,8,0)="","",VLOOKUP(Q$2,行为概览!$D$3:$K$33,8,0)*玩法行为规划!P61)</f>
        <v>5.2</v>
      </c>
      <c r="R61" s="7" t="str">
        <f>IF(VLOOKUP(R$2,行为概览!$D$3:$K$33,8,0)="","",VLOOKUP(R$2,行为概览!$D$3:$K$33,8,0)*玩法行为规划!Q61)</f>
        <v/>
      </c>
      <c r="S61" s="7">
        <f>IF(VLOOKUP(S$2,行为概览!$D$3:$K$33,8,0)="","",VLOOKUP(S$2,行为概览!$D$3:$K$33,8,0)*玩法行为规划!R61)</f>
        <v>0.49995000000000001</v>
      </c>
      <c r="T61" s="7">
        <f>IF(VLOOKUP(T$2,行为概览!$D$3:$K$33,8,0)="","",VLOOKUP(T$2,行为概览!$D$3:$K$33,8,0)*玩法行为规划!S61)</f>
        <v>0</v>
      </c>
      <c r="U61" s="7">
        <f>IF(VLOOKUP(U$2,行为概览!$D$3:$K$33,8,0)="","",VLOOKUP(U$2,行为概览!$D$3:$K$33,8,0)*玩法行为规划!T61)</f>
        <v>0.49995000000000001</v>
      </c>
      <c r="V61" s="7">
        <f>IF(VLOOKUP(V$2,行为概览!$D$3:$K$33,8,0)="","",VLOOKUP(V$2,行为概览!$D$3:$K$33,8,0)*玩法行为规划!U61)</f>
        <v>0.33339999999999997</v>
      </c>
      <c r="W61" s="7" t="str">
        <f>IF(VLOOKUP(W$2,行为概览!$D$3:$K$33,8,0)="","",VLOOKUP(W$2,行为概览!$D$3:$K$33,8,0)*玩法行为规划!V61)</f>
        <v/>
      </c>
      <c r="X61" s="7" t="str">
        <f>IF(VLOOKUP(X$2,行为概览!$D$3:$K$33,8,0)="","",VLOOKUP(X$2,行为概览!$D$3:$K$33,8,0)*玩法行为规划!W61)</f>
        <v/>
      </c>
      <c r="Y61" s="7">
        <f>IF(VLOOKUP(Y$2,行为概览!$D$3:$K$33,8,0)="","",VLOOKUP(Y$2,行为概览!$D$3:$K$33,8,0)*玩法行为规划!X61)</f>
        <v>0.25</v>
      </c>
      <c r="Z61" s="7" t="str">
        <f>IF(VLOOKUP(Z$2,行为概览!$D$3:$K$33,8,0)="","",VLOOKUP(Z$2,行为概览!$D$3:$K$33,8,0)*玩法行为规划!Y61)</f>
        <v/>
      </c>
      <c r="AA61" s="7">
        <f>IF(VLOOKUP(AA$2,行为概览!$D$3:$K$33,8,0)="","",VLOOKUP(AA$2,行为概览!$D$3:$K$33,8,0)*玩法行为规划!Z61)</f>
        <v>8.3349999999999994E-2</v>
      </c>
      <c r="AB61" s="7" t="str">
        <f>IF(VLOOKUP(AB$2,行为概览!$D$3:$K$33,8,0)="","",VLOOKUP(AB$2,行为概览!$D$3:$K$33,8,0)*玩法行为规划!AA61)</f>
        <v/>
      </c>
      <c r="AC61" s="7" t="str">
        <f>IF(VLOOKUP(AC$2,行为概览!$D$3:$K$33,8,0)="","",VLOOKUP(AC$2,行为概览!$D$3:$K$33,8,0)*玩法行为规划!AB61)</f>
        <v/>
      </c>
      <c r="AD61" s="7" t="str">
        <f>IF(VLOOKUP(AD$2,行为概览!$D$3:$K$33,8,0)="","",VLOOKUP(AD$2,行为概览!$D$3:$K$33,8,0)*玩法行为规划!AC61)</f>
        <v/>
      </c>
      <c r="AE61" s="7" t="str">
        <f>IF(VLOOKUP(AE$2,行为概览!$D$3:$K$33,8,0)="","",VLOOKUP(AE$2,行为概览!$D$3:$K$33,8,0)*玩法行为规划!AD61)</f>
        <v/>
      </c>
      <c r="AF61" s="7">
        <f t="shared" si="8"/>
        <v>24.133149999999997</v>
      </c>
      <c r="AG61" s="7">
        <f t="shared" si="9"/>
        <v>7119279</v>
      </c>
      <c r="AH61" s="7">
        <f t="shared" si="4"/>
        <v>204820</v>
      </c>
      <c r="AI61" s="10" t="str">
        <f t="shared" si="7"/>
        <v/>
      </c>
      <c r="AJ61" s="73">
        <f t="shared" si="5"/>
        <v>174070</v>
      </c>
      <c r="AK61" s="77">
        <f>ROUND(AG61*升级节奏!G61/AJ66,2)</f>
        <v>31.12</v>
      </c>
      <c r="AL61" s="77">
        <f>ROUND(AG61*升级节奏!G61/SUM($AJ$3:AJ66),2)</f>
        <v>1.42</v>
      </c>
      <c r="AM61" s="74">
        <f>ROUND(AG61*升级节奏!G61,0)</f>
        <v>6373535</v>
      </c>
      <c r="AN61" s="77">
        <f>ROUND(SUM($AM$3:AM61)/SUM($AJ$3:AJ66),2)</f>
        <v>13.15</v>
      </c>
      <c r="AO61" s="7">
        <f t="shared" si="10"/>
        <v>4917</v>
      </c>
      <c r="AP61" s="7">
        <f t="shared" si="11"/>
        <v>35</v>
      </c>
    </row>
    <row r="62" spans="1:42">
      <c r="A62" s="32">
        <v>60</v>
      </c>
      <c r="B62" s="87">
        <f>升级节奏!D62</f>
        <v>300000</v>
      </c>
      <c r="C62" s="7">
        <f>IF(VLOOKUP(C$2,行为概览!$D$3:$K$33,8,0)="","",VLOOKUP(C$2,行为概览!$D$3:$K$33,8,0)*玩法行为规划!B62)</f>
        <v>0.99990000000000001</v>
      </c>
      <c r="D62" s="7">
        <f>IF(VLOOKUP(D$2,行为概览!$D$3:$K$33,8,0)="","",VLOOKUP(D$2,行为概览!$D$3:$K$33,8,0)*玩法行为规划!C62)</f>
        <v>1.1000000000000001</v>
      </c>
      <c r="E62" s="7" t="str">
        <f>IF(VLOOKUP(E$2,行为概览!$D$3:$K$33,8,0)="","",VLOOKUP(E$2,行为概览!$D$3:$K$33,8,0)*玩法行为规划!D62)</f>
        <v/>
      </c>
      <c r="F62" s="7">
        <f>IF(VLOOKUP(F$2,行为概览!$D$3:$K$33,8,0)="","",VLOOKUP(F$2,行为概览!$D$3:$K$33,8,0)*玩法行为规划!E62)</f>
        <v>1.5</v>
      </c>
      <c r="G62" s="7">
        <f>IF(VLOOKUP(G$2,行为概览!$D$3:$K$33,8,0)="","",VLOOKUP(G$2,行为概览!$D$3:$K$33,8,0)*玩法行为规划!F62)</f>
        <v>0.66659999999999997</v>
      </c>
      <c r="H62" s="7" t="str">
        <f>IF(VLOOKUP(H$2,行为概览!$D$3:$K$33,8,0)="","",VLOOKUP(H$2,行为概览!$D$3:$K$33,8,0)*玩法行为规划!G62)</f>
        <v/>
      </c>
      <c r="I62" s="7" t="str">
        <f>IF(VLOOKUP(I$2,行为概览!$D$3:$K$33,8,0)="","",VLOOKUP(I$2,行为概览!$D$3:$K$33,8,0)*玩法行为规划!H62)</f>
        <v/>
      </c>
      <c r="J62" s="7" t="str">
        <f>IF(VLOOKUP(J$2,行为概览!$D$3:$K$33,8,0)="","",VLOOKUP(J$2,行为概览!$D$3:$K$33,8,0)*玩法行为规划!I62)</f>
        <v/>
      </c>
      <c r="K62" s="7">
        <f>IF(VLOOKUP(K$2,行为概览!$D$3:$K$33,8,0)="","",VLOOKUP(K$2,行为概览!$D$3:$K$33,8,0)*玩法行为规划!J62)</f>
        <v>1</v>
      </c>
      <c r="L62" s="7" t="str">
        <f>IF(VLOOKUP(L$2,行为概览!$D$3:$K$33,8,0)="","",VLOOKUP(L$2,行为概览!$D$3:$K$33,8,0)*玩法行为规划!K62)</f>
        <v/>
      </c>
      <c r="M62" s="7" t="str">
        <f>IF(VLOOKUP(M$2,行为概览!$D$3:$K$33,8,0)="","",VLOOKUP(M$2,行为概览!$D$3:$K$33,8,0)*玩法行为规划!L62)</f>
        <v/>
      </c>
      <c r="N62" s="7">
        <f>IF(VLOOKUP(N$2,行为概览!$D$3:$K$33,8,0)="","",VLOOKUP(N$2,行为概览!$D$3:$K$33,8,0)*玩法行为规划!M62)</f>
        <v>12</v>
      </c>
      <c r="O62" s="7" t="str">
        <f>IF(VLOOKUP(O$2,行为概览!$D$3:$K$33,8,0)="","",VLOOKUP(O$2,行为概览!$D$3:$K$33,8,0)*玩法行为规划!N62)</f>
        <v/>
      </c>
      <c r="P62" s="7" t="str">
        <f>IF(VLOOKUP(P$2,行为概览!$D$3:$K$33,8,0)="","",VLOOKUP(P$2,行为概览!$D$3:$K$33,8,0)*玩法行为规划!O62)</f>
        <v/>
      </c>
      <c r="Q62" s="7">
        <f>IF(VLOOKUP(Q$2,行为概览!$D$3:$K$33,8,0)="","",VLOOKUP(Q$2,行为概览!$D$3:$K$33,8,0)*玩法行为规划!P62)</f>
        <v>5.2</v>
      </c>
      <c r="R62" s="7" t="str">
        <f>IF(VLOOKUP(R$2,行为概览!$D$3:$K$33,8,0)="","",VLOOKUP(R$2,行为概览!$D$3:$K$33,8,0)*玩法行为规划!Q62)</f>
        <v/>
      </c>
      <c r="S62" s="7">
        <f>IF(VLOOKUP(S$2,行为概览!$D$3:$K$33,8,0)="","",VLOOKUP(S$2,行为概览!$D$3:$K$33,8,0)*玩法行为规划!R62)</f>
        <v>0.49995000000000001</v>
      </c>
      <c r="T62" s="7">
        <f>IF(VLOOKUP(T$2,行为概览!$D$3:$K$33,8,0)="","",VLOOKUP(T$2,行为概览!$D$3:$K$33,8,0)*玩法行为规划!S62)</f>
        <v>0</v>
      </c>
      <c r="U62" s="7">
        <f>IF(VLOOKUP(U$2,行为概览!$D$3:$K$33,8,0)="","",VLOOKUP(U$2,行为概览!$D$3:$K$33,8,0)*玩法行为规划!T62)</f>
        <v>0.49995000000000001</v>
      </c>
      <c r="V62" s="7">
        <f>IF(VLOOKUP(V$2,行为概览!$D$3:$K$33,8,0)="","",VLOOKUP(V$2,行为概览!$D$3:$K$33,8,0)*玩法行为规划!U62)</f>
        <v>0.33339999999999997</v>
      </c>
      <c r="W62" s="7" t="str">
        <f>IF(VLOOKUP(W$2,行为概览!$D$3:$K$33,8,0)="","",VLOOKUP(W$2,行为概览!$D$3:$K$33,8,0)*玩法行为规划!V62)</f>
        <v/>
      </c>
      <c r="X62" s="7" t="str">
        <f>IF(VLOOKUP(X$2,行为概览!$D$3:$K$33,8,0)="","",VLOOKUP(X$2,行为概览!$D$3:$K$33,8,0)*玩法行为规划!W62)</f>
        <v/>
      </c>
      <c r="Y62" s="7">
        <f>IF(VLOOKUP(Y$2,行为概览!$D$3:$K$33,8,0)="","",VLOOKUP(Y$2,行为概览!$D$3:$K$33,8,0)*玩法行为规划!X62)</f>
        <v>0.25</v>
      </c>
      <c r="Z62" s="7" t="str">
        <f>IF(VLOOKUP(Z$2,行为概览!$D$3:$K$33,8,0)="","",VLOOKUP(Z$2,行为概览!$D$3:$K$33,8,0)*玩法行为规划!Y62)</f>
        <v/>
      </c>
      <c r="AA62" s="7">
        <f>IF(VLOOKUP(AA$2,行为概览!$D$3:$K$33,8,0)="","",VLOOKUP(AA$2,行为概览!$D$3:$K$33,8,0)*玩法行为规划!Z62)</f>
        <v>8.3349999999999994E-2</v>
      </c>
      <c r="AB62" s="7" t="str">
        <f>IF(VLOOKUP(AB$2,行为概览!$D$3:$K$33,8,0)="","",VLOOKUP(AB$2,行为概览!$D$3:$K$33,8,0)*玩法行为规划!AA62)</f>
        <v/>
      </c>
      <c r="AC62" s="7" t="str">
        <f>IF(VLOOKUP(AC$2,行为概览!$D$3:$K$33,8,0)="","",VLOOKUP(AC$2,行为概览!$D$3:$K$33,8,0)*玩法行为规划!AB62)</f>
        <v/>
      </c>
      <c r="AD62" s="7" t="str">
        <f>IF(VLOOKUP(AD$2,行为概览!$D$3:$K$33,8,0)="","",VLOOKUP(AD$2,行为概览!$D$3:$K$33,8,0)*玩法行为规划!AC62)</f>
        <v/>
      </c>
      <c r="AE62" s="7" t="str">
        <f>IF(VLOOKUP(AE$2,行为概览!$D$3:$K$33,8,0)="","",VLOOKUP(AE$2,行为概览!$D$3:$K$33,8,0)*玩法行为规划!AD62)</f>
        <v/>
      </c>
      <c r="AF62" s="7">
        <f t="shared" si="8"/>
        <v>24.133149999999997</v>
      </c>
      <c r="AG62" s="7">
        <f t="shared" si="9"/>
        <v>7239945</v>
      </c>
      <c r="AH62" s="7">
        <f t="shared" si="4"/>
        <v>211270</v>
      </c>
      <c r="AI62" s="10">
        <f t="shared" si="7"/>
        <v>4193900</v>
      </c>
      <c r="AJ62" s="73">
        <f t="shared" si="5"/>
        <v>180020</v>
      </c>
      <c r="AK62" s="77">
        <f>ROUND(AG62*升级节奏!G62/AJ67,2)</f>
        <v>42.26</v>
      </c>
      <c r="AL62" s="77">
        <f>ROUND(AG62*升级节奏!G62/SUM($AJ$3:AJ67),2)</f>
        <v>1.91</v>
      </c>
      <c r="AM62" s="74">
        <f>ROUND(AG62*升级节奏!G62,0)</f>
        <v>8929266</v>
      </c>
      <c r="AN62" s="77">
        <f>ROUND(SUM($AM$3:AM62)/SUM($AJ$3:AJ67),2)</f>
        <v>14.47</v>
      </c>
      <c r="AO62" s="7">
        <f t="shared" si="10"/>
        <v>5000</v>
      </c>
      <c r="AP62" s="7">
        <f t="shared" si="11"/>
        <v>36</v>
      </c>
    </row>
    <row r="63" spans="1:42">
      <c r="A63" s="32">
        <v>61</v>
      </c>
      <c r="B63" s="87">
        <f>升级节奏!D63</f>
        <v>305000</v>
      </c>
      <c r="C63" s="7">
        <f>IF(VLOOKUP(C$2,行为概览!$D$3:$K$33,8,0)="","",VLOOKUP(C$2,行为概览!$D$3:$K$33,8,0)*玩法行为规划!B63)</f>
        <v>0.99990000000000001</v>
      </c>
      <c r="D63" s="7">
        <f>IF(VLOOKUP(D$2,行为概览!$D$3:$K$33,8,0)="","",VLOOKUP(D$2,行为概览!$D$3:$K$33,8,0)*玩法行为规划!C63)</f>
        <v>1.1000000000000001</v>
      </c>
      <c r="E63" s="7" t="str">
        <f>IF(VLOOKUP(E$2,行为概览!$D$3:$K$33,8,0)="","",VLOOKUP(E$2,行为概览!$D$3:$K$33,8,0)*玩法行为规划!D63)</f>
        <v/>
      </c>
      <c r="F63" s="7">
        <f>IF(VLOOKUP(F$2,行为概览!$D$3:$K$33,8,0)="","",VLOOKUP(F$2,行为概览!$D$3:$K$33,8,0)*玩法行为规划!E63)</f>
        <v>1.5</v>
      </c>
      <c r="G63" s="7">
        <f>IF(VLOOKUP(G$2,行为概览!$D$3:$K$33,8,0)="","",VLOOKUP(G$2,行为概览!$D$3:$K$33,8,0)*玩法行为规划!F63)</f>
        <v>0.66659999999999997</v>
      </c>
      <c r="H63" s="7" t="str">
        <f>IF(VLOOKUP(H$2,行为概览!$D$3:$K$33,8,0)="","",VLOOKUP(H$2,行为概览!$D$3:$K$33,8,0)*玩法行为规划!G63)</f>
        <v/>
      </c>
      <c r="I63" s="7" t="str">
        <f>IF(VLOOKUP(I$2,行为概览!$D$3:$K$33,8,0)="","",VLOOKUP(I$2,行为概览!$D$3:$K$33,8,0)*玩法行为规划!H63)</f>
        <v/>
      </c>
      <c r="J63" s="7" t="str">
        <f>IF(VLOOKUP(J$2,行为概览!$D$3:$K$33,8,0)="","",VLOOKUP(J$2,行为概览!$D$3:$K$33,8,0)*玩法行为规划!I63)</f>
        <v/>
      </c>
      <c r="K63" s="7">
        <f>IF(VLOOKUP(K$2,行为概览!$D$3:$K$33,8,0)="","",VLOOKUP(K$2,行为概览!$D$3:$K$33,8,0)*玩法行为规划!J63)</f>
        <v>1</v>
      </c>
      <c r="L63" s="7" t="str">
        <f>IF(VLOOKUP(L$2,行为概览!$D$3:$K$33,8,0)="","",VLOOKUP(L$2,行为概览!$D$3:$K$33,8,0)*玩法行为规划!K63)</f>
        <v/>
      </c>
      <c r="M63" s="7" t="str">
        <f>IF(VLOOKUP(M$2,行为概览!$D$3:$K$33,8,0)="","",VLOOKUP(M$2,行为概览!$D$3:$K$33,8,0)*玩法行为规划!L63)</f>
        <v/>
      </c>
      <c r="N63" s="7">
        <f>IF(VLOOKUP(N$2,行为概览!$D$3:$K$33,8,0)="","",VLOOKUP(N$2,行为概览!$D$3:$K$33,8,0)*玩法行为规划!M63)</f>
        <v>12</v>
      </c>
      <c r="O63" s="7" t="str">
        <f>IF(VLOOKUP(O$2,行为概览!$D$3:$K$33,8,0)="","",VLOOKUP(O$2,行为概览!$D$3:$K$33,8,0)*玩法行为规划!N63)</f>
        <v/>
      </c>
      <c r="P63" s="7" t="str">
        <f>IF(VLOOKUP(P$2,行为概览!$D$3:$K$33,8,0)="","",VLOOKUP(P$2,行为概览!$D$3:$K$33,8,0)*玩法行为规划!O63)</f>
        <v/>
      </c>
      <c r="Q63" s="7">
        <f>IF(VLOOKUP(Q$2,行为概览!$D$3:$K$33,8,0)="","",VLOOKUP(Q$2,行为概览!$D$3:$K$33,8,0)*玩法行为规划!P63)</f>
        <v>5.2</v>
      </c>
      <c r="R63" s="7" t="str">
        <f>IF(VLOOKUP(R$2,行为概览!$D$3:$K$33,8,0)="","",VLOOKUP(R$2,行为概览!$D$3:$K$33,8,0)*玩法行为规划!Q63)</f>
        <v/>
      </c>
      <c r="S63" s="7">
        <f>IF(VLOOKUP(S$2,行为概览!$D$3:$K$33,8,0)="","",VLOOKUP(S$2,行为概览!$D$3:$K$33,8,0)*玩法行为规划!R63)</f>
        <v>0.49995000000000001</v>
      </c>
      <c r="T63" s="7">
        <f>IF(VLOOKUP(T$2,行为概览!$D$3:$K$33,8,0)="","",VLOOKUP(T$2,行为概览!$D$3:$K$33,8,0)*玩法行为规划!S63)</f>
        <v>0</v>
      </c>
      <c r="U63" s="7">
        <f>IF(VLOOKUP(U$2,行为概览!$D$3:$K$33,8,0)="","",VLOOKUP(U$2,行为概览!$D$3:$K$33,8,0)*玩法行为规划!T63)</f>
        <v>0.49995000000000001</v>
      </c>
      <c r="V63" s="7">
        <f>IF(VLOOKUP(V$2,行为概览!$D$3:$K$33,8,0)="","",VLOOKUP(V$2,行为概览!$D$3:$K$33,8,0)*玩法行为规划!U63)</f>
        <v>0.33339999999999997</v>
      </c>
      <c r="W63" s="7" t="str">
        <f>IF(VLOOKUP(W$2,行为概览!$D$3:$K$33,8,0)="","",VLOOKUP(W$2,行为概览!$D$3:$K$33,8,0)*玩法行为规划!V63)</f>
        <v/>
      </c>
      <c r="X63" s="7" t="str">
        <f>IF(VLOOKUP(X$2,行为概览!$D$3:$K$33,8,0)="","",VLOOKUP(X$2,行为概览!$D$3:$K$33,8,0)*玩法行为规划!W63)</f>
        <v/>
      </c>
      <c r="Y63" s="7">
        <f>IF(VLOOKUP(Y$2,行为概览!$D$3:$K$33,8,0)="","",VLOOKUP(Y$2,行为概览!$D$3:$K$33,8,0)*玩法行为规划!X63)</f>
        <v>0.25</v>
      </c>
      <c r="Z63" s="7" t="str">
        <f>IF(VLOOKUP(Z$2,行为概览!$D$3:$K$33,8,0)="","",VLOOKUP(Z$2,行为概览!$D$3:$K$33,8,0)*玩法行为规划!Y63)</f>
        <v/>
      </c>
      <c r="AA63" s="7">
        <f>IF(VLOOKUP(AA$2,行为概览!$D$3:$K$33,8,0)="","",VLOOKUP(AA$2,行为概览!$D$3:$K$33,8,0)*玩法行为规划!Z63)</f>
        <v>8.3349999999999994E-2</v>
      </c>
      <c r="AB63" s="7" t="str">
        <f>IF(VLOOKUP(AB$2,行为概览!$D$3:$K$33,8,0)="","",VLOOKUP(AB$2,行为概览!$D$3:$K$33,8,0)*玩法行为规划!AA63)</f>
        <v/>
      </c>
      <c r="AC63" s="7" t="str">
        <f>IF(VLOOKUP(AC$2,行为概览!$D$3:$K$33,8,0)="","",VLOOKUP(AC$2,行为概览!$D$3:$K$33,8,0)*玩法行为规划!AB63)</f>
        <v/>
      </c>
      <c r="AD63" s="7" t="str">
        <f>IF(VLOOKUP(AD$2,行为概览!$D$3:$K$33,8,0)="","",VLOOKUP(AD$2,行为概览!$D$3:$K$33,8,0)*玩法行为规划!AC63)</f>
        <v/>
      </c>
      <c r="AE63" s="7" t="str">
        <f>IF(VLOOKUP(AE$2,行为概览!$D$3:$K$33,8,0)="","",VLOOKUP(AE$2,行为概览!$D$3:$K$33,8,0)*玩法行为规划!AD63)</f>
        <v/>
      </c>
      <c r="AF63" s="7">
        <f t="shared" si="8"/>
        <v>24.133149999999997</v>
      </c>
      <c r="AG63" s="7">
        <f t="shared" si="9"/>
        <v>7360610</v>
      </c>
      <c r="AH63" s="7">
        <f t="shared" si="4"/>
        <v>217820</v>
      </c>
      <c r="AI63" s="10" t="str">
        <f t="shared" si="7"/>
        <v/>
      </c>
      <c r="AJ63" s="73">
        <f t="shared" si="5"/>
        <v>186070</v>
      </c>
      <c r="AK63" s="77">
        <f>ROUND(AG63*升级节奏!G63/AJ68,2)</f>
        <v>53.8</v>
      </c>
      <c r="AL63" s="77">
        <f>ROUND(AG63*升级节奏!G63/SUM($AJ$3:AJ68),2)</f>
        <v>2.39</v>
      </c>
      <c r="AM63" s="74">
        <f>ROUND(AG63*升级节奏!G63,0)</f>
        <v>11718705</v>
      </c>
      <c r="AN63" s="77">
        <f>ROUND(SUM($AM$3:AM63)/SUM($AJ$3:AJ68),2)</f>
        <v>16.21</v>
      </c>
      <c r="AO63" s="7">
        <f t="shared" si="10"/>
        <v>5083</v>
      </c>
      <c r="AP63" s="7">
        <f t="shared" si="11"/>
        <v>37</v>
      </c>
    </row>
    <row r="64" spans="1:42">
      <c r="A64" s="32">
        <v>62</v>
      </c>
      <c r="B64" s="87">
        <f>升级节奏!D64</f>
        <v>310000</v>
      </c>
      <c r="C64" s="7">
        <f>IF(VLOOKUP(C$2,行为概览!$D$3:$K$33,8,0)="","",VLOOKUP(C$2,行为概览!$D$3:$K$33,8,0)*玩法行为规划!B64)</f>
        <v>0.99990000000000001</v>
      </c>
      <c r="D64" s="7">
        <f>IF(VLOOKUP(D$2,行为概览!$D$3:$K$33,8,0)="","",VLOOKUP(D$2,行为概览!$D$3:$K$33,8,0)*玩法行为规划!C64)</f>
        <v>1.1000000000000001</v>
      </c>
      <c r="E64" s="7" t="str">
        <f>IF(VLOOKUP(E$2,行为概览!$D$3:$K$33,8,0)="","",VLOOKUP(E$2,行为概览!$D$3:$K$33,8,0)*玩法行为规划!D64)</f>
        <v/>
      </c>
      <c r="F64" s="7">
        <f>IF(VLOOKUP(F$2,行为概览!$D$3:$K$33,8,0)="","",VLOOKUP(F$2,行为概览!$D$3:$K$33,8,0)*玩法行为规划!E64)</f>
        <v>1.5</v>
      </c>
      <c r="G64" s="7">
        <f>IF(VLOOKUP(G$2,行为概览!$D$3:$K$33,8,0)="","",VLOOKUP(G$2,行为概览!$D$3:$K$33,8,0)*玩法行为规划!F64)</f>
        <v>0.66659999999999997</v>
      </c>
      <c r="H64" s="7" t="str">
        <f>IF(VLOOKUP(H$2,行为概览!$D$3:$K$33,8,0)="","",VLOOKUP(H$2,行为概览!$D$3:$K$33,8,0)*玩法行为规划!G64)</f>
        <v/>
      </c>
      <c r="I64" s="7" t="str">
        <f>IF(VLOOKUP(I$2,行为概览!$D$3:$K$33,8,0)="","",VLOOKUP(I$2,行为概览!$D$3:$K$33,8,0)*玩法行为规划!H64)</f>
        <v/>
      </c>
      <c r="J64" s="7" t="str">
        <f>IF(VLOOKUP(J$2,行为概览!$D$3:$K$33,8,0)="","",VLOOKUP(J$2,行为概览!$D$3:$K$33,8,0)*玩法行为规划!I64)</f>
        <v/>
      </c>
      <c r="K64" s="7">
        <f>IF(VLOOKUP(K$2,行为概览!$D$3:$K$33,8,0)="","",VLOOKUP(K$2,行为概览!$D$3:$K$33,8,0)*玩法行为规划!J64)</f>
        <v>1</v>
      </c>
      <c r="L64" s="7" t="str">
        <f>IF(VLOOKUP(L$2,行为概览!$D$3:$K$33,8,0)="","",VLOOKUP(L$2,行为概览!$D$3:$K$33,8,0)*玩法行为规划!K64)</f>
        <v/>
      </c>
      <c r="M64" s="7" t="str">
        <f>IF(VLOOKUP(M$2,行为概览!$D$3:$K$33,8,0)="","",VLOOKUP(M$2,行为概览!$D$3:$K$33,8,0)*玩法行为规划!L64)</f>
        <v/>
      </c>
      <c r="N64" s="7">
        <f>IF(VLOOKUP(N$2,行为概览!$D$3:$K$33,8,0)="","",VLOOKUP(N$2,行为概览!$D$3:$K$33,8,0)*玩法行为规划!M64)</f>
        <v>12</v>
      </c>
      <c r="O64" s="7" t="str">
        <f>IF(VLOOKUP(O$2,行为概览!$D$3:$K$33,8,0)="","",VLOOKUP(O$2,行为概览!$D$3:$K$33,8,0)*玩法行为规划!N64)</f>
        <v/>
      </c>
      <c r="P64" s="7" t="str">
        <f>IF(VLOOKUP(P$2,行为概览!$D$3:$K$33,8,0)="","",VLOOKUP(P$2,行为概览!$D$3:$K$33,8,0)*玩法行为规划!O64)</f>
        <v/>
      </c>
      <c r="Q64" s="7">
        <f>IF(VLOOKUP(Q$2,行为概览!$D$3:$K$33,8,0)="","",VLOOKUP(Q$2,行为概览!$D$3:$K$33,8,0)*玩法行为规划!P64)</f>
        <v>5.2</v>
      </c>
      <c r="R64" s="7" t="str">
        <f>IF(VLOOKUP(R$2,行为概览!$D$3:$K$33,8,0)="","",VLOOKUP(R$2,行为概览!$D$3:$K$33,8,0)*玩法行为规划!Q64)</f>
        <v/>
      </c>
      <c r="S64" s="7">
        <f>IF(VLOOKUP(S$2,行为概览!$D$3:$K$33,8,0)="","",VLOOKUP(S$2,行为概览!$D$3:$K$33,8,0)*玩法行为规划!R64)</f>
        <v>0.49995000000000001</v>
      </c>
      <c r="T64" s="7">
        <f>IF(VLOOKUP(T$2,行为概览!$D$3:$K$33,8,0)="","",VLOOKUP(T$2,行为概览!$D$3:$K$33,8,0)*玩法行为规划!S64)</f>
        <v>0</v>
      </c>
      <c r="U64" s="7">
        <f>IF(VLOOKUP(U$2,行为概览!$D$3:$K$33,8,0)="","",VLOOKUP(U$2,行为概览!$D$3:$K$33,8,0)*玩法行为规划!T64)</f>
        <v>0.49995000000000001</v>
      </c>
      <c r="V64" s="7">
        <f>IF(VLOOKUP(V$2,行为概览!$D$3:$K$33,8,0)="","",VLOOKUP(V$2,行为概览!$D$3:$K$33,8,0)*玩法行为规划!U64)</f>
        <v>0.33339999999999997</v>
      </c>
      <c r="W64" s="7" t="str">
        <f>IF(VLOOKUP(W$2,行为概览!$D$3:$K$33,8,0)="","",VLOOKUP(W$2,行为概览!$D$3:$K$33,8,0)*玩法行为规划!V64)</f>
        <v/>
      </c>
      <c r="X64" s="7" t="str">
        <f>IF(VLOOKUP(X$2,行为概览!$D$3:$K$33,8,0)="","",VLOOKUP(X$2,行为概览!$D$3:$K$33,8,0)*玩法行为规划!W64)</f>
        <v/>
      </c>
      <c r="Y64" s="7">
        <f>IF(VLOOKUP(Y$2,行为概览!$D$3:$K$33,8,0)="","",VLOOKUP(Y$2,行为概览!$D$3:$K$33,8,0)*玩法行为规划!X64)</f>
        <v>0.25</v>
      </c>
      <c r="Z64" s="7" t="str">
        <f>IF(VLOOKUP(Z$2,行为概览!$D$3:$K$33,8,0)="","",VLOOKUP(Z$2,行为概览!$D$3:$K$33,8,0)*玩法行为规划!Y64)</f>
        <v/>
      </c>
      <c r="AA64" s="7">
        <f>IF(VLOOKUP(AA$2,行为概览!$D$3:$K$33,8,0)="","",VLOOKUP(AA$2,行为概览!$D$3:$K$33,8,0)*玩法行为规划!Z64)</f>
        <v>8.3349999999999994E-2</v>
      </c>
      <c r="AB64" s="7" t="str">
        <f>IF(VLOOKUP(AB$2,行为概览!$D$3:$K$33,8,0)="","",VLOOKUP(AB$2,行为概览!$D$3:$K$33,8,0)*玩法行为规划!AA64)</f>
        <v/>
      </c>
      <c r="AC64" s="7" t="str">
        <f>IF(VLOOKUP(AC$2,行为概览!$D$3:$K$33,8,0)="","",VLOOKUP(AC$2,行为概览!$D$3:$K$33,8,0)*玩法行为规划!AB64)</f>
        <v/>
      </c>
      <c r="AD64" s="7" t="str">
        <f>IF(VLOOKUP(AD$2,行为概览!$D$3:$K$33,8,0)="","",VLOOKUP(AD$2,行为概览!$D$3:$K$33,8,0)*玩法行为规划!AC64)</f>
        <v/>
      </c>
      <c r="AE64" s="7" t="str">
        <f>IF(VLOOKUP(AE$2,行为概览!$D$3:$K$33,8,0)="","",VLOOKUP(AE$2,行为概览!$D$3:$K$33,8,0)*玩法行为规划!AD64)</f>
        <v/>
      </c>
      <c r="AF64" s="7">
        <f t="shared" si="8"/>
        <v>24.133149999999997</v>
      </c>
      <c r="AG64" s="7">
        <f t="shared" si="9"/>
        <v>7481276</v>
      </c>
      <c r="AH64" s="7">
        <f t="shared" si="4"/>
        <v>224470</v>
      </c>
      <c r="AI64" s="10" t="str">
        <f t="shared" si="7"/>
        <v/>
      </c>
      <c r="AJ64" s="73">
        <f t="shared" si="5"/>
        <v>192220</v>
      </c>
      <c r="AK64" s="77">
        <f>ROUND(AG64*升级节奏!G64/AJ69,2)</f>
        <v>65.72</v>
      </c>
      <c r="AL64" s="77">
        <f>ROUND(AG64*升级节奏!G64/SUM($AJ$3:AJ69),2)</f>
        <v>2.88</v>
      </c>
      <c r="AM64" s="74">
        <f>ROUND(AG64*升级节奏!G64,0)</f>
        <v>14753076</v>
      </c>
      <c r="AN64" s="77">
        <f>ROUND(SUM($AM$3:AM64)/SUM($AJ$3:AJ69),2)</f>
        <v>18.38</v>
      </c>
      <c r="AO64" s="7">
        <f t="shared" si="10"/>
        <v>5167</v>
      </c>
      <c r="AP64" s="7">
        <f t="shared" si="11"/>
        <v>37</v>
      </c>
    </row>
    <row r="65" spans="1:42">
      <c r="A65" s="32">
        <v>63</v>
      </c>
      <c r="B65" s="87">
        <f>升级节奏!D65</f>
        <v>315000</v>
      </c>
      <c r="C65" s="7">
        <f>IF(VLOOKUP(C$2,行为概览!$D$3:$K$33,8,0)="","",VLOOKUP(C$2,行为概览!$D$3:$K$33,8,0)*玩法行为规划!B65)</f>
        <v>0.99990000000000001</v>
      </c>
      <c r="D65" s="7">
        <f>IF(VLOOKUP(D$2,行为概览!$D$3:$K$33,8,0)="","",VLOOKUP(D$2,行为概览!$D$3:$K$33,8,0)*玩法行为规划!C65)</f>
        <v>1.1000000000000001</v>
      </c>
      <c r="E65" s="7" t="str">
        <f>IF(VLOOKUP(E$2,行为概览!$D$3:$K$33,8,0)="","",VLOOKUP(E$2,行为概览!$D$3:$K$33,8,0)*玩法行为规划!D65)</f>
        <v/>
      </c>
      <c r="F65" s="7">
        <f>IF(VLOOKUP(F$2,行为概览!$D$3:$K$33,8,0)="","",VLOOKUP(F$2,行为概览!$D$3:$K$33,8,0)*玩法行为规划!E65)</f>
        <v>1.5</v>
      </c>
      <c r="G65" s="7">
        <f>IF(VLOOKUP(G$2,行为概览!$D$3:$K$33,8,0)="","",VLOOKUP(G$2,行为概览!$D$3:$K$33,8,0)*玩法行为规划!F65)</f>
        <v>0.66659999999999997</v>
      </c>
      <c r="H65" s="7" t="str">
        <f>IF(VLOOKUP(H$2,行为概览!$D$3:$K$33,8,0)="","",VLOOKUP(H$2,行为概览!$D$3:$K$33,8,0)*玩法行为规划!G65)</f>
        <v/>
      </c>
      <c r="I65" s="7" t="str">
        <f>IF(VLOOKUP(I$2,行为概览!$D$3:$K$33,8,0)="","",VLOOKUP(I$2,行为概览!$D$3:$K$33,8,0)*玩法行为规划!H65)</f>
        <v/>
      </c>
      <c r="J65" s="7" t="str">
        <f>IF(VLOOKUP(J$2,行为概览!$D$3:$K$33,8,0)="","",VLOOKUP(J$2,行为概览!$D$3:$K$33,8,0)*玩法行为规划!I65)</f>
        <v/>
      </c>
      <c r="K65" s="7">
        <f>IF(VLOOKUP(K$2,行为概览!$D$3:$K$33,8,0)="","",VLOOKUP(K$2,行为概览!$D$3:$K$33,8,0)*玩法行为规划!J65)</f>
        <v>1</v>
      </c>
      <c r="L65" s="7" t="str">
        <f>IF(VLOOKUP(L$2,行为概览!$D$3:$K$33,8,0)="","",VLOOKUP(L$2,行为概览!$D$3:$K$33,8,0)*玩法行为规划!K65)</f>
        <v/>
      </c>
      <c r="M65" s="7" t="str">
        <f>IF(VLOOKUP(M$2,行为概览!$D$3:$K$33,8,0)="","",VLOOKUP(M$2,行为概览!$D$3:$K$33,8,0)*玩法行为规划!L65)</f>
        <v/>
      </c>
      <c r="N65" s="7">
        <f>IF(VLOOKUP(N$2,行为概览!$D$3:$K$33,8,0)="","",VLOOKUP(N$2,行为概览!$D$3:$K$33,8,0)*玩法行为规划!M65)</f>
        <v>12</v>
      </c>
      <c r="O65" s="7" t="str">
        <f>IF(VLOOKUP(O$2,行为概览!$D$3:$K$33,8,0)="","",VLOOKUP(O$2,行为概览!$D$3:$K$33,8,0)*玩法行为规划!N65)</f>
        <v/>
      </c>
      <c r="P65" s="7" t="str">
        <f>IF(VLOOKUP(P$2,行为概览!$D$3:$K$33,8,0)="","",VLOOKUP(P$2,行为概览!$D$3:$K$33,8,0)*玩法行为规划!O65)</f>
        <v/>
      </c>
      <c r="Q65" s="7">
        <f>IF(VLOOKUP(Q$2,行为概览!$D$3:$K$33,8,0)="","",VLOOKUP(Q$2,行为概览!$D$3:$K$33,8,0)*玩法行为规划!P65)</f>
        <v>5.2</v>
      </c>
      <c r="R65" s="7" t="str">
        <f>IF(VLOOKUP(R$2,行为概览!$D$3:$K$33,8,0)="","",VLOOKUP(R$2,行为概览!$D$3:$K$33,8,0)*玩法行为规划!Q65)</f>
        <v/>
      </c>
      <c r="S65" s="7">
        <f>IF(VLOOKUP(S$2,行为概览!$D$3:$K$33,8,0)="","",VLOOKUP(S$2,行为概览!$D$3:$K$33,8,0)*玩法行为规划!R65)</f>
        <v>0.49995000000000001</v>
      </c>
      <c r="T65" s="7">
        <f>IF(VLOOKUP(T$2,行为概览!$D$3:$K$33,8,0)="","",VLOOKUP(T$2,行为概览!$D$3:$K$33,8,0)*玩法行为规划!S65)</f>
        <v>0</v>
      </c>
      <c r="U65" s="7">
        <f>IF(VLOOKUP(U$2,行为概览!$D$3:$K$33,8,0)="","",VLOOKUP(U$2,行为概览!$D$3:$K$33,8,0)*玩法行为规划!T65)</f>
        <v>0.49995000000000001</v>
      </c>
      <c r="V65" s="7">
        <f>IF(VLOOKUP(V$2,行为概览!$D$3:$K$33,8,0)="","",VLOOKUP(V$2,行为概览!$D$3:$K$33,8,0)*玩法行为规划!U65)</f>
        <v>0.33339999999999997</v>
      </c>
      <c r="W65" s="7" t="str">
        <f>IF(VLOOKUP(W$2,行为概览!$D$3:$K$33,8,0)="","",VLOOKUP(W$2,行为概览!$D$3:$K$33,8,0)*玩法行为规划!V65)</f>
        <v/>
      </c>
      <c r="X65" s="7" t="str">
        <f>IF(VLOOKUP(X$2,行为概览!$D$3:$K$33,8,0)="","",VLOOKUP(X$2,行为概览!$D$3:$K$33,8,0)*玩法行为规划!W65)</f>
        <v/>
      </c>
      <c r="Y65" s="7">
        <f>IF(VLOOKUP(Y$2,行为概览!$D$3:$K$33,8,0)="","",VLOOKUP(Y$2,行为概览!$D$3:$K$33,8,0)*玩法行为规划!X65)</f>
        <v>0.25</v>
      </c>
      <c r="Z65" s="7" t="str">
        <f>IF(VLOOKUP(Z$2,行为概览!$D$3:$K$33,8,0)="","",VLOOKUP(Z$2,行为概览!$D$3:$K$33,8,0)*玩法行为规划!Y65)</f>
        <v/>
      </c>
      <c r="AA65" s="7">
        <f>IF(VLOOKUP(AA$2,行为概览!$D$3:$K$33,8,0)="","",VLOOKUP(AA$2,行为概览!$D$3:$K$33,8,0)*玩法行为规划!Z65)</f>
        <v>8.3349999999999994E-2</v>
      </c>
      <c r="AB65" s="7" t="str">
        <f>IF(VLOOKUP(AB$2,行为概览!$D$3:$K$33,8,0)="","",VLOOKUP(AB$2,行为概览!$D$3:$K$33,8,0)*玩法行为规划!AA65)</f>
        <v/>
      </c>
      <c r="AC65" s="7" t="str">
        <f>IF(VLOOKUP(AC$2,行为概览!$D$3:$K$33,8,0)="","",VLOOKUP(AC$2,行为概览!$D$3:$K$33,8,0)*玩法行为规划!AB65)</f>
        <v/>
      </c>
      <c r="AD65" s="7" t="str">
        <f>IF(VLOOKUP(AD$2,行为概览!$D$3:$K$33,8,0)="","",VLOOKUP(AD$2,行为概览!$D$3:$K$33,8,0)*玩法行为规划!AC65)</f>
        <v/>
      </c>
      <c r="AE65" s="7" t="str">
        <f>IF(VLOOKUP(AE$2,行为概览!$D$3:$K$33,8,0)="","",VLOOKUP(AE$2,行为概览!$D$3:$K$33,8,0)*玩法行为规划!AD65)</f>
        <v/>
      </c>
      <c r="AF65" s="7">
        <f t="shared" si="8"/>
        <v>24.133149999999997</v>
      </c>
      <c r="AG65" s="7">
        <f t="shared" si="9"/>
        <v>7601942</v>
      </c>
      <c r="AH65" s="7">
        <f t="shared" si="4"/>
        <v>231220</v>
      </c>
      <c r="AI65" s="10" t="str">
        <f t="shared" si="7"/>
        <v/>
      </c>
      <c r="AJ65" s="73">
        <f t="shared" si="5"/>
        <v>198470</v>
      </c>
      <c r="AK65" s="77">
        <f>ROUND(AG65*升级节奏!G65/AJ70,2)</f>
        <v>78.040000000000006</v>
      </c>
      <c r="AL65" s="77">
        <f>ROUND(AG65*升级节奏!G65/SUM($AJ$3:AJ70),2)</f>
        <v>3.37</v>
      </c>
      <c r="AM65" s="74">
        <f>ROUND(AG65*升级节奏!G65,0)</f>
        <v>18043843</v>
      </c>
      <c r="AN65" s="77">
        <f>ROUND(SUM($AM$3:AM65)/SUM($AJ$3:AJ70),2)</f>
        <v>20.96</v>
      </c>
      <c r="AO65" s="7">
        <f t="shared" si="10"/>
        <v>5250</v>
      </c>
      <c r="AP65" s="7">
        <f t="shared" si="11"/>
        <v>38</v>
      </c>
    </row>
    <row r="66" spans="1:42">
      <c r="A66" s="32">
        <v>64</v>
      </c>
      <c r="B66" s="87">
        <f>升级节奏!D66</f>
        <v>320000</v>
      </c>
      <c r="C66" s="7">
        <f>IF(VLOOKUP(C$2,行为概览!$D$3:$K$33,8,0)="","",VLOOKUP(C$2,行为概览!$D$3:$K$33,8,0)*玩法行为规划!B66)</f>
        <v>0.99990000000000001</v>
      </c>
      <c r="D66" s="7">
        <f>IF(VLOOKUP(D$2,行为概览!$D$3:$K$33,8,0)="","",VLOOKUP(D$2,行为概览!$D$3:$K$33,8,0)*玩法行为规划!C66)</f>
        <v>1.1000000000000001</v>
      </c>
      <c r="E66" s="7" t="str">
        <f>IF(VLOOKUP(E$2,行为概览!$D$3:$K$33,8,0)="","",VLOOKUP(E$2,行为概览!$D$3:$K$33,8,0)*玩法行为规划!D66)</f>
        <v/>
      </c>
      <c r="F66" s="7">
        <f>IF(VLOOKUP(F$2,行为概览!$D$3:$K$33,8,0)="","",VLOOKUP(F$2,行为概览!$D$3:$K$33,8,0)*玩法行为规划!E66)</f>
        <v>1.5</v>
      </c>
      <c r="G66" s="7">
        <f>IF(VLOOKUP(G$2,行为概览!$D$3:$K$33,8,0)="","",VLOOKUP(G$2,行为概览!$D$3:$K$33,8,0)*玩法行为规划!F66)</f>
        <v>0.66659999999999997</v>
      </c>
      <c r="H66" s="7" t="str">
        <f>IF(VLOOKUP(H$2,行为概览!$D$3:$K$33,8,0)="","",VLOOKUP(H$2,行为概览!$D$3:$K$33,8,0)*玩法行为规划!G66)</f>
        <v/>
      </c>
      <c r="I66" s="7" t="str">
        <f>IF(VLOOKUP(I$2,行为概览!$D$3:$K$33,8,0)="","",VLOOKUP(I$2,行为概览!$D$3:$K$33,8,0)*玩法行为规划!H66)</f>
        <v/>
      </c>
      <c r="J66" s="7" t="str">
        <f>IF(VLOOKUP(J$2,行为概览!$D$3:$K$33,8,0)="","",VLOOKUP(J$2,行为概览!$D$3:$K$33,8,0)*玩法行为规划!I66)</f>
        <v/>
      </c>
      <c r="K66" s="7">
        <f>IF(VLOOKUP(K$2,行为概览!$D$3:$K$33,8,0)="","",VLOOKUP(K$2,行为概览!$D$3:$K$33,8,0)*玩法行为规划!J66)</f>
        <v>1</v>
      </c>
      <c r="L66" s="7" t="str">
        <f>IF(VLOOKUP(L$2,行为概览!$D$3:$K$33,8,0)="","",VLOOKUP(L$2,行为概览!$D$3:$K$33,8,0)*玩法行为规划!K66)</f>
        <v/>
      </c>
      <c r="M66" s="7" t="str">
        <f>IF(VLOOKUP(M$2,行为概览!$D$3:$K$33,8,0)="","",VLOOKUP(M$2,行为概览!$D$3:$K$33,8,0)*玩法行为规划!L66)</f>
        <v/>
      </c>
      <c r="N66" s="7">
        <f>IF(VLOOKUP(N$2,行为概览!$D$3:$K$33,8,0)="","",VLOOKUP(N$2,行为概览!$D$3:$K$33,8,0)*玩法行为规划!M66)</f>
        <v>12</v>
      </c>
      <c r="O66" s="7" t="str">
        <f>IF(VLOOKUP(O$2,行为概览!$D$3:$K$33,8,0)="","",VLOOKUP(O$2,行为概览!$D$3:$K$33,8,0)*玩法行为规划!N66)</f>
        <v/>
      </c>
      <c r="P66" s="7" t="str">
        <f>IF(VLOOKUP(P$2,行为概览!$D$3:$K$33,8,0)="","",VLOOKUP(P$2,行为概览!$D$3:$K$33,8,0)*玩法行为规划!O66)</f>
        <v/>
      </c>
      <c r="Q66" s="7">
        <f>IF(VLOOKUP(Q$2,行为概览!$D$3:$K$33,8,0)="","",VLOOKUP(Q$2,行为概览!$D$3:$K$33,8,0)*玩法行为规划!P66)</f>
        <v>5.2</v>
      </c>
      <c r="R66" s="7" t="str">
        <f>IF(VLOOKUP(R$2,行为概览!$D$3:$K$33,8,0)="","",VLOOKUP(R$2,行为概览!$D$3:$K$33,8,0)*玩法行为规划!Q66)</f>
        <v/>
      </c>
      <c r="S66" s="7">
        <f>IF(VLOOKUP(S$2,行为概览!$D$3:$K$33,8,0)="","",VLOOKUP(S$2,行为概览!$D$3:$K$33,8,0)*玩法行为规划!R66)</f>
        <v>0.49995000000000001</v>
      </c>
      <c r="T66" s="7">
        <f>IF(VLOOKUP(T$2,行为概览!$D$3:$K$33,8,0)="","",VLOOKUP(T$2,行为概览!$D$3:$K$33,8,0)*玩法行为规划!S66)</f>
        <v>0</v>
      </c>
      <c r="U66" s="7">
        <f>IF(VLOOKUP(U$2,行为概览!$D$3:$K$33,8,0)="","",VLOOKUP(U$2,行为概览!$D$3:$K$33,8,0)*玩法行为规划!T66)</f>
        <v>0.49995000000000001</v>
      </c>
      <c r="V66" s="7">
        <f>IF(VLOOKUP(V$2,行为概览!$D$3:$K$33,8,0)="","",VLOOKUP(V$2,行为概览!$D$3:$K$33,8,0)*玩法行为规划!U66)</f>
        <v>0.33339999999999997</v>
      </c>
      <c r="W66" s="7" t="str">
        <f>IF(VLOOKUP(W$2,行为概览!$D$3:$K$33,8,0)="","",VLOOKUP(W$2,行为概览!$D$3:$K$33,8,0)*玩法行为规划!V66)</f>
        <v/>
      </c>
      <c r="X66" s="7" t="str">
        <f>IF(VLOOKUP(X$2,行为概览!$D$3:$K$33,8,0)="","",VLOOKUP(X$2,行为概览!$D$3:$K$33,8,0)*玩法行为规划!W66)</f>
        <v/>
      </c>
      <c r="Y66" s="7">
        <f>IF(VLOOKUP(Y$2,行为概览!$D$3:$K$33,8,0)="","",VLOOKUP(Y$2,行为概览!$D$3:$K$33,8,0)*玩法行为规划!X66)</f>
        <v>0.25</v>
      </c>
      <c r="Z66" s="7" t="str">
        <f>IF(VLOOKUP(Z$2,行为概览!$D$3:$K$33,8,0)="","",VLOOKUP(Z$2,行为概览!$D$3:$K$33,8,0)*玩法行为规划!Y66)</f>
        <v/>
      </c>
      <c r="AA66" s="7">
        <f>IF(VLOOKUP(AA$2,行为概览!$D$3:$K$33,8,0)="","",VLOOKUP(AA$2,行为概览!$D$3:$K$33,8,0)*玩法行为规划!Z66)</f>
        <v>8.3349999999999994E-2</v>
      </c>
      <c r="AB66" s="7" t="str">
        <f>IF(VLOOKUP(AB$2,行为概览!$D$3:$K$33,8,0)="","",VLOOKUP(AB$2,行为概览!$D$3:$K$33,8,0)*玩法行为规划!AA66)</f>
        <v/>
      </c>
      <c r="AC66" s="7" t="str">
        <f>IF(VLOOKUP(AC$2,行为概览!$D$3:$K$33,8,0)="","",VLOOKUP(AC$2,行为概览!$D$3:$K$33,8,0)*玩法行为规划!AB66)</f>
        <v/>
      </c>
      <c r="AD66" s="7" t="str">
        <f>IF(VLOOKUP(AD$2,行为概览!$D$3:$K$33,8,0)="","",VLOOKUP(AD$2,行为概览!$D$3:$K$33,8,0)*玩法行为规划!AC66)</f>
        <v/>
      </c>
      <c r="AE66" s="7" t="str">
        <f>IF(VLOOKUP(AE$2,行为概览!$D$3:$K$33,8,0)="","",VLOOKUP(AE$2,行为概览!$D$3:$K$33,8,0)*玩法行为规划!AD66)</f>
        <v/>
      </c>
      <c r="AF66" s="7">
        <f t="shared" si="8"/>
        <v>24.133149999999997</v>
      </c>
      <c r="AG66" s="7">
        <f t="shared" si="9"/>
        <v>7722608</v>
      </c>
      <c r="AH66" s="7">
        <f t="shared" si="4"/>
        <v>238070</v>
      </c>
      <c r="AI66" s="10" t="str">
        <f t="shared" si="7"/>
        <v/>
      </c>
      <c r="AJ66" s="73">
        <f t="shared" si="5"/>
        <v>204820</v>
      </c>
      <c r="AK66" s="77">
        <f>ROUND(AG66*升级节奏!G66/AJ71,2)</f>
        <v>90.74</v>
      </c>
      <c r="AL66" s="77">
        <f>ROUND(AG66*升级节奏!G66/SUM($AJ$3:AJ71),2)</f>
        <v>3.86</v>
      </c>
      <c r="AM66" s="74">
        <f>ROUND(AG66*升级节奏!G66,0)</f>
        <v>21602709</v>
      </c>
      <c r="AN66" s="77">
        <f>ROUND(SUM($AM$3:AM66)/SUM($AJ$3:AJ71),2)</f>
        <v>23.92</v>
      </c>
      <c r="AO66" s="7">
        <f t="shared" si="10"/>
        <v>5333</v>
      </c>
      <c r="AP66" s="7">
        <f t="shared" si="11"/>
        <v>38</v>
      </c>
    </row>
    <row r="67" spans="1:42">
      <c r="A67" s="32">
        <v>65</v>
      </c>
      <c r="B67" s="87">
        <f>升级节奏!D67</f>
        <v>325000</v>
      </c>
      <c r="C67" s="7">
        <f>IF(VLOOKUP(C$2,行为概览!$D$3:$K$33,8,0)="","",VLOOKUP(C$2,行为概览!$D$3:$K$33,8,0)*玩法行为规划!B67)</f>
        <v>0.99990000000000001</v>
      </c>
      <c r="D67" s="7">
        <f>IF(VLOOKUP(D$2,行为概览!$D$3:$K$33,8,0)="","",VLOOKUP(D$2,行为概览!$D$3:$K$33,8,0)*玩法行为规划!C67)</f>
        <v>1.1000000000000001</v>
      </c>
      <c r="E67" s="7" t="str">
        <f>IF(VLOOKUP(E$2,行为概览!$D$3:$K$33,8,0)="","",VLOOKUP(E$2,行为概览!$D$3:$K$33,8,0)*玩法行为规划!D67)</f>
        <v/>
      </c>
      <c r="F67" s="7">
        <f>IF(VLOOKUP(F$2,行为概览!$D$3:$K$33,8,0)="","",VLOOKUP(F$2,行为概览!$D$3:$K$33,8,0)*玩法行为规划!E67)</f>
        <v>1.5</v>
      </c>
      <c r="G67" s="7">
        <f>IF(VLOOKUP(G$2,行为概览!$D$3:$K$33,8,0)="","",VLOOKUP(G$2,行为概览!$D$3:$K$33,8,0)*玩法行为规划!F67)</f>
        <v>0.66659999999999997</v>
      </c>
      <c r="H67" s="7" t="str">
        <f>IF(VLOOKUP(H$2,行为概览!$D$3:$K$33,8,0)="","",VLOOKUP(H$2,行为概览!$D$3:$K$33,8,0)*玩法行为规划!G67)</f>
        <v/>
      </c>
      <c r="I67" s="7" t="str">
        <f>IF(VLOOKUP(I$2,行为概览!$D$3:$K$33,8,0)="","",VLOOKUP(I$2,行为概览!$D$3:$K$33,8,0)*玩法行为规划!H67)</f>
        <v/>
      </c>
      <c r="J67" s="7" t="str">
        <f>IF(VLOOKUP(J$2,行为概览!$D$3:$K$33,8,0)="","",VLOOKUP(J$2,行为概览!$D$3:$K$33,8,0)*玩法行为规划!I67)</f>
        <v/>
      </c>
      <c r="K67" s="7">
        <f>IF(VLOOKUP(K$2,行为概览!$D$3:$K$33,8,0)="","",VLOOKUP(K$2,行为概览!$D$3:$K$33,8,0)*玩法行为规划!J67)</f>
        <v>1</v>
      </c>
      <c r="L67" s="7" t="str">
        <f>IF(VLOOKUP(L$2,行为概览!$D$3:$K$33,8,0)="","",VLOOKUP(L$2,行为概览!$D$3:$K$33,8,0)*玩法行为规划!K67)</f>
        <v/>
      </c>
      <c r="M67" s="7" t="str">
        <f>IF(VLOOKUP(M$2,行为概览!$D$3:$K$33,8,0)="","",VLOOKUP(M$2,行为概览!$D$3:$K$33,8,0)*玩法行为规划!L67)</f>
        <v/>
      </c>
      <c r="N67" s="7">
        <f>IF(VLOOKUP(N$2,行为概览!$D$3:$K$33,8,0)="","",VLOOKUP(N$2,行为概览!$D$3:$K$33,8,0)*玩法行为规划!M67)</f>
        <v>12</v>
      </c>
      <c r="O67" s="7" t="str">
        <f>IF(VLOOKUP(O$2,行为概览!$D$3:$K$33,8,0)="","",VLOOKUP(O$2,行为概览!$D$3:$K$33,8,0)*玩法行为规划!N67)</f>
        <v/>
      </c>
      <c r="P67" s="7" t="str">
        <f>IF(VLOOKUP(P$2,行为概览!$D$3:$K$33,8,0)="","",VLOOKUP(P$2,行为概览!$D$3:$K$33,8,0)*玩法行为规划!O67)</f>
        <v/>
      </c>
      <c r="Q67" s="7">
        <f>IF(VLOOKUP(Q$2,行为概览!$D$3:$K$33,8,0)="","",VLOOKUP(Q$2,行为概览!$D$3:$K$33,8,0)*玩法行为规划!P67)</f>
        <v>5.2</v>
      </c>
      <c r="R67" s="7" t="str">
        <f>IF(VLOOKUP(R$2,行为概览!$D$3:$K$33,8,0)="","",VLOOKUP(R$2,行为概览!$D$3:$K$33,8,0)*玩法行为规划!Q67)</f>
        <v/>
      </c>
      <c r="S67" s="7">
        <f>IF(VLOOKUP(S$2,行为概览!$D$3:$K$33,8,0)="","",VLOOKUP(S$2,行为概览!$D$3:$K$33,8,0)*玩法行为规划!R67)</f>
        <v>0.49995000000000001</v>
      </c>
      <c r="T67" s="7">
        <f>IF(VLOOKUP(T$2,行为概览!$D$3:$K$33,8,0)="","",VLOOKUP(T$2,行为概览!$D$3:$K$33,8,0)*玩法行为规划!S67)</f>
        <v>0</v>
      </c>
      <c r="U67" s="7">
        <f>IF(VLOOKUP(U$2,行为概览!$D$3:$K$33,8,0)="","",VLOOKUP(U$2,行为概览!$D$3:$K$33,8,0)*玩法行为规划!T67)</f>
        <v>0.49995000000000001</v>
      </c>
      <c r="V67" s="7">
        <f>IF(VLOOKUP(V$2,行为概览!$D$3:$K$33,8,0)="","",VLOOKUP(V$2,行为概览!$D$3:$K$33,8,0)*玩法行为规划!U67)</f>
        <v>0.33339999999999997</v>
      </c>
      <c r="W67" s="7" t="str">
        <f>IF(VLOOKUP(W$2,行为概览!$D$3:$K$33,8,0)="","",VLOOKUP(W$2,行为概览!$D$3:$K$33,8,0)*玩法行为规划!V67)</f>
        <v/>
      </c>
      <c r="X67" s="7" t="str">
        <f>IF(VLOOKUP(X$2,行为概览!$D$3:$K$33,8,0)="","",VLOOKUP(X$2,行为概览!$D$3:$K$33,8,0)*玩法行为规划!W67)</f>
        <v/>
      </c>
      <c r="Y67" s="7">
        <f>IF(VLOOKUP(Y$2,行为概览!$D$3:$K$33,8,0)="","",VLOOKUP(Y$2,行为概览!$D$3:$K$33,8,0)*玩法行为规划!X67)</f>
        <v>0.25</v>
      </c>
      <c r="Z67" s="7" t="str">
        <f>IF(VLOOKUP(Z$2,行为概览!$D$3:$K$33,8,0)="","",VLOOKUP(Z$2,行为概览!$D$3:$K$33,8,0)*玩法行为规划!Y67)</f>
        <v/>
      </c>
      <c r="AA67" s="7">
        <f>IF(VLOOKUP(AA$2,行为概览!$D$3:$K$33,8,0)="","",VLOOKUP(AA$2,行为概览!$D$3:$K$33,8,0)*玩法行为规划!Z67)</f>
        <v>8.3349999999999994E-2</v>
      </c>
      <c r="AB67" s="7" t="str">
        <f>IF(VLOOKUP(AB$2,行为概览!$D$3:$K$33,8,0)="","",VLOOKUP(AB$2,行为概览!$D$3:$K$33,8,0)*玩法行为规划!AA67)</f>
        <v/>
      </c>
      <c r="AC67" s="7" t="str">
        <f>IF(VLOOKUP(AC$2,行为概览!$D$3:$K$33,8,0)="","",VLOOKUP(AC$2,行为概览!$D$3:$K$33,8,0)*玩法行为规划!AB67)</f>
        <v/>
      </c>
      <c r="AD67" s="7" t="str">
        <f>IF(VLOOKUP(AD$2,行为概览!$D$3:$K$33,8,0)="","",VLOOKUP(AD$2,行为概览!$D$3:$K$33,8,0)*玩法行为规划!AC67)</f>
        <v/>
      </c>
      <c r="AE67" s="7" t="str">
        <f>IF(VLOOKUP(AE$2,行为概览!$D$3:$K$33,8,0)="","",VLOOKUP(AE$2,行为概览!$D$3:$K$33,8,0)*玩法行为规划!AD67)</f>
        <v/>
      </c>
      <c r="AF67" s="7">
        <f t="shared" ref="AF67:AF98" si="12">SUM(C67:AC67)</f>
        <v>24.133149999999997</v>
      </c>
      <c r="AG67" s="7">
        <f t="shared" ref="AG67:AG98" si="13">INT(B67*AF67)</f>
        <v>7843273</v>
      </c>
      <c r="AH67" s="7">
        <f t="shared" si="4"/>
        <v>245020</v>
      </c>
      <c r="AI67" s="10" t="str">
        <f t="shared" si="7"/>
        <v/>
      </c>
      <c r="AJ67" s="73">
        <f t="shared" si="5"/>
        <v>211270</v>
      </c>
      <c r="AK67" s="77">
        <f>ROUND(AG67*升级节奏!G67/AJ72,2)</f>
        <v>103.83</v>
      </c>
      <c r="AL67" s="77">
        <f>ROUND(AG67*升级节奏!G67/SUM($AJ$3:AJ72),2)</f>
        <v>4.3600000000000003</v>
      </c>
      <c r="AM67" s="74">
        <f>ROUND(AG67*升级节奏!G67,0)</f>
        <v>25441617</v>
      </c>
      <c r="AN67" s="77">
        <f>ROUND(SUM($AM$3:AM67)/SUM($AJ$3:AJ72),2)</f>
        <v>27.28</v>
      </c>
      <c r="AO67" s="7">
        <f t="shared" ref="AO67:AO98" si="14">ROUND(B67/60,0)</f>
        <v>5417</v>
      </c>
      <c r="AP67" s="7">
        <f t="shared" ref="AP67:AP98" si="15">ROUND(AJ67/AO67,0)</f>
        <v>39</v>
      </c>
    </row>
    <row r="68" spans="1:42">
      <c r="A68" s="32">
        <v>66</v>
      </c>
      <c r="B68" s="87">
        <f>升级节奏!D68</f>
        <v>330000</v>
      </c>
      <c r="C68" s="7">
        <f>IF(VLOOKUP(C$2,行为概览!$D$3:$K$33,8,0)="","",VLOOKUP(C$2,行为概览!$D$3:$K$33,8,0)*玩法行为规划!B68)</f>
        <v>0.99990000000000001</v>
      </c>
      <c r="D68" s="7">
        <f>IF(VLOOKUP(D$2,行为概览!$D$3:$K$33,8,0)="","",VLOOKUP(D$2,行为概览!$D$3:$K$33,8,0)*玩法行为规划!C68)</f>
        <v>1.1000000000000001</v>
      </c>
      <c r="E68" s="7" t="str">
        <f>IF(VLOOKUP(E$2,行为概览!$D$3:$K$33,8,0)="","",VLOOKUP(E$2,行为概览!$D$3:$K$33,8,0)*玩法行为规划!D68)</f>
        <v/>
      </c>
      <c r="F68" s="7">
        <f>IF(VLOOKUP(F$2,行为概览!$D$3:$K$33,8,0)="","",VLOOKUP(F$2,行为概览!$D$3:$K$33,8,0)*玩法行为规划!E68)</f>
        <v>1.5</v>
      </c>
      <c r="G68" s="7">
        <f>IF(VLOOKUP(G$2,行为概览!$D$3:$K$33,8,0)="","",VLOOKUP(G$2,行为概览!$D$3:$K$33,8,0)*玩法行为规划!F68)</f>
        <v>0.66659999999999997</v>
      </c>
      <c r="H68" s="7" t="str">
        <f>IF(VLOOKUP(H$2,行为概览!$D$3:$K$33,8,0)="","",VLOOKUP(H$2,行为概览!$D$3:$K$33,8,0)*玩法行为规划!G68)</f>
        <v/>
      </c>
      <c r="I68" s="7" t="str">
        <f>IF(VLOOKUP(I$2,行为概览!$D$3:$K$33,8,0)="","",VLOOKUP(I$2,行为概览!$D$3:$K$33,8,0)*玩法行为规划!H68)</f>
        <v/>
      </c>
      <c r="J68" s="7" t="str">
        <f>IF(VLOOKUP(J$2,行为概览!$D$3:$K$33,8,0)="","",VLOOKUP(J$2,行为概览!$D$3:$K$33,8,0)*玩法行为规划!I68)</f>
        <v/>
      </c>
      <c r="K68" s="7">
        <f>IF(VLOOKUP(K$2,行为概览!$D$3:$K$33,8,0)="","",VLOOKUP(K$2,行为概览!$D$3:$K$33,8,0)*玩法行为规划!J68)</f>
        <v>1</v>
      </c>
      <c r="L68" s="7" t="str">
        <f>IF(VLOOKUP(L$2,行为概览!$D$3:$K$33,8,0)="","",VLOOKUP(L$2,行为概览!$D$3:$K$33,8,0)*玩法行为规划!K68)</f>
        <v/>
      </c>
      <c r="M68" s="7" t="str">
        <f>IF(VLOOKUP(M$2,行为概览!$D$3:$K$33,8,0)="","",VLOOKUP(M$2,行为概览!$D$3:$K$33,8,0)*玩法行为规划!L68)</f>
        <v/>
      </c>
      <c r="N68" s="7">
        <f>IF(VLOOKUP(N$2,行为概览!$D$3:$K$33,8,0)="","",VLOOKUP(N$2,行为概览!$D$3:$K$33,8,0)*玩法行为规划!M68)</f>
        <v>12</v>
      </c>
      <c r="O68" s="7" t="str">
        <f>IF(VLOOKUP(O$2,行为概览!$D$3:$K$33,8,0)="","",VLOOKUP(O$2,行为概览!$D$3:$K$33,8,0)*玩法行为规划!N68)</f>
        <v/>
      </c>
      <c r="P68" s="7" t="str">
        <f>IF(VLOOKUP(P$2,行为概览!$D$3:$K$33,8,0)="","",VLOOKUP(P$2,行为概览!$D$3:$K$33,8,0)*玩法行为规划!O68)</f>
        <v/>
      </c>
      <c r="Q68" s="7">
        <f>IF(VLOOKUP(Q$2,行为概览!$D$3:$K$33,8,0)="","",VLOOKUP(Q$2,行为概览!$D$3:$K$33,8,0)*玩法行为规划!P68)</f>
        <v>5.2</v>
      </c>
      <c r="R68" s="7" t="str">
        <f>IF(VLOOKUP(R$2,行为概览!$D$3:$K$33,8,0)="","",VLOOKUP(R$2,行为概览!$D$3:$K$33,8,0)*玩法行为规划!Q68)</f>
        <v/>
      </c>
      <c r="S68" s="7">
        <f>IF(VLOOKUP(S$2,行为概览!$D$3:$K$33,8,0)="","",VLOOKUP(S$2,行为概览!$D$3:$K$33,8,0)*玩法行为规划!R68)</f>
        <v>0.49995000000000001</v>
      </c>
      <c r="T68" s="7">
        <f>IF(VLOOKUP(T$2,行为概览!$D$3:$K$33,8,0)="","",VLOOKUP(T$2,行为概览!$D$3:$K$33,8,0)*玩法行为规划!S68)</f>
        <v>0</v>
      </c>
      <c r="U68" s="7">
        <f>IF(VLOOKUP(U$2,行为概览!$D$3:$K$33,8,0)="","",VLOOKUP(U$2,行为概览!$D$3:$K$33,8,0)*玩法行为规划!T68)</f>
        <v>0.49995000000000001</v>
      </c>
      <c r="V68" s="7">
        <f>IF(VLOOKUP(V$2,行为概览!$D$3:$K$33,8,0)="","",VLOOKUP(V$2,行为概览!$D$3:$K$33,8,0)*玩法行为规划!U68)</f>
        <v>0.33339999999999997</v>
      </c>
      <c r="W68" s="7" t="str">
        <f>IF(VLOOKUP(W$2,行为概览!$D$3:$K$33,8,0)="","",VLOOKUP(W$2,行为概览!$D$3:$K$33,8,0)*玩法行为规划!V68)</f>
        <v/>
      </c>
      <c r="X68" s="7" t="str">
        <f>IF(VLOOKUP(X$2,行为概览!$D$3:$K$33,8,0)="","",VLOOKUP(X$2,行为概览!$D$3:$K$33,8,0)*玩法行为规划!W68)</f>
        <v/>
      </c>
      <c r="Y68" s="7">
        <f>IF(VLOOKUP(Y$2,行为概览!$D$3:$K$33,8,0)="","",VLOOKUP(Y$2,行为概览!$D$3:$K$33,8,0)*玩法行为规划!X68)</f>
        <v>0.25</v>
      </c>
      <c r="Z68" s="7" t="str">
        <f>IF(VLOOKUP(Z$2,行为概览!$D$3:$K$33,8,0)="","",VLOOKUP(Z$2,行为概览!$D$3:$K$33,8,0)*玩法行为规划!Y68)</f>
        <v/>
      </c>
      <c r="AA68" s="7">
        <f>IF(VLOOKUP(AA$2,行为概览!$D$3:$K$33,8,0)="","",VLOOKUP(AA$2,行为概览!$D$3:$K$33,8,0)*玩法行为规划!Z68)</f>
        <v>8.3349999999999994E-2</v>
      </c>
      <c r="AB68" s="7" t="str">
        <f>IF(VLOOKUP(AB$2,行为概览!$D$3:$K$33,8,0)="","",VLOOKUP(AB$2,行为概览!$D$3:$K$33,8,0)*玩法行为规划!AA68)</f>
        <v/>
      </c>
      <c r="AC68" s="7" t="str">
        <f>IF(VLOOKUP(AC$2,行为概览!$D$3:$K$33,8,0)="","",VLOOKUP(AC$2,行为概览!$D$3:$K$33,8,0)*玩法行为规划!AB68)</f>
        <v/>
      </c>
      <c r="AD68" s="7" t="str">
        <f>IF(VLOOKUP(AD$2,行为概览!$D$3:$K$33,8,0)="","",VLOOKUP(AD$2,行为概览!$D$3:$K$33,8,0)*玩法行为规划!AC68)</f>
        <v/>
      </c>
      <c r="AE68" s="7" t="str">
        <f>IF(VLOOKUP(AE$2,行为概览!$D$3:$K$33,8,0)="","",VLOOKUP(AE$2,行为概览!$D$3:$K$33,8,0)*玩法行为规划!AD68)</f>
        <v/>
      </c>
      <c r="AF68" s="7">
        <f t="shared" si="12"/>
        <v>24.133149999999997</v>
      </c>
      <c r="AG68" s="7">
        <f t="shared" si="13"/>
        <v>7963939</v>
      </c>
      <c r="AH68" s="7">
        <f t="shared" ref="AH68:AH131" si="16">AJ73</f>
        <v>252070</v>
      </c>
      <c r="AI68" s="10" t="str">
        <f t="shared" si="7"/>
        <v/>
      </c>
      <c r="AJ68" s="73">
        <f t="shared" ref="AJ68:AJ131" si="17">20+50*A68^2</f>
        <v>217820</v>
      </c>
      <c r="AK68" s="77">
        <f>ROUND(AG68*升级节奏!G68/AJ73,2)</f>
        <v>129.05000000000001</v>
      </c>
      <c r="AL68" s="77">
        <f>ROUND(AG68*升级节奏!G68/SUM($AJ$3:AJ73),2)</f>
        <v>5.34</v>
      </c>
      <c r="AM68" s="74">
        <f>ROUND(AG68*升级节奏!G68,0)</f>
        <v>32530036</v>
      </c>
      <c r="AN68" s="77">
        <f>ROUND(SUM($AM$3:AM68)/SUM($AJ$3:AJ73),2)</f>
        <v>31.49</v>
      </c>
      <c r="AO68" s="7">
        <f t="shared" si="14"/>
        <v>5500</v>
      </c>
      <c r="AP68" s="7">
        <f t="shared" si="15"/>
        <v>40</v>
      </c>
    </row>
    <row r="69" spans="1:42">
      <c r="A69" s="32">
        <v>67</v>
      </c>
      <c r="B69" s="87">
        <f>升级节奏!D69</f>
        <v>335000</v>
      </c>
      <c r="C69" s="7">
        <f>IF(VLOOKUP(C$2,行为概览!$D$3:$K$33,8,0)="","",VLOOKUP(C$2,行为概览!$D$3:$K$33,8,0)*玩法行为规划!B69)</f>
        <v>0.99990000000000001</v>
      </c>
      <c r="D69" s="7">
        <f>IF(VLOOKUP(D$2,行为概览!$D$3:$K$33,8,0)="","",VLOOKUP(D$2,行为概览!$D$3:$K$33,8,0)*玩法行为规划!C69)</f>
        <v>1.1000000000000001</v>
      </c>
      <c r="E69" s="7" t="str">
        <f>IF(VLOOKUP(E$2,行为概览!$D$3:$K$33,8,0)="","",VLOOKUP(E$2,行为概览!$D$3:$K$33,8,0)*玩法行为规划!D69)</f>
        <v/>
      </c>
      <c r="F69" s="7">
        <f>IF(VLOOKUP(F$2,行为概览!$D$3:$K$33,8,0)="","",VLOOKUP(F$2,行为概览!$D$3:$K$33,8,0)*玩法行为规划!E69)</f>
        <v>1.5</v>
      </c>
      <c r="G69" s="7">
        <f>IF(VLOOKUP(G$2,行为概览!$D$3:$K$33,8,0)="","",VLOOKUP(G$2,行为概览!$D$3:$K$33,8,0)*玩法行为规划!F69)</f>
        <v>0.66659999999999997</v>
      </c>
      <c r="H69" s="7" t="str">
        <f>IF(VLOOKUP(H$2,行为概览!$D$3:$K$33,8,0)="","",VLOOKUP(H$2,行为概览!$D$3:$K$33,8,0)*玩法行为规划!G69)</f>
        <v/>
      </c>
      <c r="I69" s="7" t="str">
        <f>IF(VLOOKUP(I$2,行为概览!$D$3:$K$33,8,0)="","",VLOOKUP(I$2,行为概览!$D$3:$K$33,8,0)*玩法行为规划!H69)</f>
        <v/>
      </c>
      <c r="J69" s="7" t="str">
        <f>IF(VLOOKUP(J$2,行为概览!$D$3:$K$33,8,0)="","",VLOOKUP(J$2,行为概览!$D$3:$K$33,8,0)*玩法行为规划!I69)</f>
        <v/>
      </c>
      <c r="K69" s="7">
        <f>IF(VLOOKUP(K$2,行为概览!$D$3:$K$33,8,0)="","",VLOOKUP(K$2,行为概览!$D$3:$K$33,8,0)*玩法行为规划!J69)</f>
        <v>1</v>
      </c>
      <c r="L69" s="7" t="str">
        <f>IF(VLOOKUP(L$2,行为概览!$D$3:$K$33,8,0)="","",VLOOKUP(L$2,行为概览!$D$3:$K$33,8,0)*玩法行为规划!K69)</f>
        <v/>
      </c>
      <c r="M69" s="7" t="str">
        <f>IF(VLOOKUP(M$2,行为概览!$D$3:$K$33,8,0)="","",VLOOKUP(M$2,行为概览!$D$3:$K$33,8,0)*玩法行为规划!L69)</f>
        <v/>
      </c>
      <c r="N69" s="7">
        <f>IF(VLOOKUP(N$2,行为概览!$D$3:$K$33,8,0)="","",VLOOKUP(N$2,行为概览!$D$3:$K$33,8,0)*玩法行为规划!M69)</f>
        <v>12</v>
      </c>
      <c r="O69" s="7" t="str">
        <f>IF(VLOOKUP(O$2,行为概览!$D$3:$K$33,8,0)="","",VLOOKUP(O$2,行为概览!$D$3:$K$33,8,0)*玩法行为规划!N69)</f>
        <v/>
      </c>
      <c r="P69" s="7" t="str">
        <f>IF(VLOOKUP(P$2,行为概览!$D$3:$K$33,8,0)="","",VLOOKUP(P$2,行为概览!$D$3:$K$33,8,0)*玩法行为规划!O69)</f>
        <v/>
      </c>
      <c r="Q69" s="7">
        <f>IF(VLOOKUP(Q$2,行为概览!$D$3:$K$33,8,0)="","",VLOOKUP(Q$2,行为概览!$D$3:$K$33,8,0)*玩法行为规划!P69)</f>
        <v>5.2</v>
      </c>
      <c r="R69" s="7" t="str">
        <f>IF(VLOOKUP(R$2,行为概览!$D$3:$K$33,8,0)="","",VLOOKUP(R$2,行为概览!$D$3:$K$33,8,0)*玩法行为规划!Q69)</f>
        <v/>
      </c>
      <c r="S69" s="7">
        <f>IF(VLOOKUP(S$2,行为概览!$D$3:$K$33,8,0)="","",VLOOKUP(S$2,行为概览!$D$3:$K$33,8,0)*玩法行为规划!R69)</f>
        <v>0.49995000000000001</v>
      </c>
      <c r="T69" s="7">
        <f>IF(VLOOKUP(T$2,行为概览!$D$3:$K$33,8,0)="","",VLOOKUP(T$2,行为概览!$D$3:$K$33,8,0)*玩法行为规划!S69)</f>
        <v>0</v>
      </c>
      <c r="U69" s="7">
        <f>IF(VLOOKUP(U$2,行为概览!$D$3:$K$33,8,0)="","",VLOOKUP(U$2,行为概览!$D$3:$K$33,8,0)*玩法行为规划!T69)</f>
        <v>0.49995000000000001</v>
      </c>
      <c r="V69" s="7">
        <f>IF(VLOOKUP(V$2,行为概览!$D$3:$K$33,8,0)="","",VLOOKUP(V$2,行为概览!$D$3:$K$33,8,0)*玩法行为规划!U69)</f>
        <v>0.33339999999999997</v>
      </c>
      <c r="W69" s="7" t="str">
        <f>IF(VLOOKUP(W$2,行为概览!$D$3:$K$33,8,0)="","",VLOOKUP(W$2,行为概览!$D$3:$K$33,8,0)*玩法行为规划!V69)</f>
        <v/>
      </c>
      <c r="X69" s="7" t="str">
        <f>IF(VLOOKUP(X$2,行为概览!$D$3:$K$33,8,0)="","",VLOOKUP(X$2,行为概览!$D$3:$K$33,8,0)*玩法行为规划!W69)</f>
        <v/>
      </c>
      <c r="Y69" s="7">
        <f>IF(VLOOKUP(Y$2,行为概览!$D$3:$K$33,8,0)="","",VLOOKUP(Y$2,行为概览!$D$3:$K$33,8,0)*玩法行为规划!X69)</f>
        <v>0.25</v>
      </c>
      <c r="Z69" s="7" t="str">
        <f>IF(VLOOKUP(Z$2,行为概览!$D$3:$K$33,8,0)="","",VLOOKUP(Z$2,行为概览!$D$3:$K$33,8,0)*玩法行为规划!Y69)</f>
        <v/>
      </c>
      <c r="AA69" s="7">
        <f>IF(VLOOKUP(AA$2,行为概览!$D$3:$K$33,8,0)="","",VLOOKUP(AA$2,行为概览!$D$3:$K$33,8,0)*玩法行为规划!Z69)</f>
        <v>8.3349999999999994E-2</v>
      </c>
      <c r="AB69" s="7" t="str">
        <f>IF(VLOOKUP(AB$2,行为概览!$D$3:$K$33,8,0)="","",VLOOKUP(AB$2,行为概览!$D$3:$K$33,8,0)*玩法行为规划!AA69)</f>
        <v/>
      </c>
      <c r="AC69" s="7" t="str">
        <f>IF(VLOOKUP(AC$2,行为概览!$D$3:$K$33,8,0)="","",VLOOKUP(AC$2,行为概览!$D$3:$K$33,8,0)*玩法行为规划!AB69)</f>
        <v/>
      </c>
      <c r="AD69" s="7" t="str">
        <f>IF(VLOOKUP(AD$2,行为概览!$D$3:$K$33,8,0)="","",VLOOKUP(AD$2,行为概览!$D$3:$K$33,8,0)*玩法行为规划!AC69)</f>
        <v/>
      </c>
      <c r="AE69" s="7" t="str">
        <f>IF(VLOOKUP(AE$2,行为概览!$D$3:$K$33,8,0)="","",VLOOKUP(AE$2,行为概览!$D$3:$K$33,8,0)*玩法行为规划!AD69)</f>
        <v/>
      </c>
      <c r="AF69" s="7">
        <f t="shared" si="12"/>
        <v>24.133149999999997</v>
      </c>
      <c r="AG69" s="7">
        <f t="shared" si="13"/>
        <v>8084605</v>
      </c>
      <c r="AH69" s="7">
        <f t="shared" si="16"/>
        <v>259220</v>
      </c>
      <c r="AI69" s="10" t="str">
        <f t="shared" si="7"/>
        <v/>
      </c>
      <c r="AJ69" s="73">
        <f t="shared" si="17"/>
        <v>224470</v>
      </c>
      <c r="AK69" s="77">
        <f>ROUND(AG69*升级节奏!G69/AJ74,2)</f>
        <v>155.05000000000001</v>
      </c>
      <c r="AL69" s="77">
        <f>ROUND(AG69*升级节奏!G69/SUM($AJ$3:AJ74),2)</f>
        <v>6.33</v>
      </c>
      <c r="AM69" s="74">
        <f>ROUND(AG69*升级节奏!G69,0)</f>
        <v>40191940</v>
      </c>
      <c r="AN69" s="77">
        <f>ROUND(SUM($AM$3:AM69)/SUM($AJ$3:AJ74),2)</f>
        <v>36.53</v>
      </c>
      <c r="AO69" s="7">
        <f t="shared" si="14"/>
        <v>5583</v>
      </c>
      <c r="AP69" s="7">
        <f t="shared" si="15"/>
        <v>40</v>
      </c>
    </row>
    <row r="70" spans="1:42">
      <c r="A70" s="32">
        <v>68</v>
      </c>
      <c r="B70" s="87">
        <f>升级节奏!D70</f>
        <v>340000</v>
      </c>
      <c r="C70" s="7">
        <f>IF(VLOOKUP(C$2,行为概览!$D$3:$K$33,8,0)="","",VLOOKUP(C$2,行为概览!$D$3:$K$33,8,0)*玩法行为规划!B70)</f>
        <v>0.99990000000000001</v>
      </c>
      <c r="D70" s="7">
        <f>IF(VLOOKUP(D$2,行为概览!$D$3:$K$33,8,0)="","",VLOOKUP(D$2,行为概览!$D$3:$K$33,8,0)*玩法行为规划!C70)</f>
        <v>1.1000000000000001</v>
      </c>
      <c r="E70" s="7" t="str">
        <f>IF(VLOOKUP(E$2,行为概览!$D$3:$K$33,8,0)="","",VLOOKUP(E$2,行为概览!$D$3:$K$33,8,0)*玩法行为规划!D70)</f>
        <v/>
      </c>
      <c r="F70" s="7">
        <f>IF(VLOOKUP(F$2,行为概览!$D$3:$K$33,8,0)="","",VLOOKUP(F$2,行为概览!$D$3:$K$33,8,0)*玩法行为规划!E70)</f>
        <v>1.5</v>
      </c>
      <c r="G70" s="7">
        <f>IF(VLOOKUP(G$2,行为概览!$D$3:$K$33,8,0)="","",VLOOKUP(G$2,行为概览!$D$3:$K$33,8,0)*玩法行为规划!F70)</f>
        <v>0.66659999999999997</v>
      </c>
      <c r="H70" s="7" t="str">
        <f>IF(VLOOKUP(H$2,行为概览!$D$3:$K$33,8,0)="","",VLOOKUP(H$2,行为概览!$D$3:$K$33,8,0)*玩法行为规划!G70)</f>
        <v/>
      </c>
      <c r="I70" s="7" t="str">
        <f>IF(VLOOKUP(I$2,行为概览!$D$3:$K$33,8,0)="","",VLOOKUP(I$2,行为概览!$D$3:$K$33,8,0)*玩法行为规划!H70)</f>
        <v/>
      </c>
      <c r="J70" s="7" t="str">
        <f>IF(VLOOKUP(J$2,行为概览!$D$3:$K$33,8,0)="","",VLOOKUP(J$2,行为概览!$D$3:$K$33,8,0)*玩法行为规划!I70)</f>
        <v/>
      </c>
      <c r="K70" s="7">
        <f>IF(VLOOKUP(K$2,行为概览!$D$3:$K$33,8,0)="","",VLOOKUP(K$2,行为概览!$D$3:$K$33,8,0)*玩法行为规划!J70)</f>
        <v>1</v>
      </c>
      <c r="L70" s="7" t="str">
        <f>IF(VLOOKUP(L$2,行为概览!$D$3:$K$33,8,0)="","",VLOOKUP(L$2,行为概览!$D$3:$K$33,8,0)*玩法行为规划!K70)</f>
        <v/>
      </c>
      <c r="M70" s="7" t="str">
        <f>IF(VLOOKUP(M$2,行为概览!$D$3:$K$33,8,0)="","",VLOOKUP(M$2,行为概览!$D$3:$K$33,8,0)*玩法行为规划!L70)</f>
        <v/>
      </c>
      <c r="N70" s="7">
        <f>IF(VLOOKUP(N$2,行为概览!$D$3:$K$33,8,0)="","",VLOOKUP(N$2,行为概览!$D$3:$K$33,8,0)*玩法行为规划!M70)</f>
        <v>12</v>
      </c>
      <c r="O70" s="7" t="str">
        <f>IF(VLOOKUP(O$2,行为概览!$D$3:$K$33,8,0)="","",VLOOKUP(O$2,行为概览!$D$3:$K$33,8,0)*玩法行为规划!N70)</f>
        <v/>
      </c>
      <c r="P70" s="7" t="str">
        <f>IF(VLOOKUP(P$2,行为概览!$D$3:$K$33,8,0)="","",VLOOKUP(P$2,行为概览!$D$3:$K$33,8,0)*玩法行为规划!O70)</f>
        <v/>
      </c>
      <c r="Q70" s="7">
        <f>IF(VLOOKUP(Q$2,行为概览!$D$3:$K$33,8,0)="","",VLOOKUP(Q$2,行为概览!$D$3:$K$33,8,0)*玩法行为规划!P70)</f>
        <v>5.2</v>
      </c>
      <c r="R70" s="7" t="str">
        <f>IF(VLOOKUP(R$2,行为概览!$D$3:$K$33,8,0)="","",VLOOKUP(R$2,行为概览!$D$3:$K$33,8,0)*玩法行为规划!Q70)</f>
        <v/>
      </c>
      <c r="S70" s="7">
        <f>IF(VLOOKUP(S$2,行为概览!$D$3:$K$33,8,0)="","",VLOOKUP(S$2,行为概览!$D$3:$K$33,8,0)*玩法行为规划!R70)</f>
        <v>0.49995000000000001</v>
      </c>
      <c r="T70" s="7">
        <f>IF(VLOOKUP(T$2,行为概览!$D$3:$K$33,8,0)="","",VLOOKUP(T$2,行为概览!$D$3:$K$33,8,0)*玩法行为规划!S70)</f>
        <v>0</v>
      </c>
      <c r="U70" s="7">
        <f>IF(VLOOKUP(U$2,行为概览!$D$3:$K$33,8,0)="","",VLOOKUP(U$2,行为概览!$D$3:$K$33,8,0)*玩法行为规划!T70)</f>
        <v>0.49995000000000001</v>
      </c>
      <c r="V70" s="7">
        <f>IF(VLOOKUP(V$2,行为概览!$D$3:$K$33,8,0)="","",VLOOKUP(V$2,行为概览!$D$3:$K$33,8,0)*玩法行为规划!U70)</f>
        <v>0.33339999999999997</v>
      </c>
      <c r="W70" s="7" t="str">
        <f>IF(VLOOKUP(W$2,行为概览!$D$3:$K$33,8,0)="","",VLOOKUP(W$2,行为概览!$D$3:$K$33,8,0)*玩法行为规划!V70)</f>
        <v/>
      </c>
      <c r="X70" s="7" t="str">
        <f>IF(VLOOKUP(X$2,行为概览!$D$3:$K$33,8,0)="","",VLOOKUP(X$2,行为概览!$D$3:$K$33,8,0)*玩法行为规划!W70)</f>
        <v/>
      </c>
      <c r="Y70" s="7">
        <f>IF(VLOOKUP(Y$2,行为概览!$D$3:$K$33,8,0)="","",VLOOKUP(Y$2,行为概览!$D$3:$K$33,8,0)*玩法行为规划!X70)</f>
        <v>0.25</v>
      </c>
      <c r="Z70" s="7" t="str">
        <f>IF(VLOOKUP(Z$2,行为概览!$D$3:$K$33,8,0)="","",VLOOKUP(Z$2,行为概览!$D$3:$K$33,8,0)*玩法行为规划!Y70)</f>
        <v/>
      </c>
      <c r="AA70" s="7">
        <f>IF(VLOOKUP(AA$2,行为概览!$D$3:$K$33,8,0)="","",VLOOKUP(AA$2,行为概览!$D$3:$K$33,8,0)*玩法行为规划!Z70)</f>
        <v>8.3349999999999994E-2</v>
      </c>
      <c r="AB70" s="7" t="str">
        <f>IF(VLOOKUP(AB$2,行为概览!$D$3:$K$33,8,0)="","",VLOOKUP(AB$2,行为概览!$D$3:$K$33,8,0)*玩法行为规划!AA70)</f>
        <v/>
      </c>
      <c r="AC70" s="7" t="str">
        <f>IF(VLOOKUP(AC$2,行为概览!$D$3:$K$33,8,0)="","",VLOOKUP(AC$2,行为概览!$D$3:$K$33,8,0)*玩法行为规划!AB70)</f>
        <v/>
      </c>
      <c r="AD70" s="7" t="str">
        <f>IF(VLOOKUP(AD$2,行为概览!$D$3:$K$33,8,0)="","",VLOOKUP(AD$2,行为概览!$D$3:$K$33,8,0)*玩法行为规划!AC70)</f>
        <v/>
      </c>
      <c r="AE70" s="7" t="str">
        <f>IF(VLOOKUP(AE$2,行为概览!$D$3:$K$33,8,0)="","",VLOOKUP(AE$2,行为概览!$D$3:$K$33,8,0)*玩法行为规划!AD70)</f>
        <v/>
      </c>
      <c r="AF70" s="7">
        <f t="shared" si="12"/>
        <v>24.133149999999997</v>
      </c>
      <c r="AG70" s="7">
        <f t="shared" si="13"/>
        <v>8205271</v>
      </c>
      <c r="AH70" s="7">
        <f t="shared" si="16"/>
        <v>266470</v>
      </c>
      <c r="AI70" s="10" t="str">
        <f t="shared" si="7"/>
        <v/>
      </c>
      <c r="AJ70" s="73">
        <f t="shared" si="17"/>
        <v>231220</v>
      </c>
      <c r="AK70" s="77">
        <f>ROUND(AG70*升级节奏!G70/AJ75,2)</f>
        <v>181.83</v>
      </c>
      <c r="AL70" s="77">
        <f>ROUND(AG70*升级节奏!G70/SUM($AJ$3:AJ75),2)</f>
        <v>7.32</v>
      </c>
      <c r="AM70" s="74">
        <f>ROUND(AG70*升级节奏!G70,0)</f>
        <v>48452125</v>
      </c>
      <c r="AN70" s="77">
        <f>ROUND(SUM($AM$3:AM70)/SUM($AJ$3:AJ75),2)</f>
        <v>42.38</v>
      </c>
      <c r="AO70" s="7">
        <f t="shared" si="14"/>
        <v>5667</v>
      </c>
      <c r="AP70" s="7">
        <f t="shared" si="15"/>
        <v>41</v>
      </c>
    </row>
    <row r="71" spans="1:42">
      <c r="A71" s="32">
        <v>69</v>
      </c>
      <c r="B71" s="87">
        <f>升级节奏!D71</f>
        <v>345000</v>
      </c>
      <c r="C71" s="7">
        <f>IF(VLOOKUP(C$2,行为概览!$D$3:$K$33,8,0)="","",VLOOKUP(C$2,行为概览!$D$3:$K$33,8,0)*玩法行为规划!B71)</f>
        <v>0.99990000000000001</v>
      </c>
      <c r="D71" s="7">
        <f>IF(VLOOKUP(D$2,行为概览!$D$3:$K$33,8,0)="","",VLOOKUP(D$2,行为概览!$D$3:$K$33,8,0)*玩法行为规划!C71)</f>
        <v>1.1000000000000001</v>
      </c>
      <c r="E71" s="7" t="str">
        <f>IF(VLOOKUP(E$2,行为概览!$D$3:$K$33,8,0)="","",VLOOKUP(E$2,行为概览!$D$3:$K$33,8,0)*玩法行为规划!D71)</f>
        <v/>
      </c>
      <c r="F71" s="7">
        <f>IF(VLOOKUP(F$2,行为概览!$D$3:$K$33,8,0)="","",VLOOKUP(F$2,行为概览!$D$3:$K$33,8,0)*玩法行为规划!E71)</f>
        <v>1.5</v>
      </c>
      <c r="G71" s="7">
        <f>IF(VLOOKUP(G$2,行为概览!$D$3:$K$33,8,0)="","",VLOOKUP(G$2,行为概览!$D$3:$K$33,8,0)*玩法行为规划!F71)</f>
        <v>0.66659999999999997</v>
      </c>
      <c r="H71" s="7" t="str">
        <f>IF(VLOOKUP(H$2,行为概览!$D$3:$K$33,8,0)="","",VLOOKUP(H$2,行为概览!$D$3:$K$33,8,0)*玩法行为规划!G71)</f>
        <v/>
      </c>
      <c r="I71" s="7" t="str">
        <f>IF(VLOOKUP(I$2,行为概览!$D$3:$K$33,8,0)="","",VLOOKUP(I$2,行为概览!$D$3:$K$33,8,0)*玩法行为规划!H71)</f>
        <v/>
      </c>
      <c r="J71" s="7" t="str">
        <f>IF(VLOOKUP(J$2,行为概览!$D$3:$K$33,8,0)="","",VLOOKUP(J$2,行为概览!$D$3:$K$33,8,0)*玩法行为规划!I71)</f>
        <v/>
      </c>
      <c r="K71" s="7">
        <f>IF(VLOOKUP(K$2,行为概览!$D$3:$K$33,8,0)="","",VLOOKUP(K$2,行为概览!$D$3:$K$33,8,0)*玩法行为规划!J71)</f>
        <v>1</v>
      </c>
      <c r="L71" s="7" t="str">
        <f>IF(VLOOKUP(L$2,行为概览!$D$3:$K$33,8,0)="","",VLOOKUP(L$2,行为概览!$D$3:$K$33,8,0)*玩法行为规划!K71)</f>
        <v/>
      </c>
      <c r="M71" s="7" t="str">
        <f>IF(VLOOKUP(M$2,行为概览!$D$3:$K$33,8,0)="","",VLOOKUP(M$2,行为概览!$D$3:$K$33,8,0)*玩法行为规划!L71)</f>
        <v/>
      </c>
      <c r="N71" s="7">
        <f>IF(VLOOKUP(N$2,行为概览!$D$3:$K$33,8,0)="","",VLOOKUP(N$2,行为概览!$D$3:$K$33,8,0)*玩法行为规划!M71)</f>
        <v>12</v>
      </c>
      <c r="O71" s="7" t="str">
        <f>IF(VLOOKUP(O$2,行为概览!$D$3:$K$33,8,0)="","",VLOOKUP(O$2,行为概览!$D$3:$K$33,8,0)*玩法行为规划!N71)</f>
        <v/>
      </c>
      <c r="P71" s="7" t="str">
        <f>IF(VLOOKUP(P$2,行为概览!$D$3:$K$33,8,0)="","",VLOOKUP(P$2,行为概览!$D$3:$K$33,8,0)*玩法行为规划!O71)</f>
        <v/>
      </c>
      <c r="Q71" s="7">
        <f>IF(VLOOKUP(Q$2,行为概览!$D$3:$K$33,8,0)="","",VLOOKUP(Q$2,行为概览!$D$3:$K$33,8,0)*玩法行为规划!P71)</f>
        <v>5.2</v>
      </c>
      <c r="R71" s="7" t="str">
        <f>IF(VLOOKUP(R$2,行为概览!$D$3:$K$33,8,0)="","",VLOOKUP(R$2,行为概览!$D$3:$K$33,8,0)*玩法行为规划!Q71)</f>
        <v/>
      </c>
      <c r="S71" s="7">
        <f>IF(VLOOKUP(S$2,行为概览!$D$3:$K$33,8,0)="","",VLOOKUP(S$2,行为概览!$D$3:$K$33,8,0)*玩法行为规划!R71)</f>
        <v>0.49995000000000001</v>
      </c>
      <c r="T71" s="7">
        <f>IF(VLOOKUP(T$2,行为概览!$D$3:$K$33,8,0)="","",VLOOKUP(T$2,行为概览!$D$3:$K$33,8,0)*玩法行为规划!S71)</f>
        <v>0</v>
      </c>
      <c r="U71" s="7">
        <f>IF(VLOOKUP(U$2,行为概览!$D$3:$K$33,8,0)="","",VLOOKUP(U$2,行为概览!$D$3:$K$33,8,0)*玩法行为规划!T71)</f>
        <v>0.49995000000000001</v>
      </c>
      <c r="V71" s="7">
        <f>IF(VLOOKUP(V$2,行为概览!$D$3:$K$33,8,0)="","",VLOOKUP(V$2,行为概览!$D$3:$K$33,8,0)*玩法行为规划!U71)</f>
        <v>0.33339999999999997</v>
      </c>
      <c r="W71" s="7" t="str">
        <f>IF(VLOOKUP(W$2,行为概览!$D$3:$K$33,8,0)="","",VLOOKUP(W$2,行为概览!$D$3:$K$33,8,0)*玩法行为规划!V71)</f>
        <v/>
      </c>
      <c r="X71" s="7" t="str">
        <f>IF(VLOOKUP(X$2,行为概览!$D$3:$K$33,8,0)="","",VLOOKUP(X$2,行为概览!$D$3:$K$33,8,0)*玩法行为规划!W71)</f>
        <v/>
      </c>
      <c r="Y71" s="7">
        <f>IF(VLOOKUP(Y$2,行为概览!$D$3:$K$33,8,0)="","",VLOOKUP(Y$2,行为概览!$D$3:$K$33,8,0)*玩法行为规划!X71)</f>
        <v>0.25</v>
      </c>
      <c r="Z71" s="7" t="str">
        <f>IF(VLOOKUP(Z$2,行为概览!$D$3:$K$33,8,0)="","",VLOOKUP(Z$2,行为概览!$D$3:$K$33,8,0)*玩法行为规划!Y71)</f>
        <v/>
      </c>
      <c r="AA71" s="7">
        <f>IF(VLOOKUP(AA$2,行为概览!$D$3:$K$33,8,0)="","",VLOOKUP(AA$2,行为概览!$D$3:$K$33,8,0)*玩法行为规划!Z71)</f>
        <v>8.3349999999999994E-2</v>
      </c>
      <c r="AB71" s="7" t="str">
        <f>IF(VLOOKUP(AB$2,行为概览!$D$3:$K$33,8,0)="","",VLOOKUP(AB$2,行为概览!$D$3:$K$33,8,0)*玩法行为规划!AA71)</f>
        <v/>
      </c>
      <c r="AC71" s="7" t="str">
        <f>IF(VLOOKUP(AC$2,行为概览!$D$3:$K$33,8,0)="","",VLOOKUP(AC$2,行为概览!$D$3:$K$33,8,0)*玩法行为规划!AB71)</f>
        <v/>
      </c>
      <c r="AD71" s="7" t="str">
        <f>IF(VLOOKUP(AD$2,行为概览!$D$3:$K$33,8,0)="","",VLOOKUP(AD$2,行为概览!$D$3:$K$33,8,0)*玩法行为规划!AC71)</f>
        <v/>
      </c>
      <c r="AE71" s="7" t="str">
        <f>IF(VLOOKUP(AE$2,行为概览!$D$3:$K$33,8,0)="","",VLOOKUP(AE$2,行为概览!$D$3:$K$33,8,0)*玩法行为规划!AD71)</f>
        <v/>
      </c>
      <c r="AF71" s="7">
        <f t="shared" si="12"/>
        <v>24.133149999999997</v>
      </c>
      <c r="AG71" s="7">
        <f t="shared" si="13"/>
        <v>8325936</v>
      </c>
      <c r="AH71" s="7">
        <f t="shared" si="16"/>
        <v>273820</v>
      </c>
      <c r="AI71" s="10" t="str">
        <f t="shared" si="7"/>
        <v/>
      </c>
      <c r="AJ71" s="73">
        <f t="shared" si="17"/>
        <v>238070</v>
      </c>
      <c r="AK71" s="77">
        <f>ROUND(AG71*升级节奏!G71/AJ76,2)</f>
        <v>209.39</v>
      </c>
      <c r="AL71" s="77">
        <f>ROUND(AG71*升级节奏!G71/SUM($AJ$3:AJ76),2)</f>
        <v>8.32</v>
      </c>
      <c r="AM71" s="74">
        <f>ROUND(AG71*升级节奏!G71,0)</f>
        <v>57335864</v>
      </c>
      <c r="AN71" s="77">
        <f>ROUND(SUM($AM$3:AM71)/SUM($AJ$3:AJ76),2)</f>
        <v>49.01</v>
      </c>
      <c r="AO71" s="7">
        <f t="shared" si="14"/>
        <v>5750</v>
      </c>
      <c r="AP71" s="7">
        <f t="shared" si="15"/>
        <v>41</v>
      </c>
    </row>
    <row r="72" spans="1:42">
      <c r="A72" s="32">
        <v>70</v>
      </c>
      <c r="B72" s="87">
        <f>升级节奏!D72</f>
        <v>350000</v>
      </c>
      <c r="C72" s="7">
        <f>IF(VLOOKUP(C$2,行为概览!$D$3:$K$33,8,0)="","",VLOOKUP(C$2,行为概览!$D$3:$K$33,8,0)*玩法行为规划!B72)</f>
        <v>0.99990000000000001</v>
      </c>
      <c r="D72" s="7">
        <f>IF(VLOOKUP(D$2,行为概览!$D$3:$K$33,8,0)="","",VLOOKUP(D$2,行为概览!$D$3:$K$33,8,0)*玩法行为规划!C72)</f>
        <v>1.1000000000000001</v>
      </c>
      <c r="E72" s="7" t="str">
        <f>IF(VLOOKUP(E$2,行为概览!$D$3:$K$33,8,0)="","",VLOOKUP(E$2,行为概览!$D$3:$K$33,8,0)*玩法行为规划!D72)</f>
        <v/>
      </c>
      <c r="F72" s="7">
        <f>IF(VLOOKUP(F$2,行为概览!$D$3:$K$33,8,0)="","",VLOOKUP(F$2,行为概览!$D$3:$K$33,8,0)*玩法行为规划!E72)</f>
        <v>1.5</v>
      </c>
      <c r="G72" s="7">
        <f>IF(VLOOKUP(G$2,行为概览!$D$3:$K$33,8,0)="","",VLOOKUP(G$2,行为概览!$D$3:$K$33,8,0)*玩法行为规划!F72)</f>
        <v>0.66659999999999997</v>
      </c>
      <c r="H72" s="7" t="str">
        <f>IF(VLOOKUP(H$2,行为概览!$D$3:$K$33,8,0)="","",VLOOKUP(H$2,行为概览!$D$3:$K$33,8,0)*玩法行为规划!G72)</f>
        <v/>
      </c>
      <c r="I72" s="7" t="str">
        <f>IF(VLOOKUP(I$2,行为概览!$D$3:$K$33,8,0)="","",VLOOKUP(I$2,行为概览!$D$3:$K$33,8,0)*玩法行为规划!H72)</f>
        <v/>
      </c>
      <c r="J72" s="7" t="str">
        <f>IF(VLOOKUP(J$2,行为概览!$D$3:$K$33,8,0)="","",VLOOKUP(J$2,行为概览!$D$3:$K$33,8,0)*玩法行为规划!I72)</f>
        <v/>
      </c>
      <c r="K72" s="7">
        <f>IF(VLOOKUP(K$2,行为概览!$D$3:$K$33,8,0)="","",VLOOKUP(K$2,行为概览!$D$3:$K$33,8,0)*玩法行为规划!J72)</f>
        <v>1</v>
      </c>
      <c r="L72" s="7" t="str">
        <f>IF(VLOOKUP(L$2,行为概览!$D$3:$K$33,8,0)="","",VLOOKUP(L$2,行为概览!$D$3:$K$33,8,0)*玩法行为规划!K72)</f>
        <v/>
      </c>
      <c r="M72" s="7" t="str">
        <f>IF(VLOOKUP(M$2,行为概览!$D$3:$K$33,8,0)="","",VLOOKUP(M$2,行为概览!$D$3:$K$33,8,0)*玩法行为规划!L72)</f>
        <v/>
      </c>
      <c r="N72" s="7">
        <f>IF(VLOOKUP(N$2,行为概览!$D$3:$K$33,8,0)="","",VLOOKUP(N$2,行为概览!$D$3:$K$33,8,0)*玩法行为规划!M72)</f>
        <v>12</v>
      </c>
      <c r="O72" s="7" t="str">
        <f>IF(VLOOKUP(O$2,行为概览!$D$3:$K$33,8,0)="","",VLOOKUP(O$2,行为概览!$D$3:$K$33,8,0)*玩法行为规划!N72)</f>
        <v/>
      </c>
      <c r="P72" s="7" t="str">
        <f>IF(VLOOKUP(P$2,行为概览!$D$3:$K$33,8,0)="","",VLOOKUP(P$2,行为概览!$D$3:$K$33,8,0)*玩法行为规划!O72)</f>
        <v/>
      </c>
      <c r="Q72" s="7">
        <f>IF(VLOOKUP(Q$2,行为概览!$D$3:$K$33,8,0)="","",VLOOKUP(Q$2,行为概览!$D$3:$K$33,8,0)*玩法行为规划!P72)</f>
        <v>5.2</v>
      </c>
      <c r="R72" s="7" t="str">
        <f>IF(VLOOKUP(R$2,行为概览!$D$3:$K$33,8,0)="","",VLOOKUP(R$2,行为概览!$D$3:$K$33,8,0)*玩法行为规划!Q72)</f>
        <v/>
      </c>
      <c r="S72" s="7">
        <f>IF(VLOOKUP(S$2,行为概览!$D$3:$K$33,8,0)="","",VLOOKUP(S$2,行为概览!$D$3:$K$33,8,0)*玩法行为规划!R72)</f>
        <v>0.49995000000000001</v>
      </c>
      <c r="T72" s="7">
        <f>IF(VLOOKUP(T$2,行为概览!$D$3:$K$33,8,0)="","",VLOOKUP(T$2,行为概览!$D$3:$K$33,8,0)*玩法行为规划!S72)</f>
        <v>0</v>
      </c>
      <c r="U72" s="7">
        <f>IF(VLOOKUP(U$2,行为概览!$D$3:$K$33,8,0)="","",VLOOKUP(U$2,行为概览!$D$3:$K$33,8,0)*玩法行为规划!T72)</f>
        <v>0.49995000000000001</v>
      </c>
      <c r="V72" s="7">
        <f>IF(VLOOKUP(V$2,行为概览!$D$3:$K$33,8,0)="","",VLOOKUP(V$2,行为概览!$D$3:$K$33,8,0)*玩法行为规划!U72)</f>
        <v>0.33339999999999997</v>
      </c>
      <c r="W72" s="7" t="str">
        <f>IF(VLOOKUP(W$2,行为概览!$D$3:$K$33,8,0)="","",VLOOKUP(W$2,行为概览!$D$3:$K$33,8,0)*玩法行为规划!V72)</f>
        <v/>
      </c>
      <c r="X72" s="7" t="str">
        <f>IF(VLOOKUP(X$2,行为概览!$D$3:$K$33,8,0)="","",VLOOKUP(X$2,行为概览!$D$3:$K$33,8,0)*玩法行为规划!W72)</f>
        <v/>
      </c>
      <c r="Y72" s="7">
        <f>IF(VLOOKUP(Y$2,行为概览!$D$3:$K$33,8,0)="","",VLOOKUP(Y$2,行为概览!$D$3:$K$33,8,0)*玩法行为规划!X72)</f>
        <v>0.25</v>
      </c>
      <c r="Z72" s="7" t="str">
        <f>IF(VLOOKUP(Z$2,行为概览!$D$3:$K$33,8,0)="","",VLOOKUP(Z$2,行为概览!$D$3:$K$33,8,0)*玩法行为规划!Y72)</f>
        <v/>
      </c>
      <c r="AA72" s="7">
        <f>IF(VLOOKUP(AA$2,行为概览!$D$3:$K$33,8,0)="","",VLOOKUP(AA$2,行为概览!$D$3:$K$33,8,0)*玩法行为规划!Z72)</f>
        <v>8.3349999999999994E-2</v>
      </c>
      <c r="AB72" s="7" t="str">
        <f>IF(VLOOKUP(AB$2,行为概览!$D$3:$K$33,8,0)="","",VLOOKUP(AB$2,行为概览!$D$3:$K$33,8,0)*玩法行为规划!AA72)</f>
        <v/>
      </c>
      <c r="AC72" s="7" t="str">
        <f>IF(VLOOKUP(AC$2,行为概览!$D$3:$K$33,8,0)="","",VLOOKUP(AC$2,行为概览!$D$3:$K$33,8,0)*玩法行为规划!AB72)</f>
        <v/>
      </c>
      <c r="AD72" s="7" t="str">
        <f>IF(VLOOKUP(AD$2,行为概览!$D$3:$K$33,8,0)="","",VLOOKUP(AD$2,行为概览!$D$3:$K$33,8,0)*玩法行为规划!AC72)</f>
        <v/>
      </c>
      <c r="AE72" s="7" t="str">
        <f>IF(VLOOKUP(AE$2,行为概览!$D$3:$K$33,8,0)="","",VLOOKUP(AE$2,行为概览!$D$3:$K$33,8,0)*玩法行为规划!AD72)</f>
        <v/>
      </c>
      <c r="AF72" s="7">
        <f t="shared" si="12"/>
        <v>24.133149999999997</v>
      </c>
      <c r="AG72" s="7">
        <f t="shared" si="13"/>
        <v>8446602</v>
      </c>
      <c r="AH72" s="7">
        <f t="shared" si="16"/>
        <v>281270</v>
      </c>
      <c r="AI72" s="10">
        <f t="shared" si="7"/>
        <v>5583900</v>
      </c>
      <c r="AJ72" s="73">
        <f t="shared" si="17"/>
        <v>245020</v>
      </c>
      <c r="AK72" s="77">
        <f>ROUND(AG72*升级节奏!G72/AJ77,2)</f>
        <v>212.71</v>
      </c>
      <c r="AL72" s="77">
        <f>ROUND(AG72*升级节奏!G72/SUM($AJ$3:AJ77),2)</f>
        <v>8.34</v>
      </c>
      <c r="AM72" s="74">
        <f>ROUND(AG72*升级节奏!G72,0)</f>
        <v>59830098</v>
      </c>
      <c r="AN72" s="77">
        <f>ROUND(SUM($AM$3:AM72)/SUM($AJ$3:AJ77),2)</f>
        <v>55.43</v>
      </c>
      <c r="AO72" s="7">
        <f t="shared" si="14"/>
        <v>5833</v>
      </c>
      <c r="AP72" s="7">
        <f t="shared" si="15"/>
        <v>42</v>
      </c>
    </row>
    <row r="73" spans="1:42">
      <c r="A73" s="32">
        <v>71</v>
      </c>
      <c r="B73" s="87">
        <f>升级节奏!D73</f>
        <v>355000</v>
      </c>
      <c r="C73" s="7">
        <f>IF(VLOOKUP(C$2,行为概览!$D$3:$K$33,8,0)="","",VLOOKUP(C$2,行为概览!$D$3:$K$33,8,0)*玩法行为规划!B73)</f>
        <v>0.99990000000000001</v>
      </c>
      <c r="D73" s="7">
        <f>IF(VLOOKUP(D$2,行为概览!$D$3:$K$33,8,0)="","",VLOOKUP(D$2,行为概览!$D$3:$K$33,8,0)*玩法行为规划!C73)</f>
        <v>1.1000000000000001</v>
      </c>
      <c r="E73" s="7" t="str">
        <f>IF(VLOOKUP(E$2,行为概览!$D$3:$K$33,8,0)="","",VLOOKUP(E$2,行为概览!$D$3:$K$33,8,0)*玩法行为规划!D73)</f>
        <v/>
      </c>
      <c r="F73" s="7">
        <f>IF(VLOOKUP(F$2,行为概览!$D$3:$K$33,8,0)="","",VLOOKUP(F$2,行为概览!$D$3:$K$33,8,0)*玩法行为规划!E73)</f>
        <v>1.5</v>
      </c>
      <c r="G73" s="7">
        <f>IF(VLOOKUP(G$2,行为概览!$D$3:$K$33,8,0)="","",VLOOKUP(G$2,行为概览!$D$3:$K$33,8,0)*玩法行为规划!F73)</f>
        <v>0.66659999999999997</v>
      </c>
      <c r="H73" s="7" t="str">
        <f>IF(VLOOKUP(H$2,行为概览!$D$3:$K$33,8,0)="","",VLOOKUP(H$2,行为概览!$D$3:$K$33,8,0)*玩法行为规划!G73)</f>
        <v/>
      </c>
      <c r="I73" s="7" t="str">
        <f>IF(VLOOKUP(I$2,行为概览!$D$3:$K$33,8,0)="","",VLOOKUP(I$2,行为概览!$D$3:$K$33,8,0)*玩法行为规划!H73)</f>
        <v/>
      </c>
      <c r="J73" s="7" t="str">
        <f>IF(VLOOKUP(J$2,行为概览!$D$3:$K$33,8,0)="","",VLOOKUP(J$2,行为概览!$D$3:$K$33,8,0)*玩法行为规划!I73)</f>
        <v/>
      </c>
      <c r="K73" s="7">
        <f>IF(VLOOKUP(K$2,行为概览!$D$3:$K$33,8,0)="","",VLOOKUP(K$2,行为概览!$D$3:$K$33,8,0)*玩法行为规划!J73)</f>
        <v>1</v>
      </c>
      <c r="L73" s="7" t="str">
        <f>IF(VLOOKUP(L$2,行为概览!$D$3:$K$33,8,0)="","",VLOOKUP(L$2,行为概览!$D$3:$K$33,8,0)*玩法行为规划!K73)</f>
        <v/>
      </c>
      <c r="M73" s="7" t="str">
        <f>IF(VLOOKUP(M$2,行为概览!$D$3:$K$33,8,0)="","",VLOOKUP(M$2,行为概览!$D$3:$K$33,8,0)*玩法行为规划!L73)</f>
        <v/>
      </c>
      <c r="N73" s="7">
        <f>IF(VLOOKUP(N$2,行为概览!$D$3:$K$33,8,0)="","",VLOOKUP(N$2,行为概览!$D$3:$K$33,8,0)*玩法行为规划!M73)</f>
        <v>12</v>
      </c>
      <c r="O73" s="7" t="str">
        <f>IF(VLOOKUP(O$2,行为概览!$D$3:$K$33,8,0)="","",VLOOKUP(O$2,行为概览!$D$3:$K$33,8,0)*玩法行为规划!N73)</f>
        <v/>
      </c>
      <c r="P73" s="7" t="str">
        <f>IF(VLOOKUP(P$2,行为概览!$D$3:$K$33,8,0)="","",VLOOKUP(P$2,行为概览!$D$3:$K$33,8,0)*玩法行为规划!O73)</f>
        <v/>
      </c>
      <c r="Q73" s="7">
        <f>IF(VLOOKUP(Q$2,行为概览!$D$3:$K$33,8,0)="","",VLOOKUP(Q$2,行为概览!$D$3:$K$33,8,0)*玩法行为规划!P73)</f>
        <v>5.2</v>
      </c>
      <c r="R73" s="7" t="str">
        <f>IF(VLOOKUP(R$2,行为概览!$D$3:$K$33,8,0)="","",VLOOKUP(R$2,行为概览!$D$3:$K$33,8,0)*玩法行为规划!Q73)</f>
        <v/>
      </c>
      <c r="S73" s="7">
        <f>IF(VLOOKUP(S$2,行为概览!$D$3:$K$33,8,0)="","",VLOOKUP(S$2,行为概览!$D$3:$K$33,8,0)*玩法行为规划!R73)</f>
        <v>0.49995000000000001</v>
      </c>
      <c r="T73" s="7">
        <f>IF(VLOOKUP(T$2,行为概览!$D$3:$K$33,8,0)="","",VLOOKUP(T$2,行为概览!$D$3:$K$33,8,0)*玩法行为规划!S73)</f>
        <v>0</v>
      </c>
      <c r="U73" s="7">
        <f>IF(VLOOKUP(U$2,行为概览!$D$3:$K$33,8,0)="","",VLOOKUP(U$2,行为概览!$D$3:$K$33,8,0)*玩法行为规划!T73)</f>
        <v>0.49995000000000001</v>
      </c>
      <c r="V73" s="7">
        <f>IF(VLOOKUP(V$2,行为概览!$D$3:$K$33,8,0)="","",VLOOKUP(V$2,行为概览!$D$3:$K$33,8,0)*玩法行为规划!U73)</f>
        <v>0.33339999999999997</v>
      </c>
      <c r="W73" s="7" t="str">
        <f>IF(VLOOKUP(W$2,行为概览!$D$3:$K$33,8,0)="","",VLOOKUP(W$2,行为概览!$D$3:$K$33,8,0)*玩法行为规划!V73)</f>
        <v/>
      </c>
      <c r="X73" s="7" t="str">
        <f>IF(VLOOKUP(X$2,行为概览!$D$3:$K$33,8,0)="","",VLOOKUP(X$2,行为概览!$D$3:$K$33,8,0)*玩法行为规划!W73)</f>
        <v/>
      </c>
      <c r="Y73" s="7">
        <f>IF(VLOOKUP(Y$2,行为概览!$D$3:$K$33,8,0)="","",VLOOKUP(Y$2,行为概览!$D$3:$K$33,8,0)*玩法行为规划!X73)</f>
        <v>0.25</v>
      </c>
      <c r="Z73" s="7" t="str">
        <f>IF(VLOOKUP(Z$2,行为概览!$D$3:$K$33,8,0)="","",VLOOKUP(Z$2,行为概览!$D$3:$K$33,8,0)*玩法行为规划!Y73)</f>
        <v/>
      </c>
      <c r="AA73" s="7">
        <f>IF(VLOOKUP(AA$2,行为概览!$D$3:$K$33,8,0)="","",VLOOKUP(AA$2,行为概览!$D$3:$K$33,8,0)*玩法行为规划!Z73)</f>
        <v>8.3349999999999994E-2</v>
      </c>
      <c r="AB73" s="7" t="str">
        <f>IF(VLOOKUP(AB$2,行为概览!$D$3:$K$33,8,0)="","",VLOOKUP(AB$2,行为概览!$D$3:$K$33,8,0)*玩法行为规划!AA73)</f>
        <v/>
      </c>
      <c r="AC73" s="7" t="str">
        <f>IF(VLOOKUP(AC$2,行为概览!$D$3:$K$33,8,0)="","",VLOOKUP(AC$2,行为概览!$D$3:$K$33,8,0)*玩法行为规划!AB73)</f>
        <v/>
      </c>
      <c r="AD73" s="7" t="str">
        <f>IF(VLOOKUP(AD$2,行为概览!$D$3:$K$33,8,0)="","",VLOOKUP(AD$2,行为概览!$D$3:$K$33,8,0)*玩法行为规划!AC73)</f>
        <v/>
      </c>
      <c r="AE73" s="7" t="str">
        <f>IF(VLOOKUP(AE$2,行为概览!$D$3:$K$33,8,0)="","",VLOOKUP(AE$2,行为概览!$D$3:$K$33,8,0)*玩法行为规划!AD73)</f>
        <v/>
      </c>
      <c r="AF73" s="7">
        <f t="shared" si="12"/>
        <v>24.133149999999997</v>
      </c>
      <c r="AG73" s="7">
        <f t="shared" si="13"/>
        <v>8567268</v>
      </c>
      <c r="AH73" s="7">
        <f t="shared" si="16"/>
        <v>288820</v>
      </c>
      <c r="AI73" s="10" t="str">
        <f t="shared" si="7"/>
        <v/>
      </c>
      <c r="AJ73" s="73">
        <f t="shared" si="17"/>
        <v>252070</v>
      </c>
      <c r="AK73" s="77">
        <f>ROUND(AG73*升级节奏!G73/AJ78,2)</f>
        <v>216.04</v>
      </c>
      <c r="AL73" s="77">
        <f>ROUND(AG73*升级节奏!G73/SUM($AJ$3:AJ78),2)</f>
        <v>8.36</v>
      </c>
      <c r="AM73" s="74">
        <f>ROUND(AG73*升级节奏!G73,0)</f>
        <v>62396127</v>
      </c>
      <c r="AN73" s="77">
        <f>ROUND(SUM($AM$3:AM73)/SUM($AJ$3:AJ78),2)</f>
        <v>61.65</v>
      </c>
      <c r="AO73" s="7">
        <f t="shared" si="14"/>
        <v>5917</v>
      </c>
      <c r="AP73" s="7">
        <f t="shared" si="15"/>
        <v>43</v>
      </c>
    </row>
    <row r="74" spans="1:42">
      <c r="A74" s="32">
        <v>72</v>
      </c>
      <c r="B74" s="87">
        <f>升级节奏!D74</f>
        <v>360000</v>
      </c>
      <c r="C74" s="7">
        <f>IF(VLOOKUP(C$2,行为概览!$D$3:$K$33,8,0)="","",VLOOKUP(C$2,行为概览!$D$3:$K$33,8,0)*玩法行为规划!B74)</f>
        <v>0.99990000000000001</v>
      </c>
      <c r="D74" s="7">
        <f>IF(VLOOKUP(D$2,行为概览!$D$3:$K$33,8,0)="","",VLOOKUP(D$2,行为概览!$D$3:$K$33,8,0)*玩法行为规划!C74)</f>
        <v>1.1000000000000001</v>
      </c>
      <c r="E74" s="7" t="str">
        <f>IF(VLOOKUP(E$2,行为概览!$D$3:$K$33,8,0)="","",VLOOKUP(E$2,行为概览!$D$3:$K$33,8,0)*玩法行为规划!D74)</f>
        <v/>
      </c>
      <c r="F74" s="7">
        <f>IF(VLOOKUP(F$2,行为概览!$D$3:$K$33,8,0)="","",VLOOKUP(F$2,行为概览!$D$3:$K$33,8,0)*玩法行为规划!E74)</f>
        <v>1.5</v>
      </c>
      <c r="G74" s="7">
        <f>IF(VLOOKUP(G$2,行为概览!$D$3:$K$33,8,0)="","",VLOOKUP(G$2,行为概览!$D$3:$K$33,8,0)*玩法行为规划!F74)</f>
        <v>0.66659999999999997</v>
      </c>
      <c r="H74" s="7" t="str">
        <f>IF(VLOOKUP(H$2,行为概览!$D$3:$K$33,8,0)="","",VLOOKUP(H$2,行为概览!$D$3:$K$33,8,0)*玩法行为规划!G74)</f>
        <v/>
      </c>
      <c r="I74" s="7" t="str">
        <f>IF(VLOOKUP(I$2,行为概览!$D$3:$K$33,8,0)="","",VLOOKUP(I$2,行为概览!$D$3:$K$33,8,0)*玩法行为规划!H74)</f>
        <v/>
      </c>
      <c r="J74" s="7" t="str">
        <f>IF(VLOOKUP(J$2,行为概览!$D$3:$K$33,8,0)="","",VLOOKUP(J$2,行为概览!$D$3:$K$33,8,0)*玩法行为规划!I74)</f>
        <v/>
      </c>
      <c r="K74" s="7">
        <f>IF(VLOOKUP(K$2,行为概览!$D$3:$K$33,8,0)="","",VLOOKUP(K$2,行为概览!$D$3:$K$33,8,0)*玩法行为规划!J74)</f>
        <v>1</v>
      </c>
      <c r="L74" s="7" t="str">
        <f>IF(VLOOKUP(L$2,行为概览!$D$3:$K$33,8,0)="","",VLOOKUP(L$2,行为概览!$D$3:$K$33,8,0)*玩法行为规划!K74)</f>
        <v/>
      </c>
      <c r="M74" s="7" t="str">
        <f>IF(VLOOKUP(M$2,行为概览!$D$3:$K$33,8,0)="","",VLOOKUP(M$2,行为概览!$D$3:$K$33,8,0)*玩法行为规划!L74)</f>
        <v/>
      </c>
      <c r="N74" s="7">
        <f>IF(VLOOKUP(N$2,行为概览!$D$3:$K$33,8,0)="","",VLOOKUP(N$2,行为概览!$D$3:$K$33,8,0)*玩法行为规划!M74)</f>
        <v>12</v>
      </c>
      <c r="O74" s="7" t="str">
        <f>IF(VLOOKUP(O$2,行为概览!$D$3:$K$33,8,0)="","",VLOOKUP(O$2,行为概览!$D$3:$K$33,8,0)*玩法行为规划!N74)</f>
        <v/>
      </c>
      <c r="P74" s="7" t="str">
        <f>IF(VLOOKUP(P$2,行为概览!$D$3:$K$33,8,0)="","",VLOOKUP(P$2,行为概览!$D$3:$K$33,8,0)*玩法行为规划!O74)</f>
        <v/>
      </c>
      <c r="Q74" s="7">
        <f>IF(VLOOKUP(Q$2,行为概览!$D$3:$K$33,8,0)="","",VLOOKUP(Q$2,行为概览!$D$3:$K$33,8,0)*玩法行为规划!P74)</f>
        <v>5.2</v>
      </c>
      <c r="R74" s="7" t="str">
        <f>IF(VLOOKUP(R$2,行为概览!$D$3:$K$33,8,0)="","",VLOOKUP(R$2,行为概览!$D$3:$K$33,8,0)*玩法行为规划!Q74)</f>
        <v/>
      </c>
      <c r="S74" s="7">
        <f>IF(VLOOKUP(S$2,行为概览!$D$3:$K$33,8,0)="","",VLOOKUP(S$2,行为概览!$D$3:$K$33,8,0)*玩法行为规划!R74)</f>
        <v>0.49995000000000001</v>
      </c>
      <c r="T74" s="7">
        <f>IF(VLOOKUP(T$2,行为概览!$D$3:$K$33,8,0)="","",VLOOKUP(T$2,行为概览!$D$3:$K$33,8,0)*玩法行为规划!S74)</f>
        <v>0</v>
      </c>
      <c r="U74" s="7">
        <f>IF(VLOOKUP(U$2,行为概览!$D$3:$K$33,8,0)="","",VLOOKUP(U$2,行为概览!$D$3:$K$33,8,0)*玩法行为规划!T74)</f>
        <v>0.49995000000000001</v>
      </c>
      <c r="V74" s="7">
        <f>IF(VLOOKUP(V$2,行为概览!$D$3:$K$33,8,0)="","",VLOOKUP(V$2,行为概览!$D$3:$K$33,8,0)*玩法行为规划!U74)</f>
        <v>0.33339999999999997</v>
      </c>
      <c r="W74" s="7" t="str">
        <f>IF(VLOOKUP(W$2,行为概览!$D$3:$K$33,8,0)="","",VLOOKUP(W$2,行为概览!$D$3:$K$33,8,0)*玩法行为规划!V74)</f>
        <v/>
      </c>
      <c r="X74" s="7" t="str">
        <f>IF(VLOOKUP(X$2,行为概览!$D$3:$K$33,8,0)="","",VLOOKUP(X$2,行为概览!$D$3:$K$33,8,0)*玩法行为规划!W74)</f>
        <v/>
      </c>
      <c r="Y74" s="7">
        <f>IF(VLOOKUP(Y$2,行为概览!$D$3:$K$33,8,0)="","",VLOOKUP(Y$2,行为概览!$D$3:$K$33,8,0)*玩法行为规划!X74)</f>
        <v>0.25</v>
      </c>
      <c r="Z74" s="7" t="str">
        <f>IF(VLOOKUP(Z$2,行为概览!$D$3:$K$33,8,0)="","",VLOOKUP(Z$2,行为概览!$D$3:$K$33,8,0)*玩法行为规划!Y74)</f>
        <v/>
      </c>
      <c r="AA74" s="7">
        <f>IF(VLOOKUP(AA$2,行为概览!$D$3:$K$33,8,0)="","",VLOOKUP(AA$2,行为概览!$D$3:$K$33,8,0)*玩法行为规划!Z74)</f>
        <v>8.3349999999999994E-2</v>
      </c>
      <c r="AB74" s="7" t="str">
        <f>IF(VLOOKUP(AB$2,行为概览!$D$3:$K$33,8,0)="","",VLOOKUP(AB$2,行为概览!$D$3:$K$33,8,0)*玩法行为规划!AA74)</f>
        <v/>
      </c>
      <c r="AC74" s="7" t="str">
        <f>IF(VLOOKUP(AC$2,行为概览!$D$3:$K$33,8,0)="","",VLOOKUP(AC$2,行为概览!$D$3:$K$33,8,0)*玩法行为规划!AB74)</f>
        <v/>
      </c>
      <c r="AD74" s="7" t="str">
        <f>IF(VLOOKUP(AD$2,行为概览!$D$3:$K$33,8,0)="","",VLOOKUP(AD$2,行为概览!$D$3:$K$33,8,0)*玩法行为规划!AC74)</f>
        <v/>
      </c>
      <c r="AE74" s="7" t="str">
        <f>IF(VLOOKUP(AE$2,行为概览!$D$3:$K$33,8,0)="","",VLOOKUP(AE$2,行为概览!$D$3:$K$33,8,0)*玩法行为规划!AD74)</f>
        <v/>
      </c>
      <c r="AF74" s="7">
        <f t="shared" si="12"/>
        <v>24.133149999999997</v>
      </c>
      <c r="AG74" s="7">
        <f t="shared" si="13"/>
        <v>8687934</v>
      </c>
      <c r="AH74" s="7">
        <f t="shared" si="16"/>
        <v>296470</v>
      </c>
      <c r="AI74" s="10" t="str">
        <f t="shared" si="7"/>
        <v/>
      </c>
      <c r="AJ74" s="73">
        <f t="shared" si="17"/>
        <v>259220</v>
      </c>
      <c r="AK74" s="77">
        <f>ROUND(AG74*升级节奏!G74/AJ79,2)</f>
        <v>219.36</v>
      </c>
      <c r="AL74" s="77">
        <f>ROUND(AG74*升级节奏!G74/SUM($AJ$3:AJ79),2)</f>
        <v>8.3800000000000008</v>
      </c>
      <c r="AM74" s="74">
        <f>ROUND(AG74*升级节奏!G74,0)</f>
        <v>65034978</v>
      </c>
      <c r="AN74" s="77">
        <f>ROUND(SUM($AM$3:AM74)/SUM($AJ$3:AJ79),2)</f>
        <v>67.67</v>
      </c>
      <c r="AO74" s="7">
        <f t="shared" si="14"/>
        <v>6000</v>
      </c>
      <c r="AP74" s="7">
        <f t="shared" si="15"/>
        <v>43</v>
      </c>
    </row>
    <row r="75" spans="1:42">
      <c r="A75" s="32">
        <v>73</v>
      </c>
      <c r="B75" s="87">
        <f>升级节奏!D75</f>
        <v>365000</v>
      </c>
      <c r="C75" s="7">
        <f>IF(VLOOKUP(C$2,行为概览!$D$3:$K$33,8,0)="","",VLOOKUP(C$2,行为概览!$D$3:$K$33,8,0)*玩法行为规划!B75)</f>
        <v>0.99990000000000001</v>
      </c>
      <c r="D75" s="7">
        <f>IF(VLOOKUP(D$2,行为概览!$D$3:$K$33,8,0)="","",VLOOKUP(D$2,行为概览!$D$3:$K$33,8,0)*玩法行为规划!C75)</f>
        <v>1.1000000000000001</v>
      </c>
      <c r="E75" s="7" t="str">
        <f>IF(VLOOKUP(E$2,行为概览!$D$3:$K$33,8,0)="","",VLOOKUP(E$2,行为概览!$D$3:$K$33,8,0)*玩法行为规划!D75)</f>
        <v/>
      </c>
      <c r="F75" s="7">
        <f>IF(VLOOKUP(F$2,行为概览!$D$3:$K$33,8,0)="","",VLOOKUP(F$2,行为概览!$D$3:$K$33,8,0)*玩法行为规划!E75)</f>
        <v>1.5</v>
      </c>
      <c r="G75" s="7">
        <f>IF(VLOOKUP(G$2,行为概览!$D$3:$K$33,8,0)="","",VLOOKUP(G$2,行为概览!$D$3:$K$33,8,0)*玩法行为规划!F75)</f>
        <v>0.66659999999999997</v>
      </c>
      <c r="H75" s="7" t="str">
        <f>IF(VLOOKUP(H$2,行为概览!$D$3:$K$33,8,0)="","",VLOOKUP(H$2,行为概览!$D$3:$K$33,8,0)*玩法行为规划!G75)</f>
        <v/>
      </c>
      <c r="I75" s="7" t="str">
        <f>IF(VLOOKUP(I$2,行为概览!$D$3:$K$33,8,0)="","",VLOOKUP(I$2,行为概览!$D$3:$K$33,8,0)*玩法行为规划!H75)</f>
        <v/>
      </c>
      <c r="J75" s="7" t="str">
        <f>IF(VLOOKUP(J$2,行为概览!$D$3:$K$33,8,0)="","",VLOOKUP(J$2,行为概览!$D$3:$K$33,8,0)*玩法行为规划!I75)</f>
        <v/>
      </c>
      <c r="K75" s="7">
        <f>IF(VLOOKUP(K$2,行为概览!$D$3:$K$33,8,0)="","",VLOOKUP(K$2,行为概览!$D$3:$K$33,8,0)*玩法行为规划!J75)</f>
        <v>1</v>
      </c>
      <c r="L75" s="7" t="str">
        <f>IF(VLOOKUP(L$2,行为概览!$D$3:$K$33,8,0)="","",VLOOKUP(L$2,行为概览!$D$3:$K$33,8,0)*玩法行为规划!K75)</f>
        <v/>
      </c>
      <c r="M75" s="7" t="str">
        <f>IF(VLOOKUP(M$2,行为概览!$D$3:$K$33,8,0)="","",VLOOKUP(M$2,行为概览!$D$3:$K$33,8,0)*玩法行为规划!L75)</f>
        <v/>
      </c>
      <c r="N75" s="7">
        <f>IF(VLOOKUP(N$2,行为概览!$D$3:$K$33,8,0)="","",VLOOKUP(N$2,行为概览!$D$3:$K$33,8,0)*玩法行为规划!M75)</f>
        <v>12</v>
      </c>
      <c r="O75" s="7" t="str">
        <f>IF(VLOOKUP(O$2,行为概览!$D$3:$K$33,8,0)="","",VLOOKUP(O$2,行为概览!$D$3:$K$33,8,0)*玩法行为规划!N75)</f>
        <v/>
      </c>
      <c r="P75" s="7" t="str">
        <f>IF(VLOOKUP(P$2,行为概览!$D$3:$K$33,8,0)="","",VLOOKUP(P$2,行为概览!$D$3:$K$33,8,0)*玩法行为规划!O75)</f>
        <v/>
      </c>
      <c r="Q75" s="7">
        <f>IF(VLOOKUP(Q$2,行为概览!$D$3:$K$33,8,0)="","",VLOOKUP(Q$2,行为概览!$D$3:$K$33,8,0)*玩法行为规划!P75)</f>
        <v>5.2</v>
      </c>
      <c r="R75" s="7" t="str">
        <f>IF(VLOOKUP(R$2,行为概览!$D$3:$K$33,8,0)="","",VLOOKUP(R$2,行为概览!$D$3:$K$33,8,0)*玩法行为规划!Q75)</f>
        <v/>
      </c>
      <c r="S75" s="7">
        <f>IF(VLOOKUP(S$2,行为概览!$D$3:$K$33,8,0)="","",VLOOKUP(S$2,行为概览!$D$3:$K$33,8,0)*玩法行为规划!R75)</f>
        <v>0.49995000000000001</v>
      </c>
      <c r="T75" s="7">
        <f>IF(VLOOKUP(T$2,行为概览!$D$3:$K$33,8,0)="","",VLOOKUP(T$2,行为概览!$D$3:$K$33,8,0)*玩法行为规划!S75)</f>
        <v>0</v>
      </c>
      <c r="U75" s="7">
        <f>IF(VLOOKUP(U$2,行为概览!$D$3:$K$33,8,0)="","",VLOOKUP(U$2,行为概览!$D$3:$K$33,8,0)*玩法行为规划!T75)</f>
        <v>0.49995000000000001</v>
      </c>
      <c r="V75" s="7">
        <f>IF(VLOOKUP(V$2,行为概览!$D$3:$K$33,8,0)="","",VLOOKUP(V$2,行为概览!$D$3:$K$33,8,0)*玩法行为规划!U75)</f>
        <v>0.33339999999999997</v>
      </c>
      <c r="W75" s="7" t="str">
        <f>IF(VLOOKUP(W$2,行为概览!$D$3:$K$33,8,0)="","",VLOOKUP(W$2,行为概览!$D$3:$K$33,8,0)*玩法行为规划!V75)</f>
        <v/>
      </c>
      <c r="X75" s="7" t="str">
        <f>IF(VLOOKUP(X$2,行为概览!$D$3:$K$33,8,0)="","",VLOOKUP(X$2,行为概览!$D$3:$K$33,8,0)*玩法行为规划!W75)</f>
        <v/>
      </c>
      <c r="Y75" s="7">
        <f>IF(VLOOKUP(Y$2,行为概览!$D$3:$K$33,8,0)="","",VLOOKUP(Y$2,行为概览!$D$3:$K$33,8,0)*玩法行为规划!X75)</f>
        <v>0.25</v>
      </c>
      <c r="Z75" s="7" t="str">
        <f>IF(VLOOKUP(Z$2,行为概览!$D$3:$K$33,8,0)="","",VLOOKUP(Z$2,行为概览!$D$3:$K$33,8,0)*玩法行为规划!Y75)</f>
        <v/>
      </c>
      <c r="AA75" s="7">
        <f>IF(VLOOKUP(AA$2,行为概览!$D$3:$K$33,8,0)="","",VLOOKUP(AA$2,行为概览!$D$3:$K$33,8,0)*玩法行为规划!Z75)</f>
        <v>8.3349999999999994E-2</v>
      </c>
      <c r="AB75" s="7" t="str">
        <f>IF(VLOOKUP(AB$2,行为概览!$D$3:$K$33,8,0)="","",VLOOKUP(AB$2,行为概览!$D$3:$K$33,8,0)*玩法行为规划!AA75)</f>
        <v/>
      </c>
      <c r="AC75" s="7" t="str">
        <f>IF(VLOOKUP(AC$2,行为概览!$D$3:$K$33,8,0)="","",VLOOKUP(AC$2,行为概览!$D$3:$K$33,8,0)*玩法行为规划!AB75)</f>
        <v/>
      </c>
      <c r="AD75" s="7" t="str">
        <f>IF(VLOOKUP(AD$2,行为概览!$D$3:$K$33,8,0)="","",VLOOKUP(AD$2,行为概览!$D$3:$K$33,8,0)*玩法行为规划!AC75)</f>
        <v/>
      </c>
      <c r="AE75" s="7" t="str">
        <f>IF(VLOOKUP(AE$2,行为概览!$D$3:$K$33,8,0)="","",VLOOKUP(AE$2,行为概览!$D$3:$K$33,8,0)*玩法行为规划!AD75)</f>
        <v/>
      </c>
      <c r="AF75" s="7">
        <f t="shared" si="12"/>
        <v>24.133149999999997</v>
      </c>
      <c r="AG75" s="7">
        <f t="shared" si="13"/>
        <v>8808599</v>
      </c>
      <c r="AH75" s="7">
        <f t="shared" si="16"/>
        <v>304220</v>
      </c>
      <c r="AI75" s="10" t="str">
        <f t="shared" si="7"/>
        <v/>
      </c>
      <c r="AJ75" s="73">
        <f t="shared" si="17"/>
        <v>266470</v>
      </c>
      <c r="AK75" s="77">
        <f>ROUND(AG75*升级节奏!G75/AJ80,2)</f>
        <v>222.69</v>
      </c>
      <c r="AL75" s="77">
        <f>ROUND(AG75*升级节奏!G75/SUM($AJ$3:AJ80),2)</f>
        <v>8.4</v>
      </c>
      <c r="AM75" s="74">
        <f>ROUND(AG75*升级节奏!G75,0)</f>
        <v>67747669</v>
      </c>
      <c r="AN75" s="77">
        <f>ROUND(SUM($AM$3:AM75)/SUM($AJ$3:AJ80),2)</f>
        <v>73.52</v>
      </c>
      <c r="AO75" s="7">
        <f t="shared" si="14"/>
        <v>6083</v>
      </c>
      <c r="AP75" s="7">
        <f t="shared" si="15"/>
        <v>44</v>
      </c>
    </row>
    <row r="76" spans="1:42">
      <c r="A76" s="32">
        <v>74</v>
      </c>
      <c r="B76" s="87">
        <f>升级节奏!D76</f>
        <v>370000</v>
      </c>
      <c r="C76" s="7">
        <f>IF(VLOOKUP(C$2,行为概览!$D$3:$K$33,8,0)="","",VLOOKUP(C$2,行为概览!$D$3:$K$33,8,0)*玩法行为规划!B76)</f>
        <v>0.99990000000000001</v>
      </c>
      <c r="D76" s="7">
        <f>IF(VLOOKUP(D$2,行为概览!$D$3:$K$33,8,0)="","",VLOOKUP(D$2,行为概览!$D$3:$K$33,8,0)*玩法行为规划!C76)</f>
        <v>1.1000000000000001</v>
      </c>
      <c r="E76" s="7" t="str">
        <f>IF(VLOOKUP(E$2,行为概览!$D$3:$K$33,8,0)="","",VLOOKUP(E$2,行为概览!$D$3:$K$33,8,0)*玩法行为规划!D76)</f>
        <v/>
      </c>
      <c r="F76" s="7">
        <f>IF(VLOOKUP(F$2,行为概览!$D$3:$K$33,8,0)="","",VLOOKUP(F$2,行为概览!$D$3:$K$33,8,0)*玩法行为规划!E76)</f>
        <v>1.5</v>
      </c>
      <c r="G76" s="7">
        <f>IF(VLOOKUP(G$2,行为概览!$D$3:$K$33,8,0)="","",VLOOKUP(G$2,行为概览!$D$3:$K$33,8,0)*玩法行为规划!F76)</f>
        <v>0.66659999999999997</v>
      </c>
      <c r="H76" s="7" t="str">
        <f>IF(VLOOKUP(H$2,行为概览!$D$3:$K$33,8,0)="","",VLOOKUP(H$2,行为概览!$D$3:$K$33,8,0)*玩法行为规划!G76)</f>
        <v/>
      </c>
      <c r="I76" s="7" t="str">
        <f>IF(VLOOKUP(I$2,行为概览!$D$3:$K$33,8,0)="","",VLOOKUP(I$2,行为概览!$D$3:$K$33,8,0)*玩法行为规划!H76)</f>
        <v/>
      </c>
      <c r="J76" s="7" t="str">
        <f>IF(VLOOKUP(J$2,行为概览!$D$3:$K$33,8,0)="","",VLOOKUP(J$2,行为概览!$D$3:$K$33,8,0)*玩法行为规划!I76)</f>
        <v/>
      </c>
      <c r="K76" s="7">
        <f>IF(VLOOKUP(K$2,行为概览!$D$3:$K$33,8,0)="","",VLOOKUP(K$2,行为概览!$D$3:$K$33,8,0)*玩法行为规划!J76)</f>
        <v>1</v>
      </c>
      <c r="L76" s="7" t="str">
        <f>IF(VLOOKUP(L$2,行为概览!$D$3:$K$33,8,0)="","",VLOOKUP(L$2,行为概览!$D$3:$K$33,8,0)*玩法行为规划!K76)</f>
        <v/>
      </c>
      <c r="M76" s="7" t="str">
        <f>IF(VLOOKUP(M$2,行为概览!$D$3:$K$33,8,0)="","",VLOOKUP(M$2,行为概览!$D$3:$K$33,8,0)*玩法行为规划!L76)</f>
        <v/>
      </c>
      <c r="N76" s="7">
        <f>IF(VLOOKUP(N$2,行为概览!$D$3:$K$33,8,0)="","",VLOOKUP(N$2,行为概览!$D$3:$K$33,8,0)*玩法行为规划!M76)</f>
        <v>12</v>
      </c>
      <c r="O76" s="7" t="str">
        <f>IF(VLOOKUP(O$2,行为概览!$D$3:$K$33,8,0)="","",VLOOKUP(O$2,行为概览!$D$3:$K$33,8,0)*玩法行为规划!N76)</f>
        <v/>
      </c>
      <c r="P76" s="7" t="str">
        <f>IF(VLOOKUP(P$2,行为概览!$D$3:$K$33,8,0)="","",VLOOKUP(P$2,行为概览!$D$3:$K$33,8,0)*玩法行为规划!O76)</f>
        <v/>
      </c>
      <c r="Q76" s="7">
        <f>IF(VLOOKUP(Q$2,行为概览!$D$3:$K$33,8,0)="","",VLOOKUP(Q$2,行为概览!$D$3:$K$33,8,0)*玩法行为规划!P76)</f>
        <v>5.2</v>
      </c>
      <c r="R76" s="7" t="str">
        <f>IF(VLOOKUP(R$2,行为概览!$D$3:$K$33,8,0)="","",VLOOKUP(R$2,行为概览!$D$3:$K$33,8,0)*玩法行为规划!Q76)</f>
        <v/>
      </c>
      <c r="S76" s="7">
        <f>IF(VLOOKUP(S$2,行为概览!$D$3:$K$33,8,0)="","",VLOOKUP(S$2,行为概览!$D$3:$K$33,8,0)*玩法行为规划!R76)</f>
        <v>0.49995000000000001</v>
      </c>
      <c r="T76" s="7">
        <f>IF(VLOOKUP(T$2,行为概览!$D$3:$K$33,8,0)="","",VLOOKUP(T$2,行为概览!$D$3:$K$33,8,0)*玩法行为规划!S76)</f>
        <v>0</v>
      </c>
      <c r="U76" s="7">
        <f>IF(VLOOKUP(U$2,行为概览!$D$3:$K$33,8,0)="","",VLOOKUP(U$2,行为概览!$D$3:$K$33,8,0)*玩法行为规划!T76)</f>
        <v>0.49995000000000001</v>
      </c>
      <c r="V76" s="7">
        <f>IF(VLOOKUP(V$2,行为概览!$D$3:$K$33,8,0)="","",VLOOKUP(V$2,行为概览!$D$3:$K$33,8,0)*玩法行为规划!U76)</f>
        <v>0.33339999999999997</v>
      </c>
      <c r="W76" s="7" t="str">
        <f>IF(VLOOKUP(W$2,行为概览!$D$3:$K$33,8,0)="","",VLOOKUP(W$2,行为概览!$D$3:$K$33,8,0)*玩法行为规划!V76)</f>
        <v/>
      </c>
      <c r="X76" s="7" t="str">
        <f>IF(VLOOKUP(X$2,行为概览!$D$3:$K$33,8,0)="","",VLOOKUP(X$2,行为概览!$D$3:$K$33,8,0)*玩法行为规划!W76)</f>
        <v/>
      </c>
      <c r="Y76" s="7">
        <f>IF(VLOOKUP(Y$2,行为概览!$D$3:$K$33,8,0)="","",VLOOKUP(Y$2,行为概览!$D$3:$K$33,8,0)*玩法行为规划!X76)</f>
        <v>0.25</v>
      </c>
      <c r="Z76" s="7" t="str">
        <f>IF(VLOOKUP(Z$2,行为概览!$D$3:$K$33,8,0)="","",VLOOKUP(Z$2,行为概览!$D$3:$K$33,8,0)*玩法行为规划!Y76)</f>
        <v/>
      </c>
      <c r="AA76" s="7">
        <f>IF(VLOOKUP(AA$2,行为概览!$D$3:$K$33,8,0)="","",VLOOKUP(AA$2,行为概览!$D$3:$K$33,8,0)*玩法行为规划!Z76)</f>
        <v>8.3349999999999994E-2</v>
      </c>
      <c r="AB76" s="7" t="str">
        <f>IF(VLOOKUP(AB$2,行为概览!$D$3:$K$33,8,0)="","",VLOOKUP(AB$2,行为概览!$D$3:$K$33,8,0)*玩法行为规划!AA76)</f>
        <v/>
      </c>
      <c r="AC76" s="7" t="str">
        <f>IF(VLOOKUP(AC$2,行为概览!$D$3:$K$33,8,0)="","",VLOOKUP(AC$2,行为概览!$D$3:$K$33,8,0)*玩法行为规划!AB76)</f>
        <v/>
      </c>
      <c r="AD76" s="7" t="str">
        <f>IF(VLOOKUP(AD$2,行为概览!$D$3:$K$33,8,0)="","",VLOOKUP(AD$2,行为概览!$D$3:$K$33,8,0)*玩法行为规划!AC76)</f>
        <v/>
      </c>
      <c r="AE76" s="7" t="str">
        <f>IF(VLOOKUP(AE$2,行为概览!$D$3:$K$33,8,0)="","",VLOOKUP(AE$2,行为概览!$D$3:$K$33,8,0)*玩法行为规划!AD76)</f>
        <v/>
      </c>
      <c r="AF76" s="7">
        <f t="shared" si="12"/>
        <v>24.133149999999997</v>
      </c>
      <c r="AG76" s="7">
        <f t="shared" si="13"/>
        <v>8929265</v>
      </c>
      <c r="AH76" s="7">
        <f t="shared" si="16"/>
        <v>312070</v>
      </c>
      <c r="AI76" s="10" t="str">
        <f t="shared" si="7"/>
        <v/>
      </c>
      <c r="AJ76" s="73">
        <f t="shared" si="17"/>
        <v>273820</v>
      </c>
      <c r="AK76" s="77">
        <f>ROUND(AG76*升级节奏!G76/AJ81,2)</f>
        <v>226.02</v>
      </c>
      <c r="AL76" s="77">
        <f>ROUND(AG76*升级节奏!G76/SUM($AJ$3:AJ81),2)</f>
        <v>8.42</v>
      </c>
      <c r="AM76" s="74">
        <f>ROUND(AG76*升级节奏!G76,0)</f>
        <v>70535241</v>
      </c>
      <c r="AN76" s="77">
        <f>ROUND(SUM($AM$3:AM76)/SUM($AJ$3:AJ81),2)</f>
        <v>79.2</v>
      </c>
      <c r="AO76" s="7">
        <f t="shared" si="14"/>
        <v>6167</v>
      </c>
      <c r="AP76" s="7">
        <f t="shared" si="15"/>
        <v>44</v>
      </c>
    </row>
    <row r="77" spans="1:42">
      <c r="A77" s="32">
        <v>75</v>
      </c>
      <c r="B77" s="87">
        <f>升级节奏!D77</f>
        <v>375000</v>
      </c>
      <c r="C77" s="7">
        <f>IF(VLOOKUP(C$2,行为概览!$D$3:$K$33,8,0)="","",VLOOKUP(C$2,行为概览!$D$3:$K$33,8,0)*玩法行为规划!B77)</f>
        <v>0.99990000000000001</v>
      </c>
      <c r="D77" s="7">
        <f>IF(VLOOKUP(D$2,行为概览!$D$3:$K$33,8,0)="","",VLOOKUP(D$2,行为概览!$D$3:$K$33,8,0)*玩法行为规划!C77)</f>
        <v>1.1000000000000001</v>
      </c>
      <c r="E77" s="7" t="str">
        <f>IF(VLOOKUP(E$2,行为概览!$D$3:$K$33,8,0)="","",VLOOKUP(E$2,行为概览!$D$3:$K$33,8,0)*玩法行为规划!D77)</f>
        <v/>
      </c>
      <c r="F77" s="7">
        <f>IF(VLOOKUP(F$2,行为概览!$D$3:$K$33,8,0)="","",VLOOKUP(F$2,行为概览!$D$3:$K$33,8,0)*玩法行为规划!E77)</f>
        <v>1.5</v>
      </c>
      <c r="G77" s="7">
        <f>IF(VLOOKUP(G$2,行为概览!$D$3:$K$33,8,0)="","",VLOOKUP(G$2,行为概览!$D$3:$K$33,8,0)*玩法行为规划!F77)</f>
        <v>0.66659999999999997</v>
      </c>
      <c r="H77" s="7" t="str">
        <f>IF(VLOOKUP(H$2,行为概览!$D$3:$K$33,8,0)="","",VLOOKUP(H$2,行为概览!$D$3:$K$33,8,0)*玩法行为规划!G77)</f>
        <v/>
      </c>
      <c r="I77" s="7" t="str">
        <f>IF(VLOOKUP(I$2,行为概览!$D$3:$K$33,8,0)="","",VLOOKUP(I$2,行为概览!$D$3:$K$33,8,0)*玩法行为规划!H77)</f>
        <v/>
      </c>
      <c r="J77" s="7" t="str">
        <f>IF(VLOOKUP(J$2,行为概览!$D$3:$K$33,8,0)="","",VLOOKUP(J$2,行为概览!$D$3:$K$33,8,0)*玩法行为规划!I77)</f>
        <v/>
      </c>
      <c r="K77" s="7">
        <f>IF(VLOOKUP(K$2,行为概览!$D$3:$K$33,8,0)="","",VLOOKUP(K$2,行为概览!$D$3:$K$33,8,0)*玩法行为规划!J77)</f>
        <v>1</v>
      </c>
      <c r="L77" s="7" t="str">
        <f>IF(VLOOKUP(L$2,行为概览!$D$3:$K$33,8,0)="","",VLOOKUP(L$2,行为概览!$D$3:$K$33,8,0)*玩法行为规划!K77)</f>
        <v/>
      </c>
      <c r="M77" s="7" t="str">
        <f>IF(VLOOKUP(M$2,行为概览!$D$3:$K$33,8,0)="","",VLOOKUP(M$2,行为概览!$D$3:$K$33,8,0)*玩法行为规划!L77)</f>
        <v/>
      </c>
      <c r="N77" s="7">
        <f>IF(VLOOKUP(N$2,行为概览!$D$3:$K$33,8,0)="","",VLOOKUP(N$2,行为概览!$D$3:$K$33,8,0)*玩法行为规划!M77)</f>
        <v>12</v>
      </c>
      <c r="O77" s="7" t="str">
        <f>IF(VLOOKUP(O$2,行为概览!$D$3:$K$33,8,0)="","",VLOOKUP(O$2,行为概览!$D$3:$K$33,8,0)*玩法行为规划!N77)</f>
        <v/>
      </c>
      <c r="P77" s="7" t="str">
        <f>IF(VLOOKUP(P$2,行为概览!$D$3:$K$33,8,0)="","",VLOOKUP(P$2,行为概览!$D$3:$K$33,8,0)*玩法行为规划!O77)</f>
        <v/>
      </c>
      <c r="Q77" s="7">
        <f>IF(VLOOKUP(Q$2,行为概览!$D$3:$K$33,8,0)="","",VLOOKUP(Q$2,行为概览!$D$3:$K$33,8,0)*玩法行为规划!P77)</f>
        <v>5.2</v>
      </c>
      <c r="R77" s="7" t="str">
        <f>IF(VLOOKUP(R$2,行为概览!$D$3:$K$33,8,0)="","",VLOOKUP(R$2,行为概览!$D$3:$K$33,8,0)*玩法行为规划!Q77)</f>
        <v/>
      </c>
      <c r="S77" s="7">
        <f>IF(VLOOKUP(S$2,行为概览!$D$3:$K$33,8,0)="","",VLOOKUP(S$2,行为概览!$D$3:$K$33,8,0)*玩法行为规划!R77)</f>
        <v>0.49995000000000001</v>
      </c>
      <c r="T77" s="7">
        <f>IF(VLOOKUP(T$2,行为概览!$D$3:$K$33,8,0)="","",VLOOKUP(T$2,行为概览!$D$3:$K$33,8,0)*玩法行为规划!S77)</f>
        <v>0</v>
      </c>
      <c r="U77" s="7">
        <f>IF(VLOOKUP(U$2,行为概览!$D$3:$K$33,8,0)="","",VLOOKUP(U$2,行为概览!$D$3:$K$33,8,0)*玩法行为规划!T77)</f>
        <v>0.49995000000000001</v>
      </c>
      <c r="V77" s="7">
        <f>IF(VLOOKUP(V$2,行为概览!$D$3:$K$33,8,0)="","",VLOOKUP(V$2,行为概览!$D$3:$K$33,8,0)*玩法行为规划!U77)</f>
        <v>0.33339999999999997</v>
      </c>
      <c r="W77" s="7" t="str">
        <f>IF(VLOOKUP(W$2,行为概览!$D$3:$K$33,8,0)="","",VLOOKUP(W$2,行为概览!$D$3:$K$33,8,0)*玩法行为规划!V77)</f>
        <v/>
      </c>
      <c r="X77" s="7" t="str">
        <f>IF(VLOOKUP(X$2,行为概览!$D$3:$K$33,8,0)="","",VLOOKUP(X$2,行为概览!$D$3:$K$33,8,0)*玩法行为规划!W77)</f>
        <v/>
      </c>
      <c r="Y77" s="7">
        <f>IF(VLOOKUP(Y$2,行为概览!$D$3:$K$33,8,0)="","",VLOOKUP(Y$2,行为概览!$D$3:$K$33,8,0)*玩法行为规划!X77)</f>
        <v>0.25</v>
      </c>
      <c r="Z77" s="7" t="str">
        <f>IF(VLOOKUP(Z$2,行为概览!$D$3:$K$33,8,0)="","",VLOOKUP(Z$2,行为概览!$D$3:$K$33,8,0)*玩法行为规划!Y77)</f>
        <v/>
      </c>
      <c r="AA77" s="7">
        <f>IF(VLOOKUP(AA$2,行为概览!$D$3:$K$33,8,0)="","",VLOOKUP(AA$2,行为概览!$D$3:$K$33,8,0)*玩法行为规划!Z77)</f>
        <v>8.3349999999999994E-2</v>
      </c>
      <c r="AB77" s="7" t="str">
        <f>IF(VLOOKUP(AB$2,行为概览!$D$3:$K$33,8,0)="","",VLOOKUP(AB$2,行为概览!$D$3:$K$33,8,0)*玩法行为规划!AA77)</f>
        <v/>
      </c>
      <c r="AC77" s="7" t="str">
        <f>IF(VLOOKUP(AC$2,行为概览!$D$3:$K$33,8,0)="","",VLOOKUP(AC$2,行为概览!$D$3:$K$33,8,0)*玩法行为规划!AB77)</f>
        <v/>
      </c>
      <c r="AD77" s="7" t="str">
        <f>IF(VLOOKUP(AD$2,行为概览!$D$3:$K$33,8,0)="","",VLOOKUP(AD$2,行为概览!$D$3:$K$33,8,0)*玩法行为规划!AC77)</f>
        <v/>
      </c>
      <c r="AE77" s="7" t="str">
        <f>IF(VLOOKUP(AE$2,行为概览!$D$3:$K$33,8,0)="","",VLOOKUP(AE$2,行为概览!$D$3:$K$33,8,0)*玩法行为规划!AD77)</f>
        <v/>
      </c>
      <c r="AF77" s="7">
        <f t="shared" si="12"/>
        <v>24.133149999999997</v>
      </c>
      <c r="AG77" s="7">
        <f t="shared" si="13"/>
        <v>9049931</v>
      </c>
      <c r="AH77" s="7">
        <f t="shared" si="16"/>
        <v>320020</v>
      </c>
      <c r="AI77" s="10" t="str">
        <f t="shared" si="7"/>
        <v/>
      </c>
      <c r="AJ77" s="73">
        <f t="shared" si="17"/>
        <v>281270</v>
      </c>
      <c r="AK77" s="77">
        <f>ROUND(AG77*升级节奏!G77/AJ82,2)</f>
        <v>229.36</v>
      </c>
      <c r="AL77" s="77">
        <f>ROUND(AG77*升级节奏!G77/SUM($AJ$3:AJ82),2)</f>
        <v>8.44</v>
      </c>
      <c r="AM77" s="74">
        <f>ROUND(AG77*升级节奏!G77,0)</f>
        <v>73398711</v>
      </c>
      <c r="AN77" s="77">
        <f>ROUND(SUM($AM$3:AM77)/SUM($AJ$3:AJ82),2)</f>
        <v>84.73</v>
      </c>
      <c r="AO77" s="7">
        <f t="shared" si="14"/>
        <v>6250</v>
      </c>
      <c r="AP77" s="7">
        <f t="shared" si="15"/>
        <v>45</v>
      </c>
    </row>
    <row r="78" spans="1:42">
      <c r="A78" s="32">
        <v>76</v>
      </c>
      <c r="B78" s="87">
        <f>升级节奏!D78</f>
        <v>380000</v>
      </c>
      <c r="C78" s="7">
        <f>IF(VLOOKUP(C$2,行为概览!$D$3:$K$33,8,0)="","",VLOOKUP(C$2,行为概览!$D$3:$K$33,8,0)*玩法行为规划!B78)</f>
        <v>0.99990000000000001</v>
      </c>
      <c r="D78" s="7">
        <f>IF(VLOOKUP(D$2,行为概览!$D$3:$K$33,8,0)="","",VLOOKUP(D$2,行为概览!$D$3:$K$33,8,0)*玩法行为规划!C78)</f>
        <v>1.1000000000000001</v>
      </c>
      <c r="E78" s="7" t="str">
        <f>IF(VLOOKUP(E$2,行为概览!$D$3:$K$33,8,0)="","",VLOOKUP(E$2,行为概览!$D$3:$K$33,8,0)*玩法行为规划!D78)</f>
        <v/>
      </c>
      <c r="F78" s="7">
        <f>IF(VLOOKUP(F$2,行为概览!$D$3:$K$33,8,0)="","",VLOOKUP(F$2,行为概览!$D$3:$K$33,8,0)*玩法行为规划!E78)</f>
        <v>1.5</v>
      </c>
      <c r="G78" s="7">
        <f>IF(VLOOKUP(G$2,行为概览!$D$3:$K$33,8,0)="","",VLOOKUP(G$2,行为概览!$D$3:$K$33,8,0)*玩法行为规划!F78)</f>
        <v>0.66659999999999997</v>
      </c>
      <c r="H78" s="7" t="str">
        <f>IF(VLOOKUP(H$2,行为概览!$D$3:$K$33,8,0)="","",VLOOKUP(H$2,行为概览!$D$3:$K$33,8,0)*玩法行为规划!G78)</f>
        <v/>
      </c>
      <c r="I78" s="7" t="str">
        <f>IF(VLOOKUP(I$2,行为概览!$D$3:$K$33,8,0)="","",VLOOKUP(I$2,行为概览!$D$3:$K$33,8,0)*玩法行为规划!H78)</f>
        <v/>
      </c>
      <c r="J78" s="7" t="str">
        <f>IF(VLOOKUP(J$2,行为概览!$D$3:$K$33,8,0)="","",VLOOKUP(J$2,行为概览!$D$3:$K$33,8,0)*玩法行为规划!I78)</f>
        <v/>
      </c>
      <c r="K78" s="7">
        <f>IF(VLOOKUP(K$2,行为概览!$D$3:$K$33,8,0)="","",VLOOKUP(K$2,行为概览!$D$3:$K$33,8,0)*玩法行为规划!J78)</f>
        <v>1</v>
      </c>
      <c r="L78" s="7" t="str">
        <f>IF(VLOOKUP(L$2,行为概览!$D$3:$K$33,8,0)="","",VLOOKUP(L$2,行为概览!$D$3:$K$33,8,0)*玩法行为规划!K78)</f>
        <v/>
      </c>
      <c r="M78" s="7" t="str">
        <f>IF(VLOOKUP(M$2,行为概览!$D$3:$K$33,8,0)="","",VLOOKUP(M$2,行为概览!$D$3:$K$33,8,0)*玩法行为规划!L78)</f>
        <v/>
      </c>
      <c r="N78" s="7">
        <f>IF(VLOOKUP(N$2,行为概览!$D$3:$K$33,8,0)="","",VLOOKUP(N$2,行为概览!$D$3:$K$33,8,0)*玩法行为规划!M78)</f>
        <v>12</v>
      </c>
      <c r="O78" s="7" t="str">
        <f>IF(VLOOKUP(O$2,行为概览!$D$3:$K$33,8,0)="","",VLOOKUP(O$2,行为概览!$D$3:$K$33,8,0)*玩法行为规划!N78)</f>
        <v/>
      </c>
      <c r="P78" s="7" t="str">
        <f>IF(VLOOKUP(P$2,行为概览!$D$3:$K$33,8,0)="","",VLOOKUP(P$2,行为概览!$D$3:$K$33,8,0)*玩法行为规划!O78)</f>
        <v/>
      </c>
      <c r="Q78" s="7">
        <f>IF(VLOOKUP(Q$2,行为概览!$D$3:$K$33,8,0)="","",VLOOKUP(Q$2,行为概览!$D$3:$K$33,8,0)*玩法行为规划!P78)</f>
        <v>5.2</v>
      </c>
      <c r="R78" s="7" t="str">
        <f>IF(VLOOKUP(R$2,行为概览!$D$3:$K$33,8,0)="","",VLOOKUP(R$2,行为概览!$D$3:$K$33,8,0)*玩法行为规划!Q78)</f>
        <v/>
      </c>
      <c r="S78" s="7">
        <f>IF(VLOOKUP(S$2,行为概览!$D$3:$K$33,8,0)="","",VLOOKUP(S$2,行为概览!$D$3:$K$33,8,0)*玩法行为规划!R78)</f>
        <v>0.49995000000000001</v>
      </c>
      <c r="T78" s="7">
        <f>IF(VLOOKUP(T$2,行为概览!$D$3:$K$33,8,0)="","",VLOOKUP(T$2,行为概览!$D$3:$K$33,8,0)*玩法行为规划!S78)</f>
        <v>0</v>
      </c>
      <c r="U78" s="7">
        <f>IF(VLOOKUP(U$2,行为概览!$D$3:$K$33,8,0)="","",VLOOKUP(U$2,行为概览!$D$3:$K$33,8,0)*玩法行为规划!T78)</f>
        <v>0.49995000000000001</v>
      </c>
      <c r="V78" s="7">
        <f>IF(VLOOKUP(V$2,行为概览!$D$3:$K$33,8,0)="","",VLOOKUP(V$2,行为概览!$D$3:$K$33,8,0)*玩法行为规划!U78)</f>
        <v>0.33339999999999997</v>
      </c>
      <c r="W78" s="7" t="str">
        <f>IF(VLOOKUP(W$2,行为概览!$D$3:$K$33,8,0)="","",VLOOKUP(W$2,行为概览!$D$3:$K$33,8,0)*玩法行为规划!V78)</f>
        <v/>
      </c>
      <c r="X78" s="7" t="str">
        <f>IF(VLOOKUP(X$2,行为概览!$D$3:$K$33,8,0)="","",VLOOKUP(X$2,行为概览!$D$3:$K$33,8,0)*玩法行为规划!W78)</f>
        <v/>
      </c>
      <c r="Y78" s="7">
        <f>IF(VLOOKUP(Y$2,行为概览!$D$3:$K$33,8,0)="","",VLOOKUP(Y$2,行为概览!$D$3:$K$33,8,0)*玩法行为规划!X78)</f>
        <v>0.25</v>
      </c>
      <c r="Z78" s="7" t="str">
        <f>IF(VLOOKUP(Z$2,行为概览!$D$3:$K$33,8,0)="","",VLOOKUP(Z$2,行为概览!$D$3:$K$33,8,0)*玩法行为规划!Y78)</f>
        <v/>
      </c>
      <c r="AA78" s="7">
        <f>IF(VLOOKUP(AA$2,行为概览!$D$3:$K$33,8,0)="","",VLOOKUP(AA$2,行为概览!$D$3:$K$33,8,0)*玩法行为规划!Z78)</f>
        <v>8.3349999999999994E-2</v>
      </c>
      <c r="AB78" s="7" t="str">
        <f>IF(VLOOKUP(AB$2,行为概览!$D$3:$K$33,8,0)="","",VLOOKUP(AB$2,行为概览!$D$3:$K$33,8,0)*玩法行为规划!AA78)</f>
        <v/>
      </c>
      <c r="AC78" s="7" t="str">
        <f>IF(VLOOKUP(AC$2,行为概览!$D$3:$K$33,8,0)="","",VLOOKUP(AC$2,行为概览!$D$3:$K$33,8,0)*玩法行为规划!AB78)</f>
        <v/>
      </c>
      <c r="AD78" s="7" t="str">
        <f>IF(VLOOKUP(AD$2,行为概览!$D$3:$K$33,8,0)="","",VLOOKUP(AD$2,行为概览!$D$3:$K$33,8,0)*玩法行为规划!AC78)</f>
        <v/>
      </c>
      <c r="AE78" s="7" t="str">
        <f>IF(VLOOKUP(AE$2,行为概览!$D$3:$K$33,8,0)="","",VLOOKUP(AE$2,行为概览!$D$3:$K$33,8,0)*玩法行为规划!AD78)</f>
        <v/>
      </c>
      <c r="AF78" s="7">
        <f t="shared" si="12"/>
        <v>24.133149999999997</v>
      </c>
      <c r="AG78" s="7">
        <f t="shared" si="13"/>
        <v>9170597</v>
      </c>
      <c r="AH78" s="7">
        <f t="shared" si="16"/>
        <v>328070</v>
      </c>
      <c r="AI78" s="10" t="str">
        <f t="shared" si="7"/>
        <v/>
      </c>
      <c r="AJ78" s="73">
        <f t="shared" si="17"/>
        <v>288820</v>
      </c>
      <c r="AK78" s="77">
        <f>ROUND(AG78*升级节奏!G78/AJ83,2)</f>
        <v>232.69</v>
      </c>
      <c r="AL78" s="77">
        <f>ROUND(AG78*升级节奏!G78/SUM($AJ$3:AJ83),2)</f>
        <v>8.4600000000000009</v>
      </c>
      <c r="AM78" s="74">
        <f>ROUND(AG78*升级节奏!G78,0)</f>
        <v>76339106</v>
      </c>
      <c r="AN78" s="77">
        <f>ROUND(SUM($AM$3:AM78)/SUM($AJ$3:AJ83),2)</f>
        <v>90.11</v>
      </c>
      <c r="AO78" s="7">
        <f t="shared" si="14"/>
        <v>6333</v>
      </c>
      <c r="AP78" s="7">
        <f t="shared" si="15"/>
        <v>46</v>
      </c>
    </row>
    <row r="79" spans="1:42">
      <c r="A79" s="32">
        <v>77</v>
      </c>
      <c r="B79" s="87">
        <f>升级节奏!D79</f>
        <v>385000</v>
      </c>
      <c r="C79" s="7">
        <f>IF(VLOOKUP(C$2,行为概览!$D$3:$K$33,8,0)="","",VLOOKUP(C$2,行为概览!$D$3:$K$33,8,0)*玩法行为规划!B79)</f>
        <v>0.99990000000000001</v>
      </c>
      <c r="D79" s="7">
        <f>IF(VLOOKUP(D$2,行为概览!$D$3:$K$33,8,0)="","",VLOOKUP(D$2,行为概览!$D$3:$K$33,8,0)*玩法行为规划!C79)</f>
        <v>1.1000000000000001</v>
      </c>
      <c r="E79" s="7" t="str">
        <f>IF(VLOOKUP(E$2,行为概览!$D$3:$K$33,8,0)="","",VLOOKUP(E$2,行为概览!$D$3:$K$33,8,0)*玩法行为规划!D79)</f>
        <v/>
      </c>
      <c r="F79" s="7">
        <f>IF(VLOOKUP(F$2,行为概览!$D$3:$K$33,8,0)="","",VLOOKUP(F$2,行为概览!$D$3:$K$33,8,0)*玩法行为规划!E79)</f>
        <v>1.5</v>
      </c>
      <c r="G79" s="7">
        <f>IF(VLOOKUP(G$2,行为概览!$D$3:$K$33,8,0)="","",VLOOKUP(G$2,行为概览!$D$3:$K$33,8,0)*玩法行为规划!F79)</f>
        <v>0.66659999999999997</v>
      </c>
      <c r="H79" s="7" t="str">
        <f>IF(VLOOKUP(H$2,行为概览!$D$3:$K$33,8,0)="","",VLOOKUP(H$2,行为概览!$D$3:$K$33,8,0)*玩法行为规划!G79)</f>
        <v/>
      </c>
      <c r="I79" s="7" t="str">
        <f>IF(VLOOKUP(I$2,行为概览!$D$3:$K$33,8,0)="","",VLOOKUP(I$2,行为概览!$D$3:$K$33,8,0)*玩法行为规划!H79)</f>
        <v/>
      </c>
      <c r="J79" s="7" t="str">
        <f>IF(VLOOKUP(J$2,行为概览!$D$3:$K$33,8,0)="","",VLOOKUP(J$2,行为概览!$D$3:$K$33,8,0)*玩法行为规划!I79)</f>
        <v/>
      </c>
      <c r="K79" s="7">
        <f>IF(VLOOKUP(K$2,行为概览!$D$3:$K$33,8,0)="","",VLOOKUP(K$2,行为概览!$D$3:$K$33,8,0)*玩法行为规划!J79)</f>
        <v>1</v>
      </c>
      <c r="L79" s="7" t="str">
        <f>IF(VLOOKUP(L$2,行为概览!$D$3:$K$33,8,0)="","",VLOOKUP(L$2,行为概览!$D$3:$K$33,8,0)*玩法行为规划!K79)</f>
        <v/>
      </c>
      <c r="M79" s="7" t="str">
        <f>IF(VLOOKUP(M$2,行为概览!$D$3:$K$33,8,0)="","",VLOOKUP(M$2,行为概览!$D$3:$K$33,8,0)*玩法行为规划!L79)</f>
        <v/>
      </c>
      <c r="N79" s="7">
        <f>IF(VLOOKUP(N$2,行为概览!$D$3:$K$33,8,0)="","",VLOOKUP(N$2,行为概览!$D$3:$K$33,8,0)*玩法行为规划!M79)</f>
        <v>12</v>
      </c>
      <c r="O79" s="7" t="str">
        <f>IF(VLOOKUP(O$2,行为概览!$D$3:$K$33,8,0)="","",VLOOKUP(O$2,行为概览!$D$3:$K$33,8,0)*玩法行为规划!N79)</f>
        <v/>
      </c>
      <c r="P79" s="7" t="str">
        <f>IF(VLOOKUP(P$2,行为概览!$D$3:$K$33,8,0)="","",VLOOKUP(P$2,行为概览!$D$3:$K$33,8,0)*玩法行为规划!O79)</f>
        <v/>
      </c>
      <c r="Q79" s="7">
        <f>IF(VLOOKUP(Q$2,行为概览!$D$3:$K$33,8,0)="","",VLOOKUP(Q$2,行为概览!$D$3:$K$33,8,0)*玩法行为规划!P79)</f>
        <v>5.2</v>
      </c>
      <c r="R79" s="7" t="str">
        <f>IF(VLOOKUP(R$2,行为概览!$D$3:$K$33,8,0)="","",VLOOKUP(R$2,行为概览!$D$3:$K$33,8,0)*玩法行为规划!Q79)</f>
        <v/>
      </c>
      <c r="S79" s="7">
        <f>IF(VLOOKUP(S$2,行为概览!$D$3:$K$33,8,0)="","",VLOOKUP(S$2,行为概览!$D$3:$K$33,8,0)*玩法行为规划!R79)</f>
        <v>0.49995000000000001</v>
      </c>
      <c r="T79" s="7">
        <f>IF(VLOOKUP(T$2,行为概览!$D$3:$K$33,8,0)="","",VLOOKUP(T$2,行为概览!$D$3:$K$33,8,0)*玩法行为规划!S79)</f>
        <v>0</v>
      </c>
      <c r="U79" s="7">
        <f>IF(VLOOKUP(U$2,行为概览!$D$3:$K$33,8,0)="","",VLOOKUP(U$2,行为概览!$D$3:$K$33,8,0)*玩法行为规划!T79)</f>
        <v>0.49995000000000001</v>
      </c>
      <c r="V79" s="7">
        <f>IF(VLOOKUP(V$2,行为概览!$D$3:$K$33,8,0)="","",VLOOKUP(V$2,行为概览!$D$3:$K$33,8,0)*玩法行为规划!U79)</f>
        <v>0.33339999999999997</v>
      </c>
      <c r="W79" s="7" t="str">
        <f>IF(VLOOKUP(W$2,行为概览!$D$3:$K$33,8,0)="","",VLOOKUP(W$2,行为概览!$D$3:$K$33,8,0)*玩法行为规划!V79)</f>
        <v/>
      </c>
      <c r="X79" s="7" t="str">
        <f>IF(VLOOKUP(X$2,行为概览!$D$3:$K$33,8,0)="","",VLOOKUP(X$2,行为概览!$D$3:$K$33,8,0)*玩法行为规划!W79)</f>
        <v/>
      </c>
      <c r="Y79" s="7">
        <f>IF(VLOOKUP(Y$2,行为概览!$D$3:$K$33,8,0)="","",VLOOKUP(Y$2,行为概览!$D$3:$K$33,8,0)*玩法行为规划!X79)</f>
        <v>0.25</v>
      </c>
      <c r="Z79" s="7" t="str">
        <f>IF(VLOOKUP(Z$2,行为概览!$D$3:$K$33,8,0)="","",VLOOKUP(Z$2,行为概览!$D$3:$K$33,8,0)*玩法行为规划!Y79)</f>
        <v/>
      </c>
      <c r="AA79" s="7">
        <f>IF(VLOOKUP(AA$2,行为概览!$D$3:$K$33,8,0)="","",VLOOKUP(AA$2,行为概览!$D$3:$K$33,8,0)*玩法行为规划!Z79)</f>
        <v>8.3349999999999994E-2</v>
      </c>
      <c r="AB79" s="7" t="str">
        <f>IF(VLOOKUP(AB$2,行为概览!$D$3:$K$33,8,0)="","",VLOOKUP(AB$2,行为概览!$D$3:$K$33,8,0)*玩法行为规划!AA79)</f>
        <v/>
      </c>
      <c r="AC79" s="7" t="str">
        <f>IF(VLOOKUP(AC$2,行为概览!$D$3:$K$33,8,0)="","",VLOOKUP(AC$2,行为概览!$D$3:$K$33,8,0)*玩法行为规划!AB79)</f>
        <v/>
      </c>
      <c r="AD79" s="7" t="str">
        <f>IF(VLOOKUP(AD$2,行为概览!$D$3:$K$33,8,0)="","",VLOOKUP(AD$2,行为概览!$D$3:$K$33,8,0)*玩法行为规划!AC79)</f>
        <v/>
      </c>
      <c r="AE79" s="7" t="str">
        <f>IF(VLOOKUP(AE$2,行为概览!$D$3:$K$33,8,0)="","",VLOOKUP(AE$2,行为概览!$D$3:$K$33,8,0)*玩法行为规划!AD79)</f>
        <v/>
      </c>
      <c r="AF79" s="7">
        <f t="shared" si="12"/>
        <v>24.133149999999997</v>
      </c>
      <c r="AG79" s="7">
        <f t="shared" si="13"/>
        <v>9291262</v>
      </c>
      <c r="AH79" s="7">
        <f t="shared" si="16"/>
        <v>336220</v>
      </c>
      <c r="AI79" s="10" t="str">
        <f t="shared" si="7"/>
        <v/>
      </c>
      <c r="AJ79" s="73">
        <f t="shared" si="17"/>
        <v>296470</v>
      </c>
      <c r="AK79" s="77">
        <f>ROUND(AG79*升级节奏!G79/AJ84,2)</f>
        <v>236.03</v>
      </c>
      <c r="AL79" s="77">
        <f>ROUND(AG79*升级节奏!G79/SUM($AJ$3:AJ84),2)</f>
        <v>8.48</v>
      </c>
      <c r="AM79" s="74">
        <f>ROUND(AG79*升级节奏!G79,0)</f>
        <v>79357443</v>
      </c>
      <c r="AN79" s="77">
        <f>ROUND(SUM($AM$3:AM79)/SUM($AJ$3:AJ84),2)</f>
        <v>95.35</v>
      </c>
      <c r="AO79" s="7">
        <f t="shared" si="14"/>
        <v>6417</v>
      </c>
      <c r="AP79" s="7">
        <f t="shared" si="15"/>
        <v>46</v>
      </c>
    </row>
    <row r="80" spans="1:42">
      <c r="A80" s="32">
        <v>78</v>
      </c>
      <c r="B80" s="87">
        <f>升级节奏!D80</f>
        <v>390000</v>
      </c>
      <c r="C80" s="7">
        <f>IF(VLOOKUP(C$2,行为概览!$D$3:$K$33,8,0)="","",VLOOKUP(C$2,行为概览!$D$3:$K$33,8,0)*玩法行为规划!B80)</f>
        <v>0.99990000000000001</v>
      </c>
      <c r="D80" s="7">
        <f>IF(VLOOKUP(D$2,行为概览!$D$3:$K$33,8,0)="","",VLOOKUP(D$2,行为概览!$D$3:$K$33,8,0)*玩法行为规划!C80)</f>
        <v>1.1000000000000001</v>
      </c>
      <c r="E80" s="7" t="str">
        <f>IF(VLOOKUP(E$2,行为概览!$D$3:$K$33,8,0)="","",VLOOKUP(E$2,行为概览!$D$3:$K$33,8,0)*玩法行为规划!D80)</f>
        <v/>
      </c>
      <c r="F80" s="7">
        <f>IF(VLOOKUP(F$2,行为概览!$D$3:$K$33,8,0)="","",VLOOKUP(F$2,行为概览!$D$3:$K$33,8,0)*玩法行为规划!E80)</f>
        <v>1.5</v>
      </c>
      <c r="G80" s="7">
        <f>IF(VLOOKUP(G$2,行为概览!$D$3:$K$33,8,0)="","",VLOOKUP(G$2,行为概览!$D$3:$K$33,8,0)*玩法行为规划!F80)</f>
        <v>0.66659999999999997</v>
      </c>
      <c r="H80" s="7" t="str">
        <f>IF(VLOOKUP(H$2,行为概览!$D$3:$K$33,8,0)="","",VLOOKUP(H$2,行为概览!$D$3:$K$33,8,0)*玩法行为规划!G80)</f>
        <v/>
      </c>
      <c r="I80" s="7" t="str">
        <f>IF(VLOOKUP(I$2,行为概览!$D$3:$K$33,8,0)="","",VLOOKUP(I$2,行为概览!$D$3:$K$33,8,0)*玩法行为规划!H80)</f>
        <v/>
      </c>
      <c r="J80" s="7" t="str">
        <f>IF(VLOOKUP(J$2,行为概览!$D$3:$K$33,8,0)="","",VLOOKUP(J$2,行为概览!$D$3:$K$33,8,0)*玩法行为规划!I80)</f>
        <v/>
      </c>
      <c r="K80" s="7">
        <f>IF(VLOOKUP(K$2,行为概览!$D$3:$K$33,8,0)="","",VLOOKUP(K$2,行为概览!$D$3:$K$33,8,0)*玩法行为规划!J80)</f>
        <v>1</v>
      </c>
      <c r="L80" s="7" t="str">
        <f>IF(VLOOKUP(L$2,行为概览!$D$3:$K$33,8,0)="","",VLOOKUP(L$2,行为概览!$D$3:$K$33,8,0)*玩法行为规划!K80)</f>
        <v/>
      </c>
      <c r="M80" s="7" t="str">
        <f>IF(VLOOKUP(M$2,行为概览!$D$3:$K$33,8,0)="","",VLOOKUP(M$2,行为概览!$D$3:$K$33,8,0)*玩法行为规划!L80)</f>
        <v/>
      </c>
      <c r="N80" s="7">
        <f>IF(VLOOKUP(N$2,行为概览!$D$3:$K$33,8,0)="","",VLOOKUP(N$2,行为概览!$D$3:$K$33,8,0)*玩法行为规划!M80)</f>
        <v>12</v>
      </c>
      <c r="O80" s="7" t="str">
        <f>IF(VLOOKUP(O$2,行为概览!$D$3:$K$33,8,0)="","",VLOOKUP(O$2,行为概览!$D$3:$K$33,8,0)*玩法行为规划!N80)</f>
        <v/>
      </c>
      <c r="P80" s="7" t="str">
        <f>IF(VLOOKUP(P$2,行为概览!$D$3:$K$33,8,0)="","",VLOOKUP(P$2,行为概览!$D$3:$K$33,8,0)*玩法行为规划!O80)</f>
        <v/>
      </c>
      <c r="Q80" s="7">
        <f>IF(VLOOKUP(Q$2,行为概览!$D$3:$K$33,8,0)="","",VLOOKUP(Q$2,行为概览!$D$3:$K$33,8,0)*玩法行为规划!P80)</f>
        <v>5.2</v>
      </c>
      <c r="R80" s="7" t="str">
        <f>IF(VLOOKUP(R$2,行为概览!$D$3:$K$33,8,0)="","",VLOOKUP(R$2,行为概览!$D$3:$K$33,8,0)*玩法行为规划!Q80)</f>
        <v/>
      </c>
      <c r="S80" s="7">
        <f>IF(VLOOKUP(S$2,行为概览!$D$3:$K$33,8,0)="","",VLOOKUP(S$2,行为概览!$D$3:$K$33,8,0)*玩法行为规划!R80)</f>
        <v>0.49995000000000001</v>
      </c>
      <c r="T80" s="7">
        <f>IF(VLOOKUP(T$2,行为概览!$D$3:$K$33,8,0)="","",VLOOKUP(T$2,行为概览!$D$3:$K$33,8,0)*玩法行为规划!S80)</f>
        <v>0</v>
      </c>
      <c r="U80" s="7">
        <f>IF(VLOOKUP(U$2,行为概览!$D$3:$K$33,8,0)="","",VLOOKUP(U$2,行为概览!$D$3:$K$33,8,0)*玩法行为规划!T80)</f>
        <v>0.49995000000000001</v>
      </c>
      <c r="V80" s="7">
        <f>IF(VLOOKUP(V$2,行为概览!$D$3:$K$33,8,0)="","",VLOOKUP(V$2,行为概览!$D$3:$K$33,8,0)*玩法行为规划!U80)</f>
        <v>0.33339999999999997</v>
      </c>
      <c r="W80" s="7" t="str">
        <f>IF(VLOOKUP(W$2,行为概览!$D$3:$K$33,8,0)="","",VLOOKUP(W$2,行为概览!$D$3:$K$33,8,0)*玩法行为规划!V80)</f>
        <v/>
      </c>
      <c r="X80" s="7" t="str">
        <f>IF(VLOOKUP(X$2,行为概览!$D$3:$K$33,8,0)="","",VLOOKUP(X$2,行为概览!$D$3:$K$33,8,0)*玩法行为规划!W80)</f>
        <v/>
      </c>
      <c r="Y80" s="7">
        <f>IF(VLOOKUP(Y$2,行为概览!$D$3:$K$33,8,0)="","",VLOOKUP(Y$2,行为概览!$D$3:$K$33,8,0)*玩法行为规划!X80)</f>
        <v>0.25</v>
      </c>
      <c r="Z80" s="7" t="str">
        <f>IF(VLOOKUP(Z$2,行为概览!$D$3:$K$33,8,0)="","",VLOOKUP(Z$2,行为概览!$D$3:$K$33,8,0)*玩法行为规划!Y80)</f>
        <v/>
      </c>
      <c r="AA80" s="7">
        <f>IF(VLOOKUP(AA$2,行为概览!$D$3:$K$33,8,0)="","",VLOOKUP(AA$2,行为概览!$D$3:$K$33,8,0)*玩法行为规划!Z80)</f>
        <v>8.3349999999999994E-2</v>
      </c>
      <c r="AB80" s="7" t="str">
        <f>IF(VLOOKUP(AB$2,行为概览!$D$3:$K$33,8,0)="","",VLOOKUP(AB$2,行为概览!$D$3:$K$33,8,0)*玩法行为规划!AA80)</f>
        <v/>
      </c>
      <c r="AC80" s="7" t="str">
        <f>IF(VLOOKUP(AC$2,行为概览!$D$3:$K$33,8,0)="","",VLOOKUP(AC$2,行为概览!$D$3:$K$33,8,0)*玩法行为规划!AB80)</f>
        <v/>
      </c>
      <c r="AD80" s="7" t="str">
        <f>IF(VLOOKUP(AD$2,行为概览!$D$3:$K$33,8,0)="","",VLOOKUP(AD$2,行为概览!$D$3:$K$33,8,0)*玩法行为规划!AC80)</f>
        <v/>
      </c>
      <c r="AE80" s="7" t="str">
        <f>IF(VLOOKUP(AE$2,行为概览!$D$3:$K$33,8,0)="","",VLOOKUP(AE$2,行为概览!$D$3:$K$33,8,0)*玩法行为规划!AD80)</f>
        <v/>
      </c>
      <c r="AF80" s="7">
        <f t="shared" si="12"/>
        <v>24.133149999999997</v>
      </c>
      <c r="AG80" s="7">
        <f t="shared" si="13"/>
        <v>9411928</v>
      </c>
      <c r="AH80" s="7">
        <f t="shared" si="16"/>
        <v>344470</v>
      </c>
      <c r="AI80" s="10" t="str">
        <f t="shared" si="7"/>
        <v/>
      </c>
      <c r="AJ80" s="73">
        <f t="shared" si="17"/>
        <v>304220</v>
      </c>
      <c r="AK80" s="77">
        <f>ROUND(AG80*升级节奏!G80/AJ85,2)</f>
        <v>239.37</v>
      </c>
      <c r="AL80" s="77">
        <f>ROUND(AG80*升级节奏!G80/SUM($AJ$3:AJ85),2)</f>
        <v>8.5</v>
      </c>
      <c r="AM80" s="74">
        <f>ROUND(AG80*升级节奏!G80,0)</f>
        <v>82454764</v>
      </c>
      <c r="AN80" s="77">
        <f>ROUND(SUM($AM$3:AM80)/SUM($AJ$3:AJ85),2)</f>
        <v>100.46</v>
      </c>
      <c r="AO80" s="7">
        <f t="shared" si="14"/>
        <v>6500</v>
      </c>
      <c r="AP80" s="7">
        <f t="shared" si="15"/>
        <v>47</v>
      </c>
    </row>
    <row r="81" spans="1:42">
      <c r="A81" s="32">
        <v>79</v>
      </c>
      <c r="B81" s="87">
        <f>升级节奏!D81</f>
        <v>395000</v>
      </c>
      <c r="C81" s="7">
        <f>IF(VLOOKUP(C$2,行为概览!$D$3:$K$33,8,0)="","",VLOOKUP(C$2,行为概览!$D$3:$K$33,8,0)*玩法行为规划!B81)</f>
        <v>0.99990000000000001</v>
      </c>
      <c r="D81" s="7">
        <f>IF(VLOOKUP(D$2,行为概览!$D$3:$K$33,8,0)="","",VLOOKUP(D$2,行为概览!$D$3:$K$33,8,0)*玩法行为规划!C81)</f>
        <v>1.1000000000000001</v>
      </c>
      <c r="E81" s="7" t="str">
        <f>IF(VLOOKUP(E$2,行为概览!$D$3:$K$33,8,0)="","",VLOOKUP(E$2,行为概览!$D$3:$K$33,8,0)*玩法行为规划!D81)</f>
        <v/>
      </c>
      <c r="F81" s="7">
        <f>IF(VLOOKUP(F$2,行为概览!$D$3:$K$33,8,0)="","",VLOOKUP(F$2,行为概览!$D$3:$K$33,8,0)*玩法行为规划!E81)</f>
        <v>1.5</v>
      </c>
      <c r="G81" s="7">
        <f>IF(VLOOKUP(G$2,行为概览!$D$3:$K$33,8,0)="","",VLOOKUP(G$2,行为概览!$D$3:$K$33,8,0)*玩法行为规划!F81)</f>
        <v>0.66659999999999997</v>
      </c>
      <c r="H81" s="7" t="str">
        <f>IF(VLOOKUP(H$2,行为概览!$D$3:$K$33,8,0)="","",VLOOKUP(H$2,行为概览!$D$3:$K$33,8,0)*玩法行为规划!G81)</f>
        <v/>
      </c>
      <c r="I81" s="7" t="str">
        <f>IF(VLOOKUP(I$2,行为概览!$D$3:$K$33,8,0)="","",VLOOKUP(I$2,行为概览!$D$3:$K$33,8,0)*玩法行为规划!H81)</f>
        <v/>
      </c>
      <c r="J81" s="7" t="str">
        <f>IF(VLOOKUP(J$2,行为概览!$D$3:$K$33,8,0)="","",VLOOKUP(J$2,行为概览!$D$3:$K$33,8,0)*玩法行为规划!I81)</f>
        <v/>
      </c>
      <c r="K81" s="7">
        <f>IF(VLOOKUP(K$2,行为概览!$D$3:$K$33,8,0)="","",VLOOKUP(K$2,行为概览!$D$3:$K$33,8,0)*玩法行为规划!J81)</f>
        <v>1</v>
      </c>
      <c r="L81" s="7" t="str">
        <f>IF(VLOOKUP(L$2,行为概览!$D$3:$K$33,8,0)="","",VLOOKUP(L$2,行为概览!$D$3:$K$33,8,0)*玩法行为规划!K81)</f>
        <v/>
      </c>
      <c r="M81" s="7" t="str">
        <f>IF(VLOOKUP(M$2,行为概览!$D$3:$K$33,8,0)="","",VLOOKUP(M$2,行为概览!$D$3:$K$33,8,0)*玩法行为规划!L81)</f>
        <v/>
      </c>
      <c r="N81" s="7">
        <f>IF(VLOOKUP(N$2,行为概览!$D$3:$K$33,8,0)="","",VLOOKUP(N$2,行为概览!$D$3:$K$33,8,0)*玩法行为规划!M81)</f>
        <v>12</v>
      </c>
      <c r="O81" s="7" t="str">
        <f>IF(VLOOKUP(O$2,行为概览!$D$3:$K$33,8,0)="","",VLOOKUP(O$2,行为概览!$D$3:$K$33,8,0)*玩法行为规划!N81)</f>
        <v/>
      </c>
      <c r="P81" s="7" t="str">
        <f>IF(VLOOKUP(P$2,行为概览!$D$3:$K$33,8,0)="","",VLOOKUP(P$2,行为概览!$D$3:$K$33,8,0)*玩法行为规划!O81)</f>
        <v/>
      </c>
      <c r="Q81" s="7">
        <f>IF(VLOOKUP(Q$2,行为概览!$D$3:$K$33,8,0)="","",VLOOKUP(Q$2,行为概览!$D$3:$K$33,8,0)*玩法行为规划!P81)</f>
        <v>5.2</v>
      </c>
      <c r="R81" s="7" t="str">
        <f>IF(VLOOKUP(R$2,行为概览!$D$3:$K$33,8,0)="","",VLOOKUP(R$2,行为概览!$D$3:$K$33,8,0)*玩法行为规划!Q81)</f>
        <v/>
      </c>
      <c r="S81" s="7">
        <f>IF(VLOOKUP(S$2,行为概览!$D$3:$K$33,8,0)="","",VLOOKUP(S$2,行为概览!$D$3:$K$33,8,0)*玩法行为规划!R81)</f>
        <v>0.49995000000000001</v>
      </c>
      <c r="T81" s="7">
        <f>IF(VLOOKUP(T$2,行为概览!$D$3:$K$33,8,0)="","",VLOOKUP(T$2,行为概览!$D$3:$K$33,8,0)*玩法行为规划!S81)</f>
        <v>0</v>
      </c>
      <c r="U81" s="7">
        <f>IF(VLOOKUP(U$2,行为概览!$D$3:$K$33,8,0)="","",VLOOKUP(U$2,行为概览!$D$3:$K$33,8,0)*玩法行为规划!T81)</f>
        <v>0.49995000000000001</v>
      </c>
      <c r="V81" s="7">
        <f>IF(VLOOKUP(V$2,行为概览!$D$3:$K$33,8,0)="","",VLOOKUP(V$2,行为概览!$D$3:$K$33,8,0)*玩法行为规划!U81)</f>
        <v>0.33339999999999997</v>
      </c>
      <c r="W81" s="7" t="str">
        <f>IF(VLOOKUP(W$2,行为概览!$D$3:$K$33,8,0)="","",VLOOKUP(W$2,行为概览!$D$3:$K$33,8,0)*玩法行为规划!V81)</f>
        <v/>
      </c>
      <c r="X81" s="7" t="str">
        <f>IF(VLOOKUP(X$2,行为概览!$D$3:$K$33,8,0)="","",VLOOKUP(X$2,行为概览!$D$3:$K$33,8,0)*玩法行为规划!W81)</f>
        <v/>
      </c>
      <c r="Y81" s="7">
        <f>IF(VLOOKUP(Y$2,行为概览!$D$3:$K$33,8,0)="","",VLOOKUP(Y$2,行为概览!$D$3:$K$33,8,0)*玩法行为规划!X81)</f>
        <v>0.25</v>
      </c>
      <c r="Z81" s="7" t="str">
        <f>IF(VLOOKUP(Z$2,行为概览!$D$3:$K$33,8,0)="","",VLOOKUP(Z$2,行为概览!$D$3:$K$33,8,0)*玩法行为规划!Y81)</f>
        <v/>
      </c>
      <c r="AA81" s="7">
        <f>IF(VLOOKUP(AA$2,行为概览!$D$3:$K$33,8,0)="","",VLOOKUP(AA$2,行为概览!$D$3:$K$33,8,0)*玩法行为规划!Z81)</f>
        <v>8.3349999999999994E-2</v>
      </c>
      <c r="AB81" s="7" t="str">
        <f>IF(VLOOKUP(AB$2,行为概览!$D$3:$K$33,8,0)="","",VLOOKUP(AB$2,行为概览!$D$3:$K$33,8,0)*玩法行为规划!AA81)</f>
        <v/>
      </c>
      <c r="AC81" s="7" t="str">
        <f>IF(VLOOKUP(AC$2,行为概览!$D$3:$K$33,8,0)="","",VLOOKUP(AC$2,行为概览!$D$3:$K$33,8,0)*玩法行为规划!AB81)</f>
        <v/>
      </c>
      <c r="AD81" s="7" t="str">
        <f>IF(VLOOKUP(AD$2,行为概览!$D$3:$K$33,8,0)="","",VLOOKUP(AD$2,行为概览!$D$3:$K$33,8,0)*玩法行为规划!AC81)</f>
        <v/>
      </c>
      <c r="AE81" s="7" t="str">
        <f>IF(VLOOKUP(AE$2,行为概览!$D$3:$K$33,8,0)="","",VLOOKUP(AE$2,行为概览!$D$3:$K$33,8,0)*玩法行为规划!AD81)</f>
        <v/>
      </c>
      <c r="AF81" s="7">
        <f t="shared" si="12"/>
        <v>24.133149999999997</v>
      </c>
      <c r="AG81" s="7">
        <f t="shared" si="13"/>
        <v>9532594</v>
      </c>
      <c r="AH81" s="7">
        <f t="shared" si="16"/>
        <v>352820</v>
      </c>
      <c r="AI81" s="10" t="str">
        <f t="shared" si="7"/>
        <v/>
      </c>
      <c r="AJ81" s="73">
        <f t="shared" si="17"/>
        <v>312070</v>
      </c>
      <c r="AK81" s="77">
        <f>ROUND(AG81*升级节奏!G81/AJ86,2)</f>
        <v>242.71</v>
      </c>
      <c r="AL81" s="77">
        <f>ROUND(AG81*升级节奏!G81/SUM($AJ$3:AJ86),2)</f>
        <v>8.51</v>
      </c>
      <c r="AM81" s="74">
        <f>ROUND(AG81*升级节奏!G81,0)</f>
        <v>85632086</v>
      </c>
      <c r="AN81" s="77">
        <f>ROUND(SUM($AM$3:AM81)/SUM($AJ$3:AJ86),2)</f>
        <v>105.45</v>
      </c>
      <c r="AO81" s="7">
        <f t="shared" si="14"/>
        <v>6583</v>
      </c>
      <c r="AP81" s="7">
        <f t="shared" si="15"/>
        <v>47</v>
      </c>
    </row>
    <row r="82" spans="1:42">
      <c r="A82" s="32">
        <v>80</v>
      </c>
      <c r="B82" s="87">
        <f>升级节奏!D82</f>
        <v>400000</v>
      </c>
      <c r="C82" s="7">
        <f>IF(VLOOKUP(C$2,行为概览!$D$3:$K$33,8,0)="","",VLOOKUP(C$2,行为概览!$D$3:$K$33,8,0)*玩法行为规划!B82)</f>
        <v>0.99990000000000001</v>
      </c>
      <c r="D82" s="7">
        <f>IF(VLOOKUP(D$2,行为概览!$D$3:$K$33,8,0)="","",VLOOKUP(D$2,行为概览!$D$3:$K$33,8,0)*玩法行为规划!C82)</f>
        <v>1.1000000000000001</v>
      </c>
      <c r="E82" s="7" t="str">
        <f>IF(VLOOKUP(E$2,行为概览!$D$3:$K$33,8,0)="","",VLOOKUP(E$2,行为概览!$D$3:$K$33,8,0)*玩法行为规划!D82)</f>
        <v/>
      </c>
      <c r="F82" s="7">
        <f>IF(VLOOKUP(F$2,行为概览!$D$3:$K$33,8,0)="","",VLOOKUP(F$2,行为概览!$D$3:$K$33,8,0)*玩法行为规划!E82)</f>
        <v>1.5</v>
      </c>
      <c r="G82" s="7">
        <f>IF(VLOOKUP(G$2,行为概览!$D$3:$K$33,8,0)="","",VLOOKUP(G$2,行为概览!$D$3:$K$33,8,0)*玩法行为规划!F82)</f>
        <v>0.66659999999999997</v>
      </c>
      <c r="H82" s="7" t="str">
        <f>IF(VLOOKUP(H$2,行为概览!$D$3:$K$33,8,0)="","",VLOOKUP(H$2,行为概览!$D$3:$K$33,8,0)*玩法行为规划!G82)</f>
        <v/>
      </c>
      <c r="I82" s="7" t="str">
        <f>IF(VLOOKUP(I$2,行为概览!$D$3:$K$33,8,0)="","",VLOOKUP(I$2,行为概览!$D$3:$K$33,8,0)*玩法行为规划!H82)</f>
        <v/>
      </c>
      <c r="J82" s="7" t="str">
        <f>IF(VLOOKUP(J$2,行为概览!$D$3:$K$33,8,0)="","",VLOOKUP(J$2,行为概览!$D$3:$K$33,8,0)*玩法行为规划!I82)</f>
        <v/>
      </c>
      <c r="K82" s="7">
        <f>IF(VLOOKUP(K$2,行为概览!$D$3:$K$33,8,0)="","",VLOOKUP(K$2,行为概览!$D$3:$K$33,8,0)*玩法行为规划!J82)</f>
        <v>1</v>
      </c>
      <c r="L82" s="7" t="str">
        <f>IF(VLOOKUP(L$2,行为概览!$D$3:$K$33,8,0)="","",VLOOKUP(L$2,行为概览!$D$3:$K$33,8,0)*玩法行为规划!K82)</f>
        <v/>
      </c>
      <c r="M82" s="7" t="str">
        <f>IF(VLOOKUP(M$2,行为概览!$D$3:$K$33,8,0)="","",VLOOKUP(M$2,行为概览!$D$3:$K$33,8,0)*玩法行为规划!L82)</f>
        <v/>
      </c>
      <c r="N82" s="7">
        <f>IF(VLOOKUP(N$2,行为概览!$D$3:$K$33,8,0)="","",VLOOKUP(N$2,行为概览!$D$3:$K$33,8,0)*玩法行为规划!M82)</f>
        <v>12</v>
      </c>
      <c r="O82" s="7" t="str">
        <f>IF(VLOOKUP(O$2,行为概览!$D$3:$K$33,8,0)="","",VLOOKUP(O$2,行为概览!$D$3:$K$33,8,0)*玩法行为规划!N82)</f>
        <v/>
      </c>
      <c r="P82" s="7" t="str">
        <f>IF(VLOOKUP(P$2,行为概览!$D$3:$K$33,8,0)="","",VLOOKUP(P$2,行为概览!$D$3:$K$33,8,0)*玩法行为规划!O82)</f>
        <v/>
      </c>
      <c r="Q82" s="7">
        <f>IF(VLOOKUP(Q$2,行为概览!$D$3:$K$33,8,0)="","",VLOOKUP(Q$2,行为概览!$D$3:$K$33,8,0)*玩法行为规划!P82)</f>
        <v>5.2</v>
      </c>
      <c r="R82" s="7" t="str">
        <f>IF(VLOOKUP(R$2,行为概览!$D$3:$K$33,8,0)="","",VLOOKUP(R$2,行为概览!$D$3:$K$33,8,0)*玩法行为规划!Q82)</f>
        <v/>
      </c>
      <c r="S82" s="7">
        <f>IF(VLOOKUP(S$2,行为概览!$D$3:$K$33,8,0)="","",VLOOKUP(S$2,行为概览!$D$3:$K$33,8,0)*玩法行为规划!R82)</f>
        <v>0.49995000000000001</v>
      </c>
      <c r="T82" s="7">
        <f>IF(VLOOKUP(T$2,行为概览!$D$3:$K$33,8,0)="","",VLOOKUP(T$2,行为概览!$D$3:$K$33,8,0)*玩法行为规划!S82)</f>
        <v>0</v>
      </c>
      <c r="U82" s="7">
        <f>IF(VLOOKUP(U$2,行为概览!$D$3:$K$33,8,0)="","",VLOOKUP(U$2,行为概览!$D$3:$K$33,8,0)*玩法行为规划!T82)</f>
        <v>0.49995000000000001</v>
      </c>
      <c r="V82" s="7">
        <f>IF(VLOOKUP(V$2,行为概览!$D$3:$K$33,8,0)="","",VLOOKUP(V$2,行为概览!$D$3:$K$33,8,0)*玩法行为规划!U82)</f>
        <v>0.33339999999999997</v>
      </c>
      <c r="W82" s="7" t="str">
        <f>IF(VLOOKUP(W$2,行为概览!$D$3:$K$33,8,0)="","",VLOOKUP(W$2,行为概览!$D$3:$K$33,8,0)*玩法行为规划!V82)</f>
        <v/>
      </c>
      <c r="X82" s="7" t="str">
        <f>IF(VLOOKUP(X$2,行为概览!$D$3:$K$33,8,0)="","",VLOOKUP(X$2,行为概览!$D$3:$K$33,8,0)*玩法行为规划!W82)</f>
        <v/>
      </c>
      <c r="Y82" s="7">
        <f>IF(VLOOKUP(Y$2,行为概览!$D$3:$K$33,8,0)="","",VLOOKUP(Y$2,行为概览!$D$3:$K$33,8,0)*玩法行为规划!X82)</f>
        <v>0.25</v>
      </c>
      <c r="Z82" s="7" t="str">
        <f>IF(VLOOKUP(Z$2,行为概览!$D$3:$K$33,8,0)="","",VLOOKUP(Z$2,行为概览!$D$3:$K$33,8,0)*玩法行为规划!Y82)</f>
        <v/>
      </c>
      <c r="AA82" s="7">
        <f>IF(VLOOKUP(AA$2,行为概览!$D$3:$K$33,8,0)="","",VLOOKUP(AA$2,行为概览!$D$3:$K$33,8,0)*玩法行为规划!Z82)</f>
        <v>8.3349999999999994E-2</v>
      </c>
      <c r="AB82" s="7" t="str">
        <f>IF(VLOOKUP(AB$2,行为概览!$D$3:$K$33,8,0)="","",VLOOKUP(AB$2,行为概览!$D$3:$K$33,8,0)*玩法行为规划!AA82)</f>
        <v/>
      </c>
      <c r="AC82" s="7" t="str">
        <f>IF(VLOOKUP(AC$2,行为概览!$D$3:$K$33,8,0)="","",VLOOKUP(AC$2,行为概览!$D$3:$K$33,8,0)*玩法行为规划!AB82)</f>
        <v/>
      </c>
      <c r="AD82" s="7" t="str">
        <f>IF(VLOOKUP(AD$2,行为概览!$D$3:$K$33,8,0)="","",VLOOKUP(AD$2,行为概览!$D$3:$K$33,8,0)*玩法行为规划!AC82)</f>
        <v/>
      </c>
      <c r="AE82" s="7" t="str">
        <f>IF(VLOOKUP(AE$2,行为概览!$D$3:$K$33,8,0)="","",VLOOKUP(AE$2,行为概览!$D$3:$K$33,8,0)*玩法行为规划!AD82)</f>
        <v/>
      </c>
      <c r="AF82" s="7">
        <f t="shared" si="12"/>
        <v>24.133149999999997</v>
      </c>
      <c r="AG82" s="7">
        <f t="shared" si="13"/>
        <v>9653260</v>
      </c>
      <c r="AH82" s="7">
        <f t="shared" si="16"/>
        <v>361270</v>
      </c>
      <c r="AI82" s="10">
        <f t="shared" si="7"/>
        <v>7173900</v>
      </c>
      <c r="AJ82" s="73">
        <f t="shared" si="17"/>
        <v>320020</v>
      </c>
      <c r="AK82" s="77">
        <f>ROUND(AG82*升级节奏!G82/AJ87,2)</f>
        <v>246.05</v>
      </c>
      <c r="AL82" s="77">
        <f>ROUND(AG82*升级节奏!G82/SUM($AJ$3:AJ87),2)</f>
        <v>8.5299999999999994</v>
      </c>
      <c r="AM82" s="74">
        <f>ROUND(AG82*升级节奏!G82,0)</f>
        <v>88890436</v>
      </c>
      <c r="AN82" s="77">
        <f>ROUND(SUM($AM$3:AM82)/SUM($AJ$3:AJ87),2)</f>
        <v>110.33</v>
      </c>
      <c r="AO82" s="7">
        <f t="shared" si="14"/>
        <v>6667</v>
      </c>
      <c r="AP82" s="7">
        <f t="shared" si="15"/>
        <v>48</v>
      </c>
    </row>
    <row r="83" spans="1:42">
      <c r="A83" s="32">
        <v>81</v>
      </c>
      <c r="B83" s="87">
        <f>升级节奏!D83</f>
        <v>405000</v>
      </c>
      <c r="C83" s="7">
        <f>IF(VLOOKUP(C$2,行为概览!$D$3:$K$33,8,0)="","",VLOOKUP(C$2,行为概览!$D$3:$K$33,8,0)*玩法行为规划!B83)</f>
        <v>0.99990000000000001</v>
      </c>
      <c r="D83" s="7">
        <f>IF(VLOOKUP(D$2,行为概览!$D$3:$K$33,8,0)="","",VLOOKUP(D$2,行为概览!$D$3:$K$33,8,0)*玩法行为规划!C83)</f>
        <v>1.1000000000000001</v>
      </c>
      <c r="E83" s="7" t="str">
        <f>IF(VLOOKUP(E$2,行为概览!$D$3:$K$33,8,0)="","",VLOOKUP(E$2,行为概览!$D$3:$K$33,8,0)*玩法行为规划!D83)</f>
        <v/>
      </c>
      <c r="F83" s="7">
        <f>IF(VLOOKUP(F$2,行为概览!$D$3:$K$33,8,0)="","",VLOOKUP(F$2,行为概览!$D$3:$K$33,8,0)*玩法行为规划!E83)</f>
        <v>1.5</v>
      </c>
      <c r="G83" s="7">
        <f>IF(VLOOKUP(G$2,行为概览!$D$3:$K$33,8,0)="","",VLOOKUP(G$2,行为概览!$D$3:$K$33,8,0)*玩法行为规划!F83)</f>
        <v>0.66659999999999997</v>
      </c>
      <c r="H83" s="7" t="str">
        <f>IF(VLOOKUP(H$2,行为概览!$D$3:$K$33,8,0)="","",VLOOKUP(H$2,行为概览!$D$3:$K$33,8,0)*玩法行为规划!G83)</f>
        <v/>
      </c>
      <c r="I83" s="7" t="str">
        <f>IF(VLOOKUP(I$2,行为概览!$D$3:$K$33,8,0)="","",VLOOKUP(I$2,行为概览!$D$3:$K$33,8,0)*玩法行为规划!H83)</f>
        <v/>
      </c>
      <c r="J83" s="7" t="str">
        <f>IF(VLOOKUP(J$2,行为概览!$D$3:$K$33,8,0)="","",VLOOKUP(J$2,行为概览!$D$3:$K$33,8,0)*玩法行为规划!I83)</f>
        <v/>
      </c>
      <c r="K83" s="7">
        <f>IF(VLOOKUP(K$2,行为概览!$D$3:$K$33,8,0)="","",VLOOKUP(K$2,行为概览!$D$3:$K$33,8,0)*玩法行为规划!J83)</f>
        <v>1</v>
      </c>
      <c r="L83" s="7" t="str">
        <f>IF(VLOOKUP(L$2,行为概览!$D$3:$K$33,8,0)="","",VLOOKUP(L$2,行为概览!$D$3:$K$33,8,0)*玩法行为规划!K83)</f>
        <v/>
      </c>
      <c r="M83" s="7" t="str">
        <f>IF(VLOOKUP(M$2,行为概览!$D$3:$K$33,8,0)="","",VLOOKUP(M$2,行为概览!$D$3:$K$33,8,0)*玩法行为规划!L83)</f>
        <v/>
      </c>
      <c r="N83" s="7">
        <f>IF(VLOOKUP(N$2,行为概览!$D$3:$K$33,8,0)="","",VLOOKUP(N$2,行为概览!$D$3:$K$33,8,0)*玩法行为规划!M83)</f>
        <v>12</v>
      </c>
      <c r="O83" s="7" t="str">
        <f>IF(VLOOKUP(O$2,行为概览!$D$3:$K$33,8,0)="","",VLOOKUP(O$2,行为概览!$D$3:$K$33,8,0)*玩法行为规划!N83)</f>
        <v/>
      </c>
      <c r="P83" s="7" t="str">
        <f>IF(VLOOKUP(P$2,行为概览!$D$3:$K$33,8,0)="","",VLOOKUP(P$2,行为概览!$D$3:$K$33,8,0)*玩法行为规划!O83)</f>
        <v/>
      </c>
      <c r="Q83" s="7">
        <f>IF(VLOOKUP(Q$2,行为概览!$D$3:$K$33,8,0)="","",VLOOKUP(Q$2,行为概览!$D$3:$K$33,8,0)*玩法行为规划!P83)</f>
        <v>5.2</v>
      </c>
      <c r="R83" s="7" t="str">
        <f>IF(VLOOKUP(R$2,行为概览!$D$3:$K$33,8,0)="","",VLOOKUP(R$2,行为概览!$D$3:$K$33,8,0)*玩法行为规划!Q83)</f>
        <v/>
      </c>
      <c r="S83" s="7">
        <f>IF(VLOOKUP(S$2,行为概览!$D$3:$K$33,8,0)="","",VLOOKUP(S$2,行为概览!$D$3:$K$33,8,0)*玩法行为规划!R83)</f>
        <v>0.49995000000000001</v>
      </c>
      <c r="T83" s="7">
        <f>IF(VLOOKUP(T$2,行为概览!$D$3:$K$33,8,0)="","",VLOOKUP(T$2,行为概览!$D$3:$K$33,8,0)*玩法行为规划!S83)</f>
        <v>0</v>
      </c>
      <c r="U83" s="7">
        <f>IF(VLOOKUP(U$2,行为概览!$D$3:$K$33,8,0)="","",VLOOKUP(U$2,行为概览!$D$3:$K$33,8,0)*玩法行为规划!T83)</f>
        <v>0.49995000000000001</v>
      </c>
      <c r="V83" s="7">
        <f>IF(VLOOKUP(V$2,行为概览!$D$3:$K$33,8,0)="","",VLOOKUP(V$2,行为概览!$D$3:$K$33,8,0)*玩法行为规划!U83)</f>
        <v>0.33339999999999997</v>
      </c>
      <c r="W83" s="7" t="str">
        <f>IF(VLOOKUP(W$2,行为概览!$D$3:$K$33,8,0)="","",VLOOKUP(W$2,行为概览!$D$3:$K$33,8,0)*玩法行为规划!V83)</f>
        <v/>
      </c>
      <c r="X83" s="7" t="str">
        <f>IF(VLOOKUP(X$2,行为概览!$D$3:$K$33,8,0)="","",VLOOKUP(X$2,行为概览!$D$3:$K$33,8,0)*玩法行为规划!W83)</f>
        <v/>
      </c>
      <c r="Y83" s="7">
        <f>IF(VLOOKUP(Y$2,行为概览!$D$3:$K$33,8,0)="","",VLOOKUP(Y$2,行为概览!$D$3:$K$33,8,0)*玩法行为规划!X83)</f>
        <v>0.25</v>
      </c>
      <c r="Z83" s="7" t="str">
        <f>IF(VLOOKUP(Z$2,行为概览!$D$3:$K$33,8,0)="","",VLOOKUP(Z$2,行为概览!$D$3:$K$33,8,0)*玩法行为规划!Y83)</f>
        <v/>
      </c>
      <c r="AA83" s="7">
        <f>IF(VLOOKUP(AA$2,行为概览!$D$3:$K$33,8,0)="","",VLOOKUP(AA$2,行为概览!$D$3:$K$33,8,0)*玩法行为规划!Z83)</f>
        <v>8.3349999999999994E-2</v>
      </c>
      <c r="AB83" s="7" t="str">
        <f>IF(VLOOKUP(AB$2,行为概览!$D$3:$K$33,8,0)="","",VLOOKUP(AB$2,行为概览!$D$3:$K$33,8,0)*玩法行为规划!AA83)</f>
        <v/>
      </c>
      <c r="AC83" s="7" t="str">
        <f>IF(VLOOKUP(AC$2,行为概览!$D$3:$K$33,8,0)="","",VLOOKUP(AC$2,行为概览!$D$3:$K$33,8,0)*玩法行为规划!AB83)</f>
        <v/>
      </c>
      <c r="AD83" s="7" t="str">
        <f>IF(VLOOKUP(AD$2,行为概览!$D$3:$K$33,8,0)="","",VLOOKUP(AD$2,行为概览!$D$3:$K$33,8,0)*玩法行为规划!AC83)</f>
        <v/>
      </c>
      <c r="AE83" s="7" t="str">
        <f>IF(VLOOKUP(AE$2,行为概览!$D$3:$K$33,8,0)="","",VLOOKUP(AE$2,行为概览!$D$3:$K$33,8,0)*玩法行为规划!AD83)</f>
        <v/>
      </c>
      <c r="AF83" s="7">
        <f t="shared" si="12"/>
        <v>24.133149999999997</v>
      </c>
      <c r="AG83" s="7">
        <f t="shared" si="13"/>
        <v>9773925</v>
      </c>
      <c r="AH83" s="7">
        <f t="shared" si="16"/>
        <v>369820</v>
      </c>
      <c r="AI83" s="10" t="str">
        <f t="shared" si="7"/>
        <v/>
      </c>
      <c r="AJ83" s="73">
        <f t="shared" si="17"/>
        <v>328070</v>
      </c>
      <c r="AK83" s="77">
        <f>ROUND(AG83*升级节奏!G83/AJ88,2)</f>
        <v>249.39</v>
      </c>
      <c r="AL83" s="77">
        <f>ROUND(AG83*升级节奏!G83/SUM($AJ$3:AJ88),2)</f>
        <v>8.5500000000000007</v>
      </c>
      <c r="AM83" s="74">
        <f>ROUND(AG83*升级节奏!G83,0)</f>
        <v>92230829</v>
      </c>
      <c r="AN83" s="77">
        <f>ROUND(SUM($AM$3:AM83)/SUM($AJ$3:AJ88),2)</f>
        <v>115.1</v>
      </c>
      <c r="AO83" s="7">
        <f t="shared" si="14"/>
        <v>6750</v>
      </c>
      <c r="AP83" s="7">
        <f t="shared" si="15"/>
        <v>49</v>
      </c>
    </row>
    <row r="84" spans="1:42">
      <c r="A84" s="32">
        <v>82</v>
      </c>
      <c r="B84" s="87">
        <f>升级节奏!D84</f>
        <v>410000</v>
      </c>
      <c r="C84" s="7">
        <f>IF(VLOOKUP(C$2,行为概览!$D$3:$K$33,8,0)="","",VLOOKUP(C$2,行为概览!$D$3:$K$33,8,0)*玩法行为规划!B84)</f>
        <v>0.99990000000000001</v>
      </c>
      <c r="D84" s="7">
        <f>IF(VLOOKUP(D$2,行为概览!$D$3:$K$33,8,0)="","",VLOOKUP(D$2,行为概览!$D$3:$K$33,8,0)*玩法行为规划!C84)</f>
        <v>1.1000000000000001</v>
      </c>
      <c r="E84" s="7" t="str">
        <f>IF(VLOOKUP(E$2,行为概览!$D$3:$K$33,8,0)="","",VLOOKUP(E$2,行为概览!$D$3:$K$33,8,0)*玩法行为规划!D84)</f>
        <v/>
      </c>
      <c r="F84" s="7">
        <f>IF(VLOOKUP(F$2,行为概览!$D$3:$K$33,8,0)="","",VLOOKUP(F$2,行为概览!$D$3:$K$33,8,0)*玩法行为规划!E84)</f>
        <v>1.5</v>
      </c>
      <c r="G84" s="7">
        <f>IF(VLOOKUP(G$2,行为概览!$D$3:$K$33,8,0)="","",VLOOKUP(G$2,行为概览!$D$3:$K$33,8,0)*玩法行为规划!F84)</f>
        <v>0.66659999999999997</v>
      </c>
      <c r="H84" s="7" t="str">
        <f>IF(VLOOKUP(H$2,行为概览!$D$3:$K$33,8,0)="","",VLOOKUP(H$2,行为概览!$D$3:$K$33,8,0)*玩法行为规划!G84)</f>
        <v/>
      </c>
      <c r="I84" s="7" t="str">
        <f>IF(VLOOKUP(I$2,行为概览!$D$3:$K$33,8,0)="","",VLOOKUP(I$2,行为概览!$D$3:$K$33,8,0)*玩法行为规划!H84)</f>
        <v/>
      </c>
      <c r="J84" s="7" t="str">
        <f>IF(VLOOKUP(J$2,行为概览!$D$3:$K$33,8,0)="","",VLOOKUP(J$2,行为概览!$D$3:$K$33,8,0)*玩法行为规划!I84)</f>
        <v/>
      </c>
      <c r="K84" s="7">
        <f>IF(VLOOKUP(K$2,行为概览!$D$3:$K$33,8,0)="","",VLOOKUP(K$2,行为概览!$D$3:$K$33,8,0)*玩法行为规划!J84)</f>
        <v>1</v>
      </c>
      <c r="L84" s="7" t="str">
        <f>IF(VLOOKUP(L$2,行为概览!$D$3:$K$33,8,0)="","",VLOOKUP(L$2,行为概览!$D$3:$K$33,8,0)*玩法行为规划!K84)</f>
        <v/>
      </c>
      <c r="M84" s="7" t="str">
        <f>IF(VLOOKUP(M$2,行为概览!$D$3:$K$33,8,0)="","",VLOOKUP(M$2,行为概览!$D$3:$K$33,8,0)*玩法行为规划!L84)</f>
        <v/>
      </c>
      <c r="N84" s="7">
        <f>IF(VLOOKUP(N$2,行为概览!$D$3:$K$33,8,0)="","",VLOOKUP(N$2,行为概览!$D$3:$K$33,8,0)*玩法行为规划!M84)</f>
        <v>12</v>
      </c>
      <c r="O84" s="7" t="str">
        <f>IF(VLOOKUP(O$2,行为概览!$D$3:$K$33,8,0)="","",VLOOKUP(O$2,行为概览!$D$3:$K$33,8,0)*玩法行为规划!N84)</f>
        <v/>
      </c>
      <c r="P84" s="7" t="str">
        <f>IF(VLOOKUP(P$2,行为概览!$D$3:$K$33,8,0)="","",VLOOKUP(P$2,行为概览!$D$3:$K$33,8,0)*玩法行为规划!O84)</f>
        <v/>
      </c>
      <c r="Q84" s="7">
        <f>IF(VLOOKUP(Q$2,行为概览!$D$3:$K$33,8,0)="","",VLOOKUP(Q$2,行为概览!$D$3:$K$33,8,0)*玩法行为规划!P84)</f>
        <v>5.2</v>
      </c>
      <c r="R84" s="7" t="str">
        <f>IF(VLOOKUP(R$2,行为概览!$D$3:$K$33,8,0)="","",VLOOKUP(R$2,行为概览!$D$3:$K$33,8,0)*玩法行为规划!Q84)</f>
        <v/>
      </c>
      <c r="S84" s="7">
        <f>IF(VLOOKUP(S$2,行为概览!$D$3:$K$33,8,0)="","",VLOOKUP(S$2,行为概览!$D$3:$K$33,8,0)*玩法行为规划!R84)</f>
        <v>0.49995000000000001</v>
      </c>
      <c r="T84" s="7">
        <f>IF(VLOOKUP(T$2,行为概览!$D$3:$K$33,8,0)="","",VLOOKUP(T$2,行为概览!$D$3:$K$33,8,0)*玩法行为规划!S84)</f>
        <v>0</v>
      </c>
      <c r="U84" s="7">
        <f>IF(VLOOKUP(U$2,行为概览!$D$3:$K$33,8,0)="","",VLOOKUP(U$2,行为概览!$D$3:$K$33,8,0)*玩法行为规划!T84)</f>
        <v>0.49995000000000001</v>
      </c>
      <c r="V84" s="7">
        <f>IF(VLOOKUP(V$2,行为概览!$D$3:$K$33,8,0)="","",VLOOKUP(V$2,行为概览!$D$3:$K$33,8,0)*玩法行为规划!U84)</f>
        <v>0.33339999999999997</v>
      </c>
      <c r="W84" s="7" t="str">
        <f>IF(VLOOKUP(W$2,行为概览!$D$3:$K$33,8,0)="","",VLOOKUP(W$2,行为概览!$D$3:$K$33,8,0)*玩法行为规划!V84)</f>
        <v/>
      </c>
      <c r="X84" s="7" t="str">
        <f>IF(VLOOKUP(X$2,行为概览!$D$3:$K$33,8,0)="","",VLOOKUP(X$2,行为概览!$D$3:$K$33,8,0)*玩法行为规划!W84)</f>
        <v/>
      </c>
      <c r="Y84" s="7">
        <f>IF(VLOOKUP(Y$2,行为概览!$D$3:$K$33,8,0)="","",VLOOKUP(Y$2,行为概览!$D$3:$K$33,8,0)*玩法行为规划!X84)</f>
        <v>0.25</v>
      </c>
      <c r="Z84" s="7" t="str">
        <f>IF(VLOOKUP(Z$2,行为概览!$D$3:$K$33,8,0)="","",VLOOKUP(Z$2,行为概览!$D$3:$K$33,8,0)*玩法行为规划!Y84)</f>
        <v/>
      </c>
      <c r="AA84" s="7">
        <f>IF(VLOOKUP(AA$2,行为概览!$D$3:$K$33,8,0)="","",VLOOKUP(AA$2,行为概览!$D$3:$K$33,8,0)*玩法行为规划!Z84)</f>
        <v>8.3349999999999994E-2</v>
      </c>
      <c r="AB84" s="7" t="str">
        <f>IF(VLOOKUP(AB$2,行为概览!$D$3:$K$33,8,0)="","",VLOOKUP(AB$2,行为概览!$D$3:$K$33,8,0)*玩法行为规划!AA84)</f>
        <v/>
      </c>
      <c r="AC84" s="7" t="str">
        <f>IF(VLOOKUP(AC$2,行为概览!$D$3:$K$33,8,0)="","",VLOOKUP(AC$2,行为概览!$D$3:$K$33,8,0)*玩法行为规划!AB84)</f>
        <v/>
      </c>
      <c r="AD84" s="7" t="str">
        <f>IF(VLOOKUP(AD$2,行为概览!$D$3:$K$33,8,0)="","",VLOOKUP(AD$2,行为概览!$D$3:$K$33,8,0)*玩法行为规划!AC84)</f>
        <v/>
      </c>
      <c r="AE84" s="7" t="str">
        <f>IF(VLOOKUP(AE$2,行为概览!$D$3:$K$33,8,0)="","",VLOOKUP(AE$2,行为概览!$D$3:$K$33,8,0)*玩法行为规划!AD84)</f>
        <v/>
      </c>
      <c r="AF84" s="7">
        <f t="shared" si="12"/>
        <v>24.133149999999997</v>
      </c>
      <c r="AG84" s="7">
        <f t="shared" si="13"/>
        <v>9894591</v>
      </c>
      <c r="AH84" s="7">
        <f t="shared" si="16"/>
        <v>378470</v>
      </c>
      <c r="AI84" s="10" t="str">
        <f t="shared" si="7"/>
        <v/>
      </c>
      <c r="AJ84" s="73">
        <f t="shared" si="17"/>
        <v>336220</v>
      </c>
      <c r="AK84" s="77">
        <f>ROUND(AG84*升级节奏!G84/AJ89,2)</f>
        <v>252.74</v>
      </c>
      <c r="AL84" s="77">
        <f>ROUND(AG84*升级节奏!G84/SUM($AJ$3:AJ89),2)</f>
        <v>8.57</v>
      </c>
      <c r="AM84" s="74">
        <f>ROUND(AG84*升级节奏!G84,0)</f>
        <v>95654309</v>
      </c>
      <c r="AN84" s="77">
        <f>ROUND(SUM($AM$3:AM84)/SUM($AJ$3:AJ89),2)</f>
        <v>119.76</v>
      </c>
      <c r="AO84" s="7">
        <f t="shared" si="14"/>
        <v>6833</v>
      </c>
      <c r="AP84" s="7">
        <f t="shared" si="15"/>
        <v>49</v>
      </c>
    </row>
    <row r="85" spans="1:42">
      <c r="A85" s="32">
        <v>83</v>
      </c>
      <c r="B85" s="87">
        <f>升级节奏!D85</f>
        <v>415000</v>
      </c>
      <c r="C85" s="7">
        <f>IF(VLOOKUP(C$2,行为概览!$D$3:$K$33,8,0)="","",VLOOKUP(C$2,行为概览!$D$3:$K$33,8,0)*玩法行为规划!B85)</f>
        <v>0.99990000000000001</v>
      </c>
      <c r="D85" s="7">
        <f>IF(VLOOKUP(D$2,行为概览!$D$3:$K$33,8,0)="","",VLOOKUP(D$2,行为概览!$D$3:$K$33,8,0)*玩法行为规划!C85)</f>
        <v>1.1000000000000001</v>
      </c>
      <c r="E85" s="7" t="str">
        <f>IF(VLOOKUP(E$2,行为概览!$D$3:$K$33,8,0)="","",VLOOKUP(E$2,行为概览!$D$3:$K$33,8,0)*玩法行为规划!D85)</f>
        <v/>
      </c>
      <c r="F85" s="7">
        <f>IF(VLOOKUP(F$2,行为概览!$D$3:$K$33,8,0)="","",VLOOKUP(F$2,行为概览!$D$3:$K$33,8,0)*玩法行为规划!E85)</f>
        <v>1.5</v>
      </c>
      <c r="G85" s="7">
        <f>IF(VLOOKUP(G$2,行为概览!$D$3:$K$33,8,0)="","",VLOOKUP(G$2,行为概览!$D$3:$K$33,8,0)*玩法行为规划!F85)</f>
        <v>0.66659999999999997</v>
      </c>
      <c r="H85" s="7" t="str">
        <f>IF(VLOOKUP(H$2,行为概览!$D$3:$K$33,8,0)="","",VLOOKUP(H$2,行为概览!$D$3:$K$33,8,0)*玩法行为规划!G85)</f>
        <v/>
      </c>
      <c r="I85" s="7" t="str">
        <f>IF(VLOOKUP(I$2,行为概览!$D$3:$K$33,8,0)="","",VLOOKUP(I$2,行为概览!$D$3:$K$33,8,0)*玩法行为规划!H85)</f>
        <v/>
      </c>
      <c r="J85" s="7" t="str">
        <f>IF(VLOOKUP(J$2,行为概览!$D$3:$K$33,8,0)="","",VLOOKUP(J$2,行为概览!$D$3:$K$33,8,0)*玩法行为规划!I85)</f>
        <v/>
      </c>
      <c r="K85" s="7">
        <f>IF(VLOOKUP(K$2,行为概览!$D$3:$K$33,8,0)="","",VLOOKUP(K$2,行为概览!$D$3:$K$33,8,0)*玩法行为规划!J85)</f>
        <v>1</v>
      </c>
      <c r="L85" s="7" t="str">
        <f>IF(VLOOKUP(L$2,行为概览!$D$3:$K$33,8,0)="","",VLOOKUP(L$2,行为概览!$D$3:$K$33,8,0)*玩法行为规划!K85)</f>
        <v/>
      </c>
      <c r="M85" s="7" t="str">
        <f>IF(VLOOKUP(M$2,行为概览!$D$3:$K$33,8,0)="","",VLOOKUP(M$2,行为概览!$D$3:$K$33,8,0)*玩法行为规划!L85)</f>
        <v/>
      </c>
      <c r="N85" s="7">
        <f>IF(VLOOKUP(N$2,行为概览!$D$3:$K$33,8,0)="","",VLOOKUP(N$2,行为概览!$D$3:$K$33,8,0)*玩法行为规划!M85)</f>
        <v>12</v>
      </c>
      <c r="O85" s="7" t="str">
        <f>IF(VLOOKUP(O$2,行为概览!$D$3:$K$33,8,0)="","",VLOOKUP(O$2,行为概览!$D$3:$K$33,8,0)*玩法行为规划!N85)</f>
        <v/>
      </c>
      <c r="P85" s="7" t="str">
        <f>IF(VLOOKUP(P$2,行为概览!$D$3:$K$33,8,0)="","",VLOOKUP(P$2,行为概览!$D$3:$K$33,8,0)*玩法行为规划!O85)</f>
        <v/>
      </c>
      <c r="Q85" s="7">
        <f>IF(VLOOKUP(Q$2,行为概览!$D$3:$K$33,8,0)="","",VLOOKUP(Q$2,行为概览!$D$3:$K$33,8,0)*玩法行为规划!P85)</f>
        <v>5.2</v>
      </c>
      <c r="R85" s="7" t="str">
        <f>IF(VLOOKUP(R$2,行为概览!$D$3:$K$33,8,0)="","",VLOOKUP(R$2,行为概览!$D$3:$K$33,8,0)*玩法行为规划!Q85)</f>
        <v/>
      </c>
      <c r="S85" s="7">
        <f>IF(VLOOKUP(S$2,行为概览!$D$3:$K$33,8,0)="","",VLOOKUP(S$2,行为概览!$D$3:$K$33,8,0)*玩法行为规划!R85)</f>
        <v>0.49995000000000001</v>
      </c>
      <c r="T85" s="7">
        <f>IF(VLOOKUP(T$2,行为概览!$D$3:$K$33,8,0)="","",VLOOKUP(T$2,行为概览!$D$3:$K$33,8,0)*玩法行为规划!S85)</f>
        <v>0</v>
      </c>
      <c r="U85" s="7">
        <f>IF(VLOOKUP(U$2,行为概览!$D$3:$K$33,8,0)="","",VLOOKUP(U$2,行为概览!$D$3:$K$33,8,0)*玩法行为规划!T85)</f>
        <v>0.49995000000000001</v>
      </c>
      <c r="V85" s="7">
        <f>IF(VLOOKUP(V$2,行为概览!$D$3:$K$33,8,0)="","",VLOOKUP(V$2,行为概览!$D$3:$K$33,8,0)*玩法行为规划!U85)</f>
        <v>0.33339999999999997</v>
      </c>
      <c r="W85" s="7" t="str">
        <f>IF(VLOOKUP(W$2,行为概览!$D$3:$K$33,8,0)="","",VLOOKUP(W$2,行为概览!$D$3:$K$33,8,0)*玩法行为规划!V85)</f>
        <v/>
      </c>
      <c r="X85" s="7" t="str">
        <f>IF(VLOOKUP(X$2,行为概览!$D$3:$K$33,8,0)="","",VLOOKUP(X$2,行为概览!$D$3:$K$33,8,0)*玩法行为规划!W85)</f>
        <v/>
      </c>
      <c r="Y85" s="7">
        <f>IF(VLOOKUP(Y$2,行为概览!$D$3:$K$33,8,0)="","",VLOOKUP(Y$2,行为概览!$D$3:$K$33,8,0)*玩法行为规划!X85)</f>
        <v>0.25</v>
      </c>
      <c r="Z85" s="7" t="str">
        <f>IF(VLOOKUP(Z$2,行为概览!$D$3:$K$33,8,0)="","",VLOOKUP(Z$2,行为概览!$D$3:$K$33,8,0)*玩法行为规划!Y85)</f>
        <v/>
      </c>
      <c r="AA85" s="7">
        <f>IF(VLOOKUP(AA$2,行为概览!$D$3:$K$33,8,0)="","",VLOOKUP(AA$2,行为概览!$D$3:$K$33,8,0)*玩法行为规划!Z85)</f>
        <v>8.3349999999999994E-2</v>
      </c>
      <c r="AB85" s="7" t="str">
        <f>IF(VLOOKUP(AB$2,行为概览!$D$3:$K$33,8,0)="","",VLOOKUP(AB$2,行为概览!$D$3:$K$33,8,0)*玩法行为规划!AA85)</f>
        <v/>
      </c>
      <c r="AC85" s="7" t="str">
        <f>IF(VLOOKUP(AC$2,行为概览!$D$3:$K$33,8,0)="","",VLOOKUP(AC$2,行为概览!$D$3:$K$33,8,0)*玩法行为规划!AB85)</f>
        <v/>
      </c>
      <c r="AD85" s="7" t="str">
        <f>IF(VLOOKUP(AD$2,行为概览!$D$3:$K$33,8,0)="","",VLOOKUP(AD$2,行为概览!$D$3:$K$33,8,0)*玩法行为规划!AC85)</f>
        <v/>
      </c>
      <c r="AE85" s="7" t="str">
        <f>IF(VLOOKUP(AE$2,行为概览!$D$3:$K$33,8,0)="","",VLOOKUP(AE$2,行为概览!$D$3:$K$33,8,0)*玩法行为规划!AD85)</f>
        <v/>
      </c>
      <c r="AF85" s="7">
        <f t="shared" si="12"/>
        <v>24.133149999999997</v>
      </c>
      <c r="AG85" s="7">
        <f t="shared" si="13"/>
        <v>10015257</v>
      </c>
      <c r="AH85" s="7">
        <f t="shared" si="16"/>
        <v>387220</v>
      </c>
      <c r="AI85" s="10" t="str">
        <f t="shared" si="7"/>
        <v/>
      </c>
      <c r="AJ85" s="73">
        <f t="shared" si="17"/>
        <v>344470</v>
      </c>
      <c r="AK85" s="77">
        <f>ROUND(AG85*升级节奏!G85/AJ90,2)</f>
        <v>256.08999999999997</v>
      </c>
      <c r="AL85" s="77">
        <f>ROUND(AG85*升级节奏!G85/SUM($AJ$3:AJ90),2)</f>
        <v>8.58</v>
      </c>
      <c r="AM85" s="74">
        <f>ROUND(AG85*升级节奏!G85,0)</f>
        <v>99161894</v>
      </c>
      <c r="AN85" s="77">
        <f>ROUND(SUM($AM$3:AM85)/SUM($AJ$3:AJ90),2)</f>
        <v>124.33</v>
      </c>
      <c r="AO85" s="7">
        <f t="shared" si="14"/>
        <v>6917</v>
      </c>
      <c r="AP85" s="7">
        <f t="shared" si="15"/>
        <v>50</v>
      </c>
    </row>
    <row r="86" spans="1:42">
      <c r="A86" s="32">
        <v>84</v>
      </c>
      <c r="B86" s="87">
        <f>升级节奏!D86</f>
        <v>420000</v>
      </c>
      <c r="C86" s="7">
        <f>IF(VLOOKUP(C$2,行为概览!$D$3:$K$33,8,0)="","",VLOOKUP(C$2,行为概览!$D$3:$K$33,8,0)*玩法行为规划!B86)</f>
        <v>0.99990000000000001</v>
      </c>
      <c r="D86" s="7">
        <f>IF(VLOOKUP(D$2,行为概览!$D$3:$K$33,8,0)="","",VLOOKUP(D$2,行为概览!$D$3:$K$33,8,0)*玩法行为规划!C86)</f>
        <v>1.1000000000000001</v>
      </c>
      <c r="E86" s="7" t="str">
        <f>IF(VLOOKUP(E$2,行为概览!$D$3:$K$33,8,0)="","",VLOOKUP(E$2,行为概览!$D$3:$K$33,8,0)*玩法行为规划!D86)</f>
        <v/>
      </c>
      <c r="F86" s="7">
        <f>IF(VLOOKUP(F$2,行为概览!$D$3:$K$33,8,0)="","",VLOOKUP(F$2,行为概览!$D$3:$K$33,8,0)*玩法行为规划!E86)</f>
        <v>1.5</v>
      </c>
      <c r="G86" s="7">
        <f>IF(VLOOKUP(G$2,行为概览!$D$3:$K$33,8,0)="","",VLOOKUP(G$2,行为概览!$D$3:$K$33,8,0)*玩法行为规划!F86)</f>
        <v>0.66659999999999997</v>
      </c>
      <c r="H86" s="7" t="str">
        <f>IF(VLOOKUP(H$2,行为概览!$D$3:$K$33,8,0)="","",VLOOKUP(H$2,行为概览!$D$3:$K$33,8,0)*玩法行为规划!G86)</f>
        <v/>
      </c>
      <c r="I86" s="7" t="str">
        <f>IF(VLOOKUP(I$2,行为概览!$D$3:$K$33,8,0)="","",VLOOKUP(I$2,行为概览!$D$3:$K$33,8,0)*玩法行为规划!H86)</f>
        <v/>
      </c>
      <c r="J86" s="7" t="str">
        <f>IF(VLOOKUP(J$2,行为概览!$D$3:$K$33,8,0)="","",VLOOKUP(J$2,行为概览!$D$3:$K$33,8,0)*玩法行为规划!I86)</f>
        <v/>
      </c>
      <c r="K86" s="7">
        <f>IF(VLOOKUP(K$2,行为概览!$D$3:$K$33,8,0)="","",VLOOKUP(K$2,行为概览!$D$3:$K$33,8,0)*玩法行为规划!J86)</f>
        <v>1</v>
      </c>
      <c r="L86" s="7" t="str">
        <f>IF(VLOOKUP(L$2,行为概览!$D$3:$K$33,8,0)="","",VLOOKUP(L$2,行为概览!$D$3:$K$33,8,0)*玩法行为规划!K86)</f>
        <v/>
      </c>
      <c r="M86" s="7" t="str">
        <f>IF(VLOOKUP(M$2,行为概览!$D$3:$K$33,8,0)="","",VLOOKUP(M$2,行为概览!$D$3:$K$33,8,0)*玩法行为规划!L86)</f>
        <v/>
      </c>
      <c r="N86" s="7">
        <f>IF(VLOOKUP(N$2,行为概览!$D$3:$K$33,8,0)="","",VLOOKUP(N$2,行为概览!$D$3:$K$33,8,0)*玩法行为规划!M86)</f>
        <v>12</v>
      </c>
      <c r="O86" s="7" t="str">
        <f>IF(VLOOKUP(O$2,行为概览!$D$3:$K$33,8,0)="","",VLOOKUP(O$2,行为概览!$D$3:$K$33,8,0)*玩法行为规划!N86)</f>
        <v/>
      </c>
      <c r="P86" s="7" t="str">
        <f>IF(VLOOKUP(P$2,行为概览!$D$3:$K$33,8,0)="","",VLOOKUP(P$2,行为概览!$D$3:$K$33,8,0)*玩法行为规划!O86)</f>
        <v/>
      </c>
      <c r="Q86" s="7">
        <f>IF(VLOOKUP(Q$2,行为概览!$D$3:$K$33,8,0)="","",VLOOKUP(Q$2,行为概览!$D$3:$K$33,8,0)*玩法行为规划!P86)</f>
        <v>5.2</v>
      </c>
      <c r="R86" s="7" t="str">
        <f>IF(VLOOKUP(R$2,行为概览!$D$3:$K$33,8,0)="","",VLOOKUP(R$2,行为概览!$D$3:$K$33,8,0)*玩法行为规划!Q86)</f>
        <v/>
      </c>
      <c r="S86" s="7">
        <f>IF(VLOOKUP(S$2,行为概览!$D$3:$K$33,8,0)="","",VLOOKUP(S$2,行为概览!$D$3:$K$33,8,0)*玩法行为规划!R86)</f>
        <v>0.49995000000000001</v>
      </c>
      <c r="T86" s="7">
        <f>IF(VLOOKUP(T$2,行为概览!$D$3:$K$33,8,0)="","",VLOOKUP(T$2,行为概览!$D$3:$K$33,8,0)*玩法行为规划!S86)</f>
        <v>0</v>
      </c>
      <c r="U86" s="7">
        <f>IF(VLOOKUP(U$2,行为概览!$D$3:$K$33,8,0)="","",VLOOKUP(U$2,行为概览!$D$3:$K$33,8,0)*玩法行为规划!T86)</f>
        <v>0.49995000000000001</v>
      </c>
      <c r="V86" s="7">
        <f>IF(VLOOKUP(V$2,行为概览!$D$3:$K$33,8,0)="","",VLOOKUP(V$2,行为概览!$D$3:$K$33,8,0)*玩法行为规划!U86)</f>
        <v>0.33339999999999997</v>
      </c>
      <c r="W86" s="7" t="str">
        <f>IF(VLOOKUP(W$2,行为概览!$D$3:$K$33,8,0)="","",VLOOKUP(W$2,行为概览!$D$3:$K$33,8,0)*玩法行为规划!V86)</f>
        <v/>
      </c>
      <c r="X86" s="7" t="str">
        <f>IF(VLOOKUP(X$2,行为概览!$D$3:$K$33,8,0)="","",VLOOKUP(X$2,行为概览!$D$3:$K$33,8,0)*玩法行为规划!W86)</f>
        <v/>
      </c>
      <c r="Y86" s="7">
        <f>IF(VLOOKUP(Y$2,行为概览!$D$3:$K$33,8,0)="","",VLOOKUP(Y$2,行为概览!$D$3:$K$33,8,0)*玩法行为规划!X86)</f>
        <v>0.25</v>
      </c>
      <c r="Z86" s="7" t="str">
        <f>IF(VLOOKUP(Z$2,行为概览!$D$3:$K$33,8,0)="","",VLOOKUP(Z$2,行为概览!$D$3:$K$33,8,0)*玩法行为规划!Y86)</f>
        <v/>
      </c>
      <c r="AA86" s="7">
        <f>IF(VLOOKUP(AA$2,行为概览!$D$3:$K$33,8,0)="","",VLOOKUP(AA$2,行为概览!$D$3:$K$33,8,0)*玩法行为规划!Z86)</f>
        <v>8.3349999999999994E-2</v>
      </c>
      <c r="AB86" s="7" t="str">
        <f>IF(VLOOKUP(AB$2,行为概览!$D$3:$K$33,8,0)="","",VLOOKUP(AB$2,行为概览!$D$3:$K$33,8,0)*玩法行为规划!AA86)</f>
        <v/>
      </c>
      <c r="AC86" s="7" t="str">
        <f>IF(VLOOKUP(AC$2,行为概览!$D$3:$K$33,8,0)="","",VLOOKUP(AC$2,行为概览!$D$3:$K$33,8,0)*玩法行为规划!AB86)</f>
        <v/>
      </c>
      <c r="AD86" s="7" t="str">
        <f>IF(VLOOKUP(AD$2,行为概览!$D$3:$K$33,8,0)="","",VLOOKUP(AD$2,行为概览!$D$3:$K$33,8,0)*玩法行为规划!AC86)</f>
        <v/>
      </c>
      <c r="AE86" s="7" t="str">
        <f>IF(VLOOKUP(AE$2,行为概览!$D$3:$K$33,8,0)="","",VLOOKUP(AE$2,行为概览!$D$3:$K$33,8,0)*玩法行为规划!AD86)</f>
        <v/>
      </c>
      <c r="AF86" s="7">
        <f t="shared" si="12"/>
        <v>24.133149999999997</v>
      </c>
      <c r="AG86" s="7">
        <f t="shared" si="13"/>
        <v>10135923</v>
      </c>
      <c r="AH86" s="7">
        <f t="shared" si="16"/>
        <v>396070</v>
      </c>
      <c r="AI86" s="10" t="str">
        <f t="shared" si="7"/>
        <v/>
      </c>
      <c r="AJ86" s="73">
        <f t="shared" si="17"/>
        <v>352820</v>
      </c>
      <c r="AK86" s="77">
        <f>ROUND(AG86*升级节奏!G86/AJ91,2)</f>
        <v>259.44</v>
      </c>
      <c r="AL86" s="77">
        <f>ROUND(AG86*升级节奏!G86/SUM($AJ$3:AJ91),2)</f>
        <v>8.6</v>
      </c>
      <c r="AM86" s="74">
        <f>ROUND(AG86*升级节奏!G86,0)</f>
        <v>102754609</v>
      </c>
      <c r="AN86" s="77">
        <f>ROUND(SUM($AM$3:AM86)/SUM($AJ$3:AJ91),2)</f>
        <v>128.81</v>
      </c>
      <c r="AO86" s="7">
        <f t="shared" si="14"/>
        <v>7000</v>
      </c>
      <c r="AP86" s="7">
        <f t="shared" si="15"/>
        <v>50</v>
      </c>
    </row>
    <row r="87" spans="1:42">
      <c r="A87" s="32">
        <v>85</v>
      </c>
      <c r="B87" s="87">
        <f>升级节奏!D87</f>
        <v>425000</v>
      </c>
      <c r="C87" s="7">
        <f>IF(VLOOKUP(C$2,行为概览!$D$3:$K$33,8,0)="","",VLOOKUP(C$2,行为概览!$D$3:$K$33,8,0)*玩法行为规划!B87)</f>
        <v>0.99990000000000001</v>
      </c>
      <c r="D87" s="7">
        <f>IF(VLOOKUP(D$2,行为概览!$D$3:$K$33,8,0)="","",VLOOKUP(D$2,行为概览!$D$3:$K$33,8,0)*玩法行为规划!C87)</f>
        <v>1.1000000000000001</v>
      </c>
      <c r="E87" s="7" t="str">
        <f>IF(VLOOKUP(E$2,行为概览!$D$3:$K$33,8,0)="","",VLOOKUP(E$2,行为概览!$D$3:$K$33,8,0)*玩法行为规划!D87)</f>
        <v/>
      </c>
      <c r="F87" s="7">
        <f>IF(VLOOKUP(F$2,行为概览!$D$3:$K$33,8,0)="","",VLOOKUP(F$2,行为概览!$D$3:$K$33,8,0)*玩法行为规划!E87)</f>
        <v>1.5</v>
      </c>
      <c r="G87" s="7">
        <f>IF(VLOOKUP(G$2,行为概览!$D$3:$K$33,8,0)="","",VLOOKUP(G$2,行为概览!$D$3:$K$33,8,0)*玩法行为规划!F87)</f>
        <v>0.66659999999999997</v>
      </c>
      <c r="H87" s="7" t="str">
        <f>IF(VLOOKUP(H$2,行为概览!$D$3:$K$33,8,0)="","",VLOOKUP(H$2,行为概览!$D$3:$K$33,8,0)*玩法行为规划!G87)</f>
        <v/>
      </c>
      <c r="I87" s="7" t="str">
        <f>IF(VLOOKUP(I$2,行为概览!$D$3:$K$33,8,0)="","",VLOOKUP(I$2,行为概览!$D$3:$K$33,8,0)*玩法行为规划!H87)</f>
        <v/>
      </c>
      <c r="J87" s="7" t="str">
        <f>IF(VLOOKUP(J$2,行为概览!$D$3:$K$33,8,0)="","",VLOOKUP(J$2,行为概览!$D$3:$K$33,8,0)*玩法行为规划!I87)</f>
        <v/>
      </c>
      <c r="K87" s="7">
        <f>IF(VLOOKUP(K$2,行为概览!$D$3:$K$33,8,0)="","",VLOOKUP(K$2,行为概览!$D$3:$K$33,8,0)*玩法行为规划!J87)</f>
        <v>1</v>
      </c>
      <c r="L87" s="7" t="str">
        <f>IF(VLOOKUP(L$2,行为概览!$D$3:$K$33,8,0)="","",VLOOKUP(L$2,行为概览!$D$3:$K$33,8,0)*玩法行为规划!K87)</f>
        <v/>
      </c>
      <c r="M87" s="7" t="str">
        <f>IF(VLOOKUP(M$2,行为概览!$D$3:$K$33,8,0)="","",VLOOKUP(M$2,行为概览!$D$3:$K$33,8,0)*玩法行为规划!L87)</f>
        <v/>
      </c>
      <c r="N87" s="7">
        <f>IF(VLOOKUP(N$2,行为概览!$D$3:$K$33,8,0)="","",VLOOKUP(N$2,行为概览!$D$3:$K$33,8,0)*玩法行为规划!M87)</f>
        <v>12</v>
      </c>
      <c r="O87" s="7" t="str">
        <f>IF(VLOOKUP(O$2,行为概览!$D$3:$K$33,8,0)="","",VLOOKUP(O$2,行为概览!$D$3:$K$33,8,0)*玩法行为规划!N87)</f>
        <v/>
      </c>
      <c r="P87" s="7" t="str">
        <f>IF(VLOOKUP(P$2,行为概览!$D$3:$K$33,8,0)="","",VLOOKUP(P$2,行为概览!$D$3:$K$33,8,0)*玩法行为规划!O87)</f>
        <v/>
      </c>
      <c r="Q87" s="7">
        <f>IF(VLOOKUP(Q$2,行为概览!$D$3:$K$33,8,0)="","",VLOOKUP(Q$2,行为概览!$D$3:$K$33,8,0)*玩法行为规划!P87)</f>
        <v>5.2</v>
      </c>
      <c r="R87" s="7" t="str">
        <f>IF(VLOOKUP(R$2,行为概览!$D$3:$K$33,8,0)="","",VLOOKUP(R$2,行为概览!$D$3:$K$33,8,0)*玩法行为规划!Q87)</f>
        <v/>
      </c>
      <c r="S87" s="7">
        <f>IF(VLOOKUP(S$2,行为概览!$D$3:$K$33,8,0)="","",VLOOKUP(S$2,行为概览!$D$3:$K$33,8,0)*玩法行为规划!R87)</f>
        <v>0.49995000000000001</v>
      </c>
      <c r="T87" s="7">
        <f>IF(VLOOKUP(T$2,行为概览!$D$3:$K$33,8,0)="","",VLOOKUP(T$2,行为概览!$D$3:$K$33,8,0)*玩法行为规划!S87)</f>
        <v>0</v>
      </c>
      <c r="U87" s="7">
        <f>IF(VLOOKUP(U$2,行为概览!$D$3:$K$33,8,0)="","",VLOOKUP(U$2,行为概览!$D$3:$K$33,8,0)*玩法行为规划!T87)</f>
        <v>0.49995000000000001</v>
      </c>
      <c r="V87" s="7">
        <f>IF(VLOOKUP(V$2,行为概览!$D$3:$K$33,8,0)="","",VLOOKUP(V$2,行为概览!$D$3:$K$33,8,0)*玩法行为规划!U87)</f>
        <v>0.33339999999999997</v>
      </c>
      <c r="W87" s="7" t="str">
        <f>IF(VLOOKUP(W$2,行为概览!$D$3:$K$33,8,0)="","",VLOOKUP(W$2,行为概览!$D$3:$K$33,8,0)*玩法行为规划!V87)</f>
        <v/>
      </c>
      <c r="X87" s="7" t="str">
        <f>IF(VLOOKUP(X$2,行为概览!$D$3:$K$33,8,0)="","",VLOOKUP(X$2,行为概览!$D$3:$K$33,8,0)*玩法行为规划!W87)</f>
        <v/>
      </c>
      <c r="Y87" s="7">
        <f>IF(VLOOKUP(Y$2,行为概览!$D$3:$K$33,8,0)="","",VLOOKUP(Y$2,行为概览!$D$3:$K$33,8,0)*玩法行为规划!X87)</f>
        <v>0.25</v>
      </c>
      <c r="Z87" s="7" t="str">
        <f>IF(VLOOKUP(Z$2,行为概览!$D$3:$K$33,8,0)="","",VLOOKUP(Z$2,行为概览!$D$3:$K$33,8,0)*玩法行为规划!Y87)</f>
        <v/>
      </c>
      <c r="AA87" s="7">
        <f>IF(VLOOKUP(AA$2,行为概览!$D$3:$K$33,8,0)="","",VLOOKUP(AA$2,行为概览!$D$3:$K$33,8,0)*玩法行为规划!Z87)</f>
        <v>8.3349999999999994E-2</v>
      </c>
      <c r="AB87" s="7" t="str">
        <f>IF(VLOOKUP(AB$2,行为概览!$D$3:$K$33,8,0)="","",VLOOKUP(AB$2,行为概览!$D$3:$K$33,8,0)*玩法行为规划!AA87)</f>
        <v/>
      </c>
      <c r="AC87" s="7" t="str">
        <f>IF(VLOOKUP(AC$2,行为概览!$D$3:$K$33,8,0)="","",VLOOKUP(AC$2,行为概览!$D$3:$K$33,8,0)*玩法行为规划!AB87)</f>
        <v/>
      </c>
      <c r="AD87" s="7" t="str">
        <f>IF(VLOOKUP(AD$2,行为概览!$D$3:$K$33,8,0)="","",VLOOKUP(AD$2,行为概览!$D$3:$K$33,8,0)*玩法行为规划!AC87)</f>
        <v/>
      </c>
      <c r="AE87" s="7" t="str">
        <f>IF(VLOOKUP(AE$2,行为概览!$D$3:$K$33,8,0)="","",VLOOKUP(AE$2,行为概览!$D$3:$K$33,8,0)*玩法行为规划!AD87)</f>
        <v/>
      </c>
      <c r="AF87" s="7">
        <f t="shared" si="12"/>
        <v>24.133149999999997</v>
      </c>
      <c r="AG87" s="7">
        <f t="shared" si="13"/>
        <v>10256588</v>
      </c>
      <c r="AH87" s="7">
        <f t="shared" si="16"/>
        <v>405020</v>
      </c>
      <c r="AI87" s="10" t="str">
        <f t="shared" si="7"/>
        <v/>
      </c>
      <c r="AJ87" s="73">
        <f t="shared" si="17"/>
        <v>361270</v>
      </c>
      <c r="AK87" s="77">
        <f>ROUND(AG87*升级节奏!G87/AJ92,2)</f>
        <v>262.79000000000002</v>
      </c>
      <c r="AL87" s="77">
        <f>ROUND(AG87*升级节奏!G87/SUM($AJ$3:AJ92),2)</f>
        <v>8.61</v>
      </c>
      <c r="AM87" s="74">
        <f>ROUND(AG87*升级节奏!G87,0)</f>
        <v>106433468</v>
      </c>
      <c r="AN87" s="77">
        <f>ROUND(SUM($AM$3:AM87)/SUM($AJ$3:AJ92),2)</f>
        <v>133.19999999999999</v>
      </c>
      <c r="AO87" s="7">
        <f t="shared" si="14"/>
        <v>7083</v>
      </c>
      <c r="AP87" s="7">
        <f t="shared" si="15"/>
        <v>51</v>
      </c>
    </row>
    <row r="88" spans="1:42">
      <c r="A88" s="32">
        <v>86</v>
      </c>
      <c r="B88" s="87">
        <f>升级节奏!D88</f>
        <v>430000</v>
      </c>
      <c r="C88" s="7">
        <f>IF(VLOOKUP(C$2,行为概览!$D$3:$K$33,8,0)="","",VLOOKUP(C$2,行为概览!$D$3:$K$33,8,0)*玩法行为规划!B88)</f>
        <v>0.99990000000000001</v>
      </c>
      <c r="D88" s="7">
        <f>IF(VLOOKUP(D$2,行为概览!$D$3:$K$33,8,0)="","",VLOOKUP(D$2,行为概览!$D$3:$K$33,8,0)*玩法行为规划!C88)</f>
        <v>1.1000000000000001</v>
      </c>
      <c r="E88" s="7" t="str">
        <f>IF(VLOOKUP(E$2,行为概览!$D$3:$K$33,8,0)="","",VLOOKUP(E$2,行为概览!$D$3:$K$33,8,0)*玩法行为规划!D88)</f>
        <v/>
      </c>
      <c r="F88" s="7">
        <f>IF(VLOOKUP(F$2,行为概览!$D$3:$K$33,8,0)="","",VLOOKUP(F$2,行为概览!$D$3:$K$33,8,0)*玩法行为规划!E88)</f>
        <v>1.5</v>
      </c>
      <c r="G88" s="7">
        <f>IF(VLOOKUP(G$2,行为概览!$D$3:$K$33,8,0)="","",VLOOKUP(G$2,行为概览!$D$3:$K$33,8,0)*玩法行为规划!F88)</f>
        <v>0.66659999999999997</v>
      </c>
      <c r="H88" s="7" t="str">
        <f>IF(VLOOKUP(H$2,行为概览!$D$3:$K$33,8,0)="","",VLOOKUP(H$2,行为概览!$D$3:$K$33,8,0)*玩法行为规划!G88)</f>
        <v/>
      </c>
      <c r="I88" s="7" t="str">
        <f>IF(VLOOKUP(I$2,行为概览!$D$3:$K$33,8,0)="","",VLOOKUP(I$2,行为概览!$D$3:$K$33,8,0)*玩法行为规划!H88)</f>
        <v/>
      </c>
      <c r="J88" s="7" t="str">
        <f>IF(VLOOKUP(J$2,行为概览!$D$3:$K$33,8,0)="","",VLOOKUP(J$2,行为概览!$D$3:$K$33,8,0)*玩法行为规划!I88)</f>
        <v/>
      </c>
      <c r="K88" s="7">
        <f>IF(VLOOKUP(K$2,行为概览!$D$3:$K$33,8,0)="","",VLOOKUP(K$2,行为概览!$D$3:$K$33,8,0)*玩法行为规划!J88)</f>
        <v>1</v>
      </c>
      <c r="L88" s="7" t="str">
        <f>IF(VLOOKUP(L$2,行为概览!$D$3:$K$33,8,0)="","",VLOOKUP(L$2,行为概览!$D$3:$K$33,8,0)*玩法行为规划!K88)</f>
        <v/>
      </c>
      <c r="M88" s="7" t="str">
        <f>IF(VLOOKUP(M$2,行为概览!$D$3:$K$33,8,0)="","",VLOOKUP(M$2,行为概览!$D$3:$K$33,8,0)*玩法行为规划!L88)</f>
        <v/>
      </c>
      <c r="N88" s="7">
        <f>IF(VLOOKUP(N$2,行为概览!$D$3:$K$33,8,0)="","",VLOOKUP(N$2,行为概览!$D$3:$K$33,8,0)*玩法行为规划!M88)</f>
        <v>12</v>
      </c>
      <c r="O88" s="7" t="str">
        <f>IF(VLOOKUP(O$2,行为概览!$D$3:$K$33,8,0)="","",VLOOKUP(O$2,行为概览!$D$3:$K$33,8,0)*玩法行为规划!N88)</f>
        <v/>
      </c>
      <c r="P88" s="7" t="str">
        <f>IF(VLOOKUP(P$2,行为概览!$D$3:$K$33,8,0)="","",VLOOKUP(P$2,行为概览!$D$3:$K$33,8,0)*玩法行为规划!O88)</f>
        <v/>
      </c>
      <c r="Q88" s="7">
        <f>IF(VLOOKUP(Q$2,行为概览!$D$3:$K$33,8,0)="","",VLOOKUP(Q$2,行为概览!$D$3:$K$33,8,0)*玩法行为规划!P88)</f>
        <v>5.2</v>
      </c>
      <c r="R88" s="7" t="str">
        <f>IF(VLOOKUP(R$2,行为概览!$D$3:$K$33,8,0)="","",VLOOKUP(R$2,行为概览!$D$3:$K$33,8,0)*玩法行为规划!Q88)</f>
        <v/>
      </c>
      <c r="S88" s="7">
        <f>IF(VLOOKUP(S$2,行为概览!$D$3:$K$33,8,0)="","",VLOOKUP(S$2,行为概览!$D$3:$K$33,8,0)*玩法行为规划!R88)</f>
        <v>0.49995000000000001</v>
      </c>
      <c r="T88" s="7">
        <f>IF(VLOOKUP(T$2,行为概览!$D$3:$K$33,8,0)="","",VLOOKUP(T$2,行为概览!$D$3:$K$33,8,0)*玩法行为规划!S88)</f>
        <v>0</v>
      </c>
      <c r="U88" s="7">
        <f>IF(VLOOKUP(U$2,行为概览!$D$3:$K$33,8,0)="","",VLOOKUP(U$2,行为概览!$D$3:$K$33,8,0)*玩法行为规划!T88)</f>
        <v>0.49995000000000001</v>
      </c>
      <c r="V88" s="7">
        <f>IF(VLOOKUP(V$2,行为概览!$D$3:$K$33,8,0)="","",VLOOKUP(V$2,行为概览!$D$3:$K$33,8,0)*玩法行为规划!U88)</f>
        <v>0.33339999999999997</v>
      </c>
      <c r="W88" s="7" t="str">
        <f>IF(VLOOKUP(W$2,行为概览!$D$3:$K$33,8,0)="","",VLOOKUP(W$2,行为概览!$D$3:$K$33,8,0)*玩法行为规划!V88)</f>
        <v/>
      </c>
      <c r="X88" s="7" t="str">
        <f>IF(VLOOKUP(X$2,行为概览!$D$3:$K$33,8,0)="","",VLOOKUP(X$2,行为概览!$D$3:$K$33,8,0)*玩法行为规划!W88)</f>
        <v/>
      </c>
      <c r="Y88" s="7">
        <f>IF(VLOOKUP(Y$2,行为概览!$D$3:$K$33,8,0)="","",VLOOKUP(Y$2,行为概览!$D$3:$K$33,8,0)*玩法行为规划!X88)</f>
        <v>0.25</v>
      </c>
      <c r="Z88" s="7" t="str">
        <f>IF(VLOOKUP(Z$2,行为概览!$D$3:$K$33,8,0)="","",VLOOKUP(Z$2,行为概览!$D$3:$K$33,8,0)*玩法行为规划!Y88)</f>
        <v/>
      </c>
      <c r="AA88" s="7">
        <f>IF(VLOOKUP(AA$2,行为概览!$D$3:$K$33,8,0)="","",VLOOKUP(AA$2,行为概览!$D$3:$K$33,8,0)*玩法行为规划!Z88)</f>
        <v>8.3349999999999994E-2</v>
      </c>
      <c r="AB88" s="7" t="str">
        <f>IF(VLOOKUP(AB$2,行为概览!$D$3:$K$33,8,0)="","",VLOOKUP(AB$2,行为概览!$D$3:$K$33,8,0)*玩法行为规划!AA88)</f>
        <v/>
      </c>
      <c r="AC88" s="7" t="str">
        <f>IF(VLOOKUP(AC$2,行为概览!$D$3:$K$33,8,0)="","",VLOOKUP(AC$2,行为概览!$D$3:$K$33,8,0)*玩法行为规划!AB88)</f>
        <v/>
      </c>
      <c r="AD88" s="7" t="str">
        <f>IF(VLOOKUP(AD$2,行为概览!$D$3:$K$33,8,0)="","",VLOOKUP(AD$2,行为概览!$D$3:$K$33,8,0)*玩法行为规划!AC88)</f>
        <v/>
      </c>
      <c r="AE88" s="7" t="str">
        <f>IF(VLOOKUP(AE$2,行为概览!$D$3:$K$33,8,0)="","",VLOOKUP(AE$2,行为概览!$D$3:$K$33,8,0)*玩法行为规划!AD88)</f>
        <v/>
      </c>
      <c r="AF88" s="7">
        <f t="shared" si="12"/>
        <v>24.133149999999997</v>
      </c>
      <c r="AG88" s="7">
        <f t="shared" si="13"/>
        <v>10377254</v>
      </c>
      <c r="AH88" s="7">
        <f t="shared" si="16"/>
        <v>414070</v>
      </c>
      <c r="AI88" s="10" t="str">
        <f t="shared" si="7"/>
        <v/>
      </c>
      <c r="AJ88" s="73">
        <f t="shared" si="17"/>
        <v>369820</v>
      </c>
      <c r="AK88" s="77">
        <f>ROUND(AG88*升级节奏!G88/AJ93,2)</f>
        <v>266.14</v>
      </c>
      <c r="AL88" s="77">
        <f>ROUND(AG88*升级节奏!G88/SUM($AJ$3:AJ93),2)</f>
        <v>8.6300000000000008</v>
      </c>
      <c r="AM88" s="74">
        <f>ROUND(AG88*升级节奏!G88,0)</f>
        <v>110199519</v>
      </c>
      <c r="AN88" s="77">
        <f>ROUND(SUM($AM$3:AM88)/SUM($AJ$3:AJ93),2)</f>
        <v>137.51</v>
      </c>
      <c r="AO88" s="7">
        <f t="shared" si="14"/>
        <v>7167</v>
      </c>
      <c r="AP88" s="7">
        <f t="shared" si="15"/>
        <v>52</v>
      </c>
    </row>
    <row r="89" spans="1:42">
      <c r="A89" s="32">
        <v>87</v>
      </c>
      <c r="B89" s="87">
        <f>升级节奏!D89</f>
        <v>435000</v>
      </c>
      <c r="C89" s="7">
        <f>IF(VLOOKUP(C$2,行为概览!$D$3:$K$33,8,0)="","",VLOOKUP(C$2,行为概览!$D$3:$K$33,8,0)*玩法行为规划!B89)</f>
        <v>0.99990000000000001</v>
      </c>
      <c r="D89" s="7">
        <f>IF(VLOOKUP(D$2,行为概览!$D$3:$K$33,8,0)="","",VLOOKUP(D$2,行为概览!$D$3:$K$33,8,0)*玩法行为规划!C89)</f>
        <v>1.1000000000000001</v>
      </c>
      <c r="E89" s="7" t="str">
        <f>IF(VLOOKUP(E$2,行为概览!$D$3:$K$33,8,0)="","",VLOOKUP(E$2,行为概览!$D$3:$K$33,8,0)*玩法行为规划!D89)</f>
        <v/>
      </c>
      <c r="F89" s="7">
        <f>IF(VLOOKUP(F$2,行为概览!$D$3:$K$33,8,0)="","",VLOOKUP(F$2,行为概览!$D$3:$K$33,8,0)*玩法行为规划!E89)</f>
        <v>1.5</v>
      </c>
      <c r="G89" s="7">
        <f>IF(VLOOKUP(G$2,行为概览!$D$3:$K$33,8,0)="","",VLOOKUP(G$2,行为概览!$D$3:$K$33,8,0)*玩法行为规划!F89)</f>
        <v>0.66659999999999997</v>
      </c>
      <c r="H89" s="7" t="str">
        <f>IF(VLOOKUP(H$2,行为概览!$D$3:$K$33,8,0)="","",VLOOKUP(H$2,行为概览!$D$3:$K$33,8,0)*玩法行为规划!G89)</f>
        <v/>
      </c>
      <c r="I89" s="7" t="str">
        <f>IF(VLOOKUP(I$2,行为概览!$D$3:$K$33,8,0)="","",VLOOKUP(I$2,行为概览!$D$3:$K$33,8,0)*玩法行为规划!H89)</f>
        <v/>
      </c>
      <c r="J89" s="7" t="str">
        <f>IF(VLOOKUP(J$2,行为概览!$D$3:$K$33,8,0)="","",VLOOKUP(J$2,行为概览!$D$3:$K$33,8,0)*玩法行为规划!I89)</f>
        <v/>
      </c>
      <c r="K89" s="7">
        <f>IF(VLOOKUP(K$2,行为概览!$D$3:$K$33,8,0)="","",VLOOKUP(K$2,行为概览!$D$3:$K$33,8,0)*玩法行为规划!J89)</f>
        <v>1</v>
      </c>
      <c r="L89" s="7" t="str">
        <f>IF(VLOOKUP(L$2,行为概览!$D$3:$K$33,8,0)="","",VLOOKUP(L$2,行为概览!$D$3:$K$33,8,0)*玩法行为规划!K89)</f>
        <v/>
      </c>
      <c r="M89" s="7" t="str">
        <f>IF(VLOOKUP(M$2,行为概览!$D$3:$K$33,8,0)="","",VLOOKUP(M$2,行为概览!$D$3:$K$33,8,0)*玩法行为规划!L89)</f>
        <v/>
      </c>
      <c r="N89" s="7">
        <f>IF(VLOOKUP(N$2,行为概览!$D$3:$K$33,8,0)="","",VLOOKUP(N$2,行为概览!$D$3:$K$33,8,0)*玩法行为规划!M89)</f>
        <v>12</v>
      </c>
      <c r="O89" s="7" t="str">
        <f>IF(VLOOKUP(O$2,行为概览!$D$3:$K$33,8,0)="","",VLOOKUP(O$2,行为概览!$D$3:$K$33,8,0)*玩法行为规划!N89)</f>
        <v/>
      </c>
      <c r="P89" s="7" t="str">
        <f>IF(VLOOKUP(P$2,行为概览!$D$3:$K$33,8,0)="","",VLOOKUP(P$2,行为概览!$D$3:$K$33,8,0)*玩法行为规划!O89)</f>
        <v/>
      </c>
      <c r="Q89" s="7">
        <f>IF(VLOOKUP(Q$2,行为概览!$D$3:$K$33,8,0)="","",VLOOKUP(Q$2,行为概览!$D$3:$K$33,8,0)*玩法行为规划!P89)</f>
        <v>5.2</v>
      </c>
      <c r="R89" s="7" t="str">
        <f>IF(VLOOKUP(R$2,行为概览!$D$3:$K$33,8,0)="","",VLOOKUP(R$2,行为概览!$D$3:$K$33,8,0)*玩法行为规划!Q89)</f>
        <v/>
      </c>
      <c r="S89" s="7">
        <f>IF(VLOOKUP(S$2,行为概览!$D$3:$K$33,8,0)="","",VLOOKUP(S$2,行为概览!$D$3:$K$33,8,0)*玩法行为规划!R89)</f>
        <v>0.49995000000000001</v>
      </c>
      <c r="T89" s="7">
        <f>IF(VLOOKUP(T$2,行为概览!$D$3:$K$33,8,0)="","",VLOOKUP(T$2,行为概览!$D$3:$K$33,8,0)*玩法行为规划!S89)</f>
        <v>0</v>
      </c>
      <c r="U89" s="7">
        <f>IF(VLOOKUP(U$2,行为概览!$D$3:$K$33,8,0)="","",VLOOKUP(U$2,行为概览!$D$3:$K$33,8,0)*玩法行为规划!T89)</f>
        <v>0.49995000000000001</v>
      </c>
      <c r="V89" s="7">
        <f>IF(VLOOKUP(V$2,行为概览!$D$3:$K$33,8,0)="","",VLOOKUP(V$2,行为概览!$D$3:$K$33,8,0)*玩法行为规划!U89)</f>
        <v>0.33339999999999997</v>
      </c>
      <c r="W89" s="7" t="str">
        <f>IF(VLOOKUP(W$2,行为概览!$D$3:$K$33,8,0)="","",VLOOKUP(W$2,行为概览!$D$3:$K$33,8,0)*玩法行为规划!V89)</f>
        <v/>
      </c>
      <c r="X89" s="7" t="str">
        <f>IF(VLOOKUP(X$2,行为概览!$D$3:$K$33,8,0)="","",VLOOKUP(X$2,行为概览!$D$3:$K$33,8,0)*玩法行为规划!W89)</f>
        <v/>
      </c>
      <c r="Y89" s="7">
        <f>IF(VLOOKUP(Y$2,行为概览!$D$3:$K$33,8,0)="","",VLOOKUP(Y$2,行为概览!$D$3:$K$33,8,0)*玩法行为规划!X89)</f>
        <v>0.25</v>
      </c>
      <c r="Z89" s="7" t="str">
        <f>IF(VLOOKUP(Z$2,行为概览!$D$3:$K$33,8,0)="","",VLOOKUP(Z$2,行为概览!$D$3:$K$33,8,0)*玩法行为规划!Y89)</f>
        <v/>
      </c>
      <c r="AA89" s="7">
        <f>IF(VLOOKUP(AA$2,行为概览!$D$3:$K$33,8,0)="","",VLOOKUP(AA$2,行为概览!$D$3:$K$33,8,0)*玩法行为规划!Z89)</f>
        <v>8.3349999999999994E-2</v>
      </c>
      <c r="AB89" s="7" t="str">
        <f>IF(VLOOKUP(AB$2,行为概览!$D$3:$K$33,8,0)="","",VLOOKUP(AB$2,行为概览!$D$3:$K$33,8,0)*玩法行为规划!AA89)</f>
        <v/>
      </c>
      <c r="AC89" s="7" t="str">
        <f>IF(VLOOKUP(AC$2,行为概览!$D$3:$K$33,8,0)="","",VLOOKUP(AC$2,行为概览!$D$3:$K$33,8,0)*玩法行为规划!AB89)</f>
        <v/>
      </c>
      <c r="AD89" s="7" t="str">
        <f>IF(VLOOKUP(AD$2,行为概览!$D$3:$K$33,8,0)="","",VLOOKUP(AD$2,行为概览!$D$3:$K$33,8,0)*玩法行为规划!AC89)</f>
        <v/>
      </c>
      <c r="AE89" s="7" t="str">
        <f>IF(VLOOKUP(AE$2,行为概览!$D$3:$K$33,8,0)="","",VLOOKUP(AE$2,行为概览!$D$3:$K$33,8,0)*玩法行为规划!AD89)</f>
        <v/>
      </c>
      <c r="AF89" s="7">
        <f t="shared" si="12"/>
        <v>24.133149999999997</v>
      </c>
      <c r="AG89" s="7">
        <f t="shared" si="13"/>
        <v>10497920</v>
      </c>
      <c r="AH89" s="7">
        <f t="shared" si="16"/>
        <v>423220</v>
      </c>
      <c r="AI89" s="10" t="str">
        <f t="shared" si="7"/>
        <v/>
      </c>
      <c r="AJ89" s="73">
        <f t="shared" si="17"/>
        <v>378470</v>
      </c>
      <c r="AK89" s="77">
        <f>ROUND(AG89*升级节奏!G89/AJ94,2)</f>
        <v>269.49</v>
      </c>
      <c r="AL89" s="77">
        <f>ROUND(AG89*升级节奏!G89/SUM($AJ$3:AJ94),2)</f>
        <v>8.65</v>
      </c>
      <c r="AM89" s="74">
        <f>ROUND(AG89*升级节奏!G89,0)</f>
        <v>114053777</v>
      </c>
      <c r="AN89" s="77">
        <f>ROUND(SUM($AM$3:AM89)/SUM($AJ$3:AJ94),2)</f>
        <v>141.74</v>
      </c>
      <c r="AO89" s="7">
        <f t="shared" si="14"/>
        <v>7250</v>
      </c>
      <c r="AP89" s="7">
        <f t="shared" si="15"/>
        <v>52</v>
      </c>
    </row>
    <row r="90" spans="1:42">
      <c r="A90" s="32">
        <v>88</v>
      </c>
      <c r="B90" s="87">
        <f>升级节奏!D90</f>
        <v>440000</v>
      </c>
      <c r="C90" s="7">
        <f>IF(VLOOKUP(C$2,行为概览!$D$3:$K$33,8,0)="","",VLOOKUP(C$2,行为概览!$D$3:$K$33,8,0)*玩法行为规划!B90)</f>
        <v>0.99990000000000001</v>
      </c>
      <c r="D90" s="7">
        <f>IF(VLOOKUP(D$2,行为概览!$D$3:$K$33,8,0)="","",VLOOKUP(D$2,行为概览!$D$3:$K$33,8,0)*玩法行为规划!C90)</f>
        <v>1.1000000000000001</v>
      </c>
      <c r="E90" s="7" t="str">
        <f>IF(VLOOKUP(E$2,行为概览!$D$3:$K$33,8,0)="","",VLOOKUP(E$2,行为概览!$D$3:$K$33,8,0)*玩法行为规划!D90)</f>
        <v/>
      </c>
      <c r="F90" s="7">
        <f>IF(VLOOKUP(F$2,行为概览!$D$3:$K$33,8,0)="","",VLOOKUP(F$2,行为概览!$D$3:$K$33,8,0)*玩法行为规划!E90)</f>
        <v>1.5</v>
      </c>
      <c r="G90" s="7">
        <f>IF(VLOOKUP(G$2,行为概览!$D$3:$K$33,8,0)="","",VLOOKUP(G$2,行为概览!$D$3:$K$33,8,0)*玩法行为规划!F90)</f>
        <v>0.66659999999999997</v>
      </c>
      <c r="H90" s="7" t="str">
        <f>IF(VLOOKUP(H$2,行为概览!$D$3:$K$33,8,0)="","",VLOOKUP(H$2,行为概览!$D$3:$K$33,8,0)*玩法行为规划!G90)</f>
        <v/>
      </c>
      <c r="I90" s="7" t="str">
        <f>IF(VLOOKUP(I$2,行为概览!$D$3:$K$33,8,0)="","",VLOOKUP(I$2,行为概览!$D$3:$K$33,8,0)*玩法行为规划!H90)</f>
        <v/>
      </c>
      <c r="J90" s="7" t="str">
        <f>IF(VLOOKUP(J$2,行为概览!$D$3:$K$33,8,0)="","",VLOOKUP(J$2,行为概览!$D$3:$K$33,8,0)*玩法行为规划!I90)</f>
        <v/>
      </c>
      <c r="K90" s="7">
        <f>IF(VLOOKUP(K$2,行为概览!$D$3:$K$33,8,0)="","",VLOOKUP(K$2,行为概览!$D$3:$K$33,8,0)*玩法行为规划!J90)</f>
        <v>1</v>
      </c>
      <c r="L90" s="7" t="str">
        <f>IF(VLOOKUP(L$2,行为概览!$D$3:$K$33,8,0)="","",VLOOKUP(L$2,行为概览!$D$3:$K$33,8,0)*玩法行为规划!K90)</f>
        <v/>
      </c>
      <c r="M90" s="7" t="str">
        <f>IF(VLOOKUP(M$2,行为概览!$D$3:$K$33,8,0)="","",VLOOKUP(M$2,行为概览!$D$3:$K$33,8,0)*玩法行为规划!L90)</f>
        <v/>
      </c>
      <c r="N90" s="7">
        <f>IF(VLOOKUP(N$2,行为概览!$D$3:$K$33,8,0)="","",VLOOKUP(N$2,行为概览!$D$3:$K$33,8,0)*玩法行为规划!M90)</f>
        <v>12</v>
      </c>
      <c r="O90" s="7" t="str">
        <f>IF(VLOOKUP(O$2,行为概览!$D$3:$K$33,8,0)="","",VLOOKUP(O$2,行为概览!$D$3:$K$33,8,0)*玩法行为规划!N90)</f>
        <v/>
      </c>
      <c r="P90" s="7" t="str">
        <f>IF(VLOOKUP(P$2,行为概览!$D$3:$K$33,8,0)="","",VLOOKUP(P$2,行为概览!$D$3:$K$33,8,0)*玩法行为规划!O90)</f>
        <v/>
      </c>
      <c r="Q90" s="7">
        <f>IF(VLOOKUP(Q$2,行为概览!$D$3:$K$33,8,0)="","",VLOOKUP(Q$2,行为概览!$D$3:$K$33,8,0)*玩法行为规划!P90)</f>
        <v>5.2</v>
      </c>
      <c r="R90" s="7" t="str">
        <f>IF(VLOOKUP(R$2,行为概览!$D$3:$K$33,8,0)="","",VLOOKUP(R$2,行为概览!$D$3:$K$33,8,0)*玩法行为规划!Q90)</f>
        <v/>
      </c>
      <c r="S90" s="7">
        <f>IF(VLOOKUP(S$2,行为概览!$D$3:$K$33,8,0)="","",VLOOKUP(S$2,行为概览!$D$3:$K$33,8,0)*玩法行为规划!R90)</f>
        <v>0.49995000000000001</v>
      </c>
      <c r="T90" s="7">
        <f>IF(VLOOKUP(T$2,行为概览!$D$3:$K$33,8,0)="","",VLOOKUP(T$2,行为概览!$D$3:$K$33,8,0)*玩法行为规划!S90)</f>
        <v>0</v>
      </c>
      <c r="U90" s="7">
        <f>IF(VLOOKUP(U$2,行为概览!$D$3:$K$33,8,0)="","",VLOOKUP(U$2,行为概览!$D$3:$K$33,8,0)*玩法行为规划!T90)</f>
        <v>0.49995000000000001</v>
      </c>
      <c r="V90" s="7">
        <f>IF(VLOOKUP(V$2,行为概览!$D$3:$K$33,8,0)="","",VLOOKUP(V$2,行为概览!$D$3:$K$33,8,0)*玩法行为规划!U90)</f>
        <v>0.33339999999999997</v>
      </c>
      <c r="W90" s="7" t="str">
        <f>IF(VLOOKUP(W$2,行为概览!$D$3:$K$33,8,0)="","",VLOOKUP(W$2,行为概览!$D$3:$K$33,8,0)*玩法行为规划!V90)</f>
        <v/>
      </c>
      <c r="X90" s="7" t="str">
        <f>IF(VLOOKUP(X$2,行为概览!$D$3:$K$33,8,0)="","",VLOOKUP(X$2,行为概览!$D$3:$K$33,8,0)*玩法行为规划!W90)</f>
        <v/>
      </c>
      <c r="Y90" s="7">
        <f>IF(VLOOKUP(Y$2,行为概览!$D$3:$K$33,8,0)="","",VLOOKUP(Y$2,行为概览!$D$3:$K$33,8,0)*玩法行为规划!X90)</f>
        <v>0.25</v>
      </c>
      <c r="Z90" s="7" t="str">
        <f>IF(VLOOKUP(Z$2,行为概览!$D$3:$K$33,8,0)="","",VLOOKUP(Z$2,行为概览!$D$3:$K$33,8,0)*玩法行为规划!Y90)</f>
        <v/>
      </c>
      <c r="AA90" s="7">
        <f>IF(VLOOKUP(AA$2,行为概览!$D$3:$K$33,8,0)="","",VLOOKUP(AA$2,行为概览!$D$3:$K$33,8,0)*玩法行为规划!Z90)</f>
        <v>8.3349999999999994E-2</v>
      </c>
      <c r="AB90" s="7" t="str">
        <f>IF(VLOOKUP(AB$2,行为概览!$D$3:$K$33,8,0)="","",VLOOKUP(AB$2,行为概览!$D$3:$K$33,8,0)*玩法行为规划!AA90)</f>
        <v/>
      </c>
      <c r="AC90" s="7" t="str">
        <f>IF(VLOOKUP(AC$2,行为概览!$D$3:$K$33,8,0)="","",VLOOKUP(AC$2,行为概览!$D$3:$K$33,8,0)*玩法行为规划!AB90)</f>
        <v/>
      </c>
      <c r="AD90" s="7" t="str">
        <f>IF(VLOOKUP(AD$2,行为概览!$D$3:$K$33,8,0)="","",VLOOKUP(AD$2,行为概览!$D$3:$K$33,8,0)*玩法行为规划!AC90)</f>
        <v/>
      </c>
      <c r="AE90" s="7" t="str">
        <f>IF(VLOOKUP(AE$2,行为概览!$D$3:$K$33,8,0)="","",VLOOKUP(AE$2,行为概览!$D$3:$K$33,8,0)*玩法行为规划!AD90)</f>
        <v/>
      </c>
      <c r="AF90" s="7">
        <f t="shared" si="12"/>
        <v>24.133149999999997</v>
      </c>
      <c r="AG90" s="7">
        <f t="shared" si="13"/>
        <v>10618586</v>
      </c>
      <c r="AH90" s="7">
        <f t="shared" si="16"/>
        <v>432470</v>
      </c>
      <c r="AI90" s="10" t="str">
        <f t="shared" si="7"/>
        <v/>
      </c>
      <c r="AJ90" s="73">
        <f t="shared" si="17"/>
        <v>387220</v>
      </c>
      <c r="AK90" s="77">
        <f>ROUND(AG90*升级节奏!G90/AJ95,2)</f>
        <v>272.83999999999997</v>
      </c>
      <c r="AL90" s="77">
        <f>ROUND(AG90*升级节奏!G90/SUM($AJ$3:AJ95),2)</f>
        <v>8.66</v>
      </c>
      <c r="AM90" s="74">
        <f>ROUND(AG90*升级节奏!G90,0)</f>
        <v>117997267</v>
      </c>
      <c r="AN90" s="77">
        <f>ROUND(SUM($AM$3:AM90)/SUM($AJ$3:AJ95),2)</f>
        <v>145.91</v>
      </c>
      <c r="AO90" s="7">
        <f t="shared" si="14"/>
        <v>7333</v>
      </c>
      <c r="AP90" s="7">
        <f t="shared" si="15"/>
        <v>53</v>
      </c>
    </row>
    <row r="91" spans="1:42">
      <c r="A91" s="32">
        <v>89</v>
      </c>
      <c r="B91" s="87">
        <f>升级节奏!D91</f>
        <v>445000</v>
      </c>
      <c r="C91" s="7">
        <f>IF(VLOOKUP(C$2,行为概览!$D$3:$K$33,8,0)="","",VLOOKUP(C$2,行为概览!$D$3:$K$33,8,0)*玩法行为规划!B91)</f>
        <v>0.99990000000000001</v>
      </c>
      <c r="D91" s="7">
        <f>IF(VLOOKUP(D$2,行为概览!$D$3:$K$33,8,0)="","",VLOOKUP(D$2,行为概览!$D$3:$K$33,8,0)*玩法行为规划!C91)</f>
        <v>1.1000000000000001</v>
      </c>
      <c r="E91" s="7" t="str">
        <f>IF(VLOOKUP(E$2,行为概览!$D$3:$K$33,8,0)="","",VLOOKUP(E$2,行为概览!$D$3:$K$33,8,0)*玩法行为规划!D91)</f>
        <v/>
      </c>
      <c r="F91" s="7">
        <f>IF(VLOOKUP(F$2,行为概览!$D$3:$K$33,8,0)="","",VLOOKUP(F$2,行为概览!$D$3:$K$33,8,0)*玩法行为规划!E91)</f>
        <v>1.5</v>
      </c>
      <c r="G91" s="7">
        <f>IF(VLOOKUP(G$2,行为概览!$D$3:$K$33,8,0)="","",VLOOKUP(G$2,行为概览!$D$3:$K$33,8,0)*玩法行为规划!F91)</f>
        <v>0.66659999999999997</v>
      </c>
      <c r="H91" s="7" t="str">
        <f>IF(VLOOKUP(H$2,行为概览!$D$3:$K$33,8,0)="","",VLOOKUP(H$2,行为概览!$D$3:$K$33,8,0)*玩法行为规划!G91)</f>
        <v/>
      </c>
      <c r="I91" s="7" t="str">
        <f>IF(VLOOKUP(I$2,行为概览!$D$3:$K$33,8,0)="","",VLOOKUP(I$2,行为概览!$D$3:$K$33,8,0)*玩法行为规划!H91)</f>
        <v/>
      </c>
      <c r="J91" s="7" t="str">
        <f>IF(VLOOKUP(J$2,行为概览!$D$3:$K$33,8,0)="","",VLOOKUP(J$2,行为概览!$D$3:$K$33,8,0)*玩法行为规划!I91)</f>
        <v/>
      </c>
      <c r="K91" s="7">
        <f>IF(VLOOKUP(K$2,行为概览!$D$3:$K$33,8,0)="","",VLOOKUP(K$2,行为概览!$D$3:$K$33,8,0)*玩法行为规划!J91)</f>
        <v>1</v>
      </c>
      <c r="L91" s="7" t="str">
        <f>IF(VLOOKUP(L$2,行为概览!$D$3:$K$33,8,0)="","",VLOOKUP(L$2,行为概览!$D$3:$K$33,8,0)*玩法行为规划!K91)</f>
        <v/>
      </c>
      <c r="M91" s="7" t="str">
        <f>IF(VLOOKUP(M$2,行为概览!$D$3:$K$33,8,0)="","",VLOOKUP(M$2,行为概览!$D$3:$K$33,8,0)*玩法行为规划!L91)</f>
        <v/>
      </c>
      <c r="N91" s="7">
        <f>IF(VLOOKUP(N$2,行为概览!$D$3:$K$33,8,0)="","",VLOOKUP(N$2,行为概览!$D$3:$K$33,8,0)*玩法行为规划!M91)</f>
        <v>12</v>
      </c>
      <c r="O91" s="7" t="str">
        <f>IF(VLOOKUP(O$2,行为概览!$D$3:$K$33,8,0)="","",VLOOKUP(O$2,行为概览!$D$3:$K$33,8,0)*玩法行为规划!N91)</f>
        <v/>
      </c>
      <c r="P91" s="7" t="str">
        <f>IF(VLOOKUP(P$2,行为概览!$D$3:$K$33,8,0)="","",VLOOKUP(P$2,行为概览!$D$3:$K$33,8,0)*玩法行为规划!O91)</f>
        <v/>
      </c>
      <c r="Q91" s="7">
        <f>IF(VLOOKUP(Q$2,行为概览!$D$3:$K$33,8,0)="","",VLOOKUP(Q$2,行为概览!$D$3:$K$33,8,0)*玩法行为规划!P91)</f>
        <v>5.2</v>
      </c>
      <c r="R91" s="7" t="str">
        <f>IF(VLOOKUP(R$2,行为概览!$D$3:$K$33,8,0)="","",VLOOKUP(R$2,行为概览!$D$3:$K$33,8,0)*玩法行为规划!Q91)</f>
        <v/>
      </c>
      <c r="S91" s="7">
        <f>IF(VLOOKUP(S$2,行为概览!$D$3:$K$33,8,0)="","",VLOOKUP(S$2,行为概览!$D$3:$K$33,8,0)*玩法行为规划!R91)</f>
        <v>0.49995000000000001</v>
      </c>
      <c r="T91" s="7">
        <f>IF(VLOOKUP(T$2,行为概览!$D$3:$K$33,8,0)="","",VLOOKUP(T$2,行为概览!$D$3:$K$33,8,0)*玩法行为规划!S91)</f>
        <v>0</v>
      </c>
      <c r="U91" s="7">
        <f>IF(VLOOKUP(U$2,行为概览!$D$3:$K$33,8,0)="","",VLOOKUP(U$2,行为概览!$D$3:$K$33,8,0)*玩法行为规划!T91)</f>
        <v>0.49995000000000001</v>
      </c>
      <c r="V91" s="7">
        <f>IF(VLOOKUP(V$2,行为概览!$D$3:$K$33,8,0)="","",VLOOKUP(V$2,行为概览!$D$3:$K$33,8,0)*玩法行为规划!U91)</f>
        <v>0.33339999999999997</v>
      </c>
      <c r="W91" s="7" t="str">
        <f>IF(VLOOKUP(W$2,行为概览!$D$3:$K$33,8,0)="","",VLOOKUP(W$2,行为概览!$D$3:$K$33,8,0)*玩法行为规划!V91)</f>
        <v/>
      </c>
      <c r="X91" s="7" t="str">
        <f>IF(VLOOKUP(X$2,行为概览!$D$3:$K$33,8,0)="","",VLOOKUP(X$2,行为概览!$D$3:$K$33,8,0)*玩法行为规划!W91)</f>
        <v/>
      </c>
      <c r="Y91" s="7">
        <f>IF(VLOOKUP(Y$2,行为概览!$D$3:$K$33,8,0)="","",VLOOKUP(Y$2,行为概览!$D$3:$K$33,8,0)*玩法行为规划!X91)</f>
        <v>0.25</v>
      </c>
      <c r="Z91" s="7" t="str">
        <f>IF(VLOOKUP(Z$2,行为概览!$D$3:$K$33,8,0)="","",VLOOKUP(Z$2,行为概览!$D$3:$K$33,8,0)*玩法行为规划!Y91)</f>
        <v/>
      </c>
      <c r="AA91" s="7">
        <f>IF(VLOOKUP(AA$2,行为概览!$D$3:$K$33,8,0)="","",VLOOKUP(AA$2,行为概览!$D$3:$K$33,8,0)*玩法行为规划!Z91)</f>
        <v>8.3349999999999994E-2</v>
      </c>
      <c r="AB91" s="7" t="str">
        <f>IF(VLOOKUP(AB$2,行为概览!$D$3:$K$33,8,0)="","",VLOOKUP(AB$2,行为概览!$D$3:$K$33,8,0)*玩法行为规划!AA91)</f>
        <v/>
      </c>
      <c r="AC91" s="7" t="str">
        <f>IF(VLOOKUP(AC$2,行为概览!$D$3:$K$33,8,0)="","",VLOOKUP(AC$2,行为概览!$D$3:$K$33,8,0)*玩法行为规划!AB91)</f>
        <v/>
      </c>
      <c r="AD91" s="7" t="str">
        <f>IF(VLOOKUP(AD$2,行为概览!$D$3:$K$33,8,0)="","",VLOOKUP(AD$2,行为概览!$D$3:$K$33,8,0)*玩法行为规划!AC91)</f>
        <v/>
      </c>
      <c r="AE91" s="7" t="str">
        <f>IF(VLOOKUP(AE$2,行为概览!$D$3:$K$33,8,0)="","",VLOOKUP(AE$2,行为概览!$D$3:$K$33,8,0)*玩法行为规划!AD91)</f>
        <v/>
      </c>
      <c r="AF91" s="7">
        <f t="shared" si="12"/>
        <v>24.133149999999997</v>
      </c>
      <c r="AG91" s="7">
        <f t="shared" si="13"/>
        <v>10739251</v>
      </c>
      <c r="AH91" s="7">
        <f t="shared" si="16"/>
        <v>441820</v>
      </c>
      <c r="AI91" s="10" t="str">
        <f t="shared" si="7"/>
        <v/>
      </c>
      <c r="AJ91" s="73">
        <f t="shared" si="17"/>
        <v>396070</v>
      </c>
      <c r="AK91" s="77">
        <f>ROUND(AG91*升级节奏!G91/AJ96,2)</f>
        <v>276.2</v>
      </c>
      <c r="AL91" s="77">
        <f>ROUND(AG91*升级节奏!G91/SUM($AJ$3:AJ96),2)</f>
        <v>8.68</v>
      </c>
      <c r="AM91" s="74">
        <f>ROUND(AG91*升级节奏!G91,0)</f>
        <v>122031004</v>
      </c>
      <c r="AN91" s="77">
        <f>ROUND(SUM($AM$3:AM91)/SUM($AJ$3:AJ96),2)</f>
        <v>150</v>
      </c>
      <c r="AO91" s="7">
        <f t="shared" si="14"/>
        <v>7417</v>
      </c>
      <c r="AP91" s="7">
        <f t="shared" si="15"/>
        <v>53</v>
      </c>
    </row>
    <row r="92" spans="1:42">
      <c r="A92" s="32">
        <v>90</v>
      </c>
      <c r="B92" s="87">
        <f>升级节奏!D92</f>
        <v>450000</v>
      </c>
      <c r="C92" s="7">
        <f>IF(VLOOKUP(C$2,行为概览!$D$3:$K$33,8,0)="","",VLOOKUP(C$2,行为概览!$D$3:$K$33,8,0)*玩法行为规划!B92)</f>
        <v>0.99990000000000001</v>
      </c>
      <c r="D92" s="7">
        <f>IF(VLOOKUP(D$2,行为概览!$D$3:$K$33,8,0)="","",VLOOKUP(D$2,行为概览!$D$3:$K$33,8,0)*玩法行为规划!C92)</f>
        <v>1.1000000000000001</v>
      </c>
      <c r="E92" s="7" t="str">
        <f>IF(VLOOKUP(E$2,行为概览!$D$3:$K$33,8,0)="","",VLOOKUP(E$2,行为概览!$D$3:$K$33,8,0)*玩法行为规划!D92)</f>
        <v/>
      </c>
      <c r="F92" s="7">
        <f>IF(VLOOKUP(F$2,行为概览!$D$3:$K$33,8,0)="","",VLOOKUP(F$2,行为概览!$D$3:$K$33,8,0)*玩法行为规划!E92)</f>
        <v>1.5</v>
      </c>
      <c r="G92" s="7">
        <f>IF(VLOOKUP(G$2,行为概览!$D$3:$K$33,8,0)="","",VLOOKUP(G$2,行为概览!$D$3:$K$33,8,0)*玩法行为规划!F92)</f>
        <v>0.66659999999999997</v>
      </c>
      <c r="H92" s="7" t="str">
        <f>IF(VLOOKUP(H$2,行为概览!$D$3:$K$33,8,0)="","",VLOOKUP(H$2,行为概览!$D$3:$K$33,8,0)*玩法行为规划!G92)</f>
        <v/>
      </c>
      <c r="I92" s="7" t="str">
        <f>IF(VLOOKUP(I$2,行为概览!$D$3:$K$33,8,0)="","",VLOOKUP(I$2,行为概览!$D$3:$K$33,8,0)*玩法行为规划!H92)</f>
        <v/>
      </c>
      <c r="J92" s="7" t="str">
        <f>IF(VLOOKUP(J$2,行为概览!$D$3:$K$33,8,0)="","",VLOOKUP(J$2,行为概览!$D$3:$K$33,8,0)*玩法行为规划!I92)</f>
        <v/>
      </c>
      <c r="K92" s="7">
        <f>IF(VLOOKUP(K$2,行为概览!$D$3:$K$33,8,0)="","",VLOOKUP(K$2,行为概览!$D$3:$K$33,8,0)*玩法行为规划!J92)</f>
        <v>1</v>
      </c>
      <c r="L92" s="7" t="str">
        <f>IF(VLOOKUP(L$2,行为概览!$D$3:$K$33,8,0)="","",VLOOKUP(L$2,行为概览!$D$3:$K$33,8,0)*玩法行为规划!K92)</f>
        <v/>
      </c>
      <c r="M92" s="7" t="str">
        <f>IF(VLOOKUP(M$2,行为概览!$D$3:$K$33,8,0)="","",VLOOKUP(M$2,行为概览!$D$3:$K$33,8,0)*玩法行为规划!L92)</f>
        <v/>
      </c>
      <c r="N92" s="7">
        <f>IF(VLOOKUP(N$2,行为概览!$D$3:$K$33,8,0)="","",VLOOKUP(N$2,行为概览!$D$3:$K$33,8,0)*玩法行为规划!M92)</f>
        <v>12</v>
      </c>
      <c r="O92" s="7" t="str">
        <f>IF(VLOOKUP(O$2,行为概览!$D$3:$K$33,8,0)="","",VLOOKUP(O$2,行为概览!$D$3:$K$33,8,0)*玩法行为规划!N92)</f>
        <v/>
      </c>
      <c r="P92" s="7" t="str">
        <f>IF(VLOOKUP(P$2,行为概览!$D$3:$K$33,8,0)="","",VLOOKUP(P$2,行为概览!$D$3:$K$33,8,0)*玩法行为规划!O92)</f>
        <v/>
      </c>
      <c r="Q92" s="7">
        <f>IF(VLOOKUP(Q$2,行为概览!$D$3:$K$33,8,0)="","",VLOOKUP(Q$2,行为概览!$D$3:$K$33,8,0)*玩法行为规划!P92)</f>
        <v>5.2</v>
      </c>
      <c r="R92" s="7" t="str">
        <f>IF(VLOOKUP(R$2,行为概览!$D$3:$K$33,8,0)="","",VLOOKUP(R$2,行为概览!$D$3:$K$33,8,0)*玩法行为规划!Q92)</f>
        <v/>
      </c>
      <c r="S92" s="7">
        <f>IF(VLOOKUP(S$2,行为概览!$D$3:$K$33,8,0)="","",VLOOKUP(S$2,行为概览!$D$3:$K$33,8,0)*玩法行为规划!R92)</f>
        <v>0.49995000000000001</v>
      </c>
      <c r="T92" s="7">
        <f>IF(VLOOKUP(T$2,行为概览!$D$3:$K$33,8,0)="","",VLOOKUP(T$2,行为概览!$D$3:$K$33,8,0)*玩法行为规划!S92)</f>
        <v>0</v>
      </c>
      <c r="U92" s="7">
        <f>IF(VLOOKUP(U$2,行为概览!$D$3:$K$33,8,0)="","",VLOOKUP(U$2,行为概览!$D$3:$K$33,8,0)*玩法行为规划!T92)</f>
        <v>0.49995000000000001</v>
      </c>
      <c r="V92" s="7">
        <f>IF(VLOOKUP(V$2,行为概览!$D$3:$K$33,8,0)="","",VLOOKUP(V$2,行为概览!$D$3:$K$33,8,0)*玩法行为规划!U92)</f>
        <v>0.33339999999999997</v>
      </c>
      <c r="W92" s="7" t="str">
        <f>IF(VLOOKUP(W$2,行为概览!$D$3:$K$33,8,0)="","",VLOOKUP(W$2,行为概览!$D$3:$K$33,8,0)*玩法行为规划!V92)</f>
        <v/>
      </c>
      <c r="X92" s="7" t="str">
        <f>IF(VLOOKUP(X$2,行为概览!$D$3:$K$33,8,0)="","",VLOOKUP(X$2,行为概览!$D$3:$K$33,8,0)*玩法行为规划!W92)</f>
        <v/>
      </c>
      <c r="Y92" s="7">
        <f>IF(VLOOKUP(Y$2,行为概览!$D$3:$K$33,8,0)="","",VLOOKUP(Y$2,行为概览!$D$3:$K$33,8,0)*玩法行为规划!X92)</f>
        <v>0.25</v>
      </c>
      <c r="Z92" s="7" t="str">
        <f>IF(VLOOKUP(Z$2,行为概览!$D$3:$K$33,8,0)="","",VLOOKUP(Z$2,行为概览!$D$3:$K$33,8,0)*玩法行为规划!Y92)</f>
        <v/>
      </c>
      <c r="AA92" s="7">
        <f>IF(VLOOKUP(AA$2,行为概览!$D$3:$K$33,8,0)="","",VLOOKUP(AA$2,行为概览!$D$3:$K$33,8,0)*玩法行为规划!Z92)</f>
        <v>8.3349999999999994E-2</v>
      </c>
      <c r="AB92" s="7" t="str">
        <f>IF(VLOOKUP(AB$2,行为概览!$D$3:$K$33,8,0)="","",VLOOKUP(AB$2,行为概览!$D$3:$K$33,8,0)*玩法行为规划!AA92)</f>
        <v/>
      </c>
      <c r="AC92" s="7" t="str">
        <f>IF(VLOOKUP(AC$2,行为概览!$D$3:$K$33,8,0)="","",VLOOKUP(AC$2,行为概览!$D$3:$K$33,8,0)*玩法行为规划!AB92)</f>
        <v/>
      </c>
      <c r="AD92" s="7" t="str">
        <f>IF(VLOOKUP(AD$2,行为概览!$D$3:$K$33,8,0)="","",VLOOKUP(AD$2,行为概览!$D$3:$K$33,8,0)*玩法行为规划!AC92)</f>
        <v/>
      </c>
      <c r="AE92" s="7" t="str">
        <f>IF(VLOOKUP(AE$2,行为概览!$D$3:$K$33,8,0)="","",VLOOKUP(AE$2,行为概览!$D$3:$K$33,8,0)*玩法行为规划!AD92)</f>
        <v/>
      </c>
      <c r="AF92" s="7">
        <f t="shared" si="12"/>
        <v>24.133149999999997</v>
      </c>
      <c r="AG92" s="7">
        <f t="shared" si="13"/>
        <v>10859917</v>
      </c>
      <c r="AH92" s="7">
        <f t="shared" si="16"/>
        <v>451270</v>
      </c>
      <c r="AI92" s="10">
        <f t="shared" si="7"/>
        <v>8963900</v>
      </c>
      <c r="AJ92" s="73">
        <f t="shared" si="17"/>
        <v>405020</v>
      </c>
      <c r="AK92" s="77">
        <f>ROUND(AG92*升级节奏!G92/AJ97,2)</f>
        <v>279.56</v>
      </c>
      <c r="AL92" s="77">
        <f>ROUND(AG92*升级节奏!G92/SUM($AJ$3:AJ97),2)</f>
        <v>8.69</v>
      </c>
      <c r="AM92" s="74">
        <f>ROUND(AG92*升级节奏!G92,0)</f>
        <v>126156036</v>
      </c>
      <c r="AN92" s="77">
        <f>ROUND(SUM($AM$3:AM92)/SUM($AJ$3:AJ97),2)</f>
        <v>154.03</v>
      </c>
      <c r="AO92" s="7">
        <f t="shared" si="14"/>
        <v>7500</v>
      </c>
      <c r="AP92" s="7">
        <f t="shared" si="15"/>
        <v>54</v>
      </c>
    </row>
    <row r="93" spans="1:42">
      <c r="A93" s="32">
        <v>91</v>
      </c>
      <c r="B93" s="87">
        <f>升级节奏!D93</f>
        <v>455000</v>
      </c>
      <c r="C93" s="7">
        <f>IF(VLOOKUP(C$2,行为概览!$D$3:$K$33,8,0)="","",VLOOKUP(C$2,行为概览!$D$3:$K$33,8,0)*玩法行为规划!B93)</f>
        <v>0.99990000000000001</v>
      </c>
      <c r="D93" s="7">
        <f>IF(VLOOKUP(D$2,行为概览!$D$3:$K$33,8,0)="","",VLOOKUP(D$2,行为概览!$D$3:$K$33,8,0)*玩法行为规划!C93)</f>
        <v>1.1000000000000001</v>
      </c>
      <c r="E93" s="7" t="str">
        <f>IF(VLOOKUP(E$2,行为概览!$D$3:$K$33,8,0)="","",VLOOKUP(E$2,行为概览!$D$3:$K$33,8,0)*玩法行为规划!D93)</f>
        <v/>
      </c>
      <c r="F93" s="7">
        <f>IF(VLOOKUP(F$2,行为概览!$D$3:$K$33,8,0)="","",VLOOKUP(F$2,行为概览!$D$3:$K$33,8,0)*玩法行为规划!E93)</f>
        <v>1.5</v>
      </c>
      <c r="G93" s="7">
        <f>IF(VLOOKUP(G$2,行为概览!$D$3:$K$33,8,0)="","",VLOOKUP(G$2,行为概览!$D$3:$K$33,8,0)*玩法行为规划!F93)</f>
        <v>0.66659999999999997</v>
      </c>
      <c r="H93" s="7" t="str">
        <f>IF(VLOOKUP(H$2,行为概览!$D$3:$K$33,8,0)="","",VLOOKUP(H$2,行为概览!$D$3:$K$33,8,0)*玩法行为规划!G93)</f>
        <v/>
      </c>
      <c r="I93" s="7" t="str">
        <f>IF(VLOOKUP(I$2,行为概览!$D$3:$K$33,8,0)="","",VLOOKUP(I$2,行为概览!$D$3:$K$33,8,0)*玩法行为规划!H93)</f>
        <v/>
      </c>
      <c r="J93" s="7" t="str">
        <f>IF(VLOOKUP(J$2,行为概览!$D$3:$K$33,8,0)="","",VLOOKUP(J$2,行为概览!$D$3:$K$33,8,0)*玩法行为规划!I93)</f>
        <v/>
      </c>
      <c r="K93" s="7">
        <f>IF(VLOOKUP(K$2,行为概览!$D$3:$K$33,8,0)="","",VLOOKUP(K$2,行为概览!$D$3:$K$33,8,0)*玩法行为规划!J93)</f>
        <v>1</v>
      </c>
      <c r="L93" s="7" t="str">
        <f>IF(VLOOKUP(L$2,行为概览!$D$3:$K$33,8,0)="","",VLOOKUP(L$2,行为概览!$D$3:$K$33,8,0)*玩法行为规划!K93)</f>
        <v/>
      </c>
      <c r="M93" s="7" t="str">
        <f>IF(VLOOKUP(M$2,行为概览!$D$3:$K$33,8,0)="","",VLOOKUP(M$2,行为概览!$D$3:$K$33,8,0)*玩法行为规划!L93)</f>
        <v/>
      </c>
      <c r="N93" s="7">
        <f>IF(VLOOKUP(N$2,行为概览!$D$3:$K$33,8,0)="","",VLOOKUP(N$2,行为概览!$D$3:$K$33,8,0)*玩法行为规划!M93)</f>
        <v>12</v>
      </c>
      <c r="O93" s="7" t="str">
        <f>IF(VLOOKUP(O$2,行为概览!$D$3:$K$33,8,0)="","",VLOOKUP(O$2,行为概览!$D$3:$K$33,8,0)*玩法行为规划!N93)</f>
        <v/>
      </c>
      <c r="P93" s="7" t="str">
        <f>IF(VLOOKUP(P$2,行为概览!$D$3:$K$33,8,0)="","",VLOOKUP(P$2,行为概览!$D$3:$K$33,8,0)*玩法行为规划!O93)</f>
        <v/>
      </c>
      <c r="Q93" s="7">
        <f>IF(VLOOKUP(Q$2,行为概览!$D$3:$K$33,8,0)="","",VLOOKUP(Q$2,行为概览!$D$3:$K$33,8,0)*玩法行为规划!P93)</f>
        <v>5.2</v>
      </c>
      <c r="R93" s="7" t="str">
        <f>IF(VLOOKUP(R$2,行为概览!$D$3:$K$33,8,0)="","",VLOOKUP(R$2,行为概览!$D$3:$K$33,8,0)*玩法行为规划!Q93)</f>
        <v/>
      </c>
      <c r="S93" s="7">
        <f>IF(VLOOKUP(S$2,行为概览!$D$3:$K$33,8,0)="","",VLOOKUP(S$2,行为概览!$D$3:$K$33,8,0)*玩法行为规划!R93)</f>
        <v>0.49995000000000001</v>
      </c>
      <c r="T93" s="7">
        <f>IF(VLOOKUP(T$2,行为概览!$D$3:$K$33,8,0)="","",VLOOKUP(T$2,行为概览!$D$3:$K$33,8,0)*玩法行为规划!S93)</f>
        <v>0</v>
      </c>
      <c r="U93" s="7">
        <f>IF(VLOOKUP(U$2,行为概览!$D$3:$K$33,8,0)="","",VLOOKUP(U$2,行为概览!$D$3:$K$33,8,0)*玩法行为规划!T93)</f>
        <v>0.49995000000000001</v>
      </c>
      <c r="V93" s="7">
        <f>IF(VLOOKUP(V$2,行为概览!$D$3:$K$33,8,0)="","",VLOOKUP(V$2,行为概览!$D$3:$K$33,8,0)*玩法行为规划!U93)</f>
        <v>0.33339999999999997</v>
      </c>
      <c r="W93" s="7" t="str">
        <f>IF(VLOOKUP(W$2,行为概览!$D$3:$K$33,8,0)="","",VLOOKUP(W$2,行为概览!$D$3:$K$33,8,0)*玩法行为规划!V93)</f>
        <v/>
      </c>
      <c r="X93" s="7" t="str">
        <f>IF(VLOOKUP(X$2,行为概览!$D$3:$K$33,8,0)="","",VLOOKUP(X$2,行为概览!$D$3:$K$33,8,0)*玩法行为规划!W93)</f>
        <v/>
      </c>
      <c r="Y93" s="7">
        <f>IF(VLOOKUP(Y$2,行为概览!$D$3:$K$33,8,0)="","",VLOOKUP(Y$2,行为概览!$D$3:$K$33,8,0)*玩法行为规划!X93)</f>
        <v>0.25</v>
      </c>
      <c r="Z93" s="7" t="str">
        <f>IF(VLOOKUP(Z$2,行为概览!$D$3:$K$33,8,0)="","",VLOOKUP(Z$2,行为概览!$D$3:$K$33,8,0)*玩法行为规划!Y93)</f>
        <v/>
      </c>
      <c r="AA93" s="7">
        <f>IF(VLOOKUP(AA$2,行为概览!$D$3:$K$33,8,0)="","",VLOOKUP(AA$2,行为概览!$D$3:$K$33,8,0)*玩法行为规划!Z93)</f>
        <v>8.3349999999999994E-2</v>
      </c>
      <c r="AB93" s="7" t="str">
        <f>IF(VLOOKUP(AB$2,行为概览!$D$3:$K$33,8,0)="","",VLOOKUP(AB$2,行为概览!$D$3:$K$33,8,0)*玩法行为规划!AA93)</f>
        <v/>
      </c>
      <c r="AC93" s="7" t="str">
        <f>IF(VLOOKUP(AC$2,行为概览!$D$3:$K$33,8,0)="","",VLOOKUP(AC$2,行为概览!$D$3:$K$33,8,0)*玩法行为规划!AB93)</f>
        <v/>
      </c>
      <c r="AD93" s="7" t="str">
        <f>IF(VLOOKUP(AD$2,行为概览!$D$3:$K$33,8,0)="","",VLOOKUP(AD$2,行为概览!$D$3:$K$33,8,0)*玩法行为规划!AC93)</f>
        <v/>
      </c>
      <c r="AE93" s="7" t="str">
        <f>IF(VLOOKUP(AE$2,行为概览!$D$3:$K$33,8,0)="","",VLOOKUP(AE$2,行为概览!$D$3:$K$33,8,0)*玩法行为规划!AD93)</f>
        <v/>
      </c>
      <c r="AF93" s="7">
        <f t="shared" si="12"/>
        <v>24.133149999999997</v>
      </c>
      <c r="AG93" s="7">
        <f t="shared" si="13"/>
        <v>10980583</v>
      </c>
      <c r="AH93" s="7">
        <f t="shared" si="16"/>
        <v>460820</v>
      </c>
      <c r="AI93" s="10" t="str">
        <f t="shared" si="7"/>
        <v/>
      </c>
      <c r="AJ93" s="73">
        <f t="shared" si="17"/>
        <v>414070</v>
      </c>
      <c r="AK93" s="77">
        <f>ROUND(AG93*升级节奏!G93/AJ98,2)</f>
        <v>282.92</v>
      </c>
      <c r="AL93" s="77">
        <f>ROUND(AG93*升级节奏!G93/SUM($AJ$3:AJ98),2)</f>
        <v>8.6999999999999993</v>
      </c>
      <c r="AM93" s="74">
        <f>ROUND(AG93*升级节奏!G93,0)</f>
        <v>130373377</v>
      </c>
      <c r="AN93" s="77">
        <f>ROUND(SUM($AM$3:AM93)/SUM($AJ$3:AJ98),2)</f>
        <v>157.99</v>
      </c>
      <c r="AO93" s="7">
        <f t="shared" si="14"/>
        <v>7583</v>
      </c>
      <c r="AP93" s="7">
        <f t="shared" si="15"/>
        <v>55</v>
      </c>
    </row>
    <row r="94" spans="1:42">
      <c r="A94" s="32">
        <v>92</v>
      </c>
      <c r="B94" s="87">
        <f>升级节奏!D94</f>
        <v>460000</v>
      </c>
      <c r="C94" s="7">
        <f>IF(VLOOKUP(C$2,行为概览!$D$3:$K$33,8,0)="","",VLOOKUP(C$2,行为概览!$D$3:$K$33,8,0)*玩法行为规划!B94)</f>
        <v>0.99990000000000001</v>
      </c>
      <c r="D94" s="7">
        <f>IF(VLOOKUP(D$2,行为概览!$D$3:$K$33,8,0)="","",VLOOKUP(D$2,行为概览!$D$3:$K$33,8,0)*玩法行为规划!C94)</f>
        <v>1.1000000000000001</v>
      </c>
      <c r="E94" s="7" t="str">
        <f>IF(VLOOKUP(E$2,行为概览!$D$3:$K$33,8,0)="","",VLOOKUP(E$2,行为概览!$D$3:$K$33,8,0)*玩法行为规划!D94)</f>
        <v/>
      </c>
      <c r="F94" s="7">
        <f>IF(VLOOKUP(F$2,行为概览!$D$3:$K$33,8,0)="","",VLOOKUP(F$2,行为概览!$D$3:$K$33,8,0)*玩法行为规划!E94)</f>
        <v>1.5</v>
      </c>
      <c r="G94" s="7">
        <f>IF(VLOOKUP(G$2,行为概览!$D$3:$K$33,8,0)="","",VLOOKUP(G$2,行为概览!$D$3:$K$33,8,0)*玩法行为规划!F94)</f>
        <v>0.66659999999999997</v>
      </c>
      <c r="H94" s="7" t="str">
        <f>IF(VLOOKUP(H$2,行为概览!$D$3:$K$33,8,0)="","",VLOOKUP(H$2,行为概览!$D$3:$K$33,8,0)*玩法行为规划!G94)</f>
        <v/>
      </c>
      <c r="I94" s="7" t="str">
        <f>IF(VLOOKUP(I$2,行为概览!$D$3:$K$33,8,0)="","",VLOOKUP(I$2,行为概览!$D$3:$K$33,8,0)*玩法行为规划!H94)</f>
        <v/>
      </c>
      <c r="J94" s="7" t="str">
        <f>IF(VLOOKUP(J$2,行为概览!$D$3:$K$33,8,0)="","",VLOOKUP(J$2,行为概览!$D$3:$K$33,8,0)*玩法行为规划!I94)</f>
        <v/>
      </c>
      <c r="K94" s="7">
        <f>IF(VLOOKUP(K$2,行为概览!$D$3:$K$33,8,0)="","",VLOOKUP(K$2,行为概览!$D$3:$K$33,8,0)*玩法行为规划!J94)</f>
        <v>1</v>
      </c>
      <c r="L94" s="7" t="str">
        <f>IF(VLOOKUP(L$2,行为概览!$D$3:$K$33,8,0)="","",VLOOKUP(L$2,行为概览!$D$3:$K$33,8,0)*玩法行为规划!K94)</f>
        <v/>
      </c>
      <c r="M94" s="7" t="str">
        <f>IF(VLOOKUP(M$2,行为概览!$D$3:$K$33,8,0)="","",VLOOKUP(M$2,行为概览!$D$3:$K$33,8,0)*玩法行为规划!L94)</f>
        <v/>
      </c>
      <c r="N94" s="7">
        <f>IF(VLOOKUP(N$2,行为概览!$D$3:$K$33,8,0)="","",VLOOKUP(N$2,行为概览!$D$3:$K$33,8,0)*玩法行为规划!M94)</f>
        <v>12</v>
      </c>
      <c r="O94" s="7" t="str">
        <f>IF(VLOOKUP(O$2,行为概览!$D$3:$K$33,8,0)="","",VLOOKUP(O$2,行为概览!$D$3:$K$33,8,0)*玩法行为规划!N94)</f>
        <v/>
      </c>
      <c r="P94" s="7" t="str">
        <f>IF(VLOOKUP(P$2,行为概览!$D$3:$K$33,8,0)="","",VLOOKUP(P$2,行为概览!$D$3:$K$33,8,0)*玩法行为规划!O94)</f>
        <v/>
      </c>
      <c r="Q94" s="7">
        <f>IF(VLOOKUP(Q$2,行为概览!$D$3:$K$33,8,0)="","",VLOOKUP(Q$2,行为概览!$D$3:$K$33,8,0)*玩法行为规划!P94)</f>
        <v>5.2</v>
      </c>
      <c r="R94" s="7" t="str">
        <f>IF(VLOOKUP(R$2,行为概览!$D$3:$K$33,8,0)="","",VLOOKUP(R$2,行为概览!$D$3:$K$33,8,0)*玩法行为规划!Q94)</f>
        <v/>
      </c>
      <c r="S94" s="7">
        <f>IF(VLOOKUP(S$2,行为概览!$D$3:$K$33,8,0)="","",VLOOKUP(S$2,行为概览!$D$3:$K$33,8,0)*玩法行为规划!R94)</f>
        <v>0.49995000000000001</v>
      </c>
      <c r="T94" s="7">
        <f>IF(VLOOKUP(T$2,行为概览!$D$3:$K$33,8,0)="","",VLOOKUP(T$2,行为概览!$D$3:$K$33,8,0)*玩法行为规划!S94)</f>
        <v>0</v>
      </c>
      <c r="U94" s="7">
        <f>IF(VLOOKUP(U$2,行为概览!$D$3:$K$33,8,0)="","",VLOOKUP(U$2,行为概览!$D$3:$K$33,8,0)*玩法行为规划!T94)</f>
        <v>0.49995000000000001</v>
      </c>
      <c r="V94" s="7">
        <f>IF(VLOOKUP(V$2,行为概览!$D$3:$K$33,8,0)="","",VLOOKUP(V$2,行为概览!$D$3:$K$33,8,0)*玩法行为规划!U94)</f>
        <v>0.33339999999999997</v>
      </c>
      <c r="W94" s="7" t="str">
        <f>IF(VLOOKUP(W$2,行为概览!$D$3:$K$33,8,0)="","",VLOOKUP(W$2,行为概览!$D$3:$K$33,8,0)*玩法行为规划!V94)</f>
        <v/>
      </c>
      <c r="X94" s="7" t="str">
        <f>IF(VLOOKUP(X$2,行为概览!$D$3:$K$33,8,0)="","",VLOOKUP(X$2,行为概览!$D$3:$K$33,8,0)*玩法行为规划!W94)</f>
        <v/>
      </c>
      <c r="Y94" s="7">
        <f>IF(VLOOKUP(Y$2,行为概览!$D$3:$K$33,8,0)="","",VLOOKUP(Y$2,行为概览!$D$3:$K$33,8,0)*玩法行为规划!X94)</f>
        <v>0.25</v>
      </c>
      <c r="Z94" s="7" t="str">
        <f>IF(VLOOKUP(Z$2,行为概览!$D$3:$K$33,8,0)="","",VLOOKUP(Z$2,行为概览!$D$3:$K$33,8,0)*玩法行为规划!Y94)</f>
        <v/>
      </c>
      <c r="AA94" s="7">
        <f>IF(VLOOKUP(AA$2,行为概览!$D$3:$K$33,8,0)="","",VLOOKUP(AA$2,行为概览!$D$3:$K$33,8,0)*玩法行为规划!Z94)</f>
        <v>8.3349999999999994E-2</v>
      </c>
      <c r="AB94" s="7" t="str">
        <f>IF(VLOOKUP(AB$2,行为概览!$D$3:$K$33,8,0)="","",VLOOKUP(AB$2,行为概览!$D$3:$K$33,8,0)*玩法行为规划!AA94)</f>
        <v/>
      </c>
      <c r="AC94" s="7" t="str">
        <f>IF(VLOOKUP(AC$2,行为概览!$D$3:$K$33,8,0)="","",VLOOKUP(AC$2,行为概览!$D$3:$K$33,8,0)*玩法行为规划!AB94)</f>
        <v/>
      </c>
      <c r="AD94" s="7" t="str">
        <f>IF(VLOOKUP(AD$2,行为概览!$D$3:$K$33,8,0)="","",VLOOKUP(AD$2,行为概览!$D$3:$K$33,8,0)*玩法行为规划!AC94)</f>
        <v/>
      </c>
      <c r="AE94" s="7" t="str">
        <f>IF(VLOOKUP(AE$2,行为概览!$D$3:$K$33,8,0)="","",VLOOKUP(AE$2,行为概览!$D$3:$K$33,8,0)*玩法行为规划!AD94)</f>
        <v/>
      </c>
      <c r="AF94" s="7">
        <f t="shared" si="12"/>
        <v>24.133149999999997</v>
      </c>
      <c r="AG94" s="7">
        <f t="shared" si="13"/>
        <v>11101249</v>
      </c>
      <c r="AH94" s="7">
        <f t="shared" si="16"/>
        <v>470470</v>
      </c>
      <c r="AI94" s="10" t="str">
        <f t="shared" si="7"/>
        <v/>
      </c>
      <c r="AJ94" s="73">
        <f t="shared" si="17"/>
        <v>423220</v>
      </c>
      <c r="AK94" s="77">
        <f>ROUND(AG94*升级节奏!G94/AJ99,2)</f>
        <v>286.27999999999997</v>
      </c>
      <c r="AL94" s="77">
        <f>ROUND(AG94*升级节奏!G94/SUM($AJ$3:AJ99),2)</f>
        <v>8.7200000000000006</v>
      </c>
      <c r="AM94" s="74">
        <f>ROUND(AG94*升级节奏!G94,0)</f>
        <v>134684053</v>
      </c>
      <c r="AN94" s="77">
        <f>ROUND(SUM($AM$3:AM94)/SUM($AJ$3:AJ99),2)</f>
        <v>161.9</v>
      </c>
      <c r="AO94" s="7">
        <f t="shared" si="14"/>
        <v>7667</v>
      </c>
      <c r="AP94" s="7">
        <f t="shared" si="15"/>
        <v>55</v>
      </c>
    </row>
    <row r="95" spans="1:42">
      <c r="A95" s="32">
        <v>93</v>
      </c>
      <c r="B95" s="87">
        <f>升级节奏!D95</f>
        <v>465000</v>
      </c>
      <c r="C95" s="7">
        <f>IF(VLOOKUP(C$2,行为概览!$D$3:$K$33,8,0)="","",VLOOKUP(C$2,行为概览!$D$3:$K$33,8,0)*玩法行为规划!B95)</f>
        <v>0.99990000000000001</v>
      </c>
      <c r="D95" s="7">
        <f>IF(VLOOKUP(D$2,行为概览!$D$3:$K$33,8,0)="","",VLOOKUP(D$2,行为概览!$D$3:$K$33,8,0)*玩法行为规划!C95)</f>
        <v>1.1000000000000001</v>
      </c>
      <c r="E95" s="7" t="str">
        <f>IF(VLOOKUP(E$2,行为概览!$D$3:$K$33,8,0)="","",VLOOKUP(E$2,行为概览!$D$3:$K$33,8,0)*玩法行为规划!D95)</f>
        <v/>
      </c>
      <c r="F95" s="7">
        <f>IF(VLOOKUP(F$2,行为概览!$D$3:$K$33,8,0)="","",VLOOKUP(F$2,行为概览!$D$3:$K$33,8,0)*玩法行为规划!E95)</f>
        <v>1.5</v>
      </c>
      <c r="G95" s="7">
        <f>IF(VLOOKUP(G$2,行为概览!$D$3:$K$33,8,0)="","",VLOOKUP(G$2,行为概览!$D$3:$K$33,8,0)*玩法行为规划!F95)</f>
        <v>0.66659999999999997</v>
      </c>
      <c r="H95" s="7" t="str">
        <f>IF(VLOOKUP(H$2,行为概览!$D$3:$K$33,8,0)="","",VLOOKUP(H$2,行为概览!$D$3:$K$33,8,0)*玩法行为规划!G95)</f>
        <v/>
      </c>
      <c r="I95" s="7" t="str">
        <f>IF(VLOOKUP(I$2,行为概览!$D$3:$K$33,8,0)="","",VLOOKUP(I$2,行为概览!$D$3:$K$33,8,0)*玩法行为规划!H95)</f>
        <v/>
      </c>
      <c r="J95" s="7" t="str">
        <f>IF(VLOOKUP(J$2,行为概览!$D$3:$K$33,8,0)="","",VLOOKUP(J$2,行为概览!$D$3:$K$33,8,0)*玩法行为规划!I95)</f>
        <v/>
      </c>
      <c r="K95" s="7">
        <f>IF(VLOOKUP(K$2,行为概览!$D$3:$K$33,8,0)="","",VLOOKUP(K$2,行为概览!$D$3:$K$33,8,0)*玩法行为规划!J95)</f>
        <v>1</v>
      </c>
      <c r="L95" s="7" t="str">
        <f>IF(VLOOKUP(L$2,行为概览!$D$3:$K$33,8,0)="","",VLOOKUP(L$2,行为概览!$D$3:$K$33,8,0)*玩法行为规划!K95)</f>
        <v/>
      </c>
      <c r="M95" s="7" t="str">
        <f>IF(VLOOKUP(M$2,行为概览!$D$3:$K$33,8,0)="","",VLOOKUP(M$2,行为概览!$D$3:$K$33,8,0)*玩法行为规划!L95)</f>
        <v/>
      </c>
      <c r="N95" s="7">
        <f>IF(VLOOKUP(N$2,行为概览!$D$3:$K$33,8,0)="","",VLOOKUP(N$2,行为概览!$D$3:$K$33,8,0)*玩法行为规划!M95)</f>
        <v>12</v>
      </c>
      <c r="O95" s="7" t="str">
        <f>IF(VLOOKUP(O$2,行为概览!$D$3:$K$33,8,0)="","",VLOOKUP(O$2,行为概览!$D$3:$K$33,8,0)*玩法行为规划!N95)</f>
        <v/>
      </c>
      <c r="P95" s="7" t="str">
        <f>IF(VLOOKUP(P$2,行为概览!$D$3:$K$33,8,0)="","",VLOOKUP(P$2,行为概览!$D$3:$K$33,8,0)*玩法行为规划!O95)</f>
        <v/>
      </c>
      <c r="Q95" s="7">
        <f>IF(VLOOKUP(Q$2,行为概览!$D$3:$K$33,8,0)="","",VLOOKUP(Q$2,行为概览!$D$3:$K$33,8,0)*玩法行为规划!P95)</f>
        <v>5.2</v>
      </c>
      <c r="R95" s="7" t="str">
        <f>IF(VLOOKUP(R$2,行为概览!$D$3:$K$33,8,0)="","",VLOOKUP(R$2,行为概览!$D$3:$K$33,8,0)*玩法行为规划!Q95)</f>
        <v/>
      </c>
      <c r="S95" s="7">
        <f>IF(VLOOKUP(S$2,行为概览!$D$3:$K$33,8,0)="","",VLOOKUP(S$2,行为概览!$D$3:$K$33,8,0)*玩法行为规划!R95)</f>
        <v>0.49995000000000001</v>
      </c>
      <c r="T95" s="7">
        <f>IF(VLOOKUP(T$2,行为概览!$D$3:$K$33,8,0)="","",VLOOKUP(T$2,行为概览!$D$3:$K$33,8,0)*玩法行为规划!S95)</f>
        <v>0</v>
      </c>
      <c r="U95" s="7">
        <f>IF(VLOOKUP(U$2,行为概览!$D$3:$K$33,8,0)="","",VLOOKUP(U$2,行为概览!$D$3:$K$33,8,0)*玩法行为规划!T95)</f>
        <v>0.49995000000000001</v>
      </c>
      <c r="V95" s="7">
        <f>IF(VLOOKUP(V$2,行为概览!$D$3:$K$33,8,0)="","",VLOOKUP(V$2,行为概览!$D$3:$K$33,8,0)*玩法行为规划!U95)</f>
        <v>0.33339999999999997</v>
      </c>
      <c r="W95" s="7" t="str">
        <f>IF(VLOOKUP(W$2,行为概览!$D$3:$K$33,8,0)="","",VLOOKUP(W$2,行为概览!$D$3:$K$33,8,0)*玩法行为规划!V95)</f>
        <v/>
      </c>
      <c r="X95" s="7" t="str">
        <f>IF(VLOOKUP(X$2,行为概览!$D$3:$K$33,8,0)="","",VLOOKUP(X$2,行为概览!$D$3:$K$33,8,0)*玩法行为规划!W95)</f>
        <v/>
      </c>
      <c r="Y95" s="7">
        <f>IF(VLOOKUP(Y$2,行为概览!$D$3:$K$33,8,0)="","",VLOOKUP(Y$2,行为概览!$D$3:$K$33,8,0)*玩法行为规划!X95)</f>
        <v>0.25</v>
      </c>
      <c r="Z95" s="7" t="str">
        <f>IF(VLOOKUP(Z$2,行为概览!$D$3:$K$33,8,0)="","",VLOOKUP(Z$2,行为概览!$D$3:$K$33,8,0)*玩法行为规划!Y95)</f>
        <v/>
      </c>
      <c r="AA95" s="7">
        <f>IF(VLOOKUP(AA$2,行为概览!$D$3:$K$33,8,0)="","",VLOOKUP(AA$2,行为概览!$D$3:$K$33,8,0)*玩法行为规划!Z95)</f>
        <v>8.3349999999999994E-2</v>
      </c>
      <c r="AB95" s="7" t="str">
        <f>IF(VLOOKUP(AB$2,行为概览!$D$3:$K$33,8,0)="","",VLOOKUP(AB$2,行为概览!$D$3:$K$33,8,0)*玩法行为规划!AA95)</f>
        <v/>
      </c>
      <c r="AC95" s="7" t="str">
        <f>IF(VLOOKUP(AC$2,行为概览!$D$3:$K$33,8,0)="","",VLOOKUP(AC$2,行为概览!$D$3:$K$33,8,0)*玩法行为规划!AB95)</f>
        <v/>
      </c>
      <c r="AD95" s="7" t="str">
        <f>IF(VLOOKUP(AD$2,行为概览!$D$3:$K$33,8,0)="","",VLOOKUP(AD$2,行为概览!$D$3:$K$33,8,0)*玩法行为规划!AC95)</f>
        <v/>
      </c>
      <c r="AE95" s="7" t="str">
        <f>IF(VLOOKUP(AE$2,行为概览!$D$3:$K$33,8,0)="","",VLOOKUP(AE$2,行为概览!$D$3:$K$33,8,0)*玩法行为规划!AD95)</f>
        <v/>
      </c>
      <c r="AF95" s="7">
        <f t="shared" si="12"/>
        <v>24.133149999999997</v>
      </c>
      <c r="AG95" s="7">
        <f t="shared" si="13"/>
        <v>11221914</v>
      </c>
      <c r="AH95" s="7">
        <f t="shared" si="16"/>
        <v>480220</v>
      </c>
      <c r="AI95" s="10" t="str">
        <f t="shared" si="7"/>
        <v/>
      </c>
      <c r="AJ95" s="73">
        <f t="shared" si="17"/>
        <v>432470</v>
      </c>
      <c r="AK95" s="77">
        <f>ROUND(AG95*升级节奏!G95/AJ100,2)</f>
        <v>289.64</v>
      </c>
      <c r="AL95" s="77">
        <f>ROUND(AG95*升级节奏!G95/SUM($AJ$3:AJ100),2)</f>
        <v>8.73</v>
      </c>
      <c r="AM95" s="74">
        <f>ROUND(AG95*升级节奏!G95,0)</f>
        <v>139089078</v>
      </c>
      <c r="AN95" s="77">
        <f>ROUND(SUM($AM$3:AM95)/SUM($AJ$3:AJ100),2)</f>
        <v>165.75</v>
      </c>
      <c r="AO95" s="7">
        <f t="shared" si="14"/>
        <v>7750</v>
      </c>
      <c r="AP95" s="7">
        <f t="shared" si="15"/>
        <v>56</v>
      </c>
    </row>
    <row r="96" spans="1:42">
      <c r="A96" s="32">
        <v>94</v>
      </c>
      <c r="B96" s="87">
        <f>升级节奏!D96</f>
        <v>470000</v>
      </c>
      <c r="C96" s="7">
        <f>IF(VLOOKUP(C$2,行为概览!$D$3:$K$33,8,0)="","",VLOOKUP(C$2,行为概览!$D$3:$K$33,8,0)*玩法行为规划!B96)</f>
        <v>0.99990000000000001</v>
      </c>
      <c r="D96" s="7">
        <f>IF(VLOOKUP(D$2,行为概览!$D$3:$K$33,8,0)="","",VLOOKUP(D$2,行为概览!$D$3:$K$33,8,0)*玩法行为规划!C96)</f>
        <v>1.1000000000000001</v>
      </c>
      <c r="E96" s="7" t="str">
        <f>IF(VLOOKUP(E$2,行为概览!$D$3:$K$33,8,0)="","",VLOOKUP(E$2,行为概览!$D$3:$K$33,8,0)*玩法行为规划!D96)</f>
        <v/>
      </c>
      <c r="F96" s="7">
        <f>IF(VLOOKUP(F$2,行为概览!$D$3:$K$33,8,0)="","",VLOOKUP(F$2,行为概览!$D$3:$K$33,8,0)*玩法行为规划!E96)</f>
        <v>1.5</v>
      </c>
      <c r="G96" s="7">
        <f>IF(VLOOKUP(G$2,行为概览!$D$3:$K$33,8,0)="","",VLOOKUP(G$2,行为概览!$D$3:$K$33,8,0)*玩法行为规划!F96)</f>
        <v>0.66659999999999997</v>
      </c>
      <c r="H96" s="7" t="str">
        <f>IF(VLOOKUP(H$2,行为概览!$D$3:$K$33,8,0)="","",VLOOKUP(H$2,行为概览!$D$3:$K$33,8,0)*玩法行为规划!G96)</f>
        <v/>
      </c>
      <c r="I96" s="7" t="str">
        <f>IF(VLOOKUP(I$2,行为概览!$D$3:$K$33,8,0)="","",VLOOKUP(I$2,行为概览!$D$3:$K$33,8,0)*玩法行为规划!H96)</f>
        <v/>
      </c>
      <c r="J96" s="7" t="str">
        <f>IF(VLOOKUP(J$2,行为概览!$D$3:$K$33,8,0)="","",VLOOKUP(J$2,行为概览!$D$3:$K$33,8,0)*玩法行为规划!I96)</f>
        <v/>
      </c>
      <c r="K96" s="7">
        <f>IF(VLOOKUP(K$2,行为概览!$D$3:$K$33,8,0)="","",VLOOKUP(K$2,行为概览!$D$3:$K$33,8,0)*玩法行为规划!J96)</f>
        <v>1</v>
      </c>
      <c r="L96" s="7" t="str">
        <f>IF(VLOOKUP(L$2,行为概览!$D$3:$K$33,8,0)="","",VLOOKUP(L$2,行为概览!$D$3:$K$33,8,0)*玩法行为规划!K96)</f>
        <v/>
      </c>
      <c r="M96" s="7" t="str">
        <f>IF(VLOOKUP(M$2,行为概览!$D$3:$K$33,8,0)="","",VLOOKUP(M$2,行为概览!$D$3:$K$33,8,0)*玩法行为规划!L96)</f>
        <v/>
      </c>
      <c r="N96" s="7">
        <f>IF(VLOOKUP(N$2,行为概览!$D$3:$K$33,8,0)="","",VLOOKUP(N$2,行为概览!$D$3:$K$33,8,0)*玩法行为规划!M96)</f>
        <v>12</v>
      </c>
      <c r="O96" s="7" t="str">
        <f>IF(VLOOKUP(O$2,行为概览!$D$3:$K$33,8,0)="","",VLOOKUP(O$2,行为概览!$D$3:$K$33,8,0)*玩法行为规划!N96)</f>
        <v/>
      </c>
      <c r="P96" s="7" t="str">
        <f>IF(VLOOKUP(P$2,行为概览!$D$3:$K$33,8,0)="","",VLOOKUP(P$2,行为概览!$D$3:$K$33,8,0)*玩法行为规划!O96)</f>
        <v/>
      </c>
      <c r="Q96" s="7">
        <f>IF(VLOOKUP(Q$2,行为概览!$D$3:$K$33,8,0)="","",VLOOKUP(Q$2,行为概览!$D$3:$K$33,8,0)*玩法行为规划!P96)</f>
        <v>5.2</v>
      </c>
      <c r="R96" s="7" t="str">
        <f>IF(VLOOKUP(R$2,行为概览!$D$3:$K$33,8,0)="","",VLOOKUP(R$2,行为概览!$D$3:$K$33,8,0)*玩法行为规划!Q96)</f>
        <v/>
      </c>
      <c r="S96" s="7">
        <f>IF(VLOOKUP(S$2,行为概览!$D$3:$K$33,8,0)="","",VLOOKUP(S$2,行为概览!$D$3:$K$33,8,0)*玩法行为规划!R96)</f>
        <v>0.49995000000000001</v>
      </c>
      <c r="T96" s="7">
        <f>IF(VLOOKUP(T$2,行为概览!$D$3:$K$33,8,0)="","",VLOOKUP(T$2,行为概览!$D$3:$K$33,8,0)*玩法行为规划!S96)</f>
        <v>0</v>
      </c>
      <c r="U96" s="7">
        <f>IF(VLOOKUP(U$2,行为概览!$D$3:$K$33,8,0)="","",VLOOKUP(U$2,行为概览!$D$3:$K$33,8,0)*玩法行为规划!T96)</f>
        <v>0.49995000000000001</v>
      </c>
      <c r="V96" s="7">
        <f>IF(VLOOKUP(V$2,行为概览!$D$3:$K$33,8,0)="","",VLOOKUP(V$2,行为概览!$D$3:$K$33,8,0)*玩法行为规划!U96)</f>
        <v>0.33339999999999997</v>
      </c>
      <c r="W96" s="7" t="str">
        <f>IF(VLOOKUP(W$2,行为概览!$D$3:$K$33,8,0)="","",VLOOKUP(W$2,行为概览!$D$3:$K$33,8,0)*玩法行为规划!V96)</f>
        <v/>
      </c>
      <c r="X96" s="7" t="str">
        <f>IF(VLOOKUP(X$2,行为概览!$D$3:$K$33,8,0)="","",VLOOKUP(X$2,行为概览!$D$3:$K$33,8,0)*玩法行为规划!W96)</f>
        <v/>
      </c>
      <c r="Y96" s="7">
        <f>IF(VLOOKUP(Y$2,行为概览!$D$3:$K$33,8,0)="","",VLOOKUP(Y$2,行为概览!$D$3:$K$33,8,0)*玩法行为规划!X96)</f>
        <v>0.25</v>
      </c>
      <c r="Z96" s="7" t="str">
        <f>IF(VLOOKUP(Z$2,行为概览!$D$3:$K$33,8,0)="","",VLOOKUP(Z$2,行为概览!$D$3:$K$33,8,0)*玩法行为规划!Y96)</f>
        <v/>
      </c>
      <c r="AA96" s="7">
        <f>IF(VLOOKUP(AA$2,行为概览!$D$3:$K$33,8,0)="","",VLOOKUP(AA$2,行为概览!$D$3:$K$33,8,0)*玩法行为规划!Z96)</f>
        <v>8.3349999999999994E-2</v>
      </c>
      <c r="AB96" s="7" t="str">
        <f>IF(VLOOKUP(AB$2,行为概览!$D$3:$K$33,8,0)="","",VLOOKUP(AB$2,行为概览!$D$3:$K$33,8,0)*玩法行为规划!AA96)</f>
        <v/>
      </c>
      <c r="AC96" s="7" t="str">
        <f>IF(VLOOKUP(AC$2,行为概览!$D$3:$K$33,8,0)="","",VLOOKUP(AC$2,行为概览!$D$3:$K$33,8,0)*玩法行为规划!AB96)</f>
        <v/>
      </c>
      <c r="AD96" s="7" t="str">
        <f>IF(VLOOKUP(AD$2,行为概览!$D$3:$K$33,8,0)="","",VLOOKUP(AD$2,行为概览!$D$3:$K$33,8,0)*玩法行为规划!AC96)</f>
        <v/>
      </c>
      <c r="AE96" s="7" t="str">
        <f>IF(VLOOKUP(AE$2,行为概览!$D$3:$K$33,8,0)="","",VLOOKUP(AE$2,行为概览!$D$3:$K$33,8,0)*玩法行为规划!AD96)</f>
        <v/>
      </c>
      <c r="AF96" s="7">
        <f t="shared" si="12"/>
        <v>24.133149999999997</v>
      </c>
      <c r="AG96" s="7">
        <f t="shared" si="13"/>
        <v>11342580</v>
      </c>
      <c r="AH96" s="7">
        <f t="shared" si="16"/>
        <v>490070</v>
      </c>
      <c r="AI96" s="10" t="str">
        <f t="shared" si="7"/>
        <v/>
      </c>
      <c r="AJ96" s="73">
        <f t="shared" si="17"/>
        <v>441820</v>
      </c>
      <c r="AK96" s="77">
        <f>ROUND(AG96*升级节奏!G96/AJ101,2)</f>
        <v>293</v>
      </c>
      <c r="AL96" s="77">
        <f>ROUND(AG96*升级节奏!G96/SUM($AJ$3:AJ101),2)</f>
        <v>8.75</v>
      </c>
      <c r="AM96" s="74">
        <f>ROUND(AG96*升级节奏!G96,0)</f>
        <v>143589501</v>
      </c>
      <c r="AN96" s="77">
        <f>ROUND(SUM($AM$3:AM96)/SUM($AJ$3:AJ101),2)</f>
        <v>169.55</v>
      </c>
      <c r="AO96" s="7">
        <f t="shared" si="14"/>
        <v>7833</v>
      </c>
      <c r="AP96" s="7">
        <f t="shared" si="15"/>
        <v>56</v>
      </c>
    </row>
    <row r="97" spans="1:42">
      <c r="A97" s="32">
        <v>95</v>
      </c>
      <c r="B97" s="87">
        <f>升级节奏!D97</f>
        <v>475000</v>
      </c>
      <c r="C97" s="7">
        <f>IF(VLOOKUP(C$2,行为概览!$D$3:$K$33,8,0)="","",VLOOKUP(C$2,行为概览!$D$3:$K$33,8,0)*玩法行为规划!B97)</f>
        <v>0.99990000000000001</v>
      </c>
      <c r="D97" s="7">
        <f>IF(VLOOKUP(D$2,行为概览!$D$3:$K$33,8,0)="","",VLOOKUP(D$2,行为概览!$D$3:$K$33,8,0)*玩法行为规划!C97)</f>
        <v>1.1000000000000001</v>
      </c>
      <c r="E97" s="7" t="str">
        <f>IF(VLOOKUP(E$2,行为概览!$D$3:$K$33,8,0)="","",VLOOKUP(E$2,行为概览!$D$3:$K$33,8,0)*玩法行为规划!D97)</f>
        <v/>
      </c>
      <c r="F97" s="7">
        <f>IF(VLOOKUP(F$2,行为概览!$D$3:$K$33,8,0)="","",VLOOKUP(F$2,行为概览!$D$3:$K$33,8,0)*玩法行为规划!E97)</f>
        <v>1.5</v>
      </c>
      <c r="G97" s="7">
        <f>IF(VLOOKUP(G$2,行为概览!$D$3:$K$33,8,0)="","",VLOOKUP(G$2,行为概览!$D$3:$K$33,8,0)*玩法行为规划!F97)</f>
        <v>0.66659999999999997</v>
      </c>
      <c r="H97" s="7" t="str">
        <f>IF(VLOOKUP(H$2,行为概览!$D$3:$K$33,8,0)="","",VLOOKUP(H$2,行为概览!$D$3:$K$33,8,0)*玩法行为规划!G97)</f>
        <v/>
      </c>
      <c r="I97" s="7" t="str">
        <f>IF(VLOOKUP(I$2,行为概览!$D$3:$K$33,8,0)="","",VLOOKUP(I$2,行为概览!$D$3:$K$33,8,0)*玩法行为规划!H97)</f>
        <v/>
      </c>
      <c r="J97" s="7" t="str">
        <f>IF(VLOOKUP(J$2,行为概览!$D$3:$K$33,8,0)="","",VLOOKUP(J$2,行为概览!$D$3:$K$33,8,0)*玩法行为规划!I97)</f>
        <v/>
      </c>
      <c r="K97" s="7">
        <f>IF(VLOOKUP(K$2,行为概览!$D$3:$K$33,8,0)="","",VLOOKUP(K$2,行为概览!$D$3:$K$33,8,0)*玩法行为规划!J97)</f>
        <v>1</v>
      </c>
      <c r="L97" s="7" t="str">
        <f>IF(VLOOKUP(L$2,行为概览!$D$3:$K$33,8,0)="","",VLOOKUP(L$2,行为概览!$D$3:$K$33,8,0)*玩法行为规划!K97)</f>
        <v/>
      </c>
      <c r="M97" s="7" t="str">
        <f>IF(VLOOKUP(M$2,行为概览!$D$3:$K$33,8,0)="","",VLOOKUP(M$2,行为概览!$D$3:$K$33,8,0)*玩法行为规划!L97)</f>
        <v/>
      </c>
      <c r="N97" s="7">
        <f>IF(VLOOKUP(N$2,行为概览!$D$3:$K$33,8,0)="","",VLOOKUP(N$2,行为概览!$D$3:$K$33,8,0)*玩法行为规划!M97)</f>
        <v>12</v>
      </c>
      <c r="O97" s="7" t="str">
        <f>IF(VLOOKUP(O$2,行为概览!$D$3:$K$33,8,0)="","",VLOOKUP(O$2,行为概览!$D$3:$K$33,8,0)*玩法行为规划!N97)</f>
        <v/>
      </c>
      <c r="P97" s="7" t="str">
        <f>IF(VLOOKUP(P$2,行为概览!$D$3:$K$33,8,0)="","",VLOOKUP(P$2,行为概览!$D$3:$K$33,8,0)*玩法行为规划!O97)</f>
        <v/>
      </c>
      <c r="Q97" s="7">
        <f>IF(VLOOKUP(Q$2,行为概览!$D$3:$K$33,8,0)="","",VLOOKUP(Q$2,行为概览!$D$3:$K$33,8,0)*玩法行为规划!P97)</f>
        <v>5.2</v>
      </c>
      <c r="R97" s="7" t="str">
        <f>IF(VLOOKUP(R$2,行为概览!$D$3:$K$33,8,0)="","",VLOOKUP(R$2,行为概览!$D$3:$K$33,8,0)*玩法行为规划!Q97)</f>
        <v/>
      </c>
      <c r="S97" s="7">
        <f>IF(VLOOKUP(S$2,行为概览!$D$3:$K$33,8,0)="","",VLOOKUP(S$2,行为概览!$D$3:$K$33,8,0)*玩法行为规划!R97)</f>
        <v>0.49995000000000001</v>
      </c>
      <c r="T97" s="7">
        <f>IF(VLOOKUP(T$2,行为概览!$D$3:$K$33,8,0)="","",VLOOKUP(T$2,行为概览!$D$3:$K$33,8,0)*玩法行为规划!S97)</f>
        <v>0</v>
      </c>
      <c r="U97" s="7">
        <f>IF(VLOOKUP(U$2,行为概览!$D$3:$K$33,8,0)="","",VLOOKUP(U$2,行为概览!$D$3:$K$33,8,0)*玩法行为规划!T97)</f>
        <v>0.49995000000000001</v>
      </c>
      <c r="V97" s="7">
        <f>IF(VLOOKUP(V$2,行为概览!$D$3:$K$33,8,0)="","",VLOOKUP(V$2,行为概览!$D$3:$K$33,8,0)*玩法行为规划!U97)</f>
        <v>0.33339999999999997</v>
      </c>
      <c r="W97" s="7" t="str">
        <f>IF(VLOOKUP(W$2,行为概览!$D$3:$K$33,8,0)="","",VLOOKUP(W$2,行为概览!$D$3:$K$33,8,0)*玩法行为规划!V97)</f>
        <v/>
      </c>
      <c r="X97" s="7" t="str">
        <f>IF(VLOOKUP(X$2,行为概览!$D$3:$K$33,8,0)="","",VLOOKUP(X$2,行为概览!$D$3:$K$33,8,0)*玩法行为规划!W97)</f>
        <v/>
      </c>
      <c r="Y97" s="7">
        <f>IF(VLOOKUP(Y$2,行为概览!$D$3:$K$33,8,0)="","",VLOOKUP(Y$2,行为概览!$D$3:$K$33,8,0)*玩法行为规划!X97)</f>
        <v>0.25</v>
      </c>
      <c r="Z97" s="7" t="str">
        <f>IF(VLOOKUP(Z$2,行为概览!$D$3:$K$33,8,0)="","",VLOOKUP(Z$2,行为概览!$D$3:$K$33,8,0)*玩法行为规划!Y97)</f>
        <v/>
      </c>
      <c r="AA97" s="7">
        <f>IF(VLOOKUP(AA$2,行为概览!$D$3:$K$33,8,0)="","",VLOOKUP(AA$2,行为概览!$D$3:$K$33,8,0)*玩法行为规划!Z97)</f>
        <v>8.3349999999999994E-2</v>
      </c>
      <c r="AB97" s="7" t="str">
        <f>IF(VLOOKUP(AB$2,行为概览!$D$3:$K$33,8,0)="","",VLOOKUP(AB$2,行为概览!$D$3:$K$33,8,0)*玩法行为规划!AA97)</f>
        <v/>
      </c>
      <c r="AC97" s="7" t="str">
        <f>IF(VLOOKUP(AC$2,行为概览!$D$3:$K$33,8,0)="","",VLOOKUP(AC$2,行为概览!$D$3:$K$33,8,0)*玩法行为规划!AB97)</f>
        <v/>
      </c>
      <c r="AD97" s="7" t="str">
        <f>IF(VLOOKUP(AD$2,行为概览!$D$3:$K$33,8,0)="","",VLOOKUP(AD$2,行为概览!$D$3:$K$33,8,0)*玩法行为规划!AC97)</f>
        <v/>
      </c>
      <c r="AE97" s="7" t="str">
        <f>IF(VLOOKUP(AE$2,行为概览!$D$3:$K$33,8,0)="","",VLOOKUP(AE$2,行为概览!$D$3:$K$33,8,0)*玩法行为规划!AD97)</f>
        <v/>
      </c>
      <c r="AF97" s="7">
        <f t="shared" si="12"/>
        <v>24.133149999999997</v>
      </c>
      <c r="AG97" s="7">
        <f t="shared" si="13"/>
        <v>11463246</v>
      </c>
      <c r="AH97" s="7">
        <f t="shared" si="16"/>
        <v>500020</v>
      </c>
      <c r="AI97" s="10" t="str">
        <f t="shared" ref="AI97:AI152" si="18">IF(--RIGHT(A97,1)=0,SUM(AH87:AH106),"")</f>
        <v/>
      </c>
      <c r="AJ97" s="73">
        <f t="shared" si="17"/>
        <v>451270</v>
      </c>
      <c r="AK97" s="77">
        <f>ROUND(AG97*升级节奏!G97/AJ102,2)</f>
        <v>296.36</v>
      </c>
      <c r="AL97" s="77">
        <f>ROUND(AG97*升级节奏!G97/SUM($AJ$3:AJ102),2)</f>
        <v>8.76</v>
      </c>
      <c r="AM97" s="74">
        <f>ROUND(AG97*升级节奏!G97,0)</f>
        <v>148186336</v>
      </c>
      <c r="AN97" s="77">
        <f>ROUND(SUM($AM$3:AM97)/SUM($AJ$3:AJ102),2)</f>
        <v>173.29</v>
      </c>
      <c r="AO97" s="7">
        <f t="shared" si="14"/>
        <v>7917</v>
      </c>
      <c r="AP97" s="7">
        <f t="shared" si="15"/>
        <v>57</v>
      </c>
    </row>
    <row r="98" spans="1:42">
      <c r="A98" s="32">
        <v>96</v>
      </c>
      <c r="B98" s="87">
        <f>升级节奏!D98</f>
        <v>480000</v>
      </c>
      <c r="C98" s="7">
        <f>IF(VLOOKUP(C$2,行为概览!$D$3:$K$33,8,0)="","",VLOOKUP(C$2,行为概览!$D$3:$K$33,8,0)*玩法行为规划!B98)</f>
        <v>0.99990000000000001</v>
      </c>
      <c r="D98" s="7">
        <f>IF(VLOOKUP(D$2,行为概览!$D$3:$K$33,8,0)="","",VLOOKUP(D$2,行为概览!$D$3:$K$33,8,0)*玩法行为规划!C98)</f>
        <v>1.1000000000000001</v>
      </c>
      <c r="E98" s="7" t="str">
        <f>IF(VLOOKUP(E$2,行为概览!$D$3:$K$33,8,0)="","",VLOOKUP(E$2,行为概览!$D$3:$K$33,8,0)*玩法行为规划!D98)</f>
        <v/>
      </c>
      <c r="F98" s="7">
        <f>IF(VLOOKUP(F$2,行为概览!$D$3:$K$33,8,0)="","",VLOOKUP(F$2,行为概览!$D$3:$K$33,8,0)*玩法行为规划!E98)</f>
        <v>1.5</v>
      </c>
      <c r="G98" s="7">
        <f>IF(VLOOKUP(G$2,行为概览!$D$3:$K$33,8,0)="","",VLOOKUP(G$2,行为概览!$D$3:$K$33,8,0)*玩法行为规划!F98)</f>
        <v>0.66659999999999997</v>
      </c>
      <c r="H98" s="7" t="str">
        <f>IF(VLOOKUP(H$2,行为概览!$D$3:$K$33,8,0)="","",VLOOKUP(H$2,行为概览!$D$3:$K$33,8,0)*玩法行为规划!G98)</f>
        <v/>
      </c>
      <c r="I98" s="7" t="str">
        <f>IF(VLOOKUP(I$2,行为概览!$D$3:$K$33,8,0)="","",VLOOKUP(I$2,行为概览!$D$3:$K$33,8,0)*玩法行为规划!H98)</f>
        <v/>
      </c>
      <c r="J98" s="7" t="str">
        <f>IF(VLOOKUP(J$2,行为概览!$D$3:$K$33,8,0)="","",VLOOKUP(J$2,行为概览!$D$3:$K$33,8,0)*玩法行为规划!I98)</f>
        <v/>
      </c>
      <c r="K98" s="7">
        <f>IF(VLOOKUP(K$2,行为概览!$D$3:$K$33,8,0)="","",VLOOKUP(K$2,行为概览!$D$3:$K$33,8,0)*玩法行为规划!J98)</f>
        <v>1</v>
      </c>
      <c r="L98" s="7" t="str">
        <f>IF(VLOOKUP(L$2,行为概览!$D$3:$K$33,8,0)="","",VLOOKUP(L$2,行为概览!$D$3:$K$33,8,0)*玩法行为规划!K98)</f>
        <v/>
      </c>
      <c r="M98" s="7" t="str">
        <f>IF(VLOOKUP(M$2,行为概览!$D$3:$K$33,8,0)="","",VLOOKUP(M$2,行为概览!$D$3:$K$33,8,0)*玩法行为规划!L98)</f>
        <v/>
      </c>
      <c r="N98" s="7">
        <f>IF(VLOOKUP(N$2,行为概览!$D$3:$K$33,8,0)="","",VLOOKUP(N$2,行为概览!$D$3:$K$33,8,0)*玩法行为规划!M98)</f>
        <v>12</v>
      </c>
      <c r="O98" s="7" t="str">
        <f>IF(VLOOKUP(O$2,行为概览!$D$3:$K$33,8,0)="","",VLOOKUP(O$2,行为概览!$D$3:$K$33,8,0)*玩法行为规划!N98)</f>
        <v/>
      </c>
      <c r="P98" s="7" t="str">
        <f>IF(VLOOKUP(P$2,行为概览!$D$3:$K$33,8,0)="","",VLOOKUP(P$2,行为概览!$D$3:$K$33,8,0)*玩法行为规划!O98)</f>
        <v/>
      </c>
      <c r="Q98" s="7">
        <f>IF(VLOOKUP(Q$2,行为概览!$D$3:$K$33,8,0)="","",VLOOKUP(Q$2,行为概览!$D$3:$K$33,8,0)*玩法行为规划!P98)</f>
        <v>5.2</v>
      </c>
      <c r="R98" s="7" t="str">
        <f>IF(VLOOKUP(R$2,行为概览!$D$3:$K$33,8,0)="","",VLOOKUP(R$2,行为概览!$D$3:$K$33,8,0)*玩法行为规划!Q98)</f>
        <v/>
      </c>
      <c r="S98" s="7">
        <f>IF(VLOOKUP(S$2,行为概览!$D$3:$K$33,8,0)="","",VLOOKUP(S$2,行为概览!$D$3:$K$33,8,0)*玩法行为规划!R98)</f>
        <v>0.49995000000000001</v>
      </c>
      <c r="T98" s="7">
        <f>IF(VLOOKUP(T$2,行为概览!$D$3:$K$33,8,0)="","",VLOOKUP(T$2,行为概览!$D$3:$K$33,8,0)*玩法行为规划!S98)</f>
        <v>0</v>
      </c>
      <c r="U98" s="7">
        <f>IF(VLOOKUP(U$2,行为概览!$D$3:$K$33,8,0)="","",VLOOKUP(U$2,行为概览!$D$3:$K$33,8,0)*玩法行为规划!T98)</f>
        <v>0.49995000000000001</v>
      </c>
      <c r="V98" s="7">
        <f>IF(VLOOKUP(V$2,行为概览!$D$3:$K$33,8,0)="","",VLOOKUP(V$2,行为概览!$D$3:$K$33,8,0)*玩法行为规划!U98)</f>
        <v>0.33339999999999997</v>
      </c>
      <c r="W98" s="7" t="str">
        <f>IF(VLOOKUP(W$2,行为概览!$D$3:$K$33,8,0)="","",VLOOKUP(W$2,行为概览!$D$3:$K$33,8,0)*玩法行为规划!V98)</f>
        <v/>
      </c>
      <c r="X98" s="7" t="str">
        <f>IF(VLOOKUP(X$2,行为概览!$D$3:$K$33,8,0)="","",VLOOKUP(X$2,行为概览!$D$3:$K$33,8,0)*玩法行为规划!W98)</f>
        <v/>
      </c>
      <c r="Y98" s="7">
        <f>IF(VLOOKUP(Y$2,行为概览!$D$3:$K$33,8,0)="","",VLOOKUP(Y$2,行为概览!$D$3:$K$33,8,0)*玩法行为规划!X98)</f>
        <v>0.25</v>
      </c>
      <c r="Z98" s="7" t="str">
        <f>IF(VLOOKUP(Z$2,行为概览!$D$3:$K$33,8,0)="","",VLOOKUP(Z$2,行为概览!$D$3:$K$33,8,0)*玩法行为规划!Y98)</f>
        <v/>
      </c>
      <c r="AA98" s="7">
        <f>IF(VLOOKUP(AA$2,行为概览!$D$3:$K$33,8,0)="","",VLOOKUP(AA$2,行为概览!$D$3:$K$33,8,0)*玩法行为规划!Z98)</f>
        <v>8.3349999999999994E-2</v>
      </c>
      <c r="AB98" s="7" t="str">
        <f>IF(VLOOKUP(AB$2,行为概览!$D$3:$K$33,8,0)="","",VLOOKUP(AB$2,行为概览!$D$3:$K$33,8,0)*玩法行为规划!AA98)</f>
        <v/>
      </c>
      <c r="AC98" s="7" t="str">
        <f>IF(VLOOKUP(AC$2,行为概览!$D$3:$K$33,8,0)="","",VLOOKUP(AC$2,行为概览!$D$3:$K$33,8,0)*玩法行为规划!AB98)</f>
        <v/>
      </c>
      <c r="AD98" s="7" t="str">
        <f>IF(VLOOKUP(AD$2,行为概览!$D$3:$K$33,8,0)="","",VLOOKUP(AD$2,行为概览!$D$3:$K$33,8,0)*玩法行为规划!AC98)</f>
        <v/>
      </c>
      <c r="AE98" s="7" t="str">
        <f>IF(VLOOKUP(AE$2,行为概览!$D$3:$K$33,8,0)="","",VLOOKUP(AE$2,行为概览!$D$3:$K$33,8,0)*玩法行为规划!AD98)</f>
        <v/>
      </c>
      <c r="AF98" s="7">
        <f t="shared" si="12"/>
        <v>24.133149999999997</v>
      </c>
      <c r="AG98" s="7">
        <f t="shared" si="13"/>
        <v>11583912</v>
      </c>
      <c r="AH98" s="7">
        <f t="shared" si="16"/>
        <v>510070</v>
      </c>
      <c r="AI98" s="10" t="str">
        <f t="shared" si="18"/>
        <v/>
      </c>
      <c r="AJ98" s="73">
        <f t="shared" si="17"/>
        <v>460820</v>
      </c>
      <c r="AK98" s="77">
        <f>ROUND(AG98*升级节奏!G98/AJ103,2)</f>
        <v>299.72000000000003</v>
      </c>
      <c r="AL98" s="77">
        <f>ROUND(AG98*升级节奏!G98/SUM($AJ$3:AJ103),2)</f>
        <v>8.77</v>
      </c>
      <c r="AM98" s="74">
        <f>ROUND(AG98*升级节奏!G98,0)</f>
        <v>152880609</v>
      </c>
      <c r="AN98" s="77">
        <f>ROUND(SUM($AM$3:AM98)/SUM($AJ$3:AJ103),2)</f>
        <v>176.99</v>
      </c>
      <c r="AO98" s="7">
        <f t="shared" si="14"/>
        <v>8000</v>
      </c>
      <c r="AP98" s="7">
        <f t="shared" si="15"/>
        <v>58</v>
      </c>
    </row>
    <row r="99" spans="1:42">
      <c r="A99" s="32">
        <v>97</v>
      </c>
      <c r="B99" s="87">
        <f>升级节奏!D99</f>
        <v>485000</v>
      </c>
      <c r="C99" s="7">
        <f>IF(VLOOKUP(C$2,行为概览!$D$3:$K$33,8,0)="","",VLOOKUP(C$2,行为概览!$D$3:$K$33,8,0)*玩法行为规划!B99)</f>
        <v>0.99990000000000001</v>
      </c>
      <c r="D99" s="7">
        <f>IF(VLOOKUP(D$2,行为概览!$D$3:$K$33,8,0)="","",VLOOKUP(D$2,行为概览!$D$3:$K$33,8,0)*玩法行为规划!C99)</f>
        <v>1.1000000000000001</v>
      </c>
      <c r="E99" s="7" t="str">
        <f>IF(VLOOKUP(E$2,行为概览!$D$3:$K$33,8,0)="","",VLOOKUP(E$2,行为概览!$D$3:$K$33,8,0)*玩法行为规划!D99)</f>
        <v/>
      </c>
      <c r="F99" s="7">
        <f>IF(VLOOKUP(F$2,行为概览!$D$3:$K$33,8,0)="","",VLOOKUP(F$2,行为概览!$D$3:$K$33,8,0)*玩法行为规划!E99)</f>
        <v>1.5</v>
      </c>
      <c r="G99" s="7">
        <f>IF(VLOOKUP(G$2,行为概览!$D$3:$K$33,8,0)="","",VLOOKUP(G$2,行为概览!$D$3:$K$33,8,0)*玩法行为规划!F99)</f>
        <v>0.66659999999999997</v>
      </c>
      <c r="H99" s="7" t="str">
        <f>IF(VLOOKUP(H$2,行为概览!$D$3:$K$33,8,0)="","",VLOOKUP(H$2,行为概览!$D$3:$K$33,8,0)*玩法行为规划!G99)</f>
        <v/>
      </c>
      <c r="I99" s="7" t="str">
        <f>IF(VLOOKUP(I$2,行为概览!$D$3:$K$33,8,0)="","",VLOOKUP(I$2,行为概览!$D$3:$K$33,8,0)*玩法行为规划!H99)</f>
        <v/>
      </c>
      <c r="J99" s="7" t="str">
        <f>IF(VLOOKUP(J$2,行为概览!$D$3:$K$33,8,0)="","",VLOOKUP(J$2,行为概览!$D$3:$K$33,8,0)*玩法行为规划!I99)</f>
        <v/>
      </c>
      <c r="K99" s="7">
        <f>IF(VLOOKUP(K$2,行为概览!$D$3:$K$33,8,0)="","",VLOOKUP(K$2,行为概览!$D$3:$K$33,8,0)*玩法行为规划!J99)</f>
        <v>1</v>
      </c>
      <c r="L99" s="7" t="str">
        <f>IF(VLOOKUP(L$2,行为概览!$D$3:$K$33,8,0)="","",VLOOKUP(L$2,行为概览!$D$3:$K$33,8,0)*玩法行为规划!K99)</f>
        <v/>
      </c>
      <c r="M99" s="7" t="str">
        <f>IF(VLOOKUP(M$2,行为概览!$D$3:$K$33,8,0)="","",VLOOKUP(M$2,行为概览!$D$3:$K$33,8,0)*玩法行为规划!L99)</f>
        <v/>
      </c>
      <c r="N99" s="7">
        <f>IF(VLOOKUP(N$2,行为概览!$D$3:$K$33,8,0)="","",VLOOKUP(N$2,行为概览!$D$3:$K$33,8,0)*玩法行为规划!M99)</f>
        <v>12</v>
      </c>
      <c r="O99" s="7" t="str">
        <f>IF(VLOOKUP(O$2,行为概览!$D$3:$K$33,8,0)="","",VLOOKUP(O$2,行为概览!$D$3:$K$33,8,0)*玩法行为规划!N99)</f>
        <v/>
      </c>
      <c r="P99" s="7" t="str">
        <f>IF(VLOOKUP(P$2,行为概览!$D$3:$K$33,8,0)="","",VLOOKUP(P$2,行为概览!$D$3:$K$33,8,0)*玩法行为规划!O99)</f>
        <v/>
      </c>
      <c r="Q99" s="7">
        <f>IF(VLOOKUP(Q$2,行为概览!$D$3:$K$33,8,0)="","",VLOOKUP(Q$2,行为概览!$D$3:$K$33,8,0)*玩法行为规划!P99)</f>
        <v>5.2</v>
      </c>
      <c r="R99" s="7" t="str">
        <f>IF(VLOOKUP(R$2,行为概览!$D$3:$K$33,8,0)="","",VLOOKUP(R$2,行为概览!$D$3:$K$33,8,0)*玩法行为规划!Q99)</f>
        <v/>
      </c>
      <c r="S99" s="7">
        <f>IF(VLOOKUP(S$2,行为概览!$D$3:$K$33,8,0)="","",VLOOKUP(S$2,行为概览!$D$3:$K$33,8,0)*玩法行为规划!R99)</f>
        <v>0.49995000000000001</v>
      </c>
      <c r="T99" s="7">
        <f>IF(VLOOKUP(T$2,行为概览!$D$3:$K$33,8,0)="","",VLOOKUP(T$2,行为概览!$D$3:$K$33,8,0)*玩法行为规划!S99)</f>
        <v>0</v>
      </c>
      <c r="U99" s="7">
        <f>IF(VLOOKUP(U$2,行为概览!$D$3:$K$33,8,0)="","",VLOOKUP(U$2,行为概览!$D$3:$K$33,8,0)*玩法行为规划!T99)</f>
        <v>0.49995000000000001</v>
      </c>
      <c r="V99" s="7">
        <f>IF(VLOOKUP(V$2,行为概览!$D$3:$K$33,8,0)="","",VLOOKUP(V$2,行为概览!$D$3:$K$33,8,0)*玩法行为规划!U99)</f>
        <v>0.33339999999999997</v>
      </c>
      <c r="W99" s="7" t="str">
        <f>IF(VLOOKUP(W$2,行为概览!$D$3:$K$33,8,0)="","",VLOOKUP(W$2,行为概览!$D$3:$K$33,8,0)*玩法行为规划!V99)</f>
        <v/>
      </c>
      <c r="X99" s="7" t="str">
        <f>IF(VLOOKUP(X$2,行为概览!$D$3:$K$33,8,0)="","",VLOOKUP(X$2,行为概览!$D$3:$K$33,8,0)*玩法行为规划!W99)</f>
        <v/>
      </c>
      <c r="Y99" s="7">
        <f>IF(VLOOKUP(Y$2,行为概览!$D$3:$K$33,8,0)="","",VLOOKUP(Y$2,行为概览!$D$3:$K$33,8,0)*玩法行为规划!X99)</f>
        <v>0.25</v>
      </c>
      <c r="Z99" s="7" t="str">
        <f>IF(VLOOKUP(Z$2,行为概览!$D$3:$K$33,8,0)="","",VLOOKUP(Z$2,行为概览!$D$3:$K$33,8,0)*玩法行为规划!Y99)</f>
        <v/>
      </c>
      <c r="AA99" s="7">
        <f>IF(VLOOKUP(AA$2,行为概览!$D$3:$K$33,8,0)="","",VLOOKUP(AA$2,行为概览!$D$3:$K$33,8,0)*玩法行为规划!Z99)</f>
        <v>8.3349999999999994E-2</v>
      </c>
      <c r="AB99" s="7" t="str">
        <f>IF(VLOOKUP(AB$2,行为概览!$D$3:$K$33,8,0)="","",VLOOKUP(AB$2,行为概览!$D$3:$K$33,8,0)*玩法行为规划!AA99)</f>
        <v/>
      </c>
      <c r="AC99" s="7" t="str">
        <f>IF(VLOOKUP(AC$2,行为概览!$D$3:$K$33,8,0)="","",VLOOKUP(AC$2,行为概览!$D$3:$K$33,8,0)*玩法行为规划!AB99)</f>
        <v/>
      </c>
      <c r="AD99" s="7" t="str">
        <f>IF(VLOOKUP(AD$2,行为概览!$D$3:$K$33,8,0)="","",VLOOKUP(AD$2,行为概览!$D$3:$K$33,8,0)*玩法行为规划!AC99)</f>
        <v/>
      </c>
      <c r="AE99" s="7" t="str">
        <f>IF(VLOOKUP(AE$2,行为概览!$D$3:$K$33,8,0)="","",VLOOKUP(AE$2,行为概览!$D$3:$K$33,8,0)*玩法行为规划!AD99)</f>
        <v/>
      </c>
      <c r="AF99" s="7">
        <f t="shared" ref="AF99:AF130" si="19">SUM(C99:AC99)</f>
        <v>24.133149999999997</v>
      </c>
      <c r="AG99" s="7">
        <f t="shared" ref="AG99:AG130" si="20">INT(B99*AF99)</f>
        <v>11704577</v>
      </c>
      <c r="AH99" s="7">
        <f t="shared" si="16"/>
        <v>520220</v>
      </c>
      <c r="AI99" s="10" t="str">
        <f t="shared" si="18"/>
        <v/>
      </c>
      <c r="AJ99" s="73">
        <f t="shared" si="17"/>
        <v>470470</v>
      </c>
      <c r="AK99" s="77">
        <f>ROUND(AG99*升级节奏!G99/AJ104,2)</f>
        <v>303.08999999999997</v>
      </c>
      <c r="AL99" s="77">
        <f>ROUND(AG99*升级节奏!G99/SUM($AJ$3:AJ104),2)</f>
        <v>8.7799999999999994</v>
      </c>
      <c r="AM99" s="74">
        <f>ROUND(AG99*升级节奏!G99,0)</f>
        <v>157673332</v>
      </c>
      <c r="AN99" s="77">
        <f>ROUND(SUM($AM$3:AM99)/SUM($AJ$3:AJ104),2)</f>
        <v>180.65</v>
      </c>
      <c r="AO99" s="7">
        <f t="shared" ref="AO99:AO130" si="21">ROUND(B99/60,0)</f>
        <v>8083</v>
      </c>
      <c r="AP99" s="7">
        <f t="shared" ref="AP99:AP130" si="22">ROUND(AJ99/AO99,0)</f>
        <v>58</v>
      </c>
    </row>
    <row r="100" spans="1:42">
      <c r="A100" s="32">
        <v>98</v>
      </c>
      <c r="B100" s="87">
        <f>升级节奏!D100</f>
        <v>490000</v>
      </c>
      <c r="C100" s="7">
        <f>IF(VLOOKUP(C$2,行为概览!$D$3:$K$33,8,0)="","",VLOOKUP(C$2,行为概览!$D$3:$K$33,8,0)*玩法行为规划!B100)</f>
        <v>0.99990000000000001</v>
      </c>
      <c r="D100" s="7">
        <f>IF(VLOOKUP(D$2,行为概览!$D$3:$K$33,8,0)="","",VLOOKUP(D$2,行为概览!$D$3:$K$33,8,0)*玩法行为规划!C100)</f>
        <v>1.1000000000000001</v>
      </c>
      <c r="E100" s="7" t="str">
        <f>IF(VLOOKUP(E$2,行为概览!$D$3:$K$33,8,0)="","",VLOOKUP(E$2,行为概览!$D$3:$K$33,8,0)*玩法行为规划!D100)</f>
        <v/>
      </c>
      <c r="F100" s="7">
        <f>IF(VLOOKUP(F$2,行为概览!$D$3:$K$33,8,0)="","",VLOOKUP(F$2,行为概览!$D$3:$K$33,8,0)*玩法行为规划!E100)</f>
        <v>1.5</v>
      </c>
      <c r="G100" s="7">
        <f>IF(VLOOKUP(G$2,行为概览!$D$3:$K$33,8,0)="","",VLOOKUP(G$2,行为概览!$D$3:$K$33,8,0)*玩法行为规划!F100)</f>
        <v>0.66659999999999997</v>
      </c>
      <c r="H100" s="7" t="str">
        <f>IF(VLOOKUP(H$2,行为概览!$D$3:$K$33,8,0)="","",VLOOKUP(H$2,行为概览!$D$3:$K$33,8,0)*玩法行为规划!G100)</f>
        <v/>
      </c>
      <c r="I100" s="7" t="str">
        <f>IF(VLOOKUP(I$2,行为概览!$D$3:$K$33,8,0)="","",VLOOKUP(I$2,行为概览!$D$3:$K$33,8,0)*玩法行为规划!H100)</f>
        <v/>
      </c>
      <c r="J100" s="7" t="str">
        <f>IF(VLOOKUP(J$2,行为概览!$D$3:$K$33,8,0)="","",VLOOKUP(J$2,行为概览!$D$3:$K$33,8,0)*玩法行为规划!I100)</f>
        <v/>
      </c>
      <c r="K100" s="7">
        <f>IF(VLOOKUP(K$2,行为概览!$D$3:$K$33,8,0)="","",VLOOKUP(K$2,行为概览!$D$3:$K$33,8,0)*玩法行为规划!J100)</f>
        <v>1</v>
      </c>
      <c r="L100" s="7" t="str">
        <f>IF(VLOOKUP(L$2,行为概览!$D$3:$K$33,8,0)="","",VLOOKUP(L$2,行为概览!$D$3:$K$33,8,0)*玩法行为规划!K100)</f>
        <v/>
      </c>
      <c r="M100" s="7" t="str">
        <f>IF(VLOOKUP(M$2,行为概览!$D$3:$K$33,8,0)="","",VLOOKUP(M$2,行为概览!$D$3:$K$33,8,0)*玩法行为规划!L100)</f>
        <v/>
      </c>
      <c r="N100" s="7">
        <f>IF(VLOOKUP(N$2,行为概览!$D$3:$K$33,8,0)="","",VLOOKUP(N$2,行为概览!$D$3:$K$33,8,0)*玩法行为规划!M100)</f>
        <v>12</v>
      </c>
      <c r="O100" s="7" t="str">
        <f>IF(VLOOKUP(O$2,行为概览!$D$3:$K$33,8,0)="","",VLOOKUP(O$2,行为概览!$D$3:$K$33,8,0)*玩法行为规划!N100)</f>
        <v/>
      </c>
      <c r="P100" s="7" t="str">
        <f>IF(VLOOKUP(P$2,行为概览!$D$3:$K$33,8,0)="","",VLOOKUP(P$2,行为概览!$D$3:$K$33,8,0)*玩法行为规划!O100)</f>
        <v/>
      </c>
      <c r="Q100" s="7">
        <f>IF(VLOOKUP(Q$2,行为概览!$D$3:$K$33,8,0)="","",VLOOKUP(Q$2,行为概览!$D$3:$K$33,8,0)*玩法行为规划!P100)</f>
        <v>5.2</v>
      </c>
      <c r="R100" s="7" t="str">
        <f>IF(VLOOKUP(R$2,行为概览!$D$3:$K$33,8,0)="","",VLOOKUP(R$2,行为概览!$D$3:$K$33,8,0)*玩法行为规划!Q100)</f>
        <v/>
      </c>
      <c r="S100" s="7">
        <f>IF(VLOOKUP(S$2,行为概览!$D$3:$K$33,8,0)="","",VLOOKUP(S$2,行为概览!$D$3:$K$33,8,0)*玩法行为规划!R100)</f>
        <v>0.49995000000000001</v>
      </c>
      <c r="T100" s="7">
        <f>IF(VLOOKUP(T$2,行为概览!$D$3:$K$33,8,0)="","",VLOOKUP(T$2,行为概览!$D$3:$K$33,8,0)*玩法行为规划!S100)</f>
        <v>0</v>
      </c>
      <c r="U100" s="7">
        <f>IF(VLOOKUP(U$2,行为概览!$D$3:$K$33,8,0)="","",VLOOKUP(U$2,行为概览!$D$3:$K$33,8,0)*玩法行为规划!T100)</f>
        <v>0.49995000000000001</v>
      </c>
      <c r="V100" s="7">
        <f>IF(VLOOKUP(V$2,行为概览!$D$3:$K$33,8,0)="","",VLOOKUP(V$2,行为概览!$D$3:$K$33,8,0)*玩法行为规划!U100)</f>
        <v>0.33339999999999997</v>
      </c>
      <c r="W100" s="7" t="str">
        <f>IF(VLOOKUP(W$2,行为概览!$D$3:$K$33,8,0)="","",VLOOKUP(W$2,行为概览!$D$3:$K$33,8,0)*玩法行为规划!V100)</f>
        <v/>
      </c>
      <c r="X100" s="7" t="str">
        <f>IF(VLOOKUP(X$2,行为概览!$D$3:$K$33,8,0)="","",VLOOKUP(X$2,行为概览!$D$3:$K$33,8,0)*玩法行为规划!W100)</f>
        <v/>
      </c>
      <c r="Y100" s="7">
        <f>IF(VLOOKUP(Y$2,行为概览!$D$3:$K$33,8,0)="","",VLOOKUP(Y$2,行为概览!$D$3:$K$33,8,0)*玩法行为规划!X100)</f>
        <v>0.25</v>
      </c>
      <c r="Z100" s="7" t="str">
        <f>IF(VLOOKUP(Z$2,行为概览!$D$3:$K$33,8,0)="","",VLOOKUP(Z$2,行为概览!$D$3:$K$33,8,0)*玩法行为规划!Y100)</f>
        <v/>
      </c>
      <c r="AA100" s="7">
        <f>IF(VLOOKUP(AA$2,行为概览!$D$3:$K$33,8,0)="","",VLOOKUP(AA$2,行为概览!$D$3:$K$33,8,0)*玩法行为规划!Z100)</f>
        <v>8.3349999999999994E-2</v>
      </c>
      <c r="AB100" s="7" t="str">
        <f>IF(VLOOKUP(AB$2,行为概览!$D$3:$K$33,8,0)="","",VLOOKUP(AB$2,行为概览!$D$3:$K$33,8,0)*玩法行为规划!AA100)</f>
        <v/>
      </c>
      <c r="AC100" s="7" t="str">
        <f>IF(VLOOKUP(AC$2,行为概览!$D$3:$K$33,8,0)="","",VLOOKUP(AC$2,行为概览!$D$3:$K$33,8,0)*玩法行为规划!AB100)</f>
        <v/>
      </c>
      <c r="AD100" s="7" t="str">
        <f>IF(VLOOKUP(AD$2,行为概览!$D$3:$K$33,8,0)="","",VLOOKUP(AD$2,行为概览!$D$3:$K$33,8,0)*玩法行为规划!AC100)</f>
        <v/>
      </c>
      <c r="AE100" s="7" t="str">
        <f>IF(VLOOKUP(AE$2,行为概览!$D$3:$K$33,8,0)="","",VLOOKUP(AE$2,行为概览!$D$3:$K$33,8,0)*玩法行为规划!AD100)</f>
        <v/>
      </c>
      <c r="AF100" s="7">
        <f t="shared" si="19"/>
        <v>24.133149999999997</v>
      </c>
      <c r="AG100" s="7">
        <f t="shared" si="20"/>
        <v>11825243</v>
      </c>
      <c r="AH100" s="7">
        <f t="shared" si="16"/>
        <v>530470</v>
      </c>
      <c r="AI100" s="10" t="str">
        <f t="shared" si="18"/>
        <v/>
      </c>
      <c r="AJ100" s="73">
        <f t="shared" si="17"/>
        <v>480220</v>
      </c>
      <c r="AK100" s="77">
        <f>ROUND(AG100*升级节奏!G100/AJ105,2)</f>
        <v>306.45999999999998</v>
      </c>
      <c r="AL100" s="77">
        <f>ROUND(AG100*升级节奏!G100/SUM($AJ$3:AJ105),2)</f>
        <v>8.8000000000000007</v>
      </c>
      <c r="AM100" s="74">
        <f>ROUND(AG100*升级节奏!G100,0)</f>
        <v>162565557</v>
      </c>
      <c r="AN100" s="77">
        <f>ROUND(SUM($AM$3:AM100)/SUM($AJ$3:AJ105),2)</f>
        <v>184.26</v>
      </c>
      <c r="AO100" s="7">
        <f t="shared" si="21"/>
        <v>8167</v>
      </c>
      <c r="AP100" s="7">
        <f t="shared" si="22"/>
        <v>59</v>
      </c>
    </row>
    <row r="101" spans="1:42">
      <c r="A101" s="32">
        <v>99</v>
      </c>
      <c r="B101" s="87">
        <f>升级节奏!D101</f>
        <v>495000</v>
      </c>
      <c r="C101" s="7">
        <f>IF(VLOOKUP(C$2,行为概览!$D$3:$K$33,8,0)="","",VLOOKUP(C$2,行为概览!$D$3:$K$33,8,0)*玩法行为规划!B101)</f>
        <v>0.99990000000000001</v>
      </c>
      <c r="D101" s="7">
        <f>IF(VLOOKUP(D$2,行为概览!$D$3:$K$33,8,0)="","",VLOOKUP(D$2,行为概览!$D$3:$K$33,8,0)*玩法行为规划!C101)</f>
        <v>1.1000000000000001</v>
      </c>
      <c r="E101" s="7" t="str">
        <f>IF(VLOOKUP(E$2,行为概览!$D$3:$K$33,8,0)="","",VLOOKUP(E$2,行为概览!$D$3:$K$33,8,0)*玩法行为规划!D101)</f>
        <v/>
      </c>
      <c r="F101" s="7">
        <f>IF(VLOOKUP(F$2,行为概览!$D$3:$K$33,8,0)="","",VLOOKUP(F$2,行为概览!$D$3:$K$33,8,0)*玩法行为规划!E101)</f>
        <v>1.5</v>
      </c>
      <c r="G101" s="7">
        <f>IF(VLOOKUP(G$2,行为概览!$D$3:$K$33,8,0)="","",VLOOKUP(G$2,行为概览!$D$3:$K$33,8,0)*玩法行为规划!F101)</f>
        <v>0.66659999999999997</v>
      </c>
      <c r="H101" s="7" t="str">
        <f>IF(VLOOKUP(H$2,行为概览!$D$3:$K$33,8,0)="","",VLOOKUP(H$2,行为概览!$D$3:$K$33,8,0)*玩法行为规划!G101)</f>
        <v/>
      </c>
      <c r="I101" s="7" t="str">
        <f>IF(VLOOKUP(I$2,行为概览!$D$3:$K$33,8,0)="","",VLOOKUP(I$2,行为概览!$D$3:$K$33,8,0)*玩法行为规划!H101)</f>
        <v/>
      </c>
      <c r="J101" s="7" t="str">
        <f>IF(VLOOKUP(J$2,行为概览!$D$3:$K$33,8,0)="","",VLOOKUP(J$2,行为概览!$D$3:$K$33,8,0)*玩法行为规划!I101)</f>
        <v/>
      </c>
      <c r="K101" s="7">
        <f>IF(VLOOKUP(K$2,行为概览!$D$3:$K$33,8,0)="","",VLOOKUP(K$2,行为概览!$D$3:$K$33,8,0)*玩法行为规划!J101)</f>
        <v>1</v>
      </c>
      <c r="L101" s="7" t="str">
        <f>IF(VLOOKUP(L$2,行为概览!$D$3:$K$33,8,0)="","",VLOOKUP(L$2,行为概览!$D$3:$K$33,8,0)*玩法行为规划!K101)</f>
        <v/>
      </c>
      <c r="M101" s="7" t="str">
        <f>IF(VLOOKUP(M$2,行为概览!$D$3:$K$33,8,0)="","",VLOOKUP(M$2,行为概览!$D$3:$K$33,8,0)*玩法行为规划!L101)</f>
        <v/>
      </c>
      <c r="N101" s="7">
        <f>IF(VLOOKUP(N$2,行为概览!$D$3:$K$33,8,0)="","",VLOOKUP(N$2,行为概览!$D$3:$K$33,8,0)*玩法行为规划!M101)</f>
        <v>12</v>
      </c>
      <c r="O101" s="7" t="str">
        <f>IF(VLOOKUP(O$2,行为概览!$D$3:$K$33,8,0)="","",VLOOKUP(O$2,行为概览!$D$3:$K$33,8,0)*玩法行为规划!N101)</f>
        <v/>
      </c>
      <c r="P101" s="7" t="str">
        <f>IF(VLOOKUP(P$2,行为概览!$D$3:$K$33,8,0)="","",VLOOKUP(P$2,行为概览!$D$3:$K$33,8,0)*玩法行为规划!O101)</f>
        <v/>
      </c>
      <c r="Q101" s="7">
        <f>IF(VLOOKUP(Q$2,行为概览!$D$3:$K$33,8,0)="","",VLOOKUP(Q$2,行为概览!$D$3:$K$33,8,0)*玩法行为规划!P101)</f>
        <v>5.2</v>
      </c>
      <c r="R101" s="7" t="str">
        <f>IF(VLOOKUP(R$2,行为概览!$D$3:$K$33,8,0)="","",VLOOKUP(R$2,行为概览!$D$3:$K$33,8,0)*玩法行为规划!Q101)</f>
        <v/>
      </c>
      <c r="S101" s="7">
        <f>IF(VLOOKUP(S$2,行为概览!$D$3:$K$33,8,0)="","",VLOOKUP(S$2,行为概览!$D$3:$K$33,8,0)*玩法行为规划!R101)</f>
        <v>0.49995000000000001</v>
      </c>
      <c r="T101" s="7">
        <f>IF(VLOOKUP(T$2,行为概览!$D$3:$K$33,8,0)="","",VLOOKUP(T$2,行为概览!$D$3:$K$33,8,0)*玩法行为规划!S101)</f>
        <v>0</v>
      </c>
      <c r="U101" s="7">
        <f>IF(VLOOKUP(U$2,行为概览!$D$3:$K$33,8,0)="","",VLOOKUP(U$2,行为概览!$D$3:$K$33,8,0)*玩法行为规划!T101)</f>
        <v>0.49995000000000001</v>
      </c>
      <c r="V101" s="7">
        <f>IF(VLOOKUP(V$2,行为概览!$D$3:$K$33,8,0)="","",VLOOKUP(V$2,行为概览!$D$3:$K$33,8,0)*玩法行为规划!U101)</f>
        <v>0.33339999999999997</v>
      </c>
      <c r="W101" s="7" t="str">
        <f>IF(VLOOKUP(W$2,行为概览!$D$3:$K$33,8,0)="","",VLOOKUP(W$2,行为概览!$D$3:$K$33,8,0)*玩法行为规划!V101)</f>
        <v/>
      </c>
      <c r="X101" s="7" t="str">
        <f>IF(VLOOKUP(X$2,行为概览!$D$3:$K$33,8,0)="","",VLOOKUP(X$2,行为概览!$D$3:$K$33,8,0)*玩法行为规划!W101)</f>
        <v/>
      </c>
      <c r="Y101" s="7">
        <f>IF(VLOOKUP(Y$2,行为概览!$D$3:$K$33,8,0)="","",VLOOKUP(Y$2,行为概览!$D$3:$K$33,8,0)*玩法行为规划!X101)</f>
        <v>0.25</v>
      </c>
      <c r="Z101" s="7" t="str">
        <f>IF(VLOOKUP(Z$2,行为概览!$D$3:$K$33,8,0)="","",VLOOKUP(Z$2,行为概览!$D$3:$K$33,8,0)*玩法行为规划!Y101)</f>
        <v/>
      </c>
      <c r="AA101" s="7">
        <f>IF(VLOOKUP(AA$2,行为概览!$D$3:$K$33,8,0)="","",VLOOKUP(AA$2,行为概览!$D$3:$K$33,8,0)*玩法行为规划!Z101)</f>
        <v>8.3349999999999994E-2</v>
      </c>
      <c r="AB101" s="7" t="str">
        <f>IF(VLOOKUP(AB$2,行为概览!$D$3:$K$33,8,0)="","",VLOOKUP(AB$2,行为概览!$D$3:$K$33,8,0)*玩法行为规划!AA101)</f>
        <v/>
      </c>
      <c r="AC101" s="7" t="str">
        <f>IF(VLOOKUP(AC$2,行为概览!$D$3:$K$33,8,0)="","",VLOOKUP(AC$2,行为概览!$D$3:$K$33,8,0)*玩法行为规划!AB101)</f>
        <v/>
      </c>
      <c r="AD101" s="7" t="str">
        <f>IF(VLOOKUP(AD$2,行为概览!$D$3:$K$33,8,0)="","",VLOOKUP(AD$2,行为概览!$D$3:$K$33,8,0)*玩法行为规划!AC101)</f>
        <v/>
      </c>
      <c r="AE101" s="7" t="str">
        <f>IF(VLOOKUP(AE$2,行为概览!$D$3:$K$33,8,0)="","",VLOOKUP(AE$2,行为概览!$D$3:$K$33,8,0)*玩法行为规划!AD101)</f>
        <v/>
      </c>
      <c r="AF101" s="7">
        <f t="shared" si="19"/>
        <v>24.133149999999997</v>
      </c>
      <c r="AG101" s="7">
        <f t="shared" si="20"/>
        <v>11945909</v>
      </c>
      <c r="AH101" s="7">
        <f t="shared" si="16"/>
        <v>540820</v>
      </c>
      <c r="AI101" s="10" t="str">
        <f t="shared" si="18"/>
        <v/>
      </c>
      <c r="AJ101" s="73">
        <f t="shared" si="17"/>
        <v>490070</v>
      </c>
      <c r="AK101" s="77">
        <f>ROUND(AG101*升级节奏!G101/AJ106,2)</f>
        <v>309.82</v>
      </c>
      <c r="AL101" s="77">
        <f>ROUND(AG101*升级节奏!G101/SUM($AJ$3:AJ106),2)</f>
        <v>8.81</v>
      </c>
      <c r="AM101" s="74">
        <f>ROUND(AG101*升级节奏!G101,0)</f>
        <v>167558297</v>
      </c>
      <c r="AN101" s="77">
        <f>ROUND(SUM($AM$3:AM101)/SUM($AJ$3:AJ106),2)</f>
        <v>187.83</v>
      </c>
      <c r="AO101" s="7">
        <f t="shared" si="21"/>
        <v>8250</v>
      </c>
      <c r="AP101" s="7">
        <f t="shared" si="22"/>
        <v>59</v>
      </c>
    </row>
    <row r="102" spans="1:42">
      <c r="A102" s="32">
        <v>100</v>
      </c>
      <c r="B102" s="87">
        <f>升级节奏!D102</f>
        <v>500000</v>
      </c>
      <c r="C102" s="7">
        <f>IF(VLOOKUP(C$2,行为概览!$D$3:$K$33,8,0)="","",VLOOKUP(C$2,行为概览!$D$3:$K$33,8,0)*玩法行为规划!B102)</f>
        <v>0.99990000000000001</v>
      </c>
      <c r="D102" s="7">
        <f>IF(VLOOKUP(D$2,行为概览!$D$3:$K$33,8,0)="","",VLOOKUP(D$2,行为概览!$D$3:$K$33,8,0)*玩法行为规划!C102)</f>
        <v>1.1000000000000001</v>
      </c>
      <c r="E102" s="7" t="str">
        <f>IF(VLOOKUP(E$2,行为概览!$D$3:$K$33,8,0)="","",VLOOKUP(E$2,行为概览!$D$3:$K$33,8,0)*玩法行为规划!D102)</f>
        <v/>
      </c>
      <c r="F102" s="7">
        <f>IF(VLOOKUP(F$2,行为概览!$D$3:$K$33,8,0)="","",VLOOKUP(F$2,行为概览!$D$3:$K$33,8,0)*玩法行为规划!E102)</f>
        <v>1.5</v>
      </c>
      <c r="G102" s="7">
        <f>IF(VLOOKUP(G$2,行为概览!$D$3:$K$33,8,0)="","",VLOOKUP(G$2,行为概览!$D$3:$K$33,8,0)*玩法行为规划!F102)</f>
        <v>0.66659999999999997</v>
      </c>
      <c r="H102" s="7" t="str">
        <f>IF(VLOOKUP(H$2,行为概览!$D$3:$K$33,8,0)="","",VLOOKUP(H$2,行为概览!$D$3:$K$33,8,0)*玩法行为规划!G102)</f>
        <v/>
      </c>
      <c r="I102" s="7" t="str">
        <f>IF(VLOOKUP(I$2,行为概览!$D$3:$K$33,8,0)="","",VLOOKUP(I$2,行为概览!$D$3:$K$33,8,0)*玩法行为规划!H102)</f>
        <v/>
      </c>
      <c r="J102" s="7" t="str">
        <f>IF(VLOOKUP(J$2,行为概览!$D$3:$K$33,8,0)="","",VLOOKUP(J$2,行为概览!$D$3:$K$33,8,0)*玩法行为规划!I102)</f>
        <v/>
      </c>
      <c r="K102" s="7">
        <f>IF(VLOOKUP(K$2,行为概览!$D$3:$K$33,8,0)="","",VLOOKUP(K$2,行为概览!$D$3:$K$33,8,0)*玩法行为规划!J102)</f>
        <v>1</v>
      </c>
      <c r="L102" s="7" t="str">
        <f>IF(VLOOKUP(L$2,行为概览!$D$3:$K$33,8,0)="","",VLOOKUP(L$2,行为概览!$D$3:$K$33,8,0)*玩法行为规划!K102)</f>
        <v/>
      </c>
      <c r="M102" s="7" t="str">
        <f>IF(VLOOKUP(M$2,行为概览!$D$3:$K$33,8,0)="","",VLOOKUP(M$2,行为概览!$D$3:$K$33,8,0)*玩法行为规划!L102)</f>
        <v/>
      </c>
      <c r="N102" s="7">
        <f>IF(VLOOKUP(N$2,行为概览!$D$3:$K$33,8,0)="","",VLOOKUP(N$2,行为概览!$D$3:$K$33,8,0)*玩法行为规划!M102)</f>
        <v>12</v>
      </c>
      <c r="O102" s="7" t="str">
        <f>IF(VLOOKUP(O$2,行为概览!$D$3:$K$33,8,0)="","",VLOOKUP(O$2,行为概览!$D$3:$K$33,8,0)*玩法行为规划!N102)</f>
        <v/>
      </c>
      <c r="P102" s="7" t="str">
        <f>IF(VLOOKUP(P$2,行为概览!$D$3:$K$33,8,0)="","",VLOOKUP(P$2,行为概览!$D$3:$K$33,8,0)*玩法行为规划!O102)</f>
        <v/>
      </c>
      <c r="Q102" s="7">
        <f>IF(VLOOKUP(Q$2,行为概览!$D$3:$K$33,8,0)="","",VLOOKUP(Q$2,行为概览!$D$3:$K$33,8,0)*玩法行为规划!P102)</f>
        <v>5.2</v>
      </c>
      <c r="R102" s="7" t="str">
        <f>IF(VLOOKUP(R$2,行为概览!$D$3:$K$33,8,0)="","",VLOOKUP(R$2,行为概览!$D$3:$K$33,8,0)*玩法行为规划!Q102)</f>
        <v/>
      </c>
      <c r="S102" s="7">
        <f>IF(VLOOKUP(S$2,行为概览!$D$3:$K$33,8,0)="","",VLOOKUP(S$2,行为概览!$D$3:$K$33,8,0)*玩法行为规划!R102)</f>
        <v>0.49995000000000001</v>
      </c>
      <c r="T102" s="7">
        <f>IF(VLOOKUP(T$2,行为概览!$D$3:$K$33,8,0)="","",VLOOKUP(T$2,行为概览!$D$3:$K$33,8,0)*玩法行为规划!S102)</f>
        <v>0</v>
      </c>
      <c r="U102" s="7">
        <f>IF(VLOOKUP(U$2,行为概览!$D$3:$K$33,8,0)="","",VLOOKUP(U$2,行为概览!$D$3:$K$33,8,0)*玩法行为规划!T102)</f>
        <v>0.49995000000000001</v>
      </c>
      <c r="V102" s="7">
        <f>IF(VLOOKUP(V$2,行为概览!$D$3:$K$33,8,0)="","",VLOOKUP(V$2,行为概览!$D$3:$K$33,8,0)*玩法行为规划!U102)</f>
        <v>0.33339999999999997</v>
      </c>
      <c r="W102" s="7" t="str">
        <f>IF(VLOOKUP(W$2,行为概览!$D$3:$K$33,8,0)="","",VLOOKUP(W$2,行为概览!$D$3:$K$33,8,0)*玩法行为规划!V102)</f>
        <v/>
      </c>
      <c r="X102" s="7" t="str">
        <f>IF(VLOOKUP(X$2,行为概览!$D$3:$K$33,8,0)="","",VLOOKUP(X$2,行为概览!$D$3:$K$33,8,0)*玩法行为规划!W102)</f>
        <v/>
      </c>
      <c r="Y102" s="7">
        <f>IF(VLOOKUP(Y$2,行为概览!$D$3:$K$33,8,0)="","",VLOOKUP(Y$2,行为概览!$D$3:$K$33,8,0)*玩法行为规划!X102)</f>
        <v>0.25</v>
      </c>
      <c r="Z102" s="7" t="str">
        <f>IF(VLOOKUP(Z$2,行为概览!$D$3:$K$33,8,0)="","",VLOOKUP(Z$2,行为概览!$D$3:$K$33,8,0)*玩法行为规划!Y102)</f>
        <v/>
      </c>
      <c r="AA102" s="7">
        <f>IF(VLOOKUP(AA$2,行为概览!$D$3:$K$33,8,0)="","",VLOOKUP(AA$2,行为概览!$D$3:$K$33,8,0)*玩法行为规划!Z102)</f>
        <v>8.3349999999999994E-2</v>
      </c>
      <c r="AB102" s="7" t="str">
        <f>IF(VLOOKUP(AB$2,行为概览!$D$3:$K$33,8,0)="","",VLOOKUP(AB$2,行为概览!$D$3:$K$33,8,0)*玩法行为规划!AA102)</f>
        <v/>
      </c>
      <c r="AC102" s="7" t="str">
        <f>IF(VLOOKUP(AC$2,行为概览!$D$3:$K$33,8,0)="","",VLOOKUP(AC$2,行为概览!$D$3:$K$33,8,0)*玩法行为规划!AB102)</f>
        <v/>
      </c>
      <c r="AD102" s="7" t="str">
        <f>IF(VLOOKUP(AD$2,行为概览!$D$3:$K$33,8,0)="","",VLOOKUP(AD$2,行为概览!$D$3:$K$33,8,0)*玩法行为规划!AC102)</f>
        <v/>
      </c>
      <c r="AE102" s="7" t="str">
        <f>IF(VLOOKUP(AE$2,行为概览!$D$3:$K$33,8,0)="","",VLOOKUP(AE$2,行为概览!$D$3:$K$33,8,0)*玩法行为规划!AD102)</f>
        <v/>
      </c>
      <c r="AF102" s="7">
        <f t="shared" si="19"/>
        <v>24.133149999999997</v>
      </c>
      <c r="AG102" s="7">
        <f t="shared" si="20"/>
        <v>12066575</v>
      </c>
      <c r="AH102" s="7">
        <f t="shared" si="16"/>
        <v>551270</v>
      </c>
      <c r="AI102" s="10">
        <f t="shared" si="18"/>
        <v>10953900</v>
      </c>
      <c r="AJ102" s="73">
        <f t="shared" si="17"/>
        <v>500020</v>
      </c>
      <c r="AK102" s="77">
        <f>ROUND(AG102*升级节奏!G102/AJ107,2)</f>
        <v>313.19</v>
      </c>
      <c r="AL102" s="77">
        <f>ROUND(AG102*升级节奏!G102/SUM($AJ$3:AJ107),2)</f>
        <v>8.82</v>
      </c>
      <c r="AM102" s="74">
        <f>ROUND(AG102*升级节奏!G102,0)</f>
        <v>172652577</v>
      </c>
      <c r="AN102" s="77">
        <f>ROUND(SUM($AM$3:AM102)/SUM($AJ$3:AJ107),2)</f>
        <v>191.36</v>
      </c>
      <c r="AO102" s="7">
        <f t="shared" si="21"/>
        <v>8333</v>
      </c>
      <c r="AP102" s="7">
        <f t="shared" si="22"/>
        <v>60</v>
      </c>
    </row>
    <row r="103" spans="1:42">
      <c r="A103" s="32">
        <v>101</v>
      </c>
      <c r="B103" s="87">
        <f>升级节奏!D103</f>
        <v>505000</v>
      </c>
      <c r="C103" s="7">
        <f>IF(VLOOKUP(C$2,行为概览!$D$3:$K$33,8,0)="","",VLOOKUP(C$2,行为概览!$D$3:$K$33,8,0)*玩法行为规划!B103)</f>
        <v>0.99990000000000001</v>
      </c>
      <c r="D103" s="7">
        <f>IF(VLOOKUP(D$2,行为概览!$D$3:$K$33,8,0)="","",VLOOKUP(D$2,行为概览!$D$3:$K$33,8,0)*玩法行为规划!C103)</f>
        <v>1.1000000000000001</v>
      </c>
      <c r="E103" s="7" t="str">
        <f>IF(VLOOKUP(E$2,行为概览!$D$3:$K$33,8,0)="","",VLOOKUP(E$2,行为概览!$D$3:$K$33,8,0)*玩法行为规划!D103)</f>
        <v/>
      </c>
      <c r="F103" s="7">
        <f>IF(VLOOKUP(F$2,行为概览!$D$3:$K$33,8,0)="","",VLOOKUP(F$2,行为概览!$D$3:$K$33,8,0)*玩法行为规划!E103)</f>
        <v>1.5</v>
      </c>
      <c r="G103" s="7">
        <f>IF(VLOOKUP(G$2,行为概览!$D$3:$K$33,8,0)="","",VLOOKUP(G$2,行为概览!$D$3:$K$33,8,0)*玩法行为规划!F103)</f>
        <v>0.66659999999999997</v>
      </c>
      <c r="H103" s="7" t="str">
        <f>IF(VLOOKUP(H$2,行为概览!$D$3:$K$33,8,0)="","",VLOOKUP(H$2,行为概览!$D$3:$K$33,8,0)*玩法行为规划!G103)</f>
        <v/>
      </c>
      <c r="I103" s="7" t="str">
        <f>IF(VLOOKUP(I$2,行为概览!$D$3:$K$33,8,0)="","",VLOOKUP(I$2,行为概览!$D$3:$K$33,8,0)*玩法行为规划!H103)</f>
        <v/>
      </c>
      <c r="J103" s="7" t="str">
        <f>IF(VLOOKUP(J$2,行为概览!$D$3:$K$33,8,0)="","",VLOOKUP(J$2,行为概览!$D$3:$K$33,8,0)*玩法行为规划!I103)</f>
        <v/>
      </c>
      <c r="K103" s="7">
        <f>IF(VLOOKUP(K$2,行为概览!$D$3:$K$33,8,0)="","",VLOOKUP(K$2,行为概览!$D$3:$K$33,8,0)*玩法行为规划!J103)</f>
        <v>1</v>
      </c>
      <c r="L103" s="7" t="str">
        <f>IF(VLOOKUP(L$2,行为概览!$D$3:$K$33,8,0)="","",VLOOKUP(L$2,行为概览!$D$3:$K$33,8,0)*玩法行为规划!K103)</f>
        <v/>
      </c>
      <c r="M103" s="7" t="str">
        <f>IF(VLOOKUP(M$2,行为概览!$D$3:$K$33,8,0)="","",VLOOKUP(M$2,行为概览!$D$3:$K$33,8,0)*玩法行为规划!L103)</f>
        <v/>
      </c>
      <c r="N103" s="7">
        <f>IF(VLOOKUP(N$2,行为概览!$D$3:$K$33,8,0)="","",VLOOKUP(N$2,行为概览!$D$3:$K$33,8,0)*玩法行为规划!M103)</f>
        <v>12</v>
      </c>
      <c r="O103" s="7" t="str">
        <f>IF(VLOOKUP(O$2,行为概览!$D$3:$K$33,8,0)="","",VLOOKUP(O$2,行为概览!$D$3:$K$33,8,0)*玩法行为规划!N103)</f>
        <v/>
      </c>
      <c r="P103" s="7" t="str">
        <f>IF(VLOOKUP(P$2,行为概览!$D$3:$K$33,8,0)="","",VLOOKUP(P$2,行为概览!$D$3:$K$33,8,0)*玩法行为规划!O103)</f>
        <v/>
      </c>
      <c r="Q103" s="7">
        <f>IF(VLOOKUP(Q$2,行为概览!$D$3:$K$33,8,0)="","",VLOOKUP(Q$2,行为概览!$D$3:$K$33,8,0)*玩法行为规划!P103)</f>
        <v>5.2</v>
      </c>
      <c r="R103" s="7" t="str">
        <f>IF(VLOOKUP(R$2,行为概览!$D$3:$K$33,8,0)="","",VLOOKUP(R$2,行为概览!$D$3:$K$33,8,0)*玩法行为规划!Q103)</f>
        <v/>
      </c>
      <c r="S103" s="7">
        <f>IF(VLOOKUP(S$2,行为概览!$D$3:$K$33,8,0)="","",VLOOKUP(S$2,行为概览!$D$3:$K$33,8,0)*玩法行为规划!R103)</f>
        <v>0.49995000000000001</v>
      </c>
      <c r="T103" s="7">
        <f>IF(VLOOKUP(T$2,行为概览!$D$3:$K$33,8,0)="","",VLOOKUP(T$2,行为概览!$D$3:$K$33,8,0)*玩法行为规划!S103)</f>
        <v>0</v>
      </c>
      <c r="U103" s="7">
        <f>IF(VLOOKUP(U$2,行为概览!$D$3:$K$33,8,0)="","",VLOOKUP(U$2,行为概览!$D$3:$K$33,8,0)*玩法行为规划!T103)</f>
        <v>0.49995000000000001</v>
      </c>
      <c r="V103" s="7">
        <f>IF(VLOOKUP(V$2,行为概览!$D$3:$K$33,8,0)="","",VLOOKUP(V$2,行为概览!$D$3:$K$33,8,0)*玩法行为规划!U103)</f>
        <v>0.33339999999999997</v>
      </c>
      <c r="W103" s="7" t="str">
        <f>IF(VLOOKUP(W$2,行为概览!$D$3:$K$33,8,0)="","",VLOOKUP(W$2,行为概览!$D$3:$K$33,8,0)*玩法行为规划!V103)</f>
        <v/>
      </c>
      <c r="X103" s="7" t="str">
        <f>IF(VLOOKUP(X$2,行为概览!$D$3:$K$33,8,0)="","",VLOOKUP(X$2,行为概览!$D$3:$K$33,8,0)*玩法行为规划!W103)</f>
        <v/>
      </c>
      <c r="Y103" s="7">
        <f>IF(VLOOKUP(Y$2,行为概览!$D$3:$K$33,8,0)="","",VLOOKUP(Y$2,行为概览!$D$3:$K$33,8,0)*玩法行为规划!X103)</f>
        <v>0.25</v>
      </c>
      <c r="Z103" s="7" t="str">
        <f>IF(VLOOKUP(Z$2,行为概览!$D$3:$K$33,8,0)="","",VLOOKUP(Z$2,行为概览!$D$3:$K$33,8,0)*玩法行为规划!Y103)</f>
        <v/>
      </c>
      <c r="AA103" s="7">
        <f>IF(VLOOKUP(AA$2,行为概览!$D$3:$K$33,8,0)="","",VLOOKUP(AA$2,行为概览!$D$3:$K$33,8,0)*玩法行为规划!Z103)</f>
        <v>8.3349999999999994E-2</v>
      </c>
      <c r="AB103" s="7" t="str">
        <f>IF(VLOOKUP(AB$2,行为概览!$D$3:$K$33,8,0)="","",VLOOKUP(AB$2,行为概览!$D$3:$K$33,8,0)*玩法行为规划!AA103)</f>
        <v/>
      </c>
      <c r="AC103" s="7" t="str">
        <f>IF(VLOOKUP(AC$2,行为概览!$D$3:$K$33,8,0)="","",VLOOKUP(AC$2,行为概览!$D$3:$K$33,8,0)*玩法行为规划!AB103)</f>
        <v/>
      </c>
      <c r="AD103" s="7" t="str">
        <f>IF(VLOOKUP(AD$2,行为概览!$D$3:$K$33,8,0)="","",VLOOKUP(AD$2,行为概览!$D$3:$K$33,8,0)*玩法行为规划!AC103)</f>
        <v/>
      </c>
      <c r="AE103" s="7" t="str">
        <f>IF(VLOOKUP(AE$2,行为概览!$D$3:$K$33,8,0)="","",VLOOKUP(AE$2,行为概览!$D$3:$K$33,8,0)*玩法行为规划!AD103)</f>
        <v/>
      </c>
      <c r="AF103" s="7">
        <f t="shared" si="19"/>
        <v>24.133149999999997</v>
      </c>
      <c r="AG103" s="7">
        <f t="shared" si="20"/>
        <v>12187240</v>
      </c>
      <c r="AH103" s="7">
        <f t="shared" si="16"/>
        <v>561820</v>
      </c>
      <c r="AI103" s="10" t="str">
        <f t="shared" si="18"/>
        <v/>
      </c>
      <c r="AJ103" s="73">
        <f t="shared" si="17"/>
        <v>510070</v>
      </c>
      <c r="AK103" s="77">
        <f>ROUND(AG103*升级节奏!G103/AJ108,2)</f>
        <v>316.56</v>
      </c>
      <c r="AL103" s="77">
        <f>ROUND(AG103*升级节奏!G103/SUM($AJ$3:AJ108),2)</f>
        <v>8.83</v>
      </c>
      <c r="AM103" s="74">
        <f>ROUND(AG103*升级节奏!G103,0)</f>
        <v>177849409</v>
      </c>
      <c r="AN103" s="77">
        <f>ROUND(SUM($AM$3:AM103)/SUM($AJ$3:AJ108),2)</f>
        <v>194.85</v>
      </c>
      <c r="AO103" s="7">
        <f t="shared" si="21"/>
        <v>8417</v>
      </c>
      <c r="AP103" s="7">
        <f t="shared" si="22"/>
        <v>61</v>
      </c>
    </row>
    <row r="104" spans="1:42">
      <c r="A104" s="32">
        <v>102</v>
      </c>
      <c r="B104" s="87">
        <f>升级节奏!D104</f>
        <v>510000</v>
      </c>
      <c r="C104" s="7">
        <f>IF(VLOOKUP(C$2,行为概览!$D$3:$K$33,8,0)="","",VLOOKUP(C$2,行为概览!$D$3:$K$33,8,0)*玩法行为规划!B104)</f>
        <v>0.99990000000000001</v>
      </c>
      <c r="D104" s="7">
        <f>IF(VLOOKUP(D$2,行为概览!$D$3:$K$33,8,0)="","",VLOOKUP(D$2,行为概览!$D$3:$K$33,8,0)*玩法行为规划!C104)</f>
        <v>1.1000000000000001</v>
      </c>
      <c r="E104" s="7" t="str">
        <f>IF(VLOOKUP(E$2,行为概览!$D$3:$K$33,8,0)="","",VLOOKUP(E$2,行为概览!$D$3:$K$33,8,0)*玩法行为规划!D104)</f>
        <v/>
      </c>
      <c r="F104" s="7">
        <f>IF(VLOOKUP(F$2,行为概览!$D$3:$K$33,8,0)="","",VLOOKUP(F$2,行为概览!$D$3:$K$33,8,0)*玩法行为规划!E104)</f>
        <v>1.5</v>
      </c>
      <c r="G104" s="7">
        <f>IF(VLOOKUP(G$2,行为概览!$D$3:$K$33,8,0)="","",VLOOKUP(G$2,行为概览!$D$3:$K$33,8,0)*玩法行为规划!F104)</f>
        <v>0.66659999999999997</v>
      </c>
      <c r="H104" s="7" t="str">
        <f>IF(VLOOKUP(H$2,行为概览!$D$3:$K$33,8,0)="","",VLOOKUP(H$2,行为概览!$D$3:$K$33,8,0)*玩法行为规划!G104)</f>
        <v/>
      </c>
      <c r="I104" s="7" t="str">
        <f>IF(VLOOKUP(I$2,行为概览!$D$3:$K$33,8,0)="","",VLOOKUP(I$2,行为概览!$D$3:$K$33,8,0)*玩法行为规划!H104)</f>
        <v/>
      </c>
      <c r="J104" s="7" t="str">
        <f>IF(VLOOKUP(J$2,行为概览!$D$3:$K$33,8,0)="","",VLOOKUP(J$2,行为概览!$D$3:$K$33,8,0)*玩法行为规划!I104)</f>
        <v/>
      </c>
      <c r="K104" s="7">
        <f>IF(VLOOKUP(K$2,行为概览!$D$3:$K$33,8,0)="","",VLOOKUP(K$2,行为概览!$D$3:$K$33,8,0)*玩法行为规划!J104)</f>
        <v>1</v>
      </c>
      <c r="L104" s="7" t="str">
        <f>IF(VLOOKUP(L$2,行为概览!$D$3:$K$33,8,0)="","",VLOOKUP(L$2,行为概览!$D$3:$K$33,8,0)*玩法行为规划!K104)</f>
        <v/>
      </c>
      <c r="M104" s="7" t="str">
        <f>IF(VLOOKUP(M$2,行为概览!$D$3:$K$33,8,0)="","",VLOOKUP(M$2,行为概览!$D$3:$K$33,8,0)*玩法行为规划!L104)</f>
        <v/>
      </c>
      <c r="N104" s="7">
        <f>IF(VLOOKUP(N$2,行为概览!$D$3:$K$33,8,0)="","",VLOOKUP(N$2,行为概览!$D$3:$K$33,8,0)*玩法行为规划!M104)</f>
        <v>12</v>
      </c>
      <c r="O104" s="7" t="str">
        <f>IF(VLOOKUP(O$2,行为概览!$D$3:$K$33,8,0)="","",VLOOKUP(O$2,行为概览!$D$3:$K$33,8,0)*玩法行为规划!N104)</f>
        <v/>
      </c>
      <c r="P104" s="7" t="str">
        <f>IF(VLOOKUP(P$2,行为概览!$D$3:$K$33,8,0)="","",VLOOKUP(P$2,行为概览!$D$3:$K$33,8,0)*玩法行为规划!O104)</f>
        <v/>
      </c>
      <c r="Q104" s="7">
        <f>IF(VLOOKUP(Q$2,行为概览!$D$3:$K$33,8,0)="","",VLOOKUP(Q$2,行为概览!$D$3:$K$33,8,0)*玩法行为规划!P104)</f>
        <v>5.2</v>
      </c>
      <c r="R104" s="7" t="str">
        <f>IF(VLOOKUP(R$2,行为概览!$D$3:$K$33,8,0)="","",VLOOKUP(R$2,行为概览!$D$3:$K$33,8,0)*玩法行为规划!Q104)</f>
        <v/>
      </c>
      <c r="S104" s="7">
        <f>IF(VLOOKUP(S$2,行为概览!$D$3:$K$33,8,0)="","",VLOOKUP(S$2,行为概览!$D$3:$K$33,8,0)*玩法行为规划!R104)</f>
        <v>0.49995000000000001</v>
      </c>
      <c r="T104" s="7">
        <f>IF(VLOOKUP(T$2,行为概览!$D$3:$K$33,8,0)="","",VLOOKUP(T$2,行为概览!$D$3:$K$33,8,0)*玩法行为规划!S104)</f>
        <v>0</v>
      </c>
      <c r="U104" s="7">
        <f>IF(VLOOKUP(U$2,行为概览!$D$3:$K$33,8,0)="","",VLOOKUP(U$2,行为概览!$D$3:$K$33,8,0)*玩法行为规划!T104)</f>
        <v>0.49995000000000001</v>
      </c>
      <c r="V104" s="7">
        <f>IF(VLOOKUP(V$2,行为概览!$D$3:$K$33,8,0)="","",VLOOKUP(V$2,行为概览!$D$3:$K$33,8,0)*玩法行为规划!U104)</f>
        <v>0.33339999999999997</v>
      </c>
      <c r="W104" s="7" t="str">
        <f>IF(VLOOKUP(W$2,行为概览!$D$3:$K$33,8,0)="","",VLOOKUP(W$2,行为概览!$D$3:$K$33,8,0)*玩法行为规划!V104)</f>
        <v/>
      </c>
      <c r="X104" s="7" t="str">
        <f>IF(VLOOKUP(X$2,行为概览!$D$3:$K$33,8,0)="","",VLOOKUP(X$2,行为概览!$D$3:$K$33,8,0)*玩法行为规划!W104)</f>
        <v/>
      </c>
      <c r="Y104" s="7">
        <f>IF(VLOOKUP(Y$2,行为概览!$D$3:$K$33,8,0)="","",VLOOKUP(Y$2,行为概览!$D$3:$K$33,8,0)*玩法行为规划!X104)</f>
        <v>0.25</v>
      </c>
      <c r="Z104" s="7" t="str">
        <f>IF(VLOOKUP(Z$2,行为概览!$D$3:$K$33,8,0)="","",VLOOKUP(Z$2,行为概览!$D$3:$K$33,8,0)*玩法行为规划!Y104)</f>
        <v/>
      </c>
      <c r="AA104" s="7">
        <f>IF(VLOOKUP(AA$2,行为概览!$D$3:$K$33,8,0)="","",VLOOKUP(AA$2,行为概览!$D$3:$K$33,8,0)*玩法行为规划!Z104)</f>
        <v>8.3349999999999994E-2</v>
      </c>
      <c r="AB104" s="7" t="str">
        <f>IF(VLOOKUP(AB$2,行为概览!$D$3:$K$33,8,0)="","",VLOOKUP(AB$2,行为概览!$D$3:$K$33,8,0)*玩法行为规划!AA104)</f>
        <v/>
      </c>
      <c r="AC104" s="7" t="str">
        <f>IF(VLOOKUP(AC$2,行为概览!$D$3:$K$33,8,0)="","",VLOOKUP(AC$2,行为概览!$D$3:$K$33,8,0)*玩法行为规划!AB104)</f>
        <v/>
      </c>
      <c r="AD104" s="7" t="str">
        <f>IF(VLOOKUP(AD$2,行为概览!$D$3:$K$33,8,0)="","",VLOOKUP(AD$2,行为概览!$D$3:$K$33,8,0)*玩法行为规划!AC104)</f>
        <v/>
      </c>
      <c r="AE104" s="7" t="str">
        <f>IF(VLOOKUP(AE$2,行为概览!$D$3:$K$33,8,0)="","",VLOOKUP(AE$2,行为概览!$D$3:$K$33,8,0)*玩法行为规划!AD104)</f>
        <v/>
      </c>
      <c r="AF104" s="7">
        <f t="shared" si="19"/>
        <v>24.133149999999997</v>
      </c>
      <c r="AG104" s="7">
        <f t="shared" si="20"/>
        <v>12307906</v>
      </c>
      <c r="AH104" s="7">
        <f t="shared" si="16"/>
        <v>572470</v>
      </c>
      <c r="AI104" s="10" t="str">
        <f t="shared" si="18"/>
        <v/>
      </c>
      <c r="AJ104" s="73">
        <f t="shared" si="17"/>
        <v>520220</v>
      </c>
      <c r="AK104" s="77">
        <f>ROUND(AG104*升级节奏!G104/AJ109,2)</f>
        <v>319.93</v>
      </c>
      <c r="AL104" s="77">
        <f>ROUND(AG104*升级节奏!G104/SUM($AJ$3:AJ109),2)</f>
        <v>8.84</v>
      </c>
      <c r="AM104" s="74">
        <f>ROUND(AG104*升级节奏!G104,0)</f>
        <v>183149847</v>
      </c>
      <c r="AN104" s="77">
        <f>ROUND(SUM($AM$3:AM104)/SUM($AJ$3:AJ109),2)</f>
        <v>198.31</v>
      </c>
      <c r="AO104" s="7">
        <f t="shared" si="21"/>
        <v>8500</v>
      </c>
      <c r="AP104" s="7">
        <f t="shared" si="22"/>
        <v>61</v>
      </c>
    </row>
    <row r="105" spans="1:42">
      <c r="A105" s="32">
        <v>103</v>
      </c>
      <c r="B105" s="87">
        <f>升级节奏!D105</f>
        <v>515000</v>
      </c>
      <c r="C105" s="7">
        <f>IF(VLOOKUP(C$2,行为概览!$D$3:$K$33,8,0)="","",VLOOKUP(C$2,行为概览!$D$3:$K$33,8,0)*玩法行为规划!B105)</f>
        <v>0.99990000000000001</v>
      </c>
      <c r="D105" s="7">
        <f>IF(VLOOKUP(D$2,行为概览!$D$3:$K$33,8,0)="","",VLOOKUP(D$2,行为概览!$D$3:$K$33,8,0)*玩法行为规划!C105)</f>
        <v>1.1000000000000001</v>
      </c>
      <c r="E105" s="7" t="str">
        <f>IF(VLOOKUP(E$2,行为概览!$D$3:$K$33,8,0)="","",VLOOKUP(E$2,行为概览!$D$3:$K$33,8,0)*玩法行为规划!D105)</f>
        <v/>
      </c>
      <c r="F105" s="7">
        <f>IF(VLOOKUP(F$2,行为概览!$D$3:$K$33,8,0)="","",VLOOKUP(F$2,行为概览!$D$3:$K$33,8,0)*玩法行为规划!E105)</f>
        <v>1.5</v>
      </c>
      <c r="G105" s="7">
        <f>IF(VLOOKUP(G$2,行为概览!$D$3:$K$33,8,0)="","",VLOOKUP(G$2,行为概览!$D$3:$K$33,8,0)*玩法行为规划!F105)</f>
        <v>0.66659999999999997</v>
      </c>
      <c r="H105" s="7" t="str">
        <f>IF(VLOOKUP(H$2,行为概览!$D$3:$K$33,8,0)="","",VLOOKUP(H$2,行为概览!$D$3:$K$33,8,0)*玩法行为规划!G105)</f>
        <v/>
      </c>
      <c r="I105" s="7" t="str">
        <f>IF(VLOOKUP(I$2,行为概览!$D$3:$K$33,8,0)="","",VLOOKUP(I$2,行为概览!$D$3:$K$33,8,0)*玩法行为规划!H105)</f>
        <v/>
      </c>
      <c r="J105" s="7" t="str">
        <f>IF(VLOOKUP(J$2,行为概览!$D$3:$K$33,8,0)="","",VLOOKUP(J$2,行为概览!$D$3:$K$33,8,0)*玩法行为规划!I105)</f>
        <v/>
      </c>
      <c r="K105" s="7">
        <f>IF(VLOOKUP(K$2,行为概览!$D$3:$K$33,8,0)="","",VLOOKUP(K$2,行为概览!$D$3:$K$33,8,0)*玩法行为规划!J105)</f>
        <v>1</v>
      </c>
      <c r="L105" s="7" t="str">
        <f>IF(VLOOKUP(L$2,行为概览!$D$3:$K$33,8,0)="","",VLOOKUP(L$2,行为概览!$D$3:$K$33,8,0)*玩法行为规划!K105)</f>
        <v/>
      </c>
      <c r="M105" s="7" t="str">
        <f>IF(VLOOKUP(M$2,行为概览!$D$3:$K$33,8,0)="","",VLOOKUP(M$2,行为概览!$D$3:$K$33,8,0)*玩法行为规划!L105)</f>
        <v/>
      </c>
      <c r="N105" s="7">
        <f>IF(VLOOKUP(N$2,行为概览!$D$3:$K$33,8,0)="","",VLOOKUP(N$2,行为概览!$D$3:$K$33,8,0)*玩法行为规划!M105)</f>
        <v>12</v>
      </c>
      <c r="O105" s="7" t="str">
        <f>IF(VLOOKUP(O$2,行为概览!$D$3:$K$33,8,0)="","",VLOOKUP(O$2,行为概览!$D$3:$K$33,8,0)*玩法行为规划!N105)</f>
        <v/>
      </c>
      <c r="P105" s="7" t="str">
        <f>IF(VLOOKUP(P$2,行为概览!$D$3:$K$33,8,0)="","",VLOOKUP(P$2,行为概览!$D$3:$K$33,8,0)*玩法行为规划!O105)</f>
        <v/>
      </c>
      <c r="Q105" s="7">
        <f>IF(VLOOKUP(Q$2,行为概览!$D$3:$K$33,8,0)="","",VLOOKUP(Q$2,行为概览!$D$3:$K$33,8,0)*玩法行为规划!P105)</f>
        <v>5.2</v>
      </c>
      <c r="R105" s="7" t="str">
        <f>IF(VLOOKUP(R$2,行为概览!$D$3:$K$33,8,0)="","",VLOOKUP(R$2,行为概览!$D$3:$K$33,8,0)*玩法行为规划!Q105)</f>
        <v/>
      </c>
      <c r="S105" s="7">
        <f>IF(VLOOKUP(S$2,行为概览!$D$3:$K$33,8,0)="","",VLOOKUP(S$2,行为概览!$D$3:$K$33,8,0)*玩法行为规划!R105)</f>
        <v>0.49995000000000001</v>
      </c>
      <c r="T105" s="7">
        <f>IF(VLOOKUP(T$2,行为概览!$D$3:$K$33,8,0)="","",VLOOKUP(T$2,行为概览!$D$3:$K$33,8,0)*玩法行为规划!S105)</f>
        <v>0</v>
      </c>
      <c r="U105" s="7">
        <f>IF(VLOOKUP(U$2,行为概览!$D$3:$K$33,8,0)="","",VLOOKUP(U$2,行为概览!$D$3:$K$33,8,0)*玩法行为规划!T105)</f>
        <v>0.49995000000000001</v>
      </c>
      <c r="V105" s="7">
        <f>IF(VLOOKUP(V$2,行为概览!$D$3:$K$33,8,0)="","",VLOOKUP(V$2,行为概览!$D$3:$K$33,8,0)*玩法行为规划!U105)</f>
        <v>0.33339999999999997</v>
      </c>
      <c r="W105" s="7" t="str">
        <f>IF(VLOOKUP(W$2,行为概览!$D$3:$K$33,8,0)="","",VLOOKUP(W$2,行为概览!$D$3:$K$33,8,0)*玩法行为规划!V105)</f>
        <v/>
      </c>
      <c r="X105" s="7" t="str">
        <f>IF(VLOOKUP(X$2,行为概览!$D$3:$K$33,8,0)="","",VLOOKUP(X$2,行为概览!$D$3:$K$33,8,0)*玩法行为规划!W105)</f>
        <v/>
      </c>
      <c r="Y105" s="7">
        <f>IF(VLOOKUP(Y$2,行为概览!$D$3:$K$33,8,0)="","",VLOOKUP(Y$2,行为概览!$D$3:$K$33,8,0)*玩法行为规划!X105)</f>
        <v>0.25</v>
      </c>
      <c r="Z105" s="7" t="str">
        <f>IF(VLOOKUP(Z$2,行为概览!$D$3:$K$33,8,0)="","",VLOOKUP(Z$2,行为概览!$D$3:$K$33,8,0)*玩法行为规划!Y105)</f>
        <v/>
      </c>
      <c r="AA105" s="7">
        <f>IF(VLOOKUP(AA$2,行为概览!$D$3:$K$33,8,0)="","",VLOOKUP(AA$2,行为概览!$D$3:$K$33,8,0)*玩法行为规划!Z105)</f>
        <v>8.3349999999999994E-2</v>
      </c>
      <c r="AB105" s="7" t="str">
        <f>IF(VLOOKUP(AB$2,行为概览!$D$3:$K$33,8,0)="","",VLOOKUP(AB$2,行为概览!$D$3:$K$33,8,0)*玩法行为规划!AA105)</f>
        <v/>
      </c>
      <c r="AC105" s="7" t="str">
        <f>IF(VLOOKUP(AC$2,行为概览!$D$3:$K$33,8,0)="","",VLOOKUP(AC$2,行为概览!$D$3:$K$33,8,0)*玩法行为规划!AB105)</f>
        <v/>
      </c>
      <c r="AD105" s="7" t="str">
        <f>IF(VLOOKUP(AD$2,行为概览!$D$3:$K$33,8,0)="","",VLOOKUP(AD$2,行为概览!$D$3:$K$33,8,0)*玩法行为规划!AC105)</f>
        <v/>
      </c>
      <c r="AE105" s="7" t="str">
        <f>IF(VLOOKUP(AE$2,行为概览!$D$3:$K$33,8,0)="","",VLOOKUP(AE$2,行为概览!$D$3:$K$33,8,0)*玩法行为规划!AD105)</f>
        <v/>
      </c>
      <c r="AF105" s="7">
        <f t="shared" si="19"/>
        <v>24.133149999999997</v>
      </c>
      <c r="AG105" s="7">
        <f t="shared" si="20"/>
        <v>12428572</v>
      </c>
      <c r="AH105" s="7">
        <f t="shared" si="16"/>
        <v>583220</v>
      </c>
      <c r="AI105" s="10" t="str">
        <f t="shared" si="18"/>
        <v/>
      </c>
      <c r="AJ105" s="73">
        <f t="shared" si="17"/>
        <v>530470</v>
      </c>
      <c r="AK105" s="77">
        <f>ROUND(AG105*升级节奏!G105/AJ110,2)</f>
        <v>323.3</v>
      </c>
      <c r="AL105" s="77">
        <f>ROUND(AG105*升级节奏!G105/SUM($AJ$3:AJ110),2)</f>
        <v>8.86</v>
      </c>
      <c r="AM105" s="74">
        <f>ROUND(AG105*升级节奏!G105,0)</f>
        <v>188554902</v>
      </c>
      <c r="AN105" s="77">
        <f>ROUND(SUM($AM$3:AM105)/SUM($AJ$3:AJ110),2)</f>
        <v>201.74</v>
      </c>
      <c r="AO105" s="7">
        <f t="shared" si="21"/>
        <v>8583</v>
      </c>
      <c r="AP105" s="7">
        <f t="shared" si="22"/>
        <v>62</v>
      </c>
    </row>
    <row r="106" spans="1:42">
      <c r="A106" s="32">
        <v>104</v>
      </c>
      <c r="B106" s="87">
        <f>升级节奏!D106</f>
        <v>520000</v>
      </c>
      <c r="C106" s="7">
        <f>IF(VLOOKUP(C$2,行为概览!$D$3:$K$33,8,0)="","",VLOOKUP(C$2,行为概览!$D$3:$K$33,8,0)*玩法行为规划!B106)</f>
        <v>0.99990000000000001</v>
      </c>
      <c r="D106" s="7">
        <f>IF(VLOOKUP(D$2,行为概览!$D$3:$K$33,8,0)="","",VLOOKUP(D$2,行为概览!$D$3:$K$33,8,0)*玩法行为规划!C106)</f>
        <v>1.1000000000000001</v>
      </c>
      <c r="E106" s="7" t="str">
        <f>IF(VLOOKUP(E$2,行为概览!$D$3:$K$33,8,0)="","",VLOOKUP(E$2,行为概览!$D$3:$K$33,8,0)*玩法行为规划!D106)</f>
        <v/>
      </c>
      <c r="F106" s="7">
        <f>IF(VLOOKUP(F$2,行为概览!$D$3:$K$33,8,0)="","",VLOOKUP(F$2,行为概览!$D$3:$K$33,8,0)*玩法行为规划!E106)</f>
        <v>1.5</v>
      </c>
      <c r="G106" s="7">
        <f>IF(VLOOKUP(G$2,行为概览!$D$3:$K$33,8,0)="","",VLOOKUP(G$2,行为概览!$D$3:$K$33,8,0)*玩法行为规划!F106)</f>
        <v>0.66659999999999997</v>
      </c>
      <c r="H106" s="7" t="str">
        <f>IF(VLOOKUP(H$2,行为概览!$D$3:$K$33,8,0)="","",VLOOKUP(H$2,行为概览!$D$3:$K$33,8,0)*玩法行为规划!G106)</f>
        <v/>
      </c>
      <c r="I106" s="7" t="str">
        <f>IF(VLOOKUP(I$2,行为概览!$D$3:$K$33,8,0)="","",VLOOKUP(I$2,行为概览!$D$3:$K$33,8,0)*玩法行为规划!H106)</f>
        <v/>
      </c>
      <c r="J106" s="7" t="str">
        <f>IF(VLOOKUP(J$2,行为概览!$D$3:$K$33,8,0)="","",VLOOKUP(J$2,行为概览!$D$3:$K$33,8,0)*玩法行为规划!I106)</f>
        <v/>
      </c>
      <c r="K106" s="7">
        <f>IF(VLOOKUP(K$2,行为概览!$D$3:$K$33,8,0)="","",VLOOKUP(K$2,行为概览!$D$3:$K$33,8,0)*玩法行为规划!J106)</f>
        <v>1</v>
      </c>
      <c r="L106" s="7" t="str">
        <f>IF(VLOOKUP(L$2,行为概览!$D$3:$K$33,8,0)="","",VLOOKUP(L$2,行为概览!$D$3:$K$33,8,0)*玩法行为规划!K106)</f>
        <v/>
      </c>
      <c r="M106" s="7" t="str">
        <f>IF(VLOOKUP(M$2,行为概览!$D$3:$K$33,8,0)="","",VLOOKUP(M$2,行为概览!$D$3:$K$33,8,0)*玩法行为规划!L106)</f>
        <v/>
      </c>
      <c r="N106" s="7">
        <f>IF(VLOOKUP(N$2,行为概览!$D$3:$K$33,8,0)="","",VLOOKUP(N$2,行为概览!$D$3:$K$33,8,0)*玩法行为规划!M106)</f>
        <v>12</v>
      </c>
      <c r="O106" s="7" t="str">
        <f>IF(VLOOKUP(O$2,行为概览!$D$3:$K$33,8,0)="","",VLOOKUP(O$2,行为概览!$D$3:$K$33,8,0)*玩法行为规划!N106)</f>
        <v/>
      </c>
      <c r="P106" s="7" t="str">
        <f>IF(VLOOKUP(P$2,行为概览!$D$3:$K$33,8,0)="","",VLOOKUP(P$2,行为概览!$D$3:$K$33,8,0)*玩法行为规划!O106)</f>
        <v/>
      </c>
      <c r="Q106" s="7">
        <f>IF(VLOOKUP(Q$2,行为概览!$D$3:$K$33,8,0)="","",VLOOKUP(Q$2,行为概览!$D$3:$K$33,8,0)*玩法行为规划!P106)</f>
        <v>5.2</v>
      </c>
      <c r="R106" s="7" t="str">
        <f>IF(VLOOKUP(R$2,行为概览!$D$3:$K$33,8,0)="","",VLOOKUP(R$2,行为概览!$D$3:$K$33,8,0)*玩法行为规划!Q106)</f>
        <v/>
      </c>
      <c r="S106" s="7">
        <f>IF(VLOOKUP(S$2,行为概览!$D$3:$K$33,8,0)="","",VLOOKUP(S$2,行为概览!$D$3:$K$33,8,0)*玩法行为规划!R106)</f>
        <v>0.49995000000000001</v>
      </c>
      <c r="T106" s="7">
        <f>IF(VLOOKUP(T$2,行为概览!$D$3:$K$33,8,0)="","",VLOOKUP(T$2,行为概览!$D$3:$K$33,8,0)*玩法行为规划!S106)</f>
        <v>0</v>
      </c>
      <c r="U106" s="7">
        <f>IF(VLOOKUP(U$2,行为概览!$D$3:$K$33,8,0)="","",VLOOKUP(U$2,行为概览!$D$3:$K$33,8,0)*玩法行为规划!T106)</f>
        <v>0.49995000000000001</v>
      </c>
      <c r="V106" s="7">
        <f>IF(VLOOKUP(V$2,行为概览!$D$3:$K$33,8,0)="","",VLOOKUP(V$2,行为概览!$D$3:$K$33,8,0)*玩法行为规划!U106)</f>
        <v>0.33339999999999997</v>
      </c>
      <c r="W106" s="7" t="str">
        <f>IF(VLOOKUP(W$2,行为概览!$D$3:$K$33,8,0)="","",VLOOKUP(W$2,行为概览!$D$3:$K$33,8,0)*玩法行为规划!V106)</f>
        <v/>
      </c>
      <c r="X106" s="7" t="str">
        <f>IF(VLOOKUP(X$2,行为概览!$D$3:$K$33,8,0)="","",VLOOKUP(X$2,行为概览!$D$3:$K$33,8,0)*玩法行为规划!W106)</f>
        <v/>
      </c>
      <c r="Y106" s="7">
        <f>IF(VLOOKUP(Y$2,行为概览!$D$3:$K$33,8,0)="","",VLOOKUP(Y$2,行为概览!$D$3:$K$33,8,0)*玩法行为规划!X106)</f>
        <v>0.25</v>
      </c>
      <c r="Z106" s="7" t="str">
        <f>IF(VLOOKUP(Z$2,行为概览!$D$3:$K$33,8,0)="","",VLOOKUP(Z$2,行为概览!$D$3:$K$33,8,0)*玩法行为规划!Y106)</f>
        <v/>
      </c>
      <c r="AA106" s="7">
        <f>IF(VLOOKUP(AA$2,行为概览!$D$3:$K$33,8,0)="","",VLOOKUP(AA$2,行为概览!$D$3:$K$33,8,0)*玩法行为规划!Z106)</f>
        <v>8.3349999999999994E-2</v>
      </c>
      <c r="AB106" s="7" t="str">
        <f>IF(VLOOKUP(AB$2,行为概览!$D$3:$K$33,8,0)="","",VLOOKUP(AB$2,行为概览!$D$3:$K$33,8,0)*玩法行为规划!AA106)</f>
        <v/>
      </c>
      <c r="AC106" s="7" t="str">
        <f>IF(VLOOKUP(AC$2,行为概览!$D$3:$K$33,8,0)="","",VLOOKUP(AC$2,行为概览!$D$3:$K$33,8,0)*玩法行为规划!AB106)</f>
        <v/>
      </c>
      <c r="AD106" s="7" t="str">
        <f>IF(VLOOKUP(AD$2,行为概览!$D$3:$K$33,8,0)="","",VLOOKUP(AD$2,行为概览!$D$3:$K$33,8,0)*玩法行为规划!AC106)</f>
        <v/>
      </c>
      <c r="AE106" s="7" t="str">
        <f>IF(VLOOKUP(AE$2,行为概览!$D$3:$K$33,8,0)="","",VLOOKUP(AE$2,行为概览!$D$3:$K$33,8,0)*玩法行为规划!AD106)</f>
        <v/>
      </c>
      <c r="AF106" s="7">
        <f t="shared" si="19"/>
        <v>24.133149999999997</v>
      </c>
      <c r="AG106" s="7">
        <f t="shared" si="20"/>
        <v>12549238</v>
      </c>
      <c r="AH106" s="7">
        <f t="shared" si="16"/>
        <v>594070</v>
      </c>
      <c r="AI106" s="10" t="str">
        <f t="shared" si="18"/>
        <v/>
      </c>
      <c r="AJ106" s="73">
        <f t="shared" si="17"/>
        <v>540820</v>
      </c>
      <c r="AK106" s="77">
        <f>ROUND(AG106*升级节奏!G106/AJ111,2)</f>
        <v>326.67</v>
      </c>
      <c r="AL106" s="77">
        <f>ROUND(AG106*升级节奏!G106/SUM($AJ$3:AJ111),2)</f>
        <v>8.8699999999999992</v>
      </c>
      <c r="AM106" s="74">
        <f>ROUND(AG106*升级节奏!G106,0)</f>
        <v>194065600</v>
      </c>
      <c r="AN106" s="77">
        <f>ROUND(SUM($AM$3:AM106)/SUM($AJ$3:AJ111),2)</f>
        <v>205.13</v>
      </c>
      <c r="AO106" s="7">
        <f t="shared" si="21"/>
        <v>8667</v>
      </c>
      <c r="AP106" s="7">
        <f t="shared" si="22"/>
        <v>62</v>
      </c>
    </row>
    <row r="107" spans="1:42">
      <c r="A107" s="32">
        <v>105</v>
      </c>
      <c r="B107" s="87">
        <f>升级节奏!D107</f>
        <v>525000</v>
      </c>
      <c r="C107" s="7">
        <f>IF(VLOOKUP(C$2,行为概览!$D$3:$K$33,8,0)="","",VLOOKUP(C$2,行为概览!$D$3:$K$33,8,0)*玩法行为规划!B107)</f>
        <v>0.99990000000000001</v>
      </c>
      <c r="D107" s="7">
        <f>IF(VLOOKUP(D$2,行为概览!$D$3:$K$33,8,0)="","",VLOOKUP(D$2,行为概览!$D$3:$K$33,8,0)*玩法行为规划!C107)</f>
        <v>1.1000000000000001</v>
      </c>
      <c r="E107" s="7" t="str">
        <f>IF(VLOOKUP(E$2,行为概览!$D$3:$K$33,8,0)="","",VLOOKUP(E$2,行为概览!$D$3:$K$33,8,0)*玩法行为规划!D107)</f>
        <v/>
      </c>
      <c r="F107" s="7">
        <f>IF(VLOOKUP(F$2,行为概览!$D$3:$K$33,8,0)="","",VLOOKUP(F$2,行为概览!$D$3:$K$33,8,0)*玩法行为规划!E107)</f>
        <v>1.5</v>
      </c>
      <c r="G107" s="7">
        <f>IF(VLOOKUP(G$2,行为概览!$D$3:$K$33,8,0)="","",VLOOKUP(G$2,行为概览!$D$3:$K$33,8,0)*玩法行为规划!F107)</f>
        <v>0.66659999999999997</v>
      </c>
      <c r="H107" s="7" t="str">
        <f>IF(VLOOKUP(H$2,行为概览!$D$3:$K$33,8,0)="","",VLOOKUP(H$2,行为概览!$D$3:$K$33,8,0)*玩法行为规划!G107)</f>
        <v/>
      </c>
      <c r="I107" s="7" t="str">
        <f>IF(VLOOKUP(I$2,行为概览!$D$3:$K$33,8,0)="","",VLOOKUP(I$2,行为概览!$D$3:$K$33,8,0)*玩法行为规划!H107)</f>
        <v/>
      </c>
      <c r="J107" s="7" t="str">
        <f>IF(VLOOKUP(J$2,行为概览!$D$3:$K$33,8,0)="","",VLOOKUP(J$2,行为概览!$D$3:$K$33,8,0)*玩法行为规划!I107)</f>
        <v/>
      </c>
      <c r="K107" s="7">
        <f>IF(VLOOKUP(K$2,行为概览!$D$3:$K$33,8,0)="","",VLOOKUP(K$2,行为概览!$D$3:$K$33,8,0)*玩法行为规划!J107)</f>
        <v>1</v>
      </c>
      <c r="L107" s="7" t="str">
        <f>IF(VLOOKUP(L$2,行为概览!$D$3:$K$33,8,0)="","",VLOOKUP(L$2,行为概览!$D$3:$K$33,8,0)*玩法行为规划!K107)</f>
        <v/>
      </c>
      <c r="M107" s="7" t="str">
        <f>IF(VLOOKUP(M$2,行为概览!$D$3:$K$33,8,0)="","",VLOOKUP(M$2,行为概览!$D$3:$K$33,8,0)*玩法行为规划!L107)</f>
        <v/>
      </c>
      <c r="N107" s="7">
        <f>IF(VLOOKUP(N$2,行为概览!$D$3:$K$33,8,0)="","",VLOOKUP(N$2,行为概览!$D$3:$K$33,8,0)*玩法行为规划!M107)</f>
        <v>12</v>
      </c>
      <c r="O107" s="7" t="str">
        <f>IF(VLOOKUP(O$2,行为概览!$D$3:$K$33,8,0)="","",VLOOKUP(O$2,行为概览!$D$3:$K$33,8,0)*玩法行为规划!N107)</f>
        <v/>
      </c>
      <c r="P107" s="7" t="str">
        <f>IF(VLOOKUP(P$2,行为概览!$D$3:$K$33,8,0)="","",VLOOKUP(P$2,行为概览!$D$3:$K$33,8,0)*玩法行为规划!O107)</f>
        <v/>
      </c>
      <c r="Q107" s="7">
        <f>IF(VLOOKUP(Q$2,行为概览!$D$3:$K$33,8,0)="","",VLOOKUP(Q$2,行为概览!$D$3:$K$33,8,0)*玩法行为规划!P107)</f>
        <v>5.2</v>
      </c>
      <c r="R107" s="7" t="str">
        <f>IF(VLOOKUP(R$2,行为概览!$D$3:$K$33,8,0)="","",VLOOKUP(R$2,行为概览!$D$3:$K$33,8,0)*玩法行为规划!Q107)</f>
        <v/>
      </c>
      <c r="S107" s="7">
        <f>IF(VLOOKUP(S$2,行为概览!$D$3:$K$33,8,0)="","",VLOOKUP(S$2,行为概览!$D$3:$K$33,8,0)*玩法行为规划!R107)</f>
        <v>0.49995000000000001</v>
      </c>
      <c r="T107" s="7">
        <f>IF(VLOOKUP(T$2,行为概览!$D$3:$K$33,8,0)="","",VLOOKUP(T$2,行为概览!$D$3:$K$33,8,0)*玩法行为规划!S107)</f>
        <v>0</v>
      </c>
      <c r="U107" s="7">
        <f>IF(VLOOKUP(U$2,行为概览!$D$3:$K$33,8,0)="","",VLOOKUP(U$2,行为概览!$D$3:$K$33,8,0)*玩法行为规划!T107)</f>
        <v>0.49995000000000001</v>
      </c>
      <c r="V107" s="7">
        <f>IF(VLOOKUP(V$2,行为概览!$D$3:$K$33,8,0)="","",VLOOKUP(V$2,行为概览!$D$3:$K$33,8,0)*玩法行为规划!U107)</f>
        <v>0.33339999999999997</v>
      </c>
      <c r="W107" s="7" t="str">
        <f>IF(VLOOKUP(W$2,行为概览!$D$3:$K$33,8,0)="","",VLOOKUP(W$2,行为概览!$D$3:$K$33,8,0)*玩法行为规划!V107)</f>
        <v/>
      </c>
      <c r="X107" s="7" t="str">
        <f>IF(VLOOKUP(X$2,行为概览!$D$3:$K$33,8,0)="","",VLOOKUP(X$2,行为概览!$D$3:$K$33,8,0)*玩法行为规划!W107)</f>
        <v/>
      </c>
      <c r="Y107" s="7">
        <f>IF(VLOOKUP(Y$2,行为概览!$D$3:$K$33,8,0)="","",VLOOKUP(Y$2,行为概览!$D$3:$K$33,8,0)*玩法行为规划!X107)</f>
        <v>0.25</v>
      </c>
      <c r="Z107" s="7" t="str">
        <f>IF(VLOOKUP(Z$2,行为概览!$D$3:$K$33,8,0)="","",VLOOKUP(Z$2,行为概览!$D$3:$K$33,8,0)*玩法行为规划!Y107)</f>
        <v/>
      </c>
      <c r="AA107" s="7">
        <f>IF(VLOOKUP(AA$2,行为概览!$D$3:$K$33,8,0)="","",VLOOKUP(AA$2,行为概览!$D$3:$K$33,8,0)*玩法行为规划!Z107)</f>
        <v>8.3349999999999994E-2</v>
      </c>
      <c r="AB107" s="7" t="str">
        <f>IF(VLOOKUP(AB$2,行为概览!$D$3:$K$33,8,0)="","",VLOOKUP(AB$2,行为概览!$D$3:$K$33,8,0)*玩法行为规划!AA107)</f>
        <v/>
      </c>
      <c r="AC107" s="7" t="str">
        <f>IF(VLOOKUP(AC$2,行为概览!$D$3:$K$33,8,0)="","",VLOOKUP(AC$2,行为概览!$D$3:$K$33,8,0)*玩法行为规划!AB107)</f>
        <v/>
      </c>
      <c r="AD107" s="7" t="str">
        <f>IF(VLOOKUP(AD$2,行为概览!$D$3:$K$33,8,0)="","",VLOOKUP(AD$2,行为概览!$D$3:$K$33,8,0)*玩法行为规划!AC107)</f>
        <v/>
      </c>
      <c r="AE107" s="7" t="str">
        <f>IF(VLOOKUP(AE$2,行为概览!$D$3:$K$33,8,0)="","",VLOOKUP(AE$2,行为概览!$D$3:$K$33,8,0)*玩法行为规划!AD107)</f>
        <v/>
      </c>
      <c r="AF107" s="7">
        <f t="shared" si="19"/>
        <v>24.133149999999997</v>
      </c>
      <c r="AG107" s="7">
        <f t="shared" si="20"/>
        <v>12669903</v>
      </c>
      <c r="AH107" s="7">
        <f t="shared" si="16"/>
        <v>605020</v>
      </c>
      <c r="AI107" s="10" t="str">
        <f t="shared" si="18"/>
        <v/>
      </c>
      <c r="AJ107" s="73">
        <f t="shared" si="17"/>
        <v>551270</v>
      </c>
      <c r="AK107" s="77">
        <f>ROUND(AG107*升级节奏!G107/AJ112,2)</f>
        <v>330.04</v>
      </c>
      <c r="AL107" s="77">
        <f>ROUND(AG107*升级节奏!G107/SUM($AJ$3:AJ112),2)</f>
        <v>8.8800000000000008</v>
      </c>
      <c r="AM107" s="74">
        <f>ROUND(AG107*升级节奏!G107,0)</f>
        <v>199682950</v>
      </c>
      <c r="AN107" s="77">
        <f>ROUND(SUM($AM$3:AM107)/SUM($AJ$3:AJ112),2)</f>
        <v>208.49</v>
      </c>
      <c r="AO107" s="7">
        <f t="shared" si="21"/>
        <v>8750</v>
      </c>
      <c r="AP107" s="7">
        <f t="shared" si="22"/>
        <v>63</v>
      </c>
    </row>
    <row r="108" spans="1:42">
      <c r="A108" s="32">
        <v>106</v>
      </c>
      <c r="B108" s="87">
        <f>升级节奏!D108</f>
        <v>530000</v>
      </c>
      <c r="C108" s="7">
        <f>IF(VLOOKUP(C$2,行为概览!$D$3:$K$33,8,0)="","",VLOOKUP(C$2,行为概览!$D$3:$K$33,8,0)*玩法行为规划!B108)</f>
        <v>0.99990000000000001</v>
      </c>
      <c r="D108" s="7">
        <f>IF(VLOOKUP(D$2,行为概览!$D$3:$K$33,8,0)="","",VLOOKUP(D$2,行为概览!$D$3:$K$33,8,0)*玩法行为规划!C108)</f>
        <v>1.1000000000000001</v>
      </c>
      <c r="E108" s="7" t="str">
        <f>IF(VLOOKUP(E$2,行为概览!$D$3:$K$33,8,0)="","",VLOOKUP(E$2,行为概览!$D$3:$K$33,8,0)*玩法行为规划!D108)</f>
        <v/>
      </c>
      <c r="F108" s="7">
        <f>IF(VLOOKUP(F$2,行为概览!$D$3:$K$33,8,0)="","",VLOOKUP(F$2,行为概览!$D$3:$K$33,8,0)*玩法行为规划!E108)</f>
        <v>1.5</v>
      </c>
      <c r="G108" s="7">
        <f>IF(VLOOKUP(G$2,行为概览!$D$3:$K$33,8,0)="","",VLOOKUP(G$2,行为概览!$D$3:$K$33,8,0)*玩法行为规划!F108)</f>
        <v>0.66659999999999997</v>
      </c>
      <c r="H108" s="7" t="str">
        <f>IF(VLOOKUP(H$2,行为概览!$D$3:$K$33,8,0)="","",VLOOKUP(H$2,行为概览!$D$3:$K$33,8,0)*玩法行为规划!G108)</f>
        <v/>
      </c>
      <c r="I108" s="7" t="str">
        <f>IF(VLOOKUP(I$2,行为概览!$D$3:$K$33,8,0)="","",VLOOKUP(I$2,行为概览!$D$3:$K$33,8,0)*玩法行为规划!H108)</f>
        <v/>
      </c>
      <c r="J108" s="7" t="str">
        <f>IF(VLOOKUP(J$2,行为概览!$D$3:$K$33,8,0)="","",VLOOKUP(J$2,行为概览!$D$3:$K$33,8,0)*玩法行为规划!I108)</f>
        <v/>
      </c>
      <c r="K108" s="7">
        <f>IF(VLOOKUP(K$2,行为概览!$D$3:$K$33,8,0)="","",VLOOKUP(K$2,行为概览!$D$3:$K$33,8,0)*玩法行为规划!J108)</f>
        <v>1</v>
      </c>
      <c r="L108" s="7" t="str">
        <f>IF(VLOOKUP(L$2,行为概览!$D$3:$K$33,8,0)="","",VLOOKUP(L$2,行为概览!$D$3:$K$33,8,0)*玩法行为规划!K108)</f>
        <v/>
      </c>
      <c r="M108" s="7" t="str">
        <f>IF(VLOOKUP(M$2,行为概览!$D$3:$K$33,8,0)="","",VLOOKUP(M$2,行为概览!$D$3:$K$33,8,0)*玩法行为规划!L108)</f>
        <v/>
      </c>
      <c r="N108" s="7">
        <f>IF(VLOOKUP(N$2,行为概览!$D$3:$K$33,8,0)="","",VLOOKUP(N$2,行为概览!$D$3:$K$33,8,0)*玩法行为规划!M108)</f>
        <v>12</v>
      </c>
      <c r="O108" s="7" t="str">
        <f>IF(VLOOKUP(O$2,行为概览!$D$3:$K$33,8,0)="","",VLOOKUP(O$2,行为概览!$D$3:$K$33,8,0)*玩法行为规划!N108)</f>
        <v/>
      </c>
      <c r="P108" s="7" t="str">
        <f>IF(VLOOKUP(P$2,行为概览!$D$3:$K$33,8,0)="","",VLOOKUP(P$2,行为概览!$D$3:$K$33,8,0)*玩法行为规划!O108)</f>
        <v/>
      </c>
      <c r="Q108" s="7">
        <f>IF(VLOOKUP(Q$2,行为概览!$D$3:$K$33,8,0)="","",VLOOKUP(Q$2,行为概览!$D$3:$K$33,8,0)*玩法行为规划!P108)</f>
        <v>5.2</v>
      </c>
      <c r="R108" s="7" t="str">
        <f>IF(VLOOKUP(R$2,行为概览!$D$3:$K$33,8,0)="","",VLOOKUP(R$2,行为概览!$D$3:$K$33,8,0)*玩法行为规划!Q108)</f>
        <v/>
      </c>
      <c r="S108" s="7">
        <f>IF(VLOOKUP(S$2,行为概览!$D$3:$K$33,8,0)="","",VLOOKUP(S$2,行为概览!$D$3:$K$33,8,0)*玩法行为规划!R108)</f>
        <v>0.49995000000000001</v>
      </c>
      <c r="T108" s="7">
        <f>IF(VLOOKUP(T$2,行为概览!$D$3:$K$33,8,0)="","",VLOOKUP(T$2,行为概览!$D$3:$K$33,8,0)*玩法行为规划!S108)</f>
        <v>0</v>
      </c>
      <c r="U108" s="7">
        <f>IF(VLOOKUP(U$2,行为概览!$D$3:$K$33,8,0)="","",VLOOKUP(U$2,行为概览!$D$3:$K$33,8,0)*玩法行为规划!T108)</f>
        <v>0.49995000000000001</v>
      </c>
      <c r="V108" s="7">
        <f>IF(VLOOKUP(V$2,行为概览!$D$3:$K$33,8,0)="","",VLOOKUP(V$2,行为概览!$D$3:$K$33,8,0)*玩法行为规划!U108)</f>
        <v>0.33339999999999997</v>
      </c>
      <c r="W108" s="7" t="str">
        <f>IF(VLOOKUP(W$2,行为概览!$D$3:$K$33,8,0)="","",VLOOKUP(W$2,行为概览!$D$3:$K$33,8,0)*玩法行为规划!V108)</f>
        <v/>
      </c>
      <c r="X108" s="7" t="str">
        <f>IF(VLOOKUP(X$2,行为概览!$D$3:$K$33,8,0)="","",VLOOKUP(X$2,行为概览!$D$3:$K$33,8,0)*玩法行为规划!W108)</f>
        <v/>
      </c>
      <c r="Y108" s="7">
        <f>IF(VLOOKUP(Y$2,行为概览!$D$3:$K$33,8,0)="","",VLOOKUP(Y$2,行为概览!$D$3:$K$33,8,0)*玩法行为规划!X108)</f>
        <v>0.25</v>
      </c>
      <c r="Z108" s="7" t="str">
        <f>IF(VLOOKUP(Z$2,行为概览!$D$3:$K$33,8,0)="","",VLOOKUP(Z$2,行为概览!$D$3:$K$33,8,0)*玩法行为规划!Y108)</f>
        <v/>
      </c>
      <c r="AA108" s="7">
        <f>IF(VLOOKUP(AA$2,行为概览!$D$3:$K$33,8,0)="","",VLOOKUP(AA$2,行为概览!$D$3:$K$33,8,0)*玩法行为规划!Z108)</f>
        <v>8.3349999999999994E-2</v>
      </c>
      <c r="AB108" s="7" t="str">
        <f>IF(VLOOKUP(AB$2,行为概览!$D$3:$K$33,8,0)="","",VLOOKUP(AB$2,行为概览!$D$3:$K$33,8,0)*玩法行为规划!AA108)</f>
        <v/>
      </c>
      <c r="AC108" s="7" t="str">
        <f>IF(VLOOKUP(AC$2,行为概览!$D$3:$K$33,8,0)="","",VLOOKUP(AC$2,行为概览!$D$3:$K$33,8,0)*玩法行为规划!AB108)</f>
        <v/>
      </c>
      <c r="AD108" s="7" t="str">
        <f>IF(VLOOKUP(AD$2,行为概览!$D$3:$K$33,8,0)="","",VLOOKUP(AD$2,行为概览!$D$3:$K$33,8,0)*玩法行为规划!AC108)</f>
        <v/>
      </c>
      <c r="AE108" s="7" t="str">
        <f>IF(VLOOKUP(AE$2,行为概览!$D$3:$K$33,8,0)="","",VLOOKUP(AE$2,行为概览!$D$3:$K$33,8,0)*玩法行为规划!AD108)</f>
        <v/>
      </c>
      <c r="AF108" s="7">
        <f t="shared" si="19"/>
        <v>24.133149999999997</v>
      </c>
      <c r="AG108" s="7">
        <f t="shared" si="20"/>
        <v>12790569</v>
      </c>
      <c r="AH108" s="7">
        <f t="shared" si="16"/>
        <v>616070</v>
      </c>
      <c r="AI108" s="10" t="str">
        <f t="shared" si="18"/>
        <v/>
      </c>
      <c r="AJ108" s="73">
        <f t="shared" si="17"/>
        <v>561820</v>
      </c>
      <c r="AK108" s="77">
        <f>ROUND(AG108*升级节奏!G108/AJ113,2)</f>
        <v>333.42</v>
      </c>
      <c r="AL108" s="77">
        <f>ROUND(AG108*升级节奏!G108/SUM($AJ$3:AJ113),2)</f>
        <v>8.89</v>
      </c>
      <c r="AM108" s="74">
        <f>ROUND(AG108*升级节奏!G108,0)</f>
        <v>205408011</v>
      </c>
      <c r="AN108" s="77">
        <f>ROUND(SUM($AM$3:AM108)/SUM($AJ$3:AJ113),2)</f>
        <v>211.82</v>
      </c>
      <c r="AO108" s="7">
        <f t="shared" si="21"/>
        <v>8833</v>
      </c>
      <c r="AP108" s="7">
        <f t="shared" si="22"/>
        <v>64</v>
      </c>
    </row>
    <row r="109" spans="1:42">
      <c r="A109" s="32">
        <v>107</v>
      </c>
      <c r="B109" s="87">
        <f>升级节奏!D109</f>
        <v>535000</v>
      </c>
      <c r="C109" s="7">
        <f>IF(VLOOKUP(C$2,行为概览!$D$3:$K$33,8,0)="","",VLOOKUP(C$2,行为概览!$D$3:$K$33,8,0)*玩法行为规划!B109)</f>
        <v>0.99990000000000001</v>
      </c>
      <c r="D109" s="7">
        <f>IF(VLOOKUP(D$2,行为概览!$D$3:$K$33,8,0)="","",VLOOKUP(D$2,行为概览!$D$3:$K$33,8,0)*玩法行为规划!C109)</f>
        <v>1.1000000000000001</v>
      </c>
      <c r="E109" s="7" t="str">
        <f>IF(VLOOKUP(E$2,行为概览!$D$3:$K$33,8,0)="","",VLOOKUP(E$2,行为概览!$D$3:$K$33,8,0)*玩法行为规划!D109)</f>
        <v/>
      </c>
      <c r="F109" s="7">
        <f>IF(VLOOKUP(F$2,行为概览!$D$3:$K$33,8,0)="","",VLOOKUP(F$2,行为概览!$D$3:$K$33,8,0)*玩法行为规划!E109)</f>
        <v>1.5</v>
      </c>
      <c r="G109" s="7">
        <f>IF(VLOOKUP(G$2,行为概览!$D$3:$K$33,8,0)="","",VLOOKUP(G$2,行为概览!$D$3:$K$33,8,0)*玩法行为规划!F109)</f>
        <v>0.66659999999999997</v>
      </c>
      <c r="H109" s="7" t="str">
        <f>IF(VLOOKUP(H$2,行为概览!$D$3:$K$33,8,0)="","",VLOOKUP(H$2,行为概览!$D$3:$K$33,8,0)*玩法行为规划!G109)</f>
        <v/>
      </c>
      <c r="I109" s="7" t="str">
        <f>IF(VLOOKUP(I$2,行为概览!$D$3:$K$33,8,0)="","",VLOOKUP(I$2,行为概览!$D$3:$K$33,8,0)*玩法行为规划!H109)</f>
        <v/>
      </c>
      <c r="J109" s="7" t="str">
        <f>IF(VLOOKUP(J$2,行为概览!$D$3:$K$33,8,0)="","",VLOOKUP(J$2,行为概览!$D$3:$K$33,8,0)*玩法行为规划!I109)</f>
        <v/>
      </c>
      <c r="K109" s="7">
        <f>IF(VLOOKUP(K$2,行为概览!$D$3:$K$33,8,0)="","",VLOOKUP(K$2,行为概览!$D$3:$K$33,8,0)*玩法行为规划!J109)</f>
        <v>1</v>
      </c>
      <c r="L109" s="7" t="str">
        <f>IF(VLOOKUP(L$2,行为概览!$D$3:$K$33,8,0)="","",VLOOKUP(L$2,行为概览!$D$3:$K$33,8,0)*玩法行为规划!K109)</f>
        <v/>
      </c>
      <c r="M109" s="7" t="str">
        <f>IF(VLOOKUP(M$2,行为概览!$D$3:$K$33,8,0)="","",VLOOKUP(M$2,行为概览!$D$3:$K$33,8,0)*玩法行为规划!L109)</f>
        <v/>
      </c>
      <c r="N109" s="7">
        <f>IF(VLOOKUP(N$2,行为概览!$D$3:$K$33,8,0)="","",VLOOKUP(N$2,行为概览!$D$3:$K$33,8,0)*玩法行为规划!M109)</f>
        <v>12</v>
      </c>
      <c r="O109" s="7" t="str">
        <f>IF(VLOOKUP(O$2,行为概览!$D$3:$K$33,8,0)="","",VLOOKUP(O$2,行为概览!$D$3:$K$33,8,0)*玩法行为规划!N109)</f>
        <v/>
      </c>
      <c r="P109" s="7" t="str">
        <f>IF(VLOOKUP(P$2,行为概览!$D$3:$K$33,8,0)="","",VLOOKUP(P$2,行为概览!$D$3:$K$33,8,0)*玩法行为规划!O109)</f>
        <v/>
      </c>
      <c r="Q109" s="7">
        <f>IF(VLOOKUP(Q$2,行为概览!$D$3:$K$33,8,0)="","",VLOOKUP(Q$2,行为概览!$D$3:$K$33,8,0)*玩法行为规划!P109)</f>
        <v>5.2</v>
      </c>
      <c r="R109" s="7" t="str">
        <f>IF(VLOOKUP(R$2,行为概览!$D$3:$K$33,8,0)="","",VLOOKUP(R$2,行为概览!$D$3:$K$33,8,0)*玩法行为规划!Q109)</f>
        <v/>
      </c>
      <c r="S109" s="7">
        <f>IF(VLOOKUP(S$2,行为概览!$D$3:$K$33,8,0)="","",VLOOKUP(S$2,行为概览!$D$3:$K$33,8,0)*玩法行为规划!R109)</f>
        <v>0.49995000000000001</v>
      </c>
      <c r="T109" s="7">
        <f>IF(VLOOKUP(T$2,行为概览!$D$3:$K$33,8,0)="","",VLOOKUP(T$2,行为概览!$D$3:$K$33,8,0)*玩法行为规划!S109)</f>
        <v>0</v>
      </c>
      <c r="U109" s="7">
        <f>IF(VLOOKUP(U$2,行为概览!$D$3:$K$33,8,0)="","",VLOOKUP(U$2,行为概览!$D$3:$K$33,8,0)*玩法行为规划!T109)</f>
        <v>0.49995000000000001</v>
      </c>
      <c r="V109" s="7">
        <f>IF(VLOOKUP(V$2,行为概览!$D$3:$K$33,8,0)="","",VLOOKUP(V$2,行为概览!$D$3:$K$33,8,0)*玩法行为规划!U109)</f>
        <v>0.33339999999999997</v>
      </c>
      <c r="W109" s="7" t="str">
        <f>IF(VLOOKUP(W$2,行为概览!$D$3:$K$33,8,0)="","",VLOOKUP(W$2,行为概览!$D$3:$K$33,8,0)*玩法行为规划!V109)</f>
        <v/>
      </c>
      <c r="X109" s="7" t="str">
        <f>IF(VLOOKUP(X$2,行为概览!$D$3:$K$33,8,0)="","",VLOOKUP(X$2,行为概览!$D$3:$K$33,8,0)*玩法行为规划!W109)</f>
        <v/>
      </c>
      <c r="Y109" s="7">
        <f>IF(VLOOKUP(Y$2,行为概览!$D$3:$K$33,8,0)="","",VLOOKUP(Y$2,行为概览!$D$3:$K$33,8,0)*玩法行为规划!X109)</f>
        <v>0.25</v>
      </c>
      <c r="Z109" s="7" t="str">
        <f>IF(VLOOKUP(Z$2,行为概览!$D$3:$K$33,8,0)="","",VLOOKUP(Z$2,行为概览!$D$3:$K$33,8,0)*玩法行为规划!Y109)</f>
        <v/>
      </c>
      <c r="AA109" s="7">
        <f>IF(VLOOKUP(AA$2,行为概览!$D$3:$K$33,8,0)="","",VLOOKUP(AA$2,行为概览!$D$3:$K$33,8,0)*玩法行为规划!Z109)</f>
        <v>8.3349999999999994E-2</v>
      </c>
      <c r="AB109" s="7" t="str">
        <f>IF(VLOOKUP(AB$2,行为概览!$D$3:$K$33,8,0)="","",VLOOKUP(AB$2,行为概览!$D$3:$K$33,8,0)*玩法行为规划!AA109)</f>
        <v/>
      </c>
      <c r="AC109" s="7" t="str">
        <f>IF(VLOOKUP(AC$2,行为概览!$D$3:$K$33,8,0)="","",VLOOKUP(AC$2,行为概览!$D$3:$K$33,8,0)*玩法行为规划!AB109)</f>
        <v/>
      </c>
      <c r="AD109" s="7" t="str">
        <f>IF(VLOOKUP(AD$2,行为概览!$D$3:$K$33,8,0)="","",VLOOKUP(AD$2,行为概览!$D$3:$K$33,8,0)*玩法行为规划!AC109)</f>
        <v/>
      </c>
      <c r="AE109" s="7" t="str">
        <f>IF(VLOOKUP(AE$2,行为概览!$D$3:$K$33,8,0)="","",VLOOKUP(AE$2,行为概览!$D$3:$K$33,8,0)*玩法行为规划!AD109)</f>
        <v/>
      </c>
      <c r="AF109" s="7">
        <f t="shared" si="19"/>
        <v>24.133149999999997</v>
      </c>
      <c r="AG109" s="7">
        <f t="shared" si="20"/>
        <v>12911235</v>
      </c>
      <c r="AH109" s="7">
        <f t="shared" si="16"/>
        <v>627220</v>
      </c>
      <c r="AI109" s="10" t="str">
        <f t="shared" si="18"/>
        <v/>
      </c>
      <c r="AJ109" s="73">
        <f t="shared" si="17"/>
        <v>572470</v>
      </c>
      <c r="AK109" s="77">
        <f>ROUND(AG109*升级节奏!G109/AJ114,2)</f>
        <v>336.79</v>
      </c>
      <c r="AL109" s="77">
        <f>ROUND(AG109*升级节奏!G109/SUM($AJ$3:AJ114),2)</f>
        <v>8.9</v>
      </c>
      <c r="AM109" s="74">
        <f>ROUND(AG109*升级节奏!G109,0)</f>
        <v>211241792</v>
      </c>
      <c r="AN109" s="77">
        <f>ROUND(SUM($AM$3:AM109)/SUM($AJ$3:AJ114),2)</f>
        <v>215.12</v>
      </c>
      <c r="AO109" s="7">
        <f t="shared" si="21"/>
        <v>8917</v>
      </c>
      <c r="AP109" s="7">
        <f t="shared" si="22"/>
        <v>64</v>
      </c>
    </row>
    <row r="110" spans="1:42">
      <c r="A110" s="32">
        <v>108</v>
      </c>
      <c r="B110" s="87">
        <f>升级节奏!D110</f>
        <v>540000</v>
      </c>
      <c r="C110" s="7">
        <f>IF(VLOOKUP(C$2,行为概览!$D$3:$K$33,8,0)="","",VLOOKUP(C$2,行为概览!$D$3:$K$33,8,0)*玩法行为规划!B110)</f>
        <v>0.99990000000000001</v>
      </c>
      <c r="D110" s="7">
        <f>IF(VLOOKUP(D$2,行为概览!$D$3:$K$33,8,0)="","",VLOOKUP(D$2,行为概览!$D$3:$K$33,8,0)*玩法行为规划!C110)</f>
        <v>1.1000000000000001</v>
      </c>
      <c r="E110" s="7" t="str">
        <f>IF(VLOOKUP(E$2,行为概览!$D$3:$K$33,8,0)="","",VLOOKUP(E$2,行为概览!$D$3:$K$33,8,0)*玩法行为规划!D110)</f>
        <v/>
      </c>
      <c r="F110" s="7">
        <f>IF(VLOOKUP(F$2,行为概览!$D$3:$K$33,8,0)="","",VLOOKUP(F$2,行为概览!$D$3:$K$33,8,0)*玩法行为规划!E110)</f>
        <v>1.5</v>
      </c>
      <c r="G110" s="7">
        <f>IF(VLOOKUP(G$2,行为概览!$D$3:$K$33,8,0)="","",VLOOKUP(G$2,行为概览!$D$3:$K$33,8,0)*玩法行为规划!F110)</f>
        <v>0.66659999999999997</v>
      </c>
      <c r="H110" s="7" t="str">
        <f>IF(VLOOKUP(H$2,行为概览!$D$3:$K$33,8,0)="","",VLOOKUP(H$2,行为概览!$D$3:$K$33,8,0)*玩法行为规划!G110)</f>
        <v/>
      </c>
      <c r="I110" s="7" t="str">
        <f>IF(VLOOKUP(I$2,行为概览!$D$3:$K$33,8,0)="","",VLOOKUP(I$2,行为概览!$D$3:$K$33,8,0)*玩法行为规划!H110)</f>
        <v/>
      </c>
      <c r="J110" s="7" t="str">
        <f>IF(VLOOKUP(J$2,行为概览!$D$3:$K$33,8,0)="","",VLOOKUP(J$2,行为概览!$D$3:$K$33,8,0)*玩法行为规划!I110)</f>
        <v/>
      </c>
      <c r="K110" s="7">
        <f>IF(VLOOKUP(K$2,行为概览!$D$3:$K$33,8,0)="","",VLOOKUP(K$2,行为概览!$D$3:$K$33,8,0)*玩法行为规划!J110)</f>
        <v>1</v>
      </c>
      <c r="L110" s="7" t="str">
        <f>IF(VLOOKUP(L$2,行为概览!$D$3:$K$33,8,0)="","",VLOOKUP(L$2,行为概览!$D$3:$K$33,8,0)*玩法行为规划!K110)</f>
        <v/>
      </c>
      <c r="M110" s="7" t="str">
        <f>IF(VLOOKUP(M$2,行为概览!$D$3:$K$33,8,0)="","",VLOOKUP(M$2,行为概览!$D$3:$K$33,8,0)*玩法行为规划!L110)</f>
        <v/>
      </c>
      <c r="N110" s="7">
        <f>IF(VLOOKUP(N$2,行为概览!$D$3:$K$33,8,0)="","",VLOOKUP(N$2,行为概览!$D$3:$K$33,8,0)*玩法行为规划!M110)</f>
        <v>12</v>
      </c>
      <c r="O110" s="7" t="str">
        <f>IF(VLOOKUP(O$2,行为概览!$D$3:$K$33,8,0)="","",VLOOKUP(O$2,行为概览!$D$3:$K$33,8,0)*玩法行为规划!N110)</f>
        <v/>
      </c>
      <c r="P110" s="7" t="str">
        <f>IF(VLOOKUP(P$2,行为概览!$D$3:$K$33,8,0)="","",VLOOKUP(P$2,行为概览!$D$3:$K$33,8,0)*玩法行为规划!O110)</f>
        <v/>
      </c>
      <c r="Q110" s="7">
        <f>IF(VLOOKUP(Q$2,行为概览!$D$3:$K$33,8,0)="","",VLOOKUP(Q$2,行为概览!$D$3:$K$33,8,0)*玩法行为规划!P110)</f>
        <v>5.2</v>
      </c>
      <c r="R110" s="7" t="str">
        <f>IF(VLOOKUP(R$2,行为概览!$D$3:$K$33,8,0)="","",VLOOKUP(R$2,行为概览!$D$3:$K$33,8,0)*玩法行为规划!Q110)</f>
        <v/>
      </c>
      <c r="S110" s="7">
        <f>IF(VLOOKUP(S$2,行为概览!$D$3:$K$33,8,0)="","",VLOOKUP(S$2,行为概览!$D$3:$K$33,8,0)*玩法行为规划!R110)</f>
        <v>0.49995000000000001</v>
      </c>
      <c r="T110" s="7">
        <f>IF(VLOOKUP(T$2,行为概览!$D$3:$K$33,8,0)="","",VLOOKUP(T$2,行为概览!$D$3:$K$33,8,0)*玩法行为规划!S110)</f>
        <v>0</v>
      </c>
      <c r="U110" s="7">
        <f>IF(VLOOKUP(U$2,行为概览!$D$3:$K$33,8,0)="","",VLOOKUP(U$2,行为概览!$D$3:$K$33,8,0)*玩法行为规划!T110)</f>
        <v>0.49995000000000001</v>
      </c>
      <c r="V110" s="7">
        <f>IF(VLOOKUP(V$2,行为概览!$D$3:$K$33,8,0)="","",VLOOKUP(V$2,行为概览!$D$3:$K$33,8,0)*玩法行为规划!U110)</f>
        <v>0.33339999999999997</v>
      </c>
      <c r="W110" s="7" t="str">
        <f>IF(VLOOKUP(W$2,行为概览!$D$3:$K$33,8,0)="","",VLOOKUP(W$2,行为概览!$D$3:$K$33,8,0)*玩法行为规划!V110)</f>
        <v/>
      </c>
      <c r="X110" s="7" t="str">
        <f>IF(VLOOKUP(X$2,行为概览!$D$3:$K$33,8,0)="","",VLOOKUP(X$2,行为概览!$D$3:$K$33,8,0)*玩法行为规划!W110)</f>
        <v/>
      </c>
      <c r="Y110" s="7">
        <f>IF(VLOOKUP(Y$2,行为概览!$D$3:$K$33,8,0)="","",VLOOKUP(Y$2,行为概览!$D$3:$K$33,8,0)*玩法行为规划!X110)</f>
        <v>0.25</v>
      </c>
      <c r="Z110" s="7" t="str">
        <f>IF(VLOOKUP(Z$2,行为概览!$D$3:$K$33,8,0)="","",VLOOKUP(Z$2,行为概览!$D$3:$K$33,8,0)*玩法行为规划!Y110)</f>
        <v/>
      </c>
      <c r="AA110" s="7">
        <f>IF(VLOOKUP(AA$2,行为概览!$D$3:$K$33,8,0)="","",VLOOKUP(AA$2,行为概览!$D$3:$K$33,8,0)*玩法行为规划!Z110)</f>
        <v>8.3349999999999994E-2</v>
      </c>
      <c r="AB110" s="7" t="str">
        <f>IF(VLOOKUP(AB$2,行为概览!$D$3:$K$33,8,0)="","",VLOOKUP(AB$2,行为概览!$D$3:$K$33,8,0)*玩法行为规划!AA110)</f>
        <v/>
      </c>
      <c r="AC110" s="7" t="str">
        <f>IF(VLOOKUP(AC$2,行为概览!$D$3:$K$33,8,0)="","",VLOOKUP(AC$2,行为概览!$D$3:$K$33,8,0)*玩法行为规划!AB110)</f>
        <v/>
      </c>
      <c r="AD110" s="7" t="str">
        <f>IF(VLOOKUP(AD$2,行为概览!$D$3:$K$33,8,0)="","",VLOOKUP(AD$2,行为概览!$D$3:$K$33,8,0)*玩法行为规划!AC110)</f>
        <v/>
      </c>
      <c r="AE110" s="7" t="str">
        <f>IF(VLOOKUP(AE$2,行为概览!$D$3:$K$33,8,0)="","",VLOOKUP(AE$2,行为概览!$D$3:$K$33,8,0)*玩法行为规划!AD110)</f>
        <v/>
      </c>
      <c r="AF110" s="7">
        <f t="shared" si="19"/>
        <v>24.133149999999997</v>
      </c>
      <c r="AG110" s="7">
        <f t="shared" si="20"/>
        <v>13031901</v>
      </c>
      <c r="AH110" s="7">
        <f t="shared" si="16"/>
        <v>638470</v>
      </c>
      <c r="AI110" s="10" t="str">
        <f t="shared" si="18"/>
        <v/>
      </c>
      <c r="AJ110" s="73">
        <f t="shared" si="17"/>
        <v>583220</v>
      </c>
      <c r="AK110" s="77">
        <f>ROUND(AG110*升级节奏!G110/AJ115,2)</f>
        <v>340.17</v>
      </c>
      <c r="AL110" s="77">
        <f>ROUND(AG110*升级节奏!G110/SUM($AJ$3:AJ115),2)</f>
        <v>8.91</v>
      </c>
      <c r="AM110" s="74">
        <f>ROUND(AG110*升级节奏!G110,0)</f>
        <v>217185318</v>
      </c>
      <c r="AN110" s="77">
        <f>ROUND(SUM($AM$3:AM110)/SUM($AJ$3:AJ115),2)</f>
        <v>218.4</v>
      </c>
      <c r="AO110" s="7">
        <f t="shared" si="21"/>
        <v>9000</v>
      </c>
      <c r="AP110" s="7">
        <f t="shared" si="22"/>
        <v>65</v>
      </c>
    </row>
    <row r="111" spans="1:42">
      <c r="A111" s="32">
        <v>109</v>
      </c>
      <c r="B111" s="87">
        <f>升级节奏!D111</f>
        <v>545000</v>
      </c>
      <c r="C111" s="7">
        <f>IF(VLOOKUP(C$2,行为概览!$D$3:$K$33,8,0)="","",VLOOKUP(C$2,行为概览!$D$3:$K$33,8,0)*玩法行为规划!B111)</f>
        <v>0.99990000000000001</v>
      </c>
      <c r="D111" s="7">
        <f>IF(VLOOKUP(D$2,行为概览!$D$3:$K$33,8,0)="","",VLOOKUP(D$2,行为概览!$D$3:$K$33,8,0)*玩法行为规划!C111)</f>
        <v>1.1000000000000001</v>
      </c>
      <c r="E111" s="7" t="str">
        <f>IF(VLOOKUP(E$2,行为概览!$D$3:$K$33,8,0)="","",VLOOKUP(E$2,行为概览!$D$3:$K$33,8,0)*玩法行为规划!D111)</f>
        <v/>
      </c>
      <c r="F111" s="7">
        <f>IF(VLOOKUP(F$2,行为概览!$D$3:$K$33,8,0)="","",VLOOKUP(F$2,行为概览!$D$3:$K$33,8,0)*玩法行为规划!E111)</f>
        <v>1.5</v>
      </c>
      <c r="G111" s="7">
        <f>IF(VLOOKUP(G$2,行为概览!$D$3:$K$33,8,0)="","",VLOOKUP(G$2,行为概览!$D$3:$K$33,8,0)*玩法行为规划!F111)</f>
        <v>0.66659999999999997</v>
      </c>
      <c r="H111" s="7" t="str">
        <f>IF(VLOOKUP(H$2,行为概览!$D$3:$K$33,8,0)="","",VLOOKUP(H$2,行为概览!$D$3:$K$33,8,0)*玩法行为规划!G111)</f>
        <v/>
      </c>
      <c r="I111" s="7" t="str">
        <f>IF(VLOOKUP(I$2,行为概览!$D$3:$K$33,8,0)="","",VLOOKUP(I$2,行为概览!$D$3:$K$33,8,0)*玩法行为规划!H111)</f>
        <v/>
      </c>
      <c r="J111" s="7" t="str">
        <f>IF(VLOOKUP(J$2,行为概览!$D$3:$K$33,8,0)="","",VLOOKUP(J$2,行为概览!$D$3:$K$33,8,0)*玩法行为规划!I111)</f>
        <v/>
      </c>
      <c r="K111" s="7">
        <f>IF(VLOOKUP(K$2,行为概览!$D$3:$K$33,8,0)="","",VLOOKUP(K$2,行为概览!$D$3:$K$33,8,0)*玩法行为规划!J111)</f>
        <v>1</v>
      </c>
      <c r="L111" s="7" t="str">
        <f>IF(VLOOKUP(L$2,行为概览!$D$3:$K$33,8,0)="","",VLOOKUP(L$2,行为概览!$D$3:$K$33,8,0)*玩法行为规划!K111)</f>
        <v/>
      </c>
      <c r="M111" s="7" t="str">
        <f>IF(VLOOKUP(M$2,行为概览!$D$3:$K$33,8,0)="","",VLOOKUP(M$2,行为概览!$D$3:$K$33,8,0)*玩法行为规划!L111)</f>
        <v/>
      </c>
      <c r="N111" s="7">
        <f>IF(VLOOKUP(N$2,行为概览!$D$3:$K$33,8,0)="","",VLOOKUP(N$2,行为概览!$D$3:$K$33,8,0)*玩法行为规划!M111)</f>
        <v>12</v>
      </c>
      <c r="O111" s="7" t="str">
        <f>IF(VLOOKUP(O$2,行为概览!$D$3:$K$33,8,0)="","",VLOOKUP(O$2,行为概览!$D$3:$K$33,8,0)*玩法行为规划!N111)</f>
        <v/>
      </c>
      <c r="P111" s="7" t="str">
        <f>IF(VLOOKUP(P$2,行为概览!$D$3:$K$33,8,0)="","",VLOOKUP(P$2,行为概览!$D$3:$K$33,8,0)*玩法行为规划!O111)</f>
        <v/>
      </c>
      <c r="Q111" s="7">
        <f>IF(VLOOKUP(Q$2,行为概览!$D$3:$K$33,8,0)="","",VLOOKUP(Q$2,行为概览!$D$3:$K$33,8,0)*玩法行为规划!P111)</f>
        <v>5.2</v>
      </c>
      <c r="R111" s="7" t="str">
        <f>IF(VLOOKUP(R$2,行为概览!$D$3:$K$33,8,0)="","",VLOOKUP(R$2,行为概览!$D$3:$K$33,8,0)*玩法行为规划!Q111)</f>
        <v/>
      </c>
      <c r="S111" s="7">
        <f>IF(VLOOKUP(S$2,行为概览!$D$3:$K$33,8,0)="","",VLOOKUP(S$2,行为概览!$D$3:$K$33,8,0)*玩法行为规划!R111)</f>
        <v>0.49995000000000001</v>
      </c>
      <c r="T111" s="7">
        <f>IF(VLOOKUP(T$2,行为概览!$D$3:$K$33,8,0)="","",VLOOKUP(T$2,行为概览!$D$3:$K$33,8,0)*玩法行为规划!S111)</f>
        <v>0</v>
      </c>
      <c r="U111" s="7">
        <f>IF(VLOOKUP(U$2,行为概览!$D$3:$K$33,8,0)="","",VLOOKUP(U$2,行为概览!$D$3:$K$33,8,0)*玩法行为规划!T111)</f>
        <v>0.49995000000000001</v>
      </c>
      <c r="V111" s="7">
        <f>IF(VLOOKUP(V$2,行为概览!$D$3:$K$33,8,0)="","",VLOOKUP(V$2,行为概览!$D$3:$K$33,8,0)*玩法行为规划!U111)</f>
        <v>0.33339999999999997</v>
      </c>
      <c r="W111" s="7" t="str">
        <f>IF(VLOOKUP(W$2,行为概览!$D$3:$K$33,8,0)="","",VLOOKUP(W$2,行为概览!$D$3:$K$33,8,0)*玩法行为规划!V111)</f>
        <v/>
      </c>
      <c r="X111" s="7" t="str">
        <f>IF(VLOOKUP(X$2,行为概览!$D$3:$K$33,8,0)="","",VLOOKUP(X$2,行为概览!$D$3:$K$33,8,0)*玩法行为规划!W111)</f>
        <v/>
      </c>
      <c r="Y111" s="7">
        <f>IF(VLOOKUP(Y$2,行为概览!$D$3:$K$33,8,0)="","",VLOOKUP(Y$2,行为概览!$D$3:$K$33,8,0)*玩法行为规划!X111)</f>
        <v>0.25</v>
      </c>
      <c r="Z111" s="7" t="str">
        <f>IF(VLOOKUP(Z$2,行为概览!$D$3:$K$33,8,0)="","",VLOOKUP(Z$2,行为概览!$D$3:$K$33,8,0)*玩法行为规划!Y111)</f>
        <v/>
      </c>
      <c r="AA111" s="7">
        <f>IF(VLOOKUP(AA$2,行为概览!$D$3:$K$33,8,0)="","",VLOOKUP(AA$2,行为概览!$D$3:$K$33,8,0)*玩法行为规划!Z111)</f>
        <v>8.3349999999999994E-2</v>
      </c>
      <c r="AB111" s="7" t="str">
        <f>IF(VLOOKUP(AB$2,行为概览!$D$3:$K$33,8,0)="","",VLOOKUP(AB$2,行为概览!$D$3:$K$33,8,0)*玩法行为规划!AA111)</f>
        <v/>
      </c>
      <c r="AC111" s="7" t="str">
        <f>IF(VLOOKUP(AC$2,行为概览!$D$3:$K$33,8,0)="","",VLOOKUP(AC$2,行为概览!$D$3:$K$33,8,0)*玩法行为规划!AB111)</f>
        <v/>
      </c>
      <c r="AD111" s="7" t="str">
        <f>IF(VLOOKUP(AD$2,行为概览!$D$3:$K$33,8,0)="","",VLOOKUP(AD$2,行为概览!$D$3:$K$33,8,0)*玩法行为规划!AC111)</f>
        <v/>
      </c>
      <c r="AE111" s="7" t="str">
        <f>IF(VLOOKUP(AE$2,行为概览!$D$3:$K$33,8,0)="","",VLOOKUP(AE$2,行为概览!$D$3:$K$33,8,0)*玩法行为规划!AD111)</f>
        <v/>
      </c>
      <c r="AF111" s="7">
        <f t="shared" si="19"/>
        <v>24.133149999999997</v>
      </c>
      <c r="AG111" s="7">
        <f t="shared" si="20"/>
        <v>13152566</v>
      </c>
      <c r="AH111" s="7">
        <f t="shared" si="16"/>
        <v>649820</v>
      </c>
      <c r="AI111" s="10" t="str">
        <f t="shared" si="18"/>
        <v/>
      </c>
      <c r="AJ111" s="73">
        <f t="shared" si="17"/>
        <v>594070</v>
      </c>
      <c r="AK111" s="77">
        <f>ROUND(AG111*升级节奏!G111/AJ116,2)</f>
        <v>343.54</v>
      </c>
      <c r="AL111" s="77">
        <f>ROUND(AG111*升级节奏!G111/SUM($AJ$3:AJ116),2)</f>
        <v>8.92</v>
      </c>
      <c r="AM111" s="74">
        <f>ROUND(AG111*升级节奏!G111,0)</f>
        <v>223239599</v>
      </c>
      <c r="AN111" s="77">
        <f>ROUND(SUM($AM$3:AM111)/SUM($AJ$3:AJ116),2)</f>
        <v>221.65</v>
      </c>
      <c r="AO111" s="7">
        <f t="shared" si="21"/>
        <v>9083</v>
      </c>
      <c r="AP111" s="7">
        <f t="shared" si="22"/>
        <v>65</v>
      </c>
    </row>
    <row r="112" spans="1:42">
      <c r="A112" s="32">
        <v>110</v>
      </c>
      <c r="B112" s="87">
        <f>升级节奏!D112</f>
        <v>550000</v>
      </c>
      <c r="C112" s="7">
        <f>IF(VLOOKUP(C$2,行为概览!$D$3:$K$33,8,0)="","",VLOOKUP(C$2,行为概览!$D$3:$K$33,8,0)*玩法行为规划!B112)</f>
        <v>0.99990000000000001</v>
      </c>
      <c r="D112" s="7">
        <f>IF(VLOOKUP(D$2,行为概览!$D$3:$K$33,8,0)="","",VLOOKUP(D$2,行为概览!$D$3:$K$33,8,0)*玩法行为规划!C112)</f>
        <v>1.1000000000000001</v>
      </c>
      <c r="E112" s="7" t="str">
        <f>IF(VLOOKUP(E$2,行为概览!$D$3:$K$33,8,0)="","",VLOOKUP(E$2,行为概览!$D$3:$K$33,8,0)*玩法行为规划!D112)</f>
        <v/>
      </c>
      <c r="F112" s="7">
        <f>IF(VLOOKUP(F$2,行为概览!$D$3:$K$33,8,0)="","",VLOOKUP(F$2,行为概览!$D$3:$K$33,8,0)*玩法行为规划!E112)</f>
        <v>1.5</v>
      </c>
      <c r="G112" s="7">
        <f>IF(VLOOKUP(G$2,行为概览!$D$3:$K$33,8,0)="","",VLOOKUP(G$2,行为概览!$D$3:$K$33,8,0)*玩法行为规划!F112)</f>
        <v>0.66659999999999997</v>
      </c>
      <c r="H112" s="7" t="str">
        <f>IF(VLOOKUP(H$2,行为概览!$D$3:$K$33,8,0)="","",VLOOKUP(H$2,行为概览!$D$3:$K$33,8,0)*玩法行为规划!G112)</f>
        <v/>
      </c>
      <c r="I112" s="7" t="str">
        <f>IF(VLOOKUP(I$2,行为概览!$D$3:$K$33,8,0)="","",VLOOKUP(I$2,行为概览!$D$3:$K$33,8,0)*玩法行为规划!H112)</f>
        <v/>
      </c>
      <c r="J112" s="7" t="str">
        <f>IF(VLOOKUP(J$2,行为概览!$D$3:$K$33,8,0)="","",VLOOKUP(J$2,行为概览!$D$3:$K$33,8,0)*玩法行为规划!I112)</f>
        <v/>
      </c>
      <c r="K112" s="7">
        <f>IF(VLOOKUP(K$2,行为概览!$D$3:$K$33,8,0)="","",VLOOKUP(K$2,行为概览!$D$3:$K$33,8,0)*玩法行为规划!J112)</f>
        <v>1</v>
      </c>
      <c r="L112" s="7" t="str">
        <f>IF(VLOOKUP(L$2,行为概览!$D$3:$K$33,8,0)="","",VLOOKUP(L$2,行为概览!$D$3:$K$33,8,0)*玩法行为规划!K112)</f>
        <v/>
      </c>
      <c r="M112" s="7" t="str">
        <f>IF(VLOOKUP(M$2,行为概览!$D$3:$K$33,8,0)="","",VLOOKUP(M$2,行为概览!$D$3:$K$33,8,0)*玩法行为规划!L112)</f>
        <v/>
      </c>
      <c r="N112" s="7">
        <f>IF(VLOOKUP(N$2,行为概览!$D$3:$K$33,8,0)="","",VLOOKUP(N$2,行为概览!$D$3:$K$33,8,0)*玩法行为规划!M112)</f>
        <v>12</v>
      </c>
      <c r="O112" s="7" t="str">
        <f>IF(VLOOKUP(O$2,行为概览!$D$3:$K$33,8,0)="","",VLOOKUP(O$2,行为概览!$D$3:$K$33,8,0)*玩法行为规划!N112)</f>
        <v/>
      </c>
      <c r="P112" s="7" t="str">
        <f>IF(VLOOKUP(P$2,行为概览!$D$3:$K$33,8,0)="","",VLOOKUP(P$2,行为概览!$D$3:$K$33,8,0)*玩法行为规划!O112)</f>
        <v/>
      </c>
      <c r="Q112" s="7">
        <f>IF(VLOOKUP(Q$2,行为概览!$D$3:$K$33,8,0)="","",VLOOKUP(Q$2,行为概览!$D$3:$K$33,8,0)*玩法行为规划!P112)</f>
        <v>5.2</v>
      </c>
      <c r="R112" s="7" t="str">
        <f>IF(VLOOKUP(R$2,行为概览!$D$3:$K$33,8,0)="","",VLOOKUP(R$2,行为概览!$D$3:$K$33,8,0)*玩法行为规划!Q112)</f>
        <v/>
      </c>
      <c r="S112" s="7">
        <f>IF(VLOOKUP(S$2,行为概览!$D$3:$K$33,8,0)="","",VLOOKUP(S$2,行为概览!$D$3:$K$33,8,0)*玩法行为规划!R112)</f>
        <v>0.49995000000000001</v>
      </c>
      <c r="T112" s="7">
        <f>IF(VLOOKUP(T$2,行为概览!$D$3:$K$33,8,0)="","",VLOOKUP(T$2,行为概览!$D$3:$K$33,8,0)*玩法行为规划!S112)</f>
        <v>0</v>
      </c>
      <c r="U112" s="7">
        <f>IF(VLOOKUP(U$2,行为概览!$D$3:$K$33,8,0)="","",VLOOKUP(U$2,行为概览!$D$3:$K$33,8,0)*玩法行为规划!T112)</f>
        <v>0.49995000000000001</v>
      </c>
      <c r="V112" s="7">
        <f>IF(VLOOKUP(V$2,行为概览!$D$3:$K$33,8,0)="","",VLOOKUP(V$2,行为概览!$D$3:$K$33,8,0)*玩法行为规划!U112)</f>
        <v>0.33339999999999997</v>
      </c>
      <c r="W112" s="7" t="str">
        <f>IF(VLOOKUP(W$2,行为概览!$D$3:$K$33,8,0)="","",VLOOKUP(W$2,行为概览!$D$3:$K$33,8,0)*玩法行为规划!V112)</f>
        <v/>
      </c>
      <c r="X112" s="7" t="str">
        <f>IF(VLOOKUP(X$2,行为概览!$D$3:$K$33,8,0)="","",VLOOKUP(X$2,行为概览!$D$3:$K$33,8,0)*玩法行为规划!W112)</f>
        <v/>
      </c>
      <c r="Y112" s="7">
        <f>IF(VLOOKUP(Y$2,行为概览!$D$3:$K$33,8,0)="","",VLOOKUP(Y$2,行为概览!$D$3:$K$33,8,0)*玩法行为规划!X112)</f>
        <v>0.25</v>
      </c>
      <c r="Z112" s="7" t="str">
        <f>IF(VLOOKUP(Z$2,行为概览!$D$3:$K$33,8,0)="","",VLOOKUP(Z$2,行为概览!$D$3:$K$33,8,0)*玩法行为规划!Y112)</f>
        <v/>
      </c>
      <c r="AA112" s="7">
        <f>IF(VLOOKUP(AA$2,行为概览!$D$3:$K$33,8,0)="","",VLOOKUP(AA$2,行为概览!$D$3:$K$33,8,0)*玩法行为规划!Z112)</f>
        <v>8.3349999999999994E-2</v>
      </c>
      <c r="AB112" s="7" t="str">
        <f>IF(VLOOKUP(AB$2,行为概览!$D$3:$K$33,8,0)="","",VLOOKUP(AB$2,行为概览!$D$3:$K$33,8,0)*玩法行为规划!AA112)</f>
        <v/>
      </c>
      <c r="AC112" s="7" t="str">
        <f>IF(VLOOKUP(AC$2,行为概览!$D$3:$K$33,8,0)="","",VLOOKUP(AC$2,行为概览!$D$3:$K$33,8,0)*玩法行为规划!AB112)</f>
        <v/>
      </c>
      <c r="AD112" s="7" t="str">
        <f>IF(VLOOKUP(AD$2,行为概览!$D$3:$K$33,8,0)="","",VLOOKUP(AD$2,行为概览!$D$3:$K$33,8,0)*玩法行为规划!AC112)</f>
        <v/>
      </c>
      <c r="AE112" s="7" t="str">
        <f>IF(VLOOKUP(AE$2,行为概览!$D$3:$K$33,8,0)="","",VLOOKUP(AE$2,行为概览!$D$3:$K$33,8,0)*玩法行为规划!AD112)</f>
        <v/>
      </c>
      <c r="AF112" s="7">
        <f t="shared" si="19"/>
        <v>24.133149999999997</v>
      </c>
      <c r="AG112" s="7">
        <f t="shared" si="20"/>
        <v>13273232</v>
      </c>
      <c r="AH112" s="7">
        <f t="shared" si="16"/>
        <v>661270</v>
      </c>
      <c r="AI112" s="10">
        <f t="shared" si="18"/>
        <v>13143900</v>
      </c>
      <c r="AJ112" s="73">
        <f t="shared" si="17"/>
        <v>605020</v>
      </c>
      <c r="AK112" s="77">
        <f>ROUND(AG112*升级节奏!G112/AJ117,2)</f>
        <v>346.92</v>
      </c>
      <c r="AL112" s="77">
        <f>ROUND(AG112*升级节奏!G112/SUM($AJ$3:AJ117),2)</f>
        <v>8.93</v>
      </c>
      <c r="AM112" s="74">
        <f>ROUND(AG112*升级节奏!G112,0)</f>
        <v>229405693</v>
      </c>
      <c r="AN112" s="77">
        <f>ROUND(SUM($AM$3:AM112)/SUM($AJ$3:AJ117),2)</f>
        <v>224.87</v>
      </c>
      <c r="AO112" s="7">
        <f t="shared" si="21"/>
        <v>9167</v>
      </c>
      <c r="AP112" s="7">
        <f t="shared" si="22"/>
        <v>66</v>
      </c>
    </row>
    <row r="113" spans="1:42">
      <c r="A113" s="32">
        <v>111</v>
      </c>
      <c r="B113" s="87">
        <f>升级节奏!D113</f>
        <v>555000</v>
      </c>
      <c r="C113" s="7">
        <f>IF(VLOOKUP(C$2,行为概览!$D$3:$K$33,8,0)="","",VLOOKUP(C$2,行为概览!$D$3:$K$33,8,0)*玩法行为规划!B113)</f>
        <v>0.99990000000000001</v>
      </c>
      <c r="D113" s="7">
        <f>IF(VLOOKUP(D$2,行为概览!$D$3:$K$33,8,0)="","",VLOOKUP(D$2,行为概览!$D$3:$K$33,8,0)*玩法行为规划!C113)</f>
        <v>1.1000000000000001</v>
      </c>
      <c r="E113" s="7" t="str">
        <f>IF(VLOOKUP(E$2,行为概览!$D$3:$K$33,8,0)="","",VLOOKUP(E$2,行为概览!$D$3:$K$33,8,0)*玩法行为规划!D113)</f>
        <v/>
      </c>
      <c r="F113" s="7">
        <f>IF(VLOOKUP(F$2,行为概览!$D$3:$K$33,8,0)="","",VLOOKUP(F$2,行为概览!$D$3:$K$33,8,0)*玩法行为规划!E113)</f>
        <v>1.5</v>
      </c>
      <c r="G113" s="7">
        <f>IF(VLOOKUP(G$2,行为概览!$D$3:$K$33,8,0)="","",VLOOKUP(G$2,行为概览!$D$3:$K$33,8,0)*玩法行为规划!F113)</f>
        <v>0.66659999999999997</v>
      </c>
      <c r="H113" s="7" t="str">
        <f>IF(VLOOKUP(H$2,行为概览!$D$3:$K$33,8,0)="","",VLOOKUP(H$2,行为概览!$D$3:$K$33,8,0)*玩法行为规划!G113)</f>
        <v/>
      </c>
      <c r="I113" s="7" t="str">
        <f>IF(VLOOKUP(I$2,行为概览!$D$3:$K$33,8,0)="","",VLOOKUP(I$2,行为概览!$D$3:$K$33,8,0)*玩法行为规划!H113)</f>
        <v/>
      </c>
      <c r="J113" s="7" t="str">
        <f>IF(VLOOKUP(J$2,行为概览!$D$3:$K$33,8,0)="","",VLOOKUP(J$2,行为概览!$D$3:$K$33,8,0)*玩法行为规划!I113)</f>
        <v/>
      </c>
      <c r="K113" s="7">
        <f>IF(VLOOKUP(K$2,行为概览!$D$3:$K$33,8,0)="","",VLOOKUP(K$2,行为概览!$D$3:$K$33,8,0)*玩法行为规划!J113)</f>
        <v>1</v>
      </c>
      <c r="L113" s="7" t="str">
        <f>IF(VLOOKUP(L$2,行为概览!$D$3:$K$33,8,0)="","",VLOOKUP(L$2,行为概览!$D$3:$K$33,8,0)*玩法行为规划!K113)</f>
        <v/>
      </c>
      <c r="M113" s="7" t="str">
        <f>IF(VLOOKUP(M$2,行为概览!$D$3:$K$33,8,0)="","",VLOOKUP(M$2,行为概览!$D$3:$K$33,8,0)*玩法行为规划!L113)</f>
        <v/>
      </c>
      <c r="N113" s="7">
        <f>IF(VLOOKUP(N$2,行为概览!$D$3:$K$33,8,0)="","",VLOOKUP(N$2,行为概览!$D$3:$K$33,8,0)*玩法行为规划!M113)</f>
        <v>12</v>
      </c>
      <c r="O113" s="7" t="str">
        <f>IF(VLOOKUP(O$2,行为概览!$D$3:$K$33,8,0)="","",VLOOKUP(O$2,行为概览!$D$3:$K$33,8,0)*玩法行为规划!N113)</f>
        <v/>
      </c>
      <c r="P113" s="7" t="str">
        <f>IF(VLOOKUP(P$2,行为概览!$D$3:$K$33,8,0)="","",VLOOKUP(P$2,行为概览!$D$3:$K$33,8,0)*玩法行为规划!O113)</f>
        <v/>
      </c>
      <c r="Q113" s="7">
        <f>IF(VLOOKUP(Q$2,行为概览!$D$3:$K$33,8,0)="","",VLOOKUP(Q$2,行为概览!$D$3:$K$33,8,0)*玩法行为规划!P113)</f>
        <v>5.2</v>
      </c>
      <c r="R113" s="7" t="str">
        <f>IF(VLOOKUP(R$2,行为概览!$D$3:$K$33,8,0)="","",VLOOKUP(R$2,行为概览!$D$3:$K$33,8,0)*玩法行为规划!Q113)</f>
        <v/>
      </c>
      <c r="S113" s="7">
        <f>IF(VLOOKUP(S$2,行为概览!$D$3:$K$33,8,0)="","",VLOOKUP(S$2,行为概览!$D$3:$K$33,8,0)*玩法行为规划!R113)</f>
        <v>0.49995000000000001</v>
      </c>
      <c r="T113" s="7">
        <f>IF(VLOOKUP(T$2,行为概览!$D$3:$K$33,8,0)="","",VLOOKUP(T$2,行为概览!$D$3:$K$33,8,0)*玩法行为规划!S113)</f>
        <v>0</v>
      </c>
      <c r="U113" s="7">
        <f>IF(VLOOKUP(U$2,行为概览!$D$3:$K$33,8,0)="","",VLOOKUP(U$2,行为概览!$D$3:$K$33,8,0)*玩法行为规划!T113)</f>
        <v>0.49995000000000001</v>
      </c>
      <c r="V113" s="7">
        <f>IF(VLOOKUP(V$2,行为概览!$D$3:$K$33,8,0)="","",VLOOKUP(V$2,行为概览!$D$3:$K$33,8,0)*玩法行为规划!U113)</f>
        <v>0.33339999999999997</v>
      </c>
      <c r="W113" s="7" t="str">
        <f>IF(VLOOKUP(W$2,行为概览!$D$3:$K$33,8,0)="","",VLOOKUP(W$2,行为概览!$D$3:$K$33,8,0)*玩法行为规划!V113)</f>
        <v/>
      </c>
      <c r="X113" s="7" t="str">
        <f>IF(VLOOKUP(X$2,行为概览!$D$3:$K$33,8,0)="","",VLOOKUP(X$2,行为概览!$D$3:$K$33,8,0)*玩法行为规划!W113)</f>
        <v/>
      </c>
      <c r="Y113" s="7">
        <f>IF(VLOOKUP(Y$2,行为概览!$D$3:$K$33,8,0)="","",VLOOKUP(Y$2,行为概览!$D$3:$K$33,8,0)*玩法行为规划!X113)</f>
        <v>0.25</v>
      </c>
      <c r="Z113" s="7" t="str">
        <f>IF(VLOOKUP(Z$2,行为概览!$D$3:$K$33,8,0)="","",VLOOKUP(Z$2,行为概览!$D$3:$K$33,8,0)*玩法行为规划!Y113)</f>
        <v/>
      </c>
      <c r="AA113" s="7">
        <f>IF(VLOOKUP(AA$2,行为概览!$D$3:$K$33,8,0)="","",VLOOKUP(AA$2,行为概览!$D$3:$K$33,8,0)*玩法行为规划!Z113)</f>
        <v>8.3349999999999994E-2</v>
      </c>
      <c r="AB113" s="7" t="str">
        <f>IF(VLOOKUP(AB$2,行为概览!$D$3:$K$33,8,0)="","",VLOOKUP(AB$2,行为概览!$D$3:$K$33,8,0)*玩法行为规划!AA113)</f>
        <v/>
      </c>
      <c r="AC113" s="7" t="str">
        <f>IF(VLOOKUP(AC$2,行为概览!$D$3:$K$33,8,0)="","",VLOOKUP(AC$2,行为概览!$D$3:$K$33,8,0)*玩法行为规划!AB113)</f>
        <v/>
      </c>
      <c r="AD113" s="7" t="str">
        <f>IF(VLOOKUP(AD$2,行为概览!$D$3:$K$33,8,0)="","",VLOOKUP(AD$2,行为概览!$D$3:$K$33,8,0)*玩法行为规划!AC113)</f>
        <v/>
      </c>
      <c r="AE113" s="7" t="str">
        <f>IF(VLOOKUP(AE$2,行为概览!$D$3:$K$33,8,0)="","",VLOOKUP(AE$2,行为概览!$D$3:$K$33,8,0)*玩法行为规划!AD113)</f>
        <v/>
      </c>
      <c r="AF113" s="7">
        <f t="shared" si="19"/>
        <v>24.133149999999997</v>
      </c>
      <c r="AG113" s="7">
        <f t="shared" si="20"/>
        <v>13393898</v>
      </c>
      <c r="AH113" s="7">
        <f t="shared" si="16"/>
        <v>672820</v>
      </c>
      <c r="AI113" s="10" t="str">
        <f t="shared" si="18"/>
        <v/>
      </c>
      <c r="AJ113" s="73">
        <f t="shared" si="17"/>
        <v>616070</v>
      </c>
      <c r="AK113" s="77">
        <f>ROUND(AG113*升级节奏!G113/AJ118,2)</f>
        <v>350.29</v>
      </c>
      <c r="AL113" s="77">
        <f>ROUND(AG113*升级节奏!G113/SUM($AJ$3:AJ118),2)</f>
        <v>8.94</v>
      </c>
      <c r="AM113" s="74">
        <f>ROUND(AG113*升级节奏!G113,0)</f>
        <v>235684610</v>
      </c>
      <c r="AN113" s="77">
        <f>ROUND(SUM($AM$3:AM113)/SUM($AJ$3:AJ118),2)</f>
        <v>228.08</v>
      </c>
      <c r="AO113" s="7">
        <f t="shared" si="21"/>
        <v>9250</v>
      </c>
      <c r="AP113" s="7">
        <f t="shared" si="22"/>
        <v>67</v>
      </c>
    </row>
    <row r="114" spans="1:42">
      <c r="A114" s="32">
        <v>112</v>
      </c>
      <c r="B114" s="87">
        <f>升级节奏!D114</f>
        <v>560000</v>
      </c>
      <c r="C114" s="7">
        <f>IF(VLOOKUP(C$2,行为概览!$D$3:$K$33,8,0)="","",VLOOKUP(C$2,行为概览!$D$3:$K$33,8,0)*玩法行为规划!B114)</f>
        <v>0.99990000000000001</v>
      </c>
      <c r="D114" s="7">
        <f>IF(VLOOKUP(D$2,行为概览!$D$3:$K$33,8,0)="","",VLOOKUP(D$2,行为概览!$D$3:$K$33,8,0)*玩法行为规划!C114)</f>
        <v>1.1000000000000001</v>
      </c>
      <c r="E114" s="7" t="str">
        <f>IF(VLOOKUP(E$2,行为概览!$D$3:$K$33,8,0)="","",VLOOKUP(E$2,行为概览!$D$3:$K$33,8,0)*玩法行为规划!D114)</f>
        <v/>
      </c>
      <c r="F114" s="7">
        <f>IF(VLOOKUP(F$2,行为概览!$D$3:$K$33,8,0)="","",VLOOKUP(F$2,行为概览!$D$3:$K$33,8,0)*玩法行为规划!E114)</f>
        <v>1.5</v>
      </c>
      <c r="G114" s="7">
        <f>IF(VLOOKUP(G$2,行为概览!$D$3:$K$33,8,0)="","",VLOOKUP(G$2,行为概览!$D$3:$K$33,8,0)*玩法行为规划!F114)</f>
        <v>0.66659999999999997</v>
      </c>
      <c r="H114" s="7" t="str">
        <f>IF(VLOOKUP(H$2,行为概览!$D$3:$K$33,8,0)="","",VLOOKUP(H$2,行为概览!$D$3:$K$33,8,0)*玩法行为规划!G114)</f>
        <v/>
      </c>
      <c r="I114" s="7" t="str">
        <f>IF(VLOOKUP(I$2,行为概览!$D$3:$K$33,8,0)="","",VLOOKUP(I$2,行为概览!$D$3:$K$33,8,0)*玩法行为规划!H114)</f>
        <v/>
      </c>
      <c r="J114" s="7" t="str">
        <f>IF(VLOOKUP(J$2,行为概览!$D$3:$K$33,8,0)="","",VLOOKUP(J$2,行为概览!$D$3:$K$33,8,0)*玩法行为规划!I114)</f>
        <v/>
      </c>
      <c r="K114" s="7">
        <f>IF(VLOOKUP(K$2,行为概览!$D$3:$K$33,8,0)="","",VLOOKUP(K$2,行为概览!$D$3:$K$33,8,0)*玩法行为规划!J114)</f>
        <v>1</v>
      </c>
      <c r="L114" s="7" t="str">
        <f>IF(VLOOKUP(L$2,行为概览!$D$3:$K$33,8,0)="","",VLOOKUP(L$2,行为概览!$D$3:$K$33,8,0)*玩法行为规划!K114)</f>
        <v/>
      </c>
      <c r="M114" s="7" t="str">
        <f>IF(VLOOKUP(M$2,行为概览!$D$3:$K$33,8,0)="","",VLOOKUP(M$2,行为概览!$D$3:$K$33,8,0)*玩法行为规划!L114)</f>
        <v/>
      </c>
      <c r="N114" s="7">
        <f>IF(VLOOKUP(N$2,行为概览!$D$3:$K$33,8,0)="","",VLOOKUP(N$2,行为概览!$D$3:$K$33,8,0)*玩法行为规划!M114)</f>
        <v>12</v>
      </c>
      <c r="O114" s="7" t="str">
        <f>IF(VLOOKUP(O$2,行为概览!$D$3:$K$33,8,0)="","",VLOOKUP(O$2,行为概览!$D$3:$K$33,8,0)*玩法行为规划!N114)</f>
        <v/>
      </c>
      <c r="P114" s="7" t="str">
        <f>IF(VLOOKUP(P$2,行为概览!$D$3:$K$33,8,0)="","",VLOOKUP(P$2,行为概览!$D$3:$K$33,8,0)*玩法行为规划!O114)</f>
        <v/>
      </c>
      <c r="Q114" s="7">
        <f>IF(VLOOKUP(Q$2,行为概览!$D$3:$K$33,8,0)="","",VLOOKUP(Q$2,行为概览!$D$3:$K$33,8,0)*玩法行为规划!P114)</f>
        <v>5.2</v>
      </c>
      <c r="R114" s="7" t="str">
        <f>IF(VLOOKUP(R$2,行为概览!$D$3:$K$33,8,0)="","",VLOOKUP(R$2,行为概览!$D$3:$K$33,8,0)*玩法行为规划!Q114)</f>
        <v/>
      </c>
      <c r="S114" s="7">
        <f>IF(VLOOKUP(S$2,行为概览!$D$3:$K$33,8,0)="","",VLOOKUP(S$2,行为概览!$D$3:$K$33,8,0)*玩法行为规划!R114)</f>
        <v>0.49995000000000001</v>
      </c>
      <c r="T114" s="7">
        <f>IF(VLOOKUP(T$2,行为概览!$D$3:$K$33,8,0)="","",VLOOKUP(T$2,行为概览!$D$3:$K$33,8,0)*玩法行为规划!S114)</f>
        <v>0</v>
      </c>
      <c r="U114" s="7">
        <f>IF(VLOOKUP(U$2,行为概览!$D$3:$K$33,8,0)="","",VLOOKUP(U$2,行为概览!$D$3:$K$33,8,0)*玩法行为规划!T114)</f>
        <v>0.49995000000000001</v>
      </c>
      <c r="V114" s="7">
        <f>IF(VLOOKUP(V$2,行为概览!$D$3:$K$33,8,0)="","",VLOOKUP(V$2,行为概览!$D$3:$K$33,8,0)*玩法行为规划!U114)</f>
        <v>0.33339999999999997</v>
      </c>
      <c r="W114" s="7" t="str">
        <f>IF(VLOOKUP(W$2,行为概览!$D$3:$K$33,8,0)="","",VLOOKUP(W$2,行为概览!$D$3:$K$33,8,0)*玩法行为规划!V114)</f>
        <v/>
      </c>
      <c r="X114" s="7" t="str">
        <f>IF(VLOOKUP(X$2,行为概览!$D$3:$K$33,8,0)="","",VLOOKUP(X$2,行为概览!$D$3:$K$33,8,0)*玩法行为规划!W114)</f>
        <v/>
      </c>
      <c r="Y114" s="7">
        <f>IF(VLOOKUP(Y$2,行为概览!$D$3:$K$33,8,0)="","",VLOOKUP(Y$2,行为概览!$D$3:$K$33,8,0)*玩法行为规划!X114)</f>
        <v>0.25</v>
      </c>
      <c r="Z114" s="7" t="str">
        <f>IF(VLOOKUP(Z$2,行为概览!$D$3:$K$33,8,0)="","",VLOOKUP(Z$2,行为概览!$D$3:$K$33,8,0)*玩法行为规划!Y114)</f>
        <v/>
      </c>
      <c r="AA114" s="7">
        <f>IF(VLOOKUP(AA$2,行为概览!$D$3:$K$33,8,0)="","",VLOOKUP(AA$2,行为概览!$D$3:$K$33,8,0)*玩法行为规划!Z114)</f>
        <v>8.3349999999999994E-2</v>
      </c>
      <c r="AB114" s="7" t="str">
        <f>IF(VLOOKUP(AB$2,行为概览!$D$3:$K$33,8,0)="","",VLOOKUP(AB$2,行为概览!$D$3:$K$33,8,0)*玩法行为规划!AA114)</f>
        <v/>
      </c>
      <c r="AC114" s="7" t="str">
        <f>IF(VLOOKUP(AC$2,行为概览!$D$3:$K$33,8,0)="","",VLOOKUP(AC$2,行为概览!$D$3:$K$33,8,0)*玩法行为规划!AB114)</f>
        <v/>
      </c>
      <c r="AD114" s="7" t="str">
        <f>IF(VLOOKUP(AD$2,行为概览!$D$3:$K$33,8,0)="","",VLOOKUP(AD$2,行为概览!$D$3:$K$33,8,0)*玩法行为规划!AC114)</f>
        <v/>
      </c>
      <c r="AE114" s="7" t="str">
        <f>IF(VLOOKUP(AE$2,行为概览!$D$3:$K$33,8,0)="","",VLOOKUP(AE$2,行为概览!$D$3:$K$33,8,0)*玩法行为规划!AD114)</f>
        <v/>
      </c>
      <c r="AF114" s="7">
        <f t="shared" si="19"/>
        <v>24.133149999999997</v>
      </c>
      <c r="AG114" s="7">
        <f t="shared" si="20"/>
        <v>13514564</v>
      </c>
      <c r="AH114" s="7">
        <f t="shared" si="16"/>
        <v>684470</v>
      </c>
      <c r="AI114" s="10" t="str">
        <f t="shared" si="18"/>
        <v/>
      </c>
      <c r="AJ114" s="73">
        <f t="shared" si="17"/>
        <v>627220</v>
      </c>
      <c r="AK114" s="77">
        <f>ROUND(AG114*升级节奏!G114/AJ119,2)</f>
        <v>353.67</v>
      </c>
      <c r="AL114" s="77">
        <f>ROUND(AG114*升级节奏!G114/SUM($AJ$3:AJ119),2)</f>
        <v>8.9499999999999993</v>
      </c>
      <c r="AM114" s="74">
        <f>ROUND(AG114*升级节奏!G114,0)</f>
        <v>242077375</v>
      </c>
      <c r="AN114" s="77">
        <f>ROUND(SUM($AM$3:AM114)/SUM($AJ$3:AJ119),2)</f>
        <v>231.25</v>
      </c>
      <c r="AO114" s="7">
        <f t="shared" si="21"/>
        <v>9333</v>
      </c>
      <c r="AP114" s="7">
        <f t="shared" si="22"/>
        <v>67</v>
      </c>
    </row>
    <row r="115" spans="1:42">
      <c r="A115" s="32">
        <v>113</v>
      </c>
      <c r="B115" s="87">
        <f>升级节奏!D115</f>
        <v>565000</v>
      </c>
      <c r="C115" s="7">
        <f>IF(VLOOKUP(C$2,行为概览!$D$3:$K$33,8,0)="","",VLOOKUP(C$2,行为概览!$D$3:$K$33,8,0)*玩法行为规划!B115)</f>
        <v>0.99990000000000001</v>
      </c>
      <c r="D115" s="7">
        <f>IF(VLOOKUP(D$2,行为概览!$D$3:$K$33,8,0)="","",VLOOKUP(D$2,行为概览!$D$3:$K$33,8,0)*玩法行为规划!C115)</f>
        <v>1.1000000000000001</v>
      </c>
      <c r="E115" s="7" t="str">
        <f>IF(VLOOKUP(E$2,行为概览!$D$3:$K$33,8,0)="","",VLOOKUP(E$2,行为概览!$D$3:$K$33,8,0)*玩法行为规划!D115)</f>
        <v/>
      </c>
      <c r="F115" s="7">
        <f>IF(VLOOKUP(F$2,行为概览!$D$3:$K$33,8,0)="","",VLOOKUP(F$2,行为概览!$D$3:$K$33,8,0)*玩法行为规划!E115)</f>
        <v>1.5</v>
      </c>
      <c r="G115" s="7">
        <f>IF(VLOOKUP(G$2,行为概览!$D$3:$K$33,8,0)="","",VLOOKUP(G$2,行为概览!$D$3:$K$33,8,0)*玩法行为规划!F115)</f>
        <v>0.66659999999999997</v>
      </c>
      <c r="H115" s="7" t="str">
        <f>IF(VLOOKUP(H$2,行为概览!$D$3:$K$33,8,0)="","",VLOOKUP(H$2,行为概览!$D$3:$K$33,8,0)*玩法行为规划!G115)</f>
        <v/>
      </c>
      <c r="I115" s="7" t="str">
        <f>IF(VLOOKUP(I$2,行为概览!$D$3:$K$33,8,0)="","",VLOOKUP(I$2,行为概览!$D$3:$K$33,8,0)*玩法行为规划!H115)</f>
        <v/>
      </c>
      <c r="J115" s="7" t="str">
        <f>IF(VLOOKUP(J$2,行为概览!$D$3:$K$33,8,0)="","",VLOOKUP(J$2,行为概览!$D$3:$K$33,8,0)*玩法行为规划!I115)</f>
        <v/>
      </c>
      <c r="K115" s="7">
        <f>IF(VLOOKUP(K$2,行为概览!$D$3:$K$33,8,0)="","",VLOOKUP(K$2,行为概览!$D$3:$K$33,8,0)*玩法行为规划!J115)</f>
        <v>1</v>
      </c>
      <c r="L115" s="7" t="str">
        <f>IF(VLOOKUP(L$2,行为概览!$D$3:$K$33,8,0)="","",VLOOKUP(L$2,行为概览!$D$3:$K$33,8,0)*玩法行为规划!K115)</f>
        <v/>
      </c>
      <c r="M115" s="7" t="str">
        <f>IF(VLOOKUP(M$2,行为概览!$D$3:$K$33,8,0)="","",VLOOKUP(M$2,行为概览!$D$3:$K$33,8,0)*玩法行为规划!L115)</f>
        <v/>
      </c>
      <c r="N115" s="7">
        <f>IF(VLOOKUP(N$2,行为概览!$D$3:$K$33,8,0)="","",VLOOKUP(N$2,行为概览!$D$3:$K$33,8,0)*玩法行为规划!M115)</f>
        <v>12</v>
      </c>
      <c r="O115" s="7" t="str">
        <f>IF(VLOOKUP(O$2,行为概览!$D$3:$K$33,8,0)="","",VLOOKUP(O$2,行为概览!$D$3:$K$33,8,0)*玩法行为规划!N115)</f>
        <v/>
      </c>
      <c r="P115" s="7" t="str">
        <f>IF(VLOOKUP(P$2,行为概览!$D$3:$K$33,8,0)="","",VLOOKUP(P$2,行为概览!$D$3:$K$33,8,0)*玩法行为规划!O115)</f>
        <v/>
      </c>
      <c r="Q115" s="7">
        <f>IF(VLOOKUP(Q$2,行为概览!$D$3:$K$33,8,0)="","",VLOOKUP(Q$2,行为概览!$D$3:$K$33,8,0)*玩法行为规划!P115)</f>
        <v>5.2</v>
      </c>
      <c r="R115" s="7" t="str">
        <f>IF(VLOOKUP(R$2,行为概览!$D$3:$K$33,8,0)="","",VLOOKUP(R$2,行为概览!$D$3:$K$33,8,0)*玩法行为规划!Q115)</f>
        <v/>
      </c>
      <c r="S115" s="7">
        <f>IF(VLOOKUP(S$2,行为概览!$D$3:$K$33,8,0)="","",VLOOKUP(S$2,行为概览!$D$3:$K$33,8,0)*玩法行为规划!R115)</f>
        <v>0.49995000000000001</v>
      </c>
      <c r="T115" s="7">
        <f>IF(VLOOKUP(T$2,行为概览!$D$3:$K$33,8,0)="","",VLOOKUP(T$2,行为概览!$D$3:$K$33,8,0)*玩法行为规划!S115)</f>
        <v>0</v>
      </c>
      <c r="U115" s="7">
        <f>IF(VLOOKUP(U$2,行为概览!$D$3:$K$33,8,0)="","",VLOOKUP(U$2,行为概览!$D$3:$K$33,8,0)*玩法行为规划!T115)</f>
        <v>0.49995000000000001</v>
      </c>
      <c r="V115" s="7">
        <f>IF(VLOOKUP(V$2,行为概览!$D$3:$K$33,8,0)="","",VLOOKUP(V$2,行为概览!$D$3:$K$33,8,0)*玩法行为规划!U115)</f>
        <v>0.33339999999999997</v>
      </c>
      <c r="W115" s="7" t="str">
        <f>IF(VLOOKUP(W$2,行为概览!$D$3:$K$33,8,0)="","",VLOOKUP(W$2,行为概览!$D$3:$K$33,8,0)*玩法行为规划!V115)</f>
        <v/>
      </c>
      <c r="X115" s="7" t="str">
        <f>IF(VLOOKUP(X$2,行为概览!$D$3:$K$33,8,0)="","",VLOOKUP(X$2,行为概览!$D$3:$K$33,8,0)*玩法行为规划!W115)</f>
        <v/>
      </c>
      <c r="Y115" s="7">
        <f>IF(VLOOKUP(Y$2,行为概览!$D$3:$K$33,8,0)="","",VLOOKUP(Y$2,行为概览!$D$3:$K$33,8,0)*玩法行为规划!X115)</f>
        <v>0.25</v>
      </c>
      <c r="Z115" s="7" t="str">
        <f>IF(VLOOKUP(Z$2,行为概览!$D$3:$K$33,8,0)="","",VLOOKUP(Z$2,行为概览!$D$3:$K$33,8,0)*玩法行为规划!Y115)</f>
        <v/>
      </c>
      <c r="AA115" s="7">
        <f>IF(VLOOKUP(AA$2,行为概览!$D$3:$K$33,8,0)="","",VLOOKUP(AA$2,行为概览!$D$3:$K$33,8,0)*玩法行为规划!Z115)</f>
        <v>8.3349999999999994E-2</v>
      </c>
      <c r="AB115" s="7" t="str">
        <f>IF(VLOOKUP(AB$2,行为概览!$D$3:$K$33,8,0)="","",VLOOKUP(AB$2,行为概览!$D$3:$K$33,8,0)*玩法行为规划!AA115)</f>
        <v/>
      </c>
      <c r="AC115" s="7" t="str">
        <f>IF(VLOOKUP(AC$2,行为概览!$D$3:$K$33,8,0)="","",VLOOKUP(AC$2,行为概览!$D$3:$K$33,8,0)*玩法行为规划!AB115)</f>
        <v/>
      </c>
      <c r="AD115" s="7" t="str">
        <f>IF(VLOOKUP(AD$2,行为概览!$D$3:$K$33,8,0)="","",VLOOKUP(AD$2,行为概览!$D$3:$K$33,8,0)*玩法行为规划!AC115)</f>
        <v/>
      </c>
      <c r="AE115" s="7" t="str">
        <f>IF(VLOOKUP(AE$2,行为概览!$D$3:$K$33,8,0)="","",VLOOKUP(AE$2,行为概览!$D$3:$K$33,8,0)*玩法行为规划!AD115)</f>
        <v/>
      </c>
      <c r="AF115" s="7">
        <f t="shared" si="19"/>
        <v>24.133149999999997</v>
      </c>
      <c r="AG115" s="7">
        <f t="shared" si="20"/>
        <v>13635229</v>
      </c>
      <c r="AH115" s="7">
        <f t="shared" si="16"/>
        <v>696220</v>
      </c>
      <c r="AI115" s="10" t="str">
        <f t="shared" si="18"/>
        <v/>
      </c>
      <c r="AJ115" s="73">
        <f t="shared" si="17"/>
        <v>638470</v>
      </c>
      <c r="AK115" s="77">
        <f>ROUND(AG115*升级节奏!G115/AJ120,2)</f>
        <v>357.05</v>
      </c>
      <c r="AL115" s="77">
        <f>ROUND(AG115*升级节奏!G115/SUM($AJ$3:AJ120),2)</f>
        <v>8.9600000000000009</v>
      </c>
      <c r="AM115" s="74">
        <f>ROUND(AG115*升级节奏!G115,0)</f>
        <v>248584996</v>
      </c>
      <c r="AN115" s="77">
        <f>ROUND(SUM($AM$3:AM115)/SUM($AJ$3:AJ120),2)</f>
        <v>234.41</v>
      </c>
      <c r="AO115" s="7">
        <f t="shared" si="21"/>
        <v>9417</v>
      </c>
      <c r="AP115" s="7">
        <f t="shared" si="22"/>
        <v>68</v>
      </c>
    </row>
    <row r="116" spans="1:42">
      <c r="A116" s="32">
        <v>114</v>
      </c>
      <c r="B116" s="87">
        <f>升级节奏!D116</f>
        <v>570000</v>
      </c>
      <c r="C116" s="7">
        <f>IF(VLOOKUP(C$2,行为概览!$D$3:$K$33,8,0)="","",VLOOKUP(C$2,行为概览!$D$3:$K$33,8,0)*玩法行为规划!B116)</f>
        <v>0.99990000000000001</v>
      </c>
      <c r="D116" s="7">
        <f>IF(VLOOKUP(D$2,行为概览!$D$3:$K$33,8,0)="","",VLOOKUP(D$2,行为概览!$D$3:$K$33,8,0)*玩法行为规划!C116)</f>
        <v>1.1000000000000001</v>
      </c>
      <c r="E116" s="7" t="str">
        <f>IF(VLOOKUP(E$2,行为概览!$D$3:$K$33,8,0)="","",VLOOKUP(E$2,行为概览!$D$3:$K$33,8,0)*玩法行为规划!D116)</f>
        <v/>
      </c>
      <c r="F116" s="7">
        <f>IF(VLOOKUP(F$2,行为概览!$D$3:$K$33,8,0)="","",VLOOKUP(F$2,行为概览!$D$3:$K$33,8,0)*玩法行为规划!E116)</f>
        <v>1.5</v>
      </c>
      <c r="G116" s="7">
        <f>IF(VLOOKUP(G$2,行为概览!$D$3:$K$33,8,0)="","",VLOOKUP(G$2,行为概览!$D$3:$K$33,8,0)*玩法行为规划!F116)</f>
        <v>0.66659999999999997</v>
      </c>
      <c r="H116" s="7" t="str">
        <f>IF(VLOOKUP(H$2,行为概览!$D$3:$K$33,8,0)="","",VLOOKUP(H$2,行为概览!$D$3:$K$33,8,0)*玩法行为规划!G116)</f>
        <v/>
      </c>
      <c r="I116" s="7" t="str">
        <f>IF(VLOOKUP(I$2,行为概览!$D$3:$K$33,8,0)="","",VLOOKUP(I$2,行为概览!$D$3:$K$33,8,0)*玩法行为规划!H116)</f>
        <v/>
      </c>
      <c r="J116" s="7" t="str">
        <f>IF(VLOOKUP(J$2,行为概览!$D$3:$K$33,8,0)="","",VLOOKUP(J$2,行为概览!$D$3:$K$33,8,0)*玩法行为规划!I116)</f>
        <v/>
      </c>
      <c r="K116" s="7">
        <f>IF(VLOOKUP(K$2,行为概览!$D$3:$K$33,8,0)="","",VLOOKUP(K$2,行为概览!$D$3:$K$33,8,0)*玩法行为规划!J116)</f>
        <v>1</v>
      </c>
      <c r="L116" s="7" t="str">
        <f>IF(VLOOKUP(L$2,行为概览!$D$3:$K$33,8,0)="","",VLOOKUP(L$2,行为概览!$D$3:$K$33,8,0)*玩法行为规划!K116)</f>
        <v/>
      </c>
      <c r="M116" s="7" t="str">
        <f>IF(VLOOKUP(M$2,行为概览!$D$3:$K$33,8,0)="","",VLOOKUP(M$2,行为概览!$D$3:$K$33,8,0)*玩法行为规划!L116)</f>
        <v/>
      </c>
      <c r="N116" s="7">
        <f>IF(VLOOKUP(N$2,行为概览!$D$3:$K$33,8,0)="","",VLOOKUP(N$2,行为概览!$D$3:$K$33,8,0)*玩法行为规划!M116)</f>
        <v>12</v>
      </c>
      <c r="O116" s="7" t="str">
        <f>IF(VLOOKUP(O$2,行为概览!$D$3:$K$33,8,0)="","",VLOOKUP(O$2,行为概览!$D$3:$K$33,8,0)*玩法行为规划!N116)</f>
        <v/>
      </c>
      <c r="P116" s="7" t="str">
        <f>IF(VLOOKUP(P$2,行为概览!$D$3:$K$33,8,0)="","",VLOOKUP(P$2,行为概览!$D$3:$K$33,8,0)*玩法行为规划!O116)</f>
        <v/>
      </c>
      <c r="Q116" s="7">
        <f>IF(VLOOKUP(Q$2,行为概览!$D$3:$K$33,8,0)="","",VLOOKUP(Q$2,行为概览!$D$3:$K$33,8,0)*玩法行为规划!P116)</f>
        <v>5.2</v>
      </c>
      <c r="R116" s="7" t="str">
        <f>IF(VLOOKUP(R$2,行为概览!$D$3:$K$33,8,0)="","",VLOOKUP(R$2,行为概览!$D$3:$K$33,8,0)*玩法行为规划!Q116)</f>
        <v/>
      </c>
      <c r="S116" s="7">
        <f>IF(VLOOKUP(S$2,行为概览!$D$3:$K$33,8,0)="","",VLOOKUP(S$2,行为概览!$D$3:$K$33,8,0)*玩法行为规划!R116)</f>
        <v>0.49995000000000001</v>
      </c>
      <c r="T116" s="7">
        <f>IF(VLOOKUP(T$2,行为概览!$D$3:$K$33,8,0)="","",VLOOKUP(T$2,行为概览!$D$3:$K$33,8,0)*玩法行为规划!S116)</f>
        <v>0</v>
      </c>
      <c r="U116" s="7">
        <f>IF(VLOOKUP(U$2,行为概览!$D$3:$K$33,8,0)="","",VLOOKUP(U$2,行为概览!$D$3:$K$33,8,0)*玩法行为规划!T116)</f>
        <v>0.49995000000000001</v>
      </c>
      <c r="V116" s="7">
        <f>IF(VLOOKUP(V$2,行为概览!$D$3:$K$33,8,0)="","",VLOOKUP(V$2,行为概览!$D$3:$K$33,8,0)*玩法行为规划!U116)</f>
        <v>0.33339999999999997</v>
      </c>
      <c r="W116" s="7" t="str">
        <f>IF(VLOOKUP(W$2,行为概览!$D$3:$K$33,8,0)="","",VLOOKUP(W$2,行为概览!$D$3:$K$33,8,0)*玩法行为规划!V116)</f>
        <v/>
      </c>
      <c r="X116" s="7" t="str">
        <f>IF(VLOOKUP(X$2,行为概览!$D$3:$K$33,8,0)="","",VLOOKUP(X$2,行为概览!$D$3:$K$33,8,0)*玩法行为规划!W116)</f>
        <v/>
      </c>
      <c r="Y116" s="7">
        <f>IF(VLOOKUP(Y$2,行为概览!$D$3:$K$33,8,0)="","",VLOOKUP(Y$2,行为概览!$D$3:$K$33,8,0)*玩法行为规划!X116)</f>
        <v>0.25</v>
      </c>
      <c r="Z116" s="7" t="str">
        <f>IF(VLOOKUP(Z$2,行为概览!$D$3:$K$33,8,0)="","",VLOOKUP(Z$2,行为概览!$D$3:$K$33,8,0)*玩法行为规划!Y116)</f>
        <v/>
      </c>
      <c r="AA116" s="7">
        <f>IF(VLOOKUP(AA$2,行为概览!$D$3:$K$33,8,0)="","",VLOOKUP(AA$2,行为概览!$D$3:$K$33,8,0)*玩法行为规划!Z116)</f>
        <v>8.3349999999999994E-2</v>
      </c>
      <c r="AB116" s="7" t="str">
        <f>IF(VLOOKUP(AB$2,行为概览!$D$3:$K$33,8,0)="","",VLOOKUP(AB$2,行为概览!$D$3:$K$33,8,0)*玩法行为规划!AA116)</f>
        <v/>
      </c>
      <c r="AC116" s="7" t="str">
        <f>IF(VLOOKUP(AC$2,行为概览!$D$3:$K$33,8,0)="","",VLOOKUP(AC$2,行为概览!$D$3:$K$33,8,0)*玩法行为规划!AB116)</f>
        <v/>
      </c>
      <c r="AD116" s="7" t="str">
        <f>IF(VLOOKUP(AD$2,行为概览!$D$3:$K$33,8,0)="","",VLOOKUP(AD$2,行为概览!$D$3:$K$33,8,0)*玩法行为规划!AC116)</f>
        <v/>
      </c>
      <c r="AE116" s="7" t="str">
        <f>IF(VLOOKUP(AE$2,行为概览!$D$3:$K$33,8,0)="","",VLOOKUP(AE$2,行为概览!$D$3:$K$33,8,0)*玩法行为规划!AD116)</f>
        <v/>
      </c>
      <c r="AF116" s="7">
        <f t="shared" si="19"/>
        <v>24.133149999999997</v>
      </c>
      <c r="AG116" s="7">
        <f t="shared" si="20"/>
        <v>13755895</v>
      </c>
      <c r="AH116" s="7">
        <f t="shared" si="16"/>
        <v>708070</v>
      </c>
      <c r="AI116" s="10" t="str">
        <f t="shared" si="18"/>
        <v/>
      </c>
      <c r="AJ116" s="73">
        <f t="shared" si="17"/>
        <v>649820</v>
      </c>
      <c r="AK116" s="77">
        <f>ROUND(AG116*升级节奏!G116/AJ121,2)</f>
        <v>360.43</v>
      </c>
      <c r="AL116" s="77">
        <f>ROUND(AG116*升级节奏!G116/SUM($AJ$3:AJ121),2)</f>
        <v>8.9700000000000006</v>
      </c>
      <c r="AM116" s="74">
        <f>ROUND(AG116*升级节奏!G116,0)</f>
        <v>255208535</v>
      </c>
      <c r="AN116" s="77">
        <f>ROUND(SUM($AM$3:AM116)/SUM($AJ$3:AJ121),2)</f>
        <v>237.55</v>
      </c>
      <c r="AO116" s="7">
        <f t="shared" si="21"/>
        <v>9500</v>
      </c>
      <c r="AP116" s="7">
        <f t="shared" si="22"/>
        <v>68</v>
      </c>
    </row>
    <row r="117" spans="1:42">
      <c r="A117" s="32">
        <v>115</v>
      </c>
      <c r="B117" s="87">
        <f>升级节奏!D117</f>
        <v>575000</v>
      </c>
      <c r="C117" s="7">
        <f>IF(VLOOKUP(C$2,行为概览!$D$3:$K$33,8,0)="","",VLOOKUP(C$2,行为概览!$D$3:$K$33,8,0)*玩法行为规划!B117)</f>
        <v>0.99990000000000001</v>
      </c>
      <c r="D117" s="7">
        <f>IF(VLOOKUP(D$2,行为概览!$D$3:$K$33,8,0)="","",VLOOKUP(D$2,行为概览!$D$3:$K$33,8,0)*玩法行为规划!C117)</f>
        <v>1.1000000000000001</v>
      </c>
      <c r="E117" s="7" t="str">
        <f>IF(VLOOKUP(E$2,行为概览!$D$3:$K$33,8,0)="","",VLOOKUP(E$2,行为概览!$D$3:$K$33,8,0)*玩法行为规划!D117)</f>
        <v/>
      </c>
      <c r="F117" s="7">
        <f>IF(VLOOKUP(F$2,行为概览!$D$3:$K$33,8,0)="","",VLOOKUP(F$2,行为概览!$D$3:$K$33,8,0)*玩法行为规划!E117)</f>
        <v>1.5</v>
      </c>
      <c r="G117" s="7">
        <f>IF(VLOOKUP(G$2,行为概览!$D$3:$K$33,8,0)="","",VLOOKUP(G$2,行为概览!$D$3:$K$33,8,0)*玩法行为规划!F117)</f>
        <v>0.66659999999999997</v>
      </c>
      <c r="H117" s="7" t="str">
        <f>IF(VLOOKUP(H$2,行为概览!$D$3:$K$33,8,0)="","",VLOOKUP(H$2,行为概览!$D$3:$K$33,8,0)*玩法行为规划!G117)</f>
        <v/>
      </c>
      <c r="I117" s="7" t="str">
        <f>IF(VLOOKUP(I$2,行为概览!$D$3:$K$33,8,0)="","",VLOOKUP(I$2,行为概览!$D$3:$K$33,8,0)*玩法行为规划!H117)</f>
        <v/>
      </c>
      <c r="J117" s="7" t="str">
        <f>IF(VLOOKUP(J$2,行为概览!$D$3:$K$33,8,0)="","",VLOOKUP(J$2,行为概览!$D$3:$K$33,8,0)*玩法行为规划!I117)</f>
        <v/>
      </c>
      <c r="K117" s="7">
        <f>IF(VLOOKUP(K$2,行为概览!$D$3:$K$33,8,0)="","",VLOOKUP(K$2,行为概览!$D$3:$K$33,8,0)*玩法行为规划!J117)</f>
        <v>1</v>
      </c>
      <c r="L117" s="7" t="str">
        <f>IF(VLOOKUP(L$2,行为概览!$D$3:$K$33,8,0)="","",VLOOKUP(L$2,行为概览!$D$3:$K$33,8,0)*玩法行为规划!K117)</f>
        <v/>
      </c>
      <c r="M117" s="7" t="str">
        <f>IF(VLOOKUP(M$2,行为概览!$D$3:$K$33,8,0)="","",VLOOKUP(M$2,行为概览!$D$3:$K$33,8,0)*玩法行为规划!L117)</f>
        <v/>
      </c>
      <c r="N117" s="7">
        <f>IF(VLOOKUP(N$2,行为概览!$D$3:$K$33,8,0)="","",VLOOKUP(N$2,行为概览!$D$3:$K$33,8,0)*玩法行为规划!M117)</f>
        <v>12</v>
      </c>
      <c r="O117" s="7" t="str">
        <f>IF(VLOOKUP(O$2,行为概览!$D$3:$K$33,8,0)="","",VLOOKUP(O$2,行为概览!$D$3:$K$33,8,0)*玩法行为规划!N117)</f>
        <v/>
      </c>
      <c r="P117" s="7" t="str">
        <f>IF(VLOOKUP(P$2,行为概览!$D$3:$K$33,8,0)="","",VLOOKUP(P$2,行为概览!$D$3:$K$33,8,0)*玩法行为规划!O117)</f>
        <v/>
      </c>
      <c r="Q117" s="7">
        <f>IF(VLOOKUP(Q$2,行为概览!$D$3:$K$33,8,0)="","",VLOOKUP(Q$2,行为概览!$D$3:$K$33,8,0)*玩法行为规划!P117)</f>
        <v>5.2</v>
      </c>
      <c r="R117" s="7" t="str">
        <f>IF(VLOOKUP(R$2,行为概览!$D$3:$K$33,8,0)="","",VLOOKUP(R$2,行为概览!$D$3:$K$33,8,0)*玩法行为规划!Q117)</f>
        <v/>
      </c>
      <c r="S117" s="7">
        <f>IF(VLOOKUP(S$2,行为概览!$D$3:$K$33,8,0)="","",VLOOKUP(S$2,行为概览!$D$3:$K$33,8,0)*玩法行为规划!R117)</f>
        <v>0.49995000000000001</v>
      </c>
      <c r="T117" s="7">
        <f>IF(VLOOKUP(T$2,行为概览!$D$3:$K$33,8,0)="","",VLOOKUP(T$2,行为概览!$D$3:$K$33,8,0)*玩法行为规划!S117)</f>
        <v>0</v>
      </c>
      <c r="U117" s="7">
        <f>IF(VLOOKUP(U$2,行为概览!$D$3:$K$33,8,0)="","",VLOOKUP(U$2,行为概览!$D$3:$K$33,8,0)*玩法行为规划!T117)</f>
        <v>0.49995000000000001</v>
      </c>
      <c r="V117" s="7">
        <f>IF(VLOOKUP(V$2,行为概览!$D$3:$K$33,8,0)="","",VLOOKUP(V$2,行为概览!$D$3:$K$33,8,0)*玩法行为规划!U117)</f>
        <v>0.33339999999999997</v>
      </c>
      <c r="W117" s="7" t="str">
        <f>IF(VLOOKUP(W$2,行为概览!$D$3:$K$33,8,0)="","",VLOOKUP(W$2,行为概览!$D$3:$K$33,8,0)*玩法行为规划!V117)</f>
        <v/>
      </c>
      <c r="X117" s="7" t="str">
        <f>IF(VLOOKUP(X$2,行为概览!$D$3:$K$33,8,0)="","",VLOOKUP(X$2,行为概览!$D$3:$K$33,8,0)*玩法行为规划!W117)</f>
        <v/>
      </c>
      <c r="Y117" s="7">
        <f>IF(VLOOKUP(Y$2,行为概览!$D$3:$K$33,8,0)="","",VLOOKUP(Y$2,行为概览!$D$3:$K$33,8,0)*玩法行为规划!X117)</f>
        <v>0.25</v>
      </c>
      <c r="Z117" s="7" t="str">
        <f>IF(VLOOKUP(Z$2,行为概览!$D$3:$K$33,8,0)="","",VLOOKUP(Z$2,行为概览!$D$3:$K$33,8,0)*玩法行为规划!Y117)</f>
        <v/>
      </c>
      <c r="AA117" s="7">
        <f>IF(VLOOKUP(AA$2,行为概览!$D$3:$K$33,8,0)="","",VLOOKUP(AA$2,行为概览!$D$3:$K$33,8,0)*玩法行为规划!Z117)</f>
        <v>8.3349999999999994E-2</v>
      </c>
      <c r="AB117" s="7" t="str">
        <f>IF(VLOOKUP(AB$2,行为概览!$D$3:$K$33,8,0)="","",VLOOKUP(AB$2,行为概览!$D$3:$K$33,8,0)*玩法行为规划!AA117)</f>
        <v/>
      </c>
      <c r="AC117" s="7" t="str">
        <f>IF(VLOOKUP(AC$2,行为概览!$D$3:$K$33,8,0)="","",VLOOKUP(AC$2,行为概览!$D$3:$K$33,8,0)*玩法行为规划!AB117)</f>
        <v/>
      </c>
      <c r="AD117" s="7" t="str">
        <f>IF(VLOOKUP(AD$2,行为概览!$D$3:$K$33,8,0)="","",VLOOKUP(AD$2,行为概览!$D$3:$K$33,8,0)*玩法行为规划!AC117)</f>
        <v/>
      </c>
      <c r="AE117" s="7" t="str">
        <f>IF(VLOOKUP(AE$2,行为概览!$D$3:$K$33,8,0)="","",VLOOKUP(AE$2,行为概览!$D$3:$K$33,8,0)*玩法行为规划!AD117)</f>
        <v/>
      </c>
      <c r="AF117" s="7">
        <f t="shared" si="19"/>
        <v>24.133149999999997</v>
      </c>
      <c r="AG117" s="7">
        <f t="shared" si="20"/>
        <v>13876561</v>
      </c>
      <c r="AH117" s="7">
        <f t="shared" si="16"/>
        <v>720020</v>
      </c>
      <c r="AI117" s="10" t="str">
        <f t="shared" si="18"/>
        <v/>
      </c>
      <c r="AJ117" s="73">
        <f t="shared" si="17"/>
        <v>661270</v>
      </c>
      <c r="AK117" s="77">
        <f>ROUND(AG117*升级节奏!G117/AJ122,2)</f>
        <v>363.81</v>
      </c>
      <c r="AL117" s="77">
        <f>ROUND(AG117*升级节奏!G117/SUM($AJ$3:AJ122),2)</f>
        <v>8.98</v>
      </c>
      <c r="AM117" s="74">
        <f>ROUND(AG117*升级节奏!G117,0)</f>
        <v>261948998</v>
      </c>
      <c r="AN117" s="77">
        <f>ROUND(SUM($AM$3:AM117)/SUM($AJ$3:AJ122),2)</f>
        <v>240.67</v>
      </c>
      <c r="AO117" s="7">
        <f t="shared" si="21"/>
        <v>9583</v>
      </c>
      <c r="AP117" s="7">
        <f t="shared" si="22"/>
        <v>69</v>
      </c>
    </row>
    <row r="118" spans="1:42">
      <c r="A118" s="32">
        <v>116</v>
      </c>
      <c r="B118" s="87">
        <f>升级节奏!D118</f>
        <v>580000</v>
      </c>
      <c r="C118" s="7">
        <f>IF(VLOOKUP(C$2,行为概览!$D$3:$K$33,8,0)="","",VLOOKUP(C$2,行为概览!$D$3:$K$33,8,0)*玩法行为规划!B118)</f>
        <v>0.99990000000000001</v>
      </c>
      <c r="D118" s="7">
        <f>IF(VLOOKUP(D$2,行为概览!$D$3:$K$33,8,0)="","",VLOOKUP(D$2,行为概览!$D$3:$K$33,8,0)*玩法行为规划!C118)</f>
        <v>1.1000000000000001</v>
      </c>
      <c r="E118" s="7" t="str">
        <f>IF(VLOOKUP(E$2,行为概览!$D$3:$K$33,8,0)="","",VLOOKUP(E$2,行为概览!$D$3:$K$33,8,0)*玩法行为规划!D118)</f>
        <v/>
      </c>
      <c r="F118" s="7">
        <f>IF(VLOOKUP(F$2,行为概览!$D$3:$K$33,8,0)="","",VLOOKUP(F$2,行为概览!$D$3:$K$33,8,0)*玩法行为规划!E118)</f>
        <v>1.5</v>
      </c>
      <c r="G118" s="7">
        <f>IF(VLOOKUP(G$2,行为概览!$D$3:$K$33,8,0)="","",VLOOKUP(G$2,行为概览!$D$3:$K$33,8,0)*玩法行为规划!F118)</f>
        <v>0.66659999999999997</v>
      </c>
      <c r="H118" s="7" t="str">
        <f>IF(VLOOKUP(H$2,行为概览!$D$3:$K$33,8,0)="","",VLOOKUP(H$2,行为概览!$D$3:$K$33,8,0)*玩法行为规划!G118)</f>
        <v/>
      </c>
      <c r="I118" s="7" t="str">
        <f>IF(VLOOKUP(I$2,行为概览!$D$3:$K$33,8,0)="","",VLOOKUP(I$2,行为概览!$D$3:$K$33,8,0)*玩法行为规划!H118)</f>
        <v/>
      </c>
      <c r="J118" s="7" t="str">
        <f>IF(VLOOKUP(J$2,行为概览!$D$3:$K$33,8,0)="","",VLOOKUP(J$2,行为概览!$D$3:$K$33,8,0)*玩法行为规划!I118)</f>
        <v/>
      </c>
      <c r="K118" s="7">
        <f>IF(VLOOKUP(K$2,行为概览!$D$3:$K$33,8,0)="","",VLOOKUP(K$2,行为概览!$D$3:$K$33,8,0)*玩法行为规划!J118)</f>
        <v>1</v>
      </c>
      <c r="L118" s="7" t="str">
        <f>IF(VLOOKUP(L$2,行为概览!$D$3:$K$33,8,0)="","",VLOOKUP(L$2,行为概览!$D$3:$K$33,8,0)*玩法行为规划!K118)</f>
        <v/>
      </c>
      <c r="M118" s="7" t="str">
        <f>IF(VLOOKUP(M$2,行为概览!$D$3:$K$33,8,0)="","",VLOOKUP(M$2,行为概览!$D$3:$K$33,8,0)*玩法行为规划!L118)</f>
        <v/>
      </c>
      <c r="N118" s="7">
        <f>IF(VLOOKUP(N$2,行为概览!$D$3:$K$33,8,0)="","",VLOOKUP(N$2,行为概览!$D$3:$K$33,8,0)*玩法行为规划!M118)</f>
        <v>12</v>
      </c>
      <c r="O118" s="7" t="str">
        <f>IF(VLOOKUP(O$2,行为概览!$D$3:$K$33,8,0)="","",VLOOKUP(O$2,行为概览!$D$3:$K$33,8,0)*玩法行为规划!N118)</f>
        <v/>
      </c>
      <c r="P118" s="7" t="str">
        <f>IF(VLOOKUP(P$2,行为概览!$D$3:$K$33,8,0)="","",VLOOKUP(P$2,行为概览!$D$3:$K$33,8,0)*玩法行为规划!O118)</f>
        <v/>
      </c>
      <c r="Q118" s="7">
        <f>IF(VLOOKUP(Q$2,行为概览!$D$3:$K$33,8,0)="","",VLOOKUP(Q$2,行为概览!$D$3:$K$33,8,0)*玩法行为规划!P118)</f>
        <v>5.2</v>
      </c>
      <c r="R118" s="7" t="str">
        <f>IF(VLOOKUP(R$2,行为概览!$D$3:$K$33,8,0)="","",VLOOKUP(R$2,行为概览!$D$3:$K$33,8,0)*玩法行为规划!Q118)</f>
        <v/>
      </c>
      <c r="S118" s="7">
        <f>IF(VLOOKUP(S$2,行为概览!$D$3:$K$33,8,0)="","",VLOOKUP(S$2,行为概览!$D$3:$K$33,8,0)*玩法行为规划!R118)</f>
        <v>0.49995000000000001</v>
      </c>
      <c r="T118" s="7">
        <f>IF(VLOOKUP(T$2,行为概览!$D$3:$K$33,8,0)="","",VLOOKUP(T$2,行为概览!$D$3:$K$33,8,0)*玩法行为规划!S118)</f>
        <v>0</v>
      </c>
      <c r="U118" s="7">
        <f>IF(VLOOKUP(U$2,行为概览!$D$3:$K$33,8,0)="","",VLOOKUP(U$2,行为概览!$D$3:$K$33,8,0)*玩法行为规划!T118)</f>
        <v>0.49995000000000001</v>
      </c>
      <c r="V118" s="7">
        <f>IF(VLOOKUP(V$2,行为概览!$D$3:$K$33,8,0)="","",VLOOKUP(V$2,行为概览!$D$3:$K$33,8,0)*玩法行为规划!U118)</f>
        <v>0.33339999999999997</v>
      </c>
      <c r="W118" s="7" t="str">
        <f>IF(VLOOKUP(W$2,行为概览!$D$3:$K$33,8,0)="","",VLOOKUP(W$2,行为概览!$D$3:$K$33,8,0)*玩法行为规划!V118)</f>
        <v/>
      </c>
      <c r="X118" s="7" t="str">
        <f>IF(VLOOKUP(X$2,行为概览!$D$3:$K$33,8,0)="","",VLOOKUP(X$2,行为概览!$D$3:$K$33,8,0)*玩法行为规划!W118)</f>
        <v/>
      </c>
      <c r="Y118" s="7">
        <f>IF(VLOOKUP(Y$2,行为概览!$D$3:$K$33,8,0)="","",VLOOKUP(Y$2,行为概览!$D$3:$K$33,8,0)*玩法行为规划!X118)</f>
        <v>0.25</v>
      </c>
      <c r="Z118" s="7" t="str">
        <f>IF(VLOOKUP(Z$2,行为概览!$D$3:$K$33,8,0)="","",VLOOKUP(Z$2,行为概览!$D$3:$K$33,8,0)*玩法行为规划!Y118)</f>
        <v/>
      </c>
      <c r="AA118" s="7">
        <f>IF(VLOOKUP(AA$2,行为概览!$D$3:$K$33,8,0)="","",VLOOKUP(AA$2,行为概览!$D$3:$K$33,8,0)*玩法行为规划!Z118)</f>
        <v>8.3349999999999994E-2</v>
      </c>
      <c r="AB118" s="7" t="str">
        <f>IF(VLOOKUP(AB$2,行为概览!$D$3:$K$33,8,0)="","",VLOOKUP(AB$2,行为概览!$D$3:$K$33,8,0)*玩法行为规划!AA118)</f>
        <v/>
      </c>
      <c r="AC118" s="7" t="str">
        <f>IF(VLOOKUP(AC$2,行为概览!$D$3:$K$33,8,0)="","",VLOOKUP(AC$2,行为概览!$D$3:$K$33,8,0)*玩法行为规划!AB118)</f>
        <v/>
      </c>
      <c r="AD118" s="7" t="str">
        <f>IF(VLOOKUP(AD$2,行为概览!$D$3:$K$33,8,0)="","",VLOOKUP(AD$2,行为概览!$D$3:$K$33,8,0)*玩法行为规划!AC118)</f>
        <v/>
      </c>
      <c r="AE118" s="7" t="str">
        <f>IF(VLOOKUP(AE$2,行为概览!$D$3:$K$33,8,0)="","",VLOOKUP(AE$2,行为概览!$D$3:$K$33,8,0)*玩法行为规划!AD118)</f>
        <v/>
      </c>
      <c r="AF118" s="7">
        <f t="shared" si="19"/>
        <v>24.133149999999997</v>
      </c>
      <c r="AG118" s="7">
        <f t="shared" si="20"/>
        <v>13997227</v>
      </c>
      <c r="AH118" s="7">
        <f t="shared" si="16"/>
        <v>732070</v>
      </c>
      <c r="AI118" s="10" t="str">
        <f t="shared" si="18"/>
        <v/>
      </c>
      <c r="AJ118" s="73">
        <f t="shared" si="17"/>
        <v>672820</v>
      </c>
      <c r="AK118" s="77">
        <f>ROUND(AG118*升级节奏!G118/AJ123,2)</f>
        <v>367.19</v>
      </c>
      <c r="AL118" s="77">
        <f>ROUND(AG118*升级节奏!G118/SUM($AJ$3:AJ123),2)</f>
        <v>8.99</v>
      </c>
      <c r="AM118" s="74">
        <f>ROUND(AG118*升级节奏!G118,0)</f>
        <v>268807413</v>
      </c>
      <c r="AN118" s="77">
        <f>ROUND(SUM($AM$3:AM118)/SUM($AJ$3:AJ123),2)</f>
        <v>243.77</v>
      </c>
      <c r="AO118" s="7">
        <f t="shared" si="21"/>
        <v>9667</v>
      </c>
      <c r="AP118" s="7">
        <f t="shared" si="22"/>
        <v>70</v>
      </c>
    </row>
    <row r="119" spans="1:42">
      <c r="A119" s="32">
        <v>117</v>
      </c>
      <c r="B119" s="87">
        <f>升级节奏!D119</f>
        <v>585000</v>
      </c>
      <c r="C119" s="7">
        <f>IF(VLOOKUP(C$2,行为概览!$D$3:$K$33,8,0)="","",VLOOKUP(C$2,行为概览!$D$3:$K$33,8,0)*玩法行为规划!B119)</f>
        <v>0.99990000000000001</v>
      </c>
      <c r="D119" s="7">
        <f>IF(VLOOKUP(D$2,行为概览!$D$3:$K$33,8,0)="","",VLOOKUP(D$2,行为概览!$D$3:$K$33,8,0)*玩法行为规划!C119)</f>
        <v>1.1000000000000001</v>
      </c>
      <c r="E119" s="7" t="str">
        <f>IF(VLOOKUP(E$2,行为概览!$D$3:$K$33,8,0)="","",VLOOKUP(E$2,行为概览!$D$3:$K$33,8,0)*玩法行为规划!D119)</f>
        <v/>
      </c>
      <c r="F119" s="7">
        <f>IF(VLOOKUP(F$2,行为概览!$D$3:$K$33,8,0)="","",VLOOKUP(F$2,行为概览!$D$3:$K$33,8,0)*玩法行为规划!E119)</f>
        <v>1.5</v>
      </c>
      <c r="G119" s="7">
        <f>IF(VLOOKUP(G$2,行为概览!$D$3:$K$33,8,0)="","",VLOOKUP(G$2,行为概览!$D$3:$K$33,8,0)*玩法行为规划!F119)</f>
        <v>0.66659999999999997</v>
      </c>
      <c r="H119" s="7" t="str">
        <f>IF(VLOOKUP(H$2,行为概览!$D$3:$K$33,8,0)="","",VLOOKUP(H$2,行为概览!$D$3:$K$33,8,0)*玩法行为规划!G119)</f>
        <v/>
      </c>
      <c r="I119" s="7" t="str">
        <f>IF(VLOOKUP(I$2,行为概览!$D$3:$K$33,8,0)="","",VLOOKUP(I$2,行为概览!$D$3:$K$33,8,0)*玩法行为规划!H119)</f>
        <v/>
      </c>
      <c r="J119" s="7" t="str">
        <f>IF(VLOOKUP(J$2,行为概览!$D$3:$K$33,8,0)="","",VLOOKUP(J$2,行为概览!$D$3:$K$33,8,0)*玩法行为规划!I119)</f>
        <v/>
      </c>
      <c r="K119" s="7">
        <f>IF(VLOOKUP(K$2,行为概览!$D$3:$K$33,8,0)="","",VLOOKUP(K$2,行为概览!$D$3:$K$33,8,0)*玩法行为规划!J119)</f>
        <v>1</v>
      </c>
      <c r="L119" s="7" t="str">
        <f>IF(VLOOKUP(L$2,行为概览!$D$3:$K$33,8,0)="","",VLOOKUP(L$2,行为概览!$D$3:$K$33,8,0)*玩法行为规划!K119)</f>
        <v/>
      </c>
      <c r="M119" s="7" t="str">
        <f>IF(VLOOKUP(M$2,行为概览!$D$3:$K$33,8,0)="","",VLOOKUP(M$2,行为概览!$D$3:$K$33,8,0)*玩法行为规划!L119)</f>
        <v/>
      </c>
      <c r="N119" s="7">
        <f>IF(VLOOKUP(N$2,行为概览!$D$3:$K$33,8,0)="","",VLOOKUP(N$2,行为概览!$D$3:$K$33,8,0)*玩法行为规划!M119)</f>
        <v>12</v>
      </c>
      <c r="O119" s="7" t="str">
        <f>IF(VLOOKUP(O$2,行为概览!$D$3:$K$33,8,0)="","",VLOOKUP(O$2,行为概览!$D$3:$K$33,8,0)*玩法行为规划!N119)</f>
        <v/>
      </c>
      <c r="P119" s="7" t="str">
        <f>IF(VLOOKUP(P$2,行为概览!$D$3:$K$33,8,0)="","",VLOOKUP(P$2,行为概览!$D$3:$K$33,8,0)*玩法行为规划!O119)</f>
        <v/>
      </c>
      <c r="Q119" s="7">
        <f>IF(VLOOKUP(Q$2,行为概览!$D$3:$K$33,8,0)="","",VLOOKUP(Q$2,行为概览!$D$3:$K$33,8,0)*玩法行为规划!P119)</f>
        <v>5.2</v>
      </c>
      <c r="R119" s="7" t="str">
        <f>IF(VLOOKUP(R$2,行为概览!$D$3:$K$33,8,0)="","",VLOOKUP(R$2,行为概览!$D$3:$K$33,8,0)*玩法行为规划!Q119)</f>
        <v/>
      </c>
      <c r="S119" s="7">
        <f>IF(VLOOKUP(S$2,行为概览!$D$3:$K$33,8,0)="","",VLOOKUP(S$2,行为概览!$D$3:$K$33,8,0)*玩法行为规划!R119)</f>
        <v>0.49995000000000001</v>
      </c>
      <c r="T119" s="7">
        <f>IF(VLOOKUP(T$2,行为概览!$D$3:$K$33,8,0)="","",VLOOKUP(T$2,行为概览!$D$3:$K$33,8,0)*玩法行为规划!S119)</f>
        <v>0</v>
      </c>
      <c r="U119" s="7">
        <f>IF(VLOOKUP(U$2,行为概览!$D$3:$K$33,8,0)="","",VLOOKUP(U$2,行为概览!$D$3:$K$33,8,0)*玩法行为规划!T119)</f>
        <v>0.49995000000000001</v>
      </c>
      <c r="V119" s="7">
        <f>IF(VLOOKUP(V$2,行为概览!$D$3:$K$33,8,0)="","",VLOOKUP(V$2,行为概览!$D$3:$K$33,8,0)*玩法行为规划!U119)</f>
        <v>0.33339999999999997</v>
      </c>
      <c r="W119" s="7" t="str">
        <f>IF(VLOOKUP(W$2,行为概览!$D$3:$K$33,8,0)="","",VLOOKUP(W$2,行为概览!$D$3:$K$33,8,0)*玩法行为规划!V119)</f>
        <v/>
      </c>
      <c r="X119" s="7" t="str">
        <f>IF(VLOOKUP(X$2,行为概览!$D$3:$K$33,8,0)="","",VLOOKUP(X$2,行为概览!$D$3:$K$33,8,0)*玩法行为规划!W119)</f>
        <v/>
      </c>
      <c r="Y119" s="7">
        <f>IF(VLOOKUP(Y$2,行为概览!$D$3:$K$33,8,0)="","",VLOOKUP(Y$2,行为概览!$D$3:$K$33,8,0)*玩法行为规划!X119)</f>
        <v>0.25</v>
      </c>
      <c r="Z119" s="7" t="str">
        <f>IF(VLOOKUP(Z$2,行为概览!$D$3:$K$33,8,0)="","",VLOOKUP(Z$2,行为概览!$D$3:$K$33,8,0)*玩法行为规划!Y119)</f>
        <v/>
      </c>
      <c r="AA119" s="7">
        <f>IF(VLOOKUP(AA$2,行为概览!$D$3:$K$33,8,0)="","",VLOOKUP(AA$2,行为概览!$D$3:$K$33,8,0)*玩法行为规划!Z119)</f>
        <v>8.3349999999999994E-2</v>
      </c>
      <c r="AB119" s="7" t="str">
        <f>IF(VLOOKUP(AB$2,行为概览!$D$3:$K$33,8,0)="","",VLOOKUP(AB$2,行为概览!$D$3:$K$33,8,0)*玩法行为规划!AA119)</f>
        <v/>
      </c>
      <c r="AC119" s="7" t="str">
        <f>IF(VLOOKUP(AC$2,行为概览!$D$3:$K$33,8,0)="","",VLOOKUP(AC$2,行为概览!$D$3:$K$33,8,0)*玩法行为规划!AB119)</f>
        <v/>
      </c>
      <c r="AD119" s="7" t="str">
        <f>IF(VLOOKUP(AD$2,行为概览!$D$3:$K$33,8,0)="","",VLOOKUP(AD$2,行为概览!$D$3:$K$33,8,0)*玩法行为规划!AC119)</f>
        <v/>
      </c>
      <c r="AE119" s="7" t="str">
        <f>IF(VLOOKUP(AE$2,行为概览!$D$3:$K$33,8,0)="","",VLOOKUP(AE$2,行为概览!$D$3:$K$33,8,0)*玩法行为规划!AD119)</f>
        <v/>
      </c>
      <c r="AF119" s="7">
        <f t="shared" si="19"/>
        <v>24.133149999999997</v>
      </c>
      <c r="AG119" s="7">
        <f t="shared" si="20"/>
        <v>14117892</v>
      </c>
      <c r="AH119" s="7">
        <f t="shared" si="16"/>
        <v>744220</v>
      </c>
      <c r="AI119" s="10" t="str">
        <f t="shared" si="18"/>
        <v/>
      </c>
      <c r="AJ119" s="73">
        <f t="shared" si="17"/>
        <v>684470</v>
      </c>
      <c r="AK119" s="77">
        <f>ROUND(AG119*升级节奏!G119/AJ124,2)</f>
        <v>370.57</v>
      </c>
      <c r="AL119" s="77">
        <f>ROUND(AG119*升级节奏!G119/SUM($AJ$3:AJ124),2)</f>
        <v>9</v>
      </c>
      <c r="AM119" s="74">
        <f>ROUND(AG119*升级节奏!G119,0)</f>
        <v>275784785</v>
      </c>
      <c r="AN119" s="77">
        <f>ROUND(SUM($AM$3:AM119)/SUM($AJ$3:AJ124),2)</f>
        <v>246.85</v>
      </c>
      <c r="AO119" s="7">
        <f t="shared" si="21"/>
        <v>9750</v>
      </c>
      <c r="AP119" s="7">
        <f t="shared" si="22"/>
        <v>70</v>
      </c>
    </row>
    <row r="120" spans="1:42">
      <c r="A120" s="32">
        <v>118</v>
      </c>
      <c r="B120" s="87">
        <f>升级节奏!D120</f>
        <v>590000</v>
      </c>
      <c r="C120" s="7">
        <f>IF(VLOOKUP(C$2,行为概览!$D$3:$K$33,8,0)="","",VLOOKUP(C$2,行为概览!$D$3:$K$33,8,0)*玩法行为规划!B120)</f>
        <v>0.99990000000000001</v>
      </c>
      <c r="D120" s="7">
        <f>IF(VLOOKUP(D$2,行为概览!$D$3:$K$33,8,0)="","",VLOOKUP(D$2,行为概览!$D$3:$K$33,8,0)*玩法行为规划!C120)</f>
        <v>1.1000000000000001</v>
      </c>
      <c r="E120" s="7" t="str">
        <f>IF(VLOOKUP(E$2,行为概览!$D$3:$K$33,8,0)="","",VLOOKUP(E$2,行为概览!$D$3:$K$33,8,0)*玩法行为规划!D120)</f>
        <v/>
      </c>
      <c r="F120" s="7">
        <f>IF(VLOOKUP(F$2,行为概览!$D$3:$K$33,8,0)="","",VLOOKUP(F$2,行为概览!$D$3:$K$33,8,0)*玩法行为规划!E120)</f>
        <v>1.5</v>
      </c>
      <c r="G120" s="7">
        <f>IF(VLOOKUP(G$2,行为概览!$D$3:$K$33,8,0)="","",VLOOKUP(G$2,行为概览!$D$3:$K$33,8,0)*玩法行为规划!F120)</f>
        <v>0.66659999999999997</v>
      </c>
      <c r="H120" s="7" t="str">
        <f>IF(VLOOKUP(H$2,行为概览!$D$3:$K$33,8,0)="","",VLOOKUP(H$2,行为概览!$D$3:$K$33,8,0)*玩法行为规划!G120)</f>
        <v/>
      </c>
      <c r="I120" s="7" t="str">
        <f>IF(VLOOKUP(I$2,行为概览!$D$3:$K$33,8,0)="","",VLOOKUP(I$2,行为概览!$D$3:$K$33,8,0)*玩法行为规划!H120)</f>
        <v/>
      </c>
      <c r="J120" s="7" t="str">
        <f>IF(VLOOKUP(J$2,行为概览!$D$3:$K$33,8,0)="","",VLOOKUP(J$2,行为概览!$D$3:$K$33,8,0)*玩法行为规划!I120)</f>
        <v/>
      </c>
      <c r="K120" s="7">
        <f>IF(VLOOKUP(K$2,行为概览!$D$3:$K$33,8,0)="","",VLOOKUP(K$2,行为概览!$D$3:$K$33,8,0)*玩法行为规划!J120)</f>
        <v>1</v>
      </c>
      <c r="L120" s="7" t="str">
        <f>IF(VLOOKUP(L$2,行为概览!$D$3:$K$33,8,0)="","",VLOOKUP(L$2,行为概览!$D$3:$K$33,8,0)*玩法行为规划!K120)</f>
        <v/>
      </c>
      <c r="M120" s="7" t="str">
        <f>IF(VLOOKUP(M$2,行为概览!$D$3:$K$33,8,0)="","",VLOOKUP(M$2,行为概览!$D$3:$K$33,8,0)*玩法行为规划!L120)</f>
        <v/>
      </c>
      <c r="N120" s="7">
        <f>IF(VLOOKUP(N$2,行为概览!$D$3:$K$33,8,0)="","",VLOOKUP(N$2,行为概览!$D$3:$K$33,8,0)*玩法行为规划!M120)</f>
        <v>12</v>
      </c>
      <c r="O120" s="7" t="str">
        <f>IF(VLOOKUP(O$2,行为概览!$D$3:$K$33,8,0)="","",VLOOKUP(O$2,行为概览!$D$3:$K$33,8,0)*玩法行为规划!N120)</f>
        <v/>
      </c>
      <c r="P120" s="7" t="str">
        <f>IF(VLOOKUP(P$2,行为概览!$D$3:$K$33,8,0)="","",VLOOKUP(P$2,行为概览!$D$3:$K$33,8,0)*玩法行为规划!O120)</f>
        <v/>
      </c>
      <c r="Q120" s="7">
        <f>IF(VLOOKUP(Q$2,行为概览!$D$3:$K$33,8,0)="","",VLOOKUP(Q$2,行为概览!$D$3:$K$33,8,0)*玩法行为规划!P120)</f>
        <v>5.2</v>
      </c>
      <c r="R120" s="7" t="str">
        <f>IF(VLOOKUP(R$2,行为概览!$D$3:$K$33,8,0)="","",VLOOKUP(R$2,行为概览!$D$3:$K$33,8,0)*玩法行为规划!Q120)</f>
        <v/>
      </c>
      <c r="S120" s="7">
        <f>IF(VLOOKUP(S$2,行为概览!$D$3:$K$33,8,0)="","",VLOOKUP(S$2,行为概览!$D$3:$K$33,8,0)*玩法行为规划!R120)</f>
        <v>0.49995000000000001</v>
      </c>
      <c r="T120" s="7">
        <f>IF(VLOOKUP(T$2,行为概览!$D$3:$K$33,8,0)="","",VLOOKUP(T$2,行为概览!$D$3:$K$33,8,0)*玩法行为规划!S120)</f>
        <v>0</v>
      </c>
      <c r="U120" s="7">
        <f>IF(VLOOKUP(U$2,行为概览!$D$3:$K$33,8,0)="","",VLOOKUP(U$2,行为概览!$D$3:$K$33,8,0)*玩法行为规划!T120)</f>
        <v>0.49995000000000001</v>
      </c>
      <c r="V120" s="7">
        <f>IF(VLOOKUP(V$2,行为概览!$D$3:$K$33,8,0)="","",VLOOKUP(V$2,行为概览!$D$3:$K$33,8,0)*玩法行为规划!U120)</f>
        <v>0.33339999999999997</v>
      </c>
      <c r="W120" s="7" t="str">
        <f>IF(VLOOKUP(W$2,行为概览!$D$3:$K$33,8,0)="","",VLOOKUP(W$2,行为概览!$D$3:$K$33,8,0)*玩法行为规划!V120)</f>
        <v/>
      </c>
      <c r="X120" s="7" t="str">
        <f>IF(VLOOKUP(X$2,行为概览!$D$3:$K$33,8,0)="","",VLOOKUP(X$2,行为概览!$D$3:$K$33,8,0)*玩法行为规划!W120)</f>
        <v/>
      </c>
      <c r="Y120" s="7">
        <f>IF(VLOOKUP(Y$2,行为概览!$D$3:$K$33,8,0)="","",VLOOKUP(Y$2,行为概览!$D$3:$K$33,8,0)*玩法行为规划!X120)</f>
        <v>0.25</v>
      </c>
      <c r="Z120" s="7" t="str">
        <f>IF(VLOOKUP(Z$2,行为概览!$D$3:$K$33,8,0)="","",VLOOKUP(Z$2,行为概览!$D$3:$K$33,8,0)*玩法行为规划!Y120)</f>
        <v/>
      </c>
      <c r="AA120" s="7">
        <f>IF(VLOOKUP(AA$2,行为概览!$D$3:$K$33,8,0)="","",VLOOKUP(AA$2,行为概览!$D$3:$K$33,8,0)*玩法行为规划!Z120)</f>
        <v>8.3349999999999994E-2</v>
      </c>
      <c r="AB120" s="7" t="str">
        <f>IF(VLOOKUP(AB$2,行为概览!$D$3:$K$33,8,0)="","",VLOOKUP(AB$2,行为概览!$D$3:$K$33,8,0)*玩法行为规划!AA120)</f>
        <v/>
      </c>
      <c r="AC120" s="7" t="str">
        <f>IF(VLOOKUP(AC$2,行为概览!$D$3:$K$33,8,0)="","",VLOOKUP(AC$2,行为概览!$D$3:$K$33,8,0)*玩法行为规划!AB120)</f>
        <v/>
      </c>
      <c r="AD120" s="7" t="str">
        <f>IF(VLOOKUP(AD$2,行为概览!$D$3:$K$33,8,0)="","",VLOOKUP(AD$2,行为概览!$D$3:$K$33,8,0)*玩法行为规划!AC120)</f>
        <v/>
      </c>
      <c r="AE120" s="7" t="str">
        <f>IF(VLOOKUP(AE$2,行为概览!$D$3:$K$33,8,0)="","",VLOOKUP(AE$2,行为概览!$D$3:$K$33,8,0)*玩法行为规划!AD120)</f>
        <v/>
      </c>
      <c r="AF120" s="7">
        <f t="shared" si="19"/>
        <v>24.133149999999997</v>
      </c>
      <c r="AG120" s="7">
        <f t="shared" si="20"/>
        <v>14238558</v>
      </c>
      <c r="AH120" s="7">
        <f t="shared" si="16"/>
        <v>756470</v>
      </c>
      <c r="AI120" s="10" t="str">
        <f t="shared" si="18"/>
        <v/>
      </c>
      <c r="AJ120" s="73">
        <f t="shared" si="17"/>
        <v>696220</v>
      </c>
      <c r="AK120" s="77">
        <f>ROUND(AG120*升级节奏!G120/AJ125,2)</f>
        <v>373.95</v>
      </c>
      <c r="AL120" s="77">
        <f>ROUND(AG120*升级节奏!G120/SUM($AJ$3:AJ125),2)</f>
        <v>9.01</v>
      </c>
      <c r="AM120" s="74">
        <f>ROUND(AG120*升级节奏!G120,0)</f>
        <v>282882178</v>
      </c>
      <c r="AN120" s="77">
        <f>ROUND(SUM($AM$3:AM120)/SUM($AJ$3:AJ125),2)</f>
        <v>249.91</v>
      </c>
      <c r="AO120" s="7">
        <f t="shared" si="21"/>
        <v>9833</v>
      </c>
      <c r="AP120" s="7">
        <f t="shared" si="22"/>
        <v>71</v>
      </c>
    </row>
    <row r="121" spans="1:42">
      <c r="A121" s="32">
        <v>119</v>
      </c>
      <c r="B121" s="87">
        <f>升级节奏!D121</f>
        <v>595000</v>
      </c>
      <c r="C121" s="7">
        <f>IF(VLOOKUP(C$2,行为概览!$D$3:$K$33,8,0)="","",VLOOKUP(C$2,行为概览!$D$3:$K$33,8,0)*玩法行为规划!B121)</f>
        <v>0.99990000000000001</v>
      </c>
      <c r="D121" s="7">
        <f>IF(VLOOKUP(D$2,行为概览!$D$3:$K$33,8,0)="","",VLOOKUP(D$2,行为概览!$D$3:$K$33,8,0)*玩法行为规划!C121)</f>
        <v>1.1000000000000001</v>
      </c>
      <c r="E121" s="7" t="str">
        <f>IF(VLOOKUP(E$2,行为概览!$D$3:$K$33,8,0)="","",VLOOKUP(E$2,行为概览!$D$3:$K$33,8,0)*玩法行为规划!D121)</f>
        <v/>
      </c>
      <c r="F121" s="7">
        <f>IF(VLOOKUP(F$2,行为概览!$D$3:$K$33,8,0)="","",VLOOKUP(F$2,行为概览!$D$3:$K$33,8,0)*玩法行为规划!E121)</f>
        <v>1.5</v>
      </c>
      <c r="G121" s="7">
        <f>IF(VLOOKUP(G$2,行为概览!$D$3:$K$33,8,0)="","",VLOOKUP(G$2,行为概览!$D$3:$K$33,8,0)*玩法行为规划!F121)</f>
        <v>0.66659999999999997</v>
      </c>
      <c r="H121" s="7" t="str">
        <f>IF(VLOOKUP(H$2,行为概览!$D$3:$K$33,8,0)="","",VLOOKUP(H$2,行为概览!$D$3:$K$33,8,0)*玩法行为规划!G121)</f>
        <v/>
      </c>
      <c r="I121" s="7" t="str">
        <f>IF(VLOOKUP(I$2,行为概览!$D$3:$K$33,8,0)="","",VLOOKUP(I$2,行为概览!$D$3:$K$33,8,0)*玩法行为规划!H121)</f>
        <v/>
      </c>
      <c r="J121" s="7" t="str">
        <f>IF(VLOOKUP(J$2,行为概览!$D$3:$K$33,8,0)="","",VLOOKUP(J$2,行为概览!$D$3:$K$33,8,0)*玩法行为规划!I121)</f>
        <v/>
      </c>
      <c r="K121" s="7">
        <f>IF(VLOOKUP(K$2,行为概览!$D$3:$K$33,8,0)="","",VLOOKUP(K$2,行为概览!$D$3:$K$33,8,0)*玩法行为规划!J121)</f>
        <v>1</v>
      </c>
      <c r="L121" s="7" t="str">
        <f>IF(VLOOKUP(L$2,行为概览!$D$3:$K$33,8,0)="","",VLOOKUP(L$2,行为概览!$D$3:$K$33,8,0)*玩法行为规划!K121)</f>
        <v/>
      </c>
      <c r="M121" s="7" t="str">
        <f>IF(VLOOKUP(M$2,行为概览!$D$3:$K$33,8,0)="","",VLOOKUP(M$2,行为概览!$D$3:$K$33,8,0)*玩法行为规划!L121)</f>
        <v/>
      </c>
      <c r="N121" s="7">
        <f>IF(VLOOKUP(N$2,行为概览!$D$3:$K$33,8,0)="","",VLOOKUP(N$2,行为概览!$D$3:$K$33,8,0)*玩法行为规划!M121)</f>
        <v>12</v>
      </c>
      <c r="O121" s="7" t="str">
        <f>IF(VLOOKUP(O$2,行为概览!$D$3:$K$33,8,0)="","",VLOOKUP(O$2,行为概览!$D$3:$K$33,8,0)*玩法行为规划!N121)</f>
        <v/>
      </c>
      <c r="P121" s="7" t="str">
        <f>IF(VLOOKUP(P$2,行为概览!$D$3:$K$33,8,0)="","",VLOOKUP(P$2,行为概览!$D$3:$K$33,8,0)*玩法行为规划!O121)</f>
        <v/>
      </c>
      <c r="Q121" s="7">
        <f>IF(VLOOKUP(Q$2,行为概览!$D$3:$K$33,8,0)="","",VLOOKUP(Q$2,行为概览!$D$3:$K$33,8,0)*玩法行为规划!P121)</f>
        <v>5.2</v>
      </c>
      <c r="R121" s="7" t="str">
        <f>IF(VLOOKUP(R$2,行为概览!$D$3:$K$33,8,0)="","",VLOOKUP(R$2,行为概览!$D$3:$K$33,8,0)*玩法行为规划!Q121)</f>
        <v/>
      </c>
      <c r="S121" s="7">
        <f>IF(VLOOKUP(S$2,行为概览!$D$3:$K$33,8,0)="","",VLOOKUP(S$2,行为概览!$D$3:$K$33,8,0)*玩法行为规划!R121)</f>
        <v>0.49995000000000001</v>
      </c>
      <c r="T121" s="7">
        <f>IF(VLOOKUP(T$2,行为概览!$D$3:$K$33,8,0)="","",VLOOKUP(T$2,行为概览!$D$3:$K$33,8,0)*玩法行为规划!S121)</f>
        <v>0</v>
      </c>
      <c r="U121" s="7">
        <f>IF(VLOOKUP(U$2,行为概览!$D$3:$K$33,8,0)="","",VLOOKUP(U$2,行为概览!$D$3:$K$33,8,0)*玩法行为规划!T121)</f>
        <v>0.49995000000000001</v>
      </c>
      <c r="V121" s="7">
        <f>IF(VLOOKUP(V$2,行为概览!$D$3:$K$33,8,0)="","",VLOOKUP(V$2,行为概览!$D$3:$K$33,8,0)*玩法行为规划!U121)</f>
        <v>0.33339999999999997</v>
      </c>
      <c r="W121" s="7" t="str">
        <f>IF(VLOOKUP(W$2,行为概览!$D$3:$K$33,8,0)="","",VLOOKUP(W$2,行为概览!$D$3:$K$33,8,0)*玩法行为规划!V121)</f>
        <v/>
      </c>
      <c r="X121" s="7" t="str">
        <f>IF(VLOOKUP(X$2,行为概览!$D$3:$K$33,8,0)="","",VLOOKUP(X$2,行为概览!$D$3:$K$33,8,0)*玩法行为规划!W121)</f>
        <v/>
      </c>
      <c r="Y121" s="7">
        <f>IF(VLOOKUP(Y$2,行为概览!$D$3:$K$33,8,0)="","",VLOOKUP(Y$2,行为概览!$D$3:$K$33,8,0)*玩法行为规划!X121)</f>
        <v>0.25</v>
      </c>
      <c r="Z121" s="7" t="str">
        <f>IF(VLOOKUP(Z$2,行为概览!$D$3:$K$33,8,0)="","",VLOOKUP(Z$2,行为概览!$D$3:$K$33,8,0)*玩法行为规划!Y121)</f>
        <v/>
      </c>
      <c r="AA121" s="7">
        <f>IF(VLOOKUP(AA$2,行为概览!$D$3:$K$33,8,0)="","",VLOOKUP(AA$2,行为概览!$D$3:$K$33,8,0)*玩法行为规划!Z121)</f>
        <v>8.3349999999999994E-2</v>
      </c>
      <c r="AB121" s="7" t="str">
        <f>IF(VLOOKUP(AB$2,行为概览!$D$3:$K$33,8,0)="","",VLOOKUP(AB$2,行为概览!$D$3:$K$33,8,0)*玩法行为规划!AA121)</f>
        <v/>
      </c>
      <c r="AC121" s="7" t="str">
        <f>IF(VLOOKUP(AC$2,行为概览!$D$3:$K$33,8,0)="","",VLOOKUP(AC$2,行为概览!$D$3:$K$33,8,0)*玩法行为规划!AB121)</f>
        <v/>
      </c>
      <c r="AD121" s="7" t="str">
        <f>IF(VLOOKUP(AD$2,行为概览!$D$3:$K$33,8,0)="","",VLOOKUP(AD$2,行为概览!$D$3:$K$33,8,0)*玩法行为规划!AC121)</f>
        <v/>
      </c>
      <c r="AE121" s="7" t="str">
        <f>IF(VLOOKUP(AE$2,行为概览!$D$3:$K$33,8,0)="","",VLOOKUP(AE$2,行为概览!$D$3:$K$33,8,0)*玩法行为规划!AD121)</f>
        <v/>
      </c>
      <c r="AF121" s="7">
        <f t="shared" si="19"/>
        <v>24.133149999999997</v>
      </c>
      <c r="AG121" s="7">
        <f t="shared" si="20"/>
        <v>14359224</v>
      </c>
      <c r="AH121" s="7">
        <f t="shared" si="16"/>
        <v>768820</v>
      </c>
      <c r="AI121" s="10" t="str">
        <f t="shared" si="18"/>
        <v/>
      </c>
      <c r="AJ121" s="73">
        <f t="shared" si="17"/>
        <v>708070</v>
      </c>
      <c r="AK121" s="77">
        <f>ROUND(AG121*升级节奏!G121/AJ126,2)</f>
        <v>377.33</v>
      </c>
      <c r="AL121" s="77">
        <f>ROUND(AG121*升级节奏!G121/SUM($AJ$3:AJ126),2)</f>
        <v>9.02</v>
      </c>
      <c r="AM121" s="74">
        <f>ROUND(AG121*升级节奏!G121,0)</f>
        <v>290100599</v>
      </c>
      <c r="AN121" s="77">
        <f>ROUND(SUM($AM$3:AM121)/SUM($AJ$3:AJ126),2)</f>
        <v>252.95</v>
      </c>
      <c r="AO121" s="7">
        <f t="shared" si="21"/>
        <v>9917</v>
      </c>
      <c r="AP121" s="7">
        <f t="shared" si="22"/>
        <v>71</v>
      </c>
    </row>
    <row r="122" spans="1:42">
      <c r="A122" s="32">
        <v>120</v>
      </c>
      <c r="B122" s="87">
        <f>升级节奏!D122</f>
        <v>600000</v>
      </c>
      <c r="C122" s="7">
        <f>IF(VLOOKUP(C$2,行为概览!$D$3:$K$33,8,0)="","",VLOOKUP(C$2,行为概览!$D$3:$K$33,8,0)*玩法行为规划!B122)</f>
        <v>0.99990000000000001</v>
      </c>
      <c r="D122" s="7">
        <f>IF(VLOOKUP(D$2,行为概览!$D$3:$K$33,8,0)="","",VLOOKUP(D$2,行为概览!$D$3:$K$33,8,0)*玩法行为规划!C122)</f>
        <v>1.1000000000000001</v>
      </c>
      <c r="E122" s="7" t="str">
        <f>IF(VLOOKUP(E$2,行为概览!$D$3:$K$33,8,0)="","",VLOOKUP(E$2,行为概览!$D$3:$K$33,8,0)*玩法行为规划!D122)</f>
        <v/>
      </c>
      <c r="F122" s="7">
        <f>IF(VLOOKUP(F$2,行为概览!$D$3:$K$33,8,0)="","",VLOOKUP(F$2,行为概览!$D$3:$K$33,8,0)*玩法行为规划!E122)</f>
        <v>1.5</v>
      </c>
      <c r="G122" s="7">
        <f>IF(VLOOKUP(G$2,行为概览!$D$3:$K$33,8,0)="","",VLOOKUP(G$2,行为概览!$D$3:$K$33,8,0)*玩法行为规划!F122)</f>
        <v>0.66659999999999997</v>
      </c>
      <c r="H122" s="7" t="str">
        <f>IF(VLOOKUP(H$2,行为概览!$D$3:$K$33,8,0)="","",VLOOKUP(H$2,行为概览!$D$3:$K$33,8,0)*玩法行为规划!G122)</f>
        <v/>
      </c>
      <c r="I122" s="7" t="str">
        <f>IF(VLOOKUP(I$2,行为概览!$D$3:$K$33,8,0)="","",VLOOKUP(I$2,行为概览!$D$3:$K$33,8,0)*玩法行为规划!H122)</f>
        <v/>
      </c>
      <c r="J122" s="7" t="str">
        <f>IF(VLOOKUP(J$2,行为概览!$D$3:$K$33,8,0)="","",VLOOKUP(J$2,行为概览!$D$3:$K$33,8,0)*玩法行为规划!I122)</f>
        <v/>
      </c>
      <c r="K122" s="7">
        <f>IF(VLOOKUP(K$2,行为概览!$D$3:$K$33,8,0)="","",VLOOKUP(K$2,行为概览!$D$3:$K$33,8,0)*玩法行为规划!J122)</f>
        <v>1</v>
      </c>
      <c r="L122" s="7" t="str">
        <f>IF(VLOOKUP(L$2,行为概览!$D$3:$K$33,8,0)="","",VLOOKUP(L$2,行为概览!$D$3:$K$33,8,0)*玩法行为规划!K122)</f>
        <v/>
      </c>
      <c r="M122" s="7" t="str">
        <f>IF(VLOOKUP(M$2,行为概览!$D$3:$K$33,8,0)="","",VLOOKUP(M$2,行为概览!$D$3:$K$33,8,0)*玩法行为规划!L122)</f>
        <v/>
      </c>
      <c r="N122" s="7">
        <f>IF(VLOOKUP(N$2,行为概览!$D$3:$K$33,8,0)="","",VLOOKUP(N$2,行为概览!$D$3:$K$33,8,0)*玩法行为规划!M122)</f>
        <v>12</v>
      </c>
      <c r="O122" s="7" t="str">
        <f>IF(VLOOKUP(O$2,行为概览!$D$3:$K$33,8,0)="","",VLOOKUP(O$2,行为概览!$D$3:$K$33,8,0)*玩法行为规划!N122)</f>
        <v/>
      </c>
      <c r="P122" s="7" t="str">
        <f>IF(VLOOKUP(P$2,行为概览!$D$3:$K$33,8,0)="","",VLOOKUP(P$2,行为概览!$D$3:$K$33,8,0)*玩法行为规划!O122)</f>
        <v/>
      </c>
      <c r="Q122" s="7">
        <f>IF(VLOOKUP(Q$2,行为概览!$D$3:$K$33,8,0)="","",VLOOKUP(Q$2,行为概览!$D$3:$K$33,8,0)*玩法行为规划!P122)</f>
        <v>5.2</v>
      </c>
      <c r="R122" s="7" t="str">
        <f>IF(VLOOKUP(R$2,行为概览!$D$3:$K$33,8,0)="","",VLOOKUP(R$2,行为概览!$D$3:$K$33,8,0)*玩法行为规划!Q122)</f>
        <v/>
      </c>
      <c r="S122" s="7">
        <f>IF(VLOOKUP(S$2,行为概览!$D$3:$K$33,8,0)="","",VLOOKUP(S$2,行为概览!$D$3:$K$33,8,0)*玩法行为规划!R122)</f>
        <v>0.49995000000000001</v>
      </c>
      <c r="T122" s="7">
        <f>IF(VLOOKUP(T$2,行为概览!$D$3:$K$33,8,0)="","",VLOOKUP(T$2,行为概览!$D$3:$K$33,8,0)*玩法行为规划!S122)</f>
        <v>0</v>
      </c>
      <c r="U122" s="7">
        <f>IF(VLOOKUP(U$2,行为概览!$D$3:$K$33,8,0)="","",VLOOKUP(U$2,行为概览!$D$3:$K$33,8,0)*玩法行为规划!T122)</f>
        <v>0.49995000000000001</v>
      </c>
      <c r="V122" s="7">
        <f>IF(VLOOKUP(V$2,行为概览!$D$3:$K$33,8,0)="","",VLOOKUP(V$2,行为概览!$D$3:$K$33,8,0)*玩法行为规划!U122)</f>
        <v>0.33339999999999997</v>
      </c>
      <c r="W122" s="7" t="str">
        <f>IF(VLOOKUP(W$2,行为概览!$D$3:$K$33,8,0)="","",VLOOKUP(W$2,行为概览!$D$3:$K$33,8,0)*玩法行为规划!V122)</f>
        <v/>
      </c>
      <c r="X122" s="7" t="str">
        <f>IF(VLOOKUP(X$2,行为概览!$D$3:$K$33,8,0)="","",VLOOKUP(X$2,行为概览!$D$3:$K$33,8,0)*玩法行为规划!W122)</f>
        <v/>
      </c>
      <c r="Y122" s="7">
        <f>IF(VLOOKUP(Y$2,行为概览!$D$3:$K$33,8,0)="","",VLOOKUP(Y$2,行为概览!$D$3:$K$33,8,0)*玩法行为规划!X122)</f>
        <v>0.25</v>
      </c>
      <c r="Z122" s="7" t="str">
        <f>IF(VLOOKUP(Z$2,行为概览!$D$3:$K$33,8,0)="","",VLOOKUP(Z$2,行为概览!$D$3:$K$33,8,0)*玩法行为规划!Y122)</f>
        <v/>
      </c>
      <c r="AA122" s="7">
        <f>IF(VLOOKUP(AA$2,行为概览!$D$3:$K$33,8,0)="","",VLOOKUP(AA$2,行为概览!$D$3:$K$33,8,0)*玩法行为规划!Z122)</f>
        <v>8.3349999999999994E-2</v>
      </c>
      <c r="AB122" s="7" t="str">
        <f>IF(VLOOKUP(AB$2,行为概览!$D$3:$K$33,8,0)="","",VLOOKUP(AB$2,行为概览!$D$3:$K$33,8,0)*玩法行为规划!AA122)</f>
        <v/>
      </c>
      <c r="AC122" s="7" t="str">
        <f>IF(VLOOKUP(AC$2,行为概览!$D$3:$K$33,8,0)="","",VLOOKUP(AC$2,行为概览!$D$3:$K$33,8,0)*玩法行为规划!AB122)</f>
        <v/>
      </c>
      <c r="AD122" s="7" t="str">
        <f>IF(VLOOKUP(AD$2,行为概览!$D$3:$K$33,8,0)="","",VLOOKUP(AD$2,行为概览!$D$3:$K$33,8,0)*玩法行为规划!AC122)</f>
        <v/>
      </c>
      <c r="AE122" s="7" t="str">
        <f>IF(VLOOKUP(AE$2,行为概览!$D$3:$K$33,8,0)="","",VLOOKUP(AE$2,行为概览!$D$3:$K$33,8,0)*玩法行为规划!AD122)</f>
        <v/>
      </c>
      <c r="AF122" s="7">
        <f t="shared" si="19"/>
        <v>24.133149999999997</v>
      </c>
      <c r="AG122" s="7">
        <f t="shared" si="20"/>
        <v>14479890</v>
      </c>
      <c r="AH122" s="7">
        <f t="shared" si="16"/>
        <v>781270</v>
      </c>
      <c r="AI122" s="10">
        <f t="shared" si="18"/>
        <v>15533900</v>
      </c>
      <c r="AJ122" s="73">
        <f t="shared" si="17"/>
        <v>720020</v>
      </c>
      <c r="AK122" s="77">
        <f>ROUND(AG122*升级节奏!G122/AJ127,2)</f>
        <v>380.71</v>
      </c>
      <c r="AL122" s="77">
        <f>ROUND(AG122*升级节奏!G122/SUM($AJ$3:AJ127),2)</f>
        <v>9.0299999999999994</v>
      </c>
      <c r="AM122" s="74">
        <f>ROUND(AG122*升级节奏!G122,0)</f>
        <v>297441074</v>
      </c>
      <c r="AN122" s="77">
        <f>ROUND(SUM($AM$3:AM122)/SUM($AJ$3:AJ127),2)</f>
        <v>255.98</v>
      </c>
      <c r="AO122" s="7">
        <f t="shared" si="21"/>
        <v>10000</v>
      </c>
      <c r="AP122" s="7">
        <f t="shared" si="22"/>
        <v>72</v>
      </c>
    </row>
    <row r="123" spans="1:42">
      <c r="A123" s="32">
        <v>121</v>
      </c>
      <c r="B123" s="87">
        <f>升级节奏!D123</f>
        <v>605000</v>
      </c>
      <c r="C123" s="7">
        <f>IF(VLOOKUP(C$2,行为概览!$D$3:$K$33,8,0)="","",VLOOKUP(C$2,行为概览!$D$3:$K$33,8,0)*玩法行为规划!B123)</f>
        <v>0.99990000000000001</v>
      </c>
      <c r="D123" s="7">
        <f>IF(VLOOKUP(D$2,行为概览!$D$3:$K$33,8,0)="","",VLOOKUP(D$2,行为概览!$D$3:$K$33,8,0)*玩法行为规划!C123)</f>
        <v>1.1000000000000001</v>
      </c>
      <c r="E123" s="7" t="str">
        <f>IF(VLOOKUP(E$2,行为概览!$D$3:$K$33,8,0)="","",VLOOKUP(E$2,行为概览!$D$3:$K$33,8,0)*玩法行为规划!D123)</f>
        <v/>
      </c>
      <c r="F123" s="7">
        <f>IF(VLOOKUP(F$2,行为概览!$D$3:$K$33,8,0)="","",VLOOKUP(F$2,行为概览!$D$3:$K$33,8,0)*玩法行为规划!E123)</f>
        <v>1.5</v>
      </c>
      <c r="G123" s="7">
        <f>IF(VLOOKUP(G$2,行为概览!$D$3:$K$33,8,0)="","",VLOOKUP(G$2,行为概览!$D$3:$K$33,8,0)*玩法行为规划!F123)</f>
        <v>0.66659999999999997</v>
      </c>
      <c r="H123" s="7" t="str">
        <f>IF(VLOOKUP(H$2,行为概览!$D$3:$K$33,8,0)="","",VLOOKUP(H$2,行为概览!$D$3:$K$33,8,0)*玩法行为规划!G123)</f>
        <v/>
      </c>
      <c r="I123" s="7" t="str">
        <f>IF(VLOOKUP(I$2,行为概览!$D$3:$K$33,8,0)="","",VLOOKUP(I$2,行为概览!$D$3:$K$33,8,0)*玩法行为规划!H123)</f>
        <v/>
      </c>
      <c r="J123" s="7" t="str">
        <f>IF(VLOOKUP(J$2,行为概览!$D$3:$K$33,8,0)="","",VLOOKUP(J$2,行为概览!$D$3:$K$33,8,0)*玩法行为规划!I123)</f>
        <v/>
      </c>
      <c r="K123" s="7">
        <f>IF(VLOOKUP(K$2,行为概览!$D$3:$K$33,8,0)="","",VLOOKUP(K$2,行为概览!$D$3:$K$33,8,0)*玩法行为规划!J123)</f>
        <v>1</v>
      </c>
      <c r="L123" s="7" t="str">
        <f>IF(VLOOKUP(L$2,行为概览!$D$3:$K$33,8,0)="","",VLOOKUP(L$2,行为概览!$D$3:$K$33,8,0)*玩法行为规划!K123)</f>
        <v/>
      </c>
      <c r="M123" s="7" t="str">
        <f>IF(VLOOKUP(M$2,行为概览!$D$3:$K$33,8,0)="","",VLOOKUP(M$2,行为概览!$D$3:$K$33,8,0)*玩法行为规划!L123)</f>
        <v/>
      </c>
      <c r="N123" s="7">
        <f>IF(VLOOKUP(N$2,行为概览!$D$3:$K$33,8,0)="","",VLOOKUP(N$2,行为概览!$D$3:$K$33,8,0)*玩法行为规划!M123)</f>
        <v>12</v>
      </c>
      <c r="O123" s="7" t="str">
        <f>IF(VLOOKUP(O$2,行为概览!$D$3:$K$33,8,0)="","",VLOOKUP(O$2,行为概览!$D$3:$K$33,8,0)*玩法行为规划!N123)</f>
        <v/>
      </c>
      <c r="P123" s="7" t="str">
        <f>IF(VLOOKUP(P$2,行为概览!$D$3:$K$33,8,0)="","",VLOOKUP(P$2,行为概览!$D$3:$K$33,8,0)*玩法行为规划!O123)</f>
        <v/>
      </c>
      <c r="Q123" s="7">
        <f>IF(VLOOKUP(Q$2,行为概览!$D$3:$K$33,8,0)="","",VLOOKUP(Q$2,行为概览!$D$3:$K$33,8,0)*玩法行为规划!P123)</f>
        <v>5.2</v>
      </c>
      <c r="R123" s="7" t="str">
        <f>IF(VLOOKUP(R$2,行为概览!$D$3:$K$33,8,0)="","",VLOOKUP(R$2,行为概览!$D$3:$K$33,8,0)*玩法行为规划!Q123)</f>
        <v/>
      </c>
      <c r="S123" s="7">
        <f>IF(VLOOKUP(S$2,行为概览!$D$3:$K$33,8,0)="","",VLOOKUP(S$2,行为概览!$D$3:$K$33,8,0)*玩法行为规划!R123)</f>
        <v>0.49995000000000001</v>
      </c>
      <c r="T123" s="7">
        <f>IF(VLOOKUP(T$2,行为概览!$D$3:$K$33,8,0)="","",VLOOKUP(T$2,行为概览!$D$3:$K$33,8,0)*玩法行为规划!S123)</f>
        <v>0</v>
      </c>
      <c r="U123" s="7">
        <f>IF(VLOOKUP(U$2,行为概览!$D$3:$K$33,8,0)="","",VLOOKUP(U$2,行为概览!$D$3:$K$33,8,0)*玩法行为规划!T123)</f>
        <v>0.49995000000000001</v>
      </c>
      <c r="V123" s="7">
        <f>IF(VLOOKUP(V$2,行为概览!$D$3:$K$33,8,0)="","",VLOOKUP(V$2,行为概览!$D$3:$K$33,8,0)*玩法行为规划!U123)</f>
        <v>0.33339999999999997</v>
      </c>
      <c r="W123" s="7" t="str">
        <f>IF(VLOOKUP(W$2,行为概览!$D$3:$K$33,8,0)="","",VLOOKUP(W$2,行为概览!$D$3:$K$33,8,0)*玩法行为规划!V123)</f>
        <v/>
      </c>
      <c r="X123" s="7" t="str">
        <f>IF(VLOOKUP(X$2,行为概览!$D$3:$K$33,8,0)="","",VLOOKUP(X$2,行为概览!$D$3:$K$33,8,0)*玩法行为规划!W123)</f>
        <v/>
      </c>
      <c r="Y123" s="7">
        <f>IF(VLOOKUP(Y$2,行为概览!$D$3:$K$33,8,0)="","",VLOOKUP(Y$2,行为概览!$D$3:$K$33,8,0)*玩法行为规划!X123)</f>
        <v>0.25</v>
      </c>
      <c r="Z123" s="7" t="str">
        <f>IF(VLOOKUP(Z$2,行为概览!$D$3:$K$33,8,0)="","",VLOOKUP(Z$2,行为概览!$D$3:$K$33,8,0)*玩法行为规划!Y123)</f>
        <v/>
      </c>
      <c r="AA123" s="7">
        <f>IF(VLOOKUP(AA$2,行为概览!$D$3:$K$33,8,0)="","",VLOOKUP(AA$2,行为概览!$D$3:$K$33,8,0)*玩法行为规划!Z123)</f>
        <v>8.3349999999999994E-2</v>
      </c>
      <c r="AB123" s="7" t="str">
        <f>IF(VLOOKUP(AB$2,行为概览!$D$3:$K$33,8,0)="","",VLOOKUP(AB$2,行为概览!$D$3:$K$33,8,0)*玩法行为规划!AA123)</f>
        <v/>
      </c>
      <c r="AC123" s="7" t="str">
        <f>IF(VLOOKUP(AC$2,行为概览!$D$3:$K$33,8,0)="","",VLOOKUP(AC$2,行为概览!$D$3:$K$33,8,0)*玩法行为规划!AB123)</f>
        <v/>
      </c>
      <c r="AD123" s="7" t="str">
        <f>IF(VLOOKUP(AD$2,行为概览!$D$3:$K$33,8,0)="","",VLOOKUP(AD$2,行为概览!$D$3:$K$33,8,0)*玩法行为规划!AC123)</f>
        <v/>
      </c>
      <c r="AE123" s="7" t="str">
        <f>IF(VLOOKUP(AE$2,行为概览!$D$3:$K$33,8,0)="","",VLOOKUP(AE$2,行为概览!$D$3:$K$33,8,0)*玩法行为规划!AD123)</f>
        <v/>
      </c>
      <c r="AF123" s="7">
        <f t="shared" si="19"/>
        <v>24.133149999999997</v>
      </c>
      <c r="AG123" s="7">
        <f t="shared" si="20"/>
        <v>14600555</v>
      </c>
      <c r="AH123" s="7">
        <f t="shared" si="16"/>
        <v>793820</v>
      </c>
      <c r="AI123" s="10" t="str">
        <f t="shared" si="18"/>
        <v/>
      </c>
      <c r="AJ123" s="73">
        <f t="shared" si="17"/>
        <v>732070</v>
      </c>
      <c r="AK123" s="77">
        <f>ROUND(AG123*升级节奏!G123/AJ128,2)</f>
        <v>384.1</v>
      </c>
      <c r="AL123" s="77">
        <f>ROUND(AG123*升级节奏!G123/SUM($AJ$3:AJ128),2)</f>
        <v>9.0399999999999991</v>
      </c>
      <c r="AM123" s="74">
        <f>ROUND(AG123*升级节奏!G123,0)</f>
        <v>304904607</v>
      </c>
      <c r="AN123" s="77">
        <f>ROUND(SUM($AM$3:AM123)/SUM($AJ$3:AJ128),2)</f>
        <v>259</v>
      </c>
      <c r="AO123" s="7">
        <f t="shared" si="21"/>
        <v>10083</v>
      </c>
      <c r="AP123" s="7">
        <f t="shared" si="22"/>
        <v>73</v>
      </c>
    </row>
    <row r="124" spans="1:42">
      <c r="A124" s="32">
        <v>122</v>
      </c>
      <c r="B124" s="87">
        <f>升级节奏!D124</f>
        <v>610000</v>
      </c>
      <c r="C124" s="7">
        <f>IF(VLOOKUP(C$2,行为概览!$D$3:$K$33,8,0)="","",VLOOKUP(C$2,行为概览!$D$3:$K$33,8,0)*玩法行为规划!B124)</f>
        <v>0.99990000000000001</v>
      </c>
      <c r="D124" s="7">
        <f>IF(VLOOKUP(D$2,行为概览!$D$3:$K$33,8,0)="","",VLOOKUP(D$2,行为概览!$D$3:$K$33,8,0)*玩法行为规划!C124)</f>
        <v>1.1000000000000001</v>
      </c>
      <c r="E124" s="7" t="str">
        <f>IF(VLOOKUP(E$2,行为概览!$D$3:$K$33,8,0)="","",VLOOKUP(E$2,行为概览!$D$3:$K$33,8,0)*玩法行为规划!D124)</f>
        <v/>
      </c>
      <c r="F124" s="7">
        <f>IF(VLOOKUP(F$2,行为概览!$D$3:$K$33,8,0)="","",VLOOKUP(F$2,行为概览!$D$3:$K$33,8,0)*玩法行为规划!E124)</f>
        <v>1.5</v>
      </c>
      <c r="G124" s="7">
        <f>IF(VLOOKUP(G$2,行为概览!$D$3:$K$33,8,0)="","",VLOOKUP(G$2,行为概览!$D$3:$K$33,8,0)*玩法行为规划!F124)</f>
        <v>0.66659999999999997</v>
      </c>
      <c r="H124" s="7" t="str">
        <f>IF(VLOOKUP(H$2,行为概览!$D$3:$K$33,8,0)="","",VLOOKUP(H$2,行为概览!$D$3:$K$33,8,0)*玩法行为规划!G124)</f>
        <v/>
      </c>
      <c r="I124" s="7" t="str">
        <f>IF(VLOOKUP(I$2,行为概览!$D$3:$K$33,8,0)="","",VLOOKUP(I$2,行为概览!$D$3:$K$33,8,0)*玩法行为规划!H124)</f>
        <v/>
      </c>
      <c r="J124" s="7" t="str">
        <f>IF(VLOOKUP(J$2,行为概览!$D$3:$K$33,8,0)="","",VLOOKUP(J$2,行为概览!$D$3:$K$33,8,0)*玩法行为规划!I124)</f>
        <v/>
      </c>
      <c r="K124" s="7">
        <f>IF(VLOOKUP(K$2,行为概览!$D$3:$K$33,8,0)="","",VLOOKUP(K$2,行为概览!$D$3:$K$33,8,0)*玩法行为规划!J124)</f>
        <v>1</v>
      </c>
      <c r="L124" s="7" t="str">
        <f>IF(VLOOKUP(L$2,行为概览!$D$3:$K$33,8,0)="","",VLOOKUP(L$2,行为概览!$D$3:$K$33,8,0)*玩法行为规划!K124)</f>
        <v/>
      </c>
      <c r="M124" s="7" t="str">
        <f>IF(VLOOKUP(M$2,行为概览!$D$3:$K$33,8,0)="","",VLOOKUP(M$2,行为概览!$D$3:$K$33,8,0)*玩法行为规划!L124)</f>
        <v/>
      </c>
      <c r="N124" s="7">
        <f>IF(VLOOKUP(N$2,行为概览!$D$3:$K$33,8,0)="","",VLOOKUP(N$2,行为概览!$D$3:$K$33,8,0)*玩法行为规划!M124)</f>
        <v>12</v>
      </c>
      <c r="O124" s="7" t="str">
        <f>IF(VLOOKUP(O$2,行为概览!$D$3:$K$33,8,0)="","",VLOOKUP(O$2,行为概览!$D$3:$K$33,8,0)*玩法行为规划!N124)</f>
        <v/>
      </c>
      <c r="P124" s="7" t="str">
        <f>IF(VLOOKUP(P$2,行为概览!$D$3:$K$33,8,0)="","",VLOOKUP(P$2,行为概览!$D$3:$K$33,8,0)*玩法行为规划!O124)</f>
        <v/>
      </c>
      <c r="Q124" s="7">
        <f>IF(VLOOKUP(Q$2,行为概览!$D$3:$K$33,8,0)="","",VLOOKUP(Q$2,行为概览!$D$3:$K$33,8,0)*玩法行为规划!P124)</f>
        <v>5.2</v>
      </c>
      <c r="R124" s="7" t="str">
        <f>IF(VLOOKUP(R$2,行为概览!$D$3:$K$33,8,0)="","",VLOOKUP(R$2,行为概览!$D$3:$K$33,8,0)*玩法行为规划!Q124)</f>
        <v/>
      </c>
      <c r="S124" s="7">
        <f>IF(VLOOKUP(S$2,行为概览!$D$3:$K$33,8,0)="","",VLOOKUP(S$2,行为概览!$D$3:$K$33,8,0)*玩法行为规划!R124)</f>
        <v>0.49995000000000001</v>
      </c>
      <c r="T124" s="7">
        <f>IF(VLOOKUP(T$2,行为概览!$D$3:$K$33,8,0)="","",VLOOKUP(T$2,行为概览!$D$3:$K$33,8,0)*玩法行为规划!S124)</f>
        <v>0</v>
      </c>
      <c r="U124" s="7">
        <f>IF(VLOOKUP(U$2,行为概览!$D$3:$K$33,8,0)="","",VLOOKUP(U$2,行为概览!$D$3:$K$33,8,0)*玩法行为规划!T124)</f>
        <v>0.49995000000000001</v>
      </c>
      <c r="V124" s="7">
        <f>IF(VLOOKUP(V$2,行为概览!$D$3:$K$33,8,0)="","",VLOOKUP(V$2,行为概览!$D$3:$K$33,8,0)*玩法行为规划!U124)</f>
        <v>0.33339999999999997</v>
      </c>
      <c r="W124" s="7" t="str">
        <f>IF(VLOOKUP(W$2,行为概览!$D$3:$K$33,8,0)="","",VLOOKUP(W$2,行为概览!$D$3:$K$33,8,0)*玩法行为规划!V124)</f>
        <v/>
      </c>
      <c r="X124" s="7" t="str">
        <f>IF(VLOOKUP(X$2,行为概览!$D$3:$K$33,8,0)="","",VLOOKUP(X$2,行为概览!$D$3:$K$33,8,0)*玩法行为规划!W124)</f>
        <v/>
      </c>
      <c r="Y124" s="7">
        <f>IF(VLOOKUP(Y$2,行为概览!$D$3:$K$33,8,0)="","",VLOOKUP(Y$2,行为概览!$D$3:$K$33,8,0)*玩法行为规划!X124)</f>
        <v>0.25</v>
      </c>
      <c r="Z124" s="7" t="str">
        <f>IF(VLOOKUP(Z$2,行为概览!$D$3:$K$33,8,0)="","",VLOOKUP(Z$2,行为概览!$D$3:$K$33,8,0)*玩法行为规划!Y124)</f>
        <v/>
      </c>
      <c r="AA124" s="7">
        <f>IF(VLOOKUP(AA$2,行为概览!$D$3:$K$33,8,0)="","",VLOOKUP(AA$2,行为概览!$D$3:$K$33,8,0)*玩法行为规划!Z124)</f>
        <v>8.3349999999999994E-2</v>
      </c>
      <c r="AB124" s="7" t="str">
        <f>IF(VLOOKUP(AB$2,行为概览!$D$3:$K$33,8,0)="","",VLOOKUP(AB$2,行为概览!$D$3:$K$33,8,0)*玩法行为规划!AA124)</f>
        <v/>
      </c>
      <c r="AC124" s="7" t="str">
        <f>IF(VLOOKUP(AC$2,行为概览!$D$3:$K$33,8,0)="","",VLOOKUP(AC$2,行为概览!$D$3:$K$33,8,0)*玩法行为规划!AB124)</f>
        <v/>
      </c>
      <c r="AD124" s="7" t="str">
        <f>IF(VLOOKUP(AD$2,行为概览!$D$3:$K$33,8,0)="","",VLOOKUP(AD$2,行为概览!$D$3:$K$33,8,0)*玩法行为规划!AC124)</f>
        <v/>
      </c>
      <c r="AE124" s="7" t="str">
        <f>IF(VLOOKUP(AE$2,行为概览!$D$3:$K$33,8,0)="","",VLOOKUP(AE$2,行为概览!$D$3:$K$33,8,0)*玩法行为规划!AD124)</f>
        <v/>
      </c>
      <c r="AF124" s="7">
        <f t="shared" si="19"/>
        <v>24.133149999999997</v>
      </c>
      <c r="AG124" s="7">
        <f t="shared" si="20"/>
        <v>14721221</v>
      </c>
      <c r="AH124" s="7">
        <f t="shared" si="16"/>
        <v>806470</v>
      </c>
      <c r="AI124" s="10" t="str">
        <f t="shared" si="18"/>
        <v/>
      </c>
      <c r="AJ124" s="73">
        <f t="shared" si="17"/>
        <v>744220</v>
      </c>
      <c r="AK124" s="77">
        <f>ROUND(AG124*升级节奏!G124/AJ129,2)</f>
        <v>387.48</v>
      </c>
      <c r="AL124" s="77">
        <f>ROUND(AG124*升级节奏!G124/SUM($AJ$3:AJ129),2)</f>
        <v>9.0500000000000007</v>
      </c>
      <c r="AM124" s="74">
        <f>ROUND(AG124*升级节奏!G124,0)</f>
        <v>312492265</v>
      </c>
      <c r="AN124" s="77">
        <f>ROUND(SUM($AM$3:AM124)/SUM($AJ$3:AJ129),2)</f>
        <v>262</v>
      </c>
      <c r="AO124" s="7">
        <f t="shared" si="21"/>
        <v>10167</v>
      </c>
      <c r="AP124" s="7">
        <f t="shared" si="22"/>
        <v>73</v>
      </c>
    </row>
    <row r="125" spans="1:42">
      <c r="A125" s="32">
        <v>123</v>
      </c>
      <c r="B125" s="87">
        <f>升级节奏!D125</f>
        <v>615000</v>
      </c>
      <c r="C125" s="7">
        <f>IF(VLOOKUP(C$2,行为概览!$D$3:$K$33,8,0)="","",VLOOKUP(C$2,行为概览!$D$3:$K$33,8,0)*玩法行为规划!B125)</f>
        <v>0.99990000000000001</v>
      </c>
      <c r="D125" s="7">
        <f>IF(VLOOKUP(D$2,行为概览!$D$3:$K$33,8,0)="","",VLOOKUP(D$2,行为概览!$D$3:$K$33,8,0)*玩法行为规划!C125)</f>
        <v>1.1000000000000001</v>
      </c>
      <c r="E125" s="7" t="str">
        <f>IF(VLOOKUP(E$2,行为概览!$D$3:$K$33,8,0)="","",VLOOKUP(E$2,行为概览!$D$3:$K$33,8,0)*玩法行为规划!D125)</f>
        <v/>
      </c>
      <c r="F125" s="7">
        <f>IF(VLOOKUP(F$2,行为概览!$D$3:$K$33,8,0)="","",VLOOKUP(F$2,行为概览!$D$3:$K$33,8,0)*玩法行为规划!E125)</f>
        <v>1.5</v>
      </c>
      <c r="G125" s="7">
        <f>IF(VLOOKUP(G$2,行为概览!$D$3:$K$33,8,0)="","",VLOOKUP(G$2,行为概览!$D$3:$K$33,8,0)*玩法行为规划!F125)</f>
        <v>0.66659999999999997</v>
      </c>
      <c r="H125" s="7" t="str">
        <f>IF(VLOOKUP(H$2,行为概览!$D$3:$K$33,8,0)="","",VLOOKUP(H$2,行为概览!$D$3:$K$33,8,0)*玩法行为规划!G125)</f>
        <v/>
      </c>
      <c r="I125" s="7" t="str">
        <f>IF(VLOOKUP(I$2,行为概览!$D$3:$K$33,8,0)="","",VLOOKUP(I$2,行为概览!$D$3:$K$33,8,0)*玩法行为规划!H125)</f>
        <v/>
      </c>
      <c r="J125" s="7" t="str">
        <f>IF(VLOOKUP(J$2,行为概览!$D$3:$K$33,8,0)="","",VLOOKUP(J$2,行为概览!$D$3:$K$33,8,0)*玩法行为规划!I125)</f>
        <v/>
      </c>
      <c r="K125" s="7">
        <f>IF(VLOOKUP(K$2,行为概览!$D$3:$K$33,8,0)="","",VLOOKUP(K$2,行为概览!$D$3:$K$33,8,0)*玩法行为规划!J125)</f>
        <v>1</v>
      </c>
      <c r="L125" s="7" t="str">
        <f>IF(VLOOKUP(L$2,行为概览!$D$3:$K$33,8,0)="","",VLOOKUP(L$2,行为概览!$D$3:$K$33,8,0)*玩法行为规划!K125)</f>
        <v/>
      </c>
      <c r="M125" s="7" t="str">
        <f>IF(VLOOKUP(M$2,行为概览!$D$3:$K$33,8,0)="","",VLOOKUP(M$2,行为概览!$D$3:$K$33,8,0)*玩法行为规划!L125)</f>
        <v/>
      </c>
      <c r="N125" s="7">
        <f>IF(VLOOKUP(N$2,行为概览!$D$3:$K$33,8,0)="","",VLOOKUP(N$2,行为概览!$D$3:$K$33,8,0)*玩法行为规划!M125)</f>
        <v>12</v>
      </c>
      <c r="O125" s="7" t="str">
        <f>IF(VLOOKUP(O$2,行为概览!$D$3:$K$33,8,0)="","",VLOOKUP(O$2,行为概览!$D$3:$K$33,8,0)*玩法行为规划!N125)</f>
        <v/>
      </c>
      <c r="P125" s="7" t="str">
        <f>IF(VLOOKUP(P$2,行为概览!$D$3:$K$33,8,0)="","",VLOOKUP(P$2,行为概览!$D$3:$K$33,8,0)*玩法行为规划!O125)</f>
        <v/>
      </c>
      <c r="Q125" s="7">
        <f>IF(VLOOKUP(Q$2,行为概览!$D$3:$K$33,8,0)="","",VLOOKUP(Q$2,行为概览!$D$3:$K$33,8,0)*玩法行为规划!P125)</f>
        <v>5.2</v>
      </c>
      <c r="R125" s="7" t="str">
        <f>IF(VLOOKUP(R$2,行为概览!$D$3:$K$33,8,0)="","",VLOOKUP(R$2,行为概览!$D$3:$K$33,8,0)*玩法行为规划!Q125)</f>
        <v/>
      </c>
      <c r="S125" s="7">
        <f>IF(VLOOKUP(S$2,行为概览!$D$3:$K$33,8,0)="","",VLOOKUP(S$2,行为概览!$D$3:$K$33,8,0)*玩法行为规划!R125)</f>
        <v>0.49995000000000001</v>
      </c>
      <c r="T125" s="7">
        <f>IF(VLOOKUP(T$2,行为概览!$D$3:$K$33,8,0)="","",VLOOKUP(T$2,行为概览!$D$3:$K$33,8,0)*玩法行为规划!S125)</f>
        <v>0</v>
      </c>
      <c r="U125" s="7">
        <f>IF(VLOOKUP(U$2,行为概览!$D$3:$K$33,8,0)="","",VLOOKUP(U$2,行为概览!$D$3:$K$33,8,0)*玩法行为规划!T125)</f>
        <v>0.49995000000000001</v>
      </c>
      <c r="V125" s="7">
        <f>IF(VLOOKUP(V$2,行为概览!$D$3:$K$33,8,0)="","",VLOOKUP(V$2,行为概览!$D$3:$K$33,8,0)*玩法行为规划!U125)</f>
        <v>0.33339999999999997</v>
      </c>
      <c r="W125" s="7" t="str">
        <f>IF(VLOOKUP(W$2,行为概览!$D$3:$K$33,8,0)="","",VLOOKUP(W$2,行为概览!$D$3:$K$33,8,0)*玩法行为规划!V125)</f>
        <v/>
      </c>
      <c r="X125" s="7" t="str">
        <f>IF(VLOOKUP(X$2,行为概览!$D$3:$K$33,8,0)="","",VLOOKUP(X$2,行为概览!$D$3:$K$33,8,0)*玩法行为规划!W125)</f>
        <v/>
      </c>
      <c r="Y125" s="7">
        <f>IF(VLOOKUP(Y$2,行为概览!$D$3:$K$33,8,0)="","",VLOOKUP(Y$2,行为概览!$D$3:$K$33,8,0)*玩法行为规划!X125)</f>
        <v>0.25</v>
      </c>
      <c r="Z125" s="7" t="str">
        <f>IF(VLOOKUP(Z$2,行为概览!$D$3:$K$33,8,0)="","",VLOOKUP(Z$2,行为概览!$D$3:$K$33,8,0)*玩法行为规划!Y125)</f>
        <v/>
      </c>
      <c r="AA125" s="7">
        <f>IF(VLOOKUP(AA$2,行为概览!$D$3:$K$33,8,0)="","",VLOOKUP(AA$2,行为概览!$D$3:$K$33,8,0)*玩法行为规划!Z125)</f>
        <v>8.3349999999999994E-2</v>
      </c>
      <c r="AB125" s="7" t="str">
        <f>IF(VLOOKUP(AB$2,行为概览!$D$3:$K$33,8,0)="","",VLOOKUP(AB$2,行为概览!$D$3:$K$33,8,0)*玩法行为规划!AA125)</f>
        <v/>
      </c>
      <c r="AC125" s="7" t="str">
        <f>IF(VLOOKUP(AC$2,行为概览!$D$3:$K$33,8,0)="","",VLOOKUP(AC$2,行为概览!$D$3:$K$33,8,0)*玩法行为规划!AB125)</f>
        <v/>
      </c>
      <c r="AD125" s="7" t="str">
        <f>IF(VLOOKUP(AD$2,行为概览!$D$3:$K$33,8,0)="","",VLOOKUP(AD$2,行为概览!$D$3:$K$33,8,0)*玩法行为规划!AC125)</f>
        <v/>
      </c>
      <c r="AE125" s="7" t="str">
        <f>IF(VLOOKUP(AE$2,行为概览!$D$3:$K$33,8,0)="","",VLOOKUP(AE$2,行为概览!$D$3:$K$33,8,0)*玩法行为规划!AD125)</f>
        <v/>
      </c>
      <c r="AF125" s="7">
        <f t="shared" si="19"/>
        <v>24.133149999999997</v>
      </c>
      <c r="AG125" s="7">
        <f t="shared" si="20"/>
        <v>14841887</v>
      </c>
      <c r="AH125" s="7">
        <f t="shared" si="16"/>
        <v>819220</v>
      </c>
      <c r="AI125" s="10" t="str">
        <f t="shared" si="18"/>
        <v/>
      </c>
      <c r="AJ125" s="73">
        <f t="shared" si="17"/>
        <v>756470</v>
      </c>
      <c r="AK125" s="77">
        <f>ROUND(AG125*升级节奏!G125/AJ130,2)</f>
        <v>390.87</v>
      </c>
      <c r="AL125" s="77">
        <f>ROUND(AG125*升级节奏!G125/SUM($AJ$3:AJ130),2)</f>
        <v>9.0500000000000007</v>
      </c>
      <c r="AM125" s="74">
        <f>ROUND(AG125*升级节奏!G125,0)</f>
        <v>320205054</v>
      </c>
      <c r="AN125" s="77">
        <f>ROUND(SUM($AM$3:AM125)/SUM($AJ$3:AJ130),2)</f>
        <v>264.98</v>
      </c>
      <c r="AO125" s="7">
        <f t="shared" si="21"/>
        <v>10250</v>
      </c>
      <c r="AP125" s="7">
        <f t="shared" si="22"/>
        <v>74</v>
      </c>
    </row>
    <row r="126" spans="1:42">
      <c r="A126" s="32">
        <v>124</v>
      </c>
      <c r="B126" s="87">
        <f>升级节奏!D126</f>
        <v>620000</v>
      </c>
      <c r="C126" s="7">
        <f>IF(VLOOKUP(C$2,行为概览!$D$3:$K$33,8,0)="","",VLOOKUP(C$2,行为概览!$D$3:$K$33,8,0)*玩法行为规划!B126)</f>
        <v>0.99990000000000001</v>
      </c>
      <c r="D126" s="7">
        <f>IF(VLOOKUP(D$2,行为概览!$D$3:$K$33,8,0)="","",VLOOKUP(D$2,行为概览!$D$3:$K$33,8,0)*玩法行为规划!C126)</f>
        <v>1.1000000000000001</v>
      </c>
      <c r="E126" s="7" t="str">
        <f>IF(VLOOKUP(E$2,行为概览!$D$3:$K$33,8,0)="","",VLOOKUP(E$2,行为概览!$D$3:$K$33,8,0)*玩法行为规划!D126)</f>
        <v/>
      </c>
      <c r="F126" s="7">
        <f>IF(VLOOKUP(F$2,行为概览!$D$3:$K$33,8,0)="","",VLOOKUP(F$2,行为概览!$D$3:$K$33,8,0)*玩法行为规划!E126)</f>
        <v>1.5</v>
      </c>
      <c r="G126" s="7">
        <f>IF(VLOOKUP(G$2,行为概览!$D$3:$K$33,8,0)="","",VLOOKUP(G$2,行为概览!$D$3:$K$33,8,0)*玩法行为规划!F126)</f>
        <v>0.66659999999999997</v>
      </c>
      <c r="H126" s="7" t="str">
        <f>IF(VLOOKUP(H$2,行为概览!$D$3:$K$33,8,0)="","",VLOOKUP(H$2,行为概览!$D$3:$K$33,8,0)*玩法行为规划!G126)</f>
        <v/>
      </c>
      <c r="I126" s="7" t="str">
        <f>IF(VLOOKUP(I$2,行为概览!$D$3:$K$33,8,0)="","",VLOOKUP(I$2,行为概览!$D$3:$K$33,8,0)*玩法行为规划!H126)</f>
        <v/>
      </c>
      <c r="J126" s="7" t="str">
        <f>IF(VLOOKUP(J$2,行为概览!$D$3:$K$33,8,0)="","",VLOOKUP(J$2,行为概览!$D$3:$K$33,8,0)*玩法行为规划!I126)</f>
        <v/>
      </c>
      <c r="K126" s="7">
        <f>IF(VLOOKUP(K$2,行为概览!$D$3:$K$33,8,0)="","",VLOOKUP(K$2,行为概览!$D$3:$K$33,8,0)*玩法行为规划!J126)</f>
        <v>1</v>
      </c>
      <c r="L126" s="7" t="str">
        <f>IF(VLOOKUP(L$2,行为概览!$D$3:$K$33,8,0)="","",VLOOKUP(L$2,行为概览!$D$3:$K$33,8,0)*玩法行为规划!K126)</f>
        <v/>
      </c>
      <c r="M126" s="7" t="str">
        <f>IF(VLOOKUP(M$2,行为概览!$D$3:$K$33,8,0)="","",VLOOKUP(M$2,行为概览!$D$3:$K$33,8,0)*玩法行为规划!L126)</f>
        <v/>
      </c>
      <c r="N126" s="7">
        <f>IF(VLOOKUP(N$2,行为概览!$D$3:$K$33,8,0)="","",VLOOKUP(N$2,行为概览!$D$3:$K$33,8,0)*玩法行为规划!M126)</f>
        <v>12</v>
      </c>
      <c r="O126" s="7" t="str">
        <f>IF(VLOOKUP(O$2,行为概览!$D$3:$K$33,8,0)="","",VLOOKUP(O$2,行为概览!$D$3:$K$33,8,0)*玩法行为规划!N126)</f>
        <v/>
      </c>
      <c r="P126" s="7" t="str">
        <f>IF(VLOOKUP(P$2,行为概览!$D$3:$K$33,8,0)="","",VLOOKUP(P$2,行为概览!$D$3:$K$33,8,0)*玩法行为规划!O126)</f>
        <v/>
      </c>
      <c r="Q126" s="7">
        <f>IF(VLOOKUP(Q$2,行为概览!$D$3:$K$33,8,0)="","",VLOOKUP(Q$2,行为概览!$D$3:$K$33,8,0)*玩法行为规划!P126)</f>
        <v>5.2</v>
      </c>
      <c r="R126" s="7" t="str">
        <f>IF(VLOOKUP(R$2,行为概览!$D$3:$K$33,8,0)="","",VLOOKUP(R$2,行为概览!$D$3:$K$33,8,0)*玩法行为规划!Q126)</f>
        <v/>
      </c>
      <c r="S126" s="7">
        <f>IF(VLOOKUP(S$2,行为概览!$D$3:$K$33,8,0)="","",VLOOKUP(S$2,行为概览!$D$3:$K$33,8,0)*玩法行为规划!R126)</f>
        <v>0.49995000000000001</v>
      </c>
      <c r="T126" s="7">
        <f>IF(VLOOKUP(T$2,行为概览!$D$3:$K$33,8,0)="","",VLOOKUP(T$2,行为概览!$D$3:$K$33,8,0)*玩法行为规划!S126)</f>
        <v>0</v>
      </c>
      <c r="U126" s="7">
        <f>IF(VLOOKUP(U$2,行为概览!$D$3:$K$33,8,0)="","",VLOOKUP(U$2,行为概览!$D$3:$K$33,8,0)*玩法行为规划!T126)</f>
        <v>0.49995000000000001</v>
      </c>
      <c r="V126" s="7">
        <f>IF(VLOOKUP(V$2,行为概览!$D$3:$K$33,8,0)="","",VLOOKUP(V$2,行为概览!$D$3:$K$33,8,0)*玩法行为规划!U126)</f>
        <v>0.33339999999999997</v>
      </c>
      <c r="W126" s="7" t="str">
        <f>IF(VLOOKUP(W$2,行为概览!$D$3:$K$33,8,0)="","",VLOOKUP(W$2,行为概览!$D$3:$K$33,8,0)*玩法行为规划!V126)</f>
        <v/>
      </c>
      <c r="X126" s="7" t="str">
        <f>IF(VLOOKUP(X$2,行为概览!$D$3:$K$33,8,0)="","",VLOOKUP(X$2,行为概览!$D$3:$K$33,8,0)*玩法行为规划!W126)</f>
        <v/>
      </c>
      <c r="Y126" s="7">
        <f>IF(VLOOKUP(Y$2,行为概览!$D$3:$K$33,8,0)="","",VLOOKUP(Y$2,行为概览!$D$3:$K$33,8,0)*玩法行为规划!X126)</f>
        <v>0.25</v>
      </c>
      <c r="Z126" s="7" t="str">
        <f>IF(VLOOKUP(Z$2,行为概览!$D$3:$K$33,8,0)="","",VLOOKUP(Z$2,行为概览!$D$3:$K$33,8,0)*玩法行为规划!Y126)</f>
        <v/>
      </c>
      <c r="AA126" s="7">
        <f>IF(VLOOKUP(AA$2,行为概览!$D$3:$K$33,8,0)="","",VLOOKUP(AA$2,行为概览!$D$3:$K$33,8,0)*玩法行为规划!Z126)</f>
        <v>8.3349999999999994E-2</v>
      </c>
      <c r="AB126" s="7" t="str">
        <f>IF(VLOOKUP(AB$2,行为概览!$D$3:$K$33,8,0)="","",VLOOKUP(AB$2,行为概览!$D$3:$K$33,8,0)*玩法行为规划!AA126)</f>
        <v/>
      </c>
      <c r="AC126" s="7" t="str">
        <f>IF(VLOOKUP(AC$2,行为概览!$D$3:$K$33,8,0)="","",VLOOKUP(AC$2,行为概览!$D$3:$K$33,8,0)*玩法行为规划!AB126)</f>
        <v/>
      </c>
      <c r="AD126" s="7" t="str">
        <f>IF(VLOOKUP(AD$2,行为概览!$D$3:$K$33,8,0)="","",VLOOKUP(AD$2,行为概览!$D$3:$K$33,8,0)*玩法行为规划!AC126)</f>
        <v/>
      </c>
      <c r="AE126" s="7" t="str">
        <f>IF(VLOOKUP(AE$2,行为概览!$D$3:$K$33,8,0)="","",VLOOKUP(AE$2,行为概览!$D$3:$K$33,8,0)*玩法行为规划!AD126)</f>
        <v/>
      </c>
      <c r="AF126" s="7">
        <f t="shared" si="19"/>
        <v>24.133149999999997</v>
      </c>
      <c r="AG126" s="7">
        <f t="shared" si="20"/>
        <v>14962553</v>
      </c>
      <c r="AH126" s="7">
        <f t="shared" si="16"/>
        <v>832070</v>
      </c>
      <c r="AI126" s="10" t="str">
        <f t="shared" si="18"/>
        <v/>
      </c>
      <c r="AJ126" s="73">
        <f t="shared" si="17"/>
        <v>768820</v>
      </c>
      <c r="AK126" s="77">
        <f>ROUND(AG126*升级节奏!G126/AJ131,2)</f>
        <v>394.25</v>
      </c>
      <c r="AL126" s="77">
        <f>ROUND(AG126*升级节奏!G126/SUM($AJ$3:AJ131),2)</f>
        <v>9.06</v>
      </c>
      <c r="AM126" s="74">
        <f>ROUND(AG126*升级节奏!G126,0)</f>
        <v>328043999</v>
      </c>
      <c r="AN126" s="77">
        <f>ROUND(SUM($AM$3:AM126)/SUM($AJ$3:AJ131),2)</f>
        <v>267.95</v>
      </c>
      <c r="AO126" s="7">
        <f t="shared" si="21"/>
        <v>10333</v>
      </c>
      <c r="AP126" s="7">
        <f t="shared" si="22"/>
        <v>74</v>
      </c>
    </row>
    <row r="127" spans="1:42">
      <c r="A127" s="32">
        <v>125</v>
      </c>
      <c r="B127" s="87">
        <f>升级节奏!D127</f>
        <v>625000</v>
      </c>
      <c r="C127" s="7">
        <f>IF(VLOOKUP(C$2,行为概览!$D$3:$K$33,8,0)="","",VLOOKUP(C$2,行为概览!$D$3:$K$33,8,0)*玩法行为规划!B127)</f>
        <v>0.99990000000000001</v>
      </c>
      <c r="D127" s="7">
        <f>IF(VLOOKUP(D$2,行为概览!$D$3:$K$33,8,0)="","",VLOOKUP(D$2,行为概览!$D$3:$K$33,8,0)*玩法行为规划!C127)</f>
        <v>1.1000000000000001</v>
      </c>
      <c r="E127" s="7" t="str">
        <f>IF(VLOOKUP(E$2,行为概览!$D$3:$K$33,8,0)="","",VLOOKUP(E$2,行为概览!$D$3:$K$33,8,0)*玩法行为规划!D127)</f>
        <v/>
      </c>
      <c r="F127" s="7">
        <f>IF(VLOOKUP(F$2,行为概览!$D$3:$K$33,8,0)="","",VLOOKUP(F$2,行为概览!$D$3:$K$33,8,0)*玩法行为规划!E127)</f>
        <v>1.5</v>
      </c>
      <c r="G127" s="7">
        <f>IF(VLOOKUP(G$2,行为概览!$D$3:$K$33,8,0)="","",VLOOKUP(G$2,行为概览!$D$3:$K$33,8,0)*玩法行为规划!F127)</f>
        <v>0.66659999999999997</v>
      </c>
      <c r="H127" s="7" t="str">
        <f>IF(VLOOKUP(H$2,行为概览!$D$3:$K$33,8,0)="","",VLOOKUP(H$2,行为概览!$D$3:$K$33,8,0)*玩法行为规划!G127)</f>
        <v/>
      </c>
      <c r="I127" s="7" t="str">
        <f>IF(VLOOKUP(I$2,行为概览!$D$3:$K$33,8,0)="","",VLOOKUP(I$2,行为概览!$D$3:$K$33,8,0)*玩法行为规划!H127)</f>
        <v/>
      </c>
      <c r="J127" s="7" t="str">
        <f>IF(VLOOKUP(J$2,行为概览!$D$3:$K$33,8,0)="","",VLOOKUP(J$2,行为概览!$D$3:$K$33,8,0)*玩法行为规划!I127)</f>
        <v/>
      </c>
      <c r="K127" s="7">
        <f>IF(VLOOKUP(K$2,行为概览!$D$3:$K$33,8,0)="","",VLOOKUP(K$2,行为概览!$D$3:$K$33,8,0)*玩法行为规划!J127)</f>
        <v>1</v>
      </c>
      <c r="L127" s="7" t="str">
        <f>IF(VLOOKUP(L$2,行为概览!$D$3:$K$33,8,0)="","",VLOOKUP(L$2,行为概览!$D$3:$K$33,8,0)*玩法行为规划!K127)</f>
        <v/>
      </c>
      <c r="M127" s="7" t="str">
        <f>IF(VLOOKUP(M$2,行为概览!$D$3:$K$33,8,0)="","",VLOOKUP(M$2,行为概览!$D$3:$K$33,8,0)*玩法行为规划!L127)</f>
        <v/>
      </c>
      <c r="N127" s="7">
        <f>IF(VLOOKUP(N$2,行为概览!$D$3:$K$33,8,0)="","",VLOOKUP(N$2,行为概览!$D$3:$K$33,8,0)*玩法行为规划!M127)</f>
        <v>12</v>
      </c>
      <c r="O127" s="7" t="str">
        <f>IF(VLOOKUP(O$2,行为概览!$D$3:$K$33,8,0)="","",VLOOKUP(O$2,行为概览!$D$3:$K$33,8,0)*玩法行为规划!N127)</f>
        <v/>
      </c>
      <c r="P127" s="7" t="str">
        <f>IF(VLOOKUP(P$2,行为概览!$D$3:$K$33,8,0)="","",VLOOKUP(P$2,行为概览!$D$3:$K$33,8,0)*玩法行为规划!O127)</f>
        <v/>
      </c>
      <c r="Q127" s="7">
        <f>IF(VLOOKUP(Q$2,行为概览!$D$3:$K$33,8,0)="","",VLOOKUP(Q$2,行为概览!$D$3:$K$33,8,0)*玩法行为规划!P127)</f>
        <v>5.2</v>
      </c>
      <c r="R127" s="7" t="str">
        <f>IF(VLOOKUP(R$2,行为概览!$D$3:$K$33,8,0)="","",VLOOKUP(R$2,行为概览!$D$3:$K$33,8,0)*玩法行为规划!Q127)</f>
        <v/>
      </c>
      <c r="S127" s="7">
        <f>IF(VLOOKUP(S$2,行为概览!$D$3:$K$33,8,0)="","",VLOOKUP(S$2,行为概览!$D$3:$K$33,8,0)*玩法行为规划!R127)</f>
        <v>0.49995000000000001</v>
      </c>
      <c r="T127" s="7">
        <f>IF(VLOOKUP(T$2,行为概览!$D$3:$K$33,8,0)="","",VLOOKUP(T$2,行为概览!$D$3:$K$33,8,0)*玩法行为规划!S127)</f>
        <v>0</v>
      </c>
      <c r="U127" s="7">
        <f>IF(VLOOKUP(U$2,行为概览!$D$3:$K$33,8,0)="","",VLOOKUP(U$2,行为概览!$D$3:$K$33,8,0)*玩法行为规划!T127)</f>
        <v>0.49995000000000001</v>
      </c>
      <c r="V127" s="7">
        <f>IF(VLOOKUP(V$2,行为概览!$D$3:$K$33,8,0)="","",VLOOKUP(V$2,行为概览!$D$3:$K$33,8,0)*玩法行为规划!U127)</f>
        <v>0.33339999999999997</v>
      </c>
      <c r="W127" s="7" t="str">
        <f>IF(VLOOKUP(W$2,行为概览!$D$3:$K$33,8,0)="","",VLOOKUP(W$2,行为概览!$D$3:$K$33,8,0)*玩法行为规划!V127)</f>
        <v/>
      </c>
      <c r="X127" s="7" t="str">
        <f>IF(VLOOKUP(X$2,行为概览!$D$3:$K$33,8,0)="","",VLOOKUP(X$2,行为概览!$D$3:$K$33,8,0)*玩法行为规划!W127)</f>
        <v/>
      </c>
      <c r="Y127" s="7">
        <f>IF(VLOOKUP(Y$2,行为概览!$D$3:$K$33,8,0)="","",VLOOKUP(Y$2,行为概览!$D$3:$K$33,8,0)*玩法行为规划!X127)</f>
        <v>0.25</v>
      </c>
      <c r="Z127" s="7" t="str">
        <f>IF(VLOOKUP(Z$2,行为概览!$D$3:$K$33,8,0)="","",VLOOKUP(Z$2,行为概览!$D$3:$K$33,8,0)*玩法行为规划!Y127)</f>
        <v/>
      </c>
      <c r="AA127" s="7">
        <f>IF(VLOOKUP(AA$2,行为概览!$D$3:$K$33,8,0)="","",VLOOKUP(AA$2,行为概览!$D$3:$K$33,8,0)*玩法行为规划!Z127)</f>
        <v>8.3349999999999994E-2</v>
      </c>
      <c r="AB127" s="7" t="str">
        <f>IF(VLOOKUP(AB$2,行为概览!$D$3:$K$33,8,0)="","",VLOOKUP(AB$2,行为概览!$D$3:$K$33,8,0)*玩法行为规划!AA127)</f>
        <v/>
      </c>
      <c r="AC127" s="7" t="str">
        <f>IF(VLOOKUP(AC$2,行为概览!$D$3:$K$33,8,0)="","",VLOOKUP(AC$2,行为概览!$D$3:$K$33,8,0)*玩法行为规划!AB127)</f>
        <v/>
      </c>
      <c r="AD127" s="7" t="str">
        <f>IF(VLOOKUP(AD$2,行为概览!$D$3:$K$33,8,0)="","",VLOOKUP(AD$2,行为概览!$D$3:$K$33,8,0)*玩法行为规划!AC127)</f>
        <v/>
      </c>
      <c r="AE127" s="7" t="str">
        <f>IF(VLOOKUP(AE$2,行为概览!$D$3:$K$33,8,0)="","",VLOOKUP(AE$2,行为概览!$D$3:$K$33,8,0)*玩法行为规划!AD127)</f>
        <v/>
      </c>
      <c r="AF127" s="7">
        <f t="shared" si="19"/>
        <v>24.133149999999997</v>
      </c>
      <c r="AG127" s="7">
        <f t="shared" si="20"/>
        <v>15083218</v>
      </c>
      <c r="AH127" s="7">
        <f t="shared" si="16"/>
        <v>845020</v>
      </c>
      <c r="AI127" s="10" t="str">
        <f t="shared" si="18"/>
        <v/>
      </c>
      <c r="AJ127" s="73">
        <f t="shared" si="17"/>
        <v>781270</v>
      </c>
      <c r="AK127" s="77">
        <f>ROUND(AG127*升级节奏!G127/AJ132,2)</f>
        <v>397.64</v>
      </c>
      <c r="AL127" s="77">
        <f>ROUND(AG127*升级节奏!G127/SUM($AJ$3:AJ132),2)</f>
        <v>9.07</v>
      </c>
      <c r="AM127" s="74">
        <f>ROUND(AG127*升级节奏!G127,0)</f>
        <v>336010104</v>
      </c>
      <c r="AN127" s="77">
        <f>ROUND(SUM($AM$3:AM127)/SUM($AJ$3:AJ132),2)</f>
        <v>270.91000000000003</v>
      </c>
      <c r="AO127" s="7">
        <f t="shared" si="21"/>
        <v>10417</v>
      </c>
      <c r="AP127" s="7">
        <f t="shared" si="22"/>
        <v>75</v>
      </c>
    </row>
    <row r="128" spans="1:42">
      <c r="A128" s="32">
        <v>126</v>
      </c>
      <c r="B128" s="87">
        <f>升级节奏!D128</f>
        <v>630000</v>
      </c>
      <c r="C128" s="7">
        <f>IF(VLOOKUP(C$2,行为概览!$D$3:$K$33,8,0)="","",VLOOKUP(C$2,行为概览!$D$3:$K$33,8,0)*玩法行为规划!B128)</f>
        <v>0.99990000000000001</v>
      </c>
      <c r="D128" s="7">
        <f>IF(VLOOKUP(D$2,行为概览!$D$3:$K$33,8,0)="","",VLOOKUP(D$2,行为概览!$D$3:$K$33,8,0)*玩法行为规划!C128)</f>
        <v>1.1000000000000001</v>
      </c>
      <c r="E128" s="7" t="str">
        <f>IF(VLOOKUP(E$2,行为概览!$D$3:$K$33,8,0)="","",VLOOKUP(E$2,行为概览!$D$3:$K$33,8,0)*玩法行为规划!D128)</f>
        <v/>
      </c>
      <c r="F128" s="7">
        <f>IF(VLOOKUP(F$2,行为概览!$D$3:$K$33,8,0)="","",VLOOKUP(F$2,行为概览!$D$3:$K$33,8,0)*玩法行为规划!E128)</f>
        <v>1.5</v>
      </c>
      <c r="G128" s="7">
        <f>IF(VLOOKUP(G$2,行为概览!$D$3:$K$33,8,0)="","",VLOOKUP(G$2,行为概览!$D$3:$K$33,8,0)*玩法行为规划!F128)</f>
        <v>0.66659999999999997</v>
      </c>
      <c r="H128" s="7" t="str">
        <f>IF(VLOOKUP(H$2,行为概览!$D$3:$K$33,8,0)="","",VLOOKUP(H$2,行为概览!$D$3:$K$33,8,0)*玩法行为规划!G128)</f>
        <v/>
      </c>
      <c r="I128" s="7" t="str">
        <f>IF(VLOOKUP(I$2,行为概览!$D$3:$K$33,8,0)="","",VLOOKUP(I$2,行为概览!$D$3:$K$33,8,0)*玩法行为规划!H128)</f>
        <v/>
      </c>
      <c r="J128" s="7" t="str">
        <f>IF(VLOOKUP(J$2,行为概览!$D$3:$K$33,8,0)="","",VLOOKUP(J$2,行为概览!$D$3:$K$33,8,0)*玩法行为规划!I128)</f>
        <v/>
      </c>
      <c r="K128" s="7">
        <f>IF(VLOOKUP(K$2,行为概览!$D$3:$K$33,8,0)="","",VLOOKUP(K$2,行为概览!$D$3:$K$33,8,0)*玩法行为规划!J128)</f>
        <v>1</v>
      </c>
      <c r="L128" s="7" t="str">
        <f>IF(VLOOKUP(L$2,行为概览!$D$3:$K$33,8,0)="","",VLOOKUP(L$2,行为概览!$D$3:$K$33,8,0)*玩法行为规划!K128)</f>
        <v/>
      </c>
      <c r="M128" s="7" t="str">
        <f>IF(VLOOKUP(M$2,行为概览!$D$3:$K$33,8,0)="","",VLOOKUP(M$2,行为概览!$D$3:$K$33,8,0)*玩法行为规划!L128)</f>
        <v/>
      </c>
      <c r="N128" s="7">
        <f>IF(VLOOKUP(N$2,行为概览!$D$3:$K$33,8,0)="","",VLOOKUP(N$2,行为概览!$D$3:$K$33,8,0)*玩法行为规划!M128)</f>
        <v>12</v>
      </c>
      <c r="O128" s="7" t="str">
        <f>IF(VLOOKUP(O$2,行为概览!$D$3:$K$33,8,0)="","",VLOOKUP(O$2,行为概览!$D$3:$K$33,8,0)*玩法行为规划!N128)</f>
        <v/>
      </c>
      <c r="P128" s="7" t="str">
        <f>IF(VLOOKUP(P$2,行为概览!$D$3:$K$33,8,0)="","",VLOOKUP(P$2,行为概览!$D$3:$K$33,8,0)*玩法行为规划!O128)</f>
        <v/>
      </c>
      <c r="Q128" s="7">
        <f>IF(VLOOKUP(Q$2,行为概览!$D$3:$K$33,8,0)="","",VLOOKUP(Q$2,行为概览!$D$3:$K$33,8,0)*玩法行为规划!P128)</f>
        <v>5.2</v>
      </c>
      <c r="R128" s="7" t="str">
        <f>IF(VLOOKUP(R$2,行为概览!$D$3:$K$33,8,0)="","",VLOOKUP(R$2,行为概览!$D$3:$K$33,8,0)*玩法行为规划!Q128)</f>
        <v/>
      </c>
      <c r="S128" s="7">
        <f>IF(VLOOKUP(S$2,行为概览!$D$3:$K$33,8,0)="","",VLOOKUP(S$2,行为概览!$D$3:$K$33,8,0)*玩法行为规划!R128)</f>
        <v>0.49995000000000001</v>
      </c>
      <c r="T128" s="7">
        <f>IF(VLOOKUP(T$2,行为概览!$D$3:$K$33,8,0)="","",VLOOKUP(T$2,行为概览!$D$3:$K$33,8,0)*玩法行为规划!S128)</f>
        <v>0</v>
      </c>
      <c r="U128" s="7">
        <f>IF(VLOOKUP(U$2,行为概览!$D$3:$K$33,8,0)="","",VLOOKUP(U$2,行为概览!$D$3:$K$33,8,0)*玩法行为规划!T128)</f>
        <v>0.49995000000000001</v>
      </c>
      <c r="V128" s="7">
        <f>IF(VLOOKUP(V$2,行为概览!$D$3:$K$33,8,0)="","",VLOOKUP(V$2,行为概览!$D$3:$K$33,8,0)*玩法行为规划!U128)</f>
        <v>0.33339999999999997</v>
      </c>
      <c r="W128" s="7" t="str">
        <f>IF(VLOOKUP(W$2,行为概览!$D$3:$K$33,8,0)="","",VLOOKUP(W$2,行为概览!$D$3:$K$33,8,0)*玩法行为规划!V128)</f>
        <v/>
      </c>
      <c r="X128" s="7" t="str">
        <f>IF(VLOOKUP(X$2,行为概览!$D$3:$K$33,8,0)="","",VLOOKUP(X$2,行为概览!$D$3:$K$33,8,0)*玩法行为规划!W128)</f>
        <v/>
      </c>
      <c r="Y128" s="7">
        <f>IF(VLOOKUP(Y$2,行为概览!$D$3:$K$33,8,0)="","",VLOOKUP(Y$2,行为概览!$D$3:$K$33,8,0)*玩法行为规划!X128)</f>
        <v>0.25</v>
      </c>
      <c r="Z128" s="7" t="str">
        <f>IF(VLOOKUP(Z$2,行为概览!$D$3:$K$33,8,0)="","",VLOOKUP(Z$2,行为概览!$D$3:$K$33,8,0)*玩法行为规划!Y128)</f>
        <v/>
      </c>
      <c r="AA128" s="7">
        <f>IF(VLOOKUP(AA$2,行为概览!$D$3:$K$33,8,0)="","",VLOOKUP(AA$2,行为概览!$D$3:$K$33,8,0)*玩法行为规划!Z128)</f>
        <v>8.3349999999999994E-2</v>
      </c>
      <c r="AB128" s="7" t="str">
        <f>IF(VLOOKUP(AB$2,行为概览!$D$3:$K$33,8,0)="","",VLOOKUP(AB$2,行为概览!$D$3:$K$33,8,0)*玩法行为规划!AA128)</f>
        <v/>
      </c>
      <c r="AC128" s="7" t="str">
        <f>IF(VLOOKUP(AC$2,行为概览!$D$3:$K$33,8,0)="","",VLOOKUP(AC$2,行为概览!$D$3:$K$33,8,0)*玩法行为规划!AB128)</f>
        <v/>
      </c>
      <c r="AD128" s="7" t="str">
        <f>IF(VLOOKUP(AD$2,行为概览!$D$3:$K$33,8,0)="","",VLOOKUP(AD$2,行为概览!$D$3:$K$33,8,0)*玩法行为规划!AC128)</f>
        <v/>
      </c>
      <c r="AE128" s="7" t="str">
        <f>IF(VLOOKUP(AE$2,行为概览!$D$3:$K$33,8,0)="","",VLOOKUP(AE$2,行为概览!$D$3:$K$33,8,0)*玩法行为规划!AD128)</f>
        <v/>
      </c>
      <c r="AF128" s="7">
        <f t="shared" si="19"/>
        <v>24.133149999999997</v>
      </c>
      <c r="AG128" s="7">
        <f t="shared" si="20"/>
        <v>15203884</v>
      </c>
      <c r="AH128" s="7">
        <f t="shared" si="16"/>
        <v>858070</v>
      </c>
      <c r="AI128" s="10" t="str">
        <f t="shared" si="18"/>
        <v/>
      </c>
      <c r="AJ128" s="73">
        <f t="shared" si="17"/>
        <v>793820</v>
      </c>
      <c r="AK128" s="77">
        <f>ROUND(AG128*升级节奏!G128/AJ133,2)</f>
        <v>401.02</v>
      </c>
      <c r="AL128" s="77">
        <f>ROUND(AG128*升级节奏!G128/SUM($AJ$3:AJ133),2)</f>
        <v>9.08</v>
      </c>
      <c r="AM128" s="74">
        <f>ROUND(AG128*升级节奏!G128,0)</f>
        <v>344104439</v>
      </c>
      <c r="AN128" s="77">
        <f>ROUND(SUM($AM$3:AM128)/SUM($AJ$3:AJ133),2)</f>
        <v>273.86</v>
      </c>
      <c r="AO128" s="7">
        <f t="shared" si="21"/>
        <v>10500</v>
      </c>
      <c r="AP128" s="7">
        <f t="shared" si="22"/>
        <v>76</v>
      </c>
    </row>
    <row r="129" spans="1:42">
      <c r="A129" s="32">
        <v>127</v>
      </c>
      <c r="B129" s="87">
        <f>升级节奏!D129</f>
        <v>635000</v>
      </c>
      <c r="C129" s="7">
        <f>IF(VLOOKUP(C$2,行为概览!$D$3:$K$33,8,0)="","",VLOOKUP(C$2,行为概览!$D$3:$K$33,8,0)*玩法行为规划!B129)</f>
        <v>0.99990000000000001</v>
      </c>
      <c r="D129" s="7">
        <f>IF(VLOOKUP(D$2,行为概览!$D$3:$K$33,8,0)="","",VLOOKUP(D$2,行为概览!$D$3:$K$33,8,0)*玩法行为规划!C129)</f>
        <v>1.1000000000000001</v>
      </c>
      <c r="E129" s="7" t="str">
        <f>IF(VLOOKUP(E$2,行为概览!$D$3:$K$33,8,0)="","",VLOOKUP(E$2,行为概览!$D$3:$K$33,8,0)*玩法行为规划!D129)</f>
        <v/>
      </c>
      <c r="F129" s="7">
        <f>IF(VLOOKUP(F$2,行为概览!$D$3:$K$33,8,0)="","",VLOOKUP(F$2,行为概览!$D$3:$K$33,8,0)*玩法行为规划!E129)</f>
        <v>1.5</v>
      </c>
      <c r="G129" s="7">
        <f>IF(VLOOKUP(G$2,行为概览!$D$3:$K$33,8,0)="","",VLOOKUP(G$2,行为概览!$D$3:$K$33,8,0)*玩法行为规划!F129)</f>
        <v>0.66659999999999997</v>
      </c>
      <c r="H129" s="7" t="str">
        <f>IF(VLOOKUP(H$2,行为概览!$D$3:$K$33,8,0)="","",VLOOKUP(H$2,行为概览!$D$3:$K$33,8,0)*玩法行为规划!G129)</f>
        <v/>
      </c>
      <c r="I129" s="7" t="str">
        <f>IF(VLOOKUP(I$2,行为概览!$D$3:$K$33,8,0)="","",VLOOKUP(I$2,行为概览!$D$3:$K$33,8,0)*玩法行为规划!H129)</f>
        <v/>
      </c>
      <c r="J129" s="7" t="str">
        <f>IF(VLOOKUP(J$2,行为概览!$D$3:$K$33,8,0)="","",VLOOKUP(J$2,行为概览!$D$3:$K$33,8,0)*玩法行为规划!I129)</f>
        <v/>
      </c>
      <c r="K129" s="7">
        <f>IF(VLOOKUP(K$2,行为概览!$D$3:$K$33,8,0)="","",VLOOKUP(K$2,行为概览!$D$3:$K$33,8,0)*玩法行为规划!J129)</f>
        <v>1</v>
      </c>
      <c r="L129" s="7" t="str">
        <f>IF(VLOOKUP(L$2,行为概览!$D$3:$K$33,8,0)="","",VLOOKUP(L$2,行为概览!$D$3:$K$33,8,0)*玩法行为规划!K129)</f>
        <v/>
      </c>
      <c r="M129" s="7" t="str">
        <f>IF(VLOOKUP(M$2,行为概览!$D$3:$K$33,8,0)="","",VLOOKUP(M$2,行为概览!$D$3:$K$33,8,0)*玩法行为规划!L129)</f>
        <v/>
      </c>
      <c r="N129" s="7">
        <f>IF(VLOOKUP(N$2,行为概览!$D$3:$K$33,8,0)="","",VLOOKUP(N$2,行为概览!$D$3:$K$33,8,0)*玩法行为规划!M129)</f>
        <v>12</v>
      </c>
      <c r="O129" s="7" t="str">
        <f>IF(VLOOKUP(O$2,行为概览!$D$3:$K$33,8,0)="","",VLOOKUP(O$2,行为概览!$D$3:$K$33,8,0)*玩法行为规划!N129)</f>
        <v/>
      </c>
      <c r="P129" s="7" t="str">
        <f>IF(VLOOKUP(P$2,行为概览!$D$3:$K$33,8,0)="","",VLOOKUP(P$2,行为概览!$D$3:$K$33,8,0)*玩法行为规划!O129)</f>
        <v/>
      </c>
      <c r="Q129" s="7">
        <f>IF(VLOOKUP(Q$2,行为概览!$D$3:$K$33,8,0)="","",VLOOKUP(Q$2,行为概览!$D$3:$K$33,8,0)*玩法行为规划!P129)</f>
        <v>5.2</v>
      </c>
      <c r="R129" s="7" t="str">
        <f>IF(VLOOKUP(R$2,行为概览!$D$3:$K$33,8,0)="","",VLOOKUP(R$2,行为概览!$D$3:$K$33,8,0)*玩法行为规划!Q129)</f>
        <v/>
      </c>
      <c r="S129" s="7">
        <f>IF(VLOOKUP(S$2,行为概览!$D$3:$K$33,8,0)="","",VLOOKUP(S$2,行为概览!$D$3:$K$33,8,0)*玩法行为规划!R129)</f>
        <v>0.49995000000000001</v>
      </c>
      <c r="T129" s="7">
        <f>IF(VLOOKUP(T$2,行为概览!$D$3:$K$33,8,0)="","",VLOOKUP(T$2,行为概览!$D$3:$K$33,8,0)*玩法行为规划!S129)</f>
        <v>0</v>
      </c>
      <c r="U129" s="7">
        <f>IF(VLOOKUP(U$2,行为概览!$D$3:$K$33,8,0)="","",VLOOKUP(U$2,行为概览!$D$3:$K$33,8,0)*玩法行为规划!T129)</f>
        <v>0.49995000000000001</v>
      </c>
      <c r="V129" s="7">
        <f>IF(VLOOKUP(V$2,行为概览!$D$3:$K$33,8,0)="","",VLOOKUP(V$2,行为概览!$D$3:$K$33,8,0)*玩法行为规划!U129)</f>
        <v>0.33339999999999997</v>
      </c>
      <c r="W129" s="7" t="str">
        <f>IF(VLOOKUP(W$2,行为概览!$D$3:$K$33,8,0)="","",VLOOKUP(W$2,行为概览!$D$3:$K$33,8,0)*玩法行为规划!V129)</f>
        <v/>
      </c>
      <c r="X129" s="7" t="str">
        <f>IF(VLOOKUP(X$2,行为概览!$D$3:$K$33,8,0)="","",VLOOKUP(X$2,行为概览!$D$3:$K$33,8,0)*玩法行为规划!W129)</f>
        <v/>
      </c>
      <c r="Y129" s="7">
        <f>IF(VLOOKUP(Y$2,行为概览!$D$3:$K$33,8,0)="","",VLOOKUP(Y$2,行为概览!$D$3:$K$33,8,0)*玩法行为规划!X129)</f>
        <v>0.25</v>
      </c>
      <c r="Z129" s="7" t="str">
        <f>IF(VLOOKUP(Z$2,行为概览!$D$3:$K$33,8,0)="","",VLOOKUP(Z$2,行为概览!$D$3:$K$33,8,0)*玩法行为规划!Y129)</f>
        <v/>
      </c>
      <c r="AA129" s="7">
        <f>IF(VLOOKUP(AA$2,行为概览!$D$3:$K$33,8,0)="","",VLOOKUP(AA$2,行为概览!$D$3:$K$33,8,0)*玩法行为规划!Z129)</f>
        <v>8.3349999999999994E-2</v>
      </c>
      <c r="AB129" s="7" t="str">
        <f>IF(VLOOKUP(AB$2,行为概览!$D$3:$K$33,8,0)="","",VLOOKUP(AB$2,行为概览!$D$3:$K$33,8,0)*玩法行为规划!AA129)</f>
        <v/>
      </c>
      <c r="AC129" s="7" t="str">
        <f>IF(VLOOKUP(AC$2,行为概览!$D$3:$K$33,8,0)="","",VLOOKUP(AC$2,行为概览!$D$3:$K$33,8,0)*玩法行为规划!AB129)</f>
        <v/>
      </c>
      <c r="AD129" s="7" t="str">
        <f>IF(VLOOKUP(AD$2,行为概览!$D$3:$K$33,8,0)="","",VLOOKUP(AD$2,行为概览!$D$3:$K$33,8,0)*玩法行为规划!AC129)</f>
        <v/>
      </c>
      <c r="AE129" s="7" t="str">
        <f>IF(VLOOKUP(AE$2,行为概览!$D$3:$K$33,8,0)="","",VLOOKUP(AE$2,行为概览!$D$3:$K$33,8,0)*玩法行为规划!AD129)</f>
        <v/>
      </c>
      <c r="AF129" s="7">
        <f t="shared" si="19"/>
        <v>24.133149999999997</v>
      </c>
      <c r="AG129" s="7">
        <f t="shared" si="20"/>
        <v>15324550</v>
      </c>
      <c r="AH129" s="7">
        <f t="shared" si="16"/>
        <v>871220</v>
      </c>
      <c r="AI129" s="10" t="str">
        <f t="shared" si="18"/>
        <v/>
      </c>
      <c r="AJ129" s="73">
        <f t="shared" si="17"/>
        <v>806470</v>
      </c>
      <c r="AK129" s="77">
        <f>ROUND(AG129*升级节奏!G129/AJ134,2)</f>
        <v>404.41</v>
      </c>
      <c r="AL129" s="77">
        <f>ROUND(AG129*升级节奏!G129/SUM($AJ$3:AJ134),2)</f>
        <v>9.09</v>
      </c>
      <c r="AM129" s="74">
        <f>ROUND(AG129*升级节奏!G129,0)</f>
        <v>352328006</v>
      </c>
      <c r="AN129" s="77">
        <f>ROUND(SUM($AM$3:AM129)/SUM($AJ$3:AJ134),2)</f>
        <v>276.79000000000002</v>
      </c>
      <c r="AO129" s="7">
        <f t="shared" si="21"/>
        <v>10583</v>
      </c>
      <c r="AP129" s="7">
        <f t="shared" si="22"/>
        <v>76</v>
      </c>
    </row>
    <row r="130" spans="1:42">
      <c r="A130" s="32">
        <v>128</v>
      </c>
      <c r="B130" s="87">
        <f>升级节奏!D130</f>
        <v>640000</v>
      </c>
      <c r="C130" s="7">
        <f>IF(VLOOKUP(C$2,行为概览!$D$3:$K$33,8,0)="","",VLOOKUP(C$2,行为概览!$D$3:$K$33,8,0)*玩法行为规划!B130)</f>
        <v>0.99990000000000001</v>
      </c>
      <c r="D130" s="7">
        <f>IF(VLOOKUP(D$2,行为概览!$D$3:$K$33,8,0)="","",VLOOKUP(D$2,行为概览!$D$3:$K$33,8,0)*玩法行为规划!C130)</f>
        <v>1.1000000000000001</v>
      </c>
      <c r="E130" s="7" t="str">
        <f>IF(VLOOKUP(E$2,行为概览!$D$3:$K$33,8,0)="","",VLOOKUP(E$2,行为概览!$D$3:$K$33,8,0)*玩法行为规划!D130)</f>
        <v/>
      </c>
      <c r="F130" s="7">
        <f>IF(VLOOKUP(F$2,行为概览!$D$3:$K$33,8,0)="","",VLOOKUP(F$2,行为概览!$D$3:$K$33,8,0)*玩法行为规划!E130)</f>
        <v>1.5</v>
      </c>
      <c r="G130" s="7">
        <f>IF(VLOOKUP(G$2,行为概览!$D$3:$K$33,8,0)="","",VLOOKUP(G$2,行为概览!$D$3:$K$33,8,0)*玩法行为规划!F130)</f>
        <v>0.66659999999999997</v>
      </c>
      <c r="H130" s="7" t="str">
        <f>IF(VLOOKUP(H$2,行为概览!$D$3:$K$33,8,0)="","",VLOOKUP(H$2,行为概览!$D$3:$K$33,8,0)*玩法行为规划!G130)</f>
        <v/>
      </c>
      <c r="I130" s="7" t="str">
        <f>IF(VLOOKUP(I$2,行为概览!$D$3:$K$33,8,0)="","",VLOOKUP(I$2,行为概览!$D$3:$K$33,8,0)*玩法行为规划!H130)</f>
        <v/>
      </c>
      <c r="J130" s="7" t="str">
        <f>IF(VLOOKUP(J$2,行为概览!$D$3:$K$33,8,0)="","",VLOOKUP(J$2,行为概览!$D$3:$K$33,8,0)*玩法行为规划!I130)</f>
        <v/>
      </c>
      <c r="K130" s="7">
        <f>IF(VLOOKUP(K$2,行为概览!$D$3:$K$33,8,0)="","",VLOOKUP(K$2,行为概览!$D$3:$K$33,8,0)*玩法行为规划!J130)</f>
        <v>1</v>
      </c>
      <c r="L130" s="7" t="str">
        <f>IF(VLOOKUP(L$2,行为概览!$D$3:$K$33,8,0)="","",VLOOKUP(L$2,行为概览!$D$3:$K$33,8,0)*玩法行为规划!K130)</f>
        <v/>
      </c>
      <c r="M130" s="7" t="str">
        <f>IF(VLOOKUP(M$2,行为概览!$D$3:$K$33,8,0)="","",VLOOKUP(M$2,行为概览!$D$3:$K$33,8,0)*玩法行为规划!L130)</f>
        <v/>
      </c>
      <c r="N130" s="7">
        <f>IF(VLOOKUP(N$2,行为概览!$D$3:$K$33,8,0)="","",VLOOKUP(N$2,行为概览!$D$3:$K$33,8,0)*玩法行为规划!M130)</f>
        <v>12</v>
      </c>
      <c r="O130" s="7" t="str">
        <f>IF(VLOOKUP(O$2,行为概览!$D$3:$K$33,8,0)="","",VLOOKUP(O$2,行为概览!$D$3:$K$33,8,0)*玩法行为规划!N130)</f>
        <v/>
      </c>
      <c r="P130" s="7" t="str">
        <f>IF(VLOOKUP(P$2,行为概览!$D$3:$K$33,8,0)="","",VLOOKUP(P$2,行为概览!$D$3:$K$33,8,0)*玩法行为规划!O130)</f>
        <v/>
      </c>
      <c r="Q130" s="7">
        <f>IF(VLOOKUP(Q$2,行为概览!$D$3:$K$33,8,0)="","",VLOOKUP(Q$2,行为概览!$D$3:$K$33,8,0)*玩法行为规划!P130)</f>
        <v>5.2</v>
      </c>
      <c r="R130" s="7" t="str">
        <f>IF(VLOOKUP(R$2,行为概览!$D$3:$K$33,8,0)="","",VLOOKUP(R$2,行为概览!$D$3:$K$33,8,0)*玩法行为规划!Q130)</f>
        <v/>
      </c>
      <c r="S130" s="7">
        <f>IF(VLOOKUP(S$2,行为概览!$D$3:$K$33,8,0)="","",VLOOKUP(S$2,行为概览!$D$3:$K$33,8,0)*玩法行为规划!R130)</f>
        <v>0.49995000000000001</v>
      </c>
      <c r="T130" s="7">
        <f>IF(VLOOKUP(T$2,行为概览!$D$3:$K$33,8,0)="","",VLOOKUP(T$2,行为概览!$D$3:$K$33,8,0)*玩法行为规划!S130)</f>
        <v>0</v>
      </c>
      <c r="U130" s="7">
        <f>IF(VLOOKUP(U$2,行为概览!$D$3:$K$33,8,0)="","",VLOOKUP(U$2,行为概览!$D$3:$K$33,8,0)*玩法行为规划!T130)</f>
        <v>0.49995000000000001</v>
      </c>
      <c r="V130" s="7">
        <f>IF(VLOOKUP(V$2,行为概览!$D$3:$K$33,8,0)="","",VLOOKUP(V$2,行为概览!$D$3:$K$33,8,0)*玩法行为规划!U130)</f>
        <v>0.33339999999999997</v>
      </c>
      <c r="W130" s="7" t="str">
        <f>IF(VLOOKUP(W$2,行为概览!$D$3:$K$33,8,0)="","",VLOOKUP(W$2,行为概览!$D$3:$K$33,8,0)*玩法行为规划!V130)</f>
        <v/>
      </c>
      <c r="X130" s="7" t="str">
        <f>IF(VLOOKUP(X$2,行为概览!$D$3:$K$33,8,0)="","",VLOOKUP(X$2,行为概览!$D$3:$K$33,8,0)*玩法行为规划!W130)</f>
        <v/>
      </c>
      <c r="Y130" s="7">
        <f>IF(VLOOKUP(Y$2,行为概览!$D$3:$K$33,8,0)="","",VLOOKUP(Y$2,行为概览!$D$3:$K$33,8,0)*玩法行为规划!X130)</f>
        <v>0.25</v>
      </c>
      <c r="Z130" s="7" t="str">
        <f>IF(VLOOKUP(Z$2,行为概览!$D$3:$K$33,8,0)="","",VLOOKUP(Z$2,行为概览!$D$3:$K$33,8,0)*玩法行为规划!Y130)</f>
        <v/>
      </c>
      <c r="AA130" s="7">
        <f>IF(VLOOKUP(AA$2,行为概览!$D$3:$K$33,8,0)="","",VLOOKUP(AA$2,行为概览!$D$3:$K$33,8,0)*玩法行为规划!Z130)</f>
        <v>8.3349999999999994E-2</v>
      </c>
      <c r="AB130" s="7" t="str">
        <f>IF(VLOOKUP(AB$2,行为概览!$D$3:$K$33,8,0)="","",VLOOKUP(AB$2,行为概览!$D$3:$K$33,8,0)*玩法行为规划!AA130)</f>
        <v/>
      </c>
      <c r="AC130" s="7" t="str">
        <f>IF(VLOOKUP(AC$2,行为概览!$D$3:$K$33,8,0)="","",VLOOKUP(AC$2,行为概览!$D$3:$K$33,8,0)*玩法行为规划!AB130)</f>
        <v/>
      </c>
      <c r="AD130" s="7" t="str">
        <f>IF(VLOOKUP(AD$2,行为概览!$D$3:$K$33,8,0)="","",VLOOKUP(AD$2,行为概览!$D$3:$K$33,8,0)*玩法行为规划!AC130)</f>
        <v/>
      </c>
      <c r="AE130" s="7" t="str">
        <f>IF(VLOOKUP(AE$2,行为概览!$D$3:$K$33,8,0)="","",VLOOKUP(AE$2,行为概览!$D$3:$K$33,8,0)*玩法行为规划!AD130)</f>
        <v/>
      </c>
      <c r="AF130" s="7">
        <f t="shared" si="19"/>
        <v>24.133149999999997</v>
      </c>
      <c r="AG130" s="7">
        <f t="shared" si="20"/>
        <v>15445216</v>
      </c>
      <c r="AH130" s="7">
        <f t="shared" si="16"/>
        <v>884470</v>
      </c>
      <c r="AI130" s="10" t="str">
        <f t="shared" si="18"/>
        <v/>
      </c>
      <c r="AJ130" s="73">
        <f t="shared" si="17"/>
        <v>819220</v>
      </c>
      <c r="AK130" s="77">
        <f>ROUND(AG130*升级节奏!G130/AJ135,2)</f>
        <v>407.79</v>
      </c>
      <c r="AL130" s="77">
        <f>ROUND(AG130*升级节奏!G130/SUM($AJ$3:AJ135),2)</f>
        <v>9.1</v>
      </c>
      <c r="AM130" s="74">
        <f>ROUND(AG130*升级节奏!G130,0)</f>
        <v>360681832</v>
      </c>
      <c r="AN130" s="77">
        <f>ROUND(SUM($AM$3:AM130)/SUM($AJ$3:AJ135),2)</f>
        <v>279.70999999999998</v>
      </c>
      <c r="AO130" s="7">
        <f t="shared" si="21"/>
        <v>10667</v>
      </c>
      <c r="AP130" s="7">
        <f t="shared" si="22"/>
        <v>77</v>
      </c>
    </row>
    <row r="131" spans="1:42">
      <c r="A131" s="32">
        <v>129</v>
      </c>
      <c r="B131" s="87">
        <f>升级节奏!D131</f>
        <v>645000</v>
      </c>
      <c r="C131" s="7">
        <f>IF(VLOOKUP(C$2,行为概览!$D$3:$K$33,8,0)="","",VLOOKUP(C$2,行为概览!$D$3:$K$33,8,0)*玩法行为规划!B131)</f>
        <v>0.99990000000000001</v>
      </c>
      <c r="D131" s="7">
        <f>IF(VLOOKUP(D$2,行为概览!$D$3:$K$33,8,0)="","",VLOOKUP(D$2,行为概览!$D$3:$K$33,8,0)*玩法行为规划!C131)</f>
        <v>1.1000000000000001</v>
      </c>
      <c r="E131" s="7" t="str">
        <f>IF(VLOOKUP(E$2,行为概览!$D$3:$K$33,8,0)="","",VLOOKUP(E$2,行为概览!$D$3:$K$33,8,0)*玩法行为规划!D131)</f>
        <v/>
      </c>
      <c r="F131" s="7">
        <f>IF(VLOOKUP(F$2,行为概览!$D$3:$K$33,8,0)="","",VLOOKUP(F$2,行为概览!$D$3:$K$33,8,0)*玩法行为规划!E131)</f>
        <v>1.5</v>
      </c>
      <c r="G131" s="7">
        <f>IF(VLOOKUP(G$2,行为概览!$D$3:$K$33,8,0)="","",VLOOKUP(G$2,行为概览!$D$3:$K$33,8,0)*玩法行为规划!F131)</f>
        <v>0.66659999999999997</v>
      </c>
      <c r="H131" s="7" t="str">
        <f>IF(VLOOKUP(H$2,行为概览!$D$3:$K$33,8,0)="","",VLOOKUP(H$2,行为概览!$D$3:$K$33,8,0)*玩法行为规划!G131)</f>
        <v/>
      </c>
      <c r="I131" s="7" t="str">
        <f>IF(VLOOKUP(I$2,行为概览!$D$3:$K$33,8,0)="","",VLOOKUP(I$2,行为概览!$D$3:$K$33,8,0)*玩法行为规划!H131)</f>
        <v/>
      </c>
      <c r="J131" s="7" t="str">
        <f>IF(VLOOKUP(J$2,行为概览!$D$3:$K$33,8,0)="","",VLOOKUP(J$2,行为概览!$D$3:$K$33,8,0)*玩法行为规划!I131)</f>
        <v/>
      </c>
      <c r="K131" s="7">
        <f>IF(VLOOKUP(K$2,行为概览!$D$3:$K$33,8,0)="","",VLOOKUP(K$2,行为概览!$D$3:$K$33,8,0)*玩法行为规划!J131)</f>
        <v>1</v>
      </c>
      <c r="L131" s="7" t="str">
        <f>IF(VLOOKUP(L$2,行为概览!$D$3:$K$33,8,0)="","",VLOOKUP(L$2,行为概览!$D$3:$K$33,8,0)*玩法行为规划!K131)</f>
        <v/>
      </c>
      <c r="M131" s="7" t="str">
        <f>IF(VLOOKUP(M$2,行为概览!$D$3:$K$33,8,0)="","",VLOOKUP(M$2,行为概览!$D$3:$K$33,8,0)*玩法行为规划!L131)</f>
        <v/>
      </c>
      <c r="N131" s="7">
        <f>IF(VLOOKUP(N$2,行为概览!$D$3:$K$33,8,0)="","",VLOOKUP(N$2,行为概览!$D$3:$K$33,8,0)*玩法行为规划!M131)</f>
        <v>12</v>
      </c>
      <c r="O131" s="7" t="str">
        <f>IF(VLOOKUP(O$2,行为概览!$D$3:$K$33,8,0)="","",VLOOKUP(O$2,行为概览!$D$3:$K$33,8,0)*玩法行为规划!N131)</f>
        <v/>
      </c>
      <c r="P131" s="7" t="str">
        <f>IF(VLOOKUP(P$2,行为概览!$D$3:$K$33,8,0)="","",VLOOKUP(P$2,行为概览!$D$3:$K$33,8,0)*玩法行为规划!O131)</f>
        <v/>
      </c>
      <c r="Q131" s="7">
        <f>IF(VLOOKUP(Q$2,行为概览!$D$3:$K$33,8,0)="","",VLOOKUP(Q$2,行为概览!$D$3:$K$33,8,0)*玩法行为规划!P131)</f>
        <v>5.2</v>
      </c>
      <c r="R131" s="7" t="str">
        <f>IF(VLOOKUP(R$2,行为概览!$D$3:$K$33,8,0)="","",VLOOKUP(R$2,行为概览!$D$3:$K$33,8,0)*玩法行为规划!Q131)</f>
        <v/>
      </c>
      <c r="S131" s="7">
        <f>IF(VLOOKUP(S$2,行为概览!$D$3:$K$33,8,0)="","",VLOOKUP(S$2,行为概览!$D$3:$K$33,8,0)*玩法行为规划!R131)</f>
        <v>0.49995000000000001</v>
      </c>
      <c r="T131" s="7">
        <f>IF(VLOOKUP(T$2,行为概览!$D$3:$K$33,8,0)="","",VLOOKUP(T$2,行为概览!$D$3:$K$33,8,0)*玩法行为规划!S131)</f>
        <v>0</v>
      </c>
      <c r="U131" s="7">
        <f>IF(VLOOKUP(U$2,行为概览!$D$3:$K$33,8,0)="","",VLOOKUP(U$2,行为概览!$D$3:$K$33,8,0)*玩法行为规划!T131)</f>
        <v>0.49995000000000001</v>
      </c>
      <c r="V131" s="7">
        <f>IF(VLOOKUP(V$2,行为概览!$D$3:$K$33,8,0)="","",VLOOKUP(V$2,行为概览!$D$3:$K$33,8,0)*玩法行为规划!U131)</f>
        <v>0.33339999999999997</v>
      </c>
      <c r="W131" s="7" t="str">
        <f>IF(VLOOKUP(W$2,行为概览!$D$3:$K$33,8,0)="","",VLOOKUP(W$2,行为概览!$D$3:$K$33,8,0)*玩法行为规划!V131)</f>
        <v/>
      </c>
      <c r="X131" s="7" t="str">
        <f>IF(VLOOKUP(X$2,行为概览!$D$3:$K$33,8,0)="","",VLOOKUP(X$2,行为概览!$D$3:$K$33,8,0)*玩法行为规划!W131)</f>
        <v/>
      </c>
      <c r="Y131" s="7">
        <f>IF(VLOOKUP(Y$2,行为概览!$D$3:$K$33,8,0)="","",VLOOKUP(Y$2,行为概览!$D$3:$K$33,8,0)*玩法行为规划!X131)</f>
        <v>0.25</v>
      </c>
      <c r="Z131" s="7" t="str">
        <f>IF(VLOOKUP(Z$2,行为概览!$D$3:$K$33,8,0)="","",VLOOKUP(Z$2,行为概览!$D$3:$K$33,8,0)*玩法行为规划!Y131)</f>
        <v/>
      </c>
      <c r="AA131" s="7">
        <f>IF(VLOOKUP(AA$2,行为概览!$D$3:$K$33,8,0)="","",VLOOKUP(AA$2,行为概览!$D$3:$K$33,8,0)*玩法行为规划!Z131)</f>
        <v>8.3349999999999994E-2</v>
      </c>
      <c r="AB131" s="7" t="str">
        <f>IF(VLOOKUP(AB$2,行为概览!$D$3:$K$33,8,0)="","",VLOOKUP(AB$2,行为概览!$D$3:$K$33,8,0)*玩法行为规划!AA131)</f>
        <v/>
      </c>
      <c r="AC131" s="7" t="str">
        <f>IF(VLOOKUP(AC$2,行为概览!$D$3:$K$33,8,0)="","",VLOOKUP(AC$2,行为概览!$D$3:$K$33,8,0)*玩法行为规划!AB131)</f>
        <v/>
      </c>
      <c r="AD131" s="7" t="str">
        <f>IF(VLOOKUP(AD$2,行为概览!$D$3:$K$33,8,0)="","",VLOOKUP(AD$2,行为概览!$D$3:$K$33,8,0)*玩法行为规划!AC131)</f>
        <v/>
      </c>
      <c r="AE131" s="7" t="str">
        <f>IF(VLOOKUP(AE$2,行为概览!$D$3:$K$33,8,0)="","",VLOOKUP(AE$2,行为概览!$D$3:$K$33,8,0)*玩法行为规划!AD131)</f>
        <v/>
      </c>
      <c r="AF131" s="7">
        <f t="shared" ref="AF131:AF152" si="23">SUM(C131:AC131)</f>
        <v>24.133149999999997</v>
      </c>
      <c r="AG131" s="7">
        <f t="shared" ref="AG131:AG152" si="24">INT(B131*AF131)</f>
        <v>15565881</v>
      </c>
      <c r="AH131" s="7">
        <f t="shared" si="16"/>
        <v>897820</v>
      </c>
      <c r="AI131" s="10" t="str">
        <f t="shared" si="18"/>
        <v/>
      </c>
      <c r="AJ131" s="73">
        <f t="shared" si="17"/>
        <v>832070</v>
      </c>
      <c r="AK131" s="77">
        <f>ROUND(AG131*升级节奏!G131/AJ136,2)</f>
        <v>411.18</v>
      </c>
      <c r="AL131" s="77">
        <f>ROUND(AG131*升级节奏!G131/SUM($AJ$3:AJ136),2)</f>
        <v>9.1</v>
      </c>
      <c r="AM131" s="74">
        <f>ROUND(AG131*升级节奏!G131,0)</f>
        <v>369166920</v>
      </c>
      <c r="AN131" s="77">
        <f>ROUND(SUM($AM$3:AM131)/SUM($AJ$3:AJ136),2)</f>
        <v>282.62</v>
      </c>
      <c r="AO131" s="7">
        <f t="shared" ref="AO131:AO152" si="25">ROUND(B131/60,0)</f>
        <v>10750</v>
      </c>
      <c r="AP131" s="7">
        <f t="shared" ref="AP131:AP152" si="26">ROUND(AJ131/AO131,0)</f>
        <v>77</v>
      </c>
    </row>
    <row r="132" spans="1:42">
      <c r="A132" s="32">
        <v>130</v>
      </c>
      <c r="B132" s="87">
        <f>升级节奏!D132</f>
        <v>650000</v>
      </c>
      <c r="C132" s="7">
        <f>IF(VLOOKUP(C$2,行为概览!$D$3:$K$33,8,0)="","",VLOOKUP(C$2,行为概览!$D$3:$K$33,8,0)*玩法行为规划!B132)</f>
        <v>0.99990000000000001</v>
      </c>
      <c r="D132" s="7">
        <f>IF(VLOOKUP(D$2,行为概览!$D$3:$K$33,8,0)="","",VLOOKUP(D$2,行为概览!$D$3:$K$33,8,0)*玩法行为规划!C132)</f>
        <v>1.1000000000000001</v>
      </c>
      <c r="E132" s="7" t="str">
        <f>IF(VLOOKUP(E$2,行为概览!$D$3:$K$33,8,0)="","",VLOOKUP(E$2,行为概览!$D$3:$K$33,8,0)*玩法行为规划!D132)</f>
        <v/>
      </c>
      <c r="F132" s="7">
        <f>IF(VLOOKUP(F$2,行为概览!$D$3:$K$33,8,0)="","",VLOOKUP(F$2,行为概览!$D$3:$K$33,8,0)*玩法行为规划!E132)</f>
        <v>1.5</v>
      </c>
      <c r="G132" s="7">
        <f>IF(VLOOKUP(G$2,行为概览!$D$3:$K$33,8,0)="","",VLOOKUP(G$2,行为概览!$D$3:$K$33,8,0)*玩法行为规划!F132)</f>
        <v>0.66659999999999997</v>
      </c>
      <c r="H132" s="7" t="str">
        <f>IF(VLOOKUP(H$2,行为概览!$D$3:$K$33,8,0)="","",VLOOKUP(H$2,行为概览!$D$3:$K$33,8,0)*玩法行为规划!G132)</f>
        <v/>
      </c>
      <c r="I132" s="7" t="str">
        <f>IF(VLOOKUP(I$2,行为概览!$D$3:$K$33,8,0)="","",VLOOKUP(I$2,行为概览!$D$3:$K$33,8,0)*玩法行为规划!H132)</f>
        <v/>
      </c>
      <c r="J132" s="7" t="str">
        <f>IF(VLOOKUP(J$2,行为概览!$D$3:$K$33,8,0)="","",VLOOKUP(J$2,行为概览!$D$3:$K$33,8,0)*玩法行为规划!I132)</f>
        <v/>
      </c>
      <c r="K132" s="7">
        <f>IF(VLOOKUP(K$2,行为概览!$D$3:$K$33,8,0)="","",VLOOKUP(K$2,行为概览!$D$3:$K$33,8,0)*玩法行为规划!J132)</f>
        <v>1</v>
      </c>
      <c r="L132" s="7" t="str">
        <f>IF(VLOOKUP(L$2,行为概览!$D$3:$K$33,8,0)="","",VLOOKUP(L$2,行为概览!$D$3:$K$33,8,0)*玩法行为规划!K132)</f>
        <v/>
      </c>
      <c r="M132" s="7" t="str">
        <f>IF(VLOOKUP(M$2,行为概览!$D$3:$K$33,8,0)="","",VLOOKUP(M$2,行为概览!$D$3:$K$33,8,0)*玩法行为规划!L132)</f>
        <v/>
      </c>
      <c r="N132" s="7">
        <f>IF(VLOOKUP(N$2,行为概览!$D$3:$K$33,8,0)="","",VLOOKUP(N$2,行为概览!$D$3:$K$33,8,0)*玩法行为规划!M132)</f>
        <v>12</v>
      </c>
      <c r="O132" s="7" t="str">
        <f>IF(VLOOKUP(O$2,行为概览!$D$3:$K$33,8,0)="","",VLOOKUP(O$2,行为概览!$D$3:$K$33,8,0)*玩法行为规划!N132)</f>
        <v/>
      </c>
      <c r="P132" s="7" t="str">
        <f>IF(VLOOKUP(P$2,行为概览!$D$3:$K$33,8,0)="","",VLOOKUP(P$2,行为概览!$D$3:$K$33,8,0)*玩法行为规划!O132)</f>
        <v/>
      </c>
      <c r="Q132" s="7">
        <f>IF(VLOOKUP(Q$2,行为概览!$D$3:$K$33,8,0)="","",VLOOKUP(Q$2,行为概览!$D$3:$K$33,8,0)*玩法行为规划!P132)</f>
        <v>5.2</v>
      </c>
      <c r="R132" s="7" t="str">
        <f>IF(VLOOKUP(R$2,行为概览!$D$3:$K$33,8,0)="","",VLOOKUP(R$2,行为概览!$D$3:$K$33,8,0)*玩法行为规划!Q132)</f>
        <v/>
      </c>
      <c r="S132" s="7">
        <f>IF(VLOOKUP(S$2,行为概览!$D$3:$K$33,8,0)="","",VLOOKUP(S$2,行为概览!$D$3:$K$33,8,0)*玩法行为规划!R132)</f>
        <v>0.49995000000000001</v>
      </c>
      <c r="T132" s="7">
        <f>IF(VLOOKUP(T$2,行为概览!$D$3:$K$33,8,0)="","",VLOOKUP(T$2,行为概览!$D$3:$K$33,8,0)*玩法行为规划!S132)</f>
        <v>0</v>
      </c>
      <c r="U132" s="7">
        <f>IF(VLOOKUP(U$2,行为概览!$D$3:$K$33,8,0)="","",VLOOKUP(U$2,行为概览!$D$3:$K$33,8,0)*玩法行为规划!T132)</f>
        <v>0.49995000000000001</v>
      </c>
      <c r="V132" s="7">
        <f>IF(VLOOKUP(V$2,行为概览!$D$3:$K$33,8,0)="","",VLOOKUP(V$2,行为概览!$D$3:$K$33,8,0)*玩法行为规划!U132)</f>
        <v>0.33339999999999997</v>
      </c>
      <c r="W132" s="7" t="str">
        <f>IF(VLOOKUP(W$2,行为概览!$D$3:$K$33,8,0)="","",VLOOKUP(W$2,行为概览!$D$3:$K$33,8,0)*玩法行为规划!V132)</f>
        <v/>
      </c>
      <c r="X132" s="7" t="str">
        <f>IF(VLOOKUP(X$2,行为概览!$D$3:$K$33,8,0)="","",VLOOKUP(X$2,行为概览!$D$3:$K$33,8,0)*玩法行为规划!W132)</f>
        <v/>
      </c>
      <c r="Y132" s="7">
        <f>IF(VLOOKUP(Y$2,行为概览!$D$3:$K$33,8,0)="","",VLOOKUP(Y$2,行为概览!$D$3:$K$33,8,0)*玩法行为规划!X132)</f>
        <v>0.25</v>
      </c>
      <c r="Z132" s="7" t="str">
        <f>IF(VLOOKUP(Z$2,行为概览!$D$3:$K$33,8,0)="","",VLOOKUP(Z$2,行为概览!$D$3:$K$33,8,0)*玩法行为规划!Y132)</f>
        <v/>
      </c>
      <c r="AA132" s="7">
        <f>IF(VLOOKUP(AA$2,行为概览!$D$3:$K$33,8,0)="","",VLOOKUP(AA$2,行为概览!$D$3:$K$33,8,0)*玩法行为规划!Z132)</f>
        <v>8.3349999999999994E-2</v>
      </c>
      <c r="AB132" s="7" t="str">
        <f>IF(VLOOKUP(AB$2,行为概览!$D$3:$K$33,8,0)="","",VLOOKUP(AB$2,行为概览!$D$3:$K$33,8,0)*玩法行为规划!AA132)</f>
        <v/>
      </c>
      <c r="AC132" s="7" t="str">
        <f>IF(VLOOKUP(AC$2,行为概览!$D$3:$K$33,8,0)="","",VLOOKUP(AC$2,行为概览!$D$3:$K$33,8,0)*玩法行为规划!AB132)</f>
        <v/>
      </c>
      <c r="AD132" s="7" t="str">
        <f>IF(VLOOKUP(AD$2,行为概览!$D$3:$K$33,8,0)="","",VLOOKUP(AD$2,行为概览!$D$3:$K$33,8,0)*玩法行为规划!AC132)</f>
        <v/>
      </c>
      <c r="AE132" s="7" t="str">
        <f>IF(VLOOKUP(AE$2,行为概览!$D$3:$K$33,8,0)="","",VLOOKUP(AE$2,行为概览!$D$3:$K$33,8,0)*玩法行为规划!AD132)</f>
        <v/>
      </c>
      <c r="AF132" s="7">
        <f t="shared" si="23"/>
        <v>24.133149999999997</v>
      </c>
      <c r="AG132" s="7">
        <f t="shared" si="24"/>
        <v>15686547</v>
      </c>
      <c r="AH132" s="7">
        <f t="shared" ref="AH132:AH147" si="27">AJ137</f>
        <v>911270</v>
      </c>
      <c r="AI132" s="10">
        <f t="shared" si="18"/>
        <v>18123900</v>
      </c>
      <c r="AJ132" s="73">
        <f t="shared" ref="AJ132:AJ152" si="28">20+50*A132^2</f>
        <v>845020</v>
      </c>
      <c r="AK132" s="77">
        <f>ROUND(AG132*升级节奏!G132/AJ137,2)</f>
        <v>414.57</v>
      </c>
      <c r="AL132" s="77">
        <f>ROUND(AG132*升级节奏!G132/SUM($AJ$3:AJ137),2)</f>
        <v>9.11</v>
      </c>
      <c r="AM132" s="74">
        <f>ROUND(AG132*升级节奏!G132,0)</f>
        <v>377784340</v>
      </c>
      <c r="AN132" s="77">
        <f>ROUND(SUM($AM$3:AM132)/SUM($AJ$3:AJ137),2)</f>
        <v>285.52</v>
      </c>
      <c r="AO132" s="7">
        <f t="shared" si="25"/>
        <v>10833</v>
      </c>
      <c r="AP132" s="7">
        <f t="shared" si="26"/>
        <v>78</v>
      </c>
    </row>
    <row r="133" spans="1:42">
      <c r="A133" s="32">
        <v>131</v>
      </c>
      <c r="B133" s="87">
        <f>升级节奏!D133</f>
        <v>655000</v>
      </c>
      <c r="C133" s="7">
        <f>IF(VLOOKUP(C$2,行为概览!$D$3:$K$33,8,0)="","",VLOOKUP(C$2,行为概览!$D$3:$K$33,8,0)*玩法行为规划!B133)</f>
        <v>0.99990000000000001</v>
      </c>
      <c r="D133" s="7">
        <f>IF(VLOOKUP(D$2,行为概览!$D$3:$K$33,8,0)="","",VLOOKUP(D$2,行为概览!$D$3:$K$33,8,0)*玩法行为规划!C133)</f>
        <v>1.1000000000000001</v>
      </c>
      <c r="E133" s="7" t="str">
        <f>IF(VLOOKUP(E$2,行为概览!$D$3:$K$33,8,0)="","",VLOOKUP(E$2,行为概览!$D$3:$K$33,8,0)*玩法行为规划!D133)</f>
        <v/>
      </c>
      <c r="F133" s="7">
        <f>IF(VLOOKUP(F$2,行为概览!$D$3:$K$33,8,0)="","",VLOOKUP(F$2,行为概览!$D$3:$K$33,8,0)*玩法行为规划!E133)</f>
        <v>1.5</v>
      </c>
      <c r="G133" s="7">
        <f>IF(VLOOKUP(G$2,行为概览!$D$3:$K$33,8,0)="","",VLOOKUP(G$2,行为概览!$D$3:$K$33,8,0)*玩法行为规划!F133)</f>
        <v>0.66659999999999997</v>
      </c>
      <c r="H133" s="7" t="str">
        <f>IF(VLOOKUP(H$2,行为概览!$D$3:$K$33,8,0)="","",VLOOKUP(H$2,行为概览!$D$3:$K$33,8,0)*玩法行为规划!G133)</f>
        <v/>
      </c>
      <c r="I133" s="7" t="str">
        <f>IF(VLOOKUP(I$2,行为概览!$D$3:$K$33,8,0)="","",VLOOKUP(I$2,行为概览!$D$3:$K$33,8,0)*玩法行为规划!H133)</f>
        <v/>
      </c>
      <c r="J133" s="7" t="str">
        <f>IF(VLOOKUP(J$2,行为概览!$D$3:$K$33,8,0)="","",VLOOKUP(J$2,行为概览!$D$3:$K$33,8,0)*玩法行为规划!I133)</f>
        <v/>
      </c>
      <c r="K133" s="7">
        <f>IF(VLOOKUP(K$2,行为概览!$D$3:$K$33,8,0)="","",VLOOKUP(K$2,行为概览!$D$3:$K$33,8,0)*玩法行为规划!J133)</f>
        <v>1</v>
      </c>
      <c r="L133" s="7" t="str">
        <f>IF(VLOOKUP(L$2,行为概览!$D$3:$K$33,8,0)="","",VLOOKUP(L$2,行为概览!$D$3:$K$33,8,0)*玩法行为规划!K133)</f>
        <v/>
      </c>
      <c r="M133" s="7" t="str">
        <f>IF(VLOOKUP(M$2,行为概览!$D$3:$K$33,8,0)="","",VLOOKUP(M$2,行为概览!$D$3:$K$33,8,0)*玩法行为规划!L133)</f>
        <v/>
      </c>
      <c r="N133" s="7">
        <f>IF(VLOOKUP(N$2,行为概览!$D$3:$K$33,8,0)="","",VLOOKUP(N$2,行为概览!$D$3:$K$33,8,0)*玩法行为规划!M133)</f>
        <v>12</v>
      </c>
      <c r="O133" s="7" t="str">
        <f>IF(VLOOKUP(O$2,行为概览!$D$3:$K$33,8,0)="","",VLOOKUP(O$2,行为概览!$D$3:$K$33,8,0)*玩法行为规划!N133)</f>
        <v/>
      </c>
      <c r="P133" s="7" t="str">
        <f>IF(VLOOKUP(P$2,行为概览!$D$3:$K$33,8,0)="","",VLOOKUP(P$2,行为概览!$D$3:$K$33,8,0)*玩法行为规划!O133)</f>
        <v/>
      </c>
      <c r="Q133" s="7">
        <f>IF(VLOOKUP(Q$2,行为概览!$D$3:$K$33,8,0)="","",VLOOKUP(Q$2,行为概览!$D$3:$K$33,8,0)*玩法行为规划!P133)</f>
        <v>5.2</v>
      </c>
      <c r="R133" s="7" t="str">
        <f>IF(VLOOKUP(R$2,行为概览!$D$3:$K$33,8,0)="","",VLOOKUP(R$2,行为概览!$D$3:$K$33,8,0)*玩法行为规划!Q133)</f>
        <v/>
      </c>
      <c r="S133" s="7">
        <f>IF(VLOOKUP(S$2,行为概览!$D$3:$K$33,8,0)="","",VLOOKUP(S$2,行为概览!$D$3:$K$33,8,0)*玩法行为规划!R133)</f>
        <v>0.49995000000000001</v>
      </c>
      <c r="T133" s="7">
        <f>IF(VLOOKUP(T$2,行为概览!$D$3:$K$33,8,0)="","",VLOOKUP(T$2,行为概览!$D$3:$K$33,8,0)*玩法行为规划!S133)</f>
        <v>0</v>
      </c>
      <c r="U133" s="7">
        <f>IF(VLOOKUP(U$2,行为概览!$D$3:$K$33,8,0)="","",VLOOKUP(U$2,行为概览!$D$3:$K$33,8,0)*玩法行为规划!T133)</f>
        <v>0.49995000000000001</v>
      </c>
      <c r="V133" s="7">
        <f>IF(VLOOKUP(V$2,行为概览!$D$3:$K$33,8,0)="","",VLOOKUP(V$2,行为概览!$D$3:$K$33,8,0)*玩法行为规划!U133)</f>
        <v>0.33339999999999997</v>
      </c>
      <c r="W133" s="7" t="str">
        <f>IF(VLOOKUP(W$2,行为概览!$D$3:$K$33,8,0)="","",VLOOKUP(W$2,行为概览!$D$3:$K$33,8,0)*玩法行为规划!V133)</f>
        <v/>
      </c>
      <c r="X133" s="7" t="str">
        <f>IF(VLOOKUP(X$2,行为概览!$D$3:$K$33,8,0)="","",VLOOKUP(X$2,行为概览!$D$3:$K$33,8,0)*玩法行为规划!W133)</f>
        <v/>
      </c>
      <c r="Y133" s="7">
        <f>IF(VLOOKUP(Y$2,行为概览!$D$3:$K$33,8,0)="","",VLOOKUP(Y$2,行为概览!$D$3:$K$33,8,0)*玩法行为规划!X133)</f>
        <v>0.25</v>
      </c>
      <c r="Z133" s="7" t="str">
        <f>IF(VLOOKUP(Z$2,行为概览!$D$3:$K$33,8,0)="","",VLOOKUP(Z$2,行为概览!$D$3:$K$33,8,0)*玩法行为规划!Y133)</f>
        <v/>
      </c>
      <c r="AA133" s="7">
        <f>IF(VLOOKUP(AA$2,行为概览!$D$3:$K$33,8,0)="","",VLOOKUP(AA$2,行为概览!$D$3:$K$33,8,0)*玩法行为规划!Z133)</f>
        <v>8.3349999999999994E-2</v>
      </c>
      <c r="AB133" s="7" t="str">
        <f>IF(VLOOKUP(AB$2,行为概览!$D$3:$K$33,8,0)="","",VLOOKUP(AB$2,行为概览!$D$3:$K$33,8,0)*玩法行为规划!AA133)</f>
        <v/>
      </c>
      <c r="AC133" s="7" t="str">
        <f>IF(VLOOKUP(AC$2,行为概览!$D$3:$K$33,8,0)="","",VLOOKUP(AC$2,行为概览!$D$3:$K$33,8,0)*玩法行为规划!AB133)</f>
        <v/>
      </c>
      <c r="AD133" s="7" t="str">
        <f>IF(VLOOKUP(AD$2,行为概览!$D$3:$K$33,8,0)="","",VLOOKUP(AD$2,行为概览!$D$3:$K$33,8,0)*玩法行为规划!AC133)</f>
        <v/>
      </c>
      <c r="AE133" s="7" t="str">
        <f>IF(VLOOKUP(AE$2,行为概览!$D$3:$K$33,8,0)="","",VLOOKUP(AE$2,行为概览!$D$3:$K$33,8,0)*玩法行为规划!AD133)</f>
        <v/>
      </c>
      <c r="AF133" s="7">
        <f t="shared" si="23"/>
        <v>24.133149999999997</v>
      </c>
      <c r="AG133" s="7">
        <f t="shared" si="24"/>
        <v>15807213</v>
      </c>
      <c r="AH133" s="7">
        <f t="shared" si="27"/>
        <v>924820</v>
      </c>
      <c r="AI133" s="10" t="str">
        <f t="shared" si="18"/>
        <v/>
      </c>
      <c r="AJ133" s="73">
        <f t="shared" si="28"/>
        <v>858070</v>
      </c>
      <c r="AK133" s="77">
        <f>ROUND(AG133*升级节奏!G133/AJ138,2)</f>
        <v>417.96</v>
      </c>
      <c r="AL133" s="77">
        <f>ROUND(AG133*升级节奏!G133/SUM($AJ$3:AJ138),2)</f>
        <v>9.1199999999999992</v>
      </c>
      <c r="AM133" s="74">
        <f>ROUND(AG133*升级节奏!G133,0)</f>
        <v>386535097</v>
      </c>
      <c r="AN133" s="77">
        <f>ROUND(SUM($AM$3:AM133)/SUM($AJ$3:AJ138),2)</f>
        <v>288.41000000000003</v>
      </c>
      <c r="AO133" s="7">
        <f t="shared" si="25"/>
        <v>10917</v>
      </c>
      <c r="AP133" s="7">
        <f t="shared" si="26"/>
        <v>79</v>
      </c>
    </row>
    <row r="134" spans="1:42">
      <c r="A134" s="32">
        <v>132</v>
      </c>
      <c r="B134" s="87">
        <f>升级节奏!D134</f>
        <v>660000</v>
      </c>
      <c r="C134" s="7">
        <f>IF(VLOOKUP(C$2,行为概览!$D$3:$K$33,8,0)="","",VLOOKUP(C$2,行为概览!$D$3:$K$33,8,0)*玩法行为规划!B134)</f>
        <v>0.99990000000000001</v>
      </c>
      <c r="D134" s="7">
        <f>IF(VLOOKUP(D$2,行为概览!$D$3:$K$33,8,0)="","",VLOOKUP(D$2,行为概览!$D$3:$K$33,8,0)*玩法行为规划!C134)</f>
        <v>1.1000000000000001</v>
      </c>
      <c r="E134" s="7" t="str">
        <f>IF(VLOOKUP(E$2,行为概览!$D$3:$K$33,8,0)="","",VLOOKUP(E$2,行为概览!$D$3:$K$33,8,0)*玩法行为规划!D134)</f>
        <v/>
      </c>
      <c r="F134" s="7">
        <f>IF(VLOOKUP(F$2,行为概览!$D$3:$K$33,8,0)="","",VLOOKUP(F$2,行为概览!$D$3:$K$33,8,0)*玩法行为规划!E134)</f>
        <v>1.5</v>
      </c>
      <c r="G134" s="7">
        <f>IF(VLOOKUP(G$2,行为概览!$D$3:$K$33,8,0)="","",VLOOKUP(G$2,行为概览!$D$3:$K$33,8,0)*玩法行为规划!F134)</f>
        <v>0.66659999999999997</v>
      </c>
      <c r="H134" s="7" t="str">
        <f>IF(VLOOKUP(H$2,行为概览!$D$3:$K$33,8,0)="","",VLOOKUP(H$2,行为概览!$D$3:$K$33,8,0)*玩法行为规划!G134)</f>
        <v/>
      </c>
      <c r="I134" s="7" t="str">
        <f>IF(VLOOKUP(I$2,行为概览!$D$3:$K$33,8,0)="","",VLOOKUP(I$2,行为概览!$D$3:$K$33,8,0)*玩法行为规划!H134)</f>
        <v/>
      </c>
      <c r="J134" s="7" t="str">
        <f>IF(VLOOKUP(J$2,行为概览!$D$3:$K$33,8,0)="","",VLOOKUP(J$2,行为概览!$D$3:$K$33,8,0)*玩法行为规划!I134)</f>
        <v/>
      </c>
      <c r="K134" s="7">
        <f>IF(VLOOKUP(K$2,行为概览!$D$3:$K$33,8,0)="","",VLOOKUP(K$2,行为概览!$D$3:$K$33,8,0)*玩法行为规划!J134)</f>
        <v>1</v>
      </c>
      <c r="L134" s="7" t="str">
        <f>IF(VLOOKUP(L$2,行为概览!$D$3:$K$33,8,0)="","",VLOOKUP(L$2,行为概览!$D$3:$K$33,8,0)*玩法行为规划!K134)</f>
        <v/>
      </c>
      <c r="M134" s="7" t="str">
        <f>IF(VLOOKUP(M$2,行为概览!$D$3:$K$33,8,0)="","",VLOOKUP(M$2,行为概览!$D$3:$K$33,8,0)*玩法行为规划!L134)</f>
        <v/>
      </c>
      <c r="N134" s="7">
        <f>IF(VLOOKUP(N$2,行为概览!$D$3:$K$33,8,0)="","",VLOOKUP(N$2,行为概览!$D$3:$K$33,8,0)*玩法行为规划!M134)</f>
        <v>12</v>
      </c>
      <c r="O134" s="7" t="str">
        <f>IF(VLOOKUP(O$2,行为概览!$D$3:$K$33,8,0)="","",VLOOKUP(O$2,行为概览!$D$3:$K$33,8,0)*玩法行为规划!N134)</f>
        <v/>
      </c>
      <c r="P134" s="7" t="str">
        <f>IF(VLOOKUP(P$2,行为概览!$D$3:$K$33,8,0)="","",VLOOKUP(P$2,行为概览!$D$3:$K$33,8,0)*玩法行为规划!O134)</f>
        <v/>
      </c>
      <c r="Q134" s="7">
        <f>IF(VLOOKUP(Q$2,行为概览!$D$3:$K$33,8,0)="","",VLOOKUP(Q$2,行为概览!$D$3:$K$33,8,0)*玩法行为规划!P134)</f>
        <v>5.2</v>
      </c>
      <c r="R134" s="7" t="str">
        <f>IF(VLOOKUP(R$2,行为概览!$D$3:$K$33,8,0)="","",VLOOKUP(R$2,行为概览!$D$3:$K$33,8,0)*玩法行为规划!Q134)</f>
        <v/>
      </c>
      <c r="S134" s="7">
        <f>IF(VLOOKUP(S$2,行为概览!$D$3:$K$33,8,0)="","",VLOOKUP(S$2,行为概览!$D$3:$K$33,8,0)*玩法行为规划!R134)</f>
        <v>0.49995000000000001</v>
      </c>
      <c r="T134" s="7">
        <f>IF(VLOOKUP(T$2,行为概览!$D$3:$K$33,8,0)="","",VLOOKUP(T$2,行为概览!$D$3:$K$33,8,0)*玩法行为规划!S134)</f>
        <v>0</v>
      </c>
      <c r="U134" s="7">
        <f>IF(VLOOKUP(U$2,行为概览!$D$3:$K$33,8,0)="","",VLOOKUP(U$2,行为概览!$D$3:$K$33,8,0)*玩法行为规划!T134)</f>
        <v>0.49995000000000001</v>
      </c>
      <c r="V134" s="7">
        <f>IF(VLOOKUP(V$2,行为概览!$D$3:$K$33,8,0)="","",VLOOKUP(V$2,行为概览!$D$3:$K$33,8,0)*玩法行为规划!U134)</f>
        <v>0.33339999999999997</v>
      </c>
      <c r="W134" s="7" t="str">
        <f>IF(VLOOKUP(W$2,行为概览!$D$3:$K$33,8,0)="","",VLOOKUP(W$2,行为概览!$D$3:$K$33,8,0)*玩法行为规划!V134)</f>
        <v/>
      </c>
      <c r="X134" s="7" t="str">
        <f>IF(VLOOKUP(X$2,行为概览!$D$3:$K$33,8,0)="","",VLOOKUP(X$2,行为概览!$D$3:$K$33,8,0)*玩法行为规划!W134)</f>
        <v/>
      </c>
      <c r="Y134" s="7">
        <f>IF(VLOOKUP(Y$2,行为概览!$D$3:$K$33,8,0)="","",VLOOKUP(Y$2,行为概览!$D$3:$K$33,8,0)*玩法行为规划!X134)</f>
        <v>0.25</v>
      </c>
      <c r="Z134" s="7" t="str">
        <f>IF(VLOOKUP(Z$2,行为概览!$D$3:$K$33,8,0)="","",VLOOKUP(Z$2,行为概览!$D$3:$K$33,8,0)*玩法行为规划!Y134)</f>
        <v/>
      </c>
      <c r="AA134" s="7">
        <f>IF(VLOOKUP(AA$2,行为概览!$D$3:$K$33,8,0)="","",VLOOKUP(AA$2,行为概览!$D$3:$K$33,8,0)*玩法行为规划!Z134)</f>
        <v>8.3349999999999994E-2</v>
      </c>
      <c r="AB134" s="7" t="str">
        <f>IF(VLOOKUP(AB$2,行为概览!$D$3:$K$33,8,0)="","",VLOOKUP(AB$2,行为概览!$D$3:$K$33,8,0)*玩法行为规划!AA134)</f>
        <v/>
      </c>
      <c r="AC134" s="7" t="str">
        <f>IF(VLOOKUP(AC$2,行为概览!$D$3:$K$33,8,0)="","",VLOOKUP(AC$2,行为概览!$D$3:$K$33,8,0)*玩法行为规划!AB134)</f>
        <v/>
      </c>
      <c r="AD134" s="7" t="str">
        <f>IF(VLOOKUP(AD$2,行为概览!$D$3:$K$33,8,0)="","",VLOOKUP(AD$2,行为概览!$D$3:$K$33,8,0)*玩法行为规划!AC134)</f>
        <v/>
      </c>
      <c r="AE134" s="7" t="str">
        <f>IF(VLOOKUP(AE$2,行为概览!$D$3:$K$33,8,0)="","",VLOOKUP(AE$2,行为概览!$D$3:$K$33,8,0)*玩法行为规划!AD134)</f>
        <v/>
      </c>
      <c r="AF134" s="7">
        <f t="shared" si="23"/>
        <v>24.133149999999997</v>
      </c>
      <c r="AG134" s="7">
        <f t="shared" si="24"/>
        <v>15927879</v>
      </c>
      <c r="AH134" s="7">
        <f t="shared" si="27"/>
        <v>938470</v>
      </c>
      <c r="AI134" s="10" t="str">
        <f t="shared" si="18"/>
        <v/>
      </c>
      <c r="AJ134" s="73">
        <f t="shared" si="28"/>
        <v>871220</v>
      </c>
      <c r="AK134" s="77">
        <f>ROUND(AG134*升级节奏!G134/AJ139,2)</f>
        <v>421.35</v>
      </c>
      <c r="AL134" s="77">
        <f>ROUND(AG134*升级节奏!G134/SUM($AJ$3:AJ139),2)</f>
        <v>9.1300000000000008</v>
      </c>
      <c r="AM134" s="74">
        <f>ROUND(AG134*升级节奏!G134,0)</f>
        <v>395420215</v>
      </c>
      <c r="AN134" s="77">
        <f>ROUND(SUM($AM$3:AM134)/SUM($AJ$3:AJ139),2)</f>
        <v>291.29000000000002</v>
      </c>
      <c r="AO134" s="7">
        <f t="shared" si="25"/>
        <v>11000</v>
      </c>
      <c r="AP134" s="7">
        <f t="shared" si="26"/>
        <v>79</v>
      </c>
    </row>
    <row r="135" spans="1:42">
      <c r="A135" s="32">
        <v>133</v>
      </c>
      <c r="B135" s="87">
        <f>升级节奏!D135</f>
        <v>665000</v>
      </c>
      <c r="C135" s="7">
        <f>IF(VLOOKUP(C$2,行为概览!$D$3:$K$33,8,0)="","",VLOOKUP(C$2,行为概览!$D$3:$K$33,8,0)*玩法行为规划!B135)</f>
        <v>0.99990000000000001</v>
      </c>
      <c r="D135" s="7">
        <f>IF(VLOOKUP(D$2,行为概览!$D$3:$K$33,8,0)="","",VLOOKUP(D$2,行为概览!$D$3:$K$33,8,0)*玩法行为规划!C135)</f>
        <v>1.1000000000000001</v>
      </c>
      <c r="E135" s="7" t="str">
        <f>IF(VLOOKUP(E$2,行为概览!$D$3:$K$33,8,0)="","",VLOOKUP(E$2,行为概览!$D$3:$K$33,8,0)*玩法行为规划!D135)</f>
        <v/>
      </c>
      <c r="F135" s="7">
        <f>IF(VLOOKUP(F$2,行为概览!$D$3:$K$33,8,0)="","",VLOOKUP(F$2,行为概览!$D$3:$K$33,8,0)*玩法行为规划!E135)</f>
        <v>1.5</v>
      </c>
      <c r="G135" s="7">
        <f>IF(VLOOKUP(G$2,行为概览!$D$3:$K$33,8,0)="","",VLOOKUP(G$2,行为概览!$D$3:$K$33,8,0)*玩法行为规划!F135)</f>
        <v>0.66659999999999997</v>
      </c>
      <c r="H135" s="7" t="str">
        <f>IF(VLOOKUP(H$2,行为概览!$D$3:$K$33,8,0)="","",VLOOKUP(H$2,行为概览!$D$3:$K$33,8,0)*玩法行为规划!G135)</f>
        <v/>
      </c>
      <c r="I135" s="7" t="str">
        <f>IF(VLOOKUP(I$2,行为概览!$D$3:$K$33,8,0)="","",VLOOKUP(I$2,行为概览!$D$3:$K$33,8,0)*玩法行为规划!H135)</f>
        <v/>
      </c>
      <c r="J135" s="7" t="str">
        <f>IF(VLOOKUP(J$2,行为概览!$D$3:$K$33,8,0)="","",VLOOKUP(J$2,行为概览!$D$3:$K$33,8,0)*玩法行为规划!I135)</f>
        <v/>
      </c>
      <c r="K135" s="7">
        <f>IF(VLOOKUP(K$2,行为概览!$D$3:$K$33,8,0)="","",VLOOKUP(K$2,行为概览!$D$3:$K$33,8,0)*玩法行为规划!J135)</f>
        <v>1</v>
      </c>
      <c r="L135" s="7" t="str">
        <f>IF(VLOOKUP(L$2,行为概览!$D$3:$K$33,8,0)="","",VLOOKUP(L$2,行为概览!$D$3:$K$33,8,0)*玩法行为规划!K135)</f>
        <v/>
      </c>
      <c r="M135" s="7" t="str">
        <f>IF(VLOOKUP(M$2,行为概览!$D$3:$K$33,8,0)="","",VLOOKUP(M$2,行为概览!$D$3:$K$33,8,0)*玩法行为规划!L135)</f>
        <v/>
      </c>
      <c r="N135" s="7">
        <f>IF(VLOOKUP(N$2,行为概览!$D$3:$K$33,8,0)="","",VLOOKUP(N$2,行为概览!$D$3:$K$33,8,0)*玩法行为规划!M135)</f>
        <v>12</v>
      </c>
      <c r="O135" s="7" t="str">
        <f>IF(VLOOKUP(O$2,行为概览!$D$3:$K$33,8,0)="","",VLOOKUP(O$2,行为概览!$D$3:$K$33,8,0)*玩法行为规划!N135)</f>
        <v/>
      </c>
      <c r="P135" s="7" t="str">
        <f>IF(VLOOKUP(P$2,行为概览!$D$3:$K$33,8,0)="","",VLOOKUP(P$2,行为概览!$D$3:$K$33,8,0)*玩法行为规划!O135)</f>
        <v/>
      </c>
      <c r="Q135" s="7">
        <f>IF(VLOOKUP(Q$2,行为概览!$D$3:$K$33,8,0)="","",VLOOKUP(Q$2,行为概览!$D$3:$K$33,8,0)*玩法行为规划!P135)</f>
        <v>5.2</v>
      </c>
      <c r="R135" s="7" t="str">
        <f>IF(VLOOKUP(R$2,行为概览!$D$3:$K$33,8,0)="","",VLOOKUP(R$2,行为概览!$D$3:$K$33,8,0)*玩法行为规划!Q135)</f>
        <v/>
      </c>
      <c r="S135" s="7">
        <f>IF(VLOOKUP(S$2,行为概览!$D$3:$K$33,8,0)="","",VLOOKUP(S$2,行为概览!$D$3:$K$33,8,0)*玩法行为规划!R135)</f>
        <v>0.49995000000000001</v>
      </c>
      <c r="T135" s="7">
        <f>IF(VLOOKUP(T$2,行为概览!$D$3:$K$33,8,0)="","",VLOOKUP(T$2,行为概览!$D$3:$K$33,8,0)*玩法行为规划!S135)</f>
        <v>0</v>
      </c>
      <c r="U135" s="7">
        <f>IF(VLOOKUP(U$2,行为概览!$D$3:$K$33,8,0)="","",VLOOKUP(U$2,行为概览!$D$3:$K$33,8,0)*玩法行为规划!T135)</f>
        <v>0.49995000000000001</v>
      </c>
      <c r="V135" s="7">
        <f>IF(VLOOKUP(V$2,行为概览!$D$3:$K$33,8,0)="","",VLOOKUP(V$2,行为概览!$D$3:$K$33,8,0)*玩法行为规划!U135)</f>
        <v>0.33339999999999997</v>
      </c>
      <c r="W135" s="7" t="str">
        <f>IF(VLOOKUP(W$2,行为概览!$D$3:$K$33,8,0)="","",VLOOKUP(W$2,行为概览!$D$3:$K$33,8,0)*玩法行为规划!V135)</f>
        <v/>
      </c>
      <c r="X135" s="7" t="str">
        <f>IF(VLOOKUP(X$2,行为概览!$D$3:$K$33,8,0)="","",VLOOKUP(X$2,行为概览!$D$3:$K$33,8,0)*玩法行为规划!W135)</f>
        <v/>
      </c>
      <c r="Y135" s="7">
        <f>IF(VLOOKUP(Y$2,行为概览!$D$3:$K$33,8,0)="","",VLOOKUP(Y$2,行为概览!$D$3:$K$33,8,0)*玩法行为规划!X135)</f>
        <v>0.25</v>
      </c>
      <c r="Z135" s="7" t="str">
        <f>IF(VLOOKUP(Z$2,行为概览!$D$3:$K$33,8,0)="","",VLOOKUP(Z$2,行为概览!$D$3:$K$33,8,0)*玩法行为规划!Y135)</f>
        <v/>
      </c>
      <c r="AA135" s="7">
        <f>IF(VLOOKUP(AA$2,行为概览!$D$3:$K$33,8,0)="","",VLOOKUP(AA$2,行为概览!$D$3:$K$33,8,0)*玩法行为规划!Z135)</f>
        <v>8.3349999999999994E-2</v>
      </c>
      <c r="AB135" s="7" t="str">
        <f>IF(VLOOKUP(AB$2,行为概览!$D$3:$K$33,8,0)="","",VLOOKUP(AB$2,行为概览!$D$3:$K$33,8,0)*玩法行为规划!AA135)</f>
        <v/>
      </c>
      <c r="AC135" s="7" t="str">
        <f>IF(VLOOKUP(AC$2,行为概览!$D$3:$K$33,8,0)="","",VLOOKUP(AC$2,行为概览!$D$3:$K$33,8,0)*玩法行为规划!AB135)</f>
        <v/>
      </c>
      <c r="AD135" s="7" t="str">
        <f>IF(VLOOKUP(AD$2,行为概览!$D$3:$K$33,8,0)="","",VLOOKUP(AD$2,行为概览!$D$3:$K$33,8,0)*玩法行为规划!AC135)</f>
        <v/>
      </c>
      <c r="AE135" s="7" t="str">
        <f>IF(VLOOKUP(AE$2,行为概览!$D$3:$K$33,8,0)="","",VLOOKUP(AE$2,行为概览!$D$3:$K$33,8,0)*玩法行为规划!AD135)</f>
        <v/>
      </c>
      <c r="AF135" s="7">
        <f t="shared" si="23"/>
        <v>24.133149999999997</v>
      </c>
      <c r="AG135" s="7">
        <f t="shared" si="24"/>
        <v>16048544</v>
      </c>
      <c r="AH135" s="7">
        <f t="shared" si="27"/>
        <v>952220</v>
      </c>
      <c r="AI135" s="10" t="str">
        <f t="shared" si="18"/>
        <v/>
      </c>
      <c r="AJ135" s="73">
        <f t="shared" si="28"/>
        <v>884470</v>
      </c>
      <c r="AK135" s="77">
        <f>ROUND(AG135*升级节奏!G135/AJ140,2)</f>
        <v>424.73</v>
      </c>
      <c r="AL135" s="77">
        <f>ROUND(AG135*升级节奏!G135/SUM($AJ$3:AJ140),2)</f>
        <v>9.1300000000000008</v>
      </c>
      <c r="AM135" s="74">
        <f>ROUND(AG135*升级节奏!G135,0)</f>
        <v>404440695</v>
      </c>
      <c r="AN135" s="77">
        <f>ROUND(SUM($AM$3:AM135)/SUM($AJ$3:AJ140),2)</f>
        <v>294.16000000000003</v>
      </c>
      <c r="AO135" s="7">
        <f t="shared" si="25"/>
        <v>11083</v>
      </c>
      <c r="AP135" s="7">
        <f t="shared" si="26"/>
        <v>80</v>
      </c>
    </row>
    <row r="136" spans="1:42">
      <c r="A136" s="32">
        <v>134</v>
      </c>
      <c r="B136" s="87">
        <f>升级节奏!D136</f>
        <v>670000</v>
      </c>
      <c r="C136" s="7">
        <f>IF(VLOOKUP(C$2,行为概览!$D$3:$K$33,8,0)="","",VLOOKUP(C$2,行为概览!$D$3:$K$33,8,0)*玩法行为规划!B136)</f>
        <v>0.99990000000000001</v>
      </c>
      <c r="D136" s="7">
        <f>IF(VLOOKUP(D$2,行为概览!$D$3:$K$33,8,0)="","",VLOOKUP(D$2,行为概览!$D$3:$K$33,8,0)*玩法行为规划!C136)</f>
        <v>1.1000000000000001</v>
      </c>
      <c r="E136" s="7" t="str">
        <f>IF(VLOOKUP(E$2,行为概览!$D$3:$K$33,8,0)="","",VLOOKUP(E$2,行为概览!$D$3:$K$33,8,0)*玩法行为规划!D136)</f>
        <v/>
      </c>
      <c r="F136" s="7">
        <f>IF(VLOOKUP(F$2,行为概览!$D$3:$K$33,8,0)="","",VLOOKUP(F$2,行为概览!$D$3:$K$33,8,0)*玩法行为规划!E136)</f>
        <v>1.5</v>
      </c>
      <c r="G136" s="7">
        <f>IF(VLOOKUP(G$2,行为概览!$D$3:$K$33,8,0)="","",VLOOKUP(G$2,行为概览!$D$3:$K$33,8,0)*玩法行为规划!F136)</f>
        <v>0.66659999999999997</v>
      </c>
      <c r="H136" s="7" t="str">
        <f>IF(VLOOKUP(H$2,行为概览!$D$3:$K$33,8,0)="","",VLOOKUP(H$2,行为概览!$D$3:$K$33,8,0)*玩法行为规划!G136)</f>
        <v/>
      </c>
      <c r="I136" s="7" t="str">
        <f>IF(VLOOKUP(I$2,行为概览!$D$3:$K$33,8,0)="","",VLOOKUP(I$2,行为概览!$D$3:$K$33,8,0)*玩法行为规划!H136)</f>
        <v/>
      </c>
      <c r="J136" s="7" t="str">
        <f>IF(VLOOKUP(J$2,行为概览!$D$3:$K$33,8,0)="","",VLOOKUP(J$2,行为概览!$D$3:$K$33,8,0)*玩法行为规划!I136)</f>
        <v/>
      </c>
      <c r="K136" s="7">
        <f>IF(VLOOKUP(K$2,行为概览!$D$3:$K$33,8,0)="","",VLOOKUP(K$2,行为概览!$D$3:$K$33,8,0)*玩法行为规划!J136)</f>
        <v>1</v>
      </c>
      <c r="L136" s="7" t="str">
        <f>IF(VLOOKUP(L$2,行为概览!$D$3:$K$33,8,0)="","",VLOOKUP(L$2,行为概览!$D$3:$K$33,8,0)*玩法行为规划!K136)</f>
        <v/>
      </c>
      <c r="M136" s="7" t="str">
        <f>IF(VLOOKUP(M$2,行为概览!$D$3:$K$33,8,0)="","",VLOOKUP(M$2,行为概览!$D$3:$K$33,8,0)*玩法行为规划!L136)</f>
        <v/>
      </c>
      <c r="N136" s="7">
        <f>IF(VLOOKUP(N$2,行为概览!$D$3:$K$33,8,0)="","",VLOOKUP(N$2,行为概览!$D$3:$K$33,8,0)*玩法行为规划!M136)</f>
        <v>12</v>
      </c>
      <c r="O136" s="7" t="str">
        <f>IF(VLOOKUP(O$2,行为概览!$D$3:$K$33,8,0)="","",VLOOKUP(O$2,行为概览!$D$3:$K$33,8,0)*玩法行为规划!N136)</f>
        <v/>
      </c>
      <c r="P136" s="7" t="str">
        <f>IF(VLOOKUP(P$2,行为概览!$D$3:$K$33,8,0)="","",VLOOKUP(P$2,行为概览!$D$3:$K$33,8,0)*玩法行为规划!O136)</f>
        <v/>
      </c>
      <c r="Q136" s="7">
        <f>IF(VLOOKUP(Q$2,行为概览!$D$3:$K$33,8,0)="","",VLOOKUP(Q$2,行为概览!$D$3:$K$33,8,0)*玩法行为规划!P136)</f>
        <v>5.2</v>
      </c>
      <c r="R136" s="7" t="str">
        <f>IF(VLOOKUP(R$2,行为概览!$D$3:$K$33,8,0)="","",VLOOKUP(R$2,行为概览!$D$3:$K$33,8,0)*玩法行为规划!Q136)</f>
        <v/>
      </c>
      <c r="S136" s="7">
        <f>IF(VLOOKUP(S$2,行为概览!$D$3:$K$33,8,0)="","",VLOOKUP(S$2,行为概览!$D$3:$K$33,8,0)*玩法行为规划!R136)</f>
        <v>0.49995000000000001</v>
      </c>
      <c r="T136" s="7">
        <f>IF(VLOOKUP(T$2,行为概览!$D$3:$K$33,8,0)="","",VLOOKUP(T$2,行为概览!$D$3:$K$33,8,0)*玩法行为规划!S136)</f>
        <v>0</v>
      </c>
      <c r="U136" s="7">
        <f>IF(VLOOKUP(U$2,行为概览!$D$3:$K$33,8,0)="","",VLOOKUP(U$2,行为概览!$D$3:$K$33,8,0)*玩法行为规划!T136)</f>
        <v>0.49995000000000001</v>
      </c>
      <c r="V136" s="7">
        <f>IF(VLOOKUP(V$2,行为概览!$D$3:$K$33,8,0)="","",VLOOKUP(V$2,行为概览!$D$3:$K$33,8,0)*玩法行为规划!U136)</f>
        <v>0.33339999999999997</v>
      </c>
      <c r="W136" s="7" t="str">
        <f>IF(VLOOKUP(W$2,行为概览!$D$3:$K$33,8,0)="","",VLOOKUP(W$2,行为概览!$D$3:$K$33,8,0)*玩法行为规划!V136)</f>
        <v/>
      </c>
      <c r="X136" s="7" t="str">
        <f>IF(VLOOKUP(X$2,行为概览!$D$3:$K$33,8,0)="","",VLOOKUP(X$2,行为概览!$D$3:$K$33,8,0)*玩法行为规划!W136)</f>
        <v/>
      </c>
      <c r="Y136" s="7">
        <f>IF(VLOOKUP(Y$2,行为概览!$D$3:$K$33,8,0)="","",VLOOKUP(Y$2,行为概览!$D$3:$K$33,8,0)*玩法行为规划!X136)</f>
        <v>0.25</v>
      </c>
      <c r="Z136" s="7" t="str">
        <f>IF(VLOOKUP(Z$2,行为概览!$D$3:$K$33,8,0)="","",VLOOKUP(Z$2,行为概览!$D$3:$K$33,8,0)*玩法行为规划!Y136)</f>
        <v/>
      </c>
      <c r="AA136" s="7">
        <f>IF(VLOOKUP(AA$2,行为概览!$D$3:$K$33,8,0)="","",VLOOKUP(AA$2,行为概览!$D$3:$K$33,8,0)*玩法行为规划!Z136)</f>
        <v>8.3349999999999994E-2</v>
      </c>
      <c r="AB136" s="7" t="str">
        <f>IF(VLOOKUP(AB$2,行为概览!$D$3:$K$33,8,0)="","",VLOOKUP(AB$2,行为概览!$D$3:$K$33,8,0)*玩法行为规划!AA136)</f>
        <v/>
      </c>
      <c r="AC136" s="7" t="str">
        <f>IF(VLOOKUP(AC$2,行为概览!$D$3:$K$33,8,0)="","",VLOOKUP(AC$2,行为概览!$D$3:$K$33,8,0)*玩法行为规划!AB136)</f>
        <v/>
      </c>
      <c r="AD136" s="7" t="str">
        <f>IF(VLOOKUP(AD$2,行为概览!$D$3:$K$33,8,0)="","",VLOOKUP(AD$2,行为概览!$D$3:$K$33,8,0)*玩法行为规划!AC136)</f>
        <v/>
      </c>
      <c r="AE136" s="7" t="str">
        <f>IF(VLOOKUP(AE$2,行为概览!$D$3:$K$33,8,0)="","",VLOOKUP(AE$2,行为概览!$D$3:$K$33,8,0)*玩法行为规划!AD136)</f>
        <v/>
      </c>
      <c r="AF136" s="7">
        <f t="shared" si="23"/>
        <v>24.133149999999997</v>
      </c>
      <c r="AG136" s="7">
        <f t="shared" si="24"/>
        <v>16169210</v>
      </c>
      <c r="AH136" s="7">
        <f t="shared" si="27"/>
        <v>966070</v>
      </c>
      <c r="AI136" s="10" t="str">
        <f t="shared" si="18"/>
        <v/>
      </c>
      <c r="AJ136" s="73">
        <f t="shared" si="28"/>
        <v>897820</v>
      </c>
      <c r="AK136" s="77">
        <f>ROUND(AG136*升级节奏!G136/AJ141,2)</f>
        <v>428.12</v>
      </c>
      <c r="AL136" s="77">
        <f>ROUND(AG136*升级节奏!G136/SUM($AJ$3:AJ141),2)</f>
        <v>9.14</v>
      </c>
      <c r="AM136" s="74">
        <f>ROUND(AG136*升级节奏!G136,0)</f>
        <v>413597612</v>
      </c>
      <c r="AN136" s="77">
        <f>ROUND(SUM($AM$3:AM136)/SUM($AJ$3:AJ141),2)</f>
        <v>297.02</v>
      </c>
      <c r="AO136" s="7">
        <f t="shared" si="25"/>
        <v>11167</v>
      </c>
      <c r="AP136" s="7">
        <f t="shared" si="26"/>
        <v>80</v>
      </c>
    </row>
    <row r="137" spans="1:42">
      <c r="A137" s="32">
        <v>135</v>
      </c>
      <c r="B137" s="87">
        <f>升级节奏!D137</f>
        <v>675000</v>
      </c>
      <c r="C137" s="7">
        <f>IF(VLOOKUP(C$2,行为概览!$D$3:$K$33,8,0)="","",VLOOKUP(C$2,行为概览!$D$3:$K$33,8,0)*玩法行为规划!B137)</f>
        <v>0.99990000000000001</v>
      </c>
      <c r="D137" s="7">
        <f>IF(VLOOKUP(D$2,行为概览!$D$3:$K$33,8,0)="","",VLOOKUP(D$2,行为概览!$D$3:$K$33,8,0)*玩法行为规划!C137)</f>
        <v>1.1000000000000001</v>
      </c>
      <c r="E137" s="7" t="str">
        <f>IF(VLOOKUP(E$2,行为概览!$D$3:$K$33,8,0)="","",VLOOKUP(E$2,行为概览!$D$3:$K$33,8,0)*玩法行为规划!D137)</f>
        <v/>
      </c>
      <c r="F137" s="7">
        <f>IF(VLOOKUP(F$2,行为概览!$D$3:$K$33,8,0)="","",VLOOKUP(F$2,行为概览!$D$3:$K$33,8,0)*玩法行为规划!E137)</f>
        <v>1.5</v>
      </c>
      <c r="G137" s="7">
        <f>IF(VLOOKUP(G$2,行为概览!$D$3:$K$33,8,0)="","",VLOOKUP(G$2,行为概览!$D$3:$K$33,8,0)*玩法行为规划!F137)</f>
        <v>0.66659999999999997</v>
      </c>
      <c r="H137" s="7" t="str">
        <f>IF(VLOOKUP(H$2,行为概览!$D$3:$K$33,8,0)="","",VLOOKUP(H$2,行为概览!$D$3:$K$33,8,0)*玩法行为规划!G137)</f>
        <v/>
      </c>
      <c r="I137" s="7" t="str">
        <f>IF(VLOOKUP(I$2,行为概览!$D$3:$K$33,8,0)="","",VLOOKUP(I$2,行为概览!$D$3:$K$33,8,0)*玩法行为规划!H137)</f>
        <v/>
      </c>
      <c r="J137" s="7" t="str">
        <f>IF(VLOOKUP(J$2,行为概览!$D$3:$K$33,8,0)="","",VLOOKUP(J$2,行为概览!$D$3:$K$33,8,0)*玩法行为规划!I137)</f>
        <v/>
      </c>
      <c r="K137" s="7">
        <f>IF(VLOOKUP(K$2,行为概览!$D$3:$K$33,8,0)="","",VLOOKUP(K$2,行为概览!$D$3:$K$33,8,0)*玩法行为规划!J137)</f>
        <v>1</v>
      </c>
      <c r="L137" s="7" t="str">
        <f>IF(VLOOKUP(L$2,行为概览!$D$3:$K$33,8,0)="","",VLOOKUP(L$2,行为概览!$D$3:$K$33,8,0)*玩法行为规划!K137)</f>
        <v/>
      </c>
      <c r="M137" s="7" t="str">
        <f>IF(VLOOKUP(M$2,行为概览!$D$3:$K$33,8,0)="","",VLOOKUP(M$2,行为概览!$D$3:$K$33,8,0)*玩法行为规划!L137)</f>
        <v/>
      </c>
      <c r="N137" s="7">
        <f>IF(VLOOKUP(N$2,行为概览!$D$3:$K$33,8,0)="","",VLOOKUP(N$2,行为概览!$D$3:$K$33,8,0)*玩法行为规划!M137)</f>
        <v>12</v>
      </c>
      <c r="O137" s="7" t="str">
        <f>IF(VLOOKUP(O$2,行为概览!$D$3:$K$33,8,0)="","",VLOOKUP(O$2,行为概览!$D$3:$K$33,8,0)*玩法行为规划!N137)</f>
        <v/>
      </c>
      <c r="P137" s="7" t="str">
        <f>IF(VLOOKUP(P$2,行为概览!$D$3:$K$33,8,0)="","",VLOOKUP(P$2,行为概览!$D$3:$K$33,8,0)*玩法行为规划!O137)</f>
        <v/>
      </c>
      <c r="Q137" s="7">
        <f>IF(VLOOKUP(Q$2,行为概览!$D$3:$K$33,8,0)="","",VLOOKUP(Q$2,行为概览!$D$3:$K$33,8,0)*玩法行为规划!P137)</f>
        <v>5.2</v>
      </c>
      <c r="R137" s="7" t="str">
        <f>IF(VLOOKUP(R$2,行为概览!$D$3:$K$33,8,0)="","",VLOOKUP(R$2,行为概览!$D$3:$K$33,8,0)*玩法行为规划!Q137)</f>
        <v/>
      </c>
      <c r="S137" s="7">
        <f>IF(VLOOKUP(S$2,行为概览!$D$3:$K$33,8,0)="","",VLOOKUP(S$2,行为概览!$D$3:$K$33,8,0)*玩法行为规划!R137)</f>
        <v>0.49995000000000001</v>
      </c>
      <c r="T137" s="7">
        <f>IF(VLOOKUP(T$2,行为概览!$D$3:$K$33,8,0)="","",VLOOKUP(T$2,行为概览!$D$3:$K$33,8,0)*玩法行为规划!S137)</f>
        <v>0</v>
      </c>
      <c r="U137" s="7">
        <f>IF(VLOOKUP(U$2,行为概览!$D$3:$K$33,8,0)="","",VLOOKUP(U$2,行为概览!$D$3:$K$33,8,0)*玩法行为规划!T137)</f>
        <v>0.49995000000000001</v>
      </c>
      <c r="V137" s="7">
        <f>IF(VLOOKUP(V$2,行为概览!$D$3:$K$33,8,0)="","",VLOOKUP(V$2,行为概览!$D$3:$K$33,8,0)*玩法行为规划!U137)</f>
        <v>0.33339999999999997</v>
      </c>
      <c r="W137" s="7" t="str">
        <f>IF(VLOOKUP(W$2,行为概览!$D$3:$K$33,8,0)="","",VLOOKUP(W$2,行为概览!$D$3:$K$33,8,0)*玩法行为规划!V137)</f>
        <v/>
      </c>
      <c r="X137" s="7" t="str">
        <f>IF(VLOOKUP(X$2,行为概览!$D$3:$K$33,8,0)="","",VLOOKUP(X$2,行为概览!$D$3:$K$33,8,0)*玩法行为规划!W137)</f>
        <v/>
      </c>
      <c r="Y137" s="7">
        <f>IF(VLOOKUP(Y$2,行为概览!$D$3:$K$33,8,0)="","",VLOOKUP(Y$2,行为概览!$D$3:$K$33,8,0)*玩法行为规划!X137)</f>
        <v>0.25</v>
      </c>
      <c r="Z137" s="7" t="str">
        <f>IF(VLOOKUP(Z$2,行为概览!$D$3:$K$33,8,0)="","",VLOOKUP(Z$2,行为概览!$D$3:$K$33,8,0)*玩法行为规划!Y137)</f>
        <v/>
      </c>
      <c r="AA137" s="7">
        <f>IF(VLOOKUP(AA$2,行为概览!$D$3:$K$33,8,0)="","",VLOOKUP(AA$2,行为概览!$D$3:$K$33,8,0)*玩法行为规划!Z137)</f>
        <v>8.3349999999999994E-2</v>
      </c>
      <c r="AB137" s="7" t="str">
        <f>IF(VLOOKUP(AB$2,行为概览!$D$3:$K$33,8,0)="","",VLOOKUP(AB$2,行为概览!$D$3:$K$33,8,0)*玩法行为规划!AA137)</f>
        <v/>
      </c>
      <c r="AC137" s="7" t="str">
        <f>IF(VLOOKUP(AC$2,行为概览!$D$3:$K$33,8,0)="","",VLOOKUP(AC$2,行为概览!$D$3:$K$33,8,0)*玩法行为规划!AB137)</f>
        <v/>
      </c>
      <c r="AD137" s="7" t="str">
        <f>IF(VLOOKUP(AD$2,行为概览!$D$3:$K$33,8,0)="","",VLOOKUP(AD$2,行为概览!$D$3:$K$33,8,0)*玩法行为规划!AC137)</f>
        <v/>
      </c>
      <c r="AE137" s="7" t="str">
        <f>IF(VLOOKUP(AE$2,行为概览!$D$3:$K$33,8,0)="","",VLOOKUP(AE$2,行为概览!$D$3:$K$33,8,0)*玩法行为规划!AD137)</f>
        <v/>
      </c>
      <c r="AF137" s="7">
        <f t="shared" si="23"/>
        <v>24.133149999999997</v>
      </c>
      <c r="AG137" s="7">
        <f t="shared" si="24"/>
        <v>16289876</v>
      </c>
      <c r="AH137" s="7">
        <f t="shared" si="27"/>
        <v>980020</v>
      </c>
      <c r="AI137" s="10" t="str">
        <f t="shared" si="18"/>
        <v/>
      </c>
      <c r="AJ137" s="73">
        <f t="shared" si="28"/>
        <v>911270</v>
      </c>
      <c r="AK137" s="77">
        <f>ROUND(AG137*升级节奏!G137/AJ142,2)</f>
        <v>431.51</v>
      </c>
      <c r="AL137" s="77">
        <f>ROUND(AG137*升级节奏!G137/SUM($AJ$3:AJ142),2)</f>
        <v>9.15</v>
      </c>
      <c r="AM137" s="74">
        <f>ROUND(AG137*升级节奏!G137,0)</f>
        <v>422891968</v>
      </c>
      <c r="AN137" s="77">
        <f>ROUND(SUM($AM$3:AM137)/SUM($AJ$3:AJ142),2)</f>
        <v>299.87</v>
      </c>
      <c r="AO137" s="7">
        <f t="shared" si="25"/>
        <v>11250</v>
      </c>
      <c r="AP137" s="7">
        <f t="shared" si="26"/>
        <v>81</v>
      </c>
    </row>
    <row r="138" spans="1:42">
      <c r="A138" s="32">
        <v>136</v>
      </c>
      <c r="B138" s="87">
        <f>升级节奏!D138</f>
        <v>680000</v>
      </c>
      <c r="C138" s="7">
        <f>IF(VLOOKUP(C$2,行为概览!$D$3:$K$33,8,0)="","",VLOOKUP(C$2,行为概览!$D$3:$K$33,8,0)*玩法行为规划!B138)</f>
        <v>0.99990000000000001</v>
      </c>
      <c r="D138" s="7">
        <f>IF(VLOOKUP(D$2,行为概览!$D$3:$K$33,8,0)="","",VLOOKUP(D$2,行为概览!$D$3:$K$33,8,0)*玩法行为规划!C138)</f>
        <v>1.1000000000000001</v>
      </c>
      <c r="E138" s="7" t="str">
        <f>IF(VLOOKUP(E$2,行为概览!$D$3:$K$33,8,0)="","",VLOOKUP(E$2,行为概览!$D$3:$K$33,8,0)*玩法行为规划!D138)</f>
        <v/>
      </c>
      <c r="F138" s="7">
        <f>IF(VLOOKUP(F$2,行为概览!$D$3:$K$33,8,0)="","",VLOOKUP(F$2,行为概览!$D$3:$K$33,8,0)*玩法行为规划!E138)</f>
        <v>1.5</v>
      </c>
      <c r="G138" s="7">
        <f>IF(VLOOKUP(G$2,行为概览!$D$3:$K$33,8,0)="","",VLOOKUP(G$2,行为概览!$D$3:$K$33,8,0)*玩法行为规划!F138)</f>
        <v>0.66659999999999997</v>
      </c>
      <c r="H138" s="7" t="str">
        <f>IF(VLOOKUP(H$2,行为概览!$D$3:$K$33,8,0)="","",VLOOKUP(H$2,行为概览!$D$3:$K$33,8,0)*玩法行为规划!G138)</f>
        <v/>
      </c>
      <c r="I138" s="7" t="str">
        <f>IF(VLOOKUP(I$2,行为概览!$D$3:$K$33,8,0)="","",VLOOKUP(I$2,行为概览!$D$3:$K$33,8,0)*玩法行为规划!H138)</f>
        <v/>
      </c>
      <c r="J138" s="7" t="str">
        <f>IF(VLOOKUP(J$2,行为概览!$D$3:$K$33,8,0)="","",VLOOKUP(J$2,行为概览!$D$3:$K$33,8,0)*玩法行为规划!I138)</f>
        <v/>
      </c>
      <c r="K138" s="7">
        <f>IF(VLOOKUP(K$2,行为概览!$D$3:$K$33,8,0)="","",VLOOKUP(K$2,行为概览!$D$3:$K$33,8,0)*玩法行为规划!J138)</f>
        <v>1</v>
      </c>
      <c r="L138" s="7" t="str">
        <f>IF(VLOOKUP(L$2,行为概览!$D$3:$K$33,8,0)="","",VLOOKUP(L$2,行为概览!$D$3:$K$33,8,0)*玩法行为规划!K138)</f>
        <v/>
      </c>
      <c r="M138" s="7" t="str">
        <f>IF(VLOOKUP(M$2,行为概览!$D$3:$K$33,8,0)="","",VLOOKUP(M$2,行为概览!$D$3:$K$33,8,0)*玩法行为规划!L138)</f>
        <v/>
      </c>
      <c r="N138" s="7">
        <f>IF(VLOOKUP(N$2,行为概览!$D$3:$K$33,8,0)="","",VLOOKUP(N$2,行为概览!$D$3:$K$33,8,0)*玩法行为规划!M138)</f>
        <v>12</v>
      </c>
      <c r="O138" s="7" t="str">
        <f>IF(VLOOKUP(O$2,行为概览!$D$3:$K$33,8,0)="","",VLOOKUP(O$2,行为概览!$D$3:$K$33,8,0)*玩法行为规划!N138)</f>
        <v/>
      </c>
      <c r="P138" s="7" t="str">
        <f>IF(VLOOKUP(P$2,行为概览!$D$3:$K$33,8,0)="","",VLOOKUP(P$2,行为概览!$D$3:$K$33,8,0)*玩法行为规划!O138)</f>
        <v/>
      </c>
      <c r="Q138" s="7">
        <f>IF(VLOOKUP(Q$2,行为概览!$D$3:$K$33,8,0)="","",VLOOKUP(Q$2,行为概览!$D$3:$K$33,8,0)*玩法行为规划!P138)</f>
        <v>5.2</v>
      </c>
      <c r="R138" s="7" t="str">
        <f>IF(VLOOKUP(R$2,行为概览!$D$3:$K$33,8,0)="","",VLOOKUP(R$2,行为概览!$D$3:$K$33,8,0)*玩法行为规划!Q138)</f>
        <v/>
      </c>
      <c r="S138" s="7">
        <f>IF(VLOOKUP(S$2,行为概览!$D$3:$K$33,8,0)="","",VLOOKUP(S$2,行为概览!$D$3:$K$33,8,0)*玩法行为规划!R138)</f>
        <v>0.49995000000000001</v>
      </c>
      <c r="T138" s="7">
        <f>IF(VLOOKUP(T$2,行为概览!$D$3:$K$33,8,0)="","",VLOOKUP(T$2,行为概览!$D$3:$K$33,8,0)*玩法行为规划!S138)</f>
        <v>0</v>
      </c>
      <c r="U138" s="7">
        <f>IF(VLOOKUP(U$2,行为概览!$D$3:$K$33,8,0)="","",VLOOKUP(U$2,行为概览!$D$3:$K$33,8,0)*玩法行为规划!T138)</f>
        <v>0.49995000000000001</v>
      </c>
      <c r="V138" s="7">
        <f>IF(VLOOKUP(V$2,行为概览!$D$3:$K$33,8,0)="","",VLOOKUP(V$2,行为概览!$D$3:$K$33,8,0)*玩法行为规划!U138)</f>
        <v>0.33339999999999997</v>
      </c>
      <c r="W138" s="7" t="str">
        <f>IF(VLOOKUP(W$2,行为概览!$D$3:$K$33,8,0)="","",VLOOKUP(W$2,行为概览!$D$3:$K$33,8,0)*玩法行为规划!V138)</f>
        <v/>
      </c>
      <c r="X138" s="7" t="str">
        <f>IF(VLOOKUP(X$2,行为概览!$D$3:$K$33,8,0)="","",VLOOKUP(X$2,行为概览!$D$3:$K$33,8,0)*玩法行为规划!W138)</f>
        <v/>
      </c>
      <c r="Y138" s="7">
        <f>IF(VLOOKUP(Y$2,行为概览!$D$3:$K$33,8,0)="","",VLOOKUP(Y$2,行为概览!$D$3:$K$33,8,0)*玩法行为规划!X138)</f>
        <v>0.25</v>
      </c>
      <c r="Z138" s="7" t="str">
        <f>IF(VLOOKUP(Z$2,行为概览!$D$3:$K$33,8,0)="","",VLOOKUP(Z$2,行为概览!$D$3:$K$33,8,0)*玩法行为规划!Y138)</f>
        <v/>
      </c>
      <c r="AA138" s="7">
        <f>IF(VLOOKUP(AA$2,行为概览!$D$3:$K$33,8,0)="","",VLOOKUP(AA$2,行为概览!$D$3:$K$33,8,0)*玩法行为规划!Z138)</f>
        <v>8.3349999999999994E-2</v>
      </c>
      <c r="AB138" s="7" t="str">
        <f>IF(VLOOKUP(AB$2,行为概览!$D$3:$K$33,8,0)="","",VLOOKUP(AB$2,行为概览!$D$3:$K$33,8,0)*玩法行为规划!AA138)</f>
        <v/>
      </c>
      <c r="AC138" s="7" t="str">
        <f>IF(VLOOKUP(AC$2,行为概览!$D$3:$K$33,8,0)="","",VLOOKUP(AC$2,行为概览!$D$3:$K$33,8,0)*玩法行为规划!AB138)</f>
        <v/>
      </c>
      <c r="AD138" s="7" t="str">
        <f>IF(VLOOKUP(AD$2,行为概览!$D$3:$K$33,8,0)="","",VLOOKUP(AD$2,行为概览!$D$3:$K$33,8,0)*玩法行为规划!AC138)</f>
        <v/>
      </c>
      <c r="AE138" s="7" t="str">
        <f>IF(VLOOKUP(AE$2,行为概览!$D$3:$K$33,8,0)="","",VLOOKUP(AE$2,行为概览!$D$3:$K$33,8,0)*玩法行为规划!AD138)</f>
        <v/>
      </c>
      <c r="AF138" s="7">
        <f t="shared" si="23"/>
        <v>24.133149999999997</v>
      </c>
      <c r="AG138" s="7">
        <f t="shared" si="24"/>
        <v>16410542</v>
      </c>
      <c r="AH138" s="7">
        <f t="shared" si="27"/>
        <v>994070</v>
      </c>
      <c r="AI138" s="10" t="str">
        <f t="shared" si="18"/>
        <v/>
      </c>
      <c r="AJ138" s="73">
        <f t="shared" si="28"/>
        <v>924820</v>
      </c>
      <c r="AK138" s="77">
        <f>ROUND(AG138*升级节奏!G138/AJ143,2)</f>
        <v>434.9</v>
      </c>
      <c r="AL138" s="77">
        <f>ROUND(AG138*升级节奏!G138/SUM($AJ$3:AJ143),2)</f>
        <v>9.16</v>
      </c>
      <c r="AM138" s="74">
        <f>ROUND(AG138*升级节奏!G138,0)</f>
        <v>432324789</v>
      </c>
      <c r="AN138" s="77">
        <f>ROUND(SUM($AM$3:AM138)/SUM($AJ$3:AJ143),2)</f>
        <v>302.70999999999998</v>
      </c>
      <c r="AO138" s="7">
        <f t="shared" si="25"/>
        <v>11333</v>
      </c>
      <c r="AP138" s="7">
        <f t="shared" si="26"/>
        <v>82</v>
      </c>
    </row>
    <row r="139" spans="1:42">
      <c r="A139" s="32">
        <v>137</v>
      </c>
      <c r="B139" s="87">
        <f>升级节奏!D139</f>
        <v>685000</v>
      </c>
      <c r="C139" s="7">
        <f>IF(VLOOKUP(C$2,行为概览!$D$3:$K$33,8,0)="","",VLOOKUP(C$2,行为概览!$D$3:$K$33,8,0)*玩法行为规划!B139)</f>
        <v>0.99990000000000001</v>
      </c>
      <c r="D139" s="7">
        <f>IF(VLOOKUP(D$2,行为概览!$D$3:$K$33,8,0)="","",VLOOKUP(D$2,行为概览!$D$3:$K$33,8,0)*玩法行为规划!C139)</f>
        <v>1.1000000000000001</v>
      </c>
      <c r="E139" s="7" t="str">
        <f>IF(VLOOKUP(E$2,行为概览!$D$3:$K$33,8,0)="","",VLOOKUP(E$2,行为概览!$D$3:$K$33,8,0)*玩法行为规划!D139)</f>
        <v/>
      </c>
      <c r="F139" s="7">
        <f>IF(VLOOKUP(F$2,行为概览!$D$3:$K$33,8,0)="","",VLOOKUP(F$2,行为概览!$D$3:$K$33,8,0)*玩法行为规划!E139)</f>
        <v>1.5</v>
      </c>
      <c r="G139" s="7">
        <f>IF(VLOOKUP(G$2,行为概览!$D$3:$K$33,8,0)="","",VLOOKUP(G$2,行为概览!$D$3:$K$33,8,0)*玩法行为规划!F139)</f>
        <v>0.66659999999999997</v>
      </c>
      <c r="H139" s="7" t="str">
        <f>IF(VLOOKUP(H$2,行为概览!$D$3:$K$33,8,0)="","",VLOOKUP(H$2,行为概览!$D$3:$K$33,8,0)*玩法行为规划!G139)</f>
        <v/>
      </c>
      <c r="I139" s="7" t="str">
        <f>IF(VLOOKUP(I$2,行为概览!$D$3:$K$33,8,0)="","",VLOOKUP(I$2,行为概览!$D$3:$K$33,8,0)*玩法行为规划!H139)</f>
        <v/>
      </c>
      <c r="J139" s="7" t="str">
        <f>IF(VLOOKUP(J$2,行为概览!$D$3:$K$33,8,0)="","",VLOOKUP(J$2,行为概览!$D$3:$K$33,8,0)*玩法行为规划!I139)</f>
        <v/>
      </c>
      <c r="K139" s="7">
        <f>IF(VLOOKUP(K$2,行为概览!$D$3:$K$33,8,0)="","",VLOOKUP(K$2,行为概览!$D$3:$K$33,8,0)*玩法行为规划!J139)</f>
        <v>1</v>
      </c>
      <c r="L139" s="7" t="str">
        <f>IF(VLOOKUP(L$2,行为概览!$D$3:$K$33,8,0)="","",VLOOKUP(L$2,行为概览!$D$3:$K$33,8,0)*玩法行为规划!K139)</f>
        <v/>
      </c>
      <c r="M139" s="7" t="str">
        <f>IF(VLOOKUP(M$2,行为概览!$D$3:$K$33,8,0)="","",VLOOKUP(M$2,行为概览!$D$3:$K$33,8,0)*玩法行为规划!L139)</f>
        <v/>
      </c>
      <c r="N139" s="7">
        <f>IF(VLOOKUP(N$2,行为概览!$D$3:$K$33,8,0)="","",VLOOKUP(N$2,行为概览!$D$3:$K$33,8,0)*玩法行为规划!M139)</f>
        <v>12</v>
      </c>
      <c r="O139" s="7" t="str">
        <f>IF(VLOOKUP(O$2,行为概览!$D$3:$K$33,8,0)="","",VLOOKUP(O$2,行为概览!$D$3:$K$33,8,0)*玩法行为规划!N139)</f>
        <v/>
      </c>
      <c r="P139" s="7" t="str">
        <f>IF(VLOOKUP(P$2,行为概览!$D$3:$K$33,8,0)="","",VLOOKUP(P$2,行为概览!$D$3:$K$33,8,0)*玩法行为规划!O139)</f>
        <v/>
      </c>
      <c r="Q139" s="7">
        <f>IF(VLOOKUP(Q$2,行为概览!$D$3:$K$33,8,0)="","",VLOOKUP(Q$2,行为概览!$D$3:$K$33,8,0)*玩法行为规划!P139)</f>
        <v>5.2</v>
      </c>
      <c r="R139" s="7" t="str">
        <f>IF(VLOOKUP(R$2,行为概览!$D$3:$K$33,8,0)="","",VLOOKUP(R$2,行为概览!$D$3:$K$33,8,0)*玩法行为规划!Q139)</f>
        <v/>
      </c>
      <c r="S139" s="7">
        <f>IF(VLOOKUP(S$2,行为概览!$D$3:$K$33,8,0)="","",VLOOKUP(S$2,行为概览!$D$3:$K$33,8,0)*玩法行为规划!R139)</f>
        <v>0.49995000000000001</v>
      </c>
      <c r="T139" s="7">
        <f>IF(VLOOKUP(T$2,行为概览!$D$3:$K$33,8,0)="","",VLOOKUP(T$2,行为概览!$D$3:$K$33,8,0)*玩法行为规划!S139)</f>
        <v>0</v>
      </c>
      <c r="U139" s="7">
        <f>IF(VLOOKUP(U$2,行为概览!$D$3:$K$33,8,0)="","",VLOOKUP(U$2,行为概览!$D$3:$K$33,8,0)*玩法行为规划!T139)</f>
        <v>0.49995000000000001</v>
      </c>
      <c r="V139" s="7">
        <f>IF(VLOOKUP(V$2,行为概览!$D$3:$K$33,8,0)="","",VLOOKUP(V$2,行为概览!$D$3:$K$33,8,0)*玩法行为规划!U139)</f>
        <v>0.33339999999999997</v>
      </c>
      <c r="W139" s="7" t="str">
        <f>IF(VLOOKUP(W$2,行为概览!$D$3:$K$33,8,0)="","",VLOOKUP(W$2,行为概览!$D$3:$K$33,8,0)*玩法行为规划!V139)</f>
        <v/>
      </c>
      <c r="X139" s="7" t="str">
        <f>IF(VLOOKUP(X$2,行为概览!$D$3:$K$33,8,0)="","",VLOOKUP(X$2,行为概览!$D$3:$K$33,8,0)*玩法行为规划!W139)</f>
        <v/>
      </c>
      <c r="Y139" s="7">
        <f>IF(VLOOKUP(Y$2,行为概览!$D$3:$K$33,8,0)="","",VLOOKUP(Y$2,行为概览!$D$3:$K$33,8,0)*玩法行为规划!X139)</f>
        <v>0.25</v>
      </c>
      <c r="Z139" s="7" t="str">
        <f>IF(VLOOKUP(Z$2,行为概览!$D$3:$K$33,8,0)="","",VLOOKUP(Z$2,行为概览!$D$3:$K$33,8,0)*玩法行为规划!Y139)</f>
        <v/>
      </c>
      <c r="AA139" s="7">
        <f>IF(VLOOKUP(AA$2,行为概览!$D$3:$K$33,8,0)="","",VLOOKUP(AA$2,行为概览!$D$3:$K$33,8,0)*玩法行为规划!Z139)</f>
        <v>8.3349999999999994E-2</v>
      </c>
      <c r="AB139" s="7" t="str">
        <f>IF(VLOOKUP(AB$2,行为概览!$D$3:$K$33,8,0)="","",VLOOKUP(AB$2,行为概览!$D$3:$K$33,8,0)*玩法行为规划!AA139)</f>
        <v/>
      </c>
      <c r="AC139" s="7" t="str">
        <f>IF(VLOOKUP(AC$2,行为概览!$D$3:$K$33,8,0)="","",VLOOKUP(AC$2,行为概览!$D$3:$K$33,8,0)*玩法行为规划!AB139)</f>
        <v/>
      </c>
      <c r="AD139" s="7" t="str">
        <f>IF(VLOOKUP(AD$2,行为概览!$D$3:$K$33,8,0)="","",VLOOKUP(AD$2,行为概览!$D$3:$K$33,8,0)*玩法行为规划!AC139)</f>
        <v/>
      </c>
      <c r="AE139" s="7" t="str">
        <f>IF(VLOOKUP(AE$2,行为概览!$D$3:$K$33,8,0)="","",VLOOKUP(AE$2,行为概览!$D$3:$K$33,8,0)*玩法行为规划!AD139)</f>
        <v/>
      </c>
      <c r="AF139" s="7">
        <f t="shared" si="23"/>
        <v>24.133149999999997</v>
      </c>
      <c r="AG139" s="7">
        <f t="shared" si="24"/>
        <v>16531207</v>
      </c>
      <c r="AH139" s="7">
        <f t="shared" si="27"/>
        <v>1008220</v>
      </c>
      <c r="AI139" s="10" t="str">
        <f t="shared" si="18"/>
        <v/>
      </c>
      <c r="AJ139" s="73">
        <f t="shared" si="28"/>
        <v>938470</v>
      </c>
      <c r="AK139" s="77">
        <f>ROUND(AG139*升级节奏!G139/AJ144,2)</f>
        <v>438.29</v>
      </c>
      <c r="AL139" s="77">
        <f>ROUND(AG139*升级节奏!G139/SUM($AJ$3:AJ144),2)</f>
        <v>9.16</v>
      </c>
      <c r="AM139" s="74">
        <f>ROUND(AG139*升级节奏!G139,0)</f>
        <v>441897072</v>
      </c>
      <c r="AN139" s="77">
        <f>ROUND(SUM($AM$3:AM139)/SUM($AJ$3:AJ144),2)</f>
        <v>305.55</v>
      </c>
      <c r="AO139" s="7">
        <f t="shared" si="25"/>
        <v>11417</v>
      </c>
      <c r="AP139" s="7">
        <f t="shared" si="26"/>
        <v>82</v>
      </c>
    </row>
    <row r="140" spans="1:42">
      <c r="A140" s="32">
        <v>138</v>
      </c>
      <c r="B140" s="87">
        <f>升级节奏!D140</f>
        <v>690000</v>
      </c>
      <c r="C140" s="7">
        <f>IF(VLOOKUP(C$2,行为概览!$D$3:$K$33,8,0)="","",VLOOKUP(C$2,行为概览!$D$3:$K$33,8,0)*玩法行为规划!B140)</f>
        <v>0.99990000000000001</v>
      </c>
      <c r="D140" s="7">
        <f>IF(VLOOKUP(D$2,行为概览!$D$3:$K$33,8,0)="","",VLOOKUP(D$2,行为概览!$D$3:$K$33,8,0)*玩法行为规划!C140)</f>
        <v>1.1000000000000001</v>
      </c>
      <c r="E140" s="7" t="str">
        <f>IF(VLOOKUP(E$2,行为概览!$D$3:$K$33,8,0)="","",VLOOKUP(E$2,行为概览!$D$3:$K$33,8,0)*玩法行为规划!D140)</f>
        <v/>
      </c>
      <c r="F140" s="7">
        <f>IF(VLOOKUP(F$2,行为概览!$D$3:$K$33,8,0)="","",VLOOKUP(F$2,行为概览!$D$3:$K$33,8,0)*玩法行为规划!E140)</f>
        <v>1.5</v>
      </c>
      <c r="G140" s="7">
        <f>IF(VLOOKUP(G$2,行为概览!$D$3:$K$33,8,0)="","",VLOOKUP(G$2,行为概览!$D$3:$K$33,8,0)*玩法行为规划!F140)</f>
        <v>0.66659999999999997</v>
      </c>
      <c r="H140" s="7" t="str">
        <f>IF(VLOOKUP(H$2,行为概览!$D$3:$K$33,8,0)="","",VLOOKUP(H$2,行为概览!$D$3:$K$33,8,0)*玩法行为规划!G140)</f>
        <v/>
      </c>
      <c r="I140" s="7" t="str">
        <f>IF(VLOOKUP(I$2,行为概览!$D$3:$K$33,8,0)="","",VLOOKUP(I$2,行为概览!$D$3:$K$33,8,0)*玩法行为规划!H140)</f>
        <v/>
      </c>
      <c r="J140" s="7" t="str">
        <f>IF(VLOOKUP(J$2,行为概览!$D$3:$K$33,8,0)="","",VLOOKUP(J$2,行为概览!$D$3:$K$33,8,0)*玩法行为规划!I140)</f>
        <v/>
      </c>
      <c r="K140" s="7">
        <f>IF(VLOOKUP(K$2,行为概览!$D$3:$K$33,8,0)="","",VLOOKUP(K$2,行为概览!$D$3:$K$33,8,0)*玩法行为规划!J140)</f>
        <v>1</v>
      </c>
      <c r="L140" s="7" t="str">
        <f>IF(VLOOKUP(L$2,行为概览!$D$3:$K$33,8,0)="","",VLOOKUP(L$2,行为概览!$D$3:$K$33,8,0)*玩法行为规划!K140)</f>
        <v/>
      </c>
      <c r="M140" s="7" t="str">
        <f>IF(VLOOKUP(M$2,行为概览!$D$3:$K$33,8,0)="","",VLOOKUP(M$2,行为概览!$D$3:$K$33,8,0)*玩法行为规划!L140)</f>
        <v/>
      </c>
      <c r="N140" s="7">
        <f>IF(VLOOKUP(N$2,行为概览!$D$3:$K$33,8,0)="","",VLOOKUP(N$2,行为概览!$D$3:$K$33,8,0)*玩法行为规划!M140)</f>
        <v>12</v>
      </c>
      <c r="O140" s="7" t="str">
        <f>IF(VLOOKUP(O$2,行为概览!$D$3:$K$33,8,0)="","",VLOOKUP(O$2,行为概览!$D$3:$K$33,8,0)*玩法行为规划!N140)</f>
        <v/>
      </c>
      <c r="P140" s="7" t="str">
        <f>IF(VLOOKUP(P$2,行为概览!$D$3:$K$33,8,0)="","",VLOOKUP(P$2,行为概览!$D$3:$K$33,8,0)*玩法行为规划!O140)</f>
        <v/>
      </c>
      <c r="Q140" s="7">
        <f>IF(VLOOKUP(Q$2,行为概览!$D$3:$K$33,8,0)="","",VLOOKUP(Q$2,行为概览!$D$3:$K$33,8,0)*玩法行为规划!P140)</f>
        <v>5.2</v>
      </c>
      <c r="R140" s="7" t="str">
        <f>IF(VLOOKUP(R$2,行为概览!$D$3:$K$33,8,0)="","",VLOOKUP(R$2,行为概览!$D$3:$K$33,8,0)*玩法行为规划!Q140)</f>
        <v/>
      </c>
      <c r="S140" s="7">
        <f>IF(VLOOKUP(S$2,行为概览!$D$3:$K$33,8,0)="","",VLOOKUP(S$2,行为概览!$D$3:$K$33,8,0)*玩法行为规划!R140)</f>
        <v>0.49995000000000001</v>
      </c>
      <c r="T140" s="7">
        <f>IF(VLOOKUP(T$2,行为概览!$D$3:$K$33,8,0)="","",VLOOKUP(T$2,行为概览!$D$3:$K$33,8,0)*玩法行为规划!S140)</f>
        <v>0</v>
      </c>
      <c r="U140" s="7">
        <f>IF(VLOOKUP(U$2,行为概览!$D$3:$K$33,8,0)="","",VLOOKUP(U$2,行为概览!$D$3:$K$33,8,0)*玩法行为规划!T140)</f>
        <v>0.49995000000000001</v>
      </c>
      <c r="V140" s="7">
        <f>IF(VLOOKUP(V$2,行为概览!$D$3:$K$33,8,0)="","",VLOOKUP(V$2,行为概览!$D$3:$K$33,8,0)*玩法行为规划!U140)</f>
        <v>0.33339999999999997</v>
      </c>
      <c r="W140" s="7" t="str">
        <f>IF(VLOOKUP(W$2,行为概览!$D$3:$K$33,8,0)="","",VLOOKUP(W$2,行为概览!$D$3:$K$33,8,0)*玩法行为规划!V140)</f>
        <v/>
      </c>
      <c r="X140" s="7" t="str">
        <f>IF(VLOOKUP(X$2,行为概览!$D$3:$K$33,8,0)="","",VLOOKUP(X$2,行为概览!$D$3:$K$33,8,0)*玩法行为规划!W140)</f>
        <v/>
      </c>
      <c r="Y140" s="7">
        <f>IF(VLOOKUP(Y$2,行为概览!$D$3:$K$33,8,0)="","",VLOOKUP(Y$2,行为概览!$D$3:$K$33,8,0)*玩法行为规划!X140)</f>
        <v>0.25</v>
      </c>
      <c r="Z140" s="7" t="str">
        <f>IF(VLOOKUP(Z$2,行为概览!$D$3:$K$33,8,0)="","",VLOOKUP(Z$2,行为概览!$D$3:$K$33,8,0)*玩法行为规划!Y140)</f>
        <v/>
      </c>
      <c r="AA140" s="7">
        <f>IF(VLOOKUP(AA$2,行为概览!$D$3:$K$33,8,0)="","",VLOOKUP(AA$2,行为概览!$D$3:$K$33,8,0)*玩法行为规划!Z140)</f>
        <v>8.3349999999999994E-2</v>
      </c>
      <c r="AB140" s="7" t="str">
        <f>IF(VLOOKUP(AB$2,行为概览!$D$3:$K$33,8,0)="","",VLOOKUP(AB$2,行为概览!$D$3:$K$33,8,0)*玩法行为规划!AA140)</f>
        <v/>
      </c>
      <c r="AC140" s="7" t="str">
        <f>IF(VLOOKUP(AC$2,行为概览!$D$3:$K$33,8,0)="","",VLOOKUP(AC$2,行为概览!$D$3:$K$33,8,0)*玩法行为规划!AB140)</f>
        <v/>
      </c>
      <c r="AD140" s="7" t="str">
        <f>IF(VLOOKUP(AD$2,行为概览!$D$3:$K$33,8,0)="","",VLOOKUP(AD$2,行为概览!$D$3:$K$33,8,0)*玩法行为规划!AC140)</f>
        <v/>
      </c>
      <c r="AE140" s="7" t="str">
        <f>IF(VLOOKUP(AE$2,行为概览!$D$3:$K$33,8,0)="","",VLOOKUP(AE$2,行为概览!$D$3:$K$33,8,0)*玩法行为规划!AD140)</f>
        <v/>
      </c>
      <c r="AF140" s="7">
        <f t="shared" si="23"/>
        <v>24.133149999999997</v>
      </c>
      <c r="AG140" s="7">
        <f t="shared" si="24"/>
        <v>16651873</v>
      </c>
      <c r="AH140" s="7">
        <f t="shared" si="27"/>
        <v>1022470</v>
      </c>
      <c r="AI140" s="10" t="str">
        <f t="shared" si="18"/>
        <v/>
      </c>
      <c r="AJ140" s="73">
        <f t="shared" si="28"/>
        <v>952220</v>
      </c>
      <c r="AK140" s="77">
        <f>ROUND(AG140*升级节奏!G140/AJ145,2)</f>
        <v>441.69</v>
      </c>
      <c r="AL140" s="77">
        <f>ROUND(AG140*升级节奏!G140/SUM($AJ$3:AJ145),2)</f>
        <v>9.17</v>
      </c>
      <c r="AM140" s="74">
        <f>ROUND(AG140*升级节奏!G140,0)</f>
        <v>451609897</v>
      </c>
      <c r="AN140" s="77">
        <f>ROUND(SUM($AM$3:AM140)/SUM($AJ$3:AJ145),2)</f>
        <v>308.38</v>
      </c>
      <c r="AO140" s="7">
        <f t="shared" si="25"/>
        <v>11500</v>
      </c>
      <c r="AP140" s="7">
        <f t="shared" si="26"/>
        <v>83</v>
      </c>
    </row>
    <row r="141" spans="1:42">
      <c r="A141" s="32">
        <v>139</v>
      </c>
      <c r="B141" s="87">
        <f>升级节奏!D141</f>
        <v>695000</v>
      </c>
      <c r="C141" s="7">
        <f>IF(VLOOKUP(C$2,行为概览!$D$3:$K$33,8,0)="","",VLOOKUP(C$2,行为概览!$D$3:$K$33,8,0)*玩法行为规划!B141)</f>
        <v>0.99990000000000001</v>
      </c>
      <c r="D141" s="7">
        <f>IF(VLOOKUP(D$2,行为概览!$D$3:$K$33,8,0)="","",VLOOKUP(D$2,行为概览!$D$3:$K$33,8,0)*玩法行为规划!C141)</f>
        <v>1.1000000000000001</v>
      </c>
      <c r="E141" s="7" t="str">
        <f>IF(VLOOKUP(E$2,行为概览!$D$3:$K$33,8,0)="","",VLOOKUP(E$2,行为概览!$D$3:$K$33,8,0)*玩法行为规划!D141)</f>
        <v/>
      </c>
      <c r="F141" s="7">
        <f>IF(VLOOKUP(F$2,行为概览!$D$3:$K$33,8,0)="","",VLOOKUP(F$2,行为概览!$D$3:$K$33,8,0)*玩法行为规划!E141)</f>
        <v>1.5</v>
      </c>
      <c r="G141" s="7">
        <f>IF(VLOOKUP(G$2,行为概览!$D$3:$K$33,8,0)="","",VLOOKUP(G$2,行为概览!$D$3:$K$33,8,0)*玩法行为规划!F141)</f>
        <v>0.66659999999999997</v>
      </c>
      <c r="H141" s="7" t="str">
        <f>IF(VLOOKUP(H$2,行为概览!$D$3:$K$33,8,0)="","",VLOOKUP(H$2,行为概览!$D$3:$K$33,8,0)*玩法行为规划!G141)</f>
        <v/>
      </c>
      <c r="I141" s="7" t="str">
        <f>IF(VLOOKUP(I$2,行为概览!$D$3:$K$33,8,0)="","",VLOOKUP(I$2,行为概览!$D$3:$K$33,8,0)*玩法行为规划!H141)</f>
        <v/>
      </c>
      <c r="J141" s="7" t="str">
        <f>IF(VLOOKUP(J$2,行为概览!$D$3:$K$33,8,0)="","",VLOOKUP(J$2,行为概览!$D$3:$K$33,8,0)*玩法行为规划!I141)</f>
        <v/>
      </c>
      <c r="K141" s="7">
        <f>IF(VLOOKUP(K$2,行为概览!$D$3:$K$33,8,0)="","",VLOOKUP(K$2,行为概览!$D$3:$K$33,8,0)*玩法行为规划!J141)</f>
        <v>1</v>
      </c>
      <c r="L141" s="7" t="str">
        <f>IF(VLOOKUP(L$2,行为概览!$D$3:$K$33,8,0)="","",VLOOKUP(L$2,行为概览!$D$3:$K$33,8,0)*玩法行为规划!K141)</f>
        <v/>
      </c>
      <c r="M141" s="7" t="str">
        <f>IF(VLOOKUP(M$2,行为概览!$D$3:$K$33,8,0)="","",VLOOKUP(M$2,行为概览!$D$3:$K$33,8,0)*玩法行为规划!L141)</f>
        <v/>
      </c>
      <c r="N141" s="7">
        <f>IF(VLOOKUP(N$2,行为概览!$D$3:$K$33,8,0)="","",VLOOKUP(N$2,行为概览!$D$3:$K$33,8,0)*玩法行为规划!M141)</f>
        <v>12</v>
      </c>
      <c r="O141" s="7" t="str">
        <f>IF(VLOOKUP(O$2,行为概览!$D$3:$K$33,8,0)="","",VLOOKUP(O$2,行为概览!$D$3:$K$33,8,0)*玩法行为规划!N141)</f>
        <v/>
      </c>
      <c r="P141" s="7" t="str">
        <f>IF(VLOOKUP(P$2,行为概览!$D$3:$K$33,8,0)="","",VLOOKUP(P$2,行为概览!$D$3:$K$33,8,0)*玩法行为规划!O141)</f>
        <v/>
      </c>
      <c r="Q141" s="7">
        <f>IF(VLOOKUP(Q$2,行为概览!$D$3:$K$33,8,0)="","",VLOOKUP(Q$2,行为概览!$D$3:$K$33,8,0)*玩法行为规划!P141)</f>
        <v>5.2</v>
      </c>
      <c r="R141" s="7" t="str">
        <f>IF(VLOOKUP(R$2,行为概览!$D$3:$K$33,8,0)="","",VLOOKUP(R$2,行为概览!$D$3:$K$33,8,0)*玩法行为规划!Q141)</f>
        <v/>
      </c>
      <c r="S141" s="7">
        <f>IF(VLOOKUP(S$2,行为概览!$D$3:$K$33,8,0)="","",VLOOKUP(S$2,行为概览!$D$3:$K$33,8,0)*玩法行为规划!R141)</f>
        <v>0.49995000000000001</v>
      </c>
      <c r="T141" s="7">
        <f>IF(VLOOKUP(T$2,行为概览!$D$3:$K$33,8,0)="","",VLOOKUP(T$2,行为概览!$D$3:$K$33,8,0)*玩法行为规划!S141)</f>
        <v>0</v>
      </c>
      <c r="U141" s="7">
        <f>IF(VLOOKUP(U$2,行为概览!$D$3:$K$33,8,0)="","",VLOOKUP(U$2,行为概览!$D$3:$K$33,8,0)*玩法行为规划!T141)</f>
        <v>0.49995000000000001</v>
      </c>
      <c r="V141" s="7">
        <f>IF(VLOOKUP(V$2,行为概览!$D$3:$K$33,8,0)="","",VLOOKUP(V$2,行为概览!$D$3:$K$33,8,0)*玩法行为规划!U141)</f>
        <v>0.33339999999999997</v>
      </c>
      <c r="W141" s="7" t="str">
        <f>IF(VLOOKUP(W$2,行为概览!$D$3:$K$33,8,0)="","",VLOOKUP(W$2,行为概览!$D$3:$K$33,8,0)*玩法行为规划!V141)</f>
        <v/>
      </c>
      <c r="X141" s="7" t="str">
        <f>IF(VLOOKUP(X$2,行为概览!$D$3:$K$33,8,0)="","",VLOOKUP(X$2,行为概览!$D$3:$K$33,8,0)*玩法行为规划!W141)</f>
        <v/>
      </c>
      <c r="Y141" s="7">
        <f>IF(VLOOKUP(Y$2,行为概览!$D$3:$K$33,8,0)="","",VLOOKUP(Y$2,行为概览!$D$3:$K$33,8,0)*玩法行为规划!X141)</f>
        <v>0.25</v>
      </c>
      <c r="Z141" s="7" t="str">
        <f>IF(VLOOKUP(Z$2,行为概览!$D$3:$K$33,8,0)="","",VLOOKUP(Z$2,行为概览!$D$3:$K$33,8,0)*玩法行为规划!Y141)</f>
        <v/>
      </c>
      <c r="AA141" s="7">
        <f>IF(VLOOKUP(AA$2,行为概览!$D$3:$K$33,8,0)="","",VLOOKUP(AA$2,行为概览!$D$3:$K$33,8,0)*玩法行为规划!Z141)</f>
        <v>8.3349999999999994E-2</v>
      </c>
      <c r="AB141" s="7" t="str">
        <f>IF(VLOOKUP(AB$2,行为概览!$D$3:$K$33,8,0)="","",VLOOKUP(AB$2,行为概览!$D$3:$K$33,8,0)*玩法行为规划!AA141)</f>
        <v/>
      </c>
      <c r="AC141" s="7" t="str">
        <f>IF(VLOOKUP(AC$2,行为概览!$D$3:$K$33,8,0)="","",VLOOKUP(AC$2,行为概览!$D$3:$K$33,8,0)*玩法行为规划!AB141)</f>
        <v/>
      </c>
      <c r="AD141" s="7" t="str">
        <f>IF(VLOOKUP(AD$2,行为概览!$D$3:$K$33,8,0)="","",VLOOKUP(AD$2,行为概览!$D$3:$K$33,8,0)*玩法行为规划!AC141)</f>
        <v/>
      </c>
      <c r="AE141" s="7" t="str">
        <f>IF(VLOOKUP(AE$2,行为概览!$D$3:$K$33,8,0)="","",VLOOKUP(AE$2,行为概览!$D$3:$K$33,8,0)*玩法行为规划!AD141)</f>
        <v/>
      </c>
      <c r="AF141" s="7">
        <f t="shared" si="23"/>
        <v>24.133149999999997</v>
      </c>
      <c r="AG141" s="7">
        <f t="shared" si="24"/>
        <v>16772539</v>
      </c>
      <c r="AH141" s="7">
        <f t="shared" si="27"/>
        <v>1036820</v>
      </c>
      <c r="AI141" s="10" t="str">
        <f t="shared" si="18"/>
        <v/>
      </c>
      <c r="AJ141" s="73">
        <f t="shared" si="28"/>
        <v>966070</v>
      </c>
      <c r="AK141" s="77">
        <f>ROUND(AG141*升级节奏!G141/AJ146,2)</f>
        <v>445.08</v>
      </c>
      <c r="AL141" s="77">
        <f>ROUND(AG141*升级节奏!G141/SUM($AJ$3:AJ146),2)</f>
        <v>9.18</v>
      </c>
      <c r="AM141" s="74">
        <f>ROUND(AG141*升级节奏!G141,0)</f>
        <v>461464263</v>
      </c>
      <c r="AN141" s="77">
        <f>ROUND(SUM($AM$3:AM141)/SUM($AJ$3:AJ146),2)</f>
        <v>311.19</v>
      </c>
      <c r="AO141" s="7">
        <f t="shared" si="25"/>
        <v>11583</v>
      </c>
      <c r="AP141" s="7">
        <f t="shared" si="26"/>
        <v>83</v>
      </c>
    </row>
    <row r="142" spans="1:42">
      <c r="A142" s="32">
        <v>140</v>
      </c>
      <c r="B142" s="87">
        <f>升级节奏!D142</f>
        <v>700000</v>
      </c>
      <c r="C142" s="7">
        <f>IF(VLOOKUP(C$2,行为概览!$D$3:$K$33,8,0)="","",VLOOKUP(C$2,行为概览!$D$3:$K$33,8,0)*玩法行为规划!B142)</f>
        <v>0.99990000000000001</v>
      </c>
      <c r="D142" s="7">
        <f>IF(VLOOKUP(D$2,行为概览!$D$3:$K$33,8,0)="","",VLOOKUP(D$2,行为概览!$D$3:$K$33,8,0)*玩法行为规划!C142)</f>
        <v>1.1000000000000001</v>
      </c>
      <c r="E142" s="7" t="str">
        <f>IF(VLOOKUP(E$2,行为概览!$D$3:$K$33,8,0)="","",VLOOKUP(E$2,行为概览!$D$3:$K$33,8,0)*玩法行为规划!D142)</f>
        <v/>
      </c>
      <c r="F142" s="7">
        <f>IF(VLOOKUP(F$2,行为概览!$D$3:$K$33,8,0)="","",VLOOKUP(F$2,行为概览!$D$3:$K$33,8,0)*玩法行为规划!E142)</f>
        <v>1.5</v>
      </c>
      <c r="G142" s="7">
        <f>IF(VLOOKUP(G$2,行为概览!$D$3:$K$33,8,0)="","",VLOOKUP(G$2,行为概览!$D$3:$K$33,8,0)*玩法行为规划!F142)</f>
        <v>0.66659999999999997</v>
      </c>
      <c r="H142" s="7" t="str">
        <f>IF(VLOOKUP(H$2,行为概览!$D$3:$K$33,8,0)="","",VLOOKUP(H$2,行为概览!$D$3:$K$33,8,0)*玩法行为规划!G142)</f>
        <v/>
      </c>
      <c r="I142" s="7" t="str">
        <f>IF(VLOOKUP(I$2,行为概览!$D$3:$K$33,8,0)="","",VLOOKUP(I$2,行为概览!$D$3:$K$33,8,0)*玩法行为规划!H142)</f>
        <v/>
      </c>
      <c r="J142" s="7" t="str">
        <f>IF(VLOOKUP(J$2,行为概览!$D$3:$K$33,8,0)="","",VLOOKUP(J$2,行为概览!$D$3:$K$33,8,0)*玩法行为规划!I142)</f>
        <v/>
      </c>
      <c r="K142" s="7">
        <f>IF(VLOOKUP(K$2,行为概览!$D$3:$K$33,8,0)="","",VLOOKUP(K$2,行为概览!$D$3:$K$33,8,0)*玩法行为规划!J142)</f>
        <v>1</v>
      </c>
      <c r="L142" s="7" t="str">
        <f>IF(VLOOKUP(L$2,行为概览!$D$3:$K$33,8,0)="","",VLOOKUP(L$2,行为概览!$D$3:$K$33,8,0)*玩法行为规划!K142)</f>
        <v/>
      </c>
      <c r="M142" s="7" t="str">
        <f>IF(VLOOKUP(M$2,行为概览!$D$3:$K$33,8,0)="","",VLOOKUP(M$2,行为概览!$D$3:$K$33,8,0)*玩法行为规划!L142)</f>
        <v/>
      </c>
      <c r="N142" s="7">
        <f>IF(VLOOKUP(N$2,行为概览!$D$3:$K$33,8,0)="","",VLOOKUP(N$2,行为概览!$D$3:$K$33,8,0)*玩法行为规划!M142)</f>
        <v>12</v>
      </c>
      <c r="O142" s="7" t="str">
        <f>IF(VLOOKUP(O$2,行为概览!$D$3:$K$33,8,0)="","",VLOOKUP(O$2,行为概览!$D$3:$K$33,8,0)*玩法行为规划!N142)</f>
        <v/>
      </c>
      <c r="P142" s="7" t="str">
        <f>IF(VLOOKUP(P$2,行为概览!$D$3:$K$33,8,0)="","",VLOOKUP(P$2,行为概览!$D$3:$K$33,8,0)*玩法行为规划!O142)</f>
        <v/>
      </c>
      <c r="Q142" s="7">
        <f>IF(VLOOKUP(Q$2,行为概览!$D$3:$K$33,8,0)="","",VLOOKUP(Q$2,行为概览!$D$3:$K$33,8,0)*玩法行为规划!P142)</f>
        <v>5.2</v>
      </c>
      <c r="R142" s="7" t="str">
        <f>IF(VLOOKUP(R$2,行为概览!$D$3:$K$33,8,0)="","",VLOOKUP(R$2,行为概览!$D$3:$K$33,8,0)*玩法行为规划!Q142)</f>
        <v/>
      </c>
      <c r="S142" s="7">
        <f>IF(VLOOKUP(S$2,行为概览!$D$3:$K$33,8,0)="","",VLOOKUP(S$2,行为概览!$D$3:$K$33,8,0)*玩法行为规划!R142)</f>
        <v>0.49995000000000001</v>
      </c>
      <c r="T142" s="7">
        <f>IF(VLOOKUP(T$2,行为概览!$D$3:$K$33,8,0)="","",VLOOKUP(T$2,行为概览!$D$3:$K$33,8,0)*玩法行为规划!S142)</f>
        <v>0</v>
      </c>
      <c r="U142" s="7">
        <f>IF(VLOOKUP(U$2,行为概览!$D$3:$K$33,8,0)="","",VLOOKUP(U$2,行为概览!$D$3:$K$33,8,0)*玩法行为规划!T142)</f>
        <v>0.49995000000000001</v>
      </c>
      <c r="V142" s="7">
        <f>IF(VLOOKUP(V$2,行为概览!$D$3:$K$33,8,0)="","",VLOOKUP(V$2,行为概览!$D$3:$K$33,8,0)*玩法行为规划!U142)</f>
        <v>0.33339999999999997</v>
      </c>
      <c r="W142" s="7" t="str">
        <f>IF(VLOOKUP(W$2,行为概览!$D$3:$K$33,8,0)="","",VLOOKUP(W$2,行为概览!$D$3:$K$33,8,0)*玩法行为规划!V142)</f>
        <v/>
      </c>
      <c r="X142" s="7" t="str">
        <f>IF(VLOOKUP(X$2,行为概览!$D$3:$K$33,8,0)="","",VLOOKUP(X$2,行为概览!$D$3:$K$33,8,0)*玩法行为规划!W142)</f>
        <v/>
      </c>
      <c r="Y142" s="7">
        <f>IF(VLOOKUP(Y$2,行为概览!$D$3:$K$33,8,0)="","",VLOOKUP(Y$2,行为概览!$D$3:$K$33,8,0)*玩法行为规划!X142)</f>
        <v>0.25</v>
      </c>
      <c r="Z142" s="7" t="str">
        <f>IF(VLOOKUP(Z$2,行为概览!$D$3:$K$33,8,0)="","",VLOOKUP(Z$2,行为概览!$D$3:$K$33,8,0)*玩法行为规划!Y142)</f>
        <v/>
      </c>
      <c r="AA142" s="7">
        <f>IF(VLOOKUP(AA$2,行为概览!$D$3:$K$33,8,0)="","",VLOOKUP(AA$2,行为概览!$D$3:$K$33,8,0)*玩法行为规划!Z142)</f>
        <v>8.3349999999999994E-2</v>
      </c>
      <c r="AB142" s="7" t="str">
        <f>IF(VLOOKUP(AB$2,行为概览!$D$3:$K$33,8,0)="","",VLOOKUP(AB$2,行为概览!$D$3:$K$33,8,0)*玩法行为规划!AA142)</f>
        <v/>
      </c>
      <c r="AC142" s="7" t="str">
        <f>IF(VLOOKUP(AC$2,行为概览!$D$3:$K$33,8,0)="","",VLOOKUP(AC$2,行为概览!$D$3:$K$33,8,0)*玩法行为规划!AB142)</f>
        <v/>
      </c>
      <c r="AD142" s="7" t="str">
        <f>IF(VLOOKUP(AD$2,行为概览!$D$3:$K$33,8,0)="","",VLOOKUP(AD$2,行为概览!$D$3:$K$33,8,0)*玩法行为规划!AC142)</f>
        <v/>
      </c>
      <c r="AE142" s="7" t="str">
        <f>IF(VLOOKUP(AE$2,行为概览!$D$3:$K$33,8,0)="","",VLOOKUP(AE$2,行为概览!$D$3:$K$33,8,0)*玩法行为规划!AD142)</f>
        <v/>
      </c>
      <c r="AF142" s="7">
        <f t="shared" si="23"/>
        <v>24.133149999999997</v>
      </c>
      <c r="AG142" s="7">
        <f t="shared" si="24"/>
        <v>16893205</v>
      </c>
      <c r="AH142" s="7">
        <f t="shared" si="27"/>
        <v>1051270</v>
      </c>
      <c r="AI142" s="10">
        <f t="shared" si="18"/>
        <v>20762400</v>
      </c>
      <c r="AJ142" s="73">
        <f t="shared" si="28"/>
        <v>980020</v>
      </c>
      <c r="AK142" s="77">
        <f>ROUND(AG142*升级节奏!G142/AJ147,2)</f>
        <v>448.47</v>
      </c>
      <c r="AL142" s="77">
        <f>ROUND(AG142*升级节奏!G142/SUM($AJ$3:AJ147),2)</f>
        <v>9.18</v>
      </c>
      <c r="AM142" s="74">
        <f>ROUND(AG142*升级节奏!G142,0)</f>
        <v>471461196</v>
      </c>
      <c r="AN142" s="77">
        <f>ROUND(SUM($AM$3:AM142)/SUM($AJ$3:AJ147),2)</f>
        <v>314</v>
      </c>
      <c r="AO142" s="7">
        <f t="shared" si="25"/>
        <v>11667</v>
      </c>
      <c r="AP142" s="7">
        <f t="shared" si="26"/>
        <v>84</v>
      </c>
    </row>
    <row r="143" spans="1:42">
      <c r="A143" s="32">
        <v>141</v>
      </c>
      <c r="B143" s="87">
        <f>升级节奏!D143</f>
        <v>705000</v>
      </c>
      <c r="C143" s="7">
        <f>IF(VLOOKUP(C$2,行为概览!$D$3:$K$33,8,0)="","",VLOOKUP(C$2,行为概览!$D$3:$K$33,8,0)*玩法行为规划!B143)</f>
        <v>0.99990000000000001</v>
      </c>
      <c r="D143" s="7">
        <f>IF(VLOOKUP(D$2,行为概览!$D$3:$K$33,8,0)="","",VLOOKUP(D$2,行为概览!$D$3:$K$33,8,0)*玩法行为规划!C143)</f>
        <v>1.1000000000000001</v>
      </c>
      <c r="E143" s="7" t="str">
        <f>IF(VLOOKUP(E$2,行为概览!$D$3:$K$33,8,0)="","",VLOOKUP(E$2,行为概览!$D$3:$K$33,8,0)*玩法行为规划!D143)</f>
        <v/>
      </c>
      <c r="F143" s="7">
        <f>IF(VLOOKUP(F$2,行为概览!$D$3:$K$33,8,0)="","",VLOOKUP(F$2,行为概览!$D$3:$K$33,8,0)*玩法行为规划!E143)</f>
        <v>1.5</v>
      </c>
      <c r="G143" s="7">
        <f>IF(VLOOKUP(G$2,行为概览!$D$3:$K$33,8,0)="","",VLOOKUP(G$2,行为概览!$D$3:$K$33,8,0)*玩法行为规划!F143)</f>
        <v>0.66659999999999997</v>
      </c>
      <c r="H143" s="7" t="str">
        <f>IF(VLOOKUP(H$2,行为概览!$D$3:$K$33,8,0)="","",VLOOKUP(H$2,行为概览!$D$3:$K$33,8,0)*玩法行为规划!G143)</f>
        <v/>
      </c>
      <c r="I143" s="7" t="str">
        <f>IF(VLOOKUP(I$2,行为概览!$D$3:$K$33,8,0)="","",VLOOKUP(I$2,行为概览!$D$3:$K$33,8,0)*玩法行为规划!H143)</f>
        <v/>
      </c>
      <c r="J143" s="7" t="str">
        <f>IF(VLOOKUP(J$2,行为概览!$D$3:$K$33,8,0)="","",VLOOKUP(J$2,行为概览!$D$3:$K$33,8,0)*玩法行为规划!I143)</f>
        <v/>
      </c>
      <c r="K143" s="7">
        <f>IF(VLOOKUP(K$2,行为概览!$D$3:$K$33,8,0)="","",VLOOKUP(K$2,行为概览!$D$3:$K$33,8,0)*玩法行为规划!J143)</f>
        <v>1</v>
      </c>
      <c r="L143" s="7" t="str">
        <f>IF(VLOOKUP(L$2,行为概览!$D$3:$K$33,8,0)="","",VLOOKUP(L$2,行为概览!$D$3:$K$33,8,0)*玩法行为规划!K143)</f>
        <v/>
      </c>
      <c r="M143" s="7" t="str">
        <f>IF(VLOOKUP(M$2,行为概览!$D$3:$K$33,8,0)="","",VLOOKUP(M$2,行为概览!$D$3:$K$33,8,0)*玩法行为规划!L143)</f>
        <v/>
      </c>
      <c r="N143" s="7">
        <f>IF(VLOOKUP(N$2,行为概览!$D$3:$K$33,8,0)="","",VLOOKUP(N$2,行为概览!$D$3:$K$33,8,0)*玩法行为规划!M143)</f>
        <v>12</v>
      </c>
      <c r="O143" s="7" t="str">
        <f>IF(VLOOKUP(O$2,行为概览!$D$3:$K$33,8,0)="","",VLOOKUP(O$2,行为概览!$D$3:$K$33,8,0)*玩法行为规划!N143)</f>
        <v/>
      </c>
      <c r="P143" s="7" t="str">
        <f>IF(VLOOKUP(P$2,行为概览!$D$3:$K$33,8,0)="","",VLOOKUP(P$2,行为概览!$D$3:$K$33,8,0)*玩法行为规划!O143)</f>
        <v/>
      </c>
      <c r="Q143" s="7">
        <f>IF(VLOOKUP(Q$2,行为概览!$D$3:$K$33,8,0)="","",VLOOKUP(Q$2,行为概览!$D$3:$K$33,8,0)*玩法行为规划!P143)</f>
        <v>5.2</v>
      </c>
      <c r="R143" s="7" t="str">
        <f>IF(VLOOKUP(R$2,行为概览!$D$3:$K$33,8,0)="","",VLOOKUP(R$2,行为概览!$D$3:$K$33,8,0)*玩法行为规划!Q143)</f>
        <v/>
      </c>
      <c r="S143" s="7">
        <f>IF(VLOOKUP(S$2,行为概览!$D$3:$K$33,8,0)="","",VLOOKUP(S$2,行为概览!$D$3:$K$33,8,0)*玩法行为规划!R143)</f>
        <v>0.49995000000000001</v>
      </c>
      <c r="T143" s="7">
        <f>IF(VLOOKUP(T$2,行为概览!$D$3:$K$33,8,0)="","",VLOOKUP(T$2,行为概览!$D$3:$K$33,8,0)*玩法行为规划!S143)</f>
        <v>0</v>
      </c>
      <c r="U143" s="7">
        <f>IF(VLOOKUP(U$2,行为概览!$D$3:$K$33,8,0)="","",VLOOKUP(U$2,行为概览!$D$3:$K$33,8,0)*玩法行为规划!T143)</f>
        <v>0.49995000000000001</v>
      </c>
      <c r="V143" s="7">
        <f>IF(VLOOKUP(V$2,行为概览!$D$3:$K$33,8,0)="","",VLOOKUP(V$2,行为概览!$D$3:$K$33,8,0)*玩法行为规划!U143)</f>
        <v>0.33339999999999997</v>
      </c>
      <c r="W143" s="7" t="str">
        <f>IF(VLOOKUP(W$2,行为概览!$D$3:$K$33,8,0)="","",VLOOKUP(W$2,行为概览!$D$3:$K$33,8,0)*玩法行为规划!V143)</f>
        <v/>
      </c>
      <c r="X143" s="7" t="str">
        <f>IF(VLOOKUP(X$2,行为概览!$D$3:$K$33,8,0)="","",VLOOKUP(X$2,行为概览!$D$3:$K$33,8,0)*玩法行为规划!W143)</f>
        <v/>
      </c>
      <c r="Y143" s="7">
        <f>IF(VLOOKUP(Y$2,行为概览!$D$3:$K$33,8,0)="","",VLOOKUP(Y$2,行为概览!$D$3:$K$33,8,0)*玩法行为规划!X143)</f>
        <v>0.25</v>
      </c>
      <c r="Z143" s="7" t="str">
        <f>IF(VLOOKUP(Z$2,行为概览!$D$3:$K$33,8,0)="","",VLOOKUP(Z$2,行为概览!$D$3:$K$33,8,0)*玩法行为规划!Y143)</f>
        <v/>
      </c>
      <c r="AA143" s="7">
        <f>IF(VLOOKUP(AA$2,行为概览!$D$3:$K$33,8,0)="","",VLOOKUP(AA$2,行为概览!$D$3:$K$33,8,0)*玩法行为规划!Z143)</f>
        <v>8.3349999999999994E-2</v>
      </c>
      <c r="AB143" s="7" t="str">
        <f>IF(VLOOKUP(AB$2,行为概览!$D$3:$K$33,8,0)="","",VLOOKUP(AB$2,行为概览!$D$3:$K$33,8,0)*玩法行为规划!AA143)</f>
        <v/>
      </c>
      <c r="AC143" s="7" t="str">
        <f>IF(VLOOKUP(AC$2,行为概览!$D$3:$K$33,8,0)="","",VLOOKUP(AC$2,行为概览!$D$3:$K$33,8,0)*玩法行为规划!AB143)</f>
        <v/>
      </c>
      <c r="AD143" s="7" t="str">
        <f>IF(VLOOKUP(AD$2,行为概览!$D$3:$K$33,8,0)="","",VLOOKUP(AD$2,行为概览!$D$3:$K$33,8,0)*玩法行为规划!AC143)</f>
        <v/>
      </c>
      <c r="AE143" s="7" t="str">
        <f>IF(VLOOKUP(AE$2,行为概览!$D$3:$K$33,8,0)="","",VLOOKUP(AE$2,行为概览!$D$3:$K$33,8,0)*玩法行为规划!AD143)</f>
        <v/>
      </c>
      <c r="AF143" s="7">
        <f t="shared" si="23"/>
        <v>24.133149999999997</v>
      </c>
      <c r="AG143" s="7">
        <f t="shared" si="24"/>
        <v>17013870</v>
      </c>
      <c r="AH143" s="7">
        <f t="shared" si="27"/>
        <v>1065820</v>
      </c>
      <c r="AI143" s="10" t="str">
        <f t="shared" si="18"/>
        <v/>
      </c>
      <c r="AJ143" s="73">
        <f t="shared" si="28"/>
        <v>994070</v>
      </c>
      <c r="AK143" s="77">
        <f>ROUND(AG143*升级节奏!G143/AJ148,2)</f>
        <v>451.86</v>
      </c>
      <c r="AL143" s="77">
        <f>ROUND(AG143*升级节奏!G143/SUM($AJ$3:AJ148),2)</f>
        <v>9.19</v>
      </c>
      <c r="AM143" s="74">
        <f>ROUND(AG143*升级节奏!G143,0)</f>
        <v>481601693</v>
      </c>
      <c r="AN143" s="77">
        <f>ROUND(SUM($AM$3:AM143)/SUM($AJ$3:AJ148),2)</f>
        <v>316.81</v>
      </c>
      <c r="AO143" s="7">
        <f t="shared" si="25"/>
        <v>11750</v>
      </c>
      <c r="AP143" s="7">
        <f t="shared" si="26"/>
        <v>85</v>
      </c>
    </row>
    <row r="144" spans="1:42">
      <c r="A144" s="32">
        <v>142</v>
      </c>
      <c r="B144" s="87">
        <f>升级节奏!D144</f>
        <v>710000</v>
      </c>
      <c r="C144" s="7">
        <f>IF(VLOOKUP(C$2,行为概览!$D$3:$K$33,8,0)="","",VLOOKUP(C$2,行为概览!$D$3:$K$33,8,0)*玩法行为规划!B144)</f>
        <v>0.99990000000000001</v>
      </c>
      <c r="D144" s="7">
        <f>IF(VLOOKUP(D$2,行为概览!$D$3:$K$33,8,0)="","",VLOOKUP(D$2,行为概览!$D$3:$K$33,8,0)*玩法行为规划!C144)</f>
        <v>1.1000000000000001</v>
      </c>
      <c r="E144" s="7" t="str">
        <f>IF(VLOOKUP(E$2,行为概览!$D$3:$K$33,8,0)="","",VLOOKUP(E$2,行为概览!$D$3:$K$33,8,0)*玩法行为规划!D144)</f>
        <v/>
      </c>
      <c r="F144" s="7">
        <f>IF(VLOOKUP(F$2,行为概览!$D$3:$K$33,8,0)="","",VLOOKUP(F$2,行为概览!$D$3:$K$33,8,0)*玩法行为规划!E144)</f>
        <v>1.5</v>
      </c>
      <c r="G144" s="7">
        <f>IF(VLOOKUP(G$2,行为概览!$D$3:$K$33,8,0)="","",VLOOKUP(G$2,行为概览!$D$3:$K$33,8,0)*玩法行为规划!F144)</f>
        <v>0.66659999999999997</v>
      </c>
      <c r="H144" s="7" t="str">
        <f>IF(VLOOKUP(H$2,行为概览!$D$3:$K$33,8,0)="","",VLOOKUP(H$2,行为概览!$D$3:$K$33,8,0)*玩法行为规划!G144)</f>
        <v/>
      </c>
      <c r="I144" s="7" t="str">
        <f>IF(VLOOKUP(I$2,行为概览!$D$3:$K$33,8,0)="","",VLOOKUP(I$2,行为概览!$D$3:$K$33,8,0)*玩法行为规划!H144)</f>
        <v/>
      </c>
      <c r="J144" s="7" t="str">
        <f>IF(VLOOKUP(J$2,行为概览!$D$3:$K$33,8,0)="","",VLOOKUP(J$2,行为概览!$D$3:$K$33,8,0)*玩法行为规划!I144)</f>
        <v/>
      </c>
      <c r="K144" s="7">
        <f>IF(VLOOKUP(K$2,行为概览!$D$3:$K$33,8,0)="","",VLOOKUP(K$2,行为概览!$D$3:$K$33,8,0)*玩法行为规划!J144)</f>
        <v>1</v>
      </c>
      <c r="L144" s="7" t="str">
        <f>IF(VLOOKUP(L$2,行为概览!$D$3:$K$33,8,0)="","",VLOOKUP(L$2,行为概览!$D$3:$K$33,8,0)*玩法行为规划!K144)</f>
        <v/>
      </c>
      <c r="M144" s="7" t="str">
        <f>IF(VLOOKUP(M$2,行为概览!$D$3:$K$33,8,0)="","",VLOOKUP(M$2,行为概览!$D$3:$K$33,8,0)*玩法行为规划!L144)</f>
        <v/>
      </c>
      <c r="N144" s="7">
        <f>IF(VLOOKUP(N$2,行为概览!$D$3:$K$33,8,0)="","",VLOOKUP(N$2,行为概览!$D$3:$K$33,8,0)*玩法行为规划!M144)</f>
        <v>12</v>
      </c>
      <c r="O144" s="7" t="str">
        <f>IF(VLOOKUP(O$2,行为概览!$D$3:$K$33,8,0)="","",VLOOKUP(O$2,行为概览!$D$3:$K$33,8,0)*玩法行为规划!N144)</f>
        <v/>
      </c>
      <c r="P144" s="7" t="str">
        <f>IF(VLOOKUP(P$2,行为概览!$D$3:$K$33,8,0)="","",VLOOKUP(P$2,行为概览!$D$3:$K$33,8,0)*玩法行为规划!O144)</f>
        <v/>
      </c>
      <c r="Q144" s="7">
        <f>IF(VLOOKUP(Q$2,行为概览!$D$3:$K$33,8,0)="","",VLOOKUP(Q$2,行为概览!$D$3:$K$33,8,0)*玩法行为规划!P144)</f>
        <v>5.2</v>
      </c>
      <c r="R144" s="7" t="str">
        <f>IF(VLOOKUP(R$2,行为概览!$D$3:$K$33,8,0)="","",VLOOKUP(R$2,行为概览!$D$3:$K$33,8,0)*玩法行为规划!Q144)</f>
        <v/>
      </c>
      <c r="S144" s="7">
        <f>IF(VLOOKUP(S$2,行为概览!$D$3:$K$33,8,0)="","",VLOOKUP(S$2,行为概览!$D$3:$K$33,8,0)*玩法行为规划!R144)</f>
        <v>0.49995000000000001</v>
      </c>
      <c r="T144" s="7">
        <f>IF(VLOOKUP(T$2,行为概览!$D$3:$K$33,8,0)="","",VLOOKUP(T$2,行为概览!$D$3:$K$33,8,0)*玩法行为规划!S144)</f>
        <v>0</v>
      </c>
      <c r="U144" s="7">
        <f>IF(VLOOKUP(U$2,行为概览!$D$3:$K$33,8,0)="","",VLOOKUP(U$2,行为概览!$D$3:$K$33,8,0)*玩法行为规划!T144)</f>
        <v>0.49995000000000001</v>
      </c>
      <c r="V144" s="7">
        <f>IF(VLOOKUP(V$2,行为概览!$D$3:$K$33,8,0)="","",VLOOKUP(V$2,行为概览!$D$3:$K$33,8,0)*玩法行为规划!U144)</f>
        <v>0.33339999999999997</v>
      </c>
      <c r="W144" s="7" t="str">
        <f>IF(VLOOKUP(W$2,行为概览!$D$3:$K$33,8,0)="","",VLOOKUP(W$2,行为概览!$D$3:$K$33,8,0)*玩法行为规划!V144)</f>
        <v/>
      </c>
      <c r="X144" s="7" t="str">
        <f>IF(VLOOKUP(X$2,行为概览!$D$3:$K$33,8,0)="","",VLOOKUP(X$2,行为概览!$D$3:$K$33,8,0)*玩法行为规划!W144)</f>
        <v/>
      </c>
      <c r="Y144" s="7">
        <f>IF(VLOOKUP(Y$2,行为概览!$D$3:$K$33,8,0)="","",VLOOKUP(Y$2,行为概览!$D$3:$K$33,8,0)*玩法行为规划!X144)</f>
        <v>0.25</v>
      </c>
      <c r="Z144" s="7" t="str">
        <f>IF(VLOOKUP(Z$2,行为概览!$D$3:$K$33,8,0)="","",VLOOKUP(Z$2,行为概览!$D$3:$K$33,8,0)*玩法行为规划!Y144)</f>
        <v/>
      </c>
      <c r="AA144" s="7">
        <f>IF(VLOOKUP(AA$2,行为概览!$D$3:$K$33,8,0)="","",VLOOKUP(AA$2,行为概览!$D$3:$K$33,8,0)*玩法行为规划!Z144)</f>
        <v>8.3349999999999994E-2</v>
      </c>
      <c r="AB144" s="7" t="str">
        <f>IF(VLOOKUP(AB$2,行为概览!$D$3:$K$33,8,0)="","",VLOOKUP(AB$2,行为概览!$D$3:$K$33,8,0)*玩法行为规划!AA144)</f>
        <v/>
      </c>
      <c r="AC144" s="7" t="str">
        <f>IF(VLOOKUP(AC$2,行为概览!$D$3:$K$33,8,0)="","",VLOOKUP(AC$2,行为概览!$D$3:$K$33,8,0)*玩法行为规划!AB144)</f>
        <v/>
      </c>
      <c r="AD144" s="7" t="str">
        <f>IF(VLOOKUP(AD$2,行为概览!$D$3:$K$33,8,0)="","",VLOOKUP(AD$2,行为概览!$D$3:$K$33,8,0)*玩法行为规划!AC144)</f>
        <v/>
      </c>
      <c r="AE144" s="7" t="str">
        <f>IF(VLOOKUP(AE$2,行为概览!$D$3:$K$33,8,0)="","",VLOOKUP(AE$2,行为概览!$D$3:$K$33,8,0)*玩法行为规划!AD144)</f>
        <v/>
      </c>
      <c r="AF144" s="7">
        <f t="shared" si="23"/>
        <v>24.133149999999997</v>
      </c>
      <c r="AG144" s="7">
        <f t="shared" si="24"/>
        <v>17134536</v>
      </c>
      <c r="AH144" s="7">
        <f t="shared" si="27"/>
        <v>1080470</v>
      </c>
      <c r="AI144" s="10" t="str">
        <f t="shared" si="18"/>
        <v/>
      </c>
      <c r="AJ144" s="73">
        <f t="shared" si="28"/>
        <v>1008220</v>
      </c>
      <c r="AK144" s="77">
        <f>ROUND(AG144*升级节奏!G144/AJ149,2)</f>
        <v>455.25</v>
      </c>
      <c r="AL144" s="77">
        <f>ROUND(AG144*升级节奏!G144/SUM($AJ$3:AJ149),2)</f>
        <v>9.1999999999999993</v>
      </c>
      <c r="AM144" s="74">
        <f>ROUND(AG144*升级节奏!G144,0)</f>
        <v>491886836</v>
      </c>
      <c r="AN144" s="77">
        <f>ROUND(SUM($AM$3:AM144)/SUM($AJ$3:AJ149),2)</f>
        <v>319.61</v>
      </c>
      <c r="AO144" s="7">
        <f t="shared" si="25"/>
        <v>11833</v>
      </c>
      <c r="AP144" s="7">
        <f t="shared" si="26"/>
        <v>85</v>
      </c>
    </row>
    <row r="145" spans="1:42">
      <c r="A145" s="32">
        <v>143</v>
      </c>
      <c r="B145" s="87">
        <f>升级节奏!D145</f>
        <v>715000</v>
      </c>
      <c r="C145" s="7">
        <f>IF(VLOOKUP(C$2,行为概览!$D$3:$K$33,8,0)="","",VLOOKUP(C$2,行为概览!$D$3:$K$33,8,0)*玩法行为规划!B145)</f>
        <v>0.99990000000000001</v>
      </c>
      <c r="D145" s="7">
        <f>IF(VLOOKUP(D$2,行为概览!$D$3:$K$33,8,0)="","",VLOOKUP(D$2,行为概览!$D$3:$K$33,8,0)*玩法行为规划!C145)</f>
        <v>1.1000000000000001</v>
      </c>
      <c r="E145" s="7" t="str">
        <f>IF(VLOOKUP(E$2,行为概览!$D$3:$K$33,8,0)="","",VLOOKUP(E$2,行为概览!$D$3:$K$33,8,0)*玩法行为规划!D145)</f>
        <v/>
      </c>
      <c r="F145" s="7">
        <f>IF(VLOOKUP(F$2,行为概览!$D$3:$K$33,8,0)="","",VLOOKUP(F$2,行为概览!$D$3:$K$33,8,0)*玩法行为规划!E145)</f>
        <v>1.5</v>
      </c>
      <c r="G145" s="7">
        <f>IF(VLOOKUP(G$2,行为概览!$D$3:$K$33,8,0)="","",VLOOKUP(G$2,行为概览!$D$3:$K$33,8,0)*玩法行为规划!F145)</f>
        <v>0.66659999999999997</v>
      </c>
      <c r="H145" s="7" t="str">
        <f>IF(VLOOKUP(H$2,行为概览!$D$3:$K$33,8,0)="","",VLOOKUP(H$2,行为概览!$D$3:$K$33,8,0)*玩法行为规划!G145)</f>
        <v/>
      </c>
      <c r="I145" s="7" t="str">
        <f>IF(VLOOKUP(I$2,行为概览!$D$3:$K$33,8,0)="","",VLOOKUP(I$2,行为概览!$D$3:$K$33,8,0)*玩法行为规划!H145)</f>
        <v/>
      </c>
      <c r="J145" s="7" t="str">
        <f>IF(VLOOKUP(J$2,行为概览!$D$3:$K$33,8,0)="","",VLOOKUP(J$2,行为概览!$D$3:$K$33,8,0)*玩法行为规划!I145)</f>
        <v/>
      </c>
      <c r="K145" s="7">
        <f>IF(VLOOKUP(K$2,行为概览!$D$3:$K$33,8,0)="","",VLOOKUP(K$2,行为概览!$D$3:$K$33,8,0)*玩法行为规划!J145)</f>
        <v>1</v>
      </c>
      <c r="L145" s="7" t="str">
        <f>IF(VLOOKUP(L$2,行为概览!$D$3:$K$33,8,0)="","",VLOOKUP(L$2,行为概览!$D$3:$K$33,8,0)*玩法行为规划!K145)</f>
        <v/>
      </c>
      <c r="M145" s="7" t="str">
        <f>IF(VLOOKUP(M$2,行为概览!$D$3:$K$33,8,0)="","",VLOOKUP(M$2,行为概览!$D$3:$K$33,8,0)*玩法行为规划!L145)</f>
        <v/>
      </c>
      <c r="N145" s="7">
        <f>IF(VLOOKUP(N$2,行为概览!$D$3:$K$33,8,0)="","",VLOOKUP(N$2,行为概览!$D$3:$K$33,8,0)*玩法行为规划!M145)</f>
        <v>12</v>
      </c>
      <c r="O145" s="7" t="str">
        <f>IF(VLOOKUP(O$2,行为概览!$D$3:$K$33,8,0)="","",VLOOKUP(O$2,行为概览!$D$3:$K$33,8,0)*玩法行为规划!N145)</f>
        <v/>
      </c>
      <c r="P145" s="7" t="str">
        <f>IF(VLOOKUP(P$2,行为概览!$D$3:$K$33,8,0)="","",VLOOKUP(P$2,行为概览!$D$3:$K$33,8,0)*玩法行为规划!O145)</f>
        <v/>
      </c>
      <c r="Q145" s="7">
        <f>IF(VLOOKUP(Q$2,行为概览!$D$3:$K$33,8,0)="","",VLOOKUP(Q$2,行为概览!$D$3:$K$33,8,0)*玩法行为规划!P145)</f>
        <v>5.2</v>
      </c>
      <c r="R145" s="7" t="str">
        <f>IF(VLOOKUP(R$2,行为概览!$D$3:$K$33,8,0)="","",VLOOKUP(R$2,行为概览!$D$3:$K$33,8,0)*玩法行为规划!Q145)</f>
        <v/>
      </c>
      <c r="S145" s="7">
        <f>IF(VLOOKUP(S$2,行为概览!$D$3:$K$33,8,0)="","",VLOOKUP(S$2,行为概览!$D$3:$K$33,8,0)*玩法行为规划!R145)</f>
        <v>0.49995000000000001</v>
      </c>
      <c r="T145" s="7">
        <f>IF(VLOOKUP(T$2,行为概览!$D$3:$K$33,8,0)="","",VLOOKUP(T$2,行为概览!$D$3:$K$33,8,0)*玩法行为规划!S145)</f>
        <v>0</v>
      </c>
      <c r="U145" s="7">
        <f>IF(VLOOKUP(U$2,行为概览!$D$3:$K$33,8,0)="","",VLOOKUP(U$2,行为概览!$D$3:$K$33,8,0)*玩法行为规划!T145)</f>
        <v>0.49995000000000001</v>
      </c>
      <c r="V145" s="7">
        <f>IF(VLOOKUP(V$2,行为概览!$D$3:$K$33,8,0)="","",VLOOKUP(V$2,行为概览!$D$3:$K$33,8,0)*玩法行为规划!U145)</f>
        <v>0.33339999999999997</v>
      </c>
      <c r="W145" s="7" t="str">
        <f>IF(VLOOKUP(W$2,行为概览!$D$3:$K$33,8,0)="","",VLOOKUP(W$2,行为概览!$D$3:$K$33,8,0)*玩法行为规划!V145)</f>
        <v/>
      </c>
      <c r="X145" s="7" t="str">
        <f>IF(VLOOKUP(X$2,行为概览!$D$3:$K$33,8,0)="","",VLOOKUP(X$2,行为概览!$D$3:$K$33,8,0)*玩法行为规划!W145)</f>
        <v/>
      </c>
      <c r="Y145" s="7">
        <f>IF(VLOOKUP(Y$2,行为概览!$D$3:$K$33,8,0)="","",VLOOKUP(Y$2,行为概览!$D$3:$K$33,8,0)*玩法行为规划!X145)</f>
        <v>0.25</v>
      </c>
      <c r="Z145" s="7" t="str">
        <f>IF(VLOOKUP(Z$2,行为概览!$D$3:$K$33,8,0)="","",VLOOKUP(Z$2,行为概览!$D$3:$K$33,8,0)*玩法行为规划!Y145)</f>
        <v/>
      </c>
      <c r="AA145" s="7">
        <f>IF(VLOOKUP(AA$2,行为概览!$D$3:$K$33,8,0)="","",VLOOKUP(AA$2,行为概览!$D$3:$K$33,8,0)*玩法行为规划!Z145)</f>
        <v>8.3349999999999994E-2</v>
      </c>
      <c r="AB145" s="7" t="str">
        <f>IF(VLOOKUP(AB$2,行为概览!$D$3:$K$33,8,0)="","",VLOOKUP(AB$2,行为概览!$D$3:$K$33,8,0)*玩法行为规划!AA145)</f>
        <v/>
      </c>
      <c r="AC145" s="7" t="str">
        <f>IF(VLOOKUP(AC$2,行为概览!$D$3:$K$33,8,0)="","",VLOOKUP(AC$2,行为概览!$D$3:$K$33,8,0)*玩法行为规划!AB145)</f>
        <v/>
      </c>
      <c r="AD145" s="7" t="str">
        <f>IF(VLOOKUP(AD$2,行为概览!$D$3:$K$33,8,0)="","",VLOOKUP(AD$2,行为概览!$D$3:$K$33,8,0)*玩法行为规划!AC145)</f>
        <v/>
      </c>
      <c r="AE145" s="7" t="str">
        <f>IF(VLOOKUP(AE$2,行为概览!$D$3:$K$33,8,0)="","",VLOOKUP(AE$2,行为概览!$D$3:$K$33,8,0)*玩法行为规划!AD145)</f>
        <v/>
      </c>
      <c r="AF145" s="7">
        <f t="shared" si="23"/>
        <v>24.133149999999997</v>
      </c>
      <c r="AG145" s="7">
        <f t="shared" si="24"/>
        <v>17255202</v>
      </c>
      <c r="AH145" s="7">
        <f t="shared" si="27"/>
        <v>1095220</v>
      </c>
      <c r="AI145" s="10" t="str">
        <f t="shared" si="18"/>
        <v/>
      </c>
      <c r="AJ145" s="73">
        <f t="shared" si="28"/>
        <v>1022470</v>
      </c>
      <c r="AK145" s="77">
        <f>ROUND(AG145*升级节奏!G145/AJ150,2)</f>
        <v>458.65</v>
      </c>
      <c r="AL145" s="77">
        <f>ROUND(AG145*升级节奏!G145/SUM($AJ$3:AJ150),2)</f>
        <v>9.1999999999999993</v>
      </c>
      <c r="AM145" s="74">
        <f>ROUND(AG145*升级节奏!G145,0)</f>
        <v>502317623</v>
      </c>
      <c r="AN145" s="77">
        <f>ROUND(SUM($AM$3:AM145)/SUM($AJ$3:AJ150),2)</f>
        <v>322.39</v>
      </c>
      <c r="AO145" s="7">
        <f t="shared" si="25"/>
        <v>11917</v>
      </c>
      <c r="AP145" s="7">
        <f t="shared" si="26"/>
        <v>86</v>
      </c>
    </row>
    <row r="146" spans="1:42">
      <c r="A146" s="32">
        <v>144</v>
      </c>
      <c r="B146" s="87">
        <f>升级节奏!D146</f>
        <v>720000</v>
      </c>
      <c r="C146" s="7">
        <f>IF(VLOOKUP(C$2,行为概览!$D$3:$K$33,8,0)="","",VLOOKUP(C$2,行为概览!$D$3:$K$33,8,0)*玩法行为规划!B146)</f>
        <v>0.99990000000000001</v>
      </c>
      <c r="D146" s="7">
        <f>IF(VLOOKUP(D$2,行为概览!$D$3:$K$33,8,0)="","",VLOOKUP(D$2,行为概览!$D$3:$K$33,8,0)*玩法行为规划!C146)</f>
        <v>1.1000000000000001</v>
      </c>
      <c r="E146" s="7" t="str">
        <f>IF(VLOOKUP(E$2,行为概览!$D$3:$K$33,8,0)="","",VLOOKUP(E$2,行为概览!$D$3:$K$33,8,0)*玩法行为规划!D146)</f>
        <v/>
      </c>
      <c r="F146" s="7">
        <f>IF(VLOOKUP(F$2,行为概览!$D$3:$K$33,8,0)="","",VLOOKUP(F$2,行为概览!$D$3:$K$33,8,0)*玩法行为规划!E146)</f>
        <v>1.5</v>
      </c>
      <c r="G146" s="7">
        <f>IF(VLOOKUP(G$2,行为概览!$D$3:$K$33,8,0)="","",VLOOKUP(G$2,行为概览!$D$3:$K$33,8,0)*玩法行为规划!F146)</f>
        <v>0.66659999999999997</v>
      </c>
      <c r="H146" s="7" t="str">
        <f>IF(VLOOKUP(H$2,行为概览!$D$3:$K$33,8,0)="","",VLOOKUP(H$2,行为概览!$D$3:$K$33,8,0)*玩法行为规划!G146)</f>
        <v/>
      </c>
      <c r="I146" s="7" t="str">
        <f>IF(VLOOKUP(I$2,行为概览!$D$3:$K$33,8,0)="","",VLOOKUP(I$2,行为概览!$D$3:$K$33,8,0)*玩法行为规划!H146)</f>
        <v/>
      </c>
      <c r="J146" s="7" t="str">
        <f>IF(VLOOKUP(J$2,行为概览!$D$3:$K$33,8,0)="","",VLOOKUP(J$2,行为概览!$D$3:$K$33,8,0)*玩法行为规划!I146)</f>
        <v/>
      </c>
      <c r="K146" s="7">
        <f>IF(VLOOKUP(K$2,行为概览!$D$3:$K$33,8,0)="","",VLOOKUP(K$2,行为概览!$D$3:$K$33,8,0)*玩法行为规划!J146)</f>
        <v>1</v>
      </c>
      <c r="L146" s="7" t="str">
        <f>IF(VLOOKUP(L$2,行为概览!$D$3:$K$33,8,0)="","",VLOOKUP(L$2,行为概览!$D$3:$K$33,8,0)*玩法行为规划!K146)</f>
        <v/>
      </c>
      <c r="M146" s="7" t="str">
        <f>IF(VLOOKUP(M$2,行为概览!$D$3:$K$33,8,0)="","",VLOOKUP(M$2,行为概览!$D$3:$K$33,8,0)*玩法行为规划!L146)</f>
        <v/>
      </c>
      <c r="N146" s="7">
        <f>IF(VLOOKUP(N$2,行为概览!$D$3:$K$33,8,0)="","",VLOOKUP(N$2,行为概览!$D$3:$K$33,8,0)*玩法行为规划!M146)</f>
        <v>12</v>
      </c>
      <c r="O146" s="7" t="str">
        <f>IF(VLOOKUP(O$2,行为概览!$D$3:$K$33,8,0)="","",VLOOKUP(O$2,行为概览!$D$3:$K$33,8,0)*玩法行为规划!N146)</f>
        <v/>
      </c>
      <c r="P146" s="7" t="str">
        <f>IF(VLOOKUP(P$2,行为概览!$D$3:$K$33,8,0)="","",VLOOKUP(P$2,行为概览!$D$3:$K$33,8,0)*玩法行为规划!O146)</f>
        <v/>
      </c>
      <c r="Q146" s="7">
        <f>IF(VLOOKUP(Q$2,行为概览!$D$3:$K$33,8,0)="","",VLOOKUP(Q$2,行为概览!$D$3:$K$33,8,0)*玩法行为规划!P146)</f>
        <v>5.2</v>
      </c>
      <c r="R146" s="7" t="str">
        <f>IF(VLOOKUP(R$2,行为概览!$D$3:$K$33,8,0)="","",VLOOKUP(R$2,行为概览!$D$3:$K$33,8,0)*玩法行为规划!Q146)</f>
        <v/>
      </c>
      <c r="S146" s="7">
        <f>IF(VLOOKUP(S$2,行为概览!$D$3:$K$33,8,0)="","",VLOOKUP(S$2,行为概览!$D$3:$K$33,8,0)*玩法行为规划!R146)</f>
        <v>0.49995000000000001</v>
      </c>
      <c r="T146" s="7">
        <f>IF(VLOOKUP(T$2,行为概览!$D$3:$K$33,8,0)="","",VLOOKUP(T$2,行为概览!$D$3:$K$33,8,0)*玩法行为规划!S146)</f>
        <v>0</v>
      </c>
      <c r="U146" s="7">
        <f>IF(VLOOKUP(U$2,行为概览!$D$3:$K$33,8,0)="","",VLOOKUP(U$2,行为概览!$D$3:$K$33,8,0)*玩法行为规划!T146)</f>
        <v>0.49995000000000001</v>
      </c>
      <c r="V146" s="7">
        <f>IF(VLOOKUP(V$2,行为概览!$D$3:$K$33,8,0)="","",VLOOKUP(V$2,行为概览!$D$3:$K$33,8,0)*玩法行为规划!U146)</f>
        <v>0.33339999999999997</v>
      </c>
      <c r="W146" s="7" t="str">
        <f>IF(VLOOKUP(W$2,行为概览!$D$3:$K$33,8,0)="","",VLOOKUP(W$2,行为概览!$D$3:$K$33,8,0)*玩法行为规划!V146)</f>
        <v/>
      </c>
      <c r="X146" s="7" t="str">
        <f>IF(VLOOKUP(X$2,行为概览!$D$3:$K$33,8,0)="","",VLOOKUP(X$2,行为概览!$D$3:$K$33,8,0)*玩法行为规划!W146)</f>
        <v/>
      </c>
      <c r="Y146" s="7">
        <f>IF(VLOOKUP(Y$2,行为概览!$D$3:$K$33,8,0)="","",VLOOKUP(Y$2,行为概览!$D$3:$K$33,8,0)*玩法行为规划!X146)</f>
        <v>0.25</v>
      </c>
      <c r="Z146" s="7" t="str">
        <f>IF(VLOOKUP(Z$2,行为概览!$D$3:$K$33,8,0)="","",VLOOKUP(Z$2,行为概览!$D$3:$K$33,8,0)*玩法行为规划!Y146)</f>
        <v/>
      </c>
      <c r="AA146" s="7">
        <f>IF(VLOOKUP(AA$2,行为概览!$D$3:$K$33,8,0)="","",VLOOKUP(AA$2,行为概览!$D$3:$K$33,8,0)*玩法行为规划!Z146)</f>
        <v>8.3349999999999994E-2</v>
      </c>
      <c r="AB146" s="7" t="str">
        <f>IF(VLOOKUP(AB$2,行为概览!$D$3:$K$33,8,0)="","",VLOOKUP(AB$2,行为概览!$D$3:$K$33,8,0)*玩法行为规划!AA146)</f>
        <v/>
      </c>
      <c r="AC146" s="7" t="str">
        <f>IF(VLOOKUP(AC$2,行为概览!$D$3:$K$33,8,0)="","",VLOOKUP(AC$2,行为概览!$D$3:$K$33,8,0)*玩法行为规划!AB146)</f>
        <v/>
      </c>
      <c r="AD146" s="7" t="str">
        <f>IF(VLOOKUP(AD$2,行为概览!$D$3:$K$33,8,0)="","",VLOOKUP(AD$2,行为概览!$D$3:$K$33,8,0)*玩法行为规划!AC146)</f>
        <v/>
      </c>
      <c r="AE146" s="7" t="str">
        <f>IF(VLOOKUP(AE$2,行为概览!$D$3:$K$33,8,0)="","",VLOOKUP(AE$2,行为概览!$D$3:$K$33,8,0)*玩法行为规划!AD146)</f>
        <v/>
      </c>
      <c r="AF146" s="7">
        <f t="shared" si="23"/>
        <v>24.133149999999997</v>
      </c>
      <c r="AG146" s="7">
        <f t="shared" si="24"/>
        <v>17375868</v>
      </c>
      <c r="AH146" s="7">
        <f t="shared" si="27"/>
        <v>1110070</v>
      </c>
      <c r="AI146" s="10" t="str">
        <f t="shared" si="18"/>
        <v/>
      </c>
      <c r="AJ146" s="73">
        <f t="shared" si="28"/>
        <v>1036820</v>
      </c>
      <c r="AK146" s="77">
        <f>ROUND(AG146*升级节奏!G146/AJ151,2)</f>
        <v>462.04</v>
      </c>
      <c r="AL146" s="77">
        <f>ROUND(AG146*升级节奏!G146/SUM($AJ$3:AJ151),2)</f>
        <v>9.2100000000000009</v>
      </c>
      <c r="AM146" s="74">
        <f>ROUND(AG146*升级节奏!G146,0)</f>
        <v>512895080</v>
      </c>
      <c r="AN146" s="77">
        <f>ROUND(SUM($AM$3:AM146)/SUM($AJ$3:AJ151),2)</f>
        <v>325.18</v>
      </c>
      <c r="AO146" s="7">
        <f t="shared" si="25"/>
        <v>12000</v>
      </c>
      <c r="AP146" s="7">
        <f t="shared" si="26"/>
        <v>86</v>
      </c>
    </row>
    <row r="147" spans="1:42">
      <c r="A147" s="32">
        <v>145</v>
      </c>
      <c r="B147" s="87">
        <f>升级节奏!D147</f>
        <v>725000</v>
      </c>
      <c r="C147" s="7">
        <f>IF(VLOOKUP(C$2,行为概览!$D$3:$K$33,8,0)="","",VLOOKUP(C$2,行为概览!$D$3:$K$33,8,0)*玩法行为规划!B147)</f>
        <v>0.99990000000000001</v>
      </c>
      <c r="D147" s="7">
        <f>IF(VLOOKUP(D$2,行为概览!$D$3:$K$33,8,0)="","",VLOOKUP(D$2,行为概览!$D$3:$K$33,8,0)*玩法行为规划!C147)</f>
        <v>1.1000000000000001</v>
      </c>
      <c r="E147" s="7" t="str">
        <f>IF(VLOOKUP(E$2,行为概览!$D$3:$K$33,8,0)="","",VLOOKUP(E$2,行为概览!$D$3:$K$33,8,0)*玩法行为规划!D147)</f>
        <v/>
      </c>
      <c r="F147" s="7">
        <f>IF(VLOOKUP(F$2,行为概览!$D$3:$K$33,8,0)="","",VLOOKUP(F$2,行为概览!$D$3:$K$33,8,0)*玩法行为规划!E147)</f>
        <v>1.5</v>
      </c>
      <c r="G147" s="7">
        <f>IF(VLOOKUP(G$2,行为概览!$D$3:$K$33,8,0)="","",VLOOKUP(G$2,行为概览!$D$3:$K$33,8,0)*玩法行为规划!F147)</f>
        <v>0.66659999999999997</v>
      </c>
      <c r="H147" s="7" t="str">
        <f>IF(VLOOKUP(H$2,行为概览!$D$3:$K$33,8,0)="","",VLOOKUP(H$2,行为概览!$D$3:$K$33,8,0)*玩法行为规划!G147)</f>
        <v/>
      </c>
      <c r="I147" s="7" t="str">
        <f>IF(VLOOKUP(I$2,行为概览!$D$3:$K$33,8,0)="","",VLOOKUP(I$2,行为概览!$D$3:$K$33,8,0)*玩法行为规划!H147)</f>
        <v/>
      </c>
      <c r="J147" s="7" t="str">
        <f>IF(VLOOKUP(J$2,行为概览!$D$3:$K$33,8,0)="","",VLOOKUP(J$2,行为概览!$D$3:$K$33,8,0)*玩法行为规划!I147)</f>
        <v/>
      </c>
      <c r="K147" s="7">
        <f>IF(VLOOKUP(K$2,行为概览!$D$3:$K$33,8,0)="","",VLOOKUP(K$2,行为概览!$D$3:$K$33,8,0)*玩法行为规划!J147)</f>
        <v>1</v>
      </c>
      <c r="L147" s="7" t="str">
        <f>IF(VLOOKUP(L$2,行为概览!$D$3:$K$33,8,0)="","",VLOOKUP(L$2,行为概览!$D$3:$K$33,8,0)*玩法行为规划!K147)</f>
        <v/>
      </c>
      <c r="M147" s="7" t="str">
        <f>IF(VLOOKUP(M$2,行为概览!$D$3:$K$33,8,0)="","",VLOOKUP(M$2,行为概览!$D$3:$K$33,8,0)*玩法行为规划!L147)</f>
        <v/>
      </c>
      <c r="N147" s="7">
        <f>IF(VLOOKUP(N$2,行为概览!$D$3:$K$33,8,0)="","",VLOOKUP(N$2,行为概览!$D$3:$K$33,8,0)*玩法行为规划!M147)</f>
        <v>12</v>
      </c>
      <c r="O147" s="7" t="str">
        <f>IF(VLOOKUP(O$2,行为概览!$D$3:$K$33,8,0)="","",VLOOKUP(O$2,行为概览!$D$3:$K$33,8,0)*玩法行为规划!N147)</f>
        <v/>
      </c>
      <c r="P147" s="7" t="str">
        <f>IF(VLOOKUP(P$2,行为概览!$D$3:$K$33,8,0)="","",VLOOKUP(P$2,行为概览!$D$3:$K$33,8,0)*玩法行为规划!O147)</f>
        <v/>
      </c>
      <c r="Q147" s="7">
        <f>IF(VLOOKUP(Q$2,行为概览!$D$3:$K$33,8,0)="","",VLOOKUP(Q$2,行为概览!$D$3:$K$33,8,0)*玩法行为规划!P147)</f>
        <v>5.2</v>
      </c>
      <c r="R147" s="7" t="str">
        <f>IF(VLOOKUP(R$2,行为概览!$D$3:$K$33,8,0)="","",VLOOKUP(R$2,行为概览!$D$3:$K$33,8,0)*玩法行为规划!Q147)</f>
        <v/>
      </c>
      <c r="S147" s="7">
        <f>IF(VLOOKUP(S$2,行为概览!$D$3:$K$33,8,0)="","",VLOOKUP(S$2,行为概览!$D$3:$K$33,8,0)*玩法行为规划!R147)</f>
        <v>0.49995000000000001</v>
      </c>
      <c r="T147" s="7">
        <f>IF(VLOOKUP(T$2,行为概览!$D$3:$K$33,8,0)="","",VLOOKUP(T$2,行为概览!$D$3:$K$33,8,0)*玩法行为规划!S147)</f>
        <v>0</v>
      </c>
      <c r="U147" s="7">
        <f>IF(VLOOKUP(U$2,行为概览!$D$3:$K$33,8,0)="","",VLOOKUP(U$2,行为概览!$D$3:$K$33,8,0)*玩法行为规划!T147)</f>
        <v>0.49995000000000001</v>
      </c>
      <c r="V147" s="7">
        <f>IF(VLOOKUP(V$2,行为概览!$D$3:$K$33,8,0)="","",VLOOKUP(V$2,行为概览!$D$3:$K$33,8,0)*玩法行为规划!U147)</f>
        <v>0.33339999999999997</v>
      </c>
      <c r="W147" s="7" t="str">
        <f>IF(VLOOKUP(W$2,行为概览!$D$3:$K$33,8,0)="","",VLOOKUP(W$2,行为概览!$D$3:$K$33,8,0)*玩法行为规划!V147)</f>
        <v/>
      </c>
      <c r="X147" s="7" t="str">
        <f>IF(VLOOKUP(X$2,行为概览!$D$3:$K$33,8,0)="","",VLOOKUP(X$2,行为概览!$D$3:$K$33,8,0)*玩法行为规划!W147)</f>
        <v/>
      </c>
      <c r="Y147" s="7">
        <f>IF(VLOOKUP(Y$2,行为概览!$D$3:$K$33,8,0)="","",VLOOKUP(Y$2,行为概览!$D$3:$K$33,8,0)*玩法行为规划!X147)</f>
        <v>0.25</v>
      </c>
      <c r="Z147" s="7" t="str">
        <f>IF(VLOOKUP(Z$2,行为概览!$D$3:$K$33,8,0)="","",VLOOKUP(Z$2,行为概览!$D$3:$K$33,8,0)*玩法行为规划!Y147)</f>
        <v/>
      </c>
      <c r="AA147" s="7">
        <f>IF(VLOOKUP(AA$2,行为概览!$D$3:$K$33,8,0)="","",VLOOKUP(AA$2,行为概览!$D$3:$K$33,8,0)*玩法行为规划!Z147)</f>
        <v>8.3349999999999994E-2</v>
      </c>
      <c r="AB147" s="7" t="str">
        <f>IF(VLOOKUP(AB$2,行为概览!$D$3:$K$33,8,0)="","",VLOOKUP(AB$2,行为概览!$D$3:$K$33,8,0)*玩法行为规划!AA147)</f>
        <v/>
      </c>
      <c r="AC147" s="7" t="str">
        <f>IF(VLOOKUP(AC$2,行为概览!$D$3:$K$33,8,0)="","",VLOOKUP(AC$2,行为概览!$D$3:$K$33,8,0)*玩法行为规划!AB147)</f>
        <v/>
      </c>
      <c r="AD147" s="7" t="str">
        <f>IF(VLOOKUP(AD$2,行为概览!$D$3:$K$33,8,0)="","",VLOOKUP(AD$2,行为概览!$D$3:$K$33,8,0)*玩法行为规划!AC147)</f>
        <v/>
      </c>
      <c r="AE147" s="7" t="str">
        <f>IF(VLOOKUP(AE$2,行为概览!$D$3:$K$33,8,0)="","",VLOOKUP(AE$2,行为概览!$D$3:$K$33,8,0)*玩法行为规划!AD147)</f>
        <v/>
      </c>
      <c r="AF147" s="7">
        <f t="shared" si="23"/>
        <v>24.133149999999997</v>
      </c>
      <c r="AG147" s="7">
        <f t="shared" si="24"/>
        <v>17496533</v>
      </c>
      <c r="AH147" s="7">
        <f t="shared" si="27"/>
        <v>1125020</v>
      </c>
      <c r="AI147" s="10" t="str">
        <f t="shared" si="18"/>
        <v/>
      </c>
      <c r="AJ147" s="73">
        <f t="shared" si="28"/>
        <v>1051270</v>
      </c>
      <c r="AK147" s="77">
        <f>ROUND(AG147*升级节奏!G147/AJ152,2)</f>
        <v>465.43</v>
      </c>
      <c r="AL147" s="77">
        <f>ROUND(AG147*升级节奏!G147/SUM($AJ$3:AJ152),2)</f>
        <v>9.2200000000000006</v>
      </c>
      <c r="AM147" s="74">
        <f>ROUND(AG147*升级节奏!G147,0)</f>
        <v>523620201</v>
      </c>
      <c r="AN147" s="77">
        <f>ROUND(SUM($AM$3:AM147)/SUM($AJ$3:AJ152),2)</f>
        <v>327.96</v>
      </c>
      <c r="AO147" s="7">
        <f t="shared" si="25"/>
        <v>12083</v>
      </c>
      <c r="AP147" s="7">
        <f t="shared" si="26"/>
        <v>87</v>
      </c>
    </row>
    <row r="148" spans="1:42">
      <c r="A148" s="32">
        <v>146</v>
      </c>
      <c r="B148" s="87">
        <f>升级节奏!D148</f>
        <v>730000</v>
      </c>
      <c r="C148" s="7">
        <f>IF(VLOOKUP(C$2,行为概览!$D$3:$K$33,8,0)="","",VLOOKUP(C$2,行为概览!$D$3:$K$33,8,0)*玩法行为规划!B148)</f>
        <v>0.99990000000000001</v>
      </c>
      <c r="D148" s="7">
        <f>IF(VLOOKUP(D$2,行为概览!$D$3:$K$33,8,0)="","",VLOOKUP(D$2,行为概览!$D$3:$K$33,8,0)*玩法行为规划!C148)</f>
        <v>1.1000000000000001</v>
      </c>
      <c r="E148" s="7" t="str">
        <f>IF(VLOOKUP(E$2,行为概览!$D$3:$K$33,8,0)="","",VLOOKUP(E$2,行为概览!$D$3:$K$33,8,0)*玩法行为规划!D148)</f>
        <v/>
      </c>
      <c r="F148" s="7">
        <f>IF(VLOOKUP(F$2,行为概览!$D$3:$K$33,8,0)="","",VLOOKUP(F$2,行为概览!$D$3:$K$33,8,0)*玩法行为规划!E148)</f>
        <v>1.5</v>
      </c>
      <c r="G148" s="7">
        <f>IF(VLOOKUP(G$2,行为概览!$D$3:$K$33,8,0)="","",VLOOKUP(G$2,行为概览!$D$3:$K$33,8,0)*玩法行为规划!F148)</f>
        <v>0.66659999999999997</v>
      </c>
      <c r="H148" s="7" t="str">
        <f>IF(VLOOKUP(H$2,行为概览!$D$3:$K$33,8,0)="","",VLOOKUP(H$2,行为概览!$D$3:$K$33,8,0)*玩法行为规划!G148)</f>
        <v/>
      </c>
      <c r="I148" s="7" t="str">
        <f>IF(VLOOKUP(I$2,行为概览!$D$3:$K$33,8,0)="","",VLOOKUP(I$2,行为概览!$D$3:$K$33,8,0)*玩法行为规划!H148)</f>
        <v/>
      </c>
      <c r="J148" s="7" t="str">
        <f>IF(VLOOKUP(J$2,行为概览!$D$3:$K$33,8,0)="","",VLOOKUP(J$2,行为概览!$D$3:$K$33,8,0)*玩法行为规划!I148)</f>
        <v/>
      </c>
      <c r="K148" s="7">
        <f>IF(VLOOKUP(K$2,行为概览!$D$3:$K$33,8,0)="","",VLOOKUP(K$2,行为概览!$D$3:$K$33,8,0)*玩法行为规划!J148)</f>
        <v>1</v>
      </c>
      <c r="L148" s="7" t="str">
        <f>IF(VLOOKUP(L$2,行为概览!$D$3:$K$33,8,0)="","",VLOOKUP(L$2,行为概览!$D$3:$K$33,8,0)*玩法行为规划!K148)</f>
        <v/>
      </c>
      <c r="M148" s="7" t="str">
        <f>IF(VLOOKUP(M$2,行为概览!$D$3:$K$33,8,0)="","",VLOOKUP(M$2,行为概览!$D$3:$K$33,8,0)*玩法行为规划!L148)</f>
        <v/>
      </c>
      <c r="N148" s="7">
        <f>IF(VLOOKUP(N$2,行为概览!$D$3:$K$33,8,0)="","",VLOOKUP(N$2,行为概览!$D$3:$K$33,8,0)*玩法行为规划!M148)</f>
        <v>12</v>
      </c>
      <c r="O148" s="7" t="str">
        <f>IF(VLOOKUP(O$2,行为概览!$D$3:$K$33,8,0)="","",VLOOKUP(O$2,行为概览!$D$3:$K$33,8,0)*玩法行为规划!N148)</f>
        <v/>
      </c>
      <c r="P148" s="7" t="str">
        <f>IF(VLOOKUP(P$2,行为概览!$D$3:$K$33,8,0)="","",VLOOKUP(P$2,行为概览!$D$3:$K$33,8,0)*玩法行为规划!O148)</f>
        <v/>
      </c>
      <c r="Q148" s="7">
        <f>IF(VLOOKUP(Q$2,行为概览!$D$3:$K$33,8,0)="","",VLOOKUP(Q$2,行为概览!$D$3:$K$33,8,0)*玩法行为规划!P148)</f>
        <v>5.2</v>
      </c>
      <c r="R148" s="7" t="str">
        <f>IF(VLOOKUP(R$2,行为概览!$D$3:$K$33,8,0)="","",VLOOKUP(R$2,行为概览!$D$3:$K$33,8,0)*玩法行为规划!Q148)</f>
        <v/>
      </c>
      <c r="S148" s="7">
        <f>IF(VLOOKUP(S$2,行为概览!$D$3:$K$33,8,0)="","",VLOOKUP(S$2,行为概览!$D$3:$K$33,8,0)*玩法行为规划!R148)</f>
        <v>0.49995000000000001</v>
      </c>
      <c r="T148" s="7">
        <f>IF(VLOOKUP(T$2,行为概览!$D$3:$K$33,8,0)="","",VLOOKUP(T$2,行为概览!$D$3:$K$33,8,0)*玩法行为规划!S148)</f>
        <v>0</v>
      </c>
      <c r="U148" s="7">
        <f>IF(VLOOKUP(U$2,行为概览!$D$3:$K$33,8,0)="","",VLOOKUP(U$2,行为概览!$D$3:$K$33,8,0)*玩法行为规划!T148)</f>
        <v>0.49995000000000001</v>
      </c>
      <c r="V148" s="7">
        <f>IF(VLOOKUP(V$2,行为概览!$D$3:$K$33,8,0)="","",VLOOKUP(V$2,行为概览!$D$3:$K$33,8,0)*玩法行为规划!U148)</f>
        <v>0.33339999999999997</v>
      </c>
      <c r="W148" s="7" t="str">
        <f>IF(VLOOKUP(W$2,行为概览!$D$3:$K$33,8,0)="","",VLOOKUP(W$2,行为概览!$D$3:$K$33,8,0)*玩法行为规划!V148)</f>
        <v/>
      </c>
      <c r="X148" s="7" t="str">
        <f>IF(VLOOKUP(X$2,行为概览!$D$3:$K$33,8,0)="","",VLOOKUP(X$2,行为概览!$D$3:$K$33,8,0)*玩法行为规划!W148)</f>
        <v/>
      </c>
      <c r="Y148" s="7">
        <f>IF(VLOOKUP(Y$2,行为概览!$D$3:$K$33,8,0)="","",VLOOKUP(Y$2,行为概览!$D$3:$K$33,8,0)*玩法行为规划!X148)</f>
        <v>0.25</v>
      </c>
      <c r="Z148" s="7" t="str">
        <f>IF(VLOOKUP(Z$2,行为概览!$D$3:$K$33,8,0)="","",VLOOKUP(Z$2,行为概览!$D$3:$K$33,8,0)*玩法行为规划!Y148)</f>
        <v/>
      </c>
      <c r="AA148" s="7">
        <f>IF(VLOOKUP(AA$2,行为概览!$D$3:$K$33,8,0)="","",VLOOKUP(AA$2,行为概览!$D$3:$K$33,8,0)*玩法行为规划!Z148)</f>
        <v>8.3349999999999994E-2</v>
      </c>
      <c r="AB148" s="7" t="str">
        <f>IF(VLOOKUP(AB$2,行为概览!$D$3:$K$33,8,0)="","",VLOOKUP(AB$2,行为概览!$D$3:$K$33,8,0)*玩法行为规划!AA148)</f>
        <v/>
      </c>
      <c r="AC148" s="7" t="str">
        <f>IF(VLOOKUP(AC$2,行为概览!$D$3:$K$33,8,0)="","",VLOOKUP(AC$2,行为概览!$D$3:$K$33,8,0)*玩法行为规划!AB148)</f>
        <v/>
      </c>
      <c r="AD148" s="7" t="str">
        <f>IF(VLOOKUP(AD$2,行为概览!$D$3:$K$33,8,0)="","",VLOOKUP(AD$2,行为概览!$D$3:$K$33,8,0)*玩法行为规划!AC148)</f>
        <v/>
      </c>
      <c r="AE148" s="7" t="str">
        <f>IF(VLOOKUP(AE$2,行为概览!$D$3:$K$33,8,0)="","",VLOOKUP(AE$2,行为概览!$D$3:$K$33,8,0)*玩法行为规划!AD148)</f>
        <v/>
      </c>
      <c r="AF148" s="7">
        <f t="shared" si="23"/>
        <v>24.133149999999997</v>
      </c>
      <c r="AG148" s="7">
        <f t="shared" si="24"/>
        <v>17617199</v>
      </c>
      <c r="AH148" s="7">
        <f>AH147</f>
        <v>1125020</v>
      </c>
      <c r="AI148" s="10" t="str">
        <f t="shared" si="18"/>
        <v/>
      </c>
      <c r="AJ148" s="73">
        <f t="shared" si="28"/>
        <v>1065820</v>
      </c>
      <c r="AK148" s="77">
        <f>ROUND(AG148*升级节奏!G148/AJ$152,2)</f>
        <v>475.1</v>
      </c>
      <c r="AL148" s="77">
        <f>ROUND(AG148*升级节奏!G148/SUM($AJ$3:AJ153),2)</f>
        <v>9.41</v>
      </c>
      <c r="AM148" s="74">
        <f>ROUND(AG148*升级节奏!G148,0)</f>
        <v>534494073</v>
      </c>
      <c r="AN148" s="77">
        <f>ROUND(SUM($AM$3:AM148)/SUM($AJ$3:AJ153),2)</f>
        <v>337.36</v>
      </c>
      <c r="AO148" s="7">
        <f t="shared" si="25"/>
        <v>12167</v>
      </c>
      <c r="AP148" s="7">
        <f t="shared" si="26"/>
        <v>88</v>
      </c>
    </row>
    <row r="149" spans="1:42">
      <c r="A149" s="32">
        <v>147</v>
      </c>
      <c r="B149" s="87">
        <f>升级节奏!D149</f>
        <v>735000</v>
      </c>
      <c r="C149" s="7">
        <f>IF(VLOOKUP(C$2,行为概览!$D$3:$K$33,8,0)="","",VLOOKUP(C$2,行为概览!$D$3:$K$33,8,0)*玩法行为规划!B149)</f>
        <v>0.99990000000000001</v>
      </c>
      <c r="D149" s="7">
        <f>IF(VLOOKUP(D$2,行为概览!$D$3:$K$33,8,0)="","",VLOOKUP(D$2,行为概览!$D$3:$K$33,8,0)*玩法行为规划!C149)</f>
        <v>1.1000000000000001</v>
      </c>
      <c r="E149" s="7" t="str">
        <f>IF(VLOOKUP(E$2,行为概览!$D$3:$K$33,8,0)="","",VLOOKUP(E$2,行为概览!$D$3:$K$33,8,0)*玩法行为规划!D149)</f>
        <v/>
      </c>
      <c r="F149" s="7">
        <f>IF(VLOOKUP(F$2,行为概览!$D$3:$K$33,8,0)="","",VLOOKUP(F$2,行为概览!$D$3:$K$33,8,0)*玩法行为规划!E149)</f>
        <v>1.5</v>
      </c>
      <c r="G149" s="7">
        <f>IF(VLOOKUP(G$2,行为概览!$D$3:$K$33,8,0)="","",VLOOKUP(G$2,行为概览!$D$3:$K$33,8,0)*玩法行为规划!F149)</f>
        <v>0.66659999999999997</v>
      </c>
      <c r="H149" s="7" t="str">
        <f>IF(VLOOKUP(H$2,行为概览!$D$3:$K$33,8,0)="","",VLOOKUP(H$2,行为概览!$D$3:$K$33,8,0)*玩法行为规划!G149)</f>
        <v/>
      </c>
      <c r="I149" s="7" t="str">
        <f>IF(VLOOKUP(I$2,行为概览!$D$3:$K$33,8,0)="","",VLOOKUP(I$2,行为概览!$D$3:$K$33,8,0)*玩法行为规划!H149)</f>
        <v/>
      </c>
      <c r="J149" s="7" t="str">
        <f>IF(VLOOKUP(J$2,行为概览!$D$3:$K$33,8,0)="","",VLOOKUP(J$2,行为概览!$D$3:$K$33,8,0)*玩法行为规划!I149)</f>
        <v/>
      </c>
      <c r="K149" s="7">
        <f>IF(VLOOKUP(K$2,行为概览!$D$3:$K$33,8,0)="","",VLOOKUP(K$2,行为概览!$D$3:$K$33,8,0)*玩法行为规划!J149)</f>
        <v>1</v>
      </c>
      <c r="L149" s="7" t="str">
        <f>IF(VLOOKUP(L$2,行为概览!$D$3:$K$33,8,0)="","",VLOOKUP(L$2,行为概览!$D$3:$K$33,8,0)*玩法行为规划!K149)</f>
        <v/>
      </c>
      <c r="M149" s="7" t="str">
        <f>IF(VLOOKUP(M$2,行为概览!$D$3:$K$33,8,0)="","",VLOOKUP(M$2,行为概览!$D$3:$K$33,8,0)*玩法行为规划!L149)</f>
        <v/>
      </c>
      <c r="N149" s="7">
        <f>IF(VLOOKUP(N$2,行为概览!$D$3:$K$33,8,0)="","",VLOOKUP(N$2,行为概览!$D$3:$K$33,8,0)*玩法行为规划!M149)</f>
        <v>12</v>
      </c>
      <c r="O149" s="7" t="str">
        <f>IF(VLOOKUP(O$2,行为概览!$D$3:$K$33,8,0)="","",VLOOKUP(O$2,行为概览!$D$3:$K$33,8,0)*玩法行为规划!N149)</f>
        <v/>
      </c>
      <c r="P149" s="7" t="str">
        <f>IF(VLOOKUP(P$2,行为概览!$D$3:$K$33,8,0)="","",VLOOKUP(P$2,行为概览!$D$3:$K$33,8,0)*玩法行为规划!O149)</f>
        <v/>
      </c>
      <c r="Q149" s="7">
        <f>IF(VLOOKUP(Q$2,行为概览!$D$3:$K$33,8,0)="","",VLOOKUP(Q$2,行为概览!$D$3:$K$33,8,0)*玩法行为规划!P149)</f>
        <v>5.2</v>
      </c>
      <c r="R149" s="7" t="str">
        <f>IF(VLOOKUP(R$2,行为概览!$D$3:$K$33,8,0)="","",VLOOKUP(R$2,行为概览!$D$3:$K$33,8,0)*玩法行为规划!Q149)</f>
        <v/>
      </c>
      <c r="S149" s="7">
        <f>IF(VLOOKUP(S$2,行为概览!$D$3:$K$33,8,0)="","",VLOOKUP(S$2,行为概览!$D$3:$K$33,8,0)*玩法行为规划!R149)</f>
        <v>0.49995000000000001</v>
      </c>
      <c r="T149" s="7">
        <f>IF(VLOOKUP(T$2,行为概览!$D$3:$K$33,8,0)="","",VLOOKUP(T$2,行为概览!$D$3:$K$33,8,0)*玩法行为规划!S149)</f>
        <v>0</v>
      </c>
      <c r="U149" s="7">
        <f>IF(VLOOKUP(U$2,行为概览!$D$3:$K$33,8,0)="","",VLOOKUP(U$2,行为概览!$D$3:$K$33,8,0)*玩法行为规划!T149)</f>
        <v>0.49995000000000001</v>
      </c>
      <c r="V149" s="7">
        <f>IF(VLOOKUP(V$2,行为概览!$D$3:$K$33,8,0)="","",VLOOKUP(V$2,行为概览!$D$3:$K$33,8,0)*玩法行为规划!U149)</f>
        <v>0.33339999999999997</v>
      </c>
      <c r="W149" s="7" t="str">
        <f>IF(VLOOKUP(W$2,行为概览!$D$3:$K$33,8,0)="","",VLOOKUP(W$2,行为概览!$D$3:$K$33,8,0)*玩法行为规划!V149)</f>
        <v/>
      </c>
      <c r="X149" s="7" t="str">
        <f>IF(VLOOKUP(X$2,行为概览!$D$3:$K$33,8,0)="","",VLOOKUP(X$2,行为概览!$D$3:$K$33,8,0)*玩法行为规划!W149)</f>
        <v/>
      </c>
      <c r="Y149" s="7">
        <f>IF(VLOOKUP(Y$2,行为概览!$D$3:$K$33,8,0)="","",VLOOKUP(Y$2,行为概览!$D$3:$K$33,8,0)*玩法行为规划!X149)</f>
        <v>0.25</v>
      </c>
      <c r="Z149" s="7" t="str">
        <f>IF(VLOOKUP(Z$2,行为概览!$D$3:$K$33,8,0)="","",VLOOKUP(Z$2,行为概览!$D$3:$K$33,8,0)*玩法行为规划!Y149)</f>
        <v/>
      </c>
      <c r="AA149" s="7">
        <f>IF(VLOOKUP(AA$2,行为概览!$D$3:$K$33,8,0)="","",VLOOKUP(AA$2,行为概览!$D$3:$K$33,8,0)*玩法行为规划!Z149)</f>
        <v>8.3349999999999994E-2</v>
      </c>
      <c r="AB149" s="7" t="str">
        <f>IF(VLOOKUP(AB$2,行为概览!$D$3:$K$33,8,0)="","",VLOOKUP(AB$2,行为概览!$D$3:$K$33,8,0)*玩法行为规划!AA149)</f>
        <v/>
      </c>
      <c r="AC149" s="7" t="str">
        <f>IF(VLOOKUP(AC$2,行为概览!$D$3:$K$33,8,0)="","",VLOOKUP(AC$2,行为概览!$D$3:$K$33,8,0)*玩法行为规划!AB149)</f>
        <v/>
      </c>
      <c r="AD149" s="7" t="str">
        <f>IF(VLOOKUP(AD$2,行为概览!$D$3:$K$33,8,0)="","",VLOOKUP(AD$2,行为概览!$D$3:$K$33,8,0)*玩法行为规划!AC149)</f>
        <v/>
      </c>
      <c r="AE149" s="7" t="str">
        <f>IF(VLOOKUP(AE$2,行为概览!$D$3:$K$33,8,0)="","",VLOOKUP(AE$2,行为概览!$D$3:$K$33,8,0)*玩法行为规划!AD149)</f>
        <v/>
      </c>
      <c r="AF149" s="7">
        <f t="shared" si="23"/>
        <v>24.133149999999997</v>
      </c>
      <c r="AG149" s="7">
        <f t="shared" si="24"/>
        <v>17737865</v>
      </c>
      <c r="AH149" s="7">
        <f t="shared" ref="AH149:AH152" si="29">AH148</f>
        <v>1125020</v>
      </c>
      <c r="AI149" s="10" t="str">
        <f t="shared" si="18"/>
        <v/>
      </c>
      <c r="AJ149" s="73">
        <f t="shared" si="28"/>
        <v>1080470</v>
      </c>
      <c r="AK149" s="77">
        <f>ROUND(AG149*升级节奏!G149/AJ$152,2)</f>
        <v>484.9</v>
      </c>
      <c r="AL149" s="77">
        <f>ROUND(AG149*升级节奏!G149/SUM($AJ$3:AJ154),2)</f>
        <v>9.6</v>
      </c>
      <c r="AM149" s="74">
        <f>ROUND(AG149*升级节奏!G149,0)</f>
        <v>545517691</v>
      </c>
      <c r="AN149" s="77">
        <f>ROUND(SUM($AM$3:AM149)/SUM($AJ$3:AJ154),2)</f>
        <v>346.96</v>
      </c>
      <c r="AO149" s="7">
        <f t="shared" si="25"/>
        <v>12250</v>
      </c>
      <c r="AP149" s="7">
        <f t="shared" si="26"/>
        <v>88</v>
      </c>
    </row>
    <row r="150" spans="1:42">
      <c r="A150" s="32">
        <v>148</v>
      </c>
      <c r="B150" s="87">
        <f>升级节奏!D150</f>
        <v>740000</v>
      </c>
      <c r="C150" s="7">
        <f>IF(VLOOKUP(C$2,行为概览!$D$3:$K$33,8,0)="","",VLOOKUP(C$2,行为概览!$D$3:$K$33,8,0)*玩法行为规划!B150)</f>
        <v>0.99990000000000001</v>
      </c>
      <c r="D150" s="7">
        <f>IF(VLOOKUP(D$2,行为概览!$D$3:$K$33,8,0)="","",VLOOKUP(D$2,行为概览!$D$3:$K$33,8,0)*玩法行为规划!C150)</f>
        <v>1.1000000000000001</v>
      </c>
      <c r="E150" s="7" t="str">
        <f>IF(VLOOKUP(E$2,行为概览!$D$3:$K$33,8,0)="","",VLOOKUP(E$2,行为概览!$D$3:$K$33,8,0)*玩法行为规划!D150)</f>
        <v/>
      </c>
      <c r="F150" s="7">
        <f>IF(VLOOKUP(F$2,行为概览!$D$3:$K$33,8,0)="","",VLOOKUP(F$2,行为概览!$D$3:$K$33,8,0)*玩法行为规划!E150)</f>
        <v>1.5</v>
      </c>
      <c r="G150" s="7">
        <f>IF(VLOOKUP(G$2,行为概览!$D$3:$K$33,8,0)="","",VLOOKUP(G$2,行为概览!$D$3:$K$33,8,0)*玩法行为规划!F150)</f>
        <v>0.66659999999999997</v>
      </c>
      <c r="H150" s="7" t="str">
        <f>IF(VLOOKUP(H$2,行为概览!$D$3:$K$33,8,0)="","",VLOOKUP(H$2,行为概览!$D$3:$K$33,8,0)*玩法行为规划!G150)</f>
        <v/>
      </c>
      <c r="I150" s="7" t="str">
        <f>IF(VLOOKUP(I$2,行为概览!$D$3:$K$33,8,0)="","",VLOOKUP(I$2,行为概览!$D$3:$K$33,8,0)*玩法行为规划!H150)</f>
        <v/>
      </c>
      <c r="J150" s="7" t="str">
        <f>IF(VLOOKUP(J$2,行为概览!$D$3:$K$33,8,0)="","",VLOOKUP(J$2,行为概览!$D$3:$K$33,8,0)*玩法行为规划!I150)</f>
        <v/>
      </c>
      <c r="K150" s="7">
        <f>IF(VLOOKUP(K$2,行为概览!$D$3:$K$33,8,0)="","",VLOOKUP(K$2,行为概览!$D$3:$K$33,8,0)*玩法行为规划!J150)</f>
        <v>1</v>
      </c>
      <c r="L150" s="7" t="str">
        <f>IF(VLOOKUP(L$2,行为概览!$D$3:$K$33,8,0)="","",VLOOKUP(L$2,行为概览!$D$3:$K$33,8,0)*玩法行为规划!K150)</f>
        <v/>
      </c>
      <c r="M150" s="7" t="str">
        <f>IF(VLOOKUP(M$2,行为概览!$D$3:$K$33,8,0)="","",VLOOKUP(M$2,行为概览!$D$3:$K$33,8,0)*玩法行为规划!L150)</f>
        <v/>
      </c>
      <c r="N150" s="7">
        <f>IF(VLOOKUP(N$2,行为概览!$D$3:$K$33,8,0)="","",VLOOKUP(N$2,行为概览!$D$3:$K$33,8,0)*玩法行为规划!M150)</f>
        <v>12</v>
      </c>
      <c r="O150" s="7" t="str">
        <f>IF(VLOOKUP(O$2,行为概览!$D$3:$K$33,8,0)="","",VLOOKUP(O$2,行为概览!$D$3:$K$33,8,0)*玩法行为规划!N150)</f>
        <v/>
      </c>
      <c r="P150" s="7" t="str">
        <f>IF(VLOOKUP(P$2,行为概览!$D$3:$K$33,8,0)="","",VLOOKUP(P$2,行为概览!$D$3:$K$33,8,0)*玩法行为规划!O150)</f>
        <v/>
      </c>
      <c r="Q150" s="7">
        <f>IF(VLOOKUP(Q$2,行为概览!$D$3:$K$33,8,0)="","",VLOOKUP(Q$2,行为概览!$D$3:$K$33,8,0)*玩法行为规划!P150)</f>
        <v>5.2</v>
      </c>
      <c r="R150" s="7" t="str">
        <f>IF(VLOOKUP(R$2,行为概览!$D$3:$K$33,8,0)="","",VLOOKUP(R$2,行为概览!$D$3:$K$33,8,0)*玩法行为规划!Q150)</f>
        <v/>
      </c>
      <c r="S150" s="7">
        <f>IF(VLOOKUP(S$2,行为概览!$D$3:$K$33,8,0)="","",VLOOKUP(S$2,行为概览!$D$3:$K$33,8,0)*玩法行为规划!R150)</f>
        <v>0.49995000000000001</v>
      </c>
      <c r="T150" s="7">
        <f>IF(VLOOKUP(T$2,行为概览!$D$3:$K$33,8,0)="","",VLOOKUP(T$2,行为概览!$D$3:$K$33,8,0)*玩法行为规划!S150)</f>
        <v>0</v>
      </c>
      <c r="U150" s="7">
        <f>IF(VLOOKUP(U$2,行为概览!$D$3:$K$33,8,0)="","",VLOOKUP(U$2,行为概览!$D$3:$K$33,8,0)*玩法行为规划!T150)</f>
        <v>0.49995000000000001</v>
      </c>
      <c r="V150" s="7">
        <f>IF(VLOOKUP(V$2,行为概览!$D$3:$K$33,8,0)="","",VLOOKUP(V$2,行为概览!$D$3:$K$33,8,0)*玩法行为规划!U150)</f>
        <v>0.33339999999999997</v>
      </c>
      <c r="W150" s="7" t="str">
        <f>IF(VLOOKUP(W$2,行为概览!$D$3:$K$33,8,0)="","",VLOOKUP(W$2,行为概览!$D$3:$K$33,8,0)*玩法行为规划!V150)</f>
        <v/>
      </c>
      <c r="X150" s="7" t="str">
        <f>IF(VLOOKUP(X$2,行为概览!$D$3:$K$33,8,0)="","",VLOOKUP(X$2,行为概览!$D$3:$K$33,8,0)*玩法行为规划!W150)</f>
        <v/>
      </c>
      <c r="Y150" s="7">
        <f>IF(VLOOKUP(Y$2,行为概览!$D$3:$K$33,8,0)="","",VLOOKUP(Y$2,行为概览!$D$3:$K$33,8,0)*玩法行为规划!X150)</f>
        <v>0.25</v>
      </c>
      <c r="Z150" s="7" t="str">
        <f>IF(VLOOKUP(Z$2,行为概览!$D$3:$K$33,8,0)="","",VLOOKUP(Z$2,行为概览!$D$3:$K$33,8,0)*玩法行为规划!Y150)</f>
        <v/>
      </c>
      <c r="AA150" s="7">
        <f>IF(VLOOKUP(AA$2,行为概览!$D$3:$K$33,8,0)="","",VLOOKUP(AA$2,行为概览!$D$3:$K$33,8,0)*玩法行为规划!Z150)</f>
        <v>8.3349999999999994E-2</v>
      </c>
      <c r="AB150" s="7" t="str">
        <f>IF(VLOOKUP(AB$2,行为概览!$D$3:$K$33,8,0)="","",VLOOKUP(AB$2,行为概览!$D$3:$K$33,8,0)*玩法行为规划!AA150)</f>
        <v/>
      </c>
      <c r="AC150" s="7" t="str">
        <f>IF(VLOOKUP(AC$2,行为概览!$D$3:$K$33,8,0)="","",VLOOKUP(AC$2,行为概览!$D$3:$K$33,8,0)*玩法行为规划!AB150)</f>
        <v/>
      </c>
      <c r="AD150" s="7" t="str">
        <f>IF(VLOOKUP(AD$2,行为概览!$D$3:$K$33,8,0)="","",VLOOKUP(AD$2,行为概览!$D$3:$K$33,8,0)*玩法行为规划!AC150)</f>
        <v/>
      </c>
      <c r="AE150" s="7" t="str">
        <f>IF(VLOOKUP(AE$2,行为概览!$D$3:$K$33,8,0)="","",VLOOKUP(AE$2,行为概览!$D$3:$K$33,8,0)*玩法行为规划!AD150)</f>
        <v/>
      </c>
      <c r="AF150" s="7">
        <f t="shared" si="23"/>
        <v>24.133149999999997</v>
      </c>
      <c r="AG150" s="7">
        <f t="shared" si="24"/>
        <v>17858531</v>
      </c>
      <c r="AH150" s="7">
        <f t="shared" si="29"/>
        <v>1125020</v>
      </c>
      <c r="AI150" s="10" t="str">
        <f t="shared" si="18"/>
        <v/>
      </c>
      <c r="AJ150" s="73">
        <f t="shared" si="28"/>
        <v>1095220</v>
      </c>
      <c r="AK150" s="77">
        <f>ROUND(AG150*升级节奏!G150/AJ$152,2)</f>
        <v>494.83</v>
      </c>
      <c r="AL150" s="77">
        <f>ROUND(AG150*升级节奏!G150/SUM($AJ$3:AJ155),2)</f>
        <v>9.8000000000000007</v>
      </c>
      <c r="AM150" s="74">
        <f>ROUND(AG150*升级节奏!G150,0)</f>
        <v>556692081</v>
      </c>
      <c r="AN150" s="77">
        <f>ROUND(SUM($AM$3:AM150)/SUM($AJ$3:AJ155),2)</f>
        <v>356.76</v>
      </c>
      <c r="AO150" s="7">
        <f t="shared" si="25"/>
        <v>12333</v>
      </c>
      <c r="AP150" s="7">
        <f t="shared" si="26"/>
        <v>89</v>
      </c>
    </row>
    <row r="151" spans="1:42">
      <c r="A151" s="32">
        <v>149</v>
      </c>
      <c r="B151" s="87">
        <f>升级节奏!D151</f>
        <v>745000</v>
      </c>
      <c r="C151" s="7">
        <f>IF(VLOOKUP(C$2,行为概览!$D$3:$K$33,8,0)="","",VLOOKUP(C$2,行为概览!$D$3:$K$33,8,0)*玩法行为规划!B151)</f>
        <v>0.99990000000000001</v>
      </c>
      <c r="D151" s="7">
        <f>IF(VLOOKUP(D$2,行为概览!$D$3:$K$33,8,0)="","",VLOOKUP(D$2,行为概览!$D$3:$K$33,8,0)*玩法行为规划!C151)</f>
        <v>1.1000000000000001</v>
      </c>
      <c r="E151" s="7" t="str">
        <f>IF(VLOOKUP(E$2,行为概览!$D$3:$K$33,8,0)="","",VLOOKUP(E$2,行为概览!$D$3:$K$33,8,0)*玩法行为规划!D151)</f>
        <v/>
      </c>
      <c r="F151" s="7">
        <f>IF(VLOOKUP(F$2,行为概览!$D$3:$K$33,8,0)="","",VLOOKUP(F$2,行为概览!$D$3:$K$33,8,0)*玩法行为规划!E151)</f>
        <v>1.5</v>
      </c>
      <c r="G151" s="7">
        <f>IF(VLOOKUP(G$2,行为概览!$D$3:$K$33,8,0)="","",VLOOKUP(G$2,行为概览!$D$3:$K$33,8,0)*玩法行为规划!F151)</f>
        <v>0.66659999999999997</v>
      </c>
      <c r="H151" s="7" t="str">
        <f>IF(VLOOKUP(H$2,行为概览!$D$3:$K$33,8,0)="","",VLOOKUP(H$2,行为概览!$D$3:$K$33,8,0)*玩法行为规划!G151)</f>
        <v/>
      </c>
      <c r="I151" s="7" t="str">
        <f>IF(VLOOKUP(I$2,行为概览!$D$3:$K$33,8,0)="","",VLOOKUP(I$2,行为概览!$D$3:$K$33,8,0)*玩法行为规划!H151)</f>
        <v/>
      </c>
      <c r="J151" s="7" t="str">
        <f>IF(VLOOKUP(J$2,行为概览!$D$3:$K$33,8,0)="","",VLOOKUP(J$2,行为概览!$D$3:$K$33,8,0)*玩法行为规划!I151)</f>
        <v/>
      </c>
      <c r="K151" s="7">
        <f>IF(VLOOKUP(K$2,行为概览!$D$3:$K$33,8,0)="","",VLOOKUP(K$2,行为概览!$D$3:$K$33,8,0)*玩法行为规划!J151)</f>
        <v>1</v>
      </c>
      <c r="L151" s="7" t="str">
        <f>IF(VLOOKUP(L$2,行为概览!$D$3:$K$33,8,0)="","",VLOOKUP(L$2,行为概览!$D$3:$K$33,8,0)*玩法行为规划!K151)</f>
        <v/>
      </c>
      <c r="M151" s="7" t="str">
        <f>IF(VLOOKUP(M$2,行为概览!$D$3:$K$33,8,0)="","",VLOOKUP(M$2,行为概览!$D$3:$K$33,8,0)*玩法行为规划!L151)</f>
        <v/>
      </c>
      <c r="N151" s="7">
        <f>IF(VLOOKUP(N$2,行为概览!$D$3:$K$33,8,0)="","",VLOOKUP(N$2,行为概览!$D$3:$K$33,8,0)*玩法行为规划!M151)</f>
        <v>12</v>
      </c>
      <c r="O151" s="7" t="str">
        <f>IF(VLOOKUP(O$2,行为概览!$D$3:$K$33,8,0)="","",VLOOKUP(O$2,行为概览!$D$3:$K$33,8,0)*玩法行为规划!N151)</f>
        <v/>
      </c>
      <c r="P151" s="7" t="str">
        <f>IF(VLOOKUP(P$2,行为概览!$D$3:$K$33,8,0)="","",VLOOKUP(P$2,行为概览!$D$3:$K$33,8,0)*玩法行为规划!O151)</f>
        <v/>
      </c>
      <c r="Q151" s="7">
        <f>IF(VLOOKUP(Q$2,行为概览!$D$3:$K$33,8,0)="","",VLOOKUP(Q$2,行为概览!$D$3:$K$33,8,0)*玩法行为规划!P151)</f>
        <v>5.2</v>
      </c>
      <c r="R151" s="7" t="str">
        <f>IF(VLOOKUP(R$2,行为概览!$D$3:$K$33,8,0)="","",VLOOKUP(R$2,行为概览!$D$3:$K$33,8,0)*玩法行为规划!Q151)</f>
        <v/>
      </c>
      <c r="S151" s="7">
        <f>IF(VLOOKUP(S$2,行为概览!$D$3:$K$33,8,0)="","",VLOOKUP(S$2,行为概览!$D$3:$K$33,8,0)*玩法行为规划!R151)</f>
        <v>0.49995000000000001</v>
      </c>
      <c r="T151" s="7">
        <f>IF(VLOOKUP(T$2,行为概览!$D$3:$K$33,8,0)="","",VLOOKUP(T$2,行为概览!$D$3:$K$33,8,0)*玩法行为规划!S151)</f>
        <v>0</v>
      </c>
      <c r="U151" s="7">
        <f>IF(VLOOKUP(U$2,行为概览!$D$3:$K$33,8,0)="","",VLOOKUP(U$2,行为概览!$D$3:$K$33,8,0)*玩法行为规划!T151)</f>
        <v>0.49995000000000001</v>
      </c>
      <c r="V151" s="7">
        <f>IF(VLOOKUP(V$2,行为概览!$D$3:$K$33,8,0)="","",VLOOKUP(V$2,行为概览!$D$3:$K$33,8,0)*玩法行为规划!U151)</f>
        <v>0.33339999999999997</v>
      </c>
      <c r="W151" s="7" t="str">
        <f>IF(VLOOKUP(W$2,行为概览!$D$3:$K$33,8,0)="","",VLOOKUP(W$2,行为概览!$D$3:$K$33,8,0)*玩法行为规划!V151)</f>
        <v/>
      </c>
      <c r="X151" s="7" t="str">
        <f>IF(VLOOKUP(X$2,行为概览!$D$3:$K$33,8,0)="","",VLOOKUP(X$2,行为概览!$D$3:$K$33,8,0)*玩法行为规划!W151)</f>
        <v/>
      </c>
      <c r="Y151" s="7">
        <f>IF(VLOOKUP(Y$2,行为概览!$D$3:$K$33,8,0)="","",VLOOKUP(Y$2,行为概览!$D$3:$K$33,8,0)*玩法行为规划!X151)</f>
        <v>0.25</v>
      </c>
      <c r="Z151" s="7" t="str">
        <f>IF(VLOOKUP(Z$2,行为概览!$D$3:$K$33,8,0)="","",VLOOKUP(Z$2,行为概览!$D$3:$K$33,8,0)*玩法行为规划!Y151)</f>
        <v/>
      </c>
      <c r="AA151" s="7">
        <f>IF(VLOOKUP(AA$2,行为概览!$D$3:$K$33,8,0)="","",VLOOKUP(AA$2,行为概览!$D$3:$K$33,8,0)*玩法行为规划!Z151)</f>
        <v>8.3349999999999994E-2</v>
      </c>
      <c r="AB151" s="7" t="str">
        <f>IF(VLOOKUP(AB$2,行为概览!$D$3:$K$33,8,0)="","",VLOOKUP(AB$2,行为概览!$D$3:$K$33,8,0)*玩法行为规划!AA151)</f>
        <v/>
      </c>
      <c r="AC151" s="7" t="str">
        <f>IF(VLOOKUP(AC$2,行为概览!$D$3:$K$33,8,0)="","",VLOOKUP(AC$2,行为概览!$D$3:$K$33,8,0)*玩法行为规划!AB151)</f>
        <v/>
      </c>
      <c r="AD151" s="7" t="str">
        <f>IF(VLOOKUP(AD$2,行为概览!$D$3:$K$33,8,0)="","",VLOOKUP(AD$2,行为概览!$D$3:$K$33,8,0)*玩法行为规划!AC151)</f>
        <v/>
      </c>
      <c r="AE151" s="7" t="str">
        <f>IF(VLOOKUP(AE$2,行为概览!$D$3:$K$33,8,0)="","",VLOOKUP(AE$2,行为概览!$D$3:$K$33,8,0)*玩法行为规划!AD151)</f>
        <v/>
      </c>
      <c r="AF151" s="7">
        <f t="shared" si="23"/>
        <v>24.133149999999997</v>
      </c>
      <c r="AG151" s="7">
        <f t="shared" si="24"/>
        <v>17979196</v>
      </c>
      <c r="AH151" s="7">
        <f t="shared" si="29"/>
        <v>1125020</v>
      </c>
      <c r="AI151" s="10" t="str">
        <f t="shared" si="18"/>
        <v/>
      </c>
      <c r="AJ151" s="73">
        <f t="shared" si="28"/>
        <v>1110070</v>
      </c>
      <c r="AK151" s="77">
        <f>ROUND(AG151*升级节奏!G151/AJ$152,2)</f>
        <v>504.9</v>
      </c>
      <c r="AL151" s="77">
        <f>ROUND(AG151*升级节奏!G151/SUM($AJ$3:AJ156),2)</f>
        <v>10</v>
      </c>
      <c r="AM151" s="74">
        <f>ROUND(AG151*升级节奏!G151,0)</f>
        <v>568018237</v>
      </c>
      <c r="AN151" s="77">
        <f>ROUND(SUM($AM$3:AM151)/SUM($AJ$3:AJ156),2)</f>
        <v>366.76</v>
      </c>
      <c r="AO151" s="7">
        <f t="shared" si="25"/>
        <v>12417</v>
      </c>
      <c r="AP151" s="7">
        <f t="shared" si="26"/>
        <v>89</v>
      </c>
    </row>
    <row r="152" spans="1:42">
      <c r="A152" s="33">
        <v>150</v>
      </c>
      <c r="B152" s="88">
        <f>升级节奏!D152</f>
        <v>750000</v>
      </c>
      <c r="C152" s="7">
        <f>IF(VLOOKUP(C$2,行为概览!$D$3:$K$33,8,0)="","",VLOOKUP(C$2,行为概览!$D$3:$K$33,8,0)*玩法行为规划!B152)</f>
        <v>0.99990000000000001</v>
      </c>
      <c r="D152" s="7">
        <f>IF(VLOOKUP(D$2,行为概览!$D$3:$K$33,8,0)="","",VLOOKUP(D$2,行为概览!$D$3:$K$33,8,0)*玩法行为规划!C152)</f>
        <v>1.1000000000000001</v>
      </c>
      <c r="E152" s="7" t="str">
        <f>IF(VLOOKUP(E$2,行为概览!$D$3:$K$33,8,0)="","",VLOOKUP(E$2,行为概览!$D$3:$K$33,8,0)*玩法行为规划!D152)</f>
        <v/>
      </c>
      <c r="F152" s="7">
        <f>IF(VLOOKUP(F$2,行为概览!$D$3:$K$33,8,0)="","",VLOOKUP(F$2,行为概览!$D$3:$K$33,8,0)*玩法行为规划!E152)</f>
        <v>1.5</v>
      </c>
      <c r="G152" s="7">
        <f>IF(VLOOKUP(G$2,行为概览!$D$3:$K$33,8,0)="","",VLOOKUP(G$2,行为概览!$D$3:$K$33,8,0)*玩法行为规划!F152)</f>
        <v>0.66659999999999997</v>
      </c>
      <c r="H152" s="7" t="str">
        <f>IF(VLOOKUP(H$2,行为概览!$D$3:$K$33,8,0)="","",VLOOKUP(H$2,行为概览!$D$3:$K$33,8,0)*玩法行为规划!G152)</f>
        <v/>
      </c>
      <c r="I152" s="7" t="str">
        <f>IF(VLOOKUP(I$2,行为概览!$D$3:$K$33,8,0)="","",VLOOKUP(I$2,行为概览!$D$3:$K$33,8,0)*玩法行为规划!H152)</f>
        <v/>
      </c>
      <c r="J152" s="7" t="str">
        <f>IF(VLOOKUP(J$2,行为概览!$D$3:$K$33,8,0)="","",VLOOKUP(J$2,行为概览!$D$3:$K$33,8,0)*玩法行为规划!I152)</f>
        <v/>
      </c>
      <c r="K152" s="7">
        <f>IF(VLOOKUP(K$2,行为概览!$D$3:$K$33,8,0)="","",VLOOKUP(K$2,行为概览!$D$3:$K$33,8,0)*玩法行为规划!J152)</f>
        <v>1</v>
      </c>
      <c r="L152" s="7" t="str">
        <f>IF(VLOOKUP(L$2,行为概览!$D$3:$K$33,8,0)="","",VLOOKUP(L$2,行为概览!$D$3:$K$33,8,0)*玩法行为规划!K152)</f>
        <v/>
      </c>
      <c r="M152" s="7" t="str">
        <f>IF(VLOOKUP(M$2,行为概览!$D$3:$K$33,8,0)="","",VLOOKUP(M$2,行为概览!$D$3:$K$33,8,0)*玩法行为规划!L152)</f>
        <v/>
      </c>
      <c r="N152" s="7">
        <f>IF(VLOOKUP(N$2,行为概览!$D$3:$K$33,8,0)="","",VLOOKUP(N$2,行为概览!$D$3:$K$33,8,0)*玩法行为规划!M152)</f>
        <v>12</v>
      </c>
      <c r="O152" s="7" t="str">
        <f>IF(VLOOKUP(O$2,行为概览!$D$3:$K$33,8,0)="","",VLOOKUP(O$2,行为概览!$D$3:$K$33,8,0)*玩法行为规划!N152)</f>
        <v/>
      </c>
      <c r="P152" s="7" t="str">
        <f>IF(VLOOKUP(P$2,行为概览!$D$3:$K$33,8,0)="","",VLOOKUP(P$2,行为概览!$D$3:$K$33,8,0)*玩法行为规划!O152)</f>
        <v/>
      </c>
      <c r="Q152" s="7">
        <f>IF(VLOOKUP(Q$2,行为概览!$D$3:$K$33,8,0)="","",VLOOKUP(Q$2,行为概览!$D$3:$K$33,8,0)*玩法行为规划!P152)</f>
        <v>5.2</v>
      </c>
      <c r="R152" s="7" t="str">
        <f>IF(VLOOKUP(R$2,行为概览!$D$3:$K$33,8,0)="","",VLOOKUP(R$2,行为概览!$D$3:$K$33,8,0)*玩法行为规划!Q152)</f>
        <v/>
      </c>
      <c r="S152" s="7">
        <f>IF(VLOOKUP(S$2,行为概览!$D$3:$K$33,8,0)="","",VLOOKUP(S$2,行为概览!$D$3:$K$33,8,0)*玩法行为规划!R152)</f>
        <v>0.49995000000000001</v>
      </c>
      <c r="T152" s="7">
        <f>IF(VLOOKUP(T$2,行为概览!$D$3:$K$33,8,0)="","",VLOOKUP(T$2,行为概览!$D$3:$K$33,8,0)*玩法行为规划!S152)</f>
        <v>0</v>
      </c>
      <c r="U152" s="7">
        <f>IF(VLOOKUP(U$2,行为概览!$D$3:$K$33,8,0)="","",VLOOKUP(U$2,行为概览!$D$3:$K$33,8,0)*玩法行为规划!T152)</f>
        <v>0.49995000000000001</v>
      </c>
      <c r="V152" s="7">
        <f>IF(VLOOKUP(V$2,行为概览!$D$3:$K$33,8,0)="","",VLOOKUP(V$2,行为概览!$D$3:$K$33,8,0)*玩法行为规划!U152)</f>
        <v>0.33339999999999997</v>
      </c>
      <c r="W152" s="7" t="str">
        <f>IF(VLOOKUP(W$2,行为概览!$D$3:$K$33,8,0)="","",VLOOKUP(W$2,行为概览!$D$3:$K$33,8,0)*玩法行为规划!V152)</f>
        <v/>
      </c>
      <c r="X152" s="7" t="str">
        <f>IF(VLOOKUP(X$2,行为概览!$D$3:$K$33,8,0)="","",VLOOKUP(X$2,行为概览!$D$3:$K$33,8,0)*玩法行为规划!W152)</f>
        <v/>
      </c>
      <c r="Y152" s="7">
        <f>IF(VLOOKUP(Y$2,行为概览!$D$3:$K$33,8,0)="","",VLOOKUP(Y$2,行为概览!$D$3:$K$33,8,0)*玩法行为规划!X152)</f>
        <v>0.25</v>
      </c>
      <c r="Z152" s="7" t="str">
        <f>IF(VLOOKUP(Z$2,行为概览!$D$3:$K$33,8,0)="","",VLOOKUP(Z$2,行为概览!$D$3:$K$33,8,0)*玩法行为规划!Y152)</f>
        <v/>
      </c>
      <c r="AA152" s="7">
        <f>IF(VLOOKUP(AA$2,行为概览!$D$3:$K$33,8,0)="","",VLOOKUP(AA$2,行为概览!$D$3:$K$33,8,0)*玩法行为规划!Z152)</f>
        <v>8.3349999999999994E-2</v>
      </c>
      <c r="AB152" s="7" t="str">
        <f>IF(VLOOKUP(AB$2,行为概览!$D$3:$K$33,8,0)="","",VLOOKUP(AB$2,行为概览!$D$3:$K$33,8,0)*玩法行为规划!AA152)</f>
        <v/>
      </c>
      <c r="AC152" s="7" t="str">
        <f>IF(VLOOKUP(AC$2,行为概览!$D$3:$K$33,8,0)="","",VLOOKUP(AC$2,行为概览!$D$3:$K$33,8,0)*玩法行为规划!AB152)</f>
        <v/>
      </c>
      <c r="AD152" s="7" t="str">
        <f>IF(VLOOKUP(AD$2,行为概览!$D$3:$K$33,8,0)="","",VLOOKUP(AD$2,行为概览!$D$3:$K$33,8,0)*玩法行为规划!AC152)</f>
        <v/>
      </c>
      <c r="AE152" s="7" t="str">
        <f>IF(VLOOKUP(AE$2,行为概览!$D$3:$K$33,8,0)="","",VLOOKUP(AE$2,行为概览!$D$3:$K$33,8,0)*玩法行为规划!AD152)</f>
        <v/>
      </c>
      <c r="AF152" s="7">
        <f t="shared" si="23"/>
        <v>24.133149999999997</v>
      </c>
      <c r="AG152" s="7">
        <f t="shared" si="24"/>
        <v>18099862</v>
      </c>
      <c r="AH152" s="7">
        <f t="shared" si="29"/>
        <v>1125020</v>
      </c>
      <c r="AI152" s="10">
        <f t="shared" si="18"/>
        <v>12152970</v>
      </c>
      <c r="AJ152" s="73">
        <f t="shared" si="28"/>
        <v>1125020</v>
      </c>
      <c r="AK152" s="77">
        <f>ROUND(AG152*升级节奏!G152/AJ$152,2)</f>
        <v>515.1</v>
      </c>
      <c r="AL152" s="77">
        <f>ROUND(AG152*升级节奏!G152/SUM($AJ$3:AJ157),2)</f>
        <v>10.199999999999999</v>
      </c>
      <c r="AM152" s="74">
        <f>ROUND(AG152*升级节奏!G152,0)</f>
        <v>579497248</v>
      </c>
      <c r="AN152" s="77">
        <f>ROUND(SUM($AM$3:AM152)/SUM($AJ$3:AJ157),2)</f>
        <v>376.96</v>
      </c>
      <c r="AO152" s="7">
        <f t="shared" si="25"/>
        <v>12500</v>
      </c>
      <c r="AP152" s="7">
        <f t="shared" si="26"/>
        <v>90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AT152"/>
  <sheetViews>
    <sheetView workbookViewId="0">
      <pane xSplit="1" ySplit="2" topLeftCell="L12" activePane="bottomRight" state="frozen"/>
      <selection pane="topRight" activeCell="B1" sqref="B1"/>
      <selection pane="bottomLeft" activeCell="A3" sqref="A3"/>
      <selection pane="bottomRight" activeCell="AP7" sqref="AP7"/>
    </sheetView>
  </sheetViews>
  <sheetFormatPr defaultRowHeight="13.5"/>
  <cols>
    <col min="1" max="2" width="5.625" style="84" customWidth="1"/>
    <col min="3" max="31" width="3.625" customWidth="1"/>
    <col min="36" max="37" width="9" style="7"/>
    <col min="38" max="38" width="10.5" bestFit="1" customWidth="1"/>
    <col min="39" max="39" width="11.625" style="7" bestFit="1" customWidth="1"/>
    <col min="40" max="40" width="9" style="160"/>
    <col min="41" max="41" width="10.5" bestFit="1" customWidth="1"/>
    <col min="42" max="42" width="11.625" bestFit="1" customWidth="1"/>
    <col min="43" max="44" width="9" style="160"/>
  </cols>
  <sheetData>
    <row r="1" spans="1:46">
      <c r="A1" s="30"/>
      <c r="B1" s="30"/>
      <c r="C1" s="188" t="s">
        <v>196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94" t="s">
        <v>197</v>
      </c>
      <c r="T1" s="195"/>
      <c r="U1" s="195"/>
      <c r="V1" s="195"/>
      <c r="W1" s="195"/>
      <c r="X1" s="195"/>
      <c r="Y1" s="195"/>
      <c r="Z1" s="195"/>
      <c r="AA1" s="195"/>
      <c r="AB1" s="195"/>
      <c r="AC1" s="196"/>
      <c r="AD1" s="176" t="s">
        <v>234</v>
      </c>
      <c r="AE1" s="177"/>
    </row>
    <row r="2" spans="1:46" ht="145.5">
      <c r="A2" s="28" t="s">
        <v>63</v>
      </c>
      <c r="B2" s="123" t="s">
        <v>215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58" t="s">
        <v>48</v>
      </c>
      <c r="T2" s="158" t="s">
        <v>156</v>
      </c>
      <c r="U2" s="158" t="s">
        <v>49</v>
      </c>
      <c r="V2" s="158" t="s">
        <v>50</v>
      </c>
      <c r="W2" s="158" t="s">
        <v>161</v>
      </c>
      <c r="X2" s="158" t="s">
        <v>36</v>
      </c>
      <c r="Y2" s="158" t="s">
        <v>380</v>
      </c>
      <c r="Z2" s="158" t="s">
        <v>477</v>
      </c>
      <c r="AA2" s="158" t="s">
        <v>468</v>
      </c>
      <c r="AB2" s="158" t="s">
        <v>20</v>
      </c>
      <c r="AC2" s="158" t="s">
        <v>21</v>
      </c>
      <c r="AD2" s="17" t="s">
        <v>388</v>
      </c>
      <c r="AE2" s="17" t="s">
        <v>239</v>
      </c>
      <c r="AF2" s="22" t="s">
        <v>203</v>
      </c>
      <c r="AG2" s="22" t="s">
        <v>204</v>
      </c>
      <c r="AH2" s="22" t="s">
        <v>208</v>
      </c>
      <c r="AI2" s="71" t="s">
        <v>209</v>
      </c>
      <c r="AJ2" s="71" t="s">
        <v>231</v>
      </c>
      <c r="AK2" s="22" t="s">
        <v>213</v>
      </c>
      <c r="AL2" s="22" t="s">
        <v>210</v>
      </c>
      <c r="AM2" s="22" t="s">
        <v>212</v>
      </c>
      <c r="AN2" s="165" t="s">
        <v>211</v>
      </c>
      <c r="AO2" s="71" t="s">
        <v>443</v>
      </c>
      <c r="AP2" s="139" t="s">
        <v>444</v>
      </c>
      <c r="AQ2" s="167" t="s">
        <v>539</v>
      </c>
      <c r="AR2" s="167" t="s">
        <v>540</v>
      </c>
    </row>
    <row r="3" spans="1:46">
      <c r="A3" s="31">
        <v>1</v>
      </c>
      <c r="B3" s="80">
        <f>升级节奏!E3</f>
        <v>1000</v>
      </c>
      <c r="C3">
        <f>IF(VLOOKUP(C$2,行为概览!$D$3:$L$33,9,0)="","",VLOOKUP(C$2,行为概览!$D$3:$L$33,9,0)*IF(玩法行为规划!B3&gt;0,1,0))</f>
        <v>0</v>
      </c>
      <c r="D3" s="7">
        <f>IF(VLOOKUP(D$2,行为概览!$D$3:$L$33,9,0)="","",VLOOKUP(D$2,行为概览!$D$3:$L$33,9,0)*IF(玩法行为规划!C3&gt;0,1,0))</f>
        <v>0</v>
      </c>
      <c r="E3" s="7">
        <f>IF(VLOOKUP(E$2,行为概览!$D$3:$L$33,9,0)="","",VLOOKUP(E$2,行为概览!$D$3:$L$33,9,0)*IF(玩法行为规划!D3&gt;0,1,0))</f>
        <v>0</v>
      </c>
      <c r="F3" s="7">
        <f>IF(VLOOKUP(F$2,行为概览!$D$3:$L$33,9,0)="","",VLOOKUP(F$2,行为概览!$D$3:$L$33,9,0)*IF(玩法行为规划!E3&gt;0,1,0))</f>
        <v>0</v>
      </c>
      <c r="G3" s="7" t="str">
        <f>IF(VLOOKUP(G$2,行为概览!$D$3:$L$33,9,0)="","",VLOOKUP(G$2,行为概览!$D$3:$L$33,9,0)*IF(玩法行为规划!F3&gt;0,1,0))</f>
        <v/>
      </c>
      <c r="H3" s="7" t="str">
        <f>IF(VLOOKUP(H$2,行为概览!$D$3:$L$33,9,0)="","",VLOOKUP(H$2,行为概览!$D$3:$L$33,9,0)*IF(玩法行为规划!G3&gt;0,1,0))</f>
        <v/>
      </c>
      <c r="I3" s="7" t="str">
        <f>IF(VLOOKUP(I$2,行为概览!$D$3:$L$33,9,0)="","",VLOOKUP(I$2,行为概览!$D$3:$L$33,9,0)*IF(玩法行为规划!H3&gt;0,1,0))</f>
        <v/>
      </c>
      <c r="J3" s="7" t="str">
        <f>IF(VLOOKUP(J$2,行为概览!$D$3:$L$33,9,0)="","",VLOOKUP(J$2,行为概览!$D$3:$L$33,9,0)*IF(玩法行为规划!I3&gt;0,1,0))</f>
        <v/>
      </c>
      <c r="K3" s="7">
        <f>IF(VLOOKUP(K$2,行为概览!$D$3:$L$33,9,0)="","",VLOOKUP(K$2,行为概览!$D$3:$L$33,9,0)*IF(玩法行为规划!J3&gt;0,1,0))</f>
        <v>0</v>
      </c>
      <c r="L3" s="7">
        <f>IF(VLOOKUP(L$2,行为概览!$D$3:$L$33,9,0)="","",VLOOKUP(L$2,行为概览!$D$3:$L$33,9,0)*IF(玩法行为规划!K3&gt;0,1,0))</f>
        <v>0</v>
      </c>
      <c r="M3" s="7" t="str">
        <f>IF(VLOOKUP(M$2,行为概览!$D$3:$L$33,9,0)="","",VLOOKUP(M$2,行为概览!$D$3:$L$33,9,0)*IF(玩法行为规划!L3&gt;0,1,0))</f>
        <v/>
      </c>
      <c r="N3" s="7" t="str">
        <f>IF(VLOOKUP(N$2,行为概览!$D$3:$L$33,9,0)="","",VLOOKUP(N$2,行为概览!$D$3:$L$33,9,0)*IF(玩法行为规划!M3&gt;0,1,0))</f>
        <v/>
      </c>
      <c r="O3" s="7" t="str">
        <f>IF(VLOOKUP(O$2,行为概览!$D$3:$L$33,9,0)="","",VLOOKUP(O$2,行为概览!$D$3:$L$33,9,0)*IF(玩法行为规划!N3&gt;0,1,0))</f>
        <v/>
      </c>
      <c r="P3" s="7">
        <f>IF(VLOOKUP(P$2,行为概览!$D$3:$L$33,9,0)="","",VLOOKUP(P$2,行为概览!$D$3:$L$33,9,0)*IF(玩法行为规划!O3&gt;0,1,0))</f>
        <v>0</v>
      </c>
      <c r="Q3" s="7">
        <f>IF(VLOOKUP(Q$2,行为概览!$D$3:$L$33,9,0)="","",VLOOKUP(Q$2,行为概览!$D$3:$L$33,9,0)*IF(玩法行为规划!P3&gt;0,1,0))</f>
        <v>5</v>
      </c>
      <c r="R3" s="7" t="str">
        <f>IF(VLOOKUP(R$2,行为概览!$D$3:$L$33,9,0)="","",VLOOKUP(R$2,行为概览!$D$3:$L$33,9,0)*IF(玩法行为规划!Q3&gt;0,1,0))</f>
        <v/>
      </c>
      <c r="S3" s="7">
        <f>IF(VLOOKUP(S$2,行为概览!$D$3:$L$33,9,0)="","",VLOOKUP(S$2,行为概览!$D$3:$L$33,9,0)*IF(玩法行为规划!R3&gt;0,1,0))</f>
        <v>0</v>
      </c>
      <c r="T3" s="7">
        <f>IF(VLOOKUP(T$2,行为概览!$D$3:$L$33,9,0)="","",VLOOKUP(T$2,行为概览!$D$3:$L$33,9,0)*IF(玩法行为规划!S3&gt;0,1,0))</f>
        <v>0</v>
      </c>
      <c r="U3" s="7">
        <f>IF(VLOOKUP(U$2,行为概览!$D$3:$L$33,9,0)="","",VLOOKUP(U$2,行为概览!$D$3:$L$33,9,0)*IF(玩法行为规划!T3&gt;0,1,0))</f>
        <v>0</v>
      </c>
      <c r="V3" s="7">
        <f>IF(VLOOKUP(V$2,行为概览!$D$3:$L$33,9,0)="","",VLOOKUP(V$2,行为概览!$D$3:$L$33,9,0)*IF(玩法行为规划!U3&gt;0,1,0))</f>
        <v>0</v>
      </c>
      <c r="W3" s="7">
        <f>IF(VLOOKUP(W$2,行为概览!$D$3:$L$33,9,0)="","",VLOOKUP(W$2,行为概览!$D$3:$L$33,9,0)*IF(玩法行为规划!V3&gt;0,1,0))</f>
        <v>0</v>
      </c>
      <c r="X3" s="7">
        <f>IF(VLOOKUP(X$2,行为概览!$D$3:$L$33,9,0)="","",VLOOKUP(X$2,行为概览!$D$3:$L$33,9,0)*IF(玩法行为规划!W3&gt;0,1,0))</f>
        <v>0</v>
      </c>
      <c r="Y3" s="7">
        <f>IF(VLOOKUP(Y$2,行为概览!$D$3:$L$33,9,0)="","",VLOOKUP(Y$2,行为概览!$D$3:$L$33,9,0)*IF(玩法行为规划!X3&gt;0,1,0))</f>
        <v>0</v>
      </c>
      <c r="Z3" s="7">
        <f>IF(VLOOKUP(Z$2,行为概览!$D$3:$L$33,9,0)="","",VLOOKUP(Z$2,行为概览!$D$3:$L$33,9,0)*IF(玩法行为规划!Y3&gt;0,1,0))</f>
        <v>0</v>
      </c>
      <c r="AA3" s="7">
        <f>IF(VLOOKUP(AA$2,行为概览!$D$3:$L$33,9,0)="","",VLOOKUP(AA$2,行为概览!$D$3:$L$33,9,0)*IF(玩法行为规划!Z3&gt;0,1,0))</f>
        <v>0</v>
      </c>
      <c r="AB3" s="7" t="str">
        <f>IF(VLOOKUP(AB$2,行为概览!$D$3:$L$33,9,0)="","",VLOOKUP(AB$2,行为概览!$D$3:$L$33,9,0)*IF(玩法行为规划!AA3&gt;0,1,0))</f>
        <v/>
      </c>
      <c r="AC3" s="7" t="str">
        <f>IF(VLOOKUP(AC$2,行为概览!$D$3:$L$33,9,0)="","",VLOOKUP(AC$2,行为概览!$D$3:$L$33,9,0)*IF(玩法行为规划!AB3&gt;0,1,0))</f>
        <v/>
      </c>
      <c r="AD3" s="7" t="str">
        <f>IF(VLOOKUP(AD$2,行为概览!$D$3:$L$33,9,0)="","",VLOOKUP(AD$2,行为概览!$D$3:$L$33,9,0)*玩法行为规划!AC3)</f>
        <v/>
      </c>
      <c r="AE3" s="7" t="str">
        <f>IF(VLOOKUP(AE$2,行为概览!$D$3:$L$33,9,0)="","",VLOOKUP(AE$2,行为概览!$D$3:$L$33,9,0)*玩法行为规划!AD3)</f>
        <v/>
      </c>
      <c r="AF3">
        <f t="shared" ref="AF3:AF34" si="0">SUM(C3:AC3)</f>
        <v>5</v>
      </c>
      <c r="AG3" s="10">
        <f t="shared" ref="AG3:AG34" si="1">B3*AF3</f>
        <v>5000</v>
      </c>
      <c r="AH3">
        <f>ROUND(AG3*升级节奏!G3,0)</f>
        <v>0</v>
      </c>
      <c r="AI3">
        <f>ROUND(B3*(1+MAX(A3-40,0)*0.1),-2)</f>
        <v>1000</v>
      </c>
      <c r="AJ3" s="21">
        <f>SUM(AI3:AI11)</f>
        <v>45000</v>
      </c>
      <c r="AK3" s="7">
        <f>AI3/AL3</f>
        <v>1</v>
      </c>
      <c r="AL3">
        <f>AH3+AI3</f>
        <v>1000</v>
      </c>
      <c r="AM3" s="7">
        <f>SUM($AL$3:AL3)</f>
        <v>1000</v>
      </c>
      <c r="AN3" s="166">
        <f>ROUND((B3*6+AH3)/30,-2)</f>
        <v>200</v>
      </c>
      <c r="AO3">
        <f>SUM($AN$3:AN3)*7</f>
        <v>1400</v>
      </c>
      <c r="AP3" s="69">
        <f>AM3-AO3-AQ3-AR3</f>
        <v>-700</v>
      </c>
      <c r="AQ3" s="160">
        <f>ROUND((B3*2+AH3)/10,-2)</f>
        <v>200</v>
      </c>
      <c r="AR3" s="160">
        <f>ROUND((B3*2+AH3)/20,-2)</f>
        <v>100</v>
      </c>
    </row>
    <row r="4" spans="1:46">
      <c r="A4" s="32">
        <v>2</v>
      </c>
      <c r="B4" s="81">
        <f>升级节奏!E4</f>
        <v>2000</v>
      </c>
      <c r="C4" s="7">
        <f>IF(VLOOKUP(C$2,行为概览!$D$3:$L$33,9,0)="","",VLOOKUP(C$2,行为概览!$D$3:$L$33,9,0)*IF(玩法行为规划!B4&gt;0,1,0))</f>
        <v>0</v>
      </c>
      <c r="D4" s="7">
        <f>IF(VLOOKUP(D$2,行为概览!$D$3:$L$33,9,0)="","",VLOOKUP(D$2,行为概览!$D$3:$L$33,9,0)*IF(玩法行为规划!C4&gt;0,1,0))</f>
        <v>0</v>
      </c>
      <c r="E4" s="7">
        <f>IF(VLOOKUP(E$2,行为概览!$D$3:$L$33,9,0)="","",VLOOKUP(E$2,行为概览!$D$3:$L$33,9,0)*IF(玩法行为规划!D4&gt;0,1,0))</f>
        <v>0</v>
      </c>
      <c r="F4" s="7">
        <f>IF(VLOOKUP(F$2,行为概览!$D$3:$L$33,9,0)="","",VLOOKUP(F$2,行为概览!$D$3:$L$33,9,0)*IF(玩法行为规划!E4&gt;0,1,0))</f>
        <v>0</v>
      </c>
      <c r="G4" s="7" t="str">
        <f>IF(VLOOKUP(G$2,行为概览!$D$3:$L$33,9,0)="","",VLOOKUP(G$2,行为概览!$D$3:$L$33,9,0)*IF(玩法行为规划!F4&gt;0,1,0))</f>
        <v/>
      </c>
      <c r="H4" s="7" t="str">
        <f>IF(VLOOKUP(H$2,行为概览!$D$3:$L$33,9,0)="","",VLOOKUP(H$2,行为概览!$D$3:$L$33,9,0)*IF(玩法行为规划!G4&gt;0,1,0))</f>
        <v/>
      </c>
      <c r="I4" s="7" t="str">
        <f>IF(VLOOKUP(I$2,行为概览!$D$3:$L$33,9,0)="","",VLOOKUP(I$2,行为概览!$D$3:$L$33,9,0)*IF(玩法行为规划!H4&gt;0,1,0))</f>
        <v/>
      </c>
      <c r="J4" s="7" t="str">
        <f>IF(VLOOKUP(J$2,行为概览!$D$3:$L$33,9,0)="","",VLOOKUP(J$2,行为概览!$D$3:$L$33,9,0)*IF(玩法行为规划!I4&gt;0,1,0))</f>
        <v/>
      </c>
      <c r="K4" s="7">
        <f>IF(VLOOKUP(K$2,行为概览!$D$3:$L$33,9,0)="","",VLOOKUP(K$2,行为概览!$D$3:$L$33,9,0)*IF(玩法行为规划!J4&gt;0,1,0))</f>
        <v>0</v>
      </c>
      <c r="L4" s="7">
        <f>IF(VLOOKUP(L$2,行为概览!$D$3:$L$33,9,0)="","",VLOOKUP(L$2,行为概览!$D$3:$L$33,9,0)*IF(玩法行为规划!K4&gt;0,1,0))</f>
        <v>0</v>
      </c>
      <c r="M4" s="7" t="str">
        <f>IF(VLOOKUP(M$2,行为概览!$D$3:$L$33,9,0)="","",VLOOKUP(M$2,行为概览!$D$3:$L$33,9,0)*IF(玩法行为规划!L4&gt;0,1,0))</f>
        <v/>
      </c>
      <c r="N4" s="7" t="str">
        <f>IF(VLOOKUP(N$2,行为概览!$D$3:$L$33,9,0)="","",VLOOKUP(N$2,行为概览!$D$3:$L$33,9,0)*IF(玩法行为规划!M4&gt;0,1,0))</f>
        <v/>
      </c>
      <c r="O4" s="7" t="str">
        <f>IF(VLOOKUP(O$2,行为概览!$D$3:$L$33,9,0)="","",VLOOKUP(O$2,行为概览!$D$3:$L$33,9,0)*IF(玩法行为规划!N4&gt;0,1,0))</f>
        <v/>
      </c>
      <c r="P4" s="7">
        <f>IF(VLOOKUP(P$2,行为概览!$D$3:$L$33,9,0)="","",VLOOKUP(P$2,行为概览!$D$3:$L$33,9,0)*IF(玩法行为规划!O4&gt;0,1,0))</f>
        <v>0</v>
      </c>
      <c r="Q4" s="7">
        <f>IF(VLOOKUP(Q$2,行为概览!$D$3:$L$33,9,0)="","",VLOOKUP(Q$2,行为概览!$D$3:$L$33,9,0)*IF(玩法行为规划!P4&gt;0,1,0))</f>
        <v>5</v>
      </c>
      <c r="R4" s="7" t="str">
        <f>IF(VLOOKUP(R$2,行为概览!$D$3:$L$33,9,0)="","",VLOOKUP(R$2,行为概览!$D$3:$L$33,9,0)*IF(玩法行为规划!Q4&gt;0,1,0))</f>
        <v/>
      </c>
      <c r="S4" s="7">
        <f>IF(VLOOKUP(S$2,行为概览!$D$3:$L$33,9,0)="","",VLOOKUP(S$2,行为概览!$D$3:$L$33,9,0)*IF(玩法行为规划!R4&gt;0,1,0))</f>
        <v>0</v>
      </c>
      <c r="T4" s="7">
        <f>IF(VLOOKUP(T$2,行为概览!$D$3:$L$33,9,0)="","",VLOOKUP(T$2,行为概览!$D$3:$L$33,9,0)*IF(玩法行为规划!S4&gt;0,1,0))</f>
        <v>0</v>
      </c>
      <c r="U4" s="7">
        <f>IF(VLOOKUP(U$2,行为概览!$D$3:$L$33,9,0)="","",VLOOKUP(U$2,行为概览!$D$3:$L$33,9,0)*IF(玩法行为规划!T4&gt;0,1,0))</f>
        <v>0</v>
      </c>
      <c r="V4" s="7">
        <f>IF(VLOOKUP(V$2,行为概览!$D$3:$L$33,9,0)="","",VLOOKUP(V$2,行为概览!$D$3:$L$33,9,0)*IF(玩法行为规划!U4&gt;0,1,0))</f>
        <v>0</v>
      </c>
      <c r="W4" s="7">
        <f>IF(VLOOKUP(W$2,行为概览!$D$3:$L$33,9,0)="","",VLOOKUP(W$2,行为概览!$D$3:$L$33,9,0)*IF(玩法行为规划!V4&gt;0,1,0))</f>
        <v>0</v>
      </c>
      <c r="X4" s="7">
        <f>IF(VLOOKUP(X$2,行为概览!$D$3:$L$33,9,0)="","",VLOOKUP(X$2,行为概览!$D$3:$L$33,9,0)*IF(玩法行为规划!W4&gt;0,1,0))</f>
        <v>0</v>
      </c>
      <c r="Y4" s="7">
        <f>IF(VLOOKUP(Y$2,行为概览!$D$3:$L$33,9,0)="","",VLOOKUP(Y$2,行为概览!$D$3:$L$33,9,0)*IF(玩法行为规划!X4&gt;0,1,0))</f>
        <v>0</v>
      </c>
      <c r="Z4" s="7">
        <f>IF(VLOOKUP(Z$2,行为概览!$D$3:$L$33,9,0)="","",VLOOKUP(Z$2,行为概览!$D$3:$L$33,9,0)*IF(玩法行为规划!Y4&gt;0,1,0))</f>
        <v>0</v>
      </c>
      <c r="AA4" s="7">
        <f>IF(VLOOKUP(AA$2,行为概览!$D$3:$L$33,9,0)="","",VLOOKUP(AA$2,行为概览!$D$3:$L$33,9,0)*IF(玩法行为规划!Z4&gt;0,1,0))</f>
        <v>0</v>
      </c>
      <c r="AB4" s="7" t="str">
        <f>IF(VLOOKUP(AB$2,行为概览!$D$3:$L$33,9,0)="","",VLOOKUP(AB$2,行为概览!$D$3:$L$33,9,0)*IF(玩法行为规划!AA4&gt;0,1,0))</f>
        <v/>
      </c>
      <c r="AC4" s="7" t="str">
        <f>IF(VLOOKUP(AC$2,行为概览!$D$3:$L$33,9,0)="","",VLOOKUP(AC$2,行为概览!$D$3:$L$33,9,0)*IF(玩法行为规划!AB4&gt;0,1,0))</f>
        <v/>
      </c>
      <c r="AD4" s="7" t="str">
        <f>IF(VLOOKUP(AD$2,行为概览!$D$3:$L$33,9,0)="","",VLOOKUP(AD$2,行为概览!$D$3:$L$33,9,0)*玩法行为规划!AC4)</f>
        <v/>
      </c>
      <c r="AE4" s="7" t="str">
        <f>IF(VLOOKUP(AE$2,行为概览!$D$3:$L$33,9,0)="","",VLOOKUP(AE$2,行为概览!$D$3:$L$33,9,0)*玩法行为规划!AD4)</f>
        <v/>
      </c>
      <c r="AF4" s="7">
        <f t="shared" si="0"/>
        <v>5</v>
      </c>
      <c r="AG4" s="10">
        <f t="shared" si="1"/>
        <v>10000</v>
      </c>
      <c r="AH4" s="7">
        <f>ROUND(AG4*升级节奏!G4,0)</f>
        <v>0</v>
      </c>
      <c r="AI4" s="7">
        <f t="shared" ref="AI4:AI67" si="2">ROUND(B4*(1+MAX(A4-40,0)*0.1),-2)</f>
        <v>2000</v>
      </c>
      <c r="AJ4" s="21"/>
      <c r="AK4" s="7">
        <f t="shared" ref="AK4:AK67" si="3">AI4/AL4</f>
        <v>1</v>
      </c>
      <c r="AL4" s="7">
        <f t="shared" ref="AL4:AL67" si="4">AH4+AI4</f>
        <v>2000</v>
      </c>
      <c r="AM4" s="7">
        <f>SUM($AL$3:AL4)</f>
        <v>3000</v>
      </c>
      <c r="AN4" s="166">
        <f t="shared" ref="AN4:AN67" si="5">ROUND((B4*6+AH4)/30,-2)</f>
        <v>400</v>
      </c>
      <c r="AO4" s="7">
        <f>SUM($AN$3:AN4)*7</f>
        <v>4200</v>
      </c>
      <c r="AP4" s="69">
        <f t="shared" ref="AP4:AP67" si="6">AM4-AO4-AQ4-AR4</f>
        <v>-1800</v>
      </c>
      <c r="AQ4" s="160">
        <f t="shared" ref="AQ4:AQ67" si="7">ROUND((B4*2+AH4)/10,-2)</f>
        <v>400</v>
      </c>
      <c r="AR4" s="160">
        <f t="shared" ref="AR4:AR67" si="8">ROUND((B4*2+AH4)/20,-2)</f>
        <v>200</v>
      </c>
    </row>
    <row r="5" spans="1:46">
      <c r="A5" s="32">
        <v>3</v>
      </c>
      <c r="B5" s="81">
        <f>升级节奏!E5</f>
        <v>3000</v>
      </c>
      <c r="C5" s="7">
        <f>IF(VLOOKUP(C$2,行为概览!$D$3:$L$33,9,0)="","",VLOOKUP(C$2,行为概览!$D$3:$L$33,9,0)*IF(玩法行为规划!B5&gt;0,1,0))</f>
        <v>0</v>
      </c>
      <c r="D5" s="7">
        <f>IF(VLOOKUP(D$2,行为概览!$D$3:$L$33,9,0)="","",VLOOKUP(D$2,行为概览!$D$3:$L$33,9,0)*IF(玩法行为规划!C5&gt;0,1,0))</f>
        <v>0</v>
      </c>
      <c r="E5" s="7">
        <f>IF(VLOOKUP(E$2,行为概览!$D$3:$L$33,9,0)="","",VLOOKUP(E$2,行为概览!$D$3:$L$33,9,0)*IF(玩法行为规划!D5&gt;0,1,0))</f>
        <v>0</v>
      </c>
      <c r="F5" s="7">
        <f>IF(VLOOKUP(F$2,行为概览!$D$3:$L$33,9,0)="","",VLOOKUP(F$2,行为概览!$D$3:$L$33,9,0)*IF(玩法行为规划!E5&gt;0,1,0))</f>
        <v>0</v>
      </c>
      <c r="G5" s="7" t="str">
        <f>IF(VLOOKUP(G$2,行为概览!$D$3:$L$33,9,0)="","",VLOOKUP(G$2,行为概览!$D$3:$L$33,9,0)*IF(玩法行为规划!F5&gt;0,1,0))</f>
        <v/>
      </c>
      <c r="H5" s="7" t="str">
        <f>IF(VLOOKUP(H$2,行为概览!$D$3:$L$33,9,0)="","",VLOOKUP(H$2,行为概览!$D$3:$L$33,9,0)*IF(玩法行为规划!G5&gt;0,1,0))</f>
        <v/>
      </c>
      <c r="I5" s="7" t="str">
        <f>IF(VLOOKUP(I$2,行为概览!$D$3:$L$33,9,0)="","",VLOOKUP(I$2,行为概览!$D$3:$L$33,9,0)*IF(玩法行为规划!H5&gt;0,1,0))</f>
        <v/>
      </c>
      <c r="J5" s="7" t="str">
        <f>IF(VLOOKUP(J$2,行为概览!$D$3:$L$33,9,0)="","",VLOOKUP(J$2,行为概览!$D$3:$L$33,9,0)*IF(玩法行为规划!I5&gt;0,1,0))</f>
        <v/>
      </c>
      <c r="K5" s="7">
        <f>IF(VLOOKUP(K$2,行为概览!$D$3:$L$33,9,0)="","",VLOOKUP(K$2,行为概览!$D$3:$L$33,9,0)*IF(玩法行为规划!J5&gt;0,1,0))</f>
        <v>0</v>
      </c>
      <c r="L5" s="7">
        <f>IF(VLOOKUP(L$2,行为概览!$D$3:$L$33,9,0)="","",VLOOKUP(L$2,行为概览!$D$3:$L$33,9,0)*IF(玩法行为规划!K5&gt;0,1,0))</f>
        <v>0</v>
      </c>
      <c r="M5" s="7" t="str">
        <f>IF(VLOOKUP(M$2,行为概览!$D$3:$L$33,9,0)="","",VLOOKUP(M$2,行为概览!$D$3:$L$33,9,0)*IF(玩法行为规划!L5&gt;0,1,0))</f>
        <v/>
      </c>
      <c r="N5" s="7" t="str">
        <f>IF(VLOOKUP(N$2,行为概览!$D$3:$L$33,9,0)="","",VLOOKUP(N$2,行为概览!$D$3:$L$33,9,0)*IF(玩法行为规划!M5&gt;0,1,0))</f>
        <v/>
      </c>
      <c r="O5" s="7" t="str">
        <f>IF(VLOOKUP(O$2,行为概览!$D$3:$L$33,9,0)="","",VLOOKUP(O$2,行为概览!$D$3:$L$33,9,0)*IF(玩法行为规划!N5&gt;0,1,0))</f>
        <v/>
      </c>
      <c r="P5" s="7">
        <f>IF(VLOOKUP(P$2,行为概览!$D$3:$L$33,9,0)="","",VLOOKUP(P$2,行为概览!$D$3:$L$33,9,0)*IF(玩法行为规划!O5&gt;0,1,0))</f>
        <v>0</v>
      </c>
      <c r="Q5" s="7">
        <f>IF(VLOOKUP(Q$2,行为概览!$D$3:$L$33,9,0)="","",VLOOKUP(Q$2,行为概览!$D$3:$L$33,9,0)*IF(玩法行为规划!P5&gt;0,1,0))</f>
        <v>5</v>
      </c>
      <c r="R5" s="7" t="str">
        <f>IF(VLOOKUP(R$2,行为概览!$D$3:$L$33,9,0)="","",VLOOKUP(R$2,行为概览!$D$3:$L$33,9,0)*IF(玩法行为规划!Q5&gt;0,1,0))</f>
        <v/>
      </c>
      <c r="S5" s="7">
        <f>IF(VLOOKUP(S$2,行为概览!$D$3:$L$33,9,0)="","",VLOOKUP(S$2,行为概览!$D$3:$L$33,9,0)*IF(玩法行为规划!R5&gt;0,1,0))</f>
        <v>0</v>
      </c>
      <c r="T5" s="7">
        <f>IF(VLOOKUP(T$2,行为概览!$D$3:$L$33,9,0)="","",VLOOKUP(T$2,行为概览!$D$3:$L$33,9,0)*IF(玩法行为规划!S5&gt;0,1,0))</f>
        <v>0</v>
      </c>
      <c r="U5" s="7">
        <f>IF(VLOOKUP(U$2,行为概览!$D$3:$L$33,9,0)="","",VLOOKUP(U$2,行为概览!$D$3:$L$33,9,0)*IF(玩法行为规划!T5&gt;0,1,0))</f>
        <v>0</v>
      </c>
      <c r="V5" s="7">
        <f>IF(VLOOKUP(V$2,行为概览!$D$3:$L$33,9,0)="","",VLOOKUP(V$2,行为概览!$D$3:$L$33,9,0)*IF(玩法行为规划!U5&gt;0,1,0))</f>
        <v>0</v>
      </c>
      <c r="W5" s="7">
        <f>IF(VLOOKUP(W$2,行为概览!$D$3:$L$33,9,0)="","",VLOOKUP(W$2,行为概览!$D$3:$L$33,9,0)*IF(玩法行为规划!V5&gt;0,1,0))</f>
        <v>0</v>
      </c>
      <c r="X5" s="7">
        <f>IF(VLOOKUP(X$2,行为概览!$D$3:$L$33,9,0)="","",VLOOKUP(X$2,行为概览!$D$3:$L$33,9,0)*IF(玩法行为规划!W5&gt;0,1,0))</f>
        <v>0</v>
      </c>
      <c r="Y5" s="7">
        <f>IF(VLOOKUP(Y$2,行为概览!$D$3:$L$33,9,0)="","",VLOOKUP(Y$2,行为概览!$D$3:$L$33,9,0)*IF(玩法行为规划!X5&gt;0,1,0))</f>
        <v>0</v>
      </c>
      <c r="Z5" s="7">
        <f>IF(VLOOKUP(Z$2,行为概览!$D$3:$L$33,9,0)="","",VLOOKUP(Z$2,行为概览!$D$3:$L$33,9,0)*IF(玩法行为规划!Y5&gt;0,1,0))</f>
        <v>0</v>
      </c>
      <c r="AA5" s="7">
        <f>IF(VLOOKUP(AA$2,行为概览!$D$3:$L$33,9,0)="","",VLOOKUP(AA$2,行为概览!$D$3:$L$33,9,0)*IF(玩法行为规划!Z5&gt;0,1,0))</f>
        <v>0</v>
      </c>
      <c r="AB5" s="7" t="str">
        <f>IF(VLOOKUP(AB$2,行为概览!$D$3:$L$33,9,0)="","",VLOOKUP(AB$2,行为概览!$D$3:$L$33,9,0)*IF(玩法行为规划!AA5&gt;0,1,0))</f>
        <v/>
      </c>
      <c r="AC5" s="7" t="str">
        <f>IF(VLOOKUP(AC$2,行为概览!$D$3:$L$33,9,0)="","",VLOOKUP(AC$2,行为概览!$D$3:$L$33,9,0)*IF(玩法行为规划!AB5&gt;0,1,0))</f>
        <v/>
      </c>
      <c r="AD5" s="7" t="str">
        <f>IF(VLOOKUP(AD$2,行为概览!$D$3:$L$33,9,0)="","",VLOOKUP(AD$2,行为概览!$D$3:$L$33,9,0)*玩法行为规划!AC5)</f>
        <v/>
      </c>
      <c r="AE5" s="7" t="str">
        <f>IF(VLOOKUP(AE$2,行为概览!$D$3:$L$33,9,0)="","",VLOOKUP(AE$2,行为概览!$D$3:$L$33,9,0)*玩法行为规划!AD5)</f>
        <v/>
      </c>
      <c r="AF5" s="7">
        <f t="shared" si="0"/>
        <v>5</v>
      </c>
      <c r="AG5" s="10">
        <f t="shared" si="1"/>
        <v>15000</v>
      </c>
      <c r="AH5" s="7">
        <f>ROUND(AG5*升级节奏!G5,0)</f>
        <v>0</v>
      </c>
      <c r="AI5" s="7">
        <f t="shared" si="2"/>
        <v>3000</v>
      </c>
      <c r="AJ5" s="21"/>
      <c r="AK5" s="7">
        <f t="shared" si="3"/>
        <v>1</v>
      </c>
      <c r="AL5" s="7">
        <f t="shared" si="4"/>
        <v>3000</v>
      </c>
      <c r="AM5" s="7">
        <f>SUM($AL$3:AL5)</f>
        <v>6000</v>
      </c>
      <c r="AN5" s="166">
        <f t="shared" si="5"/>
        <v>600</v>
      </c>
      <c r="AO5" s="7">
        <f>SUM($AN$3:AN5)*7</f>
        <v>8400</v>
      </c>
      <c r="AP5" s="69">
        <f t="shared" si="6"/>
        <v>-3300</v>
      </c>
      <c r="AQ5" s="160">
        <f t="shared" si="7"/>
        <v>600</v>
      </c>
      <c r="AR5" s="160">
        <f t="shared" si="8"/>
        <v>300</v>
      </c>
    </row>
    <row r="6" spans="1:46">
      <c r="A6" s="32">
        <v>4</v>
      </c>
      <c r="B6" s="81">
        <f>升级节奏!E6</f>
        <v>4000</v>
      </c>
      <c r="C6" s="7">
        <f>IF(VLOOKUP(C$2,行为概览!$D$3:$L$33,9,0)="","",VLOOKUP(C$2,行为概览!$D$3:$L$33,9,0)*IF(玩法行为规划!B6&gt;0,1,0))</f>
        <v>0</v>
      </c>
      <c r="D6" s="7">
        <f>IF(VLOOKUP(D$2,行为概览!$D$3:$L$33,9,0)="","",VLOOKUP(D$2,行为概览!$D$3:$L$33,9,0)*IF(玩法行为规划!C6&gt;0,1,0))</f>
        <v>0</v>
      </c>
      <c r="E6" s="7">
        <f>IF(VLOOKUP(E$2,行为概览!$D$3:$L$33,9,0)="","",VLOOKUP(E$2,行为概览!$D$3:$L$33,9,0)*IF(玩法行为规划!D6&gt;0,1,0))</f>
        <v>0</v>
      </c>
      <c r="F6" s="7">
        <f>IF(VLOOKUP(F$2,行为概览!$D$3:$L$33,9,0)="","",VLOOKUP(F$2,行为概览!$D$3:$L$33,9,0)*IF(玩法行为规划!E6&gt;0,1,0))</f>
        <v>0</v>
      </c>
      <c r="G6" s="7" t="str">
        <f>IF(VLOOKUP(G$2,行为概览!$D$3:$L$33,9,0)="","",VLOOKUP(G$2,行为概览!$D$3:$L$33,9,0)*IF(玩法行为规划!F6&gt;0,1,0))</f>
        <v/>
      </c>
      <c r="H6" s="7" t="str">
        <f>IF(VLOOKUP(H$2,行为概览!$D$3:$L$33,9,0)="","",VLOOKUP(H$2,行为概览!$D$3:$L$33,9,0)*IF(玩法行为规划!G6&gt;0,1,0))</f>
        <v/>
      </c>
      <c r="I6" s="7" t="str">
        <f>IF(VLOOKUP(I$2,行为概览!$D$3:$L$33,9,0)="","",VLOOKUP(I$2,行为概览!$D$3:$L$33,9,0)*IF(玩法行为规划!H6&gt;0,1,0))</f>
        <v/>
      </c>
      <c r="J6" s="7" t="str">
        <f>IF(VLOOKUP(J$2,行为概览!$D$3:$L$33,9,0)="","",VLOOKUP(J$2,行为概览!$D$3:$L$33,9,0)*IF(玩法行为规划!I6&gt;0,1,0))</f>
        <v/>
      </c>
      <c r="K6" s="7">
        <f>IF(VLOOKUP(K$2,行为概览!$D$3:$L$33,9,0)="","",VLOOKUP(K$2,行为概览!$D$3:$L$33,9,0)*IF(玩法行为规划!J6&gt;0,1,0))</f>
        <v>0</v>
      </c>
      <c r="L6" s="7">
        <f>IF(VLOOKUP(L$2,行为概览!$D$3:$L$33,9,0)="","",VLOOKUP(L$2,行为概览!$D$3:$L$33,9,0)*IF(玩法行为规划!K6&gt;0,1,0))</f>
        <v>0</v>
      </c>
      <c r="M6" s="7" t="str">
        <f>IF(VLOOKUP(M$2,行为概览!$D$3:$L$33,9,0)="","",VLOOKUP(M$2,行为概览!$D$3:$L$33,9,0)*IF(玩法行为规划!L6&gt;0,1,0))</f>
        <v/>
      </c>
      <c r="N6" s="7" t="str">
        <f>IF(VLOOKUP(N$2,行为概览!$D$3:$L$33,9,0)="","",VLOOKUP(N$2,行为概览!$D$3:$L$33,9,0)*IF(玩法行为规划!M6&gt;0,1,0))</f>
        <v/>
      </c>
      <c r="O6" s="7" t="str">
        <f>IF(VLOOKUP(O$2,行为概览!$D$3:$L$33,9,0)="","",VLOOKUP(O$2,行为概览!$D$3:$L$33,9,0)*IF(玩法行为规划!N6&gt;0,1,0))</f>
        <v/>
      </c>
      <c r="P6" s="7">
        <f>IF(VLOOKUP(P$2,行为概览!$D$3:$L$33,9,0)="","",VLOOKUP(P$2,行为概览!$D$3:$L$33,9,0)*IF(玩法行为规划!O6&gt;0,1,0))</f>
        <v>0</v>
      </c>
      <c r="Q6" s="7">
        <f>IF(VLOOKUP(Q$2,行为概览!$D$3:$L$33,9,0)="","",VLOOKUP(Q$2,行为概览!$D$3:$L$33,9,0)*IF(玩法行为规划!P6&gt;0,1,0))</f>
        <v>5</v>
      </c>
      <c r="R6" s="7" t="str">
        <f>IF(VLOOKUP(R$2,行为概览!$D$3:$L$33,9,0)="","",VLOOKUP(R$2,行为概览!$D$3:$L$33,9,0)*IF(玩法行为规划!Q6&gt;0,1,0))</f>
        <v/>
      </c>
      <c r="S6" s="7">
        <f>IF(VLOOKUP(S$2,行为概览!$D$3:$L$33,9,0)="","",VLOOKUP(S$2,行为概览!$D$3:$L$33,9,0)*IF(玩法行为规划!R6&gt;0,1,0))</f>
        <v>0</v>
      </c>
      <c r="T6" s="7">
        <f>IF(VLOOKUP(T$2,行为概览!$D$3:$L$33,9,0)="","",VLOOKUP(T$2,行为概览!$D$3:$L$33,9,0)*IF(玩法行为规划!S6&gt;0,1,0))</f>
        <v>0</v>
      </c>
      <c r="U6" s="7">
        <f>IF(VLOOKUP(U$2,行为概览!$D$3:$L$33,9,0)="","",VLOOKUP(U$2,行为概览!$D$3:$L$33,9,0)*IF(玩法行为规划!T6&gt;0,1,0))</f>
        <v>0</v>
      </c>
      <c r="V6" s="7">
        <f>IF(VLOOKUP(V$2,行为概览!$D$3:$L$33,9,0)="","",VLOOKUP(V$2,行为概览!$D$3:$L$33,9,0)*IF(玩法行为规划!U6&gt;0,1,0))</f>
        <v>0</v>
      </c>
      <c r="W6" s="7">
        <f>IF(VLOOKUP(W$2,行为概览!$D$3:$L$33,9,0)="","",VLOOKUP(W$2,行为概览!$D$3:$L$33,9,0)*IF(玩法行为规划!V6&gt;0,1,0))</f>
        <v>0</v>
      </c>
      <c r="X6" s="7">
        <f>IF(VLOOKUP(X$2,行为概览!$D$3:$L$33,9,0)="","",VLOOKUP(X$2,行为概览!$D$3:$L$33,9,0)*IF(玩法行为规划!W6&gt;0,1,0))</f>
        <v>0</v>
      </c>
      <c r="Y6" s="7">
        <f>IF(VLOOKUP(Y$2,行为概览!$D$3:$L$33,9,0)="","",VLOOKUP(Y$2,行为概览!$D$3:$L$33,9,0)*IF(玩法行为规划!X6&gt;0,1,0))</f>
        <v>0</v>
      </c>
      <c r="Z6" s="7">
        <f>IF(VLOOKUP(Z$2,行为概览!$D$3:$L$33,9,0)="","",VLOOKUP(Z$2,行为概览!$D$3:$L$33,9,0)*IF(玩法行为规划!Y6&gt;0,1,0))</f>
        <v>0</v>
      </c>
      <c r="AA6" s="7">
        <f>IF(VLOOKUP(AA$2,行为概览!$D$3:$L$33,9,0)="","",VLOOKUP(AA$2,行为概览!$D$3:$L$33,9,0)*IF(玩法行为规划!Z6&gt;0,1,0))</f>
        <v>0</v>
      </c>
      <c r="AB6" s="7" t="str">
        <f>IF(VLOOKUP(AB$2,行为概览!$D$3:$L$33,9,0)="","",VLOOKUP(AB$2,行为概览!$D$3:$L$33,9,0)*IF(玩法行为规划!AA6&gt;0,1,0))</f>
        <v/>
      </c>
      <c r="AC6" s="7" t="str">
        <f>IF(VLOOKUP(AC$2,行为概览!$D$3:$L$33,9,0)="","",VLOOKUP(AC$2,行为概览!$D$3:$L$33,9,0)*IF(玩法行为规划!AB6&gt;0,1,0))</f>
        <v/>
      </c>
      <c r="AD6" s="7" t="str">
        <f>IF(VLOOKUP(AD$2,行为概览!$D$3:$L$33,9,0)="","",VLOOKUP(AD$2,行为概览!$D$3:$L$33,9,0)*玩法行为规划!AC6)</f>
        <v/>
      </c>
      <c r="AE6" s="7" t="str">
        <f>IF(VLOOKUP(AE$2,行为概览!$D$3:$L$33,9,0)="","",VLOOKUP(AE$2,行为概览!$D$3:$L$33,9,0)*玩法行为规划!AD6)</f>
        <v/>
      </c>
      <c r="AF6" s="7">
        <f t="shared" si="0"/>
        <v>5</v>
      </c>
      <c r="AG6" s="10">
        <f t="shared" si="1"/>
        <v>20000</v>
      </c>
      <c r="AH6" s="7">
        <f>ROUND(AG6*升级节奏!G6,0)</f>
        <v>0</v>
      </c>
      <c r="AI6" s="7">
        <f t="shared" si="2"/>
        <v>4000</v>
      </c>
      <c r="AJ6" s="21"/>
      <c r="AK6" s="7">
        <f t="shared" si="3"/>
        <v>1</v>
      </c>
      <c r="AL6" s="7">
        <f t="shared" si="4"/>
        <v>4000</v>
      </c>
      <c r="AM6" s="7">
        <f>SUM($AL$3:AL6)</f>
        <v>10000</v>
      </c>
      <c r="AN6" s="166">
        <f t="shared" si="5"/>
        <v>800</v>
      </c>
      <c r="AO6" s="7">
        <f>SUM($AN$3:AN6)*7</f>
        <v>14000</v>
      </c>
      <c r="AP6" s="69">
        <f t="shared" si="6"/>
        <v>-5200</v>
      </c>
      <c r="AQ6" s="160">
        <f t="shared" si="7"/>
        <v>800</v>
      </c>
      <c r="AR6" s="160">
        <f t="shared" si="8"/>
        <v>400</v>
      </c>
    </row>
    <row r="7" spans="1:46">
      <c r="A7" s="32">
        <v>5</v>
      </c>
      <c r="B7" s="81">
        <f>升级节奏!E7</f>
        <v>5000</v>
      </c>
      <c r="C7" s="7">
        <f>IF(VLOOKUP(C$2,行为概览!$D$3:$L$33,9,0)="","",VLOOKUP(C$2,行为概览!$D$3:$L$33,9,0)*IF(玩法行为规划!B7&gt;0,1,0))</f>
        <v>0</v>
      </c>
      <c r="D7" s="7">
        <f>IF(VLOOKUP(D$2,行为概览!$D$3:$L$33,9,0)="","",VLOOKUP(D$2,行为概览!$D$3:$L$33,9,0)*IF(玩法行为规划!C7&gt;0,1,0))</f>
        <v>0</v>
      </c>
      <c r="E7" s="7">
        <f>IF(VLOOKUP(E$2,行为概览!$D$3:$L$33,9,0)="","",VLOOKUP(E$2,行为概览!$D$3:$L$33,9,0)*IF(玩法行为规划!D7&gt;0,1,0))</f>
        <v>0</v>
      </c>
      <c r="F7" s="7">
        <f>IF(VLOOKUP(F$2,行为概览!$D$3:$L$33,9,0)="","",VLOOKUP(F$2,行为概览!$D$3:$L$33,9,0)*IF(玩法行为规划!E7&gt;0,1,0))</f>
        <v>0</v>
      </c>
      <c r="G7" s="7" t="str">
        <f>IF(VLOOKUP(G$2,行为概览!$D$3:$L$33,9,0)="","",VLOOKUP(G$2,行为概览!$D$3:$L$33,9,0)*IF(玩法行为规划!F7&gt;0,1,0))</f>
        <v/>
      </c>
      <c r="H7" s="7" t="str">
        <f>IF(VLOOKUP(H$2,行为概览!$D$3:$L$33,9,0)="","",VLOOKUP(H$2,行为概览!$D$3:$L$33,9,0)*IF(玩法行为规划!G7&gt;0,1,0))</f>
        <v/>
      </c>
      <c r="I7" s="7" t="str">
        <f>IF(VLOOKUP(I$2,行为概览!$D$3:$L$33,9,0)="","",VLOOKUP(I$2,行为概览!$D$3:$L$33,9,0)*IF(玩法行为规划!H7&gt;0,1,0))</f>
        <v/>
      </c>
      <c r="J7" s="7" t="str">
        <f>IF(VLOOKUP(J$2,行为概览!$D$3:$L$33,9,0)="","",VLOOKUP(J$2,行为概览!$D$3:$L$33,9,0)*IF(玩法行为规划!I7&gt;0,1,0))</f>
        <v/>
      </c>
      <c r="K7" s="7">
        <f>IF(VLOOKUP(K$2,行为概览!$D$3:$L$33,9,0)="","",VLOOKUP(K$2,行为概览!$D$3:$L$33,9,0)*IF(玩法行为规划!J7&gt;0,1,0))</f>
        <v>0</v>
      </c>
      <c r="L7" s="7">
        <f>IF(VLOOKUP(L$2,行为概览!$D$3:$L$33,9,0)="","",VLOOKUP(L$2,行为概览!$D$3:$L$33,9,0)*IF(玩法行为规划!K7&gt;0,1,0))</f>
        <v>0</v>
      </c>
      <c r="M7" s="7" t="str">
        <f>IF(VLOOKUP(M$2,行为概览!$D$3:$L$33,9,0)="","",VLOOKUP(M$2,行为概览!$D$3:$L$33,9,0)*IF(玩法行为规划!L7&gt;0,1,0))</f>
        <v/>
      </c>
      <c r="N7" s="7" t="str">
        <f>IF(VLOOKUP(N$2,行为概览!$D$3:$L$33,9,0)="","",VLOOKUP(N$2,行为概览!$D$3:$L$33,9,0)*IF(玩法行为规划!M7&gt;0,1,0))</f>
        <v/>
      </c>
      <c r="O7" s="7" t="str">
        <f>IF(VLOOKUP(O$2,行为概览!$D$3:$L$33,9,0)="","",VLOOKUP(O$2,行为概览!$D$3:$L$33,9,0)*IF(玩法行为规划!N7&gt;0,1,0))</f>
        <v/>
      </c>
      <c r="P7" s="7">
        <f>IF(VLOOKUP(P$2,行为概览!$D$3:$L$33,9,0)="","",VLOOKUP(P$2,行为概览!$D$3:$L$33,9,0)*IF(玩法行为规划!O7&gt;0,1,0))</f>
        <v>0</v>
      </c>
      <c r="Q7" s="7">
        <f>IF(VLOOKUP(Q$2,行为概览!$D$3:$L$33,9,0)="","",VLOOKUP(Q$2,行为概览!$D$3:$L$33,9,0)*IF(玩法行为规划!P7&gt;0,1,0))</f>
        <v>5</v>
      </c>
      <c r="R7" s="7" t="str">
        <f>IF(VLOOKUP(R$2,行为概览!$D$3:$L$33,9,0)="","",VLOOKUP(R$2,行为概览!$D$3:$L$33,9,0)*IF(玩法行为规划!Q7&gt;0,1,0))</f>
        <v/>
      </c>
      <c r="S7" s="7">
        <f>IF(VLOOKUP(S$2,行为概览!$D$3:$L$33,9,0)="","",VLOOKUP(S$2,行为概览!$D$3:$L$33,9,0)*IF(玩法行为规划!R7&gt;0,1,0))</f>
        <v>0</v>
      </c>
      <c r="T7" s="7">
        <f>IF(VLOOKUP(T$2,行为概览!$D$3:$L$33,9,0)="","",VLOOKUP(T$2,行为概览!$D$3:$L$33,9,0)*IF(玩法行为规划!S7&gt;0,1,0))</f>
        <v>0</v>
      </c>
      <c r="U7" s="7">
        <f>IF(VLOOKUP(U$2,行为概览!$D$3:$L$33,9,0)="","",VLOOKUP(U$2,行为概览!$D$3:$L$33,9,0)*IF(玩法行为规划!T7&gt;0,1,0))</f>
        <v>0</v>
      </c>
      <c r="V7" s="7">
        <f>IF(VLOOKUP(V$2,行为概览!$D$3:$L$33,9,0)="","",VLOOKUP(V$2,行为概览!$D$3:$L$33,9,0)*IF(玩法行为规划!U7&gt;0,1,0))</f>
        <v>0</v>
      </c>
      <c r="W7" s="7">
        <f>IF(VLOOKUP(W$2,行为概览!$D$3:$L$33,9,0)="","",VLOOKUP(W$2,行为概览!$D$3:$L$33,9,0)*IF(玩法行为规划!V7&gt;0,1,0))</f>
        <v>0</v>
      </c>
      <c r="X7" s="7">
        <f>IF(VLOOKUP(X$2,行为概览!$D$3:$L$33,9,0)="","",VLOOKUP(X$2,行为概览!$D$3:$L$33,9,0)*IF(玩法行为规划!W7&gt;0,1,0))</f>
        <v>0</v>
      </c>
      <c r="Y7" s="7">
        <f>IF(VLOOKUP(Y$2,行为概览!$D$3:$L$33,9,0)="","",VLOOKUP(Y$2,行为概览!$D$3:$L$33,9,0)*IF(玩法行为规划!X7&gt;0,1,0))</f>
        <v>0</v>
      </c>
      <c r="Z7" s="7">
        <f>IF(VLOOKUP(Z$2,行为概览!$D$3:$L$33,9,0)="","",VLOOKUP(Z$2,行为概览!$D$3:$L$33,9,0)*IF(玩法行为规划!Y7&gt;0,1,0))</f>
        <v>0</v>
      </c>
      <c r="AA7" s="7">
        <f>IF(VLOOKUP(AA$2,行为概览!$D$3:$L$33,9,0)="","",VLOOKUP(AA$2,行为概览!$D$3:$L$33,9,0)*IF(玩法行为规划!Z7&gt;0,1,0))</f>
        <v>0</v>
      </c>
      <c r="AB7" s="7" t="str">
        <f>IF(VLOOKUP(AB$2,行为概览!$D$3:$L$33,9,0)="","",VLOOKUP(AB$2,行为概览!$D$3:$L$33,9,0)*IF(玩法行为规划!AA7&gt;0,1,0))</f>
        <v/>
      </c>
      <c r="AC7" s="7" t="str">
        <f>IF(VLOOKUP(AC$2,行为概览!$D$3:$L$33,9,0)="","",VLOOKUP(AC$2,行为概览!$D$3:$L$33,9,0)*IF(玩法行为规划!AB7&gt;0,1,0))</f>
        <v/>
      </c>
      <c r="AD7" s="7" t="str">
        <f>IF(VLOOKUP(AD$2,行为概览!$D$3:$L$33,9,0)="","",VLOOKUP(AD$2,行为概览!$D$3:$L$33,9,0)*玩法行为规划!AC7)</f>
        <v/>
      </c>
      <c r="AE7" s="7" t="str">
        <f>IF(VLOOKUP(AE$2,行为概览!$D$3:$L$33,9,0)="","",VLOOKUP(AE$2,行为概览!$D$3:$L$33,9,0)*玩法行为规划!AD7)</f>
        <v/>
      </c>
      <c r="AF7" s="7">
        <f t="shared" si="0"/>
        <v>5</v>
      </c>
      <c r="AG7" s="10">
        <f t="shared" si="1"/>
        <v>25000</v>
      </c>
      <c r="AH7" s="7">
        <f>ROUND(AG7*升级节奏!G7,0)</f>
        <v>0</v>
      </c>
      <c r="AI7" s="7">
        <f t="shared" si="2"/>
        <v>5000</v>
      </c>
      <c r="AJ7" s="21"/>
      <c r="AK7" s="7">
        <f t="shared" si="3"/>
        <v>1</v>
      </c>
      <c r="AL7" s="7">
        <f t="shared" si="4"/>
        <v>5000</v>
      </c>
      <c r="AM7" s="7">
        <f>SUM($AL$3:AL7)</f>
        <v>15000</v>
      </c>
      <c r="AN7" s="166">
        <f t="shared" si="5"/>
        <v>1000</v>
      </c>
      <c r="AO7" s="7">
        <f>SUM($AN$3:AN7)*7</f>
        <v>21000</v>
      </c>
      <c r="AP7" s="69">
        <f t="shared" si="6"/>
        <v>-7500</v>
      </c>
      <c r="AQ7" s="160">
        <f t="shared" si="7"/>
        <v>1000</v>
      </c>
      <c r="AR7" s="160">
        <f t="shared" si="8"/>
        <v>500</v>
      </c>
    </row>
    <row r="8" spans="1:46">
      <c r="A8" s="32">
        <v>6</v>
      </c>
      <c r="B8" s="81">
        <f>升级节奏!E8</f>
        <v>6000</v>
      </c>
      <c r="C8" s="7">
        <f>IF(VLOOKUP(C$2,行为概览!$D$3:$L$33,9,0)="","",VLOOKUP(C$2,行为概览!$D$3:$L$33,9,0)*IF(玩法行为规划!B8&gt;0,1,0))</f>
        <v>0</v>
      </c>
      <c r="D8" s="7">
        <f>IF(VLOOKUP(D$2,行为概览!$D$3:$L$33,9,0)="","",VLOOKUP(D$2,行为概览!$D$3:$L$33,9,0)*IF(玩法行为规划!C8&gt;0,1,0))</f>
        <v>0</v>
      </c>
      <c r="E8" s="7">
        <f>IF(VLOOKUP(E$2,行为概览!$D$3:$L$33,9,0)="","",VLOOKUP(E$2,行为概览!$D$3:$L$33,9,0)*IF(玩法行为规划!D8&gt;0,1,0))</f>
        <v>0</v>
      </c>
      <c r="F8" s="7">
        <f>IF(VLOOKUP(F$2,行为概览!$D$3:$L$33,9,0)="","",VLOOKUP(F$2,行为概览!$D$3:$L$33,9,0)*IF(玩法行为规划!E8&gt;0,1,0))</f>
        <v>0</v>
      </c>
      <c r="G8" s="7" t="str">
        <f>IF(VLOOKUP(G$2,行为概览!$D$3:$L$33,9,0)="","",VLOOKUP(G$2,行为概览!$D$3:$L$33,9,0)*IF(玩法行为规划!F8&gt;0,1,0))</f>
        <v/>
      </c>
      <c r="H8" s="7" t="str">
        <f>IF(VLOOKUP(H$2,行为概览!$D$3:$L$33,9,0)="","",VLOOKUP(H$2,行为概览!$D$3:$L$33,9,0)*IF(玩法行为规划!G8&gt;0,1,0))</f>
        <v/>
      </c>
      <c r="I8" s="7" t="str">
        <f>IF(VLOOKUP(I$2,行为概览!$D$3:$L$33,9,0)="","",VLOOKUP(I$2,行为概览!$D$3:$L$33,9,0)*IF(玩法行为规划!H8&gt;0,1,0))</f>
        <v/>
      </c>
      <c r="J8" s="7" t="str">
        <f>IF(VLOOKUP(J$2,行为概览!$D$3:$L$33,9,0)="","",VLOOKUP(J$2,行为概览!$D$3:$L$33,9,0)*IF(玩法行为规划!I8&gt;0,1,0))</f>
        <v/>
      </c>
      <c r="K8" s="7">
        <f>IF(VLOOKUP(K$2,行为概览!$D$3:$L$33,9,0)="","",VLOOKUP(K$2,行为概览!$D$3:$L$33,9,0)*IF(玩法行为规划!J8&gt;0,1,0))</f>
        <v>0</v>
      </c>
      <c r="L8" s="7">
        <f>IF(VLOOKUP(L$2,行为概览!$D$3:$L$33,9,0)="","",VLOOKUP(L$2,行为概览!$D$3:$L$33,9,0)*IF(玩法行为规划!K8&gt;0,1,0))</f>
        <v>0</v>
      </c>
      <c r="M8" s="7" t="str">
        <f>IF(VLOOKUP(M$2,行为概览!$D$3:$L$33,9,0)="","",VLOOKUP(M$2,行为概览!$D$3:$L$33,9,0)*IF(玩法行为规划!L8&gt;0,1,0))</f>
        <v/>
      </c>
      <c r="N8" s="7" t="str">
        <f>IF(VLOOKUP(N$2,行为概览!$D$3:$L$33,9,0)="","",VLOOKUP(N$2,行为概览!$D$3:$L$33,9,0)*IF(玩法行为规划!M8&gt;0,1,0))</f>
        <v/>
      </c>
      <c r="O8" s="7" t="str">
        <f>IF(VLOOKUP(O$2,行为概览!$D$3:$L$33,9,0)="","",VLOOKUP(O$2,行为概览!$D$3:$L$33,9,0)*IF(玩法行为规划!N8&gt;0,1,0))</f>
        <v/>
      </c>
      <c r="P8" s="7">
        <f>IF(VLOOKUP(P$2,行为概览!$D$3:$L$33,9,0)="","",VLOOKUP(P$2,行为概览!$D$3:$L$33,9,0)*IF(玩法行为规划!O8&gt;0,1,0))</f>
        <v>0</v>
      </c>
      <c r="Q8" s="7">
        <f>IF(VLOOKUP(Q$2,行为概览!$D$3:$L$33,9,0)="","",VLOOKUP(Q$2,行为概览!$D$3:$L$33,9,0)*IF(玩法行为规划!P8&gt;0,1,0))</f>
        <v>5</v>
      </c>
      <c r="R8" s="7" t="str">
        <f>IF(VLOOKUP(R$2,行为概览!$D$3:$L$33,9,0)="","",VLOOKUP(R$2,行为概览!$D$3:$L$33,9,0)*IF(玩法行为规划!Q8&gt;0,1,0))</f>
        <v/>
      </c>
      <c r="S8" s="7">
        <f>IF(VLOOKUP(S$2,行为概览!$D$3:$L$33,9,0)="","",VLOOKUP(S$2,行为概览!$D$3:$L$33,9,0)*IF(玩法行为规划!R8&gt;0,1,0))</f>
        <v>0</v>
      </c>
      <c r="T8" s="7">
        <f>IF(VLOOKUP(T$2,行为概览!$D$3:$L$33,9,0)="","",VLOOKUP(T$2,行为概览!$D$3:$L$33,9,0)*IF(玩法行为规划!S8&gt;0,1,0))</f>
        <v>0</v>
      </c>
      <c r="U8" s="7">
        <f>IF(VLOOKUP(U$2,行为概览!$D$3:$L$33,9,0)="","",VLOOKUP(U$2,行为概览!$D$3:$L$33,9,0)*IF(玩法行为规划!T8&gt;0,1,0))</f>
        <v>0</v>
      </c>
      <c r="V8" s="7">
        <f>IF(VLOOKUP(V$2,行为概览!$D$3:$L$33,9,0)="","",VLOOKUP(V$2,行为概览!$D$3:$L$33,9,0)*IF(玩法行为规划!U8&gt;0,1,0))</f>
        <v>0</v>
      </c>
      <c r="W8" s="7">
        <f>IF(VLOOKUP(W$2,行为概览!$D$3:$L$33,9,0)="","",VLOOKUP(W$2,行为概览!$D$3:$L$33,9,0)*IF(玩法行为规划!V8&gt;0,1,0))</f>
        <v>0</v>
      </c>
      <c r="X8" s="7">
        <f>IF(VLOOKUP(X$2,行为概览!$D$3:$L$33,9,0)="","",VLOOKUP(X$2,行为概览!$D$3:$L$33,9,0)*IF(玩法行为规划!W8&gt;0,1,0))</f>
        <v>0</v>
      </c>
      <c r="Y8" s="7">
        <f>IF(VLOOKUP(Y$2,行为概览!$D$3:$L$33,9,0)="","",VLOOKUP(Y$2,行为概览!$D$3:$L$33,9,0)*IF(玩法行为规划!X8&gt;0,1,0))</f>
        <v>0</v>
      </c>
      <c r="Z8" s="7">
        <f>IF(VLOOKUP(Z$2,行为概览!$D$3:$L$33,9,0)="","",VLOOKUP(Z$2,行为概览!$D$3:$L$33,9,0)*IF(玩法行为规划!Y8&gt;0,1,0))</f>
        <v>0</v>
      </c>
      <c r="AA8" s="7">
        <f>IF(VLOOKUP(AA$2,行为概览!$D$3:$L$33,9,0)="","",VLOOKUP(AA$2,行为概览!$D$3:$L$33,9,0)*IF(玩法行为规划!Z8&gt;0,1,0))</f>
        <v>0</v>
      </c>
      <c r="AB8" s="7" t="str">
        <f>IF(VLOOKUP(AB$2,行为概览!$D$3:$L$33,9,0)="","",VLOOKUP(AB$2,行为概览!$D$3:$L$33,9,0)*IF(玩法行为规划!AA8&gt;0,1,0))</f>
        <v/>
      </c>
      <c r="AC8" s="7" t="str">
        <f>IF(VLOOKUP(AC$2,行为概览!$D$3:$L$33,9,0)="","",VLOOKUP(AC$2,行为概览!$D$3:$L$33,9,0)*IF(玩法行为规划!AB8&gt;0,1,0))</f>
        <v/>
      </c>
      <c r="AD8" s="7" t="str">
        <f>IF(VLOOKUP(AD$2,行为概览!$D$3:$L$33,9,0)="","",VLOOKUP(AD$2,行为概览!$D$3:$L$33,9,0)*玩法行为规划!AC8)</f>
        <v/>
      </c>
      <c r="AE8" s="7" t="str">
        <f>IF(VLOOKUP(AE$2,行为概览!$D$3:$L$33,9,0)="","",VLOOKUP(AE$2,行为概览!$D$3:$L$33,9,0)*玩法行为规划!AD8)</f>
        <v/>
      </c>
      <c r="AF8" s="7">
        <f t="shared" si="0"/>
        <v>5</v>
      </c>
      <c r="AG8" s="10">
        <f t="shared" si="1"/>
        <v>30000</v>
      </c>
      <c r="AH8" s="7">
        <f>ROUND(AG8*升级节奏!G8,0)</f>
        <v>0</v>
      </c>
      <c r="AI8" s="7">
        <f t="shared" si="2"/>
        <v>6000</v>
      </c>
      <c r="AJ8" s="21"/>
      <c r="AK8" s="7">
        <f t="shared" si="3"/>
        <v>1</v>
      </c>
      <c r="AL8" s="7">
        <f t="shared" si="4"/>
        <v>6000</v>
      </c>
      <c r="AM8" s="7">
        <f>SUM($AL$3:AL8)</f>
        <v>21000</v>
      </c>
      <c r="AN8" s="166">
        <f t="shared" si="5"/>
        <v>1200</v>
      </c>
      <c r="AO8" s="7">
        <f>SUM($AN$3:AN8)*7</f>
        <v>29400</v>
      </c>
      <c r="AP8" s="69">
        <f t="shared" si="6"/>
        <v>-10200</v>
      </c>
      <c r="AQ8" s="160">
        <f t="shared" si="7"/>
        <v>1200</v>
      </c>
      <c r="AR8" s="160">
        <f t="shared" si="8"/>
        <v>600</v>
      </c>
      <c r="AS8" s="7"/>
      <c r="AT8" s="7"/>
    </row>
    <row r="9" spans="1:46">
      <c r="A9" s="32">
        <v>7</v>
      </c>
      <c r="B9" s="81">
        <f>升级节奏!E9</f>
        <v>7000</v>
      </c>
      <c r="C9" s="7">
        <f>IF(VLOOKUP(C$2,行为概览!$D$3:$L$33,9,0)="","",VLOOKUP(C$2,行为概览!$D$3:$L$33,9,0)*IF(玩法行为规划!B9&gt;0,1,0))</f>
        <v>0</v>
      </c>
      <c r="D9" s="7">
        <f>IF(VLOOKUP(D$2,行为概览!$D$3:$L$33,9,0)="","",VLOOKUP(D$2,行为概览!$D$3:$L$33,9,0)*IF(玩法行为规划!C9&gt;0,1,0))</f>
        <v>0</v>
      </c>
      <c r="E9" s="7">
        <f>IF(VLOOKUP(E$2,行为概览!$D$3:$L$33,9,0)="","",VLOOKUP(E$2,行为概览!$D$3:$L$33,9,0)*IF(玩法行为规划!D9&gt;0,1,0))</f>
        <v>0</v>
      </c>
      <c r="F9" s="7">
        <f>IF(VLOOKUP(F$2,行为概览!$D$3:$L$33,9,0)="","",VLOOKUP(F$2,行为概览!$D$3:$L$33,9,0)*IF(玩法行为规划!E9&gt;0,1,0))</f>
        <v>0</v>
      </c>
      <c r="G9" s="7" t="str">
        <f>IF(VLOOKUP(G$2,行为概览!$D$3:$L$33,9,0)="","",VLOOKUP(G$2,行为概览!$D$3:$L$33,9,0)*IF(玩法行为规划!F9&gt;0,1,0))</f>
        <v/>
      </c>
      <c r="H9" s="7" t="str">
        <f>IF(VLOOKUP(H$2,行为概览!$D$3:$L$33,9,0)="","",VLOOKUP(H$2,行为概览!$D$3:$L$33,9,0)*IF(玩法行为规划!G9&gt;0,1,0))</f>
        <v/>
      </c>
      <c r="I9" s="7" t="str">
        <f>IF(VLOOKUP(I$2,行为概览!$D$3:$L$33,9,0)="","",VLOOKUP(I$2,行为概览!$D$3:$L$33,9,0)*IF(玩法行为规划!H9&gt;0,1,0))</f>
        <v/>
      </c>
      <c r="J9" s="7" t="str">
        <f>IF(VLOOKUP(J$2,行为概览!$D$3:$L$33,9,0)="","",VLOOKUP(J$2,行为概览!$D$3:$L$33,9,0)*IF(玩法行为规划!I9&gt;0,1,0))</f>
        <v/>
      </c>
      <c r="K9" s="7">
        <f>IF(VLOOKUP(K$2,行为概览!$D$3:$L$33,9,0)="","",VLOOKUP(K$2,行为概览!$D$3:$L$33,9,0)*IF(玩法行为规划!J9&gt;0,1,0))</f>
        <v>0</v>
      </c>
      <c r="L9" s="7">
        <f>IF(VLOOKUP(L$2,行为概览!$D$3:$L$33,9,0)="","",VLOOKUP(L$2,行为概览!$D$3:$L$33,9,0)*IF(玩法行为规划!K9&gt;0,1,0))</f>
        <v>0</v>
      </c>
      <c r="M9" s="7" t="str">
        <f>IF(VLOOKUP(M$2,行为概览!$D$3:$L$33,9,0)="","",VLOOKUP(M$2,行为概览!$D$3:$L$33,9,0)*IF(玩法行为规划!L9&gt;0,1,0))</f>
        <v/>
      </c>
      <c r="N9" s="7" t="str">
        <f>IF(VLOOKUP(N$2,行为概览!$D$3:$L$33,9,0)="","",VLOOKUP(N$2,行为概览!$D$3:$L$33,9,0)*IF(玩法行为规划!M9&gt;0,1,0))</f>
        <v/>
      </c>
      <c r="O9" s="7" t="str">
        <f>IF(VLOOKUP(O$2,行为概览!$D$3:$L$33,9,0)="","",VLOOKUP(O$2,行为概览!$D$3:$L$33,9,0)*IF(玩法行为规划!N9&gt;0,1,0))</f>
        <v/>
      </c>
      <c r="P9" s="7">
        <f>IF(VLOOKUP(P$2,行为概览!$D$3:$L$33,9,0)="","",VLOOKUP(P$2,行为概览!$D$3:$L$33,9,0)*IF(玩法行为规划!O9&gt;0,1,0))</f>
        <v>0</v>
      </c>
      <c r="Q9" s="7">
        <f>IF(VLOOKUP(Q$2,行为概览!$D$3:$L$33,9,0)="","",VLOOKUP(Q$2,行为概览!$D$3:$L$33,9,0)*IF(玩法行为规划!P9&gt;0,1,0))</f>
        <v>5</v>
      </c>
      <c r="R9" s="7" t="str">
        <f>IF(VLOOKUP(R$2,行为概览!$D$3:$L$33,9,0)="","",VLOOKUP(R$2,行为概览!$D$3:$L$33,9,0)*IF(玩法行为规划!Q9&gt;0,1,0))</f>
        <v/>
      </c>
      <c r="S9" s="7">
        <f>IF(VLOOKUP(S$2,行为概览!$D$3:$L$33,9,0)="","",VLOOKUP(S$2,行为概览!$D$3:$L$33,9,0)*IF(玩法行为规划!R9&gt;0,1,0))</f>
        <v>0</v>
      </c>
      <c r="T9" s="7">
        <f>IF(VLOOKUP(T$2,行为概览!$D$3:$L$33,9,0)="","",VLOOKUP(T$2,行为概览!$D$3:$L$33,9,0)*IF(玩法行为规划!S9&gt;0,1,0))</f>
        <v>0</v>
      </c>
      <c r="U9" s="7">
        <f>IF(VLOOKUP(U$2,行为概览!$D$3:$L$33,9,0)="","",VLOOKUP(U$2,行为概览!$D$3:$L$33,9,0)*IF(玩法行为规划!T9&gt;0,1,0))</f>
        <v>0</v>
      </c>
      <c r="V9" s="7">
        <f>IF(VLOOKUP(V$2,行为概览!$D$3:$L$33,9,0)="","",VLOOKUP(V$2,行为概览!$D$3:$L$33,9,0)*IF(玩法行为规划!U9&gt;0,1,0))</f>
        <v>0</v>
      </c>
      <c r="W9" s="7">
        <f>IF(VLOOKUP(W$2,行为概览!$D$3:$L$33,9,0)="","",VLOOKUP(W$2,行为概览!$D$3:$L$33,9,0)*IF(玩法行为规划!V9&gt;0,1,0))</f>
        <v>0</v>
      </c>
      <c r="X9" s="7">
        <f>IF(VLOOKUP(X$2,行为概览!$D$3:$L$33,9,0)="","",VLOOKUP(X$2,行为概览!$D$3:$L$33,9,0)*IF(玩法行为规划!W9&gt;0,1,0))</f>
        <v>0</v>
      </c>
      <c r="Y9" s="7">
        <f>IF(VLOOKUP(Y$2,行为概览!$D$3:$L$33,9,0)="","",VLOOKUP(Y$2,行为概览!$D$3:$L$33,9,0)*IF(玩法行为规划!X9&gt;0,1,0))</f>
        <v>0</v>
      </c>
      <c r="Z9" s="7">
        <f>IF(VLOOKUP(Z$2,行为概览!$D$3:$L$33,9,0)="","",VLOOKUP(Z$2,行为概览!$D$3:$L$33,9,0)*IF(玩法行为规划!Y9&gt;0,1,0))</f>
        <v>0</v>
      </c>
      <c r="AA9" s="7">
        <f>IF(VLOOKUP(AA$2,行为概览!$D$3:$L$33,9,0)="","",VLOOKUP(AA$2,行为概览!$D$3:$L$33,9,0)*IF(玩法行为规划!Z9&gt;0,1,0))</f>
        <v>0</v>
      </c>
      <c r="AB9" s="7" t="str">
        <f>IF(VLOOKUP(AB$2,行为概览!$D$3:$L$33,9,0)="","",VLOOKUP(AB$2,行为概览!$D$3:$L$33,9,0)*IF(玩法行为规划!AA9&gt;0,1,0))</f>
        <v/>
      </c>
      <c r="AC9" s="7" t="str">
        <f>IF(VLOOKUP(AC$2,行为概览!$D$3:$L$33,9,0)="","",VLOOKUP(AC$2,行为概览!$D$3:$L$33,9,0)*IF(玩法行为规划!AB9&gt;0,1,0))</f>
        <v/>
      </c>
      <c r="AD9" s="7" t="str">
        <f>IF(VLOOKUP(AD$2,行为概览!$D$3:$L$33,9,0)="","",VLOOKUP(AD$2,行为概览!$D$3:$L$33,9,0)*玩法行为规划!AC9)</f>
        <v/>
      </c>
      <c r="AE9" s="7" t="str">
        <f>IF(VLOOKUP(AE$2,行为概览!$D$3:$L$33,9,0)="","",VLOOKUP(AE$2,行为概览!$D$3:$L$33,9,0)*玩法行为规划!AD9)</f>
        <v/>
      </c>
      <c r="AF9" s="7">
        <f t="shared" si="0"/>
        <v>5</v>
      </c>
      <c r="AG9" s="10">
        <f t="shared" si="1"/>
        <v>35000</v>
      </c>
      <c r="AH9" s="7">
        <f>ROUND(AG9*升级节奏!G9,0)</f>
        <v>0</v>
      </c>
      <c r="AI9" s="7">
        <f t="shared" si="2"/>
        <v>7000</v>
      </c>
      <c r="AJ9" s="21"/>
      <c r="AK9" s="7">
        <f t="shared" si="3"/>
        <v>1</v>
      </c>
      <c r="AL9" s="7">
        <f t="shared" si="4"/>
        <v>7000</v>
      </c>
      <c r="AM9" s="7">
        <f>SUM($AL$3:AL9)</f>
        <v>28000</v>
      </c>
      <c r="AN9" s="166">
        <f t="shared" si="5"/>
        <v>1400</v>
      </c>
      <c r="AO9" s="7">
        <f>SUM($AN$3:AN9)*7</f>
        <v>39200</v>
      </c>
      <c r="AP9" s="69">
        <f t="shared" si="6"/>
        <v>-13300</v>
      </c>
      <c r="AQ9" s="160">
        <f t="shared" si="7"/>
        <v>1400</v>
      </c>
      <c r="AR9" s="160">
        <f t="shared" si="8"/>
        <v>700</v>
      </c>
      <c r="AS9" s="7"/>
      <c r="AT9" s="7"/>
    </row>
    <row r="10" spans="1:46">
      <c r="A10" s="32">
        <v>8</v>
      </c>
      <c r="B10" s="81">
        <f>升级节奏!E10</f>
        <v>8000</v>
      </c>
      <c r="C10" s="7">
        <f>IF(VLOOKUP(C$2,行为概览!$D$3:$L$33,9,0)="","",VLOOKUP(C$2,行为概览!$D$3:$L$33,9,0)*IF(玩法行为规划!B10&gt;0,1,0))</f>
        <v>0</v>
      </c>
      <c r="D10" s="7">
        <f>IF(VLOOKUP(D$2,行为概览!$D$3:$L$33,9,0)="","",VLOOKUP(D$2,行为概览!$D$3:$L$33,9,0)*IF(玩法行为规划!C10&gt;0,1,0))</f>
        <v>0</v>
      </c>
      <c r="E10" s="7">
        <f>IF(VLOOKUP(E$2,行为概览!$D$3:$L$33,9,0)="","",VLOOKUP(E$2,行为概览!$D$3:$L$33,9,0)*IF(玩法行为规划!D10&gt;0,1,0))</f>
        <v>0</v>
      </c>
      <c r="F10" s="7">
        <f>IF(VLOOKUP(F$2,行为概览!$D$3:$L$33,9,0)="","",VLOOKUP(F$2,行为概览!$D$3:$L$33,9,0)*IF(玩法行为规划!E10&gt;0,1,0))</f>
        <v>0</v>
      </c>
      <c r="G10" s="7" t="str">
        <f>IF(VLOOKUP(G$2,行为概览!$D$3:$L$33,9,0)="","",VLOOKUP(G$2,行为概览!$D$3:$L$33,9,0)*IF(玩法行为规划!F10&gt;0,1,0))</f>
        <v/>
      </c>
      <c r="H10" s="7" t="str">
        <f>IF(VLOOKUP(H$2,行为概览!$D$3:$L$33,9,0)="","",VLOOKUP(H$2,行为概览!$D$3:$L$33,9,0)*IF(玩法行为规划!G10&gt;0,1,0))</f>
        <v/>
      </c>
      <c r="I10" s="7" t="str">
        <f>IF(VLOOKUP(I$2,行为概览!$D$3:$L$33,9,0)="","",VLOOKUP(I$2,行为概览!$D$3:$L$33,9,0)*IF(玩法行为规划!H10&gt;0,1,0))</f>
        <v/>
      </c>
      <c r="J10" s="7" t="str">
        <f>IF(VLOOKUP(J$2,行为概览!$D$3:$L$33,9,0)="","",VLOOKUP(J$2,行为概览!$D$3:$L$33,9,0)*IF(玩法行为规划!I10&gt;0,1,0))</f>
        <v/>
      </c>
      <c r="K10" s="7">
        <f>IF(VLOOKUP(K$2,行为概览!$D$3:$L$33,9,0)="","",VLOOKUP(K$2,行为概览!$D$3:$L$33,9,0)*IF(玩法行为规划!J10&gt;0,1,0))</f>
        <v>0</v>
      </c>
      <c r="L10" s="7">
        <f>IF(VLOOKUP(L$2,行为概览!$D$3:$L$33,9,0)="","",VLOOKUP(L$2,行为概览!$D$3:$L$33,9,0)*IF(玩法行为规划!K10&gt;0,1,0))</f>
        <v>0</v>
      </c>
      <c r="M10" s="7" t="str">
        <f>IF(VLOOKUP(M$2,行为概览!$D$3:$L$33,9,0)="","",VLOOKUP(M$2,行为概览!$D$3:$L$33,9,0)*IF(玩法行为规划!L10&gt;0,1,0))</f>
        <v/>
      </c>
      <c r="N10" s="7" t="str">
        <f>IF(VLOOKUP(N$2,行为概览!$D$3:$L$33,9,0)="","",VLOOKUP(N$2,行为概览!$D$3:$L$33,9,0)*IF(玩法行为规划!M10&gt;0,1,0))</f>
        <v/>
      </c>
      <c r="O10" s="7" t="str">
        <f>IF(VLOOKUP(O$2,行为概览!$D$3:$L$33,9,0)="","",VLOOKUP(O$2,行为概览!$D$3:$L$33,9,0)*IF(玩法行为规划!N10&gt;0,1,0))</f>
        <v/>
      </c>
      <c r="P10" s="7">
        <f>IF(VLOOKUP(P$2,行为概览!$D$3:$L$33,9,0)="","",VLOOKUP(P$2,行为概览!$D$3:$L$33,9,0)*IF(玩法行为规划!O10&gt;0,1,0))</f>
        <v>0</v>
      </c>
      <c r="Q10" s="7">
        <f>IF(VLOOKUP(Q$2,行为概览!$D$3:$L$33,9,0)="","",VLOOKUP(Q$2,行为概览!$D$3:$L$33,9,0)*IF(玩法行为规划!P10&gt;0,1,0))</f>
        <v>5</v>
      </c>
      <c r="R10" s="7" t="str">
        <f>IF(VLOOKUP(R$2,行为概览!$D$3:$L$33,9,0)="","",VLOOKUP(R$2,行为概览!$D$3:$L$33,9,0)*IF(玩法行为规划!Q10&gt;0,1,0))</f>
        <v/>
      </c>
      <c r="S10" s="7">
        <f>IF(VLOOKUP(S$2,行为概览!$D$3:$L$33,9,0)="","",VLOOKUP(S$2,行为概览!$D$3:$L$33,9,0)*IF(玩法行为规划!R10&gt;0,1,0))</f>
        <v>0</v>
      </c>
      <c r="T10" s="7">
        <f>IF(VLOOKUP(T$2,行为概览!$D$3:$L$33,9,0)="","",VLOOKUP(T$2,行为概览!$D$3:$L$33,9,0)*IF(玩法行为规划!S10&gt;0,1,0))</f>
        <v>0</v>
      </c>
      <c r="U10" s="7">
        <f>IF(VLOOKUP(U$2,行为概览!$D$3:$L$33,9,0)="","",VLOOKUP(U$2,行为概览!$D$3:$L$33,9,0)*IF(玩法行为规划!T10&gt;0,1,0))</f>
        <v>0</v>
      </c>
      <c r="V10" s="7">
        <f>IF(VLOOKUP(V$2,行为概览!$D$3:$L$33,9,0)="","",VLOOKUP(V$2,行为概览!$D$3:$L$33,9,0)*IF(玩法行为规划!U10&gt;0,1,0))</f>
        <v>0</v>
      </c>
      <c r="W10" s="7">
        <f>IF(VLOOKUP(W$2,行为概览!$D$3:$L$33,9,0)="","",VLOOKUP(W$2,行为概览!$D$3:$L$33,9,0)*IF(玩法行为规划!V10&gt;0,1,0))</f>
        <v>0</v>
      </c>
      <c r="X10" s="7">
        <f>IF(VLOOKUP(X$2,行为概览!$D$3:$L$33,9,0)="","",VLOOKUP(X$2,行为概览!$D$3:$L$33,9,0)*IF(玩法行为规划!W10&gt;0,1,0))</f>
        <v>0</v>
      </c>
      <c r="Y10" s="7">
        <f>IF(VLOOKUP(Y$2,行为概览!$D$3:$L$33,9,0)="","",VLOOKUP(Y$2,行为概览!$D$3:$L$33,9,0)*IF(玩法行为规划!X10&gt;0,1,0))</f>
        <v>0</v>
      </c>
      <c r="Z10" s="7">
        <f>IF(VLOOKUP(Z$2,行为概览!$D$3:$L$33,9,0)="","",VLOOKUP(Z$2,行为概览!$D$3:$L$33,9,0)*IF(玩法行为规划!Y10&gt;0,1,0))</f>
        <v>0</v>
      </c>
      <c r="AA10" s="7">
        <f>IF(VLOOKUP(AA$2,行为概览!$D$3:$L$33,9,0)="","",VLOOKUP(AA$2,行为概览!$D$3:$L$33,9,0)*IF(玩法行为规划!Z10&gt;0,1,0))</f>
        <v>0</v>
      </c>
      <c r="AB10" s="7" t="str">
        <f>IF(VLOOKUP(AB$2,行为概览!$D$3:$L$33,9,0)="","",VLOOKUP(AB$2,行为概览!$D$3:$L$33,9,0)*IF(玩法行为规划!AA10&gt;0,1,0))</f>
        <v/>
      </c>
      <c r="AC10" s="7" t="str">
        <f>IF(VLOOKUP(AC$2,行为概览!$D$3:$L$33,9,0)="","",VLOOKUP(AC$2,行为概览!$D$3:$L$33,9,0)*IF(玩法行为规划!AB10&gt;0,1,0))</f>
        <v/>
      </c>
      <c r="AD10" s="7" t="str">
        <f>IF(VLOOKUP(AD$2,行为概览!$D$3:$L$33,9,0)="","",VLOOKUP(AD$2,行为概览!$D$3:$L$33,9,0)*玩法行为规划!AC10)</f>
        <v/>
      </c>
      <c r="AE10" s="7" t="str">
        <f>IF(VLOOKUP(AE$2,行为概览!$D$3:$L$33,9,0)="","",VLOOKUP(AE$2,行为概览!$D$3:$L$33,9,0)*玩法行为规划!AD10)</f>
        <v/>
      </c>
      <c r="AF10" s="7">
        <f t="shared" si="0"/>
        <v>5</v>
      </c>
      <c r="AG10" s="10">
        <f t="shared" si="1"/>
        <v>40000</v>
      </c>
      <c r="AH10" s="7">
        <f>ROUND(AG10*升级节奏!G10,0)</f>
        <v>0</v>
      </c>
      <c r="AI10" s="7">
        <f t="shared" si="2"/>
        <v>8000</v>
      </c>
      <c r="AJ10" s="21"/>
      <c r="AK10" s="7">
        <f t="shared" si="3"/>
        <v>1</v>
      </c>
      <c r="AL10" s="7">
        <f t="shared" si="4"/>
        <v>8000</v>
      </c>
      <c r="AM10" s="7">
        <f>SUM($AL$3:AL10)</f>
        <v>36000</v>
      </c>
      <c r="AN10" s="166">
        <f t="shared" si="5"/>
        <v>1600</v>
      </c>
      <c r="AO10" s="7">
        <f>SUM($AN$3:AN10)*7</f>
        <v>50400</v>
      </c>
      <c r="AP10" s="69">
        <f t="shared" si="6"/>
        <v>-16800</v>
      </c>
      <c r="AQ10" s="160">
        <f t="shared" si="7"/>
        <v>1600</v>
      </c>
      <c r="AR10" s="160">
        <f t="shared" si="8"/>
        <v>800</v>
      </c>
      <c r="AS10" s="7"/>
      <c r="AT10" s="7"/>
    </row>
    <row r="11" spans="1:46">
      <c r="A11" s="32">
        <v>9</v>
      </c>
      <c r="B11" s="81">
        <f>升级节奏!E11</f>
        <v>9000</v>
      </c>
      <c r="C11" s="7">
        <f>IF(VLOOKUP(C$2,行为概览!$D$3:$L$33,9,0)="","",VLOOKUP(C$2,行为概览!$D$3:$L$33,9,0)*IF(玩法行为规划!B11&gt;0,1,0))</f>
        <v>0</v>
      </c>
      <c r="D11" s="7">
        <f>IF(VLOOKUP(D$2,行为概览!$D$3:$L$33,9,0)="","",VLOOKUP(D$2,行为概览!$D$3:$L$33,9,0)*IF(玩法行为规划!C11&gt;0,1,0))</f>
        <v>0</v>
      </c>
      <c r="E11" s="7">
        <f>IF(VLOOKUP(E$2,行为概览!$D$3:$L$33,9,0)="","",VLOOKUP(E$2,行为概览!$D$3:$L$33,9,0)*IF(玩法行为规划!D11&gt;0,1,0))</f>
        <v>0</v>
      </c>
      <c r="F11" s="7">
        <f>IF(VLOOKUP(F$2,行为概览!$D$3:$L$33,9,0)="","",VLOOKUP(F$2,行为概览!$D$3:$L$33,9,0)*IF(玩法行为规划!E11&gt;0,1,0))</f>
        <v>0</v>
      </c>
      <c r="G11" s="7" t="str">
        <f>IF(VLOOKUP(G$2,行为概览!$D$3:$L$33,9,0)="","",VLOOKUP(G$2,行为概览!$D$3:$L$33,9,0)*IF(玩法行为规划!F11&gt;0,1,0))</f>
        <v/>
      </c>
      <c r="H11" s="7" t="str">
        <f>IF(VLOOKUP(H$2,行为概览!$D$3:$L$33,9,0)="","",VLOOKUP(H$2,行为概览!$D$3:$L$33,9,0)*IF(玩法行为规划!G11&gt;0,1,0))</f>
        <v/>
      </c>
      <c r="I11" s="7" t="str">
        <f>IF(VLOOKUP(I$2,行为概览!$D$3:$L$33,9,0)="","",VLOOKUP(I$2,行为概览!$D$3:$L$33,9,0)*IF(玩法行为规划!H11&gt;0,1,0))</f>
        <v/>
      </c>
      <c r="J11" s="7" t="str">
        <f>IF(VLOOKUP(J$2,行为概览!$D$3:$L$33,9,0)="","",VLOOKUP(J$2,行为概览!$D$3:$L$33,9,0)*IF(玩法行为规划!I11&gt;0,1,0))</f>
        <v/>
      </c>
      <c r="K11" s="7">
        <f>IF(VLOOKUP(K$2,行为概览!$D$3:$L$33,9,0)="","",VLOOKUP(K$2,行为概览!$D$3:$L$33,9,0)*IF(玩法行为规划!J11&gt;0,1,0))</f>
        <v>0</v>
      </c>
      <c r="L11" s="7">
        <f>IF(VLOOKUP(L$2,行为概览!$D$3:$L$33,9,0)="","",VLOOKUP(L$2,行为概览!$D$3:$L$33,9,0)*IF(玩法行为规划!K11&gt;0,1,0))</f>
        <v>0</v>
      </c>
      <c r="M11" s="7" t="str">
        <f>IF(VLOOKUP(M$2,行为概览!$D$3:$L$33,9,0)="","",VLOOKUP(M$2,行为概览!$D$3:$L$33,9,0)*IF(玩法行为规划!L11&gt;0,1,0))</f>
        <v/>
      </c>
      <c r="N11" s="7" t="str">
        <f>IF(VLOOKUP(N$2,行为概览!$D$3:$L$33,9,0)="","",VLOOKUP(N$2,行为概览!$D$3:$L$33,9,0)*IF(玩法行为规划!M11&gt;0,1,0))</f>
        <v/>
      </c>
      <c r="O11" s="7" t="str">
        <f>IF(VLOOKUP(O$2,行为概览!$D$3:$L$33,9,0)="","",VLOOKUP(O$2,行为概览!$D$3:$L$33,9,0)*IF(玩法行为规划!N11&gt;0,1,0))</f>
        <v/>
      </c>
      <c r="P11" s="7">
        <f>IF(VLOOKUP(P$2,行为概览!$D$3:$L$33,9,0)="","",VLOOKUP(P$2,行为概览!$D$3:$L$33,9,0)*IF(玩法行为规划!O11&gt;0,1,0))</f>
        <v>0</v>
      </c>
      <c r="Q11" s="7">
        <f>IF(VLOOKUP(Q$2,行为概览!$D$3:$L$33,9,0)="","",VLOOKUP(Q$2,行为概览!$D$3:$L$33,9,0)*IF(玩法行为规划!P11&gt;0,1,0))</f>
        <v>5</v>
      </c>
      <c r="R11" s="7" t="str">
        <f>IF(VLOOKUP(R$2,行为概览!$D$3:$L$33,9,0)="","",VLOOKUP(R$2,行为概览!$D$3:$L$33,9,0)*IF(玩法行为规划!Q11&gt;0,1,0))</f>
        <v/>
      </c>
      <c r="S11" s="7">
        <f>IF(VLOOKUP(S$2,行为概览!$D$3:$L$33,9,0)="","",VLOOKUP(S$2,行为概览!$D$3:$L$33,9,0)*IF(玩法行为规划!R11&gt;0,1,0))</f>
        <v>0</v>
      </c>
      <c r="T11" s="7">
        <f>IF(VLOOKUP(T$2,行为概览!$D$3:$L$33,9,0)="","",VLOOKUP(T$2,行为概览!$D$3:$L$33,9,0)*IF(玩法行为规划!S11&gt;0,1,0))</f>
        <v>0</v>
      </c>
      <c r="U11" s="7">
        <f>IF(VLOOKUP(U$2,行为概览!$D$3:$L$33,9,0)="","",VLOOKUP(U$2,行为概览!$D$3:$L$33,9,0)*IF(玩法行为规划!T11&gt;0,1,0))</f>
        <v>0</v>
      </c>
      <c r="V11" s="7">
        <f>IF(VLOOKUP(V$2,行为概览!$D$3:$L$33,9,0)="","",VLOOKUP(V$2,行为概览!$D$3:$L$33,9,0)*IF(玩法行为规划!U11&gt;0,1,0))</f>
        <v>0</v>
      </c>
      <c r="W11" s="7">
        <f>IF(VLOOKUP(W$2,行为概览!$D$3:$L$33,9,0)="","",VLOOKUP(W$2,行为概览!$D$3:$L$33,9,0)*IF(玩法行为规划!V11&gt;0,1,0))</f>
        <v>0</v>
      </c>
      <c r="X11" s="7">
        <f>IF(VLOOKUP(X$2,行为概览!$D$3:$L$33,9,0)="","",VLOOKUP(X$2,行为概览!$D$3:$L$33,9,0)*IF(玩法行为规划!W11&gt;0,1,0))</f>
        <v>0</v>
      </c>
      <c r="Y11" s="7">
        <f>IF(VLOOKUP(Y$2,行为概览!$D$3:$L$33,9,0)="","",VLOOKUP(Y$2,行为概览!$D$3:$L$33,9,0)*IF(玩法行为规划!X11&gt;0,1,0))</f>
        <v>0</v>
      </c>
      <c r="Z11" s="7">
        <f>IF(VLOOKUP(Z$2,行为概览!$D$3:$L$33,9,0)="","",VLOOKUP(Z$2,行为概览!$D$3:$L$33,9,0)*IF(玩法行为规划!Y11&gt;0,1,0))</f>
        <v>0</v>
      </c>
      <c r="AA11" s="7">
        <f>IF(VLOOKUP(AA$2,行为概览!$D$3:$L$33,9,0)="","",VLOOKUP(AA$2,行为概览!$D$3:$L$33,9,0)*IF(玩法行为规划!Z11&gt;0,1,0))</f>
        <v>0</v>
      </c>
      <c r="AB11" s="7" t="str">
        <f>IF(VLOOKUP(AB$2,行为概览!$D$3:$L$33,9,0)="","",VLOOKUP(AB$2,行为概览!$D$3:$L$33,9,0)*IF(玩法行为规划!AA11&gt;0,1,0))</f>
        <v/>
      </c>
      <c r="AC11" s="7" t="str">
        <f>IF(VLOOKUP(AC$2,行为概览!$D$3:$L$33,9,0)="","",VLOOKUP(AC$2,行为概览!$D$3:$L$33,9,0)*IF(玩法行为规划!AB11&gt;0,1,0))</f>
        <v/>
      </c>
      <c r="AD11" s="7" t="str">
        <f>IF(VLOOKUP(AD$2,行为概览!$D$3:$L$33,9,0)="","",VLOOKUP(AD$2,行为概览!$D$3:$L$33,9,0)*玩法行为规划!AC11)</f>
        <v/>
      </c>
      <c r="AE11" s="7" t="str">
        <f>IF(VLOOKUP(AE$2,行为概览!$D$3:$L$33,9,0)="","",VLOOKUP(AE$2,行为概览!$D$3:$L$33,9,0)*玩法行为规划!AD11)</f>
        <v/>
      </c>
      <c r="AF11" s="7">
        <f t="shared" si="0"/>
        <v>5</v>
      </c>
      <c r="AG11" s="10">
        <f t="shared" si="1"/>
        <v>45000</v>
      </c>
      <c r="AH11" s="7">
        <f>ROUND(AG11*升级节奏!G11,0)</f>
        <v>0</v>
      </c>
      <c r="AI11" s="7">
        <f t="shared" si="2"/>
        <v>9000</v>
      </c>
      <c r="AJ11" s="21"/>
      <c r="AK11" s="7">
        <f t="shared" si="3"/>
        <v>1</v>
      </c>
      <c r="AL11" s="7">
        <f t="shared" si="4"/>
        <v>9000</v>
      </c>
      <c r="AM11" s="7">
        <f>SUM($AL$3:AL11)</f>
        <v>45000</v>
      </c>
      <c r="AN11" s="166">
        <f t="shared" si="5"/>
        <v>1800</v>
      </c>
      <c r="AO11" s="7">
        <f>SUM($AN$3:AN11)*7</f>
        <v>63000</v>
      </c>
      <c r="AP11" s="69">
        <f t="shared" si="6"/>
        <v>-20700</v>
      </c>
      <c r="AQ11" s="160">
        <f t="shared" si="7"/>
        <v>1800</v>
      </c>
      <c r="AR11" s="160">
        <f t="shared" si="8"/>
        <v>900</v>
      </c>
      <c r="AS11" s="7"/>
      <c r="AT11" s="7"/>
    </row>
    <row r="12" spans="1:46">
      <c r="A12" s="32">
        <v>10</v>
      </c>
      <c r="B12" s="81">
        <f>升级节奏!E12</f>
        <v>10000</v>
      </c>
      <c r="C12" s="7">
        <f>IF(VLOOKUP(C$2,行为概览!$D$3:$L$33,9,0)="","",VLOOKUP(C$2,行为概览!$D$3:$L$33,9,0)*IF(玩法行为规划!B12&gt;0,1,0))</f>
        <v>0</v>
      </c>
      <c r="D12" s="7">
        <f>IF(VLOOKUP(D$2,行为概览!$D$3:$L$33,9,0)="","",VLOOKUP(D$2,行为概览!$D$3:$L$33,9,0)*IF(玩法行为规划!C12&gt;0,1,0))</f>
        <v>0</v>
      </c>
      <c r="E12" s="7">
        <f>IF(VLOOKUP(E$2,行为概览!$D$3:$L$33,9,0)="","",VLOOKUP(E$2,行为概览!$D$3:$L$33,9,0)*IF(玩法行为规划!D12&gt;0,1,0))</f>
        <v>0</v>
      </c>
      <c r="F12" s="7">
        <f>IF(VLOOKUP(F$2,行为概览!$D$3:$L$33,9,0)="","",VLOOKUP(F$2,行为概览!$D$3:$L$33,9,0)*IF(玩法行为规划!E12&gt;0,1,0))</f>
        <v>0</v>
      </c>
      <c r="G12" s="7" t="str">
        <f>IF(VLOOKUP(G$2,行为概览!$D$3:$L$33,9,0)="","",VLOOKUP(G$2,行为概览!$D$3:$L$33,9,0)*IF(玩法行为规划!F12&gt;0,1,0))</f>
        <v/>
      </c>
      <c r="H12" s="7" t="str">
        <f>IF(VLOOKUP(H$2,行为概览!$D$3:$L$33,9,0)="","",VLOOKUP(H$2,行为概览!$D$3:$L$33,9,0)*IF(玩法行为规划!G12&gt;0,1,0))</f>
        <v/>
      </c>
      <c r="I12" s="7" t="str">
        <f>IF(VLOOKUP(I$2,行为概览!$D$3:$L$33,9,0)="","",VLOOKUP(I$2,行为概览!$D$3:$L$33,9,0)*IF(玩法行为规划!H12&gt;0,1,0))</f>
        <v/>
      </c>
      <c r="J12" s="7" t="str">
        <f>IF(VLOOKUP(J$2,行为概览!$D$3:$L$33,9,0)="","",VLOOKUP(J$2,行为概览!$D$3:$L$33,9,0)*IF(玩法行为规划!I12&gt;0,1,0))</f>
        <v/>
      </c>
      <c r="K12" s="7">
        <f>IF(VLOOKUP(K$2,行为概览!$D$3:$L$33,9,0)="","",VLOOKUP(K$2,行为概览!$D$3:$L$33,9,0)*IF(玩法行为规划!J12&gt;0,1,0))</f>
        <v>0</v>
      </c>
      <c r="L12" s="7">
        <f>IF(VLOOKUP(L$2,行为概览!$D$3:$L$33,9,0)="","",VLOOKUP(L$2,行为概览!$D$3:$L$33,9,0)*IF(玩法行为规划!K12&gt;0,1,0))</f>
        <v>0</v>
      </c>
      <c r="M12" s="7" t="str">
        <f>IF(VLOOKUP(M$2,行为概览!$D$3:$L$33,9,0)="","",VLOOKUP(M$2,行为概览!$D$3:$L$33,9,0)*IF(玩法行为规划!L12&gt;0,1,0))</f>
        <v/>
      </c>
      <c r="N12" s="7" t="str">
        <f>IF(VLOOKUP(N$2,行为概览!$D$3:$L$33,9,0)="","",VLOOKUP(N$2,行为概览!$D$3:$L$33,9,0)*IF(玩法行为规划!M12&gt;0,1,0))</f>
        <v/>
      </c>
      <c r="O12" s="7" t="str">
        <f>IF(VLOOKUP(O$2,行为概览!$D$3:$L$33,9,0)="","",VLOOKUP(O$2,行为概览!$D$3:$L$33,9,0)*IF(玩法行为规划!N12&gt;0,1,0))</f>
        <v/>
      </c>
      <c r="P12" s="7">
        <f>IF(VLOOKUP(P$2,行为概览!$D$3:$L$33,9,0)="","",VLOOKUP(P$2,行为概览!$D$3:$L$33,9,0)*IF(玩法行为规划!O12&gt;0,1,0))</f>
        <v>0.5</v>
      </c>
      <c r="Q12" s="7">
        <f>IF(VLOOKUP(Q$2,行为概览!$D$3:$L$33,9,0)="","",VLOOKUP(Q$2,行为概览!$D$3:$L$33,9,0)*IF(玩法行为规划!P12&gt;0,1,0))</f>
        <v>5</v>
      </c>
      <c r="R12" s="7" t="str">
        <f>IF(VLOOKUP(R$2,行为概览!$D$3:$L$33,9,0)="","",VLOOKUP(R$2,行为概览!$D$3:$L$33,9,0)*IF(玩法行为规划!Q12&gt;0,1,0))</f>
        <v/>
      </c>
      <c r="S12" s="7">
        <f>IF(VLOOKUP(S$2,行为概览!$D$3:$L$33,9,0)="","",VLOOKUP(S$2,行为概览!$D$3:$L$33,9,0)*IF(玩法行为规划!R12&gt;0,1,0))</f>
        <v>0</v>
      </c>
      <c r="T12" s="7">
        <f>IF(VLOOKUP(T$2,行为概览!$D$3:$L$33,9,0)="","",VLOOKUP(T$2,行为概览!$D$3:$L$33,9,0)*IF(玩法行为规划!S12&gt;0,1,0))</f>
        <v>0</v>
      </c>
      <c r="U12" s="7">
        <f>IF(VLOOKUP(U$2,行为概览!$D$3:$L$33,9,0)="","",VLOOKUP(U$2,行为概览!$D$3:$L$33,9,0)*IF(玩法行为规划!T12&gt;0,1,0))</f>
        <v>0</v>
      </c>
      <c r="V12" s="7">
        <f>IF(VLOOKUP(V$2,行为概览!$D$3:$L$33,9,0)="","",VLOOKUP(V$2,行为概览!$D$3:$L$33,9,0)*IF(玩法行为规划!U12&gt;0,1,0))</f>
        <v>0</v>
      </c>
      <c r="W12" s="7">
        <f>IF(VLOOKUP(W$2,行为概览!$D$3:$L$33,9,0)="","",VLOOKUP(W$2,行为概览!$D$3:$L$33,9,0)*IF(玩法行为规划!V12&gt;0,1,0))</f>
        <v>0</v>
      </c>
      <c r="X12" s="7">
        <f>IF(VLOOKUP(X$2,行为概览!$D$3:$L$33,9,0)="","",VLOOKUP(X$2,行为概览!$D$3:$L$33,9,0)*IF(玩法行为规划!W12&gt;0,1,0))</f>
        <v>0</v>
      </c>
      <c r="Y12" s="7">
        <f>IF(VLOOKUP(Y$2,行为概览!$D$3:$L$33,9,0)="","",VLOOKUP(Y$2,行为概览!$D$3:$L$33,9,0)*IF(玩法行为规划!X12&gt;0,1,0))</f>
        <v>0</v>
      </c>
      <c r="Z12" s="7">
        <f>IF(VLOOKUP(Z$2,行为概览!$D$3:$L$33,9,0)="","",VLOOKUP(Z$2,行为概览!$D$3:$L$33,9,0)*IF(玩法行为规划!Y12&gt;0,1,0))</f>
        <v>0</v>
      </c>
      <c r="AA12" s="7">
        <f>IF(VLOOKUP(AA$2,行为概览!$D$3:$L$33,9,0)="","",VLOOKUP(AA$2,行为概览!$D$3:$L$33,9,0)*IF(玩法行为规划!Z12&gt;0,1,0))</f>
        <v>0</v>
      </c>
      <c r="AB12" s="7" t="str">
        <f>IF(VLOOKUP(AB$2,行为概览!$D$3:$L$33,9,0)="","",VLOOKUP(AB$2,行为概览!$D$3:$L$33,9,0)*IF(玩法行为规划!AA12&gt;0,1,0))</f>
        <v/>
      </c>
      <c r="AC12" s="7" t="str">
        <f>IF(VLOOKUP(AC$2,行为概览!$D$3:$L$33,9,0)="","",VLOOKUP(AC$2,行为概览!$D$3:$L$33,9,0)*IF(玩法行为规划!AB12&gt;0,1,0))</f>
        <v/>
      </c>
      <c r="AD12" s="7" t="str">
        <f>IF(VLOOKUP(AD$2,行为概览!$D$3:$L$33,9,0)="","",VLOOKUP(AD$2,行为概览!$D$3:$L$33,9,0)*玩法行为规划!AC12)</f>
        <v/>
      </c>
      <c r="AE12" s="7" t="str">
        <f>IF(VLOOKUP(AE$2,行为概览!$D$3:$L$33,9,0)="","",VLOOKUP(AE$2,行为概览!$D$3:$L$33,9,0)*玩法行为规划!AD12)</f>
        <v/>
      </c>
      <c r="AF12" s="7">
        <f t="shared" si="0"/>
        <v>5.5</v>
      </c>
      <c r="AG12" s="10">
        <f t="shared" si="1"/>
        <v>55000</v>
      </c>
      <c r="AH12" s="7">
        <f>ROUND(AG12*升级节奏!G12,0)</f>
        <v>0</v>
      </c>
      <c r="AI12" s="7">
        <f t="shared" si="2"/>
        <v>10000</v>
      </c>
      <c r="AJ12" s="21">
        <f t="shared" ref="AJ12:AJ43" si="9">IF(--RIGHT(A12,1)=0,SUM(AI12:AI21),"")</f>
        <v>145000</v>
      </c>
      <c r="AK12" s="7">
        <f t="shared" si="3"/>
        <v>1</v>
      </c>
      <c r="AL12" s="7">
        <f t="shared" si="4"/>
        <v>10000</v>
      </c>
      <c r="AM12" s="7">
        <f>SUM($AL$3:AL12)</f>
        <v>55000</v>
      </c>
      <c r="AN12" s="166">
        <f t="shared" si="5"/>
        <v>2000</v>
      </c>
      <c r="AO12" s="7">
        <f>SUM($AN$3:AN12)*7</f>
        <v>77000</v>
      </c>
      <c r="AP12" s="69">
        <f t="shared" si="6"/>
        <v>-25000</v>
      </c>
      <c r="AQ12" s="160">
        <f t="shared" si="7"/>
        <v>2000</v>
      </c>
      <c r="AR12" s="160">
        <f t="shared" si="8"/>
        <v>1000</v>
      </c>
      <c r="AS12" s="7"/>
      <c r="AT12" s="7"/>
    </row>
    <row r="13" spans="1:46">
      <c r="A13" s="32">
        <v>11</v>
      </c>
      <c r="B13" s="81">
        <f>升级节奏!E13</f>
        <v>11000</v>
      </c>
      <c r="C13" s="7">
        <f>IF(VLOOKUP(C$2,行为概览!$D$3:$L$33,9,0)="","",VLOOKUP(C$2,行为概览!$D$3:$L$33,9,0)*IF(玩法行为规划!B13&gt;0,1,0))</f>
        <v>0</v>
      </c>
      <c r="D13" s="7">
        <f>IF(VLOOKUP(D$2,行为概览!$D$3:$L$33,9,0)="","",VLOOKUP(D$2,行为概览!$D$3:$L$33,9,0)*IF(玩法行为规划!C13&gt;0,1,0))</f>
        <v>0</v>
      </c>
      <c r="E13" s="7">
        <f>IF(VLOOKUP(E$2,行为概览!$D$3:$L$33,9,0)="","",VLOOKUP(E$2,行为概览!$D$3:$L$33,9,0)*IF(玩法行为规划!D13&gt;0,1,0))</f>
        <v>0</v>
      </c>
      <c r="F13" s="7">
        <f>IF(VLOOKUP(F$2,行为概览!$D$3:$L$33,9,0)="","",VLOOKUP(F$2,行为概览!$D$3:$L$33,9,0)*IF(玩法行为规划!E13&gt;0,1,0))</f>
        <v>0</v>
      </c>
      <c r="G13" s="7" t="str">
        <f>IF(VLOOKUP(G$2,行为概览!$D$3:$L$33,9,0)="","",VLOOKUP(G$2,行为概览!$D$3:$L$33,9,0)*IF(玩法行为规划!F13&gt;0,1,0))</f>
        <v/>
      </c>
      <c r="H13" s="7" t="str">
        <f>IF(VLOOKUP(H$2,行为概览!$D$3:$L$33,9,0)="","",VLOOKUP(H$2,行为概览!$D$3:$L$33,9,0)*IF(玩法行为规划!G13&gt;0,1,0))</f>
        <v/>
      </c>
      <c r="I13" s="7" t="str">
        <f>IF(VLOOKUP(I$2,行为概览!$D$3:$L$33,9,0)="","",VLOOKUP(I$2,行为概览!$D$3:$L$33,9,0)*IF(玩法行为规划!H13&gt;0,1,0))</f>
        <v/>
      </c>
      <c r="J13" s="7" t="str">
        <f>IF(VLOOKUP(J$2,行为概览!$D$3:$L$33,9,0)="","",VLOOKUP(J$2,行为概览!$D$3:$L$33,9,0)*IF(玩法行为规划!I13&gt;0,1,0))</f>
        <v/>
      </c>
      <c r="K13" s="7">
        <f>IF(VLOOKUP(K$2,行为概览!$D$3:$L$33,9,0)="","",VLOOKUP(K$2,行为概览!$D$3:$L$33,9,0)*IF(玩法行为规划!J13&gt;0,1,0))</f>
        <v>0</v>
      </c>
      <c r="L13" s="7">
        <f>IF(VLOOKUP(L$2,行为概览!$D$3:$L$33,9,0)="","",VLOOKUP(L$2,行为概览!$D$3:$L$33,9,0)*IF(玩法行为规划!K13&gt;0,1,0))</f>
        <v>0</v>
      </c>
      <c r="M13" s="7" t="str">
        <f>IF(VLOOKUP(M$2,行为概览!$D$3:$L$33,9,0)="","",VLOOKUP(M$2,行为概览!$D$3:$L$33,9,0)*IF(玩法行为规划!L13&gt;0,1,0))</f>
        <v/>
      </c>
      <c r="N13" s="7" t="str">
        <f>IF(VLOOKUP(N$2,行为概览!$D$3:$L$33,9,0)="","",VLOOKUP(N$2,行为概览!$D$3:$L$33,9,0)*IF(玩法行为规划!M13&gt;0,1,0))</f>
        <v/>
      </c>
      <c r="O13" s="7" t="str">
        <f>IF(VLOOKUP(O$2,行为概览!$D$3:$L$33,9,0)="","",VLOOKUP(O$2,行为概览!$D$3:$L$33,9,0)*IF(玩法行为规划!N13&gt;0,1,0))</f>
        <v/>
      </c>
      <c r="P13" s="7">
        <f>IF(VLOOKUP(P$2,行为概览!$D$3:$L$33,9,0)="","",VLOOKUP(P$2,行为概览!$D$3:$L$33,9,0)*IF(玩法行为规划!O13&gt;0,1,0))</f>
        <v>0.5</v>
      </c>
      <c r="Q13" s="7">
        <f>IF(VLOOKUP(Q$2,行为概览!$D$3:$L$33,9,0)="","",VLOOKUP(Q$2,行为概览!$D$3:$L$33,9,0)*IF(玩法行为规划!P13&gt;0,1,0))</f>
        <v>5</v>
      </c>
      <c r="R13" s="7" t="str">
        <f>IF(VLOOKUP(R$2,行为概览!$D$3:$L$33,9,0)="","",VLOOKUP(R$2,行为概览!$D$3:$L$33,9,0)*IF(玩法行为规划!Q13&gt;0,1,0))</f>
        <v/>
      </c>
      <c r="S13" s="7">
        <f>IF(VLOOKUP(S$2,行为概览!$D$3:$L$33,9,0)="","",VLOOKUP(S$2,行为概览!$D$3:$L$33,9,0)*IF(玩法行为规划!R13&gt;0,1,0))</f>
        <v>0</v>
      </c>
      <c r="T13" s="7">
        <f>IF(VLOOKUP(T$2,行为概览!$D$3:$L$33,9,0)="","",VLOOKUP(T$2,行为概览!$D$3:$L$33,9,0)*IF(玩法行为规划!S13&gt;0,1,0))</f>
        <v>0</v>
      </c>
      <c r="U13" s="7">
        <f>IF(VLOOKUP(U$2,行为概览!$D$3:$L$33,9,0)="","",VLOOKUP(U$2,行为概览!$D$3:$L$33,9,0)*IF(玩法行为规划!T13&gt;0,1,0))</f>
        <v>0</v>
      </c>
      <c r="V13" s="7">
        <f>IF(VLOOKUP(V$2,行为概览!$D$3:$L$33,9,0)="","",VLOOKUP(V$2,行为概览!$D$3:$L$33,9,0)*IF(玩法行为规划!U13&gt;0,1,0))</f>
        <v>0</v>
      </c>
      <c r="W13" s="7">
        <f>IF(VLOOKUP(W$2,行为概览!$D$3:$L$33,9,0)="","",VLOOKUP(W$2,行为概览!$D$3:$L$33,9,0)*IF(玩法行为规划!V13&gt;0,1,0))</f>
        <v>0</v>
      </c>
      <c r="X13" s="7">
        <f>IF(VLOOKUP(X$2,行为概览!$D$3:$L$33,9,0)="","",VLOOKUP(X$2,行为概览!$D$3:$L$33,9,0)*IF(玩法行为规划!W13&gt;0,1,0))</f>
        <v>0</v>
      </c>
      <c r="Y13" s="7">
        <f>IF(VLOOKUP(Y$2,行为概览!$D$3:$L$33,9,0)="","",VLOOKUP(Y$2,行为概览!$D$3:$L$33,9,0)*IF(玩法行为规划!X13&gt;0,1,0))</f>
        <v>0</v>
      </c>
      <c r="Z13" s="7">
        <f>IF(VLOOKUP(Z$2,行为概览!$D$3:$L$33,9,0)="","",VLOOKUP(Z$2,行为概览!$D$3:$L$33,9,0)*IF(玩法行为规划!Y13&gt;0,1,0))</f>
        <v>0</v>
      </c>
      <c r="AA13" s="7">
        <f>IF(VLOOKUP(AA$2,行为概览!$D$3:$L$33,9,0)="","",VLOOKUP(AA$2,行为概览!$D$3:$L$33,9,0)*IF(玩法行为规划!Z13&gt;0,1,0))</f>
        <v>0</v>
      </c>
      <c r="AB13" s="7" t="str">
        <f>IF(VLOOKUP(AB$2,行为概览!$D$3:$L$33,9,0)="","",VLOOKUP(AB$2,行为概览!$D$3:$L$33,9,0)*IF(玩法行为规划!AA13&gt;0,1,0))</f>
        <v/>
      </c>
      <c r="AC13" s="7" t="str">
        <f>IF(VLOOKUP(AC$2,行为概览!$D$3:$L$33,9,0)="","",VLOOKUP(AC$2,行为概览!$D$3:$L$33,9,0)*IF(玩法行为规划!AB13&gt;0,1,0))</f>
        <v/>
      </c>
      <c r="AD13" s="7" t="str">
        <f>IF(VLOOKUP(AD$2,行为概览!$D$3:$L$33,9,0)="","",VLOOKUP(AD$2,行为概览!$D$3:$L$33,9,0)*玩法行为规划!AC13)</f>
        <v/>
      </c>
      <c r="AE13" s="7" t="str">
        <f>IF(VLOOKUP(AE$2,行为概览!$D$3:$L$33,9,0)="","",VLOOKUP(AE$2,行为概览!$D$3:$L$33,9,0)*玩法行为规划!AD13)</f>
        <v/>
      </c>
      <c r="AF13" s="7">
        <f t="shared" si="0"/>
        <v>5.5</v>
      </c>
      <c r="AG13" s="10">
        <f t="shared" si="1"/>
        <v>60500</v>
      </c>
      <c r="AH13" s="7">
        <f>ROUND(AG13*升级节奏!G13,0)</f>
        <v>0</v>
      </c>
      <c r="AI13" s="7">
        <f t="shared" si="2"/>
        <v>11000</v>
      </c>
      <c r="AJ13" s="21" t="str">
        <f t="shared" si="9"/>
        <v/>
      </c>
      <c r="AK13" s="7">
        <f t="shared" si="3"/>
        <v>1</v>
      </c>
      <c r="AL13" s="7">
        <f t="shared" si="4"/>
        <v>11000</v>
      </c>
      <c r="AM13" s="7">
        <f>SUM($AL$3:AL13)</f>
        <v>66000</v>
      </c>
      <c r="AN13" s="166">
        <f t="shared" si="5"/>
        <v>2200</v>
      </c>
      <c r="AO13" s="7">
        <f>SUM($AN$3:AN13)*7</f>
        <v>92400</v>
      </c>
      <c r="AP13" s="69">
        <f t="shared" si="6"/>
        <v>-29700</v>
      </c>
      <c r="AQ13" s="160">
        <f t="shared" si="7"/>
        <v>2200</v>
      </c>
      <c r="AR13" s="160">
        <f t="shared" si="8"/>
        <v>1100</v>
      </c>
    </row>
    <row r="14" spans="1:46">
      <c r="A14" s="32">
        <v>12</v>
      </c>
      <c r="B14" s="81">
        <f>升级节奏!E14</f>
        <v>12000</v>
      </c>
      <c r="C14" s="7">
        <f>IF(VLOOKUP(C$2,行为概览!$D$3:$L$33,9,0)="","",VLOOKUP(C$2,行为概览!$D$3:$L$33,9,0)*IF(玩法行为规划!B14&gt;0,1,0))</f>
        <v>0</v>
      </c>
      <c r="D14" s="7">
        <f>IF(VLOOKUP(D$2,行为概览!$D$3:$L$33,9,0)="","",VLOOKUP(D$2,行为概览!$D$3:$L$33,9,0)*IF(玩法行为规划!C14&gt;0,1,0))</f>
        <v>0</v>
      </c>
      <c r="E14" s="7">
        <f>IF(VLOOKUP(E$2,行为概览!$D$3:$L$33,9,0)="","",VLOOKUP(E$2,行为概览!$D$3:$L$33,9,0)*IF(玩法行为规划!D14&gt;0,1,0))</f>
        <v>0</v>
      </c>
      <c r="F14" s="7">
        <f>IF(VLOOKUP(F$2,行为概览!$D$3:$L$33,9,0)="","",VLOOKUP(F$2,行为概览!$D$3:$L$33,9,0)*IF(玩法行为规划!E14&gt;0,1,0))</f>
        <v>0</v>
      </c>
      <c r="G14" s="7" t="str">
        <f>IF(VLOOKUP(G$2,行为概览!$D$3:$L$33,9,0)="","",VLOOKUP(G$2,行为概览!$D$3:$L$33,9,0)*IF(玩法行为规划!F14&gt;0,1,0))</f>
        <v/>
      </c>
      <c r="H14" s="7" t="str">
        <f>IF(VLOOKUP(H$2,行为概览!$D$3:$L$33,9,0)="","",VLOOKUP(H$2,行为概览!$D$3:$L$33,9,0)*IF(玩法行为规划!G14&gt;0,1,0))</f>
        <v/>
      </c>
      <c r="I14" s="7" t="str">
        <f>IF(VLOOKUP(I$2,行为概览!$D$3:$L$33,9,0)="","",VLOOKUP(I$2,行为概览!$D$3:$L$33,9,0)*IF(玩法行为规划!H14&gt;0,1,0))</f>
        <v/>
      </c>
      <c r="J14" s="7" t="str">
        <f>IF(VLOOKUP(J$2,行为概览!$D$3:$L$33,9,0)="","",VLOOKUP(J$2,行为概览!$D$3:$L$33,9,0)*IF(玩法行为规划!I14&gt;0,1,0))</f>
        <v/>
      </c>
      <c r="K14" s="7">
        <f>IF(VLOOKUP(K$2,行为概览!$D$3:$L$33,9,0)="","",VLOOKUP(K$2,行为概览!$D$3:$L$33,9,0)*IF(玩法行为规划!J14&gt;0,1,0))</f>
        <v>0</v>
      </c>
      <c r="L14" s="7">
        <f>IF(VLOOKUP(L$2,行为概览!$D$3:$L$33,9,0)="","",VLOOKUP(L$2,行为概览!$D$3:$L$33,9,0)*IF(玩法行为规划!K14&gt;0,1,0))</f>
        <v>0</v>
      </c>
      <c r="M14" s="7" t="str">
        <f>IF(VLOOKUP(M$2,行为概览!$D$3:$L$33,9,0)="","",VLOOKUP(M$2,行为概览!$D$3:$L$33,9,0)*IF(玩法行为规划!L14&gt;0,1,0))</f>
        <v/>
      </c>
      <c r="N14" s="7" t="str">
        <f>IF(VLOOKUP(N$2,行为概览!$D$3:$L$33,9,0)="","",VLOOKUP(N$2,行为概览!$D$3:$L$33,9,0)*IF(玩法行为规划!M14&gt;0,1,0))</f>
        <v/>
      </c>
      <c r="O14" s="7" t="str">
        <f>IF(VLOOKUP(O$2,行为概览!$D$3:$L$33,9,0)="","",VLOOKUP(O$2,行为概览!$D$3:$L$33,9,0)*IF(玩法行为规划!N14&gt;0,1,0))</f>
        <v/>
      </c>
      <c r="P14" s="7">
        <f>IF(VLOOKUP(P$2,行为概览!$D$3:$L$33,9,0)="","",VLOOKUP(P$2,行为概览!$D$3:$L$33,9,0)*IF(玩法行为规划!O14&gt;0,1,0))</f>
        <v>0.5</v>
      </c>
      <c r="Q14" s="7">
        <f>IF(VLOOKUP(Q$2,行为概览!$D$3:$L$33,9,0)="","",VLOOKUP(Q$2,行为概览!$D$3:$L$33,9,0)*IF(玩法行为规划!P14&gt;0,1,0))</f>
        <v>5</v>
      </c>
      <c r="R14" s="7" t="str">
        <f>IF(VLOOKUP(R$2,行为概览!$D$3:$L$33,9,0)="","",VLOOKUP(R$2,行为概览!$D$3:$L$33,9,0)*IF(玩法行为规划!Q14&gt;0,1,0))</f>
        <v/>
      </c>
      <c r="S14" s="7">
        <f>IF(VLOOKUP(S$2,行为概览!$D$3:$L$33,9,0)="","",VLOOKUP(S$2,行为概览!$D$3:$L$33,9,0)*IF(玩法行为规划!R14&gt;0,1,0))</f>
        <v>0</v>
      </c>
      <c r="T14" s="7">
        <f>IF(VLOOKUP(T$2,行为概览!$D$3:$L$33,9,0)="","",VLOOKUP(T$2,行为概览!$D$3:$L$33,9,0)*IF(玩法行为规划!S14&gt;0,1,0))</f>
        <v>0</v>
      </c>
      <c r="U14" s="7">
        <f>IF(VLOOKUP(U$2,行为概览!$D$3:$L$33,9,0)="","",VLOOKUP(U$2,行为概览!$D$3:$L$33,9,0)*IF(玩法行为规划!T14&gt;0,1,0))</f>
        <v>0</v>
      </c>
      <c r="V14" s="7">
        <f>IF(VLOOKUP(V$2,行为概览!$D$3:$L$33,9,0)="","",VLOOKUP(V$2,行为概览!$D$3:$L$33,9,0)*IF(玩法行为规划!U14&gt;0,1,0))</f>
        <v>0</v>
      </c>
      <c r="W14" s="7">
        <f>IF(VLOOKUP(W$2,行为概览!$D$3:$L$33,9,0)="","",VLOOKUP(W$2,行为概览!$D$3:$L$33,9,0)*IF(玩法行为规划!V14&gt;0,1,0))</f>
        <v>0</v>
      </c>
      <c r="X14" s="7">
        <f>IF(VLOOKUP(X$2,行为概览!$D$3:$L$33,9,0)="","",VLOOKUP(X$2,行为概览!$D$3:$L$33,9,0)*IF(玩法行为规划!W14&gt;0,1,0))</f>
        <v>0</v>
      </c>
      <c r="Y14" s="7">
        <f>IF(VLOOKUP(Y$2,行为概览!$D$3:$L$33,9,0)="","",VLOOKUP(Y$2,行为概览!$D$3:$L$33,9,0)*IF(玩法行为规划!X14&gt;0,1,0))</f>
        <v>0</v>
      </c>
      <c r="Z14" s="7">
        <f>IF(VLOOKUP(Z$2,行为概览!$D$3:$L$33,9,0)="","",VLOOKUP(Z$2,行为概览!$D$3:$L$33,9,0)*IF(玩法行为规划!Y14&gt;0,1,0))</f>
        <v>0</v>
      </c>
      <c r="AA14" s="7">
        <f>IF(VLOOKUP(AA$2,行为概览!$D$3:$L$33,9,0)="","",VLOOKUP(AA$2,行为概览!$D$3:$L$33,9,0)*IF(玩法行为规划!Z14&gt;0,1,0))</f>
        <v>0</v>
      </c>
      <c r="AB14" s="7" t="str">
        <f>IF(VLOOKUP(AB$2,行为概览!$D$3:$L$33,9,0)="","",VLOOKUP(AB$2,行为概览!$D$3:$L$33,9,0)*IF(玩法行为规划!AA14&gt;0,1,0))</f>
        <v/>
      </c>
      <c r="AC14" s="7" t="str">
        <f>IF(VLOOKUP(AC$2,行为概览!$D$3:$L$33,9,0)="","",VLOOKUP(AC$2,行为概览!$D$3:$L$33,9,0)*IF(玩法行为规划!AB14&gt;0,1,0))</f>
        <v/>
      </c>
      <c r="AD14" s="7" t="str">
        <f>IF(VLOOKUP(AD$2,行为概览!$D$3:$L$33,9,0)="","",VLOOKUP(AD$2,行为概览!$D$3:$L$33,9,0)*玩法行为规划!AC14)</f>
        <v/>
      </c>
      <c r="AE14" s="7" t="str">
        <f>IF(VLOOKUP(AE$2,行为概览!$D$3:$L$33,9,0)="","",VLOOKUP(AE$2,行为概览!$D$3:$L$33,9,0)*玩法行为规划!AD14)</f>
        <v/>
      </c>
      <c r="AF14" s="7">
        <f t="shared" si="0"/>
        <v>5.5</v>
      </c>
      <c r="AG14" s="10">
        <f t="shared" si="1"/>
        <v>66000</v>
      </c>
      <c r="AH14" s="7">
        <f>ROUND(AG14*升级节奏!G14,0)</f>
        <v>0</v>
      </c>
      <c r="AI14" s="7">
        <f t="shared" si="2"/>
        <v>12000</v>
      </c>
      <c r="AJ14" s="21" t="str">
        <f t="shared" si="9"/>
        <v/>
      </c>
      <c r="AK14" s="7">
        <f t="shared" si="3"/>
        <v>1</v>
      </c>
      <c r="AL14" s="7">
        <f t="shared" si="4"/>
        <v>12000</v>
      </c>
      <c r="AM14" s="7">
        <f>SUM($AL$3:AL14)</f>
        <v>78000</v>
      </c>
      <c r="AN14" s="166">
        <f t="shared" si="5"/>
        <v>2400</v>
      </c>
      <c r="AO14" s="7">
        <f>SUM($AN$3:AN14)*7</f>
        <v>109200</v>
      </c>
      <c r="AP14" s="69">
        <f t="shared" si="6"/>
        <v>-34800</v>
      </c>
      <c r="AQ14" s="160">
        <f t="shared" si="7"/>
        <v>2400</v>
      </c>
      <c r="AR14" s="160">
        <f t="shared" si="8"/>
        <v>1200</v>
      </c>
    </row>
    <row r="15" spans="1:46">
      <c r="A15" s="32">
        <v>13</v>
      </c>
      <c r="B15" s="81">
        <f>升级节奏!E15</f>
        <v>13000</v>
      </c>
      <c r="C15" s="7">
        <f>IF(VLOOKUP(C$2,行为概览!$D$3:$L$33,9,0)="","",VLOOKUP(C$2,行为概览!$D$3:$L$33,9,0)*IF(玩法行为规划!B15&gt;0,1,0))</f>
        <v>0</v>
      </c>
      <c r="D15" s="7">
        <f>IF(VLOOKUP(D$2,行为概览!$D$3:$L$33,9,0)="","",VLOOKUP(D$2,行为概览!$D$3:$L$33,9,0)*IF(玩法行为规划!C15&gt;0,1,0))</f>
        <v>0</v>
      </c>
      <c r="E15" s="7">
        <f>IF(VLOOKUP(E$2,行为概览!$D$3:$L$33,9,0)="","",VLOOKUP(E$2,行为概览!$D$3:$L$33,9,0)*IF(玩法行为规划!D15&gt;0,1,0))</f>
        <v>0</v>
      </c>
      <c r="F15" s="7">
        <f>IF(VLOOKUP(F$2,行为概览!$D$3:$L$33,9,0)="","",VLOOKUP(F$2,行为概览!$D$3:$L$33,9,0)*IF(玩法行为规划!E15&gt;0,1,0))</f>
        <v>0</v>
      </c>
      <c r="G15" s="7" t="str">
        <f>IF(VLOOKUP(G$2,行为概览!$D$3:$L$33,9,0)="","",VLOOKUP(G$2,行为概览!$D$3:$L$33,9,0)*IF(玩法行为规划!F15&gt;0,1,0))</f>
        <v/>
      </c>
      <c r="H15" s="7" t="str">
        <f>IF(VLOOKUP(H$2,行为概览!$D$3:$L$33,9,0)="","",VLOOKUP(H$2,行为概览!$D$3:$L$33,9,0)*IF(玩法行为规划!G15&gt;0,1,0))</f>
        <v/>
      </c>
      <c r="I15" s="7" t="str">
        <f>IF(VLOOKUP(I$2,行为概览!$D$3:$L$33,9,0)="","",VLOOKUP(I$2,行为概览!$D$3:$L$33,9,0)*IF(玩法行为规划!H15&gt;0,1,0))</f>
        <v/>
      </c>
      <c r="J15" s="7" t="str">
        <f>IF(VLOOKUP(J$2,行为概览!$D$3:$L$33,9,0)="","",VLOOKUP(J$2,行为概览!$D$3:$L$33,9,0)*IF(玩法行为规划!I15&gt;0,1,0))</f>
        <v/>
      </c>
      <c r="K15" s="7">
        <f>IF(VLOOKUP(K$2,行为概览!$D$3:$L$33,9,0)="","",VLOOKUP(K$2,行为概览!$D$3:$L$33,9,0)*IF(玩法行为规划!J15&gt;0,1,0))</f>
        <v>0</v>
      </c>
      <c r="L15" s="7">
        <f>IF(VLOOKUP(L$2,行为概览!$D$3:$L$33,9,0)="","",VLOOKUP(L$2,行为概览!$D$3:$L$33,9,0)*IF(玩法行为规划!K15&gt;0,1,0))</f>
        <v>0</v>
      </c>
      <c r="M15" s="7" t="str">
        <f>IF(VLOOKUP(M$2,行为概览!$D$3:$L$33,9,0)="","",VLOOKUP(M$2,行为概览!$D$3:$L$33,9,0)*IF(玩法行为规划!L15&gt;0,1,0))</f>
        <v/>
      </c>
      <c r="N15" s="7" t="str">
        <f>IF(VLOOKUP(N$2,行为概览!$D$3:$L$33,9,0)="","",VLOOKUP(N$2,行为概览!$D$3:$L$33,9,0)*IF(玩法行为规划!M15&gt;0,1,0))</f>
        <v/>
      </c>
      <c r="O15" s="7" t="str">
        <f>IF(VLOOKUP(O$2,行为概览!$D$3:$L$33,9,0)="","",VLOOKUP(O$2,行为概览!$D$3:$L$33,9,0)*IF(玩法行为规划!N15&gt;0,1,0))</f>
        <v/>
      </c>
      <c r="P15" s="7">
        <f>IF(VLOOKUP(P$2,行为概览!$D$3:$L$33,9,0)="","",VLOOKUP(P$2,行为概览!$D$3:$L$33,9,0)*IF(玩法行为规划!O15&gt;0,1,0))</f>
        <v>0.5</v>
      </c>
      <c r="Q15" s="7">
        <f>IF(VLOOKUP(Q$2,行为概览!$D$3:$L$33,9,0)="","",VLOOKUP(Q$2,行为概览!$D$3:$L$33,9,0)*IF(玩法行为规划!P15&gt;0,1,0))</f>
        <v>5</v>
      </c>
      <c r="R15" s="7" t="str">
        <f>IF(VLOOKUP(R$2,行为概览!$D$3:$L$33,9,0)="","",VLOOKUP(R$2,行为概览!$D$3:$L$33,9,0)*IF(玩法行为规划!Q15&gt;0,1,0))</f>
        <v/>
      </c>
      <c r="S15" s="7">
        <f>IF(VLOOKUP(S$2,行为概览!$D$3:$L$33,9,0)="","",VLOOKUP(S$2,行为概览!$D$3:$L$33,9,0)*IF(玩法行为规划!R15&gt;0,1,0))</f>
        <v>0</v>
      </c>
      <c r="T15" s="7">
        <f>IF(VLOOKUP(T$2,行为概览!$D$3:$L$33,9,0)="","",VLOOKUP(T$2,行为概览!$D$3:$L$33,9,0)*IF(玩法行为规划!S15&gt;0,1,0))</f>
        <v>0</v>
      </c>
      <c r="U15" s="7">
        <f>IF(VLOOKUP(U$2,行为概览!$D$3:$L$33,9,0)="","",VLOOKUP(U$2,行为概览!$D$3:$L$33,9,0)*IF(玩法行为规划!T15&gt;0,1,0))</f>
        <v>0</v>
      </c>
      <c r="V15" s="7">
        <f>IF(VLOOKUP(V$2,行为概览!$D$3:$L$33,9,0)="","",VLOOKUP(V$2,行为概览!$D$3:$L$33,9,0)*IF(玩法行为规划!U15&gt;0,1,0))</f>
        <v>0</v>
      </c>
      <c r="W15" s="7">
        <f>IF(VLOOKUP(W$2,行为概览!$D$3:$L$33,9,0)="","",VLOOKUP(W$2,行为概览!$D$3:$L$33,9,0)*IF(玩法行为规划!V15&gt;0,1,0))</f>
        <v>0</v>
      </c>
      <c r="X15" s="7">
        <f>IF(VLOOKUP(X$2,行为概览!$D$3:$L$33,9,0)="","",VLOOKUP(X$2,行为概览!$D$3:$L$33,9,0)*IF(玩法行为规划!W15&gt;0,1,0))</f>
        <v>0</v>
      </c>
      <c r="Y15" s="7">
        <f>IF(VLOOKUP(Y$2,行为概览!$D$3:$L$33,9,0)="","",VLOOKUP(Y$2,行为概览!$D$3:$L$33,9,0)*IF(玩法行为规划!X15&gt;0,1,0))</f>
        <v>0</v>
      </c>
      <c r="Z15" s="7">
        <f>IF(VLOOKUP(Z$2,行为概览!$D$3:$L$33,9,0)="","",VLOOKUP(Z$2,行为概览!$D$3:$L$33,9,0)*IF(玩法行为规划!Y15&gt;0,1,0))</f>
        <v>0</v>
      </c>
      <c r="AA15" s="7">
        <f>IF(VLOOKUP(AA$2,行为概览!$D$3:$L$33,9,0)="","",VLOOKUP(AA$2,行为概览!$D$3:$L$33,9,0)*IF(玩法行为规划!Z15&gt;0,1,0))</f>
        <v>0</v>
      </c>
      <c r="AB15" s="7" t="str">
        <f>IF(VLOOKUP(AB$2,行为概览!$D$3:$L$33,9,0)="","",VLOOKUP(AB$2,行为概览!$D$3:$L$33,9,0)*IF(玩法行为规划!AA15&gt;0,1,0))</f>
        <v/>
      </c>
      <c r="AC15" s="7" t="str">
        <f>IF(VLOOKUP(AC$2,行为概览!$D$3:$L$33,9,0)="","",VLOOKUP(AC$2,行为概览!$D$3:$L$33,9,0)*IF(玩法行为规划!AB15&gt;0,1,0))</f>
        <v/>
      </c>
      <c r="AD15" s="7" t="str">
        <f>IF(VLOOKUP(AD$2,行为概览!$D$3:$L$33,9,0)="","",VLOOKUP(AD$2,行为概览!$D$3:$L$33,9,0)*玩法行为规划!AC15)</f>
        <v/>
      </c>
      <c r="AE15" s="7" t="str">
        <f>IF(VLOOKUP(AE$2,行为概览!$D$3:$L$33,9,0)="","",VLOOKUP(AE$2,行为概览!$D$3:$L$33,9,0)*玩法行为规划!AD15)</f>
        <v/>
      </c>
      <c r="AF15" s="7">
        <f t="shared" si="0"/>
        <v>5.5</v>
      </c>
      <c r="AG15" s="10">
        <f t="shared" si="1"/>
        <v>71500</v>
      </c>
      <c r="AH15" s="7">
        <f>ROUND(AG15*升级节奏!G15,0)</f>
        <v>0</v>
      </c>
      <c r="AI15" s="7">
        <f t="shared" si="2"/>
        <v>13000</v>
      </c>
      <c r="AJ15" s="21" t="str">
        <f t="shared" si="9"/>
        <v/>
      </c>
      <c r="AK15" s="7">
        <f t="shared" si="3"/>
        <v>1</v>
      </c>
      <c r="AL15" s="7">
        <f t="shared" si="4"/>
        <v>13000</v>
      </c>
      <c r="AM15" s="7">
        <f>SUM($AL$3:AL15)</f>
        <v>91000</v>
      </c>
      <c r="AN15" s="166">
        <f t="shared" si="5"/>
        <v>2600</v>
      </c>
      <c r="AO15" s="7">
        <f>SUM($AN$3:AN15)*7</f>
        <v>127400</v>
      </c>
      <c r="AP15" s="69">
        <f t="shared" si="6"/>
        <v>-40300</v>
      </c>
      <c r="AQ15" s="160">
        <f t="shared" si="7"/>
        <v>2600</v>
      </c>
      <c r="AR15" s="160">
        <f t="shared" si="8"/>
        <v>1300</v>
      </c>
    </row>
    <row r="16" spans="1:46">
      <c r="A16" s="32">
        <v>14</v>
      </c>
      <c r="B16" s="81">
        <f>升级节奏!E16</f>
        <v>14000</v>
      </c>
      <c r="C16" s="7">
        <f>IF(VLOOKUP(C$2,行为概览!$D$3:$L$33,9,0)="","",VLOOKUP(C$2,行为概览!$D$3:$L$33,9,0)*IF(玩法行为规划!B16&gt;0,1,0))</f>
        <v>0</v>
      </c>
      <c r="D16" s="7">
        <f>IF(VLOOKUP(D$2,行为概览!$D$3:$L$33,9,0)="","",VLOOKUP(D$2,行为概览!$D$3:$L$33,9,0)*IF(玩法行为规划!C16&gt;0,1,0))</f>
        <v>0</v>
      </c>
      <c r="E16" s="7">
        <f>IF(VLOOKUP(E$2,行为概览!$D$3:$L$33,9,0)="","",VLOOKUP(E$2,行为概览!$D$3:$L$33,9,0)*IF(玩法行为规划!D16&gt;0,1,0))</f>
        <v>0</v>
      </c>
      <c r="F16" s="7">
        <f>IF(VLOOKUP(F$2,行为概览!$D$3:$L$33,9,0)="","",VLOOKUP(F$2,行为概览!$D$3:$L$33,9,0)*IF(玩法行为规划!E16&gt;0,1,0))</f>
        <v>0</v>
      </c>
      <c r="G16" s="7" t="str">
        <f>IF(VLOOKUP(G$2,行为概览!$D$3:$L$33,9,0)="","",VLOOKUP(G$2,行为概览!$D$3:$L$33,9,0)*IF(玩法行为规划!F16&gt;0,1,0))</f>
        <v/>
      </c>
      <c r="H16" s="7" t="str">
        <f>IF(VLOOKUP(H$2,行为概览!$D$3:$L$33,9,0)="","",VLOOKUP(H$2,行为概览!$D$3:$L$33,9,0)*IF(玩法行为规划!G16&gt;0,1,0))</f>
        <v/>
      </c>
      <c r="I16" s="7" t="str">
        <f>IF(VLOOKUP(I$2,行为概览!$D$3:$L$33,9,0)="","",VLOOKUP(I$2,行为概览!$D$3:$L$33,9,0)*IF(玩法行为规划!H16&gt;0,1,0))</f>
        <v/>
      </c>
      <c r="J16" s="7" t="str">
        <f>IF(VLOOKUP(J$2,行为概览!$D$3:$L$33,9,0)="","",VLOOKUP(J$2,行为概览!$D$3:$L$33,9,0)*IF(玩法行为规划!I16&gt;0,1,0))</f>
        <v/>
      </c>
      <c r="K16" s="7">
        <f>IF(VLOOKUP(K$2,行为概览!$D$3:$L$33,9,0)="","",VLOOKUP(K$2,行为概览!$D$3:$L$33,9,0)*IF(玩法行为规划!J16&gt;0,1,0))</f>
        <v>0</v>
      </c>
      <c r="L16" s="7">
        <f>IF(VLOOKUP(L$2,行为概览!$D$3:$L$33,9,0)="","",VLOOKUP(L$2,行为概览!$D$3:$L$33,9,0)*IF(玩法行为规划!K16&gt;0,1,0))</f>
        <v>0</v>
      </c>
      <c r="M16" s="7" t="str">
        <f>IF(VLOOKUP(M$2,行为概览!$D$3:$L$33,9,0)="","",VLOOKUP(M$2,行为概览!$D$3:$L$33,9,0)*IF(玩法行为规划!L16&gt;0,1,0))</f>
        <v/>
      </c>
      <c r="N16" s="7" t="str">
        <f>IF(VLOOKUP(N$2,行为概览!$D$3:$L$33,9,0)="","",VLOOKUP(N$2,行为概览!$D$3:$L$33,9,0)*IF(玩法行为规划!M16&gt;0,1,0))</f>
        <v/>
      </c>
      <c r="O16" s="7" t="str">
        <f>IF(VLOOKUP(O$2,行为概览!$D$3:$L$33,9,0)="","",VLOOKUP(O$2,行为概览!$D$3:$L$33,9,0)*IF(玩法行为规划!N16&gt;0,1,0))</f>
        <v/>
      </c>
      <c r="P16" s="7">
        <f>IF(VLOOKUP(P$2,行为概览!$D$3:$L$33,9,0)="","",VLOOKUP(P$2,行为概览!$D$3:$L$33,9,0)*IF(玩法行为规划!O16&gt;0,1,0))</f>
        <v>0.5</v>
      </c>
      <c r="Q16" s="7">
        <f>IF(VLOOKUP(Q$2,行为概览!$D$3:$L$33,9,0)="","",VLOOKUP(Q$2,行为概览!$D$3:$L$33,9,0)*IF(玩法行为规划!P16&gt;0,1,0))</f>
        <v>5</v>
      </c>
      <c r="R16" s="7" t="str">
        <f>IF(VLOOKUP(R$2,行为概览!$D$3:$L$33,9,0)="","",VLOOKUP(R$2,行为概览!$D$3:$L$33,9,0)*IF(玩法行为规划!Q16&gt;0,1,0))</f>
        <v/>
      </c>
      <c r="S16" s="7">
        <f>IF(VLOOKUP(S$2,行为概览!$D$3:$L$33,9,0)="","",VLOOKUP(S$2,行为概览!$D$3:$L$33,9,0)*IF(玩法行为规划!R16&gt;0,1,0))</f>
        <v>0</v>
      </c>
      <c r="T16" s="7">
        <f>IF(VLOOKUP(T$2,行为概览!$D$3:$L$33,9,0)="","",VLOOKUP(T$2,行为概览!$D$3:$L$33,9,0)*IF(玩法行为规划!S16&gt;0,1,0))</f>
        <v>0</v>
      </c>
      <c r="U16" s="7">
        <f>IF(VLOOKUP(U$2,行为概览!$D$3:$L$33,9,0)="","",VLOOKUP(U$2,行为概览!$D$3:$L$33,9,0)*IF(玩法行为规划!T16&gt;0,1,0))</f>
        <v>0</v>
      </c>
      <c r="V16" s="7">
        <f>IF(VLOOKUP(V$2,行为概览!$D$3:$L$33,9,0)="","",VLOOKUP(V$2,行为概览!$D$3:$L$33,9,0)*IF(玩法行为规划!U16&gt;0,1,0))</f>
        <v>0</v>
      </c>
      <c r="W16" s="7">
        <f>IF(VLOOKUP(W$2,行为概览!$D$3:$L$33,9,0)="","",VLOOKUP(W$2,行为概览!$D$3:$L$33,9,0)*IF(玩法行为规划!V16&gt;0,1,0))</f>
        <v>0</v>
      </c>
      <c r="X16" s="7">
        <f>IF(VLOOKUP(X$2,行为概览!$D$3:$L$33,9,0)="","",VLOOKUP(X$2,行为概览!$D$3:$L$33,9,0)*IF(玩法行为规划!W16&gt;0,1,0))</f>
        <v>0</v>
      </c>
      <c r="Y16" s="7">
        <f>IF(VLOOKUP(Y$2,行为概览!$D$3:$L$33,9,0)="","",VLOOKUP(Y$2,行为概览!$D$3:$L$33,9,0)*IF(玩法行为规划!X16&gt;0,1,0))</f>
        <v>0</v>
      </c>
      <c r="Z16" s="7">
        <f>IF(VLOOKUP(Z$2,行为概览!$D$3:$L$33,9,0)="","",VLOOKUP(Z$2,行为概览!$D$3:$L$33,9,0)*IF(玩法行为规划!Y16&gt;0,1,0))</f>
        <v>0</v>
      </c>
      <c r="AA16" s="7">
        <f>IF(VLOOKUP(AA$2,行为概览!$D$3:$L$33,9,0)="","",VLOOKUP(AA$2,行为概览!$D$3:$L$33,9,0)*IF(玩法行为规划!Z16&gt;0,1,0))</f>
        <v>0</v>
      </c>
      <c r="AB16" s="7" t="str">
        <f>IF(VLOOKUP(AB$2,行为概览!$D$3:$L$33,9,0)="","",VLOOKUP(AB$2,行为概览!$D$3:$L$33,9,0)*IF(玩法行为规划!AA16&gt;0,1,0))</f>
        <v/>
      </c>
      <c r="AC16" s="7" t="str">
        <f>IF(VLOOKUP(AC$2,行为概览!$D$3:$L$33,9,0)="","",VLOOKUP(AC$2,行为概览!$D$3:$L$33,9,0)*IF(玩法行为规划!AB16&gt;0,1,0))</f>
        <v/>
      </c>
      <c r="AD16" s="7" t="str">
        <f>IF(VLOOKUP(AD$2,行为概览!$D$3:$L$33,9,0)="","",VLOOKUP(AD$2,行为概览!$D$3:$L$33,9,0)*玩法行为规划!AC16)</f>
        <v/>
      </c>
      <c r="AE16" s="7" t="str">
        <f>IF(VLOOKUP(AE$2,行为概览!$D$3:$L$33,9,0)="","",VLOOKUP(AE$2,行为概览!$D$3:$L$33,9,0)*玩法行为规划!AD16)</f>
        <v/>
      </c>
      <c r="AF16" s="7">
        <f t="shared" si="0"/>
        <v>5.5</v>
      </c>
      <c r="AG16" s="10">
        <f t="shared" si="1"/>
        <v>77000</v>
      </c>
      <c r="AH16" s="7">
        <f>ROUND(AG16*升级节奏!G16,0)</f>
        <v>0</v>
      </c>
      <c r="AI16" s="7">
        <f t="shared" si="2"/>
        <v>14000</v>
      </c>
      <c r="AJ16" s="21" t="str">
        <f t="shared" si="9"/>
        <v/>
      </c>
      <c r="AK16" s="7">
        <f t="shared" si="3"/>
        <v>1</v>
      </c>
      <c r="AL16" s="7">
        <f t="shared" si="4"/>
        <v>14000</v>
      </c>
      <c r="AM16" s="7">
        <f>SUM($AL$3:AL16)</f>
        <v>105000</v>
      </c>
      <c r="AN16" s="166">
        <f t="shared" si="5"/>
        <v>2800</v>
      </c>
      <c r="AO16" s="7">
        <f>SUM($AN$3:AN16)*7</f>
        <v>147000</v>
      </c>
      <c r="AP16" s="69">
        <f t="shared" si="6"/>
        <v>-46200</v>
      </c>
      <c r="AQ16" s="160">
        <f t="shared" si="7"/>
        <v>2800</v>
      </c>
      <c r="AR16" s="160">
        <f t="shared" si="8"/>
        <v>1400</v>
      </c>
    </row>
    <row r="17" spans="1:44">
      <c r="A17" s="32">
        <v>15</v>
      </c>
      <c r="B17" s="81">
        <f>升级节奏!E17</f>
        <v>15000</v>
      </c>
      <c r="C17" s="7">
        <f>IF(VLOOKUP(C$2,行为概览!$D$3:$L$33,9,0)="","",VLOOKUP(C$2,行为概览!$D$3:$L$33,9,0)*IF(玩法行为规划!B17&gt;0,1,0))</f>
        <v>4</v>
      </c>
      <c r="D17" s="7">
        <f>IF(VLOOKUP(D$2,行为概览!$D$3:$L$33,9,0)="","",VLOOKUP(D$2,行为概览!$D$3:$L$33,9,0)*IF(玩法行为规划!C17&gt;0,1,0))</f>
        <v>0</v>
      </c>
      <c r="E17" s="7">
        <f>IF(VLOOKUP(E$2,行为概览!$D$3:$L$33,9,0)="","",VLOOKUP(E$2,行为概览!$D$3:$L$33,9,0)*IF(玩法行为规划!D17&gt;0,1,0))</f>
        <v>0</v>
      </c>
      <c r="F17" s="7">
        <f>IF(VLOOKUP(F$2,行为概览!$D$3:$L$33,9,0)="","",VLOOKUP(F$2,行为概览!$D$3:$L$33,9,0)*IF(玩法行为规划!E17&gt;0,1,0))</f>
        <v>0</v>
      </c>
      <c r="G17" s="7" t="str">
        <f>IF(VLOOKUP(G$2,行为概览!$D$3:$L$33,9,0)="","",VLOOKUP(G$2,行为概览!$D$3:$L$33,9,0)*IF(玩法行为规划!F17&gt;0,1,0))</f>
        <v/>
      </c>
      <c r="H17" s="7" t="str">
        <f>IF(VLOOKUP(H$2,行为概览!$D$3:$L$33,9,0)="","",VLOOKUP(H$2,行为概览!$D$3:$L$33,9,0)*IF(玩法行为规划!G17&gt;0,1,0))</f>
        <v/>
      </c>
      <c r="I17" s="7" t="str">
        <f>IF(VLOOKUP(I$2,行为概览!$D$3:$L$33,9,0)="","",VLOOKUP(I$2,行为概览!$D$3:$L$33,9,0)*IF(玩法行为规划!H17&gt;0,1,0))</f>
        <v/>
      </c>
      <c r="J17" s="7" t="str">
        <f>IF(VLOOKUP(J$2,行为概览!$D$3:$L$33,9,0)="","",VLOOKUP(J$2,行为概览!$D$3:$L$33,9,0)*IF(玩法行为规划!I17&gt;0,1,0))</f>
        <v/>
      </c>
      <c r="K17" s="7">
        <f>IF(VLOOKUP(K$2,行为概览!$D$3:$L$33,9,0)="","",VLOOKUP(K$2,行为概览!$D$3:$L$33,9,0)*IF(玩法行为规划!J17&gt;0,1,0))</f>
        <v>0</v>
      </c>
      <c r="L17" s="7">
        <f>IF(VLOOKUP(L$2,行为概览!$D$3:$L$33,9,0)="","",VLOOKUP(L$2,行为概览!$D$3:$L$33,9,0)*IF(玩法行为规划!K17&gt;0,1,0))</f>
        <v>0</v>
      </c>
      <c r="M17" s="7" t="str">
        <f>IF(VLOOKUP(M$2,行为概览!$D$3:$L$33,9,0)="","",VLOOKUP(M$2,行为概览!$D$3:$L$33,9,0)*IF(玩法行为规划!L17&gt;0,1,0))</f>
        <v/>
      </c>
      <c r="N17" s="7" t="str">
        <f>IF(VLOOKUP(N$2,行为概览!$D$3:$L$33,9,0)="","",VLOOKUP(N$2,行为概览!$D$3:$L$33,9,0)*IF(玩法行为规划!M17&gt;0,1,0))</f>
        <v/>
      </c>
      <c r="O17" s="7" t="str">
        <f>IF(VLOOKUP(O$2,行为概览!$D$3:$L$33,9,0)="","",VLOOKUP(O$2,行为概览!$D$3:$L$33,9,0)*IF(玩法行为规划!N17&gt;0,1,0))</f>
        <v/>
      </c>
      <c r="P17" s="7">
        <f>IF(VLOOKUP(P$2,行为概览!$D$3:$L$33,9,0)="","",VLOOKUP(P$2,行为概览!$D$3:$L$33,9,0)*IF(玩法行为规划!O17&gt;0,1,0))</f>
        <v>0.5</v>
      </c>
      <c r="Q17" s="7">
        <f>IF(VLOOKUP(Q$2,行为概览!$D$3:$L$33,9,0)="","",VLOOKUP(Q$2,行为概览!$D$3:$L$33,9,0)*IF(玩法行为规划!P17&gt;0,1,0))</f>
        <v>5</v>
      </c>
      <c r="R17" s="7" t="str">
        <f>IF(VLOOKUP(R$2,行为概览!$D$3:$L$33,9,0)="","",VLOOKUP(R$2,行为概览!$D$3:$L$33,9,0)*IF(玩法行为规划!Q17&gt;0,1,0))</f>
        <v/>
      </c>
      <c r="S17" s="7">
        <f>IF(VLOOKUP(S$2,行为概览!$D$3:$L$33,9,0)="","",VLOOKUP(S$2,行为概览!$D$3:$L$33,9,0)*IF(玩法行为规划!R17&gt;0,1,0))</f>
        <v>0</v>
      </c>
      <c r="T17" s="7">
        <f>IF(VLOOKUP(T$2,行为概览!$D$3:$L$33,9,0)="","",VLOOKUP(T$2,行为概览!$D$3:$L$33,9,0)*IF(玩法行为规划!S17&gt;0,1,0))</f>
        <v>0</v>
      </c>
      <c r="U17" s="7">
        <f>IF(VLOOKUP(U$2,行为概览!$D$3:$L$33,9,0)="","",VLOOKUP(U$2,行为概览!$D$3:$L$33,9,0)*IF(玩法行为规划!T17&gt;0,1,0))</f>
        <v>0</v>
      </c>
      <c r="V17" s="7">
        <f>IF(VLOOKUP(V$2,行为概览!$D$3:$L$33,9,0)="","",VLOOKUP(V$2,行为概览!$D$3:$L$33,9,0)*IF(玩法行为规划!U17&gt;0,1,0))</f>
        <v>0</v>
      </c>
      <c r="W17" s="7">
        <f>IF(VLOOKUP(W$2,行为概览!$D$3:$L$33,9,0)="","",VLOOKUP(W$2,行为概览!$D$3:$L$33,9,0)*IF(玩法行为规划!V17&gt;0,1,0))</f>
        <v>0</v>
      </c>
      <c r="X17" s="7">
        <f>IF(VLOOKUP(X$2,行为概览!$D$3:$L$33,9,0)="","",VLOOKUP(X$2,行为概览!$D$3:$L$33,9,0)*IF(玩法行为规划!W17&gt;0,1,0))</f>
        <v>0</v>
      </c>
      <c r="Y17" s="7">
        <f>IF(VLOOKUP(Y$2,行为概览!$D$3:$L$33,9,0)="","",VLOOKUP(Y$2,行为概览!$D$3:$L$33,9,0)*IF(玩法行为规划!X17&gt;0,1,0))</f>
        <v>0</v>
      </c>
      <c r="Z17" s="7">
        <f>IF(VLOOKUP(Z$2,行为概览!$D$3:$L$33,9,0)="","",VLOOKUP(Z$2,行为概览!$D$3:$L$33,9,0)*IF(玩法行为规划!Y17&gt;0,1,0))</f>
        <v>0</v>
      </c>
      <c r="AA17" s="7">
        <f>IF(VLOOKUP(AA$2,行为概览!$D$3:$L$33,9,0)="","",VLOOKUP(AA$2,行为概览!$D$3:$L$33,9,0)*IF(玩法行为规划!Z17&gt;0,1,0))</f>
        <v>0</v>
      </c>
      <c r="AB17" s="7" t="str">
        <f>IF(VLOOKUP(AB$2,行为概览!$D$3:$L$33,9,0)="","",VLOOKUP(AB$2,行为概览!$D$3:$L$33,9,0)*IF(玩法行为规划!AA17&gt;0,1,0))</f>
        <v/>
      </c>
      <c r="AC17" s="7" t="str">
        <f>IF(VLOOKUP(AC$2,行为概览!$D$3:$L$33,9,0)="","",VLOOKUP(AC$2,行为概览!$D$3:$L$33,9,0)*IF(玩法行为规划!AB17&gt;0,1,0))</f>
        <v/>
      </c>
      <c r="AD17" s="7" t="str">
        <f>IF(VLOOKUP(AD$2,行为概览!$D$3:$L$33,9,0)="","",VLOOKUP(AD$2,行为概览!$D$3:$L$33,9,0)*玩法行为规划!AC17)</f>
        <v/>
      </c>
      <c r="AE17" s="7" t="str">
        <f>IF(VLOOKUP(AE$2,行为概览!$D$3:$L$33,9,0)="","",VLOOKUP(AE$2,行为概览!$D$3:$L$33,9,0)*玩法行为规划!AD17)</f>
        <v/>
      </c>
      <c r="AF17" s="7">
        <f t="shared" si="0"/>
        <v>9.5</v>
      </c>
      <c r="AG17" s="10">
        <f t="shared" si="1"/>
        <v>142500</v>
      </c>
      <c r="AH17" s="7">
        <f>ROUND(AG17*升级节奏!G17,0)</f>
        <v>0</v>
      </c>
      <c r="AI17" s="7">
        <f t="shared" si="2"/>
        <v>15000</v>
      </c>
      <c r="AJ17" s="21" t="str">
        <f t="shared" si="9"/>
        <v/>
      </c>
      <c r="AK17" s="7">
        <f t="shared" si="3"/>
        <v>1</v>
      </c>
      <c r="AL17" s="7">
        <f t="shared" si="4"/>
        <v>15000</v>
      </c>
      <c r="AM17" s="7">
        <f>SUM($AL$3:AL17)</f>
        <v>120000</v>
      </c>
      <c r="AN17" s="166">
        <f t="shared" si="5"/>
        <v>3000</v>
      </c>
      <c r="AO17" s="7">
        <f>SUM($AN$3:AN17)*7</f>
        <v>168000</v>
      </c>
      <c r="AP17" s="69">
        <f t="shared" si="6"/>
        <v>-52500</v>
      </c>
      <c r="AQ17" s="160">
        <f t="shared" si="7"/>
        <v>3000</v>
      </c>
      <c r="AR17" s="160">
        <f t="shared" si="8"/>
        <v>1500</v>
      </c>
    </row>
    <row r="18" spans="1:44">
      <c r="A18" s="32">
        <v>16</v>
      </c>
      <c r="B18" s="81">
        <f>升级节奏!E18</f>
        <v>16000</v>
      </c>
      <c r="C18" s="7">
        <f>IF(VLOOKUP(C$2,行为概览!$D$3:$L$33,9,0)="","",VLOOKUP(C$2,行为概览!$D$3:$L$33,9,0)*IF(玩法行为规划!B18&gt;0,1,0))</f>
        <v>4</v>
      </c>
      <c r="D18" s="7">
        <f>IF(VLOOKUP(D$2,行为概览!$D$3:$L$33,9,0)="","",VLOOKUP(D$2,行为概览!$D$3:$L$33,9,0)*IF(玩法行为规划!C18&gt;0,1,0))</f>
        <v>0</v>
      </c>
      <c r="E18" s="7">
        <f>IF(VLOOKUP(E$2,行为概览!$D$3:$L$33,9,0)="","",VLOOKUP(E$2,行为概览!$D$3:$L$33,9,0)*IF(玩法行为规划!D18&gt;0,1,0))</f>
        <v>0</v>
      </c>
      <c r="F18" s="7">
        <f>IF(VLOOKUP(F$2,行为概览!$D$3:$L$33,9,0)="","",VLOOKUP(F$2,行为概览!$D$3:$L$33,9,0)*IF(玩法行为规划!E18&gt;0,1,0))</f>
        <v>0</v>
      </c>
      <c r="G18" s="7" t="str">
        <f>IF(VLOOKUP(G$2,行为概览!$D$3:$L$33,9,0)="","",VLOOKUP(G$2,行为概览!$D$3:$L$33,9,0)*IF(玩法行为规划!F18&gt;0,1,0))</f>
        <v/>
      </c>
      <c r="H18" s="7" t="str">
        <f>IF(VLOOKUP(H$2,行为概览!$D$3:$L$33,9,0)="","",VLOOKUP(H$2,行为概览!$D$3:$L$33,9,0)*IF(玩法行为规划!G18&gt;0,1,0))</f>
        <v/>
      </c>
      <c r="I18" s="7" t="str">
        <f>IF(VLOOKUP(I$2,行为概览!$D$3:$L$33,9,0)="","",VLOOKUP(I$2,行为概览!$D$3:$L$33,9,0)*IF(玩法行为规划!H18&gt;0,1,0))</f>
        <v/>
      </c>
      <c r="J18" s="7" t="str">
        <f>IF(VLOOKUP(J$2,行为概览!$D$3:$L$33,9,0)="","",VLOOKUP(J$2,行为概览!$D$3:$L$33,9,0)*IF(玩法行为规划!I18&gt;0,1,0))</f>
        <v/>
      </c>
      <c r="K18" s="7">
        <f>IF(VLOOKUP(K$2,行为概览!$D$3:$L$33,9,0)="","",VLOOKUP(K$2,行为概览!$D$3:$L$33,9,0)*IF(玩法行为规划!J18&gt;0,1,0))</f>
        <v>0</v>
      </c>
      <c r="L18" s="7">
        <f>IF(VLOOKUP(L$2,行为概览!$D$3:$L$33,9,0)="","",VLOOKUP(L$2,行为概览!$D$3:$L$33,9,0)*IF(玩法行为规划!K18&gt;0,1,0))</f>
        <v>0</v>
      </c>
      <c r="M18" s="7" t="str">
        <f>IF(VLOOKUP(M$2,行为概览!$D$3:$L$33,9,0)="","",VLOOKUP(M$2,行为概览!$D$3:$L$33,9,0)*IF(玩法行为规划!L18&gt;0,1,0))</f>
        <v/>
      </c>
      <c r="N18" s="7" t="str">
        <f>IF(VLOOKUP(N$2,行为概览!$D$3:$L$33,9,0)="","",VLOOKUP(N$2,行为概览!$D$3:$L$33,9,0)*IF(玩法行为规划!M18&gt;0,1,0))</f>
        <v/>
      </c>
      <c r="O18" s="7" t="str">
        <f>IF(VLOOKUP(O$2,行为概览!$D$3:$L$33,9,0)="","",VLOOKUP(O$2,行为概览!$D$3:$L$33,9,0)*IF(玩法行为规划!N18&gt;0,1,0))</f>
        <v/>
      </c>
      <c r="P18" s="7">
        <f>IF(VLOOKUP(P$2,行为概览!$D$3:$L$33,9,0)="","",VLOOKUP(P$2,行为概览!$D$3:$L$33,9,0)*IF(玩法行为规划!O18&gt;0,1,0))</f>
        <v>0.5</v>
      </c>
      <c r="Q18" s="7">
        <f>IF(VLOOKUP(Q$2,行为概览!$D$3:$L$33,9,0)="","",VLOOKUP(Q$2,行为概览!$D$3:$L$33,9,0)*IF(玩法行为规划!P18&gt;0,1,0))</f>
        <v>5</v>
      </c>
      <c r="R18" s="7" t="str">
        <f>IF(VLOOKUP(R$2,行为概览!$D$3:$L$33,9,0)="","",VLOOKUP(R$2,行为概览!$D$3:$L$33,9,0)*IF(玩法行为规划!Q18&gt;0,1,0))</f>
        <v/>
      </c>
      <c r="S18" s="7">
        <f>IF(VLOOKUP(S$2,行为概览!$D$3:$L$33,9,0)="","",VLOOKUP(S$2,行为概览!$D$3:$L$33,9,0)*IF(玩法行为规划!R18&gt;0,1,0))</f>
        <v>0</v>
      </c>
      <c r="T18" s="7">
        <f>IF(VLOOKUP(T$2,行为概览!$D$3:$L$33,9,0)="","",VLOOKUP(T$2,行为概览!$D$3:$L$33,9,0)*IF(玩法行为规划!S18&gt;0,1,0))</f>
        <v>0</v>
      </c>
      <c r="U18" s="7">
        <f>IF(VLOOKUP(U$2,行为概览!$D$3:$L$33,9,0)="","",VLOOKUP(U$2,行为概览!$D$3:$L$33,9,0)*IF(玩法行为规划!T18&gt;0,1,0))</f>
        <v>0</v>
      </c>
      <c r="V18" s="7">
        <f>IF(VLOOKUP(V$2,行为概览!$D$3:$L$33,9,0)="","",VLOOKUP(V$2,行为概览!$D$3:$L$33,9,0)*IF(玩法行为规划!U18&gt;0,1,0))</f>
        <v>0</v>
      </c>
      <c r="W18" s="7">
        <f>IF(VLOOKUP(W$2,行为概览!$D$3:$L$33,9,0)="","",VLOOKUP(W$2,行为概览!$D$3:$L$33,9,0)*IF(玩法行为规划!V18&gt;0,1,0))</f>
        <v>0</v>
      </c>
      <c r="X18" s="7">
        <f>IF(VLOOKUP(X$2,行为概览!$D$3:$L$33,9,0)="","",VLOOKUP(X$2,行为概览!$D$3:$L$33,9,0)*IF(玩法行为规划!W18&gt;0,1,0))</f>
        <v>0</v>
      </c>
      <c r="Y18" s="7">
        <f>IF(VLOOKUP(Y$2,行为概览!$D$3:$L$33,9,0)="","",VLOOKUP(Y$2,行为概览!$D$3:$L$33,9,0)*IF(玩法行为规划!X18&gt;0,1,0))</f>
        <v>0</v>
      </c>
      <c r="Z18" s="7">
        <f>IF(VLOOKUP(Z$2,行为概览!$D$3:$L$33,9,0)="","",VLOOKUP(Z$2,行为概览!$D$3:$L$33,9,0)*IF(玩法行为规划!Y18&gt;0,1,0))</f>
        <v>0</v>
      </c>
      <c r="AA18" s="7">
        <f>IF(VLOOKUP(AA$2,行为概览!$D$3:$L$33,9,0)="","",VLOOKUP(AA$2,行为概览!$D$3:$L$33,9,0)*IF(玩法行为规划!Z18&gt;0,1,0))</f>
        <v>0</v>
      </c>
      <c r="AB18" s="7" t="str">
        <f>IF(VLOOKUP(AB$2,行为概览!$D$3:$L$33,9,0)="","",VLOOKUP(AB$2,行为概览!$D$3:$L$33,9,0)*IF(玩法行为规划!AA18&gt;0,1,0))</f>
        <v/>
      </c>
      <c r="AC18" s="7" t="str">
        <f>IF(VLOOKUP(AC$2,行为概览!$D$3:$L$33,9,0)="","",VLOOKUP(AC$2,行为概览!$D$3:$L$33,9,0)*IF(玩法行为规划!AB18&gt;0,1,0))</f>
        <v/>
      </c>
      <c r="AD18" s="7" t="str">
        <f>IF(VLOOKUP(AD$2,行为概览!$D$3:$L$33,9,0)="","",VLOOKUP(AD$2,行为概览!$D$3:$L$33,9,0)*玩法行为规划!AC18)</f>
        <v/>
      </c>
      <c r="AE18" s="7" t="str">
        <f>IF(VLOOKUP(AE$2,行为概览!$D$3:$L$33,9,0)="","",VLOOKUP(AE$2,行为概览!$D$3:$L$33,9,0)*玩法行为规划!AD18)</f>
        <v/>
      </c>
      <c r="AF18" s="7">
        <f t="shared" si="0"/>
        <v>9.5</v>
      </c>
      <c r="AG18" s="10">
        <f t="shared" si="1"/>
        <v>152000</v>
      </c>
      <c r="AH18" s="7">
        <f>ROUND(AG18*升级节奏!G18,0)</f>
        <v>0</v>
      </c>
      <c r="AI18" s="7">
        <f t="shared" si="2"/>
        <v>16000</v>
      </c>
      <c r="AJ18" s="21" t="str">
        <f t="shared" si="9"/>
        <v/>
      </c>
      <c r="AK18" s="7">
        <f t="shared" si="3"/>
        <v>1</v>
      </c>
      <c r="AL18" s="7">
        <f t="shared" si="4"/>
        <v>16000</v>
      </c>
      <c r="AM18" s="7">
        <f>SUM($AL$3:AL18)</f>
        <v>136000</v>
      </c>
      <c r="AN18" s="166">
        <f t="shared" si="5"/>
        <v>3200</v>
      </c>
      <c r="AO18" s="7">
        <f>SUM($AN$3:AN18)*7</f>
        <v>190400</v>
      </c>
      <c r="AP18" s="69">
        <f t="shared" si="6"/>
        <v>-59200</v>
      </c>
      <c r="AQ18" s="160">
        <f t="shared" si="7"/>
        <v>3200</v>
      </c>
      <c r="AR18" s="160">
        <f t="shared" si="8"/>
        <v>1600</v>
      </c>
    </row>
    <row r="19" spans="1:44">
      <c r="A19" s="32">
        <v>17</v>
      </c>
      <c r="B19" s="81">
        <f>升级节奏!E19</f>
        <v>17000</v>
      </c>
      <c r="C19" s="7">
        <f>IF(VLOOKUP(C$2,行为概览!$D$3:$L$33,9,0)="","",VLOOKUP(C$2,行为概览!$D$3:$L$33,9,0)*IF(玩法行为规划!B19&gt;0,1,0))</f>
        <v>4</v>
      </c>
      <c r="D19" s="7">
        <f>IF(VLOOKUP(D$2,行为概览!$D$3:$L$33,9,0)="","",VLOOKUP(D$2,行为概览!$D$3:$L$33,9,0)*IF(玩法行为规划!C19&gt;0,1,0))</f>
        <v>0</v>
      </c>
      <c r="E19" s="7">
        <f>IF(VLOOKUP(E$2,行为概览!$D$3:$L$33,9,0)="","",VLOOKUP(E$2,行为概览!$D$3:$L$33,9,0)*IF(玩法行为规划!D19&gt;0,1,0))</f>
        <v>0</v>
      </c>
      <c r="F19" s="7">
        <f>IF(VLOOKUP(F$2,行为概览!$D$3:$L$33,9,0)="","",VLOOKUP(F$2,行为概览!$D$3:$L$33,9,0)*IF(玩法行为规划!E19&gt;0,1,0))</f>
        <v>0</v>
      </c>
      <c r="G19" s="7" t="str">
        <f>IF(VLOOKUP(G$2,行为概览!$D$3:$L$33,9,0)="","",VLOOKUP(G$2,行为概览!$D$3:$L$33,9,0)*IF(玩法行为规划!F19&gt;0,1,0))</f>
        <v/>
      </c>
      <c r="H19" s="7" t="str">
        <f>IF(VLOOKUP(H$2,行为概览!$D$3:$L$33,9,0)="","",VLOOKUP(H$2,行为概览!$D$3:$L$33,9,0)*IF(玩法行为规划!G19&gt;0,1,0))</f>
        <v/>
      </c>
      <c r="I19" s="7" t="str">
        <f>IF(VLOOKUP(I$2,行为概览!$D$3:$L$33,9,0)="","",VLOOKUP(I$2,行为概览!$D$3:$L$33,9,0)*IF(玩法行为规划!H19&gt;0,1,0))</f>
        <v/>
      </c>
      <c r="J19" s="7" t="str">
        <f>IF(VLOOKUP(J$2,行为概览!$D$3:$L$33,9,0)="","",VLOOKUP(J$2,行为概览!$D$3:$L$33,9,0)*IF(玩法行为规划!I19&gt;0,1,0))</f>
        <v/>
      </c>
      <c r="K19" s="7">
        <f>IF(VLOOKUP(K$2,行为概览!$D$3:$L$33,9,0)="","",VLOOKUP(K$2,行为概览!$D$3:$L$33,9,0)*IF(玩法行为规划!J19&gt;0,1,0))</f>
        <v>0</v>
      </c>
      <c r="L19" s="7">
        <f>IF(VLOOKUP(L$2,行为概览!$D$3:$L$33,9,0)="","",VLOOKUP(L$2,行为概览!$D$3:$L$33,9,0)*IF(玩法行为规划!K19&gt;0,1,0))</f>
        <v>0</v>
      </c>
      <c r="M19" s="7" t="str">
        <f>IF(VLOOKUP(M$2,行为概览!$D$3:$L$33,9,0)="","",VLOOKUP(M$2,行为概览!$D$3:$L$33,9,0)*IF(玩法行为规划!L19&gt;0,1,0))</f>
        <v/>
      </c>
      <c r="N19" s="7" t="str">
        <f>IF(VLOOKUP(N$2,行为概览!$D$3:$L$33,9,0)="","",VLOOKUP(N$2,行为概览!$D$3:$L$33,9,0)*IF(玩法行为规划!M19&gt;0,1,0))</f>
        <v/>
      </c>
      <c r="O19" s="7" t="str">
        <f>IF(VLOOKUP(O$2,行为概览!$D$3:$L$33,9,0)="","",VLOOKUP(O$2,行为概览!$D$3:$L$33,9,0)*IF(玩法行为规划!N19&gt;0,1,0))</f>
        <v/>
      </c>
      <c r="P19" s="7">
        <f>IF(VLOOKUP(P$2,行为概览!$D$3:$L$33,9,0)="","",VLOOKUP(P$2,行为概览!$D$3:$L$33,9,0)*IF(玩法行为规划!O19&gt;0,1,0))</f>
        <v>0.5</v>
      </c>
      <c r="Q19" s="7">
        <f>IF(VLOOKUP(Q$2,行为概览!$D$3:$L$33,9,0)="","",VLOOKUP(Q$2,行为概览!$D$3:$L$33,9,0)*IF(玩法行为规划!P19&gt;0,1,0))</f>
        <v>5</v>
      </c>
      <c r="R19" s="7" t="str">
        <f>IF(VLOOKUP(R$2,行为概览!$D$3:$L$33,9,0)="","",VLOOKUP(R$2,行为概览!$D$3:$L$33,9,0)*IF(玩法行为规划!Q19&gt;0,1,0))</f>
        <v/>
      </c>
      <c r="S19" s="7">
        <f>IF(VLOOKUP(S$2,行为概览!$D$3:$L$33,9,0)="","",VLOOKUP(S$2,行为概览!$D$3:$L$33,9,0)*IF(玩法行为规划!R19&gt;0,1,0))</f>
        <v>0</v>
      </c>
      <c r="T19" s="7">
        <f>IF(VLOOKUP(T$2,行为概览!$D$3:$L$33,9,0)="","",VLOOKUP(T$2,行为概览!$D$3:$L$33,9,0)*IF(玩法行为规划!S19&gt;0,1,0))</f>
        <v>0</v>
      </c>
      <c r="U19" s="7">
        <f>IF(VLOOKUP(U$2,行为概览!$D$3:$L$33,9,0)="","",VLOOKUP(U$2,行为概览!$D$3:$L$33,9,0)*IF(玩法行为规划!T19&gt;0,1,0))</f>
        <v>0</v>
      </c>
      <c r="V19" s="7">
        <f>IF(VLOOKUP(V$2,行为概览!$D$3:$L$33,9,0)="","",VLOOKUP(V$2,行为概览!$D$3:$L$33,9,0)*IF(玩法行为规划!U19&gt;0,1,0))</f>
        <v>0</v>
      </c>
      <c r="W19" s="7">
        <f>IF(VLOOKUP(W$2,行为概览!$D$3:$L$33,9,0)="","",VLOOKUP(W$2,行为概览!$D$3:$L$33,9,0)*IF(玩法行为规划!V19&gt;0,1,0))</f>
        <v>0</v>
      </c>
      <c r="X19" s="7">
        <f>IF(VLOOKUP(X$2,行为概览!$D$3:$L$33,9,0)="","",VLOOKUP(X$2,行为概览!$D$3:$L$33,9,0)*IF(玩法行为规划!W19&gt;0,1,0))</f>
        <v>0</v>
      </c>
      <c r="Y19" s="7">
        <f>IF(VLOOKUP(Y$2,行为概览!$D$3:$L$33,9,0)="","",VLOOKUP(Y$2,行为概览!$D$3:$L$33,9,0)*IF(玩法行为规划!X19&gt;0,1,0))</f>
        <v>0</v>
      </c>
      <c r="Z19" s="7">
        <f>IF(VLOOKUP(Z$2,行为概览!$D$3:$L$33,9,0)="","",VLOOKUP(Z$2,行为概览!$D$3:$L$33,9,0)*IF(玩法行为规划!Y19&gt;0,1,0))</f>
        <v>0</v>
      </c>
      <c r="AA19" s="7">
        <f>IF(VLOOKUP(AA$2,行为概览!$D$3:$L$33,9,0)="","",VLOOKUP(AA$2,行为概览!$D$3:$L$33,9,0)*IF(玩法行为规划!Z19&gt;0,1,0))</f>
        <v>0</v>
      </c>
      <c r="AB19" s="7" t="str">
        <f>IF(VLOOKUP(AB$2,行为概览!$D$3:$L$33,9,0)="","",VLOOKUP(AB$2,行为概览!$D$3:$L$33,9,0)*IF(玩法行为规划!AA19&gt;0,1,0))</f>
        <v/>
      </c>
      <c r="AC19" s="7" t="str">
        <f>IF(VLOOKUP(AC$2,行为概览!$D$3:$L$33,9,0)="","",VLOOKUP(AC$2,行为概览!$D$3:$L$33,9,0)*IF(玩法行为规划!AB19&gt;0,1,0))</f>
        <v/>
      </c>
      <c r="AD19" s="7" t="str">
        <f>IF(VLOOKUP(AD$2,行为概览!$D$3:$L$33,9,0)="","",VLOOKUP(AD$2,行为概览!$D$3:$L$33,9,0)*玩法行为规划!AC19)</f>
        <v/>
      </c>
      <c r="AE19" s="7" t="str">
        <f>IF(VLOOKUP(AE$2,行为概览!$D$3:$L$33,9,0)="","",VLOOKUP(AE$2,行为概览!$D$3:$L$33,9,0)*玩法行为规划!AD19)</f>
        <v/>
      </c>
      <c r="AF19" s="7">
        <f t="shared" si="0"/>
        <v>9.5</v>
      </c>
      <c r="AG19" s="10">
        <f t="shared" si="1"/>
        <v>161500</v>
      </c>
      <c r="AH19" s="7">
        <f>ROUND(AG19*升级节奏!G19,0)</f>
        <v>0</v>
      </c>
      <c r="AI19" s="7">
        <f t="shared" si="2"/>
        <v>17000</v>
      </c>
      <c r="AJ19" s="21" t="str">
        <f t="shared" si="9"/>
        <v/>
      </c>
      <c r="AK19" s="7">
        <f t="shared" si="3"/>
        <v>1</v>
      </c>
      <c r="AL19" s="7">
        <f t="shared" si="4"/>
        <v>17000</v>
      </c>
      <c r="AM19" s="7">
        <f>SUM($AL$3:AL19)</f>
        <v>153000</v>
      </c>
      <c r="AN19" s="166">
        <f t="shared" si="5"/>
        <v>3400</v>
      </c>
      <c r="AO19" s="7">
        <f>SUM($AN$3:AN19)*7</f>
        <v>214200</v>
      </c>
      <c r="AP19" s="69">
        <f t="shared" si="6"/>
        <v>-66300</v>
      </c>
      <c r="AQ19" s="160">
        <f t="shared" si="7"/>
        <v>3400</v>
      </c>
      <c r="AR19" s="160">
        <f t="shared" si="8"/>
        <v>1700</v>
      </c>
    </row>
    <row r="20" spans="1:44">
      <c r="A20" s="32">
        <v>18</v>
      </c>
      <c r="B20" s="81">
        <f>升级节奏!E20</f>
        <v>18000</v>
      </c>
      <c r="C20" s="7">
        <f>IF(VLOOKUP(C$2,行为概览!$D$3:$L$33,9,0)="","",VLOOKUP(C$2,行为概览!$D$3:$L$33,9,0)*IF(玩法行为规划!B20&gt;0,1,0))</f>
        <v>4</v>
      </c>
      <c r="D20" s="7">
        <f>IF(VLOOKUP(D$2,行为概览!$D$3:$L$33,9,0)="","",VLOOKUP(D$2,行为概览!$D$3:$L$33,9,0)*IF(玩法行为规划!C20&gt;0,1,0))</f>
        <v>0</v>
      </c>
      <c r="E20" s="7">
        <f>IF(VLOOKUP(E$2,行为概览!$D$3:$L$33,9,0)="","",VLOOKUP(E$2,行为概览!$D$3:$L$33,9,0)*IF(玩法行为规划!D20&gt;0,1,0))</f>
        <v>0</v>
      </c>
      <c r="F20" s="7">
        <f>IF(VLOOKUP(F$2,行为概览!$D$3:$L$33,9,0)="","",VLOOKUP(F$2,行为概览!$D$3:$L$33,9,0)*IF(玩法行为规划!E20&gt;0,1,0))</f>
        <v>0</v>
      </c>
      <c r="G20" s="7" t="str">
        <f>IF(VLOOKUP(G$2,行为概览!$D$3:$L$33,9,0)="","",VLOOKUP(G$2,行为概览!$D$3:$L$33,9,0)*IF(玩法行为规划!F20&gt;0,1,0))</f>
        <v/>
      </c>
      <c r="H20" s="7" t="str">
        <f>IF(VLOOKUP(H$2,行为概览!$D$3:$L$33,9,0)="","",VLOOKUP(H$2,行为概览!$D$3:$L$33,9,0)*IF(玩法行为规划!G20&gt;0,1,0))</f>
        <v/>
      </c>
      <c r="I20" s="7" t="str">
        <f>IF(VLOOKUP(I$2,行为概览!$D$3:$L$33,9,0)="","",VLOOKUP(I$2,行为概览!$D$3:$L$33,9,0)*IF(玩法行为规划!H20&gt;0,1,0))</f>
        <v/>
      </c>
      <c r="J20" s="7" t="str">
        <f>IF(VLOOKUP(J$2,行为概览!$D$3:$L$33,9,0)="","",VLOOKUP(J$2,行为概览!$D$3:$L$33,9,0)*IF(玩法行为规划!I20&gt;0,1,0))</f>
        <v/>
      </c>
      <c r="K20" s="7">
        <f>IF(VLOOKUP(K$2,行为概览!$D$3:$L$33,9,0)="","",VLOOKUP(K$2,行为概览!$D$3:$L$33,9,0)*IF(玩法行为规划!J20&gt;0,1,0))</f>
        <v>0</v>
      </c>
      <c r="L20" s="7">
        <f>IF(VLOOKUP(L$2,行为概览!$D$3:$L$33,9,0)="","",VLOOKUP(L$2,行为概览!$D$3:$L$33,9,0)*IF(玩法行为规划!K20&gt;0,1,0))</f>
        <v>0</v>
      </c>
      <c r="M20" s="7" t="str">
        <f>IF(VLOOKUP(M$2,行为概览!$D$3:$L$33,9,0)="","",VLOOKUP(M$2,行为概览!$D$3:$L$33,9,0)*IF(玩法行为规划!L20&gt;0,1,0))</f>
        <v/>
      </c>
      <c r="N20" s="7" t="str">
        <f>IF(VLOOKUP(N$2,行为概览!$D$3:$L$33,9,0)="","",VLOOKUP(N$2,行为概览!$D$3:$L$33,9,0)*IF(玩法行为规划!M20&gt;0,1,0))</f>
        <v/>
      </c>
      <c r="O20" s="7" t="str">
        <f>IF(VLOOKUP(O$2,行为概览!$D$3:$L$33,9,0)="","",VLOOKUP(O$2,行为概览!$D$3:$L$33,9,0)*IF(玩法行为规划!N20&gt;0,1,0))</f>
        <v/>
      </c>
      <c r="P20" s="7">
        <f>IF(VLOOKUP(P$2,行为概览!$D$3:$L$33,9,0)="","",VLOOKUP(P$2,行为概览!$D$3:$L$33,9,0)*IF(玩法行为规划!O20&gt;0,1,0))</f>
        <v>0.5</v>
      </c>
      <c r="Q20" s="7">
        <f>IF(VLOOKUP(Q$2,行为概览!$D$3:$L$33,9,0)="","",VLOOKUP(Q$2,行为概览!$D$3:$L$33,9,0)*IF(玩法行为规划!P20&gt;0,1,0))</f>
        <v>5</v>
      </c>
      <c r="R20" s="7" t="str">
        <f>IF(VLOOKUP(R$2,行为概览!$D$3:$L$33,9,0)="","",VLOOKUP(R$2,行为概览!$D$3:$L$33,9,0)*IF(玩法行为规划!Q20&gt;0,1,0))</f>
        <v/>
      </c>
      <c r="S20" s="7">
        <f>IF(VLOOKUP(S$2,行为概览!$D$3:$L$33,9,0)="","",VLOOKUP(S$2,行为概览!$D$3:$L$33,9,0)*IF(玩法行为规划!R20&gt;0,1,0))</f>
        <v>0</v>
      </c>
      <c r="T20" s="7">
        <f>IF(VLOOKUP(T$2,行为概览!$D$3:$L$33,9,0)="","",VLOOKUP(T$2,行为概览!$D$3:$L$33,9,0)*IF(玩法行为规划!S20&gt;0,1,0))</f>
        <v>0</v>
      </c>
      <c r="U20" s="7">
        <f>IF(VLOOKUP(U$2,行为概览!$D$3:$L$33,9,0)="","",VLOOKUP(U$2,行为概览!$D$3:$L$33,9,0)*IF(玩法行为规划!T20&gt;0,1,0))</f>
        <v>0</v>
      </c>
      <c r="V20" s="7">
        <f>IF(VLOOKUP(V$2,行为概览!$D$3:$L$33,9,0)="","",VLOOKUP(V$2,行为概览!$D$3:$L$33,9,0)*IF(玩法行为规划!U20&gt;0,1,0))</f>
        <v>0</v>
      </c>
      <c r="W20" s="7">
        <f>IF(VLOOKUP(W$2,行为概览!$D$3:$L$33,9,0)="","",VLOOKUP(W$2,行为概览!$D$3:$L$33,9,0)*IF(玩法行为规划!V20&gt;0,1,0))</f>
        <v>0</v>
      </c>
      <c r="X20" s="7">
        <f>IF(VLOOKUP(X$2,行为概览!$D$3:$L$33,9,0)="","",VLOOKUP(X$2,行为概览!$D$3:$L$33,9,0)*IF(玩法行为规划!W20&gt;0,1,0))</f>
        <v>0</v>
      </c>
      <c r="Y20" s="7">
        <f>IF(VLOOKUP(Y$2,行为概览!$D$3:$L$33,9,0)="","",VLOOKUP(Y$2,行为概览!$D$3:$L$33,9,0)*IF(玩法行为规划!X20&gt;0,1,0))</f>
        <v>0</v>
      </c>
      <c r="Z20" s="7">
        <f>IF(VLOOKUP(Z$2,行为概览!$D$3:$L$33,9,0)="","",VLOOKUP(Z$2,行为概览!$D$3:$L$33,9,0)*IF(玩法行为规划!Y20&gt;0,1,0))</f>
        <v>0</v>
      </c>
      <c r="AA20" s="7">
        <f>IF(VLOOKUP(AA$2,行为概览!$D$3:$L$33,9,0)="","",VLOOKUP(AA$2,行为概览!$D$3:$L$33,9,0)*IF(玩法行为规划!Z20&gt;0,1,0))</f>
        <v>0</v>
      </c>
      <c r="AB20" s="7" t="str">
        <f>IF(VLOOKUP(AB$2,行为概览!$D$3:$L$33,9,0)="","",VLOOKUP(AB$2,行为概览!$D$3:$L$33,9,0)*IF(玩法行为规划!AA20&gt;0,1,0))</f>
        <v/>
      </c>
      <c r="AC20" s="7" t="str">
        <f>IF(VLOOKUP(AC$2,行为概览!$D$3:$L$33,9,0)="","",VLOOKUP(AC$2,行为概览!$D$3:$L$33,9,0)*IF(玩法行为规划!AB20&gt;0,1,0))</f>
        <v/>
      </c>
      <c r="AD20" s="7" t="str">
        <f>IF(VLOOKUP(AD$2,行为概览!$D$3:$L$33,9,0)="","",VLOOKUP(AD$2,行为概览!$D$3:$L$33,9,0)*玩法行为规划!AC20)</f>
        <v/>
      </c>
      <c r="AE20" s="7" t="str">
        <f>IF(VLOOKUP(AE$2,行为概览!$D$3:$L$33,9,0)="","",VLOOKUP(AE$2,行为概览!$D$3:$L$33,9,0)*玩法行为规划!AD20)</f>
        <v/>
      </c>
      <c r="AF20" s="7">
        <f t="shared" si="0"/>
        <v>9.5</v>
      </c>
      <c r="AG20" s="10">
        <f t="shared" si="1"/>
        <v>171000</v>
      </c>
      <c r="AH20" s="7">
        <f>ROUND(AG20*升级节奏!G20,0)</f>
        <v>0</v>
      </c>
      <c r="AI20" s="7">
        <f t="shared" si="2"/>
        <v>18000</v>
      </c>
      <c r="AJ20" s="21" t="str">
        <f t="shared" si="9"/>
        <v/>
      </c>
      <c r="AK20" s="7">
        <f t="shared" si="3"/>
        <v>1</v>
      </c>
      <c r="AL20" s="7">
        <f t="shared" si="4"/>
        <v>18000</v>
      </c>
      <c r="AM20" s="7">
        <f>SUM($AL$3:AL20)</f>
        <v>171000</v>
      </c>
      <c r="AN20" s="166">
        <f t="shared" si="5"/>
        <v>3600</v>
      </c>
      <c r="AO20" s="7">
        <f>SUM($AN$3:AN20)*7</f>
        <v>239400</v>
      </c>
      <c r="AP20" s="69">
        <f t="shared" si="6"/>
        <v>-73800</v>
      </c>
      <c r="AQ20" s="160">
        <f t="shared" si="7"/>
        <v>3600</v>
      </c>
      <c r="AR20" s="160">
        <f t="shared" si="8"/>
        <v>1800</v>
      </c>
    </row>
    <row r="21" spans="1:44">
      <c r="A21" s="32">
        <v>19</v>
      </c>
      <c r="B21" s="81">
        <f>升级节奏!E21</f>
        <v>19000</v>
      </c>
      <c r="C21" s="7">
        <f>IF(VLOOKUP(C$2,行为概览!$D$3:$L$33,9,0)="","",VLOOKUP(C$2,行为概览!$D$3:$L$33,9,0)*IF(玩法行为规划!B21&gt;0,1,0))</f>
        <v>4</v>
      </c>
      <c r="D21" s="7">
        <f>IF(VLOOKUP(D$2,行为概览!$D$3:$L$33,9,0)="","",VLOOKUP(D$2,行为概览!$D$3:$L$33,9,0)*IF(玩法行为规划!C21&gt;0,1,0))</f>
        <v>0</v>
      </c>
      <c r="E21" s="7">
        <f>IF(VLOOKUP(E$2,行为概览!$D$3:$L$33,9,0)="","",VLOOKUP(E$2,行为概览!$D$3:$L$33,9,0)*IF(玩法行为规划!D21&gt;0,1,0))</f>
        <v>0</v>
      </c>
      <c r="F21" s="7">
        <f>IF(VLOOKUP(F$2,行为概览!$D$3:$L$33,9,0)="","",VLOOKUP(F$2,行为概览!$D$3:$L$33,9,0)*IF(玩法行为规划!E21&gt;0,1,0))</f>
        <v>0</v>
      </c>
      <c r="G21" s="7" t="str">
        <f>IF(VLOOKUP(G$2,行为概览!$D$3:$L$33,9,0)="","",VLOOKUP(G$2,行为概览!$D$3:$L$33,9,0)*IF(玩法行为规划!F21&gt;0,1,0))</f>
        <v/>
      </c>
      <c r="H21" s="7" t="str">
        <f>IF(VLOOKUP(H$2,行为概览!$D$3:$L$33,9,0)="","",VLOOKUP(H$2,行为概览!$D$3:$L$33,9,0)*IF(玩法行为规划!G21&gt;0,1,0))</f>
        <v/>
      </c>
      <c r="I21" s="7" t="str">
        <f>IF(VLOOKUP(I$2,行为概览!$D$3:$L$33,9,0)="","",VLOOKUP(I$2,行为概览!$D$3:$L$33,9,0)*IF(玩法行为规划!H21&gt;0,1,0))</f>
        <v/>
      </c>
      <c r="J21" s="7" t="str">
        <f>IF(VLOOKUP(J$2,行为概览!$D$3:$L$33,9,0)="","",VLOOKUP(J$2,行为概览!$D$3:$L$33,9,0)*IF(玩法行为规划!I21&gt;0,1,0))</f>
        <v/>
      </c>
      <c r="K21" s="7">
        <f>IF(VLOOKUP(K$2,行为概览!$D$3:$L$33,9,0)="","",VLOOKUP(K$2,行为概览!$D$3:$L$33,9,0)*IF(玩法行为规划!J21&gt;0,1,0))</f>
        <v>0</v>
      </c>
      <c r="L21" s="7">
        <f>IF(VLOOKUP(L$2,行为概览!$D$3:$L$33,9,0)="","",VLOOKUP(L$2,行为概览!$D$3:$L$33,9,0)*IF(玩法行为规划!K21&gt;0,1,0))</f>
        <v>0</v>
      </c>
      <c r="M21" s="7" t="str">
        <f>IF(VLOOKUP(M$2,行为概览!$D$3:$L$33,9,0)="","",VLOOKUP(M$2,行为概览!$D$3:$L$33,9,0)*IF(玩法行为规划!L21&gt;0,1,0))</f>
        <v/>
      </c>
      <c r="N21" s="7" t="str">
        <f>IF(VLOOKUP(N$2,行为概览!$D$3:$L$33,9,0)="","",VLOOKUP(N$2,行为概览!$D$3:$L$33,9,0)*IF(玩法行为规划!M21&gt;0,1,0))</f>
        <v/>
      </c>
      <c r="O21" s="7" t="str">
        <f>IF(VLOOKUP(O$2,行为概览!$D$3:$L$33,9,0)="","",VLOOKUP(O$2,行为概览!$D$3:$L$33,9,0)*IF(玩法行为规划!N21&gt;0,1,0))</f>
        <v/>
      </c>
      <c r="P21" s="7">
        <f>IF(VLOOKUP(P$2,行为概览!$D$3:$L$33,9,0)="","",VLOOKUP(P$2,行为概览!$D$3:$L$33,9,0)*IF(玩法行为规划!O21&gt;0,1,0))</f>
        <v>0.5</v>
      </c>
      <c r="Q21" s="7">
        <f>IF(VLOOKUP(Q$2,行为概览!$D$3:$L$33,9,0)="","",VLOOKUP(Q$2,行为概览!$D$3:$L$33,9,0)*IF(玩法行为规划!P21&gt;0,1,0))</f>
        <v>5</v>
      </c>
      <c r="R21" s="7" t="str">
        <f>IF(VLOOKUP(R$2,行为概览!$D$3:$L$33,9,0)="","",VLOOKUP(R$2,行为概览!$D$3:$L$33,9,0)*IF(玩法行为规划!Q21&gt;0,1,0))</f>
        <v/>
      </c>
      <c r="S21" s="7">
        <f>IF(VLOOKUP(S$2,行为概览!$D$3:$L$33,9,0)="","",VLOOKUP(S$2,行为概览!$D$3:$L$33,9,0)*IF(玩法行为规划!R21&gt;0,1,0))</f>
        <v>0</v>
      </c>
      <c r="T21" s="7">
        <f>IF(VLOOKUP(T$2,行为概览!$D$3:$L$33,9,0)="","",VLOOKUP(T$2,行为概览!$D$3:$L$33,9,0)*IF(玩法行为规划!S21&gt;0,1,0))</f>
        <v>0</v>
      </c>
      <c r="U21" s="7">
        <f>IF(VLOOKUP(U$2,行为概览!$D$3:$L$33,9,0)="","",VLOOKUP(U$2,行为概览!$D$3:$L$33,9,0)*IF(玩法行为规划!T21&gt;0,1,0))</f>
        <v>0</v>
      </c>
      <c r="V21" s="7">
        <f>IF(VLOOKUP(V$2,行为概览!$D$3:$L$33,9,0)="","",VLOOKUP(V$2,行为概览!$D$3:$L$33,9,0)*IF(玩法行为规划!U21&gt;0,1,0))</f>
        <v>0</v>
      </c>
      <c r="W21" s="7">
        <f>IF(VLOOKUP(W$2,行为概览!$D$3:$L$33,9,0)="","",VLOOKUP(W$2,行为概览!$D$3:$L$33,9,0)*IF(玩法行为规划!V21&gt;0,1,0))</f>
        <v>0</v>
      </c>
      <c r="X21" s="7">
        <f>IF(VLOOKUP(X$2,行为概览!$D$3:$L$33,9,0)="","",VLOOKUP(X$2,行为概览!$D$3:$L$33,9,0)*IF(玩法行为规划!W21&gt;0,1,0))</f>
        <v>0</v>
      </c>
      <c r="Y21" s="7">
        <f>IF(VLOOKUP(Y$2,行为概览!$D$3:$L$33,9,0)="","",VLOOKUP(Y$2,行为概览!$D$3:$L$33,9,0)*IF(玩法行为规划!X21&gt;0,1,0))</f>
        <v>0</v>
      </c>
      <c r="Z21" s="7">
        <f>IF(VLOOKUP(Z$2,行为概览!$D$3:$L$33,9,0)="","",VLOOKUP(Z$2,行为概览!$D$3:$L$33,9,0)*IF(玩法行为规划!Y21&gt;0,1,0))</f>
        <v>0</v>
      </c>
      <c r="AA21" s="7">
        <f>IF(VLOOKUP(AA$2,行为概览!$D$3:$L$33,9,0)="","",VLOOKUP(AA$2,行为概览!$D$3:$L$33,9,0)*IF(玩法行为规划!Z21&gt;0,1,0))</f>
        <v>0</v>
      </c>
      <c r="AB21" s="7" t="str">
        <f>IF(VLOOKUP(AB$2,行为概览!$D$3:$L$33,9,0)="","",VLOOKUP(AB$2,行为概览!$D$3:$L$33,9,0)*IF(玩法行为规划!AA21&gt;0,1,0))</f>
        <v/>
      </c>
      <c r="AC21" s="7" t="str">
        <f>IF(VLOOKUP(AC$2,行为概览!$D$3:$L$33,9,0)="","",VLOOKUP(AC$2,行为概览!$D$3:$L$33,9,0)*IF(玩法行为规划!AB21&gt;0,1,0))</f>
        <v/>
      </c>
      <c r="AD21" s="7" t="str">
        <f>IF(VLOOKUP(AD$2,行为概览!$D$3:$L$33,9,0)="","",VLOOKUP(AD$2,行为概览!$D$3:$L$33,9,0)*玩法行为规划!AC21)</f>
        <v/>
      </c>
      <c r="AE21" s="7" t="str">
        <f>IF(VLOOKUP(AE$2,行为概览!$D$3:$L$33,9,0)="","",VLOOKUP(AE$2,行为概览!$D$3:$L$33,9,0)*玩法行为规划!AD21)</f>
        <v/>
      </c>
      <c r="AF21" s="7">
        <f t="shared" si="0"/>
        <v>9.5</v>
      </c>
      <c r="AG21" s="10">
        <f t="shared" si="1"/>
        <v>180500</v>
      </c>
      <c r="AH21" s="7">
        <f>ROUND(AG21*升级节奏!G21,0)</f>
        <v>0</v>
      </c>
      <c r="AI21" s="7">
        <f t="shared" si="2"/>
        <v>19000</v>
      </c>
      <c r="AJ21" s="21" t="str">
        <f t="shared" si="9"/>
        <v/>
      </c>
      <c r="AK21" s="7">
        <f t="shared" si="3"/>
        <v>1</v>
      </c>
      <c r="AL21" s="7">
        <f t="shared" si="4"/>
        <v>19000</v>
      </c>
      <c r="AM21" s="7">
        <f>SUM($AL$3:AL21)</f>
        <v>190000</v>
      </c>
      <c r="AN21" s="166">
        <f t="shared" si="5"/>
        <v>3800</v>
      </c>
      <c r="AO21" s="7">
        <f>SUM($AN$3:AN21)*7</f>
        <v>266000</v>
      </c>
      <c r="AP21" s="69">
        <f t="shared" si="6"/>
        <v>-81700</v>
      </c>
      <c r="AQ21" s="160">
        <f t="shared" si="7"/>
        <v>3800</v>
      </c>
      <c r="AR21" s="160">
        <f t="shared" si="8"/>
        <v>1900</v>
      </c>
    </row>
    <row r="22" spans="1:44">
      <c r="A22" s="32">
        <v>20</v>
      </c>
      <c r="B22" s="81">
        <f>升级节奏!E22</f>
        <v>20000</v>
      </c>
      <c r="C22" s="7">
        <f>IF(VLOOKUP(C$2,行为概览!$D$3:$L$33,9,0)="","",VLOOKUP(C$2,行为概览!$D$3:$L$33,9,0)*IF(玩法行为规划!B22&gt;0,1,0))</f>
        <v>4</v>
      </c>
      <c r="D22" s="7">
        <f>IF(VLOOKUP(D$2,行为概览!$D$3:$L$33,9,0)="","",VLOOKUP(D$2,行为概览!$D$3:$L$33,9,0)*IF(玩法行为规划!C22&gt;0,1,0))</f>
        <v>1.65</v>
      </c>
      <c r="E22" s="7">
        <f>IF(VLOOKUP(E$2,行为概览!$D$3:$L$33,9,0)="","",VLOOKUP(E$2,行为概览!$D$3:$L$33,9,0)*IF(玩法行为规划!D22&gt;0,1,0))</f>
        <v>0.5</v>
      </c>
      <c r="F22" s="7">
        <f>IF(VLOOKUP(F$2,行为概览!$D$3:$L$33,9,0)="","",VLOOKUP(F$2,行为概览!$D$3:$L$33,9,0)*IF(玩法行为规划!E22&gt;0,1,0))</f>
        <v>0</v>
      </c>
      <c r="G22" s="7" t="str">
        <f>IF(VLOOKUP(G$2,行为概览!$D$3:$L$33,9,0)="","",VLOOKUP(G$2,行为概览!$D$3:$L$33,9,0)*IF(玩法行为规划!F22&gt;0,1,0))</f>
        <v/>
      </c>
      <c r="H22" s="7" t="str">
        <f>IF(VLOOKUP(H$2,行为概览!$D$3:$L$33,9,0)="","",VLOOKUP(H$2,行为概览!$D$3:$L$33,9,0)*IF(玩法行为规划!G22&gt;0,1,0))</f>
        <v/>
      </c>
      <c r="I22" s="7" t="str">
        <f>IF(VLOOKUP(I$2,行为概览!$D$3:$L$33,9,0)="","",VLOOKUP(I$2,行为概览!$D$3:$L$33,9,0)*IF(玩法行为规划!H22&gt;0,1,0))</f>
        <v/>
      </c>
      <c r="J22" s="7" t="str">
        <f>IF(VLOOKUP(J$2,行为概览!$D$3:$L$33,9,0)="","",VLOOKUP(J$2,行为概览!$D$3:$L$33,9,0)*IF(玩法行为规划!I22&gt;0,1,0))</f>
        <v/>
      </c>
      <c r="K22" s="7">
        <f>IF(VLOOKUP(K$2,行为概览!$D$3:$L$33,9,0)="","",VLOOKUP(K$2,行为概览!$D$3:$L$33,9,0)*IF(玩法行为规划!J22&gt;0,1,0))</f>
        <v>0</v>
      </c>
      <c r="L22" s="7">
        <f>IF(VLOOKUP(L$2,行为概览!$D$3:$L$33,9,0)="","",VLOOKUP(L$2,行为概览!$D$3:$L$33,9,0)*IF(玩法行为规划!K22&gt;0,1,0))</f>
        <v>0</v>
      </c>
      <c r="M22" s="7" t="str">
        <f>IF(VLOOKUP(M$2,行为概览!$D$3:$L$33,9,0)="","",VLOOKUP(M$2,行为概览!$D$3:$L$33,9,0)*IF(玩法行为规划!L22&gt;0,1,0))</f>
        <v/>
      </c>
      <c r="N22" s="7" t="str">
        <f>IF(VLOOKUP(N$2,行为概览!$D$3:$L$33,9,0)="","",VLOOKUP(N$2,行为概览!$D$3:$L$33,9,0)*IF(玩法行为规划!M22&gt;0,1,0))</f>
        <v/>
      </c>
      <c r="O22" s="7" t="str">
        <f>IF(VLOOKUP(O$2,行为概览!$D$3:$L$33,9,0)="","",VLOOKUP(O$2,行为概览!$D$3:$L$33,9,0)*IF(玩法行为规划!N22&gt;0,1,0))</f>
        <v/>
      </c>
      <c r="P22" s="7">
        <f>IF(VLOOKUP(P$2,行为概览!$D$3:$L$33,9,0)="","",VLOOKUP(P$2,行为概览!$D$3:$L$33,9,0)*IF(玩法行为规划!O22&gt;0,1,0))</f>
        <v>0.5</v>
      </c>
      <c r="Q22" s="7">
        <f>IF(VLOOKUP(Q$2,行为概览!$D$3:$L$33,9,0)="","",VLOOKUP(Q$2,行为概览!$D$3:$L$33,9,0)*IF(玩法行为规划!P22&gt;0,1,0))</f>
        <v>5</v>
      </c>
      <c r="R22" s="7" t="str">
        <f>IF(VLOOKUP(R$2,行为概览!$D$3:$L$33,9,0)="","",VLOOKUP(R$2,行为概览!$D$3:$L$33,9,0)*IF(玩法行为规划!Q22&gt;0,1,0))</f>
        <v/>
      </c>
      <c r="S22" s="7">
        <f>IF(VLOOKUP(S$2,行为概览!$D$3:$L$33,9,0)="","",VLOOKUP(S$2,行为概览!$D$3:$L$33,9,0)*IF(玩法行为规划!R22&gt;0,1,0))</f>
        <v>0</v>
      </c>
      <c r="T22" s="7">
        <f>IF(VLOOKUP(T$2,行为概览!$D$3:$L$33,9,0)="","",VLOOKUP(T$2,行为概览!$D$3:$L$33,9,0)*IF(玩法行为规划!S22&gt;0,1,0))</f>
        <v>0</v>
      </c>
      <c r="U22" s="7">
        <f>IF(VLOOKUP(U$2,行为概览!$D$3:$L$33,9,0)="","",VLOOKUP(U$2,行为概览!$D$3:$L$33,9,0)*IF(玩法行为规划!T22&gt;0,1,0))</f>
        <v>0</v>
      </c>
      <c r="V22" s="7">
        <f>IF(VLOOKUP(V$2,行为概览!$D$3:$L$33,9,0)="","",VLOOKUP(V$2,行为概览!$D$3:$L$33,9,0)*IF(玩法行为规划!U22&gt;0,1,0))</f>
        <v>0</v>
      </c>
      <c r="W22" s="7">
        <f>IF(VLOOKUP(W$2,行为概览!$D$3:$L$33,9,0)="","",VLOOKUP(W$2,行为概览!$D$3:$L$33,9,0)*IF(玩法行为规划!V22&gt;0,1,0))</f>
        <v>0</v>
      </c>
      <c r="X22" s="7">
        <f>IF(VLOOKUP(X$2,行为概览!$D$3:$L$33,9,0)="","",VLOOKUP(X$2,行为概览!$D$3:$L$33,9,0)*IF(玩法行为规划!W22&gt;0,1,0))</f>
        <v>0</v>
      </c>
      <c r="Y22" s="7">
        <f>IF(VLOOKUP(Y$2,行为概览!$D$3:$L$33,9,0)="","",VLOOKUP(Y$2,行为概览!$D$3:$L$33,9,0)*IF(玩法行为规划!X22&gt;0,1,0))</f>
        <v>0</v>
      </c>
      <c r="Z22" s="7">
        <f>IF(VLOOKUP(Z$2,行为概览!$D$3:$L$33,9,0)="","",VLOOKUP(Z$2,行为概览!$D$3:$L$33,9,0)*IF(玩法行为规划!Y22&gt;0,1,0))</f>
        <v>0</v>
      </c>
      <c r="AA22" s="7">
        <f>IF(VLOOKUP(AA$2,行为概览!$D$3:$L$33,9,0)="","",VLOOKUP(AA$2,行为概览!$D$3:$L$33,9,0)*IF(玩法行为规划!Z22&gt;0,1,0))</f>
        <v>0</v>
      </c>
      <c r="AB22" s="7" t="str">
        <f>IF(VLOOKUP(AB$2,行为概览!$D$3:$L$33,9,0)="","",VLOOKUP(AB$2,行为概览!$D$3:$L$33,9,0)*IF(玩法行为规划!AA22&gt;0,1,0))</f>
        <v/>
      </c>
      <c r="AC22" s="7" t="str">
        <f>IF(VLOOKUP(AC$2,行为概览!$D$3:$L$33,9,0)="","",VLOOKUP(AC$2,行为概览!$D$3:$L$33,9,0)*IF(玩法行为规划!AB22&gt;0,1,0))</f>
        <v/>
      </c>
      <c r="AD22" s="7" t="str">
        <f>IF(VLOOKUP(AD$2,行为概览!$D$3:$L$33,9,0)="","",VLOOKUP(AD$2,行为概览!$D$3:$L$33,9,0)*玩法行为规划!AC22)</f>
        <v/>
      </c>
      <c r="AE22" s="7" t="str">
        <f>IF(VLOOKUP(AE$2,行为概览!$D$3:$L$33,9,0)="","",VLOOKUP(AE$2,行为概览!$D$3:$L$33,9,0)*玩法行为规划!AD22)</f>
        <v/>
      </c>
      <c r="AF22" s="7">
        <f t="shared" si="0"/>
        <v>11.65</v>
      </c>
      <c r="AG22" s="10">
        <f t="shared" si="1"/>
        <v>233000</v>
      </c>
      <c r="AH22" s="7">
        <f>ROUND(AG22*升级节奏!G22,0)</f>
        <v>0</v>
      </c>
      <c r="AI22" s="7">
        <f t="shared" si="2"/>
        <v>20000</v>
      </c>
      <c r="AJ22" s="21">
        <f t="shared" si="9"/>
        <v>245000</v>
      </c>
      <c r="AK22" s="7">
        <f t="shared" si="3"/>
        <v>1</v>
      </c>
      <c r="AL22" s="7">
        <f t="shared" si="4"/>
        <v>20000</v>
      </c>
      <c r="AM22" s="7">
        <f>SUM($AL$3:AL22)</f>
        <v>210000</v>
      </c>
      <c r="AN22" s="166">
        <f t="shared" si="5"/>
        <v>4000</v>
      </c>
      <c r="AO22" s="7">
        <f>SUM($AN$3:AN22)*7</f>
        <v>294000</v>
      </c>
      <c r="AP22" s="69">
        <f t="shared" si="6"/>
        <v>-90000</v>
      </c>
      <c r="AQ22" s="160">
        <f t="shared" si="7"/>
        <v>4000</v>
      </c>
      <c r="AR22" s="160">
        <f t="shared" si="8"/>
        <v>2000</v>
      </c>
    </row>
    <row r="23" spans="1:44">
      <c r="A23" s="32">
        <v>21</v>
      </c>
      <c r="B23" s="81">
        <f>升级节奏!E23</f>
        <v>21000</v>
      </c>
      <c r="C23" s="7">
        <f>IF(VLOOKUP(C$2,行为概览!$D$3:$L$33,9,0)="","",VLOOKUP(C$2,行为概览!$D$3:$L$33,9,0)*IF(玩法行为规划!B23&gt;0,1,0))</f>
        <v>4</v>
      </c>
      <c r="D23" s="7">
        <f>IF(VLOOKUP(D$2,行为概览!$D$3:$L$33,9,0)="","",VLOOKUP(D$2,行为概览!$D$3:$L$33,9,0)*IF(玩法行为规划!C23&gt;0,1,0))</f>
        <v>1.65</v>
      </c>
      <c r="E23" s="7">
        <f>IF(VLOOKUP(E$2,行为概览!$D$3:$L$33,9,0)="","",VLOOKUP(E$2,行为概览!$D$3:$L$33,9,0)*IF(玩法行为规划!D23&gt;0,1,0))</f>
        <v>0.5</v>
      </c>
      <c r="F23" s="7">
        <f>IF(VLOOKUP(F$2,行为概览!$D$3:$L$33,9,0)="","",VLOOKUP(F$2,行为概览!$D$3:$L$33,9,0)*IF(玩法行为规划!E23&gt;0,1,0))</f>
        <v>0</v>
      </c>
      <c r="G23" s="7" t="str">
        <f>IF(VLOOKUP(G$2,行为概览!$D$3:$L$33,9,0)="","",VLOOKUP(G$2,行为概览!$D$3:$L$33,9,0)*IF(玩法行为规划!F23&gt;0,1,0))</f>
        <v/>
      </c>
      <c r="H23" s="7" t="str">
        <f>IF(VLOOKUP(H$2,行为概览!$D$3:$L$33,9,0)="","",VLOOKUP(H$2,行为概览!$D$3:$L$33,9,0)*IF(玩法行为规划!G23&gt;0,1,0))</f>
        <v/>
      </c>
      <c r="I23" s="7" t="str">
        <f>IF(VLOOKUP(I$2,行为概览!$D$3:$L$33,9,0)="","",VLOOKUP(I$2,行为概览!$D$3:$L$33,9,0)*IF(玩法行为规划!H23&gt;0,1,0))</f>
        <v/>
      </c>
      <c r="J23" s="7" t="str">
        <f>IF(VLOOKUP(J$2,行为概览!$D$3:$L$33,9,0)="","",VLOOKUP(J$2,行为概览!$D$3:$L$33,9,0)*IF(玩法行为规划!I23&gt;0,1,0))</f>
        <v/>
      </c>
      <c r="K23" s="7">
        <f>IF(VLOOKUP(K$2,行为概览!$D$3:$L$33,9,0)="","",VLOOKUP(K$2,行为概览!$D$3:$L$33,9,0)*IF(玩法行为规划!J23&gt;0,1,0))</f>
        <v>0</v>
      </c>
      <c r="L23" s="7">
        <f>IF(VLOOKUP(L$2,行为概览!$D$3:$L$33,9,0)="","",VLOOKUP(L$2,行为概览!$D$3:$L$33,9,0)*IF(玩法行为规划!K23&gt;0,1,0))</f>
        <v>0</v>
      </c>
      <c r="M23" s="7" t="str">
        <f>IF(VLOOKUP(M$2,行为概览!$D$3:$L$33,9,0)="","",VLOOKUP(M$2,行为概览!$D$3:$L$33,9,0)*IF(玩法行为规划!L23&gt;0,1,0))</f>
        <v/>
      </c>
      <c r="N23" s="7" t="str">
        <f>IF(VLOOKUP(N$2,行为概览!$D$3:$L$33,9,0)="","",VLOOKUP(N$2,行为概览!$D$3:$L$33,9,0)*IF(玩法行为规划!M23&gt;0,1,0))</f>
        <v/>
      </c>
      <c r="O23" s="7" t="str">
        <f>IF(VLOOKUP(O$2,行为概览!$D$3:$L$33,9,0)="","",VLOOKUP(O$2,行为概览!$D$3:$L$33,9,0)*IF(玩法行为规划!N23&gt;0,1,0))</f>
        <v/>
      </c>
      <c r="P23" s="7">
        <f>IF(VLOOKUP(P$2,行为概览!$D$3:$L$33,9,0)="","",VLOOKUP(P$2,行为概览!$D$3:$L$33,9,0)*IF(玩法行为规划!O23&gt;0,1,0))</f>
        <v>0.5</v>
      </c>
      <c r="Q23" s="7">
        <f>IF(VLOOKUP(Q$2,行为概览!$D$3:$L$33,9,0)="","",VLOOKUP(Q$2,行为概览!$D$3:$L$33,9,0)*IF(玩法行为规划!P23&gt;0,1,0))</f>
        <v>5</v>
      </c>
      <c r="R23" s="7" t="str">
        <f>IF(VLOOKUP(R$2,行为概览!$D$3:$L$33,9,0)="","",VLOOKUP(R$2,行为概览!$D$3:$L$33,9,0)*IF(玩法行为规划!Q23&gt;0,1,0))</f>
        <v/>
      </c>
      <c r="S23" s="7">
        <f>IF(VLOOKUP(S$2,行为概览!$D$3:$L$33,9,0)="","",VLOOKUP(S$2,行为概览!$D$3:$L$33,9,0)*IF(玩法行为规划!R23&gt;0,1,0))</f>
        <v>0</v>
      </c>
      <c r="T23" s="7">
        <f>IF(VLOOKUP(T$2,行为概览!$D$3:$L$33,9,0)="","",VLOOKUP(T$2,行为概览!$D$3:$L$33,9,0)*IF(玩法行为规划!S23&gt;0,1,0))</f>
        <v>0</v>
      </c>
      <c r="U23" s="7">
        <f>IF(VLOOKUP(U$2,行为概览!$D$3:$L$33,9,0)="","",VLOOKUP(U$2,行为概览!$D$3:$L$33,9,0)*IF(玩法行为规划!T23&gt;0,1,0))</f>
        <v>0</v>
      </c>
      <c r="V23" s="7">
        <f>IF(VLOOKUP(V$2,行为概览!$D$3:$L$33,9,0)="","",VLOOKUP(V$2,行为概览!$D$3:$L$33,9,0)*IF(玩法行为规划!U23&gt;0,1,0))</f>
        <v>0</v>
      </c>
      <c r="W23" s="7">
        <f>IF(VLOOKUP(W$2,行为概览!$D$3:$L$33,9,0)="","",VLOOKUP(W$2,行为概览!$D$3:$L$33,9,0)*IF(玩法行为规划!V23&gt;0,1,0))</f>
        <v>0</v>
      </c>
      <c r="X23" s="7">
        <f>IF(VLOOKUP(X$2,行为概览!$D$3:$L$33,9,0)="","",VLOOKUP(X$2,行为概览!$D$3:$L$33,9,0)*IF(玩法行为规划!W23&gt;0,1,0))</f>
        <v>0</v>
      </c>
      <c r="Y23" s="7">
        <f>IF(VLOOKUP(Y$2,行为概览!$D$3:$L$33,9,0)="","",VLOOKUP(Y$2,行为概览!$D$3:$L$33,9,0)*IF(玩法行为规划!X23&gt;0,1,0))</f>
        <v>0</v>
      </c>
      <c r="Z23" s="7">
        <f>IF(VLOOKUP(Z$2,行为概览!$D$3:$L$33,9,0)="","",VLOOKUP(Z$2,行为概览!$D$3:$L$33,9,0)*IF(玩法行为规划!Y23&gt;0,1,0))</f>
        <v>0</v>
      </c>
      <c r="AA23" s="7">
        <f>IF(VLOOKUP(AA$2,行为概览!$D$3:$L$33,9,0)="","",VLOOKUP(AA$2,行为概览!$D$3:$L$33,9,0)*IF(玩法行为规划!Z23&gt;0,1,0))</f>
        <v>0</v>
      </c>
      <c r="AB23" s="7" t="str">
        <f>IF(VLOOKUP(AB$2,行为概览!$D$3:$L$33,9,0)="","",VLOOKUP(AB$2,行为概览!$D$3:$L$33,9,0)*IF(玩法行为规划!AA23&gt;0,1,0))</f>
        <v/>
      </c>
      <c r="AC23" s="7" t="str">
        <f>IF(VLOOKUP(AC$2,行为概览!$D$3:$L$33,9,0)="","",VLOOKUP(AC$2,行为概览!$D$3:$L$33,9,0)*IF(玩法行为规划!AB23&gt;0,1,0))</f>
        <v/>
      </c>
      <c r="AD23" s="7" t="str">
        <f>IF(VLOOKUP(AD$2,行为概览!$D$3:$L$33,9,0)="","",VLOOKUP(AD$2,行为概览!$D$3:$L$33,9,0)*玩法行为规划!AC23)</f>
        <v/>
      </c>
      <c r="AE23" s="7" t="str">
        <f>IF(VLOOKUP(AE$2,行为概览!$D$3:$L$33,9,0)="","",VLOOKUP(AE$2,行为概览!$D$3:$L$33,9,0)*玩法行为规划!AD23)</f>
        <v/>
      </c>
      <c r="AF23" s="7">
        <f t="shared" si="0"/>
        <v>11.65</v>
      </c>
      <c r="AG23" s="10">
        <f t="shared" si="1"/>
        <v>244650</v>
      </c>
      <c r="AH23" s="7">
        <f>ROUND(AG23*升级节奏!G23,0)</f>
        <v>0</v>
      </c>
      <c r="AI23" s="7">
        <f t="shared" si="2"/>
        <v>21000</v>
      </c>
      <c r="AJ23" s="21" t="str">
        <f t="shared" si="9"/>
        <v/>
      </c>
      <c r="AK23" s="7">
        <f t="shared" si="3"/>
        <v>1</v>
      </c>
      <c r="AL23" s="7">
        <f t="shared" si="4"/>
        <v>21000</v>
      </c>
      <c r="AM23" s="7">
        <f>SUM($AL$3:AL23)</f>
        <v>231000</v>
      </c>
      <c r="AN23" s="166">
        <f t="shared" si="5"/>
        <v>4200</v>
      </c>
      <c r="AO23" s="7">
        <f>SUM($AN$3:AN23)*7</f>
        <v>323400</v>
      </c>
      <c r="AP23" s="69">
        <f t="shared" si="6"/>
        <v>-98700</v>
      </c>
      <c r="AQ23" s="160">
        <f t="shared" si="7"/>
        <v>4200</v>
      </c>
      <c r="AR23" s="160">
        <f t="shared" si="8"/>
        <v>2100</v>
      </c>
    </row>
    <row r="24" spans="1:44">
      <c r="A24" s="32">
        <v>22</v>
      </c>
      <c r="B24" s="81">
        <f>升级节奏!E24</f>
        <v>22000</v>
      </c>
      <c r="C24" s="7">
        <f>IF(VLOOKUP(C$2,行为概览!$D$3:$L$33,9,0)="","",VLOOKUP(C$2,行为概览!$D$3:$L$33,9,0)*IF(玩法行为规划!B24&gt;0,1,0))</f>
        <v>4</v>
      </c>
      <c r="D24" s="7">
        <f>IF(VLOOKUP(D$2,行为概览!$D$3:$L$33,9,0)="","",VLOOKUP(D$2,行为概览!$D$3:$L$33,9,0)*IF(玩法行为规划!C24&gt;0,1,0))</f>
        <v>1.65</v>
      </c>
      <c r="E24" s="7">
        <f>IF(VLOOKUP(E$2,行为概览!$D$3:$L$33,9,0)="","",VLOOKUP(E$2,行为概览!$D$3:$L$33,9,0)*IF(玩法行为规划!D24&gt;0,1,0))</f>
        <v>0.5</v>
      </c>
      <c r="F24" s="7">
        <f>IF(VLOOKUP(F$2,行为概览!$D$3:$L$33,9,0)="","",VLOOKUP(F$2,行为概览!$D$3:$L$33,9,0)*IF(玩法行为规划!E24&gt;0,1,0))</f>
        <v>0</v>
      </c>
      <c r="G24" s="7" t="str">
        <f>IF(VLOOKUP(G$2,行为概览!$D$3:$L$33,9,0)="","",VLOOKUP(G$2,行为概览!$D$3:$L$33,9,0)*IF(玩法行为规划!F24&gt;0,1,0))</f>
        <v/>
      </c>
      <c r="H24" s="7" t="str">
        <f>IF(VLOOKUP(H$2,行为概览!$D$3:$L$33,9,0)="","",VLOOKUP(H$2,行为概览!$D$3:$L$33,9,0)*IF(玩法行为规划!G24&gt;0,1,0))</f>
        <v/>
      </c>
      <c r="I24" s="7" t="str">
        <f>IF(VLOOKUP(I$2,行为概览!$D$3:$L$33,9,0)="","",VLOOKUP(I$2,行为概览!$D$3:$L$33,9,0)*IF(玩法行为规划!H24&gt;0,1,0))</f>
        <v/>
      </c>
      <c r="J24" s="7" t="str">
        <f>IF(VLOOKUP(J$2,行为概览!$D$3:$L$33,9,0)="","",VLOOKUP(J$2,行为概览!$D$3:$L$33,9,0)*IF(玩法行为规划!I24&gt;0,1,0))</f>
        <v/>
      </c>
      <c r="K24" s="7">
        <f>IF(VLOOKUP(K$2,行为概览!$D$3:$L$33,9,0)="","",VLOOKUP(K$2,行为概览!$D$3:$L$33,9,0)*IF(玩法行为规划!J24&gt;0,1,0))</f>
        <v>0</v>
      </c>
      <c r="L24" s="7">
        <f>IF(VLOOKUP(L$2,行为概览!$D$3:$L$33,9,0)="","",VLOOKUP(L$2,行为概览!$D$3:$L$33,9,0)*IF(玩法行为规划!K24&gt;0,1,0))</f>
        <v>0</v>
      </c>
      <c r="M24" s="7" t="str">
        <f>IF(VLOOKUP(M$2,行为概览!$D$3:$L$33,9,0)="","",VLOOKUP(M$2,行为概览!$D$3:$L$33,9,0)*IF(玩法行为规划!L24&gt;0,1,0))</f>
        <v/>
      </c>
      <c r="N24" s="7" t="str">
        <f>IF(VLOOKUP(N$2,行为概览!$D$3:$L$33,9,0)="","",VLOOKUP(N$2,行为概览!$D$3:$L$33,9,0)*IF(玩法行为规划!M24&gt;0,1,0))</f>
        <v/>
      </c>
      <c r="O24" s="7" t="str">
        <f>IF(VLOOKUP(O$2,行为概览!$D$3:$L$33,9,0)="","",VLOOKUP(O$2,行为概览!$D$3:$L$33,9,0)*IF(玩法行为规划!N24&gt;0,1,0))</f>
        <v/>
      </c>
      <c r="P24" s="7">
        <f>IF(VLOOKUP(P$2,行为概览!$D$3:$L$33,9,0)="","",VLOOKUP(P$2,行为概览!$D$3:$L$33,9,0)*IF(玩法行为规划!O24&gt;0,1,0))</f>
        <v>0.5</v>
      </c>
      <c r="Q24" s="7">
        <f>IF(VLOOKUP(Q$2,行为概览!$D$3:$L$33,9,0)="","",VLOOKUP(Q$2,行为概览!$D$3:$L$33,9,0)*IF(玩法行为规划!P24&gt;0,1,0))</f>
        <v>5</v>
      </c>
      <c r="R24" s="7" t="str">
        <f>IF(VLOOKUP(R$2,行为概览!$D$3:$L$33,9,0)="","",VLOOKUP(R$2,行为概览!$D$3:$L$33,9,0)*IF(玩法行为规划!Q24&gt;0,1,0))</f>
        <v/>
      </c>
      <c r="S24" s="7">
        <f>IF(VLOOKUP(S$2,行为概览!$D$3:$L$33,9,0)="","",VLOOKUP(S$2,行为概览!$D$3:$L$33,9,0)*IF(玩法行为规划!R24&gt;0,1,0))</f>
        <v>0</v>
      </c>
      <c r="T24" s="7">
        <f>IF(VLOOKUP(T$2,行为概览!$D$3:$L$33,9,0)="","",VLOOKUP(T$2,行为概览!$D$3:$L$33,9,0)*IF(玩法行为规划!S24&gt;0,1,0))</f>
        <v>0</v>
      </c>
      <c r="U24" s="7">
        <f>IF(VLOOKUP(U$2,行为概览!$D$3:$L$33,9,0)="","",VLOOKUP(U$2,行为概览!$D$3:$L$33,9,0)*IF(玩法行为规划!T24&gt;0,1,0))</f>
        <v>0</v>
      </c>
      <c r="V24" s="7">
        <f>IF(VLOOKUP(V$2,行为概览!$D$3:$L$33,9,0)="","",VLOOKUP(V$2,行为概览!$D$3:$L$33,9,0)*IF(玩法行为规划!U24&gt;0,1,0))</f>
        <v>0</v>
      </c>
      <c r="W24" s="7">
        <f>IF(VLOOKUP(W$2,行为概览!$D$3:$L$33,9,0)="","",VLOOKUP(W$2,行为概览!$D$3:$L$33,9,0)*IF(玩法行为规划!V24&gt;0,1,0))</f>
        <v>0</v>
      </c>
      <c r="X24" s="7">
        <f>IF(VLOOKUP(X$2,行为概览!$D$3:$L$33,9,0)="","",VLOOKUP(X$2,行为概览!$D$3:$L$33,9,0)*IF(玩法行为规划!W24&gt;0,1,0))</f>
        <v>0</v>
      </c>
      <c r="Y24" s="7">
        <f>IF(VLOOKUP(Y$2,行为概览!$D$3:$L$33,9,0)="","",VLOOKUP(Y$2,行为概览!$D$3:$L$33,9,0)*IF(玩法行为规划!X24&gt;0,1,0))</f>
        <v>0</v>
      </c>
      <c r="Z24" s="7">
        <f>IF(VLOOKUP(Z$2,行为概览!$D$3:$L$33,9,0)="","",VLOOKUP(Z$2,行为概览!$D$3:$L$33,9,0)*IF(玩法行为规划!Y24&gt;0,1,0))</f>
        <v>0</v>
      </c>
      <c r="AA24" s="7">
        <f>IF(VLOOKUP(AA$2,行为概览!$D$3:$L$33,9,0)="","",VLOOKUP(AA$2,行为概览!$D$3:$L$33,9,0)*IF(玩法行为规划!Z24&gt;0,1,0))</f>
        <v>0</v>
      </c>
      <c r="AB24" s="7" t="str">
        <f>IF(VLOOKUP(AB$2,行为概览!$D$3:$L$33,9,0)="","",VLOOKUP(AB$2,行为概览!$D$3:$L$33,9,0)*IF(玩法行为规划!AA24&gt;0,1,0))</f>
        <v/>
      </c>
      <c r="AC24" s="7" t="str">
        <f>IF(VLOOKUP(AC$2,行为概览!$D$3:$L$33,9,0)="","",VLOOKUP(AC$2,行为概览!$D$3:$L$33,9,0)*IF(玩法行为规划!AB24&gt;0,1,0))</f>
        <v/>
      </c>
      <c r="AD24" s="7" t="str">
        <f>IF(VLOOKUP(AD$2,行为概览!$D$3:$L$33,9,0)="","",VLOOKUP(AD$2,行为概览!$D$3:$L$33,9,0)*玩法行为规划!AC24)</f>
        <v/>
      </c>
      <c r="AE24" s="7" t="str">
        <f>IF(VLOOKUP(AE$2,行为概览!$D$3:$L$33,9,0)="","",VLOOKUP(AE$2,行为概览!$D$3:$L$33,9,0)*玩法行为规划!AD24)</f>
        <v/>
      </c>
      <c r="AF24" s="7">
        <f t="shared" si="0"/>
        <v>11.65</v>
      </c>
      <c r="AG24" s="10">
        <f t="shared" si="1"/>
        <v>256300</v>
      </c>
      <c r="AH24" s="7">
        <f>ROUND(AG24*升级节奏!G24,0)</f>
        <v>0</v>
      </c>
      <c r="AI24" s="7">
        <f t="shared" si="2"/>
        <v>22000</v>
      </c>
      <c r="AJ24" s="21" t="str">
        <f t="shared" si="9"/>
        <v/>
      </c>
      <c r="AK24" s="7">
        <f t="shared" si="3"/>
        <v>1</v>
      </c>
      <c r="AL24" s="7">
        <f t="shared" si="4"/>
        <v>22000</v>
      </c>
      <c r="AM24" s="7">
        <f>SUM($AL$3:AL24)</f>
        <v>253000</v>
      </c>
      <c r="AN24" s="166">
        <f t="shared" si="5"/>
        <v>4400</v>
      </c>
      <c r="AO24" s="7">
        <f>SUM($AN$3:AN24)*7</f>
        <v>354200</v>
      </c>
      <c r="AP24" s="69">
        <f t="shared" si="6"/>
        <v>-107800</v>
      </c>
      <c r="AQ24" s="160">
        <f t="shared" si="7"/>
        <v>4400</v>
      </c>
      <c r="AR24" s="160">
        <f t="shared" si="8"/>
        <v>2200</v>
      </c>
    </row>
    <row r="25" spans="1:44">
      <c r="A25" s="32">
        <v>23</v>
      </c>
      <c r="B25" s="81">
        <f>升级节奏!E25</f>
        <v>23000</v>
      </c>
      <c r="C25" s="7">
        <f>IF(VLOOKUP(C$2,行为概览!$D$3:$L$33,9,0)="","",VLOOKUP(C$2,行为概览!$D$3:$L$33,9,0)*IF(玩法行为规划!B25&gt;0,1,0))</f>
        <v>4</v>
      </c>
      <c r="D25" s="7">
        <f>IF(VLOOKUP(D$2,行为概览!$D$3:$L$33,9,0)="","",VLOOKUP(D$2,行为概览!$D$3:$L$33,9,0)*IF(玩法行为规划!C25&gt;0,1,0))</f>
        <v>1.65</v>
      </c>
      <c r="E25" s="7">
        <f>IF(VLOOKUP(E$2,行为概览!$D$3:$L$33,9,0)="","",VLOOKUP(E$2,行为概览!$D$3:$L$33,9,0)*IF(玩法行为规划!D25&gt;0,1,0))</f>
        <v>0.5</v>
      </c>
      <c r="F25" s="7">
        <f>IF(VLOOKUP(F$2,行为概览!$D$3:$L$33,9,0)="","",VLOOKUP(F$2,行为概览!$D$3:$L$33,9,0)*IF(玩法行为规划!E25&gt;0,1,0))</f>
        <v>0</v>
      </c>
      <c r="G25" s="7" t="str">
        <f>IF(VLOOKUP(G$2,行为概览!$D$3:$L$33,9,0)="","",VLOOKUP(G$2,行为概览!$D$3:$L$33,9,0)*IF(玩法行为规划!F25&gt;0,1,0))</f>
        <v/>
      </c>
      <c r="H25" s="7" t="str">
        <f>IF(VLOOKUP(H$2,行为概览!$D$3:$L$33,9,0)="","",VLOOKUP(H$2,行为概览!$D$3:$L$33,9,0)*IF(玩法行为规划!G25&gt;0,1,0))</f>
        <v/>
      </c>
      <c r="I25" s="7" t="str">
        <f>IF(VLOOKUP(I$2,行为概览!$D$3:$L$33,9,0)="","",VLOOKUP(I$2,行为概览!$D$3:$L$33,9,0)*IF(玩法行为规划!H25&gt;0,1,0))</f>
        <v/>
      </c>
      <c r="J25" s="7" t="str">
        <f>IF(VLOOKUP(J$2,行为概览!$D$3:$L$33,9,0)="","",VLOOKUP(J$2,行为概览!$D$3:$L$33,9,0)*IF(玩法行为规划!I25&gt;0,1,0))</f>
        <v/>
      </c>
      <c r="K25" s="7">
        <f>IF(VLOOKUP(K$2,行为概览!$D$3:$L$33,9,0)="","",VLOOKUP(K$2,行为概览!$D$3:$L$33,9,0)*IF(玩法行为规划!J25&gt;0,1,0))</f>
        <v>0</v>
      </c>
      <c r="L25" s="7">
        <f>IF(VLOOKUP(L$2,行为概览!$D$3:$L$33,9,0)="","",VLOOKUP(L$2,行为概览!$D$3:$L$33,9,0)*IF(玩法行为规划!K25&gt;0,1,0))</f>
        <v>0</v>
      </c>
      <c r="M25" s="7" t="str">
        <f>IF(VLOOKUP(M$2,行为概览!$D$3:$L$33,9,0)="","",VLOOKUP(M$2,行为概览!$D$3:$L$33,9,0)*IF(玩法行为规划!L25&gt;0,1,0))</f>
        <v/>
      </c>
      <c r="N25" s="7" t="str">
        <f>IF(VLOOKUP(N$2,行为概览!$D$3:$L$33,9,0)="","",VLOOKUP(N$2,行为概览!$D$3:$L$33,9,0)*IF(玩法行为规划!M25&gt;0,1,0))</f>
        <v/>
      </c>
      <c r="O25" s="7" t="str">
        <f>IF(VLOOKUP(O$2,行为概览!$D$3:$L$33,9,0)="","",VLOOKUP(O$2,行为概览!$D$3:$L$33,9,0)*IF(玩法行为规划!N25&gt;0,1,0))</f>
        <v/>
      </c>
      <c r="P25" s="7">
        <f>IF(VLOOKUP(P$2,行为概览!$D$3:$L$33,9,0)="","",VLOOKUP(P$2,行为概览!$D$3:$L$33,9,0)*IF(玩法行为规划!O25&gt;0,1,0))</f>
        <v>0.5</v>
      </c>
      <c r="Q25" s="7">
        <f>IF(VLOOKUP(Q$2,行为概览!$D$3:$L$33,9,0)="","",VLOOKUP(Q$2,行为概览!$D$3:$L$33,9,0)*IF(玩法行为规划!P25&gt;0,1,0))</f>
        <v>5</v>
      </c>
      <c r="R25" s="7" t="str">
        <f>IF(VLOOKUP(R$2,行为概览!$D$3:$L$33,9,0)="","",VLOOKUP(R$2,行为概览!$D$3:$L$33,9,0)*IF(玩法行为规划!Q25&gt;0,1,0))</f>
        <v/>
      </c>
      <c r="S25" s="7">
        <f>IF(VLOOKUP(S$2,行为概览!$D$3:$L$33,9,0)="","",VLOOKUP(S$2,行为概览!$D$3:$L$33,9,0)*IF(玩法行为规划!R25&gt;0,1,0))</f>
        <v>0</v>
      </c>
      <c r="T25" s="7">
        <f>IF(VLOOKUP(T$2,行为概览!$D$3:$L$33,9,0)="","",VLOOKUP(T$2,行为概览!$D$3:$L$33,9,0)*IF(玩法行为规划!S25&gt;0,1,0))</f>
        <v>0</v>
      </c>
      <c r="U25" s="7">
        <f>IF(VLOOKUP(U$2,行为概览!$D$3:$L$33,9,0)="","",VLOOKUP(U$2,行为概览!$D$3:$L$33,9,0)*IF(玩法行为规划!T25&gt;0,1,0))</f>
        <v>0</v>
      </c>
      <c r="V25" s="7">
        <f>IF(VLOOKUP(V$2,行为概览!$D$3:$L$33,9,0)="","",VLOOKUP(V$2,行为概览!$D$3:$L$33,9,0)*IF(玩法行为规划!U25&gt;0,1,0))</f>
        <v>0</v>
      </c>
      <c r="W25" s="7">
        <f>IF(VLOOKUP(W$2,行为概览!$D$3:$L$33,9,0)="","",VLOOKUP(W$2,行为概览!$D$3:$L$33,9,0)*IF(玩法行为规划!V25&gt;0,1,0))</f>
        <v>0</v>
      </c>
      <c r="X25" s="7">
        <f>IF(VLOOKUP(X$2,行为概览!$D$3:$L$33,9,0)="","",VLOOKUP(X$2,行为概览!$D$3:$L$33,9,0)*IF(玩法行为规划!W25&gt;0,1,0))</f>
        <v>0</v>
      </c>
      <c r="Y25" s="7">
        <f>IF(VLOOKUP(Y$2,行为概览!$D$3:$L$33,9,0)="","",VLOOKUP(Y$2,行为概览!$D$3:$L$33,9,0)*IF(玩法行为规划!X25&gt;0,1,0))</f>
        <v>0</v>
      </c>
      <c r="Z25" s="7">
        <f>IF(VLOOKUP(Z$2,行为概览!$D$3:$L$33,9,0)="","",VLOOKUP(Z$2,行为概览!$D$3:$L$33,9,0)*IF(玩法行为规划!Y25&gt;0,1,0))</f>
        <v>0</v>
      </c>
      <c r="AA25" s="7">
        <f>IF(VLOOKUP(AA$2,行为概览!$D$3:$L$33,9,0)="","",VLOOKUP(AA$2,行为概览!$D$3:$L$33,9,0)*IF(玩法行为规划!Z25&gt;0,1,0))</f>
        <v>0</v>
      </c>
      <c r="AB25" s="7" t="str">
        <f>IF(VLOOKUP(AB$2,行为概览!$D$3:$L$33,9,0)="","",VLOOKUP(AB$2,行为概览!$D$3:$L$33,9,0)*IF(玩法行为规划!AA25&gt;0,1,0))</f>
        <v/>
      </c>
      <c r="AC25" s="7" t="str">
        <f>IF(VLOOKUP(AC$2,行为概览!$D$3:$L$33,9,0)="","",VLOOKUP(AC$2,行为概览!$D$3:$L$33,9,0)*IF(玩法行为规划!AB25&gt;0,1,0))</f>
        <v/>
      </c>
      <c r="AD25" s="7" t="str">
        <f>IF(VLOOKUP(AD$2,行为概览!$D$3:$L$33,9,0)="","",VLOOKUP(AD$2,行为概览!$D$3:$L$33,9,0)*玩法行为规划!AC25)</f>
        <v/>
      </c>
      <c r="AE25" s="7" t="str">
        <f>IF(VLOOKUP(AE$2,行为概览!$D$3:$L$33,9,0)="","",VLOOKUP(AE$2,行为概览!$D$3:$L$33,9,0)*玩法行为规划!AD25)</f>
        <v/>
      </c>
      <c r="AF25" s="7">
        <f t="shared" si="0"/>
        <v>11.65</v>
      </c>
      <c r="AG25" s="10">
        <f t="shared" si="1"/>
        <v>267950</v>
      </c>
      <c r="AH25" s="7">
        <f>ROUND(AG25*升级节奏!G25,0)</f>
        <v>0</v>
      </c>
      <c r="AI25" s="7">
        <f t="shared" si="2"/>
        <v>23000</v>
      </c>
      <c r="AJ25" s="21" t="str">
        <f t="shared" si="9"/>
        <v/>
      </c>
      <c r="AK25" s="7">
        <f t="shared" si="3"/>
        <v>1</v>
      </c>
      <c r="AL25" s="7">
        <f t="shared" si="4"/>
        <v>23000</v>
      </c>
      <c r="AM25" s="7">
        <f>SUM($AL$3:AL25)</f>
        <v>276000</v>
      </c>
      <c r="AN25" s="166">
        <f t="shared" si="5"/>
        <v>4600</v>
      </c>
      <c r="AO25" s="7">
        <f>SUM($AN$3:AN25)*7</f>
        <v>386400</v>
      </c>
      <c r="AP25" s="69">
        <f t="shared" si="6"/>
        <v>-117300</v>
      </c>
      <c r="AQ25" s="160">
        <f t="shared" si="7"/>
        <v>4600</v>
      </c>
      <c r="AR25" s="160">
        <f t="shared" si="8"/>
        <v>2300</v>
      </c>
    </row>
    <row r="26" spans="1:44">
      <c r="A26" s="32">
        <v>24</v>
      </c>
      <c r="B26" s="81">
        <f>升级节奏!E26</f>
        <v>24000</v>
      </c>
      <c r="C26" s="7">
        <f>IF(VLOOKUP(C$2,行为概览!$D$3:$L$33,9,0)="","",VLOOKUP(C$2,行为概览!$D$3:$L$33,9,0)*IF(玩法行为规划!B26&gt;0,1,0))</f>
        <v>4</v>
      </c>
      <c r="D26" s="7">
        <f>IF(VLOOKUP(D$2,行为概览!$D$3:$L$33,9,0)="","",VLOOKUP(D$2,行为概览!$D$3:$L$33,9,0)*IF(玩法行为规划!C26&gt;0,1,0))</f>
        <v>1.65</v>
      </c>
      <c r="E26" s="7">
        <f>IF(VLOOKUP(E$2,行为概览!$D$3:$L$33,9,0)="","",VLOOKUP(E$2,行为概览!$D$3:$L$33,9,0)*IF(玩法行为规划!D26&gt;0,1,0))</f>
        <v>0.5</v>
      </c>
      <c r="F26" s="7">
        <f>IF(VLOOKUP(F$2,行为概览!$D$3:$L$33,9,0)="","",VLOOKUP(F$2,行为概览!$D$3:$L$33,9,0)*IF(玩法行为规划!E26&gt;0,1,0))</f>
        <v>0</v>
      </c>
      <c r="G26" s="7" t="str">
        <f>IF(VLOOKUP(G$2,行为概览!$D$3:$L$33,9,0)="","",VLOOKUP(G$2,行为概览!$D$3:$L$33,9,0)*IF(玩法行为规划!F26&gt;0,1,0))</f>
        <v/>
      </c>
      <c r="H26" s="7" t="str">
        <f>IF(VLOOKUP(H$2,行为概览!$D$3:$L$33,9,0)="","",VLOOKUP(H$2,行为概览!$D$3:$L$33,9,0)*IF(玩法行为规划!G26&gt;0,1,0))</f>
        <v/>
      </c>
      <c r="I26" s="7" t="str">
        <f>IF(VLOOKUP(I$2,行为概览!$D$3:$L$33,9,0)="","",VLOOKUP(I$2,行为概览!$D$3:$L$33,9,0)*IF(玩法行为规划!H26&gt;0,1,0))</f>
        <v/>
      </c>
      <c r="J26" s="7" t="str">
        <f>IF(VLOOKUP(J$2,行为概览!$D$3:$L$33,9,0)="","",VLOOKUP(J$2,行为概览!$D$3:$L$33,9,0)*IF(玩法行为规划!I26&gt;0,1,0))</f>
        <v/>
      </c>
      <c r="K26" s="7">
        <f>IF(VLOOKUP(K$2,行为概览!$D$3:$L$33,9,0)="","",VLOOKUP(K$2,行为概览!$D$3:$L$33,9,0)*IF(玩法行为规划!J26&gt;0,1,0))</f>
        <v>0</v>
      </c>
      <c r="L26" s="7">
        <f>IF(VLOOKUP(L$2,行为概览!$D$3:$L$33,9,0)="","",VLOOKUP(L$2,行为概览!$D$3:$L$33,9,0)*IF(玩法行为规划!K26&gt;0,1,0))</f>
        <v>0</v>
      </c>
      <c r="M26" s="7" t="str">
        <f>IF(VLOOKUP(M$2,行为概览!$D$3:$L$33,9,0)="","",VLOOKUP(M$2,行为概览!$D$3:$L$33,9,0)*IF(玩法行为规划!L26&gt;0,1,0))</f>
        <v/>
      </c>
      <c r="N26" s="7" t="str">
        <f>IF(VLOOKUP(N$2,行为概览!$D$3:$L$33,9,0)="","",VLOOKUP(N$2,行为概览!$D$3:$L$33,9,0)*IF(玩法行为规划!M26&gt;0,1,0))</f>
        <v/>
      </c>
      <c r="O26" s="7" t="str">
        <f>IF(VLOOKUP(O$2,行为概览!$D$3:$L$33,9,0)="","",VLOOKUP(O$2,行为概览!$D$3:$L$33,9,0)*IF(玩法行为规划!N26&gt;0,1,0))</f>
        <v/>
      </c>
      <c r="P26" s="7">
        <f>IF(VLOOKUP(P$2,行为概览!$D$3:$L$33,9,0)="","",VLOOKUP(P$2,行为概览!$D$3:$L$33,9,0)*IF(玩法行为规划!O26&gt;0,1,0))</f>
        <v>0.5</v>
      </c>
      <c r="Q26" s="7">
        <f>IF(VLOOKUP(Q$2,行为概览!$D$3:$L$33,9,0)="","",VLOOKUP(Q$2,行为概览!$D$3:$L$33,9,0)*IF(玩法行为规划!P26&gt;0,1,0))</f>
        <v>5</v>
      </c>
      <c r="R26" s="7" t="str">
        <f>IF(VLOOKUP(R$2,行为概览!$D$3:$L$33,9,0)="","",VLOOKUP(R$2,行为概览!$D$3:$L$33,9,0)*IF(玩法行为规划!Q26&gt;0,1,0))</f>
        <v/>
      </c>
      <c r="S26" s="7">
        <f>IF(VLOOKUP(S$2,行为概览!$D$3:$L$33,9,0)="","",VLOOKUP(S$2,行为概览!$D$3:$L$33,9,0)*IF(玩法行为规划!R26&gt;0,1,0))</f>
        <v>0</v>
      </c>
      <c r="T26" s="7">
        <f>IF(VLOOKUP(T$2,行为概览!$D$3:$L$33,9,0)="","",VLOOKUP(T$2,行为概览!$D$3:$L$33,9,0)*IF(玩法行为规划!S26&gt;0,1,0))</f>
        <v>0</v>
      </c>
      <c r="U26" s="7">
        <f>IF(VLOOKUP(U$2,行为概览!$D$3:$L$33,9,0)="","",VLOOKUP(U$2,行为概览!$D$3:$L$33,9,0)*IF(玩法行为规划!T26&gt;0,1,0))</f>
        <v>0</v>
      </c>
      <c r="V26" s="7">
        <f>IF(VLOOKUP(V$2,行为概览!$D$3:$L$33,9,0)="","",VLOOKUP(V$2,行为概览!$D$3:$L$33,9,0)*IF(玩法行为规划!U26&gt;0,1,0))</f>
        <v>0</v>
      </c>
      <c r="W26" s="7">
        <f>IF(VLOOKUP(W$2,行为概览!$D$3:$L$33,9,0)="","",VLOOKUP(W$2,行为概览!$D$3:$L$33,9,0)*IF(玩法行为规划!V26&gt;0,1,0))</f>
        <v>0</v>
      </c>
      <c r="X26" s="7">
        <f>IF(VLOOKUP(X$2,行为概览!$D$3:$L$33,9,0)="","",VLOOKUP(X$2,行为概览!$D$3:$L$33,9,0)*IF(玩法行为规划!W26&gt;0,1,0))</f>
        <v>0</v>
      </c>
      <c r="Y26" s="7">
        <f>IF(VLOOKUP(Y$2,行为概览!$D$3:$L$33,9,0)="","",VLOOKUP(Y$2,行为概览!$D$3:$L$33,9,0)*IF(玩法行为规划!X26&gt;0,1,0))</f>
        <v>0</v>
      </c>
      <c r="Z26" s="7">
        <f>IF(VLOOKUP(Z$2,行为概览!$D$3:$L$33,9,0)="","",VLOOKUP(Z$2,行为概览!$D$3:$L$33,9,0)*IF(玩法行为规划!Y26&gt;0,1,0))</f>
        <v>0</v>
      </c>
      <c r="AA26" s="7">
        <f>IF(VLOOKUP(AA$2,行为概览!$D$3:$L$33,9,0)="","",VLOOKUP(AA$2,行为概览!$D$3:$L$33,9,0)*IF(玩法行为规划!Z26&gt;0,1,0))</f>
        <v>0</v>
      </c>
      <c r="AB26" s="7" t="str">
        <f>IF(VLOOKUP(AB$2,行为概览!$D$3:$L$33,9,0)="","",VLOOKUP(AB$2,行为概览!$D$3:$L$33,9,0)*IF(玩法行为规划!AA26&gt;0,1,0))</f>
        <v/>
      </c>
      <c r="AC26" s="7" t="str">
        <f>IF(VLOOKUP(AC$2,行为概览!$D$3:$L$33,9,0)="","",VLOOKUP(AC$2,行为概览!$D$3:$L$33,9,0)*IF(玩法行为规划!AB26&gt;0,1,0))</f>
        <v/>
      </c>
      <c r="AD26" s="7" t="str">
        <f>IF(VLOOKUP(AD$2,行为概览!$D$3:$L$33,9,0)="","",VLOOKUP(AD$2,行为概览!$D$3:$L$33,9,0)*玩法行为规划!AC26)</f>
        <v/>
      </c>
      <c r="AE26" s="7" t="str">
        <f>IF(VLOOKUP(AE$2,行为概览!$D$3:$L$33,9,0)="","",VLOOKUP(AE$2,行为概览!$D$3:$L$33,9,0)*玩法行为规划!AD26)</f>
        <v/>
      </c>
      <c r="AF26" s="7">
        <f t="shared" si="0"/>
        <v>11.65</v>
      </c>
      <c r="AG26" s="10">
        <f t="shared" si="1"/>
        <v>279600</v>
      </c>
      <c r="AH26" s="7">
        <f>ROUND(AG26*升级节奏!G26,0)</f>
        <v>0</v>
      </c>
      <c r="AI26" s="7">
        <f t="shared" si="2"/>
        <v>24000</v>
      </c>
      <c r="AJ26" s="21" t="str">
        <f t="shared" si="9"/>
        <v/>
      </c>
      <c r="AK26" s="7">
        <f t="shared" si="3"/>
        <v>1</v>
      </c>
      <c r="AL26" s="7">
        <f t="shared" si="4"/>
        <v>24000</v>
      </c>
      <c r="AM26" s="7">
        <f>SUM($AL$3:AL26)</f>
        <v>300000</v>
      </c>
      <c r="AN26" s="166">
        <f t="shared" si="5"/>
        <v>4800</v>
      </c>
      <c r="AO26" s="7">
        <f>SUM($AN$3:AN26)*7</f>
        <v>420000</v>
      </c>
      <c r="AP26" s="69">
        <f t="shared" si="6"/>
        <v>-127200</v>
      </c>
      <c r="AQ26" s="160">
        <f t="shared" si="7"/>
        <v>4800</v>
      </c>
      <c r="AR26" s="160">
        <f t="shared" si="8"/>
        <v>2400</v>
      </c>
    </row>
    <row r="27" spans="1:44">
      <c r="A27" s="32">
        <v>25</v>
      </c>
      <c r="B27" s="81">
        <f>升级节奏!E27</f>
        <v>25000</v>
      </c>
      <c r="C27" s="7">
        <f>IF(VLOOKUP(C$2,行为概览!$D$3:$L$33,9,0)="","",VLOOKUP(C$2,行为概览!$D$3:$L$33,9,0)*IF(玩法行为规划!B27&gt;0,1,0))</f>
        <v>4</v>
      </c>
      <c r="D27" s="7">
        <f>IF(VLOOKUP(D$2,行为概览!$D$3:$L$33,9,0)="","",VLOOKUP(D$2,行为概览!$D$3:$L$33,9,0)*IF(玩法行为规划!C27&gt;0,1,0))</f>
        <v>1.65</v>
      </c>
      <c r="E27" s="7">
        <f>IF(VLOOKUP(E$2,行为概览!$D$3:$L$33,9,0)="","",VLOOKUP(E$2,行为概览!$D$3:$L$33,9,0)*IF(玩法行为规划!D27&gt;0,1,0))</f>
        <v>0.5</v>
      </c>
      <c r="F27" s="7">
        <f>IF(VLOOKUP(F$2,行为概览!$D$3:$L$33,9,0)="","",VLOOKUP(F$2,行为概览!$D$3:$L$33,9,0)*IF(玩法行为规划!E27&gt;0,1,0))</f>
        <v>0</v>
      </c>
      <c r="G27" s="7" t="str">
        <f>IF(VLOOKUP(G$2,行为概览!$D$3:$L$33,9,0)="","",VLOOKUP(G$2,行为概览!$D$3:$L$33,9,0)*IF(玩法行为规划!F27&gt;0,1,0))</f>
        <v/>
      </c>
      <c r="H27" s="7" t="str">
        <f>IF(VLOOKUP(H$2,行为概览!$D$3:$L$33,9,0)="","",VLOOKUP(H$2,行为概览!$D$3:$L$33,9,0)*IF(玩法行为规划!G27&gt;0,1,0))</f>
        <v/>
      </c>
      <c r="I27" s="7" t="str">
        <f>IF(VLOOKUP(I$2,行为概览!$D$3:$L$33,9,0)="","",VLOOKUP(I$2,行为概览!$D$3:$L$33,9,0)*IF(玩法行为规划!H27&gt;0,1,0))</f>
        <v/>
      </c>
      <c r="J27" s="7" t="str">
        <f>IF(VLOOKUP(J$2,行为概览!$D$3:$L$33,9,0)="","",VLOOKUP(J$2,行为概览!$D$3:$L$33,9,0)*IF(玩法行为规划!I27&gt;0,1,0))</f>
        <v/>
      </c>
      <c r="K27" s="7">
        <f>IF(VLOOKUP(K$2,行为概览!$D$3:$L$33,9,0)="","",VLOOKUP(K$2,行为概览!$D$3:$L$33,9,0)*IF(玩法行为规划!J27&gt;0,1,0))</f>
        <v>0</v>
      </c>
      <c r="L27" s="7">
        <f>IF(VLOOKUP(L$2,行为概览!$D$3:$L$33,9,0)="","",VLOOKUP(L$2,行为概览!$D$3:$L$33,9,0)*IF(玩法行为规划!K27&gt;0,1,0))</f>
        <v>0</v>
      </c>
      <c r="M27" s="7" t="str">
        <f>IF(VLOOKUP(M$2,行为概览!$D$3:$L$33,9,0)="","",VLOOKUP(M$2,行为概览!$D$3:$L$33,9,0)*IF(玩法行为规划!L27&gt;0,1,0))</f>
        <v/>
      </c>
      <c r="N27" s="7" t="str">
        <f>IF(VLOOKUP(N$2,行为概览!$D$3:$L$33,9,0)="","",VLOOKUP(N$2,行为概览!$D$3:$L$33,9,0)*IF(玩法行为规划!M27&gt;0,1,0))</f>
        <v/>
      </c>
      <c r="O27" s="7" t="str">
        <f>IF(VLOOKUP(O$2,行为概览!$D$3:$L$33,9,0)="","",VLOOKUP(O$2,行为概览!$D$3:$L$33,9,0)*IF(玩法行为规划!N27&gt;0,1,0))</f>
        <v/>
      </c>
      <c r="P27" s="7">
        <f>IF(VLOOKUP(P$2,行为概览!$D$3:$L$33,9,0)="","",VLOOKUP(P$2,行为概览!$D$3:$L$33,9,0)*IF(玩法行为规划!O27&gt;0,1,0))</f>
        <v>0.5</v>
      </c>
      <c r="Q27" s="7">
        <f>IF(VLOOKUP(Q$2,行为概览!$D$3:$L$33,9,0)="","",VLOOKUP(Q$2,行为概览!$D$3:$L$33,9,0)*IF(玩法行为规划!P27&gt;0,1,0))</f>
        <v>5</v>
      </c>
      <c r="R27" s="7" t="str">
        <f>IF(VLOOKUP(R$2,行为概览!$D$3:$L$33,9,0)="","",VLOOKUP(R$2,行为概览!$D$3:$L$33,9,0)*IF(玩法行为规划!Q27&gt;0,1,0))</f>
        <v/>
      </c>
      <c r="S27" s="7">
        <f>IF(VLOOKUP(S$2,行为概览!$D$3:$L$33,9,0)="","",VLOOKUP(S$2,行为概览!$D$3:$L$33,9,0)*IF(玩法行为规划!R27&gt;0,1,0))</f>
        <v>1</v>
      </c>
      <c r="T27" s="7">
        <f>IF(VLOOKUP(T$2,行为概览!$D$3:$L$33,9,0)="","",VLOOKUP(T$2,行为概览!$D$3:$L$33,9,0)*IF(玩法行为规划!S27&gt;0,1,0))</f>
        <v>0</v>
      </c>
      <c r="U27" s="7">
        <f>IF(VLOOKUP(U$2,行为概览!$D$3:$L$33,9,0)="","",VLOOKUP(U$2,行为概览!$D$3:$L$33,9,0)*IF(玩法行为规划!T27&gt;0,1,0))</f>
        <v>0</v>
      </c>
      <c r="V27" s="7">
        <f>IF(VLOOKUP(V$2,行为概览!$D$3:$L$33,9,0)="","",VLOOKUP(V$2,行为概览!$D$3:$L$33,9,0)*IF(玩法行为规划!U27&gt;0,1,0))</f>
        <v>1.5</v>
      </c>
      <c r="W27" s="7">
        <f>IF(VLOOKUP(W$2,行为概览!$D$3:$L$33,9,0)="","",VLOOKUP(W$2,行为概览!$D$3:$L$33,9,0)*IF(玩法行为规划!V27&gt;0,1,0))</f>
        <v>0</v>
      </c>
      <c r="X27" s="7">
        <f>IF(VLOOKUP(X$2,行为概览!$D$3:$L$33,9,0)="","",VLOOKUP(X$2,行为概览!$D$3:$L$33,9,0)*IF(玩法行为规划!W27&gt;0,1,0))</f>
        <v>0</v>
      </c>
      <c r="Y27" s="7">
        <f>IF(VLOOKUP(Y$2,行为概览!$D$3:$L$33,9,0)="","",VLOOKUP(Y$2,行为概览!$D$3:$L$33,9,0)*IF(玩法行为规划!X27&gt;0,1,0))</f>
        <v>0</v>
      </c>
      <c r="Z27" s="7">
        <f>IF(VLOOKUP(Z$2,行为概览!$D$3:$L$33,9,0)="","",VLOOKUP(Z$2,行为概览!$D$3:$L$33,9,0)*IF(玩法行为规划!Y27&gt;0,1,0))</f>
        <v>0</v>
      </c>
      <c r="AA27" s="7">
        <f>IF(VLOOKUP(AA$2,行为概览!$D$3:$L$33,9,0)="","",VLOOKUP(AA$2,行为概览!$D$3:$L$33,9,0)*IF(玩法行为规划!Z27&gt;0,1,0))</f>
        <v>0</v>
      </c>
      <c r="AB27" s="7" t="str">
        <f>IF(VLOOKUP(AB$2,行为概览!$D$3:$L$33,9,0)="","",VLOOKUP(AB$2,行为概览!$D$3:$L$33,9,0)*IF(玩法行为规划!AA27&gt;0,1,0))</f>
        <v/>
      </c>
      <c r="AC27" s="7" t="str">
        <f>IF(VLOOKUP(AC$2,行为概览!$D$3:$L$33,9,0)="","",VLOOKUP(AC$2,行为概览!$D$3:$L$33,9,0)*IF(玩法行为规划!AB27&gt;0,1,0))</f>
        <v/>
      </c>
      <c r="AD27" s="7" t="str">
        <f>IF(VLOOKUP(AD$2,行为概览!$D$3:$L$33,9,0)="","",VLOOKUP(AD$2,行为概览!$D$3:$L$33,9,0)*玩法行为规划!AC27)</f>
        <v/>
      </c>
      <c r="AE27" s="7" t="str">
        <f>IF(VLOOKUP(AE$2,行为概览!$D$3:$L$33,9,0)="","",VLOOKUP(AE$2,行为概览!$D$3:$L$33,9,0)*玩法行为规划!AD27)</f>
        <v/>
      </c>
      <c r="AF27" s="7">
        <f t="shared" si="0"/>
        <v>14.15</v>
      </c>
      <c r="AG27" s="10">
        <f t="shared" si="1"/>
        <v>353750</v>
      </c>
      <c r="AH27" s="7">
        <f>ROUND(AG27*升级节奏!G27,0)</f>
        <v>0</v>
      </c>
      <c r="AI27" s="7">
        <f t="shared" si="2"/>
        <v>25000</v>
      </c>
      <c r="AJ27" s="21" t="str">
        <f t="shared" si="9"/>
        <v/>
      </c>
      <c r="AK27" s="7">
        <f t="shared" si="3"/>
        <v>1</v>
      </c>
      <c r="AL27" s="7">
        <f t="shared" si="4"/>
        <v>25000</v>
      </c>
      <c r="AM27" s="7">
        <f>SUM($AL$3:AL27)</f>
        <v>325000</v>
      </c>
      <c r="AN27" s="166">
        <f t="shared" si="5"/>
        <v>5000</v>
      </c>
      <c r="AO27" s="7">
        <f>SUM($AN$3:AN27)*7</f>
        <v>455000</v>
      </c>
      <c r="AP27" s="69">
        <f t="shared" si="6"/>
        <v>-137500</v>
      </c>
      <c r="AQ27" s="160">
        <f t="shared" si="7"/>
        <v>5000</v>
      </c>
      <c r="AR27" s="160">
        <f t="shared" si="8"/>
        <v>2500</v>
      </c>
    </row>
    <row r="28" spans="1:44">
      <c r="A28" s="32">
        <v>26</v>
      </c>
      <c r="B28" s="81">
        <f>升级节奏!E28</f>
        <v>26000</v>
      </c>
      <c r="C28" s="7">
        <f>IF(VLOOKUP(C$2,行为概览!$D$3:$L$33,9,0)="","",VLOOKUP(C$2,行为概览!$D$3:$L$33,9,0)*IF(玩法行为规划!B28&gt;0,1,0))</f>
        <v>4</v>
      </c>
      <c r="D28" s="7">
        <f>IF(VLOOKUP(D$2,行为概览!$D$3:$L$33,9,0)="","",VLOOKUP(D$2,行为概览!$D$3:$L$33,9,0)*IF(玩法行为规划!C28&gt;0,1,0))</f>
        <v>1.65</v>
      </c>
      <c r="E28" s="7">
        <f>IF(VLOOKUP(E$2,行为概览!$D$3:$L$33,9,0)="","",VLOOKUP(E$2,行为概览!$D$3:$L$33,9,0)*IF(玩法行为规划!D28&gt;0,1,0))</f>
        <v>0.5</v>
      </c>
      <c r="F28" s="7">
        <f>IF(VLOOKUP(F$2,行为概览!$D$3:$L$33,9,0)="","",VLOOKUP(F$2,行为概览!$D$3:$L$33,9,0)*IF(玩法行为规划!E28&gt;0,1,0))</f>
        <v>0</v>
      </c>
      <c r="G28" s="7" t="str">
        <f>IF(VLOOKUP(G$2,行为概览!$D$3:$L$33,9,0)="","",VLOOKUP(G$2,行为概览!$D$3:$L$33,9,0)*IF(玩法行为规划!F28&gt;0,1,0))</f>
        <v/>
      </c>
      <c r="H28" s="7" t="str">
        <f>IF(VLOOKUP(H$2,行为概览!$D$3:$L$33,9,0)="","",VLOOKUP(H$2,行为概览!$D$3:$L$33,9,0)*IF(玩法行为规划!G28&gt;0,1,0))</f>
        <v/>
      </c>
      <c r="I28" s="7" t="str">
        <f>IF(VLOOKUP(I$2,行为概览!$D$3:$L$33,9,0)="","",VLOOKUP(I$2,行为概览!$D$3:$L$33,9,0)*IF(玩法行为规划!H28&gt;0,1,0))</f>
        <v/>
      </c>
      <c r="J28" s="7" t="str">
        <f>IF(VLOOKUP(J$2,行为概览!$D$3:$L$33,9,0)="","",VLOOKUP(J$2,行为概览!$D$3:$L$33,9,0)*IF(玩法行为规划!I28&gt;0,1,0))</f>
        <v/>
      </c>
      <c r="K28" s="7">
        <f>IF(VLOOKUP(K$2,行为概览!$D$3:$L$33,9,0)="","",VLOOKUP(K$2,行为概览!$D$3:$L$33,9,0)*IF(玩法行为规划!J28&gt;0,1,0))</f>
        <v>0</v>
      </c>
      <c r="L28" s="7">
        <f>IF(VLOOKUP(L$2,行为概览!$D$3:$L$33,9,0)="","",VLOOKUP(L$2,行为概览!$D$3:$L$33,9,0)*IF(玩法行为规划!K28&gt;0,1,0))</f>
        <v>0</v>
      </c>
      <c r="M28" s="7" t="str">
        <f>IF(VLOOKUP(M$2,行为概览!$D$3:$L$33,9,0)="","",VLOOKUP(M$2,行为概览!$D$3:$L$33,9,0)*IF(玩法行为规划!L28&gt;0,1,0))</f>
        <v/>
      </c>
      <c r="N28" s="7" t="str">
        <f>IF(VLOOKUP(N$2,行为概览!$D$3:$L$33,9,0)="","",VLOOKUP(N$2,行为概览!$D$3:$L$33,9,0)*IF(玩法行为规划!M28&gt;0,1,0))</f>
        <v/>
      </c>
      <c r="O28" s="7" t="str">
        <f>IF(VLOOKUP(O$2,行为概览!$D$3:$L$33,9,0)="","",VLOOKUP(O$2,行为概览!$D$3:$L$33,9,0)*IF(玩法行为规划!N28&gt;0,1,0))</f>
        <v/>
      </c>
      <c r="P28" s="7">
        <f>IF(VLOOKUP(P$2,行为概览!$D$3:$L$33,9,0)="","",VLOOKUP(P$2,行为概览!$D$3:$L$33,9,0)*IF(玩法行为规划!O28&gt;0,1,0))</f>
        <v>0.5</v>
      </c>
      <c r="Q28" s="7">
        <f>IF(VLOOKUP(Q$2,行为概览!$D$3:$L$33,9,0)="","",VLOOKUP(Q$2,行为概览!$D$3:$L$33,9,0)*IF(玩法行为规划!P28&gt;0,1,0))</f>
        <v>5</v>
      </c>
      <c r="R28" s="7" t="str">
        <f>IF(VLOOKUP(R$2,行为概览!$D$3:$L$33,9,0)="","",VLOOKUP(R$2,行为概览!$D$3:$L$33,9,0)*IF(玩法行为规划!Q28&gt;0,1,0))</f>
        <v/>
      </c>
      <c r="S28" s="7">
        <f>IF(VLOOKUP(S$2,行为概览!$D$3:$L$33,9,0)="","",VLOOKUP(S$2,行为概览!$D$3:$L$33,9,0)*IF(玩法行为规划!R28&gt;0,1,0))</f>
        <v>1</v>
      </c>
      <c r="T28" s="7">
        <f>IF(VLOOKUP(T$2,行为概览!$D$3:$L$33,9,0)="","",VLOOKUP(T$2,行为概览!$D$3:$L$33,9,0)*IF(玩法行为规划!S28&gt;0,1,0))</f>
        <v>0</v>
      </c>
      <c r="U28" s="7">
        <f>IF(VLOOKUP(U$2,行为概览!$D$3:$L$33,9,0)="","",VLOOKUP(U$2,行为概览!$D$3:$L$33,9,0)*IF(玩法行为规划!T28&gt;0,1,0))</f>
        <v>0</v>
      </c>
      <c r="V28" s="7">
        <f>IF(VLOOKUP(V$2,行为概览!$D$3:$L$33,9,0)="","",VLOOKUP(V$2,行为概览!$D$3:$L$33,9,0)*IF(玩法行为规划!U28&gt;0,1,0))</f>
        <v>1.5</v>
      </c>
      <c r="W28" s="7">
        <f>IF(VLOOKUP(W$2,行为概览!$D$3:$L$33,9,0)="","",VLOOKUP(W$2,行为概览!$D$3:$L$33,9,0)*IF(玩法行为规划!V28&gt;0,1,0))</f>
        <v>0</v>
      </c>
      <c r="X28" s="7">
        <f>IF(VLOOKUP(X$2,行为概览!$D$3:$L$33,9,0)="","",VLOOKUP(X$2,行为概览!$D$3:$L$33,9,0)*IF(玩法行为规划!W28&gt;0,1,0))</f>
        <v>0</v>
      </c>
      <c r="Y28" s="7">
        <f>IF(VLOOKUP(Y$2,行为概览!$D$3:$L$33,9,0)="","",VLOOKUP(Y$2,行为概览!$D$3:$L$33,9,0)*IF(玩法行为规划!X28&gt;0,1,0))</f>
        <v>0</v>
      </c>
      <c r="Z28" s="7">
        <f>IF(VLOOKUP(Z$2,行为概览!$D$3:$L$33,9,0)="","",VLOOKUP(Z$2,行为概览!$D$3:$L$33,9,0)*IF(玩法行为规划!Y28&gt;0,1,0))</f>
        <v>0</v>
      </c>
      <c r="AA28" s="7">
        <f>IF(VLOOKUP(AA$2,行为概览!$D$3:$L$33,9,0)="","",VLOOKUP(AA$2,行为概览!$D$3:$L$33,9,0)*IF(玩法行为规划!Z28&gt;0,1,0))</f>
        <v>0</v>
      </c>
      <c r="AB28" s="7" t="str">
        <f>IF(VLOOKUP(AB$2,行为概览!$D$3:$L$33,9,0)="","",VLOOKUP(AB$2,行为概览!$D$3:$L$33,9,0)*IF(玩法行为规划!AA28&gt;0,1,0))</f>
        <v/>
      </c>
      <c r="AC28" s="7" t="str">
        <f>IF(VLOOKUP(AC$2,行为概览!$D$3:$L$33,9,0)="","",VLOOKUP(AC$2,行为概览!$D$3:$L$33,9,0)*IF(玩法行为规划!AB28&gt;0,1,0))</f>
        <v/>
      </c>
      <c r="AD28" s="7" t="str">
        <f>IF(VLOOKUP(AD$2,行为概览!$D$3:$L$33,9,0)="","",VLOOKUP(AD$2,行为概览!$D$3:$L$33,9,0)*玩法行为规划!AC28)</f>
        <v/>
      </c>
      <c r="AE28" s="7" t="str">
        <f>IF(VLOOKUP(AE$2,行为概览!$D$3:$L$33,9,0)="","",VLOOKUP(AE$2,行为概览!$D$3:$L$33,9,0)*玩法行为规划!AD28)</f>
        <v/>
      </c>
      <c r="AF28" s="7">
        <f t="shared" si="0"/>
        <v>14.15</v>
      </c>
      <c r="AG28" s="10">
        <f t="shared" si="1"/>
        <v>367900</v>
      </c>
      <c r="AH28" s="7">
        <f>ROUND(AG28*升级节奏!G28,0)</f>
        <v>0</v>
      </c>
      <c r="AI28" s="7">
        <f t="shared" si="2"/>
        <v>26000</v>
      </c>
      <c r="AJ28" s="21" t="str">
        <f t="shared" si="9"/>
        <v/>
      </c>
      <c r="AK28" s="7">
        <f t="shared" si="3"/>
        <v>1</v>
      </c>
      <c r="AL28" s="7">
        <f t="shared" si="4"/>
        <v>26000</v>
      </c>
      <c r="AM28" s="7">
        <f>SUM($AL$3:AL28)</f>
        <v>351000</v>
      </c>
      <c r="AN28" s="166">
        <f t="shared" si="5"/>
        <v>5200</v>
      </c>
      <c r="AO28" s="7">
        <f>SUM($AN$3:AN28)*7</f>
        <v>491400</v>
      </c>
      <c r="AP28" s="69">
        <f t="shared" si="6"/>
        <v>-148200</v>
      </c>
      <c r="AQ28" s="160">
        <f t="shared" si="7"/>
        <v>5200</v>
      </c>
      <c r="AR28" s="160">
        <f t="shared" si="8"/>
        <v>2600</v>
      </c>
    </row>
    <row r="29" spans="1:44">
      <c r="A29" s="32">
        <v>27</v>
      </c>
      <c r="B29" s="81">
        <f>升级节奏!E29</f>
        <v>27000</v>
      </c>
      <c r="C29" s="7">
        <f>IF(VLOOKUP(C$2,行为概览!$D$3:$L$33,9,0)="","",VLOOKUP(C$2,行为概览!$D$3:$L$33,9,0)*IF(玩法行为规划!B29&gt;0,1,0))</f>
        <v>4</v>
      </c>
      <c r="D29" s="7">
        <f>IF(VLOOKUP(D$2,行为概览!$D$3:$L$33,9,0)="","",VLOOKUP(D$2,行为概览!$D$3:$L$33,9,0)*IF(玩法行为规划!C29&gt;0,1,0))</f>
        <v>1.65</v>
      </c>
      <c r="E29" s="7">
        <f>IF(VLOOKUP(E$2,行为概览!$D$3:$L$33,9,0)="","",VLOOKUP(E$2,行为概览!$D$3:$L$33,9,0)*IF(玩法行为规划!D29&gt;0,1,0))</f>
        <v>0.5</v>
      </c>
      <c r="F29" s="7">
        <f>IF(VLOOKUP(F$2,行为概览!$D$3:$L$33,9,0)="","",VLOOKUP(F$2,行为概览!$D$3:$L$33,9,0)*IF(玩法行为规划!E29&gt;0,1,0))</f>
        <v>0</v>
      </c>
      <c r="G29" s="7" t="str">
        <f>IF(VLOOKUP(G$2,行为概览!$D$3:$L$33,9,0)="","",VLOOKUP(G$2,行为概览!$D$3:$L$33,9,0)*IF(玩法行为规划!F29&gt;0,1,0))</f>
        <v/>
      </c>
      <c r="H29" s="7" t="str">
        <f>IF(VLOOKUP(H$2,行为概览!$D$3:$L$33,9,0)="","",VLOOKUP(H$2,行为概览!$D$3:$L$33,9,0)*IF(玩法行为规划!G29&gt;0,1,0))</f>
        <v/>
      </c>
      <c r="I29" s="7" t="str">
        <f>IF(VLOOKUP(I$2,行为概览!$D$3:$L$33,9,0)="","",VLOOKUP(I$2,行为概览!$D$3:$L$33,9,0)*IF(玩法行为规划!H29&gt;0,1,0))</f>
        <v/>
      </c>
      <c r="J29" s="7" t="str">
        <f>IF(VLOOKUP(J$2,行为概览!$D$3:$L$33,9,0)="","",VLOOKUP(J$2,行为概览!$D$3:$L$33,9,0)*IF(玩法行为规划!I29&gt;0,1,0))</f>
        <v/>
      </c>
      <c r="K29" s="7">
        <f>IF(VLOOKUP(K$2,行为概览!$D$3:$L$33,9,0)="","",VLOOKUP(K$2,行为概览!$D$3:$L$33,9,0)*IF(玩法行为规划!J29&gt;0,1,0))</f>
        <v>0</v>
      </c>
      <c r="L29" s="7">
        <f>IF(VLOOKUP(L$2,行为概览!$D$3:$L$33,9,0)="","",VLOOKUP(L$2,行为概览!$D$3:$L$33,9,0)*IF(玩法行为规划!K29&gt;0,1,0))</f>
        <v>0</v>
      </c>
      <c r="M29" s="7" t="str">
        <f>IF(VLOOKUP(M$2,行为概览!$D$3:$L$33,9,0)="","",VLOOKUP(M$2,行为概览!$D$3:$L$33,9,0)*IF(玩法行为规划!L29&gt;0,1,0))</f>
        <v/>
      </c>
      <c r="N29" s="7" t="str">
        <f>IF(VLOOKUP(N$2,行为概览!$D$3:$L$33,9,0)="","",VLOOKUP(N$2,行为概览!$D$3:$L$33,9,0)*IF(玩法行为规划!M29&gt;0,1,0))</f>
        <v/>
      </c>
      <c r="O29" s="7" t="str">
        <f>IF(VLOOKUP(O$2,行为概览!$D$3:$L$33,9,0)="","",VLOOKUP(O$2,行为概览!$D$3:$L$33,9,0)*IF(玩法行为规划!N29&gt;0,1,0))</f>
        <v/>
      </c>
      <c r="P29" s="7">
        <f>IF(VLOOKUP(P$2,行为概览!$D$3:$L$33,9,0)="","",VLOOKUP(P$2,行为概览!$D$3:$L$33,9,0)*IF(玩法行为规划!O29&gt;0,1,0))</f>
        <v>0.5</v>
      </c>
      <c r="Q29" s="7">
        <f>IF(VLOOKUP(Q$2,行为概览!$D$3:$L$33,9,0)="","",VLOOKUP(Q$2,行为概览!$D$3:$L$33,9,0)*IF(玩法行为规划!P29&gt;0,1,0))</f>
        <v>5</v>
      </c>
      <c r="R29" s="7" t="str">
        <f>IF(VLOOKUP(R$2,行为概览!$D$3:$L$33,9,0)="","",VLOOKUP(R$2,行为概览!$D$3:$L$33,9,0)*IF(玩法行为规划!Q29&gt;0,1,0))</f>
        <v/>
      </c>
      <c r="S29" s="7">
        <f>IF(VLOOKUP(S$2,行为概览!$D$3:$L$33,9,0)="","",VLOOKUP(S$2,行为概览!$D$3:$L$33,9,0)*IF(玩法行为规划!R29&gt;0,1,0))</f>
        <v>1</v>
      </c>
      <c r="T29" s="7">
        <f>IF(VLOOKUP(T$2,行为概览!$D$3:$L$33,9,0)="","",VLOOKUP(T$2,行为概览!$D$3:$L$33,9,0)*IF(玩法行为规划!S29&gt;0,1,0))</f>
        <v>0</v>
      </c>
      <c r="U29" s="7">
        <f>IF(VLOOKUP(U$2,行为概览!$D$3:$L$33,9,0)="","",VLOOKUP(U$2,行为概览!$D$3:$L$33,9,0)*IF(玩法行为规划!T29&gt;0,1,0))</f>
        <v>0</v>
      </c>
      <c r="V29" s="7">
        <f>IF(VLOOKUP(V$2,行为概览!$D$3:$L$33,9,0)="","",VLOOKUP(V$2,行为概览!$D$3:$L$33,9,0)*IF(玩法行为规划!U29&gt;0,1,0))</f>
        <v>1.5</v>
      </c>
      <c r="W29" s="7">
        <f>IF(VLOOKUP(W$2,行为概览!$D$3:$L$33,9,0)="","",VLOOKUP(W$2,行为概览!$D$3:$L$33,9,0)*IF(玩法行为规划!V29&gt;0,1,0))</f>
        <v>0</v>
      </c>
      <c r="X29" s="7">
        <f>IF(VLOOKUP(X$2,行为概览!$D$3:$L$33,9,0)="","",VLOOKUP(X$2,行为概览!$D$3:$L$33,9,0)*IF(玩法行为规划!W29&gt;0,1,0))</f>
        <v>0</v>
      </c>
      <c r="Y29" s="7">
        <f>IF(VLOOKUP(Y$2,行为概览!$D$3:$L$33,9,0)="","",VLOOKUP(Y$2,行为概览!$D$3:$L$33,9,0)*IF(玩法行为规划!X29&gt;0,1,0))</f>
        <v>0</v>
      </c>
      <c r="Z29" s="7">
        <f>IF(VLOOKUP(Z$2,行为概览!$D$3:$L$33,9,0)="","",VLOOKUP(Z$2,行为概览!$D$3:$L$33,9,0)*IF(玩法行为规划!Y29&gt;0,1,0))</f>
        <v>0</v>
      </c>
      <c r="AA29" s="7">
        <f>IF(VLOOKUP(AA$2,行为概览!$D$3:$L$33,9,0)="","",VLOOKUP(AA$2,行为概览!$D$3:$L$33,9,0)*IF(玩法行为规划!Z29&gt;0,1,0))</f>
        <v>0</v>
      </c>
      <c r="AB29" s="7" t="str">
        <f>IF(VLOOKUP(AB$2,行为概览!$D$3:$L$33,9,0)="","",VLOOKUP(AB$2,行为概览!$D$3:$L$33,9,0)*IF(玩法行为规划!AA29&gt;0,1,0))</f>
        <v/>
      </c>
      <c r="AC29" s="7" t="str">
        <f>IF(VLOOKUP(AC$2,行为概览!$D$3:$L$33,9,0)="","",VLOOKUP(AC$2,行为概览!$D$3:$L$33,9,0)*IF(玩法行为规划!AB29&gt;0,1,0))</f>
        <v/>
      </c>
      <c r="AD29" s="7" t="str">
        <f>IF(VLOOKUP(AD$2,行为概览!$D$3:$L$33,9,0)="","",VLOOKUP(AD$2,行为概览!$D$3:$L$33,9,0)*玩法行为规划!AC29)</f>
        <v/>
      </c>
      <c r="AE29" s="7" t="str">
        <f>IF(VLOOKUP(AE$2,行为概览!$D$3:$L$33,9,0)="","",VLOOKUP(AE$2,行为概览!$D$3:$L$33,9,0)*玩法行为规划!AD29)</f>
        <v/>
      </c>
      <c r="AF29" s="7">
        <f t="shared" si="0"/>
        <v>14.15</v>
      </c>
      <c r="AG29" s="10">
        <f t="shared" si="1"/>
        <v>382050</v>
      </c>
      <c r="AH29" s="7">
        <f>ROUND(AG29*升级节奏!G29,0)</f>
        <v>5279</v>
      </c>
      <c r="AI29" s="7">
        <f t="shared" si="2"/>
        <v>27000</v>
      </c>
      <c r="AJ29" s="21" t="str">
        <f t="shared" si="9"/>
        <v/>
      </c>
      <c r="AK29" s="7">
        <f t="shared" si="3"/>
        <v>0.8364571393165835</v>
      </c>
      <c r="AL29" s="7">
        <f t="shared" si="4"/>
        <v>32279</v>
      </c>
      <c r="AM29" s="7">
        <f>SUM($AL$3:AL29)</f>
        <v>383279</v>
      </c>
      <c r="AN29" s="166">
        <f t="shared" si="5"/>
        <v>5600</v>
      </c>
      <c r="AO29" s="7">
        <f>SUM($AN$3:AN29)*7</f>
        <v>530600</v>
      </c>
      <c r="AP29" s="69">
        <f t="shared" si="6"/>
        <v>-156221</v>
      </c>
      <c r="AQ29" s="160">
        <f t="shared" si="7"/>
        <v>5900</v>
      </c>
      <c r="AR29" s="160">
        <f t="shared" si="8"/>
        <v>3000</v>
      </c>
    </row>
    <row r="30" spans="1:44">
      <c r="A30" s="32">
        <v>28</v>
      </c>
      <c r="B30" s="81">
        <f>升级节奏!E30</f>
        <v>28000</v>
      </c>
      <c r="C30" s="7">
        <f>IF(VLOOKUP(C$2,行为概览!$D$3:$L$33,9,0)="","",VLOOKUP(C$2,行为概览!$D$3:$L$33,9,0)*IF(玩法行为规划!B30&gt;0,1,0))</f>
        <v>4</v>
      </c>
      <c r="D30" s="7">
        <f>IF(VLOOKUP(D$2,行为概览!$D$3:$L$33,9,0)="","",VLOOKUP(D$2,行为概览!$D$3:$L$33,9,0)*IF(玩法行为规划!C30&gt;0,1,0))</f>
        <v>1.65</v>
      </c>
      <c r="E30" s="7">
        <f>IF(VLOOKUP(E$2,行为概览!$D$3:$L$33,9,0)="","",VLOOKUP(E$2,行为概览!$D$3:$L$33,9,0)*IF(玩法行为规划!D30&gt;0,1,0))</f>
        <v>0.5</v>
      </c>
      <c r="F30" s="7">
        <f>IF(VLOOKUP(F$2,行为概览!$D$3:$L$33,9,0)="","",VLOOKUP(F$2,行为概览!$D$3:$L$33,9,0)*IF(玩法行为规划!E30&gt;0,1,0))</f>
        <v>0</v>
      </c>
      <c r="G30" s="7" t="str">
        <f>IF(VLOOKUP(G$2,行为概览!$D$3:$L$33,9,0)="","",VLOOKUP(G$2,行为概览!$D$3:$L$33,9,0)*IF(玩法行为规划!F30&gt;0,1,0))</f>
        <v/>
      </c>
      <c r="H30" s="7" t="str">
        <f>IF(VLOOKUP(H$2,行为概览!$D$3:$L$33,9,0)="","",VLOOKUP(H$2,行为概览!$D$3:$L$33,9,0)*IF(玩法行为规划!G30&gt;0,1,0))</f>
        <v/>
      </c>
      <c r="I30" s="7" t="str">
        <f>IF(VLOOKUP(I$2,行为概览!$D$3:$L$33,9,0)="","",VLOOKUP(I$2,行为概览!$D$3:$L$33,9,0)*IF(玩法行为规划!H30&gt;0,1,0))</f>
        <v/>
      </c>
      <c r="J30" s="7" t="str">
        <f>IF(VLOOKUP(J$2,行为概览!$D$3:$L$33,9,0)="","",VLOOKUP(J$2,行为概览!$D$3:$L$33,9,0)*IF(玩法行为规划!I30&gt;0,1,0))</f>
        <v/>
      </c>
      <c r="K30" s="7">
        <f>IF(VLOOKUP(K$2,行为概览!$D$3:$L$33,9,0)="","",VLOOKUP(K$2,行为概览!$D$3:$L$33,9,0)*IF(玩法行为规划!J30&gt;0,1,0))</f>
        <v>0</v>
      </c>
      <c r="L30" s="7">
        <f>IF(VLOOKUP(L$2,行为概览!$D$3:$L$33,9,0)="","",VLOOKUP(L$2,行为概览!$D$3:$L$33,9,0)*IF(玩法行为规划!K30&gt;0,1,0))</f>
        <v>0</v>
      </c>
      <c r="M30" s="7" t="str">
        <f>IF(VLOOKUP(M$2,行为概览!$D$3:$L$33,9,0)="","",VLOOKUP(M$2,行为概览!$D$3:$L$33,9,0)*IF(玩法行为规划!L30&gt;0,1,0))</f>
        <v/>
      </c>
      <c r="N30" s="7" t="str">
        <f>IF(VLOOKUP(N$2,行为概览!$D$3:$L$33,9,0)="","",VLOOKUP(N$2,行为概览!$D$3:$L$33,9,0)*IF(玩法行为规划!M30&gt;0,1,0))</f>
        <v/>
      </c>
      <c r="O30" s="7" t="str">
        <f>IF(VLOOKUP(O$2,行为概览!$D$3:$L$33,9,0)="","",VLOOKUP(O$2,行为概览!$D$3:$L$33,9,0)*IF(玩法行为规划!N30&gt;0,1,0))</f>
        <v/>
      </c>
      <c r="P30" s="7">
        <f>IF(VLOOKUP(P$2,行为概览!$D$3:$L$33,9,0)="","",VLOOKUP(P$2,行为概览!$D$3:$L$33,9,0)*IF(玩法行为规划!O30&gt;0,1,0))</f>
        <v>0.5</v>
      </c>
      <c r="Q30" s="7">
        <f>IF(VLOOKUP(Q$2,行为概览!$D$3:$L$33,9,0)="","",VLOOKUP(Q$2,行为概览!$D$3:$L$33,9,0)*IF(玩法行为规划!P30&gt;0,1,0))</f>
        <v>5</v>
      </c>
      <c r="R30" s="7" t="str">
        <f>IF(VLOOKUP(R$2,行为概览!$D$3:$L$33,9,0)="","",VLOOKUP(R$2,行为概览!$D$3:$L$33,9,0)*IF(玩法行为规划!Q30&gt;0,1,0))</f>
        <v/>
      </c>
      <c r="S30" s="7">
        <f>IF(VLOOKUP(S$2,行为概览!$D$3:$L$33,9,0)="","",VLOOKUP(S$2,行为概览!$D$3:$L$33,9,0)*IF(玩法行为规划!R30&gt;0,1,0))</f>
        <v>1</v>
      </c>
      <c r="T30" s="7">
        <f>IF(VLOOKUP(T$2,行为概览!$D$3:$L$33,9,0)="","",VLOOKUP(T$2,行为概览!$D$3:$L$33,9,0)*IF(玩法行为规划!S30&gt;0,1,0))</f>
        <v>0</v>
      </c>
      <c r="U30" s="7">
        <f>IF(VLOOKUP(U$2,行为概览!$D$3:$L$33,9,0)="","",VLOOKUP(U$2,行为概览!$D$3:$L$33,9,0)*IF(玩法行为规划!T30&gt;0,1,0))</f>
        <v>0</v>
      </c>
      <c r="V30" s="7">
        <f>IF(VLOOKUP(V$2,行为概览!$D$3:$L$33,9,0)="","",VLOOKUP(V$2,行为概览!$D$3:$L$33,9,0)*IF(玩法行为规划!U30&gt;0,1,0))</f>
        <v>1.5</v>
      </c>
      <c r="W30" s="7">
        <f>IF(VLOOKUP(W$2,行为概览!$D$3:$L$33,9,0)="","",VLOOKUP(W$2,行为概览!$D$3:$L$33,9,0)*IF(玩法行为规划!V30&gt;0,1,0))</f>
        <v>0</v>
      </c>
      <c r="X30" s="7">
        <f>IF(VLOOKUP(X$2,行为概览!$D$3:$L$33,9,0)="","",VLOOKUP(X$2,行为概览!$D$3:$L$33,9,0)*IF(玩法行为规划!W30&gt;0,1,0))</f>
        <v>0</v>
      </c>
      <c r="Y30" s="7">
        <f>IF(VLOOKUP(Y$2,行为概览!$D$3:$L$33,9,0)="","",VLOOKUP(Y$2,行为概览!$D$3:$L$33,9,0)*IF(玩法行为规划!X30&gt;0,1,0))</f>
        <v>0</v>
      </c>
      <c r="Z30" s="7">
        <f>IF(VLOOKUP(Z$2,行为概览!$D$3:$L$33,9,0)="","",VLOOKUP(Z$2,行为概览!$D$3:$L$33,9,0)*IF(玩法行为规划!Y30&gt;0,1,0))</f>
        <v>0</v>
      </c>
      <c r="AA30" s="7">
        <f>IF(VLOOKUP(AA$2,行为概览!$D$3:$L$33,9,0)="","",VLOOKUP(AA$2,行为概览!$D$3:$L$33,9,0)*IF(玩法行为规划!Z30&gt;0,1,0))</f>
        <v>0</v>
      </c>
      <c r="AB30" s="7" t="str">
        <f>IF(VLOOKUP(AB$2,行为概览!$D$3:$L$33,9,0)="","",VLOOKUP(AB$2,行为概览!$D$3:$L$33,9,0)*IF(玩法行为规划!AA30&gt;0,1,0))</f>
        <v/>
      </c>
      <c r="AC30" s="7" t="str">
        <f>IF(VLOOKUP(AC$2,行为概览!$D$3:$L$33,9,0)="","",VLOOKUP(AC$2,行为概览!$D$3:$L$33,9,0)*IF(玩法行为规划!AB30&gt;0,1,0))</f>
        <v/>
      </c>
      <c r="AD30" s="7" t="str">
        <f>IF(VLOOKUP(AD$2,行为概览!$D$3:$L$33,9,0)="","",VLOOKUP(AD$2,行为概览!$D$3:$L$33,9,0)*玩法行为规划!AC30)</f>
        <v/>
      </c>
      <c r="AE30" s="7" t="str">
        <f>IF(VLOOKUP(AE$2,行为概览!$D$3:$L$33,9,0)="","",VLOOKUP(AE$2,行为概览!$D$3:$L$33,9,0)*玩法行为规划!AD30)</f>
        <v/>
      </c>
      <c r="AF30" s="7">
        <f t="shared" si="0"/>
        <v>14.15</v>
      </c>
      <c r="AG30" s="10">
        <f t="shared" si="1"/>
        <v>396200</v>
      </c>
      <c r="AH30" s="7">
        <f>ROUND(AG30*升级节奏!G30,0)</f>
        <v>11675</v>
      </c>
      <c r="AI30" s="7">
        <f t="shared" si="2"/>
        <v>28000</v>
      </c>
      <c r="AJ30" s="21" t="str">
        <f t="shared" si="9"/>
        <v/>
      </c>
      <c r="AK30" s="7">
        <f t="shared" si="3"/>
        <v>0.70573408947700067</v>
      </c>
      <c r="AL30" s="7">
        <f t="shared" si="4"/>
        <v>39675</v>
      </c>
      <c r="AM30" s="7">
        <f>SUM($AL$3:AL30)</f>
        <v>422954</v>
      </c>
      <c r="AN30" s="166">
        <f t="shared" si="5"/>
        <v>6000</v>
      </c>
      <c r="AO30" s="7">
        <f>SUM($AN$3:AN30)*7</f>
        <v>572600</v>
      </c>
      <c r="AP30" s="69">
        <f t="shared" si="6"/>
        <v>-159846</v>
      </c>
      <c r="AQ30" s="160">
        <f t="shared" si="7"/>
        <v>6800</v>
      </c>
      <c r="AR30" s="160">
        <f t="shared" si="8"/>
        <v>3400</v>
      </c>
    </row>
    <row r="31" spans="1:44">
      <c r="A31" s="32">
        <v>29</v>
      </c>
      <c r="B31" s="81">
        <f>升级节奏!E31</f>
        <v>29000</v>
      </c>
      <c r="C31" s="7">
        <f>IF(VLOOKUP(C$2,行为概览!$D$3:$L$33,9,0)="","",VLOOKUP(C$2,行为概览!$D$3:$L$33,9,0)*IF(玩法行为规划!B31&gt;0,1,0))</f>
        <v>4</v>
      </c>
      <c r="D31" s="7">
        <f>IF(VLOOKUP(D$2,行为概览!$D$3:$L$33,9,0)="","",VLOOKUP(D$2,行为概览!$D$3:$L$33,9,0)*IF(玩法行为规划!C31&gt;0,1,0))</f>
        <v>1.65</v>
      </c>
      <c r="E31" s="7">
        <f>IF(VLOOKUP(E$2,行为概览!$D$3:$L$33,9,0)="","",VLOOKUP(E$2,行为概览!$D$3:$L$33,9,0)*IF(玩法行为规划!D31&gt;0,1,0))</f>
        <v>0.5</v>
      </c>
      <c r="F31" s="7">
        <f>IF(VLOOKUP(F$2,行为概览!$D$3:$L$33,9,0)="","",VLOOKUP(F$2,行为概览!$D$3:$L$33,9,0)*IF(玩法行为规划!E31&gt;0,1,0))</f>
        <v>0</v>
      </c>
      <c r="G31" s="7" t="str">
        <f>IF(VLOOKUP(G$2,行为概览!$D$3:$L$33,9,0)="","",VLOOKUP(G$2,行为概览!$D$3:$L$33,9,0)*IF(玩法行为规划!F31&gt;0,1,0))</f>
        <v/>
      </c>
      <c r="H31" s="7" t="str">
        <f>IF(VLOOKUP(H$2,行为概览!$D$3:$L$33,9,0)="","",VLOOKUP(H$2,行为概览!$D$3:$L$33,9,0)*IF(玩法行为规划!G31&gt;0,1,0))</f>
        <v/>
      </c>
      <c r="I31" s="7" t="str">
        <f>IF(VLOOKUP(I$2,行为概览!$D$3:$L$33,9,0)="","",VLOOKUP(I$2,行为概览!$D$3:$L$33,9,0)*IF(玩法行为规划!H31&gt;0,1,0))</f>
        <v/>
      </c>
      <c r="J31" s="7" t="str">
        <f>IF(VLOOKUP(J$2,行为概览!$D$3:$L$33,9,0)="","",VLOOKUP(J$2,行为概览!$D$3:$L$33,9,0)*IF(玩法行为规划!I31&gt;0,1,0))</f>
        <v/>
      </c>
      <c r="K31" s="7">
        <f>IF(VLOOKUP(K$2,行为概览!$D$3:$L$33,9,0)="","",VLOOKUP(K$2,行为概览!$D$3:$L$33,9,0)*IF(玩法行为规划!J31&gt;0,1,0))</f>
        <v>0</v>
      </c>
      <c r="L31" s="7">
        <f>IF(VLOOKUP(L$2,行为概览!$D$3:$L$33,9,0)="","",VLOOKUP(L$2,行为概览!$D$3:$L$33,9,0)*IF(玩法行为规划!K31&gt;0,1,0))</f>
        <v>0</v>
      </c>
      <c r="M31" s="7" t="str">
        <f>IF(VLOOKUP(M$2,行为概览!$D$3:$L$33,9,0)="","",VLOOKUP(M$2,行为概览!$D$3:$L$33,9,0)*IF(玩法行为规划!L31&gt;0,1,0))</f>
        <v/>
      </c>
      <c r="N31" s="7" t="str">
        <f>IF(VLOOKUP(N$2,行为概览!$D$3:$L$33,9,0)="","",VLOOKUP(N$2,行为概览!$D$3:$L$33,9,0)*IF(玩法行为规划!M31&gt;0,1,0))</f>
        <v/>
      </c>
      <c r="O31" s="7" t="str">
        <f>IF(VLOOKUP(O$2,行为概览!$D$3:$L$33,9,0)="","",VLOOKUP(O$2,行为概览!$D$3:$L$33,9,0)*IF(玩法行为规划!N31&gt;0,1,0))</f>
        <v/>
      </c>
      <c r="P31" s="7">
        <f>IF(VLOOKUP(P$2,行为概览!$D$3:$L$33,9,0)="","",VLOOKUP(P$2,行为概览!$D$3:$L$33,9,0)*IF(玩法行为规划!O31&gt;0,1,0))</f>
        <v>0.5</v>
      </c>
      <c r="Q31" s="7">
        <f>IF(VLOOKUP(Q$2,行为概览!$D$3:$L$33,9,0)="","",VLOOKUP(Q$2,行为概览!$D$3:$L$33,9,0)*IF(玩法行为规划!P31&gt;0,1,0))</f>
        <v>5</v>
      </c>
      <c r="R31" s="7" t="str">
        <f>IF(VLOOKUP(R$2,行为概览!$D$3:$L$33,9,0)="","",VLOOKUP(R$2,行为概览!$D$3:$L$33,9,0)*IF(玩法行为规划!Q31&gt;0,1,0))</f>
        <v/>
      </c>
      <c r="S31" s="7">
        <f>IF(VLOOKUP(S$2,行为概览!$D$3:$L$33,9,0)="","",VLOOKUP(S$2,行为概览!$D$3:$L$33,9,0)*IF(玩法行为规划!R31&gt;0,1,0))</f>
        <v>1</v>
      </c>
      <c r="T31" s="7">
        <f>IF(VLOOKUP(T$2,行为概览!$D$3:$L$33,9,0)="","",VLOOKUP(T$2,行为概览!$D$3:$L$33,9,0)*IF(玩法行为规划!S31&gt;0,1,0))</f>
        <v>0</v>
      </c>
      <c r="U31" s="7">
        <f>IF(VLOOKUP(U$2,行为概览!$D$3:$L$33,9,0)="","",VLOOKUP(U$2,行为概览!$D$3:$L$33,9,0)*IF(玩法行为规划!T31&gt;0,1,0))</f>
        <v>0</v>
      </c>
      <c r="V31" s="7">
        <f>IF(VLOOKUP(V$2,行为概览!$D$3:$L$33,9,0)="","",VLOOKUP(V$2,行为概览!$D$3:$L$33,9,0)*IF(玩法行为规划!U31&gt;0,1,0))</f>
        <v>1.5</v>
      </c>
      <c r="W31" s="7">
        <f>IF(VLOOKUP(W$2,行为概览!$D$3:$L$33,9,0)="","",VLOOKUP(W$2,行为概览!$D$3:$L$33,9,0)*IF(玩法行为规划!V31&gt;0,1,0))</f>
        <v>0</v>
      </c>
      <c r="X31" s="7">
        <f>IF(VLOOKUP(X$2,行为概览!$D$3:$L$33,9,0)="","",VLOOKUP(X$2,行为概览!$D$3:$L$33,9,0)*IF(玩法行为规划!W31&gt;0,1,0))</f>
        <v>0</v>
      </c>
      <c r="Y31" s="7">
        <f>IF(VLOOKUP(Y$2,行为概览!$D$3:$L$33,9,0)="","",VLOOKUP(Y$2,行为概览!$D$3:$L$33,9,0)*IF(玩法行为规划!X31&gt;0,1,0))</f>
        <v>0</v>
      </c>
      <c r="Z31" s="7">
        <f>IF(VLOOKUP(Z$2,行为概览!$D$3:$L$33,9,0)="","",VLOOKUP(Z$2,行为概览!$D$3:$L$33,9,0)*IF(玩法行为规划!Y31&gt;0,1,0))</f>
        <v>0</v>
      </c>
      <c r="AA31" s="7">
        <f>IF(VLOOKUP(AA$2,行为概览!$D$3:$L$33,9,0)="","",VLOOKUP(AA$2,行为概览!$D$3:$L$33,9,0)*IF(玩法行为规划!Z31&gt;0,1,0))</f>
        <v>0</v>
      </c>
      <c r="AB31" s="7" t="str">
        <f>IF(VLOOKUP(AB$2,行为概览!$D$3:$L$33,9,0)="","",VLOOKUP(AB$2,行为概览!$D$3:$L$33,9,0)*IF(玩法行为规划!AA31&gt;0,1,0))</f>
        <v/>
      </c>
      <c r="AC31" s="7" t="str">
        <f>IF(VLOOKUP(AC$2,行为概览!$D$3:$L$33,9,0)="","",VLOOKUP(AC$2,行为概览!$D$3:$L$33,9,0)*IF(玩法行为规划!AB31&gt;0,1,0))</f>
        <v/>
      </c>
      <c r="AD31" s="7" t="str">
        <f>IF(VLOOKUP(AD$2,行为概览!$D$3:$L$33,9,0)="","",VLOOKUP(AD$2,行为概览!$D$3:$L$33,9,0)*玩法行为规划!AC31)</f>
        <v/>
      </c>
      <c r="AE31" s="7" t="str">
        <f>IF(VLOOKUP(AE$2,行为概览!$D$3:$L$33,9,0)="","",VLOOKUP(AE$2,行为概览!$D$3:$L$33,9,0)*玩法行为规划!AD31)</f>
        <v/>
      </c>
      <c r="AF31" s="7">
        <f t="shared" si="0"/>
        <v>14.15</v>
      </c>
      <c r="AG31" s="10">
        <f t="shared" si="1"/>
        <v>410350</v>
      </c>
      <c r="AH31" s="7">
        <f>ROUND(AG31*升级节奏!G31,0)</f>
        <v>19307</v>
      </c>
      <c r="AI31" s="7">
        <f t="shared" si="2"/>
        <v>29000</v>
      </c>
      <c r="AJ31" s="21" t="str">
        <f t="shared" si="9"/>
        <v/>
      </c>
      <c r="AK31" s="7">
        <f t="shared" si="3"/>
        <v>0.60032707475107128</v>
      </c>
      <c r="AL31" s="7">
        <f t="shared" si="4"/>
        <v>48307</v>
      </c>
      <c r="AM31" s="7">
        <f>SUM($AL$3:AL31)</f>
        <v>471261</v>
      </c>
      <c r="AN31" s="166">
        <f t="shared" si="5"/>
        <v>6400</v>
      </c>
      <c r="AO31" s="7">
        <f>SUM($AN$3:AN31)*7</f>
        <v>617400</v>
      </c>
      <c r="AP31" s="69">
        <f t="shared" si="6"/>
        <v>-157739</v>
      </c>
      <c r="AQ31" s="160">
        <f t="shared" si="7"/>
        <v>7700</v>
      </c>
      <c r="AR31" s="160">
        <f t="shared" si="8"/>
        <v>3900</v>
      </c>
    </row>
    <row r="32" spans="1:44">
      <c r="A32" s="32">
        <v>30</v>
      </c>
      <c r="B32" s="81">
        <f>升级节奏!E32</f>
        <v>30000</v>
      </c>
      <c r="C32" s="7">
        <f>IF(VLOOKUP(C$2,行为概览!$D$3:$L$33,9,0)="","",VLOOKUP(C$2,行为概览!$D$3:$L$33,9,0)*IF(玩法行为规划!B32&gt;0,1,0))</f>
        <v>4</v>
      </c>
      <c r="D32" s="7">
        <f>IF(VLOOKUP(D$2,行为概览!$D$3:$L$33,9,0)="","",VLOOKUP(D$2,行为概览!$D$3:$L$33,9,0)*IF(玩法行为规划!C32&gt;0,1,0))</f>
        <v>1.65</v>
      </c>
      <c r="E32" s="7">
        <f>IF(VLOOKUP(E$2,行为概览!$D$3:$L$33,9,0)="","",VLOOKUP(E$2,行为概览!$D$3:$L$33,9,0)*IF(玩法行为规划!D32&gt;0,1,0))</f>
        <v>0.5</v>
      </c>
      <c r="F32" s="7">
        <f>IF(VLOOKUP(F$2,行为概览!$D$3:$L$33,9,0)="","",VLOOKUP(F$2,行为概览!$D$3:$L$33,9,0)*IF(玩法行为规划!E32&gt;0,1,0))</f>
        <v>0</v>
      </c>
      <c r="G32" s="7" t="str">
        <f>IF(VLOOKUP(G$2,行为概览!$D$3:$L$33,9,0)="","",VLOOKUP(G$2,行为概览!$D$3:$L$33,9,0)*IF(玩法行为规划!F32&gt;0,1,0))</f>
        <v/>
      </c>
      <c r="H32" s="7" t="str">
        <f>IF(VLOOKUP(H$2,行为概览!$D$3:$L$33,9,0)="","",VLOOKUP(H$2,行为概览!$D$3:$L$33,9,0)*IF(玩法行为规划!G32&gt;0,1,0))</f>
        <v/>
      </c>
      <c r="I32" s="7" t="str">
        <f>IF(VLOOKUP(I$2,行为概览!$D$3:$L$33,9,0)="","",VLOOKUP(I$2,行为概览!$D$3:$L$33,9,0)*IF(玩法行为规划!H32&gt;0,1,0))</f>
        <v/>
      </c>
      <c r="J32" s="7" t="str">
        <f>IF(VLOOKUP(J$2,行为概览!$D$3:$L$33,9,0)="","",VLOOKUP(J$2,行为概览!$D$3:$L$33,9,0)*IF(玩法行为规划!I32&gt;0,1,0))</f>
        <v/>
      </c>
      <c r="K32" s="7">
        <f>IF(VLOOKUP(K$2,行为概览!$D$3:$L$33,9,0)="","",VLOOKUP(K$2,行为概览!$D$3:$L$33,9,0)*IF(玩法行为规划!J32&gt;0,1,0))</f>
        <v>1</v>
      </c>
      <c r="L32" s="7">
        <f>IF(VLOOKUP(L$2,行为概览!$D$3:$L$33,9,0)="","",VLOOKUP(L$2,行为概览!$D$3:$L$33,9,0)*IF(玩法行为规划!K32&gt;0,1,0))</f>
        <v>0</v>
      </c>
      <c r="M32" s="7" t="str">
        <f>IF(VLOOKUP(M$2,行为概览!$D$3:$L$33,9,0)="","",VLOOKUP(M$2,行为概览!$D$3:$L$33,9,0)*IF(玩法行为规划!L32&gt;0,1,0))</f>
        <v/>
      </c>
      <c r="N32" s="7" t="str">
        <f>IF(VLOOKUP(N$2,行为概览!$D$3:$L$33,9,0)="","",VLOOKUP(N$2,行为概览!$D$3:$L$33,9,0)*IF(玩法行为规划!M32&gt;0,1,0))</f>
        <v/>
      </c>
      <c r="O32" s="7" t="str">
        <f>IF(VLOOKUP(O$2,行为概览!$D$3:$L$33,9,0)="","",VLOOKUP(O$2,行为概览!$D$3:$L$33,9,0)*IF(玩法行为规划!N32&gt;0,1,0))</f>
        <v/>
      </c>
      <c r="P32" s="7">
        <f>IF(VLOOKUP(P$2,行为概览!$D$3:$L$33,9,0)="","",VLOOKUP(P$2,行为概览!$D$3:$L$33,9,0)*IF(玩法行为规划!O32&gt;0,1,0))</f>
        <v>0.5</v>
      </c>
      <c r="Q32" s="7">
        <f>IF(VLOOKUP(Q$2,行为概览!$D$3:$L$33,9,0)="","",VLOOKUP(Q$2,行为概览!$D$3:$L$33,9,0)*IF(玩法行为规划!P32&gt;0,1,0))</f>
        <v>5</v>
      </c>
      <c r="R32" s="7" t="str">
        <f>IF(VLOOKUP(R$2,行为概览!$D$3:$L$33,9,0)="","",VLOOKUP(R$2,行为概览!$D$3:$L$33,9,0)*IF(玩法行为规划!Q32&gt;0,1,0))</f>
        <v/>
      </c>
      <c r="S32" s="7">
        <f>IF(VLOOKUP(S$2,行为概览!$D$3:$L$33,9,0)="","",VLOOKUP(S$2,行为概览!$D$3:$L$33,9,0)*IF(玩法行为规划!R32&gt;0,1,0))</f>
        <v>1</v>
      </c>
      <c r="T32" s="7">
        <f>IF(VLOOKUP(T$2,行为概览!$D$3:$L$33,9,0)="","",VLOOKUP(T$2,行为概览!$D$3:$L$33,9,0)*IF(玩法行为规划!S32&gt;0,1,0))</f>
        <v>0</v>
      </c>
      <c r="U32" s="7">
        <f>IF(VLOOKUP(U$2,行为概览!$D$3:$L$33,9,0)="","",VLOOKUP(U$2,行为概览!$D$3:$L$33,9,0)*IF(玩法行为规划!T32&gt;0,1,0))</f>
        <v>0</v>
      </c>
      <c r="V32" s="7">
        <f>IF(VLOOKUP(V$2,行为概览!$D$3:$L$33,9,0)="","",VLOOKUP(V$2,行为概览!$D$3:$L$33,9,0)*IF(玩法行为规划!U32&gt;0,1,0))</f>
        <v>1.5</v>
      </c>
      <c r="W32" s="7">
        <f>IF(VLOOKUP(W$2,行为概览!$D$3:$L$33,9,0)="","",VLOOKUP(W$2,行为概览!$D$3:$L$33,9,0)*IF(玩法行为规划!V32&gt;0,1,0))</f>
        <v>1</v>
      </c>
      <c r="X32" s="7">
        <f>IF(VLOOKUP(X$2,行为概览!$D$3:$L$33,9,0)="","",VLOOKUP(X$2,行为概览!$D$3:$L$33,9,0)*IF(玩法行为规划!W32&gt;0,1,0))</f>
        <v>1</v>
      </c>
      <c r="Y32" s="7">
        <f>IF(VLOOKUP(Y$2,行为概览!$D$3:$L$33,9,0)="","",VLOOKUP(Y$2,行为概览!$D$3:$L$33,9,0)*IF(玩法行为规划!X32&gt;0,1,0))</f>
        <v>0</v>
      </c>
      <c r="Z32" s="7">
        <f>IF(VLOOKUP(Z$2,行为概览!$D$3:$L$33,9,0)="","",VLOOKUP(Z$2,行为概览!$D$3:$L$33,9,0)*IF(玩法行为规划!Y32&gt;0,1,0))</f>
        <v>0</v>
      </c>
      <c r="AA32" s="7">
        <f>IF(VLOOKUP(AA$2,行为概览!$D$3:$L$33,9,0)="","",VLOOKUP(AA$2,行为概览!$D$3:$L$33,9,0)*IF(玩法行为规划!Z32&gt;0,1,0))</f>
        <v>0</v>
      </c>
      <c r="AB32" s="7" t="str">
        <f>IF(VLOOKUP(AB$2,行为概览!$D$3:$L$33,9,0)="","",VLOOKUP(AB$2,行为概览!$D$3:$L$33,9,0)*IF(玩法行为规划!AA32&gt;0,1,0))</f>
        <v/>
      </c>
      <c r="AC32" s="7" t="str">
        <f>IF(VLOOKUP(AC$2,行为概览!$D$3:$L$33,9,0)="","",VLOOKUP(AC$2,行为概览!$D$3:$L$33,9,0)*IF(玩法行为规划!AB32&gt;0,1,0))</f>
        <v/>
      </c>
      <c r="AD32" s="7" t="str">
        <f>IF(VLOOKUP(AD$2,行为概览!$D$3:$L$33,9,0)="","",VLOOKUP(AD$2,行为概览!$D$3:$L$33,9,0)*玩法行为规划!AC32)</f>
        <v/>
      </c>
      <c r="AE32" s="7" t="str">
        <f>IF(VLOOKUP(AE$2,行为概览!$D$3:$L$33,9,0)="","",VLOOKUP(AE$2,行为概览!$D$3:$L$33,9,0)*玩法行为规划!AD32)</f>
        <v/>
      </c>
      <c r="AF32" s="7">
        <f t="shared" si="0"/>
        <v>17.149999999999999</v>
      </c>
      <c r="AG32" s="10">
        <f t="shared" si="1"/>
        <v>514499.99999999994</v>
      </c>
      <c r="AH32" s="7">
        <f>ROUND(AG32*升级节奏!G32,0)</f>
        <v>34300</v>
      </c>
      <c r="AI32" s="7">
        <f t="shared" si="2"/>
        <v>30000</v>
      </c>
      <c r="AJ32" s="21">
        <f t="shared" si="9"/>
        <v>345000</v>
      </c>
      <c r="AK32" s="7">
        <f t="shared" si="3"/>
        <v>0.46656298600311041</v>
      </c>
      <c r="AL32" s="7">
        <f t="shared" si="4"/>
        <v>64300</v>
      </c>
      <c r="AM32" s="7">
        <f>SUM($AL$3:AL32)</f>
        <v>535561</v>
      </c>
      <c r="AN32" s="166">
        <f t="shared" si="5"/>
        <v>7100</v>
      </c>
      <c r="AO32" s="7">
        <f>SUM($AN$3:AN32)*7</f>
        <v>667100</v>
      </c>
      <c r="AP32" s="69">
        <f t="shared" si="6"/>
        <v>-145639</v>
      </c>
      <c r="AQ32" s="160">
        <f t="shared" si="7"/>
        <v>9400</v>
      </c>
      <c r="AR32" s="160">
        <f t="shared" si="8"/>
        <v>4700</v>
      </c>
    </row>
    <row r="33" spans="1:44">
      <c r="A33" s="32">
        <v>31</v>
      </c>
      <c r="B33" s="81">
        <f>升级节奏!E33</f>
        <v>31000</v>
      </c>
      <c r="C33" s="7">
        <f>IF(VLOOKUP(C$2,行为概览!$D$3:$L$33,9,0)="","",VLOOKUP(C$2,行为概览!$D$3:$L$33,9,0)*IF(玩法行为规划!B33&gt;0,1,0))</f>
        <v>4</v>
      </c>
      <c r="D33" s="7">
        <f>IF(VLOOKUP(D$2,行为概览!$D$3:$L$33,9,0)="","",VLOOKUP(D$2,行为概览!$D$3:$L$33,9,0)*IF(玩法行为规划!C33&gt;0,1,0))</f>
        <v>1.65</v>
      </c>
      <c r="E33" s="7">
        <f>IF(VLOOKUP(E$2,行为概览!$D$3:$L$33,9,0)="","",VLOOKUP(E$2,行为概览!$D$3:$L$33,9,0)*IF(玩法行为规划!D33&gt;0,1,0))</f>
        <v>0.5</v>
      </c>
      <c r="F33" s="7">
        <f>IF(VLOOKUP(F$2,行为概览!$D$3:$L$33,9,0)="","",VLOOKUP(F$2,行为概览!$D$3:$L$33,9,0)*IF(玩法行为规划!E33&gt;0,1,0))</f>
        <v>0</v>
      </c>
      <c r="G33" s="7" t="str">
        <f>IF(VLOOKUP(G$2,行为概览!$D$3:$L$33,9,0)="","",VLOOKUP(G$2,行为概览!$D$3:$L$33,9,0)*IF(玩法行为规划!F33&gt;0,1,0))</f>
        <v/>
      </c>
      <c r="H33" s="7" t="str">
        <f>IF(VLOOKUP(H$2,行为概览!$D$3:$L$33,9,0)="","",VLOOKUP(H$2,行为概览!$D$3:$L$33,9,0)*IF(玩法行为规划!G33&gt;0,1,0))</f>
        <v/>
      </c>
      <c r="I33" s="7" t="str">
        <f>IF(VLOOKUP(I$2,行为概览!$D$3:$L$33,9,0)="","",VLOOKUP(I$2,行为概览!$D$3:$L$33,9,0)*IF(玩法行为规划!H33&gt;0,1,0))</f>
        <v/>
      </c>
      <c r="J33" s="7" t="str">
        <f>IF(VLOOKUP(J$2,行为概览!$D$3:$L$33,9,0)="","",VLOOKUP(J$2,行为概览!$D$3:$L$33,9,0)*IF(玩法行为规划!I33&gt;0,1,0))</f>
        <v/>
      </c>
      <c r="K33" s="7">
        <f>IF(VLOOKUP(K$2,行为概览!$D$3:$L$33,9,0)="","",VLOOKUP(K$2,行为概览!$D$3:$L$33,9,0)*IF(玩法行为规划!J33&gt;0,1,0))</f>
        <v>1</v>
      </c>
      <c r="L33" s="7">
        <f>IF(VLOOKUP(L$2,行为概览!$D$3:$L$33,9,0)="","",VLOOKUP(L$2,行为概览!$D$3:$L$33,9,0)*IF(玩法行为规划!K33&gt;0,1,0))</f>
        <v>0</v>
      </c>
      <c r="M33" s="7" t="str">
        <f>IF(VLOOKUP(M$2,行为概览!$D$3:$L$33,9,0)="","",VLOOKUP(M$2,行为概览!$D$3:$L$33,9,0)*IF(玩法行为规划!L33&gt;0,1,0))</f>
        <v/>
      </c>
      <c r="N33" s="7" t="str">
        <f>IF(VLOOKUP(N$2,行为概览!$D$3:$L$33,9,0)="","",VLOOKUP(N$2,行为概览!$D$3:$L$33,9,0)*IF(玩法行为规划!M33&gt;0,1,0))</f>
        <v/>
      </c>
      <c r="O33" s="7" t="str">
        <f>IF(VLOOKUP(O$2,行为概览!$D$3:$L$33,9,0)="","",VLOOKUP(O$2,行为概览!$D$3:$L$33,9,0)*IF(玩法行为规划!N33&gt;0,1,0))</f>
        <v/>
      </c>
      <c r="P33" s="7">
        <f>IF(VLOOKUP(P$2,行为概览!$D$3:$L$33,9,0)="","",VLOOKUP(P$2,行为概览!$D$3:$L$33,9,0)*IF(玩法行为规划!O33&gt;0,1,0))</f>
        <v>0.5</v>
      </c>
      <c r="Q33" s="7">
        <f>IF(VLOOKUP(Q$2,行为概览!$D$3:$L$33,9,0)="","",VLOOKUP(Q$2,行为概览!$D$3:$L$33,9,0)*IF(玩法行为规划!P33&gt;0,1,0))</f>
        <v>5</v>
      </c>
      <c r="R33" s="7" t="str">
        <f>IF(VLOOKUP(R$2,行为概览!$D$3:$L$33,9,0)="","",VLOOKUP(R$2,行为概览!$D$3:$L$33,9,0)*IF(玩法行为规划!Q33&gt;0,1,0))</f>
        <v/>
      </c>
      <c r="S33" s="7">
        <f>IF(VLOOKUP(S$2,行为概览!$D$3:$L$33,9,0)="","",VLOOKUP(S$2,行为概览!$D$3:$L$33,9,0)*IF(玩法行为规划!R33&gt;0,1,0))</f>
        <v>1</v>
      </c>
      <c r="T33" s="7">
        <f>IF(VLOOKUP(T$2,行为概览!$D$3:$L$33,9,0)="","",VLOOKUP(T$2,行为概览!$D$3:$L$33,9,0)*IF(玩法行为规划!S33&gt;0,1,0))</f>
        <v>0</v>
      </c>
      <c r="U33" s="7">
        <f>IF(VLOOKUP(U$2,行为概览!$D$3:$L$33,9,0)="","",VLOOKUP(U$2,行为概览!$D$3:$L$33,9,0)*IF(玩法行为规划!T33&gt;0,1,0))</f>
        <v>0</v>
      </c>
      <c r="V33" s="7">
        <f>IF(VLOOKUP(V$2,行为概览!$D$3:$L$33,9,0)="","",VLOOKUP(V$2,行为概览!$D$3:$L$33,9,0)*IF(玩法行为规划!U33&gt;0,1,0))</f>
        <v>1.5</v>
      </c>
      <c r="W33" s="7">
        <f>IF(VLOOKUP(W$2,行为概览!$D$3:$L$33,9,0)="","",VLOOKUP(W$2,行为概览!$D$3:$L$33,9,0)*IF(玩法行为规划!V33&gt;0,1,0))</f>
        <v>1</v>
      </c>
      <c r="X33" s="7">
        <f>IF(VLOOKUP(X$2,行为概览!$D$3:$L$33,9,0)="","",VLOOKUP(X$2,行为概览!$D$3:$L$33,9,0)*IF(玩法行为规划!W33&gt;0,1,0))</f>
        <v>1</v>
      </c>
      <c r="Y33" s="7">
        <f>IF(VLOOKUP(Y$2,行为概览!$D$3:$L$33,9,0)="","",VLOOKUP(Y$2,行为概览!$D$3:$L$33,9,0)*IF(玩法行为规划!X33&gt;0,1,0))</f>
        <v>0</v>
      </c>
      <c r="Z33" s="7">
        <f>IF(VLOOKUP(Z$2,行为概览!$D$3:$L$33,9,0)="","",VLOOKUP(Z$2,行为概览!$D$3:$L$33,9,0)*IF(玩法行为规划!Y33&gt;0,1,0))</f>
        <v>0</v>
      </c>
      <c r="AA33" s="7">
        <f>IF(VLOOKUP(AA$2,行为概览!$D$3:$L$33,9,0)="","",VLOOKUP(AA$2,行为概览!$D$3:$L$33,9,0)*IF(玩法行为规划!Z33&gt;0,1,0))</f>
        <v>0</v>
      </c>
      <c r="AB33" s="7" t="str">
        <f>IF(VLOOKUP(AB$2,行为概览!$D$3:$L$33,9,0)="","",VLOOKUP(AB$2,行为概览!$D$3:$L$33,9,0)*IF(玩法行为规划!AA33&gt;0,1,0))</f>
        <v/>
      </c>
      <c r="AC33" s="7" t="str">
        <f>IF(VLOOKUP(AC$2,行为概览!$D$3:$L$33,9,0)="","",VLOOKUP(AC$2,行为概览!$D$3:$L$33,9,0)*IF(玩法行为规划!AB33&gt;0,1,0))</f>
        <v/>
      </c>
      <c r="AD33" s="7" t="str">
        <f>IF(VLOOKUP(AD$2,行为概览!$D$3:$L$33,9,0)="","",VLOOKUP(AD$2,行为概览!$D$3:$L$33,9,0)*玩法行为规划!AC33)</f>
        <v/>
      </c>
      <c r="AE33" s="7" t="str">
        <f>IF(VLOOKUP(AE$2,行为概览!$D$3:$L$33,9,0)="","",VLOOKUP(AE$2,行为概览!$D$3:$L$33,9,0)*玩法行为规划!AD33)</f>
        <v/>
      </c>
      <c r="AF33" s="7">
        <f t="shared" si="0"/>
        <v>17.149999999999999</v>
      </c>
      <c r="AG33" s="10">
        <f t="shared" si="1"/>
        <v>531650</v>
      </c>
      <c r="AH33" s="7">
        <f>ROUND(AG33*升级节奏!G33,0)</f>
        <v>47007</v>
      </c>
      <c r="AI33" s="7">
        <f t="shared" si="2"/>
        <v>31000</v>
      </c>
      <c r="AJ33" s="21" t="str">
        <f t="shared" si="9"/>
        <v/>
      </c>
      <c r="AK33" s="7">
        <f t="shared" si="3"/>
        <v>0.39740023331239505</v>
      </c>
      <c r="AL33" s="7">
        <f t="shared" si="4"/>
        <v>78007</v>
      </c>
      <c r="AM33" s="7">
        <f>SUM($AL$3:AL33)</f>
        <v>613568</v>
      </c>
      <c r="AN33" s="166">
        <f t="shared" si="5"/>
        <v>7800</v>
      </c>
      <c r="AO33" s="7">
        <f>SUM($AN$3:AN33)*7</f>
        <v>721700</v>
      </c>
      <c r="AP33" s="69">
        <f t="shared" si="6"/>
        <v>-124532</v>
      </c>
      <c r="AQ33" s="160">
        <f t="shared" si="7"/>
        <v>10900</v>
      </c>
      <c r="AR33" s="160">
        <f t="shared" si="8"/>
        <v>5500</v>
      </c>
    </row>
    <row r="34" spans="1:44">
      <c r="A34" s="32">
        <v>32</v>
      </c>
      <c r="B34" s="81">
        <f>升级节奏!E34</f>
        <v>32000</v>
      </c>
      <c r="C34" s="7">
        <f>IF(VLOOKUP(C$2,行为概览!$D$3:$L$33,9,0)="","",VLOOKUP(C$2,行为概览!$D$3:$L$33,9,0)*IF(玩法行为规划!B34&gt;0,1,0))</f>
        <v>4</v>
      </c>
      <c r="D34" s="7">
        <f>IF(VLOOKUP(D$2,行为概览!$D$3:$L$33,9,0)="","",VLOOKUP(D$2,行为概览!$D$3:$L$33,9,0)*IF(玩法行为规划!C34&gt;0,1,0))</f>
        <v>1.65</v>
      </c>
      <c r="E34" s="7">
        <f>IF(VLOOKUP(E$2,行为概览!$D$3:$L$33,9,0)="","",VLOOKUP(E$2,行为概览!$D$3:$L$33,9,0)*IF(玩法行为规划!D34&gt;0,1,0))</f>
        <v>0.5</v>
      </c>
      <c r="F34" s="7">
        <f>IF(VLOOKUP(F$2,行为概览!$D$3:$L$33,9,0)="","",VLOOKUP(F$2,行为概览!$D$3:$L$33,9,0)*IF(玩法行为规划!E34&gt;0,1,0))</f>
        <v>0</v>
      </c>
      <c r="G34" s="7" t="str">
        <f>IF(VLOOKUP(G$2,行为概览!$D$3:$L$33,9,0)="","",VLOOKUP(G$2,行为概览!$D$3:$L$33,9,0)*IF(玩法行为规划!F34&gt;0,1,0))</f>
        <v/>
      </c>
      <c r="H34" s="7" t="str">
        <f>IF(VLOOKUP(H$2,行为概览!$D$3:$L$33,9,0)="","",VLOOKUP(H$2,行为概览!$D$3:$L$33,9,0)*IF(玩法行为规划!G34&gt;0,1,0))</f>
        <v/>
      </c>
      <c r="I34" s="7" t="str">
        <f>IF(VLOOKUP(I$2,行为概览!$D$3:$L$33,9,0)="","",VLOOKUP(I$2,行为概览!$D$3:$L$33,9,0)*IF(玩法行为规划!H34&gt;0,1,0))</f>
        <v/>
      </c>
      <c r="J34" s="7" t="str">
        <f>IF(VLOOKUP(J$2,行为概览!$D$3:$L$33,9,0)="","",VLOOKUP(J$2,行为概览!$D$3:$L$33,9,0)*IF(玩法行为规划!I34&gt;0,1,0))</f>
        <v/>
      </c>
      <c r="K34" s="7">
        <f>IF(VLOOKUP(K$2,行为概览!$D$3:$L$33,9,0)="","",VLOOKUP(K$2,行为概览!$D$3:$L$33,9,0)*IF(玩法行为规划!J34&gt;0,1,0))</f>
        <v>1</v>
      </c>
      <c r="L34" s="7">
        <f>IF(VLOOKUP(L$2,行为概览!$D$3:$L$33,9,0)="","",VLOOKUP(L$2,行为概览!$D$3:$L$33,9,0)*IF(玩法行为规划!K34&gt;0,1,0))</f>
        <v>0</v>
      </c>
      <c r="M34" s="7" t="str">
        <f>IF(VLOOKUP(M$2,行为概览!$D$3:$L$33,9,0)="","",VLOOKUP(M$2,行为概览!$D$3:$L$33,9,0)*IF(玩法行为规划!L34&gt;0,1,0))</f>
        <v/>
      </c>
      <c r="N34" s="7" t="str">
        <f>IF(VLOOKUP(N$2,行为概览!$D$3:$L$33,9,0)="","",VLOOKUP(N$2,行为概览!$D$3:$L$33,9,0)*IF(玩法行为规划!M34&gt;0,1,0))</f>
        <v/>
      </c>
      <c r="O34" s="7" t="str">
        <f>IF(VLOOKUP(O$2,行为概览!$D$3:$L$33,9,0)="","",VLOOKUP(O$2,行为概览!$D$3:$L$33,9,0)*IF(玩法行为规划!N34&gt;0,1,0))</f>
        <v/>
      </c>
      <c r="P34" s="7">
        <f>IF(VLOOKUP(P$2,行为概览!$D$3:$L$33,9,0)="","",VLOOKUP(P$2,行为概览!$D$3:$L$33,9,0)*IF(玩法行为规划!O34&gt;0,1,0))</f>
        <v>0.5</v>
      </c>
      <c r="Q34" s="7">
        <f>IF(VLOOKUP(Q$2,行为概览!$D$3:$L$33,9,0)="","",VLOOKUP(Q$2,行为概览!$D$3:$L$33,9,0)*IF(玩法行为规划!P34&gt;0,1,0))</f>
        <v>5</v>
      </c>
      <c r="R34" s="7" t="str">
        <f>IF(VLOOKUP(R$2,行为概览!$D$3:$L$33,9,0)="","",VLOOKUP(R$2,行为概览!$D$3:$L$33,9,0)*IF(玩法行为规划!Q34&gt;0,1,0))</f>
        <v/>
      </c>
      <c r="S34" s="7">
        <f>IF(VLOOKUP(S$2,行为概览!$D$3:$L$33,9,0)="","",VLOOKUP(S$2,行为概览!$D$3:$L$33,9,0)*IF(玩法行为规划!R34&gt;0,1,0))</f>
        <v>1</v>
      </c>
      <c r="T34" s="7">
        <f>IF(VLOOKUP(T$2,行为概览!$D$3:$L$33,9,0)="","",VLOOKUP(T$2,行为概览!$D$3:$L$33,9,0)*IF(玩法行为规划!S34&gt;0,1,0))</f>
        <v>0</v>
      </c>
      <c r="U34" s="7">
        <f>IF(VLOOKUP(U$2,行为概览!$D$3:$L$33,9,0)="","",VLOOKUP(U$2,行为概览!$D$3:$L$33,9,0)*IF(玩法行为规划!T34&gt;0,1,0))</f>
        <v>0</v>
      </c>
      <c r="V34" s="7">
        <f>IF(VLOOKUP(V$2,行为概览!$D$3:$L$33,9,0)="","",VLOOKUP(V$2,行为概览!$D$3:$L$33,9,0)*IF(玩法行为规划!U34&gt;0,1,0))</f>
        <v>1.5</v>
      </c>
      <c r="W34" s="7">
        <f>IF(VLOOKUP(W$2,行为概览!$D$3:$L$33,9,0)="","",VLOOKUP(W$2,行为概览!$D$3:$L$33,9,0)*IF(玩法行为规划!V34&gt;0,1,0))</f>
        <v>1</v>
      </c>
      <c r="X34" s="7">
        <f>IF(VLOOKUP(X$2,行为概览!$D$3:$L$33,9,0)="","",VLOOKUP(X$2,行为概览!$D$3:$L$33,9,0)*IF(玩法行为规划!W34&gt;0,1,0))</f>
        <v>1</v>
      </c>
      <c r="Y34" s="7">
        <f>IF(VLOOKUP(Y$2,行为概览!$D$3:$L$33,9,0)="","",VLOOKUP(Y$2,行为概览!$D$3:$L$33,9,0)*IF(玩法行为规划!X34&gt;0,1,0))</f>
        <v>0</v>
      </c>
      <c r="Z34" s="7">
        <f>IF(VLOOKUP(Z$2,行为概览!$D$3:$L$33,9,0)="","",VLOOKUP(Z$2,行为概览!$D$3:$L$33,9,0)*IF(玩法行为规划!Y34&gt;0,1,0))</f>
        <v>0</v>
      </c>
      <c r="AA34" s="7">
        <f>IF(VLOOKUP(AA$2,行为概览!$D$3:$L$33,9,0)="","",VLOOKUP(AA$2,行为概览!$D$3:$L$33,9,0)*IF(玩法行为规划!Z34&gt;0,1,0))</f>
        <v>0</v>
      </c>
      <c r="AB34" s="7" t="str">
        <f>IF(VLOOKUP(AB$2,行为概览!$D$3:$L$33,9,0)="","",VLOOKUP(AB$2,行为概览!$D$3:$L$33,9,0)*IF(玩法行为规划!AA34&gt;0,1,0))</f>
        <v/>
      </c>
      <c r="AC34" s="7" t="str">
        <f>IF(VLOOKUP(AC$2,行为概览!$D$3:$L$33,9,0)="","",VLOOKUP(AC$2,行为概览!$D$3:$L$33,9,0)*IF(玩法行为规划!AB34&gt;0,1,0))</f>
        <v/>
      </c>
      <c r="AD34" s="7" t="str">
        <f>IF(VLOOKUP(AD$2,行为概览!$D$3:$L$33,9,0)="","",VLOOKUP(AD$2,行为概览!$D$3:$L$33,9,0)*玩法行为规划!AC34)</f>
        <v/>
      </c>
      <c r="AE34" s="7" t="str">
        <f>IF(VLOOKUP(AE$2,行为概览!$D$3:$L$33,9,0)="","",VLOOKUP(AE$2,行为概览!$D$3:$L$33,9,0)*玩法行为规划!AD34)</f>
        <v/>
      </c>
      <c r="AF34" s="7">
        <f t="shared" si="0"/>
        <v>17.149999999999999</v>
      </c>
      <c r="AG34" s="10">
        <f t="shared" si="1"/>
        <v>548800</v>
      </c>
      <c r="AH34" s="7">
        <f>ROUND(AG34*升级节奏!G34,0)</f>
        <v>51404</v>
      </c>
      <c r="AI34" s="7">
        <f t="shared" si="2"/>
        <v>32000</v>
      </c>
      <c r="AJ34" s="21" t="str">
        <f t="shared" si="9"/>
        <v/>
      </c>
      <c r="AK34" s="7">
        <f t="shared" si="3"/>
        <v>0.38367464390197115</v>
      </c>
      <c r="AL34" s="7">
        <f t="shared" si="4"/>
        <v>83404</v>
      </c>
      <c r="AM34" s="7">
        <f>SUM($AL$3:AL34)</f>
        <v>696972</v>
      </c>
      <c r="AN34" s="166">
        <f t="shared" si="5"/>
        <v>8100</v>
      </c>
      <c r="AO34" s="7">
        <f>SUM($AN$3:AN34)*7</f>
        <v>778400</v>
      </c>
      <c r="AP34" s="69">
        <f t="shared" si="6"/>
        <v>-98728</v>
      </c>
      <c r="AQ34" s="160">
        <f t="shared" si="7"/>
        <v>11500</v>
      </c>
      <c r="AR34" s="160">
        <f t="shared" si="8"/>
        <v>5800</v>
      </c>
    </row>
    <row r="35" spans="1:44">
      <c r="A35" s="32">
        <v>33</v>
      </c>
      <c r="B35" s="81">
        <f>升级节奏!E35</f>
        <v>33000</v>
      </c>
      <c r="C35" s="7">
        <f>IF(VLOOKUP(C$2,行为概览!$D$3:$L$33,9,0)="","",VLOOKUP(C$2,行为概览!$D$3:$L$33,9,0)*IF(玩法行为规划!B35&gt;0,1,0))</f>
        <v>4</v>
      </c>
      <c r="D35" s="7">
        <f>IF(VLOOKUP(D$2,行为概览!$D$3:$L$33,9,0)="","",VLOOKUP(D$2,行为概览!$D$3:$L$33,9,0)*IF(玩法行为规划!C35&gt;0,1,0))</f>
        <v>1.65</v>
      </c>
      <c r="E35" s="7">
        <f>IF(VLOOKUP(E$2,行为概览!$D$3:$L$33,9,0)="","",VLOOKUP(E$2,行为概览!$D$3:$L$33,9,0)*IF(玩法行为规划!D35&gt;0,1,0))</f>
        <v>0.5</v>
      </c>
      <c r="F35" s="7">
        <f>IF(VLOOKUP(F$2,行为概览!$D$3:$L$33,9,0)="","",VLOOKUP(F$2,行为概览!$D$3:$L$33,9,0)*IF(玩法行为规划!E35&gt;0,1,0))</f>
        <v>0</v>
      </c>
      <c r="G35" s="7" t="str">
        <f>IF(VLOOKUP(G$2,行为概览!$D$3:$L$33,9,0)="","",VLOOKUP(G$2,行为概览!$D$3:$L$33,9,0)*IF(玩法行为规划!F35&gt;0,1,0))</f>
        <v/>
      </c>
      <c r="H35" s="7" t="str">
        <f>IF(VLOOKUP(H$2,行为概览!$D$3:$L$33,9,0)="","",VLOOKUP(H$2,行为概览!$D$3:$L$33,9,0)*IF(玩法行为规划!G35&gt;0,1,0))</f>
        <v/>
      </c>
      <c r="I35" s="7" t="str">
        <f>IF(VLOOKUP(I$2,行为概览!$D$3:$L$33,9,0)="","",VLOOKUP(I$2,行为概览!$D$3:$L$33,9,0)*IF(玩法行为规划!H35&gt;0,1,0))</f>
        <v/>
      </c>
      <c r="J35" s="7" t="str">
        <f>IF(VLOOKUP(J$2,行为概览!$D$3:$L$33,9,0)="","",VLOOKUP(J$2,行为概览!$D$3:$L$33,9,0)*IF(玩法行为规划!I35&gt;0,1,0))</f>
        <v/>
      </c>
      <c r="K35" s="7">
        <f>IF(VLOOKUP(K$2,行为概览!$D$3:$L$33,9,0)="","",VLOOKUP(K$2,行为概览!$D$3:$L$33,9,0)*IF(玩法行为规划!J35&gt;0,1,0))</f>
        <v>1</v>
      </c>
      <c r="L35" s="7">
        <f>IF(VLOOKUP(L$2,行为概览!$D$3:$L$33,9,0)="","",VLOOKUP(L$2,行为概览!$D$3:$L$33,9,0)*IF(玩法行为规划!K35&gt;0,1,0))</f>
        <v>0</v>
      </c>
      <c r="M35" s="7" t="str">
        <f>IF(VLOOKUP(M$2,行为概览!$D$3:$L$33,9,0)="","",VLOOKUP(M$2,行为概览!$D$3:$L$33,9,0)*IF(玩法行为规划!L35&gt;0,1,0))</f>
        <v/>
      </c>
      <c r="N35" s="7" t="str">
        <f>IF(VLOOKUP(N$2,行为概览!$D$3:$L$33,9,0)="","",VLOOKUP(N$2,行为概览!$D$3:$L$33,9,0)*IF(玩法行为规划!M35&gt;0,1,0))</f>
        <v/>
      </c>
      <c r="O35" s="7" t="str">
        <f>IF(VLOOKUP(O$2,行为概览!$D$3:$L$33,9,0)="","",VLOOKUP(O$2,行为概览!$D$3:$L$33,9,0)*IF(玩法行为规划!N35&gt;0,1,0))</f>
        <v/>
      </c>
      <c r="P35" s="7">
        <f>IF(VLOOKUP(P$2,行为概览!$D$3:$L$33,9,0)="","",VLOOKUP(P$2,行为概览!$D$3:$L$33,9,0)*IF(玩法行为规划!O35&gt;0,1,0))</f>
        <v>0.5</v>
      </c>
      <c r="Q35" s="7">
        <f>IF(VLOOKUP(Q$2,行为概览!$D$3:$L$33,9,0)="","",VLOOKUP(Q$2,行为概览!$D$3:$L$33,9,0)*IF(玩法行为规划!P35&gt;0,1,0))</f>
        <v>5</v>
      </c>
      <c r="R35" s="7" t="str">
        <f>IF(VLOOKUP(R$2,行为概览!$D$3:$L$33,9,0)="","",VLOOKUP(R$2,行为概览!$D$3:$L$33,9,0)*IF(玩法行为规划!Q35&gt;0,1,0))</f>
        <v/>
      </c>
      <c r="S35" s="7">
        <f>IF(VLOOKUP(S$2,行为概览!$D$3:$L$33,9,0)="","",VLOOKUP(S$2,行为概览!$D$3:$L$33,9,0)*IF(玩法行为规划!R35&gt;0,1,0))</f>
        <v>1</v>
      </c>
      <c r="T35" s="7">
        <f>IF(VLOOKUP(T$2,行为概览!$D$3:$L$33,9,0)="","",VLOOKUP(T$2,行为概览!$D$3:$L$33,9,0)*IF(玩法行为规划!S35&gt;0,1,0))</f>
        <v>0</v>
      </c>
      <c r="U35" s="7">
        <f>IF(VLOOKUP(U$2,行为概览!$D$3:$L$33,9,0)="","",VLOOKUP(U$2,行为概览!$D$3:$L$33,9,0)*IF(玩法行为规划!T35&gt;0,1,0))</f>
        <v>0</v>
      </c>
      <c r="V35" s="7">
        <f>IF(VLOOKUP(V$2,行为概览!$D$3:$L$33,9,0)="","",VLOOKUP(V$2,行为概览!$D$3:$L$33,9,0)*IF(玩法行为规划!U35&gt;0,1,0))</f>
        <v>1.5</v>
      </c>
      <c r="W35" s="7">
        <f>IF(VLOOKUP(W$2,行为概览!$D$3:$L$33,9,0)="","",VLOOKUP(W$2,行为概览!$D$3:$L$33,9,0)*IF(玩法行为规划!V35&gt;0,1,0))</f>
        <v>1</v>
      </c>
      <c r="X35" s="7">
        <f>IF(VLOOKUP(X$2,行为概览!$D$3:$L$33,9,0)="","",VLOOKUP(X$2,行为概览!$D$3:$L$33,9,0)*IF(玩法行为规划!W35&gt;0,1,0))</f>
        <v>1</v>
      </c>
      <c r="Y35" s="7">
        <f>IF(VLOOKUP(Y$2,行为概览!$D$3:$L$33,9,0)="","",VLOOKUP(Y$2,行为概览!$D$3:$L$33,9,0)*IF(玩法行为规划!X35&gt;0,1,0))</f>
        <v>0</v>
      </c>
      <c r="Z35" s="7">
        <f>IF(VLOOKUP(Z$2,行为概览!$D$3:$L$33,9,0)="","",VLOOKUP(Z$2,行为概览!$D$3:$L$33,9,0)*IF(玩法行为规划!Y35&gt;0,1,0))</f>
        <v>0</v>
      </c>
      <c r="AA35" s="7">
        <f>IF(VLOOKUP(AA$2,行为概览!$D$3:$L$33,9,0)="","",VLOOKUP(AA$2,行为概览!$D$3:$L$33,9,0)*IF(玩法行为规划!Z35&gt;0,1,0))</f>
        <v>0</v>
      </c>
      <c r="AB35" s="7" t="str">
        <f>IF(VLOOKUP(AB$2,行为概览!$D$3:$L$33,9,0)="","",VLOOKUP(AB$2,行为概览!$D$3:$L$33,9,0)*IF(玩法行为规划!AA35&gt;0,1,0))</f>
        <v/>
      </c>
      <c r="AC35" s="7" t="str">
        <f>IF(VLOOKUP(AC$2,行为概览!$D$3:$L$33,9,0)="","",VLOOKUP(AC$2,行为概览!$D$3:$L$33,9,0)*IF(玩法行为规划!AB35&gt;0,1,0))</f>
        <v/>
      </c>
      <c r="AD35" s="7" t="str">
        <f>IF(VLOOKUP(AD$2,行为概览!$D$3:$L$33,9,0)="","",VLOOKUP(AD$2,行为概览!$D$3:$L$33,9,0)*玩法行为规划!AC35)</f>
        <v/>
      </c>
      <c r="AE35" s="7" t="str">
        <f>IF(VLOOKUP(AE$2,行为概览!$D$3:$L$33,9,0)="","",VLOOKUP(AE$2,行为概览!$D$3:$L$33,9,0)*玩法行为规划!AD35)</f>
        <v/>
      </c>
      <c r="AF35" s="7">
        <f t="shared" ref="AF35:AF66" si="10">SUM(C35:AC35)</f>
        <v>17.149999999999999</v>
      </c>
      <c r="AG35" s="10">
        <f t="shared" ref="AG35:AG66" si="11">B35*AF35</f>
        <v>565950</v>
      </c>
      <c r="AH35" s="7">
        <f>ROUND(AG35*升级节奏!G35,0)</f>
        <v>56076</v>
      </c>
      <c r="AI35" s="7">
        <f t="shared" si="2"/>
        <v>33000</v>
      </c>
      <c r="AJ35" s="21" t="str">
        <f t="shared" si="9"/>
        <v/>
      </c>
      <c r="AK35" s="7">
        <f t="shared" si="3"/>
        <v>0.3704701603125421</v>
      </c>
      <c r="AL35" s="7">
        <f t="shared" si="4"/>
        <v>89076</v>
      </c>
      <c r="AM35" s="7">
        <f>SUM($AL$3:AL35)</f>
        <v>786048</v>
      </c>
      <c r="AN35" s="166">
        <f t="shared" si="5"/>
        <v>8500</v>
      </c>
      <c r="AO35" s="7">
        <f>SUM($AN$3:AN35)*7</f>
        <v>837900</v>
      </c>
      <c r="AP35" s="69">
        <f t="shared" si="6"/>
        <v>-70152</v>
      </c>
      <c r="AQ35" s="160">
        <f t="shared" si="7"/>
        <v>12200</v>
      </c>
      <c r="AR35" s="160">
        <f t="shared" si="8"/>
        <v>6100</v>
      </c>
    </row>
    <row r="36" spans="1:44">
      <c r="A36" s="32">
        <v>34</v>
      </c>
      <c r="B36" s="81">
        <f>升级节奏!E36</f>
        <v>34000</v>
      </c>
      <c r="C36" s="7">
        <f>IF(VLOOKUP(C$2,行为概览!$D$3:$L$33,9,0)="","",VLOOKUP(C$2,行为概览!$D$3:$L$33,9,0)*IF(玩法行为规划!B36&gt;0,1,0))</f>
        <v>4</v>
      </c>
      <c r="D36" s="7">
        <f>IF(VLOOKUP(D$2,行为概览!$D$3:$L$33,9,0)="","",VLOOKUP(D$2,行为概览!$D$3:$L$33,9,0)*IF(玩法行为规划!C36&gt;0,1,0))</f>
        <v>1.65</v>
      </c>
      <c r="E36" s="7">
        <f>IF(VLOOKUP(E$2,行为概览!$D$3:$L$33,9,0)="","",VLOOKUP(E$2,行为概览!$D$3:$L$33,9,0)*IF(玩法行为规划!D36&gt;0,1,0))</f>
        <v>0.5</v>
      </c>
      <c r="F36" s="7">
        <f>IF(VLOOKUP(F$2,行为概览!$D$3:$L$33,9,0)="","",VLOOKUP(F$2,行为概览!$D$3:$L$33,9,0)*IF(玩法行为规划!E36&gt;0,1,0))</f>
        <v>0</v>
      </c>
      <c r="G36" s="7" t="str">
        <f>IF(VLOOKUP(G$2,行为概览!$D$3:$L$33,9,0)="","",VLOOKUP(G$2,行为概览!$D$3:$L$33,9,0)*IF(玩法行为规划!F36&gt;0,1,0))</f>
        <v/>
      </c>
      <c r="H36" s="7" t="str">
        <f>IF(VLOOKUP(H$2,行为概览!$D$3:$L$33,9,0)="","",VLOOKUP(H$2,行为概览!$D$3:$L$33,9,0)*IF(玩法行为规划!G36&gt;0,1,0))</f>
        <v/>
      </c>
      <c r="I36" s="7" t="str">
        <f>IF(VLOOKUP(I$2,行为概览!$D$3:$L$33,9,0)="","",VLOOKUP(I$2,行为概览!$D$3:$L$33,9,0)*IF(玩法行为规划!H36&gt;0,1,0))</f>
        <v/>
      </c>
      <c r="J36" s="7" t="str">
        <f>IF(VLOOKUP(J$2,行为概览!$D$3:$L$33,9,0)="","",VLOOKUP(J$2,行为概览!$D$3:$L$33,9,0)*IF(玩法行为规划!I36&gt;0,1,0))</f>
        <v/>
      </c>
      <c r="K36" s="7">
        <f>IF(VLOOKUP(K$2,行为概览!$D$3:$L$33,9,0)="","",VLOOKUP(K$2,行为概览!$D$3:$L$33,9,0)*IF(玩法行为规划!J36&gt;0,1,0))</f>
        <v>1</v>
      </c>
      <c r="L36" s="7">
        <f>IF(VLOOKUP(L$2,行为概览!$D$3:$L$33,9,0)="","",VLOOKUP(L$2,行为概览!$D$3:$L$33,9,0)*IF(玩法行为规划!K36&gt;0,1,0))</f>
        <v>0</v>
      </c>
      <c r="M36" s="7" t="str">
        <f>IF(VLOOKUP(M$2,行为概览!$D$3:$L$33,9,0)="","",VLOOKUP(M$2,行为概览!$D$3:$L$33,9,0)*IF(玩法行为规划!L36&gt;0,1,0))</f>
        <v/>
      </c>
      <c r="N36" s="7" t="str">
        <f>IF(VLOOKUP(N$2,行为概览!$D$3:$L$33,9,0)="","",VLOOKUP(N$2,行为概览!$D$3:$L$33,9,0)*IF(玩法行为规划!M36&gt;0,1,0))</f>
        <v/>
      </c>
      <c r="O36" s="7" t="str">
        <f>IF(VLOOKUP(O$2,行为概览!$D$3:$L$33,9,0)="","",VLOOKUP(O$2,行为概览!$D$3:$L$33,9,0)*IF(玩法行为规划!N36&gt;0,1,0))</f>
        <v/>
      </c>
      <c r="P36" s="7">
        <f>IF(VLOOKUP(P$2,行为概览!$D$3:$L$33,9,0)="","",VLOOKUP(P$2,行为概览!$D$3:$L$33,9,0)*IF(玩法行为规划!O36&gt;0,1,0))</f>
        <v>0.5</v>
      </c>
      <c r="Q36" s="7">
        <f>IF(VLOOKUP(Q$2,行为概览!$D$3:$L$33,9,0)="","",VLOOKUP(Q$2,行为概览!$D$3:$L$33,9,0)*IF(玩法行为规划!P36&gt;0,1,0))</f>
        <v>5</v>
      </c>
      <c r="R36" s="7" t="str">
        <f>IF(VLOOKUP(R$2,行为概览!$D$3:$L$33,9,0)="","",VLOOKUP(R$2,行为概览!$D$3:$L$33,9,0)*IF(玩法行为规划!Q36&gt;0,1,0))</f>
        <v/>
      </c>
      <c r="S36" s="7">
        <f>IF(VLOOKUP(S$2,行为概览!$D$3:$L$33,9,0)="","",VLOOKUP(S$2,行为概览!$D$3:$L$33,9,0)*IF(玩法行为规划!R36&gt;0,1,0))</f>
        <v>1</v>
      </c>
      <c r="T36" s="7">
        <f>IF(VLOOKUP(T$2,行为概览!$D$3:$L$33,9,0)="","",VLOOKUP(T$2,行为概览!$D$3:$L$33,9,0)*IF(玩法行为规划!S36&gt;0,1,0))</f>
        <v>0</v>
      </c>
      <c r="U36" s="7">
        <f>IF(VLOOKUP(U$2,行为概览!$D$3:$L$33,9,0)="","",VLOOKUP(U$2,行为概览!$D$3:$L$33,9,0)*IF(玩法行为规划!T36&gt;0,1,0))</f>
        <v>0</v>
      </c>
      <c r="V36" s="7">
        <f>IF(VLOOKUP(V$2,行为概览!$D$3:$L$33,9,0)="","",VLOOKUP(V$2,行为概览!$D$3:$L$33,9,0)*IF(玩法行为规划!U36&gt;0,1,0))</f>
        <v>1.5</v>
      </c>
      <c r="W36" s="7">
        <f>IF(VLOOKUP(W$2,行为概览!$D$3:$L$33,9,0)="","",VLOOKUP(W$2,行为概览!$D$3:$L$33,9,0)*IF(玩法行为规划!V36&gt;0,1,0))</f>
        <v>1</v>
      </c>
      <c r="X36" s="7">
        <f>IF(VLOOKUP(X$2,行为概览!$D$3:$L$33,9,0)="","",VLOOKUP(X$2,行为概览!$D$3:$L$33,9,0)*IF(玩法行为规划!W36&gt;0,1,0))</f>
        <v>1</v>
      </c>
      <c r="Y36" s="7">
        <f>IF(VLOOKUP(Y$2,行为概览!$D$3:$L$33,9,0)="","",VLOOKUP(Y$2,行为概览!$D$3:$L$33,9,0)*IF(玩法行为规划!X36&gt;0,1,0))</f>
        <v>0</v>
      </c>
      <c r="Z36" s="7">
        <f>IF(VLOOKUP(Z$2,行为概览!$D$3:$L$33,9,0)="","",VLOOKUP(Z$2,行为概览!$D$3:$L$33,9,0)*IF(玩法行为规划!Y36&gt;0,1,0))</f>
        <v>0</v>
      </c>
      <c r="AA36" s="7">
        <f>IF(VLOOKUP(AA$2,行为概览!$D$3:$L$33,9,0)="","",VLOOKUP(AA$2,行为概览!$D$3:$L$33,9,0)*IF(玩法行为规划!Z36&gt;0,1,0))</f>
        <v>0</v>
      </c>
      <c r="AB36" s="7" t="str">
        <f>IF(VLOOKUP(AB$2,行为概览!$D$3:$L$33,9,0)="","",VLOOKUP(AB$2,行为概览!$D$3:$L$33,9,0)*IF(玩法行为规划!AA36&gt;0,1,0))</f>
        <v/>
      </c>
      <c r="AC36" s="7" t="str">
        <f>IF(VLOOKUP(AC$2,行为概览!$D$3:$L$33,9,0)="","",VLOOKUP(AC$2,行为概览!$D$3:$L$33,9,0)*IF(玩法行为规划!AB36&gt;0,1,0))</f>
        <v/>
      </c>
      <c r="AD36" s="7" t="str">
        <f>IF(VLOOKUP(AD$2,行为概览!$D$3:$L$33,9,0)="","",VLOOKUP(AD$2,行为概览!$D$3:$L$33,9,0)*玩法行为规划!AC36)</f>
        <v/>
      </c>
      <c r="AE36" s="7" t="str">
        <f>IF(VLOOKUP(AE$2,行为概览!$D$3:$L$33,9,0)="","",VLOOKUP(AE$2,行为概览!$D$3:$L$33,9,0)*玩法行为规划!AD36)</f>
        <v/>
      </c>
      <c r="AF36" s="7">
        <f t="shared" si="10"/>
        <v>17.149999999999999</v>
      </c>
      <c r="AG36" s="10">
        <f t="shared" si="11"/>
        <v>583100</v>
      </c>
      <c r="AH36" s="7">
        <f>ROUND(AG36*升级节奏!G36,0)</f>
        <v>67134</v>
      </c>
      <c r="AI36" s="7">
        <f t="shared" si="2"/>
        <v>34000</v>
      </c>
      <c r="AJ36" s="21" t="str">
        <f t="shared" si="9"/>
        <v/>
      </c>
      <c r="AK36" s="7">
        <f t="shared" si="3"/>
        <v>0.33618763225028181</v>
      </c>
      <c r="AL36" s="7">
        <f t="shared" si="4"/>
        <v>101134</v>
      </c>
      <c r="AM36" s="7">
        <f>SUM($AL$3:AL36)</f>
        <v>887182</v>
      </c>
      <c r="AN36" s="166">
        <f t="shared" si="5"/>
        <v>9000</v>
      </c>
      <c r="AO36" s="7">
        <f>SUM($AN$3:AN36)*7</f>
        <v>900900</v>
      </c>
      <c r="AP36" s="69">
        <f t="shared" si="6"/>
        <v>-34018</v>
      </c>
      <c r="AQ36" s="160">
        <f t="shared" si="7"/>
        <v>13500</v>
      </c>
      <c r="AR36" s="160">
        <f t="shared" si="8"/>
        <v>6800</v>
      </c>
    </row>
    <row r="37" spans="1:44">
      <c r="A37" s="32">
        <v>35</v>
      </c>
      <c r="B37" s="81">
        <f>升级节奏!E37</f>
        <v>35000</v>
      </c>
      <c r="C37" s="7">
        <f>IF(VLOOKUP(C$2,行为概览!$D$3:$L$33,9,0)="","",VLOOKUP(C$2,行为概览!$D$3:$L$33,9,0)*IF(玩法行为规划!B37&gt;0,1,0))</f>
        <v>4</v>
      </c>
      <c r="D37" s="7">
        <f>IF(VLOOKUP(D$2,行为概览!$D$3:$L$33,9,0)="","",VLOOKUP(D$2,行为概览!$D$3:$L$33,9,0)*IF(玩法行为规划!C37&gt;0,1,0))</f>
        <v>1.65</v>
      </c>
      <c r="E37" s="7">
        <f>IF(VLOOKUP(E$2,行为概览!$D$3:$L$33,9,0)="","",VLOOKUP(E$2,行为概览!$D$3:$L$33,9,0)*IF(玩法行为规划!D37&gt;0,1,0))</f>
        <v>0.5</v>
      </c>
      <c r="F37" s="7">
        <f>IF(VLOOKUP(F$2,行为概览!$D$3:$L$33,9,0)="","",VLOOKUP(F$2,行为概览!$D$3:$L$33,9,0)*IF(玩法行为规划!E37&gt;0,1,0))</f>
        <v>0</v>
      </c>
      <c r="G37" s="7" t="str">
        <f>IF(VLOOKUP(G$2,行为概览!$D$3:$L$33,9,0)="","",VLOOKUP(G$2,行为概览!$D$3:$L$33,9,0)*IF(玩法行为规划!F37&gt;0,1,0))</f>
        <v/>
      </c>
      <c r="H37" s="7" t="str">
        <f>IF(VLOOKUP(H$2,行为概览!$D$3:$L$33,9,0)="","",VLOOKUP(H$2,行为概览!$D$3:$L$33,9,0)*IF(玩法行为规划!G37&gt;0,1,0))</f>
        <v/>
      </c>
      <c r="I37" s="7" t="str">
        <f>IF(VLOOKUP(I$2,行为概览!$D$3:$L$33,9,0)="","",VLOOKUP(I$2,行为概览!$D$3:$L$33,9,0)*IF(玩法行为规划!H37&gt;0,1,0))</f>
        <v/>
      </c>
      <c r="J37" s="7" t="str">
        <f>IF(VLOOKUP(J$2,行为概览!$D$3:$L$33,9,0)="","",VLOOKUP(J$2,行为概览!$D$3:$L$33,9,0)*IF(玩法行为规划!I37&gt;0,1,0))</f>
        <v/>
      </c>
      <c r="K37" s="7">
        <f>IF(VLOOKUP(K$2,行为概览!$D$3:$L$33,9,0)="","",VLOOKUP(K$2,行为概览!$D$3:$L$33,9,0)*IF(玩法行为规划!J37&gt;0,1,0))</f>
        <v>1</v>
      </c>
      <c r="L37" s="7">
        <f>IF(VLOOKUP(L$2,行为概览!$D$3:$L$33,9,0)="","",VLOOKUP(L$2,行为概览!$D$3:$L$33,9,0)*IF(玩法行为规划!K37&gt;0,1,0))</f>
        <v>1</v>
      </c>
      <c r="M37" s="7" t="str">
        <f>IF(VLOOKUP(M$2,行为概览!$D$3:$L$33,9,0)="","",VLOOKUP(M$2,行为概览!$D$3:$L$33,9,0)*IF(玩法行为规划!L37&gt;0,1,0))</f>
        <v/>
      </c>
      <c r="N37" s="7" t="str">
        <f>IF(VLOOKUP(N$2,行为概览!$D$3:$L$33,9,0)="","",VLOOKUP(N$2,行为概览!$D$3:$L$33,9,0)*IF(玩法行为规划!M37&gt;0,1,0))</f>
        <v/>
      </c>
      <c r="O37" s="7" t="str">
        <f>IF(VLOOKUP(O$2,行为概览!$D$3:$L$33,9,0)="","",VLOOKUP(O$2,行为概览!$D$3:$L$33,9,0)*IF(玩法行为规划!N37&gt;0,1,0))</f>
        <v/>
      </c>
      <c r="P37" s="7">
        <f>IF(VLOOKUP(P$2,行为概览!$D$3:$L$33,9,0)="","",VLOOKUP(P$2,行为概览!$D$3:$L$33,9,0)*IF(玩法行为规划!O37&gt;0,1,0))</f>
        <v>0.5</v>
      </c>
      <c r="Q37" s="7">
        <f>IF(VLOOKUP(Q$2,行为概览!$D$3:$L$33,9,0)="","",VLOOKUP(Q$2,行为概览!$D$3:$L$33,9,0)*IF(玩法行为规划!P37&gt;0,1,0))</f>
        <v>5</v>
      </c>
      <c r="R37" s="7" t="str">
        <f>IF(VLOOKUP(R$2,行为概览!$D$3:$L$33,9,0)="","",VLOOKUP(R$2,行为概览!$D$3:$L$33,9,0)*IF(玩法行为规划!Q37&gt;0,1,0))</f>
        <v/>
      </c>
      <c r="S37" s="7">
        <f>IF(VLOOKUP(S$2,行为概览!$D$3:$L$33,9,0)="","",VLOOKUP(S$2,行为概览!$D$3:$L$33,9,0)*IF(玩法行为规划!R37&gt;0,1,0))</f>
        <v>1</v>
      </c>
      <c r="T37" s="7">
        <f>IF(VLOOKUP(T$2,行为概览!$D$3:$L$33,9,0)="","",VLOOKUP(T$2,行为概览!$D$3:$L$33,9,0)*IF(玩法行为规划!S37&gt;0,1,0))</f>
        <v>1</v>
      </c>
      <c r="U37" s="7">
        <f>IF(VLOOKUP(U$2,行为概览!$D$3:$L$33,9,0)="","",VLOOKUP(U$2,行为概览!$D$3:$L$33,9,0)*IF(玩法行为规划!T37&gt;0,1,0))</f>
        <v>0</v>
      </c>
      <c r="V37" s="7">
        <f>IF(VLOOKUP(V$2,行为概览!$D$3:$L$33,9,0)="","",VLOOKUP(V$2,行为概览!$D$3:$L$33,9,0)*IF(玩法行为规划!U37&gt;0,1,0))</f>
        <v>1.5</v>
      </c>
      <c r="W37" s="7">
        <f>IF(VLOOKUP(W$2,行为概览!$D$3:$L$33,9,0)="","",VLOOKUP(W$2,行为概览!$D$3:$L$33,9,0)*IF(玩法行为规划!V37&gt;0,1,0))</f>
        <v>1</v>
      </c>
      <c r="X37" s="7">
        <f>IF(VLOOKUP(X$2,行为概览!$D$3:$L$33,9,0)="","",VLOOKUP(X$2,行为概览!$D$3:$L$33,9,0)*IF(玩法行为规划!W37&gt;0,1,0))</f>
        <v>1</v>
      </c>
      <c r="Y37" s="7">
        <f>IF(VLOOKUP(Y$2,行为概览!$D$3:$L$33,9,0)="","",VLOOKUP(Y$2,行为概览!$D$3:$L$33,9,0)*IF(玩法行为规划!X37&gt;0,1,0))</f>
        <v>0</v>
      </c>
      <c r="Z37" s="7">
        <f>IF(VLOOKUP(Z$2,行为概览!$D$3:$L$33,9,0)="","",VLOOKUP(Z$2,行为概览!$D$3:$L$33,9,0)*IF(玩法行为规划!Y37&gt;0,1,0))</f>
        <v>0</v>
      </c>
      <c r="AA37" s="7">
        <f>IF(VLOOKUP(AA$2,行为概览!$D$3:$L$33,9,0)="","",VLOOKUP(AA$2,行为概览!$D$3:$L$33,9,0)*IF(玩法行为规划!Z37&gt;0,1,0))</f>
        <v>0</v>
      </c>
      <c r="AB37" s="7" t="str">
        <f>IF(VLOOKUP(AB$2,行为概览!$D$3:$L$33,9,0)="","",VLOOKUP(AB$2,行为概览!$D$3:$L$33,9,0)*IF(玩法行为规划!AA37&gt;0,1,0))</f>
        <v/>
      </c>
      <c r="AC37" s="7" t="str">
        <f>IF(VLOOKUP(AC$2,行为概览!$D$3:$L$33,9,0)="","",VLOOKUP(AC$2,行为概览!$D$3:$L$33,9,0)*IF(玩法行为规划!AB37&gt;0,1,0))</f>
        <v/>
      </c>
      <c r="AD37" s="7" t="str">
        <f>IF(VLOOKUP(AD$2,行为概览!$D$3:$L$33,9,0)="","",VLOOKUP(AD$2,行为概览!$D$3:$L$33,9,0)*玩法行为规划!AC37)</f>
        <v/>
      </c>
      <c r="AE37" s="7" t="str">
        <f>IF(VLOOKUP(AE$2,行为概览!$D$3:$L$33,9,0)="","",VLOOKUP(AE$2,行为概览!$D$3:$L$33,9,0)*玩法行为规划!AD37)</f>
        <v/>
      </c>
      <c r="AF37" s="7">
        <f t="shared" si="10"/>
        <v>19.149999999999999</v>
      </c>
      <c r="AG37" s="10">
        <f t="shared" si="11"/>
        <v>670250</v>
      </c>
      <c r="AH37" s="7">
        <f>ROUND(AG37*升级节奏!G37,0)</f>
        <v>81407</v>
      </c>
      <c r="AI37" s="7">
        <f t="shared" si="2"/>
        <v>35000</v>
      </c>
      <c r="AJ37" s="21" t="str">
        <f t="shared" si="9"/>
        <v/>
      </c>
      <c r="AK37" s="7">
        <f t="shared" si="3"/>
        <v>0.30066920374204298</v>
      </c>
      <c r="AL37" s="7">
        <f t="shared" si="4"/>
        <v>116407</v>
      </c>
      <c r="AM37" s="7">
        <f>SUM($AL$3:AL37)</f>
        <v>1003589</v>
      </c>
      <c r="AN37" s="166">
        <f t="shared" si="5"/>
        <v>9700</v>
      </c>
      <c r="AO37" s="7">
        <f>SUM($AN$3:AN37)*7</f>
        <v>968800</v>
      </c>
      <c r="AP37" s="69">
        <f t="shared" si="6"/>
        <v>12089</v>
      </c>
      <c r="AQ37" s="160">
        <f t="shared" si="7"/>
        <v>15100</v>
      </c>
      <c r="AR37" s="160">
        <f t="shared" si="8"/>
        <v>7600</v>
      </c>
    </row>
    <row r="38" spans="1:44">
      <c r="A38" s="32">
        <v>36</v>
      </c>
      <c r="B38" s="81">
        <f>升级节奏!E38</f>
        <v>36000</v>
      </c>
      <c r="C38" s="7">
        <f>IF(VLOOKUP(C$2,行为概览!$D$3:$L$33,9,0)="","",VLOOKUP(C$2,行为概览!$D$3:$L$33,9,0)*IF(玩法行为规划!B38&gt;0,1,0))</f>
        <v>4</v>
      </c>
      <c r="D38" s="7">
        <f>IF(VLOOKUP(D$2,行为概览!$D$3:$L$33,9,0)="","",VLOOKUP(D$2,行为概览!$D$3:$L$33,9,0)*IF(玩法行为规划!C38&gt;0,1,0))</f>
        <v>1.65</v>
      </c>
      <c r="E38" s="7">
        <f>IF(VLOOKUP(E$2,行为概览!$D$3:$L$33,9,0)="","",VLOOKUP(E$2,行为概览!$D$3:$L$33,9,0)*IF(玩法行为规划!D38&gt;0,1,0))</f>
        <v>0.5</v>
      </c>
      <c r="F38" s="7">
        <f>IF(VLOOKUP(F$2,行为概览!$D$3:$L$33,9,0)="","",VLOOKUP(F$2,行为概览!$D$3:$L$33,9,0)*IF(玩法行为规划!E38&gt;0,1,0))</f>
        <v>0</v>
      </c>
      <c r="G38" s="7" t="str">
        <f>IF(VLOOKUP(G$2,行为概览!$D$3:$L$33,9,0)="","",VLOOKUP(G$2,行为概览!$D$3:$L$33,9,0)*IF(玩法行为规划!F38&gt;0,1,0))</f>
        <v/>
      </c>
      <c r="H38" s="7" t="str">
        <f>IF(VLOOKUP(H$2,行为概览!$D$3:$L$33,9,0)="","",VLOOKUP(H$2,行为概览!$D$3:$L$33,9,0)*IF(玩法行为规划!G38&gt;0,1,0))</f>
        <v/>
      </c>
      <c r="I38" s="7" t="str">
        <f>IF(VLOOKUP(I$2,行为概览!$D$3:$L$33,9,0)="","",VLOOKUP(I$2,行为概览!$D$3:$L$33,9,0)*IF(玩法行为规划!H38&gt;0,1,0))</f>
        <v/>
      </c>
      <c r="J38" s="7" t="str">
        <f>IF(VLOOKUP(J$2,行为概览!$D$3:$L$33,9,0)="","",VLOOKUP(J$2,行为概览!$D$3:$L$33,9,0)*IF(玩法行为规划!I38&gt;0,1,0))</f>
        <v/>
      </c>
      <c r="K38" s="7">
        <f>IF(VLOOKUP(K$2,行为概览!$D$3:$L$33,9,0)="","",VLOOKUP(K$2,行为概览!$D$3:$L$33,9,0)*IF(玩法行为规划!J38&gt;0,1,0))</f>
        <v>1</v>
      </c>
      <c r="L38" s="7">
        <f>IF(VLOOKUP(L$2,行为概览!$D$3:$L$33,9,0)="","",VLOOKUP(L$2,行为概览!$D$3:$L$33,9,0)*IF(玩法行为规划!K38&gt;0,1,0))</f>
        <v>1</v>
      </c>
      <c r="M38" s="7" t="str">
        <f>IF(VLOOKUP(M$2,行为概览!$D$3:$L$33,9,0)="","",VLOOKUP(M$2,行为概览!$D$3:$L$33,9,0)*IF(玩法行为规划!L38&gt;0,1,0))</f>
        <v/>
      </c>
      <c r="N38" s="7" t="str">
        <f>IF(VLOOKUP(N$2,行为概览!$D$3:$L$33,9,0)="","",VLOOKUP(N$2,行为概览!$D$3:$L$33,9,0)*IF(玩法行为规划!M38&gt;0,1,0))</f>
        <v/>
      </c>
      <c r="O38" s="7" t="str">
        <f>IF(VLOOKUP(O$2,行为概览!$D$3:$L$33,9,0)="","",VLOOKUP(O$2,行为概览!$D$3:$L$33,9,0)*IF(玩法行为规划!N38&gt;0,1,0))</f>
        <v/>
      </c>
      <c r="P38" s="7">
        <f>IF(VLOOKUP(P$2,行为概览!$D$3:$L$33,9,0)="","",VLOOKUP(P$2,行为概览!$D$3:$L$33,9,0)*IF(玩法行为规划!O38&gt;0,1,0))</f>
        <v>0.5</v>
      </c>
      <c r="Q38" s="7">
        <f>IF(VLOOKUP(Q$2,行为概览!$D$3:$L$33,9,0)="","",VLOOKUP(Q$2,行为概览!$D$3:$L$33,9,0)*IF(玩法行为规划!P38&gt;0,1,0))</f>
        <v>5</v>
      </c>
      <c r="R38" s="7" t="str">
        <f>IF(VLOOKUP(R$2,行为概览!$D$3:$L$33,9,0)="","",VLOOKUP(R$2,行为概览!$D$3:$L$33,9,0)*IF(玩法行为规划!Q38&gt;0,1,0))</f>
        <v/>
      </c>
      <c r="S38" s="7">
        <f>IF(VLOOKUP(S$2,行为概览!$D$3:$L$33,9,0)="","",VLOOKUP(S$2,行为概览!$D$3:$L$33,9,0)*IF(玩法行为规划!R38&gt;0,1,0))</f>
        <v>1</v>
      </c>
      <c r="T38" s="7">
        <f>IF(VLOOKUP(T$2,行为概览!$D$3:$L$33,9,0)="","",VLOOKUP(T$2,行为概览!$D$3:$L$33,9,0)*IF(玩法行为规划!S38&gt;0,1,0))</f>
        <v>1</v>
      </c>
      <c r="U38" s="7">
        <f>IF(VLOOKUP(U$2,行为概览!$D$3:$L$33,9,0)="","",VLOOKUP(U$2,行为概览!$D$3:$L$33,9,0)*IF(玩法行为规划!T38&gt;0,1,0))</f>
        <v>0</v>
      </c>
      <c r="V38" s="7">
        <f>IF(VLOOKUP(V$2,行为概览!$D$3:$L$33,9,0)="","",VLOOKUP(V$2,行为概览!$D$3:$L$33,9,0)*IF(玩法行为规划!U38&gt;0,1,0))</f>
        <v>1.5</v>
      </c>
      <c r="W38" s="7">
        <f>IF(VLOOKUP(W$2,行为概览!$D$3:$L$33,9,0)="","",VLOOKUP(W$2,行为概览!$D$3:$L$33,9,0)*IF(玩法行为规划!V38&gt;0,1,0))</f>
        <v>1</v>
      </c>
      <c r="X38" s="7">
        <f>IF(VLOOKUP(X$2,行为概览!$D$3:$L$33,9,0)="","",VLOOKUP(X$2,行为概览!$D$3:$L$33,9,0)*IF(玩法行为规划!W38&gt;0,1,0))</f>
        <v>1</v>
      </c>
      <c r="Y38" s="7">
        <f>IF(VLOOKUP(Y$2,行为概览!$D$3:$L$33,9,0)="","",VLOOKUP(Y$2,行为概览!$D$3:$L$33,9,0)*IF(玩法行为规划!X38&gt;0,1,0))</f>
        <v>0</v>
      </c>
      <c r="Z38" s="7">
        <f>IF(VLOOKUP(Z$2,行为概览!$D$3:$L$33,9,0)="","",VLOOKUP(Z$2,行为概览!$D$3:$L$33,9,0)*IF(玩法行为规划!Y38&gt;0,1,0))</f>
        <v>0</v>
      </c>
      <c r="AA38" s="7">
        <f>IF(VLOOKUP(AA$2,行为概览!$D$3:$L$33,9,0)="","",VLOOKUP(AA$2,行为概览!$D$3:$L$33,9,0)*IF(玩法行为规划!Z38&gt;0,1,0))</f>
        <v>0</v>
      </c>
      <c r="AB38" s="7" t="str">
        <f>IF(VLOOKUP(AB$2,行为概览!$D$3:$L$33,9,0)="","",VLOOKUP(AB$2,行为概览!$D$3:$L$33,9,0)*IF(玩法行为规划!AA38&gt;0,1,0))</f>
        <v/>
      </c>
      <c r="AC38" s="7" t="str">
        <f>IF(VLOOKUP(AC$2,行为概览!$D$3:$L$33,9,0)="","",VLOOKUP(AC$2,行为概览!$D$3:$L$33,9,0)*IF(玩法行为规划!AB38&gt;0,1,0))</f>
        <v/>
      </c>
      <c r="AD38" s="7" t="str">
        <f>IF(VLOOKUP(AD$2,行为概览!$D$3:$L$33,9,0)="","",VLOOKUP(AD$2,行为概览!$D$3:$L$33,9,0)*玩法行为规划!AC38)</f>
        <v/>
      </c>
      <c r="AE38" s="7" t="str">
        <f>IF(VLOOKUP(AE$2,行为概览!$D$3:$L$33,9,0)="","",VLOOKUP(AE$2,行为概览!$D$3:$L$33,9,0)*玩法行为规划!AD38)</f>
        <v/>
      </c>
      <c r="AF38" s="7">
        <f t="shared" si="10"/>
        <v>19.149999999999999</v>
      </c>
      <c r="AG38" s="10">
        <f t="shared" si="11"/>
        <v>689400</v>
      </c>
      <c r="AH38" s="7">
        <f>ROUND(AG38*升级节奏!G38,0)</f>
        <v>88220</v>
      </c>
      <c r="AI38" s="7">
        <f t="shared" si="2"/>
        <v>36000</v>
      </c>
      <c r="AJ38" s="21" t="str">
        <f t="shared" si="9"/>
        <v/>
      </c>
      <c r="AK38" s="7">
        <f t="shared" si="3"/>
        <v>0.28980840444372885</v>
      </c>
      <c r="AL38" s="7">
        <f t="shared" si="4"/>
        <v>124220</v>
      </c>
      <c r="AM38" s="7">
        <f>SUM($AL$3:AL38)</f>
        <v>1127809</v>
      </c>
      <c r="AN38" s="166">
        <f t="shared" si="5"/>
        <v>10100</v>
      </c>
      <c r="AO38" s="7">
        <f>SUM($AN$3:AN38)*7</f>
        <v>1039500</v>
      </c>
      <c r="AP38" s="69">
        <f t="shared" si="6"/>
        <v>64309</v>
      </c>
      <c r="AQ38" s="160">
        <f t="shared" si="7"/>
        <v>16000</v>
      </c>
      <c r="AR38" s="160">
        <f t="shared" si="8"/>
        <v>8000</v>
      </c>
    </row>
    <row r="39" spans="1:44">
      <c r="A39" s="32">
        <v>37</v>
      </c>
      <c r="B39" s="81">
        <f>升级节奏!E39</f>
        <v>37000</v>
      </c>
      <c r="C39" s="7">
        <f>IF(VLOOKUP(C$2,行为概览!$D$3:$L$33,9,0)="","",VLOOKUP(C$2,行为概览!$D$3:$L$33,9,0)*IF(玩法行为规划!B39&gt;0,1,0))</f>
        <v>4</v>
      </c>
      <c r="D39" s="7">
        <f>IF(VLOOKUP(D$2,行为概览!$D$3:$L$33,9,0)="","",VLOOKUP(D$2,行为概览!$D$3:$L$33,9,0)*IF(玩法行为规划!C39&gt;0,1,0))</f>
        <v>1.65</v>
      </c>
      <c r="E39" s="7">
        <f>IF(VLOOKUP(E$2,行为概览!$D$3:$L$33,9,0)="","",VLOOKUP(E$2,行为概览!$D$3:$L$33,9,0)*IF(玩法行为规划!D39&gt;0,1,0))</f>
        <v>0.5</v>
      </c>
      <c r="F39" s="7">
        <f>IF(VLOOKUP(F$2,行为概览!$D$3:$L$33,9,0)="","",VLOOKUP(F$2,行为概览!$D$3:$L$33,9,0)*IF(玩法行为规划!E39&gt;0,1,0))</f>
        <v>0</v>
      </c>
      <c r="G39" s="7" t="str">
        <f>IF(VLOOKUP(G$2,行为概览!$D$3:$L$33,9,0)="","",VLOOKUP(G$2,行为概览!$D$3:$L$33,9,0)*IF(玩法行为规划!F39&gt;0,1,0))</f>
        <v/>
      </c>
      <c r="H39" s="7" t="str">
        <f>IF(VLOOKUP(H$2,行为概览!$D$3:$L$33,9,0)="","",VLOOKUP(H$2,行为概览!$D$3:$L$33,9,0)*IF(玩法行为规划!G39&gt;0,1,0))</f>
        <v/>
      </c>
      <c r="I39" s="7" t="str">
        <f>IF(VLOOKUP(I$2,行为概览!$D$3:$L$33,9,0)="","",VLOOKUP(I$2,行为概览!$D$3:$L$33,9,0)*IF(玩法行为规划!H39&gt;0,1,0))</f>
        <v/>
      </c>
      <c r="J39" s="7" t="str">
        <f>IF(VLOOKUP(J$2,行为概览!$D$3:$L$33,9,0)="","",VLOOKUP(J$2,行为概览!$D$3:$L$33,9,0)*IF(玩法行为规划!I39&gt;0,1,0))</f>
        <v/>
      </c>
      <c r="K39" s="7">
        <f>IF(VLOOKUP(K$2,行为概览!$D$3:$L$33,9,0)="","",VLOOKUP(K$2,行为概览!$D$3:$L$33,9,0)*IF(玩法行为规划!J39&gt;0,1,0))</f>
        <v>1</v>
      </c>
      <c r="L39" s="7">
        <f>IF(VLOOKUP(L$2,行为概览!$D$3:$L$33,9,0)="","",VLOOKUP(L$2,行为概览!$D$3:$L$33,9,0)*IF(玩法行为规划!K39&gt;0,1,0))</f>
        <v>1</v>
      </c>
      <c r="M39" s="7" t="str">
        <f>IF(VLOOKUP(M$2,行为概览!$D$3:$L$33,9,0)="","",VLOOKUP(M$2,行为概览!$D$3:$L$33,9,0)*IF(玩法行为规划!L39&gt;0,1,0))</f>
        <v/>
      </c>
      <c r="N39" s="7" t="str">
        <f>IF(VLOOKUP(N$2,行为概览!$D$3:$L$33,9,0)="","",VLOOKUP(N$2,行为概览!$D$3:$L$33,9,0)*IF(玩法行为规划!M39&gt;0,1,0))</f>
        <v/>
      </c>
      <c r="O39" s="7" t="str">
        <f>IF(VLOOKUP(O$2,行为概览!$D$3:$L$33,9,0)="","",VLOOKUP(O$2,行为概览!$D$3:$L$33,9,0)*IF(玩法行为规划!N39&gt;0,1,0))</f>
        <v/>
      </c>
      <c r="P39" s="7">
        <f>IF(VLOOKUP(P$2,行为概览!$D$3:$L$33,9,0)="","",VLOOKUP(P$2,行为概览!$D$3:$L$33,9,0)*IF(玩法行为规划!O39&gt;0,1,0))</f>
        <v>0.5</v>
      </c>
      <c r="Q39" s="7">
        <f>IF(VLOOKUP(Q$2,行为概览!$D$3:$L$33,9,0)="","",VLOOKUP(Q$2,行为概览!$D$3:$L$33,9,0)*IF(玩法行为规划!P39&gt;0,1,0))</f>
        <v>5</v>
      </c>
      <c r="R39" s="7" t="str">
        <f>IF(VLOOKUP(R$2,行为概览!$D$3:$L$33,9,0)="","",VLOOKUP(R$2,行为概览!$D$3:$L$33,9,0)*IF(玩法行为规划!Q39&gt;0,1,0))</f>
        <v/>
      </c>
      <c r="S39" s="7">
        <f>IF(VLOOKUP(S$2,行为概览!$D$3:$L$33,9,0)="","",VLOOKUP(S$2,行为概览!$D$3:$L$33,9,0)*IF(玩法行为规划!R39&gt;0,1,0))</f>
        <v>1</v>
      </c>
      <c r="T39" s="7">
        <f>IF(VLOOKUP(T$2,行为概览!$D$3:$L$33,9,0)="","",VLOOKUP(T$2,行为概览!$D$3:$L$33,9,0)*IF(玩法行为规划!S39&gt;0,1,0))</f>
        <v>1</v>
      </c>
      <c r="U39" s="7">
        <f>IF(VLOOKUP(U$2,行为概览!$D$3:$L$33,9,0)="","",VLOOKUP(U$2,行为概览!$D$3:$L$33,9,0)*IF(玩法行为规划!T39&gt;0,1,0))</f>
        <v>0</v>
      </c>
      <c r="V39" s="7">
        <f>IF(VLOOKUP(V$2,行为概览!$D$3:$L$33,9,0)="","",VLOOKUP(V$2,行为概览!$D$3:$L$33,9,0)*IF(玩法行为规划!U39&gt;0,1,0))</f>
        <v>1.5</v>
      </c>
      <c r="W39" s="7">
        <f>IF(VLOOKUP(W$2,行为概览!$D$3:$L$33,9,0)="","",VLOOKUP(W$2,行为概览!$D$3:$L$33,9,0)*IF(玩法行为规划!V39&gt;0,1,0))</f>
        <v>1</v>
      </c>
      <c r="X39" s="7">
        <f>IF(VLOOKUP(X$2,行为概览!$D$3:$L$33,9,0)="","",VLOOKUP(X$2,行为概览!$D$3:$L$33,9,0)*IF(玩法行为规划!W39&gt;0,1,0))</f>
        <v>1</v>
      </c>
      <c r="Y39" s="7">
        <f>IF(VLOOKUP(Y$2,行为概览!$D$3:$L$33,9,0)="","",VLOOKUP(Y$2,行为概览!$D$3:$L$33,9,0)*IF(玩法行为规划!X39&gt;0,1,0))</f>
        <v>0</v>
      </c>
      <c r="Z39" s="7">
        <f>IF(VLOOKUP(Z$2,行为概览!$D$3:$L$33,9,0)="","",VLOOKUP(Z$2,行为概览!$D$3:$L$33,9,0)*IF(玩法行为规划!Y39&gt;0,1,0))</f>
        <v>0</v>
      </c>
      <c r="AA39" s="7">
        <f>IF(VLOOKUP(AA$2,行为概览!$D$3:$L$33,9,0)="","",VLOOKUP(AA$2,行为概览!$D$3:$L$33,9,0)*IF(玩法行为规划!Z39&gt;0,1,0))</f>
        <v>0</v>
      </c>
      <c r="AB39" s="7" t="str">
        <f>IF(VLOOKUP(AB$2,行为概览!$D$3:$L$33,9,0)="","",VLOOKUP(AB$2,行为概览!$D$3:$L$33,9,0)*IF(玩法行为规划!AA39&gt;0,1,0))</f>
        <v/>
      </c>
      <c r="AC39" s="7" t="str">
        <f>IF(VLOOKUP(AC$2,行为概览!$D$3:$L$33,9,0)="","",VLOOKUP(AC$2,行为概览!$D$3:$L$33,9,0)*IF(玩法行为规划!AB39&gt;0,1,0))</f>
        <v/>
      </c>
      <c r="AD39" s="7" t="str">
        <f>IF(VLOOKUP(AD$2,行为概览!$D$3:$L$33,9,0)="","",VLOOKUP(AD$2,行为概览!$D$3:$L$33,9,0)*玩法行为规划!AC39)</f>
        <v/>
      </c>
      <c r="AE39" s="7" t="str">
        <f>IF(VLOOKUP(AE$2,行为概览!$D$3:$L$33,9,0)="","",VLOOKUP(AE$2,行为概览!$D$3:$L$33,9,0)*玩法行为规划!AD39)</f>
        <v/>
      </c>
      <c r="AF39" s="7">
        <f t="shared" si="10"/>
        <v>19.149999999999999</v>
      </c>
      <c r="AG39" s="10">
        <f t="shared" si="11"/>
        <v>708550</v>
      </c>
      <c r="AH39" s="7">
        <f>ROUND(AG39*升级节奏!G39,0)</f>
        <v>95412</v>
      </c>
      <c r="AI39" s="7">
        <f t="shared" si="2"/>
        <v>37000</v>
      </c>
      <c r="AJ39" s="21" t="str">
        <f t="shared" si="9"/>
        <v/>
      </c>
      <c r="AK39" s="7">
        <f t="shared" si="3"/>
        <v>0.2794308672929946</v>
      </c>
      <c r="AL39" s="7">
        <f t="shared" si="4"/>
        <v>132412</v>
      </c>
      <c r="AM39" s="7">
        <f>SUM($AL$3:AL39)</f>
        <v>1260221</v>
      </c>
      <c r="AN39" s="166">
        <f t="shared" si="5"/>
        <v>10600</v>
      </c>
      <c r="AO39" s="7">
        <f>SUM($AN$3:AN39)*7</f>
        <v>1113700</v>
      </c>
      <c r="AP39" s="69">
        <f t="shared" si="6"/>
        <v>121121</v>
      </c>
      <c r="AQ39" s="160">
        <f t="shared" si="7"/>
        <v>16900</v>
      </c>
      <c r="AR39" s="160">
        <f t="shared" si="8"/>
        <v>8500</v>
      </c>
    </row>
    <row r="40" spans="1:44">
      <c r="A40" s="32">
        <v>38</v>
      </c>
      <c r="B40" s="81">
        <f>升级节奏!E40</f>
        <v>38000</v>
      </c>
      <c r="C40" s="7">
        <f>IF(VLOOKUP(C$2,行为概览!$D$3:$L$33,9,0)="","",VLOOKUP(C$2,行为概览!$D$3:$L$33,9,0)*IF(玩法行为规划!B40&gt;0,1,0))</f>
        <v>4</v>
      </c>
      <c r="D40" s="7">
        <f>IF(VLOOKUP(D$2,行为概览!$D$3:$L$33,9,0)="","",VLOOKUP(D$2,行为概览!$D$3:$L$33,9,0)*IF(玩法行为规划!C40&gt;0,1,0))</f>
        <v>1.65</v>
      </c>
      <c r="E40" s="7">
        <f>IF(VLOOKUP(E$2,行为概览!$D$3:$L$33,9,0)="","",VLOOKUP(E$2,行为概览!$D$3:$L$33,9,0)*IF(玩法行为规划!D40&gt;0,1,0))</f>
        <v>0.5</v>
      </c>
      <c r="F40" s="7">
        <f>IF(VLOOKUP(F$2,行为概览!$D$3:$L$33,9,0)="","",VLOOKUP(F$2,行为概览!$D$3:$L$33,9,0)*IF(玩法行为规划!E40&gt;0,1,0))</f>
        <v>0</v>
      </c>
      <c r="G40" s="7" t="str">
        <f>IF(VLOOKUP(G$2,行为概览!$D$3:$L$33,9,0)="","",VLOOKUP(G$2,行为概览!$D$3:$L$33,9,0)*IF(玩法行为规划!F40&gt;0,1,0))</f>
        <v/>
      </c>
      <c r="H40" s="7" t="str">
        <f>IF(VLOOKUP(H$2,行为概览!$D$3:$L$33,9,0)="","",VLOOKUP(H$2,行为概览!$D$3:$L$33,9,0)*IF(玩法行为规划!G40&gt;0,1,0))</f>
        <v/>
      </c>
      <c r="I40" s="7" t="str">
        <f>IF(VLOOKUP(I$2,行为概览!$D$3:$L$33,9,0)="","",VLOOKUP(I$2,行为概览!$D$3:$L$33,9,0)*IF(玩法行为规划!H40&gt;0,1,0))</f>
        <v/>
      </c>
      <c r="J40" s="7" t="str">
        <f>IF(VLOOKUP(J$2,行为概览!$D$3:$L$33,9,0)="","",VLOOKUP(J$2,行为概览!$D$3:$L$33,9,0)*IF(玩法行为规划!I40&gt;0,1,0))</f>
        <v/>
      </c>
      <c r="K40" s="7">
        <f>IF(VLOOKUP(K$2,行为概览!$D$3:$L$33,9,0)="","",VLOOKUP(K$2,行为概览!$D$3:$L$33,9,0)*IF(玩法行为规划!J40&gt;0,1,0))</f>
        <v>1</v>
      </c>
      <c r="L40" s="7">
        <f>IF(VLOOKUP(L$2,行为概览!$D$3:$L$33,9,0)="","",VLOOKUP(L$2,行为概览!$D$3:$L$33,9,0)*IF(玩法行为规划!K40&gt;0,1,0))</f>
        <v>1</v>
      </c>
      <c r="M40" s="7" t="str">
        <f>IF(VLOOKUP(M$2,行为概览!$D$3:$L$33,9,0)="","",VLOOKUP(M$2,行为概览!$D$3:$L$33,9,0)*IF(玩法行为规划!L40&gt;0,1,0))</f>
        <v/>
      </c>
      <c r="N40" s="7" t="str">
        <f>IF(VLOOKUP(N$2,行为概览!$D$3:$L$33,9,0)="","",VLOOKUP(N$2,行为概览!$D$3:$L$33,9,0)*IF(玩法行为规划!M40&gt;0,1,0))</f>
        <v/>
      </c>
      <c r="O40" s="7" t="str">
        <f>IF(VLOOKUP(O$2,行为概览!$D$3:$L$33,9,0)="","",VLOOKUP(O$2,行为概览!$D$3:$L$33,9,0)*IF(玩法行为规划!N40&gt;0,1,0))</f>
        <v/>
      </c>
      <c r="P40" s="7">
        <f>IF(VLOOKUP(P$2,行为概览!$D$3:$L$33,9,0)="","",VLOOKUP(P$2,行为概览!$D$3:$L$33,9,0)*IF(玩法行为规划!O40&gt;0,1,0))</f>
        <v>0.5</v>
      </c>
      <c r="Q40" s="7">
        <f>IF(VLOOKUP(Q$2,行为概览!$D$3:$L$33,9,0)="","",VLOOKUP(Q$2,行为概览!$D$3:$L$33,9,0)*IF(玩法行为规划!P40&gt;0,1,0))</f>
        <v>5</v>
      </c>
      <c r="R40" s="7" t="str">
        <f>IF(VLOOKUP(R$2,行为概览!$D$3:$L$33,9,0)="","",VLOOKUP(R$2,行为概览!$D$3:$L$33,9,0)*IF(玩法行为规划!Q40&gt;0,1,0))</f>
        <v/>
      </c>
      <c r="S40" s="7">
        <f>IF(VLOOKUP(S$2,行为概览!$D$3:$L$33,9,0)="","",VLOOKUP(S$2,行为概览!$D$3:$L$33,9,0)*IF(玩法行为规划!R40&gt;0,1,0))</f>
        <v>1</v>
      </c>
      <c r="T40" s="7">
        <f>IF(VLOOKUP(T$2,行为概览!$D$3:$L$33,9,0)="","",VLOOKUP(T$2,行为概览!$D$3:$L$33,9,0)*IF(玩法行为规划!S40&gt;0,1,0))</f>
        <v>1</v>
      </c>
      <c r="U40" s="7">
        <f>IF(VLOOKUP(U$2,行为概览!$D$3:$L$33,9,0)="","",VLOOKUP(U$2,行为概览!$D$3:$L$33,9,0)*IF(玩法行为规划!T40&gt;0,1,0))</f>
        <v>0</v>
      </c>
      <c r="V40" s="7">
        <f>IF(VLOOKUP(V$2,行为概览!$D$3:$L$33,9,0)="","",VLOOKUP(V$2,行为概览!$D$3:$L$33,9,0)*IF(玩法行为规划!U40&gt;0,1,0))</f>
        <v>1.5</v>
      </c>
      <c r="W40" s="7">
        <f>IF(VLOOKUP(W$2,行为概览!$D$3:$L$33,9,0)="","",VLOOKUP(W$2,行为概览!$D$3:$L$33,9,0)*IF(玩法行为规划!V40&gt;0,1,0))</f>
        <v>1</v>
      </c>
      <c r="X40" s="7">
        <f>IF(VLOOKUP(X$2,行为概览!$D$3:$L$33,9,0)="","",VLOOKUP(X$2,行为概览!$D$3:$L$33,9,0)*IF(玩法行为规划!W40&gt;0,1,0))</f>
        <v>1</v>
      </c>
      <c r="Y40" s="7">
        <f>IF(VLOOKUP(Y$2,行为概览!$D$3:$L$33,9,0)="","",VLOOKUP(Y$2,行为概览!$D$3:$L$33,9,0)*IF(玩法行为规划!X40&gt;0,1,0))</f>
        <v>0</v>
      </c>
      <c r="Z40" s="7">
        <f>IF(VLOOKUP(Z$2,行为概览!$D$3:$L$33,9,0)="","",VLOOKUP(Z$2,行为概览!$D$3:$L$33,9,0)*IF(玩法行为规划!Y40&gt;0,1,0))</f>
        <v>0</v>
      </c>
      <c r="AA40" s="7">
        <f>IF(VLOOKUP(AA$2,行为概览!$D$3:$L$33,9,0)="","",VLOOKUP(AA$2,行为概览!$D$3:$L$33,9,0)*IF(玩法行为规划!Z40&gt;0,1,0))</f>
        <v>0</v>
      </c>
      <c r="AB40" s="7" t="str">
        <f>IF(VLOOKUP(AB$2,行为概览!$D$3:$L$33,9,0)="","",VLOOKUP(AB$2,行为概览!$D$3:$L$33,9,0)*IF(玩法行为规划!AA40&gt;0,1,0))</f>
        <v/>
      </c>
      <c r="AC40" s="7" t="str">
        <f>IF(VLOOKUP(AC$2,行为概览!$D$3:$L$33,9,0)="","",VLOOKUP(AC$2,行为概览!$D$3:$L$33,9,0)*IF(玩法行为规划!AB40&gt;0,1,0))</f>
        <v/>
      </c>
      <c r="AD40" s="7" t="str">
        <f>IF(VLOOKUP(AD$2,行为概览!$D$3:$L$33,9,0)="","",VLOOKUP(AD$2,行为概览!$D$3:$L$33,9,0)*玩法行为规划!AC40)</f>
        <v/>
      </c>
      <c r="AE40" s="7" t="str">
        <f>IF(VLOOKUP(AE$2,行为概览!$D$3:$L$33,9,0)="","",VLOOKUP(AE$2,行为概览!$D$3:$L$33,9,0)*玩法行为规划!AD40)</f>
        <v/>
      </c>
      <c r="AF40" s="7">
        <f t="shared" si="10"/>
        <v>19.149999999999999</v>
      </c>
      <c r="AG40" s="10">
        <f t="shared" si="11"/>
        <v>727700</v>
      </c>
      <c r="AH40" s="7">
        <f>ROUND(AG40*升级节奏!G40,0)</f>
        <v>102994</v>
      </c>
      <c r="AI40" s="7">
        <f t="shared" si="2"/>
        <v>38000</v>
      </c>
      <c r="AJ40" s="21" t="str">
        <f t="shared" si="9"/>
        <v/>
      </c>
      <c r="AK40" s="7">
        <f t="shared" si="3"/>
        <v>0.26951501482332579</v>
      </c>
      <c r="AL40" s="7">
        <f t="shared" si="4"/>
        <v>140994</v>
      </c>
      <c r="AM40" s="7">
        <f>SUM($AL$3:AL40)</f>
        <v>1401215</v>
      </c>
      <c r="AN40" s="166">
        <f t="shared" si="5"/>
        <v>11000</v>
      </c>
      <c r="AO40" s="7">
        <f>SUM($AN$3:AN40)*7</f>
        <v>1190700</v>
      </c>
      <c r="AP40" s="69">
        <f t="shared" si="6"/>
        <v>183715</v>
      </c>
      <c r="AQ40" s="160">
        <f t="shared" si="7"/>
        <v>17900</v>
      </c>
      <c r="AR40" s="160">
        <f t="shared" si="8"/>
        <v>8900</v>
      </c>
    </row>
    <row r="41" spans="1:44">
      <c r="A41" s="32">
        <v>39</v>
      </c>
      <c r="B41" s="81">
        <f>升级节奏!E41</f>
        <v>39000</v>
      </c>
      <c r="C41" s="7">
        <f>IF(VLOOKUP(C$2,行为概览!$D$3:$L$33,9,0)="","",VLOOKUP(C$2,行为概览!$D$3:$L$33,9,0)*IF(玩法行为规划!B41&gt;0,1,0))</f>
        <v>4</v>
      </c>
      <c r="D41" s="7">
        <f>IF(VLOOKUP(D$2,行为概览!$D$3:$L$33,9,0)="","",VLOOKUP(D$2,行为概览!$D$3:$L$33,9,0)*IF(玩法行为规划!C41&gt;0,1,0))</f>
        <v>1.65</v>
      </c>
      <c r="E41" s="7">
        <f>IF(VLOOKUP(E$2,行为概览!$D$3:$L$33,9,0)="","",VLOOKUP(E$2,行为概览!$D$3:$L$33,9,0)*IF(玩法行为规划!D41&gt;0,1,0))</f>
        <v>0.5</v>
      </c>
      <c r="F41" s="7">
        <f>IF(VLOOKUP(F$2,行为概览!$D$3:$L$33,9,0)="","",VLOOKUP(F$2,行为概览!$D$3:$L$33,9,0)*IF(玩法行为规划!E41&gt;0,1,0))</f>
        <v>0</v>
      </c>
      <c r="G41" s="7" t="str">
        <f>IF(VLOOKUP(G$2,行为概览!$D$3:$L$33,9,0)="","",VLOOKUP(G$2,行为概览!$D$3:$L$33,9,0)*IF(玩法行为规划!F41&gt;0,1,0))</f>
        <v/>
      </c>
      <c r="H41" s="7" t="str">
        <f>IF(VLOOKUP(H$2,行为概览!$D$3:$L$33,9,0)="","",VLOOKUP(H$2,行为概览!$D$3:$L$33,9,0)*IF(玩法行为规划!G41&gt;0,1,0))</f>
        <v/>
      </c>
      <c r="I41" s="7" t="str">
        <f>IF(VLOOKUP(I$2,行为概览!$D$3:$L$33,9,0)="","",VLOOKUP(I$2,行为概览!$D$3:$L$33,9,0)*IF(玩法行为规划!H41&gt;0,1,0))</f>
        <v/>
      </c>
      <c r="J41" s="7" t="str">
        <f>IF(VLOOKUP(J$2,行为概览!$D$3:$L$33,9,0)="","",VLOOKUP(J$2,行为概览!$D$3:$L$33,9,0)*IF(玩法行为规划!I41&gt;0,1,0))</f>
        <v/>
      </c>
      <c r="K41" s="7">
        <f>IF(VLOOKUP(K$2,行为概览!$D$3:$L$33,9,0)="","",VLOOKUP(K$2,行为概览!$D$3:$L$33,9,0)*IF(玩法行为规划!J41&gt;0,1,0))</f>
        <v>1</v>
      </c>
      <c r="L41" s="7">
        <f>IF(VLOOKUP(L$2,行为概览!$D$3:$L$33,9,0)="","",VLOOKUP(L$2,行为概览!$D$3:$L$33,9,0)*IF(玩法行为规划!K41&gt;0,1,0))</f>
        <v>1</v>
      </c>
      <c r="M41" s="7" t="str">
        <f>IF(VLOOKUP(M$2,行为概览!$D$3:$L$33,9,0)="","",VLOOKUP(M$2,行为概览!$D$3:$L$33,9,0)*IF(玩法行为规划!L41&gt;0,1,0))</f>
        <v/>
      </c>
      <c r="N41" s="7" t="str">
        <f>IF(VLOOKUP(N$2,行为概览!$D$3:$L$33,9,0)="","",VLOOKUP(N$2,行为概览!$D$3:$L$33,9,0)*IF(玩法行为规划!M41&gt;0,1,0))</f>
        <v/>
      </c>
      <c r="O41" s="7" t="str">
        <f>IF(VLOOKUP(O$2,行为概览!$D$3:$L$33,9,0)="","",VLOOKUP(O$2,行为概览!$D$3:$L$33,9,0)*IF(玩法行为规划!N41&gt;0,1,0))</f>
        <v/>
      </c>
      <c r="P41" s="7">
        <f>IF(VLOOKUP(P$2,行为概览!$D$3:$L$33,9,0)="","",VLOOKUP(P$2,行为概览!$D$3:$L$33,9,0)*IF(玩法行为规划!O41&gt;0,1,0))</f>
        <v>0.5</v>
      </c>
      <c r="Q41" s="7">
        <f>IF(VLOOKUP(Q$2,行为概览!$D$3:$L$33,9,0)="","",VLOOKUP(Q$2,行为概览!$D$3:$L$33,9,0)*IF(玩法行为规划!P41&gt;0,1,0))</f>
        <v>5</v>
      </c>
      <c r="R41" s="7" t="str">
        <f>IF(VLOOKUP(R$2,行为概览!$D$3:$L$33,9,0)="","",VLOOKUP(R$2,行为概览!$D$3:$L$33,9,0)*IF(玩法行为规划!Q41&gt;0,1,0))</f>
        <v/>
      </c>
      <c r="S41" s="7">
        <f>IF(VLOOKUP(S$2,行为概览!$D$3:$L$33,9,0)="","",VLOOKUP(S$2,行为概览!$D$3:$L$33,9,0)*IF(玩法行为规划!R41&gt;0,1,0))</f>
        <v>1</v>
      </c>
      <c r="T41" s="7">
        <f>IF(VLOOKUP(T$2,行为概览!$D$3:$L$33,9,0)="","",VLOOKUP(T$2,行为概览!$D$3:$L$33,9,0)*IF(玩法行为规划!S41&gt;0,1,0))</f>
        <v>1</v>
      </c>
      <c r="U41" s="7">
        <f>IF(VLOOKUP(U$2,行为概览!$D$3:$L$33,9,0)="","",VLOOKUP(U$2,行为概览!$D$3:$L$33,9,0)*IF(玩法行为规划!T41&gt;0,1,0))</f>
        <v>0</v>
      </c>
      <c r="V41" s="7">
        <f>IF(VLOOKUP(V$2,行为概览!$D$3:$L$33,9,0)="","",VLOOKUP(V$2,行为概览!$D$3:$L$33,9,0)*IF(玩法行为规划!U41&gt;0,1,0))</f>
        <v>1.5</v>
      </c>
      <c r="W41" s="7">
        <f>IF(VLOOKUP(W$2,行为概览!$D$3:$L$33,9,0)="","",VLOOKUP(W$2,行为概览!$D$3:$L$33,9,0)*IF(玩法行为规划!V41&gt;0,1,0))</f>
        <v>1</v>
      </c>
      <c r="X41" s="7">
        <f>IF(VLOOKUP(X$2,行为概览!$D$3:$L$33,9,0)="","",VLOOKUP(X$2,行为概览!$D$3:$L$33,9,0)*IF(玩法行为规划!W41&gt;0,1,0))</f>
        <v>1</v>
      </c>
      <c r="Y41" s="7">
        <f>IF(VLOOKUP(Y$2,行为概览!$D$3:$L$33,9,0)="","",VLOOKUP(Y$2,行为概览!$D$3:$L$33,9,0)*IF(玩法行为规划!X41&gt;0,1,0))</f>
        <v>0</v>
      </c>
      <c r="Z41" s="7">
        <f>IF(VLOOKUP(Z$2,行为概览!$D$3:$L$33,9,0)="","",VLOOKUP(Z$2,行为概览!$D$3:$L$33,9,0)*IF(玩法行为规划!Y41&gt;0,1,0))</f>
        <v>0</v>
      </c>
      <c r="AA41" s="7">
        <f>IF(VLOOKUP(AA$2,行为概览!$D$3:$L$33,9,0)="","",VLOOKUP(AA$2,行为概览!$D$3:$L$33,9,0)*IF(玩法行为规划!Z41&gt;0,1,0))</f>
        <v>0</v>
      </c>
      <c r="AB41" s="7" t="str">
        <f>IF(VLOOKUP(AB$2,行为概览!$D$3:$L$33,9,0)="","",VLOOKUP(AB$2,行为概览!$D$3:$L$33,9,0)*IF(玩法行为规划!AA41&gt;0,1,0))</f>
        <v/>
      </c>
      <c r="AC41" s="7" t="str">
        <f>IF(VLOOKUP(AC$2,行为概览!$D$3:$L$33,9,0)="","",VLOOKUP(AC$2,行为概览!$D$3:$L$33,9,0)*IF(玩法行为规划!AB41&gt;0,1,0))</f>
        <v/>
      </c>
      <c r="AD41" s="7" t="str">
        <f>IF(VLOOKUP(AD$2,行为概览!$D$3:$L$33,9,0)="","",VLOOKUP(AD$2,行为概览!$D$3:$L$33,9,0)*玩法行为规划!AC41)</f>
        <v/>
      </c>
      <c r="AE41" s="7" t="str">
        <f>IF(VLOOKUP(AE$2,行为概览!$D$3:$L$33,9,0)="","",VLOOKUP(AE$2,行为概览!$D$3:$L$33,9,0)*玩法行为规划!AD41)</f>
        <v/>
      </c>
      <c r="AF41" s="7">
        <f t="shared" si="10"/>
        <v>19.149999999999999</v>
      </c>
      <c r="AG41" s="10">
        <f t="shared" si="11"/>
        <v>746850</v>
      </c>
      <c r="AH41" s="7">
        <f>ROUND(AG41*升级节奏!G41,0)</f>
        <v>131153</v>
      </c>
      <c r="AI41" s="7">
        <f t="shared" si="2"/>
        <v>39000</v>
      </c>
      <c r="AJ41" s="21" t="str">
        <f t="shared" si="9"/>
        <v/>
      </c>
      <c r="AK41" s="7">
        <f t="shared" si="3"/>
        <v>0.22920547977408567</v>
      </c>
      <c r="AL41" s="7">
        <f t="shared" si="4"/>
        <v>170153</v>
      </c>
      <c r="AM41" s="7">
        <f>SUM($AL$3:AL41)</f>
        <v>1571368</v>
      </c>
      <c r="AN41" s="166">
        <f t="shared" si="5"/>
        <v>12200</v>
      </c>
      <c r="AO41" s="7">
        <f>SUM($AN$3:AN41)*7</f>
        <v>1276100</v>
      </c>
      <c r="AP41" s="69">
        <f t="shared" si="6"/>
        <v>263868</v>
      </c>
      <c r="AQ41" s="160">
        <f t="shared" si="7"/>
        <v>20900</v>
      </c>
      <c r="AR41" s="160">
        <f t="shared" si="8"/>
        <v>10500</v>
      </c>
    </row>
    <row r="42" spans="1:44">
      <c r="A42" s="32">
        <v>40</v>
      </c>
      <c r="B42" s="81">
        <f>升级节奏!E42</f>
        <v>40000</v>
      </c>
      <c r="C42" s="7">
        <f>IF(VLOOKUP(C$2,行为概览!$D$3:$L$33,9,0)="","",VLOOKUP(C$2,行为概览!$D$3:$L$33,9,0)*IF(玩法行为规划!B42&gt;0,1,0))</f>
        <v>4</v>
      </c>
      <c r="D42" s="7">
        <f>IF(VLOOKUP(D$2,行为概览!$D$3:$L$33,9,0)="","",VLOOKUP(D$2,行为概览!$D$3:$L$33,9,0)*IF(玩法行为规划!C42&gt;0,1,0))</f>
        <v>1.65</v>
      </c>
      <c r="E42" s="7">
        <f>IF(VLOOKUP(E$2,行为概览!$D$3:$L$33,9,0)="","",VLOOKUP(E$2,行为概览!$D$3:$L$33,9,0)*IF(玩法行为规划!D42&gt;0,1,0))</f>
        <v>0.5</v>
      </c>
      <c r="F42" s="7">
        <f>IF(VLOOKUP(F$2,行为概览!$D$3:$L$33,9,0)="","",VLOOKUP(F$2,行为概览!$D$3:$L$33,9,0)*IF(玩法行为规划!E42&gt;0,1,0))</f>
        <v>1</v>
      </c>
      <c r="G42" s="7" t="str">
        <f>IF(VLOOKUP(G$2,行为概览!$D$3:$L$33,9,0)="","",VLOOKUP(G$2,行为概览!$D$3:$L$33,9,0)*IF(玩法行为规划!F42&gt;0,1,0))</f>
        <v/>
      </c>
      <c r="H42" s="7" t="str">
        <f>IF(VLOOKUP(H$2,行为概览!$D$3:$L$33,9,0)="","",VLOOKUP(H$2,行为概览!$D$3:$L$33,9,0)*IF(玩法行为规划!G42&gt;0,1,0))</f>
        <v/>
      </c>
      <c r="I42" s="7" t="str">
        <f>IF(VLOOKUP(I$2,行为概览!$D$3:$L$33,9,0)="","",VLOOKUP(I$2,行为概览!$D$3:$L$33,9,0)*IF(玩法行为规划!H42&gt;0,1,0))</f>
        <v/>
      </c>
      <c r="J42" s="7" t="str">
        <f>IF(VLOOKUP(J$2,行为概览!$D$3:$L$33,9,0)="","",VLOOKUP(J$2,行为概览!$D$3:$L$33,9,0)*IF(玩法行为规划!I42&gt;0,1,0))</f>
        <v/>
      </c>
      <c r="K42" s="7">
        <f>IF(VLOOKUP(K$2,行为概览!$D$3:$L$33,9,0)="","",VLOOKUP(K$2,行为概览!$D$3:$L$33,9,0)*IF(玩法行为规划!J42&gt;0,1,0))</f>
        <v>1</v>
      </c>
      <c r="L42" s="7">
        <f>IF(VLOOKUP(L$2,行为概览!$D$3:$L$33,9,0)="","",VLOOKUP(L$2,行为概览!$D$3:$L$33,9,0)*IF(玩法行为规划!K42&gt;0,1,0))</f>
        <v>1</v>
      </c>
      <c r="M42" s="7" t="str">
        <f>IF(VLOOKUP(M$2,行为概览!$D$3:$L$33,9,0)="","",VLOOKUP(M$2,行为概览!$D$3:$L$33,9,0)*IF(玩法行为规划!L42&gt;0,1,0))</f>
        <v/>
      </c>
      <c r="N42" s="7" t="str">
        <f>IF(VLOOKUP(N$2,行为概览!$D$3:$L$33,9,0)="","",VLOOKUP(N$2,行为概览!$D$3:$L$33,9,0)*IF(玩法行为规划!M42&gt;0,1,0))</f>
        <v/>
      </c>
      <c r="O42" s="7" t="str">
        <f>IF(VLOOKUP(O$2,行为概览!$D$3:$L$33,9,0)="","",VLOOKUP(O$2,行为概览!$D$3:$L$33,9,0)*IF(玩法行为规划!N42&gt;0,1,0))</f>
        <v/>
      </c>
      <c r="P42" s="7">
        <f>IF(VLOOKUP(P$2,行为概览!$D$3:$L$33,9,0)="","",VLOOKUP(P$2,行为概览!$D$3:$L$33,9,0)*IF(玩法行为规划!O42&gt;0,1,0))</f>
        <v>0.5</v>
      </c>
      <c r="Q42" s="7">
        <f>IF(VLOOKUP(Q$2,行为概览!$D$3:$L$33,9,0)="","",VLOOKUP(Q$2,行为概览!$D$3:$L$33,9,0)*IF(玩法行为规划!P42&gt;0,1,0))</f>
        <v>5</v>
      </c>
      <c r="R42" s="7" t="str">
        <f>IF(VLOOKUP(R$2,行为概览!$D$3:$L$33,9,0)="","",VLOOKUP(R$2,行为概览!$D$3:$L$33,9,0)*IF(玩法行为规划!Q42&gt;0,1,0))</f>
        <v/>
      </c>
      <c r="S42" s="7">
        <f>IF(VLOOKUP(S$2,行为概览!$D$3:$L$33,9,0)="","",VLOOKUP(S$2,行为概览!$D$3:$L$33,9,0)*IF(玩法行为规划!R42&gt;0,1,0))</f>
        <v>1</v>
      </c>
      <c r="T42" s="7">
        <f>IF(VLOOKUP(T$2,行为概览!$D$3:$L$33,9,0)="","",VLOOKUP(T$2,行为概览!$D$3:$L$33,9,0)*IF(玩法行为规划!S42&gt;0,1,0))</f>
        <v>1</v>
      </c>
      <c r="U42" s="7">
        <f>IF(VLOOKUP(U$2,行为概览!$D$3:$L$33,9,0)="","",VLOOKUP(U$2,行为概览!$D$3:$L$33,9,0)*IF(玩法行为规划!T42&gt;0,1,0))</f>
        <v>0</v>
      </c>
      <c r="V42" s="7">
        <f>IF(VLOOKUP(V$2,行为概览!$D$3:$L$33,9,0)="","",VLOOKUP(V$2,行为概览!$D$3:$L$33,9,0)*IF(玩法行为规划!U42&gt;0,1,0))</f>
        <v>1.5</v>
      </c>
      <c r="W42" s="7">
        <f>IF(VLOOKUP(W$2,行为概览!$D$3:$L$33,9,0)="","",VLOOKUP(W$2,行为概览!$D$3:$L$33,9,0)*IF(玩法行为规划!V42&gt;0,1,0))</f>
        <v>1</v>
      </c>
      <c r="X42" s="7">
        <f>IF(VLOOKUP(X$2,行为概览!$D$3:$L$33,9,0)="","",VLOOKUP(X$2,行为概览!$D$3:$L$33,9,0)*IF(玩法行为规划!W42&gt;0,1,0))</f>
        <v>1</v>
      </c>
      <c r="Y42" s="7">
        <f>IF(VLOOKUP(Y$2,行为概览!$D$3:$L$33,9,0)="","",VLOOKUP(Y$2,行为概览!$D$3:$L$33,9,0)*IF(玩法行为规划!X42&gt;0,1,0))</f>
        <v>1</v>
      </c>
      <c r="Z42" s="7">
        <f>IF(VLOOKUP(Z$2,行为概览!$D$3:$L$33,9,0)="","",VLOOKUP(Z$2,行为概览!$D$3:$L$33,9,0)*IF(玩法行为规划!Y42&gt;0,1,0))</f>
        <v>3</v>
      </c>
      <c r="AA42" s="7">
        <f>IF(VLOOKUP(AA$2,行为概览!$D$3:$L$33,9,0)="","",VLOOKUP(AA$2,行为概览!$D$3:$L$33,9,0)*IF(玩法行为规划!Z42&gt;0,1,0))</f>
        <v>0.5</v>
      </c>
      <c r="AB42" s="7" t="str">
        <f>IF(VLOOKUP(AB$2,行为概览!$D$3:$L$33,9,0)="","",VLOOKUP(AB$2,行为概览!$D$3:$L$33,9,0)*IF(玩法行为规划!AA42&gt;0,1,0))</f>
        <v/>
      </c>
      <c r="AC42" s="7" t="str">
        <f>IF(VLOOKUP(AC$2,行为概览!$D$3:$L$33,9,0)="","",VLOOKUP(AC$2,行为概览!$D$3:$L$33,9,0)*IF(玩法行为规划!AB42&gt;0,1,0))</f>
        <v/>
      </c>
      <c r="AD42" s="7" t="str">
        <f>IF(VLOOKUP(AD$2,行为概览!$D$3:$L$33,9,0)="","",VLOOKUP(AD$2,行为概览!$D$3:$L$33,9,0)*玩法行为规划!AC42)</f>
        <v/>
      </c>
      <c r="AE42" s="7" t="str">
        <f>IF(VLOOKUP(AE$2,行为概览!$D$3:$L$33,9,0)="","",VLOOKUP(AE$2,行为概览!$D$3:$L$33,9,0)*玩法行为规划!AD42)</f>
        <v/>
      </c>
      <c r="AF42" s="7">
        <f t="shared" si="10"/>
        <v>24.65</v>
      </c>
      <c r="AG42" s="10">
        <f t="shared" si="11"/>
        <v>986000</v>
      </c>
      <c r="AH42" s="7">
        <f>ROUND(AG42*升级节奏!G42,0)</f>
        <v>181588</v>
      </c>
      <c r="AI42" s="7">
        <f t="shared" si="2"/>
        <v>40000</v>
      </c>
      <c r="AJ42" s="21">
        <f t="shared" si="9"/>
        <v>653500</v>
      </c>
      <c r="AK42" s="7">
        <f t="shared" si="3"/>
        <v>0.18051519035326824</v>
      </c>
      <c r="AL42" s="7">
        <f t="shared" si="4"/>
        <v>221588</v>
      </c>
      <c r="AM42" s="7">
        <f>SUM($AL$3:AL42)</f>
        <v>1792956</v>
      </c>
      <c r="AN42" s="166">
        <f t="shared" si="5"/>
        <v>14100</v>
      </c>
      <c r="AO42" s="7">
        <f>SUM($AN$3:AN42)*7</f>
        <v>1374800</v>
      </c>
      <c r="AP42" s="69">
        <f t="shared" si="6"/>
        <v>378856</v>
      </c>
      <c r="AQ42" s="160">
        <f t="shared" si="7"/>
        <v>26200</v>
      </c>
      <c r="AR42" s="160">
        <f t="shared" si="8"/>
        <v>13100</v>
      </c>
    </row>
    <row r="43" spans="1:44">
      <c r="A43" s="32">
        <v>41</v>
      </c>
      <c r="B43" s="81">
        <f>升级节奏!E43</f>
        <v>41000</v>
      </c>
      <c r="C43" s="7">
        <f>IF(VLOOKUP(C$2,行为概览!$D$3:$L$33,9,0)="","",VLOOKUP(C$2,行为概览!$D$3:$L$33,9,0)*IF(玩法行为规划!B43&gt;0,1,0))</f>
        <v>4</v>
      </c>
      <c r="D43" s="7">
        <f>IF(VLOOKUP(D$2,行为概览!$D$3:$L$33,9,0)="","",VLOOKUP(D$2,行为概览!$D$3:$L$33,9,0)*IF(玩法行为规划!C43&gt;0,1,0))</f>
        <v>1.65</v>
      </c>
      <c r="E43" s="7">
        <f>IF(VLOOKUP(E$2,行为概览!$D$3:$L$33,9,0)="","",VLOOKUP(E$2,行为概览!$D$3:$L$33,9,0)*IF(玩法行为规划!D43&gt;0,1,0))</f>
        <v>0.5</v>
      </c>
      <c r="F43" s="7">
        <f>IF(VLOOKUP(F$2,行为概览!$D$3:$L$33,9,0)="","",VLOOKUP(F$2,行为概览!$D$3:$L$33,9,0)*IF(玩法行为规划!E43&gt;0,1,0))</f>
        <v>1</v>
      </c>
      <c r="G43" s="7" t="str">
        <f>IF(VLOOKUP(G$2,行为概览!$D$3:$L$33,9,0)="","",VLOOKUP(G$2,行为概览!$D$3:$L$33,9,0)*IF(玩法行为规划!F43&gt;0,1,0))</f>
        <v/>
      </c>
      <c r="H43" s="7" t="str">
        <f>IF(VLOOKUP(H$2,行为概览!$D$3:$L$33,9,0)="","",VLOOKUP(H$2,行为概览!$D$3:$L$33,9,0)*IF(玩法行为规划!G43&gt;0,1,0))</f>
        <v/>
      </c>
      <c r="I43" s="7" t="str">
        <f>IF(VLOOKUP(I$2,行为概览!$D$3:$L$33,9,0)="","",VLOOKUP(I$2,行为概览!$D$3:$L$33,9,0)*IF(玩法行为规划!H43&gt;0,1,0))</f>
        <v/>
      </c>
      <c r="J43" s="7" t="str">
        <f>IF(VLOOKUP(J$2,行为概览!$D$3:$L$33,9,0)="","",VLOOKUP(J$2,行为概览!$D$3:$L$33,9,0)*IF(玩法行为规划!I43&gt;0,1,0))</f>
        <v/>
      </c>
      <c r="K43" s="7">
        <f>IF(VLOOKUP(K$2,行为概览!$D$3:$L$33,9,0)="","",VLOOKUP(K$2,行为概览!$D$3:$L$33,9,0)*IF(玩法行为规划!J43&gt;0,1,0))</f>
        <v>1</v>
      </c>
      <c r="L43" s="7">
        <f>IF(VLOOKUP(L$2,行为概览!$D$3:$L$33,9,0)="","",VLOOKUP(L$2,行为概览!$D$3:$L$33,9,0)*IF(玩法行为规划!K43&gt;0,1,0))</f>
        <v>1</v>
      </c>
      <c r="M43" s="7" t="str">
        <f>IF(VLOOKUP(M$2,行为概览!$D$3:$L$33,9,0)="","",VLOOKUP(M$2,行为概览!$D$3:$L$33,9,0)*IF(玩法行为规划!L43&gt;0,1,0))</f>
        <v/>
      </c>
      <c r="N43" s="7" t="str">
        <f>IF(VLOOKUP(N$2,行为概览!$D$3:$L$33,9,0)="","",VLOOKUP(N$2,行为概览!$D$3:$L$33,9,0)*IF(玩法行为规划!M43&gt;0,1,0))</f>
        <v/>
      </c>
      <c r="O43" s="7" t="str">
        <f>IF(VLOOKUP(O$2,行为概览!$D$3:$L$33,9,0)="","",VLOOKUP(O$2,行为概览!$D$3:$L$33,9,0)*IF(玩法行为规划!N43&gt;0,1,0))</f>
        <v/>
      </c>
      <c r="P43" s="7">
        <f>IF(VLOOKUP(P$2,行为概览!$D$3:$L$33,9,0)="","",VLOOKUP(P$2,行为概览!$D$3:$L$33,9,0)*IF(玩法行为规划!O43&gt;0,1,0))</f>
        <v>0.5</v>
      </c>
      <c r="Q43" s="7">
        <f>IF(VLOOKUP(Q$2,行为概览!$D$3:$L$33,9,0)="","",VLOOKUP(Q$2,行为概览!$D$3:$L$33,9,0)*IF(玩法行为规划!P43&gt;0,1,0))</f>
        <v>5</v>
      </c>
      <c r="R43" s="7" t="str">
        <f>IF(VLOOKUP(R$2,行为概览!$D$3:$L$33,9,0)="","",VLOOKUP(R$2,行为概览!$D$3:$L$33,9,0)*IF(玩法行为规划!Q43&gt;0,1,0))</f>
        <v/>
      </c>
      <c r="S43" s="7">
        <f>IF(VLOOKUP(S$2,行为概览!$D$3:$L$33,9,0)="","",VLOOKUP(S$2,行为概览!$D$3:$L$33,9,0)*IF(玩法行为规划!R43&gt;0,1,0))</f>
        <v>1</v>
      </c>
      <c r="T43" s="7">
        <f>IF(VLOOKUP(T$2,行为概览!$D$3:$L$33,9,0)="","",VLOOKUP(T$2,行为概览!$D$3:$L$33,9,0)*IF(玩法行为规划!S43&gt;0,1,0))</f>
        <v>1</v>
      </c>
      <c r="U43" s="7">
        <f>IF(VLOOKUP(U$2,行为概览!$D$3:$L$33,9,0)="","",VLOOKUP(U$2,行为概览!$D$3:$L$33,9,0)*IF(玩法行为规划!T43&gt;0,1,0))</f>
        <v>0</v>
      </c>
      <c r="V43" s="7">
        <f>IF(VLOOKUP(V$2,行为概览!$D$3:$L$33,9,0)="","",VLOOKUP(V$2,行为概览!$D$3:$L$33,9,0)*IF(玩法行为规划!U43&gt;0,1,0))</f>
        <v>1.5</v>
      </c>
      <c r="W43" s="7">
        <f>IF(VLOOKUP(W$2,行为概览!$D$3:$L$33,9,0)="","",VLOOKUP(W$2,行为概览!$D$3:$L$33,9,0)*IF(玩法行为规划!V43&gt;0,1,0))</f>
        <v>1</v>
      </c>
      <c r="X43" s="7">
        <f>IF(VLOOKUP(X$2,行为概览!$D$3:$L$33,9,0)="","",VLOOKUP(X$2,行为概览!$D$3:$L$33,9,0)*IF(玩法行为规划!W43&gt;0,1,0))</f>
        <v>1</v>
      </c>
      <c r="Y43" s="7">
        <f>IF(VLOOKUP(Y$2,行为概览!$D$3:$L$33,9,0)="","",VLOOKUP(Y$2,行为概览!$D$3:$L$33,9,0)*IF(玩法行为规划!X43&gt;0,1,0))</f>
        <v>1</v>
      </c>
      <c r="Z43" s="7">
        <f>IF(VLOOKUP(Z$2,行为概览!$D$3:$L$33,9,0)="","",VLOOKUP(Z$2,行为概览!$D$3:$L$33,9,0)*IF(玩法行为规划!Y43&gt;0,1,0))</f>
        <v>3</v>
      </c>
      <c r="AA43" s="7">
        <f>IF(VLOOKUP(AA$2,行为概览!$D$3:$L$33,9,0)="","",VLOOKUP(AA$2,行为概览!$D$3:$L$33,9,0)*IF(玩法行为规划!Z43&gt;0,1,0))</f>
        <v>0.5</v>
      </c>
      <c r="AB43" s="7" t="str">
        <f>IF(VLOOKUP(AB$2,行为概览!$D$3:$L$33,9,0)="","",VLOOKUP(AB$2,行为概览!$D$3:$L$33,9,0)*IF(玩法行为规划!AA43&gt;0,1,0))</f>
        <v/>
      </c>
      <c r="AC43" s="7" t="str">
        <f>IF(VLOOKUP(AC$2,行为概览!$D$3:$L$33,9,0)="","",VLOOKUP(AC$2,行为概览!$D$3:$L$33,9,0)*IF(玩法行为规划!AB43&gt;0,1,0))</f>
        <v/>
      </c>
      <c r="AD43" s="7" t="str">
        <f>IF(VLOOKUP(AD$2,行为概览!$D$3:$L$33,9,0)="","",VLOOKUP(AD$2,行为概览!$D$3:$L$33,9,0)*玩法行为规划!AC43)</f>
        <v/>
      </c>
      <c r="AE43" s="7" t="str">
        <f>IF(VLOOKUP(AE$2,行为概览!$D$3:$L$33,9,0)="","",VLOOKUP(AE$2,行为概览!$D$3:$L$33,9,0)*玩法行为规划!AD43)</f>
        <v/>
      </c>
      <c r="AF43" s="7">
        <f t="shared" si="10"/>
        <v>24.65</v>
      </c>
      <c r="AG43" s="10">
        <f t="shared" si="11"/>
        <v>1010649.9999999999</v>
      </c>
      <c r="AH43" s="7">
        <f>ROUND(AG43*升级节奏!G43,0)</f>
        <v>194996</v>
      </c>
      <c r="AI43" s="7">
        <f t="shared" si="2"/>
        <v>45100</v>
      </c>
      <c r="AJ43" s="21" t="str">
        <f t="shared" si="9"/>
        <v/>
      </c>
      <c r="AK43" s="7">
        <f t="shared" si="3"/>
        <v>0.1878415300546448</v>
      </c>
      <c r="AL43" s="7">
        <f t="shared" si="4"/>
        <v>240096</v>
      </c>
      <c r="AM43" s="7">
        <f>SUM($AL$3:AL43)</f>
        <v>2033052</v>
      </c>
      <c r="AN43" s="166">
        <f t="shared" si="5"/>
        <v>14700</v>
      </c>
      <c r="AO43" s="7">
        <f>SUM($AN$3:AN43)*7</f>
        <v>1477700</v>
      </c>
      <c r="AP43" s="69">
        <f t="shared" si="6"/>
        <v>513852</v>
      </c>
      <c r="AQ43" s="160">
        <f t="shared" si="7"/>
        <v>27700</v>
      </c>
      <c r="AR43" s="160">
        <f t="shared" si="8"/>
        <v>13800</v>
      </c>
    </row>
    <row r="44" spans="1:44">
      <c r="A44" s="32">
        <v>42</v>
      </c>
      <c r="B44" s="81">
        <f>升级节奏!E44</f>
        <v>42000</v>
      </c>
      <c r="C44" s="7">
        <f>IF(VLOOKUP(C$2,行为概览!$D$3:$L$33,9,0)="","",VLOOKUP(C$2,行为概览!$D$3:$L$33,9,0)*IF(玩法行为规划!B44&gt;0,1,0))</f>
        <v>4</v>
      </c>
      <c r="D44" s="7">
        <f>IF(VLOOKUP(D$2,行为概览!$D$3:$L$33,9,0)="","",VLOOKUP(D$2,行为概览!$D$3:$L$33,9,0)*IF(玩法行为规划!C44&gt;0,1,0))</f>
        <v>1.65</v>
      </c>
      <c r="E44" s="7">
        <f>IF(VLOOKUP(E$2,行为概览!$D$3:$L$33,9,0)="","",VLOOKUP(E$2,行为概览!$D$3:$L$33,9,0)*IF(玩法行为规划!D44&gt;0,1,0))</f>
        <v>0.5</v>
      </c>
      <c r="F44" s="7">
        <f>IF(VLOOKUP(F$2,行为概览!$D$3:$L$33,9,0)="","",VLOOKUP(F$2,行为概览!$D$3:$L$33,9,0)*IF(玩法行为规划!E44&gt;0,1,0))</f>
        <v>1</v>
      </c>
      <c r="G44" s="7" t="str">
        <f>IF(VLOOKUP(G$2,行为概览!$D$3:$L$33,9,0)="","",VLOOKUP(G$2,行为概览!$D$3:$L$33,9,0)*IF(玩法行为规划!F44&gt;0,1,0))</f>
        <v/>
      </c>
      <c r="H44" s="7" t="str">
        <f>IF(VLOOKUP(H$2,行为概览!$D$3:$L$33,9,0)="","",VLOOKUP(H$2,行为概览!$D$3:$L$33,9,0)*IF(玩法行为规划!G44&gt;0,1,0))</f>
        <v/>
      </c>
      <c r="I44" s="7" t="str">
        <f>IF(VLOOKUP(I$2,行为概览!$D$3:$L$33,9,0)="","",VLOOKUP(I$2,行为概览!$D$3:$L$33,9,0)*IF(玩法行为规划!H44&gt;0,1,0))</f>
        <v/>
      </c>
      <c r="J44" s="7" t="str">
        <f>IF(VLOOKUP(J$2,行为概览!$D$3:$L$33,9,0)="","",VLOOKUP(J$2,行为概览!$D$3:$L$33,9,0)*IF(玩法行为规划!I44&gt;0,1,0))</f>
        <v/>
      </c>
      <c r="K44" s="7">
        <f>IF(VLOOKUP(K$2,行为概览!$D$3:$L$33,9,0)="","",VLOOKUP(K$2,行为概览!$D$3:$L$33,9,0)*IF(玩法行为规划!J44&gt;0,1,0))</f>
        <v>1</v>
      </c>
      <c r="L44" s="7">
        <f>IF(VLOOKUP(L$2,行为概览!$D$3:$L$33,9,0)="","",VLOOKUP(L$2,行为概览!$D$3:$L$33,9,0)*IF(玩法行为规划!K44&gt;0,1,0))</f>
        <v>1</v>
      </c>
      <c r="M44" s="7" t="str">
        <f>IF(VLOOKUP(M$2,行为概览!$D$3:$L$33,9,0)="","",VLOOKUP(M$2,行为概览!$D$3:$L$33,9,0)*IF(玩法行为规划!L44&gt;0,1,0))</f>
        <v/>
      </c>
      <c r="N44" s="7" t="str">
        <f>IF(VLOOKUP(N$2,行为概览!$D$3:$L$33,9,0)="","",VLOOKUP(N$2,行为概览!$D$3:$L$33,9,0)*IF(玩法行为规划!M44&gt;0,1,0))</f>
        <v/>
      </c>
      <c r="O44" s="7" t="str">
        <f>IF(VLOOKUP(O$2,行为概览!$D$3:$L$33,9,0)="","",VLOOKUP(O$2,行为概览!$D$3:$L$33,9,0)*IF(玩法行为规划!N44&gt;0,1,0))</f>
        <v/>
      </c>
      <c r="P44" s="7">
        <f>IF(VLOOKUP(P$2,行为概览!$D$3:$L$33,9,0)="","",VLOOKUP(P$2,行为概览!$D$3:$L$33,9,0)*IF(玩法行为规划!O44&gt;0,1,0))</f>
        <v>0.5</v>
      </c>
      <c r="Q44" s="7">
        <f>IF(VLOOKUP(Q$2,行为概览!$D$3:$L$33,9,0)="","",VLOOKUP(Q$2,行为概览!$D$3:$L$33,9,0)*IF(玩法行为规划!P44&gt;0,1,0))</f>
        <v>5</v>
      </c>
      <c r="R44" s="7" t="str">
        <f>IF(VLOOKUP(R$2,行为概览!$D$3:$L$33,9,0)="","",VLOOKUP(R$2,行为概览!$D$3:$L$33,9,0)*IF(玩法行为规划!Q44&gt;0,1,0))</f>
        <v/>
      </c>
      <c r="S44" s="7">
        <f>IF(VLOOKUP(S$2,行为概览!$D$3:$L$33,9,0)="","",VLOOKUP(S$2,行为概览!$D$3:$L$33,9,0)*IF(玩法行为规划!R44&gt;0,1,0))</f>
        <v>1</v>
      </c>
      <c r="T44" s="7">
        <f>IF(VLOOKUP(T$2,行为概览!$D$3:$L$33,9,0)="","",VLOOKUP(T$2,行为概览!$D$3:$L$33,9,0)*IF(玩法行为规划!S44&gt;0,1,0))</f>
        <v>1</v>
      </c>
      <c r="U44" s="7">
        <f>IF(VLOOKUP(U$2,行为概览!$D$3:$L$33,9,0)="","",VLOOKUP(U$2,行为概览!$D$3:$L$33,9,0)*IF(玩法行为规划!T44&gt;0,1,0))</f>
        <v>0</v>
      </c>
      <c r="V44" s="7">
        <f>IF(VLOOKUP(V$2,行为概览!$D$3:$L$33,9,0)="","",VLOOKUP(V$2,行为概览!$D$3:$L$33,9,0)*IF(玩法行为规划!U44&gt;0,1,0))</f>
        <v>1.5</v>
      </c>
      <c r="W44" s="7">
        <f>IF(VLOOKUP(W$2,行为概览!$D$3:$L$33,9,0)="","",VLOOKUP(W$2,行为概览!$D$3:$L$33,9,0)*IF(玩法行为规划!V44&gt;0,1,0))</f>
        <v>1</v>
      </c>
      <c r="X44" s="7">
        <f>IF(VLOOKUP(X$2,行为概览!$D$3:$L$33,9,0)="","",VLOOKUP(X$2,行为概览!$D$3:$L$33,9,0)*IF(玩法行为规划!W44&gt;0,1,0))</f>
        <v>1</v>
      </c>
      <c r="Y44" s="7">
        <f>IF(VLOOKUP(Y$2,行为概览!$D$3:$L$33,9,0)="","",VLOOKUP(Y$2,行为概览!$D$3:$L$33,9,0)*IF(玩法行为规划!X44&gt;0,1,0))</f>
        <v>1</v>
      </c>
      <c r="Z44" s="7">
        <f>IF(VLOOKUP(Z$2,行为概览!$D$3:$L$33,9,0)="","",VLOOKUP(Z$2,行为概览!$D$3:$L$33,9,0)*IF(玩法行为规划!Y44&gt;0,1,0))</f>
        <v>3</v>
      </c>
      <c r="AA44" s="7">
        <f>IF(VLOOKUP(AA$2,行为概览!$D$3:$L$33,9,0)="","",VLOOKUP(AA$2,行为概览!$D$3:$L$33,9,0)*IF(玩法行为规划!Z44&gt;0,1,0))</f>
        <v>0.5</v>
      </c>
      <c r="AB44" s="7" t="str">
        <f>IF(VLOOKUP(AB$2,行为概览!$D$3:$L$33,9,0)="","",VLOOKUP(AB$2,行为概览!$D$3:$L$33,9,0)*IF(玩法行为规划!AA44&gt;0,1,0))</f>
        <v/>
      </c>
      <c r="AC44" s="7" t="str">
        <f>IF(VLOOKUP(AC$2,行为概览!$D$3:$L$33,9,0)="","",VLOOKUP(AC$2,行为概览!$D$3:$L$33,9,0)*IF(玩法行为规划!AB44&gt;0,1,0))</f>
        <v/>
      </c>
      <c r="AD44" s="7" t="str">
        <f>IF(VLOOKUP(AD$2,行为概览!$D$3:$L$33,9,0)="","",VLOOKUP(AD$2,行为概览!$D$3:$L$33,9,0)*玩法行为规划!AC44)</f>
        <v/>
      </c>
      <c r="AE44" s="7" t="str">
        <f>IF(VLOOKUP(AE$2,行为概览!$D$3:$L$33,9,0)="","",VLOOKUP(AE$2,行为概览!$D$3:$L$33,9,0)*玩法行为规划!AD44)</f>
        <v/>
      </c>
      <c r="AF44" s="7">
        <f t="shared" si="10"/>
        <v>24.65</v>
      </c>
      <c r="AG44" s="10">
        <f t="shared" si="11"/>
        <v>1035299.9999999999</v>
      </c>
      <c r="AH44" s="7">
        <f>ROUND(AG44*升级节奏!G44,0)</f>
        <v>209062</v>
      </c>
      <c r="AI44" s="7">
        <f t="shared" si="2"/>
        <v>50400</v>
      </c>
      <c r="AJ44" s="21" t="str">
        <f t="shared" ref="AJ44:AJ75" si="12">IF(--RIGHT(A44,1)=0,SUM(AI44:AI53),"")</f>
        <v/>
      </c>
      <c r="AK44" s="7">
        <f t="shared" si="3"/>
        <v>0.19424809798737389</v>
      </c>
      <c r="AL44" s="7">
        <f t="shared" si="4"/>
        <v>259462</v>
      </c>
      <c r="AM44" s="7">
        <f>SUM($AL$3:AL44)</f>
        <v>2292514</v>
      </c>
      <c r="AN44" s="166">
        <f t="shared" si="5"/>
        <v>15400</v>
      </c>
      <c r="AO44" s="7">
        <f>SUM($AN$3:AN44)*7</f>
        <v>1585500</v>
      </c>
      <c r="AP44" s="69">
        <f t="shared" si="6"/>
        <v>663014</v>
      </c>
      <c r="AQ44" s="160">
        <f t="shared" si="7"/>
        <v>29300</v>
      </c>
      <c r="AR44" s="160">
        <f t="shared" si="8"/>
        <v>14700</v>
      </c>
    </row>
    <row r="45" spans="1:44">
      <c r="A45" s="32">
        <v>43</v>
      </c>
      <c r="B45" s="81">
        <f>升级节奏!E45</f>
        <v>43000</v>
      </c>
      <c r="C45" s="7">
        <f>IF(VLOOKUP(C$2,行为概览!$D$3:$L$33,9,0)="","",VLOOKUP(C$2,行为概览!$D$3:$L$33,9,0)*IF(玩法行为规划!B45&gt;0,1,0))</f>
        <v>4</v>
      </c>
      <c r="D45" s="7">
        <f>IF(VLOOKUP(D$2,行为概览!$D$3:$L$33,9,0)="","",VLOOKUP(D$2,行为概览!$D$3:$L$33,9,0)*IF(玩法行为规划!C45&gt;0,1,0))</f>
        <v>1.65</v>
      </c>
      <c r="E45" s="7">
        <f>IF(VLOOKUP(E$2,行为概览!$D$3:$L$33,9,0)="","",VLOOKUP(E$2,行为概览!$D$3:$L$33,9,0)*IF(玩法行为规划!D45&gt;0,1,0))</f>
        <v>0.5</v>
      </c>
      <c r="F45" s="7">
        <f>IF(VLOOKUP(F$2,行为概览!$D$3:$L$33,9,0)="","",VLOOKUP(F$2,行为概览!$D$3:$L$33,9,0)*IF(玩法行为规划!E45&gt;0,1,0))</f>
        <v>1</v>
      </c>
      <c r="G45" s="7" t="str">
        <f>IF(VLOOKUP(G$2,行为概览!$D$3:$L$33,9,0)="","",VLOOKUP(G$2,行为概览!$D$3:$L$33,9,0)*IF(玩法行为规划!F45&gt;0,1,0))</f>
        <v/>
      </c>
      <c r="H45" s="7" t="str">
        <f>IF(VLOOKUP(H$2,行为概览!$D$3:$L$33,9,0)="","",VLOOKUP(H$2,行为概览!$D$3:$L$33,9,0)*IF(玩法行为规划!G45&gt;0,1,0))</f>
        <v/>
      </c>
      <c r="I45" s="7" t="str">
        <f>IF(VLOOKUP(I$2,行为概览!$D$3:$L$33,9,0)="","",VLOOKUP(I$2,行为概览!$D$3:$L$33,9,0)*IF(玩法行为规划!H45&gt;0,1,0))</f>
        <v/>
      </c>
      <c r="J45" s="7" t="str">
        <f>IF(VLOOKUP(J$2,行为概览!$D$3:$L$33,9,0)="","",VLOOKUP(J$2,行为概览!$D$3:$L$33,9,0)*IF(玩法行为规划!I45&gt;0,1,0))</f>
        <v/>
      </c>
      <c r="K45" s="7">
        <f>IF(VLOOKUP(K$2,行为概览!$D$3:$L$33,9,0)="","",VLOOKUP(K$2,行为概览!$D$3:$L$33,9,0)*IF(玩法行为规划!J45&gt;0,1,0))</f>
        <v>1</v>
      </c>
      <c r="L45" s="7">
        <f>IF(VLOOKUP(L$2,行为概览!$D$3:$L$33,9,0)="","",VLOOKUP(L$2,行为概览!$D$3:$L$33,9,0)*IF(玩法行为规划!K45&gt;0,1,0))</f>
        <v>1</v>
      </c>
      <c r="M45" s="7" t="str">
        <f>IF(VLOOKUP(M$2,行为概览!$D$3:$L$33,9,0)="","",VLOOKUP(M$2,行为概览!$D$3:$L$33,9,0)*IF(玩法行为规划!L45&gt;0,1,0))</f>
        <v/>
      </c>
      <c r="N45" s="7" t="str">
        <f>IF(VLOOKUP(N$2,行为概览!$D$3:$L$33,9,0)="","",VLOOKUP(N$2,行为概览!$D$3:$L$33,9,0)*IF(玩法行为规划!M45&gt;0,1,0))</f>
        <v/>
      </c>
      <c r="O45" s="7" t="str">
        <f>IF(VLOOKUP(O$2,行为概览!$D$3:$L$33,9,0)="","",VLOOKUP(O$2,行为概览!$D$3:$L$33,9,0)*IF(玩法行为规划!N45&gt;0,1,0))</f>
        <v/>
      </c>
      <c r="P45" s="7">
        <f>IF(VLOOKUP(P$2,行为概览!$D$3:$L$33,9,0)="","",VLOOKUP(P$2,行为概览!$D$3:$L$33,9,0)*IF(玩法行为规划!O45&gt;0,1,0))</f>
        <v>0.5</v>
      </c>
      <c r="Q45" s="7">
        <f>IF(VLOOKUP(Q$2,行为概览!$D$3:$L$33,9,0)="","",VLOOKUP(Q$2,行为概览!$D$3:$L$33,9,0)*IF(玩法行为规划!P45&gt;0,1,0))</f>
        <v>5</v>
      </c>
      <c r="R45" s="7" t="str">
        <f>IF(VLOOKUP(R$2,行为概览!$D$3:$L$33,9,0)="","",VLOOKUP(R$2,行为概览!$D$3:$L$33,9,0)*IF(玩法行为规划!Q45&gt;0,1,0))</f>
        <v/>
      </c>
      <c r="S45" s="7">
        <f>IF(VLOOKUP(S$2,行为概览!$D$3:$L$33,9,0)="","",VLOOKUP(S$2,行为概览!$D$3:$L$33,9,0)*IF(玩法行为规划!R45&gt;0,1,0))</f>
        <v>1</v>
      </c>
      <c r="T45" s="7">
        <f>IF(VLOOKUP(T$2,行为概览!$D$3:$L$33,9,0)="","",VLOOKUP(T$2,行为概览!$D$3:$L$33,9,0)*IF(玩法行为规划!S45&gt;0,1,0))</f>
        <v>1</v>
      </c>
      <c r="U45" s="7">
        <f>IF(VLOOKUP(U$2,行为概览!$D$3:$L$33,9,0)="","",VLOOKUP(U$2,行为概览!$D$3:$L$33,9,0)*IF(玩法行为规划!T45&gt;0,1,0))</f>
        <v>0</v>
      </c>
      <c r="V45" s="7">
        <f>IF(VLOOKUP(V$2,行为概览!$D$3:$L$33,9,0)="","",VLOOKUP(V$2,行为概览!$D$3:$L$33,9,0)*IF(玩法行为规划!U45&gt;0,1,0))</f>
        <v>1.5</v>
      </c>
      <c r="W45" s="7">
        <f>IF(VLOOKUP(W$2,行为概览!$D$3:$L$33,9,0)="","",VLOOKUP(W$2,行为概览!$D$3:$L$33,9,0)*IF(玩法行为规划!V45&gt;0,1,0))</f>
        <v>1</v>
      </c>
      <c r="X45" s="7">
        <f>IF(VLOOKUP(X$2,行为概览!$D$3:$L$33,9,0)="","",VLOOKUP(X$2,行为概览!$D$3:$L$33,9,0)*IF(玩法行为规划!W45&gt;0,1,0))</f>
        <v>1</v>
      </c>
      <c r="Y45" s="7">
        <f>IF(VLOOKUP(Y$2,行为概览!$D$3:$L$33,9,0)="","",VLOOKUP(Y$2,行为概览!$D$3:$L$33,9,0)*IF(玩法行为规划!X45&gt;0,1,0))</f>
        <v>1</v>
      </c>
      <c r="Z45" s="7">
        <f>IF(VLOOKUP(Z$2,行为概览!$D$3:$L$33,9,0)="","",VLOOKUP(Z$2,行为概览!$D$3:$L$33,9,0)*IF(玩法行为规划!Y45&gt;0,1,0))</f>
        <v>3</v>
      </c>
      <c r="AA45" s="7">
        <f>IF(VLOOKUP(AA$2,行为概览!$D$3:$L$33,9,0)="","",VLOOKUP(AA$2,行为概览!$D$3:$L$33,9,0)*IF(玩法行为规划!Z45&gt;0,1,0))</f>
        <v>0.5</v>
      </c>
      <c r="AB45" s="7" t="str">
        <f>IF(VLOOKUP(AB$2,行为概览!$D$3:$L$33,9,0)="","",VLOOKUP(AB$2,行为概览!$D$3:$L$33,9,0)*IF(玩法行为规划!AA45&gt;0,1,0))</f>
        <v/>
      </c>
      <c r="AC45" s="7" t="str">
        <f>IF(VLOOKUP(AC$2,行为概览!$D$3:$L$33,9,0)="","",VLOOKUP(AC$2,行为概览!$D$3:$L$33,9,0)*IF(玩法行为规划!AB45&gt;0,1,0))</f>
        <v/>
      </c>
      <c r="AD45" s="7" t="str">
        <f>IF(VLOOKUP(AD$2,行为概览!$D$3:$L$33,9,0)="","",VLOOKUP(AD$2,行为概览!$D$3:$L$33,9,0)*玩法行为规划!AC45)</f>
        <v/>
      </c>
      <c r="AE45" s="7" t="str">
        <f>IF(VLOOKUP(AE$2,行为概览!$D$3:$L$33,9,0)="","",VLOOKUP(AE$2,行为概览!$D$3:$L$33,9,0)*玩法行为规划!AD45)</f>
        <v/>
      </c>
      <c r="AF45" s="7">
        <f t="shared" si="10"/>
        <v>24.65</v>
      </c>
      <c r="AG45" s="10">
        <f t="shared" si="11"/>
        <v>1059950</v>
      </c>
      <c r="AH45" s="7">
        <f>ROUND(AG45*升级节奏!G45,0)</f>
        <v>223800</v>
      </c>
      <c r="AI45" s="7">
        <f t="shared" si="2"/>
        <v>55900</v>
      </c>
      <c r="AJ45" s="21" t="str">
        <f t="shared" si="12"/>
        <v/>
      </c>
      <c r="AK45" s="7">
        <f t="shared" si="3"/>
        <v>0.19985698963174831</v>
      </c>
      <c r="AL45" s="7">
        <f t="shared" si="4"/>
        <v>279700</v>
      </c>
      <c r="AM45" s="7">
        <f>SUM($AL$3:AL45)</f>
        <v>2572214</v>
      </c>
      <c r="AN45" s="166">
        <f t="shared" si="5"/>
        <v>16100</v>
      </c>
      <c r="AO45" s="7">
        <f>SUM($AN$3:AN45)*7</f>
        <v>1698200</v>
      </c>
      <c r="AP45" s="69">
        <f t="shared" si="6"/>
        <v>827514</v>
      </c>
      <c r="AQ45" s="160">
        <f t="shared" si="7"/>
        <v>31000</v>
      </c>
      <c r="AR45" s="160">
        <f t="shared" si="8"/>
        <v>15500</v>
      </c>
    </row>
    <row r="46" spans="1:44">
      <c r="A46" s="32">
        <v>44</v>
      </c>
      <c r="B46" s="81">
        <f>升级节奏!E46</f>
        <v>44000</v>
      </c>
      <c r="C46" s="7">
        <f>IF(VLOOKUP(C$2,行为概览!$D$3:$L$33,9,0)="","",VLOOKUP(C$2,行为概览!$D$3:$L$33,9,0)*IF(玩法行为规划!B46&gt;0,1,0))</f>
        <v>4</v>
      </c>
      <c r="D46" s="7">
        <f>IF(VLOOKUP(D$2,行为概览!$D$3:$L$33,9,0)="","",VLOOKUP(D$2,行为概览!$D$3:$L$33,9,0)*IF(玩法行为规划!C46&gt;0,1,0))</f>
        <v>1.65</v>
      </c>
      <c r="E46" s="7">
        <f>IF(VLOOKUP(E$2,行为概览!$D$3:$L$33,9,0)="","",VLOOKUP(E$2,行为概览!$D$3:$L$33,9,0)*IF(玩法行为规划!D46&gt;0,1,0))</f>
        <v>0.5</v>
      </c>
      <c r="F46" s="7">
        <f>IF(VLOOKUP(F$2,行为概览!$D$3:$L$33,9,0)="","",VLOOKUP(F$2,行为概览!$D$3:$L$33,9,0)*IF(玩法行为规划!E46&gt;0,1,0))</f>
        <v>1</v>
      </c>
      <c r="G46" s="7" t="str">
        <f>IF(VLOOKUP(G$2,行为概览!$D$3:$L$33,9,0)="","",VLOOKUP(G$2,行为概览!$D$3:$L$33,9,0)*IF(玩法行为规划!F46&gt;0,1,0))</f>
        <v/>
      </c>
      <c r="H46" s="7" t="str">
        <f>IF(VLOOKUP(H$2,行为概览!$D$3:$L$33,9,0)="","",VLOOKUP(H$2,行为概览!$D$3:$L$33,9,0)*IF(玩法行为规划!G46&gt;0,1,0))</f>
        <v/>
      </c>
      <c r="I46" s="7" t="str">
        <f>IF(VLOOKUP(I$2,行为概览!$D$3:$L$33,9,0)="","",VLOOKUP(I$2,行为概览!$D$3:$L$33,9,0)*IF(玩法行为规划!H46&gt;0,1,0))</f>
        <v/>
      </c>
      <c r="J46" s="7" t="str">
        <f>IF(VLOOKUP(J$2,行为概览!$D$3:$L$33,9,0)="","",VLOOKUP(J$2,行为概览!$D$3:$L$33,9,0)*IF(玩法行为规划!I46&gt;0,1,0))</f>
        <v/>
      </c>
      <c r="K46" s="7">
        <f>IF(VLOOKUP(K$2,行为概览!$D$3:$L$33,9,0)="","",VLOOKUP(K$2,行为概览!$D$3:$L$33,9,0)*IF(玩法行为规划!J46&gt;0,1,0))</f>
        <v>1</v>
      </c>
      <c r="L46" s="7">
        <f>IF(VLOOKUP(L$2,行为概览!$D$3:$L$33,9,0)="","",VLOOKUP(L$2,行为概览!$D$3:$L$33,9,0)*IF(玩法行为规划!K46&gt;0,1,0))</f>
        <v>1</v>
      </c>
      <c r="M46" s="7" t="str">
        <f>IF(VLOOKUP(M$2,行为概览!$D$3:$L$33,9,0)="","",VLOOKUP(M$2,行为概览!$D$3:$L$33,9,0)*IF(玩法行为规划!L46&gt;0,1,0))</f>
        <v/>
      </c>
      <c r="N46" s="7" t="str">
        <f>IF(VLOOKUP(N$2,行为概览!$D$3:$L$33,9,0)="","",VLOOKUP(N$2,行为概览!$D$3:$L$33,9,0)*IF(玩法行为规划!M46&gt;0,1,0))</f>
        <v/>
      </c>
      <c r="O46" s="7" t="str">
        <f>IF(VLOOKUP(O$2,行为概览!$D$3:$L$33,9,0)="","",VLOOKUP(O$2,行为概览!$D$3:$L$33,9,0)*IF(玩法行为规划!N46&gt;0,1,0))</f>
        <v/>
      </c>
      <c r="P46" s="7">
        <f>IF(VLOOKUP(P$2,行为概览!$D$3:$L$33,9,0)="","",VLOOKUP(P$2,行为概览!$D$3:$L$33,9,0)*IF(玩法行为规划!O46&gt;0,1,0))</f>
        <v>0.5</v>
      </c>
      <c r="Q46" s="7">
        <f>IF(VLOOKUP(Q$2,行为概览!$D$3:$L$33,9,0)="","",VLOOKUP(Q$2,行为概览!$D$3:$L$33,9,0)*IF(玩法行为规划!P46&gt;0,1,0))</f>
        <v>5</v>
      </c>
      <c r="R46" s="7" t="str">
        <f>IF(VLOOKUP(R$2,行为概览!$D$3:$L$33,9,0)="","",VLOOKUP(R$2,行为概览!$D$3:$L$33,9,0)*IF(玩法行为规划!Q46&gt;0,1,0))</f>
        <v/>
      </c>
      <c r="S46" s="7">
        <f>IF(VLOOKUP(S$2,行为概览!$D$3:$L$33,9,0)="","",VLOOKUP(S$2,行为概览!$D$3:$L$33,9,0)*IF(玩法行为规划!R46&gt;0,1,0))</f>
        <v>1</v>
      </c>
      <c r="T46" s="7">
        <f>IF(VLOOKUP(T$2,行为概览!$D$3:$L$33,9,0)="","",VLOOKUP(T$2,行为概览!$D$3:$L$33,9,0)*IF(玩法行为规划!S46&gt;0,1,0))</f>
        <v>1</v>
      </c>
      <c r="U46" s="7">
        <f>IF(VLOOKUP(U$2,行为概览!$D$3:$L$33,9,0)="","",VLOOKUP(U$2,行为概览!$D$3:$L$33,9,0)*IF(玩法行为规划!T46&gt;0,1,0))</f>
        <v>0</v>
      </c>
      <c r="V46" s="7">
        <f>IF(VLOOKUP(V$2,行为概览!$D$3:$L$33,9,0)="","",VLOOKUP(V$2,行为概览!$D$3:$L$33,9,0)*IF(玩法行为规划!U46&gt;0,1,0))</f>
        <v>1.5</v>
      </c>
      <c r="W46" s="7">
        <f>IF(VLOOKUP(W$2,行为概览!$D$3:$L$33,9,0)="","",VLOOKUP(W$2,行为概览!$D$3:$L$33,9,0)*IF(玩法行为规划!V46&gt;0,1,0))</f>
        <v>1</v>
      </c>
      <c r="X46" s="7">
        <f>IF(VLOOKUP(X$2,行为概览!$D$3:$L$33,9,0)="","",VLOOKUP(X$2,行为概览!$D$3:$L$33,9,0)*IF(玩法行为规划!W46&gt;0,1,0))</f>
        <v>1</v>
      </c>
      <c r="Y46" s="7">
        <f>IF(VLOOKUP(Y$2,行为概览!$D$3:$L$33,9,0)="","",VLOOKUP(Y$2,行为概览!$D$3:$L$33,9,0)*IF(玩法行为规划!X46&gt;0,1,0))</f>
        <v>1</v>
      </c>
      <c r="Z46" s="7">
        <f>IF(VLOOKUP(Z$2,行为概览!$D$3:$L$33,9,0)="","",VLOOKUP(Z$2,行为概览!$D$3:$L$33,9,0)*IF(玩法行为规划!Y46&gt;0,1,0))</f>
        <v>3</v>
      </c>
      <c r="AA46" s="7">
        <f>IF(VLOOKUP(AA$2,行为概览!$D$3:$L$33,9,0)="","",VLOOKUP(AA$2,行为概览!$D$3:$L$33,9,0)*IF(玩法行为规划!Z46&gt;0,1,0))</f>
        <v>0.5</v>
      </c>
      <c r="AB46" s="7" t="str">
        <f>IF(VLOOKUP(AB$2,行为概览!$D$3:$L$33,9,0)="","",VLOOKUP(AB$2,行为概览!$D$3:$L$33,9,0)*IF(玩法行为规划!AA46&gt;0,1,0))</f>
        <v/>
      </c>
      <c r="AC46" s="7" t="str">
        <f>IF(VLOOKUP(AC$2,行为概览!$D$3:$L$33,9,0)="","",VLOOKUP(AC$2,行为概览!$D$3:$L$33,9,0)*IF(玩法行为规划!AB46&gt;0,1,0))</f>
        <v/>
      </c>
      <c r="AD46" s="7" t="str">
        <f>IF(VLOOKUP(AD$2,行为概览!$D$3:$L$33,9,0)="","",VLOOKUP(AD$2,行为概览!$D$3:$L$33,9,0)*玩法行为规划!AC46)</f>
        <v/>
      </c>
      <c r="AE46" s="7" t="str">
        <f>IF(VLOOKUP(AE$2,行为概览!$D$3:$L$33,9,0)="","",VLOOKUP(AE$2,行为概览!$D$3:$L$33,9,0)*玩法行为规划!AD46)</f>
        <v/>
      </c>
      <c r="AF46" s="7">
        <f t="shared" si="10"/>
        <v>24.65</v>
      </c>
      <c r="AG46" s="10">
        <f t="shared" si="11"/>
        <v>1084600</v>
      </c>
      <c r="AH46" s="7">
        <f>ROUND(AG46*升级节奏!G46,0)</f>
        <v>276031</v>
      </c>
      <c r="AI46" s="7">
        <f t="shared" si="2"/>
        <v>61600</v>
      </c>
      <c r="AJ46" s="21" t="str">
        <f t="shared" si="12"/>
        <v/>
      </c>
      <c r="AK46" s="7">
        <f t="shared" si="3"/>
        <v>0.18244770178093836</v>
      </c>
      <c r="AL46" s="7">
        <f t="shared" si="4"/>
        <v>337631</v>
      </c>
      <c r="AM46" s="7">
        <f>SUM($AL$3:AL46)</f>
        <v>2909845</v>
      </c>
      <c r="AN46" s="166">
        <f t="shared" si="5"/>
        <v>18000</v>
      </c>
      <c r="AO46" s="7">
        <f>SUM($AN$3:AN46)*7</f>
        <v>1824200</v>
      </c>
      <c r="AP46" s="69">
        <f t="shared" si="6"/>
        <v>1031045</v>
      </c>
      <c r="AQ46" s="160">
        <f t="shared" si="7"/>
        <v>36400</v>
      </c>
      <c r="AR46" s="160">
        <f t="shared" si="8"/>
        <v>18200</v>
      </c>
    </row>
    <row r="47" spans="1:44">
      <c r="A47" s="32">
        <v>45</v>
      </c>
      <c r="B47" s="81">
        <f>升级节奏!E47</f>
        <v>45000</v>
      </c>
      <c r="C47" s="7">
        <f>IF(VLOOKUP(C$2,行为概览!$D$3:$L$33,9,0)="","",VLOOKUP(C$2,行为概览!$D$3:$L$33,9,0)*IF(玩法行为规划!B47&gt;0,1,0))</f>
        <v>4</v>
      </c>
      <c r="D47" s="7">
        <f>IF(VLOOKUP(D$2,行为概览!$D$3:$L$33,9,0)="","",VLOOKUP(D$2,行为概览!$D$3:$L$33,9,0)*IF(玩法行为规划!C47&gt;0,1,0))</f>
        <v>1.65</v>
      </c>
      <c r="E47" s="7">
        <f>IF(VLOOKUP(E$2,行为概览!$D$3:$L$33,9,0)="","",VLOOKUP(E$2,行为概览!$D$3:$L$33,9,0)*IF(玩法行为规划!D47&gt;0,1,0))</f>
        <v>0.5</v>
      </c>
      <c r="F47" s="7">
        <f>IF(VLOOKUP(F$2,行为概览!$D$3:$L$33,9,0)="","",VLOOKUP(F$2,行为概览!$D$3:$L$33,9,0)*IF(玩法行为规划!E47&gt;0,1,0))</f>
        <v>1</v>
      </c>
      <c r="G47" s="7" t="str">
        <f>IF(VLOOKUP(G$2,行为概览!$D$3:$L$33,9,0)="","",VLOOKUP(G$2,行为概览!$D$3:$L$33,9,0)*IF(玩法行为规划!F47&gt;0,1,0))</f>
        <v/>
      </c>
      <c r="H47" s="7" t="str">
        <f>IF(VLOOKUP(H$2,行为概览!$D$3:$L$33,9,0)="","",VLOOKUP(H$2,行为概览!$D$3:$L$33,9,0)*IF(玩法行为规划!G47&gt;0,1,0))</f>
        <v/>
      </c>
      <c r="I47" s="7" t="str">
        <f>IF(VLOOKUP(I$2,行为概览!$D$3:$L$33,9,0)="","",VLOOKUP(I$2,行为概览!$D$3:$L$33,9,0)*IF(玩法行为规划!H47&gt;0,1,0))</f>
        <v/>
      </c>
      <c r="J47" s="7" t="str">
        <f>IF(VLOOKUP(J$2,行为概览!$D$3:$L$33,9,0)="","",VLOOKUP(J$2,行为概览!$D$3:$L$33,9,0)*IF(玩法行为规划!I47&gt;0,1,0))</f>
        <v/>
      </c>
      <c r="K47" s="7">
        <f>IF(VLOOKUP(K$2,行为概览!$D$3:$L$33,9,0)="","",VLOOKUP(K$2,行为概览!$D$3:$L$33,9,0)*IF(玩法行为规划!J47&gt;0,1,0))</f>
        <v>1</v>
      </c>
      <c r="L47" s="7">
        <f>IF(VLOOKUP(L$2,行为概览!$D$3:$L$33,9,0)="","",VLOOKUP(L$2,行为概览!$D$3:$L$33,9,0)*IF(玩法行为规划!K47&gt;0,1,0))</f>
        <v>1</v>
      </c>
      <c r="M47" s="7" t="str">
        <f>IF(VLOOKUP(M$2,行为概览!$D$3:$L$33,9,0)="","",VLOOKUP(M$2,行为概览!$D$3:$L$33,9,0)*IF(玩法行为规划!L47&gt;0,1,0))</f>
        <v/>
      </c>
      <c r="N47" s="7" t="str">
        <f>IF(VLOOKUP(N$2,行为概览!$D$3:$L$33,9,0)="","",VLOOKUP(N$2,行为概览!$D$3:$L$33,9,0)*IF(玩法行为规划!M47&gt;0,1,0))</f>
        <v/>
      </c>
      <c r="O47" s="7" t="str">
        <f>IF(VLOOKUP(O$2,行为概览!$D$3:$L$33,9,0)="","",VLOOKUP(O$2,行为概览!$D$3:$L$33,9,0)*IF(玩法行为规划!N47&gt;0,1,0))</f>
        <v/>
      </c>
      <c r="P47" s="7">
        <f>IF(VLOOKUP(P$2,行为概览!$D$3:$L$33,9,0)="","",VLOOKUP(P$2,行为概览!$D$3:$L$33,9,0)*IF(玩法行为规划!O47&gt;0,1,0))</f>
        <v>0.5</v>
      </c>
      <c r="Q47" s="7">
        <f>IF(VLOOKUP(Q$2,行为概览!$D$3:$L$33,9,0)="","",VLOOKUP(Q$2,行为概览!$D$3:$L$33,9,0)*IF(玩法行为规划!P47&gt;0,1,0))</f>
        <v>5</v>
      </c>
      <c r="R47" s="7" t="str">
        <f>IF(VLOOKUP(R$2,行为概览!$D$3:$L$33,9,0)="","",VLOOKUP(R$2,行为概览!$D$3:$L$33,9,0)*IF(玩法行为规划!Q47&gt;0,1,0))</f>
        <v/>
      </c>
      <c r="S47" s="7">
        <f>IF(VLOOKUP(S$2,行为概览!$D$3:$L$33,9,0)="","",VLOOKUP(S$2,行为概览!$D$3:$L$33,9,0)*IF(玩法行为规划!R47&gt;0,1,0))</f>
        <v>1</v>
      </c>
      <c r="T47" s="7">
        <f>IF(VLOOKUP(T$2,行为概览!$D$3:$L$33,9,0)="","",VLOOKUP(T$2,行为概览!$D$3:$L$33,9,0)*IF(玩法行为规划!S47&gt;0,1,0))</f>
        <v>1</v>
      </c>
      <c r="U47" s="7">
        <f>IF(VLOOKUP(U$2,行为概览!$D$3:$L$33,9,0)="","",VLOOKUP(U$2,行为概览!$D$3:$L$33,9,0)*IF(玩法行为规划!T47&gt;0,1,0))</f>
        <v>0</v>
      </c>
      <c r="V47" s="7">
        <f>IF(VLOOKUP(V$2,行为概览!$D$3:$L$33,9,0)="","",VLOOKUP(V$2,行为概览!$D$3:$L$33,9,0)*IF(玩法行为规划!U47&gt;0,1,0))</f>
        <v>1.5</v>
      </c>
      <c r="W47" s="7">
        <f>IF(VLOOKUP(W$2,行为概览!$D$3:$L$33,9,0)="","",VLOOKUP(W$2,行为概览!$D$3:$L$33,9,0)*IF(玩法行为规划!V47&gt;0,1,0))</f>
        <v>1</v>
      </c>
      <c r="X47" s="7">
        <f>IF(VLOOKUP(X$2,行为概览!$D$3:$L$33,9,0)="","",VLOOKUP(X$2,行为概览!$D$3:$L$33,9,0)*IF(玩法行为规划!W47&gt;0,1,0))</f>
        <v>1</v>
      </c>
      <c r="Y47" s="7">
        <f>IF(VLOOKUP(Y$2,行为概览!$D$3:$L$33,9,0)="","",VLOOKUP(Y$2,行为概览!$D$3:$L$33,9,0)*IF(玩法行为规划!X47&gt;0,1,0))</f>
        <v>1</v>
      </c>
      <c r="Z47" s="7">
        <f>IF(VLOOKUP(Z$2,行为概览!$D$3:$L$33,9,0)="","",VLOOKUP(Z$2,行为概览!$D$3:$L$33,9,0)*IF(玩法行为规划!Y47&gt;0,1,0))</f>
        <v>3</v>
      </c>
      <c r="AA47" s="7">
        <f>IF(VLOOKUP(AA$2,行为概览!$D$3:$L$33,9,0)="","",VLOOKUP(AA$2,行为概览!$D$3:$L$33,9,0)*IF(玩法行为规划!Z47&gt;0,1,0))</f>
        <v>0.5</v>
      </c>
      <c r="AB47" s="7" t="str">
        <f>IF(VLOOKUP(AB$2,行为概览!$D$3:$L$33,9,0)="","",VLOOKUP(AB$2,行为概览!$D$3:$L$33,9,0)*IF(玩法行为规划!AA47&gt;0,1,0))</f>
        <v/>
      </c>
      <c r="AC47" s="7" t="str">
        <f>IF(VLOOKUP(AC$2,行为概览!$D$3:$L$33,9,0)="","",VLOOKUP(AC$2,行为概览!$D$3:$L$33,9,0)*IF(玩法行为规划!AB47&gt;0,1,0))</f>
        <v/>
      </c>
      <c r="AD47" s="7" t="str">
        <f>IF(VLOOKUP(AD$2,行为概览!$D$3:$L$33,9,0)="","",VLOOKUP(AD$2,行为概览!$D$3:$L$33,9,0)*玩法行为规划!AC47)</f>
        <v/>
      </c>
      <c r="AE47" s="7" t="str">
        <f>IF(VLOOKUP(AE$2,行为概览!$D$3:$L$33,9,0)="","",VLOOKUP(AE$2,行为概览!$D$3:$L$33,9,0)*玩法行为规划!AD47)</f>
        <v/>
      </c>
      <c r="AF47" s="7">
        <f t="shared" si="10"/>
        <v>24.65</v>
      </c>
      <c r="AG47" s="10">
        <f t="shared" si="11"/>
        <v>1109250</v>
      </c>
      <c r="AH47" s="7">
        <f>ROUND(AG47*升级节奏!G47,0)</f>
        <v>294645</v>
      </c>
      <c r="AI47" s="7">
        <f t="shared" si="2"/>
        <v>67500</v>
      </c>
      <c r="AJ47" s="21" t="str">
        <f t="shared" si="12"/>
        <v/>
      </c>
      <c r="AK47" s="7">
        <f t="shared" si="3"/>
        <v>0.18638942964834529</v>
      </c>
      <c r="AL47" s="7">
        <f t="shared" si="4"/>
        <v>362145</v>
      </c>
      <c r="AM47" s="7">
        <f>SUM($AL$3:AL47)</f>
        <v>3271990</v>
      </c>
      <c r="AN47" s="166">
        <f t="shared" si="5"/>
        <v>18800</v>
      </c>
      <c r="AO47" s="7">
        <f>SUM($AN$3:AN47)*7</f>
        <v>1955800</v>
      </c>
      <c r="AP47" s="69">
        <f t="shared" si="6"/>
        <v>1258490</v>
      </c>
      <c r="AQ47" s="160">
        <f t="shared" si="7"/>
        <v>38500</v>
      </c>
      <c r="AR47" s="160">
        <f t="shared" si="8"/>
        <v>19200</v>
      </c>
    </row>
    <row r="48" spans="1:44">
      <c r="A48" s="32">
        <v>46</v>
      </c>
      <c r="B48" s="81">
        <f>升级节奏!E48</f>
        <v>46000</v>
      </c>
      <c r="C48" s="7">
        <f>IF(VLOOKUP(C$2,行为概览!$D$3:$L$33,9,0)="","",VLOOKUP(C$2,行为概览!$D$3:$L$33,9,0)*IF(玩法行为规划!B48&gt;0,1,0))</f>
        <v>4</v>
      </c>
      <c r="D48" s="7">
        <f>IF(VLOOKUP(D$2,行为概览!$D$3:$L$33,9,0)="","",VLOOKUP(D$2,行为概览!$D$3:$L$33,9,0)*IF(玩法行为规划!C48&gt;0,1,0))</f>
        <v>1.65</v>
      </c>
      <c r="E48" s="7">
        <f>IF(VLOOKUP(E$2,行为概览!$D$3:$L$33,9,0)="","",VLOOKUP(E$2,行为概览!$D$3:$L$33,9,0)*IF(玩法行为规划!D48&gt;0,1,0))</f>
        <v>0.5</v>
      </c>
      <c r="F48" s="7">
        <f>IF(VLOOKUP(F$2,行为概览!$D$3:$L$33,9,0)="","",VLOOKUP(F$2,行为概览!$D$3:$L$33,9,0)*IF(玩法行为规划!E48&gt;0,1,0))</f>
        <v>1</v>
      </c>
      <c r="G48" s="7" t="str">
        <f>IF(VLOOKUP(G$2,行为概览!$D$3:$L$33,9,0)="","",VLOOKUP(G$2,行为概览!$D$3:$L$33,9,0)*IF(玩法行为规划!F48&gt;0,1,0))</f>
        <v/>
      </c>
      <c r="H48" s="7" t="str">
        <f>IF(VLOOKUP(H$2,行为概览!$D$3:$L$33,9,0)="","",VLOOKUP(H$2,行为概览!$D$3:$L$33,9,0)*IF(玩法行为规划!G48&gt;0,1,0))</f>
        <v/>
      </c>
      <c r="I48" s="7" t="str">
        <f>IF(VLOOKUP(I$2,行为概览!$D$3:$L$33,9,0)="","",VLOOKUP(I$2,行为概览!$D$3:$L$33,9,0)*IF(玩法行为规划!H48&gt;0,1,0))</f>
        <v/>
      </c>
      <c r="J48" s="7" t="str">
        <f>IF(VLOOKUP(J$2,行为概览!$D$3:$L$33,9,0)="","",VLOOKUP(J$2,行为概览!$D$3:$L$33,9,0)*IF(玩法行为规划!I48&gt;0,1,0))</f>
        <v/>
      </c>
      <c r="K48" s="7">
        <f>IF(VLOOKUP(K$2,行为概览!$D$3:$L$33,9,0)="","",VLOOKUP(K$2,行为概览!$D$3:$L$33,9,0)*IF(玩法行为规划!J48&gt;0,1,0))</f>
        <v>1</v>
      </c>
      <c r="L48" s="7">
        <f>IF(VLOOKUP(L$2,行为概览!$D$3:$L$33,9,0)="","",VLOOKUP(L$2,行为概览!$D$3:$L$33,9,0)*IF(玩法行为规划!K48&gt;0,1,0))</f>
        <v>1</v>
      </c>
      <c r="M48" s="7" t="str">
        <f>IF(VLOOKUP(M$2,行为概览!$D$3:$L$33,9,0)="","",VLOOKUP(M$2,行为概览!$D$3:$L$33,9,0)*IF(玩法行为规划!L48&gt;0,1,0))</f>
        <v/>
      </c>
      <c r="N48" s="7" t="str">
        <f>IF(VLOOKUP(N$2,行为概览!$D$3:$L$33,9,0)="","",VLOOKUP(N$2,行为概览!$D$3:$L$33,9,0)*IF(玩法行为规划!M48&gt;0,1,0))</f>
        <v/>
      </c>
      <c r="O48" s="7" t="str">
        <f>IF(VLOOKUP(O$2,行为概览!$D$3:$L$33,9,0)="","",VLOOKUP(O$2,行为概览!$D$3:$L$33,9,0)*IF(玩法行为规划!N48&gt;0,1,0))</f>
        <v/>
      </c>
      <c r="P48" s="7">
        <f>IF(VLOOKUP(P$2,行为概览!$D$3:$L$33,9,0)="","",VLOOKUP(P$2,行为概览!$D$3:$L$33,9,0)*IF(玩法行为规划!O48&gt;0,1,0))</f>
        <v>0.5</v>
      </c>
      <c r="Q48" s="7">
        <f>IF(VLOOKUP(Q$2,行为概览!$D$3:$L$33,9,0)="","",VLOOKUP(Q$2,行为概览!$D$3:$L$33,9,0)*IF(玩法行为规划!P48&gt;0,1,0))</f>
        <v>5</v>
      </c>
      <c r="R48" s="7" t="str">
        <f>IF(VLOOKUP(R$2,行为概览!$D$3:$L$33,9,0)="","",VLOOKUP(R$2,行为概览!$D$3:$L$33,9,0)*IF(玩法行为规划!Q48&gt;0,1,0))</f>
        <v/>
      </c>
      <c r="S48" s="7">
        <f>IF(VLOOKUP(S$2,行为概览!$D$3:$L$33,9,0)="","",VLOOKUP(S$2,行为概览!$D$3:$L$33,9,0)*IF(玩法行为规划!R48&gt;0,1,0))</f>
        <v>1</v>
      </c>
      <c r="T48" s="7">
        <f>IF(VLOOKUP(T$2,行为概览!$D$3:$L$33,9,0)="","",VLOOKUP(T$2,行为概览!$D$3:$L$33,9,0)*IF(玩法行为规划!S48&gt;0,1,0))</f>
        <v>1</v>
      </c>
      <c r="U48" s="7">
        <f>IF(VLOOKUP(U$2,行为概览!$D$3:$L$33,9,0)="","",VLOOKUP(U$2,行为概览!$D$3:$L$33,9,0)*IF(玩法行为规划!T48&gt;0,1,0))</f>
        <v>0</v>
      </c>
      <c r="V48" s="7">
        <f>IF(VLOOKUP(V$2,行为概览!$D$3:$L$33,9,0)="","",VLOOKUP(V$2,行为概览!$D$3:$L$33,9,0)*IF(玩法行为规划!U48&gt;0,1,0))</f>
        <v>1.5</v>
      </c>
      <c r="W48" s="7">
        <f>IF(VLOOKUP(W$2,行为概览!$D$3:$L$33,9,0)="","",VLOOKUP(W$2,行为概览!$D$3:$L$33,9,0)*IF(玩法行为规划!V48&gt;0,1,0))</f>
        <v>1</v>
      </c>
      <c r="X48" s="7">
        <f>IF(VLOOKUP(X$2,行为概览!$D$3:$L$33,9,0)="","",VLOOKUP(X$2,行为概览!$D$3:$L$33,9,0)*IF(玩法行为规划!W48&gt;0,1,0))</f>
        <v>1</v>
      </c>
      <c r="Y48" s="7">
        <f>IF(VLOOKUP(Y$2,行为概览!$D$3:$L$33,9,0)="","",VLOOKUP(Y$2,行为概览!$D$3:$L$33,9,0)*IF(玩法行为规划!X48&gt;0,1,0))</f>
        <v>1</v>
      </c>
      <c r="Z48" s="7">
        <f>IF(VLOOKUP(Z$2,行为概览!$D$3:$L$33,9,0)="","",VLOOKUP(Z$2,行为概览!$D$3:$L$33,9,0)*IF(玩法行为规划!Y48&gt;0,1,0))</f>
        <v>3</v>
      </c>
      <c r="AA48" s="7">
        <f>IF(VLOOKUP(AA$2,行为概览!$D$3:$L$33,9,0)="","",VLOOKUP(AA$2,行为概览!$D$3:$L$33,9,0)*IF(玩法行为规划!Z48&gt;0,1,0))</f>
        <v>0.5</v>
      </c>
      <c r="AB48" s="7" t="str">
        <f>IF(VLOOKUP(AB$2,行为概览!$D$3:$L$33,9,0)="","",VLOOKUP(AB$2,行为概览!$D$3:$L$33,9,0)*IF(玩法行为规划!AA48&gt;0,1,0))</f>
        <v/>
      </c>
      <c r="AC48" s="7" t="str">
        <f>IF(VLOOKUP(AC$2,行为概览!$D$3:$L$33,9,0)="","",VLOOKUP(AC$2,行为概览!$D$3:$L$33,9,0)*IF(玩法行为规划!AB48&gt;0,1,0))</f>
        <v/>
      </c>
      <c r="AD48" s="7" t="str">
        <f>IF(VLOOKUP(AD$2,行为概览!$D$3:$L$33,9,0)="","",VLOOKUP(AD$2,行为概览!$D$3:$L$33,9,0)*玩法行为规划!AC48)</f>
        <v/>
      </c>
      <c r="AE48" s="7" t="str">
        <f>IF(VLOOKUP(AE$2,行为概览!$D$3:$L$33,9,0)="","",VLOOKUP(AE$2,行为概览!$D$3:$L$33,9,0)*玩法行为规划!AD48)</f>
        <v/>
      </c>
      <c r="AF48" s="7">
        <f t="shared" si="10"/>
        <v>24.65</v>
      </c>
      <c r="AG48" s="10">
        <f t="shared" si="11"/>
        <v>1133900</v>
      </c>
      <c r="AH48" s="7">
        <f>ROUND(AG48*升级节奏!G48,0)</f>
        <v>314090</v>
      </c>
      <c r="AI48" s="7">
        <f t="shared" si="2"/>
        <v>73600</v>
      </c>
      <c r="AJ48" s="21" t="str">
        <f t="shared" si="12"/>
        <v/>
      </c>
      <c r="AK48" s="7">
        <f t="shared" si="3"/>
        <v>0.18984239985555471</v>
      </c>
      <c r="AL48" s="7">
        <f t="shared" si="4"/>
        <v>387690</v>
      </c>
      <c r="AM48" s="7">
        <f>SUM($AL$3:AL48)</f>
        <v>3659680</v>
      </c>
      <c r="AN48" s="166">
        <f t="shared" si="5"/>
        <v>19700</v>
      </c>
      <c r="AO48" s="7">
        <f>SUM($AN$3:AN48)*7</f>
        <v>2093700</v>
      </c>
      <c r="AP48" s="69">
        <f t="shared" si="6"/>
        <v>1505080</v>
      </c>
      <c r="AQ48" s="160">
        <f t="shared" si="7"/>
        <v>40600</v>
      </c>
      <c r="AR48" s="160">
        <f t="shared" si="8"/>
        <v>20300</v>
      </c>
    </row>
    <row r="49" spans="1:44">
      <c r="A49" s="32">
        <v>47</v>
      </c>
      <c r="B49" s="81">
        <f>升级节奏!E49</f>
        <v>47000</v>
      </c>
      <c r="C49" s="7">
        <f>IF(VLOOKUP(C$2,行为概览!$D$3:$L$33,9,0)="","",VLOOKUP(C$2,行为概览!$D$3:$L$33,9,0)*IF(玩法行为规划!B49&gt;0,1,0))</f>
        <v>4</v>
      </c>
      <c r="D49" s="7">
        <f>IF(VLOOKUP(D$2,行为概览!$D$3:$L$33,9,0)="","",VLOOKUP(D$2,行为概览!$D$3:$L$33,9,0)*IF(玩法行为规划!C49&gt;0,1,0))</f>
        <v>1.65</v>
      </c>
      <c r="E49" s="7">
        <f>IF(VLOOKUP(E$2,行为概览!$D$3:$L$33,9,0)="","",VLOOKUP(E$2,行为概览!$D$3:$L$33,9,0)*IF(玩法行为规划!D49&gt;0,1,0))</f>
        <v>0.5</v>
      </c>
      <c r="F49" s="7">
        <f>IF(VLOOKUP(F$2,行为概览!$D$3:$L$33,9,0)="","",VLOOKUP(F$2,行为概览!$D$3:$L$33,9,0)*IF(玩法行为规划!E49&gt;0,1,0))</f>
        <v>1</v>
      </c>
      <c r="G49" s="7" t="str">
        <f>IF(VLOOKUP(G$2,行为概览!$D$3:$L$33,9,0)="","",VLOOKUP(G$2,行为概览!$D$3:$L$33,9,0)*IF(玩法行为规划!F49&gt;0,1,0))</f>
        <v/>
      </c>
      <c r="H49" s="7" t="str">
        <f>IF(VLOOKUP(H$2,行为概览!$D$3:$L$33,9,0)="","",VLOOKUP(H$2,行为概览!$D$3:$L$33,9,0)*IF(玩法行为规划!G49&gt;0,1,0))</f>
        <v/>
      </c>
      <c r="I49" s="7" t="str">
        <f>IF(VLOOKUP(I$2,行为概览!$D$3:$L$33,9,0)="","",VLOOKUP(I$2,行为概览!$D$3:$L$33,9,0)*IF(玩法行为规划!H49&gt;0,1,0))</f>
        <v/>
      </c>
      <c r="J49" s="7" t="str">
        <f>IF(VLOOKUP(J$2,行为概览!$D$3:$L$33,9,0)="","",VLOOKUP(J$2,行为概览!$D$3:$L$33,9,0)*IF(玩法行为规划!I49&gt;0,1,0))</f>
        <v/>
      </c>
      <c r="K49" s="7">
        <f>IF(VLOOKUP(K$2,行为概览!$D$3:$L$33,9,0)="","",VLOOKUP(K$2,行为概览!$D$3:$L$33,9,0)*IF(玩法行为规划!J49&gt;0,1,0))</f>
        <v>1</v>
      </c>
      <c r="L49" s="7">
        <f>IF(VLOOKUP(L$2,行为概览!$D$3:$L$33,9,0)="","",VLOOKUP(L$2,行为概览!$D$3:$L$33,9,0)*IF(玩法行为规划!K49&gt;0,1,0))</f>
        <v>1</v>
      </c>
      <c r="M49" s="7" t="str">
        <f>IF(VLOOKUP(M$2,行为概览!$D$3:$L$33,9,0)="","",VLOOKUP(M$2,行为概览!$D$3:$L$33,9,0)*IF(玩法行为规划!L49&gt;0,1,0))</f>
        <v/>
      </c>
      <c r="N49" s="7" t="str">
        <f>IF(VLOOKUP(N$2,行为概览!$D$3:$L$33,9,0)="","",VLOOKUP(N$2,行为概览!$D$3:$L$33,9,0)*IF(玩法行为规划!M49&gt;0,1,0))</f>
        <v/>
      </c>
      <c r="O49" s="7" t="str">
        <f>IF(VLOOKUP(O$2,行为概览!$D$3:$L$33,9,0)="","",VLOOKUP(O$2,行为概览!$D$3:$L$33,9,0)*IF(玩法行为规划!N49&gt;0,1,0))</f>
        <v/>
      </c>
      <c r="P49" s="7">
        <f>IF(VLOOKUP(P$2,行为概览!$D$3:$L$33,9,0)="","",VLOOKUP(P$2,行为概览!$D$3:$L$33,9,0)*IF(玩法行为规划!O49&gt;0,1,0))</f>
        <v>0.5</v>
      </c>
      <c r="Q49" s="7">
        <f>IF(VLOOKUP(Q$2,行为概览!$D$3:$L$33,9,0)="","",VLOOKUP(Q$2,行为概览!$D$3:$L$33,9,0)*IF(玩法行为规划!P49&gt;0,1,0))</f>
        <v>5</v>
      </c>
      <c r="R49" s="7" t="str">
        <f>IF(VLOOKUP(R$2,行为概览!$D$3:$L$33,9,0)="","",VLOOKUP(R$2,行为概览!$D$3:$L$33,9,0)*IF(玩法行为规划!Q49&gt;0,1,0))</f>
        <v/>
      </c>
      <c r="S49" s="7">
        <f>IF(VLOOKUP(S$2,行为概览!$D$3:$L$33,9,0)="","",VLOOKUP(S$2,行为概览!$D$3:$L$33,9,0)*IF(玩法行为规划!R49&gt;0,1,0))</f>
        <v>1</v>
      </c>
      <c r="T49" s="7">
        <f>IF(VLOOKUP(T$2,行为概览!$D$3:$L$33,9,0)="","",VLOOKUP(T$2,行为概览!$D$3:$L$33,9,0)*IF(玩法行为规划!S49&gt;0,1,0))</f>
        <v>1</v>
      </c>
      <c r="U49" s="7">
        <f>IF(VLOOKUP(U$2,行为概览!$D$3:$L$33,9,0)="","",VLOOKUP(U$2,行为概览!$D$3:$L$33,9,0)*IF(玩法行为规划!T49&gt;0,1,0))</f>
        <v>0</v>
      </c>
      <c r="V49" s="7">
        <f>IF(VLOOKUP(V$2,行为概览!$D$3:$L$33,9,0)="","",VLOOKUP(V$2,行为概览!$D$3:$L$33,9,0)*IF(玩法行为规划!U49&gt;0,1,0))</f>
        <v>1.5</v>
      </c>
      <c r="W49" s="7">
        <f>IF(VLOOKUP(W$2,行为概览!$D$3:$L$33,9,0)="","",VLOOKUP(W$2,行为概览!$D$3:$L$33,9,0)*IF(玩法行为规划!V49&gt;0,1,0))</f>
        <v>1</v>
      </c>
      <c r="X49" s="7">
        <f>IF(VLOOKUP(X$2,行为概览!$D$3:$L$33,9,0)="","",VLOOKUP(X$2,行为概览!$D$3:$L$33,9,0)*IF(玩法行为规划!W49&gt;0,1,0))</f>
        <v>1</v>
      </c>
      <c r="Y49" s="7">
        <f>IF(VLOOKUP(Y$2,行为概览!$D$3:$L$33,9,0)="","",VLOOKUP(Y$2,行为概览!$D$3:$L$33,9,0)*IF(玩法行为规划!X49&gt;0,1,0))</f>
        <v>1</v>
      </c>
      <c r="Z49" s="7">
        <f>IF(VLOOKUP(Z$2,行为概览!$D$3:$L$33,9,0)="","",VLOOKUP(Z$2,行为概览!$D$3:$L$33,9,0)*IF(玩法行为规划!Y49&gt;0,1,0))</f>
        <v>3</v>
      </c>
      <c r="AA49" s="7">
        <f>IF(VLOOKUP(AA$2,行为概览!$D$3:$L$33,9,0)="","",VLOOKUP(AA$2,行为概览!$D$3:$L$33,9,0)*IF(玩法行为规划!Z49&gt;0,1,0))</f>
        <v>0.5</v>
      </c>
      <c r="AB49" s="7" t="str">
        <f>IF(VLOOKUP(AB$2,行为概览!$D$3:$L$33,9,0)="","",VLOOKUP(AB$2,行为概览!$D$3:$L$33,9,0)*IF(玩法行为规划!AA49&gt;0,1,0))</f>
        <v/>
      </c>
      <c r="AC49" s="7" t="str">
        <f>IF(VLOOKUP(AC$2,行为概览!$D$3:$L$33,9,0)="","",VLOOKUP(AC$2,行为概览!$D$3:$L$33,9,0)*IF(玩法行为规划!AB49&gt;0,1,0))</f>
        <v/>
      </c>
      <c r="AD49" s="7" t="str">
        <f>IF(VLOOKUP(AD$2,行为概览!$D$3:$L$33,9,0)="","",VLOOKUP(AD$2,行为概览!$D$3:$L$33,9,0)*玩法行为规划!AC49)</f>
        <v/>
      </c>
      <c r="AE49" s="7" t="str">
        <f>IF(VLOOKUP(AE$2,行为概览!$D$3:$L$33,9,0)="","",VLOOKUP(AE$2,行为概览!$D$3:$L$33,9,0)*玩法行为规划!AD49)</f>
        <v/>
      </c>
      <c r="AF49" s="7">
        <f t="shared" si="10"/>
        <v>24.65</v>
      </c>
      <c r="AG49" s="10">
        <f t="shared" si="11"/>
        <v>1158550</v>
      </c>
      <c r="AH49" s="7">
        <f>ROUND(AG49*升级节奏!G49,0)</f>
        <v>334386</v>
      </c>
      <c r="AI49" s="7">
        <f t="shared" si="2"/>
        <v>79900</v>
      </c>
      <c r="AJ49" s="21" t="str">
        <f t="shared" si="12"/>
        <v/>
      </c>
      <c r="AK49" s="7">
        <f t="shared" si="3"/>
        <v>0.19286193595728554</v>
      </c>
      <c r="AL49" s="7">
        <f t="shared" si="4"/>
        <v>414286</v>
      </c>
      <c r="AM49" s="7">
        <f>SUM($AL$3:AL49)</f>
        <v>4073966</v>
      </c>
      <c r="AN49" s="166">
        <f t="shared" si="5"/>
        <v>20500</v>
      </c>
      <c r="AO49" s="7">
        <f>SUM($AN$3:AN49)*7</f>
        <v>2237200</v>
      </c>
      <c r="AP49" s="69">
        <f t="shared" si="6"/>
        <v>1772566</v>
      </c>
      <c r="AQ49" s="160">
        <f t="shared" si="7"/>
        <v>42800</v>
      </c>
      <c r="AR49" s="160">
        <f t="shared" si="8"/>
        <v>21400</v>
      </c>
    </row>
    <row r="50" spans="1:44">
      <c r="A50" s="32">
        <v>48</v>
      </c>
      <c r="B50" s="81">
        <f>升级节奏!E50</f>
        <v>48000</v>
      </c>
      <c r="C50" s="7">
        <f>IF(VLOOKUP(C$2,行为概览!$D$3:$L$33,9,0)="","",VLOOKUP(C$2,行为概览!$D$3:$L$33,9,0)*IF(玩法行为规划!B50&gt;0,1,0))</f>
        <v>4</v>
      </c>
      <c r="D50" s="7">
        <f>IF(VLOOKUP(D$2,行为概览!$D$3:$L$33,9,0)="","",VLOOKUP(D$2,行为概览!$D$3:$L$33,9,0)*IF(玩法行为规划!C50&gt;0,1,0))</f>
        <v>1.65</v>
      </c>
      <c r="E50" s="7">
        <f>IF(VLOOKUP(E$2,行为概览!$D$3:$L$33,9,0)="","",VLOOKUP(E$2,行为概览!$D$3:$L$33,9,0)*IF(玩法行为规划!D50&gt;0,1,0))</f>
        <v>0.5</v>
      </c>
      <c r="F50" s="7">
        <f>IF(VLOOKUP(F$2,行为概览!$D$3:$L$33,9,0)="","",VLOOKUP(F$2,行为概览!$D$3:$L$33,9,0)*IF(玩法行为规划!E50&gt;0,1,0))</f>
        <v>1</v>
      </c>
      <c r="G50" s="7" t="str">
        <f>IF(VLOOKUP(G$2,行为概览!$D$3:$L$33,9,0)="","",VLOOKUP(G$2,行为概览!$D$3:$L$33,9,0)*IF(玩法行为规划!F50&gt;0,1,0))</f>
        <v/>
      </c>
      <c r="H50" s="7" t="str">
        <f>IF(VLOOKUP(H$2,行为概览!$D$3:$L$33,9,0)="","",VLOOKUP(H$2,行为概览!$D$3:$L$33,9,0)*IF(玩法行为规划!G50&gt;0,1,0))</f>
        <v/>
      </c>
      <c r="I50" s="7" t="str">
        <f>IF(VLOOKUP(I$2,行为概览!$D$3:$L$33,9,0)="","",VLOOKUP(I$2,行为概览!$D$3:$L$33,9,0)*IF(玩法行为规划!H50&gt;0,1,0))</f>
        <v/>
      </c>
      <c r="J50" s="7" t="str">
        <f>IF(VLOOKUP(J$2,行为概览!$D$3:$L$33,9,0)="","",VLOOKUP(J$2,行为概览!$D$3:$L$33,9,0)*IF(玩法行为规划!I50&gt;0,1,0))</f>
        <v/>
      </c>
      <c r="K50" s="7">
        <f>IF(VLOOKUP(K$2,行为概览!$D$3:$L$33,9,0)="","",VLOOKUP(K$2,行为概览!$D$3:$L$33,9,0)*IF(玩法行为规划!J50&gt;0,1,0))</f>
        <v>1</v>
      </c>
      <c r="L50" s="7">
        <f>IF(VLOOKUP(L$2,行为概览!$D$3:$L$33,9,0)="","",VLOOKUP(L$2,行为概览!$D$3:$L$33,9,0)*IF(玩法行为规划!K50&gt;0,1,0))</f>
        <v>1</v>
      </c>
      <c r="M50" s="7" t="str">
        <f>IF(VLOOKUP(M$2,行为概览!$D$3:$L$33,9,0)="","",VLOOKUP(M$2,行为概览!$D$3:$L$33,9,0)*IF(玩法行为规划!L50&gt;0,1,0))</f>
        <v/>
      </c>
      <c r="N50" s="7" t="str">
        <f>IF(VLOOKUP(N$2,行为概览!$D$3:$L$33,9,0)="","",VLOOKUP(N$2,行为概览!$D$3:$L$33,9,0)*IF(玩法行为规划!M50&gt;0,1,0))</f>
        <v/>
      </c>
      <c r="O50" s="7" t="str">
        <f>IF(VLOOKUP(O$2,行为概览!$D$3:$L$33,9,0)="","",VLOOKUP(O$2,行为概览!$D$3:$L$33,9,0)*IF(玩法行为规划!N50&gt;0,1,0))</f>
        <v/>
      </c>
      <c r="P50" s="7">
        <f>IF(VLOOKUP(P$2,行为概览!$D$3:$L$33,9,0)="","",VLOOKUP(P$2,行为概览!$D$3:$L$33,9,0)*IF(玩法行为规划!O50&gt;0,1,0))</f>
        <v>0.5</v>
      </c>
      <c r="Q50" s="7">
        <f>IF(VLOOKUP(Q$2,行为概览!$D$3:$L$33,9,0)="","",VLOOKUP(Q$2,行为概览!$D$3:$L$33,9,0)*IF(玩法行为规划!P50&gt;0,1,0))</f>
        <v>5</v>
      </c>
      <c r="R50" s="7" t="str">
        <f>IF(VLOOKUP(R$2,行为概览!$D$3:$L$33,9,0)="","",VLOOKUP(R$2,行为概览!$D$3:$L$33,9,0)*IF(玩法行为规划!Q50&gt;0,1,0))</f>
        <v/>
      </c>
      <c r="S50" s="7">
        <f>IF(VLOOKUP(S$2,行为概览!$D$3:$L$33,9,0)="","",VLOOKUP(S$2,行为概览!$D$3:$L$33,9,0)*IF(玩法行为规划!R50&gt;0,1,0))</f>
        <v>1</v>
      </c>
      <c r="T50" s="7">
        <f>IF(VLOOKUP(T$2,行为概览!$D$3:$L$33,9,0)="","",VLOOKUP(T$2,行为概览!$D$3:$L$33,9,0)*IF(玩法行为规划!S50&gt;0,1,0))</f>
        <v>1</v>
      </c>
      <c r="U50" s="7">
        <f>IF(VLOOKUP(U$2,行为概览!$D$3:$L$33,9,0)="","",VLOOKUP(U$2,行为概览!$D$3:$L$33,9,0)*IF(玩法行为规划!T50&gt;0,1,0))</f>
        <v>0</v>
      </c>
      <c r="V50" s="7">
        <f>IF(VLOOKUP(V$2,行为概览!$D$3:$L$33,9,0)="","",VLOOKUP(V$2,行为概览!$D$3:$L$33,9,0)*IF(玩法行为规划!U50&gt;0,1,0))</f>
        <v>1.5</v>
      </c>
      <c r="W50" s="7">
        <f>IF(VLOOKUP(W$2,行为概览!$D$3:$L$33,9,0)="","",VLOOKUP(W$2,行为概览!$D$3:$L$33,9,0)*IF(玩法行为规划!V50&gt;0,1,0))</f>
        <v>1</v>
      </c>
      <c r="X50" s="7">
        <f>IF(VLOOKUP(X$2,行为概览!$D$3:$L$33,9,0)="","",VLOOKUP(X$2,行为概览!$D$3:$L$33,9,0)*IF(玩法行为规划!W50&gt;0,1,0))</f>
        <v>1</v>
      </c>
      <c r="Y50" s="7">
        <f>IF(VLOOKUP(Y$2,行为概览!$D$3:$L$33,9,0)="","",VLOOKUP(Y$2,行为概览!$D$3:$L$33,9,0)*IF(玩法行为规划!X50&gt;0,1,0))</f>
        <v>1</v>
      </c>
      <c r="Z50" s="7">
        <f>IF(VLOOKUP(Z$2,行为概览!$D$3:$L$33,9,0)="","",VLOOKUP(Z$2,行为概览!$D$3:$L$33,9,0)*IF(玩法行为规划!Y50&gt;0,1,0))</f>
        <v>3</v>
      </c>
      <c r="AA50" s="7">
        <f>IF(VLOOKUP(AA$2,行为概览!$D$3:$L$33,9,0)="","",VLOOKUP(AA$2,行为概览!$D$3:$L$33,9,0)*IF(玩法行为规划!Z50&gt;0,1,0))</f>
        <v>0.5</v>
      </c>
      <c r="AB50" s="7" t="str">
        <f>IF(VLOOKUP(AB$2,行为概览!$D$3:$L$33,9,0)="","",VLOOKUP(AB$2,行为概览!$D$3:$L$33,9,0)*IF(玩法行为规划!AA50&gt;0,1,0))</f>
        <v/>
      </c>
      <c r="AC50" s="7" t="str">
        <f>IF(VLOOKUP(AC$2,行为概览!$D$3:$L$33,9,0)="","",VLOOKUP(AC$2,行为概览!$D$3:$L$33,9,0)*IF(玩法行为规划!AB50&gt;0,1,0))</f>
        <v/>
      </c>
      <c r="AD50" s="7" t="str">
        <f>IF(VLOOKUP(AD$2,行为概览!$D$3:$L$33,9,0)="","",VLOOKUP(AD$2,行为概览!$D$3:$L$33,9,0)*玩法行为规划!AC50)</f>
        <v/>
      </c>
      <c r="AE50" s="7" t="str">
        <f>IF(VLOOKUP(AE$2,行为概览!$D$3:$L$33,9,0)="","",VLOOKUP(AE$2,行为概览!$D$3:$L$33,9,0)*玩法行为规划!AD50)</f>
        <v/>
      </c>
      <c r="AF50" s="7">
        <f t="shared" si="10"/>
        <v>24.65</v>
      </c>
      <c r="AG50" s="10">
        <f t="shared" si="11"/>
        <v>1183200</v>
      </c>
      <c r="AH50" s="7">
        <f>ROUND(AG50*升级节奏!G50,0)</f>
        <v>355552</v>
      </c>
      <c r="AI50" s="7">
        <f t="shared" si="2"/>
        <v>86400</v>
      </c>
      <c r="AJ50" s="21" t="str">
        <f t="shared" si="12"/>
        <v/>
      </c>
      <c r="AK50" s="7">
        <f t="shared" si="3"/>
        <v>0.19549634349431613</v>
      </c>
      <c r="AL50" s="7">
        <f t="shared" si="4"/>
        <v>441952</v>
      </c>
      <c r="AM50" s="7">
        <f>SUM($AL$3:AL50)</f>
        <v>4515918</v>
      </c>
      <c r="AN50" s="166">
        <f t="shared" si="5"/>
        <v>21500</v>
      </c>
      <c r="AO50" s="7">
        <f>SUM($AN$3:AN50)*7</f>
        <v>2387700</v>
      </c>
      <c r="AP50" s="69">
        <f t="shared" si="6"/>
        <v>2060418</v>
      </c>
      <c r="AQ50" s="160">
        <f t="shared" si="7"/>
        <v>45200</v>
      </c>
      <c r="AR50" s="160">
        <f t="shared" si="8"/>
        <v>22600</v>
      </c>
    </row>
    <row r="51" spans="1:44">
      <c r="A51" s="32">
        <v>49</v>
      </c>
      <c r="B51" s="81">
        <f>升级节奏!E51</f>
        <v>49000</v>
      </c>
      <c r="C51" s="7">
        <f>IF(VLOOKUP(C$2,行为概览!$D$3:$L$33,9,0)="","",VLOOKUP(C$2,行为概览!$D$3:$L$33,9,0)*IF(玩法行为规划!B51&gt;0,1,0))</f>
        <v>4</v>
      </c>
      <c r="D51" s="7">
        <f>IF(VLOOKUP(D$2,行为概览!$D$3:$L$33,9,0)="","",VLOOKUP(D$2,行为概览!$D$3:$L$33,9,0)*IF(玩法行为规划!C51&gt;0,1,0))</f>
        <v>1.65</v>
      </c>
      <c r="E51" s="7">
        <f>IF(VLOOKUP(E$2,行为概览!$D$3:$L$33,9,0)="","",VLOOKUP(E$2,行为概览!$D$3:$L$33,9,0)*IF(玩法行为规划!D51&gt;0,1,0))</f>
        <v>0.5</v>
      </c>
      <c r="F51" s="7">
        <f>IF(VLOOKUP(F$2,行为概览!$D$3:$L$33,9,0)="","",VLOOKUP(F$2,行为概览!$D$3:$L$33,9,0)*IF(玩法行为规划!E51&gt;0,1,0))</f>
        <v>1</v>
      </c>
      <c r="G51" s="7" t="str">
        <f>IF(VLOOKUP(G$2,行为概览!$D$3:$L$33,9,0)="","",VLOOKUP(G$2,行为概览!$D$3:$L$33,9,0)*IF(玩法行为规划!F51&gt;0,1,0))</f>
        <v/>
      </c>
      <c r="H51" s="7" t="str">
        <f>IF(VLOOKUP(H$2,行为概览!$D$3:$L$33,9,0)="","",VLOOKUP(H$2,行为概览!$D$3:$L$33,9,0)*IF(玩法行为规划!G51&gt;0,1,0))</f>
        <v/>
      </c>
      <c r="I51" s="7" t="str">
        <f>IF(VLOOKUP(I$2,行为概览!$D$3:$L$33,9,0)="","",VLOOKUP(I$2,行为概览!$D$3:$L$33,9,0)*IF(玩法行为规划!H51&gt;0,1,0))</f>
        <v/>
      </c>
      <c r="J51" s="7" t="str">
        <f>IF(VLOOKUP(J$2,行为概览!$D$3:$L$33,9,0)="","",VLOOKUP(J$2,行为概览!$D$3:$L$33,9,0)*IF(玩法行为规划!I51&gt;0,1,0))</f>
        <v/>
      </c>
      <c r="K51" s="7">
        <f>IF(VLOOKUP(K$2,行为概览!$D$3:$L$33,9,0)="","",VLOOKUP(K$2,行为概览!$D$3:$L$33,9,0)*IF(玩法行为规划!J51&gt;0,1,0))</f>
        <v>1</v>
      </c>
      <c r="L51" s="7">
        <f>IF(VLOOKUP(L$2,行为概览!$D$3:$L$33,9,0)="","",VLOOKUP(L$2,行为概览!$D$3:$L$33,9,0)*IF(玩法行为规划!K51&gt;0,1,0))</f>
        <v>1</v>
      </c>
      <c r="M51" s="7" t="str">
        <f>IF(VLOOKUP(M$2,行为概览!$D$3:$L$33,9,0)="","",VLOOKUP(M$2,行为概览!$D$3:$L$33,9,0)*IF(玩法行为规划!L51&gt;0,1,0))</f>
        <v/>
      </c>
      <c r="N51" s="7" t="str">
        <f>IF(VLOOKUP(N$2,行为概览!$D$3:$L$33,9,0)="","",VLOOKUP(N$2,行为概览!$D$3:$L$33,9,0)*IF(玩法行为规划!M51&gt;0,1,0))</f>
        <v/>
      </c>
      <c r="O51" s="7" t="str">
        <f>IF(VLOOKUP(O$2,行为概览!$D$3:$L$33,9,0)="","",VLOOKUP(O$2,行为概览!$D$3:$L$33,9,0)*IF(玩法行为规划!N51&gt;0,1,0))</f>
        <v/>
      </c>
      <c r="P51" s="7">
        <f>IF(VLOOKUP(P$2,行为概览!$D$3:$L$33,9,0)="","",VLOOKUP(P$2,行为概览!$D$3:$L$33,9,0)*IF(玩法行为规划!O51&gt;0,1,0))</f>
        <v>0.5</v>
      </c>
      <c r="Q51" s="7">
        <f>IF(VLOOKUP(Q$2,行为概览!$D$3:$L$33,9,0)="","",VLOOKUP(Q$2,行为概览!$D$3:$L$33,9,0)*IF(玩法行为规划!P51&gt;0,1,0))</f>
        <v>5</v>
      </c>
      <c r="R51" s="7" t="str">
        <f>IF(VLOOKUP(R$2,行为概览!$D$3:$L$33,9,0)="","",VLOOKUP(R$2,行为概览!$D$3:$L$33,9,0)*IF(玩法行为规划!Q51&gt;0,1,0))</f>
        <v/>
      </c>
      <c r="S51" s="7">
        <f>IF(VLOOKUP(S$2,行为概览!$D$3:$L$33,9,0)="","",VLOOKUP(S$2,行为概览!$D$3:$L$33,9,0)*IF(玩法行为规划!R51&gt;0,1,0))</f>
        <v>1</v>
      </c>
      <c r="T51" s="7">
        <f>IF(VLOOKUP(T$2,行为概览!$D$3:$L$33,9,0)="","",VLOOKUP(T$2,行为概览!$D$3:$L$33,9,0)*IF(玩法行为规划!S51&gt;0,1,0))</f>
        <v>1</v>
      </c>
      <c r="U51" s="7">
        <f>IF(VLOOKUP(U$2,行为概览!$D$3:$L$33,9,0)="","",VLOOKUP(U$2,行为概览!$D$3:$L$33,9,0)*IF(玩法行为规划!T51&gt;0,1,0))</f>
        <v>0</v>
      </c>
      <c r="V51" s="7">
        <f>IF(VLOOKUP(V$2,行为概览!$D$3:$L$33,9,0)="","",VLOOKUP(V$2,行为概览!$D$3:$L$33,9,0)*IF(玩法行为规划!U51&gt;0,1,0))</f>
        <v>1.5</v>
      </c>
      <c r="W51" s="7">
        <f>IF(VLOOKUP(W$2,行为概览!$D$3:$L$33,9,0)="","",VLOOKUP(W$2,行为概览!$D$3:$L$33,9,0)*IF(玩法行为规划!V51&gt;0,1,0))</f>
        <v>1</v>
      </c>
      <c r="X51" s="7">
        <f>IF(VLOOKUP(X$2,行为概览!$D$3:$L$33,9,0)="","",VLOOKUP(X$2,行为概览!$D$3:$L$33,9,0)*IF(玩法行为规划!W51&gt;0,1,0))</f>
        <v>1</v>
      </c>
      <c r="Y51" s="7">
        <f>IF(VLOOKUP(Y$2,行为概览!$D$3:$L$33,9,0)="","",VLOOKUP(Y$2,行为概览!$D$3:$L$33,9,0)*IF(玩法行为规划!X51&gt;0,1,0))</f>
        <v>1</v>
      </c>
      <c r="Z51" s="7">
        <f>IF(VLOOKUP(Z$2,行为概览!$D$3:$L$33,9,0)="","",VLOOKUP(Z$2,行为概览!$D$3:$L$33,9,0)*IF(玩法行为规划!Y51&gt;0,1,0))</f>
        <v>3</v>
      </c>
      <c r="AA51" s="7">
        <f>IF(VLOOKUP(AA$2,行为概览!$D$3:$L$33,9,0)="","",VLOOKUP(AA$2,行为概览!$D$3:$L$33,9,0)*IF(玩法行为规划!Z51&gt;0,1,0))</f>
        <v>0.5</v>
      </c>
      <c r="AB51" s="7" t="str">
        <f>IF(VLOOKUP(AB$2,行为概览!$D$3:$L$33,9,0)="","",VLOOKUP(AB$2,行为概览!$D$3:$L$33,9,0)*IF(玩法行为规划!AA51&gt;0,1,0))</f>
        <v/>
      </c>
      <c r="AC51" s="7" t="str">
        <f>IF(VLOOKUP(AC$2,行为概览!$D$3:$L$33,9,0)="","",VLOOKUP(AC$2,行为概览!$D$3:$L$33,9,0)*IF(玩法行为规划!AB51&gt;0,1,0))</f>
        <v/>
      </c>
      <c r="AD51" s="7" t="str">
        <f>IF(VLOOKUP(AD$2,行为概览!$D$3:$L$33,9,0)="","",VLOOKUP(AD$2,行为概览!$D$3:$L$33,9,0)*玩法行为规划!AC51)</f>
        <v/>
      </c>
      <c r="AE51" s="7" t="str">
        <f>IF(VLOOKUP(AE$2,行为概览!$D$3:$L$33,9,0)="","",VLOOKUP(AE$2,行为概览!$D$3:$L$33,9,0)*玩法行为规划!AD51)</f>
        <v/>
      </c>
      <c r="AF51" s="7">
        <f t="shared" si="10"/>
        <v>24.65</v>
      </c>
      <c r="AG51" s="10">
        <f t="shared" si="11"/>
        <v>1207850</v>
      </c>
      <c r="AH51" s="7">
        <f>ROUND(AG51*升级节奏!G51,0)</f>
        <v>427951</v>
      </c>
      <c r="AI51" s="7">
        <f t="shared" si="2"/>
        <v>93100</v>
      </c>
      <c r="AJ51" s="21" t="str">
        <f t="shared" si="12"/>
        <v/>
      </c>
      <c r="AK51" s="7">
        <f t="shared" si="3"/>
        <v>0.17867732717142851</v>
      </c>
      <c r="AL51" s="7">
        <f t="shared" si="4"/>
        <v>521051</v>
      </c>
      <c r="AM51" s="7">
        <f>SUM($AL$3:AL51)</f>
        <v>5036969</v>
      </c>
      <c r="AN51" s="166">
        <f t="shared" si="5"/>
        <v>24100</v>
      </c>
      <c r="AO51" s="7">
        <f>SUM($AN$3:AN51)*7</f>
        <v>2556400</v>
      </c>
      <c r="AP51" s="69">
        <f t="shared" si="6"/>
        <v>2401669</v>
      </c>
      <c r="AQ51" s="160">
        <f t="shared" si="7"/>
        <v>52600</v>
      </c>
      <c r="AR51" s="160">
        <f t="shared" si="8"/>
        <v>26300</v>
      </c>
    </row>
    <row r="52" spans="1:44">
      <c r="A52" s="32">
        <v>50</v>
      </c>
      <c r="B52" s="81">
        <f>升级节奏!E52</f>
        <v>50000</v>
      </c>
      <c r="C52" s="7">
        <f>IF(VLOOKUP(C$2,行为概览!$D$3:$L$33,9,0)="","",VLOOKUP(C$2,行为概览!$D$3:$L$33,9,0)*IF(玩法行为规划!B52&gt;0,1,0))</f>
        <v>4</v>
      </c>
      <c r="D52" s="7">
        <f>IF(VLOOKUP(D$2,行为概览!$D$3:$L$33,9,0)="","",VLOOKUP(D$2,行为概览!$D$3:$L$33,9,0)*IF(玩法行为规划!C52&gt;0,1,0))</f>
        <v>1.65</v>
      </c>
      <c r="E52" s="7">
        <f>IF(VLOOKUP(E$2,行为概览!$D$3:$L$33,9,0)="","",VLOOKUP(E$2,行为概览!$D$3:$L$33,9,0)*IF(玩法行为规划!D52&gt;0,1,0))</f>
        <v>0.5</v>
      </c>
      <c r="F52" s="7">
        <f>IF(VLOOKUP(F$2,行为概览!$D$3:$L$33,9,0)="","",VLOOKUP(F$2,行为概览!$D$3:$L$33,9,0)*IF(玩法行为规划!E52&gt;0,1,0))</f>
        <v>1</v>
      </c>
      <c r="G52" s="7" t="str">
        <f>IF(VLOOKUP(G$2,行为概览!$D$3:$L$33,9,0)="","",VLOOKUP(G$2,行为概览!$D$3:$L$33,9,0)*IF(玩法行为规划!F52&gt;0,1,0))</f>
        <v/>
      </c>
      <c r="H52" s="7" t="str">
        <f>IF(VLOOKUP(H$2,行为概览!$D$3:$L$33,9,0)="","",VLOOKUP(H$2,行为概览!$D$3:$L$33,9,0)*IF(玩法行为规划!G52&gt;0,1,0))</f>
        <v/>
      </c>
      <c r="I52" s="7" t="str">
        <f>IF(VLOOKUP(I$2,行为概览!$D$3:$L$33,9,0)="","",VLOOKUP(I$2,行为概览!$D$3:$L$33,9,0)*IF(玩法行为规划!H52&gt;0,1,0))</f>
        <v/>
      </c>
      <c r="J52" s="7" t="str">
        <f>IF(VLOOKUP(J$2,行为概览!$D$3:$L$33,9,0)="","",VLOOKUP(J$2,行为概览!$D$3:$L$33,9,0)*IF(玩法行为规划!I52&gt;0,1,0))</f>
        <v/>
      </c>
      <c r="K52" s="7">
        <f>IF(VLOOKUP(K$2,行为概览!$D$3:$L$33,9,0)="","",VLOOKUP(K$2,行为概览!$D$3:$L$33,9,0)*IF(玩法行为规划!J52&gt;0,1,0))</f>
        <v>1</v>
      </c>
      <c r="L52" s="7">
        <f>IF(VLOOKUP(L$2,行为概览!$D$3:$L$33,9,0)="","",VLOOKUP(L$2,行为概览!$D$3:$L$33,9,0)*IF(玩法行为规划!K52&gt;0,1,0))</f>
        <v>1</v>
      </c>
      <c r="M52" s="7" t="str">
        <f>IF(VLOOKUP(M$2,行为概览!$D$3:$L$33,9,0)="","",VLOOKUP(M$2,行为概览!$D$3:$L$33,9,0)*IF(玩法行为规划!L52&gt;0,1,0))</f>
        <v/>
      </c>
      <c r="N52" s="7" t="str">
        <f>IF(VLOOKUP(N$2,行为概览!$D$3:$L$33,9,0)="","",VLOOKUP(N$2,行为概览!$D$3:$L$33,9,0)*IF(玩法行为规划!M52&gt;0,1,0))</f>
        <v/>
      </c>
      <c r="O52" s="7" t="str">
        <f>IF(VLOOKUP(O$2,行为概览!$D$3:$L$33,9,0)="","",VLOOKUP(O$2,行为概览!$D$3:$L$33,9,0)*IF(玩法行为规划!N52&gt;0,1,0))</f>
        <v/>
      </c>
      <c r="P52" s="7">
        <f>IF(VLOOKUP(P$2,行为概览!$D$3:$L$33,9,0)="","",VLOOKUP(P$2,行为概览!$D$3:$L$33,9,0)*IF(玩法行为规划!O52&gt;0,1,0))</f>
        <v>0.5</v>
      </c>
      <c r="Q52" s="7">
        <f>IF(VLOOKUP(Q$2,行为概览!$D$3:$L$33,9,0)="","",VLOOKUP(Q$2,行为概览!$D$3:$L$33,9,0)*IF(玩法行为规划!P52&gt;0,1,0))</f>
        <v>5</v>
      </c>
      <c r="R52" s="7" t="str">
        <f>IF(VLOOKUP(R$2,行为概览!$D$3:$L$33,9,0)="","",VLOOKUP(R$2,行为概览!$D$3:$L$33,9,0)*IF(玩法行为规划!Q52&gt;0,1,0))</f>
        <v/>
      </c>
      <c r="S52" s="7">
        <f>IF(VLOOKUP(S$2,行为概览!$D$3:$L$33,9,0)="","",VLOOKUP(S$2,行为概览!$D$3:$L$33,9,0)*IF(玩法行为规划!R52&gt;0,1,0))</f>
        <v>1</v>
      </c>
      <c r="T52" s="7">
        <f>IF(VLOOKUP(T$2,行为概览!$D$3:$L$33,9,0)="","",VLOOKUP(T$2,行为概览!$D$3:$L$33,9,0)*IF(玩法行为规划!S52&gt;0,1,0))</f>
        <v>0</v>
      </c>
      <c r="U52" s="7">
        <f>IF(VLOOKUP(U$2,行为概览!$D$3:$L$33,9,0)="","",VLOOKUP(U$2,行为概览!$D$3:$L$33,9,0)*IF(玩法行为规划!T52&gt;0,1,0))</f>
        <v>1</v>
      </c>
      <c r="V52" s="7">
        <f>IF(VLOOKUP(V$2,行为概览!$D$3:$L$33,9,0)="","",VLOOKUP(V$2,行为概览!$D$3:$L$33,9,0)*IF(玩法行为规划!U52&gt;0,1,0))</f>
        <v>1.5</v>
      </c>
      <c r="W52" s="7">
        <f>IF(VLOOKUP(W$2,行为概览!$D$3:$L$33,9,0)="","",VLOOKUP(W$2,行为概览!$D$3:$L$33,9,0)*IF(玩法行为规划!V52&gt;0,1,0))</f>
        <v>1</v>
      </c>
      <c r="X52" s="7">
        <f>IF(VLOOKUP(X$2,行为概览!$D$3:$L$33,9,0)="","",VLOOKUP(X$2,行为概览!$D$3:$L$33,9,0)*IF(玩法行为规划!W52&gt;0,1,0))</f>
        <v>1</v>
      </c>
      <c r="Y52" s="7">
        <f>IF(VLOOKUP(Y$2,行为概览!$D$3:$L$33,9,0)="","",VLOOKUP(Y$2,行为概览!$D$3:$L$33,9,0)*IF(玩法行为规划!X52&gt;0,1,0))</f>
        <v>1</v>
      </c>
      <c r="Z52" s="7">
        <f>IF(VLOOKUP(Z$2,行为概览!$D$3:$L$33,9,0)="","",VLOOKUP(Z$2,行为概览!$D$3:$L$33,9,0)*IF(玩法行为规划!Y52&gt;0,1,0))</f>
        <v>3</v>
      </c>
      <c r="AA52" s="7">
        <f>IF(VLOOKUP(AA$2,行为概览!$D$3:$L$33,9,0)="","",VLOOKUP(AA$2,行为概览!$D$3:$L$33,9,0)*IF(玩法行为规划!Z52&gt;0,1,0))</f>
        <v>0.5</v>
      </c>
      <c r="AB52" s="7" t="str">
        <f>IF(VLOOKUP(AB$2,行为概览!$D$3:$L$33,9,0)="","",VLOOKUP(AB$2,行为概览!$D$3:$L$33,9,0)*IF(玩法行为规划!AA52&gt;0,1,0))</f>
        <v/>
      </c>
      <c r="AC52" s="7" t="str">
        <f>IF(VLOOKUP(AC$2,行为概览!$D$3:$L$33,9,0)="","",VLOOKUP(AC$2,行为概览!$D$3:$L$33,9,0)*IF(玩法行为规划!AB52&gt;0,1,0))</f>
        <v/>
      </c>
      <c r="AD52" s="7" t="str">
        <f>IF(VLOOKUP(AD$2,行为概览!$D$3:$L$33,9,0)="","",VLOOKUP(AD$2,行为概览!$D$3:$L$33,9,0)*玩法行为规划!AC52)</f>
        <v/>
      </c>
      <c r="AE52" s="7" t="str">
        <f>IF(VLOOKUP(AE$2,行为概览!$D$3:$L$33,9,0)="","",VLOOKUP(AE$2,行为概览!$D$3:$L$33,9,0)*玩法行为规划!AD52)</f>
        <v/>
      </c>
      <c r="AF52" s="7">
        <f t="shared" si="10"/>
        <v>24.65</v>
      </c>
      <c r="AG52" s="10">
        <f t="shared" si="11"/>
        <v>1232500</v>
      </c>
      <c r="AH52" s="7">
        <f>ROUND(AG52*升级节奏!G52,0)</f>
        <v>453971</v>
      </c>
      <c r="AI52" s="7">
        <f t="shared" si="2"/>
        <v>100000</v>
      </c>
      <c r="AJ52" s="21">
        <f t="shared" si="12"/>
        <v>1343500</v>
      </c>
      <c r="AK52" s="7">
        <f t="shared" si="3"/>
        <v>0.18051486449651696</v>
      </c>
      <c r="AL52" s="7">
        <f t="shared" si="4"/>
        <v>553971</v>
      </c>
      <c r="AM52" s="7">
        <f>SUM($AL$3:AL52)</f>
        <v>5590940</v>
      </c>
      <c r="AN52" s="166">
        <f t="shared" si="5"/>
        <v>25100</v>
      </c>
      <c r="AO52" s="7">
        <f>SUM($AN$3:AN52)*7</f>
        <v>2732100</v>
      </c>
      <c r="AP52" s="69">
        <f t="shared" si="6"/>
        <v>2775740</v>
      </c>
      <c r="AQ52" s="160">
        <f t="shared" si="7"/>
        <v>55400</v>
      </c>
      <c r="AR52" s="160">
        <f t="shared" si="8"/>
        <v>27700</v>
      </c>
    </row>
    <row r="53" spans="1:44">
      <c r="A53" s="32">
        <v>51</v>
      </c>
      <c r="B53" s="81">
        <f>升级节奏!E53</f>
        <v>51000</v>
      </c>
      <c r="C53" s="7">
        <f>IF(VLOOKUP(C$2,行为概览!$D$3:$L$33,9,0)="","",VLOOKUP(C$2,行为概览!$D$3:$L$33,9,0)*IF(玩法行为规划!B53&gt;0,1,0))</f>
        <v>4</v>
      </c>
      <c r="D53" s="7">
        <f>IF(VLOOKUP(D$2,行为概览!$D$3:$L$33,9,0)="","",VLOOKUP(D$2,行为概览!$D$3:$L$33,9,0)*IF(玩法行为规划!C53&gt;0,1,0))</f>
        <v>1.65</v>
      </c>
      <c r="E53" s="7">
        <f>IF(VLOOKUP(E$2,行为概览!$D$3:$L$33,9,0)="","",VLOOKUP(E$2,行为概览!$D$3:$L$33,9,0)*IF(玩法行为规划!D53&gt;0,1,0))</f>
        <v>0.5</v>
      </c>
      <c r="F53" s="7">
        <f>IF(VLOOKUP(F$2,行为概览!$D$3:$L$33,9,0)="","",VLOOKUP(F$2,行为概览!$D$3:$L$33,9,0)*IF(玩法行为规划!E53&gt;0,1,0))</f>
        <v>1</v>
      </c>
      <c r="G53" s="7" t="str">
        <f>IF(VLOOKUP(G$2,行为概览!$D$3:$L$33,9,0)="","",VLOOKUP(G$2,行为概览!$D$3:$L$33,9,0)*IF(玩法行为规划!F53&gt;0,1,0))</f>
        <v/>
      </c>
      <c r="H53" s="7" t="str">
        <f>IF(VLOOKUP(H$2,行为概览!$D$3:$L$33,9,0)="","",VLOOKUP(H$2,行为概览!$D$3:$L$33,9,0)*IF(玩法行为规划!G53&gt;0,1,0))</f>
        <v/>
      </c>
      <c r="I53" s="7" t="str">
        <f>IF(VLOOKUP(I$2,行为概览!$D$3:$L$33,9,0)="","",VLOOKUP(I$2,行为概览!$D$3:$L$33,9,0)*IF(玩法行为规划!H53&gt;0,1,0))</f>
        <v/>
      </c>
      <c r="J53" s="7" t="str">
        <f>IF(VLOOKUP(J$2,行为概览!$D$3:$L$33,9,0)="","",VLOOKUP(J$2,行为概览!$D$3:$L$33,9,0)*IF(玩法行为规划!I53&gt;0,1,0))</f>
        <v/>
      </c>
      <c r="K53" s="7">
        <f>IF(VLOOKUP(K$2,行为概览!$D$3:$L$33,9,0)="","",VLOOKUP(K$2,行为概览!$D$3:$L$33,9,0)*IF(玩法行为规划!J53&gt;0,1,0))</f>
        <v>1</v>
      </c>
      <c r="L53" s="7">
        <f>IF(VLOOKUP(L$2,行为概览!$D$3:$L$33,9,0)="","",VLOOKUP(L$2,行为概览!$D$3:$L$33,9,0)*IF(玩法行为规划!K53&gt;0,1,0))</f>
        <v>1</v>
      </c>
      <c r="M53" s="7" t="str">
        <f>IF(VLOOKUP(M$2,行为概览!$D$3:$L$33,9,0)="","",VLOOKUP(M$2,行为概览!$D$3:$L$33,9,0)*IF(玩法行为规划!L53&gt;0,1,0))</f>
        <v/>
      </c>
      <c r="N53" s="7" t="str">
        <f>IF(VLOOKUP(N$2,行为概览!$D$3:$L$33,9,0)="","",VLOOKUP(N$2,行为概览!$D$3:$L$33,9,0)*IF(玩法行为规划!M53&gt;0,1,0))</f>
        <v/>
      </c>
      <c r="O53" s="7" t="str">
        <f>IF(VLOOKUP(O$2,行为概览!$D$3:$L$33,9,0)="","",VLOOKUP(O$2,行为概览!$D$3:$L$33,9,0)*IF(玩法行为规划!N53&gt;0,1,0))</f>
        <v/>
      </c>
      <c r="P53" s="7">
        <f>IF(VLOOKUP(P$2,行为概览!$D$3:$L$33,9,0)="","",VLOOKUP(P$2,行为概览!$D$3:$L$33,9,0)*IF(玩法行为规划!O53&gt;0,1,0))</f>
        <v>0.5</v>
      </c>
      <c r="Q53" s="7">
        <f>IF(VLOOKUP(Q$2,行为概览!$D$3:$L$33,9,0)="","",VLOOKUP(Q$2,行为概览!$D$3:$L$33,9,0)*IF(玩法行为规划!P53&gt;0,1,0))</f>
        <v>5</v>
      </c>
      <c r="R53" s="7" t="str">
        <f>IF(VLOOKUP(R$2,行为概览!$D$3:$L$33,9,0)="","",VLOOKUP(R$2,行为概览!$D$3:$L$33,9,0)*IF(玩法行为规划!Q53&gt;0,1,0))</f>
        <v/>
      </c>
      <c r="S53" s="7">
        <f>IF(VLOOKUP(S$2,行为概览!$D$3:$L$33,9,0)="","",VLOOKUP(S$2,行为概览!$D$3:$L$33,9,0)*IF(玩法行为规划!R53&gt;0,1,0))</f>
        <v>1</v>
      </c>
      <c r="T53" s="7">
        <f>IF(VLOOKUP(T$2,行为概览!$D$3:$L$33,9,0)="","",VLOOKUP(T$2,行为概览!$D$3:$L$33,9,0)*IF(玩法行为规划!S53&gt;0,1,0))</f>
        <v>0</v>
      </c>
      <c r="U53" s="7">
        <f>IF(VLOOKUP(U$2,行为概览!$D$3:$L$33,9,0)="","",VLOOKUP(U$2,行为概览!$D$3:$L$33,9,0)*IF(玩法行为规划!T53&gt;0,1,0))</f>
        <v>1</v>
      </c>
      <c r="V53" s="7">
        <f>IF(VLOOKUP(V$2,行为概览!$D$3:$L$33,9,0)="","",VLOOKUP(V$2,行为概览!$D$3:$L$33,9,0)*IF(玩法行为规划!U53&gt;0,1,0))</f>
        <v>1.5</v>
      </c>
      <c r="W53" s="7">
        <f>IF(VLOOKUP(W$2,行为概览!$D$3:$L$33,9,0)="","",VLOOKUP(W$2,行为概览!$D$3:$L$33,9,0)*IF(玩法行为规划!V53&gt;0,1,0))</f>
        <v>1</v>
      </c>
      <c r="X53" s="7">
        <f>IF(VLOOKUP(X$2,行为概览!$D$3:$L$33,9,0)="","",VLOOKUP(X$2,行为概览!$D$3:$L$33,9,0)*IF(玩法行为规划!W53&gt;0,1,0))</f>
        <v>1</v>
      </c>
      <c r="Y53" s="7">
        <f>IF(VLOOKUP(Y$2,行为概览!$D$3:$L$33,9,0)="","",VLOOKUP(Y$2,行为概览!$D$3:$L$33,9,0)*IF(玩法行为规划!X53&gt;0,1,0))</f>
        <v>1</v>
      </c>
      <c r="Z53" s="7">
        <f>IF(VLOOKUP(Z$2,行为概览!$D$3:$L$33,9,0)="","",VLOOKUP(Z$2,行为概览!$D$3:$L$33,9,0)*IF(玩法行为规划!Y53&gt;0,1,0))</f>
        <v>3</v>
      </c>
      <c r="AA53" s="7">
        <f>IF(VLOOKUP(AA$2,行为概览!$D$3:$L$33,9,0)="","",VLOOKUP(AA$2,行为概览!$D$3:$L$33,9,0)*IF(玩法行为规划!Z53&gt;0,1,0))</f>
        <v>0.5</v>
      </c>
      <c r="AB53" s="7" t="str">
        <f>IF(VLOOKUP(AB$2,行为概览!$D$3:$L$33,9,0)="","",VLOOKUP(AB$2,行为概览!$D$3:$L$33,9,0)*IF(玩法行为规划!AA53&gt;0,1,0))</f>
        <v/>
      </c>
      <c r="AC53" s="7" t="str">
        <f>IF(VLOOKUP(AC$2,行为概览!$D$3:$L$33,9,0)="","",VLOOKUP(AC$2,行为概览!$D$3:$L$33,9,0)*IF(玩法行为规划!AB53&gt;0,1,0))</f>
        <v/>
      </c>
      <c r="AD53" s="7" t="str">
        <f>IF(VLOOKUP(AD$2,行为概览!$D$3:$L$33,9,0)="","",VLOOKUP(AD$2,行为概览!$D$3:$L$33,9,0)*玩法行为规划!AC53)</f>
        <v/>
      </c>
      <c r="AE53" s="7" t="str">
        <f>IF(VLOOKUP(AE$2,行为概览!$D$3:$L$33,9,0)="","",VLOOKUP(AE$2,行为概览!$D$3:$L$33,9,0)*玩法行为规划!AD53)</f>
        <v/>
      </c>
      <c r="AF53" s="7">
        <f t="shared" si="10"/>
        <v>24.65</v>
      </c>
      <c r="AG53" s="10">
        <f t="shared" si="11"/>
        <v>1257150</v>
      </c>
      <c r="AH53" s="7">
        <f>ROUND(AG53*升级节奏!G53,0)</f>
        <v>481038</v>
      </c>
      <c r="AI53" s="7">
        <f t="shared" si="2"/>
        <v>107100</v>
      </c>
      <c r="AJ53" s="21" t="str">
        <f t="shared" si="12"/>
        <v/>
      </c>
      <c r="AK53" s="7">
        <f t="shared" si="3"/>
        <v>0.1821001193597421</v>
      </c>
      <c r="AL53" s="7">
        <f t="shared" si="4"/>
        <v>588138</v>
      </c>
      <c r="AM53" s="7">
        <f>SUM($AL$3:AL53)</f>
        <v>6179078</v>
      </c>
      <c r="AN53" s="166">
        <f t="shared" si="5"/>
        <v>26200</v>
      </c>
      <c r="AO53" s="7">
        <f>SUM($AN$3:AN53)*7</f>
        <v>2915500</v>
      </c>
      <c r="AP53" s="69">
        <f t="shared" si="6"/>
        <v>3176078</v>
      </c>
      <c r="AQ53" s="160">
        <f t="shared" si="7"/>
        <v>58300</v>
      </c>
      <c r="AR53" s="160">
        <f t="shared" si="8"/>
        <v>29200</v>
      </c>
    </row>
    <row r="54" spans="1:44">
      <c r="A54" s="32">
        <v>52</v>
      </c>
      <c r="B54" s="81">
        <f>升级节奏!E54</f>
        <v>52000</v>
      </c>
      <c r="C54" s="7">
        <f>IF(VLOOKUP(C$2,行为概览!$D$3:$L$33,9,0)="","",VLOOKUP(C$2,行为概览!$D$3:$L$33,9,0)*IF(玩法行为规划!B54&gt;0,1,0))</f>
        <v>4</v>
      </c>
      <c r="D54" s="7">
        <f>IF(VLOOKUP(D$2,行为概览!$D$3:$L$33,9,0)="","",VLOOKUP(D$2,行为概览!$D$3:$L$33,9,0)*IF(玩法行为规划!C54&gt;0,1,0))</f>
        <v>1.65</v>
      </c>
      <c r="E54" s="7">
        <f>IF(VLOOKUP(E$2,行为概览!$D$3:$L$33,9,0)="","",VLOOKUP(E$2,行为概览!$D$3:$L$33,9,0)*IF(玩法行为规划!D54&gt;0,1,0))</f>
        <v>0.5</v>
      </c>
      <c r="F54" s="7">
        <f>IF(VLOOKUP(F$2,行为概览!$D$3:$L$33,9,0)="","",VLOOKUP(F$2,行为概览!$D$3:$L$33,9,0)*IF(玩法行为规划!E54&gt;0,1,0))</f>
        <v>1</v>
      </c>
      <c r="G54" s="7" t="str">
        <f>IF(VLOOKUP(G$2,行为概览!$D$3:$L$33,9,0)="","",VLOOKUP(G$2,行为概览!$D$3:$L$33,9,0)*IF(玩法行为规划!F54&gt;0,1,0))</f>
        <v/>
      </c>
      <c r="H54" s="7" t="str">
        <f>IF(VLOOKUP(H$2,行为概览!$D$3:$L$33,9,0)="","",VLOOKUP(H$2,行为概览!$D$3:$L$33,9,0)*IF(玩法行为规划!G54&gt;0,1,0))</f>
        <v/>
      </c>
      <c r="I54" s="7" t="str">
        <f>IF(VLOOKUP(I$2,行为概览!$D$3:$L$33,9,0)="","",VLOOKUP(I$2,行为概览!$D$3:$L$33,9,0)*IF(玩法行为规划!H54&gt;0,1,0))</f>
        <v/>
      </c>
      <c r="J54" s="7" t="str">
        <f>IF(VLOOKUP(J$2,行为概览!$D$3:$L$33,9,0)="","",VLOOKUP(J$2,行为概览!$D$3:$L$33,9,0)*IF(玩法行为规划!I54&gt;0,1,0))</f>
        <v/>
      </c>
      <c r="K54" s="7">
        <f>IF(VLOOKUP(K$2,行为概览!$D$3:$L$33,9,0)="","",VLOOKUP(K$2,行为概览!$D$3:$L$33,9,0)*IF(玩法行为规划!J54&gt;0,1,0))</f>
        <v>1</v>
      </c>
      <c r="L54" s="7">
        <f>IF(VLOOKUP(L$2,行为概览!$D$3:$L$33,9,0)="","",VLOOKUP(L$2,行为概览!$D$3:$L$33,9,0)*IF(玩法行为规划!K54&gt;0,1,0))</f>
        <v>1</v>
      </c>
      <c r="M54" s="7" t="str">
        <f>IF(VLOOKUP(M$2,行为概览!$D$3:$L$33,9,0)="","",VLOOKUP(M$2,行为概览!$D$3:$L$33,9,0)*IF(玩法行为规划!L54&gt;0,1,0))</f>
        <v/>
      </c>
      <c r="N54" s="7" t="str">
        <f>IF(VLOOKUP(N$2,行为概览!$D$3:$L$33,9,0)="","",VLOOKUP(N$2,行为概览!$D$3:$L$33,9,0)*IF(玩法行为规划!M54&gt;0,1,0))</f>
        <v/>
      </c>
      <c r="O54" s="7" t="str">
        <f>IF(VLOOKUP(O$2,行为概览!$D$3:$L$33,9,0)="","",VLOOKUP(O$2,行为概览!$D$3:$L$33,9,0)*IF(玩法行为规划!N54&gt;0,1,0))</f>
        <v/>
      </c>
      <c r="P54" s="7">
        <f>IF(VLOOKUP(P$2,行为概览!$D$3:$L$33,9,0)="","",VLOOKUP(P$2,行为概览!$D$3:$L$33,9,0)*IF(玩法行为规划!O54&gt;0,1,0))</f>
        <v>0.5</v>
      </c>
      <c r="Q54" s="7">
        <f>IF(VLOOKUP(Q$2,行为概览!$D$3:$L$33,9,0)="","",VLOOKUP(Q$2,行为概览!$D$3:$L$33,9,0)*IF(玩法行为规划!P54&gt;0,1,0))</f>
        <v>5</v>
      </c>
      <c r="R54" s="7" t="str">
        <f>IF(VLOOKUP(R$2,行为概览!$D$3:$L$33,9,0)="","",VLOOKUP(R$2,行为概览!$D$3:$L$33,9,0)*IF(玩法行为规划!Q54&gt;0,1,0))</f>
        <v/>
      </c>
      <c r="S54" s="7">
        <f>IF(VLOOKUP(S$2,行为概览!$D$3:$L$33,9,0)="","",VLOOKUP(S$2,行为概览!$D$3:$L$33,9,0)*IF(玩法行为规划!R54&gt;0,1,0))</f>
        <v>1</v>
      </c>
      <c r="T54" s="7">
        <f>IF(VLOOKUP(T$2,行为概览!$D$3:$L$33,9,0)="","",VLOOKUP(T$2,行为概览!$D$3:$L$33,9,0)*IF(玩法行为规划!S54&gt;0,1,0))</f>
        <v>0</v>
      </c>
      <c r="U54" s="7">
        <f>IF(VLOOKUP(U$2,行为概览!$D$3:$L$33,9,0)="","",VLOOKUP(U$2,行为概览!$D$3:$L$33,9,0)*IF(玩法行为规划!T54&gt;0,1,0))</f>
        <v>1</v>
      </c>
      <c r="V54" s="7">
        <f>IF(VLOOKUP(V$2,行为概览!$D$3:$L$33,9,0)="","",VLOOKUP(V$2,行为概览!$D$3:$L$33,9,0)*IF(玩法行为规划!U54&gt;0,1,0))</f>
        <v>1.5</v>
      </c>
      <c r="W54" s="7">
        <f>IF(VLOOKUP(W$2,行为概览!$D$3:$L$33,9,0)="","",VLOOKUP(W$2,行为概览!$D$3:$L$33,9,0)*IF(玩法行为规划!V54&gt;0,1,0))</f>
        <v>1</v>
      </c>
      <c r="X54" s="7">
        <f>IF(VLOOKUP(X$2,行为概览!$D$3:$L$33,9,0)="","",VLOOKUP(X$2,行为概览!$D$3:$L$33,9,0)*IF(玩法行为规划!W54&gt;0,1,0))</f>
        <v>1</v>
      </c>
      <c r="Y54" s="7">
        <f>IF(VLOOKUP(Y$2,行为概览!$D$3:$L$33,9,0)="","",VLOOKUP(Y$2,行为概览!$D$3:$L$33,9,0)*IF(玩法行为规划!X54&gt;0,1,0))</f>
        <v>1</v>
      </c>
      <c r="Z54" s="7">
        <f>IF(VLOOKUP(Z$2,行为概览!$D$3:$L$33,9,0)="","",VLOOKUP(Z$2,行为概览!$D$3:$L$33,9,0)*IF(玩法行为规划!Y54&gt;0,1,0))</f>
        <v>3</v>
      </c>
      <c r="AA54" s="7">
        <f>IF(VLOOKUP(AA$2,行为概览!$D$3:$L$33,9,0)="","",VLOOKUP(AA$2,行为概览!$D$3:$L$33,9,0)*IF(玩法行为规划!Z54&gt;0,1,0))</f>
        <v>0.5</v>
      </c>
      <c r="AB54" s="7" t="str">
        <f>IF(VLOOKUP(AB$2,行为概览!$D$3:$L$33,9,0)="","",VLOOKUP(AB$2,行为概览!$D$3:$L$33,9,0)*IF(玩法行为规划!AA54&gt;0,1,0))</f>
        <v/>
      </c>
      <c r="AC54" s="7" t="str">
        <f>IF(VLOOKUP(AC$2,行为概览!$D$3:$L$33,9,0)="","",VLOOKUP(AC$2,行为概览!$D$3:$L$33,9,0)*IF(玩法行为规划!AB54&gt;0,1,0))</f>
        <v/>
      </c>
      <c r="AD54" s="7" t="str">
        <f>IF(VLOOKUP(AD$2,行为概览!$D$3:$L$33,9,0)="","",VLOOKUP(AD$2,行为概览!$D$3:$L$33,9,0)*玩法行为规划!AC54)</f>
        <v/>
      </c>
      <c r="AE54" s="7" t="str">
        <f>IF(VLOOKUP(AE$2,行为概览!$D$3:$L$33,9,0)="","",VLOOKUP(AE$2,行为概览!$D$3:$L$33,9,0)*玩法行为规划!AD54)</f>
        <v/>
      </c>
      <c r="AF54" s="7">
        <f t="shared" si="10"/>
        <v>24.65</v>
      </c>
      <c r="AG54" s="10">
        <f t="shared" si="11"/>
        <v>1281800</v>
      </c>
      <c r="AH54" s="7">
        <f>ROUND(AG54*升级节奏!G54,0)</f>
        <v>509174</v>
      </c>
      <c r="AI54" s="7">
        <f t="shared" si="2"/>
        <v>114400</v>
      </c>
      <c r="AJ54" s="21" t="str">
        <f t="shared" si="12"/>
        <v/>
      </c>
      <c r="AK54" s="7">
        <f t="shared" si="3"/>
        <v>0.18345857909406102</v>
      </c>
      <c r="AL54" s="7">
        <f t="shared" si="4"/>
        <v>623574</v>
      </c>
      <c r="AM54" s="7">
        <f>SUM($AL$3:AL54)</f>
        <v>6802652</v>
      </c>
      <c r="AN54" s="166">
        <f t="shared" si="5"/>
        <v>27400</v>
      </c>
      <c r="AO54" s="7">
        <f>SUM($AN$3:AN54)*7</f>
        <v>3107300</v>
      </c>
      <c r="AP54" s="69">
        <f t="shared" si="6"/>
        <v>3603352</v>
      </c>
      <c r="AQ54" s="160">
        <f t="shared" si="7"/>
        <v>61300</v>
      </c>
      <c r="AR54" s="160">
        <f t="shared" si="8"/>
        <v>30700</v>
      </c>
    </row>
    <row r="55" spans="1:44">
      <c r="A55" s="32">
        <v>53</v>
      </c>
      <c r="B55" s="81">
        <f>升级节奏!E55</f>
        <v>53000</v>
      </c>
      <c r="C55" s="7">
        <f>IF(VLOOKUP(C$2,行为概览!$D$3:$L$33,9,0)="","",VLOOKUP(C$2,行为概览!$D$3:$L$33,9,0)*IF(玩法行为规划!B55&gt;0,1,0))</f>
        <v>4</v>
      </c>
      <c r="D55" s="7">
        <f>IF(VLOOKUP(D$2,行为概览!$D$3:$L$33,9,0)="","",VLOOKUP(D$2,行为概览!$D$3:$L$33,9,0)*IF(玩法行为规划!C55&gt;0,1,0))</f>
        <v>1.65</v>
      </c>
      <c r="E55" s="7">
        <f>IF(VLOOKUP(E$2,行为概览!$D$3:$L$33,9,0)="","",VLOOKUP(E$2,行为概览!$D$3:$L$33,9,0)*IF(玩法行为规划!D55&gt;0,1,0))</f>
        <v>0.5</v>
      </c>
      <c r="F55" s="7">
        <f>IF(VLOOKUP(F$2,行为概览!$D$3:$L$33,9,0)="","",VLOOKUP(F$2,行为概览!$D$3:$L$33,9,0)*IF(玩法行为规划!E55&gt;0,1,0))</f>
        <v>1</v>
      </c>
      <c r="G55" s="7" t="str">
        <f>IF(VLOOKUP(G$2,行为概览!$D$3:$L$33,9,0)="","",VLOOKUP(G$2,行为概览!$D$3:$L$33,9,0)*IF(玩法行为规划!F55&gt;0,1,0))</f>
        <v/>
      </c>
      <c r="H55" s="7" t="str">
        <f>IF(VLOOKUP(H$2,行为概览!$D$3:$L$33,9,0)="","",VLOOKUP(H$2,行为概览!$D$3:$L$33,9,0)*IF(玩法行为规划!G55&gt;0,1,0))</f>
        <v/>
      </c>
      <c r="I55" s="7" t="str">
        <f>IF(VLOOKUP(I$2,行为概览!$D$3:$L$33,9,0)="","",VLOOKUP(I$2,行为概览!$D$3:$L$33,9,0)*IF(玩法行为规划!H55&gt;0,1,0))</f>
        <v/>
      </c>
      <c r="J55" s="7" t="str">
        <f>IF(VLOOKUP(J$2,行为概览!$D$3:$L$33,9,0)="","",VLOOKUP(J$2,行为概览!$D$3:$L$33,9,0)*IF(玩法行为规划!I55&gt;0,1,0))</f>
        <v/>
      </c>
      <c r="K55" s="7">
        <f>IF(VLOOKUP(K$2,行为概览!$D$3:$L$33,9,0)="","",VLOOKUP(K$2,行为概览!$D$3:$L$33,9,0)*IF(玩法行为规划!J55&gt;0,1,0))</f>
        <v>1</v>
      </c>
      <c r="L55" s="7">
        <f>IF(VLOOKUP(L$2,行为概览!$D$3:$L$33,9,0)="","",VLOOKUP(L$2,行为概览!$D$3:$L$33,9,0)*IF(玩法行为规划!K55&gt;0,1,0))</f>
        <v>1</v>
      </c>
      <c r="M55" s="7" t="str">
        <f>IF(VLOOKUP(M$2,行为概览!$D$3:$L$33,9,0)="","",VLOOKUP(M$2,行为概览!$D$3:$L$33,9,0)*IF(玩法行为规划!L55&gt;0,1,0))</f>
        <v/>
      </c>
      <c r="N55" s="7" t="str">
        <f>IF(VLOOKUP(N$2,行为概览!$D$3:$L$33,9,0)="","",VLOOKUP(N$2,行为概览!$D$3:$L$33,9,0)*IF(玩法行为规划!M55&gt;0,1,0))</f>
        <v/>
      </c>
      <c r="O55" s="7" t="str">
        <f>IF(VLOOKUP(O$2,行为概览!$D$3:$L$33,9,0)="","",VLOOKUP(O$2,行为概览!$D$3:$L$33,9,0)*IF(玩法行为规划!N55&gt;0,1,0))</f>
        <v/>
      </c>
      <c r="P55" s="7">
        <f>IF(VLOOKUP(P$2,行为概览!$D$3:$L$33,9,0)="","",VLOOKUP(P$2,行为概览!$D$3:$L$33,9,0)*IF(玩法行为规划!O55&gt;0,1,0))</f>
        <v>0.5</v>
      </c>
      <c r="Q55" s="7">
        <f>IF(VLOOKUP(Q$2,行为概览!$D$3:$L$33,9,0)="","",VLOOKUP(Q$2,行为概览!$D$3:$L$33,9,0)*IF(玩法行为规划!P55&gt;0,1,0))</f>
        <v>5</v>
      </c>
      <c r="R55" s="7" t="str">
        <f>IF(VLOOKUP(R$2,行为概览!$D$3:$L$33,9,0)="","",VLOOKUP(R$2,行为概览!$D$3:$L$33,9,0)*IF(玩法行为规划!Q55&gt;0,1,0))</f>
        <v/>
      </c>
      <c r="S55" s="7">
        <f>IF(VLOOKUP(S$2,行为概览!$D$3:$L$33,9,0)="","",VLOOKUP(S$2,行为概览!$D$3:$L$33,9,0)*IF(玩法行为规划!R55&gt;0,1,0))</f>
        <v>1</v>
      </c>
      <c r="T55" s="7">
        <f>IF(VLOOKUP(T$2,行为概览!$D$3:$L$33,9,0)="","",VLOOKUP(T$2,行为概览!$D$3:$L$33,9,0)*IF(玩法行为规划!S55&gt;0,1,0))</f>
        <v>0</v>
      </c>
      <c r="U55" s="7">
        <f>IF(VLOOKUP(U$2,行为概览!$D$3:$L$33,9,0)="","",VLOOKUP(U$2,行为概览!$D$3:$L$33,9,0)*IF(玩法行为规划!T55&gt;0,1,0))</f>
        <v>1</v>
      </c>
      <c r="V55" s="7">
        <f>IF(VLOOKUP(V$2,行为概览!$D$3:$L$33,9,0)="","",VLOOKUP(V$2,行为概览!$D$3:$L$33,9,0)*IF(玩法行为规划!U55&gt;0,1,0))</f>
        <v>1.5</v>
      </c>
      <c r="W55" s="7">
        <f>IF(VLOOKUP(W$2,行为概览!$D$3:$L$33,9,0)="","",VLOOKUP(W$2,行为概览!$D$3:$L$33,9,0)*IF(玩法行为规划!V55&gt;0,1,0))</f>
        <v>1</v>
      </c>
      <c r="X55" s="7">
        <f>IF(VLOOKUP(X$2,行为概览!$D$3:$L$33,9,0)="","",VLOOKUP(X$2,行为概览!$D$3:$L$33,9,0)*IF(玩法行为规划!W55&gt;0,1,0))</f>
        <v>1</v>
      </c>
      <c r="Y55" s="7">
        <f>IF(VLOOKUP(Y$2,行为概览!$D$3:$L$33,9,0)="","",VLOOKUP(Y$2,行为概览!$D$3:$L$33,9,0)*IF(玩法行为规划!X55&gt;0,1,0))</f>
        <v>1</v>
      </c>
      <c r="Z55" s="7">
        <f>IF(VLOOKUP(Z$2,行为概览!$D$3:$L$33,9,0)="","",VLOOKUP(Z$2,行为概览!$D$3:$L$33,9,0)*IF(玩法行为规划!Y55&gt;0,1,0))</f>
        <v>3</v>
      </c>
      <c r="AA55" s="7">
        <f>IF(VLOOKUP(AA$2,行为概览!$D$3:$L$33,9,0)="","",VLOOKUP(AA$2,行为概览!$D$3:$L$33,9,0)*IF(玩法行为规划!Z55&gt;0,1,0))</f>
        <v>0.5</v>
      </c>
      <c r="AB55" s="7" t="str">
        <f>IF(VLOOKUP(AB$2,行为概览!$D$3:$L$33,9,0)="","",VLOOKUP(AB$2,行为概览!$D$3:$L$33,9,0)*IF(玩法行为规划!AA55&gt;0,1,0))</f>
        <v/>
      </c>
      <c r="AC55" s="7" t="str">
        <f>IF(VLOOKUP(AC$2,行为概览!$D$3:$L$33,9,0)="","",VLOOKUP(AC$2,行为概览!$D$3:$L$33,9,0)*IF(玩法行为规划!AB55&gt;0,1,0))</f>
        <v/>
      </c>
      <c r="AD55" s="7" t="str">
        <f>IF(VLOOKUP(AD$2,行为概览!$D$3:$L$33,9,0)="","",VLOOKUP(AD$2,行为概览!$D$3:$L$33,9,0)*玩法行为规划!AC55)</f>
        <v/>
      </c>
      <c r="AE55" s="7" t="str">
        <f>IF(VLOOKUP(AE$2,行为概览!$D$3:$L$33,9,0)="","",VLOOKUP(AE$2,行为概览!$D$3:$L$33,9,0)*玩法行为规划!AD55)</f>
        <v/>
      </c>
      <c r="AF55" s="7">
        <f t="shared" si="10"/>
        <v>24.65</v>
      </c>
      <c r="AG55" s="10">
        <f t="shared" si="11"/>
        <v>1306450</v>
      </c>
      <c r="AH55" s="7">
        <f>ROUND(AG55*升级节奏!G55,0)</f>
        <v>538399</v>
      </c>
      <c r="AI55" s="7">
        <f t="shared" si="2"/>
        <v>121900</v>
      </c>
      <c r="AJ55" s="21" t="str">
        <f t="shared" si="12"/>
        <v/>
      </c>
      <c r="AK55" s="7">
        <f t="shared" si="3"/>
        <v>0.18461333426220544</v>
      </c>
      <c r="AL55" s="7">
        <f t="shared" si="4"/>
        <v>660299</v>
      </c>
      <c r="AM55" s="7">
        <f>SUM($AL$3:AL55)</f>
        <v>7462951</v>
      </c>
      <c r="AN55" s="166">
        <f t="shared" si="5"/>
        <v>28500</v>
      </c>
      <c r="AO55" s="7">
        <f>SUM($AN$3:AN55)*7</f>
        <v>3306800</v>
      </c>
      <c r="AP55" s="69">
        <f t="shared" si="6"/>
        <v>4059551</v>
      </c>
      <c r="AQ55" s="160">
        <f t="shared" si="7"/>
        <v>64400</v>
      </c>
      <c r="AR55" s="160">
        <f t="shared" si="8"/>
        <v>32200</v>
      </c>
    </row>
    <row r="56" spans="1:44">
      <c r="A56" s="32">
        <v>54</v>
      </c>
      <c r="B56" s="81">
        <f>升级节奏!E56</f>
        <v>54000</v>
      </c>
      <c r="C56" s="7">
        <f>IF(VLOOKUP(C$2,行为概览!$D$3:$L$33,9,0)="","",VLOOKUP(C$2,行为概览!$D$3:$L$33,9,0)*IF(玩法行为规划!B56&gt;0,1,0))</f>
        <v>4</v>
      </c>
      <c r="D56" s="7">
        <f>IF(VLOOKUP(D$2,行为概览!$D$3:$L$33,9,0)="","",VLOOKUP(D$2,行为概览!$D$3:$L$33,9,0)*IF(玩法行为规划!C56&gt;0,1,0))</f>
        <v>1.65</v>
      </c>
      <c r="E56" s="7">
        <f>IF(VLOOKUP(E$2,行为概览!$D$3:$L$33,9,0)="","",VLOOKUP(E$2,行为概览!$D$3:$L$33,9,0)*IF(玩法行为规划!D56&gt;0,1,0))</f>
        <v>0.5</v>
      </c>
      <c r="F56" s="7">
        <f>IF(VLOOKUP(F$2,行为概览!$D$3:$L$33,9,0)="","",VLOOKUP(F$2,行为概览!$D$3:$L$33,9,0)*IF(玩法行为规划!E56&gt;0,1,0))</f>
        <v>1</v>
      </c>
      <c r="G56" s="7" t="str">
        <f>IF(VLOOKUP(G$2,行为概览!$D$3:$L$33,9,0)="","",VLOOKUP(G$2,行为概览!$D$3:$L$33,9,0)*IF(玩法行为规划!F56&gt;0,1,0))</f>
        <v/>
      </c>
      <c r="H56" s="7" t="str">
        <f>IF(VLOOKUP(H$2,行为概览!$D$3:$L$33,9,0)="","",VLOOKUP(H$2,行为概览!$D$3:$L$33,9,0)*IF(玩法行为规划!G56&gt;0,1,0))</f>
        <v/>
      </c>
      <c r="I56" s="7" t="str">
        <f>IF(VLOOKUP(I$2,行为概览!$D$3:$L$33,9,0)="","",VLOOKUP(I$2,行为概览!$D$3:$L$33,9,0)*IF(玩法行为规划!H56&gt;0,1,0))</f>
        <v/>
      </c>
      <c r="J56" s="7" t="str">
        <f>IF(VLOOKUP(J$2,行为概览!$D$3:$L$33,9,0)="","",VLOOKUP(J$2,行为概览!$D$3:$L$33,9,0)*IF(玩法行为规划!I56&gt;0,1,0))</f>
        <v/>
      </c>
      <c r="K56" s="7">
        <f>IF(VLOOKUP(K$2,行为概览!$D$3:$L$33,9,0)="","",VLOOKUP(K$2,行为概览!$D$3:$L$33,9,0)*IF(玩法行为规划!J56&gt;0,1,0))</f>
        <v>1</v>
      </c>
      <c r="L56" s="7">
        <f>IF(VLOOKUP(L$2,行为概览!$D$3:$L$33,9,0)="","",VLOOKUP(L$2,行为概览!$D$3:$L$33,9,0)*IF(玩法行为规划!K56&gt;0,1,0))</f>
        <v>1</v>
      </c>
      <c r="M56" s="7" t="str">
        <f>IF(VLOOKUP(M$2,行为概览!$D$3:$L$33,9,0)="","",VLOOKUP(M$2,行为概览!$D$3:$L$33,9,0)*IF(玩法行为规划!L56&gt;0,1,0))</f>
        <v/>
      </c>
      <c r="N56" s="7" t="str">
        <f>IF(VLOOKUP(N$2,行为概览!$D$3:$L$33,9,0)="","",VLOOKUP(N$2,行为概览!$D$3:$L$33,9,0)*IF(玩法行为规划!M56&gt;0,1,0))</f>
        <v/>
      </c>
      <c r="O56" s="7" t="str">
        <f>IF(VLOOKUP(O$2,行为概览!$D$3:$L$33,9,0)="","",VLOOKUP(O$2,行为概览!$D$3:$L$33,9,0)*IF(玩法行为规划!N56&gt;0,1,0))</f>
        <v/>
      </c>
      <c r="P56" s="7">
        <f>IF(VLOOKUP(P$2,行为概览!$D$3:$L$33,9,0)="","",VLOOKUP(P$2,行为概览!$D$3:$L$33,9,0)*IF(玩法行为规划!O56&gt;0,1,0))</f>
        <v>0.5</v>
      </c>
      <c r="Q56" s="7">
        <f>IF(VLOOKUP(Q$2,行为概览!$D$3:$L$33,9,0)="","",VLOOKUP(Q$2,行为概览!$D$3:$L$33,9,0)*IF(玩法行为规划!P56&gt;0,1,0))</f>
        <v>5</v>
      </c>
      <c r="R56" s="7" t="str">
        <f>IF(VLOOKUP(R$2,行为概览!$D$3:$L$33,9,0)="","",VLOOKUP(R$2,行为概览!$D$3:$L$33,9,0)*IF(玩法行为规划!Q56&gt;0,1,0))</f>
        <v/>
      </c>
      <c r="S56" s="7">
        <f>IF(VLOOKUP(S$2,行为概览!$D$3:$L$33,9,0)="","",VLOOKUP(S$2,行为概览!$D$3:$L$33,9,0)*IF(玩法行为规划!R56&gt;0,1,0))</f>
        <v>1</v>
      </c>
      <c r="T56" s="7">
        <f>IF(VLOOKUP(T$2,行为概览!$D$3:$L$33,9,0)="","",VLOOKUP(T$2,行为概览!$D$3:$L$33,9,0)*IF(玩法行为规划!S56&gt;0,1,0))</f>
        <v>0</v>
      </c>
      <c r="U56" s="7">
        <f>IF(VLOOKUP(U$2,行为概览!$D$3:$L$33,9,0)="","",VLOOKUP(U$2,行为概览!$D$3:$L$33,9,0)*IF(玩法行为规划!T56&gt;0,1,0))</f>
        <v>1</v>
      </c>
      <c r="V56" s="7">
        <f>IF(VLOOKUP(V$2,行为概览!$D$3:$L$33,9,0)="","",VLOOKUP(V$2,行为概览!$D$3:$L$33,9,0)*IF(玩法行为规划!U56&gt;0,1,0))</f>
        <v>1.5</v>
      </c>
      <c r="W56" s="7">
        <f>IF(VLOOKUP(W$2,行为概览!$D$3:$L$33,9,0)="","",VLOOKUP(W$2,行为概览!$D$3:$L$33,9,0)*IF(玩法行为规划!V56&gt;0,1,0))</f>
        <v>1</v>
      </c>
      <c r="X56" s="7">
        <f>IF(VLOOKUP(X$2,行为概览!$D$3:$L$33,9,0)="","",VLOOKUP(X$2,行为概览!$D$3:$L$33,9,0)*IF(玩法行为规划!W56&gt;0,1,0))</f>
        <v>1</v>
      </c>
      <c r="Y56" s="7">
        <f>IF(VLOOKUP(Y$2,行为概览!$D$3:$L$33,9,0)="","",VLOOKUP(Y$2,行为概览!$D$3:$L$33,9,0)*IF(玩法行为规划!X56&gt;0,1,0))</f>
        <v>1</v>
      </c>
      <c r="Z56" s="7">
        <f>IF(VLOOKUP(Z$2,行为概览!$D$3:$L$33,9,0)="","",VLOOKUP(Z$2,行为概览!$D$3:$L$33,9,0)*IF(玩法行为规划!Y56&gt;0,1,0))</f>
        <v>3</v>
      </c>
      <c r="AA56" s="7">
        <f>IF(VLOOKUP(AA$2,行为概览!$D$3:$L$33,9,0)="","",VLOOKUP(AA$2,行为概览!$D$3:$L$33,9,0)*IF(玩法行为规划!Z56&gt;0,1,0))</f>
        <v>0.5</v>
      </c>
      <c r="AB56" s="7" t="str">
        <f>IF(VLOOKUP(AB$2,行为概览!$D$3:$L$33,9,0)="","",VLOOKUP(AB$2,行为概览!$D$3:$L$33,9,0)*IF(玩法行为规划!AA56&gt;0,1,0))</f>
        <v/>
      </c>
      <c r="AC56" s="7" t="str">
        <f>IF(VLOOKUP(AC$2,行为概览!$D$3:$L$33,9,0)="","",VLOOKUP(AC$2,行为概览!$D$3:$L$33,9,0)*IF(玩法行为规划!AB56&gt;0,1,0))</f>
        <v/>
      </c>
      <c r="AD56" s="7" t="str">
        <f>IF(VLOOKUP(AD$2,行为概览!$D$3:$L$33,9,0)="","",VLOOKUP(AD$2,行为概览!$D$3:$L$33,9,0)*玩法行为规划!AC56)</f>
        <v/>
      </c>
      <c r="AE56" s="7" t="str">
        <f>IF(VLOOKUP(AE$2,行为概览!$D$3:$L$33,9,0)="","",VLOOKUP(AE$2,行为概览!$D$3:$L$33,9,0)*玩法行为规划!AD56)</f>
        <v/>
      </c>
      <c r="AF56" s="7">
        <f t="shared" si="10"/>
        <v>24.65</v>
      </c>
      <c r="AG56" s="10">
        <f t="shared" si="11"/>
        <v>1331100</v>
      </c>
      <c r="AH56" s="7">
        <f>ROUND(AG56*升级节奏!G56,0)</f>
        <v>669100</v>
      </c>
      <c r="AI56" s="7">
        <f t="shared" si="2"/>
        <v>129600</v>
      </c>
      <c r="AJ56" s="21" t="str">
        <f t="shared" si="12"/>
        <v/>
      </c>
      <c r="AK56" s="7">
        <f t="shared" si="3"/>
        <v>0.16226367847752599</v>
      </c>
      <c r="AL56" s="7">
        <f t="shared" si="4"/>
        <v>798700</v>
      </c>
      <c r="AM56" s="7">
        <f>SUM($AL$3:AL56)</f>
        <v>8261651</v>
      </c>
      <c r="AN56" s="166">
        <f t="shared" si="5"/>
        <v>33100</v>
      </c>
      <c r="AO56" s="7">
        <f>SUM($AN$3:AN56)*7</f>
        <v>3538500</v>
      </c>
      <c r="AP56" s="69">
        <f t="shared" si="6"/>
        <v>4606551</v>
      </c>
      <c r="AQ56" s="160">
        <f t="shared" si="7"/>
        <v>77700</v>
      </c>
      <c r="AR56" s="160">
        <f t="shared" si="8"/>
        <v>38900</v>
      </c>
    </row>
    <row r="57" spans="1:44">
      <c r="A57" s="32">
        <v>55</v>
      </c>
      <c r="B57" s="81">
        <f>升级节奏!E57</f>
        <v>55000</v>
      </c>
      <c r="C57" s="7">
        <f>IF(VLOOKUP(C$2,行为概览!$D$3:$L$33,9,0)="","",VLOOKUP(C$2,行为概览!$D$3:$L$33,9,0)*IF(玩法行为规划!B57&gt;0,1,0))</f>
        <v>4</v>
      </c>
      <c r="D57" s="7">
        <f>IF(VLOOKUP(D$2,行为概览!$D$3:$L$33,9,0)="","",VLOOKUP(D$2,行为概览!$D$3:$L$33,9,0)*IF(玩法行为规划!C57&gt;0,1,0))</f>
        <v>1.65</v>
      </c>
      <c r="E57" s="7">
        <f>IF(VLOOKUP(E$2,行为概览!$D$3:$L$33,9,0)="","",VLOOKUP(E$2,行为概览!$D$3:$L$33,9,0)*IF(玩法行为规划!D57&gt;0,1,0))</f>
        <v>0.5</v>
      </c>
      <c r="F57" s="7">
        <f>IF(VLOOKUP(F$2,行为概览!$D$3:$L$33,9,0)="","",VLOOKUP(F$2,行为概览!$D$3:$L$33,9,0)*IF(玩法行为规划!E57&gt;0,1,0))</f>
        <v>1</v>
      </c>
      <c r="G57" s="7" t="str">
        <f>IF(VLOOKUP(G$2,行为概览!$D$3:$L$33,9,0)="","",VLOOKUP(G$2,行为概览!$D$3:$L$33,9,0)*IF(玩法行为规划!F57&gt;0,1,0))</f>
        <v/>
      </c>
      <c r="H57" s="7" t="str">
        <f>IF(VLOOKUP(H$2,行为概览!$D$3:$L$33,9,0)="","",VLOOKUP(H$2,行为概览!$D$3:$L$33,9,0)*IF(玩法行为规划!G57&gt;0,1,0))</f>
        <v/>
      </c>
      <c r="I57" s="7" t="str">
        <f>IF(VLOOKUP(I$2,行为概览!$D$3:$L$33,9,0)="","",VLOOKUP(I$2,行为概览!$D$3:$L$33,9,0)*IF(玩法行为规划!H57&gt;0,1,0))</f>
        <v/>
      </c>
      <c r="J57" s="7" t="str">
        <f>IF(VLOOKUP(J$2,行为概览!$D$3:$L$33,9,0)="","",VLOOKUP(J$2,行为概览!$D$3:$L$33,9,0)*IF(玩法行为规划!I57&gt;0,1,0))</f>
        <v/>
      </c>
      <c r="K57" s="7">
        <f>IF(VLOOKUP(K$2,行为概览!$D$3:$L$33,9,0)="","",VLOOKUP(K$2,行为概览!$D$3:$L$33,9,0)*IF(玩法行为规划!J57&gt;0,1,0))</f>
        <v>1</v>
      </c>
      <c r="L57" s="7">
        <f>IF(VLOOKUP(L$2,行为概览!$D$3:$L$33,9,0)="","",VLOOKUP(L$2,行为概览!$D$3:$L$33,9,0)*IF(玩法行为规划!K57&gt;0,1,0))</f>
        <v>1</v>
      </c>
      <c r="M57" s="7" t="str">
        <f>IF(VLOOKUP(M$2,行为概览!$D$3:$L$33,9,0)="","",VLOOKUP(M$2,行为概览!$D$3:$L$33,9,0)*IF(玩法行为规划!L57&gt;0,1,0))</f>
        <v/>
      </c>
      <c r="N57" s="7" t="str">
        <f>IF(VLOOKUP(N$2,行为概览!$D$3:$L$33,9,0)="","",VLOOKUP(N$2,行为概览!$D$3:$L$33,9,0)*IF(玩法行为规划!M57&gt;0,1,0))</f>
        <v/>
      </c>
      <c r="O57" s="7" t="str">
        <f>IF(VLOOKUP(O$2,行为概览!$D$3:$L$33,9,0)="","",VLOOKUP(O$2,行为概览!$D$3:$L$33,9,0)*IF(玩法行为规划!N57&gt;0,1,0))</f>
        <v/>
      </c>
      <c r="P57" s="7">
        <f>IF(VLOOKUP(P$2,行为概览!$D$3:$L$33,9,0)="","",VLOOKUP(P$2,行为概览!$D$3:$L$33,9,0)*IF(玩法行为规划!O57&gt;0,1,0))</f>
        <v>0.5</v>
      </c>
      <c r="Q57" s="7">
        <f>IF(VLOOKUP(Q$2,行为概览!$D$3:$L$33,9,0)="","",VLOOKUP(Q$2,行为概览!$D$3:$L$33,9,0)*IF(玩法行为规划!P57&gt;0,1,0))</f>
        <v>5</v>
      </c>
      <c r="R57" s="7" t="str">
        <f>IF(VLOOKUP(R$2,行为概览!$D$3:$L$33,9,0)="","",VLOOKUP(R$2,行为概览!$D$3:$L$33,9,0)*IF(玩法行为规划!Q57&gt;0,1,0))</f>
        <v/>
      </c>
      <c r="S57" s="7">
        <f>IF(VLOOKUP(S$2,行为概览!$D$3:$L$33,9,0)="","",VLOOKUP(S$2,行为概览!$D$3:$L$33,9,0)*IF(玩法行为规划!R57&gt;0,1,0))</f>
        <v>1</v>
      </c>
      <c r="T57" s="7">
        <f>IF(VLOOKUP(T$2,行为概览!$D$3:$L$33,9,0)="","",VLOOKUP(T$2,行为概览!$D$3:$L$33,9,0)*IF(玩法行为规划!S57&gt;0,1,0))</f>
        <v>0</v>
      </c>
      <c r="U57" s="7">
        <f>IF(VLOOKUP(U$2,行为概览!$D$3:$L$33,9,0)="","",VLOOKUP(U$2,行为概览!$D$3:$L$33,9,0)*IF(玩法行为规划!T57&gt;0,1,0))</f>
        <v>1</v>
      </c>
      <c r="V57" s="7">
        <f>IF(VLOOKUP(V$2,行为概览!$D$3:$L$33,9,0)="","",VLOOKUP(V$2,行为概览!$D$3:$L$33,9,0)*IF(玩法行为规划!U57&gt;0,1,0))</f>
        <v>1.5</v>
      </c>
      <c r="W57" s="7">
        <f>IF(VLOOKUP(W$2,行为概览!$D$3:$L$33,9,0)="","",VLOOKUP(W$2,行为概览!$D$3:$L$33,9,0)*IF(玩法行为规划!V57&gt;0,1,0))</f>
        <v>1</v>
      </c>
      <c r="X57" s="7">
        <f>IF(VLOOKUP(X$2,行为概览!$D$3:$L$33,9,0)="","",VLOOKUP(X$2,行为概览!$D$3:$L$33,9,0)*IF(玩法行为规划!W57&gt;0,1,0))</f>
        <v>1</v>
      </c>
      <c r="Y57" s="7">
        <f>IF(VLOOKUP(Y$2,行为概览!$D$3:$L$33,9,0)="","",VLOOKUP(Y$2,行为概览!$D$3:$L$33,9,0)*IF(玩法行为规划!X57&gt;0,1,0))</f>
        <v>1</v>
      </c>
      <c r="Z57" s="7">
        <f>IF(VLOOKUP(Z$2,行为概览!$D$3:$L$33,9,0)="","",VLOOKUP(Z$2,行为概览!$D$3:$L$33,9,0)*IF(玩法行为规划!Y57&gt;0,1,0))</f>
        <v>3</v>
      </c>
      <c r="AA57" s="7">
        <f>IF(VLOOKUP(AA$2,行为概览!$D$3:$L$33,9,0)="","",VLOOKUP(AA$2,行为概览!$D$3:$L$33,9,0)*IF(玩法行为规划!Z57&gt;0,1,0))</f>
        <v>0.5</v>
      </c>
      <c r="AB57" s="7" t="str">
        <f>IF(VLOOKUP(AB$2,行为概览!$D$3:$L$33,9,0)="","",VLOOKUP(AB$2,行为概览!$D$3:$L$33,9,0)*IF(玩法行为规划!AA57&gt;0,1,0))</f>
        <v/>
      </c>
      <c r="AC57" s="7" t="str">
        <f>IF(VLOOKUP(AC$2,行为概览!$D$3:$L$33,9,0)="","",VLOOKUP(AC$2,行为概览!$D$3:$L$33,9,0)*IF(玩法行为规划!AB57&gt;0,1,0))</f>
        <v/>
      </c>
      <c r="AD57" s="7" t="str">
        <f>IF(VLOOKUP(AD$2,行为概览!$D$3:$L$33,9,0)="","",VLOOKUP(AD$2,行为概览!$D$3:$L$33,9,0)*玩法行为规划!AC57)</f>
        <v/>
      </c>
      <c r="AE57" s="7" t="str">
        <f>IF(VLOOKUP(AE$2,行为概览!$D$3:$L$33,9,0)="","",VLOOKUP(AE$2,行为概览!$D$3:$L$33,9,0)*玩法行为规划!AD57)</f>
        <v/>
      </c>
      <c r="AF57" s="7">
        <f t="shared" si="10"/>
        <v>24.65</v>
      </c>
      <c r="AG57" s="10">
        <f t="shared" si="11"/>
        <v>1355750</v>
      </c>
      <c r="AH57" s="7">
        <f>ROUND(AG57*升级节奏!G57,0)</f>
        <v>706120</v>
      </c>
      <c r="AI57" s="7">
        <f t="shared" si="2"/>
        <v>137500</v>
      </c>
      <c r="AJ57" s="21" t="str">
        <f t="shared" si="12"/>
        <v/>
      </c>
      <c r="AK57" s="7">
        <f t="shared" si="3"/>
        <v>0.16298807519973449</v>
      </c>
      <c r="AL57" s="7">
        <f t="shared" si="4"/>
        <v>843620</v>
      </c>
      <c r="AM57" s="7">
        <f>SUM($AL$3:AL57)</f>
        <v>9105271</v>
      </c>
      <c r="AN57" s="166">
        <f t="shared" si="5"/>
        <v>34500</v>
      </c>
      <c r="AO57" s="7">
        <f>SUM($AN$3:AN57)*7</f>
        <v>3780000</v>
      </c>
      <c r="AP57" s="69">
        <f t="shared" si="6"/>
        <v>5202871</v>
      </c>
      <c r="AQ57" s="160">
        <f t="shared" si="7"/>
        <v>81600</v>
      </c>
      <c r="AR57" s="160">
        <f t="shared" si="8"/>
        <v>40800</v>
      </c>
    </row>
    <row r="58" spans="1:44">
      <c r="A58" s="32">
        <v>56</v>
      </c>
      <c r="B58" s="81">
        <f>升级节奏!E58</f>
        <v>56000</v>
      </c>
      <c r="C58" s="7">
        <f>IF(VLOOKUP(C$2,行为概览!$D$3:$L$33,9,0)="","",VLOOKUP(C$2,行为概览!$D$3:$L$33,9,0)*IF(玩法行为规划!B58&gt;0,1,0))</f>
        <v>4</v>
      </c>
      <c r="D58" s="7">
        <f>IF(VLOOKUP(D$2,行为概览!$D$3:$L$33,9,0)="","",VLOOKUP(D$2,行为概览!$D$3:$L$33,9,0)*IF(玩法行为规划!C58&gt;0,1,0))</f>
        <v>1.65</v>
      </c>
      <c r="E58" s="7">
        <f>IF(VLOOKUP(E$2,行为概览!$D$3:$L$33,9,0)="","",VLOOKUP(E$2,行为概览!$D$3:$L$33,9,0)*IF(玩法行为规划!D58&gt;0,1,0))</f>
        <v>0.5</v>
      </c>
      <c r="F58" s="7">
        <f>IF(VLOOKUP(F$2,行为概览!$D$3:$L$33,9,0)="","",VLOOKUP(F$2,行为概览!$D$3:$L$33,9,0)*IF(玩法行为规划!E58&gt;0,1,0))</f>
        <v>1</v>
      </c>
      <c r="G58" s="7" t="str">
        <f>IF(VLOOKUP(G$2,行为概览!$D$3:$L$33,9,0)="","",VLOOKUP(G$2,行为概览!$D$3:$L$33,9,0)*IF(玩法行为规划!F58&gt;0,1,0))</f>
        <v/>
      </c>
      <c r="H58" s="7" t="str">
        <f>IF(VLOOKUP(H$2,行为概览!$D$3:$L$33,9,0)="","",VLOOKUP(H$2,行为概览!$D$3:$L$33,9,0)*IF(玩法行为规划!G58&gt;0,1,0))</f>
        <v/>
      </c>
      <c r="I58" s="7" t="str">
        <f>IF(VLOOKUP(I$2,行为概览!$D$3:$L$33,9,0)="","",VLOOKUP(I$2,行为概览!$D$3:$L$33,9,0)*IF(玩法行为规划!H58&gt;0,1,0))</f>
        <v/>
      </c>
      <c r="J58" s="7" t="str">
        <f>IF(VLOOKUP(J$2,行为概览!$D$3:$L$33,9,0)="","",VLOOKUP(J$2,行为概览!$D$3:$L$33,9,0)*IF(玩法行为规划!I58&gt;0,1,0))</f>
        <v/>
      </c>
      <c r="K58" s="7">
        <f>IF(VLOOKUP(K$2,行为概览!$D$3:$L$33,9,0)="","",VLOOKUP(K$2,行为概览!$D$3:$L$33,9,0)*IF(玩法行为规划!J58&gt;0,1,0))</f>
        <v>1</v>
      </c>
      <c r="L58" s="7">
        <f>IF(VLOOKUP(L$2,行为概览!$D$3:$L$33,9,0)="","",VLOOKUP(L$2,行为概览!$D$3:$L$33,9,0)*IF(玩法行为规划!K58&gt;0,1,0))</f>
        <v>1</v>
      </c>
      <c r="M58" s="7" t="str">
        <f>IF(VLOOKUP(M$2,行为概览!$D$3:$L$33,9,0)="","",VLOOKUP(M$2,行为概览!$D$3:$L$33,9,0)*IF(玩法行为规划!L58&gt;0,1,0))</f>
        <v/>
      </c>
      <c r="N58" s="7" t="str">
        <f>IF(VLOOKUP(N$2,行为概览!$D$3:$L$33,9,0)="","",VLOOKUP(N$2,行为概览!$D$3:$L$33,9,0)*IF(玩法行为规划!M58&gt;0,1,0))</f>
        <v/>
      </c>
      <c r="O58" s="7" t="str">
        <f>IF(VLOOKUP(O$2,行为概览!$D$3:$L$33,9,0)="","",VLOOKUP(O$2,行为概览!$D$3:$L$33,9,0)*IF(玩法行为规划!N58&gt;0,1,0))</f>
        <v/>
      </c>
      <c r="P58" s="7">
        <f>IF(VLOOKUP(P$2,行为概览!$D$3:$L$33,9,0)="","",VLOOKUP(P$2,行为概览!$D$3:$L$33,9,0)*IF(玩法行为规划!O58&gt;0,1,0))</f>
        <v>0.5</v>
      </c>
      <c r="Q58" s="7">
        <f>IF(VLOOKUP(Q$2,行为概览!$D$3:$L$33,9,0)="","",VLOOKUP(Q$2,行为概览!$D$3:$L$33,9,0)*IF(玩法行为规划!P58&gt;0,1,0))</f>
        <v>5</v>
      </c>
      <c r="R58" s="7" t="str">
        <f>IF(VLOOKUP(R$2,行为概览!$D$3:$L$33,9,0)="","",VLOOKUP(R$2,行为概览!$D$3:$L$33,9,0)*IF(玩法行为规划!Q58&gt;0,1,0))</f>
        <v/>
      </c>
      <c r="S58" s="7">
        <f>IF(VLOOKUP(S$2,行为概览!$D$3:$L$33,9,0)="","",VLOOKUP(S$2,行为概览!$D$3:$L$33,9,0)*IF(玩法行为规划!R58&gt;0,1,0))</f>
        <v>1</v>
      </c>
      <c r="T58" s="7">
        <f>IF(VLOOKUP(T$2,行为概览!$D$3:$L$33,9,0)="","",VLOOKUP(T$2,行为概览!$D$3:$L$33,9,0)*IF(玩法行为规划!S58&gt;0,1,0))</f>
        <v>0</v>
      </c>
      <c r="U58" s="7">
        <f>IF(VLOOKUP(U$2,行为概览!$D$3:$L$33,9,0)="","",VLOOKUP(U$2,行为概览!$D$3:$L$33,9,0)*IF(玩法行为规划!T58&gt;0,1,0))</f>
        <v>1</v>
      </c>
      <c r="V58" s="7">
        <f>IF(VLOOKUP(V$2,行为概览!$D$3:$L$33,9,0)="","",VLOOKUP(V$2,行为概览!$D$3:$L$33,9,0)*IF(玩法行为规划!U58&gt;0,1,0))</f>
        <v>1.5</v>
      </c>
      <c r="W58" s="7">
        <f>IF(VLOOKUP(W$2,行为概览!$D$3:$L$33,9,0)="","",VLOOKUP(W$2,行为概览!$D$3:$L$33,9,0)*IF(玩法行为规划!V58&gt;0,1,0))</f>
        <v>1</v>
      </c>
      <c r="X58" s="7">
        <f>IF(VLOOKUP(X$2,行为概览!$D$3:$L$33,9,0)="","",VLOOKUP(X$2,行为概览!$D$3:$L$33,9,0)*IF(玩法行为规划!W58&gt;0,1,0))</f>
        <v>1</v>
      </c>
      <c r="Y58" s="7">
        <f>IF(VLOOKUP(Y$2,行为概览!$D$3:$L$33,9,0)="","",VLOOKUP(Y$2,行为概览!$D$3:$L$33,9,0)*IF(玩法行为规划!X58&gt;0,1,0))</f>
        <v>1</v>
      </c>
      <c r="Z58" s="7">
        <f>IF(VLOOKUP(Z$2,行为概览!$D$3:$L$33,9,0)="","",VLOOKUP(Z$2,行为概览!$D$3:$L$33,9,0)*IF(玩法行为规划!Y58&gt;0,1,0))</f>
        <v>3</v>
      </c>
      <c r="AA58" s="7">
        <f>IF(VLOOKUP(AA$2,行为概览!$D$3:$L$33,9,0)="","",VLOOKUP(AA$2,行为概览!$D$3:$L$33,9,0)*IF(玩法行为规划!Z58&gt;0,1,0))</f>
        <v>0.5</v>
      </c>
      <c r="AB58" s="7" t="str">
        <f>IF(VLOOKUP(AB$2,行为概览!$D$3:$L$33,9,0)="","",VLOOKUP(AB$2,行为概览!$D$3:$L$33,9,0)*IF(玩法行为规划!AA58&gt;0,1,0))</f>
        <v/>
      </c>
      <c r="AC58" s="7" t="str">
        <f>IF(VLOOKUP(AC$2,行为概览!$D$3:$L$33,9,0)="","",VLOOKUP(AC$2,行为概览!$D$3:$L$33,9,0)*IF(玩法行为规划!AB58&gt;0,1,0))</f>
        <v/>
      </c>
      <c r="AD58" s="7" t="str">
        <f>IF(VLOOKUP(AD$2,行为概览!$D$3:$L$33,9,0)="","",VLOOKUP(AD$2,行为概览!$D$3:$L$33,9,0)*玩法行为规划!AC58)</f>
        <v/>
      </c>
      <c r="AE58" s="7" t="str">
        <f>IF(VLOOKUP(AE$2,行为概览!$D$3:$L$33,9,0)="","",VLOOKUP(AE$2,行为概览!$D$3:$L$33,9,0)*玩法行为规划!AD58)</f>
        <v/>
      </c>
      <c r="AF58" s="7">
        <f t="shared" si="10"/>
        <v>24.65</v>
      </c>
      <c r="AG58" s="10">
        <f t="shared" si="11"/>
        <v>1380400</v>
      </c>
      <c r="AH58" s="7">
        <f>ROUND(AG58*升级节奏!G58,0)</f>
        <v>1116744</v>
      </c>
      <c r="AI58" s="7">
        <f t="shared" si="2"/>
        <v>145600</v>
      </c>
      <c r="AJ58" s="21" t="str">
        <f t="shared" si="12"/>
        <v/>
      </c>
      <c r="AK58" s="7">
        <f t="shared" si="3"/>
        <v>0.1153409847078134</v>
      </c>
      <c r="AL58" s="7">
        <f t="shared" si="4"/>
        <v>1262344</v>
      </c>
      <c r="AM58" s="7">
        <f>SUM($AL$3:AL58)</f>
        <v>10367615</v>
      </c>
      <c r="AN58" s="166">
        <f t="shared" si="5"/>
        <v>48400</v>
      </c>
      <c r="AO58" s="7">
        <f>SUM($AN$3:AN58)*7</f>
        <v>4118800</v>
      </c>
      <c r="AP58" s="69">
        <f t="shared" si="6"/>
        <v>6064515</v>
      </c>
      <c r="AQ58" s="160">
        <f t="shared" si="7"/>
        <v>122900</v>
      </c>
      <c r="AR58" s="160">
        <f t="shared" si="8"/>
        <v>61400</v>
      </c>
    </row>
    <row r="59" spans="1:44">
      <c r="A59" s="32">
        <v>57</v>
      </c>
      <c r="B59" s="81">
        <f>升级节奏!E59</f>
        <v>57000</v>
      </c>
      <c r="C59" s="7">
        <f>IF(VLOOKUP(C$2,行为概览!$D$3:$L$33,9,0)="","",VLOOKUP(C$2,行为概览!$D$3:$L$33,9,0)*IF(玩法行为规划!B59&gt;0,1,0))</f>
        <v>4</v>
      </c>
      <c r="D59" s="7">
        <f>IF(VLOOKUP(D$2,行为概览!$D$3:$L$33,9,0)="","",VLOOKUP(D$2,行为概览!$D$3:$L$33,9,0)*IF(玩法行为规划!C59&gt;0,1,0))</f>
        <v>1.65</v>
      </c>
      <c r="E59" s="7">
        <f>IF(VLOOKUP(E$2,行为概览!$D$3:$L$33,9,0)="","",VLOOKUP(E$2,行为概览!$D$3:$L$33,9,0)*IF(玩法行为规划!D59&gt;0,1,0))</f>
        <v>0.5</v>
      </c>
      <c r="F59" s="7">
        <f>IF(VLOOKUP(F$2,行为概览!$D$3:$L$33,9,0)="","",VLOOKUP(F$2,行为概览!$D$3:$L$33,9,0)*IF(玩法行为规划!E59&gt;0,1,0))</f>
        <v>1</v>
      </c>
      <c r="G59" s="7" t="str">
        <f>IF(VLOOKUP(G$2,行为概览!$D$3:$L$33,9,0)="","",VLOOKUP(G$2,行为概览!$D$3:$L$33,9,0)*IF(玩法行为规划!F59&gt;0,1,0))</f>
        <v/>
      </c>
      <c r="H59" s="7" t="str">
        <f>IF(VLOOKUP(H$2,行为概览!$D$3:$L$33,9,0)="","",VLOOKUP(H$2,行为概览!$D$3:$L$33,9,0)*IF(玩法行为规划!G59&gt;0,1,0))</f>
        <v/>
      </c>
      <c r="I59" s="7" t="str">
        <f>IF(VLOOKUP(I$2,行为概览!$D$3:$L$33,9,0)="","",VLOOKUP(I$2,行为概览!$D$3:$L$33,9,0)*IF(玩法行为规划!H59&gt;0,1,0))</f>
        <v/>
      </c>
      <c r="J59" s="7" t="str">
        <f>IF(VLOOKUP(J$2,行为概览!$D$3:$L$33,9,0)="","",VLOOKUP(J$2,行为概览!$D$3:$L$33,9,0)*IF(玩法行为规划!I59&gt;0,1,0))</f>
        <v/>
      </c>
      <c r="K59" s="7">
        <f>IF(VLOOKUP(K$2,行为概览!$D$3:$L$33,9,0)="","",VLOOKUP(K$2,行为概览!$D$3:$L$33,9,0)*IF(玩法行为规划!J59&gt;0,1,0))</f>
        <v>1</v>
      </c>
      <c r="L59" s="7">
        <f>IF(VLOOKUP(L$2,行为概览!$D$3:$L$33,9,0)="","",VLOOKUP(L$2,行为概览!$D$3:$L$33,9,0)*IF(玩法行为规划!K59&gt;0,1,0))</f>
        <v>1</v>
      </c>
      <c r="M59" s="7" t="str">
        <f>IF(VLOOKUP(M$2,行为概览!$D$3:$L$33,9,0)="","",VLOOKUP(M$2,行为概览!$D$3:$L$33,9,0)*IF(玩法行为规划!L59&gt;0,1,0))</f>
        <v/>
      </c>
      <c r="N59" s="7" t="str">
        <f>IF(VLOOKUP(N$2,行为概览!$D$3:$L$33,9,0)="","",VLOOKUP(N$2,行为概览!$D$3:$L$33,9,0)*IF(玩法行为规划!M59&gt;0,1,0))</f>
        <v/>
      </c>
      <c r="O59" s="7" t="str">
        <f>IF(VLOOKUP(O$2,行为概览!$D$3:$L$33,9,0)="","",VLOOKUP(O$2,行为概览!$D$3:$L$33,9,0)*IF(玩法行为规划!N59&gt;0,1,0))</f>
        <v/>
      </c>
      <c r="P59" s="7">
        <f>IF(VLOOKUP(P$2,行为概览!$D$3:$L$33,9,0)="","",VLOOKUP(P$2,行为概览!$D$3:$L$33,9,0)*IF(玩法行为规划!O59&gt;0,1,0))</f>
        <v>0.5</v>
      </c>
      <c r="Q59" s="7">
        <f>IF(VLOOKUP(Q$2,行为概览!$D$3:$L$33,9,0)="","",VLOOKUP(Q$2,行为概览!$D$3:$L$33,9,0)*IF(玩法行为规划!P59&gt;0,1,0))</f>
        <v>5</v>
      </c>
      <c r="R59" s="7" t="str">
        <f>IF(VLOOKUP(R$2,行为概览!$D$3:$L$33,9,0)="","",VLOOKUP(R$2,行为概览!$D$3:$L$33,9,0)*IF(玩法行为规划!Q59&gt;0,1,0))</f>
        <v/>
      </c>
      <c r="S59" s="7">
        <f>IF(VLOOKUP(S$2,行为概览!$D$3:$L$33,9,0)="","",VLOOKUP(S$2,行为概览!$D$3:$L$33,9,0)*IF(玩法行为规划!R59&gt;0,1,0))</f>
        <v>1</v>
      </c>
      <c r="T59" s="7">
        <f>IF(VLOOKUP(T$2,行为概览!$D$3:$L$33,9,0)="","",VLOOKUP(T$2,行为概览!$D$3:$L$33,9,0)*IF(玩法行为规划!S59&gt;0,1,0))</f>
        <v>0</v>
      </c>
      <c r="U59" s="7">
        <f>IF(VLOOKUP(U$2,行为概览!$D$3:$L$33,9,0)="","",VLOOKUP(U$2,行为概览!$D$3:$L$33,9,0)*IF(玩法行为规划!T59&gt;0,1,0))</f>
        <v>1</v>
      </c>
      <c r="V59" s="7">
        <f>IF(VLOOKUP(V$2,行为概览!$D$3:$L$33,9,0)="","",VLOOKUP(V$2,行为概览!$D$3:$L$33,9,0)*IF(玩法行为规划!U59&gt;0,1,0))</f>
        <v>1.5</v>
      </c>
      <c r="W59" s="7">
        <f>IF(VLOOKUP(W$2,行为概览!$D$3:$L$33,9,0)="","",VLOOKUP(W$2,行为概览!$D$3:$L$33,9,0)*IF(玩法行为规划!V59&gt;0,1,0))</f>
        <v>1</v>
      </c>
      <c r="X59" s="7">
        <f>IF(VLOOKUP(X$2,行为概览!$D$3:$L$33,9,0)="","",VLOOKUP(X$2,行为概览!$D$3:$L$33,9,0)*IF(玩法行为规划!W59&gt;0,1,0))</f>
        <v>1</v>
      </c>
      <c r="Y59" s="7">
        <f>IF(VLOOKUP(Y$2,行为概览!$D$3:$L$33,9,0)="","",VLOOKUP(Y$2,行为概览!$D$3:$L$33,9,0)*IF(玩法行为规划!X59&gt;0,1,0))</f>
        <v>1</v>
      </c>
      <c r="Z59" s="7">
        <f>IF(VLOOKUP(Z$2,行为概览!$D$3:$L$33,9,0)="","",VLOOKUP(Z$2,行为概览!$D$3:$L$33,9,0)*IF(玩法行为规划!Y59&gt;0,1,0))</f>
        <v>3</v>
      </c>
      <c r="AA59" s="7">
        <f>IF(VLOOKUP(AA$2,行为概览!$D$3:$L$33,9,0)="","",VLOOKUP(AA$2,行为概览!$D$3:$L$33,9,0)*IF(玩法行为规划!Z59&gt;0,1,0))</f>
        <v>0.5</v>
      </c>
      <c r="AB59" s="7" t="str">
        <f>IF(VLOOKUP(AB$2,行为概览!$D$3:$L$33,9,0)="","",VLOOKUP(AB$2,行为概览!$D$3:$L$33,9,0)*IF(玩法行为规划!AA59&gt;0,1,0))</f>
        <v/>
      </c>
      <c r="AC59" s="7" t="str">
        <f>IF(VLOOKUP(AC$2,行为概览!$D$3:$L$33,9,0)="","",VLOOKUP(AC$2,行为概览!$D$3:$L$33,9,0)*IF(玩法行为规划!AB59&gt;0,1,0))</f>
        <v/>
      </c>
      <c r="AD59" s="7" t="str">
        <f>IF(VLOOKUP(AD$2,行为概览!$D$3:$L$33,9,0)="","",VLOOKUP(AD$2,行为概览!$D$3:$L$33,9,0)*玩法行为规划!AC59)</f>
        <v/>
      </c>
      <c r="AE59" s="7" t="str">
        <f>IF(VLOOKUP(AE$2,行为概览!$D$3:$L$33,9,0)="","",VLOOKUP(AE$2,行为概览!$D$3:$L$33,9,0)*玩法行为规划!AD59)</f>
        <v/>
      </c>
      <c r="AF59" s="7">
        <f t="shared" si="10"/>
        <v>24.65</v>
      </c>
      <c r="AG59" s="10">
        <f t="shared" si="11"/>
        <v>1405050</v>
      </c>
      <c r="AH59" s="7">
        <f>ROUND(AG59*升级节奏!G59,0)</f>
        <v>1176378</v>
      </c>
      <c r="AI59" s="7">
        <f t="shared" si="2"/>
        <v>153900</v>
      </c>
      <c r="AJ59" s="21" t="str">
        <f t="shared" si="12"/>
        <v/>
      </c>
      <c r="AK59" s="7">
        <f t="shared" si="3"/>
        <v>0.11569010387302504</v>
      </c>
      <c r="AL59" s="7">
        <f t="shared" si="4"/>
        <v>1330278</v>
      </c>
      <c r="AM59" s="7">
        <f>SUM($AL$3:AL59)</f>
        <v>11697893</v>
      </c>
      <c r="AN59" s="166">
        <f t="shared" si="5"/>
        <v>50600</v>
      </c>
      <c r="AO59" s="7">
        <f>SUM($AN$3:AN59)*7</f>
        <v>4473000</v>
      </c>
      <c r="AP59" s="69">
        <f t="shared" si="6"/>
        <v>7031393</v>
      </c>
      <c r="AQ59" s="160">
        <f t="shared" si="7"/>
        <v>129000</v>
      </c>
      <c r="AR59" s="160">
        <f t="shared" si="8"/>
        <v>64500</v>
      </c>
    </row>
    <row r="60" spans="1:44">
      <c r="A60" s="32">
        <v>58</v>
      </c>
      <c r="B60" s="81">
        <f>升级节奏!E60</f>
        <v>58000</v>
      </c>
      <c r="C60" s="7">
        <f>IF(VLOOKUP(C$2,行为概览!$D$3:$L$33,9,0)="","",VLOOKUP(C$2,行为概览!$D$3:$L$33,9,0)*IF(玩法行为规划!B60&gt;0,1,0))</f>
        <v>4</v>
      </c>
      <c r="D60" s="7">
        <f>IF(VLOOKUP(D$2,行为概览!$D$3:$L$33,9,0)="","",VLOOKUP(D$2,行为概览!$D$3:$L$33,9,0)*IF(玩法行为规划!C60&gt;0,1,0))</f>
        <v>1.65</v>
      </c>
      <c r="E60" s="7">
        <f>IF(VLOOKUP(E$2,行为概览!$D$3:$L$33,9,0)="","",VLOOKUP(E$2,行为概览!$D$3:$L$33,9,0)*IF(玩法行为规划!D60&gt;0,1,0))</f>
        <v>0.5</v>
      </c>
      <c r="F60" s="7">
        <f>IF(VLOOKUP(F$2,行为概览!$D$3:$L$33,9,0)="","",VLOOKUP(F$2,行为概览!$D$3:$L$33,9,0)*IF(玩法行为规划!E60&gt;0,1,0))</f>
        <v>1</v>
      </c>
      <c r="G60" s="7" t="str">
        <f>IF(VLOOKUP(G$2,行为概览!$D$3:$L$33,9,0)="","",VLOOKUP(G$2,行为概览!$D$3:$L$33,9,0)*IF(玩法行为规划!F60&gt;0,1,0))</f>
        <v/>
      </c>
      <c r="H60" s="7" t="str">
        <f>IF(VLOOKUP(H$2,行为概览!$D$3:$L$33,9,0)="","",VLOOKUP(H$2,行为概览!$D$3:$L$33,9,0)*IF(玩法行为规划!G60&gt;0,1,0))</f>
        <v/>
      </c>
      <c r="I60" s="7" t="str">
        <f>IF(VLOOKUP(I$2,行为概览!$D$3:$L$33,9,0)="","",VLOOKUP(I$2,行为概览!$D$3:$L$33,9,0)*IF(玩法行为规划!H60&gt;0,1,0))</f>
        <v/>
      </c>
      <c r="J60" s="7" t="str">
        <f>IF(VLOOKUP(J$2,行为概览!$D$3:$L$33,9,0)="","",VLOOKUP(J$2,行为概览!$D$3:$L$33,9,0)*IF(玩法行为规划!I60&gt;0,1,0))</f>
        <v/>
      </c>
      <c r="K60" s="7">
        <f>IF(VLOOKUP(K$2,行为概览!$D$3:$L$33,9,0)="","",VLOOKUP(K$2,行为概览!$D$3:$L$33,9,0)*IF(玩法行为规划!J60&gt;0,1,0))</f>
        <v>1</v>
      </c>
      <c r="L60" s="7">
        <f>IF(VLOOKUP(L$2,行为概览!$D$3:$L$33,9,0)="","",VLOOKUP(L$2,行为概览!$D$3:$L$33,9,0)*IF(玩法行为规划!K60&gt;0,1,0))</f>
        <v>1</v>
      </c>
      <c r="M60" s="7" t="str">
        <f>IF(VLOOKUP(M$2,行为概览!$D$3:$L$33,9,0)="","",VLOOKUP(M$2,行为概览!$D$3:$L$33,9,0)*IF(玩法行为规划!L60&gt;0,1,0))</f>
        <v/>
      </c>
      <c r="N60" s="7" t="str">
        <f>IF(VLOOKUP(N$2,行为概览!$D$3:$L$33,9,0)="","",VLOOKUP(N$2,行为概览!$D$3:$L$33,9,0)*IF(玩法行为规划!M60&gt;0,1,0))</f>
        <v/>
      </c>
      <c r="O60" s="7" t="str">
        <f>IF(VLOOKUP(O$2,行为概览!$D$3:$L$33,9,0)="","",VLOOKUP(O$2,行为概览!$D$3:$L$33,9,0)*IF(玩法行为规划!N60&gt;0,1,0))</f>
        <v/>
      </c>
      <c r="P60" s="7">
        <f>IF(VLOOKUP(P$2,行为概览!$D$3:$L$33,9,0)="","",VLOOKUP(P$2,行为概览!$D$3:$L$33,9,0)*IF(玩法行为规划!O60&gt;0,1,0))</f>
        <v>0.5</v>
      </c>
      <c r="Q60" s="7">
        <f>IF(VLOOKUP(Q$2,行为概览!$D$3:$L$33,9,0)="","",VLOOKUP(Q$2,行为概览!$D$3:$L$33,9,0)*IF(玩法行为规划!P60&gt;0,1,0))</f>
        <v>5</v>
      </c>
      <c r="R60" s="7" t="str">
        <f>IF(VLOOKUP(R$2,行为概览!$D$3:$L$33,9,0)="","",VLOOKUP(R$2,行为概览!$D$3:$L$33,9,0)*IF(玩法行为规划!Q60&gt;0,1,0))</f>
        <v/>
      </c>
      <c r="S60" s="7">
        <f>IF(VLOOKUP(S$2,行为概览!$D$3:$L$33,9,0)="","",VLOOKUP(S$2,行为概览!$D$3:$L$33,9,0)*IF(玩法行为规划!R60&gt;0,1,0))</f>
        <v>1</v>
      </c>
      <c r="T60" s="7">
        <f>IF(VLOOKUP(T$2,行为概览!$D$3:$L$33,9,0)="","",VLOOKUP(T$2,行为概览!$D$3:$L$33,9,0)*IF(玩法行为规划!S60&gt;0,1,0))</f>
        <v>0</v>
      </c>
      <c r="U60" s="7">
        <f>IF(VLOOKUP(U$2,行为概览!$D$3:$L$33,9,0)="","",VLOOKUP(U$2,行为概览!$D$3:$L$33,9,0)*IF(玩法行为规划!T60&gt;0,1,0))</f>
        <v>1</v>
      </c>
      <c r="V60" s="7">
        <f>IF(VLOOKUP(V$2,行为概览!$D$3:$L$33,9,0)="","",VLOOKUP(V$2,行为概览!$D$3:$L$33,9,0)*IF(玩法行为规划!U60&gt;0,1,0))</f>
        <v>1.5</v>
      </c>
      <c r="W60" s="7">
        <f>IF(VLOOKUP(W$2,行为概览!$D$3:$L$33,9,0)="","",VLOOKUP(W$2,行为概览!$D$3:$L$33,9,0)*IF(玩法行为规划!V60&gt;0,1,0))</f>
        <v>1</v>
      </c>
      <c r="X60" s="7">
        <f>IF(VLOOKUP(X$2,行为概览!$D$3:$L$33,9,0)="","",VLOOKUP(X$2,行为概览!$D$3:$L$33,9,0)*IF(玩法行为规划!W60&gt;0,1,0))</f>
        <v>1</v>
      </c>
      <c r="Y60" s="7">
        <f>IF(VLOOKUP(Y$2,行为概览!$D$3:$L$33,9,0)="","",VLOOKUP(Y$2,行为概览!$D$3:$L$33,9,0)*IF(玩法行为规划!X60&gt;0,1,0))</f>
        <v>1</v>
      </c>
      <c r="Z60" s="7">
        <f>IF(VLOOKUP(Z$2,行为概览!$D$3:$L$33,9,0)="","",VLOOKUP(Z$2,行为概览!$D$3:$L$33,9,0)*IF(玩法行为规划!Y60&gt;0,1,0))</f>
        <v>3</v>
      </c>
      <c r="AA60" s="7">
        <f>IF(VLOOKUP(AA$2,行为概览!$D$3:$L$33,9,0)="","",VLOOKUP(AA$2,行为概览!$D$3:$L$33,9,0)*IF(玩法行为规划!Z60&gt;0,1,0))</f>
        <v>0.5</v>
      </c>
      <c r="AB60" s="7" t="str">
        <f>IF(VLOOKUP(AB$2,行为概览!$D$3:$L$33,9,0)="","",VLOOKUP(AB$2,行为概览!$D$3:$L$33,9,0)*IF(玩法行为规划!AA60&gt;0,1,0))</f>
        <v/>
      </c>
      <c r="AC60" s="7" t="str">
        <f>IF(VLOOKUP(AC$2,行为概览!$D$3:$L$33,9,0)="","",VLOOKUP(AC$2,行为概览!$D$3:$L$33,9,0)*IF(玩法行为规划!AB60&gt;0,1,0))</f>
        <v/>
      </c>
      <c r="AD60" s="7" t="str">
        <f>IF(VLOOKUP(AD$2,行为概览!$D$3:$L$33,9,0)="","",VLOOKUP(AD$2,行为概览!$D$3:$L$33,9,0)*玩法行为规划!AC60)</f>
        <v/>
      </c>
      <c r="AE60" s="7" t="str">
        <f>IF(VLOOKUP(AE$2,行为概览!$D$3:$L$33,9,0)="","",VLOOKUP(AE$2,行为概览!$D$3:$L$33,9,0)*玩法行为规划!AD60)</f>
        <v/>
      </c>
      <c r="AF60" s="7">
        <f t="shared" si="10"/>
        <v>24.65</v>
      </c>
      <c r="AG60" s="10">
        <f t="shared" si="11"/>
        <v>1429700</v>
      </c>
      <c r="AH60" s="7">
        <f>ROUND(AG60*升级节奏!G60,0)</f>
        <v>1238120</v>
      </c>
      <c r="AI60" s="7">
        <f t="shared" si="2"/>
        <v>162400</v>
      </c>
      <c r="AJ60" s="21" t="str">
        <f t="shared" si="12"/>
        <v/>
      </c>
      <c r="AK60" s="7">
        <f t="shared" si="3"/>
        <v>0.11595693028303773</v>
      </c>
      <c r="AL60" s="7">
        <f t="shared" si="4"/>
        <v>1400520</v>
      </c>
      <c r="AM60" s="7">
        <f>SUM($AL$3:AL60)</f>
        <v>13098413</v>
      </c>
      <c r="AN60" s="166">
        <f t="shared" si="5"/>
        <v>52900</v>
      </c>
      <c r="AO60" s="7">
        <f>SUM($AN$3:AN60)*7</f>
        <v>4843300</v>
      </c>
      <c r="AP60" s="69">
        <f t="shared" si="6"/>
        <v>8052013</v>
      </c>
      <c r="AQ60" s="160">
        <f t="shared" si="7"/>
        <v>135400</v>
      </c>
      <c r="AR60" s="160">
        <f t="shared" si="8"/>
        <v>67700</v>
      </c>
    </row>
    <row r="61" spans="1:44">
      <c r="A61" s="32">
        <v>59</v>
      </c>
      <c r="B61" s="81">
        <f>升级节奏!E61</f>
        <v>59000</v>
      </c>
      <c r="C61" s="7">
        <f>IF(VLOOKUP(C$2,行为概览!$D$3:$L$33,9,0)="","",VLOOKUP(C$2,行为概览!$D$3:$L$33,9,0)*IF(玩法行为规划!B61&gt;0,1,0))</f>
        <v>4</v>
      </c>
      <c r="D61" s="7">
        <f>IF(VLOOKUP(D$2,行为概览!$D$3:$L$33,9,0)="","",VLOOKUP(D$2,行为概览!$D$3:$L$33,9,0)*IF(玩法行为规划!C61&gt;0,1,0))</f>
        <v>1.65</v>
      </c>
      <c r="E61" s="7">
        <f>IF(VLOOKUP(E$2,行为概览!$D$3:$L$33,9,0)="","",VLOOKUP(E$2,行为概览!$D$3:$L$33,9,0)*IF(玩法行为规划!D61&gt;0,1,0))</f>
        <v>0.5</v>
      </c>
      <c r="F61" s="7">
        <f>IF(VLOOKUP(F$2,行为概览!$D$3:$L$33,9,0)="","",VLOOKUP(F$2,行为概览!$D$3:$L$33,9,0)*IF(玩法行为规划!E61&gt;0,1,0))</f>
        <v>1</v>
      </c>
      <c r="G61" s="7" t="str">
        <f>IF(VLOOKUP(G$2,行为概览!$D$3:$L$33,9,0)="","",VLOOKUP(G$2,行为概览!$D$3:$L$33,9,0)*IF(玩法行为规划!F61&gt;0,1,0))</f>
        <v/>
      </c>
      <c r="H61" s="7" t="str">
        <f>IF(VLOOKUP(H$2,行为概览!$D$3:$L$33,9,0)="","",VLOOKUP(H$2,行为概览!$D$3:$L$33,9,0)*IF(玩法行为规划!G61&gt;0,1,0))</f>
        <v/>
      </c>
      <c r="I61" s="7" t="str">
        <f>IF(VLOOKUP(I$2,行为概览!$D$3:$L$33,9,0)="","",VLOOKUP(I$2,行为概览!$D$3:$L$33,9,0)*IF(玩法行为规划!H61&gt;0,1,0))</f>
        <v/>
      </c>
      <c r="J61" s="7" t="str">
        <f>IF(VLOOKUP(J$2,行为概览!$D$3:$L$33,9,0)="","",VLOOKUP(J$2,行为概览!$D$3:$L$33,9,0)*IF(玩法行为规划!I61&gt;0,1,0))</f>
        <v/>
      </c>
      <c r="K61" s="7">
        <f>IF(VLOOKUP(K$2,行为概览!$D$3:$L$33,9,0)="","",VLOOKUP(K$2,行为概览!$D$3:$L$33,9,0)*IF(玩法行为规划!J61&gt;0,1,0))</f>
        <v>1</v>
      </c>
      <c r="L61" s="7">
        <f>IF(VLOOKUP(L$2,行为概览!$D$3:$L$33,9,0)="","",VLOOKUP(L$2,行为概览!$D$3:$L$33,9,0)*IF(玩法行为规划!K61&gt;0,1,0))</f>
        <v>1</v>
      </c>
      <c r="M61" s="7" t="str">
        <f>IF(VLOOKUP(M$2,行为概览!$D$3:$L$33,9,0)="","",VLOOKUP(M$2,行为概览!$D$3:$L$33,9,0)*IF(玩法行为规划!L61&gt;0,1,0))</f>
        <v/>
      </c>
      <c r="N61" s="7" t="str">
        <f>IF(VLOOKUP(N$2,行为概览!$D$3:$L$33,9,0)="","",VLOOKUP(N$2,行为概览!$D$3:$L$33,9,0)*IF(玩法行为规划!M61&gt;0,1,0))</f>
        <v/>
      </c>
      <c r="O61" s="7" t="str">
        <f>IF(VLOOKUP(O$2,行为概览!$D$3:$L$33,9,0)="","",VLOOKUP(O$2,行为概览!$D$3:$L$33,9,0)*IF(玩法行为规划!N61&gt;0,1,0))</f>
        <v/>
      </c>
      <c r="P61" s="7">
        <f>IF(VLOOKUP(P$2,行为概览!$D$3:$L$33,9,0)="","",VLOOKUP(P$2,行为概览!$D$3:$L$33,9,0)*IF(玩法行为规划!O61&gt;0,1,0))</f>
        <v>0.5</v>
      </c>
      <c r="Q61" s="7">
        <f>IF(VLOOKUP(Q$2,行为概览!$D$3:$L$33,9,0)="","",VLOOKUP(Q$2,行为概览!$D$3:$L$33,9,0)*IF(玩法行为规划!P61&gt;0,1,0))</f>
        <v>5</v>
      </c>
      <c r="R61" s="7" t="str">
        <f>IF(VLOOKUP(R$2,行为概览!$D$3:$L$33,9,0)="","",VLOOKUP(R$2,行为概览!$D$3:$L$33,9,0)*IF(玩法行为规划!Q61&gt;0,1,0))</f>
        <v/>
      </c>
      <c r="S61" s="7">
        <f>IF(VLOOKUP(S$2,行为概览!$D$3:$L$33,9,0)="","",VLOOKUP(S$2,行为概览!$D$3:$L$33,9,0)*IF(玩法行为规划!R61&gt;0,1,0))</f>
        <v>1</v>
      </c>
      <c r="T61" s="7">
        <f>IF(VLOOKUP(T$2,行为概览!$D$3:$L$33,9,0)="","",VLOOKUP(T$2,行为概览!$D$3:$L$33,9,0)*IF(玩法行为规划!S61&gt;0,1,0))</f>
        <v>0</v>
      </c>
      <c r="U61" s="7">
        <f>IF(VLOOKUP(U$2,行为概览!$D$3:$L$33,9,0)="","",VLOOKUP(U$2,行为概览!$D$3:$L$33,9,0)*IF(玩法行为规划!T61&gt;0,1,0))</f>
        <v>1</v>
      </c>
      <c r="V61" s="7">
        <f>IF(VLOOKUP(V$2,行为概览!$D$3:$L$33,9,0)="","",VLOOKUP(V$2,行为概览!$D$3:$L$33,9,0)*IF(玩法行为规划!U61&gt;0,1,0))</f>
        <v>1.5</v>
      </c>
      <c r="W61" s="7">
        <f>IF(VLOOKUP(W$2,行为概览!$D$3:$L$33,9,0)="","",VLOOKUP(W$2,行为概览!$D$3:$L$33,9,0)*IF(玩法行为规划!V61&gt;0,1,0))</f>
        <v>1</v>
      </c>
      <c r="X61" s="7">
        <f>IF(VLOOKUP(X$2,行为概览!$D$3:$L$33,9,0)="","",VLOOKUP(X$2,行为概览!$D$3:$L$33,9,0)*IF(玩法行为规划!W61&gt;0,1,0))</f>
        <v>1</v>
      </c>
      <c r="Y61" s="7">
        <f>IF(VLOOKUP(Y$2,行为概览!$D$3:$L$33,9,0)="","",VLOOKUP(Y$2,行为概览!$D$3:$L$33,9,0)*IF(玩法行为规划!X61&gt;0,1,0))</f>
        <v>1</v>
      </c>
      <c r="Z61" s="7">
        <f>IF(VLOOKUP(Z$2,行为概览!$D$3:$L$33,9,0)="","",VLOOKUP(Z$2,行为概览!$D$3:$L$33,9,0)*IF(玩法行为规划!Y61&gt;0,1,0))</f>
        <v>3</v>
      </c>
      <c r="AA61" s="7">
        <f>IF(VLOOKUP(AA$2,行为概览!$D$3:$L$33,9,0)="","",VLOOKUP(AA$2,行为概览!$D$3:$L$33,9,0)*IF(玩法行为规划!Z61&gt;0,1,0))</f>
        <v>0.5</v>
      </c>
      <c r="AB61" s="7" t="str">
        <f>IF(VLOOKUP(AB$2,行为概览!$D$3:$L$33,9,0)="","",VLOOKUP(AB$2,行为概览!$D$3:$L$33,9,0)*IF(玩法行为规划!AA61&gt;0,1,0))</f>
        <v/>
      </c>
      <c r="AC61" s="7" t="str">
        <f>IF(VLOOKUP(AC$2,行为概览!$D$3:$L$33,9,0)="","",VLOOKUP(AC$2,行为概览!$D$3:$L$33,9,0)*IF(玩法行为规划!AB61&gt;0,1,0))</f>
        <v/>
      </c>
      <c r="AD61" s="7" t="str">
        <f>IF(VLOOKUP(AD$2,行为概览!$D$3:$L$33,9,0)="","",VLOOKUP(AD$2,行为概览!$D$3:$L$33,9,0)*玩法行为规划!AC61)</f>
        <v/>
      </c>
      <c r="AE61" s="7" t="str">
        <f>IF(VLOOKUP(AE$2,行为概览!$D$3:$L$33,9,0)="","",VLOOKUP(AE$2,行为概览!$D$3:$L$33,9,0)*玩法行为规划!AD61)</f>
        <v/>
      </c>
      <c r="AF61" s="7">
        <f t="shared" si="10"/>
        <v>24.65</v>
      </c>
      <c r="AG61" s="10">
        <f t="shared" si="11"/>
        <v>1454350</v>
      </c>
      <c r="AH61" s="7">
        <f>ROUND(AG61*升级节奏!G61,0)</f>
        <v>1302007</v>
      </c>
      <c r="AI61" s="7">
        <f t="shared" si="2"/>
        <v>171100</v>
      </c>
      <c r="AJ61" s="21" t="str">
        <f t="shared" si="12"/>
        <v/>
      </c>
      <c r="AK61" s="7">
        <f t="shared" si="3"/>
        <v>0.11614906452823862</v>
      </c>
      <c r="AL61" s="7">
        <f t="shared" si="4"/>
        <v>1473107</v>
      </c>
      <c r="AM61" s="7">
        <f>SUM($AL$3:AL61)</f>
        <v>14571520</v>
      </c>
      <c r="AN61" s="166">
        <f t="shared" si="5"/>
        <v>55200</v>
      </c>
      <c r="AO61" s="7">
        <f>SUM($AN$3:AN61)*7</f>
        <v>5229700</v>
      </c>
      <c r="AP61" s="69">
        <f t="shared" si="6"/>
        <v>9128820</v>
      </c>
      <c r="AQ61" s="160">
        <f t="shared" si="7"/>
        <v>142000</v>
      </c>
      <c r="AR61" s="160">
        <f t="shared" si="8"/>
        <v>71000</v>
      </c>
    </row>
    <row r="62" spans="1:44">
      <c r="A62" s="32">
        <v>60</v>
      </c>
      <c r="B62" s="81">
        <f>升级节奏!E62</f>
        <v>60000</v>
      </c>
      <c r="C62" s="7">
        <f>IF(VLOOKUP(C$2,行为概览!$D$3:$L$33,9,0)="","",VLOOKUP(C$2,行为概览!$D$3:$L$33,9,0)*IF(玩法行为规划!B62&gt;0,1,0))</f>
        <v>4</v>
      </c>
      <c r="D62" s="7">
        <f>IF(VLOOKUP(D$2,行为概览!$D$3:$L$33,9,0)="","",VLOOKUP(D$2,行为概览!$D$3:$L$33,9,0)*IF(玩法行为规划!C62&gt;0,1,0))</f>
        <v>1.65</v>
      </c>
      <c r="E62" s="7">
        <f>IF(VLOOKUP(E$2,行为概览!$D$3:$L$33,9,0)="","",VLOOKUP(E$2,行为概览!$D$3:$L$33,9,0)*IF(玩法行为规划!D62&gt;0,1,0))</f>
        <v>0.5</v>
      </c>
      <c r="F62" s="7">
        <f>IF(VLOOKUP(F$2,行为概览!$D$3:$L$33,9,0)="","",VLOOKUP(F$2,行为概览!$D$3:$L$33,9,0)*IF(玩法行为规划!E62&gt;0,1,0))</f>
        <v>1</v>
      </c>
      <c r="G62" s="7" t="str">
        <f>IF(VLOOKUP(G$2,行为概览!$D$3:$L$33,9,0)="","",VLOOKUP(G$2,行为概览!$D$3:$L$33,9,0)*IF(玩法行为规划!F62&gt;0,1,0))</f>
        <v/>
      </c>
      <c r="H62" s="7" t="str">
        <f>IF(VLOOKUP(H$2,行为概览!$D$3:$L$33,9,0)="","",VLOOKUP(H$2,行为概览!$D$3:$L$33,9,0)*IF(玩法行为规划!G62&gt;0,1,0))</f>
        <v/>
      </c>
      <c r="I62" s="7" t="str">
        <f>IF(VLOOKUP(I$2,行为概览!$D$3:$L$33,9,0)="","",VLOOKUP(I$2,行为概览!$D$3:$L$33,9,0)*IF(玩法行为规划!H62&gt;0,1,0))</f>
        <v/>
      </c>
      <c r="J62" s="7" t="str">
        <f>IF(VLOOKUP(J$2,行为概览!$D$3:$L$33,9,0)="","",VLOOKUP(J$2,行为概览!$D$3:$L$33,9,0)*IF(玩法行为规划!I62&gt;0,1,0))</f>
        <v/>
      </c>
      <c r="K62" s="7">
        <f>IF(VLOOKUP(K$2,行为概览!$D$3:$L$33,9,0)="","",VLOOKUP(K$2,行为概览!$D$3:$L$33,9,0)*IF(玩法行为规划!J62&gt;0,1,0))</f>
        <v>1</v>
      </c>
      <c r="L62" s="7">
        <f>IF(VLOOKUP(L$2,行为概览!$D$3:$L$33,9,0)="","",VLOOKUP(L$2,行为概览!$D$3:$L$33,9,0)*IF(玩法行为规划!K62&gt;0,1,0))</f>
        <v>1</v>
      </c>
      <c r="M62" s="7" t="str">
        <f>IF(VLOOKUP(M$2,行为概览!$D$3:$L$33,9,0)="","",VLOOKUP(M$2,行为概览!$D$3:$L$33,9,0)*IF(玩法行为规划!L62&gt;0,1,0))</f>
        <v/>
      </c>
      <c r="N62" s="7" t="str">
        <f>IF(VLOOKUP(N$2,行为概览!$D$3:$L$33,9,0)="","",VLOOKUP(N$2,行为概览!$D$3:$L$33,9,0)*IF(玩法行为规划!M62&gt;0,1,0))</f>
        <v/>
      </c>
      <c r="O62" s="7" t="str">
        <f>IF(VLOOKUP(O$2,行为概览!$D$3:$L$33,9,0)="","",VLOOKUP(O$2,行为概览!$D$3:$L$33,9,0)*IF(玩法行为规划!N62&gt;0,1,0))</f>
        <v/>
      </c>
      <c r="P62" s="7">
        <f>IF(VLOOKUP(P$2,行为概览!$D$3:$L$33,9,0)="","",VLOOKUP(P$2,行为概览!$D$3:$L$33,9,0)*IF(玩法行为规划!O62&gt;0,1,0))</f>
        <v>0.5</v>
      </c>
      <c r="Q62" s="7">
        <f>IF(VLOOKUP(Q$2,行为概览!$D$3:$L$33,9,0)="","",VLOOKUP(Q$2,行为概览!$D$3:$L$33,9,0)*IF(玩法行为规划!P62&gt;0,1,0))</f>
        <v>5</v>
      </c>
      <c r="R62" s="7" t="str">
        <f>IF(VLOOKUP(R$2,行为概览!$D$3:$L$33,9,0)="","",VLOOKUP(R$2,行为概览!$D$3:$L$33,9,0)*IF(玩法行为规划!Q62&gt;0,1,0))</f>
        <v/>
      </c>
      <c r="S62" s="7">
        <f>IF(VLOOKUP(S$2,行为概览!$D$3:$L$33,9,0)="","",VLOOKUP(S$2,行为概览!$D$3:$L$33,9,0)*IF(玩法行为规划!R62&gt;0,1,0))</f>
        <v>1</v>
      </c>
      <c r="T62" s="7">
        <f>IF(VLOOKUP(T$2,行为概览!$D$3:$L$33,9,0)="","",VLOOKUP(T$2,行为概览!$D$3:$L$33,9,0)*IF(玩法行为规划!S62&gt;0,1,0))</f>
        <v>0</v>
      </c>
      <c r="U62" s="7">
        <f>IF(VLOOKUP(U$2,行为概览!$D$3:$L$33,9,0)="","",VLOOKUP(U$2,行为概览!$D$3:$L$33,9,0)*IF(玩法行为规划!T62&gt;0,1,0))</f>
        <v>1</v>
      </c>
      <c r="V62" s="7">
        <f>IF(VLOOKUP(V$2,行为概览!$D$3:$L$33,9,0)="","",VLOOKUP(V$2,行为概览!$D$3:$L$33,9,0)*IF(玩法行为规划!U62&gt;0,1,0))</f>
        <v>1.5</v>
      </c>
      <c r="W62" s="7">
        <f>IF(VLOOKUP(W$2,行为概览!$D$3:$L$33,9,0)="","",VLOOKUP(W$2,行为概览!$D$3:$L$33,9,0)*IF(玩法行为规划!V62&gt;0,1,0))</f>
        <v>1</v>
      </c>
      <c r="X62" s="7">
        <f>IF(VLOOKUP(X$2,行为概览!$D$3:$L$33,9,0)="","",VLOOKUP(X$2,行为概览!$D$3:$L$33,9,0)*IF(玩法行为规划!W62&gt;0,1,0))</f>
        <v>1</v>
      </c>
      <c r="Y62" s="7">
        <f>IF(VLOOKUP(Y$2,行为概览!$D$3:$L$33,9,0)="","",VLOOKUP(Y$2,行为概览!$D$3:$L$33,9,0)*IF(玩法行为规划!X62&gt;0,1,0))</f>
        <v>1</v>
      </c>
      <c r="Z62" s="7">
        <f>IF(VLOOKUP(Z$2,行为概览!$D$3:$L$33,9,0)="","",VLOOKUP(Z$2,行为概览!$D$3:$L$33,9,0)*IF(玩法行为规划!Y62&gt;0,1,0))</f>
        <v>3</v>
      </c>
      <c r="AA62" s="7">
        <f>IF(VLOOKUP(AA$2,行为概览!$D$3:$L$33,9,0)="","",VLOOKUP(AA$2,行为概览!$D$3:$L$33,9,0)*IF(玩法行为规划!Z62&gt;0,1,0))</f>
        <v>0.5</v>
      </c>
      <c r="AB62" s="7" t="str">
        <f>IF(VLOOKUP(AB$2,行为概览!$D$3:$L$33,9,0)="","",VLOOKUP(AB$2,行为概览!$D$3:$L$33,9,0)*IF(玩法行为规划!AA62&gt;0,1,0))</f>
        <v/>
      </c>
      <c r="AC62" s="7" t="str">
        <f>IF(VLOOKUP(AC$2,行为概览!$D$3:$L$33,9,0)="","",VLOOKUP(AC$2,行为概览!$D$3:$L$33,9,0)*IF(玩法行为规划!AB62&gt;0,1,0))</f>
        <v/>
      </c>
      <c r="AD62" s="7" t="str">
        <f>IF(VLOOKUP(AD$2,行为概览!$D$3:$L$33,9,0)="","",VLOOKUP(AD$2,行为概览!$D$3:$L$33,9,0)*玩法行为规划!AC62)</f>
        <v/>
      </c>
      <c r="AE62" s="7" t="str">
        <f>IF(VLOOKUP(AE$2,行为概览!$D$3:$L$33,9,0)="","",VLOOKUP(AE$2,行为概览!$D$3:$L$33,9,0)*玩法行为规划!AD62)</f>
        <v/>
      </c>
      <c r="AF62" s="7">
        <f t="shared" si="10"/>
        <v>24.65</v>
      </c>
      <c r="AG62" s="10">
        <f t="shared" si="11"/>
        <v>1479000</v>
      </c>
      <c r="AH62" s="7">
        <f>ROUND(AG62*升级节奏!G62,0)</f>
        <v>1824100</v>
      </c>
      <c r="AI62" s="7">
        <f t="shared" si="2"/>
        <v>180000</v>
      </c>
      <c r="AJ62" s="21">
        <f t="shared" si="12"/>
        <v>2233500</v>
      </c>
      <c r="AK62" s="7">
        <f t="shared" si="3"/>
        <v>8.981587745122499E-2</v>
      </c>
      <c r="AL62" s="7">
        <f t="shared" si="4"/>
        <v>2004100</v>
      </c>
      <c r="AM62" s="7">
        <f>SUM($AL$3:AL62)</f>
        <v>16575620</v>
      </c>
      <c r="AN62" s="166">
        <f t="shared" si="5"/>
        <v>72800</v>
      </c>
      <c r="AO62" s="7">
        <f>SUM($AN$3:AN62)*7</f>
        <v>5739300</v>
      </c>
      <c r="AP62" s="69">
        <f t="shared" si="6"/>
        <v>10544720</v>
      </c>
      <c r="AQ62" s="160">
        <f t="shared" si="7"/>
        <v>194400</v>
      </c>
      <c r="AR62" s="160">
        <f t="shared" si="8"/>
        <v>97200</v>
      </c>
    </row>
    <row r="63" spans="1:44">
      <c r="A63" s="32">
        <v>61</v>
      </c>
      <c r="B63" s="81">
        <f>升级节奏!E63</f>
        <v>61000</v>
      </c>
      <c r="C63" s="7">
        <f>IF(VLOOKUP(C$2,行为概览!$D$3:$L$33,9,0)="","",VLOOKUP(C$2,行为概览!$D$3:$L$33,9,0)*IF(玩法行为规划!B63&gt;0,1,0))</f>
        <v>4</v>
      </c>
      <c r="D63" s="7">
        <f>IF(VLOOKUP(D$2,行为概览!$D$3:$L$33,9,0)="","",VLOOKUP(D$2,行为概览!$D$3:$L$33,9,0)*IF(玩法行为规划!C63&gt;0,1,0))</f>
        <v>1.65</v>
      </c>
      <c r="E63" s="7">
        <f>IF(VLOOKUP(E$2,行为概览!$D$3:$L$33,9,0)="","",VLOOKUP(E$2,行为概览!$D$3:$L$33,9,0)*IF(玩法行为规划!D63&gt;0,1,0))</f>
        <v>0.5</v>
      </c>
      <c r="F63" s="7">
        <f>IF(VLOOKUP(F$2,行为概览!$D$3:$L$33,9,0)="","",VLOOKUP(F$2,行为概览!$D$3:$L$33,9,0)*IF(玩法行为规划!E63&gt;0,1,0))</f>
        <v>1</v>
      </c>
      <c r="G63" s="7" t="str">
        <f>IF(VLOOKUP(G$2,行为概览!$D$3:$L$33,9,0)="","",VLOOKUP(G$2,行为概览!$D$3:$L$33,9,0)*IF(玩法行为规划!F63&gt;0,1,0))</f>
        <v/>
      </c>
      <c r="H63" s="7" t="str">
        <f>IF(VLOOKUP(H$2,行为概览!$D$3:$L$33,9,0)="","",VLOOKUP(H$2,行为概览!$D$3:$L$33,9,0)*IF(玩法行为规划!G63&gt;0,1,0))</f>
        <v/>
      </c>
      <c r="I63" s="7" t="str">
        <f>IF(VLOOKUP(I$2,行为概览!$D$3:$L$33,9,0)="","",VLOOKUP(I$2,行为概览!$D$3:$L$33,9,0)*IF(玩法行为规划!H63&gt;0,1,0))</f>
        <v/>
      </c>
      <c r="J63" s="7" t="str">
        <f>IF(VLOOKUP(J$2,行为概览!$D$3:$L$33,9,0)="","",VLOOKUP(J$2,行为概览!$D$3:$L$33,9,0)*IF(玩法行为规划!I63&gt;0,1,0))</f>
        <v/>
      </c>
      <c r="K63" s="7">
        <f>IF(VLOOKUP(K$2,行为概览!$D$3:$L$33,9,0)="","",VLOOKUP(K$2,行为概览!$D$3:$L$33,9,0)*IF(玩法行为规划!J63&gt;0,1,0))</f>
        <v>1</v>
      </c>
      <c r="L63" s="7">
        <f>IF(VLOOKUP(L$2,行为概览!$D$3:$L$33,9,0)="","",VLOOKUP(L$2,行为概览!$D$3:$L$33,9,0)*IF(玩法行为规划!K63&gt;0,1,0))</f>
        <v>1</v>
      </c>
      <c r="M63" s="7" t="str">
        <f>IF(VLOOKUP(M$2,行为概览!$D$3:$L$33,9,0)="","",VLOOKUP(M$2,行为概览!$D$3:$L$33,9,0)*IF(玩法行为规划!L63&gt;0,1,0))</f>
        <v/>
      </c>
      <c r="N63" s="7" t="str">
        <f>IF(VLOOKUP(N$2,行为概览!$D$3:$L$33,9,0)="","",VLOOKUP(N$2,行为概览!$D$3:$L$33,9,0)*IF(玩法行为规划!M63&gt;0,1,0))</f>
        <v/>
      </c>
      <c r="O63" s="7" t="str">
        <f>IF(VLOOKUP(O$2,行为概览!$D$3:$L$33,9,0)="","",VLOOKUP(O$2,行为概览!$D$3:$L$33,9,0)*IF(玩法行为规划!N63&gt;0,1,0))</f>
        <v/>
      </c>
      <c r="P63" s="7">
        <f>IF(VLOOKUP(P$2,行为概览!$D$3:$L$33,9,0)="","",VLOOKUP(P$2,行为概览!$D$3:$L$33,9,0)*IF(玩法行为规划!O63&gt;0,1,0))</f>
        <v>0.5</v>
      </c>
      <c r="Q63" s="7">
        <f>IF(VLOOKUP(Q$2,行为概览!$D$3:$L$33,9,0)="","",VLOOKUP(Q$2,行为概览!$D$3:$L$33,9,0)*IF(玩法行为规划!P63&gt;0,1,0))</f>
        <v>5</v>
      </c>
      <c r="R63" s="7" t="str">
        <f>IF(VLOOKUP(R$2,行为概览!$D$3:$L$33,9,0)="","",VLOOKUP(R$2,行为概览!$D$3:$L$33,9,0)*IF(玩法行为规划!Q63&gt;0,1,0))</f>
        <v/>
      </c>
      <c r="S63" s="7">
        <f>IF(VLOOKUP(S$2,行为概览!$D$3:$L$33,9,0)="","",VLOOKUP(S$2,行为概览!$D$3:$L$33,9,0)*IF(玩法行为规划!R63&gt;0,1,0))</f>
        <v>1</v>
      </c>
      <c r="T63" s="7">
        <f>IF(VLOOKUP(T$2,行为概览!$D$3:$L$33,9,0)="","",VLOOKUP(T$2,行为概览!$D$3:$L$33,9,0)*IF(玩法行为规划!S63&gt;0,1,0))</f>
        <v>0</v>
      </c>
      <c r="U63" s="7">
        <f>IF(VLOOKUP(U$2,行为概览!$D$3:$L$33,9,0)="","",VLOOKUP(U$2,行为概览!$D$3:$L$33,9,0)*IF(玩法行为规划!T63&gt;0,1,0))</f>
        <v>1</v>
      </c>
      <c r="V63" s="7">
        <f>IF(VLOOKUP(V$2,行为概览!$D$3:$L$33,9,0)="","",VLOOKUP(V$2,行为概览!$D$3:$L$33,9,0)*IF(玩法行为规划!U63&gt;0,1,0))</f>
        <v>1.5</v>
      </c>
      <c r="W63" s="7">
        <f>IF(VLOOKUP(W$2,行为概览!$D$3:$L$33,9,0)="","",VLOOKUP(W$2,行为概览!$D$3:$L$33,9,0)*IF(玩法行为规划!V63&gt;0,1,0))</f>
        <v>1</v>
      </c>
      <c r="X63" s="7">
        <f>IF(VLOOKUP(X$2,行为概览!$D$3:$L$33,9,0)="","",VLOOKUP(X$2,行为概览!$D$3:$L$33,9,0)*IF(玩法行为规划!W63&gt;0,1,0))</f>
        <v>1</v>
      </c>
      <c r="Y63" s="7">
        <f>IF(VLOOKUP(Y$2,行为概览!$D$3:$L$33,9,0)="","",VLOOKUP(Y$2,行为概览!$D$3:$L$33,9,0)*IF(玩法行为规划!X63&gt;0,1,0))</f>
        <v>1</v>
      </c>
      <c r="Z63" s="7">
        <f>IF(VLOOKUP(Z$2,行为概览!$D$3:$L$33,9,0)="","",VLOOKUP(Z$2,行为概览!$D$3:$L$33,9,0)*IF(玩法行为规划!Y63&gt;0,1,0))</f>
        <v>3</v>
      </c>
      <c r="AA63" s="7">
        <f>IF(VLOOKUP(AA$2,行为概览!$D$3:$L$33,9,0)="","",VLOOKUP(AA$2,行为概览!$D$3:$L$33,9,0)*IF(玩法行为规划!Z63&gt;0,1,0))</f>
        <v>0.5</v>
      </c>
      <c r="AB63" s="7" t="str">
        <f>IF(VLOOKUP(AB$2,行为概览!$D$3:$L$33,9,0)="","",VLOOKUP(AB$2,行为概览!$D$3:$L$33,9,0)*IF(玩法行为规划!AA63&gt;0,1,0))</f>
        <v/>
      </c>
      <c r="AC63" s="7" t="str">
        <f>IF(VLOOKUP(AC$2,行为概览!$D$3:$L$33,9,0)="","",VLOOKUP(AC$2,行为概览!$D$3:$L$33,9,0)*IF(玩法行为规划!AB63&gt;0,1,0))</f>
        <v/>
      </c>
      <c r="AD63" s="7" t="str">
        <f>IF(VLOOKUP(AD$2,行为概览!$D$3:$L$33,9,0)="","",VLOOKUP(AD$2,行为概览!$D$3:$L$33,9,0)*玩法行为规划!AC63)</f>
        <v/>
      </c>
      <c r="AE63" s="7" t="str">
        <f>IF(VLOOKUP(AE$2,行为概览!$D$3:$L$33,9,0)="","",VLOOKUP(AE$2,行为概览!$D$3:$L$33,9,0)*玩法行为规划!AD63)</f>
        <v/>
      </c>
      <c r="AF63" s="7">
        <f t="shared" si="10"/>
        <v>24.65</v>
      </c>
      <c r="AG63" s="10">
        <f t="shared" si="11"/>
        <v>1503650</v>
      </c>
      <c r="AH63" s="7">
        <f>ROUND(AG63*升级节奏!G63,0)</f>
        <v>2393936</v>
      </c>
      <c r="AI63" s="7">
        <f t="shared" si="2"/>
        <v>189100</v>
      </c>
      <c r="AJ63" s="21" t="str">
        <f t="shared" si="12"/>
        <v/>
      </c>
      <c r="AK63" s="7">
        <f t="shared" si="3"/>
        <v>7.3208426053682565E-2</v>
      </c>
      <c r="AL63" s="7">
        <f t="shared" si="4"/>
        <v>2583036</v>
      </c>
      <c r="AM63" s="7">
        <f>SUM($AL$3:AL63)</f>
        <v>19158656</v>
      </c>
      <c r="AN63" s="166">
        <f t="shared" si="5"/>
        <v>92000</v>
      </c>
      <c r="AO63" s="7">
        <f>SUM($AN$3:AN63)*7</f>
        <v>6383300</v>
      </c>
      <c r="AP63" s="69">
        <f t="shared" si="6"/>
        <v>12397956</v>
      </c>
      <c r="AQ63" s="160">
        <f t="shared" si="7"/>
        <v>251600</v>
      </c>
      <c r="AR63" s="160">
        <f t="shared" si="8"/>
        <v>125800</v>
      </c>
    </row>
    <row r="64" spans="1:44">
      <c r="A64" s="32">
        <v>62</v>
      </c>
      <c r="B64" s="81">
        <f>升级节奏!E64</f>
        <v>62000</v>
      </c>
      <c r="C64" s="7">
        <f>IF(VLOOKUP(C$2,行为概览!$D$3:$L$33,9,0)="","",VLOOKUP(C$2,行为概览!$D$3:$L$33,9,0)*IF(玩法行为规划!B64&gt;0,1,0))</f>
        <v>4</v>
      </c>
      <c r="D64" s="7">
        <f>IF(VLOOKUP(D$2,行为概览!$D$3:$L$33,9,0)="","",VLOOKUP(D$2,行为概览!$D$3:$L$33,9,0)*IF(玩法行为规划!C64&gt;0,1,0))</f>
        <v>1.65</v>
      </c>
      <c r="E64" s="7">
        <f>IF(VLOOKUP(E$2,行为概览!$D$3:$L$33,9,0)="","",VLOOKUP(E$2,行为概览!$D$3:$L$33,9,0)*IF(玩法行为规划!D64&gt;0,1,0))</f>
        <v>0.5</v>
      </c>
      <c r="F64" s="7">
        <f>IF(VLOOKUP(F$2,行为概览!$D$3:$L$33,9,0)="","",VLOOKUP(F$2,行为概览!$D$3:$L$33,9,0)*IF(玩法行为规划!E64&gt;0,1,0))</f>
        <v>1</v>
      </c>
      <c r="G64" s="7" t="str">
        <f>IF(VLOOKUP(G$2,行为概览!$D$3:$L$33,9,0)="","",VLOOKUP(G$2,行为概览!$D$3:$L$33,9,0)*IF(玩法行为规划!F64&gt;0,1,0))</f>
        <v/>
      </c>
      <c r="H64" s="7" t="str">
        <f>IF(VLOOKUP(H$2,行为概览!$D$3:$L$33,9,0)="","",VLOOKUP(H$2,行为概览!$D$3:$L$33,9,0)*IF(玩法行为规划!G64&gt;0,1,0))</f>
        <v/>
      </c>
      <c r="I64" s="7" t="str">
        <f>IF(VLOOKUP(I$2,行为概览!$D$3:$L$33,9,0)="","",VLOOKUP(I$2,行为概览!$D$3:$L$33,9,0)*IF(玩法行为规划!H64&gt;0,1,0))</f>
        <v/>
      </c>
      <c r="J64" s="7" t="str">
        <f>IF(VLOOKUP(J$2,行为概览!$D$3:$L$33,9,0)="","",VLOOKUP(J$2,行为概览!$D$3:$L$33,9,0)*IF(玩法行为规划!I64&gt;0,1,0))</f>
        <v/>
      </c>
      <c r="K64" s="7">
        <f>IF(VLOOKUP(K$2,行为概览!$D$3:$L$33,9,0)="","",VLOOKUP(K$2,行为概览!$D$3:$L$33,9,0)*IF(玩法行为规划!J64&gt;0,1,0))</f>
        <v>1</v>
      </c>
      <c r="L64" s="7">
        <f>IF(VLOOKUP(L$2,行为概览!$D$3:$L$33,9,0)="","",VLOOKUP(L$2,行为概览!$D$3:$L$33,9,0)*IF(玩法行为规划!K64&gt;0,1,0))</f>
        <v>1</v>
      </c>
      <c r="M64" s="7" t="str">
        <f>IF(VLOOKUP(M$2,行为概览!$D$3:$L$33,9,0)="","",VLOOKUP(M$2,行为概览!$D$3:$L$33,9,0)*IF(玩法行为规划!L64&gt;0,1,0))</f>
        <v/>
      </c>
      <c r="N64" s="7" t="str">
        <f>IF(VLOOKUP(N$2,行为概览!$D$3:$L$33,9,0)="","",VLOOKUP(N$2,行为概览!$D$3:$L$33,9,0)*IF(玩法行为规划!M64&gt;0,1,0))</f>
        <v/>
      </c>
      <c r="O64" s="7" t="str">
        <f>IF(VLOOKUP(O$2,行为概览!$D$3:$L$33,9,0)="","",VLOOKUP(O$2,行为概览!$D$3:$L$33,9,0)*IF(玩法行为规划!N64&gt;0,1,0))</f>
        <v/>
      </c>
      <c r="P64" s="7">
        <f>IF(VLOOKUP(P$2,行为概览!$D$3:$L$33,9,0)="","",VLOOKUP(P$2,行为概览!$D$3:$L$33,9,0)*IF(玩法行为规划!O64&gt;0,1,0))</f>
        <v>0.5</v>
      </c>
      <c r="Q64" s="7">
        <f>IF(VLOOKUP(Q$2,行为概览!$D$3:$L$33,9,0)="","",VLOOKUP(Q$2,行为概览!$D$3:$L$33,9,0)*IF(玩法行为规划!P64&gt;0,1,0))</f>
        <v>5</v>
      </c>
      <c r="R64" s="7" t="str">
        <f>IF(VLOOKUP(R$2,行为概览!$D$3:$L$33,9,0)="","",VLOOKUP(R$2,行为概览!$D$3:$L$33,9,0)*IF(玩法行为规划!Q64&gt;0,1,0))</f>
        <v/>
      </c>
      <c r="S64" s="7">
        <f>IF(VLOOKUP(S$2,行为概览!$D$3:$L$33,9,0)="","",VLOOKUP(S$2,行为概览!$D$3:$L$33,9,0)*IF(玩法行为规划!R64&gt;0,1,0))</f>
        <v>1</v>
      </c>
      <c r="T64" s="7">
        <f>IF(VLOOKUP(T$2,行为概览!$D$3:$L$33,9,0)="","",VLOOKUP(T$2,行为概览!$D$3:$L$33,9,0)*IF(玩法行为规划!S64&gt;0,1,0))</f>
        <v>0</v>
      </c>
      <c r="U64" s="7">
        <f>IF(VLOOKUP(U$2,行为概览!$D$3:$L$33,9,0)="","",VLOOKUP(U$2,行为概览!$D$3:$L$33,9,0)*IF(玩法行为规划!T64&gt;0,1,0))</f>
        <v>1</v>
      </c>
      <c r="V64" s="7">
        <f>IF(VLOOKUP(V$2,行为概览!$D$3:$L$33,9,0)="","",VLOOKUP(V$2,行为概览!$D$3:$L$33,9,0)*IF(玩法行为规划!U64&gt;0,1,0))</f>
        <v>1.5</v>
      </c>
      <c r="W64" s="7">
        <f>IF(VLOOKUP(W$2,行为概览!$D$3:$L$33,9,0)="","",VLOOKUP(W$2,行为概览!$D$3:$L$33,9,0)*IF(玩法行为规划!V64&gt;0,1,0))</f>
        <v>1</v>
      </c>
      <c r="X64" s="7">
        <f>IF(VLOOKUP(X$2,行为概览!$D$3:$L$33,9,0)="","",VLOOKUP(X$2,行为概览!$D$3:$L$33,9,0)*IF(玩法行为规划!W64&gt;0,1,0))</f>
        <v>1</v>
      </c>
      <c r="Y64" s="7">
        <f>IF(VLOOKUP(Y$2,行为概览!$D$3:$L$33,9,0)="","",VLOOKUP(Y$2,行为概览!$D$3:$L$33,9,0)*IF(玩法行为规划!X64&gt;0,1,0))</f>
        <v>1</v>
      </c>
      <c r="Z64" s="7">
        <f>IF(VLOOKUP(Z$2,行为概览!$D$3:$L$33,9,0)="","",VLOOKUP(Z$2,行为概览!$D$3:$L$33,9,0)*IF(玩法行为规划!Y64&gt;0,1,0))</f>
        <v>3</v>
      </c>
      <c r="AA64" s="7">
        <f>IF(VLOOKUP(AA$2,行为概览!$D$3:$L$33,9,0)="","",VLOOKUP(AA$2,行为概览!$D$3:$L$33,9,0)*IF(玩法行为规划!Z64&gt;0,1,0))</f>
        <v>0.5</v>
      </c>
      <c r="AB64" s="7" t="str">
        <f>IF(VLOOKUP(AB$2,行为概览!$D$3:$L$33,9,0)="","",VLOOKUP(AB$2,行为概览!$D$3:$L$33,9,0)*IF(玩法行为规划!AA64&gt;0,1,0))</f>
        <v/>
      </c>
      <c r="AC64" s="7" t="str">
        <f>IF(VLOOKUP(AC$2,行为概览!$D$3:$L$33,9,0)="","",VLOOKUP(AC$2,行为概览!$D$3:$L$33,9,0)*IF(玩法行为规划!AB64&gt;0,1,0))</f>
        <v/>
      </c>
      <c r="AD64" s="7" t="str">
        <f>IF(VLOOKUP(AD$2,行为概览!$D$3:$L$33,9,0)="","",VLOOKUP(AD$2,行为概览!$D$3:$L$33,9,0)*玩法行为规划!AC64)</f>
        <v/>
      </c>
      <c r="AE64" s="7" t="str">
        <f>IF(VLOOKUP(AE$2,行为概览!$D$3:$L$33,9,0)="","",VLOOKUP(AE$2,行为概览!$D$3:$L$33,9,0)*玩法行为规划!AD64)</f>
        <v/>
      </c>
      <c r="AF64" s="7">
        <f t="shared" si="10"/>
        <v>24.65</v>
      </c>
      <c r="AG64" s="10">
        <f t="shared" si="11"/>
        <v>1528300</v>
      </c>
      <c r="AH64" s="7">
        <f>ROUND(AG64*升级节奏!G64,0)</f>
        <v>3013808</v>
      </c>
      <c r="AI64" s="7">
        <f t="shared" si="2"/>
        <v>198400</v>
      </c>
      <c r="AJ64" s="21" t="str">
        <f t="shared" si="12"/>
        <v/>
      </c>
      <c r="AK64" s="7">
        <f t="shared" si="3"/>
        <v>6.1764368932522427E-2</v>
      </c>
      <c r="AL64" s="7">
        <f t="shared" si="4"/>
        <v>3212208</v>
      </c>
      <c r="AM64" s="7">
        <f>SUM($AL$3:AL64)</f>
        <v>22370864</v>
      </c>
      <c r="AN64" s="166">
        <f t="shared" si="5"/>
        <v>112900</v>
      </c>
      <c r="AO64" s="7">
        <f>SUM($AN$3:AN64)*7</f>
        <v>7173600</v>
      </c>
      <c r="AP64" s="69">
        <f t="shared" si="6"/>
        <v>14726564</v>
      </c>
      <c r="AQ64" s="160">
        <f t="shared" si="7"/>
        <v>313800</v>
      </c>
      <c r="AR64" s="160">
        <f t="shared" si="8"/>
        <v>156900</v>
      </c>
    </row>
    <row r="65" spans="1:44">
      <c r="A65" s="32">
        <v>63</v>
      </c>
      <c r="B65" s="81">
        <f>升级节奏!E65</f>
        <v>63000</v>
      </c>
      <c r="C65" s="7">
        <f>IF(VLOOKUP(C$2,行为概览!$D$3:$L$33,9,0)="","",VLOOKUP(C$2,行为概览!$D$3:$L$33,9,0)*IF(玩法行为规划!B65&gt;0,1,0))</f>
        <v>4</v>
      </c>
      <c r="D65" s="7">
        <f>IF(VLOOKUP(D$2,行为概览!$D$3:$L$33,9,0)="","",VLOOKUP(D$2,行为概览!$D$3:$L$33,9,0)*IF(玩法行为规划!C65&gt;0,1,0))</f>
        <v>1.65</v>
      </c>
      <c r="E65" s="7">
        <f>IF(VLOOKUP(E$2,行为概览!$D$3:$L$33,9,0)="","",VLOOKUP(E$2,行为概览!$D$3:$L$33,9,0)*IF(玩法行为规划!D65&gt;0,1,0))</f>
        <v>0.5</v>
      </c>
      <c r="F65" s="7">
        <f>IF(VLOOKUP(F$2,行为概览!$D$3:$L$33,9,0)="","",VLOOKUP(F$2,行为概览!$D$3:$L$33,9,0)*IF(玩法行为规划!E65&gt;0,1,0))</f>
        <v>1</v>
      </c>
      <c r="G65" s="7" t="str">
        <f>IF(VLOOKUP(G$2,行为概览!$D$3:$L$33,9,0)="","",VLOOKUP(G$2,行为概览!$D$3:$L$33,9,0)*IF(玩法行为规划!F65&gt;0,1,0))</f>
        <v/>
      </c>
      <c r="H65" s="7" t="str">
        <f>IF(VLOOKUP(H$2,行为概览!$D$3:$L$33,9,0)="","",VLOOKUP(H$2,行为概览!$D$3:$L$33,9,0)*IF(玩法行为规划!G65&gt;0,1,0))</f>
        <v/>
      </c>
      <c r="I65" s="7" t="str">
        <f>IF(VLOOKUP(I$2,行为概览!$D$3:$L$33,9,0)="","",VLOOKUP(I$2,行为概览!$D$3:$L$33,9,0)*IF(玩法行为规划!H65&gt;0,1,0))</f>
        <v/>
      </c>
      <c r="J65" s="7" t="str">
        <f>IF(VLOOKUP(J$2,行为概览!$D$3:$L$33,9,0)="","",VLOOKUP(J$2,行为概览!$D$3:$L$33,9,0)*IF(玩法行为规划!I65&gt;0,1,0))</f>
        <v/>
      </c>
      <c r="K65" s="7">
        <f>IF(VLOOKUP(K$2,行为概览!$D$3:$L$33,9,0)="","",VLOOKUP(K$2,行为概览!$D$3:$L$33,9,0)*IF(玩法行为规划!J65&gt;0,1,0))</f>
        <v>1</v>
      </c>
      <c r="L65" s="7">
        <f>IF(VLOOKUP(L$2,行为概览!$D$3:$L$33,9,0)="","",VLOOKUP(L$2,行为概览!$D$3:$L$33,9,0)*IF(玩法行为规划!K65&gt;0,1,0))</f>
        <v>1</v>
      </c>
      <c r="M65" s="7" t="str">
        <f>IF(VLOOKUP(M$2,行为概览!$D$3:$L$33,9,0)="","",VLOOKUP(M$2,行为概览!$D$3:$L$33,9,0)*IF(玩法行为规划!L65&gt;0,1,0))</f>
        <v/>
      </c>
      <c r="N65" s="7" t="str">
        <f>IF(VLOOKUP(N$2,行为概览!$D$3:$L$33,9,0)="","",VLOOKUP(N$2,行为概览!$D$3:$L$33,9,0)*IF(玩法行为规划!M65&gt;0,1,0))</f>
        <v/>
      </c>
      <c r="O65" s="7" t="str">
        <f>IF(VLOOKUP(O$2,行为概览!$D$3:$L$33,9,0)="","",VLOOKUP(O$2,行为概览!$D$3:$L$33,9,0)*IF(玩法行为规划!N65&gt;0,1,0))</f>
        <v/>
      </c>
      <c r="P65" s="7">
        <f>IF(VLOOKUP(P$2,行为概览!$D$3:$L$33,9,0)="","",VLOOKUP(P$2,行为概览!$D$3:$L$33,9,0)*IF(玩法行为规划!O65&gt;0,1,0))</f>
        <v>0.5</v>
      </c>
      <c r="Q65" s="7">
        <f>IF(VLOOKUP(Q$2,行为概览!$D$3:$L$33,9,0)="","",VLOOKUP(Q$2,行为概览!$D$3:$L$33,9,0)*IF(玩法行为规划!P65&gt;0,1,0))</f>
        <v>5</v>
      </c>
      <c r="R65" s="7" t="str">
        <f>IF(VLOOKUP(R$2,行为概览!$D$3:$L$33,9,0)="","",VLOOKUP(R$2,行为概览!$D$3:$L$33,9,0)*IF(玩法行为规划!Q65&gt;0,1,0))</f>
        <v/>
      </c>
      <c r="S65" s="7">
        <f>IF(VLOOKUP(S$2,行为概览!$D$3:$L$33,9,0)="","",VLOOKUP(S$2,行为概览!$D$3:$L$33,9,0)*IF(玩法行为规划!R65&gt;0,1,0))</f>
        <v>1</v>
      </c>
      <c r="T65" s="7">
        <f>IF(VLOOKUP(T$2,行为概览!$D$3:$L$33,9,0)="","",VLOOKUP(T$2,行为概览!$D$3:$L$33,9,0)*IF(玩法行为规划!S65&gt;0,1,0))</f>
        <v>0</v>
      </c>
      <c r="U65" s="7">
        <f>IF(VLOOKUP(U$2,行为概览!$D$3:$L$33,9,0)="","",VLOOKUP(U$2,行为概览!$D$3:$L$33,9,0)*IF(玩法行为规划!T65&gt;0,1,0))</f>
        <v>1</v>
      </c>
      <c r="V65" s="7">
        <f>IF(VLOOKUP(V$2,行为概览!$D$3:$L$33,9,0)="","",VLOOKUP(V$2,行为概览!$D$3:$L$33,9,0)*IF(玩法行为规划!U65&gt;0,1,0))</f>
        <v>1.5</v>
      </c>
      <c r="W65" s="7">
        <f>IF(VLOOKUP(W$2,行为概览!$D$3:$L$33,9,0)="","",VLOOKUP(W$2,行为概览!$D$3:$L$33,9,0)*IF(玩法行为规划!V65&gt;0,1,0))</f>
        <v>1</v>
      </c>
      <c r="X65" s="7">
        <f>IF(VLOOKUP(X$2,行为概览!$D$3:$L$33,9,0)="","",VLOOKUP(X$2,行为概览!$D$3:$L$33,9,0)*IF(玩法行为规划!W65&gt;0,1,0))</f>
        <v>1</v>
      </c>
      <c r="Y65" s="7">
        <f>IF(VLOOKUP(Y$2,行为概览!$D$3:$L$33,9,0)="","",VLOOKUP(Y$2,行为概览!$D$3:$L$33,9,0)*IF(玩法行为规划!X65&gt;0,1,0))</f>
        <v>1</v>
      </c>
      <c r="Z65" s="7">
        <f>IF(VLOOKUP(Z$2,行为概览!$D$3:$L$33,9,0)="","",VLOOKUP(Z$2,行为概览!$D$3:$L$33,9,0)*IF(玩法行为规划!Y65&gt;0,1,0))</f>
        <v>3</v>
      </c>
      <c r="AA65" s="7">
        <f>IF(VLOOKUP(AA$2,行为概览!$D$3:$L$33,9,0)="","",VLOOKUP(AA$2,行为概览!$D$3:$L$33,9,0)*IF(玩法行为规划!Z65&gt;0,1,0))</f>
        <v>0.5</v>
      </c>
      <c r="AB65" s="7" t="str">
        <f>IF(VLOOKUP(AB$2,行为概览!$D$3:$L$33,9,0)="","",VLOOKUP(AB$2,行为概览!$D$3:$L$33,9,0)*IF(玩法行为规划!AA65&gt;0,1,0))</f>
        <v/>
      </c>
      <c r="AC65" s="7" t="str">
        <f>IF(VLOOKUP(AC$2,行为概览!$D$3:$L$33,9,0)="","",VLOOKUP(AC$2,行为概览!$D$3:$L$33,9,0)*IF(玩法行为规划!AB65&gt;0,1,0))</f>
        <v/>
      </c>
      <c r="AD65" s="7" t="str">
        <f>IF(VLOOKUP(AD$2,行为概览!$D$3:$L$33,9,0)="","",VLOOKUP(AD$2,行为概览!$D$3:$L$33,9,0)*玩法行为规划!AC65)</f>
        <v/>
      </c>
      <c r="AE65" s="7" t="str">
        <f>IF(VLOOKUP(AE$2,行为概览!$D$3:$L$33,9,0)="","",VLOOKUP(AE$2,行为概览!$D$3:$L$33,9,0)*玩法行为规划!AD65)</f>
        <v/>
      </c>
      <c r="AF65" s="7">
        <f t="shared" si="10"/>
        <v>24.65</v>
      </c>
      <c r="AG65" s="10">
        <f t="shared" si="11"/>
        <v>1552950</v>
      </c>
      <c r="AH65" s="7">
        <f>ROUND(AG65*升级节奏!G65,0)</f>
        <v>3686056</v>
      </c>
      <c r="AI65" s="7">
        <f t="shared" si="2"/>
        <v>207900</v>
      </c>
      <c r="AJ65" s="21" t="str">
        <f t="shared" si="12"/>
        <v/>
      </c>
      <c r="AK65" s="7">
        <f t="shared" si="3"/>
        <v>5.339043379021232E-2</v>
      </c>
      <c r="AL65" s="7">
        <f t="shared" si="4"/>
        <v>3893956</v>
      </c>
      <c r="AM65" s="7">
        <f>SUM($AL$3:AL65)</f>
        <v>26264820</v>
      </c>
      <c r="AN65" s="166">
        <f t="shared" si="5"/>
        <v>135500</v>
      </c>
      <c r="AO65" s="7">
        <f>SUM($AN$3:AN65)*7</f>
        <v>8122100</v>
      </c>
      <c r="AP65" s="69">
        <f t="shared" si="6"/>
        <v>17570920</v>
      </c>
      <c r="AQ65" s="160">
        <f t="shared" si="7"/>
        <v>381200</v>
      </c>
      <c r="AR65" s="160">
        <f t="shared" si="8"/>
        <v>190600</v>
      </c>
    </row>
    <row r="66" spans="1:44">
      <c r="A66" s="32">
        <v>64</v>
      </c>
      <c r="B66" s="81">
        <f>升级节奏!E66</f>
        <v>64000</v>
      </c>
      <c r="C66" s="7">
        <f>IF(VLOOKUP(C$2,行为概览!$D$3:$L$33,9,0)="","",VLOOKUP(C$2,行为概览!$D$3:$L$33,9,0)*IF(玩法行为规划!B66&gt;0,1,0))</f>
        <v>4</v>
      </c>
      <c r="D66" s="7">
        <f>IF(VLOOKUP(D$2,行为概览!$D$3:$L$33,9,0)="","",VLOOKUP(D$2,行为概览!$D$3:$L$33,9,0)*IF(玩法行为规划!C66&gt;0,1,0))</f>
        <v>1.65</v>
      </c>
      <c r="E66" s="7">
        <f>IF(VLOOKUP(E$2,行为概览!$D$3:$L$33,9,0)="","",VLOOKUP(E$2,行为概览!$D$3:$L$33,9,0)*IF(玩法行为规划!D66&gt;0,1,0))</f>
        <v>0.5</v>
      </c>
      <c r="F66" s="7">
        <f>IF(VLOOKUP(F$2,行为概览!$D$3:$L$33,9,0)="","",VLOOKUP(F$2,行为概览!$D$3:$L$33,9,0)*IF(玩法行为规划!E66&gt;0,1,0))</f>
        <v>1</v>
      </c>
      <c r="G66" s="7" t="str">
        <f>IF(VLOOKUP(G$2,行为概览!$D$3:$L$33,9,0)="","",VLOOKUP(G$2,行为概览!$D$3:$L$33,9,0)*IF(玩法行为规划!F66&gt;0,1,0))</f>
        <v/>
      </c>
      <c r="H66" s="7" t="str">
        <f>IF(VLOOKUP(H$2,行为概览!$D$3:$L$33,9,0)="","",VLOOKUP(H$2,行为概览!$D$3:$L$33,9,0)*IF(玩法行为规划!G66&gt;0,1,0))</f>
        <v/>
      </c>
      <c r="I66" s="7" t="str">
        <f>IF(VLOOKUP(I$2,行为概览!$D$3:$L$33,9,0)="","",VLOOKUP(I$2,行为概览!$D$3:$L$33,9,0)*IF(玩法行为规划!H66&gt;0,1,0))</f>
        <v/>
      </c>
      <c r="J66" s="7" t="str">
        <f>IF(VLOOKUP(J$2,行为概览!$D$3:$L$33,9,0)="","",VLOOKUP(J$2,行为概览!$D$3:$L$33,9,0)*IF(玩法行为规划!I66&gt;0,1,0))</f>
        <v/>
      </c>
      <c r="K66" s="7">
        <f>IF(VLOOKUP(K$2,行为概览!$D$3:$L$33,9,0)="","",VLOOKUP(K$2,行为概览!$D$3:$L$33,9,0)*IF(玩法行为规划!J66&gt;0,1,0))</f>
        <v>1</v>
      </c>
      <c r="L66" s="7">
        <f>IF(VLOOKUP(L$2,行为概览!$D$3:$L$33,9,0)="","",VLOOKUP(L$2,行为概览!$D$3:$L$33,9,0)*IF(玩法行为规划!K66&gt;0,1,0))</f>
        <v>1</v>
      </c>
      <c r="M66" s="7" t="str">
        <f>IF(VLOOKUP(M$2,行为概览!$D$3:$L$33,9,0)="","",VLOOKUP(M$2,行为概览!$D$3:$L$33,9,0)*IF(玩法行为规划!L66&gt;0,1,0))</f>
        <v/>
      </c>
      <c r="N66" s="7" t="str">
        <f>IF(VLOOKUP(N$2,行为概览!$D$3:$L$33,9,0)="","",VLOOKUP(N$2,行为概览!$D$3:$L$33,9,0)*IF(玩法行为规划!M66&gt;0,1,0))</f>
        <v/>
      </c>
      <c r="O66" s="7" t="str">
        <f>IF(VLOOKUP(O$2,行为概览!$D$3:$L$33,9,0)="","",VLOOKUP(O$2,行为概览!$D$3:$L$33,9,0)*IF(玩法行为规划!N66&gt;0,1,0))</f>
        <v/>
      </c>
      <c r="P66" s="7">
        <f>IF(VLOOKUP(P$2,行为概览!$D$3:$L$33,9,0)="","",VLOOKUP(P$2,行为概览!$D$3:$L$33,9,0)*IF(玩法行为规划!O66&gt;0,1,0))</f>
        <v>0.5</v>
      </c>
      <c r="Q66" s="7">
        <f>IF(VLOOKUP(Q$2,行为概览!$D$3:$L$33,9,0)="","",VLOOKUP(Q$2,行为概览!$D$3:$L$33,9,0)*IF(玩法行为规划!P66&gt;0,1,0))</f>
        <v>5</v>
      </c>
      <c r="R66" s="7" t="str">
        <f>IF(VLOOKUP(R$2,行为概览!$D$3:$L$33,9,0)="","",VLOOKUP(R$2,行为概览!$D$3:$L$33,9,0)*IF(玩法行为规划!Q66&gt;0,1,0))</f>
        <v/>
      </c>
      <c r="S66" s="7">
        <f>IF(VLOOKUP(S$2,行为概览!$D$3:$L$33,9,0)="","",VLOOKUP(S$2,行为概览!$D$3:$L$33,9,0)*IF(玩法行为规划!R66&gt;0,1,0))</f>
        <v>1</v>
      </c>
      <c r="T66" s="7">
        <f>IF(VLOOKUP(T$2,行为概览!$D$3:$L$33,9,0)="","",VLOOKUP(T$2,行为概览!$D$3:$L$33,9,0)*IF(玩法行为规划!S66&gt;0,1,0))</f>
        <v>0</v>
      </c>
      <c r="U66" s="7">
        <f>IF(VLOOKUP(U$2,行为概览!$D$3:$L$33,9,0)="","",VLOOKUP(U$2,行为概览!$D$3:$L$33,9,0)*IF(玩法行为规划!T66&gt;0,1,0))</f>
        <v>1</v>
      </c>
      <c r="V66" s="7">
        <f>IF(VLOOKUP(V$2,行为概览!$D$3:$L$33,9,0)="","",VLOOKUP(V$2,行为概览!$D$3:$L$33,9,0)*IF(玩法行为规划!U66&gt;0,1,0))</f>
        <v>1.5</v>
      </c>
      <c r="W66" s="7">
        <f>IF(VLOOKUP(W$2,行为概览!$D$3:$L$33,9,0)="","",VLOOKUP(W$2,行为概览!$D$3:$L$33,9,0)*IF(玩法行为规划!V66&gt;0,1,0))</f>
        <v>1</v>
      </c>
      <c r="X66" s="7">
        <f>IF(VLOOKUP(X$2,行为概览!$D$3:$L$33,9,0)="","",VLOOKUP(X$2,行为概览!$D$3:$L$33,9,0)*IF(玩法行为规划!W66&gt;0,1,0))</f>
        <v>1</v>
      </c>
      <c r="Y66" s="7">
        <f>IF(VLOOKUP(Y$2,行为概览!$D$3:$L$33,9,0)="","",VLOOKUP(Y$2,行为概览!$D$3:$L$33,9,0)*IF(玩法行为规划!X66&gt;0,1,0))</f>
        <v>1</v>
      </c>
      <c r="Z66" s="7">
        <f>IF(VLOOKUP(Z$2,行为概览!$D$3:$L$33,9,0)="","",VLOOKUP(Z$2,行为概览!$D$3:$L$33,9,0)*IF(玩法行为规划!Y66&gt;0,1,0))</f>
        <v>3</v>
      </c>
      <c r="AA66" s="7">
        <f>IF(VLOOKUP(AA$2,行为概览!$D$3:$L$33,9,0)="","",VLOOKUP(AA$2,行为概览!$D$3:$L$33,9,0)*IF(玩法行为规划!Z66&gt;0,1,0))</f>
        <v>0.5</v>
      </c>
      <c r="AB66" s="7" t="str">
        <f>IF(VLOOKUP(AB$2,行为概览!$D$3:$L$33,9,0)="","",VLOOKUP(AB$2,行为概览!$D$3:$L$33,9,0)*IF(玩法行为规划!AA66&gt;0,1,0))</f>
        <v/>
      </c>
      <c r="AC66" s="7" t="str">
        <f>IF(VLOOKUP(AC$2,行为概览!$D$3:$L$33,9,0)="","",VLOOKUP(AC$2,行为概览!$D$3:$L$33,9,0)*IF(玩法行为规划!AB66&gt;0,1,0))</f>
        <v/>
      </c>
      <c r="AD66" s="7" t="str">
        <f>IF(VLOOKUP(AD$2,行为概览!$D$3:$L$33,9,0)="","",VLOOKUP(AD$2,行为概览!$D$3:$L$33,9,0)*玩法行为规划!AC66)</f>
        <v/>
      </c>
      <c r="AE66" s="7" t="str">
        <f>IF(VLOOKUP(AE$2,行为概览!$D$3:$L$33,9,0)="","",VLOOKUP(AE$2,行为概览!$D$3:$L$33,9,0)*玩法行为规划!AD66)</f>
        <v/>
      </c>
      <c r="AF66" s="7">
        <f t="shared" si="10"/>
        <v>24.65</v>
      </c>
      <c r="AG66" s="10">
        <f t="shared" si="11"/>
        <v>1577600</v>
      </c>
      <c r="AH66" s="7">
        <f>ROUND(AG66*升级节奏!G66,0)</f>
        <v>4413073</v>
      </c>
      <c r="AI66" s="7">
        <f t="shared" si="2"/>
        <v>217600</v>
      </c>
      <c r="AJ66" s="21" t="str">
        <f t="shared" si="12"/>
        <v/>
      </c>
      <c r="AK66" s="7">
        <f t="shared" si="3"/>
        <v>4.6991009730119146E-2</v>
      </c>
      <c r="AL66" s="7">
        <f t="shared" si="4"/>
        <v>4630673</v>
      </c>
      <c r="AM66" s="7">
        <f>SUM($AL$3:AL66)</f>
        <v>30895493</v>
      </c>
      <c r="AN66" s="166">
        <f t="shared" si="5"/>
        <v>159900</v>
      </c>
      <c r="AO66" s="7">
        <f>SUM($AN$3:AN66)*7</f>
        <v>9241400</v>
      </c>
      <c r="AP66" s="69">
        <f t="shared" si="6"/>
        <v>20972893</v>
      </c>
      <c r="AQ66" s="160">
        <f t="shared" si="7"/>
        <v>454100</v>
      </c>
      <c r="AR66" s="160">
        <f t="shared" si="8"/>
        <v>227100</v>
      </c>
    </row>
    <row r="67" spans="1:44">
      <c r="A67" s="32">
        <v>65</v>
      </c>
      <c r="B67" s="81">
        <f>升级节奏!E67</f>
        <v>65000</v>
      </c>
      <c r="C67" s="7">
        <f>IF(VLOOKUP(C$2,行为概览!$D$3:$L$33,9,0)="","",VLOOKUP(C$2,行为概览!$D$3:$L$33,9,0)*IF(玩法行为规划!B67&gt;0,1,0))</f>
        <v>4</v>
      </c>
      <c r="D67" s="7">
        <f>IF(VLOOKUP(D$2,行为概览!$D$3:$L$33,9,0)="","",VLOOKUP(D$2,行为概览!$D$3:$L$33,9,0)*IF(玩法行为规划!C67&gt;0,1,0))</f>
        <v>1.65</v>
      </c>
      <c r="E67" s="7">
        <f>IF(VLOOKUP(E$2,行为概览!$D$3:$L$33,9,0)="","",VLOOKUP(E$2,行为概览!$D$3:$L$33,9,0)*IF(玩法行为规划!D67&gt;0,1,0))</f>
        <v>0.5</v>
      </c>
      <c r="F67" s="7">
        <f>IF(VLOOKUP(F$2,行为概览!$D$3:$L$33,9,0)="","",VLOOKUP(F$2,行为概览!$D$3:$L$33,9,0)*IF(玩法行为规划!E67&gt;0,1,0))</f>
        <v>1</v>
      </c>
      <c r="G67" s="7" t="str">
        <f>IF(VLOOKUP(G$2,行为概览!$D$3:$L$33,9,0)="","",VLOOKUP(G$2,行为概览!$D$3:$L$33,9,0)*IF(玩法行为规划!F67&gt;0,1,0))</f>
        <v/>
      </c>
      <c r="H67" s="7" t="str">
        <f>IF(VLOOKUP(H$2,行为概览!$D$3:$L$33,9,0)="","",VLOOKUP(H$2,行为概览!$D$3:$L$33,9,0)*IF(玩法行为规划!G67&gt;0,1,0))</f>
        <v/>
      </c>
      <c r="I67" s="7" t="str">
        <f>IF(VLOOKUP(I$2,行为概览!$D$3:$L$33,9,0)="","",VLOOKUP(I$2,行为概览!$D$3:$L$33,9,0)*IF(玩法行为规划!H67&gt;0,1,0))</f>
        <v/>
      </c>
      <c r="J67" s="7" t="str">
        <f>IF(VLOOKUP(J$2,行为概览!$D$3:$L$33,9,0)="","",VLOOKUP(J$2,行为概览!$D$3:$L$33,9,0)*IF(玩法行为规划!I67&gt;0,1,0))</f>
        <v/>
      </c>
      <c r="K67" s="7">
        <f>IF(VLOOKUP(K$2,行为概览!$D$3:$L$33,9,0)="","",VLOOKUP(K$2,行为概览!$D$3:$L$33,9,0)*IF(玩法行为规划!J67&gt;0,1,0))</f>
        <v>1</v>
      </c>
      <c r="L67" s="7">
        <f>IF(VLOOKUP(L$2,行为概览!$D$3:$L$33,9,0)="","",VLOOKUP(L$2,行为概览!$D$3:$L$33,9,0)*IF(玩法行为规划!K67&gt;0,1,0))</f>
        <v>1</v>
      </c>
      <c r="M67" s="7" t="str">
        <f>IF(VLOOKUP(M$2,行为概览!$D$3:$L$33,9,0)="","",VLOOKUP(M$2,行为概览!$D$3:$L$33,9,0)*IF(玩法行为规划!L67&gt;0,1,0))</f>
        <v/>
      </c>
      <c r="N67" s="7" t="str">
        <f>IF(VLOOKUP(N$2,行为概览!$D$3:$L$33,9,0)="","",VLOOKUP(N$2,行为概览!$D$3:$L$33,9,0)*IF(玩法行为规划!M67&gt;0,1,0))</f>
        <v/>
      </c>
      <c r="O67" s="7" t="str">
        <f>IF(VLOOKUP(O$2,行为概览!$D$3:$L$33,9,0)="","",VLOOKUP(O$2,行为概览!$D$3:$L$33,9,0)*IF(玩法行为规划!N67&gt;0,1,0))</f>
        <v/>
      </c>
      <c r="P67" s="7">
        <f>IF(VLOOKUP(P$2,行为概览!$D$3:$L$33,9,0)="","",VLOOKUP(P$2,行为概览!$D$3:$L$33,9,0)*IF(玩法行为规划!O67&gt;0,1,0))</f>
        <v>0.5</v>
      </c>
      <c r="Q67" s="7">
        <f>IF(VLOOKUP(Q$2,行为概览!$D$3:$L$33,9,0)="","",VLOOKUP(Q$2,行为概览!$D$3:$L$33,9,0)*IF(玩法行为规划!P67&gt;0,1,0))</f>
        <v>5</v>
      </c>
      <c r="R67" s="7" t="str">
        <f>IF(VLOOKUP(R$2,行为概览!$D$3:$L$33,9,0)="","",VLOOKUP(R$2,行为概览!$D$3:$L$33,9,0)*IF(玩法行为规划!Q67&gt;0,1,0))</f>
        <v/>
      </c>
      <c r="S67" s="7">
        <f>IF(VLOOKUP(S$2,行为概览!$D$3:$L$33,9,0)="","",VLOOKUP(S$2,行为概览!$D$3:$L$33,9,0)*IF(玩法行为规划!R67&gt;0,1,0))</f>
        <v>1</v>
      </c>
      <c r="T67" s="7">
        <f>IF(VLOOKUP(T$2,行为概览!$D$3:$L$33,9,0)="","",VLOOKUP(T$2,行为概览!$D$3:$L$33,9,0)*IF(玩法行为规划!S67&gt;0,1,0))</f>
        <v>0</v>
      </c>
      <c r="U67" s="7">
        <f>IF(VLOOKUP(U$2,行为概览!$D$3:$L$33,9,0)="","",VLOOKUP(U$2,行为概览!$D$3:$L$33,9,0)*IF(玩法行为规划!T67&gt;0,1,0))</f>
        <v>1</v>
      </c>
      <c r="V67" s="7">
        <f>IF(VLOOKUP(V$2,行为概览!$D$3:$L$33,9,0)="","",VLOOKUP(V$2,行为概览!$D$3:$L$33,9,0)*IF(玩法行为规划!U67&gt;0,1,0))</f>
        <v>1.5</v>
      </c>
      <c r="W67" s="7">
        <f>IF(VLOOKUP(W$2,行为概览!$D$3:$L$33,9,0)="","",VLOOKUP(W$2,行为概览!$D$3:$L$33,9,0)*IF(玩法行为规划!V67&gt;0,1,0))</f>
        <v>1</v>
      </c>
      <c r="X67" s="7">
        <f>IF(VLOOKUP(X$2,行为概览!$D$3:$L$33,9,0)="","",VLOOKUP(X$2,行为概览!$D$3:$L$33,9,0)*IF(玩法行为规划!W67&gt;0,1,0))</f>
        <v>1</v>
      </c>
      <c r="Y67" s="7">
        <f>IF(VLOOKUP(Y$2,行为概览!$D$3:$L$33,9,0)="","",VLOOKUP(Y$2,行为概览!$D$3:$L$33,9,0)*IF(玩法行为规划!X67&gt;0,1,0))</f>
        <v>1</v>
      </c>
      <c r="Z67" s="7">
        <f>IF(VLOOKUP(Z$2,行为概览!$D$3:$L$33,9,0)="","",VLOOKUP(Z$2,行为概览!$D$3:$L$33,9,0)*IF(玩法行为规划!Y67&gt;0,1,0))</f>
        <v>3</v>
      </c>
      <c r="AA67" s="7">
        <f>IF(VLOOKUP(AA$2,行为概览!$D$3:$L$33,9,0)="","",VLOOKUP(AA$2,行为概览!$D$3:$L$33,9,0)*IF(玩法行为规划!Z67&gt;0,1,0))</f>
        <v>0.5</v>
      </c>
      <c r="AB67" s="7" t="str">
        <f>IF(VLOOKUP(AB$2,行为概览!$D$3:$L$33,9,0)="","",VLOOKUP(AB$2,行为概览!$D$3:$L$33,9,0)*IF(玩法行为规划!AA67&gt;0,1,0))</f>
        <v/>
      </c>
      <c r="AC67" s="7" t="str">
        <f>IF(VLOOKUP(AC$2,行为概览!$D$3:$L$33,9,0)="","",VLOOKUP(AC$2,行为概览!$D$3:$L$33,9,0)*IF(玩法行为规划!AB67&gt;0,1,0))</f>
        <v/>
      </c>
      <c r="AD67" s="7" t="str">
        <f>IF(VLOOKUP(AD$2,行为概览!$D$3:$L$33,9,0)="","",VLOOKUP(AD$2,行为概览!$D$3:$L$33,9,0)*玩法行为规划!AC67)</f>
        <v/>
      </c>
      <c r="AE67" s="7" t="str">
        <f>IF(VLOOKUP(AE$2,行为概览!$D$3:$L$33,9,0)="","",VLOOKUP(AE$2,行为概览!$D$3:$L$33,9,0)*玩法行为规划!AD67)</f>
        <v/>
      </c>
      <c r="AF67" s="7">
        <f t="shared" ref="AF67:AF98" si="13">SUM(C67:AC67)</f>
        <v>24.65</v>
      </c>
      <c r="AG67" s="10">
        <f t="shared" ref="AG67:AG98" si="14">B67*AF67</f>
        <v>1602250</v>
      </c>
      <c r="AH67" s="7">
        <f>ROUND(AG67*升级节奏!G67,0)</f>
        <v>5197298</v>
      </c>
      <c r="AI67" s="7">
        <f t="shared" si="2"/>
        <v>227500</v>
      </c>
      <c r="AJ67" s="21" t="str">
        <f t="shared" si="12"/>
        <v/>
      </c>
      <c r="AK67" s="7">
        <f t="shared" si="3"/>
        <v>4.1937045397819422E-2</v>
      </c>
      <c r="AL67" s="7">
        <f t="shared" si="4"/>
        <v>5424798</v>
      </c>
      <c r="AM67" s="7">
        <f>SUM($AL$3:AL67)</f>
        <v>36320291</v>
      </c>
      <c r="AN67" s="166">
        <f t="shared" si="5"/>
        <v>186200</v>
      </c>
      <c r="AO67" s="7">
        <f>SUM($AN$3:AN67)*7</f>
        <v>10544800</v>
      </c>
      <c r="AP67" s="69">
        <f t="shared" si="6"/>
        <v>24976391</v>
      </c>
      <c r="AQ67" s="160">
        <f t="shared" si="7"/>
        <v>532700</v>
      </c>
      <c r="AR67" s="160">
        <f t="shared" si="8"/>
        <v>266400</v>
      </c>
    </row>
    <row r="68" spans="1:44">
      <c r="A68" s="32">
        <v>66</v>
      </c>
      <c r="B68" s="81">
        <f>升级节奏!E68</f>
        <v>66000</v>
      </c>
      <c r="C68" s="7">
        <f>IF(VLOOKUP(C$2,行为概览!$D$3:$L$33,9,0)="","",VLOOKUP(C$2,行为概览!$D$3:$L$33,9,0)*IF(玩法行为规划!B68&gt;0,1,0))</f>
        <v>4</v>
      </c>
      <c r="D68" s="7">
        <f>IF(VLOOKUP(D$2,行为概览!$D$3:$L$33,9,0)="","",VLOOKUP(D$2,行为概览!$D$3:$L$33,9,0)*IF(玩法行为规划!C68&gt;0,1,0))</f>
        <v>1.65</v>
      </c>
      <c r="E68" s="7">
        <f>IF(VLOOKUP(E$2,行为概览!$D$3:$L$33,9,0)="","",VLOOKUP(E$2,行为概览!$D$3:$L$33,9,0)*IF(玩法行为规划!D68&gt;0,1,0))</f>
        <v>0.5</v>
      </c>
      <c r="F68" s="7">
        <f>IF(VLOOKUP(F$2,行为概览!$D$3:$L$33,9,0)="","",VLOOKUP(F$2,行为概览!$D$3:$L$33,9,0)*IF(玩法行为规划!E68&gt;0,1,0))</f>
        <v>1</v>
      </c>
      <c r="G68" s="7" t="str">
        <f>IF(VLOOKUP(G$2,行为概览!$D$3:$L$33,9,0)="","",VLOOKUP(G$2,行为概览!$D$3:$L$33,9,0)*IF(玩法行为规划!F68&gt;0,1,0))</f>
        <v/>
      </c>
      <c r="H68" s="7" t="str">
        <f>IF(VLOOKUP(H$2,行为概览!$D$3:$L$33,9,0)="","",VLOOKUP(H$2,行为概览!$D$3:$L$33,9,0)*IF(玩法行为规划!G68&gt;0,1,0))</f>
        <v/>
      </c>
      <c r="I68" s="7" t="str">
        <f>IF(VLOOKUP(I$2,行为概览!$D$3:$L$33,9,0)="","",VLOOKUP(I$2,行为概览!$D$3:$L$33,9,0)*IF(玩法行为规划!H68&gt;0,1,0))</f>
        <v/>
      </c>
      <c r="J68" s="7" t="str">
        <f>IF(VLOOKUP(J$2,行为概览!$D$3:$L$33,9,0)="","",VLOOKUP(J$2,行为概览!$D$3:$L$33,9,0)*IF(玩法行为规划!I68&gt;0,1,0))</f>
        <v/>
      </c>
      <c r="K68" s="7">
        <f>IF(VLOOKUP(K$2,行为概览!$D$3:$L$33,9,0)="","",VLOOKUP(K$2,行为概览!$D$3:$L$33,9,0)*IF(玩法行为规划!J68&gt;0,1,0))</f>
        <v>1</v>
      </c>
      <c r="L68" s="7">
        <f>IF(VLOOKUP(L$2,行为概览!$D$3:$L$33,9,0)="","",VLOOKUP(L$2,行为概览!$D$3:$L$33,9,0)*IF(玩法行为规划!K68&gt;0,1,0))</f>
        <v>1</v>
      </c>
      <c r="M68" s="7" t="str">
        <f>IF(VLOOKUP(M$2,行为概览!$D$3:$L$33,9,0)="","",VLOOKUP(M$2,行为概览!$D$3:$L$33,9,0)*IF(玩法行为规划!L68&gt;0,1,0))</f>
        <v/>
      </c>
      <c r="N68" s="7" t="str">
        <f>IF(VLOOKUP(N$2,行为概览!$D$3:$L$33,9,0)="","",VLOOKUP(N$2,行为概览!$D$3:$L$33,9,0)*IF(玩法行为规划!M68&gt;0,1,0))</f>
        <v/>
      </c>
      <c r="O68" s="7" t="str">
        <f>IF(VLOOKUP(O$2,行为概览!$D$3:$L$33,9,0)="","",VLOOKUP(O$2,行为概览!$D$3:$L$33,9,0)*IF(玩法行为规划!N68&gt;0,1,0))</f>
        <v/>
      </c>
      <c r="P68" s="7">
        <f>IF(VLOOKUP(P$2,行为概览!$D$3:$L$33,9,0)="","",VLOOKUP(P$2,行为概览!$D$3:$L$33,9,0)*IF(玩法行为规划!O68&gt;0,1,0))</f>
        <v>0.5</v>
      </c>
      <c r="Q68" s="7">
        <f>IF(VLOOKUP(Q$2,行为概览!$D$3:$L$33,9,0)="","",VLOOKUP(Q$2,行为概览!$D$3:$L$33,9,0)*IF(玩法行为规划!P68&gt;0,1,0))</f>
        <v>5</v>
      </c>
      <c r="R68" s="7" t="str">
        <f>IF(VLOOKUP(R$2,行为概览!$D$3:$L$33,9,0)="","",VLOOKUP(R$2,行为概览!$D$3:$L$33,9,0)*IF(玩法行为规划!Q68&gt;0,1,0))</f>
        <v/>
      </c>
      <c r="S68" s="7">
        <f>IF(VLOOKUP(S$2,行为概览!$D$3:$L$33,9,0)="","",VLOOKUP(S$2,行为概览!$D$3:$L$33,9,0)*IF(玩法行为规划!R68&gt;0,1,0))</f>
        <v>1</v>
      </c>
      <c r="T68" s="7">
        <f>IF(VLOOKUP(T$2,行为概览!$D$3:$L$33,9,0)="","",VLOOKUP(T$2,行为概览!$D$3:$L$33,9,0)*IF(玩法行为规划!S68&gt;0,1,0))</f>
        <v>0</v>
      </c>
      <c r="U68" s="7">
        <f>IF(VLOOKUP(U$2,行为概览!$D$3:$L$33,9,0)="","",VLOOKUP(U$2,行为概览!$D$3:$L$33,9,0)*IF(玩法行为规划!T68&gt;0,1,0))</f>
        <v>1</v>
      </c>
      <c r="V68" s="7">
        <f>IF(VLOOKUP(V$2,行为概览!$D$3:$L$33,9,0)="","",VLOOKUP(V$2,行为概览!$D$3:$L$33,9,0)*IF(玩法行为规划!U68&gt;0,1,0))</f>
        <v>1.5</v>
      </c>
      <c r="W68" s="7">
        <f>IF(VLOOKUP(W$2,行为概览!$D$3:$L$33,9,0)="","",VLOOKUP(W$2,行为概览!$D$3:$L$33,9,0)*IF(玩法行为规划!V68&gt;0,1,0))</f>
        <v>1</v>
      </c>
      <c r="X68" s="7">
        <f>IF(VLOOKUP(X$2,行为概览!$D$3:$L$33,9,0)="","",VLOOKUP(X$2,行为概览!$D$3:$L$33,9,0)*IF(玩法行为规划!W68&gt;0,1,0))</f>
        <v>1</v>
      </c>
      <c r="Y68" s="7">
        <f>IF(VLOOKUP(Y$2,行为概览!$D$3:$L$33,9,0)="","",VLOOKUP(Y$2,行为概览!$D$3:$L$33,9,0)*IF(玩法行为规划!X68&gt;0,1,0))</f>
        <v>1</v>
      </c>
      <c r="Z68" s="7">
        <f>IF(VLOOKUP(Z$2,行为概览!$D$3:$L$33,9,0)="","",VLOOKUP(Z$2,行为概览!$D$3:$L$33,9,0)*IF(玩法行为规划!Y68&gt;0,1,0))</f>
        <v>3</v>
      </c>
      <c r="AA68" s="7">
        <f>IF(VLOOKUP(AA$2,行为概览!$D$3:$L$33,9,0)="","",VLOOKUP(AA$2,行为概览!$D$3:$L$33,9,0)*IF(玩法行为规划!Z68&gt;0,1,0))</f>
        <v>0.5</v>
      </c>
      <c r="AB68" s="7" t="str">
        <f>IF(VLOOKUP(AB$2,行为概览!$D$3:$L$33,9,0)="","",VLOOKUP(AB$2,行为概览!$D$3:$L$33,9,0)*IF(玩法行为规划!AA68&gt;0,1,0))</f>
        <v/>
      </c>
      <c r="AC68" s="7" t="str">
        <f>IF(VLOOKUP(AC$2,行为概览!$D$3:$L$33,9,0)="","",VLOOKUP(AC$2,行为概览!$D$3:$L$33,9,0)*IF(玩法行为规划!AB68&gt;0,1,0))</f>
        <v/>
      </c>
      <c r="AD68" s="7" t="str">
        <f>IF(VLOOKUP(AD$2,行为概览!$D$3:$L$33,9,0)="","",VLOOKUP(AD$2,行为概览!$D$3:$L$33,9,0)*玩法行为规划!AC68)</f>
        <v/>
      </c>
      <c r="AE68" s="7" t="str">
        <f>IF(VLOOKUP(AE$2,行为概览!$D$3:$L$33,9,0)="","",VLOOKUP(AE$2,行为概览!$D$3:$L$33,9,0)*玩法行为规划!AD68)</f>
        <v/>
      </c>
      <c r="AF68" s="7">
        <f t="shared" si="13"/>
        <v>24.65</v>
      </c>
      <c r="AG68" s="10">
        <f t="shared" si="14"/>
        <v>1626900</v>
      </c>
      <c r="AH68" s="7">
        <f>ROUND(AG68*升级节奏!G68,0)</f>
        <v>6645344</v>
      </c>
      <c r="AI68" s="7">
        <f t="shared" ref="AI68:AI131" si="15">ROUND(B68*(1+MAX(A68-40,0)*0.1),-2)</f>
        <v>237600</v>
      </c>
      <c r="AJ68" s="21" t="str">
        <f t="shared" si="12"/>
        <v/>
      </c>
      <c r="AK68" s="7">
        <f t="shared" ref="AK68:AK131" si="16">AI68/AL68</f>
        <v>3.4520112324028789E-2</v>
      </c>
      <c r="AL68" s="7">
        <f t="shared" ref="AL68:AL131" si="17">AH68+AI68</f>
        <v>6882944</v>
      </c>
      <c r="AM68" s="7">
        <f>SUM($AL$3:AL68)</f>
        <v>43203235</v>
      </c>
      <c r="AN68" s="166">
        <f t="shared" ref="AN68:AN131" si="18">ROUND((B68*6+AH68)/30,-2)</f>
        <v>234700</v>
      </c>
      <c r="AO68" s="7">
        <f>SUM($AN$3:AN68)*7</f>
        <v>12187700</v>
      </c>
      <c r="AP68" s="69">
        <f t="shared" ref="AP68:AP131" si="19">AM68-AO68-AQ68-AR68</f>
        <v>29998935</v>
      </c>
      <c r="AQ68" s="160">
        <f t="shared" ref="AQ68:AQ131" si="20">ROUND((B68*2+AH68)/10,-2)</f>
        <v>677700</v>
      </c>
      <c r="AR68" s="160">
        <f t="shared" ref="AR68:AR131" si="21">ROUND((B68*2+AH68)/20,-2)</f>
        <v>338900</v>
      </c>
    </row>
    <row r="69" spans="1:44">
      <c r="A69" s="32">
        <v>67</v>
      </c>
      <c r="B69" s="81">
        <f>升级节奏!E69</f>
        <v>67000</v>
      </c>
      <c r="C69" s="7">
        <f>IF(VLOOKUP(C$2,行为概览!$D$3:$L$33,9,0)="","",VLOOKUP(C$2,行为概览!$D$3:$L$33,9,0)*IF(玩法行为规划!B69&gt;0,1,0))</f>
        <v>4</v>
      </c>
      <c r="D69" s="7">
        <f>IF(VLOOKUP(D$2,行为概览!$D$3:$L$33,9,0)="","",VLOOKUP(D$2,行为概览!$D$3:$L$33,9,0)*IF(玩法行为规划!C69&gt;0,1,0))</f>
        <v>1.65</v>
      </c>
      <c r="E69" s="7">
        <f>IF(VLOOKUP(E$2,行为概览!$D$3:$L$33,9,0)="","",VLOOKUP(E$2,行为概览!$D$3:$L$33,9,0)*IF(玩法行为规划!D69&gt;0,1,0))</f>
        <v>0.5</v>
      </c>
      <c r="F69" s="7">
        <f>IF(VLOOKUP(F$2,行为概览!$D$3:$L$33,9,0)="","",VLOOKUP(F$2,行为概览!$D$3:$L$33,9,0)*IF(玩法行为规划!E69&gt;0,1,0))</f>
        <v>1</v>
      </c>
      <c r="G69" s="7" t="str">
        <f>IF(VLOOKUP(G$2,行为概览!$D$3:$L$33,9,0)="","",VLOOKUP(G$2,行为概览!$D$3:$L$33,9,0)*IF(玩法行为规划!F69&gt;0,1,0))</f>
        <v/>
      </c>
      <c r="H69" s="7" t="str">
        <f>IF(VLOOKUP(H$2,行为概览!$D$3:$L$33,9,0)="","",VLOOKUP(H$2,行为概览!$D$3:$L$33,9,0)*IF(玩法行为规划!G69&gt;0,1,0))</f>
        <v/>
      </c>
      <c r="I69" s="7" t="str">
        <f>IF(VLOOKUP(I$2,行为概览!$D$3:$L$33,9,0)="","",VLOOKUP(I$2,行为概览!$D$3:$L$33,9,0)*IF(玩法行为规划!H69&gt;0,1,0))</f>
        <v/>
      </c>
      <c r="J69" s="7" t="str">
        <f>IF(VLOOKUP(J$2,行为概览!$D$3:$L$33,9,0)="","",VLOOKUP(J$2,行为概览!$D$3:$L$33,9,0)*IF(玩法行为规划!I69&gt;0,1,0))</f>
        <v/>
      </c>
      <c r="K69" s="7">
        <f>IF(VLOOKUP(K$2,行为概览!$D$3:$L$33,9,0)="","",VLOOKUP(K$2,行为概览!$D$3:$L$33,9,0)*IF(玩法行为规划!J69&gt;0,1,0))</f>
        <v>1</v>
      </c>
      <c r="L69" s="7">
        <f>IF(VLOOKUP(L$2,行为概览!$D$3:$L$33,9,0)="","",VLOOKUP(L$2,行为概览!$D$3:$L$33,9,0)*IF(玩法行为规划!K69&gt;0,1,0))</f>
        <v>1</v>
      </c>
      <c r="M69" s="7" t="str">
        <f>IF(VLOOKUP(M$2,行为概览!$D$3:$L$33,9,0)="","",VLOOKUP(M$2,行为概览!$D$3:$L$33,9,0)*IF(玩法行为规划!L69&gt;0,1,0))</f>
        <v/>
      </c>
      <c r="N69" s="7" t="str">
        <f>IF(VLOOKUP(N$2,行为概览!$D$3:$L$33,9,0)="","",VLOOKUP(N$2,行为概览!$D$3:$L$33,9,0)*IF(玩法行为规划!M69&gt;0,1,0))</f>
        <v/>
      </c>
      <c r="O69" s="7" t="str">
        <f>IF(VLOOKUP(O$2,行为概览!$D$3:$L$33,9,0)="","",VLOOKUP(O$2,行为概览!$D$3:$L$33,9,0)*IF(玩法行为规划!N69&gt;0,1,0))</f>
        <v/>
      </c>
      <c r="P69" s="7">
        <f>IF(VLOOKUP(P$2,行为概览!$D$3:$L$33,9,0)="","",VLOOKUP(P$2,行为概览!$D$3:$L$33,9,0)*IF(玩法行为规划!O69&gt;0,1,0))</f>
        <v>0.5</v>
      </c>
      <c r="Q69" s="7">
        <f>IF(VLOOKUP(Q$2,行为概览!$D$3:$L$33,9,0)="","",VLOOKUP(Q$2,行为概览!$D$3:$L$33,9,0)*IF(玩法行为规划!P69&gt;0,1,0))</f>
        <v>5</v>
      </c>
      <c r="R69" s="7" t="str">
        <f>IF(VLOOKUP(R$2,行为概览!$D$3:$L$33,9,0)="","",VLOOKUP(R$2,行为概览!$D$3:$L$33,9,0)*IF(玩法行为规划!Q69&gt;0,1,0))</f>
        <v/>
      </c>
      <c r="S69" s="7">
        <f>IF(VLOOKUP(S$2,行为概览!$D$3:$L$33,9,0)="","",VLOOKUP(S$2,行为概览!$D$3:$L$33,9,0)*IF(玩法行为规划!R69&gt;0,1,0))</f>
        <v>1</v>
      </c>
      <c r="T69" s="7">
        <f>IF(VLOOKUP(T$2,行为概览!$D$3:$L$33,9,0)="","",VLOOKUP(T$2,行为概览!$D$3:$L$33,9,0)*IF(玩法行为规划!S69&gt;0,1,0))</f>
        <v>0</v>
      </c>
      <c r="U69" s="7">
        <f>IF(VLOOKUP(U$2,行为概览!$D$3:$L$33,9,0)="","",VLOOKUP(U$2,行为概览!$D$3:$L$33,9,0)*IF(玩法行为规划!T69&gt;0,1,0))</f>
        <v>1</v>
      </c>
      <c r="V69" s="7">
        <f>IF(VLOOKUP(V$2,行为概览!$D$3:$L$33,9,0)="","",VLOOKUP(V$2,行为概览!$D$3:$L$33,9,0)*IF(玩法行为规划!U69&gt;0,1,0))</f>
        <v>1.5</v>
      </c>
      <c r="W69" s="7">
        <f>IF(VLOOKUP(W$2,行为概览!$D$3:$L$33,9,0)="","",VLOOKUP(W$2,行为概览!$D$3:$L$33,9,0)*IF(玩法行为规划!V69&gt;0,1,0))</f>
        <v>1</v>
      </c>
      <c r="X69" s="7">
        <f>IF(VLOOKUP(X$2,行为概览!$D$3:$L$33,9,0)="","",VLOOKUP(X$2,行为概览!$D$3:$L$33,9,0)*IF(玩法行为规划!W69&gt;0,1,0))</f>
        <v>1</v>
      </c>
      <c r="Y69" s="7">
        <f>IF(VLOOKUP(Y$2,行为概览!$D$3:$L$33,9,0)="","",VLOOKUP(Y$2,行为概览!$D$3:$L$33,9,0)*IF(玩法行为规划!X69&gt;0,1,0))</f>
        <v>1</v>
      </c>
      <c r="Z69" s="7">
        <f>IF(VLOOKUP(Z$2,行为概览!$D$3:$L$33,9,0)="","",VLOOKUP(Z$2,行为概览!$D$3:$L$33,9,0)*IF(玩法行为规划!Y69&gt;0,1,0))</f>
        <v>3</v>
      </c>
      <c r="AA69" s="7">
        <f>IF(VLOOKUP(AA$2,行为概览!$D$3:$L$33,9,0)="","",VLOOKUP(AA$2,行为概览!$D$3:$L$33,9,0)*IF(玩法行为规划!Z69&gt;0,1,0))</f>
        <v>0.5</v>
      </c>
      <c r="AB69" s="7" t="str">
        <f>IF(VLOOKUP(AB$2,行为概览!$D$3:$L$33,9,0)="","",VLOOKUP(AB$2,行为概览!$D$3:$L$33,9,0)*IF(玩法行为规划!AA69&gt;0,1,0))</f>
        <v/>
      </c>
      <c r="AC69" s="7" t="str">
        <f>IF(VLOOKUP(AC$2,行为概览!$D$3:$L$33,9,0)="","",VLOOKUP(AC$2,行为概览!$D$3:$L$33,9,0)*IF(玩法行为规划!AB69&gt;0,1,0))</f>
        <v/>
      </c>
      <c r="AD69" s="7" t="str">
        <f>IF(VLOOKUP(AD$2,行为概览!$D$3:$L$33,9,0)="","",VLOOKUP(AD$2,行为概览!$D$3:$L$33,9,0)*玩法行为规划!AC69)</f>
        <v/>
      </c>
      <c r="AE69" s="7" t="str">
        <f>IF(VLOOKUP(AE$2,行为概览!$D$3:$L$33,9,0)="","",VLOOKUP(AE$2,行为概览!$D$3:$L$33,9,0)*玩法行为规划!AD69)</f>
        <v/>
      </c>
      <c r="AF69" s="7">
        <f t="shared" si="13"/>
        <v>24.65</v>
      </c>
      <c r="AG69" s="10">
        <f t="shared" si="14"/>
        <v>1651550</v>
      </c>
      <c r="AH69" s="7">
        <f>ROUND(AG69*升级节奏!G69,0)</f>
        <v>8210543</v>
      </c>
      <c r="AI69" s="7">
        <f t="shared" si="15"/>
        <v>247900</v>
      </c>
      <c r="AJ69" s="21" t="str">
        <f t="shared" si="12"/>
        <v/>
      </c>
      <c r="AK69" s="7">
        <f t="shared" si="16"/>
        <v>2.9307994390929869E-2</v>
      </c>
      <c r="AL69" s="7">
        <f t="shared" si="17"/>
        <v>8458443</v>
      </c>
      <c r="AM69" s="7">
        <f>SUM($AL$3:AL69)</f>
        <v>51661678</v>
      </c>
      <c r="AN69" s="166">
        <f t="shared" si="18"/>
        <v>287100</v>
      </c>
      <c r="AO69" s="7">
        <f>SUM($AN$3:AN69)*7</f>
        <v>14197400</v>
      </c>
      <c r="AP69" s="69">
        <f t="shared" si="19"/>
        <v>36212578</v>
      </c>
      <c r="AQ69" s="160">
        <f t="shared" si="20"/>
        <v>834500</v>
      </c>
      <c r="AR69" s="160">
        <f t="shared" si="21"/>
        <v>417200</v>
      </c>
    </row>
    <row r="70" spans="1:44">
      <c r="A70" s="32">
        <v>68</v>
      </c>
      <c r="B70" s="81">
        <f>升级节奏!E70</f>
        <v>68000</v>
      </c>
      <c r="C70" s="7">
        <f>IF(VLOOKUP(C$2,行为概览!$D$3:$L$33,9,0)="","",VLOOKUP(C$2,行为概览!$D$3:$L$33,9,0)*IF(玩法行为规划!B70&gt;0,1,0))</f>
        <v>4</v>
      </c>
      <c r="D70" s="7">
        <f>IF(VLOOKUP(D$2,行为概览!$D$3:$L$33,9,0)="","",VLOOKUP(D$2,行为概览!$D$3:$L$33,9,0)*IF(玩法行为规划!C70&gt;0,1,0))</f>
        <v>1.65</v>
      </c>
      <c r="E70" s="7">
        <f>IF(VLOOKUP(E$2,行为概览!$D$3:$L$33,9,0)="","",VLOOKUP(E$2,行为概览!$D$3:$L$33,9,0)*IF(玩法行为规划!D70&gt;0,1,0))</f>
        <v>0.5</v>
      </c>
      <c r="F70" s="7">
        <f>IF(VLOOKUP(F$2,行为概览!$D$3:$L$33,9,0)="","",VLOOKUP(F$2,行为概览!$D$3:$L$33,9,0)*IF(玩法行为规划!E70&gt;0,1,0))</f>
        <v>1</v>
      </c>
      <c r="G70" s="7" t="str">
        <f>IF(VLOOKUP(G$2,行为概览!$D$3:$L$33,9,0)="","",VLOOKUP(G$2,行为概览!$D$3:$L$33,9,0)*IF(玩法行为规划!F70&gt;0,1,0))</f>
        <v/>
      </c>
      <c r="H70" s="7" t="str">
        <f>IF(VLOOKUP(H$2,行为概览!$D$3:$L$33,9,0)="","",VLOOKUP(H$2,行为概览!$D$3:$L$33,9,0)*IF(玩法行为规划!G70&gt;0,1,0))</f>
        <v/>
      </c>
      <c r="I70" s="7" t="str">
        <f>IF(VLOOKUP(I$2,行为概览!$D$3:$L$33,9,0)="","",VLOOKUP(I$2,行为概览!$D$3:$L$33,9,0)*IF(玩法行为规划!H70&gt;0,1,0))</f>
        <v/>
      </c>
      <c r="J70" s="7" t="str">
        <f>IF(VLOOKUP(J$2,行为概览!$D$3:$L$33,9,0)="","",VLOOKUP(J$2,行为概览!$D$3:$L$33,9,0)*IF(玩法行为规划!I70&gt;0,1,0))</f>
        <v/>
      </c>
      <c r="K70" s="7">
        <f>IF(VLOOKUP(K$2,行为概览!$D$3:$L$33,9,0)="","",VLOOKUP(K$2,行为概览!$D$3:$L$33,9,0)*IF(玩法行为规划!J70&gt;0,1,0))</f>
        <v>1</v>
      </c>
      <c r="L70" s="7">
        <f>IF(VLOOKUP(L$2,行为概览!$D$3:$L$33,9,0)="","",VLOOKUP(L$2,行为概览!$D$3:$L$33,9,0)*IF(玩法行为规划!K70&gt;0,1,0))</f>
        <v>1</v>
      </c>
      <c r="M70" s="7" t="str">
        <f>IF(VLOOKUP(M$2,行为概览!$D$3:$L$33,9,0)="","",VLOOKUP(M$2,行为概览!$D$3:$L$33,9,0)*IF(玩法行为规划!L70&gt;0,1,0))</f>
        <v/>
      </c>
      <c r="N70" s="7" t="str">
        <f>IF(VLOOKUP(N$2,行为概览!$D$3:$L$33,9,0)="","",VLOOKUP(N$2,行为概览!$D$3:$L$33,9,0)*IF(玩法行为规划!M70&gt;0,1,0))</f>
        <v/>
      </c>
      <c r="O70" s="7" t="str">
        <f>IF(VLOOKUP(O$2,行为概览!$D$3:$L$33,9,0)="","",VLOOKUP(O$2,行为概览!$D$3:$L$33,9,0)*IF(玩法行为规划!N70&gt;0,1,0))</f>
        <v/>
      </c>
      <c r="P70" s="7">
        <f>IF(VLOOKUP(P$2,行为概览!$D$3:$L$33,9,0)="","",VLOOKUP(P$2,行为概览!$D$3:$L$33,9,0)*IF(玩法行为规划!O70&gt;0,1,0))</f>
        <v>0.5</v>
      </c>
      <c r="Q70" s="7">
        <f>IF(VLOOKUP(Q$2,行为概览!$D$3:$L$33,9,0)="","",VLOOKUP(Q$2,行为概览!$D$3:$L$33,9,0)*IF(玩法行为规划!P70&gt;0,1,0))</f>
        <v>5</v>
      </c>
      <c r="R70" s="7" t="str">
        <f>IF(VLOOKUP(R$2,行为概览!$D$3:$L$33,9,0)="","",VLOOKUP(R$2,行为概览!$D$3:$L$33,9,0)*IF(玩法行为规划!Q70&gt;0,1,0))</f>
        <v/>
      </c>
      <c r="S70" s="7">
        <f>IF(VLOOKUP(S$2,行为概览!$D$3:$L$33,9,0)="","",VLOOKUP(S$2,行为概览!$D$3:$L$33,9,0)*IF(玩法行为规划!R70&gt;0,1,0))</f>
        <v>1</v>
      </c>
      <c r="T70" s="7">
        <f>IF(VLOOKUP(T$2,行为概览!$D$3:$L$33,9,0)="","",VLOOKUP(T$2,行为概览!$D$3:$L$33,9,0)*IF(玩法行为规划!S70&gt;0,1,0))</f>
        <v>0</v>
      </c>
      <c r="U70" s="7">
        <f>IF(VLOOKUP(U$2,行为概览!$D$3:$L$33,9,0)="","",VLOOKUP(U$2,行为概览!$D$3:$L$33,9,0)*IF(玩法行为规划!T70&gt;0,1,0))</f>
        <v>1</v>
      </c>
      <c r="V70" s="7">
        <f>IF(VLOOKUP(V$2,行为概览!$D$3:$L$33,9,0)="","",VLOOKUP(V$2,行为概览!$D$3:$L$33,9,0)*IF(玩法行为规划!U70&gt;0,1,0))</f>
        <v>1.5</v>
      </c>
      <c r="W70" s="7">
        <f>IF(VLOOKUP(W$2,行为概览!$D$3:$L$33,9,0)="","",VLOOKUP(W$2,行为概览!$D$3:$L$33,9,0)*IF(玩法行为规划!V70&gt;0,1,0))</f>
        <v>1</v>
      </c>
      <c r="X70" s="7">
        <f>IF(VLOOKUP(X$2,行为概览!$D$3:$L$33,9,0)="","",VLOOKUP(X$2,行为概览!$D$3:$L$33,9,0)*IF(玩法行为规划!W70&gt;0,1,0))</f>
        <v>1</v>
      </c>
      <c r="Y70" s="7">
        <f>IF(VLOOKUP(Y$2,行为概览!$D$3:$L$33,9,0)="","",VLOOKUP(Y$2,行为概览!$D$3:$L$33,9,0)*IF(玩法行为规划!X70&gt;0,1,0))</f>
        <v>1</v>
      </c>
      <c r="Z70" s="7">
        <f>IF(VLOOKUP(Z$2,行为概览!$D$3:$L$33,9,0)="","",VLOOKUP(Z$2,行为概览!$D$3:$L$33,9,0)*IF(玩法行为规划!Y70&gt;0,1,0))</f>
        <v>3</v>
      </c>
      <c r="AA70" s="7">
        <f>IF(VLOOKUP(AA$2,行为概览!$D$3:$L$33,9,0)="","",VLOOKUP(AA$2,行为概览!$D$3:$L$33,9,0)*IF(玩法行为规划!Z70&gt;0,1,0))</f>
        <v>0.5</v>
      </c>
      <c r="AB70" s="7" t="str">
        <f>IF(VLOOKUP(AB$2,行为概览!$D$3:$L$33,9,0)="","",VLOOKUP(AB$2,行为概览!$D$3:$L$33,9,0)*IF(玩法行为规划!AA70&gt;0,1,0))</f>
        <v/>
      </c>
      <c r="AC70" s="7" t="str">
        <f>IF(VLOOKUP(AC$2,行为概览!$D$3:$L$33,9,0)="","",VLOOKUP(AC$2,行为概览!$D$3:$L$33,9,0)*IF(玩法行为规划!AB70&gt;0,1,0))</f>
        <v/>
      </c>
      <c r="AD70" s="7" t="str">
        <f>IF(VLOOKUP(AD$2,行为概览!$D$3:$L$33,9,0)="","",VLOOKUP(AD$2,行为概览!$D$3:$L$33,9,0)*玩法行为规划!AC70)</f>
        <v/>
      </c>
      <c r="AE70" s="7" t="str">
        <f>IF(VLOOKUP(AE$2,行为概览!$D$3:$L$33,9,0)="","",VLOOKUP(AE$2,行为概览!$D$3:$L$33,9,0)*玩法行为规划!AD70)</f>
        <v/>
      </c>
      <c r="AF70" s="7">
        <f t="shared" si="13"/>
        <v>24.65</v>
      </c>
      <c r="AG70" s="10">
        <f t="shared" si="14"/>
        <v>1676200</v>
      </c>
      <c r="AH70" s="7">
        <f>ROUND(AG70*升级节奏!G70,0)</f>
        <v>9897961</v>
      </c>
      <c r="AI70" s="7">
        <f t="shared" si="15"/>
        <v>258400</v>
      </c>
      <c r="AJ70" s="21" t="str">
        <f t="shared" si="12"/>
        <v/>
      </c>
      <c r="AK70" s="7">
        <f t="shared" si="16"/>
        <v>2.5442183474967066E-2</v>
      </c>
      <c r="AL70" s="7">
        <f t="shared" si="17"/>
        <v>10156361</v>
      </c>
      <c r="AM70" s="7">
        <f>SUM($AL$3:AL70)</f>
        <v>61818039</v>
      </c>
      <c r="AN70" s="166">
        <f t="shared" si="18"/>
        <v>343500</v>
      </c>
      <c r="AO70" s="7">
        <f>SUM($AN$3:AN70)*7</f>
        <v>16601900</v>
      </c>
      <c r="AP70" s="69">
        <f t="shared" si="19"/>
        <v>43711039</v>
      </c>
      <c r="AQ70" s="160">
        <f t="shared" si="20"/>
        <v>1003400</v>
      </c>
      <c r="AR70" s="160">
        <f t="shared" si="21"/>
        <v>501700</v>
      </c>
    </row>
    <row r="71" spans="1:44">
      <c r="A71" s="32">
        <v>69</v>
      </c>
      <c r="B71" s="81">
        <f>升级节奏!E71</f>
        <v>69000</v>
      </c>
      <c r="C71" s="7">
        <f>IF(VLOOKUP(C$2,行为概览!$D$3:$L$33,9,0)="","",VLOOKUP(C$2,行为概览!$D$3:$L$33,9,0)*IF(玩法行为规划!B71&gt;0,1,0))</f>
        <v>4</v>
      </c>
      <c r="D71" s="7">
        <f>IF(VLOOKUP(D$2,行为概览!$D$3:$L$33,9,0)="","",VLOOKUP(D$2,行为概览!$D$3:$L$33,9,0)*IF(玩法行为规划!C71&gt;0,1,0))</f>
        <v>1.65</v>
      </c>
      <c r="E71" s="7">
        <f>IF(VLOOKUP(E$2,行为概览!$D$3:$L$33,9,0)="","",VLOOKUP(E$2,行为概览!$D$3:$L$33,9,0)*IF(玩法行为规划!D71&gt;0,1,0))</f>
        <v>0.5</v>
      </c>
      <c r="F71" s="7">
        <f>IF(VLOOKUP(F$2,行为概览!$D$3:$L$33,9,0)="","",VLOOKUP(F$2,行为概览!$D$3:$L$33,9,0)*IF(玩法行为规划!E71&gt;0,1,0))</f>
        <v>1</v>
      </c>
      <c r="G71" s="7" t="str">
        <f>IF(VLOOKUP(G$2,行为概览!$D$3:$L$33,9,0)="","",VLOOKUP(G$2,行为概览!$D$3:$L$33,9,0)*IF(玩法行为规划!F71&gt;0,1,0))</f>
        <v/>
      </c>
      <c r="H71" s="7" t="str">
        <f>IF(VLOOKUP(H$2,行为概览!$D$3:$L$33,9,0)="","",VLOOKUP(H$2,行为概览!$D$3:$L$33,9,0)*IF(玩法行为规划!G71&gt;0,1,0))</f>
        <v/>
      </c>
      <c r="I71" s="7" t="str">
        <f>IF(VLOOKUP(I$2,行为概览!$D$3:$L$33,9,0)="","",VLOOKUP(I$2,行为概览!$D$3:$L$33,9,0)*IF(玩法行为规划!H71&gt;0,1,0))</f>
        <v/>
      </c>
      <c r="J71" s="7" t="str">
        <f>IF(VLOOKUP(J$2,行为概览!$D$3:$L$33,9,0)="","",VLOOKUP(J$2,行为概览!$D$3:$L$33,9,0)*IF(玩法行为规划!I71&gt;0,1,0))</f>
        <v/>
      </c>
      <c r="K71" s="7">
        <f>IF(VLOOKUP(K$2,行为概览!$D$3:$L$33,9,0)="","",VLOOKUP(K$2,行为概览!$D$3:$L$33,9,0)*IF(玩法行为规划!J71&gt;0,1,0))</f>
        <v>1</v>
      </c>
      <c r="L71" s="7">
        <f>IF(VLOOKUP(L$2,行为概览!$D$3:$L$33,9,0)="","",VLOOKUP(L$2,行为概览!$D$3:$L$33,9,0)*IF(玩法行为规划!K71&gt;0,1,0))</f>
        <v>1</v>
      </c>
      <c r="M71" s="7" t="str">
        <f>IF(VLOOKUP(M$2,行为概览!$D$3:$L$33,9,0)="","",VLOOKUP(M$2,行为概览!$D$3:$L$33,9,0)*IF(玩法行为规划!L71&gt;0,1,0))</f>
        <v/>
      </c>
      <c r="N71" s="7" t="str">
        <f>IF(VLOOKUP(N$2,行为概览!$D$3:$L$33,9,0)="","",VLOOKUP(N$2,行为概览!$D$3:$L$33,9,0)*IF(玩法行为规划!M71&gt;0,1,0))</f>
        <v/>
      </c>
      <c r="O71" s="7" t="str">
        <f>IF(VLOOKUP(O$2,行为概览!$D$3:$L$33,9,0)="","",VLOOKUP(O$2,行为概览!$D$3:$L$33,9,0)*IF(玩法行为规划!N71&gt;0,1,0))</f>
        <v/>
      </c>
      <c r="P71" s="7">
        <f>IF(VLOOKUP(P$2,行为概览!$D$3:$L$33,9,0)="","",VLOOKUP(P$2,行为概览!$D$3:$L$33,9,0)*IF(玩法行为规划!O71&gt;0,1,0))</f>
        <v>0.5</v>
      </c>
      <c r="Q71" s="7">
        <f>IF(VLOOKUP(Q$2,行为概览!$D$3:$L$33,9,0)="","",VLOOKUP(Q$2,行为概览!$D$3:$L$33,9,0)*IF(玩法行为规划!P71&gt;0,1,0))</f>
        <v>5</v>
      </c>
      <c r="R71" s="7" t="str">
        <f>IF(VLOOKUP(R$2,行为概览!$D$3:$L$33,9,0)="","",VLOOKUP(R$2,行为概览!$D$3:$L$33,9,0)*IF(玩法行为规划!Q71&gt;0,1,0))</f>
        <v/>
      </c>
      <c r="S71" s="7">
        <f>IF(VLOOKUP(S$2,行为概览!$D$3:$L$33,9,0)="","",VLOOKUP(S$2,行为概览!$D$3:$L$33,9,0)*IF(玩法行为规划!R71&gt;0,1,0))</f>
        <v>1</v>
      </c>
      <c r="T71" s="7">
        <f>IF(VLOOKUP(T$2,行为概览!$D$3:$L$33,9,0)="","",VLOOKUP(T$2,行为概览!$D$3:$L$33,9,0)*IF(玩法行为规划!S71&gt;0,1,0))</f>
        <v>0</v>
      </c>
      <c r="U71" s="7">
        <f>IF(VLOOKUP(U$2,行为概览!$D$3:$L$33,9,0)="","",VLOOKUP(U$2,行为概览!$D$3:$L$33,9,0)*IF(玩法行为规划!T71&gt;0,1,0))</f>
        <v>1</v>
      </c>
      <c r="V71" s="7">
        <f>IF(VLOOKUP(V$2,行为概览!$D$3:$L$33,9,0)="","",VLOOKUP(V$2,行为概览!$D$3:$L$33,9,0)*IF(玩法行为规划!U71&gt;0,1,0))</f>
        <v>1.5</v>
      </c>
      <c r="W71" s="7">
        <f>IF(VLOOKUP(W$2,行为概览!$D$3:$L$33,9,0)="","",VLOOKUP(W$2,行为概览!$D$3:$L$33,9,0)*IF(玩法行为规划!V71&gt;0,1,0))</f>
        <v>1</v>
      </c>
      <c r="X71" s="7">
        <f>IF(VLOOKUP(X$2,行为概览!$D$3:$L$33,9,0)="","",VLOOKUP(X$2,行为概览!$D$3:$L$33,9,0)*IF(玩法行为规划!W71&gt;0,1,0))</f>
        <v>1</v>
      </c>
      <c r="Y71" s="7">
        <f>IF(VLOOKUP(Y$2,行为概览!$D$3:$L$33,9,0)="","",VLOOKUP(Y$2,行为概览!$D$3:$L$33,9,0)*IF(玩法行为规划!X71&gt;0,1,0))</f>
        <v>1</v>
      </c>
      <c r="Z71" s="7">
        <f>IF(VLOOKUP(Z$2,行为概览!$D$3:$L$33,9,0)="","",VLOOKUP(Z$2,行为概览!$D$3:$L$33,9,0)*IF(玩法行为规划!Y71&gt;0,1,0))</f>
        <v>3</v>
      </c>
      <c r="AA71" s="7">
        <f>IF(VLOOKUP(AA$2,行为概览!$D$3:$L$33,9,0)="","",VLOOKUP(AA$2,行为概览!$D$3:$L$33,9,0)*IF(玩法行为规划!Z71&gt;0,1,0))</f>
        <v>0.5</v>
      </c>
      <c r="AB71" s="7" t="str">
        <f>IF(VLOOKUP(AB$2,行为概览!$D$3:$L$33,9,0)="","",VLOOKUP(AB$2,行为概览!$D$3:$L$33,9,0)*IF(玩法行为规划!AA71&gt;0,1,0))</f>
        <v/>
      </c>
      <c r="AC71" s="7" t="str">
        <f>IF(VLOOKUP(AC$2,行为概览!$D$3:$L$33,9,0)="","",VLOOKUP(AC$2,行为概览!$D$3:$L$33,9,0)*IF(玩法行为规划!AB71&gt;0,1,0))</f>
        <v/>
      </c>
      <c r="AD71" s="7" t="str">
        <f>IF(VLOOKUP(AD$2,行为概览!$D$3:$L$33,9,0)="","",VLOOKUP(AD$2,行为概览!$D$3:$L$33,9,0)*玩法行为规划!AC71)</f>
        <v/>
      </c>
      <c r="AE71" s="7" t="str">
        <f>IF(VLOOKUP(AE$2,行为概览!$D$3:$L$33,9,0)="","",VLOOKUP(AE$2,行为概览!$D$3:$L$33,9,0)*玩法行为规划!AD71)</f>
        <v/>
      </c>
      <c r="AF71" s="7">
        <f t="shared" si="13"/>
        <v>24.65</v>
      </c>
      <c r="AG71" s="10">
        <f t="shared" si="14"/>
        <v>1700850</v>
      </c>
      <c r="AH71" s="7">
        <f>ROUND(AG71*升级节奏!G71,0)</f>
        <v>11712762</v>
      </c>
      <c r="AI71" s="7">
        <f t="shared" si="15"/>
        <v>269100</v>
      </c>
      <c r="AJ71" s="21" t="str">
        <f t="shared" si="12"/>
        <v/>
      </c>
      <c r="AK71" s="7">
        <f t="shared" si="16"/>
        <v>2.2458946697933926E-2</v>
      </c>
      <c r="AL71" s="7">
        <f t="shared" si="17"/>
        <v>11981862</v>
      </c>
      <c r="AM71" s="7">
        <f>SUM($AL$3:AL71)</f>
        <v>73799901</v>
      </c>
      <c r="AN71" s="166">
        <f t="shared" si="18"/>
        <v>404200</v>
      </c>
      <c r="AO71" s="7">
        <f>SUM($AN$3:AN71)*7</f>
        <v>19431300</v>
      </c>
      <c r="AP71" s="69">
        <f t="shared" si="19"/>
        <v>52591001</v>
      </c>
      <c r="AQ71" s="160">
        <f t="shared" si="20"/>
        <v>1185100</v>
      </c>
      <c r="AR71" s="160">
        <f t="shared" si="21"/>
        <v>592500</v>
      </c>
    </row>
    <row r="72" spans="1:44">
      <c r="A72" s="32">
        <v>70</v>
      </c>
      <c r="B72" s="81">
        <f>升级节奏!E72</f>
        <v>70000</v>
      </c>
      <c r="C72" s="7">
        <f>IF(VLOOKUP(C$2,行为概览!$D$3:$L$33,9,0)="","",VLOOKUP(C$2,行为概览!$D$3:$L$33,9,0)*IF(玩法行为规划!B72&gt;0,1,0))</f>
        <v>4</v>
      </c>
      <c r="D72" s="7">
        <f>IF(VLOOKUP(D$2,行为概览!$D$3:$L$33,9,0)="","",VLOOKUP(D$2,行为概览!$D$3:$L$33,9,0)*IF(玩法行为规划!C72&gt;0,1,0))</f>
        <v>1.65</v>
      </c>
      <c r="E72" s="7">
        <f>IF(VLOOKUP(E$2,行为概览!$D$3:$L$33,9,0)="","",VLOOKUP(E$2,行为概览!$D$3:$L$33,9,0)*IF(玩法行为规划!D72&gt;0,1,0))</f>
        <v>0.5</v>
      </c>
      <c r="F72" s="7">
        <f>IF(VLOOKUP(F$2,行为概览!$D$3:$L$33,9,0)="","",VLOOKUP(F$2,行为概览!$D$3:$L$33,9,0)*IF(玩法行为规划!E72&gt;0,1,0))</f>
        <v>1</v>
      </c>
      <c r="G72" s="7" t="str">
        <f>IF(VLOOKUP(G$2,行为概览!$D$3:$L$33,9,0)="","",VLOOKUP(G$2,行为概览!$D$3:$L$33,9,0)*IF(玩法行为规划!F72&gt;0,1,0))</f>
        <v/>
      </c>
      <c r="H72" s="7" t="str">
        <f>IF(VLOOKUP(H$2,行为概览!$D$3:$L$33,9,0)="","",VLOOKUP(H$2,行为概览!$D$3:$L$33,9,0)*IF(玩法行为规划!G72&gt;0,1,0))</f>
        <v/>
      </c>
      <c r="I72" s="7" t="str">
        <f>IF(VLOOKUP(I$2,行为概览!$D$3:$L$33,9,0)="","",VLOOKUP(I$2,行为概览!$D$3:$L$33,9,0)*IF(玩法行为规划!H72&gt;0,1,0))</f>
        <v/>
      </c>
      <c r="J72" s="7" t="str">
        <f>IF(VLOOKUP(J$2,行为概览!$D$3:$L$33,9,0)="","",VLOOKUP(J$2,行为概览!$D$3:$L$33,9,0)*IF(玩法行为规划!I72&gt;0,1,0))</f>
        <v/>
      </c>
      <c r="K72" s="7">
        <f>IF(VLOOKUP(K$2,行为概览!$D$3:$L$33,9,0)="","",VLOOKUP(K$2,行为概览!$D$3:$L$33,9,0)*IF(玩法行为规划!J72&gt;0,1,0))</f>
        <v>1</v>
      </c>
      <c r="L72" s="7">
        <f>IF(VLOOKUP(L$2,行为概览!$D$3:$L$33,9,0)="","",VLOOKUP(L$2,行为概览!$D$3:$L$33,9,0)*IF(玩法行为规划!K72&gt;0,1,0))</f>
        <v>1</v>
      </c>
      <c r="M72" s="7" t="str">
        <f>IF(VLOOKUP(M$2,行为概览!$D$3:$L$33,9,0)="","",VLOOKUP(M$2,行为概览!$D$3:$L$33,9,0)*IF(玩法行为规划!L72&gt;0,1,0))</f>
        <v/>
      </c>
      <c r="N72" s="7" t="str">
        <f>IF(VLOOKUP(N$2,行为概览!$D$3:$L$33,9,0)="","",VLOOKUP(N$2,行为概览!$D$3:$L$33,9,0)*IF(玩法行为规划!M72&gt;0,1,0))</f>
        <v/>
      </c>
      <c r="O72" s="7" t="str">
        <f>IF(VLOOKUP(O$2,行为概览!$D$3:$L$33,9,0)="","",VLOOKUP(O$2,行为概览!$D$3:$L$33,9,0)*IF(玩法行为规划!N72&gt;0,1,0))</f>
        <v/>
      </c>
      <c r="P72" s="7">
        <f>IF(VLOOKUP(P$2,行为概览!$D$3:$L$33,9,0)="","",VLOOKUP(P$2,行为概览!$D$3:$L$33,9,0)*IF(玩法行为规划!O72&gt;0,1,0))</f>
        <v>0.5</v>
      </c>
      <c r="Q72" s="7">
        <f>IF(VLOOKUP(Q$2,行为概览!$D$3:$L$33,9,0)="","",VLOOKUP(Q$2,行为概览!$D$3:$L$33,9,0)*IF(玩法行为规划!P72&gt;0,1,0))</f>
        <v>5</v>
      </c>
      <c r="R72" s="7" t="str">
        <f>IF(VLOOKUP(R$2,行为概览!$D$3:$L$33,9,0)="","",VLOOKUP(R$2,行为概览!$D$3:$L$33,9,0)*IF(玩法行为规划!Q72&gt;0,1,0))</f>
        <v/>
      </c>
      <c r="S72" s="7">
        <f>IF(VLOOKUP(S$2,行为概览!$D$3:$L$33,9,0)="","",VLOOKUP(S$2,行为概览!$D$3:$L$33,9,0)*IF(玩法行为规划!R72&gt;0,1,0))</f>
        <v>1</v>
      </c>
      <c r="T72" s="7">
        <f>IF(VLOOKUP(T$2,行为概览!$D$3:$L$33,9,0)="","",VLOOKUP(T$2,行为概览!$D$3:$L$33,9,0)*IF(玩法行为规划!S72&gt;0,1,0))</f>
        <v>0</v>
      </c>
      <c r="U72" s="7">
        <f>IF(VLOOKUP(U$2,行为概览!$D$3:$L$33,9,0)="","",VLOOKUP(U$2,行为概览!$D$3:$L$33,9,0)*IF(玩法行为规划!T72&gt;0,1,0))</f>
        <v>1</v>
      </c>
      <c r="V72" s="7">
        <f>IF(VLOOKUP(V$2,行为概览!$D$3:$L$33,9,0)="","",VLOOKUP(V$2,行为概览!$D$3:$L$33,9,0)*IF(玩法行为规划!U72&gt;0,1,0))</f>
        <v>1.5</v>
      </c>
      <c r="W72" s="7">
        <f>IF(VLOOKUP(W$2,行为概览!$D$3:$L$33,9,0)="","",VLOOKUP(W$2,行为概览!$D$3:$L$33,9,0)*IF(玩法行为规划!V72&gt;0,1,0))</f>
        <v>1</v>
      </c>
      <c r="X72" s="7">
        <f>IF(VLOOKUP(X$2,行为概览!$D$3:$L$33,9,0)="","",VLOOKUP(X$2,行为概览!$D$3:$L$33,9,0)*IF(玩法行为规划!W72&gt;0,1,0))</f>
        <v>1</v>
      </c>
      <c r="Y72" s="7">
        <f>IF(VLOOKUP(Y$2,行为概览!$D$3:$L$33,9,0)="","",VLOOKUP(Y$2,行为概览!$D$3:$L$33,9,0)*IF(玩法行为规划!X72&gt;0,1,0))</f>
        <v>1</v>
      </c>
      <c r="Z72" s="7">
        <f>IF(VLOOKUP(Z$2,行为概览!$D$3:$L$33,9,0)="","",VLOOKUP(Z$2,行为概览!$D$3:$L$33,9,0)*IF(玩法行为规划!Y72&gt;0,1,0))</f>
        <v>3</v>
      </c>
      <c r="AA72" s="7">
        <f>IF(VLOOKUP(AA$2,行为概览!$D$3:$L$33,9,0)="","",VLOOKUP(AA$2,行为概览!$D$3:$L$33,9,0)*IF(玩法行为规划!Z72&gt;0,1,0))</f>
        <v>0.5</v>
      </c>
      <c r="AB72" s="7" t="str">
        <f>IF(VLOOKUP(AB$2,行为概览!$D$3:$L$33,9,0)="","",VLOOKUP(AB$2,行为概览!$D$3:$L$33,9,0)*IF(玩法行为规划!AA72&gt;0,1,0))</f>
        <v/>
      </c>
      <c r="AC72" s="7" t="str">
        <f>IF(VLOOKUP(AC$2,行为概览!$D$3:$L$33,9,0)="","",VLOOKUP(AC$2,行为概览!$D$3:$L$33,9,0)*IF(玩法行为规划!AB72&gt;0,1,0))</f>
        <v/>
      </c>
      <c r="AD72" s="7" t="str">
        <f>IF(VLOOKUP(AD$2,行为概览!$D$3:$L$33,9,0)="","",VLOOKUP(AD$2,行为概览!$D$3:$L$33,9,0)*玩法行为规划!AC72)</f>
        <v/>
      </c>
      <c r="AE72" s="7" t="str">
        <f>IF(VLOOKUP(AE$2,行为概览!$D$3:$L$33,9,0)="","",VLOOKUP(AE$2,行为概览!$D$3:$L$33,9,0)*玩法行为规划!AD72)</f>
        <v/>
      </c>
      <c r="AF72" s="7">
        <f t="shared" si="13"/>
        <v>24.65</v>
      </c>
      <c r="AG72" s="10">
        <f t="shared" si="14"/>
        <v>1725500</v>
      </c>
      <c r="AH72" s="7">
        <f>ROUND(AG72*升级节奏!G72,0)</f>
        <v>12222292</v>
      </c>
      <c r="AI72" s="7">
        <f t="shared" si="15"/>
        <v>280000</v>
      </c>
      <c r="AJ72" s="21">
        <f t="shared" si="12"/>
        <v>3323500</v>
      </c>
      <c r="AK72" s="7">
        <f t="shared" si="16"/>
        <v>2.2395893488969861E-2</v>
      </c>
      <c r="AL72" s="7">
        <f t="shared" si="17"/>
        <v>12502292</v>
      </c>
      <c r="AM72" s="7">
        <f>SUM($AL$3:AL72)</f>
        <v>86302193</v>
      </c>
      <c r="AN72" s="166">
        <f t="shared" si="18"/>
        <v>421400</v>
      </c>
      <c r="AO72" s="7">
        <f>SUM($AN$3:AN72)*7</f>
        <v>22381100</v>
      </c>
      <c r="AP72" s="69">
        <f t="shared" si="19"/>
        <v>62066793</v>
      </c>
      <c r="AQ72" s="160">
        <f t="shared" si="20"/>
        <v>1236200</v>
      </c>
      <c r="AR72" s="160">
        <f t="shared" si="21"/>
        <v>618100</v>
      </c>
    </row>
    <row r="73" spans="1:44">
      <c r="A73" s="32">
        <v>71</v>
      </c>
      <c r="B73" s="81">
        <f>升级节奏!E73</f>
        <v>71000</v>
      </c>
      <c r="C73" s="7">
        <f>IF(VLOOKUP(C$2,行为概览!$D$3:$L$33,9,0)="","",VLOOKUP(C$2,行为概览!$D$3:$L$33,9,0)*IF(玩法行为规划!B73&gt;0,1,0))</f>
        <v>4</v>
      </c>
      <c r="D73" s="7">
        <f>IF(VLOOKUP(D$2,行为概览!$D$3:$L$33,9,0)="","",VLOOKUP(D$2,行为概览!$D$3:$L$33,9,0)*IF(玩法行为规划!C73&gt;0,1,0))</f>
        <v>1.65</v>
      </c>
      <c r="E73" s="7">
        <f>IF(VLOOKUP(E$2,行为概览!$D$3:$L$33,9,0)="","",VLOOKUP(E$2,行为概览!$D$3:$L$33,9,0)*IF(玩法行为规划!D73&gt;0,1,0))</f>
        <v>0.5</v>
      </c>
      <c r="F73" s="7">
        <f>IF(VLOOKUP(F$2,行为概览!$D$3:$L$33,9,0)="","",VLOOKUP(F$2,行为概览!$D$3:$L$33,9,0)*IF(玩法行为规划!E73&gt;0,1,0))</f>
        <v>1</v>
      </c>
      <c r="G73" s="7" t="str">
        <f>IF(VLOOKUP(G$2,行为概览!$D$3:$L$33,9,0)="","",VLOOKUP(G$2,行为概览!$D$3:$L$33,9,0)*IF(玩法行为规划!F73&gt;0,1,0))</f>
        <v/>
      </c>
      <c r="H73" s="7" t="str">
        <f>IF(VLOOKUP(H$2,行为概览!$D$3:$L$33,9,0)="","",VLOOKUP(H$2,行为概览!$D$3:$L$33,9,0)*IF(玩法行为规划!G73&gt;0,1,0))</f>
        <v/>
      </c>
      <c r="I73" s="7" t="str">
        <f>IF(VLOOKUP(I$2,行为概览!$D$3:$L$33,9,0)="","",VLOOKUP(I$2,行为概览!$D$3:$L$33,9,0)*IF(玩法行为规划!H73&gt;0,1,0))</f>
        <v/>
      </c>
      <c r="J73" s="7" t="str">
        <f>IF(VLOOKUP(J$2,行为概览!$D$3:$L$33,9,0)="","",VLOOKUP(J$2,行为概览!$D$3:$L$33,9,0)*IF(玩法行为规划!I73&gt;0,1,0))</f>
        <v/>
      </c>
      <c r="K73" s="7">
        <f>IF(VLOOKUP(K$2,行为概览!$D$3:$L$33,9,0)="","",VLOOKUP(K$2,行为概览!$D$3:$L$33,9,0)*IF(玩法行为规划!J73&gt;0,1,0))</f>
        <v>1</v>
      </c>
      <c r="L73" s="7">
        <f>IF(VLOOKUP(L$2,行为概览!$D$3:$L$33,9,0)="","",VLOOKUP(L$2,行为概览!$D$3:$L$33,9,0)*IF(玩法行为规划!K73&gt;0,1,0))</f>
        <v>1</v>
      </c>
      <c r="M73" s="7" t="str">
        <f>IF(VLOOKUP(M$2,行为概览!$D$3:$L$33,9,0)="","",VLOOKUP(M$2,行为概览!$D$3:$L$33,9,0)*IF(玩法行为规划!L73&gt;0,1,0))</f>
        <v/>
      </c>
      <c r="N73" s="7" t="str">
        <f>IF(VLOOKUP(N$2,行为概览!$D$3:$L$33,9,0)="","",VLOOKUP(N$2,行为概览!$D$3:$L$33,9,0)*IF(玩法行为规划!M73&gt;0,1,0))</f>
        <v/>
      </c>
      <c r="O73" s="7" t="str">
        <f>IF(VLOOKUP(O$2,行为概览!$D$3:$L$33,9,0)="","",VLOOKUP(O$2,行为概览!$D$3:$L$33,9,0)*IF(玩法行为规划!N73&gt;0,1,0))</f>
        <v/>
      </c>
      <c r="P73" s="7">
        <f>IF(VLOOKUP(P$2,行为概览!$D$3:$L$33,9,0)="","",VLOOKUP(P$2,行为概览!$D$3:$L$33,9,0)*IF(玩法行为规划!O73&gt;0,1,0))</f>
        <v>0.5</v>
      </c>
      <c r="Q73" s="7">
        <f>IF(VLOOKUP(Q$2,行为概览!$D$3:$L$33,9,0)="","",VLOOKUP(Q$2,行为概览!$D$3:$L$33,9,0)*IF(玩法行为规划!P73&gt;0,1,0))</f>
        <v>5</v>
      </c>
      <c r="R73" s="7" t="str">
        <f>IF(VLOOKUP(R$2,行为概览!$D$3:$L$33,9,0)="","",VLOOKUP(R$2,行为概览!$D$3:$L$33,9,0)*IF(玩法行为规划!Q73&gt;0,1,0))</f>
        <v/>
      </c>
      <c r="S73" s="7">
        <f>IF(VLOOKUP(S$2,行为概览!$D$3:$L$33,9,0)="","",VLOOKUP(S$2,行为概览!$D$3:$L$33,9,0)*IF(玩法行为规划!R73&gt;0,1,0))</f>
        <v>1</v>
      </c>
      <c r="T73" s="7">
        <f>IF(VLOOKUP(T$2,行为概览!$D$3:$L$33,9,0)="","",VLOOKUP(T$2,行为概览!$D$3:$L$33,9,0)*IF(玩法行为规划!S73&gt;0,1,0))</f>
        <v>0</v>
      </c>
      <c r="U73" s="7">
        <f>IF(VLOOKUP(U$2,行为概览!$D$3:$L$33,9,0)="","",VLOOKUP(U$2,行为概览!$D$3:$L$33,9,0)*IF(玩法行为规划!T73&gt;0,1,0))</f>
        <v>1</v>
      </c>
      <c r="V73" s="7">
        <f>IF(VLOOKUP(V$2,行为概览!$D$3:$L$33,9,0)="","",VLOOKUP(V$2,行为概览!$D$3:$L$33,9,0)*IF(玩法行为规划!U73&gt;0,1,0))</f>
        <v>1.5</v>
      </c>
      <c r="W73" s="7">
        <f>IF(VLOOKUP(W$2,行为概览!$D$3:$L$33,9,0)="","",VLOOKUP(W$2,行为概览!$D$3:$L$33,9,0)*IF(玩法行为规划!V73&gt;0,1,0))</f>
        <v>1</v>
      </c>
      <c r="X73" s="7">
        <f>IF(VLOOKUP(X$2,行为概览!$D$3:$L$33,9,0)="","",VLOOKUP(X$2,行为概览!$D$3:$L$33,9,0)*IF(玩法行为规划!W73&gt;0,1,0))</f>
        <v>1</v>
      </c>
      <c r="Y73" s="7">
        <f>IF(VLOOKUP(Y$2,行为概览!$D$3:$L$33,9,0)="","",VLOOKUP(Y$2,行为概览!$D$3:$L$33,9,0)*IF(玩法行为规划!X73&gt;0,1,0))</f>
        <v>1</v>
      </c>
      <c r="Z73" s="7">
        <f>IF(VLOOKUP(Z$2,行为概览!$D$3:$L$33,9,0)="","",VLOOKUP(Z$2,行为概览!$D$3:$L$33,9,0)*IF(玩法行为规划!Y73&gt;0,1,0))</f>
        <v>3</v>
      </c>
      <c r="AA73" s="7">
        <f>IF(VLOOKUP(AA$2,行为概览!$D$3:$L$33,9,0)="","",VLOOKUP(AA$2,行为概览!$D$3:$L$33,9,0)*IF(玩法行为规划!Z73&gt;0,1,0))</f>
        <v>0.5</v>
      </c>
      <c r="AB73" s="7" t="str">
        <f>IF(VLOOKUP(AB$2,行为概览!$D$3:$L$33,9,0)="","",VLOOKUP(AB$2,行为概览!$D$3:$L$33,9,0)*IF(玩法行为规划!AA73&gt;0,1,0))</f>
        <v/>
      </c>
      <c r="AC73" s="7" t="str">
        <f>IF(VLOOKUP(AC$2,行为概览!$D$3:$L$33,9,0)="","",VLOOKUP(AC$2,行为概览!$D$3:$L$33,9,0)*IF(玩法行为规划!AB73&gt;0,1,0))</f>
        <v/>
      </c>
      <c r="AD73" s="7" t="str">
        <f>IF(VLOOKUP(AD$2,行为概览!$D$3:$L$33,9,0)="","",VLOOKUP(AD$2,行为概览!$D$3:$L$33,9,0)*玩法行为规划!AC73)</f>
        <v/>
      </c>
      <c r="AE73" s="7" t="str">
        <f>IF(VLOOKUP(AE$2,行为概览!$D$3:$L$33,9,0)="","",VLOOKUP(AE$2,行为概览!$D$3:$L$33,9,0)*玩法行为规划!AD73)</f>
        <v/>
      </c>
      <c r="AF73" s="7">
        <f t="shared" si="13"/>
        <v>24.65</v>
      </c>
      <c r="AG73" s="10">
        <f t="shared" si="14"/>
        <v>1750150</v>
      </c>
      <c r="AH73" s="7">
        <f>ROUND(AG73*升级节奏!G73,0)</f>
        <v>12746488</v>
      </c>
      <c r="AI73" s="7">
        <f t="shared" si="15"/>
        <v>291100</v>
      </c>
      <c r="AJ73" s="21" t="str">
        <f t="shared" si="12"/>
        <v/>
      </c>
      <c r="AK73" s="7">
        <f t="shared" si="16"/>
        <v>2.2327749580673972E-2</v>
      </c>
      <c r="AL73" s="7">
        <f t="shared" si="17"/>
        <v>13037588</v>
      </c>
      <c r="AM73" s="7">
        <f>SUM($AL$3:AL73)</f>
        <v>99339781</v>
      </c>
      <c r="AN73" s="166">
        <f t="shared" si="18"/>
        <v>439100</v>
      </c>
      <c r="AO73" s="7">
        <f>SUM($AN$3:AN73)*7</f>
        <v>25454800</v>
      </c>
      <c r="AP73" s="69">
        <f t="shared" si="19"/>
        <v>71951781</v>
      </c>
      <c r="AQ73" s="160">
        <f t="shared" si="20"/>
        <v>1288800</v>
      </c>
      <c r="AR73" s="160">
        <f t="shared" si="21"/>
        <v>644400</v>
      </c>
    </row>
    <row r="74" spans="1:44">
      <c r="A74" s="32">
        <v>72</v>
      </c>
      <c r="B74" s="81">
        <f>升级节奏!E74</f>
        <v>72000</v>
      </c>
      <c r="C74" s="7">
        <f>IF(VLOOKUP(C$2,行为概览!$D$3:$L$33,9,0)="","",VLOOKUP(C$2,行为概览!$D$3:$L$33,9,0)*IF(玩法行为规划!B74&gt;0,1,0))</f>
        <v>4</v>
      </c>
      <c r="D74" s="7">
        <f>IF(VLOOKUP(D$2,行为概览!$D$3:$L$33,9,0)="","",VLOOKUP(D$2,行为概览!$D$3:$L$33,9,0)*IF(玩法行为规划!C74&gt;0,1,0))</f>
        <v>1.65</v>
      </c>
      <c r="E74" s="7">
        <f>IF(VLOOKUP(E$2,行为概览!$D$3:$L$33,9,0)="","",VLOOKUP(E$2,行为概览!$D$3:$L$33,9,0)*IF(玩法行为规划!D74&gt;0,1,0))</f>
        <v>0.5</v>
      </c>
      <c r="F74" s="7">
        <f>IF(VLOOKUP(F$2,行为概览!$D$3:$L$33,9,0)="","",VLOOKUP(F$2,行为概览!$D$3:$L$33,9,0)*IF(玩法行为规划!E74&gt;0,1,0))</f>
        <v>1</v>
      </c>
      <c r="G74" s="7" t="str">
        <f>IF(VLOOKUP(G$2,行为概览!$D$3:$L$33,9,0)="","",VLOOKUP(G$2,行为概览!$D$3:$L$33,9,0)*IF(玩法行为规划!F74&gt;0,1,0))</f>
        <v/>
      </c>
      <c r="H74" s="7" t="str">
        <f>IF(VLOOKUP(H$2,行为概览!$D$3:$L$33,9,0)="","",VLOOKUP(H$2,行为概览!$D$3:$L$33,9,0)*IF(玩法行为规划!G74&gt;0,1,0))</f>
        <v/>
      </c>
      <c r="I74" s="7" t="str">
        <f>IF(VLOOKUP(I$2,行为概览!$D$3:$L$33,9,0)="","",VLOOKUP(I$2,行为概览!$D$3:$L$33,9,0)*IF(玩法行为规划!H74&gt;0,1,0))</f>
        <v/>
      </c>
      <c r="J74" s="7" t="str">
        <f>IF(VLOOKUP(J$2,行为概览!$D$3:$L$33,9,0)="","",VLOOKUP(J$2,行为概览!$D$3:$L$33,9,0)*IF(玩法行为规划!I74&gt;0,1,0))</f>
        <v/>
      </c>
      <c r="K74" s="7">
        <f>IF(VLOOKUP(K$2,行为概览!$D$3:$L$33,9,0)="","",VLOOKUP(K$2,行为概览!$D$3:$L$33,9,0)*IF(玩法行为规划!J74&gt;0,1,0))</f>
        <v>1</v>
      </c>
      <c r="L74" s="7">
        <f>IF(VLOOKUP(L$2,行为概览!$D$3:$L$33,9,0)="","",VLOOKUP(L$2,行为概览!$D$3:$L$33,9,0)*IF(玩法行为规划!K74&gt;0,1,0))</f>
        <v>1</v>
      </c>
      <c r="M74" s="7" t="str">
        <f>IF(VLOOKUP(M$2,行为概览!$D$3:$L$33,9,0)="","",VLOOKUP(M$2,行为概览!$D$3:$L$33,9,0)*IF(玩法行为规划!L74&gt;0,1,0))</f>
        <v/>
      </c>
      <c r="N74" s="7" t="str">
        <f>IF(VLOOKUP(N$2,行为概览!$D$3:$L$33,9,0)="","",VLOOKUP(N$2,行为概览!$D$3:$L$33,9,0)*IF(玩法行为规划!M74&gt;0,1,0))</f>
        <v/>
      </c>
      <c r="O74" s="7" t="str">
        <f>IF(VLOOKUP(O$2,行为概览!$D$3:$L$33,9,0)="","",VLOOKUP(O$2,行为概览!$D$3:$L$33,9,0)*IF(玩法行为规划!N74&gt;0,1,0))</f>
        <v/>
      </c>
      <c r="P74" s="7">
        <f>IF(VLOOKUP(P$2,行为概览!$D$3:$L$33,9,0)="","",VLOOKUP(P$2,行为概览!$D$3:$L$33,9,0)*IF(玩法行为规划!O74&gt;0,1,0))</f>
        <v>0.5</v>
      </c>
      <c r="Q74" s="7">
        <f>IF(VLOOKUP(Q$2,行为概览!$D$3:$L$33,9,0)="","",VLOOKUP(Q$2,行为概览!$D$3:$L$33,9,0)*IF(玩法行为规划!P74&gt;0,1,0))</f>
        <v>5</v>
      </c>
      <c r="R74" s="7" t="str">
        <f>IF(VLOOKUP(R$2,行为概览!$D$3:$L$33,9,0)="","",VLOOKUP(R$2,行为概览!$D$3:$L$33,9,0)*IF(玩法行为规划!Q74&gt;0,1,0))</f>
        <v/>
      </c>
      <c r="S74" s="7">
        <f>IF(VLOOKUP(S$2,行为概览!$D$3:$L$33,9,0)="","",VLOOKUP(S$2,行为概览!$D$3:$L$33,9,0)*IF(玩法行为规划!R74&gt;0,1,0))</f>
        <v>1</v>
      </c>
      <c r="T74" s="7">
        <f>IF(VLOOKUP(T$2,行为概览!$D$3:$L$33,9,0)="","",VLOOKUP(T$2,行为概览!$D$3:$L$33,9,0)*IF(玩法行为规划!S74&gt;0,1,0))</f>
        <v>0</v>
      </c>
      <c r="U74" s="7">
        <f>IF(VLOOKUP(U$2,行为概览!$D$3:$L$33,9,0)="","",VLOOKUP(U$2,行为概览!$D$3:$L$33,9,0)*IF(玩法行为规划!T74&gt;0,1,0))</f>
        <v>1</v>
      </c>
      <c r="V74" s="7">
        <f>IF(VLOOKUP(V$2,行为概览!$D$3:$L$33,9,0)="","",VLOOKUP(V$2,行为概览!$D$3:$L$33,9,0)*IF(玩法行为规划!U74&gt;0,1,0))</f>
        <v>1.5</v>
      </c>
      <c r="W74" s="7">
        <f>IF(VLOOKUP(W$2,行为概览!$D$3:$L$33,9,0)="","",VLOOKUP(W$2,行为概览!$D$3:$L$33,9,0)*IF(玩法行为规划!V74&gt;0,1,0))</f>
        <v>1</v>
      </c>
      <c r="X74" s="7">
        <f>IF(VLOOKUP(X$2,行为概览!$D$3:$L$33,9,0)="","",VLOOKUP(X$2,行为概览!$D$3:$L$33,9,0)*IF(玩法行为规划!W74&gt;0,1,0))</f>
        <v>1</v>
      </c>
      <c r="Y74" s="7">
        <f>IF(VLOOKUP(Y$2,行为概览!$D$3:$L$33,9,0)="","",VLOOKUP(Y$2,行为概览!$D$3:$L$33,9,0)*IF(玩法行为规划!X74&gt;0,1,0))</f>
        <v>1</v>
      </c>
      <c r="Z74" s="7">
        <f>IF(VLOOKUP(Z$2,行为概览!$D$3:$L$33,9,0)="","",VLOOKUP(Z$2,行为概览!$D$3:$L$33,9,0)*IF(玩法行为规划!Y74&gt;0,1,0))</f>
        <v>3</v>
      </c>
      <c r="AA74" s="7">
        <f>IF(VLOOKUP(AA$2,行为概览!$D$3:$L$33,9,0)="","",VLOOKUP(AA$2,行为概览!$D$3:$L$33,9,0)*IF(玩法行为规划!Z74&gt;0,1,0))</f>
        <v>0.5</v>
      </c>
      <c r="AB74" s="7" t="str">
        <f>IF(VLOOKUP(AB$2,行为概览!$D$3:$L$33,9,0)="","",VLOOKUP(AB$2,行为概览!$D$3:$L$33,9,0)*IF(玩法行为规划!AA74&gt;0,1,0))</f>
        <v/>
      </c>
      <c r="AC74" s="7" t="str">
        <f>IF(VLOOKUP(AC$2,行为概览!$D$3:$L$33,9,0)="","",VLOOKUP(AC$2,行为概览!$D$3:$L$33,9,0)*IF(玩法行为规划!AB74&gt;0,1,0))</f>
        <v/>
      </c>
      <c r="AD74" s="7" t="str">
        <f>IF(VLOOKUP(AD$2,行为概览!$D$3:$L$33,9,0)="","",VLOOKUP(AD$2,行为概览!$D$3:$L$33,9,0)*玩法行为规划!AC74)</f>
        <v/>
      </c>
      <c r="AE74" s="7" t="str">
        <f>IF(VLOOKUP(AE$2,行为概览!$D$3:$L$33,9,0)="","",VLOOKUP(AE$2,行为概览!$D$3:$L$33,9,0)*玩法行为规划!AD74)</f>
        <v/>
      </c>
      <c r="AF74" s="7">
        <f t="shared" si="13"/>
        <v>24.65</v>
      </c>
      <c r="AG74" s="10">
        <f t="shared" si="14"/>
        <v>1774800</v>
      </c>
      <c r="AH74" s="7">
        <f>ROUND(AG74*升级节奏!G74,0)</f>
        <v>13285561</v>
      </c>
      <c r="AI74" s="7">
        <f t="shared" si="15"/>
        <v>302400</v>
      </c>
      <c r="AJ74" s="21" t="str">
        <f t="shared" si="12"/>
        <v/>
      </c>
      <c r="AK74" s="7">
        <f t="shared" si="16"/>
        <v>2.2254994697144037E-2</v>
      </c>
      <c r="AL74" s="7">
        <f t="shared" si="17"/>
        <v>13587961</v>
      </c>
      <c r="AM74" s="7">
        <f>SUM($AL$3:AL74)</f>
        <v>112927742</v>
      </c>
      <c r="AN74" s="166">
        <f t="shared" si="18"/>
        <v>457300</v>
      </c>
      <c r="AO74" s="7">
        <f>SUM($AN$3:AN74)*7</f>
        <v>28655900</v>
      </c>
      <c r="AP74" s="69">
        <f t="shared" si="19"/>
        <v>82257342</v>
      </c>
      <c r="AQ74" s="160">
        <f t="shared" si="20"/>
        <v>1343000</v>
      </c>
      <c r="AR74" s="160">
        <f t="shared" si="21"/>
        <v>671500</v>
      </c>
    </row>
    <row r="75" spans="1:44">
      <c r="A75" s="32">
        <v>73</v>
      </c>
      <c r="B75" s="81">
        <f>升级节奏!E75</f>
        <v>73000</v>
      </c>
      <c r="C75" s="7">
        <f>IF(VLOOKUP(C$2,行为概览!$D$3:$L$33,9,0)="","",VLOOKUP(C$2,行为概览!$D$3:$L$33,9,0)*IF(玩法行为规划!B75&gt;0,1,0))</f>
        <v>4</v>
      </c>
      <c r="D75" s="7">
        <f>IF(VLOOKUP(D$2,行为概览!$D$3:$L$33,9,0)="","",VLOOKUP(D$2,行为概览!$D$3:$L$33,9,0)*IF(玩法行为规划!C75&gt;0,1,0))</f>
        <v>1.65</v>
      </c>
      <c r="E75" s="7">
        <f>IF(VLOOKUP(E$2,行为概览!$D$3:$L$33,9,0)="","",VLOOKUP(E$2,行为概览!$D$3:$L$33,9,0)*IF(玩法行为规划!D75&gt;0,1,0))</f>
        <v>0.5</v>
      </c>
      <c r="F75" s="7">
        <f>IF(VLOOKUP(F$2,行为概览!$D$3:$L$33,9,0)="","",VLOOKUP(F$2,行为概览!$D$3:$L$33,9,0)*IF(玩法行为规划!E75&gt;0,1,0))</f>
        <v>1</v>
      </c>
      <c r="G75" s="7" t="str">
        <f>IF(VLOOKUP(G$2,行为概览!$D$3:$L$33,9,0)="","",VLOOKUP(G$2,行为概览!$D$3:$L$33,9,0)*IF(玩法行为规划!F75&gt;0,1,0))</f>
        <v/>
      </c>
      <c r="H75" s="7" t="str">
        <f>IF(VLOOKUP(H$2,行为概览!$D$3:$L$33,9,0)="","",VLOOKUP(H$2,行为概览!$D$3:$L$33,9,0)*IF(玩法行为规划!G75&gt;0,1,0))</f>
        <v/>
      </c>
      <c r="I75" s="7" t="str">
        <f>IF(VLOOKUP(I$2,行为概览!$D$3:$L$33,9,0)="","",VLOOKUP(I$2,行为概览!$D$3:$L$33,9,0)*IF(玩法行为规划!H75&gt;0,1,0))</f>
        <v/>
      </c>
      <c r="J75" s="7" t="str">
        <f>IF(VLOOKUP(J$2,行为概览!$D$3:$L$33,9,0)="","",VLOOKUP(J$2,行为概览!$D$3:$L$33,9,0)*IF(玩法行为规划!I75&gt;0,1,0))</f>
        <v/>
      </c>
      <c r="K75" s="7">
        <f>IF(VLOOKUP(K$2,行为概览!$D$3:$L$33,9,0)="","",VLOOKUP(K$2,行为概览!$D$3:$L$33,9,0)*IF(玩法行为规划!J75&gt;0,1,0))</f>
        <v>1</v>
      </c>
      <c r="L75" s="7">
        <f>IF(VLOOKUP(L$2,行为概览!$D$3:$L$33,9,0)="","",VLOOKUP(L$2,行为概览!$D$3:$L$33,9,0)*IF(玩法行为规划!K75&gt;0,1,0))</f>
        <v>1</v>
      </c>
      <c r="M75" s="7" t="str">
        <f>IF(VLOOKUP(M$2,行为概览!$D$3:$L$33,9,0)="","",VLOOKUP(M$2,行为概览!$D$3:$L$33,9,0)*IF(玩法行为规划!L75&gt;0,1,0))</f>
        <v/>
      </c>
      <c r="N75" s="7" t="str">
        <f>IF(VLOOKUP(N$2,行为概览!$D$3:$L$33,9,0)="","",VLOOKUP(N$2,行为概览!$D$3:$L$33,9,0)*IF(玩法行为规划!M75&gt;0,1,0))</f>
        <v/>
      </c>
      <c r="O75" s="7" t="str">
        <f>IF(VLOOKUP(O$2,行为概览!$D$3:$L$33,9,0)="","",VLOOKUP(O$2,行为概览!$D$3:$L$33,9,0)*IF(玩法行为规划!N75&gt;0,1,0))</f>
        <v/>
      </c>
      <c r="P75" s="7">
        <f>IF(VLOOKUP(P$2,行为概览!$D$3:$L$33,9,0)="","",VLOOKUP(P$2,行为概览!$D$3:$L$33,9,0)*IF(玩法行为规划!O75&gt;0,1,0))</f>
        <v>0.5</v>
      </c>
      <c r="Q75" s="7">
        <f>IF(VLOOKUP(Q$2,行为概览!$D$3:$L$33,9,0)="","",VLOOKUP(Q$2,行为概览!$D$3:$L$33,9,0)*IF(玩法行为规划!P75&gt;0,1,0))</f>
        <v>5</v>
      </c>
      <c r="R75" s="7" t="str">
        <f>IF(VLOOKUP(R$2,行为概览!$D$3:$L$33,9,0)="","",VLOOKUP(R$2,行为概览!$D$3:$L$33,9,0)*IF(玩法行为规划!Q75&gt;0,1,0))</f>
        <v/>
      </c>
      <c r="S75" s="7">
        <f>IF(VLOOKUP(S$2,行为概览!$D$3:$L$33,9,0)="","",VLOOKUP(S$2,行为概览!$D$3:$L$33,9,0)*IF(玩法行为规划!R75&gt;0,1,0))</f>
        <v>1</v>
      </c>
      <c r="T75" s="7">
        <f>IF(VLOOKUP(T$2,行为概览!$D$3:$L$33,9,0)="","",VLOOKUP(T$2,行为概览!$D$3:$L$33,9,0)*IF(玩法行为规划!S75&gt;0,1,0))</f>
        <v>0</v>
      </c>
      <c r="U75" s="7">
        <f>IF(VLOOKUP(U$2,行为概览!$D$3:$L$33,9,0)="","",VLOOKUP(U$2,行为概览!$D$3:$L$33,9,0)*IF(玩法行为规划!T75&gt;0,1,0))</f>
        <v>1</v>
      </c>
      <c r="V75" s="7">
        <f>IF(VLOOKUP(V$2,行为概览!$D$3:$L$33,9,0)="","",VLOOKUP(V$2,行为概览!$D$3:$L$33,9,0)*IF(玩法行为规划!U75&gt;0,1,0))</f>
        <v>1.5</v>
      </c>
      <c r="W75" s="7">
        <f>IF(VLOOKUP(W$2,行为概览!$D$3:$L$33,9,0)="","",VLOOKUP(W$2,行为概览!$D$3:$L$33,9,0)*IF(玩法行为规划!V75&gt;0,1,0))</f>
        <v>1</v>
      </c>
      <c r="X75" s="7">
        <f>IF(VLOOKUP(X$2,行为概览!$D$3:$L$33,9,0)="","",VLOOKUP(X$2,行为概览!$D$3:$L$33,9,0)*IF(玩法行为规划!W75&gt;0,1,0))</f>
        <v>1</v>
      </c>
      <c r="Y75" s="7">
        <f>IF(VLOOKUP(Y$2,行为概览!$D$3:$L$33,9,0)="","",VLOOKUP(Y$2,行为概览!$D$3:$L$33,9,0)*IF(玩法行为规划!X75&gt;0,1,0))</f>
        <v>1</v>
      </c>
      <c r="Z75" s="7">
        <f>IF(VLOOKUP(Z$2,行为概览!$D$3:$L$33,9,0)="","",VLOOKUP(Z$2,行为概览!$D$3:$L$33,9,0)*IF(玩法行为规划!Y75&gt;0,1,0))</f>
        <v>3</v>
      </c>
      <c r="AA75" s="7">
        <f>IF(VLOOKUP(AA$2,行为概览!$D$3:$L$33,9,0)="","",VLOOKUP(AA$2,行为概览!$D$3:$L$33,9,0)*IF(玩法行为规划!Z75&gt;0,1,0))</f>
        <v>0.5</v>
      </c>
      <c r="AB75" s="7" t="str">
        <f>IF(VLOOKUP(AB$2,行为概览!$D$3:$L$33,9,0)="","",VLOOKUP(AB$2,行为概览!$D$3:$L$33,9,0)*IF(玩法行为规划!AA75&gt;0,1,0))</f>
        <v/>
      </c>
      <c r="AC75" s="7" t="str">
        <f>IF(VLOOKUP(AC$2,行为概览!$D$3:$L$33,9,0)="","",VLOOKUP(AC$2,行为概览!$D$3:$L$33,9,0)*IF(玩法行为规划!AB75&gt;0,1,0))</f>
        <v/>
      </c>
      <c r="AD75" s="7" t="str">
        <f>IF(VLOOKUP(AD$2,行为概览!$D$3:$L$33,9,0)="","",VLOOKUP(AD$2,行为概览!$D$3:$L$33,9,0)*玩法行为规划!AC75)</f>
        <v/>
      </c>
      <c r="AE75" s="7" t="str">
        <f>IF(VLOOKUP(AE$2,行为概览!$D$3:$L$33,9,0)="","",VLOOKUP(AE$2,行为概览!$D$3:$L$33,9,0)*玩法行为规划!AD75)</f>
        <v/>
      </c>
      <c r="AF75" s="7">
        <f t="shared" si="13"/>
        <v>24.65</v>
      </c>
      <c r="AG75" s="10">
        <f t="shared" si="14"/>
        <v>1799450</v>
      </c>
      <c r="AH75" s="7">
        <f>ROUND(AG75*升级节奏!G75,0)</f>
        <v>13839720</v>
      </c>
      <c r="AI75" s="7">
        <f t="shared" si="15"/>
        <v>313900</v>
      </c>
      <c r="AJ75" s="21" t="str">
        <f t="shared" si="12"/>
        <v/>
      </c>
      <c r="AK75" s="7">
        <f t="shared" si="16"/>
        <v>2.2178071758320487E-2</v>
      </c>
      <c r="AL75" s="7">
        <f t="shared" si="17"/>
        <v>14153620</v>
      </c>
      <c r="AM75" s="7">
        <f>SUM($AL$3:AL75)</f>
        <v>127081362</v>
      </c>
      <c r="AN75" s="166">
        <f t="shared" si="18"/>
        <v>475900</v>
      </c>
      <c r="AO75" s="7">
        <f>SUM($AN$3:AN75)*7</f>
        <v>31987200</v>
      </c>
      <c r="AP75" s="69">
        <f t="shared" si="19"/>
        <v>92996262</v>
      </c>
      <c r="AQ75" s="160">
        <f t="shared" si="20"/>
        <v>1398600</v>
      </c>
      <c r="AR75" s="160">
        <f t="shared" si="21"/>
        <v>699300</v>
      </c>
    </row>
    <row r="76" spans="1:44">
      <c r="A76" s="32">
        <v>74</v>
      </c>
      <c r="B76" s="81">
        <f>升级节奏!E76</f>
        <v>74000</v>
      </c>
      <c r="C76" s="7">
        <f>IF(VLOOKUP(C$2,行为概览!$D$3:$L$33,9,0)="","",VLOOKUP(C$2,行为概览!$D$3:$L$33,9,0)*IF(玩法行为规划!B76&gt;0,1,0))</f>
        <v>4</v>
      </c>
      <c r="D76" s="7">
        <f>IF(VLOOKUP(D$2,行为概览!$D$3:$L$33,9,0)="","",VLOOKUP(D$2,行为概览!$D$3:$L$33,9,0)*IF(玩法行为规划!C76&gt;0,1,0))</f>
        <v>1.65</v>
      </c>
      <c r="E76" s="7">
        <f>IF(VLOOKUP(E$2,行为概览!$D$3:$L$33,9,0)="","",VLOOKUP(E$2,行为概览!$D$3:$L$33,9,0)*IF(玩法行为规划!D76&gt;0,1,0))</f>
        <v>0.5</v>
      </c>
      <c r="F76" s="7">
        <f>IF(VLOOKUP(F$2,行为概览!$D$3:$L$33,9,0)="","",VLOOKUP(F$2,行为概览!$D$3:$L$33,9,0)*IF(玩法行为规划!E76&gt;0,1,0))</f>
        <v>1</v>
      </c>
      <c r="G76" s="7" t="str">
        <f>IF(VLOOKUP(G$2,行为概览!$D$3:$L$33,9,0)="","",VLOOKUP(G$2,行为概览!$D$3:$L$33,9,0)*IF(玩法行为规划!F76&gt;0,1,0))</f>
        <v/>
      </c>
      <c r="H76" s="7" t="str">
        <f>IF(VLOOKUP(H$2,行为概览!$D$3:$L$33,9,0)="","",VLOOKUP(H$2,行为概览!$D$3:$L$33,9,0)*IF(玩法行为规划!G76&gt;0,1,0))</f>
        <v/>
      </c>
      <c r="I76" s="7" t="str">
        <f>IF(VLOOKUP(I$2,行为概览!$D$3:$L$33,9,0)="","",VLOOKUP(I$2,行为概览!$D$3:$L$33,9,0)*IF(玩法行为规划!H76&gt;0,1,0))</f>
        <v/>
      </c>
      <c r="J76" s="7" t="str">
        <f>IF(VLOOKUP(J$2,行为概览!$D$3:$L$33,9,0)="","",VLOOKUP(J$2,行为概览!$D$3:$L$33,9,0)*IF(玩法行为规划!I76&gt;0,1,0))</f>
        <v/>
      </c>
      <c r="K76" s="7">
        <f>IF(VLOOKUP(K$2,行为概览!$D$3:$L$33,9,0)="","",VLOOKUP(K$2,行为概览!$D$3:$L$33,9,0)*IF(玩法行为规划!J76&gt;0,1,0))</f>
        <v>1</v>
      </c>
      <c r="L76" s="7">
        <f>IF(VLOOKUP(L$2,行为概览!$D$3:$L$33,9,0)="","",VLOOKUP(L$2,行为概览!$D$3:$L$33,9,0)*IF(玩法行为规划!K76&gt;0,1,0))</f>
        <v>1</v>
      </c>
      <c r="M76" s="7" t="str">
        <f>IF(VLOOKUP(M$2,行为概览!$D$3:$L$33,9,0)="","",VLOOKUP(M$2,行为概览!$D$3:$L$33,9,0)*IF(玩法行为规划!L76&gt;0,1,0))</f>
        <v/>
      </c>
      <c r="N76" s="7" t="str">
        <f>IF(VLOOKUP(N$2,行为概览!$D$3:$L$33,9,0)="","",VLOOKUP(N$2,行为概览!$D$3:$L$33,9,0)*IF(玩法行为规划!M76&gt;0,1,0))</f>
        <v/>
      </c>
      <c r="O76" s="7" t="str">
        <f>IF(VLOOKUP(O$2,行为概览!$D$3:$L$33,9,0)="","",VLOOKUP(O$2,行为概览!$D$3:$L$33,9,0)*IF(玩法行为规划!N76&gt;0,1,0))</f>
        <v/>
      </c>
      <c r="P76" s="7">
        <f>IF(VLOOKUP(P$2,行为概览!$D$3:$L$33,9,0)="","",VLOOKUP(P$2,行为概览!$D$3:$L$33,9,0)*IF(玩法行为规划!O76&gt;0,1,0))</f>
        <v>0.5</v>
      </c>
      <c r="Q76" s="7">
        <f>IF(VLOOKUP(Q$2,行为概览!$D$3:$L$33,9,0)="","",VLOOKUP(Q$2,行为概览!$D$3:$L$33,9,0)*IF(玩法行为规划!P76&gt;0,1,0))</f>
        <v>5</v>
      </c>
      <c r="R76" s="7" t="str">
        <f>IF(VLOOKUP(R$2,行为概览!$D$3:$L$33,9,0)="","",VLOOKUP(R$2,行为概览!$D$3:$L$33,9,0)*IF(玩法行为规划!Q76&gt;0,1,0))</f>
        <v/>
      </c>
      <c r="S76" s="7">
        <f>IF(VLOOKUP(S$2,行为概览!$D$3:$L$33,9,0)="","",VLOOKUP(S$2,行为概览!$D$3:$L$33,9,0)*IF(玩法行为规划!R76&gt;0,1,0))</f>
        <v>1</v>
      </c>
      <c r="T76" s="7">
        <f>IF(VLOOKUP(T$2,行为概览!$D$3:$L$33,9,0)="","",VLOOKUP(T$2,行为概览!$D$3:$L$33,9,0)*IF(玩法行为规划!S76&gt;0,1,0))</f>
        <v>0</v>
      </c>
      <c r="U76" s="7">
        <f>IF(VLOOKUP(U$2,行为概览!$D$3:$L$33,9,0)="","",VLOOKUP(U$2,行为概览!$D$3:$L$33,9,0)*IF(玩法行为规划!T76&gt;0,1,0))</f>
        <v>1</v>
      </c>
      <c r="V76" s="7">
        <f>IF(VLOOKUP(V$2,行为概览!$D$3:$L$33,9,0)="","",VLOOKUP(V$2,行为概览!$D$3:$L$33,9,0)*IF(玩法行为规划!U76&gt;0,1,0))</f>
        <v>1.5</v>
      </c>
      <c r="W76" s="7">
        <f>IF(VLOOKUP(W$2,行为概览!$D$3:$L$33,9,0)="","",VLOOKUP(W$2,行为概览!$D$3:$L$33,9,0)*IF(玩法行为规划!V76&gt;0,1,0))</f>
        <v>1</v>
      </c>
      <c r="X76" s="7">
        <f>IF(VLOOKUP(X$2,行为概览!$D$3:$L$33,9,0)="","",VLOOKUP(X$2,行为概览!$D$3:$L$33,9,0)*IF(玩法行为规划!W76&gt;0,1,0))</f>
        <v>1</v>
      </c>
      <c r="Y76" s="7">
        <f>IF(VLOOKUP(Y$2,行为概览!$D$3:$L$33,9,0)="","",VLOOKUP(Y$2,行为概览!$D$3:$L$33,9,0)*IF(玩法行为规划!X76&gt;0,1,0))</f>
        <v>1</v>
      </c>
      <c r="Z76" s="7">
        <f>IF(VLOOKUP(Z$2,行为概览!$D$3:$L$33,9,0)="","",VLOOKUP(Z$2,行为概览!$D$3:$L$33,9,0)*IF(玩法行为规划!Y76&gt;0,1,0))</f>
        <v>3</v>
      </c>
      <c r="AA76" s="7">
        <f>IF(VLOOKUP(AA$2,行为概览!$D$3:$L$33,9,0)="","",VLOOKUP(AA$2,行为概览!$D$3:$L$33,9,0)*IF(玩法行为规划!Z76&gt;0,1,0))</f>
        <v>0.5</v>
      </c>
      <c r="AB76" s="7" t="str">
        <f>IF(VLOOKUP(AB$2,行为概览!$D$3:$L$33,9,0)="","",VLOOKUP(AB$2,行为概览!$D$3:$L$33,9,0)*IF(玩法行为规划!AA76&gt;0,1,0))</f>
        <v/>
      </c>
      <c r="AC76" s="7" t="str">
        <f>IF(VLOOKUP(AC$2,行为概览!$D$3:$L$33,9,0)="","",VLOOKUP(AC$2,行为概览!$D$3:$L$33,9,0)*IF(玩法行为规划!AB76&gt;0,1,0))</f>
        <v/>
      </c>
      <c r="AD76" s="7" t="str">
        <f>IF(VLOOKUP(AD$2,行为概览!$D$3:$L$33,9,0)="","",VLOOKUP(AD$2,行为概览!$D$3:$L$33,9,0)*玩法行为规划!AC76)</f>
        <v/>
      </c>
      <c r="AE76" s="7" t="str">
        <f>IF(VLOOKUP(AE$2,行为概览!$D$3:$L$33,9,0)="","",VLOOKUP(AE$2,行为概览!$D$3:$L$33,9,0)*玩法行为规划!AD76)</f>
        <v/>
      </c>
      <c r="AF76" s="7">
        <f t="shared" si="13"/>
        <v>24.65</v>
      </c>
      <c r="AG76" s="10">
        <f t="shared" si="14"/>
        <v>1824100</v>
      </c>
      <c r="AH76" s="7">
        <f>ROUND(AG76*升级节奏!G76,0)</f>
        <v>14409174</v>
      </c>
      <c r="AI76" s="7">
        <f t="shared" si="15"/>
        <v>325600</v>
      </c>
      <c r="AJ76" s="21" t="str">
        <f t="shared" ref="AJ76:AJ107" si="22">IF(--RIGHT(A76,1)=0,SUM(AI76:AI85),"")</f>
        <v/>
      </c>
      <c r="AK76" s="7">
        <f t="shared" si="16"/>
        <v>2.2097386766841486E-2</v>
      </c>
      <c r="AL76" s="7">
        <f t="shared" si="17"/>
        <v>14734774</v>
      </c>
      <c r="AM76" s="7">
        <f>SUM($AL$3:AL76)</f>
        <v>141816136</v>
      </c>
      <c r="AN76" s="166">
        <f t="shared" si="18"/>
        <v>495100</v>
      </c>
      <c r="AO76" s="7">
        <f>SUM($AN$3:AN76)*7</f>
        <v>35452900</v>
      </c>
      <c r="AP76" s="69">
        <f t="shared" si="19"/>
        <v>104179636</v>
      </c>
      <c r="AQ76" s="160">
        <f t="shared" si="20"/>
        <v>1455700</v>
      </c>
      <c r="AR76" s="160">
        <f t="shared" si="21"/>
        <v>727900</v>
      </c>
    </row>
    <row r="77" spans="1:44">
      <c r="A77" s="32">
        <v>75</v>
      </c>
      <c r="B77" s="81">
        <f>升级节奏!E77</f>
        <v>75000</v>
      </c>
      <c r="C77" s="7">
        <f>IF(VLOOKUP(C$2,行为概览!$D$3:$L$33,9,0)="","",VLOOKUP(C$2,行为概览!$D$3:$L$33,9,0)*IF(玩法行为规划!B77&gt;0,1,0))</f>
        <v>4</v>
      </c>
      <c r="D77" s="7">
        <f>IF(VLOOKUP(D$2,行为概览!$D$3:$L$33,9,0)="","",VLOOKUP(D$2,行为概览!$D$3:$L$33,9,0)*IF(玩法行为规划!C77&gt;0,1,0))</f>
        <v>1.65</v>
      </c>
      <c r="E77" s="7">
        <f>IF(VLOOKUP(E$2,行为概览!$D$3:$L$33,9,0)="","",VLOOKUP(E$2,行为概览!$D$3:$L$33,9,0)*IF(玩法行为规划!D77&gt;0,1,0))</f>
        <v>0.5</v>
      </c>
      <c r="F77" s="7">
        <f>IF(VLOOKUP(F$2,行为概览!$D$3:$L$33,9,0)="","",VLOOKUP(F$2,行为概览!$D$3:$L$33,9,0)*IF(玩法行为规划!E77&gt;0,1,0))</f>
        <v>1</v>
      </c>
      <c r="G77" s="7" t="str">
        <f>IF(VLOOKUP(G$2,行为概览!$D$3:$L$33,9,0)="","",VLOOKUP(G$2,行为概览!$D$3:$L$33,9,0)*IF(玩法行为规划!F77&gt;0,1,0))</f>
        <v/>
      </c>
      <c r="H77" s="7" t="str">
        <f>IF(VLOOKUP(H$2,行为概览!$D$3:$L$33,9,0)="","",VLOOKUP(H$2,行为概览!$D$3:$L$33,9,0)*IF(玩法行为规划!G77&gt;0,1,0))</f>
        <v/>
      </c>
      <c r="I77" s="7" t="str">
        <f>IF(VLOOKUP(I$2,行为概览!$D$3:$L$33,9,0)="","",VLOOKUP(I$2,行为概览!$D$3:$L$33,9,0)*IF(玩法行为规划!H77&gt;0,1,0))</f>
        <v/>
      </c>
      <c r="J77" s="7" t="str">
        <f>IF(VLOOKUP(J$2,行为概览!$D$3:$L$33,9,0)="","",VLOOKUP(J$2,行为概览!$D$3:$L$33,9,0)*IF(玩法行为规划!I77&gt;0,1,0))</f>
        <v/>
      </c>
      <c r="K77" s="7">
        <f>IF(VLOOKUP(K$2,行为概览!$D$3:$L$33,9,0)="","",VLOOKUP(K$2,行为概览!$D$3:$L$33,9,0)*IF(玩法行为规划!J77&gt;0,1,0))</f>
        <v>1</v>
      </c>
      <c r="L77" s="7">
        <f>IF(VLOOKUP(L$2,行为概览!$D$3:$L$33,9,0)="","",VLOOKUP(L$2,行为概览!$D$3:$L$33,9,0)*IF(玩法行为规划!K77&gt;0,1,0))</f>
        <v>1</v>
      </c>
      <c r="M77" s="7" t="str">
        <f>IF(VLOOKUP(M$2,行为概览!$D$3:$L$33,9,0)="","",VLOOKUP(M$2,行为概览!$D$3:$L$33,9,0)*IF(玩法行为规划!L77&gt;0,1,0))</f>
        <v/>
      </c>
      <c r="N77" s="7" t="str">
        <f>IF(VLOOKUP(N$2,行为概览!$D$3:$L$33,9,0)="","",VLOOKUP(N$2,行为概览!$D$3:$L$33,9,0)*IF(玩法行为规划!M77&gt;0,1,0))</f>
        <v/>
      </c>
      <c r="O77" s="7" t="str">
        <f>IF(VLOOKUP(O$2,行为概览!$D$3:$L$33,9,0)="","",VLOOKUP(O$2,行为概览!$D$3:$L$33,9,0)*IF(玩法行为规划!N77&gt;0,1,0))</f>
        <v/>
      </c>
      <c r="P77" s="7">
        <f>IF(VLOOKUP(P$2,行为概览!$D$3:$L$33,9,0)="","",VLOOKUP(P$2,行为概览!$D$3:$L$33,9,0)*IF(玩法行为规划!O77&gt;0,1,0))</f>
        <v>0.5</v>
      </c>
      <c r="Q77" s="7">
        <f>IF(VLOOKUP(Q$2,行为概览!$D$3:$L$33,9,0)="","",VLOOKUP(Q$2,行为概览!$D$3:$L$33,9,0)*IF(玩法行为规划!P77&gt;0,1,0))</f>
        <v>5</v>
      </c>
      <c r="R77" s="7" t="str">
        <f>IF(VLOOKUP(R$2,行为概览!$D$3:$L$33,9,0)="","",VLOOKUP(R$2,行为概览!$D$3:$L$33,9,0)*IF(玩法行为规划!Q77&gt;0,1,0))</f>
        <v/>
      </c>
      <c r="S77" s="7">
        <f>IF(VLOOKUP(S$2,行为概览!$D$3:$L$33,9,0)="","",VLOOKUP(S$2,行为概览!$D$3:$L$33,9,0)*IF(玩法行为规划!R77&gt;0,1,0))</f>
        <v>1</v>
      </c>
      <c r="T77" s="7">
        <f>IF(VLOOKUP(T$2,行为概览!$D$3:$L$33,9,0)="","",VLOOKUP(T$2,行为概览!$D$3:$L$33,9,0)*IF(玩法行为规划!S77&gt;0,1,0))</f>
        <v>0</v>
      </c>
      <c r="U77" s="7">
        <f>IF(VLOOKUP(U$2,行为概览!$D$3:$L$33,9,0)="","",VLOOKUP(U$2,行为概览!$D$3:$L$33,9,0)*IF(玩法行为规划!T77&gt;0,1,0))</f>
        <v>1</v>
      </c>
      <c r="V77" s="7">
        <f>IF(VLOOKUP(V$2,行为概览!$D$3:$L$33,9,0)="","",VLOOKUP(V$2,行为概览!$D$3:$L$33,9,0)*IF(玩法行为规划!U77&gt;0,1,0))</f>
        <v>1.5</v>
      </c>
      <c r="W77" s="7">
        <f>IF(VLOOKUP(W$2,行为概览!$D$3:$L$33,9,0)="","",VLOOKUP(W$2,行为概览!$D$3:$L$33,9,0)*IF(玩法行为规划!V77&gt;0,1,0))</f>
        <v>1</v>
      </c>
      <c r="X77" s="7">
        <f>IF(VLOOKUP(X$2,行为概览!$D$3:$L$33,9,0)="","",VLOOKUP(X$2,行为概览!$D$3:$L$33,9,0)*IF(玩法行为规划!W77&gt;0,1,0))</f>
        <v>1</v>
      </c>
      <c r="Y77" s="7">
        <f>IF(VLOOKUP(Y$2,行为概览!$D$3:$L$33,9,0)="","",VLOOKUP(Y$2,行为概览!$D$3:$L$33,9,0)*IF(玩法行为规划!X77&gt;0,1,0))</f>
        <v>1</v>
      </c>
      <c r="Z77" s="7">
        <f>IF(VLOOKUP(Z$2,行为概览!$D$3:$L$33,9,0)="","",VLOOKUP(Z$2,行为概览!$D$3:$L$33,9,0)*IF(玩法行为规划!Y77&gt;0,1,0))</f>
        <v>3</v>
      </c>
      <c r="AA77" s="7">
        <f>IF(VLOOKUP(AA$2,行为概览!$D$3:$L$33,9,0)="","",VLOOKUP(AA$2,行为概览!$D$3:$L$33,9,0)*IF(玩法行为规划!Z77&gt;0,1,0))</f>
        <v>0.5</v>
      </c>
      <c r="AB77" s="7" t="str">
        <f>IF(VLOOKUP(AB$2,行为概览!$D$3:$L$33,9,0)="","",VLOOKUP(AB$2,行为概览!$D$3:$L$33,9,0)*IF(玩法行为规划!AA77&gt;0,1,0))</f>
        <v/>
      </c>
      <c r="AC77" s="7" t="str">
        <f>IF(VLOOKUP(AC$2,行为概览!$D$3:$L$33,9,0)="","",VLOOKUP(AC$2,行为概览!$D$3:$L$33,9,0)*IF(玩法行为规划!AB77&gt;0,1,0))</f>
        <v/>
      </c>
      <c r="AD77" s="7" t="str">
        <f>IF(VLOOKUP(AD$2,行为概览!$D$3:$L$33,9,0)="","",VLOOKUP(AD$2,行为概览!$D$3:$L$33,9,0)*玩法行为规划!AC77)</f>
        <v/>
      </c>
      <c r="AE77" s="7" t="str">
        <f>IF(VLOOKUP(AE$2,行为概览!$D$3:$L$33,9,0)="","",VLOOKUP(AE$2,行为概览!$D$3:$L$33,9,0)*玩法行为规划!AD77)</f>
        <v/>
      </c>
      <c r="AF77" s="7">
        <f t="shared" si="13"/>
        <v>24.65</v>
      </c>
      <c r="AG77" s="10">
        <f t="shared" si="14"/>
        <v>1848750</v>
      </c>
      <c r="AH77" s="7">
        <f>ROUND(AG77*升级节奏!G77,0)</f>
        <v>14994133</v>
      </c>
      <c r="AI77" s="7">
        <f t="shared" si="15"/>
        <v>337500</v>
      </c>
      <c r="AJ77" s="21" t="str">
        <f t="shared" si="22"/>
        <v/>
      </c>
      <c r="AK77" s="7">
        <f t="shared" si="16"/>
        <v>2.2013310649948378E-2</v>
      </c>
      <c r="AL77" s="7">
        <f t="shared" si="17"/>
        <v>15331633</v>
      </c>
      <c r="AM77" s="7">
        <f>SUM($AL$3:AL77)</f>
        <v>157147769</v>
      </c>
      <c r="AN77" s="166">
        <f t="shared" si="18"/>
        <v>514800</v>
      </c>
      <c r="AO77" s="7">
        <f>SUM($AN$3:AN77)*7</f>
        <v>39056500</v>
      </c>
      <c r="AP77" s="69">
        <f t="shared" si="19"/>
        <v>115819669</v>
      </c>
      <c r="AQ77" s="160">
        <f t="shared" si="20"/>
        <v>1514400</v>
      </c>
      <c r="AR77" s="160">
        <f t="shared" si="21"/>
        <v>757200</v>
      </c>
    </row>
    <row r="78" spans="1:44">
      <c r="A78" s="32">
        <v>76</v>
      </c>
      <c r="B78" s="81">
        <f>升级节奏!E78</f>
        <v>76000</v>
      </c>
      <c r="C78" s="7">
        <f>IF(VLOOKUP(C$2,行为概览!$D$3:$L$33,9,0)="","",VLOOKUP(C$2,行为概览!$D$3:$L$33,9,0)*IF(玩法行为规划!B78&gt;0,1,0))</f>
        <v>4</v>
      </c>
      <c r="D78" s="7">
        <f>IF(VLOOKUP(D$2,行为概览!$D$3:$L$33,9,0)="","",VLOOKUP(D$2,行为概览!$D$3:$L$33,9,0)*IF(玩法行为规划!C78&gt;0,1,0))</f>
        <v>1.65</v>
      </c>
      <c r="E78" s="7">
        <f>IF(VLOOKUP(E$2,行为概览!$D$3:$L$33,9,0)="","",VLOOKUP(E$2,行为概览!$D$3:$L$33,9,0)*IF(玩法行为规划!D78&gt;0,1,0))</f>
        <v>0.5</v>
      </c>
      <c r="F78" s="7">
        <f>IF(VLOOKUP(F$2,行为概览!$D$3:$L$33,9,0)="","",VLOOKUP(F$2,行为概览!$D$3:$L$33,9,0)*IF(玩法行为规划!E78&gt;0,1,0))</f>
        <v>1</v>
      </c>
      <c r="G78" s="7" t="str">
        <f>IF(VLOOKUP(G$2,行为概览!$D$3:$L$33,9,0)="","",VLOOKUP(G$2,行为概览!$D$3:$L$33,9,0)*IF(玩法行为规划!F78&gt;0,1,0))</f>
        <v/>
      </c>
      <c r="H78" s="7" t="str">
        <f>IF(VLOOKUP(H$2,行为概览!$D$3:$L$33,9,0)="","",VLOOKUP(H$2,行为概览!$D$3:$L$33,9,0)*IF(玩法行为规划!G78&gt;0,1,0))</f>
        <v/>
      </c>
      <c r="I78" s="7" t="str">
        <f>IF(VLOOKUP(I$2,行为概览!$D$3:$L$33,9,0)="","",VLOOKUP(I$2,行为概览!$D$3:$L$33,9,0)*IF(玩法行为规划!H78&gt;0,1,0))</f>
        <v/>
      </c>
      <c r="J78" s="7" t="str">
        <f>IF(VLOOKUP(J$2,行为概览!$D$3:$L$33,9,0)="","",VLOOKUP(J$2,行为概览!$D$3:$L$33,9,0)*IF(玩法行为规划!I78&gt;0,1,0))</f>
        <v/>
      </c>
      <c r="K78" s="7">
        <f>IF(VLOOKUP(K$2,行为概览!$D$3:$L$33,9,0)="","",VLOOKUP(K$2,行为概览!$D$3:$L$33,9,0)*IF(玩法行为规划!J78&gt;0,1,0))</f>
        <v>1</v>
      </c>
      <c r="L78" s="7">
        <f>IF(VLOOKUP(L$2,行为概览!$D$3:$L$33,9,0)="","",VLOOKUP(L$2,行为概览!$D$3:$L$33,9,0)*IF(玩法行为规划!K78&gt;0,1,0))</f>
        <v>1</v>
      </c>
      <c r="M78" s="7" t="str">
        <f>IF(VLOOKUP(M$2,行为概览!$D$3:$L$33,9,0)="","",VLOOKUP(M$2,行为概览!$D$3:$L$33,9,0)*IF(玩法行为规划!L78&gt;0,1,0))</f>
        <v/>
      </c>
      <c r="N78" s="7" t="str">
        <f>IF(VLOOKUP(N$2,行为概览!$D$3:$L$33,9,0)="","",VLOOKUP(N$2,行为概览!$D$3:$L$33,9,0)*IF(玩法行为规划!M78&gt;0,1,0))</f>
        <v/>
      </c>
      <c r="O78" s="7" t="str">
        <f>IF(VLOOKUP(O$2,行为概览!$D$3:$L$33,9,0)="","",VLOOKUP(O$2,行为概览!$D$3:$L$33,9,0)*IF(玩法行为规划!N78&gt;0,1,0))</f>
        <v/>
      </c>
      <c r="P78" s="7">
        <f>IF(VLOOKUP(P$2,行为概览!$D$3:$L$33,9,0)="","",VLOOKUP(P$2,行为概览!$D$3:$L$33,9,0)*IF(玩法行为规划!O78&gt;0,1,0))</f>
        <v>0.5</v>
      </c>
      <c r="Q78" s="7">
        <f>IF(VLOOKUP(Q$2,行为概览!$D$3:$L$33,9,0)="","",VLOOKUP(Q$2,行为概览!$D$3:$L$33,9,0)*IF(玩法行为规划!P78&gt;0,1,0))</f>
        <v>5</v>
      </c>
      <c r="R78" s="7" t="str">
        <f>IF(VLOOKUP(R$2,行为概览!$D$3:$L$33,9,0)="","",VLOOKUP(R$2,行为概览!$D$3:$L$33,9,0)*IF(玩法行为规划!Q78&gt;0,1,0))</f>
        <v/>
      </c>
      <c r="S78" s="7">
        <f>IF(VLOOKUP(S$2,行为概览!$D$3:$L$33,9,0)="","",VLOOKUP(S$2,行为概览!$D$3:$L$33,9,0)*IF(玩法行为规划!R78&gt;0,1,0))</f>
        <v>1</v>
      </c>
      <c r="T78" s="7">
        <f>IF(VLOOKUP(T$2,行为概览!$D$3:$L$33,9,0)="","",VLOOKUP(T$2,行为概览!$D$3:$L$33,9,0)*IF(玩法行为规划!S78&gt;0,1,0))</f>
        <v>0</v>
      </c>
      <c r="U78" s="7">
        <f>IF(VLOOKUP(U$2,行为概览!$D$3:$L$33,9,0)="","",VLOOKUP(U$2,行为概览!$D$3:$L$33,9,0)*IF(玩法行为规划!T78&gt;0,1,0))</f>
        <v>1</v>
      </c>
      <c r="V78" s="7">
        <f>IF(VLOOKUP(V$2,行为概览!$D$3:$L$33,9,0)="","",VLOOKUP(V$2,行为概览!$D$3:$L$33,9,0)*IF(玩法行为规划!U78&gt;0,1,0))</f>
        <v>1.5</v>
      </c>
      <c r="W78" s="7">
        <f>IF(VLOOKUP(W$2,行为概览!$D$3:$L$33,9,0)="","",VLOOKUP(W$2,行为概览!$D$3:$L$33,9,0)*IF(玩法行为规划!V78&gt;0,1,0))</f>
        <v>1</v>
      </c>
      <c r="X78" s="7">
        <f>IF(VLOOKUP(X$2,行为概览!$D$3:$L$33,9,0)="","",VLOOKUP(X$2,行为概览!$D$3:$L$33,9,0)*IF(玩法行为规划!W78&gt;0,1,0))</f>
        <v>1</v>
      </c>
      <c r="Y78" s="7">
        <f>IF(VLOOKUP(Y$2,行为概览!$D$3:$L$33,9,0)="","",VLOOKUP(Y$2,行为概览!$D$3:$L$33,9,0)*IF(玩法行为规划!X78&gt;0,1,0))</f>
        <v>1</v>
      </c>
      <c r="Z78" s="7">
        <f>IF(VLOOKUP(Z$2,行为概览!$D$3:$L$33,9,0)="","",VLOOKUP(Z$2,行为概览!$D$3:$L$33,9,0)*IF(玩法行为规划!Y78&gt;0,1,0))</f>
        <v>3</v>
      </c>
      <c r="AA78" s="7">
        <f>IF(VLOOKUP(AA$2,行为概览!$D$3:$L$33,9,0)="","",VLOOKUP(AA$2,行为概览!$D$3:$L$33,9,0)*IF(玩法行为规划!Z78&gt;0,1,0))</f>
        <v>0.5</v>
      </c>
      <c r="AB78" s="7" t="str">
        <f>IF(VLOOKUP(AB$2,行为概览!$D$3:$L$33,9,0)="","",VLOOKUP(AB$2,行为概览!$D$3:$L$33,9,0)*IF(玩法行为规划!AA78&gt;0,1,0))</f>
        <v/>
      </c>
      <c r="AC78" s="7" t="str">
        <f>IF(VLOOKUP(AC$2,行为概览!$D$3:$L$33,9,0)="","",VLOOKUP(AC$2,行为概览!$D$3:$L$33,9,0)*IF(玩法行为规划!AB78&gt;0,1,0))</f>
        <v/>
      </c>
      <c r="AD78" s="7" t="str">
        <f>IF(VLOOKUP(AD$2,行为概览!$D$3:$L$33,9,0)="","",VLOOKUP(AD$2,行为概览!$D$3:$L$33,9,0)*玩法行为规划!AC78)</f>
        <v/>
      </c>
      <c r="AE78" s="7" t="str">
        <f>IF(VLOOKUP(AE$2,行为概览!$D$3:$L$33,9,0)="","",VLOOKUP(AE$2,行为概览!$D$3:$L$33,9,0)*玩法行为规划!AD78)</f>
        <v/>
      </c>
      <c r="AF78" s="7">
        <f t="shared" si="13"/>
        <v>24.65</v>
      </c>
      <c r="AG78" s="10">
        <f t="shared" si="14"/>
        <v>1873400</v>
      </c>
      <c r="AH78" s="7">
        <f>ROUND(AG78*升级节奏!G78,0)</f>
        <v>15594806</v>
      </c>
      <c r="AI78" s="7">
        <f t="shared" si="15"/>
        <v>349600</v>
      </c>
      <c r="AJ78" s="21" t="str">
        <f t="shared" si="22"/>
        <v/>
      </c>
      <c r="AK78" s="7">
        <f t="shared" si="16"/>
        <v>2.1926185271498984E-2</v>
      </c>
      <c r="AL78" s="7">
        <f t="shared" si="17"/>
        <v>15944406</v>
      </c>
      <c r="AM78" s="7">
        <f>SUM($AL$3:AL78)</f>
        <v>173092175</v>
      </c>
      <c r="AN78" s="166">
        <f t="shared" si="18"/>
        <v>535000</v>
      </c>
      <c r="AO78" s="7">
        <f>SUM($AN$3:AN78)*7</f>
        <v>42801500</v>
      </c>
      <c r="AP78" s="69">
        <f t="shared" si="19"/>
        <v>127928675</v>
      </c>
      <c r="AQ78" s="160">
        <f t="shared" si="20"/>
        <v>1574700</v>
      </c>
      <c r="AR78" s="160">
        <f t="shared" si="21"/>
        <v>787300</v>
      </c>
    </row>
    <row r="79" spans="1:44">
      <c r="A79" s="32">
        <v>77</v>
      </c>
      <c r="B79" s="81">
        <f>升级节奏!E79</f>
        <v>77000</v>
      </c>
      <c r="C79" s="7">
        <f>IF(VLOOKUP(C$2,行为概览!$D$3:$L$33,9,0)="","",VLOOKUP(C$2,行为概览!$D$3:$L$33,9,0)*IF(玩法行为规划!B79&gt;0,1,0))</f>
        <v>4</v>
      </c>
      <c r="D79" s="7">
        <f>IF(VLOOKUP(D$2,行为概览!$D$3:$L$33,9,0)="","",VLOOKUP(D$2,行为概览!$D$3:$L$33,9,0)*IF(玩法行为规划!C79&gt;0,1,0))</f>
        <v>1.65</v>
      </c>
      <c r="E79" s="7">
        <f>IF(VLOOKUP(E$2,行为概览!$D$3:$L$33,9,0)="","",VLOOKUP(E$2,行为概览!$D$3:$L$33,9,0)*IF(玩法行为规划!D79&gt;0,1,0))</f>
        <v>0.5</v>
      </c>
      <c r="F79" s="7">
        <f>IF(VLOOKUP(F$2,行为概览!$D$3:$L$33,9,0)="","",VLOOKUP(F$2,行为概览!$D$3:$L$33,9,0)*IF(玩法行为规划!E79&gt;0,1,0))</f>
        <v>1</v>
      </c>
      <c r="G79" s="7" t="str">
        <f>IF(VLOOKUP(G$2,行为概览!$D$3:$L$33,9,0)="","",VLOOKUP(G$2,行为概览!$D$3:$L$33,9,0)*IF(玩法行为规划!F79&gt;0,1,0))</f>
        <v/>
      </c>
      <c r="H79" s="7" t="str">
        <f>IF(VLOOKUP(H$2,行为概览!$D$3:$L$33,9,0)="","",VLOOKUP(H$2,行为概览!$D$3:$L$33,9,0)*IF(玩法行为规划!G79&gt;0,1,0))</f>
        <v/>
      </c>
      <c r="I79" s="7" t="str">
        <f>IF(VLOOKUP(I$2,行为概览!$D$3:$L$33,9,0)="","",VLOOKUP(I$2,行为概览!$D$3:$L$33,9,0)*IF(玩法行为规划!H79&gt;0,1,0))</f>
        <v/>
      </c>
      <c r="J79" s="7" t="str">
        <f>IF(VLOOKUP(J$2,行为概览!$D$3:$L$33,9,0)="","",VLOOKUP(J$2,行为概览!$D$3:$L$33,9,0)*IF(玩法行为规划!I79&gt;0,1,0))</f>
        <v/>
      </c>
      <c r="K79" s="7">
        <f>IF(VLOOKUP(K$2,行为概览!$D$3:$L$33,9,0)="","",VLOOKUP(K$2,行为概览!$D$3:$L$33,9,0)*IF(玩法行为规划!J79&gt;0,1,0))</f>
        <v>1</v>
      </c>
      <c r="L79" s="7">
        <f>IF(VLOOKUP(L$2,行为概览!$D$3:$L$33,9,0)="","",VLOOKUP(L$2,行为概览!$D$3:$L$33,9,0)*IF(玩法行为规划!K79&gt;0,1,0))</f>
        <v>1</v>
      </c>
      <c r="M79" s="7" t="str">
        <f>IF(VLOOKUP(M$2,行为概览!$D$3:$L$33,9,0)="","",VLOOKUP(M$2,行为概览!$D$3:$L$33,9,0)*IF(玩法行为规划!L79&gt;0,1,0))</f>
        <v/>
      </c>
      <c r="N79" s="7" t="str">
        <f>IF(VLOOKUP(N$2,行为概览!$D$3:$L$33,9,0)="","",VLOOKUP(N$2,行为概览!$D$3:$L$33,9,0)*IF(玩法行为规划!M79&gt;0,1,0))</f>
        <v/>
      </c>
      <c r="O79" s="7" t="str">
        <f>IF(VLOOKUP(O$2,行为概览!$D$3:$L$33,9,0)="","",VLOOKUP(O$2,行为概览!$D$3:$L$33,9,0)*IF(玩法行为规划!N79&gt;0,1,0))</f>
        <v/>
      </c>
      <c r="P79" s="7">
        <f>IF(VLOOKUP(P$2,行为概览!$D$3:$L$33,9,0)="","",VLOOKUP(P$2,行为概览!$D$3:$L$33,9,0)*IF(玩法行为规划!O79&gt;0,1,0))</f>
        <v>0.5</v>
      </c>
      <c r="Q79" s="7">
        <f>IF(VLOOKUP(Q$2,行为概览!$D$3:$L$33,9,0)="","",VLOOKUP(Q$2,行为概览!$D$3:$L$33,9,0)*IF(玩法行为规划!P79&gt;0,1,0))</f>
        <v>5</v>
      </c>
      <c r="R79" s="7" t="str">
        <f>IF(VLOOKUP(R$2,行为概览!$D$3:$L$33,9,0)="","",VLOOKUP(R$2,行为概览!$D$3:$L$33,9,0)*IF(玩法行为规划!Q79&gt;0,1,0))</f>
        <v/>
      </c>
      <c r="S79" s="7">
        <f>IF(VLOOKUP(S$2,行为概览!$D$3:$L$33,9,0)="","",VLOOKUP(S$2,行为概览!$D$3:$L$33,9,0)*IF(玩法行为规划!R79&gt;0,1,0))</f>
        <v>1</v>
      </c>
      <c r="T79" s="7">
        <f>IF(VLOOKUP(T$2,行为概览!$D$3:$L$33,9,0)="","",VLOOKUP(T$2,行为概览!$D$3:$L$33,9,0)*IF(玩法行为规划!S79&gt;0,1,0))</f>
        <v>0</v>
      </c>
      <c r="U79" s="7">
        <f>IF(VLOOKUP(U$2,行为概览!$D$3:$L$33,9,0)="","",VLOOKUP(U$2,行为概览!$D$3:$L$33,9,0)*IF(玩法行为规划!T79&gt;0,1,0))</f>
        <v>1</v>
      </c>
      <c r="V79" s="7">
        <f>IF(VLOOKUP(V$2,行为概览!$D$3:$L$33,9,0)="","",VLOOKUP(V$2,行为概览!$D$3:$L$33,9,0)*IF(玩法行为规划!U79&gt;0,1,0))</f>
        <v>1.5</v>
      </c>
      <c r="W79" s="7">
        <f>IF(VLOOKUP(W$2,行为概览!$D$3:$L$33,9,0)="","",VLOOKUP(W$2,行为概览!$D$3:$L$33,9,0)*IF(玩法行为规划!V79&gt;0,1,0))</f>
        <v>1</v>
      </c>
      <c r="X79" s="7">
        <f>IF(VLOOKUP(X$2,行为概览!$D$3:$L$33,9,0)="","",VLOOKUP(X$2,行为概览!$D$3:$L$33,9,0)*IF(玩法行为规划!W79&gt;0,1,0))</f>
        <v>1</v>
      </c>
      <c r="Y79" s="7">
        <f>IF(VLOOKUP(Y$2,行为概览!$D$3:$L$33,9,0)="","",VLOOKUP(Y$2,行为概览!$D$3:$L$33,9,0)*IF(玩法行为规划!X79&gt;0,1,0))</f>
        <v>1</v>
      </c>
      <c r="Z79" s="7">
        <f>IF(VLOOKUP(Z$2,行为概览!$D$3:$L$33,9,0)="","",VLOOKUP(Z$2,行为概览!$D$3:$L$33,9,0)*IF(玩法行为规划!Y79&gt;0,1,0))</f>
        <v>3</v>
      </c>
      <c r="AA79" s="7">
        <f>IF(VLOOKUP(AA$2,行为概览!$D$3:$L$33,9,0)="","",VLOOKUP(AA$2,行为概览!$D$3:$L$33,9,0)*IF(玩法行为规划!Z79&gt;0,1,0))</f>
        <v>0.5</v>
      </c>
      <c r="AB79" s="7" t="str">
        <f>IF(VLOOKUP(AB$2,行为概览!$D$3:$L$33,9,0)="","",VLOOKUP(AB$2,行为概览!$D$3:$L$33,9,0)*IF(玩法行为规划!AA79&gt;0,1,0))</f>
        <v/>
      </c>
      <c r="AC79" s="7" t="str">
        <f>IF(VLOOKUP(AC$2,行为概览!$D$3:$L$33,9,0)="","",VLOOKUP(AC$2,行为概览!$D$3:$L$33,9,0)*IF(玩法行为规划!AB79&gt;0,1,0))</f>
        <v/>
      </c>
      <c r="AD79" s="7" t="str">
        <f>IF(VLOOKUP(AD$2,行为概览!$D$3:$L$33,9,0)="","",VLOOKUP(AD$2,行为概览!$D$3:$L$33,9,0)*玩法行为规划!AC79)</f>
        <v/>
      </c>
      <c r="AE79" s="7" t="str">
        <f>IF(VLOOKUP(AE$2,行为概览!$D$3:$L$33,9,0)="","",VLOOKUP(AE$2,行为概览!$D$3:$L$33,9,0)*玩法行为规划!AD79)</f>
        <v/>
      </c>
      <c r="AF79" s="7">
        <f t="shared" si="13"/>
        <v>24.65</v>
      </c>
      <c r="AG79" s="10">
        <f t="shared" si="14"/>
        <v>1898050</v>
      </c>
      <c r="AH79" s="7">
        <f>ROUND(AG79*升级节奏!G79,0)</f>
        <v>16211403</v>
      </c>
      <c r="AI79" s="7">
        <f t="shared" si="15"/>
        <v>361900</v>
      </c>
      <c r="AJ79" s="21" t="str">
        <f t="shared" si="22"/>
        <v/>
      </c>
      <c r="AK79" s="7">
        <f t="shared" si="16"/>
        <v>2.1836323151757982E-2</v>
      </c>
      <c r="AL79" s="7">
        <f t="shared" si="17"/>
        <v>16573303</v>
      </c>
      <c r="AM79" s="7">
        <f>SUM($AL$3:AL79)</f>
        <v>189665478</v>
      </c>
      <c r="AN79" s="166">
        <f t="shared" si="18"/>
        <v>555800</v>
      </c>
      <c r="AO79" s="7">
        <f>SUM($AN$3:AN79)*7</f>
        <v>46692100</v>
      </c>
      <c r="AP79" s="69">
        <f t="shared" si="19"/>
        <v>140518578</v>
      </c>
      <c r="AQ79" s="160">
        <f t="shared" si="20"/>
        <v>1636500</v>
      </c>
      <c r="AR79" s="160">
        <f t="shared" si="21"/>
        <v>818300</v>
      </c>
    </row>
    <row r="80" spans="1:44">
      <c r="A80" s="32">
        <v>78</v>
      </c>
      <c r="B80" s="81">
        <f>升级节奏!E80</f>
        <v>78000</v>
      </c>
      <c r="C80" s="7">
        <f>IF(VLOOKUP(C$2,行为概览!$D$3:$L$33,9,0)="","",VLOOKUP(C$2,行为概览!$D$3:$L$33,9,0)*IF(玩法行为规划!B80&gt;0,1,0))</f>
        <v>4</v>
      </c>
      <c r="D80" s="7">
        <f>IF(VLOOKUP(D$2,行为概览!$D$3:$L$33,9,0)="","",VLOOKUP(D$2,行为概览!$D$3:$L$33,9,0)*IF(玩法行为规划!C80&gt;0,1,0))</f>
        <v>1.65</v>
      </c>
      <c r="E80" s="7">
        <f>IF(VLOOKUP(E$2,行为概览!$D$3:$L$33,9,0)="","",VLOOKUP(E$2,行为概览!$D$3:$L$33,9,0)*IF(玩法行为规划!D80&gt;0,1,0))</f>
        <v>0.5</v>
      </c>
      <c r="F80" s="7">
        <f>IF(VLOOKUP(F$2,行为概览!$D$3:$L$33,9,0)="","",VLOOKUP(F$2,行为概览!$D$3:$L$33,9,0)*IF(玩法行为规划!E80&gt;0,1,0))</f>
        <v>1</v>
      </c>
      <c r="G80" s="7" t="str">
        <f>IF(VLOOKUP(G$2,行为概览!$D$3:$L$33,9,0)="","",VLOOKUP(G$2,行为概览!$D$3:$L$33,9,0)*IF(玩法行为规划!F80&gt;0,1,0))</f>
        <v/>
      </c>
      <c r="H80" s="7" t="str">
        <f>IF(VLOOKUP(H$2,行为概览!$D$3:$L$33,9,0)="","",VLOOKUP(H$2,行为概览!$D$3:$L$33,9,0)*IF(玩法行为规划!G80&gt;0,1,0))</f>
        <v/>
      </c>
      <c r="I80" s="7" t="str">
        <f>IF(VLOOKUP(I$2,行为概览!$D$3:$L$33,9,0)="","",VLOOKUP(I$2,行为概览!$D$3:$L$33,9,0)*IF(玩法行为规划!H80&gt;0,1,0))</f>
        <v/>
      </c>
      <c r="J80" s="7" t="str">
        <f>IF(VLOOKUP(J$2,行为概览!$D$3:$L$33,9,0)="","",VLOOKUP(J$2,行为概览!$D$3:$L$33,9,0)*IF(玩法行为规划!I80&gt;0,1,0))</f>
        <v/>
      </c>
      <c r="K80" s="7">
        <f>IF(VLOOKUP(K$2,行为概览!$D$3:$L$33,9,0)="","",VLOOKUP(K$2,行为概览!$D$3:$L$33,9,0)*IF(玩法行为规划!J80&gt;0,1,0))</f>
        <v>1</v>
      </c>
      <c r="L80" s="7">
        <f>IF(VLOOKUP(L$2,行为概览!$D$3:$L$33,9,0)="","",VLOOKUP(L$2,行为概览!$D$3:$L$33,9,0)*IF(玩法行为规划!K80&gt;0,1,0))</f>
        <v>1</v>
      </c>
      <c r="M80" s="7" t="str">
        <f>IF(VLOOKUP(M$2,行为概览!$D$3:$L$33,9,0)="","",VLOOKUP(M$2,行为概览!$D$3:$L$33,9,0)*IF(玩法行为规划!L80&gt;0,1,0))</f>
        <v/>
      </c>
      <c r="N80" s="7" t="str">
        <f>IF(VLOOKUP(N$2,行为概览!$D$3:$L$33,9,0)="","",VLOOKUP(N$2,行为概览!$D$3:$L$33,9,0)*IF(玩法行为规划!M80&gt;0,1,0))</f>
        <v/>
      </c>
      <c r="O80" s="7" t="str">
        <f>IF(VLOOKUP(O$2,行为概览!$D$3:$L$33,9,0)="","",VLOOKUP(O$2,行为概览!$D$3:$L$33,9,0)*IF(玩法行为规划!N80&gt;0,1,0))</f>
        <v/>
      </c>
      <c r="P80" s="7">
        <f>IF(VLOOKUP(P$2,行为概览!$D$3:$L$33,9,0)="","",VLOOKUP(P$2,行为概览!$D$3:$L$33,9,0)*IF(玩法行为规划!O80&gt;0,1,0))</f>
        <v>0.5</v>
      </c>
      <c r="Q80" s="7">
        <f>IF(VLOOKUP(Q$2,行为概览!$D$3:$L$33,9,0)="","",VLOOKUP(Q$2,行为概览!$D$3:$L$33,9,0)*IF(玩法行为规划!P80&gt;0,1,0))</f>
        <v>5</v>
      </c>
      <c r="R80" s="7" t="str">
        <f>IF(VLOOKUP(R$2,行为概览!$D$3:$L$33,9,0)="","",VLOOKUP(R$2,行为概览!$D$3:$L$33,9,0)*IF(玩法行为规划!Q80&gt;0,1,0))</f>
        <v/>
      </c>
      <c r="S80" s="7">
        <f>IF(VLOOKUP(S$2,行为概览!$D$3:$L$33,9,0)="","",VLOOKUP(S$2,行为概览!$D$3:$L$33,9,0)*IF(玩法行为规划!R80&gt;0,1,0))</f>
        <v>1</v>
      </c>
      <c r="T80" s="7">
        <f>IF(VLOOKUP(T$2,行为概览!$D$3:$L$33,9,0)="","",VLOOKUP(T$2,行为概览!$D$3:$L$33,9,0)*IF(玩法行为规划!S80&gt;0,1,0))</f>
        <v>0</v>
      </c>
      <c r="U80" s="7">
        <f>IF(VLOOKUP(U$2,行为概览!$D$3:$L$33,9,0)="","",VLOOKUP(U$2,行为概览!$D$3:$L$33,9,0)*IF(玩法行为规划!T80&gt;0,1,0))</f>
        <v>1</v>
      </c>
      <c r="V80" s="7">
        <f>IF(VLOOKUP(V$2,行为概览!$D$3:$L$33,9,0)="","",VLOOKUP(V$2,行为概览!$D$3:$L$33,9,0)*IF(玩法行为规划!U80&gt;0,1,0))</f>
        <v>1.5</v>
      </c>
      <c r="W80" s="7">
        <f>IF(VLOOKUP(W$2,行为概览!$D$3:$L$33,9,0)="","",VLOOKUP(W$2,行为概览!$D$3:$L$33,9,0)*IF(玩法行为规划!V80&gt;0,1,0))</f>
        <v>1</v>
      </c>
      <c r="X80" s="7">
        <f>IF(VLOOKUP(X$2,行为概览!$D$3:$L$33,9,0)="","",VLOOKUP(X$2,行为概览!$D$3:$L$33,9,0)*IF(玩法行为规划!W80&gt;0,1,0))</f>
        <v>1</v>
      </c>
      <c r="Y80" s="7">
        <f>IF(VLOOKUP(Y$2,行为概览!$D$3:$L$33,9,0)="","",VLOOKUP(Y$2,行为概览!$D$3:$L$33,9,0)*IF(玩法行为规划!X80&gt;0,1,0))</f>
        <v>1</v>
      </c>
      <c r="Z80" s="7">
        <f>IF(VLOOKUP(Z$2,行为概览!$D$3:$L$33,9,0)="","",VLOOKUP(Z$2,行为概览!$D$3:$L$33,9,0)*IF(玩法行为规划!Y80&gt;0,1,0))</f>
        <v>3</v>
      </c>
      <c r="AA80" s="7">
        <f>IF(VLOOKUP(AA$2,行为概览!$D$3:$L$33,9,0)="","",VLOOKUP(AA$2,行为概览!$D$3:$L$33,9,0)*IF(玩法行为规划!Z80&gt;0,1,0))</f>
        <v>0.5</v>
      </c>
      <c r="AB80" s="7" t="str">
        <f>IF(VLOOKUP(AB$2,行为概览!$D$3:$L$33,9,0)="","",VLOOKUP(AB$2,行为概览!$D$3:$L$33,9,0)*IF(玩法行为规划!AA80&gt;0,1,0))</f>
        <v/>
      </c>
      <c r="AC80" s="7" t="str">
        <f>IF(VLOOKUP(AC$2,行为概览!$D$3:$L$33,9,0)="","",VLOOKUP(AC$2,行为概览!$D$3:$L$33,9,0)*IF(玩法行为规划!AB80&gt;0,1,0))</f>
        <v/>
      </c>
      <c r="AD80" s="7" t="str">
        <f>IF(VLOOKUP(AD$2,行为概览!$D$3:$L$33,9,0)="","",VLOOKUP(AD$2,行为概览!$D$3:$L$33,9,0)*玩法行为规划!AC80)</f>
        <v/>
      </c>
      <c r="AE80" s="7" t="str">
        <f>IF(VLOOKUP(AE$2,行为概览!$D$3:$L$33,9,0)="","",VLOOKUP(AE$2,行为概览!$D$3:$L$33,9,0)*玩法行为规划!AD80)</f>
        <v/>
      </c>
      <c r="AF80" s="7">
        <f t="shared" si="13"/>
        <v>24.65</v>
      </c>
      <c r="AG80" s="10">
        <f t="shared" si="14"/>
        <v>1922700</v>
      </c>
      <c r="AH80" s="7">
        <f>ROUND(AG80*升级节奏!G80,0)</f>
        <v>16844134</v>
      </c>
      <c r="AI80" s="7">
        <f t="shared" si="15"/>
        <v>374400</v>
      </c>
      <c r="AJ80" s="21" t="str">
        <f t="shared" si="22"/>
        <v/>
      </c>
      <c r="AK80" s="7">
        <f t="shared" si="16"/>
        <v>2.1744011423969079E-2</v>
      </c>
      <c r="AL80" s="7">
        <f t="shared" si="17"/>
        <v>17218534</v>
      </c>
      <c r="AM80" s="7">
        <f>SUM($AL$3:AL80)</f>
        <v>206884012</v>
      </c>
      <c r="AN80" s="166">
        <f t="shared" si="18"/>
        <v>577100</v>
      </c>
      <c r="AO80" s="7">
        <f>SUM($AN$3:AN80)*7</f>
        <v>50731800</v>
      </c>
      <c r="AP80" s="69">
        <f t="shared" si="19"/>
        <v>153602212</v>
      </c>
      <c r="AQ80" s="160">
        <f t="shared" si="20"/>
        <v>1700000</v>
      </c>
      <c r="AR80" s="160">
        <f t="shared" si="21"/>
        <v>850000</v>
      </c>
    </row>
    <row r="81" spans="1:44">
      <c r="A81" s="32">
        <v>79</v>
      </c>
      <c r="B81" s="81">
        <f>升级节奏!E81</f>
        <v>79000</v>
      </c>
      <c r="C81" s="7">
        <f>IF(VLOOKUP(C$2,行为概览!$D$3:$L$33,9,0)="","",VLOOKUP(C$2,行为概览!$D$3:$L$33,9,0)*IF(玩法行为规划!B81&gt;0,1,0))</f>
        <v>4</v>
      </c>
      <c r="D81" s="7">
        <f>IF(VLOOKUP(D$2,行为概览!$D$3:$L$33,9,0)="","",VLOOKUP(D$2,行为概览!$D$3:$L$33,9,0)*IF(玩法行为规划!C81&gt;0,1,0))</f>
        <v>1.65</v>
      </c>
      <c r="E81" s="7">
        <f>IF(VLOOKUP(E$2,行为概览!$D$3:$L$33,9,0)="","",VLOOKUP(E$2,行为概览!$D$3:$L$33,9,0)*IF(玩法行为规划!D81&gt;0,1,0))</f>
        <v>0.5</v>
      </c>
      <c r="F81" s="7">
        <f>IF(VLOOKUP(F$2,行为概览!$D$3:$L$33,9,0)="","",VLOOKUP(F$2,行为概览!$D$3:$L$33,9,0)*IF(玩法行为规划!E81&gt;0,1,0))</f>
        <v>1</v>
      </c>
      <c r="G81" s="7" t="str">
        <f>IF(VLOOKUP(G$2,行为概览!$D$3:$L$33,9,0)="","",VLOOKUP(G$2,行为概览!$D$3:$L$33,9,0)*IF(玩法行为规划!F81&gt;0,1,0))</f>
        <v/>
      </c>
      <c r="H81" s="7" t="str">
        <f>IF(VLOOKUP(H$2,行为概览!$D$3:$L$33,9,0)="","",VLOOKUP(H$2,行为概览!$D$3:$L$33,9,0)*IF(玩法行为规划!G81&gt;0,1,0))</f>
        <v/>
      </c>
      <c r="I81" s="7" t="str">
        <f>IF(VLOOKUP(I$2,行为概览!$D$3:$L$33,9,0)="","",VLOOKUP(I$2,行为概览!$D$3:$L$33,9,0)*IF(玩法行为规划!H81&gt;0,1,0))</f>
        <v/>
      </c>
      <c r="J81" s="7" t="str">
        <f>IF(VLOOKUP(J$2,行为概览!$D$3:$L$33,9,0)="","",VLOOKUP(J$2,行为概览!$D$3:$L$33,9,0)*IF(玩法行为规划!I81&gt;0,1,0))</f>
        <v/>
      </c>
      <c r="K81" s="7">
        <f>IF(VLOOKUP(K$2,行为概览!$D$3:$L$33,9,0)="","",VLOOKUP(K$2,行为概览!$D$3:$L$33,9,0)*IF(玩法行为规划!J81&gt;0,1,0))</f>
        <v>1</v>
      </c>
      <c r="L81" s="7">
        <f>IF(VLOOKUP(L$2,行为概览!$D$3:$L$33,9,0)="","",VLOOKUP(L$2,行为概览!$D$3:$L$33,9,0)*IF(玩法行为规划!K81&gt;0,1,0))</f>
        <v>1</v>
      </c>
      <c r="M81" s="7" t="str">
        <f>IF(VLOOKUP(M$2,行为概览!$D$3:$L$33,9,0)="","",VLOOKUP(M$2,行为概览!$D$3:$L$33,9,0)*IF(玩法行为规划!L81&gt;0,1,0))</f>
        <v/>
      </c>
      <c r="N81" s="7" t="str">
        <f>IF(VLOOKUP(N$2,行为概览!$D$3:$L$33,9,0)="","",VLOOKUP(N$2,行为概览!$D$3:$L$33,9,0)*IF(玩法行为规划!M81&gt;0,1,0))</f>
        <v/>
      </c>
      <c r="O81" s="7" t="str">
        <f>IF(VLOOKUP(O$2,行为概览!$D$3:$L$33,9,0)="","",VLOOKUP(O$2,行为概览!$D$3:$L$33,9,0)*IF(玩法行为规划!N81&gt;0,1,0))</f>
        <v/>
      </c>
      <c r="P81" s="7">
        <f>IF(VLOOKUP(P$2,行为概览!$D$3:$L$33,9,0)="","",VLOOKUP(P$2,行为概览!$D$3:$L$33,9,0)*IF(玩法行为规划!O81&gt;0,1,0))</f>
        <v>0.5</v>
      </c>
      <c r="Q81" s="7">
        <f>IF(VLOOKUP(Q$2,行为概览!$D$3:$L$33,9,0)="","",VLOOKUP(Q$2,行为概览!$D$3:$L$33,9,0)*IF(玩法行为规划!P81&gt;0,1,0))</f>
        <v>5</v>
      </c>
      <c r="R81" s="7" t="str">
        <f>IF(VLOOKUP(R$2,行为概览!$D$3:$L$33,9,0)="","",VLOOKUP(R$2,行为概览!$D$3:$L$33,9,0)*IF(玩法行为规划!Q81&gt;0,1,0))</f>
        <v/>
      </c>
      <c r="S81" s="7">
        <f>IF(VLOOKUP(S$2,行为概览!$D$3:$L$33,9,0)="","",VLOOKUP(S$2,行为概览!$D$3:$L$33,9,0)*IF(玩法行为规划!R81&gt;0,1,0))</f>
        <v>1</v>
      </c>
      <c r="T81" s="7">
        <f>IF(VLOOKUP(T$2,行为概览!$D$3:$L$33,9,0)="","",VLOOKUP(T$2,行为概览!$D$3:$L$33,9,0)*IF(玩法行为规划!S81&gt;0,1,0))</f>
        <v>0</v>
      </c>
      <c r="U81" s="7">
        <f>IF(VLOOKUP(U$2,行为概览!$D$3:$L$33,9,0)="","",VLOOKUP(U$2,行为概览!$D$3:$L$33,9,0)*IF(玩法行为规划!T81&gt;0,1,0))</f>
        <v>1</v>
      </c>
      <c r="V81" s="7">
        <f>IF(VLOOKUP(V$2,行为概览!$D$3:$L$33,9,0)="","",VLOOKUP(V$2,行为概览!$D$3:$L$33,9,0)*IF(玩法行为规划!U81&gt;0,1,0))</f>
        <v>1.5</v>
      </c>
      <c r="W81" s="7">
        <f>IF(VLOOKUP(W$2,行为概览!$D$3:$L$33,9,0)="","",VLOOKUP(W$2,行为概览!$D$3:$L$33,9,0)*IF(玩法行为规划!V81&gt;0,1,0))</f>
        <v>1</v>
      </c>
      <c r="X81" s="7">
        <f>IF(VLOOKUP(X$2,行为概览!$D$3:$L$33,9,0)="","",VLOOKUP(X$2,行为概览!$D$3:$L$33,9,0)*IF(玩法行为规划!W81&gt;0,1,0))</f>
        <v>1</v>
      </c>
      <c r="Y81" s="7">
        <f>IF(VLOOKUP(Y$2,行为概览!$D$3:$L$33,9,0)="","",VLOOKUP(Y$2,行为概览!$D$3:$L$33,9,0)*IF(玩法行为规划!X81&gt;0,1,0))</f>
        <v>1</v>
      </c>
      <c r="Z81" s="7">
        <f>IF(VLOOKUP(Z$2,行为概览!$D$3:$L$33,9,0)="","",VLOOKUP(Z$2,行为概览!$D$3:$L$33,9,0)*IF(玩法行为规划!Y81&gt;0,1,0))</f>
        <v>3</v>
      </c>
      <c r="AA81" s="7">
        <f>IF(VLOOKUP(AA$2,行为概览!$D$3:$L$33,9,0)="","",VLOOKUP(AA$2,行为概览!$D$3:$L$33,9,0)*IF(玩法行为规划!Z81&gt;0,1,0))</f>
        <v>0.5</v>
      </c>
      <c r="AB81" s="7" t="str">
        <f>IF(VLOOKUP(AB$2,行为概览!$D$3:$L$33,9,0)="","",VLOOKUP(AB$2,行为概览!$D$3:$L$33,9,0)*IF(玩法行为规划!AA81&gt;0,1,0))</f>
        <v/>
      </c>
      <c r="AC81" s="7" t="str">
        <f>IF(VLOOKUP(AC$2,行为概览!$D$3:$L$33,9,0)="","",VLOOKUP(AC$2,行为概览!$D$3:$L$33,9,0)*IF(玩法行为规划!AB81&gt;0,1,0))</f>
        <v/>
      </c>
      <c r="AD81" s="7" t="str">
        <f>IF(VLOOKUP(AD$2,行为概览!$D$3:$L$33,9,0)="","",VLOOKUP(AD$2,行为概览!$D$3:$L$33,9,0)*玩法行为规划!AC81)</f>
        <v/>
      </c>
      <c r="AE81" s="7" t="str">
        <f>IF(VLOOKUP(AE$2,行为概览!$D$3:$L$33,9,0)="","",VLOOKUP(AE$2,行为概览!$D$3:$L$33,9,0)*玩法行为规划!AD81)</f>
        <v/>
      </c>
      <c r="AF81" s="7">
        <f t="shared" si="13"/>
        <v>24.65</v>
      </c>
      <c r="AG81" s="10">
        <f t="shared" si="14"/>
        <v>1947350</v>
      </c>
      <c r="AH81" s="7">
        <f>ROUND(AG81*升级节奏!G81,0)</f>
        <v>17493207</v>
      </c>
      <c r="AI81" s="7">
        <f t="shared" si="15"/>
        <v>387100</v>
      </c>
      <c r="AJ81" s="21" t="str">
        <f t="shared" si="22"/>
        <v/>
      </c>
      <c r="AK81" s="7">
        <f t="shared" si="16"/>
        <v>2.1649516420495465E-2</v>
      </c>
      <c r="AL81" s="7">
        <f t="shared" si="17"/>
        <v>17880307</v>
      </c>
      <c r="AM81" s="7">
        <f>SUM($AL$3:AL81)</f>
        <v>224764319</v>
      </c>
      <c r="AN81" s="166">
        <f t="shared" si="18"/>
        <v>598900</v>
      </c>
      <c r="AO81" s="7">
        <f>SUM($AN$3:AN81)*7</f>
        <v>54924100</v>
      </c>
      <c r="AP81" s="69">
        <f t="shared" si="19"/>
        <v>167192519</v>
      </c>
      <c r="AQ81" s="160">
        <f t="shared" si="20"/>
        <v>1765100</v>
      </c>
      <c r="AR81" s="160">
        <f t="shared" si="21"/>
        <v>882600</v>
      </c>
    </row>
    <row r="82" spans="1:44">
      <c r="A82" s="32">
        <v>80</v>
      </c>
      <c r="B82" s="81">
        <f>升级节奏!E82</f>
        <v>80000</v>
      </c>
      <c r="C82" s="7">
        <f>IF(VLOOKUP(C$2,行为概览!$D$3:$L$33,9,0)="","",VLOOKUP(C$2,行为概览!$D$3:$L$33,9,0)*IF(玩法行为规划!B82&gt;0,1,0))</f>
        <v>4</v>
      </c>
      <c r="D82" s="7">
        <f>IF(VLOOKUP(D$2,行为概览!$D$3:$L$33,9,0)="","",VLOOKUP(D$2,行为概览!$D$3:$L$33,9,0)*IF(玩法行为规划!C82&gt;0,1,0))</f>
        <v>1.65</v>
      </c>
      <c r="E82" s="7">
        <f>IF(VLOOKUP(E$2,行为概览!$D$3:$L$33,9,0)="","",VLOOKUP(E$2,行为概览!$D$3:$L$33,9,0)*IF(玩法行为规划!D82&gt;0,1,0))</f>
        <v>0.5</v>
      </c>
      <c r="F82" s="7">
        <f>IF(VLOOKUP(F$2,行为概览!$D$3:$L$33,9,0)="","",VLOOKUP(F$2,行为概览!$D$3:$L$33,9,0)*IF(玩法行为规划!E82&gt;0,1,0))</f>
        <v>1</v>
      </c>
      <c r="G82" s="7" t="str">
        <f>IF(VLOOKUP(G$2,行为概览!$D$3:$L$33,9,0)="","",VLOOKUP(G$2,行为概览!$D$3:$L$33,9,0)*IF(玩法行为规划!F82&gt;0,1,0))</f>
        <v/>
      </c>
      <c r="H82" s="7" t="str">
        <f>IF(VLOOKUP(H$2,行为概览!$D$3:$L$33,9,0)="","",VLOOKUP(H$2,行为概览!$D$3:$L$33,9,0)*IF(玩法行为规划!G82&gt;0,1,0))</f>
        <v/>
      </c>
      <c r="I82" s="7" t="str">
        <f>IF(VLOOKUP(I$2,行为概览!$D$3:$L$33,9,0)="","",VLOOKUP(I$2,行为概览!$D$3:$L$33,9,0)*IF(玩法行为规划!H82&gt;0,1,0))</f>
        <v/>
      </c>
      <c r="J82" s="7" t="str">
        <f>IF(VLOOKUP(J$2,行为概览!$D$3:$L$33,9,0)="","",VLOOKUP(J$2,行为概览!$D$3:$L$33,9,0)*IF(玩法行为规划!I82&gt;0,1,0))</f>
        <v/>
      </c>
      <c r="K82" s="7">
        <f>IF(VLOOKUP(K$2,行为概览!$D$3:$L$33,9,0)="","",VLOOKUP(K$2,行为概览!$D$3:$L$33,9,0)*IF(玩法行为规划!J82&gt;0,1,0))</f>
        <v>1</v>
      </c>
      <c r="L82" s="7">
        <f>IF(VLOOKUP(L$2,行为概览!$D$3:$L$33,9,0)="","",VLOOKUP(L$2,行为概览!$D$3:$L$33,9,0)*IF(玩法行为规划!K82&gt;0,1,0))</f>
        <v>1</v>
      </c>
      <c r="M82" s="7" t="str">
        <f>IF(VLOOKUP(M$2,行为概览!$D$3:$L$33,9,0)="","",VLOOKUP(M$2,行为概览!$D$3:$L$33,9,0)*IF(玩法行为规划!L82&gt;0,1,0))</f>
        <v/>
      </c>
      <c r="N82" s="7" t="str">
        <f>IF(VLOOKUP(N$2,行为概览!$D$3:$L$33,9,0)="","",VLOOKUP(N$2,行为概览!$D$3:$L$33,9,0)*IF(玩法行为规划!M82&gt;0,1,0))</f>
        <v/>
      </c>
      <c r="O82" s="7" t="str">
        <f>IF(VLOOKUP(O$2,行为概览!$D$3:$L$33,9,0)="","",VLOOKUP(O$2,行为概览!$D$3:$L$33,9,0)*IF(玩法行为规划!N82&gt;0,1,0))</f>
        <v/>
      </c>
      <c r="P82" s="7">
        <f>IF(VLOOKUP(P$2,行为概览!$D$3:$L$33,9,0)="","",VLOOKUP(P$2,行为概览!$D$3:$L$33,9,0)*IF(玩法行为规划!O82&gt;0,1,0))</f>
        <v>0.5</v>
      </c>
      <c r="Q82" s="7">
        <f>IF(VLOOKUP(Q$2,行为概览!$D$3:$L$33,9,0)="","",VLOOKUP(Q$2,行为概览!$D$3:$L$33,9,0)*IF(玩法行为规划!P82&gt;0,1,0))</f>
        <v>5</v>
      </c>
      <c r="R82" s="7" t="str">
        <f>IF(VLOOKUP(R$2,行为概览!$D$3:$L$33,9,0)="","",VLOOKUP(R$2,行为概览!$D$3:$L$33,9,0)*IF(玩法行为规划!Q82&gt;0,1,0))</f>
        <v/>
      </c>
      <c r="S82" s="7">
        <f>IF(VLOOKUP(S$2,行为概览!$D$3:$L$33,9,0)="","",VLOOKUP(S$2,行为概览!$D$3:$L$33,9,0)*IF(玩法行为规划!R82&gt;0,1,0))</f>
        <v>1</v>
      </c>
      <c r="T82" s="7">
        <f>IF(VLOOKUP(T$2,行为概览!$D$3:$L$33,9,0)="","",VLOOKUP(T$2,行为概览!$D$3:$L$33,9,0)*IF(玩法行为规划!S82&gt;0,1,0))</f>
        <v>0</v>
      </c>
      <c r="U82" s="7">
        <f>IF(VLOOKUP(U$2,行为概览!$D$3:$L$33,9,0)="","",VLOOKUP(U$2,行为概览!$D$3:$L$33,9,0)*IF(玩法行为规划!T82&gt;0,1,0))</f>
        <v>1</v>
      </c>
      <c r="V82" s="7">
        <f>IF(VLOOKUP(V$2,行为概览!$D$3:$L$33,9,0)="","",VLOOKUP(V$2,行为概览!$D$3:$L$33,9,0)*IF(玩法行为规划!U82&gt;0,1,0))</f>
        <v>1.5</v>
      </c>
      <c r="W82" s="7">
        <f>IF(VLOOKUP(W$2,行为概览!$D$3:$L$33,9,0)="","",VLOOKUP(W$2,行为概览!$D$3:$L$33,9,0)*IF(玩法行为规划!V82&gt;0,1,0))</f>
        <v>1</v>
      </c>
      <c r="X82" s="7">
        <f>IF(VLOOKUP(X$2,行为概览!$D$3:$L$33,9,0)="","",VLOOKUP(X$2,行为概览!$D$3:$L$33,9,0)*IF(玩法行为规划!W82&gt;0,1,0))</f>
        <v>1</v>
      </c>
      <c r="Y82" s="7">
        <f>IF(VLOOKUP(Y$2,行为概览!$D$3:$L$33,9,0)="","",VLOOKUP(Y$2,行为概览!$D$3:$L$33,9,0)*IF(玩法行为规划!X82&gt;0,1,0))</f>
        <v>1</v>
      </c>
      <c r="Z82" s="7">
        <f>IF(VLOOKUP(Z$2,行为概览!$D$3:$L$33,9,0)="","",VLOOKUP(Z$2,行为概览!$D$3:$L$33,9,0)*IF(玩法行为规划!Y82&gt;0,1,0))</f>
        <v>3</v>
      </c>
      <c r="AA82" s="7">
        <f>IF(VLOOKUP(AA$2,行为概览!$D$3:$L$33,9,0)="","",VLOOKUP(AA$2,行为概览!$D$3:$L$33,9,0)*IF(玩法行为规划!Z82&gt;0,1,0))</f>
        <v>0.5</v>
      </c>
      <c r="AB82" s="7" t="str">
        <f>IF(VLOOKUP(AB$2,行为概览!$D$3:$L$33,9,0)="","",VLOOKUP(AB$2,行为概览!$D$3:$L$33,9,0)*IF(玩法行为规划!AA82&gt;0,1,0))</f>
        <v/>
      </c>
      <c r="AC82" s="7" t="str">
        <f>IF(VLOOKUP(AC$2,行为概览!$D$3:$L$33,9,0)="","",VLOOKUP(AC$2,行为概览!$D$3:$L$33,9,0)*IF(玩法行为规划!AB82&gt;0,1,0))</f>
        <v/>
      </c>
      <c r="AD82" s="7" t="str">
        <f>IF(VLOOKUP(AD$2,行为概览!$D$3:$L$33,9,0)="","",VLOOKUP(AD$2,行为概览!$D$3:$L$33,9,0)*玩法行为规划!AC82)</f>
        <v/>
      </c>
      <c r="AE82" s="7" t="str">
        <f>IF(VLOOKUP(AE$2,行为概览!$D$3:$L$33,9,0)="","",VLOOKUP(AE$2,行为概览!$D$3:$L$33,9,0)*玩法行为规划!AD82)</f>
        <v/>
      </c>
      <c r="AF82" s="7">
        <f t="shared" si="13"/>
        <v>24.65</v>
      </c>
      <c r="AG82" s="10">
        <f t="shared" si="14"/>
        <v>1972000</v>
      </c>
      <c r="AH82" s="7">
        <f>ROUND(AG82*升级节奏!G82,0)</f>
        <v>18158833</v>
      </c>
      <c r="AI82" s="7">
        <f t="shared" si="15"/>
        <v>400000</v>
      </c>
      <c r="AJ82" s="21">
        <f t="shared" si="22"/>
        <v>4613500</v>
      </c>
      <c r="AK82" s="7">
        <f t="shared" si="16"/>
        <v>2.1553079334244777E-2</v>
      </c>
      <c r="AL82" s="7">
        <f t="shared" si="17"/>
        <v>18558833</v>
      </c>
      <c r="AM82" s="7">
        <f>SUM($AL$3:AL82)</f>
        <v>243323152</v>
      </c>
      <c r="AN82" s="166">
        <f t="shared" si="18"/>
        <v>621300</v>
      </c>
      <c r="AO82" s="7">
        <f>SUM($AN$3:AN82)*7</f>
        <v>59273200</v>
      </c>
      <c r="AP82" s="69">
        <f t="shared" si="19"/>
        <v>181302152</v>
      </c>
      <c r="AQ82" s="160">
        <f t="shared" si="20"/>
        <v>1831900</v>
      </c>
      <c r="AR82" s="160">
        <f t="shared" si="21"/>
        <v>915900</v>
      </c>
    </row>
    <row r="83" spans="1:44">
      <c r="A83" s="32">
        <v>81</v>
      </c>
      <c r="B83" s="81">
        <f>升级节奏!E83</f>
        <v>81000</v>
      </c>
      <c r="C83" s="7">
        <f>IF(VLOOKUP(C$2,行为概览!$D$3:$L$33,9,0)="","",VLOOKUP(C$2,行为概览!$D$3:$L$33,9,0)*IF(玩法行为规划!B83&gt;0,1,0))</f>
        <v>4</v>
      </c>
      <c r="D83" s="7">
        <f>IF(VLOOKUP(D$2,行为概览!$D$3:$L$33,9,0)="","",VLOOKUP(D$2,行为概览!$D$3:$L$33,9,0)*IF(玩法行为规划!C83&gt;0,1,0))</f>
        <v>1.65</v>
      </c>
      <c r="E83" s="7">
        <f>IF(VLOOKUP(E$2,行为概览!$D$3:$L$33,9,0)="","",VLOOKUP(E$2,行为概览!$D$3:$L$33,9,0)*IF(玩法行为规划!D83&gt;0,1,0))</f>
        <v>0.5</v>
      </c>
      <c r="F83" s="7">
        <f>IF(VLOOKUP(F$2,行为概览!$D$3:$L$33,9,0)="","",VLOOKUP(F$2,行为概览!$D$3:$L$33,9,0)*IF(玩法行为规划!E83&gt;0,1,0))</f>
        <v>1</v>
      </c>
      <c r="G83" s="7" t="str">
        <f>IF(VLOOKUP(G$2,行为概览!$D$3:$L$33,9,0)="","",VLOOKUP(G$2,行为概览!$D$3:$L$33,9,0)*IF(玩法行为规划!F83&gt;0,1,0))</f>
        <v/>
      </c>
      <c r="H83" s="7" t="str">
        <f>IF(VLOOKUP(H$2,行为概览!$D$3:$L$33,9,0)="","",VLOOKUP(H$2,行为概览!$D$3:$L$33,9,0)*IF(玩法行为规划!G83&gt;0,1,0))</f>
        <v/>
      </c>
      <c r="I83" s="7" t="str">
        <f>IF(VLOOKUP(I$2,行为概览!$D$3:$L$33,9,0)="","",VLOOKUP(I$2,行为概览!$D$3:$L$33,9,0)*IF(玩法行为规划!H83&gt;0,1,0))</f>
        <v/>
      </c>
      <c r="J83" s="7" t="str">
        <f>IF(VLOOKUP(J$2,行为概览!$D$3:$L$33,9,0)="","",VLOOKUP(J$2,行为概览!$D$3:$L$33,9,0)*IF(玩法行为规划!I83&gt;0,1,0))</f>
        <v/>
      </c>
      <c r="K83" s="7">
        <f>IF(VLOOKUP(K$2,行为概览!$D$3:$L$33,9,0)="","",VLOOKUP(K$2,行为概览!$D$3:$L$33,9,0)*IF(玩法行为规划!J83&gt;0,1,0))</f>
        <v>1</v>
      </c>
      <c r="L83" s="7">
        <f>IF(VLOOKUP(L$2,行为概览!$D$3:$L$33,9,0)="","",VLOOKUP(L$2,行为概览!$D$3:$L$33,9,0)*IF(玩法行为规划!K83&gt;0,1,0))</f>
        <v>1</v>
      </c>
      <c r="M83" s="7" t="str">
        <f>IF(VLOOKUP(M$2,行为概览!$D$3:$L$33,9,0)="","",VLOOKUP(M$2,行为概览!$D$3:$L$33,9,0)*IF(玩法行为规划!L83&gt;0,1,0))</f>
        <v/>
      </c>
      <c r="N83" s="7" t="str">
        <f>IF(VLOOKUP(N$2,行为概览!$D$3:$L$33,9,0)="","",VLOOKUP(N$2,行为概览!$D$3:$L$33,9,0)*IF(玩法行为规划!M83&gt;0,1,0))</f>
        <v/>
      </c>
      <c r="O83" s="7" t="str">
        <f>IF(VLOOKUP(O$2,行为概览!$D$3:$L$33,9,0)="","",VLOOKUP(O$2,行为概览!$D$3:$L$33,9,0)*IF(玩法行为规划!N83&gt;0,1,0))</f>
        <v/>
      </c>
      <c r="P83" s="7">
        <f>IF(VLOOKUP(P$2,行为概览!$D$3:$L$33,9,0)="","",VLOOKUP(P$2,行为概览!$D$3:$L$33,9,0)*IF(玩法行为规划!O83&gt;0,1,0))</f>
        <v>0.5</v>
      </c>
      <c r="Q83" s="7">
        <f>IF(VLOOKUP(Q$2,行为概览!$D$3:$L$33,9,0)="","",VLOOKUP(Q$2,行为概览!$D$3:$L$33,9,0)*IF(玩法行为规划!P83&gt;0,1,0))</f>
        <v>5</v>
      </c>
      <c r="R83" s="7" t="str">
        <f>IF(VLOOKUP(R$2,行为概览!$D$3:$L$33,9,0)="","",VLOOKUP(R$2,行为概览!$D$3:$L$33,9,0)*IF(玩法行为规划!Q83&gt;0,1,0))</f>
        <v/>
      </c>
      <c r="S83" s="7">
        <f>IF(VLOOKUP(S$2,行为概览!$D$3:$L$33,9,0)="","",VLOOKUP(S$2,行为概览!$D$3:$L$33,9,0)*IF(玩法行为规划!R83&gt;0,1,0))</f>
        <v>1</v>
      </c>
      <c r="T83" s="7">
        <f>IF(VLOOKUP(T$2,行为概览!$D$3:$L$33,9,0)="","",VLOOKUP(T$2,行为概览!$D$3:$L$33,9,0)*IF(玩法行为规划!S83&gt;0,1,0))</f>
        <v>0</v>
      </c>
      <c r="U83" s="7">
        <f>IF(VLOOKUP(U$2,行为概览!$D$3:$L$33,9,0)="","",VLOOKUP(U$2,行为概览!$D$3:$L$33,9,0)*IF(玩法行为规划!T83&gt;0,1,0))</f>
        <v>1</v>
      </c>
      <c r="V83" s="7">
        <f>IF(VLOOKUP(V$2,行为概览!$D$3:$L$33,9,0)="","",VLOOKUP(V$2,行为概览!$D$3:$L$33,9,0)*IF(玩法行为规划!U83&gt;0,1,0))</f>
        <v>1.5</v>
      </c>
      <c r="W83" s="7">
        <f>IF(VLOOKUP(W$2,行为概览!$D$3:$L$33,9,0)="","",VLOOKUP(W$2,行为概览!$D$3:$L$33,9,0)*IF(玩法行为规划!V83&gt;0,1,0))</f>
        <v>1</v>
      </c>
      <c r="X83" s="7">
        <f>IF(VLOOKUP(X$2,行为概览!$D$3:$L$33,9,0)="","",VLOOKUP(X$2,行为概览!$D$3:$L$33,9,0)*IF(玩法行为规划!W83&gt;0,1,0))</f>
        <v>1</v>
      </c>
      <c r="Y83" s="7">
        <f>IF(VLOOKUP(Y$2,行为概览!$D$3:$L$33,9,0)="","",VLOOKUP(Y$2,行为概览!$D$3:$L$33,9,0)*IF(玩法行为规划!X83&gt;0,1,0))</f>
        <v>1</v>
      </c>
      <c r="Z83" s="7">
        <f>IF(VLOOKUP(Z$2,行为概览!$D$3:$L$33,9,0)="","",VLOOKUP(Z$2,行为概览!$D$3:$L$33,9,0)*IF(玩法行为规划!Y83&gt;0,1,0))</f>
        <v>3</v>
      </c>
      <c r="AA83" s="7">
        <f>IF(VLOOKUP(AA$2,行为概览!$D$3:$L$33,9,0)="","",VLOOKUP(AA$2,行为概览!$D$3:$L$33,9,0)*IF(玩法行为规划!Z83&gt;0,1,0))</f>
        <v>0.5</v>
      </c>
      <c r="AB83" s="7" t="str">
        <f>IF(VLOOKUP(AB$2,行为概览!$D$3:$L$33,9,0)="","",VLOOKUP(AB$2,行为概览!$D$3:$L$33,9,0)*IF(玩法行为规划!AA83&gt;0,1,0))</f>
        <v/>
      </c>
      <c r="AC83" s="7" t="str">
        <f>IF(VLOOKUP(AC$2,行为概览!$D$3:$L$33,9,0)="","",VLOOKUP(AC$2,行为概览!$D$3:$L$33,9,0)*IF(玩法行为规划!AB83&gt;0,1,0))</f>
        <v/>
      </c>
      <c r="AD83" s="7" t="str">
        <f>IF(VLOOKUP(AD$2,行为概览!$D$3:$L$33,9,0)="","",VLOOKUP(AD$2,行为概览!$D$3:$L$33,9,0)*玩法行为规划!AC83)</f>
        <v/>
      </c>
      <c r="AE83" s="7" t="str">
        <f>IF(VLOOKUP(AE$2,行为概览!$D$3:$L$33,9,0)="","",VLOOKUP(AE$2,行为概览!$D$3:$L$33,9,0)*玩法行为规划!AD83)</f>
        <v/>
      </c>
      <c r="AF83" s="7">
        <f t="shared" si="13"/>
        <v>24.65</v>
      </c>
      <c r="AG83" s="10">
        <f t="shared" si="14"/>
        <v>1996650</v>
      </c>
      <c r="AH83" s="7">
        <f>ROUND(AG83*升级节奏!G83,0)</f>
        <v>18841221</v>
      </c>
      <c r="AI83" s="7">
        <f t="shared" si="15"/>
        <v>413100</v>
      </c>
      <c r="AJ83" s="21" t="str">
        <f t="shared" si="22"/>
        <v/>
      </c>
      <c r="AK83" s="7">
        <f t="shared" si="16"/>
        <v>2.1454924325817564E-2</v>
      </c>
      <c r="AL83" s="7">
        <f t="shared" si="17"/>
        <v>19254321</v>
      </c>
      <c r="AM83" s="7">
        <f>SUM($AL$3:AL83)</f>
        <v>262577473</v>
      </c>
      <c r="AN83" s="166">
        <f t="shared" si="18"/>
        <v>644200</v>
      </c>
      <c r="AO83" s="7">
        <f>SUM($AN$3:AN83)*7</f>
        <v>63782600</v>
      </c>
      <c r="AP83" s="69">
        <f t="shared" si="19"/>
        <v>195944373</v>
      </c>
      <c r="AQ83" s="160">
        <f t="shared" si="20"/>
        <v>1900300</v>
      </c>
      <c r="AR83" s="160">
        <f t="shared" si="21"/>
        <v>950200</v>
      </c>
    </row>
    <row r="84" spans="1:44">
      <c r="A84" s="32">
        <v>82</v>
      </c>
      <c r="B84" s="81">
        <f>升级节奏!E84</f>
        <v>82000</v>
      </c>
      <c r="C84" s="7">
        <f>IF(VLOOKUP(C$2,行为概览!$D$3:$L$33,9,0)="","",VLOOKUP(C$2,行为概览!$D$3:$L$33,9,0)*IF(玩法行为规划!B84&gt;0,1,0))</f>
        <v>4</v>
      </c>
      <c r="D84" s="7">
        <f>IF(VLOOKUP(D$2,行为概览!$D$3:$L$33,9,0)="","",VLOOKUP(D$2,行为概览!$D$3:$L$33,9,0)*IF(玩法行为规划!C84&gt;0,1,0))</f>
        <v>1.65</v>
      </c>
      <c r="E84" s="7">
        <f>IF(VLOOKUP(E$2,行为概览!$D$3:$L$33,9,0)="","",VLOOKUP(E$2,行为概览!$D$3:$L$33,9,0)*IF(玩法行为规划!D84&gt;0,1,0))</f>
        <v>0.5</v>
      </c>
      <c r="F84" s="7">
        <f>IF(VLOOKUP(F$2,行为概览!$D$3:$L$33,9,0)="","",VLOOKUP(F$2,行为概览!$D$3:$L$33,9,0)*IF(玩法行为规划!E84&gt;0,1,0))</f>
        <v>1</v>
      </c>
      <c r="G84" s="7" t="str">
        <f>IF(VLOOKUP(G$2,行为概览!$D$3:$L$33,9,0)="","",VLOOKUP(G$2,行为概览!$D$3:$L$33,9,0)*IF(玩法行为规划!F84&gt;0,1,0))</f>
        <v/>
      </c>
      <c r="H84" s="7" t="str">
        <f>IF(VLOOKUP(H$2,行为概览!$D$3:$L$33,9,0)="","",VLOOKUP(H$2,行为概览!$D$3:$L$33,9,0)*IF(玩法行为规划!G84&gt;0,1,0))</f>
        <v/>
      </c>
      <c r="I84" s="7" t="str">
        <f>IF(VLOOKUP(I$2,行为概览!$D$3:$L$33,9,0)="","",VLOOKUP(I$2,行为概览!$D$3:$L$33,9,0)*IF(玩法行为规划!H84&gt;0,1,0))</f>
        <v/>
      </c>
      <c r="J84" s="7" t="str">
        <f>IF(VLOOKUP(J$2,行为概览!$D$3:$L$33,9,0)="","",VLOOKUP(J$2,行为概览!$D$3:$L$33,9,0)*IF(玩法行为规划!I84&gt;0,1,0))</f>
        <v/>
      </c>
      <c r="K84" s="7">
        <f>IF(VLOOKUP(K$2,行为概览!$D$3:$L$33,9,0)="","",VLOOKUP(K$2,行为概览!$D$3:$L$33,9,0)*IF(玩法行为规划!J84&gt;0,1,0))</f>
        <v>1</v>
      </c>
      <c r="L84" s="7">
        <f>IF(VLOOKUP(L$2,行为概览!$D$3:$L$33,9,0)="","",VLOOKUP(L$2,行为概览!$D$3:$L$33,9,0)*IF(玩法行为规划!K84&gt;0,1,0))</f>
        <v>1</v>
      </c>
      <c r="M84" s="7" t="str">
        <f>IF(VLOOKUP(M$2,行为概览!$D$3:$L$33,9,0)="","",VLOOKUP(M$2,行为概览!$D$3:$L$33,9,0)*IF(玩法行为规划!L84&gt;0,1,0))</f>
        <v/>
      </c>
      <c r="N84" s="7" t="str">
        <f>IF(VLOOKUP(N$2,行为概览!$D$3:$L$33,9,0)="","",VLOOKUP(N$2,行为概览!$D$3:$L$33,9,0)*IF(玩法行为规划!M84&gt;0,1,0))</f>
        <v/>
      </c>
      <c r="O84" s="7" t="str">
        <f>IF(VLOOKUP(O$2,行为概览!$D$3:$L$33,9,0)="","",VLOOKUP(O$2,行为概览!$D$3:$L$33,9,0)*IF(玩法行为规划!N84&gt;0,1,0))</f>
        <v/>
      </c>
      <c r="P84" s="7">
        <f>IF(VLOOKUP(P$2,行为概览!$D$3:$L$33,9,0)="","",VLOOKUP(P$2,行为概览!$D$3:$L$33,9,0)*IF(玩法行为规划!O84&gt;0,1,0))</f>
        <v>0.5</v>
      </c>
      <c r="Q84" s="7">
        <f>IF(VLOOKUP(Q$2,行为概览!$D$3:$L$33,9,0)="","",VLOOKUP(Q$2,行为概览!$D$3:$L$33,9,0)*IF(玩法行为规划!P84&gt;0,1,0))</f>
        <v>5</v>
      </c>
      <c r="R84" s="7" t="str">
        <f>IF(VLOOKUP(R$2,行为概览!$D$3:$L$33,9,0)="","",VLOOKUP(R$2,行为概览!$D$3:$L$33,9,0)*IF(玩法行为规划!Q84&gt;0,1,0))</f>
        <v/>
      </c>
      <c r="S84" s="7">
        <f>IF(VLOOKUP(S$2,行为概览!$D$3:$L$33,9,0)="","",VLOOKUP(S$2,行为概览!$D$3:$L$33,9,0)*IF(玩法行为规划!R84&gt;0,1,0))</f>
        <v>1</v>
      </c>
      <c r="T84" s="7">
        <f>IF(VLOOKUP(T$2,行为概览!$D$3:$L$33,9,0)="","",VLOOKUP(T$2,行为概览!$D$3:$L$33,9,0)*IF(玩法行为规划!S84&gt;0,1,0))</f>
        <v>0</v>
      </c>
      <c r="U84" s="7">
        <f>IF(VLOOKUP(U$2,行为概览!$D$3:$L$33,9,0)="","",VLOOKUP(U$2,行为概览!$D$3:$L$33,9,0)*IF(玩法行为规划!T84&gt;0,1,0))</f>
        <v>1</v>
      </c>
      <c r="V84" s="7">
        <f>IF(VLOOKUP(V$2,行为概览!$D$3:$L$33,9,0)="","",VLOOKUP(V$2,行为概览!$D$3:$L$33,9,0)*IF(玩法行为规划!U84&gt;0,1,0))</f>
        <v>1.5</v>
      </c>
      <c r="W84" s="7">
        <f>IF(VLOOKUP(W$2,行为概览!$D$3:$L$33,9,0)="","",VLOOKUP(W$2,行为概览!$D$3:$L$33,9,0)*IF(玩法行为规划!V84&gt;0,1,0))</f>
        <v>1</v>
      </c>
      <c r="X84" s="7">
        <f>IF(VLOOKUP(X$2,行为概览!$D$3:$L$33,9,0)="","",VLOOKUP(X$2,行为概览!$D$3:$L$33,9,0)*IF(玩法行为规划!W84&gt;0,1,0))</f>
        <v>1</v>
      </c>
      <c r="Y84" s="7">
        <f>IF(VLOOKUP(Y$2,行为概览!$D$3:$L$33,9,0)="","",VLOOKUP(Y$2,行为概览!$D$3:$L$33,9,0)*IF(玩法行为规划!X84&gt;0,1,0))</f>
        <v>1</v>
      </c>
      <c r="Z84" s="7">
        <f>IF(VLOOKUP(Z$2,行为概览!$D$3:$L$33,9,0)="","",VLOOKUP(Z$2,行为概览!$D$3:$L$33,9,0)*IF(玩法行为规划!Y84&gt;0,1,0))</f>
        <v>3</v>
      </c>
      <c r="AA84" s="7">
        <f>IF(VLOOKUP(AA$2,行为概览!$D$3:$L$33,9,0)="","",VLOOKUP(AA$2,行为概览!$D$3:$L$33,9,0)*IF(玩法行为规划!Z84&gt;0,1,0))</f>
        <v>0.5</v>
      </c>
      <c r="AB84" s="7" t="str">
        <f>IF(VLOOKUP(AB$2,行为概览!$D$3:$L$33,9,0)="","",VLOOKUP(AB$2,行为概览!$D$3:$L$33,9,0)*IF(玩法行为规划!AA84&gt;0,1,0))</f>
        <v/>
      </c>
      <c r="AC84" s="7" t="str">
        <f>IF(VLOOKUP(AC$2,行为概览!$D$3:$L$33,9,0)="","",VLOOKUP(AC$2,行为概览!$D$3:$L$33,9,0)*IF(玩法行为规划!AB84&gt;0,1,0))</f>
        <v/>
      </c>
      <c r="AD84" s="7" t="str">
        <f>IF(VLOOKUP(AD$2,行为概览!$D$3:$L$33,9,0)="","",VLOOKUP(AD$2,行为概览!$D$3:$L$33,9,0)*玩法行为规划!AC84)</f>
        <v/>
      </c>
      <c r="AE84" s="7" t="str">
        <f>IF(VLOOKUP(AE$2,行为概览!$D$3:$L$33,9,0)="","",VLOOKUP(AE$2,行为概览!$D$3:$L$33,9,0)*玩法行为规划!AD84)</f>
        <v/>
      </c>
      <c r="AF84" s="7">
        <f t="shared" si="13"/>
        <v>24.65</v>
      </c>
      <c r="AG84" s="10">
        <f t="shared" si="14"/>
        <v>2021299.9999999998</v>
      </c>
      <c r="AH84" s="7">
        <f>ROUND(AG84*升级节奏!G84,0)</f>
        <v>19540581</v>
      </c>
      <c r="AI84" s="7">
        <f t="shared" si="15"/>
        <v>426400</v>
      </c>
      <c r="AJ84" s="21" t="str">
        <f t="shared" si="22"/>
        <v/>
      </c>
      <c r="AK84" s="7">
        <f t="shared" si="16"/>
        <v>2.1355256460653716E-2</v>
      </c>
      <c r="AL84" s="7">
        <f t="shared" si="17"/>
        <v>19966981</v>
      </c>
      <c r="AM84" s="7">
        <f>SUM($AL$3:AL84)</f>
        <v>282544454</v>
      </c>
      <c r="AN84" s="166">
        <f t="shared" si="18"/>
        <v>667800</v>
      </c>
      <c r="AO84" s="7">
        <f>SUM($AN$3:AN84)*7</f>
        <v>68457200</v>
      </c>
      <c r="AP84" s="69">
        <f t="shared" si="19"/>
        <v>211131554</v>
      </c>
      <c r="AQ84" s="160">
        <f t="shared" si="20"/>
        <v>1970500</v>
      </c>
      <c r="AR84" s="160">
        <f t="shared" si="21"/>
        <v>985200</v>
      </c>
    </row>
    <row r="85" spans="1:44">
      <c r="A85" s="32">
        <v>83</v>
      </c>
      <c r="B85" s="81">
        <f>升级节奏!E85</f>
        <v>83000</v>
      </c>
      <c r="C85" s="7">
        <f>IF(VLOOKUP(C$2,行为概览!$D$3:$L$33,9,0)="","",VLOOKUP(C$2,行为概览!$D$3:$L$33,9,0)*IF(玩法行为规划!B85&gt;0,1,0))</f>
        <v>4</v>
      </c>
      <c r="D85" s="7">
        <f>IF(VLOOKUP(D$2,行为概览!$D$3:$L$33,9,0)="","",VLOOKUP(D$2,行为概览!$D$3:$L$33,9,0)*IF(玩法行为规划!C85&gt;0,1,0))</f>
        <v>1.65</v>
      </c>
      <c r="E85" s="7">
        <f>IF(VLOOKUP(E$2,行为概览!$D$3:$L$33,9,0)="","",VLOOKUP(E$2,行为概览!$D$3:$L$33,9,0)*IF(玩法行为规划!D85&gt;0,1,0))</f>
        <v>0.5</v>
      </c>
      <c r="F85" s="7">
        <f>IF(VLOOKUP(F$2,行为概览!$D$3:$L$33,9,0)="","",VLOOKUP(F$2,行为概览!$D$3:$L$33,9,0)*IF(玩法行为规划!E85&gt;0,1,0))</f>
        <v>1</v>
      </c>
      <c r="G85" s="7" t="str">
        <f>IF(VLOOKUP(G$2,行为概览!$D$3:$L$33,9,0)="","",VLOOKUP(G$2,行为概览!$D$3:$L$33,9,0)*IF(玩法行为规划!F85&gt;0,1,0))</f>
        <v/>
      </c>
      <c r="H85" s="7" t="str">
        <f>IF(VLOOKUP(H$2,行为概览!$D$3:$L$33,9,0)="","",VLOOKUP(H$2,行为概览!$D$3:$L$33,9,0)*IF(玩法行为规划!G85&gt;0,1,0))</f>
        <v/>
      </c>
      <c r="I85" s="7" t="str">
        <f>IF(VLOOKUP(I$2,行为概览!$D$3:$L$33,9,0)="","",VLOOKUP(I$2,行为概览!$D$3:$L$33,9,0)*IF(玩法行为规划!H85&gt;0,1,0))</f>
        <v/>
      </c>
      <c r="J85" s="7" t="str">
        <f>IF(VLOOKUP(J$2,行为概览!$D$3:$L$33,9,0)="","",VLOOKUP(J$2,行为概览!$D$3:$L$33,9,0)*IF(玩法行为规划!I85&gt;0,1,0))</f>
        <v/>
      </c>
      <c r="K85" s="7">
        <f>IF(VLOOKUP(K$2,行为概览!$D$3:$L$33,9,0)="","",VLOOKUP(K$2,行为概览!$D$3:$L$33,9,0)*IF(玩法行为规划!J85&gt;0,1,0))</f>
        <v>1</v>
      </c>
      <c r="L85" s="7">
        <f>IF(VLOOKUP(L$2,行为概览!$D$3:$L$33,9,0)="","",VLOOKUP(L$2,行为概览!$D$3:$L$33,9,0)*IF(玩法行为规划!K85&gt;0,1,0))</f>
        <v>1</v>
      </c>
      <c r="M85" s="7" t="str">
        <f>IF(VLOOKUP(M$2,行为概览!$D$3:$L$33,9,0)="","",VLOOKUP(M$2,行为概览!$D$3:$L$33,9,0)*IF(玩法行为规划!L85&gt;0,1,0))</f>
        <v/>
      </c>
      <c r="N85" s="7" t="str">
        <f>IF(VLOOKUP(N$2,行为概览!$D$3:$L$33,9,0)="","",VLOOKUP(N$2,行为概览!$D$3:$L$33,9,0)*IF(玩法行为规划!M85&gt;0,1,0))</f>
        <v/>
      </c>
      <c r="O85" s="7" t="str">
        <f>IF(VLOOKUP(O$2,行为概览!$D$3:$L$33,9,0)="","",VLOOKUP(O$2,行为概览!$D$3:$L$33,9,0)*IF(玩法行为规划!N85&gt;0,1,0))</f>
        <v/>
      </c>
      <c r="P85" s="7">
        <f>IF(VLOOKUP(P$2,行为概览!$D$3:$L$33,9,0)="","",VLOOKUP(P$2,行为概览!$D$3:$L$33,9,0)*IF(玩法行为规划!O85&gt;0,1,0))</f>
        <v>0.5</v>
      </c>
      <c r="Q85" s="7">
        <f>IF(VLOOKUP(Q$2,行为概览!$D$3:$L$33,9,0)="","",VLOOKUP(Q$2,行为概览!$D$3:$L$33,9,0)*IF(玩法行为规划!P85&gt;0,1,0))</f>
        <v>5</v>
      </c>
      <c r="R85" s="7" t="str">
        <f>IF(VLOOKUP(R$2,行为概览!$D$3:$L$33,9,0)="","",VLOOKUP(R$2,行为概览!$D$3:$L$33,9,0)*IF(玩法行为规划!Q85&gt;0,1,0))</f>
        <v/>
      </c>
      <c r="S85" s="7">
        <f>IF(VLOOKUP(S$2,行为概览!$D$3:$L$33,9,0)="","",VLOOKUP(S$2,行为概览!$D$3:$L$33,9,0)*IF(玩法行为规划!R85&gt;0,1,0))</f>
        <v>1</v>
      </c>
      <c r="T85" s="7">
        <f>IF(VLOOKUP(T$2,行为概览!$D$3:$L$33,9,0)="","",VLOOKUP(T$2,行为概览!$D$3:$L$33,9,0)*IF(玩法行为规划!S85&gt;0,1,0))</f>
        <v>0</v>
      </c>
      <c r="U85" s="7">
        <f>IF(VLOOKUP(U$2,行为概览!$D$3:$L$33,9,0)="","",VLOOKUP(U$2,行为概览!$D$3:$L$33,9,0)*IF(玩法行为规划!T85&gt;0,1,0))</f>
        <v>1</v>
      </c>
      <c r="V85" s="7">
        <f>IF(VLOOKUP(V$2,行为概览!$D$3:$L$33,9,0)="","",VLOOKUP(V$2,行为概览!$D$3:$L$33,9,0)*IF(玩法行为规划!U85&gt;0,1,0))</f>
        <v>1.5</v>
      </c>
      <c r="W85" s="7">
        <f>IF(VLOOKUP(W$2,行为概览!$D$3:$L$33,9,0)="","",VLOOKUP(W$2,行为概览!$D$3:$L$33,9,0)*IF(玩法行为规划!V85&gt;0,1,0))</f>
        <v>1</v>
      </c>
      <c r="X85" s="7">
        <f>IF(VLOOKUP(X$2,行为概览!$D$3:$L$33,9,0)="","",VLOOKUP(X$2,行为概览!$D$3:$L$33,9,0)*IF(玩法行为规划!W85&gt;0,1,0))</f>
        <v>1</v>
      </c>
      <c r="Y85" s="7">
        <f>IF(VLOOKUP(Y$2,行为概览!$D$3:$L$33,9,0)="","",VLOOKUP(Y$2,行为概览!$D$3:$L$33,9,0)*IF(玩法行为规划!X85&gt;0,1,0))</f>
        <v>1</v>
      </c>
      <c r="Z85" s="7">
        <f>IF(VLOOKUP(Z$2,行为概览!$D$3:$L$33,9,0)="","",VLOOKUP(Z$2,行为概览!$D$3:$L$33,9,0)*IF(玩法行为规划!Y85&gt;0,1,0))</f>
        <v>3</v>
      </c>
      <c r="AA85" s="7">
        <f>IF(VLOOKUP(AA$2,行为概览!$D$3:$L$33,9,0)="","",VLOOKUP(AA$2,行为概览!$D$3:$L$33,9,0)*IF(玩法行为规划!Z85&gt;0,1,0))</f>
        <v>0.5</v>
      </c>
      <c r="AB85" s="7" t="str">
        <f>IF(VLOOKUP(AB$2,行为概览!$D$3:$L$33,9,0)="","",VLOOKUP(AB$2,行为概览!$D$3:$L$33,9,0)*IF(玩法行为规划!AA85&gt;0,1,0))</f>
        <v/>
      </c>
      <c r="AC85" s="7" t="str">
        <f>IF(VLOOKUP(AC$2,行为概览!$D$3:$L$33,9,0)="","",VLOOKUP(AC$2,行为概览!$D$3:$L$33,9,0)*IF(玩法行为规划!AB85&gt;0,1,0))</f>
        <v/>
      </c>
      <c r="AD85" s="7" t="str">
        <f>IF(VLOOKUP(AD$2,行为概览!$D$3:$L$33,9,0)="","",VLOOKUP(AD$2,行为概览!$D$3:$L$33,9,0)*玩法行为规划!AC85)</f>
        <v/>
      </c>
      <c r="AE85" s="7" t="str">
        <f>IF(VLOOKUP(AE$2,行为概览!$D$3:$L$33,9,0)="","",VLOOKUP(AE$2,行为概览!$D$3:$L$33,9,0)*玩法行为规划!AD85)</f>
        <v/>
      </c>
      <c r="AF85" s="7">
        <f t="shared" si="13"/>
        <v>24.65</v>
      </c>
      <c r="AG85" s="10">
        <f t="shared" si="14"/>
        <v>2045949.9999999998</v>
      </c>
      <c r="AH85" s="7">
        <f>ROUND(AG85*升级节奏!G85,0)</f>
        <v>20257121</v>
      </c>
      <c r="AI85" s="7">
        <f t="shared" si="15"/>
        <v>439900</v>
      </c>
      <c r="AJ85" s="21" t="str">
        <f t="shared" si="22"/>
        <v/>
      </c>
      <c r="AK85" s="7">
        <f t="shared" si="16"/>
        <v>2.1254266495646885E-2</v>
      </c>
      <c r="AL85" s="7">
        <f t="shared" si="17"/>
        <v>20697021</v>
      </c>
      <c r="AM85" s="7">
        <f>SUM($AL$3:AL85)</f>
        <v>303241475</v>
      </c>
      <c r="AN85" s="166">
        <f t="shared" si="18"/>
        <v>691800</v>
      </c>
      <c r="AO85" s="7">
        <f>SUM($AN$3:AN85)*7</f>
        <v>73299800</v>
      </c>
      <c r="AP85" s="69">
        <f t="shared" si="19"/>
        <v>226878175</v>
      </c>
      <c r="AQ85" s="160">
        <f t="shared" si="20"/>
        <v>2042300</v>
      </c>
      <c r="AR85" s="160">
        <f t="shared" si="21"/>
        <v>1021200</v>
      </c>
    </row>
    <row r="86" spans="1:44">
      <c r="A86" s="32">
        <v>84</v>
      </c>
      <c r="B86" s="81">
        <f>升级节奏!E86</f>
        <v>84000</v>
      </c>
      <c r="C86" s="7">
        <f>IF(VLOOKUP(C$2,行为概览!$D$3:$L$33,9,0)="","",VLOOKUP(C$2,行为概览!$D$3:$L$33,9,0)*IF(玩法行为规划!B86&gt;0,1,0))</f>
        <v>4</v>
      </c>
      <c r="D86" s="7">
        <f>IF(VLOOKUP(D$2,行为概览!$D$3:$L$33,9,0)="","",VLOOKUP(D$2,行为概览!$D$3:$L$33,9,0)*IF(玩法行为规划!C86&gt;0,1,0))</f>
        <v>1.65</v>
      </c>
      <c r="E86" s="7">
        <f>IF(VLOOKUP(E$2,行为概览!$D$3:$L$33,9,0)="","",VLOOKUP(E$2,行为概览!$D$3:$L$33,9,0)*IF(玩法行为规划!D86&gt;0,1,0))</f>
        <v>0.5</v>
      </c>
      <c r="F86" s="7">
        <f>IF(VLOOKUP(F$2,行为概览!$D$3:$L$33,9,0)="","",VLOOKUP(F$2,行为概览!$D$3:$L$33,9,0)*IF(玩法行为规划!E86&gt;0,1,0))</f>
        <v>1</v>
      </c>
      <c r="G86" s="7" t="str">
        <f>IF(VLOOKUP(G$2,行为概览!$D$3:$L$33,9,0)="","",VLOOKUP(G$2,行为概览!$D$3:$L$33,9,0)*IF(玩法行为规划!F86&gt;0,1,0))</f>
        <v/>
      </c>
      <c r="H86" s="7" t="str">
        <f>IF(VLOOKUP(H$2,行为概览!$D$3:$L$33,9,0)="","",VLOOKUP(H$2,行为概览!$D$3:$L$33,9,0)*IF(玩法行为规划!G86&gt;0,1,0))</f>
        <v/>
      </c>
      <c r="I86" s="7" t="str">
        <f>IF(VLOOKUP(I$2,行为概览!$D$3:$L$33,9,0)="","",VLOOKUP(I$2,行为概览!$D$3:$L$33,9,0)*IF(玩法行为规划!H86&gt;0,1,0))</f>
        <v/>
      </c>
      <c r="J86" s="7" t="str">
        <f>IF(VLOOKUP(J$2,行为概览!$D$3:$L$33,9,0)="","",VLOOKUP(J$2,行为概览!$D$3:$L$33,9,0)*IF(玩法行为规划!I86&gt;0,1,0))</f>
        <v/>
      </c>
      <c r="K86" s="7">
        <f>IF(VLOOKUP(K$2,行为概览!$D$3:$L$33,9,0)="","",VLOOKUP(K$2,行为概览!$D$3:$L$33,9,0)*IF(玩法行为规划!J86&gt;0,1,0))</f>
        <v>1</v>
      </c>
      <c r="L86" s="7">
        <f>IF(VLOOKUP(L$2,行为概览!$D$3:$L$33,9,0)="","",VLOOKUP(L$2,行为概览!$D$3:$L$33,9,0)*IF(玩法行为规划!K86&gt;0,1,0))</f>
        <v>1</v>
      </c>
      <c r="M86" s="7" t="str">
        <f>IF(VLOOKUP(M$2,行为概览!$D$3:$L$33,9,0)="","",VLOOKUP(M$2,行为概览!$D$3:$L$33,9,0)*IF(玩法行为规划!L86&gt;0,1,0))</f>
        <v/>
      </c>
      <c r="N86" s="7" t="str">
        <f>IF(VLOOKUP(N$2,行为概览!$D$3:$L$33,9,0)="","",VLOOKUP(N$2,行为概览!$D$3:$L$33,9,0)*IF(玩法行为规划!M86&gt;0,1,0))</f>
        <v/>
      </c>
      <c r="O86" s="7" t="str">
        <f>IF(VLOOKUP(O$2,行为概览!$D$3:$L$33,9,0)="","",VLOOKUP(O$2,行为概览!$D$3:$L$33,9,0)*IF(玩法行为规划!N86&gt;0,1,0))</f>
        <v/>
      </c>
      <c r="P86" s="7">
        <f>IF(VLOOKUP(P$2,行为概览!$D$3:$L$33,9,0)="","",VLOOKUP(P$2,行为概览!$D$3:$L$33,9,0)*IF(玩法行为规划!O86&gt;0,1,0))</f>
        <v>0.5</v>
      </c>
      <c r="Q86" s="7">
        <f>IF(VLOOKUP(Q$2,行为概览!$D$3:$L$33,9,0)="","",VLOOKUP(Q$2,行为概览!$D$3:$L$33,9,0)*IF(玩法行为规划!P86&gt;0,1,0))</f>
        <v>5</v>
      </c>
      <c r="R86" s="7" t="str">
        <f>IF(VLOOKUP(R$2,行为概览!$D$3:$L$33,9,0)="","",VLOOKUP(R$2,行为概览!$D$3:$L$33,9,0)*IF(玩法行为规划!Q86&gt;0,1,0))</f>
        <v/>
      </c>
      <c r="S86" s="7">
        <f>IF(VLOOKUP(S$2,行为概览!$D$3:$L$33,9,0)="","",VLOOKUP(S$2,行为概览!$D$3:$L$33,9,0)*IF(玩法行为规划!R86&gt;0,1,0))</f>
        <v>1</v>
      </c>
      <c r="T86" s="7">
        <f>IF(VLOOKUP(T$2,行为概览!$D$3:$L$33,9,0)="","",VLOOKUP(T$2,行为概览!$D$3:$L$33,9,0)*IF(玩法行为规划!S86&gt;0,1,0))</f>
        <v>0</v>
      </c>
      <c r="U86" s="7">
        <f>IF(VLOOKUP(U$2,行为概览!$D$3:$L$33,9,0)="","",VLOOKUP(U$2,行为概览!$D$3:$L$33,9,0)*IF(玩法行为规划!T86&gt;0,1,0))</f>
        <v>1</v>
      </c>
      <c r="V86" s="7">
        <f>IF(VLOOKUP(V$2,行为概览!$D$3:$L$33,9,0)="","",VLOOKUP(V$2,行为概览!$D$3:$L$33,9,0)*IF(玩法行为规划!U86&gt;0,1,0))</f>
        <v>1.5</v>
      </c>
      <c r="W86" s="7">
        <f>IF(VLOOKUP(W$2,行为概览!$D$3:$L$33,9,0)="","",VLOOKUP(W$2,行为概览!$D$3:$L$33,9,0)*IF(玩法行为规划!V86&gt;0,1,0))</f>
        <v>1</v>
      </c>
      <c r="X86" s="7">
        <f>IF(VLOOKUP(X$2,行为概览!$D$3:$L$33,9,0)="","",VLOOKUP(X$2,行为概览!$D$3:$L$33,9,0)*IF(玩法行为规划!W86&gt;0,1,0))</f>
        <v>1</v>
      </c>
      <c r="Y86" s="7">
        <f>IF(VLOOKUP(Y$2,行为概览!$D$3:$L$33,9,0)="","",VLOOKUP(Y$2,行为概览!$D$3:$L$33,9,0)*IF(玩法行为规划!X86&gt;0,1,0))</f>
        <v>1</v>
      </c>
      <c r="Z86" s="7">
        <f>IF(VLOOKUP(Z$2,行为概览!$D$3:$L$33,9,0)="","",VLOOKUP(Z$2,行为概览!$D$3:$L$33,9,0)*IF(玩法行为规划!Y86&gt;0,1,0))</f>
        <v>3</v>
      </c>
      <c r="AA86" s="7">
        <f>IF(VLOOKUP(AA$2,行为概览!$D$3:$L$33,9,0)="","",VLOOKUP(AA$2,行为概览!$D$3:$L$33,9,0)*IF(玩法行为规划!Z86&gt;0,1,0))</f>
        <v>0.5</v>
      </c>
      <c r="AB86" s="7" t="str">
        <f>IF(VLOOKUP(AB$2,行为概览!$D$3:$L$33,9,0)="","",VLOOKUP(AB$2,行为概览!$D$3:$L$33,9,0)*IF(玩法行为规划!AA86&gt;0,1,0))</f>
        <v/>
      </c>
      <c r="AC86" s="7" t="str">
        <f>IF(VLOOKUP(AC$2,行为概览!$D$3:$L$33,9,0)="","",VLOOKUP(AC$2,行为概览!$D$3:$L$33,9,0)*IF(玩法行为规划!AB86&gt;0,1,0))</f>
        <v/>
      </c>
      <c r="AD86" s="7" t="str">
        <f>IF(VLOOKUP(AD$2,行为概览!$D$3:$L$33,9,0)="","",VLOOKUP(AD$2,行为概览!$D$3:$L$33,9,0)*玩法行为规划!AC86)</f>
        <v/>
      </c>
      <c r="AE86" s="7" t="str">
        <f>IF(VLOOKUP(AE$2,行为概览!$D$3:$L$33,9,0)="","",VLOOKUP(AE$2,行为概览!$D$3:$L$33,9,0)*玩法行为规划!AD86)</f>
        <v/>
      </c>
      <c r="AF86" s="7">
        <f t="shared" si="13"/>
        <v>24.65</v>
      </c>
      <c r="AG86" s="10">
        <f t="shared" si="14"/>
        <v>2070599.9999999998</v>
      </c>
      <c r="AH86" s="7">
        <f>ROUND(AG86*升级节奏!G86,0)</f>
        <v>20991053</v>
      </c>
      <c r="AI86" s="7">
        <f t="shared" si="15"/>
        <v>453600</v>
      </c>
      <c r="AJ86" s="21" t="str">
        <f t="shared" si="22"/>
        <v/>
      </c>
      <c r="AK86" s="7">
        <f t="shared" si="16"/>
        <v>2.1152125893573563E-2</v>
      </c>
      <c r="AL86" s="7">
        <f t="shared" si="17"/>
        <v>21444653</v>
      </c>
      <c r="AM86" s="7">
        <f>SUM($AL$3:AL86)</f>
        <v>324686128</v>
      </c>
      <c r="AN86" s="166">
        <f t="shared" si="18"/>
        <v>716500</v>
      </c>
      <c r="AO86" s="7">
        <f>SUM($AN$3:AN86)*7</f>
        <v>78315300</v>
      </c>
      <c r="AP86" s="69">
        <f t="shared" si="19"/>
        <v>243196928</v>
      </c>
      <c r="AQ86" s="160">
        <f t="shared" si="20"/>
        <v>2115900</v>
      </c>
      <c r="AR86" s="160">
        <f t="shared" si="21"/>
        <v>1058000</v>
      </c>
    </row>
    <row r="87" spans="1:44">
      <c r="A87" s="32">
        <v>85</v>
      </c>
      <c r="B87" s="81">
        <f>升级节奏!E87</f>
        <v>85000</v>
      </c>
      <c r="C87" s="7">
        <f>IF(VLOOKUP(C$2,行为概览!$D$3:$L$33,9,0)="","",VLOOKUP(C$2,行为概览!$D$3:$L$33,9,0)*IF(玩法行为规划!B87&gt;0,1,0))</f>
        <v>4</v>
      </c>
      <c r="D87" s="7">
        <f>IF(VLOOKUP(D$2,行为概览!$D$3:$L$33,9,0)="","",VLOOKUP(D$2,行为概览!$D$3:$L$33,9,0)*IF(玩法行为规划!C87&gt;0,1,0))</f>
        <v>1.65</v>
      </c>
      <c r="E87" s="7">
        <f>IF(VLOOKUP(E$2,行为概览!$D$3:$L$33,9,0)="","",VLOOKUP(E$2,行为概览!$D$3:$L$33,9,0)*IF(玩法行为规划!D87&gt;0,1,0))</f>
        <v>0.5</v>
      </c>
      <c r="F87" s="7">
        <f>IF(VLOOKUP(F$2,行为概览!$D$3:$L$33,9,0)="","",VLOOKUP(F$2,行为概览!$D$3:$L$33,9,0)*IF(玩法行为规划!E87&gt;0,1,0))</f>
        <v>1</v>
      </c>
      <c r="G87" s="7" t="str">
        <f>IF(VLOOKUP(G$2,行为概览!$D$3:$L$33,9,0)="","",VLOOKUP(G$2,行为概览!$D$3:$L$33,9,0)*IF(玩法行为规划!F87&gt;0,1,0))</f>
        <v/>
      </c>
      <c r="H87" s="7" t="str">
        <f>IF(VLOOKUP(H$2,行为概览!$D$3:$L$33,9,0)="","",VLOOKUP(H$2,行为概览!$D$3:$L$33,9,0)*IF(玩法行为规划!G87&gt;0,1,0))</f>
        <v/>
      </c>
      <c r="I87" s="7" t="str">
        <f>IF(VLOOKUP(I$2,行为概览!$D$3:$L$33,9,0)="","",VLOOKUP(I$2,行为概览!$D$3:$L$33,9,0)*IF(玩法行为规划!H87&gt;0,1,0))</f>
        <v/>
      </c>
      <c r="J87" s="7" t="str">
        <f>IF(VLOOKUP(J$2,行为概览!$D$3:$L$33,9,0)="","",VLOOKUP(J$2,行为概览!$D$3:$L$33,9,0)*IF(玩法行为规划!I87&gt;0,1,0))</f>
        <v/>
      </c>
      <c r="K87" s="7">
        <f>IF(VLOOKUP(K$2,行为概览!$D$3:$L$33,9,0)="","",VLOOKUP(K$2,行为概览!$D$3:$L$33,9,0)*IF(玩法行为规划!J87&gt;0,1,0))</f>
        <v>1</v>
      </c>
      <c r="L87" s="7">
        <f>IF(VLOOKUP(L$2,行为概览!$D$3:$L$33,9,0)="","",VLOOKUP(L$2,行为概览!$D$3:$L$33,9,0)*IF(玩法行为规划!K87&gt;0,1,0))</f>
        <v>1</v>
      </c>
      <c r="M87" s="7" t="str">
        <f>IF(VLOOKUP(M$2,行为概览!$D$3:$L$33,9,0)="","",VLOOKUP(M$2,行为概览!$D$3:$L$33,9,0)*IF(玩法行为规划!L87&gt;0,1,0))</f>
        <v/>
      </c>
      <c r="N87" s="7" t="str">
        <f>IF(VLOOKUP(N$2,行为概览!$D$3:$L$33,9,0)="","",VLOOKUP(N$2,行为概览!$D$3:$L$33,9,0)*IF(玩法行为规划!M87&gt;0,1,0))</f>
        <v/>
      </c>
      <c r="O87" s="7" t="str">
        <f>IF(VLOOKUP(O$2,行为概览!$D$3:$L$33,9,0)="","",VLOOKUP(O$2,行为概览!$D$3:$L$33,9,0)*IF(玩法行为规划!N87&gt;0,1,0))</f>
        <v/>
      </c>
      <c r="P87" s="7">
        <f>IF(VLOOKUP(P$2,行为概览!$D$3:$L$33,9,0)="","",VLOOKUP(P$2,行为概览!$D$3:$L$33,9,0)*IF(玩法行为规划!O87&gt;0,1,0))</f>
        <v>0.5</v>
      </c>
      <c r="Q87" s="7">
        <f>IF(VLOOKUP(Q$2,行为概览!$D$3:$L$33,9,0)="","",VLOOKUP(Q$2,行为概览!$D$3:$L$33,9,0)*IF(玩法行为规划!P87&gt;0,1,0))</f>
        <v>5</v>
      </c>
      <c r="R87" s="7" t="str">
        <f>IF(VLOOKUP(R$2,行为概览!$D$3:$L$33,9,0)="","",VLOOKUP(R$2,行为概览!$D$3:$L$33,9,0)*IF(玩法行为规划!Q87&gt;0,1,0))</f>
        <v/>
      </c>
      <c r="S87" s="7">
        <f>IF(VLOOKUP(S$2,行为概览!$D$3:$L$33,9,0)="","",VLOOKUP(S$2,行为概览!$D$3:$L$33,9,0)*IF(玩法行为规划!R87&gt;0,1,0))</f>
        <v>1</v>
      </c>
      <c r="T87" s="7">
        <f>IF(VLOOKUP(T$2,行为概览!$D$3:$L$33,9,0)="","",VLOOKUP(T$2,行为概览!$D$3:$L$33,9,0)*IF(玩法行为规划!S87&gt;0,1,0))</f>
        <v>0</v>
      </c>
      <c r="U87" s="7">
        <f>IF(VLOOKUP(U$2,行为概览!$D$3:$L$33,9,0)="","",VLOOKUP(U$2,行为概览!$D$3:$L$33,9,0)*IF(玩法行为规划!T87&gt;0,1,0))</f>
        <v>1</v>
      </c>
      <c r="V87" s="7">
        <f>IF(VLOOKUP(V$2,行为概览!$D$3:$L$33,9,0)="","",VLOOKUP(V$2,行为概览!$D$3:$L$33,9,0)*IF(玩法行为规划!U87&gt;0,1,0))</f>
        <v>1.5</v>
      </c>
      <c r="W87" s="7">
        <f>IF(VLOOKUP(W$2,行为概览!$D$3:$L$33,9,0)="","",VLOOKUP(W$2,行为概览!$D$3:$L$33,9,0)*IF(玩法行为规划!V87&gt;0,1,0))</f>
        <v>1</v>
      </c>
      <c r="X87" s="7">
        <f>IF(VLOOKUP(X$2,行为概览!$D$3:$L$33,9,0)="","",VLOOKUP(X$2,行为概览!$D$3:$L$33,9,0)*IF(玩法行为规划!W87&gt;0,1,0))</f>
        <v>1</v>
      </c>
      <c r="Y87" s="7">
        <f>IF(VLOOKUP(Y$2,行为概览!$D$3:$L$33,9,0)="","",VLOOKUP(Y$2,行为概览!$D$3:$L$33,9,0)*IF(玩法行为规划!X87&gt;0,1,0))</f>
        <v>1</v>
      </c>
      <c r="Z87" s="7">
        <f>IF(VLOOKUP(Z$2,行为概览!$D$3:$L$33,9,0)="","",VLOOKUP(Z$2,行为概览!$D$3:$L$33,9,0)*IF(玩法行为规划!Y87&gt;0,1,0))</f>
        <v>3</v>
      </c>
      <c r="AA87" s="7">
        <f>IF(VLOOKUP(AA$2,行为概览!$D$3:$L$33,9,0)="","",VLOOKUP(AA$2,行为概览!$D$3:$L$33,9,0)*IF(玩法行为规划!Z87&gt;0,1,0))</f>
        <v>0.5</v>
      </c>
      <c r="AB87" s="7" t="str">
        <f>IF(VLOOKUP(AB$2,行为概览!$D$3:$L$33,9,0)="","",VLOOKUP(AB$2,行为概览!$D$3:$L$33,9,0)*IF(玩法行为规划!AA87&gt;0,1,0))</f>
        <v/>
      </c>
      <c r="AC87" s="7" t="str">
        <f>IF(VLOOKUP(AC$2,行为概览!$D$3:$L$33,9,0)="","",VLOOKUP(AC$2,行为概览!$D$3:$L$33,9,0)*IF(玩法行为规划!AB87&gt;0,1,0))</f>
        <v/>
      </c>
      <c r="AD87" s="7" t="str">
        <f>IF(VLOOKUP(AD$2,行为概览!$D$3:$L$33,9,0)="","",VLOOKUP(AD$2,行为概览!$D$3:$L$33,9,0)*玩法行为规划!AC87)</f>
        <v/>
      </c>
      <c r="AE87" s="7" t="str">
        <f>IF(VLOOKUP(AE$2,行为概览!$D$3:$L$33,9,0)="","",VLOOKUP(AE$2,行为概览!$D$3:$L$33,9,0)*玩法行为规划!AD87)</f>
        <v/>
      </c>
      <c r="AF87" s="7">
        <f t="shared" si="13"/>
        <v>24.65</v>
      </c>
      <c r="AG87" s="10">
        <f t="shared" si="14"/>
        <v>2095249.9999999998</v>
      </c>
      <c r="AH87" s="7">
        <f>ROUND(AG87*升级节奏!G87,0)</f>
        <v>21742584</v>
      </c>
      <c r="AI87" s="7">
        <f t="shared" si="15"/>
        <v>467500</v>
      </c>
      <c r="AJ87" s="21" t="str">
        <f t="shared" si="22"/>
        <v/>
      </c>
      <c r="AK87" s="7">
        <f t="shared" si="16"/>
        <v>2.1048997383350733E-2</v>
      </c>
      <c r="AL87" s="7">
        <f t="shared" si="17"/>
        <v>22210084</v>
      </c>
      <c r="AM87" s="7">
        <f>SUM($AL$3:AL87)</f>
        <v>346896212</v>
      </c>
      <c r="AN87" s="166">
        <f t="shared" si="18"/>
        <v>741800</v>
      </c>
      <c r="AO87" s="7">
        <f>SUM($AN$3:AN87)*7</f>
        <v>83507900</v>
      </c>
      <c r="AP87" s="69">
        <f t="shared" si="19"/>
        <v>260101412</v>
      </c>
      <c r="AQ87" s="160">
        <f t="shared" si="20"/>
        <v>2191300</v>
      </c>
      <c r="AR87" s="160">
        <f t="shared" si="21"/>
        <v>1095600</v>
      </c>
    </row>
    <row r="88" spans="1:44">
      <c r="A88" s="32">
        <v>86</v>
      </c>
      <c r="B88" s="81">
        <f>升级节奏!E88</f>
        <v>86000</v>
      </c>
      <c r="C88" s="7">
        <f>IF(VLOOKUP(C$2,行为概览!$D$3:$L$33,9,0)="","",VLOOKUP(C$2,行为概览!$D$3:$L$33,9,0)*IF(玩法行为规划!B88&gt;0,1,0))</f>
        <v>4</v>
      </c>
      <c r="D88" s="7">
        <f>IF(VLOOKUP(D$2,行为概览!$D$3:$L$33,9,0)="","",VLOOKUP(D$2,行为概览!$D$3:$L$33,9,0)*IF(玩法行为规划!C88&gt;0,1,0))</f>
        <v>1.65</v>
      </c>
      <c r="E88" s="7">
        <f>IF(VLOOKUP(E$2,行为概览!$D$3:$L$33,9,0)="","",VLOOKUP(E$2,行为概览!$D$3:$L$33,9,0)*IF(玩法行为规划!D88&gt;0,1,0))</f>
        <v>0.5</v>
      </c>
      <c r="F88" s="7">
        <f>IF(VLOOKUP(F$2,行为概览!$D$3:$L$33,9,0)="","",VLOOKUP(F$2,行为概览!$D$3:$L$33,9,0)*IF(玩法行为规划!E88&gt;0,1,0))</f>
        <v>1</v>
      </c>
      <c r="G88" s="7" t="str">
        <f>IF(VLOOKUP(G$2,行为概览!$D$3:$L$33,9,0)="","",VLOOKUP(G$2,行为概览!$D$3:$L$33,9,0)*IF(玩法行为规划!F88&gt;0,1,0))</f>
        <v/>
      </c>
      <c r="H88" s="7" t="str">
        <f>IF(VLOOKUP(H$2,行为概览!$D$3:$L$33,9,0)="","",VLOOKUP(H$2,行为概览!$D$3:$L$33,9,0)*IF(玩法行为规划!G88&gt;0,1,0))</f>
        <v/>
      </c>
      <c r="I88" s="7" t="str">
        <f>IF(VLOOKUP(I$2,行为概览!$D$3:$L$33,9,0)="","",VLOOKUP(I$2,行为概览!$D$3:$L$33,9,0)*IF(玩法行为规划!H88&gt;0,1,0))</f>
        <v/>
      </c>
      <c r="J88" s="7" t="str">
        <f>IF(VLOOKUP(J$2,行为概览!$D$3:$L$33,9,0)="","",VLOOKUP(J$2,行为概览!$D$3:$L$33,9,0)*IF(玩法行为规划!I88&gt;0,1,0))</f>
        <v/>
      </c>
      <c r="K88" s="7">
        <f>IF(VLOOKUP(K$2,行为概览!$D$3:$L$33,9,0)="","",VLOOKUP(K$2,行为概览!$D$3:$L$33,9,0)*IF(玩法行为规划!J88&gt;0,1,0))</f>
        <v>1</v>
      </c>
      <c r="L88" s="7">
        <f>IF(VLOOKUP(L$2,行为概览!$D$3:$L$33,9,0)="","",VLOOKUP(L$2,行为概览!$D$3:$L$33,9,0)*IF(玩法行为规划!K88&gt;0,1,0))</f>
        <v>1</v>
      </c>
      <c r="M88" s="7" t="str">
        <f>IF(VLOOKUP(M$2,行为概览!$D$3:$L$33,9,0)="","",VLOOKUP(M$2,行为概览!$D$3:$L$33,9,0)*IF(玩法行为规划!L88&gt;0,1,0))</f>
        <v/>
      </c>
      <c r="N88" s="7" t="str">
        <f>IF(VLOOKUP(N$2,行为概览!$D$3:$L$33,9,0)="","",VLOOKUP(N$2,行为概览!$D$3:$L$33,9,0)*IF(玩法行为规划!M88&gt;0,1,0))</f>
        <v/>
      </c>
      <c r="O88" s="7" t="str">
        <f>IF(VLOOKUP(O$2,行为概览!$D$3:$L$33,9,0)="","",VLOOKUP(O$2,行为概览!$D$3:$L$33,9,0)*IF(玩法行为规划!N88&gt;0,1,0))</f>
        <v/>
      </c>
      <c r="P88" s="7">
        <f>IF(VLOOKUP(P$2,行为概览!$D$3:$L$33,9,0)="","",VLOOKUP(P$2,行为概览!$D$3:$L$33,9,0)*IF(玩法行为规划!O88&gt;0,1,0))</f>
        <v>0.5</v>
      </c>
      <c r="Q88" s="7">
        <f>IF(VLOOKUP(Q$2,行为概览!$D$3:$L$33,9,0)="","",VLOOKUP(Q$2,行为概览!$D$3:$L$33,9,0)*IF(玩法行为规划!P88&gt;0,1,0))</f>
        <v>5</v>
      </c>
      <c r="R88" s="7" t="str">
        <f>IF(VLOOKUP(R$2,行为概览!$D$3:$L$33,9,0)="","",VLOOKUP(R$2,行为概览!$D$3:$L$33,9,0)*IF(玩法行为规划!Q88&gt;0,1,0))</f>
        <v/>
      </c>
      <c r="S88" s="7">
        <f>IF(VLOOKUP(S$2,行为概览!$D$3:$L$33,9,0)="","",VLOOKUP(S$2,行为概览!$D$3:$L$33,9,0)*IF(玩法行为规划!R88&gt;0,1,0))</f>
        <v>1</v>
      </c>
      <c r="T88" s="7">
        <f>IF(VLOOKUP(T$2,行为概览!$D$3:$L$33,9,0)="","",VLOOKUP(T$2,行为概览!$D$3:$L$33,9,0)*IF(玩法行为规划!S88&gt;0,1,0))</f>
        <v>0</v>
      </c>
      <c r="U88" s="7">
        <f>IF(VLOOKUP(U$2,行为概览!$D$3:$L$33,9,0)="","",VLOOKUP(U$2,行为概览!$D$3:$L$33,9,0)*IF(玩法行为规划!T88&gt;0,1,0))</f>
        <v>1</v>
      </c>
      <c r="V88" s="7">
        <f>IF(VLOOKUP(V$2,行为概览!$D$3:$L$33,9,0)="","",VLOOKUP(V$2,行为概览!$D$3:$L$33,9,0)*IF(玩法行为规划!U88&gt;0,1,0))</f>
        <v>1.5</v>
      </c>
      <c r="W88" s="7">
        <f>IF(VLOOKUP(W$2,行为概览!$D$3:$L$33,9,0)="","",VLOOKUP(W$2,行为概览!$D$3:$L$33,9,0)*IF(玩法行为规划!V88&gt;0,1,0))</f>
        <v>1</v>
      </c>
      <c r="X88" s="7">
        <f>IF(VLOOKUP(X$2,行为概览!$D$3:$L$33,9,0)="","",VLOOKUP(X$2,行为概览!$D$3:$L$33,9,0)*IF(玩法行为规划!W88&gt;0,1,0))</f>
        <v>1</v>
      </c>
      <c r="Y88" s="7">
        <f>IF(VLOOKUP(Y$2,行为概览!$D$3:$L$33,9,0)="","",VLOOKUP(Y$2,行为概览!$D$3:$L$33,9,0)*IF(玩法行为规划!X88&gt;0,1,0))</f>
        <v>1</v>
      </c>
      <c r="Z88" s="7">
        <f>IF(VLOOKUP(Z$2,行为概览!$D$3:$L$33,9,0)="","",VLOOKUP(Z$2,行为概览!$D$3:$L$33,9,0)*IF(玩法行为规划!Y88&gt;0,1,0))</f>
        <v>3</v>
      </c>
      <c r="AA88" s="7">
        <f>IF(VLOOKUP(AA$2,行为概览!$D$3:$L$33,9,0)="","",VLOOKUP(AA$2,行为概览!$D$3:$L$33,9,0)*IF(玩法行为规划!Z88&gt;0,1,0))</f>
        <v>0.5</v>
      </c>
      <c r="AB88" s="7" t="str">
        <f>IF(VLOOKUP(AB$2,行为概览!$D$3:$L$33,9,0)="","",VLOOKUP(AB$2,行为概览!$D$3:$L$33,9,0)*IF(玩法行为规划!AA88&gt;0,1,0))</f>
        <v/>
      </c>
      <c r="AC88" s="7" t="str">
        <f>IF(VLOOKUP(AC$2,行为概览!$D$3:$L$33,9,0)="","",VLOOKUP(AC$2,行为概览!$D$3:$L$33,9,0)*IF(玩法行为规划!AB88&gt;0,1,0))</f>
        <v/>
      </c>
      <c r="AD88" s="7" t="str">
        <f>IF(VLOOKUP(AD$2,行为概览!$D$3:$L$33,9,0)="","",VLOOKUP(AD$2,行为概览!$D$3:$L$33,9,0)*玩法行为规划!AC88)</f>
        <v/>
      </c>
      <c r="AE88" s="7" t="str">
        <f>IF(VLOOKUP(AE$2,行为概览!$D$3:$L$33,9,0)="","",VLOOKUP(AE$2,行为概览!$D$3:$L$33,9,0)*玩法行为规划!AD88)</f>
        <v/>
      </c>
      <c r="AF88" s="7">
        <f t="shared" si="13"/>
        <v>24.65</v>
      </c>
      <c r="AG88" s="10">
        <f t="shared" si="14"/>
        <v>2119900</v>
      </c>
      <c r="AH88" s="7">
        <f>ROUND(AG88*升级节奏!G88,0)</f>
        <v>22511925</v>
      </c>
      <c r="AI88" s="7">
        <f t="shared" si="15"/>
        <v>481600</v>
      </c>
      <c r="AJ88" s="21" t="str">
        <f t="shared" si="22"/>
        <v/>
      </c>
      <c r="AK88" s="7">
        <f t="shared" si="16"/>
        <v>2.0945026915185905E-2</v>
      </c>
      <c r="AL88" s="7">
        <f t="shared" si="17"/>
        <v>22993525</v>
      </c>
      <c r="AM88" s="7">
        <f>SUM($AL$3:AL88)</f>
        <v>369889737</v>
      </c>
      <c r="AN88" s="166">
        <f t="shared" si="18"/>
        <v>767600</v>
      </c>
      <c r="AO88" s="7">
        <f>SUM($AN$3:AN88)*7</f>
        <v>88881100</v>
      </c>
      <c r="AP88" s="69">
        <f t="shared" si="19"/>
        <v>277606037</v>
      </c>
      <c r="AQ88" s="160">
        <f t="shared" si="20"/>
        <v>2268400</v>
      </c>
      <c r="AR88" s="160">
        <f t="shared" si="21"/>
        <v>1134200</v>
      </c>
    </row>
    <row r="89" spans="1:44">
      <c r="A89" s="32">
        <v>87</v>
      </c>
      <c r="B89" s="81">
        <f>升级节奏!E89</f>
        <v>87000</v>
      </c>
      <c r="C89" s="7">
        <f>IF(VLOOKUP(C$2,行为概览!$D$3:$L$33,9,0)="","",VLOOKUP(C$2,行为概览!$D$3:$L$33,9,0)*IF(玩法行为规划!B89&gt;0,1,0))</f>
        <v>4</v>
      </c>
      <c r="D89" s="7">
        <f>IF(VLOOKUP(D$2,行为概览!$D$3:$L$33,9,0)="","",VLOOKUP(D$2,行为概览!$D$3:$L$33,9,0)*IF(玩法行为规划!C89&gt;0,1,0))</f>
        <v>1.65</v>
      </c>
      <c r="E89" s="7">
        <f>IF(VLOOKUP(E$2,行为概览!$D$3:$L$33,9,0)="","",VLOOKUP(E$2,行为概览!$D$3:$L$33,9,0)*IF(玩法行为规划!D89&gt;0,1,0))</f>
        <v>0.5</v>
      </c>
      <c r="F89" s="7">
        <f>IF(VLOOKUP(F$2,行为概览!$D$3:$L$33,9,0)="","",VLOOKUP(F$2,行为概览!$D$3:$L$33,9,0)*IF(玩法行为规划!E89&gt;0,1,0))</f>
        <v>1</v>
      </c>
      <c r="G89" s="7" t="str">
        <f>IF(VLOOKUP(G$2,行为概览!$D$3:$L$33,9,0)="","",VLOOKUP(G$2,行为概览!$D$3:$L$33,9,0)*IF(玩法行为规划!F89&gt;0,1,0))</f>
        <v/>
      </c>
      <c r="H89" s="7" t="str">
        <f>IF(VLOOKUP(H$2,行为概览!$D$3:$L$33,9,0)="","",VLOOKUP(H$2,行为概览!$D$3:$L$33,9,0)*IF(玩法行为规划!G89&gt;0,1,0))</f>
        <v/>
      </c>
      <c r="I89" s="7" t="str">
        <f>IF(VLOOKUP(I$2,行为概览!$D$3:$L$33,9,0)="","",VLOOKUP(I$2,行为概览!$D$3:$L$33,9,0)*IF(玩法行为规划!H89&gt;0,1,0))</f>
        <v/>
      </c>
      <c r="J89" s="7" t="str">
        <f>IF(VLOOKUP(J$2,行为概览!$D$3:$L$33,9,0)="","",VLOOKUP(J$2,行为概览!$D$3:$L$33,9,0)*IF(玩法行为规划!I89&gt;0,1,0))</f>
        <v/>
      </c>
      <c r="K89" s="7">
        <f>IF(VLOOKUP(K$2,行为概览!$D$3:$L$33,9,0)="","",VLOOKUP(K$2,行为概览!$D$3:$L$33,9,0)*IF(玩法行为规划!J89&gt;0,1,0))</f>
        <v>1</v>
      </c>
      <c r="L89" s="7">
        <f>IF(VLOOKUP(L$2,行为概览!$D$3:$L$33,9,0)="","",VLOOKUP(L$2,行为概览!$D$3:$L$33,9,0)*IF(玩法行为规划!K89&gt;0,1,0))</f>
        <v>1</v>
      </c>
      <c r="M89" s="7" t="str">
        <f>IF(VLOOKUP(M$2,行为概览!$D$3:$L$33,9,0)="","",VLOOKUP(M$2,行为概览!$D$3:$L$33,9,0)*IF(玩法行为规划!L89&gt;0,1,0))</f>
        <v/>
      </c>
      <c r="N89" s="7" t="str">
        <f>IF(VLOOKUP(N$2,行为概览!$D$3:$L$33,9,0)="","",VLOOKUP(N$2,行为概览!$D$3:$L$33,9,0)*IF(玩法行为规划!M89&gt;0,1,0))</f>
        <v/>
      </c>
      <c r="O89" s="7" t="str">
        <f>IF(VLOOKUP(O$2,行为概览!$D$3:$L$33,9,0)="","",VLOOKUP(O$2,行为概览!$D$3:$L$33,9,0)*IF(玩法行为规划!N89&gt;0,1,0))</f>
        <v/>
      </c>
      <c r="P89" s="7">
        <f>IF(VLOOKUP(P$2,行为概览!$D$3:$L$33,9,0)="","",VLOOKUP(P$2,行为概览!$D$3:$L$33,9,0)*IF(玩法行为规划!O89&gt;0,1,0))</f>
        <v>0.5</v>
      </c>
      <c r="Q89" s="7">
        <f>IF(VLOOKUP(Q$2,行为概览!$D$3:$L$33,9,0)="","",VLOOKUP(Q$2,行为概览!$D$3:$L$33,9,0)*IF(玩法行为规划!P89&gt;0,1,0))</f>
        <v>5</v>
      </c>
      <c r="R89" s="7" t="str">
        <f>IF(VLOOKUP(R$2,行为概览!$D$3:$L$33,9,0)="","",VLOOKUP(R$2,行为概览!$D$3:$L$33,9,0)*IF(玩法行为规划!Q89&gt;0,1,0))</f>
        <v/>
      </c>
      <c r="S89" s="7">
        <f>IF(VLOOKUP(S$2,行为概览!$D$3:$L$33,9,0)="","",VLOOKUP(S$2,行为概览!$D$3:$L$33,9,0)*IF(玩法行为规划!R89&gt;0,1,0))</f>
        <v>1</v>
      </c>
      <c r="T89" s="7">
        <f>IF(VLOOKUP(T$2,行为概览!$D$3:$L$33,9,0)="","",VLOOKUP(T$2,行为概览!$D$3:$L$33,9,0)*IF(玩法行为规划!S89&gt;0,1,0))</f>
        <v>0</v>
      </c>
      <c r="U89" s="7">
        <f>IF(VLOOKUP(U$2,行为概览!$D$3:$L$33,9,0)="","",VLOOKUP(U$2,行为概览!$D$3:$L$33,9,0)*IF(玩法行为规划!T89&gt;0,1,0))</f>
        <v>1</v>
      </c>
      <c r="V89" s="7">
        <f>IF(VLOOKUP(V$2,行为概览!$D$3:$L$33,9,0)="","",VLOOKUP(V$2,行为概览!$D$3:$L$33,9,0)*IF(玩法行为规划!U89&gt;0,1,0))</f>
        <v>1.5</v>
      </c>
      <c r="W89" s="7">
        <f>IF(VLOOKUP(W$2,行为概览!$D$3:$L$33,9,0)="","",VLOOKUP(W$2,行为概览!$D$3:$L$33,9,0)*IF(玩法行为规划!V89&gt;0,1,0))</f>
        <v>1</v>
      </c>
      <c r="X89" s="7">
        <f>IF(VLOOKUP(X$2,行为概览!$D$3:$L$33,9,0)="","",VLOOKUP(X$2,行为概览!$D$3:$L$33,9,0)*IF(玩法行为规划!W89&gt;0,1,0))</f>
        <v>1</v>
      </c>
      <c r="Y89" s="7">
        <f>IF(VLOOKUP(Y$2,行为概览!$D$3:$L$33,9,0)="","",VLOOKUP(Y$2,行为概览!$D$3:$L$33,9,0)*IF(玩法行为规划!X89&gt;0,1,0))</f>
        <v>1</v>
      </c>
      <c r="Z89" s="7">
        <f>IF(VLOOKUP(Z$2,行为概览!$D$3:$L$33,9,0)="","",VLOOKUP(Z$2,行为概览!$D$3:$L$33,9,0)*IF(玩法行为规划!Y89&gt;0,1,0))</f>
        <v>3</v>
      </c>
      <c r="AA89" s="7">
        <f>IF(VLOOKUP(AA$2,行为概览!$D$3:$L$33,9,0)="","",VLOOKUP(AA$2,行为概览!$D$3:$L$33,9,0)*IF(玩法行为规划!Z89&gt;0,1,0))</f>
        <v>0.5</v>
      </c>
      <c r="AB89" s="7" t="str">
        <f>IF(VLOOKUP(AB$2,行为概览!$D$3:$L$33,9,0)="","",VLOOKUP(AB$2,行为概览!$D$3:$L$33,9,0)*IF(玩法行为规划!AA89&gt;0,1,0))</f>
        <v/>
      </c>
      <c r="AC89" s="7" t="str">
        <f>IF(VLOOKUP(AC$2,行为概览!$D$3:$L$33,9,0)="","",VLOOKUP(AC$2,行为概览!$D$3:$L$33,9,0)*IF(玩法行为规划!AB89&gt;0,1,0))</f>
        <v/>
      </c>
      <c r="AD89" s="7" t="str">
        <f>IF(VLOOKUP(AD$2,行为概览!$D$3:$L$33,9,0)="","",VLOOKUP(AD$2,行为概览!$D$3:$L$33,9,0)*玩法行为规划!AC89)</f>
        <v/>
      </c>
      <c r="AE89" s="7" t="str">
        <f>IF(VLOOKUP(AE$2,行为概览!$D$3:$L$33,9,0)="","",VLOOKUP(AE$2,行为概览!$D$3:$L$33,9,0)*玩法行为规划!AD89)</f>
        <v/>
      </c>
      <c r="AF89" s="7">
        <f t="shared" si="13"/>
        <v>24.65</v>
      </c>
      <c r="AG89" s="10">
        <f t="shared" si="14"/>
        <v>2144550</v>
      </c>
      <c r="AH89" s="7">
        <f>ROUND(AG89*升级节奏!G89,0)</f>
        <v>23299285</v>
      </c>
      <c r="AI89" s="7">
        <f t="shared" si="15"/>
        <v>495900</v>
      </c>
      <c r="AJ89" s="21" t="str">
        <f t="shared" si="22"/>
        <v/>
      </c>
      <c r="AK89" s="7">
        <f t="shared" si="16"/>
        <v>2.0840350684392661E-2</v>
      </c>
      <c r="AL89" s="7">
        <f t="shared" si="17"/>
        <v>23795185</v>
      </c>
      <c r="AM89" s="7">
        <f>SUM($AL$3:AL89)</f>
        <v>393684922</v>
      </c>
      <c r="AN89" s="166">
        <f t="shared" si="18"/>
        <v>794000</v>
      </c>
      <c r="AO89" s="7">
        <f>SUM($AN$3:AN89)*7</f>
        <v>94439100</v>
      </c>
      <c r="AP89" s="69">
        <f t="shared" si="19"/>
        <v>295724822</v>
      </c>
      <c r="AQ89" s="160">
        <f t="shared" si="20"/>
        <v>2347300</v>
      </c>
      <c r="AR89" s="160">
        <f t="shared" si="21"/>
        <v>1173700</v>
      </c>
    </row>
    <row r="90" spans="1:44">
      <c r="A90" s="32">
        <v>88</v>
      </c>
      <c r="B90" s="81">
        <f>升级节奏!E90</f>
        <v>88000</v>
      </c>
      <c r="C90" s="7">
        <f>IF(VLOOKUP(C$2,行为概览!$D$3:$L$33,9,0)="","",VLOOKUP(C$2,行为概览!$D$3:$L$33,9,0)*IF(玩法行为规划!B90&gt;0,1,0))</f>
        <v>4</v>
      </c>
      <c r="D90" s="7">
        <f>IF(VLOOKUP(D$2,行为概览!$D$3:$L$33,9,0)="","",VLOOKUP(D$2,行为概览!$D$3:$L$33,9,0)*IF(玩法行为规划!C90&gt;0,1,0))</f>
        <v>1.65</v>
      </c>
      <c r="E90" s="7">
        <f>IF(VLOOKUP(E$2,行为概览!$D$3:$L$33,9,0)="","",VLOOKUP(E$2,行为概览!$D$3:$L$33,9,0)*IF(玩法行为规划!D90&gt;0,1,0))</f>
        <v>0.5</v>
      </c>
      <c r="F90" s="7">
        <f>IF(VLOOKUP(F$2,行为概览!$D$3:$L$33,9,0)="","",VLOOKUP(F$2,行为概览!$D$3:$L$33,9,0)*IF(玩法行为规划!E90&gt;0,1,0))</f>
        <v>1</v>
      </c>
      <c r="G90" s="7" t="str">
        <f>IF(VLOOKUP(G$2,行为概览!$D$3:$L$33,9,0)="","",VLOOKUP(G$2,行为概览!$D$3:$L$33,9,0)*IF(玩法行为规划!F90&gt;0,1,0))</f>
        <v/>
      </c>
      <c r="H90" s="7" t="str">
        <f>IF(VLOOKUP(H$2,行为概览!$D$3:$L$33,9,0)="","",VLOOKUP(H$2,行为概览!$D$3:$L$33,9,0)*IF(玩法行为规划!G90&gt;0,1,0))</f>
        <v/>
      </c>
      <c r="I90" s="7" t="str">
        <f>IF(VLOOKUP(I$2,行为概览!$D$3:$L$33,9,0)="","",VLOOKUP(I$2,行为概览!$D$3:$L$33,9,0)*IF(玩法行为规划!H90&gt;0,1,0))</f>
        <v/>
      </c>
      <c r="J90" s="7" t="str">
        <f>IF(VLOOKUP(J$2,行为概览!$D$3:$L$33,9,0)="","",VLOOKUP(J$2,行为概览!$D$3:$L$33,9,0)*IF(玩法行为规划!I90&gt;0,1,0))</f>
        <v/>
      </c>
      <c r="K90" s="7">
        <f>IF(VLOOKUP(K$2,行为概览!$D$3:$L$33,9,0)="","",VLOOKUP(K$2,行为概览!$D$3:$L$33,9,0)*IF(玩法行为规划!J90&gt;0,1,0))</f>
        <v>1</v>
      </c>
      <c r="L90" s="7">
        <f>IF(VLOOKUP(L$2,行为概览!$D$3:$L$33,9,0)="","",VLOOKUP(L$2,行为概览!$D$3:$L$33,9,0)*IF(玩法行为规划!K90&gt;0,1,0))</f>
        <v>1</v>
      </c>
      <c r="M90" s="7" t="str">
        <f>IF(VLOOKUP(M$2,行为概览!$D$3:$L$33,9,0)="","",VLOOKUP(M$2,行为概览!$D$3:$L$33,9,0)*IF(玩法行为规划!L90&gt;0,1,0))</f>
        <v/>
      </c>
      <c r="N90" s="7" t="str">
        <f>IF(VLOOKUP(N$2,行为概览!$D$3:$L$33,9,0)="","",VLOOKUP(N$2,行为概览!$D$3:$L$33,9,0)*IF(玩法行为规划!M90&gt;0,1,0))</f>
        <v/>
      </c>
      <c r="O90" s="7" t="str">
        <f>IF(VLOOKUP(O$2,行为概览!$D$3:$L$33,9,0)="","",VLOOKUP(O$2,行为概览!$D$3:$L$33,9,0)*IF(玩法行为规划!N90&gt;0,1,0))</f>
        <v/>
      </c>
      <c r="P90" s="7">
        <f>IF(VLOOKUP(P$2,行为概览!$D$3:$L$33,9,0)="","",VLOOKUP(P$2,行为概览!$D$3:$L$33,9,0)*IF(玩法行为规划!O90&gt;0,1,0))</f>
        <v>0.5</v>
      </c>
      <c r="Q90" s="7">
        <f>IF(VLOOKUP(Q$2,行为概览!$D$3:$L$33,9,0)="","",VLOOKUP(Q$2,行为概览!$D$3:$L$33,9,0)*IF(玩法行为规划!P90&gt;0,1,0))</f>
        <v>5</v>
      </c>
      <c r="R90" s="7" t="str">
        <f>IF(VLOOKUP(R$2,行为概览!$D$3:$L$33,9,0)="","",VLOOKUP(R$2,行为概览!$D$3:$L$33,9,0)*IF(玩法行为规划!Q90&gt;0,1,0))</f>
        <v/>
      </c>
      <c r="S90" s="7">
        <f>IF(VLOOKUP(S$2,行为概览!$D$3:$L$33,9,0)="","",VLOOKUP(S$2,行为概览!$D$3:$L$33,9,0)*IF(玩法行为规划!R90&gt;0,1,0))</f>
        <v>1</v>
      </c>
      <c r="T90" s="7">
        <f>IF(VLOOKUP(T$2,行为概览!$D$3:$L$33,9,0)="","",VLOOKUP(T$2,行为概览!$D$3:$L$33,9,0)*IF(玩法行为规划!S90&gt;0,1,0))</f>
        <v>0</v>
      </c>
      <c r="U90" s="7">
        <f>IF(VLOOKUP(U$2,行为概览!$D$3:$L$33,9,0)="","",VLOOKUP(U$2,行为概览!$D$3:$L$33,9,0)*IF(玩法行为规划!T90&gt;0,1,0))</f>
        <v>1</v>
      </c>
      <c r="V90" s="7">
        <f>IF(VLOOKUP(V$2,行为概览!$D$3:$L$33,9,0)="","",VLOOKUP(V$2,行为概览!$D$3:$L$33,9,0)*IF(玩法行为规划!U90&gt;0,1,0))</f>
        <v>1.5</v>
      </c>
      <c r="W90" s="7">
        <f>IF(VLOOKUP(W$2,行为概览!$D$3:$L$33,9,0)="","",VLOOKUP(W$2,行为概览!$D$3:$L$33,9,0)*IF(玩法行为规划!V90&gt;0,1,0))</f>
        <v>1</v>
      </c>
      <c r="X90" s="7">
        <f>IF(VLOOKUP(X$2,行为概览!$D$3:$L$33,9,0)="","",VLOOKUP(X$2,行为概览!$D$3:$L$33,9,0)*IF(玩法行为规划!W90&gt;0,1,0))</f>
        <v>1</v>
      </c>
      <c r="Y90" s="7">
        <f>IF(VLOOKUP(Y$2,行为概览!$D$3:$L$33,9,0)="","",VLOOKUP(Y$2,行为概览!$D$3:$L$33,9,0)*IF(玩法行为规划!X90&gt;0,1,0))</f>
        <v>1</v>
      </c>
      <c r="Z90" s="7">
        <f>IF(VLOOKUP(Z$2,行为概览!$D$3:$L$33,9,0)="","",VLOOKUP(Z$2,行为概览!$D$3:$L$33,9,0)*IF(玩法行为规划!Y90&gt;0,1,0))</f>
        <v>3</v>
      </c>
      <c r="AA90" s="7">
        <f>IF(VLOOKUP(AA$2,行为概览!$D$3:$L$33,9,0)="","",VLOOKUP(AA$2,行为概览!$D$3:$L$33,9,0)*IF(玩法行为规划!Z90&gt;0,1,0))</f>
        <v>0.5</v>
      </c>
      <c r="AB90" s="7" t="str">
        <f>IF(VLOOKUP(AB$2,行为概览!$D$3:$L$33,9,0)="","",VLOOKUP(AB$2,行为概览!$D$3:$L$33,9,0)*IF(玩法行为规划!AA90&gt;0,1,0))</f>
        <v/>
      </c>
      <c r="AC90" s="7" t="str">
        <f>IF(VLOOKUP(AC$2,行为概览!$D$3:$L$33,9,0)="","",VLOOKUP(AC$2,行为概览!$D$3:$L$33,9,0)*IF(玩法行为规划!AB90&gt;0,1,0))</f>
        <v/>
      </c>
      <c r="AD90" s="7" t="str">
        <f>IF(VLOOKUP(AD$2,行为概览!$D$3:$L$33,9,0)="","",VLOOKUP(AD$2,行为概览!$D$3:$L$33,9,0)*玩法行为规划!AC90)</f>
        <v/>
      </c>
      <c r="AE90" s="7" t="str">
        <f>IF(VLOOKUP(AE$2,行为概览!$D$3:$L$33,9,0)="","",VLOOKUP(AE$2,行为概览!$D$3:$L$33,9,0)*玩法行为规划!AD90)</f>
        <v/>
      </c>
      <c r="AF90" s="7">
        <f t="shared" si="13"/>
        <v>24.65</v>
      </c>
      <c r="AG90" s="10">
        <f t="shared" si="14"/>
        <v>2169200</v>
      </c>
      <c r="AH90" s="7">
        <f>ROUND(AG90*升级节奏!G90,0)</f>
        <v>24104873</v>
      </c>
      <c r="AI90" s="7">
        <f t="shared" si="15"/>
        <v>510400</v>
      </c>
      <c r="AJ90" s="21" t="str">
        <f t="shared" si="22"/>
        <v/>
      </c>
      <c r="AK90" s="7">
        <f t="shared" si="16"/>
        <v>2.0735094020691951E-2</v>
      </c>
      <c r="AL90" s="7">
        <f t="shared" si="17"/>
        <v>24615273</v>
      </c>
      <c r="AM90" s="7">
        <f>SUM($AL$3:AL90)</f>
        <v>418300195</v>
      </c>
      <c r="AN90" s="166">
        <f t="shared" si="18"/>
        <v>821100</v>
      </c>
      <c r="AO90" s="7">
        <f>SUM($AN$3:AN90)*7</f>
        <v>100186800</v>
      </c>
      <c r="AP90" s="69">
        <f t="shared" si="19"/>
        <v>314471295</v>
      </c>
      <c r="AQ90" s="160">
        <f t="shared" si="20"/>
        <v>2428100</v>
      </c>
      <c r="AR90" s="160">
        <f t="shared" si="21"/>
        <v>1214000</v>
      </c>
    </row>
    <row r="91" spans="1:44">
      <c r="A91" s="32">
        <v>89</v>
      </c>
      <c r="B91" s="81">
        <f>升级节奏!E91</f>
        <v>89000</v>
      </c>
      <c r="C91" s="7">
        <f>IF(VLOOKUP(C$2,行为概览!$D$3:$L$33,9,0)="","",VLOOKUP(C$2,行为概览!$D$3:$L$33,9,0)*IF(玩法行为规划!B91&gt;0,1,0))</f>
        <v>4</v>
      </c>
      <c r="D91" s="7">
        <f>IF(VLOOKUP(D$2,行为概览!$D$3:$L$33,9,0)="","",VLOOKUP(D$2,行为概览!$D$3:$L$33,9,0)*IF(玩法行为规划!C91&gt;0,1,0))</f>
        <v>1.65</v>
      </c>
      <c r="E91" s="7">
        <f>IF(VLOOKUP(E$2,行为概览!$D$3:$L$33,9,0)="","",VLOOKUP(E$2,行为概览!$D$3:$L$33,9,0)*IF(玩法行为规划!D91&gt;0,1,0))</f>
        <v>0.5</v>
      </c>
      <c r="F91" s="7">
        <f>IF(VLOOKUP(F$2,行为概览!$D$3:$L$33,9,0)="","",VLOOKUP(F$2,行为概览!$D$3:$L$33,9,0)*IF(玩法行为规划!E91&gt;0,1,0))</f>
        <v>1</v>
      </c>
      <c r="G91" s="7" t="str">
        <f>IF(VLOOKUP(G$2,行为概览!$D$3:$L$33,9,0)="","",VLOOKUP(G$2,行为概览!$D$3:$L$33,9,0)*IF(玩法行为规划!F91&gt;0,1,0))</f>
        <v/>
      </c>
      <c r="H91" s="7" t="str">
        <f>IF(VLOOKUP(H$2,行为概览!$D$3:$L$33,9,0)="","",VLOOKUP(H$2,行为概览!$D$3:$L$33,9,0)*IF(玩法行为规划!G91&gt;0,1,0))</f>
        <v/>
      </c>
      <c r="I91" s="7" t="str">
        <f>IF(VLOOKUP(I$2,行为概览!$D$3:$L$33,9,0)="","",VLOOKUP(I$2,行为概览!$D$3:$L$33,9,0)*IF(玩法行为规划!H91&gt;0,1,0))</f>
        <v/>
      </c>
      <c r="J91" s="7" t="str">
        <f>IF(VLOOKUP(J$2,行为概览!$D$3:$L$33,9,0)="","",VLOOKUP(J$2,行为概览!$D$3:$L$33,9,0)*IF(玩法行为规划!I91&gt;0,1,0))</f>
        <v/>
      </c>
      <c r="K91" s="7">
        <f>IF(VLOOKUP(K$2,行为概览!$D$3:$L$33,9,0)="","",VLOOKUP(K$2,行为概览!$D$3:$L$33,9,0)*IF(玩法行为规划!J91&gt;0,1,0))</f>
        <v>1</v>
      </c>
      <c r="L91" s="7">
        <f>IF(VLOOKUP(L$2,行为概览!$D$3:$L$33,9,0)="","",VLOOKUP(L$2,行为概览!$D$3:$L$33,9,0)*IF(玩法行为规划!K91&gt;0,1,0))</f>
        <v>1</v>
      </c>
      <c r="M91" s="7" t="str">
        <f>IF(VLOOKUP(M$2,行为概览!$D$3:$L$33,9,0)="","",VLOOKUP(M$2,行为概览!$D$3:$L$33,9,0)*IF(玩法行为规划!L91&gt;0,1,0))</f>
        <v/>
      </c>
      <c r="N91" s="7" t="str">
        <f>IF(VLOOKUP(N$2,行为概览!$D$3:$L$33,9,0)="","",VLOOKUP(N$2,行为概览!$D$3:$L$33,9,0)*IF(玩法行为规划!M91&gt;0,1,0))</f>
        <v/>
      </c>
      <c r="O91" s="7" t="str">
        <f>IF(VLOOKUP(O$2,行为概览!$D$3:$L$33,9,0)="","",VLOOKUP(O$2,行为概览!$D$3:$L$33,9,0)*IF(玩法行为规划!N91&gt;0,1,0))</f>
        <v/>
      </c>
      <c r="P91" s="7">
        <f>IF(VLOOKUP(P$2,行为概览!$D$3:$L$33,9,0)="","",VLOOKUP(P$2,行为概览!$D$3:$L$33,9,0)*IF(玩法行为规划!O91&gt;0,1,0))</f>
        <v>0.5</v>
      </c>
      <c r="Q91" s="7">
        <f>IF(VLOOKUP(Q$2,行为概览!$D$3:$L$33,9,0)="","",VLOOKUP(Q$2,行为概览!$D$3:$L$33,9,0)*IF(玩法行为规划!P91&gt;0,1,0))</f>
        <v>5</v>
      </c>
      <c r="R91" s="7" t="str">
        <f>IF(VLOOKUP(R$2,行为概览!$D$3:$L$33,9,0)="","",VLOOKUP(R$2,行为概览!$D$3:$L$33,9,0)*IF(玩法行为规划!Q91&gt;0,1,0))</f>
        <v/>
      </c>
      <c r="S91" s="7">
        <f>IF(VLOOKUP(S$2,行为概览!$D$3:$L$33,9,0)="","",VLOOKUP(S$2,行为概览!$D$3:$L$33,9,0)*IF(玩法行为规划!R91&gt;0,1,0))</f>
        <v>1</v>
      </c>
      <c r="T91" s="7">
        <f>IF(VLOOKUP(T$2,行为概览!$D$3:$L$33,9,0)="","",VLOOKUP(T$2,行为概览!$D$3:$L$33,9,0)*IF(玩法行为规划!S91&gt;0,1,0))</f>
        <v>0</v>
      </c>
      <c r="U91" s="7">
        <f>IF(VLOOKUP(U$2,行为概览!$D$3:$L$33,9,0)="","",VLOOKUP(U$2,行为概览!$D$3:$L$33,9,0)*IF(玩法行为规划!T91&gt;0,1,0))</f>
        <v>1</v>
      </c>
      <c r="V91" s="7">
        <f>IF(VLOOKUP(V$2,行为概览!$D$3:$L$33,9,0)="","",VLOOKUP(V$2,行为概览!$D$3:$L$33,9,0)*IF(玩法行为规划!U91&gt;0,1,0))</f>
        <v>1.5</v>
      </c>
      <c r="W91" s="7">
        <f>IF(VLOOKUP(W$2,行为概览!$D$3:$L$33,9,0)="","",VLOOKUP(W$2,行为概览!$D$3:$L$33,9,0)*IF(玩法行为规划!V91&gt;0,1,0))</f>
        <v>1</v>
      </c>
      <c r="X91" s="7">
        <f>IF(VLOOKUP(X$2,行为概览!$D$3:$L$33,9,0)="","",VLOOKUP(X$2,行为概览!$D$3:$L$33,9,0)*IF(玩法行为规划!W91&gt;0,1,0))</f>
        <v>1</v>
      </c>
      <c r="Y91" s="7">
        <f>IF(VLOOKUP(Y$2,行为概览!$D$3:$L$33,9,0)="","",VLOOKUP(Y$2,行为概览!$D$3:$L$33,9,0)*IF(玩法行为规划!X91&gt;0,1,0))</f>
        <v>1</v>
      </c>
      <c r="Z91" s="7">
        <f>IF(VLOOKUP(Z$2,行为概览!$D$3:$L$33,9,0)="","",VLOOKUP(Z$2,行为概览!$D$3:$L$33,9,0)*IF(玩法行为规划!Y91&gt;0,1,0))</f>
        <v>3</v>
      </c>
      <c r="AA91" s="7">
        <f>IF(VLOOKUP(AA$2,行为概览!$D$3:$L$33,9,0)="","",VLOOKUP(AA$2,行为概览!$D$3:$L$33,9,0)*IF(玩法行为规划!Z91&gt;0,1,0))</f>
        <v>0.5</v>
      </c>
      <c r="AB91" s="7" t="str">
        <f>IF(VLOOKUP(AB$2,行为概览!$D$3:$L$33,9,0)="","",VLOOKUP(AB$2,行为概览!$D$3:$L$33,9,0)*IF(玩法行为规划!AA91&gt;0,1,0))</f>
        <v/>
      </c>
      <c r="AC91" s="7" t="str">
        <f>IF(VLOOKUP(AC$2,行为概览!$D$3:$L$33,9,0)="","",VLOOKUP(AC$2,行为概览!$D$3:$L$33,9,0)*IF(玩法行为规划!AB91&gt;0,1,0))</f>
        <v/>
      </c>
      <c r="AD91" s="7" t="str">
        <f>IF(VLOOKUP(AD$2,行为概览!$D$3:$L$33,9,0)="","",VLOOKUP(AD$2,行为概览!$D$3:$L$33,9,0)*玩法行为规划!AC91)</f>
        <v/>
      </c>
      <c r="AE91" s="7" t="str">
        <f>IF(VLOOKUP(AE$2,行为概览!$D$3:$L$33,9,0)="","",VLOOKUP(AE$2,行为概览!$D$3:$L$33,9,0)*玩法行为规划!AD91)</f>
        <v/>
      </c>
      <c r="AF91" s="7">
        <f t="shared" si="13"/>
        <v>24.65</v>
      </c>
      <c r="AG91" s="10">
        <f t="shared" si="14"/>
        <v>2193850</v>
      </c>
      <c r="AH91" s="7">
        <f>ROUND(AG91*升级节奏!G91,0)</f>
        <v>24928900</v>
      </c>
      <c r="AI91" s="7">
        <f t="shared" si="15"/>
        <v>525100</v>
      </c>
      <c r="AJ91" s="21" t="str">
        <f t="shared" si="22"/>
        <v/>
      </c>
      <c r="AK91" s="7">
        <f t="shared" si="16"/>
        <v>2.062937062937063E-2</v>
      </c>
      <c r="AL91" s="7">
        <f t="shared" si="17"/>
        <v>25454000</v>
      </c>
      <c r="AM91" s="7">
        <f>SUM($AL$3:AL91)</f>
        <v>443754195</v>
      </c>
      <c r="AN91" s="166">
        <f t="shared" si="18"/>
        <v>848800</v>
      </c>
      <c r="AO91" s="7">
        <f>SUM($AN$3:AN91)*7</f>
        <v>106128400</v>
      </c>
      <c r="AP91" s="69">
        <f t="shared" si="19"/>
        <v>333859795</v>
      </c>
      <c r="AQ91" s="160">
        <f t="shared" si="20"/>
        <v>2510700</v>
      </c>
      <c r="AR91" s="160">
        <f t="shared" si="21"/>
        <v>1255300</v>
      </c>
    </row>
    <row r="92" spans="1:44">
      <c r="A92" s="32">
        <v>90</v>
      </c>
      <c r="B92" s="81">
        <f>升级节奏!E92</f>
        <v>90000</v>
      </c>
      <c r="C92" s="7">
        <f>IF(VLOOKUP(C$2,行为概览!$D$3:$L$33,9,0)="","",VLOOKUP(C$2,行为概览!$D$3:$L$33,9,0)*IF(玩法行为规划!B92&gt;0,1,0))</f>
        <v>4</v>
      </c>
      <c r="D92" s="7">
        <f>IF(VLOOKUP(D$2,行为概览!$D$3:$L$33,9,0)="","",VLOOKUP(D$2,行为概览!$D$3:$L$33,9,0)*IF(玩法行为规划!C92&gt;0,1,0))</f>
        <v>1.65</v>
      </c>
      <c r="E92" s="7">
        <f>IF(VLOOKUP(E$2,行为概览!$D$3:$L$33,9,0)="","",VLOOKUP(E$2,行为概览!$D$3:$L$33,9,0)*IF(玩法行为规划!D92&gt;0,1,0))</f>
        <v>0.5</v>
      </c>
      <c r="F92" s="7">
        <f>IF(VLOOKUP(F$2,行为概览!$D$3:$L$33,9,0)="","",VLOOKUP(F$2,行为概览!$D$3:$L$33,9,0)*IF(玩法行为规划!E92&gt;0,1,0))</f>
        <v>1</v>
      </c>
      <c r="G92" s="7" t="str">
        <f>IF(VLOOKUP(G$2,行为概览!$D$3:$L$33,9,0)="","",VLOOKUP(G$2,行为概览!$D$3:$L$33,9,0)*IF(玩法行为规划!F92&gt;0,1,0))</f>
        <v/>
      </c>
      <c r="H92" s="7" t="str">
        <f>IF(VLOOKUP(H$2,行为概览!$D$3:$L$33,9,0)="","",VLOOKUP(H$2,行为概览!$D$3:$L$33,9,0)*IF(玩法行为规划!G92&gt;0,1,0))</f>
        <v/>
      </c>
      <c r="I92" s="7" t="str">
        <f>IF(VLOOKUP(I$2,行为概览!$D$3:$L$33,9,0)="","",VLOOKUP(I$2,行为概览!$D$3:$L$33,9,0)*IF(玩法行为规划!H92&gt;0,1,0))</f>
        <v/>
      </c>
      <c r="J92" s="7" t="str">
        <f>IF(VLOOKUP(J$2,行为概览!$D$3:$L$33,9,0)="","",VLOOKUP(J$2,行为概览!$D$3:$L$33,9,0)*IF(玩法行为规划!I92&gt;0,1,0))</f>
        <v/>
      </c>
      <c r="K92" s="7">
        <f>IF(VLOOKUP(K$2,行为概览!$D$3:$L$33,9,0)="","",VLOOKUP(K$2,行为概览!$D$3:$L$33,9,0)*IF(玩法行为规划!J92&gt;0,1,0))</f>
        <v>1</v>
      </c>
      <c r="L92" s="7">
        <f>IF(VLOOKUP(L$2,行为概览!$D$3:$L$33,9,0)="","",VLOOKUP(L$2,行为概览!$D$3:$L$33,9,0)*IF(玩法行为规划!K92&gt;0,1,0))</f>
        <v>1</v>
      </c>
      <c r="M92" s="7" t="str">
        <f>IF(VLOOKUP(M$2,行为概览!$D$3:$L$33,9,0)="","",VLOOKUP(M$2,行为概览!$D$3:$L$33,9,0)*IF(玩法行为规划!L92&gt;0,1,0))</f>
        <v/>
      </c>
      <c r="N92" s="7" t="str">
        <f>IF(VLOOKUP(N$2,行为概览!$D$3:$L$33,9,0)="","",VLOOKUP(N$2,行为概览!$D$3:$L$33,9,0)*IF(玩法行为规划!M92&gt;0,1,0))</f>
        <v/>
      </c>
      <c r="O92" s="7" t="str">
        <f>IF(VLOOKUP(O$2,行为概览!$D$3:$L$33,9,0)="","",VLOOKUP(O$2,行为概览!$D$3:$L$33,9,0)*IF(玩法行为规划!N92&gt;0,1,0))</f>
        <v/>
      </c>
      <c r="P92" s="7">
        <f>IF(VLOOKUP(P$2,行为概览!$D$3:$L$33,9,0)="","",VLOOKUP(P$2,行为概览!$D$3:$L$33,9,0)*IF(玩法行为规划!O92&gt;0,1,0))</f>
        <v>0.5</v>
      </c>
      <c r="Q92" s="7">
        <f>IF(VLOOKUP(Q$2,行为概览!$D$3:$L$33,9,0)="","",VLOOKUP(Q$2,行为概览!$D$3:$L$33,9,0)*IF(玩法行为规划!P92&gt;0,1,0))</f>
        <v>5</v>
      </c>
      <c r="R92" s="7" t="str">
        <f>IF(VLOOKUP(R$2,行为概览!$D$3:$L$33,9,0)="","",VLOOKUP(R$2,行为概览!$D$3:$L$33,9,0)*IF(玩法行为规划!Q92&gt;0,1,0))</f>
        <v/>
      </c>
      <c r="S92" s="7">
        <f>IF(VLOOKUP(S$2,行为概览!$D$3:$L$33,9,0)="","",VLOOKUP(S$2,行为概览!$D$3:$L$33,9,0)*IF(玩法行为规划!R92&gt;0,1,0))</f>
        <v>1</v>
      </c>
      <c r="T92" s="7">
        <f>IF(VLOOKUP(T$2,行为概览!$D$3:$L$33,9,0)="","",VLOOKUP(T$2,行为概览!$D$3:$L$33,9,0)*IF(玩法行为规划!S92&gt;0,1,0))</f>
        <v>0</v>
      </c>
      <c r="U92" s="7">
        <f>IF(VLOOKUP(U$2,行为概览!$D$3:$L$33,9,0)="","",VLOOKUP(U$2,行为概览!$D$3:$L$33,9,0)*IF(玩法行为规划!T92&gt;0,1,0))</f>
        <v>1</v>
      </c>
      <c r="V92" s="7">
        <f>IF(VLOOKUP(V$2,行为概览!$D$3:$L$33,9,0)="","",VLOOKUP(V$2,行为概览!$D$3:$L$33,9,0)*IF(玩法行为规划!U92&gt;0,1,0))</f>
        <v>1.5</v>
      </c>
      <c r="W92" s="7">
        <f>IF(VLOOKUP(W$2,行为概览!$D$3:$L$33,9,0)="","",VLOOKUP(W$2,行为概览!$D$3:$L$33,9,0)*IF(玩法行为规划!V92&gt;0,1,0))</f>
        <v>1</v>
      </c>
      <c r="X92" s="7">
        <f>IF(VLOOKUP(X$2,行为概览!$D$3:$L$33,9,0)="","",VLOOKUP(X$2,行为概览!$D$3:$L$33,9,0)*IF(玩法行为规划!W92&gt;0,1,0))</f>
        <v>1</v>
      </c>
      <c r="Y92" s="7">
        <f>IF(VLOOKUP(Y$2,行为概览!$D$3:$L$33,9,0)="","",VLOOKUP(Y$2,行为概览!$D$3:$L$33,9,0)*IF(玩法行为规划!X92&gt;0,1,0))</f>
        <v>1</v>
      </c>
      <c r="Z92" s="7">
        <f>IF(VLOOKUP(Z$2,行为概览!$D$3:$L$33,9,0)="","",VLOOKUP(Z$2,行为概览!$D$3:$L$33,9,0)*IF(玩法行为规划!Y92&gt;0,1,0))</f>
        <v>3</v>
      </c>
      <c r="AA92" s="7">
        <f>IF(VLOOKUP(AA$2,行为概览!$D$3:$L$33,9,0)="","",VLOOKUP(AA$2,行为概览!$D$3:$L$33,9,0)*IF(玩法行为规划!Z92&gt;0,1,0))</f>
        <v>0.5</v>
      </c>
      <c r="AB92" s="7" t="str">
        <f>IF(VLOOKUP(AB$2,行为概览!$D$3:$L$33,9,0)="","",VLOOKUP(AB$2,行为概览!$D$3:$L$33,9,0)*IF(玩法行为规划!AA92&gt;0,1,0))</f>
        <v/>
      </c>
      <c r="AC92" s="7" t="str">
        <f>IF(VLOOKUP(AC$2,行为概览!$D$3:$L$33,9,0)="","",VLOOKUP(AC$2,行为概览!$D$3:$L$33,9,0)*IF(玩法行为规划!AB92&gt;0,1,0))</f>
        <v/>
      </c>
      <c r="AD92" s="7" t="str">
        <f>IF(VLOOKUP(AD$2,行为概览!$D$3:$L$33,9,0)="","",VLOOKUP(AD$2,行为概览!$D$3:$L$33,9,0)*玩法行为规划!AC92)</f>
        <v/>
      </c>
      <c r="AE92" s="7" t="str">
        <f>IF(VLOOKUP(AE$2,行为概览!$D$3:$L$33,9,0)="","",VLOOKUP(AE$2,行为概览!$D$3:$L$33,9,0)*玩法行为规划!AD92)</f>
        <v/>
      </c>
      <c r="AF92" s="7">
        <f t="shared" si="13"/>
        <v>24.65</v>
      </c>
      <c r="AG92" s="10">
        <f t="shared" si="14"/>
        <v>2218500</v>
      </c>
      <c r="AH92" s="7">
        <f>ROUND(AG92*升级节奏!G92,0)</f>
        <v>25771575</v>
      </c>
      <c r="AI92" s="7">
        <f t="shared" si="15"/>
        <v>540000</v>
      </c>
      <c r="AJ92" s="21">
        <f t="shared" si="22"/>
        <v>6103500</v>
      </c>
      <c r="AK92" s="7">
        <f t="shared" si="16"/>
        <v>2.0523286804381723E-2</v>
      </c>
      <c r="AL92" s="7">
        <f t="shared" si="17"/>
        <v>26311575</v>
      </c>
      <c r="AM92" s="7">
        <f>SUM($AL$3:AL92)</f>
        <v>470065770</v>
      </c>
      <c r="AN92" s="166">
        <f t="shared" si="18"/>
        <v>877100</v>
      </c>
      <c r="AO92" s="7">
        <f>SUM($AN$3:AN92)*7</f>
        <v>112268100</v>
      </c>
      <c r="AP92" s="69">
        <f t="shared" si="19"/>
        <v>353904870</v>
      </c>
      <c r="AQ92" s="160">
        <f t="shared" si="20"/>
        <v>2595200</v>
      </c>
      <c r="AR92" s="160">
        <f t="shared" si="21"/>
        <v>1297600</v>
      </c>
    </row>
    <row r="93" spans="1:44">
      <c r="A93" s="32">
        <v>91</v>
      </c>
      <c r="B93" s="81">
        <f>升级节奏!E93</f>
        <v>91000</v>
      </c>
      <c r="C93" s="7">
        <f>IF(VLOOKUP(C$2,行为概览!$D$3:$L$33,9,0)="","",VLOOKUP(C$2,行为概览!$D$3:$L$33,9,0)*IF(玩法行为规划!B93&gt;0,1,0))</f>
        <v>4</v>
      </c>
      <c r="D93" s="7">
        <f>IF(VLOOKUP(D$2,行为概览!$D$3:$L$33,9,0)="","",VLOOKUP(D$2,行为概览!$D$3:$L$33,9,0)*IF(玩法行为规划!C93&gt;0,1,0))</f>
        <v>1.65</v>
      </c>
      <c r="E93" s="7">
        <f>IF(VLOOKUP(E$2,行为概览!$D$3:$L$33,9,0)="","",VLOOKUP(E$2,行为概览!$D$3:$L$33,9,0)*IF(玩法行为规划!D93&gt;0,1,0))</f>
        <v>0.5</v>
      </c>
      <c r="F93" s="7">
        <f>IF(VLOOKUP(F$2,行为概览!$D$3:$L$33,9,0)="","",VLOOKUP(F$2,行为概览!$D$3:$L$33,9,0)*IF(玩法行为规划!E93&gt;0,1,0))</f>
        <v>1</v>
      </c>
      <c r="G93" s="7" t="str">
        <f>IF(VLOOKUP(G$2,行为概览!$D$3:$L$33,9,0)="","",VLOOKUP(G$2,行为概览!$D$3:$L$33,9,0)*IF(玩法行为规划!F93&gt;0,1,0))</f>
        <v/>
      </c>
      <c r="H93" s="7" t="str">
        <f>IF(VLOOKUP(H$2,行为概览!$D$3:$L$33,9,0)="","",VLOOKUP(H$2,行为概览!$D$3:$L$33,9,0)*IF(玩法行为规划!G93&gt;0,1,0))</f>
        <v/>
      </c>
      <c r="I93" s="7" t="str">
        <f>IF(VLOOKUP(I$2,行为概览!$D$3:$L$33,9,0)="","",VLOOKUP(I$2,行为概览!$D$3:$L$33,9,0)*IF(玩法行为规划!H93&gt;0,1,0))</f>
        <v/>
      </c>
      <c r="J93" s="7" t="str">
        <f>IF(VLOOKUP(J$2,行为概览!$D$3:$L$33,9,0)="","",VLOOKUP(J$2,行为概览!$D$3:$L$33,9,0)*IF(玩法行为规划!I93&gt;0,1,0))</f>
        <v/>
      </c>
      <c r="K93" s="7">
        <f>IF(VLOOKUP(K$2,行为概览!$D$3:$L$33,9,0)="","",VLOOKUP(K$2,行为概览!$D$3:$L$33,9,0)*IF(玩法行为规划!J93&gt;0,1,0))</f>
        <v>1</v>
      </c>
      <c r="L93" s="7">
        <f>IF(VLOOKUP(L$2,行为概览!$D$3:$L$33,9,0)="","",VLOOKUP(L$2,行为概览!$D$3:$L$33,9,0)*IF(玩法行为规划!K93&gt;0,1,0))</f>
        <v>1</v>
      </c>
      <c r="M93" s="7" t="str">
        <f>IF(VLOOKUP(M$2,行为概览!$D$3:$L$33,9,0)="","",VLOOKUP(M$2,行为概览!$D$3:$L$33,9,0)*IF(玩法行为规划!L93&gt;0,1,0))</f>
        <v/>
      </c>
      <c r="N93" s="7" t="str">
        <f>IF(VLOOKUP(N$2,行为概览!$D$3:$L$33,9,0)="","",VLOOKUP(N$2,行为概览!$D$3:$L$33,9,0)*IF(玩法行为规划!M93&gt;0,1,0))</f>
        <v/>
      </c>
      <c r="O93" s="7" t="str">
        <f>IF(VLOOKUP(O$2,行为概览!$D$3:$L$33,9,0)="","",VLOOKUP(O$2,行为概览!$D$3:$L$33,9,0)*IF(玩法行为规划!N93&gt;0,1,0))</f>
        <v/>
      </c>
      <c r="P93" s="7">
        <f>IF(VLOOKUP(P$2,行为概览!$D$3:$L$33,9,0)="","",VLOOKUP(P$2,行为概览!$D$3:$L$33,9,0)*IF(玩法行为规划!O93&gt;0,1,0))</f>
        <v>0.5</v>
      </c>
      <c r="Q93" s="7">
        <f>IF(VLOOKUP(Q$2,行为概览!$D$3:$L$33,9,0)="","",VLOOKUP(Q$2,行为概览!$D$3:$L$33,9,0)*IF(玩法行为规划!P93&gt;0,1,0))</f>
        <v>5</v>
      </c>
      <c r="R93" s="7" t="str">
        <f>IF(VLOOKUP(R$2,行为概览!$D$3:$L$33,9,0)="","",VLOOKUP(R$2,行为概览!$D$3:$L$33,9,0)*IF(玩法行为规划!Q93&gt;0,1,0))</f>
        <v/>
      </c>
      <c r="S93" s="7">
        <f>IF(VLOOKUP(S$2,行为概览!$D$3:$L$33,9,0)="","",VLOOKUP(S$2,行为概览!$D$3:$L$33,9,0)*IF(玩法行为规划!R93&gt;0,1,0))</f>
        <v>1</v>
      </c>
      <c r="T93" s="7">
        <f>IF(VLOOKUP(T$2,行为概览!$D$3:$L$33,9,0)="","",VLOOKUP(T$2,行为概览!$D$3:$L$33,9,0)*IF(玩法行为规划!S93&gt;0,1,0))</f>
        <v>0</v>
      </c>
      <c r="U93" s="7">
        <f>IF(VLOOKUP(U$2,行为概览!$D$3:$L$33,9,0)="","",VLOOKUP(U$2,行为概览!$D$3:$L$33,9,0)*IF(玩法行为规划!T93&gt;0,1,0))</f>
        <v>1</v>
      </c>
      <c r="V93" s="7">
        <f>IF(VLOOKUP(V$2,行为概览!$D$3:$L$33,9,0)="","",VLOOKUP(V$2,行为概览!$D$3:$L$33,9,0)*IF(玩法行为规划!U93&gt;0,1,0))</f>
        <v>1.5</v>
      </c>
      <c r="W93" s="7">
        <f>IF(VLOOKUP(W$2,行为概览!$D$3:$L$33,9,0)="","",VLOOKUP(W$2,行为概览!$D$3:$L$33,9,0)*IF(玩法行为规划!V93&gt;0,1,0))</f>
        <v>1</v>
      </c>
      <c r="X93" s="7">
        <f>IF(VLOOKUP(X$2,行为概览!$D$3:$L$33,9,0)="","",VLOOKUP(X$2,行为概览!$D$3:$L$33,9,0)*IF(玩法行为规划!W93&gt;0,1,0))</f>
        <v>1</v>
      </c>
      <c r="Y93" s="7">
        <f>IF(VLOOKUP(Y$2,行为概览!$D$3:$L$33,9,0)="","",VLOOKUP(Y$2,行为概览!$D$3:$L$33,9,0)*IF(玩法行为规划!X93&gt;0,1,0))</f>
        <v>1</v>
      </c>
      <c r="Z93" s="7">
        <f>IF(VLOOKUP(Z$2,行为概览!$D$3:$L$33,9,0)="","",VLOOKUP(Z$2,行为概览!$D$3:$L$33,9,0)*IF(玩法行为规划!Y93&gt;0,1,0))</f>
        <v>3</v>
      </c>
      <c r="AA93" s="7">
        <f>IF(VLOOKUP(AA$2,行为概览!$D$3:$L$33,9,0)="","",VLOOKUP(AA$2,行为概览!$D$3:$L$33,9,0)*IF(玩法行为规划!Z93&gt;0,1,0))</f>
        <v>0.5</v>
      </c>
      <c r="AB93" s="7" t="str">
        <f>IF(VLOOKUP(AB$2,行为概览!$D$3:$L$33,9,0)="","",VLOOKUP(AB$2,行为概览!$D$3:$L$33,9,0)*IF(玩法行为规划!AA93&gt;0,1,0))</f>
        <v/>
      </c>
      <c r="AC93" s="7" t="str">
        <f>IF(VLOOKUP(AC$2,行为概览!$D$3:$L$33,9,0)="","",VLOOKUP(AC$2,行为概览!$D$3:$L$33,9,0)*IF(玩法行为规划!AB93&gt;0,1,0))</f>
        <v/>
      </c>
      <c r="AD93" s="7" t="str">
        <f>IF(VLOOKUP(AD$2,行为概览!$D$3:$L$33,9,0)="","",VLOOKUP(AD$2,行为概览!$D$3:$L$33,9,0)*玩法行为规划!AC93)</f>
        <v/>
      </c>
      <c r="AE93" s="7" t="str">
        <f>IF(VLOOKUP(AE$2,行为概览!$D$3:$L$33,9,0)="","",VLOOKUP(AE$2,行为概览!$D$3:$L$33,9,0)*玩法行为规划!AD93)</f>
        <v/>
      </c>
      <c r="AF93" s="7">
        <f t="shared" si="13"/>
        <v>24.65</v>
      </c>
      <c r="AG93" s="10">
        <f t="shared" si="14"/>
        <v>2243150</v>
      </c>
      <c r="AH93" s="7">
        <f>ROUND(AG93*升级节奏!G93,0)</f>
        <v>26633107</v>
      </c>
      <c r="AI93" s="7">
        <f t="shared" si="15"/>
        <v>555100</v>
      </c>
      <c r="AJ93" s="21" t="str">
        <f t="shared" si="22"/>
        <v/>
      </c>
      <c r="AK93" s="7">
        <f t="shared" si="16"/>
        <v>2.0416940330048244E-2</v>
      </c>
      <c r="AL93" s="7">
        <f t="shared" si="17"/>
        <v>27188207</v>
      </c>
      <c r="AM93" s="7">
        <f>SUM($AL$3:AL93)</f>
        <v>497253977</v>
      </c>
      <c r="AN93" s="166">
        <f t="shared" si="18"/>
        <v>906000</v>
      </c>
      <c r="AO93" s="7">
        <f>SUM($AN$3:AN93)*7</f>
        <v>118610100</v>
      </c>
      <c r="AP93" s="69">
        <f t="shared" si="19"/>
        <v>374621577</v>
      </c>
      <c r="AQ93" s="160">
        <f t="shared" si="20"/>
        <v>2681500</v>
      </c>
      <c r="AR93" s="160">
        <f t="shared" si="21"/>
        <v>1340800</v>
      </c>
    </row>
    <row r="94" spans="1:44">
      <c r="A94" s="32">
        <v>92</v>
      </c>
      <c r="B94" s="81">
        <f>升级节奏!E94</f>
        <v>92000</v>
      </c>
      <c r="C94" s="7">
        <f>IF(VLOOKUP(C$2,行为概览!$D$3:$L$33,9,0)="","",VLOOKUP(C$2,行为概览!$D$3:$L$33,9,0)*IF(玩法行为规划!B94&gt;0,1,0))</f>
        <v>4</v>
      </c>
      <c r="D94" s="7">
        <f>IF(VLOOKUP(D$2,行为概览!$D$3:$L$33,9,0)="","",VLOOKUP(D$2,行为概览!$D$3:$L$33,9,0)*IF(玩法行为规划!C94&gt;0,1,0))</f>
        <v>1.65</v>
      </c>
      <c r="E94" s="7">
        <f>IF(VLOOKUP(E$2,行为概览!$D$3:$L$33,9,0)="","",VLOOKUP(E$2,行为概览!$D$3:$L$33,9,0)*IF(玩法行为规划!D94&gt;0,1,0))</f>
        <v>0.5</v>
      </c>
      <c r="F94" s="7">
        <f>IF(VLOOKUP(F$2,行为概览!$D$3:$L$33,9,0)="","",VLOOKUP(F$2,行为概览!$D$3:$L$33,9,0)*IF(玩法行为规划!E94&gt;0,1,0))</f>
        <v>1</v>
      </c>
      <c r="G94" s="7" t="str">
        <f>IF(VLOOKUP(G$2,行为概览!$D$3:$L$33,9,0)="","",VLOOKUP(G$2,行为概览!$D$3:$L$33,9,0)*IF(玩法行为规划!F94&gt;0,1,0))</f>
        <v/>
      </c>
      <c r="H94" s="7" t="str">
        <f>IF(VLOOKUP(H$2,行为概览!$D$3:$L$33,9,0)="","",VLOOKUP(H$2,行为概览!$D$3:$L$33,9,0)*IF(玩法行为规划!G94&gt;0,1,0))</f>
        <v/>
      </c>
      <c r="I94" s="7" t="str">
        <f>IF(VLOOKUP(I$2,行为概览!$D$3:$L$33,9,0)="","",VLOOKUP(I$2,行为概览!$D$3:$L$33,9,0)*IF(玩法行为规划!H94&gt;0,1,0))</f>
        <v/>
      </c>
      <c r="J94" s="7" t="str">
        <f>IF(VLOOKUP(J$2,行为概览!$D$3:$L$33,9,0)="","",VLOOKUP(J$2,行为概览!$D$3:$L$33,9,0)*IF(玩法行为规划!I94&gt;0,1,0))</f>
        <v/>
      </c>
      <c r="K94" s="7">
        <f>IF(VLOOKUP(K$2,行为概览!$D$3:$L$33,9,0)="","",VLOOKUP(K$2,行为概览!$D$3:$L$33,9,0)*IF(玩法行为规划!J94&gt;0,1,0))</f>
        <v>1</v>
      </c>
      <c r="L94" s="7">
        <f>IF(VLOOKUP(L$2,行为概览!$D$3:$L$33,9,0)="","",VLOOKUP(L$2,行为概览!$D$3:$L$33,9,0)*IF(玩法行为规划!K94&gt;0,1,0))</f>
        <v>1</v>
      </c>
      <c r="M94" s="7" t="str">
        <f>IF(VLOOKUP(M$2,行为概览!$D$3:$L$33,9,0)="","",VLOOKUP(M$2,行为概览!$D$3:$L$33,9,0)*IF(玩法行为规划!L94&gt;0,1,0))</f>
        <v/>
      </c>
      <c r="N94" s="7" t="str">
        <f>IF(VLOOKUP(N$2,行为概览!$D$3:$L$33,9,0)="","",VLOOKUP(N$2,行为概览!$D$3:$L$33,9,0)*IF(玩法行为规划!M94&gt;0,1,0))</f>
        <v/>
      </c>
      <c r="O94" s="7" t="str">
        <f>IF(VLOOKUP(O$2,行为概览!$D$3:$L$33,9,0)="","",VLOOKUP(O$2,行为概览!$D$3:$L$33,9,0)*IF(玩法行为规划!N94&gt;0,1,0))</f>
        <v/>
      </c>
      <c r="P94" s="7">
        <f>IF(VLOOKUP(P$2,行为概览!$D$3:$L$33,9,0)="","",VLOOKUP(P$2,行为概览!$D$3:$L$33,9,0)*IF(玩法行为规划!O94&gt;0,1,0))</f>
        <v>0.5</v>
      </c>
      <c r="Q94" s="7">
        <f>IF(VLOOKUP(Q$2,行为概览!$D$3:$L$33,9,0)="","",VLOOKUP(Q$2,行为概览!$D$3:$L$33,9,0)*IF(玩法行为规划!P94&gt;0,1,0))</f>
        <v>5</v>
      </c>
      <c r="R94" s="7" t="str">
        <f>IF(VLOOKUP(R$2,行为概览!$D$3:$L$33,9,0)="","",VLOOKUP(R$2,行为概览!$D$3:$L$33,9,0)*IF(玩法行为规划!Q94&gt;0,1,0))</f>
        <v/>
      </c>
      <c r="S94" s="7">
        <f>IF(VLOOKUP(S$2,行为概览!$D$3:$L$33,9,0)="","",VLOOKUP(S$2,行为概览!$D$3:$L$33,9,0)*IF(玩法行为规划!R94&gt;0,1,0))</f>
        <v>1</v>
      </c>
      <c r="T94" s="7">
        <f>IF(VLOOKUP(T$2,行为概览!$D$3:$L$33,9,0)="","",VLOOKUP(T$2,行为概览!$D$3:$L$33,9,0)*IF(玩法行为规划!S94&gt;0,1,0))</f>
        <v>0</v>
      </c>
      <c r="U94" s="7">
        <f>IF(VLOOKUP(U$2,行为概览!$D$3:$L$33,9,0)="","",VLOOKUP(U$2,行为概览!$D$3:$L$33,9,0)*IF(玩法行为规划!T94&gt;0,1,0))</f>
        <v>1</v>
      </c>
      <c r="V94" s="7">
        <f>IF(VLOOKUP(V$2,行为概览!$D$3:$L$33,9,0)="","",VLOOKUP(V$2,行为概览!$D$3:$L$33,9,0)*IF(玩法行为规划!U94&gt;0,1,0))</f>
        <v>1.5</v>
      </c>
      <c r="W94" s="7">
        <f>IF(VLOOKUP(W$2,行为概览!$D$3:$L$33,9,0)="","",VLOOKUP(W$2,行为概览!$D$3:$L$33,9,0)*IF(玩法行为规划!V94&gt;0,1,0))</f>
        <v>1</v>
      </c>
      <c r="X94" s="7">
        <f>IF(VLOOKUP(X$2,行为概览!$D$3:$L$33,9,0)="","",VLOOKUP(X$2,行为概览!$D$3:$L$33,9,0)*IF(玩法行为规划!W94&gt;0,1,0))</f>
        <v>1</v>
      </c>
      <c r="Y94" s="7">
        <f>IF(VLOOKUP(Y$2,行为概览!$D$3:$L$33,9,0)="","",VLOOKUP(Y$2,行为概览!$D$3:$L$33,9,0)*IF(玩法行为规划!X94&gt;0,1,0))</f>
        <v>1</v>
      </c>
      <c r="Z94" s="7">
        <f>IF(VLOOKUP(Z$2,行为概览!$D$3:$L$33,9,0)="","",VLOOKUP(Z$2,行为概览!$D$3:$L$33,9,0)*IF(玩法行为规划!Y94&gt;0,1,0))</f>
        <v>3</v>
      </c>
      <c r="AA94" s="7">
        <f>IF(VLOOKUP(AA$2,行为概览!$D$3:$L$33,9,0)="","",VLOOKUP(AA$2,行为概览!$D$3:$L$33,9,0)*IF(玩法行为规划!Z94&gt;0,1,0))</f>
        <v>0.5</v>
      </c>
      <c r="AB94" s="7" t="str">
        <f>IF(VLOOKUP(AB$2,行为概览!$D$3:$L$33,9,0)="","",VLOOKUP(AB$2,行为概览!$D$3:$L$33,9,0)*IF(玩法行为规划!AA94&gt;0,1,0))</f>
        <v/>
      </c>
      <c r="AC94" s="7" t="str">
        <f>IF(VLOOKUP(AC$2,行为概览!$D$3:$L$33,9,0)="","",VLOOKUP(AC$2,行为概览!$D$3:$L$33,9,0)*IF(玩法行为规划!AB94&gt;0,1,0))</f>
        <v/>
      </c>
      <c r="AD94" s="7" t="str">
        <f>IF(VLOOKUP(AD$2,行为概览!$D$3:$L$33,9,0)="","",VLOOKUP(AD$2,行为概览!$D$3:$L$33,9,0)*玩法行为规划!AC94)</f>
        <v/>
      </c>
      <c r="AE94" s="7" t="str">
        <f>IF(VLOOKUP(AE$2,行为概览!$D$3:$L$33,9,0)="","",VLOOKUP(AE$2,行为概览!$D$3:$L$33,9,0)*玩法行为规划!AD94)</f>
        <v/>
      </c>
      <c r="AF94" s="7">
        <f t="shared" si="13"/>
        <v>24.65</v>
      </c>
      <c r="AG94" s="10">
        <f t="shared" si="14"/>
        <v>2267800</v>
      </c>
      <c r="AH94" s="7">
        <f>ROUND(AG94*升级节奏!G94,0)</f>
        <v>27513706</v>
      </c>
      <c r="AI94" s="7">
        <f t="shared" si="15"/>
        <v>570400</v>
      </c>
      <c r="AJ94" s="21" t="str">
        <f t="shared" si="22"/>
        <v/>
      </c>
      <c r="AK94" s="7">
        <f t="shared" si="16"/>
        <v>2.0310420420717682E-2</v>
      </c>
      <c r="AL94" s="7">
        <f t="shared" si="17"/>
        <v>28084106</v>
      </c>
      <c r="AM94" s="7">
        <f>SUM($AL$3:AL94)</f>
        <v>525338083</v>
      </c>
      <c r="AN94" s="166">
        <f t="shared" si="18"/>
        <v>935500</v>
      </c>
      <c r="AO94" s="7">
        <f>SUM($AN$3:AN94)*7</f>
        <v>125158600</v>
      </c>
      <c r="AP94" s="69">
        <f t="shared" si="19"/>
        <v>396024783</v>
      </c>
      <c r="AQ94" s="160">
        <f t="shared" si="20"/>
        <v>2769800</v>
      </c>
      <c r="AR94" s="160">
        <f t="shared" si="21"/>
        <v>1384900</v>
      </c>
    </row>
    <row r="95" spans="1:44">
      <c r="A95" s="32">
        <v>93</v>
      </c>
      <c r="B95" s="81">
        <f>升级节奏!E95</f>
        <v>93000</v>
      </c>
      <c r="C95" s="7">
        <f>IF(VLOOKUP(C$2,行为概览!$D$3:$L$33,9,0)="","",VLOOKUP(C$2,行为概览!$D$3:$L$33,9,0)*IF(玩法行为规划!B95&gt;0,1,0))</f>
        <v>4</v>
      </c>
      <c r="D95" s="7">
        <f>IF(VLOOKUP(D$2,行为概览!$D$3:$L$33,9,0)="","",VLOOKUP(D$2,行为概览!$D$3:$L$33,9,0)*IF(玩法行为规划!C95&gt;0,1,0))</f>
        <v>1.65</v>
      </c>
      <c r="E95" s="7">
        <f>IF(VLOOKUP(E$2,行为概览!$D$3:$L$33,9,0)="","",VLOOKUP(E$2,行为概览!$D$3:$L$33,9,0)*IF(玩法行为规划!D95&gt;0,1,0))</f>
        <v>0.5</v>
      </c>
      <c r="F95" s="7">
        <f>IF(VLOOKUP(F$2,行为概览!$D$3:$L$33,9,0)="","",VLOOKUP(F$2,行为概览!$D$3:$L$33,9,0)*IF(玩法行为规划!E95&gt;0,1,0))</f>
        <v>1</v>
      </c>
      <c r="G95" s="7" t="str">
        <f>IF(VLOOKUP(G$2,行为概览!$D$3:$L$33,9,0)="","",VLOOKUP(G$2,行为概览!$D$3:$L$33,9,0)*IF(玩法行为规划!F95&gt;0,1,0))</f>
        <v/>
      </c>
      <c r="H95" s="7" t="str">
        <f>IF(VLOOKUP(H$2,行为概览!$D$3:$L$33,9,0)="","",VLOOKUP(H$2,行为概览!$D$3:$L$33,9,0)*IF(玩法行为规划!G95&gt;0,1,0))</f>
        <v/>
      </c>
      <c r="I95" s="7" t="str">
        <f>IF(VLOOKUP(I$2,行为概览!$D$3:$L$33,9,0)="","",VLOOKUP(I$2,行为概览!$D$3:$L$33,9,0)*IF(玩法行为规划!H95&gt;0,1,0))</f>
        <v/>
      </c>
      <c r="J95" s="7" t="str">
        <f>IF(VLOOKUP(J$2,行为概览!$D$3:$L$33,9,0)="","",VLOOKUP(J$2,行为概览!$D$3:$L$33,9,0)*IF(玩法行为规划!I95&gt;0,1,0))</f>
        <v/>
      </c>
      <c r="K95" s="7">
        <f>IF(VLOOKUP(K$2,行为概览!$D$3:$L$33,9,0)="","",VLOOKUP(K$2,行为概览!$D$3:$L$33,9,0)*IF(玩法行为规划!J95&gt;0,1,0))</f>
        <v>1</v>
      </c>
      <c r="L95" s="7">
        <f>IF(VLOOKUP(L$2,行为概览!$D$3:$L$33,9,0)="","",VLOOKUP(L$2,行为概览!$D$3:$L$33,9,0)*IF(玩法行为规划!K95&gt;0,1,0))</f>
        <v>1</v>
      </c>
      <c r="M95" s="7" t="str">
        <f>IF(VLOOKUP(M$2,行为概览!$D$3:$L$33,9,0)="","",VLOOKUP(M$2,行为概览!$D$3:$L$33,9,0)*IF(玩法行为规划!L95&gt;0,1,0))</f>
        <v/>
      </c>
      <c r="N95" s="7" t="str">
        <f>IF(VLOOKUP(N$2,行为概览!$D$3:$L$33,9,0)="","",VLOOKUP(N$2,行为概览!$D$3:$L$33,9,0)*IF(玩法行为规划!M95&gt;0,1,0))</f>
        <v/>
      </c>
      <c r="O95" s="7" t="str">
        <f>IF(VLOOKUP(O$2,行为概览!$D$3:$L$33,9,0)="","",VLOOKUP(O$2,行为概览!$D$3:$L$33,9,0)*IF(玩法行为规划!N95&gt;0,1,0))</f>
        <v/>
      </c>
      <c r="P95" s="7">
        <f>IF(VLOOKUP(P$2,行为概览!$D$3:$L$33,9,0)="","",VLOOKUP(P$2,行为概览!$D$3:$L$33,9,0)*IF(玩法行为规划!O95&gt;0,1,0))</f>
        <v>0.5</v>
      </c>
      <c r="Q95" s="7">
        <f>IF(VLOOKUP(Q$2,行为概览!$D$3:$L$33,9,0)="","",VLOOKUP(Q$2,行为概览!$D$3:$L$33,9,0)*IF(玩法行为规划!P95&gt;0,1,0))</f>
        <v>5</v>
      </c>
      <c r="R95" s="7" t="str">
        <f>IF(VLOOKUP(R$2,行为概览!$D$3:$L$33,9,0)="","",VLOOKUP(R$2,行为概览!$D$3:$L$33,9,0)*IF(玩法行为规划!Q95&gt;0,1,0))</f>
        <v/>
      </c>
      <c r="S95" s="7">
        <f>IF(VLOOKUP(S$2,行为概览!$D$3:$L$33,9,0)="","",VLOOKUP(S$2,行为概览!$D$3:$L$33,9,0)*IF(玩法行为规划!R95&gt;0,1,0))</f>
        <v>1</v>
      </c>
      <c r="T95" s="7">
        <f>IF(VLOOKUP(T$2,行为概览!$D$3:$L$33,9,0)="","",VLOOKUP(T$2,行为概览!$D$3:$L$33,9,0)*IF(玩法行为规划!S95&gt;0,1,0))</f>
        <v>0</v>
      </c>
      <c r="U95" s="7">
        <f>IF(VLOOKUP(U$2,行为概览!$D$3:$L$33,9,0)="","",VLOOKUP(U$2,行为概览!$D$3:$L$33,9,0)*IF(玩法行为规划!T95&gt;0,1,0))</f>
        <v>1</v>
      </c>
      <c r="V95" s="7">
        <f>IF(VLOOKUP(V$2,行为概览!$D$3:$L$33,9,0)="","",VLOOKUP(V$2,行为概览!$D$3:$L$33,9,0)*IF(玩法行为规划!U95&gt;0,1,0))</f>
        <v>1.5</v>
      </c>
      <c r="W95" s="7">
        <f>IF(VLOOKUP(W$2,行为概览!$D$3:$L$33,9,0)="","",VLOOKUP(W$2,行为概览!$D$3:$L$33,9,0)*IF(玩法行为规划!V95&gt;0,1,0))</f>
        <v>1</v>
      </c>
      <c r="X95" s="7">
        <f>IF(VLOOKUP(X$2,行为概览!$D$3:$L$33,9,0)="","",VLOOKUP(X$2,行为概览!$D$3:$L$33,9,0)*IF(玩法行为规划!W95&gt;0,1,0))</f>
        <v>1</v>
      </c>
      <c r="Y95" s="7">
        <f>IF(VLOOKUP(Y$2,行为概览!$D$3:$L$33,9,0)="","",VLOOKUP(Y$2,行为概览!$D$3:$L$33,9,0)*IF(玩法行为规划!X95&gt;0,1,0))</f>
        <v>1</v>
      </c>
      <c r="Z95" s="7">
        <f>IF(VLOOKUP(Z$2,行为概览!$D$3:$L$33,9,0)="","",VLOOKUP(Z$2,行为概览!$D$3:$L$33,9,0)*IF(玩法行为规划!Y95&gt;0,1,0))</f>
        <v>3</v>
      </c>
      <c r="AA95" s="7">
        <f>IF(VLOOKUP(AA$2,行为概览!$D$3:$L$33,9,0)="","",VLOOKUP(AA$2,行为概览!$D$3:$L$33,9,0)*IF(玩法行为规划!Z95&gt;0,1,0))</f>
        <v>0.5</v>
      </c>
      <c r="AB95" s="7" t="str">
        <f>IF(VLOOKUP(AB$2,行为概览!$D$3:$L$33,9,0)="","",VLOOKUP(AB$2,行为概览!$D$3:$L$33,9,0)*IF(玩法行为规划!AA95&gt;0,1,0))</f>
        <v/>
      </c>
      <c r="AC95" s="7" t="str">
        <f>IF(VLOOKUP(AC$2,行为概览!$D$3:$L$33,9,0)="","",VLOOKUP(AC$2,行为概览!$D$3:$L$33,9,0)*IF(玩法行为规划!AB95&gt;0,1,0))</f>
        <v/>
      </c>
      <c r="AD95" s="7" t="str">
        <f>IF(VLOOKUP(AD$2,行为概览!$D$3:$L$33,9,0)="","",VLOOKUP(AD$2,行为概览!$D$3:$L$33,9,0)*玩法行为规划!AC95)</f>
        <v/>
      </c>
      <c r="AE95" s="7" t="str">
        <f>IF(VLOOKUP(AE$2,行为概览!$D$3:$L$33,9,0)="","",VLOOKUP(AE$2,行为概览!$D$3:$L$33,9,0)*玩法行为规划!AD95)</f>
        <v/>
      </c>
      <c r="AF95" s="7">
        <f t="shared" si="13"/>
        <v>24.65</v>
      </c>
      <c r="AG95" s="10">
        <f t="shared" si="14"/>
        <v>2292450</v>
      </c>
      <c r="AH95" s="7">
        <f>ROUND(AG95*升级节奏!G95,0)</f>
        <v>28413580</v>
      </c>
      <c r="AI95" s="7">
        <f t="shared" si="15"/>
        <v>585900</v>
      </c>
      <c r="AJ95" s="21" t="str">
        <f t="shared" si="22"/>
        <v/>
      </c>
      <c r="AK95" s="7">
        <f t="shared" si="16"/>
        <v>2.0203810551085742E-2</v>
      </c>
      <c r="AL95" s="7">
        <f t="shared" si="17"/>
        <v>28999480</v>
      </c>
      <c r="AM95" s="7">
        <f>SUM($AL$3:AL95)</f>
        <v>554337563</v>
      </c>
      <c r="AN95" s="166">
        <f t="shared" si="18"/>
        <v>965700</v>
      </c>
      <c r="AO95" s="7">
        <f>SUM($AN$3:AN95)*7</f>
        <v>131918500</v>
      </c>
      <c r="AP95" s="69">
        <f t="shared" si="19"/>
        <v>418129063</v>
      </c>
      <c r="AQ95" s="160">
        <f t="shared" si="20"/>
        <v>2860000</v>
      </c>
      <c r="AR95" s="160">
        <f t="shared" si="21"/>
        <v>1430000</v>
      </c>
    </row>
    <row r="96" spans="1:44">
      <c r="A96" s="32">
        <v>94</v>
      </c>
      <c r="B96" s="81">
        <f>升级节奏!E96</f>
        <v>94000</v>
      </c>
      <c r="C96" s="7">
        <f>IF(VLOOKUP(C$2,行为概览!$D$3:$L$33,9,0)="","",VLOOKUP(C$2,行为概览!$D$3:$L$33,9,0)*IF(玩法行为规划!B96&gt;0,1,0))</f>
        <v>4</v>
      </c>
      <c r="D96" s="7">
        <f>IF(VLOOKUP(D$2,行为概览!$D$3:$L$33,9,0)="","",VLOOKUP(D$2,行为概览!$D$3:$L$33,9,0)*IF(玩法行为规划!C96&gt;0,1,0))</f>
        <v>1.65</v>
      </c>
      <c r="E96" s="7">
        <f>IF(VLOOKUP(E$2,行为概览!$D$3:$L$33,9,0)="","",VLOOKUP(E$2,行为概览!$D$3:$L$33,9,0)*IF(玩法行为规划!D96&gt;0,1,0))</f>
        <v>0.5</v>
      </c>
      <c r="F96" s="7">
        <f>IF(VLOOKUP(F$2,行为概览!$D$3:$L$33,9,0)="","",VLOOKUP(F$2,行为概览!$D$3:$L$33,9,0)*IF(玩法行为规划!E96&gt;0,1,0))</f>
        <v>1</v>
      </c>
      <c r="G96" s="7" t="str">
        <f>IF(VLOOKUP(G$2,行为概览!$D$3:$L$33,9,0)="","",VLOOKUP(G$2,行为概览!$D$3:$L$33,9,0)*IF(玩法行为规划!F96&gt;0,1,0))</f>
        <v/>
      </c>
      <c r="H96" s="7" t="str">
        <f>IF(VLOOKUP(H$2,行为概览!$D$3:$L$33,9,0)="","",VLOOKUP(H$2,行为概览!$D$3:$L$33,9,0)*IF(玩法行为规划!G96&gt;0,1,0))</f>
        <v/>
      </c>
      <c r="I96" s="7" t="str">
        <f>IF(VLOOKUP(I$2,行为概览!$D$3:$L$33,9,0)="","",VLOOKUP(I$2,行为概览!$D$3:$L$33,9,0)*IF(玩法行为规划!H96&gt;0,1,0))</f>
        <v/>
      </c>
      <c r="J96" s="7" t="str">
        <f>IF(VLOOKUP(J$2,行为概览!$D$3:$L$33,9,0)="","",VLOOKUP(J$2,行为概览!$D$3:$L$33,9,0)*IF(玩法行为规划!I96&gt;0,1,0))</f>
        <v/>
      </c>
      <c r="K96" s="7">
        <f>IF(VLOOKUP(K$2,行为概览!$D$3:$L$33,9,0)="","",VLOOKUP(K$2,行为概览!$D$3:$L$33,9,0)*IF(玩法行为规划!J96&gt;0,1,0))</f>
        <v>1</v>
      </c>
      <c r="L96" s="7">
        <f>IF(VLOOKUP(L$2,行为概览!$D$3:$L$33,9,0)="","",VLOOKUP(L$2,行为概览!$D$3:$L$33,9,0)*IF(玩法行为规划!K96&gt;0,1,0))</f>
        <v>1</v>
      </c>
      <c r="M96" s="7" t="str">
        <f>IF(VLOOKUP(M$2,行为概览!$D$3:$L$33,9,0)="","",VLOOKUP(M$2,行为概览!$D$3:$L$33,9,0)*IF(玩法行为规划!L96&gt;0,1,0))</f>
        <v/>
      </c>
      <c r="N96" s="7" t="str">
        <f>IF(VLOOKUP(N$2,行为概览!$D$3:$L$33,9,0)="","",VLOOKUP(N$2,行为概览!$D$3:$L$33,9,0)*IF(玩法行为规划!M96&gt;0,1,0))</f>
        <v/>
      </c>
      <c r="O96" s="7" t="str">
        <f>IF(VLOOKUP(O$2,行为概览!$D$3:$L$33,9,0)="","",VLOOKUP(O$2,行为概览!$D$3:$L$33,9,0)*IF(玩法行为规划!N96&gt;0,1,0))</f>
        <v/>
      </c>
      <c r="P96" s="7">
        <f>IF(VLOOKUP(P$2,行为概览!$D$3:$L$33,9,0)="","",VLOOKUP(P$2,行为概览!$D$3:$L$33,9,0)*IF(玩法行为规划!O96&gt;0,1,0))</f>
        <v>0.5</v>
      </c>
      <c r="Q96" s="7">
        <f>IF(VLOOKUP(Q$2,行为概览!$D$3:$L$33,9,0)="","",VLOOKUP(Q$2,行为概览!$D$3:$L$33,9,0)*IF(玩法行为规划!P96&gt;0,1,0))</f>
        <v>5</v>
      </c>
      <c r="R96" s="7" t="str">
        <f>IF(VLOOKUP(R$2,行为概览!$D$3:$L$33,9,0)="","",VLOOKUP(R$2,行为概览!$D$3:$L$33,9,0)*IF(玩法行为规划!Q96&gt;0,1,0))</f>
        <v/>
      </c>
      <c r="S96" s="7">
        <f>IF(VLOOKUP(S$2,行为概览!$D$3:$L$33,9,0)="","",VLOOKUP(S$2,行为概览!$D$3:$L$33,9,0)*IF(玩法行为规划!R96&gt;0,1,0))</f>
        <v>1</v>
      </c>
      <c r="T96" s="7">
        <f>IF(VLOOKUP(T$2,行为概览!$D$3:$L$33,9,0)="","",VLOOKUP(T$2,行为概览!$D$3:$L$33,9,0)*IF(玩法行为规划!S96&gt;0,1,0))</f>
        <v>0</v>
      </c>
      <c r="U96" s="7">
        <f>IF(VLOOKUP(U$2,行为概览!$D$3:$L$33,9,0)="","",VLOOKUP(U$2,行为概览!$D$3:$L$33,9,0)*IF(玩法行为规划!T96&gt;0,1,0))</f>
        <v>1</v>
      </c>
      <c r="V96" s="7">
        <f>IF(VLOOKUP(V$2,行为概览!$D$3:$L$33,9,0)="","",VLOOKUP(V$2,行为概览!$D$3:$L$33,9,0)*IF(玩法行为规划!U96&gt;0,1,0))</f>
        <v>1.5</v>
      </c>
      <c r="W96" s="7">
        <f>IF(VLOOKUP(W$2,行为概览!$D$3:$L$33,9,0)="","",VLOOKUP(W$2,行为概览!$D$3:$L$33,9,0)*IF(玩法行为规划!V96&gt;0,1,0))</f>
        <v>1</v>
      </c>
      <c r="X96" s="7">
        <f>IF(VLOOKUP(X$2,行为概览!$D$3:$L$33,9,0)="","",VLOOKUP(X$2,行为概览!$D$3:$L$33,9,0)*IF(玩法行为规划!W96&gt;0,1,0))</f>
        <v>1</v>
      </c>
      <c r="Y96" s="7">
        <f>IF(VLOOKUP(Y$2,行为概览!$D$3:$L$33,9,0)="","",VLOOKUP(Y$2,行为概览!$D$3:$L$33,9,0)*IF(玩法行为规划!X96&gt;0,1,0))</f>
        <v>1</v>
      </c>
      <c r="Z96" s="7">
        <f>IF(VLOOKUP(Z$2,行为概览!$D$3:$L$33,9,0)="","",VLOOKUP(Z$2,行为概览!$D$3:$L$33,9,0)*IF(玩法行为规划!Y96&gt;0,1,0))</f>
        <v>3</v>
      </c>
      <c r="AA96" s="7">
        <f>IF(VLOOKUP(AA$2,行为概览!$D$3:$L$33,9,0)="","",VLOOKUP(AA$2,行为概览!$D$3:$L$33,9,0)*IF(玩法行为规划!Z96&gt;0,1,0))</f>
        <v>0.5</v>
      </c>
      <c r="AB96" s="7" t="str">
        <f>IF(VLOOKUP(AB$2,行为概览!$D$3:$L$33,9,0)="","",VLOOKUP(AB$2,行为概览!$D$3:$L$33,9,0)*IF(玩法行为规划!AA96&gt;0,1,0))</f>
        <v/>
      </c>
      <c r="AC96" s="7" t="str">
        <f>IF(VLOOKUP(AC$2,行为概览!$D$3:$L$33,9,0)="","",VLOOKUP(AC$2,行为概览!$D$3:$L$33,9,0)*IF(玩法行为规划!AB96&gt;0,1,0))</f>
        <v/>
      </c>
      <c r="AD96" s="7" t="str">
        <f>IF(VLOOKUP(AD$2,行为概览!$D$3:$L$33,9,0)="","",VLOOKUP(AD$2,行为概览!$D$3:$L$33,9,0)*玩法行为规划!AC96)</f>
        <v/>
      </c>
      <c r="AE96" s="7" t="str">
        <f>IF(VLOOKUP(AE$2,行为概览!$D$3:$L$33,9,0)="","",VLOOKUP(AE$2,行为概览!$D$3:$L$33,9,0)*玩法行为规划!AD96)</f>
        <v/>
      </c>
      <c r="AF96" s="7">
        <f t="shared" si="13"/>
        <v>24.65</v>
      </c>
      <c r="AG96" s="10">
        <f t="shared" si="14"/>
        <v>2317100</v>
      </c>
      <c r="AH96" s="7">
        <f>ROUND(AG96*升级节奏!G96,0)</f>
        <v>29332941</v>
      </c>
      <c r="AI96" s="7">
        <f t="shared" si="15"/>
        <v>601600</v>
      </c>
      <c r="AJ96" s="21" t="str">
        <f t="shared" si="22"/>
        <v/>
      </c>
      <c r="AK96" s="7">
        <f t="shared" si="16"/>
        <v>2.0097184720487278E-2</v>
      </c>
      <c r="AL96" s="7">
        <f t="shared" si="17"/>
        <v>29934541</v>
      </c>
      <c r="AM96" s="7">
        <f>SUM($AL$3:AL96)</f>
        <v>584272104</v>
      </c>
      <c r="AN96" s="166">
        <f t="shared" si="18"/>
        <v>996600</v>
      </c>
      <c r="AO96" s="7">
        <f>SUM($AN$3:AN96)*7</f>
        <v>138894700</v>
      </c>
      <c r="AP96" s="69">
        <f t="shared" si="19"/>
        <v>440949304</v>
      </c>
      <c r="AQ96" s="160">
        <f t="shared" si="20"/>
        <v>2952100</v>
      </c>
      <c r="AR96" s="160">
        <f t="shared" si="21"/>
        <v>1476000</v>
      </c>
    </row>
    <row r="97" spans="1:44">
      <c r="A97" s="32">
        <v>95</v>
      </c>
      <c r="B97" s="81">
        <f>升级节奏!E97</f>
        <v>95000</v>
      </c>
      <c r="C97" s="7">
        <f>IF(VLOOKUP(C$2,行为概览!$D$3:$L$33,9,0)="","",VLOOKUP(C$2,行为概览!$D$3:$L$33,9,0)*IF(玩法行为规划!B97&gt;0,1,0))</f>
        <v>4</v>
      </c>
      <c r="D97" s="7">
        <f>IF(VLOOKUP(D$2,行为概览!$D$3:$L$33,9,0)="","",VLOOKUP(D$2,行为概览!$D$3:$L$33,9,0)*IF(玩法行为规划!C97&gt;0,1,0))</f>
        <v>1.65</v>
      </c>
      <c r="E97" s="7">
        <f>IF(VLOOKUP(E$2,行为概览!$D$3:$L$33,9,0)="","",VLOOKUP(E$2,行为概览!$D$3:$L$33,9,0)*IF(玩法行为规划!D97&gt;0,1,0))</f>
        <v>0.5</v>
      </c>
      <c r="F97" s="7">
        <f>IF(VLOOKUP(F$2,行为概览!$D$3:$L$33,9,0)="","",VLOOKUP(F$2,行为概览!$D$3:$L$33,9,0)*IF(玩法行为规划!E97&gt;0,1,0))</f>
        <v>1</v>
      </c>
      <c r="G97" s="7" t="str">
        <f>IF(VLOOKUP(G$2,行为概览!$D$3:$L$33,9,0)="","",VLOOKUP(G$2,行为概览!$D$3:$L$33,9,0)*IF(玩法行为规划!F97&gt;0,1,0))</f>
        <v/>
      </c>
      <c r="H97" s="7" t="str">
        <f>IF(VLOOKUP(H$2,行为概览!$D$3:$L$33,9,0)="","",VLOOKUP(H$2,行为概览!$D$3:$L$33,9,0)*IF(玩法行为规划!G97&gt;0,1,0))</f>
        <v/>
      </c>
      <c r="I97" s="7" t="str">
        <f>IF(VLOOKUP(I$2,行为概览!$D$3:$L$33,9,0)="","",VLOOKUP(I$2,行为概览!$D$3:$L$33,9,0)*IF(玩法行为规划!H97&gt;0,1,0))</f>
        <v/>
      </c>
      <c r="J97" s="7" t="str">
        <f>IF(VLOOKUP(J$2,行为概览!$D$3:$L$33,9,0)="","",VLOOKUP(J$2,行为概览!$D$3:$L$33,9,0)*IF(玩法行为规划!I97&gt;0,1,0))</f>
        <v/>
      </c>
      <c r="K97" s="7">
        <f>IF(VLOOKUP(K$2,行为概览!$D$3:$L$33,9,0)="","",VLOOKUP(K$2,行为概览!$D$3:$L$33,9,0)*IF(玩法行为规划!J97&gt;0,1,0))</f>
        <v>1</v>
      </c>
      <c r="L97" s="7">
        <f>IF(VLOOKUP(L$2,行为概览!$D$3:$L$33,9,0)="","",VLOOKUP(L$2,行为概览!$D$3:$L$33,9,0)*IF(玩法行为规划!K97&gt;0,1,0))</f>
        <v>1</v>
      </c>
      <c r="M97" s="7" t="str">
        <f>IF(VLOOKUP(M$2,行为概览!$D$3:$L$33,9,0)="","",VLOOKUP(M$2,行为概览!$D$3:$L$33,9,0)*IF(玩法行为规划!L97&gt;0,1,0))</f>
        <v/>
      </c>
      <c r="N97" s="7" t="str">
        <f>IF(VLOOKUP(N$2,行为概览!$D$3:$L$33,9,0)="","",VLOOKUP(N$2,行为概览!$D$3:$L$33,9,0)*IF(玩法行为规划!M97&gt;0,1,0))</f>
        <v/>
      </c>
      <c r="O97" s="7" t="str">
        <f>IF(VLOOKUP(O$2,行为概览!$D$3:$L$33,9,0)="","",VLOOKUP(O$2,行为概览!$D$3:$L$33,9,0)*IF(玩法行为规划!N97&gt;0,1,0))</f>
        <v/>
      </c>
      <c r="P97" s="7">
        <f>IF(VLOOKUP(P$2,行为概览!$D$3:$L$33,9,0)="","",VLOOKUP(P$2,行为概览!$D$3:$L$33,9,0)*IF(玩法行为规划!O97&gt;0,1,0))</f>
        <v>0.5</v>
      </c>
      <c r="Q97" s="7">
        <f>IF(VLOOKUP(Q$2,行为概览!$D$3:$L$33,9,0)="","",VLOOKUP(Q$2,行为概览!$D$3:$L$33,9,0)*IF(玩法行为规划!P97&gt;0,1,0))</f>
        <v>5</v>
      </c>
      <c r="R97" s="7" t="str">
        <f>IF(VLOOKUP(R$2,行为概览!$D$3:$L$33,9,0)="","",VLOOKUP(R$2,行为概览!$D$3:$L$33,9,0)*IF(玩法行为规划!Q97&gt;0,1,0))</f>
        <v/>
      </c>
      <c r="S97" s="7">
        <f>IF(VLOOKUP(S$2,行为概览!$D$3:$L$33,9,0)="","",VLOOKUP(S$2,行为概览!$D$3:$L$33,9,0)*IF(玩法行为规划!R97&gt;0,1,0))</f>
        <v>1</v>
      </c>
      <c r="T97" s="7">
        <f>IF(VLOOKUP(T$2,行为概览!$D$3:$L$33,9,0)="","",VLOOKUP(T$2,行为概览!$D$3:$L$33,9,0)*IF(玩法行为规划!S97&gt;0,1,0))</f>
        <v>0</v>
      </c>
      <c r="U97" s="7">
        <f>IF(VLOOKUP(U$2,行为概览!$D$3:$L$33,9,0)="","",VLOOKUP(U$2,行为概览!$D$3:$L$33,9,0)*IF(玩法行为规划!T97&gt;0,1,0))</f>
        <v>1</v>
      </c>
      <c r="V97" s="7">
        <f>IF(VLOOKUP(V$2,行为概览!$D$3:$L$33,9,0)="","",VLOOKUP(V$2,行为概览!$D$3:$L$33,9,0)*IF(玩法行为规划!U97&gt;0,1,0))</f>
        <v>1.5</v>
      </c>
      <c r="W97" s="7">
        <f>IF(VLOOKUP(W$2,行为概览!$D$3:$L$33,9,0)="","",VLOOKUP(W$2,行为概览!$D$3:$L$33,9,0)*IF(玩法行为规划!V97&gt;0,1,0))</f>
        <v>1</v>
      </c>
      <c r="X97" s="7">
        <f>IF(VLOOKUP(X$2,行为概览!$D$3:$L$33,9,0)="","",VLOOKUP(X$2,行为概览!$D$3:$L$33,9,0)*IF(玩法行为规划!W97&gt;0,1,0))</f>
        <v>1</v>
      </c>
      <c r="Y97" s="7">
        <f>IF(VLOOKUP(Y$2,行为概览!$D$3:$L$33,9,0)="","",VLOOKUP(Y$2,行为概览!$D$3:$L$33,9,0)*IF(玩法行为规划!X97&gt;0,1,0))</f>
        <v>1</v>
      </c>
      <c r="Z97" s="7">
        <f>IF(VLOOKUP(Z$2,行为概览!$D$3:$L$33,9,0)="","",VLOOKUP(Z$2,行为概览!$D$3:$L$33,9,0)*IF(玩法行为规划!Y97&gt;0,1,0))</f>
        <v>3</v>
      </c>
      <c r="AA97" s="7">
        <f>IF(VLOOKUP(AA$2,行为概览!$D$3:$L$33,9,0)="","",VLOOKUP(AA$2,行为概览!$D$3:$L$33,9,0)*IF(玩法行为规划!Z97&gt;0,1,0))</f>
        <v>0.5</v>
      </c>
      <c r="AB97" s="7" t="str">
        <f>IF(VLOOKUP(AB$2,行为概览!$D$3:$L$33,9,0)="","",VLOOKUP(AB$2,行为概览!$D$3:$L$33,9,0)*IF(玩法行为规划!AA97&gt;0,1,0))</f>
        <v/>
      </c>
      <c r="AC97" s="7" t="str">
        <f>IF(VLOOKUP(AC$2,行为概览!$D$3:$L$33,9,0)="","",VLOOKUP(AC$2,行为概览!$D$3:$L$33,9,0)*IF(玩法行为规划!AB97&gt;0,1,0))</f>
        <v/>
      </c>
      <c r="AD97" s="7" t="str">
        <f>IF(VLOOKUP(AD$2,行为概览!$D$3:$L$33,9,0)="","",VLOOKUP(AD$2,行为概览!$D$3:$L$33,9,0)*玩法行为规划!AC97)</f>
        <v/>
      </c>
      <c r="AE97" s="7" t="str">
        <f>IF(VLOOKUP(AE$2,行为概览!$D$3:$L$33,9,0)="","",VLOOKUP(AE$2,行为概览!$D$3:$L$33,9,0)*玩法行为规划!AD97)</f>
        <v/>
      </c>
      <c r="AF97" s="7">
        <f t="shared" si="13"/>
        <v>24.65</v>
      </c>
      <c r="AG97" s="10">
        <f t="shared" si="14"/>
        <v>2341750</v>
      </c>
      <c r="AH97" s="7">
        <f>ROUND(AG97*升级节奏!G97,0)</f>
        <v>30271997</v>
      </c>
      <c r="AI97" s="7">
        <f t="shared" si="15"/>
        <v>617500</v>
      </c>
      <c r="AJ97" s="21" t="str">
        <f t="shared" si="22"/>
        <v/>
      </c>
      <c r="AK97" s="7">
        <f t="shared" si="16"/>
        <v>1.9990613638027191E-2</v>
      </c>
      <c r="AL97" s="7">
        <f t="shared" si="17"/>
        <v>30889497</v>
      </c>
      <c r="AM97" s="7">
        <f>SUM($AL$3:AL97)</f>
        <v>615161601</v>
      </c>
      <c r="AN97" s="166">
        <f t="shared" si="18"/>
        <v>1028100</v>
      </c>
      <c r="AO97" s="7">
        <f>SUM($AN$3:AN97)*7</f>
        <v>146091400</v>
      </c>
      <c r="AP97" s="69">
        <f t="shared" si="19"/>
        <v>464500901</v>
      </c>
      <c r="AQ97" s="160">
        <f t="shared" si="20"/>
        <v>3046200</v>
      </c>
      <c r="AR97" s="160">
        <f t="shared" si="21"/>
        <v>1523100</v>
      </c>
    </row>
    <row r="98" spans="1:44">
      <c r="A98" s="32">
        <v>96</v>
      </c>
      <c r="B98" s="81">
        <f>升级节奏!E98</f>
        <v>96000</v>
      </c>
      <c r="C98" s="7">
        <f>IF(VLOOKUP(C$2,行为概览!$D$3:$L$33,9,0)="","",VLOOKUP(C$2,行为概览!$D$3:$L$33,9,0)*IF(玩法行为规划!B98&gt;0,1,0))</f>
        <v>4</v>
      </c>
      <c r="D98" s="7">
        <f>IF(VLOOKUP(D$2,行为概览!$D$3:$L$33,9,0)="","",VLOOKUP(D$2,行为概览!$D$3:$L$33,9,0)*IF(玩法行为规划!C98&gt;0,1,0))</f>
        <v>1.65</v>
      </c>
      <c r="E98" s="7">
        <f>IF(VLOOKUP(E$2,行为概览!$D$3:$L$33,9,0)="","",VLOOKUP(E$2,行为概览!$D$3:$L$33,9,0)*IF(玩法行为规划!D98&gt;0,1,0))</f>
        <v>0.5</v>
      </c>
      <c r="F98" s="7">
        <f>IF(VLOOKUP(F$2,行为概览!$D$3:$L$33,9,0)="","",VLOOKUP(F$2,行为概览!$D$3:$L$33,9,0)*IF(玩法行为规划!E98&gt;0,1,0))</f>
        <v>1</v>
      </c>
      <c r="G98" s="7" t="str">
        <f>IF(VLOOKUP(G$2,行为概览!$D$3:$L$33,9,0)="","",VLOOKUP(G$2,行为概览!$D$3:$L$33,9,0)*IF(玩法行为规划!F98&gt;0,1,0))</f>
        <v/>
      </c>
      <c r="H98" s="7" t="str">
        <f>IF(VLOOKUP(H$2,行为概览!$D$3:$L$33,9,0)="","",VLOOKUP(H$2,行为概览!$D$3:$L$33,9,0)*IF(玩法行为规划!G98&gt;0,1,0))</f>
        <v/>
      </c>
      <c r="I98" s="7" t="str">
        <f>IF(VLOOKUP(I$2,行为概览!$D$3:$L$33,9,0)="","",VLOOKUP(I$2,行为概览!$D$3:$L$33,9,0)*IF(玩法行为规划!H98&gt;0,1,0))</f>
        <v/>
      </c>
      <c r="J98" s="7" t="str">
        <f>IF(VLOOKUP(J$2,行为概览!$D$3:$L$33,9,0)="","",VLOOKUP(J$2,行为概览!$D$3:$L$33,9,0)*IF(玩法行为规划!I98&gt;0,1,0))</f>
        <v/>
      </c>
      <c r="K98" s="7">
        <f>IF(VLOOKUP(K$2,行为概览!$D$3:$L$33,9,0)="","",VLOOKUP(K$2,行为概览!$D$3:$L$33,9,0)*IF(玩法行为规划!J98&gt;0,1,0))</f>
        <v>1</v>
      </c>
      <c r="L98" s="7">
        <f>IF(VLOOKUP(L$2,行为概览!$D$3:$L$33,9,0)="","",VLOOKUP(L$2,行为概览!$D$3:$L$33,9,0)*IF(玩法行为规划!K98&gt;0,1,0))</f>
        <v>1</v>
      </c>
      <c r="M98" s="7" t="str">
        <f>IF(VLOOKUP(M$2,行为概览!$D$3:$L$33,9,0)="","",VLOOKUP(M$2,行为概览!$D$3:$L$33,9,0)*IF(玩法行为规划!L98&gt;0,1,0))</f>
        <v/>
      </c>
      <c r="N98" s="7" t="str">
        <f>IF(VLOOKUP(N$2,行为概览!$D$3:$L$33,9,0)="","",VLOOKUP(N$2,行为概览!$D$3:$L$33,9,0)*IF(玩法行为规划!M98&gt;0,1,0))</f>
        <v/>
      </c>
      <c r="O98" s="7" t="str">
        <f>IF(VLOOKUP(O$2,行为概览!$D$3:$L$33,9,0)="","",VLOOKUP(O$2,行为概览!$D$3:$L$33,9,0)*IF(玩法行为规划!N98&gt;0,1,0))</f>
        <v/>
      </c>
      <c r="P98" s="7">
        <f>IF(VLOOKUP(P$2,行为概览!$D$3:$L$33,9,0)="","",VLOOKUP(P$2,行为概览!$D$3:$L$33,9,0)*IF(玩法行为规划!O98&gt;0,1,0))</f>
        <v>0.5</v>
      </c>
      <c r="Q98" s="7">
        <f>IF(VLOOKUP(Q$2,行为概览!$D$3:$L$33,9,0)="","",VLOOKUP(Q$2,行为概览!$D$3:$L$33,9,0)*IF(玩法行为规划!P98&gt;0,1,0))</f>
        <v>5</v>
      </c>
      <c r="R98" s="7" t="str">
        <f>IF(VLOOKUP(R$2,行为概览!$D$3:$L$33,9,0)="","",VLOOKUP(R$2,行为概览!$D$3:$L$33,9,0)*IF(玩法行为规划!Q98&gt;0,1,0))</f>
        <v/>
      </c>
      <c r="S98" s="7">
        <f>IF(VLOOKUP(S$2,行为概览!$D$3:$L$33,9,0)="","",VLOOKUP(S$2,行为概览!$D$3:$L$33,9,0)*IF(玩法行为规划!R98&gt;0,1,0))</f>
        <v>1</v>
      </c>
      <c r="T98" s="7">
        <f>IF(VLOOKUP(T$2,行为概览!$D$3:$L$33,9,0)="","",VLOOKUP(T$2,行为概览!$D$3:$L$33,9,0)*IF(玩法行为规划!S98&gt;0,1,0))</f>
        <v>0</v>
      </c>
      <c r="U98" s="7">
        <f>IF(VLOOKUP(U$2,行为概览!$D$3:$L$33,9,0)="","",VLOOKUP(U$2,行为概览!$D$3:$L$33,9,0)*IF(玩法行为规划!T98&gt;0,1,0))</f>
        <v>1</v>
      </c>
      <c r="V98" s="7">
        <f>IF(VLOOKUP(V$2,行为概览!$D$3:$L$33,9,0)="","",VLOOKUP(V$2,行为概览!$D$3:$L$33,9,0)*IF(玩法行为规划!U98&gt;0,1,0))</f>
        <v>1.5</v>
      </c>
      <c r="W98" s="7">
        <f>IF(VLOOKUP(W$2,行为概览!$D$3:$L$33,9,0)="","",VLOOKUP(W$2,行为概览!$D$3:$L$33,9,0)*IF(玩法行为规划!V98&gt;0,1,0))</f>
        <v>1</v>
      </c>
      <c r="X98" s="7">
        <f>IF(VLOOKUP(X$2,行为概览!$D$3:$L$33,9,0)="","",VLOOKUP(X$2,行为概览!$D$3:$L$33,9,0)*IF(玩法行为规划!W98&gt;0,1,0))</f>
        <v>1</v>
      </c>
      <c r="Y98" s="7">
        <f>IF(VLOOKUP(Y$2,行为概览!$D$3:$L$33,9,0)="","",VLOOKUP(Y$2,行为概览!$D$3:$L$33,9,0)*IF(玩法行为规划!X98&gt;0,1,0))</f>
        <v>1</v>
      </c>
      <c r="Z98" s="7">
        <f>IF(VLOOKUP(Z$2,行为概览!$D$3:$L$33,9,0)="","",VLOOKUP(Z$2,行为概览!$D$3:$L$33,9,0)*IF(玩法行为规划!Y98&gt;0,1,0))</f>
        <v>3</v>
      </c>
      <c r="AA98" s="7">
        <f>IF(VLOOKUP(AA$2,行为概览!$D$3:$L$33,9,0)="","",VLOOKUP(AA$2,行为概览!$D$3:$L$33,9,0)*IF(玩法行为规划!Z98&gt;0,1,0))</f>
        <v>0.5</v>
      </c>
      <c r="AB98" s="7" t="str">
        <f>IF(VLOOKUP(AB$2,行为概览!$D$3:$L$33,9,0)="","",VLOOKUP(AB$2,行为概览!$D$3:$L$33,9,0)*IF(玩法行为规划!AA98&gt;0,1,0))</f>
        <v/>
      </c>
      <c r="AC98" s="7" t="str">
        <f>IF(VLOOKUP(AC$2,行为概览!$D$3:$L$33,9,0)="","",VLOOKUP(AC$2,行为概览!$D$3:$L$33,9,0)*IF(玩法行为规划!AB98&gt;0,1,0))</f>
        <v/>
      </c>
      <c r="AD98" s="7" t="str">
        <f>IF(VLOOKUP(AD$2,行为概览!$D$3:$L$33,9,0)="","",VLOOKUP(AD$2,行为概览!$D$3:$L$33,9,0)*玩法行为规划!AC98)</f>
        <v/>
      </c>
      <c r="AE98" s="7" t="str">
        <f>IF(VLOOKUP(AE$2,行为概览!$D$3:$L$33,9,0)="","",VLOOKUP(AE$2,行为概览!$D$3:$L$33,9,0)*玩法行为规划!AD98)</f>
        <v/>
      </c>
      <c r="AF98" s="7">
        <f t="shared" si="13"/>
        <v>24.65</v>
      </c>
      <c r="AG98" s="10">
        <f t="shared" si="14"/>
        <v>2366400</v>
      </c>
      <c r="AH98" s="7">
        <f>ROUND(AG98*升级节奏!G98,0)</f>
        <v>31230958</v>
      </c>
      <c r="AI98" s="7">
        <f t="shared" si="15"/>
        <v>633600</v>
      </c>
      <c r="AJ98" s="21" t="str">
        <f t="shared" si="22"/>
        <v/>
      </c>
      <c r="AK98" s="7">
        <f t="shared" si="16"/>
        <v>1.9884160953997854E-2</v>
      </c>
      <c r="AL98" s="7">
        <f t="shared" si="17"/>
        <v>31864558</v>
      </c>
      <c r="AM98" s="7">
        <f>SUM($AL$3:AL98)</f>
        <v>647026159</v>
      </c>
      <c r="AN98" s="166">
        <f t="shared" si="18"/>
        <v>1060200</v>
      </c>
      <c r="AO98" s="7">
        <f>SUM($AN$3:AN98)*7</f>
        <v>153512800</v>
      </c>
      <c r="AP98" s="69">
        <f t="shared" si="19"/>
        <v>488799959</v>
      </c>
      <c r="AQ98" s="160">
        <f t="shared" si="20"/>
        <v>3142300</v>
      </c>
      <c r="AR98" s="160">
        <f t="shared" si="21"/>
        <v>1571100</v>
      </c>
    </row>
    <row r="99" spans="1:44">
      <c r="A99" s="32">
        <v>97</v>
      </c>
      <c r="B99" s="81">
        <f>升级节奏!E99</f>
        <v>97000</v>
      </c>
      <c r="C99" s="7">
        <f>IF(VLOOKUP(C$2,行为概览!$D$3:$L$33,9,0)="","",VLOOKUP(C$2,行为概览!$D$3:$L$33,9,0)*IF(玩法行为规划!B99&gt;0,1,0))</f>
        <v>4</v>
      </c>
      <c r="D99" s="7">
        <f>IF(VLOOKUP(D$2,行为概览!$D$3:$L$33,9,0)="","",VLOOKUP(D$2,行为概览!$D$3:$L$33,9,0)*IF(玩法行为规划!C99&gt;0,1,0))</f>
        <v>1.65</v>
      </c>
      <c r="E99" s="7">
        <f>IF(VLOOKUP(E$2,行为概览!$D$3:$L$33,9,0)="","",VLOOKUP(E$2,行为概览!$D$3:$L$33,9,0)*IF(玩法行为规划!D99&gt;0,1,0))</f>
        <v>0.5</v>
      </c>
      <c r="F99" s="7">
        <f>IF(VLOOKUP(F$2,行为概览!$D$3:$L$33,9,0)="","",VLOOKUP(F$2,行为概览!$D$3:$L$33,9,0)*IF(玩法行为规划!E99&gt;0,1,0))</f>
        <v>1</v>
      </c>
      <c r="G99" s="7" t="str">
        <f>IF(VLOOKUP(G$2,行为概览!$D$3:$L$33,9,0)="","",VLOOKUP(G$2,行为概览!$D$3:$L$33,9,0)*IF(玩法行为规划!F99&gt;0,1,0))</f>
        <v/>
      </c>
      <c r="H99" s="7" t="str">
        <f>IF(VLOOKUP(H$2,行为概览!$D$3:$L$33,9,0)="","",VLOOKUP(H$2,行为概览!$D$3:$L$33,9,0)*IF(玩法行为规划!G99&gt;0,1,0))</f>
        <v/>
      </c>
      <c r="I99" s="7" t="str">
        <f>IF(VLOOKUP(I$2,行为概览!$D$3:$L$33,9,0)="","",VLOOKUP(I$2,行为概览!$D$3:$L$33,9,0)*IF(玩法行为规划!H99&gt;0,1,0))</f>
        <v/>
      </c>
      <c r="J99" s="7" t="str">
        <f>IF(VLOOKUP(J$2,行为概览!$D$3:$L$33,9,0)="","",VLOOKUP(J$2,行为概览!$D$3:$L$33,9,0)*IF(玩法行为规划!I99&gt;0,1,0))</f>
        <v/>
      </c>
      <c r="K99" s="7">
        <f>IF(VLOOKUP(K$2,行为概览!$D$3:$L$33,9,0)="","",VLOOKUP(K$2,行为概览!$D$3:$L$33,9,0)*IF(玩法行为规划!J99&gt;0,1,0))</f>
        <v>1</v>
      </c>
      <c r="L99" s="7">
        <f>IF(VLOOKUP(L$2,行为概览!$D$3:$L$33,9,0)="","",VLOOKUP(L$2,行为概览!$D$3:$L$33,9,0)*IF(玩法行为规划!K99&gt;0,1,0))</f>
        <v>1</v>
      </c>
      <c r="M99" s="7" t="str">
        <f>IF(VLOOKUP(M$2,行为概览!$D$3:$L$33,9,0)="","",VLOOKUP(M$2,行为概览!$D$3:$L$33,9,0)*IF(玩法行为规划!L99&gt;0,1,0))</f>
        <v/>
      </c>
      <c r="N99" s="7" t="str">
        <f>IF(VLOOKUP(N$2,行为概览!$D$3:$L$33,9,0)="","",VLOOKUP(N$2,行为概览!$D$3:$L$33,9,0)*IF(玩法行为规划!M99&gt;0,1,0))</f>
        <v/>
      </c>
      <c r="O99" s="7" t="str">
        <f>IF(VLOOKUP(O$2,行为概览!$D$3:$L$33,9,0)="","",VLOOKUP(O$2,行为概览!$D$3:$L$33,9,0)*IF(玩法行为规划!N99&gt;0,1,0))</f>
        <v/>
      </c>
      <c r="P99" s="7">
        <f>IF(VLOOKUP(P$2,行为概览!$D$3:$L$33,9,0)="","",VLOOKUP(P$2,行为概览!$D$3:$L$33,9,0)*IF(玩法行为规划!O99&gt;0,1,0))</f>
        <v>0.5</v>
      </c>
      <c r="Q99" s="7">
        <f>IF(VLOOKUP(Q$2,行为概览!$D$3:$L$33,9,0)="","",VLOOKUP(Q$2,行为概览!$D$3:$L$33,9,0)*IF(玩法行为规划!P99&gt;0,1,0))</f>
        <v>5</v>
      </c>
      <c r="R99" s="7" t="str">
        <f>IF(VLOOKUP(R$2,行为概览!$D$3:$L$33,9,0)="","",VLOOKUP(R$2,行为概览!$D$3:$L$33,9,0)*IF(玩法行为规划!Q99&gt;0,1,0))</f>
        <v/>
      </c>
      <c r="S99" s="7">
        <f>IF(VLOOKUP(S$2,行为概览!$D$3:$L$33,9,0)="","",VLOOKUP(S$2,行为概览!$D$3:$L$33,9,0)*IF(玩法行为规划!R99&gt;0,1,0))</f>
        <v>1</v>
      </c>
      <c r="T99" s="7">
        <f>IF(VLOOKUP(T$2,行为概览!$D$3:$L$33,9,0)="","",VLOOKUP(T$2,行为概览!$D$3:$L$33,9,0)*IF(玩法行为规划!S99&gt;0,1,0))</f>
        <v>0</v>
      </c>
      <c r="U99" s="7">
        <f>IF(VLOOKUP(U$2,行为概览!$D$3:$L$33,9,0)="","",VLOOKUP(U$2,行为概览!$D$3:$L$33,9,0)*IF(玩法行为规划!T99&gt;0,1,0))</f>
        <v>1</v>
      </c>
      <c r="V99" s="7">
        <f>IF(VLOOKUP(V$2,行为概览!$D$3:$L$33,9,0)="","",VLOOKUP(V$2,行为概览!$D$3:$L$33,9,0)*IF(玩法行为规划!U99&gt;0,1,0))</f>
        <v>1.5</v>
      </c>
      <c r="W99" s="7">
        <f>IF(VLOOKUP(W$2,行为概览!$D$3:$L$33,9,0)="","",VLOOKUP(W$2,行为概览!$D$3:$L$33,9,0)*IF(玩法行为规划!V99&gt;0,1,0))</f>
        <v>1</v>
      </c>
      <c r="X99" s="7">
        <f>IF(VLOOKUP(X$2,行为概览!$D$3:$L$33,9,0)="","",VLOOKUP(X$2,行为概览!$D$3:$L$33,9,0)*IF(玩法行为规划!W99&gt;0,1,0))</f>
        <v>1</v>
      </c>
      <c r="Y99" s="7">
        <f>IF(VLOOKUP(Y$2,行为概览!$D$3:$L$33,9,0)="","",VLOOKUP(Y$2,行为概览!$D$3:$L$33,9,0)*IF(玩法行为规划!X99&gt;0,1,0))</f>
        <v>1</v>
      </c>
      <c r="Z99" s="7">
        <f>IF(VLOOKUP(Z$2,行为概览!$D$3:$L$33,9,0)="","",VLOOKUP(Z$2,行为概览!$D$3:$L$33,9,0)*IF(玩法行为规划!Y99&gt;0,1,0))</f>
        <v>3</v>
      </c>
      <c r="AA99" s="7">
        <f>IF(VLOOKUP(AA$2,行为概览!$D$3:$L$33,9,0)="","",VLOOKUP(AA$2,行为概览!$D$3:$L$33,9,0)*IF(玩法行为规划!Z99&gt;0,1,0))</f>
        <v>0.5</v>
      </c>
      <c r="AB99" s="7" t="str">
        <f>IF(VLOOKUP(AB$2,行为概览!$D$3:$L$33,9,0)="","",VLOOKUP(AB$2,行为概览!$D$3:$L$33,9,0)*IF(玩法行为规划!AA99&gt;0,1,0))</f>
        <v/>
      </c>
      <c r="AC99" s="7" t="str">
        <f>IF(VLOOKUP(AC$2,行为概览!$D$3:$L$33,9,0)="","",VLOOKUP(AC$2,行为概览!$D$3:$L$33,9,0)*IF(玩法行为规划!AB99&gt;0,1,0))</f>
        <v/>
      </c>
      <c r="AD99" s="7" t="str">
        <f>IF(VLOOKUP(AD$2,行为概览!$D$3:$L$33,9,0)="","",VLOOKUP(AD$2,行为概览!$D$3:$L$33,9,0)*玩法行为规划!AC99)</f>
        <v/>
      </c>
      <c r="AE99" s="7" t="str">
        <f>IF(VLOOKUP(AE$2,行为概览!$D$3:$L$33,9,0)="","",VLOOKUP(AE$2,行为概览!$D$3:$L$33,9,0)*玩法行为规划!AD99)</f>
        <v/>
      </c>
      <c r="AF99" s="7">
        <f t="shared" ref="AF99:AF130" si="23">SUM(C99:AC99)</f>
        <v>24.65</v>
      </c>
      <c r="AG99" s="10">
        <f t="shared" ref="AG99:AG130" si="24">B99*AF99</f>
        <v>2391050</v>
      </c>
      <c r="AH99" s="7">
        <f>ROUND(AG99*升级节奏!G99,0)</f>
        <v>32210034</v>
      </c>
      <c r="AI99" s="7">
        <f t="shared" si="15"/>
        <v>649900</v>
      </c>
      <c r="AJ99" s="21" t="str">
        <f t="shared" si="22"/>
        <v/>
      </c>
      <c r="AK99" s="7">
        <f t="shared" si="16"/>
        <v>1.9777885129044995E-2</v>
      </c>
      <c r="AL99" s="7">
        <f t="shared" si="17"/>
        <v>32859934</v>
      </c>
      <c r="AM99" s="7">
        <f>SUM($AL$3:AL99)</f>
        <v>679886093</v>
      </c>
      <c r="AN99" s="166">
        <f t="shared" si="18"/>
        <v>1093100</v>
      </c>
      <c r="AO99" s="7">
        <f>SUM($AN$3:AN99)*7</f>
        <v>161164500</v>
      </c>
      <c r="AP99" s="69">
        <f t="shared" si="19"/>
        <v>513860993</v>
      </c>
      <c r="AQ99" s="160">
        <f t="shared" si="20"/>
        <v>3240400</v>
      </c>
      <c r="AR99" s="160">
        <f t="shared" si="21"/>
        <v>1620200</v>
      </c>
    </row>
    <row r="100" spans="1:44">
      <c r="A100" s="32">
        <v>98</v>
      </c>
      <c r="B100" s="81">
        <f>升级节奏!E100</f>
        <v>98000</v>
      </c>
      <c r="C100" s="7">
        <f>IF(VLOOKUP(C$2,行为概览!$D$3:$L$33,9,0)="","",VLOOKUP(C$2,行为概览!$D$3:$L$33,9,0)*IF(玩法行为规划!B100&gt;0,1,0))</f>
        <v>4</v>
      </c>
      <c r="D100" s="7">
        <f>IF(VLOOKUP(D$2,行为概览!$D$3:$L$33,9,0)="","",VLOOKUP(D$2,行为概览!$D$3:$L$33,9,0)*IF(玩法行为规划!C100&gt;0,1,0))</f>
        <v>1.65</v>
      </c>
      <c r="E100" s="7">
        <f>IF(VLOOKUP(E$2,行为概览!$D$3:$L$33,9,0)="","",VLOOKUP(E$2,行为概览!$D$3:$L$33,9,0)*IF(玩法行为规划!D100&gt;0,1,0))</f>
        <v>0.5</v>
      </c>
      <c r="F100" s="7">
        <f>IF(VLOOKUP(F$2,行为概览!$D$3:$L$33,9,0)="","",VLOOKUP(F$2,行为概览!$D$3:$L$33,9,0)*IF(玩法行为规划!E100&gt;0,1,0))</f>
        <v>1</v>
      </c>
      <c r="G100" s="7" t="str">
        <f>IF(VLOOKUP(G$2,行为概览!$D$3:$L$33,9,0)="","",VLOOKUP(G$2,行为概览!$D$3:$L$33,9,0)*IF(玩法行为规划!F100&gt;0,1,0))</f>
        <v/>
      </c>
      <c r="H100" s="7" t="str">
        <f>IF(VLOOKUP(H$2,行为概览!$D$3:$L$33,9,0)="","",VLOOKUP(H$2,行为概览!$D$3:$L$33,9,0)*IF(玩法行为规划!G100&gt;0,1,0))</f>
        <v/>
      </c>
      <c r="I100" s="7" t="str">
        <f>IF(VLOOKUP(I$2,行为概览!$D$3:$L$33,9,0)="","",VLOOKUP(I$2,行为概览!$D$3:$L$33,9,0)*IF(玩法行为规划!H100&gt;0,1,0))</f>
        <v/>
      </c>
      <c r="J100" s="7" t="str">
        <f>IF(VLOOKUP(J$2,行为概览!$D$3:$L$33,9,0)="","",VLOOKUP(J$2,行为概览!$D$3:$L$33,9,0)*IF(玩法行为规划!I100&gt;0,1,0))</f>
        <v/>
      </c>
      <c r="K100" s="7">
        <f>IF(VLOOKUP(K$2,行为概览!$D$3:$L$33,9,0)="","",VLOOKUP(K$2,行为概览!$D$3:$L$33,9,0)*IF(玩法行为规划!J100&gt;0,1,0))</f>
        <v>1</v>
      </c>
      <c r="L100" s="7">
        <f>IF(VLOOKUP(L$2,行为概览!$D$3:$L$33,9,0)="","",VLOOKUP(L$2,行为概览!$D$3:$L$33,9,0)*IF(玩法行为规划!K100&gt;0,1,0))</f>
        <v>1</v>
      </c>
      <c r="M100" s="7" t="str">
        <f>IF(VLOOKUP(M$2,行为概览!$D$3:$L$33,9,0)="","",VLOOKUP(M$2,行为概览!$D$3:$L$33,9,0)*IF(玩法行为规划!L100&gt;0,1,0))</f>
        <v/>
      </c>
      <c r="N100" s="7" t="str">
        <f>IF(VLOOKUP(N$2,行为概览!$D$3:$L$33,9,0)="","",VLOOKUP(N$2,行为概览!$D$3:$L$33,9,0)*IF(玩法行为规划!M100&gt;0,1,0))</f>
        <v/>
      </c>
      <c r="O100" s="7" t="str">
        <f>IF(VLOOKUP(O$2,行为概览!$D$3:$L$33,9,0)="","",VLOOKUP(O$2,行为概览!$D$3:$L$33,9,0)*IF(玩法行为规划!N100&gt;0,1,0))</f>
        <v/>
      </c>
      <c r="P100" s="7">
        <f>IF(VLOOKUP(P$2,行为概览!$D$3:$L$33,9,0)="","",VLOOKUP(P$2,行为概览!$D$3:$L$33,9,0)*IF(玩法行为规划!O100&gt;0,1,0))</f>
        <v>0.5</v>
      </c>
      <c r="Q100" s="7">
        <f>IF(VLOOKUP(Q$2,行为概览!$D$3:$L$33,9,0)="","",VLOOKUP(Q$2,行为概览!$D$3:$L$33,9,0)*IF(玩法行为规划!P100&gt;0,1,0))</f>
        <v>5</v>
      </c>
      <c r="R100" s="7" t="str">
        <f>IF(VLOOKUP(R$2,行为概览!$D$3:$L$33,9,0)="","",VLOOKUP(R$2,行为概览!$D$3:$L$33,9,0)*IF(玩法行为规划!Q100&gt;0,1,0))</f>
        <v/>
      </c>
      <c r="S100" s="7">
        <f>IF(VLOOKUP(S$2,行为概览!$D$3:$L$33,9,0)="","",VLOOKUP(S$2,行为概览!$D$3:$L$33,9,0)*IF(玩法行为规划!R100&gt;0,1,0))</f>
        <v>1</v>
      </c>
      <c r="T100" s="7">
        <f>IF(VLOOKUP(T$2,行为概览!$D$3:$L$33,9,0)="","",VLOOKUP(T$2,行为概览!$D$3:$L$33,9,0)*IF(玩法行为规划!S100&gt;0,1,0))</f>
        <v>0</v>
      </c>
      <c r="U100" s="7">
        <f>IF(VLOOKUP(U$2,行为概览!$D$3:$L$33,9,0)="","",VLOOKUP(U$2,行为概览!$D$3:$L$33,9,0)*IF(玩法行为规划!T100&gt;0,1,0))</f>
        <v>1</v>
      </c>
      <c r="V100" s="7">
        <f>IF(VLOOKUP(V$2,行为概览!$D$3:$L$33,9,0)="","",VLOOKUP(V$2,行为概览!$D$3:$L$33,9,0)*IF(玩法行为规划!U100&gt;0,1,0))</f>
        <v>1.5</v>
      </c>
      <c r="W100" s="7">
        <f>IF(VLOOKUP(W$2,行为概览!$D$3:$L$33,9,0)="","",VLOOKUP(W$2,行为概览!$D$3:$L$33,9,0)*IF(玩法行为规划!V100&gt;0,1,0))</f>
        <v>1</v>
      </c>
      <c r="X100" s="7">
        <f>IF(VLOOKUP(X$2,行为概览!$D$3:$L$33,9,0)="","",VLOOKUP(X$2,行为概览!$D$3:$L$33,9,0)*IF(玩法行为规划!W100&gt;0,1,0))</f>
        <v>1</v>
      </c>
      <c r="Y100" s="7">
        <f>IF(VLOOKUP(Y$2,行为概览!$D$3:$L$33,9,0)="","",VLOOKUP(Y$2,行为概览!$D$3:$L$33,9,0)*IF(玩法行为规划!X100&gt;0,1,0))</f>
        <v>1</v>
      </c>
      <c r="Z100" s="7">
        <f>IF(VLOOKUP(Z$2,行为概览!$D$3:$L$33,9,0)="","",VLOOKUP(Z$2,行为概览!$D$3:$L$33,9,0)*IF(玩法行为规划!Y100&gt;0,1,0))</f>
        <v>3</v>
      </c>
      <c r="AA100" s="7">
        <f>IF(VLOOKUP(AA$2,行为概览!$D$3:$L$33,9,0)="","",VLOOKUP(AA$2,行为概览!$D$3:$L$33,9,0)*IF(玩法行为规划!Z100&gt;0,1,0))</f>
        <v>0.5</v>
      </c>
      <c r="AB100" s="7" t="str">
        <f>IF(VLOOKUP(AB$2,行为概览!$D$3:$L$33,9,0)="","",VLOOKUP(AB$2,行为概览!$D$3:$L$33,9,0)*IF(玩法行为规划!AA100&gt;0,1,0))</f>
        <v/>
      </c>
      <c r="AC100" s="7" t="str">
        <f>IF(VLOOKUP(AC$2,行为概览!$D$3:$L$33,9,0)="","",VLOOKUP(AC$2,行为概览!$D$3:$L$33,9,0)*IF(玩法行为规划!AB100&gt;0,1,0))</f>
        <v/>
      </c>
      <c r="AD100" s="7" t="str">
        <f>IF(VLOOKUP(AD$2,行为概览!$D$3:$L$33,9,0)="","",VLOOKUP(AD$2,行为概览!$D$3:$L$33,9,0)*玩法行为规划!AC100)</f>
        <v/>
      </c>
      <c r="AE100" s="7" t="str">
        <f>IF(VLOOKUP(AE$2,行为概览!$D$3:$L$33,9,0)="","",VLOOKUP(AE$2,行为概览!$D$3:$L$33,9,0)*玩法行为规划!AD100)</f>
        <v/>
      </c>
      <c r="AF100" s="7">
        <f t="shared" si="23"/>
        <v>24.65</v>
      </c>
      <c r="AG100" s="10">
        <f t="shared" si="24"/>
        <v>2415700</v>
      </c>
      <c r="AH100" s="7">
        <f>ROUND(AG100*升级节奏!G100,0)</f>
        <v>33209433</v>
      </c>
      <c r="AI100" s="7">
        <f t="shared" si="15"/>
        <v>666400</v>
      </c>
      <c r="AJ100" s="21" t="str">
        <f t="shared" si="22"/>
        <v/>
      </c>
      <c r="AK100" s="7">
        <f t="shared" si="16"/>
        <v>1.9671840984692539E-2</v>
      </c>
      <c r="AL100" s="7">
        <f t="shared" si="17"/>
        <v>33875833</v>
      </c>
      <c r="AM100" s="7">
        <f>SUM($AL$3:AL100)</f>
        <v>713761926</v>
      </c>
      <c r="AN100" s="166">
        <f t="shared" si="18"/>
        <v>1126600</v>
      </c>
      <c r="AO100" s="7">
        <f>SUM($AN$3:AN100)*7</f>
        <v>169050700</v>
      </c>
      <c r="AP100" s="69">
        <f t="shared" si="19"/>
        <v>539700426</v>
      </c>
      <c r="AQ100" s="160">
        <f t="shared" si="20"/>
        <v>3340500</v>
      </c>
      <c r="AR100" s="160">
        <f t="shared" si="21"/>
        <v>1670300</v>
      </c>
    </row>
    <row r="101" spans="1:44">
      <c r="A101" s="32">
        <v>99</v>
      </c>
      <c r="B101" s="81">
        <f>升级节奏!E101</f>
        <v>99000</v>
      </c>
      <c r="C101" s="7">
        <f>IF(VLOOKUP(C$2,行为概览!$D$3:$L$33,9,0)="","",VLOOKUP(C$2,行为概览!$D$3:$L$33,9,0)*IF(玩法行为规划!B101&gt;0,1,0))</f>
        <v>4</v>
      </c>
      <c r="D101" s="7">
        <f>IF(VLOOKUP(D$2,行为概览!$D$3:$L$33,9,0)="","",VLOOKUP(D$2,行为概览!$D$3:$L$33,9,0)*IF(玩法行为规划!C101&gt;0,1,0))</f>
        <v>1.65</v>
      </c>
      <c r="E101" s="7">
        <f>IF(VLOOKUP(E$2,行为概览!$D$3:$L$33,9,0)="","",VLOOKUP(E$2,行为概览!$D$3:$L$33,9,0)*IF(玩法行为规划!D101&gt;0,1,0))</f>
        <v>0.5</v>
      </c>
      <c r="F101" s="7">
        <f>IF(VLOOKUP(F$2,行为概览!$D$3:$L$33,9,0)="","",VLOOKUP(F$2,行为概览!$D$3:$L$33,9,0)*IF(玩法行为规划!E101&gt;0,1,0))</f>
        <v>1</v>
      </c>
      <c r="G101" s="7" t="str">
        <f>IF(VLOOKUP(G$2,行为概览!$D$3:$L$33,9,0)="","",VLOOKUP(G$2,行为概览!$D$3:$L$33,9,0)*IF(玩法行为规划!F101&gt;0,1,0))</f>
        <v/>
      </c>
      <c r="H101" s="7" t="str">
        <f>IF(VLOOKUP(H$2,行为概览!$D$3:$L$33,9,0)="","",VLOOKUP(H$2,行为概览!$D$3:$L$33,9,0)*IF(玩法行为规划!G101&gt;0,1,0))</f>
        <v/>
      </c>
      <c r="I101" s="7" t="str">
        <f>IF(VLOOKUP(I$2,行为概览!$D$3:$L$33,9,0)="","",VLOOKUP(I$2,行为概览!$D$3:$L$33,9,0)*IF(玩法行为规划!H101&gt;0,1,0))</f>
        <v/>
      </c>
      <c r="J101" s="7" t="str">
        <f>IF(VLOOKUP(J$2,行为概览!$D$3:$L$33,9,0)="","",VLOOKUP(J$2,行为概览!$D$3:$L$33,9,0)*IF(玩法行为规划!I101&gt;0,1,0))</f>
        <v/>
      </c>
      <c r="K101" s="7">
        <f>IF(VLOOKUP(K$2,行为概览!$D$3:$L$33,9,0)="","",VLOOKUP(K$2,行为概览!$D$3:$L$33,9,0)*IF(玩法行为规划!J101&gt;0,1,0))</f>
        <v>1</v>
      </c>
      <c r="L101" s="7">
        <f>IF(VLOOKUP(L$2,行为概览!$D$3:$L$33,9,0)="","",VLOOKUP(L$2,行为概览!$D$3:$L$33,9,0)*IF(玩法行为规划!K101&gt;0,1,0))</f>
        <v>1</v>
      </c>
      <c r="M101" s="7" t="str">
        <f>IF(VLOOKUP(M$2,行为概览!$D$3:$L$33,9,0)="","",VLOOKUP(M$2,行为概览!$D$3:$L$33,9,0)*IF(玩法行为规划!L101&gt;0,1,0))</f>
        <v/>
      </c>
      <c r="N101" s="7" t="str">
        <f>IF(VLOOKUP(N$2,行为概览!$D$3:$L$33,9,0)="","",VLOOKUP(N$2,行为概览!$D$3:$L$33,9,0)*IF(玩法行为规划!M101&gt;0,1,0))</f>
        <v/>
      </c>
      <c r="O101" s="7" t="str">
        <f>IF(VLOOKUP(O$2,行为概览!$D$3:$L$33,9,0)="","",VLOOKUP(O$2,行为概览!$D$3:$L$33,9,0)*IF(玩法行为规划!N101&gt;0,1,0))</f>
        <v/>
      </c>
      <c r="P101" s="7">
        <f>IF(VLOOKUP(P$2,行为概览!$D$3:$L$33,9,0)="","",VLOOKUP(P$2,行为概览!$D$3:$L$33,9,0)*IF(玩法行为规划!O101&gt;0,1,0))</f>
        <v>0.5</v>
      </c>
      <c r="Q101" s="7">
        <f>IF(VLOOKUP(Q$2,行为概览!$D$3:$L$33,9,0)="","",VLOOKUP(Q$2,行为概览!$D$3:$L$33,9,0)*IF(玩法行为规划!P101&gt;0,1,0))</f>
        <v>5</v>
      </c>
      <c r="R101" s="7" t="str">
        <f>IF(VLOOKUP(R$2,行为概览!$D$3:$L$33,9,0)="","",VLOOKUP(R$2,行为概览!$D$3:$L$33,9,0)*IF(玩法行为规划!Q101&gt;0,1,0))</f>
        <v/>
      </c>
      <c r="S101" s="7">
        <f>IF(VLOOKUP(S$2,行为概览!$D$3:$L$33,9,0)="","",VLOOKUP(S$2,行为概览!$D$3:$L$33,9,0)*IF(玩法行为规划!R101&gt;0,1,0))</f>
        <v>1</v>
      </c>
      <c r="T101" s="7">
        <f>IF(VLOOKUP(T$2,行为概览!$D$3:$L$33,9,0)="","",VLOOKUP(T$2,行为概览!$D$3:$L$33,9,0)*IF(玩法行为规划!S101&gt;0,1,0))</f>
        <v>0</v>
      </c>
      <c r="U101" s="7">
        <f>IF(VLOOKUP(U$2,行为概览!$D$3:$L$33,9,0)="","",VLOOKUP(U$2,行为概览!$D$3:$L$33,9,0)*IF(玩法行为规划!T101&gt;0,1,0))</f>
        <v>1</v>
      </c>
      <c r="V101" s="7">
        <f>IF(VLOOKUP(V$2,行为概览!$D$3:$L$33,9,0)="","",VLOOKUP(V$2,行为概览!$D$3:$L$33,9,0)*IF(玩法行为规划!U101&gt;0,1,0))</f>
        <v>1.5</v>
      </c>
      <c r="W101" s="7">
        <f>IF(VLOOKUP(W$2,行为概览!$D$3:$L$33,9,0)="","",VLOOKUP(W$2,行为概览!$D$3:$L$33,9,0)*IF(玩法行为规划!V101&gt;0,1,0))</f>
        <v>1</v>
      </c>
      <c r="X101" s="7">
        <f>IF(VLOOKUP(X$2,行为概览!$D$3:$L$33,9,0)="","",VLOOKUP(X$2,行为概览!$D$3:$L$33,9,0)*IF(玩法行为规划!W101&gt;0,1,0))</f>
        <v>1</v>
      </c>
      <c r="Y101" s="7">
        <f>IF(VLOOKUP(Y$2,行为概览!$D$3:$L$33,9,0)="","",VLOOKUP(Y$2,行为概览!$D$3:$L$33,9,0)*IF(玩法行为规划!X101&gt;0,1,0))</f>
        <v>1</v>
      </c>
      <c r="Z101" s="7">
        <f>IF(VLOOKUP(Z$2,行为概览!$D$3:$L$33,9,0)="","",VLOOKUP(Z$2,行为概览!$D$3:$L$33,9,0)*IF(玩法行为规划!Y101&gt;0,1,0))</f>
        <v>3</v>
      </c>
      <c r="AA101" s="7">
        <f>IF(VLOOKUP(AA$2,行为概览!$D$3:$L$33,9,0)="","",VLOOKUP(AA$2,行为概览!$D$3:$L$33,9,0)*IF(玩法行为规划!Z101&gt;0,1,0))</f>
        <v>0.5</v>
      </c>
      <c r="AB101" s="7" t="str">
        <f>IF(VLOOKUP(AB$2,行为概览!$D$3:$L$33,9,0)="","",VLOOKUP(AB$2,行为概览!$D$3:$L$33,9,0)*IF(玩法行为规划!AA101&gt;0,1,0))</f>
        <v/>
      </c>
      <c r="AC101" s="7" t="str">
        <f>IF(VLOOKUP(AC$2,行为概览!$D$3:$L$33,9,0)="","",VLOOKUP(AC$2,行为概览!$D$3:$L$33,9,0)*IF(玩法行为规划!AB101&gt;0,1,0))</f>
        <v/>
      </c>
      <c r="AD101" s="7" t="str">
        <f>IF(VLOOKUP(AD$2,行为概览!$D$3:$L$33,9,0)="","",VLOOKUP(AD$2,行为概览!$D$3:$L$33,9,0)*玩法行为规划!AC101)</f>
        <v/>
      </c>
      <c r="AE101" s="7" t="str">
        <f>IF(VLOOKUP(AE$2,行为概览!$D$3:$L$33,9,0)="","",VLOOKUP(AE$2,行为概览!$D$3:$L$33,9,0)*玩法行为规划!AD101)</f>
        <v/>
      </c>
      <c r="AF101" s="7">
        <f t="shared" si="23"/>
        <v>24.65</v>
      </c>
      <c r="AG101" s="10">
        <f t="shared" si="24"/>
        <v>2440350</v>
      </c>
      <c r="AH101" s="7">
        <f>ROUND(AG101*升级节奏!G101,0)</f>
        <v>34229366</v>
      </c>
      <c r="AI101" s="7">
        <f t="shared" si="15"/>
        <v>683100</v>
      </c>
      <c r="AJ101" s="21" t="str">
        <f t="shared" si="22"/>
        <v/>
      </c>
      <c r="AK101" s="7">
        <f t="shared" si="16"/>
        <v>1.9566077056831218E-2</v>
      </c>
      <c r="AL101" s="7">
        <f t="shared" si="17"/>
        <v>34912466</v>
      </c>
      <c r="AM101" s="7">
        <f>SUM($AL$3:AL101)</f>
        <v>748674392</v>
      </c>
      <c r="AN101" s="166">
        <f t="shared" si="18"/>
        <v>1160800</v>
      </c>
      <c r="AO101" s="7">
        <f>SUM($AN$3:AN101)*7</f>
        <v>177176300</v>
      </c>
      <c r="AP101" s="69">
        <f t="shared" si="19"/>
        <v>566333992</v>
      </c>
      <c r="AQ101" s="160">
        <f t="shared" si="20"/>
        <v>3442700</v>
      </c>
      <c r="AR101" s="160">
        <f t="shared" si="21"/>
        <v>1721400</v>
      </c>
    </row>
    <row r="102" spans="1:44">
      <c r="A102" s="32">
        <v>100</v>
      </c>
      <c r="B102" s="81">
        <f>升级节奏!E102</f>
        <v>100000</v>
      </c>
      <c r="C102" s="7">
        <f>IF(VLOOKUP(C$2,行为概览!$D$3:$L$33,9,0)="","",VLOOKUP(C$2,行为概览!$D$3:$L$33,9,0)*IF(玩法行为规划!B102&gt;0,1,0))</f>
        <v>4</v>
      </c>
      <c r="D102" s="7">
        <f>IF(VLOOKUP(D$2,行为概览!$D$3:$L$33,9,0)="","",VLOOKUP(D$2,行为概览!$D$3:$L$33,9,0)*IF(玩法行为规划!C102&gt;0,1,0))</f>
        <v>1.65</v>
      </c>
      <c r="E102" s="7">
        <f>IF(VLOOKUP(E$2,行为概览!$D$3:$L$33,9,0)="","",VLOOKUP(E$2,行为概览!$D$3:$L$33,9,0)*IF(玩法行为规划!D102&gt;0,1,0))</f>
        <v>0.5</v>
      </c>
      <c r="F102" s="7">
        <f>IF(VLOOKUP(F$2,行为概览!$D$3:$L$33,9,0)="","",VLOOKUP(F$2,行为概览!$D$3:$L$33,9,0)*IF(玩法行为规划!E102&gt;0,1,0))</f>
        <v>1</v>
      </c>
      <c r="G102" s="7" t="str">
        <f>IF(VLOOKUP(G$2,行为概览!$D$3:$L$33,9,0)="","",VLOOKUP(G$2,行为概览!$D$3:$L$33,9,0)*IF(玩法行为规划!F102&gt;0,1,0))</f>
        <v/>
      </c>
      <c r="H102" s="7" t="str">
        <f>IF(VLOOKUP(H$2,行为概览!$D$3:$L$33,9,0)="","",VLOOKUP(H$2,行为概览!$D$3:$L$33,9,0)*IF(玩法行为规划!G102&gt;0,1,0))</f>
        <v/>
      </c>
      <c r="I102" s="7" t="str">
        <f>IF(VLOOKUP(I$2,行为概览!$D$3:$L$33,9,0)="","",VLOOKUP(I$2,行为概览!$D$3:$L$33,9,0)*IF(玩法行为规划!H102&gt;0,1,0))</f>
        <v/>
      </c>
      <c r="J102" s="7" t="str">
        <f>IF(VLOOKUP(J$2,行为概览!$D$3:$L$33,9,0)="","",VLOOKUP(J$2,行为概览!$D$3:$L$33,9,0)*IF(玩法行为规划!I102&gt;0,1,0))</f>
        <v/>
      </c>
      <c r="K102" s="7">
        <f>IF(VLOOKUP(K$2,行为概览!$D$3:$L$33,9,0)="","",VLOOKUP(K$2,行为概览!$D$3:$L$33,9,0)*IF(玩法行为规划!J102&gt;0,1,0))</f>
        <v>1</v>
      </c>
      <c r="L102" s="7">
        <f>IF(VLOOKUP(L$2,行为概览!$D$3:$L$33,9,0)="","",VLOOKUP(L$2,行为概览!$D$3:$L$33,9,0)*IF(玩法行为规划!K102&gt;0,1,0))</f>
        <v>1</v>
      </c>
      <c r="M102" s="7" t="str">
        <f>IF(VLOOKUP(M$2,行为概览!$D$3:$L$33,9,0)="","",VLOOKUP(M$2,行为概览!$D$3:$L$33,9,0)*IF(玩法行为规划!L102&gt;0,1,0))</f>
        <v/>
      </c>
      <c r="N102" s="7" t="str">
        <f>IF(VLOOKUP(N$2,行为概览!$D$3:$L$33,9,0)="","",VLOOKUP(N$2,行为概览!$D$3:$L$33,9,0)*IF(玩法行为规划!M102&gt;0,1,0))</f>
        <v/>
      </c>
      <c r="O102" s="7" t="str">
        <f>IF(VLOOKUP(O$2,行为概览!$D$3:$L$33,9,0)="","",VLOOKUP(O$2,行为概览!$D$3:$L$33,9,0)*IF(玩法行为规划!N102&gt;0,1,0))</f>
        <v/>
      </c>
      <c r="P102" s="7">
        <f>IF(VLOOKUP(P$2,行为概览!$D$3:$L$33,9,0)="","",VLOOKUP(P$2,行为概览!$D$3:$L$33,9,0)*IF(玩法行为规划!O102&gt;0,1,0))</f>
        <v>0.5</v>
      </c>
      <c r="Q102" s="7">
        <f>IF(VLOOKUP(Q$2,行为概览!$D$3:$L$33,9,0)="","",VLOOKUP(Q$2,行为概览!$D$3:$L$33,9,0)*IF(玩法行为规划!P102&gt;0,1,0))</f>
        <v>5</v>
      </c>
      <c r="R102" s="7" t="str">
        <f>IF(VLOOKUP(R$2,行为概览!$D$3:$L$33,9,0)="","",VLOOKUP(R$2,行为概览!$D$3:$L$33,9,0)*IF(玩法行为规划!Q102&gt;0,1,0))</f>
        <v/>
      </c>
      <c r="S102" s="7">
        <f>IF(VLOOKUP(S$2,行为概览!$D$3:$L$33,9,0)="","",VLOOKUP(S$2,行为概览!$D$3:$L$33,9,0)*IF(玩法行为规划!R102&gt;0,1,0))</f>
        <v>1</v>
      </c>
      <c r="T102" s="7">
        <f>IF(VLOOKUP(T$2,行为概览!$D$3:$L$33,9,0)="","",VLOOKUP(T$2,行为概览!$D$3:$L$33,9,0)*IF(玩法行为规划!S102&gt;0,1,0))</f>
        <v>0</v>
      </c>
      <c r="U102" s="7">
        <f>IF(VLOOKUP(U$2,行为概览!$D$3:$L$33,9,0)="","",VLOOKUP(U$2,行为概览!$D$3:$L$33,9,0)*IF(玩法行为规划!T102&gt;0,1,0))</f>
        <v>1</v>
      </c>
      <c r="V102" s="7">
        <f>IF(VLOOKUP(V$2,行为概览!$D$3:$L$33,9,0)="","",VLOOKUP(V$2,行为概览!$D$3:$L$33,9,0)*IF(玩法行为规划!U102&gt;0,1,0))</f>
        <v>1.5</v>
      </c>
      <c r="W102" s="7">
        <f>IF(VLOOKUP(W$2,行为概览!$D$3:$L$33,9,0)="","",VLOOKUP(W$2,行为概览!$D$3:$L$33,9,0)*IF(玩法行为规划!V102&gt;0,1,0))</f>
        <v>1</v>
      </c>
      <c r="X102" s="7">
        <f>IF(VLOOKUP(X$2,行为概览!$D$3:$L$33,9,0)="","",VLOOKUP(X$2,行为概览!$D$3:$L$33,9,0)*IF(玩法行为规划!W102&gt;0,1,0))</f>
        <v>1</v>
      </c>
      <c r="Y102" s="7">
        <f>IF(VLOOKUP(Y$2,行为概览!$D$3:$L$33,9,0)="","",VLOOKUP(Y$2,行为概览!$D$3:$L$33,9,0)*IF(玩法行为规划!X102&gt;0,1,0))</f>
        <v>1</v>
      </c>
      <c r="Z102" s="7">
        <f>IF(VLOOKUP(Z$2,行为概览!$D$3:$L$33,9,0)="","",VLOOKUP(Z$2,行为概览!$D$3:$L$33,9,0)*IF(玩法行为规划!Y102&gt;0,1,0))</f>
        <v>3</v>
      </c>
      <c r="AA102" s="7">
        <f>IF(VLOOKUP(AA$2,行为概览!$D$3:$L$33,9,0)="","",VLOOKUP(AA$2,行为概览!$D$3:$L$33,9,0)*IF(玩法行为规划!Z102&gt;0,1,0))</f>
        <v>0.5</v>
      </c>
      <c r="AB102" s="7" t="str">
        <f>IF(VLOOKUP(AB$2,行为概览!$D$3:$L$33,9,0)="","",VLOOKUP(AB$2,行为概览!$D$3:$L$33,9,0)*IF(玩法行为规划!AA102&gt;0,1,0))</f>
        <v/>
      </c>
      <c r="AC102" s="7" t="str">
        <f>IF(VLOOKUP(AC$2,行为概览!$D$3:$L$33,9,0)="","",VLOOKUP(AC$2,行为概览!$D$3:$L$33,9,0)*IF(玩法行为规划!AB102&gt;0,1,0))</f>
        <v/>
      </c>
      <c r="AD102" s="7" t="str">
        <f>IF(VLOOKUP(AD$2,行为概览!$D$3:$L$33,9,0)="","",VLOOKUP(AD$2,行为概览!$D$3:$L$33,9,0)*玩法行为规划!AC102)</f>
        <v/>
      </c>
      <c r="AE102" s="7" t="str">
        <f>IF(VLOOKUP(AE$2,行为概览!$D$3:$L$33,9,0)="","",VLOOKUP(AE$2,行为概览!$D$3:$L$33,9,0)*玩法行为规划!AD102)</f>
        <v/>
      </c>
      <c r="AF102" s="7">
        <f t="shared" si="23"/>
        <v>24.65</v>
      </c>
      <c r="AG102" s="10">
        <f t="shared" si="24"/>
        <v>2465000</v>
      </c>
      <c r="AH102" s="7">
        <f>ROUND(AG102*升级节奏!G102,0)</f>
        <v>35270042</v>
      </c>
      <c r="AI102" s="7">
        <f t="shared" si="15"/>
        <v>700000</v>
      </c>
      <c r="AJ102" s="21">
        <f t="shared" si="22"/>
        <v>7793500</v>
      </c>
      <c r="AK102" s="7">
        <f t="shared" si="16"/>
        <v>1.9460638939481918E-2</v>
      </c>
      <c r="AL102" s="7">
        <f t="shared" si="17"/>
        <v>35970042</v>
      </c>
      <c r="AM102" s="7">
        <f>SUM($AL$3:AL102)</f>
        <v>784644434</v>
      </c>
      <c r="AN102" s="166">
        <f t="shared" si="18"/>
        <v>1195700</v>
      </c>
      <c r="AO102" s="7">
        <f>SUM($AN$3:AN102)*7</f>
        <v>185546200</v>
      </c>
      <c r="AP102" s="69">
        <f t="shared" si="19"/>
        <v>593777734</v>
      </c>
      <c r="AQ102" s="160">
        <f t="shared" si="20"/>
        <v>3547000</v>
      </c>
      <c r="AR102" s="160">
        <f t="shared" si="21"/>
        <v>1773500</v>
      </c>
    </row>
    <row r="103" spans="1:44">
      <c r="A103" s="32">
        <v>101</v>
      </c>
      <c r="B103" s="81">
        <f>升级节奏!E103</f>
        <v>101000</v>
      </c>
      <c r="C103" s="7">
        <f>IF(VLOOKUP(C$2,行为概览!$D$3:$L$33,9,0)="","",VLOOKUP(C$2,行为概览!$D$3:$L$33,9,0)*IF(玩法行为规划!B103&gt;0,1,0))</f>
        <v>4</v>
      </c>
      <c r="D103" s="7">
        <f>IF(VLOOKUP(D$2,行为概览!$D$3:$L$33,9,0)="","",VLOOKUP(D$2,行为概览!$D$3:$L$33,9,0)*IF(玩法行为规划!C103&gt;0,1,0))</f>
        <v>1.65</v>
      </c>
      <c r="E103" s="7">
        <f>IF(VLOOKUP(E$2,行为概览!$D$3:$L$33,9,0)="","",VLOOKUP(E$2,行为概览!$D$3:$L$33,9,0)*IF(玩法行为规划!D103&gt;0,1,0))</f>
        <v>0.5</v>
      </c>
      <c r="F103" s="7">
        <f>IF(VLOOKUP(F$2,行为概览!$D$3:$L$33,9,0)="","",VLOOKUP(F$2,行为概览!$D$3:$L$33,9,0)*IF(玩法行为规划!E103&gt;0,1,0))</f>
        <v>1</v>
      </c>
      <c r="G103" s="7" t="str">
        <f>IF(VLOOKUP(G$2,行为概览!$D$3:$L$33,9,0)="","",VLOOKUP(G$2,行为概览!$D$3:$L$33,9,0)*IF(玩法行为规划!F103&gt;0,1,0))</f>
        <v/>
      </c>
      <c r="H103" s="7" t="str">
        <f>IF(VLOOKUP(H$2,行为概览!$D$3:$L$33,9,0)="","",VLOOKUP(H$2,行为概览!$D$3:$L$33,9,0)*IF(玩法行为规划!G103&gt;0,1,0))</f>
        <v/>
      </c>
      <c r="I103" s="7" t="str">
        <f>IF(VLOOKUP(I$2,行为概览!$D$3:$L$33,9,0)="","",VLOOKUP(I$2,行为概览!$D$3:$L$33,9,0)*IF(玩法行为规划!H103&gt;0,1,0))</f>
        <v/>
      </c>
      <c r="J103" s="7" t="str">
        <f>IF(VLOOKUP(J$2,行为概览!$D$3:$L$33,9,0)="","",VLOOKUP(J$2,行为概览!$D$3:$L$33,9,0)*IF(玩法行为规划!I103&gt;0,1,0))</f>
        <v/>
      </c>
      <c r="K103" s="7">
        <f>IF(VLOOKUP(K$2,行为概览!$D$3:$L$33,9,0)="","",VLOOKUP(K$2,行为概览!$D$3:$L$33,9,0)*IF(玩法行为规划!J103&gt;0,1,0))</f>
        <v>1</v>
      </c>
      <c r="L103" s="7">
        <f>IF(VLOOKUP(L$2,行为概览!$D$3:$L$33,9,0)="","",VLOOKUP(L$2,行为概览!$D$3:$L$33,9,0)*IF(玩法行为规划!K103&gt;0,1,0))</f>
        <v>1</v>
      </c>
      <c r="M103" s="7" t="str">
        <f>IF(VLOOKUP(M$2,行为概览!$D$3:$L$33,9,0)="","",VLOOKUP(M$2,行为概览!$D$3:$L$33,9,0)*IF(玩法行为规划!L103&gt;0,1,0))</f>
        <v/>
      </c>
      <c r="N103" s="7" t="str">
        <f>IF(VLOOKUP(N$2,行为概览!$D$3:$L$33,9,0)="","",VLOOKUP(N$2,行为概览!$D$3:$L$33,9,0)*IF(玩法行为规划!M103&gt;0,1,0))</f>
        <v/>
      </c>
      <c r="O103" s="7" t="str">
        <f>IF(VLOOKUP(O$2,行为概览!$D$3:$L$33,9,0)="","",VLOOKUP(O$2,行为概览!$D$3:$L$33,9,0)*IF(玩法行为规划!N103&gt;0,1,0))</f>
        <v/>
      </c>
      <c r="P103" s="7">
        <f>IF(VLOOKUP(P$2,行为概览!$D$3:$L$33,9,0)="","",VLOOKUP(P$2,行为概览!$D$3:$L$33,9,0)*IF(玩法行为规划!O103&gt;0,1,0))</f>
        <v>0.5</v>
      </c>
      <c r="Q103" s="7">
        <f>IF(VLOOKUP(Q$2,行为概览!$D$3:$L$33,9,0)="","",VLOOKUP(Q$2,行为概览!$D$3:$L$33,9,0)*IF(玩法行为规划!P103&gt;0,1,0))</f>
        <v>5</v>
      </c>
      <c r="R103" s="7" t="str">
        <f>IF(VLOOKUP(R$2,行为概览!$D$3:$L$33,9,0)="","",VLOOKUP(R$2,行为概览!$D$3:$L$33,9,0)*IF(玩法行为规划!Q103&gt;0,1,0))</f>
        <v/>
      </c>
      <c r="S103" s="7">
        <f>IF(VLOOKUP(S$2,行为概览!$D$3:$L$33,9,0)="","",VLOOKUP(S$2,行为概览!$D$3:$L$33,9,0)*IF(玩法行为规划!R103&gt;0,1,0))</f>
        <v>1</v>
      </c>
      <c r="T103" s="7">
        <f>IF(VLOOKUP(T$2,行为概览!$D$3:$L$33,9,0)="","",VLOOKUP(T$2,行为概览!$D$3:$L$33,9,0)*IF(玩法行为规划!S103&gt;0,1,0))</f>
        <v>0</v>
      </c>
      <c r="U103" s="7">
        <f>IF(VLOOKUP(U$2,行为概览!$D$3:$L$33,9,0)="","",VLOOKUP(U$2,行为概览!$D$3:$L$33,9,0)*IF(玩法行为规划!T103&gt;0,1,0))</f>
        <v>1</v>
      </c>
      <c r="V103" s="7">
        <f>IF(VLOOKUP(V$2,行为概览!$D$3:$L$33,9,0)="","",VLOOKUP(V$2,行为概览!$D$3:$L$33,9,0)*IF(玩法行为规划!U103&gt;0,1,0))</f>
        <v>1.5</v>
      </c>
      <c r="W103" s="7">
        <f>IF(VLOOKUP(W$2,行为概览!$D$3:$L$33,9,0)="","",VLOOKUP(W$2,行为概览!$D$3:$L$33,9,0)*IF(玩法行为规划!V103&gt;0,1,0))</f>
        <v>1</v>
      </c>
      <c r="X103" s="7">
        <f>IF(VLOOKUP(X$2,行为概览!$D$3:$L$33,9,0)="","",VLOOKUP(X$2,行为概览!$D$3:$L$33,9,0)*IF(玩法行为规划!W103&gt;0,1,0))</f>
        <v>1</v>
      </c>
      <c r="Y103" s="7">
        <f>IF(VLOOKUP(Y$2,行为概览!$D$3:$L$33,9,0)="","",VLOOKUP(Y$2,行为概览!$D$3:$L$33,9,0)*IF(玩法行为规划!X103&gt;0,1,0))</f>
        <v>1</v>
      </c>
      <c r="Z103" s="7">
        <f>IF(VLOOKUP(Z$2,行为概览!$D$3:$L$33,9,0)="","",VLOOKUP(Z$2,行为概览!$D$3:$L$33,9,0)*IF(玩法行为规划!Y103&gt;0,1,0))</f>
        <v>3</v>
      </c>
      <c r="AA103" s="7">
        <f>IF(VLOOKUP(AA$2,行为概览!$D$3:$L$33,9,0)="","",VLOOKUP(AA$2,行为概览!$D$3:$L$33,9,0)*IF(玩法行为规划!Z103&gt;0,1,0))</f>
        <v>0.5</v>
      </c>
      <c r="AB103" s="7" t="str">
        <f>IF(VLOOKUP(AB$2,行为概览!$D$3:$L$33,9,0)="","",VLOOKUP(AB$2,行为概览!$D$3:$L$33,9,0)*IF(玩法行为规划!AA103&gt;0,1,0))</f>
        <v/>
      </c>
      <c r="AC103" s="7" t="str">
        <f>IF(VLOOKUP(AC$2,行为概览!$D$3:$L$33,9,0)="","",VLOOKUP(AC$2,行为概览!$D$3:$L$33,9,0)*IF(玩法行为规划!AB103&gt;0,1,0))</f>
        <v/>
      </c>
      <c r="AD103" s="7" t="str">
        <f>IF(VLOOKUP(AD$2,行为概览!$D$3:$L$33,9,0)="","",VLOOKUP(AD$2,行为概览!$D$3:$L$33,9,0)*玩法行为规划!AC103)</f>
        <v/>
      </c>
      <c r="AE103" s="7" t="str">
        <f>IF(VLOOKUP(AE$2,行为概览!$D$3:$L$33,9,0)="","",VLOOKUP(AE$2,行为概览!$D$3:$L$33,9,0)*玩法行为规划!AD103)</f>
        <v/>
      </c>
      <c r="AF103" s="7">
        <f t="shared" si="23"/>
        <v>24.65</v>
      </c>
      <c r="AG103" s="10">
        <f t="shared" si="24"/>
        <v>2489650</v>
      </c>
      <c r="AH103" s="7">
        <f>ROUND(AG103*升级节奏!G103,0)</f>
        <v>36331670</v>
      </c>
      <c r="AI103" s="7">
        <f t="shared" si="15"/>
        <v>717100</v>
      </c>
      <c r="AJ103" s="21" t="str">
        <f t="shared" si="22"/>
        <v/>
      </c>
      <c r="AK103" s="7">
        <f t="shared" si="16"/>
        <v>1.9355568349502562E-2</v>
      </c>
      <c r="AL103" s="7">
        <f t="shared" si="17"/>
        <v>37048770</v>
      </c>
      <c r="AM103" s="7">
        <f>SUM($AL$3:AL103)</f>
        <v>821693204</v>
      </c>
      <c r="AN103" s="166">
        <f t="shared" si="18"/>
        <v>1231300</v>
      </c>
      <c r="AO103" s="7">
        <f>SUM($AN$3:AN103)*7</f>
        <v>194165300</v>
      </c>
      <c r="AP103" s="69">
        <f t="shared" si="19"/>
        <v>622047804</v>
      </c>
      <c r="AQ103" s="160">
        <f t="shared" si="20"/>
        <v>3653400</v>
      </c>
      <c r="AR103" s="160">
        <f t="shared" si="21"/>
        <v>1826700</v>
      </c>
    </row>
    <row r="104" spans="1:44">
      <c r="A104" s="32">
        <v>102</v>
      </c>
      <c r="B104" s="81">
        <f>升级节奏!E104</f>
        <v>102000</v>
      </c>
      <c r="C104" s="7">
        <f>IF(VLOOKUP(C$2,行为概览!$D$3:$L$33,9,0)="","",VLOOKUP(C$2,行为概览!$D$3:$L$33,9,0)*IF(玩法行为规划!B104&gt;0,1,0))</f>
        <v>4</v>
      </c>
      <c r="D104" s="7">
        <f>IF(VLOOKUP(D$2,行为概览!$D$3:$L$33,9,0)="","",VLOOKUP(D$2,行为概览!$D$3:$L$33,9,0)*IF(玩法行为规划!C104&gt;0,1,0))</f>
        <v>1.65</v>
      </c>
      <c r="E104" s="7">
        <f>IF(VLOOKUP(E$2,行为概览!$D$3:$L$33,9,0)="","",VLOOKUP(E$2,行为概览!$D$3:$L$33,9,0)*IF(玩法行为规划!D104&gt;0,1,0))</f>
        <v>0.5</v>
      </c>
      <c r="F104" s="7">
        <f>IF(VLOOKUP(F$2,行为概览!$D$3:$L$33,9,0)="","",VLOOKUP(F$2,行为概览!$D$3:$L$33,9,0)*IF(玩法行为规划!E104&gt;0,1,0))</f>
        <v>1</v>
      </c>
      <c r="G104" s="7" t="str">
        <f>IF(VLOOKUP(G$2,行为概览!$D$3:$L$33,9,0)="","",VLOOKUP(G$2,行为概览!$D$3:$L$33,9,0)*IF(玩法行为规划!F104&gt;0,1,0))</f>
        <v/>
      </c>
      <c r="H104" s="7" t="str">
        <f>IF(VLOOKUP(H$2,行为概览!$D$3:$L$33,9,0)="","",VLOOKUP(H$2,行为概览!$D$3:$L$33,9,0)*IF(玩法行为规划!G104&gt;0,1,0))</f>
        <v/>
      </c>
      <c r="I104" s="7" t="str">
        <f>IF(VLOOKUP(I$2,行为概览!$D$3:$L$33,9,0)="","",VLOOKUP(I$2,行为概览!$D$3:$L$33,9,0)*IF(玩法行为规划!H104&gt;0,1,0))</f>
        <v/>
      </c>
      <c r="J104" s="7" t="str">
        <f>IF(VLOOKUP(J$2,行为概览!$D$3:$L$33,9,0)="","",VLOOKUP(J$2,行为概览!$D$3:$L$33,9,0)*IF(玩法行为规划!I104&gt;0,1,0))</f>
        <v/>
      </c>
      <c r="K104" s="7">
        <f>IF(VLOOKUP(K$2,行为概览!$D$3:$L$33,9,0)="","",VLOOKUP(K$2,行为概览!$D$3:$L$33,9,0)*IF(玩法行为规划!J104&gt;0,1,0))</f>
        <v>1</v>
      </c>
      <c r="L104" s="7">
        <f>IF(VLOOKUP(L$2,行为概览!$D$3:$L$33,9,0)="","",VLOOKUP(L$2,行为概览!$D$3:$L$33,9,0)*IF(玩法行为规划!K104&gt;0,1,0))</f>
        <v>1</v>
      </c>
      <c r="M104" s="7" t="str">
        <f>IF(VLOOKUP(M$2,行为概览!$D$3:$L$33,9,0)="","",VLOOKUP(M$2,行为概览!$D$3:$L$33,9,0)*IF(玩法行为规划!L104&gt;0,1,0))</f>
        <v/>
      </c>
      <c r="N104" s="7" t="str">
        <f>IF(VLOOKUP(N$2,行为概览!$D$3:$L$33,9,0)="","",VLOOKUP(N$2,行为概览!$D$3:$L$33,9,0)*IF(玩法行为规划!M104&gt;0,1,0))</f>
        <v/>
      </c>
      <c r="O104" s="7" t="str">
        <f>IF(VLOOKUP(O$2,行为概览!$D$3:$L$33,9,0)="","",VLOOKUP(O$2,行为概览!$D$3:$L$33,9,0)*IF(玩法行为规划!N104&gt;0,1,0))</f>
        <v/>
      </c>
      <c r="P104" s="7">
        <f>IF(VLOOKUP(P$2,行为概览!$D$3:$L$33,9,0)="","",VLOOKUP(P$2,行为概览!$D$3:$L$33,9,0)*IF(玩法行为规划!O104&gt;0,1,0))</f>
        <v>0.5</v>
      </c>
      <c r="Q104" s="7">
        <f>IF(VLOOKUP(Q$2,行为概览!$D$3:$L$33,9,0)="","",VLOOKUP(Q$2,行为概览!$D$3:$L$33,9,0)*IF(玩法行为规划!P104&gt;0,1,0))</f>
        <v>5</v>
      </c>
      <c r="R104" s="7" t="str">
        <f>IF(VLOOKUP(R$2,行为概览!$D$3:$L$33,9,0)="","",VLOOKUP(R$2,行为概览!$D$3:$L$33,9,0)*IF(玩法行为规划!Q104&gt;0,1,0))</f>
        <v/>
      </c>
      <c r="S104" s="7">
        <f>IF(VLOOKUP(S$2,行为概览!$D$3:$L$33,9,0)="","",VLOOKUP(S$2,行为概览!$D$3:$L$33,9,0)*IF(玩法行为规划!R104&gt;0,1,0))</f>
        <v>1</v>
      </c>
      <c r="T104" s="7">
        <f>IF(VLOOKUP(T$2,行为概览!$D$3:$L$33,9,0)="","",VLOOKUP(T$2,行为概览!$D$3:$L$33,9,0)*IF(玩法行为规划!S104&gt;0,1,0))</f>
        <v>0</v>
      </c>
      <c r="U104" s="7">
        <f>IF(VLOOKUP(U$2,行为概览!$D$3:$L$33,9,0)="","",VLOOKUP(U$2,行为概览!$D$3:$L$33,9,0)*IF(玩法行为规划!T104&gt;0,1,0))</f>
        <v>1</v>
      </c>
      <c r="V104" s="7">
        <f>IF(VLOOKUP(V$2,行为概览!$D$3:$L$33,9,0)="","",VLOOKUP(V$2,行为概览!$D$3:$L$33,9,0)*IF(玩法行为规划!U104&gt;0,1,0))</f>
        <v>1.5</v>
      </c>
      <c r="W104" s="7">
        <f>IF(VLOOKUP(W$2,行为概览!$D$3:$L$33,9,0)="","",VLOOKUP(W$2,行为概览!$D$3:$L$33,9,0)*IF(玩法行为规划!V104&gt;0,1,0))</f>
        <v>1</v>
      </c>
      <c r="X104" s="7">
        <f>IF(VLOOKUP(X$2,行为概览!$D$3:$L$33,9,0)="","",VLOOKUP(X$2,行为概览!$D$3:$L$33,9,0)*IF(玩法行为规划!W104&gt;0,1,0))</f>
        <v>1</v>
      </c>
      <c r="Y104" s="7">
        <f>IF(VLOOKUP(Y$2,行为概览!$D$3:$L$33,9,0)="","",VLOOKUP(Y$2,行为概览!$D$3:$L$33,9,0)*IF(玩法行为规划!X104&gt;0,1,0))</f>
        <v>1</v>
      </c>
      <c r="Z104" s="7">
        <f>IF(VLOOKUP(Z$2,行为概览!$D$3:$L$33,9,0)="","",VLOOKUP(Z$2,行为概览!$D$3:$L$33,9,0)*IF(玩法行为规划!Y104&gt;0,1,0))</f>
        <v>3</v>
      </c>
      <c r="AA104" s="7">
        <f>IF(VLOOKUP(AA$2,行为概览!$D$3:$L$33,9,0)="","",VLOOKUP(AA$2,行为概览!$D$3:$L$33,9,0)*IF(玩法行为规划!Z104&gt;0,1,0))</f>
        <v>0.5</v>
      </c>
      <c r="AB104" s="7" t="str">
        <f>IF(VLOOKUP(AB$2,行为概览!$D$3:$L$33,9,0)="","",VLOOKUP(AB$2,行为概览!$D$3:$L$33,9,0)*IF(玩法行为规划!AA104&gt;0,1,0))</f>
        <v/>
      </c>
      <c r="AC104" s="7" t="str">
        <f>IF(VLOOKUP(AC$2,行为概览!$D$3:$L$33,9,0)="","",VLOOKUP(AC$2,行为概览!$D$3:$L$33,9,0)*IF(玩法行为规划!AB104&gt;0,1,0))</f>
        <v/>
      </c>
      <c r="AD104" s="7" t="str">
        <f>IF(VLOOKUP(AD$2,行为概览!$D$3:$L$33,9,0)="","",VLOOKUP(AD$2,行为概览!$D$3:$L$33,9,0)*玩法行为规划!AC104)</f>
        <v/>
      </c>
      <c r="AE104" s="7" t="str">
        <f>IF(VLOOKUP(AE$2,行为概览!$D$3:$L$33,9,0)="","",VLOOKUP(AE$2,行为概览!$D$3:$L$33,9,0)*玩法行为规划!AD104)</f>
        <v/>
      </c>
      <c r="AF104" s="7">
        <f t="shared" si="23"/>
        <v>24.65</v>
      </c>
      <c r="AG104" s="10">
        <f t="shared" si="24"/>
        <v>2514300</v>
      </c>
      <c r="AH104" s="7">
        <f>ROUND(AG104*升级节奏!G104,0)</f>
        <v>37414460</v>
      </c>
      <c r="AI104" s="7">
        <f t="shared" si="15"/>
        <v>734400</v>
      </c>
      <c r="AJ104" s="21" t="str">
        <f t="shared" si="22"/>
        <v/>
      </c>
      <c r="AK104" s="7">
        <f t="shared" si="16"/>
        <v>1.9250902910335984E-2</v>
      </c>
      <c r="AL104" s="7">
        <f t="shared" si="17"/>
        <v>38148860</v>
      </c>
      <c r="AM104" s="7">
        <f>SUM($AL$3:AL104)</f>
        <v>859842064</v>
      </c>
      <c r="AN104" s="166">
        <f t="shared" si="18"/>
        <v>1267500</v>
      </c>
      <c r="AO104" s="7">
        <f>SUM($AN$3:AN104)*7</f>
        <v>203037800</v>
      </c>
      <c r="AP104" s="69">
        <f t="shared" si="19"/>
        <v>651161564</v>
      </c>
      <c r="AQ104" s="160">
        <f t="shared" si="20"/>
        <v>3761800</v>
      </c>
      <c r="AR104" s="160">
        <f t="shared" si="21"/>
        <v>1880900</v>
      </c>
    </row>
    <row r="105" spans="1:44">
      <c r="A105" s="32">
        <v>103</v>
      </c>
      <c r="B105" s="81">
        <f>升级节奏!E105</f>
        <v>103000</v>
      </c>
      <c r="C105" s="7">
        <f>IF(VLOOKUP(C$2,行为概览!$D$3:$L$33,9,0)="","",VLOOKUP(C$2,行为概览!$D$3:$L$33,9,0)*IF(玩法行为规划!B105&gt;0,1,0))</f>
        <v>4</v>
      </c>
      <c r="D105" s="7">
        <f>IF(VLOOKUP(D$2,行为概览!$D$3:$L$33,9,0)="","",VLOOKUP(D$2,行为概览!$D$3:$L$33,9,0)*IF(玩法行为规划!C105&gt;0,1,0))</f>
        <v>1.65</v>
      </c>
      <c r="E105" s="7">
        <f>IF(VLOOKUP(E$2,行为概览!$D$3:$L$33,9,0)="","",VLOOKUP(E$2,行为概览!$D$3:$L$33,9,0)*IF(玩法行为规划!D105&gt;0,1,0))</f>
        <v>0.5</v>
      </c>
      <c r="F105" s="7">
        <f>IF(VLOOKUP(F$2,行为概览!$D$3:$L$33,9,0)="","",VLOOKUP(F$2,行为概览!$D$3:$L$33,9,0)*IF(玩法行为规划!E105&gt;0,1,0))</f>
        <v>1</v>
      </c>
      <c r="G105" s="7" t="str">
        <f>IF(VLOOKUP(G$2,行为概览!$D$3:$L$33,9,0)="","",VLOOKUP(G$2,行为概览!$D$3:$L$33,9,0)*IF(玩法行为规划!F105&gt;0,1,0))</f>
        <v/>
      </c>
      <c r="H105" s="7" t="str">
        <f>IF(VLOOKUP(H$2,行为概览!$D$3:$L$33,9,0)="","",VLOOKUP(H$2,行为概览!$D$3:$L$33,9,0)*IF(玩法行为规划!G105&gt;0,1,0))</f>
        <v/>
      </c>
      <c r="I105" s="7" t="str">
        <f>IF(VLOOKUP(I$2,行为概览!$D$3:$L$33,9,0)="","",VLOOKUP(I$2,行为概览!$D$3:$L$33,9,0)*IF(玩法行为规划!H105&gt;0,1,0))</f>
        <v/>
      </c>
      <c r="J105" s="7" t="str">
        <f>IF(VLOOKUP(J$2,行为概览!$D$3:$L$33,9,0)="","",VLOOKUP(J$2,行为概览!$D$3:$L$33,9,0)*IF(玩法行为规划!I105&gt;0,1,0))</f>
        <v/>
      </c>
      <c r="K105" s="7">
        <f>IF(VLOOKUP(K$2,行为概览!$D$3:$L$33,9,0)="","",VLOOKUP(K$2,行为概览!$D$3:$L$33,9,0)*IF(玩法行为规划!J105&gt;0,1,0))</f>
        <v>1</v>
      </c>
      <c r="L105" s="7">
        <f>IF(VLOOKUP(L$2,行为概览!$D$3:$L$33,9,0)="","",VLOOKUP(L$2,行为概览!$D$3:$L$33,9,0)*IF(玩法行为规划!K105&gt;0,1,0))</f>
        <v>1</v>
      </c>
      <c r="M105" s="7" t="str">
        <f>IF(VLOOKUP(M$2,行为概览!$D$3:$L$33,9,0)="","",VLOOKUP(M$2,行为概览!$D$3:$L$33,9,0)*IF(玩法行为规划!L105&gt;0,1,0))</f>
        <v/>
      </c>
      <c r="N105" s="7" t="str">
        <f>IF(VLOOKUP(N$2,行为概览!$D$3:$L$33,9,0)="","",VLOOKUP(N$2,行为概览!$D$3:$L$33,9,0)*IF(玩法行为规划!M105&gt;0,1,0))</f>
        <v/>
      </c>
      <c r="O105" s="7" t="str">
        <f>IF(VLOOKUP(O$2,行为概览!$D$3:$L$33,9,0)="","",VLOOKUP(O$2,行为概览!$D$3:$L$33,9,0)*IF(玩法行为规划!N105&gt;0,1,0))</f>
        <v/>
      </c>
      <c r="P105" s="7">
        <f>IF(VLOOKUP(P$2,行为概览!$D$3:$L$33,9,0)="","",VLOOKUP(P$2,行为概览!$D$3:$L$33,9,0)*IF(玩法行为规划!O105&gt;0,1,0))</f>
        <v>0.5</v>
      </c>
      <c r="Q105" s="7">
        <f>IF(VLOOKUP(Q$2,行为概览!$D$3:$L$33,9,0)="","",VLOOKUP(Q$2,行为概览!$D$3:$L$33,9,0)*IF(玩法行为规划!P105&gt;0,1,0))</f>
        <v>5</v>
      </c>
      <c r="R105" s="7" t="str">
        <f>IF(VLOOKUP(R$2,行为概览!$D$3:$L$33,9,0)="","",VLOOKUP(R$2,行为概览!$D$3:$L$33,9,0)*IF(玩法行为规划!Q105&gt;0,1,0))</f>
        <v/>
      </c>
      <c r="S105" s="7">
        <f>IF(VLOOKUP(S$2,行为概览!$D$3:$L$33,9,0)="","",VLOOKUP(S$2,行为概览!$D$3:$L$33,9,0)*IF(玩法行为规划!R105&gt;0,1,0))</f>
        <v>1</v>
      </c>
      <c r="T105" s="7">
        <f>IF(VLOOKUP(T$2,行为概览!$D$3:$L$33,9,0)="","",VLOOKUP(T$2,行为概览!$D$3:$L$33,9,0)*IF(玩法行为规划!S105&gt;0,1,0))</f>
        <v>0</v>
      </c>
      <c r="U105" s="7">
        <f>IF(VLOOKUP(U$2,行为概览!$D$3:$L$33,9,0)="","",VLOOKUP(U$2,行为概览!$D$3:$L$33,9,0)*IF(玩法行为规划!T105&gt;0,1,0))</f>
        <v>1</v>
      </c>
      <c r="V105" s="7">
        <f>IF(VLOOKUP(V$2,行为概览!$D$3:$L$33,9,0)="","",VLOOKUP(V$2,行为概览!$D$3:$L$33,9,0)*IF(玩法行为规划!U105&gt;0,1,0))</f>
        <v>1.5</v>
      </c>
      <c r="W105" s="7">
        <f>IF(VLOOKUP(W$2,行为概览!$D$3:$L$33,9,0)="","",VLOOKUP(W$2,行为概览!$D$3:$L$33,9,0)*IF(玩法行为规划!V105&gt;0,1,0))</f>
        <v>1</v>
      </c>
      <c r="X105" s="7">
        <f>IF(VLOOKUP(X$2,行为概览!$D$3:$L$33,9,0)="","",VLOOKUP(X$2,行为概览!$D$3:$L$33,9,0)*IF(玩法行为规划!W105&gt;0,1,0))</f>
        <v>1</v>
      </c>
      <c r="Y105" s="7">
        <f>IF(VLOOKUP(Y$2,行为概览!$D$3:$L$33,9,0)="","",VLOOKUP(Y$2,行为概览!$D$3:$L$33,9,0)*IF(玩法行为规划!X105&gt;0,1,0))</f>
        <v>1</v>
      </c>
      <c r="Z105" s="7">
        <f>IF(VLOOKUP(Z$2,行为概览!$D$3:$L$33,9,0)="","",VLOOKUP(Z$2,行为概览!$D$3:$L$33,9,0)*IF(玩法行为规划!Y105&gt;0,1,0))</f>
        <v>3</v>
      </c>
      <c r="AA105" s="7">
        <f>IF(VLOOKUP(AA$2,行为概览!$D$3:$L$33,9,0)="","",VLOOKUP(AA$2,行为概览!$D$3:$L$33,9,0)*IF(玩法行为规划!Z105&gt;0,1,0))</f>
        <v>0.5</v>
      </c>
      <c r="AB105" s="7" t="str">
        <f>IF(VLOOKUP(AB$2,行为概览!$D$3:$L$33,9,0)="","",VLOOKUP(AB$2,行为概览!$D$3:$L$33,9,0)*IF(玩法行为规划!AA105&gt;0,1,0))</f>
        <v/>
      </c>
      <c r="AC105" s="7" t="str">
        <f>IF(VLOOKUP(AC$2,行为概览!$D$3:$L$33,9,0)="","",VLOOKUP(AC$2,行为概览!$D$3:$L$33,9,0)*IF(玩法行为规划!AB105&gt;0,1,0))</f>
        <v/>
      </c>
      <c r="AD105" s="7" t="str">
        <f>IF(VLOOKUP(AD$2,行为概览!$D$3:$L$33,9,0)="","",VLOOKUP(AD$2,行为概览!$D$3:$L$33,9,0)*玩法行为规划!AC105)</f>
        <v/>
      </c>
      <c r="AE105" s="7" t="str">
        <f>IF(VLOOKUP(AE$2,行为概览!$D$3:$L$33,9,0)="","",VLOOKUP(AE$2,行为概览!$D$3:$L$33,9,0)*玩法行为规划!AD105)</f>
        <v/>
      </c>
      <c r="AF105" s="7">
        <f t="shared" si="23"/>
        <v>24.65</v>
      </c>
      <c r="AG105" s="10">
        <f t="shared" si="24"/>
        <v>2538950</v>
      </c>
      <c r="AH105" s="7">
        <f>ROUND(AG105*升级节奏!G105,0)</f>
        <v>38518622</v>
      </c>
      <c r="AI105" s="7">
        <f t="shared" si="15"/>
        <v>751900</v>
      </c>
      <c r="AJ105" s="21" t="str">
        <f t="shared" si="22"/>
        <v/>
      </c>
      <c r="AK105" s="7">
        <f t="shared" si="16"/>
        <v>1.9146676990950108E-2</v>
      </c>
      <c r="AL105" s="7">
        <f t="shared" si="17"/>
        <v>39270522</v>
      </c>
      <c r="AM105" s="7">
        <f>SUM($AL$3:AL105)</f>
        <v>899112586</v>
      </c>
      <c r="AN105" s="166">
        <f t="shared" si="18"/>
        <v>1304600</v>
      </c>
      <c r="AO105" s="7">
        <f>SUM($AN$3:AN105)*7</f>
        <v>212170000</v>
      </c>
      <c r="AP105" s="69">
        <f t="shared" si="19"/>
        <v>681133886</v>
      </c>
      <c r="AQ105" s="160">
        <f t="shared" si="20"/>
        <v>3872500</v>
      </c>
      <c r="AR105" s="160">
        <f t="shared" si="21"/>
        <v>1936200</v>
      </c>
    </row>
    <row r="106" spans="1:44">
      <c r="A106" s="32">
        <v>104</v>
      </c>
      <c r="B106" s="81">
        <f>升级节奏!E106</f>
        <v>104000</v>
      </c>
      <c r="C106" s="7">
        <f>IF(VLOOKUP(C$2,行为概览!$D$3:$L$33,9,0)="","",VLOOKUP(C$2,行为概览!$D$3:$L$33,9,0)*IF(玩法行为规划!B106&gt;0,1,0))</f>
        <v>4</v>
      </c>
      <c r="D106" s="7">
        <f>IF(VLOOKUP(D$2,行为概览!$D$3:$L$33,9,0)="","",VLOOKUP(D$2,行为概览!$D$3:$L$33,9,0)*IF(玩法行为规划!C106&gt;0,1,0))</f>
        <v>1.65</v>
      </c>
      <c r="E106" s="7">
        <f>IF(VLOOKUP(E$2,行为概览!$D$3:$L$33,9,0)="","",VLOOKUP(E$2,行为概览!$D$3:$L$33,9,0)*IF(玩法行为规划!D106&gt;0,1,0))</f>
        <v>0.5</v>
      </c>
      <c r="F106" s="7">
        <f>IF(VLOOKUP(F$2,行为概览!$D$3:$L$33,9,0)="","",VLOOKUP(F$2,行为概览!$D$3:$L$33,9,0)*IF(玩法行为规划!E106&gt;0,1,0))</f>
        <v>1</v>
      </c>
      <c r="G106" s="7" t="str">
        <f>IF(VLOOKUP(G$2,行为概览!$D$3:$L$33,9,0)="","",VLOOKUP(G$2,行为概览!$D$3:$L$33,9,0)*IF(玩法行为规划!F106&gt;0,1,0))</f>
        <v/>
      </c>
      <c r="H106" s="7" t="str">
        <f>IF(VLOOKUP(H$2,行为概览!$D$3:$L$33,9,0)="","",VLOOKUP(H$2,行为概览!$D$3:$L$33,9,0)*IF(玩法行为规划!G106&gt;0,1,0))</f>
        <v/>
      </c>
      <c r="I106" s="7" t="str">
        <f>IF(VLOOKUP(I$2,行为概览!$D$3:$L$33,9,0)="","",VLOOKUP(I$2,行为概览!$D$3:$L$33,9,0)*IF(玩法行为规划!H106&gt;0,1,0))</f>
        <v/>
      </c>
      <c r="J106" s="7" t="str">
        <f>IF(VLOOKUP(J$2,行为概览!$D$3:$L$33,9,0)="","",VLOOKUP(J$2,行为概览!$D$3:$L$33,9,0)*IF(玩法行为规划!I106&gt;0,1,0))</f>
        <v/>
      </c>
      <c r="K106" s="7">
        <f>IF(VLOOKUP(K$2,行为概览!$D$3:$L$33,9,0)="","",VLOOKUP(K$2,行为概览!$D$3:$L$33,9,0)*IF(玩法行为规划!J106&gt;0,1,0))</f>
        <v>1</v>
      </c>
      <c r="L106" s="7">
        <f>IF(VLOOKUP(L$2,行为概览!$D$3:$L$33,9,0)="","",VLOOKUP(L$2,行为概览!$D$3:$L$33,9,0)*IF(玩法行为规划!K106&gt;0,1,0))</f>
        <v>1</v>
      </c>
      <c r="M106" s="7" t="str">
        <f>IF(VLOOKUP(M$2,行为概览!$D$3:$L$33,9,0)="","",VLOOKUP(M$2,行为概览!$D$3:$L$33,9,0)*IF(玩法行为规划!L106&gt;0,1,0))</f>
        <v/>
      </c>
      <c r="N106" s="7" t="str">
        <f>IF(VLOOKUP(N$2,行为概览!$D$3:$L$33,9,0)="","",VLOOKUP(N$2,行为概览!$D$3:$L$33,9,0)*IF(玩法行为规划!M106&gt;0,1,0))</f>
        <v/>
      </c>
      <c r="O106" s="7" t="str">
        <f>IF(VLOOKUP(O$2,行为概览!$D$3:$L$33,9,0)="","",VLOOKUP(O$2,行为概览!$D$3:$L$33,9,0)*IF(玩法行为规划!N106&gt;0,1,0))</f>
        <v/>
      </c>
      <c r="P106" s="7">
        <f>IF(VLOOKUP(P$2,行为概览!$D$3:$L$33,9,0)="","",VLOOKUP(P$2,行为概览!$D$3:$L$33,9,0)*IF(玩法行为规划!O106&gt;0,1,0))</f>
        <v>0.5</v>
      </c>
      <c r="Q106" s="7">
        <f>IF(VLOOKUP(Q$2,行为概览!$D$3:$L$33,9,0)="","",VLOOKUP(Q$2,行为概览!$D$3:$L$33,9,0)*IF(玩法行为规划!P106&gt;0,1,0))</f>
        <v>5</v>
      </c>
      <c r="R106" s="7" t="str">
        <f>IF(VLOOKUP(R$2,行为概览!$D$3:$L$33,9,0)="","",VLOOKUP(R$2,行为概览!$D$3:$L$33,9,0)*IF(玩法行为规划!Q106&gt;0,1,0))</f>
        <v/>
      </c>
      <c r="S106" s="7">
        <f>IF(VLOOKUP(S$2,行为概览!$D$3:$L$33,9,0)="","",VLOOKUP(S$2,行为概览!$D$3:$L$33,9,0)*IF(玩法行为规划!R106&gt;0,1,0))</f>
        <v>1</v>
      </c>
      <c r="T106" s="7">
        <f>IF(VLOOKUP(T$2,行为概览!$D$3:$L$33,9,0)="","",VLOOKUP(T$2,行为概览!$D$3:$L$33,9,0)*IF(玩法行为规划!S106&gt;0,1,0))</f>
        <v>0</v>
      </c>
      <c r="U106" s="7">
        <f>IF(VLOOKUP(U$2,行为概览!$D$3:$L$33,9,0)="","",VLOOKUP(U$2,行为概览!$D$3:$L$33,9,0)*IF(玩法行为规划!T106&gt;0,1,0))</f>
        <v>1</v>
      </c>
      <c r="V106" s="7">
        <f>IF(VLOOKUP(V$2,行为概览!$D$3:$L$33,9,0)="","",VLOOKUP(V$2,行为概览!$D$3:$L$33,9,0)*IF(玩法行为规划!U106&gt;0,1,0))</f>
        <v>1.5</v>
      </c>
      <c r="W106" s="7">
        <f>IF(VLOOKUP(W$2,行为概览!$D$3:$L$33,9,0)="","",VLOOKUP(W$2,行为概览!$D$3:$L$33,9,0)*IF(玩法行为规划!V106&gt;0,1,0))</f>
        <v>1</v>
      </c>
      <c r="X106" s="7">
        <f>IF(VLOOKUP(X$2,行为概览!$D$3:$L$33,9,0)="","",VLOOKUP(X$2,行为概览!$D$3:$L$33,9,0)*IF(玩法行为规划!W106&gt;0,1,0))</f>
        <v>1</v>
      </c>
      <c r="Y106" s="7">
        <f>IF(VLOOKUP(Y$2,行为概览!$D$3:$L$33,9,0)="","",VLOOKUP(Y$2,行为概览!$D$3:$L$33,9,0)*IF(玩法行为规划!X106&gt;0,1,0))</f>
        <v>1</v>
      </c>
      <c r="Z106" s="7">
        <f>IF(VLOOKUP(Z$2,行为概览!$D$3:$L$33,9,0)="","",VLOOKUP(Z$2,行为概览!$D$3:$L$33,9,0)*IF(玩法行为规划!Y106&gt;0,1,0))</f>
        <v>3</v>
      </c>
      <c r="AA106" s="7">
        <f>IF(VLOOKUP(AA$2,行为概览!$D$3:$L$33,9,0)="","",VLOOKUP(AA$2,行为概览!$D$3:$L$33,9,0)*IF(玩法行为规划!Z106&gt;0,1,0))</f>
        <v>0.5</v>
      </c>
      <c r="AB106" s="7" t="str">
        <f>IF(VLOOKUP(AB$2,行为概览!$D$3:$L$33,9,0)="","",VLOOKUP(AB$2,行为概览!$D$3:$L$33,9,0)*IF(玩法行为规划!AA106&gt;0,1,0))</f>
        <v/>
      </c>
      <c r="AC106" s="7" t="str">
        <f>IF(VLOOKUP(AC$2,行为概览!$D$3:$L$33,9,0)="","",VLOOKUP(AC$2,行为概览!$D$3:$L$33,9,0)*IF(玩法行为规划!AB106&gt;0,1,0))</f>
        <v/>
      </c>
      <c r="AD106" s="7" t="str">
        <f>IF(VLOOKUP(AD$2,行为概览!$D$3:$L$33,9,0)="","",VLOOKUP(AD$2,行为概览!$D$3:$L$33,9,0)*玩法行为规划!AC106)</f>
        <v/>
      </c>
      <c r="AE106" s="7" t="str">
        <f>IF(VLOOKUP(AE$2,行为概览!$D$3:$L$33,9,0)="","",VLOOKUP(AE$2,行为概览!$D$3:$L$33,9,0)*玩法行为规划!AD106)</f>
        <v/>
      </c>
      <c r="AF106" s="7">
        <f t="shared" si="23"/>
        <v>24.65</v>
      </c>
      <c r="AG106" s="10">
        <f t="shared" si="24"/>
        <v>2563600</v>
      </c>
      <c r="AH106" s="7">
        <f>ROUND(AG106*升级节奏!G106,0)</f>
        <v>39644365</v>
      </c>
      <c r="AI106" s="7">
        <f t="shared" si="15"/>
        <v>769600</v>
      </c>
      <c r="AJ106" s="21" t="str">
        <f t="shared" si="22"/>
        <v/>
      </c>
      <c r="AK106" s="7">
        <f t="shared" si="16"/>
        <v>1.9042922415556107E-2</v>
      </c>
      <c r="AL106" s="7">
        <f t="shared" si="17"/>
        <v>40413965</v>
      </c>
      <c r="AM106" s="7">
        <f>SUM($AL$3:AL106)</f>
        <v>939526551</v>
      </c>
      <c r="AN106" s="166">
        <f t="shared" si="18"/>
        <v>1342300</v>
      </c>
      <c r="AO106" s="7">
        <f>SUM($AN$3:AN106)*7</f>
        <v>221566100</v>
      </c>
      <c r="AP106" s="69">
        <f t="shared" si="19"/>
        <v>711982651</v>
      </c>
      <c r="AQ106" s="160">
        <f t="shared" si="20"/>
        <v>3985200</v>
      </c>
      <c r="AR106" s="160">
        <f t="shared" si="21"/>
        <v>1992600</v>
      </c>
    </row>
    <row r="107" spans="1:44">
      <c r="A107" s="32">
        <v>105</v>
      </c>
      <c r="B107" s="81">
        <f>升级节奏!E107</f>
        <v>105000</v>
      </c>
      <c r="C107" s="7">
        <f>IF(VLOOKUP(C$2,行为概览!$D$3:$L$33,9,0)="","",VLOOKUP(C$2,行为概览!$D$3:$L$33,9,0)*IF(玩法行为规划!B107&gt;0,1,0))</f>
        <v>4</v>
      </c>
      <c r="D107" s="7">
        <f>IF(VLOOKUP(D$2,行为概览!$D$3:$L$33,9,0)="","",VLOOKUP(D$2,行为概览!$D$3:$L$33,9,0)*IF(玩法行为规划!C107&gt;0,1,0))</f>
        <v>1.65</v>
      </c>
      <c r="E107" s="7">
        <f>IF(VLOOKUP(E$2,行为概览!$D$3:$L$33,9,0)="","",VLOOKUP(E$2,行为概览!$D$3:$L$33,9,0)*IF(玩法行为规划!D107&gt;0,1,0))</f>
        <v>0.5</v>
      </c>
      <c r="F107" s="7">
        <f>IF(VLOOKUP(F$2,行为概览!$D$3:$L$33,9,0)="","",VLOOKUP(F$2,行为概览!$D$3:$L$33,9,0)*IF(玩法行为规划!E107&gt;0,1,0))</f>
        <v>1</v>
      </c>
      <c r="G107" s="7" t="str">
        <f>IF(VLOOKUP(G$2,行为概览!$D$3:$L$33,9,0)="","",VLOOKUP(G$2,行为概览!$D$3:$L$33,9,0)*IF(玩法行为规划!F107&gt;0,1,0))</f>
        <v/>
      </c>
      <c r="H107" s="7" t="str">
        <f>IF(VLOOKUP(H$2,行为概览!$D$3:$L$33,9,0)="","",VLOOKUP(H$2,行为概览!$D$3:$L$33,9,0)*IF(玩法行为规划!G107&gt;0,1,0))</f>
        <v/>
      </c>
      <c r="I107" s="7" t="str">
        <f>IF(VLOOKUP(I$2,行为概览!$D$3:$L$33,9,0)="","",VLOOKUP(I$2,行为概览!$D$3:$L$33,9,0)*IF(玩法行为规划!H107&gt;0,1,0))</f>
        <v/>
      </c>
      <c r="J107" s="7" t="str">
        <f>IF(VLOOKUP(J$2,行为概览!$D$3:$L$33,9,0)="","",VLOOKUP(J$2,行为概览!$D$3:$L$33,9,0)*IF(玩法行为规划!I107&gt;0,1,0))</f>
        <v/>
      </c>
      <c r="K107" s="7">
        <f>IF(VLOOKUP(K$2,行为概览!$D$3:$L$33,9,0)="","",VLOOKUP(K$2,行为概览!$D$3:$L$33,9,0)*IF(玩法行为规划!J107&gt;0,1,0))</f>
        <v>1</v>
      </c>
      <c r="L107" s="7">
        <f>IF(VLOOKUP(L$2,行为概览!$D$3:$L$33,9,0)="","",VLOOKUP(L$2,行为概览!$D$3:$L$33,9,0)*IF(玩法行为规划!K107&gt;0,1,0))</f>
        <v>1</v>
      </c>
      <c r="M107" s="7" t="str">
        <f>IF(VLOOKUP(M$2,行为概览!$D$3:$L$33,9,0)="","",VLOOKUP(M$2,行为概览!$D$3:$L$33,9,0)*IF(玩法行为规划!L107&gt;0,1,0))</f>
        <v/>
      </c>
      <c r="N107" s="7" t="str">
        <f>IF(VLOOKUP(N$2,行为概览!$D$3:$L$33,9,0)="","",VLOOKUP(N$2,行为概览!$D$3:$L$33,9,0)*IF(玩法行为规划!M107&gt;0,1,0))</f>
        <v/>
      </c>
      <c r="O107" s="7" t="str">
        <f>IF(VLOOKUP(O$2,行为概览!$D$3:$L$33,9,0)="","",VLOOKUP(O$2,行为概览!$D$3:$L$33,9,0)*IF(玩法行为规划!N107&gt;0,1,0))</f>
        <v/>
      </c>
      <c r="P107" s="7">
        <f>IF(VLOOKUP(P$2,行为概览!$D$3:$L$33,9,0)="","",VLOOKUP(P$2,行为概览!$D$3:$L$33,9,0)*IF(玩法行为规划!O107&gt;0,1,0))</f>
        <v>0.5</v>
      </c>
      <c r="Q107" s="7">
        <f>IF(VLOOKUP(Q$2,行为概览!$D$3:$L$33,9,0)="","",VLOOKUP(Q$2,行为概览!$D$3:$L$33,9,0)*IF(玩法行为规划!P107&gt;0,1,0))</f>
        <v>5</v>
      </c>
      <c r="R107" s="7" t="str">
        <f>IF(VLOOKUP(R$2,行为概览!$D$3:$L$33,9,0)="","",VLOOKUP(R$2,行为概览!$D$3:$L$33,9,0)*IF(玩法行为规划!Q107&gt;0,1,0))</f>
        <v/>
      </c>
      <c r="S107" s="7">
        <f>IF(VLOOKUP(S$2,行为概览!$D$3:$L$33,9,0)="","",VLOOKUP(S$2,行为概览!$D$3:$L$33,9,0)*IF(玩法行为规划!R107&gt;0,1,0))</f>
        <v>1</v>
      </c>
      <c r="T107" s="7">
        <f>IF(VLOOKUP(T$2,行为概览!$D$3:$L$33,9,0)="","",VLOOKUP(T$2,行为概览!$D$3:$L$33,9,0)*IF(玩法行为规划!S107&gt;0,1,0))</f>
        <v>0</v>
      </c>
      <c r="U107" s="7">
        <f>IF(VLOOKUP(U$2,行为概览!$D$3:$L$33,9,0)="","",VLOOKUP(U$2,行为概览!$D$3:$L$33,9,0)*IF(玩法行为规划!T107&gt;0,1,0))</f>
        <v>1</v>
      </c>
      <c r="V107" s="7">
        <f>IF(VLOOKUP(V$2,行为概览!$D$3:$L$33,9,0)="","",VLOOKUP(V$2,行为概览!$D$3:$L$33,9,0)*IF(玩法行为规划!U107&gt;0,1,0))</f>
        <v>1.5</v>
      </c>
      <c r="W107" s="7">
        <f>IF(VLOOKUP(W$2,行为概览!$D$3:$L$33,9,0)="","",VLOOKUP(W$2,行为概览!$D$3:$L$33,9,0)*IF(玩法行为规划!V107&gt;0,1,0))</f>
        <v>1</v>
      </c>
      <c r="X107" s="7">
        <f>IF(VLOOKUP(X$2,行为概览!$D$3:$L$33,9,0)="","",VLOOKUP(X$2,行为概览!$D$3:$L$33,9,0)*IF(玩法行为规划!W107&gt;0,1,0))</f>
        <v>1</v>
      </c>
      <c r="Y107" s="7">
        <f>IF(VLOOKUP(Y$2,行为概览!$D$3:$L$33,9,0)="","",VLOOKUP(Y$2,行为概览!$D$3:$L$33,9,0)*IF(玩法行为规划!X107&gt;0,1,0))</f>
        <v>1</v>
      </c>
      <c r="Z107" s="7">
        <f>IF(VLOOKUP(Z$2,行为概览!$D$3:$L$33,9,0)="","",VLOOKUP(Z$2,行为概览!$D$3:$L$33,9,0)*IF(玩法行为规划!Y107&gt;0,1,0))</f>
        <v>3</v>
      </c>
      <c r="AA107" s="7">
        <f>IF(VLOOKUP(AA$2,行为概览!$D$3:$L$33,9,0)="","",VLOOKUP(AA$2,行为概览!$D$3:$L$33,9,0)*IF(玩法行为规划!Z107&gt;0,1,0))</f>
        <v>0.5</v>
      </c>
      <c r="AB107" s="7" t="str">
        <f>IF(VLOOKUP(AB$2,行为概览!$D$3:$L$33,9,0)="","",VLOOKUP(AB$2,行为概览!$D$3:$L$33,9,0)*IF(玩法行为规划!AA107&gt;0,1,0))</f>
        <v/>
      </c>
      <c r="AC107" s="7" t="str">
        <f>IF(VLOOKUP(AC$2,行为概览!$D$3:$L$33,9,0)="","",VLOOKUP(AC$2,行为概览!$D$3:$L$33,9,0)*IF(玩法行为规划!AB107&gt;0,1,0))</f>
        <v/>
      </c>
      <c r="AD107" s="7" t="str">
        <f>IF(VLOOKUP(AD$2,行为概览!$D$3:$L$33,9,0)="","",VLOOKUP(AD$2,行为概览!$D$3:$L$33,9,0)*玩法行为规划!AC107)</f>
        <v/>
      </c>
      <c r="AE107" s="7" t="str">
        <f>IF(VLOOKUP(AE$2,行为概览!$D$3:$L$33,9,0)="","",VLOOKUP(AE$2,行为概览!$D$3:$L$33,9,0)*玩法行为规划!AD107)</f>
        <v/>
      </c>
      <c r="AF107" s="7">
        <f t="shared" si="23"/>
        <v>24.65</v>
      </c>
      <c r="AG107" s="10">
        <f t="shared" si="24"/>
        <v>2588250</v>
      </c>
      <c r="AH107" s="7">
        <f>ROUND(AG107*升级节奏!G107,0)</f>
        <v>40791898</v>
      </c>
      <c r="AI107" s="7">
        <f t="shared" si="15"/>
        <v>787500</v>
      </c>
      <c r="AJ107" s="21" t="str">
        <f t="shared" si="22"/>
        <v/>
      </c>
      <c r="AK107" s="7">
        <f t="shared" si="16"/>
        <v>1.8939668150077592E-2</v>
      </c>
      <c r="AL107" s="7">
        <f t="shared" si="17"/>
        <v>41579398</v>
      </c>
      <c r="AM107" s="7">
        <f>SUM($AL$3:AL107)</f>
        <v>981105949</v>
      </c>
      <c r="AN107" s="166">
        <f t="shared" si="18"/>
        <v>1380700</v>
      </c>
      <c r="AO107" s="7">
        <f>SUM($AN$3:AN107)*7</f>
        <v>231231000</v>
      </c>
      <c r="AP107" s="69">
        <f t="shared" si="19"/>
        <v>743724649</v>
      </c>
      <c r="AQ107" s="160">
        <f t="shared" si="20"/>
        <v>4100200</v>
      </c>
      <c r="AR107" s="160">
        <f t="shared" si="21"/>
        <v>2050100</v>
      </c>
    </row>
    <row r="108" spans="1:44">
      <c r="A108" s="32">
        <v>106</v>
      </c>
      <c r="B108" s="81">
        <f>升级节奏!E108</f>
        <v>106000</v>
      </c>
      <c r="C108" s="7">
        <f>IF(VLOOKUP(C$2,行为概览!$D$3:$L$33,9,0)="","",VLOOKUP(C$2,行为概览!$D$3:$L$33,9,0)*IF(玩法行为规划!B108&gt;0,1,0))</f>
        <v>4</v>
      </c>
      <c r="D108" s="7">
        <f>IF(VLOOKUP(D$2,行为概览!$D$3:$L$33,9,0)="","",VLOOKUP(D$2,行为概览!$D$3:$L$33,9,0)*IF(玩法行为规划!C108&gt;0,1,0))</f>
        <v>1.65</v>
      </c>
      <c r="E108" s="7">
        <f>IF(VLOOKUP(E$2,行为概览!$D$3:$L$33,9,0)="","",VLOOKUP(E$2,行为概览!$D$3:$L$33,9,0)*IF(玩法行为规划!D108&gt;0,1,0))</f>
        <v>0.5</v>
      </c>
      <c r="F108" s="7">
        <f>IF(VLOOKUP(F$2,行为概览!$D$3:$L$33,9,0)="","",VLOOKUP(F$2,行为概览!$D$3:$L$33,9,0)*IF(玩法行为规划!E108&gt;0,1,0))</f>
        <v>1</v>
      </c>
      <c r="G108" s="7" t="str">
        <f>IF(VLOOKUP(G$2,行为概览!$D$3:$L$33,9,0)="","",VLOOKUP(G$2,行为概览!$D$3:$L$33,9,0)*IF(玩法行为规划!F108&gt;0,1,0))</f>
        <v/>
      </c>
      <c r="H108" s="7" t="str">
        <f>IF(VLOOKUP(H$2,行为概览!$D$3:$L$33,9,0)="","",VLOOKUP(H$2,行为概览!$D$3:$L$33,9,0)*IF(玩法行为规划!G108&gt;0,1,0))</f>
        <v/>
      </c>
      <c r="I108" s="7" t="str">
        <f>IF(VLOOKUP(I$2,行为概览!$D$3:$L$33,9,0)="","",VLOOKUP(I$2,行为概览!$D$3:$L$33,9,0)*IF(玩法行为规划!H108&gt;0,1,0))</f>
        <v/>
      </c>
      <c r="J108" s="7" t="str">
        <f>IF(VLOOKUP(J$2,行为概览!$D$3:$L$33,9,0)="","",VLOOKUP(J$2,行为概览!$D$3:$L$33,9,0)*IF(玩法行为规划!I108&gt;0,1,0))</f>
        <v/>
      </c>
      <c r="K108" s="7">
        <f>IF(VLOOKUP(K$2,行为概览!$D$3:$L$33,9,0)="","",VLOOKUP(K$2,行为概览!$D$3:$L$33,9,0)*IF(玩法行为规划!J108&gt;0,1,0))</f>
        <v>1</v>
      </c>
      <c r="L108" s="7">
        <f>IF(VLOOKUP(L$2,行为概览!$D$3:$L$33,9,0)="","",VLOOKUP(L$2,行为概览!$D$3:$L$33,9,0)*IF(玩法行为规划!K108&gt;0,1,0))</f>
        <v>1</v>
      </c>
      <c r="M108" s="7" t="str">
        <f>IF(VLOOKUP(M$2,行为概览!$D$3:$L$33,9,0)="","",VLOOKUP(M$2,行为概览!$D$3:$L$33,9,0)*IF(玩法行为规划!L108&gt;0,1,0))</f>
        <v/>
      </c>
      <c r="N108" s="7" t="str">
        <f>IF(VLOOKUP(N$2,行为概览!$D$3:$L$33,9,0)="","",VLOOKUP(N$2,行为概览!$D$3:$L$33,9,0)*IF(玩法行为规划!M108&gt;0,1,0))</f>
        <v/>
      </c>
      <c r="O108" s="7" t="str">
        <f>IF(VLOOKUP(O$2,行为概览!$D$3:$L$33,9,0)="","",VLOOKUP(O$2,行为概览!$D$3:$L$33,9,0)*IF(玩法行为规划!N108&gt;0,1,0))</f>
        <v/>
      </c>
      <c r="P108" s="7">
        <f>IF(VLOOKUP(P$2,行为概览!$D$3:$L$33,9,0)="","",VLOOKUP(P$2,行为概览!$D$3:$L$33,9,0)*IF(玩法行为规划!O108&gt;0,1,0))</f>
        <v>0.5</v>
      </c>
      <c r="Q108" s="7">
        <f>IF(VLOOKUP(Q$2,行为概览!$D$3:$L$33,9,0)="","",VLOOKUP(Q$2,行为概览!$D$3:$L$33,9,0)*IF(玩法行为规划!P108&gt;0,1,0))</f>
        <v>5</v>
      </c>
      <c r="R108" s="7" t="str">
        <f>IF(VLOOKUP(R$2,行为概览!$D$3:$L$33,9,0)="","",VLOOKUP(R$2,行为概览!$D$3:$L$33,9,0)*IF(玩法行为规划!Q108&gt;0,1,0))</f>
        <v/>
      </c>
      <c r="S108" s="7">
        <f>IF(VLOOKUP(S$2,行为概览!$D$3:$L$33,9,0)="","",VLOOKUP(S$2,行为概览!$D$3:$L$33,9,0)*IF(玩法行为规划!R108&gt;0,1,0))</f>
        <v>1</v>
      </c>
      <c r="T108" s="7">
        <f>IF(VLOOKUP(T$2,行为概览!$D$3:$L$33,9,0)="","",VLOOKUP(T$2,行为概览!$D$3:$L$33,9,0)*IF(玩法行为规划!S108&gt;0,1,0))</f>
        <v>0</v>
      </c>
      <c r="U108" s="7">
        <f>IF(VLOOKUP(U$2,行为概览!$D$3:$L$33,9,0)="","",VLOOKUP(U$2,行为概览!$D$3:$L$33,9,0)*IF(玩法行为规划!T108&gt;0,1,0))</f>
        <v>1</v>
      </c>
      <c r="V108" s="7">
        <f>IF(VLOOKUP(V$2,行为概览!$D$3:$L$33,9,0)="","",VLOOKUP(V$2,行为概览!$D$3:$L$33,9,0)*IF(玩法行为规划!U108&gt;0,1,0))</f>
        <v>1.5</v>
      </c>
      <c r="W108" s="7">
        <f>IF(VLOOKUP(W$2,行为概览!$D$3:$L$33,9,0)="","",VLOOKUP(W$2,行为概览!$D$3:$L$33,9,0)*IF(玩法行为规划!V108&gt;0,1,0))</f>
        <v>1</v>
      </c>
      <c r="X108" s="7">
        <f>IF(VLOOKUP(X$2,行为概览!$D$3:$L$33,9,0)="","",VLOOKUP(X$2,行为概览!$D$3:$L$33,9,0)*IF(玩法行为规划!W108&gt;0,1,0))</f>
        <v>1</v>
      </c>
      <c r="Y108" s="7">
        <f>IF(VLOOKUP(Y$2,行为概览!$D$3:$L$33,9,0)="","",VLOOKUP(Y$2,行为概览!$D$3:$L$33,9,0)*IF(玩法行为规划!X108&gt;0,1,0))</f>
        <v>1</v>
      </c>
      <c r="Z108" s="7">
        <f>IF(VLOOKUP(Z$2,行为概览!$D$3:$L$33,9,0)="","",VLOOKUP(Z$2,行为概览!$D$3:$L$33,9,0)*IF(玩法行为规划!Y108&gt;0,1,0))</f>
        <v>3</v>
      </c>
      <c r="AA108" s="7">
        <f>IF(VLOOKUP(AA$2,行为概览!$D$3:$L$33,9,0)="","",VLOOKUP(AA$2,行为概览!$D$3:$L$33,9,0)*IF(玩法行为规划!Z108&gt;0,1,0))</f>
        <v>0.5</v>
      </c>
      <c r="AB108" s="7" t="str">
        <f>IF(VLOOKUP(AB$2,行为概览!$D$3:$L$33,9,0)="","",VLOOKUP(AB$2,行为概览!$D$3:$L$33,9,0)*IF(玩法行为规划!AA108&gt;0,1,0))</f>
        <v/>
      </c>
      <c r="AC108" s="7" t="str">
        <f>IF(VLOOKUP(AC$2,行为概览!$D$3:$L$33,9,0)="","",VLOOKUP(AC$2,行为概览!$D$3:$L$33,9,0)*IF(玩法行为规划!AB108&gt;0,1,0))</f>
        <v/>
      </c>
      <c r="AD108" s="7" t="str">
        <f>IF(VLOOKUP(AD$2,行为概览!$D$3:$L$33,9,0)="","",VLOOKUP(AD$2,行为概览!$D$3:$L$33,9,0)*玩法行为规划!AC108)</f>
        <v/>
      </c>
      <c r="AE108" s="7" t="str">
        <f>IF(VLOOKUP(AE$2,行为概览!$D$3:$L$33,9,0)="","",VLOOKUP(AE$2,行为概览!$D$3:$L$33,9,0)*玩法行为规划!AD108)</f>
        <v/>
      </c>
      <c r="AF108" s="7">
        <f t="shared" si="23"/>
        <v>24.65</v>
      </c>
      <c r="AG108" s="10">
        <f t="shared" si="24"/>
        <v>2612900</v>
      </c>
      <c r="AH108" s="7">
        <f>ROUND(AG108*升级节奏!G108,0)</f>
        <v>41961432</v>
      </c>
      <c r="AI108" s="7">
        <f t="shared" si="15"/>
        <v>805600</v>
      </c>
      <c r="AJ108" s="21" t="str">
        <f t="shared" ref="AJ108:AJ139" si="25">IF(--RIGHT(A108,1)=0,SUM(AI108:AI117),"")</f>
        <v/>
      </c>
      <c r="AK108" s="7">
        <f t="shared" si="16"/>
        <v>1.8836939631443211E-2</v>
      </c>
      <c r="AL108" s="7">
        <f t="shared" si="17"/>
        <v>42767032</v>
      </c>
      <c r="AM108" s="7">
        <f>SUM($AL$3:AL108)</f>
        <v>1023872981</v>
      </c>
      <c r="AN108" s="166">
        <f t="shared" si="18"/>
        <v>1419900</v>
      </c>
      <c r="AO108" s="7">
        <f>SUM($AN$3:AN108)*7</f>
        <v>241170300</v>
      </c>
      <c r="AP108" s="69">
        <f t="shared" si="19"/>
        <v>776376681</v>
      </c>
      <c r="AQ108" s="160">
        <f t="shared" si="20"/>
        <v>4217300</v>
      </c>
      <c r="AR108" s="160">
        <f t="shared" si="21"/>
        <v>2108700</v>
      </c>
    </row>
    <row r="109" spans="1:44">
      <c r="A109" s="32">
        <v>107</v>
      </c>
      <c r="B109" s="81">
        <f>升级节奏!E109</f>
        <v>107000</v>
      </c>
      <c r="C109" s="7">
        <f>IF(VLOOKUP(C$2,行为概览!$D$3:$L$33,9,0)="","",VLOOKUP(C$2,行为概览!$D$3:$L$33,9,0)*IF(玩法行为规划!B109&gt;0,1,0))</f>
        <v>4</v>
      </c>
      <c r="D109" s="7">
        <f>IF(VLOOKUP(D$2,行为概览!$D$3:$L$33,9,0)="","",VLOOKUP(D$2,行为概览!$D$3:$L$33,9,0)*IF(玩法行为规划!C109&gt;0,1,0))</f>
        <v>1.65</v>
      </c>
      <c r="E109" s="7">
        <f>IF(VLOOKUP(E$2,行为概览!$D$3:$L$33,9,0)="","",VLOOKUP(E$2,行为概览!$D$3:$L$33,9,0)*IF(玩法行为规划!D109&gt;0,1,0))</f>
        <v>0.5</v>
      </c>
      <c r="F109" s="7">
        <f>IF(VLOOKUP(F$2,行为概览!$D$3:$L$33,9,0)="","",VLOOKUP(F$2,行为概览!$D$3:$L$33,9,0)*IF(玩法行为规划!E109&gt;0,1,0))</f>
        <v>1</v>
      </c>
      <c r="G109" s="7" t="str">
        <f>IF(VLOOKUP(G$2,行为概览!$D$3:$L$33,9,0)="","",VLOOKUP(G$2,行为概览!$D$3:$L$33,9,0)*IF(玩法行为规划!F109&gt;0,1,0))</f>
        <v/>
      </c>
      <c r="H109" s="7" t="str">
        <f>IF(VLOOKUP(H$2,行为概览!$D$3:$L$33,9,0)="","",VLOOKUP(H$2,行为概览!$D$3:$L$33,9,0)*IF(玩法行为规划!G109&gt;0,1,0))</f>
        <v/>
      </c>
      <c r="I109" s="7" t="str">
        <f>IF(VLOOKUP(I$2,行为概览!$D$3:$L$33,9,0)="","",VLOOKUP(I$2,行为概览!$D$3:$L$33,9,0)*IF(玩法行为规划!H109&gt;0,1,0))</f>
        <v/>
      </c>
      <c r="J109" s="7" t="str">
        <f>IF(VLOOKUP(J$2,行为概览!$D$3:$L$33,9,0)="","",VLOOKUP(J$2,行为概览!$D$3:$L$33,9,0)*IF(玩法行为规划!I109&gt;0,1,0))</f>
        <v/>
      </c>
      <c r="K109" s="7">
        <f>IF(VLOOKUP(K$2,行为概览!$D$3:$L$33,9,0)="","",VLOOKUP(K$2,行为概览!$D$3:$L$33,9,0)*IF(玩法行为规划!J109&gt;0,1,0))</f>
        <v>1</v>
      </c>
      <c r="L109" s="7">
        <f>IF(VLOOKUP(L$2,行为概览!$D$3:$L$33,9,0)="","",VLOOKUP(L$2,行为概览!$D$3:$L$33,9,0)*IF(玩法行为规划!K109&gt;0,1,0))</f>
        <v>1</v>
      </c>
      <c r="M109" s="7" t="str">
        <f>IF(VLOOKUP(M$2,行为概览!$D$3:$L$33,9,0)="","",VLOOKUP(M$2,行为概览!$D$3:$L$33,9,0)*IF(玩法行为规划!L109&gt;0,1,0))</f>
        <v/>
      </c>
      <c r="N109" s="7" t="str">
        <f>IF(VLOOKUP(N$2,行为概览!$D$3:$L$33,9,0)="","",VLOOKUP(N$2,行为概览!$D$3:$L$33,9,0)*IF(玩法行为规划!M109&gt;0,1,0))</f>
        <v/>
      </c>
      <c r="O109" s="7" t="str">
        <f>IF(VLOOKUP(O$2,行为概览!$D$3:$L$33,9,0)="","",VLOOKUP(O$2,行为概览!$D$3:$L$33,9,0)*IF(玩法行为规划!N109&gt;0,1,0))</f>
        <v/>
      </c>
      <c r="P109" s="7">
        <f>IF(VLOOKUP(P$2,行为概览!$D$3:$L$33,9,0)="","",VLOOKUP(P$2,行为概览!$D$3:$L$33,9,0)*IF(玩法行为规划!O109&gt;0,1,0))</f>
        <v>0.5</v>
      </c>
      <c r="Q109" s="7">
        <f>IF(VLOOKUP(Q$2,行为概览!$D$3:$L$33,9,0)="","",VLOOKUP(Q$2,行为概览!$D$3:$L$33,9,0)*IF(玩法行为规划!P109&gt;0,1,0))</f>
        <v>5</v>
      </c>
      <c r="R109" s="7" t="str">
        <f>IF(VLOOKUP(R$2,行为概览!$D$3:$L$33,9,0)="","",VLOOKUP(R$2,行为概览!$D$3:$L$33,9,0)*IF(玩法行为规划!Q109&gt;0,1,0))</f>
        <v/>
      </c>
      <c r="S109" s="7">
        <f>IF(VLOOKUP(S$2,行为概览!$D$3:$L$33,9,0)="","",VLOOKUP(S$2,行为概览!$D$3:$L$33,9,0)*IF(玩法行为规划!R109&gt;0,1,0))</f>
        <v>1</v>
      </c>
      <c r="T109" s="7">
        <f>IF(VLOOKUP(T$2,行为概览!$D$3:$L$33,9,0)="","",VLOOKUP(T$2,行为概览!$D$3:$L$33,9,0)*IF(玩法行为规划!S109&gt;0,1,0))</f>
        <v>0</v>
      </c>
      <c r="U109" s="7">
        <f>IF(VLOOKUP(U$2,行为概览!$D$3:$L$33,9,0)="","",VLOOKUP(U$2,行为概览!$D$3:$L$33,9,0)*IF(玩法行为规划!T109&gt;0,1,0))</f>
        <v>1</v>
      </c>
      <c r="V109" s="7">
        <f>IF(VLOOKUP(V$2,行为概览!$D$3:$L$33,9,0)="","",VLOOKUP(V$2,行为概览!$D$3:$L$33,9,0)*IF(玩法行为规划!U109&gt;0,1,0))</f>
        <v>1.5</v>
      </c>
      <c r="W109" s="7">
        <f>IF(VLOOKUP(W$2,行为概览!$D$3:$L$33,9,0)="","",VLOOKUP(W$2,行为概览!$D$3:$L$33,9,0)*IF(玩法行为规划!V109&gt;0,1,0))</f>
        <v>1</v>
      </c>
      <c r="X109" s="7">
        <f>IF(VLOOKUP(X$2,行为概览!$D$3:$L$33,9,0)="","",VLOOKUP(X$2,行为概览!$D$3:$L$33,9,0)*IF(玩法行为规划!W109&gt;0,1,0))</f>
        <v>1</v>
      </c>
      <c r="Y109" s="7">
        <f>IF(VLOOKUP(Y$2,行为概览!$D$3:$L$33,9,0)="","",VLOOKUP(Y$2,行为概览!$D$3:$L$33,9,0)*IF(玩法行为规划!X109&gt;0,1,0))</f>
        <v>1</v>
      </c>
      <c r="Z109" s="7">
        <f>IF(VLOOKUP(Z$2,行为概览!$D$3:$L$33,9,0)="","",VLOOKUP(Z$2,行为概览!$D$3:$L$33,9,0)*IF(玩法行为规划!Y109&gt;0,1,0))</f>
        <v>3</v>
      </c>
      <c r="AA109" s="7">
        <f>IF(VLOOKUP(AA$2,行为概览!$D$3:$L$33,9,0)="","",VLOOKUP(AA$2,行为概览!$D$3:$L$33,9,0)*IF(玩法行为规划!Z109&gt;0,1,0))</f>
        <v>0.5</v>
      </c>
      <c r="AB109" s="7" t="str">
        <f>IF(VLOOKUP(AB$2,行为概览!$D$3:$L$33,9,0)="","",VLOOKUP(AB$2,行为概览!$D$3:$L$33,9,0)*IF(玩法行为规划!AA109&gt;0,1,0))</f>
        <v/>
      </c>
      <c r="AC109" s="7" t="str">
        <f>IF(VLOOKUP(AC$2,行为概览!$D$3:$L$33,9,0)="","",VLOOKUP(AC$2,行为概览!$D$3:$L$33,9,0)*IF(玩法行为规划!AB109&gt;0,1,0))</f>
        <v/>
      </c>
      <c r="AD109" s="7" t="str">
        <f>IF(VLOOKUP(AD$2,行为概览!$D$3:$L$33,9,0)="","",VLOOKUP(AD$2,行为概览!$D$3:$L$33,9,0)*玩法行为规划!AC109)</f>
        <v/>
      </c>
      <c r="AE109" s="7" t="str">
        <f>IF(VLOOKUP(AE$2,行为概览!$D$3:$L$33,9,0)="","",VLOOKUP(AE$2,行为概览!$D$3:$L$33,9,0)*玩法行为规划!AD109)</f>
        <v/>
      </c>
      <c r="AF109" s="7">
        <f t="shared" si="23"/>
        <v>24.65</v>
      </c>
      <c r="AG109" s="10">
        <f t="shared" si="24"/>
        <v>2637550</v>
      </c>
      <c r="AH109" s="7">
        <f>ROUND(AG109*升级节奏!G109,0)</f>
        <v>43153175</v>
      </c>
      <c r="AI109" s="7">
        <f t="shared" si="15"/>
        <v>823900</v>
      </c>
      <c r="AJ109" s="21" t="str">
        <f t="shared" si="25"/>
        <v/>
      </c>
      <c r="AK109" s="7">
        <f t="shared" si="16"/>
        <v>1.8734761236394188E-2</v>
      </c>
      <c r="AL109" s="7">
        <f t="shared" si="17"/>
        <v>43977075</v>
      </c>
      <c r="AM109" s="7">
        <f>SUM($AL$3:AL109)</f>
        <v>1067850056</v>
      </c>
      <c r="AN109" s="166">
        <f t="shared" si="18"/>
        <v>1459800</v>
      </c>
      <c r="AO109" s="7">
        <f>SUM($AN$3:AN109)*7</f>
        <v>251388900</v>
      </c>
      <c r="AP109" s="69">
        <f t="shared" si="19"/>
        <v>809956056</v>
      </c>
      <c r="AQ109" s="160">
        <f t="shared" si="20"/>
        <v>4336700</v>
      </c>
      <c r="AR109" s="160">
        <f t="shared" si="21"/>
        <v>2168400</v>
      </c>
    </row>
    <row r="110" spans="1:44">
      <c r="A110" s="32">
        <v>108</v>
      </c>
      <c r="B110" s="81">
        <f>升级节奏!E110</f>
        <v>108000</v>
      </c>
      <c r="C110" s="7">
        <f>IF(VLOOKUP(C$2,行为概览!$D$3:$L$33,9,0)="","",VLOOKUP(C$2,行为概览!$D$3:$L$33,9,0)*IF(玩法行为规划!B110&gt;0,1,0))</f>
        <v>4</v>
      </c>
      <c r="D110" s="7">
        <f>IF(VLOOKUP(D$2,行为概览!$D$3:$L$33,9,0)="","",VLOOKUP(D$2,行为概览!$D$3:$L$33,9,0)*IF(玩法行为规划!C110&gt;0,1,0))</f>
        <v>1.65</v>
      </c>
      <c r="E110" s="7">
        <f>IF(VLOOKUP(E$2,行为概览!$D$3:$L$33,9,0)="","",VLOOKUP(E$2,行为概览!$D$3:$L$33,9,0)*IF(玩法行为规划!D110&gt;0,1,0))</f>
        <v>0.5</v>
      </c>
      <c r="F110" s="7">
        <f>IF(VLOOKUP(F$2,行为概览!$D$3:$L$33,9,0)="","",VLOOKUP(F$2,行为概览!$D$3:$L$33,9,0)*IF(玩法行为规划!E110&gt;0,1,0))</f>
        <v>1</v>
      </c>
      <c r="G110" s="7" t="str">
        <f>IF(VLOOKUP(G$2,行为概览!$D$3:$L$33,9,0)="","",VLOOKUP(G$2,行为概览!$D$3:$L$33,9,0)*IF(玩法行为规划!F110&gt;0,1,0))</f>
        <v/>
      </c>
      <c r="H110" s="7" t="str">
        <f>IF(VLOOKUP(H$2,行为概览!$D$3:$L$33,9,0)="","",VLOOKUP(H$2,行为概览!$D$3:$L$33,9,0)*IF(玩法行为规划!G110&gt;0,1,0))</f>
        <v/>
      </c>
      <c r="I110" s="7" t="str">
        <f>IF(VLOOKUP(I$2,行为概览!$D$3:$L$33,9,0)="","",VLOOKUP(I$2,行为概览!$D$3:$L$33,9,0)*IF(玩法行为规划!H110&gt;0,1,0))</f>
        <v/>
      </c>
      <c r="J110" s="7" t="str">
        <f>IF(VLOOKUP(J$2,行为概览!$D$3:$L$33,9,0)="","",VLOOKUP(J$2,行为概览!$D$3:$L$33,9,0)*IF(玩法行为规划!I110&gt;0,1,0))</f>
        <v/>
      </c>
      <c r="K110" s="7">
        <f>IF(VLOOKUP(K$2,行为概览!$D$3:$L$33,9,0)="","",VLOOKUP(K$2,行为概览!$D$3:$L$33,9,0)*IF(玩法行为规划!J110&gt;0,1,0))</f>
        <v>1</v>
      </c>
      <c r="L110" s="7">
        <f>IF(VLOOKUP(L$2,行为概览!$D$3:$L$33,9,0)="","",VLOOKUP(L$2,行为概览!$D$3:$L$33,9,0)*IF(玩法行为规划!K110&gt;0,1,0))</f>
        <v>1</v>
      </c>
      <c r="M110" s="7" t="str">
        <f>IF(VLOOKUP(M$2,行为概览!$D$3:$L$33,9,0)="","",VLOOKUP(M$2,行为概览!$D$3:$L$33,9,0)*IF(玩法行为规划!L110&gt;0,1,0))</f>
        <v/>
      </c>
      <c r="N110" s="7" t="str">
        <f>IF(VLOOKUP(N$2,行为概览!$D$3:$L$33,9,0)="","",VLOOKUP(N$2,行为概览!$D$3:$L$33,9,0)*IF(玩法行为规划!M110&gt;0,1,0))</f>
        <v/>
      </c>
      <c r="O110" s="7" t="str">
        <f>IF(VLOOKUP(O$2,行为概览!$D$3:$L$33,9,0)="","",VLOOKUP(O$2,行为概览!$D$3:$L$33,9,0)*IF(玩法行为规划!N110&gt;0,1,0))</f>
        <v/>
      </c>
      <c r="P110" s="7">
        <f>IF(VLOOKUP(P$2,行为概览!$D$3:$L$33,9,0)="","",VLOOKUP(P$2,行为概览!$D$3:$L$33,9,0)*IF(玩法行为规划!O110&gt;0,1,0))</f>
        <v>0.5</v>
      </c>
      <c r="Q110" s="7">
        <f>IF(VLOOKUP(Q$2,行为概览!$D$3:$L$33,9,0)="","",VLOOKUP(Q$2,行为概览!$D$3:$L$33,9,0)*IF(玩法行为规划!P110&gt;0,1,0))</f>
        <v>5</v>
      </c>
      <c r="R110" s="7" t="str">
        <f>IF(VLOOKUP(R$2,行为概览!$D$3:$L$33,9,0)="","",VLOOKUP(R$2,行为概览!$D$3:$L$33,9,0)*IF(玩法行为规划!Q110&gt;0,1,0))</f>
        <v/>
      </c>
      <c r="S110" s="7">
        <f>IF(VLOOKUP(S$2,行为概览!$D$3:$L$33,9,0)="","",VLOOKUP(S$2,行为概览!$D$3:$L$33,9,0)*IF(玩法行为规划!R110&gt;0,1,0))</f>
        <v>1</v>
      </c>
      <c r="T110" s="7">
        <f>IF(VLOOKUP(T$2,行为概览!$D$3:$L$33,9,0)="","",VLOOKUP(T$2,行为概览!$D$3:$L$33,9,0)*IF(玩法行为规划!S110&gt;0,1,0))</f>
        <v>0</v>
      </c>
      <c r="U110" s="7">
        <f>IF(VLOOKUP(U$2,行为概览!$D$3:$L$33,9,0)="","",VLOOKUP(U$2,行为概览!$D$3:$L$33,9,0)*IF(玩法行为规划!T110&gt;0,1,0))</f>
        <v>1</v>
      </c>
      <c r="V110" s="7">
        <f>IF(VLOOKUP(V$2,行为概览!$D$3:$L$33,9,0)="","",VLOOKUP(V$2,行为概览!$D$3:$L$33,9,0)*IF(玩法行为规划!U110&gt;0,1,0))</f>
        <v>1.5</v>
      </c>
      <c r="W110" s="7">
        <f>IF(VLOOKUP(W$2,行为概览!$D$3:$L$33,9,0)="","",VLOOKUP(W$2,行为概览!$D$3:$L$33,9,0)*IF(玩法行为规划!V110&gt;0,1,0))</f>
        <v>1</v>
      </c>
      <c r="X110" s="7">
        <f>IF(VLOOKUP(X$2,行为概览!$D$3:$L$33,9,0)="","",VLOOKUP(X$2,行为概览!$D$3:$L$33,9,0)*IF(玩法行为规划!W110&gt;0,1,0))</f>
        <v>1</v>
      </c>
      <c r="Y110" s="7">
        <f>IF(VLOOKUP(Y$2,行为概览!$D$3:$L$33,9,0)="","",VLOOKUP(Y$2,行为概览!$D$3:$L$33,9,0)*IF(玩法行为规划!X110&gt;0,1,0))</f>
        <v>1</v>
      </c>
      <c r="Z110" s="7">
        <f>IF(VLOOKUP(Z$2,行为概览!$D$3:$L$33,9,0)="","",VLOOKUP(Z$2,行为概览!$D$3:$L$33,9,0)*IF(玩法行为规划!Y110&gt;0,1,0))</f>
        <v>3</v>
      </c>
      <c r="AA110" s="7">
        <f>IF(VLOOKUP(AA$2,行为概览!$D$3:$L$33,9,0)="","",VLOOKUP(AA$2,行为概览!$D$3:$L$33,9,0)*IF(玩法行为规划!Z110&gt;0,1,0))</f>
        <v>0.5</v>
      </c>
      <c r="AB110" s="7" t="str">
        <f>IF(VLOOKUP(AB$2,行为概览!$D$3:$L$33,9,0)="","",VLOOKUP(AB$2,行为概览!$D$3:$L$33,9,0)*IF(玩法行为规划!AA110&gt;0,1,0))</f>
        <v/>
      </c>
      <c r="AC110" s="7" t="str">
        <f>IF(VLOOKUP(AC$2,行为概览!$D$3:$L$33,9,0)="","",VLOOKUP(AC$2,行为概览!$D$3:$L$33,9,0)*IF(玩法行为规划!AB110&gt;0,1,0))</f>
        <v/>
      </c>
      <c r="AD110" s="7" t="str">
        <f>IF(VLOOKUP(AD$2,行为概览!$D$3:$L$33,9,0)="","",VLOOKUP(AD$2,行为概览!$D$3:$L$33,9,0)*玩法行为规划!AC110)</f>
        <v/>
      </c>
      <c r="AE110" s="7" t="str">
        <f>IF(VLOOKUP(AE$2,行为概览!$D$3:$L$33,9,0)="","",VLOOKUP(AE$2,行为概览!$D$3:$L$33,9,0)*玩法行为规划!AD110)</f>
        <v/>
      </c>
      <c r="AF110" s="7">
        <f t="shared" si="23"/>
        <v>24.65</v>
      </c>
      <c r="AG110" s="10">
        <f t="shared" si="24"/>
        <v>2662200</v>
      </c>
      <c r="AH110" s="7">
        <f>ROUND(AG110*升级节奏!G110,0)</f>
        <v>44367338</v>
      </c>
      <c r="AI110" s="7">
        <f t="shared" si="15"/>
        <v>842400</v>
      </c>
      <c r="AJ110" s="21" t="str">
        <f t="shared" si="25"/>
        <v/>
      </c>
      <c r="AK110" s="7">
        <f t="shared" si="16"/>
        <v>1.8633153768774328E-2</v>
      </c>
      <c r="AL110" s="7">
        <f t="shared" si="17"/>
        <v>45209738</v>
      </c>
      <c r="AM110" s="7">
        <f>SUM($AL$3:AL110)</f>
        <v>1113059794</v>
      </c>
      <c r="AN110" s="166">
        <f t="shared" si="18"/>
        <v>1500500</v>
      </c>
      <c r="AO110" s="7">
        <f>SUM($AN$3:AN110)*7</f>
        <v>261892400</v>
      </c>
      <c r="AP110" s="69">
        <f t="shared" si="19"/>
        <v>844479894</v>
      </c>
      <c r="AQ110" s="160">
        <f t="shared" si="20"/>
        <v>4458300</v>
      </c>
      <c r="AR110" s="160">
        <f t="shared" si="21"/>
        <v>2229200</v>
      </c>
    </row>
    <row r="111" spans="1:44">
      <c r="A111" s="32">
        <v>109</v>
      </c>
      <c r="B111" s="81">
        <f>升级节奏!E111</f>
        <v>109000</v>
      </c>
      <c r="C111" s="7">
        <f>IF(VLOOKUP(C$2,行为概览!$D$3:$L$33,9,0)="","",VLOOKUP(C$2,行为概览!$D$3:$L$33,9,0)*IF(玩法行为规划!B111&gt;0,1,0))</f>
        <v>4</v>
      </c>
      <c r="D111" s="7">
        <f>IF(VLOOKUP(D$2,行为概览!$D$3:$L$33,9,0)="","",VLOOKUP(D$2,行为概览!$D$3:$L$33,9,0)*IF(玩法行为规划!C111&gt;0,1,0))</f>
        <v>1.65</v>
      </c>
      <c r="E111" s="7">
        <f>IF(VLOOKUP(E$2,行为概览!$D$3:$L$33,9,0)="","",VLOOKUP(E$2,行为概览!$D$3:$L$33,9,0)*IF(玩法行为规划!D111&gt;0,1,0))</f>
        <v>0.5</v>
      </c>
      <c r="F111" s="7">
        <f>IF(VLOOKUP(F$2,行为概览!$D$3:$L$33,9,0)="","",VLOOKUP(F$2,行为概览!$D$3:$L$33,9,0)*IF(玩法行为规划!E111&gt;0,1,0))</f>
        <v>1</v>
      </c>
      <c r="G111" s="7" t="str">
        <f>IF(VLOOKUP(G$2,行为概览!$D$3:$L$33,9,0)="","",VLOOKUP(G$2,行为概览!$D$3:$L$33,9,0)*IF(玩法行为规划!F111&gt;0,1,0))</f>
        <v/>
      </c>
      <c r="H111" s="7" t="str">
        <f>IF(VLOOKUP(H$2,行为概览!$D$3:$L$33,9,0)="","",VLOOKUP(H$2,行为概览!$D$3:$L$33,9,0)*IF(玩法行为规划!G111&gt;0,1,0))</f>
        <v/>
      </c>
      <c r="I111" s="7" t="str">
        <f>IF(VLOOKUP(I$2,行为概览!$D$3:$L$33,9,0)="","",VLOOKUP(I$2,行为概览!$D$3:$L$33,9,0)*IF(玩法行为规划!H111&gt;0,1,0))</f>
        <v/>
      </c>
      <c r="J111" s="7" t="str">
        <f>IF(VLOOKUP(J$2,行为概览!$D$3:$L$33,9,0)="","",VLOOKUP(J$2,行为概览!$D$3:$L$33,9,0)*IF(玩法行为规划!I111&gt;0,1,0))</f>
        <v/>
      </c>
      <c r="K111" s="7">
        <f>IF(VLOOKUP(K$2,行为概览!$D$3:$L$33,9,0)="","",VLOOKUP(K$2,行为概览!$D$3:$L$33,9,0)*IF(玩法行为规划!J111&gt;0,1,0))</f>
        <v>1</v>
      </c>
      <c r="L111" s="7">
        <f>IF(VLOOKUP(L$2,行为概览!$D$3:$L$33,9,0)="","",VLOOKUP(L$2,行为概览!$D$3:$L$33,9,0)*IF(玩法行为规划!K111&gt;0,1,0))</f>
        <v>1</v>
      </c>
      <c r="M111" s="7" t="str">
        <f>IF(VLOOKUP(M$2,行为概览!$D$3:$L$33,9,0)="","",VLOOKUP(M$2,行为概览!$D$3:$L$33,9,0)*IF(玩法行为规划!L111&gt;0,1,0))</f>
        <v/>
      </c>
      <c r="N111" s="7" t="str">
        <f>IF(VLOOKUP(N$2,行为概览!$D$3:$L$33,9,0)="","",VLOOKUP(N$2,行为概览!$D$3:$L$33,9,0)*IF(玩法行为规划!M111&gt;0,1,0))</f>
        <v/>
      </c>
      <c r="O111" s="7" t="str">
        <f>IF(VLOOKUP(O$2,行为概览!$D$3:$L$33,9,0)="","",VLOOKUP(O$2,行为概览!$D$3:$L$33,9,0)*IF(玩法行为规划!N111&gt;0,1,0))</f>
        <v/>
      </c>
      <c r="P111" s="7">
        <f>IF(VLOOKUP(P$2,行为概览!$D$3:$L$33,9,0)="","",VLOOKUP(P$2,行为概览!$D$3:$L$33,9,0)*IF(玩法行为规划!O111&gt;0,1,0))</f>
        <v>0.5</v>
      </c>
      <c r="Q111" s="7">
        <f>IF(VLOOKUP(Q$2,行为概览!$D$3:$L$33,9,0)="","",VLOOKUP(Q$2,行为概览!$D$3:$L$33,9,0)*IF(玩法行为规划!P111&gt;0,1,0))</f>
        <v>5</v>
      </c>
      <c r="R111" s="7" t="str">
        <f>IF(VLOOKUP(R$2,行为概览!$D$3:$L$33,9,0)="","",VLOOKUP(R$2,行为概览!$D$3:$L$33,9,0)*IF(玩法行为规划!Q111&gt;0,1,0))</f>
        <v/>
      </c>
      <c r="S111" s="7">
        <f>IF(VLOOKUP(S$2,行为概览!$D$3:$L$33,9,0)="","",VLOOKUP(S$2,行为概览!$D$3:$L$33,9,0)*IF(玩法行为规划!R111&gt;0,1,0))</f>
        <v>1</v>
      </c>
      <c r="T111" s="7">
        <f>IF(VLOOKUP(T$2,行为概览!$D$3:$L$33,9,0)="","",VLOOKUP(T$2,行为概览!$D$3:$L$33,9,0)*IF(玩法行为规划!S111&gt;0,1,0))</f>
        <v>0</v>
      </c>
      <c r="U111" s="7">
        <f>IF(VLOOKUP(U$2,行为概览!$D$3:$L$33,9,0)="","",VLOOKUP(U$2,行为概览!$D$3:$L$33,9,0)*IF(玩法行为规划!T111&gt;0,1,0))</f>
        <v>1</v>
      </c>
      <c r="V111" s="7">
        <f>IF(VLOOKUP(V$2,行为概览!$D$3:$L$33,9,0)="","",VLOOKUP(V$2,行为概览!$D$3:$L$33,9,0)*IF(玩法行为规划!U111&gt;0,1,0))</f>
        <v>1.5</v>
      </c>
      <c r="W111" s="7">
        <f>IF(VLOOKUP(W$2,行为概览!$D$3:$L$33,9,0)="","",VLOOKUP(W$2,行为概览!$D$3:$L$33,9,0)*IF(玩法行为规划!V111&gt;0,1,0))</f>
        <v>1</v>
      </c>
      <c r="X111" s="7">
        <f>IF(VLOOKUP(X$2,行为概览!$D$3:$L$33,9,0)="","",VLOOKUP(X$2,行为概览!$D$3:$L$33,9,0)*IF(玩法行为规划!W111&gt;0,1,0))</f>
        <v>1</v>
      </c>
      <c r="Y111" s="7">
        <f>IF(VLOOKUP(Y$2,行为概览!$D$3:$L$33,9,0)="","",VLOOKUP(Y$2,行为概览!$D$3:$L$33,9,0)*IF(玩法行为规划!X111&gt;0,1,0))</f>
        <v>1</v>
      </c>
      <c r="Z111" s="7">
        <f>IF(VLOOKUP(Z$2,行为概览!$D$3:$L$33,9,0)="","",VLOOKUP(Z$2,行为概览!$D$3:$L$33,9,0)*IF(玩法行为规划!Y111&gt;0,1,0))</f>
        <v>3</v>
      </c>
      <c r="AA111" s="7">
        <f>IF(VLOOKUP(AA$2,行为概览!$D$3:$L$33,9,0)="","",VLOOKUP(AA$2,行为概览!$D$3:$L$33,9,0)*IF(玩法行为规划!Z111&gt;0,1,0))</f>
        <v>0.5</v>
      </c>
      <c r="AB111" s="7" t="str">
        <f>IF(VLOOKUP(AB$2,行为概览!$D$3:$L$33,9,0)="","",VLOOKUP(AB$2,行为概览!$D$3:$L$33,9,0)*IF(玩法行为规划!AA111&gt;0,1,0))</f>
        <v/>
      </c>
      <c r="AC111" s="7" t="str">
        <f>IF(VLOOKUP(AC$2,行为概览!$D$3:$L$33,9,0)="","",VLOOKUP(AC$2,行为概览!$D$3:$L$33,9,0)*IF(玩法行为规划!AB111&gt;0,1,0))</f>
        <v/>
      </c>
      <c r="AD111" s="7" t="str">
        <f>IF(VLOOKUP(AD$2,行为概览!$D$3:$L$33,9,0)="","",VLOOKUP(AD$2,行为概览!$D$3:$L$33,9,0)*玩法行为规划!AC111)</f>
        <v/>
      </c>
      <c r="AE111" s="7" t="str">
        <f>IF(VLOOKUP(AE$2,行为概览!$D$3:$L$33,9,0)="","",VLOOKUP(AE$2,行为概览!$D$3:$L$33,9,0)*玩法行为规划!AD111)</f>
        <v/>
      </c>
      <c r="AF111" s="7">
        <f t="shared" si="23"/>
        <v>24.65</v>
      </c>
      <c r="AG111" s="10">
        <f t="shared" si="24"/>
        <v>2686850</v>
      </c>
      <c r="AH111" s="7">
        <f>ROUND(AG111*升级节奏!G111,0)</f>
        <v>45604129</v>
      </c>
      <c r="AI111" s="7">
        <f t="shared" si="15"/>
        <v>861100</v>
      </c>
      <c r="AJ111" s="21" t="str">
        <f t="shared" si="25"/>
        <v/>
      </c>
      <c r="AK111" s="7">
        <f t="shared" si="16"/>
        <v>1.8532137224590028E-2</v>
      </c>
      <c r="AL111" s="7">
        <f t="shared" si="17"/>
        <v>46465229</v>
      </c>
      <c r="AM111" s="7">
        <f>SUM($AL$3:AL111)</f>
        <v>1159525023</v>
      </c>
      <c r="AN111" s="166">
        <f t="shared" si="18"/>
        <v>1541900</v>
      </c>
      <c r="AO111" s="7">
        <f>SUM($AN$3:AN111)*7</f>
        <v>272685700</v>
      </c>
      <c r="AP111" s="69">
        <f t="shared" si="19"/>
        <v>879966023</v>
      </c>
      <c r="AQ111" s="160">
        <f t="shared" si="20"/>
        <v>4582200</v>
      </c>
      <c r="AR111" s="160">
        <f t="shared" si="21"/>
        <v>2291100</v>
      </c>
    </row>
    <row r="112" spans="1:44">
      <c r="A112" s="32">
        <v>110</v>
      </c>
      <c r="B112" s="81">
        <f>升级节奏!E112</f>
        <v>110000</v>
      </c>
      <c r="C112" s="7">
        <f>IF(VLOOKUP(C$2,行为概览!$D$3:$L$33,9,0)="","",VLOOKUP(C$2,行为概览!$D$3:$L$33,9,0)*IF(玩法行为规划!B112&gt;0,1,0))</f>
        <v>4</v>
      </c>
      <c r="D112" s="7">
        <f>IF(VLOOKUP(D$2,行为概览!$D$3:$L$33,9,0)="","",VLOOKUP(D$2,行为概览!$D$3:$L$33,9,0)*IF(玩法行为规划!C112&gt;0,1,0))</f>
        <v>1.65</v>
      </c>
      <c r="E112" s="7">
        <f>IF(VLOOKUP(E$2,行为概览!$D$3:$L$33,9,0)="","",VLOOKUP(E$2,行为概览!$D$3:$L$33,9,0)*IF(玩法行为规划!D112&gt;0,1,0))</f>
        <v>0.5</v>
      </c>
      <c r="F112" s="7">
        <f>IF(VLOOKUP(F$2,行为概览!$D$3:$L$33,9,0)="","",VLOOKUP(F$2,行为概览!$D$3:$L$33,9,0)*IF(玩法行为规划!E112&gt;0,1,0))</f>
        <v>1</v>
      </c>
      <c r="G112" s="7" t="str">
        <f>IF(VLOOKUP(G$2,行为概览!$D$3:$L$33,9,0)="","",VLOOKUP(G$2,行为概览!$D$3:$L$33,9,0)*IF(玩法行为规划!F112&gt;0,1,0))</f>
        <v/>
      </c>
      <c r="H112" s="7" t="str">
        <f>IF(VLOOKUP(H$2,行为概览!$D$3:$L$33,9,0)="","",VLOOKUP(H$2,行为概览!$D$3:$L$33,9,0)*IF(玩法行为规划!G112&gt;0,1,0))</f>
        <v/>
      </c>
      <c r="I112" s="7" t="str">
        <f>IF(VLOOKUP(I$2,行为概览!$D$3:$L$33,9,0)="","",VLOOKUP(I$2,行为概览!$D$3:$L$33,9,0)*IF(玩法行为规划!H112&gt;0,1,0))</f>
        <v/>
      </c>
      <c r="J112" s="7" t="str">
        <f>IF(VLOOKUP(J$2,行为概览!$D$3:$L$33,9,0)="","",VLOOKUP(J$2,行为概览!$D$3:$L$33,9,0)*IF(玩法行为规划!I112&gt;0,1,0))</f>
        <v/>
      </c>
      <c r="K112" s="7">
        <f>IF(VLOOKUP(K$2,行为概览!$D$3:$L$33,9,0)="","",VLOOKUP(K$2,行为概览!$D$3:$L$33,9,0)*IF(玩法行为规划!J112&gt;0,1,0))</f>
        <v>1</v>
      </c>
      <c r="L112" s="7">
        <f>IF(VLOOKUP(L$2,行为概览!$D$3:$L$33,9,0)="","",VLOOKUP(L$2,行为概览!$D$3:$L$33,9,0)*IF(玩法行为规划!K112&gt;0,1,0))</f>
        <v>1</v>
      </c>
      <c r="M112" s="7" t="str">
        <f>IF(VLOOKUP(M$2,行为概览!$D$3:$L$33,9,0)="","",VLOOKUP(M$2,行为概览!$D$3:$L$33,9,0)*IF(玩法行为规划!L112&gt;0,1,0))</f>
        <v/>
      </c>
      <c r="N112" s="7" t="str">
        <f>IF(VLOOKUP(N$2,行为概览!$D$3:$L$33,9,0)="","",VLOOKUP(N$2,行为概览!$D$3:$L$33,9,0)*IF(玩法行为规划!M112&gt;0,1,0))</f>
        <v/>
      </c>
      <c r="O112" s="7" t="str">
        <f>IF(VLOOKUP(O$2,行为概览!$D$3:$L$33,9,0)="","",VLOOKUP(O$2,行为概览!$D$3:$L$33,9,0)*IF(玩法行为规划!N112&gt;0,1,0))</f>
        <v/>
      </c>
      <c r="P112" s="7">
        <f>IF(VLOOKUP(P$2,行为概览!$D$3:$L$33,9,0)="","",VLOOKUP(P$2,行为概览!$D$3:$L$33,9,0)*IF(玩法行为规划!O112&gt;0,1,0))</f>
        <v>0.5</v>
      </c>
      <c r="Q112" s="7">
        <f>IF(VLOOKUP(Q$2,行为概览!$D$3:$L$33,9,0)="","",VLOOKUP(Q$2,行为概览!$D$3:$L$33,9,0)*IF(玩法行为规划!P112&gt;0,1,0))</f>
        <v>5</v>
      </c>
      <c r="R112" s="7" t="str">
        <f>IF(VLOOKUP(R$2,行为概览!$D$3:$L$33,9,0)="","",VLOOKUP(R$2,行为概览!$D$3:$L$33,9,0)*IF(玩法行为规划!Q112&gt;0,1,0))</f>
        <v/>
      </c>
      <c r="S112" s="7">
        <f>IF(VLOOKUP(S$2,行为概览!$D$3:$L$33,9,0)="","",VLOOKUP(S$2,行为概览!$D$3:$L$33,9,0)*IF(玩法行为规划!R112&gt;0,1,0))</f>
        <v>1</v>
      </c>
      <c r="T112" s="7">
        <f>IF(VLOOKUP(T$2,行为概览!$D$3:$L$33,9,0)="","",VLOOKUP(T$2,行为概览!$D$3:$L$33,9,0)*IF(玩法行为规划!S112&gt;0,1,0))</f>
        <v>0</v>
      </c>
      <c r="U112" s="7">
        <f>IF(VLOOKUP(U$2,行为概览!$D$3:$L$33,9,0)="","",VLOOKUP(U$2,行为概览!$D$3:$L$33,9,0)*IF(玩法行为规划!T112&gt;0,1,0))</f>
        <v>1</v>
      </c>
      <c r="V112" s="7">
        <f>IF(VLOOKUP(V$2,行为概览!$D$3:$L$33,9,0)="","",VLOOKUP(V$2,行为概览!$D$3:$L$33,9,0)*IF(玩法行为规划!U112&gt;0,1,0))</f>
        <v>1.5</v>
      </c>
      <c r="W112" s="7">
        <f>IF(VLOOKUP(W$2,行为概览!$D$3:$L$33,9,0)="","",VLOOKUP(W$2,行为概览!$D$3:$L$33,9,0)*IF(玩法行为规划!V112&gt;0,1,0))</f>
        <v>1</v>
      </c>
      <c r="X112" s="7">
        <f>IF(VLOOKUP(X$2,行为概览!$D$3:$L$33,9,0)="","",VLOOKUP(X$2,行为概览!$D$3:$L$33,9,0)*IF(玩法行为规划!W112&gt;0,1,0))</f>
        <v>1</v>
      </c>
      <c r="Y112" s="7">
        <f>IF(VLOOKUP(Y$2,行为概览!$D$3:$L$33,9,0)="","",VLOOKUP(Y$2,行为概览!$D$3:$L$33,9,0)*IF(玩法行为规划!X112&gt;0,1,0))</f>
        <v>1</v>
      </c>
      <c r="Z112" s="7">
        <f>IF(VLOOKUP(Z$2,行为概览!$D$3:$L$33,9,0)="","",VLOOKUP(Z$2,行为概览!$D$3:$L$33,9,0)*IF(玩法行为规划!Y112&gt;0,1,0))</f>
        <v>3</v>
      </c>
      <c r="AA112" s="7">
        <f>IF(VLOOKUP(AA$2,行为概览!$D$3:$L$33,9,0)="","",VLOOKUP(AA$2,行为概览!$D$3:$L$33,9,0)*IF(玩法行为规划!Z112&gt;0,1,0))</f>
        <v>0.5</v>
      </c>
      <c r="AB112" s="7" t="str">
        <f>IF(VLOOKUP(AB$2,行为概览!$D$3:$L$33,9,0)="","",VLOOKUP(AB$2,行为概览!$D$3:$L$33,9,0)*IF(玩法行为规划!AA112&gt;0,1,0))</f>
        <v/>
      </c>
      <c r="AC112" s="7" t="str">
        <f>IF(VLOOKUP(AC$2,行为概览!$D$3:$L$33,9,0)="","",VLOOKUP(AC$2,行为概览!$D$3:$L$33,9,0)*IF(玩法行为规划!AB112&gt;0,1,0))</f>
        <v/>
      </c>
      <c r="AD112" s="7" t="str">
        <f>IF(VLOOKUP(AD$2,行为概览!$D$3:$L$33,9,0)="","",VLOOKUP(AD$2,行为概览!$D$3:$L$33,9,0)*玩法行为规划!AC112)</f>
        <v/>
      </c>
      <c r="AE112" s="7" t="str">
        <f>IF(VLOOKUP(AE$2,行为概览!$D$3:$L$33,9,0)="","",VLOOKUP(AE$2,行为概览!$D$3:$L$33,9,0)*玩法行为规划!AD112)</f>
        <v/>
      </c>
      <c r="AF112" s="7">
        <f t="shared" si="23"/>
        <v>24.65</v>
      </c>
      <c r="AG112" s="10">
        <f t="shared" si="24"/>
        <v>2711500</v>
      </c>
      <c r="AH112" s="7">
        <f>ROUND(AG112*升级节奏!G112,0)</f>
        <v>46863758</v>
      </c>
      <c r="AI112" s="7">
        <f t="shared" si="15"/>
        <v>880000</v>
      </c>
      <c r="AJ112" s="21">
        <f t="shared" si="25"/>
        <v>9683500</v>
      </c>
      <c r="AK112" s="7">
        <f t="shared" si="16"/>
        <v>1.8431728813638842E-2</v>
      </c>
      <c r="AL112" s="7">
        <f t="shared" si="17"/>
        <v>47743758</v>
      </c>
      <c r="AM112" s="7">
        <f>SUM($AL$3:AL112)</f>
        <v>1207268781</v>
      </c>
      <c r="AN112" s="166">
        <f t="shared" si="18"/>
        <v>1584100</v>
      </c>
      <c r="AO112" s="7">
        <f>SUM($AN$3:AN112)*7</f>
        <v>283774400</v>
      </c>
      <c r="AP112" s="69">
        <f t="shared" si="19"/>
        <v>916431781</v>
      </c>
      <c r="AQ112" s="160">
        <f t="shared" si="20"/>
        <v>4708400</v>
      </c>
      <c r="AR112" s="160">
        <f t="shared" si="21"/>
        <v>2354200</v>
      </c>
    </row>
    <row r="113" spans="1:44">
      <c r="A113" s="32">
        <v>111</v>
      </c>
      <c r="B113" s="81">
        <f>升级节奏!E113</f>
        <v>111000</v>
      </c>
      <c r="C113" s="7">
        <f>IF(VLOOKUP(C$2,行为概览!$D$3:$L$33,9,0)="","",VLOOKUP(C$2,行为概览!$D$3:$L$33,9,0)*IF(玩法行为规划!B113&gt;0,1,0))</f>
        <v>4</v>
      </c>
      <c r="D113" s="7">
        <f>IF(VLOOKUP(D$2,行为概览!$D$3:$L$33,9,0)="","",VLOOKUP(D$2,行为概览!$D$3:$L$33,9,0)*IF(玩法行为规划!C113&gt;0,1,0))</f>
        <v>1.65</v>
      </c>
      <c r="E113" s="7">
        <f>IF(VLOOKUP(E$2,行为概览!$D$3:$L$33,9,0)="","",VLOOKUP(E$2,行为概览!$D$3:$L$33,9,0)*IF(玩法行为规划!D113&gt;0,1,0))</f>
        <v>0.5</v>
      </c>
      <c r="F113" s="7">
        <f>IF(VLOOKUP(F$2,行为概览!$D$3:$L$33,9,0)="","",VLOOKUP(F$2,行为概览!$D$3:$L$33,9,0)*IF(玩法行为规划!E113&gt;0,1,0))</f>
        <v>1</v>
      </c>
      <c r="G113" s="7" t="str">
        <f>IF(VLOOKUP(G$2,行为概览!$D$3:$L$33,9,0)="","",VLOOKUP(G$2,行为概览!$D$3:$L$33,9,0)*IF(玩法行为规划!F113&gt;0,1,0))</f>
        <v/>
      </c>
      <c r="H113" s="7" t="str">
        <f>IF(VLOOKUP(H$2,行为概览!$D$3:$L$33,9,0)="","",VLOOKUP(H$2,行为概览!$D$3:$L$33,9,0)*IF(玩法行为规划!G113&gt;0,1,0))</f>
        <v/>
      </c>
      <c r="I113" s="7" t="str">
        <f>IF(VLOOKUP(I$2,行为概览!$D$3:$L$33,9,0)="","",VLOOKUP(I$2,行为概览!$D$3:$L$33,9,0)*IF(玩法行为规划!H113&gt;0,1,0))</f>
        <v/>
      </c>
      <c r="J113" s="7" t="str">
        <f>IF(VLOOKUP(J$2,行为概览!$D$3:$L$33,9,0)="","",VLOOKUP(J$2,行为概览!$D$3:$L$33,9,0)*IF(玩法行为规划!I113&gt;0,1,0))</f>
        <v/>
      </c>
      <c r="K113" s="7">
        <f>IF(VLOOKUP(K$2,行为概览!$D$3:$L$33,9,0)="","",VLOOKUP(K$2,行为概览!$D$3:$L$33,9,0)*IF(玩法行为规划!J113&gt;0,1,0))</f>
        <v>1</v>
      </c>
      <c r="L113" s="7">
        <f>IF(VLOOKUP(L$2,行为概览!$D$3:$L$33,9,0)="","",VLOOKUP(L$2,行为概览!$D$3:$L$33,9,0)*IF(玩法行为规划!K113&gt;0,1,0))</f>
        <v>1</v>
      </c>
      <c r="M113" s="7" t="str">
        <f>IF(VLOOKUP(M$2,行为概览!$D$3:$L$33,9,0)="","",VLOOKUP(M$2,行为概览!$D$3:$L$33,9,0)*IF(玩法行为规划!L113&gt;0,1,0))</f>
        <v/>
      </c>
      <c r="N113" s="7" t="str">
        <f>IF(VLOOKUP(N$2,行为概览!$D$3:$L$33,9,0)="","",VLOOKUP(N$2,行为概览!$D$3:$L$33,9,0)*IF(玩法行为规划!M113&gt;0,1,0))</f>
        <v/>
      </c>
      <c r="O113" s="7" t="str">
        <f>IF(VLOOKUP(O$2,行为概览!$D$3:$L$33,9,0)="","",VLOOKUP(O$2,行为概览!$D$3:$L$33,9,0)*IF(玩法行为规划!N113&gt;0,1,0))</f>
        <v/>
      </c>
      <c r="P113" s="7">
        <f>IF(VLOOKUP(P$2,行为概览!$D$3:$L$33,9,0)="","",VLOOKUP(P$2,行为概览!$D$3:$L$33,9,0)*IF(玩法行为规划!O113&gt;0,1,0))</f>
        <v>0.5</v>
      </c>
      <c r="Q113" s="7">
        <f>IF(VLOOKUP(Q$2,行为概览!$D$3:$L$33,9,0)="","",VLOOKUP(Q$2,行为概览!$D$3:$L$33,9,0)*IF(玩法行为规划!P113&gt;0,1,0))</f>
        <v>5</v>
      </c>
      <c r="R113" s="7" t="str">
        <f>IF(VLOOKUP(R$2,行为概览!$D$3:$L$33,9,0)="","",VLOOKUP(R$2,行为概览!$D$3:$L$33,9,0)*IF(玩法行为规划!Q113&gt;0,1,0))</f>
        <v/>
      </c>
      <c r="S113" s="7">
        <f>IF(VLOOKUP(S$2,行为概览!$D$3:$L$33,9,0)="","",VLOOKUP(S$2,行为概览!$D$3:$L$33,9,0)*IF(玩法行为规划!R113&gt;0,1,0))</f>
        <v>1</v>
      </c>
      <c r="T113" s="7">
        <f>IF(VLOOKUP(T$2,行为概览!$D$3:$L$33,9,0)="","",VLOOKUP(T$2,行为概览!$D$3:$L$33,9,0)*IF(玩法行为规划!S113&gt;0,1,0))</f>
        <v>0</v>
      </c>
      <c r="U113" s="7">
        <f>IF(VLOOKUP(U$2,行为概览!$D$3:$L$33,9,0)="","",VLOOKUP(U$2,行为概览!$D$3:$L$33,9,0)*IF(玩法行为规划!T113&gt;0,1,0))</f>
        <v>1</v>
      </c>
      <c r="V113" s="7">
        <f>IF(VLOOKUP(V$2,行为概览!$D$3:$L$33,9,0)="","",VLOOKUP(V$2,行为概览!$D$3:$L$33,9,0)*IF(玩法行为规划!U113&gt;0,1,0))</f>
        <v>1.5</v>
      </c>
      <c r="W113" s="7">
        <f>IF(VLOOKUP(W$2,行为概览!$D$3:$L$33,9,0)="","",VLOOKUP(W$2,行为概览!$D$3:$L$33,9,0)*IF(玩法行为规划!V113&gt;0,1,0))</f>
        <v>1</v>
      </c>
      <c r="X113" s="7">
        <f>IF(VLOOKUP(X$2,行为概览!$D$3:$L$33,9,0)="","",VLOOKUP(X$2,行为概览!$D$3:$L$33,9,0)*IF(玩法行为规划!W113&gt;0,1,0))</f>
        <v>1</v>
      </c>
      <c r="Y113" s="7">
        <f>IF(VLOOKUP(Y$2,行为概览!$D$3:$L$33,9,0)="","",VLOOKUP(Y$2,行为概览!$D$3:$L$33,9,0)*IF(玩法行为规划!X113&gt;0,1,0))</f>
        <v>1</v>
      </c>
      <c r="Z113" s="7">
        <f>IF(VLOOKUP(Z$2,行为概览!$D$3:$L$33,9,0)="","",VLOOKUP(Z$2,行为概览!$D$3:$L$33,9,0)*IF(玩法行为规划!Y113&gt;0,1,0))</f>
        <v>3</v>
      </c>
      <c r="AA113" s="7">
        <f>IF(VLOOKUP(AA$2,行为概览!$D$3:$L$33,9,0)="","",VLOOKUP(AA$2,行为概览!$D$3:$L$33,9,0)*IF(玩法行为规划!Z113&gt;0,1,0))</f>
        <v>0.5</v>
      </c>
      <c r="AB113" s="7" t="str">
        <f>IF(VLOOKUP(AB$2,行为概览!$D$3:$L$33,9,0)="","",VLOOKUP(AB$2,行为概览!$D$3:$L$33,9,0)*IF(玩法行为规划!AA113&gt;0,1,0))</f>
        <v/>
      </c>
      <c r="AC113" s="7" t="str">
        <f>IF(VLOOKUP(AC$2,行为概览!$D$3:$L$33,9,0)="","",VLOOKUP(AC$2,行为概览!$D$3:$L$33,9,0)*IF(玩法行为规划!AB113&gt;0,1,0))</f>
        <v/>
      </c>
      <c r="AD113" s="7" t="str">
        <f>IF(VLOOKUP(AD$2,行为概览!$D$3:$L$33,9,0)="","",VLOOKUP(AD$2,行为概览!$D$3:$L$33,9,0)*玩法行为规划!AC113)</f>
        <v/>
      </c>
      <c r="AE113" s="7" t="str">
        <f>IF(VLOOKUP(AE$2,行为概览!$D$3:$L$33,9,0)="","",VLOOKUP(AE$2,行为概览!$D$3:$L$33,9,0)*玩法行为规划!AD113)</f>
        <v/>
      </c>
      <c r="AF113" s="7">
        <f t="shared" si="23"/>
        <v>24.65</v>
      </c>
      <c r="AG113" s="10">
        <f t="shared" si="24"/>
        <v>2736150</v>
      </c>
      <c r="AH113" s="7">
        <f>ROUND(AG113*升级节奏!G113,0)</f>
        <v>48146435</v>
      </c>
      <c r="AI113" s="7">
        <f t="shared" si="15"/>
        <v>899100</v>
      </c>
      <c r="AJ113" s="21" t="str">
        <f t="shared" si="25"/>
        <v/>
      </c>
      <c r="AK113" s="7">
        <f t="shared" si="16"/>
        <v>1.8331943978182722E-2</v>
      </c>
      <c r="AL113" s="7">
        <f t="shared" si="17"/>
        <v>49045535</v>
      </c>
      <c r="AM113" s="7">
        <f>SUM($AL$3:AL113)</f>
        <v>1256314316</v>
      </c>
      <c r="AN113" s="166">
        <f t="shared" si="18"/>
        <v>1627100</v>
      </c>
      <c r="AO113" s="7">
        <f>SUM($AN$3:AN113)*7</f>
        <v>295164100</v>
      </c>
      <c r="AP113" s="69">
        <f t="shared" si="19"/>
        <v>953895016</v>
      </c>
      <c r="AQ113" s="160">
        <f t="shared" si="20"/>
        <v>4836800</v>
      </c>
      <c r="AR113" s="160">
        <f t="shared" si="21"/>
        <v>2418400</v>
      </c>
    </row>
    <row r="114" spans="1:44">
      <c r="A114" s="32">
        <v>112</v>
      </c>
      <c r="B114" s="81">
        <f>升级节奏!E114</f>
        <v>112000</v>
      </c>
      <c r="C114" s="7">
        <f>IF(VLOOKUP(C$2,行为概览!$D$3:$L$33,9,0)="","",VLOOKUP(C$2,行为概览!$D$3:$L$33,9,0)*IF(玩法行为规划!B114&gt;0,1,0))</f>
        <v>4</v>
      </c>
      <c r="D114" s="7">
        <f>IF(VLOOKUP(D$2,行为概览!$D$3:$L$33,9,0)="","",VLOOKUP(D$2,行为概览!$D$3:$L$33,9,0)*IF(玩法行为规划!C114&gt;0,1,0))</f>
        <v>1.65</v>
      </c>
      <c r="E114" s="7">
        <f>IF(VLOOKUP(E$2,行为概览!$D$3:$L$33,9,0)="","",VLOOKUP(E$2,行为概览!$D$3:$L$33,9,0)*IF(玩法行为规划!D114&gt;0,1,0))</f>
        <v>0.5</v>
      </c>
      <c r="F114" s="7">
        <f>IF(VLOOKUP(F$2,行为概览!$D$3:$L$33,9,0)="","",VLOOKUP(F$2,行为概览!$D$3:$L$33,9,0)*IF(玩法行为规划!E114&gt;0,1,0))</f>
        <v>1</v>
      </c>
      <c r="G114" s="7" t="str">
        <f>IF(VLOOKUP(G$2,行为概览!$D$3:$L$33,9,0)="","",VLOOKUP(G$2,行为概览!$D$3:$L$33,9,0)*IF(玩法行为规划!F114&gt;0,1,0))</f>
        <v/>
      </c>
      <c r="H114" s="7" t="str">
        <f>IF(VLOOKUP(H$2,行为概览!$D$3:$L$33,9,0)="","",VLOOKUP(H$2,行为概览!$D$3:$L$33,9,0)*IF(玩法行为规划!G114&gt;0,1,0))</f>
        <v/>
      </c>
      <c r="I114" s="7" t="str">
        <f>IF(VLOOKUP(I$2,行为概览!$D$3:$L$33,9,0)="","",VLOOKUP(I$2,行为概览!$D$3:$L$33,9,0)*IF(玩法行为规划!H114&gt;0,1,0))</f>
        <v/>
      </c>
      <c r="J114" s="7" t="str">
        <f>IF(VLOOKUP(J$2,行为概览!$D$3:$L$33,9,0)="","",VLOOKUP(J$2,行为概览!$D$3:$L$33,9,0)*IF(玩法行为规划!I114&gt;0,1,0))</f>
        <v/>
      </c>
      <c r="K114" s="7">
        <f>IF(VLOOKUP(K$2,行为概览!$D$3:$L$33,9,0)="","",VLOOKUP(K$2,行为概览!$D$3:$L$33,9,0)*IF(玩法行为规划!J114&gt;0,1,0))</f>
        <v>1</v>
      </c>
      <c r="L114" s="7">
        <f>IF(VLOOKUP(L$2,行为概览!$D$3:$L$33,9,0)="","",VLOOKUP(L$2,行为概览!$D$3:$L$33,9,0)*IF(玩法行为规划!K114&gt;0,1,0))</f>
        <v>1</v>
      </c>
      <c r="M114" s="7" t="str">
        <f>IF(VLOOKUP(M$2,行为概览!$D$3:$L$33,9,0)="","",VLOOKUP(M$2,行为概览!$D$3:$L$33,9,0)*IF(玩法行为规划!L114&gt;0,1,0))</f>
        <v/>
      </c>
      <c r="N114" s="7" t="str">
        <f>IF(VLOOKUP(N$2,行为概览!$D$3:$L$33,9,0)="","",VLOOKUP(N$2,行为概览!$D$3:$L$33,9,0)*IF(玩法行为规划!M114&gt;0,1,0))</f>
        <v/>
      </c>
      <c r="O114" s="7" t="str">
        <f>IF(VLOOKUP(O$2,行为概览!$D$3:$L$33,9,0)="","",VLOOKUP(O$2,行为概览!$D$3:$L$33,9,0)*IF(玩法行为规划!N114&gt;0,1,0))</f>
        <v/>
      </c>
      <c r="P114" s="7">
        <f>IF(VLOOKUP(P$2,行为概览!$D$3:$L$33,9,0)="","",VLOOKUP(P$2,行为概览!$D$3:$L$33,9,0)*IF(玩法行为规划!O114&gt;0,1,0))</f>
        <v>0.5</v>
      </c>
      <c r="Q114" s="7">
        <f>IF(VLOOKUP(Q$2,行为概览!$D$3:$L$33,9,0)="","",VLOOKUP(Q$2,行为概览!$D$3:$L$33,9,0)*IF(玩法行为规划!P114&gt;0,1,0))</f>
        <v>5</v>
      </c>
      <c r="R114" s="7" t="str">
        <f>IF(VLOOKUP(R$2,行为概览!$D$3:$L$33,9,0)="","",VLOOKUP(R$2,行为概览!$D$3:$L$33,9,0)*IF(玩法行为规划!Q114&gt;0,1,0))</f>
        <v/>
      </c>
      <c r="S114" s="7">
        <f>IF(VLOOKUP(S$2,行为概览!$D$3:$L$33,9,0)="","",VLOOKUP(S$2,行为概览!$D$3:$L$33,9,0)*IF(玩法行为规划!R114&gt;0,1,0))</f>
        <v>1</v>
      </c>
      <c r="T114" s="7">
        <f>IF(VLOOKUP(T$2,行为概览!$D$3:$L$33,9,0)="","",VLOOKUP(T$2,行为概览!$D$3:$L$33,9,0)*IF(玩法行为规划!S114&gt;0,1,0))</f>
        <v>0</v>
      </c>
      <c r="U114" s="7">
        <f>IF(VLOOKUP(U$2,行为概览!$D$3:$L$33,9,0)="","",VLOOKUP(U$2,行为概览!$D$3:$L$33,9,0)*IF(玩法行为规划!T114&gt;0,1,0))</f>
        <v>1</v>
      </c>
      <c r="V114" s="7">
        <f>IF(VLOOKUP(V$2,行为概览!$D$3:$L$33,9,0)="","",VLOOKUP(V$2,行为概览!$D$3:$L$33,9,0)*IF(玩法行为规划!U114&gt;0,1,0))</f>
        <v>1.5</v>
      </c>
      <c r="W114" s="7">
        <f>IF(VLOOKUP(W$2,行为概览!$D$3:$L$33,9,0)="","",VLOOKUP(W$2,行为概览!$D$3:$L$33,9,0)*IF(玩法行为规划!V114&gt;0,1,0))</f>
        <v>1</v>
      </c>
      <c r="X114" s="7">
        <f>IF(VLOOKUP(X$2,行为概览!$D$3:$L$33,9,0)="","",VLOOKUP(X$2,行为概览!$D$3:$L$33,9,0)*IF(玩法行为规划!W114&gt;0,1,0))</f>
        <v>1</v>
      </c>
      <c r="Y114" s="7">
        <f>IF(VLOOKUP(Y$2,行为概览!$D$3:$L$33,9,0)="","",VLOOKUP(Y$2,行为概览!$D$3:$L$33,9,0)*IF(玩法行为规划!X114&gt;0,1,0))</f>
        <v>1</v>
      </c>
      <c r="Z114" s="7">
        <f>IF(VLOOKUP(Z$2,行为概览!$D$3:$L$33,9,0)="","",VLOOKUP(Z$2,行为概览!$D$3:$L$33,9,0)*IF(玩法行为规划!Y114&gt;0,1,0))</f>
        <v>3</v>
      </c>
      <c r="AA114" s="7">
        <f>IF(VLOOKUP(AA$2,行为概览!$D$3:$L$33,9,0)="","",VLOOKUP(AA$2,行为概览!$D$3:$L$33,9,0)*IF(玩法行为规划!Z114&gt;0,1,0))</f>
        <v>0.5</v>
      </c>
      <c r="AB114" s="7" t="str">
        <f>IF(VLOOKUP(AB$2,行为概览!$D$3:$L$33,9,0)="","",VLOOKUP(AB$2,行为概览!$D$3:$L$33,9,0)*IF(玩法行为规划!AA114&gt;0,1,0))</f>
        <v/>
      </c>
      <c r="AC114" s="7" t="str">
        <f>IF(VLOOKUP(AC$2,行为概览!$D$3:$L$33,9,0)="","",VLOOKUP(AC$2,行为概览!$D$3:$L$33,9,0)*IF(玩法行为规划!AB114&gt;0,1,0))</f>
        <v/>
      </c>
      <c r="AD114" s="7" t="str">
        <f>IF(VLOOKUP(AD$2,行为概览!$D$3:$L$33,9,0)="","",VLOOKUP(AD$2,行为概览!$D$3:$L$33,9,0)*玩法行为规划!AC114)</f>
        <v/>
      </c>
      <c r="AE114" s="7" t="str">
        <f>IF(VLOOKUP(AE$2,行为概览!$D$3:$L$33,9,0)="","",VLOOKUP(AE$2,行为概览!$D$3:$L$33,9,0)*玩法行为规划!AD114)</f>
        <v/>
      </c>
      <c r="AF114" s="7">
        <f t="shared" si="23"/>
        <v>24.65</v>
      </c>
      <c r="AG114" s="10">
        <f t="shared" si="24"/>
        <v>2760800</v>
      </c>
      <c r="AH114" s="7">
        <f>ROUND(AG114*升级节奏!G114,0)</f>
        <v>49452370</v>
      </c>
      <c r="AI114" s="7">
        <f t="shared" si="15"/>
        <v>918400</v>
      </c>
      <c r="AJ114" s="21" t="str">
        <f t="shared" si="25"/>
        <v/>
      </c>
      <c r="AK114" s="7">
        <f t="shared" si="16"/>
        <v>1.8232796520680546E-2</v>
      </c>
      <c r="AL114" s="7">
        <f t="shared" si="17"/>
        <v>50370770</v>
      </c>
      <c r="AM114" s="7">
        <f>SUM($AL$3:AL114)</f>
        <v>1306685086</v>
      </c>
      <c r="AN114" s="166">
        <f t="shared" si="18"/>
        <v>1670800</v>
      </c>
      <c r="AO114" s="7">
        <f>SUM($AN$3:AN114)*7</f>
        <v>306859700</v>
      </c>
      <c r="AP114" s="69">
        <f t="shared" si="19"/>
        <v>992373986</v>
      </c>
      <c r="AQ114" s="160">
        <f t="shared" si="20"/>
        <v>4967600</v>
      </c>
      <c r="AR114" s="160">
        <f t="shared" si="21"/>
        <v>2483800</v>
      </c>
    </row>
    <row r="115" spans="1:44">
      <c r="A115" s="32">
        <v>113</v>
      </c>
      <c r="B115" s="81">
        <f>升级节奏!E115</f>
        <v>113000</v>
      </c>
      <c r="C115" s="7">
        <f>IF(VLOOKUP(C$2,行为概览!$D$3:$L$33,9,0)="","",VLOOKUP(C$2,行为概览!$D$3:$L$33,9,0)*IF(玩法行为规划!B115&gt;0,1,0))</f>
        <v>4</v>
      </c>
      <c r="D115" s="7">
        <f>IF(VLOOKUP(D$2,行为概览!$D$3:$L$33,9,0)="","",VLOOKUP(D$2,行为概览!$D$3:$L$33,9,0)*IF(玩法行为规划!C115&gt;0,1,0))</f>
        <v>1.65</v>
      </c>
      <c r="E115" s="7">
        <f>IF(VLOOKUP(E$2,行为概览!$D$3:$L$33,9,0)="","",VLOOKUP(E$2,行为概览!$D$3:$L$33,9,0)*IF(玩法行为规划!D115&gt;0,1,0))</f>
        <v>0.5</v>
      </c>
      <c r="F115" s="7">
        <f>IF(VLOOKUP(F$2,行为概览!$D$3:$L$33,9,0)="","",VLOOKUP(F$2,行为概览!$D$3:$L$33,9,0)*IF(玩法行为规划!E115&gt;0,1,0))</f>
        <v>1</v>
      </c>
      <c r="G115" s="7" t="str">
        <f>IF(VLOOKUP(G$2,行为概览!$D$3:$L$33,9,0)="","",VLOOKUP(G$2,行为概览!$D$3:$L$33,9,0)*IF(玩法行为规划!F115&gt;0,1,0))</f>
        <v/>
      </c>
      <c r="H115" s="7" t="str">
        <f>IF(VLOOKUP(H$2,行为概览!$D$3:$L$33,9,0)="","",VLOOKUP(H$2,行为概览!$D$3:$L$33,9,0)*IF(玩法行为规划!G115&gt;0,1,0))</f>
        <v/>
      </c>
      <c r="I115" s="7" t="str">
        <f>IF(VLOOKUP(I$2,行为概览!$D$3:$L$33,9,0)="","",VLOOKUP(I$2,行为概览!$D$3:$L$33,9,0)*IF(玩法行为规划!H115&gt;0,1,0))</f>
        <v/>
      </c>
      <c r="J115" s="7" t="str">
        <f>IF(VLOOKUP(J$2,行为概览!$D$3:$L$33,9,0)="","",VLOOKUP(J$2,行为概览!$D$3:$L$33,9,0)*IF(玩法行为规划!I115&gt;0,1,0))</f>
        <v/>
      </c>
      <c r="K115" s="7">
        <f>IF(VLOOKUP(K$2,行为概览!$D$3:$L$33,9,0)="","",VLOOKUP(K$2,行为概览!$D$3:$L$33,9,0)*IF(玩法行为规划!J115&gt;0,1,0))</f>
        <v>1</v>
      </c>
      <c r="L115" s="7">
        <f>IF(VLOOKUP(L$2,行为概览!$D$3:$L$33,9,0)="","",VLOOKUP(L$2,行为概览!$D$3:$L$33,9,0)*IF(玩法行为规划!K115&gt;0,1,0))</f>
        <v>1</v>
      </c>
      <c r="M115" s="7" t="str">
        <f>IF(VLOOKUP(M$2,行为概览!$D$3:$L$33,9,0)="","",VLOOKUP(M$2,行为概览!$D$3:$L$33,9,0)*IF(玩法行为规划!L115&gt;0,1,0))</f>
        <v/>
      </c>
      <c r="N115" s="7" t="str">
        <f>IF(VLOOKUP(N$2,行为概览!$D$3:$L$33,9,0)="","",VLOOKUP(N$2,行为概览!$D$3:$L$33,9,0)*IF(玩法行为规划!M115&gt;0,1,0))</f>
        <v/>
      </c>
      <c r="O115" s="7" t="str">
        <f>IF(VLOOKUP(O$2,行为概览!$D$3:$L$33,9,0)="","",VLOOKUP(O$2,行为概览!$D$3:$L$33,9,0)*IF(玩法行为规划!N115&gt;0,1,0))</f>
        <v/>
      </c>
      <c r="P115" s="7">
        <f>IF(VLOOKUP(P$2,行为概览!$D$3:$L$33,9,0)="","",VLOOKUP(P$2,行为概览!$D$3:$L$33,9,0)*IF(玩法行为规划!O115&gt;0,1,0))</f>
        <v>0.5</v>
      </c>
      <c r="Q115" s="7">
        <f>IF(VLOOKUP(Q$2,行为概览!$D$3:$L$33,9,0)="","",VLOOKUP(Q$2,行为概览!$D$3:$L$33,9,0)*IF(玩法行为规划!P115&gt;0,1,0))</f>
        <v>5</v>
      </c>
      <c r="R115" s="7" t="str">
        <f>IF(VLOOKUP(R$2,行为概览!$D$3:$L$33,9,0)="","",VLOOKUP(R$2,行为概览!$D$3:$L$33,9,0)*IF(玩法行为规划!Q115&gt;0,1,0))</f>
        <v/>
      </c>
      <c r="S115" s="7">
        <f>IF(VLOOKUP(S$2,行为概览!$D$3:$L$33,9,0)="","",VLOOKUP(S$2,行为概览!$D$3:$L$33,9,0)*IF(玩法行为规划!R115&gt;0,1,0))</f>
        <v>1</v>
      </c>
      <c r="T115" s="7">
        <f>IF(VLOOKUP(T$2,行为概览!$D$3:$L$33,9,0)="","",VLOOKUP(T$2,行为概览!$D$3:$L$33,9,0)*IF(玩法行为规划!S115&gt;0,1,0))</f>
        <v>0</v>
      </c>
      <c r="U115" s="7">
        <f>IF(VLOOKUP(U$2,行为概览!$D$3:$L$33,9,0)="","",VLOOKUP(U$2,行为概览!$D$3:$L$33,9,0)*IF(玩法行为规划!T115&gt;0,1,0))</f>
        <v>1</v>
      </c>
      <c r="V115" s="7">
        <f>IF(VLOOKUP(V$2,行为概览!$D$3:$L$33,9,0)="","",VLOOKUP(V$2,行为概览!$D$3:$L$33,9,0)*IF(玩法行为规划!U115&gt;0,1,0))</f>
        <v>1.5</v>
      </c>
      <c r="W115" s="7">
        <f>IF(VLOOKUP(W$2,行为概览!$D$3:$L$33,9,0)="","",VLOOKUP(W$2,行为概览!$D$3:$L$33,9,0)*IF(玩法行为规划!V115&gt;0,1,0))</f>
        <v>1</v>
      </c>
      <c r="X115" s="7">
        <f>IF(VLOOKUP(X$2,行为概览!$D$3:$L$33,9,0)="","",VLOOKUP(X$2,行为概览!$D$3:$L$33,9,0)*IF(玩法行为规划!W115&gt;0,1,0))</f>
        <v>1</v>
      </c>
      <c r="Y115" s="7">
        <f>IF(VLOOKUP(Y$2,行为概览!$D$3:$L$33,9,0)="","",VLOOKUP(Y$2,行为概览!$D$3:$L$33,9,0)*IF(玩法行为规划!X115&gt;0,1,0))</f>
        <v>1</v>
      </c>
      <c r="Z115" s="7">
        <f>IF(VLOOKUP(Z$2,行为概览!$D$3:$L$33,9,0)="","",VLOOKUP(Z$2,行为概览!$D$3:$L$33,9,0)*IF(玩法行为规划!Y115&gt;0,1,0))</f>
        <v>3</v>
      </c>
      <c r="AA115" s="7">
        <f>IF(VLOOKUP(AA$2,行为概览!$D$3:$L$33,9,0)="","",VLOOKUP(AA$2,行为概览!$D$3:$L$33,9,0)*IF(玩法行为规划!Z115&gt;0,1,0))</f>
        <v>0.5</v>
      </c>
      <c r="AB115" s="7" t="str">
        <f>IF(VLOOKUP(AB$2,行为概览!$D$3:$L$33,9,0)="","",VLOOKUP(AB$2,行为概览!$D$3:$L$33,9,0)*IF(玩法行为规划!AA115&gt;0,1,0))</f>
        <v/>
      </c>
      <c r="AC115" s="7" t="str">
        <f>IF(VLOOKUP(AC$2,行为概览!$D$3:$L$33,9,0)="","",VLOOKUP(AC$2,行为概览!$D$3:$L$33,9,0)*IF(玩法行为规划!AB115&gt;0,1,0))</f>
        <v/>
      </c>
      <c r="AD115" s="7" t="str">
        <f>IF(VLOOKUP(AD$2,行为概览!$D$3:$L$33,9,0)="","",VLOOKUP(AD$2,行为概览!$D$3:$L$33,9,0)*玩法行为规划!AC115)</f>
        <v/>
      </c>
      <c r="AE115" s="7" t="str">
        <f>IF(VLOOKUP(AE$2,行为概览!$D$3:$L$33,9,0)="","",VLOOKUP(AE$2,行为概览!$D$3:$L$33,9,0)*玩法行为规划!AD115)</f>
        <v/>
      </c>
      <c r="AF115" s="7">
        <f t="shared" si="23"/>
        <v>24.65</v>
      </c>
      <c r="AG115" s="10">
        <f t="shared" si="24"/>
        <v>2785450</v>
      </c>
      <c r="AH115" s="7">
        <f>ROUND(AG115*升级节奏!G115,0)</f>
        <v>50781771</v>
      </c>
      <c r="AI115" s="7">
        <f t="shared" si="15"/>
        <v>937900</v>
      </c>
      <c r="AJ115" s="21" t="str">
        <f t="shared" si="25"/>
        <v/>
      </c>
      <c r="AK115" s="7">
        <f t="shared" si="16"/>
        <v>1.8134299423521082E-2</v>
      </c>
      <c r="AL115" s="7">
        <f t="shared" si="17"/>
        <v>51719671</v>
      </c>
      <c r="AM115" s="7">
        <f>SUM($AL$3:AL115)</f>
        <v>1358404757</v>
      </c>
      <c r="AN115" s="166">
        <f t="shared" si="18"/>
        <v>1715300</v>
      </c>
      <c r="AO115" s="7">
        <f>SUM($AN$3:AN115)*7</f>
        <v>318866800</v>
      </c>
      <c r="AP115" s="69">
        <f t="shared" si="19"/>
        <v>1031886757</v>
      </c>
      <c r="AQ115" s="160">
        <f t="shared" si="20"/>
        <v>5100800</v>
      </c>
      <c r="AR115" s="160">
        <f t="shared" si="21"/>
        <v>2550400</v>
      </c>
    </row>
    <row r="116" spans="1:44">
      <c r="A116" s="32">
        <v>114</v>
      </c>
      <c r="B116" s="81">
        <f>升级节奏!E116</f>
        <v>114000</v>
      </c>
      <c r="C116" s="7">
        <f>IF(VLOOKUP(C$2,行为概览!$D$3:$L$33,9,0)="","",VLOOKUP(C$2,行为概览!$D$3:$L$33,9,0)*IF(玩法行为规划!B116&gt;0,1,0))</f>
        <v>4</v>
      </c>
      <c r="D116" s="7">
        <f>IF(VLOOKUP(D$2,行为概览!$D$3:$L$33,9,0)="","",VLOOKUP(D$2,行为概览!$D$3:$L$33,9,0)*IF(玩法行为规划!C116&gt;0,1,0))</f>
        <v>1.65</v>
      </c>
      <c r="E116" s="7">
        <f>IF(VLOOKUP(E$2,行为概览!$D$3:$L$33,9,0)="","",VLOOKUP(E$2,行为概览!$D$3:$L$33,9,0)*IF(玩法行为规划!D116&gt;0,1,0))</f>
        <v>0.5</v>
      </c>
      <c r="F116" s="7">
        <f>IF(VLOOKUP(F$2,行为概览!$D$3:$L$33,9,0)="","",VLOOKUP(F$2,行为概览!$D$3:$L$33,9,0)*IF(玩法行为规划!E116&gt;0,1,0))</f>
        <v>1</v>
      </c>
      <c r="G116" s="7" t="str">
        <f>IF(VLOOKUP(G$2,行为概览!$D$3:$L$33,9,0)="","",VLOOKUP(G$2,行为概览!$D$3:$L$33,9,0)*IF(玩法行为规划!F116&gt;0,1,0))</f>
        <v/>
      </c>
      <c r="H116" s="7" t="str">
        <f>IF(VLOOKUP(H$2,行为概览!$D$3:$L$33,9,0)="","",VLOOKUP(H$2,行为概览!$D$3:$L$33,9,0)*IF(玩法行为规划!G116&gt;0,1,0))</f>
        <v/>
      </c>
      <c r="I116" s="7" t="str">
        <f>IF(VLOOKUP(I$2,行为概览!$D$3:$L$33,9,0)="","",VLOOKUP(I$2,行为概览!$D$3:$L$33,9,0)*IF(玩法行为规划!H116&gt;0,1,0))</f>
        <v/>
      </c>
      <c r="J116" s="7" t="str">
        <f>IF(VLOOKUP(J$2,行为概览!$D$3:$L$33,9,0)="","",VLOOKUP(J$2,行为概览!$D$3:$L$33,9,0)*IF(玩法行为规划!I116&gt;0,1,0))</f>
        <v/>
      </c>
      <c r="K116" s="7">
        <f>IF(VLOOKUP(K$2,行为概览!$D$3:$L$33,9,0)="","",VLOOKUP(K$2,行为概览!$D$3:$L$33,9,0)*IF(玩法行为规划!J116&gt;0,1,0))</f>
        <v>1</v>
      </c>
      <c r="L116" s="7">
        <f>IF(VLOOKUP(L$2,行为概览!$D$3:$L$33,9,0)="","",VLOOKUP(L$2,行为概览!$D$3:$L$33,9,0)*IF(玩法行为规划!K116&gt;0,1,0))</f>
        <v>1</v>
      </c>
      <c r="M116" s="7" t="str">
        <f>IF(VLOOKUP(M$2,行为概览!$D$3:$L$33,9,0)="","",VLOOKUP(M$2,行为概览!$D$3:$L$33,9,0)*IF(玩法行为规划!L116&gt;0,1,0))</f>
        <v/>
      </c>
      <c r="N116" s="7" t="str">
        <f>IF(VLOOKUP(N$2,行为概览!$D$3:$L$33,9,0)="","",VLOOKUP(N$2,行为概览!$D$3:$L$33,9,0)*IF(玩法行为规划!M116&gt;0,1,0))</f>
        <v/>
      </c>
      <c r="O116" s="7" t="str">
        <f>IF(VLOOKUP(O$2,行为概览!$D$3:$L$33,9,0)="","",VLOOKUP(O$2,行为概览!$D$3:$L$33,9,0)*IF(玩法行为规划!N116&gt;0,1,0))</f>
        <v/>
      </c>
      <c r="P116" s="7">
        <f>IF(VLOOKUP(P$2,行为概览!$D$3:$L$33,9,0)="","",VLOOKUP(P$2,行为概览!$D$3:$L$33,9,0)*IF(玩法行为规划!O116&gt;0,1,0))</f>
        <v>0.5</v>
      </c>
      <c r="Q116" s="7">
        <f>IF(VLOOKUP(Q$2,行为概览!$D$3:$L$33,9,0)="","",VLOOKUP(Q$2,行为概览!$D$3:$L$33,9,0)*IF(玩法行为规划!P116&gt;0,1,0))</f>
        <v>5</v>
      </c>
      <c r="R116" s="7" t="str">
        <f>IF(VLOOKUP(R$2,行为概览!$D$3:$L$33,9,0)="","",VLOOKUP(R$2,行为概览!$D$3:$L$33,9,0)*IF(玩法行为规划!Q116&gt;0,1,0))</f>
        <v/>
      </c>
      <c r="S116" s="7">
        <f>IF(VLOOKUP(S$2,行为概览!$D$3:$L$33,9,0)="","",VLOOKUP(S$2,行为概览!$D$3:$L$33,9,0)*IF(玩法行为规划!R116&gt;0,1,0))</f>
        <v>1</v>
      </c>
      <c r="T116" s="7">
        <f>IF(VLOOKUP(T$2,行为概览!$D$3:$L$33,9,0)="","",VLOOKUP(T$2,行为概览!$D$3:$L$33,9,0)*IF(玩法行为规划!S116&gt;0,1,0))</f>
        <v>0</v>
      </c>
      <c r="U116" s="7">
        <f>IF(VLOOKUP(U$2,行为概览!$D$3:$L$33,9,0)="","",VLOOKUP(U$2,行为概览!$D$3:$L$33,9,0)*IF(玩法行为规划!T116&gt;0,1,0))</f>
        <v>1</v>
      </c>
      <c r="V116" s="7">
        <f>IF(VLOOKUP(V$2,行为概览!$D$3:$L$33,9,0)="","",VLOOKUP(V$2,行为概览!$D$3:$L$33,9,0)*IF(玩法行为规划!U116&gt;0,1,0))</f>
        <v>1.5</v>
      </c>
      <c r="W116" s="7">
        <f>IF(VLOOKUP(W$2,行为概览!$D$3:$L$33,9,0)="","",VLOOKUP(W$2,行为概览!$D$3:$L$33,9,0)*IF(玩法行为规划!V116&gt;0,1,0))</f>
        <v>1</v>
      </c>
      <c r="X116" s="7">
        <f>IF(VLOOKUP(X$2,行为概览!$D$3:$L$33,9,0)="","",VLOOKUP(X$2,行为概览!$D$3:$L$33,9,0)*IF(玩法行为规划!W116&gt;0,1,0))</f>
        <v>1</v>
      </c>
      <c r="Y116" s="7">
        <f>IF(VLOOKUP(Y$2,行为概览!$D$3:$L$33,9,0)="","",VLOOKUP(Y$2,行为概览!$D$3:$L$33,9,0)*IF(玩法行为规划!X116&gt;0,1,0))</f>
        <v>1</v>
      </c>
      <c r="Z116" s="7">
        <f>IF(VLOOKUP(Z$2,行为概览!$D$3:$L$33,9,0)="","",VLOOKUP(Z$2,行为概览!$D$3:$L$33,9,0)*IF(玩法行为规划!Y116&gt;0,1,0))</f>
        <v>3</v>
      </c>
      <c r="AA116" s="7">
        <f>IF(VLOOKUP(AA$2,行为概览!$D$3:$L$33,9,0)="","",VLOOKUP(AA$2,行为概览!$D$3:$L$33,9,0)*IF(玩法行为规划!Z116&gt;0,1,0))</f>
        <v>0.5</v>
      </c>
      <c r="AB116" s="7" t="str">
        <f>IF(VLOOKUP(AB$2,行为概览!$D$3:$L$33,9,0)="","",VLOOKUP(AB$2,行为概览!$D$3:$L$33,9,0)*IF(玩法行为规划!AA116&gt;0,1,0))</f>
        <v/>
      </c>
      <c r="AC116" s="7" t="str">
        <f>IF(VLOOKUP(AC$2,行为概览!$D$3:$L$33,9,0)="","",VLOOKUP(AC$2,行为概览!$D$3:$L$33,9,0)*IF(玩法行为规划!AB116&gt;0,1,0))</f>
        <v/>
      </c>
      <c r="AD116" s="7" t="str">
        <f>IF(VLOOKUP(AD$2,行为概览!$D$3:$L$33,9,0)="","",VLOOKUP(AD$2,行为概览!$D$3:$L$33,9,0)*玩法行为规划!AC116)</f>
        <v/>
      </c>
      <c r="AE116" s="7" t="str">
        <f>IF(VLOOKUP(AE$2,行为概览!$D$3:$L$33,9,0)="","",VLOOKUP(AE$2,行为概览!$D$3:$L$33,9,0)*玩法行为规划!AD116)</f>
        <v/>
      </c>
      <c r="AF116" s="7">
        <f t="shared" si="23"/>
        <v>24.65</v>
      </c>
      <c r="AG116" s="10">
        <f t="shared" si="24"/>
        <v>2810100</v>
      </c>
      <c r="AH116" s="7">
        <f>ROUND(AG116*升级节奏!G116,0)</f>
        <v>52134849</v>
      </c>
      <c r="AI116" s="7">
        <f t="shared" si="15"/>
        <v>957600</v>
      </c>
      <c r="AJ116" s="21" t="str">
        <f t="shared" si="25"/>
        <v/>
      </c>
      <c r="AK116" s="7">
        <f t="shared" si="16"/>
        <v>1.803646315128541E-2</v>
      </c>
      <c r="AL116" s="7">
        <f t="shared" si="17"/>
        <v>53092449</v>
      </c>
      <c r="AM116" s="7">
        <f>SUM($AL$3:AL116)</f>
        <v>1411497206</v>
      </c>
      <c r="AN116" s="166">
        <f t="shared" si="18"/>
        <v>1760600</v>
      </c>
      <c r="AO116" s="7">
        <f>SUM($AN$3:AN116)*7</f>
        <v>331191000</v>
      </c>
      <c r="AP116" s="69">
        <f t="shared" si="19"/>
        <v>1072451806</v>
      </c>
      <c r="AQ116" s="160">
        <f t="shared" si="20"/>
        <v>5236300</v>
      </c>
      <c r="AR116" s="160">
        <f t="shared" si="21"/>
        <v>2618100</v>
      </c>
    </row>
    <row r="117" spans="1:44">
      <c r="A117" s="32">
        <v>115</v>
      </c>
      <c r="B117" s="81">
        <f>升级节奏!E117</f>
        <v>115000</v>
      </c>
      <c r="C117" s="7">
        <f>IF(VLOOKUP(C$2,行为概览!$D$3:$L$33,9,0)="","",VLOOKUP(C$2,行为概览!$D$3:$L$33,9,0)*IF(玩法行为规划!B117&gt;0,1,0))</f>
        <v>4</v>
      </c>
      <c r="D117" s="7">
        <f>IF(VLOOKUP(D$2,行为概览!$D$3:$L$33,9,0)="","",VLOOKUP(D$2,行为概览!$D$3:$L$33,9,0)*IF(玩法行为规划!C117&gt;0,1,0))</f>
        <v>1.65</v>
      </c>
      <c r="E117" s="7">
        <f>IF(VLOOKUP(E$2,行为概览!$D$3:$L$33,9,0)="","",VLOOKUP(E$2,行为概览!$D$3:$L$33,9,0)*IF(玩法行为规划!D117&gt;0,1,0))</f>
        <v>0.5</v>
      </c>
      <c r="F117" s="7">
        <f>IF(VLOOKUP(F$2,行为概览!$D$3:$L$33,9,0)="","",VLOOKUP(F$2,行为概览!$D$3:$L$33,9,0)*IF(玩法行为规划!E117&gt;0,1,0))</f>
        <v>1</v>
      </c>
      <c r="G117" s="7" t="str">
        <f>IF(VLOOKUP(G$2,行为概览!$D$3:$L$33,9,0)="","",VLOOKUP(G$2,行为概览!$D$3:$L$33,9,0)*IF(玩法行为规划!F117&gt;0,1,0))</f>
        <v/>
      </c>
      <c r="H117" s="7" t="str">
        <f>IF(VLOOKUP(H$2,行为概览!$D$3:$L$33,9,0)="","",VLOOKUP(H$2,行为概览!$D$3:$L$33,9,0)*IF(玩法行为规划!G117&gt;0,1,0))</f>
        <v/>
      </c>
      <c r="I117" s="7" t="str">
        <f>IF(VLOOKUP(I$2,行为概览!$D$3:$L$33,9,0)="","",VLOOKUP(I$2,行为概览!$D$3:$L$33,9,0)*IF(玩法行为规划!H117&gt;0,1,0))</f>
        <v/>
      </c>
      <c r="J117" s="7" t="str">
        <f>IF(VLOOKUP(J$2,行为概览!$D$3:$L$33,9,0)="","",VLOOKUP(J$2,行为概览!$D$3:$L$33,9,0)*IF(玩法行为规划!I117&gt;0,1,0))</f>
        <v/>
      </c>
      <c r="K117" s="7">
        <f>IF(VLOOKUP(K$2,行为概览!$D$3:$L$33,9,0)="","",VLOOKUP(K$2,行为概览!$D$3:$L$33,9,0)*IF(玩法行为规划!J117&gt;0,1,0))</f>
        <v>1</v>
      </c>
      <c r="L117" s="7">
        <f>IF(VLOOKUP(L$2,行为概览!$D$3:$L$33,9,0)="","",VLOOKUP(L$2,行为概览!$D$3:$L$33,9,0)*IF(玩法行为规划!K117&gt;0,1,0))</f>
        <v>1</v>
      </c>
      <c r="M117" s="7" t="str">
        <f>IF(VLOOKUP(M$2,行为概览!$D$3:$L$33,9,0)="","",VLOOKUP(M$2,行为概览!$D$3:$L$33,9,0)*IF(玩法行为规划!L117&gt;0,1,0))</f>
        <v/>
      </c>
      <c r="N117" s="7" t="str">
        <f>IF(VLOOKUP(N$2,行为概览!$D$3:$L$33,9,0)="","",VLOOKUP(N$2,行为概览!$D$3:$L$33,9,0)*IF(玩法行为规划!M117&gt;0,1,0))</f>
        <v/>
      </c>
      <c r="O117" s="7" t="str">
        <f>IF(VLOOKUP(O$2,行为概览!$D$3:$L$33,9,0)="","",VLOOKUP(O$2,行为概览!$D$3:$L$33,9,0)*IF(玩法行为规划!N117&gt;0,1,0))</f>
        <v/>
      </c>
      <c r="P117" s="7">
        <f>IF(VLOOKUP(P$2,行为概览!$D$3:$L$33,9,0)="","",VLOOKUP(P$2,行为概览!$D$3:$L$33,9,0)*IF(玩法行为规划!O117&gt;0,1,0))</f>
        <v>0.5</v>
      </c>
      <c r="Q117" s="7">
        <f>IF(VLOOKUP(Q$2,行为概览!$D$3:$L$33,9,0)="","",VLOOKUP(Q$2,行为概览!$D$3:$L$33,9,0)*IF(玩法行为规划!P117&gt;0,1,0))</f>
        <v>5</v>
      </c>
      <c r="R117" s="7" t="str">
        <f>IF(VLOOKUP(R$2,行为概览!$D$3:$L$33,9,0)="","",VLOOKUP(R$2,行为概览!$D$3:$L$33,9,0)*IF(玩法行为规划!Q117&gt;0,1,0))</f>
        <v/>
      </c>
      <c r="S117" s="7">
        <f>IF(VLOOKUP(S$2,行为概览!$D$3:$L$33,9,0)="","",VLOOKUP(S$2,行为概览!$D$3:$L$33,9,0)*IF(玩法行为规划!R117&gt;0,1,0))</f>
        <v>1</v>
      </c>
      <c r="T117" s="7">
        <f>IF(VLOOKUP(T$2,行为概览!$D$3:$L$33,9,0)="","",VLOOKUP(T$2,行为概览!$D$3:$L$33,9,0)*IF(玩法行为规划!S117&gt;0,1,0))</f>
        <v>0</v>
      </c>
      <c r="U117" s="7">
        <f>IF(VLOOKUP(U$2,行为概览!$D$3:$L$33,9,0)="","",VLOOKUP(U$2,行为概览!$D$3:$L$33,9,0)*IF(玩法行为规划!T117&gt;0,1,0))</f>
        <v>1</v>
      </c>
      <c r="V117" s="7">
        <f>IF(VLOOKUP(V$2,行为概览!$D$3:$L$33,9,0)="","",VLOOKUP(V$2,行为概览!$D$3:$L$33,9,0)*IF(玩法行为规划!U117&gt;0,1,0))</f>
        <v>1.5</v>
      </c>
      <c r="W117" s="7">
        <f>IF(VLOOKUP(W$2,行为概览!$D$3:$L$33,9,0)="","",VLOOKUP(W$2,行为概览!$D$3:$L$33,9,0)*IF(玩法行为规划!V117&gt;0,1,0))</f>
        <v>1</v>
      </c>
      <c r="X117" s="7">
        <f>IF(VLOOKUP(X$2,行为概览!$D$3:$L$33,9,0)="","",VLOOKUP(X$2,行为概览!$D$3:$L$33,9,0)*IF(玩法行为规划!W117&gt;0,1,0))</f>
        <v>1</v>
      </c>
      <c r="Y117" s="7">
        <f>IF(VLOOKUP(Y$2,行为概览!$D$3:$L$33,9,0)="","",VLOOKUP(Y$2,行为概览!$D$3:$L$33,9,0)*IF(玩法行为规划!X117&gt;0,1,0))</f>
        <v>1</v>
      </c>
      <c r="Z117" s="7">
        <f>IF(VLOOKUP(Z$2,行为概览!$D$3:$L$33,9,0)="","",VLOOKUP(Z$2,行为概览!$D$3:$L$33,9,0)*IF(玩法行为规划!Y117&gt;0,1,0))</f>
        <v>3</v>
      </c>
      <c r="AA117" s="7">
        <f>IF(VLOOKUP(AA$2,行为概览!$D$3:$L$33,9,0)="","",VLOOKUP(AA$2,行为概览!$D$3:$L$33,9,0)*IF(玩法行为规划!Z117&gt;0,1,0))</f>
        <v>0.5</v>
      </c>
      <c r="AB117" s="7" t="str">
        <f>IF(VLOOKUP(AB$2,行为概览!$D$3:$L$33,9,0)="","",VLOOKUP(AB$2,行为概览!$D$3:$L$33,9,0)*IF(玩法行为规划!AA117&gt;0,1,0))</f>
        <v/>
      </c>
      <c r="AC117" s="7" t="str">
        <f>IF(VLOOKUP(AC$2,行为概览!$D$3:$L$33,9,0)="","",VLOOKUP(AC$2,行为概览!$D$3:$L$33,9,0)*IF(玩法行为规划!AB117&gt;0,1,0))</f>
        <v/>
      </c>
      <c r="AD117" s="7" t="str">
        <f>IF(VLOOKUP(AD$2,行为概览!$D$3:$L$33,9,0)="","",VLOOKUP(AD$2,行为概览!$D$3:$L$33,9,0)*玩法行为规划!AC117)</f>
        <v/>
      </c>
      <c r="AE117" s="7" t="str">
        <f>IF(VLOOKUP(AE$2,行为概览!$D$3:$L$33,9,0)="","",VLOOKUP(AE$2,行为概览!$D$3:$L$33,9,0)*玩法行为规划!AD117)</f>
        <v/>
      </c>
      <c r="AF117" s="7">
        <f t="shared" si="23"/>
        <v>24.65</v>
      </c>
      <c r="AG117" s="10">
        <f t="shared" si="24"/>
        <v>2834750</v>
      </c>
      <c r="AH117" s="7">
        <f>ROUND(AG117*升级节奏!G117,0)</f>
        <v>53511812</v>
      </c>
      <c r="AI117" s="7">
        <f t="shared" si="15"/>
        <v>977500</v>
      </c>
      <c r="AJ117" s="21" t="str">
        <f t="shared" si="25"/>
        <v/>
      </c>
      <c r="AK117" s="7">
        <f t="shared" si="16"/>
        <v>1.7939297893869534E-2</v>
      </c>
      <c r="AL117" s="7">
        <f t="shared" si="17"/>
        <v>54489312</v>
      </c>
      <c r="AM117" s="7">
        <f>SUM($AL$3:AL117)</f>
        <v>1465986518</v>
      </c>
      <c r="AN117" s="166">
        <f t="shared" si="18"/>
        <v>1806700</v>
      </c>
      <c r="AO117" s="7">
        <f>SUM($AN$3:AN117)*7</f>
        <v>343837900</v>
      </c>
      <c r="AP117" s="69">
        <f t="shared" si="19"/>
        <v>1114087318</v>
      </c>
      <c r="AQ117" s="160">
        <f t="shared" si="20"/>
        <v>5374200</v>
      </c>
      <c r="AR117" s="160">
        <f t="shared" si="21"/>
        <v>2687100</v>
      </c>
    </row>
    <row r="118" spans="1:44">
      <c r="A118" s="32">
        <v>116</v>
      </c>
      <c r="B118" s="81">
        <f>升级节奏!E118</f>
        <v>116000</v>
      </c>
      <c r="C118" s="7">
        <f>IF(VLOOKUP(C$2,行为概览!$D$3:$L$33,9,0)="","",VLOOKUP(C$2,行为概览!$D$3:$L$33,9,0)*IF(玩法行为规划!B118&gt;0,1,0))</f>
        <v>4</v>
      </c>
      <c r="D118" s="7">
        <f>IF(VLOOKUP(D$2,行为概览!$D$3:$L$33,9,0)="","",VLOOKUP(D$2,行为概览!$D$3:$L$33,9,0)*IF(玩法行为规划!C118&gt;0,1,0))</f>
        <v>1.65</v>
      </c>
      <c r="E118" s="7">
        <f>IF(VLOOKUP(E$2,行为概览!$D$3:$L$33,9,0)="","",VLOOKUP(E$2,行为概览!$D$3:$L$33,9,0)*IF(玩法行为规划!D118&gt;0,1,0))</f>
        <v>0.5</v>
      </c>
      <c r="F118" s="7">
        <f>IF(VLOOKUP(F$2,行为概览!$D$3:$L$33,9,0)="","",VLOOKUP(F$2,行为概览!$D$3:$L$33,9,0)*IF(玩法行为规划!E118&gt;0,1,0))</f>
        <v>1</v>
      </c>
      <c r="G118" s="7" t="str">
        <f>IF(VLOOKUP(G$2,行为概览!$D$3:$L$33,9,0)="","",VLOOKUP(G$2,行为概览!$D$3:$L$33,9,0)*IF(玩法行为规划!F118&gt;0,1,0))</f>
        <v/>
      </c>
      <c r="H118" s="7" t="str">
        <f>IF(VLOOKUP(H$2,行为概览!$D$3:$L$33,9,0)="","",VLOOKUP(H$2,行为概览!$D$3:$L$33,9,0)*IF(玩法行为规划!G118&gt;0,1,0))</f>
        <v/>
      </c>
      <c r="I118" s="7" t="str">
        <f>IF(VLOOKUP(I$2,行为概览!$D$3:$L$33,9,0)="","",VLOOKUP(I$2,行为概览!$D$3:$L$33,9,0)*IF(玩法行为规划!H118&gt;0,1,0))</f>
        <v/>
      </c>
      <c r="J118" s="7" t="str">
        <f>IF(VLOOKUP(J$2,行为概览!$D$3:$L$33,9,0)="","",VLOOKUP(J$2,行为概览!$D$3:$L$33,9,0)*IF(玩法行为规划!I118&gt;0,1,0))</f>
        <v/>
      </c>
      <c r="K118" s="7">
        <f>IF(VLOOKUP(K$2,行为概览!$D$3:$L$33,9,0)="","",VLOOKUP(K$2,行为概览!$D$3:$L$33,9,0)*IF(玩法行为规划!J118&gt;0,1,0))</f>
        <v>1</v>
      </c>
      <c r="L118" s="7">
        <f>IF(VLOOKUP(L$2,行为概览!$D$3:$L$33,9,0)="","",VLOOKUP(L$2,行为概览!$D$3:$L$33,9,0)*IF(玩法行为规划!K118&gt;0,1,0))</f>
        <v>1</v>
      </c>
      <c r="M118" s="7" t="str">
        <f>IF(VLOOKUP(M$2,行为概览!$D$3:$L$33,9,0)="","",VLOOKUP(M$2,行为概览!$D$3:$L$33,9,0)*IF(玩法行为规划!L118&gt;0,1,0))</f>
        <v/>
      </c>
      <c r="N118" s="7" t="str">
        <f>IF(VLOOKUP(N$2,行为概览!$D$3:$L$33,9,0)="","",VLOOKUP(N$2,行为概览!$D$3:$L$33,9,0)*IF(玩法行为规划!M118&gt;0,1,0))</f>
        <v/>
      </c>
      <c r="O118" s="7" t="str">
        <f>IF(VLOOKUP(O$2,行为概览!$D$3:$L$33,9,0)="","",VLOOKUP(O$2,行为概览!$D$3:$L$33,9,0)*IF(玩法行为规划!N118&gt;0,1,0))</f>
        <v/>
      </c>
      <c r="P118" s="7">
        <f>IF(VLOOKUP(P$2,行为概览!$D$3:$L$33,9,0)="","",VLOOKUP(P$2,行为概览!$D$3:$L$33,9,0)*IF(玩法行为规划!O118&gt;0,1,0))</f>
        <v>0.5</v>
      </c>
      <c r="Q118" s="7">
        <f>IF(VLOOKUP(Q$2,行为概览!$D$3:$L$33,9,0)="","",VLOOKUP(Q$2,行为概览!$D$3:$L$33,9,0)*IF(玩法行为规划!P118&gt;0,1,0))</f>
        <v>5</v>
      </c>
      <c r="R118" s="7" t="str">
        <f>IF(VLOOKUP(R$2,行为概览!$D$3:$L$33,9,0)="","",VLOOKUP(R$2,行为概览!$D$3:$L$33,9,0)*IF(玩法行为规划!Q118&gt;0,1,0))</f>
        <v/>
      </c>
      <c r="S118" s="7">
        <f>IF(VLOOKUP(S$2,行为概览!$D$3:$L$33,9,0)="","",VLOOKUP(S$2,行为概览!$D$3:$L$33,9,0)*IF(玩法行为规划!R118&gt;0,1,0))</f>
        <v>1</v>
      </c>
      <c r="T118" s="7">
        <f>IF(VLOOKUP(T$2,行为概览!$D$3:$L$33,9,0)="","",VLOOKUP(T$2,行为概览!$D$3:$L$33,9,0)*IF(玩法行为规划!S118&gt;0,1,0))</f>
        <v>0</v>
      </c>
      <c r="U118" s="7">
        <f>IF(VLOOKUP(U$2,行为概览!$D$3:$L$33,9,0)="","",VLOOKUP(U$2,行为概览!$D$3:$L$33,9,0)*IF(玩法行为规划!T118&gt;0,1,0))</f>
        <v>1</v>
      </c>
      <c r="V118" s="7">
        <f>IF(VLOOKUP(V$2,行为概览!$D$3:$L$33,9,0)="","",VLOOKUP(V$2,行为概览!$D$3:$L$33,9,0)*IF(玩法行为规划!U118&gt;0,1,0))</f>
        <v>1.5</v>
      </c>
      <c r="W118" s="7">
        <f>IF(VLOOKUP(W$2,行为概览!$D$3:$L$33,9,0)="","",VLOOKUP(W$2,行为概览!$D$3:$L$33,9,0)*IF(玩法行为规划!V118&gt;0,1,0))</f>
        <v>1</v>
      </c>
      <c r="X118" s="7">
        <f>IF(VLOOKUP(X$2,行为概览!$D$3:$L$33,9,0)="","",VLOOKUP(X$2,行为概览!$D$3:$L$33,9,0)*IF(玩法行为规划!W118&gt;0,1,0))</f>
        <v>1</v>
      </c>
      <c r="Y118" s="7">
        <f>IF(VLOOKUP(Y$2,行为概览!$D$3:$L$33,9,0)="","",VLOOKUP(Y$2,行为概览!$D$3:$L$33,9,0)*IF(玩法行为规划!X118&gt;0,1,0))</f>
        <v>1</v>
      </c>
      <c r="Z118" s="7">
        <f>IF(VLOOKUP(Z$2,行为概览!$D$3:$L$33,9,0)="","",VLOOKUP(Z$2,行为概览!$D$3:$L$33,9,0)*IF(玩法行为规划!Y118&gt;0,1,0))</f>
        <v>3</v>
      </c>
      <c r="AA118" s="7">
        <f>IF(VLOOKUP(AA$2,行为概览!$D$3:$L$33,9,0)="","",VLOOKUP(AA$2,行为概览!$D$3:$L$33,9,0)*IF(玩法行为规划!Z118&gt;0,1,0))</f>
        <v>0.5</v>
      </c>
      <c r="AB118" s="7" t="str">
        <f>IF(VLOOKUP(AB$2,行为概览!$D$3:$L$33,9,0)="","",VLOOKUP(AB$2,行为概览!$D$3:$L$33,9,0)*IF(玩法行为规划!AA118&gt;0,1,0))</f>
        <v/>
      </c>
      <c r="AC118" s="7" t="str">
        <f>IF(VLOOKUP(AC$2,行为概览!$D$3:$L$33,9,0)="","",VLOOKUP(AC$2,行为概览!$D$3:$L$33,9,0)*IF(玩法行为规划!AB118&gt;0,1,0))</f>
        <v/>
      </c>
      <c r="AD118" s="7" t="str">
        <f>IF(VLOOKUP(AD$2,行为概览!$D$3:$L$33,9,0)="","",VLOOKUP(AD$2,行为概览!$D$3:$L$33,9,0)*玩法行为规划!AC118)</f>
        <v/>
      </c>
      <c r="AE118" s="7" t="str">
        <f>IF(VLOOKUP(AE$2,行为概览!$D$3:$L$33,9,0)="","",VLOOKUP(AE$2,行为概览!$D$3:$L$33,9,0)*玩法行为规划!AD118)</f>
        <v/>
      </c>
      <c r="AF118" s="7">
        <f t="shared" si="23"/>
        <v>24.65</v>
      </c>
      <c r="AG118" s="10">
        <f t="shared" si="24"/>
        <v>2859400</v>
      </c>
      <c r="AH118" s="7">
        <f>ROUND(AG118*升级节奏!G118,0)</f>
        <v>54912871</v>
      </c>
      <c r="AI118" s="7">
        <f t="shared" si="15"/>
        <v>997600</v>
      </c>
      <c r="AJ118" s="21" t="str">
        <f t="shared" si="25"/>
        <v/>
      </c>
      <c r="AK118" s="7">
        <f t="shared" si="16"/>
        <v>1.7842811590694702E-2</v>
      </c>
      <c r="AL118" s="7">
        <f t="shared" si="17"/>
        <v>55910471</v>
      </c>
      <c r="AM118" s="7">
        <f>SUM($AL$3:AL118)</f>
        <v>1521896989</v>
      </c>
      <c r="AN118" s="166">
        <f t="shared" si="18"/>
        <v>1853600</v>
      </c>
      <c r="AO118" s="7">
        <f>SUM($AN$3:AN118)*7</f>
        <v>356813100</v>
      </c>
      <c r="AP118" s="69">
        <f t="shared" si="19"/>
        <v>1156812189</v>
      </c>
      <c r="AQ118" s="160">
        <f t="shared" si="20"/>
        <v>5514500</v>
      </c>
      <c r="AR118" s="160">
        <f t="shared" si="21"/>
        <v>2757200</v>
      </c>
    </row>
    <row r="119" spans="1:44">
      <c r="A119" s="32">
        <v>117</v>
      </c>
      <c r="B119" s="81">
        <f>升级节奏!E119</f>
        <v>117000</v>
      </c>
      <c r="C119" s="7">
        <f>IF(VLOOKUP(C$2,行为概览!$D$3:$L$33,9,0)="","",VLOOKUP(C$2,行为概览!$D$3:$L$33,9,0)*IF(玩法行为规划!B119&gt;0,1,0))</f>
        <v>4</v>
      </c>
      <c r="D119" s="7">
        <f>IF(VLOOKUP(D$2,行为概览!$D$3:$L$33,9,0)="","",VLOOKUP(D$2,行为概览!$D$3:$L$33,9,0)*IF(玩法行为规划!C119&gt;0,1,0))</f>
        <v>1.65</v>
      </c>
      <c r="E119" s="7">
        <f>IF(VLOOKUP(E$2,行为概览!$D$3:$L$33,9,0)="","",VLOOKUP(E$2,行为概览!$D$3:$L$33,9,0)*IF(玩法行为规划!D119&gt;0,1,0))</f>
        <v>0.5</v>
      </c>
      <c r="F119" s="7">
        <f>IF(VLOOKUP(F$2,行为概览!$D$3:$L$33,9,0)="","",VLOOKUP(F$2,行为概览!$D$3:$L$33,9,0)*IF(玩法行为规划!E119&gt;0,1,0))</f>
        <v>1</v>
      </c>
      <c r="G119" s="7" t="str">
        <f>IF(VLOOKUP(G$2,行为概览!$D$3:$L$33,9,0)="","",VLOOKUP(G$2,行为概览!$D$3:$L$33,9,0)*IF(玩法行为规划!F119&gt;0,1,0))</f>
        <v/>
      </c>
      <c r="H119" s="7" t="str">
        <f>IF(VLOOKUP(H$2,行为概览!$D$3:$L$33,9,0)="","",VLOOKUP(H$2,行为概览!$D$3:$L$33,9,0)*IF(玩法行为规划!G119&gt;0,1,0))</f>
        <v/>
      </c>
      <c r="I119" s="7" t="str">
        <f>IF(VLOOKUP(I$2,行为概览!$D$3:$L$33,9,0)="","",VLOOKUP(I$2,行为概览!$D$3:$L$33,9,0)*IF(玩法行为规划!H119&gt;0,1,0))</f>
        <v/>
      </c>
      <c r="J119" s="7" t="str">
        <f>IF(VLOOKUP(J$2,行为概览!$D$3:$L$33,9,0)="","",VLOOKUP(J$2,行为概览!$D$3:$L$33,9,0)*IF(玩法行为规划!I119&gt;0,1,0))</f>
        <v/>
      </c>
      <c r="K119" s="7">
        <f>IF(VLOOKUP(K$2,行为概览!$D$3:$L$33,9,0)="","",VLOOKUP(K$2,行为概览!$D$3:$L$33,9,0)*IF(玩法行为规划!J119&gt;0,1,0))</f>
        <v>1</v>
      </c>
      <c r="L119" s="7">
        <f>IF(VLOOKUP(L$2,行为概览!$D$3:$L$33,9,0)="","",VLOOKUP(L$2,行为概览!$D$3:$L$33,9,0)*IF(玩法行为规划!K119&gt;0,1,0))</f>
        <v>1</v>
      </c>
      <c r="M119" s="7" t="str">
        <f>IF(VLOOKUP(M$2,行为概览!$D$3:$L$33,9,0)="","",VLOOKUP(M$2,行为概览!$D$3:$L$33,9,0)*IF(玩法行为规划!L119&gt;0,1,0))</f>
        <v/>
      </c>
      <c r="N119" s="7" t="str">
        <f>IF(VLOOKUP(N$2,行为概览!$D$3:$L$33,9,0)="","",VLOOKUP(N$2,行为概览!$D$3:$L$33,9,0)*IF(玩法行为规划!M119&gt;0,1,0))</f>
        <v/>
      </c>
      <c r="O119" s="7" t="str">
        <f>IF(VLOOKUP(O$2,行为概览!$D$3:$L$33,9,0)="","",VLOOKUP(O$2,行为概览!$D$3:$L$33,9,0)*IF(玩法行为规划!N119&gt;0,1,0))</f>
        <v/>
      </c>
      <c r="P119" s="7">
        <f>IF(VLOOKUP(P$2,行为概览!$D$3:$L$33,9,0)="","",VLOOKUP(P$2,行为概览!$D$3:$L$33,9,0)*IF(玩法行为规划!O119&gt;0,1,0))</f>
        <v>0.5</v>
      </c>
      <c r="Q119" s="7">
        <f>IF(VLOOKUP(Q$2,行为概览!$D$3:$L$33,9,0)="","",VLOOKUP(Q$2,行为概览!$D$3:$L$33,9,0)*IF(玩法行为规划!P119&gt;0,1,0))</f>
        <v>5</v>
      </c>
      <c r="R119" s="7" t="str">
        <f>IF(VLOOKUP(R$2,行为概览!$D$3:$L$33,9,0)="","",VLOOKUP(R$2,行为概览!$D$3:$L$33,9,0)*IF(玩法行为规划!Q119&gt;0,1,0))</f>
        <v/>
      </c>
      <c r="S119" s="7">
        <f>IF(VLOOKUP(S$2,行为概览!$D$3:$L$33,9,0)="","",VLOOKUP(S$2,行为概览!$D$3:$L$33,9,0)*IF(玩法行为规划!R119&gt;0,1,0))</f>
        <v>1</v>
      </c>
      <c r="T119" s="7">
        <f>IF(VLOOKUP(T$2,行为概览!$D$3:$L$33,9,0)="","",VLOOKUP(T$2,行为概览!$D$3:$L$33,9,0)*IF(玩法行为规划!S119&gt;0,1,0))</f>
        <v>0</v>
      </c>
      <c r="U119" s="7">
        <f>IF(VLOOKUP(U$2,行为概览!$D$3:$L$33,9,0)="","",VLOOKUP(U$2,行为概览!$D$3:$L$33,9,0)*IF(玩法行为规划!T119&gt;0,1,0))</f>
        <v>1</v>
      </c>
      <c r="V119" s="7">
        <f>IF(VLOOKUP(V$2,行为概览!$D$3:$L$33,9,0)="","",VLOOKUP(V$2,行为概览!$D$3:$L$33,9,0)*IF(玩法行为规划!U119&gt;0,1,0))</f>
        <v>1.5</v>
      </c>
      <c r="W119" s="7">
        <f>IF(VLOOKUP(W$2,行为概览!$D$3:$L$33,9,0)="","",VLOOKUP(W$2,行为概览!$D$3:$L$33,9,0)*IF(玩法行为规划!V119&gt;0,1,0))</f>
        <v>1</v>
      </c>
      <c r="X119" s="7">
        <f>IF(VLOOKUP(X$2,行为概览!$D$3:$L$33,9,0)="","",VLOOKUP(X$2,行为概览!$D$3:$L$33,9,0)*IF(玩法行为规划!W119&gt;0,1,0))</f>
        <v>1</v>
      </c>
      <c r="Y119" s="7">
        <f>IF(VLOOKUP(Y$2,行为概览!$D$3:$L$33,9,0)="","",VLOOKUP(Y$2,行为概览!$D$3:$L$33,9,0)*IF(玩法行为规划!X119&gt;0,1,0))</f>
        <v>1</v>
      </c>
      <c r="Z119" s="7">
        <f>IF(VLOOKUP(Z$2,行为概览!$D$3:$L$33,9,0)="","",VLOOKUP(Z$2,行为概览!$D$3:$L$33,9,0)*IF(玩法行为规划!Y119&gt;0,1,0))</f>
        <v>3</v>
      </c>
      <c r="AA119" s="7">
        <f>IF(VLOOKUP(AA$2,行为概览!$D$3:$L$33,9,0)="","",VLOOKUP(AA$2,行为概览!$D$3:$L$33,9,0)*IF(玩法行为规划!Z119&gt;0,1,0))</f>
        <v>0.5</v>
      </c>
      <c r="AB119" s="7" t="str">
        <f>IF(VLOOKUP(AB$2,行为概览!$D$3:$L$33,9,0)="","",VLOOKUP(AB$2,行为概览!$D$3:$L$33,9,0)*IF(玩法行为规划!AA119&gt;0,1,0))</f>
        <v/>
      </c>
      <c r="AC119" s="7" t="str">
        <f>IF(VLOOKUP(AC$2,行为概览!$D$3:$L$33,9,0)="","",VLOOKUP(AC$2,行为概览!$D$3:$L$33,9,0)*IF(玩法行为规划!AB119&gt;0,1,0))</f>
        <v/>
      </c>
      <c r="AD119" s="7" t="str">
        <f>IF(VLOOKUP(AD$2,行为概览!$D$3:$L$33,9,0)="","",VLOOKUP(AD$2,行为概览!$D$3:$L$33,9,0)*玩法行为规划!AC119)</f>
        <v/>
      </c>
      <c r="AE119" s="7" t="str">
        <f>IF(VLOOKUP(AE$2,行为概览!$D$3:$L$33,9,0)="","",VLOOKUP(AE$2,行为概览!$D$3:$L$33,9,0)*玩法行为规划!AD119)</f>
        <v/>
      </c>
      <c r="AF119" s="7">
        <f t="shared" si="23"/>
        <v>24.65</v>
      </c>
      <c r="AG119" s="10">
        <f t="shared" si="24"/>
        <v>2884050</v>
      </c>
      <c r="AH119" s="7">
        <f>ROUND(AG119*升级节奏!G119,0)</f>
        <v>56338234</v>
      </c>
      <c r="AI119" s="7">
        <f t="shared" si="15"/>
        <v>1017900</v>
      </c>
      <c r="AJ119" s="21" t="str">
        <f t="shared" si="25"/>
        <v/>
      </c>
      <c r="AK119" s="7">
        <f t="shared" si="16"/>
        <v>1.7747012028390897E-2</v>
      </c>
      <c r="AL119" s="7">
        <f t="shared" si="17"/>
        <v>57356134</v>
      </c>
      <c r="AM119" s="7">
        <f>SUM($AL$3:AL119)</f>
        <v>1579253123</v>
      </c>
      <c r="AN119" s="166">
        <f t="shared" si="18"/>
        <v>1901300</v>
      </c>
      <c r="AO119" s="7">
        <f>SUM($AN$3:AN119)*7</f>
        <v>370122200</v>
      </c>
      <c r="AP119" s="69">
        <f t="shared" si="19"/>
        <v>1200645123</v>
      </c>
      <c r="AQ119" s="160">
        <f t="shared" si="20"/>
        <v>5657200</v>
      </c>
      <c r="AR119" s="160">
        <f t="shared" si="21"/>
        <v>2828600</v>
      </c>
    </row>
    <row r="120" spans="1:44">
      <c r="A120" s="32">
        <v>118</v>
      </c>
      <c r="B120" s="81">
        <f>升级节奏!E120</f>
        <v>118000</v>
      </c>
      <c r="C120" s="7">
        <f>IF(VLOOKUP(C$2,行为概览!$D$3:$L$33,9,0)="","",VLOOKUP(C$2,行为概览!$D$3:$L$33,9,0)*IF(玩法行为规划!B120&gt;0,1,0))</f>
        <v>4</v>
      </c>
      <c r="D120" s="7">
        <f>IF(VLOOKUP(D$2,行为概览!$D$3:$L$33,9,0)="","",VLOOKUP(D$2,行为概览!$D$3:$L$33,9,0)*IF(玩法行为规划!C120&gt;0,1,0))</f>
        <v>1.65</v>
      </c>
      <c r="E120" s="7">
        <f>IF(VLOOKUP(E$2,行为概览!$D$3:$L$33,9,0)="","",VLOOKUP(E$2,行为概览!$D$3:$L$33,9,0)*IF(玩法行为规划!D120&gt;0,1,0))</f>
        <v>0.5</v>
      </c>
      <c r="F120" s="7">
        <f>IF(VLOOKUP(F$2,行为概览!$D$3:$L$33,9,0)="","",VLOOKUP(F$2,行为概览!$D$3:$L$33,9,0)*IF(玩法行为规划!E120&gt;0,1,0))</f>
        <v>1</v>
      </c>
      <c r="G120" s="7" t="str">
        <f>IF(VLOOKUP(G$2,行为概览!$D$3:$L$33,9,0)="","",VLOOKUP(G$2,行为概览!$D$3:$L$33,9,0)*IF(玩法行为规划!F120&gt;0,1,0))</f>
        <v/>
      </c>
      <c r="H120" s="7" t="str">
        <f>IF(VLOOKUP(H$2,行为概览!$D$3:$L$33,9,0)="","",VLOOKUP(H$2,行为概览!$D$3:$L$33,9,0)*IF(玩法行为规划!G120&gt;0,1,0))</f>
        <v/>
      </c>
      <c r="I120" s="7" t="str">
        <f>IF(VLOOKUP(I$2,行为概览!$D$3:$L$33,9,0)="","",VLOOKUP(I$2,行为概览!$D$3:$L$33,9,0)*IF(玩法行为规划!H120&gt;0,1,0))</f>
        <v/>
      </c>
      <c r="J120" s="7" t="str">
        <f>IF(VLOOKUP(J$2,行为概览!$D$3:$L$33,9,0)="","",VLOOKUP(J$2,行为概览!$D$3:$L$33,9,0)*IF(玩法行为规划!I120&gt;0,1,0))</f>
        <v/>
      </c>
      <c r="K120" s="7">
        <f>IF(VLOOKUP(K$2,行为概览!$D$3:$L$33,9,0)="","",VLOOKUP(K$2,行为概览!$D$3:$L$33,9,0)*IF(玩法行为规划!J120&gt;0,1,0))</f>
        <v>1</v>
      </c>
      <c r="L120" s="7">
        <f>IF(VLOOKUP(L$2,行为概览!$D$3:$L$33,9,0)="","",VLOOKUP(L$2,行为概览!$D$3:$L$33,9,0)*IF(玩法行为规划!K120&gt;0,1,0))</f>
        <v>1</v>
      </c>
      <c r="M120" s="7" t="str">
        <f>IF(VLOOKUP(M$2,行为概览!$D$3:$L$33,9,0)="","",VLOOKUP(M$2,行为概览!$D$3:$L$33,9,0)*IF(玩法行为规划!L120&gt;0,1,0))</f>
        <v/>
      </c>
      <c r="N120" s="7" t="str">
        <f>IF(VLOOKUP(N$2,行为概览!$D$3:$L$33,9,0)="","",VLOOKUP(N$2,行为概览!$D$3:$L$33,9,0)*IF(玩法行为规划!M120&gt;0,1,0))</f>
        <v/>
      </c>
      <c r="O120" s="7" t="str">
        <f>IF(VLOOKUP(O$2,行为概览!$D$3:$L$33,9,0)="","",VLOOKUP(O$2,行为概览!$D$3:$L$33,9,0)*IF(玩法行为规划!N120&gt;0,1,0))</f>
        <v/>
      </c>
      <c r="P120" s="7">
        <f>IF(VLOOKUP(P$2,行为概览!$D$3:$L$33,9,0)="","",VLOOKUP(P$2,行为概览!$D$3:$L$33,9,0)*IF(玩法行为规划!O120&gt;0,1,0))</f>
        <v>0.5</v>
      </c>
      <c r="Q120" s="7">
        <f>IF(VLOOKUP(Q$2,行为概览!$D$3:$L$33,9,0)="","",VLOOKUP(Q$2,行为概览!$D$3:$L$33,9,0)*IF(玩法行为规划!P120&gt;0,1,0))</f>
        <v>5</v>
      </c>
      <c r="R120" s="7" t="str">
        <f>IF(VLOOKUP(R$2,行为概览!$D$3:$L$33,9,0)="","",VLOOKUP(R$2,行为概览!$D$3:$L$33,9,0)*IF(玩法行为规划!Q120&gt;0,1,0))</f>
        <v/>
      </c>
      <c r="S120" s="7">
        <f>IF(VLOOKUP(S$2,行为概览!$D$3:$L$33,9,0)="","",VLOOKUP(S$2,行为概览!$D$3:$L$33,9,0)*IF(玩法行为规划!R120&gt;0,1,0))</f>
        <v>1</v>
      </c>
      <c r="T120" s="7">
        <f>IF(VLOOKUP(T$2,行为概览!$D$3:$L$33,9,0)="","",VLOOKUP(T$2,行为概览!$D$3:$L$33,9,0)*IF(玩法行为规划!S120&gt;0,1,0))</f>
        <v>0</v>
      </c>
      <c r="U120" s="7">
        <f>IF(VLOOKUP(U$2,行为概览!$D$3:$L$33,9,0)="","",VLOOKUP(U$2,行为概览!$D$3:$L$33,9,0)*IF(玩法行为规划!T120&gt;0,1,0))</f>
        <v>1</v>
      </c>
      <c r="V120" s="7">
        <f>IF(VLOOKUP(V$2,行为概览!$D$3:$L$33,9,0)="","",VLOOKUP(V$2,行为概览!$D$3:$L$33,9,0)*IF(玩法行为规划!U120&gt;0,1,0))</f>
        <v>1.5</v>
      </c>
      <c r="W120" s="7">
        <f>IF(VLOOKUP(W$2,行为概览!$D$3:$L$33,9,0)="","",VLOOKUP(W$2,行为概览!$D$3:$L$33,9,0)*IF(玩法行为规划!V120&gt;0,1,0))</f>
        <v>1</v>
      </c>
      <c r="X120" s="7">
        <f>IF(VLOOKUP(X$2,行为概览!$D$3:$L$33,9,0)="","",VLOOKUP(X$2,行为概览!$D$3:$L$33,9,0)*IF(玩法行为规划!W120&gt;0,1,0))</f>
        <v>1</v>
      </c>
      <c r="Y120" s="7">
        <f>IF(VLOOKUP(Y$2,行为概览!$D$3:$L$33,9,0)="","",VLOOKUP(Y$2,行为概览!$D$3:$L$33,9,0)*IF(玩法行为规划!X120&gt;0,1,0))</f>
        <v>1</v>
      </c>
      <c r="Z120" s="7">
        <f>IF(VLOOKUP(Z$2,行为概览!$D$3:$L$33,9,0)="","",VLOOKUP(Z$2,行为概览!$D$3:$L$33,9,0)*IF(玩法行为规划!Y120&gt;0,1,0))</f>
        <v>3</v>
      </c>
      <c r="AA120" s="7">
        <f>IF(VLOOKUP(AA$2,行为概览!$D$3:$L$33,9,0)="","",VLOOKUP(AA$2,行为概览!$D$3:$L$33,9,0)*IF(玩法行为规划!Z120&gt;0,1,0))</f>
        <v>0.5</v>
      </c>
      <c r="AB120" s="7" t="str">
        <f>IF(VLOOKUP(AB$2,行为概览!$D$3:$L$33,9,0)="","",VLOOKUP(AB$2,行为概览!$D$3:$L$33,9,0)*IF(玩法行为规划!AA120&gt;0,1,0))</f>
        <v/>
      </c>
      <c r="AC120" s="7" t="str">
        <f>IF(VLOOKUP(AC$2,行为概览!$D$3:$L$33,9,0)="","",VLOOKUP(AC$2,行为概览!$D$3:$L$33,9,0)*IF(玩法行为规划!AB120&gt;0,1,0))</f>
        <v/>
      </c>
      <c r="AD120" s="7" t="str">
        <f>IF(VLOOKUP(AD$2,行为概览!$D$3:$L$33,9,0)="","",VLOOKUP(AD$2,行为概览!$D$3:$L$33,9,0)*玩法行为规划!AC120)</f>
        <v/>
      </c>
      <c r="AE120" s="7" t="str">
        <f>IF(VLOOKUP(AE$2,行为概览!$D$3:$L$33,9,0)="","",VLOOKUP(AE$2,行为概览!$D$3:$L$33,9,0)*玩法行为规划!AD120)</f>
        <v/>
      </c>
      <c r="AF120" s="7">
        <f t="shared" si="23"/>
        <v>24.65</v>
      </c>
      <c r="AG120" s="10">
        <f t="shared" si="24"/>
        <v>2908700</v>
      </c>
      <c r="AH120" s="7">
        <f>ROUND(AG120*升级节奏!G120,0)</f>
        <v>57788112</v>
      </c>
      <c r="AI120" s="7">
        <f t="shared" si="15"/>
        <v>1038400</v>
      </c>
      <c r="AJ120" s="21" t="str">
        <f t="shared" si="25"/>
        <v/>
      </c>
      <c r="AK120" s="7">
        <f t="shared" si="16"/>
        <v>1.7651904977810006E-2</v>
      </c>
      <c r="AL120" s="7">
        <f t="shared" si="17"/>
        <v>58826512</v>
      </c>
      <c r="AM120" s="7">
        <f>SUM($AL$3:AL120)</f>
        <v>1638079635</v>
      </c>
      <c r="AN120" s="166">
        <f t="shared" si="18"/>
        <v>1949900</v>
      </c>
      <c r="AO120" s="7">
        <f>SUM($AN$3:AN120)*7</f>
        <v>383771500</v>
      </c>
      <c r="AP120" s="69">
        <f t="shared" si="19"/>
        <v>1245604535</v>
      </c>
      <c r="AQ120" s="160">
        <f t="shared" si="20"/>
        <v>5802400</v>
      </c>
      <c r="AR120" s="160">
        <f t="shared" si="21"/>
        <v>2901200</v>
      </c>
    </row>
    <row r="121" spans="1:44">
      <c r="A121" s="32">
        <v>119</v>
      </c>
      <c r="B121" s="81">
        <f>升级节奏!E121</f>
        <v>119000</v>
      </c>
      <c r="C121" s="7">
        <f>IF(VLOOKUP(C$2,行为概览!$D$3:$L$33,9,0)="","",VLOOKUP(C$2,行为概览!$D$3:$L$33,9,0)*IF(玩法行为规划!B121&gt;0,1,0))</f>
        <v>4</v>
      </c>
      <c r="D121" s="7">
        <f>IF(VLOOKUP(D$2,行为概览!$D$3:$L$33,9,0)="","",VLOOKUP(D$2,行为概览!$D$3:$L$33,9,0)*IF(玩法行为规划!C121&gt;0,1,0))</f>
        <v>1.65</v>
      </c>
      <c r="E121" s="7">
        <f>IF(VLOOKUP(E$2,行为概览!$D$3:$L$33,9,0)="","",VLOOKUP(E$2,行为概览!$D$3:$L$33,9,0)*IF(玩法行为规划!D121&gt;0,1,0))</f>
        <v>0.5</v>
      </c>
      <c r="F121" s="7">
        <f>IF(VLOOKUP(F$2,行为概览!$D$3:$L$33,9,0)="","",VLOOKUP(F$2,行为概览!$D$3:$L$33,9,0)*IF(玩法行为规划!E121&gt;0,1,0))</f>
        <v>1</v>
      </c>
      <c r="G121" s="7" t="str">
        <f>IF(VLOOKUP(G$2,行为概览!$D$3:$L$33,9,0)="","",VLOOKUP(G$2,行为概览!$D$3:$L$33,9,0)*IF(玩法行为规划!F121&gt;0,1,0))</f>
        <v/>
      </c>
      <c r="H121" s="7" t="str">
        <f>IF(VLOOKUP(H$2,行为概览!$D$3:$L$33,9,0)="","",VLOOKUP(H$2,行为概览!$D$3:$L$33,9,0)*IF(玩法行为规划!G121&gt;0,1,0))</f>
        <v/>
      </c>
      <c r="I121" s="7" t="str">
        <f>IF(VLOOKUP(I$2,行为概览!$D$3:$L$33,9,0)="","",VLOOKUP(I$2,行为概览!$D$3:$L$33,9,0)*IF(玩法行为规划!H121&gt;0,1,0))</f>
        <v/>
      </c>
      <c r="J121" s="7" t="str">
        <f>IF(VLOOKUP(J$2,行为概览!$D$3:$L$33,9,0)="","",VLOOKUP(J$2,行为概览!$D$3:$L$33,9,0)*IF(玩法行为规划!I121&gt;0,1,0))</f>
        <v/>
      </c>
      <c r="K121" s="7">
        <f>IF(VLOOKUP(K$2,行为概览!$D$3:$L$33,9,0)="","",VLOOKUP(K$2,行为概览!$D$3:$L$33,9,0)*IF(玩法行为规划!J121&gt;0,1,0))</f>
        <v>1</v>
      </c>
      <c r="L121" s="7">
        <f>IF(VLOOKUP(L$2,行为概览!$D$3:$L$33,9,0)="","",VLOOKUP(L$2,行为概览!$D$3:$L$33,9,0)*IF(玩法行为规划!K121&gt;0,1,0))</f>
        <v>1</v>
      </c>
      <c r="M121" s="7" t="str">
        <f>IF(VLOOKUP(M$2,行为概览!$D$3:$L$33,9,0)="","",VLOOKUP(M$2,行为概览!$D$3:$L$33,9,0)*IF(玩法行为规划!L121&gt;0,1,0))</f>
        <v/>
      </c>
      <c r="N121" s="7" t="str">
        <f>IF(VLOOKUP(N$2,行为概览!$D$3:$L$33,9,0)="","",VLOOKUP(N$2,行为概览!$D$3:$L$33,9,0)*IF(玩法行为规划!M121&gt;0,1,0))</f>
        <v/>
      </c>
      <c r="O121" s="7" t="str">
        <f>IF(VLOOKUP(O$2,行为概览!$D$3:$L$33,9,0)="","",VLOOKUP(O$2,行为概览!$D$3:$L$33,9,0)*IF(玩法行为规划!N121&gt;0,1,0))</f>
        <v/>
      </c>
      <c r="P121" s="7">
        <f>IF(VLOOKUP(P$2,行为概览!$D$3:$L$33,9,0)="","",VLOOKUP(P$2,行为概览!$D$3:$L$33,9,0)*IF(玩法行为规划!O121&gt;0,1,0))</f>
        <v>0.5</v>
      </c>
      <c r="Q121" s="7">
        <f>IF(VLOOKUP(Q$2,行为概览!$D$3:$L$33,9,0)="","",VLOOKUP(Q$2,行为概览!$D$3:$L$33,9,0)*IF(玩法行为规划!P121&gt;0,1,0))</f>
        <v>5</v>
      </c>
      <c r="R121" s="7" t="str">
        <f>IF(VLOOKUP(R$2,行为概览!$D$3:$L$33,9,0)="","",VLOOKUP(R$2,行为概览!$D$3:$L$33,9,0)*IF(玩法行为规划!Q121&gt;0,1,0))</f>
        <v/>
      </c>
      <c r="S121" s="7">
        <f>IF(VLOOKUP(S$2,行为概览!$D$3:$L$33,9,0)="","",VLOOKUP(S$2,行为概览!$D$3:$L$33,9,0)*IF(玩法行为规划!R121&gt;0,1,0))</f>
        <v>1</v>
      </c>
      <c r="T121" s="7">
        <f>IF(VLOOKUP(T$2,行为概览!$D$3:$L$33,9,0)="","",VLOOKUP(T$2,行为概览!$D$3:$L$33,9,0)*IF(玩法行为规划!S121&gt;0,1,0))</f>
        <v>0</v>
      </c>
      <c r="U121" s="7">
        <f>IF(VLOOKUP(U$2,行为概览!$D$3:$L$33,9,0)="","",VLOOKUP(U$2,行为概览!$D$3:$L$33,9,0)*IF(玩法行为规划!T121&gt;0,1,0))</f>
        <v>1</v>
      </c>
      <c r="V121" s="7">
        <f>IF(VLOOKUP(V$2,行为概览!$D$3:$L$33,9,0)="","",VLOOKUP(V$2,行为概览!$D$3:$L$33,9,0)*IF(玩法行为规划!U121&gt;0,1,0))</f>
        <v>1.5</v>
      </c>
      <c r="W121" s="7">
        <f>IF(VLOOKUP(W$2,行为概览!$D$3:$L$33,9,0)="","",VLOOKUP(W$2,行为概览!$D$3:$L$33,9,0)*IF(玩法行为规划!V121&gt;0,1,0))</f>
        <v>1</v>
      </c>
      <c r="X121" s="7">
        <f>IF(VLOOKUP(X$2,行为概览!$D$3:$L$33,9,0)="","",VLOOKUP(X$2,行为概览!$D$3:$L$33,9,0)*IF(玩法行为规划!W121&gt;0,1,0))</f>
        <v>1</v>
      </c>
      <c r="Y121" s="7">
        <f>IF(VLOOKUP(Y$2,行为概览!$D$3:$L$33,9,0)="","",VLOOKUP(Y$2,行为概览!$D$3:$L$33,9,0)*IF(玩法行为规划!X121&gt;0,1,0))</f>
        <v>1</v>
      </c>
      <c r="Z121" s="7">
        <f>IF(VLOOKUP(Z$2,行为概览!$D$3:$L$33,9,0)="","",VLOOKUP(Z$2,行为概览!$D$3:$L$33,9,0)*IF(玩法行为规划!Y121&gt;0,1,0))</f>
        <v>3</v>
      </c>
      <c r="AA121" s="7">
        <f>IF(VLOOKUP(AA$2,行为概览!$D$3:$L$33,9,0)="","",VLOOKUP(AA$2,行为概览!$D$3:$L$33,9,0)*IF(玩法行为规划!Z121&gt;0,1,0))</f>
        <v>0.5</v>
      </c>
      <c r="AB121" s="7" t="str">
        <f>IF(VLOOKUP(AB$2,行为概览!$D$3:$L$33,9,0)="","",VLOOKUP(AB$2,行为概览!$D$3:$L$33,9,0)*IF(玩法行为规划!AA121&gt;0,1,0))</f>
        <v/>
      </c>
      <c r="AC121" s="7" t="str">
        <f>IF(VLOOKUP(AC$2,行为概览!$D$3:$L$33,9,0)="","",VLOOKUP(AC$2,行为概览!$D$3:$L$33,9,0)*IF(玩法行为规划!AB121&gt;0,1,0))</f>
        <v/>
      </c>
      <c r="AD121" s="7" t="str">
        <f>IF(VLOOKUP(AD$2,行为概览!$D$3:$L$33,9,0)="","",VLOOKUP(AD$2,行为概览!$D$3:$L$33,9,0)*玩法行为规划!AC121)</f>
        <v/>
      </c>
      <c r="AE121" s="7" t="str">
        <f>IF(VLOOKUP(AE$2,行为概览!$D$3:$L$33,9,0)="","",VLOOKUP(AE$2,行为概览!$D$3:$L$33,9,0)*玩法行为规划!AD121)</f>
        <v/>
      </c>
      <c r="AF121" s="7">
        <f t="shared" si="23"/>
        <v>24.65</v>
      </c>
      <c r="AG121" s="10">
        <f t="shared" si="24"/>
        <v>2933350</v>
      </c>
      <c r="AH121" s="7">
        <f>ROUND(AG121*升级节奏!G121,0)</f>
        <v>59262714</v>
      </c>
      <c r="AI121" s="7">
        <f t="shared" si="15"/>
        <v>1059100</v>
      </c>
      <c r="AJ121" s="21" t="str">
        <f t="shared" si="25"/>
        <v/>
      </c>
      <c r="AK121" s="7">
        <f t="shared" si="16"/>
        <v>1.7557495867083838E-2</v>
      </c>
      <c r="AL121" s="7">
        <f t="shared" si="17"/>
        <v>60321814</v>
      </c>
      <c r="AM121" s="7">
        <f>SUM($AL$3:AL121)</f>
        <v>1698401449</v>
      </c>
      <c r="AN121" s="166">
        <f t="shared" si="18"/>
        <v>1999200</v>
      </c>
      <c r="AO121" s="7">
        <f>SUM($AN$3:AN121)*7</f>
        <v>397765900</v>
      </c>
      <c r="AP121" s="69">
        <f t="shared" si="19"/>
        <v>1291710449</v>
      </c>
      <c r="AQ121" s="160">
        <f t="shared" si="20"/>
        <v>5950100</v>
      </c>
      <c r="AR121" s="160">
        <f t="shared" si="21"/>
        <v>2975000</v>
      </c>
    </row>
    <row r="122" spans="1:44">
      <c r="A122" s="32">
        <v>120</v>
      </c>
      <c r="B122" s="81">
        <f>升级节奏!E122</f>
        <v>120000</v>
      </c>
      <c r="C122" s="7">
        <f>IF(VLOOKUP(C$2,行为概览!$D$3:$L$33,9,0)="","",VLOOKUP(C$2,行为概览!$D$3:$L$33,9,0)*IF(玩法行为规划!B122&gt;0,1,0))</f>
        <v>4</v>
      </c>
      <c r="D122" s="7">
        <f>IF(VLOOKUP(D$2,行为概览!$D$3:$L$33,9,0)="","",VLOOKUP(D$2,行为概览!$D$3:$L$33,9,0)*IF(玩法行为规划!C122&gt;0,1,0))</f>
        <v>1.65</v>
      </c>
      <c r="E122" s="7">
        <f>IF(VLOOKUP(E$2,行为概览!$D$3:$L$33,9,0)="","",VLOOKUP(E$2,行为概览!$D$3:$L$33,9,0)*IF(玩法行为规划!D122&gt;0,1,0))</f>
        <v>0.5</v>
      </c>
      <c r="F122" s="7">
        <f>IF(VLOOKUP(F$2,行为概览!$D$3:$L$33,9,0)="","",VLOOKUP(F$2,行为概览!$D$3:$L$33,9,0)*IF(玩法行为规划!E122&gt;0,1,0))</f>
        <v>1</v>
      </c>
      <c r="G122" s="7" t="str">
        <f>IF(VLOOKUP(G$2,行为概览!$D$3:$L$33,9,0)="","",VLOOKUP(G$2,行为概览!$D$3:$L$33,9,0)*IF(玩法行为规划!F122&gt;0,1,0))</f>
        <v/>
      </c>
      <c r="H122" s="7" t="str">
        <f>IF(VLOOKUP(H$2,行为概览!$D$3:$L$33,9,0)="","",VLOOKUP(H$2,行为概览!$D$3:$L$33,9,0)*IF(玩法行为规划!G122&gt;0,1,0))</f>
        <v/>
      </c>
      <c r="I122" s="7" t="str">
        <f>IF(VLOOKUP(I$2,行为概览!$D$3:$L$33,9,0)="","",VLOOKUP(I$2,行为概览!$D$3:$L$33,9,0)*IF(玩法行为规划!H122&gt;0,1,0))</f>
        <v/>
      </c>
      <c r="J122" s="7" t="str">
        <f>IF(VLOOKUP(J$2,行为概览!$D$3:$L$33,9,0)="","",VLOOKUP(J$2,行为概览!$D$3:$L$33,9,0)*IF(玩法行为规划!I122&gt;0,1,0))</f>
        <v/>
      </c>
      <c r="K122" s="7">
        <f>IF(VLOOKUP(K$2,行为概览!$D$3:$L$33,9,0)="","",VLOOKUP(K$2,行为概览!$D$3:$L$33,9,0)*IF(玩法行为规划!J122&gt;0,1,0))</f>
        <v>1</v>
      </c>
      <c r="L122" s="7">
        <f>IF(VLOOKUP(L$2,行为概览!$D$3:$L$33,9,0)="","",VLOOKUP(L$2,行为概览!$D$3:$L$33,9,0)*IF(玩法行为规划!K122&gt;0,1,0))</f>
        <v>1</v>
      </c>
      <c r="M122" s="7" t="str">
        <f>IF(VLOOKUP(M$2,行为概览!$D$3:$L$33,9,0)="","",VLOOKUP(M$2,行为概览!$D$3:$L$33,9,0)*IF(玩法行为规划!L122&gt;0,1,0))</f>
        <v/>
      </c>
      <c r="N122" s="7" t="str">
        <f>IF(VLOOKUP(N$2,行为概览!$D$3:$L$33,9,0)="","",VLOOKUP(N$2,行为概览!$D$3:$L$33,9,0)*IF(玩法行为规划!M122&gt;0,1,0))</f>
        <v/>
      </c>
      <c r="O122" s="7" t="str">
        <f>IF(VLOOKUP(O$2,行为概览!$D$3:$L$33,9,0)="","",VLOOKUP(O$2,行为概览!$D$3:$L$33,9,0)*IF(玩法行为规划!N122&gt;0,1,0))</f>
        <v/>
      </c>
      <c r="P122" s="7">
        <f>IF(VLOOKUP(P$2,行为概览!$D$3:$L$33,9,0)="","",VLOOKUP(P$2,行为概览!$D$3:$L$33,9,0)*IF(玩法行为规划!O122&gt;0,1,0))</f>
        <v>0.5</v>
      </c>
      <c r="Q122" s="7">
        <f>IF(VLOOKUP(Q$2,行为概览!$D$3:$L$33,9,0)="","",VLOOKUP(Q$2,行为概览!$D$3:$L$33,9,0)*IF(玩法行为规划!P122&gt;0,1,0))</f>
        <v>5</v>
      </c>
      <c r="R122" s="7" t="str">
        <f>IF(VLOOKUP(R$2,行为概览!$D$3:$L$33,9,0)="","",VLOOKUP(R$2,行为概览!$D$3:$L$33,9,0)*IF(玩法行为规划!Q122&gt;0,1,0))</f>
        <v/>
      </c>
      <c r="S122" s="7">
        <f>IF(VLOOKUP(S$2,行为概览!$D$3:$L$33,9,0)="","",VLOOKUP(S$2,行为概览!$D$3:$L$33,9,0)*IF(玩法行为规划!R122&gt;0,1,0))</f>
        <v>1</v>
      </c>
      <c r="T122" s="7">
        <f>IF(VLOOKUP(T$2,行为概览!$D$3:$L$33,9,0)="","",VLOOKUP(T$2,行为概览!$D$3:$L$33,9,0)*IF(玩法行为规划!S122&gt;0,1,0))</f>
        <v>0</v>
      </c>
      <c r="U122" s="7">
        <f>IF(VLOOKUP(U$2,行为概览!$D$3:$L$33,9,0)="","",VLOOKUP(U$2,行为概览!$D$3:$L$33,9,0)*IF(玩法行为规划!T122&gt;0,1,0))</f>
        <v>1</v>
      </c>
      <c r="V122" s="7">
        <f>IF(VLOOKUP(V$2,行为概览!$D$3:$L$33,9,0)="","",VLOOKUP(V$2,行为概览!$D$3:$L$33,9,0)*IF(玩法行为规划!U122&gt;0,1,0))</f>
        <v>1.5</v>
      </c>
      <c r="W122" s="7">
        <f>IF(VLOOKUP(W$2,行为概览!$D$3:$L$33,9,0)="","",VLOOKUP(W$2,行为概览!$D$3:$L$33,9,0)*IF(玩法行为规划!V122&gt;0,1,0))</f>
        <v>1</v>
      </c>
      <c r="X122" s="7">
        <f>IF(VLOOKUP(X$2,行为概览!$D$3:$L$33,9,0)="","",VLOOKUP(X$2,行为概览!$D$3:$L$33,9,0)*IF(玩法行为规划!W122&gt;0,1,0))</f>
        <v>1</v>
      </c>
      <c r="Y122" s="7">
        <f>IF(VLOOKUP(Y$2,行为概览!$D$3:$L$33,9,0)="","",VLOOKUP(Y$2,行为概览!$D$3:$L$33,9,0)*IF(玩法行为规划!X122&gt;0,1,0))</f>
        <v>1</v>
      </c>
      <c r="Z122" s="7">
        <f>IF(VLOOKUP(Z$2,行为概览!$D$3:$L$33,9,0)="","",VLOOKUP(Z$2,行为概览!$D$3:$L$33,9,0)*IF(玩法行为规划!Y122&gt;0,1,0))</f>
        <v>3</v>
      </c>
      <c r="AA122" s="7">
        <f>IF(VLOOKUP(AA$2,行为概览!$D$3:$L$33,9,0)="","",VLOOKUP(AA$2,行为概览!$D$3:$L$33,9,0)*IF(玩法行为规划!Z122&gt;0,1,0))</f>
        <v>0.5</v>
      </c>
      <c r="AB122" s="7" t="str">
        <f>IF(VLOOKUP(AB$2,行为概览!$D$3:$L$33,9,0)="","",VLOOKUP(AB$2,行为概览!$D$3:$L$33,9,0)*IF(玩法行为规划!AA122&gt;0,1,0))</f>
        <v/>
      </c>
      <c r="AC122" s="7" t="str">
        <f>IF(VLOOKUP(AC$2,行为概览!$D$3:$L$33,9,0)="","",VLOOKUP(AC$2,行为概览!$D$3:$L$33,9,0)*IF(玩法行为规划!AB122&gt;0,1,0))</f>
        <v/>
      </c>
      <c r="AD122" s="7" t="str">
        <f>IF(VLOOKUP(AD$2,行为概览!$D$3:$L$33,9,0)="","",VLOOKUP(AD$2,行为概览!$D$3:$L$33,9,0)*玩法行为规划!AC122)</f>
        <v/>
      </c>
      <c r="AE122" s="7" t="str">
        <f>IF(VLOOKUP(AE$2,行为概览!$D$3:$L$33,9,0)="","",VLOOKUP(AE$2,行为概览!$D$3:$L$33,9,0)*玩法行为规划!AD122)</f>
        <v/>
      </c>
      <c r="AF122" s="7">
        <f t="shared" si="23"/>
        <v>24.65</v>
      </c>
      <c r="AG122" s="10">
        <f t="shared" si="24"/>
        <v>2958000</v>
      </c>
      <c r="AH122" s="7">
        <f>ROUND(AG122*升级节奏!G122,0)</f>
        <v>60762250</v>
      </c>
      <c r="AI122" s="7">
        <f t="shared" si="15"/>
        <v>1080000</v>
      </c>
      <c r="AJ122" s="21">
        <f t="shared" si="25"/>
        <v>11773500</v>
      </c>
      <c r="AK122" s="7">
        <f t="shared" si="16"/>
        <v>1.7463788914536583E-2</v>
      </c>
      <c r="AL122" s="7">
        <f t="shared" si="17"/>
        <v>61842250</v>
      </c>
      <c r="AM122" s="7">
        <f>SUM($AL$3:AL122)</f>
        <v>1760243699</v>
      </c>
      <c r="AN122" s="166">
        <f t="shared" si="18"/>
        <v>2049400</v>
      </c>
      <c r="AO122" s="7">
        <f>SUM($AN$3:AN122)*7</f>
        <v>412111700</v>
      </c>
      <c r="AP122" s="69">
        <f t="shared" si="19"/>
        <v>1338981699</v>
      </c>
      <c r="AQ122" s="160">
        <f t="shared" si="20"/>
        <v>6100200</v>
      </c>
      <c r="AR122" s="160">
        <f t="shared" si="21"/>
        <v>3050100</v>
      </c>
    </row>
    <row r="123" spans="1:44">
      <c r="A123" s="32">
        <v>121</v>
      </c>
      <c r="B123" s="81">
        <f>升级节奏!E123</f>
        <v>121000</v>
      </c>
      <c r="C123" s="7">
        <f>IF(VLOOKUP(C$2,行为概览!$D$3:$L$33,9,0)="","",VLOOKUP(C$2,行为概览!$D$3:$L$33,9,0)*IF(玩法行为规划!B123&gt;0,1,0))</f>
        <v>4</v>
      </c>
      <c r="D123" s="7">
        <f>IF(VLOOKUP(D$2,行为概览!$D$3:$L$33,9,0)="","",VLOOKUP(D$2,行为概览!$D$3:$L$33,9,0)*IF(玩法行为规划!C123&gt;0,1,0))</f>
        <v>1.65</v>
      </c>
      <c r="E123" s="7">
        <f>IF(VLOOKUP(E$2,行为概览!$D$3:$L$33,9,0)="","",VLOOKUP(E$2,行为概览!$D$3:$L$33,9,0)*IF(玩法行为规划!D123&gt;0,1,0))</f>
        <v>0.5</v>
      </c>
      <c r="F123" s="7">
        <f>IF(VLOOKUP(F$2,行为概览!$D$3:$L$33,9,0)="","",VLOOKUP(F$2,行为概览!$D$3:$L$33,9,0)*IF(玩法行为规划!E123&gt;0,1,0))</f>
        <v>1</v>
      </c>
      <c r="G123" s="7" t="str">
        <f>IF(VLOOKUP(G$2,行为概览!$D$3:$L$33,9,0)="","",VLOOKUP(G$2,行为概览!$D$3:$L$33,9,0)*IF(玩法行为规划!F123&gt;0,1,0))</f>
        <v/>
      </c>
      <c r="H123" s="7" t="str">
        <f>IF(VLOOKUP(H$2,行为概览!$D$3:$L$33,9,0)="","",VLOOKUP(H$2,行为概览!$D$3:$L$33,9,0)*IF(玩法行为规划!G123&gt;0,1,0))</f>
        <v/>
      </c>
      <c r="I123" s="7" t="str">
        <f>IF(VLOOKUP(I$2,行为概览!$D$3:$L$33,9,0)="","",VLOOKUP(I$2,行为概览!$D$3:$L$33,9,0)*IF(玩法行为规划!H123&gt;0,1,0))</f>
        <v/>
      </c>
      <c r="J123" s="7" t="str">
        <f>IF(VLOOKUP(J$2,行为概览!$D$3:$L$33,9,0)="","",VLOOKUP(J$2,行为概览!$D$3:$L$33,9,0)*IF(玩法行为规划!I123&gt;0,1,0))</f>
        <v/>
      </c>
      <c r="K123" s="7">
        <f>IF(VLOOKUP(K$2,行为概览!$D$3:$L$33,9,0)="","",VLOOKUP(K$2,行为概览!$D$3:$L$33,9,0)*IF(玩法行为规划!J123&gt;0,1,0))</f>
        <v>1</v>
      </c>
      <c r="L123" s="7">
        <f>IF(VLOOKUP(L$2,行为概览!$D$3:$L$33,9,0)="","",VLOOKUP(L$2,行为概览!$D$3:$L$33,9,0)*IF(玩法行为规划!K123&gt;0,1,0))</f>
        <v>1</v>
      </c>
      <c r="M123" s="7" t="str">
        <f>IF(VLOOKUP(M$2,行为概览!$D$3:$L$33,9,0)="","",VLOOKUP(M$2,行为概览!$D$3:$L$33,9,0)*IF(玩法行为规划!L123&gt;0,1,0))</f>
        <v/>
      </c>
      <c r="N123" s="7" t="str">
        <f>IF(VLOOKUP(N$2,行为概览!$D$3:$L$33,9,0)="","",VLOOKUP(N$2,行为概览!$D$3:$L$33,9,0)*IF(玩法行为规划!M123&gt;0,1,0))</f>
        <v/>
      </c>
      <c r="O123" s="7" t="str">
        <f>IF(VLOOKUP(O$2,行为概览!$D$3:$L$33,9,0)="","",VLOOKUP(O$2,行为概览!$D$3:$L$33,9,0)*IF(玩法行为规划!N123&gt;0,1,0))</f>
        <v/>
      </c>
      <c r="P123" s="7">
        <f>IF(VLOOKUP(P$2,行为概览!$D$3:$L$33,9,0)="","",VLOOKUP(P$2,行为概览!$D$3:$L$33,9,0)*IF(玩法行为规划!O123&gt;0,1,0))</f>
        <v>0.5</v>
      </c>
      <c r="Q123" s="7">
        <f>IF(VLOOKUP(Q$2,行为概览!$D$3:$L$33,9,0)="","",VLOOKUP(Q$2,行为概览!$D$3:$L$33,9,0)*IF(玩法行为规划!P123&gt;0,1,0))</f>
        <v>5</v>
      </c>
      <c r="R123" s="7" t="str">
        <f>IF(VLOOKUP(R$2,行为概览!$D$3:$L$33,9,0)="","",VLOOKUP(R$2,行为概览!$D$3:$L$33,9,0)*IF(玩法行为规划!Q123&gt;0,1,0))</f>
        <v/>
      </c>
      <c r="S123" s="7">
        <f>IF(VLOOKUP(S$2,行为概览!$D$3:$L$33,9,0)="","",VLOOKUP(S$2,行为概览!$D$3:$L$33,9,0)*IF(玩法行为规划!R123&gt;0,1,0))</f>
        <v>1</v>
      </c>
      <c r="T123" s="7">
        <f>IF(VLOOKUP(T$2,行为概览!$D$3:$L$33,9,0)="","",VLOOKUP(T$2,行为概览!$D$3:$L$33,9,0)*IF(玩法行为规划!S123&gt;0,1,0))</f>
        <v>0</v>
      </c>
      <c r="U123" s="7">
        <f>IF(VLOOKUP(U$2,行为概览!$D$3:$L$33,9,0)="","",VLOOKUP(U$2,行为概览!$D$3:$L$33,9,0)*IF(玩法行为规划!T123&gt;0,1,0))</f>
        <v>1</v>
      </c>
      <c r="V123" s="7">
        <f>IF(VLOOKUP(V$2,行为概览!$D$3:$L$33,9,0)="","",VLOOKUP(V$2,行为概览!$D$3:$L$33,9,0)*IF(玩法行为规划!U123&gt;0,1,0))</f>
        <v>1.5</v>
      </c>
      <c r="W123" s="7">
        <f>IF(VLOOKUP(W$2,行为概览!$D$3:$L$33,9,0)="","",VLOOKUP(W$2,行为概览!$D$3:$L$33,9,0)*IF(玩法行为规划!V123&gt;0,1,0))</f>
        <v>1</v>
      </c>
      <c r="X123" s="7">
        <f>IF(VLOOKUP(X$2,行为概览!$D$3:$L$33,9,0)="","",VLOOKUP(X$2,行为概览!$D$3:$L$33,9,0)*IF(玩法行为规划!W123&gt;0,1,0))</f>
        <v>1</v>
      </c>
      <c r="Y123" s="7">
        <f>IF(VLOOKUP(Y$2,行为概览!$D$3:$L$33,9,0)="","",VLOOKUP(Y$2,行为概览!$D$3:$L$33,9,0)*IF(玩法行为规划!X123&gt;0,1,0))</f>
        <v>1</v>
      </c>
      <c r="Z123" s="7">
        <f>IF(VLOOKUP(Z$2,行为概览!$D$3:$L$33,9,0)="","",VLOOKUP(Z$2,行为概览!$D$3:$L$33,9,0)*IF(玩法行为规划!Y123&gt;0,1,0))</f>
        <v>3</v>
      </c>
      <c r="AA123" s="7">
        <f>IF(VLOOKUP(AA$2,行为概览!$D$3:$L$33,9,0)="","",VLOOKUP(AA$2,行为概览!$D$3:$L$33,9,0)*IF(玩法行为规划!Z123&gt;0,1,0))</f>
        <v>0.5</v>
      </c>
      <c r="AB123" s="7" t="str">
        <f>IF(VLOOKUP(AB$2,行为概览!$D$3:$L$33,9,0)="","",VLOOKUP(AB$2,行为概览!$D$3:$L$33,9,0)*IF(玩法行为规划!AA123&gt;0,1,0))</f>
        <v/>
      </c>
      <c r="AC123" s="7" t="str">
        <f>IF(VLOOKUP(AC$2,行为概览!$D$3:$L$33,9,0)="","",VLOOKUP(AC$2,行为概览!$D$3:$L$33,9,0)*IF(玩法行为规划!AB123&gt;0,1,0))</f>
        <v/>
      </c>
      <c r="AD123" s="7" t="str">
        <f>IF(VLOOKUP(AD$2,行为概览!$D$3:$L$33,9,0)="","",VLOOKUP(AD$2,行为概览!$D$3:$L$33,9,0)*玩法行为规划!AC123)</f>
        <v/>
      </c>
      <c r="AE123" s="7" t="str">
        <f>IF(VLOOKUP(AE$2,行为概览!$D$3:$L$33,9,0)="","",VLOOKUP(AE$2,行为概览!$D$3:$L$33,9,0)*玩法行为规划!AD123)</f>
        <v/>
      </c>
      <c r="AF123" s="7">
        <f t="shared" si="23"/>
        <v>24.65</v>
      </c>
      <c r="AG123" s="10">
        <f t="shared" si="24"/>
        <v>2982650</v>
      </c>
      <c r="AH123" s="7">
        <f>ROUND(AG123*升级节奏!G123,0)</f>
        <v>62286929</v>
      </c>
      <c r="AI123" s="7">
        <f t="shared" si="15"/>
        <v>1101100</v>
      </c>
      <c r="AJ123" s="21" t="str">
        <f t="shared" si="25"/>
        <v/>
      </c>
      <c r="AK123" s="7">
        <f t="shared" si="16"/>
        <v>1.7370787787075695E-2</v>
      </c>
      <c r="AL123" s="7">
        <f t="shared" si="17"/>
        <v>63388029</v>
      </c>
      <c r="AM123" s="7">
        <f>SUM($AL$3:AL123)</f>
        <v>1823631728</v>
      </c>
      <c r="AN123" s="166">
        <f t="shared" si="18"/>
        <v>2100400</v>
      </c>
      <c r="AO123" s="7">
        <f>SUM($AN$3:AN123)*7</f>
        <v>426814500</v>
      </c>
      <c r="AP123" s="69">
        <f t="shared" si="19"/>
        <v>1387437928</v>
      </c>
      <c r="AQ123" s="160">
        <f t="shared" si="20"/>
        <v>6252900</v>
      </c>
      <c r="AR123" s="160">
        <f t="shared" si="21"/>
        <v>3126400</v>
      </c>
    </row>
    <row r="124" spans="1:44">
      <c r="A124" s="32">
        <v>122</v>
      </c>
      <c r="B124" s="81">
        <f>升级节奏!E124</f>
        <v>122000</v>
      </c>
      <c r="C124" s="7">
        <f>IF(VLOOKUP(C$2,行为概览!$D$3:$L$33,9,0)="","",VLOOKUP(C$2,行为概览!$D$3:$L$33,9,0)*IF(玩法行为规划!B124&gt;0,1,0))</f>
        <v>4</v>
      </c>
      <c r="D124" s="7">
        <f>IF(VLOOKUP(D$2,行为概览!$D$3:$L$33,9,0)="","",VLOOKUP(D$2,行为概览!$D$3:$L$33,9,0)*IF(玩法行为规划!C124&gt;0,1,0))</f>
        <v>1.65</v>
      </c>
      <c r="E124" s="7">
        <f>IF(VLOOKUP(E$2,行为概览!$D$3:$L$33,9,0)="","",VLOOKUP(E$2,行为概览!$D$3:$L$33,9,0)*IF(玩法行为规划!D124&gt;0,1,0))</f>
        <v>0.5</v>
      </c>
      <c r="F124" s="7">
        <f>IF(VLOOKUP(F$2,行为概览!$D$3:$L$33,9,0)="","",VLOOKUP(F$2,行为概览!$D$3:$L$33,9,0)*IF(玩法行为规划!E124&gt;0,1,0))</f>
        <v>1</v>
      </c>
      <c r="G124" s="7" t="str">
        <f>IF(VLOOKUP(G$2,行为概览!$D$3:$L$33,9,0)="","",VLOOKUP(G$2,行为概览!$D$3:$L$33,9,0)*IF(玩法行为规划!F124&gt;0,1,0))</f>
        <v/>
      </c>
      <c r="H124" s="7" t="str">
        <f>IF(VLOOKUP(H$2,行为概览!$D$3:$L$33,9,0)="","",VLOOKUP(H$2,行为概览!$D$3:$L$33,9,0)*IF(玩法行为规划!G124&gt;0,1,0))</f>
        <v/>
      </c>
      <c r="I124" s="7" t="str">
        <f>IF(VLOOKUP(I$2,行为概览!$D$3:$L$33,9,0)="","",VLOOKUP(I$2,行为概览!$D$3:$L$33,9,0)*IF(玩法行为规划!H124&gt;0,1,0))</f>
        <v/>
      </c>
      <c r="J124" s="7" t="str">
        <f>IF(VLOOKUP(J$2,行为概览!$D$3:$L$33,9,0)="","",VLOOKUP(J$2,行为概览!$D$3:$L$33,9,0)*IF(玩法行为规划!I124&gt;0,1,0))</f>
        <v/>
      </c>
      <c r="K124" s="7">
        <f>IF(VLOOKUP(K$2,行为概览!$D$3:$L$33,9,0)="","",VLOOKUP(K$2,行为概览!$D$3:$L$33,9,0)*IF(玩法行为规划!J124&gt;0,1,0))</f>
        <v>1</v>
      </c>
      <c r="L124" s="7">
        <f>IF(VLOOKUP(L$2,行为概览!$D$3:$L$33,9,0)="","",VLOOKUP(L$2,行为概览!$D$3:$L$33,9,0)*IF(玩法行为规划!K124&gt;0,1,0))</f>
        <v>1</v>
      </c>
      <c r="M124" s="7" t="str">
        <f>IF(VLOOKUP(M$2,行为概览!$D$3:$L$33,9,0)="","",VLOOKUP(M$2,行为概览!$D$3:$L$33,9,0)*IF(玩法行为规划!L124&gt;0,1,0))</f>
        <v/>
      </c>
      <c r="N124" s="7" t="str">
        <f>IF(VLOOKUP(N$2,行为概览!$D$3:$L$33,9,0)="","",VLOOKUP(N$2,行为概览!$D$3:$L$33,9,0)*IF(玩法行为规划!M124&gt;0,1,0))</f>
        <v/>
      </c>
      <c r="O124" s="7" t="str">
        <f>IF(VLOOKUP(O$2,行为概览!$D$3:$L$33,9,0)="","",VLOOKUP(O$2,行为概览!$D$3:$L$33,9,0)*IF(玩法行为规划!N124&gt;0,1,0))</f>
        <v/>
      </c>
      <c r="P124" s="7">
        <f>IF(VLOOKUP(P$2,行为概览!$D$3:$L$33,9,0)="","",VLOOKUP(P$2,行为概览!$D$3:$L$33,9,0)*IF(玩法行为规划!O124&gt;0,1,0))</f>
        <v>0.5</v>
      </c>
      <c r="Q124" s="7">
        <f>IF(VLOOKUP(Q$2,行为概览!$D$3:$L$33,9,0)="","",VLOOKUP(Q$2,行为概览!$D$3:$L$33,9,0)*IF(玩法行为规划!P124&gt;0,1,0))</f>
        <v>5</v>
      </c>
      <c r="R124" s="7" t="str">
        <f>IF(VLOOKUP(R$2,行为概览!$D$3:$L$33,9,0)="","",VLOOKUP(R$2,行为概览!$D$3:$L$33,9,0)*IF(玩法行为规划!Q124&gt;0,1,0))</f>
        <v/>
      </c>
      <c r="S124" s="7">
        <f>IF(VLOOKUP(S$2,行为概览!$D$3:$L$33,9,0)="","",VLOOKUP(S$2,行为概览!$D$3:$L$33,9,0)*IF(玩法行为规划!R124&gt;0,1,0))</f>
        <v>1</v>
      </c>
      <c r="T124" s="7">
        <f>IF(VLOOKUP(T$2,行为概览!$D$3:$L$33,9,0)="","",VLOOKUP(T$2,行为概览!$D$3:$L$33,9,0)*IF(玩法行为规划!S124&gt;0,1,0))</f>
        <v>0</v>
      </c>
      <c r="U124" s="7">
        <f>IF(VLOOKUP(U$2,行为概览!$D$3:$L$33,9,0)="","",VLOOKUP(U$2,行为概览!$D$3:$L$33,9,0)*IF(玩法行为规划!T124&gt;0,1,0))</f>
        <v>1</v>
      </c>
      <c r="V124" s="7">
        <f>IF(VLOOKUP(V$2,行为概览!$D$3:$L$33,9,0)="","",VLOOKUP(V$2,行为概览!$D$3:$L$33,9,0)*IF(玩法行为规划!U124&gt;0,1,0))</f>
        <v>1.5</v>
      </c>
      <c r="W124" s="7">
        <f>IF(VLOOKUP(W$2,行为概览!$D$3:$L$33,9,0)="","",VLOOKUP(W$2,行为概览!$D$3:$L$33,9,0)*IF(玩法行为规划!V124&gt;0,1,0))</f>
        <v>1</v>
      </c>
      <c r="X124" s="7">
        <f>IF(VLOOKUP(X$2,行为概览!$D$3:$L$33,9,0)="","",VLOOKUP(X$2,行为概览!$D$3:$L$33,9,0)*IF(玩法行为规划!W124&gt;0,1,0))</f>
        <v>1</v>
      </c>
      <c r="Y124" s="7">
        <f>IF(VLOOKUP(Y$2,行为概览!$D$3:$L$33,9,0)="","",VLOOKUP(Y$2,行为概览!$D$3:$L$33,9,0)*IF(玩法行为规划!X124&gt;0,1,0))</f>
        <v>1</v>
      </c>
      <c r="Z124" s="7">
        <f>IF(VLOOKUP(Z$2,行为概览!$D$3:$L$33,9,0)="","",VLOOKUP(Z$2,行为概览!$D$3:$L$33,9,0)*IF(玩法行为规划!Y124&gt;0,1,0))</f>
        <v>3</v>
      </c>
      <c r="AA124" s="7">
        <f>IF(VLOOKUP(AA$2,行为概览!$D$3:$L$33,9,0)="","",VLOOKUP(AA$2,行为概览!$D$3:$L$33,9,0)*IF(玩法行为规划!Z124&gt;0,1,0))</f>
        <v>0.5</v>
      </c>
      <c r="AB124" s="7" t="str">
        <f>IF(VLOOKUP(AB$2,行为概览!$D$3:$L$33,9,0)="","",VLOOKUP(AB$2,行为概览!$D$3:$L$33,9,0)*IF(玩法行为规划!AA124&gt;0,1,0))</f>
        <v/>
      </c>
      <c r="AC124" s="7" t="str">
        <f>IF(VLOOKUP(AC$2,行为概览!$D$3:$L$33,9,0)="","",VLOOKUP(AC$2,行为概览!$D$3:$L$33,9,0)*IF(玩法行为规划!AB124&gt;0,1,0))</f>
        <v/>
      </c>
      <c r="AD124" s="7" t="str">
        <f>IF(VLOOKUP(AD$2,行为概览!$D$3:$L$33,9,0)="","",VLOOKUP(AD$2,行为概览!$D$3:$L$33,9,0)*玩法行为规划!AC124)</f>
        <v/>
      </c>
      <c r="AE124" s="7" t="str">
        <f>IF(VLOOKUP(AE$2,行为概览!$D$3:$L$33,9,0)="","",VLOOKUP(AE$2,行为概览!$D$3:$L$33,9,0)*玩法行为规划!AD124)</f>
        <v/>
      </c>
      <c r="AF124" s="7">
        <f t="shared" si="23"/>
        <v>24.65</v>
      </c>
      <c r="AG124" s="10">
        <f t="shared" si="24"/>
        <v>3007300</v>
      </c>
      <c r="AH124" s="7">
        <f>ROUND(AG124*升级节奏!G124,0)</f>
        <v>63836960</v>
      </c>
      <c r="AI124" s="7">
        <f t="shared" si="15"/>
        <v>1122400</v>
      </c>
      <c r="AJ124" s="21" t="str">
        <f t="shared" si="25"/>
        <v/>
      </c>
      <c r="AK124" s="7">
        <f t="shared" si="16"/>
        <v>1.7278495354634035E-2</v>
      </c>
      <c r="AL124" s="7">
        <f t="shared" si="17"/>
        <v>64959360</v>
      </c>
      <c r="AM124" s="7">
        <f>SUM($AL$3:AL124)</f>
        <v>1888591088</v>
      </c>
      <c r="AN124" s="166">
        <f t="shared" si="18"/>
        <v>2152300</v>
      </c>
      <c r="AO124" s="7">
        <f>SUM($AN$3:AN124)*7</f>
        <v>441880600</v>
      </c>
      <c r="AP124" s="69">
        <f t="shared" si="19"/>
        <v>1437098388</v>
      </c>
      <c r="AQ124" s="160">
        <f t="shared" si="20"/>
        <v>6408100</v>
      </c>
      <c r="AR124" s="160">
        <f t="shared" si="21"/>
        <v>3204000</v>
      </c>
    </row>
    <row r="125" spans="1:44">
      <c r="A125" s="32">
        <v>123</v>
      </c>
      <c r="B125" s="81">
        <f>升级节奏!E125</f>
        <v>123000</v>
      </c>
      <c r="C125" s="7">
        <f>IF(VLOOKUP(C$2,行为概览!$D$3:$L$33,9,0)="","",VLOOKUP(C$2,行为概览!$D$3:$L$33,9,0)*IF(玩法行为规划!B125&gt;0,1,0))</f>
        <v>4</v>
      </c>
      <c r="D125" s="7">
        <f>IF(VLOOKUP(D$2,行为概览!$D$3:$L$33,9,0)="","",VLOOKUP(D$2,行为概览!$D$3:$L$33,9,0)*IF(玩法行为规划!C125&gt;0,1,0))</f>
        <v>1.65</v>
      </c>
      <c r="E125" s="7">
        <f>IF(VLOOKUP(E$2,行为概览!$D$3:$L$33,9,0)="","",VLOOKUP(E$2,行为概览!$D$3:$L$33,9,0)*IF(玩法行为规划!D125&gt;0,1,0))</f>
        <v>0.5</v>
      </c>
      <c r="F125" s="7">
        <f>IF(VLOOKUP(F$2,行为概览!$D$3:$L$33,9,0)="","",VLOOKUP(F$2,行为概览!$D$3:$L$33,9,0)*IF(玩法行为规划!E125&gt;0,1,0))</f>
        <v>1</v>
      </c>
      <c r="G125" s="7" t="str">
        <f>IF(VLOOKUP(G$2,行为概览!$D$3:$L$33,9,0)="","",VLOOKUP(G$2,行为概览!$D$3:$L$33,9,0)*IF(玩法行为规划!F125&gt;0,1,0))</f>
        <v/>
      </c>
      <c r="H125" s="7" t="str">
        <f>IF(VLOOKUP(H$2,行为概览!$D$3:$L$33,9,0)="","",VLOOKUP(H$2,行为概览!$D$3:$L$33,9,0)*IF(玩法行为规划!G125&gt;0,1,0))</f>
        <v/>
      </c>
      <c r="I125" s="7" t="str">
        <f>IF(VLOOKUP(I$2,行为概览!$D$3:$L$33,9,0)="","",VLOOKUP(I$2,行为概览!$D$3:$L$33,9,0)*IF(玩法行为规划!H125&gt;0,1,0))</f>
        <v/>
      </c>
      <c r="J125" s="7" t="str">
        <f>IF(VLOOKUP(J$2,行为概览!$D$3:$L$33,9,0)="","",VLOOKUP(J$2,行为概览!$D$3:$L$33,9,0)*IF(玩法行为规划!I125&gt;0,1,0))</f>
        <v/>
      </c>
      <c r="K125" s="7">
        <f>IF(VLOOKUP(K$2,行为概览!$D$3:$L$33,9,0)="","",VLOOKUP(K$2,行为概览!$D$3:$L$33,9,0)*IF(玩法行为规划!J125&gt;0,1,0))</f>
        <v>1</v>
      </c>
      <c r="L125" s="7">
        <f>IF(VLOOKUP(L$2,行为概览!$D$3:$L$33,9,0)="","",VLOOKUP(L$2,行为概览!$D$3:$L$33,9,0)*IF(玩法行为规划!K125&gt;0,1,0))</f>
        <v>1</v>
      </c>
      <c r="M125" s="7" t="str">
        <f>IF(VLOOKUP(M$2,行为概览!$D$3:$L$33,9,0)="","",VLOOKUP(M$2,行为概览!$D$3:$L$33,9,0)*IF(玩法行为规划!L125&gt;0,1,0))</f>
        <v/>
      </c>
      <c r="N125" s="7" t="str">
        <f>IF(VLOOKUP(N$2,行为概览!$D$3:$L$33,9,0)="","",VLOOKUP(N$2,行为概览!$D$3:$L$33,9,0)*IF(玩法行为规划!M125&gt;0,1,0))</f>
        <v/>
      </c>
      <c r="O125" s="7" t="str">
        <f>IF(VLOOKUP(O$2,行为概览!$D$3:$L$33,9,0)="","",VLOOKUP(O$2,行为概览!$D$3:$L$33,9,0)*IF(玩法行为规划!N125&gt;0,1,0))</f>
        <v/>
      </c>
      <c r="P125" s="7">
        <f>IF(VLOOKUP(P$2,行为概览!$D$3:$L$33,9,0)="","",VLOOKUP(P$2,行为概览!$D$3:$L$33,9,0)*IF(玩法行为规划!O125&gt;0,1,0))</f>
        <v>0.5</v>
      </c>
      <c r="Q125" s="7">
        <f>IF(VLOOKUP(Q$2,行为概览!$D$3:$L$33,9,0)="","",VLOOKUP(Q$2,行为概览!$D$3:$L$33,9,0)*IF(玩法行为规划!P125&gt;0,1,0))</f>
        <v>5</v>
      </c>
      <c r="R125" s="7" t="str">
        <f>IF(VLOOKUP(R$2,行为概览!$D$3:$L$33,9,0)="","",VLOOKUP(R$2,行为概览!$D$3:$L$33,9,0)*IF(玩法行为规划!Q125&gt;0,1,0))</f>
        <v/>
      </c>
      <c r="S125" s="7">
        <f>IF(VLOOKUP(S$2,行为概览!$D$3:$L$33,9,0)="","",VLOOKUP(S$2,行为概览!$D$3:$L$33,9,0)*IF(玩法行为规划!R125&gt;0,1,0))</f>
        <v>1</v>
      </c>
      <c r="T125" s="7">
        <f>IF(VLOOKUP(T$2,行为概览!$D$3:$L$33,9,0)="","",VLOOKUP(T$2,行为概览!$D$3:$L$33,9,0)*IF(玩法行为规划!S125&gt;0,1,0))</f>
        <v>0</v>
      </c>
      <c r="U125" s="7">
        <f>IF(VLOOKUP(U$2,行为概览!$D$3:$L$33,9,0)="","",VLOOKUP(U$2,行为概览!$D$3:$L$33,9,0)*IF(玩法行为规划!T125&gt;0,1,0))</f>
        <v>1</v>
      </c>
      <c r="V125" s="7">
        <f>IF(VLOOKUP(V$2,行为概览!$D$3:$L$33,9,0)="","",VLOOKUP(V$2,行为概览!$D$3:$L$33,9,0)*IF(玩法行为规划!U125&gt;0,1,0))</f>
        <v>1.5</v>
      </c>
      <c r="W125" s="7">
        <f>IF(VLOOKUP(W$2,行为概览!$D$3:$L$33,9,0)="","",VLOOKUP(W$2,行为概览!$D$3:$L$33,9,0)*IF(玩法行为规划!V125&gt;0,1,0))</f>
        <v>1</v>
      </c>
      <c r="X125" s="7">
        <f>IF(VLOOKUP(X$2,行为概览!$D$3:$L$33,9,0)="","",VLOOKUP(X$2,行为概览!$D$3:$L$33,9,0)*IF(玩法行为规划!W125&gt;0,1,0))</f>
        <v>1</v>
      </c>
      <c r="Y125" s="7">
        <f>IF(VLOOKUP(Y$2,行为概览!$D$3:$L$33,9,0)="","",VLOOKUP(Y$2,行为概览!$D$3:$L$33,9,0)*IF(玩法行为规划!X125&gt;0,1,0))</f>
        <v>1</v>
      </c>
      <c r="Z125" s="7">
        <f>IF(VLOOKUP(Z$2,行为概览!$D$3:$L$33,9,0)="","",VLOOKUP(Z$2,行为概览!$D$3:$L$33,9,0)*IF(玩法行为规划!Y125&gt;0,1,0))</f>
        <v>3</v>
      </c>
      <c r="AA125" s="7">
        <f>IF(VLOOKUP(AA$2,行为概览!$D$3:$L$33,9,0)="","",VLOOKUP(AA$2,行为概览!$D$3:$L$33,9,0)*IF(玩法行为规划!Z125&gt;0,1,0))</f>
        <v>0.5</v>
      </c>
      <c r="AB125" s="7" t="str">
        <f>IF(VLOOKUP(AB$2,行为概览!$D$3:$L$33,9,0)="","",VLOOKUP(AB$2,行为概览!$D$3:$L$33,9,0)*IF(玩法行为规划!AA125&gt;0,1,0))</f>
        <v/>
      </c>
      <c r="AC125" s="7" t="str">
        <f>IF(VLOOKUP(AC$2,行为概览!$D$3:$L$33,9,0)="","",VLOOKUP(AC$2,行为概览!$D$3:$L$33,9,0)*IF(玩法行为规划!AB125&gt;0,1,0))</f>
        <v/>
      </c>
      <c r="AD125" s="7" t="str">
        <f>IF(VLOOKUP(AD$2,行为概览!$D$3:$L$33,9,0)="","",VLOOKUP(AD$2,行为概览!$D$3:$L$33,9,0)*玩法行为规划!AC125)</f>
        <v/>
      </c>
      <c r="AE125" s="7" t="str">
        <f>IF(VLOOKUP(AE$2,行为概览!$D$3:$L$33,9,0)="","",VLOOKUP(AE$2,行为概览!$D$3:$L$33,9,0)*玩法行为规划!AD125)</f>
        <v/>
      </c>
      <c r="AF125" s="7">
        <f t="shared" si="23"/>
        <v>24.65</v>
      </c>
      <c r="AG125" s="10">
        <f t="shared" si="24"/>
        <v>3031950</v>
      </c>
      <c r="AH125" s="7">
        <f>ROUND(AG125*升级节奏!G125,0)</f>
        <v>65412553</v>
      </c>
      <c r="AI125" s="7">
        <f t="shared" si="15"/>
        <v>1143900</v>
      </c>
      <c r="AJ125" s="21" t="str">
        <f t="shared" si="25"/>
        <v/>
      </c>
      <c r="AK125" s="7">
        <f t="shared" si="16"/>
        <v>1.7186913491318415E-2</v>
      </c>
      <c r="AL125" s="7">
        <f t="shared" si="17"/>
        <v>66556453</v>
      </c>
      <c r="AM125" s="7">
        <f>SUM($AL$3:AL125)</f>
        <v>1955147541</v>
      </c>
      <c r="AN125" s="166">
        <f t="shared" si="18"/>
        <v>2205000</v>
      </c>
      <c r="AO125" s="7">
        <f>SUM($AN$3:AN125)*7</f>
        <v>457315600</v>
      </c>
      <c r="AP125" s="69">
        <f t="shared" si="19"/>
        <v>1487983141</v>
      </c>
      <c r="AQ125" s="160">
        <f t="shared" si="20"/>
        <v>6565900</v>
      </c>
      <c r="AR125" s="160">
        <f t="shared" si="21"/>
        <v>3282900</v>
      </c>
    </row>
    <row r="126" spans="1:44">
      <c r="A126" s="32">
        <v>124</v>
      </c>
      <c r="B126" s="81">
        <f>升级节奏!E126</f>
        <v>124000</v>
      </c>
      <c r="C126" s="7">
        <f>IF(VLOOKUP(C$2,行为概览!$D$3:$L$33,9,0)="","",VLOOKUP(C$2,行为概览!$D$3:$L$33,9,0)*IF(玩法行为规划!B126&gt;0,1,0))</f>
        <v>4</v>
      </c>
      <c r="D126" s="7">
        <f>IF(VLOOKUP(D$2,行为概览!$D$3:$L$33,9,0)="","",VLOOKUP(D$2,行为概览!$D$3:$L$33,9,0)*IF(玩法行为规划!C126&gt;0,1,0))</f>
        <v>1.65</v>
      </c>
      <c r="E126" s="7">
        <f>IF(VLOOKUP(E$2,行为概览!$D$3:$L$33,9,0)="","",VLOOKUP(E$2,行为概览!$D$3:$L$33,9,0)*IF(玩法行为规划!D126&gt;0,1,0))</f>
        <v>0.5</v>
      </c>
      <c r="F126" s="7">
        <f>IF(VLOOKUP(F$2,行为概览!$D$3:$L$33,9,0)="","",VLOOKUP(F$2,行为概览!$D$3:$L$33,9,0)*IF(玩法行为规划!E126&gt;0,1,0))</f>
        <v>1</v>
      </c>
      <c r="G126" s="7" t="str">
        <f>IF(VLOOKUP(G$2,行为概览!$D$3:$L$33,9,0)="","",VLOOKUP(G$2,行为概览!$D$3:$L$33,9,0)*IF(玩法行为规划!F126&gt;0,1,0))</f>
        <v/>
      </c>
      <c r="H126" s="7" t="str">
        <f>IF(VLOOKUP(H$2,行为概览!$D$3:$L$33,9,0)="","",VLOOKUP(H$2,行为概览!$D$3:$L$33,9,0)*IF(玩法行为规划!G126&gt;0,1,0))</f>
        <v/>
      </c>
      <c r="I126" s="7" t="str">
        <f>IF(VLOOKUP(I$2,行为概览!$D$3:$L$33,9,0)="","",VLOOKUP(I$2,行为概览!$D$3:$L$33,9,0)*IF(玩法行为规划!H126&gt;0,1,0))</f>
        <v/>
      </c>
      <c r="J126" s="7" t="str">
        <f>IF(VLOOKUP(J$2,行为概览!$D$3:$L$33,9,0)="","",VLOOKUP(J$2,行为概览!$D$3:$L$33,9,0)*IF(玩法行为规划!I126&gt;0,1,0))</f>
        <v/>
      </c>
      <c r="K126" s="7">
        <f>IF(VLOOKUP(K$2,行为概览!$D$3:$L$33,9,0)="","",VLOOKUP(K$2,行为概览!$D$3:$L$33,9,0)*IF(玩法行为规划!J126&gt;0,1,0))</f>
        <v>1</v>
      </c>
      <c r="L126" s="7">
        <f>IF(VLOOKUP(L$2,行为概览!$D$3:$L$33,9,0)="","",VLOOKUP(L$2,行为概览!$D$3:$L$33,9,0)*IF(玩法行为规划!K126&gt;0,1,0))</f>
        <v>1</v>
      </c>
      <c r="M126" s="7" t="str">
        <f>IF(VLOOKUP(M$2,行为概览!$D$3:$L$33,9,0)="","",VLOOKUP(M$2,行为概览!$D$3:$L$33,9,0)*IF(玩法行为规划!L126&gt;0,1,0))</f>
        <v/>
      </c>
      <c r="N126" s="7" t="str">
        <f>IF(VLOOKUP(N$2,行为概览!$D$3:$L$33,9,0)="","",VLOOKUP(N$2,行为概览!$D$3:$L$33,9,0)*IF(玩法行为规划!M126&gt;0,1,0))</f>
        <v/>
      </c>
      <c r="O126" s="7" t="str">
        <f>IF(VLOOKUP(O$2,行为概览!$D$3:$L$33,9,0)="","",VLOOKUP(O$2,行为概览!$D$3:$L$33,9,0)*IF(玩法行为规划!N126&gt;0,1,0))</f>
        <v/>
      </c>
      <c r="P126" s="7">
        <f>IF(VLOOKUP(P$2,行为概览!$D$3:$L$33,9,0)="","",VLOOKUP(P$2,行为概览!$D$3:$L$33,9,0)*IF(玩法行为规划!O126&gt;0,1,0))</f>
        <v>0.5</v>
      </c>
      <c r="Q126" s="7">
        <f>IF(VLOOKUP(Q$2,行为概览!$D$3:$L$33,9,0)="","",VLOOKUP(Q$2,行为概览!$D$3:$L$33,9,0)*IF(玩法行为规划!P126&gt;0,1,0))</f>
        <v>5</v>
      </c>
      <c r="R126" s="7" t="str">
        <f>IF(VLOOKUP(R$2,行为概览!$D$3:$L$33,9,0)="","",VLOOKUP(R$2,行为概览!$D$3:$L$33,9,0)*IF(玩法行为规划!Q126&gt;0,1,0))</f>
        <v/>
      </c>
      <c r="S126" s="7">
        <f>IF(VLOOKUP(S$2,行为概览!$D$3:$L$33,9,0)="","",VLOOKUP(S$2,行为概览!$D$3:$L$33,9,0)*IF(玩法行为规划!R126&gt;0,1,0))</f>
        <v>1</v>
      </c>
      <c r="T126" s="7">
        <f>IF(VLOOKUP(T$2,行为概览!$D$3:$L$33,9,0)="","",VLOOKUP(T$2,行为概览!$D$3:$L$33,9,0)*IF(玩法行为规划!S126&gt;0,1,0))</f>
        <v>0</v>
      </c>
      <c r="U126" s="7">
        <f>IF(VLOOKUP(U$2,行为概览!$D$3:$L$33,9,0)="","",VLOOKUP(U$2,行为概览!$D$3:$L$33,9,0)*IF(玩法行为规划!T126&gt;0,1,0))</f>
        <v>1</v>
      </c>
      <c r="V126" s="7">
        <f>IF(VLOOKUP(V$2,行为概览!$D$3:$L$33,9,0)="","",VLOOKUP(V$2,行为概览!$D$3:$L$33,9,0)*IF(玩法行为规划!U126&gt;0,1,0))</f>
        <v>1.5</v>
      </c>
      <c r="W126" s="7">
        <f>IF(VLOOKUP(W$2,行为概览!$D$3:$L$33,9,0)="","",VLOOKUP(W$2,行为概览!$D$3:$L$33,9,0)*IF(玩法行为规划!V126&gt;0,1,0))</f>
        <v>1</v>
      </c>
      <c r="X126" s="7">
        <f>IF(VLOOKUP(X$2,行为概览!$D$3:$L$33,9,0)="","",VLOOKUP(X$2,行为概览!$D$3:$L$33,9,0)*IF(玩法行为规划!W126&gt;0,1,0))</f>
        <v>1</v>
      </c>
      <c r="Y126" s="7">
        <f>IF(VLOOKUP(Y$2,行为概览!$D$3:$L$33,9,0)="","",VLOOKUP(Y$2,行为概览!$D$3:$L$33,9,0)*IF(玩法行为规划!X126&gt;0,1,0))</f>
        <v>1</v>
      </c>
      <c r="Z126" s="7">
        <f>IF(VLOOKUP(Z$2,行为概览!$D$3:$L$33,9,0)="","",VLOOKUP(Z$2,行为概览!$D$3:$L$33,9,0)*IF(玩法行为规划!Y126&gt;0,1,0))</f>
        <v>3</v>
      </c>
      <c r="AA126" s="7">
        <f>IF(VLOOKUP(AA$2,行为概览!$D$3:$L$33,9,0)="","",VLOOKUP(AA$2,行为概览!$D$3:$L$33,9,0)*IF(玩法行为规划!Z126&gt;0,1,0))</f>
        <v>0.5</v>
      </c>
      <c r="AB126" s="7" t="str">
        <f>IF(VLOOKUP(AB$2,行为概览!$D$3:$L$33,9,0)="","",VLOOKUP(AB$2,行为概览!$D$3:$L$33,9,0)*IF(玩法行为规划!AA126&gt;0,1,0))</f>
        <v/>
      </c>
      <c r="AC126" s="7" t="str">
        <f>IF(VLOOKUP(AC$2,行为概览!$D$3:$L$33,9,0)="","",VLOOKUP(AC$2,行为概览!$D$3:$L$33,9,0)*IF(玩法行为规划!AB126&gt;0,1,0))</f>
        <v/>
      </c>
      <c r="AD126" s="7" t="str">
        <f>IF(VLOOKUP(AD$2,行为概览!$D$3:$L$33,9,0)="","",VLOOKUP(AD$2,行为概览!$D$3:$L$33,9,0)*玩法行为规划!AC126)</f>
        <v/>
      </c>
      <c r="AE126" s="7" t="str">
        <f>IF(VLOOKUP(AE$2,行为概览!$D$3:$L$33,9,0)="","",VLOOKUP(AE$2,行为概览!$D$3:$L$33,9,0)*玩法行为规划!AD126)</f>
        <v/>
      </c>
      <c r="AF126" s="7">
        <f t="shared" si="23"/>
        <v>24.65</v>
      </c>
      <c r="AG126" s="10">
        <f t="shared" si="24"/>
        <v>3056600</v>
      </c>
      <c r="AH126" s="7">
        <f>ROUND(AG126*升级节奏!G126,0)</f>
        <v>67013917</v>
      </c>
      <c r="AI126" s="7">
        <f t="shared" si="15"/>
        <v>1165600</v>
      </c>
      <c r="AJ126" s="21" t="str">
        <f t="shared" si="25"/>
        <v/>
      </c>
      <c r="AK126" s="7">
        <f t="shared" si="16"/>
        <v>1.7096043669537875E-2</v>
      </c>
      <c r="AL126" s="7">
        <f t="shared" si="17"/>
        <v>68179517</v>
      </c>
      <c r="AM126" s="7">
        <f>SUM($AL$3:AL126)</f>
        <v>2023327058</v>
      </c>
      <c r="AN126" s="166">
        <f t="shared" si="18"/>
        <v>2258600</v>
      </c>
      <c r="AO126" s="7">
        <f>SUM($AN$3:AN126)*7</f>
        <v>473125800</v>
      </c>
      <c r="AP126" s="69">
        <f t="shared" si="19"/>
        <v>1540111958</v>
      </c>
      <c r="AQ126" s="160">
        <f t="shared" si="20"/>
        <v>6726200</v>
      </c>
      <c r="AR126" s="160">
        <f t="shared" si="21"/>
        <v>3363100</v>
      </c>
    </row>
    <row r="127" spans="1:44">
      <c r="A127" s="32">
        <v>125</v>
      </c>
      <c r="B127" s="81">
        <f>升级节奏!E127</f>
        <v>125000</v>
      </c>
      <c r="C127" s="7">
        <f>IF(VLOOKUP(C$2,行为概览!$D$3:$L$33,9,0)="","",VLOOKUP(C$2,行为概览!$D$3:$L$33,9,0)*IF(玩法行为规划!B127&gt;0,1,0))</f>
        <v>4</v>
      </c>
      <c r="D127" s="7">
        <f>IF(VLOOKUP(D$2,行为概览!$D$3:$L$33,9,0)="","",VLOOKUP(D$2,行为概览!$D$3:$L$33,9,0)*IF(玩法行为规划!C127&gt;0,1,0))</f>
        <v>1.65</v>
      </c>
      <c r="E127" s="7">
        <f>IF(VLOOKUP(E$2,行为概览!$D$3:$L$33,9,0)="","",VLOOKUP(E$2,行为概览!$D$3:$L$33,9,0)*IF(玩法行为规划!D127&gt;0,1,0))</f>
        <v>0.5</v>
      </c>
      <c r="F127" s="7">
        <f>IF(VLOOKUP(F$2,行为概览!$D$3:$L$33,9,0)="","",VLOOKUP(F$2,行为概览!$D$3:$L$33,9,0)*IF(玩法行为规划!E127&gt;0,1,0))</f>
        <v>1</v>
      </c>
      <c r="G127" s="7" t="str">
        <f>IF(VLOOKUP(G$2,行为概览!$D$3:$L$33,9,0)="","",VLOOKUP(G$2,行为概览!$D$3:$L$33,9,0)*IF(玩法行为规划!F127&gt;0,1,0))</f>
        <v/>
      </c>
      <c r="H127" s="7" t="str">
        <f>IF(VLOOKUP(H$2,行为概览!$D$3:$L$33,9,0)="","",VLOOKUP(H$2,行为概览!$D$3:$L$33,9,0)*IF(玩法行为规划!G127&gt;0,1,0))</f>
        <v/>
      </c>
      <c r="I127" s="7" t="str">
        <f>IF(VLOOKUP(I$2,行为概览!$D$3:$L$33,9,0)="","",VLOOKUP(I$2,行为概览!$D$3:$L$33,9,0)*IF(玩法行为规划!H127&gt;0,1,0))</f>
        <v/>
      </c>
      <c r="J127" s="7" t="str">
        <f>IF(VLOOKUP(J$2,行为概览!$D$3:$L$33,9,0)="","",VLOOKUP(J$2,行为概览!$D$3:$L$33,9,0)*IF(玩法行为规划!I127&gt;0,1,0))</f>
        <v/>
      </c>
      <c r="K127" s="7">
        <f>IF(VLOOKUP(K$2,行为概览!$D$3:$L$33,9,0)="","",VLOOKUP(K$2,行为概览!$D$3:$L$33,9,0)*IF(玩法行为规划!J127&gt;0,1,0))</f>
        <v>1</v>
      </c>
      <c r="L127" s="7">
        <f>IF(VLOOKUP(L$2,行为概览!$D$3:$L$33,9,0)="","",VLOOKUP(L$2,行为概览!$D$3:$L$33,9,0)*IF(玩法行为规划!K127&gt;0,1,0))</f>
        <v>1</v>
      </c>
      <c r="M127" s="7" t="str">
        <f>IF(VLOOKUP(M$2,行为概览!$D$3:$L$33,9,0)="","",VLOOKUP(M$2,行为概览!$D$3:$L$33,9,0)*IF(玩法行为规划!L127&gt;0,1,0))</f>
        <v/>
      </c>
      <c r="N127" s="7" t="str">
        <f>IF(VLOOKUP(N$2,行为概览!$D$3:$L$33,9,0)="","",VLOOKUP(N$2,行为概览!$D$3:$L$33,9,0)*IF(玩法行为规划!M127&gt;0,1,0))</f>
        <v/>
      </c>
      <c r="O127" s="7" t="str">
        <f>IF(VLOOKUP(O$2,行为概览!$D$3:$L$33,9,0)="","",VLOOKUP(O$2,行为概览!$D$3:$L$33,9,0)*IF(玩法行为规划!N127&gt;0,1,0))</f>
        <v/>
      </c>
      <c r="P127" s="7">
        <f>IF(VLOOKUP(P$2,行为概览!$D$3:$L$33,9,0)="","",VLOOKUP(P$2,行为概览!$D$3:$L$33,9,0)*IF(玩法行为规划!O127&gt;0,1,0))</f>
        <v>0.5</v>
      </c>
      <c r="Q127" s="7">
        <f>IF(VLOOKUP(Q$2,行为概览!$D$3:$L$33,9,0)="","",VLOOKUP(Q$2,行为概览!$D$3:$L$33,9,0)*IF(玩法行为规划!P127&gt;0,1,0))</f>
        <v>5</v>
      </c>
      <c r="R127" s="7" t="str">
        <f>IF(VLOOKUP(R$2,行为概览!$D$3:$L$33,9,0)="","",VLOOKUP(R$2,行为概览!$D$3:$L$33,9,0)*IF(玩法行为规划!Q127&gt;0,1,0))</f>
        <v/>
      </c>
      <c r="S127" s="7">
        <f>IF(VLOOKUP(S$2,行为概览!$D$3:$L$33,9,0)="","",VLOOKUP(S$2,行为概览!$D$3:$L$33,9,0)*IF(玩法行为规划!R127&gt;0,1,0))</f>
        <v>1</v>
      </c>
      <c r="T127" s="7">
        <f>IF(VLOOKUP(T$2,行为概览!$D$3:$L$33,9,0)="","",VLOOKUP(T$2,行为概览!$D$3:$L$33,9,0)*IF(玩法行为规划!S127&gt;0,1,0))</f>
        <v>0</v>
      </c>
      <c r="U127" s="7">
        <f>IF(VLOOKUP(U$2,行为概览!$D$3:$L$33,9,0)="","",VLOOKUP(U$2,行为概览!$D$3:$L$33,9,0)*IF(玩法行为规划!T127&gt;0,1,0))</f>
        <v>1</v>
      </c>
      <c r="V127" s="7">
        <f>IF(VLOOKUP(V$2,行为概览!$D$3:$L$33,9,0)="","",VLOOKUP(V$2,行为概览!$D$3:$L$33,9,0)*IF(玩法行为规划!U127&gt;0,1,0))</f>
        <v>1.5</v>
      </c>
      <c r="W127" s="7">
        <f>IF(VLOOKUP(W$2,行为概览!$D$3:$L$33,9,0)="","",VLOOKUP(W$2,行为概览!$D$3:$L$33,9,0)*IF(玩法行为规划!V127&gt;0,1,0))</f>
        <v>1</v>
      </c>
      <c r="X127" s="7">
        <f>IF(VLOOKUP(X$2,行为概览!$D$3:$L$33,9,0)="","",VLOOKUP(X$2,行为概览!$D$3:$L$33,9,0)*IF(玩法行为规划!W127&gt;0,1,0))</f>
        <v>1</v>
      </c>
      <c r="Y127" s="7">
        <f>IF(VLOOKUP(Y$2,行为概览!$D$3:$L$33,9,0)="","",VLOOKUP(Y$2,行为概览!$D$3:$L$33,9,0)*IF(玩法行为规划!X127&gt;0,1,0))</f>
        <v>1</v>
      </c>
      <c r="Z127" s="7">
        <f>IF(VLOOKUP(Z$2,行为概览!$D$3:$L$33,9,0)="","",VLOOKUP(Z$2,行为概览!$D$3:$L$33,9,0)*IF(玩法行为规划!Y127&gt;0,1,0))</f>
        <v>3</v>
      </c>
      <c r="AA127" s="7">
        <f>IF(VLOOKUP(AA$2,行为概览!$D$3:$L$33,9,0)="","",VLOOKUP(AA$2,行为概览!$D$3:$L$33,9,0)*IF(玩法行为规划!Z127&gt;0,1,0))</f>
        <v>0.5</v>
      </c>
      <c r="AB127" s="7" t="str">
        <f>IF(VLOOKUP(AB$2,行为概览!$D$3:$L$33,9,0)="","",VLOOKUP(AB$2,行为概览!$D$3:$L$33,9,0)*IF(玩法行为规划!AA127&gt;0,1,0))</f>
        <v/>
      </c>
      <c r="AC127" s="7" t="str">
        <f>IF(VLOOKUP(AC$2,行为概览!$D$3:$L$33,9,0)="","",VLOOKUP(AC$2,行为概览!$D$3:$L$33,9,0)*IF(玩法行为规划!AB127&gt;0,1,0))</f>
        <v/>
      </c>
      <c r="AD127" s="7" t="str">
        <f>IF(VLOOKUP(AD$2,行为概览!$D$3:$L$33,9,0)="","",VLOOKUP(AD$2,行为概览!$D$3:$L$33,9,0)*玩法行为规划!AC127)</f>
        <v/>
      </c>
      <c r="AE127" s="7" t="str">
        <f>IF(VLOOKUP(AE$2,行为概览!$D$3:$L$33,9,0)="","",VLOOKUP(AE$2,行为概览!$D$3:$L$33,9,0)*玩法行为规划!AD127)</f>
        <v/>
      </c>
      <c r="AF127" s="7">
        <f t="shared" si="23"/>
        <v>24.65</v>
      </c>
      <c r="AG127" s="10">
        <f t="shared" si="24"/>
        <v>3081250</v>
      </c>
      <c r="AH127" s="7">
        <f>ROUND(AG127*升级节奏!G127,0)</f>
        <v>68641263</v>
      </c>
      <c r="AI127" s="7">
        <f t="shared" si="15"/>
        <v>1187500</v>
      </c>
      <c r="AJ127" s="21" t="str">
        <f t="shared" si="25"/>
        <v/>
      </c>
      <c r="AK127" s="7">
        <f t="shared" si="16"/>
        <v>1.7005886242034675E-2</v>
      </c>
      <c r="AL127" s="7">
        <f t="shared" si="17"/>
        <v>69828763</v>
      </c>
      <c r="AM127" s="7">
        <f>SUM($AL$3:AL127)</f>
        <v>2093155821</v>
      </c>
      <c r="AN127" s="166">
        <f t="shared" si="18"/>
        <v>2313000</v>
      </c>
      <c r="AO127" s="7">
        <f>SUM($AN$3:AN127)*7</f>
        <v>489316800</v>
      </c>
      <c r="AP127" s="69">
        <f t="shared" si="19"/>
        <v>1593505321</v>
      </c>
      <c r="AQ127" s="160">
        <f t="shared" si="20"/>
        <v>6889100</v>
      </c>
      <c r="AR127" s="160">
        <f t="shared" si="21"/>
        <v>3444600</v>
      </c>
    </row>
    <row r="128" spans="1:44">
      <c r="A128" s="32">
        <v>126</v>
      </c>
      <c r="B128" s="81">
        <f>升级节奏!E128</f>
        <v>126000</v>
      </c>
      <c r="C128" s="7">
        <f>IF(VLOOKUP(C$2,行为概览!$D$3:$L$33,9,0)="","",VLOOKUP(C$2,行为概览!$D$3:$L$33,9,0)*IF(玩法行为规划!B128&gt;0,1,0))</f>
        <v>4</v>
      </c>
      <c r="D128" s="7">
        <f>IF(VLOOKUP(D$2,行为概览!$D$3:$L$33,9,0)="","",VLOOKUP(D$2,行为概览!$D$3:$L$33,9,0)*IF(玩法行为规划!C128&gt;0,1,0))</f>
        <v>1.65</v>
      </c>
      <c r="E128" s="7">
        <f>IF(VLOOKUP(E$2,行为概览!$D$3:$L$33,9,0)="","",VLOOKUP(E$2,行为概览!$D$3:$L$33,9,0)*IF(玩法行为规划!D128&gt;0,1,0))</f>
        <v>0.5</v>
      </c>
      <c r="F128" s="7">
        <f>IF(VLOOKUP(F$2,行为概览!$D$3:$L$33,9,0)="","",VLOOKUP(F$2,行为概览!$D$3:$L$33,9,0)*IF(玩法行为规划!E128&gt;0,1,0))</f>
        <v>1</v>
      </c>
      <c r="G128" s="7" t="str">
        <f>IF(VLOOKUP(G$2,行为概览!$D$3:$L$33,9,0)="","",VLOOKUP(G$2,行为概览!$D$3:$L$33,9,0)*IF(玩法行为规划!F128&gt;0,1,0))</f>
        <v/>
      </c>
      <c r="H128" s="7" t="str">
        <f>IF(VLOOKUP(H$2,行为概览!$D$3:$L$33,9,0)="","",VLOOKUP(H$2,行为概览!$D$3:$L$33,9,0)*IF(玩法行为规划!G128&gt;0,1,0))</f>
        <v/>
      </c>
      <c r="I128" s="7" t="str">
        <f>IF(VLOOKUP(I$2,行为概览!$D$3:$L$33,9,0)="","",VLOOKUP(I$2,行为概览!$D$3:$L$33,9,0)*IF(玩法行为规划!H128&gt;0,1,0))</f>
        <v/>
      </c>
      <c r="J128" s="7" t="str">
        <f>IF(VLOOKUP(J$2,行为概览!$D$3:$L$33,9,0)="","",VLOOKUP(J$2,行为概览!$D$3:$L$33,9,0)*IF(玩法行为规划!I128&gt;0,1,0))</f>
        <v/>
      </c>
      <c r="K128" s="7">
        <f>IF(VLOOKUP(K$2,行为概览!$D$3:$L$33,9,0)="","",VLOOKUP(K$2,行为概览!$D$3:$L$33,9,0)*IF(玩法行为规划!J128&gt;0,1,0))</f>
        <v>1</v>
      </c>
      <c r="L128" s="7">
        <f>IF(VLOOKUP(L$2,行为概览!$D$3:$L$33,9,0)="","",VLOOKUP(L$2,行为概览!$D$3:$L$33,9,0)*IF(玩法行为规划!K128&gt;0,1,0))</f>
        <v>1</v>
      </c>
      <c r="M128" s="7" t="str">
        <f>IF(VLOOKUP(M$2,行为概览!$D$3:$L$33,9,0)="","",VLOOKUP(M$2,行为概览!$D$3:$L$33,9,0)*IF(玩法行为规划!L128&gt;0,1,0))</f>
        <v/>
      </c>
      <c r="N128" s="7" t="str">
        <f>IF(VLOOKUP(N$2,行为概览!$D$3:$L$33,9,0)="","",VLOOKUP(N$2,行为概览!$D$3:$L$33,9,0)*IF(玩法行为规划!M128&gt;0,1,0))</f>
        <v/>
      </c>
      <c r="O128" s="7" t="str">
        <f>IF(VLOOKUP(O$2,行为概览!$D$3:$L$33,9,0)="","",VLOOKUP(O$2,行为概览!$D$3:$L$33,9,0)*IF(玩法行为规划!N128&gt;0,1,0))</f>
        <v/>
      </c>
      <c r="P128" s="7">
        <f>IF(VLOOKUP(P$2,行为概览!$D$3:$L$33,9,0)="","",VLOOKUP(P$2,行为概览!$D$3:$L$33,9,0)*IF(玩法行为规划!O128&gt;0,1,0))</f>
        <v>0.5</v>
      </c>
      <c r="Q128" s="7">
        <f>IF(VLOOKUP(Q$2,行为概览!$D$3:$L$33,9,0)="","",VLOOKUP(Q$2,行为概览!$D$3:$L$33,9,0)*IF(玩法行为规划!P128&gt;0,1,0))</f>
        <v>5</v>
      </c>
      <c r="R128" s="7" t="str">
        <f>IF(VLOOKUP(R$2,行为概览!$D$3:$L$33,9,0)="","",VLOOKUP(R$2,行为概览!$D$3:$L$33,9,0)*IF(玩法行为规划!Q128&gt;0,1,0))</f>
        <v/>
      </c>
      <c r="S128" s="7">
        <f>IF(VLOOKUP(S$2,行为概览!$D$3:$L$33,9,0)="","",VLOOKUP(S$2,行为概览!$D$3:$L$33,9,0)*IF(玩法行为规划!R128&gt;0,1,0))</f>
        <v>1</v>
      </c>
      <c r="T128" s="7">
        <f>IF(VLOOKUP(T$2,行为概览!$D$3:$L$33,9,0)="","",VLOOKUP(T$2,行为概览!$D$3:$L$33,9,0)*IF(玩法行为规划!S128&gt;0,1,0))</f>
        <v>0</v>
      </c>
      <c r="U128" s="7">
        <f>IF(VLOOKUP(U$2,行为概览!$D$3:$L$33,9,0)="","",VLOOKUP(U$2,行为概览!$D$3:$L$33,9,0)*IF(玩法行为规划!T128&gt;0,1,0))</f>
        <v>1</v>
      </c>
      <c r="V128" s="7">
        <f>IF(VLOOKUP(V$2,行为概览!$D$3:$L$33,9,0)="","",VLOOKUP(V$2,行为概览!$D$3:$L$33,9,0)*IF(玩法行为规划!U128&gt;0,1,0))</f>
        <v>1.5</v>
      </c>
      <c r="W128" s="7">
        <f>IF(VLOOKUP(W$2,行为概览!$D$3:$L$33,9,0)="","",VLOOKUP(W$2,行为概览!$D$3:$L$33,9,0)*IF(玩法行为规划!V128&gt;0,1,0))</f>
        <v>1</v>
      </c>
      <c r="X128" s="7">
        <f>IF(VLOOKUP(X$2,行为概览!$D$3:$L$33,9,0)="","",VLOOKUP(X$2,行为概览!$D$3:$L$33,9,0)*IF(玩法行为规划!W128&gt;0,1,0))</f>
        <v>1</v>
      </c>
      <c r="Y128" s="7">
        <f>IF(VLOOKUP(Y$2,行为概览!$D$3:$L$33,9,0)="","",VLOOKUP(Y$2,行为概览!$D$3:$L$33,9,0)*IF(玩法行为规划!X128&gt;0,1,0))</f>
        <v>1</v>
      </c>
      <c r="Z128" s="7">
        <f>IF(VLOOKUP(Z$2,行为概览!$D$3:$L$33,9,0)="","",VLOOKUP(Z$2,行为概览!$D$3:$L$33,9,0)*IF(玩法行为规划!Y128&gt;0,1,0))</f>
        <v>3</v>
      </c>
      <c r="AA128" s="7">
        <f>IF(VLOOKUP(AA$2,行为概览!$D$3:$L$33,9,0)="","",VLOOKUP(AA$2,行为概览!$D$3:$L$33,9,0)*IF(玩法行为规划!Z128&gt;0,1,0))</f>
        <v>0.5</v>
      </c>
      <c r="AB128" s="7" t="str">
        <f>IF(VLOOKUP(AB$2,行为概览!$D$3:$L$33,9,0)="","",VLOOKUP(AB$2,行为概览!$D$3:$L$33,9,0)*IF(玩法行为规划!AA128&gt;0,1,0))</f>
        <v/>
      </c>
      <c r="AC128" s="7" t="str">
        <f>IF(VLOOKUP(AC$2,行为概览!$D$3:$L$33,9,0)="","",VLOOKUP(AC$2,行为概览!$D$3:$L$33,9,0)*IF(玩法行为规划!AB128&gt;0,1,0))</f>
        <v/>
      </c>
      <c r="AD128" s="7" t="str">
        <f>IF(VLOOKUP(AD$2,行为概览!$D$3:$L$33,9,0)="","",VLOOKUP(AD$2,行为概览!$D$3:$L$33,9,0)*玩法行为规划!AC128)</f>
        <v/>
      </c>
      <c r="AE128" s="7" t="str">
        <f>IF(VLOOKUP(AE$2,行为概览!$D$3:$L$33,9,0)="","",VLOOKUP(AE$2,行为概览!$D$3:$L$33,9,0)*玩法行为规划!AD128)</f>
        <v/>
      </c>
      <c r="AF128" s="7">
        <f t="shared" si="23"/>
        <v>24.65</v>
      </c>
      <c r="AG128" s="10">
        <f t="shared" si="24"/>
        <v>3105900</v>
      </c>
      <c r="AH128" s="7">
        <f>ROUND(AG128*升级节奏!G128,0)</f>
        <v>70294799</v>
      </c>
      <c r="AI128" s="7">
        <f t="shared" si="15"/>
        <v>1209600</v>
      </c>
      <c r="AJ128" s="21" t="str">
        <f t="shared" si="25"/>
        <v/>
      </c>
      <c r="AK128" s="7">
        <f t="shared" si="16"/>
        <v>1.6916441742276585E-2</v>
      </c>
      <c r="AL128" s="7">
        <f t="shared" si="17"/>
        <v>71504399</v>
      </c>
      <c r="AM128" s="7">
        <f>SUM($AL$3:AL128)</f>
        <v>2164660220</v>
      </c>
      <c r="AN128" s="166">
        <f t="shared" si="18"/>
        <v>2368400</v>
      </c>
      <c r="AO128" s="7">
        <f>SUM($AN$3:AN128)*7</f>
        <v>505895600</v>
      </c>
      <c r="AP128" s="69">
        <f t="shared" si="19"/>
        <v>1648182620</v>
      </c>
      <c r="AQ128" s="160">
        <f t="shared" si="20"/>
        <v>7054700</v>
      </c>
      <c r="AR128" s="160">
        <f t="shared" si="21"/>
        <v>3527300</v>
      </c>
    </row>
    <row r="129" spans="1:44">
      <c r="A129" s="32">
        <v>127</v>
      </c>
      <c r="B129" s="81">
        <f>升级节奏!E129</f>
        <v>127000</v>
      </c>
      <c r="C129" s="7">
        <f>IF(VLOOKUP(C$2,行为概览!$D$3:$L$33,9,0)="","",VLOOKUP(C$2,行为概览!$D$3:$L$33,9,0)*IF(玩法行为规划!B129&gt;0,1,0))</f>
        <v>4</v>
      </c>
      <c r="D129" s="7">
        <f>IF(VLOOKUP(D$2,行为概览!$D$3:$L$33,9,0)="","",VLOOKUP(D$2,行为概览!$D$3:$L$33,9,0)*IF(玩法行为规划!C129&gt;0,1,0))</f>
        <v>1.65</v>
      </c>
      <c r="E129" s="7">
        <f>IF(VLOOKUP(E$2,行为概览!$D$3:$L$33,9,0)="","",VLOOKUP(E$2,行为概览!$D$3:$L$33,9,0)*IF(玩法行为规划!D129&gt;0,1,0))</f>
        <v>0.5</v>
      </c>
      <c r="F129" s="7">
        <f>IF(VLOOKUP(F$2,行为概览!$D$3:$L$33,9,0)="","",VLOOKUP(F$2,行为概览!$D$3:$L$33,9,0)*IF(玩法行为规划!E129&gt;0,1,0))</f>
        <v>1</v>
      </c>
      <c r="G129" s="7" t="str">
        <f>IF(VLOOKUP(G$2,行为概览!$D$3:$L$33,9,0)="","",VLOOKUP(G$2,行为概览!$D$3:$L$33,9,0)*IF(玩法行为规划!F129&gt;0,1,0))</f>
        <v/>
      </c>
      <c r="H129" s="7" t="str">
        <f>IF(VLOOKUP(H$2,行为概览!$D$3:$L$33,9,0)="","",VLOOKUP(H$2,行为概览!$D$3:$L$33,9,0)*IF(玩法行为规划!G129&gt;0,1,0))</f>
        <v/>
      </c>
      <c r="I129" s="7" t="str">
        <f>IF(VLOOKUP(I$2,行为概览!$D$3:$L$33,9,0)="","",VLOOKUP(I$2,行为概览!$D$3:$L$33,9,0)*IF(玩法行为规划!H129&gt;0,1,0))</f>
        <v/>
      </c>
      <c r="J129" s="7" t="str">
        <f>IF(VLOOKUP(J$2,行为概览!$D$3:$L$33,9,0)="","",VLOOKUP(J$2,行为概览!$D$3:$L$33,9,0)*IF(玩法行为规划!I129&gt;0,1,0))</f>
        <v/>
      </c>
      <c r="K129" s="7">
        <f>IF(VLOOKUP(K$2,行为概览!$D$3:$L$33,9,0)="","",VLOOKUP(K$2,行为概览!$D$3:$L$33,9,0)*IF(玩法行为规划!J129&gt;0,1,0))</f>
        <v>1</v>
      </c>
      <c r="L129" s="7">
        <f>IF(VLOOKUP(L$2,行为概览!$D$3:$L$33,9,0)="","",VLOOKUP(L$2,行为概览!$D$3:$L$33,9,0)*IF(玩法行为规划!K129&gt;0,1,0))</f>
        <v>1</v>
      </c>
      <c r="M129" s="7" t="str">
        <f>IF(VLOOKUP(M$2,行为概览!$D$3:$L$33,9,0)="","",VLOOKUP(M$2,行为概览!$D$3:$L$33,9,0)*IF(玩法行为规划!L129&gt;0,1,0))</f>
        <v/>
      </c>
      <c r="N129" s="7" t="str">
        <f>IF(VLOOKUP(N$2,行为概览!$D$3:$L$33,9,0)="","",VLOOKUP(N$2,行为概览!$D$3:$L$33,9,0)*IF(玩法行为规划!M129&gt;0,1,0))</f>
        <v/>
      </c>
      <c r="O129" s="7" t="str">
        <f>IF(VLOOKUP(O$2,行为概览!$D$3:$L$33,9,0)="","",VLOOKUP(O$2,行为概览!$D$3:$L$33,9,0)*IF(玩法行为规划!N129&gt;0,1,0))</f>
        <v/>
      </c>
      <c r="P129" s="7">
        <f>IF(VLOOKUP(P$2,行为概览!$D$3:$L$33,9,0)="","",VLOOKUP(P$2,行为概览!$D$3:$L$33,9,0)*IF(玩法行为规划!O129&gt;0,1,0))</f>
        <v>0.5</v>
      </c>
      <c r="Q129" s="7">
        <f>IF(VLOOKUP(Q$2,行为概览!$D$3:$L$33,9,0)="","",VLOOKUP(Q$2,行为概览!$D$3:$L$33,9,0)*IF(玩法行为规划!P129&gt;0,1,0))</f>
        <v>5</v>
      </c>
      <c r="R129" s="7" t="str">
        <f>IF(VLOOKUP(R$2,行为概览!$D$3:$L$33,9,0)="","",VLOOKUP(R$2,行为概览!$D$3:$L$33,9,0)*IF(玩法行为规划!Q129&gt;0,1,0))</f>
        <v/>
      </c>
      <c r="S129" s="7">
        <f>IF(VLOOKUP(S$2,行为概览!$D$3:$L$33,9,0)="","",VLOOKUP(S$2,行为概览!$D$3:$L$33,9,0)*IF(玩法行为规划!R129&gt;0,1,0))</f>
        <v>1</v>
      </c>
      <c r="T129" s="7">
        <f>IF(VLOOKUP(T$2,行为概览!$D$3:$L$33,9,0)="","",VLOOKUP(T$2,行为概览!$D$3:$L$33,9,0)*IF(玩法行为规划!S129&gt;0,1,0))</f>
        <v>0</v>
      </c>
      <c r="U129" s="7">
        <f>IF(VLOOKUP(U$2,行为概览!$D$3:$L$33,9,0)="","",VLOOKUP(U$2,行为概览!$D$3:$L$33,9,0)*IF(玩法行为规划!T129&gt;0,1,0))</f>
        <v>1</v>
      </c>
      <c r="V129" s="7">
        <f>IF(VLOOKUP(V$2,行为概览!$D$3:$L$33,9,0)="","",VLOOKUP(V$2,行为概览!$D$3:$L$33,9,0)*IF(玩法行为规划!U129&gt;0,1,0))</f>
        <v>1.5</v>
      </c>
      <c r="W129" s="7">
        <f>IF(VLOOKUP(W$2,行为概览!$D$3:$L$33,9,0)="","",VLOOKUP(W$2,行为概览!$D$3:$L$33,9,0)*IF(玩法行为规划!V129&gt;0,1,0))</f>
        <v>1</v>
      </c>
      <c r="X129" s="7">
        <f>IF(VLOOKUP(X$2,行为概览!$D$3:$L$33,9,0)="","",VLOOKUP(X$2,行为概览!$D$3:$L$33,9,0)*IF(玩法行为规划!W129&gt;0,1,0))</f>
        <v>1</v>
      </c>
      <c r="Y129" s="7">
        <f>IF(VLOOKUP(Y$2,行为概览!$D$3:$L$33,9,0)="","",VLOOKUP(Y$2,行为概览!$D$3:$L$33,9,0)*IF(玩法行为规划!X129&gt;0,1,0))</f>
        <v>1</v>
      </c>
      <c r="Z129" s="7">
        <f>IF(VLOOKUP(Z$2,行为概览!$D$3:$L$33,9,0)="","",VLOOKUP(Z$2,行为概览!$D$3:$L$33,9,0)*IF(玩法行为规划!Y129&gt;0,1,0))</f>
        <v>3</v>
      </c>
      <c r="AA129" s="7">
        <f>IF(VLOOKUP(AA$2,行为概览!$D$3:$L$33,9,0)="","",VLOOKUP(AA$2,行为概览!$D$3:$L$33,9,0)*IF(玩法行为规划!Z129&gt;0,1,0))</f>
        <v>0.5</v>
      </c>
      <c r="AB129" s="7" t="str">
        <f>IF(VLOOKUP(AB$2,行为概览!$D$3:$L$33,9,0)="","",VLOOKUP(AB$2,行为概览!$D$3:$L$33,9,0)*IF(玩法行为规划!AA129&gt;0,1,0))</f>
        <v/>
      </c>
      <c r="AC129" s="7" t="str">
        <f>IF(VLOOKUP(AC$2,行为概览!$D$3:$L$33,9,0)="","",VLOOKUP(AC$2,行为概览!$D$3:$L$33,9,0)*IF(玩法行为规划!AB129&gt;0,1,0))</f>
        <v/>
      </c>
      <c r="AD129" s="7" t="str">
        <f>IF(VLOOKUP(AD$2,行为概览!$D$3:$L$33,9,0)="","",VLOOKUP(AD$2,行为概览!$D$3:$L$33,9,0)*玩法行为规划!AC129)</f>
        <v/>
      </c>
      <c r="AE129" s="7" t="str">
        <f>IF(VLOOKUP(AE$2,行为概览!$D$3:$L$33,9,0)="","",VLOOKUP(AE$2,行为概览!$D$3:$L$33,9,0)*玩法行为规划!AD129)</f>
        <v/>
      </c>
      <c r="AF129" s="7">
        <f t="shared" si="23"/>
        <v>24.65</v>
      </c>
      <c r="AG129" s="10">
        <f t="shared" si="24"/>
        <v>3130550</v>
      </c>
      <c r="AH129" s="7">
        <f>ROUND(AG129*升级节奏!G129,0)</f>
        <v>71974736</v>
      </c>
      <c r="AI129" s="7">
        <f t="shared" si="15"/>
        <v>1231900</v>
      </c>
      <c r="AJ129" s="21" t="str">
        <f t="shared" si="25"/>
        <v/>
      </c>
      <c r="AK129" s="7">
        <f t="shared" si="16"/>
        <v>1.6827709444264042E-2</v>
      </c>
      <c r="AL129" s="7">
        <f t="shared" si="17"/>
        <v>73206636</v>
      </c>
      <c r="AM129" s="7">
        <f>SUM($AL$3:AL129)</f>
        <v>2237866856</v>
      </c>
      <c r="AN129" s="166">
        <f t="shared" si="18"/>
        <v>2424600</v>
      </c>
      <c r="AO129" s="7">
        <f>SUM($AN$3:AN129)*7</f>
        <v>522867800</v>
      </c>
      <c r="AP129" s="69">
        <f t="shared" si="19"/>
        <v>1704164756</v>
      </c>
      <c r="AQ129" s="160">
        <f t="shared" si="20"/>
        <v>7222900</v>
      </c>
      <c r="AR129" s="160">
        <f t="shared" si="21"/>
        <v>3611400</v>
      </c>
    </row>
    <row r="130" spans="1:44">
      <c r="A130" s="32">
        <v>128</v>
      </c>
      <c r="B130" s="81">
        <f>升级节奏!E130</f>
        <v>128000</v>
      </c>
      <c r="C130" s="7">
        <f>IF(VLOOKUP(C$2,行为概览!$D$3:$L$33,9,0)="","",VLOOKUP(C$2,行为概览!$D$3:$L$33,9,0)*IF(玩法行为规划!B130&gt;0,1,0))</f>
        <v>4</v>
      </c>
      <c r="D130" s="7">
        <f>IF(VLOOKUP(D$2,行为概览!$D$3:$L$33,9,0)="","",VLOOKUP(D$2,行为概览!$D$3:$L$33,9,0)*IF(玩法行为规划!C130&gt;0,1,0))</f>
        <v>1.65</v>
      </c>
      <c r="E130" s="7">
        <f>IF(VLOOKUP(E$2,行为概览!$D$3:$L$33,9,0)="","",VLOOKUP(E$2,行为概览!$D$3:$L$33,9,0)*IF(玩法行为规划!D130&gt;0,1,0))</f>
        <v>0.5</v>
      </c>
      <c r="F130" s="7">
        <f>IF(VLOOKUP(F$2,行为概览!$D$3:$L$33,9,0)="","",VLOOKUP(F$2,行为概览!$D$3:$L$33,9,0)*IF(玩法行为规划!E130&gt;0,1,0))</f>
        <v>1</v>
      </c>
      <c r="G130" s="7" t="str">
        <f>IF(VLOOKUP(G$2,行为概览!$D$3:$L$33,9,0)="","",VLOOKUP(G$2,行为概览!$D$3:$L$33,9,0)*IF(玩法行为规划!F130&gt;0,1,0))</f>
        <v/>
      </c>
      <c r="H130" s="7" t="str">
        <f>IF(VLOOKUP(H$2,行为概览!$D$3:$L$33,9,0)="","",VLOOKUP(H$2,行为概览!$D$3:$L$33,9,0)*IF(玩法行为规划!G130&gt;0,1,0))</f>
        <v/>
      </c>
      <c r="I130" s="7" t="str">
        <f>IF(VLOOKUP(I$2,行为概览!$D$3:$L$33,9,0)="","",VLOOKUP(I$2,行为概览!$D$3:$L$33,9,0)*IF(玩法行为规划!H130&gt;0,1,0))</f>
        <v/>
      </c>
      <c r="J130" s="7" t="str">
        <f>IF(VLOOKUP(J$2,行为概览!$D$3:$L$33,9,0)="","",VLOOKUP(J$2,行为概览!$D$3:$L$33,9,0)*IF(玩法行为规划!I130&gt;0,1,0))</f>
        <v/>
      </c>
      <c r="K130" s="7">
        <f>IF(VLOOKUP(K$2,行为概览!$D$3:$L$33,9,0)="","",VLOOKUP(K$2,行为概览!$D$3:$L$33,9,0)*IF(玩法行为规划!J130&gt;0,1,0))</f>
        <v>1</v>
      </c>
      <c r="L130" s="7">
        <f>IF(VLOOKUP(L$2,行为概览!$D$3:$L$33,9,0)="","",VLOOKUP(L$2,行为概览!$D$3:$L$33,9,0)*IF(玩法行为规划!K130&gt;0,1,0))</f>
        <v>1</v>
      </c>
      <c r="M130" s="7" t="str">
        <f>IF(VLOOKUP(M$2,行为概览!$D$3:$L$33,9,0)="","",VLOOKUP(M$2,行为概览!$D$3:$L$33,9,0)*IF(玩法行为规划!L130&gt;0,1,0))</f>
        <v/>
      </c>
      <c r="N130" s="7" t="str">
        <f>IF(VLOOKUP(N$2,行为概览!$D$3:$L$33,9,0)="","",VLOOKUP(N$2,行为概览!$D$3:$L$33,9,0)*IF(玩法行为规划!M130&gt;0,1,0))</f>
        <v/>
      </c>
      <c r="O130" s="7" t="str">
        <f>IF(VLOOKUP(O$2,行为概览!$D$3:$L$33,9,0)="","",VLOOKUP(O$2,行为概览!$D$3:$L$33,9,0)*IF(玩法行为规划!N130&gt;0,1,0))</f>
        <v/>
      </c>
      <c r="P130" s="7">
        <f>IF(VLOOKUP(P$2,行为概览!$D$3:$L$33,9,0)="","",VLOOKUP(P$2,行为概览!$D$3:$L$33,9,0)*IF(玩法行为规划!O130&gt;0,1,0))</f>
        <v>0.5</v>
      </c>
      <c r="Q130" s="7">
        <f>IF(VLOOKUP(Q$2,行为概览!$D$3:$L$33,9,0)="","",VLOOKUP(Q$2,行为概览!$D$3:$L$33,9,0)*IF(玩法行为规划!P130&gt;0,1,0))</f>
        <v>5</v>
      </c>
      <c r="R130" s="7" t="str">
        <f>IF(VLOOKUP(R$2,行为概览!$D$3:$L$33,9,0)="","",VLOOKUP(R$2,行为概览!$D$3:$L$33,9,0)*IF(玩法行为规划!Q130&gt;0,1,0))</f>
        <v/>
      </c>
      <c r="S130" s="7">
        <f>IF(VLOOKUP(S$2,行为概览!$D$3:$L$33,9,0)="","",VLOOKUP(S$2,行为概览!$D$3:$L$33,9,0)*IF(玩法行为规划!R130&gt;0,1,0))</f>
        <v>1</v>
      </c>
      <c r="T130" s="7">
        <f>IF(VLOOKUP(T$2,行为概览!$D$3:$L$33,9,0)="","",VLOOKUP(T$2,行为概览!$D$3:$L$33,9,0)*IF(玩法行为规划!S130&gt;0,1,0))</f>
        <v>0</v>
      </c>
      <c r="U130" s="7">
        <f>IF(VLOOKUP(U$2,行为概览!$D$3:$L$33,9,0)="","",VLOOKUP(U$2,行为概览!$D$3:$L$33,9,0)*IF(玩法行为规划!T130&gt;0,1,0))</f>
        <v>1</v>
      </c>
      <c r="V130" s="7">
        <f>IF(VLOOKUP(V$2,行为概览!$D$3:$L$33,9,0)="","",VLOOKUP(V$2,行为概览!$D$3:$L$33,9,0)*IF(玩法行为规划!U130&gt;0,1,0))</f>
        <v>1.5</v>
      </c>
      <c r="W130" s="7">
        <f>IF(VLOOKUP(W$2,行为概览!$D$3:$L$33,9,0)="","",VLOOKUP(W$2,行为概览!$D$3:$L$33,9,0)*IF(玩法行为规划!V130&gt;0,1,0))</f>
        <v>1</v>
      </c>
      <c r="X130" s="7">
        <f>IF(VLOOKUP(X$2,行为概览!$D$3:$L$33,9,0)="","",VLOOKUP(X$2,行为概览!$D$3:$L$33,9,0)*IF(玩法行为规划!W130&gt;0,1,0))</f>
        <v>1</v>
      </c>
      <c r="Y130" s="7">
        <f>IF(VLOOKUP(Y$2,行为概览!$D$3:$L$33,9,0)="","",VLOOKUP(Y$2,行为概览!$D$3:$L$33,9,0)*IF(玩法行为规划!X130&gt;0,1,0))</f>
        <v>1</v>
      </c>
      <c r="Z130" s="7">
        <f>IF(VLOOKUP(Z$2,行为概览!$D$3:$L$33,9,0)="","",VLOOKUP(Z$2,行为概览!$D$3:$L$33,9,0)*IF(玩法行为规划!Y130&gt;0,1,0))</f>
        <v>3</v>
      </c>
      <c r="AA130" s="7">
        <f>IF(VLOOKUP(AA$2,行为概览!$D$3:$L$33,9,0)="","",VLOOKUP(AA$2,行为概览!$D$3:$L$33,9,0)*IF(玩法行为规划!Z130&gt;0,1,0))</f>
        <v>0.5</v>
      </c>
      <c r="AB130" s="7" t="str">
        <f>IF(VLOOKUP(AB$2,行为概览!$D$3:$L$33,9,0)="","",VLOOKUP(AB$2,行为概览!$D$3:$L$33,9,0)*IF(玩法行为规划!AA130&gt;0,1,0))</f>
        <v/>
      </c>
      <c r="AC130" s="7" t="str">
        <f>IF(VLOOKUP(AC$2,行为概览!$D$3:$L$33,9,0)="","",VLOOKUP(AC$2,行为概览!$D$3:$L$33,9,0)*IF(玩法行为规划!AB130&gt;0,1,0))</f>
        <v/>
      </c>
      <c r="AD130" s="7" t="str">
        <f>IF(VLOOKUP(AD$2,行为概览!$D$3:$L$33,9,0)="","",VLOOKUP(AD$2,行为概览!$D$3:$L$33,9,0)*玩法行为规划!AC130)</f>
        <v/>
      </c>
      <c r="AE130" s="7" t="str">
        <f>IF(VLOOKUP(AE$2,行为概览!$D$3:$L$33,9,0)="","",VLOOKUP(AE$2,行为概览!$D$3:$L$33,9,0)*玩法行为规划!AD130)</f>
        <v/>
      </c>
      <c r="AF130" s="7">
        <f t="shared" si="23"/>
        <v>24.65</v>
      </c>
      <c r="AG130" s="10">
        <f t="shared" si="24"/>
        <v>3155200</v>
      </c>
      <c r="AH130" s="7">
        <f>ROUND(AG130*升级节奏!G130,0)</f>
        <v>73681282</v>
      </c>
      <c r="AI130" s="7">
        <f t="shared" si="15"/>
        <v>1254400</v>
      </c>
      <c r="AJ130" s="21" t="str">
        <f t="shared" si="25"/>
        <v/>
      </c>
      <c r="AK130" s="7">
        <f t="shared" si="16"/>
        <v>1.6739688844094325E-2</v>
      </c>
      <c r="AL130" s="7">
        <f t="shared" si="17"/>
        <v>74935682</v>
      </c>
      <c r="AM130" s="7">
        <f>SUM($AL$3:AL130)</f>
        <v>2312802538</v>
      </c>
      <c r="AN130" s="166">
        <f t="shared" si="18"/>
        <v>2481600</v>
      </c>
      <c r="AO130" s="7">
        <f>SUM($AN$3:AN130)*7</f>
        <v>540239000</v>
      </c>
      <c r="AP130" s="69">
        <f t="shared" si="19"/>
        <v>1761472938</v>
      </c>
      <c r="AQ130" s="160">
        <f t="shared" si="20"/>
        <v>7393700</v>
      </c>
      <c r="AR130" s="160">
        <f t="shared" si="21"/>
        <v>3696900</v>
      </c>
    </row>
    <row r="131" spans="1:44">
      <c r="A131" s="32">
        <v>129</v>
      </c>
      <c r="B131" s="81">
        <f>升级节奏!E131</f>
        <v>129000</v>
      </c>
      <c r="C131" s="7">
        <f>IF(VLOOKUP(C$2,行为概览!$D$3:$L$33,9,0)="","",VLOOKUP(C$2,行为概览!$D$3:$L$33,9,0)*IF(玩法行为规划!B131&gt;0,1,0))</f>
        <v>4</v>
      </c>
      <c r="D131" s="7">
        <f>IF(VLOOKUP(D$2,行为概览!$D$3:$L$33,9,0)="","",VLOOKUP(D$2,行为概览!$D$3:$L$33,9,0)*IF(玩法行为规划!C131&gt;0,1,0))</f>
        <v>1.65</v>
      </c>
      <c r="E131" s="7">
        <f>IF(VLOOKUP(E$2,行为概览!$D$3:$L$33,9,0)="","",VLOOKUP(E$2,行为概览!$D$3:$L$33,9,0)*IF(玩法行为规划!D131&gt;0,1,0))</f>
        <v>0.5</v>
      </c>
      <c r="F131" s="7">
        <f>IF(VLOOKUP(F$2,行为概览!$D$3:$L$33,9,0)="","",VLOOKUP(F$2,行为概览!$D$3:$L$33,9,0)*IF(玩法行为规划!E131&gt;0,1,0))</f>
        <v>1</v>
      </c>
      <c r="G131" s="7" t="str">
        <f>IF(VLOOKUP(G$2,行为概览!$D$3:$L$33,9,0)="","",VLOOKUP(G$2,行为概览!$D$3:$L$33,9,0)*IF(玩法行为规划!F131&gt;0,1,0))</f>
        <v/>
      </c>
      <c r="H131" s="7" t="str">
        <f>IF(VLOOKUP(H$2,行为概览!$D$3:$L$33,9,0)="","",VLOOKUP(H$2,行为概览!$D$3:$L$33,9,0)*IF(玩法行为规划!G131&gt;0,1,0))</f>
        <v/>
      </c>
      <c r="I131" s="7" t="str">
        <f>IF(VLOOKUP(I$2,行为概览!$D$3:$L$33,9,0)="","",VLOOKUP(I$2,行为概览!$D$3:$L$33,9,0)*IF(玩法行为规划!H131&gt;0,1,0))</f>
        <v/>
      </c>
      <c r="J131" s="7" t="str">
        <f>IF(VLOOKUP(J$2,行为概览!$D$3:$L$33,9,0)="","",VLOOKUP(J$2,行为概览!$D$3:$L$33,9,0)*IF(玩法行为规划!I131&gt;0,1,0))</f>
        <v/>
      </c>
      <c r="K131" s="7">
        <f>IF(VLOOKUP(K$2,行为概览!$D$3:$L$33,9,0)="","",VLOOKUP(K$2,行为概览!$D$3:$L$33,9,0)*IF(玩法行为规划!J131&gt;0,1,0))</f>
        <v>1</v>
      </c>
      <c r="L131" s="7">
        <f>IF(VLOOKUP(L$2,行为概览!$D$3:$L$33,9,0)="","",VLOOKUP(L$2,行为概览!$D$3:$L$33,9,0)*IF(玩法行为规划!K131&gt;0,1,0))</f>
        <v>1</v>
      </c>
      <c r="M131" s="7" t="str">
        <f>IF(VLOOKUP(M$2,行为概览!$D$3:$L$33,9,0)="","",VLOOKUP(M$2,行为概览!$D$3:$L$33,9,0)*IF(玩法行为规划!L131&gt;0,1,0))</f>
        <v/>
      </c>
      <c r="N131" s="7" t="str">
        <f>IF(VLOOKUP(N$2,行为概览!$D$3:$L$33,9,0)="","",VLOOKUP(N$2,行为概览!$D$3:$L$33,9,0)*IF(玩法行为规划!M131&gt;0,1,0))</f>
        <v/>
      </c>
      <c r="O131" s="7" t="str">
        <f>IF(VLOOKUP(O$2,行为概览!$D$3:$L$33,9,0)="","",VLOOKUP(O$2,行为概览!$D$3:$L$33,9,0)*IF(玩法行为规划!N131&gt;0,1,0))</f>
        <v/>
      </c>
      <c r="P131" s="7">
        <f>IF(VLOOKUP(P$2,行为概览!$D$3:$L$33,9,0)="","",VLOOKUP(P$2,行为概览!$D$3:$L$33,9,0)*IF(玩法行为规划!O131&gt;0,1,0))</f>
        <v>0.5</v>
      </c>
      <c r="Q131" s="7">
        <f>IF(VLOOKUP(Q$2,行为概览!$D$3:$L$33,9,0)="","",VLOOKUP(Q$2,行为概览!$D$3:$L$33,9,0)*IF(玩法行为规划!P131&gt;0,1,0))</f>
        <v>5</v>
      </c>
      <c r="R131" s="7" t="str">
        <f>IF(VLOOKUP(R$2,行为概览!$D$3:$L$33,9,0)="","",VLOOKUP(R$2,行为概览!$D$3:$L$33,9,0)*IF(玩法行为规划!Q131&gt;0,1,0))</f>
        <v/>
      </c>
      <c r="S131" s="7">
        <f>IF(VLOOKUP(S$2,行为概览!$D$3:$L$33,9,0)="","",VLOOKUP(S$2,行为概览!$D$3:$L$33,9,0)*IF(玩法行为规划!R131&gt;0,1,0))</f>
        <v>1</v>
      </c>
      <c r="T131" s="7">
        <f>IF(VLOOKUP(T$2,行为概览!$D$3:$L$33,9,0)="","",VLOOKUP(T$2,行为概览!$D$3:$L$33,9,0)*IF(玩法行为规划!S131&gt;0,1,0))</f>
        <v>0</v>
      </c>
      <c r="U131" s="7">
        <f>IF(VLOOKUP(U$2,行为概览!$D$3:$L$33,9,0)="","",VLOOKUP(U$2,行为概览!$D$3:$L$33,9,0)*IF(玩法行为规划!T131&gt;0,1,0))</f>
        <v>1</v>
      </c>
      <c r="V131" s="7">
        <f>IF(VLOOKUP(V$2,行为概览!$D$3:$L$33,9,0)="","",VLOOKUP(V$2,行为概览!$D$3:$L$33,9,0)*IF(玩法行为规划!U131&gt;0,1,0))</f>
        <v>1.5</v>
      </c>
      <c r="W131" s="7">
        <f>IF(VLOOKUP(W$2,行为概览!$D$3:$L$33,9,0)="","",VLOOKUP(W$2,行为概览!$D$3:$L$33,9,0)*IF(玩法行为规划!V131&gt;0,1,0))</f>
        <v>1</v>
      </c>
      <c r="X131" s="7">
        <f>IF(VLOOKUP(X$2,行为概览!$D$3:$L$33,9,0)="","",VLOOKUP(X$2,行为概览!$D$3:$L$33,9,0)*IF(玩法行为规划!W131&gt;0,1,0))</f>
        <v>1</v>
      </c>
      <c r="Y131" s="7">
        <f>IF(VLOOKUP(Y$2,行为概览!$D$3:$L$33,9,0)="","",VLOOKUP(Y$2,行为概览!$D$3:$L$33,9,0)*IF(玩法行为规划!X131&gt;0,1,0))</f>
        <v>1</v>
      </c>
      <c r="Z131" s="7">
        <f>IF(VLOOKUP(Z$2,行为概览!$D$3:$L$33,9,0)="","",VLOOKUP(Z$2,行为概览!$D$3:$L$33,9,0)*IF(玩法行为规划!Y131&gt;0,1,0))</f>
        <v>3</v>
      </c>
      <c r="AA131" s="7">
        <f>IF(VLOOKUP(AA$2,行为概览!$D$3:$L$33,9,0)="","",VLOOKUP(AA$2,行为概览!$D$3:$L$33,9,0)*IF(玩法行为规划!Z131&gt;0,1,0))</f>
        <v>0.5</v>
      </c>
      <c r="AB131" s="7" t="str">
        <f>IF(VLOOKUP(AB$2,行为概览!$D$3:$L$33,9,0)="","",VLOOKUP(AB$2,行为概览!$D$3:$L$33,9,0)*IF(玩法行为规划!AA131&gt;0,1,0))</f>
        <v/>
      </c>
      <c r="AC131" s="7" t="str">
        <f>IF(VLOOKUP(AC$2,行为概览!$D$3:$L$33,9,0)="","",VLOOKUP(AC$2,行为概览!$D$3:$L$33,9,0)*IF(玩法行为规划!AB131&gt;0,1,0))</f>
        <v/>
      </c>
      <c r="AD131" s="7" t="str">
        <f>IF(VLOOKUP(AD$2,行为概览!$D$3:$L$33,9,0)="","",VLOOKUP(AD$2,行为概览!$D$3:$L$33,9,0)*玩法行为规划!AC131)</f>
        <v/>
      </c>
      <c r="AE131" s="7" t="str">
        <f>IF(VLOOKUP(AE$2,行为概览!$D$3:$L$33,9,0)="","",VLOOKUP(AE$2,行为概览!$D$3:$L$33,9,0)*玩法行为规划!AD131)</f>
        <v/>
      </c>
      <c r="AF131" s="7">
        <f t="shared" ref="AF131:AF152" si="26">SUM(C131:AC131)</f>
        <v>24.65</v>
      </c>
      <c r="AG131" s="10">
        <f t="shared" ref="AG131:AG152" si="27">B131*AF131</f>
        <v>3179850</v>
      </c>
      <c r="AH131" s="7">
        <f>ROUND(AG131*升级节奏!G131,0)</f>
        <v>75414648</v>
      </c>
      <c r="AI131" s="7">
        <f t="shared" si="15"/>
        <v>1277100</v>
      </c>
      <c r="AJ131" s="21" t="str">
        <f t="shared" si="25"/>
        <v/>
      </c>
      <c r="AK131" s="7">
        <f t="shared" si="16"/>
        <v>1.6652378297597286E-2</v>
      </c>
      <c r="AL131" s="7">
        <f t="shared" si="17"/>
        <v>76691748</v>
      </c>
      <c r="AM131" s="7">
        <f>SUM($AL$3:AL131)</f>
        <v>2389494286</v>
      </c>
      <c r="AN131" s="166">
        <f t="shared" si="18"/>
        <v>2539600</v>
      </c>
      <c r="AO131" s="7">
        <f>SUM($AN$3:AN131)*7</f>
        <v>558016200</v>
      </c>
      <c r="AP131" s="69">
        <f t="shared" si="19"/>
        <v>1820127186</v>
      </c>
      <c r="AQ131" s="160">
        <f t="shared" si="20"/>
        <v>7567300</v>
      </c>
      <c r="AR131" s="160">
        <f t="shared" si="21"/>
        <v>3783600</v>
      </c>
    </row>
    <row r="132" spans="1:44">
      <c r="A132" s="32">
        <v>130</v>
      </c>
      <c r="B132" s="81">
        <f>升级节奏!E132</f>
        <v>130000</v>
      </c>
      <c r="C132" s="7">
        <f>IF(VLOOKUP(C$2,行为概览!$D$3:$L$33,9,0)="","",VLOOKUP(C$2,行为概览!$D$3:$L$33,9,0)*IF(玩法行为规划!B132&gt;0,1,0))</f>
        <v>4</v>
      </c>
      <c r="D132" s="7">
        <f>IF(VLOOKUP(D$2,行为概览!$D$3:$L$33,9,0)="","",VLOOKUP(D$2,行为概览!$D$3:$L$33,9,0)*IF(玩法行为规划!C132&gt;0,1,0))</f>
        <v>1.65</v>
      </c>
      <c r="E132" s="7">
        <f>IF(VLOOKUP(E$2,行为概览!$D$3:$L$33,9,0)="","",VLOOKUP(E$2,行为概览!$D$3:$L$33,9,0)*IF(玩法行为规划!D132&gt;0,1,0))</f>
        <v>0.5</v>
      </c>
      <c r="F132" s="7">
        <f>IF(VLOOKUP(F$2,行为概览!$D$3:$L$33,9,0)="","",VLOOKUP(F$2,行为概览!$D$3:$L$33,9,0)*IF(玩法行为规划!E132&gt;0,1,0))</f>
        <v>1</v>
      </c>
      <c r="G132" s="7" t="str">
        <f>IF(VLOOKUP(G$2,行为概览!$D$3:$L$33,9,0)="","",VLOOKUP(G$2,行为概览!$D$3:$L$33,9,0)*IF(玩法行为规划!F132&gt;0,1,0))</f>
        <v/>
      </c>
      <c r="H132" s="7" t="str">
        <f>IF(VLOOKUP(H$2,行为概览!$D$3:$L$33,9,0)="","",VLOOKUP(H$2,行为概览!$D$3:$L$33,9,0)*IF(玩法行为规划!G132&gt;0,1,0))</f>
        <v/>
      </c>
      <c r="I132" s="7" t="str">
        <f>IF(VLOOKUP(I$2,行为概览!$D$3:$L$33,9,0)="","",VLOOKUP(I$2,行为概览!$D$3:$L$33,9,0)*IF(玩法行为规划!H132&gt;0,1,0))</f>
        <v/>
      </c>
      <c r="J132" s="7" t="str">
        <f>IF(VLOOKUP(J$2,行为概览!$D$3:$L$33,9,0)="","",VLOOKUP(J$2,行为概览!$D$3:$L$33,9,0)*IF(玩法行为规划!I132&gt;0,1,0))</f>
        <v/>
      </c>
      <c r="K132" s="7">
        <f>IF(VLOOKUP(K$2,行为概览!$D$3:$L$33,9,0)="","",VLOOKUP(K$2,行为概览!$D$3:$L$33,9,0)*IF(玩法行为规划!J132&gt;0,1,0))</f>
        <v>1</v>
      </c>
      <c r="L132" s="7">
        <f>IF(VLOOKUP(L$2,行为概览!$D$3:$L$33,9,0)="","",VLOOKUP(L$2,行为概览!$D$3:$L$33,9,0)*IF(玩法行为规划!K132&gt;0,1,0))</f>
        <v>1</v>
      </c>
      <c r="M132" s="7" t="str">
        <f>IF(VLOOKUP(M$2,行为概览!$D$3:$L$33,9,0)="","",VLOOKUP(M$2,行为概览!$D$3:$L$33,9,0)*IF(玩法行为规划!L132&gt;0,1,0))</f>
        <v/>
      </c>
      <c r="N132" s="7" t="str">
        <f>IF(VLOOKUP(N$2,行为概览!$D$3:$L$33,9,0)="","",VLOOKUP(N$2,行为概览!$D$3:$L$33,9,0)*IF(玩法行为规划!M132&gt;0,1,0))</f>
        <v/>
      </c>
      <c r="O132" s="7" t="str">
        <f>IF(VLOOKUP(O$2,行为概览!$D$3:$L$33,9,0)="","",VLOOKUP(O$2,行为概览!$D$3:$L$33,9,0)*IF(玩法行为规划!N132&gt;0,1,0))</f>
        <v/>
      </c>
      <c r="P132" s="7">
        <f>IF(VLOOKUP(P$2,行为概览!$D$3:$L$33,9,0)="","",VLOOKUP(P$2,行为概览!$D$3:$L$33,9,0)*IF(玩法行为规划!O132&gt;0,1,0))</f>
        <v>0.5</v>
      </c>
      <c r="Q132" s="7">
        <f>IF(VLOOKUP(Q$2,行为概览!$D$3:$L$33,9,0)="","",VLOOKUP(Q$2,行为概览!$D$3:$L$33,9,0)*IF(玩法行为规划!P132&gt;0,1,0))</f>
        <v>5</v>
      </c>
      <c r="R132" s="7" t="str">
        <f>IF(VLOOKUP(R$2,行为概览!$D$3:$L$33,9,0)="","",VLOOKUP(R$2,行为概览!$D$3:$L$33,9,0)*IF(玩法行为规划!Q132&gt;0,1,0))</f>
        <v/>
      </c>
      <c r="S132" s="7">
        <f>IF(VLOOKUP(S$2,行为概览!$D$3:$L$33,9,0)="","",VLOOKUP(S$2,行为概览!$D$3:$L$33,9,0)*IF(玩法行为规划!R132&gt;0,1,0))</f>
        <v>1</v>
      </c>
      <c r="T132" s="7">
        <f>IF(VLOOKUP(T$2,行为概览!$D$3:$L$33,9,0)="","",VLOOKUP(T$2,行为概览!$D$3:$L$33,9,0)*IF(玩法行为规划!S132&gt;0,1,0))</f>
        <v>0</v>
      </c>
      <c r="U132" s="7">
        <f>IF(VLOOKUP(U$2,行为概览!$D$3:$L$33,9,0)="","",VLOOKUP(U$2,行为概览!$D$3:$L$33,9,0)*IF(玩法行为规划!T132&gt;0,1,0))</f>
        <v>1</v>
      </c>
      <c r="V132" s="7">
        <f>IF(VLOOKUP(V$2,行为概览!$D$3:$L$33,9,0)="","",VLOOKUP(V$2,行为概览!$D$3:$L$33,9,0)*IF(玩法行为规划!U132&gt;0,1,0))</f>
        <v>1.5</v>
      </c>
      <c r="W132" s="7">
        <f>IF(VLOOKUP(W$2,行为概览!$D$3:$L$33,9,0)="","",VLOOKUP(W$2,行为概览!$D$3:$L$33,9,0)*IF(玩法行为规划!V132&gt;0,1,0))</f>
        <v>1</v>
      </c>
      <c r="X132" s="7">
        <f>IF(VLOOKUP(X$2,行为概览!$D$3:$L$33,9,0)="","",VLOOKUP(X$2,行为概览!$D$3:$L$33,9,0)*IF(玩法行为规划!W132&gt;0,1,0))</f>
        <v>1</v>
      </c>
      <c r="Y132" s="7">
        <f>IF(VLOOKUP(Y$2,行为概览!$D$3:$L$33,9,0)="","",VLOOKUP(Y$2,行为概览!$D$3:$L$33,9,0)*IF(玩法行为规划!X132&gt;0,1,0))</f>
        <v>1</v>
      </c>
      <c r="Z132" s="7">
        <f>IF(VLOOKUP(Z$2,行为概览!$D$3:$L$33,9,0)="","",VLOOKUP(Z$2,行为概览!$D$3:$L$33,9,0)*IF(玩法行为规划!Y132&gt;0,1,0))</f>
        <v>3</v>
      </c>
      <c r="AA132" s="7">
        <f>IF(VLOOKUP(AA$2,行为概览!$D$3:$L$33,9,0)="","",VLOOKUP(AA$2,行为概览!$D$3:$L$33,9,0)*IF(玩法行为规划!Z132&gt;0,1,0))</f>
        <v>0.5</v>
      </c>
      <c r="AB132" s="7" t="str">
        <f>IF(VLOOKUP(AB$2,行为概览!$D$3:$L$33,9,0)="","",VLOOKUP(AB$2,行为概览!$D$3:$L$33,9,0)*IF(玩法行为规划!AA132&gt;0,1,0))</f>
        <v/>
      </c>
      <c r="AC132" s="7" t="str">
        <f>IF(VLOOKUP(AC$2,行为概览!$D$3:$L$33,9,0)="","",VLOOKUP(AC$2,行为概览!$D$3:$L$33,9,0)*IF(玩法行为规划!AB132&gt;0,1,0))</f>
        <v/>
      </c>
      <c r="AD132" s="7" t="str">
        <f>IF(VLOOKUP(AD$2,行为概览!$D$3:$L$33,9,0)="","",VLOOKUP(AD$2,行为概览!$D$3:$L$33,9,0)*玩法行为规划!AC132)</f>
        <v/>
      </c>
      <c r="AE132" s="7" t="str">
        <f>IF(VLOOKUP(AE$2,行为概览!$D$3:$L$33,9,0)="","",VLOOKUP(AE$2,行为概览!$D$3:$L$33,9,0)*玩法行为规划!AD132)</f>
        <v/>
      </c>
      <c r="AF132" s="7">
        <f t="shared" si="26"/>
        <v>24.65</v>
      </c>
      <c r="AG132" s="10">
        <f t="shared" si="27"/>
        <v>3204500</v>
      </c>
      <c r="AH132" s="7">
        <f>ROUND(AG132*升级节奏!G132,0)</f>
        <v>77175042</v>
      </c>
      <c r="AI132" s="7">
        <f t="shared" ref="AI132:AI152" si="28">ROUND(B132*(1+MAX(A132-40,0)*0.1),-2)</f>
        <v>1300000</v>
      </c>
      <c r="AJ132" s="21">
        <f t="shared" si="25"/>
        <v>14063500</v>
      </c>
      <c r="AK132" s="7">
        <f t="shared" ref="AK132:AK152" si="29">AI132/AL132</f>
        <v>1.6565776415895388E-2</v>
      </c>
      <c r="AL132" s="7">
        <f t="shared" ref="AL132:AL152" si="30">AH132+AI132</f>
        <v>78475042</v>
      </c>
      <c r="AM132" s="7">
        <f>SUM($AL$3:AL132)</f>
        <v>2467969328</v>
      </c>
      <c r="AN132" s="166">
        <f t="shared" ref="AN132:AN152" si="31">ROUND((B132*6+AH132)/30,-2)</f>
        <v>2598500</v>
      </c>
      <c r="AO132" s="7">
        <f>SUM($AN$3:AN132)*7</f>
        <v>576205700</v>
      </c>
      <c r="AP132" s="69">
        <f t="shared" ref="AP132:AP152" si="32">AM132-AO132-AQ132-AR132</f>
        <v>1880148328</v>
      </c>
      <c r="AQ132" s="160">
        <f t="shared" ref="AQ132:AQ152" si="33">ROUND((B132*2+AH132)/10,-2)</f>
        <v>7743500</v>
      </c>
      <c r="AR132" s="160">
        <f t="shared" ref="AR132:AR152" si="34">ROUND((B132*2+AH132)/20,-2)</f>
        <v>3871800</v>
      </c>
    </row>
    <row r="133" spans="1:44">
      <c r="A133" s="32">
        <v>131</v>
      </c>
      <c r="B133" s="81">
        <f>升级节奏!E133</f>
        <v>131000</v>
      </c>
      <c r="C133" s="7">
        <f>IF(VLOOKUP(C$2,行为概览!$D$3:$L$33,9,0)="","",VLOOKUP(C$2,行为概览!$D$3:$L$33,9,0)*IF(玩法行为规划!B133&gt;0,1,0))</f>
        <v>4</v>
      </c>
      <c r="D133" s="7">
        <f>IF(VLOOKUP(D$2,行为概览!$D$3:$L$33,9,0)="","",VLOOKUP(D$2,行为概览!$D$3:$L$33,9,0)*IF(玩法行为规划!C133&gt;0,1,0))</f>
        <v>1.65</v>
      </c>
      <c r="E133" s="7">
        <f>IF(VLOOKUP(E$2,行为概览!$D$3:$L$33,9,0)="","",VLOOKUP(E$2,行为概览!$D$3:$L$33,9,0)*IF(玩法行为规划!D133&gt;0,1,0))</f>
        <v>0.5</v>
      </c>
      <c r="F133" s="7">
        <f>IF(VLOOKUP(F$2,行为概览!$D$3:$L$33,9,0)="","",VLOOKUP(F$2,行为概览!$D$3:$L$33,9,0)*IF(玩法行为规划!E133&gt;0,1,0))</f>
        <v>1</v>
      </c>
      <c r="G133" s="7" t="str">
        <f>IF(VLOOKUP(G$2,行为概览!$D$3:$L$33,9,0)="","",VLOOKUP(G$2,行为概览!$D$3:$L$33,9,0)*IF(玩法行为规划!F133&gt;0,1,0))</f>
        <v/>
      </c>
      <c r="H133" s="7" t="str">
        <f>IF(VLOOKUP(H$2,行为概览!$D$3:$L$33,9,0)="","",VLOOKUP(H$2,行为概览!$D$3:$L$33,9,0)*IF(玩法行为规划!G133&gt;0,1,0))</f>
        <v/>
      </c>
      <c r="I133" s="7" t="str">
        <f>IF(VLOOKUP(I$2,行为概览!$D$3:$L$33,9,0)="","",VLOOKUP(I$2,行为概览!$D$3:$L$33,9,0)*IF(玩法行为规划!H133&gt;0,1,0))</f>
        <v/>
      </c>
      <c r="J133" s="7" t="str">
        <f>IF(VLOOKUP(J$2,行为概览!$D$3:$L$33,9,0)="","",VLOOKUP(J$2,行为概览!$D$3:$L$33,9,0)*IF(玩法行为规划!I133&gt;0,1,0))</f>
        <v/>
      </c>
      <c r="K133" s="7">
        <f>IF(VLOOKUP(K$2,行为概览!$D$3:$L$33,9,0)="","",VLOOKUP(K$2,行为概览!$D$3:$L$33,9,0)*IF(玩法行为规划!J133&gt;0,1,0))</f>
        <v>1</v>
      </c>
      <c r="L133" s="7">
        <f>IF(VLOOKUP(L$2,行为概览!$D$3:$L$33,9,0)="","",VLOOKUP(L$2,行为概览!$D$3:$L$33,9,0)*IF(玩法行为规划!K133&gt;0,1,0))</f>
        <v>1</v>
      </c>
      <c r="M133" s="7" t="str">
        <f>IF(VLOOKUP(M$2,行为概览!$D$3:$L$33,9,0)="","",VLOOKUP(M$2,行为概览!$D$3:$L$33,9,0)*IF(玩法行为规划!L133&gt;0,1,0))</f>
        <v/>
      </c>
      <c r="N133" s="7" t="str">
        <f>IF(VLOOKUP(N$2,行为概览!$D$3:$L$33,9,0)="","",VLOOKUP(N$2,行为概览!$D$3:$L$33,9,0)*IF(玩法行为规划!M133&gt;0,1,0))</f>
        <v/>
      </c>
      <c r="O133" s="7" t="str">
        <f>IF(VLOOKUP(O$2,行为概览!$D$3:$L$33,9,0)="","",VLOOKUP(O$2,行为概览!$D$3:$L$33,9,0)*IF(玩法行为规划!N133&gt;0,1,0))</f>
        <v/>
      </c>
      <c r="P133" s="7">
        <f>IF(VLOOKUP(P$2,行为概览!$D$3:$L$33,9,0)="","",VLOOKUP(P$2,行为概览!$D$3:$L$33,9,0)*IF(玩法行为规划!O133&gt;0,1,0))</f>
        <v>0.5</v>
      </c>
      <c r="Q133" s="7">
        <f>IF(VLOOKUP(Q$2,行为概览!$D$3:$L$33,9,0)="","",VLOOKUP(Q$2,行为概览!$D$3:$L$33,9,0)*IF(玩法行为规划!P133&gt;0,1,0))</f>
        <v>5</v>
      </c>
      <c r="R133" s="7" t="str">
        <f>IF(VLOOKUP(R$2,行为概览!$D$3:$L$33,9,0)="","",VLOOKUP(R$2,行为概览!$D$3:$L$33,9,0)*IF(玩法行为规划!Q133&gt;0,1,0))</f>
        <v/>
      </c>
      <c r="S133" s="7">
        <f>IF(VLOOKUP(S$2,行为概览!$D$3:$L$33,9,0)="","",VLOOKUP(S$2,行为概览!$D$3:$L$33,9,0)*IF(玩法行为规划!R133&gt;0,1,0))</f>
        <v>1</v>
      </c>
      <c r="T133" s="7">
        <f>IF(VLOOKUP(T$2,行为概览!$D$3:$L$33,9,0)="","",VLOOKUP(T$2,行为概览!$D$3:$L$33,9,0)*IF(玩法行为规划!S133&gt;0,1,0))</f>
        <v>0</v>
      </c>
      <c r="U133" s="7">
        <f>IF(VLOOKUP(U$2,行为概览!$D$3:$L$33,9,0)="","",VLOOKUP(U$2,行为概览!$D$3:$L$33,9,0)*IF(玩法行为规划!T133&gt;0,1,0))</f>
        <v>1</v>
      </c>
      <c r="V133" s="7">
        <f>IF(VLOOKUP(V$2,行为概览!$D$3:$L$33,9,0)="","",VLOOKUP(V$2,行为概览!$D$3:$L$33,9,0)*IF(玩法行为规划!U133&gt;0,1,0))</f>
        <v>1.5</v>
      </c>
      <c r="W133" s="7">
        <f>IF(VLOOKUP(W$2,行为概览!$D$3:$L$33,9,0)="","",VLOOKUP(W$2,行为概览!$D$3:$L$33,9,0)*IF(玩法行为规划!V133&gt;0,1,0))</f>
        <v>1</v>
      </c>
      <c r="X133" s="7">
        <f>IF(VLOOKUP(X$2,行为概览!$D$3:$L$33,9,0)="","",VLOOKUP(X$2,行为概览!$D$3:$L$33,9,0)*IF(玩法行为规划!W133&gt;0,1,0))</f>
        <v>1</v>
      </c>
      <c r="Y133" s="7">
        <f>IF(VLOOKUP(Y$2,行为概览!$D$3:$L$33,9,0)="","",VLOOKUP(Y$2,行为概览!$D$3:$L$33,9,0)*IF(玩法行为规划!X133&gt;0,1,0))</f>
        <v>1</v>
      </c>
      <c r="Z133" s="7">
        <f>IF(VLOOKUP(Z$2,行为概览!$D$3:$L$33,9,0)="","",VLOOKUP(Z$2,行为概览!$D$3:$L$33,9,0)*IF(玩法行为规划!Y133&gt;0,1,0))</f>
        <v>3</v>
      </c>
      <c r="AA133" s="7">
        <f>IF(VLOOKUP(AA$2,行为概览!$D$3:$L$33,9,0)="","",VLOOKUP(AA$2,行为概览!$D$3:$L$33,9,0)*IF(玩法行为规划!Z133&gt;0,1,0))</f>
        <v>0.5</v>
      </c>
      <c r="AB133" s="7" t="str">
        <f>IF(VLOOKUP(AB$2,行为概览!$D$3:$L$33,9,0)="","",VLOOKUP(AB$2,行为概览!$D$3:$L$33,9,0)*IF(玩法行为规划!AA133&gt;0,1,0))</f>
        <v/>
      </c>
      <c r="AC133" s="7" t="str">
        <f>IF(VLOOKUP(AC$2,行为概览!$D$3:$L$33,9,0)="","",VLOOKUP(AC$2,行为概览!$D$3:$L$33,9,0)*IF(玩法行为规划!AB133&gt;0,1,0))</f>
        <v/>
      </c>
      <c r="AD133" s="7" t="str">
        <f>IF(VLOOKUP(AD$2,行为概览!$D$3:$L$33,9,0)="","",VLOOKUP(AD$2,行为概览!$D$3:$L$33,9,0)*玩法行为规划!AC133)</f>
        <v/>
      </c>
      <c r="AE133" s="7" t="str">
        <f>IF(VLOOKUP(AE$2,行为概览!$D$3:$L$33,9,0)="","",VLOOKUP(AE$2,行为概览!$D$3:$L$33,9,0)*玩法行为规划!AD133)</f>
        <v/>
      </c>
      <c r="AF133" s="7">
        <f t="shared" si="26"/>
        <v>24.65</v>
      </c>
      <c r="AG133" s="10">
        <f t="shared" si="27"/>
        <v>3229150</v>
      </c>
      <c r="AH133" s="7">
        <f>ROUND(AG133*升级节奏!G133,0)</f>
        <v>78962674</v>
      </c>
      <c r="AI133" s="7">
        <f t="shared" si="28"/>
        <v>1323100</v>
      </c>
      <c r="AJ133" s="21" t="str">
        <f t="shared" si="25"/>
        <v/>
      </c>
      <c r="AK133" s="7">
        <f t="shared" si="29"/>
        <v>1.6479880981156138E-2</v>
      </c>
      <c r="AL133" s="7">
        <f t="shared" si="30"/>
        <v>80285774</v>
      </c>
      <c r="AM133" s="7">
        <f>SUM($AL$3:AL133)</f>
        <v>2548255102</v>
      </c>
      <c r="AN133" s="166">
        <f t="shared" si="31"/>
        <v>2658300</v>
      </c>
      <c r="AO133" s="7">
        <f>SUM($AN$3:AN133)*7</f>
        <v>594813800</v>
      </c>
      <c r="AP133" s="69">
        <f t="shared" si="32"/>
        <v>1941557602</v>
      </c>
      <c r="AQ133" s="160">
        <f t="shared" si="33"/>
        <v>7922500</v>
      </c>
      <c r="AR133" s="160">
        <f t="shared" si="34"/>
        <v>3961200</v>
      </c>
    </row>
    <row r="134" spans="1:44">
      <c r="A134" s="32">
        <v>132</v>
      </c>
      <c r="B134" s="81">
        <f>升级节奏!E134</f>
        <v>132000</v>
      </c>
      <c r="C134" s="7">
        <f>IF(VLOOKUP(C$2,行为概览!$D$3:$L$33,9,0)="","",VLOOKUP(C$2,行为概览!$D$3:$L$33,9,0)*IF(玩法行为规划!B134&gt;0,1,0))</f>
        <v>4</v>
      </c>
      <c r="D134" s="7">
        <f>IF(VLOOKUP(D$2,行为概览!$D$3:$L$33,9,0)="","",VLOOKUP(D$2,行为概览!$D$3:$L$33,9,0)*IF(玩法行为规划!C134&gt;0,1,0))</f>
        <v>1.65</v>
      </c>
      <c r="E134" s="7">
        <f>IF(VLOOKUP(E$2,行为概览!$D$3:$L$33,9,0)="","",VLOOKUP(E$2,行为概览!$D$3:$L$33,9,0)*IF(玩法行为规划!D134&gt;0,1,0))</f>
        <v>0.5</v>
      </c>
      <c r="F134" s="7">
        <f>IF(VLOOKUP(F$2,行为概览!$D$3:$L$33,9,0)="","",VLOOKUP(F$2,行为概览!$D$3:$L$33,9,0)*IF(玩法行为规划!E134&gt;0,1,0))</f>
        <v>1</v>
      </c>
      <c r="G134" s="7" t="str">
        <f>IF(VLOOKUP(G$2,行为概览!$D$3:$L$33,9,0)="","",VLOOKUP(G$2,行为概览!$D$3:$L$33,9,0)*IF(玩法行为规划!F134&gt;0,1,0))</f>
        <v/>
      </c>
      <c r="H134" s="7" t="str">
        <f>IF(VLOOKUP(H$2,行为概览!$D$3:$L$33,9,0)="","",VLOOKUP(H$2,行为概览!$D$3:$L$33,9,0)*IF(玩法行为规划!G134&gt;0,1,0))</f>
        <v/>
      </c>
      <c r="I134" s="7" t="str">
        <f>IF(VLOOKUP(I$2,行为概览!$D$3:$L$33,9,0)="","",VLOOKUP(I$2,行为概览!$D$3:$L$33,9,0)*IF(玩法行为规划!H134&gt;0,1,0))</f>
        <v/>
      </c>
      <c r="J134" s="7" t="str">
        <f>IF(VLOOKUP(J$2,行为概览!$D$3:$L$33,9,0)="","",VLOOKUP(J$2,行为概览!$D$3:$L$33,9,0)*IF(玩法行为规划!I134&gt;0,1,0))</f>
        <v/>
      </c>
      <c r="K134" s="7">
        <f>IF(VLOOKUP(K$2,行为概览!$D$3:$L$33,9,0)="","",VLOOKUP(K$2,行为概览!$D$3:$L$33,9,0)*IF(玩法行为规划!J134&gt;0,1,0))</f>
        <v>1</v>
      </c>
      <c r="L134" s="7">
        <f>IF(VLOOKUP(L$2,行为概览!$D$3:$L$33,9,0)="","",VLOOKUP(L$2,行为概览!$D$3:$L$33,9,0)*IF(玩法行为规划!K134&gt;0,1,0))</f>
        <v>1</v>
      </c>
      <c r="M134" s="7" t="str">
        <f>IF(VLOOKUP(M$2,行为概览!$D$3:$L$33,9,0)="","",VLOOKUP(M$2,行为概览!$D$3:$L$33,9,0)*IF(玩法行为规划!L134&gt;0,1,0))</f>
        <v/>
      </c>
      <c r="N134" s="7" t="str">
        <f>IF(VLOOKUP(N$2,行为概览!$D$3:$L$33,9,0)="","",VLOOKUP(N$2,行为概览!$D$3:$L$33,9,0)*IF(玩法行为规划!M134&gt;0,1,0))</f>
        <v/>
      </c>
      <c r="O134" s="7" t="str">
        <f>IF(VLOOKUP(O$2,行为概览!$D$3:$L$33,9,0)="","",VLOOKUP(O$2,行为概览!$D$3:$L$33,9,0)*IF(玩法行为规划!N134&gt;0,1,0))</f>
        <v/>
      </c>
      <c r="P134" s="7">
        <f>IF(VLOOKUP(P$2,行为概览!$D$3:$L$33,9,0)="","",VLOOKUP(P$2,行为概览!$D$3:$L$33,9,0)*IF(玩法行为规划!O134&gt;0,1,0))</f>
        <v>0.5</v>
      </c>
      <c r="Q134" s="7">
        <f>IF(VLOOKUP(Q$2,行为概览!$D$3:$L$33,9,0)="","",VLOOKUP(Q$2,行为概览!$D$3:$L$33,9,0)*IF(玩法行为规划!P134&gt;0,1,0))</f>
        <v>5</v>
      </c>
      <c r="R134" s="7" t="str">
        <f>IF(VLOOKUP(R$2,行为概览!$D$3:$L$33,9,0)="","",VLOOKUP(R$2,行为概览!$D$3:$L$33,9,0)*IF(玩法行为规划!Q134&gt;0,1,0))</f>
        <v/>
      </c>
      <c r="S134" s="7">
        <f>IF(VLOOKUP(S$2,行为概览!$D$3:$L$33,9,0)="","",VLOOKUP(S$2,行为概览!$D$3:$L$33,9,0)*IF(玩法行为规划!R134&gt;0,1,0))</f>
        <v>1</v>
      </c>
      <c r="T134" s="7">
        <f>IF(VLOOKUP(T$2,行为概览!$D$3:$L$33,9,0)="","",VLOOKUP(T$2,行为概览!$D$3:$L$33,9,0)*IF(玩法行为规划!S134&gt;0,1,0))</f>
        <v>0</v>
      </c>
      <c r="U134" s="7">
        <f>IF(VLOOKUP(U$2,行为概览!$D$3:$L$33,9,0)="","",VLOOKUP(U$2,行为概览!$D$3:$L$33,9,0)*IF(玩法行为规划!T134&gt;0,1,0))</f>
        <v>1</v>
      </c>
      <c r="V134" s="7">
        <f>IF(VLOOKUP(V$2,行为概览!$D$3:$L$33,9,0)="","",VLOOKUP(V$2,行为概览!$D$3:$L$33,9,0)*IF(玩法行为规划!U134&gt;0,1,0))</f>
        <v>1.5</v>
      </c>
      <c r="W134" s="7">
        <f>IF(VLOOKUP(W$2,行为概览!$D$3:$L$33,9,0)="","",VLOOKUP(W$2,行为概览!$D$3:$L$33,9,0)*IF(玩法行为规划!V134&gt;0,1,0))</f>
        <v>1</v>
      </c>
      <c r="X134" s="7">
        <f>IF(VLOOKUP(X$2,行为概览!$D$3:$L$33,9,0)="","",VLOOKUP(X$2,行为概览!$D$3:$L$33,9,0)*IF(玩法行为规划!W134&gt;0,1,0))</f>
        <v>1</v>
      </c>
      <c r="Y134" s="7">
        <f>IF(VLOOKUP(Y$2,行为概览!$D$3:$L$33,9,0)="","",VLOOKUP(Y$2,行为概览!$D$3:$L$33,9,0)*IF(玩法行为规划!X134&gt;0,1,0))</f>
        <v>1</v>
      </c>
      <c r="Z134" s="7">
        <f>IF(VLOOKUP(Z$2,行为概览!$D$3:$L$33,9,0)="","",VLOOKUP(Z$2,行为概览!$D$3:$L$33,9,0)*IF(玩法行为规划!Y134&gt;0,1,0))</f>
        <v>3</v>
      </c>
      <c r="AA134" s="7">
        <f>IF(VLOOKUP(AA$2,行为概览!$D$3:$L$33,9,0)="","",VLOOKUP(AA$2,行为概览!$D$3:$L$33,9,0)*IF(玩法行为规划!Z134&gt;0,1,0))</f>
        <v>0.5</v>
      </c>
      <c r="AB134" s="7" t="str">
        <f>IF(VLOOKUP(AB$2,行为概览!$D$3:$L$33,9,0)="","",VLOOKUP(AB$2,行为概览!$D$3:$L$33,9,0)*IF(玩法行为规划!AA134&gt;0,1,0))</f>
        <v/>
      </c>
      <c r="AC134" s="7" t="str">
        <f>IF(VLOOKUP(AC$2,行为概览!$D$3:$L$33,9,0)="","",VLOOKUP(AC$2,行为概览!$D$3:$L$33,9,0)*IF(玩法行为规划!AB134&gt;0,1,0))</f>
        <v/>
      </c>
      <c r="AD134" s="7" t="str">
        <f>IF(VLOOKUP(AD$2,行为概览!$D$3:$L$33,9,0)="","",VLOOKUP(AD$2,行为概览!$D$3:$L$33,9,0)*玩法行为规划!AC134)</f>
        <v/>
      </c>
      <c r="AE134" s="7" t="str">
        <f>IF(VLOOKUP(AE$2,行为概览!$D$3:$L$33,9,0)="","",VLOOKUP(AE$2,行为概览!$D$3:$L$33,9,0)*玩法行为规划!AD134)</f>
        <v/>
      </c>
      <c r="AF134" s="7">
        <f t="shared" si="26"/>
        <v>24.65</v>
      </c>
      <c r="AG134" s="10">
        <f t="shared" si="27"/>
        <v>3253800</v>
      </c>
      <c r="AH134" s="7">
        <f>ROUND(AG134*升级节奏!G134,0)</f>
        <v>80777754</v>
      </c>
      <c r="AI134" s="7">
        <f t="shared" si="28"/>
        <v>1346400</v>
      </c>
      <c r="AJ134" s="21" t="str">
        <f t="shared" si="25"/>
        <v/>
      </c>
      <c r="AK134" s="7">
        <f t="shared" si="29"/>
        <v>1.6394689435704872E-2</v>
      </c>
      <c r="AL134" s="7">
        <f t="shared" si="30"/>
        <v>82124154</v>
      </c>
      <c r="AM134" s="7">
        <f>SUM($AL$3:AL134)</f>
        <v>2630379256</v>
      </c>
      <c r="AN134" s="166">
        <f t="shared" si="31"/>
        <v>2719000</v>
      </c>
      <c r="AO134" s="7">
        <f>SUM($AN$3:AN134)*7</f>
        <v>613846800</v>
      </c>
      <c r="AP134" s="69">
        <f t="shared" si="32"/>
        <v>2004376156</v>
      </c>
      <c r="AQ134" s="160">
        <f t="shared" si="33"/>
        <v>8104200</v>
      </c>
      <c r="AR134" s="160">
        <f t="shared" si="34"/>
        <v>4052100</v>
      </c>
    </row>
    <row r="135" spans="1:44">
      <c r="A135" s="32">
        <v>133</v>
      </c>
      <c r="B135" s="81">
        <f>升级节奏!E135</f>
        <v>133000</v>
      </c>
      <c r="C135" s="7">
        <f>IF(VLOOKUP(C$2,行为概览!$D$3:$L$33,9,0)="","",VLOOKUP(C$2,行为概览!$D$3:$L$33,9,0)*IF(玩法行为规划!B135&gt;0,1,0))</f>
        <v>4</v>
      </c>
      <c r="D135" s="7">
        <f>IF(VLOOKUP(D$2,行为概览!$D$3:$L$33,9,0)="","",VLOOKUP(D$2,行为概览!$D$3:$L$33,9,0)*IF(玩法行为规划!C135&gt;0,1,0))</f>
        <v>1.65</v>
      </c>
      <c r="E135" s="7">
        <f>IF(VLOOKUP(E$2,行为概览!$D$3:$L$33,9,0)="","",VLOOKUP(E$2,行为概览!$D$3:$L$33,9,0)*IF(玩法行为规划!D135&gt;0,1,0))</f>
        <v>0.5</v>
      </c>
      <c r="F135" s="7">
        <f>IF(VLOOKUP(F$2,行为概览!$D$3:$L$33,9,0)="","",VLOOKUP(F$2,行为概览!$D$3:$L$33,9,0)*IF(玩法行为规划!E135&gt;0,1,0))</f>
        <v>1</v>
      </c>
      <c r="G135" s="7" t="str">
        <f>IF(VLOOKUP(G$2,行为概览!$D$3:$L$33,9,0)="","",VLOOKUP(G$2,行为概览!$D$3:$L$33,9,0)*IF(玩法行为规划!F135&gt;0,1,0))</f>
        <v/>
      </c>
      <c r="H135" s="7" t="str">
        <f>IF(VLOOKUP(H$2,行为概览!$D$3:$L$33,9,0)="","",VLOOKUP(H$2,行为概览!$D$3:$L$33,9,0)*IF(玩法行为规划!G135&gt;0,1,0))</f>
        <v/>
      </c>
      <c r="I135" s="7" t="str">
        <f>IF(VLOOKUP(I$2,行为概览!$D$3:$L$33,9,0)="","",VLOOKUP(I$2,行为概览!$D$3:$L$33,9,0)*IF(玩法行为规划!H135&gt;0,1,0))</f>
        <v/>
      </c>
      <c r="J135" s="7" t="str">
        <f>IF(VLOOKUP(J$2,行为概览!$D$3:$L$33,9,0)="","",VLOOKUP(J$2,行为概览!$D$3:$L$33,9,0)*IF(玩法行为规划!I135&gt;0,1,0))</f>
        <v/>
      </c>
      <c r="K135" s="7">
        <f>IF(VLOOKUP(K$2,行为概览!$D$3:$L$33,9,0)="","",VLOOKUP(K$2,行为概览!$D$3:$L$33,9,0)*IF(玩法行为规划!J135&gt;0,1,0))</f>
        <v>1</v>
      </c>
      <c r="L135" s="7">
        <f>IF(VLOOKUP(L$2,行为概览!$D$3:$L$33,9,0)="","",VLOOKUP(L$2,行为概览!$D$3:$L$33,9,0)*IF(玩法行为规划!K135&gt;0,1,0))</f>
        <v>1</v>
      </c>
      <c r="M135" s="7" t="str">
        <f>IF(VLOOKUP(M$2,行为概览!$D$3:$L$33,9,0)="","",VLOOKUP(M$2,行为概览!$D$3:$L$33,9,0)*IF(玩法行为规划!L135&gt;0,1,0))</f>
        <v/>
      </c>
      <c r="N135" s="7" t="str">
        <f>IF(VLOOKUP(N$2,行为概览!$D$3:$L$33,9,0)="","",VLOOKUP(N$2,行为概览!$D$3:$L$33,9,0)*IF(玩法行为规划!M135&gt;0,1,0))</f>
        <v/>
      </c>
      <c r="O135" s="7" t="str">
        <f>IF(VLOOKUP(O$2,行为概览!$D$3:$L$33,9,0)="","",VLOOKUP(O$2,行为概览!$D$3:$L$33,9,0)*IF(玩法行为规划!N135&gt;0,1,0))</f>
        <v/>
      </c>
      <c r="P135" s="7">
        <f>IF(VLOOKUP(P$2,行为概览!$D$3:$L$33,9,0)="","",VLOOKUP(P$2,行为概览!$D$3:$L$33,9,0)*IF(玩法行为规划!O135&gt;0,1,0))</f>
        <v>0.5</v>
      </c>
      <c r="Q135" s="7">
        <f>IF(VLOOKUP(Q$2,行为概览!$D$3:$L$33,9,0)="","",VLOOKUP(Q$2,行为概览!$D$3:$L$33,9,0)*IF(玩法行为规划!P135&gt;0,1,0))</f>
        <v>5</v>
      </c>
      <c r="R135" s="7" t="str">
        <f>IF(VLOOKUP(R$2,行为概览!$D$3:$L$33,9,0)="","",VLOOKUP(R$2,行为概览!$D$3:$L$33,9,0)*IF(玩法行为规划!Q135&gt;0,1,0))</f>
        <v/>
      </c>
      <c r="S135" s="7">
        <f>IF(VLOOKUP(S$2,行为概览!$D$3:$L$33,9,0)="","",VLOOKUP(S$2,行为概览!$D$3:$L$33,9,0)*IF(玩法行为规划!R135&gt;0,1,0))</f>
        <v>1</v>
      </c>
      <c r="T135" s="7">
        <f>IF(VLOOKUP(T$2,行为概览!$D$3:$L$33,9,0)="","",VLOOKUP(T$2,行为概览!$D$3:$L$33,9,0)*IF(玩法行为规划!S135&gt;0,1,0))</f>
        <v>0</v>
      </c>
      <c r="U135" s="7">
        <f>IF(VLOOKUP(U$2,行为概览!$D$3:$L$33,9,0)="","",VLOOKUP(U$2,行为概览!$D$3:$L$33,9,0)*IF(玩法行为规划!T135&gt;0,1,0))</f>
        <v>1</v>
      </c>
      <c r="V135" s="7">
        <f>IF(VLOOKUP(V$2,行为概览!$D$3:$L$33,9,0)="","",VLOOKUP(V$2,行为概览!$D$3:$L$33,9,0)*IF(玩法行为规划!U135&gt;0,1,0))</f>
        <v>1.5</v>
      </c>
      <c r="W135" s="7">
        <f>IF(VLOOKUP(W$2,行为概览!$D$3:$L$33,9,0)="","",VLOOKUP(W$2,行为概览!$D$3:$L$33,9,0)*IF(玩法行为规划!V135&gt;0,1,0))</f>
        <v>1</v>
      </c>
      <c r="X135" s="7">
        <f>IF(VLOOKUP(X$2,行为概览!$D$3:$L$33,9,0)="","",VLOOKUP(X$2,行为概览!$D$3:$L$33,9,0)*IF(玩法行为规划!W135&gt;0,1,0))</f>
        <v>1</v>
      </c>
      <c r="Y135" s="7">
        <f>IF(VLOOKUP(Y$2,行为概览!$D$3:$L$33,9,0)="","",VLOOKUP(Y$2,行为概览!$D$3:$L$33,9,0)*IF(玩法行为规划!X135&gt;0,1,0))</f>
        <v>1</v>
      </c>
      <c r="Z135" s="7">
        <f>IF(VLOOKUP(Z$2,行为概览!$D$3:$L$33,9,0)="","",VLOOKUP(Z$2,行为概览!$D$3:$L$33,9,0)*IF(玩法行为规划!Y135&gt;0,1,0))</f>
        <v>3</v>
      </c>
      <c r="AA135" s="7">
        <f>IF(VLOOKUP(AA$2,行为概览!$D$3:$L$33,9,0)="","",VLOOKUP(AA$2,行为概览!$D$3:$L$33,9,0)*IF(玩法行为规划!Z135&gt;0,1,0))</f>
        <v>0.5</v>
      </c>
      <c r="AB135" s="7" t="str">
        <f>IF(VLOOKUP(AB$2,行为概览!$D$3:$L$33,9,0)="","",VLOOKUP(AB$2,行为概览!$D$3:$L$33,9,0)*IF(玩法行为规划!AA135&gt;0,1,0))</f>
        <v/>
      </c>
      <c r="AC135" s="7" t="str">
        <f>IF(VLOOKUP(AC$2,行为概览!$D$3:$L$33,9,0)="","",VLOOKUP(AC$2,行为概览!$D$3:$L$33,9,0)*IF(玩法行为规划!AB135&gt;0,1,0))</f>
        <v/>
      </c>
      <c r="AD135" s="7" t="str">
        <f>IF(VLOOKUP(AD$2,行为概览!$D$3:$L$33,9,0)="","",VLOOKUP(AD$2,行为概览!$D$3:$L$33,9,0)*玩法行为规划!AC135)</f>
        <v/>
      </c>
      <c r="AE135" s="7" t="str">
        <f>IF(VLOOKUP(AE$2,行为概览!$D$3:$L$33,9,0)="","",VLOOKUP(AE$2,行为概览!$D$3:$L$33,9,0)*玩法行为规划!AD135)</f>
        <v/>
      </c>
      <c r="AF135" s="7">
        <f t="shared" si="26"/>
        <v>24.65</v>
      </c>
      <c r="AG135" s="10">
        <f t="shared" si="27"/>
        <v>3278450</v>
      </c>
      <c r="AH135" s="7">
        <f>ROUND(AG135*升级节奏!G135,0)</f>
        <v>82620492</v>
      </c>
      <c r="AI135" s="7">
        <f t="shared" si="28"/>
        <v>1369900</v>
      </c>
      <c r="AJ135" s="21" t="str">
        <f t="shared" si="25"/>
        <v/>
      </c>
      <c r="AK135" s="7">
        <f t="shared" si="29"/>
        <v>1.6310198909418115E-2</v>
      </c>
      <c r="AL135" s="7">
        <f t="shared" si="30"/>
        <v>83990392</v>
      </c>
      <c r="AM135" s="7">
        <f>SUM($AL$3:AL135)</f>
        <v>2714369648</v>
      </c>
      <c r="AN135" s="166">
        <f t="shared" si="31"/>
        <v>2780600</v>
      </c>
      <c r="AO135" s="7">
        <f>SUM($AN$3:AN135)*7</f>
        <v>633311000</v>
      </c>
      <c r="AP135" s="69">
        <f t="shared" si="32"/>
        <v>2068625748</v>
      </c>
      <c r="AQ135" s="160">
        <f t="shared" si="33"/>
        <v>8288600</v>
      </c>
      <c r="AR135" s="160">
        <f t="shared" si="34"/>
        <v>4144300</v>
      </c>
    </row>
    <row r="136" spans="1:44">
      <c r="A136" s="32">
        <v>134</v>
      </c>
      <c r="B136" s="81">
        <f>升级节奏!E136</f>
        <v>134000</v>
      </c>
      <c r="C136" s="7">
        <f>IF(VLOOKUP(C$2,行为概览!$D$3:$L$33,9,0)="","",VLOOKUP(C$2,行为概览!$D$3:$L$33,9,0)*IF(玩法行为规划!B136&gt;0,1,0))</f>
        <v>4</v>
      </c>
      <c r="D136" s="7">
        <f>IF(VLOOKUP(D$2,行为概览!$D$3:$L$33,9,0)="","",VLOOKUP(D$2,行为概览!$D$3:$L$33,9,0)*IF(玩法行为规划!C136&gt;0,1,0))</f>
        <v>1.65</v>
      </c>
      <c r="E136" s="7">
        <f>IF(VLOOKUP(E$2,行为概览!$D$3:$L$33,9,0)="","",VLOOKUP(E$2,行为概览!$D$3:$L$33,9,0)*IF(玩法行为规划!D136&gt;0,1,0))</f>
        <v>0.5</v>
      </c>
      <c r="F136" s="7">
        <f>IF(VLOOKUP(F$2,行为概览!$D$3:$L$33,9,0)="","",VLOOKUP(F$2,行为概览!$D$3:$L$33,9,0)*IF(玩法行为规划!E136&gt;0,1,0))</f>
        <v>1</v>
      </c>
      <c r="G136" s="7" t="str">
        <f>IF(VLOOKUP(G$2,行为概览!$D$3:$L$33,9,0)="","",VLOOKUP(G$2,行为概览!$D$3:$L$33,9,0)*IF(玩法行为规划!F136&gt;0,1,0))</f>
        <v/>
      </c>
      <c r="H136" s="7" t="str">
        <f>IF(VLOOKUP(H$2,行为概览!$D$3:$L$33,9,0)="","",VLOOKUP(H$2,行为概览!$D$3:$L$33,9,0)*IF(玩法行为规划!G136&gt;0,1,0))</f>
        <v/>
      </c>
      <c r="I136" s="7" t="str">
        <f>IF(VLOOKUP(I$2,行为概览!$D$3:$L$33,9,0)="","",VLOOKUP(I$2,行为概览!$D$3:$L$33,9,0)*IF(玩法行为规划!H136&gt;0,1,0))</f>
        <v/>
      </c>
      <c r="J136" s="7" t="str">
        <f>IF(VLOOKUP(J$2,行为概览!$D$3:$L$33,9,0)="","",VLOOKUP(J$2,行为概览!$D$3:$L$33,9,0)*IF(玩法行为规划!I136&gt;0,1,0))</f>
        <v/>
      </c>
      <c r="K136" s="7">
        <f>IF(VLOOKUP(K$2,行为概览!$D$3:$L$33,9,0)="","",VLOOKUP(K$2,行为概览!$D$3:$L$33,9,0)*IF(玩法行为规划!J136&gt;0,1,0))</f>
        <v>1</v>
      </c>
      <c r="L136" s="7">
        <f>IF(VLOOKUP(L$2,行为概览!$D$3:$L$33,9,0)="","",VLOOKUP(L$2,行为概览!$D$3:$L$33,9,0)*IF(玩法行为规划!K136&gt;0,1,0))</f>
        <v>1</v>
      </c>
      <c r="M136" s="7" t="str">
        <f>IF(VLOOKUP(M$2,行为概览!$D$3:$L$33,9,0)="","",VLOOKUP(M$2,行为概览!$D$3:$L$33,9,0)*IF(玩法行为规划!L136&gt;0,1,0))</f>
        <v/>
      </c>
      <c r="N136" s="7" t="str">
        <f>IF(VLOOKUP(N$2,行为概览!$D$3:$L$33,9,0)="","",VLOOKUP(N$2,行为概览!$D$3:$L$33,9,0)*IF(玩法行为规划!M136&gt;0,1,0))</f>
        <v/>
      </c>
      <c r="O136" s="7" t="str">
        <f>IF(VLOOKUP(O$2,行为概览!$D$3:$L$33,9,0)="","",VLOOKUP(O$2,行为概览!$D$3:$L$33,9,0)*IF(玩法行为规划!N136&gt;0,1,0))</f>
        <v/>
      </c>
      <c r="P136" s="7">
        <f>IF(VLOOKUP(P$2,行为概览!$D$3:$L$33,9,0)="","",VLOOKUP(P$2,行为概览!$D$3:$L$33,9,0)*IF(玩法行为规划!O136&gt;0,1,0))</f>
        <v>0.5</v>
      </c>
      <c r="Q136" s="7">
        <f>IF(VLOOKUP(Q$2,行为概览!$D$3:$L$33,9,0)="","",VLOOKUP(Q$2,行为概览!$D$3:$L$33,9,0)*IF(玩法行为规划!P136&gt;0,1,0))</f>
        <v>5</v>
      </c>
      <c r="R136" s="7" t="str">
        <f>IF(VLOOKUP(R$2,行为概览!$D$3:$L$33,9,0)="","",VLOOKUP(R$2,行为概览!$D$3:$L$33,9,0)*IF(玩法行为规划!Q136&gt;0,1,0))</f>
        <v/>
      </c>
      <c r="S136" s="7">
        <f>IF(VLOOKUP(S$2,行为概览!$D$3:$L$33,9,0)="","",VLOOKUP(S$2,行为概览!$D$3:$L$33,9,0)*IF(玩法行为规划!R136&gt;0,1,0))</f>
        <v>1</v>
      </c>
      <c r="T136" s="7">
        <f>IF(VLOOKUP(T$2,行为概览!$D$3:$L$33,9,0)="","",VLOOKUP(T$2,行为概览!$D$3:$L$33,9,0)*IF(玩法行为规划!S136&gt;0,1,0))</f>
        <v>0</v>
      </c>
      <c r="U136" s="7">
        <f>IF(VLOOKUP(U$2,行为概览!$D$3:$L$33,9,0)="","",VLOOKUP(U$2,行为概览!$D$3:$L$33,9,0)*IF(玩法行为规划!T136&gt;0,1,0))</f>
        <v>1</v>
      </c>
      <c r="V136" s="7">
        <f>IF(VLOOKUP(V$2,行为概览!$D$3:$L$33,9,0)="","",VLOOKUP(V$2,行为概览!$D$3:$L$33,9,0)*IF(玩法行为规划!U136&gt;0,1,0))</f>
        <v>1.5</v>
      </c>
      <c r="W136" s="7">
        <f>IF(VLOOKUP(W$2,行为概览!$D$3:$L$33,9,0)="","",VLOOKUP(W$2,行为概览!$D$3:$L$33,9,0)*IF(玩法行为规划!V136&gt;0,1,0))</f>
        <v>1</v>
      </c>
      <c r="X136" s="7">
        <f>IF(VLOOKUP(X$2,行为概览!$D$3:$L$33,9,0)="","",VLOOKUP(X$2,行为概览!$D$3:$L$33,9,0)*IF(玩法行为规划!W136&gt;0,1,0))</f>
        <v>1</v>
      </c>
      <c r="Y136" s="7">
        <f>IF(VLOOKUP(Y$2,行为概览!$D$3:$L$33,9,0)="","",VLOOKUP(Y$2,行为概览!$D$3:$L$33,9,0)*IF(玩法行为规划!X136&gt;0,1,0))</f>
        <v>1</v>
      </c>
      <c r="Z136" s="7">
        <f>IF(VLOOKUP(Z$2,行为概览!$D$3:$L$33,9,0)="","",VLOOKUP(Z$2,行为概览!$D$3:$L$33,9,0)*IF(玩法行为规划!Y136&gt;0,1,0))</f>
        <v>3</v>
      </c>
      <c r="AA136" s="7">
        <f>IF(VLOOKUP(AA$2,行为概览!$D$3:$L$33,9,0)="","",VLOOKUP(AA$2,行为概览!$D$3:$L$33,9,0)*IF(玩法行为规划!Z136&gt;0,1,0))</f>
        <v>0.5</v>
      </c>
      <c r="AB136" s="7" t="str">
        <f>IF(VLOOKUP(AB$2,行为概览!$D$3:$L$33,9,0)="","",VLOOKUP(AB$2,行为概览!$D$3:$L$33,9,0)*IF(玩法行为规划!AA136&gt;0,1,0))</f>
        <v/>
      </c>
      <c r="AC136" s="7" t="str">
        <f>IF(VLOOKUP(AC$2,行为概览!$D$3:$L$33,9,0)="","",VLOOKUP(AC$2,行为概览!$D$3:$L$33,9,0)*IF(玩法行为规划!AB136&gt;0,1,0))</f>
        <v/>
      </c>
      <c r="AD136" s="7" t="str">
        <f>IF(VLOOKUP(AD$2,行为概览!$D$3:$L$33,9,0)="","",VLOOKUP(AD$2,行为概览!$D$3:$L$33,9,0)*玩法行为规划!AC136)</f>
        <v/>
      </c>
      <c r="AE136" s="7" t="str">
        <f>IF(VLOOKUP(AE$2,行为概览!$D$3:$L$33,9,0)="","",VLOOKUP(AE$2,行为概览!$D$3:$L$33,9,0)*玩法行为规划!AD136)</f>
        <v/>
      </c>
      <c r="AF136" s="7">
        <f t="shared" si="26"/>
        <v>24.65</v>
      </c>
      <c r="AG136" s="10">
        <f t="shared" si="27"/>
        <v>3303100</v>
      </c>
      <c r="AH136" s="7">
        <f>ROUND(AG136*升级节奏!G136,0)</f>
        <v>84491096</v>
      </c>
      <c r="AI136" s="7">
        <f t="shared" si="28"/>
        <v>1393600</v>
      </c>
      <c r="AJ136" s="21" t="str">
        <f t="shared" si="25"/>
        <v/>
      </c>
      <c r="AK136" s="7">
        <f t="shared" si="29"/>
        <v>1.6226406623131087E-2</v>
      </c>
      <c r="AL136" s="7">
        <f t="shared" si="30"/>
        <v>85884696</v>
      </c>
      <c r="AM136" s="7">
        <f>SUM($AL$3:AL136)</f>
        <v>2800254344</v>
      </c>
      <c r="AN136" s="166">
        <f t="shared" si="31"/>
        <v>2843200</v>
      </c>
      <c r="AO136" s="7">
        <f>SUM($AN$3:AN136)*7</f>
        <v>653213400</v>
      </c>
      <c r="AP136" s="69">
        <f t="shared" si="32"/>
        <v>2134327044</v>
      </c>
      <c r="AQ136" s="160">
        <f t="shared" si="33"/>
        <v>8475900</v>
      </c>
      <c r="AR136" s="160">
        <f t="shared" si="34"/>
        <v>4238000</v>
      </c>
    </row>
    <row r="137" spans="1:44">
      <c r="A137" s="32">
        <v>135</v>
      </c>
      <c r="B137" s="81">
        <f>升级节奏!E137</f>
        <v>135000</v>
      </c>
      <c r="C137" s="7">
        <f>IF(VLOOKUP(C$2,行为概览!$D$3:$L$33,9,0)="","",VLOOKUP(C$2,行为概览!$D$3:$L$33,9,0)*IF(玩法行为规划!B137&gt;0,1,0))</f>
        <v>4</v>
      </c>
      <c r="D137" s="7">
        <f>IF(VLOOKUP(D$2,行为概览!$D$3:$L$33,9,0)="","",VLOOKUP(D$2,行为概览!$D$3:$L$33,9,0)*IF(玩法行为规划!C137&gt;0,1,0))</f>
        <v>1.65</v>
      </c>
      <c r="E137" s="7">
        <f>IF(VLOOKUP(E$2,行为概览!$D$3:$L$33,9,0)="","",VLOOKUP(E$2,行为概览!$D$3:$L$33,9,0)*IF(玩法行为规划!D137&gt;0,1,0))</f>
        <v>0.5</v>
      </c>
      <c r="F137" s="7">
        <f>IF(VLOOKUP(F$2,行为概览!$D$3:$L$33,9,0)="","",VLOOKUP(F$2,行为概览!$D$3:$L$33,9,0)*IF(玩法行为规划!E137&gt;0,1,0))</f>
        <v>1</v>
      </c>
      <c r="G137" s="7" t="str">
        <f>IF(VLOOKUP(G$2,行为概览!$D$3:$L$33,9,0)="","",VLOOKUP(G$2,行为概览!$D$3:$L$33,9,0)*IF(玩法行为规划!F137&gt;0,1,0))</f>
        <v/>
      </c>
      <c r="H137" s="7" t="str">
        <f>IF(VLOOKUP(H$2,行为概览!$D$3:$L$33,9,0)="","",VLOOKUP(H$2,行为概览!$D$3:$L$33,9,0)*IF(玩法行为规划!G137&gt;0,1,0))</f>
        <v/>
      </c>
      <c r="I137" s="7" t="str">
        <f>IF(VLOOKUP(I$2,行为概览!$D$3:$L$33,9,0)="","",VLOOKUP(I$2,行为概览!$D$3:$L$33,9,0)*IF(玩法行为规划!H137&gt;0,1,0))</f>
        <v/>
      </c>
      <c r="J137" s="7" t="str">
        <f>IF(VLOOKUP(J$2,行为概览!$D$3:$L$33,9,0)="","",VLOOKUP(J$2,行为概览!$D$3:$L$33,9,0)*IF(玩法行为规划!I137&gt;0,1,0))</f>
        <v/>
      </c>
      <c r="K137" s="7">
        <f>IF(VLOOKUP(K$2,行为概览!$D$3:$L$33,9,0)="","",VLOOKUP(K$2,行为概览!$D$3:$L$33,9,0)*IF(玩法行为规划!J137&gt;0,1,0))</f>
        <v>1</v>
      </c>
      <c r="L137" s="7">
        <f>IF(VLOOKUP(L$2,行为概览!$D$3:$L$33,9,0)="","",VLOOKUP(L$2,行为概览!$D$3:$L$33,9,0)*IF(玩法行为规划!K137&gt;0,1,0))</f>
        <v>1</v>
      </c>
      <c r="M137" s="7" t="str">
        <f>IF(VLOOKUP(M$2,行为概览!$D$3:$L$33,9,0)="","",VLOOKUP(M$2,行为概览!$D$3:$L$33,9,0)*IF(玩法行为规划!L137&gt;0,1,0))</f>
        <v/>
      </c>
      <c r="N137" s="7" t="str">
        <f>IF(VLOOKUP(N$2,行为概览!$D$3:$L$33,9,0)="","",VLOOKUP(N$2,行为概览!$D$3:$L$33,9,0)*IF(玩法行为规划!M137&gt;0,1,0))</f>
        <v/>
      </c>
      <c r="O137" s="7" t="str">
        <f>IF(VLOOKUP(O$2,行为概览!$D$3:$L$33,9,0)="","",VLOOKUP(O$2,行为概览!$D$3:$L$33,9,0)*IF(玩法行为规划!N137&gt;0,1,0))</f>
        <v/>
      </c>
      <c r="P137" s="7">
        <f>IF(VLOOKUP(P$2,行为概览!$D$3:$L$33,9,0)="","",VLOOKUP(P$2,行为概览!$D$3:$L$33,9,0)*IF(玩法行为规划!O137&gt;0,1,0))</f>
        <v>0.5</v>
      </c>
      <c r="Q137" s="7">
        <f>IF(VLOOKUP(Q$2,行为概览!$D$3:$L$33,9,0)="","",VLOOKUP(Q$2,行为概览!$D$3:$L$33,9,0)*IF(玩法行为规划!P137&gt;0,1,0))</f>
        <v>5</v>
      </c>
      <c r="R137" s="7" t="str">
        <f>IF(VLOOKUP(R$2,行为概览!$D$3:$L$33,9,0)="","",VLOOKUP(R$2,行为概览!$D$3:$L$33,9,0)*IF(玩法行为规划!Q137&gt;0,1,0))</f>
        <v/>
      </c>
      <c r="S137" s="7">
        <f>IF(VLOOKUP(S$2,行为概览!$D$3:$L$33,9,0)="","",VLOOKUP(S$2,行为概览!$D$3:$L$33,9,0)*IF(玩法行为规划!R137&gt;0,1,0))</f>
        <v>1</v>
      </c>
      <c r="T137" s="7">
        <f>IF(VLOOKUP(T$2,行为概览!$D$3:$L$33,9,0)="","",VLOOKUP(T$2,行为概览!$D$3:$L$33,9,0)*IF(玩法行为规划!S137&gt;0,1,0))</f>
        <v>0</v>
      </c>
      <c r="U137" s="7">
        <f>IF(VLOOKUP(U$2,行为概览!$D$3:$L$33,9,0)="","",VLOOKUP(U$2,行为概览!$D$3:$L$33,9,0)*IF(玩法行为规划!T137&gt;0,1,0))</f>
        <v>1</v>
      </c>
      <c r="V137" s="7">
        <f>IF(VLOOKUP(V$2,行为概览!$D$3:$L$33,9,0)="","",VLOOKUP(V$2,行为概览!$D$3:$L$33,9,0)*IF(玩法行为规划!U137&gt;0,1,0))</f>
        <v>1.5</v>
      </c>
      <c r="W137" s="7">
        <f>IF(VLOOKUP(W$2,行为概览!$D$3:$L$33,9,0)="","",VLOOKUP(W$2,行为概览!$D$3:$L$33,9,0)*IF(玩法行为规划!V137&gt;0,1,0))</f>
        <v>1</v>
      </c>
      <c r="X137" s="7">
        <f>IF(VLOOKUP(X$2,行为概览!$D$3:$L$33,9,0)="","",VLOOKUP(X$2,行为概览!$D$3:$L$33,9,0)*IF(玩法行为规划!W137&gt;0,1,0))</f>
        <v>1</v>
      </c>
      <c r="Y137" s="7">
        <f>IF(VLOOKUP(Y$2,行为概览!$D$3:$L$33,9,0)="","",VLOOKUP(Y$2,行为概览!$D$3:$L$33,9,0)*IF(玩法行为规划!X137&gt;0,1,0))</f>
        <v>1</v>
      </c>
      <c r="Z137" s="7">
        <f>IF(VLOOKUP(Z$2,行为概览!$D$3:$L$33,9,0)="","",VLOOKUP(Z$2,行为概览!$D$3:$L$33,9,0)*IF(玩法行为规划!Y137&gt;0,1,0))</f>
        <v>3</v>
      </c>
      <c r="AA137" s="7">
        <f>IF(VLOOKUP(AA$2,行为概览!$D$3:$L$33,9,0)="","",VLOOKUP(AA$2,行为概览!$D$3:$L$33,9,0)*IF(玩法行为规划!Z137&gt;0,1,0))</f>
        <v>0.5</v>
      </c>
      <c r="AB137" s="7" t="str">
        <f>IF(VLOOKUP(AB$2,行为概览!$D$3:$L$33,9,0)="","",VLOOKUP(AB$2,行为概览!$D$3:$L$33,9,0)*IF(玩法行为规划!AA137&gt;0,1,0))</f>
        <v/>
      </c>
      <c r="AC137" s="7" t="str">
        <f>IF(VLOOKUP(AC$2,行为概览!$D$3:$L$33,9,0)="","",VLOOKUP(AC$2,行为概览!$D$3:$L$33,9,0)*IF(玩法行为规划!AB137&gt;0,1,0))</f>
        <v/>
      </c>
      <c r="AD137" s="7" t="str">
        <f>IF(VLOOKUP(AD$2,行为概览!$D$3:$L$33,9,0)="","",VLOOKUP(AD$2,行为概览!$D$3:$L$33,9,0)*玩法行为规划!AC137)</f>
        <v/>
      </c>
      <c r="AE137" s="7" t="str">
        <f>IF(VLOOKUP(AE$2,行为概览!$D$3:$L$33,9,0)="","",VLOOKUP(AE$2,行为概览!$D$3:$L$33,9,0)*玩法行为规划!AD137)</f>
        <v/>
      </c>
      <c r="AF137" s="7">
        <f t="shared" si="26"/>
        <v>24.65</v>
      </c>
      <c r="AG137" s="10">
        <f t="shared" si="27"/>
        <v>3327750</v>
      </c>
      <c r="AH137" s="7">
        <f>ROUND(AG137*升级节奏!G137,0)</f>
        <v>86389777</v>
      </c>
      <c r="AI137" s="7">
        <f t="shared" si="28"/>
        <v>1417500</v>
      </c>
      <c r="AJ137" s="21" t="str">
        <f t="shared" si="25"/>
        <v/>
      </c>
      <c r="AK137" s="7">
        <f t="shared" si="29"/>
        <v>1.6143308942378431E-2</v>
      </c>
      <c r="AL137" s="7">
        <f t="shared" si="30"/>
        <v>87807277</v>
      </c>
      <c r="AM137" s="7">
        <f>SUM($AL$3:AL137)</f>
        <v>2888061621</v>
      </c>
      <c r="AN137" s="166">
        <f t="shared" si="31"/>
        <v>2906700</v>
      </c>
      <c r="AO137" s="7">
        <f>SUM($AN$3:AN137)*7</f>
        <v>673560300</v>
      </c>
      <c r="AP137" s="69">
        <f t="shared" si="32"/>
        <v>2201502321</v>
      </c>
      <c r="AQ137" s="160">
        <f t="shared" si="33"/>
        <v>8666000</v>
      </c>
      <c r="AR137" s="160">
        <f t="shared" si="34"/>
        <v>4333000</v>
      </c>
    </row>
    <row r="138" spans="1:44">
      <c r="A138" s="32">
        <v>136</v>
      </c>
      <c r="B138" s="81">
        <f>升级节奏!E138</f>
        <v>136000</v>
      </c>
      <c r="C138" s="7">
        <f>IF(VLOOKUP(C$2,行为概览!$D$3:$L$33,9,0)="","",VLOOKUP(C$2,行为概览!$D$3:$L$33,9,0)*IF(玩法行为规划!B138&gt;0,1,0))</f>
        <v>4</v>
      </c>
      <c r="D138" s="7">
        <f>IF(VLOOKUP(D$2,行为概览!$D$3:$L$33,9,0)="","",VLOOKUP(D$2,行为概览!$D$3:$L$33,9,0)*IF(玩法行为规划!C138&gt;0,1,0))</f>
        <v>1.65</v>
      </c>
      <c r="E138" s="7">
        <f>IF(VLOOKUP(E$2,行为概览!$D$3:$L$33,9,0)="","",VLOOKUP(E$2,行为概览!$D$3:$L$33,9,0)*IF(玩法行为规划!D138&gt;0,1,0))</f>
        <v>0.5</v>
      </c>
      <c r="F138" s="7">
        <f>IF(VLOOKUP(F$2,行为概览!$D$3:$L$33,9,0)="","",VLOOKUP(F$2,行为概览!$D$3:$L$33,9,0)*IF(玩法行为规划!E138&gt;0,1,0))</f>
        <v>1</v>
      </c>
      <c r="G138" s="7" t="str">
        <f>IF(VLOOKUP(G$2,行为概览!$D$3:$L$33,9,0)="","",VLOOKUP(G$2,行为概览!$D$3:$L$33,9,0)*IF(玩法行为规划!F138&gt;0,1,0))</f>
        <v/>
      </c>
      <c r="H138" s="7" t="str">
        <f>IF(VLOOKUP(H$2,行为概览!$D$3:$L$33,9,0)="","",VLOOKUP(H$2,行为概览!$D$3:$L$33,9,0)*IF(玩法行为规划!G138&gt;0,1,0))</f>
        <v/>
      </c>
      <c r="I138" s="7" t="str">
        <f>IF(VLOOKUP(I$2,行为概览!$D$3:$L$33,9,0)="","",VLOOKUP(I$2,行为概览!$D$3:$L$33,9,0)*IF(玩法行为规划!H138&gt;0,1,0))</f>
        <v/>
      </c>
      <c r="J138" s="7" t="str">
        <f>IF(VLOOKUP(J$2,行为概览!$D$3:$L$33,9,0)="","",VLOOKUP(J$2,行为概览!$D$3:$L$33,9,0)*IF(玩法行为规划!I138&gt;0,1,0))</f>
        <v/>
      </c>
      <c r="K138" s="7">
        <f>IF(VLOOKUP(K$2,行为概览!$D$3:$L$33,9,0)="","",VLOOKUP(K$2,行为概览!$D$3:$L$33,9,0)*IF(玩法行为规划!J138&gt;0,1,0))</f>
        <v>1</v>
      </c>
      <c r="L138" s="7">
        <f>IF(VLOOKUP(L$2,行为概览!$D$3:$L$33,9,0)="","",VLOOKUP(L$2,行为概览!$D$3:$L$33,9,0)*IF(玩法行为规划!K138&gt;0,1,0))</f>
        <v>1</v>
      </c>
      <c r="M138" s="7" t="str">
        <f>IF(VLOOKUP(M$2,行为概览!$D$3:$L$33,9,0)="","",VLOOKUP(M$2,行为概览!$D$3:$L$33,9,0)*IF(玩法行为规划!L138&gt;0,1,0))</f>
        <v/>
      </c>
      <c r="N138" s="7" t="str">
        <f>IF(VLOOKUP(N$2,行为概览!$D$3:$L$33,9,0)="","",VLOOKUP(N$2,行为概览!$D$3:$L$33,9,0)*IF(玩法行为规划!M138&gt;0,1,0))</f>
        <v/>
      </c>
      <c r="O138" s="7" t="str">
        <f>IF(VLOOKUP(O$2,行为概览!$D$3:$L$33,9,0)="","",VLOOKUP(O$2,行为概览!$D$3:$L$33,9,0)*IF(玩法行为规划!N138&gt;0,1,0))</f>
        <v/>
      </c>
      <c r="P138" s="7">
        <f>IF(VLOOKUP(P$2,行为概览!$D$3:$L$33,9,0)="","",VLOOKUP(P$2,行为概览!$D$3:$L$33,9,0)*IF(玩法行为规划!O138&gt;0,1,0))</f>
        <v>0.5</v>
      </c>
      <c r="Q138" s="7">
        <f>IF(VLOOKUP(Q$2,行为概览!$D$3:$L$33,9,0)="","",VLOOKUP(Q$2,行为概览!$D$3:$L$33,9,0)*IF(玩法行为规划!P138&gt;0,1,0))</f>
        <v>5</v>
      </c>
      <c r="R138" s="7" t="str">
        <f>IF(VLOOKUP(R$2,行为概览!$D$3:$L$33,9,0)="","",VLOOKUP(R$2,行为概览!$D$3:$L$33,9,0)*IF(玩法行为规划!Q138&gt;0,1,0))</f>
        <v/>
      </c>
      <c r="S138" s="7">
        <f>IF(VLOOKUP(S$2,行为概览!$D$3:$L$33,9,0)="","",VLOOKUP(S$2,行为概览!$D$3:$L$33,9,0)*IF(玩法行为规划!R138&gt;0,1,0))</f>
        <v>1</v>
      </c>
      <c r="T138" s="7">
        <f>IF(VLOOKUP(T$2,行为概览!$D$3:$L$33,9,0)="","",VLOOKUP(T$2,行为概览!$D$3:$L$33,9,0)*IF(玩法行为规划!S138&gt;0,1,0))</f>
        <v>0</v>
      </c>
      <c r="U138" s="7">
        <f>IF(VLOOKUP(U$2,行为概览!$D$3:$L$33,9,0)="","",VLOOKUP(U$2,行为概览!$D$3:$L$33,9,0)*IF(玩法行为规划!T138&gt;0,1,0))</f>
        <v>1</v>
      </c>
      <c r="V138" s="7">
        <f>IF(VLOOKUP(V$2,行为概览!$D$3:$L$33,9,0)="","",VLOOKUP(V$2,行为概览!$D$3:$L$33,9,0)*IF(玩法行为规划!U138&gt;0,1,0))</f>
        <v>1.5</v>
      </c>
      <c r="W138" s="7">
        <f>IF(VLOOKUP(W$2,行为概览!$D$3:$L$33,9,0)="","",VLOOKUP(W$2,行为概览!$D$3:$L$33,9,0)*IF(玩法行为规划!V138&gt;0,1,0))</f>
        <v>1</v>
      </c>
      <c r="X138" s="7">
        <f>IF(VLOOKUP(X$2,行为概览!$D$3:$L$33,9,0)="","",VLOOKUP(X$2,行为概览!$D$3:$L$33,9,0)*IF(玩法行为规划!W138&gt;0,1,0))</f>
        <v>1</v>
      </c>
      <c r="Y138" s="7">
        <f>IF(VLOOKUP(Y$2,行为概览!$D$3:$L$33,9,0)="","",VLOOKUP(Y$2,行为概览!$D$3:$L$33,9,0)*IF(玩法行为规划!X138&gt;0,1,0))</f>
        <v>1</v>
      </c>
      <c r="Z138" s="7">
        <f>IF(VLOOKUP(Z$2,行为概览!$D$3:$L$33,9,0)="","",VLOOKUP(Z$2,行为概览!$D$3:$L$33,9,0)*IF(玩法行为规划!Y138&gt;0,1,0))</f>
        <v>3</v>
      </c>
      <c r="AA138" s="7">
        <f>IF(VLOOKUP(AA$2,行为概览!$D$3:$L$33,9,0)="","",VLOOKUP(AA$2,行为概览!$D$3:$L$33,9,0)*IF(玩法行为规划!Z138&gt;0,1,0))</f>
        <v>0.5</v>
      </c>
      <c r="AB138" s="7" t="str">
        <f>IF(VLOOKUP(AB$2,行为概览!$D$3:$L$33,9,0)="","",VLOOKUP(AB$2,行为概览!$D$3:$L$33,9,0)*IF(玩法行为规划!AA138&gt;0,1,0))</f>
        <v/>
      </c>
      <c r="AC138" s="7" t="str">
        <f>IF(VLOOKUP(AC$2,行为概览!$D$3:$L$33,9,0)="","",VLOOKUP(AC$2,行为概览!$D$3:$L$33,9,0)*IF(玩法行为规划!AB138&gt;0,1,0))</f>
        <v/>
      </c>
      <c r="AD138" s="7" t="str">
        <f>IF(VLOOKUP(AD$2,行为概览!$D$3:$L$33,9,0)="","",VLOOKUP(AD$2,行为概览!$D$3:$L$33,9,0)*玩法行为规划!AC138)</f>
        <v/>
      </c>
      <c r="AE138" s="7" t="str">
        <f>IF(VLOOKUP(AE$2,行为概览!$D$3:$L$33,9,0)="","",VLOOKUP(AE$2,行为概览!$D$3:$L$33,9,0)*玩法行为规划!AD138)</f>
        <v/>
      </c>
      <c r="AF138" s="7">
        <f t="shared" si="26"/>
        <v>24.65</v>
      </c>
      <c r="AG138" s="10">
        <f t="shared" si="27"/>
        <v>3352400</v>
      </c>
      <c r="AH138" s="7">
        <f>ROUND(AG138*升级节奏!G138,0)</f>
        <v>88316743</v>
      </c>
      <c r="AI138" s="7">
        <f t="shared" si="28"/>
        <v>1441600</v>
      </c>
      <c r="AJ138" s="21" t="str">
        <f t="shared" si="25"/>
        <v/>
      </c>
      <c r="AK138" s="7">
        <f t="shared" si="29"/>
        <v>1.606090255030666E-2</v>
      </c>
      <c r="AL138" s="7">
        <f t="shared" si="30"/>
        <v>89758343</v>
      </c>
      <c r="AM138" s="7">
        <f>SUM($AL$3:AL138)</f>
        <v>2977819964</v>
      </c>
      <c r="AN138" s="166">
        <f t="shared" si="31"/>
        <v>2971100</v>
      </c>
      <c r="AO138" s="7">
        <f>SUM($AN$3:AN138)*7</f>
        <v>694358000</v>
      </c>
      <c r="AP138" s="69">
        <f t="shared" si="32"/>
        <v>2270173664</v>
      </c>
      <c r="AQ138" s="160">
        <f t="shared" si="33"/>
        <v>8858900</v>
      </c>
      <c r="AR138" s="160">
        <f t="shared" si="34"/>
        <v>4429400</v>
      </c>
    </row>
    <row r="139" spans="1:44">
      <c r="A139" s="32">
        <v>137</v>
      </c>
      <c r="B139" s="81">
        <f>升级节奏!E139</f>
        <v>137000</v>
      </c>
      <c r="C139" s="7">
        <f>IF(VLOOKUP(C$2,行为概览!$D$3:$L$33,9,0)="","",VLOOKUP(C$2,行为概览!$D$3:$L$33,9,0)*IF(玩法行为规划!B139&gt;0,1,0))</f>
        <v>4</v>
      </c>
      <c r="D139" s="7">
        <f>IF(VLOOKUP(D$2,行为概览!$D$3:$L$33,9,0)="","",VLOOKUP(D$2,行为概览!$D$3:$L$33,9,0)*IF(玩法行为规划!C139&gt;0,1,0))</f>
        <v>1.65</v>
      </c>
      <c r="E139" s="7">
        <f>IF(VLOOKUP(E$2,行为概览!$D$3:$L$33,9,0)="","",VLOOKUP(E$2,行为概览!$D$3:$L$33,9,0)*IF(玩法行为规划!D139&gt;0,1,0))</f>
        <v>0.5</v>
      </c>
      <c r="F139" s="7">
        <f>IF(VLOOKUP(F$2,行为概览!$D$3:$L$33,9,0)="","",VLOOKUP(F$2,行为概览!$D$3:$L$33,9,0)*IF(玩法行为规划!E139&gt;0,1,0))</f>
        <v>1</v>
      </c>
      <c r="G139" s="7" t="str">
        <f>IF(VLOOKUP(G$2,行为概览!$D$3:$L$33,9,0)="","",VLOOKUP(G$2,行为概览!$D$3:$L$33,9,0)*IF(玩法行为规划!F139&gt;0,1,0))</f>
        <v/>
      </c>
      <c r="H139" s="7" t="str">
        <f>IF(VLOOKUP(H$2,行为概览!$D$3:$L$33,9,0)="","",VLOOKUP(H$2,行为概览!$D$3:$L$33,9,0)*IF(玩法行为规划!G139&gt;0,1,0))</f>
        <v/>
      </c>
      <c r="I139" s="7" t="str">
        <f>IF(VLOOKUP(I$2,行为概览!$D$3:$L$33,9,0)="","",VLOOKUP(I$2,行为概览!$D$3:$L$33,9,0)*IF(玩法行为规划!H139&gt;0,1,0))</f>
        <v/>
      </c>
      <c r="J139" s="7" t="str">
        <f>IF(VLOOKUP(J$2,行为概览!$D$3:$L$33,9,0)="","",VLOOKUP(J$2,行为概览!$D$3:$L$33,9,0)*IF(玩法行为规划!I139&gt;0,1,0))</f>
        <v/>
      </c>
      <c r="K139" s="7">
        <f>IF(VLOOKUP(K$2,行为概览!$D$3:$L$33,9,0)="","",VLOOKUP(K$2,行为概览!$D$3:$L$33,9,0)*IF(玩法行为规划!J139&gt;0,1,0))</f>
        <v>1</v>
      </c>
      <c r="L139" s="7">
        <f>IF(VLOOKUP(L$2,行为概览!$D$3:$L$33,9,0)="","",VLOOKUP(L$2,行为概览!$D$3:$L$33,9,0)*IF(玩法行为规划!K139&gt;0,1,0))</f>
        <v>1</v>
      </c>
      <c r="M139" s="7" t="str">
        <f>IF(VLOOKUP(M$2,行为概览!$D$3:$L$33,9,0)="","",VLOOKUP(M$2,行为概览!$D$3:$L$33,9,0)*IF(玩法行为规划!L139&gt;0,1,0))</f>
        <v/>
      </c>
      <c r="N139" s="7" t="str">
        <f>IF(VLOOKUP(N$2,行为概览!$D$3:$L$33,9,0)="","",VLOOKUP(N$2,行为概览!$D$3:$L$33,9,0)*IF(玩法行为规划!M139&gt;0,1,0))</f>
        <v/>
      </c>
      <c r="O139" s="7" t="str">
        <f>IF(VLOOKUP(O$2,行为概览!$D$3:$L$33,9,0)="","",VLOOKUP(O$2,行为概览!$D$3:$L$33,9,0)*IF(玩法行为规划!N139&gt;0,1,0))</f>
        <v/>
      </c>
      <c r="P139" s="7">
        <f>IF(VLOOKUP(P$2,行为概览!$D$3:$L$33,9,0)="","",VLOOKUP(P$2,行为概览!$D$3:$L$33,9,0)*IF(玩法行为规划!O139&gt;0,1,0))</f>
        <v>0.5</v>
      </c>
      <c r="Q139" s="7">
        <f>IF(VLOOKUP(Q$2,行为概览!$D$3:$L$33,9,0)="","",VLOOKUP(Q$2,行为概览!$D$3:$L$33,9,0)*IF(玩法行为规划!P139&gt;0,1,0))</f>
        <v>5</v>
      </c>
      <c r="R139" s="7" t="str">
        <f>IF(VLOOKUP(R$2,行为概览!$D$3:$L$33,9,0)="","",VLOOKUP(R$2,行为概览!$D$3:$L$33,9,0)*IF(玩法行为规划!Q139&gt;0,1,0))</f>
        <v/>
      </c>
      <c r="S139" s="7">
        <f>IF(VLOOKUP(S$2,行为概览!$D$3:$L$33,9,0)="","",VLOOKUP(S$2,行为概览!$D$3:$L$33,9,0)*IF(玩法行为规划!R139&gt;0,1,0))</f>
        <v>1</v>
      </c>
      <c r="T139" s="7">
        <f>IF(VLOOKUP(T$2,行为概览!$D$3:$L$33,9,0)="","",VLOOKUP(T$2,行为概览!$D$3:$L$33,9,0)*IF(玩法行为规划!S139&gt;0,1,0))</f>
        <v>0</v>
      </c>
      <c r="U139" s="7">
        <f>IF(VLOOKUP(U$2,行为概览!$D$3:$L$33,9,0)="","",VLOOKUP(U$2,行为概览!$D$3:$L$33,9,0)*IF(玩法行为规划!T139&gt;0,1,0))</f>
        <v>1</v>
      </c>
      <c r="V139" s="7">
        <f>IF(VLOOKUP(V$2,行为概览!$D$3:$L$33,9,0)="","",VLOOKUP(V$2,行为概览!$D$3:$L$33,9,0)*IF(玩法行为规划!U139&gt;0,1,0))</f>
        <v>1.5</v>
      </c>
      <c r="W139" s="7">
        <f>IF(VLOOKUP(W$2,行为概览!$D$3:$L$33,9,0)="","",VLOOKUP(W$2,行为概览!$D$3:$L$33,9,0)*IF(玩法行为规划!V139&gt;0,1,0))</f>
        <v>1</v>
      </c>
      <c r="X139" s="7">
        <f>IF(VLOOKUP(X$2,行为概览!$D$3:$L$33,9,0)="","",VLOOKUP(X$2,行为概览!$D$3:$L$33,9,0)*IF(玩法行为规划!W139&gt;0,1,0))</f>
        <v>1</v>
      </c>
      <c r="Y139" s="7">
        <f>IF(VLOOKUP(Y$2,行为概览!$D$3:$L$33,9,0)="","",VLOOKUP(Y$2,行为概览!$D$3:$L$33,9,0)*IF(玩法行为规划!X139&gt;0,1,0))</f>
        <v>1</v>
      </c>
      <c r="Z139" s="7">
        <f>IF(VLOOKUP(Z$2,行为概览!$D$3:$L$33,9,0)="","",VLOOKUP(Z$2,行为概览!$D$3:$L$33,9,0)*IF(玩法行为规划!Y139&gt;0,1,0))</f>
        <v>3</v>
      </c>
      <c r="AA139" s="7">
        <f>IF(VLOOKUP(AA$2,行为概览!$D$3:$L$33,9,0)="","",VLOOKUP(AA$2,行为概览!$D$3:$L$33,9,0)*IF(玩法行为规划!Z139&gt;0,1,0))</f>
        <v>0.5</v>
      </c>
      <c r="AB139" s="7" t="str">
        <f>IF(VLOOKUP(AB$2,行为概览!$D$3:$L$33,9,0)="","",VLOOKUP(AB$2,行为概览!$D$3:$L$33,9,0)*IF(玩法行为规划!AA139&gt;0,1,0))</f>
        <v/>
      </c>
      <c r="AC139" s="7" t="str">
        <f>IF(VLOOKUP(AC$2,行为概览!$D$3:$L$33,9,0)="","",VLOOKUP(AC$2,行为概览!$D$3:$L$33,9,0)*IF(玩法行为规划!AB139&gt;0,1,0))</f>
        <v/>
      </c>
      <c r="AD139" s="7" t="str">
        <f>IF(VLOOKUP(AD$2,行为概览!$D$3:$L$33,9,0)="","",VLOOKUP(AD$2,行为概览!$D$3:$L$33,9,0)*玩法行为规划!AC139)</f>
        <v/>
      </c>
      <c r="AE139" s="7" t="str">
        <f>IF(VLOOKUP(AE$2,行为概览!$D$3:$L$33,9,0)="","",VLOOKUP(AE$2,行为概览!$D$3:$L$33,9,0)*玩法行为规划!AD139)</f>
        <v/>
      </c>
      <c r="AF139" s="7">
        <f t="shared" si="26"/>
        <v>24.65</v>
      </c>
      <c r="AG139" s="10">
        <f t="shared" si="27"/>
        <v>3377050</v>
      </c>
      <c r="AH139" s="7">
        <f>ROUND(AG139*升级节奏!G139,0)</f>
        <v>90272205</v>
      </c>
      <c r="AI139" s="7">
        <f t="shared" si="28"/>
        <v>1465900</v>
      </c>
      <c r="AJ139" s="21" t="str">
        <f t="shared" si="25"/>
        <v/>
      </c>
      <c r="AK139" s="7">
        <f t="shared" si="29"/>
        <v>1.59791833502556E-2</v>
      </c>
      <c r="AL139" s="7">
        <f t="shared" si="30"/>
        <v>91738105</v>
      </c>
      <c r="AM139" s="7">
        <f>SUM($AL$3:AL139)</f>
        <v>3069558069</v>
      </c>
      <c r="AN139" s="166">
        <f t="shared" si="31"/>
        <v>3036500</v>
      </c>
      <c r="AO139" s="7">
        <f>SUM($AN$3:AN139)*7</f>
        <v>715613500</v>
      </c>
      <c r="AP139" s="69">
        <f t="shared" si="32"/>
        <v>2340362669</v>
      </c>
      <c r="AQ139" s="160">
        <f t="shared" si="33"/>
        <v>9054600</v>
      </c>
      <c r="AR139" s="160">
        <f t="shared" si="34"/>
        <v>4527300</v>
      </c>
    </row>
    <row r="140" spans="1:44">
      <c r="A140" s="32">
        <v>138</v>
      </c>
      <c r="B140" s="81">
        <f>升级节奏!E140</f>
        <v>138000</v>
      </c>
      <c r="C140" s="7">
        <f>IF(VLOOKUP(C$2,行为概览!$D$3:$L$33,9,0)="","",VLOOKUP(C$2,行为概览!$D$3:$L$33,9,0)*IF(玩法行为规划!B140&gt;0,1,0))</f>
        <v>4</v>
      </c>
      <c r="D140" s="7">
        <f>IF(VLOOKUP(D$2,行为概览!$D$3:$L$33,9,0)="","",VLOOKUP(D$2,行为概览!$D$3:$L$33,9,0)*IF(玩法行为规划!C140&gt;0,1,0))</f>
        <v>1.65</v>
      </c>
      <c r="E140" s="7">
        <f>IF(VLOOKUP(E$2,行为概览!$D$3:$L$33,9,0)="","",VLOOKUP(E$2,行为概览!$D$3:$L$33,9,0)*IF(玩法行为规划!D140&gt;0,1,0))</f>
        <v>0.5</v>
      </c>
      <c r="F140" s="7">
        <f>IF(VLOOKUP(F$2,行为概览!$D$3:$L$33,9,0)="","",VLOOKUP(F$2,行为概览!$D$3:$L$33,9,0)*IF(玩法行为规划!E140&gt;0,1,0))</f>
        <v>1</v>
      </c>
      <c r="G140" s="7" t="str">
        <f>IF(VLOOKUP(G$2,行为概览!$D$3:$L$33,9,0)="","",VLOOKUP(G$2,行为概览!$D$3:$L$33,9,0)*IF(玩法行为规划!F140&gt;0,1,0))</f>
        <v/>
      </c>
      <c r="H140" s="7" t="str">
        <f>IF(VLOOKUP(H$2,行为概览!$D$3:$L$33,9,0)="","",VLOOKUP(H$2,行为概览!$D$3:$L$33,9,0)*IF(玩法行为规划!G140&gt;0,1,0))</f>
        <v/>
      </c>
      <c r="I140" s="7" t="str">
        <f>IF(VLOOKUP(I$2,行为概览!$D$3:$L$33,9,0)="","",VLOOKUP(I$2,行为概览!$D$3:$L$33,9,0)*IF(玩法行为规划!H140&gt;0,1,0))</f>
        <v/>
      </c>
      <c r="J140" s="7" t="str">
        <f>IF(VLOOKUP(J$2,行为概览!$D$3:$L$33,9,0)="","",VLOOKUP(J$2,行为概览!$D$3:$L$33,9,0)*IF(玩法行为规划!I140&gt;0,1,0))</f>
        <v/>
      </c>
      <c r="K140" s="7">
        <f>IF(VLOOKUP(K$2,行为概览!$D$3:$L$33,9,0)="","",VLOOKUP(K$2,行为概览!$D$3:$L$33,9,0)*IF(玩法行为规划!J140&gt;0,1,0))</f>
        <v>1</v>
      </c>
      <c r="L140" s="7">
        <f>IF(VLOOKUP(L$2,行为概览!$D$3:$L$33,9,0)="","",VLOOKUP(L$2,行为概览!$D$3:$L$33,9,0)*IF(玩法行为规划!K140&gt;0,1,0))</f>
        <v>1</v>
      </c>
      <c r="M140" s="7" t="str">
        <f>IF(VLOOKUP(M$2,行为概览!$D$3:$L$33,9,0)="","",VLOOKUP(M$2,行为概览!$D$3:$L$33,9,0)*IF(玩法行为规划!L140&gt;0,1,0))</f>
        <v/>
      </c>
      <c r="N140" s="7" t="str">
        <f>IF(VLOOKUP(N$2,行为概览!$D$3:$L$33,9,0)="","",VLOOKUP(N$2,行为概览!$D$3:$L$33,9,0)*IF(玩法行为规划!M140&gt;0,1,0))</f>
        <v/>
      </c>
      <c r="O140" s="7" t="str">
        <f>IF(VLOOKUP(O$2,行为概览!$D$3:$L$33,9,0)="","",VLOOKUP(O$2,行为概览!$D$3:$L$33,9,0)*IF(玩法行为规划!N140&gt;0,1,0))</f>
        <v/>
      </c>
      <c r="P140" s="7">
        <f>IF(VLOOKUP(P$2,行为概览!$D$3:$L$33,9,0)="","",VLOOKUP(P$2,行为概览!$D$3:$L$33,9,0)*IF(玩法行为规划!O140&gt;0,1,0))</f>
        <v>0.5</v>
      </c>
      <c r="Q140" s="7">
        <f>IF(VLOOKUP(Q$2,行为概览!$D$3:$L$33,9,0)="","",VLOOKUP(Q$2,行为概览!$D$3:$L$33,9,0)*IF(玩法行为规划!P140&gt;0,1,0))</f>
        <v>5</v>
      </c>
      <c r="R140" s="7" t="str">
        <f>IF(VLOOKUP(R$2,行为概览!$D$3:$L$33,9,0)="","",VLOOKUP(R$2,行为概览!$D$3:$L$33,9,0)*IF(玩法行为规划!Q140&gt;0,1,0))</f>
        <v/>
      </c>
      <c r="S140" s="7">
        <f>IF(VLOOKUP(S$2,行为概览!$D$3:$L$33,9,0)="","",VLOOKUP(S$2,行为概览!$D$3:$L$33,9,0)*IF(玩法行为规划!R140&gt;0,1,0))</f>
        <v>1</v>
      </c>
      <c r="T140" s="7">
        <f>IF(VLOOKUP(T$2,行为概览!$D$3:$L$33,9,0)="","",VLOOKUP(T$2,行为概览!$D$3:$L$33,9,0)*IF(玩法行为规划!S140&gt;0,1,0))</f>
        <v>0</v>
      </c>
      <c r="U140" s="7">
        <f>IF(VLOOKUP(U$2,行为概览!$D$3:$L$33,9,0)="","",VLOOKUP(U$2,行为概览!$D$3:$L$33,9,0)*IF(玩法行为规划!T140&gt;0,1,0))</f>
        <v>1</v>
      </c>
      <c r="V140" s="7">
        <f>IF(VLOOKUP(V$2,行为概览!$D$3:$L$33,9,0)="","",VLOOKUP(V$2,行为概览!$D$3:$L$33,9,0)*IF(玩法行为规划!U140&gt;0,1,0))</f>
        <v>1.5</v>
      </c>
      <c r="W140" s="7">
        <f>IF(VLOOKUP(W$2,行为概览!$D$3:$L$33,9,0)="","",VLOOKUP(W$2,行为概览!$D$3:$L$33,9,0)*IF(玩法行为规划!V140&gt;0,1,0))</f>
        <v>1</v>
      </c>
      <c r="X140" s="7">
        <f>IF(VLOOKUP(X$2,行为概览!$D$3:$L$33,9,0)="","",VLOOKUP(X$2,行为概览!$D$3:$L$33,9,0)*IF(玩法行为规划!W140&gt;0,1,0))</f>
        <v>1</v>
      </c>
      <c r="Y140" s="7">
        <f>IF(VLOOKUP(Y$2,行为概览!$D$3:$L$33,9,0)="","",VLOOKUP(Y$2,行为概览!$D$3:$L$33,9,0)*IF(玩法行为规划!X140&gt;0,1,0))</f>
        <v>1</v>
      </c>
      <c r="Z140" s="7">
        <f>IF(VLOOKUP(Z$2,行为概览!$D$3:$L$33,9,0)="","",VLOOKUP(Z$2,行为概览!$D$3:$L$33,9,0)*IF(玩法行为规划!Y140&gt;0,1,0))</f>
        <v>3</v>
      </c>
      <c r="AA140" s="7">
        <f>IF(VLOOKUP(AA$2,行为概览!$D$3:$L$33,9,0)="","",VLOOKUP(AA$2,行为概览!$D$3:$L$33,9,0)*IF(玩法行为规划!Z140&gt;0,1,0))</f>
        <v>0.5</v>
      </c>
      <c r="AB140" s="7" t="str">
        <f>IF(VLOOKUP(AB$2,行为概览!$D$3:$L$33,9,0)="","",VLOOKUP(AB$2,行为概览!$D$3:$L$33,9,0)*IF(玩法行为规划!AA140&gt;0,1,0))</f>
        <v/>
      </c>
      <c r="AC140" s="7" t="str">
        <f>IF(VLOOKUP(AC$2,行为概览!$D$3:$L$33,9,0)="","",VLOOKUP(AC$2,行为概览!$D$3:$L$33,9,0)*IF(玩法行为规划!AB140&gt;0,1,0))</f>
        <v/>
      </c>
      <c r="AD140" s="7" t="str">
        <f>IF(VLOOKUP(AD$2,行为概览!$D$3:$L$33,9,0)="","",VLOOKUP(AD$2,行为概览!$D$3:$L$33,9,0)*玩法行为规划!AC140)</f>
        <v/>
      </c>
      <c r="AE140" s="7" t="str">
        <f>IF(VLOOKUP(AE$2,行为概览!$D$3:$L$33,9,0)="","",VLOOKUP(AE$2,行为概览!$D$3:$L$33,9,0)*玩法行为规划!AD140)</f>
        <v/>
      </c>
      <c r="AF140" s="7">
        <f t="shared" si="26"/>
        <v>24.65</v>
      </c>
      <c r="AG140" s="10">
        <f t="shared" si="27"/>
        <v>3401700</v>
      </c>
      <c r="AH140" s="7">
        <f>ROUND(AG140*升级节奏!G140,0)</f>
        <v>92256372</v>
      </c>
      <c r="AI140" s="7">
        <f t="shared" si="28"/>
        <v>1490400</v>
      </c>
      <c r="AJ140" s="21" t="str">
        <f t="shared" ref="AJ140:AJ152" si="35">IF(--RIGHT(A140,1)=0,SUM(AI140:AI149),"")</f>
        <v/>
      </c>
      <c r="AK140" s="7">
        <f t="shared" si="29"/>
        <v>1.5898147405011449E-2</v>
      </c>
      <c r="AL140" s="7">
        <f t="shared" si="30"/>
        <v>93746772</v>
      </c>
      <c r="AM140" s="7">
        <f>SUM($AL$3:AL140)</f>
        <v>3163304841</v>
      </c>
      <c r="AN140" s="166">
        <f t="shared" si="31"/>
        <v>3102800</v>
      </c>
      <c r="AO140" s="7">
        <f>SUM($AN$3:AN140)*7</f>
        <v>737333100</v>
      </c>
      <c r="AP140" s="69">
        <f t="shared" si="32"/>
        <v>2412091941</v>
      </c>
      <c r="AQ140" s="160">
        <f t="shared" si="33"/>
        <v>9253200</v>
      </c>
      <c r="AR140" s="160">
        <f t="shared" si="34"/>
        <v>4626600</v>
      </c>
    </row>
    <row r="141" spans="1:44">
      <c r="A141" s="32">
        <v>139</v>
      </c>
      <c r="B141" s="81">
        <f>升级节奏!E141</f>
        <v>139000</v>
      </c>
      <c r="C141" s="7">
        <f>IF(VLOOKUP(C$2,行为概览!$D$3:$L$33,9,0)="","",VLOOKUP(C$2,行为概览!$D$3:$L$33,9,0)*IF(玩法行为规划!B141&gt;0,1,0))</f>
        <v>4</v>
      </c>
      <c r="D141" s="7">
        <f>IF(VLOOKUP(D$2,行为概览!$D$3:$L$33,9,0)="","",VLOOKUP(D$2,行为概览!$D$3:$L$33,9,0)*IF(玩法行为规划!C141&gt;0,1,0))</f>
        <v>1.65</v>
      </c>
      <c r="E141" s="7">
        <f>IF(VLOOKUP(E$2,行为概览!$D$3:$L$33,9,0)="","",VLOOKUP(E$2,行为概览!$D$3:$L$33,9,0)*IF(玩法行为规划!D141&gt;0,1,0))</f>
        <v>0.5</v>
      </c>
      <c r="F141" s="7">
        <f>IF(VLOOKUP(F$2,行为概览!$D$3:$L$33,9,0)="","",VLOOKUP(F$2,行为概览!$D$3:$L$33,9,0)*IF(玩法行为规划!E141&gt;0,1,0))</f>
        <v>1</v>
      </c>
      <c r="G141" s="7" t="str">
        <f>IF(VLOOKUP(G$2,行为概览!$D$3:$L$33,9,0)="","",VLOOKUP(G$2,行为概览!$D$3:$L$33,9,0)*IF(玩法行为规划!F141&gt;0,1,0))</f>
        <v/>
      </c>
      <c r="H141" s="7" t="str">
        <f>IF(VLOOKUP(H$2,行为概览!$D$3:$L$33,9,0)="","",VLOOKUP(H$2,行为概览!$D$3:$L$33,9,0)*IF(玩法行为规划!G141&gt;0,1,0))</f>
        <v/>
      </c>
      <c r="I141" s="7" t="str">
        <f>IF(VLOOKUP(I$2,行为概览!$D$3:$L$33,9,0)="","",VLOOKUP(I$2,行为概览!$D$3:$L$33,9,0)*IF(玩法行为规划!H141&gt;0,1,0))</f>
        <v/>
      </c>
      <c r="J141" s="7" t="str">
        <f>IF(VLOOKUP(J$2,行为概览!$D$3:$L$33,9,0)="","",VLOOKUP(J$2,行为概览!$D$3:$L$33,9,0)*IF(玩法行为规划!I141&gt;0,1,0))</f>
        <v/>
      </c>
      <c r="K141" s="7">
        <f>IF(VLOOKUP(K$2,行为概览!$D$3:$L$33,9,0)="","",VLOOKUP(K$2,行为概览!$D$3:$L$33,9,0)*IF(玩法行为规划!J141&gt;0,1,0))</f>
        <v>1</v>
      </c>
      <c r="L141" s="7">
        <f>IF(VLOOKUP(L$2,行为概览!$D$3:$L$33,9,0)="","",VLOOKUP(L$2,行为概览!$D$3:$L$33,9,0)*IF(玩法行为规划!K141&gt;0,1,0))</f>
        <v>1</v>
      </c>
      <c r="M141" s="7" t="str">
        <f>IF(VLOOKUP(M$2,行为概览!$D$3:$L$33,9,0)="","",VLOOKUP(M$2,行为概览!$D$3:$L$33,9,0)*IF(玩法行为规划!L141&gt;0,1,0))</f>
        <v/>
      </c>
      <c r="N141" s="7" t="str">
        <f>IF(VLOOKUP(N$2,行为概览!$D$3:$L$33,9,0)="","",VLOOKUP(N$2,行为概览!$D$3:$L$33,9,0)*IF(玩法行为规划!M141&gt;0,1,0))</f>
        <v/>
      </c>
      <c r="O141" s="7" t="str">
        <f>IF(VLOOKUP(O$2,行为概览!$D$3:$L$33,9,0)="","",VLOOKUP(O$2,行为概览!$D$3:$L$33,9,0)*IF(玩法行为规划!N141&gt;0,1,0))</f>
        <v/>
      </c>
      <c r="P141" s="7">
        <f>IF(VLOOKUP(P$2,行为概览!$D$3:$L$33,9,0)="","",VLOOKUP(P$2,行为概览!$D$3:$L$33,9,0)*IF(玩法行为规划!O141&gt;0,1,0))</f>
        <v>0.5</v>
      </c>
      <c r="Q141" s="7">
        <f>IF(VLOOKUP(Q$2,行为概览!$D$3:$L$33,9,0)="","",VLOOKUP(Q$2,行为概览!$D$3:$L$33,9,0)*IF(玩法行为规划!P141&gt;0,1,0))</f>
        <v>5</v>
      </c>
      <c r="R141" s="7" t="str">
        <f>IF(VLOOKUP(R$2,行为概览!$D$3:$L$33,9,0)="","",VLOOKUP(R$2,行为概览!$D$3:$L$33,9,0)*IF(玩法行为规划!Q141&gt;0,1,0))</f>
        <v/>
      </c>
      <c r="S141" s="7">
        <f>IF(VLOOKUP(S$2,行为概览!$D$3:$L$33,9,0)="","",VLOOKUP(S$2,行为概览!$D$3:$L$33,9,0)*IF(玩法行为规划!R141&gt;0,1,0))</f>
        <v>1</v>
      </c>
      <c r="T141" s="7">
        <f>IF(VLOOKUP(T$2,行为概览!$D$3:$L$33,9,0)="","",VLOOKUP(T$2,行为概览!$D$3:$L$33,9,0)*IF(玩法行为规划!S141&gt;0,1,0))</f>
        <v>0</v>
      </c>
      <c r="U141" s="7">
        <f>IF(VLOOKUP(U$2,行为概览!$D$3:$L$33,9,0)="","",VLOOKUP(U$2,行为概览!$D$3:$L$33,9,0)*IF(玩法行为规划!T141&gt;0,1,0))</f>
        <v>1</v>
      </c>
      <c r="V141" s="7">
        <f>IF(VLOOKUP(V$2,行为概览!$D$3:$L$33,9,0)="","",VLOOKUP(V$2,行为概览!$D$3:$L$33,9,0)*IF(玩法行为规划!U141&gt;0,1,0))</f>
        <v>1.5</v>
      </c>
      <c r="W141" s="7">
        <f>IF(VLOOKUP(W$2,行为概览!$D$3:$L$33,9,0)="","",VLOOKUP(W$2,行为概览!$D$3:$L$33,9,0)*IF(玩法行为规划!V141&gt;0,1,0))</f>
        <v>1</v>
      </c>
      <c r="X141" s="7">
        <f>IF(VLOOKUP(X$2,行为概览!$D$3:$L$33,9,0)="","",VLOOKUP(X$2,行为概览!$D$3:$L$33,9,0)*IF(玩法行为规划!W141&gt;0,1,0))</f>
        <v>1</v>
      </c>
      <c r="Y141" s="7">
        <f>IF(VLOOKUP(Y$2,行为概览!$D$3:$L$33,9,0)="","",VLOOKUP(Y$2,行为概览!$D$3:$L$33,9,0)*IF(玩法行为规划!X141&gt;0,1,0))</f>
        <v>1</v>
      </c>
      <c r="Z141" s="7">
        <f>IF(VLOOKUP(Z$2,行为概览!$D$3:$L$33,9,0)="","",VLOOKUP(Z$2,行为概览!$D$3:$L$33,9,0)*IF(玩法行为规划!Y141&gt;0,1,0))</f>
        <v>3</v>
      </c>
      <c r="AA141" s="7">
        <f>IF(VLOOKUP(AA$2,行为概览!$D$3:$L$33,9,0)="","",VLOOKUP(AA$2,行为概览!$D$3:$L$33,9,0)*IF(玩法行为规划!Z141&gt;0,1,0))</f>
        <v>0.5</v>
      </c>
      <c r="AB141" s="7" t="str">
        <f>IF(VLOOKUP(AB$2,行为概览!$D$3:$L$33,9,0)="","",VLOOKUP(AB$2,行为概览!$D$3:$L$33,9,0)*IF(玩法行为规划!AA141&gt;0,1,0))</f>
        <v/>
      </c>
      <c r="AC141" s="7" t="str">
        <f>IF(VLOOKUP(AC$2,行为概览!$D$3:$L$33,9,0)="","",VLOOKUP(AC$2,行为概览!$D$3:$L$33,9,0)*IF(玩法行为规划!AB141&gt;0,1,0))</f>
        <v/>
      </c>
      <c r="AD141" s="7" t="str">
        <f>IF(VLOOKUP(AD$2,行为概览!$D$3:$L$33,9,0)="","",VLOOKUP(AD$2,行为概览!$D$3:$L$33,9,0)*玩法行为规划!AC141)</f>
        <v/>
      </c>
      <c r="AE141" s="7" t="str">
        <f>IF(VLOOKUP(AE$2,行为概览!$D$3:$L$33,9,0)="","",VLOOKUP(AE$2,行为概览!$D$3:$L$33,9,0)*玩法行为规划!AD141)</f>
        <v/>
      </c>
      <c r="AF141" s="7">
        <f t="shared" si="26"/>
        <v>24.65</v>
      </c>
      <c r="AG141" s="10">
        <f t="shared" si="27"/>
        <v>3426350</v>
      </c>
      <c r="AH141" s="7">
        <f>ROUND(AG141*升级节奏!G141,0)</f>
        <v>94269453</v>
      </c>
      <c r="AI141" s="7">
        <f t="shared" si="28"/>
        <v>1515100</v>
      </c>
      <c r="AJ141" s="21" t="str">
        <f t="shared" si="35"/>
        <v/>
      </c>
      <c r="AK141" s="7">
        <f t="shared" si="29"/>
        <v>1.5817790578403598E-2</v>
      </c>
      <c r="AL141" s="7">
        <f t="shared" si="30"/>
        <v>95784553</v>
      </c>
      <c r="AM141" s="7">
        <f>SUM($AL$3:AL141)</f>
        <v>3259089394</v>
      </c>
      <c r="AN141" s="166">
        <f t="shared" si="31"/>
        <v>3170100</v>
      </c>
      <c r="AO141" s="7">
        <f>SUM($AN$3:AN141)*7</f>
        <v>759523800</v>
      </c>
      <c r="AP141" s="69">
        <f t="shared" si="32"/>
        <v>2485383494</v>
      </c>
      <c r="AQ141" s="160">
        <f t="shared" si="33"/>
        <v>9454700</v>
      </c>
      <c r="AR141" s="160">
        <f t="shared" si="34"/>
        <v>4727400</v>
      </c>
    </row>
    <row r="142" spans="1:44">
      <c r="A142" s="32">
        <v>140</v>
      </c>
      <c r="B142" s="81">
        <f>升级节奏!E142</f>
        <v>140000</v>
      </c>
      <c r="C142" s="7">
        <f>IF(VLOOKUP(C$2,行为概览!$D$3:$L$33,9,0)="","",VLOOKUP(C$2,行为概览!$D$3:$L$33,9,0)*IF(玩法行为规划!B142&gt;0,1,0))</f>
        <v>4</v>
      </c>
      <c r="D142" s="7">
        <f>IF(VLOOKUP(D$2,行为概览!$D$3:$L$33,9,0)="","",VLOOKUP(D$2,行为概览!$D$3:$L$33,9,0)*IF(玩法行为规划!C142&gt;0,1,0))</f>
        <v>1.65</v>
      </c>
      <c r="E142" s="7">
        <f>IF(VLOOKUP(E$2,行为概览!$D$3:$L$33,9,0)="","",VLOOKUP(E$2,行为概览!$D$3:$L$33,9,0)*IF(玩法行为规划!D142&gt;0,1,0))</f>
        <v>0.5</v>
      </c>
      <c r="F142" s="7">
        <f>IF(VLOOKUP(F$2,行为概览!$D$3:$L$33,9,0)="","",VLOOKUP(F$2,行为概览!$D$3:$L$33,9,0)*IF(玩法行为规划!E142&gt;0,1,0))</f>
        <v>1</v>
      </c>
      <c r="G142" s="7" t="str">
        <f>IF(VLOOKUP(G$2,行为概览!$D$3:$L$33,9,0)="","",VLOOKUP(G$2,行为概览!$D$3:$L$33,9,0)*IF(玩法行为规划!F142&gt;0,1,0))</f>
        <v/>
      </c>
      <c r="H142" s="7" t="str">
        <f>IF(VLOOKUP(H$2,行为概览!$D$3:$L$33,9,0)="","",VLOOKUP(H$2,行为概览!$D$3:$L$33,9,0)*IF(玩法行为规划!G142&gt;0,1,0))</f>
        <v/>
      </c>
      <c r="I142" s="7" t="str">
        <f>IF(VLOOKUP(I$2,行为概览!$D$3:$L$33,9,0)="","",VLOOKUP(I$2,行为概览!$D$3:$L$33,9,0)*IF(玩法行为规划!H142&gt;0,1,0))</f>
        <v/>
      </c>
      <c r="J142" s="7" t="str">
        <f>IF(VLOOKUP(J$2,行为概览!$D$3:$L$33,9,0)="","",VLOOKUP(J$2,行为概览!$D$3:$L$33,9,0)*IF(玩法行为规划!I142&gt;0,1,0))</f>
        <v/>
      </c>
      <c r="K142" s="7">
        <f>IF(VLOOKUP(K$2,行为概览!$D$3:$L$33,9,0)="","",VLOOKUP(K$2,行为概览!$D$3:$L$33,9,0)*IF(玩法行为规划!J142&gt;0,1,0))</f>
        <v>1</v>
      </c>
      <c r="L142" s="7">
        <f>IF(VLOOKUP(L$2,行为概览!$D$3:$L$33,9,0)="","",VLOOKUP(L$2,行为概览!$D$3:$L$33,9,0)*IF(玩法行为规划!K142&gt;0,1,0))</f>
        <v>1</v>
      </c>
      <c r="M142" s="7" t="str">
        <f>IF(VLOOKUP(M$2,行为概览!$D$3:$L$33,9,0)="","",VLOOKUP(M$2,行为概览!$D$3:$L$33,9,0)*IF(玩法行为规划!L142&gt;0,1,0))</f>
        <v/>
      </c>
      <c r="N142" s="7" t="str">
        <f>IF(VLOOKUP(N$2,行为概览!$D$3:$L$33,9,0)="","",VLOOKUP(N$2,行为概览!$D$3:$L$33,9,0)*IF(玩法行为规划!M142&gt;0,1,0))</f>
        <v/>
      </c>
      <c r="O142" s="7" t="str">
        <f>IF(VLOOKUP(O$2,行为概览!$D$3:$L$33,9,0)="","",VLOOKUP(O$2,行为概览!$D$3:$L$33,9,0)*IF(玩法行为规划!N142&gt;0,1,0))</f>
        <v/>
      </c>
      <c r="P142" s="7">
        <f>IF(VLOOKUP(P$2,行为概览!$D$3:$L$33,9,0)="","",VLOOKUP(P$2,行为概览!$D$3:$L$33,9,0)*IF(玩法行为规划!O142&gt;0,1,0))</f>
        <v>0.5</v>
      </c>
      <c r="Q142" s="7">
        <f>IF(VLOOKUP(Q$2,行为概览!$D$3:$L$33,9,0)="","",VLOOKUP(Q$2,行为概览!$D$3:$L$33,9,0)*IF(玩法行为规划!P142&gt;0,1,0))</f>
        <v>5</v>
      </c>
      <c r="R142" s="7" t="str">
        <f>IF(VLOOKUP(R$2,行为概览!$D$3:$L$33,9,0)="","",VLOOKUP(R$2,行为概览!$D$3:$L$33,9,0)*IF(玩法行为规划!Q142&gt;0,1,0))</f>
        <v/>
      </c>
      <c r="S142" s="7">
        <f>IF(VLOOKUP(S$2,行为概览!$D$3:$L$33,9,0)="","",VLOOKUP(S$2,行为概览!$D$3:$L$33,9,0)*IF(玩法行为规划!R142&gt;0,1,0))</f>
        <v>1</v>
      </c>
      <c r="T142" s="7">
        <f>IF(VLOOKUP(T$2,行为概览!$D$3:$L$33,9,0)="","",VLOOKUP(T$2,行为概览!$D$3:$L$33,9,0)*IF(玩法行为规划!S142&gt;0,1,0))</f>
        <v>0</v>
      </c>
      <c r="U142" s="7">
        <f>IF(VLOOKUP(U$2,行为概览!$D$3:$L$33,9,0)="","",VLOOKUP(U$2,行为概览!$D$3:$L$33,9,0)*IF(玩法行为规划!T142&gt;0,1,0))</f>
        <v>1</v>
      </c>
      <c r="V142" s="7">
        <f>IF(VLOOKUP(V$2,行为概览!$D$3:$L$33,9,0)="","",VLOOKUP(V$2,行为概览!$D$3:$L$33,9,0)*IF(玩法行为规划!U142&gt;0,1,0))</f>
        <v>1.5</v>
      </c>
      <c r="W142" s="7">
        <f>IF(VLOOKUP(W$2,行为概览!$D$3:$L$33,9,0)="","",VLOOKUP(W$2,行为概览!$D$3:$L$33,9,0)*IF(玩法行为规划!V142&gt;0,1,0))</f>
        <v>1</v>
      </c>
      <c r="X142" s="7">
        <f>IF(VLOOKUP(X$2,行为概览!$D$3:$L$33,9,0)="","",VLOOKUP(X$2,行为概览!$D$3:$L$33,9,0)*IF(玩法行为规划!W142&gt;0,1,0))</f>
        <v>1</v>
      </c>
      <c r="Y142" s="7">
        <f>IF(VLOOKUP(Y$2,行为概览!$D$3:$L$33,9,0)="","",VLOOKUP(Y$2,行为概览!$D$3:$L$33,9,0)*IF(玩法行为规划!X142&gt;0,1,0))</f>
        <v>1</v>
      </c>
      <c r="Z142" s="7">
        <f>IF(VLOOKUP(Z$2,行为概览!$D$3:$L$33,9,0)="","",VLOOKUP(Z$2,行为概览!$D$3:$L$33,9,0)*IF(玩法行为规划!Y142&gt;0,1,0))</f>
        <v>3</v>
      </c>
      <c r="AA142" s="7">
        <f>IF(VLOOKUP(AA$2,行为概览!$D$3:$L$33,9,0)="","",VLOOKUP(AA$2,行为概览!$D$3:$L$33,9,0)*IF(玩法行为规划!Z142&gt;0,1,0))</f>
        <v>0.5</v>
      </c>
      <c r="AB142" s="7" t="str">
        <f>IF(VLOOKUP(AB$2,行为概览!$D$3:$L$33,9,0)="","",VLOOKUP(AB$2,行为概览!$D$3:$L$33,9,0)*IF(玩法行为规划!AA142&gt;0,1,0))</f>
        <v/>
      </c>
      <c r="AC142" s="7" t="str">
        <f>IF(VLOOKUP(AC$2,行为概览!$D$3:$L$33,9,0)="","",VLOOKUP(AC$2,行为概览!$D$3:$L$33,9,0)*IF(玩法行为规划!AB142&gt;0,1,0))</f>
        <v/>
      </c>
      <c r="AD142" s="7" t="str">
        <f>IF(VLOOKUP(AD$2,行为概览!$D$3:$L$33,9,0)="","",VLOOKUP(AD$2,行为概览!$D$3:$L$33,9,0)*玩法行为规划!AC142)</f>
        <v/>
      </c>
      <c r="AE142" s="7" t="str">
        <f>IF(VLOOKUP(AE$2,行为概览!$D$3:$L$33,9,0)="","",VLOOKUP(AE$2,行为概览!$D$3:$L$33,9,0)*玩法行为规划!AD142)</f>
        <v/>
      </c>
      <c r="AF142" s="7">
        <f t="shared" si="26"/>
        <v>24.65</v>
      </c>
      <c r="AG142" s="10">
        <f t="shared" si="27"/>
        <v>3451000</v>
      </c>
      <c r="AH142" s="7">
        <f>ROUND(AG142*升级节奏!G142,0)</f>
        <v>96311658</v>
      </c>
      <c r="AI142" s="7">
        <f t="shared" si="28"/>
        <v>1540000</v>
      </c>
      <c r="AJ142" s="21">
        <f t="shared" si="35"/>
        <v>16553500</v>
      </c>
      <c r="AK142" s="7">
        <f t="shared" si="29"/>
        <v>1.5738108392603832E-2</v>
      </c>
      <c r="AL142" s="7">
        <f t="shared" si="30"/>
        <v>97851658</v>
      </c>
      <c r="AM142" s="7">
        <f>SUM($AL$3:AL142)</f>
        <v>3356941052</v>
      </c>
      <c r="AN142" s="166">
        <f t="shared" si="31"/>
        <v>3238400</v>
      </c>
      <c r="AO142" s="7">
        <f>SUM($AN$3:AN142)*7</f>
        <v>782192600</v>
      </c>
      <c r="AP142" s="69">
        <f t="shared" si="32"/>
        <v>2560259652</v>
      </c>
      <c r="AQ142" s="160">
        <f t="shared" si="33"/>
        <v>9659200</v>
      </c>
      <c r="AR142" s="160">
        <f t="shared" si="34"/>
        <v>4829600</v>
      </c>
    </row>
    <row r="143" spans="1:44">
      <c r="A143" s="32">
        <v>141</v>
      </c>
      <c r="B143" s="81">
        <f>升级节奏!E143</f>
        <v>141000</v>
      </c>
      <c r="C143" s="7">
        <f>IF(VLOOKUP(C$2,行为概览!$D$3:$L$33,9,0)="","",VLOOKUP(C$2,行为概览!$D$3:$L$33,9,0)*IF(玩法行为规划!B143&gt;0,1,0))</f>
        <v>4</v>
      </c>
      <c r="D143" s="7">
        <f>IF(VLOOKUP(D$2,行为概览!$D$3:$L$33,9,0)="","",VLOOKUP(D$2,行为概览!$D$3:$L$33,9,0)*IF(玩法行为规划!C143&gt;0,1,0))</f>
        <v>1.65</v>
      </c>
      <c r="E143" s="7">
        <f>IF(VLOOKUP(E$2,行为概览!$D$3:$L$33,9,0)="","",VLOOKUP(E$2,行为概览!$D$3:$L$33,9,0)*IF(玩法行为规划!D143&gt;0,1,0))</f>
        <v>0.5</v>
      </c>
      <c r="F143" s="7">
        <f>IF(VLOOKUP(F$2,行为概览!$D$3:$L$33,9,0)="","",VLOOKUP(F$2,行为概览!$D$3:$L$33,9,0)*IF(玩法行为规划!E143&gt;0,1,0))</f>
        <v>1</v>
      </c>
      <c r="G143" s="7" t="str">
        <f>IF(VLOOKUP(G$2,行为概览!$D$3:$L$33,9,0)="","",VLOOKUP(G$2,行为概览!$D$3:$L$33,9,0)*IF(玩法行为规划!F143&gt;0,1,0))</f>
        <v/>
      </c>
      <c r="H143" s="7" t="str">
        <f>IF(VLOOKUP(H$2,行为概览!$D$3:$L$33,9,0)="","",VLOOKUP(H$2,行为概览!$D$3:$L$33,9,0)*IF(玩法行为规划!G143&gt;0,1,0))</f>
        <v/>
      </c>
      <c r="I143" s="7" t="str">
        <f>IF(VLOOKUP(I$2,行为概览!$D$3:$L$33,9,0)="","",VLOOKUP(I$2,行为概览!$D$3:$L$33,9,0)*IF(玩法行为规划!H143&gt;0,1,0))</f>
        <v/>
      </c>
      <c r="J143" s="7" t="str">
        <f>IF(VLOOKUP(J$2,行为概览!$D$3:$L$33,9,0)="","",VLOOKUP(J$2,行为概览!$D$3:$L$33,9,0)*IF(玩法行为规划!I143&gt;0,1,0))</f>
        <v/>
      </c>
      <c r="K143" s="7">
        <f>IF(VLOOKUP(K$2,行为概览!$D$3:$L$33,9,0)="","",VLOOKUP(K$2,行为概览!$D$3:$L$33,9,0)*IF(玩法行为规划!J143&gt;0,1,0))</f>
        <v>1</v>
      </c>
      <c r="L143" s="7">
        <f>IF(VLOOKUP(L$2,行为概览!$D$3:$L$33,9,0)="","",VLOOKUP(L$2,行为概览!$D$3:$L$33,9,0)*IF(玩法行为规划!K143&gt;0,1,0))</f>
        <v>1</v>
      </c>
      <c r="M143" s="7" t="str">
        <f>IF(VLOOKUP(M$2,行为概览!$D$3:$L$33,9,0)="","",VLOOKUP(M$2,行为概览!$D$3:$L$33,9,0)*IF(玩法行为规划!L143&gt;0,1,0))</f>
        <v/>
      </c>
      <c r="N143" s="7" t="str">
        <f>IF(VLOOKUP(N$2,行为概览!$D$3:$L$33,9,0)="","",VLOOKUP(N$2,行为概览!$D$3:$L$33,9,0)*IF(玩法行为规划!M143&gt;0,1,0))</f>
        <v/>
      </c>
      <c r="O143" s="7" t="str">
        <f>IF(VLOOKUP(O$2,行为概览!$D$3:$L$33,9,0)="","",VLOOKUP(O$2,行为概览!$D$3:$L$33,9,0)*IF(玩法行为规划!N143&gt;0,1,0))</f>
        <v/>
      </c>
      <c r="P143" s="7">
        <f>IF(VLOOKUP(P$2,行为概览!$D$3:$L$33,9,0)="","",VLOOKUP(P$2,行为概览!$D$3:$L$33,9,0)*IF(玩法行为规划!O143&gt;0,1,0))</f>
        <v>0.5</v>
      </c>
      <c r="Q143" s="7">
        <f>IF(VLOOKUP(Q$2,行为概览!$D$3:$L$33,9,0)="","",VLOOKUP(Q$2,行为概览!$D$3:$L$33,9,0)*IF(玩法行为规划!P143&gt;0,1,0))</f>
        <v>5</v>
      </c>
      <c r="R143" s="7" t="str">
        <f>IF(VLOOKUP(R$2,行为概览!$D$3:$L$33,9,0)="","",VLOOKUP(R$2,行为概览!$D$3:$L$33,9,0)*IF(玩法行为规划!Q143&gt;0,1,0))</f>
        <v/>
      </c>
      <c r="S143" s="7">
        <f>IF(VLOOKUP(S$2,行为概览!$D$3:$L$33,9,0)="","",VLOOKUP(S$2,行为概览!$D$3:$L$33,9,0)*IF(玩法行为规划!R143&gt;0,1,0))</f>
        <v>1</v>
      </c>
      <c r="T143" s="7">
        <f>IF(VLOOKUP(T$2,行为概览!$D$3:$L$33,9,0)="","",VLOOKUP(T$2,行为概览!$D$3:$L$33,9,0)*IF(玩法行为规划!S143&gt;0,1,0))</f>
        <v>0</v>
      </c>
      <c r="U143" s="7">
        <f>IF(VLOOKUP(U$2,行为概览!$D$3:$L$33,9,0)="","",VLOOKUP(U$2,行为概览!$D$3:$L$33,9,0)*IF(玩法行为规划!T143&gt;0,1,0))</f>
        <v>1</v>
      </c>
      <c r="V143" s="7">
        <f>IF(VLOOKUP(V$2,行为概览!$D$3:$L$33,9,0)="","",VLOOKUP(V$2,行为概览!$D$3:$L$33,9,0)*IF(玩法行为规划!U143&gt;0,1,0))</f>
        <v>1.5</v>
      </c>
      <c r="W143" s="7">
        <f>IF(VLOOKUP(W$2,行为概览!$D$3:$L$33,9,0)="","",VLOOKUP(W$2,行为概览!$D$3:$L$33,9,0)*IF(玩法行为规划!V143&gt;0,1,0))</f>
        <v>1</v>
      </c>
      <c r="X143" s="7">
        <f>IF(VLOOKUP(X$2,行为概览!$D$3:$L$33,9,0)="","",VLOOKUP(X$2,行为概览!$D$3:$L$33,9,0)*IF(玩法行为规划!W143&gt;0,1,0))</f>
        <v>1</v>
      </c>
      <c r="Y143" s="7">
        <f>IF(VLOOKUP(Y$2,行为概览!$D$3:$L$33,9,0)="","",VLOOKUP(Y$2,行为概览!$D$3:$L$33,9,0)*IF(玩法行为规划!X143&gt;0,1,0))</f>
        <v>1</v>
      </c>
      <c r="Z143" s="7">
        <f>IF(VLOOKUP(Z$2,行为概览!$D$3:$L$33,9,0)="","",VLOOKUP(Z$2,行为概览!$D$3:$L$33,9,0)*IF(玩法行为规划!Y143&gt;0,1,0))</f>
        <v>3</v>
      </c>
      <c r="AA143" s="7">
        <f>IF(VLOOKUP(AA$2,行为概览!$D$3:$L$33,9,0)="","",VLOOKUP(AA$2,行为概览!$D$3:$L$33,9,0)*IF(玩法行为规划!Z143&gt;0,1,0))</f>
        <v>0.5</v>
      </c>
      <c r="AB143" s="7" t="str">
        <f>IF(VLOOKUP(AB$2,行为概览!$D$3:$L$33,9,0)="","",VLOOKUP(AB$2,行为概览!$D$3:$L$33,9,0)*IF(玩法行为规划!AA143&gt;0,1,0))</f>
        <v/>
      </c>
      <c r="AC143" s="7" t="str">
        <f>IF(VLOOKUP(AC$2,行为概览!$D$3:$L$33,9,0)="","",VLOOKUP(AC$2,行为概览!$D$3:$L$33,9,0)*IF(玩法行为规划!AB143&gt;0,1,0))</f>
        <v/>
      </c>
      <c r="AD143" s="7" t="str">
        <f>IF(VLOOKUP(AD$2,行为概览!$D$3:$L$33,9,0)="","",VLOOKUP(AD$2,行为概览!$D$3:$L$33,9,0)*玩法行为规划!AC143)</f>
        <v/>
      </c>
      <c r="AE143" s="7" t="str">
        <f>IF(VLOOKUP(AE$2,行为概览!$D$3:$L$33,9,0)="","",VLOOKUP(AE$2,行为概览!$D$3:$L$33,9,0)*玩法行为规划!AD143)</f>
        <v/>
      </c>
      <c r="AF143" s="7">
        <f t="shared" si="26"/>
        <v>24.65</v>
      </c>
      <c r="AG143" s="10">
        <f t="shared" si="27"/>
        <v>3475650</v>
      </c>
      <c r="AH143" s="7">
        <f>ROUND(AG143*升级节奏!G143,0)</f>
        <v>98383197</v>
      </c>
      <c r="AI143" s="7">
        <f t="shared" si="28"/>
        <v>1565100</v>
      </c>
      <c r="AJ143" s="21" t="str">
        <f t="shared" si="35"/>
        <v/>
      </c>
      <c r="AK143" s="7">
        <f t="shared" si="29"/>
        <v>1.565909622251993E-2</v>
      </c>
      <c r="AL143" s="7">
        <f t="shared" si="30"/>
        <v>99948297</v>
      </c>
      <c r="AM143" s="7">
        <f>SUM($AL$3:AL143)</f>
        <v>3456889349</v>
      </c>
      <c r="AN143" s="166">
        <f t="shared" si="31"/>
        <v>3307600</v>
      </c>
      <c r="AO143" s="7">
        <f>SUM($AN$3:AN143)*7</f>
        <v>805345800</v>
      </c>
      <c r="AP143" s="69">
        <f t="shared" si="32"/>
        <v>2636743749</v>
      </c>
      <c r="AQ143" s="160">
        <f t="shared" si="33"/>
        <v>9866500</v>
      </c>
      <c r="AR143" s="160">
        <f t="shared" si="34"/>
        <v>4933300</v>
      </c>
    </row>
    <row r="144" spans="1:44">
      <c r="A144" s="32">
        <v>142</v>
      </c>
      <c r="B144" s="81">
        <f>升级节奏!E144</f>
        <v>142000</v>
      </c>
      <c r="C144" s="7">
        <f>IF(VLOOKUP(C$2,行为概览!$D$3:$L$33,9,0)="","",VLOOKUP(C$2,行为概览!$D$3:$L$33,9,0)*IF(玩法行为规划!B144&gt;0,1,0))</f>
        <v>4</v>
      </c>
      <c r="D144" s="7">
        <f>IF(VLOOKUP(D$2,行为概览!$D$3:$L$33,9,0)="","",VLOOKUP(D$2,行为概览!$D$3:$L$33,9,0)*IF(玩法行为规划!C144&gt;0,1,0))</f>
        <v>1.65</v>
      </c>
      <c r="E144" s="7">
        <f>IF(VLOOKUP(E$2,行为概览!$D$3:$L$33,9,0)="","",VLOOKUP(E$2,行为概览!$D$3:$L$33,9,0)*IF(玩法行为规划!D144&gt;0,1,0))</f>
        <v>0.5</v>
      </c>
      <c r="F144" s="7">
        <f>IF(VLOOKUP(F$2,行为概览!$D$3:$L$33,9,0)="","",VLOOKUP(F$2,行为概览!$D$3:$L$33,9,0)*IF(玩法行为规划!E144&gt;0,1,0))</f>
        <v>1</v>
      </c>
      <c r="G144" s="7" t="str">
        <f>IF(VLOOKUP(G$2,行为概览!$D$3:$L$33,9,0)="","",VLOOKUP(G$2,行为概览!$D$3:$L$33,9,0)*IF(玩法行为规划!F144&gt;0,1,0))</f>
        <v/>
      </c>
      <c r="H144" s="7" t="str">
        <f>IF(VLOOKUP(H$2,行为概览!$D$3:$L$33,9,0)="","",VLOOKUP(H$2,行为概览!$D$3:$L$33,9,0)*IF(玩法行为规划!G144&gt;0,1,0))</f>
        <v/>
      </c>
      <c r="I144" s="7" t="str">
        <f>IF(VLOOKUP(I$2,行为概览!$D$3:$L$33,9,0)="","",VLOOKUP(I$2,行为概览!$D$3:$L$33,9,0)*IF(玩法行为规划!H144&gt;0,1,0))</f>
        <v/>
      </c>
      <c r="J144" s="7" t="str">
        <f>IF(VLOOKUP(J$2,行为概览!$D$3:$L$33,9,0)="","",VLOOKUP(J$2,行为概览!$D$3:$L$33,9,0)*IF(玩法行为规划!I144&gt;0,1,0))</f>
        <v/>
      </c>
      <c r="K144" s="7">
        <f>IF(VLOOKUP(K$2,行为概览!$D$3:$L$33,9,0)="","",VLOOKUP(K$2,行为概览!$D$3:$L$33,9,0)*IF(玩法行为规划!J144&gt;0,1,0))</f>
        <v>1</v>
      </c>
      <c r="L144" s="7">
        <f>IF(VLOOKUP(L$2,行为概览!$D$3:$L$33,9,0)="","",VLOOKUP(L$2,行为概览!$D$3:$L$33,9,0)*IF(玩法行为规划!K144&gt;0,1,0))</f>
        <v>1</v>
      </c>
      <c r="M144" s="7" t="str">
        <f>IF(VLOOKUP(M$2,行为概览!$D$3:$L$33,9,0)="","",VLOOKUP(M$2,行为概览!$D$3:$L$33,9,0)*IF(玩法行为规划!L144&gt;0,1,0))</f>
        <v/>
      </c>
      <c r="N144" s="7" t="str">
        <f>IF(VLOOKUP(N$2,行为概览!$D$3:$L$33,9,0)="","",VLOOKUP(N$2,行为概览!$D$3:$L$33,9,0)*IF(玩法行为规划!M144&gt;0,1,0))</f>
        <v/>
      </c>
      <c r="O144" s="7" t="str">
        <f>IF(VLOOKUP(O$2,行为概览!$D$3:$L$33,9,0)="","",VLOOKUP(O$2,行为概览!$D$3:$L$33,9,0)*IF(玩法行为规划!N144&gt;0,1,0))</f>
        <v/>
      </c>
      <c r="P144" s="7">
        <f>IF(VLOOKUP(P$2,行为概览!$D$3:$L$33,9,0)="","",VLOOKUP(P$2,行为概览!$D$3:$L$33,9,0)*IF(玩法行为规划!O144&gt;0,1,0))</f>
        <v>0.5</v>
      </c>
      <c r="Q144" s="7">
        <f>IF(VLOOKUP(Q$2,行为概览!$D$3:$L$33,9,0)="","",VLOOKUP(Q$2,行为概览!$D$3:$L$33,9,0)*IF(玩法行为规划!P144&gt;0,1,0))</f>
        <v>5</v>
      </c>
      <c r="R144" s="7" t="str">
        <f>IF(VLOOKUP(R$2,行为概览!$D$3:$L$33,9,0)="","",VLOOKUP(R$2,行为概览!$D$3:$L$33,9,0)*IF(玩法行为规划!Q144&gt;0,1,0))</f>
        <v/>
      </c>
      <c r="S144" s="7">
        <f>IF(VLOOKUP(S$2,行为概览!$D$3:$L$33,9,0)="","",VLOOKUP(S$2,行为概览!$D$3:$L$33,9,0)*IF(玩法行为规划!R144&gt;0,1,0))</f>
        <v>1</v>
      </c>
      <c r="T144" s="7">
        <f>IF(VLOOKUP(T$2,行为概览!$D$3:$L$33,9,0)="","",VLOOKUP(T$2,行为概览!$D$3:$L$33,9,0)*IF(玩法行为规划!S144&gt;0,1,0))</f>
        <v>0</v>
      </c>
      <c r="U144" s="7">
        <f>IF(VLOOKUP(U$2,行为概览!$D$3:$L$33,9,0)="","",VLOOKUP(U$2,行为概览!$D$3:$L$33,9,0)*IF(玩法行为规划!T144&gt;0,1,0))</f>
        <v>1</v>
      </c>
      <c r="V144" s="7">
        <f>IF(VLOOKUP(V$2,行为概览!$D$3:$L$33,9,0)="","",VLOOKUP(V$2,行为概览!$D$3:$L$33,9,0)*IF(玩法行为规划!U144&gt;0,1,0))</f>
        <v>1.5</v>
      </c>
      <c r="W144" s="7">
        <f>IF(VLOOKUP(W$2,行为概览!$D$3:$L$33,9,0)="","",VLOOKUP(W$2,行为概览!$D$3:$L$33,9,0)*IF(玩法行为规划!V144&gt;0,1,0))</f>
        <v>1</v>
      </c>
      <c r="X144" s="7">
        <f>IF(VLOOKUP(X$2,行为概览!$D$3:$L$33,9,0)="","",VLOOKUP(X$2,行为概览!$D$3:$L$33,9,0)*IF(玩法行为规划!W144&gt;0,1,0))</f>
        <v>1</v>
      </c>
      <c r="Y144" s="7">
        <f>IF(VLOOKUP(Y$2,行为概览!$D$3:$L$33,9,0)="","",VLOOKUP(Y$2,行为概览!$D$3:$L$33,9,0)*IF(玩法行为规划!X144&gt;0,1,0))</f>
        <v>1</v>
      </c>
      <c r="Z144" s="7">
        <f>IF(VLOOKUP(Z$2,行为概览!$D$3:$L$33,9,0)="","",VLOOKUP(Z$2,行为概览!$D$3:$L$33,9,0)*IF(玩法行为规划!Y144&gt;0,1,0))</f>
        <v>3</v>
      </c>
      <c r="AA144" s="7">
        <f>IF(VLOOKUP(AA$2,行为概览!$D$3:$L$33,9,0)="","",VLOOKUP(AA$2,行为概览!$D$3:$L$33,9,0)*IF(玩法行为规划!Z144&gt;0,1,0))</f>
        <v>0.5</v>
      </c>
      <c r="AB144" s="7" t="str">
        <f>IF(VLOOKUP(AB$2,行为概览!$D$3:$L$33,9,0)="","",VLOOKUP(AB$2,行为概览!$D$3:$L$33,9,0)*IF(玩法行为规划!AA144&gt;0,1,0))</f>
        <v/>
      </c>
      <c r="AC144" s="7" t="str">
        <f>IF(VLOOKUP(AC$2,行为概览!$D$3:$L$33,9,0)="","",VLOOKUP(AC$2,行为概览!$D$3:$L$33,9,0)*IF(玩法行为规划!AB144&gt;0,1,0))</f>
        <v/>
      </c>
      <c r="AD144" s="7" t="str">
        <f>IF(VLOOKUP(AD$2,行为概览!$D$3:$L$33,9,0)="","",VLOOKUP(AD$2,行为概览!$D$3:$L$33,9,0)*玩法行为规划!AC144)</f>
        <v/>
      </c>
      <c r="AE144" s="7" t="str">
        <f>IF(VLOOKUP(AE$2,行为概览!$D$3:$L$33,9,0)="","",VLOOKUP(AE$2,行为概览!$D$3:$L$33,9,0)*玩法行为规划!AD144)</f>
        <v/>
      </c>
      <c r="AF144" s="7">
        <f t="shared" si="26"/>
        <v>24.65</v>
      </c>
      <c r="AG144" s="10">
        <f t="shared" si="27"/>
        <v>3500300</v>
      </c>
      <c r="AH144" s="7">
        <f>ROUND(AG144*升级节奏!G144,0)</f>
        <v>100484279</v>
      </c>
      <c r="AI144" s="7">
        <f t="shared" si="28"/>
        <v>1590400</v>
      </c>
      <c r="AJ144" s="21" t="str">
        <f t="shared" si="35"/>
        <v/>
      </c>
      <c r="AK144" s="7">
        <f t="shared" si="29"/>
        <v>1.5580749462851606E-2</v>
      </c>
      <c r="AL144" s="7">
        <f t="shared" si="30"/>
        <v>102074679</v>
      </c>
      <c r="AM144" s="7">
        <f>SUM($AL$3:AL144)</f>
        <v>3558964028</v>
      </c>
      <c r="AN144" s="166">
        <f t="shared" si="31"/>
        <v>3377900</v>
      </c>
      <c r="AO144" s="7">
        <f>SUM($AN$3:AN144)*7</f>
        <v>828991100</v>
      </c>
      <c r="AP144" s="69">
        <f t="shared" si="32"/>
        <v>2714857728</v>
      </c>
      <c r="AQ144" s="160">
        <f t="shared" si="33"/>
        <v>10076800</v>
      </c>
      <c r="AR144" s="160">
        <f t="shared" si="34"/>
        <v>5038400</v>
      </c>
    </row>
    <row r="145" spans="1:44">
      <c r="A145" s="32">
        <v>143</v>
      </c>
      <c r="B145" s="81">
        <f>升级节奏!E145</f>
        <v>143000</v>
      </c>
      <c r="C145" s="7">
        <f>IF(VLOOKUP(C$2,行为概览!$D$3:$L$33,9,0)="","",VLOOKUP(C$2,行为概览!$D$3:$L$33,9,0)*IF(玩法行为规划!B145&gt;0,1,0))</f>
        <v>4</v>
      </c>
      <c r="D145" s="7">
        <f>IF(VLOOKUP(D$2,行为概览!$D$3:$L$33,9,0)="","",VLOOKUP(D$2,行为概览!$D$3:$L$33,9,0)*IF(玩法行为规划!C145&gt;0,1,0))</f>
        <v>1.65</v>
      </c>
      <c r="E145" s="7">
        <f>IF(VLOOKUP(E$2,行为概览!$D$3:$L$33,9,0)="","",VLOOKUP(E$2,行为概览!$D$3:$L$33,9,0)*IF(玩法行为规划!D145&gt;0,1,0))</f>
        <v>0.5</v>
      </c>
      <c r="F145" s="7">
        <f>IF(VLOOKUP(F$2,行为概览!$D$3:$L$33,9,0)="","",VLOOKUP(F$2,行为概览!$D$3:$L$33,9,0)*IF(玩法行为规划!E145&gt;0,1,0))</f>
        <v>1</v>
      </c>
      <c r="G145" s="7" t="str">
        <f>IF(VLOOKUP(G$2,行为概览!$D$3:$L$33,9,0)="","",VLOOKUP(G$2,行为概览!$D$3:$L$33,9,0)*IF(玩法行为规划!F145&gt;0,1,0))</f>
        <v/>
      </c>
      <c r="H145" s="7" t="str">
        <f>IF(VLOOKUP(H$2,行为概览!$D$3:$L$33,9,0)="","",VLOOKUP(H$2,行为概览!$D$3:$L$33,9,0)*IF(玩法行为规划!G145&gt;0,1,0))</f>
        <v/>
      </c>
      <c r="I145" s="7" t="str">
        <f>IF(VLOOKUP(I$2,行为概览!$D$3:$L$33,9,0)="","",VLOOKUP(I$2,行为概览!$D$3:$L$33,9,0)*IF(玩法行为规划!H145&gt;0,1,0))</f>
        <v/>
      </c>
      <c r="J145" s="7" t="str">
        <f>IF(VLOOKUP(J$2,行为概览!$D$3:$L$33,9,0)="","",VLOOKUP(J$2,行为概览!$D$3:$L$33,9,0)*IF(玩法行为规划!I145&gt;0,1,0))</f>
        <v/>
      </c>
      <c r="K145" s="7">
        <f>IF(VLOOKUP(K$2,行为概览!$D$3:$L$33,9,0)="","",VLOOKUP(K$2,行为概览!$D$3:$L$33,9,0)*IF(玩法行为规划!J145&gt;0,1,0))</f>
        <v>1</v>
      </c>
      <c r="L145" s="7">
        <f>IF(VLOOKUP(L$2,行为概览!$D$3:$L$33,9,0)="","",VLOOKUP(L$2,行为概览!$D$3:$L$33,9,0)*IF(玩法行为规划!K145&gt;0,1,0))</f>
        <v>1</v>
      </c>
      <c r="M145" s="7" t="str">
        <f>IF(VLOOKUP(M$2,行为概览!$D$3:$L$33,9,0)="","",VLOOKUP(M$2,行为概览!$D$3:$L$33,9,0)*IF(玩法行为规划!L145&gt;0,1,0))</f>
        <v/>
      </c>
      <c r="N145" s="7" t="str">
        <f>IF(VLOOKUP(N$2,行为概览!$D$3:$L$33,9,0)="","",VLOOKUP(N$2,行为概览!$D$3:$L$33,9,0)*IF(玩法行为规划!M145&gt;0,1,0))</f>
        <v/>
      </c>
      <c r="O145" s="7" t="str">
        <f>IF(VLOOKUP(O$2,行为概览!$D$3:$L$33,9,0)="","",VLOOKUP(O$2,行为概览!$D$3:$L$33,9,0)*IF(玩法行为规划!N145&gt;0,1,0))</f>
        <v/>
      </c>
      <c r="P145" s="7">
        <f>IF(VLOOKUP(P$2,行为概览!$D$3:$L$33,9,0)="","",VLOOKUP(P$2,行为概览!$D$3:$L$33,9,0)*IF(玩法行为规划!O145&gt;0,1,0))</f>
        <v>0.5</v>
      </c>
      <c r="Q145" s="7">
        <f>IF(VLOOKUP(Q$2,行为概览!$D$3:$L$33,9,0)="","",VLOOKUP(Q$2,行为概览!$D$3:$L$33,9,0)*IF(玩法行为规划!P145&gt;0,1,0))</f>
        <v>5</v>
      </c>
      <c r="R145" s="7" t="str">
        <f>IF(VLOOKUP(R$2,行为概览!$D$3:$L$33,9,0)="","",VLOOKUP(R$2,行为概览!$D$3:$L$33,9,0)*IF(玩法行为规划!Q145&gt;0,1,0))</f>
        <v/>
      </c>
      <c r="S145" s="7">
        <f>IF(VLOOKUP(S$2,行为概览!$D$3:$L$33,9,0)="","",VLOOKUP(S$2,行为概览!$D$3:$L$33,9,0)*IF(玩法行为规划!R145&gt;0,1,0))</f>
        <v>1</v>
      </c>
      <c r="T145" s="7">
        <f>IF(VLOOKUP(T$2,行为概览!$D$3:$L$33,9,0)="","",VLOOKUP(T$2,行为概览!$D$3:$L$33,9,0)*IF(玩法行为规划!S145&gt;0,1,0))</f>
        <v>0</v>
      </c>
      <c r="U145" s="7">
        <f>IF(VLOOKUP(U$2,行为概览!$D$3:$L$33,9,0)="","",VLOOKUP(U$2,行为概览!$D$3:$L$33,9,0)*IF(玩法行为规划!T145&gt;0,1,0))</f>
        <v>1</v>
      </c>
      <c r="V145" s="7">
        <f>IF(VLOOKUP(V$2,行为概览!$D$3:$L$33,9,0)="","",VLOOKUP(V$2,行为概览!$D$3:$L$33,9,0)*IF(玩法行为规划!U145&gt;0,1,0))</f>
        <v>1.5</v>
      </c>
      <c r="W145" s="7">
        <f>IF(VLOOKUP(W$2,行为概览!$D$3:$L$33,9,0)="","",VLOOKUP(W$2,行为概览!$D$3:$L$33,9,0)*IF(玩法行为规划!V145&gt;0,1,0))</f>
        <v>1</v>
      </c>
      <c r="X145" s="7">
        <f>IF(VLOOKUP(X$2,行为概览!$D$3:$L$33,9,0)="","",VLOOKUP(X$2,行为概览!$D$3:$L$33,9,0)*IF(玩法行为规划!W145&gt;0,1,0))</f>
        <v>1</v>
      </c>
      <c r="Y145" s="7">
        <f>IF(VLOOKUP(Y$2,行为概览!$D$3:$L$33,9,0)="","",VLOOKUP(Y$2,行为概览!$D$3:$L$33,9,0)*IF(玩法行为规划!X145&gt;0,1,0))</f>
        <v>1</v>
      </c>
      <c r="Z145" s="7">
        <f>IF(VLOOKUP(Z$2,行为概览!$D$3:$L$33,9,0)="","",VLOOKUP(Z$2,行为概览!$D$3:$L$33,9,0)*IF(玩法行为规划!Y145&gt;0,1,0))</f>
        <v>3</v>
      </c>
      <c r="AA145" s="7">
        <f>IF(VLOOKUP(AA$2,行为概览!$D$3:$L$33,9,0)="","",VLOOKUP(AA$2,行为概览!$D$3:$L$33,9,0)*IF(玩法行为规划!Z145&gt;0,1,0))</f>
        <v>0.5</v>
      </c>
      <c r="AB145" s="7" t="str">
        <f>IF(VLOOKUP(AB$2,行为概览!$D$3:$L$33,9,0)="","",VLOOKUP(AB$2,行为概览!$D$3:$L$33,9,0)*IF(玩法行为规划!AA145&gt;0,1,0))</f>
        <v/>
      </c>
      <c r="AC145" s="7" t="str">
        <f>IF(VLOOKUP(AC$2,行为概览!$D$3:$L$33,9,0)="","",VLOOKUP(AC$2,行为概览!$D$3:$L$33,9,0)*IF(玩法行为规划!AB145&gt;0,1,0))</f>
        <v/>
      </c>
      <c r="AD145" s="7" t="str">
        <f>IF(VLOOKUP(AD$2,行为概览!$D$3:$L$33,9,0)="","",VLOOKUP(AD$2,行为概览!$D$3:$L$33,9,0)*玩法行为规划!AC145)</f>
        <v/>
      </c>
      <c r="AE145" s="7" t="str">
        <f>IF(VLOOKUP(AE$2,行为概览!$D$3:$L$33,9,0)="","",VLOOKUP(AE$2,行为概览!$D$3:$L$33,9,0)*玩法行为规划!AD145)</f>
        <v/>
      </c>
      <c r="AF145" s="7">
        <f t="shared" si="26"/>
        <v>24.65</v>
      </c>
      <c r="AG145" s="10">
        <f t="shared" si="27"/>
        <v>3524950</v>
      </c>
      <c r="AH145" s="7">
        <f>ROUND(AG145*升级节奏!G145,0)</f>
        <v>102615113</v>
      </c>
      <c r="AI145" s="7">
        <f t="shared" si="28"/>
        <v>1615900</v>
      </c>
      <c r="AJ145" s="21" t="str">
        <f t="shared" si="35"/>
        <v/>
      </c>
      <c r="AK145" s="7">
        <f t="shared" si="29"/>
        <v>1.5503063373278354E-2</v>
      </c>
      <c r="AL145" s="7">
        <f t="shared" si="30"/>
        <v>104231013</v>
      </c>
      <c r="AM145" s="7">
        <f>SUM($AL$3:AL145)</f>
        <v>3663195041</v>
      </c>
      <c r="AN145" s="166">
        <f t="shared" si="31"/>
        <v>3449100</v>
      </c>
      <c r="AO145" s="7">
        <f>SUM($AN$3:AN145)*7</f>
        <v>853134800</v>
      </c>
      <c r="AP145" s="69">
        <f t="shared" si="32"/>
        <v>2794625041</v>
      </c>
      <c r="AQ145" s="160">
        <f t="shared" si="33"/>
        <v>10290100</v>
      </c>
      <c r="AR145" s="160">
        <f t="shared" si="34"/>
        <v>5145100</v>
      </c>
    </row>
    <row r="146" spans="1:44">
      <c r="A146" s="32">
        <v>144</v>
      </c>
      <c r="B146" s="81">
        <f>升级节奏!E146</f>
        <v>144000</v>
      </c>
      <c r="C146" s="7">
        <f>IF(VLOOKUP(C$2,行为概览!$D$3:$L$33,9,0)="","",VLOOKUP(C$2,行为概览!$D$3:$L$33,9,0)*IF(玩法行为规划!B146&gt;0,1,0))</f>
        <v>4</v>
      </c>
      <c r="D146" s="7">
        <f>IF(VLOOKUP(D$2,行为概览!$D$3:$L$33,9,0)="","",VLOOKUP(D$2,行为概览!$D$3:$L$33,9,0)*IF(玩法行为规划!C146&gt;0,1,0))</f>
        <v>1.65</v>
      </c>
      <c r="E146" s="7">
        <f>IF(VLOOKUP(E$2,行为概览!$D$3:$L$33,9,0)="","",VLOOKUP(E$2,行为概览!$D$3:$L$33,9,0)*IF(玩法行为规划!D146&gt;0,1,0))</f>
        <v>0.5</v>
      </c>
      <c r="F146" s="7">
        <f>IF(VLOOKUP(F$2,行为概览!$D$3:$L$33,9,0)="","",VLOOKUP(F$2,行为概览!$D$3:$L$33,9,0)*IF(玩法行为规划!E146&gt;0,1,0))</f>
        <v>1</v>
      </c>
      <c r="G146" s="7" t="str">
        <f>IF(VLOOKUP(G$2,行为概览!$D$3:$L$33,9,0)="","",VLOOKUP(G$2,行为概览!$D$3:$L$33,9,0)*IF(玩法行为规划!F146&gt;0,1,0))</f>
        <v/>
      </c>
      <c r="H146" s="7" t="str">
        <f>IF(VLOOKUP(H$2,行为概览!$D$3:$L$33,9,0)="","",VLOOKUP(H$2,行为概览!$D$3:$L$33,9,0)*IF(玩法行为规划!G146&gt;0,1,0))</f>
        <v/>
      </c>
      <c r="I146" s="7" t="str">
        <f>IF(VLOOKUP(I$2,行为概览!$D$3:$L$33,9,0)="","",VLOOKUP(I$2,行为概览!$D$3:$L$33,9,0)*IF(玩法行为规划!H146&gt;0,1,0))</f>
        <v/>
      </c>
      <c r="J146" s="7" t="str">
        <f>IF(VLOOKUP(J$2,行为概览!$D$3:$L$33,9,0)="","",VLOOKUP(J$2,行为概览!$D$3:$L$33,9,0)*IF(玩法行为规划!I146&gt;0,1,0))</f>
        <v/>
      </c>
      <c r="K146" s="7">
        <f>IF(VLOOKUP(K$2,行为概览!$D$3:$L$33,9,0)="","",VLOOKUP(K$2,行为概览!$D$3:$L$33,9,0)*IF(玩法行为规划!J146&gt;0,1,0))</f>
        <v>1</v>
      </c>
      <c r="L146" s="7">
        <f>IF(VLOOKUP(L$2,行为概览!$D$3:$L$33,9,0)="","",VLOOKUP(L$2,行为概览!$D$3:$L$33,9,0)*IF(玩法行为规划!K146&gt;0,1,0))</f>
        <v>1</v>
      </c>
      <c r="M146" s="7" t="str">
        <f>IF(VLOOKUP(M$2,行为概览!$D$3:$L$33,9,0)="","",VLOOKUP(M$2,行为概览!$D$3:$L$33,9,0)*IF(玩法行为规划!L146&gt;0,1,0))</f>
        <v/>
      </c>
      <c r="N146" s="7" t="str">
        <f>IF(VLOOKUP(N$2,行为概览!$D$3:$L$33,9,0)="","",VLOOKUP(N$2,行为概览!$D$3:$L$33,9,0)*IF(玩法行为规划!M146&gt;0,1,0))</f>
        <v/>
      </c>
      <c r="O146" s="7" t="str">
        <f>IF(VLOOKUP(O$2,行为概览!$D$3:$L$33,9,0)="","",VLOOKUP(O$2,行为概览!$D$3:$L$33,9,0)*IF(玩法行为规划!N146&gt;0,1,0))</f>
        <v/>
      </c>
      <c r="P146" s="7">
        <f>IF(VLOOKUP(P$2,行为概览!$D$3:$L$33,9,0)="","",VLOOKUP(P$2,行为概览!$D$3:$L$33,9,0)*IF(玩法行为规划!O146&gt;0,1,0))</f>
        <v>0.5</v>
      </c>
      <c r="Q146" s="7">
        <f>IF(VLOOKUP(Q$2,行为概览!$D$3:$L$33,9,0)="","",VLOOKUP(Q$2,行为概览!$D$3:$L$33,9,0)*IF(玩法行为规划!P146&gt;0,1,0))</f>
        <v>5</v>
      </c>
      <c r="R146" s="7" t="str">
        <f>IF(VLOOKUP(R$2,行为概览!$D$3:$L$33,9,0)="","",VLOOKUP(R$2,行为概览!$D$3:$L$33,9,0)*IF(玩法行为规划!Q146&gt;0,1,0))</f>
        <v/>
      </c>
      <c r="S146" s="7">
        <f>IF(VLOOKUP(S$2,行为概览!$D$3:$L$33,9,0)="","",VLOOKUP(S$2,行为概览!$D$3:$L$33,9,0)*IF(玩法行为规划!R146&gt;0,1,0))</f>
        <v>1</v>
      </c>
      <c r="T146" s="7">
        <f>IF(VLOOKUP(T$2,行为概览!$D$3:$L$33,9,0)="","",VLOOKUP(T$2,行为概览!$D$3:$L$33,9,0)*IF(玩法行为规划!S146&gt;0,1,0))</f>
        <v>0</v>
      </c>
      <c r="U146" s="7">
        <f>IF(VLOOKUP(U$2,行为概览!$D$3:$L$33,9,0)="","",VLOOKUP(U$2,行为概览!$D$3:$L$33,9,0)*IF(玩法行为规划!T146&gt;0,1,0))</f>
        <v>1</v>
      </c>
      <c r="V146" s="7">
        <f>IF(VLOOKUP(V$2,行为概览!$D$3:$L$33,9,0)="","",VLOOKUP(V$2,行为概览!$D$3:$L$33,9,0)*IF(玩法行为规划!U146&gt;0,1,0))</f>
        <v>1.5</v>
      </c>
      <c r="W146" s="7">
        <f>IF(VLOOKUP(W$2,行为概览!$D$3:$L$33,9,0)="","",VLOOKUP(W$2,行为概览!$D$3:$L$33,9,0)*IF(玩法行为规划!V146&gt;0,1,0))</f>
        <v>1</v>
      </c>
      <c r="X146" s="7">
        <f>IF(VLOOKUP(X$2,行为概览!$D$3:$L$33,9,0)="","",VLOOKUP(X$2,行为概览!$D$3:$L$33,9,0)*IF(玩法行为规划!W146&gt;0,1,0))</f>
        <v>1</v>
      </c>
      <c r="Y146" s="7">
        <f>IF(VLOOKUP(Y$2,行为概览!$D$3:$L$33,9,0)="","",VLOOKUP(Y$2,行为概览!$D$3:$L$33,9,0)*IF(玩法行为规划!X146&gt;0,1,0))</f>
        <v>1</v>
      </c>
      <c r="Z146" s="7">
        <f>IF(VLOOKUP(Z$2,行为概览!$D$3:$L$33,9,0)="","",VLOOKUP(Z$2,行为概览!$D$3:$L$33,9,0)*IF(玩法行为规划!Y146&gt;0,1,0))</f>
        <v>3</v>
      </c>
      <c r="AA146" s="7">
        <f>IF(VLOOKUP(AA$2,行为概览!$D$3:$L$33,9,0)="","",VLOOKUP(AA$2,行为概览!$D$3:$L$33,9,0)*IF(玩法行为规划!Z146&gt;0,1,0))</f>
        <v>0.5</v>
      </c>
      <c r="AB146" s="7" t="str">
        <f>IF(VLOOKUP(AB$2,行为概览!$D$3:$L$33,9,0)="","",VLOOKUP(AB$2,行为概览!$D$3:$L$33,9,0)*IF(玩法行为规划!AA146&gt;0,1,0))</f>
        <v/>
      </c>
      <c r="AC146" s="7" t="str">
        <f>IF(VLOOKUP(AC$2,行为概览!$D$3:$L$33,9,0)="","",VLOOKUP(AC$2,行为概览!$D$3:$L$33,9,0)*IF(玩法行为规划!AB146&gt;0,1,0))</f>
        <v/>
      </c>
      <c r="AD146" s="7" t="str">
        <f>IF(VLOOKUP(AD$2,行为概览!$D$3:$L$33,9,0)="","",VLOOKUP(AD$2,行为概览!$D$3:$L$33,9,0)*玩法行为规划!AC146)</f>
        <v/>
      </c>
      <c r="AE146" s="7" t="str">
        <f>IF(VLOOKUP(AE$2,行为概览!$D$3:$L$33,9,0)="","",VLOOKUP(AE$2,行为概览!$D$3:$L$33,9,0)*玩法行为规划!AD146)</f>
        <v/>
      </c>
      <c r="AF146" s="7">
        <f t="shared" si="26"/>
        <v>24.65</v>
      </c>
      <c r="AG146" s="10">
        <f t="shared" si="27"/>
        <v>3549600</v>
      </c>
      <c r="AH146" s="7">
        <f>ROUND(AG146*升级节奏!G146,0)</f>
        <v>104775910</v>
      </c>
      <c r="AI146" s="7">
        <f t="shared" si="28"/>
        <v>1641600</v>
      </c>
      <c r="AJ146" s="21" t="str">
        <f t="shared" si="35"/>
        <v/>
      </c>
      <c r="AK146" s="7">
        <f t="shared" si="29"/>
        <v>1.5426032802308568E-2</v>
      </c>
      <c r="AL146" s="7">
        <f t="shared" si="30"/>
        <v>106417510</v>
      </c>
      <c r="AM146" s="7">
        <f>SUM($AL$3:AL146)</f>
        <v>3769612551</v>
      </c>
      <c r="AN146" s="166">
        <f t="shared" si="31"/>
        <v>3521300</v>
      </c>
      <c r="AO146" s="7">
        <f>SUM($AN$3:AN146)*7</f>
        <v>877783900</v>
      </c>
      <c r="AP146" s="69">
        <f t="shared" si="32"/>
        <v>2876069051</v>
      </c>
      <c r="AQ146" s="160">
        <f t="shared" si="33"/>
        <v>10506400</v>
      </c>
      <c r="AR146" s="160">
        <f t="shared" si="34"/>
        <v>5253200</v>
      </c>
    </row>
    <row r="147" spans="1:44">
      <c r="A147" s="32">
        <v>145</v>
      </c>
      <c r="B147" s="81">
        <f>升级节奏!E147</f>
        <v>145000</v>
      </c>
      <c r="C147" s="7">
        <f>IF(VLOOKUP(C$2,行为概览!$D$3:$L$33,9,0)="","",VLOOKUP(C$2,行为概览!$D$3:$L$33,9,0)*IF(玩法行为规划!B147&gt;0,1,0))</f>
        <v>4</v>
      </c>
      <c r="D147" s="7">
        <f>IF(VLOOKUP(D$2,行为概览!$D$3:$L$33,9,0)="","",VLOOKUP(D$2,行为概览!$D$3:$L$33,9,0)*IF(玩法行为规划!C147&gt;0,1,0))</f>
        <v>1.65</v>
      </c>
      <c r="E147" s="7">
        <f>IF(VLOOKUP(E$2,行为概览!$D$3:$L$33,9,0)="","",VLOOKUP(E$2,行为概览!$D$3:$L$33,9,0)*IF(玩法行为规划!D147&gt;0,1,0))</f>
        <v>0.5</v>
      </c>
      <c r="F147" s="7">
        <f>IF(VLOOKUP(F$2,行为概览!$D$3:$L$33,9,0)="","",VLOOKUP(F$2,行为概览!$D$3:$L$33,9,0)*IF(玩法行为规划!E147&gt;0,1,0))</f>
        <v>1</v>
      </c>
      <c r="G147" s="7" t="str">
        <f>IF(VLOOKUP(G$2,行为概览!$D$3:$L$33,9,0)="","",VLOOKUP(G$2,行为概览!$D$3:$L$33,9,0)*IF(玩法行为规划!F147&gt;0,1,0))</f>
        <v/>
      </c>
      <c r="H147" s="7" t="str">
        <f>IF(VLOOKUP(H$2,行为概览!$D$3:$L$33,9,0)="","",VLOOKUP(H$2,行为概览!$D$3:$L$33,9,0)*IF(玩法行为规划!G147&gt;0,1,0))</f>
        <v/>
      </c>
      <c r="I147" s="7" t="str">
        <f>IF(VLOOKUP(I$2,行为概览!$D$3:$L$33,9,0)="","",VLOOKUP(I$2,行为概览!$D$3:$L$33,9,0)*IF(玩法行为规划!H147&gt;0,1,0))</f>
        <v/>
      </c>
      <c r="J147" s="7" t="str">
        <f>IF(VLOOKUP(J$2,行为概览!$D$3:$L$33,9,0)="","",VLOOKUP(J$2,行为概览!$D$3:$L$33,9,0)*IF(玩法行为规划!I147&gt;0,1,0))</f>
        <v/>
      </c>
      <c r="K147" s="7">
        <f>IF(VLOOKUP(K$2,行为概览!$D$3:$L$33,9,0)="","",VLOOKUP(K$2,行为概览!$D$3:$L$33,9,0)*IF(玩法行为规划!J147&gt;0,1,0))</f>
        <v>1</v>
      </c>
      <c r="L147" s="7">
        <f>IF(VLOOKUP(L$2,行为概览!$D$3:$L$33,9,0)="","",VLOOKUP(L$2,行为概览!$D$3:$L$33,9,0)*IF(玩法行为规划!K147&gt;0,1,0))</f>
        <v>1</v>
      </c>
      <c r="M147" s="7" t="str">
        <f>IF(VLOOKUP(M$2,行为概览!$D$3:$L$33,9,0)="","",VLOOKUP(M$2,行为概览!$D$3:$L$33,9,0)*IF(玩法行为规划!L147&gt;0,1,0))</f>
        <v/>
      </c>
      <c r="N147" s="7" t="str">
        <f>IF(VLOOKUP(N$2,行为概览!$D$3:$L$33,9,0)="","",VLOOKUP(N$2,行为概览!$D$3:$L$33,9,0)*IF(玩法行为规划!M147&gt;0,1,0))</f>
        <v/>
      </c>
      <c r="O147" s="7" t="str">
        <f>IF(VLOOKUP(O$2,行为概览!$D$3:$L$33,9,0)="","",VLOOKUP(O$2,行为概览!$D$3:$L$33,9,0)*IF(玩法行为规划!N147&gt;0,1,0))</f>
        <v/>
      </c>
      <c r="P147" s="7">
        <f>IF(VLOOKUP(P$2,行为概览!$D$3:$L$33,9,0)="","",VLOOKUP(P$2,行为概览!$D$3:$L$33,9,0)*IF(玩法行为规划!O147&gt;0,1,0))</f>
        <v>0.5</v>
      </c>
      <c r="Q147" s="7">
        <f>IF(VLOOKUP(Q$2,行为概览!$D$3:$L$33,9,0)="","",VLOOKUP(Q$2,行为概览!$D$3:$L$33,9,0)*IF(玩法行为规划!P147&gt;0,1,0))</f>
        <v>5</v>
      </c>
      <c r="R147" s="7" t="str">
        <f>IF(VLOOKUP(R$2,行为概览!$D$3:$L$33,9,0)="","",VLOOKUP(R$2,行为概览!$D$3:$L$33,9,0)*IF(玩法行为规划!Q147&gt;0,1,0))</f>
        <v/>
      </c>
      <c r="S147" s="7">
        <f>IF(VLOOKUP(S$2,行为概览!$D$3:$L$33,9,0)="","",VLOOKUP(S$2,行为概览!$D$3:$L$33,9,0)*IF(玩法行为规划!R147&gt;0,1,0))</f>
        <v>1</v>
      </c>
      <c r="T147" s="7">
        <f>IF(VLOOKUP(T$2,行为概览!$D$3:$L$33,9,0)="","",VLOOKUP(T$2,行为概览!$D$3:$L$33,9,0)*IF(玩法行为规划!S147&gt;0,1,0))</f>
        <v>0</v>
      </c>
      <c r="U147" s="7">
        <f>IF(VLOOKUP(U$2,行为概览!$D$3:$L$33,9,0)="","",VLOOKUP(U$2,行为概览!$D$3:$L$33,9,0)*IF(玩法行为规划!T147&gt;0,1,0))</f>
        <v>1</v>
      </c>
      <c r="V147" s="7">
        <f>IF(VLOOKUP(V$2,行为概览!$D$3:$L$33,9,0)="","",VLOOKUP(V$2,行为概览!$D$3:$L$33,9,0)*IF(玩法行为规划!U147&gt;0,1,0))</f>
        <v>1.5</v>
      </c>
      <c r="W147" s="7">
        <f>IF(VLOOKUP(W$2,行为概览!$D$3:$L$33,9,0)="","",VLOOKUP(W$2,行为概览!$D$3:$L$33,9,0)*IF(玩法行为规划!V147&gt;0,1,0))</f>
        <v>1</v>
      </c>
      <c r="X147" s="7">
        <f>IF(VLOOKUP(X$2,行为概览!$D$3:$L$33,9,0)="","",VLOOKUP(X$2,行为概览!$D$3:$L$33,9,0)*IF(玩法行为规划!W147&gt;0,1,0))</f>
        <v>1</v>
      </c>
      <c r="Y147" s="7">
        <f>IF(VLOOKUP(Y$2,行为概览!$D$3:$L$33,9,0)="","",VLOOKUP(Y$2,行为概览!$D$3:$L$33,9,0)*IF(玩法行为规划!X147&gt;0,1,0))</f>
        <v>1</v>
      </c>
      <c r="Z147" s="7">
        <f>IF(VLOOKUP(Z$2,行为概览!$D$3:$L$33,9,0)="","",VLOOKUP(Z$2,行为概览!$D$3:$L$33,9,0)*IF(玩法行为规划!Y147&gt;0,1,0))</f>
        <v>3</v>
      </c>
      <c r="AA147" s="7">
        <f>IF(VLOOKUP(AA$2,行为概览!$D$3:$L$33,9,0)="","",VLOOKUP(AA$2,行为概览!$D$3:$L$33,9,0)*IF(玩法行为规划!Z147&gt;0,1,0))</f>
        <v>0.5</v>
      </c>
      <c r="AB147" s="7" t="str">
        <f>IF(VLOOKUP(AB$2,行为概览!$D$3:$L$33,9,0)="","",VLOOKUP(AB$2,行为概览!$D$3:$L$33,9,0)*IF(玩法行为规划!AA147&gt;0,1,0))</f>
        <v/>
      </c>
      <c r="AC147" s="7" t="str">
        <f>IF(VLOOKUP(AC$2,行为概览!$D$3:$L$33,9,0)="","",VLOOKUP(AC$2,行为概览!$D$3:$L$33,9,0)*IF(玩法行为规划!AB147&gt;0,1,0))</f>
        <v/>
      </c>
      <c r="AD147" s="7" t="str">
        <f>IF(VLOOKUP(AD$2,行为概览!$D$3:$L$33,9,0)="","",VLOOKUP(AD$2,行为概览!$D$3:$L$33,9,0)*玩法行为规划!AC147)</f>
        <v/>
      </c>
      <c r="AE147" s="7" t="str">
        <f>IF(VLOOKUP(AE$2,行为概览!$D$3:$L$33,9,0)="","",VLOOKUP(AE$2,行为概览!$D$3:$L$33,9,0)*玩法行为规划!AD147)</f>
        <v/>
      </c>
      <c r="AF147" s="7">
        <f t="shared" si="26"/>
        <v>24.65</v>
      </c>
      <c r="AG147" s="10">
        <f t="shared" si="27"/>
        <v>3574250</v>
      </c>
      <c r="AH147" s="7">
        <f>ROUND(AG147*升级节奏!G147,0)</f>
        <v>106966878</v>
      </c>
      <c r="AI147" s="7">
        <f t="shared" si="28"/>
        <v>1667500</v>
      </c>
      <c r="AJ147" s="21" t="str">
        <f t="shared" si="35"/>
        <v/>
      </c>
      <c r="AK147" s="7">
        <f t="shared" si="29"/>
        <v>1.5349652943196306E-2</v>
      </c>
      <c r="AL147" s="7">
        <f t="shared" si="30"/>
        <v>108634378</v>
      </c>
      <c r="AM147" s="7">
        <f>SUM($AL$3:AL147)</f>
        <v>3878246929</v>
      </c>
      <c r="AN147" s="166">
        <f t="shared" si="31"/>
        <v>3594600</v>
      </c>
      <c r="AO147" s="7">
        <f>SUM($AN$3:AN147)*7</f>
        <v>902946100</v>
      </c>
      <c r="AP147" s="69">
        <f t="shared" si="32"/>
        <v>2959212329</v>
      </c>
      <c r="AQ147" s="160">
        <f t="shared" si="33"/>
        <v>10725700</v>
      </c>
      <c r="AR147" s="160">
        <f t="shared" si="34"/>
        <v>5362800</v>
      </c>
    </row>
    <row r="148" spans="1:44">
      <c r="A148" s="32">
        <v>146</v>
      </c>
      <c r="B148" s="81">
        <f>升级节奏!E148</f>
        <v>146000</v>
      </c>
      <c r="C148" s="7">
        <f>IF(VLOOKUP(C$2,行为概览!$D$3:$L$33,9,0)="","",VLOOKUP(C$2,行为概览!$D$3:$L$33,9,0)*IF(玩法行为规划!B148&gt;0,1,0))</f>
        <v>4</v>
      </c>
      <c r="D148" s="7">
        <f>IF(VLOOKUP(D$2,行为概览!$D$3:$L$33,9,0)="","",VLOOKUP(D$2,行为概览!$D$3:$L$33,9,0)*IF(玩法行为规划!C148&gt;0,1,0))</f>
        <v>1.65</v>
      </c>
      <c r="E148" s="7">
        <f>IF(VLOOKUP(E$2,行为概览!$D$3:$L$33,9,0)="","",VLOOKUP(E$2,行为概览!$D$3:$L$33,9,0)*IF(玩法行为规划!D148&gt;0,1,0))</f>
        <v>0.5</v>
      </c>
      <c r="F148" s="7">
        <f>IF(VLOOKUP(F$2,行为概览!$D$3:$L$33,9,0)="","",VLOOKUP(F$2,行为概览!$D$3:$L$33,9,0)*IF(玩法行为规划!E148&gt;0,1,0))</f>
        <v>1</v>
      </c>
      <c r="G148" s="7" t="str">
        <f>IF(VLOOKUP(G$2,行为概览!$D$3:$L$33,9,0)="","",VLOOKUP(G$2,行为概览!$D$3:$L$33,9,0)*IF(玩法行为规划!F148&gt;0,1,0))</f>
        <v/>
      </c>
      <c r="H148" s="7" t="str">
        <f>IF(VLOOKUP(H$2,行为概览!$D$3:$L$33,9,0)="","",VLOOKUP(H$2,行为概览!$D$3:$L$33,9,0)*IF(玩法行为规划!G148&gt;0,1,0))</f>
        <v/>
      </c>
      <c r="I148" s="7" t="str">
        <f>IF(VLOOKUP(I$2,行为概览!$D$3:$L$33,9,0)="","",VLOOKUP(I$2,行为概览!$D$3:$L$33,9,0)*IF(玩法行为规划!H148&gt;0,1,0))</f>
        <v/>
      </c>
      <c r="J148" s="7" t="str">
        <f>IF(VLOOKUP(J$2,行为概览!$D$3:$L$33,9,0)="","",VLOOKUP(J$2,行为概览!$D$3:$L$33,9,0)*IF(玩法行为规划!I148&gt;0,1,0))</f>
        <v/>
      </c>
      <c r="K148" s="7">
        <f>IF(VLOOKUP(K$2,行为概览!$D$3:$L$33,9,0)="","",VLOOKUP(K$2,行为概览!$D$3:$L$33,9,0)*IF(玩法行为规划!J148&gt;0,1,0))</f>
        <v>1</v>
      </c>
      <c r="L148" s="7">
        <f>IF(VLOOKUP(L$2,行为概览!$D$3:$L$33,9,0)="","",VLOOKUP(L$2,行为概览!$D$3:$L$33,9,0)*IF(玩法行为规划!K148&gt;0,1,0))</f>
        <v>1</v>
      </c>
      <c r="M148" s="7" t="str">
        <f>IF(VLOOKUP(M$2,行为概览!$D$3:$L$33,9,0)="","",VLOOKUP(M$2,行为概览!$D$3:$L$33,9,0)*IF(玩法行为规划!L148&gt;0,1,0))</f>
        <v/>
      </c>
      <c r="N148" s="7" t="str">
        <f>IF(VLOOKUP(N$2,行为概览!$D$3:$L$33,9,0)="","",VLOOKUP(N$2,行为概览!$D$3:$L$33,9,0)*IF(玩法行为规划!M148&gt;0,1,0))</f>
        <v/>
      </c>
      <c r="O148" s="7" t="str">
        <f>IF(VLOOKUP(O$2,行为概览!$D$3:$L$33,9,0)="","",VLOOKUP(O$2,行为概览!$D$3:$L$33,9,0)*IF(玩法行为规划!N148&gt;0,1,0))</f>
        <v/>
      </c>
      <c r="P148" s="7">
        <f>IF(VLOOKUP(P$2,行为概览!$D$3:$L$33,9,0)="","",VLOOKUP(P$2,行为概览!$D$3:$L$33,9,0)*IF(玩法行为规划!O148&gt;0,1,0))</f>
        <v>0.5</v>
      </c>
      <c r="Q148" s="7">
        <f>IF(VLOOKUP(Q$2,行为概览!$D$3:$L$33,9,0)="","",VLOOKUP(Q$2,行为概览!$D$3:$L$33,9,0)*IF(玩法行为规划!P148&gt;0,1,0))</f>
        <v>5</v>
      </c>
      <c r="R148" s="7" t="str">
        <f>IF(VLOOKUP(R$2,行为概览!$D$3:$L$33,9,0)="","",VLOOKUP(R$2,行为概览!$D$3:$L$33,9,0)*IF(玩法行为规划!Q148&gt;0,1,0))</f>
        <v/>
      </c>
      <c r="S148" s="7">
        <f>IF(VLOOKUP(S$2,行为概览!$D$3:$L$33,9,0)="","",VLOOKUP(S$2,行为概览!$D$3:$L$33,9,0)*IF(玩法行为规划!R148&gt;0,1,0))</f>
        <v>1</v>
      </c>
      <c r="T148" s="7">
        <f>IF(VLOOKUP(T$2,行为概览!$D$3:$L$33,9,0)="","",VLOOKUP(T$2,行为概览!$D$3:$L$33,9,0)*IF(玩法行为规划!S148&gt;0,1,0))</f>
        <v>0</v>
      </c>
      <c r="U148" s="7">
        <f>IF(VLOOKUP(U$2,行为概览!$D$3:$L$33,9,0)="","",VLOOKUP(U$2,行为概览!$D$3:$L$33,9,0)*IF(玩法行为规划!T148&gt;0,1,0))</f>
        <v>1</v>
      </c>
      <c r="V148" s="7">
        <f>IF(VLOOKUP(V$2,行为概览!$D$3:$L$33,9,0)="","",VLOOKUP(V$2,行为概览!$D$3:$L$33,9,0)*IF(玩法行为规划!U148&gt;0,1,0))</f>
        <v>1.5</v>
      </c>
      <c r="W148" s="7">
        <f>IF(VLOOKUP(W$2,行为概览!$D$3:$L$33,9,0)="","",VLOOKUP(W$2,行为概览!$D$3:$L$33,9,0)*IF(玩法行为规划!V148&gt;0,1,0))</f>
        <v>1</v>
      </c>
      <c r="X148" s="7">
        <f>IF(VLOOKUP(X$2,行为概览!$D$3:$L$33,9,0)="","",VLOOKUP(X$2,行为概览!$D$3:$L$33,9,0)*IF(玩法行为规划!W148&gt;0,1,0))</f>
        <v>1</v>
      </c>
      <c r="Y148" s="7">
        <f>IF(VLOOKUP(Y$2,行为概览!$D$3:$L$33,9,0)="","",VLOOKUP(Y$2,行为概览!$D$3:$L$33,9,0)*IF(玩法行为规划!X148&gt;0,1,0))</f>
        <v>1</v>
      </c>
      <c r="Z148" s="7">
        <f>IF(VLOOKUP(Z$2,行为概览!$D$3:$L$33,9,0)="","",VLOOKUP(Z$2,行为概览!$D$3:$L$33,9,0)*IF(玩法行为规划!Y148&gt;0,1,0))</f>
        <v>3</v>
      </c>
      <c r="AA148" s="7">
        <f>IF(VLOOKUP(AA$2,行为概览!$D$3:$L$33,9,0)="","",VLOOKUP(AA$2,行为概览!$D$3:$L$33,9,0)*IF(玩法行为规划!Z148&gt;0,1,0))</f>
        <v>0.5</v>
      </c>
      <c r="AB148" s="7" t="str">
        <f>IF(VLOOKUP(AB$2,行为概览!$D$3:$L$33,9,0)="","",VLOOKUP(AB$2,行为概览!$D$3:$L$33,9,0)*IF(玩法行为规划!AA148&gt;0,1,0))</f>
        <v/>
      </c>
      <c r="AC148" s="7" t="str">
        <f>IF(VLOOKUP(AC$2,行为概览!$D$3:$L$33,9,0)="","",VLOOKUP(AC$2,行为概览!$D$3:$L$33,9,0)*IF(玩法行为规划!AB148&gt;0,1,0))</f>
        <v/>
      </c>
      <c r="AD148" s="7" t="str">
        <f>IF(VLOOKUP(AD$2,行为概览!$D$3:$L$33,9,0)="","",VLOOKUP(AD$2,行为概览!$D$3:$L$33,9,0)*玩法行为规划!AC148)</f>
        <v/>
      </c>
      <c r="AE148" s="7" t="str">
        <f>IF(VLOOKUP(AE$2,行为概览!$D$3:$L$33,9,0)="","",VLOOKUP(AE$2,行为概览!$D$3:$L$33,9,0)*玩法行为规划!AD148)</f>
        <v/>
      </c>
      <c r="AF148" s="7">
        <f t="shared" si="26"/>
        <v>24.65</v>
      </c>
      <c r="AG148" s="10">
        <f t="shared" si="27"/>
        <v>3598900</v>
      </c>
      <c r="AH148" s="7">
        <f>ROUND(AG148*升级节奏!G148,0)</f>
        <v>109188227</v>
      </c>
      <c r="AI148" s="7">
        <f t="shared" si="28"/>
        <v>1693600</v>
      </c>
      <c r="AJ148" s="21" t="str">
        <f t="shared" si="35"/>
        <v/>
      </c>
      <c r="AK148" s="7">
        <f t="shared" si="29"/>
        <v>1.5273918601647861E-2</v>
      </c>
      <c r="AL148" s="7">
        <f t="shared" si="30"/>
        <v>110881827</v>
      </c>
      <c r="AM148" s="7">
        <f>SUM($AL$3:AL148)</f>
        <v>3989128756</v>
      </c>
      <c r="AN148" s="166">
        <f t="shared" si="31"/>
        <v>3668800</v>
      </c>
      <c r="AO148" s="7">
        <f>SUM($AN$3:AN148)*7</f>
        <v>928627700</v>
      </c>
      <c r="AP148" s="69">
        <f t="shared" si="32"/>
        <v>3044079056</v>
      </c>
      <c r="AQ148" s="160">
        <f t="shared" si="33"/>
        <v>10948000</v>
      </c>
      <c r="AR148" s="160">
        <f t="shared" si="34"/>
        <v>5474000</v>
      </c>
    </row>
    <row r="149" spans="1:44">
      <c r="A149" s="32">
        <v>147</v>
      </c>
      <c r="B149" s="81">
        <f>升级节奏!E149</f>
        <v>147000</v>
      </c>
      <c r="C149" s="7">
        <f>IF(VLOOKUP(C$2,行为概览!$D$3:$L$33,9,0)="","",VLOOKUP(C$2,行为概览!$D$3:$L$33,9,0)*IF(玩法行为规划!B149&gt;0,1,0))</f>
        <v>4</v>
      </c>
      <c r="D149" s="7">
        <f>IF(VLOOKUP(D$2,行为概览!$D$3:$L$33,9,0)="","",VLOOKUP(D$2,行为概览!$D$3:$L$33,9,0)*IF(玩法行为规划!C149&gt;0,1,0))</f>
        <v>1.65</v>
      </c>
      <c r="E149" s="7">
        <f>IF(VLOOKUP(E$2,行为概览!$D$3:$L$33,9,0)="","",VLOOKUP(E$2,行为概览!$D$3:$L$33,9,0)*IF(玩法行为规划!D149&gt;0,1,0))</f>
        <v>0.5</v>
      </c>
      <c r="F149" s="7">
        <f>IF(VLOOKUP(F$2,行为概览!$D$3:$L$33,9,0)="","",VLOOKUP(F$2,行为概览!$D$3:$L$33,9,0)*IF(玩法行为规划!E149&gt;0,1,0))</f>
        <v>1</v>
      </c>
      <c r="G149" s="7" t="str">
        <f>IF(VLOOKUP(G$2,行为概览!$D$3:$L$33,9,0)="","",VLOOKUP(G$2,行为概览!$D$3:$L$33,9,0)*IF(玩法行为规划!F149&gt;0,1,0))</f>
        <v/>
      </c>
      <c r="H149" s="7" t="str">
        <f>IF(VLOOKUP(H$2,行为概览!$D$3:$L$33,9,0)="","",VLOOKUP(H$2,行为概览!$D$3:$L$33,9,0)*IF(玩法行为规划!G149&gt;0,1,0))</f>
        <v/>
      </c>
      <c r="I149" s="7" t="str">
        <f>IF(VLOOKUP(I$2,行为概览!$D$3:$L$33,9,0)="","",VLOOKUP(I$2,行为概览!$D$3:$L$33,9,0)*IF(玩法行为规划!H149&gt;0,1,0))</f>
        <v/>
      </c>
      <c r="J149" s="7" t="str">
        <f>IF(VLOOKUP(J$2,行为概览!$D$3:$L$33,9,0)="","",VLOOKUP(J$2,行为概览!$D$3:$L$33,9,0)*IF(玩法行为规划!I149&gt;0,1,0))</f>
        <v/>
      </c>
      <c r="K149" s="7">
        <f>IF(VLOOKUP(K$2,行为概览!$D$3:$L$33,9,0)="","",VLOOKUP(K$2,行为概览!$D$3:$L$33,9,0)*IF(玩法行为规划!J149&gt;0,1,0))</f>
        <v>1</v>
      </c>
      <c r="L149" s="7">
        <f>IF(VLOOKUP(L$2,行为概览!$D$3:$L$33,9,0)="","",VLOOKUP(L$2,行为概览!$D$3:$L$33,9,0)*IF(玩法行为规划!K149&gt;0,1,0))</f>
        <v>1</v>
      </c>
      <c r="M149" s="7" t="str">
        <f>IF(VLOOKUP(M$2,行为概览!$D$3:$L$33,9,0)="","",VLOOKUP(M$2,行为概览!$D$3:$L$33,9,0)*IF(玩法行为规划!L149&gt;0,1,0))</f>
        <v/>
      </c>
      <c r="N149" s="7" t="str">
        <f>IF(VLOOKUP(N$2,行为概览!$D$3:$L$33,9,0)="","",VLOOKUP(N$2,行为概览!$D$3:$L$33,9,0)*IF(玩法行为规划!M149&gt;0,1,0))</f>
        <v/>
      </c>
      <c r="O149" s="7" t="str">
        <f>IF(VLOOKUP(O$2,行为概览!$D$3:$L$33,9,0)="","",VLOOKUP(O$2,行为概览!$D$3:$L$33,9,0)*IF(玩法行为规划!N149&gt;0,1,0))</f>
        <v/>
      </c>
      <c r="P149" s="7">
        <f>IF(VLOOKUP(P$2,行为概览!$D$3:$L$33,9,0)="","",VLOOKUP(P$2,行为概览!$D$3:$L$33,9,0)*IF(玩法行为规划!O149&gt;0,1,0))</f>
        <v>0.5</v>
      </c>
      <c r="Q149" s="7">
        <f>IF(VLOOKUP(Q$2,行为概览!$D$3:$L$33,9,0)="","",VLOOKUP(Q$2,行为概览!$D$3:$L$33,9,0)*IF(玩法行为规划!P149&gt;0,1,0))</f>
        <v>5</v>
      </c>
      <c r="R149" s="7" t="str">
        <f>IF(VLOOKUP(R$2,行为概览!$D$3:$L$33,9,0)="","",VLOOKUP(R$2,行为概览!$D$3:$L$33,9,0)*IF(玩法行为规划!Q149&gt;0,1,0))</f>
        <v/>
      </c>
      <c r="S149" s="7">
        <f>IF(VLOOKUP(S$2,行为概览!$D$3:$L$33,9,0)="","",VLOOKUP(S$2,行为概览!$D$3:$L$33,9,0)*IF(玩法行为规划!R149&gt;0,1,0))</f>
        <v>1</v>
      </c>
      <c r="T149" s="7">
        <f>IF(VLOOKUP(T$2,行为概览!$D$3:$L$33,9,0)="","",VLOOKUP(T$2,行为概览!$D$3:$L$33,9,0)*IF(玩法行为规划!S149&gt;0,1,0))</f>
        <v>0</v>
      </c>
      <c r="U149" s="7">
        <f>IF(VLOOKUP(U$2,行为概览!$D$3:$L$33,9,0)="","",VLOOKUP(U$2,行为概览!$D$3:$L$33,9,0)*IF(玩法行为规划!T149&gt;0,1,0))</f>
        <v>1</v>
      </c>
      <c r="V149" s="7">
        <f>IF(VLOOKUP(V$2,行为概览!$D$3:$L$33,9,0)="","",VLOOKUP(V$2,行为概览!$D$3:$L$33,9,0)*IF(玩法行为规划!U149&gt;0,1,0))</f>
        <v>1.5</v>
      </c>
      <c r="W149" s="7">
        <f>IF(VLOOKUP(W$2,行为概览!$D$3:$L$33,9,0)="","",VLOOKUP(W$2,行为概览!$D$3:$L$33,9,0)*IF(玩法行为规划!V149&gt;0,1,0))</f>
        <v>1</v>
      </c>
      <c r="X149" s="7">
        <f>IF(VLOOKUP(X$2,行为概览!$D$3:$L$33,9,0)="","",VLOOKUP(X$2,行为概览!$D$3:$L$33,9,0)*IF(玩法行为规划!W149&gt;0,1,0))</f>
        <v>1</v>
      </c>
      <c r="Y149" s="7">
        <f>IF(VLOOKUP(Y$2,行为概览!$D$3:$L$33,9,0)="","",VLOOKUP(Y$2,行为概览!$D$3:$L$33,9,0)*IF(玩法行为规划!X149&gt;0,1,0))</f>
        <v>1</v>
      </c>
      <c r="Z149" s="7">
        <f>IF(VLOOKUP(Z$2,行为概览!$D$3:$L$33,9,0)="","",VLOOKUP(Z$2,行为概览!$D$3:$L$33,9,0)*IF(玩法行为规划!Y149&gt;0,1,0))</f>
        <v>3</v>
      </c>
      <c r="AA149" s="7">
        <f>IF(VLOOKUP(AA$2,行为概览!$D$3:$L$33,9,0)="","",VLOOKUP(AA$2,行为概览!$D$3:$L$33,9,0)*IF(玩法行为规划!Z149&gt;0,1,0))</f>
        <v>0.5</v>
      </c>
      <c r="AB149" s="7" t="str">
        <f>IF(VLOOKUP(AB$2,行为概览!$D$3:$L$33,9,0)="","",VLOOKUP(AB$2,行为概览!$D$3:$L$33,9,0)*IF(玩法行为规划!AA149&gt;0,1,0))</f>
        <v/>
      </c>
      <c r="AC149" s="7" t="str">
        <f>IF(VLOOKUP(AC$2,行为概览!$D$3:$L$33,9,0)="","",VLOOKUP(AC$2,行为概览!$D$3:$L$33,9,0)*IF(玩法行为规划!AB149&gt;0,1,0))</f>
        <v/>
      </c>
      <c r="AD149" s="7" t="str">
        <f>IF(VLOOKUP(AD$2,行为概览!$D$3:$L$33,9,0)="","",VLOOKUP(AD$2,行为概览!$D$3:$L$33,9,0)*玩法行为规划!AC149)</f>
        <v/>
      </c>
      <c r="AE149" s="7" t="str">
        <f>IF(VLOOKUP(AE$2,行为概览!$D$3:$L$33,9,0)="","",VLOOKUP(AE$2,行为概览!$D$3:$L$33,9,0)*玩法行为规划!AD149)</f>
        <v/>
      </c>
      <c r="AF149" s="7">
        <f t="shared" si="26"/>
        <v>24.65</v>
      </c>
      <c r="AG149" s="10">
        <f t="shared" si="27"/>
        <v>3623550</v>
      </c>
      <c r="AH149" s="7">
        <f>ROUND(AG149*升级节奏!G149,0)</f>
        <v>111440167</v>
      </c>
      <c r="AI149" s="7">
        <f t="shared" si="28"/>
        <v>1719900</v>
      </c>
      <c r="AJ149" s="21" t="str">
        <f t="shared" si="35"/>
        <v/>
      </c>
      <c r="AK149" s="7">
        <f t="shared" si="29"/>
        <v>1.5198824511123699E-2</v>
      </c>
      <c r="AL149" s="7">
        <f t="shared" si="30"/>
        <v>113160067</v>
      </c>
      <c r="AM149" s="7">
        <f>SUM($AL$3:AL149)</f>
        <v>4102288823</v>
      </c>
      <c r="AN149" s="166">
        <f t="shared" si="31"/>
        <v>3744100</v>
      </c>
      <c r="AO149" s="7">
        <f>SUM($AN$3:AN149)*7</f>
        <v>954836400</v>
      </c>
      <c r="AP149" s="69">
        <f t="shared" si="32"/>
        <v>3130692323</v>
      </c>
      <c r="AQ149" s="160">
        <f t="shared" si="33"/>
        <v>11173400</v>
      </c>
      <c r="AR149" s="160">
        <f t="shared" si="34"/>
        <v>5586700</v>
      </c>
    </row>
    <row r="150" spans="1:44">
      <c r="A150" s="32">
        <v>148</v>
      </c>
      <c r="B150" s="81">
        <f>升级节奏!E150</f>
        <v>148000</v>
      </c>
      <c r="C150" s="7">
        <f>IF(VLOOKUP(C$2,行为概览!$D$3:$L$33,9,0)="","",VLOOKUP(C$2,行为概览!$D$3:$L$33,9,0)*IF(玩法行为规划!B150&gt;0,1,0))</f>
        <v>4</v>
      </c>
      <c r="D150" s="7">
        <f>IF(VLOOKUP(D$2,行为概览!$D$3:$L$33,9,0)="","",VLOOKUP(D$2,行为概览!$D$3:$L$33,9,0)*IF(玩法行为规划!C150&gt;0,1,0))</f>
        <v>1.65</v>
      </c>
      <c r="E150" s="7">
        <f>IF(VLOOKUP(E$2,行为概览!$D$3:$L$33,9,0)="","",VLOOKUP(E$2,行为概览!$D$3:$L$33,9,0)*IF(玩法行为规划!D150&gt;0,1,0))</f>
        <v>0.5</v>
      </c>
      <c r="F150" s="7">
        <f>IF(VLOOKUP(F$2,行为概览!$D$3:$L$33,9,0)="","",VLOOKUP(F$2,行为概览!$D$3:$L$33,9,0)*IF(玩法行为规划!E150&gt;0,1,0))</f>
        <v>1</v>
      </c>
      <c r="G150" s="7" t="str">
        <f>IF(VLOOKUP(G$2,行为概览!$D$3:$L$33,9,0)="","",VLOOKUP(G$2,行为概览!$D$3:$L$33,9,0)*IF(玩法行为规划!F150&gt;0,1,0))</f>
        <v/>
      </c>
      <c r="H150" s="7" t="str">
        <f>IF(VLOOKUP(H$2,行为概览!$D$3:$L$33,9,0)="","",VLOOKUP(H$2,行为概览!$D$3:$L$33,9,0)*IF(玩法行为规划!G150&gt;0,1,0))</f>
        <v/>
      </c>
      <c r="I150" s="7" t="str">
        <f>IF(VLOOKUP(I$2,行为概览!$D$3:$L$33,9,0)="","",VLOOKUP(I$2,行为概览!$D$3:$L$33,9,0)*IF(玩法行为规划!H150&gt;0,1,0))</f>
        <v/>
      </c>
      <c r="J150" s="7" t="str">
        <f>IF(VLOOKUP(J$2,行为概览!$D$3:$L$33,9,0)="","",VLOOKUP(J$2,行为概览!$D$3:$L$33,9,0)*IF(玩法行为规划!I150&gt;0,1,0))</f>
        <v/>
      </c>
      <c r="K150" s="7">
        <f>IF(VLOOKUP(K$2,行为概览!$D$3:$L$33,9,0)="","",VLOOKUP(K$2,行为概览!$D$3:$L$33,9,0)*IF(玩法行为规划!J150&gt;0,1,0))</f>
        <v>1</v>
      </c>
      <c r="L150" s="7">
        <f>IF(VLOOKUP(L$2,行为概览!$D$3:$L$33,9,0)="","",VLOOKUP(L$2,行为概览!$D$3:$L$33,9,0)*IF(玩法行为规划!K150&gt;0,1,0))</f>
        <v>1</v>
      </c>
      <c r="M150" s="7" t="str">
        <f>IF(VLOOKUP(M$2,行为概览!$D$3:$L$33,9,0)="","",VLOOKUP(M$2,行为概览!$D$3:$L$33,9,0)*IF(玩法行为规划!L150&gt;0,1,0))</f>
        <v/>
      </c>
      <c r="N150" s="7" t="str">
        <f>IF(VLOOKUP(N$2,行为概览!$D$3:$L$33,9,0)="","",VLOOKUP(N$2,行为概览!$D$3:$L$33,9,0)*IF(玩法行为规划!M150&gt;0,1,0))</f>
        <v/>
      </c>
      <c r="O150" s="7" t="str">
        <f>IF(VLOOKUP(O$2,行为概览!$D$3:$L$33,9,0)="","",VLOOKUP(O$2,行为概览!$D$3:$L$33,9,0)*IF(玩法行为规划!N150&gt;0,1,0))</f>
        <v/>
      </c>
      <c r="P150" s="7">
        <f>IF(VLOOKUP(P$2,行为概览!$D$3:$L$33,9,0)="","",VLOOKUP(P$2,行为概览!$D$3:$L$33,9,0)*IF(玩法行为规划!O150&gt;0,1,0))</f>
        <v>0.5</v>
      </c>
      <c r="Q150" s="7">
        <f>IF(VLOOKUP(Q$2,行为概览!$D$3:$L$33,9,0)="","",VLOOKUP(Q$2,行为概览!$D$3:$L$33,9,0)*IF(玩法行为规划!P150&gt;0,1,0))</f>
        <v>5</v>
      </c>
      <c r="R150" s="7" t="str">
        <f>IF(VLOOKUP(R$2,行为概览!$D$3:$L$33,9,0)="","",VLOOKUP(R$2,行为概览!$D$3:$L$33,9,0)*IF(玩法行为规划!Q150&gt;0,1,0))</f>
        <v/>
      </c>
      <c r="S150" s="7">
        <f>IF(VLOOKUP(S$2,行为概览!$D$3:$L$33,9,0)="","",VLOOKUP(S$2,行为概览!$D$3:$L$33,9,0)*IF(玩法行为规划!R150&gt;0,1,0))</f>
        <v>1</v>
      </c>
      <c r="T150" s="7">
        <f>IF(VLOOKUP(T$2,行为概览!$D$3:$L$33,9,0)="","",VLOOKUP(T$2,行为概览!$D$3:$L$33,9,0)*IF(玩法行为规划!S150&gt;0,1,0))</f>
        <v>0</v>
      </c>
      <c r="U150" s="7">
        <f>IF(VLOOKUP(U$2,行为概览!$D$3:$L$33,9,0)="","",VLOOKUP(U$2,行为概览!$D$3:$L$33,9,0)*IF(玩法行为规划!T150&gt;0,1,0))</f>
        <v>1</v>
      </c>
      <c r="V150" s="7">
        <f>IF(VLOOKUP(V$2,行为概览!$D$3:$L$33,9,0)="","",VLOOKUP(V$2,行为概览!$D$3:$L$33,9,0)*IF(玩法行为规划!U150&gt;0,1,0))</f>
        <v>1.5</v>
      </c>
      <c r="W150" s="7">
        <f>IF(VLOOKUP(W$2,行为概览!$D$3:$L$33,9,0)="","",VLOOKUP(W$2,行为概览!$D$3:$L$33,9,0)*IF(玩法行为规划!V150&gt;0,1,0))</f>
        <v>1</v>
      </c>
      <c r="X150" s="7">
        <f>IF(VLOOKUP(X$2,行为概览!$D$3:$L$33,9,0)="","",VLOOKUP(X$2,行为概览!$D$3:$L$33,9,0)*IF(玩法行为规划!W150&gt;0,1,0))</f>
        <v>1</v>
      </c>
      <c r="Y150" s="7">
        <f>IF(VLOOKUP(Y$2,行为概览!$D$3:$L$33,9,0)="","",VLOOKUP(Y$2,行为概览!$D$3:$L$33,9,0)*IF(玩法行为规划!X150&gt;0,1,0))</f>
        <v>1</v>
      </c>
      <c r="Z150" s="7">
        <f>IF(VLOOKUP(Z$2,行为概览!$D$3:$L$33,9,0)="","",VLOOKUP(Z$2,行为概览!$D$3:$L$33,9,0)*IF(玩法行为规划!Y150&gt;0,1,0))</f>
        <v>3</v>
      </c>
      <c r="AA150" s="7">
        <f>IF(VLOOKUP(AA$2,行为概览!$D$3:$L$33,9,0)="","",VLOOKUP(AA$2,行为概览!$D$3:$L$33,9,0)*IF(玩法行为规划!Z150&gt;0,1,0))</f>
        <v>0.5</v>
      </c>
      <c r="AB150" s="7" t="str">
        <f>IF(VLOOKUP(AB$2,行为概览!$D$3:$L$33,9,0)="","",VLOOKUP(AB$2,行为概览!$D$3:$L$33,9,0)*IF(玩法行为规划!AA150&gt;0,1,0))</f>
        <v/>
      </c>
      <c r="AC150" s="7" t="str">
        <f>IF(VLOOKUP(AC$2,行为概览!$D$3:$L$33,9,0)="","",VLOOKUP(AC$2,行为概览!$D$3:$L$33,9,0)*IF(玩法行为规划!AB150&gt;0,1,0))</f>
        <v/>
      </c>
      <c r="AD150" s="7" t="str">
        <f>IF(VLOOKUP(AD$2,行为概览!$D$3:$L$33,9,0)="","",VLOOKUP(AD$2,行为概览!$D$3:$L$33,9,0)*玩法行为规划!AC150)</f>
        <v/>
      </c>
      <c r="AE150" s="7" t="str">
        <f>IF(VLOOKUP(AE$2,行为概览!$D$3:$L$33,9,0)="","",VLOOKUP(AE$2,行为概览!$D$3:$L$33,9,0)*玩法行为规划!AD150)</f>
        <v/>
      </c>
      <c r="AF150" s="7">
        <f t="shared" si="26"/>
        <v>24.65</v>
      </c>
      <c r="AG150" s="10">
        <f t="shared" si="27"/>
        <v>3648200</v>
      </c>
      <c r="AH150" s="7">
        <f>ROUND(AG150*升级节奏!G150,0)</f>
        <v>113722906</v>
      </c>
      <c r="AI150" s="7">
        <f t="shared" si="28"/>
        <v>1746400</v>
      </c>
      <c r="AJ150" s="21" t="str">
        <f t="shared" si="35"/>
        <v/>
      </c>
      <c r="AK150" s="7">
        <f t="shared" si="29"/>
        <v>1.5124365604137258E-2</v>
      </c>
      <c r="AL150" s="7">
        <f t="shared" si="30"/>
        <v>115469306</v>
      </c>
      <c r="AM150" s="7">
        <f>SUM($AL$3:AL150)</f>
        <v>4217758129</v>
      </c>
      <c r="AN150" s="166">
        <f t="shared" si="31"/>
        <v>3820400</v>
      </c>
      <c r="AO150" s="7">
        <f>SUM($AN$3:AN150)*7</f>
        <v>981579200</v>
      </c>
      <c r="AP150" s="69">
        <f t="shared" si="32"/>
        <v>3219076129</v>
      </c>
      <c r="AQ150" s="160">
        <f t="shared" si="33"/>
        <v>11401900</v>
      </c>
      <c r="AR150" s="160">
        <f t="shared" si="34"/>
        <v>5700900</v>
      </c>
    </row>
    <row r="151" spans="1:44">
      <c r="A151" s="32">
        <v>149</v>
      </c>
      <c r="B151" s="81">
        <f>升级节奏!E151</f>
        <v>149000</v>
      </c>
      <c r="C151" s="7">
        <f>IF(VLOOKUP(C$2,行为概览!$D$3:$L$33,9,0)="","",VLOOKUP(C$2,行为概览!$D$3:$L$33,9,0)*IF(玩法行为规划!B151&gt;0,1,0))</f>
        <v>4</v>
      </c>
      <c r="D151" s="7">
        <f>IF(VLOOKUP(D$2,行为概览!$D$3:$L$33,9,0)="","",VLOOKUP(D$2,行为概览!$D$3:$L$33,9,0)*IF(玩法行为规划!C151&gt;0,1,0))</f>
        <v>1.65</v>
      </c>
      <c r="E151" s="7">
        <f>IF(VLOOKUP(E$2,行为概览!$D$3:$L$33,9,0)="","",VLOOKUP(E$2,行为概览!$D$3:$L$33,9,0)*IF(玩法行为规划!D151&gt;0,1,0))</f>
        <v>0.5</v>
      </c>
      <c r="F151" s="7">
        <f>IF(VLOOKUP(F$2,行为概览!$D$3:$L$33,9,0)="","",VLOOKUP(F$2,行为概览!$D$3:$L$33,9,0)*IF(玩法行为规划!E151&gt;0,1,0))</f>
        <v>1</v>
      </c>
      <c r="G151" s="7" t="str">
        <f>IF(VLOOKUP(G$2,行为概览!$D$3:$L$33,9,0)="","",VLOOKUP(G$2,行为概览!$D$3:$L$33,9,0)*IF(玩法行为规划!F151&gt;0,1,0))</f>
        <v/>
      </c>
      <c r="H151" s="7" t="str">
        <f>IF(VLOOKUP(H$2,行为概览!$D$3:$L$33,9,0)="","",VLOOKUP(H$2,行为概览!$D$3:$L$33,9,0)*IF(玩法行为规划!G151&gt;0,1,0))</f>
        <v/>
      </c>
      <c r="I151" s="7" t="str">
        <f>IF(VLOOKUP(I$2,行为概览!$D$3:$L$33,9,0)="","",VLOOKUP(I$2,行为概览!$D$3:$L$33,9,0)*IF(玩法行为规划!H151&gt;0,1,0))</f>
        <v/>
      </c>
      <c r="J151" s="7" t="str">
        <f>IF(VLOOKUP(J$2,行为概览!$D$3:$L$33,9,0)="","",VLOOKUP(J$2,行为概览!$D$3:$L$33,9,0)*IF(玩法行为规划!I151&gt;0,1,0))</f>
        <v/>
      </c>
      <c r="K151" s="7">
        <f>IF(VLOOKUP(K$2,行为概览!$D$3:$L$33,9,0)="","",VLOOKUP(K$2,行为概览!$D$3:$L$33,9,0)*IF(玩法行为规划!J151&gt;0,1,0))</f>
        <v>1</v>
      </c>
      <c r="L151" s="7">
        <f>IF(VLOOKUP(L$2,行为概览!$D$3:$L$33,9,0)="","",VLOOKUP(L$2,行为概览!$D$3:$L$33,9,0)*IF(玩法行为规划!K151&gt;0,1,0))</f>
        <v>1</v>
      </c>
      <c r="M151" s="7" t="str">
        <f>IF(VLOOKUP(M$2,行为概览!$D$3:$L$33,9,0)="","",VLOOKUP(M$2,行为概览!$D$3:$L$33,9,0)*IF(玩法行为规划!L151&gt;0,1,0))</f>
        <v/>
      </c>
      <c r="N151" s="7" t="str">
        <f>IF(VLOOKUP(N$2,行为概览!$D$3:$L$33,9,0)="","",VLOOKUP(N$2,行为概览!$D$3:$L$33,9,0)*IF(玩法行为规划!M151&gt;0,1,0))</f>
        <v/>
      </c>
      <c r="O151" s="7" t="str">
        <f>IF(VLOOKUP(O$2,行为概览!$D$3:$L$33,9,0)="","",VLOOKUP(O$2,行为概览!$D$3:$L$33,9,0)*IF(玩法行为规划!N151&gt;0,1,0))</f>
        <v/>
      </c>
      <c r="P151" s="7">
        <f>IF(VLOOKUP(P$2,行为概览!$D$3:$L$33,9,0)="","",VLOOKUP(P$2,行为概览!$D$3:$L$33,9,0)*IF(玩法行为规划!O151&gt;0,1,0))</f>
        <v>0.5</v>
      </c>
      <c r="Q151" s="7">
        <f>IF(VLOOKUP(Q$2,行为概览!$D$3:$L$33,9,0)="","",VLOOKUP(Q$2,行为概览!$D$3:$L$33,9,0)*IF(玩法行为规划!P151&gt;0,1,0))</f>
        <v>5</v>
      </c>
      <c r="R151" s="7" t="str">
        <f>IF(VLOOKUP(R$2,行为概览!$D$3:$L$33,9,0)="","",VLOOKUP(R$2,行为概览!$D$3:$L$33,9,0)*IF(玩法行为规划!Q151&gt;0,1,0))</f>
        <v/>
      </c>
      <c r="S151" s="7">
        <f>IF(VLOOKUP(S$2,行为概览!$D$3:$L$33,9,0)="","",VLOOKUP(S$2,行为概览!$D$3:$L$33,9,0)*IF(玩法行为规划!R151&gt;0,1,0))</f>
        <v>1</v>
      </c>
      <c r="T151" s="7">
        <f>IF(VLOOKUP(T$2,行为概览!$D$3:$L$33,9,0)="","",VLOOKUP(T$2,行为概览!$D$3:$L$33,9,0)*IF(玩法行为规划!S151&gt;0,1,0))</f>
        <v>0</v>
      </c>
      <c r="U151" s="7">
        <f>IF(VLOOKUP(U$2,行为概览!$D$3:$L$33,9,0)="","",VLOOKUP(U$2,行为概览!$D$3:$L$33,9,0)*IF(玩法行为规划!T151&gt;0,1,0))</f>
        <v>1</v>
      </c>
      <c r="V151" s="7">
        <f>IF(VLOOKUP(V$2,行为概览!$D$3:$L$33,9,0)="","",VLOOKUP(V$2,行为概览!$D$3:$L$33,9,0)*IF(玩法行为规划!U151&gt;0,1,0))</f>
        <v>1.5</v>
      </c>
      <c r="W151" s="7">
        <f>IF(VLOOKUP(W$2,行为概览!$D$3:$L$33,9,0)="","",VLOOKUP(W$2,行为概览!$D$3:$L$33,9,0)*IF(玩法行为规划!V151&gt;0,1,0))</f>
        <v>1</v>
      </c>
      <c r="X151" s="7">
        <f>IF(VLOOKUP(X$2,行为概览!$D$3:$L$33,9,0)="","",VLOOKUP(X$2,行为概览!$D$3:$L$33,9,0)*IF(玩法行为规划!W151&gt;0,1,0))</f>
        <v>1</v>
      </c>
      <c r="Y151" s="7">
        <f>IF(VLOOKUP(Y$2,行为概览!$D$3:$L$33,9,0)="","",VLOOKUP(Y$2,行为概览!$D$3:$L$33,9,0)*IF(玩法行为规划!X151&gt;0,1,0))</f>
        <v>1</v>
      </c>
      <c r="Z151" s="7">
        <f>IF(VLOOKUP(Z$2,行为概览!$D$3:$L$33,9,0)="","",VLOOKUP(Z$2,行为概览!$D$3:$L$33,9,0)*IF(玩法行为规划!Y151&gt;0,1,0))</f>
        <v>3</v>
      </c>
      <c r="AA151" s="7">
        <f>IF(VLOOKUP(AA$2,行为概览!$D$3:$L$33,9,0)="","",VLOOKUP(AA$2,行为概览!$D$3:$L$33,9,0)*IF(玩法行为规划!Z151&gt;0,1,0))</f>
        <v>0.5</v>
      </c>
      <c r="AB151" s="7" t="str">
        <f>IF(VLOOKUP(AB$2,行为概览!$D$3:$L$33,9,0)="","",VLOOKUP(AB$2,行为概览!$D$3:$L$33,9,0)*IF(玩法行为规划!AA151&gt;0,1,0))</f>
        <v/>
      </c>
      <c r="AC151" s="7" t="str">
        <f>IF(VLOOKUP(AC$2,行为概览!$D$3:$L$33,9,0)="","",VLOOKUP(AC$2,行为概览!$D$3:$L$33,9,0)*IF(玩法行为规划!AB151&gt;0,1,0))</f>
        <v/>
      </c>
      <c r="AD151" s="7" t="str">
        <f>IF(VLOOKUP(AD$2,行为概览!$D$3:$L$33,9,0)="","",VLOOKUP(AD$2,行为概览!$D$3:$L$33,9,0)*玩法行为规划!AC151)</f>
        <v/>
      </c>
      <c r="AE151" s="7" t="str">
        <f>IF(VLOOKUP(AE$2,行为概览!$D$3:$L$33,9,0)="","",VLOOKUP(AE$2,行为概览!$D$3:$L$33,9,0)*玩法行为规划!AD151)</f>
        <v/>
      </c>
      <c r="AF151" s="7">
        <f t="shared" si="26"/>
        <v>24.65</v>
      </c>
      <c r="AG151" s="10">
        <f t="shared" si="27"/>
        <v>3672850</v>
      </c>
      <c r="AH151" s="7">
        <f>ROUND(AG151*升级节奏!G151,0)</f>
        <v>116036656</v>
      </c>
      <c r="AI151" s="7">
        <f t="shared" si="28"/>
        <v>1773100</v>
      </c>
      <c r="AJ151" s="21" t="str">
        <f t="shared" si="35"/>
        <v/>
      </c>
      <c r="AK151" s="7">
        <f t="shared" si="29"/>
        <v>1.5050536222144455E-2</v>
      </c>
      <c r="AL151" s="7">
        <f t="shared" si="30"/>
        <v>117809756</v>
      </c>
      <c r="AM151" s="7">
        <f>SUM($AL$3:AL151)</f>
        <v>4335567885</v>
      </c>
      <c r="AN151" s="166">
        <f t="shared" si="31"/>
        <v>3897700</v>
      </c>
      <c r="AO151" s="7">
        <f>SUM($AN$3:AN151)*7</f>
        <v>1008863100</v>
      </c>
      <c r="AP151" s="69">
        <f t="shared" si="32"/>
        <v>3309254585</v>
      </c>
      <c r="AQ151" s="160">
        <f t="shared" si="33"/>
        <v>11633500</v>
      </c>
      <c r="AR151" s="160">
        <f t="shared" si="34"/>
        <v>5816700</v>
      </c>
    </row>
    <row r="152" spans="1:44">
      <c r="A152" s="33">
        <v>150</v>
      </c>
      <c r="B152" s="83">
        <f>升级节奏!E152</f>
        <v>150000</v>
      </c>
      <c r="C152" s="7">
        <f>IF(VLOOKUP(C$2,行为概览!$D$3:$L$33,9,0)="","",VLOOKUP(C$2,行为概览!$D$3:$L$33,9,0)*IF(玩法行为规划!B152&gt;0,1,0))</f>
        <v>4</v>
      </c>
      <c r="D152" s="7">
        <f>IF(VLOOKUP(D$2,行为概览!$D$3:$L$33,9,0)="","",VLOOKUP(D$2,行为概览!$D$3:$L$33,9,0)*IF(玩法行为规划!C152&gt;0,1,0))</f>
        <v>1.65</v>
      </c>
      <c r="E152" s="7">
        <f>IF(VLOOKUP(E$2,行为概览!$D$3:$L$33,9,0)="","",VLOOKUP(E$2,行为概览!$D$3:$L$33,9,0)*IF(玩法行为规划!D152&gt;0,1,0))</f>
        <v>0.5</v>
      </c>
      <c r="F152" s="7">
        <f>IF(VLOOKUP(F$2,行为概览!$D$3:$L$33,9,0)="","",VLOOKUP(F$2,行为概览!$D$3:$L$33,9,0)*IF(玩法行为规划!E152&gt;0,1,0))</f>
        <v>1</v>
      </c>
      <c r="G152" s="7" t="str">
        <f>IF(VLOOKUP(G$2,行为概览!$D$3:$L$33,9,0)="","",VLOOKUP(G$2,行为概览!$D$3:$L$33,9,0)*IF(玩法行为规划!F152&gt;0,1,0))</f>
        <v/>
      </c>
      <c r="H152" s="7" t="str">
        <f>IF(VLOOKUP(H$2,行为概览!$D$3:$L$33,9,0)="","",VLOOKUP(H$2,行为概览!$D$3:$L$33,9,0)*IF(玩法行为规划!G152&gt;0,1,0))</f>
        <v/>
      </c>
      <c r="I152" s="7" t="str">
        <f>IF(VLOOKUP(I$2,行为概览!$D$3:$L$33,9,0)="","",VLOOKUP(I$2,行为概览!$D$3:$L$33,9,0)*IF(玩法行为规划!H152&gt;0,1,0))</f>
        <v/>
      </c>
      <c r="J152" s="7" t="str">
        <f>IF(VLOOKUP(J$2,行为概览!$D$3:$L$33,9,0)="","",VLOOKUP(J$2,行为概览!$D$3:$L$33,9,0)*IF(玩法行为规划!I152&gt;0,1,0))</f>
        <v/>
      </c>
      <c r="K152" s="7">
        <f>IF(VLOOKUP(K$2,行为概览!$D$3:$L$33,9,0)="","",VLOOKUP(K$2,行为概览!$D$3:$L$33,9,0)*IF(玩法行为规划!J152&gt;0,1,0))</f>
        <v>1</v>
      </c>
      <c r="L152" s="7">
        <f>IF(VLOOKUP(L$2,行为概览!$D$3:$L$33,9,0)="","",VLOOKUP(L$2,行为概览!$D$3:$L$33,9,0)*IF(玩法行为规划!K152&gt;0,1,0))</f>
        <v>1</v>
      </c>
      <c r="M152" s="7" t="str">
        <f>IF(VLOOKUP(M$2,行为概览!$D$3:$L$33,9,0)="","",VLOOKUP(M$2,行为概览!$D$3:$L$33,9,0)*IF(玩法行为规划!L152&gt;0,1,0))</f>
        <v/>
      </c>
      <c r="N152" s="7" t="str">
        <f>IF(VLOOKUP(N$2,行为概览!$D$3:$L$33,9,0)="","",VLOOKUP(N$2,行为概览!$D$3:$L$33,9,0)*IF(玩法行为规划!M152&gt;0,1,0))</f>
        <v/>
      </c>
      <c r="O152" s="7" t="str">
        <f>IF(VLOOKUP(O$2,行为概览!$D$3:$L$33,9,0)="","",VLOOKUP(O$2,行为概览!$D$3:$L$33,9,0)*IF(玩法行为规划!N152&gt;0,1,0))</f>
        <v/>
      </c>
      <c r="P152" s="7">
        <f>IF(VLOOKUP(P$2,行为概览!$D$3:$L$33,9,0)="","",VLOOKUP(P$2,行为概览!$D$3:$L$33,9,0)*IF(玩法行为规划!O152&gt;0,1,0))</f>
        <v>0.5</v>
      </c>
      <c r="Q152" s="7">
        <f>IF(VLOOKUP(Q$2,行为概览!$D$3:$L$33,9,0)="","",VLOOKUP(Q$2,行为概览!$D$3:$L$33,9,0)*IF(玩法行为规划!P152&gt;0,1,0))</f>
        <v>5</v>
      </c>
      <c r="R152" s="7" t="str">
        <f>IF(VLOOKUP(R$2,行为概览!$D$3:$L$33,9,0)="","",VLOOKUP(R$2,行为概览!$D$3:$L$33,9,0)*IF(玩法行为规划!Q152&gt;0,1,0))</f>
        <v/>
      </c>
      <c r="S152" s="7">
        <f>IF(VLOOKUP(S$2,行为概览!$D$3:$L$33,9,0)="","",VLOOKUP(S$2,行为概览!$D$3:$L$33,9,0)*IF(玩法行为规划!R152&gt;0,1,0))</f>
        <v>1</v>
      </c>
      <c r="T152" s="7">
        <f>IF(VLOOKUP(T$2,行为概览!$D$3:$L$33,9,0)="","",VLOOKUP(T$2,行为概览!$D$3:$L$33,9,0)*IF(玩法行为规划!S152&gt;0,1,0))</f>
        <v>0</v>
      </c>
      <c r="U152" s="7">
        <f>IF(VLOOKUP(U$2,行为概览!$D$3:$L$33,9,0)="","",VLOOKUP(U$2,行为概览!$D$3:$L$33,9,0)*IF(玩法行为规划!T152&gt;0,1,0))</f>
        <v>1</v>
      </c>
      <c r="V152" s="7">
        <f>IF(VLOOKUP(V$2,行为概览!$D$3:$L$33,9,0)="","",VLOOKUP(V$2,行为概览!$D$3:$L$33,9,0)*IF(玩法行为规划!U152&gt;0,1,0))</f>
        <v>1.5</v>
      </c>
      <c r="W152" s="7">
        <f>IF(VLOOKUP(W$2,行为概览!$D$3:$L$33,9,0)="","",VLOOKUP(W$2,行为概览!$D$3:$L$33,9,0)*IF(玩法行为规划!V152&gt;0,1,0))</f>
        <v>1</v>
      </c>
      <c r="X152" s="7">
        <f>IF(VLOOKUP(X$2,行为概览!$D$3:$L$33,9,0)="","",VLOOKUP(X$2,行为概览!$D$3:$L$33,9,0)*IF(玩法行为规划!W152&gt;0,1,0))</f>
        <v>1</v>
      </c>
      <c r="Y152" s="7">
        <f>IF(VLOOKUP(Y$2,行为概览!$D$3:$L$33,9,0)="","",VLOOKUP(Y$2,行为概览!$D$3:$L$33,9,0)*IF(玩法行为规划!X152&gt;0,1,0))</f>
        <v>1</v>
      </c>
      <c r="Z152" s="7">
        <f>IF(VLOOKUP(Z$2,行为概览!$D$3:$L$33,9,0)="","",VLOOKUP(Z$2,行为概览!$D$3:$L$33,9,0)*IF(玩法行为规划!Y152&gt;0,1,0))</f>
        <v>3</v>
      </c>
      <c r="AA152" s="7">
        <f>IF(VLOOKUP(AA$2,行为概览!$D$3:$L$33,9,0)="","",VLOOKUP(AA$2,行为概览!$D$3:$L$33,9,0)*IF(玩法行为规划!Z152&gt;0,1,0))</f>
        <v>0.5</v>
      </c>
      <c r="AB152" s="7" t="str">
        <f>IF(VLOOKUP(AB$2,行为概览!$D$3:$L$33,9,0)="","",VLOOKUP(AB$2,行为概览!$D$3:$L$33,9,0)*IF(玩法行为规划!AA152&gt;0,1,0))</f>
        <v/>
      </c>
      <c r="AC152" s="7" t="str">
        <f>IF(VLOOKUP(AC$2,行为概览!$D$3:$L$33,9,0)="","",VLOOKUP(AC$2,行为概览!$D$3:$L$33,9,0)*IF(玩法行为规划!AB152&gt;0,1,0))</f>
        <v/>
      </c>
      <c r="AD152" s="7" t="str">
        <f>IF(VLOOKUP(AD$2,行为概览!$D$3:$L$33,9,0)="","",VLOOKUP(AD$2,行为概览!$D$3:$L$33,9,0)*玩法行为规划!AC152)</f>
        <v/>
      </c>
      <c r="AE152" s="7" t="str">
        <f>IF(VLOOKUP(AE$2,行为概览!$D$3:$L$33,9,0)="","",VLOOKUP(AE$2,行为概览!$D$3:$L$33,9,0)*玩法行为规划!AD152)</f>
        <v/>
      </c>
      <c r="AF152" s="7">
        <f t="shared" si="26"/>
        <v>24.65</v>
      </c>
      <c r="AG152" s="10">
        <f t="shared" si="27"/>
        <v>3697500</v>
      </c>
      <c r="AH152" s="7">
        <f>ROUND(AG152*升级节奏!G152,0)</f>
        <v>118381625</v>
      </c>
      <c r="AI152" s="7">
        <f t="shared" si="28"/>
        <v>1800000</v>
      </c>
      <c r="AJ152" s="21">
        <f t="shared" si="35"/>
        <v>1800000</v>
      </c>
      <c r="AK152" s="7">
        <f t="shared" si="29"/>
        <v>1.4977331185195741E-2</v>
      </c>
      <c r="AL152" s="7">
        <f t="shared" si="30"/>
        <v>120181625</v>
      </c>
      <c r="AM152" s="7">
        <f>SUM($AL$3:AL152)</f>
        <v>4455749510</v>
      </c>
      <c r="AN152" s="166">
        <f t="shared" si="31"/>
        <v>3976100</v>
      </c>
      <c r="AO152" s="7">
        <f>SUM($AN$3:AN152)*7</f>
        <v>1036695800</v>
      </c>
      <c r="AP152" s="69">
        <f t="shared" si="32"/>
        <v>3401251410</v>
      </c>
      <c r="AQ152" s="160">
        <f t="shared" si="33"/>
        <v>11868200</v>
      </c>
      <c r="AR152" s="160">
        <f t="shared" si="34"/>
        <v>5934100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AM152"/>
  <sheetViews>
    <sheetView workbookViewId="0">
      <selection activeCell="R13" sqref="R13"/>
    </sheetView>
  </sheetViews>
  <sheetFormatPr defaultRowHeight="13.5"/>
  <cols>
    <col min="1" max="2" width="4.625" style="84" customWidth="1"/>
    <col min="3" max="3" width="6.5" bestFit="1" customWidth="1"/>
    <col min="4" max="31" width="4.625" customWidth="1"/>
    <col min="32" max="32" width="4.625" style="7" customWidth="1"/>
    <col min="33" max="33" width="7.875" customWidth="1"/>
    <col min="34" max="34" width="7.75" customWidth="1"/>
    <col min="35" max="35" width="7.125" customWidth="1"/>
    <col min="36" max="36" width="7.125" style="7" customWidth="1"/>
    <col min="37" max="37" width="6.5" customWidth="1"/>
    <col min="38" max="38" width="7.25" customWidth="1"/>
  </cols>
  <sheetData>
    <row r="1" spans="1:39">
      <c r="A1" s="30"/>
      <c r="B1" s="30"/>
      <c r="C1" s="188" t="s">
        <v>225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94" t="s">
        <v>226</v>
      </c>
      <c r="T1" s="195"/>
      <c r="U1" s="195"/>
      <c r="V1" s="195"/>
      <c r="W1" s="195"/>
      <c r="X1" s="195"/>
      <c r="Y1" s="195"/>
      <c r="Z1" s="195"/>
      <c r="AA1" s="195"/>
      <c r="AB1" s="195"/>
      <c r="AC1" s="196"/>
      <c r="AD1" s="176" t="s">
        <v>233</v>
      </c>
      <c r="AE1" s="177"/>
      <c r="AF1" s="105"/>
    </row>
    <row r="2" spans="1:39" ht="133.5">
      <c r="A2" s="28" t="s">
        <v>63</v>
      </c>
      <c r="B2" s="28" t="s">
        <v>224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66" t="s">
        <v>21</v>
      </c>
      <c r="AD2" s="17" t="s">
        <v>388</v>
      </c>
      <c r="AE2" s="17" t="s">
        <v>239</v>
      </c>
      <c r="AF2" s="125" t="s">
        <v>214</v>
      </c>
      <c r="AG2" s="22" t="s">
        <v>227</v>
      </c>
      <c r="AH2" s="22" t="s">
        <v>228</v>
      </c>
      <c r="AI2" s="71" t="s">
        <v>229</v>
      </c>
      <c r="AJ2" s="71" t="s">
        <v>231</v>
      </c>
      <c r="AK2" s="22" t="s">
        <v>232</v>
      </c>
      <c r="AL2" s="22" t="s">
        <v>230</v>
      </c>
    </row>
    <row r="3" spans="1:39">
      <c r="A3" s="31">
        <v>1</v>
      </c>
      <c r="B3" s="86">
        <f>升级节奏!F3</f>
        <v>1</v>
      </c>
      <c r="C3">
        <f>IF(VLOOKUP(C$2,行为概览!$D$3:$M$33,10,0)="","",VLOOKUP(C$2,行为概览!$D$3:$M$33,10,0)*IF(玩法行为规划!B3&gt;0,1,0))</f>
        <v>0</v>
      </c>
      <c r="D3" s="7" t="str">
        <f>IF(VLOOKUP(D$2,行为概览!$D$3:$M$33,10,0)="","",VLOOKUP(D$2,行为概览!$D$3:$M$33,10,0)*IF(玩法行为规划!C3&gt;0,1,0))</f>
        <v/>
      </c>
      <c r="E3" s="7" t="str">
        <f>IF(VLOOKUP(E$2,行为概览!$D$3:$M$33,10,0)="","",VLOOKUP(E$2,行为概览!$D$3:$M$33,10,0)*IF(玩法行为规划!D3&gt;0,1,0))</f>
        <v/>
      </c>
      <c r="F3" s="7">
        <f>IF(VLOOKUP(F$2,行为概览!$D$3:$M$33,10,0)="","",VLOOKUP(F$2,行为概览!$D$3:$M$33,10,0)*IF(玩法行为规划!E3&gt;0,1,0))</f>
        <v>0</v>
      </c>
      <c r="G3" s="7" t="str">
        <f>IF(VLOOKUP(G$2,行为概览!$D$3:$M$33,10,0)="","",VLOOKUP(G$2,行为概览!$D$3:$M$33,10,0)*IF(玩法行为规划!F3&gt;0,1,0))</f>
        <v/>
      </c>
      <c r="H3" s="7" t="str">
        <f>IF(VLOOKUP(H$2,行为概览!$D$3:$M$33,10,0)="","",VLOOKUP(H$2,行为概览!$D$3:$M$33,10,0)*IF(玩法行为规划!G3&gt;0,1,0))</f>
        <v/>
      </c>
      <c r="I3" s="7" t="str">
        <f>IF(VLOOKUP(I$2,行为概览!$D$3:$M$33,10,0)="","",VLOOKUP(I$2,行为概览!$D$3:$M$33,10,0)*IF(玩法行为规划!H3&gt;0,1,0))</f>
        <v/>
      </c>
      <c r="J3" s="7" t="str">
        <f>IF(VLOOKUP(J$2,行为概览!$D$3:$M$33,10,0)="","",VLOOKUP(J$2,行为概览!$D$3:$M$33,10,0)*IF(玩法行为规划!I3&gt;0,1,0))</f>
        <v/>
      </c>
      <c r="K3" s="7">
        <f>IF(VLOOKUP(K$2,行为概览!$D$3:$M$33,10,0)="","",VLOOKUP(K$2,行为概览!$D$3:$M$33,10,0)*IF(玩法行为规划!J3&gt;0,1,0))</f>
        <v>0</v>
      </c>
      <c r="L3" s="7">
        <f>IF(VLOOKUP(L$2,行为概览!$D$3:$M$33,10,0)="","",VLOOKUP(L$2,行为概览!$D$3:$M$33,10,0)*IF(玩法行为规划!K3&gt;0,1,0))</f>
        <v>0</v>
      </c>
      <c r="M3" s="7" t="str">
        <f>IF(VLOOKUP(M$2,行为概览!$D$3:$M$33,10,0)="","",VLOOKUP(M$2,行为概览!$D$3:$M$33,10,0)*IF(玩法行为规划!L3&gt;0,1,0))</f>
        <v/>
      </c>
      <c r="N3" s="7" t="str">
        <f>IF(VLOOKUP(N$2,行为概览!$D$3:$M$33,10,0)="","",VLOOKUP(N$2,行为概览!$D$3:$M$33,10,0)*IF(玩法行为规划!M3&gt;0,1,0))</f>
        <v/>
      </c>
      <c r="O3" s="7" t="str">
        <f>IF(VLOOKUP(O$2,行为概览!$D$3:$M$33,10,0)="","",VLOOKUP(O$2,行为概览!$D$3:$M$33,10,0)*IF(玩法行为规划!N3&gt;0,1,0))</f>
        <v/>
      </c>
      <c r="P3" s="7" t="str">
        <f>IF(VLOOKUP(P$2,行为概览!$D$3:$M$33,10,0)="","",VLOOKUP(P$2,行为概览!$D$3:$M$33,10,0)*IF(玩法行为规划!O3&gt;0,1,0))</f>
        <v/>
      </c>
      <c r="Q3" s="7">
        <f>IF(VLOOKUP(Q$2,行为概览!$D$3:$M$33,10,0)="","",VLOOKUP(Q$2,行为概览!$D$3:$M$33,10,0)*IF(玩法行为规划!P3&gt;0,1,0))</f>
        <v>10</v>
      </c>
      <c r="R3" s="7" t="str">
        <f>IF(VLOOKUP(R$2,行为概览!$D$3:$M$33,10,0)="","",VLOOKUP(R$2,行为概览!$D$3:$M$33,10,0)*IF(玩法行为规划!Q3&gt;0,1,0))</f>
        <v/>
      </c>
      <c r="S3" s="7">
        <f>IF(VLOOKUP(S$2,行为概览!$D$3:$M$33,10,0)="","",VLOOKUP(S$2,行为概览!$D$3:$M$33,10,0)*IF(玩法行为规划!R3&gt;0,1,0))</f>
        <v>0</v>
      </c>
      <c r="T3" s="7" t="str">
        <f>IF(VLOOKUP(T$2,行为概览!$D$3:$M$33,10,0)="","",VLOOKUP(T$2,行为概览!$D$3:$M$33,10,0)*IF(玩法行为规划!S3&gt;0,1,0))</f>
        <v/>
      </c>
      <c r="U3" s="7" t="str">
        <f>IF(VLOOKUP(U$2,行为概览!$D$3:$M$33,10,0)="","",VLOOKUP(U$2,行为概览!$D$3:$M$33,10,0)*IF(玩法行为规划!T3&gt;0,1,0))</f>
        <v/>
      </c>
      <c r="V3" s="7">
        <f>IF(VLOOKUP(V$2,行为概览!$D$3:$M$33,10,0)="","",VLOOKUP(V$2,行为概览!$D$3:$M$33,10,0)*IF(玩法行为规划!U3&gt;0,1,0))</f>
        <v>0</v>
      </c>
      <c r="W3" s="7" t="str">
        <f>IF(VLOOKUP(W$2,行为概览!$D$3:$M$33,10,0)="","",VLOOKUP(W$2,行为概览!$D$3:$M$33,10,0)*IF(玩法行为规划!V3&gt;0,1,0))</f>
        <v/>
      </c>
      <c r="X3" s="7" t="str">
        <f>IF(VLOOKUP(X$2,行为概览!$D$3:$M$33,10,0)="","",VLOOKUP(X$2,行为概览!$D$3:$M$33,10,0)*IF(玩法行为规划!W3&gt;0,1,0))</f>
        <v/>
      </c>
      <c r="Y3" s="7" t="str">
        <f>IF(VLOOKUP(Y$2,行为概览!$D$3:$M$33,10,0)="","",VLOOKUP(Y$2,行为概览!$D$3:$M$33,10,0)*IF(玩法行为规划!X3&gt;0,1,0))</f>
        <v/>
      </c>
      <c r="Z3" s="7">
        <f>IF(VLOOKUP(Z$2,行为概览!$D$3:$M$33,10,0)="","",VLOOKUP(Z$2,行为概览!$D$3:$M$33,10,0)*IF(玩法行为规划!Y3&gt;0,1,0))</f>
        <v>0</v>
      </c>
      <c r="AA3" s="7" t="str">
        <f>IF(VLOOKUP(AA$2,行为概览!$D$3:$M$33,10,0)="","",VLOOKUP(AA$2,行为概览!$D$3:$M$33,10,0)*IF(玩法行为规划!Z3&gt;0,1,0))</f>
        <v/>
      </c>
      <c r="AB3" s="7" t="str">
        <f>IF(VLOOKUP(AB$2,行为概览!$D$3:$M$33,10,0)="","",VLOOKUP(AB$2,行为概览!$D$3:$M$33,10,0)*IF(玩法行为规划!AA3&gt;0,1,0))</f>
        <v/>
      </c>
      <c r="AC3" s="7" t="str">
        <f>IF(VLOOKUP(AC$2,行为概览!$D$3:$M$33,10,0)="","",VLOOKUP(AC$2,行为概览!$D$3:$M$33,10,0)*IF(玩法行为规划!AB3&gt;0,1,0))</f>
        <v/>
      </c>
      <c r="AD3" s="7" t="str">
        <f>IF(VLOOKUP(AD$2,行为概览!$D$3:$M$33,10,0)="","",VLOOKUP(AD$2,行为概览!$D$3:$M$33,10,0)*IF(玩法行为规划!AC3&gt;0,1,0))</f>
        <v/>
      </c>
      <c r="AE3" s="7" t="str">
        <f>IF(VLOOKUP(AE$2,行为概览!$D$3:$M$33,10,0)="","",VLOOKUP(AE$2,行为概览!$D$3:$M$33,10,0)*IF(玩法行为规划!AD3&gt;0,1,0))</f>
        <v/>
      </c>
      <c r="AF3" s="7">
        <f>IF(VLOOKUP(AF$2,行为概览!$D$3:$M$33,10,0)="","",VLOOKUP(AF$2,行为概览!$D$3:$M$33,10,0)*IF(玩法行为规划!AE3&gt;0,1,0))</f>
        <v>0</v>
      </c>
      <c r="AG3">
        <f t="shared" ref="AG3:AG34" si="0">SUM(C3:AC3)+AF3</f>
        <v>10</v>
      </c>
      <c r="AH3">
        <f t="shared" ref="AH3:AH34" si="1">B3*AG3</f>
        <v>10</v>
      </c>
      <c r="AI3">
        <v>0</v>
      </c>
      <c r="AJ3" s="21">
        <f>SUM(AI3:AI11)</f>
        <v>0</v>
      </c>
      <c r="AK3">
        <f>AH3+AI3</f>
        <v>10</v>
      </c>
      <c r="AL3">
        <f>SUM($AK$3:AK3)</f>
        <v>10</v>
      </c>
    </row>
    <row r="4" spans="1:39">
      <c r="A4" s="32">
        <v>2</v>
      </c>
      <c r="B4" s="87">
        <f>升级节奏!F4</f>
        <v>2</v>
      </c>
      <c r="C4" s="7">
        <f>IF(VLOOKUP(C$2,行为概览!$D$3:$M$33,10,0)="","",VLOOKUP(C$2,行为概览!$D$3:$M$33,10,0)*IF(玩法行为规划!B4&gt;0,1,0))</f>
        <v>0</v>
      </c>
      <c r="D4" s="7" t="str">
        <f>IF(VLOOKUP(D$2,行为概览!$D$3:$M$33,10,0)="","",VLOOKUP(D$2,行为概览!$D$3:$M$33,10,0)*IF(玩法行为规划!C4&gt;0,1,0))</f>
        <v/>
      </c>
      <c r="E4" s="7" t="str">
        <f>IF(VLOOKUP(E$2,行为概览!$D$3:$M$33,10,0)="","",VLOOKUP(E$2,行为概览!$D$3:$M$33,10,0)*IF(玩法行为规划!D4&gt;0,1,0))</f>
        <v/>
      </c>
      <c r="F4" s="7">
        <f>IF(VLOOKUP(F$2,行为概览!$D$3:$M$33,10,0)="","",VLOOKUP(F$2,行为概览!$D$3:$M$33,10,0)*IF(玩法行为规划!E4&gt;0,1,0))</f>
        <v>0</v>
      </c>
      <c r="G4" s="7" t="str">
        <f>IF(VLOOKUP(G$2,行为概览!$D$3:$M$33,10,0)="","",VLOOKUP(G$2,行为概览!$D$3:$M$33,10,0)*IF(玩法行为规划!F4&gt;0,1,0))</f>
        <v/>
      </c>
      <c r="H4" s="7" t="str">
        <f>IF(VLOOKUP(H$2,行为概览!$D$3:$M$33,10,0)="","",VLOOKUP(H$2,行为概览!$D$3:$M$33,10,0)*IF(玩法行为规划!G4&gt;0,1,0))</f>
        <v/>
      </c>
      <c r="I4" s="7" t="str">
        <f>IF(VLOOKUP(I$2,行为概览!$D$3:$M$33,10,0)="","",VLOOKUP(I$2,行为概览!$D$3:$M$33,10,0)*IF(玩法行为规划!H4&gt;0,1,0))</f>
        <v/>
      </c>
      <c r="J4" s="7" t="str">
        <f>IF(VLOOKUP(J$2,行为概览!$D$3:$M$33,10,0)="","",VLOOKUP(J$2,行为概览!$D$3:$M$33,10,0)*IF(玩法行为规划!I4&gt;0,1,0))</f>
        <v/>
      </c>
      <c r="K4" s="7">
        <f>IF(VLOOKUP(K$2,行为概览!$D$3:$M$33,10,0)="","",VLOOKUP(K$2,行为概览!$D$3:$M$33,10,0)*IF(玩法行为规划!J4&gt;0,1,0))</f>
        <v>0</v>
      </c>
      <c r="L4" s="7">
        <f>IF(VLOOKUP(L$2,行为概览!$D$3:$M$33,10,0)="","",VLOOKUP(L$2,行为概览!$D$3:$M$33,10,0)*IF(玩法行为规划!K4&gt;0,1,0))</f>
        <v>0</v>
      </c>
      <c r="M4" s="7" t="str">
        <f>IF(VLOOKUP(M$2,行为概览!$D$3:$M$33,10,0)="","",VLOOKUP(M$2,行为概览!$D$3:$M$33,10,0)*IF(玩法行为规划!L4&gt;0,1,0))</f>
        <v/>
      </c>
      <c r="N4" s="7" t="str">
        <f>IF(VLOOKUP(N$2,行为概览!$D$3:$M$33,10,0)="","",VLOOKUP(N$2,行为概览!$D$3:$M$33,10,0)*IF(玩法行为规划!M4&gt;0,1,0))</f>
        <v/>
      </c>
      <c r="O4" s="7" t="str">
        <f>IF(VLOOKUP(O$2,行为概览!$D$3:$M$33,10,0)="","",VLOOKUP(O$2,行为概览!$D$3:$M$33,10,0)*IF(玩法行为规划!N4&gt;0,1,0))</f>
        <v/>
      </c>
      <c r="P4" s="7" t="str">
        <f>IF(VLOOKUP(P$2,行为概览!$D$3:$M$33,10,0)="","",VLOOKUP(P$2,行为概览!$D$3:$M$33,10,0)*IF(玩法行为规划!O4&gt;0,1,0))</f>
        <v/>
      </c>
      <c r="Q4" s="7">
        <f>IF(VLOOKUP(Q$2,行为概览!$D$3:$M$33,10,0)="","",VLOOKUP(Q$2,行为概览!$D$3:$M$33,10,0)*IF(玩法行为规划!P4&gt;0,1,0))</f>
        <v>10</v>
      </c>
      <c r="R4" s="7" t="str">
        <f>IF(VLOOKUP(R$2,行为概览!$D$3:$M$33,10,0)="","",VLOOKUP(R$2,行为概览!$D$3:$M$33,10,0)*IF(玩法行为规划!Q4&gt;0,1,0))</f>
        <v/>
      </c>
      <c r="S4" s="7">
        <f>IF(VLOOKUP(S$2,行为概览!$D$3:$M$33,10,0)="","",VLOOKUP(S$2,行为概览!$D$3:$M$33,10,0)*IF(玩法行为规划!R4&gt;0,1,0))</f>
        <v>0</v>
      </c>
      <c r="T4" s="7" t="str">
        <f>IF(VLOOKUP(T$2,行为概览!$D$3:$M$33,10,0)="","",VLOOKUP(T$2,行为概览!$D$3:$M$33,10,0)*IF(玩法行为规划!S4&gt;0,1,0))</f>
        <v/>
      </c>
      <c r="U4" s="7" t="str">
        <f>IF(VLOOKUP(U$2,行为概览!$D$3:$M$33,10,0)="","",VLOOKUP(U$2,行为概览!$D$3:$M$33,10,0)*IF(玩法行为规划!T4&gt;0,1,0))</f>
        <v/>
      </c>
      <c r="V4" s="7">
        <f>IF(VLOOKUP(V$2,行为概览!$D$3:$M$33,10,0)="","",VLOOKUP(V$2,行为概览!$D$3:$M$33,10,0)*IF(玩法行为规划!U4&gt;0,1,0))</f>
        <v>0</v>
      </c>
      <c r="W4" s="7" t="str">
        <f>IF(VLOOKUP(W$2,行为概览!$D$3:$M$33,10,0)="","",VLOOKUP(W$2,行为概览!$D$3:$M$33,10,0)*IF(玩法行为规划!V4&gt;0,1,0))</f>
        <v/>
      </c>
      <c r="X4" s="7" t="str">
        <f>IF(VLOOKUP(X$2,行为概览!$D$3:$M$33,10,0)="","",VLOOKUP(X$2,行为概览!$D$3:$M$33,10,0)*IF(玩法行为规划!W4&gt;0,1,0))</f>
        <v/>
      </c>
      <c r="Y4" s="7" t="str">
        <f>IF(VLOOKUP(Y$2,行为概览!$D$3:$M$33,10,0)="","",VLOOKUP(Y$2,行为概览!$D$3:$M$33,10,0)*IF(玩法行为规划!X4&gt;0,1,0))</f>
        <v/>
      </c>
      <c r="Z4" s="7">
        <f>IF(VLOOKUP(Z$2,行为概览!$D$3:$M$33,10,0)="","",VLOOKUP(Z$2,行为概览!$D$3:$M$33,10,0)*IF(玩法行为规划!Y4&gt;0,1,0))</f>
        <v>0</v>
      </c>
      <c r="AA4" s="7" t="str">
        <f>IF(VLOOKUP(AA$2,行为概览!$D$3:$M$33,10,0)="","",VLOOKUP(AA$2,行为概览!$D$3:$M$33,10,0)*IF(玩法行为规划!Z4&gt;0,1,0))</f>
        <v/>
      </c>
      <c r="AB4" s="7" t="str">
        <f>IF(VLOOKUP(AB$2,行为概览!$D$3:$M$33,10,0)="","",VLOOKUP(AB$2,行为概览!$D$3:$M$33,10,0)*IF(玩法行为规划!AA4&gt;0,1,0))</f>
        <v/>
      </c>
      <c r="AC4" s="7" t="str">
        <f>IF(VLOOKUP(AC$2,行为概览!$D$3:$M$33,10,0)="","",VLOOKUP(AC$2,行为概览!$D$3:$M$33,10,0)*IF(玩法行为规划!AB4&gt;0,1,0))</f>
        <v/>
      </c>
      <c r="AD4" s="7" t="str">
        <f>IF(VLOOKUP(AD$2,行为概览!$D$3:$M$33,10,0)="","",VLOOKUP(AD$2,行为概览!$D$3:$M$33,10,0)*IF(玩法行为规划!AC4&gt;0,1,0))</f>
        <v/>
      </c>
      <c r="AE4" s="7" t="str">
        <f>IF(VLOOKUP(AE$2,行为概览!$D$3:$M$33,10,0)="","",VLOOKUP(AE$2,行为概览!$D$3:$M$33,10,0)*IF(玩法行为规划!AD4&gt;0,1,0))</f>
        <v/>
      </c>
      <c r="AF4" s="7">
        <f>IF(VLOOKUP(AF$2,行为概览!$D$3:$M$33,10,0)="","",VLOOKUP(AF$2,行为概览!$D$3:$M$33,10,0)*IF(玩法行为规划!AE4&gt;0,1,0))</f>
        <v>0</v>
      </c>
      <c r="AG4" s="7">
        <f t="shared" si="0"/>
        <v>10</v>
      </c>
      <c r="AH4" s="7">
        <f t="shared" si="1"/>
        <v>20</v>
      </c>
      <c r="AI4" s="7">
        <v>0</v>
      </c>
      <c r="AJ4" s="21"/>
      <c r="AK4" s="7">
        <f t="shared" ref="AK4:AK67" si="2">AH4+AI4</f>
        <v>20</v>
      </c>
      <c r="AL4" s="7">
        <f>SUM($AK$3:AK4)</f>
        <v>30</v>
      </c>
    </row>
    <row r="5" spans="1:39">
      <c r="A5" s="32">
        <v>3</v>
      </c>
      <c r="B5" s="87">
        <f>升级节奏!F5</f>
        <v>3</v>
      </c>
      <c r="C5" s="7">
        <f>IF(VLOOKUP(C$2,行为概览!$D$3:$M$33,10,0)="","",VLOOKUP(C$2,行为概览!$D$3:$M$33,10,0)*IF(玩法行为规划!B5&gt;0,1,0))</f>
        <v>0</v>
      </c>
      <c r="D5" s="7" t="str">
        <f>IF(VLOOKUP(D$2,行为概览!$D$3:$M$33,10,0)="","",VLOOKUP(D$2,行为概览!$D$3:$M$33,10,0)*IF(玩法行为规划!C5&gt;0,1,0))</f>
        <v/>
      </c>
      <c r="E5" s="7" t="str">
        <f>IF(VLOOKUP(E$2,行为概览!$D$3:$M$33,10,0)="","",VLOOKUP(E$2,行为概览!$D$3:$M$33,10,0)*IF(玩法行为规划!D5&gt;0,1,0))</f>
        <v/>
      </c>
      <c r="F5" s="7">
        <f>IF(VLOOKUP(F$2,行为概览!$D$3:$M$33,10,0)="","",VLOOKUP(F$2,行为概览!$D$3:$M$33,10,0)*IF(玩法行为规划!E5&gt;0,1,0))</f>
        <v>0</v>
      </c>
      <c r="G5" s="7" t="str">
        <f>IF(VLOOKUP(G$2,行为概览!$D$3:$M$33,10,0)="","",VLOOKUP(G$2,行为概览!$D$3:$M$33,10,0)*IF(玩法行为规划!F5&gt;0,1,0))</f>
        <v/>
      </c>
      <c r="H5" s="7" t="str">
        <f>IF(VLOOKUP(H$2,行为概览!$D$3:$M$33,10,0)="","",VLOOKUP(H$2,行为概览!$D$3:$M$33,10,0)*IF(玩法行为规划!G5&gt;0,1,0))</f>
        <v/>
      </c>
      <c r="I5" s="7" t="str">
        <f>IF(VLOOKUP(I$2,行为概览!$D$3:$M$33,10,0)="","",VLOOKUP(I$2,行为概览!$D$3:$M$33,10,0)*IF(玩法行为规划!H5&gt;0,1,0))</f>
        <v/>
      </c>
      <c r="J5" s="7" t="str">
        <f>IF(VLOOKUP(J$2,行为概览!$D$3:$M$33,10,0)="","",VLOOKUP(J$2,行为概览!$D$3:$M$33,10,0)*IF(玩法行为规划!I5&gt;0,1,0))</f>
        <v/>
      </c>
      <c r="K5" s="7">
        <f>IF(VLOOKUP(K$2,行为概览!$D$3:$M$33,10,0)="","",VLOOKUP(K$2,行为概览!$D$3:$M$33,10,0)*IF(玩法行为规划!J5&gt;0,1,0))</f>
        <v>0</v>
      </c>
      <c r="L5" s="7">
        <f>IF(VLOOKUP(L$2,行为概览!$D$3:$M$33,10,0)="","",VLOOKUP(L$2,行为概览!$D$3:$M$33,10,0)*IF(玩法行为规划!K5&gt;0,1,0))</f>
        <v>0</v>
      </c>
      <c r="M5" s="7" t="str">
        <f>IF(VLOOKUP(M$2,行为概览!$D$3:$M$33,10,0)="","",VLOOKUP(M$2,行为概览!$D$3:$M$33,10,0)*IF(玩法行为规划!L5&gt;0,1,0))</f>
        <v/>
      </c>
      <c r="N5" s="7" t="str">
        <f>IF(VLOOKUP(N$2,行为概览!$D$3:$M$33,10,0)="","",VLOOKUP(N$2,行为概览!$D$3:$M$33,10,0)*IF(玩法行为规划!M5&gt;0,1,0))</f>
        <v/>
      </c>
      <c r="O5" s="7" t="str">
        <f>IF(VLOOKUP(O$2,行为概览!$D$3:$M$33,10,0)="","",VLOOKUP(O$2,行为概览!$D$3:$M$33,10,0)*IF(玩法行为规划!N5&gt;0,1,0))</f>
        <v/>
      </c>
      <c r="P5" s="7" t="str">
        <f>IF(VLOOKUP(P$2,行为概览!$D$3:$M$33,10,0)="","",VLOOKUP(P$2,行为概览!$D$3:$M$33,10,0)*IF(玩法行为规划!O5&gt;0,1,0))</f>
        <v/>
      </c>
      <c r="Q5" s="7">
        <f>IF(VLOOKUP(Q$2,行为概览!$D$3:$M$33,10,0)="","",VLOOKUP(Q$2,行为概览!$D$3:$M$33,10,0)*IF(玩法行为规划!P5&gt;0,1,0))</f>
        <v>10</v>
      </c>
      <c r="R5" s="7" t="str">
        <f>IF(VLOOKUP(R$2,行为概览!$D$3:$M$33,10,0)="","",VLOOKUP(R$2,行为概览!$D$3:$M$33,10,0)*IF(玩法行为规划!Q5&gt;0,1,0))</f>
        <v/>
      </c>
      <c r="S5" s="7">
        <f>IF(VLOOKUP(S$2,行为概览!$D$3:$M$33,10,0)="","",VLOOKUP(S$2,行为概览!$D$3:$M$33,10,0)*IF(玩法行为规划!R5&gt;0,1,0))</f>
        <v>0</v>
      </c>
      <c r="T5" s="7" t="str">
        <f>IF(VLOOKUP(T$2,行为概览!$D$3:$M$33,10,0)="","",VLOOKUP(T$2,行为概览!$D$3:$M$33,10,0)*IF(玩法行为规划!S5&gt;0,1,0))</f>
        <v/>
      </c>
      <c r="U5" s="7" t="str">
        <f>IF(VLOOKUP(U$2,行为概览!$D$3:$M$33,10,0)="","",VLOOKUP(U$2,行为概览!$D$3:$M$33,10,0)*IF(玩法行为规划!T5&gt;0,1,0))</f>
        <v/>
      </c>
      <c r="V5" s="7">
        <f>IF(VLOOKUP(V$2,行为概览!$D$3:$M$33,10,0)="","",VLOOKUP(V$2,行为概览!$D$3:$M$33,10,0)*IF(玩法行为规划!U5&gt;0,1,0))</f>
        <v>0</v>
      </c>
      <c r="W5" s="7" t="str">
        <f>IF(VLOOKUP(W$2,行为概览!$D$3:$M$33,10,0)="","",VLOOKUP(W$2,行为概览!$D$3:$M$33,10,0)*IF(玩法行为规划!V5&gt;0,1,0))</f>
        <v/>
      </c>
      <c r="X5" s="7" t="str">
        <f>IF(VLOOKUP(X$2,行为概览!$D$3:$M$33,10,0)="","",VLOOKUP(X$2,行为概览!$D$3:$M$33,10,0)*IF(玩法行为规划!W5&gt;0,1,0))</f>
        <v/>
      </c>
      <c r="Y5" s="7" t="str">
        <f>IF(VLOOKUP(Y$2,行为概览!$D$3:$M$33,10,0)="","",VLOOKUP(Y$2,行为概览!$D$3:$M$33,10,0)*IF(玩法行为规划!X5&gt;0,1,0))</f>
        <v/>
      </c>
      <c r="Z5" s="7">
        <f>IF(VLOOKUP(Z$2,行为概览!$D$3:$M$33,10,0)="","",VLOOKUP(Z$2,行为概览!$D$3:$M$33,10,0)*IF(玩法行为规划!Y5&gt;0,1,0))</f>
        <v>0</v>
      </c>
      <c r="AA5" s="7" t="str">
        <f>IF(VLOOKUP(AA$2,行为概览!$D$3:$M$33,10,0)="","",VLOOKUP(AA$2,行为概览!$D$3:$M$33,10,0)*IF(玩法行为规划!Z5&gt;0,1,0))</f>
        <v/>
      </c>
      <c r="AB5" s="7" t="str">
        <f>IF(VLOOKUP(AB$2,行为概览!$D$3:$M$33,10,0)="","",VLOOKUP(AB$2,行为概览!$D$3:$M$33,10,0)*IF(玩法行为规划!AA5&gt;0,1,0))</f>
        <v/>
      </c>
      <c r="AC5" s="7" t="str">
        <f>IF(VLOOKUP(AC$2,行为概览!$D$3:$M$33,10,0)="","",VLOOKUP(AC$2,行为概览!$D$3:$M$33,10,0)*IF(玩法行为规划!AB5&gt;0,1,0))</f>
        <v/>
      </c>
      <c r="AD5" s="7" t="str">
        <f>IF(VLOOKUP(AD$2,行为概览!$D$3:$M$33,10,0)="","",VLOOKUP(AD$2,行为概览!$D$3:$M$33,10,0)*IF(玩法行为规划!AC5&gt;0,1,0))</f>
        <v/>
      </c>
      <c r="AE5" s="7" t="str">
        <f>IF(VLOOKUP(AE$2,行为概览!$D$3:$M$33,10,0)="","",VLOOKUP(AE$2,行为概览!$D$3:$M$33,10,0)*IF(玩法行为规划!AD5&gt;0,1,0))</f>
        <v/>
      </c>
      <c r="AF5" s="7">
        <f>IF(VLOOKUP(AF$2,行为概览!$D$3:$M$33,10,0)="","",VLOOKUP(AF$2,行为概览!$D$3:$M$33,10,0)*IF(玩法行为规划!AE5&gt;0,1,0))</f>
        <v>0</v>
      </c>
      <c r="AG5" s="7">
        <f t="shared" si="0"/>
        <v>10</v>
      </c>
      <c r="AH5" s="7">
        <f t="shared" si="1"/>
        <v>30</v>
      </c>
      <c r="AI5" s="7">
        <v>0</v>
      </c>
      <c r="AJ5" s="21"/>
      <c r="AK5" s="7">
        <f t="shared" si="2"/>
        <v>30</v>
      </c>
      <c r="AL5" s="7">
        <f>SUM($AK$3:AK5)</f>
        <v>60</v>
      </c>
      <c r="AM5" s="7"/>
    </row>
    <row r="6" spans="1:39">
      <c r="A6" s="32">
        <v>4</v>
      </c>
      <c r="B6" s="87">
        <f>升级节奏!F6</f>
        <v>4</v>
      </c>
      <c r="C6" s="7">
        <f>IF(VLOOKUP(C$2,行为概览!$D$3:$M$33,10,0)="","",VLOOKUP(C$2,行为概览!$D$3:$M$33,10,0)*IF(玩法行为规划!B6&gt;0,1,0))</f>
        <v>0</v>
      </c>
      <c r="D6" s="7" t="str">
        <f>IF(VLOOKUP(D$2,行为概览!$D$3:$M$33,10,0)="","",VLOOKUP(D$2,行为概览!$D$3:$M$33,10,0)*IF(玩法行为规划!C6&gt;0,1,0))</f>
        <v/>
      </c>
      <c r="E6" s="7" t="str">
        <f>IF(VLOOKUP(E$2,行为概览!$D$3:$M$33,10,0)="","",VLOOKUP(E$2,行为概览!$D$3:$M$33,10,0)*IF(玩法行为规划!D6&gt;0,1,0))</f>
        <v/>
      </c>
      <c r="F6" s="7">
        <f>IF(VLOOKUP(F$2,行为概览!$D$3:$M$33,10,0)="","",VLOOKUP(F$2,行为概览!$D$3:$M$33,10,0)*IF(玩法行为规划!E6&gt;0,1,0))</f>
        <v>0</v>
      </c>
      <c r="G6" s="7" t="str">
        <f>IF(VLOOKUP(G$2,行为概览!$D$3:$M$33,10,0)="","",VLOOKUP(G$2,行为概览!$D$3:$M$33,10,0)*IF(玩法行为规划!F6&gt;0,1,0))</f>
        <v/>
      </c>
      <c r="H6" s="7" t="str">
        <f>IF(VLOOKUP(H$2,行为概览!$D$3:$M$33,10,0)="","",VLOOKUP(H$2,行为概览!$D$3:$M$33,10,0)*IF(玩法行为规划!G6&gt;0,1,0))</f>
        <v/>
      </c>
      <c r="I6" s="7" t="str">
        <f>IF(VLOOKUP(I$2,行为概览!$D$3:$M$33,10,0)="","",VLOOKUP(I$2,行为概览!$D$3:$M$33,10,0)*IF(玩法行为规划!H6&gt;0,1,0))</f>
        <v/>
      </c>
      <c r="J6" s="7" t="str">
        <f>IF(VLOOKUP(J$2,行为概览!$D$3:$M$33,10,0)="","",VLOOKUP(J$2,行为概览!$D$3:$M$33,10,0)*IF(玩法行为规划!I6&gt;0,1,0))</f>
        <v/>
      </c>
      <c r="K6" s="7">
        <f>IF(VLOOKUP(K$2,行为概览!$D$3:$M$33,10,0)="","",VLOOKUP(K$2,行为概览!$D$3:$M$33,10,0)*IF(玩法行为规划!J6&gt;0,1,0))</f>
        <v>0</v>
      </c>
      <c r="L6" s="7">
        <f>IF(VLOOKUP(L$2,行为概览!$D$3:$M$33,10,0)="","",VLOOKUP(L$2,行为概览!$D$3:$M$33,10,0)*IF(玩法行为规划!K6&gt;0,1,0))</f>
        <v>0</v>
      </c>
      <c r="M6" s="7" t="str">
        <f>IF(VLOOKUP(M$2,行为概览!$D$3:$M$33,10,0)="","",VLOOKUP(M$2,行为概览!$D$3:$M$33,10,0)*IF(玩法行为规划!L6&gt;0,1,0))</f>
        <v/>
      </c>
      <c r="N6" s="7" t="str">
        <f>IF(VLOOKUP(N$2,行为概览!$D$3:$M$33,10,0)="","",VLOOKUP(N$2,行为概览!$D$3:$M$33,10,0)*IF(玩法行为规划!M6&gt;0,1,0))</f>
        <v/>
      </c>
      <c r="O6" s="7" t="str">
        <f>IF(VLOOKUP(O$2,行为概览!$D$3:$M$33,10,0)="","",VLOOKUP(O$2,行为概览!$D$3:$M$33,10,0)*IF(玩法行为规划!N6&gt;0,1,0))</f>
        <v/>
      </c>
      <c r="P6" s="7" t="str">
        <f>IF(VLOOKUP(P$2,行为概览!$D$3:$M$33,10,0)="","",VLOOKUP(P$2,行为概览!$D$3:$M$33,10,0)*IF(玩法行为规划!O6&gt;0,1,0))</f>
        <v/>
      </c>
      <c r="Q6" s="7">
        <f>IF(VLOOKUP(Q$2,行为概览!$D$3:$M$33,10,0)="","",VLOOKUP(Q$2,行为概览!$D$3:$M$33,10,0)*IF(玩法行为规划!P6&gt;0,1,0))</f>
        <v>10</v>
      </c>
      <c r="R6" s="7" t="str">
        <f>IF(VLOOKUP(R$2,行为概览!$D$3:$M$33,10,0)="","",VLOOKUP(R$2,行为概览!$D$3:$M$33,10,0)*IF(玩法行为规划!Q6&gt;0,1,0))</f>
        <v/>
      </c>
      <c r="S6" s="7">
        <f>IF(VLOOKUP(S$2,行为概览!$D$3:$M$33,10,0)="","",VLOOKUP(S$2,行为概览!$D$3:$M$33,10,0)*IF(玩法行为规划!R6&gt;0,1,0))</f>
        <v>0</v>
      </c>
      <c r="T6" s="7" t="str">
        <f>IF(VLOOKUP(T$2,行为概览!$D$3:$M$33,10,0)="","",VLOOKUP(T$2,行为概览!$D$3:$M$33,10,0)*IF(玩法行为规划!S6&gt;0,1,0))</f>
        <v/>
      </c>
      <c r="U6" s="7" t="str">
        <f>IF(VLOOKUP(U$2,行为概览!$D$3:$M$33,10,0)="","",VLOOKUP(U$2,行为概览!$D$3:$M$33,10,0)*IF(玩法行为规划!T6&gt;0,1,0))</f>
        <v/>
      </c>
      <c r="V6" s="7">
        <f>IF(VLOOKUP(V$2,行为概览!$D$3:$M$33,10,0)="","",VLOOKUP(V$2,行为概览!$D$3:$M$33,10,0)*IF(玩法行为规划!U6&gt;0,1,0))</f>
        <v>0</v>
      </c>
      <c r="W6" s="7" t="str">
        <f>IF(VLOOKUP(W$2,行为概览!$D$3:$M$33,10,0)="","",VLOOKUP(W$2,行为概览!$D$3:$M$33,10,0)*IF(玩法行为规划!V6&gt;0,1,0))</f>
        <v/>
      </c>
      <c r="X6" s="7" t="str">
        <f>IF(VLOOKUP(X$2,行为概览!$D$3:$M$33,10,0)="","",VLOOKUP(X$2,行为概览!$D$3:$M$33,10,0)*IF(玩法行为规划!W6&gt;0,1,0))</f>
        <v/>
      </c>
      <c r="Y6" s="7" t="str">
        <f>IF(VLOOKUP(Y$2,行为概览!$D$3:$M$33,10,0)="","",VLOOKUP(Y$2,行为概览!$D$3:$M$33,10,0)*IF(玩法行为规划!X6&gt;0,1,0))</f>
        <v/>
      </c>
      <c r="Z6" s="7">
        <f>IF(VLOOKUP(Z$2,行为概览!$D$3:$M$33,10,0)="","",VLOOKUP(Z$2,行为概览!$D$3:$M$33,10,0)*IF(玩法行为规划!Y6&gt;0,1,0))</f>
        <v>0</v>
      </c>
      <c r="AA6" s="7" t="str">
        <f>IF(VLOOKUP(AA$2,行为概览!$D$3:$M$33,10,0)="","",VLOOKUP(AA$2,行为概览!$D$3:$M$33,10,0)*IF(玩法行为规划!Z6&gt;0,1,0))</f>
        <v/>
      </c>
      <c r="AB6" s="7" t="str">
        <f>IF(VLOOKUP(AB$2,行为概览!$D$3:$M$33,10,0)="","",VLOOKUP(AB$2,行为概览!$D$3:$M$33,10,0)*IF(玩法行为规划!AA6&gt;0,1,0))</f>
        <v/>
      </c>
      <c r="AC6" s="7" t="str">
        <f>IF(VLOOKUP(AC$2,行为概览!$D$3:$M$33,10,0)="","",VLOOKUP(AC$2,行为概览!$D$3:$M$33,10,0)*IF(玩法行为规划!AB6&gt;0,1,0))</f>
        <v/>
      </c>
      <c r="AD6" s="7" t="str">
        <f>IF(VLOOKUP(AD$2,行为概览!$D$3:$M$33,10,0)="","",VLOOKUP(AD$2,行为概览!$D$3:$M$33,10,0)*IF(玩法行为规划!AC6&gt;0,1,0))</f>
        <v/>
      </c>
      <c r="AE6" s="7" t="str">
        <f>IF(VLOOKUP(AE$2,行为概览!$D$3:$M$33,10,0)="","",VLOOKUP(AE$2,行为概览!$D$3:$M$33,10,0)*IF(玩法行为规划!AD6&gt;0,1,0))</f>
        <v/>
      </c>
      <c r="AF6" s="7">
        <f>IF(VLOOKUP(AF$2,行为概览!$D$3:$M$33,10,0)="","",VLOOKUP(AF$2,行为概览!$D$3:$M$33,10,0)*IF(玩法行为规划!AE6&gt;0,1,0))</f>
        <v>0</v>
      </c>
      <c r="AG6" s="7">
        <f t="shared" si="0"/>
        <v>10</v>
      </c>
      <c r="AH6" s="7">
        <f t="shared" si="1"/>
        <v>40</v>
      </c>
      <c r="AI6" s="7">
        <v>0</v>
      </c>
      <c r="AJ6" s="21"/>
      <c r="AK6" s="7">
        <f t="shared" si="2"/>
        <v>40</v>
      </c>
      <c r="AL6" s="7">
        <f>SUM($AK$3:AK6)</f>
        <v>100</v>
      </c>
    </row>
    <row r="7" spans="1:39">
      <c r="A7" s="32">
        <v>5</v>
      </c>
      <c r="B7" s="87">
        <f>升级节奏!F7</f>
        <v>5</v>
      </c>
      <c r="C7" s="7">
        <f>IF(VLOOKUP(C$2,行为概览!$D$3:$M$33,10,0)="","",VLOOKUP(C$2,行为概览!$D$3:$M$33,10,0)*IF(玩法行为规划!B7&gt;0,1,0))</f>
        <v>0</v>
      </c>
      <c r="D7" s="7" t="str">
        <f>IF(VLOOKUP(D$2,行为概览!$D$3:$M$33,10,0)="","",VLOOKUP(D$2,行为概览!$D$3:$M$33,10,0)*IF(玩法行为规划!C7&gt;0,1,0))</f>
        <v/>
      </c>
      <c r="E7" s="7" t="str">
        <f>IF(VLOOKUP(E$2,行为概览!$D$3:$M$33,10,0)="","",VLOOKUP(E$2,行为概览!$D$3:$M$33,10,0)*IF(玩法行为规划!D7&gt;0,1,0))</f>
        <v/>
      </c>
      <c r="F7" s="7">
        <f>IF(VLOOKUP(F$2,行为概览!$D$3:$M$33,10,0)="","",VLOOKUP(F$2,行为概览!$D$3:$M$33,10,0)*IF(玩法行为规划!E7&gt;0,1,0))</f>
        <v>0</v>
      </c>
      <c r="G7" s="7" t="str">
        <f>IF(VLOOKUP(G$2,行为概览!$D$3:$M$33,10,0)="","",VLOOKUP(G$2,行为概览!$D$3:$M$33,10,0)*IF(玩法行为规划!F7&gt;0,1,0))</f>
        <v/>
      </c>
      <c r="H7" s="7" t="str">
        <f>IF(VLOOKUP(H$2,行为概览!$D$3:$M$33,10,0)="","",VLOOKUP(H$2,行为概览!$D$3:$M$33,10,0)*IF(玩法行为规划!G7&gt;0,1,0))</f>
        <v/>
      </c>
      <c r="I7" s="7" t="str">
        <f>IF(VLOOKUP(I$2,行为概览!$D$3:$M$33,10,0)="","",VLOOKUP(I$2,行为概览!$D$3:$M$33,10,0)*IF(玩法行为规划!H7&gt;0,1,0))</f>
        <v/>
      </c>
      <c r="J7" s="7" t="str">
        <f>IF(VLOOKUP(J$2,行为概览!$D$3:$M$33,10,0)="","",VLOOKUP(J$2,行为概览!$D$3:$M$33,10,0)*IF(玩法行为规划!I7&gt;0,1,0))</f>
        <v/>
      </c>
      <c r="K7" s="7">
        <f>IF(VLOOKUP(K$2,行为概览!$D$3:$M$33,10,0)="","",VLOOKUP(K$2,行为概览!$D$3:$M$33,10,0)*IF(玩法行为规划!J7&gt;0,1,0))</f>
        <v>0</v>
      </c>
      <c r="L7" s="7">
        <f>IF(VLOOKUP(L$2,行为概览!$D$3:$M$33,10,0)="","",VLOOKUP(L$2,行为概览!$D$3:$M$33,10,0)*IF(玩法行为规划!K7&gt;0,1,0))</f>
        <v>0</v>
      </c>
      <c r="M7" s="7" t="str">
        <f>IF(VLOOKUP(M$2,行为概览!$D$3:$M$33,10,0)="","",VLOOKUP(M$2,行为概览!$D$3:$M$33,10,0)*IF(玩法行为规划!L7&gt;0,1,0))</f>
        <v/>
      </c>
      <c r="N7" s="7" t="str">
        <f>IF(VLOOKUP(N$2,行为概览!$D$3:$M$33,10,0)="","",VLOOKUP(N$2,行为概览!$D$3:$M$33,10,0)*IF(玩法行为规划!M7&gt;0,1,0))</f>
        <v/>
      </c>
      <c r="O7" s="7" t="str">
        <f>IF(VLOOKUP(O$2,行为概览!$D$3:$M$33,10,0)="","",VLOOKUP(O$2,行为概览!$D$3:$M$33,10,0)*IF(玩法行为规划!N7&gt;0,1,0))</f>
        <v/>
      </c>
      <c r="P7" s="7" t="str">
        <f>IF(VLOOKUP(P$2,行为概览!$D$3:$M$33,10,0)="","",VLOOKUP(P$2,行为概览!$D$3:$M$33,10,0)*IF(玩法行为规划!O7&gt;0,1,0))</f>
        <v/>
      </c>
      <c r="Q7" s="7">
        <f>IF(VLOOKUP(Q$2,行为概览!$D$3:$M$33,10,0)="","",VLOOKUP(Q$2,行为概览!$D$3:$M$33,10,0)*IF(玩法行为规划!P7&gt;0,1,0))</f>
        <v>10</v>
      </c>
      <c r="R7" s="7" t="str">
        <f>IF(VLOOKUP(R$2,行为概览!$D$3:$M$33,10,0)="","",VLOOKUP(R$2,行为概览!$D$3:$M$33,10,0)*IF(玩法行为规划!Q7&gt;0,1,0))</f>
        <v/>
      </c>
      <c r="S7" s="7">
        <f>IF(VLOOKUP(S$2,行为概览!$D$3:$M$33,10,0)="","",VLOOKUP(S$2,行为概览!$D$3:$M$33,10,0)*IF(玩法行为规划!R7&gt;0,1,0))</f>
        <v>0</v>
      </c>
      <c r="T7" s="7" t="str">
        <f>IF(VLOOKUP(T$2,行为概览!$D$3:$M$33,10,0)="","",VLOOKUP(T$2,行为概览!$D$3:$M$33,10,0)*IF(玩法行为规划!S7&gt;0,1,0))</f>
        <v/>
      </c>
      <c r="U7" s="7" t="str">
        <f>IF(VLOOKUP(U$2,行为概览!$D$3:$M$33,10,0)="","",VLOOKUP(U$2,行为概览!$D$3:$M$33,10,0)*IF(玩法行为规划!T7&gt;0,1,0))</f>
        <v/>
      </c>
      <c r="V7" s="7">
        <f>IF(VLOOKUP(V$2,行为概览!$D$3:$M$33,10,0)="","",VLOOKUP(V$2,行为概览!$D$3:$M$33,10,0)*IF(玩法行为规划!U7&gt;0,1,0))</f>
        <v>0</v>
      </c>
      <c r="W7" s="7" t="str">
        <f>IF(VLOOKUP(W$2,行为概览!$D$3:$M$33,10,0)="","",VLOOKUP(W$2,行为概览!$D$3:$M$33,10,0)*IF(玩法行为规划!V7&gt;0,1,0))</f>
        <v/>
      </c>
      <c r="X7" s="7" t="str">
        <f>IF(VLOOKUP(X$2,行为概览!$D$3:$M$33,10,0)="","",VLOOKUP(X$2,行为概览!$D$3:$M$33,10,0)*IF(玩法行为规划!W7&gt;0,1,0))</f>
        <v/>
      </c>
      <c r="Y7" s="7" t="str">
        <f>IF(VLOOKUP(Y$2,行为概览!$D$3:$M$33,10,0)="","",VLOOKUP(Y$2,行为概览!$D$3:$M$33,10,0)*IF(玩法行为规划!X7&gt;0,1,0))</f>
        <v/>
      </c>
      <c r="Z7" s="7">
        <f>IF(VLOOKUP(Z$2,行为概览!$D$3:$M$33,10,0)="","",VLOOKUP(Z$2,行为概览!$D$3:$M$33,10,0)*IF(玩法行为规划!Y7&gt;0,1,0))</f>
        <v>0</v>
      </c>
      <c r="AA7" s="7" t="str">
        <f>IF(VLOOKUP(AA$2,行为概览!$D$3:$M$33,10,0)="","",VLOOKUP(AA$2,行为概览!$D$3:$M$33,10,0)*IF(玩法行为规划!Z7&gt;0,1,0))</f>
        <v/>
      </c>
      <c r="AB7" s="7" t="str">
        <f>IF(VLOOKUP(AB$2,行为概览!$D$3:$M$33,10,0)="","",VLOOKUP(AB$2,行为概览!$D$3:$M$33,10,0)*IF(玩法行为规划!AA7&gt;0,1,0))</f>
        <v/>
      </c>
      <c r="AC7" s="7" t="str">
        <f>IF(VLOOKUP(AC$2,行为概览!$D$3:$M$33,10,0)="","",VLOOKUP(AC$2,行为概览!$D$3:$M$33,10,0)*IF(玩法行为规划!AB7&gt;0,1,0))</f>
        <v/>
      </c>
      <c r="AD7" s="7" t="str">
        <f>IF(VLOOKUP(AD$2,行为概览!$D$3:$M$33,10,0)="","",VLOOKUP(AD$2,行为概览!$D$3:$M$33,10,0)*IF(玩法行为规划!AC7&gt;0,1,0))</f>
        <v/>
      </c>
      <c r="AE7" s="7" t="str">
        <f>IF(VLOOKUP(AE$2,行为概览!$D$3:$M$33,10,0)="","",VLOOKUP(AE$2,行为概览!$D$3:$M$33,10,0)*IF(玩法行为规划!AD7&gt;0,1,0))</f>
        <v/>
      </c>
      <c r="AF7" s="7">
        <f>IF(VLOOKUP(AF$2,行为概览!$D$3:$M$33,10,0)="","",VLOOKUP(AF$2,行为概览!$D$3:$M$33,10,0)*IF(玩法行为规划!AE7&gt;0,1,0))</f>
        <v>0</v>
      </c>
      <c r="AG7" s="7">
        <f t="shared" si="0"/>
        <v>10</v>
      </c>
      <c r="AH7" s="7">
        <f t="shared" si="1"/>
        <v>50</v>
      </c>
      <c r="AI7" s="7">
        <v>0</v>
      </c>
      <c r="AJ7" s="21"/>
      <c r="AK7" s="7">
        <f t="shared" si="2"/>
        <v>50</v>
      </c>
      <c r="AL7" s="7">
        <f>SUM($AK$3:AK7)</f>
        <v>150</v>
      </c>
    </row>
    <row r="8" spans="1:39">
      <c r="A8" s="32">
        <v>6</v>
      </c>
      <c r="B8" s="87">
        <f>升级节奏!F8</f>
        <v>6</v>
      </c>
      <c r="C8" s="7">
        <f>IF(VLOOKUP(C$2,行为概览!$D$3:$M$33,10,0)="","",VLOOKUP(C$2,行为概览!$D$3:$M$33,10,0)*IF(玩法行为规划!B8&gt;0,1,0))</f>
        <v>0</v>
      </c>
      <c r="D8" s="7" t="str">
        <f>IF(VLOOKUP(D$2,行为概览!$D$3:$M$33,10,0)="","",VLOOKUP(D$2,行为概览!$D$3:$M$33,10,0)*IF(玩法行为规划!C8&gt;0,1,0))</f>
        <v/>
      </c>
      <c r="E8" s="7" t="str">
        <f>IF(VLOOKUP(E$2,行为概览!$D$3:$M$33,10,0)="","",VLOOKUP(E$2,行为概览!$D$3:$M$33,10,0)*IF(玩法行为规划!D8&gt;0,1,0))</f>
        <v/>
      </c>
      <c r="F8" s="7">
        <f>IF(VLOOKUP(F$2,行为概览!$D$3:$M$33,10,0)="","",VLOOKUP(F$2,行为概览!$D$3:$M$33,10,0)*IF(玩法行为规划!E8&gt;0,1,0))</f>
        <v>0</v>
      </c>
      <c r="G8" s="7" t="str">
        <f>IF(VLOOKUP(G$2,行为概览!$D$3:$M$33,10,0)="","",VLOOKUP(G$2,行为概览!$D$3:$M$33,10,0)*IF(玩法行为规划!F8&gt;0,1,0))</f>
        <v/>
      </c>
      <c r="H8" s="7" t="str">
        <f>IF(VLOOKUP(H$2,行为概览!$D$3:$M$33,10,0)="","",VLOOKUP(H$2,行为概览!$D$3:$M$33,10,0)*IF(玩法行为规划!G8&gt;0,1,0))</f>
        <v/>
      </c>
      <c r="I8" s="7" t="str">
        <f>IF(VLOOKUP(I$2,行为概览!$D$3:$M$33,10,0)="","",VLOOKUP(I$2,行为概览!$D$3:$M$33,10,0)*IF(玩法行为规划!H8&gt;0,1,0))</f>
        <v/>
      </c>
      <c r="J8" s="7" t="str">
        <f>IF(VLOOKUP(J$2,行为概览!$D$3:$M$33,10,0)="","",VLOOKUP(J$2,行为概览!$D$3:$M$33,10,0)*IF(玩法行为规划!I8&gt;0,1,0))</f>
        <v/>
      </c>
      <c r="K8" s="7">
        <f>IF(VLOOKUP(K$2,行为概览!$D$3:$M$33,10,0)="","",VLOOKUP(K$2,行为概览!$D$3:$M$33,10,0)*IF(玩法行为规划!J8&gt;0,1,0))</f>
        <v>0</v>
      </c>
      <c r="L8" s="7">
        <f>IF(VLOOKUP(L$2,行为概览!$D$3:$M$33,10,0)="","",VLOOKUP(L$2,行为概览!$D$3:$M$33,10,0)*IF(玩法行为规划!K8&gt;0,1,0))</f>
        <v>0</v>
      </c>
      <c r="M8" s="7" t="str">
        <f>IF(VLOOKUP(M$2,行为概览!$D$3:$M$33,10,0)="","",VLOOKUP(M$2,行为概览!$D$3:$M$33,10,0)*IF(玩法行为规划!L8&gt;0,1,0))</f>
        <v/>
      </c>
      <c r="N8" s="7" t="str">
        <f>IF(VLOOKUP(N$2,行为概览!$D$3:$M$33,10,0)="","",VLOOKUP(N$2,行为概览!$D$3:$M$33,10,0)*IF(玩法行为规划!M8&gt;0,1,0))</f>
        <v/>
      </c>
      <c r="O8" s="7" t="str">
        <f>IF(VLOOKUP(O$2,行为概览!$D$3:$M$33,10,0)="","",VLOOKUP(O$2,行为概览!$D$3:$M$33,10,0)*IF(玩法行为规划!N8&gt;0,1,0))</f>
        <v/>
      </c>
      <c r="P8" s="7" t="str">
        <f>IF(VLOOKUP(P$2,行为概览!$D$3:$M$33,10,0)="","",VLOOKUP(P$2,行为概览!$D$3:$M$33,10,0)*IF(玩法行为规划!O8&gt;0,1,0))</f>
        <v/>
      </c>
      <c r="Q8" s="7">
        <f>IF(VLOOKUP(Q$2,行为概览!$D$3:$M$33,10,0)="","",VLOOKUP(Q$2,行为概览!$D$3:$M$33,10,0)*IF(玩法行为规划!P8&gt;0,1,0))</f>
        <v>10</v>
      </c>
      <c r="R8" s="7" t="str">
        <f>IF(VLOOKUP(R$2,行为概览!$D$3:$M$33,10,0)="","",VLOOKUP(R$2,行为概览!$D$3:$M$33,10,0)*IF(玩法行为规划!Q8&gt;0,1,0))</f>
        <v/>
      </c>
      <c r="S8" s="7">
        <f>IF(VLOOKUP(S$2,行为概览!$D$3:$M$33,10,0)="","",VLOOKUP(S$2,行为概览!$D$3:$M$33,10,0)*IF(玩法行为规划!R8&gt;0,1,0))</f>
        <v>0</v>
      </c>
      <c r="T8" s="7" t="str">
        <f>IF(VLOOKUP(T$2,行为概览!$D$3:$M$33,10,0)="","",VLOOKUP(T$2,行为概览!$D$3:$M$33,10,0)*IF(玩法行为规划!S8&gt;0,1,0))</f>
        <v/>
      </c>
      <c r="U8" s="7" t="str">
        <f>IF(VLOOKUP(U$2,行为概览!$D$3:$M$33,10,0)="","",VLOOKUP(U$2,行为概览!$D$3:$M$33,10,0)*IF(玩法行为规划!T8&gt;0,1,0))</f>
        <v/>
      </c>
      <c r="V8" s="7">
        <f>IF(VLOOKUP(V$2,行为概览!$D$3:$M$33,10,0)="","",VLOOKUP(V$2,行为概览!$D$3:$M$33,10,0)*IF(玩法行为规划!U8&gt;0,1,0))</f>
        <v>0</v>
      </c>
      <c r="W8" s="7" t="str">
        <f>IF(VLOOKUP(W$2,行为概览!$D$3:$M$33,10,0)="","",VLOOKUP(W$2,行为概览!$D$3:$M$33,10,0)*IF(玩法行为规划!V8&gt;0,1,0))</f>
        <v/>
      </c>
      <c r="X8" s="7" t="str">
        <f>IF(VLOOKUP(X$2,行为概览!$D$3:$M$33,10,0)="","",VLOOKUP(X$2,行为概览!$D$3:$M$33,10,0)*IF(玩法行为规划!W8&gt;0,1,0))</f>
        <v/>
      </c>
      <c r="Y8" s="7" t="str">
        <f>IF(VLOOKUP(Y$2,行为概览!$D$3:$M$33,10,0)="","",VLOOKUP(Y$2,行为概览!$D$3:$M$33,10,0)*IF(玩法行为规划!X8&gt;0,1,0))</f>
        <v/>
      </c>
      <c r="Z8" s="7">
        <f>IF(VLOOKUP(Z$2,行为概览!$D$3:$M$33,10,0)="","",VLOOKUP(Z$2,行为概览!$D$3:$M$33,10,0)*IF(玩法行为规划!Y8&gt;0,1,0))</f>
        <v>0</v>
      </c>
      <c r="AA8" s="7" t="str">
        <f>IF(VLOOKUP(AA$2,行为概览!$D$3:$M$33,10,0)="","",VLOOKUP(AA$2,行为概览!$D$3:$M$33,10,0)*IF(玩法行为规划!Z8&gt;0,1,0))</f>
        <v/>
      </c>
      <c r="AB8" s="7" t="str">
        <f>IF(VLOOKUP(AB$2,行为概览!$D$3:$M$33,10,0)="","",VLOOKUP(AB$2,行为概览!$D$3:$M$33,10,0)*IF(玩法行为规划!AA8&gt;0,1,0))</f>
        <v/>
      </c>
      <c r="AC8" s="7" t="str">
        <f>IF(VLOOKUP(AC$2,行为概览!$D$3:$M$33,10,0)="","",VLOOKUP(AC$2,行为概览!$D$3:$M$33,10,0)*IF(玩法行为规划!AB8&gt;0,1,0))</f>
        <v/>
      </c>
      <c r="AD8" s="7" t="str">
        <f>IF(VLOOKUP(AD$2,行为概览!$D$3:$M$33,10,0)="","",VLOOKUP(AD$2,行为概览!$D$3:$M$33,10,0)*IF(玩法行为规划!AC8&gt;0,1,0))</f>
        <v/>
      </c>
      <c r="AE8" s="7" t="str">
        <f>IF(VLOOKUP(AE$2,行为概览!$D$3:$M$33,10,0)="","",VLOOKUP(AE$2,行为概览!$D$3:$M$33,10,0)*IF(玩法行为规划!AD8&gt;0,1,0))</f>
        <v/>
      </c>
      <c r="AF8" s="7">
        <f>IF(VLOOKUP(AF$2,行为概览!$D$3:$M$33,10,0)="","",VLOOKUP(AF$2,行为概览!$D$3:$M$33,10,0)*IF(玩法行为规划!AE8&gt;0,1,0))</f>
        <v>0</v>
      </c>
      <c r="AG8" s="7">
        <f t="shared" si="0"/>
        <v>10</v>
      </c>
      <c r="AH8" s="7">
        <f t="shared" si="1"/>
        <v>60</v>
      </c>
      <c r="AI8" s="7">
        <v>0</v>
      </c>
      <c r="AJ8" s="21"/>
      <c r="AK8" s="7">
        <f t="shared" si="2"/>
        <v>60</v>
      </c>
      <c r="AL8" s="7">
        <f>SUM($AK$3:AK8)</f>
        <v>210</v>
      </c>
    </row>
    <row r="9" spans="1:39">
      <c r="A9" s="32">
        <v>7</v>
      </c>
      <c r="B9" s="87">
        <f>升级节奏!F9</f>
        <v>7</v>
      </c>
      <c r="C9" s="7">
        <f>IF(VLOOKUP(C$2,行为概览!$D$3:$M$33,10,0)="","",VLOOKUP(C$2,行为概览!$D$3:$M$33,10,0)*IF(玩法行为规划!B9&gt;0,1,0))</f>
        <v>0</v>
      </c>
      <c r="D9" s="7" t="str">
        <f>IF(VLOOKUP(D$2,行为概览!$D$3:$M$33,10,0)="","",VLOOKUP(D$2,行为概览!$D$3:$M$33,10,0)*IF(玩法行为规划!C9&gt;0,1,0))</f>
        <v/>
      </c>
      <c r="E9" s="7" t="str">
        <f>IF(VLOOKUP(E$2,行为概览!$D$3:$M$33,10,0)="","",VLOOKUP(E$2,行为概览!$D$3:$M$33,10,0)*IF(玩法行为规划!D9&gt;0,1,0))</f>
        <v/>
      </c>
      <c r="F9" s="7">
        <f>IF(VLOOKUP(F$2,行为概览!$D$3:$M$33,10,0)="","",VLOOKUP(F$2,行为概览!$D$3:$M$33,10,0)*IF(玩法行为规划!E9&gt;0,1,0))</f>
        <v>0</v>
      </c>
      <c r="G9" s="7" t="str">
        <f>IF(VLOOKUP(G$2,行为概览!$D$3:$M$33,10,0)="","",VLOOKUP(G$2,行为概览!$D$3:$M$33,10,0)*IF(玩法行为规划!F9&gt;0,1,0))</f>
        <v/>
      </c>
      <c r="H9" s="7" t="str">
        <f>IF(VLOOKUP(H$2,行为概览!$D$3:$M$33,10,0)="","",VLOOKUP(H$2,行为概览!$D$3:$M$33,10,0)*IF(玩法行为规划!G9&gt;0,1,0))</f>
        <v/>
      </c>
      <c r="I9" s="7" t="str">
        <f>IF(VLOOKUP(I$2,行为概览!$D$3:$M$33,10,0)="","",VLOOKUP(I$2,行为概览!$D$3:$M$33,10,0)*IF(玩法行为规划!H9&gt;0,1,0))</f>
        <v/>
      </c>
      <c r="J9" s="7" t="str">
        <f>IF(VLOOKUP(J$2,行为概览!$D$3:$M$33,10,0)="","",VLOOKUP(J$2,行为概览!$D$3:$M$33,10,0)*IF(玩法行为规划!I9&gt;0,1,0))</f>
        <v/>
      </c>
      <c r="K9" s="7">
        <f>IF(VLOOKUP(K$2,行为概览!$D$3:$M$33,10,0)="","",VLOOKUP(K$2,行为概览!$D$3:$M$33,10,0)*IF(玩法行为规划!J9&gt;0,1,0))</f>
        <v>0</v>
      </c>
      <c r="L9" s="7">
        <f>IF(VLOOKUP(L$2,行为概览!$D$3:$M$33,10,0)="","",VLOOKUP(L$2,行为概览!$D$3:$M$33,10,0)*IF(玩法行为规划!K9&gt;0,1,0))</f>
        <v>0</v>
      </c>
      <c r="M9" s="7" t="str">
        <f>IF(VLOOKUP(M$2,行为概览!$D$3:$M$33,10,0)="","",VLOOKUP(M$2,行为概览!$D$3:$M$33,10,0)*IF(玩法行为规划!L9&gt;0,1,0))</f>
        <v/>
      </c>
      <c r="N9" s="7" t="str">
        <f>IF(VLOOKUP(N$2,行为概览!$D$3:$M$33,10,0)="","",VLOOKUP(N$2,行为概览!$D$3:$M$33,10,0)*IF(玩法行为规划!M9&gt;0,1,0))</f>
        <v/>
      </c>
      <c r="O9" s="7" t="str">
        <f>IF(VLOOKUP(O$2,行为概览!$D$3:$M$33,10,0)="","",VLOOKUP(O$2,行为概览!$D$3:$M$33,10,0)*IF(玩法行为规划!N9&gt;0,1,0))</f>
        <v/>
      </c>
      <c r="P9" s="7" t="str">
        <f>IF(VLOOKUP(P$2,行为概览!$D$3:$M$33,10,0)="","",VLOOKUP(P$2,行为概览!$D$3:$M$33,10,0)*IF(玩法行为规划!O9&gt;0,1,0))</f>
        <v/>
      </c>
      <c r="Q9" s="7">
        <f>IF(VLOOKUP(Q$2,行为概览!$D$3:$M$33,10,0)="","",VLOOKUP(Q$2,行为概览!$D$3:$M$33,10,0)*IF(玩法行为规划!P9&gt;0,1,0))</f>
        <v>10</v>
      </c>
      <c r="R9" s="7" t="str">
        <f>IF(VLOOKUP(R$2,行为概览!$D$3:$M$33,10,0)="","",VLOOKUP(R$2,行为概览!$D$3:$M$33,10,0)*IF(玩法行为规划!Q9&gt;0,1,0))</f>
        <v/>
      </c>
      <c r="S9" s="7">
        <f>IF(VLOOKUP(S$2,行为概览!$D$3:$M$33,10,0)="","",VLOOKUP(S$2,行为概览!$D$3:$M$33,10,0)*IF(玩法行为规划!R9&gt;0,1,0))</f>
        <v>0</v>
      </c>
      <c r="T9" s="7" t="str">
        <f>IF(VLOOKUP(T$2,行为概览!$D$3:$M$33,10,0)="","",VLOOKUP(T$2,行为概览!$D$3:$M$33,10,0)*IF(玩法行为规划!S9&gt;0,1,0))</f>
        <v/>
      </c>
      <c r="U9" s="7" t="str">
        <f>IF(VLOOKUP(U$2,行为概览!$D$3:$M$33,10,0)="","",VLOOKUP(U$2,行为概览!$D$3:$M$33,10,0)*IF(玩法行为规划!T9&gt;0,1,0))</f>
        <v/>
      </c>
      <c r="V9" s="7">
        <f>IF(VLOOKUP(V$2,行为概览!$D$3:$M$33,10,0)="","",VLOOKUP(V$2,行为概览!$D$3:$M$33,10,0)*IF(玩法行为规划!U9&gt;0,1,0))</f>
        <v>0</v>
      </c>
      <c r="W9" s="7" t="str">
        <f>IF(VLOOKUP(W$2,行为概览!$D$3:$M$33,10,0)="","",VLOOKUP(W$2,行为概览!$D$3:$M$33,10,0)*IF(玩法行为规划!V9&gt;0,1,0))</f>
        <v/>
      </c>
      <c r="X9" s="7" t="str">
        <f>IF(VLOOKUP(X$2,行为概览!$D$3:$M$33,10,0)="","",VLOOKUP(X$2,行为概览!$D$3:$M$33,10,0)*IF(玩法行为规划!W9&gt;0,1,0))</f>
        <v/>
      </c>
      <c r="Y9" s="7" t="str">
        <f>IF(VLOOKUP(Y$2,行为概览!$D$3:$M$33,10,0)="","",VLOOKUP(Y$2,行为概览!$D$3:$M$33,10,0)*IF(玩法行为规划!X9&gt;0,1,0))</f>
        <v/>
      </c>
      <c r="Z9" s="7">
        <f>IF(VLOOKUP(Z$2,行为概览!$D$3:$M$33,10,0)="","",VLOOKUP(Z$2,行为概览!$D$3:$M$33,10,0)*IF(玩法行为规划!Y9&gt;0,1,0))</f>
        <v>0</v>
      </c>
      <c r="AA9" s="7" t="str">
        <f>IF(VLOOKUP(AA$2,行为概览!$D$3:$M$33,10,0)="","",VLOOKUP(AA$2,行为概览!$D$3:$M$33,10,0)*IF(玩法行为规划!Z9&gt;0,1,0))</f>
        <v/>
      </c>
      <c r="AB9" s="7" t="str">
        <f>IF(VLOOKUP(AB$2,行为概览!$D$3:$M$33,10,0)="","",VLOOKUP(AB$2,行为概览!$D$3:$M$33,10,0)*IF(玩法行为规划!AA9&gt;0,1,0))</f>
        <v/>
      </c>
      <c r="AC9" s="7" t="str">
        <f>IF(VLOOKUP(AC$2,行为概览!$D$3:$M$33,10,0)="","",VLOOKUP(AC$2,行为概览!$D$3:$M$33,10,0)*IF(玩法行为规划!AB9&gt;0,1,0))</f>
        <v/>
      </c>
      <c r="AD9" s="7" t="str">
        <f>IF(VLOOKUP(AD$2,行为概览!$D$3:$M$33,10,0)="","",VLOOKUP(AD$2,行为概览!$D$3:$M$33,10,0)*IF(玩法行为规划!AC9&gt;0,1,0))</f>
        <v/>
      </c>
      <c r="AE9" s="7" t="str">
        <f>IF(VLOOKUP(AE$2,行为概览!$D$3:$M$33,10,0)="","",VLOOKUP(AE$2,行为概览!$D$3:$M$33,10,0)*IF(玩法行为规划!AD9&gt;0,1,0))</f>
        <v/>
      </c>
      <c r="AF9" s="7">
        <f>IF(VLOOKUP(AF$2,行为概览!$D$3:$M$33,10,0)="","",VLOOKUP(AF$2,行为概览!$D$3:$M$33,10,0)*IF(玩法行为规划!AE9&gt;0,1,0))</f>
        <v>0</v>
      </c>
      <c r="AG9" s="7">
        <f t="shared" si="0"/>
        <v>10</v>
      </c>
      <c r="AH9" s="7">
        <f t="shared" si="1"/>
        <v>70</v>
      </c>
      <c r="AI9" s="7">
        <v>0</v>
      </c>
      <c r="AJ9" s="21"/>
      <c r="AK9" s="7">
        <f t="shared" si="2"/>
        <v>70</v>
      </c>
      <c r="AL9" s="7">
        <f>SUM($AK$3:AK9)</f>
        <v>280</v>
      </c>
    </row>
    <row r="10" spans="1:39">
      <c r="A10" s="32">
        <v>8</v>
      </c>
      <c r="B10" s="87">
        <f>升级节奏!F10</f>
        <v>8</v>
      </c>
      <c r="C10" s="7">
        <f>IF(VLOOKUP(C$2,行为概览!$D$3:$M$33,10,0)="","",VLOOKUP(C$2,行为概览!$D$3:$M$33,10,0)*IF(玩法行为规划!B10&gt;0,1,0))</f>
        <v>0</v>
      </c>
      <c r="D10" s="7" t="str">
        <f>IF(VLOOKUP(D$2,行为概览!$D$3:$M$33,10,0)="","",VLOOKUP(D$2,行为概览!$D$3:$M$33,10,0)*IF(玩法行为规划!C10&gt;0,1,0))</f>
        <v/>
      </c>
      <c r="E10" s="7" t="str">
        <f>IF(VLOOKUP(E$2,行为概览!$D$3:$M$33,10,0)="","",VLOOKUP(E$2,行为概览!$D$3:$M$33,10,0)*IF(玩法行为规划!D10&gt;0,1,0))</f>
        <v/>
      </c>
      <c r="F10" s="7">
        <f>IF(VLOOKUP(F$2,行为概览!$D$3:$M$33,10,0)="","",VLOOKUP(F$2,行为概览!$D$3:$M$33,10,0)*IF(玩法行为规划!E10&gt;0,1,0))</f>
        <v>0</v>
      </c>
      <c r="G10" s="7" t="str">
        <f>IF(VLOOKUP(G$2,行为概览!$D$3:$M$33,10,0)="","",VLOOKUP(G$2,行为概览!$D$3:$M$33,10,0)*IF(玩法行为规划!F10&gt;0,1,0))</f>
        <v/>
      </c>
      <c r="H10" s="7" t="str">
        <f>IF(VLOOKUP(H$2,行为概览!$D$3:$M$33,10,0)="","",VLOOKUP(H$2,行为概览!$D$3:$M$33,10,0)*IF(玩法行为规划!G10&gt;0,1,0))</f>
        <v/>
      </c>
      <c r="I10" s="7" t="str">
        <f>IF(VLOOKUP(I$2,行为概览!$D$3:$M$33,10,0)="","",VLOOKUP(I$2,行为概览!$D$3:$M$33,10,0)*IF(玩法行为规划!H10&gt;0,1,0))</f>
        <v/>
      </c>
      <c r="J10" s="7" t="str">
        <f>IF(VLOOKUP(J$2,行为概览!$D$3:$M$33,10,0)="","",VLOOKUP(J$2,行为概览!$D$3:$M$33,10,0)*IF(玩法行为规划!I10&gt;0,1,0))</f>
        <v/>
      </c>
      <c r="K10" s="7">
        <f>IF(VLOOKUP(K$2,行为概览!$D$3:$M$33,10,0)="","",VLOOKUP(K$2,行为概览!$D$3:$M$33,10,0)*IF(玩法行为规划!J10&gt;0,1,0))</f>
        <v>0</v>
      </c>
      <c r="L10" s="7">
        <f>IF(VLOOKUP(L$2,行为概览!$D$3:$M$33,10,0)="","",VLOOKUP(L$2,行为概览!$D$3:$M$33,10,0)*IF(玩法行为规划!K10&gt;0,1,0))</f>
        <v>0</v>
      </c>
      <c r="M10" s="7" t="str">
        <f>IF(VLOOKUP(M$2,行为概览!$D$3:$M$33,10,0)="","",VLOOKUP(M$2,行为概览!$D$3:$M$33,10,0)*IF(玩法行为规划!L10&gt;0,1,0))</f>
        <v/>
      </c>
      <c r="N10" s="7" t="str">
        <f>IF(VLOOKUP(N$2,行为概览!$D$3:$M$33,10,0)="","",VLOOKUP(N$2,行为概览!$D$3:$M$33,10,0)*IF(玩法行为规划!M10&gt;0,1,0))</f>
        <v/>
      </c>
      <c r="O10" s="7" t="str">
        <f>IF(VLOOKUP(O$2,行为概览!$D$3:$M$33,10,0)="","",VLOOKUP(O$2,行为概览!$D$3:$M$33,10,0)*IF(玩法行为规划!N10&gt;0,1,0))</f>
        <v/>
      </c>
      <c r="P10" s="7" t="str">
        <f>IF(VLOOKUP(P$2,行为概览!$D$3:$M$33,10,0)="","",VLOOKUP(P$2,行为概览!$D$3:$M$33,10,0)*IF(玩法行为规划!O10&gt;0,1,0))</f>
        <v/>
      </c>
      <c r="Q10" s="7">
        <f>IF(VLOOKUP(Q$2,行为概览!$D$3:$M$33,10,0)="","",VLOOKUP(Q$2,行为概览!$D$3:$M$33,10,0)*IF(玩法行为规划!P10&gt;0,1,0))</f>
        <v>10</v>
      </c>
      <c r="R10" s="7" t="str">
        <f>IF(VLOOKUP(R$2,行为概览!$D$3:$M$33,10,0)="","",VLOOKUP(R$2,行为概览!$D$3:$M$33,10,0)*IF(玩法行为规划!Q10&gt;0,1,0))</f>
        <v/>
      </c>
      <c r="S10" s="7">
        <f>IF(VLOOKUP(S$2,行为概览!$D$3:$M$33,10,0)="","",VLOOKUP(S$2,行为概览!$D$3:$M$33,10,0)*IF(玩法行为规划!R10&gt;0,1,0))</f>
        <v>0</v>
      </c>
      <c r="T10" s="7" t="str">
        <f>IF(VLOOKUP(T$2,行为概览!$D$3:$M$33,10,0)="","",VLOOKUP(T$2,行为概览!$D$3:$M$33,10,0)*IF(玩法行为规划!S10&gt;0,1,0))</f>
        <v/>
      </c>
      <c r="U10" s="7" t="str">
        <f>IF(VLOOKUP(U$2,行为概览!$D$3:$M$33,10,0)="","",VLOOKUP(U$2,行为概览!$D$3:$M$33,10,0)*IF(玩法行为规划!T10&gt;0,1,0))</f>
        <v/>
      </c>
      <c r="V10" s="7">
        <f>IF(VLOOKUP(V$2,行为概览!$D$3:$M$33,10,0)="","",VLOOKUP(V$2,行为概览!$D$3:$M$33,10,0)*IF(玩法行为规划!U10&gt;0,1,0))</f>
        <v>0</v>
      </c>
      <c r="W10" s="7" t="str">
        <f>IF(VLOOKUP(W$2,行为概览!$D$3:$M$33,10,0)="","",VLOOKUP(W$2,行为概览!$D$3:$M$33,10,0)*IF(玩法行为规划!V10&gt;0,1,0))</f>
        <v/>
      </c>
      <c r="X10" s="7" t="str">
        <f>IF(VLOOKUP(X$2,行为概览!$D$3:$M$33,10,0)="","",VLOOKUP(X$2,行为概览!$D$3:$M$33,10,0)*IF(玩法行为规划!W10&gt;0,1,0))</f>
        <v/>
      </c>
      <c r="Y10" s="7" t="str">
        <f>IF(VLOOKUP(Y$2,行为概览!$D$3:$M$33,10,0)="","",VLOOKUP(Y$2,行为概览!$D$3:$M$33,10,0)*IF(玩法行为规划!X10&gt;0,1,0))</f>
        <v/>
      </c>
      <c r="Z10" s="7">
        <f>IF(VLOOKUP(Z$2,行为概览!$D$3:$M$33,10,0)="","",VLOOKUP(Z$2,行为概览!$D$3:$M$33,10,0)*IF(玩法行为规划!Y10&gt;0,1,0))</f>
        <v>0</v>
      </c>
      <c r="AA10" s="7" t="str">
        <f>IF(VLOOKUP(AA$2,行为概览!$D$3:$M$33,10,0)="","",VLOOKUP(AA$2,行为概览!$D$3:$M$33,10,0)*IF(玩法行为规划!Z10&gt;0,1,0))</f>
        <v/>
      </c>
      <c r="AB10" s="7" t="str">
        <f>IF(VLOOKUP(AB$2,行为概览!$D$3:$M$33,10,0)="","",VLOOKUP(AB$2,行为概览!$D$3:$M$33,10,0)*IF(玩法行为规划!AA10&gt;0,1,0))</f>
        <v/>
      </c>
      <c r="AC10" s="7" t="str">
        <f>IF(VLOOKUP(AC$2,行为概览!$D$3:$M$33,10,0)="","",VLOOKUP(AC$2,行为概览!$D$3:$M$33,10,0)*IF(玩法行为规划!AB10&gt;0,1,0))</f>
        <v/>
      </c>
      <c r="AD10" s="7" t="str">
        <f>IF(VLOOKUP(AD$2,行为概览!$D$3:$M$33,10,0)="","",VLOOKUP(AD$2,行为概览!$D$3:$M$33,10,0)*IF(玩法行为规划!AC10&gt;0,1,0))</f>
        <v/>
      </c>
      <c r="AE10" s="7" t="str">
        <f>IF(VLOOKUP(AE$2,行为概览!$D$3:$M$33,10,0)="","",VLOOKUP(AE$2,行为概览!$D$3:$M$33,10,0)*IF(玩法行为规划!AD10&gt;0,1,0))</f>
        <v/>
      </c>
      <c r="AF10" s="7">
        <f>IF(VLOOKUP(AF$2,行为概览!$D$3:$M$33,10,0)="","",VLOOKUP(AF$2,行为概览!$D$3:$M$33,10,0)*IF(玩法行为规划!AE10&gt;0,1,0))</f>
        <v>0</v>
      </c>
      <c r="AG10" s="7">
        <f t="shared" si="0"/>
        <v>10</v>
      </c>
      <c r="AH10" s="7">
        <f t="shared" si="1"/>
        <v>80</v>
      </c>
      <c r="AI10" s="7">
        <v>0</v>
      </c>
      <c r="AJ10" s="21"/>
      <c r="AK10" s="7">
        <f t="shared" si="2"/>
        <v>80</v>
      </c>
      <c r="AL10" s="7">
        <f>SUM($AK$3:AK10)</f>
        <v>360</v>
      </c>
    </row>
    <row r="11" spans="1:39">
      <c r="A11" s="32">
        <v>9</v>
      </c>
      <c r="B11" s="87">
        <f>升级节奏!F11</f>
        <v>9</v>
      </c>
      <c r="C11" s="7">
        <f>IF(VLOOKUP(C$2,行为概览!$D$3:$M$33,10,0)="","",VLOOKUP(C$2,行为概览!$D$3:$M$33,10,0)*IF(玩法行为规划!B11&gt;0,1,0))</f>
        <v>0</v>
      </c>
      <c r="D11" s="7" t="str">
        <f>IF(VLOOKUP(D$2,行为概览!$D$3:$M$33,10,0)="","",VLOOKUP(D$2,行为概览!$D$3:$M$33,10,0)*IF(玩法行为规划!C11&gt;0,1,0))</f>
        <v/>
      </c>
      <c r="E11" s="7" t="str">
        <f>IF(VLOOKUP(E$2,行为概览!$D$3:$M$33,10,0)="","",VLOOKUP(E$2,行为概览!$D$3:$M$33,10,0)*IF(玩法行为规划!D11&gt;0,1,0))</f>
        <v/>
      </c>
      <c r="F11" s="7">
        <f>IF(VLOOKUP(F$2,行为概览!$D$3:$M$33,10,0)="","",VLOOKUP(F$2,行为概览!$D$3:$M$33,10,0)*IF(玩法行为规划!E11&gt;0,1,0))</f>
        <v>0</v>
      </c>
      <c r="G11" s="7" t="str">
        <f>IF(VLOOKUP(G$2,行为概览!$D$3:$M$33,10,0)="","",VLOOKUP(G$2,行为概览!$D$3:$M$33,10,0)*IF(玩法行为规划!F11&gt;0,1,0))</f>
        <v/>
      </c>
      <c r="H11" s="7" t="str">
        <f>IF(VLOOKUP(H$2,行为概览!$D$3:$M$33,10,0)="","",VLOOKUP(H$2,行为概览!$D$3:$M$33,10,0)*IF(玩法行为规划!G11&gt;0,1,0))</f>
        <v/>
      </c>
      <c r="I11" s="7" t="str">
        <f>IF(VLOOKUP(I$2,行为概览!$D$3:$M$33,10,0)="","",VLOOKUP(I$2,行为概览!$D$3:$M$33,10,0)*IF(玩法行为规划!H11&gt;0,1,0))</f>
        <v/>
      </c>
      <c r="J11" s="7" t="str">
        <f>IF(VLOOKUP(J$2,行为概览!$D$3:$M$33,10,0)="","",VLOOKUP(J$2,行为概览!$D$3:$M$33,10,0)*IF(玩法行为规划!I11&gt;0,1,0))</f>
        <v/>
      </c>
      <c r="K11" s="7">
        <f>IF(VLOOKUP(K$2,行为概览!$D$3:$M$33,10,0)="","",VLOOKUP(K$2,行为概览!$D$3:$M$33,10,0)*IF(玩法行为规划!J11&gt;0,1,0))</f>
        <v>0</v>
      </c>
      <c r="L11" s="7">
        <f>IF(VLOOKUP(L$2,行为概览!$D$3:$M$33,10,0)="","",VLOOKUP(L$2,行为概览!$D$3:$M$33,10,0)*IF(玩法行为规划!K11&gt;0,1,0))</f>
        <v>0</v>
      </c>
      <c r="M11" s="7" t="str">
        <f>IF(VLOOKUP(M$2,行为概览!$D$3:$M$33,10,0)="","",VLOOKUP(M$2,行为概览!$D$3:$M$33,10,0)*IF(玩法行为规划!L11&gt;0,1,0))</f>
        <v/>
      </c>
      <c r="N11" s="7" t="str">
        <f>IF(VLOOKUP(N$2,行为概览!$D$3:$M$33,10,0)="","",VLOOKUP(N$2,行为概览!$D$3:$M$33,10,0)*IF(玩法行为规划!M11&gt;0,1,0))</f>
        <v/>
      </c>
      <c r="O11" s="7" t="str">
        <f>IF(VLOOKUP(O$2,行为概览!$D$3:$M$33,10,0)="","",VLOOKUP(O$2,行为概览!$D$3:$M$33,10,0)*IF(玩法行为规划!N11&gt;0,1,0))</f>
        <v/>
      </c>
      <c r="P11" s="7" t="str">
        <f>IF(VLOOKUP(P$2,行为概览!$D$3:$M$33,10,0)="","",VLOOKUP(P$2,行为概览!$D$3:$M$33,10,0)*IF(玩法行为规划!O11&gt;0,1,0))</f>
        <v/>
      </c>
      <c r="Q11" s="7">
        <f>IF(VLOOKUP(Q$2,行为概览!$D$3:$M$33,10,0)="","",VLOOKUP(Q$2,行为概览!$D$3:$M$33,10,0)*IF(玩法行为规划!P11&gt;0,1,0))</f>
        <v>10</v>
      </c>
      <c r="R11" s="7" t="str">
        <f>IF(VLOOKUP(R$2,行为概览!$D$3:$M$33,10,0)="","",VLOOKUP(R$2,行为概览!$D$3:$M$33,10,0)*IF(玩法行为规划!Q11&gt;0,1,0))</f>
        <v/>
      </c>
      <c r="S11" s="7">
        <f>IF(VLOOKUP(S$2,行为概览!$D$3:$M$33,10,0)="","",VLOOKUP(S$2,行为概览!$D$3:$M$33,10,0)*IF(玩法行为规划!R11&gt;0,1,0))</f>
        <v>0</v>
      </c>
      <c r="T11" s="7" t="str">
        <f>IF(VLOOKUP(T$2,行为概览!$D$3:$M$33,10,0)="","",VLOOKUP(T$2,行为概览!$D$3:$M$33,10,0)*IF(玩法行为规划!S11&gt;0,1,0))</f>
        <v/>
      </c>
      <c r="U11" s="7" t="str">
        <f>IF(VLOOKUP(U$2,行为概览!$D$3:$M$33,10,0)="","",VLOOKUP(U$2,行为概览!$D$3:$M$33,10,0)*IF(玩法行为规划!T11&gt;0,1,0))</f>
        <v/>
      </c>
      <c r="V11" s="7">
        <f>IF(VLOOKUP(V$2,行为概览!$D$3:$M$33,10,0)="","",VLOOKUP(V$2,行为概览!$D$3:$M$33,10,0)*IF(玩法行为规划!U11&gt;0,1,0))</f>
        <v>0</v>
      </c>
      <c r="W11" s="7" t="str">
        <f>IF(VLOOKUP(W$2,行为概览!$D$3:$M$33,10,0)="","",VLOOKUP(W$2,行为概览!$D$3:$M$33,10,0)*IF(玩法行为规划!V11&gt;0,1,0))</f>
        <v/>
      </c>
      <c r="X11" s="7" t="str">
        <f>IF(VLOOKUP(X$2,行为概览!$D$3:$M$33,10,0)="","",VLOOKUP(X$2,行为概览!$D$3:$M$33,10,0)*IF(玩法行为规划!W11&gt;0,1,0))</f>
        <v/>
      </c>
      <c r="Y11" s="7" t="str">
        <f>IF(VLOOKUP(Y$2,行为概览!$D$3:$M$33,10,0)="","",VLOOKUP(Y$2,行为概览!$D$3:$M$33,10,0)*IF(玩法行为规划!X11&gt;0,1,0))</f>
        <v/>
      </c>
      <c r="Z11" s="7">
        <f>IF(VLOOKUP(Z$2,行为概览!$D$3:$M$33,10,0)="","",VLOOKUP(Z$2,行为概览!$D$3:$M$33,10,0)*IF(玩法行为规划!Y11&gt;0,1,0))</f>
        <v>0</v>
      </c>
      <c r="AA11" s="7" t="str">
        <f>IF(VLOOKUP(AA$2,行为概览!$D$3:$M$33,10,0)="","",VLOOKUP(AA$2,行为概览!$D$3:$M$33,10,0)*IF(玩法行为规划!Z11&gt;0,1,0))</f>
        <v/>
      </c>
      <c r="AB11" s="7" t="str">
        <f>IF(VLOOKUP(AB$2,行为概览!$D$3:$M$33,10,0)="","",VLOOKUP(AB$2,行为概览!$D$3:$M$33,10,0)*IF(玩法行为规划!AA11&gt;0,1,0))</f>
        <v/>
      </c>
      <c r="AC11" s="7" t="str">
        <f>IF(VLOOKUP(AC$2,行为概览!$D$3:$M$33,10,0)="","",VLOOKUP(AC$2,行为概览!$D$3:$M$33,10,0)*IF(玩法行为规划!AB11&gt;0,1,0))</f>
        <v/>
      </c>
      <c r="AD11" s="7" t="str">
        <f>IF(VLOOKUP(AD$2,行为概览!$D$3:$M$33,10,0)="","",VLOOKUP(AD$2,行为概览!$D$3:$M$33,10,0)*IF(玩法行为规划!AC11&gt;0,1,0))</f>
        <v/>
      </c>
      <c r="AE11" s="7" t="str">
        <f>IF(VLOOKUP(AE$2,行为概览!$D$3:$M$33,10,0)="","",VLOOKUP(AE$2,行为概览!$D$3:$M$33,10,0)*IF(玩法行为规划!AD11&gt;0,1,0))</f>
        <v/>
      </c>
      <c r="AF11" s="7">
        <f>IF(VLOOKUP(AF$2,行为概览!$D$3:$M$33,10,0)="","",VLOOKUP(AF$2,行为概览!$D$3:$M$33,10,0)*IF(玩法行为规划!AE11&gt;0,1,0))</f>
        <v>0</v>
      </c>
      <c r="AG11" s="7">
        <f t="shared" si="0"/>
        <v>10</v>
      </c>
      <c r="AH11" s="7">
        <f t="shared" si="1"/>
        <v>90</v>
      </c>
      <c r="AI11" s="7">
        <v>0</v>
      </c>
      <c r="AJ11" s="21"/>
      <c r="AK11" s="7">
        <f t="shared" si="2"/>
        <v>90</v>
      </c>
      <c r="AL11" s="7">
        <f>SUM($AK$3:AK11)</f>
        <v>450</v>
      </c>
    </row>
    <row r="12" spans="1:39">
      <c r="A12" s="32">
        <v>10</v>
      </c>
      <c r="B12" s="87">
        <f>升级节奏!F12</f>
        <v>10</v>
      </c>
      <c r="C12" s="7">
        <f>IF(VLOOKUP(C$2,行为概览!$D$3:$M$33,10,0)="","",VLOOKUP(C$2,行为概览!$D$3:$M$33,10,0)*IF(玩法行为规划!B12&gt;0,1,0))</f>
        <v>0</v>
      </c>
      <c r="D12" s="7" t="str">
        <f>IF(VLOOKUP(D$2,行为概览!$D$3:$M$33,10,0)="","",VLOOKUP(D$2,行为概览!$D$3:$M$33,10,0)*IF(玩法行为规划!C12&gt;0,1,0))</f>
        <v/>
      </c>
      <c r="E12" s="7" t="str">
        <f>IF(VLOOKUP(E$2,行为概览!$D$3:$M$33,10,0)="","",VLOOKUP(E$2,行为概览!$D$3:$M$33,10,0)*IF(玩法行为规划!D12&gt;0,1,0))</f>
        <v/>
      </c>
      <c r="F12" s="7">
        <f>IF(VLOOKUP(F$2,行为概览!$D$3:$M$33,10,0)="","",VLOOKUP(F$2,行为概览!$D$3:$M$33,10,0)*IF(玩法行为规划!E12&gt;0,1,0))</f>
        <v>0</v>
      </c>
      <c r="G12" s="7" t="str">
        <f>IF(VLOOKUP(G$2,行为概览!$D$3:$M$33,10,0)="","",VLOOKUP(G$2,行为概览!$D$3:$M$33,10,0)*IF(玩法行为规划!F12&gt;0,1,0))</f>
        <v/>
      </c>
      <c r="H12" s="7" t="str">
        <f>IF(VLOOKUP(H$2,行为概览!$D$3:$M$33,10,0)="","",VLOOKUP(H$2,行为概览!$D$3:$M$33,10,0)*IF(玩法行为规划!G12&gt;0,1,0))</f>
        <v/>
      </c>
      <c r="I12" s="7" t="str">
        <f>IF(VLOOKUP(I$2,行为概览!$D$3:$M$33,10,0)="","",VLOOKUP(I$2,行为概览!$D$3:$M$33,10,0)*IF(玩法行为规划!H12&gt;0,1,0))</f>
        <v/>
      </c>
      <c r="J12" s="7" t="str">
        <f>IF(VLOOKUP(J$2,行为概览!$D$3:$M$33,10,0)="","",VLOOKUP(J$2,行为概览!$D$3:$M$33,10,0)*IF(玩法行为规划!I12&gt;0,1,0))</f>
        <v/>
      </c>
      <c r="K12" s="7">
        <f>IF(VLOOKUP(K$2,行为概览!$D$3:$M$33,10,0)="","",VLOOKUP(K$2,行为概览!$D$3:$M$33,10,0)*IF(玩法行为规划!J12&gt;0,1,0))</f>
        <v>0</v>
      </c>
      <c r="L12" s="7">
        <f>IF(VLOOKUP(L$2,行为概览!$D$3:$M$33,10,0)="","",VLOOKUP(L$2,行为概览!$D$3:$M$33,10,0)*IF(玩法行为规划!K12&gt;0,1,0))</f>
        <v>0</v>
      </c>
      <c r="M12" s="7" t="str">
        <f>IF(VLOOKUP(M$2,行为概览!$D$3:$M$33,10,0)="","",VLOOKUP(M$2,行为概览!$D$3:$M$33,10,0)*IF(玩法行为规划!L12&gt;0,1,0))</f>
        <v/>
      </c>
      <c r="N12" s="7" t="str">
        <f>IF(VLOOKUP(N$2,行为概览!$D$3:$M$33,10,0)="","",VLOOKUP(N$2,行为概览!$D$3:$M$33,10,0)*IF(玩法行为规划!M12&gt;0,1,0))</f>
        <v/>
      </c>
      <c r="O12" s="7" t="str">
        <f>IF(VLOOKUP(O$2,行为概览!$D$3:$M$33,10,0)="","",VLOOKUP(O$2,行为概览!$D$3:$M$33,10,0)*IF(玩法行为规划!N12&gt;0,1,0))</f>
        <v/>
      </c>
      <c r="P12" s="7" t="str">
        <f>IF(VLOOKUP(P$2,行为概览!$D$3:$M$33,10,0)="","",VLOOKUP(P$2,行为概览!$D$3:$M$33,10,0)*IF(玩法行为规划!O12&gt;0,1,0))</f>
        <v/>
      </c>
      <c r="Q12" s="7">
        <f>IF(VLOOKUP(Q$2,行为概览!$D$3:$M$33,10,0)="","",VLOOKUP(Q$2,行为概览!$D$3:$M$33,10,0)*IF(玩法行为规划!P12&gt;0,1,0))</f>
        <v>10</v>
      </c>
      <c r="R12" s="7" t="str">
        <f>IF(VLOOKUP(R$2,行为概览!$D$3:$M$33,10,0)="","",VLOOKUP(R$2,行为概览!$D$3:$M$33,10,0)*IF(玩法行为规划!Q12&gt;0,1,0))</f>
        <v/>
      </c>
      <c r="S12" s="7">
        <f>IF(VLOOKUP(S$2,行为概览!$D$3:$M$33,10,0)="","",VLOOKUP(S$2,行为概览!$D$3:$M$33,10,0)*IF(玩法行为规划!R12&gt;0,1,0))</f>
        <v>0</v>
      </c>
      <c r="T12" s="7" t="str">
        <f>IF(VLOOKUP(T$2,行为概览!$D$3:$M$33,10,0)="","",VLOOKUP(T$2,行为概览!$D$3:$M$33,10,0)*IF(玩法行为规划!S12&gt;0,1,0))</f>
        <v/>
      </c>
      <c r="U12" s="7" t="str">
        <f>IF(VLOOKUP(U$2,行为概览!$D$3:$M$33,10,0)="","",VLOOKUP(U$2,行为概览!$D$3:$M$33,10,0)*IF(玩法行为规划!T12&gt;0,1,0))</f>
        <v/>
      </c>
      <c r="V12" s="7">
        <f>IF(VLOOKUP(V$2,行为概览!$D$3:$M$33,10,0)="","",VLOOKUP(V$2,行为概览!$D$3:$M$33,10,0)*IF(玩法行为规划!U12&gt;0,1,0))</f>
        <v>0</v>
      </c>
      <c r="W12" s="7" t="str">
        <f>IF(VLOOKUP(W$2,行为概览!$D$3:$M$33,10,0)="","",VLOOKUP(W$2,行为概览!$D$3:$M$33,10,0)*IF(玩法行为规划!V12&gt;0,1,0))</f>
        <v/>
      </c>
      <c r="X12" s="7" t="str">
        <f>IF(VLOOKUP(X$2,行为概览!$D$3:$M$33,10,0)="","",VLOOKUP(X$2,行为概览!$D$3:$M$33,10,0)*IF(玩法行为规划!W12&gt;0,1,0))</f>
        <v/>
      </c>
      <c r="Y12" s="7" t="str">
        <f>IF(VLOOKUP(Y$2,行为概览!$D$3:$M$33,10,0)="","",VLOOKUP(Y$2,行为概览!$D$3:$M$33,10,0)*IF(玩法行为规划!X12&gt;0,1,0))</f>
        <v/>
      </c>
      <c r="Z12" s="7">
        <f>IF(VLOOKUP(Z$2,行为概览!$D$3:$M$33,10,0)="","",VLOOKUP(Z$2,行为概览!$D$3:$M$33,10,0)*IF(玩法行为规划!Y12&gt;0,1,0))</f>
        <v>0</v>
      </c>
      <c r="AA12" s="7" t="str">
        <f>IF(VLOOKUP(AA$2,行为概览!$D$3:$M$33,10,0)="","",VLOOKUP(AA$2,行为概览!$D$3:$M$33,10,0)*IF(玩法行为规划!Z12&gt;0,1,0))</f>
        <v/>
      </c>
      <c r="AB12" s="7" t="str">
        <f>IF(VLOOKUP(AB$2,行为概览!$D$3:$M$33,10,0)="","",VLOOKUP(AB$2,行为概览!$D$3:$M$33,10,0)*IF(玩法行为规划!AA12&gt;0,1,0))</f>
        <v/>
      </c>
      <c r="AC12" s="7" t="str">
        <f>IF(VLOOKUP(AC$2,行为概览!$D$3:$M$33,10,0)="","",VLOOKUP(AC$2,行为概览!$D$3:$M$33,10,0)*IF(玩法行为规划!AB12&gt;0,1,0))</f>
        <v/>
      </c>
      <c r="AD12" s="7" t="str">
        <f>IF(VLOOKUP(AD$2,行为概览!$D$3:$M$33,10,0)="","",VLOOKUP(AD$2,行为概览!$D$3:$M$33,10,0)*IF(玩法行为规划!AC12&gt;0,1,0))</f>
        <v/>
      </c>
      <c r="AE12" s="7" t="str">
        <f>IF(VLOOKUP(AE$2,行为概览!$D$3:$M$33,10,0)="","",VLOOKUP(AE$2,行为概览!$D$3:$M$33,10,0)*IF(玩法行为规划!AD12&gt;0,1,0))</f>
        <v/>
      </c>
      <c r="AF12" s="7">
        <f>IF(VLOOKUP(AF$2,行为概览!$D$3:$M$33,10,0)="","",VLOOKUP(AF$2,行为概览!$D$3:$M$33,10,0)*IF(玩法行为规划!AE12&gt;0,1,0))</f>
        <v>0</v>
      </c>
      <c r="AG12" s="7">
        <f t="shared" si="0"/>
        <v>10</v>
      </c>
      <c r="AH12" s="7">
        <f t="shared" si="1"/>
        <v>100</v>
      </c>
      <c r="AI12" s="7">
        <v>0</v>
      </c>
      <c r="AJ12" s="21">
        <f t="shared" ref="AJ12:AJ43" si="3">IF(--RIGHT(A12,1)=0,SUM(AI12:AI21),"")</f>
        <v>0</v>
      </c>
      <c r="AK12" s="7">
        <f t="shared" si="2"/>
        <v>100</v>
      </c>
      <c r="AL12" s="7">
        <f>SUM($AK$3:AK12)</f>
        <v>550</v>
      </c>
    </row>
    <row r="13" spans="1:39">
      <c r="A13" s="32">
        <v>11</v>
      </c>
      <c r="B13" s="87">
        <f>升级节奏!F13</f>
        <v>11</v>
      </c>
      <c r="C13" s="7">
        <f>IF(VLOOKUP(C$2,行为概览!$D$3:$M$33,10,0)="","",VLOOKUP(C$2,行为概览!$D$3:$M$33,10,0)*IF(玩法行为规划!B13&gt;0,1,0))</f>
        <v>0</v>
      </c>
      <c r="D13" s="7" t="str">
        <f>IF(VLOOKUP(D$2,行为概览!$D$3:$M$33,10,0)="","",VLOOKUP(D$2,行为概览!$D$3:$M$33,10,0)*IF(玩法行为规划!C13&gt;0,1,0))</f>
        <v/>
      </c>
      <c r="E13" s="7" t="str">
        <f>IF(VLOOKUP(E$2,行为概览!$D$3:$M$33,10,0)="","",VLOOKUP(E$2,行为概览!$D$3:$M$33,10,0)*IF(玩法行为规划!D13&gt;0,1,0))</f>
        <v/>
      </c>
      <c r="F13" s="7">
        <f>IF(VLOOKUP(F$2,行为概览!$D$3:$M$33,10,0)="","",VLOOKUP(F$2,行为概览!$D$3:$M$33,10,0)*IF(玩法行为规划!E13&gt;0,1,0))</f>
        <v>0</v>
      </c>
      <c r="G13" s="7" t="str">
        <f>IF(VLOOKUP(G$2,行为概览!$D$3:$M$33,10,0)="","",VLOOKUP(G$2,行为概览!$D$3:$M$33,10,0)*IF(玩法行为规划!F13&gt;0,1,0))</f>
        <v/>
      </c>
      <c r="H13" s="7" t="str">
        <f>IF(VLOOKUP(H$2,行为概览!$D$3:$M$33,10,0)="","",VLOOKUP(H$2,行为概览!$D$3:$M$33,10,0)*IF(玩法行为规划!G13&gt;0,1,0))</f>
        <v/>
      </c>
      <c r="I13" s="7" t="str">
        <f>IF(VLOOKUP(I$2,行为概览!$D$3:$M$33,10,0)="","",VLOOKUP(I$2,行为概览!$D$3:$M$33,10,0)*IF(玩法行为规划!H13&gt;0,1,0))</f>
        <v/>
      </c>
      <c r="J13" s="7" t="str">
        <f>IF(VLOOKUP(J$2,行为概览!$D$3:$M$33,10,0)="","",VLOOKUP(J$2,行为概览!$D$3:$M$33,10,0)*IF(玩法行为规划!I13&gt;0,1,0))</f>
        <v/>
      </c>
      <c r="K13" s="7">
        <f>IF(VLOOKUP(K$2,行为概览!$D$3:$M$33,10,0)="","",VLOOKUP(K$2,行为概览!$D$3:$M$33,10,0)*IF(玩法行为规划!J13&gt;0,1,0))</f>
        <v>0</v>
      </c>
      <c r="L13" s="7">
        <f>IF(VLOOKUP(L$2,行为概览!$D$3:$M$33,10,0)="","",VLOOKUP(L$2,行为概览!$D$3:$M$33,10,0)*IF(玩法行为规划!K13&gt;0,1,0))</f>
        <v>0</v>
      </c>
      <c r="M13" s="7" t="str">
        <f>IF(VLOOKUP(M$2,行为概览!$D$3:$M$33,10,0)="","",VLOOKUP(M$2,行为概览!$D$3:$M$33,10,0)*IF(玩法行为规划!L13&gt;0,1,0))</f>
        <v/>
      </c>
      <c r="N13" s="7" t="str">
        <f>IF(VLOOKUP(N$2,行为概览!$D$3:$M$33,10,0)="","",VLOOKUP(N$2,行为概览!$D$3:$M$33,10,0)*IF(玩法行为规划!M13&gt;0,1,0))</f>
        <v/>
      </c>
      <c r="O13" s="7" t="str">
        <f>IF(VLOOKUP(O$2,行为概览!$D$3:$M$33,10,0)="","",VLOOKUP(O$2,行为概览!$D$3:$M$33,10,0)*IF(玩法行为规划!N13&gt;0,1,0))</f>
        <v/>
      </c>
      <c r="P13" s="7" t="str">
        <f>IF(VLOOKUP(P$2,行为概览!$D$3:$M$33,10,0)="","",VLOOKUP(P$2,行为概览!$D$3:$M$33,10,0)*IF(玩法行为规划!O13&gt;0,1,0))</f>
        <v/>
      </c>
      <c r="Q13" s="7">
        <f>IF(VLOOKUP(Q$2,行为概览!$D$3:$M$33,10,0)="","",VLOOKUP(Q$2,行为概览!$D$3:$M$33,10,0)*IF(玩法行为规划!P13&gt;0,1,0))</f>
        <v>10</v>
      </c>
      <c r="R13" s="7" t="str">
        <f>IF(VLOOKUP(R$2,行为概览!$D$3:$M$33,10,0)="","",VLOOKUP(R$2,行为概览!$D$3:$M$33,10,0)*IF(玩法行为规划!Q13&gt;0,1,0))</f>
        <v/>
      </c>
      <c r="S13" s="7">
        <f>IF(VLOOKUP(S$2,行为概览!$D$3:$M$33,10,0)="","",VLOOKUP(S$2,行为概览!$D$3:$M$33,10,0)*IF(玩法行为规划!R13&gt;0,1,0))</f>
        <v>0</v>
      </c>
      <c r="T13" s="7" t="str">
        <f>IF(VLOOKUP(T$2,行为概览!$D$3:$M$33,10,0)="","",VLOOKUP(T$2,行为概览!$D$3:$M$33,10,0)*IF(玩法行为规划!S13&gt;0,1,0))</f>
        <v/>
      </c>
      <c r="U13" s="7" t="str">
        <f>IF(VLOOKUP(U$2,行为概览!$D$3:$M$33,10,0)="","",VLOOKUP(U$2,行为概览!$D$3:$M$33,10,0)*IF(玩法行为规划!T13&gt;0,1,0))</f>
        <v/>
      </c>
      <c r="V13" s="7">
        <f>IF(VLOOKUP(V$2,行为概览!$D$3:$M$33,10,0)="","",VLOOKUP(V$2,行为概览!$D$3:$M$33,10,0)*IF(玩法行为规划!U13&gt;0,1,0))</f>
        <v>0</v>
      </c>
      <c r="W13" s="7" t="str">
        <f>IF(VLOOKUP(W$2,行为概览!$D$3:$M$33,10,0)="","",VLOOKUP(W$2,行为概览!$D$3:$M$33,10,0)*IF(玩法行为规划!V13&gt;0,1,0))</f>
        <v/>
      </c>
      <c r="X13" s="7" t="str">
        <f>IF(VLOOKUP(X$2,行为概览!$D$3:$M$33,10,0)="","",VLOOKUP(X$2,行为概览!$D$3:$M$33,10,0)*IF(玩法行为规划!W13&gt;0,1,0))</f>
        <v/>
      </c>
      <c r="Y13" s="7" t="str">
        <f>IF(VLOOKUP(Y$2,行为概览!$D$3:$M$33,10,0)="","",VLOOKUP(Y$2,行为概览!$D$3:$M$33,10,0)*IF(玩法行为规划!X13&gt;0,1,0))</f>
        <v/>
      </c>
      <c r="Z13" s="7">
        <f>IF(VLOOKUP(Z$2,行为概览!$D$3:$M$33,10,0)="","",VLOOKUP(Z$2,行为概览!$D$3:$M$33,10,0)*IF(玩法行为规划!Y13&gt;0,1,0))</f>
        <v>0</v>
      </c>
      <c r="AA13" s="7" t="str">
        <f>IF(VLOOKUP(AA$2,行为概览!$D$3:$M$33,10,0)="","",VLOOKUP(AA$2,行为概览!$D$3:$M$33,10,0)*IF(玩法行为规划!Z13&gt;0,1,0))</f>
        <v/>
      </c>
      <c r="AB13" s="7" t="str">
        <f>IF(VLOOKUP(AB$2,行为概览!$D$3:$M$33,10,0)="","",VLOOKUP(AB$2,行为概览!$D$3:$M$33,10,0)*IF(玩法行为规划!AA13&gt;0,1,0))</f>
        <v/>
      </c>
      <c r="AC13" s="7" t="str">
        <f>IF(VLOOKUP(AC$2,行为概览!$D$3:$M$33,10,0)="","",VLOOKUP(AC$2,行为概览!$D$3:$M$33,10,0)*IF(玩法行为规划!AB13&gt;0,1,0))</f>
        <v/>
      </c>
      <c r="AD13" s="7" t="str">
        <f>IF(VLOOKUP(AD$2,行为概览!$D$3:$M$33,10,0)="","",VLOOKUP(AD$2,行为概览!$D$3:$M$33,10,0)*IF(玩法行为规划!AC13&gt;0,1,0))</f>
        <v/>
      </c>
      <c r="AE13" s="7" t="str">
        <f>IF(VLOOKUP(AE$2,行为概览!$D$3:$M$33,10,0)="","",VLOOKUP(AE$2,行为概览!$D$3:$M$33,10,0)*IF(玩法行为规划!AD13&gt;0,1,0))</f>
        <v/>
      </c>
      <c r="AF13" s="7">
        <f>IF(VLOOKUP(AF$2,行为概览!$D$3:$M$33,10,0)="","",VLOOKUP(AF$2,行为概览!$D$3:$M$33,10,0)*IF(玩法行为规划!AE13&gt;0,1,0))</f>
        <v>0</v>
      </c>
      <c r="AG13" s="7">
        <f t="shared" si="0"/>
        <v>10</v>
      </c>
      <c r="AH13" s="7">
        <f t="shared" si="1"/>
        <v>110</v>
      </c>
      <c r="AI13" s="7">
        <v>0</v>
      </c>
      <c r="AJ13" s="21" t="str">
        <f t="shared" si="3"/>
        <v/>
      </c>
      <c r="AK13" s="7">
        <f t="shared" si="2"/>
        <v>110</v>
      </c>
      <c r="AL13" s="7">
        <f>SUM($AK$3:AK13)</f>
        <v>660</v>
      </c>
    </row>
    <row r="14" spans="1:39">
      <c r="A14" s="32">
        <v>12</v>
      </c>
      <c r="B14" s="87">
        <f>升级节奏!F14</f>
        <v>12</v>
      </c>
      <c r="C14" s="7">
        <f>IF(VLOOKUP(C$2,行为概览!$D$3:$M$33,10,0)="","",VLOOKUP(C$2,行为概览!$D$3:$M$33,10,0)*IF(玩法行为规划!B14&gt;0,1,0))</f>
        <v>0</v>
      </c>
      <c r="D14" s="7" t="str">
        <f>IF(VLOOKUP(D$2,行为概览!$D$3:$M$33,10,0)="","",VLOOKUP(D$2,行为概览!$D$3:$M$33,10,0)*IF(玩法行为规划!C14&gt;0,1,0))</f>
        <v/>
      </c>
      <c r="E14" s="7" t="str">
        <f>IF(VLOOKUP(E$2,行为概览!$D$3:$M$33,10,0)="","",VLOOKUP(E$2,行为概览!$D$3:$M$33,10,0)*IF(玩法行为规划!D14&gt;0,1,0))</f>
        <v/>
      </c>
      <c r="F14" s="7">
        <f>IF(VLOOKUP(F$2,行为概览!$D$3:$M$33,10,0)="","",VLOOKUP(F$2,行为概览!$D$3:$M$33,10,0)*IF(玩法行为规划!E14&gt;0,1,0))</f>
        <v>0</v>
      </c>
      <c r="G14" s="7" t="str">
        <f>IF(VLOOKUP(G$2,行为概览!$D$3:$M$33,10,0)="","",VLOOKUP(G$2,行为概览!$D$3:$M$33,10,0)*IF(玩法行为规划!F14&gt;0,1,0))</f>
        <v/>
      </c>
      <c r="H14" s="7" t="str">
        <f>IF(VLOOKUP(H$2,行为概览!$D$3:$M$33,10,0)="","",VLOOKUP(H$2,行为概览!$D$3:$M$33,10,0)*IF(玩法行为规划!G14&gt;0,1,0))</f>
        <v/>
      </c>
      <c r="I14" s="7" t="str">
        <f>IF(VLOOKUP(I$2,行为概览!$D$3:$M$33,10,0)="","",VLOOKUP(I$2,行为概览!$D$3:$M$33,10,0)*IF(玩法行为规划!H14&gt;0,1,0))</f>
        <v/>
      </c>
      <c r="J14" s="7" t="str">
        <f>IF(VLOOKUP(J$2,行为概览!$D$3:$M$33,10,0)="","",VLOOKUP(J$2,行为概览!$D$3:$M$33,10,0)*IF(玩法行为规划!I14&gt;0,1,0))</f>
        <v/>
      </c>
      <c r="K14" s="7">
        <f>IF(VLOOKUP(K$2,行为概览!$D$3:$M$33,10,0)="","",VLOOKUP(K$2,行为概览!$D$3:$M$33,10,0)*IF(玩法行为规划!J14&gt;0,1,0))</f>
        <v>0</v>
      </c>
      <c r="L14" s="7">
        <f>IF(VLOOKUP(L$2,行为概览!$D$3:$M$33,10,0)="","",VLOOKUP(L$2,行为概览!$D$3:$M$33,10,0)*IF(玩法行为规划!K14&gt;0,1,0))</f>
        <v>0</v>
      </c>
      <c r="M14" s="7" t="str">
        <f>IF(VLOOKUP(M$2,行为概览!$D$3:$M$33,10,0)="","",VLOOKUP(M$2,行为概览!$D$3:$M$33,10,0)*IF(玩法行为规划!L14&gt;0,1,0))</f>
        <v/>
      </c>
      <c r="N14" s="7" t="str">
        <f>IF(VLOOKUP(N$2,行为概览!$D$3:$M$33,10,0)="","",VLOOKUP(N$2,行为概览!$D$3:$M$33,10,0)*IF(玩法行为规划!M14&gt;0,1,0))</f>
        <v/>
      </c>
      <c r="O14" s="7" t="str">
        <f>IF(VLOOKUP(O$2,行为概览!$D$3:$M$33,10,0)="","",VLOOKUP(O$2,行为概览!$D$3:$M$33,10,0)*IF(玩法行为规划!N14&gt;0,1,0))</f>
        <v/>
      </c>
      <c r="P14" s="7" t="str">
        <f>IF(VLOOKUP(P$2,行为概览!$D$3:$M$33,10,0)="","",VLOOKUP(P$2,行为概览!$D$3:$M$33,10,0)*IF(玩法行为规划!O14&gt;0,1,0))</f>
        <v/>
      </c>
      <c r="Q14" s="7">
        <f>IF(VLOOKUP(Q$2,行为概览!$D$3:$M$33,10,0)="","",VLOOKUP(Q$2,行为概览!$D$3:$M$33,10,0)*IF(玩法行为规划!P14&gt;0,1,0))</f>
        <v>10</v>
      </c>
      <c r="R14" s="7" t="str">
        <f>IF(VLOOKUP(R$2,行为概览!$D$3:$M$33,10,0)="","",VLOOKUP(R$2,行为概览!$D$3:$M$33,10,0)*IF(玩法行为规划!Q14&gt;0,1,0))</f>
        <v/>
      </c>
      <c r="S14" s="7">
        <f>IF(VLOOKUP(S$2,行为概览!$D$3:$M$33,10,0)="","",VLOOKUP(S$2,行为概览!$D$3:$M$33,10,0)*IF(玩法行为规划!R14&gt;0,1,0))</f>
        <v>0</v>
      </c>
      <c r="T14" s="7" t="str">
        <f>IF(VLOOKUP(T$2,行为概览!$D$3:$M$33,10,0)="","",VLOOKUP(T$2,行为概览!$D$3:$M$33,10,0)*IF(玩法行为规划!S14&gt;0,1,0))</f>
        <v/>
      </c>
      <c r="U14" s="7" t="str">
        <f>IF(VLOOKUP(U$2,行为概览!$D$3:$M$33,10,0)="","",VLOOKUP(U$2,行为概览!$D$3:$M$33,10,0)*IF(玩法行为规划!T14&gt;0,1,0))</f>
        <v/>
      </c>
      <c r="V14" s="7">
        <f>IF(VLOOKUP(V$2,行为概览!$D$3:$M$33,10,0)="","",VLOOKUP(V$2,行为概览!$D$3:$M$33,10,0)*IF(玩法行为规划!U14&gt;0,1,0))</f>
        <v>0</v>
      </c>
      <c r="W14" s="7" t="str">
        <f>IF(VLOOKUP(W$2,行为概览!$D$3:$M$33,10,0)="","",VLOOKUP(W$2,行为概览!$D$3:$M$33,10,0)*IF(玩法行为规划!V14&gt;0,1,0))</f>
        <v/>
      </c>
      <c r="X14" s="7" t="str">
        <f>IF(VLOOKUP(X$2,行为概览!$D$3:$M$33,10,0)="","",VLOOKUP(X$2,行为概览!$D$3:$M$33,10,0)*IF(玩法行为规划!W14&gt;0,1,0))</f>
        <v/>
      </c>
      <c r="Y14" s="7" t="str">
        <f>IF(VLOOKUP(Y$2,行为概览!$D$3:$M$33,10,0)="","",VLOOKUP(Y$2,行为概览!$D$3:$M$33,10,0)*IF(玩法行为规划!X14&gt;0,1,0))</f>
        <v/>
      </c>
      <c r="Z14" s="7">
        <f>IF(VLOOKUP(Z$2,行为概览!$D$3:$M$33,10,0)="","",VLOOKUP(Z$2,行为概览!$D$3:$M$33,10,0)*IF(玩法行为规划!Y14&gt;0,1,0))</f>
        <v>0</v>
      </c>
      <c r="AA14" s="7" t="str">
        <f>IF(VLOOKUP(AA$2,行为概览!$D$3:$M$33,10,0)="","",VLOOKUP(AA$2,行为概览!$D$3:$M$33,10,0)*IF(玩法行为规划!Z14&gt;0,1,0))</f>
        <v/>
      </c>
      <c r="AB14" s="7" t="str">
        <f>IF(VLOOKUP(AB$2,行为概览!$D$3:$M$33,10,0)="","",VLOOKUP(AB$2,行为概览!$D$3:$M$33,10,0)*IF(玩法行为规划!AA14&gt;0,1,0))</f>
        <v/>
      </c>
      <c r="AC14" s="7" t="str">
        <f>IF(VLOOKUP(AC$2,行为概览!$D$3:$M$33,10,0)="","",VLOOKUP(AC$2,行为概览!$D$3:$M$33,10,0)*IF(玩法行为规划!AB14&gt;0,1,0))</f>
        <v/>
      </c>
      <c r="AD14" s="7" t="str">
        <f>IF(VLOOKUP(AD$2,行为概览!$D$3:$M$33,10,0)="","",VLOOKUP(AD$2,行为概览!$D$3:$M$33,10,0)*IF(玩法行为规划!AC14&gt;0,1,0))</f>
        <v/>
      </c>
      <c r="AE14" s="7" t="str">
        <f>IF(VLOOKUP(AE$2,行为概览!$D$3:$M$33,10,0)="","",VLOOKUP(AE$2,行为概览!$D$3:$M$33,10,0)*IF(玩法行为规划!AD14&gt;0,1,0))</f>
        <v/>
      </c>
      <c r="AF14" s="7">
        <f>IF(VLOOKUP(AF$2,行为概览!$D$3:$M$33,10,0)="","",VLOOKUP(AF$2,行为概览!$D$3:$M$33,10,0)*IF(玩法行为规划!AE14&gt;0,1,0))</f>
        <v>0</v>
      </c>
      <c r="AG14" s="7">
        <f t="shared" si="0"/>
        <v>10</v>
      </c>
      <c r="AH14" s="7">
        <f t="shared" si="1"/>
        <v>120</v>
      </c>
      <c r="AI14" s="7">
        <v>0</v>
      </c>
      <c r="AJ14" s="21" t="str">
        <f t="shared" si="3"/>
        <v/>
      </c>
      <c r="AK14" s="7">
        <f t="shared" si="2"/>
        <v>120</v>
      </c>
      <c r="AL14" s="7">
        <f>SUM($AK$3:AK14)</f>
        <v>780</v>
      </c>
    </row>
    <row r="15" spans="1:39">
      <c r="A15" s="32">
        <v>13</v>
      </c>
      <c r="B15" s="87">
        <f>升级节奏!F15</f>
        <v>13</v>
      </c>
      <c r="C15" s="7">
        <f>IF(VLOOKUP(C$2,行为概览!$D$3:$M$33,10,0)="","",VLOOKUP(C$2,行为概览!$D$3:$M$33,10,0)*IF(玩法行为规划!B15&gt;0,1,0))</f>
        <v>0</v>
      </c>
      <c r="D15" s="7" t="str">
        <f>IF(VLOOKUP(D$2,行为概览!$D$3:$M$33,10,0)="","",VLOOKUP(D$2,行为概览!$D$3:$M$33,10,0)*IF(玩法行为规划!C15&gt;0,1,0))</f>
        <v/>
      </c>
      <c r="E15" s="7" t="str">
        <f>IF(VLOOKUP(E$2,行为概览!$D$3:$M$33,10,0)="","",VLOOKUP(E$2,行为概览!$D$3:$M$33,10,0)*IF(玩法行为规划!D15&gt;0,1,0))</f>
        <v/>
      </c>
      <c r="F15" s="7">
        <f>IF(VLOOKUP(F$2,行为概览!$D$3:$M$33,10,0)="","",VLOOKUP(F$2,行为概览!$D$3:$M$33,10,0)*IF(玩法行为规划!E15&gt;0,1,0))</f>
        <v>0</v>
      </c>
      <c r="G15" s="7" t="str">
        <f>IF(VLOOKUP(G$2,行为概览!$D$3:$M$33,10,0)="","",VLOOKUP(G$2,行为概览!$D$3:$M$33,10,0)*IF(玩法行为规划!F15&gt;0,1,0))</f>
        <v/>
      </c>
      <c r="H15" s="7" t="str">
        <f>IF(VLOOKUP(H$2,行为概览!$D$3:$M$33,10,0)="","",VLOOKUP(H$2,行为概览!$D$3:$M$33,10,0)*IF(玩法行为规划!G15&gt;0,1,0))</f>
        <v/>
      </c>
      <c r="I15" s="7" t="str">
        <f>IF(VLOOKUP(I$2,行为概览!$D$3:$M$33,10,0)="","",VLOOKUP(I$2,行为概览!$D$3:$M$33,10,0)*IF(玩法行为规划!H15&gt;0,1,0))</f>
        <v/>
      </c>
      <c r="J15" s="7" t="str">
        <f>IF(VLOOKUP(J$2,行为概览!$D$3:$M$33,10,0)="","",VLOOKUP(J$2,行为概览!$D$3:$M$33,10,0)*IF(玩法行为规划!I15&gt;0,1,0))</f>
        <v/>
      </c>
      <c r="K15" s="7">
        <f>IF(VLOOKUP(K$2,行为概览!$D$3:$M$33,10,0)="","",VLOOKUP(K$2,行为概览!$D$3:$M$33,10,0)*IF(玩法行为规划!J15&gt;0,1,0))</f>
        <v>0</v>
      </c>
      <c r="L15" s="7">
        <f>IF(VLOOKUP(L$2,行为概览!$D$3:$M$33,10,0)="","",VLOOKUP(L$2,行为概览!$D$3:$M$33,10,0)*IF(玩法行为规划!K15&gt;0,1,0))</f>
        <v>0</v>
      </c>
      <c r="M15" s="7" t="str">
        <f>IF(VLOOKUP(M$2,行为概览!$D$3:$M$33,10,0)="","",VLOOKUP(M$2,行为概览!$D$3:$M$33,10,0)*IF(玩法行为规划!L15&gt;0,1,0))</f>
        <v/>
      </c>
      <c r="N15" s="7" t="str">
        <f>IF(VLOOKUP(N$2,行为概览!$D$3:$M$33,10,0)="","",VLOOKUP(N$2,行为概览!$D$3:$M$33,10,0)*IF(玩法行为规划!M15&gt;0,1,0))</f>
        <v/>
      </c>
      <c r="O15" s="7" t="str">
        <f>IF(VLOOKUP(O$2,行为概览!$D$3:$M$33,10,0)="","",VLOOKUP(O$2,行为概览!$D$3:$M$33,10,0)*IF(玩法行为规划!N15&gt;0,1,0))</f>
        <v/>
      </c>
      <c r="P15" s="7" t="str">
        <f>IF(VLOOKUP(P$2,行为概览!$D$3:$M$33,10,0)="","",VLOOKUP(P$2,行为概览!$D$3:$M$33,10,0)*IF(玩法行为规划!O15&gt;0,1,0))</f>
        <v/>
      </c>
      <c r="Q15" s="7">
        <f>IF(VLOOKUP(Q$2,行为概览!$D$3:$M$33,10,0)="","",VLOOKUP(Q$2,行为概览!$D$3:$M$33,10,0)*IF(玩法行为规划!P15&gt;0,1,0))</f>
        <v>10</v>
      </c>
      <c r="R15" s="7" t="str">
        <f>IF(VLOOKUP(R$2,行为概览!$D$3:$M$33,10,0)="","",VLOOKUP(R$2,行为概览!$D$3:$M$33,10,0)*IF(玩法行为规划!Q15&gt;0,1,0))</f>
        <v/>
      </c>
      <c r="S15" s="7">
        <f>IF(VLOOKUP(S$2,行为概览!$D$3:$M$33,10,0)="","",VLOOKUP(S$2,行为概览!$D$3:$M$33,10,0)*IF(玩法行为规划!R15&gt;0,1,0))</f>
        <v>0</v>
      </c>
      <c r="T15" s="7" t="str">
        <f>IF(VLOOKUP(T$2,行为概览!$D$3:$M$33,10,0)="","",VLOOKUP(T$2,行为概览!$D$3:$M$33,10,0)*IF(玩法行为规划!S15&gt;0,1,0))</f>
        <v/>
      </c>
      <c r="U15" s="7" t="str">
        <f>IF(VLOOKUP(U$2,行为概览!$D$3:$M$33,10,0)="","",VLOOKUP(U$2,行为概览!$D$3:$M$33,10,0)*IF(玩法行为规划!T15&gt;0,1,0))</f>
        <v/>
      </c>
      <c r="V15" s="7">
        <f>IF(VLOOKUP(V$2,行为概览!$D$3:$M$33,10,0)="","",VLOOKUP(V$2,行为概览!$D$3:$M$33,10,0)*IF(玩法行为规划!U15&gt;0,1,0))</f>
        <v>0</v>
      </c>
      <c r="W15" s="7" t="str">
        <f>IF(VLOOKUP(W$2,行为概览!$D$3:$M$33,10,0)="","",VLOOKUP(W$2,行为概览!$D$3:$M$33,10,0)*IF(玩法行为规划!V15&gt;0,1,0))</f>
        <v/>
      </c>
      <c r="X15" s="7" t="str">
        <f>IF(VLOOKUP(X$2,行为概览!$D$3:$M$33,10,0)="","",VLOOKUP(X$2,行为概览!$D$3:$M$33,10,0)*IF(玩法行为规划!W15&gt;0,1,0))</f>
        <v/>
      </c>
      <c r="Y15" s="7" t="str">
        <f>IF(VLOOKUP(Y$2,行为概览!$D$3:$M$33,10,0)="","",VLOOKUP(Y$2,行为概览!$D$3:$M$33,10,0)*IF(玩法行为规划!X15&gt;0,1,0))</f>
        <v/>
      </c>
      <c r="Z15" s="7">
        <f>IF(VLOOKUP(Z$2,行为概览!$D$3:$M$33,10,0)="","",VLOOKUP(Z$2,行为概览!$D$3:$M$33,10,0)*IF(玩法行为规划!Y15&gt;0,1,0))</f>
        <v>0</v>
      </c>
      <c r="AA15" s="7" t="str">
        <f>IF(VLOOKUP(AA$2,行为概览!$D$3:$M$33,10,0)="","",VLOOKUP(AA$2,行为概览!$D$3:$M$33,10,0)*IF(玩法行为规划!Z15&gt;0,1,0))</f>
        <v/>
      </c>
      <c r="AB15" s="7" t="str">
        <f>IF(VLOOKUP(AB$2,行为概览!$D$3:$M$33,10,0)="","",VLOOKUP(AB$2,行为概览!$D$3:$M$33,10,0)*IF(玩法行为规划!AA15&gt;0,1,0))</f>
        <v/>
      </c>
      <c r="AC15" s="7" t="str">
        <f>IF(VLOOKUP(AC$2,行为概览!$D$3:$M$33,10,0)="","",VLOOKUP(AC$2,行为概览!$D$3:$M$33,10,0)*IF(玩法行为规划!AB15&gt;0,1,0))</f>
        <v/>
      </c>
      <c r="AD15" s="7" t="str">
        <f>IF(VLOOKUP(AD$2,行为概览!$D$3:$M$33,10,0)="","",VLOOKUP(AD$2,行为概览!$D$3:$M$33,10,0)*IF(玩法行为规划!AC15&gt;0,1,0))</f>
        <v/>
      </c>
      <c r="AE15" s="7" t="str">
        <f>IF(VLOOKUP(AE$2,行为概览!$D$3:$M$33,10,0)="","",VLOOKUP(AE$2,行为概览!$D$3:$M$33,10,0)*IF(玩法行为规划!AD15&gt;0,1,0))</f>
        <v/>
      </c>
      <c r="AF15" s="7">
        <f>IF(VLOOKUP(AF$2,行为概览!$D$3:$M$33,10,0)="","",VLOOKUP(AF$2,行为概览!$D$3:$M$33,10,0)*IF(玩法行为规划!AE15&gt;0,1,0))</f>
        <v>0</v>
      </c>
      <c r="AG15" s="7">
        <f t="shared" si="0"/>
        <v>10</v>
      </c>
      <c r="AH15" s="7">
        <f t="shared" si="1"/>
        <v>130</v>
      </c>
      <c r="AI15" s="7">
        <v>0</v>
      </c>
      <c r="AJ15" s="21" t="str">
        <f t="shared" si="3"/>
        <v/>
      </c>
      <c r="AK15" s="7">
        <f t="shared" si="2"/>
        <v>130</v>
      </c>
      <c r="AL15" s="7">
        <f>SUM($AK$3:AK15)</f>
        <v>910</v>
      </c>
    </row>
    <row r="16" spans="1:39">
      <c r="A16" s="32">
        <v>14</v>
      </c>
      <c r="B16" s="87">
        <f>升级节奏!F16</f>
        <v>14</v>
      </c>
      <c r="C16" s="7">
        <f>IF(VLOOKUP(C$2,行为概览!$D$3:$M$33,10,0)="","",VLOOKUP(C$2,行为概览!$D$3:$M$33,10,0)*IF(玩法行为规划!B16&gt;0,1,0))</f>
        <v>0</v>
      </c>
      <c r="D16" s="7" t="str">
        <f>IF(VLOOKUP(D$2,行为概览!$D$3:$M$33,10,0)="","",VLOOKUP(D$2,行为概览!$D$3:$M$33,10,0)*IF(玩法行为规划!C16&gt;0,1,0))</f>
        <v/>
      </c>
      <c r="E16" s="7" t="str">
        <f>IF(VLOOKUP(E$2,行为概览!$D$3:$M$33,10,0)="","",VLOOKUP(E$2,行为概览!$D$3:$M$33,10,0)*IF(玩法行为规划!D16&gt;0,1,0))</f>
        <v/>
      </c>
      <c r="F16" s="7">
        <f>IF(VLOOKUP(F$2,行为概览!$D$3:$M$33,10,0)="","",VLOOKUP(F$2,行为概览!$D$3:$M$33,10,0)*IF(玩法行为规划!E16&gt;0,1,0))</f>
        <v>0</v>
      </c>
      <c r="G16" s="7" t="str">
        <f>IF(VLOOKUP(G$2,行为概览!$D$3:$M$33,10,0)="","",VLOOKUP(G$2,行为概览!$D$3:$M$33,10,0)*IF(玩法行为规划!F16&gt;0,1,0))</f>
        <v/>
      </c>
      <c r="H16" s="7" t="str">
        <f>IF(VLOOKUP(H$2,行为概览!$D$3:$M$33,10,0)="","",VLOOKUP(H$2,行为概览!$D$3:$M$33,10,0)*IF(玩法行为规划!G16&gt;0,1,0))</f>
        <v/>
      </c>
      <c r="I16" s="7" t="str">
        <f>IF(VLOOKUP(I$2,行为概览!$D$3:$M$33,10,0)="","",VLOOKUP(I$2,行为概览!$D$3:$M$33,10,0)*IF(玩法行为规划!H16&gt;0,1,0))</f>
        <v/>
      </c>
      <c r="J16" s="7" t="str">
        <f>IF(VLOOKUP(J$2,行为概览!$D$3:$M$33,10,0)="","",VLOOKUP(J$2,行为概览!$D$3:$M$33,10,0)*IF(玩法行为规划!I16&gt;0,1,0))</f>
        <v/>
      </c>
      <c r="K16" s="7">
        <f>IF(VLOOKUP(K$2,行为概览!$D$3:$M$33,10,0)="","",VLOOKUP(K$2,行为概览!$D$3:$M$33,10,0)*IF(玩法行为规划!J16&gt;0,1,0))</f>
        <v>0</v>
      </c>
      <c r="L16" s="7">
        <f>IF(VLOOKUP(L$2,行为概览!$D$3:$M$33,10,0)="","",VLOOKUP(L$2,行为概览!$D$3:$M$33,10,0)*IF(玩法行为规划!K16&gt;0,1,0))</f>
        <v>0</v>
      </c>
      <c r="M16" s="7" t="str">
        <f>IF(VLOOKUP(M$2,行为概览!$D$3:$M$33,10,0)="","",VLOOKUP(M$2,行为概览!$D$3:$M$33,10,0)*IF(玩法行为规划!L16&gt;0,1,0))</f>
        <v/>
      </c>
      <c r="N16" s="7" t="str">
        <f>IF(VLOOKUP(N$2,行为概览!$D$3:$M$33,10,0)="","",VLOOKUP(N$2,行为概览!$D$3:$M$33,10,0)*IF(玩法行为规划!M16&gt;0,1,0))</f>
        <v/>
      </c>
      <c r="O16" s="7" t="str">
        <f>IF(VLOOKUP(O$2,行为概览!$D$3:$M$33,10,0)="","",VLOOKUP(O$2,行为概览!$D$3:$M$33,10,0)*IF(玩法行为规划!N16&gt;0,1,0))</f>
        <v/>
      </c>
      <c r="P16" s="7" t="str">
        <f>IF(VLOOKUP(P$2,行为概览!$D$3:$M$33,10,0)="","",VLOOKUP(P$2,行为概览!$D$3:$M$33,10,0)*IF(玩法行为规划!O16&gt;0,1,0))</f>
        <v/>
      </c>
      <c r="Q16" s="7">
        <f>IF(VLOOKUP(Q$2,行为概览!$D$3:$M$33,10,0)="","",VLOOKUP(Q$2,行为概览!$D$3:$M$33,10,0)*IF(玩法行为规划!P16&gt;0,1,0))</f>
        <v>10</v>
      </c>
      <c r="R16" s="7" t="str">
        <f>IF(VLOOKUP(R$2,行为概览!$D$3:$M$33,10,0)="","",VLOOKUP(R$2,行为概览!$D$3:$M$33,10,0)*IF(玩法行为规划!Q16&gt;0,1,0))</f>
        <v/>
      </c>
      <c r="S16" s="7">
        <f>IF(VLOOKUP(S$2,行为概览!$D$3:$M$33,10,0)="","",VLOOKUP(S$2,行为概览!$D$3:$M$33,10,0)*IF(玩法行为规划!R16&gt;0,1,0))</f>
        <v>0</v>
      </c>
      <c r="T16" s="7" t="str">
        <f>IF(VLOOKUP(T$2,行为概览!$D$3:$M$33,10,0)="","",VLOOKUP(T$2,行为概览!$D$3:$M$33,10,0)*IF(玩法行为规划!S16&gt;0,1,0))</f>
        <v/>
      </c>
      <c r="U16" s="7" t="str">
        <f>IF(VLOOKUP(U$2,行为概览!$D$3:$M$33,10,0)="","",VLOOKUP(U$2,行为概览!$D$3:$M$33,10,0)*IF(玩法行为规划!T16&gt;0,1,0))</f>
        <v/>
      </c>
      <c r="V16" s="7">
        <f>IF(VLOOKUP(V$2,行为概览!$D$3:$M$33,10,0)="","",VLOOKUP(V$2,行为概览!$D$3:$M$33,10,0)*IF(玩法行为规划!U16&gt;0,1,0))</f>
        <v>0</v>
      </c>
      <c r="W16" s="7" t="str">
        <f>IF(VLOOKUP(W$2,行为概览!$D$3:$M$33,10,0)="","",VLOOKUP(W$2,行为概览!$D$3:$M$33,10,0)*IF(玩法行为规划!V16&gt;0,1,0))</f>
        <v/>
      </c>
      <c r="X16" s="7" t="str">
        <f>IF(VLOOKUP(X$2,行为概览!$D$3:$M$33,10,0)="","",VLOOKUP(X$2,行为概览!$D$3:$M$33,10,0)*IF(玩法行为规划!W16&gt;0,1,0))</f>
        <v/>
      </c>
      <c r="Y16" s="7" t="str">
        <f>IF(VLOOKUP(Y$2,行为概览!$D$3:$M$33,10,0)="","",VLOOKUP(Y$2,行为概览!$D$3:$M$33,10,0)*IF(玩法行为规划!X16&gt;0,1,0))</f>
        <v/>
      </c>
      <c r="Z16" s="7">
        <f>IF(VLOOKUP(Z$2,行为概览!$D$3:$M$33,10,0)="","",VLOOKUP(Z$2,行为概览!$D$3:$M$33,10,0)*IF(玩法行为规划!Y16&gt;0,1,0))</f>
        <v>0</v>
      </c>
      <c r="AA16" s="7" t="str">
        <f>IF(VLOOKUP(AA$2,行为概览!$D$3:$M$33,10,0)="","",VLOOKUP(AA$2,行为概览!$D$3:$M$33,10,0)*IF(玩法行为规划!Z16&gt;0,1,0))</f>
        <v/>
      </c>
      <c r="AB16" s="7" t="str">
        <f>IF(VLOOKUP(AB$2,行为概览!$D$3:$M$33,10,0)="","",VLOOKUP(AB$2,行为概览!$D$3:$M$33,10,0)*IF(玩法行为规划!AA16&gt;0,1,0))</f>
        <v/>
      </c>
      <c r="AC16" s="7" t="str">
        <f>IF(VLOOKUP(AC$2,行为概览!$D$3:$M$33,10,0)="","",VLOOKUP(AC$2,行为概览!$D$3:$M$33,10,0)*IF(玩法行为规划!AB16&gt;0,1,0))</f>
        <v/>
      </c>
      <c r="AD16" s="7" t="str">
        <f>IF(VLOOKUP(AD$2,行为概览!$D$3:$M$33,10,0)="","",VLOOKUP(AD$2,行为概览!$D$3:$M$33,10,0)*IF(玩法行为规划!AC16&gt;0,1,0))</f>
        <v/>
      </c>
      <c r="AE16" s="7" t="str">
        <f>IF(VLOOKUP(AE$2,行为概览!$D$3:$M$33,10,0)="","",VLOOKUP(AE$2,行为概览!$D$3:$M$33,10,0)*IF(玩法行为规划!AD16&gt;0,1,0))</f>
        <v/>
      </c>
      <c r="AF16" s="7">
        <f>IF(VLOOKUP(AF$2,行为概览!$D$3:$M$33,10,0)="","",VLOOKUP(AF$2,行为概览!$D$3:$M$33,10,0)*IF(玩法行为规划!AE16&gt;0,1,0))</f>
        <v>0</v>
      </c>
      <c r="AG16" s="7">
        <f t="shared" si="0"/>
        <v>10</v>
      </c>
      <c r="AH16" s="7">
        <f t="shared" si="1"/>
        <v>140</v>
      </c>
      <c r="AI16" s="7">
        <v>0</v>
      </c>
      <c r="AJ16" s="21" t="str">
        <f t="shared" si="3"/>
        <v/>
      </c>
      <c r="AK16" s="7">
        <f t="shared" si="2"/>
        <v>140</v>
      </c>
      <c r="AL16" s="7">
        <f>SUM($AK$3:AK16)</f>
        <v>1050</v>
      </c>
    </row>
    <row r="17" spans="1:38">
      <c r="A17" s="32">
        <v>15</v>
      </c>
      <c r="B17" s="87">
        <f>升级节奏!F17</f>
        <v>15</v>
      </c>
      <c r="C17" s="7">
        <f>IF(VLOOKUP(C$2,行为概览!$D$3:$M$33,10,0)="","",VLOOKUP(C$2,行为概览!$D$3:$M$33,10,0)*IF(玩法行为规划!B17&gt;0,1,0))</f>
        <v>8</v>
      </c>
      <c r="D17" s="7" t="str">
        <f>IF(VLOOKUP(D$2,行为概览!$D$3:$M$33,10,0)="","",VLOOKUP(D$2,行为概览!$D$3:$M$33,10,0)*IF(玩法行为规划!C17&gt;0,1,0))</f>
        <v/>
      </c>
      <c r="E17" s="7" t="str">
        <f>IF(VLOOKUP(E$2,行为概览!$D$3:$M$33,10,0)="","",VLOOKUP(E$2,行为概览!$D$3:$M$33,10,0)*IF(玩法行为规划!D17&gt;0,1,0))</f>
        <v/>
      </c>
      <c r="F17" s="7">
        <f>IF(VLOOKUP(F$2,行为概览!$D$3:$M$33,10,0)="","",VLOOKUP(F$2,行为概览!$D$3:$M$33,10,0)*IF(玩法行为规划!E17&gt;0,1,0))</f>
        <v>0</v>
      </c>
      <c r="G17" s="7" t="str">
        <f>IF(VLOOKUP(G$2,行为概览!$D$3:$M$33,10,0)="","",VLOOKUP(G$2,行为概览!$D$3:$M$33,10,0)*IF(玩法行为规划!F17&gt;0,1,0))</f>
        <v/>
      </c>
      <c r="H17" s="7" t="str">
        <f>IF(VLOOKUP(H$2,行为概览!$D$3:$M$33,10,0)="","",VLOOKUP(H$2,行为概览!$D$3:$M$33,10,0)*IF(玩法行为规划!G17&gt;0,1,0))</f>
        <v/>
      </c>
      <c r="I17" s="7" t="str">
        <f>IF(VLOOKUP(I$2,行为概览!$D$3:$M$33,10,0)="","",VLOOKUP(I$2,行为概览!$D$3:$M$33,10,0)*IF(玩法行为规划!H17&gt;0,1,0))</f>
        <v/>
      </c>
      <c r="J17" s="7" t="str">
        <f>IF(VLOOKUP(J$2,行为概览!$D$3:$M$33,10,0)="","",VLOOKUP(J$2,行为概览!$D$3:$M$33,10,0)*IF(玩法行为规划!I17&gt;0,1,0))</f>
        <v/>
      </c>
      <c r="K17" s="7">
        <f>IF(VLOOKUP(K$2,行为概览!$D$3:$M$33,10,0)="","",VLOOKUP(K$2,行为概览!$D$3:$M$33,10,0)*IF(玩法行为规划!J17&gt;0,1,0))</f>
        <v>0</v>
      </c>
      <c r="L17" s="7">
        <f>IF(VLOOKUP(L$2,行为概览!$D$3:$M$33,10,0)="","",VLOOKUP(L$2,行为概览!$D$3:$M$33,10,0)*IF(玩法行为规划!K17&gt;0,1,0))</f>
        <v>0</v>
      </c>
      <c r="M17" s="7" t="str">
        <f>IF(VLOOKUP(M$2,行为概览!$D$3:$M$33,10,0)="","",VLOOKUP(M$2,行为概览!$D$3:$M$33,10,0)*IF(玩法行为规划!L17&gt;0,1,0))</f>
        <v/>
      </c>
      <c r="N17" s="7" t="str">
        <f>IF(VLOOKUP(N$2,行为概览!$D$3:$M$33,10,0)="","",VLOOKUP(N$2,行为概览!$D$3:$M$33,10,0)*IF(玩法行为规划!M17&gt;0,1,0))</f>
        <v/>
      </c>
      <c r="O17" s="7" t="str">
        <f>IF(VLOOKUP(O$2,行为概览!$D$3:$M$33,10,0)="","",VLOOKUP(O$2,行为概览!$D$3:$M$33,10,0)*IF(玩法行为规划!N17&gt;0,1,0))</f>
        <v/>
      </c>
      <c r="P17" s="7" t="str">
        <f>IF(VLOOKUP(P$2,行为概览!$D$3:$M$33,10,0)="","",VLOOKUP(P$2,行为概览!$D$3:$M$33,10,0)*IF(玩法行为规划!O17&gt;0,1,0))</f>
        <v/>
      </c>
      <c r="Q17" s="7">
        <f>IF(VLOOKUP(Q$2,行为概览!$D$3:$M$33,10,0)="","",VLOOKUP(Q$2,行为概览!$D$3:$M$33,10,0)*IF(玩法行为规划!P17&gt;0,1,0))</f>
        <v>10</v>
      </c>
      <c r="R17" s="7" t="str">
        <f>IF(VLOOKUP(R$2,行为概览!$D$3:$M$33,10,0)="","",VLOOKUP(R$2,行为概览!$D$3:$M$33,10,0)*IF(玩法行为规划!Q17&gt;0,1,0))</f>
        <v/>
      </c>
      <c r="S17" s="7">
        <f>IF(VLOOKUP(S$2,行为概览!$D$3:$M$33,10,0)="","",VLOOKUP(S$2,行为概览!$D$3:$M$33,10,0)*IF(玩法行为规划!R17&gt;0,1,0))</f>
        <v>0</v>
      </c>
      <c r="T17" s="7" t="str">
        <f>IF(VLOOKUP(T$2,行为概览!$D$3:$M$33,10,0)="","",VLOOKUP(T$2,行为概览!$D$3:$M$33,10,0)*IF(玩法行为规划!S17&gt;0,1,0))</f>
        <v/>
      </c>
      <c r="U17" s="7" t="str">
        <f>IF(VLOOKUP(U$2,行为概览!$D$3:$M$33,10,0)="","",VLOOKUP(U$2,行为概览!$D$3:$M$33,10,0)*IF(玩法行为规划!T17&gt;0,1,0))</f>
        <v/>
      </c>
      <c r="V17" s="7">
        <f>IF(VLOOKUP(V$2,行为概览!$D$3:$M$33,10,0)="","",VLOOKUP(V$2,行为概览!$D$3:$M$33,10,0)*IF(玩法行为规划!U17&gt;0,1,0))</f>
        <v>0</v>
      </c>
      <c r="W17" s="7" t="str">
        <f>IF(VLOOKUP(W$2,行为概览!$D$3:$M$33,10,0)="","",VLOOKUP(W$2,行为概览!$D$3:$M$33,10,0)*IF(玩法行为规划!V17&gt;0,1,0))</f>
        <v/>
      </c>
      <c r="X17" s="7" t="str">
        <f>IF(VLOOKUP(X$2,行为概览!$D$3:$M$33,10,0)="","",VLOOKUP(X$2,行为概览!$D$3:$M$33,10,0)*IF(玩法行为规划!W17&gt;0,1,0))</f>
        <v/>
      </c>
      <c r="Y17" s="7" t="str">
        <f>IF(VLOOKUP(Y$2,行为概览!$D$3:$M$33,10,0)="","",VLOOKUP(Y$2,行为概览!$D$3:$M$33,10,0)*IF(玩法行为规划!X17&gt;0,1,0))</f>
        <v/>
      </c>
      <c r="Z17" s="7">
        <f>IF(VLOOKUP(Z$2,行为概览!$D$3:$M$33,10,0)="","",VLOOKUP(Z$2,行为概览!$D$3:$M$33,10,0)*IF(玩法行为规划!Y17&gt;0,1,0))</f>
        <v>0</v>
      </c>
      <c r="AA17" s="7" t="str">
        <f>IF(VLOOKUP(AA$2,行为概览!$D$3:$M$33,10,0)="","",VLOOKUP(AA$2,行为概览!$D$3:$M$33,10,0)*IF(玩法行为规划!Z17&gt;0,1,0))</f>
        <v/>
      </c>
      <c r="AB17" s="7" t="str">
        <f>IF(VLOOKUP(AB$2,行为概览!$D$3:$M$33,10,0)="","",VLOOKUP(AB$2,行为概览!$D$3:$M$33,10,0)*IF(玩法行为规划!AA17&gt;0,1,0))</f>
        <v/>
      </c>
      <c r="AC17" s="7" t="str">
        <f>IF(VLOOKUP(AC$2,行为概览!$D$3:$M$33,10,0)="","",VLOOKUP(AC$2,行为概览!$D$3:$M$33,10,0)*IF(玩法行为规划!AB17&gt;0,1,0))</f>
        <v/>
      </c>
      <c r="AD17" s="7" t="str">
        <f>IF(VLOOKUP(AD$2,行为概览!$D$3:$M$33,10,0)="","",VLOOKUP(AD$2,行为概览!$D$3:$M$33,10,0)*IF(玩法行为规划!AC17&gt;0,1,0))</f>
        <v/>
      </c>
      <c r="AE17" s="7" t="str">
        <f>IF(VLOOKUP(AE$2,行为概览!$D$3:$M$33,10,0)="","",VLOOKUP(AE$2,行为概览!$D$3:$M$33,10,0)*IF(玩法行为规划!AD17&gt;0,1,0))</f>
        <v/>
      </c>
      <c r="AF17" s="7">
        <f>IF(VLOOKUP(AF$2,行为概览!$D$3:$M$33,10,0)="","",VLOOKUP(AF$2,行为概览!$D$3:$M$33,10,0)*IF(玩法行为规划!AE17&gt;0,1,0))</f>
        <v>0</v>
      </c>
      <c r="AG17" s="7">
        <f t="shared" si="0"/>
        <v>18</v>
      </c>
      <c r="AH17" s="7">
        <f t="shared" si="1"/>
        <v>270</v>
      </c>
      <c r="AI17" s="7">
        <v>0</v>
      </c>
      <c r="AJ17" s="21" t="str">
        <f t="shared" si="3"/>
        <v/>
      </c>
      <c r="AK17" s="7">
        <f t="shared" si="2"/>
        <v>270</v>
      </c>
      <c r="AL17" s="7">
        <f>SUM($AK$3:AK17)</f>
        <v>1320</v>
      </c>
    </row>
    <row r="18" spans="1:38">
      <c r="A18" s="32">
        <v>16</v>
      </c>
      <c r="B18" s="87">
        <f>升级节奏!F18</f>
        <v>16</v>
      </c>
      <c r="C18" s="7">
        <f>IF(VLOOKUP(C$2,行为概览!$D$3:$M$33,10,0)="","",VLOOKUP(C$2,行为概览!$D$3:$M$33,10,0)*IF(玩法行为规划!B18&gt;0,1,0))</f>
        <v>8</v>
      </c>
      <c r="D18" s="7" t="str">
        <f>IF(VLOOKUP(D$2,行为概览!$D$3:$M$33,10,0)="","",VLOOKUP(D$2,行为概览!$D$3:$M$33,10,0)*IF(玩法行为规划!C18&gt;0,1,0))</f>
        <v/>
      </c>
      <c r="E18" s="7" t="str">
        <f>IF(VLOOKUP(E$2,行为概览!$D$3:$M$33,10,0)="","",VLOOKUP(E$2,行为概览!$D$3:$M$33,10,0)*IF(玩法行为规划!D18&gt;0,1,0))</f>
        <v/>
      </c>
      <c r="F18" s="7">
        <f>IF(VLOOKUP(F$2,行为概览!$D$3:$M$33,10,0)="","",VLOOKUP(F$2,行为概览!$D$3:$M$33,10,0)*IF(玩法行为规划!E18&gt;0,1,0))</f>
        <v>0</v>
      </c>
      <c r="G18" s="7" t="str">
        <f>IF(VLOOKUP(G$2,行为概览!$D$3:$M$33,10,0)="","",VLOOKUP(G$2,行为概览!$D$3:$M$33,10,0)*IF(玩法行为规划!F18&gt;0,1,0))</f>
        <v/>
      </c>
      <c r="H18" s="7" t="str">
        <f>IF(VLOOKUP(H$2,行为概览!$D$3:$M$33,10,0)="","",VLOOKUP(H$2,行为概览!$D$3:$M$33,10,0)*IF(玩法行为规划!G18&gt;0,1,0))</f>
        <v/>
      </c>
      <c r="I18" s="7" t="str">
        <f>IF(VLOOKUP(I$2,行为概览!$D$3:$M$33,10,0)="","",VLOOKUP(I$2,行为概览!$D$3:$M$33,10,0)*IF(玩法行为规划!H18&gt;0,1,0))</f>
        <v/>
      </c>
      <c r="J18" s="7" t="str">
        <f>IF(VLOOKUP(J$2,行为概览!$D$3:$M$33,10,0)="","",VLOOKUP(J$2,行为概览!$D$3:$M$33,10,0)*IF(玩法行为规划!I18&gt;0,1,0))</f>
        <v/>
      </c>
      <c r="K18" s="7">
        <f>IF(VLOOKUP(K$2,行为概览!$D$3:$M$33,10,0)="","",VLOOKUP(K$2,行为概览!$D$3:$M$33,10,0)*IF(玩法行为规划!J18&gt;0,1,0))</f>
        <v>0</v>
      </c>
      <c r="L18" s="7">
        <f>IF(VLOOKUP(L$2,行为概览!$D$3:$M$33,10,0)="","",VLOOKUP(L$2,行为概览!$D$3:$M$33,10,0)*IF(玩法行为规划!K18&gt;0,1,0))</f>
        <v>0</v>
      </c>
      <c r="M18" s="7" t="str">
        <f>IF(VLOOKUP(M$2,行为概览!$D$3:$M$33,10,0)="","",VLOOKUP(M$2,行为概览!$D$3:$M$33,10,0)*IF(玩法行为规划!L18&gt;0,1,0))</f>
        <v/>
      </c>
      <c r="N18" s="7" t="str">
        <f>IF(VLOOKUP(N$2,行为概览!$D$3:$M$33,10,0)="","",VLOOKUP(N$2,行为概览!$D$3:$M$33,10,0)*IF(玩法行为规划!M18&gt;0,1,0))</f>
        <v/>
      </c>
      <c r="O18" s="7" t="str">
        <f>IF(VLOOKUP(O$2,行为概览!$D$3:$M$33,10,0)="","",VLOOKUP(O$2,行为概览!$D$3:$M$33,10,0)*IF(玩法行为规划!N18&gt;0,1,0))</f>
        <v/>
      </c>
      <c r="P18" s="7" t="str">
        <f>IF(VLOOKUP(P$2,行为概览!$D$3:$M$33,10,0)="","",VLOOKUP(P$2,行为概览!$D$3:$M$33,10,0)*IF(玩法行为规划!O18&gt;0,1,0))</f>
        <v/>
      </c>
      <c r="Q18" s="7">
        <f>IF(VLOOKUP(Q$2,行为概览!$D$3:$M$33,10,0)="","",VLOOKUP(Q$2,行为概览!$D$3:$M$33,10,0)*IF(玩法行为规划!P18&gt;0,1,0))</f>
        <v>10</v>
      </c>
      <c r="R18" s="7" t="str">
        <f>IF(VLOOKUP(R$2,行为概览!$D$3:$M$33,10,0)="","",VLOOKUP(R$2,行为概览!$D$3:$M$33,10,0)*IF(玩法行为规划!Q18&gt;0,1,0))</f>
        <v/>
      </c>
      <c r="S18" s="7">
        <f>IF(VLOOKUP(S$2,行为概览!$D$3:$M$33,10,0)="","",VLOOKUP(S$2,行为概览!$D$3:$M$33,10,0)*IF(玩法行为规划!R18&gt;0,1,0))</f>
        <v>0</v>
      </c>
      <c r="T18" s="7" t="str">
        <f>IF(VLOOKUP(T$2,行为概览!$D$3:$M$33,10,0)="","",VLOOKUP(T$2,行为概览!$D$3:$M$33,10,0)*IF(玩法行为规划!S18&gt;0,1,0))</f>
        <v/>
      </c>
      <c r="U18" s="7" t="str">
        <f>IF(VLOOKUP(U$2,行为概览!$D$3:$M$33,10,0)="","",VLOOKUP(U$2,行为概览!$D$3:$M$33,10,0)*IF(玩法行为规划!T18&gt;0,1,0))</f>
        <v/>
      </c>
      <c r="V18" s="7">
        <f>IF(VLOOKUP(V$2,行为概览!$D$3:$M$33,10,0)="","",VLOOKUP(V$2,行为概览!$D$3:$M$33,10,0)*IF(玩法行为规划!U18&gt;0,1,0))</f>
        <v>0</v>
      </c>
      <c r="W18" s="7" t="str">
        <f>IF(VLOOKUP(W$2,行为概览!$D$3:$M$33,10,0)="","",VLOOKUP(W$2,行为概览!$D$3:$M$33,10,0)*IF(玩法行为规划!V18&gt;0,1,0))</f>
        <v/>
      </c>
      <c r="X18" s="7" t="str">
        <f>IF(VLOOKUP(X$2,行为概览!$D$3:$M$33,10,0)="","",VLOOKUP(X$2,行为概览!$D$3:$M$33,10,0)*IF(玩法行为规划!W18&gt;0,1,0))</f>
        <v/>
      </c>
      <c r="Y18" s="7" t="str">
        <f>IF(VLOOKUP(Y$2,行为概览!$D$3:$M$33,10,0)="","",VLOOKUP(Y$2,行为概览!$D$3:$M$33,10,0)*IF(玩法行为规划!X18&gt;0,1,0))</f>
        <v/>
      </c>
      <c r="Z18" s="7">
        <f>IF(VLOOKUP(Z$2,行为概览!$D$3:$M$33,10,0)="","",VLOOKUP(Z$2,行为概览!$D$3:$M$33,10,0)*IF(玩法行为规划!Y18&gt;0,1,0))</f>
        <v>0</v>
      </c>
      <c r="AA18" s="7" t="str">
        <f>IF(VLOOKUP(AA$2,行为概览!$D$3:$M$33,10,0)="","",VLOOKUP(AA$2,行为概览!$D$3:$M$33,10,0)*IF(玩法行为规划!Z18&gt;0,1,0))</f>
        <v/>
      </c>
      <c r="AB18" s="7" t="str">
        <f>IF(VLOOKUP(AB$2,行为概览!$D$3:$M$33,10,0)="","",VLOOKUP(AB$2,行为概览!$D$3:$M$33,10,0)*IF(玩法行为规划!AA18&gt;0,1,0))</f>
        <v/>
      </c>
      <c r="AC18" s="7" t="str">
        <f>IF(VLOOKUP(AC$2,行为概览!$D$3:$M$33,10,0)="","",VLOOKUP(AC$2,行为概览!$D$3:$M$33,10,0)*IF(玩法行为规划!AB18&gt;0,1,0))</f>
        <v/>
      </c>
      <c r="AD18" s="7" t="str">
        <f>IF(VLOOKUP(AD$2,行为概览!$D$3:$M$33,10,0)="","",VLOOKUP(AD$2,行为概览!$D$3:$M$33,10,0)*IF(玩法行为规划!AC18&gt;0,1,0))</f>
        <v/>
      </c>
      <c r="AE18" s="7" t="str">
        <f>IF(VLOOKUP(AE$2,行为概览!$D$3:$M$33,10,0)="","",VLOOKUP(AE$2,行为概览!$D$3:$M$33,10,0)*IF(玩法行为规划!AD18&gt;0,1,0))</f>
        <v/>
      </c>
      <c r="AF18" s="7">
        <f>IF(VLOOKUP(AF$2,行为概览!$D$3:$M$33,10,0)="","",VLOOKUP(AF$2,行为概览!$D$3:$M$33,10,0)*IF(玩法行为规划!AE18&gt;0,1,0))</f>
        <v>0</v>
      </c>
      <c r="AG18" s="7">
        <f t="shared" si="0"/>
        <v>18</v>
      </c>
      <c r="AH18" s="7">
        <f t="shared" si="1"/>
        <v>288</v>
      </c>
      <c r="AI18" s="7">
        <v>0</v>
      </c>
      <c r="AJ18" s="21" t="str">
        <f t="shared" si="3"/>
        <v/>
      </c>
      <c r="AK18" s="7">
        <f t="shared" si="2"/>
        <v>288</v>
      </c>
      <c r="AL18" s="7">
        <f>SUM($AK$3:AK18)</f>
        <v>1608</v>
      </c>
    </row>
    <row r="19" spans="1:38">
      <c r="A19" s="32">
        <v>17</v>
      </c>
      <c r="B19" s="87">
        <f>升级节奏!F19</f>
        <v>17</v>
      </c>
      <c r="C19" s="7">
        <f>IF(VLOOKUP(C$2,行为概览!$D$3:$M$33,10,0)="","",VLOOKUP(C$2,行为概览!$D$3:$M$33,10,0)*IF(玩法行为规划!B19&gt;0,1,0))</f>
        <v>8</v>
      </c>
      <c r="D19" s="7" t="str">
        <f>IF(VLOOKUP(D$2,行为概览!$D$3:$M$33,10,0)="","",VLOOKUP(D$2,行为概览!$D$3:$M$33,10,0)*IF(玩法行为规划!C19&gt;0,1,0))</f>
        <v/>
      </c>
      <c r="E19" s="7" t="str">
        <f>IF(VLOOKUP(E$2,行为概览!$D$3:$M$33,10,0)="","",VLOOKUP(E$2,行为概览!$D$3:$M$33,10,0)*IF(玩法行为规划!D19&gt;0,1,0))</f>
        <v/>
      </c>
      <c r="F19" s="7">
        <f>IF(VLOOKUP(F$2,行为概览!$D$3:$M$33,10,0)="","",VLOOKUP(F$2,行为概览!$D$3:$M$33,10,0)*IF(玩法行为规划!E19&gt;0,1,0))</f>
        <v>0</v>
      </c>
      <c r="G19" s="7" t="str">
        <f>IF(VLOOKUP(G$2,行为概览!$D$3:$M$33,10,0)="","",VLOOKUP(G$2,行为概览!$D$3:$M$33,10,0)*IF(玩法行为规划!F19&gt;0,1,0))</f>
        <v/>
      </c>
      <c r="H19" s="7" t="str">
        <f>IF(VLOOKUP(H$2,行为概览!$D$3:$M$33,10,0)="","",VLOOKUP(H$2,行为概览!$D$3:$M$33,10,0)*IF(玩法行为规划!G19&gt;0,1,0))</f>
        <v/>
      </c>
      <c r="I19" s="7" t="str">
        <f>IF(VLOOKUP(I$2,行为概览!$D$3:$M$33,10,0)="","",VLOOKUP(I$2,行为概览!$D$3:$M$33,10,0)*IF(玩法行为规划!H19&gt;0,1,0))</f>
        <v/>
      </c>
      <c r="J19" s="7" t="str">
        <f>IF(VLOOKUP(J$2,行为概览!$D$3:$M$33,10,0)="","",VLOOKUP(J$2,行为概览!$D$3:$M$33,10,0)*IF(玩法行为规划!I19&gt;0,1,0))</f>
        <v/>
      </c>
      <c r="K19" s="7">
        <f>IF(VLOOKUP(K$2,行为概览!$D$3:$M$33,10,0)="","",VLOOKUP(K$2,行为概览!$D$3:$M$33,10,0)*IF(玩法行为规划!J19&gt;0,1,0))</f>
        <v>0</v>
      </c>
      <c r="L19" s="7">
        <f>IF(VLOOKUP(L$2,行为概览!$D$3:$M$33,10,0)="","",VLOOKUP(L$2,行为概览!$D$3:$M$33,10,0)*IF(玩法行为规划!K19&gt;0,1,0))</f>
        <v>0</v>
      </c>
      <c r="M19" s="7" t="str">
        <f>IF(VLOOKUP(M$2,行为概览!$D$3:$M$33,10,0)="","",VLOOKUP(M$2,行为概览!$D$3:$M$33,10,0)*IF(玩法行为规划!L19&gt;0,1,0))</f>
        <v/>
      </c>
      <c r="N19" s="7" t="str">
        <f>IF(VLOOKUP(N$2,行为概览!$D$3:$M$33,10,0)="","",VLOOKUP(N$2,行为概览!$D$3:$M$33,10,0)*IF(玩法行为规划!M19&gt;0,1,0))</f>
        <v/>
      </c>
      <c r="O19" s="7" t="str">
        <f>IF(VLOOKUP(O$2,行为概览!$D$3:$M$33,10,0)="","",VLOOKUP(O$2,行为概览!$D$3:$M$33,10,0)*IF(玩法行为规划!N19&gt;0,1,0))</f>
        <v/>
      </c>
      <c r="P19" s="7" t="str">
        <f>IF(VLOOKUP(P$2,行为概览!$D$3:$M$33,10,0)="","",VLOOKUP(P$2,行为概览!$D$3:$M$33,10,0)*IF(玩法行为规划!O19&gt;0,1,0))</f>
        <v/>
      </c>
      <c r="Q19" s="7">
        <f>IF(VLOOKUP(Q$2,行为概览!$D$3:$M$33,10,0)="","",VLOOKUP(Q$2,行为概览!$D$3:$M$33,10,0)*IF(玩法行为规划!P19&gt;0,1,0))</f>
        <v>10</v>
      </c>
      <c r="R19" s="7" t="str">
        <f>IF(VLOOKUP(R$2,行为概览!$D$3:$M$33,10,0)="","",VLOOKUP(R$2,行为概览!$D$3:$M$33,10,0)*IF(玩法行为规划!Q19&gt;0,1,0))</f>
        <v/>
      </c>
      <c r="S19" s="7">
        <f>IF(VLOOKUP(S$2,行为概览!$D$3:$M$33,10,0)="","",VLOOKUP(S$2,行为概览!$D$3:$M$33,10,0)*IF(玩法行为规划!R19&gt;0,1,0))</f>
        <v>0</v>
      </c>
      <c r="T19" s="7" t="str">
        <f>IF(VLOOKUP(T$2,行为概览!$D$3:$M$33,10,0)="","",VLOOKUP(T$2,行为概览!$D$3:$M$33,10,0)*IF(玩法行为规划!S19&gt;0,1,0))</f>
        <v/>
      </c>
      <c r="U19" s="7" t="str">
        <f>IF(VLOOKUP(U$2,行为概览!$D$3:$M$33,10,0)="","",VLOOKUP(U$2,行为概览!$D$3:$M$33,10,0)*IF(玩法行为规划!T19&gt;0,1,0))</f>
        <v/>
      </c>
      <c r="V19" s="7">
        <f>IF(VLOOKUP(V$2,行为概览!$D$3:$M$33,10,0)="","",VLOOKUP(V$2,行为概览!$D$3:$M$33,10,0)*IF(玩法行为规划!U19&gt;0,1,0))</f>
        <v>0</v>
      </c>
      <c r="W19" s="7" t="str">
        <f>IF(VLOOKUP(W$2,行为概览!$D$3:$M$33,10,0)="","",VLOOKUP(W$2,行为概览!$D$3:$M$33,10,0)*IF(玩法行为规划!V19&gt;0,1,0))</f>
        <v/>
      </c>
      <c r="X19" s="7" t="str">
        <f>IF(VLOOKUP(X$2,行为概览!$D$3:$M$33,10,0)="","",VLOOKUP(X$2,行为概览!$D$3:$M$33,10,0)*IF(玩法行为规划!W19&gt;0,1,0))</f>
        <v/>
      </c>
      <c r="Y19" s="7" t="str">
        <f>IF(VLOOKUP(Y$2,行为概览!$D$3:$M$33,10,0)="","",VLOOKUP(Y$2,行为概览!$D$3:$M$33,10,0)*IF(玩法行为规划!X19&gt;0,1,0))</f>
        <v/>
      </c>
      <c r="Z19" s="7">
        <f>IF(VLOOKUP(Z$2,行为概览!$D$3:$M$33,10,0)="","",VLOOKUP(Z$2,行为概览!$D$3:$M$33,10,0)*IF(玩法行为规划!Y19&gt;0,1,0))</f>
        <v>0</v>
      </c>
      <c r="AA19" s="7" t="str">
        <f>IF(VLOOKUP(AA$2,行为概览!$D$3:$M$33,10,0)="","",VLOOKUP(AA$2,行为概览!$D$3:$M$33,10,0)*IF(玩法行为规划!Z19&gt;0,1,0))</f>
        <v/>
      </c>
      <c r="AB19" s="7" t="str">
        <f>IF(VLOOKUP(AB$2,行为概览!$D$3:$M$33,10,0)="","",VLOOKUP(AB$2,行为概览!$D$3:$M$33,10,0)*IF(玩法行为规划!AA19&gt;0,1,0))</f>
        <v/>
      </c>
      <c r="AC19" s="7" t="str">
        <f>IF(VLOOKUP(AC$2,行为概览!$D$3:$M$33,10,0)="","",VLOOKUP(AC$2,行为概览!$D$3:$M$33,10,0)*IF(玩法行为规划!AB19&gt;0,1,0))</f>
        <v/>
      </c>
      <c r="AD19" s="7" t="str">
        <f>IF(VLOOKUP(AD$2,行为概览!$D$3:$M$33,10,0)="","",VLOOKUP(AD$2,行为概览!$D$3:$M$33,10,0)*IF(玩法行为规划!AC19&gt;0,1,0))</f>
        <v/>
      </c>
      <c r="AE19" s="7" t="str">
        <f>IF(VLOOKUP(AE$2,行为概览!$D$3:$M$33,10,0)="","",VLOOKUP(AE$2,行为概览!$D$3:$M$33,10,0)*IF(玩法行为规划!AD19&gt;0,1,0))</f>
        <v/>
      </c>
      <c r="AF19" s="7">
        <f>IF(VLOOKUP(AF$2,行为概览!$D$3:$M$33,10,0)="","",VLOOKUP(AF$2,行为概览!$D$3:$M$33,10,0)*IF(玩法行为规划!AE19&gt;0,1,0))</f>
        <v>0</v>
      </c>
      <c r="AG19" s="7">
        <f t="shared" si="0"/>
        <v>18</v>
      </c>
      <c r="AH19" s="7">
        <f t="shared" si="1"/>
        <v>306</v>
      </c>
      <c r="AI19" s="7">
        <v>0</v>
      </c>
      <c r="AJ19" s="21" t="str">
        <f t="shared" si="3"/>
        <v/>
      </c>
      <c r="AK19" s="7">
        <f t="shared" si="2"/>
        <v>306</v>
      </c>
      <c r="AL19" s="7">
        <f>SUM($AK$3:AK19)</f>
        <v>1914</v>
      </c>
    </row>
    <row r="20" spans="1:38">
      <c r="A20" s="32">
        <v>18</v>
      </c>
      <c r="B20" s="87">
        <f>升级节奏!F20</f>
        <v>18</v>
      </c>
      <c r="C20" s="7">
        <f>IF(VLOOKUP(C$2,行为概览!$D$3:$M$33,10,0)="","",VLOOKUP(C$2,行为概览!$D$3:$M$33,10,0)*IF(玩法行为规划!B20&gt;0,1,0))</f>
        <v>8</v>
      </c>
      <c r="D20" s="7" t="str">
        <f>IF(VLOOKUP(D$2,行为概览!$D$3:$M$33,10,0)="","",VLOOKUP(D$2,行为概览!$D$3:$M$33,10,0)*IF(玩法行为规划!C20&gt;0,1,0))</f>
        <v/>
      </c>
      <c r="E20" s="7" t="str">
        <f>IF(VLOOKUP(E$2,行为概览!$D$3:$M$33,10,0)="","",VLOOKUP(E$2,行为概览!$D$3:$M$33,10,0)*IF(玩法行为规划!D20&gt;0,1,0))</f>
        <v/>
      </c>
      <c r="F20" s="7">
        <f>IF(VLOOKUP(F$2,行为概览!$D$3:$M$33,10,0)="","",VLOOKUP(F$2,行为概览!$D$3:$M$33,10,0)*IF(玩法行为规划!E20&gt;0,1,0))</f>
        <v>0</v>
      </c>
      <c r="G20" s="7" t="str">
        <f>IF(VLOOKUP(G$2,行为概览!$D$3:$M$33,10,0)="","",VLOOKUP(G$2,行为概览!$D$3:$M$33,10,0)*IF(玩法行为规划!F20&gt;0,1,0))</f>
        <v/>
      </c>
      <c r="H20" s="7" t="str">
        <f>IF(VLOOKUP(H$2,行为概览!$D$3:$M$33,10,0)="","",VLOOKUP(H$2,行为概览!$D$3:$M$33,10,0)*IF(玩法行为规划!G20&gt;0,1,0))</f>
        <v/>
      </c>
      <c r="I20" s="7" t="str">
        <f>IF(VLOOKUP(I$2,行为概览!$D$3:$M$33,10,0)="","",VLOOKUP(I$2,行为概览!$D$3:$M$33,10,0)*IF(玩法行为规划!H20&gt;0,1,0))</f>
        <v/>
      </c>
      <c r="J20" s="7" t="str">
        <f>IF(VLOOKUP(J$2,行为概览!$D$3:$M$33,10,0)="","",VLOOKUP(J$2,行为概览!$D$3:$M$33,10,0)*IF(玩法行为规划!I20&gt;0,1,0))</f>
        <v/>
      </c>
      <c r="K20" s="7">
        <f>IF(VLOOKUP(K$2,行为概览!$D$3:$M$33,10,0)="","",VLOOKUP(K$2,行为概览!$D$3:$M$33,10,0)*IF(玩法行为规划!J20&gt;0,1,0))</f>
        <v>0</v>
      </c>
      <c r="L20" s="7">
        <f>IF(VLOOKUP(L$2,行为概览!$D$3:$M$33,10,0)="","",VLOOKUP(L$2,行为概览!$D$3:$M$33,10,0)*IF(玩法行为规划!K20&gt;0,1,0))</f>
        <v>0</v>
      </c>
      <c r="M20" s="7" t="str">
        <f>IF(VLOOKUP(M$2,行为概览!$D$3:$M$33,10,0)="","",VLOOKUP(M$2,行为概览!$D$3:$M$33,10,0)*IF(玩法行为规划!L20&gt;0,1,0))</f>
        <v/>
      </c>
      <c r="N20" s="7" t="str">
        <f>IF(VLOOKUP(N$2,行为概览!$D$3:$M$33,10,0)="","",VLOOKUP(N$2,行为概览!$D$3:$M$33,10,0)*IF(玩法行为规划!M20&gt;0,1,0))</f>
        <v/>
      </c>
      <c r="O20" s="7" t="str">
        <f>IF(VLOOKUP(O$2,行为概览!$D$3:$M$33,10,0)="","",VLOOKUP(O$2,行为概览!$D$3:$M$33,10,0)*IF(玩法行为规划!N20&gt;0,1,0))</f>
        <v/>
      </c>
      <c r="P20" s="7" t="str">
        <f>IF(VLOOKUP(P$2,行为概览!$D$3:$M$33,10,0)="","",VLOOKUP(P$2,行为概览!$D$3:$M$33,10,0)*IF(玩法行为规划!O20&gt;0,1,0))</f>
        <v/>
      </c>
      <c r="Q20" s="7">
        <f>IF(VLOOKUP(Q$2,行为概览!$D$3:$M$33,10,0)="","",VLOOKUP(Q$2,行为概览!$D$3:$M$33,10,0)*IF(玩法行为规划!P20&gt;0,1,0))</f>
        <v>10</v>
      </c>
      <c r="R20" s="7" t="str">
        <f>IF(VLOOKUP(R$2,行为概览!$D$3:$M$33,10,0)="","",VLOOKUP(R$2,行为概览!$D$3:$M$33,10,0)*IF(玩法行为规划!Q20&gt;0,1,0))</f>
        <v/>
      </c>
      <c r="S20" s="7">
        <f>IF(VLOOKUP(S$2,行为概览!$D$3:$M$33,10,0)="","",VLOOKUP(S$2,行为概览!$D$3:$M$33,10,0)*IF(玩法行为规划!R20&gt;0,1,0))</f>
        <v>0</v>
      </c>
      <c r="T20" s="7" t="str">
        <f>IF(VLOOKUP(T$2,行为概览!$D$3:$M$33,10,0)="","",VLOOKUP(T$2,行为概览!$D$3:$M$33,10,0)*IF(玩法行为规划!S20&gt;0,1,0))</f>
        <v/>
      </c>
      <c r="U20" s="7" t="str">
        <f>IF(VLOOKUP(U$2,行为概览!$D$3:$M$33,10,0)="","",VLOOKUP(U$2,行为概览!$D$3:$M$33,10,0)*IF(玩法行为规划!T20&gt;0,1,0))</f>
        <v/>
      </c>
      <c r="V20" s="7">
        <f>IF(VLOOKUP(V$2,行为概览!$D$3:$M$33,10,0)="","",VLOOKUP(V$2,行为概览!$D$3:$M$33,10,0)*IF(玩法行为规划!U20&gt;0,1,0))</f>
        <v>0</v>
      </c>
      <c r="W20" s="7" t="str">
        <f>IF(VLOOKUP(W$2,行为概览!$D$3:$M$33,10,0)="","",VLOOKUP(W$2,行为概览!$D$3:$M$33,10,0)*IF(玩法行为规划!V20&gt;0,1,0))</f>
        <v/>
      </c>
      <c r="X20" s="7" t="str">
        <f>IF(VLOOKUP(X$2,行为概览!$D$3:$M$33,10,0)="","",VLOOKUP(X$2,行为概览!$D$3:$M$33,10,0)*IF(玩法行为规划!W20&gt;0,1,0))</f>
        <v/>
      </c>
      <c r="Y20" s="7" t="str">
        <f>IF(VLOOKUP(Y$2,行为概览!$D$3:$M$33,10,0)="","",VLOOKUP(Y$2,行为概览!$D$3:$M$33,10,0)*IF(玩法行为规划!X20&gt;0,1,0))</f>
        <v/>
      </c>
      <c r="Z20" s="7">
        <f>IF(VLOOKUP(Z$2,行为概览!$D$3:$M$33,10,0)="","",VLOOKUP(Z$2,行为概览!$D$3:$M$33,10,0)*IF(玩法行为规划!Y20&gt;0,1,0))</f>
        <v>0</v>
      </c>
      <c r="AA20" s="7" t="str">
        <f>IF(VLOOKUP(AA$2,行为概览!$D$3:$M$33,10,0)="","",VLOOKUP(AA$2,行为概览!$D$3:$M$33,10,0)*IF(玩法行为规划!Z20&gt;0,1,0))</f>
        <v/>
      </c>
      <c r="AB20" s="7" t="str">
        <f>IF(VLOOKUP(AB$2,行为概览!$D$3:$M$33,10,0)="","",VLOOKUP(AB$2,行为概览!$D$3:$M$33,10,0)*IF(玩法行为规划!AA20&gt;0,1,0))</f>
        <v/>
      </c>
      <c r="AC20" s="7" t="str">
        <f>IF(VLOOKUP(AC$2,行为概览!$D$3:$M$33,10,0)="","",VLOOKUP(AC$2,行为概览!$D$3:$M$33,10,0)*IF(玩法行为规划!AB20&gt;0,1,0))</f>
        <v/>
      </c>
      <c r="AD20" s="7" t="str">
        <f>IF(VLOOKUP(AD$2,行为概览!$D$3:$M$33,10,0)="","",VLOOKUP(AD$2,行为概览!$D$3:$M$33,10,0)*IF(玩法行为规划!AC20&gt;0,1,0))</f>
        <v/>
      </c>
      <c r="AE20" s="7" t="str">
        <f>IF(VLOOKUP(AE$2,行为概览!$D$3:$M$33,10,0)="","",VLOOKUP(AE$2,行为概览!$D$3:$M$33,10,0)*IF(玩法行为规划!AD20&gt;0,1,0))</f>
        <v/>
      </c>
      <c r="AF20" s="7">
        <f>IF(VLOOKUP(AF$2,行为概览!$D$3:$M$33,10,0)="","",VLOOKUP(AF$2,行为概览!$D$3:$M$33,10,0)*IF(玩法行为规划!AE20&gt;0,1,0))</f>
        <v>0</v>
      </c>
      <c r="AG20" s="7">
        <f t="shared" si="0"/>
        <v>18</v>
      </c>
      <c r="AH20" s="7">
        <f t="shared" si="1"/>
        <v>324</v>
      </c>
      <c r="AI20" s="7">
        <v>0</v>
      </c>
      <c r="AJ20" s="21" t="str">
        <f t="shared" si="3"/>
        <v/>
      </c>
      <c r="AK20" s="7">
        <f t="shared" si="2"/>
        <v>324</v>
      </c>
      <c r="AL20" s="7">
        <f>SUM($AK$3:AK20)</f>
        <v>2238</v>
      </c>
    </row>
    <row r="21" spans="1:38">
      <c r="A21" s="32">
        <v>19</v>
      </c>
      <c r="B21" s="87">
        <f>升级节奏!F21</f>
        <v>19</v>
      </c>
      <c r="C21" s="7">
        <f>IF(VLOOKUP(C$2,行为概览!$D$3:$M$33,10,0)="","",VLOOKUP(C$2,行为概览!$D$3:$M$33,10,0)*IF(玩法行为规划!B21&gt;0,1,0))</f>
        <v>8</v>
      </c>
      <c r="D21" s="7" t="str">
        <f>IF(VLOOKUP(D$2,行为概览!$D$3:$M$33,10,0)="","",VLOOKUP(D$2,行为概览!$D$3:$M$33,10,0)*IF(玩法行为规划!C21&gt;0,1,0))</f>
        <v/>
      </c>
      <c r="E21" s="7" t="str">
        <f>IF(VLOOKUP(E$2,行为概览!$D$3:$M$33,10,0)="","",VLOOKUP(E$2,行为概览!$D$3:$M$33,10,0)*IF(玩法行为规划!D21&gt;0,1,0))</f>
        <v/>
      </c>
      <c r="F21" s="7">
        <f>IF(VLOOKUP(F$2,行为概览!$D$3:$M$33,10,0)="","",VLOOKUP(F$2,行为概览!$D$3:$M$33,10,0)*IF(玩法行为规划!E21&gt;0,1,0))</f>
        <v>0</v>
      </c>
      <c r="G21" s="7" t="str">
        <f>IF(VLOOKUP(G$2,行为概览!$D$3:$M$33,10,0)="","",VLOOKUP(G$2,行为概览!$D$3:$M$33,10,0)*IF(玩法行为规划!F21&gt;0,1,0))</f>
        <v/>
      </c>
      <c r="H21" s="7" t="str">
        <f>IF(VLOOKUP(H$2,行为概览!$D$3:$M$33,10,0)="","",VLOOKUP(H$2,行为概览!$D$3:$M$33,10,0)*IF(玩法行为规划!G21&gt;0,1,0))</f>
        <v/>
      </c>
      <c r="I21" s="7" t="str">
        <f>IF(VLOOKUP(I$2,行为概览!$D$3:$M$33,10,0)="","",VLOOKUP(I$2,行为概览!$D$3:$M$33,10,0)*IF(玩法行为规划!H21&gt;0,1,0))</f>
        <v/>
      </c>
      <c r="J21" s="7" t="str">
        <f>IF(VLOOKUP(J$2,行为概览!$D$3:$M$33,10,0)="","",VLOOKUP(J$2,行为概览!$D$3:$M$33,10,0)*IF(玩法行为规划!I21&gt;0,1,0))</f>
        <v/>
      </c>
      <c r="K21" s="7">
        <f>IF(VLOOKUP(K$2,行为概览!$D$3:$M$33,10,0)="","",VLOOKUP(K$2,行为概览!$D$3:$M$33,10,0)*IF(玩法行为规划!J21&gt;0,1,0))</f>
        <v>0</v>
      </c>
      <c r="L21" s="7">
        <f>IF(VLOOKUP(L$2,行为概览!$D$3:$M$33,10,0)="","",VLOOKUP(L$2,行为概览!$D$3:$M$33,10,0)*IF(玩法行为规划!K21&gt;0,1,0))</f>
        <v>0</v>
      </c>
      <c r="M21" s="7" t="str">
        <f>IF(VLOOKUP(M$2,行为概览!$D$3:$M$33,10,0)="","",VLOOKUP(M$2,行为概览!$D$3:$M$33,10,0)*IF(玩法行为规划!L21&gt;0,1,0))</f>
        <v/>
      </c>
      <c r="N21" s="7" t="str">
        <f>IF(VLOOKUP(N$2,行为概览!$D$3:$M$33,10,0)="","",VLOOKUP(N$2,行为概览!$D$3:$M$33,10,0)*IF(玩法行为规划!M21&gt;0,1,0))</f>
        <v/>
      </c>
      <c r="O21" s="7" t="str">
        <f>IF(VLOOKUP(O$2,行为概览!$D$3:$M$33,10,0)="","",VLOOKUP(O$2,行为概览!$D$3:$M$33,10,0)*IF(玩法行为规划!N21&gt;0,1,0))</f>
        <v/>
      </c>
      <c r="P21" s="7" t="str">
        <f>IF(VLOOKUP(P$2,行为概览!$D$3:$M$33,10,0)="","",VLOOKUP(P$2,行为概览!$D$3:$M$33,10,0)*IF(玩法行为规划!O21&gt;0,1,0))</f>
        <v/>
      </c>
      <c r="Q21" s="7">
        <f>IF(VLOOKUP(Q$2,行为概览!$D$3:$M$33,10,0)="","",VLOOKUP(Q$2,行为概览!$D$3:$M$33,10,0)*IF(玩法行为规划!P21&gt;0,1,0))</f>
        <v>10</v>
      </c>
      <c r="R21" s="7" t="str">
        <f>IF(VLOOKUP(R$2,行为概览!$D$3:$M$33,10,0)="","",VLOOKUP(R$2,行为概览!$D$3:$M$33,10,0)*IF(玩法行为规划!Q21&gt;0,1,0))</f>
        <v/>
      </c>
      <c r="S21" s="7">
        <f>IF(VLOOKUP(S$2,行为概览!$D$3:$M$33,10,0)="","",VLOOKUP(S$2,行为概览!$D$3:$M$33,10,0)*IF(玩法行为规划!R21&gt;0,1,0))</f>
        <v>0</v>
      </c>
      <c r="T21" s="7" t="str">
        <f>IF(VLOOKUP(T$2,行为概览!$D$3:$M$33,10,0)="","",VLOOKUP(T$2,行为概览!$D$3:$M$33,10,0)*IF(玩法行为规划!S21&gt;0,1,0))</f>
        <v/>
      </c>
      <c r="U21" s="7" t="str">
        <f>IF(VLOOKUP(U$2,行为概览!$D$3:$M$33,10,0)="","",VLOOKUP(U$2,行为概览!$D$3:$M$33,10,0)*IF(玩法行为规划!T21&gt;0,1,0))</f>
        <v/>
      </c>
      <c r="V21" s="7">
        <f>IF(VLOOKUP(V$2,行为概览!$D$3:$M$33,10,0)="","",VLOOKUP(V$2,行为概览!$D$3:$M$33,10,0)*IF(玩法行为规划!U21&gt;0,1,0))</f>
        <v>0</v>
      </c>
      <c r="W21" s="7" t="str">
        <f>IF(VLOOKUP(W$2,行为概览!$D$3:$M$33,10,0)="","",VLOOKUP(W$2,行为概览!$D$3:$M$33,10,0)*IF(玩法行为规划!V21&gt;0,1,0))</f>
        <v/>
      </c>
      <c r="X21" s="7" t="str">
        <f>IF(VLOOKUP(X$2,行为概览!$D$3:$M$33,10,0)="","",VLOOKUP(X$2,行为概览!$D$3:$M$33,10,0)*IF(玩法行为规划!W21&gt;0,1,0))</f>
        <v/>
      </c>
      <c r="Y21" s="7" t="str">
        <f>IF(VLOOKUP(Y$2,行为概览!$D$3:$M$33,10,0)="","",VLOOKUP(Y$2,行为概览!$D$3:$M$33,10,0)*IF(玩法行为规划!X21&gt;0,1,0))</f>
        <v/>
      </c>
      <c r="Z21" s="7">
        <f>IF(VLOOKUP(Z$2,行为概览!$D$3:$M$33,10,0)="","",VLOOKUP(Z$2,行为概览!$D$3:$M$33,10,0)*IF(玩法行为规划!Y21&gt;0,1,0))</f>
        <v>0</v>
      </c>
      <c r="AA21" s="7" t="str">
        <f>IF(VLOOKUP(AA$2,行为概览!$D$3:$M$33,10,0)="","",VLOOKUP(AA$2,行为概览!$D$3:$M$33,10,0)*IF(玩法行为规划!Z21&gt;0,1,0))</f>
        <v/>
      </c>
      <c r="AB21" s="7" t="str">
        <f>IF(VLOOKUP(AB$2,行为概览!$D$3:$M$33,10,0)="","",VLOOKUP(AB$2,行为概览!$D$3:$M$33,10,0)*IF(玩法行为规划!AA21&gt;0,1,0))</f>
        <v/>
      </c>
      <c r="AC21" s="7" t="str">
        <f>IF(VLOOKUP(AC$2,行为概览!$D$3:$M$33,10,0)="","",VLOOKUP(AC$2,行为概览!$D$3:$M$33,10,0)*IF(玩法行为规划!AB21&gt;0,1,0))</f>
        <v/>
      </c>
      <c r="AD21" s="7" t="str">
        <f>IF(VLOOKUP(AD$2,行为概览!$D$3:$M$33,10,0)="","",VLOOKUP(AD$2,行为概览!$D$3:$M$33,10,0)*IF(玩法行为规划!AC21&gt;0,1,0))</f>
        <v/>
      </c>
      <c r="AE21" s="7" t="str">
        <f>IF(VLOOKUP(AE$2,行为概览!$D$3:$M$33,10,0)="","",VLOOKUP(AE$2,行为概览!$D$3:$M$33,10,0)*IF(玩法行为规划!AD21&gt;0,1,0))</f>
        <v/>
      </c>
      <c r="AF21" s="7">
        <f>IF(VLOOKUP(AF$2,行为概览!$D$3:$M$33,10,0)="","",VLOOKUP(AF$2,行为概览!$D$3:$M$33,10,0)*IF(玩法行为规划!AE21&gt;0,1,0))</f>
        <v>0</v>
      </c>
      <c r="AG21" s="7">
        <f t="shared" si="0"/>
        <v>18</v>
      </c>
      <c r="AH21" s="7">
        <f t="shared" si="1"/>
        <v>342</v>
      </c>
      <c r="AI21" s="7">
        <v>0</v>
      </c>
      <c r="AJ21" s="21" t="str">
        <f t="shared" si="3"/>
        <v/>
      </c>
      <c r="AK21" s="7">
        <f t="shared" si="2"/>
        <v>342</v>
      </c>
      <c r="AL21" s="7">
        <f>SUM($AK$3:AK21)</f>
        <v>2580</v>
      </c>
    </row>
    <row r="22" spans="1:38">
      <c r="A22" s="32">
        <v>20</v>
      </c>
      <c r="B22" s="87">
        <f>升级节奏!F22</f>
        <v>20</v>
      </c>
      <c r="C22" s="7">
        <f>IF(VLOOKUP(C$2,行为概览!$D$3:$M$33,10,0)="","",VLOOKUP(C$2,行为概览!$D$3:$M$33,10,0)*IF(玩法行为规划!B22&gt;0,1,0))</f>
        <v>8</v>
      </c>
      <c r="D22" s="7" t="str">
        <f>IF(VLOOKUP(D$2,行为概览!$D$3:$M$33,10,0)="","",VLOOKUP(D$2,行为概览!$D$3:$M$33,10,0)*IF(玩法行为规划!C22&gt;0,1,0))</f>
        <v/>
      </c>
      <c r="E22" s="7" t="str">
        <f>IF(VLOOKUP(E$2,行为概览!$D$3:$M$33,10,0)="","",VLOOKUP(E$2,行为概览!$D$3:$M$33,10,0)*IF(玩法行为规划!D22&gt;0,1,0))</f>
        <v/>
      </c>
      <c r="F22" s="7">
        <f>IF(VLOOKUP(F$2,行为概览!$D$3:$M$33,10,0)="","",VLOOKUP(F$2,行为概览!$D$3:$M$33,10,0)*IF(玩法行为规划!E22&gt;0,1,0))</f>
        <v>0</v>
      </c>
      <c r="G22" s="7" t="str">
        <f>IF(VLOOKUP(G$2,行为概览!$D$3:$M$33,10,0)="","",VLOOKUP(G$2,行为概览!$D$3:$M$33,10,0)*IF(玩法行为规划!F22&gt;0,1,0))</f>
        <v/>
      </c>
      <c r="H22" s="7" t="str">
        <f>IF(VLOOKUP(H$2,行为概览!$D$3:$M$33,10,0)="","",VLOOKUP(H$2,行为概览!$D$3:$M$33,10,0)*IF(玩法行为规划!G22&gt;0,1,0))</f>
        <v/>
      </c>
      <c r="I22" s="7" t="str">
        <f>IF(VLOOKUP(I$2,行为概览!$D$3:$M$33,10,0)="","",VLOOKUP(I$2,行为概览!$D$3:$M$33,10,0)*IF(玩法行为规划!H22&gt;0,1,0))</f>
        <v/>
      </c>
      <c r="J22" s="7" t="str">
        <f>IF(VLOOKUP(J$2,行为概览!$D$3:$M$33,10,0)="","",VLOOKUP(J$2,行为概览!$D$3:$M$33,10,0)*IF(玩法行为规划!I22&gt;0,1,0))</f>
        <v/>
      </c>
      <c r="K22" s="7">
        <f>IF(VLOOKUP(K$2,行为概览!$D$3:$M$33,10,0)="","",VLOOKUP(K$2,行为概览!$D$3:$M$33,10,0)*IF(玩法行为规划!J22&gt;0,1,0))</f>
        <v>0</v>
      </c>
      <c r="L22" s="7">
        <f>IF(VLOOKUP(L$2,行为概览!$D$3:$M$33,10,0)="","",VLOOKUP(L$2,行为概览!$D$3:$M$33,10,0)*IF(玩法行为规划!K22&gt;0,1,0))</f>
        <v>0</v>
      </c>
      <c r="M22" s="7" t="str">
        <f>IF(VLOOKUP(M$2,行为概览!$D$3:$M$33,10,0)="","",VLOOKUP(M$2,行为概览!$D$3:$M$33,10,0)*IF(玩法行为规划!L22&gt;0,1,0))</f>
        <v/>
      </c>
      <c r="N22" s="7" t="str">
        <f>IF(VLOOKUP(N$2,行为概览!$D$3:$M$33,10,0)="","",VLOOKUP(N$2,行为概览!$D$3:$M$33,10,0)*IF(玩法行为规划!M22&gt;0,1,0))</f>
        <v/>
      </c>
      <c r="O22" s="7" t="str">
        <f>IF(VLOOKUP(O$2,行为概览!$D$3:$M$33,10,0)="","",VLOOKUP(O$2,行为概览!$D$3:$M$33,10,0)*IF(玩法行为规划!N22&gt;0,1,0))</f>
        <v/>
      </c>
      <c r="P22" s="7" t="str">
        <f>IF(VLOOKUP(P$2,行为概览!$D$3:$M$33,10,0)="","",VLOOKUP(P$2,行为概览!$D$3:$M$33,10,0)*IF(玩法行为规划!O22&gt;0,1,0))</f>
        <v/>
      </c>
      <c r="Q22" s="7">
        <f>IF(VLOOKUP(Q$2,行为概览!$D$3:$M$33,10,0)="","",VLOOKUP(Q$2,行为概览!$D$3:$M$33,10,0)*IF(玩法行为规划!P22&gt;0,1,0))</f>
        <v>10</v>
      </c>
      <c r="R22" s="7" t="str">
        <f>IF(VLOOKUP(R$2,行为概览!$D$3:$M$33,10,0)="","",VLOOKUP(R$2,行为概览!$D$3:$M$33,10,0)*IF(玩法行为规划!Q22&gt;0,1,0))</f>
        <v/>
      </c>
      <c r="S22" s="7">
        <f>IF(VLOOKUP(S$2,行为概览!$D$3:$M$33,10,0)="","",VLOOKUP(S$2,行为概览!$D$3:$M$33,10,0)*IF(玩法行为规划!R22&gt;0,1,0))</f>
        <v>0</v>
      </c>
      <c r="T22" s="7" t="str">
        <f>IF(VLOOKUP(T$2,行为概览!$D$3:$M$33,10,0)="","",VLOOKUP(T$2,行为概览!$D$3:$M$33,10,0)*IF(玩法行为规划!S22&gt;0,1,0))</f>
        <v/>
      </c>
      <c r="U22" s="7" t="str">
        <f>IF(VLOOKUP(U$2,行为概览!$D$3:$M$33,10,0)="","",VLOOKUP(U$2,行为概览!$D$3:$M$33,10,0)*IF(玩法行为规划!T22&gt;0,1,0))</f>
        <v/>
      </c>
      <c r="V22" s="7">
        <f>IF(VLOOKUP(V$2,行为概览!$D$3:$M$33,10,0)="","",VLOOKUP(V$2,行为概览!$D$3:$M$33,10,0)*IF(玩法行为规划!U22&gt;0,1,0))</f>
        <v>0</v>
      </c>
      <c r="W22" s="7" t="str">
        <f>IF(VLOOKUP(W$2,行为概览!$D$3:$M$33,10,0)="","",VLOOKUP(W$2,行为概览!$D$3:$M$33,10,0)*IF(玩法行为规划!V22&gt;0,1,0))</f>
        <v/>
      </c>
      <c r="X22" s="7" t="str">
        <f>IF(VLOOKUP(X$2,行为概览!$D$3:$M$33,10,0)="","",VLOOKUP(X$2,行为概览!$D$3:$M$33,10,0)*IF(玩法行为规划!W22&gt;0,1,0))</f>
        <v/>
      </c>
      <c r="Y22" s="7" t="str">
        <f>IF(VLOOKUP(Y$2,行为概览!$D$3:$M$33,10,0)="","",VLOOKUP(Y$2,行为概览!$D$3:$M$33,10,0)*IF(玩法行为规划!X22&gt;0,1,0))</f>
        <v/>
      </c>
      <c r="Z22" s="7">
        <f>IF(VLOOKUP(Z$2,行为概览!$D$3:$M$33,10,0)="","",VLOOKUP(Z$2,行为概览!$D$3:$M$33,10,0)*IF(玩法行为规划!Y22&gt;0,1,0))</f>
        <v>0</v>
      </c>
      <c r="AA22" s="7" t="str">
        <f>IF(VLOOKUP(AA$2,行为概览!$D$3:$M$33,10,0)="","",VLOOKUP(AA$2,行为概览!$D$3:$M$33,10,0)*IF(玩法行为规划!Z22&gt;0,1,0))</f>
        <v/>
      </c>
      <c r="AB22" s="7" t="str">
        <f>IF(VLOOKUP(AB$2,行为概览!$D$3:$M$33,10,0)="","",VLOOKUP(AB$2,行为概览!$D$3:$M$33,10,0)*IF(玩法行为规划!AA22&gt;0,1,0))</f>
        <v/>
      </c>
      <c r="AC22" s="7" t="str">
        <f>IF(VLOOKUP(AC$2,行为概览!$D$3:$M$33,10,0)="","",VLOOKUP(AC$2,行为概览!$D$3:$M$33,10,0)*IF(玩法行为规划!AB22&gt;0,1,0))</f>
        <v/>
      </c>
      <c r="AD22" s="7" t="str">
        <f>IF(VLOOKUP(AD$2,行为概览!$D$3:$M$33,10,0)="","",VLOOKUP(AD$2,行为概览!$D$3:$M$33,10,0)*IF(玩法行为规划!AC22&gt;0,1,0))</f>
        <v/>
      </c>
      <c r="AE22" s="7" t="str">
        <f>IF(VLOOKUP(AE$2,行为概览!$D$3:$M$33,10,0)="","",VLOOKUP(AE$2,行为概览!$D$3:$M$33,10,0)*IF(玩法行为规划!AD22&gt;0,1,0))</f>
        <v/>
      </c>
      <c r="AF22" s="7">
        <f>IF(VLOOKUP(AF$2,行为概览!$D$3:$M$33,10,0)="","",VLOOKUP(AF$2,行为概览!$D$3:$M$33,10,0)*IF(玩法行为规划!AE22&gt;0,1,0))</f>
        <v>0</v>
      </c>
      <c r="AG22" s="7">
        <f t="shared" si="0"/>
        <v>18</v>
      </c>
      <c r="AH22" s="7">
        <f t="shared" si="1"/>
        <v>360</v>
      </c>
      <c r="AI22" s="7">
        <v>0</v>
      </c>
      <c r="AJ22" s="21">
        <f t="shared" si="3"/>
        <v>0</v>
      </c>
      <c r="AK22" s="7">
        <f t="shared" si="2"/>
        <v>360</v>
      </c>
      <c r="AL22" s="7">
        <f>SUM($AK$3:AK22)</f>
        <v>2940</v>
      </c>
    </row>
    <row r="23" spans="1:38">
      <c r="A23" s="32">
        <v>21</v>
      </c>
      <c r="B23" s="87">
        <f>升级节奏!F23</f>
        <v>21</v>
      </c>
      <c r="C23" s="7">
        <f>IF(VLOOKUP(C$2,行为概览!$D$3:$M$33,10,0)="","",VLOOKUP(C$2,行为概览!$D$3:$M$33,10,0)*IF(玩法行为规划!B23&gt;0,1,0))</f>
        <v>8</v>
      </c>
      <c r="D23" s="7" t="str">
        <f>IF(VLOOKUP(D$2,行为概览!$D$3:$M$33,10,0)="","",VLOOKUP(D$2,行为概览!$D$3:$M$33,10,0)*IF(玩法行为规划!C23&gt;0,1,0))</f>
        <v/>
      </c>
      <c r="E23" s="7" t="str">
        <f>IF(VLOOKUP(E$2,行为概览!$D$3:$M$33,10,0)="","",VLOOKUP(E$2,行为概览!$D$3:$M$33,10,0)*IF(玩法行为规划!D23&gt;0,1,0))</f>
        <v/>
      </c>
      <c r="F23" s="7">
        <f>IF(VLOOKUP(F$2,行为概览!$D$3:$M$33,10,0)="","",VLOOKUP(F$2,行为概览!$D$3:$M$33,10,0)*IF(玩法行为规划!E23&gt;0,1,0))</f>
        <v>0</v>
      </c>
      <c r="G23" s="7" t="str">
        <f>IF(VLOOKUP(G$2,行为概览!$D$3:$M$33,10,0)="","",VLOOKUP(G$2,行为概览!$D$3:$M$33,10,0)*IF(玩法行为规划!F23&gt;0,1,0))</f>
        <v/>
      </c>
      <c r="H23" s="7" t="str">
        <f>IF(VLOOKUP(H$2,行为概览!$D$3:$M$33,10,0)="","",VLOOKUP(H$2,行为概览!$D$3:$M$33,10,0)*IF(玩法行为规划!G23&gt;0,1,0))</f>
        <v/>
      </c>
      <c r="I23" s="7" t="str">
        <f>IF(VLOOKUP(I$2,行为概览!$D$3:$M$33,10,0)="","",VLOOKUP(I$2,行为概览!$D$3:$M$33,10,0)*IF(玩法行为规划!H23&gt;0,1,0))</f>
        <v/>
      </c>
      <c r="J23" s="7" t="str">
        <f>IF(VLOOKUP(J$2,行为概览!$D$3:$M$33,10,0)="","",VLOOKUP(J$2,行为概览!$D$3:$M$33,10,0)*IF(玩法行为规划!I23&gt;0,1,0))</f>
        <v/>
      </c>
      <c r="K23" s="7">
        <f>IF(VLOOKUP(K$2,行为概览!$D$3:$M$33,10,0)="","",VLOOKUP(K$2,行为概览!$D$3:$M$33,10,0)*IF(玩法行为规划!J23&gt;0,1,0))</f>
        <v>0</v>
      </c>
      <c r="L23" s="7">
        <f>IF(VLOOKUP(L$2,行为概览!$D$3:$M$33,10,0)="","",VLOOKUP(L$2,行为概览!$D$3:$M$33,10,0)*IF(玩法行为规划!K23&gt;0,1,0))</f>
        <v>0</v>
      </c>
      <c r="M23" s="7" t="str">
        <f>IF(VLOOKUP(M$2,行为概览!$D$3:$M$33,10,0)="","",VLOOKUP(M$2,行为概览!$D$3:$M$33,10,0)*IF(玩法行为规划!L23&gt;0,1,0))</f>
        <v/>
      </c>
      <c r="N23" s="7" t="str">
        <f>IF(VLOOKUP(N$2,行为概览!$D$3:$M$33,10,0)="","",VLOOKUP(N$2,行为概览!$D$3:$M$33,10,0)*IF(玩法行为规划!M23&gt;0,1,0))</f>
        <v/>
      </c>
      <c r="O23" s="7" t="str">
        <f>IF(VLOOKUP(O$2,行为概览!$D$3:$M$33,10,0)="","",VLOOKUP(O$2,行为概览!$D$3:$M$33,10,0)*IF(玩法行为规划!N23&gt;0,1,0))</f>
        <v/>
      </c>
      <c r="P23" s="7" t="str">
        <f>IF(VLOOKUP(P$2,行为概览!$D$3:$M$33,10,0)="","",VLOOKUP(P$2,行为概览!$D$3:$M$33,10,0)*IF(玩法行为规划!O23&gt;0,1,0))</f>
        <v/>
      </c>
      <c r="Q23" s="7">
        <f>IF(VLOOKUP(Q$2,行为概览!$D$3:$M$33,10,0)="","",VLOOKUP(Q$2,行为概览!$D$3:$M$33,10,0)*IF(玩法行为规划!P23&gt;0,1,0))</f>
        <v>10</v>
      </c>
      <c r="R23" s="7" t="str">
        <f>IF(VLOOKUP(R$2,行为概览!$D$3:$M$33,10,0)="","",VLOOKUP(R$2,行为概览!$D$3:$M$33,10,0)*IF(玩法行为规划!Q23&gt;0,1,0))</f>
        <v/>
      </c>
      <c r="S23" s="7">
        <f>IF(VLOOKUP(S$2,行为概览!$D$3:$M$33,10,0)="","",VLOOKUP(S$2,行为概览!$D$3:$M$33,10,0)*IF(玩法行为规划!R23&gt;0,1,0))</f>
        <v>0</v>
      </c>
      <c r="T23" s="7" t="str">
        <f>IF(VLOOKUP(T$2,行为概览!$D$3:$M$33,10,0)="","",VLOOKUP(T$2,行为概览!$D$3:$M$33,10,0)*IF(玩法行为规划!S23&gt;0,1,0))</f>
        <v/>
      </c>
      <c r="U23" s="7" t="str">
        <f>IF(VLOOKUP(U$2,行为概览!$D$3:$M$33,10,0)="","",VLOOKUP(U$2,行为概览!$D$3:$M$33,10,0)*IF(玩法行为规划!T23&gt;0,1,0))</f>
        <v/>
      </c>
      <c r="V23" s="7">
        <f>IF(VLOOKUP(V$2,行为概览!$D$3:$M$33,10,0)="","",VLOOKUP(V$2,行为概览!$D$3:$M$33,10,0)*IF(玩法行为规划!U23&gt;0,1,0))</f>
        <v>0</v>
      </c>
      <c r="W23" s="7" t="str">
        <f>IF(VLOOKUP(W$2,行为概览!$D$3:$M$33,10,0)="","",VLOOKUP(W$2,行为概览!$D$3:$M$33,10,0)*IF(玩法行为规划!V23&gt;0,1,0))</f>
        <v/>
      </c>
      <c r="X23" s="7" t="str">
        <f>IF(VLOOKUP(X$2,行为概览!$D$3:$M$33,10,0)="","",VLOOKUP(X$2,行为概览!$D$3:$M$33,10,0)*IF(玩法行为规划!W23&gt;0,1,0))</f>
        <v/>
      </c>
      <c r="Y23" s="7" t="str">
        <f>IF(VLOOKUP(Y$2,行为概览!$D$3:$M$33,10,0)="","",VLOOKUP(Y$2,行为概览!$D$3:$M$33,10,0)*IF(玩法行为规划!X23&gt;0,1,0))</f>
        <v/>
      </c>
      <c r="Z23" s="7">
        <f>IF(VLOOKUP(Z$2,行为概览!$D$3:$M$33,10,0)="","",VLOOKUP(Z$2,行为概览!$D$3:$M$33,10,0)*IF(玩法行为规划!Y23&gt;0,1,0))</f>
        <v>0</v>
      </c>
      <c r="AA23" s="7" t="str">
        <f>IF(VLOOKUP(AA$2,行为概览!$D$3:$M$33,10,0)="","",VLOOKUP(AA$2,行为概览!$D$3:$M$33,10,0)*IF(玩法行为规划!Z23&gt;0,1,0))</f>
        <v/>
      </c>
      <c r="AB23" s="7" t="str">
        <f>IF(VLOOKUP(AB$2,行为概览!$D$3:$M$33,10,0)="","",VLOOKUP(AB$2,行为概览!$D$3:$M$33,10,0)*IF(玩法行为规划!AA23&gt;0,1,0))</f>
        <v/>
      </c>
      <c r="AC23" s="7" t="str">
        <f>IF(VLOOKUP(AC$2,行为概览!$D$3:$M$33,10,0)="","",VLOOKUP(AC$2,行为概览!$D$3:$M$33,10,0)*IF(玩法行为规划!AB23&gt;0,1,0))</f>
        <v/>
      </c>
      <c r="AD23" s="7" t="str">
        <f>IF(VLOOKUP(AD$2,行为概览!$D$3:$M$33,10,0)="","",VLOOKUP(AD$2,行为概览!$D$3:$M$33,10,0)*IF(玩法行为规划!AC23&gt;0,1,0))</f>
        <v/>
      </c>
      <c r="AE23" s="7" t="str">
        <f>IF(VLOOKUP(AE$2,行为概览!$D$3:$M$33,10,0)="","",VLOOKUP(AE$2,行为概览!$D$3:$M$33,10,0)*IF(玩法行为规划!AD23&gt;0,1,0))</f>
        <v/>
      </c>
      <c r="AF23" s="7">
        <f>IF(VLOOKUP(AF$2,行为概览!$D$3:$M$33,10,0)="","",VLOOKUP(AF$2,行为概览!$D$3:$M$33,10,0)*IF(玩法行为规划!AE23&gt;0,1,0))</f>
        <v>0</v>
      </c>
      <c r="AG23" s="7">
        <f t="shared" si="0"/>
        <v>18</v>
      </c>
      <c r="AH23" s="7">
        <f t="shared" si="1"/>
        <v>378</v>
      </c>
      <c r="AI23" s="7">
        <v>0</v>
      </c>
      <c r="AJ23" s="21" t="str">
        <f t="shared" si="3"/>
        <v/>
      </c>
      <c r="AK23" s="7">
        <f t="shared" si="2"/>
        <v>378</v>
      </c>
      <c r="AL23" s="7">
        <f>SUM($AK$3:AK23)</f>
        <v>3318</v>
      </c>
    </row>
    <row r="24" spans="1:38">
      <c r="A24" s="32">
        <v>22</v>
      </c>
      <c r="B24" s="87">
        <f>升级节奏!F24</f>
        <v>22</v>
      </c>
      <c r="C24" s="7">
        <f>IF(VLOOKUP(C$2,行为概览!$D$3:$M$33,10,0)="","",VLOOKUP(C$2,行为概览!$D$3:$M$33,10,0)*IF(玩法行为规划!B24&gt;0,1,0))</f>
        <v>8</v>
      </c>
      <c r="D24" s="7" t="str">
        <f>IF(VLOOKUP(D$2,行为概览!$D$3:$M$33,10,0)="","",VLOOKUP(D$2,行为概览!$D$3:$M$33,10,0)*IF(玩法行为规划!C24&gt;0,1,0))</f>
        <v/>
      </c>
      <c r="E24" s="7" t="str">
        <f>IF(VLOOKUP(E$2,行为概览!$D$3:$M$33,10,0)="","",VLOOKUP(E$2,行为概览!$D$3:$M$33,10,0)*IF(玩法行为规划!D24&gt;0,1,0))</f>
        <v/>
      </c>
      <c r="F24" s="7">
        <f>IF(VLOOKUP(F$2,行为概览!$D$3:$M$33,10,0)="","",VLOOKUP(F$2,行为概览!$D$3:$M$33,10,0)*IF(玩法行为规划!E24&gt;0,1,0))</f>
        <v>0</v>
      </c>
      <c r="G24" s="7" t="str">
        <f>IF(VLOOKUP(G$2,行为概览!$D$3:$M$33,10,0)="","",VLOOKUP(G$2,行为概览!$D$3:$M$33,10,0)*IF(玩法行为规划!F24&gt;0,1,0))</f>
        <v/>
      </c>
      <c r="H24" s="7" t="str">
        <f>IF(VLOOKUP(H$2,行为概览!$D$3:$M$33,10,0)="","",VLOOKUP(H$2,行为概览!$D$3:$M$33,10,0)*IF(玩法行为规划!G24&gt;0,1,0))</f>
        <v/>
      </c>
      <c r="I24" s="7" t="str">
        <f>IF(VLOOKUP(I$2,行为概览!$D$3:$M$33,10,0)="","",VLOOKUP(I$2,行为概览!$D$3:$M$33,10,0)*IF(玩法行为规划!H24&gt;0,1,0))</f>
        <v/>
      </c>
      <c r="J24" s="7" t="str">
        <f>IF(VLOOKUP(J$2,行为概览!$D$3:$M$33,10,0)="","",VLOOKUP(J$2,行为概览!$D$3:$M$33,10,0)*IF(玩法行为规划!I24&gt;0,1,0))</f>
        <v/>
      </c>
      <c r="K24" s="7">
        <f>IF(VLOOKUP(K$2,行为概览!$D$3:$M$33,10,0)="","",VLOOKUP(K$2,行为概览!$D$3:$M$33,10,0)*IF(玩法行为规划!J24&gt;0,1,0))</f>
        <v>0</v>
      </c>
      <c r="L24" s="7">
        <f>IF(VLOOKUP(L$2,行为概览!$D$3:$M$33,10,0)="","",VLOOKUP(L$2,行为概览!$D$3:$M$33,10,0)*IF(玩法行为规划!K24&gt;0,1,0))</f>
        <v>0</v>
      </c>
      <c r="M24" s="7" t="str">
        <f>IF(VLOOKUP(M$2,行为概览!$D$3:$M$33,10,0)="","",VLOOKUP(M$2,行为概览!$D$3:$M$33,10,0)*IF(玩法行为规划!L24&gt;0,1,0))</f>
        <v/>
      </c>
      <c r="N24" s="7" t="str">
        <f>IF(VLOOKUP(N$2,行为概览!$D$3:$M$33,10,0)="","",VLOOKUP(N$2,行为概览!$D$3:$M$33,10,0)*IF(玩法行为规划!M24&gt;0,1,0))</f>
        <v/>
      </c>
      <c r="O24" s="7" t="str">
        <f>IF(VLOOKUP(O$2,行为概览!$D$3:$M$33,10,0)="","",VLOOKUP(O$2,行为概览!$D$3:$M$33,10,0)*IF(玩法行为规划!N24&gt;0,1,0))</f>
        <v/>
      </c>
      <c r="P24" s="7" t="str">
        <f>IF(VLOOKUP(P$2,行为概览!$D$3:$M$33,10,0)="","",VLOOKUP(P$2,行为概览!$D$3:$M$33,10,0)*IF(玩法行为规划!O24&gt;0,1,0))</f>
        <v/>
      </c>
      <c r="Q24" s="7">
        <f>IF(VLOOKUP(Q$2,行为概览!$D$3:$M$33,10,0)="","",VLOOKUP(Q$2,行为概览!$D$3:$M$33,10,0)*IF(玩法行为规划!P24&gt;0,1,0))</f>
        <v>10</v>
      </c>
      <c r="R24" s="7" t="str">
        <f>IF(VLOOKUP(R$2,行为概览!$D$3:$M$33,10,0)="","",VLOOKUP(R$2,行为概览!$D$3:$M$33,10,0)*IF(玩法行为规划!Q24&gt;0,1,0))</f>
        <v/>
      </c>
      <c r="S24" s="7">
        <f>IF(VLOOKUP(S$2,行为概览!$D$3:$M$33,10,0)="","",VLOOKUP(S$2,行为概览!$D$3:$M$33,10,0)*IF(玩法行为规划!R24&gt;0,1,0))</f>
        <v>0</v>
      </c>
      <c r="T24" s="7" t="str">
        <f>IF(VLOOKUP(T$2,行为概览!$D$3:$M$33,10,0)="","",VLOOKUP(T$2,行为概览!$D$3:$M$33,10,0)*IF(玩法行为规划!S24&gt;0,1,0))</f>
        <v/>
      </c>
      <c r="U24" s="7" t="str">
        <f>IF(VLOOKUP(U$2,行为概览!$D$3:$M$33,10,0)="","",VLOOKUP(U$2,行为概览!$D$3:$M$33,10,0)*IF(玩法行为规划!T24&gt;0,1,0))</f>
        <v/>
      </c>
      <c r="V24" s="7">
        <f>IF(VLOOKUP(V$2,行为概览!$D$3:$M$33,10,0)="","",VLOOKUP(V$2,行为概览!$D$3:$M$33,10,0)*IF(玩法行为规划!U24&gt;0,1,0))</f>
        <v>0</v>
      </c>
      <c r="W24" s="7" t="str">
        <f>IF(VLOOKUP(W$2,行为概览!$D$3:$M$33,10,0)="","",VLOOKUP(W$2,行为概览!$D$3:$M$33,10,0)*IF(玩法行为规划!V24&gt;0,1,0))</f>
        <v/>
      </c>
      <c r="X24" s="7" t="str">
        <f>IF(VLOOKUP(X$2,行为概览!$D$3:$M$33,10,0)="","",VLOOKUP(X$2,行为概览!$D$3:$M$33,10,0)*IF(玩法行为规划!W24&gt;0,1,0))</f>
        <v/>
      </c>
      <c r="Y24" s="7" t="str">
        <f>IF(VLOOKUP(Y$2,行为概览!$D$3:$M$33,10,0)="","",VLOOKUP(Y$2,行为概览!$D$3:$M$33,10,0)*IF(玩法行为规划!X24&gt;0,1,0))</f>
        <v/>
      </c>
      <c r="Z24" s="7">
        <f>IF(VLOOKUP(Z$2,行为概览!$D$3:$M$33,10,0)="","",VLOOKUP(Z$2,行为概览!$D$3:$M$33,10,0)*IF(玩法行为规划!Y24&gt;0,1,0))</f>
        <v>0</v>
      </c>
      <c r="AA24" s="7" t="str">
        <f>IF(VLOOKUP(AA$2,行为概览!$D$3:$M$33,10,0)="","",VLOOKUP(AA$2,行为概览!$D$3:$M$33,10,0)*IF(玩法行为规划!Z24&gt;0,1,0))</f>
        <v/>
      </c>
      <c r="AB24" s="7" t="str">
        <f>IF(VLOOKUP(AB$2,行为概览!$D$3:$M$33,10,0)="","",VLOOKUP(AB$2,行为概览!$D$3:$M$33,10,0)*IF(玩法行为规划!AA24&gt;0,1,0))</f>
        <v/>
      </c>
      <c r="AC24" s="7" t="str">
        <f>IF(VLOOKUP(AC$2,行为概览!$D$3:$M$33,10,0)="","",VLOOKUP(AC$2,行为概览!$D$3:$M$33,10,0)*IF(玩法行为规划!AB24&gt;0,1,0))</f>
        <v/>
      </c>
      <c r="AD24" s="7" t="str">
        <f>IF(VLOOKUP(AD$2,行为概览!$D$3:$M$33,10,0)="","",VLOOKUP(AD$2,行为概览!$D$3:$M$33,10,0)*IF(玩法行为规划!AC24&gt;0,1,0))</f>
        <v/>
      </c>
      <c r="AE24" s="7" t="str">
        <f>IF(VLOOKUP(AE$2,行为概览!$D$3:$M$33,10,0)="","",VLOOKUP(AE$2,行为概览!$D$3:$M$33,10,0)*IF(玩法行为规划!AD24&gt;0,1,0))</f>
        <v/>
      </c>
      <c r="AF24" s="7">
        <f>IF(VLOOKUP(AF$2,行为概览!$D$3:$M$33,10,0)="","",VLOOKUP(AF$2,行为概览!$D$3:$M$33,10,0)*IF(玩法行为规划!AE24&gt;0,1,0))</f>
        <v>0</v>
      </c>
      <c r="AG24" s="7">
        <f t="shared" si="0"/>
        <v>18</v>
      </c>
      <c r="AH24" s="7">
        <f t="shared" si="1"/>
        <v>396</v>
      </c>
      <c r="AI24" s="7">
        <v>0</v>
      </c>
      <c r="AJ24" s="21" t="str">
        <f t="shared" si="3"/>
        <v/>
      </c>
      <c r="AK24" s="7">
        <f t="shared" si="2"/>
        <v>396</v>
      </c>
      <c r="AL24" s="7">
        <f>SUM($AK$3:AK24)</f>
        <v>3714</v>
      </c>
    </row>
    <row r="25" spans="1:38">
      <c r="A25" s="32">
        <v>23</v>
      </c>
      <c r="B25" s="87">
        <f>升级节奏!F25</f>
        <v>23</v>
      </c>
      <c r="C25" s="7">
        <f>IF(VLOOKUP(C$2,行为概览!$D$3:$M$33,10,0)="","",VLOOKUP(C$2,行为概览!$D$3:$M$33,10,0)*IF(玩法行为规划!B25&gt;0,1,0))</f>
        <v>8</v>
      </c>
      <c r="D25" s="7" t="str">
        <f>IF(VLOOKUP(D$2,行为概览!$D$3:$M$33,10,0)="","",VLOOKUP(D$2,行为概览!$D$3:$M$33,10,0)*IF(玩法行为规划!C25&gt;0,1,0))</f>
        <v/>
      </c>
      <c r="E25" s="7" t="str">
        <f>IF(VLOOKUP(E$2,行为概览!$D$3:$M$33,10,0)="","",VLOOKUP(E$2,行为概览!$D$3:$M$33,10,0)*IF(玩法行为规划!D25&gt;0,1,0))</f>
        <v/>
      </c>
      <c r="F25" s="7">
        <f>IF(VLOOKUP(F$2,行为概览!$D$3:$M$33,10,0)="","",VLOOKUP(F$2,行为概览!$D$3:$M$33,10,0)*IF(玩法行为规划!E25&gt;0,1,0))</f>
        <v>0</v>
      </c>
      <c r="G25" s="7" t="str">
        <f>IF(VLOOKUP(G$2,行为概览!$D$3:$M$33,10,0)="","",VLOOKUP(G$2,行为概览!$D$3:$M$33,10,0)*IF(玩法行为规划!F25&gt;0,1,0))</f>
        <v/>
      </c>
      <c r="H25" s="7" t="str">
        <f>IF(VLOOKUP(H$2,行为概览!$D$3:$M$33,10,0)="","",VLOOKUP(H$2,行为概览!$D$3:$M$33,10,0)*IF(玩法行为规划!G25&gt;0,1,0))</f>
        <v/>
      </c>
      <c r="I25" s="7" t="str">
        <f>IF(VLOOKUP(I$2,行为概览!$D$3:$M$33,10,0)="","",VLOOKUP(I$2,行为概览!$D$3:$M$33,10,0)*IF(玩法行为规划!H25&gt;0,1,0))</f>
        <v/>
      </c>
      <c r="J25" s="7" t="str">
        <f>IF(VLOOKUP(J$2,行为概览!$D$3:$M$33,10,0)="","",VLOOKUP(J$2,行为概览!$D$3:$M$33,10,0)*IF(玩法行为规划!I25&gt;0,1,0))</f>
        <v/>
      </c>
      <c r="K25" s="7">
        <f>IF(VLOOKUP(K$2,行为概览!$D$3:$M$33,10,0)="","",VLOOKUP(K$2,行为概览!$D$3:$M$33,10,0)*IF(玩法行为规划!J25&gt;0,1,0))</f>
        <v>0</v>
      </c>
      <c r="L25" s="7">
        <f>IF(VLOOKUP(L$2,行为概览!$D$3:$M$33,10,0)="","",VLOOKUP(L$2,行为概览!$D$3:$M$33,10,0)*IF(玩法行为规划!K25&gt;0,1,0))</f>
        <v>0</v>
      </c>
      <c r="M25" s="7" t="str">
        <f>IF(VLOOKUP(M$2,行为概览!$D$3:$M$33,10,0)="","",VLOOKUP(M$2,行为概览!$D$3:$M$33,10,0)*IF(玩法行为规划!L25&gt;0,1,0))</f>
        <v/>
      </c>
      <c r="N25" s="7" t="str">
        <f>IF(VLOOKUP(N$2,行为概览!$D$3:$M$33,10,0)="","",VLOOKUP(N$2,行为概览!$D$3:$M$33,10,0)*IF(玩法行为规划!M25&gt;0,1,0))</f>
        <v/>
      </c>
      <c r="O25" s="7" t="str">
        <f>IF(VLOOKUP(O$2,行为概览!$D$3:$M$33,10,0)="","",VLOOKUP(O$2,行为概览!$D$3:$M$33,10,0)*IF(玩法行为规划!N25&gt;0,1,0))</f>
        <v/>
      </c>
      <c r="P25" s="7" t="str">
        <f>IF(VLOOKUP(P$2,行为概览!$D$3:$M$33,10,0)="","",VLOOKUP(P$2,行为概览!$D$3:$M$33,10,0)*IF(玩法行为规划!O25&gt;0,1,0))</f>
        <v/>
      </c>
      <c r="Q25" s="7">
        <f>IF(VLOOKUP(Q$2,行为概览!$D$3:$M$33,10,0)="","",VLOOKUP(Q$2,行为概览!$D$3:$M$33,10,0)*IF(玩法行为规划!P25&gt;0,1,0))</f>
        <v>10</v>
      </c>
      <c r="R25" s="7" t="str">
        <f>IF(VLOOKUP(R$2,行为概览!$D$3:$M$33,10,0)="","",VLOOKUP(R$2,行为概览!$D$3:$M$33,10,0)*IF(玩法行为规划!Q25&gt;0,1,0))</f>
        <v/>
      </c>
      <c r="S25" s="7">
        <f>IF(VLOOKUP(S$2,行为概览!$D$3:$M$33,10,0)="","",VLOOKUP(S$2,行为概览!$D$3:$M$33,10,0)*IF(玩法行为规划!R25&gt;0,1,0))</f>
        <v>0</v>
      </c>
      <c r="T25" s="7" t="str">
        <f>IF(VLOOKUP(T$2,行为概览!$D$3:$M$33,10,0)="","",VLOOKUP(T$2,行为概览!$D$3:$M$33,10,0)*IF(玩法行为规划!S25&gt;0,1,0))</f>
        <v/>
      </c>
      <c r="U25" s="7" t="str">
        <f>IF(VLOOKUP(U$2,行为概览!$D$3:$M$33,10,0)="","",VLOOKUP(U$2,行为概览!$D$3:$M$33,10,0)*IF(玩法行为规划!T25&gt;0,1,0))</f>
        <v/>
      </c>
      <c r="V25" s="7">
        <f>IF(VLOOKUP(V$2,行为概览!$D$3:$M$33,10,0)="","",VLOOKUP(V$2,行为概览!$D$3:$M$33,10,0)*IF(玩法行为规划!U25&gt;0,1,0))</f>
        <v>0</v>
      </c>
      <c r="W25" s="7" t="str">
        <f>IF(VLOOKUP(W$2,行为概览!$D$3:$M$33,10,0)="","",VLOOKUP(W$2,行为概览!$D$3:$M$33,10,0)*IF(玩法行为规划!V25&gt;0,1,0))</f>
        <v/>
      </c>
      <c r="X25" s="7" t="str">
        <f>IF(VLOOKUP(X$2,行为概览!$D$3:$M$33,10,0)="","",VLOOKUP(X$2,行为概览!$D$3:$M$33,10,0)*IF(玩法行为规划!W25&gt;0,1,0))</f>
        <v/>
      </c>
      <c r="Y25" s="7" t="str">
        <f>IF(VLOOKUP(Y$2,行为概览!$D$3:$M$33,10,0)="","",VLOOKUP(Y$2,行为概览!$D$3:$M$33,10,0)*IF(玩法行为规划!X25&gt;0,1,0))</f>
        <v/>
      </c>
      <c r="Z25" s="7">
        <f>IF(VLOOKUP(Z$2,行为概览!$D$3:$M$33,10,0)="","",VLOOKUP(Z$2,行为概览!$D$3:$M$33,10,0)*IF(玩法行为规划!Y25&gt;0,1,0))</f>
        <v>0</v>
      </c>
      <c r="AA25" s="7" t="str">
        <f>IF(VLOOKUP(AA$2,行为概览!$D$3:$M$33,10,0)="","",VLOOKUP(AA$2,行为概览!$D$3:$M$33,10,0)*IF(玩法行为规划!Z25&gt;0,1,0))</f>
        <v/>
      </c>
      <c r="AB25" s="7" t="str">
        <f>IF(VLOOKUP(AB$2,行为概览!$D$3:$M$33,10,0)="","",VLOOKUP(AB$2,行为概览!$D$3:$M$33,10,0)*IF(玩法行为规划!AA25&gt;0,1,0))</f>
        <v/>
      </c>
      <c r="AC25" s="7" t="str">
        <f>IF(VLOOKUP(AC$2,行为概览!$D$3:$M$33,10,0)="","",VLOOKUP(AC$2,行为概览!$D$3:$M$33,10,0)*IF(玩法行为规划!AB25&gt;0,1,0))</f>
        <v/>
      </c>
      <c r="AD25" s="7" t="str">
        <f>IF(VLOOKUP(AD$2,行为概览!$D$3:$M$33,10,0)="","",VLOOKUP(AD$2,行为概览!$D$3:$M$33,10,0)*IF(玩法行为规划!AC25&gt;0,1,0))</f>
        <v/>
      </c>
      <c r="AE25" s="7" t="str">
        <f>IF(VLOOKUP(AE$2,行为概览!$D$3:$M$33,10,0)="","",VLOOKUP(AE$2,行为概览!$D$3:$M$33,10,0)*IF(玩法行为规划!AD25&gt;0,1,0))</f>
        <v/>
      </c>
      <c r="AF25" s="7">
        <f>IF(VLOOKUP(AF$2,行为概览!$D$3:$M$33,10,0)="","",VLOOKUP(AF$2,行为概览!$D$3:$M$33,10,0)*IF(玩法行为规划!AE25&gt;0,1,0))</f>
        <v>0</v>
      </c>
      <c r="AG25" s="7">
        <f t="shared" si="0"/>
        <v>18</v>
      </c>
      <c r="AH25" s="7">
        <f t="shared" si="1"/>
        <v>414</v>
      </c>
      <c r="AI25" s="7">
        <v>0</v>
      </c>
      <c r="AJ25" s="21" t="str">
        <f t="shared" si="3"/>
        <v/>
      </c>
      <c r="AK25" s="7">
        <f t="shared" si="2"/>
        <v>414</v>
      </c>
      <c r="AL25" s="7">
        <f>SUM($AK$3:AK25)</f>
        <v>4128</v>
      </c>
    </row>
    <row r="26" spans="1:38">
      <c r="A26" s="32">
        <v>24</v>
      </c>
      <c r="B26" s="87">
        <f>升级节奏!F26</f>
        <v>24</v>
      </c>
      <c r="C26" s="7">
        <f>IF(VLOOKUP(C$2,行为概览!$D$3:$M$33,10,0)="","",VLOOKUP(C$2,行为概览!$D$3:$M$33,10,0)*IF(玩法行为规划!B26&gt;0,1,0))</f>
        <v>8</v>
      </c>
      <c r="D26" s="7" t="str">
        <f>IF(VLOOKUP(D$2,行为概览!$D$3:$M$33,10,0)="","",VLOOKUP(D$2,行为概览!$D$3:$M$33,10,0)*IF(玩法行为规划!C26&gt;0,1,0))</f>
        <v/>
      </c>
      <c r="E26" s="7" t="str">
        <f>IF(VLOOKUP(E$2,行为概览!$D$3:$M$33,10,0)="","",VLOOKUP(E$2,行为概览!$D$3:$M$33,10,0)*IF(玩法行为规划!D26&gt;0,1,0))</f>
        <v/>
      </c>
      <c r="F26" s="7">
        <f>IF(VLOOKUP(F$2,行为概览!$D$3:$M$33,10,0)="","",VLOOKUP(F$2,行为概览!$D$3:$M$33,10,0)*IF(玩法行为规划!E26&gt;0,1,0))</f>
        <v>0</v>
      </c>
      <c r="G26" s="7" t="str">
        <f>IF(VLOOKUP(G$2,行为概览!$D$3:$M$33,10,0)="","",VLOOKUP(G$2,行为概览!$D$3:$M$33,10,0)*IF(玩法行为规划!F26&gt;0,1,0))</f>
        <v/>
      </c>
      <c r="H26" s="7" t="str">
        <f>IF(VLOOKUP(H$2,行为概览!$D$3:$M$33,10,0)="","",VLOOKUP(H$2,行为概览!$D$3:$M$33,10,0)*IF(玩法行为规划!G26&gt;0,1,0))</f>
        <v/>
      </c>
      <c r="I26" s="7" t="str">
        <f>IF(VLOOKUP(I$2,行为概览!$D$3:$M$33,10,0)="","",VLOOKUP(I$2,行为概览!$D$3:$M$33,10,0)*IF(玩法行为规划!H26&gt;0,1,0))</f>
        <v/>
      </c>
      <c r="J26" s="7" t="str">
        <f>IF(VLOOKUP(J$2,行为概览!$D$3:$M$33,10,0)="","",VLOOKUP(J$2,行为概览!$D$3:$M$33,10,0)*IF(玩法行为规划!I26&gt;0,1,0))</f>
        <v/>
      </c>
      <c r="K26" s="7">
        <f>IF(VLOOKUP(K$2,行为概览!$D$3:$M$33,10,0)="","",VLOOKUP(K$2,行为概览!$D$3:$M$33,10,0)*IF(玩法行为规划!J26&gt;0,1,0))</f>
        <v>0</v>
      </c>
      <c r="L26" s="7">
        <f>IF(VLOOKUP(L$2,行为概览!$D$3:$M$33,10,0)="","",VLOOKUP(L$2,行为概览!$D$3:$M$33,10,0)*IF(玩法行为规划!K26&gt;0,1,0))</f>
        <v>0</v>
      </c>
      <c r="M26" s="7" t="str">
        <f>IF(VLOOKUP(M$2,行为概览!$D$3:$M$33,10,0)="","",VLOOKUP(M$2,行为概览!$D$3:$M$33,10,0)*IF(玩法行为规划!L26&gt;0,1,0))</f>
        <v/>
      </c>
      <c r="N26" s="7" t="str">
        <f>IF(VLOOKUP(N$2,行为概览!$D$3:$M$33,10,0)="","",VLOOKUP(N$2,行为概览!$D$3:$M$33,10,0)*IF(玩法行为规划!M26&gt;0,1,0))</f>
        <v/>
      </c>
      <c r="O26" s="7" t="str">
        <f>IF(VLOOKUP(O$2,行为概览!$D$3:$M$33,10,0)="","",VLOOKUP(O$2,行为概览!$D$3:$M$33,10,0)*IF(玩法行为规划!N26&gt;0,1,0))</f>
        <v/>
      </c>
      <c r="P26" s="7" t="str">
        <f>IF(VLOOKUP(P$2,行为概览!$D$3:$M$33,10,0)="","",VLOOKUP(P$2,行为概览!$D$3:$M$33,10,0)*IF(玩法行为规划!O26&gt;0,1,0))</f>
        <v/>
      </c>
      <c r="Q26" s="7">
        <f>IF(VLOOKUP(Q$2,行为概览!$D$3:$M$33,10,0)="","",VLOOKUP(Q$2,行为概览!$D$3:$M$33,10,0)*IF(玩法行为规划!P26&gt;0,1,0))</f>
        <v>10</v>
      </c>
      <c r="R26" s="7" t="str">
        <f>IF(VLOOKUP(R$2,行为概览!$D$3:$M$33,10,0)="","",VLOOKUP(R$2,行为概览!$D$3:$M$33,10,0)*IF(玩法行为规划!Q26&gt;0,1,0))</f>
        <v/>
      </c>
      <c r="S26" s="7">
        <f>IF(VLOOKUP(S$2,行为概览!$D$3:$M$33,10,0)="","",VLOOKUP(S$2,行为概览!$D$3:$M$33,10,0)*IF(玩法行为规划!R26&gt;0,1,0))</f>
        <v>0</v>
      </c>
      <c r="T26" s="7" t="str">
        <f>IF(VLOOKUP(T$2,行为概览!$D$3:$M$33,10,0)="","",VLOOKUP(T$2,行为概览!$D$3:$M$33,10,0)*IF(玩法行为规划!S26&gt;0,1,0))</f>
        <v/>
      </c>
      <c r="U26" s="7" t="str">
        <f>IF(VLOOKUP(U$2,行为概览!$D$3:$M$33,10,0)="","",VLOOKUP(U$2,行为概览!$D$3:$M$33,10,0)*IF(玩法行为规划!T26&gt;0,1,0))</f>
        <v/>
      </c>
      <c r="V26" s="7">
        <f>IF(VLOOKUP(V$2,行为概览!$D$3:$M$33,10,0)="","",VLOOKUP(V$2,行为概览!$D$3:$M$33,10,0)*IF(玩法行为规划!U26&gt;0,1,0))</f>
        <v>0</v>
      </c>
      <c r="W26" s="7" t="str">
        <f>IF(VLOOKUP(W$2,行为概览!$D$3:$M$33,10,0)="","",VLOOKUP(W$2,行为概览!$D$3:$M$33,10,0)*IF(玩法行为规划!V26&gt;0,1,0))</f>
        <v/>
      </c>
      <c r="X26" s="7" t="str">
        <f>IF(VLOOKUP(X$2,行为概览!$D$3:$M$33,10,0)="","",VLOOKUP(X$2,行为概览!$D$3:$M$33,10,0)*IF(玩法行为规划!W26&gt;0,1,0))</f>
        <v/>
      </c>
      <c r="Y26" s="7" t="str">
        <f>IF(VLOOKUP(Y$2,行为概览!$D$3:$M$33,10,0)="","",VLOOKUP(Y$2,行为概览!$D$3:$M$33,10,0)*IF(玩法行为规划!X26&gt;0,1,0))</f>
        <v/>
      </c>
      <c r="Z26" s="7">
        <f>IF(VLOOKUP(Z$2,行为概览!$D$3:$M$33,10,0)="","",VLOOKUP(Z$2,行为概览!$D$3:$M$33,10,0)*IF(玩法行为规划!Y26&gt;0,1,0))</f>
        <v>0</v>
      </c>
      <c r="AA26" s="7" t="str">
        <f>IF(VLOOKUP(AA$2,行为概览!$D$3:$M$33,10,0)="","",VLOOKUP(AA$2,行为概览!$D$3:$M$33,10,0)*IF(玩法行为规划!Z26&gt;0,1,0))</f>
        <v/>
      </c>
      <c r="AB26" s="7" t="str">
        <f>IF(VLOOKUP(AB$2,行为概览!$D$3:$M$33,10,0)="","",VLOOKUP(AB$2,行为概览!$D$3:$M$33,10,0)*IF(玩法行为规划!AA26&gt;0,1,0))</f>
        <v/>
      </c>
      <c r="AC26" s="7" t="str">
        <f>IF(VLOOKUP(AC$2,行为概览!$D$3:$M$33,10,0)="","",VLOOKUP(AC$2,行为概览!$D$3:$M$33,10,0)*IF(玩法行为规划!AB26&gt;0,1,0))</f>
        <v/>
      </c>
      <c r="AD26" s="7" t="str">
        <f>IF(VLOOKUP(AD$2,行为概览!$D$3:$M$33,10,0)="","",VLOOKUP(AD$2,行为概览!$D$3:$M$33,10,0)*IF(玩法行为规划!AC26&gt;0,1,0))</f>
        <v/>
      </c>
      <c r="AE26" s="7" t="str">
        <f>IF(VLOOKUP(AE$2,行为概览!$D$3:$M$33,10,0)="","",VLOOKUP(AE$2,行为概览!$D$3:$M$33,10,0)*IF(玩法行为规划!AD26&gt;0,1,0))</f>
        <v/>
      </c>
      <c r="AF26" s="7">
        <f>IF(VLOOKUP(AF$2,行为概览!$D$3:$M$33,10,0)="","",VLOOKUP(AF$2,行为概览!$D$3:$M$33,10,0)*IF(玩法行为规划!AE26&gt;0,1,0))</f>
        <v>0</v>
      </c>
      <c r="AG26" s="7">
        <f t="shared" si="0"/>
        <v>18</v>
      </c>
      <c r="AH26" s="7">
        <f t="shared" si="1"/>
        <v>432</v>
      </c>
      <c r="AI26" s="7">
        <v>0</v>
      </c>
      <c r="AJ26" s="21" t="str">
        <f t="shared" si="3"/>
        <v/>
      </c>
      <c r="AK26" s="7">
        <f t="shared" si="2"/>
        <v>432</v>
      </c>
      <c r="AL26" s="7">
        <f>SUM($AK$3:AK26)</f>
        <v>4560</v>
      </c>
    </row>
    <row r="27" spans="1:38">
      <c r="A27" s="32">
        <v>25</v>
      </c>
      <c r="B27" s="87">
        <f>升级节奏!F27</f>
        <v>25</v>
      </c>
      <c r="C27" s="7">
        <f>IF(VLOOKUP(C$2,行为概览!$D$3:$M$33,10,0)="","",VLOOKUP(C$2,行为概览!$D$3:$M$33,10,0)*IF(玩法行为规划!B27&gt;0,1,0))</f>
        <v>8</v>
      </c>
      <c r="D27" s="7" t="str">
        <f>IF(VLOOKUP(D$2,行为概览!$D$3:$M$33,10,0)="","",VLOOKUP(D$2,行为概览!$D$3:$M$33,10,0)*IF(玩法行为规划!C27&gt;0,1,0))</f>
        <v/>
      </c>
      <c r="E27" s="7" t="str">
        <f>IF(VLOOKUP(E$2,行为概览!$D$3:$M$33,10,0)="","",VLOOKUP(E$2,行为概览!$D$3:$M$33,10,0)*IF(玩法行为规划!D27&gt;0,1,0))</f>
        <v/>
      </c>
      <c r="F27" s="7">
        <f>IF(VLOOKUP(F$2,行为概览!$D$3:$M$33,10,0)="","",VLOOKUP(F$2,行为概览!$D$3:$M$33,10,0)*IF(玩法行为规划!E27&gt;0,1,0))</f>
        <v>0</v>
      </c>
      <c r="G27" s="7" t="str">
        <f>IF(VLOOKUP(G$2,行为概览!$D$3:$M$33,10,0)="","",VLOOKUP(G$2,行为概览!$D$3:$M$33,10,0)*IF(玩法行为规划!F27&gt;0,1,0))</f>
        <v/>
      </c>
      <c r="H27" s="7" t="str">
        <f>IF(VLOOKUP(H$2,行为概览!$D$3:$M$33,10,0)="","",VLOOKUP(H$2,行为概览!$D$3:$M$33,10,0)*IF(玩法行为规划!G27&gt;0,1,0))</f>
        <v/>
      </c>
      <c r="I27" s="7" t="str">
        <f>IF(VLOOKUP(I$2,行为概览!$D$3:$M$33,10,0)="","",VLOOKUP(I$2,行为概览!$D$3:$M$33,10,0)*IF(玩法行为规划!H27&gt;0,1,0))</f>
        <v/>
      </c>
      <c r="J27" s="7" t="str">
        <f>IF(VLOOKUP(J$2,行为概览!$D$3:$M$33,10,0)="","",VLOOKUP(J$2,行为概览!$D$3:$M$33,10,0)*IF(玩法行为规划!I27&gt;0,1,0))</f>
        <v/>
      </c>
      <c r="K27" s="7">
        <f>IF(VLOOKUP(K$2,行为概览!$D$3:$M$33,10,0)="","",VLOOKUP(K$2,行为概览!$D$3:$M$33,10,0)*IF(玩法行为规划!J27&gt;0,1,0))</f>
        <v>0</v>
      </c>
      <c r="L27" s="7">
        <f>IF(VLOOKUP(L$2,行为概览!$D$3:$M$33,10,0)="","",VLOOKUP(L$2,行为概览!$D$3:$M$33,10,0)*IF(玩法行为规划!K27&gt;0,1,0))</f>
        <v>0</v>
      </c>
      <c r="M27" s="7" t="str">
        <f>IF(VLOOKUP(M$2,行为概览!$D$3:$M$33,10,0)="","",VLOOKUP(M$2,行为概览!$D$3:$M$33,10,0)*IF(玩法行为规划!L27&gt;0,1,0))</f>
        <v/>
      </c>
      <c r="N27" s="7" t="str">
        <f>IF(VLOOKUP(N$2,行为概览!$D$3:$M$33,10,0)="","",VLOOKUP(N$2,行为概览!$D$3:$M$33,10,0)*IF(玩法行为规划!M27&gt;0,1,0))</f>
        <v/>
      </c>
      <c r="O27" s="7" t="str">
        <f>IF(VLOOKUP(O$2,行为概览!$D$3:$M$33,10,0)="","",VLOOKUP(O$2,行为概览!$D$3:$M$33,10,0)*IF(玩法行为规划!N27&gt;0,1,0))</f>
        <v/>
      </c>
      <c r="P27" s="7" t="str">
        <f>IF(VLOOKUP(P$2,行为概览!$D$3:$M$33,10,0)="","",VLOOKUP(P$2,行为概览!$D$3:$M$33,10,0)*IF(玩法行为规划!O27&gt;0,1,0))</f>
        <v/>
      </c>
      <c r="Q27" s="7">
        <f>IF(VLOOKUP(Q$2,行为概览!$D$3:$M$33,10,0)="","",VLOOKUP(Q$2,行为概览!$D$3:$M$33,10,0)*IF(玩法行为规划!P27&gt;0,1,0))</f>
        <v>10</v>
      </c>
      <c r="R27" s="7" t="str">
        <f>IF(VLOOKUP(R$2,行为概览!$D$3:$M$33,10,0)="","",VLOOKUP(R$2,行为概览!$D$3:$M$33,10,0)*IF(玩法行为规划!Q27&gt;0,1,0))</f>
        <v/>
      </c>
      <c r="S27" s="7">
        <f>IF(VLOOKUP(S$2,行为概览!$D$3:$M$33,10,0)="","",VLOOKUP(S$2,行为概览!$D$3:$M$33,10,0)*IF(玩法行为规划!R27&gt;0,1,0))</f>
        <v>3</v>
      </c>
      <c r="T27" s="7" t="str">
        <f>IF(VLOOKUP(T$2,行为概览!$D$3:$M$33,10,0)="","",VLOOKUP(T$2,行为概览!$D$3:$M$33,10,0)*IF(玩法行为规划!S27&gt;0,1,0))</f>
        <v/>
      </c>
      <c r="U27" s="7" t="str">
        <f>IF(VLOOKUP(U$2,行为概览!$D$3:$M$33,10,0)="","",VLOOKUP(U$2,行为概览!$D$3:$M$33,10,0)*IF(玩法行为规划!T27&gt;0,1,0))</f>
        <v/>
      </c>
      <c r="V27" s="7">
        <f>IF(VLOOKUP(V$2,行为概览!$D$3:$M$33,10,0)="","",VLOOKUP(V$2,行为概览!$D$3:$M$33,10,0)*IF(玩法行为规划!U27&gt;0,1,0))</f>
        <v>4</v>
      </c>
      <c r="W27" s="7" t="str">
        <f>IF(VLOOKUP(W$2,行为概览!$D$3:$M$33,10,0)="","",VLOOKUP(W$2,行为概览!$D$3:$M$33,10,0)*IF(玩法行为规划!V27&gt;0,1,0))</f>
        <v/>
      </c>
      <c r="X27" s="7" t="str">
        <f>IF(VLOOKUP(X$2,行为概览!$D$3:$M$33,10,0)="","",VLOOKUP(X$2,行为概览!$D$3:$M$33,10,0)*IF(玩法行为规划!W27&gt;0,1,0))</f>
        <v/>
      </c>
      <c r="Y27" s="7" t="str">
        <f>IF(VLOOKUP(Y$2,行为概览!$D$3:$M$33,10,0)="","",VLOOKUP(Y$2,行为概览!$D$3:$M$33,10,0)*IF(玩法行为规划!X27&gt;0,1,0))</f>
        <v/>
      </c>
      <c r="Z27" s="7">
        <f>IF(VLOOKUP(Z$2,行为概览!$D$3:$M$33,10,0)="","",VLOOKUP(Z$2,行为概览!$D$3:$M$33,10,0)*IF(玩法行为规划!Y27&gt;0,1,0))</f>
        <v>0</v>
      </c>
      <c r="AA27" s="7" t="str">
        <f>IF(VLOOKUP(AA$2,行为概览!$D$3:$M$33,10,0)="","",VLOOKUP(AA$2,行为概览!$D$3:$M$33,10,0)*IF(玩法行为规划!Z27&gt;0,1,0))</f>
        <v/>
      </c>
      <c r="AB27" s="7" t="str">
        <f>IF(VLOOKUP(AB$2,行为概览!$D$3:$M$33,10,0)="","",VLOOKUP(AB$2,行为概览!$D$3:$M$33,10,0)*IF(玩法行为规划!AA27&gt;0,1,0))</f>
        <v/>
      </c>
      <c r="AC27" s="7" t="str">
        <f>IF(VLOOKUP(AC$2,行为概览!$D$3:$M$33,10,0)="","",VLOOKUP(AC$2,行为概览!$D$3:$M$33,10,0)*IF(玩法行为规划!AB27&gt;0,1,0))</f>
        <v/>
      </c>
      <c r="AD27" s="7" t="str">
        <f>IF(VLOOKUP(AD$2,行为概览!$D$3:$M$33,10,0)="","",VLOOKUP(AD$2,行为概览!$D$3:$M$33,10,0)*IF(玩法行为规划!AC27&gt;0,1,0))</f>
        <v/>
      </c>
      <c r="AE27" s="7" t="str">
        <f>IF(VLOOKUP(AE$2,行为概览!$D$3:$M$33,10,0)="","",VLOOKUP(AE$2,行为概览!$D$3:$M$33,10,0)*IF(玩法行为规划!AD27&gt;0,1,0))</f>
        <v/>
      </c>
      <c r="AF27" s="7">
        <f>IF(VLOOKUP(AF$2,行为概览!$D$3:$M$33,10,0)="","",VLOOKUP(AF$2,行为概览!$D$3:$M$33,10,0)*IF(玩法行为规划!AE27&gt;0,1,0))</f>
        <v>20</v>
      </c>
      <c r="AG27" s="7">
        <f t="shared" si="0"/>
        <v>45</v>
      </c>
      <c r="AH27" s="7">
        <f t="shared" si="1"/>
        <v>1125</v>
      </c>
      <c r="AI27" s="7">
        <v>0</v>
      </c>
      <c r="AJ27" s="21" t="str">
        <f t="shared" si="3"/>
        <v/>
      </c>
      <c r="AK27" s="7">
        <f t="shared" si="2"/>
        <v>1125</v>
      </c>
      <c r="AL27" s="7">
        <f>SUM($AK$3:AK27)</f>
        <v>5685</v>
      </c>
    </row>
    <row r="28" spans="1:38">
      <c r="A28" s="32">
        <v>26</v>
      </c>
      <c r="B28" s="87">
        <f>升级节奏!F28</f>
        <v>26</v>
      </c>
      <c r="C28" s="7">
        <f>IF(VLOOKUP(C$2,行为概览!$D$3:$M$33,10,0)="","",VLOOKUP(C$2,行为概览!$D$3:$M$33,10,0)*IF(玩法行为规划!B28&gt;0,1,0))</f>
        <v>8</v>
      </c>
      <c r="D28" s="7" t="str">
        <f>IF(VLOOKUP(D$2,行为概览!$D$3:$M$33,10,0)="","",VLOOKUP(D$2,行为概览!$D$3:$M$33,10,0)*IF(玩法行为规划!C28&gt;0,1,0))</f>
        <v/>
      </c>
      <c r="E28" s="7" t="str">
        <f>IF(VLOOKUP(E$2,行为概览!$D$3:$M$33,10,0)="","",VLOOKUP(E$2,行为概览!$D$3:$M$33,10,0)*IF(玩法行为规划!D28&gt;0,1,0))</f>
        <v/>
      </c>
      <c r="F28" s="7">
        <f>IF(VLOOKUP(F$2,行为概览!$D$3:$M$33,10,0)="","",VLOOKUP(F$2,行为概览!$D$3:$M$33,10,0)*IF(玩法行为规划!E28&gt;0,1,0))</f>
        <v>0</v>
      </c>
      <c r="G28" s="7" t="str">
        <f>IF(VLOOKUP(G$2,行为概览!$D$3:$M$33,10,0)="","",VLOOKUP(G$2,行为概览!$D$3:$M$33,10,0)*IF(玩法行为规划!F28&gt;0,1,0))</f>
        <v/>
      </c>
      <c r="H28" s="7" t="str">
        <f>IF(VLOOKUP(H$2,行为概览!$D$3:$M$33,10,0)="","",VLOOKUP(H$2,行为概览!$D$3:$M$33,10,0)*IF(玩法行为规划!G28&gt;0,1,0))</f>
        <v/>
      </c>
      <c r="I28" s="7" t="str">
        <f>IF(VLOOKUP(I$2,行为概览!$D$3:$M$33,10,0)="","",VLOOKUP(I$2,行为概览!$D$3:$M$33,10,0)*IF(玩法行为规划!H28&gt;0,1,0))</f>
        <v/>
      </c>
      <c r="J28" s="7" t="str">
        <f>IF(VLOOKUP(J$2,行为概览!$D$3:$M$33,10,0)="","",VLOOKUP(J$2,行为概览!$D$3:$M$33,10,0)*IF(玩法行为规划!I28&gt;0,1,0))</f>
        <v/>
      </c>
      <c r="K28" s="7">
        <f>IF(VLOOKUP(K$2,行为概览!$D$3:$M$33,10,0)="","",VLOOKUP(K$2,行为概览!$D$3:$M$33,10,0)*IF(玩法行为规划!J28&gt;0,1,0))</f>
        <v>0</v>
      </c>
      <c r="L28" s="7">
        <f>IF(VLOOKUP(L$2,行为概览!$D$3:$M$33,10,0)="","",VLOOKUP(L$2,行为概览!$D$3:$M$33,10,0)*IF(玩法行为规划!K28&gt;0,1,0))</f>
        <v>0</v>
      </c>
      <c r="M28" s="7" t="str">
        <f>IF(VLOOKUP(M$2,行为概览!$D$3:$M$33,10,0)="","",VLOOKUP(M$2,行为概览!$D$3:$M$33,10,0)*IF(玩法行为规划!L28&gt;0,1,0))</f>
        <v/>
      </c>
      <c r="N28" s="7" t="str">
        <f>IF(VLOOKUP(N$2,行为概览!$D$3:$M$33,10,0)="","",VLOOKUP(N$2,行为概览!$D$3:$M$33,10,0)*IF(玩法行为规划!M28&gt;0,1,0))</f>
        <v/>
      </c>
      <c r="O28" s="7" t="str">
        <f>IF(VLOOKUP(O$2,行为概览!$D$3:$M$33,10,0)="","",VLOOKUP(O$2,行为概览!$D$3:$M$33,10,0)*IF(玩法行为规划!N28&gt;0,1,0))</f>
        <v/>
      </c>
      <c r="P28" s="7" t="str">
        <f>IF(VLOOKUP(P$2,行为概览!$D$3:$M$33,10,0)="","",VLOOKUP(P$2,行为概览!$D$3:$M$33,10,0)*IF(玩法行为规划!O28&gt;0,1,0))</f>
        <v/>
      </c>
      <c r="Q28" s="7">
        <f>IF(VLOOKUP(Q$2,行为概览!$D$3:$M$33,10,0)="","",VLOOKUP(Q$2,行为概览!$D$3:$M$33,10,0)*IF(玩法行为规划!P28&gt;0,1,0))</f>
        <v>10</v>
      </c>
      <c r="R28" s="7" t="str">
        <f>IF(VLOOKUP(R$2,行为概览!$D$3:$M$33,10,0)="","",VLOOKUP(R$2,行为概览!$D$3:$M$33,10,0)*IF(玩法行为规划!Q28&gt;0,1,0))</f>
        <v/>
      </c>
      <c r="S28" s="7">
        <f>IF(VLOOKUP(S$2,行为概览!$D$3:$M$33,10,0)="","",VLOOKUP(S$2,行为概览!$D$3:$M$33,10,0)*IF(玩法行为规划!R28&gt;0,1,0))</f>
        <v>3</v>
      </c>
      <c r="T28" s="7" t="str">
        <f>IF(VLOOKUP(T$2,行为概览!$D$3:$M$33,10,0)="","",VLOOKUP(T$2,行为概览!$D$3:$M$33,10,0)*IF(玩法行为规划!S28&gt;0,1,0))</f>
        <v/>
      </c>
      <c r="U28" s="7" t="str">
        <f>IF(VLOOKUP(U$2,行为概览!$D$3:$M$33,10,0)="","",VLOOKUP(U$2,行为概览!$D$3:$M$33,10,0)*IF(玩法行为规划!T28&gt;0,1,0))</f>
        <v/>
      </c>
      <c r="V28" s="7">
        <f>IF(VLOOKUP(V$2,行为概览!$D$3:$M$33,10,0)="","",VLOOKUP(V$2,行为概览!$D$3:$M$33,10,0)*IF(玩法行为规划!U28&gt;0,1,0))</f>
        <v>4</v>
      </c>
      <c r="W28" s="7" t="str">
        <f>IF(VLOOKUP(W$2,行为概览!$D$3:$M$33,10,0)="","",VLOOKUP(W$2,行为概览!$D$3:$M$33,10,0)*IF(玩法行为规划!V28&gt;0,1,0))</f>
        <v/>
      </c>
      <c r="X28" s="7" t="str">
        <f>IF(VLOOKUP(X$2,行为概览!$D$3:$M$33,10,0)="","",VLOOKUP(X$2,行为概览!$D$3:$M$33,10,0)*IF(玩法行为规划!W28&gt;0,1,0))</f>
        <v/>
      </c>
      <c r="Y28" s="7" t="str">
        <f>IF(VLOOKUP(Y$2,行为概览!$D$3:$M$33,10,0)="","",VLOOKUP(Y$2,行为概览!$D$3:$M$33,10,0)*IF(玩法行为规划!X28&gt;0,1,0))</f>
        <v/>
      </c>
      <c r="Z28" s="7">
        <f>IF(VLOOKUP(Z$2,行为概览!$D$3:$M$33,10,0)="","",VLOOKUP(Z$2,行为概览!$D$3:$M$33,10,0)*IF(玩法行为规划!Y28&gt;0,1,0))</f>
        <v>0</v>
      </c>
      <c r="AA28" s="7" t="str">
        <f>IF(VLOOKUP(AA$2,行为概览!$D$3:$M$33,10,0)="","",VLOOKUP(AA$2,行为概览!$D$3:$M$33,10,0)*IF(玩法行为规划!Z28&gt;0,1,0))</f>
        <v/>
      </c>
      <c r="AB28" s="7" t="str">
        <f>IF(VLOOKUP(AB$2,行为概览!$D$3:$M$33,10,0)="","",VLOOKUP(AB$2,行为概览!$D$3:$M$33,10,0)*IF(玩法行为规划!AA28&gt;0,1,0))</f>
        <v/>
      </c>
      <c r="AC28" s="7" t="str">
        <f>IF(VLOOKUP(AC$2,行为概览!$D$3:$M$33,10,0)="","",VLOOKUP(AC$2,行为概览!$D$3:$M$33,10,0)*IF(玩法行为规划!AB28&gt;0,1,0))</f>
        <v/>
      </c>
      <c r="AD28" s="7" t="str">
        <f>IF(VLOOKUP(AD$2,行为概览!$D$3:$M$33,10,0)="","",VLOOKUP(AD$2,行为概览!$D$3:$M$33,10,0)*IF(玩法行为规划!AC28&gt;0,1,0))</f>
        <v/>
      </c>
      <c r="AE28" s="7" t="str">
        <f>IF(VLOOKUP(AE$2,行为概览!$D$3:$M$33,10,0)="","",VLOOKUP(AE$2,行为概览!$D$3:$M$33,10,0)*IF(玩法行为规划!AD28&gt;0,1,0))</f>
        <v/>
      </c>
      <c r="AF28" s="7">
        <f>IF(VLOOKUP(AF$2,行为概览!$D$3:$M$33,10,0)="","",VLOOKUP(AF$2,行为概览!$D$3:$M$33,10,0)*IF(玩法行为规划!AE28&gt;0,1,0))</f>
        <v>20</v>
      </c>
      <c r="AG28" s="7">
        <f t="shared" si="0"/>
        <v>45</v>
      </c>
      <c r="AH28" s="7">
        <f t="shared" si="1"/>
        <v>1170</v>
      </c>
      <c r="AI28" s="7">
        <v>0</v>
      </c>
      <c r="AJ28" s="21" t="str">
        <f t="shared" si="3"/>
        <v/>
      </c>
      <c r="AK28" s="7">
        <f t="shared" si="2"/>
        <v>1170</v>
      </c>
      <c r="AL28" s="7">
        <f>SUM($AK$3:AK28)</f>
        <v>6855</v>
      </c>
    </row>
    <row r="29" spans="1:38">
      <c r="A29" s="32">
        <v>27</v>
      </c>
      <c r="B29" s="87">
        <f>升级节奏!F29</f>
        <v>27</v>
      </c>
      <c r="C29" s="7">
        <f>IF(VLOOKUP(C$2,行为概览!$D$3:$M$33,10,0)="","",VLOOKUP(C$2,行为概览!$D$3:$M$33,10,0)*IF(玩法行为规划!B29&gt;0,1,0))</f>
        <v>8</v>
      </c>
      <c r="D29" s="7" t="str">
        <f>IF(VLOOKUP(D$2,行为概览!$D$3:$M$33,10,0)="","",VLOOKUP(D$2,行为概览!$D$3:$M$33,10,0)*IF(玩法行为规划!C29&gt;0,1,0))</f>
        <v/>
      </c>
      <c r="E29" s="7" t="str">
        <f>IF(VLOOKUP(E$2,行为概览!$D$3:$M$33,10,0)="","",VLOOKUP(E$2,行为概览!$D$3:$M$33,10,0)*IF(玩法行为规划!D29&gt;0,1,0))</f>
        <v/>
      </c>
      <c r="F29" s="7">
        <f>IF(VLOOKUP(F$2,行为概览!$D$3:$M$33,10,0)="","",VLOOKUP(F$2,行为概览!$D$3:$M$33,10,0)*IF(玩法行为规划!E29&gt;0,1,0))</f>
        <v>0</v>
      </c>
      <c r="G29" s="7" t="str">
        <f>IF(VLOOKUP(G$2,行为概览!$D$3:$M$33,10,0)="","",VLOOKUP(G$2,行为概览!$D$3:$M$33,10,0)*IF(玩法行为规划!F29&gt;0,1,0))</f>
        <v/>
      </c>
      <c r="H29" s="7" t="str">
        <f>IF(VLOOKUP(H$2,行为概览!$D$3:$M$33,10,0)="","",VLOOKUP(H$2,行为概览!$D$3:$M$33,10,0)*IF(玩法行为规划!G29&gt;0,1,0))</f>
        <v/>
      </c>
      <c r="I29" s="7" t="str">
        <f>IF(VLOOKUP(I$2,行为概览!$D$3:$M$33,10,0)="","",VLOOKUP(I$2,行为概览!$D$3:$M$33,10,0)*IF(玩法行为规划!H29&gt;0,1,0))</f>
        <v/>
      </c>
      <c r="J29" s="7" t="str">
        <f>IF(VLOOKUP(J$2,行为概览!$D$3:$M$33,10,0)="","",VLOOKUP(J$2,行为概览!$D$3:$M$33,10,0)*IF(玩法行为规划!I29&gt;0,1,0))</f>
        <v/>
      </c>
      <c r="K29" s="7">
        <f>IF(VLOOKUP(K$2,行为概览!$D$3:$M$33,10,0)="","",VLOOKUP(K$2,行为概览!$D$3:$M$33,10,0)*IF(玩法行为规划!J29&gt;0,1,0))</f>
        <v>0</v>
      </c>
      <c r="L29" s="7">
        <f>IF(VLOOKUP(L$2,行为概览!$D$3:$M$33,10,0)="","",VLOOKUP(L$2,行为概览!$D$3:$M$33,10,0)*IF(玩法行为规划!K29&gt;0,1,0))</f>
        <v>0</v>
      </c>
      <c r="M29" s="7" t="str">
        <f>IF(VLOOKUP(M$2,行为概览!$D$3:$M$33,10,0)="","",VLOOKUP(M$2,行为概览!$D$3:$M$33,10,0)*IF(玩法行为规划!L29&gt;0,1,0))</f>
        <v/>
      </c>
      <c r="N29" s="7" t="str">
        <f>IF(VLOOKUP(N$2,行为概览!$D$3:$M$33,10,0)="","",VLOOKUP(N$2,行为概览!$D$3:$M$33,10,0)*IF(玩法行为规划!M29&gt;0,1,0))</f>
        <v/>
      </c>
      <c r="O29" s="7" t="str">
        <f>IF(VLOOKUP(O$2,行为概览!$D$3:$M$33,10,0)="","",VLOOKUP(O$2,行为概览!$D$3:$M$33,10,0)*IF(玩法行为规划!N29&gt;0,1,0))</f>
        <v/>
      </c>
      <c r="P29" s="7" t="str">
        <f>IF(VLOOKUP(P$2,行为概览!$D$3:$M$33,10,0)="","",VLOOKUP(P$2,行为概览!$D$3:$M$33,10,0)*IF(玩法行为规划!O29&gt;0,1,0))</f>
        <v/>
      </c>
      <c r="Q29" s="7">
        <f>IF(VLOOKUP(Q$2,行为概览!$D$3:$M$33,10,0)="","",VLOOKUP(Q$2,行为概览!$D$3:$M$33,10,0)*IF(玩法行为规划!P29&gt;0,1,0))</f>
        <v>10</v>
      </c>
      <c r="R29" s="7" t="str">
        <f>IF(VLOOKUP(R$2,行为概览!$D$3:$M$33,10,0)="","",VLOOKUP(R$2,行为概览!$D$3:$M$33,10,0)*IF(玩法行为规划!Q29&gt;0,1,0))</f>
        <v/>
      </c>
      <c r="S29" s="7">
        <f>IF(VLOOKUP(S$2,行为概览!$D$3:$M$33,10,0)="","",VLOOKUP(S$2,行为概览!$D$3:$M$33,10,0)*IF(玩法行为规划!R29&gt;0,1,0))</f>
        <v>3</v>
      </c>
      <c r="T29" s="7" t="str">
        <f>IF(VLOOKUP(T$2,行为概览!$D$3:$M$33,10,0)="","",VLOOKUP(T$2,行为概览!$D$3:$M$33,10,0)*IF(玩法行为规划!S29&gt;0,1,0))</f>
        <v/>
      </c>
      <c r="U29" s="7" t="str">
        <f>IF(VLOOKUP(U$2,行为概览!$D$3:$M$33,10,0)="","",VLOOKUP(U$2,行为概览!$D$3:$M$33,10,0)*IF(玩法行为规划!T29&gt;0,1,0))</f>
        <v/>
      </c>
      <c r="V29" s="7">
        <f>IF(VLOOKUP(V$2,行为概览!$D$3:$M$33,10,0)="","",VLOOKUP(V$2,行为概览!$D$3:$M$33,10,0)*IF(玩法行为规划!U29&gt;0,1,0))</f>
        <v>4</v>
      </c>
      <c r="W29" s="7" t="str">
        <f>IF(VLOOKUP(W$2,行为概览!$D$3:$M$33,10,0)="","",VLOOKUP(W$2,行为概览!$D$3:$M$33,10,0)*IF(玩法行为规划!V29&gt;0,1,0))</f>
        <v/>
      </c>
      <c r="X29" s="7" t="str">
        <f>IF(VLOOKUP(X$2,行为概览!$D$3:$M$33,10,0)="","",VLOOKUP(X$2,行为概览!$D$3:$M$33,10,0)*IF(玩法行为规划!W29&gt;0,1,0))</f>
        <v/>
      </c>
      <c r="Y29" s="7" t="str">
        <f>IF(VLOOKUP(Y$2,行为概览!$D$3:$M$33,10,0)="","",VLOOKUP(Y$2,行为概览!$D$3:$M$33,10,0)*IF(玩法行为规划!X29&gt;0,1,0))</f>
        <v/>
      </c>
      <c r="Z29" s="7">
        <f>IF(VLOOKUP(Z$2,行为概览!$D$3:$M$33,10,0)="","",VLOOKUP(Z$2,行为概览!$D$3:$M$33,10,0)*IF(玩法行为规划!Y29&gt;0,1,0))</f>
        <v>0</v>
      </c>
      <c r="AA29" s="7" t="str">
        <f>IF(VLOOKUP(AA$2,行为概览!$D$3:$M$33,10,0)="","",VLOOKUP(AA$2,行为概览!$D$3:$M$33,10,0)*IF(玩法行为规划!Z29&gt;0,1,0))</f>
        <v/>
      </c>
      <c r="AB29" s="7" t="str">
        <f>IF(VLOOKUP(AB$2,行为概览!$D$3:$M$33,10,0)="","",VLOOKUP(AB$2,行为概览!$D$3:$M$33,10,0)*IF(玩法行为规划!AA29&gt;0,1,0))</f>
        <v/>
      </c>
      <c r="AC29" s="7" t="str">
        <f>IF(VLOOKUP(AC$2,行为概览!$D$3:$M$33,10,0)="","",VLOOKUP(AC$2,行为概览!$D$3:$M$33,10,0)*IF(玩法行为规划!AB29&gt;0,1,0))</f>
        <v/>
      </c>
      <c r="AD29" s="7" t="str">
        <f>IF(VLOOKUP(AD$2,行为概览!$D$3:$M$33,10,0)="","",VLOOKUP(AD$2,行为概览!$D$3:$M$33,10,0)*IF(玩法行为规划!AC29&gt;0,1,0))</f>
        <v/>
      </c>
      <c r="AE29" s="7" t="str">
        <f>IF(VLOOKUP(AE$2,行为概览!$D$3:$M$33,10,0)="","",VLOOKUP(AE$2,行为概览!$D$3:$M$33,10,0)*IF(玩法行为规划!AD29&gt;0,1,0))</f>
        <v/>
      </c>
      <c r="AF29" s="7">
        <f>IF(VLOOKUP(AF$2,行为概览!$D$3:$M$33,10,0)="","",VLOOKUP(AF$2,行为概览!$D$3:$M$33,10,0)*IF(玩法行为规划!AE29&gt;0,1,0))</f>
        <v>20</v>
      </c>
      <c r="AG29" s="7">
        <f t="shared" si="0"/>
        <v>45</v>
      </c>
      <c r="AH29" s="7">
        <f t="shared" si="1"/>
        <v>1215</v>
      </c>
      <c r="AI29" s="7">
        <v>0</v>
      </c>
      <c r="AJ29" s="21" t="str">
        <f t="shared" si="3"/>
        <v/>
      </c>
      <c r="AK29" s="7">
        <f t="shared" si="2"/>
        <v>1215</v>
      </c>
      <c r="AL29" s="7">
        <f>SUM($AK$3:AK29)</f>
        <v>8070</v>
      </c>
    </row>
    <row r="30" spans="1:38">
      <c r="A30" s="32">
        <v>28</v>
      </c>
      <c r="B30" s="87">
        <f>升级节奏!F30</f>
        <v>28</v>
      </c>
      <c r="C30" s="7">
        <f>IF(VLOOKUP(C$2,行为概览!$D$3:$M$33,10,0)="","",VLOOKUP(C$2,行为概览!$D$3:$M$33,10,0)*IF(玩法行为规划!B30&gt;0,1,0))</f>
        <v>8</v>
      </c>
      <c r="D30" s="7" t="str">
        <f>IF(VLOOKUP(D$2,行为概览!$D$3:$M$33,10,0)="","",VLOOKUP(D$2,行为概览!$D$3:$M$33,10,0)*IF(玩法行为规划!C30&gt;0,1,0))</f>
        <v/>
      </c>
      <c r="E30" s="7" t="str">
        <f>IF(VLOOKUP(E$2,行为概览!$D$3:$M$33,10,0)="","",VLOOKUP(E$2,行为概览!$D$3:$M$33,10,0)*IF(玩法行为规划!D30&gt;0,1,0))</f>
        <v/>
      </c>
      <c r="F30" s="7">
        <f>IF(VLOOKUP(F$2,行为概览!$D$3:$M$33,10,0)="","",VLOOKUP(F$2,行为概览!$D$3:$M$33,10,0)*IF(玩法行为规划!E30&gt;0,1,0))</f>
        <v>0</v>
      </c>
      <c r="G30" s="7" t="str">
        <f>IF(VLOOKUP(G$2,行为概览!$D$3:$M$33,10,0)="","",VLOOKUP(G$2,行为概览!$D$3:$M$33,10,0)*IF(玩法行为规划!F30&gt;0,1,0))</f>
        <v/>
      </c>
      <c r="H30" s="7" t="str">
        <f>IF(VLOOKUP(H$2,行为概览!$D$3:$M$33,10,0)="","",VLOOKUP(H$2,行为概览!$D$3:$M$33,10,0)*IF(玩法行为规划!G30&gt;0,1,0))</f>
        <v/>
      </c>
      <c r="I30" s="7" t="str">
        <f>IF(VLOOKUP(I$2,行为概览!$D$3:$M$33,10,0)="","",VLOOKUP(I$2,行为概览!$D$3:$M$33,10,0)*IF(玩法行为规划!H30&gt;0,1,0))</f>
        <v/>
      </c>
      <c r="J30" s="7" t="str">
        <f>IF(VLOOKUP(J$2,行为概览!$D$3:$M$33,10,0)="","",VLOOKUP(J$2,行为概览!$D$3:$M$33,10,0)*IF(玩法行为规划!I30&gt;0,1,0))</f>
        <v/>
      </c>
      <c r="K30" s="7">
        <f>IF(VLOOKUP(K$2,行为概览!$D$3:$M$33,10,0)="","",VLOOKUP(K$2,行为概览!$D$3:$M$33,10,0)*IF(玩法行为规划!J30&gt;0,1,0))</f>
        <v>0</v>
      </c>
      <c r="L30" s="7">
        <f>IF(VLOOKUP(L$2,行为概览!$D$3:$M$33,10,0)="","",VLOOKUP(L$2,行为概览!$D$3:$M$33,10,0)*IF(玩法行为规划!K30&gt;0,1,0))</f>
        <v>0</v>
      </c>
      <c r="M30" s="7" t="str">
        <f>IF(VLOOKUP(M$2,行为概览!$D$3:$M$33,10,0)="","",VLOOKUP(M$2,行为概览!$D$3:$M$33,10,0)*IF(玩法行为规划!L30&gt;0,1,0))</f>
        <v/>
      </c>
      <c r="N30" s="7" t="str">
        <f>IF(VLOOKUP(N$2,行为概览!$D$3:$M$33,10,0)="","",VLOOKUP(N$2,行为概览!$D$3:$M$33,10,0)*IF(玩法行为规划!M30&gt;0,1,0))</f>
        <v/>
      </c>
      <c r="O30" s="7" t="str">
        <f>IF(VLOOKUP(O$2,行为概览!$D$3:$M$33,10,0)="","",VLOOKUP(O$2,行为概览!$D$3:$M$33,10,0)*IF(玩法行为规划!N30&gt;0,1,0))</f>
        <v/>
      </c>
      <c r="P30" s="7" t="str">
        <f>IF(VLOOKUP(P$2,行为概览!$D$3:$M$33,10,0)="","",VLOOKUP(P$2,行为概览!$D$3:$M$33,10,0)*IF(玩法行为规划!O30&gt;0,1,0))</f>
        <v/>
      </c>
      <c r="Q30" s="7">
        <f>IF(VLOOKUP(Q$2,行为概览!$D$3:$M$33,10,0)="","",VLOOKUP(Q$2,行为概览!$D$3:$M$33,10,0)*IF(玩法行为规划!P30&gt;0,1,0))</f>
        <v>10</v>
      </c>
      <c r="R30" s="7" t="str">
        <f>IF(VLOOKUP(R$2,行为概览!$D$3:$M$33,10,0)="","",VLOOKUP(R$2,行为概览!$D$3:$M$33,10,0)*IF(玩法行为规划!Q30&gt;0,1,0))</f>
        <v/>
      </c>
      <c r="S30" s="7">
        <f>IF(VLOOKUP(S$2,行为概览!$D$3:$M$33,10,0)="","",VLOOKUP(S$2,行为概览!$D$3:$M$33,10,0)*IF(玩法行为规划!R30&gt;0,1,0))</f>
        <v>3</v>
      </c>
      <c r="T30" s="7" t="str">
        <f>IF(VLOOKUP(T$2,行为概览!$D$3:$M$33,10,0)="","",VLOOKUP(T$2,行为概览!$D$3:$M$33,10,0)*IF(玩法行为规划!S30&gt;0,1,0))</f>
        <v/>
      </c>
      <c r="U30" s="7" t="str">
        <f>IF(VLOOKUP(U$2,行为概览!$D$3:$M$33,10,0)="","",VLOOKUP(U$2,行为概览!$D$3:$M$33,10,0)*IF(玩法行为规划!T30&gt;0,1,0))</f>
        <v/>
      </c>
      <c r="V30" s="7">
        <f>IF(VLOOKUP(V$2,行为概览!$D$3:$M$33,10,0)="","",VLOOKUP(V$2,行为概览!$D$3:$M$33,10,0)*IF(玩法行为规划!U30&gt;0,1,0))</f>
        <v>4</v>
      </c>
      <c r="W30" s="7" t="str">
        <f>IF(VLOOKUP(W$2,行为概览!$D$3:$M$33,10,0)="","",VLOOKUP(W$2,行为概览!$D$3:$M$33,10,0)*IF(玩法行为规划!V30&gt;0,1,0))</f>
        <v/>
      </c>
      <c r="X30" s="7" t="str">
        <f>IF(VLOOKUP(X$2,行为概览!$D$3:$M$33,10,0)="","",VLOOKUP(X$2,行为概览!$D$3:$M$33,10,0)*IF(玩法行为规划!W30&gt;0,1,0))</f>
        <v/>
      </c>
      <c r="Y30" s="7" t="str">
        <f>IF(VLOOKUP(Y$2,行为概览!$D$3:$M$33,10,0)="","",VLOOKUP(Y$2,行为概览!$D$3:$M$33,10,0)*IF(玩法行为规划!X30&gt;0,1,0))</f>
        <v/>
      </c>
      <c r="Z30" s="7">
        <f>IF(VLOOKUP(Z$2,行为概览!$D$3:$M$33,10,0)="","",VLOOKUP(Z$2,行为概览!$D$3:$M$33,10,0)*IF(玩法行为规划!Y30&gt;0,1,0))</f>
        <v>0</v>
      </c>
      <c r="AA30" s="7" t="str">
        <f>IF(VLOOKUP(AA$2,行为概览!$D$3:$M$33,10,0)="","",VLOOKUP(AA$2,行为概览!$D$3:$M$33,10,0)*IF(玩法行为规划!Z30&gt;0,1,0))</f>
        <v/>
      </c>
      <c r="AB30" s="7" t="str">
        <f>IF(VLOOKUP(AB$2,行为概览!$D$3:$M$33,10,0)="","",VLOOKUP(AB$2,行为概览!$D$3:$M$33,10,0)*IF(玩法行为规划!AA30&gt;0,1,0))</f>
        <v/>
      </c>
      <c r="AC30" s="7" t="str">
        <f>IF(VLOOKUP(AC$2,行为概览!$D$3:$M$33,10,0)="","",VLOOKUP(AC$2,行为概览!$D$3:$M$33,10,0)*IF(玩法行为规划!AB30&gt;0,1,0))</f>
        <v/>
      </c>
      <c r="AD30" s="7" t="str">
        <f>IF(VLOOKUP(AD$2,行为概览!$D$3:$M$33,10,0)="","",VLOOKUP(AD$2,行为概览!$D$3:$M$33,10,0)*IF(玩法行为规划!AC30&gt;0,1,0))</f>
        <v/>
      </c>
      <c r="AE30" s="7" t="str">
        <f>IF(VLOOKUP(AE$2,行为概览!$D$3:$M$33,10,0)="","",VLOOKUP(AE$2,行为概览!$D$3:$M$33,10,0)*IF(玩法行为规划!AD30&gt;0,1,0))</f>
        <v/>
      </c>
      <c r="AF30" s="7">
        <f>IF(VLOOKUP(AF$2,行为概览!$D$3:$M$33,10,0)="","",VLOOKUP(AF$2,行为概览!$D$3:$M$33,10,0)*IF(玩法行为规划!AE30&gt;0,1,0))</f>
        <v>20</v>
      </c>
      <c r="AG30" s="7">
        <f t="shared" si="0"/>
        <v>45</v>
      </c>
      <c r="AH30" s="7">
        <f t="shared" si="1"/>
        <v>1260</v>
      </c>
      <c r="AI30" s="7">
        <v>0</v>
      </c>
      <c r="AJ30" s="21" t="str">
        <f t="shared" si="3"/>
        <v/>
      </c>
      <c r="AK30" s="7">
        <f t="shared" si="2"/>
        <v>1260</v>
      </c>
      <c r="AL30" s="7">
        <f>SUM($AK$3:AK30)</f>
        <v>9330</v>
      </c>
    </row>
    <row r="31" spans="1:38">
      <c r="A31" s="32">
        <v>29</v>
      </c>
      <c r="B31" s="87">
        <f>升级节奏!F31</f>
        <v>29</v>
      </c>
      <c r="C31" s="7">
        <f>IF(VLOOKUP(C$2,行为概览!$D$3:$M$33,10,0)="","",VLOOKUP(C$2,行为概览!$D$3:$M$33,10,0)*IF(玩法行为规划!B31&gt;0,1,0))</f>
        <v>8</v>
      </c>
      <c r="D31" s="7" t="str">
        <f>IF(VLOOKUP(D$2,行为概览!$D$3:$M$33,10,0)="","",VLOOKUP(D$2,行为概览!$D$3:$M$33,10,0)*IF(玩法行为规划!C31&gt;0,1,0))</f>
        <v/>
      </c>
      <c r="E31" s="7" t="str">
        <f>IF(VLOOKUP(E$2,行为概览!$D$3:$M$33,10,0)="","",VLOOKUP(E$2,行为概览!$D$3:$M$33,10,0)*IF(玩法行为规划!D31&gt;0,1,0))</f>
        <v/>
      </c>
      <c r="F31" s="7">
        <f>IF(VLOOKUP(F$2,行为概览!$D$3:$M$33,10,0)="","",VLOOKUP(F$2,行为概览!$D$3:$M$33,10,0)*IF(玩法行为规划!E31&gt;0,1,0))</f>
        <v>0</v>
      </c>
      <c r="G31" s="7" t="str">
        <f>IF(VLOOKUP(G$2,行为概览!$D$3:$M$33,10,0)="","",VLOOKUP(G$2,行为概览!$D$3:$M$33,10,0)*IF(玩法行为规划!F31&gt;0,1,0))</f>
        <v/>
      </c>
      <c r="H31" s="7" t="str">
        <f>IF(VLOOKUP(H$2,行为概览!$D$3:$M$33,10,0)="","",VLOOKUP(H$2,行为概览!$D$3:$M$33,10,0)*IF(玩法行为规划!G31&gt;0,1,0))</f>
        <v/>
      </c>
      <c r="I31" s="7" t="str">
        <f>IF(VLOOKUP(I$2,行为概览!$D$3:$M$33,10,0)="","",VLOOKUP(I$2,行为概览!$D$3:$M$33,10,0)*IF(玩法行为规划!H31&gt;0,1,0))</f>
        <v/>
      </c>
      <c r="J31" s="7" t="str">
        <f>IF(VLOOKUP(J$2,行为概览!$D$3:$M$33,10,0)="","",VLOOKUP(J$2,行为概览!$D$3:$M$33,10,0)*IF(玩法行为规划!I31&gt;0,1,0))</f>
        <v/>
      </c>
      <c r="K31" s="7">
        <f>IF(VLOOKUP(K$2,行为概览!$D$3:$M$33,10,0)="","",VLOOKUP(K$2,行为概览!$D$3:$M$33,10,0)*IF(玩法行为规划!J31&gt;0,1,0))</f>
        <v>0</v>
      </c>
      <c r="L31" s="7">
        <f>IF(VLOOKUP(L$2,行为概览!$D$3:$M$33,10,0)="","",VLOOKUP(L$2,行为概览!$D$3:$M$33,10,0)*IF(玩法行为规划!K31&gt;0,1,0))</f>
        <v>0</v>
      </c>
      <c r="M31" s="7" t="str">
        <f>IF(VLOOKUP(M$2,行为概览!$D$3:$M$33,10,0)="","",VLOOKUP(M$2,行为概览!$D$3:$M$33,10,0)*IF(玩法行为规划!L31&gt;0,1,0))</f>
        <v/>
      </c>
      <c r="N31" s="7" t="str">
        <f>IF(VLOOKUP(N$2,行为概览!$D$3:$M$33,10,0)="","",VLOOKUP(N$2,行为概览!$D$3:$M$33,10,0)*IF(玩法行为规划!M31&gt;0,1,0))</f>
        <v/>
      </c>
      <c r="O31" s="7" t="str">
        <f>IF(VLOOKUP(O$2,行为概览!$D$3:$M$33,10,0)="","",VLOOKUP(O$2,行为概览!$D$3:$M$33,10,0)*IF(玩法行为规划!N31&gt;0,1,0))</f>
        <v/>
      </c>
      <c r="P31" s="7" t="str">
        <f>IF(VLOOKUP(P$2,行为概览!$D$3:$M$33,10,0)="","",VLOOKUP(P$2,行为概览!$D$3:$M$33,10,0)*IF(玩法行为规划!O31&gt;0,1,0))</f>
        <v/>
      </c>
      <c r="Q31" s="7">
        <f>IF(VLOOKUP(Q$2,行为概览!$D$3:$M$33,10,0)="","",VLOOKUP(Q$2,行为概览!$D$3:$M$33,10,0)*IF(玩法行为规划!P31&gt;0,1,0))</f>
        <v>10</v>
      </c>
      <c r="R31" s="7" t="str">
        <f>IF(VLOOKUP(R$2,行为概览!$D$3:$M$33,10,0)="","",VLOOKUP(R$2,行为概览!$D$3:$M$33,10,0)*IF(玩法行为规划!Q31&gt;0,1,0))</f>
        <v/>
      </c>
      <c r="S31" s="7">
        <f>IF(VLOOKUP(S$2,行为概览!$D$3:$M$33,10,0)="","",VLOOKUP(S$2,行为概览!$D$3:$M$33,10,0)*IF(玩法行为规划!R31&gt;0,1,0))</f>
        <v>3</v>
      </c>
      <c r="T31" s="7" t="str">
        <f>IF(VLOOKUP(T$2,行为概览!$D$3:$M$33,10,0)="","",VLOOKUP(T$2,行为概览!$D$3:$M$33,10,0)*IF(玩法行为规划!S31&gt;0,1,0))</f>
        <v/>
      </c>
      <c r="U31" s="7" t="str">
        <f>IF(VLOOKUP(U$2,行为概览!$D$3:$M$33,10,0)="","",VLOOKUP(U$2,行为概览!$D$3:$M$33,10,0)*IF(玩法行为规划!T31&gt;0,1,0))</f>
        <v/>
      </c>
      <c r="V31" s="7">
        <f>IF(VLOOKUP(V$2,行为概览!$D$3:$M$33,10,0)="","",VLOOKUP(V$2,行为概览!$D$3:$M$33,10,0)*IF(玩法行为规划!U31&gt;0,1,0))</f>
        <v>4</v>
      </c>
      <c r="W31" s="7" t="str">
        <f>IF(VLOOKUP(W$2,行为概览!$D$3:$M$33,10,0)="","",VLOOKUP(W$2,行为概览!$D$3:$M$33,10,0)*IF(玩法行为规划!V31&gt;0,1,0))</f>
        <v/>
      </c>
      <c r="X31" s="7" t="str">
        <f>IF(VLOOKUP(X$2,行为概览!$D$3:$M$33,10,0)="","",VLOOKUP(X$2,行为概览!$D$3:$M$33,10,0)*IF(玩法行为规划!W31&gt;0,1,0))</f>
        <v/>
      </c>
      <c r="Y31" s="7" t="str">
        <f>IF(VLOOKUP(Y$2,行为概览!$D$3:$M$33,10,0)="","",VLOOKUP(Y$2,行为概览!$D$3:$M$33,10,0)*IF(玩法行为规划!X31&gt;0,1,0))</f>
        <v/>
      </c>
      <c r="Z31" s="7">
        <f>IF(VLOOKUP(Z$2,行为概览!$D$3:$M$33,10,0)="","",VLOOKUP(Z$2,行为概览!$D$3:$M$33,10,0)*IF(玩法行为规划!Y31&gt;0,1,0))</f>
        <v>0</v>
      </c>
      <c r="AA31" s="7" t="str">
        <f>IF(VLOOKUP(AA$2,行为概览!$D$3:$M$33,10,0)="","",VLOOKUP(AA$2,行为概览!$D$3:$M$33,10,0)*IF(玩法行为规划!Z31&gt;0,1,0))</f>
        <v/>
      </c>
      <c r="AB31" s="7" t="str">
        <f>IF(VLOOKUP(AB$2,行为概览!$D$3:$M$33,10,0)="","",VLOOKUP(AB$2,行为概览!$D$3:$M$33,10,0)*IF(玩法行为规划!AA31&gt;0,1,0))</f>
        <v/>
      </c>
      <c r="AC31" s="7" t="str">
        <f>IF(VLOOKUP(AC$2,行为概览!$D$3:$M$33,10,0)="","",VLOOKUP(AC$2,行为概览!$D$3:$M$33,10,0)*IF(玩法行为规划!AB31&gt;0,1,0))</f>
        <v/>
      </c>
      <c r="AD31" s="7" t="str">
        <f>IF(VLOOKUP(AD$2,行为概览!$D$3:$M$33,10,0)="","",VLOOKUP(AD$2,行为概览!$D$3:$M$33,10,0)*IF(玩法行为规划!AC31&gt;0,1,0))</f>
        <v/>
      </c>
      <c r="AE31" s="7" t="str">
        <f>IF(VLOOKUP(AE$2,行为概览!$D$3:$M$33,10,0)="","",VLOOKUP(AE$2,行为概览!$D$3:$M$33,10,0)*IF(玩法行为规划!AD31&gt;0,1,0))</f>
        <v/>
      </c>
      <c r="AF31" s="7">
        <f>IF(VLOOKUP(AF$2,行为概览!$D$3:$M$33,10,0)="","",VLOOKUP(AF$2,行为概览!$D$3:$M$33,10,0)*IF(玩法行为规划!AE31&gt;0,1,0))</f>
        <v>20</v>
      </c>
      <c r="AG31" s="7">
        <f t="shared" si="0"/>
        <v>45</v>
      </c>
      <c r="AH31" s="7">
        <f t="shared" si="1"/>
        <v>1305</v>
      </c>
      <c r="AI31" s="7">
        <v>0</v>
      </c>
      <c r="AJ31" s="21" t="str">
        <f t="shared" si="3"/>
        <v/>
      </c>
      <c r="AK31" s="7">
        <f t="shared" si="2"/>
        <v>1305</v>
      </c>
      <c r="AL31" s="7">
        <f>SUM($AK$3:AK31)</f>
        <v>10635</v>
      </c>
    </row>
    <row r="32" spans="1:38">
      <c r="A32" s="32">
        <v>30</v>
      </c>
      <c r="B32" s="87">
        <f>升级节奏!F32</f>
        <v>30</v>
      </c>
      <c r="C32" s="7">
        <f>IF(VLOOKUP(C$2,行为概览!$D$3:$M$33,10,0)="","",VLOOKUP(C$2,行为概览!$D$3:$M$33,10,0)*IF(玩法行为规划!B32&gt;0,1,0))</f>
        <v>8</v>
      </c>
      <c r="D32" s="7" t="str">
        <f>IF(VLOOKUP(D$2,行为概览!$D$3:$M$33,10,0)="","",VLOOKUP(D$2,行为概览!$D$3:$M$33,10,0)*IF(玩法行为规划!C32&gt;0,1,0))</f>
        <v/>
      </c>
      <c r="E32" s="7" t="str">
        <f>IF(VLOOKUP(E$2,行为概览!$D$3:$M$33,10,0)="","",VLOOKUP(E$2,行为概览!$D$3:$M$33,10,0)*IF(玩法行为规划!D32&gt;0,1,0))</f>
        <v/>
      </c>
      <c r="F32" s="7">
        <f>IF(VLOOKUP(F$2,行为概览!$D$3:$M$33,10,0)="","",VLOOKUP(F$2,行为概览!$D$3:$M$33,10,0)*IF(玩法行为规划!E32&gt;0,1,0))</f>
        <v>0</v>
      </c>
      <c r="G32" s="7" t="str">
        <f>IF(VLOOKUP(G$2,行为概览!$D$3:$M$33,10,0)="","",VLOOKUP(G$2,行为概览!$D$3:$M$33,10,0)*IF(玩法行为规划!F32&gt;0,1,0))</f>
        <v/>
      </c>
      <c r="H32" s="7" t="str">
        <f>IF(VLOOKUP(H$2,行为概览!$D$3:$M$33,10,0)="","",VLOOKUP(H$2,行为概览!$D$3:$M$33,10,0)*IF(玩法行为规划!G32&gt;0,1,0))</f>
        <v/>
      </c>
      <c r="I32" s="7" t="str">
        <f>IF(VLOOKUP(I$2,行为概览!$D$3:$M$33,10,0)="","",VLOOKUP(I$2,行为概览!$D$3:$M$33,10,0)*IF(玩法行为规划!H32&gt;0,1,0))</f>
        <v/>
      </c>
      <c r="J32" s="7" t="str">
        <f>IF(VLOOKUP(J$2,行为概览!$D$3:$M$33,10,0)="","",VLOOKUP(J$2,行为概览!$D$3:$M$33,10,0)*IF(玩法行为规划!I32&gt;0,1,0))</f>
        <v/>
      </c>
      <c r="K32" s="7">
        <f>IF(VLOOKUP(K$2,行为概览!$D$3:$M$33,10,0)="","",VLOOKUP(K$2,行为概览!$D$3:$M$33,10,0)*IF(玩法行为规划!J32&gt;0,1,0))</f>
        <v>10</v>
      </c>
      <c r="L32" s="7">
        <f>IF(VLOOKUP(L$2,行为概览!$D$3:$M$33,10,0)="","",VLOOKUP(L$2,行为概览!$D$3:$M$33,10,0)*IF(玩法行为规划!K32&gt;0,1,0))</f>
        <v>0</v>
      </c>
      <c r="M32" s="7" t="str">
        <f>IF(VLOOKUP(M$2,行为概览!$D$3:$M$33,10,0)="","",VLOOKUP(M$2,行为概览!$D$3:$M$33,10,0)*IF(玩法行为规划!L32&gt;0,1,0))</f>
        <v/>
      </c>
      <c r="N32" s="7" t="str">
        <f>IF(VLOOKUP(N$2,行为概览!$D$3:$M$33,10,0)="","",VLOOKUP(N$2,行为概览!$D$3:$M$33,10,0)*IF(玩法行为规划!M32&gt;0,1,0))</f>
        <v/>
      </c>
      <c r="O32" s="7" t="str">
        <f>IF(VLOOKUP(O$2,行为概览!$D$3:$M$33,10,0)="","",VLOOKUP(O$2,行为概览!$D$3:$M$33,10,0)*IF(玩法行为规划!N32&gt;0,1,0))</f>
        <v/>
      </c>
      <c r="P32" s="7" t="str">
        <f>IF(VLOOKUP(P$2,行为概览!$D$3:$M$33,10,0)="","",VLOOKUP(P$2,行为概览!$D$3:$M$33,10,0)*IF(玩法行为规划!O32&gt;0,1,0))</f>
        <v/>
      </c>
      <c r="Q32" s="7">
        <f>IF(VLOOKUP(Q$2,行为概览!$D$3:$M$33,10,0)="","",VLOOKUP(Q$2,行为概览!$D$3:$M$33,10,0)*IF(玩法行为规划!P32&gt;0,1,0))</f>
        <v>10</v>
      </c>
      <c r="R32" s="7" t="str">
        <f>IF(VLOOKUP(R$2,行为概览!$D$3:$M$33,10,0)="","",VLOOKUP(R$2,行为概览!$D$3:$M$33,10,0)*IF(玩法行为规划!Q32&gt;0,1,0))</f>
        <v/>
      </c>
      <c r="S32" s="7">
        <f>IF(VLOOKUP(S$2,行为概览!$D$3:$M$33,10,0)="","",VLOOKUP(S$2,行为概览!$D$3:$M$33,10,0)*IF(玩法行为规划!R32&gt;0,1,0))</f>
        <v>3</v>
      </c>
      <c r="T32" s="7" t="str">
        <f>IF(VLOOKUP(T$2,行为概览!$D$3:$M$33,10,0)="","",VLOOKUP(T$2,行为概览!$D$3:$M$33,10,0)*IF(玩法行为规划!S32&gt;0,1,0))</f>
        <v/>
      </c>
      <c r="U32" s="7" t="str">
        <f>IF(VLOOKUP(U$2,行为概览!$D$3:$M$33,10,0)="","",VLOOKUP(U$2,行为概览!$D$3:$M$33,10,0)*IF(玩法行为规划!T32&gt;0,1,0))</f>
        <v/>
      </c>
      <c r="V32" s="7">
        <f>IF(VLOOKUP(V$2,行为概览!$D$3:$M$33,10,0)="","",VLOOKUP(V$2,行为概览!$D$3:$M$33,10,0)*IF(玩法行为规划!U32&gt;0,1,0))</f>
        <v>4</v>
      </c>
      <c r="W32" s="7" t="str">
        <f>IF(VLOOKUP(W$2,行为概览!$D$3:$M$33,10,0)="","",VLOOKUP(W$2,行为概览!$D$3:$M$33,10,0)*IF(玩法行为规划!V32&gt;0,1,0))</f>
        <v/>
      </c>
      <c r="X32" s="7" t="str">
        <f>IF(VLOOKUP(X$2,行为概览!$D$3:$M$33,10,0)="","",VLOOKUP(X$2,行为概览!$D$3:$M$33,10,0)*IF(玩法行为规划!W32&gt;0,1,0))</f>
        <v/>
      </c>
      <c r="Y32" s="7" t="str">
        <f>IF(VLOOKUP(Y$2,行为概览!$D$3:$M$33,10,0)="","",VLOOKUP(Y$2,行为概览!$D$3:$M$33,10,0)*IF(玩法行为规划!X32&gt;0,1,0))</f>
        <v/>
      </c>
      <c r="Z32" s="7">
        <f>IF(VLOOKUP(Z$2,行为概览!$D$3:$M$33,10,0)="","",VLOOKUP(Z$2,行为概览!$D$3:$M$33,10,0)*IF(玩法行为规划!Y32&gt;0,1,0))</f>
        <v>0</v>
      </c>
      <c r="AA32" s="7" t="str">
        <f>IF(VLOOKUP(AA$2,行为概览!$D$3:$M$33,10,0)="","",VLOOKUP(AA$2,行为概览!$D$3:$M$33,10,0)*IF(玩法行为规划!Z32&gt;0,1,0))</f>
        <v/>
      </c>
      <c r="AB32" s="7" t="str">
        <f>IF(VLOOKUP(AB$2,行为概览!$D$3:$M$33,10,0)="","",VLOOKUP(AB$2,行为概览!$D$3:$M$33,10,0)*IF(玩法行为规划!AA32&gt;0,1,0))</f>
        <v/>
      </c>
      <c r="AC32" s="7" t="str">
        <f>IF(VLOOKUP(AC$2,行为概览!$D$3:$M$33,10,0)="","",VLOOKUP(AC$2,行为概览!$D$3:$M$33,10,0)*IF(玩法行为规划!AB32&gt;0,1,0))</f>
        <v/>
      </c>
      <c r="AD32" s="7" t="str">
        <f>IF(VLOOKUP(AD$2,行为概览!$D$3:$M$33,10,0)="","",VLOOKUP(AD$2,行为概览!$D$3:$M$33,10,0)*IF(玩法行为规划!AC32&gt;0,1,0))</f>
        <v/>
      </c>
      <c r="AE32" s="7" t="str">
        <f>IF(VLOOKUP(AE$2,行为概览!$D$3:$M$33,10,0)="","",VLOOKUP(AE$2,行为概览!$D$3:$M$33,10,0)*IF(玩法行为规划!AD32&gt;0,1,0))</f>
        <v/>
      </c>
      <c r="AF32" s="7">
        <f>IF(VLOOKUP(AF$2,行为概览!$D$3:$M$33,10,0)="","",VLOOKUP(AF$2,行为概览!$D$3:$M$33,10,0)*IF(玩法行为规划!AE32&gt;0,1,0))</f>
        <v>20</v>
      </c>
      <c r="AG32" s="7">
        <f t="shared" si="0"/>
        <v>55</v>
      </c>
      <c r="AH32" s="7">
        <f t="shared" si="1"/>
        <v>1650</v>
      </c>
      <c r="AI32" s="7">
        <v>0</v>
      </c>
      <c r="AJ32" s="21">
        <f t="shared" si="3"/>
        <v>0</v>
      </c>
      <c r="AK32" s="7">
        <f t="shared" si="2"/>
        <v>1650</v>
      </c>
      <c r="AL32" s="7">
        <f>SUM($AK$3:AK32)</f>
        <v>12285</v>
      </c>
    </row>
    <row r="33" spans="1:38">
      <c r="A33" s="32">
        <v>31</v>
      </c>
      <c r="B33" s="87">
        <f>升级节奏!F33</f>
        <v>31</v>
      </c>
      <c r="C33" s="7">
        <f>IF(VLOOKUP(C$2,行为概览!$D$3:$M$33,10,0)="","",VLOOKUP(C$2,行为概览!$D$3:$M$33,10,0)*IF(玩法行为规划!B33&gt;0,1,0))</f>
        <v>8</v>
      </c>
      <c r="D33" s="7" t="str">
        <f>IF(VLOOKUP(D$2,行为概览!$D$3:$M$33,10,0)="","",VLOOKUP(D$2,行为概览!$D$3:$M$33,10,0)*IF(玩法行为规划!C33&gt;0,1,0))</f>
        <v/>
      </c>
      <c r="E33" s="7" t="str">
        <f>IF(VLOOKUP(E$2,行为概览!$D$3:$M$33,10,0)="","",VLOOKUP(E$2,行为概览!$D$3:$M$33,10,0)*IF(玩法行为规划!D33&gt;0,1,0))</f>
        <v/>
      </c>
      <c r="F33" s="7">
        <f>IF(VLOOKUP(F$2,行为概览!$D$3:$M$33,10,0)="","",VLOOKUP(F$2,行为概览!$D$3:$M$33,10,0)*IF(玩法行为规划!E33&gt;0,1,0))</f>
        <v>0</v>
      </c>
      <c r="G33" s="7" t="str">
        <f>IF(VLOOKUP(G$2,行为概览!$D$3:$M$33,10,0)="","",VLOOKUP(G$2,行为概览!$D$3:$M$33,10,0)*IF(玩法行为规划!F33&gt;0,1,0))</f>
        <v/>
      </c>
      <c r="H33" s="7" t="str">
        <f>IF(VLOOKUP(H$2,行为概览!$D$3:$M$33,10,0)="","",VLOOKUP(H$2,行为概览!$D$3:$M$33,10,0)*IF(玩法行为规划!G33&gt;0,1,0))</f>
        <v/>
      </c>
      <c r="I33" s="7" t="str">
        <f>IF(VLOOKUP(I$2,行为概览!$D$3:$M$33,10,0)="","",VLOOKUP(I$2,行为概览!$D$3:$M$33,10,0)*IF(玩法行为规划!H33&gt;0,1,0))</f>
        <v/>
      </c>
      <c r="J33" s="7" t="str">
        <f>IF(VLOOKUP(J$2,行为概览!$D$3:$M$33,10,0)="","",VLOOKUP(J$2,行为概览!$D$3:$M$33,10,0)*IF(玩法行为规划!I33&gt;0,1,0))</f>
        <v/>
      </c>
      <c r="K33" s="7">
        <f>IF(VLOOKUP(K$2,行为概览!$D$3:$M$33,10,0)="","",VLOOKUP(K$2,行为概览!$D$3:$M$33,10,0)*IF(玩法行为规划!J33&gt;0,1,0))</f>
        <v>10</v>
      </c>
      <c r="L33" s="7">
        <f>IF(VLOOKUP(L$2,行为概览!$D$3:$M$33,10,0)="","",VLOOKUP(L$2,行为概览!$D$3:$M$33,10,0)*IF(玩法行为规划!K33&gt;0,1,0))</f>
        <v>0</v>
      </c>
      <c r="M33" s="7" t="str">
        <f>IF(VLOOKUP(M$2,行为概览!$D$3:$M$33,10,0)="","",VLOOKUP(M$2,行为概览!$D$3:$M$33,10,0)*IF(玩法行为规划!L33&gt;0,1,0))</f>
        <v/>
      </c>
      <c r="N33" s="7" t="str">
        <f>IF(VLOOKUP(N$2,行为概览!$D$3:$M$33,10,0)="","",VLOOKUP(N$2,行为概览!$D$3:$M$33,10,0)*IF(玩法行为规划!M33&gt;0,1,0))</f>
        <v/>
      </c>
      <c r="O33" s="7" t="str">
        <f>IF(VLOOKUP(O$2,行为概览!$D$3:$M$33,10,0)="","",VLOOKUP(O$2,行为概览!$D$3:$M$33,10,0)*IF(玩法行为规划!N33&gt;0,1,0))</f>
        <v/>
      </c>
      <c r="P33" s="7" t="str">
        <f>IF(VLOOKUP(P$2,行为概览!$D$3:$M$33,10,0)="","",VLOOKUP(P$2,行为概览!$D$3:$M$33,10,0)*IF(玩法行为规划!O33&gt;0,1,0))</f>
        <v/>
      </c>
      <c r="Q33" s="7">
        <f>IF(VLOOKUP(Q$2,行为概览!$D$3:$M$33,10,0)="","",VLOOKUP(Q$2,行为概览!$D$3:$M$33,10,0)*IF(玩法行为规划!P33&gt;0,1,0))</f>
        <v>10</v>
      </c>
      <c r="R33" s="7" t="str">
        <f>IF(VLOOKUP(R$2,行为概览!$D$3:$M$33,10,0)="","",VLOOKUP(R$2,行为概览!$D$3:$M$33,10,0)*IF(玩法行为规划!Q33&gt;0,1,0))</f>
        <v/>
      </c>
      <c r="S33" s="7">
        <f>IF(VLOOKUP(S$2,行为概览!$D$3:$M$33,10,0)="","",VLOOKUP(S$2,行为概览!$D$3:$M$33,10,0)*IF(玩法行为规划!R33&gt;0,1,0))</f>
        <v>3</v>
      </c>
      <c r="T33" s="7" t="str">
        <f>IF(VLOOKUP(T$2,行为概览!$D$3:$M$33,10,0)="","",VLOOKUP(T$2,行为概览!$D$3:$M$33,10,0)*IF(玩法行为规划!S33&gt;0,1,0))</f>
        <v/>
      </c>
      <c r="U33" s="7" t="str">
        <f>IF(VLOOKUP(U$2,行为概览!$D$3:$M$33,10,0)="","",VLOOKUP(U$2,行为概览!$D$3:$M$33,10,0)*IF(玩法行为规划!T33&gt;0,1,0))</f>
        <v/>
      </c>
      <c r="V33" s="7">
        <f>IF(VLOOKUP(V$2,行为概览!$D$3:$M$33,10,0)="","",VLOOKUP(V$2,行为概览!$D$3:$M$33,10,0)*IF(玩法行为规划!U33&gt;0,1,0))</f>
        <v>4</v>
      </c>
      <c r="W33" s="7" t="str">
        <f>IF(VLOOKUP(W$2,行为概览!$D$3:$M$33,10,0)="","",VLOOKUP(W$2,行为概览!$D$3:$M$33,10,0)*IF(玩法行为规划!V33&gt;0,1,0))</f>
        <v/>
      </c>
      <c r="X33" s="7" t="str">
        <f>IF(VLOOKUP(X$2,行为概览!$D$3:$M$33,10,0)="","",VLOOKUP(X$2,行为概览!$D$3:$M$33,10,0)*IF(玩法行为规划!W33&gt;0,1,0))</f>
        <v/>
      </c>
      <c r="Y33" s="7" t="str">
        <f>IF(VLOOKUP(Y$2,行为概览!$D$3:$M$33,10,0)="","",VLOOKUP(Y$2,行为概览!$D$3:$M$33,10,0)*IF(玩法行为规划!X33&gt;0,1,0))</f>
        <v/>
      </c>
      <c r="Z33" s="7">
        <f>IF(VLOOKUP(Z$2,行为概览!$D$3:$M$33,10,0)="","",VLOOKUP(Z$2,行为概览!$D$3:$M$33,10,0)*IF(玩法行为规划!Y33&gt;0,1,0))</f>
        <v>0</v>
      </c>
      <c r="AA33" s="7" t="str">
        <f>IF(VLOOKUP(AA$2,行为概览!$D$3:$M$33,10,0)="","",VLOOKUP(AA$2,行为概览!$D$3:$M$33,10,0)*IF(玩法行为规划!Z33&gt;0,1,0))</f>
        <v/>
      </c>
      <c r="AB33" s="7" t="str">
        <f>IF(VLOOKUP(AB$2,行为概览!$D$3:$M$33,10,0)="","",VLOOKUP(AB$2,行为概览!$D$3:$M$33,10,0)*IF(玩法行为规划!AA33&gt;0,1,0))</f>
        <v/>
      </c>
      <c r="AC33" s="7" t="str">
        <f>IF(VLOOKUP(AC$2,行为概览!$D$3:$M$33,10,0)="","",VLOOKUP(AC$2,行为概览!$D$3:$M$33,10,0)*IF(玩法行为规划!AB33&gt;0,1,0))</f>
        <v/>
      </c>
      <c r="AD33" s="7" t="str">
        <f>IF(VLOOKUP(AD$2,行为概览!$D$3:$M$33,10,0)="","",VLOOKUP(AD$2,行为概览!$D$3:$M$33,10,0)*IF(玩法行为规划!AC33&gt;0,1,0))</f>
        <v/>
      </c>
      <c r="AE33" s="7" t="str">
        <f>IF(VLOOKUP(AE$2,行为概览!$D$3:$M$33,10,0)="","",VLOOKUP(AE$2,行为概览!$D$3:$M$33,10,0)*IF(玩法行为规划!AD33&gt;0,1,0))</f>
        <v/>
      </c>
      <c r="AF33" s="7">
        <f>IF(VLOOKUP(AF$2,行为概览!$D$3:$M$33,10,0)="","",VLOOKUP(AF$2,行为概览!$D$3:$M$33,10,0)*IF(玩法行为规划!AE33&gt;0,1,0))</f>
        <v>20</v>
      </c>
      <c r="AG33" s="7">
        <f t="shared" si="0"/>
        <v>55</v>
      </c>
      <c r="AH33" s="7">
        <f t="shared" si="1"/>
        <v>1705</v>
      </c>
      <c r="AI33" s="7">
        <v>0</v>
      </c>
      <c r="AJ33" s="21" t="str">
        <f t="shared" si="3"/>
        <v/>
      </c>
      <c r="AK33" s="7">
        <f t="shared" si="2"/>
        <v>1705</v>
      </c>
      <c r="AL33" s="7">
        <f>SUM($AK$3:AK33)</f>
        <v>13990</v>
      </c>
    </row>
    <row r="34" spans="1:38">
      <c r="A34" s="32">
        <v>32</v>
      </c>
      <c r="B34" s="87">
        <f>升级节奏!F34</f>
        <v>32</v>
      </c>
      <c r="C34" s="7">
        <f>IF(VLOOKUP(C$2,行为概览!$D$3:$M$33,10,0)="","",VLOOKUP(C$2,行为概览!$D$3:$M$33,10,0)*IF(玩法行为规划!B34&gt;0,1,0))</f>
        <v>8</v>
      </c>
      <c r="D34" s="7" t="str">
        <f>IF(VLOOKUP(D$2,行为概览!$D$3:$M$33,10,0)="","",VLOOKUP(D$2,行为概览!$D$3:$M$33,10,0)*IF(玩法行为规划!C34&gt;0,1,0))</f>
        <v/>
      </c>
      <c r="E34" s="7" t="str">
        <f>IF(VLOOKUP(E$2,行为概览!$D$3:$M$33,10,0)="","",VLOOKUP(E$2,行为概览!$D$3:$M$33,10,0)*IF(玩法行为规划!D34&gt;0,1,0))</f>
        <v/>
      </c>
      <c r="F34" s="7">
        <f>IF(VLOOKUP(F$2,行为概览!$D$3:$M$33,10,0)="","",VLOOKUP(F$2,行为概览!$D$3:$M$33,10,0)*IF(玩法行为规划!E34&gt;0,1,0))</f>
        <v>0</v>
      </c>
      <c r="G34" s="7" t="str">
        <f>IF(VLOOKUP(G$2,行为概览!$D$3:$M$33,10,0)="","",VLOOKUP(G$2,行为概览!$D$3:$M$33,10,0)*IF(玩法行为规划!F34&gt;0,1,0))</f>
        <v/>
      </c>
      <c r="H34" s="7" t="str">
        <f>IF(VLOOKUP(H$2,行为概览!$D$3:$M$33,10,0)="","",VLOOKUP(H$2,行为概览!$D$3:$M$33,10,0)*IF(玩法行为规划!G34&gt;0,1,0))</f>
        <v/>
      </c>
      <c r="I34" s="7" t="str">
        <f>IF(VLOOKUP(I$2,行为概览!$D$3:$M$33,10,0)="","",VLOOKUP(I$2,行为概览!$D$3:$M$33,10,0)*IF(玩法行为规划!H34&gt;0,1,0))</f>
        <v/>
      </c>
      <c r="J34" s="7" t="str">
        <f>IF(VLOOKUP(J$2,行为概览!$D$3:$M$33,10,0)="","",VLOOKUP(J$2,行为概览!$D$3:$M$33,10,0)*IF(玩法行为规划!I34&gt;0,1,0))</f>
        <v/>
      </c>
      <c r="K34" s="7">
        <f>IF(VLOOKUP(K$2,行为概览!$D$3:$M$33,10,0)="","",VLOOKUP(K$2,行为概览!$D$3:$M$33,10,0)*IF(玩法行为规划!J34&gt;0,1,0))</f>
        <v>10</v>
      </c>
      <c r="L34" s="7">
        <f>IF(VLOOKUP(L$2,行为概览!$D$3:$M$33,10,0)="","",VLOOKUP(L$2,行为概览!$D$3:$M$33,10,0)*IF(玩法行为规划!K34&gt;0,1,0))</f>
        <v>0</v>
      </c>
      <c r="M34" s="7" t="str">
        <f>IF(VLOOKUP(M$2,行为概览!$D$3:$M$33,10,0)="","",VLOOKUP(M$2,行为概览!$D$3:$M$33,10,0)*IF(玩法行为规划!L34&gt;0,1,0))</f>
        <v/>
      </c>
      <c r="N34" s="7" t="str">
        <f>IF(VLOOKUP(N$2,行为概览!$D$3:$M$33,10,0)="","",VLOOKUP(N$2,行为概览!$D$3:$M$33,10,0)*IF(玩法行为规划!M34&gt;0,1,0))</f>
        <v/>
      </c>
      <c r="O34" s="7" t="str">
        <f>IF(VLOOKUP(O$2,行为概览!$D$3:$M$33,10,0)="","",VLOOKUP(O$2,行为概览!$D$3:$M$33,10,0)*IF(玩法行为规划!N34&gt;0,1,0))</f>
        <v/>
      </c>
      <c r="P34" s="7" t="str">
        <f>IF(VLOOKUP(P$2,行为概览!$D$3:$M$33,10,0)="","",VLOOKUP(P$2,行为概览!$D$3:$M$33,10,0)*IF(玩法行为规划!O34&gt;0,1,0))</f>
        <v/>
      </c>
      <c r="Q34" s="7">
        <f>IF(VLOOKUP(Q$2,行为概览!$D$3:$M$33,10,0)="","",VLOOKUP(Q$2,行为概览!$D$3:$M$33,10,0)*IF(玩法行为规划!P34&gt;0,1,0))</f>
        <v>10</v>
      </c>
      <c r="R34" s="7" t="str">
        <f>IF(VLOOKUP(R$2,行为概览!$D$3:$M$33,10,0)="","",VLOOKUP(R$2,行为概览!$D$3:$M$33,10,0)*IF(玩法行为规划!Q34&gt;0,1,0))</f>
        <v/>
      </c>
      <c r="S34" s="7">
        <f>IF(VLOOKUP(S$2,行为概览!$D$3:$M$33,10,0)="","",VLOOKUP(S$2,行为概览!$D$3:$M$33,10,0)*IF(玩法行为规划!R34&gt;0,1,0))</f>
        <v>3</v>
      </c>
      <c r="T34" s="7" t="str">
        <f>IF(VLOOKUP(T$2,行为概览!$D$3:$M$33,10,0)="","",VLOOKUP(T$2,行为概览!$D$3:$M$33,10,0)*IF(玩法行为规划!S34&gt;0,1,0))</f>
        <v/>
      </c>
      <c r="U34" s="7" t="str">
        <f>IF(VLOOKUP(U$2,行为概览!$D$3:$M$33,10,0)="","",VLOOKUP(U$2,行为概览!$D$3:$M$33,10,0)*IF(玩法行为规划!T34&gt;0,1,0))</f>
        <v/>
      </c>
      <c r="V34" s="7">
        <f>IF(VLOOKUP(V$2,行为概览!$D$3:$M$33,10,0)="","",VLOOKUP(V$2,行为概览!$D$3:$M$33,10,0)*IF(玩法行为规划!U34&gt;0,1,0))</f>
        <v>4</v>
      </c>
      <c r="W34" s="7" t="str">
        <f>IF(VLOOKUP(W$2,行为概览!$D$3:$M$33,10,0)="","",VLOOKUP(W$2,行为概览!$D$3:$M$33,10,0)*IF(玩法行为规划!V34&gt;0,1,0))</f>
        <v/>
      </c>
      <c r="X34" s="7" t="str">
        <f>IF(VLOOKUP(X$2,行为概览!$D$3:$M$33,10,0)="","",VLOOKUP(X$2,行为概览!$D$3:$M$33,10,0)*IF(玩法行为规划!W34&gt;0,1,0))</f>
        <v/>
      </c>
      <c r="Y34" s="7" t="str">
        <f>IF(VLOOKUP(Y$2,行为概览!$D$3:$M$33,10,0)="","",VLOOKUP(Y$2,行为概览!$D$3:$M$33,10,0)*IF(玩法行为规划!X34&gt;0,1,0))</f>
        <v/>
      </c>
      <c r="Z34" s="7">
        <f>IF(VLOOKUP(Z$2,行为概览!$D$3:$M$33,10,0)="","",VLOOKUP(Z$2,行为概览!$D$3:$M$33,10,0)*IF(玩法行为规划!Y34&gt;0,1,0))</f>
        <v>0</v>
      </c>
      <c r="AA34" s="7" t="str">
        <f>IF(VLOOKUP(AA$2,行为概览!$D$3:$M$33,10,0)="","",VLOOKUP(AA$2,行为概览!$D$3:$M$33,10,0)*IF(玩法行为规划!Z34&gt;0,1,0))</f>
        <v/>
      </c>
      <c r="AB34" s="7" t="str">
        <f>IF(VLOOKUP(AB$2,行为概览!$D$3:$M$33,10,0)="","",VLOOKUP(AB$2,行为概览!$D$3:$M$33,10,0)*IF(玩法行为规划!AA34&gt;0,1,0))</f>
        <v/>
      </c>
      <c r="AC34" s="7" t="str">
        <f>IF(VLOOKUP(AC$2,行为概览!$D$3:$M$33,10,0)="","",VLOOKUP(AC$2,行为概览!$D$3:$M$33,10,0)*IF(玩法行为规划!AB34&gt;0,1,0))</f>
        <v/>
      </c>
      <c r="AD34" s="7" t="str">
        <f>IF(VLOOKUP(AD$2,行为概览!$D$3:$M$33,10,0)="","",VLOOKUP(AD$2,行为概览!$D$3:$M$33,10,0)*IF(玩法行为规划!AC34&gt;0,1,0))</f>
        <v/>
      </c>
      <c r="AE34" s="7" t="str">
        <f>IF(VLOOKUP(AE$2,行为概览!$D$3:$M$33,10,0)="","",VLOOKUP(AE$2,行为概览!$D$3:$M$33,10,0)*IF(玩法行为规划!AD34&gt;0,1,0))</f>
        <v/>
      </c>
      <c r="AF34" s="7">
        <f>IF(VLOOKUP(AF$2,行为概览!$D$3:$M$33,10,0)="","",VLOOKUP(AF$2,行为概览!$D$3:$M$33,10,0)*IF(玩法行为规划!AE34&gt;0,1,0))</f>
        <v>20</v>
      </c>
      <c r="AG34" s="7">
        <f t="shared" si="0"/>
        <v>55</v>
      </c>
      <c r="AH34" s="7">
        <f t="shared" si="1"/>
        <v>1760</v>
      </c>
      <c r="AI34" s="7">
        <v>0</v>
      </c>
      <c r="AJ34" s="21" t="str">
        <f t="shared" si="3"/>
        <v/>
      </c>
      <c r="AK34" s="7">
        <f t="shared" si="2"/>
        <v>1760</v>
      </c>
      <c r="AL34" s="7">
        <f>SUM($AK$3:AK34)</f>
        <v>15750</v>
      </c>
    </row>
    <row r="35" spans="1:38">
      <c r="A35" s="32">
        <v>33</v>
      </c>
      <c r="B35" s="87">
        <f>升级节奏!F35</f>
        <v>33</v>
      </c>
      <c r="C35" s="7">
        <f>IF(VLOOKUP(C$2,行为概览!$D$3:$M$33,10,0)="","",VLOOKUP(C$2,行为概览!$D$3:$M$33,10,0)*IF(玩法行为规划!B35&gt;0,1,0))</f>
        <v>8</v>
      </c>
      <c r="D35" s="7" t="str">
        <f>IF(VLOOKUP(D$2,行为概览!$D$3:$M$33,10,0)="","",VLOOKUP(D$2,行为概览!$D$3:$M$33,10,0)*IF(玩法行为规划!C35&gt;0,1,0))</f>
        <v/>
      </c>
      <c r="E35" s="7" t="str">
        <f>IF(VLOOKUP(E$2,行为概览!$D$3:$M$33,10,0)="","",VLOOKUP(E$2,行为概览!$D$3:$M$33,10,0)*IF(玩法行为规划!D35&gt;0,1,0))</f>
        <v/>
      </c>
      <c r="F35" s="7">
        <f>IF(VLOOKUP(F$2,行为概览!$D$3:$M$33,10,0)="","",VLOOKUP(F$2,行为概览!$D$3:$M$33,10,0)*IF(玩法行为规划!E35&gt;0,1,0))</f>
        <v>0</v>
      </c>
      <c r="G35" s="7" t="str">
        <f>IF(VLOOKUP(G$2,行为概览!$D$3:$M$33,10,0)="","",VLOOKUP(G$2,行为概览!$D$3:$M$33,10,0)*IF(玩法行为规划!F35&gt;0,1,0))</f>
        <v/>
      </c>
      <c r="H35" s="7" t="str">
        <f>IF(VLOOKUP(H$2,行为概览!$D$3:$M$33,10,0)="","",VLOOKUP(H$2,行为概览!$D$3:$M$33,10,0)*IF(玩法行为规划!G35&gt;0,1,0))</f>
        <v/>
      </c>
      <c r="I35" s="7" t="str">
        <f>IF(VLOOKUP(I$2,行为概览!$D$3:$M$33,10,0)="","",VLOOKUP(I$2,行为概览!$D$3:$M$33,10,0)*IF(玩法行为规划!H35&gt;0,1,0))</f>
        <v/>
      </c>
      <c r="J35" s="7" t="str">
        <f>IF(VLOOKUP(J$2,行为概览!$D$3:$M$33,10,0)="","",VLOOKUP(J$2,行为概览!$D$3:$M$33,10,0)*IF(玩法行为规划!I35&gt;0,1,0))</f>
        <v/>
      </c>
      <c r="K35" s="7">
        <f>IF(VLOOKUP(K$2,行为概览!$D$3:$M$33,10,0)="","",VLOOKUP(K$2,行为概览!$D$3:$M$33,10,0)*IF(玩法行为规划!J35&gt;0,1,0))</f>
        <v>10</v>
      </c>
      <c r="L35" s="7">
        <f>IF(VLOOKUP(L$2,行为概览!$D$3:$M$33,10,0)="","",VLOOKUP(L$2,行为概览!$D$3:$M$33,10,0)*IF(玩法行为规划!K35&gt;0,1,0))</f>
        <v>0</v>
      </c>
      <c r="M35" s="7" t="str">
        <f>IF(VLOOKUP(M$2,行为概览!$D$3:$M$33,10,0)="","",VLOOKUP(M$2,行为概览!$D$3:$M$33,10,0)*IF(玩法行为规划!L35&gt;0,1,0))</f>
        <v/>
      </c>
      <c r="N35" s="7" t="str">
        <f>IF(VLOOKUP(N$2,行为概览!$D$3:$M$33,10,0)="","",VLOOKUP(N$2,行为概览!$D$3:$M$33,10,0)*IF(玩法行为规划!M35&gt;0,1,0))</f>
        <v/>
      </c>
      <c r="O35" s="7" t="str">
        <f>IF(VLOOKUP(O$2,行为概览!$D$3:$M$33,10,0)="","",VLOOKUP(O$2,行为概览!$D$3:$M$33,10,0)*IF(玩法行为规划!N35&gt;0,1,0))</f>
        <v/>
      </c>
      <c r="P35" s="7" t="str">
        <f>IF(VLOOKUP(P$2,行为概览!$D$3:$M$33,10,0)="","",VLOOKUP(P$2,行为概览!$D$3:$M$33,10,0)*IF(玩法行为规划!O35&gt;0,1,0))</f>
        <v/>
      </c>
      <c r="Q35" s="7">
        <f>IF(VLOOKUP(Q$2,行为概览!$D$3:$M$33,10,0)="","",VLOOKUP(Q$2,行为概览!$D$3:$M$33,10,0)*IF(玩法行为规划!P35&gt;0,1,0))</f>
        <v>10</v>
      </c>
      <c r="R35" s="7" t="str">
        <f>IF(VLOOKUP(R$2,行为概览!$D$3:$M$33,10,0)="","",VLOOKUP(R$2,行为概览!$D$3:$M$33,10,0)*IF(玩法行为规划!Q35&gt;0,1,0))</f>
        <v/>
      </c>
      <c r="S35" s="7">
        <f>IF(VLOOKUP(S$2,行为概览!$D$3:$M$33,10,0)="","",VLOOKUP(S$2,行为概览!$D$3:$M$33,10,0)*IF(玩法行为规划!R35&gt;0,1,0))</f>
        <v>3</v>
      </c>
      <c r="T35" s="7" t="str">
        <f>IF(VLOOKUP(T$2,行为概览!$D$3:$M$33,10,0)="","",VLOOKUP(T$2,行为概览!$D$3:$M$33,10,0)*IF(玩法行为规划!S35&gt;0,1,0))</f>
        <v/>
      </c>
      <c r="U35" s="7" t="str">
        <f>IF(VLOOKUP(U$2,行为概览!$D$3:$M$33,10,0)="","",VLOOKUP(U$2,行为概览!$D$3:$M$33,10,0)*IF(玩法行为规划!T35&gt;0,1,0))</f>
        <v/>
      </c>
      <c r="V35" s="7">
        <f>IF(VLOOKUP(V$2,行为概览!$D$3:$M$33,10,0)="","",VLOOKUP(V$2,行为概览!$D$3:$M$33,10,0)*IF(玩法行为规划!U35&gt;0,1,0))</f>
        <v>4</v>
      </c>
      <c r="W35" s="7" t="str">
        <f>IF(VLOOKUP(W$2,行为概览!$D$3:$M$33,10,0)="","",VLOOKUP(W$2,行为概览!$D$3:$M$33,10,0)*IF(玩法行为规划!V35&gt;0,1,0))</f>
        <v/>
      </c>
      <c r="X35" s="7" t="str">
        <f>IF(VLOOKUP(X$2,行为概览!$D$3:$M$33,10,0)="","",VLOOKUP(X$2,行为概览!$D$3:$M$33,10,0)*IF(玩法行为规划!W35&gt;0,1,0))</f>
        <v/>
      </c>
      <c r="Y35" s="7" t="str">
        <f>IF(VLOOKUP(Y$2,行为概览!$D$3:$M$33,10,0)="","",VLOOKUP(Y$2,行为概览!$D$3:$M$33,10,0)*IF(玩法行为规划!X35&gt;0,1,0))</f>
        <v/>
      </c>
      <c r="Z35" s="7">
        <f>IF(VLOOKUP(Z$2,行为概览!$D$3:$M$33,10,0)="","",VLOOKUP(Z$2,行为概览!$D$3:$M$33,10,0)*IF(玩法行为规划!Y35&gt;0,1,0))</f>
        <v>0</v>
      </c>
      <c r="AA35" s="7" t="str">
        <f>IF(VLOOKUP(AA$2,行为概览!$D$3:$M$33,10,0)="","",VLOOKUP(AA$2,行为概览!$D$3:$M$33,10,0)*IF(玩法行为规划!Z35&gt;0,1,0))</f>
        <v/>
      </c>
      <c r="AB35" s="7" t="str">
        <f>IF(VLOOKUP(AB$2,行为概览!$D$3:$M$33,10,0)="","",VLOOKUP(AB$2,行为概览!$D$3:$M$33,10,0)*IF(玩法行为规划!AA35&gt;0,1,0))</f>
        <v/>
      </c>
      <c r="AC35" s="7" t="str">
        <f>IF(VLOOKUP(AC$2,行为概览!$D$3:$M$33,10,0)="","",VLOOKUP(AC$2,行为概览!$D$3:$M$33,10,0)*IF(玩法行为规划!AB35&gt;0,1,0))</f>
        <v/>
      </c>
      <c r="AD35" s="7" t="str">
        <f>IF(VLOOKUP(AD$2,行为概览!$D$3:$M$33,10,0)="","",VLOOKUP(AD$2,行为概览!$D$3:$M$33,10,0)*IF(玩法行为规划!AC35&gt;0,1,0))</f>
        <v/>
      </c>
      <c r="AE35" s="7" t="str">
        <f>IF(VLOOKUP(AE$2,行为概览!$D$3:$M$33,10,0)="","",VLOOKUP(AE$2,行为概览!$D$3:$M$33,10,0)*IF(玩法行为规划!AD35&gt;0,1,0))</f>
        <v/>
      </c>
      <c r="AF35" s="7">
        <f>IF(VLOOKUP(AF$2,行为概览!$D$3:$M$33,10,0)="","",VLOOKUP(AF$2,行为概览!$D$3:$M$33,10,0)*IF(玩法行为规划!AE35&gt;0,1,0))</f>
        <v>20</v>
      </c>
      <c r="AG35" s="7">
        <f t="shared" ref="AG35:AG66" si="4">SUM(C35:AC35)+AF35</f>
        <v>55</v>
      </c>
      <c r="AH35" s="7">
        <f t="shared" ref="AH35:AH66" si="5">B35*AG35</f>
        <v>1815</v>
      </c>
      <c r="AI35" s="7">
        <v>0</v>
      </c>
      <c r="AJ35" s="21" t="str">
        <f t="shared" si="3"/>
        <v/>
      </c>
      <c r="AK35" s="7">
        <f t="shared" si="2"/>
        <v>1815</v>
      </c>
      <c r="AL35" s="7">
        <f>SUM($AK$3:AK35)</f>
        <v>17565</v>
      </c>
    </row>
    <row r="36" spans="1:38">
      <c r="A36" s="32">
        <v>34</v>
      </c>
      <c r="B36" s="87">
        <f>升级节奏!F36</f>
        <v>34</v>
      </c>
      <c r="C36" s="7">
        <f>IF(VLOOKUP(C$2,行为概览!$D$3:$M$33,10,0)="","",VLOOKUP(C$2,行为概览!$D$3:$M$33,10,0)*IF(玩法行为规划!B36&gt;0,1,0))</f>
        <v>8</v>
      </c>
      <c r="D36" s="7" t="str">
        <f>IF(VLOOKUP(D$2,行为概览!$D$3:$M$33,10,0)="","",VLOOKUP(D$2,行为概览!$D$3:$M$33,10,0)*IF(玩法行为规划!C36&gt;0,1,0))</f>
        <v/>
      </c>
      <c r="E36" s="7" t="str">
        <f>IF(VLOOKUP(E$2,行为概览!$D$3:$M$33,10,0)="","",VLOOKUP(E$2,行为概览!$D$3:$M$33,10,0)*IF(玩法行为规划!D36&gt;0,1,0))</f>
        <v/>
      </c>
      <c r="F36" s="7">
        <f>IF(VLOOKUP(F$2,行为概览!$D$3:$M$33,10,0)="","",VLOOKUP(F$2,行为概览!$D$3:$M$33,10,0)*IF(玩法行为规划!E36&gt;0,1,0))</f>
        <v>0</v>
      </c>
      <c r="G36" s="7" t="str">
        <f>IF(VLOOKUP(G$2,行为概览!$D$3:$M$33,10,0)="","",VLOOKUP(G$2,行为概览!$D$3:$M$33,10,0)*IF(玩法行为规划!F36&gt;0,1,0))</f>
        <v/>
      </c>
      <c r="H36" s="7" t="str">
        <f>IF(VLOOKUP(H$2,行为概览!$D$3:$M$33,10,0)="","",VLOOKUP(H$2,行为概览!$D$3:$M$33,10,0)*IF(玩法行为规划!G36&gt;0,1,0))</f>
        <v/>
      </c>
      <c r="I36" s="7" t="str">
        <f>IF(VLOOKUP(I$2,行为概览!$D$3:$M$33,10,0)="","",VLOOKUP(I$2,行为概览!$D$3:$M$33,10,0)*IF(玩法行为规划!H36&gt;0,1,0))</f>
        <v/>
      </c>
      <c r="J36" s="7" t="str">
        <f>IF(VLOOKUP(J$2,行为概览!$D$3:$M$33,10,0)="","",VLOOKUP(J$2,行为概览!$D$3:$M$33,10,0)*IF(玩法行为规划!I36&gt;0,1,0))</f>
        <v/>
      </c>
      <c r="K36" s="7">
        <f>IF(VLOOKUP(K$2,行为概览!$D$3:$M$33,10,0)="","",VLOOKUP(K$2,行为概览!$D$3:$M$33,10,0)*IF(玩法行为规划!J36&gt;0,1,0))</f>
        <v>10</v>
      </c>
      <c r="L36" s="7">
        <f>IF(VLOOKUP(L$2,行为概览!$D$3:$M$33,10,0)="","",VLOOKUP(L$2,行为概览!$D$3:$M$33,10,0)*IF(玩法行为规划!K36&gt;0,1,0))</f>
        <v>0</v>
      </c>
      <c r="M36" s="7" t="str">
        <f>IF(VLOOKUP(M$2,行为概览!$D$3:$M$33,10,0)="","",VLOOKUP(M$2,行为概览!$D$3:$M$33,10,0)*IF(玩法行为规划!L36&gt;0,1,0))</f>
        <v/>
      </c>
      <c r="N36" s="7" t="str">
        <f>IF(VLOOKUP(N$2,行为概览!$D$3:$M$33,10,0)="","",VLOOKUP(N$2,行为概览!$D$3:$M$33,10,0)*IF(玩法行为规划!M36&gt;0,1,0))</f>
        <v/>
      </c>
      <c r="O36" s="7" t="str">
        <f>IF(VLOOKUP(O$2,行为概览!$D$3:$M$33,10,0)="","",VLOOKUP(O$2,行为概览!$D$3:$M$33,10,0)*IF(玩法行为规划!N36&gt;0,1,0))</f>
        <v/>
      </c>
      <c r="P36" s="7" t="str">
        <f>IF(VLOOKUP(P$2,行为概览!$D$3:$M$33,10,0)="","",VLOOKUP(P$2,行为概览!$D$3:$M$33,10,0)*IF(玩法行为规划!O36&gt;0,1,0))</f>
        <v/>
      </c>
      <c r="Q36" s="7">
        <f>IF(VLOOKUP(Q$2,行为概览!$D$3:$M$33,10,0)="","",VLOOKUP(Q$2,行为概览!$D$3:$M$33,10,0)*IF(玩法行为规划!P36&gt;0,1,0))</f>
        <v>10</v>
      </c>
      <c r="R36" s="7" t="str">
        <f>IF(VLOOKUP(R$2,行为概览!$D$3:$M$33,10,0)="","",VLOOKUP(R$2,行为概览!$D$3:$M$33,10,0)*IF(玩法行为规划!Q36&gt;0,1,0))</f>
        <v/>
      </c>
      <c r="S36" s="7">
        <f>IF(VLOOKUP(S$2,行为概览!$D$3:$M$33,10,0)="","",VLOOKUP(S$2,行为概览!$D$3:$M$33,10,0)*IF(玩法行为规划!R36&gt;0,1,0))</f>
        <v>3</v>
      </c>
      <c r="T36" s="7" t="str">
        <f>IF(VLOOKUP(T$2,行为概览!$D$3:$M$33,10,0)="","",VLOOKUP(T$2,行为概览!$D$3:$M$33,10,0)*IF(玩法行为规划!S36&gt;0,1,0))</f>
        <v/>
      </c>
      <c r="U36" s="7" t="str">
        <f>IF(VLOOKUP(U$2,行为概览!$D$3:$M$33,10,0)="","",VLOOKUP(U$2,行为概览!$D$3:$M$33,10,0)*IF(玩法行为规划!T36&gt;0,1,0))</f>
        <v/>
      </c>
      <c r="V36" s="7">
        <f>IF(VLOOKUP(V$2,行为概览!$D$3:$M$33,10,0)="","",VLOOKUP(V$2,行为概览!$D$3:$M$33,10,0)*IF(玩法行为规划!U36&gt;0,1,0))</f>
        <v>4</v>
      </c>
      <c r="W36" s="7" t="str">
        <f>IF(VLOOKUP(W$2,行为概览!$D$3:$M$33,10,0)="","",VLOOKUP(W$2,行为概览!$D$3:$M$33,10,0)*IF(玩法行为规划!V36&gt;0,1,0))</f>
        <v/>
      </c>
      <c r="X36" s="7" t="str">
        <f>IF(VLOOKUP(X$2,行为概览!$D$3:$M$33,10,0)="","",VLOOKUP(X$2,行为概览!$D$3:$M$33,10,0)*IF(玩法行为规划!W36&gt;0,1,0))</f>
        <v/>
      </c>
      <c r="Y36" s="7" t="str">
        <f>IF(VLOOKUP(Y$2,行为概览!$D$3:$M$33,10,0)="","",VLOOKUP(Y$2,行为概览!$D$3:$M$33,10,0)*IF(玩法行为规划!X36&gt;0,1,0))</f>
        <v/>
      </c>
      <c r="Z36" s="7">
        <f>IF(VLOOKUP(Z$2,行为概览!$D$3:$M$33,10,0)="","",VLOOKUP(Z$2,行为概览!$D$3:$M$33,10,0)*IF(玩法行为规划!Y36&gt;0,1,0))</f>
        <v>0</v>
      </c>
      <c r="AA36" s="7" t="str">
        <f>IF(VLOOKUP(AA$2,行为概览!$D$3:$M$33,10,0)="","",VLOOKUP(AA$2,行为概览!$D$3:$M$33,10,0)*IF(玩法行为规划!Z36&gt;0,1,0))</f>
        <v/>
      </c>
      <c r="AB36" s="7" t="str">
        <f>IF(VLOOKUP(AB$2,行为概览!$D$3:$M$33,10,0)="","",VLOOKUP(AB$2,行为概览!$D$3:$M$33,10,0)*IF(玩法行为规划!AA36&gt;0,1,0))</f>
        <v/>
      </c>
      <c r="AC36" s="7" t="str">
        <f>IF(VLOOKUP(AC$2,行为概览!$D$3:$M$33,10,0)="","",VLOOKUP(AC$2,行为概览!$D$3:$M$33,10,0)*IF(玩法行为规划!AB36&gt;0,1,0))</f>
        <v/>
      </c>
      <c r="AD36" s="7" t="str">
        <f>IF(VLOOKUP(AD$2,行为概览!$D$3:$M$33,10,0)="","",VLOOKUP(AD$2,行为概览!$D$3:$M$33,10,0)*IF(玩法行为规划!AC36&gt;0,1,0))</f>
        <v/>
      </c>
      <c r="AE36" s="7" t="str">
        <f>IF(VLOOKUP(AE$2,行为概览!$D$3:$M$33,10,0)="","",VLOOKUP(AE$2,行为概览!$D$3:$M$33,10,0)*IF(玩法行为规划!AD36&gt;0,1,0))</f>
        <v/>
      </c>
      <c r="AF36" s="7">
        <f>IF(VLOOKUP(AF$2,行为概览!$D$3:$M$33,10,0)="","",VLOOKUP(AF$2,行为概览!$D$3:$M$33,10,0)*IF(玩法行为规划!AE36&gt;0,1,0))</f>
        <v>20</v>
      </c>
      <c r="AG36" s="7">
        <f t="shared" si="4"/>
        <v>55</v>
      </c>
      <c r="AH36" s="7">
        <f t="shared" si="5"/>
        <v>1870</v>
      </c>
      <c r="AI36" s="7">
        <v>0</v>
      </c>
      <c r="AJ36" s="21" t="str">
        <f t="shared" si="3"/>
        <v/>
      </c>
      <c r="AK36" s="7">
        <f t="shared" si="2"/>
        <v>1870</v>
      </c>
      <c r="AL36" s="7">
        <f>SUM($AK$3:AK36)</f>
        <v>19435</v>
      </c>
    </row>
    <row r="37" spans="1:38">
      <c r="A37" s="32">
        <v>35</v>
      </c>
      <c r="B37" s="87">
        <f>升级节奏!F37</f>
        <v>35</v>
      </c>
      <c r="C37" s="7">
        <f>IF(VLOOKUP(C$2,行为概览!$D$3:$M$33,10,0)="","",VLOOKUP(C$2,行为概览!$D$3:$M$33,10,0)*IF(玩法行为规划!B37&gt;0,1,0))</f>
        <v>8</v>
      </c>
      <c r="D37" s="7" t="str">
        <f>IF(VLOOKUP(D$2,行为概览!$D$3:$M$33,10,0)="","",VLOOKUP(D$2,行为概览!$D$3:$M$33,10,0)*IF(玩法行为规划!C37&gt;0,1,0))</f>
        <v/>
      </c>
      <c r="E37" s="7" t="str">
        <f>IF(VLOOKUP(E$2,行为概览!$D$3:$M$33,10,0)="","",VLOOKUP(E$2,行为概览!$D$3:$M$33,10,0)*IF(玩法行为规划!D37&gt;0,1,0))</f>
        <v/>
      </c>
      <c r="F37" s="7">
        <f>IF(VLOOKUP(F$2,行为概览!$D$3:$M$33,10,0)="","",VLOOKUP(F$2,行为概览!$D$3:$M$33,10,0)*IF(玩法行为规划!E37&gt;0,1,0))</f>
        <v>0</v>
      </c>
      <c r="G37" s="7" t="str">
        <f>IF(VLOOKUP(G$2,行为概览!$D$3:$M$33,10,0)="","",VLOOKUP(G$2,行为概览!$D$3:$M$33,10,0)*IF(玩法行为规划!F37&gt;0,1,0))</f>
        <v/>
      </c>
      <c r="H37" s="7" t="str">
        <f>IF(VLOOKUP(H$2,行为概览!$D$3:$M$33,10,0)="","",VLOOKUP(H$2,行为概览!$D$3:$M$33,10,0)*IF(玩法行为规划!G37&gt;0,1,0))</f>
        <v/>
      </c>
      <c r="I37" s="7" t="str">
        <f>IF(VLOOKUP(I$2,行为概览!$D$3:$M$33,10,0)="","",VLOOKUP(I$2,行为概览!$D$3:$M$33,10,0)*IF(玩法行为规划!H37&gt;0,1,0))</f>
        <v/>
      </c>
      <c r="J37" s="7" t="str">
        <f>IF(VLOOKUP(J$2,行为概览!$D$3:$M$33,10,0)="","",VLOOKUP(J$2,行为概览!$D$3:$M$33,10,0)*IF(玩法行为规划!I37&gt;0,1,0))</f>
        <v/>
      </c>
      <c r="K37" s="7">
        <f>IF(VLOOKUP(K$2,行为概览!$D$3:$M$33,10,0)="","",VLOOKUP(K$2,行为概览!$D$3:$M$33,10,0)*IF(玩法行为规划!J37&gt;0,1,0))</f>
        <v>10</v>
      </c>
      <c r="L37" s="7">
        <f>IF(VLOOKUP(L$2,行为概览!$D$3:$M$33,10,0)="","",VLOOKUP(L$2,行为概览!$D$3:$M$33,10,0)*IF(玩法行为规划!K37&gt;0,1,0))</f>
        <v>5</v>
      </c>
      <c r="M37" s="7" t="str">
        <f>IF(VLOOKUP(M$2,行为概览!$D$3:$M$33,10,0)="","",VLOOKUP(M$2,行为概览!$D$3:$M$33,10,0)*IF(玩法行为规划!L37&gt;0,1,0))</f>
        <v/>
      </c>
      <c r="N37" s="7" t="str">
        <f>IF(VLOOKUP(N$2,行为概览!$D$3:$M$33,10,0)="","",VLOOKUP(N$2,行为概览!$D$3:$M$33,10,0)*IF(玩法行为规划!M37&gt;0,1,0))</f>
        <v/>
      </c>
      <c r="O37" s="7" t="str">
        <f>IF(VLOOKUP(O$2,行为概览!$D$3:$M$33,10,0)="","",VLOOKUP(O$2,行为概览!$D$3:$M$33,10,0)*IF(玩法行为规划!N37&gt;0,1,0))</f>
        <v/>
      </c>
      <c r="P37" s="7" t="str">
        <f>IF(VLOOKUP(P$2,行为概览!$D$3:$M$33,10,0)="","",VLOOKUP(P$2,行为概览!$D$3:$M$33,10,0)*IF(玩法行为规划!O37&gt;0,1,0))</f>
        <v/>
      </c>
      <c r="Q37" s="7">
        <f>IF(VLOOKUP(Q$2,行为概览!$D$3:$M$33,10,0)="","",VLOOKUP(Q$2,行为概览!$D$3:$M$33,10,0)*IF(玩法行为规划!P37&gt;0,1,0))</f>
        <v>10</v>
      </c>
      <c r="R37" s="7" t="str">
        <f>IF(VLOOKUP(R$2,行为概览!$D$3:$M$33,10,0)="","",VLOOKUP(R$2,行为概览!$D$3:$M$33,10,0)*IF(玩法行为规划!Q37&gt;0,1,0))</f>
        <v/>
      </c>
      <c r="S37" s="7">
        <f>IF(VLOOKUP(S$2,行为概览!$D$3:$M$33,10,0)="","",VLOOKUP(S$2,行为概览!$D$3:$M$33,10,0)*IF(玩法行为规划!R37&gt;0,1,0))</f>
        <v>3</v>
      </c>
      <c r="T37" s="7" t="str">
        <f>IF(VLOOKUP(T$2,行为概览!$D$3:$M$33,10,0)="","",VLOOKUP(T$2,行为概览!$D$3:$M$33,10,0)*IF(玩法行为规划!S37&gt;0,1,0))</f>
        <v/>
      </c>
      <c r="U37" s="7" t="str">
        <f>IF(VLOOKUP(U$2,行为概览!$D$3:$M$33,10,0)="","",VLOOKUP(U$2,行为概览!$D$3:$M$33,10,0)*IF(玩法行为规划!T37&gt;0,1,0))</f>
        <v/>
      </c>
      <c r="V37" s="7">
        <f>IF(VLOOKUP(V$2,行为概览!$D$3:$M$33,10,0)="","",VLOOKUP(V$2,行为概览!$D$3:$M$33,10,0)*IF(玩法行为规划!U37&gt;0,1,0))</f>
        <v>4</v>
      </c>
      <c r="W37" s="7" t="str">
        <f>IF(VLOOKUP(W$2,行为概览!$D$3:$M$33,10,0)="","",VLOOKUP(W$2,行为概览!$D$3:$M$33,10,0)*IF(玩法行为规划!V37&gt;0,1,0))</f>
        <v/>
      </c>
      <c r="X37" s="7" t="str">
        <f>IF(VLOOKUP(X$2,行为概览!$D$3:$M$33,10,0)="","",VLOOKUP(X$2,行为概览!$D$3:$M$33,10,0)*IF(玩法行为规划!W37&gt;0,1,0))</f>
        <v/>
      </c>
      <c r="Y37" s="7" t="str">
        <f>IF(VLOOKUP(Y$2,行为概览!$D$3:$M$33,10,0)="","",VLOOKUP(Y$2,行为概览!$D$3:$M$33,10,0)*IF(玩法行为规划!X37&gt;0,1,0))</f>
        <v/>
      </c>
      <c r="Z37" s="7">
        <f>IF(VLOOKUP(Z$2,行为概览!$D$3:$M$33,10,0)="","",VLOOKUP(Z$2,行为概览!$D$3:$M$33,10,0)*IF(玩法行为规划!Y37&gt;0,1,0))</f>
        <v>0</v>
      </c>
      <c r="AA37" s="7" t="str">
        <f>IF(VLOOKUP(AA$2,行为概览!$D$3:$M$33,10,0)="","",VLOOKUP(AA$2,行为概览!$D$3:$M$33,10,0)*IF(玩法行为规划!Z37&gt;0,1,0))</f>
        <v/>
      </c>
      <c r="AB37" s="7" t="str">
        <f>IF(VLOOKUP(AB$2,行为概览!$D$3:$M$33,10,0)="","",VLOOKUP(AB$2,行为概览!$D$3:$M$33,10,0)*IF(玩法行为规划!AA37&gt;0,1,0))</f>
        <v/>
      </c>
      <c r="AC37" s="7" t="str">
        <f>IF(VLOOKUP(AC$2,行为概览!$D$3:$M$33,10,0)="","",VLOOKUP(AC$2,行为概览!$D$3:$M$33,10,0)*IF(玩法行为规划!AB37&gt;0,1,0))</f>
        <v/>
      </c>
      <c r="AD37" s="7" t="str">
        <f>IF(VLOOKUP(AD$2,行为概览!$D$3:$M$33,10,0)="","",VLOOKUP(AD$2,行为概览!$D$3:$M$33,10,0)*IF(玩法行为规划!AC37&gt;0,1,0))</f>
        <v/>
      </c>
      <c r="AE37" s="7" t="str">
        <f>IF(VLOOKUP(AE$2,行为概览!$D$3:$M$33,10,0)="","",VLOOKUP(AE$2,行为概览!$D$3:$M$33,10,0)*IF(玩法行为规划!AD37&gt;0,1,0))</f>
        <v/>
      </c>
      <c r="AF37" s="7">
        <f>IF(VLOOKUP(AF$2,行为概览!$D$3:$M$33,10,0)="","",VLOOKUP(AF$2,行为概览!$D$3:$M$33,10,0)*IF(玩法行为规划!AE37&gt;0,1,0))</f>
        <v>20</v>
      </c>
      <c r="AG37" s="7">
        <f t="shared" si="4"/>
        <v>60</v>
      </c>
      <c r="AH37" s="7">
        <f t="shared" si="5"/>
        <v>2100</v>
      </c>
      <c r="AI37" s="7">
        <v>0</v>
      </c>
      <c r="AJ37" s="21" t="str">
        <f t="shared" si="3"/>
        <v/>
      </c>
      <c r="AK37" s="7">
        <f t="shared" si="2"/>
        <v>2100</v>
      </c>
      <c r="AL37" s="7">
        <f>SUM($AK$3:AK37)</f>
        <v>21535</v>
      </c>
    </row>
    <row r="38" spans="1:38">
      <c r="A38" s="32">
        <v>36</v>
      </c>
      <c r="B38" s="87">
        <f>升级节奏!F38</f>
        <v>36</v>
      </c>
      <c r="C38" s="7">
        <f>IF(VLOOKUP(C$2,行为概览!$D$3:$M$33,10,0)="","",VLOOKUP(C$2,行为概览!$D$3:$M$33,10,0)*IF(玩法行为规划!B38&gt;0,1,0))</f>
        <v>8</v>
      </c>
      <c r="D38" s="7" t="str">
        <f>IF(VLOOKUP(D$2,行为概览!$D$3:$M$33,10,0)="","",VLOOKUP(D$2,行为概览!$D$3:$M$33,10,0)*IF(玩法行为规划!C38&gt;0,1,0))</f>
        <v/>
      </c>
      <c r="E38" s="7" t="str">
        <f>IF(VLOOKUP(E$2,行为概览!$D$3:$M$33,10,0)="","",VLOOKUP(E$2,行为概览!$D$3:$M$33,10,0)*IF(玩法行为规划!D38&gt;0,1,0))</f>
        <v/>
      </c>
      <c r="F38" s="7">
        <f>IF(VLOOKUP(F$2,行为概览!$D$3:$M$33,10,0)="","",VLOOKUP(F$2,行为概览!$D$3:$M$33,10,0)*IF(玩法行为规划!E38&gt;0,1,0))</f>
        <v>0</v>
      </c>
      <c r="G38" s="7" t="str">
        <f>IF(VLOOKUP(G$2,行为概览!$D$3:$M$33,10,0)="","",VLOOKUP(G$2,行为概览!$D$3:$M$33,10,0)*IF(玩法行为规划!F38&gt;0,1,0))</f>
        <v/>
      </c>
      <c r="H38" s="7" t="str">
        <f>IF(VLOOKUP(H$2,行为概览!$D$3:$M$33,10,0)="","",VLOOKUP(H$2,行为概览!$D$3:$M$33,10,0)*IF(玩法行为规划!G38&gt;0,1,0))</f>
        <v/>
      </c>
      <c r="I38" s="7" t="str">
        <f>IF(VLOOKUP(I$2,行为概览!$D$3:$M$33,10,0)="","",VLOOKUP(I$2,行为概览!$D$3:$M$33,10,0)*IF(玩法行为规划!H38&gt;0,1,0))</f>
        <v/>
      </c>
      <c r="J38" s="7" t="str">
        <f>IF(VLOOKUP(J$2,行为概览!$D$3:$M$33,10,0)="","",VLOOKUP(J$2,行为概览!$D$3:$M$33,10,0)*IF(玩法行为规划!I38&gt;0,1,0))</f>
        <v/>
      </c>
      <c r="K38" s="7">
        <f>IF(VLOOKUP(K$2,行为概览!$D$3:$M$33,10,0)="","",VLOOKUP(K$2,行为概览!$D$3:$M$33,10,0)*IF(玩法行为规划!J38&gt;0,1,0))</f>
        <v>10</v>
      </c>
      <c r="L38" s="7">
        <f>IF(VLOOKUP(L$2,行为概览!$D$3:$M$33,10,0)="","",VLOOKUP(L$2,行为概览!$D$3:$M$33,10,0)*IF(玩法行为规划!K38&gt;0,1,0))</f>
        <v>5</v>
      </c>
      <c r="M38" s="7" t="str">
        <f>IF(VLOOKUP(M$2,行为概览!$D$3:$M$33,10,0)="","",VLOOKUP(M$2,行为概览!$D$3:$M$33,10,0)*IF(玩法行为规划!L38&gt;0,1,0))</f>
        <v/>
      </c>
      <c r="N38" s="7" t="str">
        <f>IF(VLOOKUP(N$2,行为概览!$D$3:$M$33,10,0)="","",VLOOKUP(N$2,行为概览!$D$3:$M$33,10,0)*IF(玩法行为规划!M38&gt;0,1,0))</f>
        <v/>
      </c>
      <c r="O38" s="7" t="str">
        <f>IF(VLOOKUP(O$2,行为概览!$D$3:$M$33,10,0)="","",VLOOKUP(O$2,行为概览!$D$3:$M$33,10,0)*IF(玩法行为规划!N38&gt;0,1,0))</f>
        <v/>
      </c>
      <c r="P38" s="7" t="str">
        <f>IF(VLOOKUP(P$2,行为概览!$D$3:$M$33,10,0)="","",VLOOKUP(P$2,行为概览!$D$3:$M$33,10,0)*IF(玩法行为规划!O38&gt;0,1,0))</f>
        <v/>
      </c>
      <c r="Q38" s="7">
        <f>IF(VLOOKUP(Q$2,行为概览!$D$3:$M$33,10,0)="","",VLOOKUP(Q$2,行为概览!$D$3:$M$33,10,0)*IF(玩法行为规划!P38&gt;0,1,0))</f>
        <v>10</v>
      </c>
      <c r="R38" s="7" t="str">
        <f>IF(VLOOKUP(R$2,行为概览!$D$3:$M$33,10,0)="","",VLOOKUP(R$2,行为概览!$D$3:$M$33,10,0)*IF(玩法行为规划!Q38&gt;0,1,0))</f>
        <v/>
      </c>
      <c r="S38" s="7">
        <f>IF(VLOOKUP(S$2,行为概览!$D$3:$M$33,10,0)="","",VLOOKUP(S$2,行为概览!$D$3:$M$33,10,0)*IF(玩法行为规划!R38&gt;0,1,0))</f>
        <v>3</v>
      </c>
      <c r="T38" s="7" t="str">
        <f>IF(VLOOKUP(T$2,行为概览!$D$3:$M$33,10,0)="","",VLOOKUP(T$2,行为概览!$D$3:$M$33,10,0)*IF(玩法行为规划!S38&gt;0,1,0))</f>
        <v/>
      </c>
      <c r="U38" s="7" t="str">
        <f>IF(VLOOKUP(U$2,行为概览!$D$3:$M$33,10,0)="","",VLOOKUP(U$2,行为概览!$D$3:$M$33,10,0)*IF(玩法行为规划!T38&gt;0,1,0))</f>
        <v/>
      </c>
      <c r="V38" s="7">
        <f>IF(VLOOKUP(V$2,行为概览!$D$3:$M$33,10,0)="","",VLOOKUP(V$2,行为概览!$D$3:$M$33,10,0)*IF(玩法行为规划!U38&gt;0,1,0))</f>
        <v>4</v>
      </c>
      <c r="W38" s="7" t="str">
        <f>IF(VLOOKUP(W$2,行为概览!$D$3:$M$33,10,0)="","",VLOOKUP(W$2,行为概览!$D$3:$M$33,10,0)*IF(玩法行为规划!V38&gt;0,1,0))</f>
        <v/>
      </c>
      <c r="X38" s="7" t="str">
        <f>IF(VLOOKUP(X$2,行为概览!$D$3:$M$33,10,0)="","",VLOOKUP(X$2,行为概览!$D$3:$M$33,10,0)*IF(玩法行为规划!W38&gt;0,1,0))</f>
        <v/>
      </c>
      <c r="Y38" s="7" t="str">
        <f>IF(VLOOKUP(Y$2,行为概览!$D$3:$M$33,10,0)="","",VLOOKUP(Y$2,行为概览!$D$3:$M$33,10,0)*IF(玩法行为规划!X38&gt;0,1,0))</f>
        <v/>
      </c>
      <c r="Z38" s="7">
        <f>IF(VLOOKUP(Z$2,行为概览!$D$3:$M$33,10,0)="","",VLOOKUP(Z$2,行为概览!$D$3:$M$33,10,0)*IF(玩法行为规划!Y38&gt;0,1,0))</f>
        <v>0</v>
      </c>
      <c r="AA38" s="7" t="str">
        <f>IF(VLOOKUP(AA$2,行为概览!$D$3:$M$33,10,0)="","",VLOOKUP(AA$2,行为概览!$D$3:$M$33,10,0)*IF(玩法行为规划!Z38&gt;0,1,0))</f>
        <v/>
      </c>
      <c r="AB38" s="7" t="str">
        <f>IF(VLOOKUP(AB$2,行为概览!$D$3:$M$33,10,0)="","",VLOOKUP(AB$2,行为概览!$D$3:$M$33,10,0)*IF(玩法行为规划!AA38&gt;0,1,0))</f>
        <v/>
      </c>
      <c r="AC38" s="7" t="str">
        <f>IF(VLOOKUP(AC$2,行为概览!$D$3:$M$33,10,0)="","",VLOOKUP(AC$2,行为概览!$D$3:$M$33,10,0)*IF(玩法行为规划!AB38&gt;0,1,0))</f>
        <v/>
      </c>
      <c r="AD38" s="7" t="str">
        <f>IF(VLOOKUP(AD$2,行为概览!$D$3:$M$33,10,0)="","",VLOOKUP(AD$2,行为概览!$D$3:$M$33,10,0)*IF(玩法行为规划!AC38&gt;0,1,0))</f>
        <v/>
      </c>
      <c r="AE38" s="7" t="str">
        <f>IF(VLOOKUP(AE$2,行为概览!$D$3:$M$33,10,0)="","",VLOOKUP(AE$2,行为概览!$D$3:$M$33,10,0)*IF(玩法行为规划!AD38&gt;0,1,0))</f>
        <v/>
      </c>
      <c r="AF38" s="7">
        <f>IF(VLOOKUP(AF$2,行为概览!$D$3:$M$33,10,0)="","",VLOOKUP(AF$2,行为概览!$D$3:$M$33,10,0)*IF(玩法行为规划!AE38&gt;0,1,0))</f>
        <v>20</v>
      </c>
      <c r="AG38" s="7">
        <f t="shared" si="4"/>
        <v>60</v>
      </c>
      <c r="AH38" s="7">
        <f t="shared" si="5"/>
        <v>2160</v>
      </c>
      <c r="AI38" s="7">
        <v>0</v>
      </c>
      <c r="AJ38" s="21" t="str">
        <f t="shared" si="3"/>
        <v/>
      </c>
      <c r="AK38" s="7">
        <f t="shared" si="2"/>
        <v>2160</v>
      </c>
      <c r="AL38" s="7">
        <f>SUM($AK$3:AK38)</f>
        <v>23695</v>
      </c>
    </row>
    <row r="39" spans="1:38">
      <c r="A39" s="32">
        <v>37</v>
      </c>
      <c r="B39" s="87">
        <f>升级节奏!F39</f>
        <v>37</v>
      </c>
      <c r="C39" s="7">
        <f>IF(VLOOKUP(C$2,行为概览!$D$3:$M$33,10,0)="","",VLOOKUP(C$2,行为概览!$D$3:$M$33,10,0)*IF(玩法行为规划!B39&gt;0,1,0))</f>
        <v>8</v>
      </c>
      <c r="D39" s="7" t="str">
        <f>IF(VLOOKUP(D$2,行为概览!$D$3:$M$33,10,0)="","",VLOOKUP(D$2,行为概览!$D$3:$M$33,10,0)*IF(玩法行为规划!C39&gt;0,1,0))</f>
        <v/>
      </c>
      <c r="E39" s="7" t="str">
        <f>IF(VLOOKUP(E$2,行为概览!$D$3:$M$33,10,0)="","",VLOOKUP(E$2,行为概览!$D$3:$M$33,10,0)*IF(玩法行为规划!D39&gt;0,1,0))</f>
        <v/>
      </c>
      <c r="F39" s="7">
        <f>IF(VLOOKUP(F$2,行为概览!$D$3:$M$33,10,0)="","",VLOOKUP(F$2,行为概览!$D$3:$M$33,10,0)*IF(玩法行为规划!E39&gt;0,1,0))</f>
        <v>0</v>
      </c>
      <c r="G39" s="7" t="str">
        <f>IF(VLOOKUP(G$2,行为概览!$D$3:$M$33,10,0)="","",VLOOKUP(G$2,行为概览!$D$3:$M$33,10,0)*IF(玩法行为规划!F39&gt;0,1,0))</f>
        <v/>
      </c>
      <c r="H39" s="7" t="str">
        <f>IF(VLOOKUP(H$2,行为概览!$D$3:$M$33,10,0)="","",VLOOKUP(H$2,行为概览!$D$3:$M$33,10,0)*IF(玩法行为规划!G39&gt;0,1,0))</f>
        <v/>
      </c>
      <c r="I39" s="7" t="str">
        <f>IF(VLOOKUP(I$2,行为概览!$D$3:$M$33,10,0)="","",VLOOKUP(I$2,行为概览!$D$3:$M$33,10,0)*IF(玩法行为规划!H39&gt;0,1,0))</f>
        <v/>
      </c>
      <c r="J39" s="7" t="str">
        <f>IF(VLOOKUP(J$2,行为概览!$D$3:$M$33,10,0)="","",VLOOKUP(J$2,行为概览!$D$3:$M$33,10,0)*IF(玩法行为规划!I39&gt;0,1,0))</f>
        <v/>
      </c>
      <c r="K39" s="7">
        <f>IF(VLOOKUP(K$2,行为概览!$D$3:$M$33,10,0)="","",VLOOKUP(K$2,行为概览!$D$3:$M$33,10,0)*IF(玩法行为规划!J39&gt;0,1,0))</f>
        <v>10</v>
      </c>
      <c r="L39" s="7">
        <f>IF(VLOOKUP(L$2,行为概览!$D$3:$M$33,10,0)="","",VLOOKUP(L$2,行为概览!$D$3:$M$33,10,0)*IF(玩法行为规划!K39&gt;0,1,0))</f>
        <v>5</v>
      </c>
      <c r="M39" s="7" t="str">
        <f>IF(VLOOKUP(M$2,行为概览!$D$3:$M$33,10,0)="","",VLOOKUP(M$2,行为概览!$D$3:$M$33,10,0)*IF(玩法行为规划!L39&gt;0,1,0))</f>
        <v/>
      </c>
      <c r="N39" s="7" t="str">
        <f>IF(VLOOKUP(N$2,行为概览!$D$3:$M$33,10,0)="","",VLOOKUP(N$2,行为概览!$D$3:$M$33,10,0)*IF(玩法行为规划!M39&gt;0,1,0))</f>
        <v/>
      </c>
      <c r="O39" s="7" t="str">
        <f>IF(VLOOKUP(O$2,行为概览!$D$3:$M$33,10,0)="","",VLOOKUP(O$2,行为概览!$D$3:$M$33,10,0)*IF(玩法行为规划!N39&gt;0,1,0))</f>
        <v/>
      </c>
      <c r="P39" s="7" t="str">
        <f>IF(VLOOKUP(P$2,行为概览!$D$3:$M$33,10,0)="","",VLOOKUP(P$2,行为概览!$D$3:$M$33,10,0)*IF(玩法行为规划!O39&gt;0,1,0))</f>
        <v/>
      </c>
      <c r="Q39" s="7">
        <f>IF(VLOOKUP(Q$2,行为概览!$D$3:$M$33,10,0)="","",VLOOKUP(Q$2,行为概览!$D$3:$M$33,10,0)*IF(玩法行为规划!P39&gt;0,1,0))</f>
        <v>10</v>
      </c>
      <c r="R39" s="7" t="str">
        <f>IF(VLOOKUP(R$2,行为概览!$D$3:$M$33,10,0)="","",VLOOKUP(R$2,行为概览!$D$3:$M$33,10,0)*IF(玩法行为规划!Q39&gt;0,1,0))</f>
        <v/>
      </c>
      <c r="S39" s="7">
        <f>IF(VLOOKUP(S$2,行为概览!$D$3:$M$33,10,0)="","",VLOOKUP(S$2,行为概览!$D$3:$M$33,10,0)*IF(玩法行为规划!R39&gt;0,1,0))</f>
        <v>3</v>
      </c>
      <c r="T39" s="7" t="str">
        <f>IF(VLOOKUP(T$2,行为概览!$D$3:$M$33,10,0)="","",VLOOKUP(T$2,行为概览!$D$3:$M$33,10,0)*IF(玩法行为规划!S39&gt;0,1,0))</f>
        <v/>
      </c>
      <c r="U39" s="7" t="str">
        <f>IF(VLOOKUP(U$2,行为概览!$D$3:$M$33,10,0)="","",VLOOKUP(U$2,行为概览!$D$3:$M$33,10,0)*IF(玩法行为规划!T39&gt;0,1,0))</f>
        <v/>
      </c>
      <c r="V39" s="7">
        <f>IF(VLOOKUP(V$2,行为概览!$D$3:$M$33,10,0)="","",VLOOKUP(V$2,行为概览!$D$3:$M$33,10,0)*IF(玩法行为规划!U39&gt;0,1,0))</f>
        <v>4</v>
      </c>
      <c r="W39" s="7" t="str">
        <f>IF(VLOOKUP(W$2,行为概览!$D$3:$M$33,10,0)="","",VLOOKUP(W$2,行为概览!$D$3:$M$33,10,0)*IF(玩法行为规划!V39&gt;0,1,0))</f>
        <v/>
      </c>
      <c r="X39" s="7" t="str">
        <f>IF(VLOOKUP(X$2,行为概览!$D$3:$M$33,10,0)="","",VLOOKUP(X$2,行为概览!$D$3:$M$33,10,0)*IF(玩法行为规划!W39&gt;0,1,0))</f>
        <v/>
      </c>
      <c r="Y39" s="7" t="str">
        <f>IF(VLOOKUP(Y$2,行为概览!$D$3:$M$33,10,0)="","",VLOOKUP(Y$2,行为概览!$D$3:$M$33,10,0)*IF(玩法行为规划!X39&gt;0,1,0))</f>
        <v/>
      </c>
      <c r="Z39" s="7">
        <f>IF(VLOOKUP(Z$2,行为概览!$D$3:$M$33,10,0)="","",VLOOKUP(Z$2,行为概览!$D$3:$M$33,10,0)*IF(玩法行为规划!Y39&gt;0,1,0))</f>
        <v>0</v>
      </c>
      <c r="AA39" s="7" t="str">
        <f>IF(VLOOKUP(AA$2,行为概览!$D$3:$M$33,10,0)="","",VLOOKUP(AA$2,行为概览!$D$3:$M$33,10,0)*IF(玩法行为规划!Z39&gt;0,1,0))</f>
        <v/>
      </c>
      <c r="AB39" s="7" t="str">
        <f>IF(VLOOKUP(AB$2,行为概览!$D$3:$M$33,10,0)="","",VLOOKUP(AB$2,行为概览!$D$3:$M$33,10,0)*IF(玩法行为规划!AA39&gt;0,1,0))</f>
        <v/>
      </c>
      <c r="AC39" s="7" t="str">
        <f>IF(VLOOKUP(AC$2,行为概览!$D$3:$M$33,10,0)="","",VLOOKUP(AC$2,行为概览!$D$3:$M$33,10,0)*IF(玩法行为规划!AB39&gt;0,1,0))</f>
        <v/>
      </c>
      <c r="AD39" s="7" t="str">
        <f>IF(VLOOKUP(AD$2,行为概览!$D$3:$M$33,10,0)="","",VLOOKUP(AD$2,行为概览!$D$3:$M$33,10,0)*IF(玩法行为规划!AC39&gt;0,1,0))</f>
        <v/>
      </c>
      <c r="AE39" s="7" t="str">
        <f>IF(VLOOKUP(AE$2,行为概览!$D$3:$M$33,10,0)="","",VLOOKUP(AE$2,行为概览!$D$3:$M$33,10,0)*IF(玩法行为规划!AD39&gt;0,1,0))</f>
        <v/>
      </c>
      <c r="AF39" s="7">
        <f>IF(VLOOKUP(AF$2,行为概览!$D$3:$M$33,10,0)="","",VLOOKUP(AF$2,行为概览!$D$3:$M$33,10,0)*IF(玩法行为规划!AE39&gt;0,1,0))</f>
        <v>20</v>
      </c>
      <c r="AG39" s="7">
        <f t="shared" si="4"/>
        <v>60</v>
      </c>
      <c r="AH39" s="7">
        <f t="shared" si="5"/>
        <v>2220</v>
      </c>
      <c r="AI39" s="7">
        <v>0</v>
      </c>
      <c r="AJ39" s="21" t="str">
        <f t="shared" si="3"/>
        <v/>
      </c>
      <c r="AK39" s="7">
        <f t="shared" si="2"/>
        <v>2220</v>
      </c>
      <c r="AL39" s="7">
        <f>SUM($AK$3:AK39)</f>
        <v>25915</v>
      </c>
    </row>
    <row r="40" spans="1:38">
      <c r="A40" s="32">
        <v>38</v>
      </c>
      <c r="B40" s="87">
        <f>升级节奏!F40</f>
        <v>38</v>
      </c>
      <c r="C40" s="7">
        <f>IF(VLOOKUP(C$2,行为概览!$D$3:$M$33,10,0)="","",VLOOKUP(C$2,行为概览!$D$3:$M$33,10,0)*IF(玩法行为规划!B40&gt;0,1,0))</f>
        <v>8</v>
      </c>
      <c r="D40" s="7" t="str">
        <f>IF(VLOOKUP(D$2,行为概览!$D$3:$M$33,10,0)="","",VLOOKUP(D$2,行为概览!$D$3:$M$33,10,0)*IF(玩法行为规划!C40&gt;0,1,0))</f>
        <v/>
      </c>
      <c r="E40" s="7" t="str">
        <f>IF(VLOOKUP(E$2,行为概览!$D$3:$M$33,10,0)="","",VLOOKUP(E$2,行为概览!$D$3:$M$33,10,0)*IF(玩法行为规划!D40&gt;0,1,0))</f>
        <v/>
      </c>
      <c r="F40" s="7">
        <f>IF(VLOOKUP(F$2,行为概览!$D$3:$M$33,10,0)="","",VLOOKUP(F$2,行为概览!$D$3:$M$33,10,0)*IF(玩法行为规划!E40&gt;0,1,0))</f>
        <v>0</v>
      </c>
      <c r="G40" s="7" t="str">
        <f>IF(VLOOKUP(G$2,行为概览!$D$3:$M$33,10,0)="","",VLOOKUP(G$2,行为概览!$D$3:$M$33,10,0)*IF(玩法行为规划!F40&gt;0,1,0))</f>
        <v/>
      </c>
      <c r="H40" s="7" t="str">
        <f>IF(VLOOKUP(H$2,行为概览!$D$3:$M$33,10,0)="","",VLOOKUP(H$2,行为概览!$D$3:$M$33,10,0)*IF(玩法行为规划!G40&gt;0,1,0))</f>
        <v/>
      </c>
      <c r="I40" s="7" t="str">
        <f>IF(VLOOKUP(I$2,行为概览!$D$3:$M$33,10,0)="","",VLOOKUP(I$2,行为概览!$D$3:$M$33,10,0)*IF(玩法行为规划!H40&gt;0,1,0))</f>
        <v/>
      </c>
      <c r="J40" s="7" t="str">
        <f>IF(VLOOKUP(J$2,行为概览!$D$3:$M$33,10,0)="","",VLOOKUP(J$2,行为概览!$D$3:$M$33,10,0)*IF(玩法行为规划!I40&gt;0,1,0))</f>
        <v/>
      </c>
      <c r="K40" s="7">
        <f>IF(VLOOKUP(K$2,行为概览!$D$3:$M$33,10,0)="","",VLOOKUP(K$2,行为概览!$D$3:$M$33,10,0)*IF(玩法行为规划!J40&gt;0,1,0))</f>
        <v>10</v>
      </c>
      <c r="L40" s="7">
        <f>IF(VLOOKUP(L$2,行为概览!$D$3:$M$33,10,0)="","",VLOOKUP(L$2,行为概览!$D$3:$M$33,10,0)*IF(玩法行为规划!K40&gt;0,1,0))</f>
        <v>5</v>
      </c>
      <c r="M40" s="7" t="str">
        <f>IF(VLOOKUP(M$2,行为概览!$D$3:$M$33,10,0)="","",VLOOKUP(M$2,行为概览!$D$3:$M$33,10,0)*IF(玩法行为规划!L40&gt;0,1,0))</f>
        <v/>
      </c>
      <c r="N40" s="7" t="str">
        <f>IF(VLOOKUP(N$2,行为概览!$D$3:$M$33,10,0)="","",VLOOKUP(N$2,行为概览!$D$3:$M$33,10,0)*IF(玩法行为规划!M40&gt;0,1,0))</f>
        <v/>
      </c>
      <c r="O40" s="7" t="str">
        <f>IF(VLOOKUP(O$2,行为概览!$D$3:$M$33,10,0)="","",VLOOKUP(O$2,行为概览!$D$3:$M$33,10,0)*IF(玩法行为规划!N40&gt;0,1,0))</f>
        <v/>
      </c>
      <c r="P40" s="7" t="str">
        <f>IF(VLOOKUP(P$2,行为概览!$D$3:$M$33,10,0)="","",VLOOKUP(P$2,行为概览!$D$3:$M$33,10,0)*IF(玩法行为规划!O40&gt;0,1,0))</f>
        <v/>
      </c>
      <c r="Q40" s="7">
        <f>IF(VLOOKUP(Q$2,行为概览!$D$3:$M$33,10,0)="","",VLOOKUP(Q$2,行为概览!$D$3:$M$33,10,0)*IF(玩法行为规划!P40&gt;0,1,0))</f>
        <v>10</v>
      </c>
      <c r="R40" s="7" t="str">
        <f>IF(VLOOKUP(R$2,行为概览!$D$3:$M$33,10,0)="","",VLOOKUP(R$2,行为概览!$D$3:$M$33,10,0)*IF(玩法行为规划!Q40&gt;0,1,0))</f>
        <v/>
      </c>
      <c r="S40" s="7">
        <f>IF(VLOOKUP(S$2,行为概览!$D$3:$M$33,10,0)="","",VLOOKUP(S$2,行为概览!$D$3:$M$33,10,0)*IF(玩法行为规划!R40&gt;0,1,0))</f>
        <v>3</v>
      </c>
      <c r="T40" s="7" t="str">
        <f>IF(VLOOKUP(T$2,行为概览!$D$3:$M$33,10,0)="","",VLOOKUP(T$2,行为概览!$D$3:$M$33,10,0)*IF(玩法行为规划!S40&gt;0,1,0))</f>
        <v/>
      </c>
      <c r="U40" s="7" t="str">
        <f>IF(VLOOKUP(U$2,行为概览!$D$3:$M$33,10,0)="","",VLOOKUP(U$2,行为概览!$D$3:$M$33,10,0)*IF(玩法行为规划!T40&gt;0,1,0))</f>
        <v/>
      </c>
      <c r="V40" s="7">
        <f>IF(VLOOKUP(V$2,行为概览!$D$3:$M$33,10,0)="","",VLOOKUP(V$2,行为概览!$D$3:$M$33,10,0)*IF(玩法行为规划!U40&gt;0,1,0))</f>
        <v>4</v>
      </c>
      <c r="W40" s="7" t="str">
        <f>IF(VLOOKUP(W$2,行为概览!$D$3:$M$33,10,0)="","",VLOOKUP(W$2,行为概览!$D$3:$M$33,10,0)*IF(玩法行为规划!V40&gt;0,1,0))</f>
        <v/>
      </c>
      <c r="X40" s="7" t="str">
        <f>IF(VLOOKUP(X$2,行为概览!$D$3:$M$33,10,0)="","",VLOOKUP(X$2,行为概览!$D$3:$M$33,10,0)*IF(玩法行为规划!W40&gt;0,1,0))</f>
        <v/>
      </c>
      <c r="Y40" s="7" t="str">
        <f>IF(VLOOKUP(Y$2,行为概览!$D$3:$M$33,10,0)="","",VLOOKUP(Y$2,行为概览!$D$3:$M$33,10,0)*IF(玩法行为规划!X40&gt;0,1,0))</f>
        <v/>
      </c>
      <c r="Z40" s="7">
        <f>IF(VLOOKUP(Z$2,行为概览!$D$3:$M$33,10,0)="","",VLOOKUP(Z$2,行为概览!$D$3:$M$33,10,0)*IF(玩法行为规划!Y40&gt;0,1,0))</f>
        <v>0</v>
      </c>
      <c r="AA40" s="7" t="str">
        <f>IF(VLOOKUP(AA$2,行为概览!$D$3:$M$33,10,0)="","",VLOOKUP(AA$2,行为概览!$D$3:$M$33,10,0)*IF(玩法行为规划!Z40&gt;0,1,0))</f>
        <v/>
      </c>
      <c r="AB40" s="7" t="str">
        <f>IF(VLOOKUP(AB$2,行为概览!$D$3:$M$33,10,0)="","",VLOOKUP(AB$2,行为概览!$D$3:$M$33,10,0)*IF(玩法行为规划!AA40&gt;0,1,0))</f>
        <v/>
      </c>
      <c r="AC40" s="7" t="str">
        <f>IF(VLOOKUP(AC$2,行为概览!$D$3:$M$33,10,0)="","",VLOOKUP(AC$2,行为概览!$D$3:$M$33,10,0)*IF(玩法行为规划!AB40&gt;0,1,0))</f>
        <v/>
      </c>
      <c r="AD40" s="7" t="str">
        <f>IF(VLOOKUP(AD$2,行为概览!$D$3:$M$33,10,0)="","",VLOOKUP(AD$2,行为概览!$D$3:$M$33,10,0)*IF(玩法行为规划!AC40&gt;0,1,0))</f>
        <v/>
      </c>
      <c r="AE40" s="7" t="str">
        <f>IF(VLOOKUP(AE$2,行为概览!$D$3:$M$33,10,0)="","",VLOOKUP(AE$2,行为概览!$D$3:$M$33,10,0)*IF(玩法行为规划!AD40&gt;0,1,0))</f>
        <v/>
      </c>
      <c r="AF40" s="7">
        <f>IF(VLOOKUP(AF$2,行为概览!$D$3:$M$33,10,0)="","",VLOOKUP(AF$2,行为概览!$D$3:$M$33,10,0)*IF(玩法行为规划!AE40&gt;0,1,0))</f>
        <v>20</v>
      </c>
      <c r="AG40" s="7">
        <f t="shared" si="4"/>
        <v>60</v>
      </c>
      <c r="AH40" s="7">
        <f t="shared" si="5"/>
        <v>2280</v>
      </c>
      <c r="AI40" s="7">
        <v>0</v>
      </c>
      <c r="AJ40" s="21" t="str">
        <f t="shared" si="3"/>
        <v/>
      </c>
      <c r="AK40" s="7">
        <f t="shared" si="2"/>
        <v>2280</v>
      </c>
      <c r="AL40" s="7">
        <f>SUM($AK$3:AK40)</f>
        <v>28195</v>
      </c>
    </row>
    <row r="41" spans="1:38">
      <c r="A41" s="32">
        <v>39</v>
      </c>
      <c r="B41" s="87">
        <f>升级节奏!F41</f>
        <v>39</v>
      </c>
      <c r="C41" s="7">
        <f>IF(VLOOKUP(C$2,行为概览!$D$3:$M$33,10,0)="","",VLOOKUP(C$2,行为概览!$D$3:$M$33,10,0)*IF(玩法行为规划!B41&gt;0,1,0))</f>
        <v>8</v>
      </c>
      <c r="D41" s="7" t="str">
        <f>IF(VLOOKUP(D$2,行为概览!$D$3:$M$33,10,0)="","",VLOOKUP(D$2,行为概览!$D$3:$M$33,10,0)*IF(玩法行为规划!C41&gt;0,1,0))</f>
        <v/>
      </c>
      <c r="E41" s="7" t="str">
        <f>IF(VLOOKUP(E$2,行为概览!$D$3:$M$33,10,0)="","",VLOOKUP(E$2,行为概览!$D$3:$M$33,10,0)*IF(玩法行为规划!D41&gt;0,1,0))</f>
        <v/>
      </c>
      <c r="F41" s="7">
        <f>IF(VLOOKUP(F$2,行为概览!$D$3:$M$33,10,0)="","",VLOOKUP(F$2,行为概览!$D$3:$M$33,10,0)*IF(玩法行为规划!E41&gt;0,1,0))</f>
        <v>0</v>
      </c>
      <c r="G41" s="7" t="str">
        <f>IF(VLOOKUP(G$2,行为概览!$D$3:$M$33,10,0)="","",VLOOKUP(G$2,行为概览!$D$3:$M$33,10,0)*IF(玩法行为规划!F41&gt;0,1,0))</f>
        <v/>
      </c>
      <c r="H41" s="7" t="str">
        <f>IF(VLOOKUP(H$2,行为概览!$D$3:$M$33,10,0)="","",VLOOKUP(H$2,行为概览!$D$3:$M$33,10,0)*IF(玩法行为规划!G41&gt;0,1,0))</f>
        <v/>
      </c>
      <c r="I41" s="7" t="str">
        <f>IF(VLOOKUP(I$2,行为概览!$D$3:$M$33,10,0)="","",VLOOKUP(I$2,行为概览!$D$3:$M$33,10,0)*IF(玩法行为规划!H41&gt;0,1,0))</f>
        <v/>
      </c>
      <c r="J41" s="7" t="str">
        <f>IF(VLOOKUP(J$2,行为概览!$D$3:$M$33,10,0)="","",VLOOKUP(J$2,行为概览!$D$3:$M$33,10,0)*IF(玩法行为规划!I41&gt;0,1,0))</f>
        <v/>
      </c>
      <c r="K41" s="7">
        <f>IF(VLOOKUP(K$2,行为概览!$D$3:$M$33,10,0)="","",VLOOKUP(K$2,行为概览!$D$3:$M$33,10,0)*IF(玩法行为规划!J41&gt;0,1,0))</f>
        <v>10</v>
      </c>
      <c r="L41" s="7">
        <f>IF(VLOOKUP(L$2,行为概览!$D$3:$M$33,10,0)="","",VLOOKUP(L$2,行为概览!$D$3:$M$33,10,0)*IF(玩法行为规划!K41&gt;0,1,0))</f>
        <v>5</v>
      </c>
      <c r="M41" s="7" t="str">
        <f>IF(VLOOKUP(M$2,行为概览!$D$3:$M$33,10,0)="","",VLOOKUP(M$2,行为概览!$D$3:$M$33,10,0)*IF(玩法行为规划!L41&gt;0,1,0))</f>
        <v/>
      </c>
      <c r="N41" s="7" t="str">
        <f>IF(VLOOKUP(N$2,行为概览!$D$3:$M$33,10,0)="","",VLOOKUP(N$2,行为概览!$D$3:$M$33,10,0)*IF(玩法行为规划!M41&gt;0,1,0))</f>
        <v/>
      </c>
      <c r="O41" s="7" t="str">
        <f>IF(VLOOKUP(O$2,行为概览!$D$3:$M$33,10,0)="","",VLOOKUP(O$2,行为概览!$D$3:$M$33,10,0)*IF(玩法行为规划!N41&gt;0,1,0))</f>
        <v/>
      </c>
      <c r="P41" s="7" t="str">
        <f>IF(VLOOKUP(P$2,行为概览!$D$3:$M$33,10,0)="","",VLOOKUP(P$2,行为概览!$D$3:$M$33,10,0)*IF(玩法行为规划!O41&gt;0,1,0))</f>
        <v/>
      </c>
      <c r="Q41" s="7">
        <f>IF(VLOOKUP(Q$2,行为概览!$D$3:$M$33,10,0)="","",VLOOKUP(Q$2,行为概览!$D$3:$M$33,10,0)*IF(玩法行为规划!P41&gt;0,1,0))</f>
        <v>10</v>
      </c>
      <c r="R41" s="7" t="str">
        <f>IF(VLOOKUP(R$2,行为概览!$D$3:$M$33,10,0)="","",VLOOKUP(R$2,行为概览!$D$3:$M$33,10,0)*IF(玩法行为规划!Q41&gt;0,1,0))</f>
        <v/>
      </c>
      <c r="S41" s="7">
        <f>IF(VLOOKUP(S$2,行为概览!$D$3:$M$33,10,0)="","",VLOOKUP(S$2,行为概览!$D$3:$M$33,10,0)*IF(玩法行为规划!R41&gt;0,1,0))</f>
        <v>3</v>
      </c>
      <c r="T41" s="7" t="str">
        <f>IF(VLOOKUP(T$2,行为概览!$D$3:$M$33,10,0)="","",VLOOKUP(T$2,行为概览!$D$3:$M$33,10,0)*IF(玩法行为规划!S41&gt;0,1,0))</f>
        <v/>
      </c>
      <c r="U41" s="7" t="str">
        <f>IF(VLOOKUP(U$2,行为概览!$D$3:$M$33,10,0)="","",VLOOKUP(U$2,行为概览!$D$3:$M$33,10,0)*IF(玩法行为规划!T41&gt;0,1,0))</f>
        <v/>
      </c>
      <c r="V41" s="7">
        <f>IF(VLOOKUP(V$2,行为概览!$D$3:$M$33,10,0)="","",VLOOKUP(V$2,行为概览!$D$3:$M$33,10,0)*IF(玩法行为规划!U41&gt;0,1,0))</f>
        <v>4</v>
      </c>
      <c r="W41" s="7" t="str">
        <f>IF(VLOOKUP(W$2,行为概览!$D$3:$M$33,10,0)="","",VLOOKUP(W$2,行为概览!$D$3:$M$33,10,0)*IF(玩法行为规划!V41&gt;0,1,0))</f>
        <v/>
      </c>
      <c r="X41" s="7" t="str">
        <f>IF(VLOOKUP(X$2,行为概览!$D$3:$M$33,10,0)="","",VLOOKUP(X$2,行为概览!$D$3:$M$33,10,0)*IF(玩法行为规划!W41&gt;0,1,0))</f>
        <v/>
      </c>
      <c r="Y41" s="7" t="str">
        <f>IF(VLOOKUP(Y$2,行为概览!$D$3:$M$33,10,0)="","",VLOOKUP(Y$2,行为概览!$D$3:$M$33,10,0)*IF(玩法行为规划!X41&gt;0,1,0))</f>
        <v/>
      </c>
      <c r="Z41" s="7">
        <f>IF(VLOOKUP(Z$2,行为概览!$D$3:$M$33,10,0)="","",VLOOKUP(Z$2,行为概览!$D$3:$M$33,10,0)*IF(玩法行为规划!Y41&gt;0,1,0))</f>
        <v>0</v>
      </c>
      <c r="AA41" s="7" t="str">
        <f>IF(VLOOKUP(AA$2,行为概览!$D$3:$M$33,10,0)="","",VLOOKUP(AA$2,行为概览!$D$3:$M$33,10,0)*IF(玩法行为规划!Z41&gt;0,1,0))</f>
        <v/>
      </c>
      <c r="AB41" s="7" t="str">
        <f>IF(VLOOKUP(AB$2,行为概览!$D$3:$M$33,10,0)="","",VLOOKUP(AB$2,行为概览!$D$3:$M$33,10,0)*IF(玩法行为规划!AA41&gt;0,1,0))</f>
        <v/>
      </c>
      <c r="AC41" s="7" t="str">
        <f>IF(VLOOKUP(AC$2,行为概览!$D$3:$M$33,10,0)="","",VLOOKUP(AC$2,行为概览!$D$3:$M$33,10,0)*IF(玩法行为规划!AB41&gt;0,1,0))</f>
        <v/>
      </c>
      <c r="AD41" s="7" t="str">
        <f>IF(VLOOKUP(AD$2,行为概览!$D$3:$M$33,10,0)="","",VLOOKUP(AD$2,行为概览!$D$3:$M$33,10,0)*IF(玩法行为规划!AC41&gt;0,1,0))</f>
        <v/>
      </c>
      <c r="AE41" s="7" t="str">
        <f>IF(VLOOKUP(AE$2,行为概览!$D$3:$M$33,10,0)="","",VLOOKUP(AE$2,行为概览!$D$3:$M$33,10,0)*IF(玩法行为规划!AD41&gt;0,1,0))</f>
        <v/>
      </c>
      <c r="AF41" s="7">
        <f>IF(VLOOKUP(AF$2,行为概览!$D$3:$M$33,10,0)="","",VLOOKUP(AF$2,行为概览!$D$3:$M$33,10,0)*IF(玩法行为规划!AE41&gt;0,1,0))</f>
        <v>20</v>
      </c>
      <c r="AG41" s="7">
        <f t="shared" si="4"/>
        <v>60</v>
      </c>
      <c r="AH41" s="7">
        <f t="shared" si="5"/>
        <v>2340</v>
      </c>
      <c r="AI41" s="7">
        <v>0</v>
      </c>
      <c r="AJ41" s="21" t="str">
        <f t="shared" si="3"/>
        <v/>
      </c>
      <c r="AK41" s="7">
        <f t="shared" si="2"/>
        <v>2340</v>
      </c>
      <c r="AL41" s="7">
        <f>SUM($AK$3:AK41)</f>
        <v>30535</v>
      </c>
    </row>
    <row r="42" spans="1:38">
      <c r="A42" s="32">
        <v>40</v>
      </c>
      <c r="B42" s="87">
        <f>升级节奏!F42</f>
        <v>40</v>
      </c>
      <c r="C42" s="7">
        <f>IF(VLOOKUP(C$2,行为概览!$D$3:$M$33,10,0)="","",VLOOKUP(C$2,行为概览!$D$3:$M$33,10,0)*IF(玩法行为规划!B42&gt;0,1,0))</f>
        <v>8</v>
      </c>
      <c r="D42" s="7" t="str">
        <f>IF(VLOOKUP(D$2,行为概览!$D$3:$M$33,10,0)="","",VLOOKUP(D$2,行为概览!$D$3:$M$33,10,0)*IF(玩法行为规划!C42&gt;0,1,0))</f>
        <v/>
      </c>
      <c r="E42" s="7" t="str">
        <f>IF(VLOOKUP(E$2,行为概览!$D$3:$M$33,10,0)="","",VLOOKUP(E$2,行为概览!$D$3:$M$33,10,0)*IF(玩法行为规划!D42&gt;0,1,0))</f>
        <v/>
      </c>
      <c r="F42" s="7">
        <f>IF(VLOOKUP(F$2,行为概览!$D$3:$M$33,10,0)="","",VLOOKUP(F$2,行为概览!$D$3:$M$33,10,0)*IF(玩法行为规划!E42&gt;0,1,0))</f>
        <v>10</v>
      </c>
      <c r="G42" s="7" t="str">
        <f>IF(VLOOKUP(G$2,行为概览!$D$3:$M$33,10,0)="","",VLOOKUP(G$2,行为概览!$D$3:$M$33,10,0)*IF(玩法行为规划!F42&gt;0,1,0))</f>
        <v/>
      </c>
      <c r="H42" s="7" t="str">
        <f>IF(VLOOKUP(H$2,行为概览!$D$3:$M$33,10,0)="","",VLOOKUP(H$2,行为概览!$D$3:$M$33,10,0)*IF(玩法行为规划!G42&gt;0,1,0))</f>
        <v/>
      </c>
      <c r="I42" s="7" t="str">
        <f>IF(VLOOKUP(I$2,行为概览!$D$3:$M$33,10,0)="","",VLOOKUP(I$2,行为概览!$D$3:$M$33,10,0)*IF(玩法行为规划!H42&gt;0,1,0))</f>
        <v/>
      </c>
      <c r="J42" s="7" t="str">
        <f>IF(VLOOKUP(J$2,行为概览!$D$3:$M$33,10,0)="","",VLOOKUP(J$2,行为概览!$D$3:$M$33,10,0)*IF(玩法行为规划!I42&gt;0,1,0))</f>
        <v/>
      </c>
      <c r="K42" s="7">
        <f>IF(VLOOKUP(K$2,行为概览!$D$3:$M$33,10,0)="","",VLOOKUP(K$2,行为概览!$D$3:$M$33,10,0)*IF(玩法行为规划!J42&gt;0,1,0))</f>
        <v>10</v>
      </c>
      <c r="L42" s="7">
        <f>IF(VLOOKUP(L$2,行为概览!$D$3:$M$33,10,0)="","",VLOOKUP(L$2,行为概览!$D$3:$M$33,10,0)*IF(玩法行为规划!K42&gt;0,1,0))</f>
        <v>5</v>
      </c>
      <c r="M42" s="7" t="str">
        <f>IF(VLOOKUP(M$2,行为概览!$D$3:$M$33,10,0)="","",VLOOKUP(M$2,行为概览!$D$3:$M$33,10,0)*IF(玩法行为规划!L42&gt;0,1,0))</f>
        <v/>
      </c>
      <c r="N42" s="7" t="str">
        <f>IF(VLOOKUP(N$2,行为概览!$D$3:$M$33,10,0)="","",VLOOKUP(N$2,行为概览!$D$3:$M$33,10,0)*IF(玩法行为规划!M42&gt;0,1,0))</f>
        <v/>
      </c>
      <c r="O42" s="7" t="str">
        <f>IF(VLOOKUP(O$2,行为概览!$D$3:$M$33,10,0)="","",VLOOKUP(O$2,行为概览!$D$3:$M$33,10,0)*IF(玩法行为规划!N42&gt;0,1,0))</f>
        <v/>
      </c>
      <c r="P42" s="7" t="str">
        <f>IF(VLOOKUP(P$2,行为概览!$D$3:$M$33,10,0)="","",VLOOKUP(P$2,行为概览!$D$3:$M$33,10,0)*IF(玩法行为规划!O42&gt;0,1,0))</f>
        <v/>
      </c>
      <c r="Q42" s="7">
        <f>IF(VLOOKUP(Q$2,行为概览!$D$3:$M$33,10,0)="","",VLOOKUP(Q$2,行为概览!$D$3:$M$33,10,0)*IF(玩法行为规划!P42&gt;0,1,0))</f>
        <v>10</v>
      </c>
      <c r="R42" s="7" t="str">
        <f>IF(VLOOKUP(R$2,行为概览!$D$3:$M$33,10,0)="","",VLOOKUP(R$2,行为概览!$D$3:$M$33,10,0)*IF(玩法行为规划!Q42&gt;0,1,0))</f>
        <v/>
      </c>
      <c r="S42" s="7">
        <f>IF(VLOOKUP(S$2,行为概览!$D$3:$M$33,10,0)="","",VLOOKUP(S$2,行为概览!$D$3:$M$33,10,0)*IF(玩法行为规划!R42&gt;0,1,0))</f>
        <v>3</v>
      </c>
      <c r="T42" s="7" t="str">
        <f>IF(VLOOKUP(T$2,行为概览!$D$3:$M$33,10,0)="","",VLOOKUP(T$2,行为概览!$D$3:$M$33,10,0)*IF(玩法行为规划!S42&gt;0,1,0))</f>
        <v/>
      </c>
      <c r="U42" s="7" t="str">
        <f>IF(VLOOKUP(U$2,行为概览!$D$3:$M$33,10,0)="","",VLOOKUP(U$2,行为概览!$D$3:$M$33,10,0)*IF(玩法行为规划!T42&gt;0,1,0))</f>
        <v/>
      </c>
      <c r="V42" s="7">
        <f>IF(VLOOKUP(V$2,行为概览!$D$3:$M$33,10,0)="","",VLOOKUP(V$2,行为概览!$D$3:$M$33,10,0)*IF(玩法行为规划!U42&gt;0,1,0))</f>
        <v>4</v>
      </c>
      <c r="W42" s="7" t="str">
        <f>IF(VLOOKUP(W$2,行为概览!$D$3:$M$33,10,0)="","",VLOOKUP(W$2,行为概览!$D$3:$M$33,10,0)*IF(玩法行为规划!V42&gt;0,1,0))</f>
        <v/>
      </c>
      <c r="X42" s="7" t="str">
        <f>IF(VLOOKUP(X$2,行为概览!$D$3:$M$33,10,0)="","",VLOOKUP(X$2,行为概览!$D$3:$M$33,10,0)*IF(玩法行为规划!W42&gt;0,1,0))</f>
        <v/>
      </c>
      <c r="Y42" s="7" t="str">
        <f>IF(VLOOKUP(Y$2,行为概览!$D$3:$M$33,10,0)="","",VLOOKUP(Y$2,行为概览!$D$3:$M$33,10,0)*IF(玩法行为规划!X42&gt;0,1,0))</f>
        <v/>
      </c>
      <c r="Z42" s="7">
        <f>IF(VLOOKUP(Z$2,行为概览!$D$3:$M$33,10,0)="","",VLOOKUP(Z$2,行为概览!$D$3:$M$33,10,0)*IF(玩法行为规划!Y42&gt;0,1,0))</f>
        <v>10</v>
      </c>
      <c r="AA42" s="7" t="str">
        <f>IF(VLOOKUP(AA$2,行为概览!$D$3:$M$33,10,0)="","",VLOOKUP(AA$2,行为概览!$D$3:$M$33,10,0)*IF(玩法行为规划!Z42&gt;0,1,0))</f>
        <v/>
      </c>
      <c r="AB42" s="7" t="str">
        <f>IF(VLOOKUP(AB$2,行为概览!$D$3:$M$33,10,0)="","",VLOOKUP(AB$2,行为概览!$D$3:$M$33,10,0)*IF(玩法行为规划!AA42&gt;0,1,0))</f>
        <v/>
      </c>
      <c r="AC42" s="7" t="str">
        <f>IF(VLOOKUP(AC$2,行为概览!$D$3:$M$33,10,0)="","",VLOOKUP(AC$2,行为概览!$D$3:$M$33,10,0)*IF(玩法行为规划!AB42&gt;0,1,0))</f>
        <v/>
      </c>
      <c r="AD42" s="7" t="str">
        <f>IF(VLOOKUP(AD$2,行为概览!$D$3:$M$33,10,0)="","",VLOOKUP(AD$2,行为概览!$D$3:$M$33,10,0)*IF(玩法行为规划!AC42&gt;0,1,0))</f>
        <v/>
      </c>
      <c r="AE42" s="7" t="str">
        <f>IF(VLOOKUP(AE$2,行为概览!$D$3:$M$33,10,0)="","",VLOOKUP(AE$2,行为概览!$D$3:$M$33,10,0)*IF(玩法行为规划!AD42&gt;0,1,0))</f>
        <v/>
      </c>
      <c r="AF42" s="7">
        <f>IF(VLOOKUP(AF$2,行为概览!$D$3:$M$33,10,0)="","",VLOOKUP(AF$2,行为概览!$D$3:$M$33,10,0)*IF(玩法行为规划!AE42&gt;0,1,0))</f>
        <v>20</v>
      </c>
      <c r="AG42" s="7">
        <f t="shared" si="4"/>
        <v>80</v>
      </c>
      <c r="AH42" s="7">
        <f t="shared" si="5"/>
        <v>3200</v>
      </c>
      <c r="AI42" s="7">
        <v>0</v>
      </c>
      <c r="AJ42" s="21">
        <f t="shared" si="3"/>
        <v>0</v>
      </c>
      <c r="AK42" s="7">
        <f t="shared" si="2"/>
        <v>3200</v>
      </c>
      <c r="AL42" s="7">
        <f>SUM($AK$3:AK42)</f>
        <v>33735</v>
      </c>
    </row>
    <row r="43" spans="1:38">
      <c r="A43" s="32">
        <v>41</v>
      </c>
      <c r="B43" s="87">
        <f>升级节奏!F43</f>
        <v>41</v>
      </c>
      <c r="C43" s="7">
        <f>IF(VLOOKUP(C$2,行为概览!$D$3:$M$33,10,0)="","",VLOOKUP(C$2,行为概览!$D$3:$M$33,10,0)*IF(玩法行为规划!B43&gt;0,1,0))</f>
        <v>8</v>
      </c>
      <c r="D43" s="7" t="str">
        <f>IF(VLOOKUP(D$2,行为概览!$D$3:$M$33,10,0)="","",VLOOKUP(D$2,行为概览!$D$3:$M$33,10,0)*IF(玩法行为规划!C43&gt;0,1,0))</f>
        <v/>
      </c>
      <c r="E43" s="7" t="str">
        <f>IF(VLOOKUP(E$2,行为概览!$D$3:$M$33,10,0)="","",VLOOKUP(E$2,行为概览!$D$3:$M$33,10,0)*IF(玩法行为规划!D43&gt;0,1,0))</f>
        <v/>
      </c>
      <c r="F43" s="7">
        <f>IF(VLOOKUP(F$2,行为概览!$D$3:$M$33,10,0)="","",VLOOKUP(F$2,行为概览!$D$3:$M$33,10,0)*IF(玩法行为规划!E43&gt;0,1,0))</f>
        <v>10</v>
      </c>
      <c r="G43" s="7" t="str">
        <f>IF(VLOOKUP(G$2,行为概览!$D$3:$M$33,10,0)="","",VLOOKUP(G$2,行为概览!$D$3:$M$33,10,0)*IF(玩法行为规划!F43&gt;0,1,0))</f>
        <v/>
      </c>
      <c r="H43" s="7" t="str">
        <f>IF(VLOOKUP(H$2,行为概览!$D$3:$M$33,10,0)="","",VLOOKUP(H$2,行为概览!$D$3:$M$33,10,0)*IF(玩法行为规划!G43&gt;0,1,0))</f>
        <v/>
      </c>
      <c r="I43" s="7" t="str">
        <f>IF(VLOOKUP(I$2,行为概览!$D$3:$M$33,10,0)="","",VLOOKUP(I$2,行为概览!$D$3:$M$33,10,0)*IF(玩法行为规划!H43&gt;0,1,0))</f>
        <v/>
      </c>
      <c r="J43" s="7" t="str">
        <f>IF(VLOOKUP(J$2,行为概览!$D$3:$M$33,10,0)="","",VLOOKUP(J$2,行为概览!$D$3:$M$33,10,0)*IF(玩法行为规划!I43&gt;0,1,0))</f>
        <v/>
      </c>
      <c r="K43" s="7">
        <f>IF(VLOOKUP(K$2,行为概览!$D$3:$M$33,10,0)="","",VLOOKUP(K$2,行为概览!$D$3:$M$33,10,0)*IF(玩法行为规划!J43&gt;0,1,0))</f>
        <v>10</v>
      </c>
      <c r="L43" s="7">
        <f>IF(VLOOKUP(L$2,行为概览!$D$3:$M$33,10,0)="","",VLOOKUP(L$2,行为概览!$D$3:$M$33,10,0)*IF(玩法行为规划!K43&gt;0,1,0))</f>
        <v>5</v>
      </c>
      <c r="M43" s="7" t="str">
        <f>IF(VLOOKUP(M$2,行为概览!$D$3:$M$33,10,0)="","",VLOOKUP(M$2,行为概览!$D$3:$M$33,10,0)*IF(玩法行为规划!L43&gt;0,1,0))</f>
        <v/>
      </c>
      <c r="N43" s="7" t="str">
        <f>IF(VLOOKUP(N$2,行为概览!$D$3:$M$33,10,0)="","",VLOOKUP(N$2,行为概览!$D$3:$M$33,10,0)*IF(玩法行为规划!M43&gt;0,1,0))</f>
        <v/>
      </c>
      <c r="O43" s="7" t="str">
        <f>IF(VLOOKUP(O$2,行为概览!$D$3:$M$33,10,0)="","",VLOOKUP(O$2,行为概览!$D$3:$M$33,10,0)*IF(玩法行为规划!N43&gt;0,1,0))</f>
        <v/>
      </c>
      <c r="P43" s="7" t="str">
        <f>IF(VLOOKUP(P$2,行为概览!$D$3:$M$33,10,0)="","",VLOOKUP(P$2,行为概览!$D$3:$M$33,10,0)*IF(玩法行为规划!O43&gt;0,1,0))</f>
        <v/>
      </c>
      <c r="Q43" s="7">
        <f>IF(VLOOKUP(Q$2,行为概览!$D$3:$M$33,10,0)="","",VLOOKUP(Q$2,行为概览!$D$3:$M$33,10,0)*IF(玩法行为规划!P43&gt;0,1,0))</f>
        <v>10</v>
      </c>
      <c r="R43" s="7" t="str">
        <f>IF(VLOOKUP(R$2,行为概览!$D$3:$M$33,10,0)="","",VLOOKUP(R$2,行为概览!$D$3:$M$33,10,0)*IF(玩法行为规划!Q43&gt;0,1,0))</f>
        <v/>
      </c>
      <c r="S43" s="7">
        <f>IF(VLOOKUP(S$2,行为概览!$D$3:$M$33,10,0)="","",VLOOKUP(S$2,行为概览!$D$3:$M$33,10,0)*IF(玩法行为规划!R43&gt;0,1,0))</f>
        <v>3</v>
      </c>
      <c r="T43" s="7" t="str">
        <f>IF(VLOOKUP(T$2,行为概览!$D$3:$M$33,10,0)="","",VLOOKUP(T$2,行为概览!$D$3:$M$33,10,0)*IF(玩法行为规划!S43&gt;0,1,0))</f>
        <v/>
      </c>
      <c r="U43" s="7" t="str">
        <f>IF(VLOOKUP(U$2,行为概览!$D$3:$M$33,10,0)="","",VLOOKUP(U$2,行为概览!$D$3:$M$33,10,0)*IF(玩法行为规划!T43&gt;0,1,0))</f>
        <v/>
      </c>
      <c r="V43" s="7">
        <f>IF(VLOOKUP(V$2,行为概览!$D$3:$M$33,10,0)="","",VLOOKUP(V$2,行为概览!$D$3:$M$33,10,0)*IF(玩法行为规划!U43&gt;0,1,0))</f>
        <v>4</v>
      </c>
      <c r="W43" s="7" t="str">
        <f>IF(VLOOKUP(W$2,行为概览!$D$3:$M$33,10,0)="","",VLOOKUP(W$2,行为概览!$D$3:$M$33,10,0)*IF(玩法行为规划!V43&gt;0,1,0))</f>
        <v/>
      </c>
      <c r="X43" s="7" t="str">
        <f>IF(VLOOKUP(X$2,行为概览!$D$3:$M$33,10,0)="","",VLOOKUP(X$2,行为概览!$D$3:$M$33,10,0)*IF(玩法行为规划!W43&gt;0,1,0))</f>
        <v/>
      </c>
      <c r="Y43" s="7" t="str">
        <f>IF(VLOOKUP(Y$2,行为概览!$D$3:$M$33,10,0)="","",VLOOKUP(Y$2,行为概览!$D$3:$M$33,10,0)*IF(玩法行为规划!X43&gt;0,1,0))</f>
        <v/>
      </c>
      <c r="Z43" s="7">
        <f>IF(VLOOKUP(Z$2,行为概览!$D$3:$M$33,10,0)="","",VLOOKUP(Z$2,行为概览!$D$3:$M$33,10,0)*IF(玩法行为规划!Y43&gt;0,1,0))</f>
        <v>10</v>
      </c>
      <c r="AA43" s="7" t="str">
        <f>IF(VLOOKUP(AA$2,行为概览!$D$3:$M$33,10,0)="","",VLOOKUP(AA$2,行为概览!$D$3:$M$33,10,0)*IF(玩法行为规划!Z43&gt;0,1,0))</f>
        <v/>
      </c>
      <c r="AB43" s="7" t="str">
        <f>IF(VLOOKUP(AB$2,行为概览!$D$3:$M$33,10,0)="","",VLOOKUP(AB$2,行为概览!$D$3:$M$33,10,0)*IF(玩法行为规划!AA43&gt;0,1,0))</f>
        <v/>
      </c>
      <c r="AC43" s="7" t="str">
        <f>IF(VLOOKUP(AC$2,行为概览!$D$3:$M$33,10,0)="","",VLOOKUP(AC$2,行为概览!$D$3:$M$33,10,0)*IF(玩法行为规划!AB43&gt;0,1,0))</f>
        <v/>
      </c>
      <c r="AD43" s="7" t="str">
        <f>IF(VLOOKUP(AD$2,行为概览!$D$3:$M$33,10,0)="","",VLOOKUP(AD$2,行为概览!$D$3:$M$33,10,0)*IF(玩法行为规划!AC43&gt;0,1,0))</f>
        <v/>
      </c>
      <c r="AE43" s="7" t="str">
        <f>IF(VLOOKUP(AE$2,行为概览!$D$3:$M$33,10,0)="","",VLOOKUP(AE$2,行为概览!$D$3:$M$33,10,0)*IF(玩法行为规划!AD43&gt;0,1,0))</f>
        <v/>
      </c>
      <c r="AF43" s="7">
        <f>IF(VLOOKUP(AF$2,行为概览!$D$3:$M$33,10,0)="","",VLOOKUP(AF$2,行为概览!$D$3:$M$33,10,0)*IF(玩法行为规划!AE43&gt;0,1,0))</f>
        <v>20</v>
      </c>
      <c r="AG43" s="7">
        <f t="shared" si="4"/>
        <v>80</v>
      </c>
      <c r="AH43" s="7">
        <f t="shared" si="5"/>
        <v>3280</v>
      </c>
      <c r="AI43" s="7">
        <v>0</v>
      </c>
      <c r="AJ43" s="21" t="str">
        <f t="shared" si="3"/>
        <v/>
      </c>
      <c r="AK43" s="7">
        <f t="shared" si="2"/>
        <v>3280</v>
      </c>
      <c r="AL43" s="7">
        <f>SUM($AK$3:AK43)</f>
        <v>37015</v>
      </c>
    </row>
    <row r="44" spans="1:38">
      <c r="A44" s="32">
        <v>42</v>
      </c>
      <c r="B44" s="87">
        <f>升级节奏!F44</f>
        <v>42</v>
      </c>
      <c r="C44" s="7">
        <f>IF(VLOOKUP(C$2,行为概览!$D$3:$M$33,10,0)="","",VLOOKUP(C$2,行为概览!$D$3:$M$33,10,0)*IF(玩法行为规划!B44&gt;0,1,0))</f>
        <v>8</v>
      </c>
      <c r="D44" s="7" t="str">
        <f>IF(VLOOKUP(D$2,行为概览!$D$3:$M$33,10,0)="","",VLOOKUP(D$2,行为概览!$D$3:$M$33,10,0)*IF(玩法行为规划!C44&gt;0,1,0))</f>
        <v/>
      </c>
      <c r="E44" s="7" t="str">
        <f>IF(VLOOKUP(E$2,行为概览!$D$3:$M$33,10,0)="","",VLOOKUP(E$2,行为概览!$D$3:$M$33,10,0)*IF(玩法行为规划!D44&gt;0,1,0))</f>
        <v/>
      </c>
      <c r="F44" s="7">
        <f>IF(VLOOKUP(F$2,行为概览!$D$3:$M$33,10,0)="","",VLOOKUP(F$2,行为概览!$D$3:$M$33,10,0)*IF(玩法行为规划!E44&gt;0,1,0))</f>
        <v>10</v>
      </c>
      <c r="G44" s="7" t="str">
        <f>IF(VLOOKUP(G$2,行为概览!$D$3:$M$33,10,0)="","",VLOOKUP(G$2,行为概览!$D$3:$M$33,10,0)*IF(玩法行为规划!F44&gt;0,1,0))</f>
        <v/>
      </c>
      <c r="H44" s="7" t="str">
        <f>IF(VLOOKUP(H$2,行为概览!$D$3:$M$33,10,0)="","",VLOOKUP(H$2,行为概览!$D$3:$M$33,10,0)*IF(玩法行为规划!G44&gt;0,1,0))</f>
        <v/>
      </c>
      <c r="I44" s="7" t="str">
        <f>IF(VLOOKUP(I$2,行为概览!$D$3:$M$33,10,0)="","",VLOOKUP(I$2,行为概览!$D$3:$M$33,10,0)*IF(玩法行为规划!H44&gt;0,1,0))</f>
        <v/>
      </c>
      <c r="J44" s="7" t="str">
        <f>IF(VLOOKUP(J$2,行为概览!$D$3:$M$33,10,0)="","",VLOOKUP(J$2,行为概览!$D$3:$M$33,10,0)*IF(玩法行为规划!I44&gt;0,1,0))</f>
        <v/>
      </c>
      <c r="K44" s="7">
        <f>IF(VLOOKUP(K$2,行为概览!$D$3:$M$33,10,0)="","",VLOOKUP(K$2,行为概览!$D$3:$M$33,10,0)*IF(玩法行为规划!J44&gt;0,1,0))</f>
        <v>10</v>
      </c>
      <c r="L44" s="7">
        <f>IF(VLOOKUP(L$2,行为概览!$D$3:$M$33,10,0)="","",VLOOKUP(L$2,行为概览!$D$3:$M$33,10,0)*IF(玩法行为规划!K44&gt;0,1,0))</f>
        <v>5</v>
      </c>
      <c r="M44" s="7" t="str">
        <f>IF(VLOOKUP(M$2,行为概览!$D$3:$M$33,10,0)="","",VLOOKUP(M$2,行为概览!$D$3:$M$33,10,0)*IF(玩法行为规划!L44&gt;0,1,0))</f>
        <v/>
      </c>
      <c r="N44" s="7" t="str">
        <f>IF(VLOOKUP(N$2,行为概览!$D$3:$M$33,10,0)="","",VLOOKUP(N$2,行为概览!$D$3:$M$33,10,0)*IF(玩法行为规划!M44&gt;0,1,0))</f>
        <v/>
      </c>
      <c r="O44" s="7" t="str">
        <f>IF(VLOOKUP(O$2,行为概览!$D$3:$M$33,10,0)="","",VLOOKUP(O$2,行为概览!$D$3:$M$33,10,0)*IF(玩法行为规划!N44&gt;0,1,0))</f>
        <v/>
      </c>
      <c r="P44" s="7" t="str">
        <f>IF(VLOOKUP(P$2,行为概览!$D$3:$M$33,10,0)="","",VLOOKUP(P$2,行为概览!$D$3:$M$33,10,0)*IF(玩法行为规划!O44&gt;0,1,0))</f>
        <v/>
      </c>
      <c r="Q44" s="7">
        <f>IF(VLOOKUP(Q$2,行为概览!$D$3:$M$33,10,0)="","",VLOOKUP(Q$2,行为概览!$D$3:$M$33,10,0)*IF(玩法行为规划!P44&gt;0,1,0))</f>
        <v>10</v>
      </c>
      <c r="R44" s="7" t="str">
        <f>IF(VLOOKUP(R$2,行为概览!$D$3:$M$33,10,0)="","",VLOOKUP(R$2,行为概览!$D$3:$M$33,10,0)*IF(玩法行为规划!Q44&gt;0,1,0))</f>
        <v/>
      </c>
      <c r="S44" s="7">
        <f>IF(VLOOKUP(S$2,行为概览!$D$3:$M$33,10,0)="","",VLOOKUP(S$2,行为概览!$D$3:$M$33,10,0)*IF(玩法行为规划!R44&gt;0,1,0))</f>
        <v>3</v>
      </c>
      <c r="T44" s="7" t="str">
        <f>IF(VLOOKUP(T$2,行为概览!$D$3:$M$33,10,0)="","",VLOOKUP(T$2,行为概览!$D$3:$M$33,10,0)*IF(玩法行为规划!S44&gt;0,1,0))</f>
        <v/>
      </c>
      <c r="U44" s="7" t="str">
        <f>IF(VLOOKUP(U$2,行为概览!$D$3:$M$33,10,0)="","",VLOOKUP(U$2,行为概览!$D$3:$M$33,10,0)*IF(玩法行为规划!T44&gt;0,1,0))</f>
        <v/>
      </c>
      <c r="V44" s="7">
        <f>IF(VLOOKUP(V$2,行为概览!$D$3:$M$33,10,0)="","",VLOOKUP(V$2,行为概览!$D$3:$M$33,10,0)*IF(玩法行为规划!U44&gt;0,1,0))</f>
        <v>4</v>
      </c>
      <c r="W44" s="7" t="str">
        <f>IF(VLOOKUP(W$2,行为概览!$D$3:$M$33,10,0)="","",VLOOKUP(W$2,行为概览!$D$3:$M$33,10,0)*IF(玩法行为规划!V44&gt;0,1,0))</f>
        <v/>
      </c>
      <c r="X44" s="7" t="str">
        <f>IF(VLOOKUP(X$2,行为概览!$D$3:$M$33,10,0)="","",VLOOKUP(X$2,行为概览!$D$3:$M$33,10,0)*IF(玩法行为规划!W44&gt;0,1,0))</f>
        <v/>
      </c>
      <c r="Y44" s="7" t="str">
        <f>IF(VLOOKUP(Y$2,行为概览!$D$3:$M$33,10,0)="","",VLOOKUP(Y$2,行为概览!$D$3:$M$33,10,0)*IF(玩法行为规划!X44&gt;0,1,0))</f>
        <v/>
      </c>
      <c r="Z44" s="7">
        <f>IF(VLOOKUP(Z$2,行为概览!$D$3:$M$33,10,0)="","",VLOOKUP(Z$2,行为概览!$D$3:$M$33,10,0)*IF(玩法行为规划!Y44&gt;0,1,0))</f>
        <v>10</v>
      </c>
      <c r="AA44" s="7" t="str">
        <f>IF(VLOOKUP(AA$2,行为概览!$D$3:$M$33,10,0)="","",VLOOKUP(AA$2,行为概览!$D$3:$M$33,10,0)*IF(玩法行为规划!Z44&gt;0,1,0))</f>
        <v/>
      </c>
      <c r="AB44" s="7" t="str">
        <f>IF(VLOOKUP(AB$2,行为概览!$D$3:$M$33,10,0)="","",VLOOKUP(AB$2,行为概览!$D$3:$M$33,10,0)*IF(玩法行为规划!AA44&gt;0,1,0))</f>
        <v/>
      </c>
      <c r="AC44" s="7" t="str">
        <f>IF(VLOOKUP(AC$2,行为概览!$D$3:$M$33,10,0)="","",VLOOKUP(AC$2,行为概览!$D$3:$M$33,10,0)*IF(玩法行为规划!AB44&gt;0,1,0))</f>
        <v/>
      </c>
      <c r="AD44" s="7" t="str">
        <f>IF(VLOOKUP(AD$2,行为概览!$D$3:$M$33,10,0)="","",VLOOKUP(AD$2,行为概览!$D$3:$M$33,10,0)*IF(玩法行为规划!AC44&gt;0,1,0))</f>
        <v/>
      </c>
      <c r="AE44" s="7" t="str">
        <f>IF(VLOOKUP(AE$2,行为概览!$D$3:$M$33,10,0)="","",VLOOKUP(AE$2,行为概览!$D$3:$M$33,10,0)*IF(玩法行为规划!AD44&gt;0,1,0))</f>
        <v/>
      </c>
      <c r="AF44" s="7">
        <f>IF(VLOOKUP(AF$2,行为概览!$D$3:$M$33,10,0)="","",VLOOKUP(AF$2,行为概览!$D$3:$M$33,10,0)*IF(玩法行为规划!AE44&gt;0,1,0))</f>
        <v>20</v>
      </c>
      <c r="AG44" s="7">
        <f t="shared" si="4"/>
        <v>80</v>
      </c>
      <c r="AH44" s="7">
        <f t="shared" si="5"/>
        <v>3360</v>
      </c>
      <c r="AI44" s="7">
        <v>0</v>
      </c>
      <c r="AJ44" s="21" t="str">
        <f t="shared" ref="AJ44:AJ75" si="6">IF(--RIGHT(A44,1)=0,SUM(AI44:AI53),"")</f>
        <v/>
      </c>
      <c r="AK44" s="7">
        <f t="shared" si="2"/>
        <v>3360</v>
      </c>
      <c r="AL44" s="7">
        <f>SUM($AK$3:AK44)</f>
        <v>40375</v>
      </c>
    </row>
    <row r="45" spans="1:38">
      <c r="A45" s="32">
        <v>43</v>
      </c>
      <c r="B45" s="87">
        <f>升级节奏!F45</f>
        <v>43</v>
      </c>
      <c r="C45" s="7">
        <f>IF(VLOOKUP(C$2,行为概览!$D$3:$M$33,10,0)="","",VLOOKUP(C$2,行为概览!$D$3:$M$33,10,0)*IF(玩法行为规划!B45&gt;0,1,0))</f>
        <v>8</v>
      </c>
      <c r="D45" s="7" t="str">
        <f>IF(VLOOKUP(D$2,行为概览!$D$3:$M$33,10,0)="","",VLOOKUP(D$2,行为概览!$D$3:$M$33,10,0)*IF(玩法行为规划!C45&gt;0,1,0))</f>
        <v/>
      </c>
      <c r="E45" s="7" t="str">
        <f>IF(VLOOKUP(E$2,行为概览!$D$3:$M$33,10,0)="","",VLOOKUP(E$2,行为概览!$D$3:$M$33,10,0)*IF(玩法行为规划!D45&gt;0,1,0))</f>
        <v/>
      </c>
      <c r="F45" s="7">
        <f>IF(VLOOKUP(F$2,行为概览!$D$3:$M$33,10,0)="","",VLOOKUP(F$2,行为概览!$D$3:$M$33,10,0)*IF(玩法行为规划!E45&gt;0,1,0))</f>
        <v>10</v>
      </c>
      <c r="G45" s="7" t="str">
        <f>IF(VLOOKUP(G$2,行为概览!$D$3:$M$33,10,0)="","",VLOOKUP(G$2,行为概览!$D$3:$M$33,10,0)*IF(玩法行为规划!F45&gt;0,1,0))</f>
        <v/>
      </c>
      <c r="H45" s="7" t="str">
        <f>IF(VLOOKUP(H$2,行为概览!$D$3:$M$33,10,0)="","",VLOOKUP(H$2,行为概览!$D$3:$M$33,10,0)*IF(玩法行为规划!G45&gt;0,1,0))</f>
        <v/>
      </c>
      <c r="I45" s="7" t="str">
        <f>IF(VLOOKUP(I$2,行为概览!$D$3:$M$33,10,0)="","",VLOOKUP(I$2,行为概览!$D$3:$M$33,10,0)*IF(玩法行为规划!H45&gt;0,1,0))</f>
        <v/>
      </c>
      <c r="J45" s="7" t="str">
        <f>IF(VLOOKUP(J$2,行为概览!$D$3:$M$33,10,0)="","",VLOOKUP(J$2,行为概览!$D$3:$M$33,10,0)*IF(玩法行为规划!I45&gt;0,1,0))</f>
        <v/>
      </c>
      <c r="K45" s="7">
        <f>IF(VLOOKUP(K$2,行为概览!$D$3:$M$33,10,0)="","",VLOOKUP(K$2,行为概览!$D$3:$M$33,10,0)*IF(玩法行为规划!J45&gt;0,1,0))</f>
        <v>10</v>
      </c>
      <c r="L45" s="7">
        <f>IF(VLOOKUP(L$2,行为概览!$D$3:$M$33,10,0)="","",VLOOKUP(L$2,行为概览!$D$3:$M$33,10,0)*IF(玩法行为规划!K45&gt;0,1,0))</f>
        <v>5</v>
      </c>
      <c r="M45" s="7" t="str">
        <f>IF(VLOOKUP(M$2,行为概览!$D$3:$M$33,10,0)="","",VLOOKUP(M$2,行为概览!$D$3:$M$33,10,0)*IF(玩法行为规划!L45&gt;0,1,0))</f>
        <v/>
      </c>
      <c r="N45" s="7" t="str">
        <f>IF(VLOOKUP(N$2,行为概览!$D$3:$M$33,10,0)="","",VLOOKUP(N$2,行为概览!$D$3:$M$33,10,0)*IF(玩法行为规划!M45&gt;0,1,0))</f>
        <v/>
      </c>
      <c r="O45" s="7" t="str">
        <f>IF(VLOOKUP(O$2,行为概览!$D$3:$M$33,10,0)="","",VLOOKUP(O$2,行为概览!$D$3:$M$33,10,0)*IF(玩法行为规划!N45&gt;0,1,0))</f>
        <v/>
      </c>
      <c r="P45" s="7" t="str">
        <f>IF(VLOOKUP(P$2,行为概览!$D$3:$M$33,10,0)="","",VLOOKUP(P$2,行为概览!$D$3:$M$33,10,0)*IF(玩法行为规划!O45&gt;0,1,0))</f>
        <v/>
      </c>
      <c r="Q45" s="7">
        <f>IF(VLOOKUP(Q$2,行为概览!$D$3:$M$33,10,0)="","",VLOOKUP(Q$2,行为概览!$D$3:$M$33,10,0)*IF(玩法行为规划!P45&gt;0,1,0))</f>
        <v>10</v>
      </c>
      <c r="R45" s="7" t="str">
        <f>IF(VLOOKUP(R$2,行为概览!$D$3:$M$33,10,0)="","",VLOOKUP(R$2,行为概览!$D$3:$M$33,10,0)*IF(玩法行为规划!Q45&gt;0,1,0))</f>
        <v/>
      </c>
      <c r="S45" s="7">
        <f>IF(VLOOKUP(S$2,行为概览!$D$3:$M$33,10,0)="","",VLOOKUP(S$2,行为概览!$D$3:$M$33,10,0)*IF(玩法行为规划!R45&gt;0,1,0))</f>
        <v>3</v>
      </c>
      <c r="T45" s="7" t="str">
        <f>IF(VLOOKUP(T$2,行为概览!$D$3:$M$33,10,0)="","",VLOOKUP(T$2,行为概览!$D$3:$M$33,10,0)*IF(玩法行为规划!S45&gt;0,1,0))</f>
        <v/>
      </c>
      <c r="U45" s="7" t="str">
        <f>IF(VLOOKUP(U$2,行为概览!$D$3:$M$33,10,0)="","",VLOOKUP(U$2,行为概览!$D$3:$M$33,10,0)*IF(玩法行为规划!T45&gt;0,1,0))</f>
        <v/>
      </c>
      <c r="V45" s="7">
        <f>IF(VLOOKUP(V$2,行为概览!$D$3:$M$33,10,0)="","",VLOOKUP(V$2,行为概览!$D$3:$M$33,10,0)*IF(玩法行为规划!U45&gt;0,1,0))</f>
        <v>4</v>
      </c>
      <c r="W45" s="7" t="str">
        <f>IF(VLOOKUP(W$2,行为概览!$D$3:$M$33,10,0)="","",VLOOKUP(W$2,行为概览!$D$3:$M$33,10,0)*IF(玩法行为规划!V45&gt;0,1,0))</f>
        <v/>
      </c>
      <c r="X45" s="7" t="str">
        <f>IF(VLOOKUP(X$2,行为概览!$D$3:$M$33,10,0)="","",VLOOKUP(X$2,行为概览!$D$3:$M$33,10,0)*IF(玩法行为规划!W45&gt;0,1,0))</f>
        <v/>
      </c>
      <c r="Y45" s="7" t="str">
        <f>IF(VLOOKUP(Y$2,行为概览!$D$3:$M$33,10,0)="","",VLOOKUP(Y$2,行为概览!$D$3:$M$33,10,0)*IF(玩法行为规划!X45&gt;0,1,0))</f>
        <v/>
      </c>
      <c r="Z45" s="7">
        <f>IF(VLOOKUP(Z$2,行为概览!$D$3:$M$33,10,0)="","",VLOOKUP(Z$2,行为概览!$D$3:$M$33,10,0)*IF(玩法行为规划!Y45&gt;0,1,0))</f>
        <v>10</v>
      </c>
      <c r="AA45" s="7" t="str">
        <f>IF(VLOOKUP(AA$2,行为概览!$D$3:$M$33,10,0)="","",VLOOKUP(AA$2,行为概览!$D$3:$M$33,10,0)*IF(玩法行为规划!Z45&gt;0,1,0))</f>
        <v/>
      </c>
      <c r="AB45" s="7" t="str">
        <f>IF(VLOOKUP(AB$2,行为概览!$D$3:$M$33,10,0)="","",VLOOKUP(AB$2,行为概览!$D$3:$M$33,10,0)*IF(玩法行为规划!AA45&gt;0,1,0))</f>
        <v/>
      </c>
      <c r="AC45" s="7" t="str">
        <f>IF(VLOOKUP(AC$2,行为概览!$D$3:$M$33,10,0)="","",VLOOKUP(AC$2,行为概览!$D$3:$M$33,10,0)*IF(玩法行为规划!AB45&gt;0,1,0))</f>
        <v/>
      </c>
      <c r="AD45" s="7" t="str">
        <f>IF(VLOOKUP(AD$2,行为概览!$D$3:$M$33,10,0)="","",VLOOKUP(AD$2,行为概览!$D$3:$M$33,10,0)*IF(玩法行为规划!AC45&gt;0,1,0))</f>
        <v/>
      </c>
      <c r="AE45" s="7" t="str">
        <f>IF(VLOOKUP(AE$2,行为概览!$D$3:$M$33,10,0)="","",VLOOKUP(AE$2,行为概览!$D$3:$M$33,10,0)*IF(玩法行为规划!AD45&gt;0,1,0))</f>
        <v/>
      </c>
      <c r="AF45" s="7">
        <f>IF(VLOOKUP(AF$2,行为概览!$D$3:$M$33,10,0)="","",VLOOKUP(AF$2,行为概览!$D$3:$M$33,10,0)*IF(玩法行为规划!AE45&gt;0,1,0))</f>
        <v>20</v>
      </c>
      <c r="AG45" s="7">
        <f t="shared" si="4"/>
        <v>80</v>
      </c>
      <c r="AH45" s="7">
        <f t="shared" si="5"/>
        <v>3440</v>
      </c>
      <c r="AI45" s="7">
        <v>0</v>
      </c>
      <c r="AJ45" s="21" t="str">
        <f t="shared" si="6"/>
        <v/>
      </c>
      <c r="AK45" s="7">
        <f t="shared" si="2"/>
        <v>3440</v>
      </c>
      <c r="AL45" s="7">
        <f>SUM($AK$3:AK45)</f>
        <v>43815</v>
      </c>
    </row>
    <row r="46" spans="1:38">
      <c r="A46" s="32">
        <v>44</v>
      </c>
      <c r="B46" s="87">
        <f>升级节奏!F46</f>
        <v>44</v>
      </c>
      <c r="C46" s="7">
        <f>IF(VLOOKUP(C$2,行为概览!$D$3:$M$33,10,0)="","",VLOOKUP(C$2,行为概览!$D$3:$M$33,10,0)*IF(玩法行为规划!B46&gt;0,1,0))</f>
        <v>8</v>
      </c>
      <c r="D46" s="7" t="str">
        <f>IF(VLOOKUP(D$2,行为概览!$D$3:$M$33,10,0)="","",VLOOKUP(D$2,行为概览!$D$3:$M$33,10,0)*IF(玩法行为规划!C46&gt;0,1,0))</f>
        <v/>
      </c>
      <c r="E46" s="7" t="str">
        <f>IF(VLOOKUP(E$2,行为概览!$D$3:$M$33,10,0)="","",VLOOKUP(E$2,行为概览!$D$3:$M$33,10,0)*IF(玩法行为规划!D46&gt;0,1,0))</f>
        <v/>
      </c>
      <c r="F46" s="7">
        <f>IF(VLOOKUP(F$2,行为概览!$D$3:$M$33,10,0)="","",VLOOKUP(F$2,行为概览!$D$3:$M$33,10,0)*IF(玩法行为规划!E46&gt;0,1,0))</f>
        <v>10</v>
      </c>
      <c r="G46" s="7" t="str">
        <f>IF(VLOOKUP(G$2,行为概览!$D$3:$M$33,10,0)="","",VLOOKUP(G$2,行为概览!$D$3:$M$33,10,0)*IF(玩法行为规划!F46&gt;0,1,0))</f>
        <v/>
      </c>
      <c r="H46" s="7" t="str">
        <f>IF(VLOOKUP(H$2,行为概览!$D$3:$M$33,10,0)="","",VLOOKUP(H$2,行为概览!$D$3:$M$33,10,0)*IF(玩法行为规划!G46&gt;0,1,0))</f>
        <v/>
      </c>
      <c r="I46" s="7" t="str">
        <f>IF(VLOOKUP(I$2,行为概览!$D$3:$M$33,10,0)="","",VLOOKUP(I$2,行为概览!$D$3:$M$33,10,0)*IF(玩法行为规划!H46&gt;0,1,0))</f>
        <v/>
      </c>
      <c r="J46" s="7" t="str">
        <f>IF(VLOOKUP(J$2,行为概览!$D$3:$M$33,10,0)="","",VLOOKUP(J$2,行为概览!$D$3:$M$33,10,0)*IF(玩法行为规划!I46&gt;0,1,0))</f>
        <v/>
      </c>
      <c r="K46" s="7">
        <f>IF(VLOOKUP(K$2,行为概览!$D$3:$M$33,10,0)="","",VLOOKUP(K$2,行为概览!$D$3:$M$33,10,0)*IF(玩法行为规划!J46&gt;0,1,0))</f>
        <v>10</v>
      </c>
      <c r="L46" s="7">
        <f>IF(VLOOKUP(L$2,行为概览!$D$3:$M$33,10,0)="","",VLOOKUP(L$2,行为概览!$D$3:$M$33,10,0)*IF(玩法行为规划!K46&gt;0,1,0))</f>
        <v>5</v>
      </c>
      <c r="M46" s="7" t="str">
        <f>IF(VLOOKUP(M$2,行为概览!$D$3:$M$33,10,0)="","",VLOOKUP(M$2,行为概览!$D$3:$M$33,10,0)*IF(玩法行为规划!L46&gt;0,1,0))</f>
        <v/>
      </c>
      <c r="N46" s="7" t="str">
        <f>IF(VLOOKUP(N$2,行为概览!$D$3:$M$33,10,0)="","",VLOOKUP(N$2,行为概览!$D$3:$M$33,10,0)*IF(玩法行为规划!M46&gt;0,1,0))</f>
        <v/>
      </c>
      <c r="O46" s="7" t="str">
        <f>IF(VLOOKUP(O$2,行为概览!$D$3:$M$33,10,0)="","",VLOOKUP(O$2,行为概览!$D$3:$M$33,10,0)*IF(玩法行为规划!N46&gt;0,1,0))</f>
        <v/>
      </c>
      <c r="P46" s="7" t="str">
        <f>IF(VLOOKUP(P$2,行为概览!$D$3:$M$33,10,0)="","",VLOOKUP(P$2,行为概览!$D$3:$M$33,10,0)*IF(玩法行为规划!O46&gt;0,1,0))</f>
        <v/>
      </c>
      <c r="Q46" s="7">
        <f>IF(VLOOKUP(Q$2,行为概览!$D$3:$M$33,10,0)="","",VLOOKUP(Q$2,行为概览!$D$3:$M$33,10,0)*IF(玩法行为规划!P46&gt;0,1,0))</f>
        <v>10</v>
      </c>
      <c r="R46" s="7" t="str">
        <f>IF(VLOOKUP(R$2,行为概览!$D$3:$M$33,10,0)="","",VLOOKUP(R$2,行为概览!$D$3:$M$33,10,0)*IF(玩法行为规划!Q46&gt;0,1,0))</f>
        <v/>
      </c>
      <c r="S46" s="7">
        <f>IF(VLOOKUP(S$2,行为概览!$D$3:$M$33,10,0)="","",VLOOKUP(S$2,行为概览!$D$3:$M$33,10,0)*IF(玩法行为规划!R46&gt;0,1,0))</f>
        <v>3</v>
      </c>
      <c r="T46" s="7" t="str">
        <f>IF(VLOOKUP(T$2,行为概览!$D$3:$M$33,10,0)="","",VLOOKUP(T$2,行为概览!$D$3:$M$33,10,0)*IF(玩法行为规划!S46&gt;0,1,0))</f>
        <v/>
      </c>
      <c r="U46" s="7" t="str">
        <f>IF(VLOOKUP(U$2,行为概览!$D$3:$M$33,10,0)="","",VLOOKUP(U$2,行为概览!$D$3:$M$33,10,0)*IF(玩法行为规划!T46&gt;0,1,0))</f>
        <v/>
      </c>
      <c r="V46" s="7">
        <f>IF(VLOOKUP(V$2,行为概览!$D$3:$M$33,10,0)="","",VLOOKUP(V$2,行为概览!$D$3:$M$33,10,0)*IF(玩法行为规划!U46&gt;0,1,0))</f>
        <v>4</v>
      </c>
      <c r="W46" s="7" t="str">
        <f>IF(VLOOKUP(W$2,行为概览!$D$3:$M$33,10,0)="","",VLOOKUP(W$2,行为概览!$D$3:$M$33,10,0)*IF(玩法行为规划!V46&gt;0,1,0))</f>
        <v/>
      </c>
      <c r="X46" s="7" t="str">
        <f>IF(VLOOKUP(X$2,行为概览!$D$3:$M$33,10,0)="","",VLOOKUP(X$2,行为概览!$D$3:$M$33,10,0)*IF(玩法行为规划!W46&gt;0,1,0))</f>
        <v/>
      </c>
      <c r="Y46" s="7" t="str">
        <f>IF(VLOOKUP(Y$2,行为概览!$D$3:$M$33,10,0)="","",VLOOKUP(Y$2,行为概览!$D$3:$M$33,10,0)*IF(玩法行为规划!X46&gt;0,1,0))</f>
        <v/>
      </c>
      <c r="Z46" s="7">
        <f>IF(VLOOKUP(Z$2,行为概览!$D$3:$M$33,10,0)="","",VLOOKUP(Z$2,行为概览!$D$3:$M$33,10,0)*IF(玩法行为规划!Y46&gt;0,1,0))</f>
        <v>10</v>
      </c>
      <c r="AA46" s="7" t="str">
        <f>IF(VLOOKUP(AA$2,行为概览!$D$3:$M$33,10,0)="","",VLOOKUP(AA$2,行为概览!$D$3:$M$33,10,0)*IF(玩法行为规划!Z46&gt;0,1,0))</f>
        <v/>
      </c>
      <c r="AB46" s="7" t="str">
        <f>IF(VLOOKUP(AB$2,行为概览!$D$3:$M$33,10,0)="","",VLOOKUP(AB$2,行为概览!$D$3:$M$33,10,0)*IF(玩法行为规划!AA46&gt;0,1,0))</f>
        <v/>
      </c>
      <c r="AC46" s="7" t="str">
        <f>IF(VLOOKUP(AC$2,行为概览!$D$3:$M$33,10,0)="","",VLOOKUP(AC$2,行为概览!$D$3:$M$33,10,0)*IF(玩法行为规划!AB46&gt;0,1,0))</f>
        <v/>
      </c>
      <c r="AD46" s="7" t="str">
        <f>IF(VLOOKUP(AD$2,行为概览!$D$3:$M$33,10,0)="","",VLOOKUP(AD$2,行为概览!$D$3:$M$33,10,0)*IF(玩法行为规划!AC46&gt;0,1,0))</f>
        <v/>
      </c>
      <c r="AE46" s="7" t="str">
        <f>IF(VLOOKUP(AE$2,行为概览!$D$3:$M$33,10,0)="","",VLOOKUP(AE$2,行为概览!$D$3:$M$33,10,0)*IF(玩法行为规划!AD46&gt;0,1,0))</f>
        <v/>
      </c>
      <c r="AF46" s="7">
        <f>IF(VLOOKUP(AF$2,行为概览!$D$3:$M$33,10,0)="","",VLOOKUP(AF$2,行为概览!$D$3:$M$33,10,0)*IF(玩法行为规划!AE46&gt;0,1,0))</f>
        <v>20</v>
      </c>
      <c r="AG46" s="7">
        <f t="shared" si="4"/>
        <v>80</v>
      </c>
      <c r="AH46" s="7">
        <f t="shared" si="5"/>
        <v>3520</v>
      </c>
      <c r="AI46" s="7">
        <v>0</v>
      </c>
      <c r="AJ46" s="21" t="str">
        <f t="shared" si="6"/>
        <v/>
      </c>
      <c r="AK46" s="7">
        <f t="shared" si="2"/>
        <v>3520</v>
      </c>
      <c r="AL46" s="7">
        <f>SUM($AK$3:AK46)</f>
        <v>47335</v>
      </c>
    </row>
    <row r="47" spans="1:38">
      <c r="A47" s="32">
        <v>45</v>
      </c>
      <c r="B47" s="87">
        <f>升级节奏!F47</f>
        <v>45</v>
      </c>
      <c r="C47" s="7">
        <f>IF(VLOOKUP(C$2,行为概览!$D$3:$M$33,10,0)="","",VLOOKUP(C$2,行为概览!$D$3:$M$33,10,0)*IF(玩法行为规划!B47&gt;0,1,0))</f>
        <v>8</v>
      </c>
      <c r="D47" s="7" t="str">
        <f>IF(VLOOKUP(D$2,行为概览!$D$3:$M$33,10,0)="","",VLOOKUP(D$2,行为概览!$D$3:$M$33,10,0)*IF(玩法行为规划!C47&gt;0,1,0))</f>
        <v/>
      </c>
      <c r="E47" s="7" t="str">
        <f>IF(VLOOKUP(E$2,行为概览!$D$3:$M$33,10,0)="","",VLOOKUP(E$2,行为概览!$D$3:$M$33,10,0)*IF(玩法行为规划!D47&gt;0,1,0))</f>
        <v/>
      </c>
      <c r="F47" s="7">
        <f>IF(VLOOKUP(F$2,行为概览!$D$3:$M$33,10,0)="","",VLOOKUP(F$2,行为概览!$D$3:$M$33,10,0)*IF(玩法行为规划!E47&gt;0,1,0))</f>
        <v>10</v>
      </c>
      <c r="G47" s="7" t="str">
        <f>IF(VLOOKUP(G$2,行为概览!$D$3:$M$33,10,0)="","",VLOOKUP(G$2,行为概览!$D$3:$M$33,10,0)*IF(玩法行为规划!F47&gt;0,1,0))</f>
        <v/>
      </c>
      <c r="H47" s="7" t="str">
        <f>IF(VLOOKUP(H$2,行为概览!$D$3:$M$33,10,0)="","",VLOOKUP(H$2,行为概览!$D$3:$M$33,10,0)*IF(玩法行为规划!G47&gt;0,1,0))</f>
        <v/>
      </c>
      <c r="I47" s="7" t="str">
        <f>IF(VLOOKUP(I$2,行为概览!$D$3:$M$33,10,0)="","",VLOOKUP(I$2,行为概览!$D$3:$M$33,10,0)*IF(玩法行为规划!H47&gt;0,1,0))</f>
        <v/>
      </c>
      <c r="J47" s="7" t="str">
        <f>IF(VLOOKUP(J$2,行为概览!$D$3:$M$33,10,0)="","",VLOOKUP(J$2,行为概览!$D$3:$M$33,10,0)*IF(玩法行为规划!I47&gt;0,1,0))</f>
        <v/>
      </c>
      <c r="K47" s="7">
        <f>IF(VLOOKUP(K$2,行为概览!$D$3:$M$33,10,0)="","",VLOOKUP(K$2,行为概览!$D$3:$M$33,10,0)*IF(玩法行为规划!J47&gt;0,1,0))</f>
        <v>10</v>
      </c>
      <c r="L47" s="7">
        <f>IF(VLOOKUP(L$2,行为概览!$D$3:$M$33,10,0)="","",VLOOKUP(L$2,行为概览!$D$3:$M$33,10,0)*IF(玩法行为规划!K47&gt;0,1,0))</f>
        <v>5</v>
      </c>
      <c r="M47" s="7" t="str">
        <f>IF(VLOOKUP(M$2,行为概览!$D$3:$M$33,10,0)="","",VLOOKUP(M$2,行为概览!$D$3:$M$33,10,0)*IF(玩法行为规划!L47&gt;0,1,0))</f>
        <v/>
      </c>
      <c r="N47" s="7" t="str">
        <f>IF(VLOOKUP(N$2,行为概览!$D$3:$M$33,10,0)="","",VLOOKUP(N$2,行为概览!$D$3:$M$33,10,0)*IF(玩法行为规划!M47&gt;0,1,0))</f>
        <v/>
      </c>
      <c r="O47" s="7" t="str">
        <f>IF(VLOOKUP(O$2,行为概览!$D$3:$M$33,10,0)="","",VLOOKUP(O$2,行为概览!$D$3:$M$33,10,0)*IF(玩法行为规划!N47&gt;0,1,0))</f>
        <v/>
      </c>
      <c r="P47" s="7" t="str">
        <f>IF(VLOOKUP(P$2,行为概览!$D$3:$M$33,10,0)="","",VLOOKUP(P$2,行为概览!$D$3:$M$33,10,0)*IF(玩法行为规划!O47&gt;0,1,0))</f>
        <v/>
      </c>
      <c r="Q47" s="7">
        <f>IF(VLOOKUP(Q$2,行为概览!$D$3:$M$33,10,0)="","",VLOOKUP(Q$2,行为概览!$D$3:$M$33,10,0)*IF(玩法行为规划!P47&gt;0,1,0))</f>
        <v>10</v>
      </c>
      <c r="R47" s="7" t="str">
        <f>IF(VLOOKUP(R$2,行为概览!$D$3:$M$33,10,0)="","",VLOOKUP(R$2,行为概览!$D$3:$M$33,10,0)*IF(玩法行为规划!Q47&gt;0,1,0))</f>
        <v/>
      </c>
      <c r="S47" s="7">
        <f>IF(VLOOKUP(S$2,行为概览!$D$3:$M$33,10,0)="","",VLOOKUP(S$2,行为概览!$D$3:$M$33,10,0)*IF(玩法行为规划!R47&gt;0,1,0))</f>
        <v>3</v>
      </c>
      <c r="T47" s="7" t="str">
        <f>IF(VLOOKUP(T$2,行为概览!$D$3:$M$33,10,0)="","",VLOOKUP(T$2,行为概览!$D$3:$M$33,10,0)*IF(玩法行为规划!S47&gt;0,1,0))</f>
        <v/>
      </c>
      <c r="U47" s="7" t="str">
        <f>IF(VLOOKUP(U$2,行为概览!$D$3:$M$33,10,0)="","",VLOOKUP(U$2,行为概览!$D$3:$M$33,10,0)*IF(玩法行为规划!T47&gt;0,1,0))</f>
        <v/>
      </c>
      <c r="V47" s="7">
        <f>IF(VLOOKUP(V$2,行为概览!$D$3:$M$33,10,0)="","",VLOOKUP(V$2,行为概览!$D$3:$M$33,10,0)*IF(玩法行为规划!U47&gt;0,1,0))</f>
        <v>4</v>
      </c>
      <c r="W47" s="7" t="str">
        <f>IF(VLOOKUP(W$2,行为概览!$D$3:$M$33,10,0)="","",VLOOKUP(W$2,行为概览!$D$3:$M$33,10,0)*IF(玩法行为规划!V47&gt;0,1,0))</f>
        <v/>
      </c>
      <c r="X47" s="7" t="str">
        <f>IF(VLOOKUP(X$2,行为概览!$D$3:$M$33,10,0)="","",VLOOKUP(X$2,行为概览!$D$3:$M$33,10,0)*IF(玩法行为规划!W47&gt;0,1,0))</f>
        <v/>
      </c>
      <c r="Y47" s="7" t="str">
        <f>IF(VLOOKUP(Y$2,行为概览!$D$3:$M$33,10,0)="","",VLOOKUP(Y$2,行为概览!$D$3:$M$33,10,0)*IF(玩法行为规划!X47&gt;0,1,0))</f>
        <v/>
      </c>
      <c r="Z47" s="7">
        <f>IF(VLOOKUP(Z$2,行为概览!$D$3:$M$33,10,0)="","",VLOOKUP(Z$2,行为概览!$D$3:$M$33,10,0)*IF(玩法行为规划!Y47&gt;0,1,0))</f>
        <v>10</v>
      </c>
      <c r="AA47" s="7" t="str">
        <f>IF(VLOOKUP(AA$2,行为概览!$D$3:$M$33,10,0)="","",VLOOKUP(AA$2,行为概览!$D$3:$M$33,10,0)*IF(玩法行为规划!Z47&gt;0,1,0))</f>
        <v/>
      </c>
      <c r="AB47" s="7" t="str">
        <f>IF(VLOOKUP(AB$2,行为概览!$D$3:$M$33,10,0)="","",VLOOKUP(AB$2,行为概览!$D$3:$M$33,10,0)*IF(玩法行为规划!AA47&gt;0,1,0))</f>
        <v/>
      </c>
      <c r="AC47" s="7" t="str">
        <f>IF(VLOOKUP(AC$2,行为概览!$D$3:$M$33,10,0)="","",VLOOKUP(AC$2,行为概览!$D$3:$M$33,10,0)*IF(玩法行为规划!AB47&gt;0,1,0))</f>
        <v/>
      </c>
      <c r="AD47" s="7" t="str">
        <f>IF(VLOOKUP(AD$2,行为概览!$D$3:$M$33,10,0)="","",VLOOKUP(AD$2,行为概览!$D$3:$M$33,10,0)*IF(玩法行为规划!AC47&gt;0,1,0))</f>
        <v/>
      </c>
      <c r="AE47" s="7" t="str">
        <f>IF(VLOOKUP(AE$2,行为概览!$D$3:$M$33,10,0)="","",VLOOKUP(AE$2,行为概览!$D$3:$M$33,10,0)*IF(玩法行为规划!AD47&gt;0,1,0))</f>
        <v/>
      </c>
      <c r="AF47" s="7">
        <f>IF(VLOOKUP(AF$2,行为概览!$D$3:$M$33,10,0)="","",VLOOKUP(AF$2,行为概览!$D$3:$M$33,10,0)*IF(玩法行为规划!AE47&gt;0,1,0))</f>
        <v>20</v>
      </c>
      <c r="AG47" s="7">
        <f t="shared" si="4"/>
        <v>80</v>
      </c>
      <c r="AH47" s="7">
        <f t="shared" si="5"/>
        <v>3600</v>
      </c>
      <c r="AI47" s="7">
        <v>0</v>
      </c>
      <c r="AJ47" s="21" t="str">
        <f t="shared" si="6"/>
        <v/>
      </c>
      <c r="AK47" s="7">
        <f t="shared" si="2"/>
        <v>3600</v>
      </c>
      <c r="AL47" s="7">
        <f>SUM($AK$3:AK47)</f>
        <v>50935</v>
      </c>
    </row>
    <row r="48" spans="1:38">
      <c r="A48" s="32">
        <v>46</v>
      </c>
      <c r="B48" s="87">
        <f>升级节奏!F48</f>
        <v>46</v>
      </c>
      <c r="C48" s="7">
        <f>IF(VLOOKUP(C$2,行为概览!$D$3:$M$33,10,0)="","",VLOOKUP(C$2,行为概览!$D$3:$M$33,10,0)*IF(玩法行为规划!B48&gt;0,1,0))</f>
        <v>8</v>
      </c>
      <c r="D48" s="7" t="str">
        <f>IF(VLOOKUP(D$2,行为概览!$D$3:$M$33,10,0)="","",VLOOKUP(D$2,行为概览!$D$3:$M$33,10,0)*IF(玩法行为规划!C48&gt;0,1,0))</f>
        <v/>
      </c>
      <c r="E48" s="7" t="str">
        <f>IF(VLOOKUP(E$2,行为概览!$D$3:$M$33,10,0)="","",VLOOKUP(E$2,行为概览!$D$3:$M$33,10,0)*IF(玩法行为规划!D48&gt;0,1,0))</f>
        <v/>
      </c>
      <c r="F48" s="7">
        <f>IF(VLOOKUP(F$2,行为概览!$D$3:$M$33,10,0)="","",VLOOKUP(F$2,行为概览!$D$3:$M$33,10,0)*IF(玩法行为规划!E48&gt;0,1,0))</f>
        <v>10</v>
      </c>
      <c r="G48" s="7" t="str">
        <f>IF(VLOOKUP(G$2,行为概览!$D$3:$M$33,10,0)="","",VLOOKUP(G$2,行为概览!$D$3:$M$33,10,0)*IF(玩法行为规划!F48&gt;0,1,0))</f>
        <v/>
      </c>
      <c r="H48" s="7" t="str">
        <f>IF(VLOOKUP(H$2,行为概览!$D$3:$M$33,10,0)="","",VLOOKUP(H$2,行为概览!$D$3:$M$33,10,0)*IF(玩法行为规划!G48&gt;0,1,0))</f>
        <v/>
      </c>
      <c r="I48" s="7" t="str">
        <f>IF(VLOOKUP(I$2,行为概览!$D$3:$M$33,10,0)="","",VLOOKUP(I$2,行为概览!$D$3:$M$33,10,0)*IF(玩法行为规划!H48&gt;0,1,0))</f>
        <v/>
      </c>
      <c r="J48" s="7" t="str">
        <f>IF(VLOOKUP(J$2,行为概览!$D$3:$M$33,10,0)="","",VLOOKUP(J$2,行为概览!$D$3:$M$33,10,0)*IF(玩法行为规划!I48&gt;0,1,0))</f>
        <v/>
      </c>
      <c r="K48" s="7">
        <f>IF(VLOOKUP(K$2,行为概览!$D$3:$M$33,10,0)="","",VLOOKUP(K$2,行为概览!$D$3:$M$33,10,0)*IF(玩法行为规划!J48&gt;0,1,0))</f>
        <v>10</v>
      </c>
      <c r="L48" s="7">
        <f>IF(VLOOKUP(L$2,行为概览!$D$3:$M$33,10,0)="","",VLOOKUP(L$2,行为概览!$D$3:$M$33,10,0)*IF(玩法行为规划!K48&gt;0,1,0))</f>
        <v>5</v>
      </c>
      <c r="M48" s="7" t="str">
        <f>IF(VLOOKUP(M$2,行为概览!$D$3:$M$33,10,0)="","",VLOOKUP(M$2,行为概览!$D$3:$M$33,10,0)*IF(玩法行为规划!L48&gt;0,1,0))</f>
        <v/>
      </c>
      <c r="N48" s="7" t="str">
        <f>IF(VLOOKUP(N$2,行为概览!$D$3:$M$33,10,0)="","",VLOOKUP(N$2,行为概览!$D$3:$M$33,10,0)*IF(玩法行为规划!M48&gt;0,1,0))</f>
        <v/>
      </c>
      <c r="O48" s="7" t="str">
        <f>IF(VLOOKUP(O$2,行为概览!$D$3:$M$33,10,0)="","",VLOOKUP(O$2,行为概览!$D$3:$M$33,10,0)*IF(玩法行为规划!N48&gt;0,1,0))</f>
        <v/>
      </c>
      <c r="P48" s="7" t="str">
        <f>IF(VLOOKUP(P$2,行为概览!$D$3:$M$33,10,0)="","",VLOOKUP(P$2,行为概览!$D$3:$M$33,10,0)*IF(玩法行为规划!O48&gt;0,1,0))</f>
        <v/>
      </c>
      <c r="Q48" s="7">
        <f>IF(VLOOKUP(Q$2,行为概览!$D$3:$M$33,10,0)="","",VLOOKUP(Q$2,行为概览!$D$3:$M$33,10,0)*IF(玩法行为规划!P48&gt;0,1,0))</f>
        <v>10</v>
      </c>
      <c r="R48" s="7" t="str">
        <f>IF(VLOOKUP(R$2,行为概览!$D$3:$M$33,10,0)="","",VLOOKUP(R$2,行为概览!$D$3:$M$33,10,0)*IF(玩法行为规划!Q48&gt;0,1,0))</f>
        <v/>
      </c>
      <c r="S48" s="7">
        <f>IF(VLOOKUP(S$2,行为概览!$D$3:$M$33,10,0)="","",VLOOKUP(S$2,行为概览!$D$3:$M$33,10,0)*IF(玩法行为规划!R48&gt;0,1,0))</f>
        <v>3</v>
      </c>
      <c r="T48" s="7" t="str">
        <f>IF(VLOOKUP(T$2,行为概览!$D$3:$M$33,10,0)="","",VLOOKUP(T$2,行为概览!$D$3:$M$33,10,0)*IF(玩法行为规划!S48&gt;0,1,0))</f>
        <v/>
      </c>
      <c r="U48" s="7" t="str">
        <f>IF(VLOOKUP(U$2,行为概览!$D$3:$M$33,10,0)="","",VLOOKUP(U$2,行为概览!$D$3:$M$33,10,0)*IF(玩法行为规划!T48&gt;0,1,0))</f>
        <v/>
      </c>
      <c r="V48" s="7">
        <f>IF(VLOOKUP(V$2,行为概览!$D$3:$M$33,10,0)="","",VLOOKUP(V$2,行为概览!$D$3:$M$33,10,0)*IF(玩法行为规划!U48&gt;0,1,0))</f>
        <v>4</v>
      </c>
      <c r="W48" s="7" t="str">
        <f>IF(VLOOKUP(W$2,行为概览!$D$3:$M$33,10,0)="","",VLOOKUP(W$2,行为概览!$D$3:$M$33,10,0)*IF(玩法行为规划!V48&gt;0,1,0))</f>
        <v/>
      </c>
      <c r="X48" s="7" t="str">
        <f>IF(VLOOKUP(X$2,行为概览!$D$3:$M$33,10,0)="","",VLOOKUP(X$2,行为概览!$D$3:$M$33,10,0)*IF(玩法行为规划!W48&gt;0,1,0))</f>
        <v/>
      </c>
      <c r="Y48" s="7" t="str">
        <f>IF(VLOOKUP(Y$2,行为概览!$D$3:$M$33,10,0)="","",VLOOKUP(Y$2,行为概览!$D$3:$M$33,10,0)*IF(玩法行为规划!X48&gt;0,1,0))</f>
        <v/>
      </c>
      <c r="Z48" s="7">
        <f>IF(VLOOKUP(Z$2,行为概览!$D$3:$M$33,10,0)="","",VLOOKUP(Z$2,行为概览!$D$3:$M$33,10,0)*IF(玩法行为规划!Y48&gt;0,1,0))</f>
        <v>10</v>
      </c>
      <c r="AA48" s="7" t="str">
        <f>IF(VLOOKUP(AA$2,行为概览!$D$3:$M$33,10,0)="","",VLOOKUP(AA$2,行为概览!$D$3:$M$33,10,0)*IF(玩法行为规划!Z48&gt;0,1,0))</f>
        <v/>
      </c>
      <c r="AB48" s="7" t="str">
        <f>IF(VLOOKUP(AB$2,行为概览!$D$3:$M$33,10,0)="","",VLOOKUP(AB$2,行为概览!$D$3:$M$33,10,0)*IF(玩法行为规划!AA48&gt;0,1,0))</f>
        <v/>
      </c>
      <c r="AC48" s="7" t="str">
        <f>IF(VLOOKUP(AC$2,行为概览!$D$3:$M$33,10,0)="","",VLOOKUP(AC$2,行为概览!$D$3:$M$33,10,0)*IF(玩法行为规划!AB48&gt;0,1,0))</f>
        <v/>
      </c>
      <c r="AD48" s="7" t="str">
        <f>IF(VLOOKUP(AD$2,行为概览!$D$3:$M$33,10,0)="","",VLOOKUP(AD$2,行为概览!$D$3:$M$33,10,0)*IF(玩法行为规划!AC48&gt;0,1,0))</f>
        <v/>
      </c>
      <c r="AE48" s="7" t="str">
        <f>IF(VLOOKUP(AE$2,行为概览!$D$3:$M$33,10,0)="","",VLOOKUP(AE$2,行为概览!$D$3:$M$33,10,0)*IF(玩法行为规划!AD48&gt;0,1,0))</f>
        <v/>
      </c>
      <c r="AF48" s="7">
        <f>IF(VLOOKUP(AF$2,行为概览!$D$3:$M$33,10,0)="","",VLOOKUP(AF$2,行为概览!$D$3:$M$33,10,0)*IF(玩法行为规划!AE48&gt;0,1,0))</f>
        <v>20</v>
      </c>
      <c r="AG48" s="7">
        <f t="shared" si="4"/>
        <v>80</v>
      </c>
      <c r="AH48" s="7">
        <f t="shared" si="5"/>
        <v>3680</v>
      </c>
      <c r="AI48" s="7">
        <v>0</v>
      </c>
      <c r="AJ48" s="21" t="str">
        <f t="shared" si="6"/>
        <v/>
      </c>
      <c r="AK48" s="7">
        <f t="shared" si="2"/>
        <v>3680</v>
      </c>
      <c r="AL48" s="7">
        <f>SUM($AK$3:AK48)</f>
        <v>54615</v>
      </c>
    </row>
    <row r="49" spans="1:38">
      <c r="A49" s="32">
        <v>47</v>
      </c>
      <c r="B49" s="87">
        <f>升级节奏!F49</f>
        <v>47</v>
      </c>
      <c r="C49" s="7">
        <f>IF(VLOOKUP(C$2,行为概览!$D$3:$M$33,10,0)="","",VLOOKUP(C$2,行为概览!$D$3:$M$33,10,0)*IF(玩法行为规划!B49&gt;0,1,0))</f>
        <v>8</v>
      </c>
      <c r="D49" s="7" t="str">
        <f>IF(VLOOKUP(D$2,行为概览!$D$3:$M$33,10,0)="","",VLOOKUP(D$2,行为概览!$D$3:$M$33,10,0)*IF(玩法行为规划!C49&gt;0,1,0))</f>
        <v/>
      </c>
      <c r="E49" s="7" t="str">
        <f>IF(VLOOKUP(E$2,行为概览!$D$3:$M$33,10,0)="","",VLOOKUP(E$2,行为概览!$D$3:$M$33,10,0)*IF(玩法行为规划!D49&gt;0,1,0))</f>
        <v/>
      </c>
      <c r="F49" s="7">
        <f>IF(VLOOKUP(F$2,行为概览!$D$3:$M$33,10,0)="","",VLOOKUP(F$2,行为概览!$D$3:$M$33,10,0)*IF(玩法行为规划!E49&gt;0,1,0))</f>
        <v>10</v>
      </c>
      <c r="G49" s="7" t="str">
        <f>IF(VLOOKUP(G$2,行为概览!$D$3:$M$33,10,0)="","",VLOOKUP(G$2,行为概览!$D$3:$M$33,10,0)*IF(玩法行为规划!F49&gt;0,1,0))</f>
        <v/>
      </c>
      <c r="H49" s="7" t="str">
        <f>IF(VLOOKUP(H$2,行为概览!$D$3:$M$33,10,0)="","",VLOOKUP(H$2,行为概览!$D$3:$M$33,10,0)*IF(玩法行为规划!G49&gt;0,1,0))</f>
        <v/>
      </c>
      <c r="I49" s="7" t="str">
        <f>IF(VLOOKUP(I$2,行为概览!$D$3:$M$33,10,0)="","",VLOOKUP(I$2,行为概览!$D$3:$M$33,10,0)*IF(玩法行为规划!H49&gt;0,1,0))</f>
        <v/>
      </c>
      <c r="J49" s="7" t="str">
        <f>IF(VLOOKUP(J$2,行为概览!$D$3:$M$33,10,0)="","",VLOOKUP(J$2,行为概览!$D$3:$M$33,10,0)*IF(玩法行为规划!I49&gt;0,1,0))</f>
        <v/>
      </c>
      <c r="K49" s="7">
        <f>IF(VLOOKUP(K$2,行为概览!$D$3:$M$33,10,0)="","",VLOOKUP(K$2,行为概览!$D$3:$M$33,10,0)*IF(玩法行为规划!J49&gt;0,1,0))</f>
        <v>10</v>
      </c>
      <c r="L49" s="7">
        <f>IF(VLOOKUP(L$2,行为概览!$D$3:$M$33,10,0)="","",VLOOKUP(L$2,行为概览!$D$3:$M$33,10,0)*IF(玩法行为规划!K49&gt;0,1,0))</f>
        <v>5</v>
      </c>
      <c r="M49" s="7" t="str">
        <f>IF(VLOOKUP(M$2,行为概览!$D$3:$M$33,10,0)="","",VLOOKUP(M$2,行为概览!$D$3:$M$33,10,0)*IF(玩法行为规划!L49&gt;0,1,0))</f>
        <v/>
      </c>
      <c r="N49" s="7" t="str">
        <f>IF(VLOOKUP(N$2,行为概览!$D$3:$M$33,10,0)="","",VLOOKUP(N$2,行为概览!$D$3:$M$33,10,0)*IF(玩法行为规划!M49&gt;0,1,0))</f>
        <v/>
      </c>
      <c r="O49" s="7" t="str">
        <f>IF(VLOOKUP(O$2,行为概览!$D$3:$M$33,10,0)="","",VLOOKUP(O$2,行为概览!$D$3:$M$33,10,0)*IF(玩法行为规划!N49&gt;0,1,0))</f>
        <v/>
      </c>
      <c r="P49" s="7" t="str">
        <f>IF(VLOOKUP(P$2,行为概览!$D$3:$M$33,10,0)="","",VLOOKUP(P$2,行为概览!$D$3:$M$33,10,0)*IF(玩法行为规划!O49&gt;0,1,0))</f>
        <v/>
      </c>
      <c r="Q49" s="7">
        <f>IF(VLOOKUP(Q$2,行为概览!$D$3:$M$33,10,0)="","",VLOOKUP(Q$2,行为概览!$D$3:$M$33,10,0)*IF(玩法行为规划!P49&gt;0,1,0))</f>
        <v>10</v>
      </c>
      <c r="R49" s="7" t="str">
        <f>IF(VLOOKUP(R$2,行为概览!$D$3:$M$33,10,0)="","",VLOOKUP(R$2,行为概览!$D$3:$M$33,10,0)*IF(玩法行为规划!Q49&gt;0,1,0))</f>
        <v/>
      </c>
      <c r="S49" s="7">
        <f>IF(VLOOKUP(S$2,行为概览!$D$3:$M$33,10,0)="","",VLOOKUP(S$2,行为概览!$D$3:$M$33,10,0)*IF(玩法行为规划!R49&gt;0,1,0))</f>
        <v>3</v>
      </c>
      <c r="T49" s="7" t="str">
        <f>IF(VLOOKUP(T$2,行为概览!$D$3:$M$33,10,0)="","",VLOOKUP(T$2,行为概览!$D$3:$M$33,10,0)*IF(玩法行为规划!S49&gt;0,1,0))</f>
        <v/>
      </c>
      <c r="U49" s="7" t="str">
        <f>IF(VLOOKUP(U$2,行为概览!$D$3:$M$33,10,0)="","",VLOOKUP(U$2,行为概览!$D$3:$M$33,10,0)*IF(玩法行为规划!T49&gt;0,1,0))</f>
        <v/>
      </c>
      <c r="V49" s="7">
        <f>IF(VLOOKUP(V$2,行为概览!$D$3:$M$33,10,0)="","",VLOOKUP(V$2,行为概览!$D$3:$M$33,10,0)*IF(玩法行为规划!U49&gt;0,1,0))</f>
        <v>4</v>
      </c>
      <c r="W49" s="7" t="str">
        <f>IF(VLOOKUP(W$2,行为概览!$D$3:$M$33,10,0)="","",VLOOKUP(W$2,行为概览!$D$3:$M$33,10,0)*IF(玩法行为规划!V49&gt;0,1,0))</f>
        <v/>
      </c>
      <c r="X49" s="7" t="str">
        <f>IF(VLOOKUP(X$2,行为概览!$D$3:$M$33,10,0)="","",VLOOKUP(X$2,行为概览!$D$3:$M$33,10,0)*IF(玩法行为规划!W49&gt;0,1,0))</f>
        <v/>
      </c>
      <c r="Y49" s="7" t="str">
        <f>IF(VLOOKUP(Y$2,行为概览!$D$3:$M$33,10,0)="","",VLOOKUP(Y$2,行为概览!$D$3:$M$33,10,0)*IF(玩法行为规划!X49&gt;0,1,0))</f>
        <v/>
      </c>
      <c r="Z49" s="7">
        <f>IF(VLOOKUP(Z$2,行为概览!$D$3:$M$33,10,0)="","",VLOOKUP(Z$2,行为概览!$D$3:$M$33,10,0)*IF(玩法行为规划!Y49&gt;0,1,0))</f>
        <v>10</v>
      </c>
      <c r="AA49" s="7" t="str">
        <f>IF(VLOOKUP(AA$2,行为概览!$D$3:$M$33,10,0)="","",VLOOKUP(AA$2,行为概览!$D$3:$M$33,10,0)*IF(玩法行为规划!Z49&gt;0,1,0))</f>
        <v/>
      </c>
      <c r="AB49" s="7" t="str">
        <f>IF(VLOOKUP(AB$2,行为概览!$D$3:$M$33,10,0)="","",VLOOKUP(AB$2,行为概览!$D$3:$M$33,10,0)*IF(玩法行为规划!AA49&gt;0,1,0))</f>
        <v/>
      </c>
      <c r="AC49" s="7" t="str">
        <f>IF(VLOOKUP(AC$2,行为概览!$D$3:$M$33,10,0)="","",VLOOKUP(AC$2,行为概览!$D$3:$M$33,10,0)*IF(玩法行为规划!AB49&gt;0,1,0))</f>
        <v/>
      </c>
      <c r="AD49" s="7" t="str">
        <f>IF(VLOOKUP(AD$2,行为概览!$D$3:$M$33,10,0)="","",VLOOKUP(AD$2,行为概览!$D$3:$M$33,10,0)*IF(玩法行为规划!AC49&gt;0,1,0))</f>
        <v/>
      </c>
      <c r="AE49" s="7" t="str">
        <f>IF(VLOOKUP(AE$2,行为概览!$D$3:$M$33,10,0)="","",VLOOKUP(AE$2,行为概览!$D$3:$M$33,10,0)*IF(玩法行为规划!AD49&gt;0,1,0))</f>
        <v/>
      </c>
      <c r="AF49" s="7">
        <f>IF(VLOOKUP(AF$2,行为概览!$D$3:$M$33,10,0)="","",VLOOKUP(AF$2,行为概览!$D$3:$M$33,10,0)*IF(玩法行为规划!AE49&gt;0,1,0))</f>
        <v>20</v>
      </c>
      <c r="AG49" s="7">
        <f t="shared" si="4"/>
        <v>80</v>
      </c>
      <c r="AH49" s="7">
        <f t="shared" si="5"/>
        <v>3760</v>
      </c>
      <c r="AI49" s="7">
        <v>0</v>
      </c>
      <c r="AJ49" s="21" t="str">
        <f t="shared" si="6"/>
        <v/>
      </c>
      <c r="AK49" s="7">
        <f t="shared" si="2"/>
        <v>3760</v>
      </c>
      <c r="AL49" s="7">
        <f>SUM($AK$3:AK49)</f>
        <v>58375</v>
      </c>
    </row>
    <row r="50" spans="1:38">
      <c r="A50" s="32">
        <v>48</v>
      </c>
      <c r="B50" s="87">
        <f>升级节奏!F50</f>
        <v>48</v>
      </c>
      <c r="C50" s="7">
        <f>IF(VLOOKUP(C$2,行为概览!$D$3:$M$33,10,0)="","",VLOOKUP(C$2,行为概览!$D$3:$M$33,10,0)*IF(玩法行为规划!B50&gt;0,1,0))</f>
        <v>8</v>
      </c>
      <c r="D50" s="7" t="str">
        <f>IF(VLOOKUP(D$2,行为概览!$D$3:$M$33,10,0)="","",VLOOKUP(D$2,行为概览!$D$3:$M$33,10,0)*IF(玩法行为规划!C50&gt;0,1,0))</f>
        <v/>
      </c>
      <c r="E50" s="7" t="str">
        <f>IF(VLOOKUP(E$2,行为概览!$D$3:$M$33,10,0)="","",VLOOKUP(E$2,行为概览!$D$3:$M$33,10,0)*IF(玩法行为规划!D50&gt;0,1,0))</f>
        <v/>
      </c>
      <c r="F50" s="7">
        <f>IF(VLOOKUP(F$2,行为概览!$D$3:$M$33,10,0)="","",VLOOKUP(F$2,行为概览!$D$3:$M$33,10,0)*IF(玩法行为规划!E50&gt;0,1,0))</f>
        <v>10</v>
      </c>
      <c r="G50" s="7" t="str">
        <f>IF(VLOOKUP(G$2,行为概览!$D$3:$M$33,10,0)="","",VLOOKUP(G$2,行为概览!$D$3:$M$33,10,0)*IF(玩法行为规划!F50&gt;0,1,0))</f>
        <v/>
      </c>
      <c r="H50" s="7" t="str">
        <f>IF(VLOOKUP(H$2,行为概览!$D$3:$M$33,10,0)="","",VLOOKUP(H$2,行为概览!$D$3:$M$33,10,0)*IF(玩法行为规划!G50&gt;0,1,0))</f>
        <v/>
      </c>
      <c r="I50" s="7" t="str">
        <f>IF(VLOOKUP(I$2,行为概览!$D$3:$M$33,10,0)="","",VLOOKUP(I$2,行为概览!$D$3:$M$33,10,0)*IF(玩法行为规划!H50&gt;0,1,0))</f>
        <v/>
      </c>
      <c r="J50" s="7" t="str">
        <f>IF(VLOOKUP(J$2,行为概览!$D$3:$M$33,10,0)="","",VLOOKUP(J$2,行为概览!$D$3:$M$33,10,0)*IF(玩法行为规划!I50&gt;0,1,0))</f>
        <v/>
      </c>
      <c r="K50" s="7">
        <f>IF(VLOOKUP(K$2,行为概览!$D$3:$M$33,10,0)="","",VLOOKUP(K$2,行为概览!$D$3:$M$33,10,0)*IF(玩法行为规划!J50&gt;0,1,0))</f>
        <v>10</v>
      </c>
      <c r="L50" s="7">
        <f>IF(VLOOKUP(L$2,行为概览!$D$3:$M$33,10,0)="","",VLOOKUP(L$2,行为概览!$D$3:$M$33,10,0)*IF(玩法行为规划!K50&gt;0,1,0))</f>
        <v>5</v>
      </c>
      <c r="M50" s="7" t="str">
        <f>IF(VLOOKUP(M$2,行为概览!$D$3:$M$33,10,0)="","",VLOOKUP(M$2,行为概览!$D$3:$M$33,10,0)*IF(玩法行为规划!L50&gt;0,1,0))</f>
        <v/>
      </c>
      <c r="N50" s="7" t="str">
        <f>IF(VLOOKUP(N$2,行为概览!$D$3:$M$33,10,0)="","",VLOOKUP(N$2,行为概览!$D$3:$M$33,10,0)*IF(玩法行为规划!M50&gt;0,1,0))</f>
        <v/>
      </c>
      <c r="O50" s="7" t="str">
        <f>IF(VLOOKUP(O$2,行为概览!$D$3:$M$33,10,0)="","",VLOOKUP(O$2,行为概览!$D$3:$M$33,10,0)*IF(玩法行为规划!N50&gt;0,1,0))</f>
        <v/>
      </c>
      <c r="P50" s="7" t="str">
        <f>IF(VLOOKUP(P$2,行为概览!$D$3:$M$33,10,0)="","",VLOOKUP(P$2,行为概览!$D$3:$M$33,10,0)*IF(玩法行为规划!O50&gt;0,1,0))</f>
        <v/>
      </c>
      <c r="Q50" s="7">
        <f>IF(VLOOKUP(Q$2,行为概览!$D$3:$M$33,10,0)="","",VLOOKUP(Q$2,行为概览!$D$3:$M$33,10,0)*IF(玩法行为规划!P50&gt;0,1,0))</f>
        <v>10</v>
      </c>
      <c r="R50" s="7" t="str">
        <f>IF(VLOOKUP(R$2,行为概览!$D$3:$M$33,10,0)="","",VLOOKUP(R$2,行为概览!$D$3:$M$33,10,0)*IF(玩法行为规划!Q50&gt;0,1,0))</f>
        <v/>
      </c>
      <c r="S50" s="7">
        <f>IF(VLOOKUP(S$2,行为概览!$D$3:$M$33,10,0)="","",VLOOKUP(S$2,行为概览!$D$3:$M$33,10,0)*IF(玩法行为规划!R50&gt;0,1,0))</f>
        <v>3</v>
      </c>
      <c r="T50" s="7" t="str">
        <f>IF(VLOOKUP(T$2,行为概览!$D$3:$M$33,10,0)="","",VLOOKUP(T$2,行为概览!$D$3:$M$33,10,0)*IF(玩法行为规划!S50&gt;0,1,0))</f>
        <v/>
      </c>
      <c r="U50" s="7" t="str">
        <f>IF(VLOOKUP(U$2,行为概览!$D$3:$M$33,10,0)="","",VLOOKUP(U$2,行为概览!$D$3:$M$33,10,0)*IF(玩法行为规划!T50&gt;0,1,0))</f>
        <v/>
      </c>
      <c r="V50" s="7">
        <f>IF(VLOOKUP(V$2,行为概览!$D$3:$M$33,10,0)="","",VLOOKUP(V$2,行为概览!$D$3:$M$33,10,0)*IF(玩法行为规划!U50&gt;0,1,0))</f>
        <v>4</v>
      </c>
      <c r="W50" s="7" t="str">
        <f>IF(VLOOKUP(W$2,行为概览!$D$3:$M$33,10,0)="","",VLOOKUP(W$2,行为概览!$D$3:$M$33,10,0)*IF(玩法行为规划!V50&gt;0,1,0))</f>
        <v/>
      </c>
      <c r="X50" s="7" t="str">
        <f>IF(VLOOKUP(X$2,行为概览!$D$3:$M$33,10,0)="","",VLOOKUP(X$2,行为概览!$D$3:$M$33,10,0)*IF(玩法行为规划!W50&gt;0,1,0))</f>
        <v/>
      </c>
      <c r="Y50" s="7" t="str">
        <f>IF(VLOOKUP(Y$2,行为概览!$D$3:$M$33,10,0)="","",VLOOKUP(Y$2,行为概览!$D$3:$M$33,10,0)*IF(玩法行为规划!X50&gt;0,1,0))</f>
        <v/>
      </c>
      <c r="Z50" s="7">
        <f>IF(VLOOKUP(Z$2,行为概览!$D$3:$M$33,10,0)="","",VLOOKUP(Z$2,行为概览!$D$3:$M$33,10,0)*IF(玩法行为规划!Y50&gt;0,1,0))</f>
        <v>10</v>
      </c>
      <c r="AA50" s="7" t="str">
        <f>IF(VLOOKUP(AA$2,行为概览!$D$3:$M$33,10,0)="","",VLOOKUP(AA$2,行为概览!$D$3:$M$33,10,0)*IF(玩法行为规划!Z50&gt;0,1,0))</f>
        <v/>
      </c>
      <c r="AB50" s="7" t="str">
        <f>IF(VLOOKUP(AB$2,行为概览!$D$3:$M$33,10,0)="","",VLOOKUP(AB$2,行为概览!$D$3:$M$33,10,0)*IF(玩法行为规划!AA50&gt;0,1,0))</f>
        <v/>
      </c>
      <c r="AC50" s="7" t="str">
        <f>IF(VLOOKUP(AC$2,行为概览!$D$3:$M$33,10,0)="","",VLOOKUP(AC$2,行为概览!$D$3:$M$33,10,0)*IF(玩法行为规划!AB50&gt;0,1,0))</f>
        <v/>
      </c>
      <c r="AD50" s="7" t="str">
        <f>IF(VLOOKUP(AD$2,行为概览!$D$3:$M$33,10,0)="","",VLOOKUP(AD$2,行为概览!$D$3:$M$33,10,0)*IF(玩法行为规划!AC50&gt;0,1,0))</f>
        <v/>
      </c>
      <c r="AE50" s="7" t="str">
        <f>IF(VLOOKUP(AE$2,行为概览!$D$3:$M$33,10,0)="","",VLOOKUP(AE$2,行为概览!$D$3:$M$33,10,0)*IF(玩法行为规划!AD50&gt;0,1,0))</f>
        <v/>
      </c>
      <c r="AF50" s="7">
        <f>IF(VLOOKUP(AF$2,行为概览!$D$3:$M$33,10,0)="","",VLOOKUP(AF$2,行为概览!$D$3:$M$33,10,0)*IF(玩法行为规划!AE50&gt;0,1,0))</f>
        <v>20</v>
      </c>
      <c r="AG50" s="7">
        <f t="shared" si="4"/>
        <v>80</v>
      </c>
      <c r="AH50" s="7">
        <f t="shared" si="5"/>
        <v>3840</v>
      </c>
      <c r="AI50" s="7">
        <v>0</v>
      </c>
      <c r="AJ50" s="21" t="str">
        <f t="shared" si="6"/>
        <v/>
      </c>
      <c r="AK50" s="7">
        <f t="shared" si="2"/>
        <v>3840</v>
      </c>
      <c r="AL50" s="7">
        <f>SUM($AK$3:AK50)</f>
        <v>62215</v>
      </c>
    </row>
    <row r="51" spans="1:38">
      <c r="A51" s="32">
        <v>49</v>
      </c>
      <c r="B51" s="87">
        <f>升级节奏!F51</f>
        <v>49</v>
      </c>
      <c r="C51" s="7">
        <f>IF(VLOOKUP(C$2,行为概览!$D$3:$M$33,10,0)="","",VLOOKUP(C$2,行为概览!$D$3:$M$33,10,0)*IF(玩法行为规划!B51&gt;0,1,0))</f>
        <v>8</v>
      </c>
      <c r="D51" s="7" t="str">
        <f>IF(VLOOKUP(D$2,行为概览!$D$3:$M$33,10,0)="","",VLOOKUP(D$2,行为概览!$D$3:$M$33,10,0)*IF(玩法行为规划!C51&gt;0,1,0))</f>
        <v/>
      </c>
      <c r="E51" s="7" t="str">
        <f>IF(VLOOKUP(E$2,行为概览!$D$3:$M$33,10,0)="","",VLOOKUP(E$2,行为概览!$D$3:$M$33,10,0)*IF(玩法行为规划!D51&gt;0,1,0))</f>
        <v/>
      </c>
      <c r="F51" s="7">
        <f>IF(VLOOKUP(F$2,行为概览!$D$3:$M$33,10,0)="","",VLOOKUP(F$2,行为概览!$D$3:$M$33,10,0)*IF(玩法行为规划!E51&gt;0,1,0))</f>
        <v>10</v>
      </c>
      <c r="G51" s="7" t="str">
        <f>IF(VLOOKUP(G$2,行为概览!$D$3:$M$33,10,0)="","",VLOOKUP(G$2,行为概览!$D$3:$M$33,10,0)*IF(玩法行为规划!F51&gt;0,1,0))</f>
        <v/>
      </c>
      <c r="H51" s="7" t="str">
        <f>IF(VLOOKUP(H$2,行为概览!$D$3:$M$33,10,0)="","",VLOOKUP(H$2,行为概览!$D$3:$M$33,10,0)*IF(玩法行为规划!G51&gt;0,1,0))</f>
        <v/>
      </c>
      <c r="I51" s="7" t="str">
        <f>IF(VLOOKUP(I$2,行为概览!$D$3:$M$33,10,0)="","",VLOOKUP(I$2,行为概览!$D$3:$M$33,10,0)*IF(玩法行为规划!H51&gt;0,1,0))</f>
        <v/>
      </c>
      <c r="J51" s="7" t="str">
        <f>IF(VLOOKUP(J$2,行为概览!$D$3:$M$33,10,0)="","",VLOOKUP(J$2,行为概览!$D$3:$M$33,10,0)*IF(玩法行为规划!I51&gt;0,1,0))</f>
        <v/>
      </c>
      <c r="K51" s="7">
        <f>IF(VLOOKUP(K$2,行为概览!$D$3:$M$33,10,0)="","",VLOOKUP(K$2,行为概览!$D$3:$M$33,10,0)*IF(玩法行为规划!J51&gt;0,1,0))</f>
        <v>10</v>
      </c>
      <c r="L51" s="7">
        <f>IF(VLOOKUP(L$2,行为概览!$D$3:$M$33,10,0)="","",VLOOKUP(L$2,行为概览!$D$3:$M$33,10,0)*IF(玩法行为规划!K51&gt;0,1,0))</f>
        <v>5</v>
      </c>
      <c r="M51" s="7" t="str">
        <f>IF(VLOOKUP(M$2,行为概览!$D$3:$M$33,10,0)="","",VLOOKUP(M$2,行为概览!$D$3:$M$33,10,0)*IF(玩法行为规划!L51&gt;0,1,0))</f>
        <v/>
      </c>
      <c r="N51" s="7" t="str">
        <f>IF(VLOOKUP(N$2,行为概览!$D$3:$M$33,10,0)="","",VLOOKUP(N$2,行为概览!$D$3:$M$33,10,0)*IF(玩法行为规划!M51&gt;0,1,0))</f>
        <v/>
      </c>
      <c r="O51" s="7" t="str">
        <f>IF(VLOOKUP(O$2,行为概览!$D$3:$M$33,10,0)="","",VLOOKUP(O$2,行为概览!$D$3:$M$33,10,0)*IF(玩法行为规划!N51&gt;0,1,0))</f>
        <v/>
      </c>
      <c r="P51" s="7" t="str">
        <f>IF(VLOOKUP(P$2,行为概览!$D$3:$M$33,10,0)="","",VLOOKUP(P$2,行为概览!$D$3:$M$33,10,0)*IF(玩法行为规划!O51&gt;0,1,0))</f>
        <v/>
      </c>
      <c r="Q51" s="7">
        <f>IF(VLOOKUP(Q$2,行为概览!$D$3:$M$33,10,0)="","",VLOOKUP(Q$2,行为概览!$D$3:$M$33,10,0)*IF(玩法行为规划!P51&gt;0,1,0))</f>
        <v>10</v>
      </c>
      <c r="R51" s="7" t="str">
        <f>IF(VLOOKUP(R$2,行为概览!$D$3:$M$33,10,0)="","",VLOOKUP(R$2,行为概览!$D$3:$M$33,10,0)*IF(玩法行为规划!Q51&gt;0,1,0))</f>
        <v/>
      </c>
      <c r="S51" s="7">
        <f>IF(VLOOKUP(S$2,行为概览!$D$3:$M$33,10,0)="","",VLOOKUP(S$2,行为概览!$D$3:$M$33,10,0)*IF(玩法行为规划!R51&gt;0,1,0))</f>
        <v>3</v>
      </c>
      <c r="T51" s="7" t="str">
        <f>IF(VLOOKUP(T$2,行为概览!$D$3:$M$33,10,0)="","",VLOOKUP(T$2,行为概览!$D$3:$M$33,10,0)*IF(玩法行为规划!S51&gt;0,1,0))</f>
        <v/>
      </c>
      <c r="U51" s="7" t="str">
        <f>IF(VLOOKUP(U$2,行为概览!$D$3:$M$33,10,0)="","",VLOOKUP(U$2,行为概览!$D$3:$M$33,10,0)*IF(玩法行为规划!T51&gt;0,1,0))</f>
        <v/>
      </c>
      <c r="V51" s="7">
        <f>IF(VLOOKUP(V$2,行为概览!$D$3:$M$33,10,0)="","",VLOOKUP(V$2,行为概览!$D$3:$M$33,10,0)*IF(玩法行为规划!U51&gt;0,1,0))</f>
        <v>4</v>
      </c>
      <c r="W51" s="7" t="str">
        <f>IF(VLOOKUP(W$2,行为概览!$D$3:$M$33,10,0)="","",VLOOKUP(W$2,行为概览!$D$3:$M$33,10,0)*IF(玩法行为规划!V51&gt;0,1,0))</f>
        <v/>
      </c>
      <c r="X51" s="7" t="str">
        <f>IF(VLOOKUP(X$2,行为概览!$D$3:$M$33,10,0)="","",VLOOKUP(X$2,行为概览!$D$3:$M$33,10,0)*IF(玩法行为规划!W51&gt;0,1,0))</f>
        <v/>
      </c>
      <c r="Y51" s="7" t="str">
        <f>IF(VLOOKUP(Y$2,行为概览!$D$3:$M$33,10,0)="","",VLOOKUP(Y$2,行为概览!$D$3:$M$33,10,0)*IF(玩法行为规划!X51&gt;0,1,0))</f>
        <v/>
      </c>
      <c r="Z51" s="7">
        <f>IF(VLOOKUP(Z$2,行为概览!$D$3:$M$33,10,0)="","",VLOOKUP(Z$2,行为概览!$D$3:$M$33,10,0)*IF(玩法行为规划!Y51&gt;0,1,0))</f>
        <v>10</v>
      </c>
      <c r="AA51" s="7" t="str">
        <f>IF(VLOOKUP(AA$2,行为概览!$D$3:$M$33,10,0)="","",VLOOKUP(AA$2,行为概览!$D$3:$M$33,10,0)*IF(玩法行为规划!Z51&gt;0,1,0))</f>
        <v/>
      </c>
      <c r="AB51" s="7" t="str">
        <f>IF(VLOOKUP(AB$2,行为概览!$D$3:$M$33,10,0)="","",VLOOKUP(AB$2,行为概览!$D$3:$M$33,10,0)*IF(玩法行为规划!AA51&gt;0,1,0))</f>
        <v/>
      </c>
      <c r="AC51" s="7" t="str">
        <f>IF(VLOOKUP(AC$2,行为概览!$D$3:$M$33,10,0)="","",VLOOKUP(AC$2,行为概览!$D$3:$M$33,10,0)*IF(玩法行为规划!AB51&gt;0,1,0))</f>
        <v/>
      </c>
      <c r="AD51" s="7" t="str">
        <f>IF(VLOOKUP(AD$2,行为概览!$D$3:$M$33,10,0)="","",VLOOKUP(AD$2,行为概览!$D$3:$M$33,10,0)*IF(玩法行为规划!AC51&gt;0,1,0))</f>
        <v/>
      </c>
      <c r="AE51" s="7" t="str">
        <f>IF(VLOOKUP(AE$2,行为概览!$D$3:$M$33,10,0)="","",VLOOKUP(AE$2,行为概览!$D$3:$M$33,10,0)*IF(玩法行为规划!AD51&gt;0,1,0))</f>
        <v/>
      </c>
      <c r="AF51" s="7">
        <f>IF(VLOOKUP(AF$2,行为概览!$D$3:$M$33,10,0)="","",VLOOKUP(AF$2,行为概览!$D$3:$M$33,10,0)*IF(玩法行为规划!AE51&gt;0,1,0))</f>
        <v>20</v>
      </c>
      <c r="AG51" s="7">
        <f t="shared" si="4"/>
        <v>80</v>
      </c>
      <c r="AH51" s="7">
        <f t="shared" si="5"/>
        <v>3920</v>
      </c>
      <c r="AI51" s="7">
        <v>0</v>
      </c>
      <c r="AJ51" s="21" t="str">
        <f t="shared" si="6"/>
        <v/>
      </c>
      <c r="AK51" s="7">
        <f t="shared" si="2"/>
        <v>3920</v>
      </c>
      <c r="AL51" s="7">
        <f>SUM($AK$3:AK51)</f>
        <v>66135</v>
      </c>
    </row>
    <row r="52" spans="1:38">
      <c r="A52" s="32">
        <v>50</v>
      </c>
      <c r="B52" s="87">
        <f>升级节奏!F52</f>
        <v>50</v>
      </c>
      <c r="C52" s="7">
        <f>IF(VLOOKUP(C$2,行为概览!$D$3:$M$33,10,0)="","",VLOOKUP(C$2,行为概览!$D$3:$M$33,10,0)*IF(玩法行为规划!B52&gt;0,1,0))</f>
        <v>8</v>
      </c>
      <c r="D52" s="7" t="str">
        <f>IF(VLOOKUP(D$2,行为概览!$D$3:$M$33,10,0)="","",VLOOKUP(D$2,行为概览!$D$3:$M$33,10,0)*IF(玩法行为规划!C52&gt;0,1,0))</f>
        <v/>
      </c>
      <c r="E52" s="7" t="str">
        <f>IF(VLOOKUP(E$2,行为概览!$D$3:$M$33,10,0)="","",VLOOKUP(E$2,行为概览!$D$3:$M$33,10,0)*IF(玩法行为规划!D52&gt;0,1,0))</f>
        <v/>
      </c>
      <c r="F52" s="7">
        <f>IF(VLOOKUP(F$2,行为概览!$D$3:$M$33,10,0)="","",VLOOKUP(F$2,行为概览!$D$3:$M$33,10,0)*IF(玩法行为规划!E52&gt;0,1,0))</f>
        <v>10</v>
      </c>
      <c r="G52" s="7" t="str">
        <f>IF(VLOOKUP(G$2,行为概览!$D$3:$M$33,10,0)="","",VLOOKUP(G$2,行为概览!$D$3:$M$33,10,0)*IF(玩法行为规划!F52&gt;0,1,0))</f>
        <v/>
      </c>
      <c r="H52" s="7" t="str">
        <f>IF(VLOOKUP(H$2,行为概览!$D$3:$M$33,10,0)="","",VLOOKUP(H$2,行为概览!$D$3:$M$33,10,0)*IF(玩法行为规划!G52&gt;0,1,0))</f>
        <v/>
      </c>
      <c r="I52" s="7" t="str">
        <f>IF(VLOOKUP(I$2,行为概览!$D$3:$M$33,10,0)="","",VLOOKUP(I$2,行为概览!$D$3:$M$33,10,0)*IF(玩法行为规划!H52&gt;0,1,0))</f>
        <v/>
      </c>
      <c r="J52" s="7" t="str">
        <f>IF(VLOOKUP(J$2,行为概览!$D$3:$M$33,10,0)="","",VLOOKUP(J$2,行为概览!$D$3:$M$33,10,0)*IF(玩法行为规划!I52&gt;0,1,0))</f>
        <v/>
      </c>
      <c r="K52" s="7">
        <f>IF(VLOOKUP(K$2,行为概览!$D$3:$M$33,10,0)="","",VLOOKUP(K$2,行为概览!$D$3:$M$33,10,0)*IF(玩法行为规划!J52&gt;0,1,0))</f>
        <v>10</v>
      </c>
      <c r="L52" s="7">
        <f>IF(VLOOKUP(L$2,行为概览!$D$3:$M$33,10,0)="","",VLOOKUP(L$2,行为概览!$D$3:$M$33,10,0)*IF(玩法行为规划!K52&gt;0,1,0))</f>
        <v>5</v>
      </c>
      <c r="M52" s="7" t="str">
        <f>IF(VLOOKUP(M$2,行为概览!$D$3:$M$33,10,0)="","",VLOOKUP(M$2,行为概览!$D$3:$M$33,10,0)*IF(玩法行为规划!L52&gt;0,1,0))</f>
        <v/>
      </c>
      <c r="N52" s="7" t="str">
        <f>IF(VLOOKUP(N$2,行为概览!$D$3:$M$33,10,0)="","",VLOOKUP(N$2,行为概览!$D$3:$M$33,10,0)*IF(玩法行为规划!M52&gt;0,1,0))</f>
        <v/>
      </c>
      <c r="O52" s="7" t="str">
        <f>IF(VLOOKUP(O$2,行为概览!$D$3:$M$33,10,0)="","",VLOOKUP(O$2,行为概览!$D$3:$M$33,10,0)*IF(玩法行为规划!N52&gt;0,1,0))</f>
        <v/>
      </c>
      <c r="P52" s="7" t="str">
        <f>IF(VLOOKUP(P$2,行为概览!$D$3:$M$33,10,0)="","",VLOOKUP(P$2,行为概览!$D$3:$M$33,10,0)*IF(玩法行为规划!O52&gt;0,1,0))</f>
        <v/>
      </c>
      <c r="Q52" s="7">
        <f>IF(VLOOKUP(Q$2,行为概览!$D$3:$M$33,10,0)="","",VLOOKUP(Q$2,行为概览!$D$3:$M$33,10,0)*IF(玩法行为规划!P52&gt;0,1,0))</f>
        <v>10</v>
      </c>
      <c r="R52" s="7" t="str">
        <f>IF(VLOOKUP(R$2,行为概览!$D$3:$M$33,10,0)="","",VLOOKUP(R$2,行为概览!$D$3:$M$33,10,0)*IF(玩法行为规划!Q52&gt;0,1,0))</f>
        <v/>
      </c>
      <c r="S52" s="7">
        <f>IF(VLOOKUP(S$2,行为概览!$D$3:$M$33,10,0)="","",VLOOKUP(S$2,行为概览!$D$3:$M$33,10,0)*IF(玩法行为规划!R52&gt;0,1,0))</f>
        <v>3</v>
      </c>
      <c r="T52" s="7" t="str">
        <f>IF(VLOOKUP(T$2,行为概览!$D$3:$M$33,10,0)="","",VLOOKUP(T$2,行为概览!$D$3:$M$33,10,0)*IF(玩法行为规划!S52&gt;0,1,0))</f>
        <v/>
      </c>
      <c r="U52" s="7" t="str">
        <f>IF(VLOOKUP(U$2,行为概览!$D$3:$M$33,10,0)="","",VLOOKUP(U$2,行为概览!$D$3:$M$33,10,0)*IF(玩法行为规划!T52&gt;0,1,0))</f>
        <v/>
      </c>
      <c r="V52" s="7">
        <f>IF(VLOOKUP(V$2,行为概览!$D$3:$M$33,10,0)="","",VLOOKUP(V$2,行为概览!$D$3:$M$33,10,0)*IF(玩法行为规划!U52&gt;0,1,0))</f>
        <v>4</v>
      </c>
      <c r="W52" s="7" t="str">
        <f>IF(VLOOKUP(W$2,行为概览!$D$3:$M$33,10,0)="","",VLOOKUP(W$2,行为概览!$D$3:$M$33,10,0)*IF(玩法行为规划!V52&gt;0,1,0))</f>
        <v/>
      </c>
      <c r="X52" s="7" t="str">
        <f>IF(VLOOKUP(X$2,行为概览!$D$3:$M$33,10,0)="","",VLOOKUP(X$2,行为概览!$D$3:$M$33,10,0)*IF(玩法行为规划!W52&gt;0,1,0))</f>
        <v/>
      </c>
      <c r="Y52" s="7" t="str">
        <f>IF(VLOOKUP(Y$2,行为概览!$D$3:$M$33,10,0)="","",VLOOKUP(Y$2,行为概览!$D$3:$M$33,10,0)*IF(玩法行为规划!X52&gt;0,1,0))</f>
        <v/>
      </c>
      <c r="Z52" s="7">
        <f>IF(VLOOKUP(Z$2,行为概览!$D$3:$M$33,10,0)="","",VLOOKUP(Z$2,行为概览!$D$3:$M$33,10,0)*IF(玩法行为规划!Y52&gt;0,1,0))</f>
        <v>10</v>
      </c>
      <c r="AA52" s="7" t="str">
        <f>IF(VLOOKUP(AA$2,行为概览!$D$3:$M$33,10,0)="","",VLOOKUP(AA$2,行为概览!$D$3:$M$33,10,0)*IF(玩法行为规划!Z52&gt;0,1,0))</f>
        <v/>
      </c>
      <c r="AB52" s="7" t="str">
        <f>IF(VLOOKUP(AB$2,行为概览!$D$3:$M$33,10,0)="","",VLOOKUP(AB$2,行为概览!$D$3:$M$33,10,0)*IF(玩法行为规划!AA52&gt;0,1,0))</f>
        <v/>
      </c>
      <c r="AC52" s="7" t="str">
        <f>IF(VLOOKUP(AC$2,行为概览!$D$3:$M$33,10,0)="","",VLOOKUP(AC$2,行为概览!$D$3:$M$33,10,0)*IF(玩法行为规划!AB52&gt;0,1,0))</f>
        <v/>
      </c>
      <c r="AD52" s="7" t="str">
        <f>IF(VLOOKUP(AD$2,行为概览!$D$3:$M$33,10,0)="","",VLOOKUP(AD$2,行为概览!$D$3:$M$33,10,0)*IF(玩法行为规划!AC52&gt;0,1,0))</f>
        <v/>
      </c>
      <c r="AE52" s="7" t="str">
        <f>IF(VLOOKUP(AE$2,行为概览!$D$3:$M$33,10,0)="","",VLOOKUP(AE$2,行为概览!$D$3:$M$33,10,0)*IF(玩法行为规划!AD52&gt;0,1,0))</f>
        <v/>
      </c>
      <c r="AF52" s="7">
        <f>IF(VLOOKUP(AF$2,行为概览!$D$3:$M$33,10,0)="","",VLOOKUP(AF$2,行为概览!$D$3:$M$33,10,0)*IF(玩法行为规划!AE52&gt;0,1,0))</f>
        <v>20</v>
      </c>
      <c r="AG52" s="7">
        <f t="shared" si="4"/>
        <v>80</v>
      </c>
      <c r="AH52" s="7">
        <f t="shared" si="5"/>
        <v>4000</v>
      </c>
      <c r="AI52" s="7">
        <v>0</v>
      </c>
      <c r="AJ52" s="21">
        <f t="shared" si="6"/>
        <v>0</v>
      </c>
      <c r="AK52" s="7">
        <f t="shared" si="2"/>
        <v>4000</v>
      </c>
      <c r="AL52" s="7">
        <f>SUM($AK$3:AK52)</f>
        <v>70135</v>
      </c>
    </row>
    <row r="53" spans="1:38">
      <c r="A53" s="32">
        <v>51</v>
      </c>
      <c r="B53" s="87">
        <f>升级节奏!F53</f>
        <v>51</v>
      </c>
      <c r="C53" s="7">
        <f>IF(VLOOKUP(C$2,行为概览!$D$3:$M$33,10,0)="","",VLOOKUP(C$2,行为概览!$D$3:$M$33,10,0)*IF(玩法行为规划!B53&gt;0,1,0))</f>
        <v>8</v>
      </c>
      <c r="D53" s="7" t="str">
        <f>IF(VLOOKUP(D$2,行为概览!$D$3:$M$33,10,0)="","",VLOOKUP(D$2,行为概览!$D$3:$M$33,10,0)*IF(玩法行为规划!C53&gt;0,1,0))</f>
        <v/>
      </c>
      <c r="E53" s="7" t="str">
        <f>IF(VLOOKUP(E$2,行为概览!$D$3:$M$33,10,0)="","",VLOOKUP(E$2,行为概览!$D$3:$M$33,10,0)*IF(玩法行为规划!D53&gt;0,1,0))</f>
        <v/>
      </c>
      <c r="F53" s="7">
        <f>IF(VLOOKUP(F$2,行为概览!$D$3:$M$33,10,0)="","",VLOOKUP(F$2,行为概览!$D$3:$M$33,10,0)*IF(玩法行为规划!E53&gt;0,1,0))</f>
        <v>10</v>
      </c>
      <c r="G53" s="7" t="str">
        <f>IF(VLOOKUP(G$2,行为概览!$D$3:$M$33,10,0)="","",VLOOKUP(G$2,行为概览!$D$3:$M$33,10,0)*IF(玩法行为规划!F53&gt;0,1,0))</f>
        <v/>
      </c>
      <c r="H53" s="7" t="str">
        <f>IF(VLOOKUP(H$2,行为概览!$D$3:$M$33,10,0)="","",VLOOKUP(H$2,行为概览!$D$3:$M$33,10,0)*IF(玩法行为规划!G53&gt;0,1,0))</f>
        <v/>
      </c>
      <c r="I53" s="7" t="str">
        <f>IF(VLOOKUP(I$2,行为概览!$D$3:$M$33,10,0)="","",VLOOKUP(I$2,行为概览!$D$3:$M$33,10,0)*IF(玩法行为规划!H53&gt;0,1,0))</f>
        <v/>
      </c>
      <c r="J53" s="7" t="str">
        <f>IF(VLOOKUP(J$2,行为概览!$D$3:$M$33,10,0)="","",VLOOKUP(J$2,行为概览!$D$3:$M$33,10,0)*IF(玩法行为规划!I53&gt;0,1,0))</f>
        <v/>
      </c>
      <c r="K53" s="7">
        <f>IF(VLOOKUP(K$2,行为概览!$D$3:$M$33,10,0)="","",VLOOKUP(K$2,行为概览!$D$3:$M$33,10,0)*IF(玩法行为规划!J53&gt;0,1,0))</f>
        <v>10</v>
      </c>
      <c r="L53" s="7">
        <f>IF(VLOOKUP(L$2,行为概览!$D$3:$M$33,10,0)="","",VLOOKUP(L$2,行为概览!$D$3:$M$33,10,0)*IF(玩法行为规划!K53&gt;0,1,0))</f>
        <v>5</v>
      </c>
      <c r="M53" s="7" t="str">
        <f>IF(VLOOKUP(M$2,行为概览!$D$3:$M$33,10,0)="","",VLOOKUP(M$2,行为概览!$D$3:$M$33,10,0)*IF(玩法行为规划!L53&gt;0,1,0))</f>
        <v/>
      </c>
      <c r="N53" s="7" t="str">
        <f>IF(VLOOKUP(N$2,行为概览!$D$3:$M$33,10,0)="","",VLOOKUP(N$2,行为概览!$D$3:$M$33,10,0)*IF(玩法行为规划!M53&gt;0,1,0))</f>
        <v/>
      </c>
      <c r="O53" s="7" t="str">
        <f>IF(VLOOKUP(O$2,行为概览!$D$3:$M$33,10,0)="","",VLOOKUP(O$2,行为概览!$D$3:$M$33,10,0)*IF(玩法行为规划!N53&gt;0,1,0))</f>
        <v/>
      </c>
      <c r="P53" s="7" t="str">
        <f>IF(VLOOKUP(P$2,行为概览!$D$3:$M$33,10,0)="","",VLOOKUP(P$2,行为概览!$D$3:$M$33,10,0)*IF(玩法行为规划!O53&gt;0,1,0))</f>
        <v/>
      </c>
      <c r="Q53" s="7">
        <f>IF(VLOOKUP(Q$2,行为概览!$D$3:$M$33,10,0)="","",VLOOKUP(Q$2,行为概览!$D$3:$M$33,10,0)*IF(玩法行为规划!P53&gt;0,1,0))</f>
        <v>10</v>
      </c>
      <c r="R53" s="7" t="str">
        <f>IF(VLOOKUP(R$2,行为概览!$D$3:$M$33,10,0)="","",VLOOKUP(R$2,行为概览!$D$3:$M$33,10,0)*IF(玩法行为规划!Q53&gt;0,1,0))</f>
        <v/>
      </c>
      <c r="S53" s="7">
        <f>IF(VLOOKUP(S$2,行为概览!$D$3:$M$33,10,0)="","",VLOOKUP(S$2,行为概览!$D$3:$M$33,10,0)*IF(玩法行为规划!R53&gt;0,1,0))</f>
        <v>3</v>
      </c>
      <c r="T53" s="7" t="str">
        <f>IF(VLOOKUP(T$2,行为概览!$D$3:$M$33,10,0)="","",VLOOKUP(T$2,行为概览!$D$3:$M$33,10,0)*IF(玩法行为规划!S53&gt;0,1,0))</f>
        <v/>
      </c>
      <c r="U53" s="7" t="str">
        <f>IF(VLOOKUP(U$2,行为概览!$D$3:$M$33,10,0)="","",VLOOKUP(U$2,行为概览!$D$3:$M$33,10,0)*IF(玩法行为规划!T53&gt;0,1,0))</f>
        <v/>
      </c>
      <c r="V53" s="7">
        <f>IF(VLOOKUP(V$2,行为概览!$D$3:$M$33,10,0)="","",VLOOKUP(V$2,行为概览!$D$3:$M$33,10,0)*IF(玩法行为规划!U53&gt;0,1,0))</f>
        <v>4</v>
      </c>
      <c r="W53" s="7" t="str">
        <f>IF(VLOOKUP(W$2,行为概览!$D$3:$M$33,10,0)="","",VLOOKUP(W$2,行为概览!$D$3:$M$33,10,0)*IF(玩法行为规划!V53&gt;0,1,0))</f>
        <v/>
      </c>
      <c r="X53" s="7" t="str">
        <f>IF(VLOOKUP(X$2,行为概览!$D$3:$M$33,10,0)="","",VLOOKUP(X$2,行为概览!$D$3:$M$33,10,0)*IF(玩法行为规划!W53&gt;0,1,0))</f>
        <v/>
      </c>
      <c r="Y53" s="7" t="str">
        <f>IF(VLOOKUP(Y$2,行为概览!$D$3:$M$33,10,0)="","",VLOOKUP(Y$2,行为概览!$D$3:$M$33,10,0)*IF(玩法行为规划!X53&gt;0,1,0))</f>
        <v/>
      </c>
      <c r="Z53" s="7">
        <f>IF(VLOOKUP(Z$2,行为概览!$D$3:$M$33,10,0)="","",VLOOKUP(Z$2,行为概览!$D$3:$M$33,10,0)*IF(玩法行为规划!Y53&gt;0,1,0))</f>
        <v>10</v>
      </c>
      <c r="AA53" s="7" t="str">
        <f>IF(VLOOKUP(AA$2,行为概览!$D$3:$M$33,10,0)="","",VLOOKUP(AA$2,行为概览!$D$3:$M$33,10,0)*IF(玩法行为规划!Z53&gt;0,1,0))</f>
        <v/>
      </c>
      <c r="AB53" s="7" t="str">
        <f>IF(VLOOKUP(AB$2,行为概览!$D$3:$M$33,10,0)="","",VLOOKUP(AB$2,行为概览!$D$3:$M$33,10,0)*IF(玩法行为规划!AA53&gt;0,1,0))</f>
        <v/>
      </c>
      <c r="AC53" s="7" t="str">
        <f>IF(VLOOKUP(AC$2,行为概览!$D$3:$M$33,10,0)="","",VLOOKUP(AC$2,行为概览!$D$3:$M$33,10,0)*IF(玩法行为规划!AB53&gt;0,1,0))</f>
        <v/>
      </c>
      <c r="AD53" s="7" t="str">
        <f>IF(VLOOKUP(AD$2,行为概览!$D$3:$M$33,10,0)="","",VLOOKUP(AD$2,行为概览!$D$3:$M$33,10,0)*IF(玩法行为规划!AC53&gt;0,1,0))</f>
        <v/>
      </c>
      <c r="AE53" s="7" t="str">
        <f>IF(VLOOKUP(AE$2,行为概览!$D$3:$M$33,10,0)="","",VLOOKUP(AE$2,行为概览!$D$3:$M$33,10,0)*IF(玩法行为规划!AD53&gt;0,1,0))</f>
        <v/>
      </c>
      <c r="AF53" s="7">
        <f>IF(VLOOKUP(AF$2,行为概览!$D$3:$M$33,10,0)="","",VLOOKUP(AF$2,行为概览!$D$3:$M$33,10,0)*IF(玩法行为规划!AE53&gt;0,1,0))</f>
        <v>20</v>
      </c>
      <c r="AG53" s="7">
        <f t="shared" si="4"/>
        <v>80</v>
      </c>
      <c r="AH53" s="7">
        <f t="shared" si="5"/>
        <v>4080</v>
      </c>
      <c r="AI53" s="7">
        <v>0</v>
      </c>
      <c r="AJ53" s="21" t="str">
        <f t="shared" si="6"/>
        <v/>
      </c>
      <c r="AK53" s="7">
        <f t="shared" si="2"/>
        <v>4080</v>
      </c>
      <c r="AL53" s="7">
        <f>SUM($AK$3:AK53)</f>
        <v>74215</v>
      </c>
    </row>
    <row r="54" spans="1:38">
      <c r="A54" s="32">
        <v>52</v>
      </c>
      <c r="B54" s="87">
        <f>升级节奏!F54</f>
        <v>52</v>
      </c>
      <c r="C54" s="7">
        <f>IF(VLOOKUP(C$2,行为概览!$D$3:$M$33,10,0)="","",VLOOKUP(C$2,行为概览!$D$3:$M$33,10,0)*IF(玩法行为规划!B54&gt;0,1,0))</f>
        <v>8</v>
      </c>
      <c r="D54" s="7" t="str">
        <f>IF(VLOOKUP(D$2,行为概览!$D$3:$M$33,10,0)="","",VLOOKUP(D$2,行为概览!$D$3:$M$33,10,0)*IF(玩法行为规划!C54&gt;0,1,0))</f>
        <v/>
      </c>
      <c r="E54" s="7" t="str">
        <f>IF(VLOOKUP(E$2,行为概览!$D$3:$M$33,10,0)="","",VLOOKUP(E$2,行为概览!$D$3:$M$33,10,0)*IF(玩法行为规划!D54&gt;0,1,0))</f>
        <v/>
      </c>
      <c r="F54" s="7">
        <f>IF(VLOOKUP(F$2,行为概览!$D$3:$M$33,10,0)="","",VLOOKUP(F$2,行为概览!$D$3:$M$33,10,0)*IF(玩法行为规划!E54&gt;0,1,0))</f>
        <v>10</v>
      </c>
      <c r="G54" s="7" t="str">
        <f>IF(VLOOKUP(G$2,行为概览!$D$3:$M$33,10,0)="","",VLOOKUP(G$2,行为概览!$D$3:$M$33,10,0)*IF(玩法行为规划!F54&gt;0,1,0))</f>
        <v/>
      </c>
      <c r="H54" s="7" t="str">
        <f>IF(VLOOKUP(H$2,行为概览!$D$3:$M$33,10,0)="","",VLOOKUP(H$2,行为概览!$D$3:$M$33,10,0)*IF(玩法行为规划!G54&gt;0,1,0))</f>
        <v/>
      </c>
      <c r="I54" s="7" t="str">
        <f>IF(VLOOKUP(I$2,行为概览!$D$3:$M$33,10,0)="","",VLOOKUP(I$2,行为概览!$D$3:$M$33,10,0)*IF(玩法行为规划!H54&gt;0,1,0))</f>
        <v/>
      </c>
      <c r="J54" s="7" t="str">
        <f>IF(VLOOKUP(J$2,行为概览!$D$3:$M$33,10,0)="","",VLOOKUP(J$2,行为概览!$D$3:$M$33,10,0)*IF(玩法行为规划!I54&gt;0,1,0))</f>
        <v/>
      </c>
      <c r="K54" s="7">
        <f>IF(VLOOKUP(K$2,行为概览!$D$3:$M$33,10,0)="","",VLOOKUP(K$2,行为概览!$D$3:$M$33,10,0)*IF(玩法行为规划!J54&gt;0,1,0))</f>
        <v>10</v>
      </c>
      <c r="L54" s="7">
        <f>IF(VLOOKUP(L$2,行为概览!$D$3:$M$33,10,0)="","",VLOOKUP(L$2,行为概览!$D$3:$M$33,10,0)*IF(玩法行为规划!K54&gt;0,1,0))</f>
        <v>5</v>
      </c>
      <c r="M54" s="7" t="str">
        <f>IF(VLOOKUP(M$2,行为概览!$D$3:$M$33,10,0)="","",VLOOKUP(M$2,行为概览!$D$3:$M$33,10,0)*IF(玩法行为规划!L54&gt;0,1,0))</f>
        <v/>
      </c>
      <c r="N54" s="7" t="str">
        <f>IF(VLOOKUP(N$2,行为概览!$D$3:$M$33,10,0)="","",VLOOKUP(N$2,行为概览!$D$3:$M$33,10,0)*IF(玩法行为规划!M54&gt;0,1,0))</f>
        <v/>
      </c>
      <c r="O54" s="7" t="str">
        <f>IF(VLOOKUP(O$2,行为概览!$D$3:$M$33,10,0)="","",VLOOKUP(O$2,行为概览!$D$3:$M$33,10,0)*IF(玩法行为规划!N54&gt;0,1,0))</f>
        <v/>
      </c>
      <c r="P54" s="7" t="str">
        <f>IF(VLOOKUP(P$2,行为概览!$D$3:$M$33,10,0)="","",VLOOKUP(P$2,行为概览!$D$3:$M$33,10,0)*IF(玩法行为规划!O54&gt;0,1,0))</f>
        <v/>
      </c>
      <c r="Q54" s="7">
        <f>IF(VLOOKUP(Q$2,行为概览!$D$3:$M$33,10,0)="","",VLOOKUP(Q$2,行为概览!$D$3:$M$33,10,0)*IF(玩法行为规划!P54&gt;0,1,0))</f>
        <v>10</v>
      </c>
      <c r="R54" s="7" t="str">
        <f>IF(VLOOKUP(R$2,行为概览!$D$3:$M$33,10,0)="","",VLOOKUP(R$2,行为概览!$D$3:$M$33,10,0)*IF(玩法行为规划!Q54&gt;0,1,0))</f>
        <v/>
      </c>
      <c r="S54" s="7">
        <f>IF(VLOOKUP(S$2,行为概览!$D$3:$M$33,10,0)="","",VLOOKUP(S$2,行为概览!$D$3:$M$33,10,0)*IF(玩法行为规划!R54&gt;0,1,0))</f>
        <v>3</v>
      </c>
      <c r="T54" s="7" t="str">
        <f>IF(VLOOKUP(T$2,行为概览!$D$3:$M$33,10,0)="","",VLOOKUP(T$2,行为概览!$D$3:$M$33,10,0)*IF(玩法行为规划!S54&gt;0,1,0))</f>
        <v/>
      </c>
      <c r="U54" s="7" t="str">
        <f>IF(VLOOKUP(U$2,行为概览!$D$3:$M$33,10,0)="","",VLOOKUP(U$2,行为概览!$D$3:$M$33,10,0)*IF(玩法行为规划!T54&gt;0,1,0))</f>
        <v/>
      </c>
      <c r="V54" s="7">
        <f>IF(VLOOKUP(V$2,行为概览!$D$3:$M$33,10,0)="","",VLOOKUP(V$2,行为概览!$D$3:$M$33,10,0)*IF(玩法行为规划!U54&gt;0,1,0))</f>
        <v>4</v>
      </c>
      <c r="W54" s="7" t="str">
        <f>IF(VLOOKUP(W$2,行为概览!$D$3:$M$33,10,0)="","",VLOOKUP(W$2,行为概览!$D$3:$M$33,10,0)*IF(玩法行为规划!V54&gt;0,1,0))</f>
        <v/>
      </c>
      <c r="X54" s="7" t="str">
        <f>IF(VLOOKUP(X$2,行为概览!$D$3:$M$33,10,0)="","",VLOOKUP(X$2,行为概览!$D$3:$M$33,10,0)*IF(玩法行为规划!W54&gt;0,1,0))</f>
        <v/>
      </c>
      <c r="Y54" s="7" t="str">
        <f>IF(VLOOKUP(Y$2,行为概览!$D$3:$M$33,10,0)="","",VLOOKUP(Y$2,行为概览!$D$3:$M$33,10,0)*IF(玩法行为规划!X54&gt;0,1,0))</f>
        <v/>
      </c>
      <c r="Z54" s="7">
        <f>IF(VLOOKUP(Z$2,行为概览!$D$3:$M$33,10,0)="","",VLOOKUP(Z$2,行为概览!$D$3:$M$33,10,0)*IF(玩法行为规划!Y54&gt;0,1,0))</f>
        <v>10</v>
      </c>
      <c r="AA54" s="7" t="str">
        <f>IF(VLOOKUP(AA$2,行为概览!$D$3:$M$33,10,0)="","",VLOOKUP(AA$2,行为概览!$D$3:$M$33,10,0)*IF(玩法行为规划!Z54&gt;0,1,0))</f>
        <v/>
      </c>
      <c r="AB54" s="7" t="str">
        <f>IF(VLOOKUP(AB$2,行为概览!$D$3:$M$33,10,0)="","",VLOOKUP(AB$2,行为概览!$D$3:$M$33,10,0)*IF(玩法行为规划!AA54&gt;0,1,0))</f>
        <v/>
      </c>
      <c r="AC54" s="7" t="str">
        <f>IF(VLOOKUP(AC$2,行为概览!$D$3:$M$33,10,0)="","",VLOOKUP(AC$2,行为概览!$D$3:$M$33,10,0)*IF(玩法行为规划!AB54&gt;0,1,0))</f>
        <v/>
      </c>
      <c r="AD54" s="7" t="str">
        <f>IF(VLOOKUP(AD$2,行为概览!$D$3:$M$33,10,0)="","",VLOOKUP(AD$2,行为概览!$D$3:$M$33,10,0)*IF(玩法行为规划!AC54&gt;0,1,0))</f>
        <v/>
      </c>
      <c r="AE54" s="7" t="str">
        <f>IF(VLOOKUP(AE$2,行为概览!$D$3:$M$33,10,0)="","",VLOOKUP(AE$2,行为概览!$D$3:$M$33,10,0)*IF(玩法行为规划!AD54&gt;0,1,0))</f>
        <v/>
      </c>
      <c r="AF54" s="7">
        <f>IF(VLOOKUP(AF$2,行为概览!$D$3:$M$33,10,0)="","",VLOOKUP(AF$2,行为概览!$D$3:$M$33,10,0)*IF(玩法行为规划!AE54&gt;0,1,0))</f>
        <v>20</v>
      </c>
      <c r="AG54" s="7">
        <f t="shared" si="4"/>
        <v>80</v>
      </c>
      <c r="AH54" s="7">
        <f t="shared" si="5"/>
        <v>4160</v>
      </c>
      <c r="AI54" s="7">
        <v>0</v>
      </c>
      <c r="AJ54" s="21" t="str">
        <f t="shared" si="6"/>
        <v/>
      </c>
      <c r="AK54" s="7">
        <f t="shared" si="2"/>
        <v>4160</v>
      </c>
      <c r="AL54" s="7">
        <f>SUM($AK$3:AK54)</f>
        <v>78375</v>
      </c>
    </row>
    <row r="55" spans="1:38">
      <c r="A55" s="32">
        <v>53</v>
      </c>
      <c r="B55" s="87">
        <f>升级节奏!F55</f>
        <v>53</v>
      </c>
      <c r="C55" s="7">
        <f>IF(VLOOKUP(C$2,行为概览!$D$3:$M$33,10,0)="","",VLOOKUP(C$2,行为概览!$D$3:$M$33,10,0)*IF(玩法行为规划!B55&gt;0,1,0))</f>
        <v>8</v>
      </c>
      <c r="D55" s="7" t="str">
        <f>IF(VLOOKUP(D$2,行为概览!$D$3:$M$33,10,0)="","",VLOOKUP(D$2,行为概览!$D$3:$M$33,10,0)*IF(玩法行为规划!C55&gt;0,1,0))</f>
        <v/>
      </c>
      <c r="E55" s="7" t="str">
        <f>IF(VLOOKUP(E$2,行为概览!$D$3:$M$33,10,0)="","",VLOOKUP(E$2,行为概览!$D$3:$M$33,10,0)*IF(玩法行为规划!D55&gt;0,1,0))</f>
        <v/>
      </c>
      <c r="F55" s="7">
        <f>IF(VLOOKUP(F$2,行为概览!$D$3:$M$33,10,0)="","",VLOOKUP(F$2,行为概览!$D$3:$M$33,10,0)*IF(玩法行为规划!E55&gt;0,1,0))</f>
        <v>10</v>
      </c>
      <c r="G55" s="7" t="str">
        <f>IF(VLOOKUP(G$2,行为概览!$D$3:$M$33,10,0)="","",VLOOKUP(G$2,行为概览!$D$3:$M$33,10,0)*IF(玩法行为规划!F55&gt;0,1,0))</f>
        <v/>
      </c>
      <c r="H55" s="7" t="str">
        <f>IF(VLOOKUP(H$2,行为概览!$D$3:$M$33,10,0)="","",VLOOKUP(H$2,行为概览!$D$3:$M$33,10,0)*IF(玩法行为规划!G55&gt;0,1,0))</f>
        <v/>
      </c>
      <c r="I55" s="7" t="str">
        <f>IF(VLOOKUP(I$2,行为概览!$D$3:$M$33,10,0)="","",VLOOKUP(I$2,行为概览!$D$3:$M$33,10,0)*IF(玩法行为规划!H55&gt;0,1,0))</f>
        <v/>
      </c>
      <c r="J55" s="7" t="str">
        <f>IF(VLOOKUP(J$2,行为概览!$D$3:$M$33,10,0)="","",VLOOKUP(J$2,行为概览!$D$3:$M$33,10,0)*IF(玩法行为规划!I55&gt;0,1,0))</f>
        <v/>
      </c>
      <c r="K55" s="7">
        <f>IF(VLOOKUP(K$2,行为概览!$D$3:$M$33,10,0)="","",VLOOKUP(K$2,行为概览!$D$3:$M$33,10,0)*IF(玩法行为规划!J55&gt;0,1,0))</f>
        <v>10</v>
      </c>
      <c r="L55" s="7">
        <f>IF(VLOOKUP(L$2,行为概览!$D$3:$M$33,10,0)="","",VLOOKUP(L$2,行为概览!$D$3:$M$33,10,0)*IF(玩法行为规划!K55&gt;0,1,0))</f>
        <v>5</v>
      </c>
      <c r="M55" s="7" t="str">
        <f>IF(VLOOKUP(M$2,行为概览!$D$3:$M$33,10,0)="","",VLOOKUP(M$2,行为概览!$D$3:$M$33,10,0)*IF(玩法行为规划!L55&gt;0,1,0))</f>
        <v/>
      </c>
      <c r="N55" s="7" t="str">
        <f>IF(VLOOKUP(N$2,行为概览!$D$3:$M$33,10,0)="","",VLOOKUP(N$2,行为概览!$D$3:$M$33,10,0)*IF(玩法行为规划!M55&gt;0,1,0))</f>
        <v/>
      </c>
      <c r="O55" s="7" t="str">
        <f>IF(VLOOKUP(O$2,行为概览!$D$3:$M$33,10,0)="","",VLOOKUP(O$2,行为概览!$D$3:$M$33,10,0)*IF(玩法行为规划!N55&gt;0,1,0))</f>
        <v/>
      </c>
      <c r="P55" s="7" t="str">
        <f>IF(VLOOKUP(P$2,行为概览!$D$3:$M$33,10,0)="","",VLOOKUP(P$2,行为概览!$D$3:$M$33,10,0)*IF(玩法行为规划!O55&gt;0,1,0))</f>
        <v/>
      </c>
      <c r="Q55" s="7">
        <f>IF(VLOOKUP(Q$2,行为概览!$D$3:$M$33,10,0)="","",VLOOKUP(Q$2,行为概览!$D$3:$M$33,10,0)*IF(玩法行为规划!P55&gt;0,1,0))</f>
        <v>10</v>
      </c>
      <c r="R55" s="7" t="str">
        <f>IF(VLOOKUP(R$2,行为概览!$D$3:$M$33,10,0)="","",VLOOKUP(R$2,行为概览!$D$3:$M$33,10,0)*IF(玩法行为规划!Q55&gt;0,1,0))</f>
        <v/>
      </c>
      <c r="S55" s="7">
        <f>IF(VLOOKUP(S$2,行为概览!$D$3:$M$33,10,0)="","",VLOOKUP(S$2,行为概览!$D$3:$M$33,10,0)*IF(玩法行为规划!R55&gt;0,1,0))</f>
        <v>3</v>
      </c>
      <c r="T55" s="7" t="str">
        <f>IF(VLOOKUP(T$2,行为概览!$D$3:$M$33,10,0)="","",VLOOKUP(T$2,行为概览!$D$3:$M$33,10,0)*IF(玩法行为规划!S55&gt;0,1,0))</f>
        <v/>
      </c>
      <c r="U55" s="7" t="str">
        <f>IF(VLOOKUP(U$2,行为概览!$D$3:$M$33,10,0)="","",VLOOKUP(U$2,行为概览!$D$3:$M$33,10,0)*IF(玩法行为规划!T55&gt;0,1,0))</f>
        <v/>
      </c>
      <c r="V55" s="7">
        <f>IF(VLOOKUP(V$2,行为概览!$D$3:$M$33,10,0)="","",VLOOKUP(V$2,行为概览!$D$3:$M$33,10,0)*IF(玩法行为规划!U55&gt;0,1,0))</f>
        <v>4</v>
      </c>
      <c r="W55" s="7" t="str">
        <f>IF(VLOOKUP(W$2,行为概览!$D$3:$M$33,10,0)="","",VLOOKUP(W$2,行为概览!$D$3:$M$33,10,0)*IF(玩法行为规划!V55&gt;0,1,0))</f>
        <v/>
      </c>
      <c r="X55" s="7" t="str">
        <f>IF(VLOOKUP(X$2,行为概览!$D$3:$M$33,10,0)="","",VLOOKUP(X$2,行为概览!$D$3:$M$33,10,0)*IF(玩法行为规划!W55&gt;0,1,0))</f>
        <v/>
      </c>
      <c r="Y55" s="7" t="str">
        <f>IF(VLOOKUP(Y$2,行为概览!$D$3:$M$33,10,0)="","",VLOOKUP(Y$2,行为概览!$D$3:$M$33,10,0)*IF(玩法行为规划!X55&gt;0,1,0))</f>
        <v/>
      </c>
      <c r="Z55" s="7">
        <f>IF(VLOOKUP(Z$2,行为概览!$D$3:$M$33,10,0)="","",VLOOKUP(Z$2,行为概览!$D$3:$M$33,10,0)*IF(玩法行为规划!Y55&gt;0,1,0))</f>
        <v>10</v>
      </c>
      <c r="AA55" s="7" t="str">
        <f>IF(VLOOKUP(AA$2,行为概览!$D$3:$M$33,10,0)="","",VLOOKUP(AA$2,行为概览!$D$3:$M$33,10,0)*IF(玩法行为规划!Z55&gt;0,1,0))</f>
        <v/>
      </c>
      <c r="AB55" s="7" t="str">
        <f>IF(VLOOKUP(AB$2,行为概览!$D$3:$M$33,10,0)="","",VLOOKUP(AB$2,行为概览!$D$3:$M$33,10,0)*IF(玩法行为规划!AA55&gt;0,1,0))</f>
        <v/>
      </c>
      <c r="AC55" s="7" t="str">
        <f>IF(VLOOKUP(AC$2,行为概览!$D$3:$M$33,10,0)="","",VLOOKUP(AC$2,行为概览!$D$3:$M$33,10,0)*IF(玩法行为规划!AB55&gt;0,1,0))</f>
        <v/>
      </c>
      <c r="AD55" s="7" t="str">
        <f>IF(VLOOKUP(AD$2,行为概览!$D$3:$M$33,10,0)="","",VLOOKUP(AD$2,行为概览!$D$3:$M$33,10,0)*IF(玩法行为规划!AC55&gt;0,1,0))</f>
        <v/>
      </c>
      <c r="AE55" s="7" t="str">
        <f>IF(VLOOKUP(AE$2,行为概览!$D$3:$M$33,10,0)="","",VLOOKUP(AE$2,行为概览!$D$3:$M$33,10,0)*IF(玩法行为规划!AD55&gt;0,1,0))</f>
        <v/>
      </c>
      <c r="AF55" s="7">
        <f>IF(VLOOKUP(AF$2,行为概览!$D$3:$M$33,10,0)="","",VLOOKUP(AF$2,行为概览!$D$3:$M$33,10,0)*IF(玩法行为规划!AE55&gt;0,1,0))</f>
        <v>20</v>
      </c>
      <c r="AG55" s="7">
        <f t="shared" si="4"/>
        <v>80</v>
      </c>
      <c r="AH55" s="7">
        <f t="shared" si="5"/>
        <v>4240</v>
      </c>
      <c r="AI55" s="7">
        <v>0</v>
      </c>
      <c r="AJ55" s="21" t="str">
        <f t="shared" si="6"/>
        <v/>
      </c>
      <c r="AK55" s="7">
        <f t="shared" si="2"/>
        <v>4240</v>
      </c>
      <c r="AL55" s="7">
        <f>SUM($AK$3:AK55)</f>
        <v>82615</v>
      </c>
    </row>
    <row r="56" spans="1:38">
      <c r="A56" s="32">
        <v>54</v>
      </c>
      <c r="B56" s="87">
        <f>升级节奏!F56</f>
        <v>54</v>
      </c>
      <c r="C56" s="7">
        <f>IF(VLOOKUP(C$2,行为概览!$D$3:$M$33,10,0)="","",VLOOKUP(C$2,行为概览!$D$3:$M$33,10,0)*IF(玩法行为规划!B56&gt;0,1,0))</f>
        <v>8</v>
      </c>
      <c r="D56" s="7" t="str">
        <f>IF(VLOOKUP(D$2,行为概览!$D$3:$M$33,10,0)="","",VLOOKUP(D$2,行为概览!$D$3:$M$33,10,0)*IF(玩法行为规划!C56&gt;0,1,0))</f>
        <v/>
      </c>
      <c r="E56" s="7" t="str">
        <f>IF(VLOOKUP(E$2,行为概览!$D$3:$M$33,10,0)="","",VLOOKUP(E$2,行为概览!$D$3:$M$33,10,0)*IF(玩法行为规划!D56&gt;0,1,0))</f>
        <v/>
      </c>
      <c r="F56" s="7">
        <f>IF(VLOOKUP(F$2,行为概览!$D$3:$M$33,10,0)="","",VLOOKUP(F$2,行为概览!$D$3:$M$33,10,0)*IF(玩法行为规划!E56&gt;0,1,0))</f>
        <v>10</v>
      </c>
      <c r="G56" s="7" t="str">
        <f>IF(VLOOKUP(G$2,行为概览!$D$3:$M$33,10,0)="","",VLOOKUP(G$2,行为概览!$D$3:$M$33,10,0)*IF(玩法行为规划!F56&gt;0,1,0))</f>
        <v/>
      </c>
      <c r="H56" s="7" t="str">
        <f>IF(VLOOKUP(H$2,行为概览!$D$3:$M$33,10,0)="","",VLOOKUP(H$2,行为概览!$D$3:$M$33,10,0)*IF(玩法行为规划!G56&gt;0,1,0))</f>
        <v/>
      </c>
      <c r="I56" s="7" t="str">
        <f>IF(VLOOKUP(I$2,行为概览!$D$3:$M$33,10,0)="","",VLOOKUP(I$2,行为概览!$D$3:$M$33,10,0)*IF(玩法行为规划!H56&gt;0,1,0))</f>
        <v/>
      </c>
      <c r="J56" s="7" t="str">
        <f>IF(VLOOKUP(J$2,行为概览!$D$3:$M$33,10,0)="","",VLOOKUP(J$2,行为概览!$D$3:$M$33,10,0)*IF(玩法行为规划!I56&gt;0,1,0))</f>
        <v/>
      </c>
      <c r="K56" s="7">
        <f>IF(VLOOKUP(K$2,行为概览!$D$3:$M$33,10,0)="","",VLOOKUP(K$2,行为概览!$D$3:$M$33,10,0)*IF(玩法行为规划!J56&gt;0,1,0))</f>
        <v>10</v>
      </c>
      <c r="L56" s="7">
        <f>IF(VLOOKUP(L$2,行为概览!$D$3:$M$33,10,0)="","",VLOOKUP(L$2,行为概览!$D$3:$M$33,10,0)*IF(玩法行为规划!K56&gt;0,1,0))</f>
        <v>5</v>
      </c>
      <c r="M56" s="7" t="str">
        <f>IF(VLOOKUP(M$2,行为概览!$D$3:$M$33,10,0)="","",VLOOKUP(M$2,行为概览!$D$3:$M$33,10,0)*IF(玩法行为规划!L56&gt;0,1,0))</f>
        <v/>
      </c>
      <c r="N56" s="7" t="str">
        <f>IF(VLOOKUP(N$2,行为概览!$D$3:$M$33,10,0)="","",VLOOKUP(N$2,行为概览!$D$3:$M$33,10,0)*IF(玩法行为规划!M56&gt;0,1,0))</f>
        <v/>
      </c>
      <c r="O56" s="7" t="str">
        <f>IF(VLOOKUP(O$2,行为概览!$D$3:$M$33,10,0)="","",VLOOKUP(O$2,行为概览!$D$3:$M$33,10,0)*IF(玩法行为规划!N56&gt;0,1,0))</f>
        <v/>
      </c>
      <c r="P56" s="7" t="str">
        <f>IF(VLOOKUP(P$2,行为概览!$D$3:$M$33,10,0)="","",VLOOKUP(P$2,行为概览!$D$3:$M$33,10,0)*IF(玩法行为规划!O56&gt;0,1,0))</f>
        <v/>
      </c>
      <c r="Q56" s="7">
        <f>IF(VLOOKUP(Q$2,行为概览!$D$3:$M$33,10,0)="","",VLOOKUP(Q$2,行为概览!$D$3:$M$33,10,0)*IF(玩法行为规划!P56&gt;0,1,0))</f>
        <v>10</v>
      </c>
      <c r="R56" s="7" t="str">
        <f>IF(VLOOKUP(R$2,行为概览!$D$3:$M$33,10,0)="","",VLOOKUP(R$2,行为概览!$D$3:$M$33,10,0)*IF(玩法行为规划!Q56&gt;0,1,0))</f>
        <v/>
      </c>
      <c r="S56" s="7">
        <f>IF(VLOOKUP(S$2,行为概览!$D$3:$M$33,10,0)="","",VLOOKUP(S$2,行为概览!$D$3:$M$33,10,0)*IF(玩法行为规划!R56&gt;0,1,0))</f>
        <v>3</v>
      </c>
      <c r="T56" s="7" t="str">
        <f>IF(VLOOKUP(T$2,行为概览!$D$3:$M$33,10,0)="","",VLOOKUP(T$2,行为概览!$D$3:$M$33,10,0)*IF(玩法行为规划!S56&gt;0,1,0))</f>
        <v/>
      </c>
      <c r="U56" s="7" t="str">
        <f>IF(VLOOKUP(U$2,行为概览!$D$3:$M$33,10,0)="","",VLOOKUP(U$2,行为概览!$D$3:$M$33,10,0)*IF(玩法行为规划!T56&gt;0,1,0))</f>
        <v/>
      </c>
      <c r="V56" s="7">
        <f>IF(VLOOKUP(V$2,行为概览!$D$3:$M$33,10,0)="","",VLOOKUP(V$2,行为概览!$D$3:$M$33,10,0)*IF(玩法行为规划!U56&gt;0,1,0))</f>
        <v>4</v>
      </c>
      <c r="W56" s="7" t="str">
        <f>IF(VLOOKUP(W$2,行为概览!$D$3:$M$33,10,0)="","",VLOOKUP(W$2,行为概览!$D$3:$M$33,10,0)*IF(玩法行为规划!V56&gt;0,1,0))</f>
        <v/>
      </c>
      <c r="X56" s="7" t="str">
        <f>IF(VLOOKUP(X$2,行为概览!$D$3:$M$33,10,0)="","",VLOOKUP(X$2,行为概览!$D$3:$M$33,10,0)*IF(玩法行为规划!W56&gt;0,1,0))</f>
        <v/>
      </c>
      <c r="Y56" s="7" t="str">
        <f>IF(VLOOKUP(Y$2,行为概览!$D$3:$M$33,10,0)="","",VLOOKUP(Y$2,行为概览!$D$3:$M$33,10,0)*IF(玩法行为规划!X56&gt;0,1,0))</f>
        <v/>
      </c>
      <c r="Z56" s="7">
        <f>IF(VLOOKUP(Z$2,行为概览!$D$3:$M$33,10,0)="","",VLOOKUP(Z$2,行为概览!$D$3:$M$33,10,0)*IF(玩法行为规划!Y56&gt;0,1,0))</f>
        <v>10</v>
      </c>
      <c r="AA56" s="7" t="str">
        <f>IF(VLOOKUP(AA$2,行为概览!$D$3:$M$33,10,0)="","",VLOOKUP(AA$2,行为概览!$D$3:$M$33,10,0)*IF(玩法行为规划!Z56&gt;0,1,0))</f>
        <v/>
      </c>
      <c r="AB56" s="7" t="str">
        <f>IF(VLOOKUP(AB$2,行为概览!$D$3:$M$33,10,0)="","",VLOOKUP(AB$2,行为概览!$D$3:$M$33,10,0)*IF(玩法行为规划!AA56&gt;0,1,0))</f>
        <v/>
      </c>
      <c r="AC56" s="7" t="str">
        <f>IF(VLOOKUP(AC$2,行为概览!$D$3:$M$33,10,0)="","",VLOOKUP(AC$2,行为概览!$D$3:$M$33,10,0)*IF(玩法行为规划!AB56&gt;0,1,0))</f>
        <v/>
      </c>
      <c r="AD56" s="7" t="str">
        <f>IF(VLOOKUP(AD$2,行为概览!$D$3:$M$33,10,0)="","",VLOOKUP(AD$2,行为概览!$D$3:$M$33,10,0)*IF(玩法行为规划!AC56&gt;0,1,0))</f>
        <v/>
      </c>
      <c r="AE56" s="7" t="str">
        <f>IF(VLOOKUP(AE$2,行为概览!$D$3:$M$33,10,0)="","",VLOOKUP(AE$2,行为概览!$D$3:$M$33,10,0)*IF(玩法行为规划!AD56&gt;0,1,0))</f>
        <v/>
      </c>
      <c r="AF56" s="7">
        <f>IF(VLOOKUP(AF$2,行为概览!$D$3:$M$33,10,0)="","",VLOOKUP(AF$2,行为概览!$D$3:$M$33,10,0)*IF(玩法行为规划!AE56&gt;0,1,0))</f>
        <v>20</v>
      </c>
      <c r="AG56" s="7">
        <f t="shared" si="4"/>
        <v>80</v>
      </c>
      <c r="AH56" s="7">
        <f t="shared" si="5"/>
        <v>4320</v>
      </c>
      <c r="AI56" s="7">
        <v>0</v>
      </c>
      <c r="AJ56" s="21" t="str">
        <f t="shared" si="6"/>
        <v/>
      </c>
      <c r="AK56" s="7">
        <f t="shared" si="2"/>
        <v>4320</v>
      </c>
      <c r="AL56" s="7">
        <f>SUM($AK$3:AK56)</f>
        <v>86935</v>
      </c>
    </row>
    <row r="57" spans="1:38">
      <c r="A57" s="32">
        <v>55</v>
      </c>
      <c r="B57" s="87">
        <f>升级节奏!F57</f>
        <v>55</v>
      </c>
      <c r="C57" s="7">
        <f>IF(VLOOKUP(C$2,行为概览!$D$3:$M$33,10,0)="","",VLOOKUP(C$2,行为概览!$D$3:$M$33,10,0)*IF(玩法行为规划!B57&gt;0,1,0))</f>
        <v>8</v>
      </c>
      <c r="D57" s="7" t="str">
        <f>IF(VLOOKUP(D$2,行为概览!$D$3:$M$33,10,0)="","",VLOOKUP(D$2,行为概览!$D$3:$M$33,10,0)*IF(玩法行为规划!C57&gt;0,1,0))</f>
        <v/>
      </c>
      <c r="E57" s="7" t="str">
        <f>IF(VLOOKUP(E$2,行为概览!$D$3:$M$33,10,0)="","",VLOOKUP(E$2,行为概览!$D$3:$M$33,10,0)*IF(玩法行为规划!D57&gt;0,1,0))</f>
        <v/>
      </c>
      <c r="F57" s="7">
        <f>IF(VLOOKUP(F$2,行为概览!$D$3:$M$33,10,0)="","",VLOOKUP(F$2,行为概览!$D$3:$M$33,10,0)*IF(玩法行为规划!E57&gt;0,1,0))</f>
        <v>10</v>
      </c>
      <c r="G57" s="7" t="str">
        <f>IF(VLOOKUP(G$2,行为概览!$D$3:$M$33,10,0)="","",VLOOKUP(G$2,行为概览!$D$3:$M$33,10,0)*IF(玩法行为规划!F57&gt;0,1,0))</f>
        <v/>
      </c>
      <c r="H57" s="7" t="str">
        <f>IF(VLOOKUP(H$2,行为概览!$D$3:$M$33,10,0)="","",VLOOKUP(H$2,行为概览!$D$3:$M$33,10,0)*IF(玩法行为规划!G57&gt;0,1,0))</f>
        <v/>
      </c>
      <c r="I57" s="7" t="str">
        <f>IF(VLOOKUP(I$2,行为概览!$D$3:$M$33,10,0)="","",VLOOKUP(I$2,行为概览!$D$3:$M$33,10,0)*IF(玩法行为规划!H57&gt;0,1,0))</f>
        <v/>
      </c>
      <c r="J57" s="7" t="str">
        <f>IF(VLOOKUP(J$2,行为概览!$D$3:$M$33,10,0)="","",VLOOKUP(J$2,行为概览!$D$3:$M$33,10,0)*IF(玩法行为规划!I57&gt;0,1,0))</f>
        <v/>
      </c>
      <c r="K57" s="7">
        <f>IF(VLOOKUP(K$2,行为概览!$D$3:$M$33,10,0)="","",VLOOKUP(K$2,行为概览!$D$3:$M$33,10,0)*IF(玩法行为规划!J57&gt;0,1,0))</f>
        <v>10</v>
      </c>
      <c r="L57" s="7">
        <f>IF(VLOOKUP(L$2,行为概览!$D$3:$M$33,10,0)="","",VLOOKUP(L$2,行为概览!$D$3:$M$33,10,0)*IF(玩法行为规划!K57&gt;0,1,0))</f>
        <v>5</v>
      </c>
      <c r="M57" s="7" t="str">
        <f>IF(VLOOKUP(M$2,行为概览!$D$3:$M$33,10,0)="","",VLOOKUP(M$2,行为概览!$D$3:$M$33,10,0)*IF(玩法行为规划!L57&gt;0,1,0))</f>
        <v/>
      </c>
      <c r="N57" s="7" t="str">
        <f>IF(VLOOKUP(N$2,行为概览!$D$3:$M$33,10,0)="","",VLOOKUP(N$2,行为概览!$D$3:$M$33,10,0)*IF(玩法行为规划!M57&gt;0,1,0))</f>
        <v/>
      </c>
      <c r="O57" s="7" t="str">
        <f>IF(VLOOKUP(O$2,行为概览!$D$3:$M$33,10,0)="","",VLOOKUP(O$2,行为概览!$D$3:$M$33,10,0)*IF(玩法行为规划!N57&gt;0,1,0))</f>
        <v/>
      </c>
      <c r="P57" s="7" t="str">
        <f>IF(VLOOKUP(P$2,行为概览!$D$3:$M$33,10,0)="","",VLOOKUP(P$2,行为概览!$D$3:$M$33,10,0)*IF(玩法行为规划!O57&gt;0,1,0))</f>
        <v/>
      </c>
      <c r="Q57" s="7">
        <f>IF(VLOOKUP(Q$2,行为概览!$D$3:$M$33,10,0)="","",VLOOKUP(Q$2,行为概览!$D$3:$M$33,10,0)*IF(玩法行为规划!P57&gt;0,1,0))</f>
        <v>10</v>
      </c>
      <c r="R57" s="7" t="str">
        <f>IF(VLOOKUP(R$2,行为概览!$D$3:$M$33,10,0)="","",VLOOKUP(R$2,行为概览!$D$3:$M$33,10,0)*IF(玩法行为规划!Q57&gt;0,1,0))</f>
        <v/>
      </c>
      <c r="S57" s="7">
        <f>IF(VLOOKUP(S$2,行为概览!$D$3:$M$33,10,0)="","",VLOOKUP(S$2,行为概览!$D$3:$M$33,10,0)*IF(玩法行为规划!R57&gt;0,1,0))</f>
        <v>3</v>
      </c>
      <c r="T57" s="7" t="str">
        <f>IF(VLOOKUP(T$2,行为概览!$D$3:$M$33,10,0)="","",VLOOKUP(T$2,行为概览!$D$3:$M$33,10,0)*IF(玩法行为规划!S57&gt;0,1,0))</f>
        <v/>
      </c>
      <c r="U57" s="7" t="str">
        <f>IF(VLOOKUP(U$2,行为概览!$D$3:$M$33,10,0)="","",VLOOKUP(U$2,行为概览!$D$3:$M$33,10,0)*IF(玩法行为规划!T57&gt;0,1,0))</f>
        <v/>
      </c>
      <c r="V57" s="7">
        <f>IF(VLOOKUP(V$2,行为概览!$D$3:$M$33,10,0)="","",VLOOKUP(V$2,行为概览!$D$3:$M$33,10,0)*IF(玩法行为规划!U57&gt;0,1,0))</f>
        <v>4</v>
      </c>
      <c r="W57" s="7" t="str">
        <f>IF(VLOOKUP(W$2,行为概览!$D$3:$M$33,10,0)="","",VLOOKUP(W$2,行为概览!$D$3:$M$33,10,0)*IF(玩法行为规划!V57&gt;0,1,0))</f>
        <v/>
      </c>
      <c r="X57" s="7" t="str">
        <f>IF(VLOOKUP(X$2,行为概览!$D$3:$M$33,10,0)="","",VLOOKUP(X$2,行为概览!$D$3:$M$33,10,0)*IF(玩法行为规划!W57&gt;0,1,0))</f>
        <v/>
      </c>
      <c r="Y57" s="7" t="str">
        <f>IF(VLOOKUP(Y$2,行为概览!$D$3:$M$33,10,0)="","",VLOOKUP(Y$2,行为概览!$D$3:$M$33,10,0)*IF(玩法行为规划!X57&gt;0,1,0))</f>
        <v/>
      </c>
      <c r="Z57" s="7">
        <f>IF(VLOOKUP(Z$2,行为概览!$D$3:$M$33,10,0)="","",VLOOKUP(Z$2,行为概览!$D$3:$M$33,10,0)*IF(玩法行为规划!Y57&gt;0,1,0))</f>
        <v>10</v>
      </c>
      <c r="AA57" s="7" t="str">
        <f>IF(VLOOKUP(AA$2,行为概览!$D$3:$M$33,10,0)="","",VLOOKUP(AA$2,行为概览!$D$3:$M$33,10,0)*IF(玩法行为规划!Z57&gt;0,1,0))</f>
        <v/>
      </c>
      <c r="AB57" s="7" t="str">
        <f>IF(VLOOKUP(AB$2,行为概览!$D$3:$M$33,10,0)="","",VLOOKUP(AB$2,行为概览!$D$3:$M$33,10,0)*IF(玩法行为规划!AA57&gt;0,1,0))</f>
        <v/>
      </c>
      <c r="AC57" s="7" t="str">
        <f>IF(VLOOKUP(AC$2,行为概览!$D$3:$M$33,10,0)="","",VLOOKUP(AC$2,行为概览!$D$3:$M$33,10,0)*IF(玩法行为规划!AB57&gt;0,1,0))</f>
        <v/>
      </c>
      <c r="AD57" s="7" t="str">
        <f>IF(VLOOKUP(AD$2,行为概览!$D$3:$M$33,10,0)="","",VLOOKUP(AD$2,行为概览!$D$3:$M$33,10,0)*IF(玩法行为规划!AC57&gt;0,1,0))</f>
        <v/>
      </c>
      <c r="AE57" s="7" t="str">
        <f>IF(VLOOKUP(AE$2,行为概览!$D$3:$M$33,10,0)="","",VLOOKUP(AE$2,行为概览!$D$3:$M$33,10,0)*IF(玩法行为规划!AD57&gt;0,1,0))</f>
        <v/>
      </c>
      <c r="AF57" s="7">
        <f>IF(VLOOKUP(AF$2,行为概览!$D$3:$M$33,10,0)="","",VLOOKUP(AF$2,行为概览!$D$3:$M$33,10,0)*IF(玩法行为规划!AE57&gt;0,1,0))</f>
        <v>20</v>
      </c>
      <c r="AG57" s="7">
        <f t="shared" si="4"/>
        <v>80</v>
      </c>
      <c r="AH57" s="7">
        <f t="shared" si="5"/>
        <v>4400</v>
      </c>
      <c r="AI57" s="7">
        <v>0</v>
      </c>
      <c r="AJ57" s="21" t="str">
        <f t="shared" si="6"/>
        <v/>
      </c>
      <c r="AK57" s="7">
        <f t="shared" si="2"/>
        <v>4400</v>
      </c>
      <c r="AL57" s="7">
        <f>SUM($AK$3:AK57)</f>
        <v>91335</v>
      </c>
    </row>
    <row r="58" spans="1:38">
      <c r="A58" s="32">
        <v>56</v>
      </c>
      <c r="B58" s="87">
        <f>升级节奏!F58</f>
        <v>56</v>
      </c>
      <c r="C58" s="7">
        <f>IF(VLOOKUP(C$2,行为概览!$D$3:$M$33,10,0)="","",VLOOKUP(C$2,行为概览!$D$3:$M$33,10,0)*IF(玩法行为规划!B58&gt;0,1,0))</f>
        <v>8</v>
      </c>
      <c r="D58" s="7" t="str">
        <f>IF(VLOOKUP(D$2,行为概览!$D$3:$M$33,10,0)="","",VLOOKUP(D$2,行为概览!$D$3:$M$33,10,0)*IF(玩法行为规划!C58&gt;0,1,0))</f>
        <v/>
      </c>
      <c r="E58" s="7" t="str">
        <f>IF(VLOOKUP(E$2,行为概览!$D$3:$M$33,10,0)="","",VLOOKUP(E$2,行为概览!$D$3:$M$33,10,0)*IF(玩法行为规划!D58&gt;0,1,0))</f>
        <v/>
      </c>
      <c r="F58" s="7">
        <f>IF(VLOOKUP(F$2,行为概览!$D$3:$M$33,10,0)="","",VLOOKUP(F$2,行为概览!$D$3:$M$33,10,0)*IF(玩法行为规划!E58&gt;0,1,0))</f>
        <v>10</v>
      </c>
      <c r="G58" s="7" t="str">
        <f>IF(VLOOKUP(G$2,行为概览!$D$3:$M$33,10,0)="","",VLOOKUP(G$2,行为概览!$D$3:$M$33,10,0)*IF(玩法行为规划!F58&gt;0,1,0))</f>
        <v/>
      </c>
      <c r="H58" s="7" t="str">
        <f>IF(VLOOKUP(H$2,行为概览!$D$3:$M$33,10,0)="","",VLOOKUP(H$2,行为概览!$D$3:$M$33,10,0)*IF(玩法行为规划!G58&gt;0,1,0))</f>
        <v/>
      </c>
      <c r="I58" s="7" t="str">
        <f>IF(VLOOKUP(I$2,行为概览!$D$3:$M$33,10,0)="","",VLOOKUP(I$2,行为概览!$D$3:$M$33,10,0)*IF(玩法行为规划!H58&gt;0,1,0))</f>
        <v/>
      </c>
      <c r="J58" s="7" t="str">
        <f>IF(VLOOKUP(J$2,行为概览!$D$3:$M$33,10,0)="","",VLOOKUP(J$2,行为概览!$D$3:$M$33,10,0)*IF(玩法行为规划!I58&gt;0,1,0))</f>
        <v/>
      </c>
      <c r="K58" s="7">
        <f>IF(VLOOKUP(K$2,行为概览!$D$3:$M$33,10,0)="","",VLOOKUP(K$2,行为概览!$D$3:$M$33,10,0)*IF(玩法行为规划!J58&gt;0,1,0))</f>
        <v>10</v>
      </c>
      <c r="L58" s="7">
        <f>IF(VLOOKUP(L$2,行为概览!$D$3:$M$33,10,0)="","",VLOOKUP(L$2,行为概览!$D$3:$M$33,10,0)*IF(玩法行为规划!K58&gt;0,1,0))</f>
        <v>5</v>
      </c>
      <c r="M58" s="7" t="str">
        <f>IF(VLOOKUP(M$2,行为概览!$D$3:$M$33,10,0)="","",VLOOKUP(M$2,行为概览!$D$3:$M$33,10,0)*IF(玩法行为规划!L58&gt;0,1,0))</f>
        <v/>
      </c>
      <c r="N58" s="7" t="str">
        <f>IF(VLOOKUP(N$2,行为概览!$D$3:$M$33,10,0)="","",VLOOKUP(N$2,行为概览!$D$3:$M$33,10,0)*IF(玩法行为规划!M58&gt;0,1,0))</f>
        <v/>
      </c>
      <c r="O58" s="7" t="str">
        <f>IF(VLOOKUP(O$2,行为概览!$D$3:$M$33,10,0)="","",VLOOKUP(O$2,行为概览!$D$3:$M$33,10,0)*IF(玩法行为规划!N58&gt;0,1,0))</f>
        <v/>
      </c>
      <c r="P58" s="7" t="str">
        <f>IF(VLOOKUP(P$2,行为概览!$D$3:$M$33,10,0)="","",VLOOKUP(P$2,行为概览!$D$3:$M$33,10,0)*IF(玩法行为规划!O58&gt;0,1,0))</f>
        <v/>
      </c>
      <c r="Q58" s="7">
        <f>IF(VLOOKUP(Q$2,行为概览!$D$3:$M$33,10,0)="","",VLOOKUP(Q$2,行为概览!$D$3:$M$33,10,0)*IF(玩法行为规划!P58&gt;0,1,0))</f>
        <v>10</v>
      </c>
      <c r="R58" s="7" t="str">
        <f>IF(VLOOKUP(R$2,行为概览!$D$3:$M$33,10,0)="","",VLOOKUP(R$2,行为概览!$D$3:$M$33,10,0)*IF(玩法行为规划!Q58&gt;0,1,0))</f>
        <v/>
      </c>
      <c r="S58" s="7">
        <f>IF(VLOOKUP(S$2,行为概览!$D$3:$M$33,10,0)="","",VLOOKUP(S$2,行为概览!$D$3:$M$33,10,0)*IF(玩法行为规划!R58&gt;0,1,0))</f>
        <v>3</v>
      </c>
      <c r="T58" s="7" t="str">
        <f>IF(VLOOKUP(T$2,行为概览!$D$3:$M$33,10,0)="","",VLOOKUP(T$2,行为概览!$D$3:$M$33,10,0)*IF(玩法行为规划!S58&gt;0,1,0))</f>
        <v/>
      </c>
      <c r="U58" s="7" t="str">
        <f>IF(VLOOKUP(U$2,行为概览!$D$3:$M$33,10,0)="","",VLOOKUP(U$2,行为概览!$D$3:$M$33,10,0)*IF(玩法行为规划!T58&gt;0,1,0))</f>
        <v/>
      </c>
      <c r="V58" s="7">
        <f>IF(VLOOKUP(V$2,行为概览!$D$3:$M$33,10,0)="","",VLOOKUP(V$2,行为概览!$D$3:$M$33,10,0)*IF(玩法行为规划!U58&gt;0,1,0))</f>
        <v>4</v>
      </c>
      <c r="W58" s="7" t="str">
        <f>IF(VLOOKUP(W$2,行为概览!$D$3:$M$33,10,0)="","",VLOOKUP(W$2,行为概览!$D$3:$M$33,10,0)*IF(玩法行为规划!V58&gt;0,1,0))</f>
        <v/>
      </c>
      <c r="X58" s="7" t="str">
        <f>IF(VLOOKUP(X$2,行为概览!$D$3:$M$33,10,0)="","",VLOOKUP(X$2,行为概览!$D$3:$M$33,10,0)*IF(玩法行为规划!W58&gt;0,1,0))</f>
        <v/>
      </c>
      <c r="Y58" s="7" t="str">
        <f>IF(VLOOKUP(Y$2,行为概览!$D$3:$M$33,10,0)="","",VLOOKUP(Y$2,行为概览!$D$3:$M$33,10,0)*IF(玩法行为规划!X58&gt;0,1,0))</f>
        <v/>
      </c>
      <c r="Z58" s="7">
        <f>IF(VLOOKUP(Z$2,行为概览!$D$3:$M$33,10,0)="","",VLOOKUP(Z$2,行为概览!$D$3:$M$33,10,0)*IF(玩法行为规划!Y58&gt;0,1,0))</f>
        <v>10</v>
      </c>
      <c r="AA58" s="7" t="str">
        <f>IF(VLOOKUP(AA$2,行为概览!$D$3:$M$33,10,0)="","",VLOOKUP(AA$2,行为概览!$D$3:$M$33,10,0)*IF(玩法行为规划!Z58&gt;0,1,0))</f>
        <v/>
      </c>
      <c r="AB58" s="7" t="str">
        <f>IF(VLOOKUP(AB$2,行为概览!$D$3:$M$33,10,0)="","",VLOOKUP(AB$2,行为概览!$D$3:$M$33,10,0)*IF(玩法行为规划!AA58&gt;0,1,0))</f>
        <v/>
      </c>
      <c r="AC58" s="7" t="str">
        <f>IF(VLOOKUP(AC$2,行为概览!$D$3:$M$33,10,0)="","",VLOOKUP(AC$2,行为概览!$D$3:$M$33,10,0)*IF(玩法行为规划!AB58&gt;0,1,0))</f>
        <v/>
      </c>
      <c r="AD58" s="7" t="str">
        <f>IF(VLOOKUP(AD$2,行为概览!$D$3:$M$33,10,0)="","",VLOOKUP(AD$2,行为概览!$D$3:$M$33,10,0)*IF(玩法行为规划!AC58&gt;0,1,0))</f>
        <v/>
      </c>
      <c r="AE58" s="7" t="str">
        <f>IF(VLOOKUP(AE$2,行为概览!$D$3:$M$33,10,0)="","",VLOOKUP(AE$2,行为概览!$D$3:$M$33,10,0)*IF(玩法行为规划!AD58&gt;0,1,0))</f>
        <v/>
      </c>
      <c r="AF58" s="7">
        <f>IF(VLOOKUP(AF$2,行为概览!$D$3:$M$33,10,0)="","",VLOOKUP(AF$2,行为概览!$D$3:$M$33,10,0)*IF(玩法行为规划!AE58&gt;0,1,0))</f>
        <v>20</v>
      </c>
      <c r="AG58" s="7">
        <f t="shared" si="4"/>
        <v>80</v>
      </c>
      <c r="AH58" s="7">
        <f t="shared" si="5"/>
        <v>4480</v>
      </c>
      <c r="AI58" s="7">
        <v>0</v>
      </c>
      <c r="AJ58" s="21" t="str">
        <f t="shared" si="6"/>
        <v/>
      </c>
      <c r="AK58" s="7">
        <f t="shared" si="2"/>
        <v>4480</v>
      </c>
      <c r="AL58" s="7">
        <f>SUM($AK$3:AK58)</f>
        <v>95815</v>
      </c>
    </row>
    <row r="59" spans="1:38">
      <c r="A59" s="32">
        <v>57</v>
      </c>
      <c r="B59" s="87">
        <f>升级节奏!F59</f>
        <v>57</v>
      </c>
      <c r="C59" s="7">
        <f>IF(VLOOKUP(C$2,行为概览!$D$3:$M$33,10,0)="","",VLOOKUP(C$2,行为概览!$D$3:$M$33,10,0)*IF(玩法行为规划!B59&gt;0,1,0))</f>
        <v>8</v>
      </c>
      <c r="D59" s="7" t="str">
        <f>IF(VLOOKUP(D$2,行为概览!$D$3:$M$33,10,0)="","",VLOOKUP(D$2,行为概览!$D$3:$M$33,10,0)*IF(玩法行为规划!C59&gt;0,1,0))</f>
        <v/>
      </c>
      <c r="E59" s="7" t="str">
        <f>IF(VLOOKUP(E$2,行为概览!$D$3:$M$33,10,0)="","",VLOOKUP(E$2,行为概览!$D$3:$M$33,10,0)*IF(玩法行为规划!D59&gt;0,1,0))</f>
        <v/>
      </c>
      <c r="F59" s="7">
        <f>IF(VLOOKUP(F$2,行为概览!$D$3:$M$33,10,0)="","",VLOOKUP(F$2,行为概览!$D$3:$M$33,10,0)*IF(玩法行为规划!E59&gt;0,1,0))</f>
        <v>10</v>
      </c>
      <c r="G59" s="7" t="str">
        <f>IF(VLOOKUP(G$2,行为概览!$D$3:$M$33,10,0)="","",VLOOKUP(G$2,行为概览!$D$3:$M$33,10,0)*IF(玩法行为规划!F59&gt;0,1,0))</f>
        <v/>
      </c>
      <c r="H59" s="7" t="str">
        <f>IF(VLOOKUP(H$2,行为概览!$D$3:$M$33,10,0)="","",VLOOKUP(H$2,行为概览!$D$3:$M$33,10,0)*IF(玩法行为规划!G59&gt;0,1,0))</f>
        <v/>
      </c>
      <c r="I59" s="7" t="str">
        <f>IF(VLOOKUP(I$2,行为概览!$D$3:$M$33,10,0)="","",VLOOKUP(I$2,行为概览!$D$3:$M$33,10,0)*IF(玩法行为规划!H59&gt;0,1,0))</f>
        <v/>
      </c>
      <c r="J59" s="7" t="str">
        <f>IF(VLOOKUP(J$2,行为概览!$D$3:$M$33,10,0)="","",VLOOKUP(J$2,行为概览!$D$3:$M$33,10,0)*IF(玩法行为规划!I59&gt;0,1,0))</f>
        <v/>
      </c>
      <c r="K59" s="7">
        <f>IF(VLOOKUP(K$2,行为概览!$D$3:$M$33,10,0)="","",VLOOKUP(K$2,行为概览!$D$3:$M$33,10,0)*IF(玩法行为规划!J59&gt;0,1,0))</f>
        <v>10</v>
      </c>
      <c r="L59" s="7">
        <f>IF(VLOOKUP(L$2,行为概览!$D$3:$M$33,10,0)="","",VLOOKUP(L$2,行为概览!$D$3:$M$33,10,0)*IF(玩法行为规划!K59&gt;0,1,0))</f>
        <v>5</v>
      </c>
      <c r="M59" s="7" t="str">
        <f>IF(VLOOKUP(M$2,行为概览!$D$3:$M$33,10,0)="","",VLOOKUP(M$2,行为概览!$D$3:$M$33,10,0)*IF(玩法行为规划!L59&gt;0,1,0))</f>
        <v/>
      </c>
      <c r="N59" s="7" t="str">
        <f>IF(VLOOKUP(N$2,行为概览!$D$3:$M$33,10,0)="","",VLOOKUP(N$2,行为概览!$D$3:$M$33,10,0)*IF(玩法行为规划!M59&gt;0,1,0))</f>
        <v/>
      </c>
      <c r="O59" s="7" t="str">
        <f>IF(VLOOKUP(O$2,行为概览!$D$3:$M$33,10,0)="","",VLOOKUP(O$2,行为概览!$D$3:$M$33,10,0)*IF(玩法行为规划!N59&gt;0,1,0))</f>
        <v/>
      </c>
      <c r="P59" s="7" t="str">
        <f>IF(VLOOKUP(P$2,行为概览!$D$3:$M$33,10,0)="","",VLOOKUP(P$2,行为概览!$D$3:$M$33,10,0)*IF(玩法行为规划!O59&gt;0,1,0))</f>
        <v/>
      </c>
      <c r="Q59" s="7">
        <f>IF(VLOOKUP(Q$2,行为概览!$D$3:$M$33,10,0)="","",VLOOKUP(Q$2,行为概览!$D$3:$M$33,10,0)*IF(玩法行为规划!P59&gt;0,1,0))</f>
        <v>10</v>
      </c>
      <c r="R59" s="7" t="str">
        <f>IF(VLOOKUP(R$2,行为概览!$D$3:$M$33,10,0)="","",VLOOKUP(R$2,行为概览!$D$3:$M$33,10,0)*IF(玩法行为规划!Q59&gt;0,1,0))</f>
        <v/>
      </c>
      <c r="S59" s="7">
        <f>IF(VLOOKUP(S$2,行为概览!$D$3:$M$33,10,0)="","",VLOOKUP(S$2,行为概览!$D$3:$M$33,10,0)*IF(玩法行为规划!R59&gt;0,1,0))</f>
        <v>3</v>
      </c>
      <c r="T59" s="7" t="str">
        <f>IF(VLOOKUP(T$2,行为概览!$D$3:$M$33,10,0)="","",VLOOKUP(T$2,行为概览!$D$3:$M$33,10,0)*IF(玩法行为规划!S59&gt;0,1,0))</f>
        <v/>
      </c>
      <c r="U59" s="7" t="str">
        <f>IF(VLOOKUP(U$2,行为概览!$D$3:$M$33,10,0)="","",VLOOKUP(U$2,行为概览!$D$3:$M$33,10,0)*IF(玩法行为规划!T59&gt;0,1,0))</f>
        <v/>
      </c>
      <c r="V59" s="7">
        <f>IF(VLOOKUP(V$2,行为概览!$D$3:$M$33,10,0)="","",VLOOKUP(V$2,行为概览!$D$3:$M$33,10,0)*IF(玩法行为规划!U59&gt;0,1,0))</f>
        <v>4</v>
      </c>
      <c r="W59" s="7" t="str">
        <f>IF(VLOOKUP(W$2,行为概览!$D$3:$M$33,10,0)="","",VLOOKUP(W$2,行为概览!$D$3:$M$33,10,0)*IF(玩法行为规划!V59&gt;0,1,0))</f>
        <v/>
      </c>
      <c r="X59" s="7" t="str">
        <f>IF(VLOOKUP(X$2,行为概览!$D$3:$M$33,10,0)="","",VLOOKUP(X$2,行为概览!$D$3:$M$33,10,0)*IF(玩法行为规划!W59&gt;0,1,0))</f>
        <v/>
      </c>
      <c r="Y59" s="7" t="str">
        <f>IF(VLOOKUP(Y$2,行为概览!$D$3:$M$33,10,0)="","",VLOOKUP(Y$2,行为概览!$D$3:$M$33,10,0)*IF(玩法行为规划!X59&gt;0,1,0))</f>
        <v/>
      </c>
      <c r="Z59" s="7">
        <f>IF(VLOOKUP(Z$2,行为概览!$D$3:$M$33,10,0)="","",VLOOKUP(Z$2,行为概览!$D$3:$M$33,10,0)*IF(玩法行为规划!Y59&gt;0,1,0))</f>
        <v>10</v>
      </c>
      <c r="AA59" s="7" t="str">
        <f>IF(VLOOKUP(AA$2,行为概览!$D$3:$M$33,10,0)="","",VLOOKUP(AA$2,行为概览!$D$3:$M$33,10,0)*IF(玩法行为规划!Z59&gt;0,1,0))</f>
        <v/>
      </c>
      <c r="AB59" s="7" t="str">
        <f>IF(VLOOKUP(AB$2,行为概览!$D$3:$M$33,10,0)="","",VLOOKUP(AB$2,行为概览!$D$3:$M$33,10,0)*IF(玩法行为规划!AA59&gt;0,1,0))</f>
        <v/>
      </c>
      <c r="AC59" s="7" t="str">
        <f>IF(VLOOKUP(AC$2,行为概览!$D$3:$M$33,10,0)="","",VLOOKUP(AC$2,行为概览!$D$3:$M$33,10,0)*IF(玩法行为规划!AB59&gt;0,1,0))</f>
        <v/>
      </c>
      <c r="AD59" s="7" t="str">
        <f>IF(VLOOKUP(AD$2,行为概览!$D$3:$M$33,10,0)="","",VLOOKUP(AD$2,行为概览!$D$3:$M$33,10,0)*IF(玩法行为规划!AC59&gt;0,1,0))</f>
        <v/>
      </c>
      <c r="AE59" s="7" t="str">
        <f>IF(VLOOKUP(AE$2,行为概览!$D$3:$M$33,10,0)="","",VLOOKUP(AE$2,行为概览!$D$3:$M$33,10,0)*IF(玩法行为规划!AD59&gt;0,1,0))</f>
        <v/>
      </c>
      <c r="AF59" s="7">
        <f>IF(VLOOKUP(AF$2,行为概览!$D$3:$M$33,10,0)="","",VLOOKUP(AF$2,行为概览!$D$3:$M$33,10,0)*IF(玩法行为规划!AE59&gt;0,1,0))</f>
        <v>20</v>
      </c>
      <c r="AG59" s="7">
        <f t="shared" si="4"/>
        <v>80</v>
      </c>
      <c r="AH59" s="7">
        <f t="shared" si="5"/>
        <v>4560</v>
      </c>
      <c r="AI59" s="7">
        <v>0</v>
      </c>
      <c r="AJ59" s="21" t="str">
        <f t="shared" si="6"/>
        <v/>
      </c>
      <c r="AK59" s="7">
        <f t="shared" si="2"/>
        <v>4560</v>
      </c>
      <c r="AL59" s="7">
        <f>SUM($AK$3:AK59)</f>
        <v>100375</v>
      </c>
    </row>
    <row r="60" spans="1:38">
      <c r="A60" s="32">
        <v>58</v>
      </c>
      <c r="B60" s="87">
        <f>升级节奏!F60</f>
        <v>58</v>
      </c>
      <c r="C60" s="7">
        <f>IF(VLOOKUP(C$2,行为概览!$D$3:$M$33,10,0)="","",VLOOKUP(C$2,行为概览!$D$3:$M$33,10,0)*IF(玩法行为规划!B60&gt;0,1,0))</f>
        <v>8</v>
      </c>
      <c r="D60" s="7" t="str">
        <f>IF(VLOOKUP(D$2,行为概览!$D$3:$M$33,10,0)="","",VLOOKUP(D$2,行为概览!$D$3:$M$33,10,0)*IF(玩法行为规划!C60&gt;0,1,0))</f>
        <v/>
      </c>
      <c r="E60" s="7" t="str">
        <f>IF(VLOOKUP(E$2,行为概览!$D$3:$M$33,10,0)="","",VLOOKUP(E$2,行为概览!$D$3:$M$33,10,0)*IF(玩法行为规划!D60&gt;0,1,0))</f>
        <v/>
      </c>
      <c r="F60" s="7">
        <f>IF(VLOOKUP(F$2,行为概览!$D$3:$M$33,10,0)="","",VLOOKUP(F$2,行为概览!$D$3:$M$33,10,0)*IF(玩法行为规划!E60&gt;0,1,0))</f>
        <v>10</v>
      </c>
      <c r="G60" s="7" t="str">
        <f>IF(VLOOKUP(G$2,行为概览!$D$3:$M$33,10,0)="","",VLOOKUP(G$2,行为概览!$D$3:$M$33,10,0)*IF(玩法行为规划!F60&gt;0,1,0))</f>
        <v/>
      </c>
      <c r="H60" s="7" t="str">
        <f>IF(VLOOKUP(H$2,行为概览!$D$3:$M$33,10,0)="","",VLOOKUP(H$2,行为概览!$D$3:$M$33,10,0)*IF(玩法行为规划!G60&gt;0,1,0))</f>
        <v/>
      </c>
      <c r="I60" s="7" t="str">
        <f>IF(VLOOKUP(I$2,行为概览!$D$3:$M$33,10,0)="","",VLOOKUP(I$2,行为概览!$D$3:$M$33,10,0)*IF(玩法行为规划!H60&gt;0,1,0))</f>
        <v/>
      </c>
      <c r="J60" s="7" t="str">
        <f>IF(VLOOKUP(J$2,行为概览!$D$3:$M$33,10,0)="","",VLOOKUP(J$2,行为概览!$D$3:$M$33,10,0)*IF(玩法行为规划!I60&gt;0,1,0))</f>
        <v/>
      </c>
      <c r="K60" s="7">
        <f>IF(VLOOKUP(K$2,行为概览!$D$3:$M$33,10,0)="","",VLOOKUP(K$2,行为概览!$D$3:$M$33,10,0)*IF(玩法行为规划!J60&gt;0,1,0))</f>
        <v>10</v>
      </c>
      <c r="L60" s="7">
        <f>IF(VLOOKUP(L$2,行为概览!$D$3:$M$33,10,0)="","",VLOOKUP(L$2,行为概览!$D$3:$M$33,10,0)*IF(玩法行为规划!K60&gt;0,1,0))</f>
        <v>5</v>
      </c>
      <c r="M60" s="7" t="str">
        <f>IF(VLOOKUP(M$2,行为概览!$D$3:$M$33,10,0)="","",VLOOKUP(M$2,行为概览!$D$3:$M$33,10,0)*IF(玩法行为规划!L60&gt;0,1,0))</f>
        <v/>
      </c>
      <c r="N60" s="7" t="str">
        <f>IF(VLOOKUP(N$2,行为概览!$D$3:$M$33,10,0)="","",VLOOKUP(N$2,行为概览!$D$3:$M$33,10,0)*IF(玩法行为规划!M60&gt;0,1,0))</f>
        <v/>
      </c>
      <c r="O60" s="7" t="str">
        <f>IF(VLOOKUP(O$2,行为概览!$D$3:$M$33,10,0)="","",VLOOKUP(O$2,行为概览!$D$3:$M$33,10,0)*IF(玩法行为规划!N60&gt;0,1,0))</f>
        <v/>
      </c>
      <c r="P60" s="7" t="str">
        <f>IF(VLOOKUP(P$2,行为概览!$D$3:$M$33,10,0)="","",VLOOKUP(P$2,行为概览!$D$3:$M$33,10,0)*IF(玩法行为规划!O60&gt;0,1,0))</f>
        <v/>
      </c>
      <c r="Q60" s="7">
        <f>IF(VLOOKUP(Q$2,行为概览!$D$3:$M$33,10,0)="","",VLOOKUP(Q$2,行为概览!$D$3:$M$33,10,0)*IF(玩法行为规划!P60&gt;0,1,0))</f>
        <v>10</v>
      </c>
      <c r="R60" s="7" t="str">
        <f>IF(VLOOKUP(R$2,行为概览!$D$3:$M$33,10,0)="","",VLOOKUP(R$2,行为概览!$D$3:$M$33,10,0)*IF(玩法行为规划!Q60&gt;0,1,0))</f>
        <v/>
      </c>
      <c r="S60" s="7">
        <f>IF(VLOOKUP(S$2,行为概览!$D$3:$M$33,10,0)="","",VLOOKUP(S$2,行为概览!$D$3:$M$33,10,0)*IF(玩法行为规划!R60&gt;0,1,0))</f>
        <v>3</v>
      </c>
      <c r="T60" s="7" t="str">
        <f>IF(VLOOKUP(T$2,行为概览!$D$3:$M$33,10,0)="","",VLOOKUP(T$2,行为概览!$D$3:$M$33,10,0)*IF(玩法行为规划!S60&gt;0,1,0))</f>
        <v/>
      </c>
      <c r="U60" s="7" t="str">
        <f>IF(VLOOKUP(U$2,行为概览!$D$3:$M$33,10,0)="","",VLOOKUP(U$2,行为概览!$D$3:$M$33,10,0)*IF(玩法行为规划!T60&gt;0,1,0))</f>
        <v/>
      </c>
      <c r="V60" s="7">
        <f>IF(VLOOKUP(V$2,行为概览!$D$3:$M$33,10,0)="","",VLOOKUP(V$2,行为概览!$D$3:$M$33,10,0)*IF(玩法行为规划!U60&gt;0,1,0))</f>
        <v>4</v>
      </c>
      <c r="W60" s="7" t="str">
        <f>IF(VLOOKUP(W$2,行为概览!$D$3:$M$33,10,0)="","",VLOOKUP(W$2,行为概览!$D$3:$M$33,10,0)*IF(玩法行为规划!V60&gt;0,1,0))</f>
        <v/>
      </c>
      <c r="X60" s="7" t="str">
        <f>IF(VLOOKUP(X$2,行为概览!$D$3:$M$33,10,0)="","",VLOOKUP(X$2,行为概览!$D$3:$M$33,10,0)*IF(玩法行为规划!W60&gt;0,1,0))</f>
        <v/>
      </c>
      <c r="Y60" s="7" t="str">
        <f>IF(VLOOKUP(Y$2,行为概览!$D$3:$M$33,10,0)="","",VLOOKUP(Y$2,行为概览!$D$3:$M$33,10,0)*IF(玩法行为规划!X60&gt;0,1,0))</f>
        <v/>
      </c>
      <c r="Z60" s="7">
        <f>IF(VLOOKUP(Z$2,行为概览!$D$3:$M$33,10,0)="","",VLOOKUP(Z$2,行为概览!$D$3:$M$33,10,0)*IF(玩法行为规划!Y60&gt;0,1,0))</f>
        <v>10</v>
      </c>
      <c r="AA60" s="7" t="str">
        <f>IF(VLOOKUP(AA$2,行为概览!$D$3:$M$33,10,0)="","",VLOOKUP(AA$2,行为概览!$D$3:$M$33,10,0)*IF(玩法行为规划!Z60&gt;0,1,0))</f>
        <v/>
      </c>
      <c r="AB60" s="7" t="str">
        <f>IF(VLOOKUP(AB$2,行为概览!$D$3:$M$33,10,0)="","",VLOOKUP(AB$2,行为概览!$D$3:$M$33,10,0)*IF(玩法行为规划!AA60&gt;0,1,0))</f>
        <v/>
      </c>
      <c r="AC60" s="7" t="str">
        <f>IF(VLOOKUP(AC$2,行为概览!$D$3:$M$33,10,0)="","",VLOOKUP(AC$2,行为概览!$D$3:$M$33,10,0)*IF(玩法行为规划!AB60&gt;0,1,0))</f>
        <v/>
      </c>
      <c r="AD60" s="7" t="str">
        <f>IF(VLOOKUP(AD$2,行为概览!$D$3:$M$33,10,0)="","",VLOOKUP(AD$2,行为概览!$D$3:$M$33,10,0)*IF(玩法行为规划!AC60&gt;0,1,0))</f>
        <v/>
      </c>
      <c r="AE60" s="7" t="str">
        <f>IF(VLOOKUP(AE$2,行为概览!$D$3:$M$33,10,0)="","",VLOOKUP(AE$2,行为概览!$D$3:$M$33,10,0)*IF(玩法行为规划!AD60&gt;0,1,0))</f>
        <v/>
      </c>
      <c r="AF60" s="7">
        <f>IF(VLOOKUP(AF$2,行为概览!$D$3:$M$33,10,0)="","",VLOOKUP(AF$2,行为概览!$D$3:$M$33,10,0)*IF(玩法行为规划!AE60&gt;0,1,0))</f>
        <v>20</v>
      </c>
      <c r="AG60" s="7">
        <f t="shared" si="4"/>
        <v>80</v>
      </c>
      <c r="AH60" s="7">
        <f t="shared" si="5"/>
        <v>4640</v>
      </c>
      <c r="AI60" s="7">
        <v>0</v>
      </c>
      <c r="AJ60" s="21" t="str">
        <f t="shared" si="6"/>
        <v/>
      </c>
      <c r="AK60" s="7">
        <f t="shared" si="2"/>
        <v>4640</v>
      </c>
      <c r="AL60" s="7">
        <f>SUM($AK$3:AK60)</f>
        <v>105015</v>
      </c>
    </row>
    <row r="61" spans="1:38">
      <c r="A61" s="32">
        <v>59</v>
      </c>
      <c r="B61" s="87">
        <f>升级节奏!F61</f>
        <v>59</v>
      </c>
      <c r="C61" s="7">
        <f>IF(VLOOKUP(C$2,行为概览!$D$3:$M$33,10,0)="","",VLOOKUP(C$2,行为概览!$D$3:$M$33,10,0)*IF(玩法行为规划!B61&gt;0,1,0))</f>
        <v>8</v>
      </c>
      <c r="D61" s="7" t="str">
        <f>IF(VLOOKUP(D$2,行为概览!$D$3:$M$33,10,0)="","",VLOOKUP(D$2,行为概览!$D$3:$M$33,10,0)*IF(玩法行为规划!C61&gt;0,1,0))</f>
        <v/>
      </c>
      <c r="E61" s="7" t="str">
        <f>IF(VLOOKUP(E$2,行为概览!$D$3:$M$33,10,0)="","",VLOOKUP(E$2,行为概览!$D$3:$M$33,10,0)*IF(玩法行为规划!D61&gt;0,1,0))</f>
        <v/>
      </c>
      <c r="F61" s="7">
        <f>IF(VLOOKUP(F$2,行为概览!$D$3:$M$33,10,0)="","",VLOOKUP(F$2,行为概览!$D$3:$M$33,10,0)*IF(玩法行为规划!E61&gt;0,1,0))</f>
        <v>10</v>
      </c>
      <c r="G61" s="7" t="str">
        <f>IF(VLOOKUP(G$2,行为概览!$D$3:$M$33,10,0)="","",VLOOKUP(G$2,行为概览!$D$3:$M$33,10,0)*IF(玩法行为规划!F61&gt;0,1,0))</f>
        <v/>
      </c>
      <c r="H61" s="7" t="str">
        <f>IF(VLOOKUP(H$2,行为概览!$D$3:$M$33,10,0)="","",VLOOKUP(H$2,行为概览!$D$3:$M$33,10,0)*IF(玩法行为规划!G61&gt;0,1,0))</f>
        <v/>
      </c>
      <c r="I61" s="7" t="str">
        <f>IF(VLOOKUP(I$2,行为概览!$D$3:$M$33,10,0)="","",VLOOKUP(I$2,行为概览!$D$3:$M$33,10,0)*IF(玩法行为规划!H61&gt;0,1,0))</f>
        <v/>
      </c>
      <c r="J61" s="7" t="str">
        <f>IF(VLOOKUP(J$2,行为概览!$D$3:$M$33,10,0)="","",VLOOKUP(J$2,行为概览!$D$3:$M$33,10,0)*IF(玩法行为规划!I61&gt;0,1,0))</f>
        <v/>
      </c>
      <c r="K61" s="7">
        <f>IF(VLOOKUP(K$2,行为概览!$D$3:$M$33,10,0)="","",VLOOKUP(K$2,行为概览!$D$3:$M$33,10,0)*IF(玩法行为规划!J61&gt;0,1,0))</f>
        <v>10</v>
      </c>
      <c r="L61" s="7">
        <f>IF(VLOOKUP(L$2,行为概览!$D$3:$M$33,10,0)="","",VLOOKUP(L$2,行为概览!$D$3:$M$33,10,0)*IF(玩法行为规划!K61&gt;0,1,0))</f>
        <v>5</v>
      </c>
      <c r="M61" s="7" t="str">
        <f>IF(VLOOKUP(M$2,行为概览!$D$3:$M$33,10,0)="","",VLOOKUP(M$2,行为概览!$D$3:$M$33,10,0)*IF(玩法行为规划!L61&gt;0,1,0))</f>
        <v/>
      </c>
      <c r="N61" s="7" t="str">
        <f>IF(VLOOKUP(N$2,行为概览!$D$3:$M$33,10,0)="","",VLOOKUP(N$2,行为概览!$D$3:$M$33,10,0)*IF(玩法行为规划!M61&gt;0,1,0))</f>
        <v/>
      </c>
      <c r="O61" s="7" t="str">
        <f>IF(VLOOKUP(O$2,行为概览!$D$3:$M$33,10,0)="","",VLOOKUP(O$2,行为概览!$D$3:$M$33,10,0)*IF(玩法行为规划!N61&gt;0,1,0))</f>
        <v/>
      </c>
      <c r="P61" s="7" t="str">
        <f>IF(VLOOKUP(P$2,行为概览!$D$3:$M$33,10,0)="","",VLOOKUP(P$2,行为概览!$D$3:$M$33,10,0)*IF(玩法行为规划!O61&gt;0,1,0))</f>
        <v/>
      </c>
      <c r="Q61" s="7">
        <f>IF(VLOOKUP(Q$2,行为概览!$D$3:$M$33,10,0)="","",VLOOKUP(Q$2,行为概览!$D$3:$M$33,10,0)*IF(玩法行为规划!P61&gt;0,1,0))</f>
        <v>10</v>
      </c>
      <c r="R61" s="7" t="str">
        <f>IF(VLOOKUP(R$2,行为概览!$D$3:$M$33,10,0)="","",VLOOKUP(R$2,行为概览!$D$3:$M$33,10,0)*IF(玩法行为规划!Q61&gt;0,1,0))</f>
        <v/>
      </c>
      <c r="S61" s="7">
        <f>IF(VLOOKUP(S$2,行为概览!$D$3:$M$33,10,0)="","",VLOOKUP(S$2,行为概览!$D$3:$M$33,10,0)*IF(玩法行为规划!R61&gt;0,1,0))</f>
        <v>3</v>
      </c>
      <c r="T61" s="7" t="str">
        <f>IF(VLOOKUP(T$2,行为概览!$D$3:$M$33,10,0)="","",VLOOKUP(T$2,行为概览!$D$3:$M$33,10,0)*IF(玩法行为规划!S61&gt;0,1,0))</f>
        <v/>
      </c>
      <c r="U61" s="7" t="str">
        <f>IF(VLOOKUP(U$2,行为概览!$D$3:$M$33,10,0)="","",VLOOKUP(U$2,行为概览!$D$3:$M$33,10,0)*IF(玩法行为规划!T61&gt;0,1,0))</f>
        <v/>
      </c>
      <c r="V61" s="7">
        <f>IF(VLOOKUP(V$2,行为概览!$D$3:$M$33,10,0)="","",VLOOKUP(V$2,行为概览!$D$3:$M$33,10,0)*IF(玩法行为规划!U61&gt;0,1,0))</f>
        <v>4</v>
      </c>
      <c r="W61" s="7" t="str">
        <f>IF(VLOOKUP(W$2,行为概览!$D$3:$M$33,10,0)="","",VLOOKUP(W$2,行为概览!$D$3:$M$33,10,0)*IF(玩法行为规划!V61&gt;0,1,0))</f>
        <v/>
      </c>
      <c r="X61" s="7" t="str">
        <f>IF(VLOOKUP(X$2,行为概览!$D$3:$M$33,10,0)="","",VLOOKUP(X$2,行为概览!$D$3:$M$33,10,0)*IF(玩法行为规划!W61&gt;0,1,0))</f>
        <v/>
      </c>
      <c r="Y61" s="7" t="str">
        <f>IF(VLOOKUP(Y$2,行为概览!$D$3:$M$33,10,0)="","",VLOOKUP(Y$2,行为概览!$D$3:$M$33,10,0)*IF(玩法行为规划!X61&gt;0,1,0))</f>
        <v/>
      </c>
      <c r="Z61" s="7">
        <f>IF(VLOOKUP(Z$2,行为概览!$D$3:$M$33,10,0)="","",VLOOKUP(Z$2,行为概览!$D$3:$M$33,10,0)*IF(玩法行为规划!Y61&gt;0,1,0))</f>
        <v>10</v>
      </c>
      <c r="AA61" s="7" t="str">
        <f>IF(VLOOKUP(AA$2,行为概览!$D$3:$M$33,10,0)="","",VLOOKUP(AA$2,行为概览!$D$3:$M$33,10,0)*IF(玩法行为规划!Z61&gt;0,1,0))</f>
        <v/>
      </c>
      <c r="AB61" s="7" t="str">
        <f>IF(VLOOKUP(AB$2,行为概览!$D$3:$M$33,10,0)="","",VLOOKUP(AB$2,行为概览!$D$3:$M$33,10,0)*IF(玩法行为规划!AA61&gt;0,1,0))</f>
        <v/>
      </c>
      <c r="AC61" s="7" t="str">
        <f>IF(VLOOKUP(AC$2,行为概览!$D$3:$M$33,10,0)="","",VLOOKUP(AC$2,行为概览!$D$3:$M$33,10,0)*IF(玩法行为规划!AB61&gt;0,1,0))</f>
        <v/>
      </c>
      <c r="AD61" s="7" t="str">
        <f>IF(VLOOKUP(AD$2,行为概览!$D$3:$M$33,10,0)="","",VLOOKUP(AD$2,行为概览!$D$3:$M$33,10,0)*IF(玩法行为规划!AC61&gt;0,1,0))</f>
        <v/>
      </c>
      <c r="AE61" s="7" t="str">
        <f>IF(VLOOKUP(AE$2,行为概览!$D$3:$M$33,10,0)="","",VLOOKUP(AE$2,行为概览!$D$3:$M$33,10,0)*IF(玩法行为规划!AD61&gt;0,1,0))</f>
        <v/>
      </c>
      <c r="AF61" s="7">
        <f>IF(VLOOKUP(AF$2,行为概览!$D$3:$M$33,10,0)="","",VLOOKUP(AF$2,行为概览!$D$3:$M$33,10,0)*IF(玩法行为规划!AE61&gt;0,1,0))</f>
        <v>20</v>
      </c>
      <c r="AG61" s="7">
        <f t="shared" si="4"/>
        <v>80</v>
      </c>
      <c r="AH61" s="7">
        <f t="shared" si="5"/>
        <v>4720</v>
      </c>
      <c r="AI61" s="7">
        <v>0</v>
      </c>
      <c r="AJ61" s="21" t="str">
        <f t="shared" si="6"/>
        <v/>
      </c>
      <c r="AK61" s="7">
        <f t="shared" si="2"/>
        <v>4720</v>
      </c>
      <c r="AL61" s="7">
        <f>SUM($AK$3:AK61)</f>
        <v>109735</v>
      </c>
    </row>
    <row r="62" spans="1:38">
      <c r="A62" s="32">
        <v>60</v>
      </c>
      <c r="B62" s="87">
        <f>升级节奏!F62</f>
        <v>60</v>
      </c>
      <c r="C62" s="7">
        <f>IF(VLOOKUP(C$2,行为概览!$D$3:$M$33,10,0)="","",VLOOKUP(C$2,行为概览!$D$3:$M$33,10,0)*IF(玩法行为规划!B62&gt;0,1,0))</f>
        <v>8</v>
      </c>
      <c r="D62" s="7" t="str">
        <f>IF(VLOOKUP(D$2,行为概览!$D$3:$M$33,10,0)="","",VLOOKUP(D$2,行为概览!$D$3:$M$33,10,0)*IF(玩法行为规划!C62&gt;0,1,0))</f>
        <v/>
      </c>
      <c r="E62" s="7" t="str">
        <f>IF(VLOOKUP(E$2,行为概览!$D$3:$M$33,10,0)="","",VLOOKUP(E$2,行为概览!$D$3:$M$33,10,0)*IF(玩法行为规划!D62&gt;0,1,0))</f>
        <v/>
      </c>
      <c r="F62" s="7">
        <f>IF(VLOOKUP(F$2,行为概览!$D$3:$M$33,10,0)="","",VLOOKUP(F$2,行为概览!$D$3:$M$33,10,0)*IF(玩法行为规划!E62&gt;0,1,0))</f>
        <v>10</v>
      </c>
      <c r="G62" s="7" t="str">
        <f>IF(VLOOKUP(G$2,行为概览!$D$3:$M$33,10,0)="","",VLOOKUP(G$2,行为概览!$D$3:$M$33,10,0)*IF(玩法行为规划!F62&gt;0,1,0))</f>
        <v/>
      </c>
      <c r="H62" s="7" t="str">
        <f>IF(VLOOKUP(H$2,行为概览!$D$3:$M$33,10,0)="","",VLOOKUP(H$2,行为概览!$D$3:$M$33,10,0)*IF(玩法行为规划!G62&gt;0,1,0))</f>
        <v/>
      </c>
      <c r="I62" s="7" t="str">
        <f>IF(VLOOKUP(I$2,行为概览!$D$3:$M$33,10,0)="","",VLOOKUP(I$2,行为概览!$D$3:$M$33,10,0)*IF(玩法行为规划!H62&gt;0,1,0))</f>
        <v/>
      </c>
      <c r="J62" s="7" t="str">
        <f>IF(VLOOKUP(J$2,行为概览!$D$3:$M$33,10,0)="","",VLOOKUP(J$2,行为概览!$D$3:$M$33,10,0)*IF(玩法行为规划!I62&gt;0,1,0))</f>
        <v/>
      </c>
      <c r="K62" s="7">
        <f>IF(VLOOKUP(K$2,行为概览!$D$3:$M$33,10,0)="","",VLOOKUP(K$2,行为概览!$D$3:$M$33,10,0)*IF(玩法行为规划!J62&gt;0,1,0))</f>
        <v>10</v>
      </c>
      <c r="L62" s="7">
        <f>IF(VLOOKUP(L$2,行为概览!$D$3:$M$33,10,0)="","",VLOOKUP(L$2,行为概览!$D$3:$M$33,10,0)*IF(玩法行为规划!K62&gt;0,1,0))</f>
        <v>5</v>
      </c>
      <c r="M62" s="7" t="str">
        <f>IF(VLOOKUP(M$2,行为概览!$D$3:$M$33,10,0)="","",VLOOKUP(M$2,行为概览!$D$3:$M$33,10,0)*IF(玩法行为规划!L62&gt;0,1,0))</f>
        <v/>
      </c>
      <c r="N62" s="7" t="str">
        <f>IF(VLOOKUP(N$2,行为概览!$D$3:$M$33,10,0)="","",VLOOKUP(N$2,行为概览!$D$3:$M$33,10,0)*IF(玩法行为规划!M62&gt;0,1,0))</f>
        <v/>
      </c>
      <c r="O62" s="7" t="str">
        <f>IF(VLOOKUP(O$2,行为概览!$D$3:$M$33,10,0)="","",VLOOKUP(O$2,行为概览!$D$3:$M$33,10,0)*IF(玩法行为规划!N62&gt;0,1,0))</f>
        <v/>
      </c>
      <c r="P62" s="7" t="str">
        <f>IF(VLOOKUP(P$2,行为概览!$D$3:$M$33,10,0)="","",VLOOKUP(P$2,行为概览!$D$3:$M$33,10,0)*IF(玩法行为规划!O62&gt;0,1,0))</f>
        <v/>
      </c>
      <c r="Q62" s="7">
        <f>IF(VLOOKUP(Q$2,行为概览!$D$3:$M$33,10,0)="","",VLOOKUP(Q$2,行为概览!$D$3:$M$33,10,0)*IF(玩法行为规划!P62&gt;0,1,0))</f>
        <v>10</v>
      </c>
      <c r="R62" s="7" t="str">
        <f>IF(VLOOKUP(R$2,行为概览!$D$3:$M$33,10,0)="","",VLOOKUP(R$2,行为概览!$D$3:$M$33,10,0)*IF(玩法行为规划!Q62&gt;0,1,0))</f>
        <v/>
      </c>
      <c r="S62" s="7">
        <f>IF(VLOOKUP(S$2,行为概览!$D$3:$M$33,10,0)="","",VLOOKUP(S$2,行为概览!$D$3:$M$33,10,0)*IF(玩法行为规划!R62&gt;0,1,0))</f>
        <v>3</v>
      </c>
      <c r="T62" s="7" t="str">
        <f>IF(VLOOKUP(T$2,行为概览!$D$3:$M$33,10,0)="","",VLOOKUP(T$2,行为概览!$D$3:$M$33,10,0)*IF(玩法行为规划!S62&gt;0,1,0))</f>
        <v/>
      </c>
      <c r="U62" s="7" t="str">
        <f>IF(VLOOKUP(U$2,行为概览!$D$3:$M$33,10,0)="","",VLOOKUP(U$2,行为概览!$D$3:$M$33,10,0)*IF(玩法行为规划!T62&gt;0,1,0))</f>
        <v/>
      </c>
      <c r="V62" s="7">
        <f>IF(VLOOKUP(V$2,行为概览!$D$3:$M$33,10,0)="","",VLOOKUP(V$2,行为概览!$D$3:$M$33,10,0)*IF(玩法行为规划!U62&gt;0,1,0))</f>
        <v>4</v>
      </c>
      <c r="W62" s="7" t="str">
        <f>IF(VLOOKUP(W$2,行为概览!$D$3:$M$33,10,0)="","",VLOOKUP(W$2,行为概览!$D$3:$M$33,10,0)*IF(玩法行为规划!V62&gt;0,1,0))</f>
        <v/>
      </c>
      <c r="X62" s="7" t="str">
        <f>IF(VLOOKUP(X$2,行为概览!$D$3:$M$33,10,0)="","",VLOOKUP(X$2,行为概览!$D$3:$M$33,10,0)*IF(玩法行为规划!W62&gt;0,1,0))</f>
        <v/>
      </c>
      <c r="Y62" s="7" t="str">
        <f>IF(VLOOKUP(Y$2,行为概览!$D$3:$M$33,10,0)="","",VLOOKUP(Y$2,行为概览!$D$3:$M$33,10,0)*IF(玩法行为规划!X62&gt;0,1,0))</f>
        <v/>
      </c>
      <c r="Z62" s="7">
        <f>IF(VLOOKUP(Z$2,行为概览!$D$3:$M$33,10,0)="","",VLOOKUP(Z$2,行为概览!$D$3:$M$33,10,0)*IF(玩法行为规划!Y62&gt;0,1,0))</f>
        <v>10</v>
      </c>
      <c r="AA62" s="7" t="str">
        <f>IF(VLOOKUP(AA$2,行为概览!$D$3:$M$33,10,0)="","",VLOOKUP(AA$2,行为概览!$D$3:$M$33,10,0)*IF(玩法行为规划!Z62&gt;0,1,0))</f>
        <v/>
      </c>
      <c r="AB62" s="7" t="str">
        <f>IF(VLOOKUP(AB$2,行为概览!$D$3:$M$33,10,0)="","",VLOOKUP(AB$2,行为概览!$D$3:$M$33,10,0)*IF(玩法行为规划!AA62&gt;0,1,0))</f>
        <v/>
      </c>
      <c r="AC62" s="7" t="str">
        <f>IF(VLOOKUP(AC$2,行为概览!$D$3:$M$33,10,0)="","",VLOOKUP(AC$2,行为概览!$D$3:$M$33,10,0)*IF(玩法行为规划!AB62&gt;0,1,0))</f>
        <v/>
      </c>
      <c r="AD62" s="7" t="str">
        <f>IF(VLOOKUP(AD$2,行为概览!$D$3:$M$33,10,0)="","",VLOOKUP(AD$2,行为概览!$D$3:$M$33,10,0)*IF(玩法行为规划!AC62&gt;0,1,0))</f>
        <v/>
      </c>
      <c r="AE62" s="7" t="str">
        <f>IF(VLOOKUP(AE$2,行为概览!$D$3:$M$33,10,0)="","",VLOOKUP(AE$2,行为概览!$D$3:$M$33,10,0)*IF(玩法行为规划!AD62&gt;0,1,0))</f>
        <v/>
      </c>
      <c r="AF62" s="7">
        <f>IF(VLOOKUP(AF$2,行为概览!$D$3:$M$33,10,0)="","",VLOOKUP(AF$2,行为概览!$D$3:$M$33,10,0)*IF(玩法行为规划!AE62&gt;0,1,0))</f>
        <v>20</v>
      </c>
      <c r="AG62" s="7">
        <f t="shared" si="4"/>
        <v>80</v>
      </c>
      <c r="AH62" s="7">
        <f t="shared" si="5"/>
        <v>4800</v>
      </c>
      <c r="AI62" s="7">
        <v>0</v>
      </c>
      <c r="AJ62" s="21">
        <f t="shared" si="6"/>
        <v>0</v>
      </c>
      <c r="AK62" s="7">
        <f t="shared" si="2"/>
        <v>4800</v>
      </c>
      <c r="AL62" s="7">
        <f>SUM($AK$3:AK62)</f>
        <v>114535</v>
      </c>
    </row>
    <row r="63" spans="1:38">
      <c r="A63" s="32">
        <v>61</v>
      </c>
      <c r="B63" s="87">
        <f>升级节奏!F63</f>
        <v>61</v>
      </c>
      <c r="C63" s="7">
        <f>IF(VLOOKUP(C$2,行为概览!$D$3:$M$33,10,0)="","",VLOOKUP(C$2,行为概览!$D$3:$M$33,10,0)*IF(玩法行为规划!B63&gt;0,1,0))</f>
        <v>8</v>
      </c>
      <c r="D63" s="7" t="str">
        <f>IF(VLOOKUP(D$2,行为概览!$D$3:$M$33,10,0)="","",VLOOKUP(D$2,行为概览!$D$3:$M$33,10,0)*IF(玩法行为规划!C63&gt;0,1,0))</f>
        <v/>
      </c>
      <c r="E63" s="7" t="str">
        <f>IF(VLOOKUP(E$2,行为概览!$D$3:$M$33,10,0)="","",VLOOKUP(E$2,行为概览!$D$3:$M$33,10,0)*IF(玩法行为规划!D63&gt;0,1,0))</f>
        <v/>
      </c>
      <c r="F63" s="7">
        <f>IF(VLOOKUP(F$2,行为概览!$D$3:$M$33,10,0)="","",VLOOKUP(F$2,行为概览!$D$3:$M$33,10,0)*IF(玩法行为规划!E63&gt;0,1,0))</f>
        <v>10</v>
      </c>
      <c r="G63" s="7" t="str">
        <f>IF(VLOOKUP(G$2,行为概览!$D$3:$M$33,10,0)="","",VLOOKUP(G$2,行为概览!$D$3:$M$33,10,0)*IF(玩法行为规划!F63&gt;0,1,0))</f>
        <v/>
      </c>
      <c r="H63" s="7" t="str">
        <f>IF(VLOOKUP(H$2,行为概览!$D$3:$M$33,10,0)="","",VLOOKUP(H$2,行为概览!$D$3:$M$33,10,0)*IF(玩法行为规划!G63&gt;0,1,0))</f>
        <v/>
      </c>
      <c r="I63" s="7" t="str">
        <f>IF(VLOOKUP(I$2,行为概览!$D$3:$M$33,10,0)="","",VLOOKUP(I$2,行为概览!$D$3:$M$33,10,0)*IF(玩法行为规划!H63&gt;0,1,0))</f>
        <v/>
      </c>
      <c r="J63" s="7" t="str">
        <f>IF(VLOOKUP(J$2,行为概览!$D$3:$M$33,10,0)="","",VLOOKUP(J$2,行为概览!$D$3:$M$33,10,0)*IF(玩法行为规划!I63&gt;0,1,0))</f>
        <v/>
      </c>
      <c r="K63" s="7">
        <f>IF(VLOOKUP(K$2,行为概览!$D$3:$M$33,10,0)="","",VLOOKUP(K$2,行为概览!$D$3:$M$33,10,0)*IF(玩法行为规划!J63&gt;0,1,0))</f>
        <v>10</v>
      </c>
      <c r="L63" s="7">
        <f>IF(VLOOKUP(L$2,行为概览!$D$3:$M$33,10,0)="","",VLOOKUP(L$2,行为概览!$D$3:$M$33,10,0)*IF(玩法行为规划!K63&gt;0,1,0))</f>
        <v>5</v>
      </c>
      <c r="M63" s="7" t="str">
        <f>IF(VLOOKUP(M$2,行为概览!$D$3:$M$33,10,0)="","",VLOOKUP(M$2,行为概览!$D$3:$M$33,10,0)*IF(玩法行为规划!L63&gt;0,1,0))</f>
        <v/>
      </c>
      <c r="N63" s="7" t="str">
        <f>IF(VLOOKUP(N$2,行为概览!$D$3:$M$33,10,0)="","",VLOOKUP(N$2,行为概览!$D$3:$M$33,10,0)*IF(玩法行为规划!M63&gt;0,1,0))</f>
        <v/>
      </c>
      <c r="O63" s="7" t="str">
        <f>IF(VLOOKUP(O$2,行为概览!$D$3:$M$33,10,0)="","",VLOOKUP(O$2,行为概览!$D$3:$M$33,10,0)*IF(玩法行为规划!N63&gt;0,1,0))</f>
        <v/>
      </c>
      <c r="P63" s="7" t="str">
        <f>IF(VLOOKUP(P$2,行为概览!$D$3:$M$33,10,0)="","",VLOOKUP(P$2,行为概览!$D$3:$M$33,10,0)*IF(玩法行为规划!O63&gt;0,1,0))</f>
        <v/>
      </c>
      <c r="Q63" s="7">
        <f>IF(VLOOKUP(Q$2,行为概览!$D$3:$M$33,10,0)="","",VLOOKUP(Q$2,行为概览!$D$3:$M$33,10,0)*IF(玩法行为规划!P63&gt;0,1,0))</f>
        <v>10</v>
      </c>
      <c r="R63" s="7" t="str">
        <f>IF(VLOOKUP(R$2,行为概览!$D$3:$M$33,10,0)="","",VLOOKUP(R$2,行为概览!$D$3:$M$33,10,0)*IF(玩法行为规划!Q63&gt;0,1,0))</f>
        <v/>
      </c>
      <c r="S63" s="7">
        <f>IF(VLOOKUP(S$2,行为概览!$D$3:$M$33,10,0)="","",VLOOKUP(S$2,行为概览!$D$3:$M$33,10,0)*IF(玩法行为规划!R63&gt;0,1,0))</f>
        <v>3</v>
      </c>
      <c r="T63" s="7" t="str">
        <f>IF(VLOOKUP(T$2,行为概览!$D$3:$M$33,10,0)="","",VLOOKUP(T$2,行为概览!$D$3:$M$33,10,0)*IF(玩法行为规划!S63&gt;0,1,0))</f>
        <v/>
      </c>
      <c r="U63" s="7" t="str">
        <f>IF(VLOOKUP(U$2,行为概览!$D$3:$M$33,10,0)="","",VLOOKUP(U$2,行为概览!$D$3:$M$33,10,0)*IF(玩法行为规划!T63&gt;0,1,0))</f>
        <v/>
      </c>
      <c r="V63" s="7">
        <f>IF(VLOOKUP(V$2,行为概览!$D$3:$M$33,10,0)="","",VLOOKUP(V$2,行为概览!$D$3:$M$33,10,0)*IF(玩法行为规划!U63&gt;0,1,0))</f>
        <v>4</v>
      </c>
      <c r="W63" s="7" t="str">
        <f>IF(VLOOKUP(W$2,行为概览!$D$3:$M$33,10,0)="","",VLOOKUP(W$2,行为概览!$D$3:$M$33,10,0)*IF(玩法行为规划!V63&gt;0,1,0))</f>
        <v/>
      </c>
      <c r="X63" s="7" t="str">
        <f>IF(VLOOKUP(X$2,行为概览!$D$3:$M$33,10,0)="","",VLOOKUP(X$2,行为概览!$D$3:$M$33,10,0)*IF(玩法行为规划!W63&gt;0,1,0))</f>
        <v/>
      </c>
      <c r="Y63" s="7" t="str">
        <f>IF(VLOOKUP(Y$2,行为概览!$D$3:$M$33,10,0)="","",VLOOKUP(Y$2,行为概览!$D$3:$M$33,10,0)*IF(玩法行为规划!X63&gt;0,1,0))</f>
        <v/>
      </c>
      <c r="Z63" s="7">
        <f>IF(VLOOKUP(Z$2,行为概览!$D$3:$M$33,10,0)="","",VLOOKUP(Z$2,行为概览!$D$3:$M$33,10,0)*IF(玩法行为规划!Y63&gt;0,1,0))</f>
        <v>10</v>
      </c>
      <c r="AA63" s="7" t="str">
        <f>IF(VLOOKUP(AA$2,行为概览!$D$3:$M$33,10,0)="","",VLOOKUP(AA$2,行为概览!$D$3:$M$33,10,0)*IF(玩法行为规划!Z63&gt;0,1,0))</f>
        <v/>
      </c>
      <c r="AB63" s="7" t="str">
        <f>IF(VLOOKUP(AB$2,行为概览!$D$3:$M$33,10,0)="","",VLOOKUP(AB$2,行为概览!$D$3:$M$33,10,0)*IF(玩法行为规划!AA63&gt;0,1,0))</f>
        <v/>
      </c>
      <c r="AC63" s="7" t="str">
        <f>IF(VLOOKUP(AC$2,行为概览!$D$3:$M$33,10,0)="","",VLOOKUP(AC$2,行为概览!$D$3:$M$33,10,0)*IF(玩法行为规划!AB63&gt;0,1,0))</f>
        <v/>
      </c>
      <c r="AD63" s="7" t="str">
        <f>IF(VLOOKUP(AD$2,行为概览!$D$3:$M$33,10,0)="","",VLOOKUP(AD$2,行为概览!$D$3:$M$33,10,0)*IF(玩法行为规划!AC63&gt;0,1,0))</f>
        <v/>
      </c>
      <c r="AE63" s="7" t="str">
        <f>IF(VLOOKUP(AE$2,行为概览!$D$3:$M$33,10,0)="","",VLOOKUP(AE$2,行为概览!$D$3:$M$33,10,0)*IF(玩法行为规划!AD63&gt;0,1,0))</f>
        <v/>
      </c>
      <c r="AF63" s="7">
        <f>IF(VLOOKUP(AF$2,行为概览!$D$3:$M$33,10,0)="","",VLOOKUP(AF$2,行为概览!$D$3:$M$33,10,0)*IF(玩法行为规划!AE63&gt;0,1,0))</f>
        <v>20</v>
      </c>
      <c r="AG63" s="7">
        <f t="shared" si="4"/>
        <v>80</v>
      </c>
      <c r="AH63" s="7">
        <f t="shared" si="5"/>
        <v>4880</v>
      </c>
      <c r="AI63" s="7">
        <v>0</v>
      </c>
      <c r="AJ63" s="21" t="str">
        <f t="shared" si="6"/>
        <v/>
      </c>
      <c r="AK63" s="7">
        <f t="shared" si="2"/>
        <v>4880</v>
      </c>
      <c r="AL63" s="7">
        <f>SUM($AK$3:AK63)</f>
        <v>119415</v>
      </c>
    </row>
    <row r="64" spans="1:38">
      <c r="A64" s="32">
        <v>62</v>
      </c>
      <c r="B64" s="87">
        <f>升级节奏!F64</f>
        <v>62</v>
      </c>
      <c r="C64" s="7">
        <f>IF(VLOOKUP(C$2,行为概览!$D$3:$M$33,10,0)="","",VLOOKUP(C$2,行为概览!$D$3:$M$33,10,0)*IF(玩法行为规划!B64&gt;0,1,0))</f>
        <v>8</v>
      </c>
      <c r="D64" s="7" t="str">
        <f>IF(VLOOKUP(D$2,行为概览!$D$3:$M$33,10,0)="","",VLOOKUP(D$2,行为概览!$D$3:$M$33,10,0)*IF(玩法行为规划!C64&gt;0,1,0))</f>
        <v/>
      </c>
      <c r="E64" s="7" t="str">
        <f>IF(VLOOKUP(E$2,行为概览!$D$3:$M$33,10,0)="","",VLOOKUP(E$2,行为概览!$D$3:$M$33,10,0)*IF(玩法行为规划!D64&gt;0,1,0))</f>
        <v/>
      </c>
      <c r="F64" s="7">
        <f>IF(VLOOKUP(F$2,行为概览!$D$3:$M$33,10,0)="","",VLOOKUP(F$2,行为概览!$D$3:$M$33,10,0)*IF(玩法行为规划!E64&gt;0,1,0))</f>
        <v>10</v>
      </c>
      <c r="G64" s="7" t="str">
        <f>IF(VLOOKUP(G$2,行为概览!$D$3:$M$33,10,0)="","",VLOOKUP(G$2,行为概览!$D$3:$M$33,10,0)*IF(玩法行为规划!F64&gt;0,1,0))</f>
        <v/>
      </c>
      <c r="H64" s="7" t="str">
        <f>IF(VLOOKUP(H$2,行为概览!$D$3:$M$33,10,0)="","",VLOOKUP(H$2,行为概览!$D$3:$M$33,10,0)*IF(玩法行为规划!G64&gt;0,1,0))</f>
        <v/>
      </c>
      <c r="I64" s="7" t="str">
        <f>IF(VLOOKUP(I$2,行为概览!$D$3:$M$33,10,0)="","",VLOOKUP(I$2,行为概览!$D$3:$M$33,10,0)*IF(玩法行为规划!H64&gt;0,1,0))</f>
        <v/>
      </c>
      <c r="J64" s="7" t="str">
        <f>IF(VLOOKUP(J$2,行为概览!$D$3:$M$33,10,0)="","",VLOOKUP(J$2,行为概览!$D$3:$M$33,10,0)*IF(玩法行为规划!I64&gt;0,1,0))</f>
        <v/>
      </c>
      <c r="K64" s="7">
        <f>IF(VLOOKUP(K$2,行为概览!$D$3:$M$33,10,0)="","",VLOOKUP(K$2,行为概览!$D$3:$M$33,10,0)*IF(玩法行为规划!J64&gt;0,1,0))</f>
        <v>10</v>
      </c>
      <c r="L64" s="7">
        <f>IF(VLOOKUP(L$2,行为概览!$D$3:$M$33,10,0)="","",VLOOKUP(L$2,行为概览!$D$3:$M$33,10,0)*IF(玩法行为规划!K64&gt;0,1,0))</f>
        <v>5</v>
      </c>
      <c r="M64" s="7" t="str">
        <f>IF(VLOOKUP(M$2,行为概览!$D$3:$M$33,10,0)="","",VLOOKUP(M$2,行为概览!$D$3:$M$33,10,0)*IF(玩法行为规划!L64&gt;0,1,0))</f>
        <v/>
      </c>
      <c r="N64" s="7" t="str">
        <f>IF(VLOOKUP(N$2,行为概览!$D$3:$M$33,10,0)="","",VLOOKUP(N$2,行为概览!$D$3:$M$33,10,0)*IF(玩法行为规划!M64&gt;0,1,0))</f>
        <v/>
      </c>
      <c r="O64" s="7" t="str">
        <f>IF(VLOOKUP(O$2,行为概览!$D$3:$M$33,10,0)="","",VLOOKUP(O$2,行为概览!$D$3:$M$33,10,0)*IF(玩法行为规划!N64&gt;0,1,0))</f>
        <v/>
      </c>
      <c r="P64" s="7" t="str">
        <f>IF(VLOOKUP(P$2,行为概览!$D$3:$M$33,10,0)="","",VLOOKUP(P$2,行为概览!$D$3:$M$33,10,0)*IF(玩法行为规划!O64&gt;0,1,0))</f>
        <v/>
      </c>
      <c r="Q64" s="7">
        <f>IF(VLOOKUP(Q$2,行为概览!$D$3:$M$33,10,0)="","",VLOOKUP(Q$2,行为概览!$D$3:$M$33,10,0)*IF(玩法行为规划!P64&gt;0,1,0))</f>
        <v>10</v>
      </c>
      <c r="R64" s="7" t="str">
        <f>IF(VLOOKUP(R$2,行为概览!$D$3:$M$33,10,0)="","",VLOOKUP(R$2,行为概览!$D$3:$M$33,10,0)*IF(玩法行为规划!Q64&gt;0,1,0))</f>
        <v/>
      </c>
      <c r="S64" s="7">
        <f>IF(VLOOKUP(S$2,行为概览!$D$3:$M$33,10,0)="","",VLOOKUP(S$2,行为概览!$D$3:$M$33,10,0)*IF(玩法行为规划!R64&gt;0,1,0))</f>
        <v>3</v>
      </c>
      <c r="T64" s="7" t="str">
        <f>IF(VLOOKUP(T$2,行为概览!$D$3:$M$33,10,0)="","",VLOOKUP(T$2,行为概览!$D$3:$M$33,10,0)*IF(玩法行为规划!S64&gt;0,1,0))</f>
        <v/>
      </c>
      <c r="U64" s="7" t="str">
        <f>IF(VLOOKUP(U$2,行为概览!$D$3:$M$33,10,0)="","",VLOOKUP(U$2,行为概览!$D$3:$M$33,10,0)*IF(玩法行为规划!T64&gt;0,1,0))</f>
        <v/>
      </c>
      <c r="V64" s="7">
        <f>IF(VLOOKUP(V$2,行为概览!$D$3:$M$33,10,0)="","",VLOOKUP(V$2,行为概览!$D$3:$M$33,10,0)*IF(玩法行为规划!U64&gt;0,1,0))</f>
        <v>4</v>
      </c>
      <c r="W64" s="7" t="str">
        <f>IF(VLOOKUP(W$2,行为概览!$D$3:$M$33,10,0)="","",VLOOKUP(W$2,行为概览!$D$3:$M$33,10,0)*IF(玩法行为规划!V64&gt;0,1,0))</f>
        <v/>
      </c>
      <c r="X64" s="7" t="str">
        <f>IF(VLOOKUP(X$2,行为概览!$D$3:$M$33,10,0)="","",VLOOKUP(X$2,行为概览!$D$3:$M$33,10,0)*IF(玩法行为规划!W64&gt;0,1,0))</f>
        <v/>
      </c>
      <c r="Y64" s="7" t="str">
        <f>IF(VLOOKUP(Y$2,行为概览!$D$3:$M$33,10,0)="","",VLOOKUP(Y$2,行为概览!$D$3:$M$33,10,0)*IF(玩法行为规划!X64&gt;0,1,0))</f>
        <v/>
      </c>
      <c r="Z64" s="7">
        <f>IF(VLOOKUP(Z$2,行为概览!$D$3:$M$33,10,0)="","",VLOOKUP(Z$2,行为概览!$D$3:$M$33,10,0)*IF(玩法行为规划!Y64&gt;0,1,0))</f>
        <v>10</v>
      </c>
      <c r="AA64" s="7" t="str">
        <f>IF(VLOOKUP(AA$2,行为概览!$D$3:$M$33,10,0)="","",VLOOKUP(AA$2,行为概览!$D$3:$M$33,10,0)*IF(玩法行为规划!Z64&gt;0,1,0))</f>
        <v/>
      </c>
      <c r="AB64" s="7" t="str">
        <f>IF(VLOOKUP(AB$2,行为概览!$D$3:$M$33,10,0)="","",VLOOKUP(AB$2,行为概览!$D$3:$M$33,10,0)*IF(玩法行为规划!AA64&gt;0,1,0))</f>
        <v/>
      </c>
      <c r="AC64" s="7" t="str">
        <f>IF(VLOOKUP(AC$2,行为概览!$D$3:$M$33,10,0)="","",VLOOKUP(AC$2,行为概览!$D$3:$M$33,10,0)*IF(玩法行为规划!AB64&gt;0,1,0))</f>
        <v/>
      </c>
      <c r="AD64" s="7" t="str">
        <f>IF(VLOOKUP(AD$2,行为概览!$D$3:$M$33,10,0)="","",VLOOKUP(AD$2,行为概览!$D$3:$M$33,10,0)*IF(玩法行为规划!AC64&gt;0,1,0))</f>
        <v/>
      </c>
      <c r="AE64" s="7" t="str">
        <f>IF(VLOOKUP(AE$2,行为概览!$D$3:$M$33,10,0)="","",VLOOKUP(AE$2,行为概览!$D$3:$M$33,10,0)*IF(玩法行为规划!AD64&gt;0,1,0))</f>
        <v/>
      </c>
      <c r="AF64" s="7">
        <f>IF(VLOOKUP(AF$2,行为概览!$D$3:$M$33,10,0)="","",VLOOKUP(AF$2,行为概览!$D$3:$M$33,10,0)*IF(玩法行为规划!AE64&gt;0,1,0))</f>
        <v>20</v>
      </c>
      <c r="AG64" s="7">
        <f t="shared" si="4"/>
        <v>80</v>
      </c>
      <c r="AH64" s="7">
        <f t="shared" si="5"/>
        <v>4960</v>
      </c>
      <c r="AI64" s="7">
        <v>0</v>
      </c>
      <c r="AJ64" s="21" t="str">
        <f t="shared" si="6"/>
        <v/>
      </c>
      <c r="AK64" s="7">
        <f t="shared" si="2"/>
        <v>4960</v>
      </c>
      <c r="AL64" s="7">
        <f>SUM($AK$3:AK64)</f>
        <v>124375</v>
      </c>
    </row>
    <row r="65" spans="1:38">
      <c r="A65" s="32">
        <v>63</v>
      </c>
      <c r="B65" s="87">
        <f>升级节奏!F65</f>
        <v>63</v>
      </c>
      <c r="C65" s="7">
        <f>IF(VLOOKUP(C$2,行为概览!$D$3:$M$33,10,0)="","",VLOOKUP(C$2,行为概览!$D$3:$M$33,10,0)*IF(玩法行为规划!B65&gt;0,1,0))</f>
        <v>8</v>
      </c>
      <c r="D65" s="7" t="str">
        <f>IF(VLOOKUP(D$2,行为概览!$D$3:$M$33,10,0)="","",VLOOKUP(D$2,行为概览!$D$3:$M$33,10,0)*IF(玩法行为规划!C65&gt;0,1,0))</f>
        <v/>
      </c>
      <c r="E65" s="7" t="str">
        <f>IF(VLOOKUP(E$2,行为概览!$D$3:$M$33,10,0)="","",VLOOKUP(E$2,行为概览!$D$3:$M$33,10,0)*IF(玩法行为规划!D65&gt;0,1,0))</f>
        <v/>
      </c>
      <c r="F65" s="7">
        <f>IF(VLOOKUP(F$2,行为概览!$D$3:$M$33,10,0)="","",VLOOKUP(F$2,行为概览!$D$3:$M$33,10,0)*IF(玩法行为规划!E65&gt;0,1,0))</f>
        <v>10</v>
      </c>
      <c r="G65" s="7" t="str">
        <f>IF(VLOOKUP(G$2,行为概览!$D$3:$M$33,10,0)="","",VLOOKUP(G$2,行为概览!$D$3:$M$33,10,0)*IF(玩法行为规划!F65&gt;0,1,0))</f>
        <v/>
      </c>
      <c r="H65" s="7" t="str">
        <f>IF(VLOOKUP(H$2,行为概览!$D$3:$M$33,10,0)="","",VLOOKUP(H$2,行为概览!$D$3:$M$33,10,0)*IF(玩法行为规划!G65&gt;0,1,0))</f>
        <v/>
      </c>
      <c r="I65" s="7" t="str">
        <f>IF(VLOOKUP(I$2,行为概览!$D$3:$M$33,10,0)="","",VLOOKUP(I$2,行为概览!$D$3:$M$33,10,0)*IF(玩法行为规划!H65&gt;0,1,0))</f>
        <v/>
      </c>
      <c r="J65" s="7" t="str">
        <f>IF(VLOOKUP(J$2,行为概览!$D$3:$M$33,10,0)="","",VLOOKUP(J$2,行为概览!$D$3:$M$33,10,0)*IF(玩法行为规划!I65&gt;0,1,0))</f>
        <v/>
      </c>
      <c r="K65" s="7">
        <f>IF(VLOOKUP(K$2,行为概览!$D$3:$M$33,10,0)="","",VLOOKUP(K$2,行为概览!$D$3:$M$33,10,0)*IF(玩法行为规划!J65&gt;0,1,0))</f>
        <v>10</v>
      </c>
      <c r="L65" s="7">
        <f>IF(VLOOKUP(L$2,行为概览!$D$3:$M$33,10,0)="","",VLOOKUP(L$2,行为概览!$D$3:$M$33,10,0)*IF(玩法行为规划!K65&gt;0,1,0))</f>
        <v>5</v>
      </c>
      <c r="M65" s="7" t="str">
        <f>IF(VLOOKUP(M$2,行为概览!$D$3:$M$33,10,0)="","",VLOOKUP(M$2,行为概览!$D$3:$M$33,10,0)*IF(玩法行为规划!L65&gt;0,1,0))</f>
        <v/>
      </c>
      <c r="N65" s="7" t="str">
        <f>IF(VLOOKUP(N$2,行为概览!$D$3:$M$33,10,0)="","",VLOOKUP(N$2,行为概览!$D$3:$M$33,10,0)*IF(玩法行为规划!M65&gt;0,1,0))</f>
        <v/>
      </c>
      <c r="O65" s="7" t="str">
        <f>IF(VLOOKUP(O$2,行为概览!$D$3:$M$33,10,0)="","",VLOOKUP(O$2,行为概览!$D$3:$M$33,10,0)*IF(玩法行为规划!N65&gt;0,1,0))</f>
        <v/>
      </c>
      <c r="P65" s="7" t="str">
        <f>IF(VLOOKUP(P$2,行为概览!$D$3:$M$33,10,0)="","",VLOOKUP(P$2,行为概览!$D$3:$M$33,10,0)*IF(玩法行为规划!O65&gt;0,1,0))</f>
        <v/>
      </c>
      <c r="Q65" s="7">
        <f>IF(VLOOKUP(Q$2,行为概览!$D$3:$M$33,10,0)="","",VLOOKUP(Q$2,行为概览!$D$3:$M$33,10,0)*IF(玩法行为规划!P65&gt;0,1,0))</f>
        <v>10</v>
      </c>
      <c r="R65" s="7" t="str">
        <f>IF(VLOOKUP(R$2,行为概览!$D$3:$M$33,10,0)="","",VLOOKUP(R$2,行为概览!$D$3:$M$33,10,0)*IF(玩法行为规划!Q65&gt;0,1,0))</f>
        <v/>
      </c>
      <c r="S65" s="7">
        <f>IF(VLOOKUP(S$2,行为概览!$D$3:$M$33,10,0)="","",VLOOKUP(S$2,行为概览!$D$3:$M$33,10,0)*IF(玩法行为规划!R65&gt;0,1,0))</f>
        <v>3</v>
      </c>
      <c r="T65" s="7" t="str">
        <f>IF(VLOOKUP(T$2,行为概览!$D$3:$M$33,10,0)="","",VLOOKUP(T$2,行为概览!$D$3:$M$33,10,0)*IF(玩法行为规划!S65&gt;0,1,0))</f>
        <v/>
      </c>
      <c r="U65" s="7" t="str">
        <f>IF(VLOOKUP(U$2,行为概览!$D$3:$M$33,10,0)="","",VLOOKUP(U$2,行为概览!$D$3:$M$33,10,0)*IF(玩法行为规划!T65&gt;0,1,0))</f>
        <v/>
      </c>
      <c r="V65" s="7">
        <f>IF(VLOOKUP(V$2,行为概览!$D$3:$M$33,10,0)="","",VLOOKUP(V$2,行为概览!$D$3:$M$33,10,0)*IF(玩法行为规划!U65&gt;0,1,0))</f>
        <v>4</v>
      </c>
      <c r="W65" s="7" t="str">
        <f>IF(VLOOKUP(W$2,行为概览!$D$3:$M$33,10,0)="","",VLOOKUP(W$2,行为概览!$D$3:$M$33,10,0)*IF(玩法行为规划!V65&gt;0,1,0))</f>
        <v/>
      </c>
      <c r="X65" s="7" t="str">
        <f>IF(VLOOKUP(X$2,行为概览!$D$3:$M$33,10,0)="","",VLOOKUP(X$2,行为概览!$D$3:$M$33,10,0)*IF(玩法行为规划!W65&gt;0,1,0))</f>
        <v/>
      </c>
      <c r="Y65" s="7" t="str">
        <f>IF(VLOOKUP(Y$2,行为概览!$D$3:$M$33,10,0)="","",VLOOKUP(Y$2,行为概览!$D$3:$M$33,10,0)*IF(玩法行为规划!X65&gt;0,1,0))</f>
        <v/>
      </c>
      <c r="Z65" s="7">
        <f>IF(VLOOKUP(Z$2,行为概览!$D$3:$M$33,10,0)="","",VLOOKUP(Z$2,行为概览!$D$3:$M$33,10,0)*IF(玩法行为规划!Y65&gt;0,1,0))</f>
        <v>10</v>
      </c>
      <c r="AA65" s="7" t="str">
        <f>IF(VLOOKUP(AA$2,行为概览!$D$3:$M$33,10,0)="","",VLOOKUP(AA$2,行为概览!$D$3:$M$33,10,0)*IF(玩法行为规划!Z65&gt;0,1,0))</f>
        <v/>
      </c>
      <c r="AB65" s="7" t="str">
        <f>IF(VLOOKUP(AB$2,行为概览!$D$3:$M$33,10,0)="","",VLOOKUP(AB$2,行为概览!$D$3:$M$33,10,0)*IF(玩法行为规划!AA65&gt;0,1,0))</f>
        <v/>
      </c>
      <c r="AC65" s="7" t="str">
        <f>IF(VLOOKUP(AC$2,行为概览!$D$3:$M$33,10,0)="","",VLOOKUP(AC$2,行为概览!$D$3:$M$33,10,0)*IF(玩法行为规划!AB65&gt;0,1,0))</f>
        <v/>
      </c>
      <c r="AD65" s="7" t="str">
        <f>IF(VLOOKUP(AD$2,行为概览!$D$3:$M$33,10,0)="","",VLOOKUP(AD$2,行为概览!$D$3:$M$33,10,0)*IF(玩法行为规划!AC65&gt;0,1,0))</f>
        <v/>
      </c>
      <c r="AE65" s="7" t="str">
        <f>IF(VLOOKUP(AE$2,行为概览!$D$3:$M$33,10,0)="","",VLOOKUP(AE$2,行为概览!$D$3:$M$33,10,0)*IF(玩法行为规划!AD65&gt;0,1,0))</f>
        <v/>
      </c>
      <c r="AF65" s="7">
        <f>IF(VLOOKUP(AF$2,行为概览!$D$3:$M$33,10,0)="","",VLOOKUP(AF$2,行为概览!$D$3:$M$33,10,0)*IF(玩法行为规划!AE65&gt;0,1,0))</f>
        <v>20</v>
      </c>
      <c r="AG65" s="7">
        <f t="shared" si="4"/>
        <v>80</v>
      </c>
      <c r="AH65" s="7">
        <f t="shared" si="5"/>
        <v>5040</v>
      </c>
      <c r="AI65" s="7">
        <v>0</v>
      </c>
      <c r="AJ65" s="21" t="str">
        <f t="shared" si="6"/>
        <v/>
      </c>
      <c r="AK65" s="7">
        <f t="shared" si="2"/>
        <v>5040</v>
      </c>
      <c r="AL65" s="7">
        <f>SUM($AK$3:AK65)</f>
        <v>129415</v>
      </c>
    </row>
    <row r="66" spans="1:38">
      <c r="A66" s="32">
        <v>64</v>
      </c>
      <c r="B66" s="87">
        <f>升级节奏!F66</f>
        <v>64</v>
      </c>
      <c r="C66" s="7">
        <f>IF(VLOOKUP(C$2,行为概览!$D$3:$M$33,10,0)="","",VLOOKUP(C$2,行为概览!$D$3:$M$33,10,0)*IF(玩法行为规划!B66&gt;0,1,0))</f>
        <v>8</v>
      </c>
      <c r="D66" s="7" t="str">
        <f>IF(VLOOKUP(D$2,行为概览!$D$3:$M$33,10,0)="","",VLOOKUP(D$2,行为概览!$D$3:$M$33,10,0)*IF(玩法行为规划!C66&gt;0,1,0))</f>
        <v/>
      </c>
      <c r="E66" s="7" t="str">
        <f>IF(VLOOKUP(E$2,行为概览!$D$3:$M$33,10,0)="","",VLOOKUP(E$2,行为概览!$D$3:$M$33,10,0)*IF(玩法行为规划!D66&gt;0,1,0))</f>
        <v/>
      </c>
      <c r="F66" s="7">
        <f>IF(VLOOKUP(F$2,行为概览!$D$3:$M$33,10,0)="","",VLOOKUP(F$2,行为概览!$D$3:$M$33,10,0)*IF(玩法行为规划!E66&gt;0,1,0))</f>
        <v>10</v>
      </c>
      <c r="G66" s="7" t="str">
        <f>IF(VLOOKUP(G$2,行为概览!$D$3:$M$33,10,0)="","",VLOOKUP(G$2,行为概览!$D$3:$M$33,10,0)*IF(玩法行为规划!F66&gt;0,1,0))</f>
        <v/>
      </c>
      <c r="H66" s="7" t="str">
        <f>IF(VLOOKUP(H$2,行为概览!$D$3:$M$33,10,0)="","",VLOOKUP(H$2,行为概览!$D$3:$M$33,10,0)*IF(玩法行为规划!G66&gt;0,1,0))</f>
        <v/>
      </c>
      <c r="I66" s="7" t="str">
        <f>IF(VLOOKUP(I$2,行为概览!$D$3:$M$33,10,0)="","",VLOOKUP(I$2,行为概览!$D$3:$M$33,10,0)*IF(玩法行为规划!H66&gt;0,1,0))</f>
        <v/>
      </c>
      <c r="J66" s="7" t="str">
        <f>IF(VLOOKUP(J$2,行为概览!$D$3:$M$33,10,0)="","",VLOOKUP(J$2,行为概览!$D$3:$M$33,10,0)*IF(玩法行为规划!I66&gt;0,1,0))</f>
        <v/>
      </c>
      <c r="K66" s="7">
        <f>IF(VLOOKUP(K$2,行为概览!$D$3:$M$33,10,0)="","",VLOOKUP(K$2,行为概览!$D$3:$M$33,10,0)*IF(玩法行为规划!J66&gt;0,1,0))</f>
        <v>10</v>
      </c>
      <c r="L66" s="7">
        <f>IF(VLOOKUP(L$2,行为概览!$D$3:$M$33,10,0)="","",VLOOKUP(L$2,行为概览!$D$3:$M$33,10,0)*IF(玩法行为规划!K66&gt;0,1,0))</f>
        <v>5</v>
      </c>
      <c r="M66" s="7" t="str">
        <f>IF(VLOOKUP(M$2,行为概览!$D$3:$M$33,10,0)="","",VLOOKUP(M$2,行为概览!$D$3:$M$33,10,0)*IF(玩法行为规划!L66&gt;0,1,0))</f>
        <v/>
      </c>
      <c r="N66" s="7" t="str">
        <f>IF(VLOOKUP(N$2,行为概览!$D$3:$M$33,10,0)="","",VLOOKUP(N$2,行为概览!$D$3:$M$33,10,0)*IF(玩法行为规划!M66&gt;0,1,0))</f>
        <v/>
      </c>
      <c r="O66" s="7" t="str">
        <f>IF(VLOOKUP(O$2,行为概览!$D$3:$M$33,10,0)="","",VLOOKUP(O$2,行为概览!$D$3:$M$33,10,0)*IF(玩法行为规划!N66&gt;0,1,0))</f>
        <v/>
      </c>
      <c r="P66" s="7" t="str">
        <f>IF(VLOOKUP(P$2,行为概览!$D$3:$M$33,10,0)="","",VLOOKUP(P$2,行为概览!$D$3:$M$33,10,0)*IF(玩法行为规划!O66&gt;0,1,0))</f>
        <v/>
      </c>
      <c r="Q66" s="7">
        <f>IF(VLOOKUP(Q$2,行为概览!$D$3:$M$33,10,0)="","",VLOOKUP(Q$2,行为概览!$D$3:$M$33,10,0)*IF(玩法行为规划!P66&gt;0,1,0))</f>
        <v>10</v>
      </c>
      <c r="R66" s="7" t="str">
        <f>IF(VLOOKUP(R$2,行为概览!$D$3:$M$33,10,0)="","",VLOOKUP(R$2,行为概览!$D$3:$M$33,10,0)*IF(玩法行为规划!Q66&gt;0,1,0))</f>
        <v/>
      </c>
      <c r="S66" s="7">
        <f>IF(VLOOKUP(S$2,行为概览!$D$3:$M$33,10,0)="","",VLOOKUP(S$2,行为概览!$D$3:$M$33,10,0)*IF(玩法行为规划!R66&gt;0,1,0))</f>
        <v>3</v>
      </c>
      <c r="T66" s="7" t="str">
        <f>IF(VLOOKUP(T$2,行为概览!$D$3:$M$33,10,0)="","",VLOOKUP(T$2,行为概览!$D$3:$M$33,10,0)*IF(玩法行为规划!S66&gt;0,1,0))</f>
        <v/>
      </c>
      <c r="U66" s="7" t="str">
        <f>IF(VLOOKUP(U$2,行为概览!$D$3:$M$33,10,0)="","",VLOOKUP(U$2,行为概览!$D$3:$M$33,10,0)*IF(玩法行为规划!T66&gt;0,1,0))</f>
        <v/>
      </c>
      <c r="V66" s="7">
        <f>IF(VLOOKUP(V$2,行为概览!$D$3:$M$33,10,0)="","",VLOOKUP(V$2,行为概览!$D$3:$M$33,10,0)*IF(玩法行为规划!U66&gt;0,1,0))</f>
        <v>4</v>
      </c>
      <c r="W66" s="7" t="str">
        <f>IF(VLOOKUP(W$2,行为概览!$D$3:$M$33,10,0)="","",VLOOKUP(W$2,行为概览!$D$3:$M$33,10,0)*IF(玩法行为规划!V66&gt;0,1,0))</f>
        <v/>
      </c>
      <c r="X66" s="7" t="str">
        <f>IF(VLOOKUP(X$2,行为概览!$D$3:$M$33,10,0)="","",VLOOKUP(X$2,行为概览!$D$3:$M$33,10,0)*IF(玩法行为规划!W66&gt;0,1,0))</f>
        <v/>
      </c>
      <c r="Y66" s="7" t="str">
        <f>IF(VLOOKUP(Y$2,行为概览!$D$3:$M$33,10,0)="","",VLOOKUP(Y$2,行为概览!$D$3:$M$33,10,0)*IF(玩法行为规划!X66&gt;0,1,0))</f>
        <v/>
      </c>
      <c r="Z66" s="7">
        <f>IF(VLOOKUP(Z$2,行为概览!$D$3:$M$33,10,0)="","",VLOOKUP(Z$2,行为概览!$D$3:$M$33,10,0)*IF(玩法行为规划!Y66&gt;0,1,0))</f>
        <v>10</v>
      </c>
      <c r="AA66" s="7" t="str">
        <f>IF(VLOOKUP(AA$2,行为概览!$D$3:$M$33,10,0)="","",VLOOKUP(AA$2,行为概览!$D$3:$M$33,10,0)*IF(玩法行为规划!Z66&gt;0,1,0))</f>
        <v/>
      </c>
      <c r="AB66" s="7" t="str">
        <f>IF(VLOOKUP(AB$2,行为概览!$D$3:$M$33,10,0)="","",VLOOKUP(AB$2,行为概览!$D$3:$M$33,10,0)*IF(玩法行为规划!AA66&gt;0,1,0))</f>
        <v/>
      </c>
      <c r="AC66" s="7" t="str">
        <f>IF(VLOOKUP(AC$2,行为概览!$D$3:$M$33,10,0)="","",VLOOKUP(AC$2,行为概览!$D$3:$M$33,10,0)*IF(玩法行为规划!AB66&gt;0,1,0))</f>
        <v/>
      </c>
      <c r="AD66" s="7" t="str">
        <f>IF(VLOOKUP(AD$2,行为概览!$D$3:$M$33,10,0)="","",VLOOKUP(AD$2,行为概览!$D$3:$M$33,10,0)*IF(玩法行为规划!AC66&gt;0,1,0))</f>
        <v/>
      </c>
      <c r="AE66" s="7" t="str">
        <f>IF(VLOOKUP(AE$2,行为概览!$D$3:$M$33,10,0)="","",VLOOKUP(AE$2,行为概览!$D$3:$M$33,10,0)*IF(玩法行为规划!AD66&gt;0,1,0))</f>
        <v/>
      </c>
      <c r="AF66" s="7">
        <f>IF(VLOOKUP(AF$2,行为概览!$D$3:$M$33,10,0)="","",VLOOKUP(AF$2,行为概览!$D$3:$M$33,10,0)*IF(玩法行为规划!AE66&gt;0,1,0))</f>
        <v>20</v>
      </c>
      <c r="AG66" s="7">
        <f t="shared" si="4"/>
        <v>80</v>
      </c>
      <c r="AH66" s="7">
        <f t="shared" si="5"/>
        <v>5120</v>
      </c>
      <c r="AI66" s="7">
        <v>0</v>
      </c>
      <c r="AJ66" s="21" t="str">
        <f t="shared" si="6"/>
        <v/>
      </c>
      <c r="AK66" s="7">
        <f t="shared" si="2"/>
        <v>5120</v>
      </c>
      <c r="AL66" s="7">
        <f>SUM($AK$3:AK66)</f>
        <v>134535</v>
      </c>
    </row>
    <row r="67" spans="1:38">
      <c r="A67" s="32">
        <v>65</v>
      </c>
      <c r="B67" s="87">
        <f>升级节奏!F67</f>
        <v>65</v>
      </c>
      <c r="C67" s="7">
        <f>IF(VLOOKUP(C$2,行为概览!$D$3:$M$33,10,0)="","",VLOOKUP(C$2,行为概览!$D$3:$M$33,10,0)*IF(玩法行为规划!B67&gt;0,1,0))</f>
        <v>8</v>
      </c>
      <c r="D67" s="7" t="str">
        <f>IF(VLOOKUP(D$2,行为概览!$D$3:$M$33,10,0)="","",VLOOKUP(D$2,行为概览!$D$3:$M$33,10,0)*IF(玩法行为规划!C67&gt;0,1,0))</f>
        <v/>
      </c>
      <c r="E67" s="7" t="str">
        <f>IF(VLOOKUP(E$2,行为概览!$D$3:$M$33,10,0)="","",VLOOKUP(E$2,行为概览!$D$3:$M$33,10,0)*IF(玩法行为规划!D67&gt;0,1,0))</f>
        <v/>
      </c>
      <c r="F67" s="7">
        <f>IF(VLOOKUP(F$2,行为概览!$D$3:$M$33,10,0)="","",VLOOKUP(F$2,行为概览!$D$3:$M$33,10,0)*IF(玩法行为规划!E67&gt;0,1,0))</f>
        <v>10</v>
      </c>
      <c r="G67" s="7" t="str">
        <f>IF(VLOOKUP(G$2,行为概览!$D$3:$M$33,10,0)="","",VLOOKUP(G$2,行为概览!$D$3:$M$33,10,0)*IF(玩法行为规划!F67&gt;0,1,0))</f>
        <v/>
      </c>
      <c r="H67" s="7" t="str">
        <f>IF(VLOOKUP(H$2,行为概览!$D$3:$M$33,10,0)="","",VLOOKUP(H$2,行为概览!$D$3:$M$33,10,0)*IF(玩法行为规划!G67&gt;0,1,0))</f>
        <v/>
      </c>
      <c r="I67" s="7" t="str">
        <f>IF(VLOOKUP(I$2,行为概览!$D$3:$M$33,10,0)="","",VLOOKUP(I$2,行为概览!$D$3:$M$33,10,0)*IF(玩法行为规划!H67&gt;0,1,0))</f>
        <v/>
      </c>
      <c r="J67" s="7" t="str">
        <f>IF(VLOOKUP(J$2,行为概览!$D$3:$M$33,10,0)="","",VLOOKUP(J$2,行为概览!$D$3:$M$33,10,0)*IF(玩法行为规划!I67&gt;0,1,0))</f>
        <v/>
      </c>
      <c r="K67" s="7">
        <f>IF(VLOOKUP(K$2,行为概览!$D$3:$M$33,10,0)="","",VLOOKUP(K$2,行为概览!$D$3:$M$33,10,0)*IF(玩法行为规划!J67&gt;0,1,0))</f>
        <v>10</v>
      </c>
      <c r="L67" s="7">
        <f>IF(VLOOKUP(L$2,行为概览!$D$3:$M$33,10,0)="","",VLOOKUP(L$2,行为概览!$D$3:$M$33,10,0)*IF(玩法行为规划!K67&gt;0,1,0))</f>
        <v>5</v>
      </c>
      <c r="M67" s="7" t="str">
        <f>IF(VLOOKUP(M$2,行为概览!$D$3:$M$33,10,0)="","",VLOOKUP(M$2,行为概览!$D$3:$M$33,10,0)*IF(玩法行为规划!L67&gt;0,1,0))</f>
        <v/>
      </c>
      <c r="N67" s="7" t="str">
        <f>IF(VLOOKUP(N$2,行为概览!$D$3:$M$33,10,0)="","",VLOOKUP(N$2,行为概览!$D$3:$M$33,10,0)*IF(玩法行为规划!M67&gt;0,1,0))</f>
        <v/>
      </c>
      <c r="O67" s="7" t="str">
        <f>IF(VLOOKUP(O$2,行为概览!$D$3:$M$33,10,0)="","",VLOOKUP(O$2,行为概览!$D$3:$M$33,10,0)*IF(玩法行为规划!N67&gt;0,1,0))</f>
        <v/>
      </c>
      <c r="P67" s="7" t="str">
        <f>IF(VLOOKUP(P$2,行为概览!$D$3:$M$33,10,0)="","",VLOOKUP(P$2,行为概览!$D$3:$M$33,10,0)*IF(玩法行为规划!O67&gt;0,1,0))</f>
        <v/>
      </c>
      <c r="Q67" s="7">
        <f>IF(VLOOKUP(Q$2,行为概览!$D$3:$M$33,10,0)="","",VLOOKUP(Q$2,行为概览!$D$3:$M$33,10,0)*IF(玩法行为规划!P67&gt;0,1,0))</f>
        <v>10</v>
      </c>
      <c r="R67" s="7" t="str">
        <f>IF(VLOOKUP(R$2,行为概览!$D$3:$M$33,10,0)="","",VLOOKUP(R$2,行为概览!$D$3:$M$33,10,0)*IF(玩法行为规划!Q67&gt;0,1,0))</f>
        <v/>
      </c>
      <c r="S67" s="7">
        <f>IF(VLOOKUP(S$2,行为概览!$D$3:$M$33,10,0)="","",VLOOKUP(S$2,行为概览!$D$3:$M$33,10,0)*IF(玩法行为规划!R67&gt;0,1,0))</f>
        <v>3</v>
      </c>
      <c r="T67" s="7" t="str">
        <f>IF(VLOOKUP(T$2,行为概览!$D$3:$M$33,10,0)="","",VLOOKUP(T$2,行为概览!$D$3:$M$33,10,0)*IF(玩法行为规划!S67&gt;0,1,0))</f>
        <v/>
      </c>
      <c r="U67" s="7" t="str">
        <f>IF(VLOOKUP(U$2,行为概览!$D$3:$M$33,10,0)="","",VLOOKUP(U$2,行为概览!$D$3:$M$33,10,0)*IF(玩法行为规划!T67&gt;0,1,0))</f>
        <v/>
      </c>
      <c r="V67" s="7">
        <f>IF(VLOOKUP(V$2,行为概览!$D$3:$M$33,10,0)="","",VLOOKUP(V$2,行为概览!$D$3:$M$33,10,0)*IF(玩法行为规划!U67&gt;0,1,0))</f>
        <v>4</v>
      </c>
      <c r="W67" s="7" t="str">
        <f>IF(VLOOKUP(W$2,行为概览!$D$3:$M$33,10,0)="","",VLOOKUP(W$2,行为概览!$D$3:$M$33,10,0)*IF(玩法行为规划!V67&gt;0,1,0))</f>
        <v/>
      </c>
      <c r="X67" s="7" t="str">
        <f>IF(VLOOKUP(X$2,行为概览!$D$3:$M$33,10,0)="","",VLOOKUP(X$2,行为概览!$D$3:$M$33,10,0)*IF(玩法行为规划!W67&gt;0,1,0))</f>
        <v/>
      </c>
      <c r="Y67" s="7" t="str">
        <f>IF(VLOOKUP(Y$2,行为概览!$D$3:$M$33,10,0)="","",VLOOKUP(Y$2,行为概览!$D$3:$M$33,10,0)*IF(玩法行为规划!X67&gt;0,1,0))</f>
        <v/>
      </c>
      <c r="Z67" s="7">
        <f>IF(VLOOKUP(Z$2,行为概览!$D$3:$M$33,10,0)="","",VLOOKUP(Z$2,行为概览!$D$3:$M$33,10,0)*IF(玩法行为规划!Y67&gt;0,1,0))</f>
        <v>10</v>
      </c>
      <c r="AA67" s="7" t="str">
        <f>IF(VLOOKUP(AA$2,行为概览!$D$3:$M$33,10,0)="","",VLOOKUP(AA$2,行为概览!$D$3:$M$33,10,0)*IF(玩法行为规划!Z67&gt;0,1,0))</f>
        <v/>
      </c>
      <c r="AB67" s="7" t="str">
        <f>IF(VLOOKUP(AB$2,行为概览!$D$3:$M$33,10,0)="","",VLOOKUP(AB$2,行为概览!$D$3:$M$33,10,0)*IF(玩法行为规划!AA67&gt;0,1,0))</f>
        <v/>
      </c>
      <c r="AC67" s="7" t="str">
        <f>IF(VLOOKUP(AC$2,行为概览!$D$3:$M$33,10,0)="","",VLOOKUP(AC$2,行为概览!$D$3:$M$33,10,0)*IF(玩法行为规划!AB67&gt;0,1,0))</f>
        <v/>
      </c>
      <c r="AD67" s="7" t="str">
        <f>IF(VLOOKUP(AD$2,行为概览!$D$3:$M$33,10,0)="","",VLOOKUP(AD$2,行为概览!$D$3:$M$33,10,0)*IF(玩法行为规划!AC67&gt;0,1,0))</f>
        <v/>
      </c>
      <c r="AE67" s="7" t="str">
        <f>IF(VLOOKUP(AE$2,行为概览!$D$3:$M$33,10,0)="","",VLOOKUP(AE$2,行为概览!$D$3:$M$33,10,0)*IF(玩法行为规划!AD67&gt;0,1,0))</f>
        <v/>
      </c>
      <c r="AF67" s="7">
        <f>IF(VLOOKUP(AF$2,行为概览!$D$3:$M$33,10,0)="","",VLOOKUP(AF$2,行为概览!$D$3:$M$33,10,0)*IF(玩法行为规划!AE67&gt;0,1,0))</f>
        <v>20</v>
      </c>
      <c r="AG67" s="7">
        <f t="shared" ref="AG67:AG98" si="7">SUM(C67:AC67)+AF67</f>
        <v>80</v>
      </c>
      <c r="AH67" s="7">
        <f t="shared" ref="AH67:AH98" si="8">B67*AG67</f>
        <v>5200</v>
      </c>
      <c r="AI67" s="7">
        <v>0</v>
      </c>
      <c r="AJ67" s="21" t="str">
        <f t="shared" si="6"/>
        <v/>
      </c>
      <c r="AK67" s="7">
        <f t="shared" si="2"/>
        <v>5200</v>
      </c>
      <c r="AL67" s="7">
        <f>SUM($AK$3:AK67)</f>
        <v>139735</v>
      </c>
    </row>
    <row r="68" spans="1:38">
      <c r="A68" s="32">
        <v>66</v>
      </c>
      <c r="B68" s="87">
        <f>升级节奏!F68</f>
        <v>66</v>
      </c>
      <c r="C68" s="7">
        <f>IF(VLOOKUP(C$2,行为概览!$D$3:$M$33,10,0)="","",VLOOKUP(C$2,行为概览!$D$3:$M$33,10,0)*IF(玩法行为规划!B68&gt;0,1,0))</f>
        <v>8</v>
      </c>
      <c r="D68" s="7" t="str">
        <f>IF(VLOOKUP(D$2,行为概览!$D$3:$M$33,10,0)="","",VLOOKUP(D$2,行为概览!$D$3:$M$33,10,0)*IF(玩法行为规划!C68&gt;0,1,0))</f>
        <v/>
      </c>
      <c r="E68" s="7" t="str">
        <f>IF(VLOOKUP(E$2,行为概览!$D$3:$M$33,10,0)="","",VLOOKUP(E$2,行为概览!$D$3:$M$33,10,0)*IF(玩法行为规划!D68&gt;0,1,0))</f>
        <v/>
      </c>
      <c r="F68" s="7">
        <f>IF(VLOOKUP(F$2,行为概览!$D$3:$M$33,10,0)="","",VLOOKUP(F$2,行为概览!$D$3:$M$33,10,0)*IF(玩法行为规划!E68&gt;0,1,0))</f>
        <v>10</v>
      </c>
      <c r="G68" s="7" t="str">
        <f>IF(VLOOKUP(G$2,行为概览!$D$3:$M$33,10,0)="","",VLOOKUP(G$2,行为概览!$D$3:$M$33,10,0)*IF(玩法行为规划!F68&gt;0,1,0))</f>
        <v/>
      </c>
      <c r="H68" s="7" t="str">
        <f>IF(VLOOKUP(H$2,行为概览!$D$3:$M$33,10,0)="","",VLOOKUP(H$2,行为概览!$D$3:$M$33,10,0)*IF(玩法行为规划!G68&gt;0,1,0))</f>
        <v/>
      </c>
      <c r="I68" s="7" t="str">
        <f>IF(VLOOKUP(I$2,行为概览!$D$3:$M$33,10,0)="","",VLOOKUP(I$2,行为概览!$D$3:$M$33,10,0)*IF(玩法行为规划!H68&gt;0,1,0))</f>
        <v/>
      </c>
      <c r="J68" s="7" t="str">
        <f>IF(VLOOKUP(J$2,行为概览!$D$3:$M$33,10,0)="","",VLOOKUP(J$2,行为概览!$D$3:$M$33,10,0)*IF(玩法行为规划!I68&gt;0,1,0))</f>
        <v/>
      </c>
      <c r="K68" s="7">
        <f>IF(VLOOKUP(K$2,行为概览!$D$3:$M$33,10,0)="","",VLOOKUP(K$2,行为概览!$D$3:$M$33,10,0)*IF(玩法行为规划!J68&gt;0,1,0))</f>
        <v>10</v>
      </c>
      <c r="L68" s="7">
        <f>IF(VLOOKUP(L$2,行为概览!$D$3:$M$33,10,0)="","",VLOOKUP(L$2,行为概览!$D$3:$M$33,10,0)*IF(玩法行为规划!K68&gt;0,1,0))</f>
        <v>5</v>
      </c>
      <c r="M68" s="7" t="str">
        <f>IF(VLOOKUP(M$2,行为概览!$D$3:$M$33,10,0)="","",VLOOKUP(M$2,行为概览!$D$3:$M$33,10,0)*IF(玩法行为规划!L68&gt;0,1,0))</f>
        <v/>
      </c>
      <c r="N68" s="7" t="str">
        <f>IF(VLOOKUP(N$2,行为概览!$D$3:$M$33,10,0)="","",VLOOKUP(N$2,行为概览!$D$3:$M$33,10,0)*IF(玩法行为规划!M68&gt;0,1,0))</f>
        <v/>
      </c>
      <c r="O68" s="7" t="str">
        <f>IF(VLOOKUP(O$2,行为概览!$D$3:$M$33,10,0)="","",VLOOKUP(O$2,行为概览!$D$3:$M$33,10,0)*IF(玩法行为规划!N68&gt;0,1,0))</f>
        <v/>
      </c>
      <c r="P68" s="7" t="str">
        <f>IF(VLOOKUP(P$2,行为概览!$D$3:$M$33,10,0)="","",VLOOKUP(P$2,行为概览!$D$3:$M$33,10,0)*IF(玩法行为规划!O68&gt;0,1,0))</f>
        <v/>
      </c>
      <c r="Q68" s="7">
        <f>IF(VLOOKUP(Q$2,行为概览!$D$3:$M$33,10,0)="","",VLOOKUP(Q$2,行为概览!$D$3:$M$33,10,0)*IF(玩法行为规划!P68&gt;0,1,0))</f>
        <v>10</v>
      </c>
      <c r="R68" s="7" t="str">
        <f>IF(VLOOKUP(R$2,行为概览!$D$3:$M$33,10,0)="","",VLOOKUP(R$2,行为概览!$D$3:$M$33,10,0)*IF(玩法行为规划!Q68&gt;0,1,0))</f>
        <v/>
      </c>
      <c r="S68" s="7">
        <f>IF(VLOOKUP(S$2,行为概览!$D$3:$M$33,10,0)="","",VLOOKUP(S$2,行为概览!$D$3:$M$33,10,0)*IF(玩法行为规划!R68&gt;0,1,0))</f>
        <v>3</v>
      </c>
      <c r="T68" s="7" t="str">
        <f>IF(VLOOKUP(T$2,行为概览!$D$3:$M$33,10,0)="","",VLOOKUP(T$2,行为概览!$D$3:$M$33,10,0)*IF(玩法行为规划!S68&gt;0,1,0))</f>
        <v/>
      </c>
      <c r="U68" s="7" t="str">
        <f>IF(VLOOKUP(U$2,行为概览!$D$3:$M$33,10,0)="","",VLOOKUP(U$2,行为概览!$D$3:$M$33,10,0)*IF(玩法行为规划!T68&gt;0,1,0))</f>
        <v/>
      </c>
      <c r="V68" s="7">
        <f>IF(VLOOKUP(V$2,行为概览!$D$3:$M$33,10,0)="","",VLOOKUP(V$2,行为概览!$D$3:$M$33,10,0)*IF(玩法行为规划!U68&gt;0,1,0))</f>
        <v>4</v>
      </c>
      <c r="W68" s="7" t="str">
        <f>IF(VLOOKUP(W$2,行为概览!$D$3:$M$33,10,0)="","",VLOOKUP(W$2,行为概览!$D$3:$M$33,10,0)*IF(玩法行为规划!V68&gt;0,1,0))</f>
        <v/>
      </c>
      <c r="X68" s="7" t="str">
        <f>IF(VLOOKUP(X$2,行为概览!$D$3:$M$33,10,0)="","",VLOOKUP(X$2,行为概览!$D$3:$M$33,10,0)*IF(玩法行为规划!W68&gt;0,1,0))</f>
        <v/>
      </c>
      <c r="Y68" s="7" t="str">
        <f>IF(VLOOKUP(Y$2,行为概览!$D$3:$M$33,10,0)="","",VLOOKUP(Y$2,行为概览!$D$3:$M$33,10,0)*IF(玩法行为规划!X68&gt;0,1,0))</f>
        <v/>
      </c>
      <c r="Z68" s="7">
        <f>IF(VLOOKUP(Z$2,行为概览!$D$3:$M$33,10,0)="","",VLOOKUP(Z$2,行为概览!$D$3:$M$33,10,0)*IF(玩法行为规划!Y68&gt;0,1,0))</f>
        <v>10</v>
      </c>
      <c r="AA68" s="7" t="str">
        <f>IF(VLOOKUP(AA$2,行为概览!$D$3:$M$33,10,0)="","",VLOOKUP(AA$2,行为概览!$D$3:$M$33,10,0)*IF(玩法行为规划!Z68&gt;0,1,0))</f>
        <v/>
      </c>
      <c r="AB68" s="7" t="str">
        <f>IF(VLOOKUP(AB$2,行为概览!$D$3:$M$33,10,0)="","",VLOOKUP(AB$2,行为概览!$D$3:$M$33,10,0)*IF(玩法行为规划!AA68&gt;0,1,0))</f>
        <v/>
      </c>
      <c r="AC68" s="7" t="str">
        <f>IF(VLOOKUP(AC$2,行为概览!$D$3:$M$33,10,0)="","",VLOOKUP(AC$2,行为概览!$D$3:$M$33,10,0)*IF(玩法行为规划!AB68&gt;0,1,0))</f>
        <v/>
      </c>
      <c r="AD68" s="7" t="str">
        <f>IF(VLOOKUP(AD$2,行为概览!$D$3:$M$33,10,0)="","",VLOOKUP(AD$2,行为概览!$D$3:$M$33,10,0)*IF(玩法行为规划!AC68&gt;0,1,0))</f>
        <v/>
      </c>
      <c r="AE68" s="7" t="str">
        <f>IF(VLOOKUP(AE$2,行为概览!$D$3:$M$33,10,0)="","",VLOOKUP(AE$2,行为概览!$D$3:$M$33,10,0)*IF(玩法行为规划!AD68&gt;0,1,0))</f>
        <v/>
      </c>
      <c r="AF68" s="7">
        <f>IF(VLOOKUP(AF$2,行为概览!$D$3:$M$33,10,0)="","",VLOOKUP(AF$2,行为概览!$D$3:$M$33,10,0)*IF(玩法行为规划!AE68&gt;0,1,0))</f>
        <v>20</v>
      </c>
      <c r="AG68" s="7">
        <f t="shared" si="7"/>
        <v>80</v>
      </c>
      <c r="AH68" s="7">
        <f t="shared" si="8"/>
        <v>5280</v>
      </c>
      <c r="AI68" s="7">
        <v>0</v>
      </c>
      <c r="AJ68" s="21" t="str">
        <f t="shared" si="6"/>
        <v/>
      </c>
      <c r="AK68" s="7">
        <f t="shared" ref="AK68:AK131" si="9">AH68+AI68</f>
        <v>5280</v>
      </c>
      <c r="AL68" s="7">
        <f>SUM($AK$3:AK68)</f>
        <v>145015</v>
      </c>
    </row>
    <row r="69" spans="1:38">
      <c r="A69" s="32">
        <v>67</v>
      </c>
      <c r="B69" s="87">
        <f>升级节奏!F69</f>
        <v>67</v>
      </c>
      <c r="C69" s="7">
        <f>IF(VLOOKUP(C$2,行为概览!$D$3:$M$33,10,0)="","",VLOOKUP(C$2,行为概览!$D$3:$M$33,10,0)*IF(玩法行为规划!B69&gt;0,1,0))</f>
        <v>8</v>
      </c>
      <c r="D69" s="7" t="str">
        <f>IF(VLOOKUP(D$2,行为概览!$D$3:$M$33,10,0)="","",VLOOKUP(D$2,行为概览!$D$3:$M$33,10,0)*IF(玩法行为规划!C69&gt;0,1,0))</f>
        <v/>
      </c>
      <c r="E69" s="7" t="str">
        <f>IF(VLOOKUP(E$2,行为概览!$D$3:$M$33,10,0)="","",VLOOKUP(E$2,行为概览!$D$3:$M$33,10,0)*IF(玩法行为规划!D69&gt;0,1,0))</f>
        <v/>
      </c>
      <c r="F69" s="7">
        <f>IF(VLOOKUP(F$2,行为概览!$D$3:$M$33,10,0)="","",VLOOKUP(F$2,行为概览!$D$3:$M$33,10,0)*IF(玩法行为规划!E69&gt;0,1,0))</f>
        <v>10</v>
      </c>
      <c r="G69" s="7" t="str">
        <f>IF(VLOOKUP(G$2,行为概览!$D$3:$M$33,10,0)="","",VLOOKUP(G$2,行为概览!$D$3:$M$33,10,0)*IF(玩法行为规划!F69&gt;0,1,0))</f>
        <v/>
      </c>
      <c r="H69" s="7" t="str">
        <f>IF(VLOOKUP(H$2,行为概览!$D$3:$M$33,10,0)="","",VLOOKUP(H$2,行为概览!$D$3:$M$33,10,0)*IF(玩法行为规划!G69&gt;0,1,0))</f>
        <v/>
      </c>
      <c r="I69" s="7" t="str">
        <f>IF(VLOOKUP(I$2,行为概览!$D$3:$M$33,10,0)="","",VLOOKUP(I$2,行为概览!$D$3:$M$33,10,0)*IF(玩法行为规划!H69&gt;0,1,0))</f>
        <v/>
      </c>
      <c r="J69" s="7" t="str">
        <f>IF(VLOOKUP(J$2,行为概览!$D$3:$M$33,10,0)="","",VLOOKUP(J$2,行为概览!$D$3:$M$33,10,0)*IF(玩法行为规划!I69&gt;0,1,0))</f>
        <v/>
      </c>
      <c r="K69" s="7">
        <f>IF(VLOOKUP(K$2,行为概览!$D$3:$M$33,10,0)="","",VLOOKUP(K$2,行为概览!$D$3:$M$33,10,0)*IF(玩法行为规划!J69&gt;0,1,0))</f>
        <v>10</v>
      </c>
      <c r="L69" s="7">
        <f>IF(VLOOKUP(L$2,行为概览!$D$3:$M$33,10,0)="","",VLOOKUP(L$2,行为概览!$D$3:$M$33,10,0)*IF(玩法行为规划!K69&gt;0,1,0))</f>
        <v>5</v>
      </c>
      <c r="M69" s="7" t="str">
        <f>IF(VLOOKUP(M$2,行为概览!$D$3:$M$33,10,0)="","",VLOOKUP(M$2,行为概览!$D$3:$M$33,10,0)*IF(玩法行为规划!L69&gt;0,1,0))</f>
        <v/>
      </c>
      <c r="N69" s="7" t="str">
        <f>IF(VLOOKUP(N$2,行为概览!$D$3:$M$33,10,0)="","",VLOOKUP(N$2,行为概览!$D$3:$M$33,10,0)*IF(玩法行为规划!M69&gt;0,1,0))</f>
        <v/>
      </c>
      <c r="O69" s="7" t="str">
        <f>IF(VLOOKUP(O$2,行为概览!$D$3:$M$33,10,0)="","",VLOOKUP(O$2,行为概览!$D$3:$M$33,10,0)*IF(玩法行为规划!N69&gt;0,1,0))</f>
        <v/>
      </c>
      <c r="P69" s="7" t="str">
        <f>IF(VLOOKUP(P$2,行为概览!$D$3:$M$33,10,0)="","",VLOOKUP(P$2,行为概览!$D$3:$M$33,10,0)*IF(玩法行为规划!O69&gt;0,1,0))</f>
        <v/>
      </c>
      <c r="Q69" s="7">
        <f>IF(VLOOKUP(Q$2,行为概览!$D$3:$M$33,10,0)="","",VLOOKUP(Q$2,行为概览!$D$3:$M$33,10,0)*IF(玩法行为规划!P69&gt;0,1,0))</f>
        <v>10</v>
      </c>
      <c r="R69" s="7" t="str">
        <f>IF(VLOOKUP(R$2,行为概览!$D$3:$M$33,10,0)="","",VLOOKUP(R$2,行为概览!$D$3:$M$33,10,0)*IF(玩法行为规划!Q69&gt;0,1,0))</f>
        <v/>
      </c>
      <c r="S69" s="7">
        <f>IF(VLOOKUP(S$2,行为概览!$D$3:$M$33,10,0)="","",VLOOKUP(S$2,行为概览!$D$3:$M$33,10,0)*IF(玩法行为规划!R69&gt;0,1,0))</f>
        <v>3</v>
      </c>
      <c r="T69" s="7" t="str">
        <f>IF(VLOOKUP(T$2,行为概览!$D$3:$M$33,10,0)="","",VLOOKUP(T$2,行为概览!$D$3:$M$33,10,0)*IF(玩法行为规划!S69&gt;0,1,0))</f>
        <v/>
      </c>
      <c r="U69" s="7" t="str">
        <f>IF(VLOOKUP(U$2,行为概览!$D$3:$M$33,10,0)="","",VLOOKUP(U$2,行为概览!$D$3:$M$33,10,0)*IF(玩法行为规划!T69&gt;0,1,0))</f>
        <v/>
      </c>
      <c r="V69" s="7">
        <f>IF(VLOOKUP(V$2,行为概览!$D$3:$M$33,10,0)="","",VLOOKUP(V$2,行为概览!$D$3:$M$33,10,0)*IF(玩法行为规划!U69&gt;0,1,0))</f>
        <v>4</v>
      </c>
      <c r="W69" s="7" t="str">
        <f>IF(VLOOKUP(W$2,行为概览!$D$3:$M$33,10,0)="","",VLOOKUP(W$2,行为概览!$D$3:$M$33,10,0)*IF(玩法行为规划!V69&gt;0,1,0))</f>
        <v/>
      </c>
      <c r="X69" s="7" t="str">
        <f>IF(VLOOKUP(X$2,行为概览!$D$3:$M$33,10,0)="","",VLOOKUP(X$2,行为概览!$D$3:$M$33,10,0)*IF(玩法行为规划!W69&gt;0,1,0))</f>
        <v/>
      </c>
      <c r="Y69" s="7" t="str">
        <f>IF(VLOOKUP(Y$2,行为概览!$D$3:$M$33,10,0)="","",VLOOKUP(Y$2,行为概览!$D$3:$M$33,10,0)*IF(玩法行为规划!X69&gt;0,1,0))</f>
        <v/>
      </c>
      <c r="Z69" s="7">
        <f>IF(VLOOKUP(Z$2,行为概览!$D$3:$M$33,10,0)="","",VLOOKUP(Z$2,行为概览!$D$3:$M$33,10,0)*IF(玩法行为规划!Y69&gt;0,1,0))</f>
        <v>10</v>
      </c>
      <c r="AA69" s="7" t="str">
        <f>IF(VLOOKUP(AA$2,行为概览!$D$3:$M$33,10,0)="","",VLOOKUP(AA$2,行为概览!$D$3:$M$33,10,0)*IF(玩法行为规划!Z69&gt;0,1,0))</f>
        <v/>
      </c>
      <c r="AB69" s="7" t="str">
        <f>IF(VLOOKUP(AB$2,行为概览!$D$3:$M$33,10,0)="","",VLOOKUP(AB$2,行为概览!$D$3:$M$33,10,0)*IF(玩法行为规划!AA69&gt;0,1,0))</f>
        <v/>
      </c>
      <c r="AC69" s="7" t="str">
        <f>IF(VLOOKUP(AC$2,行为概览!$D$3:$M$33,10,0)="","",VLOOKUP(AC$2,行为概览!$D$3:$M$33,10,0)*IF(玩法行为规划!AB69&gt;0,1,0))</f>
        <v/>
      </c>
      <c r="AD69" s="7" t="str">
        <f>IF(VLOOKUP(AD$2,行为概览!$D$3:$M$33,10,0)="","",VLOOKUP(AD$2,行为概览!$D$3:$M$33,10,0)*IF(玩法行为规划!AC69&gt;0,1,0))</f>
        <v/>
      </c>
      <c r="AE69" s="7" t="str">
        <f>IF(VLOOKUP(AE$2,行为概览!$D$3:$M$33,10,0)="","",VLOOKUP(AE$2,行为概览!$D$3:$M$33,10,0)*IF(玩法行为规划!AD69&gt;0,1,0))</f>
        <v/>
      </c>
      <c r="AF69" s="7">
        <f>IF(VLOOKUP(AF$2,行为概览!$D$3:$M$33,10,0)="","",VLOOKUP(AF$2,行为概览!$D$3:$M$33,10,0)*IF(玩法行为规划!AE69&gt;0,1,0))</f>
        <v>20</v>
      </c>
      <c r="AG69" s="7">
        <f t="shared" si="7"/>
        <v>80</v>
      </c>
      <c r="AH69" s="7">
        <f t="shared" si="8"/>
        <v>5360</v>
      </c>
      <c r="AI69" s="7">
        <v>0</v>
      </c>
      <c r="AJ69" s="21" t="str">
        <f t="shared" si="6"/>
        <v/>
      </c>
      <c r="AK69" s="7">
        <f t="shared" si="9"/>
        <v>5360</v>
      </c>
      <c r="AL69" s="7">
        <f>SUM($AK$3:AK69)</f>
        <v>150375</v>
      </c>
    </row>
    <row r="70" spans="1:38">
      <c r="A70" s="32">
        <v>68</v>
      </c>
      <c r="B70" s="87">
        <f>升级节奏!F70</f>
        <v>68</v>
      </c>
      <c r="C70" s="7">
        <f>IF(VLOOKUP(C$2,行为概览!$D$3:$M$33,10,0)="","",VLOOKUP(C$2,行为概览!$D$3:$M$33,10,0)*IF(玩法行为规划!B70&gt;0,1,0))</f>
        <v>8</v>
      </c>
      <c r="D70" s="7" t="str">
        <f>IF(VLOOKUP(D$2,行为概览!$D$3:$M$33,10,0)="","",VLOOKUP(D$2,行为概览!$D$3:$M$33,10,0)*IF(玩法行为规划!C70&gt;0,1,0))</f>
        <v/>
      </c>
      <c r="E70" s="7" t="str">
        <f>IF(VLOOKUP(E$2,行为概览!$D$3:$M$33,10,0)="","",VLOOKUP(E$2,行为概览!$D$3:$M$33,10,0)*IF(玩法行为规划!D70&gt;0,1,0))</f>
        <v/>
      </c>
      <c r="F70" s="7">
        <f>IF(VLOOKUP(F$2,行为概览!$D$3:$M$33,10,0)="","",VLOOKUP(F$2,行为概览!$D$3:$M$33,10,0)*IF(玩法行为规划!E70&gt;0,1,0))</f>
        <v>10</v>
      </c>
      <c r="G70" s="7" t="str">
        <f>IF(VLOOKUP(G$2,行为概览!$D$3:$M$33,10,0)="","",VLOOKUP(G$2,行为概览!$D$3:$M$33,10,0)*IF(玩法行为规划!F70&gt;0,1,0))</f>
        <v/>
      </c>
      <c r="H70" s="7" t="str">
        <f>IF(VLOOKUP(H$2,行为概览!$D$3:$M$33,10,0)="","",VLOOKUP(H$2,行为概览!$D$3:$M$33,10,0)*IF(玩法行为规划!G70&gt;0,1,0))</f>
        <v/>
      </c>
      <c r="I70" s="7" t="str">
        <f>IF(VLOOKUP(I$2,行为概览!$D$3:$M$33,10,0)="","",VLOOKUP(I$2,行为概览!$D$3:$M$33,10,0)*IF(玩法行为规划!H70&gt;0,1,0))</f>
        <v/>
      </c>
      <c r="J70" s="7" t="str">
        <f>IF(VLOOKUP(J$2,行为概览!$D$3:$M$33,10,0)="","",VLOOKUP(J$2,行为概览!$D$3:$M$33,10,0)*IF(玩法行为规划!I70&gt;0,1,0))</f>
        <v/>
      </c>
      <c r="K70" s="7">
        <f>IF(VLOOKUP(K$2,行为概览!$D$3:$M$33,10,0)="","",VLOOKUP(K$2,行为概览!$D$3:$M$33,10,0)*IF(玩法行为规划!J70&gt;0,1,0))</f>
        <v>10</v>
      </c>
      <c r="L70" s="7">
        <f>IF(VLOOKUP(L$2,行为概览!$D$3:$M$33,10,0)="","",VLOOKUP(L$2,行为概览!$D$3:$M$33,10,0)*IF(玩法行为规划!K70&gt;0,1,0))</f>
        <v>5</v>
      </c>
      <c r="M70" s="7" t="str">
        <f>IF(VLOOKUP(M$2,行为概览!$D$3:$M$33,10,0)="","",VLOOKUP(M$2,行为概览!$D$3:$M$33,10,0)*IF(玩法行为规划!L70&gt;0,1,0))</f>
        <v/>
      </c>
      <c r="N70" s="7" t="str">
        <f>IF(VLOOKUP(N$2,行为概览!$D$3:$M$33,10,0)="","",VLOOKUP(N$2,行为概览!$D$3:$M$33,10,0)*IF(玩法行为规划!M70&gt;0,1,0))</f>
        <v/>
      </c>
      <c r="O70" s="7" t="str">
        <f>IF(VLOOKUP(O$2,行为概览!$D$3:$M$33,10,0)="","",VLOOKUP(O$2,行为概览!$D$3:$M$33,10,0)*IF(玩法行为规划!N70&gt;0,1,0))</f>
        <v/>
      </c>
      <c r="P70" s="7" t="str">
        <f>IF(VLOOKUP(P$2,行为概览!$D$3:$M$33,10,0)="","",VLOOKUP(P$2,行为概览!$D$3:$M$33,10,0)*IF(玩法行为规划!O70&gt;0,1,0))</f>
        <v/>
      </c>
      <c r="Q70" s="7">
        <f>IF(VLOOKUP(Q$2,行为概览!$D$3:$M$33,10,0)="","",VLOOKUP(Q$2,行为概览!$D$3:$M$33,10,0)*IF(玩法行为规划!P70&gt;0,1,0))</f>
        <v>10</v>
      </c>
      <c r="R70" s="7" t="str">
        <f>IF(VLOOKUP(R$2,行为概览!$D$3:$M$33,10,0)="","",VLOOKUP(R$2,行为概览!$D$3:$M$33,10,0)*IF(玩法行为规划!Q70&gt;0,1,0))</f>
        <v/>
      </c>
      <c r="S70" s="7">
        <f>IF(VLOOKUP(S$2,行为概览!$D$3:$M$33,10,0)="","",VLOOKUP(S$2,行为概览!$D$3:$M$33,10,0)*IF(玩法行为规划!R70&gt;0,1,0))</f>
        <v>3</v>
      </c>
      <c r="T70" s="7" t="str">
        <f>IF(VLOOKUP(T$2,行为概览!$D$3:$M$33,10,0)="","",VLOOKUP(T$2,行为概览!$D$3:$M$33,10,0)*IF(玩法行为规划!S70&gt;0,1,0))</f>
        <v/>
      </c>
      <c r="U70" s="7" t="str">
        <f>IF(VLOOKUP(U$2,行为概览!$D$3:$M$33,10,0)="","",VLOOKUP(U$2,行为概览!$D$3:$M$33,10,0)*IF(玩法行为规划!T70&gt;0,1,0))</f>
        <v/>
      </c>
      <c r="V70" s="7">
        <f>IF(VLOOKUP(V$2,行为概览!$D$3:$M$33,10,0)="","",VLOOKUP(V$2,行为概览!$D$3:$M$33,10,0)*IF(玩法行为规划!U70&gt;0,1,0))</f>
        <v>4</v>
      </c>
      <c r="W70" s="7" t="str">
        <f>IF(VLOOKUP(W$2,行为概览!$D$3:$M$33,10,0)="","",VLOOKUP(W$2,行为概览!$D$3:$M$33,10,0)*IF(玩法行为规划!V70&gt;0,1,0))</f>
        <v/>
      </c>
      <c r="X70" s="7" t="str">
        <f>IF(VLOOKUP(X$2,行为概览!$D$3:$M$33,10,0)="","",VLOOKUP(X$2,行为概览!$D$3:$M$33,10,0)*IF(玩法行为规划!W70&gt;0,1,0))</f>
        <v/>
      </c>
      <c r="Y70" s="7" t="str">
        <f>IF(VLOOKUP(Y$2,行为概览!$D$3:$M$33,10,0)="","",VLOOKUP(Y$2,行为概览!$D$3:$M$33,10,0)*IF(玩法行为规划!X70&gt;0,1,0))</f>
        <v/>
      </c>
      <c r="Z70" s="7">
        <f>IF(VLOOKUP(Z$2,行为概览!$D$3:$M$33,10,0)="","",VLOOKUP(Z$2,行为概览!$D$3:$M$33,10,0)*IF(玩法行为规划!Y70&gt;0,1,0))</f>
        <v>10</v>
      </c>
      <c r="AA70" s="7" t="str">
        <f>IF(VLOOKUP(AA$2,行为概览!$D$3:$M$33,10,0)="","",VLOOKUP(AA$2,行为概览!$D$3:$M$33,10,0)*IF(玩法行为规划!Z70&gt;0,1,0))</f>
        <v/>
      </c>
      <c r="AB70" s="7" t="str">
        <f>IF(VLOOKUP(AB$2,行为概览!$D$3:$M$33,10,0)="","",VLOOKUP(AB$2,行为概览!$D$3:$M$33,10,0)*IF(玩法行为规划!AA70&gt;0,1,0))</f>
        <v/>
      </c>
      <c r="AC70" s="7" t="str">
        <f>IF(VLOOKUP(AC$2,行为概览!$D$3:$M$33,10,0)="","",VLOOKUP(AC$2,行为概览!$D$3:$M$33,10,0)*IF(玩法行为规划!AB70&gt;0,1,0))</f>
        <v/>
      </c>
      <c r="AD70" s="7" t="str">
        <f>IF(VLOOKUP(AD$2,行为概览!$D$3:$M$33,10,0)="","",VLOOKUP(AD$2,行为概览!$D$3:$M$33,10,0)*IF(玩法行为规划!AC70&gt;0,1,0))</f>
        <v/>
      </c>
      <c r="AE70" s="7" t="str">
        <f>IF(VLOOKUP(AE$2,行为概览!$D$3:$M$33,10,0)="","",VLOOKUP(AE$2,行为概览!$D$3:$M$33,10,0)*IF(玩法行为规划!AD70&gt;0,1,0))</f>
        <v/>
      </c>
      <c r="AF70" s="7">
        <f>IF(VLOOKUP(AF$2,行为概览!$D$3:$M$33,10,0)="","",VLOOKUP(AF$2,行为概览!$D$3:$M$33,10,0)*IF(玩法行为规划!AE70&gt;0,1,0))</f>
        <v>20</v>
      </c>
      <c r="AG70" s="7">
        <f t="shared" si="7"/>
        <v>80</v>
      </c>
      <c r="AH70" s="7">
        <f t="shared" si="8"/>
        <v>5440</v>
      </c>
      <c r="AI70" s="7">
        <v>0</v>
      </c>
      <c r="AJ70" s="21" t="str">
        <f t="shared" si="6"/>
        <v/>
      </c>
      <c r="AK70" s="7">
        <f t="shared" si="9"/>
        <v>5440</v>
      </c>
      <c r="AL70" s="7">
        <f>SUM($AK$3:AK70)</f>
        <v>155815</v>
      </c>
    </row>
    <row r="71" spans="1:38">
      <c r="A71" s="32">
        <v>69</v>
      </c>
      <c r="B71" s="87">
        <f>升级节奏!F71</f>
        <v>69</v>
      </c>
      <c r="C71" s="7">
        <f>IF(VLOOKUP(C$2,行为概览!$D$3:$M$33,10,0)="","",VLOOKUP(C$2,行为概览!$D$3:$M$33,10,0)*IF(玩法行为规划!B71&gt;0,1,0))</f>
        <v>8</v>
      </c>
      <c r="D71" s="7" t="str">
        <f>IF(VLOOKUP(D$2,行为概览!$D$3:$M$33,10,0)="","",VLOOKUP(D$2,行为概览!$D$3:$M$33,10,0)*IF(玩法行为规划!C71&gt;0,1,0))</f>
        <v/>
      </c>
      <c r="E71" s="7" t="str">
        <f>IF(VLOOKUP(E$2,行为概览!$D$3:$M$33,10,0)="","",VLOOKUP(E$2,行为概览!$D$3:$M$33,10,0)*IF(玩法行为规划!D71&gt;0,1,0))</f>
        <v/>
      </c>
      <c r="F71" s="7">
        <f>IF(VLOOKUP(F$2,行为概览!$D$3:$M$33,10,0)="","",VLOOKUP(F$2,行为概览!$D$3:$M$33,10,0)*IF(玩法行为规划!E71&gt;0,1,0))</f>
        <v>10</v>
      </c>
      <c r="G71" s="7" t="str">
        <f>IF(VLOOKUP(G$2,行为概览!$D$3:$M$33,10,0)="","",VLOOKUP(G$2,行为概览!$D$3:$M$33,10,0)*IF(玩法行为规划!F71&gt;0,1,0))</f>
        <v/>
      </c>
      <c r="H71" s="7" t="str">
        <f>IF(VLOOKUP(H$2,行为概览!$D$3:$M$33,10,0)="","",VLOOKUP(H$2,行为概览!$D$3:$M$33,10,0)*IF(玩法行为规划!G71&gt;0,1,0))</f>
        <v/>
      </c>
      <c r="I71" s="7" t="str">
        <f>IF(VLOOKUP(I$2,行为概览!$D$3:$M$33,10,0)="","",VLOOKUP(I$2,行为概览!$D$3:$M$33,10,0)*IF(玩法行为规划!H71&gt;0,1,0))</f>
        <v/>
      </c>
      <c r="J71" s="7" t="str">
        <f>IF(VLOOKUP(J$2,行为概览!$D$3:$M$33,10,0)="","",VLOOKUP(J$2,行为概览!$D$3:$M$33,10,0)*IF(玩法行为规划!I71&gt;0,1,0))</f>
        <v/>
      </c>
      <c r="K71" s="7">
        <f>IF(VLOOKUP(K$2,行为概览!$D$3:$M$33,10,0)="","",VLOOKUP(K$2,行为概览!$D$3:$M$33,10,0)*IF(玩法行为规划!J71&gt;0,1,0))</f>
        <v>10</v>
      </c>
      <c r="L71" s="7">
        <f>IF(VLOOKUP(L$2,行为概览!$D$3:$M$33,10,0)="","",VLOOKUP(L$2,行为概览!$D$3:$M$33,10,0)*IF(玩法行为规划!K71&gt;0,1,0))</f>
        <v>5</v>
      </c>
      <c r="M71" s="7" t="str">
        <f>IF(VLOOKUP(M$2,行为概览!$D$3:$M$33,10,0)="","",VLOOKUP(M$2,行为概览!$D$3:$M$33,10,0)*IF(玩法行为规划!L71&gt;0,1,0))</f>
        <v/>
      </c>
      <c r="N71" s="7" t="str">
        <f>IF(VLOOKUP(N$2,行为概览!$D$3:$M$33,10,0)="","",VLOOKUP(N$2,行为概览!$D$3:$M$33,10,0)*IF(玩法行为规划!M71&gt;0,1,0))</f>
        <v/>
      </c>
      <c r="O71" s="7" t="str">
        <f>IF(VLOOKUP(O$2,行为概览!$D$3:$M$33,10,0)="","",VLOOKUP(O$2,行为概览!$D$3:$M$33,10,0)*IF(玩法行为规划!N71&gt;0,1,0))</f>
        <v/>
      </c>
      <c r="P71" s="7" t="str">
        <f>IF(VLOOKUP(P$2,行为概览!$D$3:$M$33,10,0)="","",VLOOKUP(P$2,行为概览!$D$3:$M$33,10,0)*IF(玩法行为规划!O71&gt;0,1,0))</f>
        <v/>
      </c>
      <c r="Q71" s="7">
        <f>IF(VLOOKUP(Q$2,行为概览!$D$3:$M$33,10,0)="","",VLOOKUP(Q$2,行为概览!$D$3:$M$33,10,0)*IF(玩法行为规划!P71&gt;0,1,0))</f>
        <v>10</v>
      </c>
      <c r="R71" s="7" t="str">
        <f>IF(VLOOKUP(R$2,行为概览!$D$3:$M$33,10,0)="","",VLOOKUP(R$2,行为概览!$D$3:$M$33,10,0)*IF(玩法行为规划!Q71&gt;0,1,0))</f>
        <v/>
      </c>
      <c r="S71" s="7">
        <f>IF(VLOOKUP(S$2,行为概览!$D$3:$M$33,10,0)="","",VLOOKUP(S$2,行为概览!$D$3:$M$33,10,0)*IF(玩法行为规划!R71&gt;0,1,0))</f>
        <v>3</v>
      </c>
      <c r="T71" s="7" t="str">
        <f>IF(VLOOKUP(T$2,行为概览!$D$3:$M$33,10,0)="","",VLOOKUP(T$2,行为概览!$D$3:$M$33,10,0)*IF(玩法行为规划!S71&gt;0,1,0))</f>
        <v/>
      </c>
      <c r="U71" s="7" t="str">
        <f>IF(VLOOKUP(U$2,行为概览!$D$3:$M$33,10,0)="","",VLOOKUP(U$2,行为概览!$D$3:$M$33,10,0)*IF(玩法行为规划!T71&gt;0,1,0))</f>
        <v/>
      </c>
      <c r="V71" s="7">
        <f>IF(VLOOKUP(V$2,行为概览!$D$3:$M$33,10,0)="","",VLOOKUP(V$2,行为概览!$D$3:$M$33,10,0)*IF(玩法行为规划!U71&gt;0,1,0))</f>
        <v>4</v>
      </c>
      <c r="W71" s="7" t="str">
        <f>IF(VLOOKUP(W$2,行为概览!$D$3:$M$33,10,0)="","",VLOOKUP(W$2,行为概览!$D$3:$M$33,10,0)*IF(玩法行为规划!V71&gt;0,1,0))</f>
        <v/>
      </c>
      <c r="X71" s="7" t="str">
        <f>IF(VLOOKUP(X$2,行为概览!$D$3:$M$33,10,0)="","",VLOOKUP(X$2,行为概览!$D$3:$M$33,10,0)*IF(玩法行为规划!W71&gt;0,1,0))</f>
        <v/>
      </c>
      <c r="Y71" s="7" t="str">
        <f>IF(VLOOKUP(Y$2,行为概览!$D$3:$M$33,10,0)="","",VLOOKUP(Y$2,行为概览!$D$3:$M$33,10,0)*IF(玩法行为规划!X71&gt;0,1,0))</f>
        <v/>
      </c>
      <c r="Z71" s="7">
        <f>IF(VLOOKUP(Z$2,行为概览!$D$3:$M$33,10,0)="","",VLOOKUP(Z$2,行为概览!$D$3:$M$33,10,0)*IF(玩法行为规划!Y71&gt;0,1,0))</f>
        <v>10</v>
      </c>
      <c r="AA71" s="7" t="str">
        <f>IF(VLOOKUP(AA$2,行为概览!$D$3:$M$33,10,0)="","",VLOOKUP(AA$2,行为概览!$D$3:$M$33,10,0)*IF(玩法行为规划!Z71&gt;0,1,0))</f>
        <v/>
      </c>
      <c r="AB71" s="7" t="str">
        <f>IF(VLOOKUP(AB$2,行为概览!$D$3:$M$33,10,0)="","",VLOOKUP(AB$2,行为概览!$D$3:$M$33,10,0)*IF(玩法行为规划!AA71&gt;0,1,0))</f>
        <v/>
      </c>
      <c r="AC71" s="7" t="str">
        <f>IF(VLOOKUP(AC$2,行为概览!$D$3:$M$33,10,0)="","",VLOOKUP(AC$2,行为概览!$D$3:$M$33,10,0)*IF(玩法行为规划!AB71&gt;0,1,0))</f>
        <v/>
      </c>
      <c r="AD71" s="7" t="str">
        <f>IF(VLOOKUP(AD$2,行为概览!$D$3:$M$33,10,0)="","",VLOOKUP(AD$2,行为概览!$D$3:$M$33,10,0)*IF(玩法行为规划!AC71&gt;0,1,0))</f>
        <v/>
      </c>
      <c r="AE71" s="7" t="str">
        <f>IF(VLOOKUP(AE$2,行为概览!$D$3:$M$33,10,0)="","",VLOOKUP(AE$2,行为概览!$D$3:$M$33,10,0)*IF(玩法行为规划!AD71&gt;0,1,0))</f>
        <v/>
      </c>
      <c r="AF71" s="7">
        <f>IF(VLOOKUP(AF$2,行为概览!$D$3:$M$33,10,0)="","",VLOOKUP(AF$2,行为概览!$D$3:$M$33,10,0)*IF(玩法行为规划!AE71&gt;0,1,0))</f>
        <v>20</v>
      </c>
      <c r="AG71" s="7">
        <f t="shared" si="7"/>
        <v>80</v>
      </c>
      <c r="AH71" s="7">
        <f t="shared" si="8"/>
        <v>5520</v>
      </c>
      <c r="AI71" s="7">
        <v>0</v>
      </c>
      <c r="AJ71" s="21" t="str">
        <f t="shared" si="6"/>
        <v/>
      </c>
      <c r="AK71" s="7">
        <f t="shared" si="9"/>
        <v>5520</v>
      </c>
      <c r="AL71" s="7">
        <f>SUM($AK$3:AK71)</f>
        <v>161335</v>
      </c>
    </row>
    <row r="72" spans="1:38">
      <c r="A72" s="32">
        <v>70</v>
      </c>
      <c r="B72" s="87">
        <f>升级节奏!F72</f>
        <v>70</v>
      </c>
      <c r="C72" s="7">
        <f>IF(VLOOKUP(C$2,行为概览!$D$3:$M$33,10,0)="","",VLOOKUP(C$2,行为概览!$D$3:$M$33,10,0)*IF(玩法行为规划!B72&gt;0,1,0))</f>
        <v>8</v>
      </c>
      <c r="D72" s="7" t="str">
        <f>IF(VLOOKUP(D$2,行为概览!$D$3:$M$33,10,0)="","",VLOOKUP(D$2,行为概览!$D$3:$M$33,10,0)*IF(玩法行为规划!C72&gt;0,1,0))</f>
        <v/>
      </c>
      <c r="E72" s="7" t="str">
        <f>IF(VLOOKUP(E$2,行为概览!$D$3:$M$33,10,0)="","",VLOOKUP(E$2,行为概览!$D$3:$M$33,10,0)*IF(玩法行为规划!D72&gt;0,1,0))</f>
        <v/>
      </c>
      <c r="F72" s="7">
        <f>IF(VLOOKUP(F$2,行为概览!$D$3:$M$33,10,0)="","",VLOOKUP(F$2,行为概览!$D$3:$M$33,10,0)*IF(玩法行为规划!E72&gt;0,1,0))</f>
        <v>10</v>
      </c>
      <c r="G72" s="7" t="str">
        <f>IF(VLOOKUP(G$2,行为概览!$D$3:$M$33,10,0)="","",VLOOKUP(G$2,行为概览!$D$3:$M$33,10,0)*IF(玩法行为规划!F72&gt;0,1,0))</f>
        <v/>
      </c>
      <c r="H72" s="7" t="str">
        <f>IF(VLOOKUP(H$2,行为概览!$D$3:$M$33,10,0)="","",VLOOKUP(H$2,行为概览!$D$3:$M$33,10,0)*IF(玩法行为规划!G72&gt;0,1,0))</f>
        <v/>
      </c>
      <c r="I72" s="7" t="str">
        <f>IF(VLOOKUP(I$2,行为概览!$D$3:$M$33,10,0)="","",VLOOKUP(I$2,行为概览!$D$3:$M$33,10,0)*IF(玩法行为规划!H72&gt;0,1,0))</f>
        <v/>
      </c>
      <c r="J72" s="7" t="str">
        <f>IF(VLOOKUP(J$2,行为概览!$D$3:$M$33,10,0)="","",VLOOKUP(J$2,行为概览!$D$3:$M$33,10,0)*IF(玩法行为规划!I72&gt;0,1,0))</f>
        <v/>
      </c>
      <c r="K72" s="7">
        <f>IF(VLOOKUP(K$2,行为概览!$D$3:$M$33,10,0)="","",VLOOKUP(K$2,行为概览!$D$3:$M$33,10,0)*IF(玩法行为规划!J72&gt;0,1,0))</f>
        <v>10</v>
      </c>
      <c r="L72" s="7">
        <f>IF(VLOOKUP(L$2,行为概览!$D$3:$M$33,10,0)="","",VLOOKUP(L$2,行为概览!$D$3:$M$33,10,0)*IF(玩法行为规划!K72&gt;0,1,0))</f>
        <v>5</v>
      </c>
      <c r="M72" s="7" t="str">
        <f>IF(VLOOKUP(M$2,行为概览!$D$3:$M$33,10,0)="","",VLOOKUP(M$2,行为概览!$D$3:$M$33,10,0)*IF(玩法行为规划!L72&gt;0,1,0))</f>
        <v/>
      </c>
      <c r="N72" s="7" t="str">
        <f>IF(VLOOKUP(N$2,行为概览!$D$3:$M$33,10,0)="","",VLOOKUP(N$2,行为概览!$D$3:$M$33,10,0)*IF(玩法行为规划!M72&gt;0,1,0))</f>
        <v/>
      </c>
      <c r="O72" s="7" t="str">
        <f>IF(VLOOKUP(O$2,行为概览!$D$3:$M$33,10,0)="","",VLOOKUP(O$2,行为概览!$D$3:$M$33,10,0)*IF(玩法行为规划!N72&gt;0,1,0))</f>
        <v/>
      </c>
      <c r="P72" s="7" t="str">
        <f>IF(VLOOKUP(P$2,行为概览!$D$3:$M$33,10,0)="","",VLOOKUP(P$2,行为概览!$D$3:$M$33,10,0)*IF(玩法行为规划!O72&gt;0,1,0))</f>
        <v/>
      </c>
      <c r="Q72" s="7">
        <f>IF(VLOOKUP(Q$2,行为概览!$D$3:$M$33,10,0)="","",VLOOKUP(Q$2,行为概览!$D$3:$M$33,10,0)*IF(玩法行为规划!P72&gt;0,1,0))</f>
        <v>10</v>
      </c>
      <c r="R72" s="7" t="str">
        <f>IF(VLOOKUP(R$2,行为概览!$D$3:$M$33,10,0)="","",VLOOKUP(R$2,行为概览!$D$3:$M$33,10,0)*IF(玩法行为规划!Q72&gt;0,1,0))</f>
        <v/>
      </c>
      <c r="S72" s="7">
        <f>IF(VLOOKUP(S$2,行为概览!$D$3:$M$33,10,0)="","",VLOOKUP(S$2,行为概览!$D$3:$M$33,10,0)*IF(玩法行为规划!R72&gt;0,1,0))</f>
        <v>3</v>
      </c>
      <c r="T72" s="7" t="str">
        <f>IF(VLOOKUP(T$2,行为概览!$D$3:$M$33,10,0)="","",VLOOKUP(T$2,行为概览!$D$3:$M$33,10,0)*IF(玩法行为规划!S72&gt;0,1,0))</f>
        <v/>
      </c>
      <c r="U72" s="7" t="str">
        <f>IF(VLOOKUP(U$2,行为概览!$D$3:$M$33,10,0)="","",VLOOKUP(U$2,行为概览!$D$3:$M$33,10,0)*IF(玩法行为规划!T72&gt;0,1,0))</f>
        <v/>
      </c>
      <c r="V72" s="7">
        <f>IF(VLOOKUP(V$2,行为概览!$D$3:$M$33,10,0)="","",VLOOKUP(V$2,行为概览!$D$3:$M$33,10,0)*IF(玩法行为规划!U72&gt;0,1,0))</f>
        <v>4</v>
      </c>
      <c r="W72" s="7" t="str">
        <f>IF(VLOOKUP(W$2,行为概览!$D$3:$M$33,10,0)="","",VLOOKUP(W$2,行为概览!$D$3:$M$33,10,0)*IF(玩法行为规划!V72&gt;0,1,0))</f>
        <v/>
      </c>
      <c r="X72" s="7" t="str">
        <f>IF(VLOOKUP(X$2,行为概览!$D$3:$M$33,10,0)="","",VLOOKUP(X$2,行为概览!$D$3:$M$33,10,0)*IF(玩法行为规划!W72&gt;0,1,0))</f>
        <v/>
      </c>
      <c r="Y72" s="7" t="str">
        <f>IF(VLOOKUP(Y$2,行为概览!$D$3:$M$33,10,0)="","",VLOOKUP(Y$2,行为概览!$D$3:$M$33,10,0)*IF(玩法行为规划!X72&gt;0,1,0))</f>
        <v/>
      </c>
      <c r="Z72" s="7">
        <f>IF(VLOOKUP(Z$2,行为概览!$D$3:$M$33,10,0)="","",VLOOKUP(Z$2,行为概览!$D$3:$M$33,10,0)*IF(玩法行为规划!Y72&gt;0,1,0))</f>
        <v>10</v>
      </c>
      <c r="AA72" s="7" t="str">
        <f>IF(VLOOKUP(AA$2,行为概览!$D$3:$M$33,10,0)="","",VLOOKUP(AA$2,行为概览!$D$3:$M$33,10,0)*IF(玩法行为规划!Z72&gt;0,1,0))</f>
        <v/>
      </c>
      <c r="AB72" s="7" t="str">
        <f>IF(VLOOKUP(AB$2,行为概览!$D$3:$M$33,10,0)="","",VLOOKUP(AB$2,行为概览!$D$3:$M$33,10,0)*IF(玩法行为规划!AA72&gt;0,1,0))</f>
        <v/>
      </c>
      <c r="AC72" s="7" t="str">
        <f>IF(VLOOKUP(AC$2,行为概览!$D$3:$M$33,10,0)="","",VLOOKUP(AC$2,行为概览!$D$3:$M$33,10,0)*IF(玩法行为规划!AB72&gt;0,1,0))</f>
        <v/>
      </c>
      <c r="AD72" s="7" t="str">
        <f>IF(VLOOKUP(AD$2,行为概览!$D$3:$M$33,10,0)="","",VLOOKUP(AD$2,行为概览!$D$3:$M$33,10,0)*IF(玩法行为规划!AC72&gt;0,1,0))</f>
        <v/>
      </c>
      <c r="AE72" s="7" t="str">
        <f>IF(VLOOKUP(AE$2,行为概览!$D$3:$M$33,10,0)="","",VLOOKUP(AE$2,行为概览!$D$3:$M$33,10,0)*IF(玩法行为规划!AD72&gt;0,1,0))</f>
        <v/>
      </c>
      <c r="AF72" s="7">
        <f>IF(VLOOKUP(AF$2,行为概览!$D$3:$M$33,10,0)="","",VLOOKUP(AF$2,行为概览!$D$3:$M$33,10,0)*IF(玩法行为规划!AE72&gt;0,1,0))</f>
        <v>20</v>
      </c>
      <c r="AG72" s="7">
        <f t="shared" si="7"/>
        <v>80</v>
      </c>
      <c r="AH72" s="7">
        <f t="shared" si="8"/>
        <v>5600</v>
      </c>
      <c r="AI72" s="7">
        <v>0</v>
      </c>
      <c r="AJ72" s="21">
        <f t="shared" si="6"/>
        <v>0</v>
      </c>
      <c r="AK72" s="7">
        <f t="shared" si="9"/>
        <v>5600</v>
      </c>
      <c r="AL72" s="7">
        <f>SUM($AK$3:AK72)</f>
        <v>166935</v>
      </c>
    </row>
    <row r="73" spans="1:38">
      <c r="A73" s="32">
        <v>71</v>
      </c>
      <c r="B73" s="87">
        <f>升级节奏!F73</f>
        <v>71</v>
      </c>
      <c r="C73" s="7">
        <f>IF(VLOOKUP(C$2,行为概览!$D$3:$M$33,10,0)="","",VLOOKUP(C$2,行为概览!$D$3:$M$33,10,0)*IF(玩法行为规划!B73&gt;0,1,0))</f>
        <v>8</v>
      </c>
      <c r="D73" s="7" t="str">
        <f>IF(VLOOKUP(D$2,行为概览!$D$3:$M$33,10,0)="","",VLOOKUP(D$2,行为概览!$D$3:$M$33,10,0)*IF(玩法行为规划!C73&gt;0,1,0))</f>
        <v/>
      </c>
      <c r="E73" s="7" t="str">
        <f>IF(VLOOKUP(E$2,行为概览!$D$3:$M$33,10,0)="","",VLOOKUP(E$2,行为概览!$D$3:$M$33,10,0)*IF(玩法行为规划!D73&gt;0,1,0))</f>
        <v/>
      </c>
      <c r="F73" s="7">
        <f>IF(VLOOKUP(F$2,行为概览!$D$3:$M$33,10,0)="","",VLOOKUP(F$2,行为概览!$D$3:$M$33,10,0)*IF(玩法行为规划!E73&gt;0,1,0))</f>
        <v>10</v>
      </c>
      <c r="G73" s="7" t="str">
        <f>IF(VLOOKUP(G$2,行为概览!$D$3:$M$33,10,0)="","",VLOOKUP(G$2,行为概览!$D$3:$M$33,10,0)*IF(玩法行为规划!F73&gt;0,1,0))</f>
        <v/>
      </c>
      <c r="H73" s="7" t="str">
        <f>IF(VLOOKUP(H$2,行为概览!$D$3:$M$33,10,0)="","",VLOOKUP(H$2,行为概览!$D$3:$M$33,10,0)*IF(玩法行为规划!G73&gt;0,1,0))</f>
        <v/>
      </c>
      <c r="I73" s="7" t="str">
        <f>IF(VLOOKUP(I$2,行为概览!$D$3:$M$33,10,0)="","",VLOOKUP(I$2,行为概览!$D$3:$M$33,10,0)*IF(玩法行为规划!H73&gt;0,1,0))</f>
        <v/>
      </c>
      <c r="J73" s="7" t="str">
        <f>IF(VLOOKUP(J$2,行为概览!$D$3:$M$33,10,0)="","",VLOOKUP(J$2,行为概览!$D$3:$M$33,10,0)*IF(玩法行为规划!I73&gt;0,1,0))</f>
        <v/>
      </c>
      <c r="K73" s="7">
        <f>IF(VLOOKUP(K$2,行为概览!$D$3:$M$33,10,0)="","",VLOOKUP(K$2,行为概览!$D$3:$M$33,10,0)*IF(玩法行为规划!J73&gt;0,1,0))</f>
        <v>10</v>
      </c>
      <c r="L73" s="7">
        <f>IF(VLOOKUP(L$2,行为概览!$D$3:$M$33,10,0)="","",VLOOKUP(L$2,行为概览!$D$3:$M$33,10,0)*IF(玩法行为规划!K73&gt;0,1,0))</f>
        <v>5</v>
      </c>
      <c r="M73" s="7" t="str">
        <f>IF(VLOOKUP(M$2,行为概览!$D$3:$M$33,10,0)="","",VLOOKUP(M$2,行为概览!$D$3:$M$33,10,0)*IF(玩法行为规划!L73&gt;0,1,0))</f>
        <v/>
      </c>
      <c r="N73" s="7" t="str">
        <f>IF(VLOOKUP(N$2,行为概览!$D$3:$M$33,10,0)="","",VLOOKUP(N$2,行为概览!$D$3:$M$33,10,0)*IF(玩法行为规划!M73&gt;0,1,0))</f>
        <v/>
      </c>
      <c r="O73" s="7" t="str">
        <f>IF(VLOOKUP(O$2,行为概览!$D$3:$M$33,10,0)="","",VLOOKUP(O$2,行为概览!$D$3:$M$33,10,0)*IF(玩法行为规划!N73&gt;0,1,0))</f>
        <v/>
      </c>
      <c r="P73" s="7" t="str">
        <f>IF(VLOOKUP(P$2,行为概览!$D$3:$M$33,10,0)="","",VLOOKUP(P$2,行为概览!$D$3:$M$33,10,0)*IF(玩法行为规划!O73&gt;0,1,0))</f>
        <v/>
      </c>
      <c r="Q73" s="7">
        <f>IF(VLOOKUP(Q$2,行为概览!$D$3:$M$33,10,0)="","",VLOOKUP(Q$2,行为概览!$D$3:$M$33,10,0)*IF(玩法行为规划!P73&gt;0,1,0))</f>
        <v>10</v>
      </c>
      <c r="R73" s="7" t="str">
        <f>IF(VLOOKUP(R$2,行为概览!$D$3:$M$33,10,0)="","",VLOOKUP(R$2,行为概览!$D$3:$M$33,10,0)*IF(玩法行为规划!Q73&gt;0,1,0))</f>
        <v/>
      </c>
      <c r="S73" s="7">
        <f>IF(VLOOKUP(S$2,行为概览!$D$3:$M$33,10,0)="","",VLOOKUP(S$2,行为概览!$D$3:$M$33,10,0)*IF(玩法行为规划!R73&gt;0,1,0))</f>
        <v>3</v>
      </c>
      <c r="T73" s="7" t="str">
        <f>IF(VLOOKUP(T$2,行为概览!$D$3:$M$33,10,0)="","",VLOOKUP(T$2,行为概览!$D$3:$M$33,10,0)*IF(玩法行为规划!S73&gt;0,1,0))</f>
        <v/>
      </c>
      <c r="U73" s="7" t="str">
        <f>IF(VLOOKUP(U$2,行为概览!$D$3:$M$33,10,0)="","",VLOOKUP(U$2,行为概览!$D$3:$M$33,10,0)*IF(玩法行为规划!T73&gt;0,1,0))</f>
        <v/>
      </c>
      <c r="V73" s="7">
        <f>IF(VLOOKUP(V$2,行为概览!$D$3:$M$33,10,0)="","",VLOOKUP(V$2,行为概览!$D$3:$M$33,10,0)*IF(玩法行为规划!U73&gt;0,1,0))</f>
        <v>4</v>
      </c>
      <c r="W73" s="7" t="str">
        <f>IF(VLOOKUP(W$2,行为概览!$D$3:$M$33,10,0)="","",VLOOKUP(W$2,行为概览!$D$3:$M$33,10,0)*IF(玩法行为规划!V73&gt;0,1,0))</f>
        <v/>
      </c>
      <c r="X73" s="7" t="str">
        <f>IF(VLOOKUP(X$2,行为概览!$D$3:$M$33,10,0)="","",VLOOKUP(X$2,行为概览!$D$3:$M$33,10,0)*IF(玩法行为规划!W73&gt;0,1,0))</f>
        <v/>
      </c>
      <c r="Y73" s="7" t="str">
        <f>IF(VLOOKUP(Y$2,行为概览!$D$3:$M$33,10,0)="","",VLOOKUP(Y$2,行为概览!$D$3:$M$33,10,0)*IF(玩法行为规划!X73&gt;0,1,0))</f>
        <v/>
      </c>
      <c r="Z73" s="7">
        <f>IF(VLOOKUP(Z$2,行为概览!$D$3:$M$33,10,0)="","",VLOOKUP(Z$2,行为概览!$D$3:$M$33,10,0)*IF(玩法行为规划!Y73&gt;0,1,0))</f>
        <v>10</v>
      </c>
      <c r="AA73" s="7" t="str">
        <f>IF(VLOOKUP(AA$2,行为概览!$D$3:$M$33,10,0)="","",VLOOKUP(AA$2,行为概览!$D$3:$M$33,10,0)*IF(玩法行为规划!Z73&gt;0,1,0))</f>
        <v/>
      </c>
      <c r="AB73" s="7" t="str">
        <f>IF(VLOOKUP(AB$2,行为概览!$D$3:$M$33,10,0)="","",VLOOKUP(AB$2,行为概览!$D$3:$M$33,10,0)*IF(玩法行为规划!AA73&gt;0,1,0))</f>
        <v/>
      </c>
      <c r="AC73" s="7" t="str">
        <f>IF(VLOOKUP(AC$2,行为概览!$D$3:$M$33,10,0)="","",VLOOKUP(AC$2,行为概览!$D$3:$M$33,10,0)*IF(玩法行为规划!AB73&gt;0,1,0))</f>
        <v/>
      </c>
      <c r="AD73" s="7" t="str">
        <f>IF(VLOOKUP(AD$2,行为概览!$D$3:$M$33,10,0)="","",VLOOKUP(AD$2,行为概览!$D$3:$M$33,10,0)*IF(玩法行为规划!AC73&gt;0,1,0))</f>
        <v/>
      </c>
      <c r="AE73" s="7" t="str">
        <f>IF(VLOOKUP(AE$2,行为概览!$D$3:$M$33,10,0)="","",VLOOKUP(AE$2,行为概览!$D$3:$M$33,10,0)*IF(玩法行为规划!AD73&gt;0,1,0))</f>
        <v/>
      </c>
      <c r="AF73" s="7">
        <f>IF(VLOOKUP(AF$2,行为概览!$D$3:$M$33,10,0)="","",VLOOKUP(AF$2,行为概览!$D$3:$M$33,10,0)*IF(玩法行为规划!AE73&gt;0,1,0))</f>
        <v>20</v>
      </c>
      <c r="AG73" s="7">
        <f t="shared" si="7"/>
        <v>80</v>
      </c>
      <c r="AH73" s="7">
        <f t="shared" si="8"/>
        <v>5680</v>
      </c>
      <c r="AI73" s="7">
        <v>0</v>
      </c>
      <c r="AJ73" s="21" t="str">
        <f t="shared" si="6"/>
        <v/>
      </c>
      <c r="AK73" s="7">
        <f t="shared" si="9"/>
        <v>5680</v>
      </c>
      <c r="AL73" s="7">
        <f>SUM($AK$3:AK73)</f>
        <v>172615</v>
      </c>
    </row>
    <row r="74" spans="1:38">
      <c r="A74" s="32">
        <v>72</v>
      </c>
      <c r="B74" s="87">
        <f>升级节奏!F74</f>
        <v>72</v>
      </c>
      <c r="C74" s="7">
        <f>IF(VLOOKUP(C$2,行为概览!$D$3:$M$33,10,0)="","",VLOOKUP(C$2,行为概览!$D$3:$M$33,10,0)*IF(玩法行为规划!B74&gt;0,1,0))</f>
        <v>8</v>
      </c>
      <c r="D74" s="7" t="str">
        <f>IF(VLOOKUP(D$2,行为概览!$D$3:$M$33,10,0)="","",VLOOKUP(D$2,行为概览!$D$3:$M$33,10,0)*IF(玩法行为规划!C74&gt;0,1,0))</f>
        <v/>
      </c>
      <c r="E74" s="7" t="str">
        <f>IF(VLOOKUP(E$2,行为概览!$D$3:$M$33,10,0)="","",VLOOKUP(E$2,行为概览!$D$3:$M$33,10,0)*IF(玩法行为规划!D74&gt;0,1,0))</f>
        <v/>
      </c>
      <c r="F74" s="7">
        <f>IF(VLOOKUP(F$2,行为概览!$D$3:$M$33,10,0)="","",VLOOKUP(F$2,行为概览!$D$3:$M$33,10,0)*IF(玩法行为规划!E74&gt;0,1,0))</f>
        <v>10</v>
      </c>
      <c r="G74" s="7" t="str">
        <f>IF(VLOOKUP(G$2,行为概览!$D$3:$M$33,10,0)="","",VLOOKUP(G$2,行为概览!$D$3:$M$33,10,0)*IF(玩法行为规划!F74&gt;0,1,0))</f>
        <v/>
      </c>
      <c r="H74" s="7" t="str">
        <f>IF(VLOOKUP(H$2,行为概览!$D$3:$M$33,10,0)="","",VLOOKUP(H$2,行为概览!$D$3:$M$33,10,0)*IF(玩法行为规划!G74&gt;0,1,0))</f>
        <v/>
      </c>
      <c r="I74" s="7" t="str">
        <f>IF(VLOOKUP(I$2,行为概览!$D$3:$M$33,10,0)="","",VLOOKUP(I$2,行为概览!$D$3:$M$33,10,0)*IF(玩法行为规划!H74&gt;0,1,0))</f>
        <v/>
      </c>
      <c r="J74" s="7" t="str">
        <f>IF(VLOOKUP(J$2,行为概览!$D$3:$M$33,10,0)="","",VLOOKUP(J$2,行为概览!$D$3:$M$33,10,0)*IF(玩法行为规划!I74&gt;0,1,0))</f>
        <v/>
      </c>
      <c r="K74" s="7">
        <f>IF(VLOOKUP(K$2,行为概览!$D$3:$M$33,10,0)="","",VLOOKUP(K$2,行为概览!$D$3:$M$33,10,0)*IF(玩法行为规划!J74&gt;0,1,0))</f>
        <v>10</v>
      </c>
      <c r="L74" s="7">
        <f>IF(VLOOKUP(L$2,行为概览!$D$3:$M$33,10,0)="","",VLOOKUP(L$2,行为概览!$D$3:$M$33,10,0)*IF(玩法行为规划!K74&gt;0,1,0))</f>
        <v>5</v>
      </c>
      <c r="M74" s="7" t="str">
        <f>IF(VLOOKUP(M$2,行为概览!$D$3:$M$33,10,0)="","",VLOOKUP(M$2,行为概览!$D$3:$M$33,10,0)*IF(玩法行为规划!L74&gt;0,1,0))</f>
        <v/>
      </c>
      <c r="N74" s="7" t="str">
        <f>IF(VLOOKUP(N$2,行为概览!$D$3:$M$33,10,0)="","",VLOOKUP(N$2,行为概览!$D$3:$M$33,10,0)*IF(玩法行为规划!M74&gt;0,1,0))</f>
        <v/>
      </c>
      <c r="O74" s="7" t="str">
        <f>IF(VLOOKUP(O$2,行为概览!$D$3:$M$33,10,0)="","",VLOOKUP(O$2,行为概览!$D$3:$M$33,10,0)*IF(玩法行为规划!N74&gt;0,1,0))</f>
        <v/>
      </c>
      <c r="P74" s="7" t="str">
        <f>IF(VLOOKUP(P$2,行为概览!$D$3:$M$33,10,0)="","",VLOOKUP(P$2,行为概览!$D$3:$M$33,10,0)*IF(玩法行为规划!O74&gt;0,1,0))</f>
        <v/>
      </c>
      <c r="Q74" s="7">
        <f>IF(VLOOKUP(Q$2,行为概览!$D$3:$M$33,10,0)="","",VLOOKUP(Q$2,行为概览!$D$3:$M$33,10,0)*IF(玩法行为规划!P74&gt;0,1,0))</f>
        <v>10</v>
      </c>
      <c r="R74" s="7" t="str">
        <f>IF(VLOOKUP(R$2,行为概览!$D$3:$M$33,10,0)="","",VLOOKUP(R$2,行为概览!$D$3:$M$33,10,0)*IF(玩法行为规划!Q74&gt;0,1,0))</f>
        <v/>
      </c>
      <c r="S74" s="7">
        <f>IF(VLOOKUP(S$2,行为概览!$D$3:$M$33,10,0)="","",VLOOKUP(S$2,行为概览!$D$3:$M$33,10,0)*IF(玩法行为规划!R74&gt;0,1,0))</f>
        <v>3</v>
      </c>
      <c r="T74" s="7" t="str">
        <f>IF(VLOOKUP(T$2,行为概览!$D$3:$M$33,10,0)="","",VLOOKUP(T$2,行为概览!$D$3:$M$33,10,0)*IF(玩法行为规划!S74&gt;0,1,0))</f>
        <v/>
      </c>
      <c r="U74" s="7" t="str">
        <f>IF(VLOOKUP(U$2,行为概览!$D$3:$M$33,10,0)="","",VLOOKUP(U$2,行为概览!$D$3:$M$33,10,0)*IF(玩法行为规划!T74&gt;0,1,0))</f>
        <v/>
      </c>
      <c r="V74" s="7">
        <f>IF(VLOOKUP(V$2,行为概览!$D$3:$M$33,10,0)="","",VLOOKUP(V$2,行为概览!$D$3:$M$33,10,0)*IF(玩法行为规划!U74&gt;0,1,0))</f>
        <v>4</v>
      </c>
      <c r="W74" s="7" t="str">
        <f>IF(VLOOKUP(W$2,行为概览!$D$3:$M$33,10,0)="","",VLOOKUP(W$2,行为概览!$D$3:$M$33,10,0)*IF(玩法行为规划!V74&gt;0,1,0))</f>
        <v/>
      </c>
      <c r="X74" s="7" t="str">
        <f>IF(VLOOKUP(X$2,行为概览!$D$3:$M$33,10,0)="","",VLOOKUP(X$2,行为概览!$D$3:$M$33,10,0)*IF(玩法行为规划!W74&gt;0,1,0))</f>
        <v/>
      </c>
      <c r="Y74" s="7" t="str">
        <f>IF(VLOOKUP(Y$2,行为概览!$D$3:$M$33,10,0)="","",VLOOKUP(Y$2,行为概览!$D$3:$M$33,10,0)*IF(玩法行为规划!X74&gt;0,1,0))</f>
        <v/>
      </c>
      <c r="Z74" s="7">
        <f>IF(VLOOKUP(Z$2,行为概览!$D$3:$M$33,10,0)="","",VLOOKUP(Z$2,行为概览!$D$3:$M$33,10,0)*IF(玩法行为规划!Y74&gt;0,1,0))</f>
        <v>10</v>
      </c>
      <c r="AA74" s="7" t="str">
        <f>IF(VLOOKUP(AA$2,行为概览!$D$3:$M$33,10,0)="","",VLOOKUP(AA$2,行为概览!$D$3:$M$33,10,0)*IF(玩法行为规划!Z74&gt;0,1,0))</f>
        <v/>
      </c>
      <c r="AB74" s="7" t="str">
        <f>IF(VLOOKUP(AB$2,行为概览!$D$3:$M$33,10,0)="","",VLOOKUP(AB$2,行为概览!$D$3:$M$33,10,0)*IF(玩法行为规划!AA74&gt;0,1,0))</f>
        <v/>
      </c>
      <c r="AC74" s="7" t="str">
        <f>IF(VLOOKUP(AC$2,行为概览!$D$3:$M$33,10,0)="","",VLOOKUP(AC$2,行为概览!$D$3:$M$33,10,0)*IF(玩法行为规划!AB74&gt;0,1,0))</f>
        <v/>
      </c>
      <c r="AD74" s="7" t="str">
        <f>IF(VLOOKUP(AD$2,行为概览!$D$3:$M$33,10,0)="","",VLOOKUP(AD$2,行为概览!$D$3:$M$33,10,0)*IF(玩法行为规划!AC74&gt;0,1,0))</f>
        <v/>
      </c>
      <c r="AE74" s="7" t="str">
        <f>IF(VLOOKUP(AE$2,行为概览!$D$3:$M$33,10,0)="","",VLOOKUP(AE$2,行为概览!$D$3:$M$33,10,0)*IF(玩法行为规划!AD74&gt;0,1,0))</f>
        <v/>
      </c>
      <c r="AF74" s="7">
        <f>IF(VLOOKUP(AF$2,行为概览!$D$3:$M$33,10,0)="","",VLOOKUP(AF$2,行为概览!$D$3:$M$33,10,0)*IF(玩法行为规划!AE74&gt;0,1,0))</f>
        <v>20</v>
      </c>
      <c r="AG74" s="7">
        <f t="shared" si="7"/>
        <v>80</v>
      </c>
      <c r="AH74" s="7">
        <f t="shared" si="8"/>
        <v>5760</v>
      </c>
      <c r="AI74" s="7">
        <v>0</v>
      </c>
      <c r="AJ74" s="21" t="str">
        <f t="shared" si="6"/>
        <v/>
      </c>
      <c r="AK74" s="7">
        <f t="shared" si="9"/>
        <v>5760</v>
      </c>
      <c r="AL74" s="7">
        <f>SUM($AK$3:AK74)</f>
        <v>178375</v>
      </c>
    </row>
    <row r="75" spans="1:38">
      <c r="A75" s="32">
        <v>73</v>
      </c>
      <c r="B75" s="87">
        <f>升级节奏!F75</f>
        <v>73</v>
      </c>
      <c r="C75" s="7">
        <f>IF(VLOOKUP(C$2,行为概览!$D$3:$M$33,10,0)="","",VLOOKUP(C$2,行为概览!$D$3:$M$33,10,0)*IF(玩法行为规划!B75&gt;0,1,0))</f>
        <v>8</v>
      </c>
      <c r="D75" s="7" t="str">
        <f>IF(VLOOKUP(D$2,行为概览!$D$3:$M$33,10,0)="","",VLOOKUP(D$2,行为概览!$D$3:$M$33,10,0)*IF(玩法行为规划!C75&gt;0,1,0))</f>
        <v/>
      </c>
      <c r="E75" s="7" t="str">
        <f>IF(VLOOKUP(E$2,行为概览!$D$3:$M$33,10,0)="","",VLOOKUP(E$2,行为概览!$D$3:$M$33,10,0)*IF(玩法行为规划!D75&gt;0,1,0))</f>
        <v/>
      </c>
      <c r="F75" s="7">
        <f>IF(VLOOKUP(F$2,行为概览!$D$3:$M$33,10,0)="","",VLOOKUP(F$2,行为概览!$D$3:$M$33,10,0)*IF(玩法行为规划!E75&gt;0,1,0))</f>
        <v>10</v>
      </c>
      <c r="G75" s="7" t="str">
        <f>IF(VLOOKUP(G$2,行为概览!$D$3:$M$33,10,0)="","",VLOOKUP(G$2,行为概览!$D$3:$M$33,10,0)*IF(玩法行为规划!F75&gt;0,1,0))</f>
        <v/>
      </c>
      <c r="H75" s="7" t="str">
        <f>IF(VLOOKUP(H$2,行为概览!$D$3:$M$33,10,0)="","",VLOOKUP(H$2,行为概览!$D$3:$M$33,10,0)*IF(玩法行为规划!G75&gt;0,1,0))</f>
        <v/>
      </c>
      <c r="I75" s="7" t="str">
        <f>IF(VLOOKUP(I$2,行为概览!$D$3:$M$33,10,0)="","",VLOOKUP(I$2,行为概览!$D$3:$M$33,10,0)*IF(玩法行为规划!H75&gt;0,1,0))</f>
        <v/>
      </c>
      <c r="J75" s="7" t="str">
        <f>IF(VLOOKUP(J$2,行为概览!$D$3:$M$33,10,0)="","",VLOOKUP(J$2,行为概览!$D$3:$M$33,10,0)*IF(玩法行为规划!I75&gt;0,1,0))</f>
        <v/>
      </c>
      <c r="K75" s="7">
        <f>IF(VLOOKUP(K$2,行为概览!$D$3:$M$33,10,0)="","",VLOOKUP(K$2,行为概览!$D$3:$M$33,10,0)*IF(玩法行为规划!J75&gt;0,1,0))</f>
        <v>10</v>
      </c>
      <c r="L75" s="7">
        <f>IF(VLOOKUP(L$2,行为概览!$D$3:$M$33,10,0)="","",VLOOKUP(L$2,行为概览!$D$3:$M$33,10,0)*IF(玩法行为规划!K75&gt;0,1,0))</f>
        <v>5</v>
      </c>
      <c r="M75" s="7" t="str">
        <f>IF(VLOOKUP(M$2,行为概览!$D$3:$M$33,10,0)="","",VLOOKUP(M$2,行为概览!$D$3:$M$33,10,0)*IF(玩法行为规划!L75&gt;0,1,0))</f>
        <v/>
      </c>
      <c r="N75" s="7" t="str">
        <f>IF(VLOOKUP(N$2,行为概览!$D$3:$M$33,10,0)="","",VLOOKUP(N$2,行为概览!$D$3:$M$33,10,0)*IF(玩法行为规划!M75&gt;0,1,0))</f>
        <v/>
      </c>
      <c r="O75" s="7" t="str">
        <f>IF(VLOOKUP(O$2,行为概览!$D$3:$M$33,10,0)="","",VLOOKUP(O$2,行为概览!$D$3:$M$33,10,0)*IF(玩法行为规划!N75&gt;0,1,0))</f>
        <v/>
      </c>
      <c r="P75" s="7" t="str">
        <f>IF(VLOOKUP(P$2,行为概览!$D$3:$M$33,10,0)="","",VLOOKUP(P$2,行为概览!$D$3:$M$33,10,0)*IF(玩法行为规划!O75&gt;0,1,0))</f>
        <v/>
      </c>
      <c r="Q75" s="7">
        <f>IF(VLOOKUP(Q$2,行为概览!$D$3:$M$33,10,0)="","",VLOOKUP(Q$2,行为概览!$D$3:$M$33,10,0)*IF(玩法行为规划!P75&gt;0,1,0))</f>
        <v>10</v>
      </c>
      <c r="R75" s="7" t="str">
        <f>IF(VLOOKUP(R$2,行为概览!$D$3:$M$33,10,0)="","",VLOOKUP(R$2,行为概览!$D$3:$M$33,10,0)*IF(玩法行为规划!Q75&gt;0,1,0))</f>
        <v/>
      </c>
      <c r="S75" s="7">
        <f>IF(VLOOKUP(S$2,行为概览!$D$3:$M$33,10,0)="","",VLOOKUP(S$2,行为概览!$D$3:$M$33,10,0)*IF(玩法行为规划!R75&gt;0,1,0))</f>
        <v>3</v>
      </c>
      <c r="T75" s="7" t="str">
        <f>IF(VLOOKUP(T$2,行为概览!$D$3:$M$33,10,0)="","",VLOOKUP(T$2,行为概览!$D$3:$M$33,10,0)*IF(玩法行为规划!S75&gt;0,1,0))</f>
        <v/>
      </c>
      <c r="U75" s="7" t="str">
        <f>IF(VLOOKUP(U$2,行为概览!$D$3:$M$33,10,0)="","",VLOOKUP(U$2,行为概览!$D$3:$M$33,10,0)*IF(玩法行为规划!T75&gt;0,1,0))</f>
        <v/>
      </c>
      <c r="V75" s="7">
        <f>IF(VLOOKUP(V$2,行为概览!$D$3:$M$33,10,0)="","",VLOOKUP(V$2,行为概览!$D$3:$M$33,10,0)*IF(玩法行为规划!U75&gt;0,1,0))</f>
        <v>4</v>
      </c>
      <c r="W75" s="7" t="str">
        <f>IF(VLOOKUP(W$2,行为概览!$D$3:$M$33,10,0)="","",VLOOKUP(W$2,行为概览!$D$3:$M$33,10,0)*IF(玩法行为规划!V75&gt;0,1,0))</f>
        <v/>
      </c>
      <c r="X75" s="7" t="str">
        <f>IF(VLOOKUP(X$2,行为概览!$D$3:$M$33,10,0)="","",VLOOKUP(X$2,行为概览!$D$3:$M$33,10,0)*IF(玩法行为规划!W75&gt;0,1,0))</f>
        <v/>
      </c>
      <c r="Y75" s="7" t="str">
        <f>IF(VLOOKUP(Y$2,行为概览!$D$3:$M$33,10,0)="","",VLOOKUP(Y$2,行为概览!$D$3:$M$33,10,0)*IF(玩法行为规划!X75&gt;0,1,0))</f>
        <v/>
      </c>
      <c r="Z75" s="7">
        <f>IF(VLOOKUP(Z$2,行为概览!$D$3:$M$33,10,0)="","",VLOOKUP(Z$2,行为概览!$D$3:$M$33,10,0)*IF(玩法行为规划!Y75&gt;0,1,0))</f>
        <v>10</v>
      </c>
      <c r="AA75" s="7" t="str">
        <f>IF(VLOOKUP(AA$2,行为概览!$D$3:$M$33,10,0)="","",VLOOKUP(AA$2,行为概览!$D$3:$M$33,10,0)*IF(玩法行为规划!Z75&gt;0,1,0))</f>
        <v/>
      </c>
      <c r="AB75" s="7" t="str">
        <f>IF(VLOOKUP(AB$2,行为概览!$D$3:$M$33,10,0)="","",VLOOKUP(AB$2,行为概览!$D$3:$M$33,10,0)*IF(玩法行为规划!AA75&gt;0,1,0))</f>
        <v/>
      </c>
      <c r="AC75" s="7" t="str">
        <f>IF(VLOOKUP(AC$2,行为概览!$D$3:$M$33,10,0)="","",VLOOKUP(AC$2,行为概览!$D$3:$M$33,10,0)*IF(玩法行为规划!AB75&gt;0,1,0))</f>
        <v/>
      </c>
      <c r="AD75" s="7" t="str">
        <f>IF(VLOOKUP(AD$2,行为概览!$D$3:$M$33,10,0)="","",VLOOKUP(AD$2,行为概览!$D$3:$M$33,10,0)*IF(玩法行为规划!AC75&gt;0,1,0))</f>
        <v/>
      </c>
      <c r="AE75" s="7" t="str">
        <f>IF(VLOOKUP(AE$2,行为概览!$D$3:$M$33,10,0)="","",VLOOKUP(AE$2,行为概览!$D$3:$M$33,10,0)*IF(玩法行为规划!AD75&gt;0,1,0))</f>
        <v/>
      </c>
      <c r="AF75" s="7">
        <f>IF(VLOOKUP(AF$2,行为概览!$D$3:$M$33,10,0)="","",VLOOKUP(AF$2,行为概览!$D$3:$M$33,10,0)*IF(玩法行为规划!AE75&gt;0,1,0))</f>
        <v>20</v>
      </c>
      <c r="AG75" s="7">
        <f t="shared" si="7"/>
        <v>80</v>
      </c>
      <c r="AH75" s="7">
        <f t="shared" si="8"/>
        <v>5840</v>
      </c>
      <c r="AI75" s="7">
        <v>0</v>
      </c>
      <c r="AJ75" s="21" t="str">
        <f t="shared" si="6"/>
        <v/>
      </c>
      <c r="AK75" s="7">
        <f t="shared" si="9"/>
        <v>5840</v>
      </c>
      <c r="AL75" s="7">
        <f>SUM($AK$3:AK75)</f>
        <v>184215</v>
      </c>
    </row>
    <row r="76" spans="1:38">
      <c r="A76" s="32">
        <v>74</v>
      </c>
      <c r="B76" s="87">
        <f>升级节奏!F76</f>
        <v>74</v>
      </c>
      <c r="C76" s="7">
        <f>IF(VLOOKUP(C$2,行为概览!$D$3:$M$33,10,0)="","",VLOOKUP(C$2,行为概览!$D$3:$M$33,10,0)*IF(玩法行为规划!B76&gt;0,1,0))</f>
        <v>8</v>
      </c>
      <c r="D76" s="7" t="str">
        <f>IF(VLOOKUP(D$2,行为概览!$D$3:$M$33,10,0)="","",VLOOKUP(D$2,行为概览!$D$3:$M$33,10,0)*IF(玩法行为规划!C76&gt;0,1,0))</f>
        <v/>
      </c>
      <c r="E76" s="7" t="str">
        <f>IF(VLOOKUP(E$2,行为概览!$D$3:$M$33,10,0)="","",VLOOKUP(E$2,行为概览!$D$3:$M$33,10,0)*IF(玩法行为规划!D76&gt;0,1,0))</f>
        <v/>
      </c>
      <c r="F76" s="7">
        <f>IF(VLOOKUP(F$2,行为概览!$D$3:$M$33,10,0)="","",VLOOKUP(F$2,行为概览!$D$3:$M$33,10,0)*IF(玩法行为规划!E76&gt;0,1,0))</f>
        <v>10</v>
      </c>
      <c r="G76" s="7" t="str">
        <f>IF(VLOOKUP(G$2,行为概览!$D$3:$M$33,10,0)="","",VLOOKUP(G$2,行为概览!$D$3:$M$33,10,0)*IF(玩法行为规划!F76&gt;0,1,0))</f>
        <v/>
      </c>
      <c r="H76" s="7" t="str">
        <f>IF(VLOOKUP(H$2,行为概览!$D$3:$M$33,10,0)="","",VLOOKUP(H$2,行为概览!$D$3:$M$33,10,0)*IF(玩法行为规划!G76&gt;0,1,0))</f>
        <v/>
      </c>
      <c r="I76" s="7" t="str">
        <f>IF(VLOOKUP(I$2,行为概览!$D$3:$M$33,10,0)="","",VLOOKUP(I$2,行为概览!$D$3:$M$33,10,0)*IF(玩法行为规划!H76&gt;0,1,0))</f>
        <v/>
      </c>
      <c r="J76" s="7" t="str">
        <f>IF(VLOOKUP(J$2,行为概览!$D$3:$M$33,10,0)="","",VLOOKUP(J$2,行为概览!$D$3:$M$33,10,0)*IF(玩法行为规划!I76&gt;0,1,0))</f>
        <v/>
      </c>
      <c r="K76" s="7">
        <f>IF(VLOOKUP(K$2,行为概览!$D$3:$M$33,10,0)="","",VLOOKUP(K$2,行为概览!$D$3:$M$33,10,0)*IF(玩法行为规划!J76&gt;0,1,0))</f>
        <v>10</v>
      </c>
      <c r="L76" s="7">
        <f>IF(VLOOKUP(L$2,行为概览!$D$3:$M$33,10,0)="","",VLOOKUP(L$2,行为概览!$D$3:$M$33,10,0)*IF(玩法行为规划!K76&gt;0,1,0))</f>
        <v>5</v>
      </c>
      <c r="M76" s="7" t="str">
        <f>IF(VLOOKUP(M$2,行为概览!$D$3:$M$33,10,0)="","",VLOOKUP(M$2,行为概览!$D$3:$M$33,10,0)*IF(玩法行为规划!L76&gt;0,1,0))</f>
        <v/>
      </c>
      <c r="N76" s="7" t="str">
        <f>IF(VLOOKUP(N$2,行为概览!$D$3:$M$33,10,0)="","",VLOOKUP(N$2,行为概览!$D$3:$M$33,10,0)*IF(玩法行为规划!M76&gt;0,1,0))</f>
        <v/>
      </c>
      <c r="O76" s="7" t="str">
        <f>IF(VLOOKUP(O$2,行为概览!$D$3:$M$33,10,0)="","",VLOOKUP(O$2,行为概览!$D$3:$M$33,10,0)*IF(玩法行为规划!N76&gt;0,1,0))</f>
        <v/>
      </c>
      <c r="P76" s="7" t="str">
        <f>IF(VLOOKUP(P$2,行为概览!$D$3:$M$33,10,0)="","",VLOOKUP(P$2,行为概览!$D$3:$M$33,10,0)*IF(玩法行为规划!O76&gt;0,1,0))</f>
        <v/>
      </c>
      <c r="Q76" s="7">
        <f>IF(VLOOKUP(Q$2,行为概览!$D$3:$M$33,10,0)="","",VLOOKUP(Q$2,行为概览!$D$3:$M$33,10,0)*IF(玩法行为规划!P76&gt;0,1,0))</f>
        <v>10</v>
      </c>
      <c r="R76" s="7" t="str">
        <f>IF(VLOOKUP(R$2,行为概览!$D$3:$M$33,10,0)="","",VLOOKUP(R$2,行为概览!$D$3:$M$33,10,0)*IF(玩法行为规划!Q76&gt;0,1,0))</f>
        <v/>
      </c>
      <c r="S76" s="7">
        <f>IF(VLOOKUP(S$2,行为概览!$D$3:$M$33,10,0)="","",VLOOKUP(S$2,行为概览!$D$3:$M$33,10,0)*IF(玩法行为规划!R76&gt;0,1,0))</f>
        <v>3</v>
      </c>
      <c r="T76" s="7" t="str">
        <f>IF(VLOOKUP(T$2,行为概览!$D$3:$M$33,10,0)="","",VLOOKUP(T$2,行为概览!$D$3:$M$33,10,0)*IF(玩法行为规划!S76&gt;0,1,0))</f>
        <v/>
      </c>
      <c r="U76" s="7" t="str">
        <f>IF(VLOOKUP(U$2,行为概览!$D$3:$M$33,10,0)="","",VLOOKUP(U$2,行为概览!$D$3:$M$33,10,0)*IF(玩法行为规划!T76&gt;0,1,0))</f>
        <v/>
      </c>
      <c r="V76" s="7">
        <f>IF(VLOOKUP(V$2,行为概览!$D$3:$M$33,10,0)="","",VLOOKUP(V$2,行为概览!$D$3:$M$33,10,0)*IF(玩法行为规划!U76&gt;0,1,0))</f>
        <v>4</v>
      </c>
      <c r="W76" s="7" t="str">
        <f>IF(VLOOKUP(W$2,行为概览!$D$3:$M$33,10,0)="","",VLOOKUP(W$2,行为概览!$D$3:$M$33,10,0)*IF(玩法行为规划!V76&gt;0,1,0))</f>
        <v/>
      </c>
      <c r="X76" s="7" t="str">
        <f>IF(VLOOKUP(X$2,行为概览!$D$3:$M$33,10,0)="","",VLOOKUP(X$2,行为概览!$D$3:$M$33,10,0)*IF(玩法行为规划!W76&gt;0,1,0))</f>
        <v/>
      </c>
      <c r="Y76" s="7" t="str">
        <f>IF(VLOOKUP(Y$2,行为概览!$D$3:$M$33,10,0)="","",VLOOKUP(Y$2,行为概览!$D$3:$M$33,10,0)*IF(玩法行为规划!X76&gt;0,1,0))</f>
        <v/>
      </c>
      <c r="Z76" s="7">
        <f>IF(VLOOKUP(Z$2,行为概览!$D$3:$M$33,10,0)="","",VLOOKUP(Z$2,行为概览!$D$3:$M$33,10,0)*IF(玩法行为规划!Y76&gt;0,1,0))</f>
        <v>10</v>
      </c>
      <c r="AA76" s="7" t="str">
        <f>IF(VLOOKUP(AA$2,行为概览!$D$3:$M$33,10,0)="","",VLOOKUP(AA$2,行为概览!$D$3:$M$33,10,0)*IF(玩法行为规划!Z76&gt;0,1,0))</f>
        <v/>
      </c>
      <c r="AB76" s="7" t="str">
        <f>IF(VLOOKUP(AB$2,行为概览!$D$3:$M$33,10,0)="","",VLOOKUP(AB$2,行为概览!$D$3:$M$33,10,0)*IF(玩法行为规划!AA76&gt;0,1,0))</f>
        <v/>
      </c>
      <c r="AC76" s="7" t="str">
        <f>IF(VLOOKUP(AC$2,行为概览!$D$3:$M$33,10,0)="","",VLOOKUP(AC$2,行为概览!$D$3:$M$33,10,0)*IF(玩法行为规划!AB76&gt;0,1,0))</f>
        <v/>
      </c>
      <c r="AD76" s="7" t="str">
        <f>IF(VLOOKUP(AD$2,行为概览!$D$3:$M$33,10,0)="","",VLOOKUP(AD$2,行为概览!$D$3:$M$33,10,0)*IF(玩法行为规划!AC76&gt;0,1,0))</f>
        <v/>
      </c>
      <c r="AE76" s="7" t="str">
        <f>IF(VLOOKUP(AE$2,行为概览!$D$3:$M$33,10,0)="","",VLOOKUP(AE$2,行为概览!$D$3:$M$33,10,0)*IF(玩法行为规划!AD76&gt;0,1,0))</f>
        <v/>
      </c>
      <c r="AF76" s="7">
        <f>IF(VLOOKUP(AF$2,行为概览!$D$3:$M$33,10,0)="","",VLOOKUP(AF$2,行为概览!$D$3:$M$33,10,0)*IF(玩法行为规划!AE76&gt;0,1,0))</f>
        <v>20</v>
      </c>
      <c r="AG76" s="7">
        <f t="shared" si="7"/>
        <v>80</v>
      </c>
      <c r="AH76" s="7">
        <f t="shared" si="8"/>
        <v>5920</v>
      </c>
      <c r="AI76" s="7">
        <v>0</v>
      </c>
      <c r="AJ76" s="21" t="str">
        <f t="shared" ref="AJ76:AJ107" si="10">IF(--RIGHT(A76,1)=0,SUM(AI76:AI85),"")</f>
        <v/>
      </c>
      <c r="AK76" s="7">
        <f t="shared" si="9"/>
        <v>5920</v>
      </c>
      <c r="AL76" s="7">
        <f>SUM($AK$3:AK76)</f>
        <v>190135</v>
      </c>
    </row>
    <row r="77" spans="1:38">
      <c r="A77" s="32">
        <v>75</v>
      </c>
      <c r="B77" s="87">
        <f>升级节奏!F77</f>
        <v>75</v>
      </c>
      <c r="C77" s="7">
        <f>IF(VLOOKUP(C$2,行为概览!$D$3:$M$33,10,0)="","",VLOOKUP(C$2,行为概览!$D$3:$M$33,10,0)*IF(玩法行为规划!B77&gt;0,1,0))</f>
        <v>8</v>
      </c>
      <c r="D77" s="7" t="str">
        <f>IF(VLOOKUP(D$2,行为概览!$D$3:$M$33,10,0)="","",VLOOKUP(D$2,行为概览!$D$3:$M$33,10,0)*IF(玩法行为规划!C77&gt;0,1,0))</f>
        <v/>
      </c>
      <c r="E77" s="7" t="str">
        <f>IF(VLOOKUP(E$2,行为概览!$D$3:$M$33,10,0)="","",VLOOKUP(E$2,行为概览!$D$3:$M$33,10,0)*IF(玩法行为规划!D77&gt;0,1,0))</f>
        <v/>
      </c>
      <c r="F77" s="7">
        <f>IF(VLOOKUP(F$2,行为概览!$D$3:$M$33,10,0)="","",VLOOKUP(F$2,行为概览!$D$3:$M$33,10,0)*IF(玩法行为规划!E77&gt;0,1,0))</f>
        <v>10</v>
      </c>
      <c r="G77" s="7" t="str">
        <f>IF(VLOOKUP(G$2,行为概览!$D$3:$M$33,10,0)="","",VLOOKUP(G$2,行为概览!$D$3:$M$33,10,0)*IF(玩法行为规划!F77&gt;0,1,0))</f>
        <v/>
      </c>
      <c r="H77" s="7" t="str">
        <f>IF(VLOOKUP(H$2,行为概览!$D$3:$M$33,10,0)="","",VLOOKUP(H$2,行为概览!$D$3:$M$33,10,0)*IF(玩法行为规划!G77&gt;0,1,0))</f>
        <v/>
      </c>
      <c r="I77" s="7" t="str">
        <f>IF(VLOOKUP(I$2,行为概览!$D$3:$M$33,10,0)="","",VLOOKUP(I$2,行为概览!$D$3:$M$33,10,0)*IF(玩法行为规划!H77&gt;0,1,0))</f>
        <v/>
      </c>
      <c r="J77" s="7" t="str">
        <f>IF(VLOOKUP(J$2,行为概览!$D$3:$M$33,10,0)="","",VLOOKUP(J$2,行为概览!$D$3:$M$33,10,0)*IF(玩法行为规划!I77&gt;0,1,0))</f>
        <v/>
      </c>
      <c r="K77" s="7">
        <f>IF(VLOOKUP(K$2,行为概览!$D$3:$M$33,10,0)="","",VLOOKUP(K$2,行为概览!$D$3:$M$33,10,0)*IF(玩法行为规划!J77&gt;0,1,0))</f>
        <v>10</v>
      </c>
      <c r="L77" s="7">
        <f>IF(VLOOKUP(L$2,行为概览!$D$3:$M$33,10,0)="","",VLOOKUP(L$2,行为概览!$D$3:$M$33,10,0)*IF(玩法行为规划!K77&gt;0,1,0))</f>
        <v>5</v>
      </c>
      <c r="M77" s="7" t="str">
        <f>IF(VLOOKUP(M$2,行为概览!$D$3:$M$33,10,0)="","",VLOOKUP(M$2,行为概览!$D$3:$M$33,10,0)*IF(玩法行为规划!L77&gt;0,1,0))</f>
        <v/>
      </c>
      <c r="N77" s="7" t="str">
        <f>IF(VLOOKUP(N$2,行为概览!$D$3:$M$33,10,0)="","",VLOOKUP(N$2,行为概览!$D$3:$M$33,10,0)*IF(玩法行为规划!M77&gt;0,1,0))</f>
        <v/>
      </c>
      <c r="O77" s="7" t="str">
        <f>IF(VLOOKUP(O$2,行为概览!$D$3:$M$33,10,0)="","",VLOOKUP(O$2,行为概览!$D$3:$M$33,10,0)*IF(玩法行为规划!N77&gt;0,1,0))</f>
        <v/>
      </c>
      <c r="P77" s="7" t="str">
        <f>IF(VLOOKUP(P$2,行为概览!$D$3:$M$33,10,0)="","",VLOOKUP(P$2,行为概览!$D$3:$M$33,10,0)*IF(玩法行为规划!O77&gt;0,1,0))</f>
        <v/>
      </c>
      <c r="Q77" s="7">
        <f>IF(VLOOKUP(Q$2,行为概览!$D$3:$M$33,10,0)="","",VLOOKUP(Q$2,行为概览!$D$3:$M$33,10,0)*IF(玩法行为规划!P77&gt;0,1,0))</f>
        <v>10</v>
      </c>
      <c r="R77" s="7" t="str">
        <f>IF(VLOOKUP(R$2,行为概览!$D$3:$M$33,10,0)="","",VLOOKUP(R$2,行为概览!$D$3:$M$33,10,0)*IF(玩法行为规划!Q77&gt;0,1,0))</f>
        <v/>
      </c>
      <c r="S77" s="7">
        <f>IF(VLOOKUP(S$2,行为概览!$D$3:$M$33,10,0)="","",VLOOKUP(S$2,行为概览!$D$3:$M$33,10,0)*IF(玩法行为规划!R77&gt;0,1,0))</f>
        <v>3</v>
      </c>
      <c r="T77" s="7" t="str">
        <f>IF(VLOOKUP(T$2,行为概览!$D$3:$M$33,10,0)="","",VLOOKUP(T$2,行为概览!$D$3:$M$33,10,0)*IF(玩法行为规划!S77&gt;0,1,0))</f>
        <v/>
      </c>
      <c r="U77" s="7" t="str">
        <f>IF(VLOOKUP(U$2,行为概览!$D$3:$M$33,10,0)="","",VLOOKUP(U$2,行为概览!$D$3:$M$33,10,0)*IF(玩法行为规划!T77&gt;0,1,0))</f>
        <v/>
      </c>
      <c r="V77" s="7">
        <f>IF(VLOOKUP(V$2,行为概览!$D$3:$M$33,10,0)="","",VLOOKUP(V$2,行为概览!$D$3:$M$33,10,0)*IF(玩法行为规划!U77&gt;0,1,0))</f>
        <v>4</v>
      </c>
      <c r="W77" s="7" t="str">
        <f>IF(VLOOKUP(W$2,行为概览!$D$3:$M$33,10,0)="","",VLOOKUP(W$2,行为概览!$D$3:$M$33,10,0)*IF(玩法行为规划!V77&gt;0,1,0))</f>
        <v/>
      </c>
      <c r="X77" s="7" t="str">
        <f>IF(VLOOKUP(X$2,行为概览!$D$3:$M$33,10,0)="","",VLOOKUP(X$2,行为概览!$D$3:$M$33,10,0)*IF(玩法行为规划!W77&gt;0,1,0))</f>
        <v/>
      </c>
      <c r="Y77" s="7" t="str">
        <f>IF(VLOOKUP(Y$2,行为概览!$D$3:$M$33,10,0)="","",VLOOKUP(Y$2,行为概览!$D$3:$M$33,10,0)*IF(玩法行为规划!X77&gt;0,1,0))</f>
        <v/>
      </c>
      <c r="Z77" s="7">
        <f>IF(VLOOKUP(Z$2,行为概览!$D$3:$M$33,10,0)="","",VLOOKUP(Z$2,行为概览!$D$3:$M$33,10,0)*IF(玩法行为规划!Y77&gt;0,1,0))</f>
        <v>10</v>
      </c>
      <c r="AA77" s="7" t="str">
        <f>IF(VLOOKUP(AA$2,行为概览!$D$3:$M$33,10,0)="","",VLOOKUP(AA$2,行为概览!$D$3:$M$33,10,0)*IF(玩法行为规划!Z77&gt;0,1,0))</f>
        <v/>
      </c>
      <c r="AB77" s="7" t="str">
        <f>IF(VLOOKUP(AB$2,行为概览!$D$3:$M$33,10,0)="","",VLOOKUP(AB$2,行为概览!$D$3:$M$33,10,0)*IF(玩法行为规划!AA77&gt;0,1,0))</f>
        <v/>
      </c>
      <c r="AC77" s="7" t="str">
        <f>IF(VLOOKUP(AC$2,行为概览!$D$3:$M$33,10,0)="","",VLOOKUP(AC$2,行为概览!$D$3:$M$33,10,0)*IF(玩法行为规划!AB77&gt;0,1,0))</f>
        <v/>
      </c>
      <c r="AD77" s="7" t="str">
        <f>IF(VLOOKUP(AD$2,行为概览!$D$3:$M$33,10,0)="","",VLOOKUP(AD$2,行为概览!$D$3:$M$33,10,0)*IF(玩法行为规划!AC77&gt;0,1,0))</f>
        <v/>
      </c>
      <c r="AE77" s="7" t="str">
        <f>IF(VLOOKUP(AE$2,行为概览!$D$3:$M$33,10,0)="","",VLOOKUP(AE$2,行为概览!$D$3:$M$33,10,0)*IF(玩法行为规划!AD77&gt;0,1,0))</f>
        <v/>
      </c>
      <c r="AF77" s="7">
        <f>IF(VLOOKUP(AF$2,行为概览!$D$3:$M$33,10,0)="","",VLOOKUP(AF$2,行为概览!$D$3:$M$33,10,0)*IF(玩法行为规划!AE77&gt;0,1,0))</f>
        <v>20</v>
      </c>
      <c r="AG77" s="7">
        <f t="shared" si="7"/>
        <v>80</v>
      </c>
      <c r="AH77" s="7">
        <f t="shared" si="8"/>
        <v>6000</v>
      </c>
      <c r="AI77" s="7">
        <v>0</v>
      </c>
      <c r="AJ77" s="21" t="str">
        <f t="shared" si="10"/>
        <v/>
      </c>
      <c r="AK77" s="7">
        <f t="shared" si="9"/>
        <v>6000</v>
      </c>
      <c r="AL77" s="7">
        <f>SUM($AK$3:AK77)</f>
        <v>196135</v>
      </c>
    </row>
    <row r="78" spans="1:38">
      <c r="A78" s="32">
        <v>76</v>
      </c>
      <c r="B78" s="87">
        <f>升级节奏!F78</f>
        <v>76</v>
      </c>
      <c r="C78" s="7">
        <f>IF(VLOOKUP(C$2,行为概览!$D$3:$M$33,10,0)="","",VLOOKUP(C$2,行为概览!$D$3:$M$33,10,0)*IF(玩法行为规划!B78&gt;0,1,0))</f>
        <v>8</v>
      </c>
      <c r="D78" s="7" t="str">
        <f>IF(VLOOKUP(D$2,行为概览!$D$3:$M$33,10,0)="","",VLOOKUP(D$2,行为概览!$D$3:$M$33,10,0)*IF(玩法行为规划!C78&gt;0,1,0))</f>
        <v/>
      </c>
      <c r="E78" s="7" t="str">
        <f>IF(VLOOKUP(E$2,行为概览!$D$3:$M$33,10,0)="","",VLOOKUP(E$2,行为概览!$D$3:$M$33,10,0)*IF(玩法行为规划!D78&gt;0,1,0))</f>
        <v/>
      </c>
      <c r="F78" s="7">
        <f>IF(VLOOKUP(F$2,行为概览!$D$3:$M$33,10,0)="","",VLOOKUP(F$2,行为概览!$D$3:$M$33,10,0)*IF(玩法行为规划!E78&gt;0,1,0))</f>
        <v>10</v>
      </c>
      <c r="G78" s="7" t="str">
        <f>IF(VLOOKUP(G$2,行为概览!$D$3:$M$33,10,0)="","",VLOOKUP(G$2,行为概览!$D$3:$M$33,10,0)*IF(玩法行为规划!F78&gt;0,1,0))</f>
        <v/>
      </c>
      <c r="H78" s="7" t="str">
        <f>IF(VLOOKUP(H$2,行为概览!$D$3:$M$33,10,0)="","",VLOOKUP(H$2,行为概览!$D$3:$M$33,10,0)*IF(玩法行为规划!G78&gt;0,1,0))</f>
        <v/>
      </c>
      <c r="I78" s="7" t="str">
        <f>IF(VLOOKUP(I$2,行为概览!$D$3:$M$33,10,0)="","",VLOOKUP(I$2,行为概览!$D$3:$M$33,10,0)*IF(玩法行为规划!H78&gt;0,1,0))</f>
        <v/>
      </c>
      <c r="J78" s="7" t="str">
        <f>IF(VLOOKUP(J$2,行为概览!$D$3:$M$33,10,0)="","",VLOOKUP(J$2,行为概览!$D$3:$M$33,10,0)*IF(玩法行为规划!I78&gt;0,1,0))</f>
        <v/>
      </c>
      <c r="K78" s="7">
        <f>IF(VLOOKUP(K$2,行为概览!$D$3:$M$33,10,0)="","",VLOOKUP(K$2,行为概览!$D$3:$M$33,10,0)*IF(玩法行为规划!J78&gt;0,1,0))</f>
        <v>10</v>
      </c>
      <c r="L78" s="7">
        <f>IF(VLOOKUP(L$2,行为概览!$D$3:$M$33,10,0)="","",VLOOKUP(L$2,行为概览!$D$3:$M$33,10,0)*IF(玩法行为规划!K78&gt;0,1,0))</f>
        <v>5</v>
      </c>
      <c r="M78" s="7" t="str">
        <f>IF(VLOOKUP(M$2,行为概览!$D$3:$M$33,10,0)="","",VLOOKUP(M$2,行为概览!$D$3:$M$33,10,0)*IF(玩法行为规划!L78&gt;0,1,0))</f>
        <v/>
      </c>
      <c r="N78" s="7" t="str">
        <f>IF(VLOOKUP(N$2,行为概览!$D$3:$M$33,10,0)="","",VLOOKUP(N$2,行为概览!$D$3:$M$33,10,0)*IF(玩法行为规划!M78&gt;0,1,0))</f>
        <v/>
      </c>
      <c r="O78" s="7" t="str">
        <f>IF(VLOOKUP(O$2,行为概览!$D$3:$M$33,10,0)="","",VLOOKUP(O$2,行为概览!$D$3:$M$33,10,0)*IF(玩法行为规划!N78&gt;0,1,0))</f>
        <v/>
      </c>
      <c r="P78" s="7" t="str">
        <f>IF(VLOOKUP(P$2,行为概览!$D$3:$M$33,10,0)="","",VLOOKUP(P$2,行为概览!$D$3:$M$33,10,0)*IF(玩法行为规划!O78&gt;0,1,0))</f>
        <v/>
      </c>
      <c r="Q78" s="7">
        <f>IF(VLOOKUP(Q$2,行为概览!$D$3:$M$33,10,0)="","",VLOOKUP(Q$2,行为概览!$D$3:$M$33,10,0)*IF(玩法行为规划!P78&gt;0,1,0))</f>
        <v>10</v>
      </c>
      <c r="R78" s="7" t="str">
        <f>IF(VLOOKUP(R$2,行为概览!$D$3:$M$33,10,0)="","",VLOOKUP(R$2,行为概览!$D$3:$M$33,10,0)*IF(玩法行为规划!Q78&gt;0,1,0))</f>
        <v/>
      </c>
      <c r="S78" s="7">
        <f>IF(VLOOKUP(S$2,行为概览!$D$3:$M$33,10,0)="","",VLOOKUP(S$2,行为概览!$D$3:$M$33,10,0)*IF(玩法行为规划!R78&gt;0,1,0))</f>
        <v>3</v>
      </c>
      <c r="T78" s="7" t="str">
        <f>IF(VLOOKUP(T$2,行为概览!$D$3:$M$33,10,0)="","",VLOOKUP(T$2,行为概览!$D$3:$M$33,10,0)*IF(玩法行为规划!S78&gt;0,1,0))</f>
        <v/>
      </c>
      <c r="U78" s="7" t="str">
        <f>IF(VLOOKUP(U$2,行为概览!$D$3:$M$33,10,0)="","",VLOOKUP(U$2,行为概览!$D$3:$M$33,10,0)*IF(玩法行为规划!T78&gt;0,1,0))</f>
        <v/>
      </c>
      <c r="V78" s="7">
        <f>IF(VLOOKUP(V$2,行为概览!$D$3:$M$33,10,0)="","",VLOOKUP(V$2,行为概览!$D$3:$M$33,10,0)*IF(玩法行为规划!U78&gt;0,1,0))</f>
        <v>4</v>
      </c>
      <c r="W78" s="7" t="str">
        <f>IF(VLOOKUP(W$2,行为概览!$D$3:$M$33,10,0)="","",VLOOKUP(W$2,行为概览!$D$3:$M$33,10,0)*IF(玩法行为规划!V78&gt;0,1,0))</f>
        <v/>
      </c>
      <c r="X78" s="7" t="str">
        <f>IF(VLOOKUP(X$2,行为概览!$D$3:$M$33,10,0)="","",VLOOKUP(X$2,行为概览!$D$3:$M$33,10,0)*IF(玩法行为规划!W78&gt;0,1,0))</f>
        <v/>
      </c>
      <c r="Y78" s="7" t="str">
        <f>IF(VLOOKUP(Y$2,行为概览!$D$3:$M$33,10,0)="","",VLOOKUP(Y$2,行为概览!$D$3:$M$33,10,0)*IF(玩法行为规划!X78&gt;0,1,0))</f>
        <v/>
      </c>
      <c r="Z78" s="7">
        <f>IF(VLOOKUP(Z$2,行为概览!$D$3:$M$33,10,0)="","",VLOOKUP(Z$2,行为概览!$D$3:$M$33,10,0)*IF(玩法行为规划!Y78&gt;0,1,0))</f>
        <v>10</v>
      </c>
      <c r="AA78" s="7" t="str">
        <f>IF(VLOOKUP(AA$2,行为概览!$D$3:$M$33,10,0)="","",VLOOKUP(AA$2,行为概览!$D$3:$M$33,10,0)*IF(玩法行为规划!Z78&gt;0,1,0))</f>
        <v/>
      </c>
      <c r="AB78" s="7" t="str">
        <f>IF(VLOOKUP(AB$2,行为概览!$D$3:$M$33,10,0)="","",VLOOKUP(AB$2,行为概览!$D$3:$M$33,10,0)*IF(玩法行为规划!AA78&gt;0,1,0))</f>
        <v/>
      </c>
      <c r="AC78" s="7" t="str">
        <f>IF(VLOOKUP(AC$2,行为概览!$D$3:$M$33,10,0)="","",VLOOKUP(AC$2,行为概览!$D$3:$M$33,10,0)*IF(玩法行为规划!AB78&gt;0,1,0))</f>
        <v/>
      </c>
      <c r="AD78" s="7" t="str">
        <f>IF(VLOOKUP(AD$2,行为概览!$D$3:$M$33,10,0)="","",VLOOKUP(AD$2,行为概览!$D$3:$M$33,10,0)*IF(玩法行为规划!AC78&gt;0,1,0))</f>
        <v/>
      </c>
      <c r="AE78" s="7" t="str">
        <f>IF(VLOOKUP(AE$2,行为概览!$D$3:$M$33,10,0)="","",VLOOKUP(AE$2,行为概览!$D$3:$M$33,10,0)*IF(玩法行为规划!AD78&gt;0,1,0))</f>
        <v/>
      </c>
      <c r="AF78" s="7">
        <f>IF(VLOOKUP(AF$2,行为概览!$D$3:$M$33,10,0)="","",VLOOKUP(AF$2,行为概览!$D$3:$M$33,10,0)*IF(玩法行为规划!AE78&gt;0,1,0))</f>
        <v>20</v>
      </c>
      <c r="AG78" s="7">
        <f t="shared" si="7"/>
        <v>80</v>
      </c>
      <c r="AH78" s="7">
        <f t="shared" si="8"/>
        <v>6080</v>
      </c>
      <c r="AI78" s="7">
        <v>0</v>
      </c>
      <c r="AJ78" s="21" t="str">
        <f t="shared" si="10"/>
        <v/>
      </c>
      <c r="AK78" s="7">
        <f t="shared" si="9"/>
        <v>6080</v>
      </c>
      <c r="AL78" s="7">
        <f>SUM($AK$3:AK78)</f>
        <v>202215</v>
      </c>
    </row>
    <row r="79" spans="1:38">
      <c r="A79" s="32">
        <v>77</v>
      </c>
      <c r="B79" s="87">
        <f>升级节奏!F79</f>
        <v>77</v>
      </c>
      <c r="C79" s="7">
        <f>IF(VLOOKUP(C$2,行为概览!$D$3:$M$33,10,0)="","",VLOOKUP(C$2,行为概览!$D$3:$M$33,10,0)*IF(玩法行为规划!B79&gt;0,1,0))</f>
        <v>8</v>
      </c>
      <c r="D79" s="7" t="str">
        <f>IF(VLOOKUP(D$2,行为概览!$D$3:$M$33,10,0)="","",VLOOKUP(D$2,行为概览!$D$3:$M$33,10,0)*IF(玩法行为规划!C79&gt;0,1,0))</f>
        <v/>
      </c>
      <c r="E79" s="7" t="str">
        <f>IF(VLOOKUP(E$2,行为概览!$D$3:$M$33,10,0)="","",VLOOKUP(E$2,行为概览!$D$3:$M$33,10,0)*IF(玩法行为规划!D79&gt;0,1,0))</f>
        <v/>
      </c>
      <c r="F79" s="7">
        <f>IF(VLOOKUP(F$2,行为概览!$D$3:$M$33,10,0)="","",VLOOKUP(F$2,行为概览!$D$3:$M$33,10,0)*IF(玩法行为规划!E79&gt;0,1,0))</f>
        <v>10</v>
      </c>
      <c r="G79" s="7" t="str">
        <f>IF(VLOOKUP(G$2,行为概览!$D$3:$M$33,10,0)="","",VLOOKUP(G$2,行为概览!$D$3:$M$33,10,0)*IF(玩法行为规划!F79&gt;0,1,0))</f>
        <v/>
      </c>
      <c r="H79" s="7" t="str">
        <f>IF(VLOOKUP(H$2,行为概览!$D$3:$M$33,10,0)="","",VLOOKUP(H$2,行为概览!$D$3:$M$33,10,0)*IF(玩法行为规划!G79&gt;0,1,0))</f>
        <v/>
      </c>
      <c r="I79" s="7" t="str">
        <f>IF(VLOOKUP(I$2,行为概览!$D$3:$M$33,10,0)="","",VLOOKUP(I$2,行为概览!$D$3:$M$33,10,0)*IF(玩法行为规划!H79&gt;0,1,0))</f>
        <v/>
      </c>
      <c r="J79" s="7" t="str">
        <f>IF(VLOOKUP(J$2,行为概览!$D$3:$M$33,10,0)="","",VLOOKUP(J$2,行为概览!$D$3:$M$33,10,0)*IF(玩法行为规划!I79&gt;0,1,0))</f>
        <v/>
      </c>
      <c r="K79" s="7">
        <f>IF(VLOOKUP(K$2,行为概览!$D$3:$M$33,10,0)="","",VLOOKUP(K$2,行为概览!$D$3:$M$33,10,0)*IF(玩法行为规划!J79&gt;0,1,0))</f>
        <v>10</v>
      </c>
      <c r="L79" s="7">
        <f>IF(VLOOKUP(L$2,行为概览!$D$3:$M$33,10,0)="","",VLOOKUP(L$2,行为概览!$D$3:$M$33,10,0)*IF(玩法行为规划!K79&gt;0,1,0))</f>
        <v>5</v>
      </c>
      <c r="M79" s="7" t="str">
        <f>IF(VLOOKUP(M$2,行为概览!$D$3:$M$33,10,0)="","",VLOOKUP(M$2,行为概览!$D$3:$M$33,10,0)*IF(玩法行为规划!L79&gt;0,1,0))</f>
        <v/>
      </c>
      <c r="N79" s="7" t="str">
        <f>IF(VLOOKUP(N$2,行为概览!$D$3:$M$33,10,0)="","",VLOOKUP(N$2,行为概览!$D$3:$M$33,10,0)*IF(玩法行为规划!M79&gt;0,1,0))</f>
        <v/>
      </c>
      <c r="O79" s="7" t="str">
        <f>IF(VLOOKUP(O$2,行为概览!$D$3:$M$33,10,0)="","",VLOOKUP(O$2,行为概览!$D$3:$M$33,10,0)*IF(玩法行为规划!N79&gt;0,1,0))</f>
        <v/>
      </c>
      <c r="P79" s="7" t="str">
        <f>IF(VLOOKUP(P$2,行为概览!$D$3:$M$33,10,0)="","",VLOOKUP(P$2,行为概览!$D$3:$M$33,10,0)*IF(玩法行为规划!O79&gt;0,1,0))</f>
        <v/>
      </c>
      <c r="Q79" s="7">
        <f>IF(VLOOKUP(Q$2,行为概览!$D$3:$M$33,10,0)="","",VLOOKUP(Q$2,行为概览!$D$3:$M$33,10,0)*IF(玩法行为规划!P79&gt;0,1,0))</f>
        <v>10</v>
      </c>
      <c r="R79" s="7" t="str">
        <f>IF(VLOOKUP(R$2,行为概览!$D$3:$M$33,10,0)="","",VLOOKUP(R$2,行为概览!$D$3:$M$33,10,0)*IF(玩法行为规划!Q79&gt;0,1,0))</f>
        <v/>
      </c>
      <c r="S79" s="7">
        <f>IF(VLOOKUP(S$2,行为概览!$D$3:$M$33,10,0)="","",VLOOKUP(S$2,行为概览!$D$3:$M$33,10,0)*IF(玩法行为规划!R79&gt;0,1,0))</f>
        <v>3</v>
      </c>
      <c r="T79" s="7" t="str">
        <f>IF(VLOOKUP(T$2,行为概览!$D$3:$M$33,10,0)="","",VLOOKUP(T$2,行为概览!$D$3:$M$33,10,0)*IF(玩法行为规划!S79&gt;0,1,0))</f>
        <v/>
      </c>
      <c r="U79" s="7" t="str">
        <f>IF(VLOOKUP(U$2,行为概览!$D$3:$M$33,10,0)="","",VLOOKUP(U$2,行为概览!$D$3:$M$33,10,0)*IF(玩法行为规划!T79&gt;0,1,0))</f>
        <v/>
      </c>
      <c r="V79" s="7">
        <f>IF(VLOOKUP(V$2,行为概览!$D$3:$M$33,10,0)="","",VLOOKUP(V$2,行为概览!$D$3:$M$33,10,0)*IF(玩法行为规划!U79&gt;0,1,0))</f>
        <v>4</v>
      </c>
      <c r="W79" s="7" t="str">
        <f>IF(VLOOKUP(W$2,行为概览!$D$3:$M$33,10,0)="","",VLOOKUP(W$2,行为概览!$D$3:$M$33,10,0)*IF(玩法行为规划!V79&gt;0,1,0))</f>
        <v/>
      </c>
      <c r="X79" s="7" t="str">
        <f>IF(VLOOKUP(X$2,行为概览!$D$3:$M$33,10,0)="","",VLOOKUP(X$2,行为概览!$D$3:$M$33,10,0)*IF(玩法行为规划!W79&gt;0,1,0))</f>
        <v/>
      </c>
      <c r="Y79" s="7" t="str">
        <f>IF(VLOOKUP(Y$2,行为概览!$D$3:$M$33,10,0)="","",VLOOKUP(Y$2,行为概览!$D$3:$M$33,10,0)*IF(玩法行为规划!X79&gt;0,1,0))</f>
        <v/>
      </c>
      <c r="Z79" s="7">
        <f>IF(VLOOKUP(Z$2,行为概览!$D$3:$M$33,10,0)="","",VLOOKUP(Z$2,行为概览!$D$3:$M$33,10,0)*IF(玩法行为规划!Y79&gt;0,1,0))</f>
        <v>10</v>
      </c>
      <c r="AA79" s="7" t="str">
        <f>IF(VLOOKUP(AA$2,行为概览!$D$3:$M$33,10,0)="","",VLOOKUP(AA$2,行为概览!$D$3:$M$33,10,0)*IF(玩法行为规划!Z79&gt;0,1,0))</f>
        <v/>
      </c>
      <c r="AB79" s="7" t="str">
        <f>IF(VLOOKUP(AB$2,行为概览!$D$3:$M$33,10,0)="","",VLOOKUP(AB$2,行为概览!$D$3:$M$33,10,0)*IF(玩法行为规划!AA79&gt;0,1,0))</f>
        <v/>
      </c>
      <c r="AC79" s="7" t="str">
        <f>IF(VLOOKUP(AC$2,行为概览!$D$3:$M$33,10,0)="","",VLOOKUP(AC$2,行为概览!$D$3:$M$33,10,0)*IF(玩法行为规划!AB79&gt;0,1,0))</f>
        <v/>
      </c>
      <c r="AD79" s="7" t="str">
        <f>IF(VLOOKUP(AD$2,行为概览!$D$3:$M$33,10,0)="","",VLOOKUP(AD$2,行为概览!$D$3:$M$33,10,0)*IF(玩法行为规划!AC79&gt;0,1,0))</f>
        <v/>
      </c>
      <c r="AE79" s="7" t="str">
        <f>IF(VLOOKUP(AE$2,行为概览!$D$3:$M$33,10,0)="","",VLOOKUP(AE$2,行为概览!$D$3:$M$33,10,0)*IF(玩法行为规划!AD79&gt;0,1,0))</f>
        <v/>
      </c>
      <c r="AF79" s="7">
        <f>IF(VLOOKUP(AF$2,行为概览!$D$3:$M$33,10,0)="","",VLOOKUP(AF$2,行为概览!$D$3:$M$33,10,0)*IF(玩法行为规划!AE79&gt;0,1,0))</f>
        <v>20</v>
      </c>
      <c r="AG79" s="7">
        <f t="shared" si="7"/>
        <v>80</v>
      </c>
      <c r="AH79" s="7">
        <f t="shared" si="8"/>
        <v>6160</v>
      </c>
      <c r="AI79" s="7">
        <v>0</v>
      </c>
      <c r="AJ79" s="21" t="str">
        <f t="shared" si="10"/>
        <v/>
      </c>
      <c r="AK79" s="7">
        <f t="shared" si="9"/>
        <v>6160</v>
      </c>
      <c r="AL79" s="7">
        <f>SUM($AK$3:AK79)</f>
        <v>208375</v>
      </c>
    </row>
    <row r="80" spans="1:38">
      <c r="A80" s="32">
        <v>78</v>
      </c>
      <c r="B80" s="87">
        <f>升级节奏!F80</f>
        <v>78</v>
      </c>
      <c r="C80" s="7">
        <f>IF(VLOOKUP(C$2,行为概览!$D$3:$M$33,10,0)="","",VLOOKUP(C$2,行为概览!$D$3:$M$33,10,0)*IF(玩法行为规划!B80&gt;0,1,0))</f>
        <v>8</v>
      </c>
      <c r="D80" s="7" t="str">
        <f>IF(VLOOKUP(D$2,行为概览!$D$3:$M$33,10,0)="","",VLOOKUP(D$2,行为概览!$D$3:$M$33,10,0)*IF(玩法行为规划!C80&gt;0,1,0))</f>
        <v/>
      </c>
      <c r="E80" s="7" t="str">
        <f>IF(VLOOKUP(E$2,行为概览!$D$3:$M$33,10,0)="","",VLOOKUP(E$2,行为概览!$D$3:$M$33,10,0)*IF(玩法行为规划!D80&gt;0,1,0))</f>
        <v/>
      </c>
      <c r="F80" s="7">
        <f>IF(VLOOKUP(F$2,行为概览!$D$3:$M$33,10,0)="","",VLOOKUP(F$2,行为概览!$D$3:$M$33,10,0)*IF(玩法行为规划!E80&gt;0,1,0))</f>
        <v>10</v>
      </c>
      <c r="G80" s="7" t="str">
        <f>IF(VLOOKUP(G$2,行为概览!$D$3:$M$33,10,0)="","",VLOOKUP(G$2,行为概览!$D$3:$M$33,10,0)*IF(玩法行为规划!F80&gt;0,1,0))</f>
        <v/>
      </c>
      <c r="H80" s="7" t="str">
        <f>IF(VLOOKUP(H$2,行为概览!$D$3:$M$33,10,0)="","",VLOOKUP(H$2,行为概览!$D$3:$M$33,10,0)*IF(玩法行为规划!G80&gt;0,1,0))</f>
        <v/>
      </c>
      <c r="I80" s="7" t="str">
        <f>IF(VLOOKUP(I$2,行为概览!$D$3:$M$33,10,0)="","",VLOOKUP(I$2,行为概览!$D$3:$M$33,10,0)*IF(玩法行为规划!H80&gt;0,1,0))</f>
        <v/>
      </c>
      <c r="J80" s="7" t="str">
        <f>IF(VLOOKUP(J$2,行为概览!$D$3:$M$33,10,0)="","",VLOOKUP(J$2,行为概览!$D$3:$M$33,10,0)*IF(玩法行为规划!I80&gt;0,1,0))</f>
        <v/>
      </c>
      <c r="K80" s="7">
        <f>IF(VLOOKUP(K$2,行为概览!$D$3:$M$33,10,0)="","",VLOOKUP(K$2,行为概览!$D$3:$M$33,10,0)*IF(玩法行为规划!J80&gt;0,1,0))</f>
        <v>10</v>
      </c>
      <c r="L80" s="7">
        <f>IF(VLOOKUP(L$2,行为概览!$D$3:$M$33,10,0)="","",VLOOKUP(L$2,行为概览!$D$3:$M$33,10,0)*IF(玩法行为规划!K80&gt;0,1,0))</f>
        <v>5</v>
      </c>
      <c r="M80" s="7" t="str">
        <f>IF(VLOOKUP(M$2,行为概览!$D$3:$M$33,10,0)="","",VLOOKUP(M$2,行为概览!$D$3:$M$33,10,0)*IF(玩法行为规划!L80&gt;0,1,0))</f>
        <v/>
      </c>
      <c r="N80" s="7" t="str">
        <f>IF(VLOOKUP(N$2,行为概览!$D$3:$M$33,10,0)="","",VLOOKUP(N$2,行为概览!$D$3:$M$33,10,0)*IF(玩法行为规划!M80&gt;0,1,0))</f>
        <v/>
      </c>
      <c r="O80" s="7" t="str">
        <f>IF(VLOOKUP(O$2,行为概览!$D$3:$M$33,10,0)="","",VLOOKUP(O$2,行为概览!$D$3:$M$33,10,0)*IF(玩法行为规划!N80&gt;0,1,0))</f>
        <v/>
      </c>
      <c r="P80" s="7" t="str">
        <f>IF(VLOOKUP(P$2,行为概览!$D$3:$M$33,10,0)="","",VLOOKUP(P$2,行为概览!$D$3:$M$33,10,0)*IF(玩法行为规划!O80&gt;0,1,0))</f>
        <v/>
      </c>
      <c r="Q80" s="7">
        <f>IF(VLOOKUP(Q$2,行为概览!$D$3:$M$33,10,0)="","",VLOOKUP(Q$2,行为概览!$D$3:$M$33,10,0)*IF(玩法行为规划!P80&gt;0,1,0))</f>
        <v>10</v>
      </c>
      <c r="R80" s="7" t="str">
        <f>IF(VLOOKUP(R$2,行为概览!$D$3:$M$33,10,0)="","",VLOOKUP(R$2,行为概览!$D$3:$M$33,10,0)*IF(玩法行为规划!Q80&gt;0,1,0))</f>
        <v/>
      </c>
      <c r="S80" s="7">
        <f>IF(VLOOKUP(S$2,行为概览!$D$3:$M$33,10,0)="","",VLOOKUP(S$2,行为概览!$D$3:$M$33,10,0)*IF(玩法行为规划!R80&gt;0,1,0))</f>
        <v>3</v>
      </c>
      <c r="T80" s="7" t="str">
        <f>IF(VLOOKUP(T$2,行为概览!$D$3:$M$33,10,0)="","",VLOOKUP(T$2,行为概览!$D$3:$M$33,10,0)*IF(玩法行为规划!S80&gt;0,1,0))</f>
        <v/>
      </c>
      <c r="U80" s="7" t="str">
        <f>IF(VLOOKUP(U$2,行为概览!$D$3:$M$33,10,0)="","",VLOOKUP(U$2,行为概览!$D$3:$M$33,10,0)*IF(玩法行为规划!T80&gt;0,1,0))</f>
        <v/>
      </c>
      <c r="V80" s="7">
        <f>IF(VLOOKUP(V$2,行为概览!$D$3:$M$33,10,0)="","",VLOOKUP(V$2,行为概览!$D$3:$M$33,10,0)*IF(玩法行为规划!U80&gt;0,1,0))</f>
        <v>4</v>
      </c>
      <c r="W80" s="7" t="str">
        <f>IF(VLOOKUP(W$2,行为概览!$D$3:$M$33,10,0)="","",VLOOKUP(W$2,行为概览!$D$3:$M$33,10,0)*IF(玩法行为规划!V80&gt;0,1,0))</f>
        <v/>
      </c>
      <c r="X80" s="7" t="str">
        <f>IF(VLOOKUP(X$2,行为概览!$D$3:$M$33,10,0)="","",VLOOKUP(X$2,行为概览!$D$3:$M$33,10,0)*IF(玩法行为规划!W80&gt;0,1,0))</f>
        <v/>
      </c>
      <c r="Y80" s="7" t="str">
        <f>IF(VLOOKUP(Y$2,行为概览!$D$3:$M$33,10,0)="","",VLOOKUP(Y$2,行为概览!$D$3:$M$33,10,0)*IF(玩法行为规划!X80&gt;0,1,0))</f>
        <v/>
      </c>
      <c r="Z80" s="7">
        <f>IF(VLOOKUP(Z$2,行为概览!$D$3:$M$33,10,0)="","",VLOOKUP(Z$2,行为概览!$D$3:$M$33,10,0)*IF(玩法行为规划!Y80&gt;0,1,0))</f>
        <v>10</v>
      </c>
      <c r="AA80" s="7" t="str">
        <f>IF(VLOOKUP(AA$2,行为概览!$D$3:$M$33,10,0)="","",VLOOKUP(AA$2,行为概览!$D$3:$M$33,10,0)*IF(玩法行为规划!Z80&gt;0,1,0))</f>
        <v/>
      </c>
      <c r="AB80" s="7" t="str">
        <f>IF(VLOOKUP(AB$2,行为概览!$D$3:$M$33,10,0)="","",VLOOKUP(AB$2,行为概览!$D$3:$M$33,10,0)*IF(玩法行为规划!AA80&gt;0,1,0))</f>
        <v/>
      </c>
      <c r="AC80" s="7" t="str">
        <f>IF(VLOOKUP(AC$2,行为概览!$D$3:$M$33,10,0)="","",VLOOKUP(AC$2,行为概览!$D$3:$M$33,10,0)*IF(玩法行为规划!AB80&gt;0,1,0))</f>
        <v/>
      </c>
      <c r="AD80" s="7" t="str">
        <f>IF(VLOOKUP(AD$2,行为概览!$D$3:$M$33,10,0)="","",VLOOKUP(AD$2,行为概览!$D$3:$M$33,10,0)*IF(玩法行为规划!AC80&gt;0,1,0))</f>
        <v/>
      </c>
      <c r="AE80" s="7" t="str">
        <f>IF(VLOOKUP(AE$2,行为概览!$D$3:$M$33,10,0)="","",VLOOKUP(AE$2,行为概览!$D$3:$M$33,10,0)*IF(玩法行为规划!AD80&gt;0,1,0))</f>
        <v/>
      </c>
      <c r="AF80" s="7">
        <f>IF(VLOOKUP(AF$2,行为概览!$D$3:$M$33,10,0)="","",VLOOKUP(AF$2,行为概览!$D$3:$M$33,10,0)*IF(玩法行为规划!AE80&gt;0,1,0))</f>
        <v>20</v>
      </c>
      <c r="AG80" s="7">
        <f t="shared" si="7"/>
        <v>80</v>
      </c>
      <c r="AH80" s="7">
        <f t="shared" si="8"/>
        <v>6240</v>
      </c>
      <c r="AI80" s="7">
        <v>0</v>
      </c>
      <c r="AJ80" s="21" t="str">
        <f t="shared" si="10"/>
        <v/>
      </c>
      <c r="AK80" s="7">
        <f t="shared" si="9"/>
        <v>6240</v>
      </c>
      <c r="AL80" s="7">
        <f>SUM($AK$3:AK80)</f>
        <v>214615</v>
      </c>
    </row>
    <row r="81" spans="1:38">
      <c r="A81" s="32">
        <v>79</v>
      </c>
      <c r="B81" s="87">
        <f>升级节奏!F81</f>
        <v>79</v>
      </c>
      <c r="C81" s="7">
        <f>IF(VLOOKUP(C$2,行为概览!$D$3:$M$33,10,0)="","",VLOOKUP(C$2,行为概览!$D$3:$M$33,10,0)*IF(玩法行为规划!B81&gt;0,1,0))</f>
        <v>8</v>
      </c>
      <c r="D81" s="7" t="str">
        <f>IF(VLOOKUP(D$2,行为概览!$D$3:$M$33,10,0)="","",VLOOKUP(D$2,行为概览!$D$3:$M$33,10,0)*IF(玩法行为规划!C81&gt;0,1,0))</f>
        <v/>
      </c>
      <c r="E81" s="7" t="str">
        <f>IF(VLOOKUP(E$2,行为概览!$D$3:$M$33,10,0)="","",VLOOKUP(E$2,行为概览!$D$3:$M$33,10,0)*IF(玩法行为规划!D81&gt;0,1,0))</f>
        <v/>
      </c>
      <c r="F81" s="7">
        <f>IF(VLOOKUP(F$2,行为概览!$D$3:$M$33,10,0)="","",VLOOKUP(F$2,行为概览!$D$3:$M$33,10,0)*IF(玩法行为规划!E81&gt;0,1,0))</f>
        <v>10</v>
      </c>
      <c r="G81" s="7" t="str">
        <f>IF(VLOOKUP(G$2,行为概览!$D$3:$M$33,10,0)="","",VLOOKUP(G$2,行为概览!$D$3:$M$33,10,0)*IF(玩法行为规划!F81&gt;0,1,0))</f>
        <v/>
      </c>
      <c r="H81" s="7" t="str">
        <f>IF(VLOOKUP(H$2,行为概览!$D$3:$M$33,10,0)="","",VLOOKUP(H$2,行为概览!$D$3:$M$33,10,0)*IF(玩法行为规划!G81&gt;0,1,0))</f>
        <v/>
      </c>
      <c r="I81" s="7" t="str">
        <f>IF(VLOOKUP(I$2,行为概览!$D$3:$M$33,10,0)="","",VLOOKUP(I$2,行为概览!$D$3:$M$33,10,0)*IF(玩法行为规划!H81&gt;0,1,0))</f>
        <v/>
      </c>
      <c r="J81" s="7" t="str">
        <f>IF(VLOOKUP(J$2,行为概览!$D$3:$M$33,10,0)="","",VLOOKUP(J$2,行为概览!$D$3:$M$33,10,0)*IF(玩法行为规划!I81&gt;0,1,0))</f>
        <v/>
      </c>
      <c r="K81" s="7">
        <f>IF(VLOOKUP(K$2,行为概览!$D$3:$M$33,10,0)="","",VLOOKUP(K$2,行为概览!$D$3:$M$33,10,0)*IF(玩法行为规划!J81&gt;0,1,0))</f>
        <v>10</v>
      </c>
      <c r="L81" s="7">
        <f>IF(VLOOKUP(L$2,行为概览!$D$3:$M$33,10,0)="","",VLOOKUP(L$2,行为概览!$D$3:$M$33,10,0)*IF(玩法行为规划!K81&gt;0,1,0))</f>
        <v>5</v>
      </c>
      <c r="M81" s="7" t="str">
        <f>IF(VLOOKUP(M$2,行为概览!$D$3:$M$33,10,0)="","",VLOOKUP(M$2,行为概览!$D$3:$M$33,10,0)*IF(玩法行为规划!L81&gt;0,1,0))</f>
        <v/>
      </c>
      <c r="N81" s="7" t="str">
        <f>IF(VLOOKUP(N$2,行为概览!$D$3:$M$33,10,0)="","",VLOOKUP(N$2,行为概览!$D$3:$M$33,10,0)*IF(玩法行为规划!M81&gt;0,1,0))</f>
        <v/>
      </c>
      <c r="O81" s="7" t="str">
        <f>IF(VLOOKUP(O$2,行为概览!$D$3:$M$33,10,0)="","",VLOOKUP(O$2,行为概览!$D$3:$M$33,10,0)*IF(玩法行为规划!N81&gt;0,1,0))</f>
        <v/>
      </c>
      <c r="P81" s="7" t="str">
        <f>IF(VLOOKUP(P$2,行为概览!$D$3:$M$33,10,0)="","",VLOOKUP(P$2,行为概览!$D$3:$M$33,10,0)*IF(玩法行为规划!O81&gt;0,1,0))</f>
        <v/>
      </c>
      <c r="Q81" s="7">
        <f>IF(VLOOKUP(Q$2,行为概览!$D$3:$M$33,10,0)="","",VLOOKUP(Q$2,行为概览!$D$3:$M$33,10,0)*IF(玩法行为规划!P81&gt;0,1,0))</f>
        <v>10</v>
      </c>
      <c r="R81" s="7" t="str">
        <f>IF(VLOOKUP(R$2,行为概览!$D$3:$M$33,10,0)="","",VLOOKUP(R$2,行为概览!$D$3:$M$33,10,0)*IF(玩法行为规划!Q81&gt;0,1,0))</f>
        <v/>
      </c>
      <c r="S81" s="7">
        <f>IF(VLOOKUP(S$2,行为概览!$D$3:$M$33,10,0)="","",VLOOKUP(S$2,行为概览!$D$3:$M$33,10,0)*IF(玩法行为规划!R81&gt;0,1,0))</f>
        <v>3</v>
      </c>
      <c r="T81" s="7" t="str">
        <f>IF(VLOOKUP(T$2,行为概览!$D$3:$M$33,10,0)="","",VLOOKUP(T$2,行为概览!$D$3:$M$33,10,0)*IF(玩法行为规划!S81&gt;0,1,0))</f>
        <v/>
      </c>
      <c r="U81" s="7" t="str">
        <f>IF(VLOOKUP(U$2,行为概览!$D$3:$M$33,10,0)="","",VLOOKUP(U$2,行为概览!$D$3:$M$33,10,0)*IF(玩法行为规划!T81&gt;0,1,0))</f>
        <v/>
      </c>
      <c r="V81" s="7">
        <f>IF(VLOOKUP(V$2,行为概览!$D$3:$M$33,10,0)="","",VLOOKUP(V$2,行为概览!$D$3:$M$33,10,0)*IF(玩法行为规划!U81&gt;0,1,0))</f>
        <v>4</v>
      </c>
      <c r="W81" s="7" t="str">
        <f>IF(VLOOKUP(W$2,行为概览!$D$3:$M$33,10,0)="","",VLOOKUP(W$2,行为概览!$D$3:$M$33,10,0)*IF(玩法行为规划!V81&gt;0,1,0))</f>
        <v/>
      </c>
      <c r="X81" s="7" t="str">
        <f>IF(VLOOKUP(X$2,行为概览!$D$3:$M$33,10,0)="","",VLOOKUP(X$2,行为概览!$D$3:$M$33,10,0)*IF(玩法行为规划!W81&gt;0,1,0))</f>
        <v/>
      </c>
      <c r="Y81" s="7" t="str">
        <f>IF(VLOOKUP(Y$2,行为概览!$D$3:$M$33,10,0)="","",VLOOKUP(Y$2,行为概览!$D$3:$M$33,10,0)*IF(玩法行为规划!X81&gt;0,1,0))</f>
        <v/>
      </c>
      <c r="Z81" s="7">
        <f>IF(VLOOKUP(Z$2,行为概览!$D$3:$M$33,10,0)="","",VLOOKUP(Z$2,行为概览!$D$3:$M$33,10,0)*IF(玩法行为规划!Y81&gt;0,1,0))</f>
        <v>10</v>
      </c>
      <c r="AA81" s="7" t="str">
        <f>IF(VLOOKUP(AA$2,行为概览!$D$3:$M$33,10,0)="","",VLOOKUP(AA$2,行为概览!$D$3:$M$33,10,0)*IF(玩法行为规划!Z81&gt;0,1,0))</f>
        <v/>
      </c>
      <c r="AB81" s="7" t="str">
        <f>IF(VLOOKUP(AB$2,行为概览!$D$3:$M$33,10,0)="","",VLOOKUP(AB$2,行为概览!$D$3:$M$33,10,0)*IF(玩法行为规划!AA81&gt;0,1,0))</f>
        <v/>
      </c>
      <c r="AC81" s="7" t="str">
        <f>IF(VLOOKUP(AC$2,行为概览!$D$3:$M$33,10,0)="","",VLOOKUP(AC$2,行为概览!$D$3:$M$33,10,0)*IF(玩法行为规划!AB81&gt;0,1,0))</f>
        <v/>
      </c>
      <c r="AD81" s="7" t="str">
        <f>IF(VLOOKUP(AD$2,行为概览!$D$3:$M$33,10,0)="","",VLOOKUP(AD$2,行为概览!$D$3:$M$33,10,0)*IF(玩法行为规划!AC81&gt;0,1,0))</f>
        <v/>
      </c>
      <c r="AE81" s="7" t="str">
        <f>IF(VLOOKUP(AE$2,行为概览!$D$3:$M$33,10,0)="","",VLOOKUP(AE$2,行为概览!$D$3:$M$33,10,0)*IF(玩法行为规划!AD81&gt;0,1,0))</f>
        <v/>
      </c>
      <c r="AF81" s="7">
        <f>IF(VLOOKUP(AF$2,行为概览!$D$3:$M$33,10,0)="","",VLOOKUP(AF$2,行为概览!$D$3:$M$33,10,0)*IF(玩法行为规划!AE81&gt;0,1,0))</f>
        <v>20</v>
      </c>
      <c r="AG81" s="7">
        <f t="shared" si="7"/>
        <v>80</v>
      </c>
      <c r="AH81" s="7">
        <f t="shared" si="8"/>
        <v>6320</v>
      </c>
      <c r="AI81" s="7">
        <v>0</v>
      </c>
      <c r="AJ81" s="21" t="str">
        <f t="shared" si="10"/>
        <v/>
      </c>
      <c r="AK81" s="7">
        <f t="shared" si="9"/>
        <v>6320</v>
      </c>
      <c r="AL81" s="7">
        <f>SUM($AK$3:AK81)</f>
        <v>220935</v>
      </c>
    </row>
    <row r="82" spans="1:38">
      <c r="A82" s="32">
        <v>80</v>
      </c>
      <c r="B82" s="87">
        <f>升级节奏!F82</f>
        <v>80</v>
      </c>
      <c r="C82" s="7">
        <f>IF(VLOOKUP(C$2,行为概览!$D$3:$M$33,10,0)="","",VLOOKUP(C$2,行为概览!$D$3:$M$33,10,0)*IF(玩法行为规划!B82&gt;0,1,0))</f>
        <v>8</v>
      </c>
      <c r="D82" s="7" t="str">
        <f>IF(VLOOKUP(D$2,行为概览!$D$3:$M$33,10,0)="","",VLOOKUP(D$2,行为概览!$D$3:$M$33,10,0)*IF(玩法行为规划!C82&gt;0,1,0))</f>
        <v/>
      </c>
      <c r="E82" s="7" t="str">
        <f>IF(VLOOKUP(E$2,行为概览!$D$3:$M$33,10,0)="","",VLOOKUP(E$2,行为概览!$D$3:$M$33,10,0)*IF(玩法行为规划!D82&gt;0,1,0))</f>
        <v/>
      </c>
      <c r="F82" s="7">
        <f>IF(VLOOKUP(F$2,行为概览!$D$3:$M$33,10,0)="","",VLOOKUP(F$2,行为概览!$D$3:$M$33,10,0)*IF(玩法行为规划!E82&gt;0,1,0))</f>
        <v>10</v>
      </c>
      <c r="G82" s="7" t="str">
        <f>IF(VLOOKUP(G$2,行为概览!$D$3:$M$33,10,0)="","",VLOOKUP(G$2,行为概览!$D$3:$M$33,10,0)*IF(玩法行为规划!F82&gt;0,1,0))</f>
        <v/>
      </c>
      <c r="H82" s="7" t="str">
        <f>IF(VLOOKUP(H$2,行为概览!$D$3:$M$33,10,0)="","",VLOOKUP(H$2,行为概览!$D$3:$M$33,10,0)*IF(玩法行为规划!G82&gt;0,1,0))</f>
        <v/>
      </c>
      <c r="I82" s="7" t="str">
        <f>IF(VLOOKUP(I$2,行为概览!$D$3:$M$33,10,0)="","",VLOOKUP(I$2,行为概览!$D$3:$M$33,10,0)*IF(玩法行为规划!H82&gt;0,1,0))</f>
        <v/>
      </c>
      <c r="J82" s="7" t="str">
        <f>IF(VLOOKUP(J$2,行为概览!$D$3:$M$33,10,0)="","",VLOOKUP(J$2,行为概览!$D$3:$M$33,10,0)*IF(玩法行为规划!I82&gt;0,1,0))</f>
        <v/>
      </c>
      <c r="K82" s="7">
        <f>IF(VLOOKUP(K$2,行为概览!$D$3:$M$33,10,0)="","",VLOOKUP(K$2,行为概览!$D$3:$M$33,10,0)*IF(玩法行为规划!J82&gt;0,1,0))</f>
        <v>10</v>
      </c>
      <c r="L82" s="7">
        <f>IF(VLOOKUP(L$2,行为概览!$D$3:$M$33,10,0)="","",VLOOKUP(L$2,行为概览!$D$3:$M$33,10,0)*IF(玩法行为规划!K82&gt;0,1,0))</f>
        <v>5</v>
      </c>
      <c r="M82" s="7" t="str">
        <f>IF(VLOOKUP(M$2,行为概览!$D$3:$M$33,10,0)="","",VLOOKUP(M$2,行为概览!$D$3:$M$33,10,0)*IF(玩法行为规划!L82&gt;0,1,0))</f>
        <v/>
      </c>
      <c r="N82" s="7" t="str">
        <f>IF(VLOOKUP(N$2,行为概览!$D$3:$M$33,10,0)="","",VLOOKUP(N$2,行为概览!$D$3:$M$33,10,0)*IF(玩法行为规划!M82&gt;0,1,0))</f>
        <v/>
      </c>
      <c r="O82" s="7" t="str">
        <f>IF(VLOOKUP(O$2,行为概览!$D$3:$M$33,10,0)="","",VLOOKUP(O$2,行为概览!$D$3:$M$33,10,0)*IF(玩法行为规划!N82&gt;0,1,0))</f>
        <v/>
      </c>
      <c r="P82" s="7" t="str">
        <f>IF(VLOOKUP(P$2,行为概览!$D$3:$M$33,10,0)="","",VLOOKUP(P$2,行为概览!$D$3:$M$33,10,0)*IF(玩法行为规划!O82&gt;0,1,0))</f>
        <v/>
      </c>
      <c r="Q82" s="7">
        <f>IF(VLOOKUP(Q$2,行为概览!$D$3:$M$33,10,0)="","",VLOOKUP(Q$2,行为概览!$D$3:$M$33,10,0)*IF(玩法行为规划!P82&gt;0,1,0))</f>
        <v>10</v>
      </c>
      <c r="R82" s="7" t="str">
        <f>IF(VLOOKUP(R$2,行为概览!$D$3:$M$33,10,0)="","",VLOOKUP(R$2,行为概览!$D$3:$M$33,10,0)*IF(玩法行为规划!Q82&gt;0,1,0))</f>
        <v/>
      </c>
      <c r="S82" s="7">
        <f>IF(VLOOKUP(S$2,行为概览!$D$3:$M$33,10,0)="","",VLOOKUP(S$2,行为概览!$D$3:$M$33,10,0)*IF(玩法行为规划!R82&gt;0,1,0))</f>
        <v>3</v>
      </c>
      <c r="T82" s="7" t="str">
        <f>IF(VLOOKUP(T$2,行为概览!$D$3:$M$33,10,0)="","",VLOOKUP(T$2,行为概览!$D$3:$M$33,10,0)*IF(玩法行为规划!S82&gt;0,1,0))</f>
        <v/>
      </c>
      <c r="U82" s="7" t="str">
        <f>IF(VLOOKUP(U$2,行为概览!$D$3:$M$33,10,0)="","",VLOOKUP(U$2,行为概览!$D$3:$M$33,10,0)*IF(玩法行为规划!T82&gt;0,1,0))</f>
        <v/>
      </c>
      <c r="V82" s="7">
        <f>IF(VLOOKUP(V$2,行为概览!$D$3:$M$33,10,0)="","",VLOOKUP(V$2,行为概览!$D$3:$M$33,10,0)*IF(玩法行为规划!U82&gt;0,1,0))</f>
        <v>4</v>
      </c>
      <c r="W82" s="7" t="str">
        <f>IF(VLOOKUP(W$2,行为概览!$D$3:$M$33,10,0)="","",VLOOKUP(W$2,行为概览!$D$3:$M$33,10,0)*IF(玩法行为规划!V82&gt;0,1,0))</f>
        <v/>
      </c>
      <c r="X82" s="7" t="str">
        <f>IF(VLOOKUP(X$2,行为概览!$D$3:$M$33,10,0)="","",VLOOKUP(X$2,行为概览!$D$3:$M$33,10,0)*IF(玩法行为规划!W82&gt;0,1,0))</f>
        <v/>
      </c>
      <c r="Y82" s="7" t="str">
        <f>IF(VLOOKUP(Y$2,行为概览!$D$3:$M$33,10,0)="","",VLOOKUP(Y$2,行为概览!$D$3:$M$33,10,0)*IF(玩法行为规划!X82&gt;0,1,0))</f>
        <v/>
      </c>
      <c r="Z82" s="7">
        <f>IF(VLOOKUP(Z$2,行为概览!$D$3:$M$33,10,0)="","",VLOOKUP(Z$2,行为概览!$D$3:$M$33,10,0)*IF(玩法行为规划!Y82&gt;0,1,0))</f>
        <v>10</v>
      </c>
      <c r="AA82" s="7" t="str">
        <f>IF(VLOOKUP(AA$2,行为概览!$D$3:$M$33,10,0)="","",VLOOKUP(AA$2,行为概览!$D$3:$M$33,10,0)*IF(玩法行为规划!Z82&gt;0,1,0))</f>
        <v/>
      </c>
      <c r="AB82" s="7" t="str">
        <f>IF(VLOOKUP(AB$2,行为概览!$D$3:$M$33,10,0)="","",VLOOKUP(AB$2,行为概览!$D$3:$M$33,10,0)*IF(玩法行为规划!AA82&gt;0,1,0))</f>
        <v/>
      </c>
      <c r="AC82" s="7" t="str">
        <f>IF(VLOOKUP(AC$2,行为概览!$D$3:$M$33,10,0)="","",VLOOKUP(AC$2,行为概览!$D$3:$M$33,10,0)*IF(玩法行为规划!AB82&gt;0,1,0))</f>
        <v/>
      </c>
      <c r="AD82" s="7" t="str">
        <f>IF(VLOOKUP(AD$2,行为概览!$D$3:$M$33,10,0)="","",VLOOKUP(AD$2,行为概览!$D$3:$M$33,10,0)*IF(玩法行为规划!AC82&gt;0,1,0))</f>
        <v/>
      </c>
      <c r="AE82" s="7" t="str">
        <f>IF(VLOOKUP(AE$2,行为概览!$D$3:$M$33,10,0)="","",VLOOKUP(AE$2,行为概览!$D$3:$M$33,10,0)*IF(玩法行为规划!AD82&gt;0,1,0))</f>
        <v/>
      </c>
      <c r="AF82" s="7">
        <f>IF(VLOOKUP(AF$2,行为概览!$D$3:$M$33,10,0)="","",VLOOKUP(AF$2,行为概览!$D$3:$M$33,10,0)*IF(玩法行为规划!AE82&gt;0,1,0))</f>
        <v>20</v>
      </c>
      <c r="AG82" s="7">
        <f t="shared" si="7"/>
        <v>80</v>
      </c>
      <c r="AH82" s="7">
        <f t="shared" si="8"/>
        <v>6400</v>
      </c>
      <c r="AI82" s="7">
        <v>0</v>
      </c>
      <c r="AJ82" s="21">
        <f t="shared" si="10"/>
        <v>0</v>
      </c>
      <c r="AK82" s="7">
        <f t="shared" si="9"/>
        <v>6400</v>
      </c>
      <c r="AL82" s="7">
        <f>SUM($AK$3:AK82)</f>
        <v>227335</v>
      </c>
    </row>
    <row r="83" spans="1:38">
      <c r="A83" s="32">
        <v>81</v>
      </c>
      <c r="B83" s="87">
        <f>升级节奏!F83</f>
        <v>81</v>
      </c>
      <c r="C83" s="7">
        <f>IF(VLOOKUP(C$2,行为概览!$D$3:$M$33,10,0)="","",VLOOKUP(C$2,行为概览!$D$3:$M$33,10,0)*IF(玩法行为规划!B83&gt;0,1,0))</f>
        <v>8</v>
      </c>
      <c r="D83" s="7" t="str">
        <f>IF(VLOOKUP(D$2,行为概览!$D$3:$M$33,10,0)="","",VLOOKUP(D$2,行为概览!$D$3:$M$33,10,0)*IF(玩法行为规划!C83&gt;0,1,0))</f>
        <v/>
      </c>
      <c r="E83" s="7" t="str">
        <f>IF(VLOOKUP(E$2,行为概览!$D$3:$M$33,10,0)="","",VLOOKUP(E$2,行为概览!$D$3:$M$33,10,0)*IF(玩法行为规划!D83&gt;0,1,0))</f>
        <v/>
      </c>
      <c r="F83" s="7">
        <f>IF(VLOOKUP(F$2,行为概览!$D$3:$M$33,10,0)="","",VLOOKUP(F$2,行为概览!$D$3:$M$33,10,0)*IF(玩法行为规划!E83&gt;0,1,0))</f>
        <v>10</v>
      </c>
      <c r="G83" s="7" t="str">
        <f>IF(VLOOKUP(G$2,行为概览!$D$3:$M$33,10,0)="","",VLOOKUP(G$2,行为概览!$D$3:$M$33,10,0)*IF(玩法行为规划!F83&gt;0,1,0))</f>
        <v/>
      </c>
      <c r="H83" s="7" t="str">
        <f>IF(VLOOKUP(H$2,行为概览!$D$3:$M$33,10,0)="","",VLOOKUP(H$2,行为概览!$D$3:$M$33,10,0)*IF(玩法行为规划!G83&gt;0,1,0))</f>
        <v/>
      </c>
      <c r="I83" s="7" t="str">
        <f>IF(VLOOKUP(I$2,行为概览!$D$3:$M$33,10,0)="","",VLOOKUP(I$2,行为概览!$D$3:$M$33,10,0)*IF(玩法行为规划!H83&gt;0,1,0))</f>
        <v/>
      </c>
      <c r="J83" s="7" t="str">
        <f>IF(VLOOKUP(J$2,行为概览!$D$3:$M$33,10,0)="","",VLOOKUP(J$2,行为概览!$D$3:$M$33,10,0)*IF(玩法行为规划!I83&gt;0,1,0))</f>
        <v/>
      </c>
      <c r="K83" s="7">
        <f>IF(VLOOKUP(K$2,行为概览!$D$3:$M$33,10,0)="","",VLOOKUP(K$2,行为概览!$D$3:$M$33,10,0)*IF(玩法行为规划!J83&gt;0,1,0))</f>
        <v>10</v>
      </c>
      <c r="L83" s="7">
        <f>IF(VLOOKUP(L$2,行为概览!$D$3:$M$33,10,0)="","",VLOOKUP(L$2,行为概览!$D$3:$M$33,10,0)*IF(玩法行为规划!K83&gt;0,1,0))</f>
        <v>5</v>
      </c>
      <c r="M83" s="7" t="str">
        <f>IF(VLOOKUP(M$2,行为概览!$D$3:$M$33,10,0)="","",VLOOKUP(M$2,行为概览!$D$3:$M$33,10,0)*IF(玩法行为规划!L83&gt;0,1,0))</f>
        <v/>
      </c>
      <c r="N83" s="7" t="str">
        <f>IF(VLOOKUP(N$2,行为概览!$D$3:$M$33,10,0)="","",VLOOKUP(N$2,行为概览!$D$3:$M$33,10,0)*IF(玩法行为规划!M83&gt;0,1,0))</f>
        <v/>
      </c>
      <c r="O83" s="7" t="str">
        <f>IF(VLOOKUP(O$2,行为概览!$D$3:$M$33,10,0)="","",VLOOKUP(O$2,行为概览!$D$3:$M$33,10,0)*IF(玩法行为规划!N83&gt;0,1,0))</f>
        <v/>
      </c>
      <c r="P83" s="7" t="str">
        <f>IF(VLOOKUP(P$2,行为概览!$D$3:$M$33,10,0)="","",VLOOKUP(P$2,行为概览!$D$3:$M$33,10,0)*IF(玩法行为规划!O83&gt;0,1,0))</f>
        <v/>
      </c>
      <c r="Q83" s="7">
        <f>IF(VLOOKUP(Q$2,行为概览!$D$3:$M$33,10,0)="","",VLOOKUP(Q$2,行为概览!$D$3:$M$33,10,0)*IF(玩法行为规划!P83&gt;0,1,0))</f>
        <v>10</v>
      </c>
      <c r="R83" s="7" t="str">
        <f>IF(VLOOKUP(R$2,行为概览!$D$3:$M$33,10,0)="","",VLOOKUP(R$2,行为概览!$D$3:$M$33,10,0)*IF(玩法行为规划!Q83&gt;0,1,0))</f>
        <v/>
      </c>
      <c r="S83" s="7">
        <f>IF(VLOOKUP(S$2,行为概览!$D$3:$M$33,10,0)="","",VLOOKUP(S$2,行为概览!$D$3:$M$33,10,0)*IF(玩法行为规划!R83&gt;0,1,0))</f>
        <v>3</v>
      </c>
      <c r="T83" s="7" t="str">
        <f>IF(VLOOKUP(T$2,行为概览!$D$3:$M$33,10,0)="","",VLOOKUP(T$2,行为概览!$D$3:$M$33,10,0)*IF(玩法行为规划!S83&gt;0,1,0))</f>
        <v/>
      </c>
      <c r="U83" s="7" t="str">
        <f>IF(VLOOKUP(U$2,行为概览!$D$3:$M$33,10,0)="","",VLOOKUP(U$2,行为概览!$D$3:$M$33,10,0)*IF(玩法行为规划!T83&gt;0,1,0))</f>
        <v/>
      </c>
      <c r="V83" s="7">
        <f>IF(VLOOKUP(V$2,行为概览!$D$3:$M$33,10,0)="","",VLOOKUP(V$2,行为概览!$D$3:$M$33,10,0)*IF(玩法行为规划!U83&gt;0,1,0))</f>
        <v>4</v>
      </c>
      <c r="W83" s="7" t="str">
        <f>IF(VLOOKUP(W$2,行为概览!$D$3:$M$33,10,0)="","",VLOOKUP(W$2,行为概览!$D$3:$M$33,10,0)*IF(玩法行为规划!V83&gt;0,1,0))</f>
        <v/>
      </c>
      <c r="X83" s="7" t="str">
        <f>IF(VLOOKUP(X$2,行为概览!$D$3:$M$33,10,0)="","",VLOOKUP(X$2,行为概览!$D$3:$M$33,10,0)*IF(玩法行为规划!W83&gt;0,1,0))</f>
        <v/>
      </c>
      <c r="Y83" s="7" t="str">
        <f>IF(VLOOKUP(Y$2,行为概览!$D$3:$M$33,10,0)="","",VLOOKUP(Y$2,行为概览!$D$3:$M$33,10,0)*IF(玩法行为规划!X83&gt;0,1,0))</f>
        <v/>
      </c>
      <c r="Z83" s="7">
        <f>IF(VLOOKUP(Z$2,行为概览!$D$3:$M$33,10,0)="","",VLOOKUP(Z$2,行为概览!$D$3:$M$33,10,0)*IF(玩法行为规划!Y83&gt;0,1,0))</f>
        <v>10</v>
      </c>
      <c r="AA83" s="7" t="str">
        <f>IF(VLOOKUP(AA$2,行为概览!$D$3:$M$33,10,0)="","",VLOOKUP(AA$2,行为概览!$D$3:$M$33,10,0)*IF(玩法行为规划!Z83&gt;0,1,0))</f>
        <v/>
      </c>
      <c r="AB83" s="7" t="str">
        <f>IF(VLOOKUP(AB$2,行为概览!$D$3:$M$33,10,0)="","",VLOOKUP(AB$2,行为概览!$D$3:$M$33,10,0)*IF(玩法行为规划!AA83&gt;0,1,0))</f>
        <v/>
      </c>
      <c r="AC83" s="7" t="str">
        <f>IF(VLOOKUP(AC$2,行为概览!$D$3:$M$33,10,0)="","",VLOOKUP(AC$2,行为概览!$D$3:$M$33,10,0)*IF(玩法行为规划!AB83&gt;0,1,0))</f>
        <v/>
      </c>
      <c r="AD83" s="7" t="str">
        <f>IF(VLOOKUP(AD$2,行为概览!$D$3:$M$33,10,0)="","",VLOOKUP(AD$2,行为概览!$D$3:$M$33,10,0)*IF(玩法行为规划!AC83&gt;0,1,0))</f>
        <v/>
      </c>
      <c r="AE83" s="7" t="str">
        <f>IF(VLOOKUP(AE$2,行为概览!$D$3:$M$33,10,0)="","",VLOOKUP(AE$2,行为概览!$D$3:$M$33,10,0)*IF(玩法行为规划!AD83&gt;0,1,0))</f>
        <v/>
      </c>
      <c r="AF83" s="7">
        <f>IF(VLOOKUP(AF$2,行为概览!$D$3:$M$33,10,0)="","",VLOOKUP(AF$2,行为概览!$D$3:$M$33,10,0)*IF(玩法行为规划!AE83&gt;0,1,0))</f>
        <v>20</v>
      </c>
      <c r="AG83" s="7">
        <f t="shared" si="7"/>
        <v>80</v>
      </c>
      <c r="AH83" s="7">
        <f t="shared" si="8"/>
        <v>6480</v>
      </c>
      <c r="AI83" s="7">
        <v>0</v>
      </c>
      <c r="AJ83" s="21" t="str">
        <f t="shared" si="10"/>
        <v/>
      </c>
      <c r="AK83" s="7">
        <f t="shared" si="9"/>
        <v>6480</v>
      </c>
      <c r="AL83" s="7">
        <f>SUM($AK$3:AK83)</f>
        <v>233815</v>
      </c>
    </row>
    <row r="84" spans="1:38">
      <c r="A84" s="32">
        <v>82</v>
      </c>
      <c r="B84" s="87">
        <f>升级节奏!F84</f>
        <v>82</v>
      </c>
      <c r="C84" s="7">
        <f>IF(VLOOKUP(C$2,行为概览!$D$3:$M$33,10,0)="","",VLOOKUP(C$2,行为概览!$D$3:$M$33,10,0)*IF(玩法行为规划!B84&gt;0,1,0))</f>
        <v>8</v>
      </c>
      <c r="D84" s="7" t="str">
        <f>IF(VLOOKUP(D$2,行为概览!$D$3:$M$33,10,0)="","",VLOOKUP(D$2,行为概览!$D$3:$M$33,10,0)*IF(玩法行为规划!C84&gt;0,1,0))</f>
        <v/>
      </c>
      <c r="E84" s="7" t="str">
        <f>IF(VLOOKUP(E$2,行为概览!$D$3:$M$33,10,0)="","",VLOOKUP(E$2,行为概览!$D$3:$M$33,10,0)*IF(玩法行为规划!D84&gt;0,1,0))</f>
        <v/>
      </c>
      <c r="F84" s="7">
        <f>IF(VLOOKUP(F$2,行为概览!$D$3:$M$33,10,0)="","",VLOOKUP(F$2,行为概览!$D$3:$M$33,10,0)*IF(玩法行为规划!E84&gt;0,1,0))</f>
        <v>10</v>
      </c>
      <c r="G84" s="7" t="str">
        <f>IF(VLOOKUP(G$2,行为概览!$D$3:$M$33,10,0)="","",VLOOKUP(G$2,行为概览!$D$3:$M$33,10,0)*IF(玩法行为规划!F84&gt;0,1,0))</f>
        <v/>
      </c>
      <c r="H84" s="7" t="str">
        <f>IF(VLOOKUP(H$2,行为概览!$D$3:$M$33,10,0)="","",VLOOKUP(H$2,行为概览!$D$3:$M$33,10,0)*IF(玩法行为规划!G84&gt;0,1,0))</f>
        <v/>
      </c>
      <c r="I84" s="7" t="str">
        <f>IF(VLOOKUP(I$2,行为概览!$D$3:$M$33,10,0)="","",VLOOKUP(I$2,行为概览!$D$3:$M$33,10,0)*IF(玩法行为规划!H84&gt;0,1,0))</f>
        <v/>
      </c>
      <c r="J84" s="7" t="str">
        <f>IF(VLOOKUP(J$2,行为概览!$D$3:$M$33,10,0)="","",VLOOKUP(J$2,行为概览!$D$3:$M$33,10,0)*IF(玩法行为规划!I84&gt;0,1,0))</f>
        <v/>
      </c>
      <c r="K84" s="7">
        <f>IF(VLOOKUP(K$2,行为概览!$D$3:$M$33,10,0)="","",VLOOKUP(K$2,行为概览!$D$3:$M$33,10,0)*IF(玩法行为规划!J84&gt;0,1,0))</f>
        <v>10</v>
      </c>
      <c r="L84" s="7">
        <f>IF(VLOOKUP(L$2,行为概览!$D$3:$M$33,10,0)="","",VLOOKUP(L$2,行为概览!$D$3:$M$33,10,0)*IF(玩法行为规划!K84&gt;0,1,0))</f>
        <v>5</v>
      </c>
      <c r="M84" s="7" t="str">
        <f>IF(VLOOKUP(M$2,行为概览!$D$3:$M$33,10,0)="","",VLOOKUP(M$2,行为概览!$D$3:$M$33,10,0)*IF(玩法行为规划!L84&gt;0,1,0))</f>
        <v/>
      </c>
      <c r="N84" s="7" t="str">
        <f>IF(VLOOKUP(N$2,行为概览!$D$3:$M$33,10,0)="","",VLOOKUP(N$2,行为概览!$D$3:$M$33,10,0)*IF(玩法行为规划!M84&gt;0,1,0))</f>
        <v/>
      </c>
      <c r="O84" s="7" t="str">
        <f>IF(VLOOKUP(O$2,行为概览!$D$3:$M$33,10,0)="","",VLOOKUP(O$2,行为概览!$D$3:$M$33,10,0)*IF(玩法行为规划!N84&gt;0,1,0))</f>
        <v/>
      </c>
      <c r="P84" s="7" t="str">
        <f>IF(VLOOKUP(P$2,行为概览!$D$3:$M$33,10,0)="","",VLOOKUP(P$2,行为概览!$D$3:$M$33,10,0)*IF(玩法行为规划!O84&gt;0,1,0))</f>
        <v/>
      </c>
      <c r="Q84" s="7">
        <f>IF(VLOOKUP(Q$2,行为概览!$D$3:$M$33,10,0)="","",VLOOKUP(Q$2,行为概览!$D$3:$M$33,10,0)*IF(玩法行为规划!P84&gt;0,1,0))</f>
        <v>10</v>
      </c>
      <c r="R84" s="7" t="str">
        <f>IF(VLOOKUP(R$2,行为概览!$D$3:$M$33,10,0)="","",VLOOKUP(R$2,行为概览!$D$3:$M$33,10,0)*IF(玩法行为规划!Q84&gt;0,1,0))</f>
        <v/>
      </c>
      <c r="S84" s="7">
        <f>IF(VLOOKUP(S$2,行为概览!$D$3:$M$33,10,0)="","",VLOOKUP(S$2,行为概览!$D$3:$M$33,10,0)*IF(玩法行为规划!R84&gt;0,1,0))</f>
        <v>3</v>
      </c>
      <c r="T84" s="7" t="str">
        <f>IF(VLOOKUP(T$2,行为概览!$D$3:$M$33,10,0)="","",VLOOKUP(T$2,行为概览!$D$3:$M$33,10,0)*IF(玩法行为规划!S84&gt;0,1,0))</f>
        <v/>
      </c>
      <c r="U84" s="7" t="str">
        <f>IF(VLOOKUP(U$2,行为概览!$D$3:$M$33,10,0)="","",VLOOKUP(U$2,行为概览!$D$3:$M$33,10,0)*IF(玩法行为规划!T84&gt;0,1,0))</f>
        <v/>
      </c>
      <c r="V84" s="7">
        <f>IF(VLOOKUP(V$2,行为概览!$D$3:$M$33,10,0)="","",VLOOKUP(V$2,行为概览!$D$3:$M$33,10,0)*IF(玩法行为规划!U84&gt;0,1,0))</f>
        <v>4</v>
      </c>
      <c r="W84" s="7" t="str">
        <f>IF(VLOOKUP(W$2,行为概览!$D$3:$M$33,10,0)="","",VLOOKUP(W$2,行为概览!$D$3:$M$33,10,0)*IF(玩法行为规划!V84&gt;0,1,0))</f>
        <v/>
      </c>
      <c r="X84" s="7" t="str">
        <f>IF(VLOOKUP(X$2,行为概览!$D$3:$M$33,10,0)="","",VLOOKUP(X$2,行为概览!$D$3:$M$33,10,0)*IF(玩法行为规划!W84&gt;0,1,0))</f>
        <v/>
      </c>
      <c r="Y84" s="7" t="str">
        <f>IF(VLOOKUP(Y$2,行为概览!$D$3:$M$33,10,0)="","",VLOOKUP(Y$2,行为概览!$D$3:$M$33,10,0)*IF(玩法行为规划!X84&gt;0,1,0))</f>
        <v/>
      </c>
      <c r="Z84" s="7">
        <f>IF(VLOOKUP(Z$2,行为概览!$D$3:$M$33,10,0)="","",VLOOKUP(Z$2,行为概览!$D$3:$M$33,10,0)*IF(玩法行为规划!Y84&gt;0,1,0))</f>
        <v>10</v>
      </c>
      <c r="AA84" s="7" t="str">
        <f>IF(VLOOKUP(AA$2,行为概览!$D$3:$M$33,10,0)="","",VLOOKUP(AA$2,行为概览!$D$3:$M$33,10,0)*IF(玩法行为规划!Z84&gt;0,1,0))</f>
        <v/>
      </c>
      <c r="AB84" s="7" t="str">
        <f>IF(VLOOKUP(AB$2,行为概览!$D$3:$M$33,10,0)="","",VLOOKUP(AB$2,行为概览!$D$3:$M$33,10,0)*IF(玩法行为规划!AA84&gt;0,1,0))</f>
        <v/>
      </c>
      <c r="AC84" s="7" t="str">
        <f>IF(VLOOKUP(AC$2,行为概览!$D$3:$M$33,10,0)="","",VLOOKUP(AC$2,行为概览!$D$3:$M$33,10,0)*IF(玩法行为规划!AB84&gt;0,1,0))</f>
        <v/>
      </c>
      <c r="AD84" s="7" t="str">
        <f>IF(VLOOKUP(AD$2,行为概览!$D$3:$M$33,10,0)="","",VLOOKUP(AD$2,行为概览!$D$3:$M$33,10,0)*IF(玩法行为规划!AC84&gt;0,1,0))</f>
        <v/>
      </c>
      <c r="AE84" s="7" t="str">
        <f>IF(VLOOKUP(AE$2,行为概览!$D$3:$M$33,10,0)="","",VLOOKUP(AE$2,行为概览!$D$3:$M$33,10,0)*IF(玩法行为规划!AD84&gt;0,1,0))</f>
        <v/>
      </c>
      <c r="AF84" s="7">
        <f>IF(VLOOKUP(AF$2,行为概览!$D$3:$M$33,10,0)="","",VLOOKUP(AF$2,行为概览!$D$3:$M$33,10,0)*IF(玩法行为规划!AE84&gt;0,1,0))</f>
        <v>20</v>
      </c>
      <c r="AG84" s="7">
        <f t="shared" si="7"/>
        <v>80</v>
      </c>
      <c r="AH84" s="7">
        <f t="shared" si="8"/>
        <v>6560</v>
      </c>
      <c r="AI84" s="7">
        <v>0</v>
      </c>
      <c r="AJ84" s="21" t="str">
        <f t="shared" si="10"/>
        <v/>
      </c>
      <c r="AK84" s="7">
        <f t="shared" si="9"/>
        <v>6560</v>
      </c>
      <c r="AL84" s="7">
        <f>SUM($AK$3:AK84)</f>
        <v>240375</v>
      </c>
    </row>
    <row r="85" spans="1:38">
      <c r="A85" s="32">
        <v>83</v>
      </c>
      <c r="B85" s="87">
        <f>升级节奏!F85</f>
        <v>83</v>
      </c>
      <c r="C85" s="7">
        <f>IF(VLOOKUP(C$2,行为概览!$D$3:$M$33,10,0)="","",VLOOKUP(C$2,行为概览!$D$3:$M$33,10,0)*IF(玩法行为规划!B85&gt;0,1,0))</f>
        <v>8</v>
      </c>
      <c r="D85" s="7" t="str">
        <f>IF(VLOOKUP(D$2,行为概览!$D$3:$M$33,10,0)="","",VLOOKUP(D$2,行为概览!$D$3:$M$33,10,0)*IF(玩法行为规划!C85&gt;0,1,0))</f>
        <v/>
      </c>
      <c r="E85" s="7" t="str">
        <f>IF(VLOOKUP(E$2,行为概览!$D$3:$M$33,10,0)="","",VLOOKUP(E$2,行为概览!$D$3:$M$33,10,0)*IF(玩法行为规划!D85&gt;0,1,0))</f>
        <v/>
      </c>
      <c r="F85" s="7">
        <f>IF(VLOOKUP(F$2,行为概览!$D$3:$M$33,10,0)="","",VLOOKUP(F$2,行为概览!$D$3:$M$33,10,0)*IF(玩法行为规划!E85&gt;0,1,0))</f>
        <v>10</v>
      </c>
      <c r="G85" s="7" t="str">
        <f>IF(VLOOKUP(G$2,行为概览!$D$3:$M$33,10,0)="","",VLOOKUP(G$2,行为概览!$D$3:$M$33,10,0)*IF(玩法行为规划!F85&gt;0,1,0))</f>
        <v/>
      </c>
      <c r="H85" s="7" t="str">
        <f>IF(VLOOKUP(H$2,行为概览!$D$3:$M$33,10,0)="","",VLOOKUP(H$2,行为概览!$D$3:$M$33,10,0)*IF(玩法行为规划!G85&gt;0,1,0))</f>
        <v/>
      </c>
      <c r="I85" s="7" t="str">
        <f>IF(VLOOKUP(I$2,行为概览!$D$3:$M$33,10,0)="","",VLOOKUP(I$2,行为概览!$D$3:$M$33,10,0)*IF(玩法行为规划!H85&gt;0,1,0))</f>
        <v/>
      </c>
      <c r="J85" s="7" t="str">
        <f>IF(VLOOKUP(J$2,行为概览!$D$3:$M$33,10,0)="","",VLOOKUP(J$2,行为概览!$D$3:$M$33,10,0)*IF(玩法行为规划!I85&gt;0,1,0))</f>
        <v/>
      </c>
      <c r="K85" s="7">
        <f>IF(VLOOKUP(K$2,行为概览!$D$3:$M$33,10,0)="","",VLOOKUP(K$2,行为概览!$D$3:$M$33,10,0)*IF(玩法行为规划!J85&gt;0,1,0))</f>
        <v>10</v>
      </c>
      <c r="L85" s="7">
        <f>IF(VLOOKUP(L$2,行为概览!$D$3:$M$33,10,0)="","",VLOOKUP(L$2,行为概览!$D$3:$M$33,10,0)*IF(玩法行为规划!K85&gt;0,1,0))</f>
        <v>5</v>
      </c>
      <c r="M85" s="7" t="str">
        <f>IF(VLOOKUP(M$2,行为概览!$D$3:$M$33,10,0)="","",VLOOKUP(M$2,行为概览!$D$3:$M$33,10,0)*IF(玩法行为规划!L85&gt;0,1,0))</f>
        <v/>
      </c>
      <c r="N85" s="7" t="str">
        <f>IF(VLOOKUP(N$2,行为概览!$D$3:$M$33,10,0)="","",VLOOKUP(N$2,行为概览!$D$3:$M$33,10,0)*IF(玩法行为规划!M85&gt;0,1,0))</f>
        <v/>
      </c>
      <c r="O85" s="7" t="str">
        <f>IF(VLOOKUP(O$2,行为概览!$D$3:$M$33,10,0)="","",VLOOKUP(O$2,行为概览!$D$3:$M$33,10,0)*IF(玩法行为规划!N85&gt;0,1,0))</f>
        <v/>
      </c>
      <c r="P85" s="7" t="str">
        <f>IF(VLOOKUP(P$2,行为概览!$D$3:$M$33,10,0)="","",VLOOKUP(P$2,行为概览!$D$3:$M$33,10,0)*IF(玩法行为规划!O85&gt;0,1,0))</f>
        <v/>
      </c>
      <c r="Q85" s="7">
        <f>IF(VLOOKUP(Q$2,行为概览!$D$3:$M$33,10,0)="","",VLOOKUP(Q$2,行为概览!$D$3:$M$33,10,0)*IF(玩法行为规划!P85&gt;0,1,0))</f>
        <v>10</v>
      </c>
      <c r="R85" s="7" t="str">
        <f>IF(VLOOKUP(R$2,行为概览!$D$3:$M$33,10,0)="","",VLOOKUP(R$2,行为概览!$D$3:$M$33,10,0)*IF(玩法行为规划!Q85&gt;0,1,0))</f>
        <v/>
      </c>
      <c r="S85" s="7">
        <f>IF(VLOOKUP(S$2,行为概览!$D$3:$M$33,10,0)="","",VLOOKUP(S$2,行为概览!$D$3:$M$33,10,0)*IF(玩法行为规划!R85&gt;0,1,0))</f>
        <v>3</v>
      </c>
      <c r="T85" s="7" t="str">
        <f>IF(VLOOKUP(T$2,行为概览!$D$3:$M$33,10,0)="","",VLOOKUP(T$2,行为概览!$D$3:$M$33,10,0)*IF(玩法行为规划!S85&gt;0,1,0))</f>
        <v/>
      </c>
      <c r="U85" s="7" t="str">
        <f>IF(VLOOKUP(U$2,行为概览!$D$3:$M$33,10,0)="","",VLOOKUP(U$2,行为概览!$D$3:$M$33,10,0)*IF(玩法行为规划!T85&gt;0,1,0))</f>
        <v/>
      </c>
      <c r="V85" s="7">
        <f>IF(VLOOKUP(V$2,行为概览!$D$3:$M$33,10,0)="","",VLOOKUP(V$2,行为概览!$D$3:$M$33,10,0)*IF(玩法行为规划!U85&gt;0,1,0))</f>
        <v>4</v>
      </c>
      <c r="W85" s="7" t="str">
        <f>IF(VLOOKUP(W$2,行为概览!$D$3:$M$33,10,0)="","",VLOOKUP(W$2,行为概览!$D$3:$M$33,10,0)*IF(玩法行为规划!V85&gt;0,1,0))</f>
        <v/>
      </c>
      <c r="X85" s="7" t="str">
        <f>IF(VLOOKUP(X$2,行为概览!$D$3:$M$33,10,0)="","",VLOOKUP(X$2,行为概览!$D$3:$M$33,10,0)*IF(玩法行为规划!W85&gt;0,1,0))</f>
        <v/>
      </c>
      <c r="Y85" s="7" t="str">
        <f>IF(VLOOKUP(Y$2,行为概览!$D$3:$M$33,10,0)="","",VLOOKUP(Y$2,行为概览!$D$3:$M$33,10,0)*IF(玩法行为规划!X85&gt;0,1,0))</f>
        <v/>
      </c>
      <c r="Z85" s="7">
        <f>IF(VLOOKUP(Z$2,行为概览!$D$3:$M$33,10,0)="","",VLOOKUP(Z$2,行为概览!$D$3:$M$33,10,0)*IF(玩法行为规划!Y85&gt;0,1,0))</f>
        <v>10</v>
      </c>
      <c r="AA85" s="7" t="str">
        <f>IF(VLOOKUP(AA$2,行为概览!$D$3:$M$33,10,0)="","",VLOOKUP(AA$2,行为概览!$D$3:$M$33,10,0)*IF(玩法行为规划!Z85&gt;0,1,0))</f>
        <v/>
      </c>
      <c r="AB85" s="7" t="str">
        <f>IF(VLOOKUP(AB$2,行为概览!$D$3:$M$33,10,0)="","",VLOOKUP(AB$2,行为概览!$D$3:$M$33,10,0)*IF(玩法行为规划!AA85&gt;0,1,0))</f>
        <v/>
      </c>
      <c r="AC85" s="7" t="str">
        <f>IF(VLOOKUP(AC$2,行为概览!$D$3:$M$33,10,0)="","",VLOOKUP(AC$2,行为概览!$D$3:$M$33,10,0)*IF(玩法行为规划!AB85&gt;0,1,0))</f>
        <v/>
      </c>
      <c r="AD85" s="7" t="str">
        <f>IF(VLOOKUP(AD$2,行为概览!$D$3:$M$33,10,0)="","",VLOOKUP(AD$2,行为概览!$D$3:$M$33,10,0)*IF(玩法行为规划!AC85&gt;0,1,0))</f>
        <v/>
      </c>
      <c r="AE85" s="7" t="str">
        <f>IF(VLOOKUP(AE$2,行为概览!$D$3:$M$33,10,0)="","",VLOOKUP(AE$2,行为概览!$D$3:$M$33,10,0)*IF(玩法行为规划!AD85&gt;0,1,0))</f>
        <v/>
      </c>
      <c r="AF85" s="7">
        <f>IF(VLOOKUP(AF$2,行为概览!$D$3:$M$33,10,0)="","",VLOOKUP(AF$2,行为概览!$D$3:$M$33,10,0)*IF(玩法行为规划!AE85&gt;0,1,0))</f>
        <v>20</v>
      </c>
      <c r="AG85" s="7">
        <f t="shared" si="7"/>
        <v>80</v>
      </c>
      <c r="AH85" s="7">
        <f t="shared" si="8"/>
        <v>6640</v>
      </c>
      <c r="AI85" s="7">
        <v>0</v>
      </c>
      <c r="AJ85" s="21" t="str">
        <f t="shared" si="10"/>
        <v/>
      </c>
      <c r="AK85" s="7">
        <f t="shared" si="9"/>
        <v>6640</v>
      </c>
      <c r="AL85" s="7">
        <f>SUM($AK$3:AK85)</f>
        <v>247015</v>
      </c>
    </row>
    <row r="86" spans="1:38">
      <c r="A86" s="32">
        <v>84</v>
      </c>
      <c r="B86" s="87">
        <f>升级节奏!F86</f>
        <v>84</v>
      </c>
      <c r="C86" s="7">
        <f>IF(VLOOKUP(C$2,行为概览!$D$3:$M$33,10,0)="","",VLOOKUP(C$2,行为概览!$D$3:$M$33,10,0)*IF(玩法行为规划!B86&gt;0,1,0))</f>
        <v>8</v>
      </c>
      <c r="D86" s="7" t="str">
        <f>IF(VLOOKUP(D$2,行为概览!$D$3:$M$33,10,0)="","",VLOOKUP(D$2,行为概览!$D$3:$M$33,10,0)*IF(玩法行为规划!C86&gt;0,1,0))</f>
        <v/>
      </c>
      <c r="E86" s="7" t="str">
        <f>IF(VLOOKUP(E$2,行为概览!$D$3:$M$33,10,0)="","",VLOOKUP(E$2,行为概览!$D$3:$M$33,10,0)*IF(玩法行为规划!D86&gt;0,1,0))</f>
        <v/>
      </c>
      <c r="F86" s="7">
        <f>IF(VLOOKUP(F$2,行为概览!$D$3:$M$33,10,0)="","",VLOOKUP(F$2,行为概览!$D$3:$M$33,10,0)*IF(玩法行为规划!E86&gt;0,1,0))</f>
        <v>10</v>
      </c>
      <c r="G86" s="7" t="str">
        <f>IF(VLOOKUP(G$2,行为概览!$D$3:$M$33,10,0)="","",VLOOKUP(G$2,行为概览!$D$3:$M$33,10,0)*IF(玩法行为规划!F86&gt;0,1,0))</f>
        <v/>
      </c>
      <c r="H86" s="7" t="str">
        <f>IF(VLOOKUP(H$2,行为概览!$D$3:$M$33,10,0)="","",VLOOKUP(H$2,行为概览!$D$3:$M$33,10,0)*IF(玩法行为规划!G86&gt;0,1,0))</f>
        <v/>
      </c>
      <c r="I86" s="7" t="str">
        <f>IF(VLOOKUP(I$2,行为概览!$D$3:$M$33,10,0)="","",VLOOKUP(I$2,行为概览!$D$3:$M$33,10,0)*IF(玩法行为规划!H86&gt;0,1,0))</f>
        <v/>
      </c>
      <c r="J86" s="7" t="str">
        <f>IF(VLOOKUP(J$2,行为概览!$D$3:$M$33,10,0)="","",VLOOKUP(J$2,行为概览!$D$3:$M$33,10,0)*IF(玩法行为规划!I86&gt;0,1,0))</f>
        <v/>
      </c>
      <c r="K86" s="7">
        <f>IF(VLOOKUP(K$2,行为概览!$D$3:$M$33,10,0)="","",VLOOKUP(K$2,行为概览!$D$3:$M$33,10,0)*IF(玩法行为规划!J86&gt;0,1,0))</f>
        <v>10</v>
      </c>
      <c r="L86" s="7">
        <f>IF(VLOOKUP(L$2,行为概览!$D$3:$M$33,10,0)="","",VLOOKUP(L$2,行为概览!$D$3:$M$33,10,0)*IF(玩法行为规划!K86&gt;0,1,0))</f>
        <v>5</v>
      </c>
      <c r="M86" s="7" t="str">
        <f>IF(VLOOKUP(M$2,行为概览!$D$3:$M$33,10,0)="","",VLOOKUP(M$2,行为概览!$D$3:$M$33,10,0)*IF(玩法行为规划!L86&gt;0,1,0))</f>
        <v/>
      </c>
      <c r="N86" s="7" t="str">
        <f>IF(VLOOKUP(N$2,行为概览!$D$3:$M$33,10,0)="","",VLOOKUP(N$2,行为概览!$D$3:$M$33,10,0)*IF(玩法行为规划!M86&gt;0,1,0))</f>
        <v/>
      </c>
      <c r="O86" s="7" t="str">
        <f>IF(VLOOKUP(O$2,行为概览!$D$3:$M$33,10,0)="","",VLOOKUP(O$2,行为概览!$D$3:$M$33,10,0)*IF(玩法行为规划!N86&gt;0,1,0))</f>
        <v/>
      </c>
      <c r="P86" s="7" t="str">
        <f>IF(VLOOKUP(P$2,行为概览!$D$3:$M$33,10,0)="","",VLOOKUP(P$2,行为概览!$D$3:$M$33,10,0)*IF(玩法行为规划!O86&gt;0,1,0))</f>
        <v/>
      </c>
      <c r="Q86" s="7">
        <f>IF(VLOOKUP(Q$2,行为概览!$D$3:$M$33,10,0)="","",VLOOKUP(Q$2,行为概览!$D$3:$M$33,10,0)*IF(玩法行为规划!P86&gt;0,1,0))</f>
        <v>10</v>
      </c>
      <c r="R86" s="7" t="str">
        <f>IF(VLOOKUP(R$2,行为概览!$D$3:$M$33,10,0)="","",VLOOKUP(R$2,行为概览!$D$3:$M$33,10,0)*IF(玩法行为规划!Q86&gt;0,1,0))</f>
        <v/>
      </c>
      <c r="S86" s="7">
        <f>IF(VLOOKUP(S$2,行为概览!$D$3:$M$33,10,0)="","",VLOOKUP(S$2,行为概览!$D$3:$M$33,10,0)*IF(玩法行为规划!R86&gt;0,1,0))</f>
        <v>3</v>
      </c>
      <c r="T86" s="7" t="str">
        <f>IF(VLOOKUP(T$2,行为概览!$D$3:$M$33,10,0)="","",VLOOKUP(T$2,行为概览!$D$3:$M$33,10,0)*IF(玩法行为规划!S86&gt;0,1,0))</f>
        <v/>
      </c>
      <c r="U86" s="7" t="str">
        <f>IF(VLOOKUP(U$2,行为概览!$D$3:$M$33,10,0)="","",VLOOKUP(U$2,行为概览!$D$3:$M$33,10,0)*IF(玩法行为规划!T86&gt;0,1,0))</f>
        <v/>
      </c>
      <c r="V86" s="7">
        <f>IF(VLOOKUP(V$2,行为概览!$D$3:$M$33,10,0)="","",VLOOKUP(V$2,行为概览!$D$3:$M$33,10,0)*IF(玩法行为规划!U86&gt;0,1,0))</f>
        <v>4</v>
      </c>
      <c r="W86" s="7" t="str">
        <f>IF(VLOOKUP(W$2,行为概览!$D$3:$M$33,10,0)="","",VLOOKUP(W$2,行为概览!$D$3:$M$33,10,0)*IF(玩法行为规划!V86&gt;0,1,0))</f>
        <v/>
      </c>
      <c r="X86" s="7" t="str">
        <f>IF(VLOOKUP(X$2,行为概览!$D$3:$M$33,10,0)="","",VLOOKUP(X$2,行为概览!$D$3:$M$33,10,0)*IF(玩法行为规划!W86&gt;0,1,0))</f>
        <v/>
      </c>
      <c r="Y86" s="7" t="str">
        <f>IF(VLOOKUP(Y$2,行为概览!$D$3:$M$33,10,0)="","",VLOOKUP(Y$2,行为概览!$D$3:$M$33,10,0)*IF(玩法行为规划!X86&gt;0,1,0))</f>
        <v/>
      </c>
      <c r="Z86" s="7">
        <f>IF(VLOOKUP(Z$2,行为概览!$D$3:$M$33,10,0)="","",VLOOKUP(Z$2,行为概览!$D$3:$M$33,10,0)*IF(玩法行为规划!Y86&gt;0,1,0))</f>
        <v>10</v>
      </c>
      <c r="AA86" s="7" t="str">
        <f>IF(VLOOKUP(AA$2,行为概览!$D$3:$M$33,10,0)="","",VLOOKUP(AA$2,行为概览!$D$3:$M$33,10,0)*IF(玩法行为规划!Z86&gt;0,1,0))</f>
        <v/>
      </c>
      <c r="AB86" s="7" t="str">
        <f>IF(VLOOKUP(AB$2,行为概览!$D$3:$M$33,10,0)="","",VLOOKUP(AB$2,行为概览!$D$3:$M$33,10,0)*IF(玩法行为规划!AA86&gt;0,1,0))</f>
        <v/>
      </c>
      <c r="AC86" s="7" t="str">
        <f>IF(VLOOKUP(AC$2,行为概览!$D$3:$M$33,10,0)="","",VLOOKUP(AC$2,行为概览!$D$3:$M$33,10,0)*IF(玩法行为规划!AB86&gt;0,1,0))</f>
        <v/>
      </c>
      <c r="AD86" s="7" t="str">
        <f>IF(VLOOKUP(AD$2,行为概览!$D$3:$M$33,10,0)="","",VLOOKUP(AD$2,行为概览!$D$3:$M$33,10,0)*IF(玩法行为规划!AC86&gt;0,1,0))</f>
        <v/>
      </c>
      <c r="AE86" s="7" t="str">
        <f>IF(VLOOKUP(AE$2,行为概览!$D$3:$M$33,10,0)="","",VLOOKUP(AE$2,行为概览!$D$3:$M$33,10,0)*IF(玩法行为规划!AD86&gt;0,1,0))</f>
        <v/>
      </c>
      <c r="AF86" s="7">
        <f>IF(VLOOKUP(AF$2,行为概览!$D$3:$M$33,10,0)="","",VLOOKUP(AF$2,行为概览!$D$3:$M$33,10,0)*IF(玩法行为规划!AE86&gt;0,1,0))</f>
        <v>20</v>
      </c>
      <c r="AG86" s="7">
        <f t="shared" si="7"/>
        <v>80</v>
      </c>
      <c r="AH86" s="7">
        <f t="shared" si="8"/>
        <v>6720</v>
      </c>
      <c r="AI86" s="7">
        <v>0</v>
      </c>
      <c r="AJ86" s="21" t="str">
        <f t="shared" si="10"/>
        <v/>
      </c>
      <c r="AK86" s="7">
        <f t="shared" si="9"/>
        <v>6720</v>
      </c>
      <c r="AL86" s="7">
        <f>SUM($AK$3:AK86)</f>
        <v>253735</v>
      </c>
    </row>
    <row r="87" spans="1:38">
      <c r="A87" s="32">
        <v>85</v>
      </c>
      <c r="B87" s="87">
        <f>升级节奏!F87</f>
        <v>85</v>
      </c>
      <c r="C87" s="7">
        <f>IF(VLOOKUP(C$2,行为概览!$D$3:$M$33,10,0)="","",VLOOKUP(C$2,行为概览!$D$3:$M$33,10,0)*IF(玩法行为规划!B87&gt;0,1,0))</f>
        <v>8</v>
      </c>
      <c r="D87" s="7" t="str">
        <f>IF(VLOOKUP(D$2,行为概览!$D$3:$M$33,10,0)="","",VLOOKUP(D$2,行为概览!$D$3:$M$33,10,0)*IF(玩法行为规划!C87&gt;0,1,0))</f>
        <v/>
      </c>
      <c r="E87" s="7" t="str">
        <f>IF(VLOOKUP(E$2,行为概览!$D$3:$M$33,10,0)="","",VLOOKUP(E$2,行为概览!$D$3:$M$33,10,0)*IF(玩法行为规划!D87&gt;0,1,0))</f>
        <v/>
      </c>
      <c r="F87" s="7">
        <f>IF(VLOOKUP(F$2,行为概览!$D$3:$M$33,10,0)="","",VLOOKUP(F$2,行为概览!$D$3:$M$33,10,0)*IF(玩法行为规划!E87&gt;0,1,0))</f>
        <v>10</v>
      </c>
      <c r="G87" s="7" t="str">
        <f>IF(VLOOKUP(G$2,行为概览!$D$3:$M$33,10,0)="","",VLOOKUP(G$2,行为概览!$D$3:$M$33,10,0)*IF(玩法行为规划!F87&gt;0,1,0))</f>
        <v/>
      </c>
      <c r="H87" s="7" t="str">
        <f>IF(VLOOKUP(H$2,行为概览!$D$3:$M$33,10,0)="","",VLOOKUP(H$2,行为概览!$D$3:$M$33,10,0)*IF(玩法行为规划!G87&gt;0,1,0))</f>
        <v/>
      </c>
      <c r="I87" s="7" t="str">
        <f>IF(VLOOKUP(I$2,行为概览!$D$3:$M$33,10,0)="","",VLOOKUP(I$2,行为概览!$D$3:$M$33,10,0)*IF(玩法行为规划!H87&gt;0,1,0))</f>
        <v/>
      </c>
      <c r="J87" s="7" t="str">
        <f>IF(VLOOKUP(J$2,行为概览!$D$3:$M$33,10,0)="","",VLOOKUP(J$2,行为概览!$D$3:$M$33,10,0)*IF(玩法行为规划!I87&gt;0,1,0))</f>
        <v/>
      </c>
      <c r="K87" s="7">
        <f>IF(VLOOKUP(K$2,行为概览!$D$3:$M$33,10,0)="","",VLOOKUP(K$2,行为概览!$D$3:$M$33,10,0)*IF(玩法行为规划!J87&gt;0,1,0))</f>
        <v>10</v>
      </c>
      <c r="L87" s="7">
        <f>IF(VLOOKUP(L$2,行为概览!$D$3:$M$33,10,0)="","",VLOOKUP(L$2,行为概览!$D$3:$M$33,10,0)*IF(玩法行为规划!K87&gt;0,1,0))</f>
        <v>5</v>
      </c>
      <c r="M87" s="7" t="str">
        <f>IF(VLOOKUP(M$2,行为概览!$D$3:$M$33,10,0)="","",VLOOKUP(M$2,行为概览!$D$3:$M$33,10,0)*IF(玩法行为规划!L87&gt;0,1,0))</f>
        <v/>
      </c>
      <c r="N87" s="7" t="str">
        <f>IF(VLOOKUP(N$2,行为概览!$D$3:$M$33,10,0)="","",VLOOKUP(N$2,行为概览!$D$3:$M$33,10,0)*IF(玩法行为规划!M87&gt;0,1,0))</f>
        <v/>
      </c>
      <c r="O87" s="7" t="str">
        <f>IF(VLOOKUP(O$2,行为概览!$D$3:$M$33,10,0)="","",VLOOKUP(O$2,行为概览!$D$3:$M$33,10,0)*IF(玩法行为规划!N87&gt;0,1,0))</f>
        <v/>
      </c>
      <c r="P87" s="7" t="str">
        <f>IF(VLOOKUP(P$2,行为概览!$D$3:$M$33,10,0)="","",VLOOKUP(P$2,行为概览!$D$3:$M$33,10,0)*IF(玩法行为规划!O87&gt;0,1,0))</f>
        <v/>
      </c>
      <c r="Q87" s="7">
        <f>IF(VLOOKUP(Q$2,行为概览!$D$3:$M$33,10,0)="","",VLOOKUP(Q$2,行为概览!$D$3:$M$33,10,0)*IF(玩法行为规划!P87&gt;0,1,0))</f>
        <v>10</v>
      </c>
      <c r="R87" s="7" t="str">
        <f>IF(VLOOKUP(R$2,行为概览!$D$3:$M$33,10,0)="","",VLOOKUP(R$2,行为概览!$D$3:$M$33,10,0)*IF(玩法行为规划!Q87&gt;0,1,0))</f>
        <v/>
      </c>
      <c r="S87" s="7">
        <f>IF(VLOOKUP(S$2,行为概览!$D$3:$M$33,10,0)="","",VLOOKUP(S$2,行为概览!$D$3:$M$33,10,0)*IF(玩法行为规划!R87&gt;0,1,0))</f>
        <v>3</v>
      </c>
      <c r="T87" s="7" t="str">
        <f>IF(VLOOKUP(T$2,行为概览!$D$3:$M$33,10,0)="","",VLOOKUP(T$2,行为概览!$D$3:$M$33,10,0)*IF(玩法行为规划!S87&gt;0,1,0))</f>
        <v/>
      </c>
      <c r="U87" s="7" t="str">
        <f>IF(VLOOKUP(U$2,行为概览!$D$3:$M$33,10,0)="","",VLOOKUP(U$2,行为概览!$D$3:$M$33,10,0)*IF(玩法行为规划!T87&gt;0,1,0))</f>
        <v/>
      </c>
      <c r="V87" s="7">
        <f>IF(VLOOKUP(V$2,行为概览!$D$3:$M$33,10,0)="","",VLOOKUP(V$2,行为概览!$D$3:$M$33,10,0)*IF(玩法行为规划!U87&gt;0,1,0))</f>
        <v>4</v>
      </c>
      <c r="W87" s="7" t="str">
        <f>IF(VLOOKUP(W$2,行为概览!$D$3:$M$33,10,0)="","",VLOOKUP(W$2,行为概览!$D$3:$M$33,10,0)*IF(玩法行为规划!V87&gt;0,1,0))</f>
        <v/>
      </c>
      <c r="X87" s="7" t="str">
        <f>IF(VLOOKUP(X$2,行为概览!$D$3:$M$33,10,0)="","",VLOOKUP(X$2,行为概览!$D$3:$M$33,10,0)*IF(玩法行为规划!W87&gt;0,1,0))</f>
        <v/>
      </c>
      <c r="Y87" s="7" t="str">
        <f>IF(VLOOKUP(Y$2,行为概览!$D$3:$M$33,10,0)="","",VLOOKUP(Y$2,行为概览!$D$3:$M$33,10,0)*IF(玩法行为规划!X87&gt;0,1,0))</f>
        <v/>
      </c>
      <c r="Z87" s="7">
        <f>IF(VLOOKUP(Z$2,行为概览!$D$3:$M$33,10,0)="","",VLOOKUP(Z$2,行为概览!$D$3:$M$33,10,0)*IF(玩法行为规划!Y87&gt;0,1,0))</f>
        <v>10</v>
      </c>
      <c r="AA87" s="7" t="str">
        <f>IF(VLOOKUP(AA$2,行为概览!$D$3:$M$33,10,0)="","",VLOOKUP(AA$2,行为概览!$D$3:$M$33,10,0)*IF(玩法行为规划!Z87&gt;0,1,0))</f>
        <v/>
      </c>
      <c r="AB87" s="7" t="str">
        <f>IF(VLOOKUP(AB$2,行为概览!$D$3:$M$33,10,0)="","",VLOOKUP(AB$2,行为概览!$D$3:$M$33,10,0)*IF(玩法行为规划!AA87&gt;0,1,0))</f>
        <v/>
      </c>
      <c r="AC87" s="7" t="str">
        <f>IF(VLOOKUP(AC$2,行为概览!$D$3:$M$33,10,0)="","",VLOOKUP(AC$2,行为概览!$D$3:$M$33,10,0)*IF(玩法行为规划!AB87&gt;0,1,0))</f>
        <v/>
      </c>
      <c r="AD87" s="7" t="str">
        <f>IF(VLOOKUP(AD$2,行为概览!$D$3:$M$33,10,0)="","",VLOOKUP(AD$2,行为概览!$D$3:$M$33,10,0)*IF(玩法行为规划!AC87&gt;0,1,0))</f>
        <v/>
      </c>
      <c r="AE87" s="7" t="str">
        <f>IF(VLOOKUP(AE$2,行为概览!$D$3:$M$33,10,0)="","",VLOOKUP(AE$2,行为概览!$D$3:$M$33,10,0)*IF(玩法行为规划!AD87&gt;0,1,0))</f>
        <v/>
      </c>
      <c r="AF87" s="7">
        <f>IF(VLOOKUP(AF$2,行为概览!$D$3:$M$33,10,0)="","",VLOOKUP(AF$2,行为概览!$D$3:$M$33,10,0)*IF(玩法行为规划!AE87&gt;0,1,0))</f>
        <v>20</v>
      </c>
      <c r="AG87" s="7">
        <f t="shared" si="7"/>
        <v>80</v>
      </c>
      <c r="AH87" s="7">
        <f t="shared" si="8"/>
        <v>6800</v>
      </c>
      <c r="AI87" s="7">
        <v>0</v>
      </c>
      <c r="AJ87" s="21" t="str">
        <f t="shared" si="10"/>
        <v/>
      </c>
      <c r="AK87" s="7">
        <f t="shared" si="9"/>
        <v>6800</v>
      </c>
      <c r="AL87" s="7">
        <f>SUM($AK$3:AK87)</f>
        <v>260535</v>
      </c>
    </row>
    <row r="88" spans="1:38">
      <c r="A88" s="32">
        <v>86</v>
      </c>
      <c r="B88" s="87">
        <f>升级节奏!F88</f>
        <v>86</v>
      </c>
      <c r="C88" s="7">
        <f>IF(VLOOKUP(C$2,行为概览!$D$3:$M$33,10,0)="","",VLOOKUP(C$2,行为概览!$D$3:$M$33,10,0)*IF(玩法行为规划!B88&gt;0,1,0))</f>
        <v>8</v>
      </c>
      <c r="D88" s="7" t="str">
        <f>IF(VLOOKUP(D$2,行为概览!$D$3:$M$33,10,0)="","",VLOOKUP(D$2,行为概览!$D$3:$M$33,10,0)*IF(玩法行为规划!C88&gt;0,1,0))</f>
        <v/>
      </c>
      <c r="E88" s="7" t="str">
        <f>IF(VLOOKUP(E$2,行为概览!$D$3:$M$33,10,0)="","",VLOOKUP(E$2,行为概览!$D$3:$M$33,10,0)*IF(玩法行为规划!D88&gt;0,1,0))</f>
        <v/>
      </c>
      <c r="F88" s="7">
        <f>IF(VLOOKUP(F$2,行为概览!$D$3:$M$33,10,0)="","",VLOOKUP(F$2,行为概览!$D$3:$M$33,10,0)*IF(玩法行为规划!E88&gt;0,1,0))</f>
        <v>10</v>
      </c>
      <c r="G88" s="7" t="str">
        <f>IF(VLOOKUP(G$2,行为概览!$D$3:$M$33,10,0)="","",VLOOKUP(G$2,行为概览!$D$3:$M$33,10,0)*IF(玩法行为规划!F88&gt;0,1,0))</f>
        <v/>
      </c>
      <c r="H88" s="7" t="str">
        <f>IF(VLOOKUP(H$2,行为概览!$D$3:$M$33,10,0)="","",VLOOKUP(H$2,行为概览!$D$3:$M$33,10,0)*IF(玩法行为规划!G88&gt;0,1,0))</f>
        <v/>
      </c>
      <c r="I88" s="7" t="str">
        <f>IF(VLOOKUP(I$2,行为概览!$D$3:$M$33,10,0)="","",VLOOKUP(I$2,行为概览!$D$3:$M$33,10,0)*IF(玩法行为规划!H88&gt;0,1,0))</f>
        <v/>
      </c>
      <c r="J88" s="7" t="str">
        <f>IF(VLOOKUP(J$2,行为概览!$D$3:$M$33,10,0)="","",VLOOKUP(J$2,行为概览!$D$3:$M$33,10,0)*IF(玩法行为规划!I88&gt;0,1,0))</f>
        <v/>
      </c>
      <c r="K88" s="7">
        <f>IF(VLOOKUP(K$2,行为概览!$D$3:$M$33,10,0)="","",VLOOKUP(K$2,行为概览!$D$3:$M$33,10,0)*IF(玩法行为规划!J88&gt;0,1,0))</f>
        <v>10</v>
      </c>
      <c r="L88" s="7">
        <f>IF(VLOOKUP(L$2,行为概览!$D$3:$M$33,10,0)="","",VLOOKUP(L$2,行为概览!$D$3:$M$33,10,0)*IF(玩法行为规划!K88&gt;0,1,0))</f>
        <v>5</v>
      </c>
      <c r="M88" s="7" t="str">
        <f>IF(VLOOKUP(M$2,行为概览!$D$3:$M$33,10,0)="","",VLOOKUP(M$2,行为概览!$D$3:$M$33,10,0)*IF(玩法行为规划!L88&gt;0,1,0))</f>
        <v/>
      </c>
      <c r="N88" s="7" t="str">
        <f>IF(VLOOKUP(N$2,行为概览!$D$3:$M$33,10,0)="","",VLOOKUP(N$2,行为概览!$D$3:$M$33,10,0)*IF(玩法行为规划!M88&gt;0,1,0))</f>
        <v/>
      </c>
      <c r="O88" s="7" t="str">
        <f>IF(VLOOKUP(O$2,行为概览!$D$3:$M$33,10,0)="","",VLOOKUP(O$2,行为概览!$D$3:$M$33,10,0)*IF(玩法行为规划!N88&gt;0,1,0))</f>
        <v/>
      </c>
      <c r="P88" s="7" t="str">
        <f>IF(VLOOKUP(P$2,行为概览!$D$3:$M$33,10,0)="","",VLOOKUP(P$2,行为概览!$D$3:$M$33,10,0)*IF(玩法行为规划!O88&gt;0,1,0))</f>
        <v/>
      </c>
      <c r="Q88" s="7">
        <f>IF(VLOOKUP(Q$2,行为概览!$D$3:$M$33,10,0)="","",VLOOKUP(Q$2,行为概览!$D$3:$M$33,10,0)*IF(玩法行为规划!P88&gt;0,1,0))</f>
        <v>10</v>
      </c>
      <c r="R88" s="7" t="str">
        <f>IF(VLOOKUP(R$2,行为概览!$D$3:$M$33,10,0)="","",VLOOKUP(R$2,行为概览!$D$3:$M$33,10,0)*IF(玩法行为规划!Q88&gt;0,1,0))</f>
        <v/>
      </c>
      <c r="S88" s="7">
        <f>IF(VLOOKUP(S$2,行为概览!$D$3:$M$33,10,0)="","",VLOOKUP(S$2,行为概览!$D$3:$M$33,10,0)*IF(玩法行为规划!R88&gt;0,1,0))</f>
        <v>3</v>
      </c>
      <c r="T88" s="7" t="str">
        <f>IF(VLOOKUP(T$2,行为概览!$D$3:$M$33,10,0)="","",VLOOKUP(T$2,行为概览!$D$3:$M$33,10,0)*IF(玩法行为规划!S88&gt;0,1,0))</f>
        <v/>
      </c>
      <c r="U88" s="7" t="str">
        <f>IF(VLOOKUP(U$2,行为概览!$D$3:$M$33,10,0)="","",VLOOKUP(U$2,行为概览!$D$3:$M$33,10,0)*IF(玩法行为规划!T88&gt;0,1,0))</f>
        <v/>
      </c>
      <c r="V88" s="7">
        <f>IF(VLOOKUP(V$2,行为概览!$D$3:$M$33,10,0)="","",VLOOKUP(V$2,行为概览!$D$3:$M$33,10,0)*IF(玩法行为规划!U88&gt;0,1,0))</f>
        <v>4</v>
      </c>
      <c r="W88" s="7" t="str">
        <f>IF(VLOOKUP(W$2,行为概览!$D$3:$M$33,10,0)="","",VLOOKUP(W$2,行为概览!$D$3:$M$33,10,0)*IF(玩法行为规划!V88&gt;0,1,0))</f>
        <v/>
      </c>
      <c r="X88" s="7" t="str">
        <f>IF(VLOOKUP(X$2,行为概览!$D$3:$M$33,10,0)="","",VLOOKUP(X$2,行为概览!$D$3:$M$33,10,0)*IF(玩法行为规划!W88&gt;0,1,0))</f>
        <v/>
      </c>
      <c r="Y88" s="7" t="str">
        <f>IF(VLOOKUP(Y$2,行为概览!$D$3:$M$33,10,0)="","",VLOOKUP(Y$2,行为概览!$D$3:$M$33,10,0)*IF(玩法行为规划!X88&gt;0,1,0))</f>
        <v/>
      </c>
      <c r="Z88" s="7">
        <f>IF(VLOOKUP(Z$2,行为概览!$D$3:$M$33,10,0)="","",VLOOKUP(Z$2,行为概览!$D$3:$M$33,10,0)*IF(玩法行为规划!Y88&gt;0,1,0))</f>
        <v>10</v>
      </c>
      <c r="AA88" s="7" t="str">
        <f>IF(VLOOKUP(AA$2,行为概览!$D$3:$M$33,10,0)="","",VLOOKUP(AA$2,行为概览!$D$3:$M$33,10,0)*IF(玩法行为规划!Z88&gt;0,1,0))</f>
        <v/>
      </c>
      <c r="AB88" s="7" t="str">
        <f>IF(VLOOKUP(AB$2,行为概览!$D$3:$M$33,10,0)="","",VLOOKUP(AB$2,行为概览!$D$3:$M$33,10,0)*IF(玩法行为规划!AA88&gt;0,1,0))</f>
        <v/>
      </c>
      <c r="AC88" s="7" t="str">
        <f>IF(VLOOKUP(AC$2,行为概览!$D$3:$M$33,10,0)="","",VLOOKUP(AC$2,行为概览!$D$3:$M$33,10,0)*IF(玩法行为规划!AB88&gt;0,1,0))</f>
        <v/>
      </c>
      <c r="AD88" s="7" t="str">
        <f>IF(VLOOKUP(AD$2,行为概览!$D$3:$M$33,10,0)="","",VLOOKUP(AD$2,行为概览!$D$3:$M$33,10,0)*IF(玩法行为规划!AC88&gt;0,1,0))</f>
        <v/>
      </c>
      <c r="AE88" s="7" t="str">
        <f>IF(VLOOKUP(AE$2,行为概览!$D$3:$M$33,10,0)="","",VLOOKUP(AE$2,行为概览!$D$3:$M$33,10,0)*IF(玩法行为规划!AD88&gt;0,1,0))</f>
        <v/>
      </c>
      <c r="AF88" s="7">
        <f>IF(VLOOKUP(AF$2,行为概览!$D$3:$M$33,10,0)="","",VLOOKUP(AF$2,行为概览!$D$3:$M$33,10,0)*IF(玩法行为规划!AE88&gt;0,1,0))</f>
        <v>20</v>
      </c>
      <c r="AG88" s="7">
        <f t="shared" si="7"/>
        <v>80</v>
      </c>
      <c r="AH88" s="7">
        <f t="shared" si="8"/>
        <v>6880</v>
      </c>
      <c r="AI88" s="7">
        <v>0</v>
      </c>
      <c r="AJ88" s="21" t="str">
        <f t="shared" si="10"/>
        <v/>
      </c>
      <c r="AK88" s="7">
        <f t="shared" si="9"/>
        <v>6880</v>
      </c>
      <c r="AL88" s="7">
        <f>SUM($AK$3:AK88)</f>
        <v>267415</v>
      </c>
    </row>
    <row r="89" spans="1:38">
      <c r="A89" s="32">
        <v>87</v>
      </c>
      <c r="B89" s="87">
        <f>升级节奏!F89</f>
        <v>87</v>
      </c>
      <c r="C89" s="7">
        <f>IF(VLOOKUP(C$2,行为概览!$D$3:$M$33,10,0)="","",VLOOKUP(C$2,行为概览!$D$3:$M$33,10,0)*IF(玩法行为规划!B89&gt;0,1,0))</f>
        <v>8</v>
      </c>
      <c r="D89" s="7" t="str">
        <f>IF(VLOOKUP(D$2,行为概览!$D$3:$M$33,10,0)="","",VLOOKUP(D$2,行为概览!$D$3:$M$33,10,0)*IF(玩法行为规划!C89&gt;0,1,0))</f>
        <v/>
      </c>
      <c r="E89" s="7" t="str">
        <f>IF(VLOOKUP(E$2,行为概览!$D$3:$M$33,10,0)="","",VLOOKUP(E$2,行为概览!$D$3:$M$33,10,0)*IF(玩法行为规划!D89&gt;0,1,0))</f>
        <v/>
      </c>
      <c r="F89" s="7">
        <f>IF(VLOOKUP(F$2,行为概览!$D$3:$M$33,10,0)="","",VLOOKUP(F$2,行为概览!$D$3:$M$33,10,0)*IF(玩法行为规划!E89&gt;0,1,0))</f>
        <v>10</v>
      </c>
      <c r="G89" s="7" t="str">
        <f>IF(VLOOKUP(G$2,行为概览!$D$3:$M$33,10,0)="","",VLOOKUP(G$2,行为概览!$D$3:$M$33,10,0)*IF(玩法行为规划!F89&gt;0,1,0))</f>
        <v/>
      </c>
      <c r="H89" s="7" t="str">
        <f>IF(VLOOKUP(H$2,行为概览!$D$3:$M$33,10,0)="","",VLOOKUP(H$2,行为概览!$D$3:$M$33,10,0)*IF(玩法行为规划!G89&gt;0,1,0))</f>
        <v/>
      </c>
      <c r="I89" s="7" t="str">
        <f>IF(VLOOKUP(I$2,行为概览!$D$3:$M$33,10,0)="","",VLOOKUP(I$2,行为概览!$D$3:$M$33,10,0)*IF(玩法行为规划!H89&gt;0,1,0))</f>
        <v/>
      </c>
      <c r="J89" s="7" t="str">
        <f>IF(VLOOKUP(J$2,行为概览!$D$3:$M$33,10,0)="","",VLOOKUP(J$2,行为概览!$D$3:$M$33,10,0)*IF(玩法行为规划!I89&gt;0,1,0))</f>
        <v/>
      </c>
      <c r="K89" s="7">
        <f>IF(VLOOKUP(K$2,行为概览!$D$3:$M$33,10,0)="","",VLOOKUP(K$2,行为概览!$D$3:$M$33,10,0)*IF(玩法行为规划!J89&gt;0,1,0))</f>
        <v>10</v>
      </c>
      <c r="L89" s="7">
        <f>IF(VLOOKUP(L$2,行为概览!$D$3:$M$33,10,0)="","",VLOOKUP(L$2,行为概览!$D$3:$M$33,10,0)*IF(玩法行为规划!K89&gt;0,1,0))</f>
        <v>5</v>
      </c>
      <c r="M89" s="7" t="str">
        <f>IF(VLOOKUP(M$2,行为概览!$D$3:$M$33,10,0)="","",VLOOKUP(M$2,行为概览!$D$3:$M$33,10,0)*IF(玩法行为规划!L89&gt;0,1,0))</f>
        <v/>
      </c>
      <c r="N89" s="7" t="str">
        <f>IF(VLOOKUP(N$2,行为概览!$D$3:$M$33,10,0)="","",VLOOKUP(N$2,行为概览!$D$3:$M$33,10,0)*IF(玩法行为规划!M89&gt;0,1,0))</f>
        <v/>
      </c>
      <c r="O89" s="7" t="str">
        <f>IF(VLOOKUP(O$2,行为概览!$D$3:$M$33,10,0)="","",VLOOKUP(O$2,行为概览!$D$3:$M$33,10,0)*IF(玩法行为规划!N89&gt;0,1,0))</f>
        <v/>
      </c>
      <c r="P89" s="7" t="str">
        <f>IF(VLOOKUP(P$2,行为概览!$D$3:$M$33,10,0)="","",VLOOKUP(P$2,行为概览!$D$3:$M$33,10,0)*IF(玩法行为规划!O89&gt;0,1,0))</f>
        <v/>
      </c>
      <c r="Q89" s="7">
        <f>IF(VLOOKUP(Q$2,行为概览!$D$3:$M$33,10,0)="","",VLOOKUP(Q$2,行为概览!$D$3:$M$33,10,0)*IF(玩法行为规划!P89&gt;0,1,0))</f>
        <v>10</v>
      </c>
      <c r="R89" s="7" t="str">
        <f>IF(VLOOKUP(R$2,行为概览!$D$3:$M$33,10,0)="","",VLOOKUP(R$2,行为概览!$D$3:$M$33,10,0)*IF(玩法行为规划!Q89&gt;0,1,0))</f>
        <v/>
      </c>
      <c r="S89" s="7">
        <f>IF(VLOOKUP(S$2,行为概览!$D$3:$M$33,10,0)="","",VLOOKUP(S$2,行为概览!$D$3:$M$33,10,0)*IF(玩法行为规划!R89&gt;0,1,0))</f>
        <v>3</v>
      </c>
      <c r="T89" s="7" t="str">
        <f>IF(VLOOKUP(T$2,行为概览!$D$3:$M$33,10,0)="","",VLOOKUP(T$2,行为概览!$D$3:$M$33,10,0)*IF(玩法行为规划!S89&gt;0,1,0))</f>
        <v/>
      </c>
      <c r="U89" s="7" t="str">
        <f>IF(VLOOKUP(U$2,行为概览!$D$3:$M$33,10,0)="","",VLOOKUP(U$2,行为概览!$D$3:$M$33,10,0)*IF(玩法行为规划!T89&gt;0,1,0))</f>
        <v/>
      </c>
      <c r="V89" s="7">
        <f>IF(VLOOKUP(V$2,行为概览!$D$3:$M$33,10,0)="","",VLOOKUP(V$2,行为概览!$D$3:$M$33,10,0)*IF(玩法行为规划!U89&gt;0,1,0))</f>
        <v>4</v>
      </c>
      <c r="W89" s="7" t="str">
        <f>IF(VLOOKUP(W$2,行为概览!$D$3:$M$33,10,0)="","",VLOOKUP(W$2,行为概览!$D$3:$M$33,10,0)*IF(玩法行为规划!V89&gt;0,1,0))</f>
        <v/>
      </c>
      <c r="X89" s="7" t="str">
        <f>IF(VLOOKUP(X$2,行为概览!$D$3:$M$33,10,0)="","",VLOOKUP(X$2,行为概览!$D$3:$M$33,10,0)*IF(玩法行为规划!W89&gt;0,1,0))</f>
        <v/>
      </c>
      <c r="Y89" s="7" t="str">
        <f>IF(VLOOKUP(Y$2,行为概览!$D$3:$M$33,10,0)="","",VLOOKUP(Y$2,行为概览!$D$3:$M$33,10,0)*IF(玩法行为规划!X89&gt;0,1,0))</f>
        <v/>
      </c>
      <c r="Z89" s="7">
        <f>IF(VLOOKUP(Z$2,行为概览!$D$3:$M$33,10,0)="","",VLOOKUP(Z$2,行为概览!$D$3:$M$33,10,0)*IF(玩法行为规划!Y89&gt;0,1,0))</f>
        <v>10</v>
      </c>
      <c r="AA89" s="7" t="str">
        <f>IF(VLOOKUP(AA$2,行为概览!$D$3:$M$33,10,0)="","",VLOOKUP(AA$2,行为概览!$D$3:$M$33,10,0)*IF(玩法行为规划!Z89&gt;0,1,0))</f>
        <v/>
      </c>
      <c r="AB89" s="7" t="str">
        <f>IF(VLOOKUP(AB$2,行为概览!$D$3:$M$33,10,0)="","",VLOOKUP(AB$2,行为概览!$D$3:$M$33,10,0)*IF(玩法行为规划!AA89&gt;0,1,0))</f>
        <v/>
      </c>
      <c r="AC89" s="7" t="str">
        <f>IF(VLOOKUP(AC$2,行为概览!$D$3:$M$33,10,0)="","",VLOOKUP(AC$2,行为概览!$D$3:$M$33,10,0)*IF(玩法行为规划!AB89&gt;0,1,0))</f>
        <v/>
      </c>
      <c r="AD89" s="7" t="str">
        <f>IF(VLOOKUP(AD$2,行为概览!$D$3:$M$33,10,0)="","",VLOOKUP(AD$2,行为概览!$D$3:$M$33,10,0)*IF(玩法行为规划!AC89&gt;0,1,0))</f>
        <v/>
      </c>
      <c r="AE89" s="7" t="str">
        <f>IF(VLOOKUP(AE$2,行为概览!$D$3:$M$33,10,0)="","",VLOOKUP(AE$2,行为概览!$D$3:$M$33,10,0)*IF(玩法行为规划!AD89&gt;0,1,0))</f>
        <v/>
      </c>
      <c r="AF89" s="7">
        <f>IF(VLOOKUP(AF$2,行为概览!$D$3:$M$33,10,0)="","",VLOOKUP(AF$2,行为概览!$D$3:$M$33,10,0)*IF(玩法行为规划!AE89&gt;0,1,0))</f>
        <v>20</v>
      </c>
      <c r="AG89" s="7">
        <f t="shared" si="7"/>
        <v>80</v>
      </c>
      <c r="AH89" s="7">
        <f t="shared" si="8"/>
        <v>6960</v>
      </c>
      <c r="AI89" s="7">
        <v>0</v>
      </c>
      <c r="AJ89" s="21" t="str">
        <f t="shared" si="10"/>
        <v/>
      </c>
      <c r="AK89" s="7">
        <f t="shared" si="9"/>
        <v>6960</v>
      </c>
      <c r="AL89" s="7">
        <f>SUM($AK$3:AK89)</f>
        <v>274375</v>
      </c>
    </row>
    <row r="90" spans="1:38">
      <c r="A90" s="32">
        <v>88</v>
      </c>
      <c r="B90" s="87">
        <f>升级节奏!F90</f>
        <v>88</v>
      </c>
      <c r="C90" s="7">
        <f>IF(VLOOKUP(C$2,行为概览!$D$3:$M$33,10,0)="","",VLOOKUP(C$2,行为概览!$D$3:$M$33,10,0)*IF(玩法行为规划!B90&gt;0,1,0))</f>
        <v>8</v>
      </c>
      <c r="D90" s="7" t="str">
        <f>IF(VLOOKUP(D$2,行为概览!$D$3:$M$33,10,0)="","",VLOOKUP(D$2,行为概览!$D$3:$M$33,10,0)*IF(玩法行为规划!C90&gt;0,1,0))</f>
        <v/>
      </c>
      <c r="E90" s="7" t="str">
        <f>IF(VLOOKUP(E$2,行为概览!$D$3:$M$33,10,0)="","",VLOOKUP(E$2,行为概览!$D$3:$M$33,10,0)*IF(玩法行为规划!D90&gt;0,1,0))</f>
        <v/>
      </c>
      <c r="F90" s="7">
        <f>IF(VLOOKUP(F$2,行为概览!$D$3:$M$33,10,0)="","",VLOOKUP(F$2,行为概览!$D$3:$M$33,10,0)*IF(玩法行为规划!E90&gt;0,1,0))</f>
        <v>10</v>
      </c>
      <c r="G90" s="7" t="str">
        <f>IF(VLOOKUP(G$2,行为概览!$D$3:$M$33,10,0)="","",VLOOKUP(G$2,行为概览!$D$3:$M$33,10,0)*IF(玩法行为规划!F90&gt;0,1,0))</f>
        <v/>
      </c>
      <c r="H90" s="7" t="str">
        <f>IF(VLOOKUP(H$2,行为概览!$D$3:$M$33,10,0)="","",VLOOKUP(H$2,行为概览!$D$3:$M$33,10,0)*IF(玩法行为规划!G90&gt;0,1,0))</f>
        <v/>
      </c>
      <c r="I90" s="7" t="str">
        <f>IF(VLOOKUP(I$2,行为概览!$D$3:$M$33,10,0)="","",VLOOKUP(I$2,行为概览!$D$3:$M$33,10,0)*IF(玩法行为规划!H90&gt;0,1,0))</f>
        <v/>
      </c>
      <c r="J90" s="7" t="str">
        <f>IF(VLOOKUP(J$2,行为概览!$D$3:$M$33,10,0)="","",VLOOKUP(J$2,行为概览!$D$3:$M$33,10,0)*IF(玩法行为规划!I90&gt;0,1,0))</f>
        <v/>
      </c>
      <c r="K90" s="7">
        <f>IF(VLOOKUP(K$2,行为概览!$D$3:$M$33,10,0)="","",VLOOKUP(K$2,行为概览!$D$3:$M$33,10,0)*IF(玩法行为规划!J90&gt;0,1,0))</f>
        <v>10</v>
      </c>
      <c r="L90" s="7">
        <f>IF(VLOOKUP(L$2,行为概览!$D$3:$M$33,10,0)="","",VLOOKUP(L$2,行为概览!$D$3:$M$33,10,0)*IF(玩法行为规划!K90&gt;0,1,0))</f>
        <v>5</v>
      </c>
      <c r="M90" s="7" t="str">
        <f>IF(VLOOKUP(M$2,行为概览!$D$3:$M$33,10,0)="","",VLOOKUP(M$2,行为概览!$D$3:$M$33,10,0)*IF(玩法行为规划!L90&gt;0,1,0))</f>
        <v/>
      </c>
      <c r="N90" s="7" t="str">
        <f>IF(VLOOKUP(N$2,行为概览!$D$3:$M$33,10,0)="","",VLOOKUP(N$2,行为概览!$D$3:$M$33,10,0)*IF(玩法行为规划!M90&gt;0,1,0))</f>
        <v/>
      </c>
      <c r="O90" s="7" t="str">
        <f>IF(VLOOKUP(O$2,行为概览!$D$3:$M$33,10,0)="","",VLOOKUP(O$2,行为概览!$D$3:$M$33,10,0)*IF(玩法行为规划!N90&gt;0,1,0))</f>
        <v/>
      </c>
      <c r="P90" s="7" t="str">
        <f>IF(VLOOKUP(P$2,行为概览!$D$3:$M$33,10,0)="","",VLOOKUP(P$2,行为概览!$D$3:$M$33,10,0)*IF(玩法行为规划!O90&gt;0,1,0))</f>
        <v/>
      </c>
      <c r="Q90" s="7">
        <f>IF(VLOOKUP(Q$2,行为概览!$D$3:$M$33,10,0)="","",VLOOKUP(Q$2,行为概览!$D$3:$M$33,10,0)*IF(玩法行为规划!P90&gt;0,1,0))</f>
        <v>10</v>
      </c>
      <c r="R90" s="7" t="str">
        <f>IF(VLOOKUP(R$2,行为概览!$D$3:$M$33,10,0)="","",VLOOKUP(R$2,行为概览!$D$3:$M$33,10,0)*IF(玩法行为规划!Q90&gt;0,1,0))</f>
        <v/>
      </c>
      <c r="S90" s="7">
        <f>IF(VLOOKUP(S$2,行为概览!$D$3:$M$33,10,0)="","",VLOOKUP(S$2,行为概览!$D$3:$M$33,10,0)*IF(玩法行为规划!R90&gt;0,1,0))</f>
        <v>3</v>
      </c>
      <c r="T90" s="7" t="str">
        <f>IF(VLOOKUP(T$2,行为概览!$D$3:$M$33,10,0)="","",VLOOKUP(T$2,行为概览!$D$3:$M$33,10,0)*IF(玩法行为规划!S90&gt;0,1,0))</f>
        <v/>
      </c>
      <c r="U90" s="7" t="str">
        <f>IF(VLOOKUP(U$2,行为概览!$D$3:$M$33,10,0)="","",VLOOKUP(U$2,行为概览!$D$3:$M$33,10,0)*IF(玩法行为规划!T90&gt;0,1,0))</f>
        <v/>
      </c>
      <c r="V90" s="7">
        <f>IF(VLOOKUP(V$2,行为概览!$D$3:$M$33,10,0)="","",VLOOKUP(V$2,行为概览!$D$3:$M$33,10,0)*IF(玩法行为规划!U90&gt;0,1,0))</f>
        <v>4</v>
      </c>
      <c r="W90" s="7" t="str">
        <f>IF(VLOOKUP(W$2,行为概览!$D$3:$M$33,10,0)="","",VLOOKUP(W$2,行为概览!$D$3:$M$33,10,0)*IF(玩法行为规划!V90&gt;0,1,0))</f>
        <v/>
      </c>
      <c r="X90" s="7" t="str">
        <f>IF(VLOOKUP(X$2,行为概览!$D$3:$M$33,10,0)="","",VLOOKUP(X$2,行为概览!$D$3:$M$33,10,0)*IF(玩法行为规划!W90&gt;0,1,0))</f>
        <v/>
      </c>
      <c r="Y90" s="7" t="str">
        <f>IF(VLOOKUP(Y$2,行为概览!$D$3:$M$33,10,0)="","",VLOOKUP(Y$2,行为概览!$D$3:$M$33,10,0)*IF(玩法行为规划!X90&gt;0,1,0))</f>
        <v/>
      </c>
      <c r="Z90" s="7">
        <f>IF(VLOOKUP(Z$2,行为概览!$D$3:$M$33,10,0)="","",VLOOKUP(Z$2,行为概览!$D$3:$M$33,10,0)*IF(玩法行为规划!Y90&gt;0,1,0))</f>
        <v>10</v>
      </c>
      <c r="AA90" s="7" t="str">
        <f>IF(VLOOKUP(AA$2,行为概览!$D$3:$M$33,10,0)="","",VLOOKUP(AA$2,行为概览!$D$3:$M$33,10,0)*IF(玩法行为规划!Z90&gt;0,1,0))</f>
        <v/>
      </c>
      <c r="AB90" s="7" t="str">
        <f>IF(VLOOKUP(AB$2,行为概览!$D$3:$M$33,10,0)="","",VLOOKUP(AB$2,行为概览!$D$3:$M$33,10,0)*IF(玩法行为规划!AA90&gt;0,1,0))</f>
        <v/>
      </c>
      <c r="AC90" s="7" t="str">
        <f>IF(VLOOKUP(AC$2,行为概览!$D$3:$M$33,10,0)="","",VLOOKUP(AC$2,行为概览!$D$3:$M$33,10,0)*IF(玩法行为规划!AB90&gt;0,1,0))</f>
        <v/>
      </c>
      <c r="AD90" s="7" t="str">
        <f>IF(VLOOKUP(AD$2,行为概览!$D$3:$M$33,10,0)="","",VLOOKUP(AD$2,行为概览!$D$3:$M$33,10,0)*IF(玩法行为规划!AC90&gt;0,1,0))</f>
        <v/>
      </c>
      <c r="AE90" s="7" t="str">
        <f>IF(VLOOKUP(AE$2,行为概览!$D$3:$M$33,10,0)="","",VLOOKUP(AE$2,行为概览!$D$3:$M$33,10,0)*IF(玩法行为规划!AD90&gt;0,1,0))</f>
        <v/>
      </c>
      <c r="AF90" s="7">
        <f>IF(VLOOKUP(AF$2,行为概览!$D$3:$M$33,10,0)="","",VLOOKUP(AF$2,行为概览!$D$3:$M$33,10,0)*IF(玩法行为规划!AE90&gt;0,1,0))</f>
        <v>20</v>
      </c>
      <c r="AG90" s="7">
        <f t="shared" si="7"/>
        <v>80</v>
      </c>
      <c r="AH90" s="7">
        <f t="shared" si="8"/>
        <v>7040</v>
      </c>
      <c r="AI90" s="7">
        <v>0</v>
      </c>
      <c r="AJ90" s="21" t="str">
        <f t="shared" si="10"/>
        <v/>
      </c>
      <c r="AK90" s="7">
        <f t="shared" si="9"/>
        <v>7040</v>
      </c>
      <c r="AL90" s="7">
        <f>SUM($AK$3:AK90)</f>
        <v>281415</v>
      </c>
    </row>
    <row r="91" spans="1:38">
      <c r="A91" s="32">
        <v>89</v>
      </c>
      <c r="B91" s="87">
        <f>升级节奏!F91</f>
        <v>89</v>
      </c>
      <c r="C91" s="7">
        <f>IF(VLOOKUP(C$2,行为概览!$D$3:$M$33,10,0)="","",VLOOKUP(C$2,行为概览!$D$3:$M$33,10,0)*IF(玩法行为规划!B91&gt;0,1,0))</f>
        <v>8</v>
      </c>
      <c r="D91" s="7" t="str">
        <f>IF(VLOOKUP(D$2,行为概览!$D$3:$M$33,10,0)="","",VLOOKUP(D$2,行为概览!$D$3:$M$33,10,0)*IF(玩法行为规划!C91&gt;0,1,0))</f>
        <v/>
      </c>
      <c r="E91" s="7" t="str">
        <f>IF(VLOOKUP(E$2,行为概览!$D$3:$M$33,10,0)="","",VLOOKUP(E$2,行为概览!$D$3:$M$33,10,0)*IF(玩法行为规划!D91&gt;0,1,0))</f>
        <v/>
      </c>
      <c r="F91" s="7">
        <f>IF(VLOOKUP(F$2,行为概览!$D$3:$M$33,10,0)="","",VLOOKUP(F$2,行为概览!$D$3:$M$33,10,0)*IF(玩法行为规划!E91&gt;0,1,0))</f>
        <v>10</v>
      </c>
      <c r="G91" s="7" t="str">
        <f>IF(VLOOKUP(G$2,行为概览!$D$3:$M$33,10,0)="","",VLOOKUP(G$2,行为概览!$D$3:$M$33,10,0)*IF(玩法行为规划!F91&gt;0,1,0))</f>
        <v/>
      </c>
      <c r="H91" s="7" t="str">
        <f>IF(VLOOKUP(H$2,行为概览!$D$3:$M$33,10,0)="","",VLOOKUP(H$2,行为概览!$D$3:$M$33,10,0)*IF(玩法行为规划!G91&gt;0,1,0))</f>
        <v/>
      </c>
      <c r="I91" s="7" t="str">
        <f>IF(VLOOKUP(I$2,行为概览!$D$3:$M$33,10,0)="","",VLOOKUP(I$2,行为概览!$D$3:$M$33,10,0)*IF(玩法行为规划!H91&gt;0,1,0))</f>
        <v/>
      </c>
      <c r="J91" s="7" t="str">
        <f>IF(VLOOKUP(J$2,行为概览!$D$3:$M$33,10,0)="","",VLOOKUP(J$2,行为概览!$D$3:$M$33,10,0)*IF(玩法行为规划!I91&gt;0,1,0))</f>
        <v/>
      </c>
      <c r="K91" s="7">
        <f>IF(VLOOKUP(K$2,行为概览!$D$3:$M$33,10,0)="","",VLOOKUP(K$2,行为概览!$D$3:$M$33,10,0)*IF(玩法行为规划!J91&gt;0,1,0))</f>
        <v>10</v>
      </c>
      <c r="L91" s="7">
        <f>IF(VLOOKUP(L$2,行为概览!$D$3:$M$33,10,0)="","",VLOOKUP(L$2,行为概览!$D$3:$M$33,10,0)*IF(玩法行为规划!K91&gt;0,1,0))</f>
        <v>5</v>
      </c>
      <c r="M91" s="7" t="str">
        <f>IF(VLOOKUP(M$2,行为概览!$D$3:$M$33,10,0)="","",VLOOKUP(M$2,行为概览!$D$3:$M$33,10,0)*IF(玩法行为规划!L91&gt;0,1,0))</f>
        <v/>
      </c>
      <c r="N91" s="7" t="str">
        <f>IF(VLOOKUP(N$2,行为概览!$D$3:$M$33,10,0)="","",VLOOKUP(N$2,行为概览!$D$3:$M$33,10,0)*IF(玩法行为规划!M91&gt;0,1,0))</f>
        <v/>
      </c>
      <c r="O91" s="7" t="str">
        <f>IF(VLOOKUP(O$2,行为概览!$D$3:$M$33,10,0)="","",VLOOKUP(O$2,行为概览!$D$3:$M$33,10,0)*IF(玩法行为规划!N91&gt;0,1,0))</f>
        <v/>
      </c>
      <c r="P91" s="7" t="str">
        <f>IF(VLOOKUP(P$2,行为概览!$D$3:$M$33,10,0)="","",VLOOKUP(P$2,行为概览!$D$3:$M$33,10,0)*IF(玩法行为规划!O91&gt;0,1,0))</f>
        <v/>
      </c>
      <c r="Q91" s="7">
        <f>IF(VLOOKUP(Q$2,行为概览!$D$3:$M$33,10,0)="","",VLOOKUP(Q$2,行为概览!$D$3:$M$33,10,0)*IF(玩法行为规划!P91&gt;0,1,0))</f>
        <v>10</v>
      </c>
      <c r="R91" s="7" t="str">
        <f>IF(VLOOKUP(R$2,行为概览!$D$3:$M$33,10,0)="","",VLOOKUP(R$2,行为概览!$D$3:$M$33,10,0)*IF(玩法行为规划!Q91&gt;0,1,0))</f>
        <v/>
      </c>
      <c r="S91" s="7">
        <f>IF(VLOOKUP(S$2,行为概览!$D$3:$M$33,10,0)="","",VLOOKUP(S$2,行为概览!$D$3:$M$33,10,0)*IF(玩法行为规划!R91&gt;0,1,0))</f>
        <v>3</v>
      </c>
      <c r="T91" s="7" t="str">
        <f>IF(VLOOKUP(T$2,行为概览!$D$3:$M$33,10,0)="","",VLOOKUP(T$2,行为概览!$D$3:$M$33,10,0)*IF(玩法行为规划!S91&gt;0,1,0))</f>
        <v/>
      </c>
      <c r="U91" s="7" t="str">
        <f>IF(VLOOKUP(U$2,行为概览!$D$3:$M$33,10,0)="","",VLOOKUP(U$2,行为概览!$D$3:$M$33,10,0)*IF(玩法行为规划!T91&gt;0,1,0))</f>
        <v/>
      </c>
      <c r="V91" s="7">
        <f>IF(VLOOKUP(V$2,行为概览!$D$3:$M$33,10,0)="","",VLOOKUP(V$2,行为概览!$D$3:$M$33,10,0)*IF(玩法行为规划!U91&gt;0,1,0))</f>
        <v>4</v>
      </c>
      <c r="W91" s="7" t="str">
        <f>IF(VLOOKUP(W$2,行为概览!$D$3:$M$33,10,0)="","",VLOOKUP(W$2,行为概览!$D$3:$M$33,10,0)*IF(玩法行为规划!V91&gt;0,1,0))</f>
        <v/>
      </c>
      <c r="X91" s="7" t="str">
        <f>IF(VLOOKUP(X$2,行为概览!$D$3:$M$33,10,0)="","",VLOOKUP(X$2,行为概览!$D$3:$M$33,10,0)*IF(玩法行为规划!W91&gt;0,1,0))</f>
        <v/>
      </c>
      <c r="Y91" s="7" t="str">
        <f>IF(VLOOKUP(Y$2,行为概览!$D$3:$M$33,10,0)="","",VLOOKUP(Y$2,行为概览!$D$3:$M$33,10,0)*IF(玩法行为规划!X91&gt;0,1,0))</f>
        <v/>
      </c>
      <c r="Z91" s="7">
        <f>IF(VLOOKUP(Z$2,行为概览!$D$3:$M$33,10,0)="","",VLOOKUP(Z$2,行为概览!$D$3:$M$33,10,0)*IF(玩法行为规划!Y91&gt;0,1,0))</f>
        <v>10</v>
      </c>
      <c r="AA91" s="7" t="str">
        <f>IF(VLOOKUP(AA$2,行为概览!$D$3:$M$33,10,0)="","",VLOOKUP(AA$2,行为概览!$D$3:$M$33,10,0)*IF(玩法行为规划!Z91&gt;0,1,0))</f>
        <v/>
      </c>
      <c r="AB91" s="7" t="str">
        <f>IF(VLOOKUP(AB$2,行为概览!$D$3:$M$33,10,0)="","",VLOOKUP(AB$2,行为概览!$D$3:$M$33,10,0)*IF(玩法行为规划!AA91&gt;0,1,0))</f>
        <v/>
      </c>
      <c r="AC91" s="7" t="str">
        <f>IF(VLOOKUP(AC$2,行为概览!$D$3:$M$33,10,0)="","",VLOOKUP(AC$2,行为概览!$D$3:$M$33,10,0)*IF(玩法行为规划!AB91&gt;0,1,0))</f>
        <v/>
      </c>
      <c r="AD91" s="7" t="str">
        <f>IF(VLOOKUP(AD$2,行为概览!$D$3:$M$33,10,0)="","",VLOOKUP(AD$2,行为概览!$D$3:$M$33,10,0)*IF(玩法行为规划!AC91&gt;0,1,0))</f>
        <v/>
      </c>
      <c r="AE91" s="7" t="str">
        <f>IF(VLOOKUP(AE$2,行为概览!$D$3:$M$33,10,0)="","",VLOOKUP(AE$2,行为概览!$D$3:$M$33,10,0)*IF(玩法行为规划!AD91&gt;0,1,0))</f>
        <v/>
      </c>
      <c r="AF91" s="7">
        <f>IF(VLOOKUP(AF$2,行为概览!$D$3:$M$33,10,0)="","",VLOOKUP(AF$2,行为概览!$D$3:$M$33,10,0)*IF(玩法行为规划!AE91&gt;0,1,0))</f>
        <v>20</v>
      </c>
      <c r="AG91" s="7">
        <f t="shared" si="7"/>
        <v>80</v>
      </c>
      <c r="AH91" s="7">
        <f t="shared" si="8"/>
        <v>7120</v>
      </c>
      <c r="AI91" s="7">
        <v>0</v>
      </c>
      <c r="AJ91" s="21" t="str">
        <f t="shared" si="10"/>
        <v/>
      </c>
      <c r="AK91" s="7">
        <f t="shared" si="9"/>
        <v>7120</v>
      </c>
      <c r="AL91" s="7">
        <f>SUM($AK$3:AK91)</f>
        <v>288535</v>
      </c>
    </row>
    <row r="92" spans="1:38">
      <c r="A92" s="32">
        <v>90</v>
      </c>
      <c r="B92" s="87">
        <f>升级节奏!F92</f>
        <v>90</v>
      </c>
      <c r="C92" s="7">
        <f>IF(VLOOKUP(C$2,行为概览!$D$3:$M$33,10,0)="","",VLOOKUP(C$2,行为概览!$D$3:$M$33,10,0)*IF(玩法行为规划!B92&gt;0,1,0))</f>
        <v>8</v>
      </c>
      <c r="D92" s="7" t="str">
        <f>IF(VLOOKUP(D$2,行为概览!$D$3:$M$33,10,0)="","",VLOOKUP(D$2,行为概览!$D$3:$M$33,10,0)*IF(玩法行为规划!C92&gt;0,1,0))</f>
        <v/>
      </c>
      <c r="E92" s="7" t="str">
        <f>IF(VLOOKUP(E$2,行为概览!$D$3:$M$33,10,0)="","",VLOOKUP(E$2,行为概览!$D$3:$M$33,10,0)*IF(玩法行为规划!D92&gt;0,1,0))</f>
        <v/>
      </c>
      <c r="F92" s="7">
        <f>IF(VLOOKUP(F$2,行为概览!$D$3:$M$33,10,0)="","",VLOOKUP(F$2,行为概览!$D$3:$M$33,10,0)*IF(玩法行为规划!E92&gt;0,1,0))</f>
        <v>10</v>
      </c>
      <c r="G92" s="7" t="str">
        <f>IF(VLOOKUP(G$2,行为概览!$D$3:$M$33,10,0)="","",VLOOKUP(G$2,行为概览!$D$3:$M$33,10,0)*IF(玩法行为规划!F92&gt;0,1,0))</f>
        <v/>
      </c>
      <c r="H92" s="7" t="str">
        <f>IF(VLOOKUP(H$2,行为概览!$D$3:$M$33,10,0)="","",VLOOKUP(H$2,行为概览!$D$3:$M$33,10,0)*IF(玩法行为规划!G92&gt;0,1,0))</f>
        <v/>
      </c>
      <c r="I92" s="7" t="str">
        <f>IF(VLOOKUP(I$2,行为概览!$D$3:$M$33,10,0)="","",VLOOKUP(I$2,行为概览!$D$3:$M$33,10,0)*IF(玩法行为规划!H92&gt;0,1,0))</f>
        <v/>
      </c>
      <c r="J92" s="7" t="str">
        <f>IF(VLOOKUP(J$2,行为概览!$D$3:$M$33,10,0)="","",VLOOKUP(J$2,行为概览!$D$3:$M$33,10,0)*IF(玩法行为规划!I92&gt;0,1,0))</f>
        <v/>
      </c>
      <c r="K92" s="7">
        <f>IF(VLOOKUP(K$2,行为概览!$D$3:$M$33,10,0)="","",VLOOKUP(K$2,行为概览!$D$3:$M$33,10,0)*IF(玩法行为规划!J92&gt;0,1,0))</f>
        <v>10</v>
      </c>
      <c r="L92" s="7">
        <f>IF(VLOOKUP(L$2,行为概览!$D$3:$M$33,10,0)="","",VLOOKUP(L$2,行为概览!$D$3:$M$33,10,0)*IF(玩法行为规划!K92&gt;0,1,0))</f>
        <v>5</v>
      </c>
      <c r="M92" s="7" t="str">
        <f>IF(VLOOKUP(M$2,行为概览!$D$3:$M$33,10,0)="","",VLOOKUP(M$2,行为概览!$D$3:$M$33,10,0)*IF(玩法行为规划!L92&gt;0,1,0))</f>
        <v/>
      </c>
      <c r="N92" s="7" t="str">
        <f>IF(VLOOKUP(N$2,行为概览!$D$3:$M$33,10,0)="","",VLOOKUP(N$2,行为概览!$D$3:$M$33,10,0)*IF(玩法行为规划!M92&gt;0,1,0))</f>
        <v/>
      </c>
      <c r="O92" s="7" t="str">
        <f>IF(VLOOKUP(O$2,行为概览!$D$3:$M$33,10,0)="","",VLOOKUP(O$2,行为概览!$D$3:$M$33,10,0)*IF(玩法行为规划!N92&gt;0,1,0))</f>
        <v/>
      </c>
      <c r="P92" s="7" t="str">
        <f>IF(VLOOKUP(P$2,行为概览!$D$3:$M$33,10,0)="","",VLOOKUP(P$2,行为概览!$D$3:$M$33,10,0)*IF(玩法行为规划!O92&gt;0,1,0))</f>
        <v/>
      </c>
      <c r="Q92" s="7">
        <f>IF(VLOOKUP(Q$2,行为概览!$D$3:$M$33,10,0)="","",VLOOKUP(Q$2,行为概览!$D$3:$M$33,10,0)*IF(玩法行为规划!P92&gt;0,1,0))</f>
        <v>10</v>
      </c>
      <c r="R92" s="7" t="str">
        <f>IF(VLOOKUP(R$2,行为概览!$D$3:$M$33,10,0)="","",VLOOKUP(R$2,行为概览!$D$3:$M$33,10,0)*IF(玩法行为规划!Q92&gt;0,1,0))</f>
        <v/>
      </c>
      <c r="S92" s="7">
        <f>IF(VLOOKUP(S$2,行为概览!$D$3:$M$33,10,0)="","",VLOOKUP(S$2,行为概览!$D$3:$M$33,10,0)*IF(玩法行为规划!R92&gt;0,1,0))</f>
        <v>3</v>
      </c>
      <c r="T92" s="7" t="str">
        <f>IF(VLOOKUP(T$2,行为概览!$D$3:$M$33,10,0)="","",VLOOKUP(T$2,行为概览!$D$3:$M$33,10,0)*IF(玩法行为规划!S92&gt;0,1,0))</f>
        <v/>
      </c>
      <c r="U92" s="7" t="str">
        <f>IF(VLOOKUP(U$2,行为概览!$D$3:$M$33,10,0)="","",VLOOKUP(U$2,行为概览!$D$3:$M$33,10,0)*IF(玩法行为规划!T92&gt;0,1,0))</f>
        <v/>
      </c>
      <c r="V92" s="7">
        <f>IF(VLOOKUP(V$2,行为概览!$D$3:$M$33,10,0)="","",VLOOKUP(V$2,行为概览!$D$3:$M$33,10,0)*IF(玩法行为规划!U92&gt;0,1,0))</f>
        <v>4</v>
      </c>
      <c r="W92" s="7" t="str">
        <f>IF(VLOOKUP(W$2,行为概览!$D$3:$M$33,10,0)="","",VLOOKUP(W$2,行为概览!$D$3:$M$33,10,0)*IF(玩法行为规划!V92&gt;0,1,0))</f>
        <v/>
      </c>
      <c r="X92" s="7" t="str">
        <f>IF(VLOOKUP(X$2,行为概览!$D$3:$M$33,10,0)="","",VLOOKUP(X$2,行为概览!$D$3:$M$33,10,0)*IF(玩法行为规划!W92&gt;0,1,0))</f>
        <v/>
      </c>
      <c r="Y92" s="7" t="str">
        <f>IF(VLOOKUP(Y$2,行为概览!$D$3:$M$33,10,0)="","",VLOOKUP(Y$2,行为概览!$D$3:$M$33,10,0)*IF(玩法行为规划!X92&gt;0,1,0))</f>
        <v/>
      </c>
      <c r="Z92" s="7">
        <f>IF(VLOOKUP(Z$2,行为概览!$D$3:$M$33,10,0)="","",VLOOKUP(Z$2,行为概览!$D$3:$M$33,10,0)*IF(玩法行为规划!Y92&gt;0,1,0))</f>
        <v>10</v>
      </c>
      <c r="AA92" s="7" t="str">
        <f>IF(VLOOKUP(AA$2,行为概览!$D$3:$M$33,10,0)="","",VLOOKUP(AA$2,行为概览!$D$3:$M$33,10,0)*IF(玩法行为规划!Z92&gt;0,1,0))</f>
        <v/>
      </c>
      <c r="AB92" s="7" t="str">
        <f>IF(VLOOKUP(AB$2,行为概览!$D$3:$M$33,10,0)="","",VLOOKUP(AB$2,行为概览!$D$3:$M$33,10,0)*IF(玩法行为规划!AA92&gt;0,1,0))</f>
        <v/>
      </c>
      <c r="AC92" s="7" t="str">
        <f>IF(VLOOKUP(AC$2,行为概览!$D$3:$M$33,10,0)="","",VLOOKUP(AC$2,行为概览!$D$3:$M$33,10,0)*IF(玩法行为规划!AB92&gt;0,1,0))</f>
        <v/>
      </c>
      <c r="AD92" s="7" t="str">
        <f>IF(VLOOKUP(AD$2,行为概览!$D$3:$M$33,10,0)="","",VLOOKUP(AD$2,行为概览!$D$3:$M$33,10,0)*IF(玩法行为规划!AC92&gt;0,1,0))</f>
        <v/>
      </c>
      <c r="AE92" s="7" t="str">
        <f>IF(VLOOKUP(AE$2,行为概览!$D$3:$M$33,10,0)="","",VLOOKUP(AE$2,行为概览!$D$3:$M$33,10,0)*IF(玩法行为规划!AD92&gt;0,1,0))</f>
        <v/>
      </c>
      <c r="AF92" s="7">
        <f>IF(VLOOKUP(AF$2,行为概览!$D$3:$M$33,10,0)="","",VLOOKUP(AF$2,行为概览!$D$3:$M$33,10,0)*IF(玩法行为规划!AE92&gt;0,1,0))</f>
        <v>20</v>
      </c>
      <c r="AG92" s="7">
        <f t="shared" si="7"/>
        <v>80</v>
      </c>
      <c r="AH92" s="7">
        <f t="shared" si="8"/>
        <v>7200</v>
      </c>
      <c r="AI92" s="7">
        <v>0</v>
      </c>
      <c r="AJ92" s="21">
        <f t="shared" si="10"/>
        <v>0</v>
      </c>
      <c r="AK92" s="7">
        <f t="shared" si="9"/>
        <v>7200</v>
      </c>
      <c r="AL92" s="7">
        <f>SUM($AK$3:AK92)</f>
        <v>295735</v>
      </c>
    </row>
    <row r="93" spans="1:38">
      <c r="A93" s="32">
        <v>91</v>
      </c>
      <c r="B93" s="87">
        <f>升级节奏!F93</f>
        <v>91</v>
      </c>
      <c r="C93" s="7">
        <f>IF(VLOOKUP(C$2,行为概览!$D$3:$M$33,10,0)="","",VLOOKUP(C$2,行为概览!$D$3:$M$33,10,0)*IF(玩法行为规划!B93&gt;0,1,0))</f>
        <v>8</v>
      </c>
      <c r="D93" s="7" t="str">
        <f>IF(VLOOKUP(D$2,行为概览!$D$3:$M$33,10,0)="","",VLOOKUP(D$2,行为概览!$D$3:$M$33,10,0)*IF(玩法行为规划!C93&gt;0,1,0))</f>
        <v/>
      </c>
      <c r="E93" s="7" t="str">
        <f>IF(VLOOKUP(E$2,行为概览!$D$3:$M$33,10,0)="","",VLOOKUP(E$2,行为概览!$D$3:$M$33,10,0)*IF(玩法行为规划!D93&gt;0,1,0))</f>
        <v/>
      </c>
      <c r="F93" s="7">
        <f>IF(VLOOKUP(F$2,行为概览!$D$3:$M$33,10,0)="","",VLOOKUP(F$2,行为概览!$D$3:$M$33,10,0)*IF(玩法行为规划!E93&gt;0,1,0))</f>
        <v>10</v>
      </c>
      <c r="G93" s="7" t="str">
        <f>IF(VLOOKUP(G$2,行为概览!$D$3:$M$33,10,0)="","",VLOOKUP(G$2,行为概览!$D$3:$M$33,10,0)*IF(玩法行为规划!F93&gt;0,1,0))</f>
        <v/>
      </c>
      <c r="H93" s="7" t="str">
        <f>IF(VLOOKUP(H$2,行为概览!$D$3:$M$33,10,0)="","",VLOOKUP(H$2,行为概览!$D$3:$M$33,10,0)*IF(玩法行为规划!G93&gt;0,1,0))</f>
        <v/>
      </c>
      <c r="I93" s="7" t="str">
        <f>IF(VLOOKUP(I$2,行为概览!$D$3:$M$33,10,0)="","",VLOOKUP(I$2,行为概览!$D$3:$M$33,10,0)*IF(玩法行为规划!H93&gt;0,1,0))</f>
        <v/>
      </c>
      <c r="J93" s="7" t="str">
        <f>IF(VLOOKUP(J$2,行为概览!$D$3:$M$33,10,0)="","",VLOOKUP(J$2,行为概览!$D$3:$M$33,10,0)*IF(玩法行为规划!I93&gt;0,1,0))</f>
        <v/>
      </c>
      <c r="K93" s="7">
        <f>IF(VLOOKUP(K$2,行为概览!$D$3:$M$33,10,0)="","",VLOOKUP(K$2,行为概览!$D$3:$M$33,10,0)*IF(玩法行为规划!J93&gt;0,1,0))</f>
        <v>10</v>
      </c>
      <c r="L93" s="7">
        <f>IF(VLOOKUP(L$2,行为概览!$D$3:$M$33,10,0)="","",VLOOKUP(L$2,行为概览!$D$3:$M$33,10,0)*IF(玩法行为规划!K93&gt;0,1,0))</f>
        <v>5</v>
      </c>
      <c r="M93" s="7" t="str">
        <f>IF(VLOOKUP(M$2,行为概览!$D$3:$M$33,10,0)="","",VLOOKUP(M$2,行为概览!$D$3:$M$33,10,0)*IF(玩法行为规划!L93&gt;0,1,0))</f>
        <v/>
      </c>
      <c r="N93" s="7" t="str">
        <f>IF(VLOOKUP(N$2,行为概览!$D$3:$M$33,10,0)="","",VLOOKUP(N$2,行为概览!$D$3:$M$33,10,0)*IF(玩法行为规划!M93&gt;0,1,0))</f>
        <v/>
      </c>
      <c r="O93" s="7" t="str">
        <f>IF(VLOOKUP(O$2,行为概览!$D$3:$M$33,10,0)="","",VLOOKUP(O$2,行为概览!$D$3:$M$33,10,0)*IF(玩法行为规划!N93&gt;0,1,0))</f>
        <v/>
      </c>
      <c r="P93" s="7" t="str">
        <f>IF(VLOOKUP(P$2,行为概览!$D$3:$M$33,10,0)="","",VLOOKUP(P$2,行为概览!$D$3:$M$33,10,0)*IF(玩法行为规划!O93&gt;0,1,0))</f>
        <v/>
      </c>
      <c r="Q93" s="7">
        <f>IF(VLOOKUP(Q$2,行为概览!$D$3:$M$33,10,0)="","",VLOOKUP(Q$2,行为概览!$D$3:$M$33,10,0)*IF(玩法行为规划!P93&gt;0,1,0))</f>
        <v>10</v>
      </c>
      <c r="R93" s="7" t="str">
        <f>IF(VLOOKUP(R$2,行为概览!$D$3:$M$33,10,0)="","",VLOOKUP(R$2,行为概览!$D$3:$M$33,10,0)*IF(玩法行为规划!Q93&gt;0,1,0))</f>
        <v/>
      </c>
      <c r="S93" s="7">
        <f>IF(VLOOKUP(S$2,行为概览!$D$3:$M$33,10,0)="","",VLOOKUP(S$2,行为概览!$D$3:$M$33,10,0)*IF(玩法行为规划!R93&gt;0,1,0))</f>
        <v>3</v>
      </c>
      <c r="T93" s="7" t="str">
        <f>IF(VLOOKUP(T$2,行为概览!$D$3:$M$33,10,0)="","",VLOOKUP(T$2,行为概览!$D$3:$M$33,10,0)*IF(玩法行为规划!S93&gt;0,1,0))</f>
        <v/>
      </c>
      <c r="U93" s="7" t="str">
        <f>IF(VLOOKUP(U$2,行为概览!$D$3:$M$33,10,0)="","",VLOOKUP(U$2,行为概览!$D$3:$M$33,10,0)*IF(玩法行为规划!T93&gt;0,1,0))</f>
        <v/>
      </c>
      <c r="V93" s="7">
        <f>IF(VLOOKUP(V$2,行为概览!$D$3:$M$33,10,0)="","",VLOOKUP(V$2,行为概览!$D$3:$M$33,10,0)*IF(玩法行为规划!U93&gt;0,1,0))</f>
        <v>4</v>
      </c>
      <c r="W93" s="7" t="str">
        <f>IF(VLOOKUP(W$2,行为概览!$D$3:$M$33,10,0)="","",VLOOKUP(W$2,行为概览!$D$3:$M$33,10,0)*IF(玩法行为规划!V93&gt;0,1,0))</f>
        <v/>
      </c>
      <c r="X93" s="7" t="str">
        <f>IF(VLOOKUP(X$2,行为概览!$D$3:$M$33,10,0)="","",VLOOKUP(X$2,行为概览!$D$3:$M$33,10,0)*IF(玩法行为规划!W93&gt;0,1,0))</f>
        <v/>
      </c>
      <c r="Y93" s="7" t="str">
        <f>IF(VLOOKUP(Y$2,行为概览!$D$3:$M$33,10,0)="","",VLOOKUP(Y$2,行为概览!$D$3:$M$33,10,0)*IF(玩法行为规划!X93&gt;0,1,0))</f>
        <v/>
      </c>
      <c r="Z93" s="7">
        <f>IF(VLOOKUP(Z$2,行为概览!$D$3:$M$33,10,0)="","",VLOOKUP(Z$2,行为概览!$D$3:$M$33,10,0)*IF(玩法行为规划!Y93&gt;0,1,0))</f>
        <v>10</v>
      </c>
      <c r="AA93" s="7" t="str">
        <f>IF(VLOOKUP(AA$2,行为概览!$D$3:$M$33,10,0)="","",VLOOKUP(AA$2,行为概览!$D$3:$M$33,10,0)*IF(玩法行为规划!Z93&gt;0,1,0))</f>
        <v/>
      </c>
      <c r="AB93" s="7" t="str">
        <f>IF(VLOOKUP(AB$2,行为概览!$D$3:$M$33,10,0)="","",VLOOKUP(AB$2,行为概览!$D$3:$M$33,10,0)*IF(玩法行为规划!AA93&gt;0,1,0))</f>
        <v/>
      </c>
      <c r="AC93" s="7" t="str">
        <f>IF(VLOOKUP(AC$2,行为概览!$D$3:$M$33,10,0)="","",VLOOKUP(AC$2,行为概览!$D$3:$M$33,10,0)*IF(玩法行为规划!AB93&gt;0,1,0))</f>
        <v/>
      </c>
      <c r="AD93" s="7" t="str">
        <f>IF(VLOOKUP(AD$2,行为概览!$D$3:$M$33,10,0)="","",VLOOKUP(AD$2,行为概览!$D$3:$M$33,10,0)*IF(玩法行为规划!AC93&gt;0,1,0))</f>
        <v/>
      </c>
      <c r="AE93" s="7" t="str">
        <f>IF(VLOOKUP(AE$2,行为概览!$D$3:$M$33,10,0)="","",VLOOKUP(AE$2,行为概览!$D$3:$M$33,10,0)*IF(玩法行为规划!AD93&gt;0,1,0))</f>
        <v/>
      </c>
      <c r="AF93" s="7">
        <f>IF(VLOOKUP(AF$2,行为概览!$D$3:$M$33,10,0)="","",VLOOKUP(AF$2,行为概览!$D$3:$M$33,10,0)*IF(玩法行为规划!AE93&gt;0,1,0))</f>
        <v>20</v>
      </c>
      <c r="AG93" s="7">
        <f t="shared" si="7"/>
        <v>80</v>
      </c>
      <c r="AH93" s="7">
        <f t="shared" si="8"/>
        <v>7280</v>
      </c>
      <c r="AI93" s="7">
        <v>0</v>
      </c>
      <c r="AJ93" s="21" t="str">
        <f t="shared" si="10"/>
        <v/>
      </c>
      <c r="AK93" s="7">
        <f t="shared" si="9"/>
        <v>7280</v>
      </c>
      <c r="AL93" s="7">
        <f>SUM($AK$3:AK93)</f>
        <v>303015</v>
      </c>
    </row>
    <row r="94" spans="1:38">
      <c r="A94" s="32">
        <v>92</v>
      </c>
      <c r="B94" s="87">
        <f>升级节奏!F94</f>
        <v>92</v>
      </c>
      <c r="C94" s="7">
        <f>IF(VLOOKUP(C$2,行为概览!$D$3:$M$33,10,0)="","",VLOOKUP(C$2,行为概览!$D$3:$M$33,10,0)*IF(玩法行为规划!B94&gt;0,1,0))</f>
        <v>8</v>
      </c>
      <c r="D94" s="7" t="str">
        <f>IF(VLOOKUP(D$2,行为概览!$D$3:$M$33,10,0)="","",VLOOKUP(D$2,行为概览!$D$3:$M$33,10,0)*IF(玩法行为规划!C94&gt;0,1,0))</f>
        <v/>
      </c>
      <c r="E94" s="7" t="str">
        <f>IF(VLOOKUP(E$2,行为概览!$D$3:$M$33,10,0)="","",VLOOKUP(E$2,行为概览!$D$3:$M$33,10,0)*IF(玩法行为规划!D94&gt;0,1,0))</f>
        <v/>
      </c>
      <c r="F94" s="7">
        <f>IF(VLOOKUP(F$2,行为概览!$D$3:$M$33,10,0)="","",VLOOKUP(F$2,行为概览!$D$3:$M$33,10,0)*IF(玩法行为规划!E94&gt;0,1,0))</f>
        <v>10</v>
      </c>
      <c r="G94" s="7" t="str">
        <f>IF(VLOOKUP(G$2,行为概览!$D$3:$M$33,10,0)="","",VLOOKUP(G$2,行为概览!$D$3:$M$33,10,0)*IF(玩法行为规划!F94&gt;0,1,0))</f>
        <v/>
      </c>
      <c r="H94" s="7" t="str">
        <f>IF(VLOOKUP(H$2,行为概览!$D$3:$M$33,10,0)="","",VLOOKUP(H$2,行为概览!$D$3:$M$33,10,0)*IF(玩法行为规划!G94&gt;0,1,0))</f>
        <v/>
      </c>
      <c r="I94" s="7" t="str">
        <f>IF(VLOOKUP(I$2,行为概览!$D$3:$M$33,10,0)="","",VLOOKUP(I$2,行为概览!$D$3:$M$33,10,0)*IF(玩法行为规划!H94&gt;0,1,0))</f>
        <v/>
      </c>
      <c r="J94" s="7" t="str">
        <f>IF(VLOOKUP(J$2,行为概览!$D$3:$M$33,10,0)="","",VLOOKUP(J$2,行为概览!$D$3:$M$33,10,0)*IF(玩法行为规划!I94&gt;0,1,0))</f>
        <v/>
      </c>
      <c r="K94" s="7">
        <f>IF(VLOOKUP(K$2,行为概览!$D$3:$M$33,10,0)="","",VLOOKUP(K$2,行为概览!$D$3:$M$33,10,0)*IF(玩法行为规划!J94&gt;0,1,0))</f>
        <v>10</v>
      </c>
      <c r="L94" s="7">
        <f>IF(VLOOKUP(L$2,行为概览!$D$3:$M$33,10,0)="","",VLOOKUP(L$2,行为概览!$D$3:$M$33,10,0)*IF(玩法行为规划!K94&gt;0,1,0))</f>
        <v>5</v>
      </c>
      <c r="M94" s="7" t="str">
        <f>IF(VLOOKUP(M$2,行为概览!$D$3:$M$33,10,0)="","",VLOOKUP(M$2,行为概览!$D$3:$M$33,10,0)*IF(玩法行为规划!L94&gt;0,1,0))</f>
        <v/>
      </c>
      <c r="N94" s="7" t="str">
        <f>IF(VLOOKUP(N$2,行为概览!$D$3:$M$33,10,0)="","",VLOOKUP(N$2,行为概览!$D$3:$M$33,10,0)*IF(玩法行为规划!M94&gt;0,1,0))</f>
        <v/>
      </c>
      <c r="O94" s="7" t="str">
        <f>IF(VLOOKUP(O$2,行为概览!$D$3:$M$33,10,0)="","",VLOOKUP(O$2,行为概览!$D$3:$M$33,10,0)*IF(玩法行为规划!N94&gt;0,1,0))</f>
        <v/>
      </c>
      <c r="P94" s="7" t="str">
        <f>IF(VLOOKUP(P$2,行为概览!$D$3:$M$33,10,0)="","",VLOOKUP(P$2,行为概览!$D$3:$M$33,10,0)*IF(玩法行为规划!O94&gt;0,1,0))</f>
        <v/>
      </c>
      <c r="Q94" s="7">
        <f>IF(VLOOKUP(Q$2,行为概览!$D$3:$M$33,10,0)="","",VLOOKUP(Q$2,行为概览!$D$3:$M$33,10,0)*IF(玩法行为规划!P94&gt;0,1,0))</f>
        <v>10</v>
      </c>
      <c r="R94" s="7" t="str">
        <f>IF(VLOOKUP(R$2,行为概览!$D$3:$M$33,10,0)="","",VLOOKUP(R$2,行为概览!$D$3:$M$33,10,0)*IF(玩法行为规划!Q94&gt;0,1,0))</f>
        <v/>
      </c>
      <c r="S94" s="7">
        <f>IF(VLOOKUP(S$2,行为概览!$D$3:$M$33,10,0)="","",VLOOKUP(S$2,行为概览!$D$3:$M$33,10,0)*IF(玩法行为规划!R94&gt;0,1,0))</f>
        <v>3</v>
      </c>
      <c r="T94" s="7" t="str">
        <f>IF(VLOOKUP(T$2,行为概览!$D$3:$M$33,10,0)="","",VLOOKUP(T$2,行为概览!$D$3:$M$33,10,0)*IF(玩法行为规划!S94&gt;0,1,0))</f>
        <v/>
      </c>
      <c r="U94" s="7" t="str">
        <f>IF(VLOOKUP(U$2,行为概览!$D$3:$M$33,10,0)="","",VLOOKUP(U$2,行为概览!$D$3:$M$33,10,0)*IF(玩法行为规划!T94&gt;0,1,0))</f>
        <v/>
      </c>
      <c r="V94" s="7">
        <f>IF(VLOOKUP(V$2,行为概览!$D$3:$M$33,10,0)="","",VLOOKUP(V$2,行为概览!$D$3:$M$33,10,0)*IF(玩法行为规划!U94&gt;0,1,0))</f>
        <v>4</v>
      </c>
      <c r="W94" s="7" t="str">
        <f>IF(VLOOKUP(W$2,行为概览!$D$3:$M$33,10,0)="","",VLOOKUP(W$2,行为概览!$D$3:$M$33,10,0)*IF(玩法行为规划!V94&gt;0,1,0))</f>
        <v/>
      </c>
      <c r="X94" s="7" t="str">
        <f>IF(VLOOKUP(X$2,行为概览!$D$3:$M$33,10,0)="","",VLOOKUP(X$2,行为概览!$D$3:$M$33,10,0)*IF(玩法行为规划!W94&gt;0,1,0))</f>
        <v/>
      </c>
      <c r="Y94" s="7" t="str">
        <f>IF(VLOOKUP(Y$2,行为概览!$D$3:$M$33,10,0)="","",VLOOKUP(Y$2,行为概览!$D$3:$M$33,10,0)*IF(玩法行为规划!X94&gt;0,1,0))</f>
        <v/>
      </c>
      <c r="Z94" s="7">
        <f>IF(VLOOKUP(Z$2,行为概览!$D$3:$M$33,10,0)="","",VLOOKUP(Z$2,行为概览!$D$3:$M$33,10,0)*IF(玩法行为规划!Y94&gt;0,1,0))</f>
        <v>10</v>
      </c>
      <c r="AA94" s="7" t="str">
        <f>IF(VLOOKUP(AA$2,行为概览!$D$3:$M$33,10,0)="","",VLOOKUP(AA$2,行为概览!$D$3:$M$33,10,0)*IF(玩法行为规划!Z94&gt;0,1,0))</f>
        <v/>
      </c>
      <c r="AB94" s="7" t="str">
        <f>IF(VLOOKUP(AB$2,行为概览!$D$3:$M$33,10,0)="","",VLOOKUP(AB$2,行为概览!$D$3:$M$33,10,0)*IF(玩法行为规划!AA94&gt;0,1,0))</f>
        <v/>
      </c>
      <c r="AC94" s="7" t="str">
        <f>IF(VLOOKUP(AC$2,行为概览!$D$3:$M$33,10,0)="","",VLOOKUP(AC$2,行为概览!$D$3:$M$33,10,0)*IF(玩法行为规划!AB94&gt;0,1,0))</f>
        <v/>
      </c>
      <c r="AD94" s="7" t="str">
        <f>IF(VLOOKUP(AD$2,行为概览!$D$3:$M$33,10,0)="","",VLOOKUP(AD$2,行为概览!$D$3:$M$33,10,0)*IF(玩法行为规划!AC94&gt;0,1,0))</f>
        <v/>
      </c>
      <c r="AE94" s="7" t="str">
        <f>IF(VLOOKUP(AE$2,行为概览!$D$3:$M$33,10,0)="","",VLOOKUP(AE$2,行为概览!$D$3:$M$33,10,0)*IF(玩法行为规划!AD94&gt;0,1,0))</f>
        <v/>
      </c>
      <c r="AF94" s="7">
        <f>IF(VLOOKUP(AF$2,行为概览!$D$3:$M$33,10,0)="","",VLOOKUP(AF$2,行为概览!$D$3:$M$33,10,0)*IF(玩法行为规划!AE94&gt;0,1,0))</f>
        <v>20</v>
      </c>
      <c r="AG94" s="7">
        <f t="shared" si="7"/>
        <v>80</v>
      </c>
      <c r="AH94" s="7">
        <f t="shared" si="8"/>
        <v>7360</v>
      </c>
      <c r="AI94" s="7">
        <v>0</v>
      </c>
      <c r="AJ94" s="21" t="str">
        <f t="shared" si="10"/>
        <v/>
      </c>
      <c r="AK94" s="7">
        <f t="shared" si="9"/>
        <v>7360</v>
      </c>
      <c r="AL94" s="7">
        <f>SUM($AK$3:AK94)</f>
        <v>310375</v>
      </c>
    </row>
    <row r="95" spans="1:38">
      <c r="A95" s="32">
        <v>93</v>
      </c>
      <c r="B95" s="87">
        <f>升级节奏!F95</f>
        <v>93</v>
      </c>
      <c r="C95" s="7">
        <f>IF(VLOOKUP(C$2,行为概览!$D$3:$M$33,10,0)="","",VLOOKUP(C$2,行为概览!$D$3:$M$33,10,0)*IF(玩法行为规划!B95&gt;0,1,0))</f>
        <v>8</v>
      </c>
      <c r="D95" s="7" t="str">
        <f>IF(VLOOKUP(D$2,行为概览!$D$3:$M$33,10,0)="","",VLOOKUP(D$2,行为概览!$D$3:$M$33,10,0)*IF(玩法行为规划!C95&gt;0,1,0))</f>
        <v/>
      </c>
      <c r="E95" s="7" t="str">
        <f>IF(VLOOKUP(E$2,行为概览!$D$3:$M$33,10,0)="","",VLOOKUP(E$2,行为概览!$D$3:$M$33,10,0)*IF(玩法行为规划!D95&gt;0,1,0))</f>
        <v/>
      </c>
      <c r="F95" s="7">
        <f>IF(VLOOKUP(F$2,行为概览!$D$3:$M$33,10,0)="","",VLOOKUP(F$2,行为概览!$D$3:$M$33,10,0)*IF(玩法行为规划!E95&gt;0,1,0))</f>
        <v>10</v>
      </c>
      <c r="G95" s="7" t="str">
        <f>IF(VLOOKUP(G$2,行为概览!$D$3:$M$33,10,0)="","",VLOOKUP(G$2,行为概览!$D$3:$M$33,10,0)*IF(玩法行为规划!F95&gt;0,1,0))</f>
        <v/>
      </c>
      <c r="H95" s="7" t="str">
        <f>IF(VLOOKUP(H$2,行为概览!$D$3:$M$33,10,0)="","",VLOOKUP(H$2,行为概览!$D$3:$M$33,10,0)*IF(玩法行为规划!G95&gt;0,1,0))</f>
        <v/>
      </c>
      <c r="I95" s="7" t="str">
        <f>IF(VLOOKUP(I$2,行为概览!$D$3:$M$33,10,0)="","",VLOOKUP(I$2,行为概览!$D$3:$M$33,10,0)*IF(玩法行为规划!H95&gt;0,1,0))</f>
        <v/>
      </c>
      <c r="J95" s="7" t="str">
        <f>IF(VLOOKUP(J$2,行为概览!$D$3:$M$33,10,0)="","",VLOOKUP(J$2,行为概览!$D$3:$M$33,10,0)*IF(玩法行为规划!I95&gt;0,1,0))</f>
        <v/>
      </c>
      <c r="K95" s="7">
        <f>IF(VLOOKUP(K$2,行为概览!$D$3:$M$33,10,0)="","",VLOOKUP(K$2,行为概览!$D$3:$M$33,10,0)*IF(玩法行为规划!J95&gt;0,1,0))</f>
        <v>10</v>
      </c>
      <c r="L95" s="7">
        <f>IF(VLOOKUP(L$2,行为概览!$D$3:$M$33,10,0)="","",VLOOKUP(L$2,行为概览!$D$3:$M$33,10,0)*IF(玩法行为规划!K95&gt;0,1,0))</f>
        <v>5</v>
      </c>
      <c r="M95" s="7" t="str">
        <f>IF(VLOOKUP(M$2,行为概览!$D$3:$M$33,10,0)="","",VLOOKUP(M$2,行为概览!$D$3:$M$33,10,0)*IF(玩法行为规划!L95&gt;0,1,0))</f>
        <v/>
      </c>
      <c r="N95" s="7" t="str">
        <f>IF(VLOOKUP(N$2,行为概览!$D$3:$M$33,10,0)="","",VLOOKUP(N$2,行为概览!$D$3:$M$33,10,0)*IF(玩法行为规划!M95&gt;0,1,0))</f>
        <v/>
      </c>
      <c r="O95" s="7" t="str">
        <f>IF(VLOOKUP(O$2,行为概览!$D$3:$M$33,10,0)="","",VLOOKUP(O$2,行为概览!$D$3:$M$33,10,0)*IF(玩法行为规划!N95&gt;0,1,0))</f>
        <v/>
      </c>
      <c r="P95" s="7" t="str">
        <f>IF(VLOOKUP(P$2,行为概览!$D$3:$M$33,10,0)="","",VLOOKUP(P$2,行为概览!$D$3:$M$33,10,0)*IF(玩法行为规划!O95&gt;0,1,0))</f>
        <v/>
      </c>
      <c r="Q95" s="7">
        <f>IF(VLOOKUP(Q$2,行为概览!$D$3:$M$33,10,0)="","",VLOOKUP(Q$2,行为概览!$D$3:$M$33,10,0)*IF(玩法行为规划!P95&gt;0,1,0))</f>
        <v>10</v>
      </c>
      <c r="R95" s="7" t="str">
        <f>IF(VLOOKUP(R$2,行为概览!$D$3:$M$33,10,0)="","",VLOOKUP(R$2,行为概览!$D$3:$M$33,10,0)*IF(玩法行为规划!Q95&gt;0,1,0))</f>
        <v/>
      </c>
      <c r="S95" s="7">
        <f>IF(VLOOKUP(S$2,行为概览!$D$3:$M$33,10,0)="","",VLOOKUP(S$2,行为概览!$D$3:$M$33,10,0)*IF(玩法行为规划!R95&gt;0,1,0))</f>
        <v>3</v>
      </c>
      <c r="T95" s="7" t="str">
        <f>IF(VLOOKUP(T$2,行为概览!$D$3:$M$33,10,0)="","",VLOOKUP(T$2,行为概览!$D$3:$M$33,10,0)*IF(玩法行为规划!S95&gt;0,1,0))</f>
        <v/>
      </c>
      <c r="U95" s="7" t="str">
        <f>IF(VLOOKUP(U$2,行为概览!$D$3:$M$33,10,0)="","",VLOOKUP(U$2,行为概览!$D$3:$M$33,10,0)*IF(玩法行为规划!T95&gt;0,1,0))</f>
        <v/>
      </c>
      <c r="V95" s="7">
        <f>IF(VLOOKUP(V$2,行为概览!$D$3:$M$33,10,0)="","",VLOOKUP(V$2,行为概览!$D$3:$M$33,10,0)*IF(玩法行为规划!U95&gt;0,1,0))</f>
        <v>4</v>
      </c>
      <c r="W95" s="7" t="str">
        <f>IF(VLOOKUP(W$2,行为概览!$D$3:$M$33,10,0)="","",VLOOKUP(W$2,行为概览!$D$3:$M$33,10,0)*IF(玩法行为规划!V95&gt;0,1,0))</f>
        <v/>
      </c>
      <c r="X95" s="7" t="str">
        <f>IF(VLOOKUP(X$2,行为概览!$D$3:$M$33,10,0)="","",VLOOKUP(X$2,行为概览!$D$3:$M$33,10,0)*IF(玩法行为规划!W95&gt;0,1,0))</f>
        <v/>
      </c>
      <c r="Y95" s="7" t="str">
        <f>IF(VLOOKUP(Y$2,行为概览!$D$3:$M$33,10,0)="","",VLOOKUP(Y$2,行为概览!$D$3:$M$33,10,0)*IF(玩法行为规划!X95&gt;0,1,0))</f>
        <v/>
      </c>
      <c r="Z95" s="7">
        <f>IF(VLOOKUP(Z$2,行为概览!$D$3:$M$33,10,0)="","",VLOOKUP(Z$2,行为概览!$D$3:$M$33,10,0)*IF(玩法行为规划!Y95&gt;0,1,0))</f>
        <v>10</v>
      </c>
      <c r="AA95" s="7" t="str">
        <f>IF(VLOOKUP(AA$2,行为概览!$D$3:$M$33,10,0)="","",VLOOKUP(AA$2,行为概览!$D$3:$M$33,10,0)*IF(玩法行为规划!Z95&gt;0,1,0))</f>
        <v/>
      </c>
      <c r="AB95" s="7" t="str">
        <f>IF(VLOOKUP(AB$2,行为概览!$D$3:$M$33,10,0)="","",VLOOKUP(AB$2,行为概览!$D$3:$M$33,10,0)*IF(玩法行为规划!AA95&gt;0,1,0))</f>
        <v/>
      </c>
      <c r="AC95" s="7" t="str">
        <f>IF(VLOOKUP(AC$2,行为概览!$D$3:$M$33,10,0)="","",VLOOKUP(AC$2,行为概览!$D$3:$M$33,10,0)*IF(玩法行为规划!AB95&gt;0,1,0))</f>
        <v/>
      </c>
      <c r="AD95" s="7" t="str">
        <f>IF(VLOOKUP(AD$2,行为概览!$D$3:$M$33,10,0)="","",VLOOKUP(AD$2,行为概览!$D$3:$M$33,10,0)*IF(玩法行为规划!AC95&gt;0,1,0))</f>
        <v/>
      </c>
      <c r="AE95" s="7" t="str">
        <f>IF(VLOOKUP(AE$2,行为概览!$D$3:$M$33,10,0)="","",VLOOKUP(AE$2,行为概览!$D$3:$M$33,10,0)*IF(玩法行为规划!AD95&gt;0,1,0))</f>
        <v/>
      </c>
      <c r="AF95" s="7">
        <f>IF(VLOOKUP(AF$2,行为概览!$D$3:$M$33,10,0)="","",VLOOKUP(AF$2,行为概览!$D$3:$M$33,10,0)*IF(玩法行为规划!AE95&gt;0,1,0))</f>
        <v>20</v>
      </c>
      <c r="AG95" s="7">
        <f t="shared" si="7"/>
        <v>80</v>
      </c>
      <c r="AH95" s="7">
        <f t="shared" si="8"/>
        <v>7440</v>
      </c>
      <c r="AI95" s="7">
        <v>0</v>
      </c>
      <c r="AJ95" s="21" t="str">
        <f t="shared" si="10"/>
        <v/>
      </c>
      <c r="AK95" s="7">
        <f t="shared" si="9"/>
        <v>7440</v>
      </c>
      <c r="AL95" s="7">
        <f>SUM($AK$3:AK95)</f>
        <v>317815</v>
      </c>
    </row>
    <row r="96" spans="1:38">
      <c r="A96" s="32">
        <v>94</v>
      </c>
      <c r="B96" s="87">
        <f>升级节奏!F96</f>
        <v>94</v>
      </c>
      <c r="C96" s="7">
        <f>IF(VLOOKUP(C$2,行为概览!$D$3:$M$33,10,0)="","",VLOOKUP(C$2,行为概览!$D$3:$M$33,10,0)*IF(玩法行为规划!B96&gt;0,1,0))</f>
        <v>8</v>
      </c>
      <c r="D96" s="7" t="str">
        <f>IF(VLOOKUP(D$2,行为概览!$D$3:$M$33,10,0)="","",VLOOKUP(D$2,行为概览!$D$3:$M$33,10,0)*IF(玩法行为规划!C96&gt;0,1,0))</f>
        <v/>
      </c>
      <c r="E96" s="7" t="str">
        <f>IF(VLOOKUP(E$2,行为概览!$D$3:$M$33,10,0)="","",VLOOKUP(E$2,行为概览!$D$3:$M$33,10,0)*IF(玩法行为规划!D96&gt;0,1,0))</f>
        <v/>
      </c>
      <c r="F96" s="7">
        <f>IF(VLOOKUP(F$2,行为概览!$D$3:$M$33,10,0)="","",VLOOKUP(F$2,行为概览!$D$3:$M$33,10,0)*IF(玩法行为规划!E96&gt;0,1,0))</f>
        <v>10</v>
      </c>
      <c r="G96" s="7" t="str">
        <f>IF(VLOOKUP(G$2,行为概览!$D$3:$M$33,10,0)="","",VLOOKUP(G$2,行为概览!$D$3:$M$33,10,0)*IF(玩法行为规划!F96&gt;0,1,0))</f>
        <v/>
      </c>
      <c r="H96" s="7" t="str">
        <f>IF(VLOOKUP(H$2,行为概览!$D$3:$M$33,10,0)="","",VLOOKUP(H$2,行为概览!$D$3:$M$33,10,0)*IF(玩法行为规划!G96&gt;0,1,0))</f>
        <v/>
      </c>
      <c r="I96" s="7" t="str">
        <f>IF(VLOOKUP(I$2,行为概览!$D$3:$M$33,10,0)="","",VLOOKUP(I$2,行为概览!$D$3:$M$33,10,0)*IF(玩法行为规划!H96&gt;0,1,0))</f>
        <v/>
      </c>
      <c r="J96" s="7" t="str">
        <f>IF(VLOOKUP(J$2,行为概览!$D$3:$M$33,10,0)="","",VLOOKUP(J$2,行为概览!$D$3:$M$33,10,0)*IF(玩法行为规划!I96&gt;0,1,0))</f>
        <v/>
      </c>
      <c r="K96" s="7">
        <f>IF(VLOOKUP(K$2,行为概览!$D$3:$M$33,10,0)="","",VLOOKUP(K$2,行为概览!$D$3:$M$33,10,0)*IF(玩法行为规划!J96&gt;0,1,0))</f>
        <v>10</v>
      </c>
      <c r="L96" s="7">
        <f>IF(VLOOKUP(L$2,行为概览!$D$3:$M$33,10,0)="","",VLOOKUP(L$2,行为概览!$D$3:$M$33,10,0)*IF(玩法行为规划!K96&gt;0,1,0))</f>
        <v>5</v>
      </c>
      <c r="M96" s="7" t="str">
        <f>IF(VLOOKUP(M$2,行为概览!$D$3:$M$33,10,0)="","",VLOOKUP(M$2,行为概览!$D$3:$M$33,10,0)*IF(玩法行为规划!L96&gt;0,1,0))</f>
        <v/>
      </c>
      <c r="N96" s="7" t="str">
        <f>IF(VLOOKUP(N$2,行为概览!$D$3:$M$33,10,0)="","",VLOOKUP(N$2,行为概览!$D$3:$M$33,10,0)*IF(玩法行为规划!M96&gt;0,1,0))</f>
        <v/>
      </c>
      <c r="O96" s="7" t="str">
        <f>IF(VLOOKUP(O$2,行为概览!$D$3:$M$33,10,0)="","",VLOOKUP(O$2,行为概览!$D$3:$M$33,10,0)*IF(玩法行为规划!N96&gt;0,1,0))</f>
        <v/>
      </c>
      <c r="P96" s="7" t="str">
        <f>IF(VLOOKUP(P$2,行为概览!$D$3:$M$33,10,0)="","",VLOOKUP(P$2,行为概览!$D$3:$M$33,10,0)*IF(玩法行为规划!O96&gt;0,1,0))</f>
        <v/>
      </c>
      <c r="Q96" s="7">
        <f>IF(VLOOKUP(Q$2,行为概览!$D$3:$M$33,10,0)="","",VLOOKUP(Q$2,行为概览!$D$3:$M$33,10,0)*IF(玩法行为规划!P96&gt;0,1,0))</f>
        <v>10</v>
      </c>
      <c r="R96" s="7" t="str">
        <f>IF(VLOOKUP(R$2,行为概览!$D$3:$M$33,10,0)="","",VLOOKUP(R$2,行为概览!$D$3:$M$33,10,0)*IF(玩法行为规划!Q96&gt;0,1,0))</f>
        <v/>
      </c>
      <c r="S96" s="7">
        <f>IF(VLOOKUP(S$2,行为概览!$D$3:$M$33,10,0)="","",VLOOKUP(S$2,行为概览!$D$3:$M$33,10,0)*IF(玩法行为规划!R96&gt;0,1,0))</f>
        <v>3</v>
      </c>
      <c r="T96" s="7" t="str">
        <f>IF(VLOOKUP(T$2,行为概览!$D$3:$M$33,10,0)="","",VLOOKUP(T$2,行为概览!$D$3:$M$33,10,0)*IF(玩法行为规划!S96&gt;0,1,0))</f>
        <v/>
      </c>
      <c r="U96" s="7" t="str">
        <f>IF(VLOOKUP(U$2,行为概览!$D$3:$M$33,10,0)="","",VLOOKUP(U$2,行为概览!$D$3:$M$33,10,0)*IF(玩法行为规划!T96&gt;0,1,0))</f>
        <v/>
      </c>
      <c r="V96" s="7">
        <f>IF(VLOOKUP(V$2,行为概览!$D$3:$M$33,10,0)="","",VLOOKUP(V$2,行为概览!$D$3:$M$33,10,0)*IF(玩法行为规划!U96&gt;0,1,0))</f>
        <v>4</v>
      </c>
      <c r="W96" s="7" t="str">
        <f>IF(VLOOKUP(W$2,行为概览!$D$3:$M$33,10,0)="","",VLOOKUP(W$2,行为概览!$D$3:$M$33,10,0)*IF(玩法行为规划!V96&gt;0,1,0))</f>
        <v/>
      </c>
      <c r="X96" s="7" t="str">
        <f>IF(VLOOKUP(X$2,行为概览!$D$3:$M$33,10,0)="","",VLOOKUP(X$2,行为概览!$D$3:$M$33,10,0)*IF(玩法行为规划!W96&gt;0,1,0))</f>
        <v/>
      </c>
      <c r="Y96" s="7" t="str">
        <f>IF(VLOOKUP(Y$2,行为概览!$D$3:$M$33,10,0)="","",VLOOKUP(Y$2,行为概览!$D$3:$M$33,10,0)*IF(玩法行为规划!X96&gt;0,1,0))</f>
        <v/>
      </c>
      <c r="Z96" s="7">
        <f>IF(VLOOKUP(Z$2,行为概览!$D$3:$M$33,10,0)="","",VLOOKUP(Z$2,行为概览!$D$3:$M$33,10,0)*IF(玩法行为规划!Y96&gt;0,1,0))</f>
        <v>10</v>
      </c>
      <c r="AA96" s="7" t="str">
        <f>IF(VLOOKUP(AA$2,行为概览!$D$3:$M$33,10,0)="","",VLOOKUP(AA$2,行为概览!$D$3:$M$33,10,0)*IF(玩法行为规划!Z96&gt;0,1,0))</f>
        <v/>
      </c>
      <c r="AB96" s="7" t="str">
        <f>IF(VLOOKUP(AB$2,行为概览!$D$3:$M$33,10,0)="","",VLOOKUP(AB$2,行为概览!$D$3:$M$33,10,0)*IF(玩法行为规划!AA96&gt;0,1,0))</f>
        <v/>
      </c>
      <c r="AC96" s="7" t="str">
        <f>IF(VLOOKUP(AC$2,行为概览!$D$3:$M$33,10,0)="","",VLOOKUP(AC$2,行为概览!$D$3:$M$33,10,0)*IF(玩法行为规划!AB96&gt;0,1,0))</f>
        <v/>
      </c>
      <c r="AD96" s="7" t="str">
        <f>IF(VLOOKUP(AD$2,行为概览!$D$3:$M$33,10,0)="","",VLOOKUP(AD$2,行为概览!$D$3:$M$33,10,0)*IF(玩法行为规划!AC96&gt;0,1,0))</f>
        <v/>
      </c>
      <c r="AE96" s="7" t="str">
        <f>IF(VLOOKUP(AE$2,行为概览!$D$3:$M$33,10,0)="","",VLOOKUP(AE$2,行为概览!$D$3:$M$33,10,0)*IF(玩法行为规划!AD96&gt;0,1,0))</f>
        <v/>
      </c>
      <c r="AF96" s="7">
        <f>IF(VLOOKUP(AF$2,行为概览!$D$3:$M$33,10,0)="","",VLOOKUP(AF$2,行为概览!$D$3:$M$33,10,0)*IF(玩法行为规划!AE96&gt;0,1,0))</f>
        <v>20</v>
      </c>
      <c r="AG96" s="7">
        <f t="shared" si="7"/>
        <v>80</v>
      </c>
      <c r="AH96" s="7">
        <f t="shared" si="8"/>
        <v>7520</v>
      </c>
      <c r="AI96" s="7">
        <v>0</v>
      </c>
      <c r="AJ96" s="21" t="str">
        <f t="shared" si="10"/>
        <v/>
      </c>
      <c r="AK96" s="7">
        <f t="shared" si="9"/>
        <v>7520</v>
      </c>
      <c r="AL96" s="7">
        <f>SUM($AK$3:AK96)</f>
        <v>325335</v>
      </c>
    </row>
    <row r="97" spans="1:38">
      <c r="A97" s="32">
        <v>95</v>
      </c>
      <c r="B97" s="87">
        <f>升级节奏!F97</f>
        <v>95</v>
      </c>
      <c r="C97" s="7">
        <f>IF(VLOOKUP(C$2,行为概览!$D$3:$M$33,10,0)="","",VLOOKUP(C$2,行为概览!$D$3:$M$33,10,0)*IF(玩法行为规划!B97&gt;0,1,0))</f>
        <v>8</v>
      </c>
      <c r="D97" s="7" t="str">
        <f>IF(VLOOKUP(D$2,行为概览!$D$3:$M$33,10,0)="","",VLOOKUP(D$2,行为概览!$D$3:$M$33,10,0)*IF(玩法行为规划!C97&gt;0,1,0))</f>
        <v/>
      </c>
      <c r="E97" s="7" t="str">
        <f>IF(VLOOKUP(E$2,行为概览!$D$3:$M$33,10,0)="","",VLOOKUP(E$2,行为概览!$D$3:$M$33,10,0)*IF(玩法行为规划!D97&gt;0,1,0))</f>
        <v/>
      </c>
      <c r="F97" s="7">
        <f>IF(VLOOKUP(F$2,行为概览!$D$3:$M$33,10,0)="","",VLOOKUP(F$2,行为概览!$D$3:$M$33,10,0)*IF(玩法行为规划!E97&gt;0,1,0))</f>
        <v>10</v>
      </c>
      <c r="G97" s="7" t="str">
        <f>IF(VLOOKUP(G$2,行为概览!$D$3:$M$33,10,0)="","",VLOOKUP(G$2,行为概览!$D$3:$M$33,10,0)*IF(玩法行为规划!F97&gt;0,1,0))</f>
        <v/>
      </c>
      <c r="H97" s="7" t="str">
        <f>IF(VLOOKUP(H$2,行为概览!$D$3:$M$33,10,0)="","",VLOOKUP(H$2,行为概览!$D$3:$M$33,10,0)*IF(玩法行为规划!G97&gt;0,1,0))</f>
        <v/>
      </c>
      <c r="I97" s="7" t="str">
        <f>IF(VLOOKUP(I$2,行为概览!$D$3:$M$33,10,0)="","",VLOOKUP(I$2,行为概览!$D$3:$M$33,10,0)*IF(玩法行为规划!H97&gt;0,1,0))</f>
        <v/>
      </c>
      <c r="J97" s="7" t="str">
        <f>IF(VLOOKUP(J$2,行为概览!$D$3:$M$33,10,0)="","",VLOOKUP(J$2,行为概览!$D$3:$M$33,10,0)*IF(玩法行为规划!I97&gt;0,1,0))</f>
        <v/>
      </c>
      <c r="K97" s="7">
        <f>IF(VLOOKUP(K$2,行为概览!$D$3:$M$33,10,0)="","",VLOOKUP(K$2,行为概览!$D$3:$M$33,10,0)*IF(玩法行为规划!J97&gt;0,1,0))</f>
        <v>10</v>
      </c>
      <c r="L97" s="7">
        <f>IF(VLOOKUP(L$2,行为概览!$D$3:$M$33,10,0)="","",VLOOKUP(L$2,行为概览!$D$3:$M$33,10,0)*IF(玩法行为规划!K97&gt;0,1,0))</f>
        <v>5</v>
      </c>
      <c r="M97" s="7" t="str">
        <f>IF(VLOOKUP(M$2,行为概览!$D$3:$M$33,10,0)="","",VLOOKUP(M$2,行为概览!$D$3:$M$33,10,0)*IF(玩法行为规划!L97&gt;0,1,0))</f>
        <v/>
      </c>
      <c r="N97" s="7" t="str">
        <f>IF(VLOOKUP(N$2,行为概览!$D$3:$M$33,10,0)="","",VLOOKUP(N$2,行为概览!$D$3:$M$33,10,0)*IF(玩法行为规划!M97&gt;0,1,0))</f>
        <v/>
      </c>
      <c r="O97" s="7" t="str">
        <f>IF(VLOOKUP(O$2,行为概览!$D$3:$M$33,10,0)="","",VLOOKUP(O$2,行为概览!$D$3:$M$33,10,0)*IF(玩法行为规划!N97&gt;0,1,0))</f>
        <v/>
      </c>
      <c r="P97" s="7" t="str">
        <f>IF(VLOOKUP(P$2,行为概览!$D$3:$M$33,10,0)="","",VLOOKUP(P$2,行为概览!$D$3:$M$33,10,0)*IF(玩法行为规划!O97&gt;0,1,0))</f>
        <v/>
      </c>
      <c r="Q97" s="7">
        <f>IF(VLOOKUP(Q$2,行为概览!$D$3:$M$33,10,0)="","",VLOOKUP(Q$2,行为概览!$D$3:$M$33,10,0)*IF(玩法行为规划!P97&gt;0,1,0))</f>
        <v>10</v>
      </c>
      <c r="R97" s="7" t="str">
        <f>IF(VLOOKUP(R$2,行为概览!$D$3:$M$33,10,0)="","",VLOOKUP(R$2,行为概览!$D$3:$M$33,10,0)*IF(玩法行为规划!Q97&gt;0,1,0))</f>
        <v/>
      </c>
      <c r="S97" s="7">
        <f>IF(VLOOKUP(S$2,行为概览!$D$3:$M$33,10,0)="","",VLOOKUP(S$2,行为概览!$D$3:$M$33,10,0)*IF(玩法行为规划!R97&gt;0,1,0))</f>
        <v>3</v>
      </c>
      <c r="T97" s="7" t="str">
        <f>IF(VLOOKUP(T$2,行为概览!$D$3:$M$33,10,0)="","",VLOOKUP(T$2,行为概览!$D$3:$M$33,10,0)*IF(玩法行为规划!S97&gt;0,1,0))</f>
        <v/>
      </c>
      <c r="U97" s="7" t="str">
        <f>IF(VLOOKUP(U$2,行为概览!$D$3:$M$33,10,0)="","",VLOOKUP(U$2,行为概览!$D$3:$M$33,10,0)*IF(玩法行为规划!T97&gt;0,1,0))</f>
        <v/>
      </c>
      <c r="V97" s="7">
        <f>IF(VLOOKUP(V$2,行为概览!$D$3:$M$33,10,0)="","",VLOOKUP(V$2,行为概览!$D$3:$M$33,10,0)*IF(玩法行为规划!U97&gt;0,1,0))</f>
        <v>4</v>
      </c>
      <c r="W97" s="7" t="str">
        <f>IF(VLOOKUP(W$2,行为概览!$D$3:$M$33,10,0)="","",VLOOKUP(W$2,行为概览!$D$3:$M$33,10,0)*IF(玩法行为规划!V97&gt;0,1,0))</f>
        <v/>
      </c>
      <c r="X97" s="7" t="str">
        <f>IF(VLOOKUP(X$2,行为概览!$D$3:$M$33,10,0)="","",VLOOKUP(X$2,行为概览!$D$3:$M$33,10,0)*IF(玩法行为规划!W97&gt;0,1,0))</f>
        <v/>
      </c>
      <c r="Y97" s="7" t="str">
        <f>IF(VLOOKUP(Y$2,行为概览!$D$3:$M$33,10,0)="","",VLOOKUP(Y$2,行为概览!$D$3:$M$33,10,0)*IF(玩法行为规划!X97&gt;0,1,0))</f>
        <v/>
      </c>
      <c r="Z97" s="7">
        <f>IF(VLOOKUP(Z$2,行为概览!$D$3:$M$33,10,0)="","",VLOOKUP(Z$2,行为概览!$D$3:$M$33,10,0)*IF(玩法行为规划!Y97&gt;0,1,0))</f>
        <v>10</v>
      </c>
      <c r="AA97" s="7" t="str">
        <f>IF(VLOOKUP(AA$2,行为概览!$D$3:$M$33,10,0)="","",VLOOKUP(AA$2,行为概览!$D$3:$M$33,10,0)*IF(玩法行为规划!Z97&gt;0,1,0))</f>
        <v/>
      </c>
      <c r="AB97" s="7" t="str">
        <f>IF(VLOOKUP(AB$2,行为概览!$D$3:$M$33,10,0)="","",VLOOKUP(AB$2,行为概览!$D$3:$M$33,10,0)*IF(玩法行为规划!AA97&gt;0,1,0))</f>
        <v/>
      </c>
      <c r="AC97" s="7" t="str">
        <f>IF(VLOOKUP(AC$2,行为概览!$D$3:$M$33,10,0)="","",VLOOKUP(AC$2,行为概览!$D$3:$M$33,10,0)*IF(玩法行为规划!AB97&gt;0,1,0))</f>
        <v/>
      </c>
      <c r="AD97" s="7" t="str">
        <f>IF(VLOOKUP(AD$2,行为概览!$D$3:$M$33,10,0)="","",VLOOKUP(AD$2,行为概览!$D$3:$M$33,10,0)*IF(玩法行为规划!AC97&gt;0,1,0))</f>
        <v/>
      </c>
      <c r="AE97" s="7" t="str">
        <f>IF(VLOOKUP(AE$2,行为概览!$D$3:$M$33,10,0)="","",VLOOKUP(AE$2,行为概览!$D$3:$M$33,10,0)*IF(玩法行为规划!AD97&gt;0,1,0))</f>
        <v/>
      </c>
      <c r="AF97" s="7">
        <f>IF(VLOOKUP(AF$2,行为概览!$D$3:$M$33,10,0)="","",VLOOKUP(AF$2,行为概览!$D$3:$M$33,10,0)*IF(玩法行为规划!AE97&gt;0,1,0))</f>
        <v>20</v>
      </c>
      <c r="AG97" s="7">
        <f t="shared" si="7"/>
        <v>80</v>
      </c>
      <c r="AH97" s="7">
        <f t="shared" si="8"/>
        <v>7600</v>
      </c>
      <c r="AI97" s="7">
        <v>0</v>
      </c>
      <c r="AJ97" s="21" t="str">
        <f t="shared" si="10"/>
        <v/>
      </c>
      <c r="AK97" s="7">
        <f t="shared" si="9"/>
        <v>7600</v>
      </c>
      <c r="AL97" s="7">
        <f>SUM($AK$3:AK97)</f>
        <v>332935</v>
      </c>
    </row>
    <row r="98" spans="1:38">
      <c r="A98" s="32">
        <v>96</v>
      </c>
      <c r="B98" s="87">
        <f>升级节奏!F98</f>
        <v>96</v>
      </c>
      <c r="C98" s="7">
        <f>IF(VLOOKUP(C$2,行为概览!$D$3:$M$33,10,0)="","",VLOOKUP(C$2,行为概览!$D$3:$M$33,10,0)*IF(玩法行为规划!B98&gt;0,1,0))</f>
        <v>8</v>
      </c>
      <c r="D98" s="7" t="str">
        <f>IF(VLOOKUP(D$2,行为概览!$D$3:$M$33,10,0)="","",VLOOKUP(D$2,行为概览!$D$3:$M$33,10,0)*IF(玩法行为规划!C98&gt;0,1,0))</f>
        <v/>
      </c>
      <c r="E98" s="7" t="str">
        <f>IF(VLOOKUP(E$2,行为概览!$D$3:$M$33,10,0)="","",VLOOKUP(E$2,行为概览!$D$3:$M$33,10,0)*IF(玩法行为规划!D98&gt;0,1,0))</f>
        <v/>
      </c>
      <c r="F98" s="7">
        <f>IF(VLOOKUP(F$2,行为概览!$D$3:$M$33,10,0)="","",VLOOKUP(F$2,行为概览!$D$3:$M$33,10,0)*IF(玩法行为规划!E98&gt;0,1,0))</f>
        <v>10</v>
      </c>
      <c r="G98" s="7" t="str">
        <f>IF(VLOOKUP(G$2,行为概览!$D$3:$M$33,10,0)="","",VLOOKUP(G$2,行为概览!$D$3:$M$33,10,0)*IF(玩法行为规划!F98&gt;0,1,0))</f>
        <v/>
      </c>
      <c r="H98" s="7" t="str">
        <f>IF(VLOOKUP(H$2,行为概览!$D$3:$M$33,10,0)="","",VLOOKUP(H$2,行为概览!$D$3:$M$33,10,0)*IF(玩法行为规划!G98&gt;0,1,0))</f>
        <v/>
      </c>
      <c r="I98" s="7" t="str">
        <f>IF(VLOOKUP(I$2,行为概览!$D$3:$M$33,10,0)="","",VLOOKUP(I$2,行为概览!$D$3:$M$33,10,0)*IF(玩法行为规划!H98&gt;0,1,0))</f>
        <v/>
      </c>
      <c r="J98" s="7" t="str">
        <f>IF(VLOOKUP(J$2,行为概览!$D$3:$M$33,10,0)="","",VLOOKUP(J$2,行为概览!$D$3:$M$33,10,0)*IF(玩法行为规划!I98&gt;0,1,0))</f>
        <v/>
      </c>
      <c r="K98" s="7">
        <f>IF(VLOOKUP(K$2,行为概览!$D$3:$M$33,10,0)="","",VLOOKUP(K$2,行为概览!$D$3:$M$33,10,0)*IF(玩法行为规划!J98&gt;0,1,0))</f>
        <v>10</v>
      </c>
      <c r="L98" s="7">
        <f>IF(VLOOKUP(L$2,行为概览!$D$3:$M$33,10,0)="","",VLOOKUP(L$2,行为概览!$D$3:$M$33,10,0)*IF(玩法行为规划!K98&gt;0,1,0))</f>
        <v>5</v>
      </c>
      <c r="M98" s="7" t="str">
        <f>IF(VLOOKUP(M$2,行为概览!$D$3:$M$33,10,0)="","",VLOOKUP(M$2,行为概览!$D$3:$M$33,10,0)*IF(玩法行为规划!L98&gt;0,1,0))</f>
        <v/>
      </c>
      <c r="N98" s="7" t="str">
        <f>IF(VLOOKUP(N$2,行为概览!$D$3:$M$33,10,0)="","",VLOOKUP(N$2,行为概览!$D$3:$M$33,10,0)*IF(玩法行为规划!M98&gt;0,1,0))</f>
        <v/>
      </c>
      <c r="O98" s="7" t="str">
        <f>IF(VLOOKUP(O$2,行为概览!$D$3:$M$33,10,0)="","",VLOOKUP(O$2,行为概览!$D$3:$M$33,10,0)*IF(玩法行为规划!N98&gt;0,1,0))</f>
        <v/>
      </c>
      <c r="P98" s="7" t="str">
        <f>IF(VLOOKUP(P$2,行为概览!$D$3:$M$33,10,0)="","",VLOOKUP(P$2,行为概览!$D$3:$M$33,10,0)*IF(玩法行为规划!O98&gt;0,1,0))</f>
        <v/>
      </c>
      <c r="Q98" s="7">
        <f>IF(VLOOKUP(Q$2,行为概览!$D$3:$M$33,10,0)="","",VLOOKUP(Q$2,行为概览!$D$3:$M$33,10,0)*IF(玩法行为规划!P98&gt;0,1,0))</f>
        <v>10</v>
      </c>
      <c r="R98" s="7" t="str">
        <f>IF(VLOOKUP(R$2,行为概览!$D$3:$M$33,10,0)="","",VLOOKUP(R$2,行为概览!$D$3:$M$33,10,0)*IF(玩法行为规划!Q98&gt;0,1,0))</f>
        <v/>
      </c>
      <c r="S98" s="7">
        <f>IF(VLOOKUP(S$2,行为概览!$D$3:$M$33,10,0)="","",VLOOKUP(S$2,行为概览!$D$3:$M$33,10,0)*IF(玩法行为规划!R98&gt;0,1,0))</f>
        <v>3</v>
      </c>
      <c r="T98" s="7" t="str">
        <f>IF(VLOOKUP(T$2,行为概览!$D$3:$M$33,10,0)="","",VLOOKUP(T$2,行为概览!$D$3:$M$33,10,0)*IF(玩法行为规划!S98&gt;0,1,0))</f>
        <v/>
      </c>
      <c r="U98" s="7" t="str">
        <f>IF(VLOOKUP(U$2,行为概览!$D$3:$M$33,10,0)="","",VLOOKUP(U$2,行为概览!$D$3:$M$33,10,0)*IF(玩法行为规划!T98&gt;0,1,0))</f>
        <v/>
      </c>
      <c r="V98" s="7">
        <f>IF(VLOOKUP(V$2,行为概览!$D$3:$M$33,10,0)="","",VLOOKUP(V$2,行为概览!$D$3:$M$33,10,0)*IF(玩法行为规划!U98&gt;0,1,0))</f>
        <v>4</v>
      </c>
      <c r="W98" s="7" t="str">
        <f>IF(VLOOKUP(W$2,行为概览!$D$3:$M$33,10,0)="","",VLOOKUP(W$2,行为概览!$D$3:$M$33,10,0)*IF(玩法行为规划!V98&gt;0,1,0))</f>
        <v/>
      </c>
      <c r="X98" s="7" t="str">
        <f>IF(VLOOKUP(X$2,行为概览!$D$3:$M$33,10,0)="","",VLOOKUP(X$2,行为概览!$D$3:$M$33,10,0)*IF(玩法行为规划!W98&gt;0,1,0))</f>
        <v/>
      </c>
      <c r="Y98" s="7" t="str">
        <f>IF(VLOOKUP(Y$2,行为概览!$D$3:$M$33,10,0)="","",VLOOKUP(Y$2,行为概览!$D$3:$M$33,10,0)*IF(玩法行为规划!X98&gt;0,1,0))</f>
        <v/>
      </c>
      <c r="Z98" s="7">
        <f>IF(VLOOKUP(Z$2,行为概览!$D$3:$M$33,10,0)="","",VLOOKUP(Z$2,行为概览!$D$3:$M$33,10,0)*IF(玩法行为规划!Y98&gt;0,1,0))</f>
        <v>10</v>
      </c>
      <c r="AA98" s="7" t="str">
        <f>IF(VLOOKUP(AA$2,行为概览!$D$3:$M$33,10,0)="","",VLOOKUP(AA$2,行为概览!$D$3:$M$33,10,0)*IF(玩法行为规划!Z98&gt;0,1,0))</f>
        <v/>
      </c>
      <c r="AB98" s="7" t="str">
        <f>IF(VLOOKUP(AB$2,行为概览!$D$3:$M$33,10,0)="","",VLOOKUP(AB$2,行为概览!$D$3:$M$33,10,0)*IF(玩法行为规划!AA98&gt;0,1,0))</f>
        <v/>
      </c>
      <c r="AC98" s="7" t="str">
        <f>IF(VLOOKUP(AC$2,行为概览!$D$3:$M$33,10,0)="","",VLOOKUP(AC$2,行为概览!$D$3:$M$33,10,0)*IF(玩法行为规划!AB98&gt;0,1,0))</f>
        <v/>
      </c>
      <c r="AD98" s="7" t="str">
        <f>IF(VLOOKUP(AD$2,行为概览!$D$3:$M$33,10,0)="","",VLOOKUP(AD$2,行为概览!$D$3:$M$33,10,0)*IF(玩法行为规划!AC98&gt;0,1,0))</f>
        <v/>
      </c>
      <c r="AE98" s="7" t="str">
        <f>IF(VLOOKUP(AE$2,行为概览!$D$3:$M$33,10,0)="","",VLOOKUP(AE$2,行为概览!$D$3:$M$33,10,0)*IF(玩法行为规划!AD98&gt;0,1,0))</f>
        <v/>
      </c>
      <c r="AF98" s="7">
        <f>IF(VLOOKUP(AF$2,行为概览!$D$3:$M$33,10,0)="","",VLOOKUP(AF$2,行为概览!$D$3:$M$33,10,0)*IF(玩法行为规划!AE98&gt;0,1,0))</f>
        <v>20</v>
      </c>
      <c r="AG98" s="7">
        <f t="shared" si="7"/>
        <v>80</v>
      </c>
      <c r="AH98" s="7">
        <f t="shared" si="8"/>
        <v>7680</v>
      </c>
      <c r="AI98" s="7">
        <v>0</v>
      </c>
      <c r="AJ98" s="21" t="str">
        <f t="shared" si="10"/>
        <v/>
      </c>
      <c r="AK98" s="7">
        <f t="shared" si="9"/>
        <v>7680</v>
      </c>
      <c r="AL98" s="7">
        <f>SUM($AK$3:AK98)</f>
        <v>340615</v>
      </c>
    </row>
    <row r="99" spans="1:38">
      <c r="A99" s="32">
        <v>97</v>
      </c>
      <c r="B99" s="87">
        <f>升级节奏!F99</f>
        <v>97</v>
      </c>
      <c r="C99" s="7">
        <f>IF(VLOOKUP(C$2,行为概览!$D$3:$M$33,10,0)="","",VLOOKUP(C$2,行为概览!$D$3:$M$33,10,0)*IF(玩法行为规划!B99&gt;0,1,0))</f>
        <v>8</v>
      </c>
      <c r="D99" s="7" t="str">
        <f>IF(VLOOKUP(D$2,行为概览!$D$3:$M$33,10,0)="","",VLOOKUP(D$2,行为概览!$D$3:$M$33,10,0)*IF(玩法行为规划!C99&gt;0,1,0))</f>
        <v/>
      </c>
      <c r="E99" s="7" t="str">
        <f>IF(VLOOKUP(E$2,行为概览!$D$3:$M$33,10,0)="","",VLOOKUP(E$2,行为概览!$D$3:$M$33,10,0)*IF(玩法行为规划!D99&gt;0,1,0))</f>
        <v/>
      </c>
      <c r="F99" s="7">
        <f>IF(VLOOKUP(F$2,行为概览!$D$3:$M$33,10,0)="","",VLOOKUP(F$2,行为概览!$D$3:$M$33,10,0)*IF(玩法行为规划!E99&gt;0,1,0))</f>
        <v>10</v>
      </c>
      <c r="G99" s="7" t="str">
        <f>IF(VLOOKUP(G$2,行为概览!$D$3:$M$33,10,0)="","",VLOOKUP(G$2,行为概览!$D$3:$M$33,10,0)*IF(玩法行为规划!F99&gt;0,1,0))</f>
        <v/>
      </c>
      <c r="H99" s="7" t="str">
        <f>IF(VLOOKUP(H$2,行为概览!$D$3:$M$33,10,0)="","",VLOOKUP(H$2,行为概览!$D$3:$M$33,10,0)*IF(玩法行为规划!G99&gt;0,1,0))</f>
        <v/>
      </c>
      <c r="I99" s="7" t="str">
        <f>IF(VLOOKUP(I$2,行为概览!$D$3:$M$33,10,0)="","",VLOOKUP(I$2,行为概览!$D$3:$M$33,10,0)*IF(玩法行为规划!H99&gt;0,1,0))</f>
        <v/>
      </c>
      <c r="J99" s="7" t="str">
        <f>IF(VLOOKUP(J$2,行为概览!$D$3:$M$33,10,0)="","",VLOOKUP(J$2,行为概览!$D$3:$M$33,10,0)*IF(玩法行为规划!I99&gt;0,1,0))</f>
        <v/>
      </c>
      <c r="K99" s="7">
        <f>IF(VLOOKUP(K$2,行为概览!$D$3:$M$33,10,0)="","",VLOOKUP(K$2,行为概览!$D$3:$M$33,10,0)*IF(玩法行为规划!J99&gt;0,1,0))</f>
        <v>10</v>
      </c>
      <c r="L99" s="7">
        <f>IF(VLOOKUP(L$2,行为概览!$D$3:$M$33,10,0)="","",VLOOKUP(L$2,行为概览!$D$3:$M$33,10,0)*IF(玩法行为规划!K99&gt;0,1,0))</f>
        <v>5</v>
      </c>
      <c r="M99" s="7" t="str">
        <f>IF(VLOOKUP(M$2,行为概览!$D$3:$M$33,10,0)="","",VLOOKUP(M$2,行为概览!$D$3:$M$33,10,0)*IF(玩法行为规划!L99&gt;0,1,0))</f>
        <v/>
      </c>
      <c r="N99" s="7" t="str">
        <f>IF(VLOOKUP(N$2,行为概览!$D$3:$M$33,10,0)="","",VLOOKUP(N$2,行为概览!$D$3:$M$33,10,0)*IF(玩法行为规划!M99&gt;0,1,0))</f>
        <v/>
      </c>
      <c r="O99" s="7" t="str">
        <f>IF(VLOOKUP(O$2,行为概览!$D$3:$M$33,10,0)="","",VLOOKUP(O$2,行为概览!$D$3:$M$33,10,0)*IF(玩法行为规划!N99&gt;0,1,0))</f>
        <v/>
      </c>
      <c r="P99" s="7" t="str">
        <f>IF(VLOOKUP(P$2,行为概览!$D$3:$M$33,10,0)="","",VLOOKUP(P$2,行为概览!$D$3:$M$33,10,0)*IF(玩法行为规划!O99&gt;0,1,0))</f>
        <v/>
      </c>
      <c r="Q99" s="7">
        <f>IF(VLOOKUP(Q$2,行为概览!$D$3:$M$33,10,0)="","",VLOOKUP(Q$2,行为概览!$D$3:$M$33,10,0)*IF(玩法行为规划!P99&gt;0,1,0))</f>
        <v>10</v>
      </c>
      <c r="R99" s="7" t="str">
        <f>IF(VLOOKUP(R$2,行为概览!$D$3:$M$33,10,0)="","",VLOOKUP(R$2,行为概览!$D$3:$M$33,10,0)*IF(玩法行为规划!Q99&gt;0,1,0))</f>
        <v/>
      </c>
      <c r="S99" s="7">
        <f>IF(VLOOKUP(S$2,行为概览!$D$3:$M$33,10,0)="","",VLOOKUP(S$2,行为概览!$D$3:$M$33,10,0)*IF(玩法行为规划!R99&gt;0,1,0))</f>
        <v>3</v>
      </c>
      <c r="T99" s="7" t="str">
        <f>IF(VLOOKUP(T$2,行为概览!$D$3:$M$33,10,0)="","",VLOOKUP(T$2,行为概览!$D$3:$M$33,10,0)*IF(玩法行为规划!S99&gt;0,1,0))</f>
        <v/>
      </c>
      <c r="U99" s="7" t="str">
        <f>IF(VLOOKUP(U$2,行为概览!$D$3:$M$33,10,0)="","",VLOOKUP(U$2,行为概览!$D$3:$M$33,10,0)*IF(玩法行为规划!T99&gt;0,1,0))</f>
        <v/>
      </c>
      <c r="V99" s="7">
        <f>IF(VLOOKUP(V$2,行为概览!$D$3:$M$33,10,0)="","",VLOOKUP(V$2,行为概览!$D$3:$M$33,10,0)*IF(玩法行为规划!U99&gt;0,1,0))</f>
        <v>4</v>
      </c>
      <c r="W99" s="7" t="str">
        <f>IF(VLOOKUP(W$2,行为概览!$D$3:$M$33,10,0)="","",VLOOKUP(W$2,行为概览!$D$3:$M$33,10,0)*IF(玩法行为规划!V99&gt;0,1,0))</f>
        <v/>
      </c>
      <c r="X99" s="7" t="str">
        <f>IF(VLOOKUP(X$2,行为概览!$D$3:$M$33,10,0)="","",VLOOKUP(X$2,行为概览!$D$3:$M$33,10,0)*IF(玩法行为规划!W99&gt;0,1,0))</f>
        <v/>
      </c>
      <c r="Y99" s="7" t="str">
        <f>IF(VLOOKUP(Y$2,行为概览!$D$3:$M$33,10,0)="","",VLOOKUP(Y$2,行为概览!$D$3:$M$33,10,0)*IF(玩法行为规划!X99&gt;0,1,0))</f>
        <v/>
      </c>
      <c r="Z99" s="7">
        <f>IF(VLOOKUP(Z$2,行为概览!$D$3:$M$33,10,0)="","",VLOOKUP(Z$2,行为概览!$D$3:$M$33,10,0)*IF(玩法行为规划!Y99&gt;0,1,0))</f>
        <v>10</v>
      </c>
      <c r="AA99" s="7" t="str">
        <f>IF(VLOOKUP(AA$2,行为概览!$D$3:$M$33,10,0)="","",VLOOKUP(AA$2,行为概览!$D$3:$M$33,10,0)*IF(玩法行为规划!Z99&gt;0,1,0))</f>
        <v/>
      </c>
      <c r="AB99" s="7" t="str">
        <f>IF(VLOOKUP(AB$2,行为概览!$D$3:$M$33,10,0)="","",VLOOKUP(AB$2,行为概览!$D$3:$M$33,10,0)*IF(玩法行为规划!AA99&gt;0,1,0))</f>
        <v/>
      </c>
      <c r="AC99" s="7" t="str">
        <f>IF(VLOOKUP(AC$2,行为概览!$D$3:$M$33,10,0)="","",VLOOKUP(AC$2,行为概览!$D$3:$M$33,10,0)*IF(玩法行为规划!AB99&gt;0,1,0))</f>
        <v/>
      </c>
      <c r="AD99" s="7" t="str">
        <f>IF(VLOOKUP(AD$2,行为概览!$D$3:$M$33,10,0)="","",VLOOKUP(AD$2,行为概览!$D$3:$M$33,10,0)*IF(玩法行为规划!AC99&gt;0,1,0))</f>
        <v/>
      </c>
      <c r="AE99" s="7" t="str">
        <f>IF(VLOOKUP(AE$2,行为概览!$D$3:$M$33,10,0)="","",VLOOKUP(AE$2,行为概览!$D$3:$M$33,10,0)*IF(玩法行为规划!AD99&gt;0,1,0))</f>
        <v/>
      </c>
      <c r="AF99" s="7">
        <f>IF(VLOOKUP(AF$2,行为概览!$D$3:$M$33,10,0)="","",VLOOKUP(AF$2,行为概览!$D$3:$M$33,10,0)*IF(玩法行为规划!AE99&gt;0,1,0))</f>
        <v>20</v>
      </c>
      <c r="AG99" s="7">
        <f t="shared" ref="AG99:AG130" si="11">SUM(C99:AC99)+AF99</f>
        <v>80</v>
      </c>
      <c r="AH99" s="7">
        <f t="shared" ref="AH99:AH130" si="12">B99*AG99</f>
        <v>7760</v>
      </c>
      <c r="AI99" s="7">
        <v>0</v>
      </c>
      <c r="AJ99" s="21" t="str">
        <f t="shared" si="10"/>
        <v/>
      </c>
      <c r="AK99" s="7">
        <f t="shared" si="9"/>
        <v>7760</v>
      </c>
      <c r="AL99" s="7">
        <f>SUM($AK$3:AK99)</f>
        <v>348375</v>
      </c>
    </row>
    <row r="100" spans="1:38">
      <c r="A100" s="32">
        <v>98</v>
      </c>
      <c r="B100" s="87">
        <f>升级节奏!F100</f>
        <v>98</v>
      </c>
      <c r="C100" s="7">
        <f>IF(VLOOKUP(C$2,行为概览!$D$3:$M$33,10,0)="","",VLOOKUP(C$2,行为概览!$D$3:$M$33,10,0)*IF(玩法行为规划!B100&gt;0,1,0))</f>
        <v>8</v>
      </c>
      <c r="D100" s="7" t="str">
        <f>IF(VLOOKUP(D$2,行为概览!$D$3:$M$33,10,0)="","",VLOOKUP(D$2,行为概览!$D$3:$M$33,10,0)*IF(玩法行为规划!C100&gt;0,1,0))</f>
        <v/>
      </c>
      <c r="E100" s="7" t="str">
        <f>IF(VLOOKUP(E$2,行为概览!$D$3:$M$33,10,0)="","",VLOOKUP(E$2,行为概览!$D$3:$M$33,10,0)*IF(玩法行为规划!D100&gt;0,1,0))</f>
        <v/>
      </c>
      <c r="F100" s="7">
        <f>IF(VLOOKUP(F$2,行为概览!$D$3:$M$33,10,0)="","",VLOOKUP(F$2,行为概览!$D$3:$M$33,10,0)*IF(玩法行为规划!E100&gt;0,1,0))</f>
        <v>10</v>
      </c>
      <c r="G100" s="7" t="str">
        <f>IF(VLOOKUP(G$2,行为概览!$D$3:$M$33,10,0)="","",VLOOKUP(G$2,行为概览!$D$3:$M$33,10,0)*IF(玩法行为规划!F100&gt;0,1,0))</f>
        <v/>
      </c>
      <c r="H100" s="7" t="str">
        <f>IF(VLOOKUP(H$2,行为概览!$D$3:$M$33,10,0)="","",VLOOKUP(H$2,行为概览!$D$3:$M$33,10,0)*IF(玩法行为规划!G100&gt;0,1,0))</f>
        <v/>
      </c>
      <c r="I100" s="7" t="str">
        <f>IF(VLOOKUP(I$2,行为概览!$D$3:$M$33,10,0)="","",VLOOKUP(I$2,行为概览!$D$3:$M$33,10,0)*IF(玩法行为规划!H100&gt;0,1,0))</f>
        <v/>
      </c>
      <c r="J100" s="7" t="str">
        <f>IF(VLOOKUP(J$2,行为概览!$D$3:$M$33,10,0)="","",VLOOKUP(J$2,行为概览!$D$3:$M$33,10,0)*IF(玩法行为规划!I100&gt;0,1,0))</f>
        <v/>
      </c>
      <c r="K100" s="7">
        <f>IF(VLOOKUP(K$2,行为概览!$D$3:$M$33,10,0)="","",VLOOKUP(K$2,行为概览!$D$3:$M$33,10,0)*IF(玩法行为规划!J100&gt;0,1,0))</f>
        <v>10</v>
      </c>
      <c r="L100" s="7">
        <f>IF(VLOOKUP(L$2,行为概览!$D$3:$M$33,10,0)="","",VLOOKUP(L$2,行为概览!$D$3:$M$33,10,0)*IF(玩法行为规划!K100&gt;0,1,0))</f>
        <v>5</v>
      </c>
      <c r="M100" s="7" t="str">
        <f>IF(VLOOKUP(M$2,行为概览!$D$3:$M$33,10,0)="","",VLOOKUP(M$2,行为概览!$D$3:$M$33,10,0)*IF(玩法行为规划!L100&gt;0,1,0))</f>
        <v/>
      </c>
      <c r="N100" s="7" t="str">
        <f>IF(VLOOKUP(N$2,行为概览!$D$3:$M$33,10,0)="","",VLOOKUP(N$2,行为概览!$D$3:$M$33,10,0)*IF(玩法行为规划!M100&gt;0,1,0))</f>
        <v/>
      </c>
      <c r="O100" s="7" t="str">
        <f>IF(VLOOKUP(O$2,行为概览!$D$3:$M$33,10,0)="","",VLOOKUP(O$2,行为概览!$D$3:$M$33,10,0)*IF(玩法行为规划!N100&gt;0,1,0))</f>
        <v/>
      </c>
      <c r="P100" s="7" t="str">
        <f>IF(VLOOKUP(P$2,行为概览!$D$3:$M$33,10,0)="","",VLOOKUP(P$2,行为概览!$D$3:$M$33,10,0)*IF(玩法行为规划!O100&gt;0,1,0))</f>
        <v/>
      </c>
      <c r="Q100" s="7">
        <f>IF(VLOOKUP(Q$2,行为概览!$D$3:$M$33,10,0)="","",VLOOKUP(Q$2,行为概览!$D$3:$M$33,10,0)*IF(玩法行为规划!P100&gt;0,1,0))</f>
        <v>10</v>
      </c>
      <c r="R100" s="7" t="str">
        <f>IF(VLOOKUP(R$2,行为概览!$D$3:$M$33,10,0)="","",VLOOKUP(R$2,行为概览!$D$3:$M$33,10,0)*IF(玩法行为规划!Q100&gt;0,1,0))</f>
        <v/>
      </c>
      <c r="S100" s="7">
        <f>IF(VLOOKUP(S$2,行为概览!$D$3:$M$33,10,0)="","",VLOOKUP(S$2,行为概览!$D$3:$M$33,10,0)*IF(玩法行为规划!R100&gt;0,1,0))</f>
        <v>3</v>
      </c>
      <c r="T100" s="7" t="str">
        <f>IF(VLOOKUP(T$2,行为概览!$D$3:$M$33,10,0)="","",VLOOKUP(T$2,行为概览!$D$3:$M$33,10,0)*IF(玩法行为规划!S100&gt;0,1,0))</f>
        <v/>
      </c>
      <c r="U100" s="7" t="str">
        <f>IF(VLOOKUP(U$2,行为概览!$D$3:$M$33,10,0)="","",VLOOKUP(U$2,行为概览!$D$3:$M$33,10,0)*IF(玩法行为规划!T100&gt;0,1,0))</f>
        <v/>
      </c>
      <c r="V100" s="7">
        <f>IF(VLOOKUP(V$2,行为概览!$D$3:$M$33,10,0)="","",VLOOKUP(V$2,行为概览!$D$3:$M$33,10,0)*IF(玩法行为规划!U100&gt;0,1,0))</f>
        <v>4</v>
      </c>
      <c r="W100" s="7" t="str">
        <f>IF(VLOOKUP(W$2,行为概览!$D$3:$M$33,10,0)="","",VLOOKUP(W$2,行为概览!$D$3:$M$33,10,0)*IF(玩法行为规划!V100&gt;0,1,0))</f>
        <v/>
      </c>
      <c r="X100" s="7" t="str">
        <f>IF(VLOOKUP(X$2,行为概览!$D$3:$M$33,10,0)="","",VLOOKUP(X$2,行为概览!$D$3:$M$33,10,0)*IF(玩法行为规划!W100&gt;0,1,0))</f>
        <v/>
      </c>
      <c r="Y100" s="7" t="str">
        <f>IF(VLOOKUP(Y$2,行为概览!$D$3:$M$33,10,0)="","",VLOOKUP(Y$2,行为概览!$D$3:$M$33,10,0)*IF(玩法行为规划!X100&gt;0,1,0))</f>
        <v/>
      </c>
      <c r="Z100" s="7">
        <f>IF(VLOOKUP(Z$2,行为概览!$D$3:$M$33,10,0)="","",VLOOKUP(Z$2,行为概览!$D$3:$M$33,10,0)*IF(玩法行为规划!Y100&gt;0,1,0))</f>
        <v>10</v>
      </c>
      <c r="AA100" s="7" t="str">
        <f>IF(VLOOKUP(AA$2,行为概览!$D$3:$M$33,10,0)="","",VLOOKUP(AA$2,行为概览!$D$3:$M$33,10,0)*IF(玩法行为规划!Z100&gt;0,1,0))</f>
        <v/>
      </c>
      <c r="AB100" s="7" t="str">
        <f>IF(VLOOKUP(AB$2,行为概览!$D$3:$M$33,10,0)="","",VLOOKUP(AB$2,行为概览!$D$3:$M$33,10,0)*IF(玩法行为规划!AA100&gt;0,1,0))</f>
        <v/>
      </c>
      <c r="AC100" s="7" t="str">
        <f>IF(VLOOKUP(AC$2,行为概览!$D$3:$M$33,10,0)="","",VLOOKUP(AC$2,行为概览!$D$3:$M$33,10,0)*IF(玩法行为规划!AB100&gt;0,1,0))</f>
        <v/>
      </c>
      <c r="AD100" s="7" t="str">
        <f>IF(VLOOKUP(AD$2,行为概览!$D$3:$M$33,10,0)="","",VLOOKUP(AD$2,行为概览!$D$3:$M$33,10,0)*IF(玩法行为规划!AC100&gt;0,1,0))</f>
        <v/>
      </c>
      <c r="AE100" s="7" t="str">
        <f>IF(VLOOKUP(AE$2,行为概览!$D$3:$M$33,10,0)="","",VLOOKUP(AE$2,行为概览!$D$3:$M$33,10,0)*IF(玩法行为规划!AD100&gt;0,1,0))</f>
        <v/>
      </c>
      <c r="AF100" s="7">
        <f>IF(VLOOKUP(AF$2,行为概览!$D$3:$M$33,10,0)="","",VLOOKUP(AF$2,行为概览!$D$3:$M$33,10,0)*IF(玩法行为规划!AE100&gt;0,1,0))</f>
        <v>20</v>
      </c>
      <c r="AG100" s="7">
        <f t="shared" si="11"/>
        <v>80</v>
      </c>
      <c r="AH100" s="7">
        <f t="shared" si="12"/>
        <v>7840</v>
      </c>
      <c r="AI100" s="7">
        <v>0</v>
      </c>
      <c r="AJ100" s="21" t="str">
        <f t="shared" si="10"/>
        <v/>
      </c>
      <c r="AK100" s="7">
        <f t="shared" si="9"/>
        <v>7840</v>
      </c>
      <c r="AL100" s="7">
        <f>SUM($AK$3:AK100)</f>
        <v>356215</v>
      </c>
    </row>
    <row r="101" spans="1:38">
      <c r="A101" s="32">
        <v>99</v>
      </c>
      <c r="B101" s="87">
        <f>升级节奏!F101</f>
        <v>99</v>
      </c>
      <c r="C101" s="7">
        <f>IF(VLOOKUP(C$2,行为概览!$D$3:$M$33,10,0)="","",VLOOKUP(C$2,行为概览!$D$3:$M$33,10,0)*IF(玩法行为规划!B101&gt;0,1,0))</f>
        <v>8</v>
      </c>
      <c r="D101" s="7" t="str">
        <f>IF(VLOOKUP(D$2,行为概览!$D$3:$M$33,10,0)="","",VLOOKUP(D$2,行为概览!$D$3:$M$33,10,0)*IF(玩法行为规划!C101&gt;0,1,0))</f>
        <v/>
      </c>
      <c r="E101" s="7" t="str">
        <f>IF(VLOOKUP(E$2,行为概览!$D$3:$M$33,10,0)="","",VLOOKUP(E$2,行为概览!$D$3:$M$33,10,0)*IF(玩法行为规划!D101&gt;0,1,0))</f>
        <v/>
      </c>
      <c r="F101" s="7">
        <f>IF(VLOOKUP(F$2,行为概览!$D$3:$M$33,10,0)="","",VLOOKUP(F$2,行为概览!$D$3:$M$33,10,0)*IF(玩法行为规划!E101&gt;0,1,0))</f>
        <v>10</v>
      </c>
      <c r="G101" s="7" t="str">
        <f>IF(VLOOKUP(G$2,行为概览!$D$3:$M$33,10,0)="","",VLOOKUP(G$2,行为概览!$D$3:$M$33,10,0)*IF(玩法行为规划!F101&gt;0,1,0))</f>
        <v/>
      </c>
      <c r="H101" s="7" t="str">
        <f>IF(VLOOKUP(H$2,行为概览!$D$3:$M$33,10,0)="","",VLOOKUP(H$2,行为概览!$D$3:$M$33,10,0)*IF(玩法行为规划!G101&gt;0,1,0))</f>
        <v/>
      </c>
      <c r="I101" s="7" t="str">
        <f>IF(VLOOKUP(I$2,行为概览!$D$3:$M$33,10,0)="","",VLOOKUP(I$2,行为概览!$D$3:$M$33,10,0)*IF(玩法行为规划!H101&gt;0,1,0))</f>
        <v/>
      </c>
      <c r="J101" s="7" t="str">
        <f>IF(VLOOKUP(J$2,行为概览!$D$3:$M$33,10,0)="","",VLOOKUP(J$2,行为概览!$D$3:$M$33,10,0)*IF(玩法行为规划!I101&gt;0,1,0))</f>
        <v/>
      </c>
      <c r="K101" s="7">
        <f>IF(VLOOKUP(K$2,行为概览!$D$3:$M$33,10,0)="","",VLOOKUP(K$2,行为概览!$D$3:$M$33,10,0)*IF(玩法行为规划!J101&gt;0,1,0))</f>
        <v>10</v>
      </c>
      <c r="L101" s="7">
        <f>IF(VLOOKUP(L$2,行为概览!$D$3:$M$33,10,0)="","",VLOOKUP(L$2,行为概览!$D$3:$M$33,10,0)*IF(玩法行为规划!K101&gt;0,1,0))</f>
        <v>5</v>
      </c>
      <c r="M101" s="7" t="str">
        <f>IF(VLOOKUP(M$2,行为概览!$D$3:$M$33,10,0)="","",VLOOKUP(M$2,行为概览!$D$3:$M$33,10,0)*IF(玩法行为规划!L101&gt;0,1,0))</f>
        <v/>
      </c>
      <c r="N101" s="7" t="str">
        <f>IF(VLOOKUP(N$2,行为概览!$D$3:$M$33,10,0)="","",VLOOKUP(N$2,行为概览!$D$3:$M$33,10,0)*IF(玩法行为规划!M101&gt;0,1,0))</f>
        <v/>
      </c>
      <c r="O101" s="7" t="str">
        <f>IF(VLOOKUP(O$2,行为概览!$D$3:$M$33,10,0)="","",VLOOKUP(O$2,行为概览!$D$3:$M$33,10,0)*IF(玩法行为规划!N101&gt;0,1,0))</f>
        <v/>
      </c>
      <c r="P101" s="7" t="str">
        <f>IF(VLOOKUP(P$2,行为概览!$D$3:$M$33,10,0)="","",VLOOKUP(P$2,行为概览!$D$3:$M$33,10,0)*IF(玩法行为规划!O101&gt;0,1,0))</f>
        <v/>
      </c>
      <c r="Q101" s="7">
        <f>IF(VLOOKUP(Q$2,行为概览!$D$3:$M$33,10,0)="","",VLOOKUP(Q$2,行为概览!$D$3:$M$33,10,0)*IF(玩法行为规划!P101&gt;0,1,0))</f>
        <v>10</v>
      </c>
      <c r="R101" s="7" t="str">
        <f>IF(VLOOKUP(R$2,行为概览!$D$3:$M$33,10,0)="","",VLOOKUP(R$2,行为概览!$D$3:$M$33,10,0)*IF(玩法行为规划!Q101&gt;0,1,0))</f>
        <v/>
      </c>
      <c r="S101" s="7">
        <f>IF(VLOOKUP(S$2,行为概览!$D$3:$M$33,10,0)="","",VLOOKUP(S$2,行为概览!$D$3:$M$33,10,0)*IF(玩法行为规划!R101&gt;0,1,0))</f>
        <v>3</v>
      </c>
      <c r="T101" s="7" t="str">
        <f>IF(VLOOKUP(T$2,行为概览!$D$3:$M$33,10,0)="","",VLOOKUP(T$2,行为概览!$D$3:$M$33,10,0)*IF(玩法行为规划!S101&gt;0,1,0))</f>
        <v/>
      </c>
      <c r="U101" s="7" t="str">
        <f>IF(VLOOKUP(U$2,行为概览!$D$3:$M$33,10,0)="","",VLOOKUP(U$2,行为概览!$D$3:$M$33,10,0)*IF(玩法行为规划!T101&gt;0,1,0))</f>
        <v/>
      </c>
      <c r="V101" s="7">
        <f>IF(VLOOKUP(V$2,行为概览!$D$3:$M$33,10,0)="","",VLOOKUP(V$2,行为概览!$D$3:$M$33,10,0)*IF(玩法行为规划!U101&gt;0,1,0))</f>
        <v>4</v>
      </c>
      <c r="W101" s="7" t="str">
        <f>IF(VLOOKUP(W$2,行为概览!$D$3:$M$33,10,0)="","",VLOOKUP(W$2,行为概览!$D$3:$M$33,10,0)*IF(玩法行为规划!V101&gt;0,1,0))</f>
        <v/>
      </c>
      <c r="X101" s="7" t="str">
        <f>IF(VLOOKUP(X$2,行为概览!$D$3:$M$33,10,0)="","",VLOOKUP(X$2,行为概览!$D$3:$M$33,10,0)*IF(玩法行为规划!W101&gt;0,1,0))</f>
        <v/>
      </c>
      <c r="Y101" s="7" t="str">
        <f>IF(VLOOKUP(Y$2,行为概览!$D$3:$M$33,10,0)="","",VLOOKUP(Y$2,行为概览!$D$3:$M$33,10,0)*IF(玩法行为规划!X101&gt;0,1,0))</f>
        <v/>
      </c>
      <c r="Z101" s="7">
        <f>IF(VLOOKUP(Z$2,行为概览!$D$3:$M$33,10,0)="","",VLOOKUP(Z$2,行为概览!$D$3:$M$33,10,0)*IF(玩法行为规划!Y101&gt;0,1,0))</f>
        <v>10</v>
      </c>
      <c r="AA101" s="7" t="str">
        <f>IF(VLOOKUP(AA$2,行为概览!$D$3:$M$33,10,0)="","",VLOOKUP(AA$2,行为概览!$D$3:$M$33,10,0)*IF(玩法行为规划!Z101&gt;0,1,0))</f>
        <v/>
      </c>
      <c r="AB101" s="7" t="str">
        <f>IF(VLOOKUP(AB$2,行为概览!$D$3:$M$33,10,0)="","",VLOOKUP(AB$2,行为概览!$D$3:$M$33,10,0)*IF(玩法行为规划!AA101&gt;0,1,0))</f>
        <v/>
      </c>
      <c r="AC101" s="7" t="str">
        <f>IF(VLOOKUP(AC$2,行为概览!$D$3:$M$33,10,0)="","",VLOOKUP(AC$2,行为概览!$D$3:$M$33,10,0)*IF(玩法行为规划!AB101&gt;0,1,0))</f>
        <v/>
      </c>
      <c r="AD101" s="7" t="str">
        <f>IF(VLOOKUP(AD$2,行为概览!$D$3:$M$33,10,0)="","",VLOOKUP(AD$2,行为概览!$D$3:$M$33,10,0)*IF(玩法行为规划!AC101&gt;0,1,0))</f>
        <v/>
      </c>
      <c r="AE101" s="7" t="str">
        <f>IF(VLOOKUP(AE$2,行为概览!$D$3:$M$33,10,0)="","",VLOOKUP(AE$2,行为概览!$D$3:$M$33,10,0)*IF(玩法行为规划!AD101&gt;0,1,0))</f>
        <v/>
      </c>
      <c r="AF101" s="7">
        <f>IF(VLOOKUP(AF$2,行为概览!$D$3:$M$33,10,0)="","",VLOOKUP(AF$2,行为概览!$D$3:$M$33,10,0)*IF(玩法行为规划!AE101&gt;0,1,0))</f>
        <v>20</v>
      </c>
      <c r="AG101" s="7">
        <f t="shared" si="11"/>
        <v>80</v>
      </c>
      <c r="AH101" s="7">
        <f t="shared" si="12"/>
        <v>7920</v>
      </c>
      <c r="AI101" s="7">
        <v>0</v>
      </c>
      <c r="AJ101" s="21" t="str">
        <f t="shared" si="10"/>
        <v/>
      </c>
      <c r="AK101" s="7">
        <f t="shared" si="9"/>
        <v>7920</v>
      </c>
      <c r="AL101" s="7">
        <f>SUM($AK$3:AK101)</f>
        <v>364135</v>
      </c>
    </row>
    <row r="102" spans="1:38">
      <c r="A102" s="32">
        <v>100</v>
      </c>
      <c r="B102" s="87">
        <f>升级节奏!F102</f>
        <v>100</v>
      </c>
      <c r="C102" s="7">
        <f>IF(VLOOKUP(C$2,行为概览!$D$3:$M$33,10,0)="","",VLOOKUP(C$2,行为概览!$D$3:$M$33,10,0)*IF(玩法行为规划!B102&gt;0,1,0))</f>
        <v>8</v>
      </c>
      <c r="D102" s="7" t="str">
        <f>IF(VLOOKUP(D$2,行为概览!$D$3:$M$33,10,0)="","",VLOOKUP(D$2,行为概览!$D$3:$M$33,10,0)*IF(玩法行为规划!C102&gt;0,1,0))</f>
        <v/>
      </c>
      <c r="E102" s="7" t="str">
        <f>IF(VLOOKUP(E$2,行为概览!$D$3:$M$33,10,0)="","",VLOOKUP(E$2,行为概览!$D$3:$M$33,10,0)*IF(玩法行为规划!D102&gt;0,1,0))</f>
        <v/>
      </c>
      <c r="F102" s="7">
        <f>IF(VLOOKUP(F$2,行为概览!$D$3:$M$33,10,0)="","",VLOOKUP(F$2,行为概览!$D$3:$M$33,10,0)*IF(玩法行为规划!E102&gt;0,1,0))</f>
        <v>10</v>
      </c>
      <c r="G102" s="7" t="str">
        <f>IF(VLOOKUP(G$2,行为概览!$D$3:$M$33,10,0)="","",VLOOKUP(G$2,行为概览!$D$3:$M$33,10,0)*IF(玩法行为规划!F102&gt;0,1,0))</f>
        <v/>
      </c>
      <c r="H102" s="7" t="str">
        <f>IF(VLOOKUP(H$2,行为概览!$D$3:$M$33,10,0)="","",VLOOKUP(H$2,行为概览!$D$3:$M$33,10,0)*IF(玩法行为规划!G102&gt;0,1,0))</f>
        <v/>
      </c>
      <c r="I102" s="7" t="str">
        <f>IF(VLOOKUP(I$2,行为概览!$D$3:$M$33,10,0)="","",VLOOKUP(I$2,行为概览!$D$3:$M$33,10,0)*IF(玩法行为规划!H102&gt;0,1,0))</f>
        <v/>
      </c>
      <c r="J102" s="7" t="str">
        <f>IF(VLOOKUP(J$2,行为概览!$D$3:$M$33,10,0)="","",VLOOKUP(J$2,行为概览!$D$3:$M$33,10,0)*IF(玩法行为规划!I102&gt;0,1,0))</f>
        <v/>
      </c>
      <c r="K102" s="7">
        <f>IF(VLOOKUP(K$2,行为概览!$D$3:$M$33,10,0)="","",VLOOKUP(K$2,行为概览!$D$3:$M$33,10,0)*IF(玩法行为规划!J102&gt;0,1,0))</f>
        <v>10</v>
      </c>
      <c r="L102" s="7">
        <f>IF(VLOOKUP(L$2,行为概览!$D$3:$M$33,10,0)="","",VLOOKUP(L$2,行为概览!$D$3:$M$33,10,0)*IF(玩法行为规划!K102&gt;0,1,0))</f>
        <v>5</v>
      </c>
      <c r="M102" s="7" t="str">
        <f>IF(VLOOKUP(M$2,行为概览!$D$3:$M$33,10,0)="","",VLOOKUP(M$2,行为概览!$D$3:$M$33,10,0)*IF(玩法行为规划!L102&gt;0,1,0))</f>
        <v/>
      </c>
      <c r="N102" s="7" t="str">
        <f>IF(VLOOKUP(N$2,行为概览!$D$3:$M$33,10,0)="","",VLOOKUP(N$2,行为概览!$D$3:$M$33,10,0)*IF(玩法行为规划!M102&gt;0,1,0))</f>
        <v/>
      </c>
      <c r="O102" s="7" t="str">
        <f>IF(VLOOKUP(O$2,行为概览!$D$3:$M$33,10,0)="","",VLOOKUP(O$2,行为概览!$D$3:$M$33,10,0)*IF(玩法行为规划!N102&gt;0,1,0))</f>
        <v/>
      </c>
      <c r="P102" s="7" t="str">
        <f>IF(VLOOKUP(P$2,行为概览!$D$3:$M$33,10,0)="","",VLOOKUP(P$2,行为概览!$D$3:$M$33,10,0)*IF(玩法行为规划!O102&gt;0,1,0))</f>
        <v/>
      </c>
      <c r="Q102" s="7">
        <f>IF(VLOOKUP(Q$2,行为概览!$D$3:$M$33,10,0)="","",VLOOKUP(Q$2,行为概览!$D$3:$M$33,10,0)*IF(玩法行为规划!P102&gt;0,1,0))</f>
        <v>10</v>
      </c>
      <c r="R102" s="7" t="str">
        <f>IF(VLOOKUP(R$2,行为概览!$D$3:$M$33,10,0)="","",VLOOKUP(R$2,行为概览!$D$3:$M$33,10,0)*IF(玩法行为规划!Q102&gt;0,1,0))</f>
        <v/>
      </c>
      <c r="S102" s="7">
        <f>IF(VLOOKUP(S$2,行为概览!$D$3:$M$33,10,0)="","",VLOOKUP(S$2,行为概览!$D$3:$M$33,10,0)*IF(玩法行为规划!R102&gt;0,1,0))</f>
        <v>3</v>
      </c>
      <c r="T102" s="7" t="str">
        <f>IF(VLOOKUP(T$2,行为概览!$D$3:$M$33,10,0)="","",VLOOKUP(T$2,行为概览!$D$3:$M$33,10,0)*IF(玩法行为规划!S102&gt;0,1,0))</f>
        <v/>
      </c>
      <c r="U102" s="7" t="str">
        <f>IF(VLOOKUP(U$2,行为概览!$D$3:$M$33,10,0)="","",VLOOKUP(U$2,行为概览!$D$3:$M$33,10,0)*IF(玩法行为规划!T102&gt;0,1,0))</f>
        <v/>
      </c>
      <c r="V102" s="7">
        <f>IF(VLOOKUP(V$2,行为概览!$D$3:$M$33,10,0)="","",VLOOKUP(V$2,行为概览!$D$3:$M$33,10,0)*IF(玩法行为规划!U102&gt;0,1,0))</f>
        <v>4</v>
      </c>
      <c r="W102" s="7" t="str">
        <f>IF(VLOOKUP(W$2,行为概览!$D$3:$M$33,10,0)="","",VLOOKUP(W$2,行为概览!$D$3:$M$33,10,0)*IF(玩法行为规划!V102&gt;0,1,0))</f>
        <v/>
      </c>
      <c r="X102" s="7" t="str">
        <f>IF(VLOOKUP(X$2,行为概览!$D$3:$M$33,10,0)="","",VLOOKUP(X$2,行为概览!$D$3:$M$33,10,0)*IF(玩法行为规划!W102&gt;0,1,0))</f>
        <v/>
      </c>
      <c r="Y102" s="7" t="str">
        <f>IF(VLOOKUP(Y$2,行为概览!$D$3:$M$33,10,0)="","",VLOOKUP(Y$2,行为概览!$D$3:$M$33,10,0)*IF(玩法行为规划!X102&gt;0,1,0))</f>
        <v/>
      </c>
      <c r="Z102" s="7">
        <f>IF(VLOOKUP(Z$2,行为概览!$D$3:$M$33,10,0)="","",VLOOKUP(Z$2,行为概览!$D$3:$M$33,10,0)*IF(玩法行为规划!Y102&gt;0,1,0))</f>
        <v>10</v>
      </c>
      <c r="AA102" s="7" t="str">
        <f>IF(VLOOKUP(AA$2,行为概览!$D$3:$M$33,10,0)="","",VLOOKUP(AA$2,行为概览!$D$3:$M$33,10,0)*IF(玩法行为规划!Z102&gt;0,1,0))</f>
        <v/>
      </c>
      <c r="AB102" s="7" t="str">
        <f>IF(VLOOKUP(AB$2,行为概览!$D$3:$M$33,10,0)="","",VLOOKUP(AB$2,行为概览!$D$3:$M$33,10,0)*IF(玩法行为规划!AA102&gt;0,1,0))</f>
        <v/>
      </c>
      <c r="AC102" s="7" t="str">
        <f>IF(VLOOKUP(AC$2,行为概览!$D$3:$M$33,10,0)="","",VLOOKUP(AC$2,行为概览!$D$3:$M$33,10,0)*IF(玩法行为规划!AB102&gt;0,1,0))</f>
        <v/>
      </c>
      <c r="AD102" s="7" t="str">
        <f>IF(VLOOKUP(AD$2,行为概览!$D$3:$M$33,10,0)="","",VLOOKUP(AD$2,行为概览!$D$3:$M$33,10,0)*IF(玩法行为规划!AC102&gt;0,1,0))</f>
        <v/>
      </c>
      <c r="AE102" s="7" t="str">
        <f>IF(VLOOKUP(AE$2,行为概览!$D$3:$M$33,10,0)="","",VLOOKUP(AE$2,行为概览!$D$3:$M$33,10,0)*IF(玩法行为规划!AD102&gt;0,1,0))</f>
        <v/>
      </c>
      <c r="AF102" s="7">
        <f>IF(VLOOKUP(AF$2,行为概览!$D$3:$M$33,10,0)="","",VLOOKUP(AF$2,行为概览!$D$3:$M$33,10,0)*IF(玩法行为规划!AE102&gt;0,1,0))</f>
        <v>20</v>
      </c>
      <c r="AG102" s="7">
        <f t="shared" si="11"/>
        <v>80</v>
      </c>
      <c r="AH102" s="7">
        <f t="shared" si="12"/>
        <v>8000</v>
      </c>
      <c r="AI102" s="7">
        <v>0</v>
      </c>
      <c r="AJ102" s="21">
        <f t="shared" si="10"/>
        <v>0</v>
      </c>
      <c r="AK102" s="7">
        <f t="shared" si="9"/>
        <v>8000</v>
      </c>
      <c r="AL102" s="7">
        <f>SUM($AK$3:AK102)</f>
        <v>372135</v>
      </c>
    </row>
    <row r="103" spans="1:38">
      <c r="A103" s="32">
        <v>101</v>
      </c>
      <c r="B103" s="87">
        <f>升级节奏!F103</f>
        <v>101</v>
      </c>
      <c r="C103" s="7">
        <f>IF(VLOOKUP(C$2,行为概览!$D$3:$M$33,10,0)="","",VLOOKUP(C$2,行为概览!$D$3:$M$33,10,0)*IF(玩法行为规划!B103&gt;0,1,0))</f>
        <v>8</v>
      </c>
      <c r="D103" s="7" t="str">
        <f>IF(VLOOKUP(D$2,行为概览!$D$3:$M$33,10,0)="","",VLOOKUP(D$2,行为概览!$D$3:$M$33,10,0)*IF(玩法行为规划!C103&gt;0,1,0))</f>
        <v/>
      </c>
      <c r="E103" s="7" t="str">
        <f>IF(VLOOKUP(E$2,行为概览!$D$3:$M$33,10,0)="","",VLOOKUP(E$2,行为概览!$D$3:$M$33,10,0)*IF(玩法行为规划!D103&gt;0,1,0))</f>
        <v/>
      </c>
      <c r="F103" s="7">
        <f>IF(VLOOKUP(F$2,行为概览!$D$3:$M$33,10,0)="","",VLOOKUP(F$2,行为概览!$D$3:$M$33,10,0)*IF(玩法行为规划!E103&gt;0,1,0))</f>
        <v>10</v>
      </c>
      <c r="G103" s="7" t="str">
        <f>IF(VLOOKUP(G$2,行为概览!$D$3:$M$33,10,0)="","",VLOOKUP(G$2,行为概览!$D$3:$M$33,10,0)*IF(玩法行为规划!F103&gt;0,1,0))</f>
        <v/>
      </c>
      <c r="H103" s="7" t="str">
        <f>IF(VLOOKUP(H$2,行为概览!$D$3:$M$33,10,0)="","",VLOOKUP(H$2,行为概览!$D$3:$M$33,10,0)*IF(玩法行为规划!G103&gt;0,1,0))</f>
        <v/>
      </c>
      <c r="I103" s="7" t="str">
        <f>IF(VLOOKUP(I$2,行为概览!$D$3:$M$33,10,0)="","",VLOOKUP(I$2,行为概览!$D$3:$M$33,10,0)*IF(玩法行为规划!H103&gt;0,1,0))</f>
        <v/>
      </c>
      <c r="J103" s="7" t="str">
        <f>IF(VLOOKUP(J$2,行为概览!$D$3:$M$33,10,0)="","",VLOOKUP(J$2,行为概览!$D$3:$M$33,10,0)*IF(玩法行为规划!I103&gt;0,1,0))</f>
        <v/>
      </c>
      <c r="K103" s="7">
        <f>IF(VLOOKUP(K$2,行为概览!$D$3:$M$33,10,0)="","",VLOOKUP(K$2,行为概览!$D$3:$M$33,10,0)*IF(玩法行为规划!J103&gt;0,1,0))</f>
        <v>10</v>
      </c>
      <c r="L103" s="7">
        <f>IF(VLOOKUP(L$2,行为概览!$D$3:$M$33,10,0)="","",VLOOKUP(L$2,行为概览!$D$3:$M$33,10,0)*IF(玩法行为规划!K103&gt;0,1,0))</f>
        <v>5</v>
      </c>
      <c r="M103" s="7" t="str">
        <f>IF(VLOOKUP(M$2,行为概览!$D$3:$M$33,10,0)="","",VLOOKUP(M$2,行为概览!$D$3:$M$33,10,0)*IF(玩法行为规划!L103&gt;0,1,0))</f>
        <v/>
      </c>
      <c r="N103" s="7" t="str">
        <f>IF(VLOOKUP(N$2,行为概览!$D$3:$M$33,10,0)="","",VLOOKUP(N$2,行为概览!$D$3:$M$33,10,0)*IF(玩法行为规划!M103&gt;0,1,0))</f>
        <v/>
      </c>
      <c r="O103" s="7" t="str">
        <f>IF(VLOOKUP(O$2,行为概览!$D$3:$M$33,10,0)="","",VLOOKUP(O$2,行为概览!$D$3:$M$33,10,0)*IF(玩法行为规划!N103&gt;0,1,0))</f>
        <v/>
      </c>
      <c r="P103" s="7" t="str">
        <f>IF(VLOOKUP(P$2,行为概览!$D$3:$M$33,10,0)="","",VLOOKUP(P$2,行为概览!$D$3:$M$33,10,0)*IF(玩法行为规划!O103&gt;0,1,0))</f>
        <v/>
      </c>
      <c r="Q103" s="7">
        <f>IF(VLOOKUP(Q$2,行为概览!$D$3:$M$33,10,0)="","",VLOOKUP(Q$2,行为概览!$D$3:$M$33,10,0)*IF(玩法行为规划!P103&gt;0,1,0))</f>
        <v>10</v>
      </c>
      <c r="R103" s="7" t="str">
        <f>IF(VLOOKUP(R$2,行为概览!$D$3:$M$33,10,0)="","",VLOOKUP(R$2,行为概览!$D$3:$M$33,10,0)*IF(玩法行为规划!Q103&gt;0,1,0))</f>
        <v/>
      </c>
      <c r="S103" s="7">
        <f>IF(VLOOKUP(S$2,行为概览!$D$3:$M$33,10,0)="","",VLOOKUP(S$2,行为概览!$D$3:$M$33,10,0)*IF(玩法行为规划!R103&gt;0,1,0))</f>
        <v>3</v>
      </c>
      <c r="T103" s="7" t="str">
        <f>IF(VLOOKUP(T$2,行为概览!$D$3:$M$33,10,0)="","",VLOOKUP(T$2,行为概览!$D$3:$M$33,10,0)*IF(玩法行为规划!S103&gt;0,1,0))</f>
        <v/>
      </c>
      <c r="U103" s="7" t="str">
        <f>IF(VLOOKUP(U$2,行为概览!$D$3:$M$33,10,0)="","",VLOOKUP(U$2,行为概览!$D$3:$M$33,10,0)*IF(玩法行为规划!T103&gt;0,1,0))</f>
        <v/>
      </c>
      <c r="V103" s="7">
        <f>IF(VLOOKUP(V$2,行为概览!$D$3:$M$33,10,0)="","",VLOOKUP(V$2,行为概览!$D$3:$M$33,10,0)*IF(玩法行为规划!U103&gt;0,1,0))</f>
        <v>4</v>
      </c>
      <c r="W103" s="7" t="str">
        <f>IF(VLOOKUP(W$2,行为概览!$D$3:$M$33,10,0)="","",VLOOKUP(W$2,行为概览!$D$3:$M$33,10,0)*IF(玩法行为规划!V103&gt;0,1,0))</f>
        <v/>
      </c>
      <c r="X103" s="7" t="str">
        <f>IF(VLOOKUP(X$2,行为概览!$D$3:$M$33,10,0)="","",VLOOKUP(X$2,行为概览!$D$3:$M$33,10,0)*IF(玩法行为规划!W103&gt;0,1,0))</f>
        <v/>
      </c>
      <c r="Y103" s="7" t="str">
        <f>IF(VLOOKUP(Y$2,行为概览!$D$3:$M$33,10,0)="","",VLOOKUP(Y$2,行为概览!$D$3:$M$33,10,0)*IF(玩法行为规划!X103&gt;0,1,0))</f>
        <v/>
      </c>
      <c r="Z103" s="7">
        <f>IF(VLOOKUP(Z$2,行为概览!$D$3:$M$33,10,0)="","",VLOOKUP(Z$2,行为概览!$D$3:$M$33,10,0)*IF(玩法行为规划!Y103&gt;0,1,0))</f>
        <v>10</v>
      </c>
      <c r="AA103" s="7" t="str">
        <f>IF(VLOOKUP(AA$2,行为概览!$D$3:$M$33,10,0)="","",VLOOKUP(AA$2,行为概览!$D$3:$M$33,10,0)*IF(玩法行为规划!Z103&gt;0,1,0))</f>
        <v/>
      </c>
      <c r="AB103" s="7" t="str">
        <f>IF(VLOOKUP(AB$2,行为概览!$D$3:$M$33,10,0)="","",VLOOKUP(AB$2,行为概览!$D$3:$M$33,10,0)*IF(玩法行为规划!AA103&gt;0,1,0))</f>
        <v/>
      </c>
      <c r="AC103" s="7" t="str">
        <f>IF(VLOOKUP(AC$2,行为概览!$D$3:$M$33,10,0)="","",VLOOKUP(AC$2,行为概览!$D$3:$M$33,10,0)*IF(玩法行为规划!AB103&gt;0,1,0))</f>
        <v/>
      </c>
      <c r="AD103" s="7" t="str">
        <f>IF(VLOOKUP(AD$2,行为概览!$D$3:$M$33,10,0)="","",VLOOKUP(AD$2,行为概览!$D$3:$M$33,10,0)*IF(玩法行为规划!AC103&gt;0,1,0))</f>
        <v/>
      </c>
      <c r="AE103" s="7" t="str">
        <f>IF(VLOOKUP(AE$2,行为概览!$D$3:$M$33,10,0)="","",VLOOKUP(AE$2,行为概览!$D$3:$M$33,10,0)*IF(玩法行为规划!AD103&gt;0,1,0))</f>
        <v/>
      </c>
      <c r="AF103" s="7">
        <f>IF(VLOOKUP(AF$2,行为概览!$D$3:$M$33,10,0)="","",VLOOKUP(AF$2,行为概览!$D$3:$M$33,10,0)*IF(玩法行为规划!AE103&gt;0,1,0))</f>
        <v>20</v>
      </c>
      <c r="AG103" s="7">
        <f t="shared" si="11"/>
        <v>80</v>
      </c>
      <c r="AH103" s="7">
        <f t="shared" si="12"/>
        <v>8080</v>
      </c>
      <c r="AI103" s="7">
        <v>0</v>
      </c>
      <c r="AJ103" s="21" t="str">
        <f t="shared" si="10"/>
        <v/>
      </c>
      <c r="AK103" s="7">
        <f t="shared" si="9"/>
        <v>8080</v>
      </c>
      <c r="AL103" s="7">
        <f>SUM($AK$3:AK103)</f>
        <v>380215</v>
      </c>
    </row>
    <row r="104" spans="1:38">
      <c r="A104" s="32">
        <v>102</v>
      </c>
      <c r="B104" s="87">
        <f>升级节奏!F104</f>
        <v>102</v>
      </c>
      <c r="C104" s="7">
        <f>IF(VLOOKUP(C$2,行为概览!$D$3:$M$33,10,0)="","",VLOOKUP(C$2,行为概览!$D$3:$M$33,10,0)*IF(玩法行为规划!B104&gt;0,1,0))</f>
        <v>8</v>
      </c>
      <c r="D104" s="7" t="str">
        <f>IF(VLOOKUP(D$2,行为概览!$D$3:$M$33,10,0)="","",VLOOKUP(D$2,行为概览!$D$3:$M$33,10,0)*IF(玩法行为规划!C104&gt;0,1,0))</f>
        <v/>
      </c>
      <c r="E104" s="7" t="str">
        <f>IF(VLOOKUP(E$2,行为概览!$D$3:$M$33,10,0)="","",VLOOKUP(E$2,行为概览!$D$3:$M$33,10,0)*IF(玩法行为规划!D104&gt;0,1,0))</f>
        <v/>
      </c>
      <c r="F104" s="7">
        <f>IF(VLOOKUP(F$2,行为概览!$D$3:$M$33,10,0)="","",VLOOKUP(F$2,行为概览!$D$3:$M$33,10,0)*IF(玩法行为规划!E104&gt;0,1,0))</f>
        <v>10</v>
      </c>
      <c r="G104" s="7" t="str">
        <f>IF(VLOOKUP(G$2,行为概览!$D$3:$M$33,10,0)="","",VLOOKUP(G$2,行为概览!$D$3:$M$33,10,0)*IF(玩法行为规划!F104&gt;0,1,0))</f>
        <v/>
      </c>
      <c r="H104" s="7" t="str">
        <f>IF(VLOOKUP(H$2,行为概览!$D$3:$M$33,10,0)="","",VLOOKUP(H$2,行为概览!$D$3:$M$33,10,0)*IF(玩法行为规划!G104&gt;0,1,0))</f>
        <v/>
      </c>
      <c r="I104" s="7" t="str">
        <f>IF(VLOOKUP(I$2,行为概览!$D$3:$M$33,10,0)="","",VLOOKUP(I$2,行为概览!$D$3:$M$33,10,0)*IF(玩法行为规划!H104&gt;0,1,0))</f>
        <v/>
      </c>
      <c r="J104" s="7" t="str">
        <f>IF(VLOOKUP(J$2,行为概览!$D$3:$M$33,10,0)="","",VLOOKUP(J$2,行为概览!$D$3:$M$33,10,0)*IF(玩法行为规划!I104&gt;0,1,0))</f>
        <v/>
      </c>
      <c r="K104" s="7">
        <f>IF(VLOOKUP(K$2,行为概览!$D$3:$M$33,10,0)="","",VLOOKUP(K$2,行为概览!$D$3:$M$33,10,0)*IF(玩法行为规划!J104&gt;0,1,0))</f>
        <v>10</v>
      </c>
      <c r="L104" s="7">
        <f>IF(VLOOKUP(L$2,行为概览!$D$3:$M$33,10,0)="","",VLOOKUP(L$2,行为概览!$D$3:$M$33,10,0)*IF(玩法行为规划!K104&gt;0,1,0))</f>
        <v>5</v>
      </c>
      <c r="M104" s="7" t="str">
        <f>IF(VLOOKUP(M$2,行为概览!$D$3:$M$33,10,0)="","",VLOOKUP(M$2,行为概览!$D$3:$M$33,10,0)*IF(玩法行为规划!L104&gt;0,1,0))</f>
        <v/>
      </c>
      <c r="N104" s="7" t="str">
        <f>IF(VLOOKUP(N$2,行为概览!$D$3:$M$33,10,0)="","",VLOOKUP(N$2,行为概览!$D$3:$M$33,10,0)*IF(玩法行为规划!M104&gt;0,1,0))</f>
        <v/>
      </c>
      <c r="O104" s="7" t="str">
        <f>IF(VLOOKUP(O$2,行为概览!$D$3:$M$33,10,0)="","",VLOOKUP(O$2,行为概览!$D$3:$M$33,10,0)*IF(玩法行为规划!N104&gt;0,1,0))</f>
        <v/>
      </c>
      <c r="P104" s="7" t="str">
        <f>IF(VLOOKUP(P$2,行为概览!$D$3:$M$33,10,0)="","",VLOOKUP(P$2,行为概览!$D$3:$M$33,10,0)*IF(玩法行为规划!O104&gt;0,1,0))</f>
        <v/>
      </c>
      <c r="Q104" s="7">
        <f>IF(VLOOKUP(Q$2,行为概览!$D$3:$M$33,10,0)="","",VLOOKUP(Q$2,行为概览!$D$3:$M$33,10,0)*IF(玩法行为规划!P104&gt;0,1,0))</f>
        <v>10</v>
      </c>
      <c r="R104" s="7" t="str">
        <f>IF(VLOOKUP(R$2,行为概览!$D$3:$M$33,10,0)="","",VLOOKUP(R$2,行为概览!$D$3:$M$33,10,0)*IF(玩法行为规划!Q104&gt;0,1,0))</f>
        <v/>
      </c>
      <c r="S104" s="7">
        <f>IF(VLOOKUP(S$2,行为概览!$D$3:$M$33,10,0)="","",VLOOKUP(S$2,行为概览!$D$3:$M$33,10,0)*IF(玩法行为规划!R104&gt;0,1,0))</f>
        <v>3</v>
      </c>
      <c r="T104" s="7" t="str">
        <f>IF(VLOOKUP(T$2,行为概览!$D$3:$M$33,10,0)="","",VLOOKUP(T$2,行为概览!$D$3:$M$33,10,0)*IF(玩法行为规划!S104&gt;0,1,0))</f>
        <v/>
      </c>
      <c r="U104" s="7" t="str">
        <f>IF(VLOOKUP(U$2,行为概览!$D$3:$M$33,10,0)="","",VLOOKUP(U$2,行为概览!$D$3:$M$33,10,0)*IF(玩法行为规划!T104&gt;0,1,0))</f>
        <v/>
      </c>
      <c r="V104" s="7">
        <f>IF(VLOOKUP(V$2,行为概览!$D$3:$M$33,10,0)="","",VLOOKUP(V$2,行为概览!$D$3:$M$33,10,0)*IF(玩法行为规划!U104&gt;0,1,0))</f>
        <v>4</v>
      </c>
      <c r="W104" s="7" t="str">
        <f>IF(VLOOKUP(W$2,行为概览!$D$3:$M$33,10,0)="","",VLOOKUP(W$2,行为概览!$D$3:$M$33,10,0)*IF(玩法行为规划!V104&gt;0,1,0))</f>
        <v/>
      </c>
      <c r="X104" s="7" t="str">
        <f>IF(VLOOKUP(X$2,行为概览!$D$3:$M$33,10,0)="","",VLOOKUP(X$2,行为概览!$D$3:$M$33,10,0)*IF(玩法行为规划!W104&gt;0,1,0))</f>
        <v/>
      </c>
      <c r="Y104" s="7" t="str">
        <f>IF(VLOOKUP(Y$2,行为概览!$D$3:$M$33,10,0)="","",VLOOKUP(Y$2,行为概览!$D$3:$M$33,10,0)*IF(玩法行为规划!X104&gt;0,1,0))</f>
        <v/>
      </c>
      <c r="Z104" s="7">
        <f>IF(VLOOKUP(Z$2,行为概览!$D$3:$M$33,10,0)="","",VLOOKUP(Z$2,行为概览!$D$3:$M$33,10,0)*IF(玩法行为规划!Y104&gt;0,1,0))</f>
        <v>10</v>
      </c>
      <c r="AA104" s="7" t="str">
        <f>IF(VLOOKUP(AA$2,行为概览!$D$3:$M$33,10,0)="","",VLOOKUP(AA$2,行为概览!$D$3:$M$33,10,0)*IF(玩法行为规划!Z104&gt;0,1,0))</f>
        <v/>
      </c>
      <c r="AB104" s="7" t="str">
        <f>IF(VLOOKUP(AB$2,行为概览!$D$3:$M$33,10,0)="","",VLOOKUP(AB$2,行为概览!$D$3:$M$33,10,0)*IF(玩法行为规划!AA104&gt;0,1,0))</f>
        <v/>
      </c>
      <c r="AC104" s="7" t="str">
        <f>IF(VLOOKUP(AC$2,行为概览!$D$3:$M$33,10,0)="","",VLOOKUP(AC$2,行为概览!$D$3:$M$33,10,0)*IF(玩法行为规划!AB104&gt;0,1,0))</f>
        <v/>
      </c>
      <c r="AD104" s="7" t="str">
        <f>IF(VLOOKUP(AD$2,行为概览!$D$3:$M$33,10,0)="","",VLOOKUP(AD$2,行为概览!$D$3:$M$33,10,0)*IF(玩法行为规划!AC104&gt;0,1,0))</f>
        <v/>
      </c>
      <c r="AE104" s="7" t="str">
        <f>IF(VLOOKUP(AE$2,行为概览!$D$3:$M$33,10,0)="","",VLOOKUP(AE$2,行为概览!$D$3:$M$33,10,0)*IF(玩法行为规划!AD104&gt;0,1,0))</f>
        <v/>
      </c>
      <c r="AF104" s="7">
        <f>IF(VLOOKUP(AF$2,行为概览!$D$3:$M$33,10,0)="","",VLOOKUP(AF$2,行为概览!$D$3:$M$33,10,0)*IF(玩法行为规划!AE104&gt;0,1,0))</f>
        <v>20</v>
      </c>
      <c r="AG104" s="7">
        <f t="shared" si="11"/>
        <v>80</v>
      </c>
      <c r="AH104" s="7">
        <f t="shared" si="12"/>
        <v>8160</v>
      </c>
      <c r="AI104" s="7">
        <v>0</v>
      </c>
      <c r="AJ104" s="21" t="str">
        <f t="shared" si="10"/>
        <v/>
      </c>
      <c r="AK104" s="7">
        <f t="shared" si="9"/>
        <v>8160</v>
      </c>
      <c r="AL104" s="7">
        <f>SUM($AK$3:AK104)</f>
        <v>388375</v>
      </c>
    </row>
    <row r="105" spans="1:38">
      <c r="A105" s="32">
        <v>103</v>
      </c>
      <c r="B105" s="87">
        <f>升级节奏!F105</f>
        <v>103</v>
      </c>
      <c r="C105" s="7">
        <f>IF(VLOOKUP(C$2,行为概览!$D$3:$M$33,10,0)="","",VLOOKUP(C$2,行为概览!$D$3:$M$33,10,0)*IF(玩法行为规划!B105&gt;0,1,0))</f>
        <v>8</v>
      </c>
      <c r="D105" s="7" t="str">
        <f>IF(VLOOKUP(D$2,行为概览!$D$3:$M$33,10,0)="","",VLOOKUP(D$2,行为概览!$D$3:$M$33,10,0)*IF(玩法行为规划!C105&gt;0,1,0))</f>
        <v/>
      </c>
      <c r="E105" s="7" t="str">
        <f>IF(VLOOKUP(E$2,行为概览!$D$3:$M$33,10,0)="","",VLOOKUP(E$2,行为概览!$D$3:$M$33,10,0)*IF(玩法行为规划!D105&gt;0,1,0))</f>
        <v/>
      </c>
      <c r="F105" s="7">
        <f>IF(VLOOKUP(F$2,行为概览!$D$3:$M$33,10,0)="","",VLOOKUP(F$2,行为概览!$D$3:$M$33,10,0)*IF(玩法行为规划!E105&gt;0,1,0))</f>
        <v>10</v>
      </c>
      <c r="G105" s="7" t="str">
        <f>IF(VLOOKUP(G$2,行为概览!$D$3:$M$33,10,0)="","",VLOOKUP(G$2,行为概览!$D$3:$M$33,10,0)*IF(玩法行为规划!F105&gt;0,1,0))</f>
        <v/>
      </c>
      <c r="H105" s="7" t="str">
        <f>IF(VLOOKUP(H$2,行为概览!$D$3:$M$33,10,0)="","",VLOOKUP(H$2,行为概览!$D$3:$M$33,10,0)*IF(玩法行为规划!G105&gt;0,1,0))</f>
        <v/>
      </c>
      <c r="I105" s="7" t="str">
        <f>IF(VLOOKUP(I$2,行为概览!$D$3:$M$33,10,0)="","",VLOOKUP(I$2,行为概览!$D$3:$M$33,10,0)*IF(玩法行为规划!H105&gt;0,1,0))</f>
        <v/>
      </c>
      <c r="J105" s="7" t="str">
        <f>IF(VLOOKUP(J$2,行为概览!$D$3:$M$33,10,0)="","",VLOOKUP(J$2,行为概览!$D$3:$M$33,10,0)*IF(玩法行为规划!I105&gt;0,1,0))</f>
        <v/>
      </c>
      <c r="K105" s="7">
        <f>IF(VLOOKUP(K$2,行为概览!$D$3:$M$33,10,0)="","",VLOOKUP(K$2,行为概览!$D$3:$M$33,10,0)*IF(玩法行为规划!J105&gt;0,1,0))</f>
        <v>10</v>
      </c>
      <c r="L105" s="7">
        <f>IF(VLOOKUP(L$2,行为概览!$D$3:$M$33,10,0)="","",VLOOKUP(L$2,行为概览!$D$3:$M$33,10,0)*IF(玩法行为规划!K105&gt;0,1,0))</f>
        <v>5</v>
      </c>
      <c r="M105" s="7" t="str">
        <f>IF(VLOOKUP(M$2,行为概览!$D$3:$M$33,10,0)="","",VLOOKUP(M$2,行为概览!$D$3:$M$33,10,0)*IF(玩法行为规划!L105&gt;0,1,0))</f>
        <v/>
      </c>
      <c r="N105" s="7" t="str">
        <f>IF(VLOOKUP(N$2,行为概览!$D$3:$M$33,10,0)="","",VLOOKUP(N$2,行为概览!$D$3:$M$33,10,0)*IF(玩法行为规划!M105&gt;0,1,0))</f>
        <v/>
      </c>
      <c r="O105" s="7" t="str">
        <f>IF(VLOOKUP(O$2,行为概览!$D$3:$M$33,10,0)="","",VLOOKUP(O$2,行为概览!$D$3:$M$33,10,0)*IF(玩法行为规划!N105&gt;0,1,0))</f>
        <v/>
      </c>
      <c r="P105" s="7" t="str">
        <f>IF(VLOOKUP(P$2,行为概览!$D$3:$M$33,10,0)="","",VLOOKUP(P$2,行为概览!$D$3:$M$33,10,0)*IF(玩法行为规划!O105&gt;0,1,0))</f>
        <v/>
      </c>
      <c r="Q105" s="7">
        <f>IF(VLOOKUP(Q$2,行为概览!$D$3:$M$33,10,0)="","",VLOOKUP(Q$2,行为概览!$D$3:$M$33,10,0)*IF(玩法行为规划!P105&gt;0,1,0))</f>
        <v>10</v>
      </c>
      <c r="R105" s="7" t="str">
        <f>IF(VLOOKUP(R$2,行为概览!$D$3:$M$33,10,0)="","",VLOOKUP(R$2,行为概览!$D$3:$M$33,10,0)*IF(玩法行为规划!Q105&gt;0,1,0))</f>
        <v/>
      </c>
      <c r="S105" s="7">
        <f>IF(VLOOKUP(S$2,行为概览!$D$3:$M$33,10,0)="","",VLOOKUP(S$2,行为概览!$D$3:$M$33,10,0)*IF(玩法行为规划!R105&gt;0,1,0))</f>
        <v>3</v>
      </c>
      <c r="T105" s="7" t="str">
        <f>IF(VLOOKUP(T$2,行为概览!$D$3:$M$33,10,0)="","",VLOOKUP(T$2,行为概览!$D$3:$M$33,10,0)*IF(玩法行为规划!S105&gt;0,1,0))</f>
        <v/>
      </c>
      <c r="U105" s="7" t="str">
        <f>IF(VLOOKUP(U$2,行为概览!$D$3:$M$33,10,0)="","",VLOOKUP(U$2,行为概览!$D$3:$M$33,10,0)*IF(玩法行为规划!T105&gt;0,1,0))</f>
        <v/>
      </c>
      <c r="V105" s="7">
        <f>IF(VLOOKUP(V$2,行为概览!$D$3:$M$33,10,0)="","",VLOOKUP(V$2,行为概览!$D$3:$M$33,10,0)*IF(玩法行为规划!U105&gt;0,1,0))</f>
        <v>4</v>
      </c>
      <c r="W105" s="7" t="str">
        <f>IF(VLOOKUP(W$2,行为概览!$D$3:$M$33,10,0)="","",VLOOKUP(W$2,行为概览!$D$3:$M$33,10,0)*IF(玩法行为规划!V105&gt;0,1,0))</f>
        <v/>
      </c>
      <c r="X105" s="7" t="str">
        <f>IF(VLOOKUP(X$2,行为概览!$D$3:$M$33,10,0)="","",VLOOKUP(X$2,行为概览!$D$3:$M$33,10,0)*IF(玩法行为规划!W105&gt;0,1,0))</f>
        <v/>
      </c>
      <c r="Y105" s="7" t="str">
        <f>IF(VLOOKUP(Y$2,行为概览!$D$3:$M$33,10,0)="","",VLOOKUP(Y$2,行为概览!$D$3:$M$33,10,0)*IF(玩法行为规划!X105&gt;0,1,0))</f>
        <v/>
      </c>
      <c r="Z105" s="7">
        <f>IF(VLOOKUP(Z$2,行为概览!$D$3:$M$33,10,0)="","",VLOOKUP(Z$2,行为概览!$D$3:$M$33,10,0)*IF(玩法行为规划!Y105&gt;0,1,0))</f>
        <v>10</v>
      </c>
      <c r="AA105" s="7" t="str">
        <f>IF(VLOOKUP(AA$2,行为概览!$D$3:$M$33,10,0)="","",VLOOKUP(AA$2,行为概览!$D$3:$M$33,10,0)*IF(玩法行为规划!Z105&gt;0,1,0))</f>
        <v/>
      </c>
      <c r="AB105" s="7" t="str">
        <f>IF(VLOOKUP(AB$2,行为概览!$D$3:$M$33,10,0)="","",VLOOKUP(AB$2,行为概览!$D$3:$M$33,10,0)*IF(玩法行为规划!AA105&gt;0,1,0))</f>
        <v/>
      </c>
      <c r="AC105" s="7" t="str">
        <f>IF(VLOOKUP(AC$2,行为概览!$D$3:$M$33,10,0)="","",VLOOKUP(AC$2,行为概览!$D$3:$M$33,10,0)*IF(玩法行为规划!AB105&gt;0,1,0))</f>
        <v/>
      </c>
      <c r="AD105" s="7" t="str">
        <f>IF(VLOOKUP(AD$2,行为概览!$D$3:$M$33,10,0)="","",VLOOKUP(AD$2,行为概览!$D$3:$M$33,10,0)*IF(玩法行为规划!AC105&gt;0,1,0))</f>
        <v/>
      </c>
      <c r="AE105" s="7" t="str">
        <f>IF(VLOOKUP(AE$2,行为概览!$D$3:$M$33,10,0)="","",VLOOKUP(AE$2,行为概览!$D$3:$M$33,10,0)*IF(玩法行为规划!AD105&gt;0,1,0))</f>
        <v/>
      </c>
      <c r="AF105" s="7">
        <f>IF(VLOOKUP(AF$2,行为概览!$D$3:$M$33,10,0)="","",VLOOKUP(AF$2,行为概览!$D$3:$M$33,10,0)*IF(玩法行为规划!AE105&gt;0,1,0))</f>
        <v>20</v>
      </c>
      <c r="AG105" s="7">
        <f t="shared" si="11"/>
        <v>80</v>
      </c>
      <c r="AH105" s="7">
        <f t="shared" si="12"/>
        <v>8240</v>
      </c>
      <c r="AI105" s="7">
        <v>0</v>
      </c>
      <c r="AJ105" s="21" t="str">
        <f t="shared" si="10"/>
        <v/>
      </c>
      <c r="AK105" s="7">
        <f t="shared" si="9"/>
        <v>8240</v>
      </c>
      <c r="AL105" s="7">
        <f>SUM($AK$3:AK105)</f>
        <v>396615</v>
      </c>
    </row>
    <row r="106" spans="1:38">
      <c r="A106" s="32">
        <v>104</v>
      </c>
      <c r="B106" s="87">
        <f>升级节奏!F106</f>
        <v>104</v>
      </c>
      <c r="C106" s="7">
        <f>IF(VLOOKUP(C$2,行为概览!$D$3:$M$33,10,0)="","",VLOOKUP(C$2,行为概览!$D$3:$M$33,10,0)*IF(玩法行为规划!B106&gt;0,1,0))</f>
        <v>8</v>
      </c>
      <c r="D106" s="7" t="str">
        <f>IF(VLOOKUP(D$2,行为概览!$D$3:$M$33,10,0)="","",VLOOKUP(D$2,行为概览!$D$3:$M$33,10,0)*IF(玩法行为规划!C106&gt;0,1,0))</f>
        <v/>
      </c>
      <c r="E106" s="7" t="str">
        <f>IF(VLOOKUP(E$2,行为概览!$D$3:$M$33,10,0)="","",VLOOKUP(E$2,行为概览!$D$3:$M$33,10,0)*IF(玩法行为规划!D106&gt;0,1,0))</f>
        <v/>
      </c>
      <c r="F106" s="7">
        <f>IF(VLOOKUP(F$2,行为概览!$D$3:$M$33,10,0)="","",VLOOKUP(F$2,行为概览!$D$3:$M$33,10,0)*IF(玩法行为规划!E106&gt;0,1,0))</f>
        <v>10</v>
      </c>
      <c r="G106" s="7" t="str">
        <f>IF(VLOOKUP(G$2,行为概览!$D$3:$M$33,10,0)="","",VLOOKUP(G$2,行为概览!$D$3:$M$33,10,0)*IF(玩法行为规划!F106&gt;0,1,0))</f>
        <v/>
      </c>
      <c r="H106" s="7" t="str">
        <f>IF(VLOOKUP(H$2,行为概览!$D$3:$M$33,10,0)="","",VLOOKUP(H$2,行为概览!$D$3:$M$33,10,0)*IF(玩法行为规划!G106&gt;0,1,0))</f>
        <v/>
      </c>
      <c r="I106" s="7" t="str">
        <f>IF(VLOOKUP(I$2,行为概览!$D$3:$M$33,10,0)="","",VLOOKUP(I$2,行为概览!$D$3:$M$33,10,0)*IF(玩法行为规划!H106&gt;0,1,0))</f>
        <v/>
      </c>
      <c r="J106" s="7" t="str">
        <f>IF(VLOOKUP(J$2,行为概览!$D$3:$M$33,10,0)="","",VLOOKUP(J$2,行为概览!$D$3:$M$33,10,0)*IF(玩法行为规划!I106&gt;0,1,0))</f>
        <v/>
      </c>
      <c r="K106" s="7">
        <f>IF(VLOOKUP(K$2,行为概览!$D$3:$M$33,10,0)="","",VLOOKUP(K$2,行为概览!$D$3:$M$33,10,0)*IF(玩法行为规划!J106&gt;0,1,0))</f>
        <v>10</v>
      </c>
      <c r="L106" s="7">
        <f>IF(VLOOKUP(L$2,行为概览!$D$3:$M$33,10,0)="","",VLOOKUP(L$2,行为概览!$D$3:$M$33,10,0)*IF(玩法行为规划!K106&gt;0,1,0))</f>
        <v>5</v>
      </c>
      <c r="M106" s="7" t="str">
        <f>IF(VLOOKUP(M$2,行为概览!$D$3:$M$33,10,0)="","",VLOOKUP(M$2,行为概览!$D$3:$M$33,10,0)*IF(玩法行为规划!L106&gt;0,1,0))</f>
        <v/>
      </c>
      <c r="N106" s="7" t="str">
        <f>IF(VLOOKUP(N$2,行为概览!$D$3:$M$33,10,0)="","",VLOOKUP(N$2,行为概览!$D$3:$M$33,10,0)*IF(玩法行为规划!M106&gt;0,1,0))</f>
        <v/>
      </c>
      <c r="O106" s="7" t="str">
        <f>IF(VLOOKUP(O$2,行为概览!$D$3:$M$33,10,0)="","",VLOOKUP(O$2,行为概览!$D$3:$M$33,10,0)*IF(玩法行为规划!N106&gt;0,1,0))</f>
        <v/>
      </c>
      <c r="P106" s="7" t="str">
        <f>IF(VLOOKUP(P$2,行为概览!$D$3:$M$33,10,0)="","",VLOOKUP(P$2,行为概览!$D$3:$M$33,10,0)*IF(玩法行为规划!O106&gt;0,1,0))</f>
        <v/>
      </c>
      <c r="Q106" s="7">
        <f>IF(VLOOKUP(Q$2,行为概览!$D$3:$M$33,10,0)="","",VLOOKUP(Q$2,行为概览!$D$3:$M$33,10,0)*IF(玩法行为规划!P106&gt;0,1,0))</f>
        <v>10</v>
      </c>
      <c r="R106" s="7" t="str">
        <f>IF(VLOOKUP(R$2,行为概览!$D$3:$M$33,10,0)="","",VLOOKUP(R$2,行为概览!$D$3:$M$33,10,0)*IF(玩法行为规划!Q106&gt;0,1,0))</f>
        <v/>
      </c>
      <c r="S106" s="7">
        <f>IF(VLOOKUP(S$2,行为概览!$D$3:$M$33,10,0)="","",VLOOKUP(S$2,行为概览!$D$3:$M$33,10,0)*IF(玩法行为规划!R106&gt;0,1,0))</f>
        <v>3</v>
      </c>
      <c r="T106" s="7" t="str">
        <f>IF(VLOOKUP(T$2,行为概览!$D$3:$M$33,10,0)="","",VLOOKUP(T$2,行为概览!$D$3:$M$33,10,0)*IF(玩法行为规划!S106&gt;0,1,0))</f>
        <v/>
      </c>
      <c r="U106" s="7" t="str">
        <f>IF(VLOOKUP(U$2,行为概览!$D$3:$M$33,10,0)="","",VLOOKUP(U$2,行为概览!$D$3:$M$33,10,0)*IF(玩法行为规划!T106&gt;0,1,0))</f>
        <v/>
      </c>
      <c r="V106" s="7">
        <f>IF(VLOOKUP(V$2,行为概览!$D$3:$M$33,10,0)="","",VLOOKUP(V$2,行为概览!$D$3:$M$33,10,0)*IF(玩法行为规划!U106&gt;0,1,0))</f>
        <v>4</v>
      </c>
      <c r="W106" s="7" t="str">
        <f>IF(VLOOKUP(W$2,行为概览!$D$3:$M$33,10,0)="","",VLOOKUP(W$2,行为概览!$D$3:$M$33,10,0)*IF(玩法行为规划!V106&gt;0,1,0))</f>
        <v/>
      </c>
      <c r="X106" s="7" t="str">
        <f>IF(VLOOKUP(X$2,行为概览!$D$3:$M$33,10,0)="","",VLOOKUP(X$2,行为概览!$D$3:$M$33,10,0)*IF(玩法行为规划!W106&gt;0,1,0))</f>
        <v/>
      </c>
      <c r="Y106" s="7" t="str">
        <f>IF(VLOOKUP(Y$2,行为概览!$D$3:$M$33,10,0)="","",VLOOKUP(Y$2,行为概览!$D$3:$M$33,10,0)*IF(玩法行为规划!X106&gt;0,1,0))</f>
        <v/>
      </c>
      <c r="Z106" s="7">
        <f>IF(VLOOKUP(Z$2,行为概览!$D$3:$M$33,10,0)="","",VLOOKUP(Z$2,行为概览!$D$3:$M$33,10,0)*IF(玩法行为规划!Y106&gt;0,1,0))</f>
        <v>10</v>
      </c>
      <c r="AA106" s="7" t="str">
        <f>IF(VLOOKUP(AA$2,行为概览!$D$3:$M$33,10,0)="","",VLOOKUP(AA$2,行为概览!$D$3:$M$33,10,0)*IF(玩法行为规划!Z106&gt;0,1,0))</f>
        <v/>
      </c>
      <c r="AB106" s="7" t="str">
        <f>IF(VLOOKUP(AB$2,行为概览!$D$3:$M$33,10,0)="","",VLOOKUP(AB$2,行为概览!$D$3:$M$33,10,0)*IF(玩法行为规划!AA106&gt;0,1,0))</f>
        <v/>
      </c>
      <c r="AC106" s="7" t="str">
        <f>IF(VLOOKUP(AC$2,行为概览!$D$3:$M$33,10,0)="","",VLOOKUP(AC$2,行为概览!$D$3:$M$33,10,0)*IF(玩法行为规划!AB106&gt;0,1,0))</f>
        <v/>
      </c>
      <c r="AD106" s="7" t="str">
        <f>IF(VLOOKUP(AD$2,行为概览!$D$3:$M$33,10,0)="","",VLOOKUP(AD$2,行为概览!$D$3:$M$33,10,0)*IF(玩法行为规划!AC106&gt;0,1,0))</f>
        <v/>
      </c>
      <c r="AE106" s="7" t="str">
        <f>IF(VLOOKUP(AE$2,行为概览!$D$3:$M$33,10,0)="","",VLOOKUP(AE$2,行为概览!$D$3:$M$33,10,0)*IF(玩法行为规划!AD106&gt;0,1,0))</f>
        <v/>
      </c>
      <c r="AF106" s="7">
        <f>IF(VLOOKUP(AF$2,行为概览!$D$3:$M$33,10,0)="","",VLOOKUP(AF$2,行为概览!$D$3:$M$33,10,0)*IF(玩法行为规划!AE106&gt;0,1,0))</f>
        <v>20</v>
      </c>
      <c r="AG106" s="7">
        <f t="shared" si="11"/>
        <v>80</v>
      </c>
      <c r="AH106" s="7">
        <f t="shared" si="12"/>
        <v>8320</v>
      </c>
      <c r="AI106" s="7">
        <v>0</v>
      </c>
      <c r="AJ106" s="21" t="str">
        <f t="shared" si="10"/>
        <v/>
      </c>
      <c r="AK106" s="7">
        <f t="shared" si="9"/>
        <v>8320</v>
      </c>
      <c r="AL106" s="7">
        <f>SUM($AK$3:AK106)</f>
        <v>404935</v>
      </c>
    </row>
    <row r="107" spans="1:38">
      <c r="A107" s="32">
        <v>105</v>
      </c>
      <c r="B107" s="87">
        <f>升级节奏!F107</f>
        <v>105</v>
      </c>
      <c r="C107" s="7">
        <f>IF(VLOOKUP(C$2,行为概览!$D$3:$M$33,10,0)="","",VLOOKUP(C$2,行为概览!$D$3:$M$33,10,0)*IF(玩法行为规划!B107&gt;0,1,0))</f>
        <v>8</v>
      </c>
      <c r="D107" s="7" t="str">
        <f>IF(VLOOKUP(D$2,行为概览!$D$3:$M$33,10,0)="","",VLOOKUP(D$2,行为概览!$D$3:$M$33,10,0)*IF(玩法行为规划!C107&gt;0,1,0))</f>
        <v/>
      </c>
      <c r="E107" s="7" t="str">
        <f>IF(VLOOKUP(E$2,行为概览!$D$3:$M$33,10,0)="","",VLOOKUP(E$2,行为概览!$D$3:$M$33,10,0)*IF(玩法行为规划!D107&gt;0,1,0))</f>
        <v/>
      </c>
      <c r="F107" s="7">
        <f>IF(VLOOKUP(F$2,行为概览!$D$3:$M$33,10,0)="","",VLOOKUP(F$2,行为概览!$D$3:$M$33,10,0)*IF(玩法行为规划!E107&gt;0,1,0))</f>
        <v>10</v>
      </c>
      <c r="G107" s="7" t="str">
        <f>IF(VLOOKUP(G$2,行为概览!$D$3:$M$33,10,0)="","",VLOOKUP(G$2,行为概览!$D$3:$M$33,10,0)*IF(玩法行为规划!F107&gt;0,1,0))</f>
        <v/>
      </c>
      <c r="H107" s="7" t="str">
        <f>IF(VLOOKUP(H$2,行为概览!$D$3:$M$33,10,0)="","",VLOOKUP(H$2,行为概览!$D$3:$M$33,10,0)*IF(玩法行为规划!G107&gt;0,1,0))</f>
        <v/>
      </c>
      <c r="I107" s="7" t="str">
        <f>IF(VLOOKUP(I$2,行为概览!$D$3:$M$33,10,0)="","",VLOOKUP(I$2,行为概览!$D$3:$M$33,10,0)*IF(玩法行为规划!H107&gt;0,1,0))</f>
        <v/>
      </c>
      <c r="J107" s="7" t="str">
        <f>IF(VLOOKUP(J$2,行为概览!$D$3:$M$33,10,0)="","",VLOOKUP(J$2,行为概览!$D$3:$M$33,10,0)*IF(玩法行为规划!I107&gt;0,1,0))</f>
        <v/>
      </c>
      <c r="K107" s="7">
        <f>IF(VLOOKUP(K$2,行为概览!$D$3:$M$33,10,0)="","",VLOOKUP(K$2,行为概览!$D$3:$M$33,10,0)*IF(玩法行为规划!J107&gt;0,1,0))</f>
        <v>10</v>
      </c>
      <c r="L107" s="7">
        <f>IF(VLOOKUP(L$2,行为概览!$D$3:$M$33,10,0)="","",VLOOKUP(L$2,行为概览!$D$3:$M$33,10,0)*IF(玩法行为规划!K107&gt;0,1,0))</f>
        <v>5</v>
      </c>
      <c r="M107" s="7" t="str">
        <f>IF(VLOOKUP(M$2,行为概览!$D$3:$M$33,10,0)="","",VLOOKUP(M$2,行为概览!$D$3:$M$33,10,0)*IF(玩法行为规划!L107&gt;0,1,0))</f>
        <v/>
      </c>
      <c r="N107" s="7" t="str">
        <f>IF(VLOOKUP(N$2,行为概览!$D$3:$M$33,10,0)="","",VLOOKUP(N$2,行为概览!$D$3:$M$33,10,0)*IF(玩法行为规划!M107&gt;0,1,0))</f>
        <v/>
      </c>
      <c r="O107" s="7" t="str">
        <f>IF(VLOOKUP(O$2,行为概览!$D$3:$M$33,10,0)="","",VLOOKUP(O$2,行为概览!$D$3:$M$33,10,0)*IF(玩法行为规划!N107&gt;0,1,0))</f>
        <v/>
      </c>
      <c r="P107" s="7" t="str">
        <f>IF(VLOOKUP(P$2,行为概览!$D$3:$M$33,10,0)="","",VLOOKUP(P$2,行为概览!$D$3:$M$33,10,0)*IF(玩法行为规划!O107&gt;0,1,0))</f>
        <v/>
      </c>
      <c r="Q107" s="7">
        <f>IF(VLOOKUP(Q$2,行为概览!$D$3:$M$33,10,0)="","",VLOOKUP(Q$2,行为概览!$D$3:$M$33,10,0)*IF(玩法行为规划!P107&gt;0,1,0))</f>
        <v>10</v>
      </c>
      <c r="R107" s="7" t="str">
        <f>IF(VLOOKUP(R$2,行为概览!$D$3:$M$33,10,0)="","",VLOOKUP(R$2,行为概览!$D$3:$M$33,10,0)*IF(玩法行为规划!Q107&gt;0,1,0))</f>
        <v/>
      </c>
      <c r="S107" s="7">
        <f>IF(VLOOKUP(S$2,行为概览!$D$3:$M$33,10,0)="","",VLOOKUP(S$2,行为概览!$D$3:$M$33,10,0)*IF(玩法行为规划!R107&gt;0,1,0))</f>
        <v>3</v>
      </c>
      <c r="T107" s="7" t="str">
        <f>IF(VLOOKUP(T$2,行为概览!$D$3:$M$33,10,0)="","",VLOOKUP(T$2,行为概览!$D$3:$M$33,10,0)*IF(玩法行为规划!S107&gt;0,1,0))</f>
        <v/>
      </c>
      <c r="U107" s="7" t="str">
        <f>IF(VLOOKUP(U$2,行为概览!$D$3:$M$33,10,0)="","",VLOOKUP(U$2,行为概览!$D$3:$M$33,10,0)*IF(玩法行为规划!T107&gt;0,1,0))</f>
        <v/>
      </c>
      <c r="V107" s="7">
        <f>IF(VLOOKUP(V$2,行为概览!$D$3:$M$33,10,0)="","",VLOOKUP(V$2,行为概览!$D$3:$M$33,10,0)*IF(玩法行为规划!U107&gt;0,1,0))</f>
        <v>4</v>
      </c>
      <c r="W107" s="7" t="str">
        <f>IF(VLOOKUP(W$2,行为概览!$D$3:$M$33,10,0)="","",VLOOKUP(W$2,行为概览!$D$3:$M$33,10,0)*IF(玩法行为规划!V107&gt;0,1,0))</f>
        <v/>
      </c>
      <c r="X107" s="7" t="str">
        <f>IF(VLOOKUP(X$2,行为概览!$D$3:$M$33,10,0)="","",VLOOKUP(X$2,行为概览!$D$3:$M$33,10,0)*IF(玩法行为规划!W107&gt;0,1,0))</f>
        <v/>
      </c>
      <c r="Y107" s="7" t="str">
        <f>IF(VLOOKUP(Y$2,行为概览!$D$3:$M$33,10,0)="","",VLOOKUP(Y$2,行为概览!$D$3:$M$33,10,0)*IF(玩法行为规划!X107&gt;0,1,0))</f>
        <v/>
      </c>
      <c r="Z107" s="7">
        <f>IF(VLOOKUP(Z$2,行为概览!$D$3:$M$33,10,0)="","",VLOOKUP(Z$2,行为概览!$D$3:$M$33,10,0)*IF(玩法行为规划!Y107&gt;0,1,0))</f>
        <v>10</v>
      </c>
      <c r="AA107" s="7" t="str">
        <f>IF(VLOOKUP(AA$2,行为概览!$D$3:$M$33,10,0)="","",VLOOKUP(AA$2,行为概览!$D$3:$M$33,10,0)*IF(玩法行为规划!Z107&gt;0,1,0))</f>
        <v/>
      </c>
      <c r="AB107" s="7" t="str">
        <f>IF(VLOOKUP(AB$2,行为概览!$D$3:$M$33,10,0)="","",VLOOKUP(AB$2,行为概览!$D$3:$M$33,10,0)*IF(玩法行为规划!AA107&gt;0,1,0))</f>
        <v/>
      </c>
      <c r="AC107" s="7" t="str">
        <f>IF(VLOOKUP(AC$2,行为概览!$D$3:$M$33,10,0)="","",VLOOKUP(AC$2,行为概览!$D$3:$M$33,10,0)*IF(玩法行为规划!AB107&gt;0,1,0))</f>
        <v/>
      </c>
      <c r="AD107" s="7" t="str">
        <f>IF(VLOOKUP(AD$2,行为概览!$D$3:$M$33,10,0)="","",VLOOKUP(AD$2,行为概览!$D$3:$M$33,10,0)*IF(玩法行为规划!AC107&gt;0,1,0))</f>
        <v/>
      </c>
      <c r="AE107" s="7" t="str">
        <f>IF(VLOOKUP(AE$2,行为概览!$D$3:$M$33,10,0)="","",VLOOKUP(AE$2,行为概览!$D$3:$M$33,10,0)*IF(玩法行为规划!AD107&gt;0,1,0))</f>
        <v/>
      </c>
      <c r="AF107" s="7">
        <f>IF(VLOOKUP(AF$2,行为概览!$D$3:$M$33,10,0)="","",VLOOKUP(AF$2,行为概览!$D$3:$M$33,10,0)*IF(玩法行为规划!AE107&gt;0,1,0))</f>
        <v>20</v>
      </c>
      <c r="AG107" s="7">
        <f t="shared" si="11"/>
        <v>80</v>
      </c>
      <c r="AH107" s="7">
        <f t="shared" si="12"/>
        <v>8400</v>
      </c>
      <c r="AI107" s="7">
        <v>0</v>
      </c>
      <c r="AJ107" s="21" t="str">
        <f t="shared" si="10"/>
        <v/>
      </c>
      <c r="AK107" s="7">
        <f t="shared" si="9"/>
        <v>8400</v>
      </c>
      <c r="AL107" s="7">
        <f>SUM($AK$3:AK107)</f>
        <v>413335</v>
      </c>
    </row>
    <row r="108" spans="1:38">
      <c r="A108" s="32">
        <v>106</v>
      </c>
      <c r="B108" s="87">
        <f>升级节奏!F108</f>
        <v>106</v>
      </c>
      <c r="C108" s="7">
        <f>IF(VLOOKUP(C$2,行为概览!$D$3:$M$33,10,0)="","",VLOOKUP(C$2,行为概览!$D$3:$M$33,10,0)*IF(玩法行为规划!B108&gt;0,1,0))</f>
        <v>8</v>
      </c>
      <c r="D108" s="7" t="str">
        <f>IF(VLOOKUP(D$2,行为概览!$D$3:$M$33,10,0)="","",VLOOKUP(D$2,行为概览!$D$3:$M$33,10,0)*IF(玩法行为规划!C108&gt;0,1,0))</f>
        <v/>
      </c>
      <c r="E108" s="7" t="str">
        <f>IF(VLOOKUP(E$2,行为概览!$D$3:$M$33,10,0)="","",VLOOKUP(E$2,行为概览!$D$3:$M$33,10,0)*IF(玩法行为规划!D108&gt;0,1,0))</f>
        <v/>
      </c>
      <c r="F108" s="7">
        <f>IF(VLOOKUP(F$2,行为概览!$D$3:$M$33,10,0)="","",VLOOKUP(F$2,行为概览!$D$3:$M$33,10,0)*IF(玩法行为规划!E108&gt;0,1,0))</f>
        <v>10</v>
      </c>
      <c r="G108" s="7" t="str">
        <f>IF(VLOOKUP(G$2,行为概览!$D$3:$M$33,10,0)="","",VLOOKUP(G$2,行为概览!$D$3:$M$33,10,0)*IF(玩法行为规划!F108&gt;0,1,0))</f>
        <v/>
      </c>
      <c r="H108" s="7" t="str">
        <f>IF(VLOOKUP(H$2,行为概览!$D$3:$M$33,10,0)="","",VLOOKUP(H$2,行为概览!$D$3:$M$33,10,0)*IF(玩法行为规划!G108&gt;0,1,0))</f>
        <v/>
      </c>
      <c r="I108" s="7" t="str">
        <f>IF(VLOOKUP(I$2,行为概览!$D$3:$M$33,10,0)="","",VLOOKUP(I$2,行为概览!$D$3:$M$33,10,0)*IF(玩法行为规划!H108&gt;0,1,0))</f>
        <v/>
      </c>
      <c r="J108" s="7" t="str">
        <f>IF(VLOOKUP(J$2,行为概览!$D$3:$M$33,10,0)="","",VLOOKUP(J$2,行为概览!$D$3:$M$33,10,0)*IF(玩法行为规划!I108&gt;0,1,0))</f>
        <v/>
      </c>
      <c r="K108" s="7">
        <f>IF(VLOOKUP(K$2,行为概览!$D$3:$M$33,10,0)="","",VLOOKUP(K$2,行为概览!$D$3:$M$33,10,0)*IF(玩法行为规划!J108&gt;0,1,0))</f>
        <v>10</v>
      </c>
      <c r="L108" s="7">
        <f>IF(VLOOKUP(L$2,行为概览!$D$3:$M$33,10,0)="","",VLOOKUP(L$2,行为概览!$D$3:$M$33,10,0)*IF(玩法行为规划!K108&gt;0,1,0))</f>
        <v>5</v>
      </c>
      <c r="M108" s="7" t="str">
        <f>IF(VLOOKUP(M$2,行为概览!$D$3:$M$33,10,0)="","",VLOOKUP(M$2,行为概览!$D$3:$M$33,10,0)*IF(玩法行为规划!L108&gt;0,1,0))</f>
        <v/>
      </c>
      <c r="N108" s="7" t="str">
        <f>IF(VLOOKUP(N$2,行为概览!$D$3:$M$33,10,0)="","",VLOOKUP(N$2,行为概览!$D$3:$M$33,10,0)*IF(玩法行为规划!M108&gt;0,1,0))</f>
        <v/>
      </c>
      <c r="O108" s="7" t="str">
        <f>IF(VLOOKUP(O$2,行为概览!$D$3:$M$33,10,0)="","",VLOOKUP(O$2,行为概览!$D$3:$M$33,10,0)*IF(玩法行为规划!N108&gt;0,1,0))</f>
        <v/>
      </c>
      <c r="P108" s="7" t="str">
        <f>IF(VLOOKUP(P$2,行为概览!$D$3:$M$33,10,0)="","",VLOOKUP(P$2,行为概览!$D$3:$M$33,10,0)*IF(玩法行为规划!O108&gt;0,1,0))</f>
        <v/>
      </c>
      <c r="Q108" s="7">
        <f>IF(VLOOKUP(Q$2,行为概览!$D$3:$M$33,10,0)="","",VLOOKUP(Q$2,行为概览!$D$3:$M$33,10,0)*IF(玩法行为规划!P108&gt;0,1,0))</f>
        <v>10</v>
      </c>
      <c r="R108" s="7" t="str">
        <f>IF(VLOOKUP(R$2,行为概览!$D$3:$M$33,10,0)="","",VLOOKUP(R$2,行为概览!$D$3:$M$33,10,0)*IF(玩法行为规划!Q108&gt;0,1,0))</f>
        <v/>
      </c>
      <c r="S108" s="7">
        <f>IF(VLOOKUP(S$2,行为概览!$D$3:$M$33,10,0)="","",VLOOKUP(S$2,行为概览!$D$3:$M$33,10,0)*IF(玩法行为规划!R108&gt;0,1,0))</f>
        <v>3</v>
      </c>
      <c r="T108" s="7" t="str">
        <f>IF(VLOOKUP(T$2,行为概览!$D$3:$M$33,10,0)="","",VLOOKUP(T$2,行为概览!$D$3:$M$33,10,0)*IF(玩法行为规划!S108&gt;0,1,0))</f>
        <v/>
      </c>
      <c r="U108" s="7" t="str">
        <f>IF(VLOOKUP(U$2,行为概览!$D$3:$M$33,10,0)="","",VLOOKUP(U$2,行为概览!$D$3:$M$33,10,0)*IF(玩法行为规划!T108&gt;0,1,0))</f>
        <v/>
      </c>
      <c r="V108" s="7">
        <f>IF(VLOOKUP(V$2,行为概览!$D$3:$M$33,10,0)="","",VLOOKUP(V$2,行为概览!$D$3:$M$33,10,0)*IF(玩法行为规划!U108&gt;0,1,0))</f>
        <v>4</v>
      </c>
      <c r="W108" s="7" t="str">
        <f>IF(VLOOKUP(W$2,行为概览!$D$3:$M$33,10,0)="","",VLOOKUP(W$2,行为概览!$D$3:$M$33,10,0)*IF(玩法行为规划!V108&gt;0,1,0))</f>
        <v/>
      </c>
      <c r="X108" s="7" t="str">
        <f>IF(VLOOKUP(X$2,行为概览!$D$3:$M$33,10,0)="","",VLOOKUP(X$2,行为概览!$D$3:$M$33,10,0)*IF(玩法行为规划!W108&gt;0,1,0))</f>
        <v/>
      </c>
      <c r="Y108" s="7" t="str">
        <f>IF(VLOOKUP(Y$2,行为概览!$D$3:$M$33,10,0)="","",VLOOKUP(Y$2,行为概览!$D$3:$M$33,10,0)*IF(玩法行为规划!X108&gt;0,1,0))</f>
        <v/>
      </c>
      <c r="Z108" s="7">
        <f>IF(VLOOKUP(Z$2,行为概览!$D$3:$M$33,10,0)="","",VLOOKUP(Z$2,行为概览!$D$3:$M$33,10,0)*IF(玩法行为规划!Y108&gt;0,1,0))</f>
        <v>10</v>
      </c>
      <c r="AA108" s="7" t="str">
        <f>IF(VLOOKUP(AA$2,行为概览!$D$3:$M$33,10,0)="","",VLOOKUP(AA$2,行为概览!$D$3:$M$33,10,0)*IF(玩法行为规划!Z108&gt;0,1,0))</f>
        <v/>
      </c>
      <c r="AB108" s="7" t="str">
        <f>IF(VLOOKUP(AB$2,行为概览!$D$3:$M$33,10,0)="","",VLOOKUP(AB$2,行为概览!$D$3:$M$33,10,0)*IF(玩法行为规划!AA108&gt;0,1,0))</f>
        <v/>
      </c>
      <c r="AC108" s="7" t="str">
        <f>IF(VLOOKUP(AC$2,行为概览!$D$3:$M$33,10,0)="","",VLOOKUP(AC$2,行为概览!$D$3:$M$33,10,0)*IF(玩法行为规划!AB108&gt;0,1,0))</f>
        <v/>
      </c>
      <c r="AD108" s="7" t="str">
        <f>IF(VLOOKUP(AD$2,行为概览!$D$3:$M$33,10,0)="","",VLOOKUP(AD$2,行为概览!$D$3:$M$33,10,0)*IF(玩法行为规划!AC108&gt;0,1,0))</f>
        <v/>
      </c>
      <c r="AE108" s="7" t="str">
        <f>IF(VLOOKUP(AE$2,行为概览!$D$3:$M$33,10,0)="","",VLOOKUP(AE$2,行为概览!$D$3:$M$33,10,0)*IF(玩法行为规划!AD108&gt;0,1,0))</f>
        <v/>
      </c>
      <c r="AF108" s="7">
        <f>IF(VLOOKUP(AF$2,行为概览!$D$3:$M$33,10,0)="","",VLOOKUP(AF$2,行为概览!$D$3:$M$33,10,0)*IF(玩法行为规划!AE108&gt;0,1,0))</f>
        <v>20</v>
      </c>
      <c r="AG108" s="7">
        <f t="shared" si="11"/>
        <v>80</v>
      </c>
      <c r="AH108" s="7">
        <f t="shared" si="12"/>
        <v>8480</v>
      </c>
      <c r="AI108" s="7">
        <v>0</v>
      </c>
      <c r="AJ108" s="21" t="str">
        <f t="shared" ref="AJ108:AJ139" si="13">IF(--RIGHT(A108,1)=0,SUM(AI108:AI117),"")</f>
        <v/>
      </c>
      <c r="AK108" s="7">
        <f t="shared" si="9"/>
        <v>8480</v>
      </c>
      <c r="AL108" s="7">
        <f>SUM($AK$3:AK108)</f>
        <v>421815</v>
      </c>
    </row>
    <row r="109" spans="1:38">
      <c r="A109" s="32">
        <v>107</v>
      </c>
      <c r="B109" s="87">
        <f>升级节奏!F109</f>
        <v>107</v>
      </c>
      <c r="C109" s="7">
        <f>IF(VLOOKUP(C$2,行为概览!$D$3:$M$33,10,0)="","",VLOOKUP(C$2,行为概览!$D$3:$M$33,10,0)*IF(玩法行为规划!B109&gt;0,1,0))</f>
        <v>8</v>
      </c>
      <c r="D109" s="7" t="str">
        <f>IF(VLOOKUP(D$2,行为概览!$D$3:$M$33,10,0)="","",VLOOKUP(D$2,行为概览!$D$3:$M$33,10,0)*IF(玩法行为规划!C109&gt;0,1,0))</f>
        <v/>
      </c>
      <c r="E109" s="7" t="str">
        <f>IF(VLOOKUP(E$2,行为概览!$D$3:$M$33,10,0)="","",VLOOKUP(E$2,行为概览!$D$3:$M$33,10,0)*IF(玩法行为规划!D109&gt;0,1,0))</f>
        <v/>
      </c>
      <c r="F109" s="7">
        <f>IF(VLOOKUP(F$2,行为概览!$D$3:$M$33,10,0)="","",VLOOKUP(F$2,行为概览!$D$3:$M$33,10,0)*IF(玩法行为规划!E109&gt;0,1,0))</f>
        <v>10</v>
      </c>
      <c r="G109" s="7" t="str">
        <f>IF(VLOOKUP(G$2,行为概览!$D$3:$M$33,10,0)="","",VLOOKUP(G$2,行为概览!$D$3:$M$33,10,0)*IF(玩法行为规划!F109&gt;0,1,0))</f>
        <v/>
      </c>
      <c r="H109" s="7" t="str">
        <f>IF(VLOOKUP(H$2,行为概览!$D$3:$M$33,10,0)="","",VLOOKUP(H$2,行为概览!$D$3:$M$33,10,0)*IF(玩法行为规划!G109&gt;0,1,0))</f>
        <v/>
      </c>
      <c r="I109" s="7" t="str">
        <f>IF(VLOOKUP(I$2,行为概览!$D$3:$M$33,10,0)="","",VLOOKUP(I$2,行为概览!$D$3:$M$33,10,0)*IF(玩法行为规划!H109&gt;0,1,0))</f>
        <v/>
      </c>
      <c r="J109" s="7" t="str">
        <f>IF(VLOOKUP(J$2,行为概览!$D$3:$M$33,10,0)="","",VLOOKUP(J$2,行为概览!$D$3:$M$33,10,0)*IF(玩法行为规划!I109&gt;0,1,0))</f>
        <v/>
      </c>
      <c r="K109" s="7">
        <f>IF(VLOOKUP(K$2,行为概览!$D$3:$M$33,10,0)="","",VLOOKUP(K$2,行为概览!$D$3:$M$33,10,0)*IF(玩法行为规划!J109&gt;0,1,0))</f>
        <v>10</v>
      </c>
      <c r="L109" s="7">
        <f>IF(VLOOKUP(L$2,行为概览!$D$3:$M$33,10,0)="","",VLOOKUP(L$2,行为概览!$D$3:$M$33,10,0)*IF(玩法行为规划!K109&gt;0,1,0))</f>
        <v>5</v>
      </c>
      <c r="M109" s="7" t="str">
        <f>IF(VLOOKUP(M$2,行为概览!$D$3:$M$33,10,0)="","",VLOOKUP(M$2,行为概览!$D$3:$M$33,10,0)*IF(玩法行为规划!L109&gt;0,1,0))</f>
        <v/>
      </c>
      <c r="N109" s="7" t="str">
        <f>IF(VLOOKUP(N$2,行为概览!$D$3:$M$33,10,0)="","",VLOOKUP(N$2,行为概览!$D$3:$M$33,10,0)*IF(玩法行为规划!M109&gt;0,1,0))</f>
        <v/>
      </c>
      <c r="O109" s="7" t="str">
        <f>IF(VLOOKUP(O$2,行为概览!$D$3:$M$33,10,0)="","",VLOOKUP(O$2,行为概览!$D$3:$M$33,10,0)*IF(玩法行为规划!N109&gt;0,1,0))</f>
        <v/>
      </c>
      <c r="P109" s="7" t="str">
        <f>IF(VLOOKUP(P$2,行为概览!$D$3:$M$33,10,0)="","",VLOOKUP(P$2,行为概览!$D$3:$M$33,10,0)*IF(玩法行为规划!O109&gt;0,1,0))</f>
        <v/>
      </c>
      <c r="Q109" s="7">
        <f>IF(VLOOKUP(Q$2,行为概览!$D$3:$M$33,10,0)="","",VLOOKUP(Q$2,行为概览!$D$3:$M$33,10,0)*IF(玩法行为规划!P109&gt;0,1,0))</f>
        <v>10</v>
      </c>
      <c r="R109" s="7" t="str">
        <f>IF(VLOOKUP(R$2,行为概览!$D$3:$M$33,10,0)="","",VLOOKUP(R$2,行为概览!$D$3:$M$33,10,0)*IF(玩法行为规划!Q109&gt;0,1,0))</f>
        <v/>
      </c>
      <c r="S109" s="7">
        <f>IF(VLOOKUP(S$2,行为概览!$D$3:$M$33,10,0)="","",VLOOKUP(S$2,行为概览!$D$3:$M$33,10,0)*IF(玩法行为规划!R109&gt;0,1,0))</f>
        <v>3</v>
      </c>
      <c r="T109" s="7" t="str">
        <f>IF(VLOOKUP(T$2,行为概览!$D$3:$M$33,10,0)="","",VLOOKUP(T$2,行为概览!$D$3:$M$33,10,0)*IF(玩法行为规划!S109&gt;0,1,0))</f>
        <v/>
      </c>
      <c r="U109" s="7" t="str">
        <f>IF(VLOOKUP(U$2,行为概览!$D$3:$M$33,10,0)="","",VLOOKUP(U$2,行为概览!$D$3:$M$33,10,0)*IF(玩法行为规划!T109&gt;0,1,0))</f>
        <v/>
      </c>
      <c r="V109" s="7">
        <f>IF(VLOOKUP(V$2,行为概览!$D$3:$M$33,10,0)="","",VLOOKUP(V$2,行为概览!$D$3:$M$33,10,0)*IF(玩法行为规划!U109&gt;0,1,0))</f>
        <v>4</v>
      </c>
      <c r="W109" s="7" t="str">
        <f>IF(VLOOKUP(W$2,行为概览!$D$3:$M$33,10,0)="","",VLOOKUP(W$2,行为概览!$D$3:$M$33,10,0)*IF(玩法行为规划!V109&gt;0,1,0))</f>
        <v/>
      </c>
      <c r="X109" s="7" t="str">
        <f>IF(VLOOKUP(X$2,行为概览!$D$3:$M$33,10,0)="","",VLOOKUP(X$2,行为概览!$D$3:$M$33,10,0)*IF(玩法行为规划!W109&gt;0,1,0))</f>
        <v/>
      </c>
      <c r="Y109" s="7" t="str">
        <f>IF(VLOOKUP(Y$2,行为概览!$D$3:$M$33,10,0)="","",VLOOKUP(Y$2,行为概览!$D$3:$M$33,10,0)*IF(玩法行为规划!X109&gt;0,1,0))</f>
        <v/>
      </c>
      <c r="Z109" s="7">
        <f>IF(VLOOKUP(Z$2,行为概览!$D$3:$M$33,10,0)="","",VLOOKUP(Z$2,行为概览!$D$3:$M$33,10,0)*IF(玩法行为规划!Y109&gt;0,1,0))</f>
        <v>10</v>
      </c>
      <c r="AA109" s="7" t="str">
        <f>IF(VLOOKUP(AA$2,行为概览!$D$3:$M$33,10,0)="","",VLOOKUP(AA$2,行为概览!$D$3:$M$33,10,0)*IF(玩法行为规划!Z109&gt;0,1,0))</f>
        <v/>
      </c>
      <c r="AB109" s="7" t="str">
        <f>IF(VLOOKUP(AB$2,行为概览!$D$3:$M$33,10,0)="","",VLOOKUP(AB$2,行为概览!$D$3:$M$33,10,0)*IF(玩法行为规划!AA109&gt;0,1,0))</f>
        <v/>
      </c>
      <c r="AC109" s="7" t="str">
        <f>IF(VLOOKUP(AC$2,行为概览!$D$3:$M$33,10,0)="","",VLOOKUP(AC$2,行为概览!$D$3:$M$33,10,0)*IF(玩法行为规划!AB109&gt;0,1,0))</f>
        <v/>
      </c>
      <c r="AD109" s="7" t="str">
        <f>IF(VLOOKUP(AD$2,行为概览!$D$3:$M$33,10,0)="","",VLOOKUP(AD$2,行为概览!$D$3:$M$33,10,0)*IF(玩法行为规划!AC109&gt;0,1,0))</f>
        <v/>
      </c>
      <c r="AE109" s="7" t="str">
        <f>IF(VLOOKUP(AE$2,行为概览!$D$3:$M$33,10,0)="","",VLOOKUP(AE$2,行为概览!$D$3:$M$33,10,0)*IF(玩法行为规划!AD109&gt;0,1,0))</f>
        <v/>
      </c>
      <c r="AF109" s="7">
        <f>IF(VLOOKUP(AF$2,行为概览!$D$3:$M$33,10,0)="","",VLOOKUP(AF$2,行为概览!$D$3:$M$33,10,0)*IF(玩法行为规划!AE109&gt;0,1,0))</f>
        <v>20</v>
      </c>
      <c r="AG109" s="7">
        <f t="shared" si="11"/>
        <v>80</v>
      </c>
      <c r="AH109" s="7">
        <f t="shared" si="12"/>
        <v>8560</v>
      </c>
      <c r="AI109" s="7">
        <v>0</v>
      </c>
      <c r="AJ109" s="21" t="str">
        <f t="shared" si="13"/>
        <v/>
      </c>
      <c r="AK109" s="7">
        <f t="shared" si="9"/>
        <v>8560</v>
      </c>
      <c r="AL109" s="7">
        <f>SUM($AK$3:AK109)</f>
        <v>430375</v>
      </c>
    </row>
    <row r="110" spans="1:38">
      <c r="A110" s="32">
        <v>108</v>
      </c>
      <c r="B110" s="87">
        <f>升级节奏!F110</f>
        <v>108</v>
      </c>
      <c r="C110" s="7">
        <f>IF(VLOOKUP(C$2,行为概览!$D$3:$M$33,10,0)="","",VLOOKUP(C$2,行为概览!$D$3:$M$33,10,0)*IF(玩法行为规划!B110&gt;0,1,0))</f>
        <v>8</v>
      </c>
      <c r="D110" s="7" t="str">
        <f>IF(VLOOKUP(D$2,行为概览!$D$3:$M$33,10,0)="","",VLOOKUP(D$2,行为概览!$D$3:$M$33,10,0)*IF(玩法行为规划!C110&gt;0,1,0))</f>
        <v/>
      </c>
      <c r="E110" s="7" t="str">
        <f>IF(VLOOKUP(E$2,行为概览!$D$3:$M$33,10,0)="","",VLOOKUP(E$2,行为概览!$D$3:$M$33,10,0)*IF(玩法行为规划!D110&gt;0,1,0))</f>
        <v/>
      </c>
      <c r="F110" s="7">
        <f>IF(VLOOKUP(F$2,行为概览!$D$3:$M$33,10,0)="","",VLOOKUP(F$2,行为概览!$D$3:$M$33,10,0)*IF(玩法行为规划!E110&gt;0,1,0))</f>
        <v>10</v>
      </c>
      <c r="G110" s="7" t="str">
        <f>IF(VLOOKUP(G$2,行为概览!$D$3:$M$33,10,0)="","",VLOOKUP(G$2,行为概览!$D$3:$M$33,10,0)*IF(玩法行为规划!F110&gt;0,1,0))</f>
        <v/>
      </c>
      <c r="H110" s="7" t="str">
        <f>IF(VLOOKUP(H$2,行为概览!$D$3:$M$33,10,0)="","",VLOOKUP(H$2,行为概览!$D$3:$M$33,10,0)*IF(玩法行为规划!G110&gt;0,1,0))</f>
        <v/>
      </c>
      <c r="I110" s="7" t="str">
        <f>IF(VLOOKUP(I$2,行为概览!$D$3:$M$33,10,0)="","",VLOOKUP(I$2,行为概览!$D$3:$M$33,10,0)*IF(玩法行为规划!H110&gt;0,1,0))</f>
        <v/>
      </c>
      <c r="J110" s="7" t="str">
        <f>IF(VLOOKUP(J$2,行为概览!$D$3:$M$33,10,0)="","",VLOOKUP(J$2,行为概览!$D$3:$M$33,10,0)*IF(玩法行为规划!I110&gt;0,1,0))</f>
        <v/>
      </c>
      <c r="K110" s="7">
        <f>IF(VLOOKUP(K$2,行为概览!$D$3:$M$33,10,0)="","",VLOOKUP(K$2,行为概览!$D$3:$M$33,10,0)*IF(玩法行为规划!J110&gt;0,1,0))</f>
        <v>10</v>
      </c>
      <c r="L110" s="7">
        <f>IF(VLOOKUP(L$2,行为概览!$D$3:$M$33,10,0)="","",VLOOKUP(L$2,行为概览!$D$3:$M$33,10,0)*IF(玩法行为规划!K110&gt;0,1,0))</f>
        <v>5</v>
      </c>
      <c r="M110" s="7" t="str">
        <f>IF(VLOOKUP(M$2,行为概览!$D$3:$M$33,10,0)="","",VLOOKUP(M$2,行为概览!$D$3:$M$33,10,0)*IF(玩法行为规划!L110&gt;0,1,0))</f>
        <v/>
      </c>
      <c r="N110" s="7" t="str">
        <f>IF(VLOOKUP(N$2,行为概览!$D$3:$M$33,10,0)="","",VLOOKUP(N$2,行为概览!$D$3:$M$33,10,0)*IF(玩法行为规划!M110&gt;0,1,0))</f>
        <v/>
      </c>
      <c r="O110" s="7" t="str">
        <f>IF(VLOOKUP(O$2,行为概览!$D$3:$M$33,10,0)="","",VLOOKUP(O$2,行为概览!$D$3:$M$33,10,0)*IF(玩法行为规划!N110&gt;0,1,0))</f>
        <v/>
      </c>
      <c r="P110" s="7" t="str">
        <f>IF(VLOOKUP(P$2,行为概览!$D$3:$M$33,10,0)="","",VLOOKUP(P$2,行为概览!$D$3:$M$33,10,0)*IF(玩法行为规划!O110&gt;0,1,0))</f>
        <v/>
      </c>
      <c r="Q110" s="7">
        <f>IF(VLOOKUP(Q$2,行为概览!$D$3:$M$33,10,0)="","",VLOOKUP(Q$2,行为概览!$D$3:$M$33,10,0)*IF(玩法行为规划!P110&gt;0,1,0))</f>
        <v>10</v>
      </c>
      <c r="R110" s="7" t="str">
        <f>IF(VLOOKUP(R$2,行为概览!$D$3:$M$33,10,0)="","",VLOOKUP(R$2,行为概览!$D$3:$M$33,10,0)*IF(玩法行为规划!Q110&gt;0,1,0))</f>
        <v/>
      </c>
      <c r="S110" s="7">
        <f>IF(VLOOKUP(S$2,行为概览!$D$3:$M$33,10,0)="","",VLOOKUP(S$2,行为概览!$D$3:$M$33,10,0)*IF(玩法行为规划!R110&gt;0,1,0))</f>
        <v>3</v>
      </c>
      <c r="T110" s="7" t="str">
        <f>IF(VLOOKUP(T$2,行为概览!$D$3:$M$33,10,0)="","",VLOOKUP(T$2,行为概览!$D$3:$M$33,10,0)*IF(玩法行为规划!S110&gt;0,1,0))</f>
        <v/>
      </c>
      <c r="U110" s="7" t="str">
        <f>IF(VLOOKUP(U$2,行为概览!$D$3:$M$33,10,0)="","",VLOOKUP(U$2,行为概览!$D$3:$M$33,10,0)*IF(玩法行为规划!T110&gt;0,1,0))</f>
        <v/>
      </c>
      <c r="V110" s="7">
        <f>IF(VLOOKUP(V$2,行为概览!$D$3:$M$33,10,0)="","",VLOOKUP(V$2,行为概览!$D$3:$M$33,10,0)*IF(玩法行为规划!U110&gt;0,1,0))</f>
        <v>4</v>
      </c>
      <c r="W110" s="7" t="str">
        <f>IF(VLOOKUP(W$2,行为概览!$D$3:$M$33,10,0)="","",VLOOKUP(W$2,行为概览!$D$3:$M$33,10,0)*IF(玩法行为规划!V110&gt;0,1,0))</f>
        <v/>
      </c>
      <c r="X110" s="7" t="str">
        <f>IF(VLOOKUP(X$2,行为概览!$D$3:$M$33,10,0)="","",VLOOKUP(X$2,行为概览!$D$3:$M$33,10,0)*IF(玩法行为规划!W110&gt;0,1,0))</f>
        <v/>
      </c>
      <c r="Y110" s="7" t="str">
        <f>IF(VLOOKUP(Y$2,行为概览!$D$3:$M$33,10,0)="","",VLOOKUP(Y$2,行为概览!$D$3:$M$33,10,0)*IF(玩法行为规划!X110&gt;0,1,0))</f>
        <v/>
      </c>
      <c r="Z110" s="7">
        <f>IF(VLOOKUP(Z$2,行为概览!$D$3:$M$33,10,0)="","",VLOOKUP(Z$2,行为概览!$D$3:$M$33,10,0)*IF(玩法行为规划!Y110&gt;0,1,0))</f>
        <v>10</v>
      </c>
      <c r="AA110" s="7" t="str">
        <f>IF(VLOOKUP(AA$2,行为概览!$D$3:$M$33,10,0)="","",VLOOKUP(AA$2,行为概览!$D$3:$M$33,10,0)*IF(玩法行为规划!Z110&gt;0,1,0))</f>
        <v/>
      </c>
      <c r="AB110" s="7" t="str">
        <f>IF(VLOOKUP(AB$2,行为概览!$D$3:$M$33,10,0)="","",VLOOKUP(AB$2,行为概览!$D$3:$M$33,10,0)*IF(玩法行为规划!AA110&gt;0,1,0))</f>
        <v/>
      </c>
      <c r="AC110" s="7" t="str">
        <f>IF(VLOOKUP(AC$2,行为概览!$D$3:$M$33,10,0)="","",VLOOKUP(AC$2,行为概览!$D$3:$M$33,10,0)*IF(玩法行为规划!AB110&gt;0,1,0))</f>
        <v/>
      </c>
      <c r="AD110" s="7" t="str">
        <f>IF(VLOOKUP(AD$2,行为概览!$D$3:$M$33,10,0)="","",VLOOKUP(AD$2,行为概览!$D$3:$M$33,10,0)*IF(玩法行为规划!AC110&gt;0,1,0))</f>
        <v/>
      </c>
      <c r="AE110" s="7" t="str">
        <f>IF(VLOOKUP(AE$2,行为概览!$D$3:$M$33,10,0)="","",VLOOKUP(AE$2,行为概览!$D$3:$M$33,10,0)*IF(玩法行为规划!AD110&gt;0,1,0))</f>
        <v/>
      </c>
      <c r="AF110" s="7">
        <f>IF(VLOOKUP(AF$2,行为概览!$D$3:$M$33,10,0)="","",VLOOKUP(AF$2,行为概览!$D$3:$M$33,10,0)*IF(玩法行为规划!AE110&gt;0,1,0))</f>
        <v>20</v>
      </c>
      <c r="AG110" s="7">
        <f t="shared" si="11"/>
        <v>80</v>
      </c>
      <c r="AH110" s="7">
        <f t="shared" si="12"/>
        <v>8640</v>
      </c>
      <c r="AI110" s="7">
        <v>0</v>
      </c>
      <c r="AJ110" s="21" t="str">
        <f t="shared" si="13"/>
        <v/>
      </c>
      <c r="AK110" s="7">
        <f t="shared" si="9"/>
        <v>8640</v>
      </c>
      <c r="AL110" s="7">
        <f>SUM($AK$3:AK110)</f>
        <v>439015</v>
      </c>
    </row>
    <row r="111" spans="1:38">
      <c r="A111" s="32">
        <v>109</v>
      </c>
      <c r="B111" s="87">
        <f>升级节奏!F111</f>
        <v>109</v>
      </c>
      <c r="C111" s="7">
        <f>IF(VLOOKUP(C$2,行为概览!$D$3:$M$33,10,0)="","",VLOOKUP(C$2,行为概览!$D$3:$M$33,10,0)*IF(玩法行为规划!B111&gt;0,1,0))</f>
        <v>8</v>
      </c>
      <c r="D111" s="7" t="str">
        <f>IF(VLOOKUP(D$2,行为概览!$D$3:$M$33,10,0)="","",VLOOKUP(D$2,行为概览!$D$3:$M$33,10,0)*IF(玩法行为规划!C111&gt;0,1,0))</f>
        <v/>
      </c>
      <c r="E111" s="7" t="str">
        <f>IF(VLOOKUP(E$2,行为概览!$D$3:$M$33,10,0)="","",VLOOKUP(E$2,行为概览!$D$3:$M$33,10,0)*IF(玩法行为规划!D111&gt;0,1,0))</f>
        <v/>
      </c>
      <c r="F111" s="7">
        <f>IF(VLOOKUP(F$2,行为概览!$D$3:$M$33,10,0)="","",VLOOKUP(F$2,行为概览!$D$3:$M$33,10,0)*IF(玩法行为规划!E111&gt;0,1,0))</f>
        <v>10</v>
      </c>
      <c r="G111" s="7" t="str">
        <f>IF(VLOOKUP(G$2,行为概览!$D$3:$M$33,10,0)="","",VLOOKUP(G$2,行为概览!$D$3:$M$33,10,0)*IF(玩法行为规划!F111&gt;0,1,0))</f>
        <v/>
      </c>
      <c r="H111" s="7" t="str">
        <f>IF(VLOOKUP(H$2,行为概览!$D$3:$M$33,10,0)="","",VLOOKUP(H$2,行为概览!$D$3:$M$33,10,0)*IF(玩法行为规划!G111&gt;0,1,0))</f>
        <v/>
      </c>
      <c r="I111" s="7" t="str">
        <f>IF(VLOOKUP(I$2,行为概览!$D$3:$M$33,10,0)="","",VLOOKUP(I$2,行为概览!$D$3:$M$33,10,0)*IF(玩法行为规划!H111&gt;0,1,0))</f>
        <v/>
      </c>
      <c r="J111" s="7" t="str">
        <f>IF(VLOOKUP(J$2,行为概览!$D$3:$M$33,10,0)="","",VLOOKUP(J$2,行为概览!$D$3:$M$33,10,0)*IF(玩法行为规划!I111&gt;0,1,0))</f>
        <v/>
      </c>
      <c r="K111" s="7">
        <f>IF(VLOOKUP(K$2,行为概览!$D$3:$M$33,10,0)="","",VLOOKUP(K$2,行为概览!$D$3:$M$33,10,0)*IF(玩法行为规划!J111&gt;0,1,0))</f>
        <v>10</v>
      </c>
      <c r="L111" s="7">
        <f>IF(VLOOKUP(L$2,行为概览!$D$3:$M$33,10,0)="","",VLOOKUP(L$2,行为概览!$D$3:$M$33,10,0)*IF(玩法行为规划!K111&gt;0,1,0))</f>
        <v>5</v>
      </c>
      <c r="M111" s="7" t="str">
        <f>IF(VLOOKUP(M$2,行为概览!$D$3:$M$33,10,0)="","",VLOOKUP(M$2,行为概览!$D$3:$M$33,10,0)*IF(玩法行为规划!L111&gt;0,1,0))</f>
        <v/>
      </c>
      <c r="N111" s="7" t="str">
        <f>IF(VLOOKUP(N$2,行为概览!$D$3:$M$33,10,0)="","",VLOOKUP(N$2,行为概览!$D$3:$M$33,10,0)*IF(玩法行为规划!M111&gt;0,1,0))</f>
        <v/>
      </c>
      <c r="O111" s="7" t="str">
        <f>IF(VLOOKUP(O$2,行为概览!$D$3:$M$33,10,0)="","",VLOOKUP(O$2,行为概览!$D$3:$M$33,10,0)*IF(玩法行为规划!N111&gt;0,1,0))</f>
        <v/>
      </c>
      <c r="P111" s="7" t="str">
        <f>IF(VLOOKUP(P$2,行为概览!$D$3:$M$33,10,0)="","",VLOOKUP(P$2,行为概览!$D$3:$M$33,10,0)*IF(玩法行为规划!O111&gt;0,1,0))</f>
        <v/>
      </c>
      <c r="Q111" s="7">
        <f>IF(VLOOKUP(Q$2,行为概览!$D$3:$M$33,10,0)="","",VLOOKUP(Q$2,行为概览!$D$3:$M$33,10,0)*IF(玩法行为规划!P111&gt;0,1,0))</f>
        <v>10</v>
      </c>
      <c r="R111" s="7" t="str">
        <f>IF(VLOOKUP(R$2,行为概览!$D$3:$M$33,10,0)="","",VLOOKUP(R$2,行为概览!$D$3:$M$33,10,0)*IF(玩法行为规划!Q111&gt;0,1,0))</f>
        <v/>
      </c>
      <c r="S111" s="7">
        <f>IF(VLOOKUP(S$2,行为概览!$D$3:$M$33,10,0)="","",VLOOKUP(S$2,行为概览!$D$3:$M$33,10,0)*IF(玩法行为规划!R111&gt;0,1,0))</f>
        <v>3</v>
      </c>
      <c r="T111" s="7" t="str">
        <f>IF(VLOOKUP(T$2,行为概览!$D$3:$M$33,10,0)="","",VLOOKUP(T$2,行为概览!$D$3:$M$33,10,0)*IF(玩法行为规划!S111&gt;0,1,0))</f>
        <v/>
      </c>
      <c r="U111" s="7" t="str">
        <f>IF(VLOOKUP(U$2,行为概览!$D$3:$M$33,10,0)="","",VLOOKUP(U$2,行为概览!$D$3:$M$33,10,0)*IF(玩法行为规划!T111&gt;0,1,0))</f>
        <v/>
      </c>
      <c r="V111" s="7">
        <f>IF(VLOOKUP(V$2,行为概览!$D$3:$M$33,10,0)="","",VLOOKUP(V$2,行为概览!$D$3:$M$33,10,0)*IF(玩法行为规划!U111&gt;0,1,0))</f>
        <v>4</v>
      </c>
      <c r="W111" s="7" t="str">
        <f>IF(VLOOKUP(W$2,行为概览!$D$3:$M$33,10,0)="","",VLOOKUP(W$2,行为概览!$D$3:$M$33,10,0)*IF(玩法行为规划!V111&gt;0,1,0))</f>
        <v/>
      </c>
      <c r="X111" s="7" t="str">
        <f>IF(VLOOKUP(X$2,行为概览!$D$3:$M$33,10,0)="","",VLOOKUP(X$2,行为概览!$D$3:$M$33,10,0)*IF(玩法行为规划!W111&gt;0,1,0))</f>
        <v/>
      </c>
      <c r="Y111" s="7" t="str">
        <f>IF(VLOOKUP(Y$2,行为概览!$D$3:$M$33,10,0)="","",VLOOKUP(Y$2,行为概览!$D$3:$M$33,10,0)*IF(玩法行为规划!X111&gt;0,1,0))</f>
        <v/>
      </c>
      <c r="Z111" s="7">
        <f>IF(VLOOKUP(Z$2,行为概览!$D$3:$M$33,10,0)="","",VLOOKUP(Z$2,行为概览!$D$3:$M$33,10,0)*IF(玩法行为规划!Y111&gt;0,1,0))</f>
        <v>10</v>
      </c>
      <c r="AA111" s="7" t="str">
        <f>IF(VLOOKUP(AA$2,行为概览!$D$3:$M$33,10,0)="","",VLOOKUP(AA$2,行为概览!$D$3:$M$33,10,0)*IF(玩法行为规划!Z111&gt;0,1,0))</f>
        <v/>
      </c>
      <c r="AB111" s="7" t="str">
        <f>IF(VLOOKUP(AB$2,行为概览!$D$3:$M$33,10,0)="","",VLOOKUP(AB$2,行为概览!$D$3:$M$33,10,0)*IF(玩法行为规划!AA111&gt;0,1,0))</f>
        <v/>
      </c>
      <c r="AC111" s="7" t="str">
        <f>IF(VLOOKUP(AC$2,行为概览!$D$3:$M$33,10,0)="","",VLOOKUP(AC$2,行为概览!$D$3:$M$33,10,0)*IF(玩法行为规划!AB111&gt;0,1,0))</f>
        <v/>
      </c>
      <c r="AD111" s="7" t="str">
        <f>IF(VLOOKUP(AD$2,行为概览!$D$3:$M$33,10,0)="","",VLOOKUP(AD$2,行为概览!$D$3:$M$33,10,0)*IF(玩法行为规划!AC111&gt;0,1,0))</f>
        <v/>
      </c>
      <c r="AE111" s="7" t="str">
        <f>IF(VLOOKUP(AE$2,行为概览!$D$3:$M$33,10,0)="","",VLOOKUP(AE$2,行为概览!$D$3:$M$33,10,0)*IF(玩法行为规划!AD111&gt;0,1,0))</f>
        <v/>
      </c>
      <c r="AF111" s="7">
        <f>IF(VLOOKUP(AF$2,行为概览!$D$3:$M$33,10,0)="","",VLOOKUP(AF$2,行为概览!$D$3:$M$33,10,0)*IF(玩法行为规划!AE111&gt;0,1,0))</f>
        <v>20</v>
      </c>
      <c r="AG111" s="7">
        <f t="shared" si="11"/>
        <v>80</v>
      </c>
      <c r="AH111" s="7">
        <f t="shared" si="12"/>
        <v>8720</v>
      </c>
      <c r="AI111" s="7">
        <v>0</v>
      </c>
      <c r="AJ111" s="21" t="str">
        <f t="shared" si="13"/>
        <v/>
      </c>
      <c r="AK111" s="7">
        <f t="shared" si="9"/>
        <v>8720</v>
      </c>
      <c r="AL111" s="7">
        <f>SUM($AK$3:AK111)</f>
        <v>447735</v>
      </c>
    </row>
    <row r="112" spans="1:38">
      <c r="A112" s="32">
        <v>110</v>
      </c>
      <c r="B112" s="87">
        <f>升级节奏!F112</f>
        <v>110</v>
      </c>
      <c r="C112" s="7">
        <f>IF(VLOOKUP(C$2,行为概览!$D$3:$M$33,10,0)="","",VLOOKUP(C$2,行为概览!$D$3:$M$33,10,0)*IF(玩法行为规划!B112&gt;0,1,0))</f>
        <v>8</v>
      </c>
      <c r="D112" s="7" t="str">
        <f>IF(VLOOKUP(D$2,行为概览!$D$3:$M$33,10,0)="","",VLOOKUP(D$2,行为概览!$D$3:$M$33,10,0)*IF(玩法行为规划!C112&gt;0,1,0))</f>
        <v/>
      </c>
      <c r="E112" s="7" t="str">
        <f>IF(VLOOKUP(E$2,行为概览!$D$3:$M$33,10,0)="","",VLOOKUP(E$2,行为概览!$D$3:$M$33,10,0)*IF(玩法行为规划!D112&gt;0,1,0))</f>
        <v/>
      </c>
      <c r="F112" s="7">
        <f>IF(VLOOKUP(F$2,行为概览!$D$3:$M$33,10,0)="","",VLOOKUP(F$2,行为概览!$D$3:$M$33,10,0)*IF(玩法行为规划!E112&gt;0,1,0))</f>
        <v>10</v>
      </c>
      <c r="G112" s="7" t="str">
        <f>IF(VLOOKUP(G$2,行为概览!$D$3:$M$33,10,0)="","",VLOOKUP(G$2,行为概览!$D$3:$M$33,10,0)*IF(玩法行为规划!F112&gt;0,1,0))</f>
        <v/>
      </c>
      <c r="H112" s="7" t="str">
        <f>IF(VLOOKUP(H$2,行为概览!$D$3:$M$33,10,0)="","",VLOOKUP(H$2,行为概览!$D$3:$M$33,10,0)*IF(玩法行为规划!G112&gt;0,1,0))</f>
        <v/>
      </c>
      <c r="I112" s="7" t="str">
        <f>IF(VLOOKUP(I$2,行为概览!$D$3:$M$33,10,0)="","",VLOOKUP(I$2,行为概览!$D$3:$M$33,10,0)*IF(玩法行为规划!H112&gt;0,1,0))</f>
        <v/>
      </c>
      <c r="J112" s="7" t="str">
        <f>IF(VLOOKUP(J$2,行为概览!$D$3:$M$33,10,0)="","",VLOOKUP(J$2,行为概览!$D$3:$M$33,10,0)*IF(玩法行为规划!I112&gt;0,1,0))</f>
        <v/>
      </c>
      <c r="K112" s="7">
        <f>IF(VLOOKUP(K$2,行为概览!$D$3:$M$33,10,0)="","",VLOOKUP(K$2,行为概览!$D$3:$M$33,10,0)*IF(玩法行为规划!J112&gt;0,1,0))</f>
        <v>10</v>
      </c>
      <c r="L112" s="7">
        <f>IF(VLOOKUP(L$2,行为概览!$D$3:$M$33,10,0)="","",VLOOKUP(L$2,行为概览!$D$3:$M$33,10,0)*IF(玩法行为规划!K112&gt;0,1,0))</f>
        <v>5</v>
      </c>
      <c r="M112" s="7" t="str">
        <f>IF(VLOOKUP(M$2,行为概览!$D$3:$M$33,10,0)="","",VLOOKUP(M$2,行为概览!$D$3:$M$33,10,0)*IF(玩法行为规划!L112&gt;0,1,0))</f>
        <v/>
      </c>
      <c r="N112" s="7" t="str">
        <f>IF(VLOOKUP(N$2,行为概览!$D$3:$M$33,10,0)="","",VLOOKUP(N$2,行为概览!$D$3:$M$33,10,0)*IF(玩法行为规划!M112&gt;0,1,0))</f>
        <v/>
      </c>
      <c r="O112" s="7" t="str">
        <f>IF(VLOOKUP(O$2,行为概览!$D$3:$M$33,10,0)="","",VLOOKUP(O$2,行为概览!$D$3:$M$33,10,0)*IF(玩法行为规划!N112&gt;0,1,0))</f>
        <v/>
      </c>
      <c r="P112" s="7" t="str">
        <f>IF(VLOOKUP(P$2,行为概览!$D$3:$M$33,10,0)="","",VLOOKUP(P$2,行为概览!$D$3:$M$33,10,0)*IF(玩法行为规划!O112&gt;0,1,0))</f>
        <v/>
      </c>
      <c r="Q112" s="7">
        <f>IF(VLOOKUP(Q$2,行为概览!$D$3:$M$33,10,0)="","",VLOOKUP(Q$2,行为概览!$D$3:$M$33,10,0)*IF(玩法行为规划!P112&gt;0,1,0))</f>
        <v>10</v>
      </c>
      <c r="R112" s="7" t="str">
        <f>IF(VLOOKUP(R$2,行为概览!$D$3:$M$33,10,0)="","",VLOOKUP(R$2,行为概览!$D$3:$M$33,10,0)*IF(玩法行为规划!Q112&gt;0,1,0))</f>
        <v/>
      </c>
      <c r="S112" s="7">
        <f>IF(VLOOKUP(S$2,行为概览!$D$3:$M$33,10,0)="","",VLOOKUP(S$2,行为概览!$D$3:$M$33,10,0)*IF(玩法行为规划!R112&gt;0,1,0))</f>
        <v>3</v>
      </c>
      <c r="T112" s="7" t="str">
        <f>IF(VLOOKUP(T$2,行为概览!$D$3:$M$33,10,0)="","",VLOOKUP(T$2,行为概览!$D$3:$M$33,10,0)*IF(玩法行为规划!S112&gt;0,1,0))</f>
        <v/>
      </c>
      <c r="U112" s="7" t="str">
        <f>IF(VLOOKUP(U$2,行为概览!$D$3:$M$33,10,0)="","",VLOOKUP(U$2,行为概览!$D$3:$M$33,10,0)*IF(玩法行为规划!T112&gt;0,1,0))</f>
        <v/>
      </c>
      <c r="V112" s="7">
        <f>IF(VLOOKUP(V$2,行为概览!$D$3:$M$33,10,0)="","",VLOOKUP(V$2,行为概览!$D$3:$M$33,10,0)*IF(玩法行为规划!U112&gt;0,1,0))</f>
        <v>4</v>
      </c>
      <c r="W112" s="7" t="str">
        <f>IF(VLOOKUP(W$2,行为概览!$D$3:$M$33,10,0)="","",VLOOKUP(W$2,行为概览!$D$3:$M$33,10,0)*IF(玩法行为规划!V112&gt;0,1,0))</f>
        <v/>
      </c>
      <c r="X112" s="7" t="str">
        <f>IF(VLOOKUP(X$2,行为概览!$D$3:$M$33,10,0)="","",VLOOKUP(X$2,行为概览!$D$3:$M$33,10,0)*IF(玩法行为规划!W112&gt;0,1,0))</f>
        <v/>
      </c>
      <c r="Y112" s="7" t="str">
        <f>IF(VLOOKUP(Y$2,行为概览!$D$3:$M$33,10,0)="","",VLOOKUP(Y$2,行为概览!$D$3:$M$33,10,0)*IF(玩法行为规划!X112&gt;0,1,0))</f>
        <v/>
      </c>
      <c r="Z112" s="7">
        <f>IF(VLOOKUP(Z$2,行为概览!$D$3:$M$33,10,0)="","",VLOOKUP(Z$2,行为概览!$D$3:$M$33,10,0)*IF(玩法行为规划!Y112&gt;0,1,0))</f>
        <v>10</v>
      </c>
      <c r="AA112" s="7" t="str">
        <f>IF(VLOOKUP(AA$2,行为概览!$D$3:$M$33,10,0)="","",VLOOKUP(AA$2,行为概览!$D$3:$M$33,10,0)*IF(玩法行为规划!Z112&gt;0,1,0))</f>
        <v/>
      </c>
      <c r="AB112" s="7" t="str">
        <f>IF(VLOOKUP(AB$2,行为概览!$D$3:$M$33,10,0)="","",VLOOKUP(AB$2,行为概览!$D$3:$M$33,10,0)*IF(玩法行为规划!AA112&gt;0,1,0))</f>
        <v/>
      </c>
      <c r="AC112" s="7" t="str">
        <f>IF(VLOOKUP(AC$2,行为概览!$D$3:$M$33,10,0)="","",VLOOKUP(AC$2,行为概览!$D$3:$M$33,10,0)*IF(玩法行为规划!AB112&gt;0,1,0))</f>
        <v/>
      </c>
      <c r="AD112" s="7" t="str">
        <f>IF(VLOOKUP(AD$2,行为概览!$D$3:$M$33,10,0)="","",VLOOKUP(AD$2,行为概览!$D$3:$M$33,10,0)*IF(玩法行为规划!AC112&gt;0,1,0))</f>
        <v/>
      </c>
      <c r="AE112" s="7" t="str">
        <f>IF(VLOOKUP(AE$2,行为概览!$D$3:$M$33,10,0)="","",VLOOKUP(AE$2,行为概览!$D$3:$M$33,10,0)*IF(玩法行为规划!AD112&gt;0,1,0))</f>
        <v/>
      </c>
      <c r="AF112" s="7">
        <f>IF(VLOOKUP(AF$2,行为概览!$D$3:$M$33,10,0)="","",VLOOKUP(AF$2,行为概览!$D$3:$M$33,10,0)*IF(玩法行为规划!AE112&gt;0,1,0))</f>
        <v>20</v>
      </c>
      <c r="AG112" s="7">
        <f t="shared" si="11"/>
        <v>80</v>
      </c>
      <c r="AH112" s="7">
        <f t="shared" si="12"/>
        <v>8800</v>
      </c>
      <c r="AI112" s="7">
        <v>0</v>
      </c>
      <c r="AJ112" s="21">
        <f t="shared" si="13"/>
        <v>0</v>
      </c>
      <c r="AK112" s="7">
        <f t="shared" si="9"/>
        <v>8800</v>
      </c>
      <c r="AL112" s="7">
        <f>SUM($AK$3:AK112)</f>
        <v>456535</v>
      </c>
    </row>
    <row r="113" spans="1:38">
      <c r="A113" s="32">
        <v>111</v>
      </c>
      <c r="B113" s="87">
        <f>升级节奏!F113</f>
        <v>111</v>
      </c>
      <c r="C113" s="7">
        <f>IF(VLOOKUP(C$2,行为概览!$D$3:$M$33,10,0)="","",VLOOKUP(C$2,行为概览!$D$3:$M$33,10,0)*IF(玩法行为规划!B113&gt;0,1,0))</f>
        <v>8</v>
      </c>
      <c r="D113" s="7" t="str">
        <f>IF(VLOOKUP(D$2,行为概览!$D$3:$M$33,10,0)="","",VLOOKUP(D$2,行为概览!$D$3:$M$33,10,0)*IF(玩法行为规划!C113&gt;0,1,0))</f>
        <v/>
      </c>
      <c r="E113" s="7" t="str">
        <f>IF(VLOOKUP(E$2,行为概览!$D$3:$M$33,10,0)="","",VLOOKUP(E$2,行为概览!$D$3:$M$33,10,0)*IF(玩法行为规划!D113&gt;0,1,0))</f>
        <v/>
      </c>
      <c r="F113" s="7">
        <f>IF(VLOOKUP(F$2,行为概览!$D$3:$M$33,10,0)="","",VLOOKUP(F$2,行为概览!$D$3:$M$33,10,0)*IF(玩法行为规划!E113&gt;0,1,0))</f>
        <v>10</v>
      </c>
      <c r="G113" s="7" t="str">
        <f>IF(VLOOKUP(G$2,行为概览!$D$3:$M$33,10,0)="","",VLOOKUP(G$2,行为概览!$D$3:$M$33,10,0)*IF(玩法行为规划!F113&gt;0,1,0))</f>
        <v/>
      </c>
      <c r="H113" s="7" t="str">
        <f>IF(VLOOKUP(H$2,行为概览!$D$3:$M$33,10,0)="","",VLOOKUP(H$2,行为概览!$D$3:$M$33,10,0)*IF(玩法行为规划!G113&gt;0,1,0))</f>
        <v/>
      </c>
      <c r="I113" s="7" t="str">
        <f>IF(VLOOKUP(I$2,行为概览!$D$3:$M$33,10,0)="","",VLOOKUP(I$2,行为概览!$D$3:$M$33,10,0)*IF(玩法行为规划!H113&gt;0,1,0))</f>
        <v/>
      </c>
      <c r="J113" s="7" t="str">
        <f>IF(VLOOKUP(J$2,行为概览!$D$3:$M$33,10,0)="","",VLOOKUP(J$2,行为概览!$D$3:$M$33,10,0)*IF(玩法行为规划!I113&gt;0,1,0))</f>
        <v/>
      </c>
      <c r="K113" s="7">
        <f>IF(VLOOKUP(K$2,行为概览!$D$3:$M$33,10,0)="","",VLOOKUP(K$2,行为概览!$D$3:$M$33,10,0)*IF(玩法行为规划!J113&gt;0,1,0))</f>
        <v>10</v>
      </c>
      <c r="L113" s="7">
        <f>IF(VLOOKUP(L$2,行为概览!$D$3:$M$33,10,0)="","",VLOOKUP(L$2,行为概览!$D$3:$M$33,10,0)*IF(玩法行为规划!K113&gt;0,1,0))</f>
        <v>5</v>
      </c>
      <c r="M113" s="7" t="str">
        <f>IF(VLOOKUP(M$2,行为概览!$D$3:$M$33,10,0)="","",VLOOKUP(M$2,行为概览!$D$3:$M$33,10,0)*IF(玩法行为规划!L113&gt;0,1,0))</f>
        <v/>
      </c>
      <c r="N113" s="7" t="str">
        <f>IF(VLOOKUP(N$2,行为概览!$D$3:$M$33,10,0)="","",VLOOKUP(N$2,行为概览!$D$3:$M$33,10,0)*IF(玩法行为规划!M113&gt;0,1,0))</f>
        <v/>
      </c>
      <c r="O113" s="7" t="str">
        <f>IF(VLOOKUP(O$2,行为概览!$D$3:$M$33,10,0)="","",VLOOKUP(O$2,行为概览!$D$3:$M$33,10,0)*IF(玩法行为规划!N113&gt;0,1,0))</f>
        <v/>
      </c>
      <c r="P113" s="7" t="str">
        <f>IF(VLOOKUP(P$2,行为概览!$D$3:$M$33,10,0)="","",VLOOKUP(P$2,行为概览!$D$3:$M$33,10,0)*IF(玩法行为规划!O113&gt;0,1,0))</f>
        <v/>
      </c>
      <c r="Q113" s="7">
        <f>IF(VLOOKUP(Q$2,行为概览!$D$3:$M$33,10,0)="","",VLOOKUP(Q$2,行为概览!$D$3:$M$33,10,0)*IF(玩法行为规划!P113&gt;0,1,0))</f>
        <v>10</v>
      </c>
      <c r="R113" s="7" t="str">
        <f>IF(VLOOKUP(R$2,行为概览!$D$3:$M$33,10,0)="","",VLOOKUP(R$2,行为概览!$D$3:$M$33,10,0)*IF(玩法行为规划!Q113&gt;0,1,0))</f>
        <v/>
      </c>
      <c r="S113" s="7">
        <f>IF(VLOOKUP(S$2,行为概览!$D$3:$M$33,10,0)="","",VLOOKUP(S$2,行为概览!$D$3:$M$33,10,0)*IF(玩法行为规划!R113&gt;0,1,0))</f>
        <v>3</v>
      </c>
      <c r="T113" s="7" t="str">
        <f>IF(VLOOKUP(T$2,行为概览!$D$3:$M$33,10,0)="","",VLOOKUP(T$2,行为概览!$D$3:$M$33,10,0)*IF(玩法行为规划!S113&gt;0,1,0))</f>
        <v/>
      </c>
      <c r="U113" s="7" t="str">
        <f>IF(VLOOKUP(U$2,行为概览!$D$3:$M$33,10,0)="","",VLOOKUP(U$2,行为概览!$D$3:$M$33,10,0)*IF(玩法行为规划!T113&gt;0,1,0))</f>
        <v/>
      </c>
      <c r="V113" s="7">
        <f>IF(VLOOKUP(V$2,行为概览!$D$3:$M$33,10,0)="","",VLOOKUP(V$2,行为概览!$D$3:$M$33,10,0)*IF(玩法行为规划!U113&gt;0,1,0))</f>
        <v>4</v>
      </c>
      <c r="W113" s="7" t="str">
        <f>IF(VLOOKUP(W$2,行为概览!$D$3:$M$33,10,0)="","",VLOOKUP(W$2,行为概览!$D$3:$M$33,10,0)*IF(玩法行为规划!V113&gt;0,1,0))</f>
        <v/>
      </c>
      <c r="X113" s="7" t="str">
        <f>IF(VLOOKUP(X$2,行为概览!$D$3:$M$33,10,0)="","",VLOOKUP(X$2,行为概览!$D$3:$M$33,10,0)*IF(玩法行为规划!W113&gt;0,1,0))</f>
        <v/>
      </c>
      <c r="Y113" s="7" t="str">
        <f>IF(VLOOKUP(Y$2,行为概览!$D$3:$M$33,10,0)="","",VLOOKUP(Y$2,行为概览!$D$3:$M$33,10,0)*IF(玩法行为规划!X113&gt;0,1,0))</f>
        <v/>
      </c>
      <c r="Z113" s="7">
        <f>IF(VLOOKUP(Z$2,行为概览!$D$3:$M$33,10,0)="","",VLOOKUP(Z$2,行为概览!$D$3:$M$33,10,0)*IF(玩法行为规划!Y113&gt;0,1,0))</f>
        <v>10</v>
      </c>
      <c r="AA113" s="7" t="str">
        <f>IF(VLOOKUP(AA$2,行为概览!$D$3:$M$33,10,0)="","",VLOOKUP(AA$2,行为概览!$D$3:$M$33,10,0)*IF(玩法行为规划!Z113&gt;0,1,0))</f>
        <v/>
      </c>
      <c r="AB113" s="7" t="str">
        <f>IF(VLOOKUP(AB$2,行为概览!$D$3:$M$33,10,0)="","",VLOOKUP(AB$2,行为概览!$D$3:$M$33,10,0)*IF(玩法行为规划!AA113&gt;0,1,0))</f>
        <v/>
      </c>
      <c r="AC113" s="7" t="str">
        <f>IF(VLOOKUP(AC$2,行为概览!$D$3:$M$33,10,0)="","",VLOOKUP(AC$2,行为概览!$D$3:$M$33,10,0)*IF(玩法行为规划!AB113&gt;0,1,0))</f>
        <v/>
      </c>
      <c r="AD113" s="7" t="str">
        <f>IF(VLOOKUP(AD$2,行为概览!$D$3:$M$33,10,0)="","",VLOOKUP(AD$2,行为概览!$D$3:$M$33,10,0)*IF(玩法行为规划!AC113&gt;0,1,0))</f>
        <v/>
      </c>
      <c r="AE113" s="7" t="str">
        <f>IF(VLOOKUP(AE$2,行为概览!$D$3:$M$33,10,0)="","",VLOOKUP(AE$2,行为概览!$D$3:$M$33,10,0)*IF(玩法行为规划!AD113&gt;0,1,0))</f>
        <v/>
      </c>
      <c r="AF113" s="7">
        <f>IF(VLOOKUP(AF$2,行为概览!$D$3:$M$33,10,0)="","",VLOOKUP(AF$2,行为概览!$D$3:$M$33,10,0)*IF(玩法行为规划!AE113&gt;0,1,0))</f>
        <v>20</v>
      </c>
      <c r="AG113" s="7">
        <f t="shared" si="11"/>
        <v>80</v>
      </c>
      <c r="AH113" s="7">
        <f t="shared" si="12"/>
        <v>8880</v>
      </c>
      <c r="AI113" s="7">
        <v>0</v>
      </c>
      <c r="AJ113" s="21" t="str">
        <f t="shared" si="13"/>
        <v/>
      </c>
      <c r="AK113" s="7">
        <f t="shared" si="9"/>
        <v>8880</v>
      </c>
      <c r="AL113" s="7">
        <f>SUM($AK$3:AK113)</f>
        <v>465415</v>
      </c>
    </row>
    <row r="114" spans="1:38">
      <c r="A114" s="32">
        <v>112</v>
      </c>
      <c r="B114" s="87">
        <f>升级节奏!F114</f>
        <v>112</v>
      </c>
      <c r="C114" s="7">
        <f>IF(VLOOKUP(C$2,行为概览!$D$3:$M$33,10,0)="","",VLOOKUP(C$2,行为概览!$D$3:$M$33,10,0)*IF(玩法行为规划!B114&gt;0,1,0))</f>
        <v>8</v>
      </c>
      <c r="D114" s="7" t="str">
        <f>IF(VLOOKUP(D$2,行为概览!$D$3:$M$33,10,0)="","",VLOOKUP(D$2,行为概览!$D$3:$M$33,10,0)*IF(玩法行为规划!C114&gt;0,1,0))</f>
        <v/>
      </c>
      <c r="E114" s="7" t="str">
        <f>IF(VLOOKUP(E$2,行为概览!$D$3:$M$33,10,0)="","",VLOOKUP(E$2,行为概览!$D$3:$M$33,10,0)*IF(玩法行为规划!D114&gt;0,1,0))</f>
        <v/>
      </c>
      <c r="F114" s="7">
        <f>IF(VLOOKUP(F$2,行为概览!$D$3:$M$33,10,0)="","",VLOOKUP(F$2,行为概览!$D$3:$M$33,10,0)*IF(玩法行为规划!E114&gt;0,1,0))</f>
        <v>10</v>
      </c>
      <c r="G114" s="7" t="str">
        <f>IF(VLOOKUP(G$2,行为概览!$D$3:$M$33,10,0)="","",VLOOKUP(G$2,行为概览!$D$3:$M$33,10,0)*IF(玩法行为规划!F114&gt;0,1,0))</f>
        <v/>
      </c>
      <c r="H114" s="7" t="str">
        <f>IF(VLOOKUP(H$2,行为概览!$D$3:$M$33,10,0)="","",VLOOKUP(H$2,行为概览!$D$3:$M$33,10,0)*IF(玩法行为规划!G114&gt;0,1,0))</f>
        <v/>
      </c>
      <c r="I114" s="7" t="str">
        <f>IF(VLOOKUP(I$2,行为概览!$D$3:$M$33,10,0)="","",VLOOKUP(I$2,行为概览!$D$3:$M$33,10,0)*IF(玩法行为规划!H114&gt;0,1,0))</f>
        <v/>
      </c>
      <c r="J114" s="7" t="str">
        <f>IF(VLOOKUP(J$2,行为概览!$D$3:$M$33,10,0)="","",VLOOKUP(J$2,行为概览!$D$3:$M$33,10,0)*IF(玩法行为规划!I114&gt;0,1,0))</f>
        <v/>
      </c>
      <c r="K114" s="7">
        <f>IF(VLOOKUP(K$2,行为概览!$D$3:$M$33,10,0)="","",VLOOKUP(K$2,行为概览!$D$3:$M$33,10,0)*IF(玩法行为规划!J114&gt;0,1,0))</f>
        <v>10</v>
      </c>
      <c r="L114" s="7">
        <f>IF(VLOOKUP(L$2,行为概览!$D$3:$M$33,10,0)="","",VLOOKUP(L$2,行为概览!$D$3:$M$33,10,0)*IF(玩法行为规划!K114&gt;0,1,0))</f>
        <v>5</v>
      </c>
      <c r="M114" s="7" t="str">
        <f>IF(VLOOKUP(M$2,行为概览!$D$3:$M$33,10,0)="","",VLOOKUP(M$2,行为概览!$D$3:$M$33,10,0)*IF(玩法行为规划!L114&gt;0,1,0))</f>
        <v/>
      </c>
      <c r="N114" s="7" t="str">
        <f>IF(VLOOKUP(N$2,行为概览!$D$3:$M$33,10,0)="","",VLOOKUP(N$2,行为概览!$D$3:$M$33,10,0)*IF(玩法行为规划!M114&gt;0,1,0))</f>
        <v/>
      </c>
      <c r="O114" s="7" t="str">
        <f>IF(VLOOKUP(O$2,行为概览!$D$3:$M$33,10,0)="","",VLOOKUP(O$2,行为概览!$D$3:$M$33,10,0)*IF(玩法行为规划!N114&gt;0,1,0))</f>
        <v/>
      </c>
      <c r="P114" s="7" t="str">
        <f>IF(VLOOKUP(P$2,行为概览!$D$3:$M$33,10,0)="","",VLOOKUP(P$2,行为概览!$D$3:$M$33,10,0)*IF(玩法行为规划!O114&gt;0,1,0))</f>
        <v/>
      </c>
      <c r="Q114" s="7">
        <f>IF(VLOOKUP(Q$2,行为概览!$D$3:$M$33,10,0)="","",VLOOKUP(Q$2,行为概览!$D$3:$M$33,10,0)*IF(玩法行为规划!P114&gt;0,1,0))</f>
        <v>10</v>
      </c>
      <c r="R114" s="7" t="str">
        <f>IF(VLOOKUP(R$2,行为概览!$D$3:$M$33,10,0)="","",VLOOKUP(R$2,行为概览!$D$3:$M$33,10,0)*IF(玩法行为规划!Q114&gt;0,1,0))</f>
        <v/>
      </c>
      <c r="S114" s="7">
        <f>IF(VLOOKUP(S$2,行为概览!$D$3:$M$33,10,0)="","",VLOOKUP(S$2,行为概览!$D$3:$M$33,10,0)*IF(玩法行为规划!R114&gt;0,1,0))</f>
        <v>3</v>
      </c>
      <c r="T114" s="7" t="str">
        <f>IF(VLOOKUP(T$2,行为概览!$D$3:$M$33,10,0)="","",VLOOKUP(T$2,行为概览!$D$3:$M$33,10,0)*IF(玩法行为规划!S114&gt;0,1,0))</f>
        <v/>
      </c>
      <c r="U114" s="7" t="str">
        <f>IF(VLOOKUP(U$2,行为概览!$D$3:$M$33,10,0)="","",VLOOKUP(U$2,行为概览!$D$3:$M$33,10,0)*IF(玩法行为规划!T114&gt;0,1,0))</f>
        <v/>
      </c>
      <c r="V114" s="7">
        <f>IF(VLOOKUP(V$2,行为概览!$D$3:$M$33,10,0)="","",VLOOKUP(V$2,行为概览!$D$3:$M$33,10,0)*IF(玩法行为规划!U114&gt;0,1,0))</f>
        <v>4</v>
      </c>
      <c r="W114" s="7" t="str">
        <f>IF(VLOOKUP(W$2,行为概览!$D$3:$M$33,10,0)="","",VLOOKUP(W$2,行为概览!$D$3:$M$33,10,0)*IF(玩法行为规划!V114&gt;0,1,0))</f>
        <v/>
      </c>
      <c r="X114" s="7" t="str">
        <f>IF(VLOOKUP(X$2,行为概览!$D$3:$M$33,10,0)="","",VLOOKUP(X$2,行为概览!$D$3:$M$33,10,0)*IF(玩法行为规划!W114&gt;0,1,0))</f>
        <v/>
      </c>
      <c r="Y114" s="7" t="str">
        <f>IF(VLOOKUP(Y$2,行为概览!$D$3:$M$33,10,0)="","",VLOOKUP(Y$2,行为概览!$D$3:$M$33,10,0)*IF(玩法行为规划!X114&gt;0,1,0))</f>
        <v/>
      </c>
      <c r="Z114" s="7">
        <f>IF(VLOOKUP(Z$2,行为概览!$D$3:$M$33,10,0)="","",VLOOKUP(Z$2,行为概览!$D$3:$M$33,10,0)*IF(玩法行为规划!Y114&gt;0,1,0))</f>
        <v>10</v>
      </c>
      <c r="AA114" s="7" t="str">
        <f>IF(VLOOKUP(AA$2,行为概览!$D$3:$M$33,10,0)="","",VLOOKUP(AA$2,行为概览!$D$3:$M$33,10,0)*IF(玩法行为规划!Z114&gt;0,1,0))</f>
        <v/>
      </c>
      <c r="AB114" s="7" t="str">
        <f>IF(VLOOKUP(AB$2,行为概览!$D$3:$M$33,10,0)="","",VLOOKUP(AB$2,行为概览!$D$3:$M$33,10,0)*IF(玩法行为规划!AA114&gt;0,1,0))</f>
        <v/>
      </c>
      <c r="AC114" s="7" t="str">
        <f>IF(VLOOKUP(AC$2,行为概览!$D$3:$M$33,10,0)="","",VLOOKUP(AC$2,行为概览!$D$3:$M$33,10,0)*IF(玩法行为规划!AB114&gt;0,1,0))</f>
        <v/>
      </c>
      <c r="AD114" s="7" t="str">
        <f>IF(VLOOKUP(AD$2,行为概览!$D$3:$M$33,10,0)="","",VLOOKUP(AD$2,行为概览!$D$3:$M$33,10,0)*IF(玩法行为规划!AC114&gt;0,1,0))</f>
        <v/>
      </c>
      <c r="AE114" s="7" t="str">
        <f>IF(VLOOKUP(AE$2,行为概览!$D$3:$M$33,10,0)="","",VLOOKUP(AE$2,行为概览!$D$3:$M$33,10,0)*IF(玩法行为规划!AD114&gt;0,1,0))</f>
        <v/>
      </c>
      <c r="AF114" s="7">
        <f>IF(VLOOKUP(AF$2,行为概览!$D$3:$M$33,10,0)="","",VLOOKUP(AF$2,行为概览!$D$3:$M$33,10,0)*IF(玩法行为规划!AE114&gt;0,1,0))</f>
        <v>20</v>
      </c>
      <c r="AG114" s="7">
        <f t="shared" si="11"/>
        <v>80</v>
      </c>
      <c r="AH114" s="7">
        <f t="shared" si="12"/>
        <v>8960</v>
      </c>
      <c r="AI114" s="7">
        <v>0</v>
      </c>
      <c r="AJ114" s="21" t="str">
        <f t="shared" si="13"/>
        <v/>
      </c>
      <c r="AK114" s="7">
        <f t="shared" si="9"/>
        <v>8960</v>
      </c>
      <c r="AL114" s="7">
        <f>SUM($AK$3:AK114)</f>
        <v>474375</v>
      </c>
    </row>
    <row r="115" spans="1:38">
      <c r="A115" s="32">
        <v>113</v>
      </c>
      <c r="B115" s="87">
        <f>升级节奏!F115</f>
        <v>113</v>
      </c>
      <c r="C115" s="7">
        <f>IF(VLOOKUP(C$2,行为概览!$D$3:$M$33,10,0)="","",VLOOKUP(C$2,行为概览!$D$3:$M$33,10,0)*IF(玩法行为规划!B115&gt;0,1,0))</f>
        <v>8</v>
      </c>
      <c r="D115" s="7" t="str">
        <f>IF(VLOOKUP(D$2,行为概览!$D$3:$M$33,10,0)="","",VLOOKUP(D$2,行为概览!$D$3:$M$33,10,0)*IF(玩法行为规划!C115&gt;0,1,0))</f>
        <v/>
      </c>
      <c r="E115" s="7" t="str">
        <f>IF(VLOOKUP(E$2,行为概览!$D$3:$M$33,10,0)="","",VLOOKUP(E$2,行为概览!$D$3:$M$33,10,0)*IF(玩法行为规划!D115&gt;0,1,0))</f>
        <v/>
      </c>
      <c r="F115" s="7">
        <f>IF(VLOOKUP(F$2,行为概览!$D$3:$M$33,10,0)="","",VLOOKUP(F$2,行为概览!$D$3:$M$33,10,0)*IF(玩法行为规划!E115&gt;0,1,0))</f>
        <v>10</v>
      </c>
      <c r="G115" s="7" t="str">
        <f>IF(VLOOKUP(G$2,行为概览!$D$3:$M$33,10,0)="","",VLOOKUP(G$2,行为概览!$D$3:$M$33,10,0)*IF(玩法行为规划!F115&gt;0,1,0))</f>
        <v/>
      </c>
      <c r="H115" s="7" t="str">
        <f>IF(VLOOKUP(H$2,行为概览!$D$3:$M$33,10,0)="","",VLOOKUP(H$2,行为概览!$D$3:$M$33,10,0)*IF(玩法行为规划!G115&gt;0,1,0))</f>
        <v/>
      </c>
      <c r="I115" s="7" t="str">
        <f>IF(VLOOKUP(I$2,行为概览!$D$3:$M$33,10,0)="","",VLOOKUP(I$2,行为概览!$D$3:$M$33,10,0)*IF(玩法行为规划!H115&gt;0,1,0))</f>
        <v/>
      </c>
      <c r="J115" s="7" t="str">
        <f>IF(VLOOKUP(J$2,行为概览!$D$3:$M$33,10,0)="","",VLOOKUP(J$2,行为概览!$D$3:$M$33,10,0)*IF(玩法行为规划!I115&gt;0,1,0))</f>
        <v/>
      </c>
      <c r="K115" s="7">
        <f>IF(VLOOKUP(K$2,行为概览!$D$3:$M$33,10,0)="","",VLOOKUP(K$2,行为概览!$D$3:$M$33,10,0)*IF(玩法行为规划!J115&gt;0,1,0))</f>
        <v>10</v>
      </c>
      <c r="L115" s="7">
        <f>IF(VLOOKUP(L$2,行为概览!$D$3:$M$33,10,0)="","",VLOOKUP(L$2,行为概览!$D$3:$M$33,10,0)*IF(玩法行为规划!K115&gt;0,1,0))</f>
        <v>5</v>
      </c>
      <c r="M115" s="7" t="str">
        <f>IF(VLOOKUP(M$2,行为概览!$D$3:$M$33,10,0)="","",VLOOKUP(M$2,行为概览!$D$3:$M$33,10,0)*IF(玩法行为规划!L115&gt;0,1,0))</f>
        <v/>
      </c>
      <c r="N115" s="7" t="str">
        <f>IF(VLOOKUP(N$2,行为概览!$D$3:$M$33,10,0)="","",VLOOKUP(N$2,行为概览!$D$3:$M$33,10,0)*IF(玩法行为规划!M115&gt;0,1,0))</f>
        <v/>
      </c>
      <c r="O115" s="7" t="str">
        <f>IF(VLOOKUP(O$2,行为概览!$D$3:$M$33,10,0)="","",VLOOKUP(O$2,行为概览!$D$3:$M$33,10,0)*IF(玩法行为规划!N115&gt;0,1,0))</f>
        <v/>
      </c>
      <c r="P115" s="7" t="str">
        <f>IF(VLOOKUP(P$2,行为概览!$D$3:$M$33,10,0)="","",VLOOKUP(P$2,行为概览!$D$3:$M$33,10,0)*IF(玩法行为规划!O115&gt;0,1,0))</f>
        <v/>
      </c>
      <c r="Q115" s="7">
        <f>IF(VLOOKUP(Q$2,行为概览!$D$3:$M$33,10,0)="","",VLOOKUP(Q$2,行为概览!$D$3:$M$33,10,0)*IF(玩法行为规划!P115&gt;0,1,0))</f>
        <v>10</v>
      </c>
      <c r="R115" s="7" t="str">
        <f>IF(VLOOKUP(R$2,行为概览!$D$3:$M$33,10,0)="","",VLOOKUP(R$2,行为概览!$D$3:$M$33,10,0)*IF(玩法行为规划!Q115&gt;0,1,0))</f>
        <v/>
      </c>
      <c r="S115" s="7">
        <f>IF(VLOOKUP(S$2,行为概览!$D$3:$M$33,10,0)="","",VLOOKUP(S$2,行为概览!$D$3:$M$33,10,0)*IF(玩法行为规划!R115&gt;0,1,0))</f>
        <v>3</v>
      </c>
      <c r="T115" s="7" t="str">
        <f>IF(VLOOKUP(T$2,行为概览!$D$3:$M$33,10,0)="","",VLOOKUP(T$2,行为概览!$D$3:$M$33,10,0)*IF(玩法行为规划!S115&gt;0,1,0))</f>
        <v/>
      </c>
      <c r="U115" s="7" t="str">
        <f>IF(VLOOKUP(U$2,行为概览!$D$3:$M$33,10,0)="","",VLOOKUP(U$2,行为概览!$D$3:$M$33,10,0)*IF(玩法行为规划!T115&gt;0,1,0))</f>
        <v/>
      </c>
      <c r="V115" s="7">
        <f>IF(VLOOKUP(V$2,行为概览!$D$3:$M$33,10,0)="","",VLOOKUP(V$2,行为概览!$D$3:$M$33,10,0)*IF(玩法行为规划!U115&gt;0,1,0))</f>
        <v>4</v>
      </c>
      <c r="W115" s="7" t="str">
        <f>IF(VLOOKUP(W$2,行为概览!$D$3:$M$33,10,0)="","",VLOOKUP(W$2,行为概览!$D$3:$M$33,10,0)*IF(玩法行为规划!V115&gt;0,1,0))</f>
        <v/>
      </c>
      <c r="X115" s="7" t="str">
        <f>IF(VLOOKUP(X$2,行为概览!$D$3:$M$33,10,0)="","",VLOOKUP(X$2,行为概览!$D$3:$M$33,10,0)*IF(玩法行为规划!W115&gt;0,1,0))</f>
        <v/>
      </c>
      <c r="Y115" s="7" t="str">
        <f>IF(VLOOKUP(Y$2,行为概览!$D$3:$M$33,10,0)="","",VLOOKUP(Y$2,行为概览!$D$3:$M$33,10,0)*IF(玩法行为规划!X115&gt;0,1,0))</f>
        <v/>
      </c>
      <c r="Z115" s="7">
        <f>IF(VLOOKUP(Z$2,行为概览!$D$3:$M$33,10,0)="","",VLOOKUP(Z$2,行为概览!$D$3:$M$33,10,0)*IF(玩法行为规划!Y115&gt;0,1,0))</f>
        <v>10</v>
      </c>
      <c r="AA115" s="7" t="str">
        <f>IF(VLOOKUP(AA$2,行为概览!$D$3:$M$33,10,0)="","",VLOOKUP(AA$2,行为概览!$D$3:$M$33,10,0)*IF(玩法行为规划!Z115&gt;0,1,0))</f>
        <v/>
      </c>
      <c r="AB115" s="7" t="str">
        <f>IF(VLOOKUP(AB$2,行为概览!$D$3:$M$33,10,0)="","",VLOOKUP(AB$2,行为概览!$D$3:$M$33,10,0)*IF(玩法行为规划!AA115&gt;0,1,0))</f>
        <v/>
      </c>
      <c r="AC115" s="7" t="str">
        <f>IF(VLOOKUP(AC$2,行为概览!$D$3:$M$33,10,0)="","",VLOOKUP(AC$2,行为概览!$D$3:$M$33,10,0)*IF(玩法行为规划!AB115&gt;0,1,0))</f>
        <v/>
      </c>
      <c r="AD115" s="7" t="str">
        <f>IF(VLOOKUP(AD$2,行为概览!$D$3:$M$33,10,0)="","",VLOOKUP(AD$2,行为概览!$D$3:$M$33,10,0)*IF(玩法行为规划!AC115&gt;0,1,0))</f>
        <v/>
      </c>
      <c r="AE115" s="7" t="str">
        <f>IF(VLOOKUP(AE$2,行为概览!$D$3:$M$33,10,0)="","",VLOOKUP(AE$2,行为概览!$D$3:$M$33,10,0)*IF(玩法行为规划!AD115&gt;0,1,0))</f>
        <v/>
      </c>
      <c r="AF115" s="7">
        <f>IF(VLOOKUP(AF$2,行为概览!$D$3:$M$33,10,0)="","",VLOOKUP(AF$2,行为概览!$D$3:$M$33,10,0)*IF(玩法行为规划!AE115&gt;0,1,0))</f>
        <v>20</v>
      </c>
      <c r="AG115" s="7">
        <f t="shared" si="11"/>
        <v>80</v>
      </c>
      <c r="AH115" s="7">
        <f t="shared" si="12"/>
        <v>9040</v>
      </c>
      <c r="AI115" s="7">
        <v>0</v>
      </c>
      <c r="AJ115" s="21" t="str">
        <f t="shared" si="13"/>
        <v/>
      </c>
      <c r="AK115" s="7">
        <f t="shared" si="9"/>
        <v>9040</v>
      </c>
      <c r="AL115" s="7">
        <f>SUM($AK$3:AK115)</f>
        <v>483415</v>
      </c>
    </row>
    <row r="116" spans="1:38">
      <c r="A116" s="32">
        <v>114</v>
      </c>
      <c r="B116" s="87">
        <f>升级节奏!F116</f>
        <v>114</v>
      </c>
      <c r="C116" s="7">
        <f>IF(VLOOKUP(C$2,行为概览!$D$3:$M$33,10,0)="","",VLOOKUP(C$2,行为概览!$D$3:$M$33,10,0)*IF(玩法行为规划!B116&gt;0,1,0))</f>
        <v>8</v>
      </c>
      <c r="D116" s="7" t="str">
        <f>IF(VLOOKUP(D$2,行为概览!$D$3:$M$33,10,0)="","",VLOOKUP(D$2,行为概览!$D$3:$M$33,10,0)*IF(玩法行为规划!C116&gt;0,1,0))</f>
        <v/>
      </c>
      <c r="E116" s="7" t="str">
        <f>IF(VLOOKUP(E$2,行为概览!$D$3:$M$33,10,0)="","",VLOOKUP(E$2,行为概览!$D$3:$M$33,10,0)*IF(玩法行为规划!D116&gt;0,1,0))</f>
        <v/>
      </c>
      <c r="F116" s="7">
        <f>IF(VLOOKUP(F$2,行为概览!$D$3:$M$33,10,0)="","",VLOOKUP(F$2,行为概览!$D$3:$M$33,10,0)*IF(玩法行为规划!E116&gt;0,1,0))</f>
        <v>10</v>
      </c>
      <c r="G116" s="7" t="str">
        <f>IF(VLOOKUP(G$2,行为概览!$D$3:$M$33,10,0)="","",VLOOKUP(G$2,行为概览!$D$3:$M$33,10,0)*IF(玩法行为规划!F116&gt;0,1,0))</f>
        <v/>
      </c>
      <c r="H116" s="7" t="str">
        <f>IF(VLOOKUP(H$2,行为概览!$D$3:$M$33,10,0)="","",VLOOKUP(H$2,行为概览!$D$3:$M$33,10,0)*IF(玩法行为规划!G116&gt;0,1,0))</f>
        <v/>
      </c>
      <c r="I116" s="7" t="str">
        <f>IF(VLOOKUP(I$2,行为概览!$D$3:$M$33,10,0)="","",VLOOKUP(I$2,行为概览!$D$3:$M$33,10,0)*IF(玩法行为规划!H116&gt;0,1,0))</f>
        <v/>
      </c>
      <c r="J116" s="7" t="str">
        <f>IF(VLOOKUP(J$2,行为概览!$D$3:$M$33,10,0)="","",VLOOKUP(J$2,行为概览!$D$3:$M$33,10,0)*IF(玩法行为规划!I116&gt;0,1,0))</f>
        <v/>
      </c>
      <c r="K116" s="7">
        <f>IF(VLOOKUP(K$2,行为概览!$D$3:$M$33,10,0)="","",VLOOKUP(K$2,行为概览!$D$3:$M$33,10,0)*IF(玩法行为规划!J116&gt;0,1,0))</f>
        <v>10</v>
      </c>
      <c r="L116" s="7">
        <f>IF(VLOOKUP(L$2,行为概览!$D$3:$M$33,10,0)="","",VLOOKUP(L$2,行为概览!$D$3:$M$33,10,0)*IF(玩法行为规划!K116&gt;0,1,0))</f>
        <v>5</v>
      </c>
      <c r="M116" s="7" t="str">
        <f>IF(VLOOKUP(M$2,行为概览!$D$3:$M$33,10,0)="","",VLOOKUP(M$2,行为概览!$D$3:$M$33,10,0)*IF(玩法行为规划!L116&gt;0,1,0))</f>
        <v/>
      </c>
      <c r="N116" s="7" t="str">
        <f>IF(VLOOKUP(N$2,行为概览!$D$3:$M$33,10,0)="","",VLOOKUP(N$2,行为概览!$D$3:$M$33,10,0)*IF(玩法行为规划!M116&gt;0,1,0))</f>
        <v/>
      </c>
      <c r="O116" s="7" t="str">
        <f>IF(VLOOKUP(O$2,行为概览!$D$3:$M$33,10,0)="","",VLOOKUP(O$2,行为概览!$D$3:$M$33,10,0)*IF(玩法行为规划!N116&gt;0,1,0))</f>
        <v/>
      </c>
      <c r="P116" s="7" t="str">
        <f>IF(VLOOKUP(P$2,行为概览!$D$3:$M$33,10,0)="","",VLOOKUP(P$2,行为概览!$D$3:$M$33,10,0)*IF(玩法行为规划!O116&gt;0,1,0))</f>
        <v/>
      </c>
      <c r="Q116" s="7">
        <f>IF(VLOOKUP(Q$2,行为概览!$D$3:$M$33,10,0)="","",VLOOKUP(Q$2,行为概览!$D$3:$M$33,10,0)*IF(玩法行为规划!P116&gt;0,1,0))</f>
        <v>10</v>
      </c>
      <c r="R116" s="7" t="str">
        <f>IF(VLOOKUP(R$2,行为概览!$D$3:$M$33,10,0)="","",VLOOKUP(R$2,行为概览!$D$3:$M$33,10,0)*IF(玩法行为规划!Q116&gt;0,1,0))</f>
        <v/>
      </c>
      <c r="S116" s="7">
        <f>IF(VLOOKUP(S$2,行为概览!$D$3:$M$33,10,0)="","",VLOOKUP(S$2,行为概览!$D$3:$M$33,10,0)*IF(玩法行为规划!R116&gt;0,1,0))</f>
        <v>3</v>
      </c>
      <c r="T116" s="7" t="str">
        <f>IF(VLOOKUP(T$2,行为概览!$D$3:$M$33,10,0)="","",VLOOKUP(T$2,行为概览!$D$3:$M$33,10,0)*IF(玩法行为规划!S116&gt;0,1,0))</f>
        <v/>
      </c>
      <c r="U116" s="7" t="str">
        <f>IF(VLOOKUP(U$2,行为概览!$D$3:$M$33,10,0)="","",VLOOKUP(U$2,行为概览!$D$3:$M$33,10,0)*IF(玩法行为规划!T116&gt;0,1,0))</f>
        <v/>
      </c>
      <c r="V116" s="7">
        <f>IF(VLOOKUP(V$2,行为概览!$D$3:$M$33,10,0)="","",VLOOKUP(V$2,行为概览!$D$3:$M$33,10,0)*IF(玩法行为规划!U116&gt;0,1,0))</f>
        <v>4</v>
      </c>
      <c r="W116" s="7" t="str">
        <f>IF(VLOOKUP(W$2,行为概览!$D$3:$M$33,10,0)="","",VLOOKUP(W$2,行为概览!$D$3:$M$33,10,0)*IF(玩法行为规划!V116&gt;0,1,0))</f>
        <v/>
      </c>
      <c r="X116" s="7" t="str">
        <f>IF(VLOOKUP(X$2,行为概览!$D$3:$M$33,10,0)="","",VLOOKUP(X$2,行为概览!$D$3:$M$33,10,0)*IF(玩法行为规划!W116&gt;0,1,0))</f>
        <v/>
      </c>
      <c r="Y116" s="7" t="str">
        <f>IF(VLOOKUP(Y$2,行为概览!$D$3:$M$33,10,0)="","",VLOOKUP(Y$2,行为概览!$D$3:$M$33,10,0)*IF(玩法行为规划!X116&gt;0,1,0))</f>
        <v/>
      </c>
      <c r="Z116" s="7">
        <f>IF(VLOOKUP(Z$2,行为概览!$D$3:$M$33,10,0)="","",VLOOKUP(Z$2,行为概览!$D$3:$M$33,10,0)*IF(玩法行为规划!Y116&gt;0,1,0))</f>
        <v>10</v>
      </c>
      <c r="AA116" s="7" t="str">
        <f>IF(VLOOKUP(AA$2,行为概览!$D$3:$M$33,10,0)="","",VLOOKUP(AA$2,行为概览!$D$3:$M$33,10,0)*IF(玩法行为规划!Z116&gt;0,1,0))</f>
        <v/>
      </c>
      <c r="AB116" s="7" t="str">
        <f>IF(VLOOKUP(AB$2,行为概览!$D$3:$M$33,10,0)="","",VLOOKUP(AB$2,行为概览!$D$3:$M$33,10,0)*IF(玩法行为规划!AA116&gt;0,1,0))</f>
        <v/>
      </c>
      <c r="AC116" s="7" t="str">
        <f>IF(VLOOKUP(AC$2,行为概览!$D$3:$M$33,10,0)="","",VLOOKUP(AC$2,行为概览!$D$3:$M$33,10,0)*IF(玩法行为规划!AB116&gt;0,1,0))</f>
        <v/>
      </c>
      <c r="AD116" s="7" t="str">
        <f>IF(VLOOKUP(AD$2,行为概览!$D$3:$M$33,10,0)="","",VLOOKUP(AD$2,行为概览!$D$3:$M$33,10,0)*IF(玩法行为规划!AC116&gt;0,1,0))</f>
        <v/>
      </c>
      <c r="AE116" s="7" t="str">
        <f>IF(VLOOKUP(AE$2,行为概览!$D$3:$M$33,10,0)="","",VLOOKUP(AE$2,行为概览!$D$3:$M$33,10,0)*IF(玩法行为规划!AD116&gt;0,1,0))</f>
        <v/>
      </c>
      <c r="AF116" s="7">
        <f>IF(VLOOKUP(AF$2,行为概览!$D$3:$M$33,10,0)="","",VLOOKUP(AF$2,行为概览!$D$3:$M$33,10,0)*IF(玩法行为规划!AE116&gt;0,1,0))</f>
        <v>20</v>
      </c>
      <c r="AG116" s="7">
        <f t="shared" si="11"/>
        <v>80</v>
      </c>
      <c r="AH116" s="7">
        <f t="shared" si="12"/>
        <v>9120</v>
      </c>
      <c r="AI116" s="7">
        <v>0</v>
      </c>
      <c r="AJ116" s="21" t="str">
        <f t="shared" si="13"/>
        <v/>
      </c>
      <c r="AK116" s="7">
        <f t="shared" si="9"/>
        <v>9120</v>
      </c>
      <c r="AL116" s="7">
        <f>SUM($AK$3:AK116)</f>
        <v>492535</v>
      </c>
    </row>
    <row r="117" spans="1:38">
      <c r="A117" s="32">
        <v>115</v>
      </c>
      <c r="B117" s="87">
        <f>升级节奏!F117</f>
        <v>115</v>
      </c>
      <c r="C117" s="7">
        <f>IF(VLOOKUP(C$2,行为概览!$D$3:$M$33,10,0)="","",VLOOKUP(C$2,行为概览!$D$3:$M$33,10,0)*IF(玩法行为规划!B117&gt;0,1,0))</f>
        <v>8</v>
      </c>
      <c r="D117" s="7" t="str">
        <f>IF(VLOOKUP(D$2,行为概览!$D$3:$M$33,10,0)="","",VLOOKUP(D$2,行为概览!$D$3:$M$33,10,0)*IF(玩法行为规划!C117&gt;0,1,0))</f>
        <v/>
      </c>
      <c r="E117" s="7" t="str">
        <f>IF(VLOOKUP(E$2,行为概览!$D$3:$M$33,10,0)="","",VLOOKUP(E$2,行为概览!$D$3:$M$33,10,0)*IF(玩法行为规划!D117&gt;0,1,0))</f>
        <v/>
      </c>
      <c r="F117" s="7">
        <f>IF(VLOOKUP(F$2,行为概览!$D$3:$M$33,10,0)="","",VLOOKUP(F$2,行为概览!$D$3:$M$33,10,0)*IF(玩法行为规划!E117&gt;0,1,0))</f>
        <v>10</v>
      </c>
      <c r="G117" s="7" t="str">
        <f>IF(VLOOKUP(G$2,行为概览!$D$3:$M$33,10,0)="","",VLOOKUP(G$2,行为概览!$D$3:$M$33,10,0)*IF(玩法行为规划!F117&gt;0,1,0))</f>
        <v/>
      </c>
      <c r="H117" s="7" t="str">
        <f>IF(VLOOKUP(H$2,行为概览!$D$3:$M$33,10,0)="","",VLOOKUP(H$2,行为概览!$D$3:$M$33,10,0)*IF(玩法行为规划!G117&gt;0,1,0))</f>
        <v/>
      </c>
      <c r="I117" s="7" t="str">
        <f>IF(VLOOKUP(I$2,行为概览!$D$3:$M$33,10,0)="","",VLOOKUP(I$2,行为概览!$D$3:$M$33,10,0)*IF(玩法行为规划!H117&gt;0,1,0))</f>
        <v/>
      </c>
      <c r="J117" s="7" t="str">
        <f>IF(VLOOKUP(J$2,行为概览!$D$3:$M$33,10,0)="","",VLOOKUP(J$2,行为概览!$D$3:$M$33,10,0)*IF(玩法行为规划!I117&gt;0,1,0))</f>
        <v/>
      </c>
      <c r="K117" s="7">
        <f>IF(VLOOKUP(K$2,行为概览!$D$3:$M$33,10,0)="","",VLOOKUP(K$2,行为概览!$D$3:$M$33,10,0)*IF(玩法行为规划!J117&gt;0,1,0))</f>
        <v>10</v>
      </c>
      <c r="L117" s="7">
        <f>IF(VLOOKUP(L$2,行为概览!$D$3:$M$33,10,0)="","",VLOOKUP(L$2,行为概览!$D$3:$M$33,10,0)*IF(玩法行为规划!K117&gt;0,1,0))</f>
        <v>5</v>
      </c>
      <c r="M117" s="7" t="str">
        <f>IF(VLOOKUP(M$2,行为概览!$D$3:$M$33,10,0)="","",VLOOKUP(M$2,行为概览!$D$3:$M$33,10,0)*IF(玩法行为规划!L117&gt;0,1,0))</f>
        <v/>
      </c>
      <c r="N117" s="7" t="str">
        <f>IF(VLOOKUP(N$2,行为概览!$D$3:$M$33,10,0)="","",VLOOKUP(N$2,行为概览!$D$3:$M$33,10,0)*IF(玩法行为规划!M117&gt;0,1,0))</f>
        <v/>
      </c>
      <c r="O117" s="7" t="str">
        <f>IF(VLOOKUP(O$2,行为概览!$D$3:$M$33,10,0)="","",VLOOKUP(O$2,行为概览!$D$3:$M$33,10,0)*IF(玩法行为规划!N117&gt;0,1,0))</f>
        <v/>
      </c>
      <c r="P117" s="7" t="str">
        <f>IF(VLOOKUP(P$2,行为概览!$D$3:$M$33,10,0)="","",VLOOKUP(P$2,行为概览!$D$3:$M$33,10,0)*IF(玩法行为规划!O117&gt;0,1,0))</f>
        <v/>
      </c>
      <c r="Q117" s="7">
        <f>IF(VLOOKUP(Q$2,行为概览!$D$3:$M$33,10,0)="","",VLOOKUP(Q$2,行为概览!$D$3:$M$33,10,0)*IF(玩法行为规划!P117&gt;0,1,0))</f>
        <v>10</v>
      </c>
      <c r="R117" s="7" t="str">
        <f>IF(VLOOKUP(R$2,行为概览!$D$3:$M$33,10,0)="","",VLOOKUP(R$2,行为概览!$D$3:$M$33,10,0)*IF(玩法行为规划!Q117&gt;0,1,0))</f>
        <v/>
      </c>
      <c r="S117" s="7">
        <f>IF(VLOOKUP(S$2,行为概览!$D$3:$M$33,10,0)="","",VLOOKUP(S$2,行为概览!$D$3:$M$33,10,0)*IF(玩法行为规划!R117&gt;0,1,0))</f>
        <v>3</v>
      </c>
      <c r="T117" s="7" t="str">
        <f>IF(VLOOKUP(T$2,行为概览!$D$3:$M$33,10,0)="","",VLOOKUP(T$2,行为概览!$D$3:$M$33,10,0)*IF(玩法行为规划!S117&gt;0,1,0))</f>
        <v/>
      </c>
      <c r="U117" s="7" t="str">
        <f>IF(VLOOKUP(U$2,行为概览!$D$3:$M$33,10,0)="","",VLOOKUP(U$2,行为概览!$D$3:$M$33,10,0)*IF(玩法行为规划!T117&gt;0,1,0))</f>
        <v/>
      </c>
      <c r="V117" s="7">
        <f>IF(VLOOKUP(V$2,行为概览!$D$3:$M$33,10,0)="","",VLOOKUP(V$2,行为概览!$D$3:$M$33,10,0)*IF(玩法行为规划!U117&gt;0,1,0))</f>
        <v>4</v>
      </c>
      <c r="W117" s="7" t="str">
        <f>IF(VLOOKUP(W$2,行为概览!$D$3:$M$33,10,0)="","",VLOOKUP(W$2,行为概览!$D$3:$M$33,10,0)*IF(玩法行为规划!V117&gt;0,1,0))</f>
        <v/>
      </c>
      <c r="X117" s="7" t="str">
        <f>IF(VLOOKUP(X$2,行为概览!$D$3:$M$33,10,0)="","",VLOOKUP(X$2,行为概览!$D$3:$M$33,10,0)*IF(玩法行为规划!W117&gt;0,1,0))</f>
        <v/>
      </c>
      <c r="Y117" s="7" t="str">
        <f>IF(VLOOKUP(Y$2,行为概览!$D$3:$M$33,10,0)="","",VLOOKUP(Y$2,行为概览!$D$3:$M$33,10,0)*IF(玩法行为规划!X117&gt;0,1,0))</f>
        <v/>
      </c>
      <c r="Z117" s="7">
        <f>IF(VLOOKUP(Z$2,行为概览!$D$3:$M$33,10,0)="","",VLOOKUP(Z$2,行为概览!$D$3:$M$33,10,0)*IF(玩法行为规划!Y117&gt;0,1,0))</f>
        <v>10</v>
      </c>
      <c r="AA117" s="7" t="str">
        <f>IF(VLOOKUP(AA$2,行为概览!$D$3:$M$33,10,0)="","",VLOOKUP(AA$2,行为概览!$D$3:$M$33,10,0)*IF(玩法行为规划!Z117&gt;0,1,0))</f>
        <v/>
      </c>
      <c r="AB117" s="7" t="str">
        <f>IF(VLOOKUP(AB$2,行为概览!$D$3:$M$33,10,0)="","",VLOOKUP(AB$2,行为概览!$D$3:$M$33,10,0)*IF(玩法行为规划!AA117&gt;0,1,0))</f>
        <v/>
      </c>
      <c r="AC117" s="7" t="str">
        <f>IF(VLOOKUP(AC$2,行为概览!$D$3:$M$33,10,0)="","",VLOOKUP(AC$2,行为概览!$D$3:$M$33,10,0)*IF(玩法行为规划!AB117&gt;0,1,0))</f>
        <v/>
      </c>
      <c r="AD117" s="7" t="str">
        <f>IF(VLOOKUP(AD$2,行为概览!$D$3:$M$33,10,0)="","",VLOOKUP(AD$2,行为概览!$D$3:$M$33,10,0)*IF(玩法行为规划!AC117&gt;0,1,0))</f>
        <v/>
      </c>
      <c r="AE117" s="7" t="str">
        <f>IF(VLOOKUP(AE$2,行为概览!$D$3:$M$33,10,0)="","",VLOOKUP(AE$2,行为概览!$D$3:$M$33,10,0)*IF(玩法行为规划!AD117&gt;0,1,0))</f>
        <v/>
      </c>
      <c r="AF117" s="7">
        <f>IF(VLOOKUP(AF$2,行为概览!$D$3:$M$33,10,0)="","",VLOOKUP(AF$2,行为概览!$D$3:$M$33,10,0)*IF(玩法行为规划!AE117&gt;0,1,0))</f>
        <v>20</v>
      </c>
      <c r="AG117" s="7">
        <f t="shared" si="11"/>
        <v>80</v>
      </c>
      <c r="AH117" s="7">
        <f t="shared" si="12"/>
        <v>9200</v>
      </c>
      <c r="AI117" s="7">
        <v>0</v>
      </c>
      <c r="AJ117" s="21" t="str">
        <f t="shared" si="13"/>
        <v/>
      </c>
      <c r="AK117" s="7">
        <f t="shared" si="9"/>
        <v>9200</v>
      </c>
      <c r="AL117" s="7">
        <f>SUM($AK$3:AK117)</f>
        <v>501735</v>
      </c>
    </row>
    <row r="118" spans="1:38">
      <c r="A118" s="32">
        <v>116</v>
      </c>
      <c r="B118" s="87">
        <f>升级节奏!F118</f>
        <v>116</v>
      </c>
      <c r="C118" s="7">
        <f>IF(VLOOKUP(C$2,行为概览!$D$3:$M$33,10,0)="","",VLOOKUP(C$2,行为概览!$D$3:$M$33,10,0)*IF(玩法行为规划!B118&gt;0,1,0))</f>
        <v>8</v>
      </c>
      <c r="D118" s="7" t="str">
        <f>IF(VLOOKUP(D$2,行为概览!$D$3:$M$33,10,0)="","",VLOOKUP(D$2,行为概览!$D$3:$M$33,10,0)*IF(玩法行为规划!C118&gt;0,1,0))</f>
        <v/>
      </c>
      <c r="E118" s="7" t="str">
        <f>IF(VLOOKUP(E$2,行为概览!$D$3:$M$33,10,0)="","",VLOOKUP(E$2,行为概览!$D$3:$M$33,10,0)*IF(玩法行为规划!D118&gt;0,1,0))</f>
        <v/>
      </c>
      <c r="F118" s="7">
        <f>IF(VLOOKUP(F$2,行为概览!$D$3:$M$33,10,0)="","",VLOOKUP(F$2,行为概览!$D$3:$M$33,10,0)*IF(玩法行为规划!E118&gt;0,1,0))</f>
        <v>10</v>
      </c>
      <c r="G118" s="7" t="str">
        <f>IF(VLOOKUP(G$2,行为概览!$D$3:$M$33,10,0)="","",VLOOKUP(G$2,行为概览!$D$3:$M$33,10,0)*IF(玩法行为规划!F118&gt;0,1,0))</f>
        <v/>
      </c>
      <c r="H118" s="7" t="str">
        <f>IF(VLOOKUP(H$2,行为概览!$D$3:$M$33,10,0)="","",VLOOKUP(H$2,行为概览!$D$3:$M$33,10,0)*IF(玩法行为规划!G118&gt;0,1,0))</f>
        <v/>
      </c>
      <c r="I118" s="7" t="str">
        <f>IF(VLOOKUP(I$2,行为概览!$D$3:$M$33,10,0)="","",VLOOKUP(I$2,行为概览!$D$3:$M$33,10,0)*IF(玩法行为规划!H118&gt;0,1,0))</f>
        <v/>
      </c>
      <c r="J118" s="7" t="str">
        <f>IF(VLOOKUP(J$2,行为概览!$D$3:$M$33,10,0)="","",VLOOKUP(J$2,行为概览!$D$3:$M$33,10,0)*IF(玩法行为规划!I118&gt;0,1,0))</f>
        <v/>
      </c>
      <c r="K118" s="7">
        <f>IF(VLOOKUP(K$2,行为概览!$D$3:$M$33,10,0)="","",VLOOKUP(K$2,行为概览!$D$3:$M$33,10,0)*IF(玩法行为规划!J118&gt;0,1,0))</f>
        <v>10</v>
      </c>
      <c r="L118" s="7">
        <f>IF(VLOOKUP(L$2,行为概览!$D$3:$M$33,10,0)="","",VLOOKUP(L$2,行为概览!$D$3:$M$33,10,0)*IF(玩法行为规划!K118&gt;0,1,0))</f>
        <v>5</v>
      </c>
      <c r="M118" s="7" t="str">
        <f>IF(VLOOKUP(M$2,行为概览!$D$3:$M$33,10,0)="","",VLOOKUP(M$2,行为概览!$D$3:$M$33,10,0)*IF(玩法行为规划!L118&gt;0,1,0))</f>
        <v/>
      </c>
      <c r="N118" s="7" t="str">
        <f>IF(VLOOKUP(N$2,行为概览!$D$3:$M$33,10,0)="","",VLOOKUP(N$2,行为概览!$D$3:$M$33,10,0)*IF(玩法行为规划!M118&gt;0,1,0))</f>
        <v/>
      </c>
      <c r="O118" s="7" t="str">
        <f>IF(VLOOKUP(O$2,行为概览!$D$3:$M$33,10,0)="","",VLOOKUP(O$2,行为概览!$D$3:$M$33,10,0)*IF(玩法行为规划!N118&gt;0,1,0))</f>
        <v/>
      </c>
      <c r="P118" s="7" t="str">
        <f>IF(VLOOKUP(P$2,行为概览!$D$3:$M$33,10,0)="","",VLOOKUP(P$2,行为概览!$D$3:$M$33,10,0)*IF(玩法行为规划!O118&gt;0,1,0))</f>
        <v/>
      </c>
      <c r="Q118" s="7">
        <f>IF(VLOOKUP(Q$2,行为概览!$D$3:$M$33,10,0)="","",VLOOKUP(Q$2,行为概览!$D$3:$M$33,10,0)*IF(玩法行为规划!P118&gt;0,1,0))</f>
        <v>10</v>
      </c>
      <c r="R118" s="7" t="str">
        <f>IF(VLOOKUP(R$2,行为概览!$D$3:$M$33,10,0)="","",VLOOKUP(R$2,行为概览!$D$3:$M$33,10,0)*IF(玩法行为规划!Q118&gt;0,1,0))</f>
        <v/>
      </c>
      <c r="S118" s="7">
        <f>IF(VLOOKUP(S$2,行为概览!$D$3:$M$33,10,0)="","",VLOOKUP(S$2,行为概览!$D$3:$M$33,10,0)*IF(玩法行为规划!R118&gt;0,1,0))</f>
        <v>3</v>
      </c>
      <c r="T118" s="7" t="str">
        <f>IF(VLOOKUP(T$2,行为概览!$D$3:$M$33,10,0)="","",VLOOKUP(T$2,行为概览!$D$3:$M$33,10,0)*IF(玩法行为规划!S118&gt;0,1,0))</f>
        <v/>
      </c>
      <c r="U118" s="7" t="str">
        <f>IF(VLOOKUP(U$2,行为概览!$D$3:$M$33,10,0)="","",VLOOKUP(U$2,行为概览!$D$3:$M$33,10,0)*IF(玩法行为规划!T118&gt;0,1,0))</f>
        <v/>
      </c>
      <c r="V118" s="7">
        <f>IF(VLOOKUP(V$2,行为概览!$D$3:$M$33,10,0)="","",VLOOKUP(V$2,行为概览!$D$3:$M$33,10,0)*IF(玩法行为规划!U118&gt;0,1,0))</f>
        <v>4</v>
      </c>
      <c r="W118" s="7" t="str">
        <f>IF(VLOOKUP(W$2,行为概览!$D$3:$M$33,10,0)="","",VLOOKUP(W$2,行为概览!$D$3:$M$33,10,0)*IF(玩法行为规划!V118&gt;0,1,0))</f>
        <v/>
      </c>
      <c r="X118" s="7" t="str">
        <f>IF(VLOOKUP(X$2,行为概览!$D$3:$M$33,10,0)="","",VLOOKUP(X$2,行为概览!$D$3:$M$33,10,0)*IF(玩法行为规划!W118&gt;0,1,0))</f>
        <v/>
      </c>
      <c r="Y118" s="7" t="str">
        <f>IF(VLOOKUP(Y$2,行为概览!$D$3:$M$33,10,0)="","",VLOOKUP(Y$2,行为概览!$D$3:$M$33,10,0)*IF(玩法行为规划!X118&gt;0,1,0))</f>
        <v/>
      </c>
      <c r="Z118" s="7">
        <f>IF(VLOOKUP(Z$2,行为概览!$D$3:$M$33,10,0)="","",VLOOKUP(Z$2,行为概览!$D$3:$M$33,10,0)*IF(玩法行为规划!Y118&gt;0,1,0))</f>
        <v>10</v>
      </c>
      <c r="AA118" s="7" t="str">
        <f>IF(VLOOKUP(AA$2,行为概览!$D$3:$M$33,10,0)="","",VLOOKUP(AA$2,行为概览!$D$3:$M$33,10,0)*IF(玩法行为规划!Z118&gt;0,1,0))</f>
        <v/>
      </c>
      <c r="AB118" s="7" t="str">
        <f>IF(VLOOKUP(AB$2,行为概览!$D$3:$M$33,10,0)="","",VLOOKUP(AB$2,行为概览!$D$3:$M$33,10,0)*IF(玩法行为规划!AA118&gt;0,1,0))</f>
        <v/>
      </c>
      <c r="AC118" s="7" t="str">
        <f>IF(VLOOKUP(AC$2,行为概览!$D$3:$M$33,10,0)="","",VLOOKUP(AC$2,行为概览!$D$3:$M$33,10,0)*IF(玩法行为规划!AB118&gt;0,1,0))</f>
        <v/>
      </c>
      <c r="AD118" s="7" t="str">
        <f>IF(VLOOKUP(AD$2,行为概览!$D$3:$M$33,10,0)="","",VLOOKUP(AD$2,行为概览!$D$3:$M$33,10,0)*IF(玩法行为规划!AC118&gt;0,1,0))</f>
        <v/>
      </c>
      <c r="AE118" s="7" t="str">
        <f>IF(VLOOKUP(AE$2,行为概览!$D$3:$M$33,10,0)="","",VLOOKUP(AE$2,行为概览!$D$3:$M$33,10,0)*IF(玩法行为规划!AD118&gt;0,1,0))</f>
        <v/>
      </c>
      <c r="AF118" s="7">
        <f>IF(VLOOKUP(AF$2,行为概览!$D$3:$M$33,10,0)="","",VLOOKUP(AF$2,行为概览!$D$3:$M$33,10,0)*IF(玩法行为规划!AE118&gt;0,1,0))</f>
        <v>20</v>
      </c>
      <c r="AG118" s="7">
        <f t="shared" si="11"/>
        <v>80</v>
      </c>
      <c r="AH118" s="7">
        <f t="shared" si="12"/>
        <v>9280</v>
      </c>
      <c r="AI118" s="7">
        <v>0</v>
      </c>
      <c r="AJ118" s="21" t="str">
        <f t="shared" si="13"/>
        <v/>
      </c>
      <c r="AK118" s="7">
        <f t="shared" si="9"/>
        <v>9280</v>
      </c>
      <c r="AL118" s="7">
        <f>SUM($AK$3:AK118)</f>
        <v>511015</v>
      </c>
    </row>
    <row r="119" spans="1:38">
      <c r="A119" s="32">
        <v>117</v>
      </c>
      <c r="B119" s="87">
        <f>升级节奏!F119</f>
        <v>117</v>
      </c>
      <c r="C119" s="7">
        <f>IF(VLOOKUP(C$2,行为概览!$D$3:$M$33,10,0)="","",VLOOKUP(C$2,行为概览!$D$3:$M$33,10,0)*IF(玩法行为规划!B119&gt;0,1,0))</f>
        <v>8</v>
      </c>
      <c r="D119" s="7" t="str">
        <f>IF(VLOOKUP(D$2,行为概览!$D$3:$M$33,10,0)="","",VLOOKUP(D$2,行为概览!$D$3:$M$33,10,0)*IF(玩法行为规划!C119&gt;0,1,0))</f>
        <v/>
      </c>
      <c r="E119" s="7" t="str">
        <f>IF(VLOOKUP(E$2,行为概览!$D$3:$M$33,10,0)="","",VLOOKUP(E$2,行为概览!$D$3:$M$33,10,0)*IF(玩法行为规划!D119&gt;0,1,0))</f>
        <v/>
      </c>
      <c r="F119" s="7">
        <f>IF(VLOOKUP(F$2,行为概览!$D$3:$M$33,10,0)="","",VLOOKUP(F$2,行为概览!$D$3:$M$33,10,0)*IF(玩法行为规划!E119&gt;0,1,0))</f>
        <v>10</v>
      </c>
      <c r="G119" s="7" t="str">
        <f>IF(VLOOKUP(G$2,行为概览!$D$3:$M$33,10,0)="","",VLOOKUP(G$2,行为概览!$D$3:$M$33,10,0)*IF(玩法行为规划!F119&gt;0,1,0))</f>
        <v/>
      </c>
      <c r="H119" s="7" t="str">
        <f>IF(VLOOKUP(H$2,行为概览!$D$3:$M$33,10,0)="","",VLOOKUP(H$2,行为概览!$D$3:$M$33,10,0)*IF(玩法行为规划!G119&gt;0,1,0))</f>
        <v/>
      </c>
      <c r="I119" s="7" t="str">
        <f>IF(VLOOKUP(I$2,行为概览!$D$3:$M$33,10,0)="","",VLOOKUP(I$2,行为概览!$D$3:$M$33,10,0)*IF(玩法行为规划!H119&gt;0,1,0))</f>
        <v/>
      </c>
      <c r="J119" s="7" t="str">
        <f>IF(VLOOKUP(J$2,行为概览!$D$3:$M$33,10,0)="","",VLOOKUP(J$2,行为概览!$D$3:$M$33,10,0)*IF(玩法行为规划!I119&gt;0,1,0))</f>
        <v/>
      </c>
      <c r="K119" s="7">
        <f>IF(VLOOKUP(K$2,行为概览!$D$3:$M$33,10,0)="","",VLOOKUP(K$2,行为概览!$D$3:$M$33,10,0)*IF(玩法行为规划!J119&gt;0,1,0))</f>
        <v>10</v>
      </c>
      <c r="L119" s="7">
        <f>IF(VLOOKUP(L$2,行为概览!$D$3:$M$33,10,0)="","",VLOOKUP(L$2,行为概览!$D$3:$M$33,10,0)*IF(玩法行为规划!K119&gt;0,1,0))</f>
        <v>5</v>
      </c>
      <c r="M119" s="7" t="str">
        <f>IF(VLOOKUP(M$2,行为概览!$D$3:$M$33,10,0)="","",VLOOKUP(M$2,行为概览!$D$3:$M$33,10,0)*IF(玩法行为规划!L119&gt;0,1,0))</f>
        <v/>
      </c>
      <c r="N119" s="7" t="str">
        <f>IF(VLOOKUP(N$2,行为概览!$D$3:$M$33,10,0)="","",VLOOKUP(N$2,行为概览!$D$3:$M$33,10,0)*IF(玩法行为规划!M119&gt;0,1,0))</f>
        <v/>
      </c>
      <c r="O119" s="7" t="str">
        <f>IF(VLOOKUP(O$2,行为概览!$D$3:$M$33,10,0)="","",VLOOKUP(O$2,行为概览!$D$3:$M$33,10,0)*IF(玩法行为规划!N119&gt;0,1,0))</f>
        <v/>
      </c>
      <c r="P119" s="7" t="str">
        <f>IF(VLOOKUP(P$2,行为概览!$D$3:$M$33,10,0)="","",VLOOKUP(P$2,行为概览!$D$3:$M$33,10,0)*IF(玩法行为规划!O119&gt;0,1,0))</f>
        <v/>
      </c>
      <c r="Q119" s="7">
        <f>IF(VLOOKUP(Q$2,行为概览!$D$3:$M$33,10,0)="","",VLOOKUP(Q$2,行为概览!$D$3:$M$33,10,0)*IF(玩法行为规划!P119&gt;0,1,0))</f>
        <v>10</v>
      </c>
      <c r="R119" s="7" t="str">
        <f>IF(VLOOKUP(R$2,行为概览!$D$3:$M$33,10,0)="","",VLOOKUP(R$2,行为概览!$D$3:$M$33,10,0)*IF(玩法行为规划!Q119&gt;0,1,0))</f>
        <v/>
      </c>
      <c r="S119" s="7">
        <f>IF(VLOOKUP(S$2,行为概览!$D$3:$M$33,10,0)="","",VLOOKUP(S$2,行为概览!$D$3:$M$33,10,0)*IF(玩法行为规划!R119&gt;0,1,0))</f>
        <v>3</v>
      </c>
      <c r="T119" s="7" t="str">
        <f>IF(VLOOKUP(T$2,行为概览!$D$3:$M$33,10,0)="","",VLOOKUP(T$2,行为概览!$D$3:$M$33,10,0)*IF(玩法行为规划!S119&gt;0,1,0))</f>
        <v/>
      </c>
      <c r="U119" s="7" t="str">
        <f>IF(VLOOKUP(U$2,行为概览!$D$3:$M$33,10,0)="","",VLOOKUP(U$2,行为概览!$D$3:$M$33,10,0)*IF(玩法行为规划!T119&gt;0,1,0))</f>
        <v/>
      </c>
      <c r="V119" s="7">
        <f>IF(VLOOKUP(V$2,行为概览!$D$3:$M$33,10,0)="","",VLOOKUP(V$2,行为概览!$D$3:$M$33,10,0)*IF(玩法行为规划!U119&gt;0,1,0))</f>
        <v>4</v>
      </c>
      <c r="W119" s="7" t="str">
        <f>IF(VLOOKUP(W$2,行为概览!$D$3:$M$33,10,0)="","",VLOOKUP(W$2,行为概览!$D$3:$M$33,10,0)*IF(玩法行为规划!V119&gt;0,1,0))</f>
        <v/>
      </c>
      <c r="X119" s="7" t="str">
        <f>IF(VLOOKUP(X$2,行为概览!$D$3:$M$33,10,0)="","",VLOOKUP(X$2,行为概览!$D$3:$M$33,10,0)*IF(玩法行为规划!W119&gt;0,1,0))</f>
        <v/>
      </c>
      <c r="Y119" s="7" t="str">
        <f>IF(VLOOKUP(Y$2,行为概览!$D$3:$M$33,10,0)="","",VLOOKUP(Y$2,行为概览!$D$3:$M$33,10,0)*IF(玩法行为规划!X119&gt;0,1,0))</f>
        <v/>
      </c>
      <c r="Z119" s="7">
        <f>IF(VLOOKUP(Z$2,行为概览!$D$3:$M$33,10,0)="","",VLOOKUP(Z$2,行为概览!$D$3:$M$33,10,0)*IF(玩法行为规划!Y119&gt;0,1,0))</f>
        <v>10</v>
      </c>
      <c r="AA119" s="7" t="str">
        <f>IF(VLOOKUP(AA$2,行为概览!$D$3:$M$33,10,0)="","",VLOOKUP(AA$2,行为概览!$D$3:$M$33,10,0)*IF(玩法行为规划!Z119&gt;0,1,0))</f>
        <v/>
      </c>
      <c r="AB119" s="7" t="str">
        <f>IF(VLOOKUP(AB$2,行为概览!$D$3:$M$33,10,0)="","",VLOOKUP(AB$2,行为概览!$D$3:$M$33,10,0)*IF(玩法行为规划!AA119&gt;0,1,0))</f>
        <v/>
      </c>
      <c r="AC119" s="7" t="str">
        <f>IF(VLOOKUP(AC$2,行为概览!$D$3:$M$33,10,0)="","",VLOOKUP(AC$2,行为概览!$D$3:$M$33,10,0)*IF(玩法行为规划!AB119&gt;0,1,0))</f>
        <v/>
      </c>
      <c r="AD119" s="7" t="str">
        <f>IF(VLOOKUP(AD$2,行为概览!$D$3:$M$33,10,0)="","",VLOOKUP(AD$2,行为概览!$D$3:$M$33,10,0)*IF(玩法行为规划!AC119&gt;0,1,0))</f>
        <v/>
      </c>
      <c r="AE119" s="7" t="str">
        <f>IF(VLOOKUP(AE$2,行为概览!$D$3:$M$33,10,0)="","",VLOOKUP(AE$2,行为概览!$D$3:$M$33,10,0)*IF(玩法行为规划!AD119&gt;0,1,0))</f>
        <v/>
      </c>
      <c r="AF119" s="7">
        <f>IF(VLOOKUP(AF$2,行为概览!$D$3:$M$33,10,0)="","",VLOOKUP(AF$2,行为概览!$D$3:$M$33,10,0)*IF(玩法行为规划!AE119&gt;0,1,0))</f>
        <v>20</v>
      </c>
      <c r="AG119" s="7">
        <f t="shared" si="11"/>
        <v>80</v>
      </c>
      <c r="AH119" s="7">
        <f t="shared" si="12"/>
        <v>9360</v>
      </c>
      <c r="AI119" s="7">
        <v>0</v>
      </c>
      <c r="AJ119" s="21" t="str">
        <f t="shared" si="13"/>
        <v/>
      </c>
      <c r="AK119" s="7">
        <f t="shared" si="9"/>
        <v>9360</v>
      </c>
      <c r="AL119" s="7">
        <f>SUM($AK$3:AK119)</f>
        <v>520375</v>
      </c>
    </row>
    <row r="120" spans="1:38">
      <c r="A120" s="32">
        <v>118</v>
      </c>
      <c r="B120" s="87">
        <f>升级节奏!F120</f>
        <v>118</v>
      </c>
      <c r="C120" s="7">
        <f>IF(VLOOKUP(C$2,行为概览!$D$3:$M$33,10,0)="","",VLOOKUP(C$2,行为概览!$D$3:$M$33,10,0)*IF(玩法行为规划!B120&gt;0,1,0))</f>
        <v>8</v>
      </c>
      <c r="D120" s="7" t="str">
        <f>IF(VLOOKUP(D$2,行为概览!$D$3:$M$33,10,0)="","",VLOOKUP(D$2,行为概览!$D$3:$M$33,10,0)*IF(玩法行为规划!C120&gt;0,1,0))</f>
        <v/>
      </c>
      <c r="E120" s="7" t="str">
        <f>IF(VLOOKUP(E$2,行为概览!$D$3:$M$33,10,0)="","",VLOOKUP(E$2,行为概览!$D$3:$M$33,10,0)*IF(玩法行为规划!D120&gt;0,1,0))</f>
        <v/>
      </c>
      <c r="F120" s="7">
        <f>IF(VLOOKUP(F$2,行为概览!$D$3:$M$33,10,0)="","",VLOOKUP(F$2,行为概览!$D$3:$M$33,10,0)*IF(玩法行为规划!E120&gt;0,1,0))</f>
        <v>10</v>
      </c>
      <c r="G120" s="7" t="str">
        <f>IF(VLOOKUP(G$2,行为概览!$D$3:$M$33,10,0)="","",VLOOKUP(G$2,行为概览!$D$3:$M$33,10,0)*IF(玩法行为规划!F120&gt;0,1,0))</f>
        <v/>
      </c>
      <c r="H120" s="7" t="str">
        <f>IF(VLOOKUP(H$2,行为概览!$D$3:$M$33,10,0)="","",VLOOKUP(H$2,行为概览!$D$3:$M$33,10,0)*IF(玩法行为规划!G120&gt;0,1,0))</f>
        <v/>
      </c>
      <c r="I120" s="7" t="str">
        <f>IF(VLOOKUP(I$2,行为概览!$D$3:$M$33,10,0)="","",VLOOKUP(I$2,行为概览!$D$3:$M$33,10,0)*IF(玩法行为规划!H120&gt;0,1,0))</f>
        <v/>
      </c>
      <c r="J120" s="7" t="str">
        <f>IF(VLOOKUP(J$2,行为概览!$D$3:$M$33,10,0)="","",VLOOKUP(J$2,行为概览!$D$3:$M$33,10,0)*IF(玩法行为规划!I120&gt;0,1,0))</f>
        <v/>
      </c>
      <c r="K120" s="7">
        <f>IF(VLOOKUP(K$2,行为概览!$D$3:$M$33,10,0)="","",VLOOKUP(K$2,行为概览!$D$3:$M$33,10,0)*IF(玩法行为规划!J120&gt;0,1,0))</f>
        <v>10</v>
      </c>
      <c r="L120" s="7">
        <f>IF(VLOOKUP(L$2,行为概览!$D$3:$M$33,10,0)="","",VLOOKUP(L$2,行为概览!$D$3:$M$33,10,0)*IF(玩法行为规划!K120&gt;0,1,0))</f>
        <v>5</v>
      </c>
      <c r="M120" s="7" t="str">
        <f>IF(VLOOKUP(M$2,行为概览!$D$3:$M$33,10,0)="","",VLOOKUP(M$2,行为概览!$D$3:$M$33,10,0)*IF(玩法行为规划!L120&gt;0,1,0))</f>
        <v/>
      </c>
      <c r="N120" s="7" t="str">
        <f>IF(VLOOKUP(N$2,行为概览!$D$3:$M$33,10,0)="","",VLOOKUP(N$2,行为概览!$D$3:$M$33,10,0)*IF(玩法行为规划!M120&gt;0,1,0))</f>
        <v/>
      </c>
      <c r="O120" s="7" t="str">
        <f>IF(VLOOKUP(O$2,行为概览!$D$3:$M$33,10,0)="","",VLOOKUP(O$2,行为概览!$D$3:$M$33,10,0)*IF(玩法行为规划!N120&gt;0,1,0))</f>
        <v/>
      </c>
      <c r="P120" s="7" t="str">
        <f>IF(VLOOKUP(P$2,行为概览!$D$3:$M$33,10,0)="","",VLOOKUP(P$2,行为概览!$D$3:$M$33,10,0)*IF(玩法行为规划!O120&gt;0,1,0))</f>
        <v/>
      </c>
      <c r="Q120" s="7">
        <f>IF(VLOOKUP(Q$2,行为概览!$D$3:$M$33,10,0)="","",VLOOKUP(Q$2,行为概览!$D$3:$M$33,10,0)*IF(玩法行为规划!P120&gt;0,1,0))</f>
        <v>10</v>
      </c>
      <c r="R120" s="7" t="str">
        <f>IF(VLOOKUP(R$2,行为概览!$D$3:$M$33,10,0)="","",VLOOKUP(R$2,行为概览!$D$3:$M$33,10,0)*IF(玩法行为规划!Q120&gt;0,1,0))</f>
        <v/>
      </c>
      <c r="S120" s="7">
        <f>IF(VLOOKUP(S$2,行为概览!$D$3:$M$33,10,0)="","",VLOOKUP(S$2,行为概览!$D$3:$M$33,10,0)*IF(玩法行为规划!R120&gt;0,1,0))</f>
        <v>3</v>
      </c>
      <c r="T120" s="7" t="str">
        <f>IF(VLOOKUP(T$2,行为概览!$D$3:$M$33,10,0)="","",VLOOKUP(T$2,行为概览!$D$3:$M$33,10,0)*IF(玩法行为规划!S120&gt;0,1,0))</f>
        <v/>
      </c>
      <c r="U120" s="7" t="str">
        <f>IF(VLOOKUP(U$2,行为概览!$D$3:$M$33,10,0)="","",VLOOKUP(U$2,行为概览!$D$3:$M$33,10,0)*IF(玩法行为规划!T120&gt;0,1,0))</f>
        <v/>
      </c>
      <c r="V120" s="7">
        <f>IF(VLOOKUP(V$2,行为概览!$D$3:$M$33,10,0)="","",VLOOKUP(V$2,行为概览!$D$3:$M$33,10,0)*IF(玩法行为规划!U120&gt;0,1,0))</f>
        <v>4</v>
      </c>
      <c r="W120" s="7" t="str">
        <f>IF(VLOOKUP(W$2,行为概览!$D$3:$M$33,10,0)="","",VLOOKUP(W$2,行为概览!$D$3:$M$33,10,0)*IF(玩法行为规划!V120&gt;0,1,0))</f>
        <v/>
      </c>
      <c r="X120" s="7" t="str">
        <f>IF(VLOOKUP(X$2,行为概览!$D$3:$M$33,10,0)="","",VLOOKUP(X$2,行为概览!$D$3:$M$33,10,0)*IF(玩法行为规划!W120&gt;0,1,0))</f>
        <v/>
      </c>
      <c r="Y120" s="7" t="str">
        <f>IF(VLOOKUP(Y$2,行为概览!$D$3:$M$33,10,0)="","",VLOOKUP(Y$2,行为概览!$D$3:$M$33,10,0)*IF(玩法行为规划!X120&gt;0,1,0))</f>
        <v/>
      </c>
      <c r="Z120" s="7">
        <f>IF(VLOOKUP(Z$2,行为概览!$D$3:$M$33,10,0)="","",VLOOKUP(Z$2,行为概览!$D$3:$M$33,10,0)*IF(玩法行为规划!Y120&gt;0,1,0))</f>
        <v>10</v>
      </c>
      <c r="AA120" s="7" t="str">
        <f>IF(VLOOKUP(AA$2,行为概览!$D$3:$M$33,10,0)="","",VLOOKUP(AA$2,行为概览!$D$3:$M$33,10,0)*IF(玩法行为规划!Z120&gt;0,1,0))</f>
        <v/>
      </c>
      <c r="AB120" s="7" t="str">
        <f>IF(VLOOKUP(AB$2,行为概览!$D$3:$M$33,10,0)="","",VLOOKUP(AB$2,行为概览!$D$3:$M$33,10,0)*IF(玩法行为规划!AA120&gt;0,1,0))</f>
        <v/>
      </c>
      <c r="AC120" s="7" t="str">
        <f>IF(VLOOKUP(AC$2,行为概览!$D$3:$M$33,10,0)="","",VLOOKUP(AC$2,行为概览!$D$3:$M$33,10,0)*IF(玩法行为规划!AB120&gt;0,1,0))</f>
        <v/>
      </c>
      <c r="AD120" s="7" t="str">
        <f>IF(VLOOKUP(AD$2,行为概览!$D$3:$M$33,10,0)="","",VLOOKUP(AD$2,行为概览!$D$3:$M$33,10,0)*IF(玩法行为规划!AC120&gt;0,1,0))</f>
        <v/>
      </c>
      <c r="AE120" s="7" t="str">
        <f>IF(VLOOKUP(AE$2,行为概览!$D$3:$M$33,10,0)="","",VLOOKUP(AE$2,行为概览!$D$3:$M$33,10,0)*IF(玩法行为规划!AD120&gt;0,1,0))</f>
        <v/>
      </c>
      <c r="AF120" s="7">
        <f>IF(VLOOKUP(AF$2,行为概览!$D$3:$M$33,10,0)="","",VLOOKUP(AF$2,行为概览!$D$3:$M$33,10,0)*IF(玩法行为规划!AE120&gt;0,1,0))</f>
        <v>20</v>
      </c>
      <c r="AG120" s="7">
        <f t="shared" si="11"/>
        <v>80</v>
      </c>
      <c r="AH120" s="7">
        <f t="shared" si="12"/>
        <v>9440</v>
      </c>
      <c r="AI120" s="7">
        <v>0</v>
      </c>
      <c r="AJ120" s="21" t="str">
        <f t="shared" si="13"/>
        <v/>
      </c>
      <c r="AK120" s="7">
        <f t="shared" si="9"/>
        <v>9440</v>
      </c>
      <c r="AL120" s="7">
        <f>SUM($AK$3:AK120)</f>
        <v>529815</v>
      </c>
    </row>
    <row r="121" spans="1:38">
      <c r="A121" s="32">
        <v>119</v>
      </c>
      <c r="B121" s="87">
        <f>升级节奏!F121</f>
        <v>119</v>
      </c>
      <c r="C121" s="7">
        <f>IF(VLOOKUP(C$2,行为概览!$D$3:$M$33,10,0)="","",VLOOKUP(C$2,行为概览!$D$3:$M$33,10,0)*IF(玩法行为规划!B121&gt;0,1,0))</f>
        <v>8</v>
      </c>
      <c r="D121" s="7" t="str">
        <f>IF(VLOOKUP(D$2,行为概览!$D$3:$M$33,10,0)="","",VLOOKUP(D$2,行为概览!$D$3:$M$33,10,0)*IF(玩法行为规划!C121&gt;0,1,0))</f>
        <v/>
      </c>
      <c r="E121" s="7" t="str">
        <f>IF(VLOOKUP(E$2,行为概览!$D$3:$M$33,10,0)="","",VLOOKUP(E$2,行为概览!$D$3:$M$33,10,0)*IF(玩法行为规划!D121&gt;0,1,0))</f>
        <v/>
      </c>
      <c r="F121" s="7">
        <f>IF(VLOOKUP(F$2,行为概览!$D$3:$M$33,10,0)="","",VLOOKUP(F$2,行为概览!$D$3:$M$33,10,0)*IF(玩法行为规划!E121&gt;0,1,0))</f>
        <v>10</v>
      </c>
      <c r="G121" s="7" t="str">
        <f>IF(VLOOKUP(G$2,行为概览!$D$3:$M$33,10,0)="","",VLOOKUP(G$2,行为概览!$D$3:$M$33,10,0)*IF(玩法行为规划!F121&gt;0,1,0))</f>
        <v/>
      </c>
      <c r="H121" s="7" t="str">
        <f>IF(VLOOKUP(H$2,行为概览!$D$3:$M$33,10,0)="","",VLOOKUP(H$2,行为概览!$D$3:$M$33,10,0)*IF(玩法行为规划!G121&gt;0,1,0))</f>
        <v/>
      </c>
      <c r="I121" s="7" t="str">
        <f>IF(VLOOKUP(I$2,行为概览!$D$3:$M$33,10,0)="","",VLOOKUP(I$2,行为概览!$D$3:$M$33,10,0)*IF(玩法行为规划!H121&gt;0,1,0))</f>
        <v/>
      </c>
      <c r="J121" s="7" t="str">
        <f>IF(VLOOKUP(J$2,行为概览!$D$3:$M$33,10,0)="","",VLOOKUP(J$2,行为概览!$D$3:$M$33,10,0)*IF(玩法行为规划!I121&gt;0,1,0))</f>
        <v/>
      </c>
      <c r="K121" s="7">
        <f>IF(VLOOKUP(K$2,行为概览!$D$3:$M$33,10,0)="","",VLOOKUP(K$2,行为概览!$D$3:$M$33,10,0)*IF(玩法行为规划!J121&gt;0,1,0))</f>
        <v>10</v>
      </c>
      <c r="L121" s="7">
        <f>IF(VLOOKUP(L$2,行为概览!$D$3:$M$33,10,0)="","",VLOOKUP(L$2,行为概览!$D$3:$M$33,10,0)*IF(玩法行为规划!K121&gt;0,1,0))</f>
        <v>5</v>
      </c>
      <c r="M121" s="7" t="str">
        <f>IF(VLOOKUP(M$2,行为概览!$D$3:$M$33,10,0)="","",VLOOKUP(M$2,行为概览!$D$3:$M$33,10,0)*IF(玩法行为规划!L121&gt;0,1,0))</f>
        <v/>
      </c>
      <c r="N121" s="7" t="str">
        <f>IF(VLOOKUP(N$2,行为概览!$D$3:$M$33,10,0)="","",VLOOKUP(N$2,行为概览!$D$3:$M$33,10,0)*IF(玩法行为规划!M121&gt;0,1,0))</f>
        <v/>
      </c>
      <c r="O121" s="7" t="str">
        <f>IF(VLOOKUP(O$2,行为概览!$D$3:$M$33,10,0)="","",VLOOKUP(O$2,行为概览!$D$3:$M$33,10,0)*IF(玩法行为规划!N121&gt;0,1,0))</f>
        <v/>
      </c>
      <c r="P121" s="7" t="str">
        <f>IF(VLOOKUP(P$2,行为概览!$D$3:$M$33,10,0)="","",VLOOKUP(P$2,行为概览!$D$3:$M$33,10,0)*IF(玩法行为规划!O121&gt;0,1,0))</f>
        <v/>
      </c>
      <c r="Q121" s="7">
        <f>IF(VLOOKUP(Q$2,行为概览!$D$3:$M$33,10,0)="","",VLOOKUP(Q$2,行为概览!$D$3:$M$33,10,0)*IF(玩法行为规划!P121&gt;0,1,0))</f>
        <v>10</v>
      </c>
      <c r="R121" s="7" t="str">
        <f>IF(VLOOKUP(R$2,行为概览!$D$3:$M$33,10,0)="","",VLOOKUP(R$2,行为概览!$D$3:$M$33,10,0)*IF(玩法行为规划!Q121&gt;0,1,0))</f>
        <v/>
      </c>
      <c r="S121" s="7">
        <f>IF(VLOOKUP(S$2,行为概览!$D$3:$M$33,10,0)="","",VLOOKUP(S$2,行为概览!$D$3:$M$33,10,0)*IF(玩法行为规划!R121&gt;0,1,0))</f>
        <v>3</v>
      </c>
      <c r="T121" s="7" t="str">
        <f>IF(VLOOKUP(T$2,行为概览!$D$3:$M$33,10,0)="","",VLOOKUP(T$2,行为概览!$D$3:$M$33,10,0)*IF(玩法行为规划!S121&gt;0,1,0))</f>
        <v/>
      </c>
      <c r="U121" s="7" t="str">
        <f>IF(VLOOKUP(U$2,行为概览!$D$3:$M$33,10,0)="","",VLOOKUP(U$2,行为概览!$D$3:$M$33,10,0)*IF(玩法行为规划!T121&gt;0,1,0))</f>
        <v/>
      </c>
      <c r="V121" s="7">
        <f>IF(VLOOKUP(V$2,行为概览!$D$3:$M$33,10,0)="","",VLOOKUP(V$2,行为概览!$D$3:$M$33,10,0)*IF(玩法行为规划!U121&gt;0,1,0))</f>
        <v>4</v>
      </c>
      <c r="W121" s="7" t="str">
        <f>IF(VLOOKUP(W$2,行为概览!$D$3:$M$33,10,0)="","",VLOOKUP(W$2,行为概览!$D$3:$M$33,10,0)*IF(玩法行为规划!V121&gt;0,1,0))</f>
        <v/>
      </c>
      <c r="X121" s="7" t="str">
        <f>IF(VLOOKUP(X$2,行为概览!$D$3:$M$33,10,0)="","",VLOOKUP(X$2,行为概览!$D$3:$M$33,10,0)*IF(玩法行为规划!W121&gt;0,1,0))</f>
        <v/>
      </c>
      <c r="Y121" s="7" t="str">
        <f>IF(VLOOKUP(Y$2,行为概览!$D$3:$M$33,10,0)="","",VLOOKUP(Y$2,行为概览!$D$3:$M$33,10,0)*IF(玩法行为规划!X121&gt;0,1,0))</f>
        <v/>
      </c>
      <c r="Z121" s="7">
        <f>IF(VLOOKUP(Z$2,行为概览!$D$3:$M$33,10,0)="","",VLOOKUP(Z$2,行为概览!$D$3:$M$33,10,0)*IF(玩法行为规划!Y121&gt;0,1,0))</f>
        <v>10</v>
      </c>
      <c r="AA121" s="7" t="str">
        <f>IF(VLOOKUP(AA$2,行为概览!$D$3:$M$33,10,0)="","",VLOOKUP(AA$2,行为概览!$D$3:$M$33,10,0)*IF(玩法行为规划!Z121&gt;0,1,0))</f>
        <v/>
      </c>
      <c r="AB121" s="7" t="str">
        <f>IF(VLOOKUP(AB$2,行为概览!$D$3:$M$33,10,0)="","",VLOOKUP(AB$2,行为概览!$D$3:$M$33,10,0)*IF(玩法行为规划!AA121&gt;0,1,0))</f>
        <v/>
      </c>
      <c r="AC121" s="7" t="str">
        <f>IF(VLOOKUP(AC$2,行为概览!$D$3:$M$33,10,0)="","",VLOOKUP(AC$2,行为概览!$D$3:$M$33,10,0)*IF(玩法行为规划!AB121&gt;0,1,0))</f>
        <v/>
      </c>
      <c r="AD121" s="7" t="str">
        <f>IF(VLOOKUP(AD$2,行为概览!$D$3:$M$33,10,0)="","",VLOOKUP(AD$2,行为概览!$D$3:$M$33,10,0)*IF(玩法行为规划!AC121&gt;0,1,0))</f>
        <v/>
      </c>
      <c r="AE121" s="7" t="str">
        <f>IF(VLOOKUP(AE$2,行为概览!$D$3:$M$33,10,0)="","",VLOOKUP(AE$2,行为概览!$D$3:$M$33,10,0)*IF(玩法行为规划!AD121&gt;0,1,0))</f>
        <v/>
      </c>
      <c r="AF121" s="7">
        <f>IF(VLOOKUP(AF$2,行为概览!$D$3:$M$33,10,0)="","",VLOOKUP(AF$2,行为概览!$D$3:$M$33,10,0)*IF(玩法行为规划!AE121&gt;0,1,0))</f>
        <v>20</v>
      </c>
      <c r="AG121" s="7">
        <f t="shared" si="11"/>
        <v>80</v>
      </c>
      <c r="AH121" s="7">
        <f t="shared" si="12"/>
        <v>9520</v>
      </c>
      <c r="AI121" s="7">
        <v>0</v>
      </c>
      <c r="AJ121" s="21" t="str">
        <f t="shared" si="13"/>
        <v/>
      </c>
      <c r="AK121" s="7">
        <f t="shared" si="9"/>
        <v>9520</v>
      </c>
      <c r="AL121" s="7">
        <f>SUM($AK$3:AK121)</f>
        <v>539335</v>
      </c>
    </row>
    <row r="122" spans="1:38">
      <c r="A122" s="32">
        <v>120</v>
      </c>
      <c r="B122" s="87">
        <f>升级节奏!F122</f>
        <v>120</v>
      </c>
      <c r="C122" s="7">
        <f>IF(VLOOKUP(C$2,行为概览!$D$3:$M$33,10,0)="","",VLOOKUP(C$2,行为概览!$D$3:$M$33,10,0)*IF(玩法行为规划!B122&gt;0,1,0))</f>
        <v>8</v>
      </c>
      <c r="D122" s="7" t="str">
        <f>IF(VLOOKUP(D$2,行为概览!$D$3:$M$33,10,0)="","",VLOOKUP(D$2,行为概览!$D$3:$M$33,10,0)*IF(玩法行为规划!C122&gt;0,1,0))</f>
        <v/>
      </c>
      <c r="E122" s="7" t="str">
        <f>IF(VLOOKUP(E$2,行为概览!$D$3:$M$33,10,0)="","",VLOOKUP(E$2,行为概览!$D$3:$M$33,10,0)*IF(玩法行为规划!D122&gt;0,1,0))</f>
        <v/>
      </c>
      <c r="F122" s="7">
        <f>IF(VLOOKUP(F$2,行为概览!$D$3:$M$33,10,0)="","",VLOOKUP(F$2,行为概览!$D$3:$M$33,10,0)*IF(玩法行为规划!E122&gt;0,1,0))</f>
        <v>10</v>
      </c>
      <c r="G122" s="7" t="str">
        <f>IF(VLOOKUP(G$2,行为概览!$D$3:$M$33,10,0)="","",VLOOKUP(G$2,行为概览!$D$3:$M$33,10,0)*IF(玩法行为规划!F122&gt;0,1,0))</f>
        <v/>
      </c>
      <c r="H122" s="7" t="str">
        <f>IF(VLOOKUP(H$2,行为概览!$D$3:$M$33,10,0)="","",VLOOKUP(H$2,行为概览!$D$3:$M$33,10,0)*IF(玩法行为规划!G122&gt;0,1,0))</f>
        <v/>
      </c>
      <c r="I122" s="7" t="str">
        <f>IF(VLOOKUP(I$2,行为概览!$D$3:$M$33,10,0)="","",VLOOKUP(I$2,行为概览!$D$3:$M$33,10,0)*IF(玩法行为规划!H122&gt;0,1,0))</f>
        <v/>
      </c>
      <c r="J122" s="7" t="str">
        <f>IF(VLOOKUP(J$2,行为概览!$D$3:$M$33,10,0)="","",VLOOKUP(J$2,行为概览!$D$3:$M$33,10,0)*IF(玩法行为规划!I122&gt;0,1,0))</f>
        <v/>
      </c>
      <c r="K122" s="7">
        <f>IF(VLOOKUP(K$2,行为概览!$D$3:$M$33,10,0)="","",VLOOKUP(K$2,行为概览!$D$3:$M$33,10,0)*IF(玩法行为规划!J122&gt;0,1,0))</f>
        <v>10</v>
      </c>
      <c r="L122" s="7">
        <f>IF(VLOOKUP(L$2,行为概览!$D$3:$M$33,10,0)="","",VLOOKUP(L$2,行为概览!$D$3:$M$33,10,0)*IF(玩法行为规划!K122&gt;0,1,0))</f>
        <v>5</v>
      </c>
      <c r="M122" s="7" t="str">
        <f>IF(VLOOKUP(M$2,行为概览!$D$3:$M$33,10,0)="","",VLOOKUP(M$2,行为概览!$D$3:$M$33,10,0)*IF(玩法行为规划!L122&gt;0,1,0))</f>
        <v/>
      </c>
      <c r="N122" s="7" t="str">
        <f>IF(VLOOKUP(N$2,行为概览!$D$3:$M$33,10,0)="","",VLOOKUP(N$2,行为概览!$D$3:$M$33,10,0)*IF(玩法行为规划!M122&gt;0,1,0))</f>
        <v/>
      </c>
      <c r="O122" s="7" t="str">
        <f>IF(VLOOKUP(O$2,行为概览!$D$3:$M$33,10,0)="","",VLOOKUP(O$2,行为概览!$D$3:$M$33,10,0)*IF(玩法行为规划!N122&gt;0,1,0))</f>
        <v/>
      </c>
      <c r="P122" s="7" t="str">
        <f>IF(VLOOKUP(P$2,行为概览!$D$3:$M$33,10,0)="","",VLOOKUP(P$2,行为概览!$D$3:$M$33,10,0)*IF(玩法行为规划!O122&gt;0,1,0))</f>
        <v/>
      </c>
      <c r="Q122" s="7">
        <f>IF(VLOOKUP(Q$2,行为概览!$D$3:$M$33,10,0)="","",VLOOKUP(Q$2,行为概览!$D$3:$M$33,10,0)*IF(玩法行为规划!P122&gt;0,1,0))</f>
        <v>10</v>
      </c>
      <c r="R122" s="7" t="str">
        <f>IF(VLOOKUP(R$2,行为概览!$D$3:$M$33,10,0)="","",VLOOKUP(R$2,行为概览!$D$3:$M$33,10,0)*IF(玩法行为规划!Q122&gt;0,1,0))</f>
        <v/>
      </c>
      <c r="S122" s="7">
        <f>IF(VLOOKUP(S$2,行为概览!$D$3:$M$33,10,0)="","",VLOOKUP(S$2,行为概览!$D$3:$M$33,10,0)*IF(玩法行为规划!R122&gt;0,1,0))</f>
        <v>3</v>
      </c>
      <c r="T122" s="7" t="str">
        <f>IF(VLOOKUP(T$2,行为概览!$D$3:$M$33,10,0)="","",VLOOKUP(T$2,行为概览!$D$3:$M$33,10,0)*IF(玩法行为规划!S122&gt;0,1,0))</f>
        <v/>
      </c>
      <c r="U122" s="7" t="str">
        <f>IF(VLOOKUP(U$2,行为概览!$D$3:$M$33,10,0)="","",VLOOKUP(U$2,行为概览!$D$3:$M$33,10,0)*IF(玩法行为规划!T122&gt;0,1,0))</f>
        <v/>
      </c>
      <c r="V122" s="7">
        <f>IF(VLOOKUP(V$2,行为概览!$D$3:$M$33,10,0)="","",VLOOKUP(V$2,行为概览!$D$3:$M$33,10,0)*IF(玩法行为规划!U122&gt;0,1,0))</f>
        <v>4</v>
      </c>
      <c r="W122" s="7" t="str">
        <f>IF(VLOOKUP(W$2,行为概览!$D$3:$M$33,10,0)="","",VLOOKUP(W$2,行为概览!$D$3:$M$33,10,0)*IF(玩法行为规划!V122&gt;0,1,0))</f>
        <v/>
      </c>
      <c r="X122" s="7" t="str">
        <f>IF(VLOOKUP(X$2,行为概览!$D$3:$M$33,10,0)="","",VLOOKUP(X$2,行为概览!$D$3:$M$33,10,0)*IF(玩法行为规划!W122&gt;0,1,0))</f>
        <v/>
      </c>
      <c r="Y122" s="7" t="str">
        <f>IF(VLOOKUP(Y$2,行为概览!$D$3:$M$33,10,0)="","",VLOOKUP(Y$2,行为概览!$D$3:$M$33,10,0)*IF(玩法行为规划!X122&gt;0,1,0))</f>
        <v/>
      </c>
      <c r="Z122" s="7">
        <f>IF(VLOOKUP(Z$2,行为概览!$D$3:$M$33,10,0)="","",VLOOKUP(Z$2,行为概览!$D$3:$M$33,10,0)*IF(玩法行为规划!Y122&gt;0,1,0))</f>
        <v>10</v>
      </c>
      <c r="AA122" s="7" t="str">
        <f>IF(VLOOKUP(AA$2,行为概览!$D$3:$M$33,10,0)="","",VLOOKUP(AA$2,行为概览!$D$3:$M$33,10,0)*IF(玩法行为规划!Z122&gt;0,1,0))</f>
        <v/>
      </c>
      <c r="AB122" s="7" t="str">
        <f>IF(VLOOKUP(AB$2,行为概览!$D$3:$M$33,10,0)="","",VLOOKUP(AB$2,行为概览!$D$3:$M$33,10,0)*IF(玩法行为规划!AA122&gt;0,1,0))</f>
        <v/>
      </c>
      <c r="AC122" s="7" t="str">
        <f>IF(VLOOKUP(AC$2,行为概览!$D$3:$M$33,10,0)="","",VLOOKUP(AC$2,行为概览!$D$3:$M$33,10,0)*IF(玩法行为规划!AB122&gt;0,1,0))</f>
        <v/>
      </c>
      <c r="AD122" s="7" t="str">
        <f>IF(VLOOKUP(AD$2,行为概览!$D$3:$M$33,10,0)="","",VLOOKUP(AD$2,行为概览!$D$3:$M$33,10,0)*IF(玩法行为规划!AC122&gt;0,1,0))</f>
        <v/>
      </c>
      <c r="AE122" s="7" t="str">
        <f>IF(VLOOKUP(AE$2,行为概览!$D$3:$M$33,10,0)="","",VLOOKUP(AE$2,行为概览!$D$3:$M$33,10,0)*IF(玩法行为规划!AD122&gt;0,1,0))</f>
        <v/>
      </c>
      <c r="AF122" s="7">
        <f>IF(VLOOKUP(AF$2,行为概览!$D$3:$M$33,10,0)="","",VLOOKUP(AF$2,行为概览!$D$3:$M$33,10,0)*IF(玩法行为规划!AE122&gt;0,1,0))</f>
        <v>20</v>
      </c>
      <c r="AG122" s="7">
        <f t="shared" si="11"/>
        <v>80</v>
      </c>
      <c r="AH122" s="7">
        <f t="shared" si="12"/>
        <v>9600</v>
      </c>
      <c r="AI122" s="7">
        <v>0</v>
      </c>
      <c r="AJ122" s="21">
        <f t="shared" si="13"/>
        <v>0</v>
      </c>
      <c r="AK122" s="7">
        <f t="shared" si="9"/>
        <v>9600</v>
      </c>
      <c r="AL122" s="7">
        <f>SUM($AK$3:AK122)</f>
        <v>548935</v>
      </c>
    </row>
    <row r="123" spans="1:38">
      <c r="A123" s="32">
        <v>121</v>
      </c>
      <c r="B123" s="87">
        <f>升级节奏!F123</f>
        <v>121</v>
      </c>
      <c r="C123" s="7">
        <f>IF(VLOOKUP(C$2,行为概览!$D$3:$M$33,10,0)="","",VLOOKUP(C$2,行为概览!$D$3:$M$33,10,0)*IF(玩法行为规划!B123&gt;0,1,0))</f>
        <v>8</v>
      </c>
      <c r="D123" s="7" t="str">
        <f>IF(VLOOKUP(D$2,行为概览!$D$3:$M$33,10,0)="","",VLOOKUP(D$2,行为概览!$D$3:$M$33,10,0)*IF(玩法行为规划!C123&gt;0,1,0))</f>
        <v/>
      </c>
      <c r="E123" s="7" t="str">
        <f>IF(VLOOKUP(E$2,行为概览!$D$3:$M$33,10,0)="","",VLOOKUP(E$2,行为概览!$D$3:$M$33,10,0)*IF(玩法行为规划!D123&gt;0,1,0))</f>
        <v/>
      </c>
      <c r="F123" s="7">
        <f>IF(VLOOKUP(F$2,行为概览!$D$3:$M$33,10,0)="","",VLOOKUP(F$2,行为概览!$D$3:$M$33,10,0)*IF(玩法行为规划!E123&gt;0,1,0))</f>
        <v>10</v>
      </c>
      <c r="G123" s="7" t="str">
        <f>IF(VLOOKUP(G$2,行为概览!$D$3:$M$33,10,0)="","",VLOOKUP(G$2,行为概览!$D$3:$M$33,10,0)*IF(玩法行为规划!F123&gt;0,1,0))</f>
        <v/>
      </c>
      <c r="H123" s="7" t="str">
        <f>IF(VLOOKUP(H$2,行为概览!$D$3:$M$33,10,0)="","",VLOOKUP(H$2,行为概览!$D$3:$M$33,10,0)*IF(玩法行为规划!G123&gt;0,1,0))</f>
        <v/>
      </c>
      <c r="I123" s="7" t="str">
        <f>IF(VLOOKUP(I$2,行为概览!$D$3:$M$33,10,0)="","",VLOOKUP(I$2,行为概览!$D$3:$M$33,10,0)*IF(玩法行为规划!H123&gt;0,1,0))</f>
        <v/>
      </c>
      <c r="J123" s="7" t="str">
        <f>IF(VLOOKUP(J$2,行为概览!$D$3:$M$33,10,0)="","",VLOOKUP(J$2,行为概览!$D$3:$M$33,10,0)*IF(玩法行为规划!I123&gt;0,1,0))</f>
        <v/>
      </c>
      <c r="K123" s="7">
        <f>IF(VLOOKUP(K$2,行为概览!$D$3:$M$33,10,0)="","",VLOOKUP(K$2,行为概览!$D$3:$M$33,10,0)*IF(玩法行为规划!J123&gt;0,1,0))</f>
        <v>10</v>
      </c>
      <c r="L123" s="7">
        <f>IF(VLOOKUP(L$2,行为概览!$D$3:$M$33,10,0)="","",VLOOKUP(L$2,行为概览!$D$3:$M$33,10,0)*IF(玩法行为规划!K123&gt;0,1,0))</f>
        <v>5</v>
      </c>
      <c r="M123" s="7" t="str">
        <f>IF(VLOOKUP(M$2,行为概览!$D$3:$M$33,10,0)="","",VLOOKUP(M$2,行为概览!$D$3:$M$33,10,0)*IF(玩法行为规划!L123&gt;0,1,0))</f>
        <v/>
      </c>
      <c r="N123" s="7" t="str">
        <f>IF(VLOOKUP(N$2,行为概览!$D$3:$M$33,10,0)="","",VLOOKUP(N$2,行为概览!$D$3:$M$33,10,0)*IF(玩法行为规划!M123&gt;0,1,0))</f>
        <v/>
      </c>
      <c r="O123" s="7" t="str">
        <f>IF(VLOOKUP(O$2,行为概览!$D$3:$M$33,10,0)="","",VLOOKUP(O$2,行为概览!$D$3:$M$33,10,0)*IF(玩法行为规划!N123&gt;0,1,0))</f>
        <v/>
      </c>
      <c r="P123" s="7" t="str">
        <f>IF(VLOOKUP(P$2,行为概览!$D$3:$M$33,10,0)="","",VLOOKUP(P$2,行为概览!$D$3:$M$33,10,0)*IF(玩法行为规划!O123&gt;0,1,0))</f>
        <v/>
      </c>
      <c r="Q123" s="7">
        <f>IF(VLOOKUP(Q$2,行为概览!$D$3:$M$33,10,0)="","",VLOOKUP(Q$2,行为概览!$D$3:$M$33,10,0)*IF(玩法行为规划!P123&gt;0,1,0))</f>
        <v>10</v>
      </c>
      <c r="R123" s="7" t="str">
        <f>IF(VLOOKUP(R$2,行为概览!$D$3:$M$33,10,0)="","",VLOOKUP(R$2,行为概览!$D$3:$M$33,10,0)*IF(玩法行为规划!Q123&gt;0,1,0))</f>
        <v/>
      </c>
      <c r="S123" s="7">
        <f>IF(VLOOKUP(S$2,行为概览!$D$3:$M$33,10,0)="","",VLOOKUP(S$2,行为概览!$D$3:$M$33,10,0)*IF(玩法行为规划!R123&gt;0,1,0))</f>
        <v>3</v>
      </c>
      <c r="T123" s="7" t="str">
        <f>IF(VLOOKUP(T$2,行为概览!$D$3:$M$33,10,0)="","",VLOOKUP(T$2,行为概览!$D$3:$M$33,10,0)*IF(玩法行为规划!S123&gt;0,1,0))</f>
        <v/>
      </c>
      <c r="U123" s="7" t="str">
        <f>IF(VLOOKUP(U$2,行为概览!$D$3:$M$33,10,0)="","",VLOOKUP(U$2,行为概览!$D$3:$M$33,10,0)*IF(玩法行为规划!T123&gt;0,1,0))</f>
        <v/>
      </c>
      <c r="V123" s="7">
        <f>IF(VLOOKUP(V$2,行为概览!$D$3:$M$33,10,0)="","",VLOOKUP(V$2,行为概览!$D$3:$M$33,10,0)*IF(玩法行为规划!U123&gt;0,1,0))</f>
        <v>4</v>
      </c>
      <c r="W123" s="7" t="str">
        <f>IF(VLOOKUP(W$2,行为概览!$D$3:$M$33,10,0)="","",VLOOKUP(W$2,行为概览!$D$3:$M$33,10,0)*IF(玩法行为规划!V123&gt;0,1,0))</f>
        <v/>
      </c>
      <c r="X123" s="7" t="str">
        <f>IF(VLOOKUP(X$2,行为概览!$D$3:$M$33,10,0)="","",VLOOKUP(X$2,行为概览!$D$3:$M$33,10,0)*IF(玩法行为规划!W123&gt;0,1,0))</f>
        <v/>
      </c>
      <c r="Y123" s="7" t="str">
        <f>IF(VLOOKUP(Y$2,行为概览!$D$3:$M$33,10,0)="","",VLOOKUP(Y$2,行为概览!$D$3:$M$33,10,0)*IF(玩法行为规划!X123&gt;0,1,0))</f>
        <v/>
      </c>
      <c r="Z123" s="7">
        <f>IF(VLOOKUP(Z$2,行为概览!$D$3:$M$33,10,0)="","",VLOOKUP(Z$2,行为概览!$D$3:$M$33,10,0)*IF(玩法行为规划!Y123&gt;0,1,0))</f>
        <v>10</v>
      </c>
      <c r="AA123" s="7" t="str">
        <f>IF(VLOOKUP(AA$2,行为概览!$D$3:$M$33,10,0)="","",VLOOKUP(AA$2,行为概览!$D$3:$M$33,10,0)*IF(玩法行为规划!Z123&gt;0,1,0))</f>
        <v/>
      </c>
      <c r="AB123" s="7" t="str">
        <f>IF(VLOOKUP(AB$2,行为概览!$D$3:$M$33,10,0)="","",VLOOKUP(AB$2,行为概览!$D$3:$M$33,10,0)*IF(玩法行为规划!AA123&gt;0,1,0))</f>
        <v/>
      </c>
      <c r="AC123" s="7" t="str">
        <f>IF(VLOOKUP(AC$2,行为概览!$D$3:$M$33,10,0)="","",VLOOKUP(AC$2,行为概览!$D$3:$M$33,10,0)*IF(玩法行为规划!AB123&gt;0,1,0))</f>
        <v/>
      </c>
      <c r="AD123" s="7" t="str">
        <f>IF(VLOOKUP(AD$2,行为概览!$D$3:$M$33,10,0)="","",VLOOKUP(AD$2,行为概览!$D$3:$M$33,10,0)*IF(玩法行为规划!AC123&gt;0,1,0))</f>
        <v/>
      </c>
      <c r="AE123" s="7" t="str">
        <f>IF(VLOOKUP(AE$2,行为概览!$D$3:$M$33,10,0)="","",VLOOKUP(AE$2,行为概览!$D$3:$M$33,10,0)*IF(玩法行为规划!AD123&gt;0,1,0))</f>
        <v/>
      </c>
      <c r="AF123" s="7">
        <f>IF(VLOOKUP(AF$2,行为概览!$D$3:$M$33,10,0)="","",VLOOKUP(AF$2,行为概览!$D$3:$M$33,10,0)*IF(玩法行为规划!AE123&gt;0,1,0))</f>
        <v>20</v>
      </c>
      <c r="AG123" s="7">
        <f t="shared" si="11"/>
        <v>80</v>
      </c>
      <c r="AH123" s="7">
        <f t="shared" si="12"/>
        <v>9680</v>
      </c>
      <c r="AI123" s="7">
        <v>0</v>
      </c>
      <c r="AJ123" s="21" t="str">
        <f t="shared" si="13"/>
        <v/>
      </c>
      <c r="AK123" s="7">
        <f t="shared" si="9"/>
        <v>9680</v>
      </c>
      <c r="AL123" s="7">
        <f>SUM($AK$3:AK123)</f>
        <v>558615</v>
      </c>
    </row>
    <row r="124" spans="1:38">
      <c r="A124" s="32">
        <v>122</v>
      </c>
      <c r="B124" s="87">
        <f>升级节奏!F124</f>
        <v>122</v>
      </c>
      <c r="C124" s="7">
        <f>IF(VLOOKUP(C$2,行为概览!$D$3:$M$33,10,0)="","",VLOOKUP(C$2,行为概览!$D$3:$M$33,10,0)*IF(玩法行为规划!B124&gt;0,1,0))</f>
        <v>8</v>
      </c>
      <c r="D124" s="7" t="str">
        <f>IF(VLOOKUP(D$2,行为概览!$D$3:$M$33,10,0)="","",VLOOKUP(D$2,行为概览!$D$3:$M$33,10,0)*IF(玩法行为规划!C124&gt;0,1,0))</f>
        <v/>
      </c>
      <c r="E124" s="7" t="str">
        <f>IF(VLOOKUP(E$2,行为概览!$D$3:$M$33,10,0)="","",VLOOKUP(E$2,行为概览!$D$3:$M$33,10,0)*IF(玩法行为规划!D124&gt;0,1,0))</f>
        <v/>
      </c>
      <c r="F124" s="7">
        <f>IF(VLOOKUP(F$2,行为概览!$D$3:$M$33,10,0)="","",VLOOKUP(F$2,行为概览!$D$3:$M$33,10,0)*IF(玩法行为规划!E124&gt;0,1,0))</f>
        <v>10</v>
      </c>
      <c r="G124" s="7" t="str">
        <f>IF(VLOOKUP(G$2,行为概览!$D$3:$M$33,10,0)="","",VLOOKUP(G$2,行为概览!$D$3:$M$33,10,0)*IF(玩法行为规划!F124&gt;0,1,0))</f>
        <v/>
      </c>
      <c r="H124" s="7" t="str">
        <f>IF(VLOOKUP(H$2,行为概览!$D$3:$M$33,10,0)="","",VLOOKUP(H$2,行为概览!$D$3:$M$33,10,0)*IF(玩法行为规划!G124&gt;0,1,0))</f>
        <v/>
      </c>
      <c r="I124" s="7" t="str">
        <f>IF(VLOOKUP(I$2,行为概览!$D$3:$M$33,10,0)="","",VLOOKUP(I$2,行为概览!$D$3:$M$33,10,0)*IF(玩法行为规划!H124&gt;0,1,0))</f>
        <v/>
      </c>
      <c r="J124" s="7" t="str">
        <f>IF(VLOOKUP(J$2,行为概览!$D$3:$M$33,10,0)="","",VLOOKUP(J$2,行为概览!$D$3:$M$33,10,0)*IF(玩法行为规划!I124&gt;0,1,0))</f>
        <v/>
      </c>
      <c r="K124" s="7">
        <f>IF(VLOOKUP(K$2,行为概览!$D$3:$M$33,10,0)="","",VLOOKUP(K$2,行为概览!$D$3:$M$33,10,0)*IF(玩法行为规划!J124&gt;0,1,0))</f>
        <v>10</v>
      </c>
      <c r="L124" s="7">
        <f>IF(VLOOKUP(L$2,行为概览!$D$3:$M$33,10,0)="","",VLOOKUP(L$2,行为概览!$D$3:$M$33,10,0)*IF(玩法行为规划!K124&gt;0,1,0))</f>
        <v>5</v>
      </c>
      <c r="M124" s="7" t="str">
        <f>IF(VLOOKUP(M$2,行为概览!$D$3:$M$33,10,0)="","",VLOOKUP(M$2,行为概览!$D$3:$M$33,10,0)*IF(玩法行为规划!L124&gt;0,1,0))</f>
        <v/>
      </c>
      <c r="N124" s="7" t="str">
        <f>IF(VLOOKUP(N$2,行为概览!$D$3:$M$33,10,0)="","",VLOOKUP(N$2,行为概览!$D$3:$M$33,10,0)*IF(玩法行为规划!M124&gt;0,1,0))</f>
        <v/>
      </c>
      <c r="O124" s="7" t="str">
        <f>IF(VLOOKUP(O$2,行为概览!$D$3:$M$33,10,0)="","",VLOOKUP(O$2,行为概览!$D$3:$M$33,10,0)*IF(玩法行为规划!N124&gt;0,1,0))</f>
        <v/>
      </c>
      <c r="P124" s="7" t="str">
        <f>IF(VLOOKUP(P$2,行为概览!$D$3:$M$33,10,0)="","",VLOOKUP(P$2,行为概览!$D$3:$M$33,10,0)*IF(玩法行为规划!O124&gt;0,1,0))</f>
        <v/>
      </c>
      <c r="Q124" s="7">
        <f>IF(VLOOKUP(Q$2,行为概览!$D$3:$M$33,10,0)="","",VLOOKUP(Q$2,行为概览!$D$3:$M$33,10,0)*IF(玩法行为规划!P124&gt;0,1,0))</f>
        <v>10</v>
      </c>
      <c r="R124" s="7" t="str">
        <f>IF(VLOOKUP(R$2,行为概览!$D$3:$M$33,10,0)="","",VLOOKUP(R$2,行为概览!$D$3:$M$33,10,0)*IF(玩法行为规划!Q124&gt;0,1,0))</f>
        <v/>
      </c>
      <c r="S124" s="7">
        <f>IF(VLOOKUP(S$2,行为概览!$D$3:$M$33,10,0)="","",VLOOKUP(S$2,行为概览!$D$3:$M$33,10,0)*IF(玩法行为规划!R124&gt;0,1,0))</f>
        <v>3</v>
      </c>
      <c r="T124" s="7" t="str">
        <f>IF(VLOOKUP(T$2,行为概览!$D$3:$M$33,10,0)="","",VLOOKUP(T$2,行为概览!$D$3:$M$33,10,0)*IF(玩法行为规划!S124&gt;0,1,0))</f>
        <v/>
      </c>
      <c r="U124" s="7" t="str">
        <f>IF(VLOOKUP(U$2,行为概览!$D$3:$M$33,10,0)="","",VLOOKUP(U$2,行为概览!$D$3:$M$33,10,0)*IF(玩法行为规划!T124&gt;0,1,0))</f>
        <v/>
      </c>
      <c r="V124" s="7">
        <f>IF(VLOOKUP(V$2,行为概览!$D$3:$M$33,10,0)="","",VLOOKUP(V$2,行为概览!$D$3:$M$33,10,0)*IF(玩法行为规划!U124&gt;0,1,0))</f>
        <v>4</v>
      </c>
      <c r="W124" s="7" t="str">
        <f>IF(VLOOKUP(W$2,行为概览!$D$3:$M$33,10,0)="","",VLOOKUP(W$2,行为概览!$D$3:$M$33,10,0)*IF(玩法行为规划!V124&gt;0,1,0))</f>
        <v/>
      </c>
      <c r="X124" s="7" t="str">
        <f>IF(VLOOKUP(X$2,行为概览!$D$3:$M$33,10,0)="","",VLOOKUP(X$2,行为概览!$D$3:$M$33,10,0)*IF(玩法行为规划!W124&gt;0,1,0))</f>
        <v/>
      </c>
      <c r="Y124" s="7" t="str">
        <f>IF(VLOOKUP(Y$2,行为概览!$D$3:$M$33,10,0)="","",VLOOKUP(Y$2,行为概览!$D$3:$M$33,10,0)*IF(玩法行为规划!X124&gt;0,1,0))</f>
        <v/>
      </c>
      <c r="Z124" s="7">
        <f>IF(VLOOKUP(Z$2,行为概览!$D$3:$M$33,10,0)="","",VLOOKUP(Z$2,行为概览!$D$3:$M$33,10,0)*IF(玩法行为规划!Y124&gt;0,1,0))</f>
        <v>10</v>
      </c>
      <c r="AA124" s="7" t="str">
        <f>IF(VLOOKUP(AA$2,行为概览!$D$3:$M$33,10,0)="","",VLOOKUP(AA$2,行为概览!$D$3:$M$33,10,0)*IF(玩法行为规划!Z124&gt;0,1,0))</f>
        <v/>
      </c>
      <c r="AB124" s="7" t="str">
        <f>IF(VLOOKUP(AB$2,行为概览!$D$3:$M$33,10,0)="","",VLOOKUP(AB$2,行为概览!$D$3:$M$33,10,0)*IF(玩法行为规划!AA124&gt;0,1,0))</f>
        <v/>
      </c>
      <c r="AC124" s="7" t="str">
        <f>IF(VLOOKUP(AC$2,行为概览!$D$3:$M$33,10,0)="","",VLOOKUP(AC$2,行为概览!$D$3:$M$33,10,0)*IF(玩法行为规划!AB124&gt;0,1,0))</f>
        <v/>
      </c>
      <c r="AD124" s="7" t="str">
        <f>IF(VLOOKUP(AD$2,行为概览!$D$3:$M$33,10,0)="","",VLOOKUP(AD$2,行为概览!$D$3:$M$33,10,0)*IF(玩法行为规划!AC124&gt;0,1,0))</f>
        <v/>
      </c>
      <c r="AE124" s="7" t="str">
        <f>IF(VLOOKUP(AE$2,行为概览!$D$3:$M$33,10,0)="","",VLOOKUP(AE$2,行为概览!$D$3:$M$33,10,0)*IF(玩法行为规划!AD124&gt;0,1,0))</f>
        <v/>
      </c>
      <c r="AF124" s="7">
        <f>IF(VLOOKUP(AF$2,行为概览!$D$3:$M$33,10,0)="","",VLOOKUP(AF$2,行为概览!$D$3:$M$33,10,0)*IF(玩法行为规划!AE124&gt;0,1,0))</f>
        <v>20</v>
      </c>
      <c r="AG124" s="7">
        <f t="shared" si="11"/>
        <v>80</v>
      </c>
      <c r="AH124" s="7">
        <f t="shared" si="12"/>
        <v>9760</v>
      </c>
      <c r="AI124" s="7">
        <v>0</v>
      </c>
      <c r="AJ124" s="21" t="str">
        <f t="shared" si="13"/>
        <v/>
      </c>
      <c r="AK124" s="7">
        <f t="shared" si="9"/>
        <v>9760</v>
      </c>
      <c r="AL124" s="7">
        <f>SUM($AK$3:AK124)</f>
        <v>568375</v>
      </c>
    </row>
    <row r="125" spans="1:38">
      <c r="A125" s="32">
        <v>123</v>
      </c>
      <c r="B125" s="87">
        <f>升级节奏!F125</f>
        <v>123</v>
      </c>
      <c r="C125" s="7">
        <f>IF(VLOOKUP(C$2,行为概览!$D$3:$M$33,10,0)="","",VLOOKUP(C$2,行为概览!$D$3:$M$33,10,0)*IF(玩法行为规划!B125&gt;0,1,0))</f>
        <v>8</v>
      </c>
      <c r="D125" s="7" t="str">
        <f>IF(VLOOKUP(D$2,行为概览!$D$3:$M$33,10,0)="","",VLOOKUP(D$2,行为概览!$D$3:$M$33,10,0)*IF(玩法行为规划!C125&gt;0,1,0))</f>
        <v/>
      </c>
      <c r="E125" s="7" t="str">
        <f>IF(VLOOKUP(E$2,行为概览!$D$3:$M$33,10,0)="","",VLOOKUP(E$2,行为概览!$D$3:$M$33,10,0)*IF(玩法行为规划!D125&gt;0,1,0))</f>
        <v/>
      </c>
      <c r="F125" s="7">
        <f>IF(VLOOKUP(F$2,行为概览!$D$3:$M$33,10,0)="","",VLOOKUP(F$2,行为概览!$D$3:$M$33,10,0)*IF(玩法行为规划!E125&gt;0,1,0))</f>
        <v>10</v>
      </c>
      <c r="G125" s="7" t="str">
        <f>IF(VLOOKUP(G$2,行为概览!$D$3:$M$33,10,0)="","",VLOOKUP(G$2,行为概览!$D$3:$M$33,10,0)*IF(玩法行为规划!F125&gt;0,1,0))</f>
        <v/>
      </c>
      <c r="H125" s="7" t="str">
        <f>IF(VLOOKUP(H$2,行为概览!$D$3:$M$33,10,0)="","",VLOOKUP(H$2,行为概览!$D$3:$M$33,10,0)*IF(玩法行为规划!G125&gt;0,1,0))</f>
        <v/>
      </c>
      <c r="I125" s="7" t="str">
        <f>IF(VLOOKUP(I$2,行为概览!$D$3:$M$33,10,0)="","",VLOOKUP(I$2,行为概览!$D$3:$M$33,10,0)*IF(玩法行为规划!H125&gt;0,1,0))</f>
        <v/>
      </c>
      <c r="J125" s="7" t="str">
        <f>IF(VLOOKUP(J$2,行为概览!$D$3:$M$33,10,0)="","",VLOOKUP(J$2,行为概览!$D$3:$M$33,10,0)*IF(玩法行为规划!I125&gt;0,1,0))</f>
        <v/>
      </c>
      <c r="K125" s="7">
        <f>IF(VLOOKUP(K$2,行为概览!$D$3:$M$33,10,0)="","",VLOOKUP(K$2,行为概览!$D$3:$M$33,10,0)*IF(玩法行为规划!J125&gt;0,1,0))</f>
        <v>10</v>
      </c>
      <c r="L125" s="7">
        <f>IF(VLOOKUP(L$2,行为概览!$D$3:$M$33,10,0)="","",VLOOKUP(L$2,行为概览!$D$3:$M$33,10,0)*IF(玩法行为规划!K125&gt;0,1,0))</f>
        <v>5</v>
      </c>
      <c r="M125" s="7" t="str">
        <f>IF(VLOOKUP(M$2,行为概览!$D$3:$M$33,10,0)="","",VLOOKUP(M$2,行为概览!$D$3:$M$33,10,0)*IF(玩法行为规划!L125&gt;0,1,0))</f>
        <v/>
      </c>
      <c r="N125" s="7" t="str">
        <f>IF(VLOOKUP(N$2,行为概览!$D$3:$M$33,10,0)="","",VLOOKUP(N$2,行为概览!$D$3:$M$33,10,0)*IF(玩法行为规划!M125&gt;0,1,0))</f>
        <v/>
      </c>
      <c r="O125" s="7" t="str">
        <f>IF(VLOOKUP(O$2,行为概览!$D$3:$M$33,10,0)="","",VLOOKUP(O$2,行为概览!$D$3:$M$33,10,0)*IF(玩法行为规划!N125&gt;0,1,0))</f>
        <v/>
      </c>
      <c r="P125" s="7" t="str">
        <f>IF(VLOOKUP(P$2,行为概览!$D$3:$M$33,10,0)="","",VLOOKUP(P$2,行为概览!$D$3:$M$33,10,0)*IF(玩法行为规划!O125&gt;0,1,0))</f>
        <v/>
      </c>
      <c r="Q125" s="7">
        <f>IF(VLOOKUP(Q$2,行为概览!$D$3:$M$33,10,0)="","",VLOOKUP(Q$2,行为概览!$D$3:$M$33,10,0)*IF(玩法行为规划!P125&gt;0,1,0))</f>
        <v>10</v>
      </c>
      <c r="R125" s="7" t="str">
        <f>IF(VLOOKUP(R$2,行为概览!$D$3:$M$33,10,0)="","",VLOOKUP(R$2,行为概览!$D$3:$M$33,10,0)*IF(玩法行为规划!Q125&gt;0,1,0))</f>
        <v/>
      </c>
      <c r="S125" s="7">
        <f>IF(VLOOKUP(S$2,行为概览!$D$3:$M$33,10,0)="","",VLOOKUP(S$2,行为概览!$D$3:$M$33,10,0)*IF(玩法行为规划!R125&gt;0,1,0))</f>
        <v>3</v>
      </c>
      <c r="T125" s="7" t="str">
        <f>IF(VLOOKUP(T$2,行为概览!$D$3:$M$33,10,0)="","",VLOOKUP(T$2,行为概览!$D$3:$M$33,10,0)*IF(玩法行为规划!S125&gt;0,1,0))</f>
        <v/>
      </c>
      <c r="U125" s="7" t="str">
        <f>IF(VLOOKUP(U$2,行为概览!$D$3:$M$33,10,0)="","",VLOOKUP(U$2,行为概览!$D$3:$M$33,10,0)*IF(玩法行为规划!T125&gt;0,1,0))</f>
        <v/>
      </c>
      <c r="V125" s="7">
        <f>IF(VLOOKUP(V$2,行为概览!$D$3:$M$33,10,0)="","",VLOOKUP(V$2,行为概览!$D$3:$M$33,10,0)*IF(玩法行为规划!U125&gt;0,1,0))</f>
        <v>4</v>
      </c>
      <c r="W125" s="7" t="str">
        <f>IF(VLOOKUP(W$2,行为概览!$D$3:$M$33,10,0)="","",VLOOKUP(W$2,行为概览!$D$3:$M$33,10,0)*IF(玩法行为规划!V125&gt;0,1,0))</f>
        <v/>
      </c>
      <c r="X125" s="7" t="str">
        <f>IF(VLOOKUP(X$2,行为概览!$D$3:$M$33,10,0)="","",VLOOKUP(X$2,行为概览!$D$3:$M$33,10,0)*IF(玩法行为规划!W125&gt;0,1,0))</f>
        <v/>
      </c>
      <c r="Y125" s="7" t="str">
        <f>IF(VLOOKUP(Y$2,行为概览!$D$3:$M$33,10,0)="","",VLOOKUP(Y$2,行为概览!$D$3:$M$33,10,0)*IF(玩法行为规划!X125&gt;0,1,0))</f>
        <v/>
      </c>
      <c r="Z125" s="7">
        <f>IF(VLOOKUP(Z$2,行为概览!$D$3:$M$33,10,0)="","",VLOOKUP(Z$2,行为概览!$D$3:$M$33,10,0)*IF(玩法行为规划!Y125&gt;0,1,0))</f>
        <v>10</v>
      </c>
      <c r="AA125" s="7" t="str">
        <f>IF(VLOOKUP(AA$2,行为概览!$D$3:$M$33,10,0)="","",VLOOKUP(AA$2,行为概览!$D$3:$M$33,10,0)*IF(玩法行为规划!Z125&gt;0,1,0))</f>
        <v/>
      </c>
      <c r="AB125" s="7" t="str">
        <f>IF(VLOOKUP(AB$2,行为概览!$D$3:$M$33,10,0)="","",VLOOKUP(AB$2,行为概览!$D$3:$M$33,10,0)*IF(玩法行为规划!AA125&gt;0,1,0))</f>
        <v/>
      </c>
      <c r="AC125" s="7" t="str">
        <f>IF(VLOOKUP(AC$2,行为概览!$D$3:$M$33,10,0)="","",VLOOKUP(AC$2,行为概览!$D$3:$M$33,10,0)*IF(玩法行为规划!AB125&gt;0,1,0))</f>
        <v/>
      </c>
      <c r="AD125" s="7" t="str">
        <f>IF(VLOOKUP(AD$2,行为概览!$D$3:$M$33,10,0)="","",VLOOKUP(AD$2,行为概览!$D$3:$M$33,10,0)*IF(玩法行为规划!AC125&gt;0,1,0))</f>
        <v/>
      </c>
      <c r="AE125" s="7" t="str">
        <f>IF(VLOOKUP(AE$2,行为概览!$D$3:$M$33,10,0)="","",VLOOKUP(AE$2,行为概览!$D$3:$M$33,10,0)*IF(玩法行为规划!AD125&gt;0,1,0))</f>
        <v/>
      </c>
      <c r="AF125" s="7">
        <f>IF(VLOOKUP(AF$2,行为概览!$D$3:$M$33,10,0)="","",VLOOKUP(AF$2,行为概览!$D$3:$M$33,10,0)*IF(玩法行为规划!AE125&gt;0,1,0))</f>
        <v>20</v>
      </c>
      <c r="AG125" s="7">
        <f t="shared" si="11"/>
        <v>80</v>
      </c>
      <c r="AH125" s="7">
        <f t="shared" si="12"/>
        <v>9840</v>
      </c>
      <c r="AI125" s="7">
        <v>0</v>
      </c>
      <c r="AJ125" s="21" t="str">
        <f t="shared" si="13"/>
        <v/>
      </c>
      <c r="AK125" s="7">
        <f t="shared" si="9"/>
        <v>9840</v>
      </c>
      <c r="AL125" s="7">
        <f>SUM($AK$3:AK125)</f>
        <v>578215</v>
      </c>
    </row>
    <row r="126" spans="1:38">
      <c r="A126" s="32">
        <v>124</v>
      </c>
      <c r="B126" s="87">
        <f>升级节奏!F126</f>
        <v>124</v>
      </c>
      <c r="C126" s="7">
        <f>IF(VLOOKUP(C$2,行为概览!$D$3:$M$33,10,0)="","",VLOOKUP(C$2,行为概览!$D$3:$M$33,10,0)*IF(玩法行为规划!B126&gt;0,1,0))</f>
        <v>8</v>
      </c>
      <c r="D126" s="7" t="str">
        <f>IF(VLOOKUP(D$2,行为概览!$D$3:$M$33,10,0)="","",VLOOKUP(D$2,行为概览!$D$3:$M$33,10,0)*IF(玩法行为规划!C126&gt;0,1,0))</f>
        <v/>
      </c>
      <c r="E126" s="7" t="str">
        <f>IF(VLOOKUP(E$2,行为概览!$D$3:$M$33,10,0)="","",VLOOKUP(E$2,行为概览!$D$3:$M$33,10,0)*IF(玩法行为规划!D126&gt;0,1,0))</f>
        <v/>
      </c>
      <c r="F126" s="7">
        <f>IF(VLOOKUP(F$2,行为概览!$D$3:$M$33,10,0)="","",VLOOKUP(F$2,行为概览!$D$3:$M$33,10,0)*IF(玩法行为规划!E126&gt;0,1,0))</f>
        <v>10</v>
      </c>
      <c r="G126" s="7" t="str">
        <f>IF(VLOOKUP(G$2,行为概览!$D$3:$M$33,10,0)="","",VLOOKUP(G$2,行为概览!$D$3:$M$33,10,0)*IF(玩法行为规划!F126&gt;0,1,0))</f>
        <v/>
      </c>
      <c r="H126" s="7" t="str">
        <f>IF(VLOOKUP(H$2,行为概览!$D$3:$M$33,10,0)="","",VLOOKUP(H$2,行为概览!$D$3:$M$33,10,0)*IF(玩法行为规划!G126&gt;0,1,0))</f>
        <v/>
      </c>
      <c r="I126" s="7" t="str">
        <f>IF(VLOOKUP(I$2,行为概览!$D$3:$M$33,10,0)="","",VLOOKUP(I$2,行为概览!$D$3:$M$33,10,0)*IF(玩法行为规划!H126&gt;0,1,0))</f>
        <v/>
      </c>
      <c r="J126" s="7" t="str">
        <f>IF(VLOOKUP(J$2,行为概览!$D$3:$M$33,10,0)="","",VLOOKUP(J$2,行为概览!$D$3:$M$33,10,0)*IF(玩法行为规划!I126&gt;0,1,0))</f>
        <v/>
      </c>
      <c r="K126" s="7">
        <f>IF(VLOOKUP(K$2,行为概览!$D$3:$M$33,10,0)="","",VLOOKUP(K$2,行为概览!$D$3:$M$33,10,0)*IF(玩法行为规划!J126&gt;0,1,0))</f>
        <v>10</v>
      </c>
      <c r="L126" s="7">
        <f>IF(VLOOKUP(L$2,行为概览!$D$3:$M$33,10,0)="","",VLOOKUP(L$2,行为概览!$D$3:$M$33,10,0)*IF(玩法行为规划!K126&gt;0,1,0))</f>
        <v>5</v>
      </c>
      <c r="M126" s="7" t="str">
        <f>IF(VLOOKUP(M$2,行为概览!$D$3:$M$33,10,0)="","",VLOOKUP(M$2,行为概览!$D$3:$M$33,10,0)*IF(玩法行为规划!L126&gt;0,1,0))</f>
        <v/>
      </c>
      <c r="N126" s="7" t="str">
        <f>IF(VLOOKUP(N$2,行为概览!$D$3:$M$33,10,0)="","",VLOOKUP(N$2,行为概览!$D$3:$M$33,10,0)*IF(玩法行为规划!M126&gt;0,1,0))</f>
        <v/>
      </c>
      <c r="O126" s="7" t="str">
        <f>IF(VLOOKUP(O$2,行为概览!$D$3:$M$33,10,0)="","",VLOOKUP(O$2,行为概览!$D$3:$M$33,10,0)*IF(玩法行为规划!N126&gt;0,1,0))</f>
        <v/>
      </c>
      <c r="P126" s="7" t="str">
        <f>IF(VLOOKUP(P$2,行为概览!$D$3:$M$33,10,0)="","",VLOOKUP(P$2,行为概览!$D$3:$M$33,10,0)*IF(玩法行为规划!O126&gt;0,1,0))</f>
        <v/>
      </c>
      <c r="Q126" s="7">
        <f>IF(VLOOKUP(Q$2,行为概览!$D$3:$M$33,10,0)="","",VLOOKUP(Q$2,行为概览!$D$3:$M$33,10,0)*IF(玩法行为规划!P126&gt;0,1,0))</f>
        <v>10</v>
      </c>
      <c r="R126" s="7" t="str">
        <f>IF(VLOOKUP(R$2,行为概览!$D$3:$M$33,10,0)="","",VLOOKUP(R$2,行为概览!$D$3:$M$33,10,0)*IF(玩法行为规划!Q126&gt;0,1,0))</f>
        <v/>
      </c>
      <c r="S126" s="7">
        <f>IF(VLOOKUP(S$2,行为概览!$D$3:$M$33,10,0)="","",VLOOKUP(S$2,行为概览!$D$3:$M$33,10,0)*IF(玩法行为规划!R126&gt;0,1,0))</f>
        <v>3</v>
      </c>
      <c r="T126" s="7" t="str">
        <f>IF(VLOOKUP(T$2,行为概览!$D$3:$M$33,10,0)="","",VLOOKUP(T$2,行为概览!$D$3:$M$33,10,0)*IF(玩法行为规划!S126&gt;0,1,0))</f>
        <v/>
      </c>
      <c r="U126" s="7" t="str">
        <f>IF(VLOOKUP(U$2,行为概览!$D$3:$M$33,10,0)="","",VLOOKUP(U$2,行为概览!$D$3:$M$33,10,0)*IF(玩法行为规划!T126&gt;0,1,0))</f>
        <v/>
      </c>
      <c r="V126" s="7">
        <f>IF(VLOOKUP(V$2,行为概览!$D$3:$M$33,10,0)="","",VLOOKUP(V$2,行为概览!$D$3:$M$33,10,0)*IF(玩法行为规划!U126&gt;0,1,0))</f>
        <v>4</v>
      </c>
      <c r="W126" s="7" t="str">
        <f>IF(VLOOKUP(W$2,行为概览!$D$3:$M$33,10,0)="","",VLOOKUP(W$2,行为概览!$D$3:$M$33,10,0)*IF(玩法行为规划!V126&gt;0,1,0))</f>
        <v/>
      </c>
      <c r="X126" s="7" t="str">
        <f>IF(VLOOKUP(X$2,行为概览!$D$3:$M$33,10,0)="","",VLOOKUP(X$2,行为概览!$D$3:$M$33,10,0)*IF(玩法行为规划!W126&gt;0,1,0))</f>
        <v/>
      </c>
      <c r="Y126" s="7" t="str">
        <f>IF(VLOOKUP(Y$2,行为概览!$D$3:$M$33,10,0)="","",VLOOKUP(Y$2,行为概览!$D$3:$M$33,10,0)*IF(玩法行为规划!X126&gt;0,1,0))</f>
        <v/>
      </c>
      <c r="Z126" s="7">
        <f>IF(VLOOKUP(Z$2,行为概览!$D$3:$M$33,10,0)="","",VLOOKUP(Z$2,行为概览!$D$3:$M$33,10,0)*IF(玩法行为规划!Y126&gt;0,1,0))</f>
        <v>10</v>
      </c>
      <c r="AA126" s="7" t="str">
        <f>IF(VLOOKUP(AA$2,行为概览!$D$3:$M$33,10,0)="","",VLOOKUP(AA$2,行为概览!$D$3:$M$33,10,0)*IF(玩法行为规划!Z126&gt;0,1,0))</f>
        <v/>
      </c>
      <c r="AB126" s="7" t="str">
        <f>IF(VLOOKUP(AB$2,行为概览!$D$3:$M$33,10,0)="","",VLOOKUP(AB$2,行为概览!$D$3:$M$33,10,0)*IF(玩法行为规划!AA126&gt;0,1,0))</f>
        <v/>
      </c>
      <c r="AC126" s="7" t="str">
        <f>IF(VLOOKUP(AC$2,行为概览!$D$3:$M$33,10,0)="","",VLOOKUP(AC$2,行为概览!$D$3:$M$33,10,0)*IF(玩法行为规划!AB126&gt;0,1,0))</f>
        <v/>
      </c>
      <c r="AD126" s="7" t="str">
        <f>IF(VLOOKUP(AD$2,行为概览!$D$3:$M$33,10,0)="","",VLOOKUP(AD$2,行为概览!$D$3:$M$33,10,0)*IF(玩法行为规划!AC126&gt;0,1,0))</f>
        <v/>
      </c>
      <c r="AE126" s="7" t="str">
        <f>IF(VLOOKUP(AE$2,行为概览!$D$3:$M$33,10,0)="","",VLOOKUP(AE$2,行为概览!$D$3:$M$33,10,0)*IF(玩法行为规划!AD126&gt;0,1,0))</f>
        <v/>
      </c>
      <c r="AF126" s="7">
        <f>IF(VLOOKUP(AF$2,行为概览!$D$3:$M$33,10,0)="","",VLOOKUP(AF$2,行为概览!$D$3:$M$33,10,0)*IF(玩法行为规划!AE126&gt;0,1,0))</f>
        <v>20</v>
      </c>
      <c r="AG126" s="7">
        <f t="shared" si="11"/>
        <v>80</v>
      </c>
      <c r="AH126" s="7">
        <f t="shared" si="12"/>
        <v>9920</v>
      </c>
      <c r="AI126" s="7">
        <v>0</v>
      </c>
      <c r="AJ126" s="21" t="str">
        <f t="shared" si="13"/>
        <v/>
      </c>
      <c r="AK126" s="7">
        <f t="shared" si="9"/>
        <v>9920</v>
      </c>
      <c r="AL126" s="7">
        <f>SUM($AK$3:AK126)</f>
        <v>588135</v>
      </c>
    </row>
    <row r="127" spans="1:38">
      <c r="A127" s="32">
        <v>125</v>
      </c>
      <c r="B127" s="87">
        <f>升级节奏!F127</f>
        <v>125</v>
      </c>
      <c r="C127" s="7">
        <f>IF(VLOOKUP(C$2,行为概览!$D$3:$M$33,10,0)="","",VLOOKUP(C$2,行为概览!$D$3:$M$33,10,0)*IF(玩法行为规划!B127&gt;0,1,0))</f>
        <v>8</v>
      </c>
      <c r="D127" s="7" t="str">
        <f>IF(VLOOKUP(D$2,行为概览!$D$3:$M$33,10,0)="","",VLOOKUP(D$2,行为概览!$D$3:$M$33,10,0)*IF(玩法行为规划!C127&gt;0,1,0))</f>
        <v/>
      </c>
      <c r="E127" s="7" t="str">
        <f>IF(VLOOKUP(E$2,行为概览!$D$3:$M$33,10,0)="","",VLOOKUP(E$2,行为概览!$D$3:$M$33,10,0)*IF(玩法行为规划!D127&gt;0,1,0))</f>
        <v/>
      </c>
      <c r="F127" s="7">
        <f>IF(VLOOKUP(F$2,行为概览!$D$3:$M$33,10,0)="","",VLOOKUP(F$2,行为概览!$D$3:$M$33,10,0)*IF(玩法行为规划!E127&gt;0,1,0))</f>
        <v>10</v>
      </c>
      <c r="G127" s="7" t="str">
        <f>IF(VLOOKUP(G$2,行为概览!$D$3:$M$33,10,0)="","",VLOOKUP(G$2,行为概览!$D$3:$M$33,10,0)*IF(玩法行为规划!F127&gt;0,1,0))</f>
        <v/>
      </c>
      <c r="H127" s="7" t="str">
        <f>IF(VLOOKUP(H$2,行为概览!$D$3:$M$33,10,0)="","",VLOOKUP(H$2,行为概览!$D$3:$M$33,10,0)*IF(玩法行为规划!G127&gt;0,1,0))</f>
        <v/>
      </c>
      <c r="I127" s="7" t="str">
        <f>IF(VLOOKUP(I$2,行为概览!$D$3:$M$33,10,0)="","",VLOOKUP(I$2,行为概览!$D$3:$M$33,10,0)*IF(玩法行为规划!H127&gt;0,1,0))</f>
        <v/>
      </c>
      <c r="J127" s="7" t="str">
        <f>IF(VLOOKUP(J$2,行为概览!$D$3:$M$33,10,0)="","",VLOOKUP(J$2,行为概览!$D$3:$M$33,10,0)*IF(玩法行为规划!I127&gt;0,1,0))</f>
        <v/>
      </c>
      <c r="K127" s="7">
        <f>IF(VLOOKUP(K$2,行为概览!$D$3:$M$33,10,0)="","",VLOOKUP(K$2,行为概览!$D$3:$M$33,10,0)*IF(玩法行为规划!J127&gt;0,1,0))</f>
        <v>10</v>
      </c>
      <c r="L127" s="7">
        <f>IF(VLOOKUP(L$2,行为概览!$D$3:$M$33,10,0)="","",VLOOKUP(L$2,行为概览!$D$3:$M$33,10,0)*IF(玩法行为规划!K127&gt;0,1,0))</f>
        <v>5</v>
      </c>
      <c r="M127" s="7" t="str">
        <f>IF(VLOOKUP(M$2,行为概览!$D$3:$M$33,10,0)="","",VLOOKUP(M$2,行为概览!$D$3:$M$33,10,0)*IF(玩法行为规划!L127&gt;0,1,0))</f>
        <v/>
      </c>
      <c r="N127" s="7" t="str">
        <f>IF(VLOOKUP(N$2,行为概览!$D$3:$M$33,10,0)="","",VLOOKUP(N$2,行为概览!$D$3:$M$33,10,0)*IF(玩法行为规划!M127&gt;0,1,0))</f>
        <v/>
      </c>
      <c r="O127" s="7" t="str">
        <f>IF(VLOOKUP(O$2,行为概览!$D$3:$M$33,10,0)="","",VLOOKUP(O$2,行为概览!$D$3:$M$33,10,0)*IF(玩法行为规划!N127&gt;0,1,0))</f>
        <v/>
      </c>
      <c r="P127" s="7" t="str">
        <f>IF(VLOOKUP(P$2,行为概览!$D$3:$M$33,10,0)="","",VLOOKUP(P$2,行为概览!$D$3:$M$33,10,0)*IF(玩法行为规划!O127&gt;0,1,0))</f>
        <v/>
      </c>
      <c r="Q127" s="7">
        <f>IF(VLOOKUP(Q$2,行为概览!$D$3:$M$33,10,0)="","",VLOOKUP(Q$2,行为概览!$D$3:$M$33,10,0)*IF(玩法行为规划!P127&gt;0,1,0))</f>
        <v>10</v>
      </c>
      <c r="R127" s="7" t="str">
        <f>IF(VLOOKUP(R$2,行为概览!$D$3:$M$33,10,0)="","",VLOOKUP(R$2,行为概览!$D$3:$M$33,10,0)*IF(玩法行为规划!Q127&gt;0,1,0))</f>
        <v/>
      </c>
      <c r="S127" s="7">
        <f>IF(VLOOKUP(S$2,行为概览!$D$3:$M$33,10,0)="","",VLOOKUP(S$2,行为概览!$D$3:$M$33,10,0)*IF(玩法行为规划!R127&gt;0,1,0))</f>
        <v>3</v>
      </c>
      <c r="T127" s="7" t="str">
        <f>IF(VLOOKUP(T$2,行为概览!$D$3:$M$33,10,0)="","",VLOOKUP(T$2,行为概览!$D$3:$M$33,10,0)*IF(玩法行为规划!S127&gt;0,1,0))</f>
        <v/>
      </c>
      <c r="U127" s="7" t="str">
        <f>IF(VLOOKUP(U$2,行为概览!$D$3:$M$33,10,0)="","",VLOOKUP(U$2,行为概览!$D$3:$M$33,10,0)*IF(玩法行为规划!T127&gt;0,1,0))</f>
        <v/>
      </c>
      <c r="V127" s="7">
        <f>IF(VLOOKUP(V$2,行为概览!$D$3:$M$33,10,0)="","",VLOOKUP(V$2,行为概览!$D$3:$M$33,10,0)*IF(玩法行为规划!U127&gt;0,1,0))</f>
        <v>4</v>
      </c>
      <c r="W127" s="7" t="str">
        <f>IF(VLOOKUP(W$2,行为概览!$D$3:$M$33,10,0)="","",VLOOKUP(W$2,行为概览!$D$3:$M$33,10,0)*IF(玩法行为规划!V127&gt;0,1,0))</f>
        <v/>
      </c>
      <c r="X127" s="7" t="str">
        <f>IF(VLOOKUP(X$2,行为概览!$D$3:$M$33,10,0)="","",VLOOKUP(X$2,行为概览!$D$3:$M$33,10,0)*IF(玩法行为规划!W127&gt;0,1,0))</f>
        <v/>
      </c>
      <c r="Y127" s="7" t="str">
        <f>IF(VLOOKUP(Y$2,行为概览!$D$3:$M$33,10,0)="","",VLOOKUP(Y$2,行为概览!$D$3:$M$33,10,0)*IF(玩法行为规划!X127&gt;0,1,0))</f>
        <v/>
      </c>
      <c r="Z127" s="7">
        <f>IF(VLOOKUP(Z$2,行为概览!$D$3:$M$33,10,0)="","",VLOOKUP(Z$2,行为概览!$D$3:$M$33,10,0)*IF(玩法行为规划!Y127&gt;0,1,0))</f>
        <v>10</v>
      </c>
      <c r="AA127" s="7" t="str">
        <f>IF(VLOOKUP(AA$2,行为概览!$D$3:$M$33,10,0)="","",VLOOKUP(AA$2,行为概览!$D$3:$M$33,10,0)*IF(玩法行为规划!Z127&gt;0,1,0))</f>
        <v/>
      </c>
      <c r="AB127" s="7" t="str">
        <f>IF(VLOOKUP(AB$2,行为概览!$D$3:$M$33,10,0)="","",VLOOKUP(AB$2,行为概览!$D$3:$M$33,10,0)*IF(玩法行为规划!AA127&gt;0,1,0))</f>
        <v/>
      </c>
      <c r="AC127" s="7" t="str">
        <f>IF(VLOOKUP(AC$2,行为概览!$D$3:$M$33,10,0)="","",VLOOKUP(AC$2,行为概览!$D$3:$M$33,10,0)*IF(玩法行为规划!AB127&gt;0,1,0))</f>
        <v/>
      </c>
      <c r="AD127" s="7" t="str">
        <f>IF(VLOOKUP(AD$2,行为概览!$D$3:$M$33,10,0)="","",VLOOKUP(AD$2,行为概览!$D$3:$M$33,10,0)*IF(玩法行为规划!AC127&gt;0,1,0))</f>
        <v/>
      </c>
      <c r="AE127" s="7" t="str">
        <f>IF(VLOOKUP(AE$2,行为概览!$D$3:$M$33,10,0)="","",VLOOKUP(AE$2,行为概览!$D$3:$M$33,10,0)*IF(玩法行为规划!AD127&gt;0,1,0))</f>
        <v/>
      </c>
      <c r="AF127" s="7">
        <f>IF(VLOOKUP(AF$2,行为概览!$D$3:$M$33,10,0)="","",VLOOKUP(AF$2,行为概览!$D$3:$M$33,10,0)*IF(玩法行为规划!AE127&gt;0,1,0))</f>
        <v>20</v>
      </c>
      <c r="AG127" s="7">
        <f t="shared" si="11"/>
        <v>80</v>
      </c>
      <c r="AH127" s="7">
        <f t="shared" si="12"/>
        <v>10000</v>
      </c>
      <c r="AI127" s="7">
        <v>0</v>
      </c>
      <c r="AJ127" s="21" t="str">
        <f t="shared" si="13"/>
        <v/>
      </c>
      <c r="AK127" s="7">
        <f t="shared" si="9"/>
        <v>10000</v>
      </c>
      <c r="AL127" s="7">
        <f>SUM($AK$3:AK127)</f>
        <v>598135</v>
      </c>
    </row>
    <row r="128" spans="1:38">
      <c r="A128" s="32">
        <v>126</v>
      </c>
      <c r="B128" s="87">
        <f>升级节奏!F128</f>
        <v>126</v>
      </c>
      <c r="C128" s="7">
        <f>IF(VLOOKUP(C$2,行为概览!$D$3:$M$33,10,0)="","",VLOOKUP(C$2,行为概览!$D$3:$M$33,10,0)*IF(玩法行为规划!B128&gt;0,1,0))</f>
        <v>8</v>
      </c>
      <c r="D128" s="7" t="str">
        <f>IF(VLOOKUP(D$2,行为概览!$D$3:$M$33,10,0)="","",VLOOKUP(D$2,行为概览!$D$3:$M$33,10,0)*IF(玩法行为规划!C128&gt;0,1,0))</f>
        <v/>
      </c>
      <c r="E128" s="7" t="str">
        <f>IF(VLOOKUP(E$2,行为概览!$D$3:$M$33,10,0)="","",VLOOKUP(E$2,行为概览!$D$3:$M$33,10,0)*IF(玩法行为规划!D128&gt;0,1,0))</f>
        <v/>
      </c>
      <c r="F128" s="7">
        <f>IF(VLOOKUP(F$2,行为概览!$D$3:$M$33,10,0)="","",VLOOKUP(F$2,行为概览!$D$3:$M$33,10,0)*IF(玩法行为规划!E128&gt;0,1,0))</f>
        <v>10</v>
      </c>
      <c r="G128" s="7" t="str">
        <f>IF(VLOOKUP(G$2,行为概览!$D$3:$M$33,10,0)="","",VLOOKUP(G$2,行为概览!$D$3:$M$33,10,0)*IF(玩法行为规划!F128&gt;0,1,0))</f>
        <v/>
      </c>
      <c r="H128" s="7" t="str">
        <f>IF(VLOOKUP(H$2,行为概览!$D$3:$M$33,10,0)="","",VLOOKUP(H$2,行为概览!$D$3:$M$33,10,0)*IF(玩法行为规划!G128&gt;0,1,0))</f>
        <v/>
      </c>
      <c r="I128" s="7" t="str">
        <f>IF(VLOOKUP(I$2,行为概览!$D$3:$M$33,10,0)="","",VLOOKUP(I$2,行为概览!$D$3:$M$33,10,0)*IF(玩法行为规划!H128&gt;0,1,0))</f>
        <v/>
      </c>
      <c r="J128" s="7" t="str">
        <f>IF(VLOOKUP(J$2,行为概览!$D$3:$M$33,10,0)="","",VLOOKUP(J$2,行为概览!$D$3:$M$33,10,0)*IF(玩法行为规划!I128&gt;0,1,0))</f>
        <v/>
      </c>
      <c r="K128" s="7">
        <f>IF(VLOOKUP(K$2,行为概览!$D$3:$M$33,10,0)="","",VLOOKUP(K$2,行为概览!$D$3:$M$33,10,0)*IF(玩法行为规划!J128&gt;0,1,0))</f>
        <v>10</v>
      </c>
      <c r="L128" s="7">
        <f>IF(VLOOKUP(L$2,行为概览!$D$3:$M$33,10,0)="","",VLOOKUP(L$2,行为概览!$D$3:$M$33,10,0)*IF(玩法行为规划!K128&gt;0,1,0))</f>
        <v>5</v>
      </c>
      <c r="M128" s="7" t="str">
        <f>IF(VLOOKUP(M$2,行为概览!$D$3:$M$33,10,0)="","",VLOOKUP(M$2,行为概览!$D$3:$M$33,10,0)*IF(玩法行为规划!L128&gt;0,1,0))</f>
        <v/>
      </c>
      <c r="N128" s="7" t="str">
        <f>IF(VLOOKUP(N$2,行为概览!$D$3:$M$33,10,0)="","",VLOOKUP(N$2,行为概览!$D$3:$M$33,10,0)*IF(玩法行为规划!M128&gt;0,1,0))</f>
        <v/>
      </c>
      <c r="O128" s="7" t="str">
        <f>IF(VLOOKUP(O$2,行为概览!$D$3:$M$33,10,0)="","",VLOOKUP(O$2,行为概览!$D$3:$M$33,10,0)*IF(玩法行为规划!N128&gt;0,1,0))</f>
        <v/>
      </c>
      <c r="P128" s="7" t="str">
        <f>IF(VLOOKUP(P$2,行为概览!$D$3:$M$33,10,0)="","",VLOOKUP(P$2,行为概览!$D$3:$M$33,10,0)*IF(玩法行为规划!O128&gt;0,1,0))</f>
        <v/>
      </c>
      <c r="Q128" s="7">
        <f>IF(VLOOKUP(Q$2,行为概览!$D$3:$M$33,10,0)="","",VLOOKUP(Q$2,行为概览!$D$3:$M$33,10,0)*IF(玩法行为规划!P128&gt;0,1,0))</f>
        <v>10</v>
      </c>
      <c r="R128" s="7" t="str">
        <f>IF(VLOOKUP(R$2,行为概览!$D$3:$M$33,10,0)="","",VLOOKUP(R$2,行为概览!$D$3:$M$33,10,0)*IF(玩法行为规划!Q128&gt;0,1,0))</f>
        <v/>
      </c>
      <c r="S128" s="7">
        <f>IF(VLOOKUP(S$2,行为概览!$D$3:$M$33,10,0)="","",VLOOKUP(S$2,行为概览!$D$3:$M$33,10,0)*IF(玩法行为规划!R128&gt;0,1,0))</f>
        <v>3</v>
      </c>
      <c r="T128" s="7" t="str">
        <f>IF(VLOOKUP(T$2,行为概览!$D$3:$M$33,10,0)="","",VLOOKUP(T$2,行为概览!$D$3:$M$33,10,0)*IF(玩法行为规划!S128&gt;0,1,0))</f>
        <v/>
      </c>
      <c r="U128" s="7" t="str">
        <f>IF(VLOOKUP(U$2,行为概览!$D$3:$M$33,10,0)="","",VLOOKUP(U$2,行为概览!$D$3:$M$33,10,0)*IF(玩法行为规划!T128&gt;0,1,0))</f>
        <v/>
      </c>
      <c r="V128" s="7">
        <f>IF(VLOOKUP(V$2,行为概览!$D$3:$M$33,10,0)="","",VLOOKUP(V$2,行为概览!$D$3:$M$33,10,0)*IF(玩法行为规划!U128&gt;0,1,0))</f>
        <v>4</v>
      </c>
      <c r="W128" s="7" t="str">
        <f>IF(VLOOKUP(W$2,行为概览!$D$3:$M$33,10,0)="","",VLOOKUP(W$2,行为概览!$D$3:$M$33,10,0)*IF(玩法行为规划!V128&gt;0,1,0))</f>
        <v/>
      </c>
      <c r="X128" s="7" t="str">
        <f>IF(VLOOKUP(X$2,行为概览!$D$3:$M$33,10,0)="","",VLOOKUP(X$2,行为概览!$D$3:$M$33,10,0)*IF(玩法行为规划!W128&gt;0,1,0))</f>
        <v/>
      </c>
      <c r="Y128" s="7" t="str">
        <f>IF(VLOOKUP(Y$2,行为概览!$D$3:$M$33,10,0)="","",VLOOKUP(Y$2,行为概览!$D$3:$M$33,10,0)*IF(玩法行为规划!X128&gt;0,1,0))</f>
        <v/>
      </c>
      <c r="Z128" s="7">
        <f>IF(VLOOKUP(Z$2,行为概览!$D$3:$M$33,10,0)="","",VLOOKUP(Z$2,行为概览!$D$3:$M$33,10,0)*IF(玩法行为规划!Y128&gt;0,1,0))</f>
        <v>10</v>
      </c>
      <c r="AA128" s="7" t="str">
        <f>IF(VLOOKUP(AA$2,行为概览!$D$3:$M$33,10,0)="","",VLOOKUP(AA$2,行为概览!$D$3:$M$33,10,0)*IF(玩法行为规划!Z128&gt;0,1,0))</f>
        <v/>
      </c>
      <c r="AB128" s="7" t="str">
        <f>IF(VLOOKUP(AB$2,行为概览!$D$3:$M$33,10,0)="","",VLOOKUP(AB$2,行为概览!$D$3:$M$33,10,0)*IF(玩法行为规划!AA128&gt;0,1,0))</f>
        <v/>
      </c>
      <c r="AC128" s="7" t="str">
        <f>IF(VLOOKUP(AC$2,行为概览!$D$3:$M$33,10,0)="","",VLOOKUP(AC$2,行为概览!$D$3:$M$33,10,0)*IF(玩法行为规划!AB128&gt;0,1,0))</f>
        <v/>
      </c>
      <c r="AD128" s="7" t="str">
        <f>IF(VLOOKUP(AD$2,行为概览!$D$3:$M$33,10,0)="","",VLOOKUP(AD$2,行为概览!$D$3:$M$33,10,0)*IF(玩法行为规划!AC128&gt;0,1,0))</f>
        <v/>
      </c>
      <c r="AE128" s="7" t="str">
        <f>IF(VLOOKUP(AE$2,行为概览!$D$3:$M$33,10,0)="","",VLOOKUP(AE$2,行为概览!$D$3:$M$33,10,0)*IF(玩法行为规划!AD128&gt;0,1,0))</f>
        <v/>
      </c>
      <c r="AF128" s="7">
        <f>IF(VLOOKUP(AF$2,行为概览!$D$3:$M$33,10,0)="","",VLOOKUP(AF$2,行为概览!$D$3:$M$33,10,0)*IF(玩法行为规划!AE128&gt;0,1,0))</f>
        <v>20</v>
      </c>
      <c r="AG128" s="7">
        <f t="shared" si="11"/>
        <v>80</v>
      </c>
      <c r="AH128" s="7">
        <f t="shared" si="12"/>
        <v>10080</v>
      </c>
      <c r="AI128" s="7">
        <v>0</v>
      </c>
      <c r="AJ128" s="21" t="str">
        <f t="shared" si="13"/>
        <v/>
      </c>
      <c r="AK128" s="7">
        <f t="shared" si="9"/>
        <v>10080</v>
      </c>
      <c r="AL128" s="7">
        <f>SUM($AK$3:AK128)</f>
        <v>608215</v>
      </c>
    </row>
    <row r="129" spans="1:38">
      <c r="A129" s="32">
        <v>127</v>
      </c>
      <c r="B129" s="87">
        <f>升级节奏!F129</f>
        <v>127</v>
      </c>
      <c r="C129" s="7">
        <f>IF(VLOOKUP(C$2,行为概览!$D$3:$M$33,10,0)="","",VLOOKUP(C$2,行为概览!$D$3:$M$33,10,0)*IF(玩法行为规划!B129&gt;0,1,0))</f>
        <v>8</v>
      </c>
      <c r="D129" s="7" t="str">
        <f>IF(VLOOKUP(D$2,行为概览!$D$3:$M$33,10,0)="","",VLOOKUP(D$2,行为概览!$D$3:$M$33,10,0)*IF(玩法行为规划!C129&gt;0,1,0))</f>
        <v/>
      </c>
      <c r="E129" s="7" t="str">
        <f>IF(VLOOKUP(E$2,行为概览!$D$3:$M$33,10,0)="","",VLOOKUP(E$2,行为概览!$D$3:$M$33,10,0)*IF(玩法行为规划!D129&gt;0,1,0))</f>
        <v/>
      </c>
      <c r="F129" s="7">
        <f>IF(VLOOKUP(F$2,行为概览!$D$3:$M$33,10,0)="","",VLOOKUP(F$2,行为概览!$D$3:$M$33,10,0)*IF(玩法行为规划!E129&gt;0,1,0))</f>
        <v>10</v>
      </c>
      <c r="G129" s="7" t="str">
        <f>IF(VLOOKUP(G$2,行为概览!$D$3:$M$33,10,0)="","",VLOOKUP(G$2,行为概览!$D$3:$M$33,10,0)*IF(玩法行为规划!F129&gt;0,1,0))</f>
        <v/>
      </c>
      <c r="H129" s="7" t="str">
        <f>IF(VLOOKUP(H$2,行为概览!$D$3:$M$33,10,0)="","",VLOOKUP(H$2,行为概览!$D$3:$M$33,10,0)*IF(玩法行为规划!G129&gt;0,1,0))</f>
        <v/>
      </c>
      <c r="I129" s="7" t="str">
        <f>IF(VLOOKUP(I$2,行为概览!$D$3:$M$33,10,0)="","",VLOOKUP(I$2,行为概览!$D$3:$M$33,10,0)*IF(玩法行为规划!H129&gt;0,1,0))</f>
        <v/>
      </c>
      <c r="J129" s="7" t="str">
        <f>IF(VLOOKUP(J$2,行为概览!$D$3:$M$33,10,0)="","",VLOOKUP(J$2,行为概览!$D$3:$M$33,10,0)*IF(玩法行为规划!I129&gt;0,1,0))</f>
        <v/>
      </c>
      <c r="K129" s="7">
        <f>IF(VLOOKUP(K$2,行为概览!$D$3:$M$33,10,0)="","",VLOOKUP(K$2,行为概览!$D$3:$M$33,10,0)*IF(玩法行为规划!J129&gt;0,1,0))</f>
        <v>10</v>
      </c>
      <c r="L129" s="7">
        <f>IF(VLOOKUP(L$2,行为概览!$D$3:$M$33,10,0)="","",VLOOKUP(L$2,行为概览!$D$3:$M$33,10,0)*IF(玩法行为规划!K129&gt;0,1,0))</f>
        <v>5</v>
      </c>
      <c r="M129" s="7" t="str">
        <f>IF(VLOOKUP(M$2,行为概览!$D$3:$M$33,10,0)="","",VLOOKUP(M$2,行为概览!$D$3:$M$33,10,0)*IF(玩法行为规划!L129&gt;0,1,0))</f>
        <v/>
      </c>
      <c r="N129" s="7" t="str">
        <f>IF(VLOOKUP(N$2,行为概览!$D$3:$M$33,10,0)="","",VLOOKUP(N$2,行为概览!$D$3:$M$33,10,0)*IF(玩法行为规划!M129&gt;0,1,0))</f>
        <v/>
      </c>
      <c r="O129" s="7" t="str">
        <f>IF(VLOOKUP(O$2,行为概览!$D$3:$M$33,10,0)="","",VLOOKUP(O$2,行为概览!$D$3:$M$33,10,0)*IF(玩法行为规划!N129&gt;0,1,0))</f>
        <v/>
      </c>
      <c r="P129" s="7" t="str">
        <f>IF(VLOOKUP(P$2,行为概览!$D$3:$M$33,10,0)="","",VLOOKUP(P$2,行为概览!$D$3:$M$33,10,0)*IF(玩法行为规划!O129&gt;0,1,0))</f>
        <v/>
      </c>
      <c r="Q129" s="7">
        <f>IF(VLOOKUP(Q$2,行为概览!$D$3:$M$33,10,0)="","",VLOOKUP(Q$2,行为概览!$D$3:$M$33,10,0)*IF(玩法行为规划!P129&gt;0,1,0))</f>
        <v>10</v>
      </c>
      <c r="R129" s="7" t="str">
        <f>IF(VLOOKUP(R$2,行为概览!$D$3:$M$33,10,0)="","",VLOOKUP(R$2,行为概览!$D$3:$M$33,10,0)*IF(玩法行为规划!Q129&gt;0,1,0))</f>
        <v/>
      </c>
      <c r="S129" s="7">
        <f>IF(VLOOKUP(S$2,行为概览!$D$3:$M$33,10,0)="","",VLOOKUP(S$2,行为概览!$D$3:$M$33,10,0)*IF(玩法行为规划!R129&gt;0,1,0))</f>
        <v>3</v>
      </c>
      <c r="T129" s="7" t="str">
        <f>IF(VLOOKUP(T$2,行为概览!$D$3:$M$33,10,0)="","",VLOOKUP(T$2,行为概览!$D$3:$M$33,10,0)*IF(玩法行为规划!S129&gt;0,1,0))</f>
        <v/>
      </c>
      <c r="U129" s="7" t="str">
        <f>IF(VLOOKUP(U$2,行为概览!$D$3:$M$33,10,0)="","",VLOOKUP(U$2,行为概览!$D$3:$M$33,10,0)*IF(玩法行为规划!T129&gt;0,1,0))</f>
        <v/>
      </c>
      <c r="V129" s="7">
        <f>IF(VLOOKUP(V$2,行为概览!$D$3:$M$33,10,0)="","",VLOOKUP(V$2,行为概览!$D$3:$M$33,10,0)*IF(玩法行为规划!U129&gt;0,1,0))</f>
        <v>4</v>
      </c>
      <c r="W129" s="7" t="str">
        <f>IF(VLOOKUP(W$2,行为概览!$D$3:$M$33,10,0)="","",VLOOKUP(W$2,行为概览!$D$3:$M$33,10,0)*IF(玩法行为规划!V129&gt;0,1,0))</f>
        <v/>
      </c>
      <c r="X129" s="7" t="str">
        <f>IF(VLOOKUP(X$2,行为概览!$D$3:$M$33,10,0)="","",VLOOKUP(X$2,行为概览!$D$3:$M$33,10,0)*IF(玩法行为规划!W129&gt;0,1,0))</f>
        <v/>
      </c>
      <c r="Y129" s="7" t="str">
        <f>IF(VLOOKUP(Y$2,行为概览!$D$3:$M$33,10,0)="","",VLOOKUP(Y$2,行为概览!$D$3:$M$33,10,0)*IF(玩法行为规划!X129&gt;0,1,0))</f>
        <v/>
      </c>
      <c r="Z129" s="7">
        <f>IF(VLOOKUP(Z$2,行为概览!$D$3:$M$33,10,0)="","",VLOOKUP(Z$2,行为概览!$D$3:$M$33,10,0)*IF(玩法行为规划!Y129&gt;0,1,0))</f>
        <v>10</v>
      </c>
      <c r="AA129" s="7" t="str">
        <f>IF(VLOOKUP(AA$2,行为概览!$D$3:$M$33,10,0)="","",VLOOKUP(AA$2,行为概览!$D$3:$M$33,10,0)*IF(玩法行为规划!Z129&gt;0,1,0))</f>
        <v/>
      </c>
      <c r="AB129" s="7" t="str">
        <f>IF(VLOOKUP(AB$2,行为概览!$D$3:$M$33,10,0)="","",VLOOKUP(AB$2,行为概览!$D$3:$M$33,10,0)*IF(玩法行为规划!AA129&gt;0,1,0))</f>
        <v/>
      </c>
      <c r="AC129" s="7" t="str">
        <f>IF(VLOOKUP(AC$2,行为概览!$D$3:$M$33,10,0)="","",VLOOKUP(AC$2,行为概览!$D$3:$M$33,10,0)*IF(玩法行为规划!AB129&gt;0,1,0))</f>
        <v/>
      </c>
      <c r="AD129" s="7" t="str">
        <f>IF(VLOOKUP(AD$2,行为概览!$D$3:$M$33,10,0)="","",VLOOKUP(AD$2,行为概览!$D$3:$M$33,10,0)*IF(玩法行为规划!AC129&gt;0,1,0))</f>
        <v/>
      </c>
      <c r="AE129" s="7" t="str">
        <f>IF(VLOOKUP(AE$2,行为概览!$D$3:$M$33,10,0)="","",VLOOKUP(AE$2,行为概览!$D$3:$M$33,10,0)*IF(玩法行为规划!AD129&gt;0,1,0))</f>
        <v/>
      </c>
      <c r="AF129" s="7">
        <f>IF(VLOOKUP(AF$2,行为概览!$D$3:$M$33,10,0)="","",VLOOKUP(AF$2,行为概览!$D$3:$M$33,10,0)*IF(玩法行为规划!AE129&gt;0,1,0))</f>
        <v>20</v>
      </c>
      <c r="AG129" s="7">
        <f t="shared" si="11"/>
        <v>80</v>
      </c>
      <c r="AH129" s="7">
        <f t="shared" si="12"/>
        <v>10160</v>
      </c>
      <c r="AI129" s="7">
        <v>0</v>
      </c>
      <c r="AJ129" s="21" t="str">
        <f t="shared" si="13"/>
        <v/>
      </c>
      <c r="AK129" s="7">
        <f t="shared" si="9"/>
        <v>10160</v>
      </c>
      <c r="AL129" s="7">
        <f>SUM($AK$3:AK129)</f>
        <v>618375</v>
      </c>
    </row>
    <row r="130" spans="1:38">
      <c r="A130" s="32">
        <v>128</v>
      </c>
      <c r="B130" s="87">
        <f>升级节奏!F130</f>
        <v>128</v>
      </c>
      <c r="C130" s="7">
        <f>IF(VLOOKUP(C$2,行为概览!$D$3:$M$33,10,0)="","",VLOOKUP(C$2,行为概览!$D$3:$M$33,10,0)*IF(玩法行为规划!B130&gt;0,1,0))</f>
        <v>8</v>
      </c>
      <c r="D130" s="7" t="str">
        <f>IF(VLOOKUP(D$2,行为概览!$D$3:$M$33,10,0)="","",VLOOKUP(D$2,行为概览!$D$3:$M$33,10,0)*IF(玩法行为规划!C130&gt;0,1,0))</f>
        <v/>
      </c>
      <c r="E130" s="7" t="str">
        <f>IF(VLOOKUP(E$2,行为概览!$D$3:$M$33,10,0)="","",VLOOKUP(E$2,行为概览!$D$3:$M$33,10,0)*IF(玩法行为规划!D130&gt;0,1,0))</f>
        <v/>
      </c>
      <c r="F130" s="7">
        <f>IF(VLOOKUP(F$2,行为概览!$D$3:$M$33,10,0)="","",VLOOKUP(F$2,行为概览!$D$3:$M$33,10,0)*IF(玩法行为规划!E130&gt;0,1,0))</f>
        <v>10</v>
      </c>
      <c r="G130" s="7" t="str">
        <f>IF(VLOOKUP(G$2,行为概览!$D$3:$M$33,10,0)="","",VLOOKUP(G$2,行为概览!$D$3:$M$33,10,0)*IF(玩法行为规划!F130&gt;0,1,0))</f>
        <v/>
      </c>
      <c r="H130" s="7" t="str">
        <f>IF(VLOOKUP(H$2,行为概览!$D$3:$M$33,10,0)="","",VLOOKUP(H$2,行为概览!$D$3:$M$33,10,0)*IF(玩法行为规划!G130&gt;0,1,0))</f>
        <v/>
      </c>
      <c r="I130" s="7" t="str">
        <f>IF(VLOOKUP(I$2,行为概览!$D$3:$M$33,10,0)="","",VLOOKUP(I$2,行为概览!$D$3:$M$33,10,0)*IF(玩法行为规划!H130&gt;0,1,0))</f>
        <v/>
      </c>
      <c r="J130" s="7" t="str">
        <f>IF(VLOOKUP(J$2,行为概览!$D$3:$M$33,10,0)="","",VLOOKUP(J$2,行为概览!$D$3:$M$33,10,0)*IF(玩法行为规划!I130&gt;0,1,0))</f>
        <v/>
      </c>
      <c r="K130" s="7">
        <f>IF(VLOOKUP(K$2,行为概览!$D$3:$M$33,10,0)="","",VLOOKUP(K$2,行为概览!$D$3:$M$33,10,0)*IF(玩法行为规划!J130&gt;0,1,0))</f>
        <v>10</v>
      </c>
      <c r="L130" s="7">
        <f>IF(VLOOKUP(L$2,行为概览!$D$3:$M$33,10,0)="","",VLOOKUP(L$2,行为概览!$D$3:$M$33,10,0)*IF(玩法行为规划!K130&gt;0,1,0))</f>
        <v>5</v>
      </c>
      <c r="M130" s="7" t="str">
        <f>IF(VLOOKUP(M$2,行为概览!$D$3:$M$33,10,0)="","",VLOOKUP(M$2,行为概览!$D$3:$M$33,10,0)*IF(玩法行为规划!L130&gt;0,1,0))</f>
        <v/>
      </c>
      <c r="N130" s="7" t="str">
        <f>IF(VLOOKUP(N$2,行为概览!$D$3:$M$33,10,0)="","",VLOOKUP(N$2,行为概览!$D$3:$M$33,10,0)*IF(玩法行为规划!M130&gt;0,1,0))</f>
        <v/>
      </c>
      <c r="O130" s="7" t="str">
        <f>IF(VLOOKUP(O$2,行为概览!$D$3:$M$33,10,0)="","",VLOOKUP(O$2,行为概览!$D$3:$M$33,10,0)*IF(玩法行为规划!N130&gt;0,1,0))</f>
        <v/>
      </c>
      <c r="P130" s="7" t="str">
        <f>IF(VLOOKUP(P$2,行为概览!$D$3:$M$33,10,0)="","",VLOOKUP(P$2,行为概览!$D$3:$M$33,10,0)*IF(玩法行为规划!O130&gt;0,1,0))</f>
        <v/>
      </c>
      <c r="Q130" s="7">
        <f>IF(VLOOKUP(Q$2,行为概览!$D$3:$M$33,10,0)="","",VLOOKUP(Q$2,行为概览!$D$3:$M$33,10,0)*IF(玩法行为规划!P130&gt;0,1,0))</f>
        <v>10</v>
      </c>
      <c r="R130" s="7" t="str">
        <f>IF(VLOOKUP(R$2,行为概览!$D$3:$M$33,10,0)="","",VLOOKUP(R$2,行为概览!$D$3:$M$33,10,0)*IF(玩法行为规划!Q130&gt;0,1,0))</f>
        <v/>
      </c>
      <c r="S130" s="7">
        <f>IF(VLOOKUP(S$2,行为概览!$D$3:$M$33,10,0)="","",VLOOKUP(S$2,行为概览!$D$3:$M$33,10,0)*IF(玩法行为规划!R130&gt;0,1,0))</f>
        <v>3</v>
      </c>
      <c r="T130" s="7" t="str">
        <f>IF(VLOOKUP(T$2,行为概览!$D$3:$M$33,10,0)="","",VLOOKUP(T$2,行为概览!$D$3:$M$33,10,0)*IF(玩法行为规划!S130&gt;0,1,0))</f>
        <v/>
      </c>
      <c r="U130" s="7" t="str">
        <f>IF(VLOOKUP(U$2,行为概览!$D$3:$M$33,10,0)="","",VLOOKUP(U$2,行为概览!$D$3:$M$33,10,0)*IF(玩法行为规划!T130&gt;0,1,0))</f>
        <v/>
      </c>
      <c r="V130" s="7">
        <f>IF(VLOOKUP(V$2,行为概览!$D$3:$M$33,10,0)="","",VLOOKUP(V$2,行为概览!$D$3:$M$33,10,0)*IF(玩法行为规划!U130&gt;0,1,0))</f>
        <v>4</v>
      </c>
      <c r="W130" s="7" t="str">
        <f>IF(VLOOKUP(W$2,行为概览!$D$3:$M$33,10,0)="","",VLOOKUP(W$2,行为概览!$D$3:$M$33,10,0)*IF(玩法行为规划!V130&gt;0,1,0))</f>
        <v/>
      </c>
      <c r="X130" s="7" t="str">
        <f>IF(VLOOKUP(X$2,行为概览!$D$3:$M$33,10,0)="","",VLOOKUP(X$2,行为概览!$D$3:$M$33,10,0)*IF(玩法行为规划!W130&gt;0,1,0))</f>
        <v/>
      </c>
      <c r="Y130" s="7" t="str">
        <f>IF(VLOOKUP(Y$2,行为概览!$D$3:$M$33,10,0)="","",VLOOKUP(Y$2,行为概览!$D$3:$M$33,10,0)*IF(玩法行为规划!X130&gt;0,1,0))</f>
        <v/>
      </c>
      <c r="Z130" s="7">
        <f>IF(VLOOKUP(Z$2,行为概览!$D$3:$M$33,10,0)="","",VLOOKUP(Z$2,行为概览!$D$3:$M$33,10,0)*IF(玩法行为规划!Y130&gt;0,1,0))</f>
        <v>10</v>
      </c>
      <c r="AA130" s="7" t="str">
        <f>IF(VLOOKUP(AA$2,行为概览!$D$3:$M$33,10,0)="","",VLOOKUP(AA$2,行为概览!$D$3:$M$33,10,0)*IF(玩法行为规划!Z130&gt;0,1,0))</f>
        <v/>
      </c>
      <c r="AB130" s="7" t="str">
        <f>IF(VLOOKUP(AB$2,行为概览!$D$3:$M$33,10,0)="","",VLOOKUP(AB$2,行为概览!$D$3:$M$33,10,0)*IF(玩法行为规划!AA130&gt;0,1,0))</f>
        <v/>
      </c>
      <c r="AC130" s="7" t="str">
        <f>IF(VLOOKUP(AC$2,行为概览!$D$3:$M$33,10,0)="","",VLOOKUP(AC$2,行为概览!$D$3:$M$33,10,0)*IF(玩法行为规划!AB130&gt;0,1,0))</f>
        <v/>
      </c>
      <c r="AD130" s="7" t="str">
        <f>IF(VLOOKUP(AD$2,行为概览!$D$3:$M$33,10,0)="","",VLOOKUP(AD$2,行为概览!$D$3:$M$33,10,0)*IF(玩法行为规划!AC130&gt;0,1,0))</f>
        <v/>
      </c>
      <c r="AE130" s="7" t="str">
        <f>IF(VLOOKUP(AE$2,行为概览!$D$3:$M$33,10,0)="","",VLOOKUP(AE$2,行为概览!$D$3:$M$33,10,0)*IF(玩法行为规划!AD130&gt;0,1,0))</f>
        <v/>
      </c>
      <c r="AF130" s="7">
        <f>IF(VLOOKUP(AF$2,行为概览!$D$3:$M$33,10,0)="","",VLOOKUP(AF$2,行为概览!$D$3:$M$33,10,0)*IF(玩法行为规划!AE130&gt;0,1,0))</f>
        <v>20</v>
      </c>
      <c r="AG130" s="7">
        <f t="shared" si="11"/>
        <v>80</v>
      </c>
      <c r="AH130" s="7">
        <f t="shared" si="12"/>
        <v>10240</v>
      </c>
      <c r="AI130" s="7">
        <v>0</v>
      </c>
      <c r="AJ130" s="21" t="str">
        <f t="shared" si="13"/>
        <v/>
      </c>
      <c r="AK130" s="7">
        <f t="shared" si="9"/>
        <v>10240</v>
      </c>
      <c r="AL130" s="7">
        <f>SUM($AK$3:AK130)</f>
        <v>628615</v>
      </c>
    </row>
    <row r="131" spans="1:38">
      <c r="A131" s="32">
        <v>129</v>
      </c>
      <c r="B131" s="87">
        <f>升级节奏!F131</f>
        <v>129</v>
      </c>
      <c r="C131" s="7">
        <f>IF(VLOOKUP(C$2,行为概览!$D$3:$M$33,10,0)="","",VLOOKUP(C$2,行为概览!$D$3:$M$33,10,0)*IF(玩法行为规划!B131&gt;0,1,0))</f>
        <v>8</v>
      </c>
      <c r="D131" s="7" t="str">
        <f>IF(VLOOKUP(D$2,行为概览!$D$3:$M$33,10,0)="","",VLOOKUP(D$2,行为概览!$D$3:$M$33,10,0)*IF(玩法行为规划!C131&gt;0,1,0))</f>
        <v/>
      </c>
      <c r="E131" s="7" t="str">
        <f>IF(VLOOKUP(E$2,行为概览!$D$3:$M$33,10,0)="","",VLOOKUP(E$2,行为概览!$D$3:$M$33,10,0)*IF(玩法行为规划!D131&gt;0,1,0))</f>
        <v/>
      </c>
      <c r="F131" s="7">
        <f>IF(VLOOKUP(F$2,行为概览!$D$3:$M$33,10,0)="","",VLOOKUP(F$2,行为概览!$D$3:$M$33,10,0)*IF(玩法行为规划!E131&gt;0,1,0))</f>
        <v>10</v>
      </c>
      <c r="G131" s="7" t="str">
        <f>IF(VLOOKUP(G$2,行为概览!$D$3:$M$33,10,0)="","",VLOOKUP(G$2,行为概览!$D$3:$M$33,10,0)*IF(玩法行为规划!F131&gt;0,1,0))</f>
        <v/>
      </c>
      <c r="H131" s="7" t="str">
        <f>IF(VLOOKUP(H$2,行为概览!$D$3:$M$33,10,0)="","",VLOOKUP(H$2,行为概览!$D$3:$M$33,10,0)*IF(玩法行为规划!G131&gt;0,1,0))</f>
        <v/>
      </c>
      <c r="I131" s="7" t="str">
        <f>IF(VLOOKUP(I$2,行为概览!$D$3:$M$33,10,0)="","",VLOOKUP(I$2,行为概览!$D$3:$M$33,10,0)*IF(玩法行为规划!H131&gt;0,1,0))</f>
        <v/>
      </c>
      <c r="J131" s="7" t="str">
        <f>IF(VLOOKUP(J$2,行为概览!$D$3:$M$33,10,0)="","",VLOOKUP(J$2,行为概览!$D$3:$M$33,10,0)*IF(玩法行为规划!I131&gt;0,1,0))</f>
        <v/>
      </c>
      <c r="K131" s="7">
        <f>IF(VLOOKUP(K$2,行为概览!$D$3:$M$33,10,0)="","",VLOOKUP(K$2,行为概览!$D$3:$M$33,10,0)*IF(玩法行为规划!J131&gt;0,1,0))</f>
        <v>10</v>
      </c>
      <c r="L131" s="7">
        <f>IF(VLOOKUP(L$2,行为概览!$D$3:$M$33,10,0)="","",VLOOKUP(L$2,行为概览!$D$3:$M$33,10,0)*IF(玩法行为规划!K131&gt;0,1,0))</f>
        <v>5</v>
      </c>
      <c r="M131" s="7" t="str">
        <f>IF(VLOOKUP(M$2,行为概览!$D$3:$M$33,10,0)="","",VLOOKUP(M$2,行为概览!$D$3:$M$33,10,0)*IF(玩法行为规划!L131&gt;0,1,0))</f>
        <v/>
      </c>
      <c r="N131" s="7" t="str">
        <f>IF(VLOOKUP(N$2,行为概览!$D$3:$M$33,10,0)="","",VLOOKUP(N$2,行为概览!$D$3:$M$33,10,0)*IF(玩法行为规划!M131&gt;0,1,0))</f>
        <v/>
      </c>
      <c r="O131" s="7" t="str">
        <f>IF(VLOOKUP(O$2,行为概览!$D$3:$M$33,10,0)="","",VLOOKUP(O$2,行为概览!$D$3:$M$33,10,0)*IF(玩法行为规划!N131&gt;0,1,0))</f>
        <v/>
      </c>
      <c r="P131" s="7" t="str">
        <f>IF(VLOOKUP(P$2,行为概览!$D$3:$M$33,10,0)="","",VLOOKUP(P$2,行为概览!$D$3:$M$33,10,0)*IF(玩法行为规划!O131&gt;0,1,0))</f>
        <v/>
      </c>
      <c r="Q131" s="7">
        <f>IF(VLOOKUP(Q$2,行为概览!$D$3:$M$33,10,0)="","",VLOOKUP(Q$2,行为概览!$D$3:$M$33,10,0)*IF(玩法行为规划!P131&gt;0,1,0))</f>
        <v>10</v>
      </c>
      <c r="R131" s="7" t="str">
        <f>IF(VLOOKUP(R$2,行为概览!$D$3:$M$33,10,0)="","",VLOOKUP(R$2,行为概览!$D$3:$M$33,10,0)*IF(玩法行为规划!Q131&gt;0,1,0))</f>
        <v/>
      </c>
      <c r="S131" s="7">
        <f>IF(VLOOKUP(S$2,行为概览!$D$3:$M$33,10,0)="","",VLOOKUP(S$2,行为概览!$D$3:$M$33,10,0)*IF(玩法行为规划!R131&gt;0,1,0))</f>
        <v>3</v>
      </c>
      <c r="T131" s="7" t="str">
        <f>IF(VLOOKUP(T$2,行为概览!$D$3:$M$33,10,0)="","",VLOOKUP(T$2,行为概览!$D$3:$M$33,10,0)*IF(玩法行为规划!S131&gt;0,1,0))</f>
        <v/>
      </c>
      <c r="U131" s="7" t="str">
        <f>IF(VLOOKUP(U$2,行为概览!$D$3:$M$33,10,0)="","",VLOOKUP(U$2,行为概览!$D$3:$M$33,10,0)*IF(玩法行为规划!T131&gt;0,1,0))</f>
        <v/>
      </c>
      <c r="V131" s="7">
        <f>IF(VLOOKUP(V$2,行为概览!$D$3:$M$33,10,0)="","",VLOOKUP(V$2,行为概览!$D$3:$M$33,10,0)*IF(玩法行为规划!U131&gt;0,1,0))</f>
        <v>4</v>
      </c>
      <c r="W131" s="7" t="str">
        <f>IF(VLOOKUP(W$2,行为概览!$D$3:$M$33,10,0)="","",VLOOKUP(W$2,行为概览!$D$3:$M$33,10,0)*IF(玩法行为规划!V131&gt;0,1,0))</f>
        <v/>
      </c>
      <c r="X131" s="7" t="str">
        <f>IF(VLOOKUP(X$2,行为概览!$D$3:$M$33,10,0)="","",VLOOKUP(X$2,行为概览!$D$3:$M$33,10,0)*IF(玩法行为规划!W131&gt;0,1,0))</f>
        <v/>
      </c>
      <c r="Y131" s="7" t="str">
        <f>IF(VLOOKUP(Y$2,行为概览!$D$3:$M$33,10,0)="","",VLOOKUP(Y$2,行为概览!$D$3:$M$33,10,0)*IF(玩法行为规划!X131&gt;0,1,0))</f>
        <v/>
      </c>
      <c r="Z131" s="7">
        <f>IF(VLOOKUP(Z$2,行为概览!$D$3:$M$33,10,0)="","",VLOOKUP(Z$2,行为概览!$D$3:$M$33,10,0)*IF(玩法行为规划!Y131&gt;0,1,0))</f>
        <v>10</v>
      </c>
      <c r="AA131" s="7" t="str">
        <f>IF(VLOOKUP(AA$2,行为概览!$D$3:$M$33,10,0)="","",VLOOKUP(AA$2,行为概览!$D$3:$M$33,10,0)*IF(玩法行为规划!Z131&gt;0,1,0))</f>
        <v/>
      </c>
      <c r="AB131" s="7" t="str">
        <f>IF(VLOOKUP(AB$2,行为概览!$D$3:$M$33,10,0)="","",VLOOKUP(AB$2,行为概览!$D$3:$M$33,10,0)*IF(玩法行为规划!AA131&gt;0,1,0))</f>
        <v/>
      </c>
      <c r="AC131" s="7" t="str">
        <f>IF(VLOOKUP(AC$2,行为概览!$D$3:$M$33,10,0)="","",VLOOKUP(AC$2,行为概览!$D$3:$M$33,10,0)*IF(玩法行为规划!AB131&gt;0,1,0))</f>
        <v/>
      </c>
      <c r="AD131" s="7" t="str">
        <f>IF(VLOOKUP(AD$2,行为概览!$D$3:$M$33,10,0)="","",VLOOKUP(AD$2,行为概览!$D$3:$M$33,10,0)*IF(玩法行为规划!AC131&gt;0,1,0))</f>
        <v/>
      </c>
      <c r="AE131" s="7" t="str">
        <f>IF(VLOOKUP(AE$2,行为概览!$D$3:$M$33,10,0)="","",VLOOKUP(AE$2,行为概览!$D$3:$M$33,10,0)*IF(玩法行为规划!AD131&gt;0,1,0))</f>
        <v/>
      </c>
      <c r="AF131" s="7">
        <f>IF(VLOOKUP(AF$2,行为概览!$D$3:$M$33,10,0)="","",VLOOKUP(AF$2,行为概览!$D$3:$M$33,10,0)*IF(玩法行为规划!AE131&gt;0,1,0))</f>
        <v>20</v>
      </c>
      <c r="AG131" s="7">
        <f t="shared" ref="AG131:AG152" si="14">SUM(C131:AC131)+AF131</f>
        <v>80</v>
      </c>
      <c r="AH131" s="7">
        <f t="shared" ref="AH131:AH152" si="15">B131*AG131</f>
        <v>10320</v>
      </c>
      <c r="AI131" s="7">
        <v>0</v>
      </c>
      <c r="AJ131" s="21" t="str">
        <f t="shared" si="13"/>
        <v/>
      </c>
      <c r="AK131" s="7">
        <f t="shared" si="9"/>
        <v>10320</v>
      </c>
      <c r="AL131" s="7">
        <f>SUM($AK$3:AK131)</f>
        <v>638935</v>
      </c>
    </row>
    <row r="132" spans="1:38">
      <c r="A132" s="32">
        <v>130</v>
      </c>
      <c r="B132" s="87">
        <f>升级节奏!F132</f>
        <v>130</v>
      </c>
      <c r="C132" s="7">
        <f>IF(VLOOKUP(C$2,行为概览!$D$3:$M$33,10,0)="","",VLOOKUP(C$2,行为概览!$D$3:$M$33,10,0)*IF(玩法行为规划!B132&gt;0,1,0))</f>
        <v>8</v>
      </c>
      <c r="D132" s="7" t="str">
        <f>IF(VLOOKUP(D$2,行为概览!$D$3:$M$33,10,0)="","",VLOOKUP(D$2,行为概览!$D$3:$M$33,10,0)*IF(玩法行为规划!C132&gt;0,1,0))</f>
        <v/>
      </c>
      <c r="E132" s="7" t="str">
        <f>IF(VLOOKUP(E$2,行为概览!$D$3:$M$33,10,0)="","",VLOOKUP(E$2,行为概览!$D$3:$M$33,10,0)*IF(玩法行为规划!D132&gt;0,1,0))</f>
        <v/>
      </c>
      <c r="F132" s="7">
        <f>IF(VLOOKUP(F$2,行为概览!$D$3:$M$33,10,0)="","",VLOOKUP(F$2,行为概览!$D$3:$M$33,10,0)*IF(玩法行为规划!E132&gt;0,1,0))</f>
        <v>10</v>
      </c>
      <c r="G132" s="7" t="str">
        <f>IF(VLOOKUP(G$2,行为概览!$D$3:$M$33,10,0)="","",VLOOKUP(G$2,行为概览!$D$3:$M$33,10,0)*IF(玩法行为规划!F132&gt;0,1,0))</f>
        <v/>
      </c>
      <c r="H132" s="7" t="str">
        <f>IF(VLOOKUP(H$2,行为概览!$D$3:$M$33,10,0)="","",VLOOKUP(H$2,行为概览!$D$3:$M$33,10,0)*IF(玩法行为规划!G132&gt;0,1,0))</f>
        <v/>
      </c>
      <c r="I132" s="7" t="str">
        <f>IF(VLOOKUP(I$2,行为概览!$D$3:$M$33,10,0)="","",VLOOKUP(I$2,行为概览!$D$3:$M$33,10,0)*IF(玩法行为规划!H132&gt;0,1,0))</f>
        <v/>
      </c>
      <c r="J132" s="7" t="str">
        <f>IF(VLOOKUP(J$2,行为概览!$D$3:$M$33,10,0)="","",VLOOKUP(J$2,行为概览!$D$3:$M$33,10,0)*IF(玩法行为规划!I132&gt;0,1,0))</f>
        <v/>
      </c>
      <c r="K132" s="7">
        <f>IF(VLOOKUP(K$2,行为概览!$D$3:$M$33,10,0)="","",VLOOKUP(K$2,行为概览!$D$3:$M$33,10,0)*IF(玩法行为规划!J132&gt;0,1,0))</f>
        <v>10</v>
      </c>
      <c r="L132" s="7">
        <f>IF(VLOOKUP(L$2,行为概览!$D$3:$M$33,10,0)="","",VLOOKUP(L$2,行为概览!$D$3:$M$33,10,0)*IF(玩法行为规划!K132&gt;0,1,0))</f>
        <v>5</v>
      </c>
      <c r="M132" s="7" t="str">
        <f>IF(VLOOKUP(M$2,行为概览!$D$3:$M$33,10,0)="","",VLOOKUP(M$2,行为概览!$D$3:$M$33,10,0)*IF(玩法行为规划!L132&gt;0,1,0))</f>
        <v/>
      </c>
      <c r="N132" s="7" t="str">
        <f>IF(VLOOKUP(N$2,行为概览!$D$3:$M$33,10,0)="","",VLOOKUP(N$2,行为概览!$D$3:$M$33,10,0)*IF(玩法行为规划!M132&gt;0,1,0))</f>
        <v/>
      </c>
      <c r="O132" s="7" t="str">
        <f>IF(VLOOKUP(O$2,行为概览!$D$3:$M$33,10,0)="","",VLOOKUP(O$2,行为概览!$D$3:$M$33,10,0)*IF(玩法行为规划!N132&gt;0,1,0))</f>
        <v/>
      </c>
      <c r="P132" s="7" t="str">
        <f>IF(VLOOKUP(P$2,行为概览!$D$3:$M$33,10,0)="","",VLOOKUP(P$2,行为概览!$D$3:$M$33,10,0)*IF(玩法行为规划!O132&gt;0,1,0))</f>
        <v/>
      </c>
      <c r="Q132" s="7">
        <f>IF(VLOOKUP(Q$2,行为概览!$D$3:$M$33,10,0)="","",VLOOKUP(Q$2,行为概览!$D$3:$M$33,10,0)*IF(玩法行为规划!P132&gt;0,1,0))</f>
        <v>10</v>
      </c>
      <c r="R132" s="7" t="str">
        <f>IF(VLOOKUP(R$2,行为概览!$D$3:$M$33,10,0)="","",VLOOKUP(R$2,行为概览!$D$3:$M$33,10,0)*IF(玩法行为规划!Q132&gt;0,1,0))</f>
        <v/>
      </c>
      <c r="S132" s="7">
        <f>IF(VLOOKUP(S$2,行为概览!$D$3:$M$33,10,0)="","",VLOOKUP(S$2,行为概览!$D$3:$M$33,10,0)*IF(玩法行为规划!R132&gt;0,1,0))</f>
        <v>3</v>
      </c>
      <c r="T132" s="7" t="str">
        <f>IF(VLOOKUP(T$2,行为概览!$D$3:$M$33,10,0)="","",VLOOKUP(T$2,行为概览!$D$3:$M$33,10,0)*IF(玩法行为规划!S132&gt;0,1,0))</f>
        <v/>
      </c>
      <c r="U132" s="7" t="str">
        <f>IF(VLOOKUP(U$2,行为概览!$D$3:$M$33,10,0)="","",VLOOKUP(U$2,行为概览!$D$3:$M$33,10,0)*IF(玩法行为规划!T132&gt;0,1,0))</f>
        <v/>
      </c>
      <c r="V132" s="7">
        <f>IF(VLOOKUP(V$2,行为概览!$D$3:$M$33,10,0)="","",VLOOKUP(V$2,行为概览!$D$3:$M$33,10,0)*IF(玩法行为规划!U132&gt;0,1,0))</f>
        <v>4</v>
      </c>
      <c r="W132" s="7" t="str">
        <f>IF(VLOOKUP(W$2,行为概览!$D$3:$M$33,10,0)="","",VLOOKUP(W$2,行为概览!$D$3:$M$33,10,0)*IF(玩法行为规划!V132&gt;0,1,0))</f>
        <v/>
      </c>
      <c r="X132" s="7" t="str">
        <f>IF(VLOOKUP(X$2,行为概览!$D$3:$M$33,10,0)="","",VLOOKUP(X$2,行为概览!$D$3:$M$33,10,0)*IF(玩法行为规划!W132&gt;0,1,0))</f>
        <v/>
      </c>
      <c r="Y132" s="7" t="str">
        <f>IF(VLOOKUP(Y$2,行为概览!$D$3:$M$33,10,0)="","",VLOOKUP(Y$2,行为概览!$D$3:$M$33,10,0)*IF(玩法行为规划!X132&gt;0,1,0))</f>
        <v/>
      </c>
      <c r="Z132" s="7">
        <f>IF(VLOOKUP(Z$2,行为概览!$D$3:$M$33,10,0)="","",VLOOKUP(Z$2,行为概览!$D$3:$M$33,10,0)*IF(玩法行为规划!Y132&gt;0,1,0))</f>
        <v>10</v>
      </c>
      <c r="AA132" s="7" t="str">
        <f>IF(VLOOKUP(AA$2,行为概览!$D$3:$M$33,10,0)="","",VLOOKUP(AA$2,行为概览!$D$3:$M$33,10,0)*IF(玩法行为规划!Z132&gt;0,1,0))</f>
        <v/>
      </c>
      <c r="AB132" s="7" t="str">
        <f>IF(VLOOKUP(AB$2,行为概览!$D$3:$M$33,10,0)="","",VLOOKUP(AB$2,行为概览!$D$3:$M$33,10,0)*IF(玩法行为规划!AA132&gt;0,1,0))</f>
        <v/>
      </c>
      <c r="AC132" s="7" t="str">
        <f>IF(VLOOKUP(AC$2,行为概览!$D$3:$M$33,10,0)="","",VLOOKUP(AC$2,行为概览!$D$3:$M$33,10,0)*IF(玩法行为规划!AB132&gt;0,1,0))</f>
        <v/>
      </c>
      <c r="AD132" s="7" t="str">
        <f>IF(VLOOKUP(AD$2,行为概览!$D$3:$M$33,10,0)="","",VLOOKUP(AD$2,行为概览!$D$3:$M$33,10,0)*IF(玩法行为规划!AC132&gt;0,1,0))</f>
        <v/>
      </c>
      <c r="AE132" s="7" t="str">
        <f>IF(VLOOKUP(AE$2,行为概览!$D$3:$M$33,10,0)="","",VLOOKUP(AE$2,行为概览!$D$3:$M$33,10,0)*IF(玩法行为规划!AD132&gt;0,1,0))</f>
        <v/>
      </c>
      <c r="AF132" s="7">
        <f>IF(VLOOKUP(AF$2,行为概览!$D$3:$M$33,10,0)="","",VLOOKUP(AF$2,行为概览!$D$3:$M$33,10,0)*IF(玩法行为规划!AE132&gt;0,1,0))</f>
        <v>20</v>
      </c>
      <c r="AG132" s="7">
        <f t="shared" si="14"/>
        <v>80</v>
      </c>
      <c r="AH132" s="7">
        <f t="shared" si="15"/>
        <v>10400</v>
      </c>
      <c r="AI132" s="7">
        <v>0</v>
      </c>
      <c r="AJ132" s="21">
        <f t="shared" si="13"/>
        <v>0</v>
      </c>
      <c r="AK132" s="7">
        <f t="shared" ref="AK132:AK152" si="16">AH132+AI132</f>
        <v>10400</v>
      </c>
      <c r="AL132" s="7">
        <f>SUM($AK$3:AK132)</f>
        <v>649335</v>
      </c>
    </row>
    <row r="133" spans="1:38">
      <c r="A133" s="32">
        <v>131</v>
      </c>
      <c r="B133" s="87">
        <f>升级节奏!F133</f>
        <v>131</v>
      </c>
      <c r="C133" s="7">
        <f>IF(VLOOKUP(C$2,行为概览!$D$3:$M$33,10,0)="","",VLOOKUP(C$2,行为概览!$D$3:$M$33,10,0)*IF(玩法行为规划!B133&gt;0,1,0))</f>
        <v>8</v>
      </c>
      <c r="D133" s="7" t="str">
        <f>IF(VLOOKUP(D$2,行为概览!$D$3:$M$33,10,0)="","",VLOOKUP(D$2,行为概览!$D$3:$M$33,10,0)*IF(玩法行为规划!C133&gt;0,1,0))</f>
        <v/>
      </c>
      <c r="E133" s="7" t="str">
        <f>IF(VLOOKUP(E$2,行为概览!$D$3:$M$33,10,0)="","",VLOOKUP(E$2,行为概览!$D$3:$M$33,10,0)*IF(玩法行为规划!D133&gt;0,1,0))</f>
        <v/>
      </c>
      <c r="F133" s="7">
        <f>IF(VLOOKUP(F$2,行为概览!$D$3:$M$33,10,0)="","",VLOOKUP(F$2,行为概览!$D$3:$M$33,10,0)*IF(玩法行为规划!E133&gt;0,1,0))</f>
        <v>10</v>
      </c>
      <c r="G133" s="7" t="str">
        <f>IF(VLOOKUP(G$2,行为概览!$D$3:$M$33,10,0)="","",VLOOKUP(G$2,行为概览!$D$3:$M$33,10,0)*IF(玩法行为规划!F133&gt;0,1,0))</f>
        <v/>
      </c>
      <c r="H133" s="7" t="str">
        <f>IF(VLOOKUP(H$2,行为概览!$D$3:$M$33,10,0)="","",VLOOKUP(H$2,行为概览!$D$3:$M$33,10,0)*IF(玩法行为规划!G133&gt;0,1,0))</f>
        <v/>
      </c>
      <c r="I133" s="7" t="str">
        <f>IF(VLOOKUP(I$2,行为概览!$D$3:$M$33,10,0)="","",VLOOKUP(I$2,行为概览!$D$3:$M$33,10,0)*IF(玩法行为规划!H133&gt;0,1,0))</f>
        <v/>
      </c>
      <c r="J133" s="7" t="str">
        <f>IF(VLOOKUP(J$2,行为概览!$D$3:$M$33,10,0)="","",VLOOKUP(J$2,行为概览!$D$3:$M$33,10,0)*IF(玩法行为规划!I133&gt;0,1,0))</f>
        <v/>
      </c>
      <c r="K133" s="7">
        <f>IF(VLOOKUP(K$2,行为概览!$D$3:$M$33,10,0)="","",VLOOKUP(K$2,行为概览!$D$3:$M$33,10,0)*IF(玩法行为规划!J133&gt;0,1,0))</f>
        <v>10</v>
      </c>
      <c r="L133" s="7">
        <f>IF(VLOOKUP(L$2,行为概览!$D$3:$M$33,10,0)="","",VLOOKUP(L$2,行为概览!$D$3:$M$33,10,0)*IF(玩法行为规划!K133&gt;0,1,0))</f>
        <v>5</v>
      </c>
      <c r="M133" s="7" t="str">
        <f>IF(VLOOKUP(M$2,行为概览!$D$3:$M$33,10,0)="","",VLOOKUP(M$2,行为概览!$D$3:$M$33,10,0)*IF(玩法行为规划!L133&gt;0,1,0))</f>
        <v/>
      </c>
      <c r="N133" s="7" t="str">
        <f>IF(VLOOKUP(N$2,行为概览!$D$3:$M$33,10,0)="","",VLOOKUP(N$2,行为概览!$D$3:$M$33,10,0)*IF(玩法行为规划!M133&gt;0,1,0))</f>
        <v/>
      </c>
      <c r="O133" s="7" t="str">
        <f>IF(VLOOKUP(O$2,行为概览!$D$3:$M$33,10,0)="","",VLOOKUP(O$2,行为概览!$D$3:$M$33,10,0)*IF(玩法行为规划!N133&gt;0,1,0))</f>
        <v/>
      </c>
      <c r="P133" s="7" t="str">
        <f>IF(VLOOKUP(P$2,行为概览!$D$3:$M$33,10,0)="","",VLOOKUP(P$2,行为概览!$D$3:$M$33,10,0)*IF(玩法行为规划!O133&gt;0,1,0))</f>
        <v/>
      </c>
      <c r="Q133" s="7">
        <f>IF(VLOOKUP(Q$2,行为概览!$D$3:$M$33,10,0)="","",VLOOKUP(Q$2,行为概览!$D$3:$M$33,10,0)*IF(玩法行为规划!P133&gt;0,1,0))</f>
        <v>10</v>
      </c>
      <c r="R133" s="7" t="str">
        <f>IF(VLOOKUP(R$2,行为概览!$D$3:$M$33,10,0)="","",VLOOKUP(R$2,行为概览!$D$3:$M$33,10,0)*IF(玩法行为规划!Q133&gt;0,1,0))</f>
        <v/>
      </c>
      <c r="S133" s="7">
        <f>IF(VLOOKUP(S$2,行为概览!$D$3:$M$33,10,0)="","",VLOOKUP(S$2,行为概览!$D$3:$M$33,10,0)*IF(玩法行为规划!R133&gt;0,1,0))</f>
        <v>3</v>
      </c>
      <c r="T133" s="7" t="str">
        <f>IF(VLOOKUP(T$2,行为概览!$D$3:$M$33,10,0)="","",VLOOKUP(T$2,行为概览!$D$3:$M$33,10,0)*IF(玩法行为规划!S133&gt;0,1,0))</f>
        <v/>
      </c>
      <c r="U133" s="7" t="str">
        <f>IF(VLOOKUP(U$2,行为概览!$D$3:$M$33,10,0)="","",VLOOKUP(U$2,行为概览!$D$3:$M$33,10,0)*IF(玩法行为规划!T133&gt;0,1,0))</f>
        <v/>
      </c>
      <c r="V133" s="7">
        <f>IF(VLOOKUP(V$2,行为概览!$D$3:$M$33,10,0)="","",VLOOKUP(V$2,行为概览!$D$3:$M$33,10,0)*IF(玩法行为规划!U133&gt;0,1,0))</f>
        <v>4</v>
      </c>
      <c r="W133" s="7" t="str">
        <f>IF(VLOOKUP(W$2,行为概览!$D$3:$M$33,10,0)="","",VLOOKUP(W$2,行为概览!$D$3:$M$33,10,0)*IF(玩法行为规划!V133&gt;0,1,0))</f>
        <v/>
      </c>
      <c r="X133" s="7" t="str">
        <f>IF(VLOOKUP(X$2,行为概览!$D$3:$M$33,10,0)="","",VLOOKUP(X$2,行为概览!$D$3:$M$33,10,0)*IF(玩法行为规划!W133&gt;0,1,0))</f>
        <v/>
      </c>
      <c r="Y133" s="7" t="str">
        <f>IF(VLOOKUP(Y$2,行为概览!$D$3:$M$33,10,0)="","",VLOOKUP(Y$2,行为概览!$D$3:$M$33,10,0)*IF(玩法行为规划!X133&gt;0,1,0))</f>
        <v/>
      </c>
      <c r="Z133" s="7">
        <f>IF(VLOOKUP(Z$2,行为概览!$D$3:$M$33,10,0)="","",VLOOKUP(Z$2,行为概览!$D$3:$M$33,10,0)*IF(玩法行为规划!Y133&gt;0,1,0))</f>
        <v>10</v>
      </c>
      <c r="AA133" s="7" t="str">
        <f>IF(VLOOKUP(AA$2,行为概览!$D$3:$M$33,10,0)="","",VLOOKUP(AA$2,行为概览!$D$3:$M$33,10,0)*IF(玩法行为规划!Z133&gt;0,1,0))</f>
        <v/>
      </c>
      <c r="AB133" s="7" t="str">
        <f>IF(VLOOKUP(AB$2,行为概览!$D$3:$M$33,10,0)="","",VLOOKUP(AB$2,行为概览!$D$3:$M$33,10,0)*IF(玩法行为规划!AA133&gt;0,1,0))</f>
        <v/>
      </c>
      <c r="AC133" s="7" t="str">
        <f>IF(VLOOKUP(AC$2,行为概览!$D$3:$M$33,10,0)="","",VLOOKUP(AC$2,行为概览!$D$3:$M$33,10,0)*IF(玩法行为规划!AB133&gt;0,1,0))</f>
        <v/>
      </c>
      <c r="AD133" s="7" t="str">
        <f>IF(VLOOKUP(AD$2,行为概览!$D$3:$M$33,10,0)="","",VLOOKUP(AD$2,行为概览!$D$3:$M$33,10,0)*IF(玩法行为规划!AC133&gt;0,1,0))</f>
        <v/>
      </c>
      <c r="AE133" s="7" t="str">
        <f>IF(VLOOKUP(AE$2,行为概览!$D$3:$M$33,10,0)="","",VLOOKUP(AE$2,行为概览!$D$3:$M$33,10,0)*IF(玩法行为规划!AD133&gt;0,1,0))</f>
        <v/>
      </c>
      <c r="AF133" s="7">
        <f>IF(VLOOKUP(AF$2,行为概览!$D$3:$M$33,10,0)="","",VLOOKUP(AF$2,行为概览!$D$3:$M$33,10,0)*IF(玩法行为规划!AE133&gt;0,1,0))</f>
        <v>20</v>
      </c>
      <c r="AG133" s="7">
        <f t="shared" si="14"/>
        <v>80</v>
      </c>
      <c r="AH133" s="7">
        <f t="shared" si="15"/>
        <v>10480</v>
      </c>
      <c r="AI133" s="7">
        <v>0</v>
      </c>
      <c r="AJ133" s="21" t="str">
        <f t="shared" si="13"/>
        <v/>
      </c>
      <c r="AK133" s="7">
        <f t="shared" si="16"/>
        <v>10480</v>
      </c>
      <c r="AL133" s="7">
        <f>SUM($AK$3:AK133)</f>
        <v>659815</v>
      </c>
    </row>
    <row r="134" spans="1:38">
      <c r="A134" s="32">
        <v>132</v>
      </c>
      <c r="B134" s="87">
        <f>升级节奏!F134</f>
        <v>132</v>
      </c>
      <c r="C134" s="7">
        <f>IF(VLOOKUP(C$2,行为概览!$D$3:$M$33,10,0)="","",VLOOKUP(C$2,行为概览!$D$3:$M$33,10,0)*IF(玩法行为规划!B134&gt;0,1,0))</f>
        <v>8</v>
      </c>
      <c r="D134" s="7" t="str">
        <f>IF(VLOOKUP(D$2,行为概览!$D$3:$M$33,10,0)="","",VLOOKUP(D$2,行为概览!$D$3:$M$33,10,0)*IF(玩法行为规划!C134&gt;0,1,0))</f>
        <v/>
      </c>
      <c r="E134" s="7" t="str">
        <f>IF(VLOOKUP(E$2,行为概览!$D$3:$M$33,10,0)="","",VLOOKUP(E$2,行为概览!$D$3:$M$33,10,0)*IF(玩法行为规划!D134&gt;0,1,0))</f>
        <v/>
      </c>
      <c r="F134" s="7">
        <f>IF(VLOOKUP(F$2,行为概览!$D$3:$M$33,10,0)="","",VLOOKUP(F$2,行为概览!$D$3:$M$33,10,0)*IF(玩法行为规划!E134&gt;0,1,0))</f>
        <v>10</v>
      </c>
      <c r="G134" s="7" t="str">
        <f>IF(VLOOKUP(G$2,行为概览!$D$3:$M$33,10,0)="","",VLOOKUP(G$2,行为概览!$D$3:$M$33,10,0)*IF(玩法行为规划!F134&gt;0,1,0))</f>
        <v/>
      </c>
      <c r="H134" s="7" t="str">
        <f>IF(VLOOKUP(H$2,行为概览!$D$3:$M$33,10,0)="","",VLOOKUP(H$2,行为概览!$D$3:$M$33,10,0)*IF(玩法行为规划!G134&gt;0,1,0))</f>
        <v/>
      </c>
      <c r="I134" s="7" t="str">
        <f>IF(VLOOKUP(I$2,行为概览!$D$3:$M$33,10,0)="","",VLOOKUP(I$2,行为概览!$D$3:$M$33,10,0)*IF(玩法行为规划!H134&gt;0,1,0))</f>
        <v/>
      </c>
      <c r="J134" s="7" t="str">
        <f>IF(VLOOKUP(J$2,行为概览!$D$3:$M$33,10,0)="","",VLOOKUP(J$2,行为概览!$D$3:$M$33,10,0)*IF(玩法行为规划!I134&gt;0,1,0))</f>
        <v/>
      </c>
      <c r="K134" s="7">
        <f>IF(VLOOKUP(K$2,行为概览!$D$3:$M$33,10,0)="","",VLOOKUP(K$2,行为概览!$D$3:$M$33,10,0)*IF(玩法行为规划!J134&gt;0,1,0))</f>
        <v>10</v>
      </c>
      <c r="L134" s="7">
        <f>IF(VLOOKUP(L$2,行为概览!$D$3:$M$33,10,0)="","",VLOOKUP(L$2,行为概览!$D$3:$M$33,10,0)*IF(玩法行为规划!K134&gt;0,1,0))</f>
        <v>5</v>
      </c>
      <c r="M134" s="7" t="str">
        <f>IF(VLOOKUP(M$2,行为概览!$D$3:$M$33,10,0)="","",VLOOKUP(M$2,行为概览!$D$3:$M$33,10,0)*IF(玩法行为规划!L134&gt;0,1,0))</f>
        <v/>
      </c>
      <c r="N134" s="7" t="str">
        <f>IF(VLOOKUP(N$2,行为概览!$D$3:$M$33,10,0)="","",VLOOKUP(N$2,行为概览!$D$3:$M$33,10,0)*IF(玩法行为规划!M134&gt;0,1,0))</f>
        <v/>
      </c>
      <c r="O134" s="7" t="str">
        <f>IF(VLOOKUP(O$2,行为概览!$D$3:$M$33,10,0)="","",VLOOKUP(O$2,行为概览!$D$3:$M$33,10,0)*IF(玩法行为规划!N134&gt;0,1,0))</f>
        <v/>
      </c>
      <c r="P134" s="7" t="str">
        <f>IF(VLOOKUP(P$2,行为概览!$D$3:$M$33,10,0)="","",VLOOKUP(P$2,行为概览!$D$3:$M$33,10,0)*IF(玩法行为规划!O134&gt;0,1,0))</f>
        <v/>
      </c>
      <c r="Q134" s="7">
        <f>IF(VLOOKUP(Q$2,行为概览!$D$3:$M$33,10,0)="","",VLOOKUP(Q$2,行为概览!$D$3:$M$33,10,0)*IF(玩法行为规划!P134&gt;0,1,0))</f>
        <v>10</v>
      </c>
      <c r="R134" s="7" t="str">
        <f>IF(VLOOKUP(R$2,行为概览!$D$3:$M$33,10,0)="","",VLOOKUP(R$2,行为概览!$D$3:$M$33,10,0)*IF(玩法行为规划!Q134&gt;0,1,0))</f>
        <v/>
      </c>
      <c r="S134" s="7">
        <f>IF(VLOOKUP(S$2,行为概览!$D$3:$M$33,10,0)="","",VLOOKUP(S$2,行为概览!$D$3:$M$33,10,0)*IF(玩法行为规划!R134&gt;0,1,0))</f>
        <v>3</v>
      </c>
      <c r="T134" s="7" t="str">
        <f>IF(VLOOKUP(T$2,行为概览!$D$3:$M$33,10,0)="","",VLOOKUP(T$2,行为概览!$D$3:$M$33,10,0)*IF(玩法行为规划!S134&gt;0,1,0))</f>
        <v/>
      </c>
      <c r="U134" s="7" t="str">
        <f>IF(VLOOKUP(U$2,行为概览!$D$3:$M$33,10,0)="","",VLOOKUP(U$2,行为概览!$D$3:$M$33,10,0)*IF(玩法行为规划!T134&gt;0,1,0))</f>
        <v/>
      </c>
      <c r="V134" s="7">
        <f>IF(VLOOKUP(V$2,行为概览!$D$3:$M$33,10,0)="","",VLOOKUP(V$2,行为概览!$D$3:$M$33,10,0)*IF(玩法行为规划!U134&gt;0,1,0))</f>
        <v>4</v>
      </c>
      <c r="W134" s="7" t="str">
        <f>IF(VLOOKUP(W$2,行为概览!$D$3:$M$33,10,0)="","",VLOOKUP(W$2,行为概览!$D$3:$M$33,10,0)*IF(玩法行为规划!V134&gt;0,1,0))</f>
        <v/>
      </c>
      <c r="X134" s="7" t="str">
        <f>IF(VLOOKUP(X$2,行为概览!$D$3:$M$33,10,0)="","",VLOOKUP(X$2,行为概览!$D$3:$M$33,10,0)*IF(玩法行为规划!W134&gt;0,1,0))</f>
        <v/>
      </c>
      <c r="Y134" s="7" t="str">
        <f>IF(VLOOKUP(Y$2,行为概览!$D$3:$M$33,10,0)="","",VLOOKUP(Y$2,行为概览!$D$3:$M$33,10,0)*IF(玩法行为规划!X134&gt;0,1,0))</f>
        <v/>
      </c>
      <c r="Z134" s="7">
        <f>IF(VLOOKUP(Z$2,行为概览!$D$3:$M$33,10,0)="","",VLOOKUP(Z$2,行为概览!$D$3:$M$33,10,0)*IF(玩法行为规划!Y134&gt;0,1,0))</f>
        <v>10</v>
      </c>
      <c r="AA134" s="7" t="str">
        <f>IF(VLOOKUP(AA$2,行为概览!$D$3:$M$33,10,0)="","",VLOOKUP(AA$2,行为概览!$D$3:$M$33,10,0)*IF(玩法行为规划!Z134&gt;0,1,0))</f>
        <v/>
      </c>
      <c r="AB134" s="7" t="str">
        <f>IF(VLOOKUP(AB$2,行为概览!$D$3:$M$33,10,0)="","",VLOOKUP(AB$2,行为概览!$D$3:$M$33,10,0)*IF(玩法行为规划!AA134&gt;0,1,0))</f>
        <v/>
      </c>
      <c r="AC134" s="7" t="str">
        <f>IF(VLOOKUP(AC$2,行为概览!$D$3:$M$33,10,0)="","",VLOOKUP(AC$2,行为概览!$D$3:$M$33,10,0)*IF(玩法行为规划!AB134&gt;0,1,0))</f>
        <v/>
      </c>
      <c r="AD134" s="7" t="str">
        <f>IF(VLOOKUP(AD$2,行为概览!$D$3:$M$33,10,0)="","",VLOOKUP(AD$2,行为概览!$D$3:$M$33,10,0)*IF(玩法行为规划!AC134&gt;0,1,0))</f>
        <v/>
      </c>
      <c r="AE134" s="7" t="str">
        <f>IF(VLOOKUP(AE$2,行为概览!$D$3:$M$33,10,0)="","",VLOOKUP(AE$2,行为概览!$D$3:$M$33,10,0)*IF(玩法行为规划!AD134&gt;0,1,0))</f>
        <v/>
      </c>
      <c r="AF134" s="7">
        <f>IF(VLOOKUP(AF$2,行为概览!$D$3:$M$33,10,0)="","",VLOOKUP(AF$2,行为概览!$D$3:$M$33,10,0)*IF(玩法行为规划!AE134&gt;0,1,0))</f>
        <v>20</v>
      </c>
      <c r="AG134" s="7">
        <f t="shared" si="14"/>
        <v>80</v>
      </c>
      <c r="AH134" s="7">
        <f t="shared" si="15"/>
        <v>10560</v>
      </c>
      <c r="AI134" s="7">
        <v>0</v>
      </c>
      <c r="AJ134" s="21" t="str">
        <f t="shared" si="13"/>
        <v/>
      </c>
      <c r="AK134" s="7">
        <f t="shared" si="16"/>
        <v>10560</v>
      </c>
      <c r="AL134" s="7">
        <f>SUM($AK$3:AK134)</f>
        <v>670375</v>
      </c>
    </row>
    <row r="135" spans="1:38">
      <c r="A135" s="32">
        <v>133</v>
      </c>
      <c r="B135" s="87">
        <f>升级节奏!F135</f>
        <v>133</v>
      </c>
      <c r="C135" s="7">
        <f>IF(VLOOKUP(C$2,行为概览!$D$3:$M$33,10,0)="","",VLOOKUP(C$2,行为概览!$D$3:$M$33,10,0)*IF(玩法行为规划!B135&gt;0,1,0))</f>
        <v>8</v>
      </c>
      <c r="D135" s="7" t="str">
        <f>IF(VLOOKUP(D$2,行为概览!$D$3:$M$33,10,0)="","",VLOOKUP(D$2,行为概览!$D$3:$M$33,10,0)*IF(玩法行为规划!C135&gt;0,1,0))</f>
        <v/>
      </c>
      <c r="E135" s="7" t="str">
        <f>IF(VLOOKUP(E$2,行为概览!$D$3:$M$33,10,0)="","",VLOOKUP(E$2,行为概览!$D$3:$M$33,10,0)*IF(玩法行为规划!D135&gt;0,1,0))</f>
        <v/>
      </c>
      <c r="F135" s="7">
        <f>IF(VLOOKUP(F$2,行为概览!$D$3:$M$33,10,0)="","",VLOOKUP(F$2,行为概览!$D$3:$M$33,10,0)*IF(玩法行为规划!E135&gt;0,1,0))</f>
        <v>10</v>
      </c>
      <c r="G135" s="7" t="str">
        <f>IF(VLOOKUP(G$2,行为概览!$D$3:$M$33,10,0)="","",VLOOKUP(G$2,行为概览!$D$3:$M$33,10,0)*IF(玩法行为规划!F135&gt;0,1,0))</f>
        <v/>
      </c>
      <c r="H135" s="7" t="str">
        <f>IF(VLOOKUP(H$2,行为概览!$D$3:$M$33,10,0)="","",VLOOKUP(H$2,行为概览!$D$3:$M$33,10,0)*IF(玩法行为规划!G135&gt;0,1,0))</f>
        <v/>
      </c>
      <c r="I135" s="7" t="str">
        <f>IF(VLOOKUP(I$2,行为概览!$D$3:$M$33,10,0)="","",VLOOKUP(I$2,行为概览!$D$3:$M$33,10,0)*IF(玩法行为规划!H135&gt;0,1,0))</f>
        <v/>
      </c>
      <c r="J135" s="7" t="str">
        <f>IF(VLOOKUP(J$2,行为概览!$D$3:$M$33,10,0)="","",VLOOKUP(J$2,行为概览!$D$3:$M$33,10,0)*IF(玩法行为规划!I135&gt;0,1,0))</f>
        <v/>
      </c>
      <c r="K135" s="7">
        <f>IF(VLOOKUP(K$2,行为概览!$D$3:$M$33,10,0)="","",VLOOKUP(K$2,行为概览!$D$3:$M$33,10,0)*IF(玩法行为规划!J135&gt;0,1,0))</f>
        <v>10</v>
      </c>
      <c r="L135" s="7">
        <f>IF(VLOOKUP(L$2,行为概览!$D$3:$M$33,10,0)="","",VLOOKUP(L$2,行为概览!$D$3:$M$33,10,0)*IF(玩法行为规划!K135&gt;0,1,0))</f>
        <v>5</v>
      </c>
      <c r="M135" s="7" t="str">
        <f>IF(VLOOKUP(M$2,行为概览!$D$3:$M$33,10,0)="","",VLOOKUP(M$2,行为概览!$D$3:$M$33,10,0)*IF(玩法行为规划!L135&gt;0,1,0))</f>
        <v/>
      </c>
      <c r="N135" s="7" t="str">
        <f>IF(VLOOKUP(N$2,行为概览!$D$3:$M$33,10,0)="","",VLOOKUP(N$2,行为概览!$D$3:$M$33,10,0)*IF(玩法行为规划!M135&gt;0,1,0))</f>
        <v/>
      </c>
      <c r="O135" s="7" t="str">
        <f>IF(VLOOKUP(O$2,行为概览!$D$3:$M$33,10,0)="","",VLOOKUP(O$2,行为概览!$D$3:$M$33,10,0)*IF(玩法行为规划!N135&gt;0,1,0))</f>
        <v/>
      </c>
      <c r="P135" s="7" t="str">
        <f>IF(VLOOKUP(P$2,行为概览!$D$3:$M$33,10,0)="","",VLOOKUP(P$2,行为概览!$D$3:$M$33,10,0)*IF(玩法行为规划!O135&gt;0,1,0))</f>
        <v/>
      </c>
      <c r="Q135" s="7">
        <f>IF(VLOOKUP(Q$2,行为概览!$D$3:$M$33,10,0)="","",VLOOKUP(Q$2,行为概览!$D$3:$M$33,10,0)*IF(玩法行为规划!P135&gt;0,1,0))</f>
        <v>10</v>
      </c>
      <c r="R135" s="7" t="str">
        <f>IF(VLOOKUP(R$2,行为概览!$D$3:$M$33,10,0)="","",VLOOKUP(R$2,行为概览!$D$3:$M$33,10,0)*IF(玩法行为规划!Q135&gt;0,1,0))</f>
        <v/>
      </c>
      <c r="S135" s="7">
        <f>IF(VLOOKUP(S$2,行为概览!$D$3:$M$33,10,0)="","",VLOOKUP(S$2,行为概览!$D$3:$M$33,10,0)*IF(玩法行为规划!R135&gt;0,1,0))</f>
        <v>3</v>
      </c>
      <c r="T135" s="7" t="str">
        <f>IF(VLOOKUP(T$2,行为概览!$D$3:$M$33,10,0)="","",VLOOKUP(T$2,行为概览!$D$3:$M$33,10,0)*IF(玩法行为规划!S135&gt;0,1,0))</f>
        <v/>
      </c>
      <c r="U135" s="7" t="str">
        <f>IF(VLOOKUP(U$2,行为概览!$D$3:$M$33,10,0)="","",VLOOKUP(U$2,行为概览!$D$3:$M$33,10,0)*IF(玩法行为规划!T135&gt;0,1,0))</f>
        <v/>
      </c>
      <c r="V135" s="7">
        <f>IF(VLOOKUP(V$2,行为概览!$D$3:$M$33,10,0)="","",VLOOKUP(V$2,行为概览!$D$3:$M$33,10,0)*IF(玩法行为规划!U135&gt;0,1,0))</f>
        <v>4</v>
      </c>
      <c r="W135" s="7" t="str">
        <f>IF(VLOOKUP(W$2,行为概览!$D$3:$M$33,10,0)="","",VLOOKUP(W$2,行为概览!$D$3:$M$33,10,0)*IF(玩法行为规划!V135&gt;0,1,0))</f>
        <v/>
      </c>
      <c r="X135" s="7" t="str">
        <f>IF(VLOOKUP(X$2,行为概览!$D$3:$M$33,10,0)="","",VLOOKUP(X$2,行为概览!$D$3:$M$33,10,0)*IF(玩法行为规划!W135&gt;0,1,0))</f>
        <v/>
      </c>
      <c r="Y135" s="7" t="str">
        <f>IF(VLOOKUP(Y$2,行为概览!$D$3:$M$33,10,0)="","",VLOOKUP(Y$2,行为概览!$D$3:$M$33,10,0)*IF(玩法行为规划!X135&gt;0,1,0))</f>
        <v/>
      </c>
      <c r="Z135" s="7">
        <f>IF(VLOOKUP(Z$2,行为概览!$D$3:$M$33,10,0)="","",VLOOKUP(Z$2,行为概览!$D$3:$M$33,10,0)*IF(玩法行为规划!Y135&gt;0,1,0))</f>
        <v>10</v>
      </c>
      <c r="AA135" s="7" t="str">
        <f>IF(VLOOKUP(AA$2,行为概览!$D$3:$M$33,10,0)="","",VLOOKUP(AA$2,行为概览!$D$3:$M$33,10,0)*IF(玩法行为规划!Z135&gt;0,1,0))</f>
        <v/>
      </c>
      <c r="AB135" s="7" t="str">
        <f>IF(VLOOKUP(AB$2,行为概览!$D$3:$M$33,10,0)="","",VLOOKUP(AB$2,行为概览!$D$3:$M$33,10,0)*IF(玩法行为规划!AA135&gt;0,1,0))</f>
        <v/>
      </c>
      <c r="AC135" s="7" t="str">
        <f>IF(VLOOKUP(AC$2,行为概览!$D$3:$M$33,10,0)="","",VLOOKUP(AC$2,行为概览!$D$3:$M$33,10,0)*IF(玩法行为规划!AB135&gt;0,1,0))</f>
        <v/>
      </c>
      <c r="AD135" s="7" t="str">
        <f>IF(VLOOKUP(AD$2,行为概览!$D$3:$M$33,10,0)="","",VLOOKUP(AD$2,行为概览!$D$3:$M$33,10,0)*IF(玩法行为规划!AC135&gt;0,1,0))</f>
        <v/>
      </c>
      <c r="AE135" s="7" t="str">
        <f>IF(VLOOKUP(AE$2,行为概览!$D$3:$M$33,10,0)="","",VLOOKUP(AE$2,行为概览!$D$3:$M$33,10,0)*IF(玩法行为规划!AD135&gt;0,1,0))</f>
        <v/>
      </c>
      <c r="AF135" s="7">
        <f>IF(VLOOKUP(AF$2,行为概览!$D$3:$M$33,10,0)="","",VLOOKUP(AF$2,行为概览!$D$3:$M$33,10,0)*IF(玩法行为规划!AE135&gt;0,1,0))</f>
        <v>20</v>
      </c>
      <c r="AG135" s="7">
        <f t="shared" si="14"/>
        <v>80</v>
      </c>
      <c r="AH135" s="7">
        <f t="shared" si="15"/>
        <v>10640</v>
      </c>
      <c r="AI135" s="7">
        <v>0</v>
      </c>
      <c r="AJ135" s="21" t="str">
        <f t="shared" si="13"/>
        <v/>
      </c>
      <c r="AK135" s="7">
        <f t="shared" si="16"/>
        <v>10640</v>
      </c>
      <c r="AL135" s="7">
        <f>SUM($AK$3:AK135)</f>
        <v>681015</v>
      </c>
    </row>
    <row r="136" spans="1:38">
      <c r="A136" s="32">
        <v>134</v>
      </c>
      <c r="B136" s="87">
        <f>升级节奏!F136</f>
        <v>134</v>
      </c>
      <c r="C136" s="7">
        <f>IF(VLOOKUP(C$2,行为概览!$D$3:$M$33,10,0)="","",VLOOKUP(C$2,行为概览!$D$3:$M$33,10,0)*IF(玩法行为规划!B136&gt;0,1,0))</f>
        <v>8</v>
      </c>
      <c r="D136" s="7" t="str">
        <f>IF(VLOOKUP(D$2,行为概览!$D$3:$M$33,10,0)="","",VLOOKUP(D$2,行为概览!$D$3:$M$33,10,0)*IF(玩法行为规划!C136&gt;0,1,0))</f>
        <v/>
      </c>
      <c r="E136" s="7" t="str">
        <f>IF(VLOOKUP(E$2,行为概览!$D$3:$M$33,10,0)="","",VLOOKUP(E$2,行为概览!$D$3:$M$33,10,0)*IF(玩法行为规划!D136&gt;0,1,0))</f>
        <v/>
      </c>
      <c r="F136" s="7">
        <f>IF(VLOOKUP(F$2,行为概览!$D$3:$M$33,10,0)="","",VLOOKUP(F$2,行为概览!$D$3:$M$33,10,0)*IF(玩法行为规划!E136&gt;0,1,0))</f>
        <v>10</v>
      </c>
      <c r="G136" s="7" t="str">
        <f>IF(VLOOKUP(G$2,行为概览!$D$3:$M$33,10,0)="","",VLOOKUP(G$2,行为概览!$D$3:$M$33,10,0)*IF(玩法行为规划!F136&gt;0,1,0))</f>
        <v/>
      </c>
      <c r="H136" s="7" t="str">
        <f>IF(VLOOKUP(H$2,行为概览!$D$3:$M$33,10,0)="","",VLOOKUP(H$2,行为概览!$D$3:$M$33,10,0)*IF(玩法行为规划!G136&gt;0,1,0))</f>
        <v/>
      </c>
      <c r="I136" s="7" t="str">
        <f>IF(VLOOKUP(I$2,行为概览!$D$3:$M$33,10,0)="","",VLOOKUP(I$2,行为概览!$D$3:$M$33,10,0)*IF(玩法行为规划!H136&gt;0,1,0))</f>
        <v/>
      </c>
      <c r="J136" s="7" t="str">
        <f>IF(VLOOKUP(J$2,行为概览!$D$3:$M$33,10,0)="","",VLOOKUP(J$2,行为概览!$D$3:$M$33,10,0)*IF(玩法行为规划!I136&gt;0,1,0))</f>
        <v/>
      </c>
      <c r="K136" s="7">
        <f>IF(VLOOKUP(K$2,行为概览!$D$3:$M$33,10,0)="","",VLOOKUP(K$2,行为概览!$D$3:$M$33,10,0)*IF(玩法行为规划!J136&gt;0,1,0))</f>
        <v>10</v>
      </c>
      <c r="L136" s="7">
        <f>IF(VLOOKUP(L$2,行为概览!$D$3:$M$33,10,0)="","",VLOOKUP(L$2,行为概览!$D$3:$M$33,10,0)*IF(玩法行为规划!K136&gt;0,1,0))</f>
        <v>5</v>
      </c>
      <c r="M136" s="7" t="str">
        <f>IF(VLOOKUP(M$2,行为概览!$D$3:$M$33,10,0)="","",VLOOKUP(M$2,行为概览!$D$3:$M$33,10,0)*IF(玩法行为规划!L136&gt;0,1,0))</f>
        <v/>
      </c>
      <c r="N136" s="7" t="str">
        <f>IF(VLOOKUP(N$2,行为概览!$D$3:$M$33,10,0)="","",VLOOKUP(N$2,行为概览!$D$3:$M$33,10,0)*IF(玩法行为规划!M136&gt;0,1,0))</f>
        <v/>
      </c>
      <c r="O136" s="7" t="str">
        <f>IF(VLOOKUP(O$2,行为概览!$D$3:$M$33,10,0)="","",VLOOKUP(O$2,行为概览!$D$3:$M$33,10,0)*IF(玩法行为规划!N136&gt;0,1,0))</f>
        <v/>
      </c>
      <c r="P136" s="7" t="str">
        <f>IF(VLOOKUP(P$2,行为概览!$D$3:$M$33,10,0)="","",VLOOKUP(P$2,行为概览!$D$3:$M$33,10,0)*IF(玩法行为规划!O136&gt;0,1,0))</f>
        <v/>
      </c>
      <c r="Q136" s="7">
        <f>IF(VLOOKUP(Q$2,行为概览!$D$3:$M$33,10,0)="","",VLOOKUP(Q$2,行为概览!$D$3:$M$33,10,0)*IF(玩法行为规划!P136&gt;0,1,0))</f>
        <v>10</v>
      </c>
      <c r="R136" s="7" t="str">
        <f>IF(VLOOKUP(R$2,行为概览!$D$3:$M$33,10,0)="","",VLOOKUP(R$2,行为概览!$D$3:$M$33,10,0)*IF(玩法行为规划!Q136&gt;0,1,0))</f>
        <v/>
      </c>
      <c r="S136" s="7">
        <f>IF(VLOOKUP(S$2,行为概览!$D$3:$M$33,10,0)="","",VLOOKUP(S$2,行为概览!$D$3:$M$33,10,0)*IF(玩法行为规划!R136&gt;0,1,0))</f>
        <v>3</v>
      </c>
      <c r="T136" s="7" t="str">
        <f>IF(VLOOKUP(T$2,行为概览!$D$3:$M$33,10,0)="","",VLOOKUP(T$2,行为概览!$D$3:$M$33,10,0)*IF(玩法行为规划!S136&gt;0,1,0))</f>
        <v/>
      </c>
      <c r="U136" s="7" t="str">
        <f>IF(VLOOKUP(U$2,行为概览!$D$3:$M$33,10,0)="","",VLOOKUP(U$2,行为概览!$D$3:$M$33,10,0)*IF(玩法行为规划!T136&gt;0,1,0))</f>
        <v/>
      </c>
      <c r="V136" s="7">
        <f>IF(VLOOKUP(V$2,行为概览!$D$3:$M$33,10,0)="","",VLOOKUP(V$2,行为概览!$D$3:$M$33,10,0)*IF(玩法行为规划!U136&gt;0,1,0))</f>
        <v>4</v>
      </c>
      <c r="W136" s="7" t="str">
        <f>IF(VLOOKUP(W$2,行为概览!$D$3:$M$33,10,0)="","",VLOOKUP(W$2,行为概览!$D$3:$M$33,10,0)*IF(玩法行为规划!V136&gt;0,1,0))</f>
        <v/>
      </c>
      <c r="X136" s="7" t="str">
        <f>IF(VLOOKUP(X$2,行为概览!$D$3:$M$33,10,0)="","",VLOOKUP(X$2,行为概览!$D$3:$M$33,10,0)*IF(玩法行为规划!W136&gt;0,1,0))</f>
        <v/>
      </c>
      <c r="Y136" s="7" t="str">
        <f>IF(VLOOKUP(Y$2,行为概览!$D$3:$M$33,10,0)="","",VLOOKUP(Y$2,行为概览!$D$3:$M$33,10,0)*IF(玩法行为规划!X136&gt;0,1,0))</f>
        <v/>
      </c>
      <c r="Z136" s="7">
        <f>IF(VLOOKUP(Z$2,行为概览!$D$3:$M$33,10,0)="","",VLOOKUP(Z$2,行为概览!$D$3:$M$33,10,0)*IF(玩法行为规划!Y136&gt;0,1,0))</f>
        <v>10</v>
      </c>
      <c r="AA136" s="7" t="str">
        <f>IF(VLOOKUP(AA$2,行为概览!$D$3:$M$33,10,0)="","",VLOOKUP(AA$2,行为概览!$D$3:$M$33,10,0)*IF(玩法行为规划!Z136&gt;0,1,0))</f>
        <v/>
      </c>
      <c r="AB136" s="7" t="str">
        <f>IF(VLOOKUP(AB$2,行为概览!$D$3:$M$33,10,0)="","",VLOOKUP(AB$2,行为概览!$D$3:$M$33,10,0)*IF(玩法行为规划!AA136&gt;0,1,0))</f>
        <v/>
      </c>
      <c r="AC136" s="7" t="str">
        <f>IF(VLOOKUP(AC$2,行为概览!$D$3:$M$33,10,0)="","",VLOOKUP(AC$2,行为概览!$D$3:$M$33,10,0)*IF(玩法行为规划!AB136&gt;0,1,0))</f>
        <v/>
      </c>
      <c r="AD136" s="7" t="str">
        <f>IF(VLOOKUP(AD$2,行为概览!$D$3:$M$33,10,0)="","",VLOOKUP(AD$2,行为概览!$D$3:$M$33,10,0)*IF(玩法行为规划!AC136&gt;0,1,0))</f>
        <v/>
      </c>
      <c r="AE136" s="7" t="str">
        <f>IF(VLOOKUP(AE$2,行为概览!$D$3:$M$33,10,0)="","",VLOOKUP(AE$2,行为概览!$D$3:$M$33,10,0)*IF(玩法行为规划!AD136&gt;0,1,0))</f>
        <v/>
      </c>
      <c r="AF136" s="7">
        <f>IF(VLOOKUP(AF$2,行为概览!$D$3:$M$33,10,0)="","",VLOOKUP(AF$2,行为概览!$D$3:$M$33,10,0)*IF(玩法行为规划!AE136&gt;0,1,0))</f>
        <v>20</v>
      </c>
      <c r="AG136" s="7">
        <f t="shared" si="14"/>
        <v>80</v>
      </c>
      <c r="AH136" s="7">
        <f t="shared" si="15"/>
        <v>10720</v>
      </c>
      <c r="AI136" s="7">
        <v>0</v>
      </c>
      <c r="AJ136" s="21" t="str">
        <f t="shared" si="13"/>
        <v/>
      </c>
      <c r="AK136" s="7">
        <f t="shared" si="16"/>
        <v>10720</v>
      </c>
      <c r="AL136" s="7">
        <f>SUM($AK$3:AK136)</f>
        <v>691735</v>
      </c>
    </row>
    <row r="137" spans="1:38">
      <c r="A137" s="32">
        <v>135</v>
      </c>
      <c r="B137" s="87">
        <f>升级节奏!F137</f>
        <v>135</v>
      </c>
      <c r="C137" s="7">
        <f>IF(VLOOKUP(C$2,行为概览!$D$3:$M$33,10,0)="","",VLOOKUP(C$2,行为概览!$D$3:$M$33,10,0)*IF(玩法行为规划!B137&gt;0,1,0))</f>
        <v>8</v>
      </c>
      <c r="D137" s="7" t="str">
        <f>IF(VLOOKUP(D$2,行为概览!$D$3:$M$33,10,0)="","",VLOOKUP(D$2,行为概览!$D$3:$M$33,10,0)*IF(玩法行为规划!C137&gt;0,1,0))</f>
        <v/>
      </c>
      <c r="E137" s="7" t="str">
        <f>IF(VLOOKUP(E$2,行为概览!$D$3:$M$33,10,0)="","",VLOOKUP(E$2,行为概览!$D$3:$M$33,10,0)*IF(玩法行为规划!D137&gt;0,1,0))</f>
        <v/>
      </c>
      <c r="F137" s="7">
        <f>IF(VLOOKUP(F$2,行为概览!$D$3:$M$33,10,0)="","",VLOOKUP(F$2,行为概览!$D$3:$M$33,10,0)*IF(玩法行为规划!E137&gt;0,1,0))</f>
        <v>10</v>
      </c>
      <c r="G137" s="7" t="str">
        <f>IF(VLOOKUP(G$2,行为概览!$D$3:$M$33,10,0)="","",VLOOKUP(G$2,行为概览!$D$3:$M$33,10,0)*IF(玩法行为规划!F137&gt;0,1,0))</f>
        <v/>
      </c>
      <c r="H137" s="7" t="str">
        <f>IF(VLOOKUP(H$2,行为概览!$D$3:$M$33,10,0)="","",VLOOKUP(H$2,行为概览!$D$3:$M$33,10,0)*IF(玩法行为规划!G137&gt;0,1,0))</f>
        <v/>
      </c>
      <c r="I137" s="7" t="str">
        <f>IF(VLOOKUP(I$2,行为概览!$D$3:$M$33,10,0)="","",VLOOKUP(I$2,行为概览!$D$3:$M$33,10,0)*IF(玩法行为规划!H137&gt;0,1,0))</f>
        <v/>
      </c>
      <c r="J137" s="7" t="str">
        <f>IF(VLOOKUP(J$2,行为概览!$D$3:$M$33,10,0)="","",VLOOKUP(J$2,行为概览!$D$3:$M$33,10,0)*IF(玩法行为规划!I137&gt;0,1,0))</f>
        <v/>
      </c>
      <c r="K137" s="7">
        <f>IF(VLOOKUP(K$2,行为概览!$D$3:$M$33,10,0)="","",VLOOKUP(K$2,行为概览!$D$3:$M$33,10,0)*IF(玩法行为规划!J137&gt;0,1,0))</f>
        <v>10</v>
      </c>
      <c r="L137" s="7">
        <f>IF(VLOOKUP(L$2,行为概览!$D$3:$M$33,10,0)="","",VLOOKUP(L$2,行为概览!$D$3:$M$33,10,0)*IF(玩法行为规划!K137&gt;0,1,0))</f>
        <v>5</v>
      </c>
      <c r="M137" s="7" t="str">
        <f>IF(VLOOKUP(M$2,行为概览!$D$3:$M$33,10,0)="","",VLOOKUP(M$2,行为概览!$D$3:$M$33,10,0)*IF(玩法行为规划!L137&gt;0,1,0))</f>
        <v/>
      </c>
      <c r="N137" s="7" t="str">
        <f>IF(VLOOKUP(N$2,行为概览!$D$3:$M$33,10,0)="","",VLOOKUP(N$2,行为概览!$D$3:$M$33,10,0)*IF(玩法行为规划!M137&gt;0,1,0))</f>
        <v/>
      </c>
      <c r="O137" s="7" t="str">
        <f>IF(VLOOKUP(O$2,行为概览!$D$3:$M$33,10,0)="","",VLOOKUP(O$2,行为概览!$D$3:$M$33,10,0)*IF(玩法行为规划!N137&gt;0,1,0))</f>
        <v/>
      </c>
      <c r="P137" s="7" t="str">
        <f>IF(VLOOKUP(P$2,行为概览!$D$3:$M$33,10,0)="","",VLOOKUP(P$2,行为概览!$D$3:$M$33,10,0)*IF(玩法行为规划!O137&gt;0,1,0))</f>
        <v/>
      </c>
      <c r="Q137" s="7">
        <f>IF(VLOOKUP(Q$2,行为概览!$D$3:$M$33,10,0)="","",VLOOKUP(Q$2,行为概览!$D$3:$M$33,10,0)*IF(玩法行为规划!P137&gt;0,1,0))</f>
        <v>10</v>
      </c>
      <c r="R137" s="7" t="str">
        <f>IF(VLOOKUP(R$2,行为概览!$D$3:$M$33,10,0)="","",VLOOKUP(R$2,行为概览!$D$3:$M$33,10,0)*IF(玩法行为规划!Q137&gt;0,1,0))</f>
        <v/>
      </c>
      <c r="S137" s="7">
        <f>IF(VLOOKUP(S$2,行为概览!$D$3:$M$33,10,0)="","",VLOOKUP(S$2,行为概览!$D$3:$M$33,10,0)*IF(玩法行为规划!R137&gt;0,1,0))</f>
        <v>3</v>
      </c>
      <c r="T137" s="7" t="str">
        <f>IF(VLOOKUP(T$2,行为概览!$D$3:$M$33,10,0)="","",VLOOKUP(T$2,行为概览!$D$3:$M$33,10,0)*IF(玩法行为规划!S137&gt;0,1,0))</f>
        <v/>
      </c>
      <c r="U137" s="7" t="str">
        <f>IF(VLOOKUP(U$2,行为概览!$D$3:$M$33,10,0)="","",VLOOKUP(U$2,行为概览!$D$3:$M$33,10,0)*IF(玩法行为规划!T137&gt;0,1,0))</f>
        <v/>
      </c>
      <c r="V137" s="7">
        <f>IF(VLOOKUP(V$2,行为概览!$D$3:$M$33,10,0)="","",VLOOKUP(V$2,行为概览!$D$3:$M$33,10,0)*IF(玩法行为规划!U137&gt;0,1,0))</f>
        <v>4</v>
      </c>
      <c r="W137" s="7" t="str">
        <f>IF(VLOOKUP(W$2,行为概览!$D$3:$M$33,10,0)="","",VLOOKUP(W$2,行为概览!$D$3:$M$33,10,0)*IF(玩法行为规划!V137&gt;0,1,0))</f>
        <v/>
      </c>
      <c r="X137" s="7" t="str">
        <f>IF(VLOOKUP(X$2,行为概览!$D$3:$M$33,10,0)="","",VLOOKUP(X$2,行为概览!$D$3:$M$33,10,0)*IF(玩法行为规划!W137&gt;0,1,0))</f>
        <v/>
      </c>
      <c r="Y137" s="7" t="str">
        <f>IF(VLOOKUP(Y$2,行为概览!$D$3:$M$33,10,0)="","",VLOOKUP(Y$2,行为概览!$D$3:$M$33,10,0)*IF(玩法行为规划!X137&gt;0,1,0))</f>
        <v/>
      </c>
      <c r="Z137" s="7">
        <f>IF(VLOOKUP(Z$2,行为概览!$D$3:$M$33,10,0)="","",VLOOKUP(Z$2,行为概览!$D$3:$M$33,10,0)*IF(玩法行为规划!Y137&gt;0,1,0))</f>
        <v>10</v>
      </c>
      <c r="AA137" s="7" t="str">
        <f>IF(VLOOKUP(AA$2,行为概览!$D$3:$M$33,10,0)="","",VLOOKUP(AA$2,行为概览!$D$3:$M$33,10,0)*IF(玩法行为规划!Z137&gt;0,1,0))</f>
        <v/>
      </c>
      <c r="AB137" s="7" t="str">
        <f>IF(VLOOKUP(AB$2,行为概览!$D$3:$M$33,10,0)="","",VLOOKUP(AB$2,行为概览!$D$3:$M$33,10,0)*IF(玩法行为规划!AA137&gt;0,1,0))</f>
        <v/>
      </c>
      <c r="AC137" s="7" t="str">
        <f>IF(VLOOKUP(AC$2,行为概览!$D$3:$M$33,10,0)="","",VLOOKUP(AC$2,行为概览!$D$3:$M$33,10,0)*IF(玩法行为规划!AB137&gt;0,1,0))</f>
        <v/>
      </c>
      <c r="AD137" s="7" t="str">
        <f>IF(VLOOKUP(AD$2,行为概览!$D$3:$M$33,10,0)="","",VLOOKUP(AD$2,行为概览!$D$3:$M$33,10,0)*IF(玩法行为规划!AC137&gt;0,1,0))</f>
        <v/>
      </c>
      <c r="AE137" s="7" t="str">
        <f>IF(VLOOKUP(AE$2,行为概览!$D$3:$M$33,10,0)="","",VLOOKUP(AE$2,行为概览!$D$3:$M$33,10,0)*IF(玩法行为规划!AD137&gt;0,1,0))</f>
        <v/>
      </c>
      <c r="AF137" s="7">
        <f>IF(VLOOKUP(AF$2,行为概览!$D$3:$M$33,10,0)="","",VLOOKUP(AF$2,行为概览!$D$3:$M$33,10,0)*IF(玩法行为规划!AE137&gt;0,1,0))</f>
        <v>20</v>
      </c>
      <c r="AG137" s="7">
        <f t="shared" si="14"/>
        <v>80</v>
      </c>
      <c r="AH137" s="7">
        <f t="shared" si="15"/>
        <v>10800</v>
      </c>
      <c r="AI137" s="7">
        <v>0</v>
      </c>
      <c r="AJ137" s="21" t="str">
        <f t="shared" si="13"/>
        <v/>
      </c>
      <c r="AK137" s="7">
        <f t="shared" si="16"/>
        <v>10800</v>
      </c>
      <c r="AL137" s="7">
        <f>SUM($AK$3:AK137)</f>
        <v>702535</v>
      </c>
    </row>
    <row r="138" spans="1:38">
      <c r="A138" s="32">
        <v>136</v>
      </c>
      <c r="B138" s="87">
        <f>升级节奏!F138</f>
        <v>136</v>
      </c>
      <c r="C138" s="7">
        <f>IF(VLOOKUP(C$2,行为概览!$D$3:$M$33,10,0)="","",VLOOKUP(C$2,行为概览!$D$3:$M$33,10,0)*IF(玩法行为规划!B138&gt;0,1,0))</f>
        <v>8</v>
      </c>
      <c r="D138" s="7" t="str">
        <f>IF(VLOOKUP(D$2,行为概览!$D$3:$M$33,10,0)="","",VLOOKUP(D$2,行为概览!$D$3:$M$33,10,0)*IF(玩法行为规划!C138&gt;0,1,0))</f>
        <v/>
      </c>
      <c r="E138" s="7" t="str">
        <f>IF(VLOOKUP(E$2,行为概览!$D$3:$M$33,10,0)="","",VLOOKUP(E$2,行为概览!$D$3:$M$33,10,0)*IF(玩法行为规划!D138&gt;0,1,0))</f>
        <v/>
      </c>
      <c r="F138" s="7">
        <f>IF(VLOOKUP(F$2,行为概览!$D$3:$M$33,10,0)="","",VLOOKUP(F$2,行为概览!$D$3:$M$33,10,0)*IF(玩法行为规划!E138&gt;0,1,0))</f>
        <v>10</v>
      </c>
      <c r="G138" s="7" t="str">
        <f>IF(VLOOKUP(G$2,行为概览!$D$3:$M$33,10,0)="","",VLOOKUP(G$2,行为概览!$D$3:$M$33,10,0)*IF(玩法行为规划!F138&gt;0,1,0))</f>
        <v/>
      </c>
      <c r="H138" s="7" t="str">
        <f>IF(VLOOKUP(H$2,行为概览!$D$3:$M$33,10,0)="","",VLOOKUP(H$2,行为概览!$D$3:$M$33,10,0)*IF(玩法行为规划!G138&gt;0,1,0))</f>
        <v/>
      </c>
      <c r="I138" s="7" t="str">
        <f>IF(VLOOKUP(I$2,行为概览!$D$3:$M$33,10,0)="","",VLOOKUP(I$2,行为概览!$D$3:$M$33,10,0)*IF(玩法行为规划!H138&gt;0,1,0))</f>
        <v/>
      </c>
      <c r="J138" s="7" t="str">
        <f>IF(VLOOKUP(J$2,行为概览!$D$3:$M$33,10,0)="","",VLOOKUP(J$2,行为概览!$D$3:$M$33,10,0)*IF(玩法行为规划!I138&gt;0,1,0))</f>
        <v/>
      </c>
      <c r="K138" s="7">
        <f>IF(VLOOKUP(K$2,行为概览!$D$3:$M$33,10,0)="","",VLOOKUP(K$2,行为概览!$D$3:$M$33,10,0)*IF(玩法行为规划!J138&gt;0,1,0))</f>
        <v>10</v>
      </c>
      <c r="L138" s="7">
        <f>IF(VLOOKUP(L$2,行为概览!$D$3:$M$33,10,0)="","",VLOOKUP(L$2,行为概览!$D$3:$M$33,10,0)*IF(玩法行为规划!K138&gt;0,1,0))</f>
        <v>5</v>
      </c>
      <c r="M138" s="7" t="str">
        <f>IF(VLOOKUP(M$2,行为概览!$D$3:$M$33,10,0)="","",VLOOKUP(M$2,行为概览!$D$3:$M$33,10,0)*IF(玩法行为规划!L138&gt;0,1,0))</f>
        <v/>
      </c>
      <c r="N138" s="7" t="str">
        <f>IF(VLOOKUP(N$2,行为概览!$D$3:$M$33,10,0)="","",VLOOKUP(N$2,行为概览!$D$3:$M$33,10,0)*IF(玩法行为规划!M138&gt;0,1,0))</f>
        <v/>
      </c>
      <c r="O138" s="7" t="str">
        <f>IF(VLOOKUP(O$2,行为概览!$D$3:$M$33,10,0)="","",VLOOKUP(O$2,行为概览!$D$3:$M$33,10,0)*IF(玩法行为规划!N138&gt;0,1,0))</f>
        <v/>
      </c>
      <c r="P138" s="7" t="str">
        <f>IF(VLOOKUP(P$2,行为概览!$D$3:$M$33,10,0)="","",VLOOKUP(P$2,行为概览!$D$3:$M$33,10,0)*IF(玩法行为规划!O138&gt;0,1,0))</f>
        <v/>
      </c>
      <c r="Q138" s="7">
        <f>IF(VLOOKUP(Q$2,行为概览!$D$3:$M$33,10,0)="","",VLOOKUP(Q$2,行为概览!$D$3:$M$33,10,0)*IF(玩法行为规划!P138&gt;0,1,0))</f>
        <v>10</v>
      </c>
      <c r="R138" s="7" t="str">
        <f>IF(VLOOKUP(R$2,行为概览!$D$3:$M$33,10,0)="","",VLOOKUP(R$2,行为概览!$D$3:$M$33,10,0)*IF(玩法行为规划!Q138&gt;0,1,0))</f>
        <v/>
      </c>
      <c r="S138" s="7">
        <f>IF(VLOOKUP(S$2,行为概览!$D$3:$M$33,10,0)="","",VLOOKUP(S$2,行为概览!$D$3:$M$33,10,0)*IF(玩法行为规划!R138&gt;0,1,0))</f>
        <v>3</v>
      </c>
      <c r="T138" s="7" t="str">
        <f>IF(VLOOKUP(T$2,行为概览!$D$3:$M$33,10,0)="","",VLOOKUP(T$2,行为概览!$D$3:$M$33,10,0)*IF(玩法行为规划!S138&gt;0,1,0))</f>
        <v/>
      </c>
      <c r="U138" s="7" t="str">
        <f>IF(VLOOKUP(U$2,行为概览!$D$3:$M$33,10,0)="","",VLOOKUP(U$2,行为概览!$D$3:$M$33,10,0)*IF(玩法行为规划!T138&gt;0,1,0))</f>
        <v/>
      </c>
      <c r="V138" s="7">
        <f>IF(VLOOKUP(V$2,行为概览!$D$3:$M$33,10,0)="","",VLOOKUP(V$2,行为概览!$D$3:$M$33,10,0)*IF(玩法行为规划!U138&gt;0,1,0))</f>
        <v>4</v>
      </c>
      <c r="W138" s="7" t="str">
        <f>IF(VLOOKUP(W$2,行为概览!$D$3:$M$33,10,0)="","",VLOOKUP(W$2,行为概览!$D$3:$M$33,10,0)*IF(玩法行为规划!V138&gt;0,1,0))</f>
        <v/>
      </c>
      <c r="X138" s="7" t="str">
        <f>IF(VLOOKUP(X$2,行为概览!$D$3:$M$33,10,0)="","",VLOOKUP(X$2,行为概览!$D$3:$M$33,10,0)*IF(玩法行为规划!W138&gt;0,1,0))</f>
        <v/>
      </c>
      <c r="Y138" s="7" t="str">
        <f>IF(VLOOKUP(Y$2,行为概览!$D$3:$M$33,10,0)="","",VLOOKUP(Y$2,行为概览!$D$3:$M$33,10,0)*IF(玩法行为规划!X138&gt;0,1,0))</f>
        <v/>
      </c>
      <c r="Z138" s="7">
        <f>IF(VLOOKUP(Z$2,行为概览!$D$3:$M$33,10,0)="","",VLOOKUP(Z$2,行为概览!$D$3:$M$33,10,0)*IF(玩法行为规划!Y138&gt;0,1,0))</f>
        <v>10</v>
      </c>
      <c r="AA138" s="7" t="str">
        <f>IF(VLOOKUP(AA$2,行为概览!$D$3:$M$33,10,0)="","",VLOOKUP(AA$2,行为概览!$D$3:$M$33,10,0)*IF(玩法行为规划!Z138&gt;0,1,0))</f>
        <v/>
      </c>
      <c r="AB138" s="7" t="str">
        <f>IF(VLOOKUP(AB$2,行为概览!$D$3:$M$33,10,0)="","",VLOOKUP(AB$2,行为概览!$D$3:$M$33,10,0)*IF(玩法行为规划!AA138&gt;0,1,0))</f>
        <v/>
      </c>
      <c r="AC138" s="7" t="str">
        <f>IF(VLOOKUP(AC$2,行为概览!$D$3:$M$33,10,0)="","",VLOOKUP(AC$2,行为概览!$D$3:$M$33,10,0)*IF(玩法行为规划!AB138&gt;0,1,0))</f>
        <v/>
      </c>
      <c r="AD138" s="7" t="str">
        <f>IF(VLOOKUP(AD$2,行为概览!$D$3:$M$33,10,0)="","",VLOOKUP(AD$2,行为概览!$D$3:$M$33,10,0)*IF(玩法行为规划!AC138&gt;0,1,0))</f>
        <v/>
      </c>
      <c r="AE138" s="7" t="str">
        <f>IF(VLOOKUP(AE$2,行为概览!$D$3:$M$33,10,0)="","",VLOOKUP(AE$2,行为概览!$D$3:$M$33,10,0)*IF(玩法行为规划!AD138&gt;0,1,0))</f>
        <v/>
      </c>
      <c r="AF138" s="7">
        <f>IF(VLOOKUP(AF$2,行为概览!$D$3:$M$33,10,0)="","",VLOOKUP(AF$2,行为概览!$D$3:$M$33,10,0)*IF(玩法行为规划!AE138&gt;0,1,0))</f>
        <v>20</v>
      </c>
      <c r="AG138" s="7">
        <f t="shared" si="14"/>
        <v>80</v>
      </c>
      <c r="AH138" s="7">
        <f t="shared" si="15"/>
        <v>10880</v>
      </c>
      <c r="AI138" s="7">
        <v>0</v>
      </c>
      <c r="AJ138" s="21" t="str">
        <f t="shared" si="13"/>
        <v/>
      </c>
      <c r="AK138" s="7">
        <f t="shared" si="16"/>
        <v>10880</v>
      </c>
      <c r="AL138" s="7">
        <f>SUM($AK$3:AK138)</f>
        <v>713415</v>
      </c>
    </row>
    <row r="139" spans="1:38">
      <c r="A139" s="32">
        <v>137</v>
      </c>
      <c r="B139" s="87">
        <f>升级节奏!F139</f>
        <v>137</v>
      </c>
      <c r="C139" s="7">
        <f>IF(VLOOKUP(C$2,行为概览!$D$3:$M$33,10,0)="","",VLOOKUP(C$2,行为概览!$D$3:$M$33,10,0)*IF(玩法行为规划!B139&gt;0,1,0))</f>
        <v>8</v>
      </c>
      <c r="D139" s="7" t="str">
        <f>IF(VLOOKUP(D$2,行为概览!$D$3:$M$33,10,0)="","",VLOOKUP(D$2,行为概览!$D$3:$M$33,10,0)*IF(玩法行为规划!C139&gt;0,1,0))</f>
        <v/>
      </c>
      <c r="E139" s="7" t="str">
        <f>IF(VLOOKUP(E$2,行为概览!$D$3:$M$33,10,0)="","",VLOOKUP(E$2,行为概览!$D$3:$M$33,10,0)*IF(玩法行为规划!D139&gt;0,1,0))</f>
        <v/>
      </c>
      <c r="F139" s="7">
        <f>IF(VLOOKUP(F$2,行为概览!$D$3:$M$33,10,0)="","",VLOOKUP(F$2,行为概览!$D$3:$M$33,10,0)*IF(玩法行为规划!E139&gt;0,1,0))</f>
        <v>10</v>
      </c>
      <c r="G139" s="7" t="str">
        <f>IF(VLOOKUP(G$2,行为概览!$D$3:$M$33,10,0)="","",VLOOKUP(G$2,行为概览!$D$3:$M$33,10,0)*IF(玩法行为规划!F139&gt;0,1,0))</f>
        <v/>
      </c>
      <c r="H139" s="7" t="str">
        <f>IF(VLOOKUP(H$2,行为概览!$D$3:$M$33,10,0)="","",VLOOKUP(H$2,行为概览!$D$3:$M$33,10,0)*IF(玩法行为规划!G139&gt;0,1,0))</f>
        <v/>
      </c>
      <c r="I139" s="7" t="str">
        <f>IF(VLOOKUP(I$2,行为概览!$D$3:$M$33,10,0)="","",VLOOKUP(I$2,行为概览!$D$3:$M$33,10,0)*IF(玩法行为规划!H139&gt;0,1,0))</f>
        <v/>
      </c>
      <c r="J139" s="7" t="str">
        <f>IF(VLOOKUP(J$2,行为概览!$D$3:$M$33,10,0)="","",VLOOKUP(J$2,行为概览!$D$3:$M$33,10,0)*IF(玩法行为规划!I139&gt;0,1,0))</f>
        <v/>
      </c>
      <c r="K139" s="7">
        <f>IF(VLOOKUP(K$2,行为概览!$D$3:$M$33,10,0)="","",VLOOKUP(K$2,行为概览!$D$3:$M$33,10,0)*IF(玩法行为规划!J139&gt;0,1,0))</f>
        <v>10</v>
      </c>
      <c r="L139" s="7">
        <f>IF(VLOOKUP(L$2,行为概览!$D$3:$M$33,10,0)="","",VLOOKUP(L$2,行为概览!$D$3:$M$33,10,0)*IF(玩法行为规划!K139&gt;0,1,0))</f>
        <v>5</v>
      </c>
      <c r="M139" s="7" t="str">
        <f>IF(VLOOKUP(M$2,行为概览!$D$3:$M$33,10,0)="","",VLOOKUP(M$2,行为概览!$D$3:$M$33,10,0)*IF(玩法行为规划!L139&gt;0,1,0))</f>
        <v/>
      </c>
      <c r="N139" s="7" t="str">
        <f>IF(VLOOKUP(N$2,行为概览!$D$3:$M$33,10,0)="","",VLOOKUP(N$2,行为概览!$D$3:$M$33,10,0)*IF(玩法行为规划!M139&gt;0,1,0))</f>
        <v/>
      </c>
      <c r="O139" s="7" t="str">
        <f>IF(VLOOKUP(O$2,行为概览!$D$3:$M$33,10,0)="","",VLOOKUP(O$2,行为概览!$D$3:$M$33,10,0)*IF(玩法行为规划!N139&gt;0,1,0))</f>
        <v/>
      </c>
      <c r="P139" s="7" t="str">
        <f>IF(VLOOKUP(P$2,行为概览!$D$3:$M$33,10,0)="","",VLOOKUP(P$2,行为概览!$D$3:$M$33,10,0)*IF(玩法行为规划!O139&gt;0,1,0))</f>
        <v/>
      </c>
      <c r="Q139" s="7">
        <f>IF(VLOOKUP(Q$2,行为概览!$D$3:$M$33,10,0)="","",VLOOKUP(Q$2,行为概览!$D$3:$M$33,10,0)*IF(玩法行为规划!P139&gt;0,1,0))</f>
        <v>10</v>
      </c>
      <c r="R139" s="7" t="str">
        <f>IF(VLOOKUP(R$2,行为概览!$D$3:$M$33,10,0)="","",VLOOKUP(R$2,行为概览!$D$3:$M$33,10,0)*IF(玩法行为规划!Q139&gt;0,1,0))</f>
        <v/>
      </c>
      <c r="S139" s="7">
        <f>IF(VLOOKUP(S$2,行为概览!$D$3:$M$33,10,0)="","",VLOOKUP(S$2,行为概览!$D$3:$M$33,10,0)*IF(玩法行为规划!R139&gt;0,1,0))</f>
        <v>3</v>
      </c>
      <c r="T139" s="7" t="str">
        <f>IF(VLOOKUP(T$2,行为概览!$D$3:$M$33,10,0)="","",VLOOKUP(T$2,行为概览!$D$3:$M$33,10,0)*IF(玩法行为规划!S139&gt;0,1,0))</f>
        <v/>
      </c>
      <c r="U139" s="7" t="str">
        <f>IF(VLOOKUP(U$2,行为概览!$D$3:$M$33,10,0)="","",VLOOKUP(U$2,行为概览!$D$3:$M$33,10,0)*IF(玩法行为规划!T139&gt;0,1,0))</f>
        <v/>
      </c>
      <c r="V139" s="7">
        <f>IF(VLOOKUP(V$2,行为概览!$D$3:$M$33,10,0)="","",VLOOKUP(V$2,行为概览!$D$3:$M$33,10,0)*IF(玩法行为规划!U139&gt;0,1,0))</f>
        <v>4</v>
      </c>
      <c r="W139" s="7" t="str">
        <f>IF(VLOOKUP(W$2,行为概览!$D$3:$M$33,10,0)="","",VLOOKUP(W$2,行为概览!$D$3:$M$33,10,0)*IF(玩法行为规划!V139&gt;0,1,0))</f>
        <v/>
      </c>
      <c r="X139" s="7" t="str">
        <f>IF(VLOOKUP(X$2,行为概览!$D$3:$M$33,10,0)="","",VLOOKUP(X$2,行为概览!$D$3:$M$33,10,0)*IF(玩法行为规划!W139&gt;0,1,0))</f>
        <v/>
      </c>
      <c r="Y139" s="7" t="str">
        <f>IF(VLOOKUP(Y$2,行为概览!$D$3:$M$33,10,0)="","",VLOOKUP(Y$2,行为概览!$D$3:$M$33,10,0)*IF(玩法行为规划!X139&gt;0,1,0))</f>
        <v/>
      </c>
      <c r="Z139" s="7">
        <f>IF(VLOOKUP(Z$2,行为概览!$D$3:$M$33,10,0)="","",VLOOKUP(Z$2,行为概览!$D$3:$M$33,10,0)*IF(玩法行为规划!Y139&gt;0,1,0))</f>
        <v>10</v>
      </c>
      <c r="AA139" s="7" t="str">
        <f>IF(VLOOKUP(AA$2,行为概览!$D$3:$M$33,10,0)="","",VLOOKUP(AA$2,行为概览!$D$3:$M$33,10,0)*IF(玩法行为规划!Z139&gt;0,1,0))</f>
        <v/>
      </c>
      <c r="AB139" s="7" t="str">
        <f>IF(VLOOKUP(AB$2,行为概览!$D$3:$M$33,10,0)="","",VLOOKUP(AB$2,行为概览!$D$3:$M$33,10,0)*IF(玩法行为规划!AA139&gt;0,1,0))</f>
        <v/>
      </c>
      <c r="AC139" s="7" t="str">
        <f>IF(VLOOKUP(AC$2,行为概览!$D$3:$M$33,10,0)="","",VLOOKUP(AC$2,行为概览!$D$3:$M$33,10,0)*IF(玩法行为规划!AB139&gt;0,1,0))</f>
        <v/>
      </c>
      <c r="AD139" s="7" t="str">
        <f>IF(VLOOKUP(AD$2,行为概览!$D$3:$M$33,10,0)="","",VLOOKUP(AD$2,行为概览!$D$3:$M$33,10,0)*IF(玩法行为规划!AC139&gt;0,1,0))</f>
        <v/>
      </c>
      <c r="AE139" s="7" t="str">
        <f>IF(VLOOKUP(AE$2,行为概览!$D$3:$M$33,10,0)="","",VLOOKUP(AE$2,行为概览!$D$3:$M$33,10,0)*IF(玩法行为规划!AD139&gt;0,1,0))</f>
        <v/>
      </c>
      <c r="AF139" s="7">
        <f>IF(VLOOKUP(AF$2,行为概览!$D$3:$M$33,10,0)="","",VLOOKUP(AF$2,行为概览!$D$3:$M$33,10,0)*IF(玩法行为规划!AE139&gt;0,1,0))</f>
        <v>20</v>
      </c>
      <c r="AG139" s="7">
        <f t="shared" si="14"/>
        <v>80</v>
      </c>
      <c r="AH139" s="7">
        <f t="shared" si="15"/>
        <v>10960</v>
      </c>
      <c r="AI139" s="7">
        <v>0</v>
      </c>
      <c r="AJ139" s="21" t="str">
        <f t="shared" si="13"/>
        <v/>
      </c>
      <c r="AK139" s="7">
        <f t="shared" si="16"/>
        <v>10960</v>
      </c>
      <c r="AL139" s="7">
        <f>SUM($AK$3:AK139)</f>
        <v>724375</v>
      </c>
    </row>
    <row r="140" spans="1:38">
      <c r="A140" s="32">
        <v>138</v>
      </c>
      <c r="B140" s="87">
        <f>升级节奏!F140</f>
        <v>138</v>
      </c>
      <c r="C140" s="7">
        <f>IF(VLOOKUP(C$2,行为概览!$D$3:$M$33,10,0)="","",VLOOKUP(C$2,行为概览!$D$3:$M$33,10,0)*IF(玩法行为规划!B140&gt;0,1,0))</f>
        <v>8</v>
      </c>
      <c r="D140" s="7" t="str">
        <f>IF(VLOOKUP(D$2,行为概览!$D$3:$M$33,10,0)="","",VLOOKUP(D$2,行为概览!$D$3:$M$33,10,0)*IF(玩法行为规划!C140&gt;0,1,0))</f>
        <v/>
      </c>
      <c r="E140" s="7" t="str">
        <f>IF(VLOOKUP(E$2,行为概览!$D$3:$M$33,10,0)="","",VLOOKUP(E$2,行为概览!$D$3:$M$33,10,0)*IF(玩法行为规划!D140&gt;0,1,0))</f>
        <v/>
      </c>
      <c r="F140" s="7">
        <f>IF(VLOOKUP(F$2,行为概览!$D$3:$M$33,10,0)="","",VLOOKUP(F$2,行为概览!$D$3:$M$33,10,0)*IF(玩法行为规划!E140&gt;0,1,0))</f>
        <v>10</v>
      </c>
      <c r="G140" s="7" t="str">
        <f>IF(VLOOKUP(G$2,行为概览!$D$3:$M$33,10,0)="","",VLOOKUP(G$2,行为概览!$D$3:$M$33,10,0)*IF(玩法行为规划!F140&gt;0,1,0))</f>
        <v/>
      </c>
      <c r="H140" s="7" t="str">
        <f>IF(VLOOKUP(H$2,行为概览!$D$3:$M$33,10,0)="","",VLOOKUP(H$2,行为概览!$D$3:$M$33,10,0)*IF(玩法行为规划!G140&gt;0,1,0))</f>
        <v/>
      </c>
      <c r="I140" s="7" t="str">
        <f>IF(VLOOKUP(I$2,行为概览!$D$3:$M$33,10,0)="","",VLOOKUP(I$2,行为概览!$D$3:$M$33,10,0)*IF(玩法行为规划!H140&gt;0,1,0))</f>
        <v/>
      </c>
      <c r="J140" s="7" t="str">
        <f>IF(VLOOKUP(J$2,行为概览!$D$3:$M$33,10,0)="","",VLOOKUP(J$2,行为概览!$D$3:$M$33,10,0)*IF(玩法行为规划!I140&gt;0,1,0))</f>
        <v/>
      </c>
      <c r="K140" s="7">
        <f>IF(VLOOKUP(K$2,行为概览!$D$3:$M$33,10,0)="","",VLOOKUP(K$2,行为概览!$D$3:$M$33,10,0)*IF(玩法行为规划!J140&gt;0,1,0))</f>
        <v>10</v>
      </c>
      <c r="L140" s="7">
        <f>IF(VLOOKUP(L$2,行为概览!$D$3:$M$33,10,0)="","",VLOOKUP(L$2,行为概览!$D$3:$M$33,10,0)*IF(玩法行为规划!K140&gt;0,1,0))</f>
        <v>5</v>
      </c>
      <c r="M140" s="7" t="str">
        <f>IF(VLOOKUP(M$2,行为概览!$D$3:$M$33,10,0)="","",VLOOKUP(M$2,行为概览!$D$3:$M$33,10,0)*IF(玩法行为规划!L140&gt;0,1,0))</f>
        <v/>
      </c>
      <c r="N140" s="7" t="str">
        <f>IF(VLOOKUP(N$2,行为概览!$D$3:$M$33,10,0)="","",VLOOKUP(N$2,行为概览!$D$3:$M$33,10,0)*IF(玩法行为规划!M140&gt;0,1,0))</f>
        <v/>
      </c>
      <c r="O140" s="7" t="str">
        <f>IF(VLOOKUP(O$2,行为概览!$D$3:$M$33,10,0)="","",VLOOKUP(O$2,行为概览!$D$3:$M$33,10,0)*IF(玩法行为规划!N140&gt;0,1,0))</f>
        <v/>
      </c>
      <c r="P140" s="7" t="str">
        <f>IF(VLOOKUP(P$2,行为概览!$D$3:$M$33,10,0)="","",VLOOKUP(P$2,行为概览!$D$3:$M$33,10,0)*IF(玩法行为规划!O140&gt;0,1,0))</f>
        <v/>
      </c>
      <c r="Q140" s="7">
        <f>IF(VLOOKUP(Q$2,行为概览!$D$3:$M$33,10,0)="","",VLOOKUP(Q$2,行为概览!$D$3:$M$33,10,0)*IF(玩法行为规划!P140&gt;0,1,0))</f>
        <v>10</v>
      </c>
      <c r="R140" s="7" t="str">
        <f>IF(VLOOKUP(R$2,行为概览!$D$3:$M$33,10,0)="","",VLOOKUP(R$2,行为概览!$D$3:$M$33,10,0)*IF(玩法行为规划!Q140&gt;0,1,0))</f>
        <v/>
      </c>
      <c r="S140" s="7">
        <f>IF(VLOOKUP(S$2,行为概览!$D$3:$M$33,10,0)="","",VLOOKUP(S$2,行为概览!$D$3:$M$33,10,0)*IF(玩法行为规划!R140&gt;0,1,0))</f>
        <v>3</v>
      </c>
      <c r="T140" s="7" t="str">
        <f>IF(VLOOKUP(T$2,行为概览!$D$3:$M$33,10,0)="","",VLOOKUP(T$2,行为概览!$D$3:$M$33,10,0)*IF(玩法行为规划!S140&gt;0,1,0))</f>
        <v/>
      </c>
      <c r="U140" s="7" t="str">
        <f>IF(VLOOKUP(U$2,行为概览!$D$3:$M$33,10,0)="","",VLOOKUP(U$2,行为概览!$D$3:$M$33,10,0)*IF(玩法行为规划!T140&gt;0,1,0))</f>
        <v/>
      </c>
      <c r="V140" s="7">
        <f>IF(VLOOKUP(V$2,行为概览!$D$3:$M$33,10,0)="","",VLOOKUP(V$2,行为概览!$D$3:$M$33,10,0)*IF(玩法行为规划!U140&gt;0,1,0))</f>
        <v>4</v>
      </c>
      <c r="W140" s="7" t="str">
        <f>IF(VLOOKUP(W$2,行为概览!$D$3:$M$33,10,0)="","",VLOOKUP(W$2,行为概览!$D$3:$M$33,10,0)*IF(玩法行为规划!V140&gt;0,1,0))</f>
        <v/>
      </c>
      <c r="X140" s="7" t="str">
        <f>IF(VLOOKUP(X$2,行为概览!$D$3:$M$33,10,0)="","",VLOOKUP(X$2,行为概览!$D$3:$M$33,10,0)*IF(玩法行为规划!W140&gt;0,1,0))</f>
        <v/>
      </c>
      <c r="Y140" s="7" t="str">
        <f>IF(VLOOKUP(Y$2,行为概览!$D$3:$M$33,10,0)="","",VLOOKUP(Y$2,行为概览!$D$3:$M$33,10,0)*IF(玩法行为规划!X140&gt;0,1,0))</f>
        <v/>
      </c>
      <c r="Z140" s="7">
        <f>IF(VLOOKUP(Z$2,行为概览!$D$3:$M$33,10,0)="","",VLOOKUP(Z$2,行为概览!$D$3:$M$33,10,0)*IF(玩法行为规划!Y140&gt;0,1,0))</f>
        <v>10</v>
      </c>
      <c r="AA140" s="7" t="str">
        <f>IF(VLOOKUP(AA$2,行为概览!$D$3:$M$33,10,0)="","",VLOOKUP(AA$2,行为概览!$D$3:$M$33,10,0)*IF(玩法行为规划!Z140&gt;0,1,0))</f>
        <v/>
      </c>
      <c r="AB140" s="7" t="str">
        <f>IF(VLOOKUP(AB$2,行为概览!$D$3:$M$33,10,0)="","",VLOOKUP(AB$2,行为概览!$D$3:$M$33,10,0)*IF(玩法行为规划!AA140&gt;0,1,0))</f>
        <v/>
      </c>
      <c r="AC140" s="7" t="str">
        <f>IF(VLOOKUP(AC$2,行为概览!$D$3:$M$33,10,0)="","",VLOOKUP(AC$2,行为概览!$D$3:$M$33,10,0)*IF(玩法行为规划!AB140&gt;0,1,0))</f>
        <v/>
      </c>
      <c r="AD140" s="7" t="str">
        <f>IF(VLOOKUP(AD$2,行为概览!$D$3:$M$33,10,0)="","",VLOOKUP(AD$2,行为概览!$D$3:$M$33,10,0)*IF(玩法行为规划!AC140&gt;0,1,0))</f>
        <v/>
      </c>
      <c r="AE140" s="7" t="str">
        <f>IF(VLOOKUP(AE$2,行为概览!$D$3:$M$33,10,0)="","",VLOOKUP(AE$2,行为概览!$D$3:$M$33,10,0)*IF(玩法行为规划!AD140&gt;0,1,0))</f>
        <v/>
      </c>
      <c r="AF140" s="7">
        <f>IF(VLOOKUP(AF$2,行为概览!$D$3:$M$33,10,0)="","",VLOOKUP(AF$2,行为概览!$D$3:$M$33,10,0)*IF(玩法行为规划!AE140&gt;0,1,0))</f>
        <v>20</v>
      </c>
      <c r="AG140" s="7">
        <f t="shared" si="14"/>
        <v>80</v>
      </c>
      <c r="AH140" s="7">
        <f t="shared" si="15"/>
        <v>11040</v>
      </c>
      <c r="AI140" s="7">
        <v>0</v>
      </c>
      <c r="AJ140" s="21" t="str">
        <f t="shared" ref="AJ140:AJ152" si="17">IF(--RIGHT(A140,1)=0,SUM(AI140:AI149),"")</f>
        <v/>
      </c>
      <c r="AK140" s="7">
        <f t="shared" si="16"/>
        <v>11040</v>
      </c>
      <c r="AL140" s="7">
        <f>SUM($AK$3:AK140)</f>
        <v>735415</v>
      </c>
    </row>
    <row r="141" spans="1:38">
      <c r="A141" s="32">
        <v>139</v>
      </c>
      <c r="B141" s="87">
        <f>升级节奏!F141</f>
        <v>139</v>
      </c>
      <c r="C141" s="7">
        <f>IF(VLOOKUP(C$2,行为概览!$D$3:$M$33,10,0)="","",VLOOKUP(C$2,行为概览!$D$3:$M$33,10,0)*IF(玩法行为规划!B141&gt;0,1,0))</f>
        <v>8</v>
      </c>
      <c r="D141" s="7" t="str">
        <f>IF(VLOOKUP(D$2,行为概览!$D$3:$M$33,10,0)="","",VLOOKUP(D$2,行为概览!$D$3:$M$33,10,0)*IF(玩法行为规划!C141&gt;0,1,0))</f>
        <v/>
      </c>
      <c r="E141" s="7" t="str">
        <f>IF(VLOOKUP(E$2,行为概览!$D$3:$M$33,10,0)="","",VLOOKUP(E$2,行为概览!$D$3:$M$33,10,0)*IF(玩法行为规划!D141&gt;0,1,0))</f>
        <v/>
      </c>
      <c r="F141" s="7">
        <f>IF(VLOOKUP(F$2,行为概览!$D$3:$M$33,10,0)="","",VLOOKUP(F$2,行为概览!$D$3:$M$33,10,0)*IF(玩法行为规划!E141&gt;0,1,0))</f>
        <v>10</v>
      </c>
      <c r="G141" s="7" t="str">
        <f>IF(VLOOKUP(G$2,行为概览!$D$3:$M$33,10,0)="","",VLOOKUP(G$2,行为概览!$D$3:$M$33,10,0)*IF(玩法行为规划!F141&gt;0,1,0))</f>
        <v/>
      </c>
      <c r="H141" s="7" t="str">
        <f>IF(VLOOKUP(H$2,行为概览!$D$3:$M$33,10,0)="","",VLOOKUP(H$2,行为概览!$D$3:$M$33,10,0)*IF(玩法行为规划!G141&gt;0,1,0))</f>
        <v/>
      </c>
      <c r="I141" s="7" t="str">
        <f>IF(VLOOKUP(I$2,行为概览!$D$3:$M$33,10,0)="","",VLOOKUP(I$2,行为概览!$D$3:$M$33,10,0)*IF(玩法行为规划!H141&gt;0,1,0))</f>
        <v/>
      </c>
      <c r="J141" s="7" t="str">
        <f>IF(VLOOKUP(J$2,行为概览!$D$3:$M$33,10,0)="","",VLOOKUP(J$2,行为概览!$D$3:$M$33,10,0)*IF(玩法行为规划!I141&gt;0,1,0))</f>
        <v/>
      </c>
      <c r="K141" s="7">
        <f>IF(VLOOKUP(K$2,行为概览!$D$3:$M$33,10,0)="","",VLOOKUP(K$2,行为概览!$D$3:$M$33,10,0)*IF(玩法行为规划!J141&gt;0,1,0))</f>
        <v>10</v>
      </c>
      <c r="L141" s="7">
        <f>IF(VLOOKUP(L$2,行为概览!$D$3:$M$33,10,0)="","",VLOOKUP(L$2,行为概览!$D$3:$M$33,10,0)*IF(玩法行为规划!K141&gt;0,1,0))</f>
        <v>5</v>
      </c>
      <c r="M141" s="7" t="str">
        <f>IF(VLOOKUP(M$2,行为概览!$D$3:$M$33,10,0)="","",VLOOKUP(M$2,行为概览!$D$3:$M$33,10,0)*IF(玩法行为规划!L141&gt;0,1,0))</f>
        <v/>
      </c>
      <c r="N141" s="7" t="str">
        <f>IF(VLOOKUP(N$2,行为概览!$D$3:$M$33,10,0)="","",VLOOKUP(N$2,行为概览!$D$3:$M$33,10,0)*IF(玩法行为规划!M141&gt;0,1,0))</f>
        <v/>
      </c>
      <c r="O141" s="7" t="str">
        <f>IF(VLOOKUP(O$2,行为概览!$D$3:$M$33,10,0)="","",VLOOKUP(O$2,行为概览!$D$3:$M$33,10,0)*IF(玩法行为规划!N141&gt;0,1,0))</f>
        <v/>
      </c>
      <c r="P141" s="7" t="str">
        <f>IF(VLOOKUP(P$2,行为概览!$D$3:$M$33,10,0)="","",VLOOKUP(P$2,行为概览!$D$3:$M$33,10,0)*IF(玩法行为规划!O141&gt;0,1,0))</f>
        <v/>
      </c>
      <c r="Q141" s="7">
        <f>IF(VLOOKUP(Q$2,行为概览!$D$3:$M$33,10,0)="","",VLOOKUP(Q$2,行为概览!$D$3:$M$33,10,0)*IF(玩法行为规划!P141&gt;0,1,0))</f>
        <v>10</v>
      </c>
      <c r="R141" s="7" t="str">
        <f>IF(VLOOKUP(R$2,行为概览!$D$3:$M$33,10,0)="","",VLOOKUP(R$2,行为概览!$D$3:$M$33,10,0)*IF(玩法行为规划!Q141&gt;0,1,0))</f>
        <v/>
      </c>
      <c r="S141" s="7">
        <f>IF(VLOOKUP(S$2,行为概览!$D$3:$M$33,10,0)="","",VLOOKUP(S$2,行为概览!$D$3:$M$33,10,0)*IF(玩法行为规划!R141&gt;0,1,0))</f>
        <v>3</v>
      </c>
      <c r="T141" s="7" t="str">
        <f>IF(VLOOKUP(T$2,行为概览!$D$3:$M$33,10,0)="","",VLOOKUP(T$2,行为概览!$D$3:$M$33,10,0)*IF(玩法行为规划!S141&gt;0,1,0))</f>
        <v/>
      </c>
      <c r="U141" s="7" t="str">
        <f>IF(VLOOKUP(U$2,行为概览!$D$3:$M$33,10,0)="","",VLOOKUP(U$2,行为概览!$D$3:$M$33,10,0)*IF(玩法行为规划!T141&gt;0,1,0))</f>
        <v/>
      </c>
      <c r="V141" s="7">
        <f>IF(VLOOKUP(V$2,行为概览!$D$3:$M$33,10,0)="","",VLOOKUP(V$2,行为概览!$D$3:$M$33,10,0)*IF(玩法行为规划!U141&gt;0,1,0))</f>
        <v>4</v>
      </c>
      <c r="W141" s="7" t="str">
        <f>IF(VLOOKUP(W$2,行为概览!$D$3:$M$33,10,0)="","",VLOOKUP(W$2,行为概览!$D$3:$M$33,10,0)*IF(玩法行为规划!V141&gt;0,1,0))</f>
        <v/>
      </c>
      <c r="X141" s="7" t="str">
        <f>IF(VLOOKUP(X$2,行为概览!$D$3:$M$33,10,0)="","",VLOOKUP(X$2,行为概览!$D$3:$M$33,10,0)*IF(玩法行为规划!W141&gt;0,1,0))</f>
        <v/>
      </c>
      <c r="Y141" s="7" t="str">
        <f>IF(VLOOKUP(Y$2,行为概览!$D$3:$M$33,10,0)="","",VLOOKUP(Y$2,行为概览!$D$3:$M$33,10,0)*IF(玩法行为规划!X141&gt;0,1,0))</f>
        <v/>
      </c>
      <c r="Z141" s="7">
        <f>IF(VLOOKUP(Z$2,行为概览!$D$3:$M$33,10,0)="","",VLOOKUP(Z$2,行为概览!$D$3:$M$33,10,0)*IF(玩法行为规划!Y141&gt;0,1,0))</f>
        <v>10</v>
      </c>
      <c r="AA141" s="7" t="str">
        <f>IF(VLOOKUP(AA$2,行为概览!$D$3:$M$33,10,0)="","",VLOOKUP(AA$2,行为概览!$D$3:$M$33,10,0)*IF(玩法行为规划!Z141&gt;0,1,0))</f>
        <v/>
      </c>
      <c r="AB141" s="7" t="str">
        <f>IF(VLOOKUP(AB$2,行为概览!$D$3:$M$33,10,0)="","",VLOOKUP(AB$2,行为概览!$D$3:$M$33,10,0)*IF(玩法行为规划!AA141&gt;0,1,0))</f>
        <v/>
      </c>
      <c r="AC141" s="7" t="str">
        <f>IF(VLOOKUP(AC$2,行为概览!$D$3:$M$33,10,0)="","",VLOOKUP(AC$2,行为概览!$D$3:$M$33,10,0)*IF(玩法行为规划!AB141&gt;0,1,0))</f>
        <v/>
      </c>
      <c r="AD141" s="7" t="str">
        <f>IF(VLOOKUP(AD$2,行为概览!$D$3:$M$33,10,0)="","",VLOOKUP(AD$2,行为概览!$D$3:$M$33,10,0)*IF(玩法行为规划!AC141&gt;0,1,0))</f>
        <v/>
      </c>
      <c r="AE141" s="7" t="str">
        <f>IF(VLOOKUP(AE$2,行为概览!$D$3:$M$33,10,0)="","",VLOOKUP(AE$2,行为概览!$D$3:$M$33,10,0)*IF(玩法行为规划!AD141&gt;0,1,0))</f>
        <v/>
      </c>
      <c r="AF141" s="7">
        <f>IF(VLOOKUP(AF$2,行为概览!$D$3:$M$33,10,0)="","",VLOOKUP(AF$2,行为概览!$D$3:$M$33,10,0)*IF(玩法行为规划!AE141&gt;0,1,0))</f>
        <v>20</v>
      </c>
      <c r="AG141" s="7">
        <f t="shared" si="14"/>
        <v>80</v>
      </c>
      <c r="AH141" s="7">
        <f t="shared" si="15"/>
        <v>11120</v>
      </c>
      <c r="AI141" s="7">
        <v>0</v>
      </c>
      <c r="AJ141" s="21" t="str">
        <f t="shared" si="17"/>
        <v/>
      </c>
      <c r="AK141" s="7">
        <f t="shared" si="16"/>
        <v>11120</v>
      </c>
      <c r="AL141" s="7">
        <f>SUM($AK$3:AK141)</f>
        <v>746535</v>
      </c>
    </row>
    <row r="142" spans="1:38">
      <c r="A142" s="32">
        <v>140</v>
      </c>
      <c r="B142" s="87">
        <f>升级节奏!F142</f>
        <v>140</v>
      </c>
      <c r="C142" s="7">
        <f>IF(VLOOKUP(C$2,行为概览!$D$3:$M$33,10,0)="","",VLOOKUP(C$2,行为概览!$D$3:$M$33,10,0)*IF(玩法行为规划!B142&gt;0,1,0))</f>
        <v>8</v>
      </c>
      <c r="D142" s="7" t="str">
        <f>IF(VLOOKUP(D$2,行为概览!$D$3:$M$33,10,0)="","",VLOOKUP(D$2,行为概览!$D$3:$M$33,10,0)*IF(玩法行为规划!C142&gt;0,1,0))</f>
        <v/>
      </c>
      <c r="E142" s="7" t="str">
        <f>IF(VLOOKUP(E$2,行为概览!$D$3:$M$33,10,0)="","",VLOOKUP(E$2,行为概览!$D$3:$M$33,10,0)*IF(玩法行为规划!D142&gt;0,1,0))</f>
        <v/>
      </c>
      <c r="F142" s="7">
        <f>IF(VLOOKUP(F$2,行为概览!$D$3:$M$33,10,0)="","",VLOOKUP(F$2,行为概览!$D$3:$M$33,10,0)*IF(玩法行为规划!E142&gt;0,1,0))</f>
        <v>10</v>
      </c>
      <c r="G142" s="7" t="str">
        <f>IF(VLOOKUP(G$2,行为概览!$D$3:$M$33,10,0)="","",VLOOKUP(G$2,行为概览!$D$3:$M$33,10,0)*IF(玩法行为规划!F142&gt;0,1,0))</f>
        <v/>
      </c>
      <c r="H142" s="7" t="str">
        <f>IF(VLOOKUP(H$2,行为概览!$D$3:$M$33,10,0)="","",VLOOKUP(H$2,行为概览!$D$3:$M$33,10,0)*IF(玩法行为规划!G142&gt;0,1,0))</f>
        <v/>
      </c>
      <c r="I142" s="7" t="str">
        <f>IF(VLOOKUP(I$2,行为概览!$D$3:$M$33,10,0)="","",VLOOKUP(I$2,行为概览!$D$3:$M$33,10,0)*IF(玩法行为规划!H142&gt;0,1,0))</f>
        <v/>
      </c>
      <c r="J142" s="7" t="str">
        <f>IF(VLOOKUP(J$2,行为概览!$D$3:$M$33,10,0)="","",VLOOKUP(J$2,行为概览!$D$3:$M$33,10,0)*IF(玩法行为规划!I142&gt;0,1,0))</f>
        <v/>
      </c>
      <c r="K142" s="7">
        <f>IF(VLOOKUP(K$2,行为概览!$D$3:$M$33,10,0)="","",VLOOKUP(K$2,行为概览!$D$3:$M$33,10,0)*IF(玩法行为规划!J142&gt;0,1,0))</f>
        <v>10</v>
      </c>
      <c r="L142" s="7">
        <f>IF(VLOOKUP(L$2,行为概览!$D$3:$M$33,10,0)="","",VLOOKUP(L$2,行为概览!$D$3:$M$33,10,0)*IF(玩法行为规划!K142&gt;0,1,0))</f>
        <v>5</v>
      </c>
      <c r="M142" s="7" t="str">
        <f>IF(VLOOKUP(M$2,行为概览!$D$3:$M$33,10,0)="","",VLOOKUP(M$2,行为概览!$D$3:$M$33,10,0)*IF(玩法行为规划!L142&gt;0,1,0))</f>
        <v/>
      </c>
      <c r="N142" s="7" t="str">
        <f>IF(VLOOKUP(N$2,行为概览!$D$3:$M$33,10,0)="","",VLOOKUP(N$2,行为概览!$D$3:$M$33,10,0)*IF(玩法行为规划!M142&gt;0,1,0))</f>
        <v/>
      </c>
      <c r="O142" s="7" t="str">
        <f>IF(VLOOKUP(O$2,行为概览!$D$3:$M$33,10,0)="","",VLOOKUP(O$2,行为概览!$D$3:$M$33,10,0)*IF(玩法行为规划!N142&gt;0,1,0))</f>
        <v/>
      </c>
      <c r="P142" s="7" t="str">
        <f>IF(VLOOKUP(P$2,行为概览!$D$3:$M$33,10,0)="","",VLOOKUP(P$2,行为概览!$D$3:$M$33,10,0)*IF(玩法行为规划!O142&gt;0,1,0))</f>
        <v/>
      </c>
      <c r="Q142" s="7">
        <f>IF(VLOOKUP(Q$2,行为概览!$D$3:$M$33,10,0)="","",VLOOKUP(Q$2,行为概览!$D$3:$M$33,10,0)*IF(玩法行为规划!P142&gt;0,1,0))</f>
        <v>10</v>
      </c>
      <c r="R142" s="7" t="str">
        <f>IF(VLOOKUP(R$2,行为概览!$D$3:$M$33,10,0)="","",VLOOKUP(R$2,行为概览!$D$3:$M$33,10,0)*IF(玩法行为规划!Q142&gt;0,1,0))</f>
        <v/>
      </c>
      <c r="S142" s="7">
        <f>IF(VLOOKUP(S$2,行为概览!$D$3:$M$33,10,0)="","",VLOOKUP(S$2,行为概览!$D$3:$M$33,10,0)*IF(玩法行为规划!R142&gt;0,1,0))</f>
        <v>3</v>
      </c>
      <c r="T142" s="7" t="str">
        <f>IF(VLOOKUP(T$2,行为概览!$D$3:$M$33,10,0)="","",VLOOKUP(T$2,行为概览!$D$3:$M$33,10,0)*IF(玩法行为规划!S142&gt;0,1,0))</f>
        <v/>
      </c>
      <c r="U142" s="7" t="str">
        <f>IF(VLOOKUP(U$2,行为概览!$D$3:$M$33,10,0)="","",VLOOKUP(U$2,行为概览!$D$3:$M$33,10,0)*IF(玩法行为规划!T142&gt;0,1,0))</f>
        <v/>
      </c>
      <c r="V142" s="7">
        <f>IF(VLOOKUP(V$2,行为概览!$D$3:$M$33,10,0)="","",VLOOKUP(V$2,行为概览!$D$3:$M$33,10,0)*IF(玩法行为规划!U142&gt;0,1,0))</f>
        <v>4</v>
      </c>
      <c r="W142" s="7" t="str">
        <f>IF(VLOOKUP(W$2,行为概览!$D$3:$M$33,10,0)="","",VLOOKUP(W$2,行为概览!$D$3:$M$33,10,0)*IF(玩法行为规划!V142&gt;0,1,0))</f>
        <v/>
      </c>
      <c r="X142" s="7" t="str">
        <f>IF(VLOOKUP(X$2,行为概览!$D$3:$M$33,10,0)="","",VLOOKUP(X$2,行为概览!$D$3:$M$33,10,0)*IF(玩法行为规划!W142&gt;0,1,0))</f>
        <v/>
      </c>
      <c r="Y142" s="7" t="str">
        <f>IF(VLOOKUP(Y$2,行为概览!$D$3:$M$33,10,0)="","",VLOOKUP(Y$2,行为概览!$D$3:$M$33,10,0)*IF(玩法行为规划!X142&gt;0,1,0))</f>
        <v/>
      </c>
      <c r="Z142" s="7">
        <f>IF(VLOOKUP(Z$2,行为概览!$D$3:$M$33,10,0)="","",VLOOKUP(Z$2,行为概览!$D$3:$M$33,10,0)*IF(玩法行为规划!Y142&gt;0,1,0))</f>
        <v>10</v>
      </c>
      <c r="AA142" s="7" t="str">
        <f>IF(VLOOKUP(AA$2,行为概览!$D$3:$M$33,10,0)="","",VLOOKUP(AA$2,行为概览!$D$3:$M$33,10,0)*IF(玩法行为规划!Z142&gt;0,1,0))</f>
        <v/>
      </c>
      <c r="AB142" s="7" t="str">
        <f>IF(VLOOKUP(AB$2,行为概览!$D$3:$M$33,10,0)="","",VLOOKUP(AB$2,行为概览!$D$3:$M$33,10,0)*IF(玩法行为规划!AA142&gt;0,1,0))</f>
        <v/>
      </c>
      <c r="AC142" s="7" t="str">
        <f>IF(VLOOKUP(AC$2,行为概览!$D$3:$M$33,10,0)="","",VLOOKUP(AC$2,行为概览!$D$3:$M$33,10,0)*IF(玩法行为规划!AB142&gt;0,1,0))</f>
        <v/>
      </c>
      <c r="AD142" s="7" t="str">
        <f>IF(VLOOKUP(AD$2,行为概览!$D$3:$M$33,10,0)="","",VLOOKUP(AD$2,行为概览!$D$3:$M$33,10,0)*IF(玩法行为规划!AC142&gt;0,1,0))</f>
        <v/>
      </c>
      <c r="AE142" s="7" t="str">
        <f>IF(VLOOKUP(AE$2,行为概览!$D$3:$M$33,10,0)="","",VLOOKUP(AE$2,行为概览!$D$3:$M$33,10,0)*IF(玩法行为规划!AD142&gt;0,1,0))</f>
        <v/>
      </c>
      <c r="AF142" s="7">
        <f>IF(VLOOKUP(AF$2,行为概览!$D$3:$M$33,10,0)="","",VLOOKUP(AF$2,行为概览!$D$3:$M$33,10,0)*IF(玩法行为规划!AE142&gt;0,1,0))</f>
        <v>20</v>
      </c>
      <c r="AG142" s="7">
        <f t="shared" si="14"/>
        <v>80</v>
      </c>
      <c r="AH142" s="7">
        <f t="shared" si="15"/>
        <v>11200</v>
      </c>
      <c r="AI142" s="7">
        <v>0</v>
      </c>
      <c r="AJ142" s="21">
        <f t="shared" si="17"/>
        <v>0</v>
      </c>
      <c r="AK142" s="7">
        <f t="shared" si="16"/>
        <v>11200</v>
      </c>
      <c r="AL142" s="7">
        <f>SUM($AK$3:AK142)</f>
        <v>757735</v>
      </c>
    </row>
    <row r="143" spans="1:38">
      <c r="A143" s="32">
        <v>141</v>
      </c>
      <c r="B143" s="87">
        <f>升级节奏!F143</f>
        <v>141</v>
      </c>
      <c r="C143" s="7">
        <f>IF(VLOOKUP(C$2,行为概览!$D$3:$M$33,10,0)="","",VLOOKUP(C$2,行为概览!$D$3:$M$33,10,0)*IF(玩法行为规划!B143&gt;0,1,0))</f>
        <v>8</v>
      </c>
      <c r="D143" s="7" t="str">
        <f>IF(VLOOKUP(D$2,行为概览!$D$3:$M$33,10,0)="","",VLOOKUP(D$2,行为概览!$D$3:$M$33,10,0)*IF(玩法行为规划!C143&gt;0,1,0))</f>
        <v/>
      </c>
      <c r="E143" s="7" t="str">
        <f>IF(VLOOKUP(E$2,行为概览!$D$3:$M$33,10,0)="","",VLOOKUP(E$2,行为概览!$D$3:$M$33,10,0)*IF(玩法行为规划!D143&gt;0,1,0))</f>
        <v/>
      </c>
      <c r="F143" s="7">
        <f>IF(VLOOKUP(F$2,行为概览!$D$3:$M$33,10,0)="","",VLOOKUP(F$2,行为概览!$D$3:$M$33,10,0)*IF(玩法行为规划!E143&gt;0,1,0))</f>
        <v>10</v>
      </c>
      <c r="G143" s="7" t="str">
        <f>IF(VLOOKUP(G$2,行为概览!$D$3:$M$33,10,0)="","",VLOOKUP(G$2,行为概览!$D$3:$M$33,10,0)*IF(玩法行为规划!F143&gt;0,1,0))</f>
        <v/>
      </c>
      <c r="H143" s="7" t="str">
        <f>IF(VLOOKUP(H$2,行为概览!$D$3:$M$33,10,0)="","",VLOOKUP(H$2,行为概览!$D$3:$M$33,10,0)*IF(玩法行为规划!G143&gt;0,1,0))</f>
        <v/>
      </c>
      <c r="I143" s="7" t="str">
        <f>IF(VLOOKUP(I$2,行为概览!$D$3:$M$33,10,0)="","",VLOOKUP(I$2,行为概览!$D$3:$M$33,10,0)*IF(玩法行为规划!H143&gt;0,1,0))</f>
        <v/>
      </c>
      <c r="J143" s="7" t="str">
        <f>IF(VLOOKUP(J$2,行为概览!$D$3:$M$33,10,0)="","",VLOOKUP(J$2,行为概览!$D$3:$M$33,10,0)*IF(玩法行为规划!I143&gt;0,1,0))</f>
        <v/>
      </c>
      <c r="K143" s="7">
        <f>IF(VLOOKUP(K$2,行为概览!$D$3:$M$33,10,0)="","",VLOOKUP(K$2,行为概览!$D$3:$M$33,10,0)*IF(玩法行为规划!J143&gt;0,1,0))</f>
        <v>10</v>
      </c>
      <c r="L143" s="7">
        <f>IF(VLOOKUP(L$2,行为概览!$D$3:$M$33,10,0)="","",VLOOKUP(L$2,行为概览!$D$3:$M$33,10,0)*IF(玩法行为规划!K143&gt;0,1,0))</f>
        <v>5</v>
      </c>
      <c r="M143" s="7" t="str">
        <f>IF(VLOOKUP(M$2,行为概览!$D$3:$M$33,10,0)="","",VLOOKUP(M$2,行为概览!$D$3:$M$33,10,0)*IF(玩法行为规划!L143&gt;0,1,0))</f>
        <v/>
      </c>
      <c r="N143" s="7" t="str">
        <f>IF(VLOOKUP(N$2,行为概览!$D$3:$M$33,10,0)="","",VLOOKUP(N$2,行为概览!$D$3:$M$33,10,0)*IF(玩法行为规划!M143&gt;0,1,0))</f>
        <v/>
      </c>
      <c r="O143" s="7" t="str">
        <f>IF(VLOOKUP(O$2,行为概览!$D$3:$M$33,10,0)="","",VLOOKUP(O$2,行为概览!$D$3:$M$33,10,0)*IF(玩法行为规划!N143&gt;0,1,0))</f>
        <v/>
      </c>
      <c r="P143" s="7" t="str">
        <f>IF(VLOOKUP(P$2,行为概览!$D$3:$M$33,10,0)="","",VLOOKUP(P$2,行为概览!$D$3:$M$33,10,0)*IF(玩法行为规划!O143&gt;0,1,0))</f>
        <v/>
      </c>
      <c r="Q143" s="7">
        <f>IF(VLOOKUP(Q$2,行为概览!$D$3:$M$33,10,0)="","",VLOOKUP(Q$2,行为概览!$D$3:$M$33,10,0)*IF(玩法行为规划!P143&gt;0,1,0))</f>
        <v>10</v>
      </c>
      <c r="R143" s="7" t="str">
        <f>IF(VLOOKUP(R$2,行为概览!$D$3:$M$33,10,0)="","",VLOOKUP(R$2,行为概览!$D$3:$M$33,10,0)*IF(玩法行为规划!Q143&gt;0,1,0))</f>
        <v/>
      </c>
      <c r="S143" s="7">
        <f>IF(VLOOKUP(S$2,行为概览!$D$3:$M$33,10,0)="","",VLOOKUP(S$2,行为概览!$D$3:$M$33,10,0)*IF(玩法行为规划!R143&gt;0,1,0))</f>
        <v>3</v>
      </c>
      <c r="T143" s="7" t="str">
        <f>IF(VLOOKUP(T$2,行为概览!$D$3:$M$33,10,0)="","",VLOOKUP(T$2,行为概览!$D$3:$M$33,10,0)*IF(玩法行为规划!S143&gt;0,1,0))</f>
        <v/>
      </c>
      <c r="U143" s="7" t="str">
        <f>IF(VLOOKUP(U$2,行为概览!$D$3:$M$33,10,0)="","",VLOOKUP(U$2,行为概览!$D$3:$M$33,10,0)*IF(玩法行为规划!T143&gt;0,1,0))</f>
        <v/>
      </c>
      <c r="V143" s="7">
        <f>IF(VLOOKUP(V$2,行为概览!$D$3:$M$33,10,0)="","",VLOOKUP(V$2,行为概览!$D$3:$M$33,10,0)*IF(玩法行为规划!U143&gt;0,1,0))</f>
        <v>4</v>
      </c>
      <c r="W143" s="7" t="str">
        <f>IF(VLOOKUP(W$2,行为概览!$D$3:$M$33,10,0)="","",VLOOKUP(W$2,行为概览!$D$3:$M$33,10,0)*IF(玩法行为规划!V143&gt;0,1,0))</f>
        <v/>
      </c>
      <c r="X143" s="7" t="str">
        <f>IF(VLOOKUP(X$2,行为概览!$D$3:$M$33,10,0)="","",VLOOKUP(X$2,行为概览!$D$3:$M$33,10,0)*IF(玩法行为规划!W143&gt;0,1,0))</f>
        <v/>
      </c>
      <c r="Y143" s="7" t="str">
        <f>IF(VLOOKUP(Y$2,行为概览!$D$3:$M$33,10,0)="","",VLOOKUP(Y$2,行为概览!$D$3:$M$33,10,0)*IF(玩法行为规划!X143&gt;0,1,0))</f>
        <v/>
      </c>
      <c r="Z143" s="7">
        <f>IF(VLOOKUP(Z$2,行为概览!$D$3:$M$33,10,0)="","",VLOOKUP(Z$2,行为概览!$D$3:$M$33,10,0)*IF(玩法行为规划!Y143&gt;0,1,0))</f>
        <v>10</v>
      </c>
      <c r="AA143" s="7" t="str">
        <f>IF(VLOOKUP(AA$2,行为概览!$D$3:$M$33,10,0)="","",VLOOKUP(AA$2,行为概览!$D$3:$M$33,10,0)*IF(玩法行为规划!Z143&gt;0,1,0))</f>
        <v/>
      </c>
      <c r="AB143" s="7" t="str">
        <f>IF(VLOOKUP(AB$2,行为概览!$D$3:$M$33,10,0)="","",VLOOKUP(AB$2,行为概览!$D$3:$M$33,10,0)*IF(玩法行为规划!AA143&gt;0,1,0))</f>
        <v/>
      </c>
      <c r="AC143" s="7" t="str">
        <f>IF(VLOOKUP(AC$2,行为概览!$D$3:$M$33,10,0)="","",VLOOKUP(AC$2,行为概览!$D$3:$M$33,10,0)*IF(玩法行为规划!AB143&gt;0,1,0))</f>
        <v/>
      </c>
      <c r="AD143" s="7" t="str">
        <f>IF(VLOOKUP(AD$2,行为概览!$D$3:$M$33,10,0)="","",VLOOKUP(AD$2,行为概览!$D$3:$M$33,10,0)*IF(玩法行为规划!AC143&gt;0,1,0))</f>
        <v/>
      </c>
      <c r="AE143" s="7" t="str">
        <f>IF(VLOOKUP(AE$2,行为概览!$D$3:$M$33,10,0)="","",VLOOKUP(AE$2,行为概览!$D$3:$M$33,10,0)*IF(玩法行为规划!AD143&gt;0,1,0))</f>
        <v/>
      </c>
      <c r="AF143" s="7">
        <f>IF(VLOOKUP(AF$2,行为概览!$D$3:$M$33,10,0)="","",VLOOKUP(AF$2,行为概览!$D$3:$M$33,10,0)*IF(玩法行为规划!AE143&gt;0,1,0))</f>
        <v>20</v>
      </c>
      <c r="AG143" s="7">
        <f t="shared" si="14"/>
        <v>80</v>
      </c>
      <c r="AH143" s="7">
        <f t="shared" si="15"/>
        <v>11280</v>
      </c>
      <c r="AI143" s="7">
        <v>0</v>
      </c>
      <c r="AJ143" s="21" t="str">
        <f t="shared" si="17"/>
        <v/>
      </c>
      <c r="AK143" s="7">
        <f t="shared" si="16"/>
        <v>11280</v>
      </c>
      <c r="AL143" s="7">
        <f>SUM($AK$3:AK143)</f>
        <v>769015</v>
      </c>
    </row>
    <row r="144" spans="1:38">
      <c r="A144" s="32">
        <v>142</v>
      </c>
      <c r="B144" s="87">
        <f>升级节奏!F144</f>
        <v>142</v>
      </c>
      <c r="C144" s="7">
        <f>IF(VLOOKUP(C$2,行为概览!$D$3:$M$33,10,0)="","",VLOOKUP(C$2,行为概览!$D$3:$M$33,10,0)*IF(玩法行为规划!B144&gt;0,1,0))</f>
        <v>8</v>
      </c>
      <c r="D144" s="7" t="str">
        <f>IF(VLOOKUP(D$2,行为概览!$D$3:$M$33,10,0)="","",VLOOKUP(D$2,行为概览!$D$3:$M$33,10,0)*IF(玩法行为规划!C144&gt;0,1,0))</f>
        <v/>
      </c>
      <c r="E144" s="7" t="str">
        <f>IF(VLOOKUP(E$2,行为概览!$D$3:$M$33,10,0)="","",VLOOKUP(E$2,行为概览!$D$3:$M$33,10,0)*IF(玩法行为规划!D144&gt;0,1,0))</f>
        <v/>
      </c>
      <c r="F144" s="7">
        <f>IF(VLOOKUP(F$2,行为概览!$D$3:$M$33,10,0)="","",VLOOKUP(F$2,行为概览!$D$3:$M$33,10,0)*IF(玩法行为规划!E144&gt;0,1,0))</f>
        <v>10</v>
      </c>
      <c r="G144" s="7" t="str">
        <f>IF(VLOOKUP(G$2,行为概览!$D$3:$M$33,10,0)="","",VLOOKUP(G$2,行为概览!$D$3:$M$33,10,0)*IF(玩法行为规划!F144&gt;0,1,0))</f>
        <v/>
      </c>
      <c r="H144" s="7" t="str">
        <f>IF(VLOOKUP(H$2,行为概览!$D$3:$M$33,10,0)="","",VLOOKUP(H$2,行为概览!$D$3:$M$33,10,0)*IF(玩法行为规划!G144&gt;0,1,0))</f>
        <v/>
      </c>
      <c r="I144" s="7" t="str">
        <f>IF(VLOOKUP(I$2,行为概览!$D$3:$M$33,10,0)="","",VLOOKUP(I$2,行为概览!$D$3:$M$33,10,0)*IF(玩法行为规划!H144&gt;0,1,0))</f>
        <v/>
      </c>
      <c r="J144" s="7" t="str">
        <f>IF(VLOOKUP(J$2,行为概览!$D$3:$M$33,10,0)="","",VLOOKUP(J$2,行为概览!$D$3:$M$33,10,0)*IF(玩法行为规划!I144&gt;0,1,0))</f>
        <v/>
      </c>
      <c r="K144" s="7">
        <f>IF(VLOOKUP(K$2,行为概览!$D$3:$M$33,10,0)="","",VLOOKUP(K$2,行为概览!$D$3:$M$33,10,0)*IF(玩法行为规划!J144&gt;0,1,0))</f>
        <v>10</v>
      </c>
      <c r="L144" s="7">
        <f>IF(VLOOKUP(L$2,行为概览!$D$3:$M$33,10,0)="","",VLOOKUP(L$2,行为概览!$D$3:$M$33,10,0)*IF(玩法行为规划!K144&gt;0,1,0))</f>
        <v>5</v>
      </c>
      <c r="M144" s="7" t="str">
        <f>IF(VLOOKUP(M$2,行为概览!$D$3:$M$33,10,0)="","",VLOOKUP(M$2,行为概览!$D$3:$M$33,10,0)*IF(玩法行为规划!L144&gt;0,1,0))</f>
        <v/>
      </c>
      <c r="N144" s="7" t="str">
        <f>IF(VLOOKUP(N$2,行为概览!$D$3:$M$33,10,0)="","",VLOOKUP(N$2,行为概览!$D$3:$M$33,10,0)*IF(玩法行为规划!M144&gt;0,1,0))</f>
        <v/>
      </c>
      <c r="O144" s="7" t="str">
        <f>IF(VLOOKUP(O$2,行为概览!$D$3:$M$33,10,0)="","",VLOOKUP(O$2,行为概览!$D$3:$M$33,10,0)*IF(玩法行为规划!N144&gt;0,1,0))</f>
        <v/>
      </c>
      <c r="P144" s="7" t="str">
        <f>IF(VLOOKUP(P$2,行为概览!$D$3:$M$33,10,0)="","",VLOOKUP(P$2,行为概览!$D$3:$M$33,10,0)*IF(玩法行为规划!O144&gt;0,1,0))</f>
        <v/>
      </c>
      <c r="Q144" s="7">
        <f>IF(VLOOKUP(Q$2,行为概览!$D$3:$M$33,10,0)="","",VLOOKUP(Q$2,行为概览!$D$3:$M$33,10,0)*IF(玩法行为规划!P144&gt;0,1,0))</f>
        <v>10</v>
      </c>
      <c r="R144" s="7" t="str">
        <f>IF(VLOOKUP(R$2,行为概览!$D$3:$M$33,10,0)="","",VLOOKUP(R$2,行为概览!$D$3:$M$33,10,0)*IF(玩法行为规划!Q144&gt;0,1,0))</f>
        <v/>
      </c>
      <c r="S144" s="7">
        <f>IF(VLOOKUP(S$2,行为概览!$D$3:$M$33,10,0)="","",VLOOKUP(S$2,行为概览!$D$3:$M$33,10,0)*IF(玩法行为规划!R144&gt;0,1,0))</f>
        <v>3</v>
      </c>
      <c r="T144" s="7" t="str">
        <f>IF(VLOOKUP(T$2,行为概览!$D$3:$M$33,10,0)="","",VLOOKUP(T$2,行为概览!$D$3:$M$33,10,0)*IF(玩法行为规划!S144&gt;0,1,0))</f>
        <v/>
      </c>
      <c r="U144" s="7" t="str">
        <f>IF(VLOOKUP(U$2,行为概览!$D$3:$M$33,10,0)="","",VLOOKUP(U$2,行为概览!$D$3:$M$33,10,0)*IF(玩法行为规划!T144&gt;0,1,0))</f>
        <v/>
      </c>
      <c r="V144" s="7">
        <f>IF(VLOOKUP(V$2,行为概览!$D$3:$M$33,10,0)="","",VLOOKUP(V$2,行为概览!$D$3:$M$33,10,0)*IF(玩法行为规划!U144&gt;0,1,0))</f>
        <v>4</v>
      </c>
      <c r="W144" s="7" t="str">
        <f>IF(VLOOKUP(W$2,行为概览!$D$3:$M$33,10,0)="","",VLOOKUP(W$2,行为概览!$D$3:$M$33,10,0)*IF(玩法行为规划!V144&gt;0,1,0))</f>
        <v/>
      </c>
      <c r="X144" s="7" t="str">
        <f>IF(VLOOKUP(X$2,行为概览!$D$3:$M$33,10,0)="","",VLOOKUP(X$2,行为概览!$D$3:$M$33,10,0)*IF(玩法行为规划!W144&gt;0,1,0))</f>
        <v/>
      </c>
      <c r="Y144" s="7" t="str">
        <f>IF(VLOOKUP(Y$2,行为概览!$D$3:$M$33,10,0)="","",VLOOKUP(Y$2,行为概览!$D$3:$M$33,10,0)*IF(玩法行为规划!X144&gt;0,1,0))</f>
        <v/>
      </c>
      <c r="Z144" s="7">
        <f>IF(VLOOKUP(Z$2,行为概览!$D$3:$M$33,10,0)="","",VLOOKUP(Z$2,行为概览!$D$3:$M$33,10,0)*IF(玩法行为规划!Y144&gt;0,1,0))</f>
        <v>10</v>
      </c>
      <c r="AA144" s="7" t="str">
        <f>IF(VLOOKUP(AA$2,行为概览!$D$3:$M$33,10,0)="","",VLOOKUP(AA$2,行为概览!$D$3:$M$33,10,0)*IF(玩法行为规划!Z144&gt;0,1,0))</f>
        <v/>
      </c>
      <c r="AB144" s="7" t="str">
        <f>IF(VLOOKUP(AB$2,行为概览!$D$3:$M$33,10,0)="","",VLOOKUP(AB$2,行为概览!$D$3:$M$33,10,0)*IF(玩法行为规划!AA144&gt;0,1,0))</f>
        <v/>
      </c>
      <c r="AC144" s="7" t="str">
        <f>IF(VLOOKUP(AC$2,行为概览!$D$3:$M$33,10,0)="","",VLOOKUP(AC$2,行为概览!$D$3:$M$33,10,0)*IF(玩法行为规划!AB144&gt;0,1,0))</f>
        <v/>
      </c>
      <c r="AD144" s="7" t="str">
        <f>IF(VLOOKUP(AD$2,行为概览!$D$3:$M$33,10,0)="","",VLOOKUP(AD$2,行为概览!$D$3:$M$33,10,0)*IF(玩法行为规划!AC144&gt;0,1,0))</f>
        <v/>
      </c>
      <c r="AE144" s="7" t="str">
        <f>IF(VLOOKUP(AE$2,行为概览!$D$3:$M$33,10,0)="","",VLOOKUP(AE$2,行为概览!$D$3:$M$33,10,0)*IF(玩法行为规划!AD144&gt;0,1,0))</f>
        <v/>
      </c>
      <c r="AF144" s="7">
        <f>IF(VLOOKUP(AF$2,行为概览!$D$3:$M$33,10,0)="","",VLOOKUP(AF$2,行为概览!$D$3:$M$33,10,0)*IF(玩法行为规划!AE144&gt;0,1,0))</f>
        <v>20</v>
      </c>
      <c r="AG144" s="7">
        <f t="shared" si="14"/>
        <v>80</v>
      </c>
      <c r="AH144" s="7">
        <f t="shared" si="15"/>
        <v>11360</v>
      </c>
      <c r="AI144" s="7">
        <v>0</v>
      </c>
      <c r="AJ144" s="21" t="str">
        <f t="shared" si="17"/>
        <v/>
      </c>
      <c r="AK144" s="7">
        <f t="shared" si="16"/>
        <v>11360</v>
      </c>
      <c r="AL144" s="7">
        <f>SUM($AK$3:AK144)</f>
        <v>780375</v>
      </c>
    </row>
    <row r="145" spans="1:38">
      <c r="A145" s="32">
        <v>143</v>
      </c>
      <c r="B145" s="87">
        <f>升级节奏!F145</f>
        <v>143</v>
      </c>
      <c r="C145" s="7">
        <f>IF(VLOOKUP(C$2,行为概览!$D$3:$M$33,10,0)="","",VLOOKUP(C$2,行为概览!$D$3:$M$33,10,0)*IF(玩法行为规划!B145&gt;0,1,0))</f>
        <v>8</v>
      </c>
      <c r="D145" s="7" t="str">
        <f>IF(VLOOKUP(D$2,行为概览!$D$3:$M$33,10,0)="","",VLOOKUP(D$2,行为概览!$D$3:$M$33,10,0)*IF(玩法行为规划!C145&gt;0,1,0))</f>
        <v/>
      </c>
      <c r="E145" s="7" t="str">
        <f>IF(VLOOKUP(E$2,行为概览!$D$3:$M$33,10,0)="","",VLOOKUP(E$2,行为概览!$D$3:$M$33,10,0)*IF(玩法行为规划!D145&gt;0,1,0))</f>
        <v/>
      </c>
      <c r="F145" s="7">
        <f>IF(VLOOKUP(F$2,行为概览!$D$3:$M$33,10,0)="","",VLOOKUP(F$2,行为概览!$D$3:$M$33,10,0)*IF(玩法行为规划!E145&gt;0,1,0))</f>
        <v>10</v>
      </c>
      <c r="G145" s="7" t="str">
        <f>IF(VLOOKUP(G$2,行为概览!$D$3:$M$33,10,0)="","",VLOOKUP(G$2,行为概览!$D$3:$M$33,10,0)*IF(玩法行为规划!F145&gt;0,1,0))</f>
        <v/>
      </c>
      <c r="H145" s="7" t="str">
        <f>IF(VLOOKUP(H$2,行为概览!$D$3:$M$33,10,0)="","",VLOOKUP(H$2,行为概览!$D$3:$M$33,10,0)*IF(玩法行为规划!G145&gt;0,1,0))</f>
        <v/>
      </c>
      <c r="I145" s="7" t="str">
        <f>IF(VLOOKUP(I$2,行为概览!$D$3:$M$33,10,0)="","",VLOOKUP(I$2,行为概览!$D$3:$M$33,10,0)*IF(玩法行为规划!H145&gt;0,1,0))</f>
        <v/>
      </c>
      <c r="J145" s="7" t="str">
        <f>IF(VLOOKUP(J$2,行为概览!$D$3:$M$33,10,0)="","",VLOOKUP(J$2,行为概览!$D$3:$M$33,10,0)*IF(玩法行为规划!I145&gt;0,1,0))</f>
        <v/>
      </c>
      <c r="K145" s="7">
        <f>IF(VLOOKUP(K$2,行为概览!$D$3:$M$33,10,0)="","",VLOOKUP(K$2,行为概览!$D$3:$M$33,10,0)*IF(玩法行为规划!J145&gt;0,1,0))</f>
        <v>10</v>
      </c>
      <c r="L145" s="7">
        <f>IF(VLOOKUP(L$2,行为概览!$D$3:$M$33,10,0)="","",VLOOKUP(L$2,行为概览!$D$3:$M$33,10,0)*IF(玩法行为规划!K145&gt;0,1,0))</f>
        <v>5</v>
      </c>
      <c r="M145" s="7" t="str">
        <f>IF(VLOOKUP(M$2,行为概览!$D$3:$M$33,10,0)="","",VLOOKUP(M$2,行为概览!$D$3:$M$33,10,0)*IF(玩法行为规划!L145&gt;0,1,0))</f>
        <v/>
      </c>
      <c r="N145" s="7" t="str">
        <f>IF(VLOOKUP(N$2,行为概览!$D$3:$M$33,10,0)="","",VLOOKUP(N$2,行为概览!$D$3:$M$33,10,0)*IF(玩法行为规划!M145&gt;0,1,0))</f>
        <v/>
      </c>
      <c r="O145" s="7" t="str">
        <f>IF(VLOOKUP(O$2,行为概览!$D$3:$M$33,10,0)="","",VLOOKUP(O$2,行为概览!$D$3:$M$33,10,0)*IF(玩法行为规划!N145&gt;0,1,0))</f>
        <v/>
      </c>
      <c r="P145" s="7" t="str">
        <f>IF(VLOOKUP(P$2,行为概览!$D$3:$M$33,10,0)="","",VLOOKUP(P$2,行为概览!$D$3:$M$33,10,0)*IF(玩法行为规划!O145&gt;0,1,0))</f>
        <v/>
      </c>
      <c r="Q145" s="7">
        <f>IF(VLOOKUP(Q$2,行为概览!$D$3:$M$33,10,0)="","",VLOOKUP(Q$2,行为概览!$D$3:$M$33,10,0)*IF(玩法行为规划!P145&gt;0,1,0))</f>
        <v>10</v>
      </c>
      <c r="R145" s="7" t="str">
        <f>IF(VLOOKUP(R$2,行为概览!$D$3:$M$33,10,0)="","",VLOOKUP(R$2,行为概览!$D$3:$M$33,10,0)*IF(玩法行为规划!Q145&gt;0,1,0))</f>
        <v/>
      </c>
      <c r="S145" s="7">
        <f>IF(VLOOKUP(S$2,行为概览!$D$3:$M$33,10,0)="","",VLOOKUP(S$2,行为概览!$D$3:$M$33,10,0)*IF(玩法行为规划!R145&gt;0,1,0))</f>
        <v>3</v>
      </c>
      <c r="T145" s="7" t="str">
        <f>IF(VLOOKUP(T$2,行为概览!$D$3:$M$33,10,0)="","",VLOOKUP(T$2,行为概览!$D$3:$M$33,10,0)*IF(玩法行为规划!S145&gt;0,1,0))</f>
        <v/>
      </c>
      <c r="U145" s="7" t="str">
        <f>IF(VLOOKUP(U$2,行为概览!$D$3:$M$33,10,0)="","",VLOOKUP(U$2,行为概览!$D$3:$M$33,10,0)*IF(玩法行为规划!T145&gt;0,1,0))</f>
        <v/>
      </c>
      <c r="V145" s="7">
        <f>IF(VLOOKUP(V$2,行为概览!$D$3:$M$33,10,0)="","",VLOOKUP(V$2,行为概览!$D$3:$M$33,10,0)*IF(玩法行为规划!U145&gt;0,1,0))</f>
        <v>4</v>
      </c>
      <c r="W145" s="7" t="str">
        <f>IF(VLOOKUP(W$2,行为概览!$D$3:$M$33,10,0)="","",VLOOKUP(W$2,行为概览!$D$3:$M$33,10,0)*IF(玩法行为规划!V145&gt;0,1,0))</f>
        <v/>
      </c>
      <c r="X145" s="7" t="str">
        <f>IF(VLOOKUP(X$2,行为概览!$D$3:$M$33,10,0)="","",VLOOKUP(X$2,行为概览!$D$3:$M$33,10,0)*IF(玩法行为规划!W145&gt;0,1,0))</f>
        <v/>
      </c>
      <c r="Y145" s="7" t="str">
        <f>IF(VLOOKUP(Y$2,行为概览!$D$3:$M$33,10,0)="","",VLOOKUP(Y$2,行为概览!$D$3:$M$33,10,0)*IF(玩法行为规划!X145&gt;0,1,0))</f>
        <v/>
      </c>
      <c r="Z145" s="7">
        <f>IF(VLOOKUP(Z$2,行为概览!$D$3:$M$33,10,0)="","",VLOOKUP(Z$2,行为概览!$D$3:$M$33,10,0)*IF(玩法行为规划!Y145&gt;0,1,0))</f>
        <v>10</v>
      </c>
      <c r="AA145" s="7" t="str">
        <f>IF(VLOOKUP(AA$2,行为概览!$D$3:$M$33,10,0)="","",VLOOKUP(AA$2,行为概览!$D$3:$M$33,10,0)*IF(玩法行为规划!Z145&gt;0,1,0))</f>
        <v/>
      </c>
      <c r="AB145" s="7" t="str">
        <f>IF(VLOOKUP(AB$2,行为概览!$D$3:$M$33,10,0)="","",VLOOKUP(AB$2,行为概览!$D$3:$M$33,10,0)*IF(玩法行为规划!AA145&gt;0,1,0))</f>
        <v/>
      </c>
      <c r="AC145" s="7" t="str">
        <f>IF(VLOOKUP(AC$2,行为概览!$D$3:$M$33,10,0)="","",VLOOKUP(AC$2,行为概览!$D$3:$M$33,10,0)*IF(玩法行为规划!AB145&gt;0,1,0))</f>
        <v/>
      </c>
      <c r="AD145" s="7" t="str">
        <f>IF(VLOOKUP(AD$2,行为概览!$D$3:$M$33,10,0)="","",VLOOKUP(AD$2,行为概览!$D$3:$M$33,10,0)*IF(玩法行为规划!AC145&gt;0,1,0))</f>
        <v/>
      </c>
      <c r="AE145" s="7" t="str">
        <f>IF(VLOOKUP(AE$2,行为概览!$D$3:$M$33,10,0)="","",VLOOKUP(AE$2,行为概览!$D$3:$M$33,10,0)*IF(玩法行为规划!AD145&gt;0,1,0))</f>
        <v/>
      </c>
      <c r="AF145" s="7">
        <f>IF(VLOOKUP(AF$2,行为概览!$D$3:$M$33,10,0)="","",VLOOKUP(AF$2,行为概览!$D$3:$M$33,10,0)*IF(玩法行为规划!AE145&gt;0,1,0))</f>
        <v>20</v>
      </c>
      <c r="AG145" s="7">
        <f t="shared" si="14"/>
        <v>80</v>
      </c>
      <c r="AH145" s="7">
        <f t="shared" si="15"/>
        <v>11440</v>
      </c>
      <c r="AI145" s="7">
        <v>0</v>
      </c>
      <c r="AJ145" s="21" t="str">
        <f t="shared" si="17"/>
        <v/>
      </c>
      <c r="AK145" s="7">
        <f t="shared" si="16"/>
        <v>11440</v>
      </c>
      <c r="AL145" s="7">
        <f>SUM($AK$3:AK145)</f>
        <v>791815</v>
      </c>
    </row>
    <row r="146" spans="1:38">
      <c r="A146" s="32">
        <v>144</v>
      </c>
      <c r="B146" s="87">
        <f>升级节奏!F146</f>
        <v>144</v>
      </c>
      <c r="C146" s="7">
        <f>IF(VLOOKUP(C$2,行为概览!$D$3:$M$33,10,0)="","",VLOOKUP(C$2,行为概览!$D$3:$M$33,10,0)*IF(玩法行为规划!B146&gt;0,1,0))</f>
        <v>8</v>
      </c>
      <c r="D146" s="7" t="str">
        <f>IF(VLOOKUP(D$2,行为概览!$D$3:$M$33,10,0)="","",VLOOKUP(D$2,行为概览!$D$3:$M$33,10,0)*IF(玩法行为规划!C146&gt;0,1,0))</f>
        <v/>
      </c>
      <c r="E146" s="7" t="str">
        <f>IF(VLOOKUP(E$2,行为概览!$D$3:$M$33,10,0)="","",VLOOKUP(E$2,行为概览!$D$3:$M$33,10,0)*IF(玩法行为规划!D146&gt;0,1,0))</f>
        <v/>
      </c>
      <c r="F146" s="7">
        <f>IF(VLOOKUP(F$2,行为概览!$D$3:$M$33,10,0)="","",VLOOKUP(F$2,行为概览!$D$3:$M$33,10,0)*IF(玩法行为规划!E146&gt;0,1,0))</f>
        <v>10</v>
      </c>
      <c r="G146" s="7" t="str">
        <f>IF(VLOOKUP(G$2,行为概览!$D$3:$M$33,10,0)="","",VLOOKUP(G$2,行为概览!$D$3:$M$33,10,0)*IF(玩法行为规划!F146&gt;0,1,0))</f>
        <v/>
      </c>
      <c r="H146" s="7" t="str">
        <f>IF(VLOOKUP(H$2,行为概览!$D$3:$M$33,10,0)="","",VLOOKUP(H$2,行为概览!$D$3:$M$33,10,0)*IF(玩法行为规划!G146&gt;0,1,0))</f>
        <v/>
      </c>
      <c r="I146" s="7" t="str">
        <f>IF(VLOOKUP(I$2,行为概览!$D$3:$M$33,10,0)="","",VLOOKUP(I$2,行为概览!$D$3:$M$33,10,0)*IF(玩法行为规划!H146&gt;0,1,0))</f>
        <v/>
      </c>
      <c r="J146" s="7" t="str">
        <f>IF(VLOOKUP(J$2,行为概览!$D$3:$M$33,10,0)="","",VLOOKUP(J$2,行为概览!$D$3:$M$33,10,0)*IF(玩法行为规划!I146&gt;0,1,0))</f>
        <v/>
      </c>
      <c r="K146" s="7">
        <f>IF(VLOOKUP(K$2,行为概览!$D$3:$M$33,10,0)="","",VLOOKUP(K$2,行为概览!$D$3:$M$33,10,0)*IF(玩法行为规划!J146&gt;0,1,0))</f>
        <v>10</v>
      </c>
      <c r="L146" s="7">
        <f>IF(VLOOKUP(L$2,行为概览!$D$3:$M$33,10,0)="","",VLOOKUP(L$2,行为概览!$D$3:$M$33,10,0)*IF(玩法行为规划!K146&gt;0,1,0))</f>
        <v>5</v>
      </c>
      <c r="M146" s="7" t="str">
        <f>IF(VLOOKUP(M$2,行为概览!$D$3:$M$33,10,0)="","",VLOOKUP(M$2,行为概览!$D$3:$M$33,10,0)*IF(玩法行为规划!L146&gt;0,1,0))</f>
        <v/>
      </c>
      <c r="N146" s="7" t="str">
        <f>IF(VLOOKUP(N$2,行为概览!$D$3:$M$33,10,0)="","",VLOOKUP(N$2,行为概览!$D$3:$M$33,10,0)*IF(玩法行为规划!M146&gt;0,1,0))</f>
        <v/>
      </c>
      <c r="O146" s="7" t="str">
        <f>IF(VLOOKUP(O$2,行为概览!$D$3:$M$33,10,0)="","",VLOOKUP(O$2,行为概览!$D$3:$M$33,10,0)*IF(玩法行为规划!N146&gt;0,1,0))</f>
        <v/>
      </c>
      <c r="P146" s="7" t="str">
        <f>IF(VLOOKUP(P$2,行为概览!$D$3:$M$33,10,0)="","",VLOOKUP(P$2,行为概览!$D$3:$M$33,10,0)*IF(玩法行为规划!O146&gt;0,1,0))</f>
        <v/>
      </c>
      <c r="Q146" s="7">
        <f>IF(VLOOKUP(Q$2,行为概览!$D$3:$M$33,10,0)="","",VLOOKUP(Q$2,行为概览!$D$3:$M$33,10,0)*IF(玩法行为规划!P146&gt;0,1,0))</f>
        <v>10</v>
      </c>
      <c r="R146" s="7" t="str">
        <f>IF(VLOOKUP(R$2,行为概览!$D$3:$M$33,10,0)="","",VLOOKUP(R$2,行为概览!$D$3:$M$33,10,0)*IF(玩法行为规划!Q146&gt;0,1,0))</f>
        <v/>
      </c>
      <c r="S146" s="7">
        <f>IF(VLOOKUP(S$2,行为概览!$D$3:$M$33,10,0)="","",VLOOKUP(S$2,行为概览!$D$3:$M$33,10,0)*IF(玩法行为规划!R146&gt;0,1,0))</f>
        <v>3</v>
      </c>
      <c r="T146" s="7" t="str">
        <f>IF(VLOOKUP(T$2,行为概览!$D$3:$M$33,10,0)="","",VLOOKUP(T$2,行为概览!$D$3:$M$33,10,0)*IF(玩法行为规划!S146&gt;0,1,0))</f>
        <v/>
      </c>
      <c r="U146" s="7" t="str">
        <f>IF(VLOOKUP(U$2,行为概览!$D$3:$M$33,10,0)="","",VLOOKUP(U$2,行为概览!$D$3:$M$33,10,0)*IF(玩法行为规划!T146&gt;0,1,0))</f>
        <v/>
      </c>
      <c r="V146" s="7">
        <f>IF(VLOOKUP(V$2,行为概览!$D$3:$M$33,10,0)="","",VLOOKUP(V$2,行为概览!$D$3:$M$33,10,0)*IF(玩法行为规划!U146&gt;0,1,0))</f>
        <v>4</v>
      </c>
      <c r="W146" s="7" t="str">
        <f>IF(VLOOKUP(W$2,行为概览!$D$3:$M$33,10,0)="","",VLOOKUP(W$2,行为概览!$D$3:$M$33,10,0)*IF(玩法行为规划!V146&gt;0,1,0))</f>
        <v/>
      </c>
      <c r="X146" s="7" t="str">
        <f>IF(VLOOKUP(X$2,行为概览!$D$3:$M$33,10,0)="","",VLOOKUP(X$2,行为概览!$D$3:$M$33,10,0)*IF(玩法行为规划!W146&gt;0,1,0))</f>
        <v/>
      </c>
      <c r="Y146" s="7" t="str">
        <f>IF(VLOOKUP(Y$2,行为概览!$D$3:$M$33,10,0)="","",VLOOKUP(Y$2,行为概览!$D$3:$M$33,10,0)*IF(玩法行为规划!X146&gt;0,1,0))</f>
        <v/>
      </c>
      <c r="Z146" s="7">
        <f>IF(VLOOKUP(Z$2,行为概览!$D$3:$M$33,10,0)="","",VLOOKUP(Z$2,行为概览!$D$3:$M$33,10,0)*IF(玩法行为规划!Y146&gt;0,1,0))</f>
        <v>10</v>
      </c>
      <c r="AA146" s="7" t="str">
        <f>IF(VLOOKUP(AA$2,行为概览!$D$3:$M$33,10,0)="","",VLOOKUP(AA$2,行为概览!$D$3:$M$33,10,0)*IF(玩法行为规划!Z146&gt;0,1,0))</f>
        <v/>
      </c>
      <c r="AB146" s="7" t="str">
        <f>IF(VLOOKUP(AB$2,行为概览!$D$3:$M$33,10,0)="","",VLOOKUP(AB$2,行为概览!$D$3:$M$33,10,0)*IF(玩法行为规划!AA146&gt;0,1,0))</f>
        <v/>
      </c>
      <c r="AC146" s="7" t="str">
        <f>IF(VLOOKUP(AC$2,行为概览!$D$3:$M$33,10,0)="","",VLOOKUP(AC$2,行为概览!$D$3:$M$33,10,0)*IF(玩法行为规划!AB146&gt;0,1,0))</f>
        <v/>
      </c>
      <c r="AD146" s="7" t="str">
        <f>IF(VLOOKUP(AD$2,行为概览!$D$3:$M$33,10,0)="","",VLOOKUP(AD$2,行为概览!$D$3:$M$33,10,0)*IF(玩法行为规划!AC146&gt;0,1,0))</f>
        <v/>
      </c>
      <c r="AE146" s="7" t="str">
        <f>IF(VLOOKUP(AE$2,行为概览!$D$3:$M$33,10,0)="","",VLOOKUP(AE$2,行为概览!$D$3:$M$33,10,0)*IF(玩法行为规划!AD146&gt;0,1,0))</f>
        <v/>
      </c>
      <c r="AF146" s="7">
        <f>IF(VLOOKUP(AF$2,行为概览!$D$3:$M$33,10,0)="","",VLOOKUP(AF$2,行为概览!$D$3:$M$33,10,0)*IF(玩法行为规划!AE146&gt;0,1,0))</f>
        <v>20</v>
      </c>
      <c r="AG146" s="7">
        <f t="shared" si="14"/>
        <v>80</v>
      </c>
      <c r="AH146" s="7">
        <f t="shared" si="15"/>
        <v>11520</v>
      </c>
      <c r="AI146" s="7">
        <v>0</v>
      </c>
      <c r="AJ146" s="21" t="str">
        <f t="shared" si="17"/>
        <v/>
      </c>
      <c r="AK146" s="7">
        <f t="shared" si="16"/>
        <v>11520</v>
      </c>
      <c r="AL146" s="7">
        <f>SUM($AK$3:AK146)</f>
        <v>803335</v>
      </c>
    </row>
    <row r="147" spans="1:38">
      <c r="A147" s="32">
        <v>145</v>
      </c>
      <c r="B147" s="87">
        <f>升级节奏!F147</f>
        <v>145</v>
      </c>
      <c r="C147" s="7">
        <f>IF(VLOOKUP(C$2,行为概览!$D$3:$M$33,10,0)="","",VLOOKUP(C$2,行为概览!$D$3:$M$33,10,0)*IF(玩法行为规划!B147&gt;0,1,0))</f>
        <v>8</v>
      </c>
      <c r="D147" s="7" t="str">
        <f>IF(VLOOKUP(D$2,行为概览!$D$3:$M$33,10,0)="","",VLOOKUP(D$2,行为概览!$D$3:$M$33,10,0)*IF(玩法行为规划!C147&gt;0,1,0))</f>
        <v/>
      </c>
      <c r="E147" s="7" t="str">
        <f>IF(VLOOKUP(E$2,行为概览!$D$3:$M$33,10,0)="","",VLOOKUP(E$2,行为概览!$D$3:$M$33,10,0)*IF(玩法行为规划!D147&gt;0,1,0))</f>
        <v/>
      </c>
      <c r="F147" s="7">
        <f>IF(VLOOKUP(F$2,行为概览!$D$3:$M$33,10,0)="","",VLOOKUP(F$2,行为概览!$D$3:$M$33,10,0)*IF(玩法行为规划!E147&gt;0,1,0))</f>
        <v>10</v>
      </c>
      <c r="G147" s="7" t="str">
        <f>IF(VLOOKUP(G$2,行为概览!$D$3:$M$33,10,0)="","",VLOOKUP(G$2,行为概览!$D$3:$M$33,10,0)*IF(玩法行为规划!F147&gt;0,1,0))</f>
        <v/>
      </c>
      <c r="H147" s="7" t="str">
        <f>IF(VLOOKUP(H$2,行为概览!$D$3:$M$33,10,0)="","",VLOOKUP(H$2,行为概览!$D$3:$M$33,10,0)*IF(玩法行为规划!G147&gt;0,1,0))</f>
        <v/>
      </c>
      <c r="I147" s="7" t="str">
        <f>IF(VLOOKUP(I$2,行为概览!$D$3:$M$33,10,0)="","",VLOOKUP(I$2,行为概览!$D$3:$M$33,10,0)*IF(玩法行为规划!H147&gt;0,1,0))</f>
        <v/>
      </c>
      <c r="J147" s="7" t="str">
        <f>IF(VLOOKUP(J$2,行为概览!$D$3:$M$33,10,0)="","",VLOOKUP(J$2,行为概览!$D$3:$M$33,10,0)*IF(玩法行为规划!I147&gt;0,1,0))</f>
        <v/>
      </c>
      <c r="K147" s="7">
        <f>IF(VLOOKUP(K$2,行为概览!$D$3:$M$33,10,0)="","",VLOOKUP(K$2,行为概览!$D$3:$M$33,10,0)*IF(玩法行为规划!J147&gt;0,1,0))</f>
        <v>10</v>
      </c>
      <c r="L147" s="7">
        <f>IF(VLOOKUP(L$2,行为概览!$D$3:$M$33,10,0)="","",VLOOKUP(L$2,行为概览!$D$3:$M$33,10,0)*IF(玩法行为规划!K147&gt;0,1,0))</f>
        <v>5</v>
      </c>
      <c r="M147" s="7" t="str">
        <f>IF(VLOOKUP(M$2,行为概览!$D$3:$M$33,10,0)="","",VLOOKUP(M$2,行为概览!$D$3:$M$33,10,0)*IF(玩法行为规划!L147&gt;0,1,0))</f>
        <v/>
      </c>
      <c r="N147" s="7" t="str">
        <f>IF(VLOOKUP(N$2,行为概览!$D$3:$M$33,10,0)="","",VLOOKUP(N$2,行为概览!$D$3:$M$33,10,0)*IF(玩法行为规划!M147&gt;0,1,0))</f>
        <v/>
      </c>
      <c r="O147" s="7" t="str">
        <f>IF(VLOOKUP(O$2,行为概览!$D$3:$M$33,10,0)="","",VLOOKUP(O$2,行为概览!$D$3:$M$33,10,0)*IF(玩法行为规划!N147&gt;0,1,0))</f>
        <v/>
      </c>
      <c r="P147" s="7" t="str">
        <f>IF(VLOOKUP(P$2,行为概览!$D$3:$M$33,10,0)="","",VLOOKUP(P$2,行为概览!$D$3:$M$33,10,0)*IF(玩法行为规划!O147&gt;0,1,0))</f>
        <v/>
      </c>
      <c r="Q147" s="7">
        <f>IF(VLOOKUP(Q$2,行为概览!$D$3:$M$33,10,0)="","",VLOOKUP(Q$2,行为概览!$D$3:$M$33,10,0)*IF(玩法行为规划!P147&gt;0,1,0))</f>
        <v>10</v>
      </c>
      <c r="R147" s="7" t="str">
        <f>IF(VLOOKUP(R$2,行为概览!$D$3:$M$33,10,0)="","",VLOOKUP(R$2,行为概览!$D$3:$M$33,10,0)*IF(玩法行为规划!Q147&gt;0,1,0))</f>
        <v/>
      </c>
      <c r="S147" s="7">
        <f>IF(VLOOKUP(S$2,行为概览!$D$3:$M$33,10,0)="","",VLOOKUP(S$2,行为概览!$D$3:$M$33,10,0)*IF(玩法行为规划!R147&gt;0,1,0))</f>
        <v>3</v>
      </c>
      <c r="T147" s="7" t="str">
        <f>IF(VLOOKUP(T$2,行为概览!$D$3:$M$33,10,0)="","",VLOOKUP(T$2,行为概览!$D$3:$M$33,10,0)*IF(玩法行为规划!S147&gt;0,1,0))</f>
        <v/>
      </c>
      <c r="U147" s="7" t="str">
        <f>IF(VLOOKUP(U$2,行为概览!$D$3:$M$33,10,0)="","",VLOOKUP(U$2,行为概览!$D$3:$M$33,10,0)*IF(玩法行为规划!T147&gt;0,1,0))</f>
        <v/>
      </c>
      <c r="V147" s="7">
        <f>IF(VLOOKUP(V$2,行为概览!$D$3:$M$33,10,0)="","",VLOOKUP(V$2,行为概览!$D$3:$M$33,10,0)*IF(玩法行为规划!U147&gt;0,1,0))</f>
        <v>4</v>
      </c>
      <c r="W147" s="7" t="str">
        <f>IF(VLOOKUP(W$2,行为概览!$D$3:$M$33,10,0)="","",VLOOKUP(W$2,行为概览!$D$3:$M$33,10,0)*IF(玩法行为规划!V147&gt;0,1,0))</f>
        <v/>
      </c>
      <c r="X147" s="7" t="str">
        <f>IF(VLOOKUP(X$2,行为概览!$D$3:$M$33,10,0)="","",VLOOKUP(X$2,行为概览!$D$3:$M$33,10,0)*IF(玩法行为规划!W147&gt;0,1,0))</f>
        <v/>
      </c>
      <c r="Y147" s="7" t="str">
        <f>IF(VLOOKUP(Y$2,行为概览!$D$3:$M$33,10,0)="","",VLOOKUP(Y$2,行为概览!$D$3:$M$33,10,0)*IF(玩法行为规划!X147&gt;0,1,0))</f>
        <v/>
      </c>
      <c r="Z147" s="7">
        <f>IF(VLOOKUP(Z$2,行为概览!$D$3:$M$33,10,0)="","",VLOOKUP(Z$2,行为概览!$D$3:$M$33,10,0)*IF(玩法行为规划!Y147&gt;0,1,0))</f>
        <v>10</v>
      </c>
      <c r="AA147" s="7" t="str">
        <f>IF(VLOOKUP(AA$2,行为概览!$D$3:$M$33,10,0)="","",VLOOKUP(AA$2,行为概览!$D$3:$M$33,10,0)*IF(玩法行为规划!Z147&gt;0,1,0))</f>
        <v/>
      </c>
      <c r="AB147" s="7" t="str">
        <f>IF(VLOOKUP(AB$2,行为概览!$D$3:$M$33,10,0)="","",VLOOKUP(AB$2,行为概览!$D$3:$M$33,10,0)*IF(玩法行为规划!AA147&gt;0,1,0))</f>
        <v/>
      </c>
      <c r="AC147" s="7" t="str">
        <f>IF(VLOOKUP(AC$2,行为概览!$D$3:$M$33,10,0)="","",VLOOKUP(AC$2,行为概览!$D$3:$M$33,10,0)*IF(玩法行为规划!AB147&gt;0,1,0))</f>
        <v/>
      </c>
      <c r="AD147" s="7" t="str">
        <f>IF(VLOOKUP(AD$2,行为概览!$D$3:$M$33,10,0)="","",VLOOKUP(AD$2,行为概览!$D$3:$M$33,10,0)*IF(玩法行为规划!AC147&gt;0,1,0))</f>
        <v/>
      </c>
      <c r="AE147" s="7" t="str">
        <f>IF(VLOOKUP(AE$2,行为概览!$D$3:$M$33,10,0)="","",VLOOKUP(AE$2,行为概览!$D$3:$M$33,10,0)*IF(玩法行为规划!AD147&gt;0,1,0))</f>
        <v/>
      </c>
      <c r="AF147" s="7">
        <f>IF(VLOOKUP(AF$2,行为概览!$D$3:$M$33,10,0)="","",VLOOKUP(AF$2,行为概览!$D$3:$M$33,10,0)*IF(玩法行为规划!AE147&gt;0,1,0))</f>
        <v>20</v>
      </c>
      <c r="AG147" s="7">
        <f t="shared" si="14"/>
        <v>80</v>
      </c>
      <c r="AH147" s="7">
        <f t="shared" si="15"/>
        <v>11600</v>
      </c>
      <c r="AI147" s="7">
        <v>0</v>
      </c>
      <c r="AJ147" s="21" t="str">
        <f t="shared" si="17"/>
        <v/>
      </c>
      <c r="AK147" s="7">
        <f t="shared" si="16"/>
        <v>11600</v>
      </c>
      <c r="AL147" s="7">
        <f>SUM($AK$3:AK147)</f>
        <v>814935</v>
      </c>
    </row>
    <row r="148" spans="1:38">
      <c r="A148" s="32">
        <v>146</v>
      </c>
      <c r="B148" s="87">
        <f>升级节奏!F148</f>
        <v>146</v>
      </c>
      <c r="C148" s="7">
        <f>IF(VLOOKUP(C$2,行为概览!$D$3:$M$33,10,0)="","",VLOOKUP(C$2,行为概览!$D$3:$M$33,10,0)*IF(玩法行为规划!B148&gt;0,1,0))</f>
        <v>8</v>
      </c>
      <c r="D148" s="7" t="str">
        <f>IF(VLOOKUP(D$2,行为概览!$D$3:$M$33,10,0)="","",VLOOKUP(D$2,行为概览!$D$3:$M$33,10,0)*IF(玩法行为规划!C148&gt;0,1,0))</f>
        <v/>
      </c>
      <c r="E148" s="7" t="str">
        <f>IF(VLOOKUP(E$2,行为概览!$D$3:$M$33,10,0)="","",VLOOKUP(E$2,行为概览!$D$3:$M$33,10,0)*IF(玩法行为规划!D148&gt;0,1,0))</f>
        <v/>
      </c>
      <c r="F148" s="7">
        <f>IF(VLOOKUP(F$2,行为概览!$D$3:$M$33,10,0)="","",VLOOKUP(F$2,行为概览!$D$3:$M$33,10,0)*IF(玩法行为规划!E148&gt;0,1,0))</f>
        <v>10</v>
      </c>
      <c r="G148" s="7" t="str">
        <f>IF(VLOOKUP(G$2,行为概览!$D$3:$M$33,10,0)="","",VLOOKUP(G$2,行为概览!$D$3:$M$33,10,0)*IF(玩法行为规划!F148&gt;0,1,0))</f>
        <v/>
      </c>
      <c r="H148" s="7" t="str">
        <f>IF(VLOOKUP(H$2,行为概览!$D$3:$M$33,10,0)="","",VLOOKUP(H$2,行为概览!$D$3:$M$33,10,0)*IF(玩法行为规划!G148&gt;0,1,0))</f>
        <v/>
      </c>
      <c r="I148" s="7" t="str">
        <f>IF(VLOOKUP(I$2,行为概览!$D$3:$M$33,10,0)="","",VLOOKUP(I$2,行为概览!$D$3:$M$33,10,0)*IF(玩法行为规划!H148&gt;0,1,0))</f>
        <v/>
      </c>
      <c r="J148" s="7" t="str">
        <f>IF(VLOOKUP(J$2,行为概览!$D$3:$M$33,10,0)="","",VLOOKUP(J$2,行为概览!$D$3:$M$33,10,0)*IF(玩法行为规划!I148&gt;0,1,0))</f>
        <v/>
      </c>
      <c r="K148" s="7">
        <f>IF(VLOOKUP(K$2,行为概览!$D$3:$M$33,10,0)="","",VLOOKUP(K$2,行为概览!$D$3:$M$33,10,0)*IF(玩法行为规划!J148&gt;0,1,0))</f>
        <v>10</v>
      </c>
      <c r="L148" s="7">
        <f>IF(VLOOKUP(L$2,行为概览!$D$3:$M$33,10,0)="","",VLOOKUP(L$2,行为概览!$D$3:$M$33,10,0)*IF(玩法行为规划!K148&gt;0,1,0))</f>
        <v>5</v>
      </c>
      <c r="M148" s="7" t="str">
        <f>IF(VLOOKUP(M$2,行为概览!$D$3:$M$33,10,0)="","",VLOOKUP(M$2,行为概览!$D$3:$M$33,10,0)*IF(玩法行为规划!L148&gt;0,1,0))</f>
        <v/>
      </c>
      <c r="N148" s="7" t="str">
        <f>IF(VLOOKUP(N$2,行为概览!$D$3:$M$33,10,0)="","",VLOOKUP(N$2,行为概览!$D$3:$M$33,10,0)*IF(玩法行为规划!M148&gt;0,1,0))</f>
        <v/>
      </c>
      <c r="O148" s="7" t="str">
        <f>IF(VLOOKUP(O$2,行为概览!$D$3:$M$33,10,0)="","",VLOOKUP(O$2,行为概览!$D$3:$M$33,10,0)*IF(玩法行为规划!N148&gt;0,1,0))</f>
        <v/>
      </c>
      <c r="P148" s="7" t="str">
        <f>IF(VLOOKUP(P$2,行为概览!$D$3:$M$33,10,0)="","",VLOOKUP(P$2,行为概览!$D$3:$M$33,10,0)*IF(玩法行为规划!O148&gt;0,1,0))</f>
        <v/>
      </c>
      <c r="Q148" s="7">
        <f>IF(VLOOKUP(Q$2,行为概览!$D$3:$M$33,10,0)="","",VLOOKUP(Q$2,行为概览!$D$3:$M$33,10,0)*IF(玩法行为规划!P148&gt;0,1,0))</f>
        <v>10</v>
      </c>
      <c r="R148" s="7" t="str">
        <f>IF(VLOOKUP(R$2,行为概览!$D$3:$M$33,10,0)="","",VLOOKUP(R$2,行为概览!$D$3:$M$33,10,0)*IF(玩法行为规划!Q148&gt;0,1,0))</f>
        <v/>
      </c>
      <c r="S148" s="7">
        <f>IF(VLOOKUP(S$2,行为概览!$D$3:$M$33,10,0)="","",VLOOKUP(S$2,行为概览!$D$3:$M$33,10,0)*IF(玩法行为规划!R148&gt;0,1,0))</f>
        <v>3</v>
      </c>
      <c r="T148" s="7" t="str">
        <f>IF(VLOOKUP(T$2,行为概览!$D$3:$M$33,10,0)="","",VLOOKUP(T$2,行为概览!$D$3:$M$33,10,0)*IF(玩法行为规划!S148&gt;0,1,0))</f>
        <v/>
      </c>
      <c r="U148" s="7" t="str">
        <f>IF(VLOOKUP(U$2,行为概览!$D$3:$M$33,10,0)="","",VLOOKUP(U$2,行为概览!$D$3:$M$33,10,0)*IF(玩法行为规划!T148&gt;0,1,0))</f>
        <v/>
      </c>
      <c r="V148" s="7">
        <f>IF(VLOOKUP(V$2,行为概览!$D$3:$M$33,10,0)="","",VLOOKUP(V$2,行为概览!$D$3:$M$33,10,0)*IF(玩法行为规划!U148&gt;0,1,0))</f>
        <v>4</v>
      </c>
      <c r="W148" s="7" t="str">
        <f>IF(VLOOKUP(W$2,行为概览!$D$3:$M$33,10,0)="","",VLOOKUP(W$2,行为概览!$D$3:$M$33,10,0)*IF(玩法行为规划!V148&gt;0,1,0))</f>
        <v/>
      </c>
      <c r="X148" s="7" t="str">
        <f>IF(VLOOKUP(X$2,行为概览!$D$3:$M$33,10,0)="","",VLOOKUP(X$2,行为概览!$D$3:$M$33,10,0)*IF(玩法行为规划!W148&gt;0,1,0))</f>
        <v/>
      </c>
      <c r="Y148" s="7" t="str">
        <f>IF(VLOOKUP(Y$2,行为概览!$D$3:$M$33,10,0)="","",VLOOKUP(Y$2,行为概览!$D$3:$M$33,10,0)*IF(玩法行为规划!X148&gt;0,1,0))</f>
        <v/>
      </c>
      <c r="Z148" s="7">
        <f>IF(VLOOKUP(Z$2,行为概览!$D$3:$M$33,10,0)="","",VLOOKUP(Z$2,行为概览!$D$3:$M$33,10,0)*IF(玩法行为规划!Y148&gt;0,1,0))</f>
        <v>10</v>
      </c>
      <c r="AA148" s="7" t="str">
        <f>IF(VLOOKUP(AA$2,行为概览!$D$3:$M$33,10,0)="","",VLOOKUP(AA$2,行为概览!$D$3:$M$33,10,0)*IF(玩法行为规划!Z148&gt;0,1,0))</f>
        <v/>
      </c>
      <c r="AB148" s="7" t="str">
        <f>IF(VLOOKUP(AB$2,行为概览!$D$3:$M$33,10,0)="","",VLOOKUP(AB$2,行为概览!$D$3:$M$33,10,0)*IF(玩法行为规划!AA148&gt;0,1,0))</f>
        <v/>
      </c>
      <c r="AC148" s="7" t="str">
        <f>IF(VLOOKUP(AC$2,行为概览!$D$3:$M$33,10,0)="","",VLOOKUP(AC$2,行为概览!$D$3:$M$33,10,0)*IF(玩法行为规划!AB148&gt;0,1,0))</f>
        <v/>
      </c>
      <c r="AD148" s="7" t="str">
        <f>IF(VLOOKUP(AD$2,行为概览!$D$3:$M$33,10,0)="","",VLOOKUP(AD$2,行为概览!$D$3:$M$33,10,0)*IF(玩法行为规划!AC148&gt;0,1,0))</f>
        <v/>
      </c>
      <c r="AE148" s="7" t="str">
        <f>IF(VLOOKUP(AE$2,行为概览!$D$3:$M$33,10,0)="","",VLOOKUP(AE$2,行为概览!$D$3:$M$33,10,0)*IF(玩法行为规划!AD148&gt;0,1,0))</f>
        <v/>
      </c>
      <c r="AF148" s="7">
        <f>IF(VLOOKUP(AF$2,行为概览!$D$3:$M$33,10,0)="","",VLOOKUP(AF$2,行为概览!$D$3:$M$33,10,0)*IF(玩法行为规划!AE148&gt;0,1,0))</f>
        <v>20</v>
      </c>
      <c r="AG148" s="7">
        <f t="shared" si="14"/>
        <v>80</v>
      </c>
      <c r="AH148" s="7">
        <f t="shared" si="15"/>
        <v>11680</v>
      </c>
      <c r="AI148" s="7">
        <v>0</v>
      </c>
      <c r="AJ148" s="21" t="str">
        <f t="shared" si="17"/>
        <v/>
      </c>
      <c r="AK148" s="7">
        <f t="shared" si="16"/>
        <v>11680</v>
      </c>
      <c r="AL148" s="7">
        <f>SUM($AK$3:AK148)</f>
        <v>826615</v>
      </c>
    </row>
    <row r="149" spans="1:38">
      <c r="A149" s="32">
        <v>147</v>
      </c>
      <c r="B149" s="87">
        <f>升级节奏!F149</f>
        <v>147</v>
      </c>
      <c r="C149" s="7">
        <f>IF(VLOOKUP(C$2,行为概览!$D$3:$M$33,10,0)="","",VLOOKUP(C$2,行为概览!$D$3:$M$33,10,0)*IF(玩法行为规划!B149&gt;0,1,0))</f>
        <v>8</v>
      </c>
      <c r="D149" s="7" t="str">
        <f>IF(VLOOKUP(D$2,行为概览!$D$3:$M$33,10,0)="","",VLOOKUP(D$2,行为概览!$D$3:$M$33,10,0)*IF(玩法行为规划!C149&gt;0,1,0))</f>
        <v/>
      </c>
      <c r="E149" s="7" t="str">
        <f>IF(VLOOKUP(E$2,行为概览!$D$3:$M$33,10,0)="","",VLOOKUP(E$2,行为概览!$D$3:$M$33,10,0)*IF(玩法行为规划!D149&gt;0,1,0))</f>
        <v/>
      </c>
      <c r="F149" s="7">
        <f>IF(VLOOKUP(F$2,行为概览!$D$3:$M$33,10,0)="","",VLOOKUP(F$2,行为概览!$D$3:$M$33,10,0)*IF(玩法行为规划!E149&gt;0,1,0))</f>
        <v>10</v>
      </c>
      <c r="G149" s="7" t="str">
        <f>IF(VLOOKUP(G$2,行为概览!$D$3:$M$33,10,0)="","",VLOOKUP(G$2,行为概览!$D$3:$M$33,10,0)*IF(玩法行为规划!F149&gt;0,1,0))</f>
        <v/>
      </c>
      <c r="H149" s="7" t="str">
        <f>IF(VLOOKUP(H$2,行为概览!$D$3:$M$33,10,0)="","",VLOOKUP(H$2,行为概览!$D$3:$M$33,10,0)*IF(玩法行为规划!G149&gt;0,1,0))</f>
        <v/>
      </c>
      <c r="I149" s="7" t="str">
        <f>IF(VLOOKUP(I$2,行为概览!$D$3:$M$33,10,0)="","",VLOOKUP(I$2,行为概览!$D$3:$M$33,10,0)*IF(玩法行为规划!H149&gt;0,1,0))</f>
        <v/>
      </c>
      <c r="J149" s="7" t="str">
        <f>IF(VLOOKUP(J$2,行为概览!$D$3:$M$33,10,0)="","",VLOOKUP(J$2,行为概览!$D$3:$M$33,10,0)*IF(玩法行为规划!I149&gt;0,1,0))</f>
        <v/>
      </c>
      <c r="K149" s="7">
        <f>IF(VLOOKUP(K$2,行为概览!$D$3:$M$33,10,0)="","",VLOOKUP(K$2,行为概览!$D$3:$M$33,10,0)*IF(玩法行为规划!J149&gt;0,1,0))</f>
        <v>10</v>
      </c>
      <c r="L149" s="7">
        <f>IF(VLOOKUP(L$2,行为概览!$D$3:$M$33,10,0)="","",VLOOKUP(L$2,行为概览!$D$3:$M$33,10,0)*IF(玩法行为规划!K149&gt;0,1,0))</f>
        <v>5</v>
      </c>
      <c r="M149" s="7" t="str">
        <f>IF(VLOOKUP(M$2,行为概览!$D$3:$M$33,10,0)="","",VLOOKUP(M$2,行为概览!$D$3:$M$33,10,0)*IF(玩法行为规划!L149&gt;0,1,0))</f>
        <v/>
      </c>
      <c r="N149" s="7" t="str">
        <f>IF(VLOOKUP(N$2,行为概览!$D$3:$M$33,10,0)="","",VLOOKUP(N$2,行为概览!$D$3:$M$33,10,0)*IF(玩法行为规划!M149&gt;0,1,0))</f>
        <v/>
      </c>
      <c r="O149" s="7" t="str">
        <f>IF(VLOOKUP(O$2,行为概览!$D$3:$M$33,10,0)="","",VLOOKUP(O$2,行为概览!$D$3:$M$33,10,0)*IF(玩法行为规划!N149&gt;0,1,0))</f>
        <v/>
      </c>
      <c r="P149" s="7" t="str">
        <f>IF(VLOOKUP(P$2,行为概览!$D$3:$M$33,10,0)="","",VLOOKUP(P$2,行为概览!$D$3:$M$33,10,0)*IF(玩法行为规划!O149&gt;0,1,0))</f>
        <v/>
      </c>
      <c r="Q149" s="7">
        <f>IF(VLOOKUP(Q$2,行为概览!$D$3:$M$33,10,0)="","",VLOOKUP(Q$2,行为概览!$D$3:$M$33,10,0)*IF(玩法行为规划!P149&gt;0,1,0))</f>
        <v>10</v>
      </c>
      <c r="R149" s="7" t="str">
        <f>IF(VLOOKUP(R$2,行为概览!$D$3:$M$33,10,0)="","",VLOOKUP(R$2,行为概览!$D$3:$M$33,10,0)*IF(玩法行为规划!Q149&gt;0,1,0))</f>
        <v/>
      </c>
      <c r="S149" s="7">
        <f>IF(VLOOKUP(S$2,行为概览!$D$3:$M$33,10,0)="","",VLOOKUP(S$2,行为概览!$D$3:$M$33,10,0)*IF(玩法行为规划!R149&gt;0,1,0))</f>
        <v>3</v>
      </c>
      <c r="T149" s="7" t="str">
        <f>IF(VLOOKUP(T$2,行为概览!$D$3:$M$33,10,0)="","",VLOOKUP(T$2,行为概览!$D$3:$M$33,10,0)*IF(玩法行为规划!S149&gt;0,1,0))</f>
        <v/>
      </c>
      <c r="U149" s="7" t="str">
        <f>IF(VLOOKUP(U$2,行为概览!$D$3:$M$33,10,0)="","",VLOOKUP(U$2,行为概览!$D$3:$M$33,10,0)*IF(玩法行为规划!T149&gt;0,1,0))</f>
        <v/>
      </c>
      <c r="V149" s="7">
        <f>IF(VLOOKUP(V$2,行为概览!$D$3:$M$33,10,0)="","",VLOOKUP(V$2,行为概览!$D$3:$M$33,10,0)*IF(玩法行为规划!U149&gt;0,1,0))</f>
        <v>4</v>
      </c>
      <c r="W149" s="7" t="str">
        <f>IF(VLOOKUP(W$2,行为概览!$D$3:$M$33,10,0)="","",VLOOKUP(W$2,行为概览!$D$3:$M$33,10,0)*IF(玩法行为规划!V149&gt;0,1,0))</f>
        <v/>
      </c>
      <c r="X149" s="7" t="str">
        <f>IF(VLOOKUP(X$2,行为概览!$D$3:$M$33,10,0)="","",VLOOKUP(X$2,行为概览!$D$3:$M$33,10,0)*IF(玩法行为规划!W149&gt;0,1,0))</f>
        <v/>
      </c>
      <c r="Y149" s="7" t="str">
        <f>IF(VLOOKUP(Y$2,行为概览!$D$3:$M$33,10,0)="","",VLOOKUP(Y$2,行为概览!$D$3:$M$33,10,0)*IF(玩法行为规划!X149&gt;0,1,0))</f>
        <v/>
      </c>
      <c r="Z149" s="7">
        <f>IF(VLOOKUP(Z$2,行为概览!$D$3:$M$33,10,0)="","",VLOOKUP(Z$2,行为概览!$D$3:$M$33,10,0)*IF(玩法行为规划!Y149&gt;0,1,0))</f>
        <v>10</v>
      </c>
      <c r="AA149" s="7" t="str">
        <f>IF(VLOOKUP(AA$2,行为概览!$D$3:$M$33,10,0)="","",VLOOKUP(AA$2,行为概览!$D$3:$M$33,10,0)*IF(玩法行为规划!Z149&gt;0,1,0))</f>
        <v/>
      </c>
      <c r="AB149" s="7" t="str">
        <f>IF(VLOOKUP(AB$2,行为概览!$D$3:$M$33,10,0)="","",VLOOKUP(AB$2,行为概览!$D$3:$M$33,10,0)*IF(玩法行为规划!AA149&gt;0,1,0))</f>
        <v/>
      </c>
      <c r="AC149" s="7" t="str">
        <f>IF(VLOOKUP(AC$2,行为概览!$D$3:$M$33,10,0)="","",VLOOKUP(AC$2,行为概览!$D$3:$M$33,10,0)*IF(玩法行为规划!AB149&gt;0,1,0))</f>
        <v/>
      </c>
      <c r="AD149" s="7" t="str">
        <f>IF(VLOOKUP(AD$2,行为概览!$D$3:$M$33,10,0)="","",VLOOKUP(AD$2,行为概览!$D$3:$M$33,10,0)*IF(玩法行为规划!AC149&gt;0,1,0))</f>
        <v/>
      </c>
      <c r="AE149" s="7" t="str">
        <f>IF(VLOOKUP(AE$2,行为概览!$D$3:$M$33,10,0)="","",VLOOKUP(AE$2,行为概览!$D$3:$M$33,10,0)*IF(玩法行为规划!AD149&gt;0,1,0))</f>
        <v/>
      </c>
      <c r="AF149" s="7">
        <f>IF(VLOOKUP(AF$2,行为概览!$D$3:$M$33,10,0)="","",VLOOKUP(AF$2,行为概览!$D$3:$M$33,10,0)*IF(玩法行为规划!AE149&gt;0,1,0))</f>
        <v>20</v>
      </c>
      <c r="AG149" s="7">
        <f t="shared" si="14"/>
        <v>80</v>
      </c>
      <c r="AH149" s="7">
        <f t="shared" si="15"/>
        <v>11760</v>
      </c>
      <c r="AI149" s="7">
        <v>0</v>
      </c>
      <c r="AJ149" s="21" t="str">
        <f t="shared" si="17"/>
        <v/>
      </c>
      <c r="AK149" s="7">
        <f t="shared" si="16"/>
        <v>11760</v>
      </c>
      <c r="AL149" s="7">
        <f>SUM($AK$3:AK149)</f>
        <v>838375</v>
      </c>
    </row>
    <row r="150" spans="1:38">
      <c r="A150" s="32">
        <v>148</v>
      </c>
      <c r="B150" s="87">
        <f>升级节奏!F150</f>
        <v>148</v>
      </c>
      <c r="C150" s="7">
        <f>IF(VLOOKUP(C$2,行为概览!$D$3:$M$33,10,0)="","",VLOOKUP(C$2,行为概览!$D$3:$M$33,10,0)*IF(玩法行为规划!B150&gt;0,1,0))</f>
        <v>8</v>
      </c>
      <c r="D150" s="7" t="str">
        <f>IF(VLOOKUP(D$2,行为概览!$D$3:$M$33,10,0)="","",VLOOKUP(D$2,行为概览!$D$3:$M$33,10,0)*IF(玩法行为规划!C150&gt;0,1,0))</f>
        <v/>
      </c>
      <c r="E150" s="7" t="str">
        <f>IF(VLOOKUP(E$2,行为概览!$D$3:$M$33,10,0)="","",VLOOKUP(E$2,行为概览!$D$3:$M$33,10,0)*IF(玩法行为规划!D150&gt;0,1,0))</f>
        <v/>
      </c>
      <c r="F150" s="7">
        <f>IF(VLOOKUP(F$2,行为概览!$D$3:$M$33,10,0)="","",VLOOKUP(F$2,行为概览!$D$3:$M$33,10,0)*IF(玩法行为规划!E150&gt;0,1,0))</f>
        <v>10</v>
      </c>
      <c r="G150" s="7" t="str">
        <f>IF(VLOOKUP(G$2,行为概览!$D$3:$M$33,10,0)="","",VLOOKUP(G$2,行为概览!$D$3:$M$33,10,0)*IF(玩法行为规划!F150&gt;0,1,0))</f>
        <v/>
      </c>
      <c r="H150" s="7" t="str">
        <f>IF(VLOOKUP(H$2,行为概览!$D$3:$M$33,10,0)="","",VLOOKUP(H$2,行为概览!$D$3:$M$33,10,0)*IF(玩法行为规划!G150&gt;0,1,0))</f>
        <v/>
      </c>
      <c r="I150" s="7" t="str">
        <f>IF(VLOOKUP(I$2,行为概览!$D$3:$M$33,10,0)="","",VLOOKUP(I$2,行为概览!$D$3:$M$33,10,0)*IF(玩法行为规划!H150&gt;0,1,0))</f>
        <v/>
      </c>
      <c r="J150" s="7" t="str">
        <f>IF(VLOOKUP(J$2,行为概览!$D$3:$M$33,10,0)="","",VLOOKUP(J$2,行为概览!$D$3:$M$33,10,0)*IF(玩法行为规划!I150&gt;0,1,0))</f>
        <v/>
      </c>
      <c r="K150" s="7">
        <f>IF(VLOOKUP(K$2,行为概览!$D$3:$M$33,10,0)="","",VLOOKUP(K$2,行为概览!$D$3:$M$33,10,0)*IF(玩法行为规划!J150&gt;0,1,0))</f>
        <v>10</v>
      </c>
      <c r="L150" s="7">
        <f>IF(VLOOKUP(L$2,行为概览!$D$3:$M$33,10,0)="","",VLOOKUP(L$2,行为概览!$D$3:$M$33,10,0)*IF(玩法行为规划!K150&gt;0,1,0))</f>
        <v>5</v>
      </c>
      <c r="M150" s="7" t="str">
        <f>IF(VLOOKUP(M$2,行为概览!$D$3:$M$33,10,0)="","",VLOOKUP(M$2,行为概览!$D$3:$M$33,10,0)*IF(玩法行为规划!L150&gt;0,1,0))</f>
        <v/>
      </c>
      <c r="N150" s="7" t="str">
        <f>IF(VLOOKUP(N$2,行为概览!$D$3:$M$33,10,0)="","",VLOOKUP(N$2,行为概览!$D$3:$M$33,10,0)*IF(玩法行为规划!M150&gt;0,1,0))</f>
        <v/>
      </c>
      <c r="O150" s="7" t="str">
        <f>IF(VLOOKUP(O$2,行为概览!$D$3:$M$33,10,0)="","",VLOOKUP(O$2,行为概览!$D$3:$M$33,10,0)*IF(玩法行为规划!N150&gt;0,1,0))</f>
        <v/>
      </c>
      <c r="P150" s="7" t="str">
        <f>IF(VLOOKUP(P$2,行为概览!$D$3:$M$33,10,0)="","",VLOOKUP(P$2,行为概览!$D$3:$M$33,10,0)*IF(玩法行为规划!O150&gt;0,1,0))</f>
        <v/>
      </c>
      <c r="Q150" s="7">
        <f>IF(VLOOKUP(Q$2,行为概览!$D$3:$M$33,10,0)="","",VLOOKUP(Q$2,行为概览!$D$3:$M$33,10,0)*IF(玩法行为规划!P150&gt;0,1,0))</f>
        <v>10</v>
      </c>
      <c r="R150" s="7" t="str">
        <f>IF(VLOOKUP(R$2,行为概览!$D$3:$M$33,10,0)="","",VLOOKUP(R$2,行为概览!$D$3:$M$33,10,0)*IF(玩法行为规划!Q150&gt;0,1,0))</f>
        <v/>
      </c>
      <c r="S150" s="7">
        <f>IF(VLOOKUP(S$2,行为概览!$D$3:$M$33,10,0)="","",VLOOKUP(S$2,行为概览!$D$3:$M$33,10,0)*IF(玩法行为规划!R150&gt;0,1,0))</f>
        <v>3</v>
      </c>
      <c r="T150" s="7" t="str">
        <f>IF(VLOOKUP(T$2,行为概览!$D$3:$M$33,10,0)="","",VLOOKUP(T$2,行为概览!$D$3:$M$33,10,0)*IF(玩法行为规划!S150&gt;0,1,0))</f>
        <v/>
      </c>
      <c r="U150" s="7" t="str">
        <f>IF(VLOOKUP(U$2,行为概览!$D$3:$M$33,10,0)="","",VLOOKUP(U$2,行为概览!$D$3:$M$33,10,0)*IF(玩法行为规划!T150&gt;0,1,0))</f>
        <v/>
      </c>
      <c r="V150" s="7">
        <f>IF(VLOOKUP(V$2,行为概览!$D$3:$M$33,10,0)="","",VLOOKUP(V$2,行为概览!$D$3:$M$33,10,0)*IF(玩法行为规划!U150&gt;0,1,0))</f>
        <v>4</v>
      </c>
      <c r="W150" s="7" t="str">
        <f>IF(VLOOKUP(W$2,行为概览!$D$3:$M$33,10,0)="","",VLOOKUP(W$2,行为概览!$D$3:$M$33,10,0)*IF(玩法行为规划!V150&gt;0,1,0))</f>
        <v/>
      </c>
      <c r="X150" s="7" t="str">
        <f>IF(VLOOKUP(X$2,行为概览!$D$3:$M$33,10,0)="","",VLOOKUP(X$2,行为概览!$D$3:$M$33,10,0)*IF(玩法行为规划!W150&gt;0,1,0))</f>
        <v/>
      </c>
      <c r="Y150" s="7" t="str">
        <f>IF(VLOOKUP(Y$2,行为概览!$D$3:$M$33,10,0)="","",VLOOKUP(Y$2,行为概览!$D$3:$M$33,10,0)*IF(玩法行为规划!X150&gt;0,1,0))</f>
        <v/>
      </c>
      <c r="Z150" s="7">
        <f>IF(VLOOKUP(Z$2,行为概览!$D$3:$M$33,10,0)="","",VLOOKUP(Z$2,行为概览!$D$3:$M$33,10,0)*IF(玩法行为规划!Y150&gt;0,1,0))</f>
        <v>10</v>
      </c>
      <c r="AA150" s="7" t="str">
        <f>IF(VLOOKUP(AA$2,行为概览!$D$3:$M$33,10,0)="","",VLOOKUP(AA$2,行为概览!$D$3:$M$33,10,0)*IF(玩法行为规划!Z150&gt;0,1,0))</f>
        <v/>
      </c>
      <c r="AB150" s="7" t="str">
        <f>IF(VLOOKUP(AB$2,行为概览!$D$3:$M$33,10,0)="","",VLOOKUP(AB$2,行为概览!$D$3:$M$33,10,0)*IF(玩法行为规划!AA150&gt;0,1,0))</f>
        <v/>
      </c>
      <c r="AC150" s="7" t="str">
        <f>IF(VLOOKUP(AC$2,行为概览!$D$3:$M$33,10,0)="","",VLOOKUP(AC$2,行为概览!$D$3:$M$33,10,0)*IF(玩法行为规划!AB150&gt;0,1,0))</f>
        <v/>
      </c>
      <c r="AD150" s="7" t="str">
        <f>IF(VLOOKUP(AD$2,行为概览!$D$3:$M$33,10,0)="","",VLOOKUP(AD$2,行为概览!$D$3:$M$33,10,0)*IF(玩法行为规划!AC150&gt;0,1,0))</f>
        <v/>
      </c>
      <c r="AE150" s="7" t="str">
        <f>IF(VLOOKUP(AE$2,行为概览!$D$3:$M$33,10,0)="","",VLOOKUP(AE$2,行为概览!$D$3:$M$33,10,0)*IF(玩法行为规划!AD150&gt;0,1,0))</f>
        <v/>
      </c>
      <c r="AF150" s="7">
        <f>IF(VLOOKUP(AF$2,行为概览!$D$3:$M$33,10,0)="","",VLOOKUP(AF$2,行为概览!$D$3:$M$33,10,0)*IF(玩法行为规划!AE150&gt;0,1,0))</f>
        <v>20</v>
      </c>
      <c r="AG150" s="7">
        <f t="shared" si="14"/>
        <v>80</v>
      </c>
      <c r="AH150" s="7">
        <f t="shared" si="15"/>
        <v>11840</v>
      </c>
      <c r="AI150" s="7">
        <v>0</v>
      </c>
      <c r="AJ150" s="21" t="str">
        <f t="shared" si="17"/>
        <v/>
      </c>
      <c r="AK150" s="7">
        <f t="shared" si="16"/>
        <v>11840</v>
      </c>
      <c r="AL150" s="7">
        <f>SUM($AK$3:AK150)</f>
        <v>850215</v>
      </c>
    </row>
    <row r="151" spans="1:38">
      <c r="A151" s="32">
        <v>149</v>
      </c>
      <c r="B151" s="87">
        <f>升级节奏!F151</f>
        <v>149</v>
      </c>
      <c r="C151" s="7">
        <f>IF(VLOOKUP(C$2,行为概览!$D$3:$M$33,10,0)="","",VLOOKUP(C$2,行为概览!$D$3:$M$33,10,0)*IF(玩法行为规划!B151&gt;0,1,0))</f>
        <v>8</v>
      </c>
      <c r="D151" s="7" t="str">
        <f>IF(VLOOKUP(D$2,行为概览!$D$3:$M$33,10,0)="","",VLOOKUP(D$2,行为概览!$D$3:$M$33,10,0)*IF(玩法行为规划!C151&gt;0,1,0))</f>
        <v/>
      </c>
      <c r="E151" s="7" t="str">
        <f>IF(VLOOKUP(E$2,行为概览!$D$3:$M$33,10,0)="","",VLOOKUP(E$2,行为概览!$D$3:$M$33,10,0)*IF(玩法行为规划!D151&gt;0,1,0))</f>
        <v/>
      </c>
      <c r="F151" s="7">
        <f>IF(VLOOKUP(F$2,行为概览!$D$3:$M$33,10,0)="","",VLOOKUP(F$2,行为概览!$D$3:$M$33,10,0)*IF(玩法行为规划!E151&gt;0,1,0))</f>
        <v>10</v>
      </c>
      <c r="G151" s="7" t="str">
        <f>IF(VLOOKUP(G$2,行为概览!$D$3:$M$33,10,0)="","",VLOOKUP(G$2,行为概览!$D$3:$M$33,10,0)*IF(玩法行为规划!F151&gt;0,1,0))</f>
        <v/>
      </c>
      <c r="H151" s="7" t="str">
        <f>IF(VLOOKUP(H$2,行为概览!$D$3:$M$33,10,0)="","",VLOOKUP(H$2,行为概览!$D$3:$M$33,10,0)*IF(玩法行为规划!G151&gt;0,1,0))</f>
        <v/>
      </c>
      <c r="I151" s="7" t="str">
        <f>IF(VLOOKUP(I$2,行为概览!$D$3:$M$33,10,0)="","",VLOOKUP(I$2,行为概览!$D$3:$M$33,10,0)*IF(玩法行为规划!H151&gt;0,1,0))</f>
        <v/>
      </c>
      <c r="J151" s="7" t="str">
        <f>IF(VLOOKUP(J$2,行为概览!$D$3:$M$33,10,0)="","",VLOOKUP(J$2,行为概览!$D$3:$M$33,10,0)*IF(玩法行为规划!I151&gt;0,1,0))</f>
        <v/>
      </c>
      <c r="K151" s="7">
        <f>IF(VLOOKUP(K$2,行为概览!$D$3:$M$33,10,0)="","",VLOOKUP(K$2,行为概览!$D$3:$M$33,10,0)*IF(玩法行为规划!J151&gt;0,1,0))</f>
        <v>10</v>
      </c>
      <c r="L151" s="7">
        <f>IF(VLOOKUP(L$2,行为概览!$D$3:$M$33,10,0)="","",VLOOKUP(L$2,行为概览!$D$3:$M$33,10,0)*IF(玩法行为规划!K151&gt;0,1,0))</f>
        <v>5</v>
      </c>
      <c r="M151" s="7" t="str">
        <f>IF(VLOOKUP(M$2,行为概览!$D$3:$M$33,10,0)="","",VLOOKUP(M$2,行为概览!$D$3:$M$33,10,0)*IF(玩法行为规划!L151&gt;0,1,0))</f>
        <v/>
      </c>
      <c r="N151" s="7" t="str">
        <f>IF(VLOOKUP(N$2,行为概览!$D$3:$M$33,10,0)="","",VLOOKUP(N$2,行为概览!$D$3:$M$33,10,0)*IF(玩法行为规划!M151&gt;0,1,0))</f>
        <v/>
      </c>
      <c r="O151" s="7" t="str">
        <f>IF(VLOOKUP(O$2,行为概览!$D$3:$M$33,10,0)="","",VLOOKUP(O$2,行为概览!$D$3:$M$33,10,0)*IF(玩法行为规划!N151&gt;0,1,0))</f>
        <v/>
      </c>
      <c r="P151" s="7" t="str">
        <f>IF(VLOOKUP(P$2,行为概览!$D$3:$M$33,10,0)="","",VLOOKUP(P$2,行为概览!$D$3:$M$33,10,0)*IF(玩法行为规划!O151&gt;0,1,0))</f>
        <v/>
      </c>
      <c r="Q151" s="7">
        <f>IF(VLOOKUP(Q$2,行为概览!$D$3:$M$33,10,0)="","",VLOOKUP(Q$2,行为概览!$D$3:$M$33,10,0)*IF(玩法行为规划!P151&gt;0,1,0))</f>
        <v>10</v>
      </c>
      <c r="R151" s="7" t="str">
        <f>IF(VLOOKUP(R$2,行为概览!$D$3:$M$33,10,0)="","",VLOOKUP(R$2,行为概览!$D$3:$M$33,10,0)*IF(玩法行为规划!Q151&gt;0,1,0))</f>
        <v/>
      </c>
      <c r="S151" s="7">
        <f>IF(VLOOKUP(S$2,行为概览!$D$3:$M$33,10,0)="","",VLOOKUP(S$2,行为概览!$D$3:$M$33,10,0)*IF(玩法行为规划!R151&gt;0,1,0))</f>
        <v>3</v>
      </c>
      <c r="T151" s="7" t="str">
        <f>IF(VLOOKUP(T$2,行为概览!$D$3:$M$33,10,0)="","",VLOOKUP(T$2,行为概览!$D$3:$M$33,10,0)*IF(玩法行为规划!S151&gt;0,1,0))</f>
        <v/>
      </c>
      <c r="U151" s="7" t="str">
        <f>IF(VLOOKUP(U$2,行为概览!$D$3:$M$33,10,0)="","",VLOOKUP(U$2,行为概览!$D$3:$M$33,10,0)*IF(玩法行为规划!T151&gt;0,1,0))</f>
        <v/>
      </c>
      <c r="V151" s="7">
        <f>IF(VLOOKUP(V$2,行为概览!$D$3:$M$33,10,0)="","",VLOOKUP(V$2,行为概览!$D$3:$M$33,10,0)*IF(玩法行为规划!U151&gt;0,1,0))</f>
        <v>4</v>
      </c>
      <c r="W151" s="7" t="str">
        <f>IF(VLOOKUP(W$2,行为概览!$D$3:$M$33,10,0)="","",VLOOKUP(W$2,行为概览!$D$3:$M$33,10,0)*IF(玩法行为规划!V151&gt;0,1,0))</f>
        <v/>
      </c>
      <c r="X151" s="7" t="str">
        <f>IF(VLOOKUP(X$2,行为概览!$D$3:$M$33,10,0)="","",VLOOKUP(X$2,行为概览!$D$3:$M$33,10,0)*IF(玩法行为规划!W151&gt;0,1,0))</f>
        <v/>
      </c>
      <c r="Y151" s="7" t="str">
        <f>IF(VLOOKUP(Y$2,行为概览!$D$3:$M$33,10,0)="","",VLOOKUP(Y$2,行为概览!$D$3:$M$33,10,0)*IF(玩法行为规划!X151&gt;0,1,0))</f>
        <v/>
      </c>
      <c r="Z151" s="7">
        <f>IF(VLOOKUP(Z$2,行为概览!$D$3:$M$33,10,0)="","",VLOOKUP(Z$2,行为概览!$D$3:$M$33,10,0)*IF(玩法行为规划!Y151&gt;0,1,0))</f>
        <v>10</v>
      </c>
      <c r="AA151" s="7" t="str">
        <f>IF(VLOOKUP(AA$2,行为概览!$D$3:$M$33,10,0)="","",VLOOKUP(AA$2,行为概览!$D$3:$M$33,10,0)*IF(玩法行为规划!Z151&gt;0,1,0))</f>
        <v/>
      </c>
      <c r="AB151" s="7" t="str">
        <f>IF(VLOOKUP(AB$2,行为概览!$D$3:$M$33,10,0)="","",VLOOKUP(AB$2,行为概览!$D$3:$M$33,10,0)*IF(玩法行为规划!AA151&gt;0,1,0))</f>
        <v/>
      </c>
      <c r="AC151" s="7" t="str">
        <f>IF(VLOOKUP(AC$2,行为概览!$D$3:$M$33,10,0)="","",VLOOKUP(AC$2,行为概览!$D$3:$M$33,10,0)*IF(玩法行为规划!AB151&gt;0,1,0))</f>
        <v/>
      </c>
      <c r="AD151" s="7" t="str">
        <f>IF(VLOOKUP(AD$2,行为概览!$D$3:$M$33,10,0)="","",VLOOKUP(AD$2,行为概览!$D$3:$M$33,10,0)*IF(玩法行为规划!AC151&gt;0,1,0))</f>
        <v/>
      </c>
      <c r="AE151" s="7" t="str">
        <f>IF(VLOOKUP(AE$2,行为概览!$D$3:$M$33,10,0)="","",VLOOKUP(AE$2,行为概览!$D$3:$M$33,10,0)*IF(玩法行为规划!AD151&gt;0,1,0))</f>
        <v/>
      </c>
      <c r="AF151" s="7">
        <f>IF(VLOOKUP(AF$2,行为概览!$D$3:$M$33,10,0)="","",VLOOKUP(AF$2,行为概览!$D$3:$M$33,10,0)*IF(玩法行为规划!AE151&gt;0,1,0))</f>
        <v>20</v>
      </c>
      <c r="AG151" s="7">
        <f t="shared" si="14"/>
        <v>80</v>
      </c>
      <c r="AH151" s="7">
        <f t="shared" si="15"/>
        <v>11920</v>
      </c>
      <c r="AI151" s="7">
        <v>0</v>
      </c>
      <c r="AJ151" s="21" t="str">
        <f t="shared" si="17"/>
        <v/>
      </c>
      <c r="AK151" s="7">
        <f t="shared" si="16"/>
        <v>11920</v>
      </c>
      <c r="AL151" s="7">
        <f>SUM($AK$3:AK151)</f>
        <v>862135</v>
      </c>
    </row>
    <row r="152" spans="1:38">
      <c r="A152" s="33">
        <v>150</v>
      </c>
      <c r="B152" s="88">
        <f>升级节奏!F152</f>
        <v>150</v>
      </c>
      <c r="C152" s="7">
        <f>IF(VLOOKUP(C$2,行为概览!$D$3:$M$33,10,0)="","",VLOOKUP(C$2,行为概览!$D$3:$M$33,10,0)*IF(玩法行为规划!B152&gt;0,1,0))</f>
        <v>8</v>
      </c>
      <c r="D152" s="7" t="str">
        <f>IF(VLOOKUP(D$2,行为概览!$D$3:$M$33,10,0)="","",VLOOKUP(D$2,行为概览!$D$3:$M$33,10,0)*IF(玩法行为规划!C152&gt;0,1,0))</f>
        <v/>
      </c>
      <c r="E152" s="7" t="str">
        <f>IF(VLOOKUP(E$2,行为概览!$D$3:$M$33,10,0)="","",VLOOKUP(E$2,行为概览!$D$3:$M$33,10,0)*IF(玩法行为规划!D152&gt;0,1,0))</f>
        <v/>
      </c>
      <c r="F152" s="7">
        <f>IF(VLOOKUP(F$2,行为概览!$D$3:$M$33,10,0)="","",VLOOKUP(F$2,行为概览!$D$3:$M$33,10,0)*IF(玩法行为规划!E152&gt;0,1,0))</f>
        <v>10</v>
      </c>
      <c r="G152" s="7" t="str">
        <f>IF(VLOOKUP(G$2,行为概览!$D$3:$M$33,10,0)="","",VLOOKUP(G$2,行为概览!$D$3:$M$33,10,0)*IF(玩法行为规划!F152&gt;0,1,0))</f>
        <v/>
      </c>
      <c r="H152" s="7" t="str">
        <f>IF(VLOOKUP(H$2,行为概览!$D$3:$M$33,10,0)="","",VLOOKUP(H$2,行为概览!$D$3:$M$33,10,0)*IF(玩法行为规划!G152&gt;0,1,0))</f>
        <v/>
      </c>
      <c r="I152" s="7" t="str">
        <f>IF(VLOOKUP(I$2,行为概览!$D$3:$M$33,10,0)="","",VLOOKUP(I$2,行为概览!$D$3:$M$33,10,0)*IF(玩法行为规划!H152&gt;0,1,0))</f>
        <v/>
      </c>
      <c r="J152" s="7" t="str">
        <f>IF(VLOOKUP(J$2,行为概览!$D$3:$M$33,10,0)="","",VLOOKUP(J$2,行为概览!$D$3:$M$33,10,0)*IF(玩法行为规划!I152&gt;0,1,0))</f>
        <v/>
      </c>
      <c r="K152" s="7">
        <f>IF(VLOOKUP(K$2,行为概览!$D$3:$M$33,10,0)="","",VLOOKUP(K$2,行为概览!$D$3:$M$33,10,0)*IF(玩法行为规划!J152&gt;0,1,0))</f>
        <v>10</v>
      </c>
      <c r="L152" s="7">
        <f>IF(VLOOKUP(L$2,行为概览!$D$3:$M$33,10,0)="","",VLOOKUP(L$2,行为概览!$D$3:$M$33,10,0)*IF(玩法行为规划!K152&gt;0,1,0))</f>
        <v>5</v>
      </c>
      <c r="M152" s="7" t="str">
        <f>IF(VLOOKUP(M$2,行为概览!$D$3:$M$33,10,0)="","",VLOOKUP(M$2,行为概览!$D$3:$M$33,10,0)*IF(玩法行为规划!L152&gt;0,1,0))</f>
        <v/>
      </c>
      <c r="N152" s="7" t="str">
        <f>IF(VLOOKUP(N$2,行为概览!$D$3:$M$33,10,0)="","",VLOOKUP(N$2,行为概览!$D$3:$M$33,10,0)*IF(玩法行为规划!M152&gt;0,1,0))</f>
        <v/>
      </c>
      <c r="O152" s="7" t="str">
        <f>IF(VLOOKUP(O$2,行为概览!$D$3:$M$33,10,0)="","",VLOOKUP(O$2,行为概览!$D$3:$M$33,10,0)*IF(玩法行为规划!N152&gt;0,1,0))</f>
        <v/>
      </c>
      <c r="P152" s="7" t="str">
        <f>IF(VLOOKUP(P$2,行为概览!$D$3:$M$33,10,0)="","",VLOOKUP(P$2,行为概览!$D$3:$M$33,10,0)*IF(玩法行为规划!O152&gt;0,1,0))</f>
        <v/>
      </c>
      <c r="Q152" s="7">
        <f>IF(VLOOKUP(Q$2,行为概览!$D$3:$M$33,10,0)="","",VLOOKUP(Q$2,行为概览!$D$3:$M$33,10,0)*IF(玩法行为规划!P152&gt;0,1,0))</f>
        <v>10</v>
      </c>
      <c r="R152" s="7" t="str">
        <f>IF(VLOOKUP(R$2,行为概览!$D$3:$M$33,10,0)="","",VLOOKUP(R$2,行为概览!$D$3:$M$33,10,0)*IF(玩法行为规划!Q152&gt;0,1,0))</f>
        <v/>
      </c>
      <c r="S152" s="7">
        <f>IF(VLOOKUP(S$2,行为概览!$D$3:$M$33,10,0)="","",VLOOKUP(S$2,行为概览!$D$3:$M$33,10,0)*IF(玩法行为规划!R152&gt;0,1,0))</f>
        <v>3</v>
      </c>
      <c r="T152" s="7" t="str">
        <f>IF(VLOOKUP(T$2,行为概览!$D$3:$M$33,10,0)="","",VLOOKUP(T$2,行为概览!$D$3:$M$33,10,0)*IF(玩法行为规划!S152&gt;0,1,0))</f>
        <v/>
      </c>
      <c r="U152" s="7" t="str">
        <f>IF(VLOOKUP(U$2,行为概览!$D$3:$M$33,10,0)="","",VLOOKUP(U$2,行为概览!$D$3:$M$33,10,0)*IF(玩法行为规划!T152&gt;0,1,0))</f>
        <v/>
      </c>
      <c r="V152" s="7">
        <f>IF(VLOOKUP(V$2,行为概览!$D$3:$M$33,10,0)="","",VLOOKUP(V$2,行为概览!$D$3:$M$33,10,0)*IF(玩法行为规划!U152&gt;0,1,0))</f>
        <v>4</v>
      </c>
      <c r="W152" s="7" t="str">
        <f>IF(VLOOKUP(W$2,行为概览!$D$3:$M$33,10,0)="","",VLOOKUP(W$2,行为概览!$D$3:$M$33,10,0)*IF(玩法行为规划!V152&gt;0,1,0))</f>
        <v/>
      </c>
      <c r="X152" s="7" t="str">
        <f>IF(VLOOKUP(X$2,行为概览!$D$3:$M$33,10,0)="","",VLOOKUP(X$2,行为概览!$D$3:$M$33,10,0)*IF(玩法行为规划!W152&gt;0,1,0))</f>
        <v/>
      </c>
      <c r="Y152" s="7" t="str">
        <f>IF(VLOOKUP(Y$2,行为概览!$D$3:$M$33,10,0)="","",VLOOKUP(Y$2,行为概览!$D$3:$M$33,10,0)*IF(玩法行为规划!X152&gt;0,1,0))</f>
        <v/>
      </c>
      <c r="Z152" s="7">
        <f>IF(VLOOKUP(Z$2,行为概览!$D$3:$M$33,10,0)="","",VLOOKUP(Z$2,行为概览!$D$3:$M$33,10,0)*IF(玩法行为规划!Y152&gt;0,1,0))</f>
        <v>10</v>
      </c>
      <c r="AA152" s="7" t="str">
        <f>IF(VLOOKUP(AA$2,行为概览!$D$3:$M$33,10,0)="","",VLOOKUP(AA$2,行为概览!$D$3:$M$33,10,0)*IF(玩法行为规划!Z152&gt;0,1,0))</f>
        <v/>
      </c>
      <c r="AB152" s="7" t="str">
        <f>IF(VLOOKUP(AB$2,行为概览!$D$3:$M$33,10,0)="","",VLOOKUP(AB$2,行为概览!$D$3:$M$33,10,0)*IF(玩法行为规划!AA152&gt;0,1,0))</f>
        <v/>
      </c>
      <c r="AC152" s="7" t="str">
        <f>IF(VLOOKUP(AC$2,行为概览!$D$3:$M$33,10,0)="","",VLOOKUP(AC$2,行为概览!$D$3:$M$33,10,0)*IF(玩法行为规划!AB152&gt;0,1,0))</f>
        <v/>
      </c>
      <c r="AD152" s="7" t="str">
        <f>IF(VLOOKUP(AD$2,行为概览!$D$3:$M$33,10,0)="","",VLOOKUP(AD$2,行为概览!$D$3:$M$33,10,0)*IF(玩法行为规划!AC152&gt;0,1,0))</f>
        <v/>
      </c>
      <c r="AE152" s="7" t="str">
        <f>IF(VLOOKUP(AE$2,行为概览!$D$3:$M$33,10,0)="","",VLOOKUP(AE$2,行为概览!$D$3:$M$33,10,0)*IF(玩法行为规划!AD152&gt;0,1,0))</f>
        <v/>
      </c>
      <c r="AF152" s="7">
        <f>IF(VLOOKUP(AF$2,行为概览!$D$3:$M$33,10,0)="","",VLOOKUP(AF$2,行为概览!$D$3:$M$33,10,0)*IF(玩法行为规划!AE152&gt;0,1,0))</f>
        <v>20</v>
      </c>
      <c r="AG152" s="7">
        <f t="shared" si="14"/>
        <v>80</v>
      </c>
      <c r="AH152" s="7">
        <f t="shared" si="15"/>
        <v>12000</v>
      </c>
      <c r="AI152" s="7">
        <v>0</v>
      </c>
      <c r="AJ152" s="21">
        <f t="shared" si="17"/>
        <v>0</v>
      </c>
      <c r="AK152" s="7">
        <f t="shared" si="16"/>
        <v>12000</v>
      </c>
      <c r="AL152" s="7">
        <f>SUM($AK$3:AK152)</f>
        <v>874135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  <ignoredErrors>
    <ignoredError sqref="AJ12:AJ34 AJ3 AJ35:AJ5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51"/>
  <sheetViews>
    <sheetView workbookViewId="0">
      <pane xSplit="2" ySplit="1" topLeftCell="J95" activePane="bottomRight" state="frozen"/>
      <selection pane="topRight" activeCell="C1" sqref="C1"/>
      <selection pane="bottomLeft" activeCell="A3" sqref="A3"/>
      <selection pane="bottomRight" activeCell="Y63" sqref="Y63"/>
    </sheetView>
  </sheetViews>
  <sheetFormatPr defaultRowHeight="13.5"/>
  <cols>
    <col min="1" max="1" width="6.625" customWidth="1"/>
    <col min="2" max="2" width="6.625" style="84" customWidth="1"/>
    <col min="3" max="16" width="6.625" customWidth="1"/>
    <col min="17" max="17" width="8.5" bestFit="1" customWidth="1"/>
    <col min="18" max="26" width="6.625" customWidth="1"/>
    <col min="27" max="27" width="8.5" bestFit="1" customWidth="1"/>
    <col min="28" max="33" width="6.625" customWidth="1"/>
  </cols>
  <sheetData>
    <row r="1" spans="1:33" ht="169.5">
      <c r="A1" s="28" t="s">
        <v>4</v>
      </c>
      <c r="B1" s="28" t="s">
        <v>382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23" t="s">
        <v>165</v>
      </c>
      <c r="AG1" s="23" t="s">
        <v>194</v>
      </c>
    </row>
    <row r="2" spans="1:33">
      <c r="A2" s="31">
        <v>1</v>
      </c>
      <c r="B2" s="80">
        <f>主角经验!B3</f>
        <v>400</v>
      </c>
      <c r="C2" s="7">
        <f>IF(主角经验!AF3="","",主角经验!$B3*主角经验!AF3)</f>
        <v>0</v>
      </c>
      <c r="D2" s="7">
        <f>IF(主角经验!AG3="","",主角经验!$B3*主角经验!AG3)</f>
        <v>0</v>
      </c>
      <c r="E2" s="7">
        <f>IF(主角经验!AH3="","",主角经验!$B3*主角经验!AH3)</f>
        <v>0</v>
      </c>
      <c r="F2" s="7">
        <f>IF(主角经验!AI3="","",主角经验!$B3*主角经验!AI3)</f>
        <v>0</v>
      </c>
      <c r="G2" s="7" t="str">
        <f>IF(主角经验!AJ3="","",主角经验!$B3*主角经验!AJ3)</f>
        <v/>
      </c>
      <c r="H2" s="7" t="str">
        <f>IF(主角经验!AK3="","",主角经验!$B3*主角经验!AK3)</f>
        <v/>
      </c>
      <c r="I2" s="7" t="str">
        <f>IF(主角经验!AL3="","",主角经验!$B3*主角经验!AL3)</f>
        <v/>
      </c>
      <c r="J2" s="7" t="str">
        <f>IF(主角经验!AM3="","",主角经验!$B3*主角经验!AM3)</f>
        <v/>
      </c>
      <c r="K2" s="7">
        <f>IF(主角经验!AN3="","",主角经验!$B3*主角经验!AN3)</f>
        <v>0</v>
      </c>
      <c r="L2" s="7">
        <f>IF(主角经验!AO3="","",主角经验!$B3*主角经验!AO3)</f>
        <v>0</v>
      </c>
      <c r="M2" s="7">
        <f>IF(主角经验!AP3="","",主角经验!$B3*主角经验!AP3)</f>
        <v>0</v>
      </c>
      <c r="N2" s="7">
        <f>IF(主角经验!AQ3="","",主角经验!$B3*主角经验!AQ3)</f>
        <v>0</v>
      </c>
      <c r="O2" s="7">
        <f>IF(主角经验!AR3="","",主角经验!$B3*主角经验!AR3)</f>
        <v>0</v>
      </c>
      <c r="P2" s="7">
        <f>IF(主角经验!AS3="","",主角经验!$B3*主角经验!AS3)</f>
        <v>0</v>
      </c>
      <c r="Q2" s="7">
        <f>IF(主角经验!AT3="","",主角经验!$B3*主角经验!AT3)</f>
        <v>20800</v>
      </c>
      <c r="R2" s="7">
        <f>IF(主角经验!AU3="","",主角经验!$B3*主角经验!AU3)</f>
        <v>0</v>
      </c>
      <c r="S2" s="7">
        <f>IF(主角经验!AV3="","",主角经验!$B3*主角经验!AV3)</f>
        <v>0</v>
      </c>
      <c r="T2" s="7">
        <f>IF(主角经验!AW3="","",主角经验!$B3*主角经验!AW3)</f>
        <v>0</v>
      </c>
      <c r="U2" s="7">
        <f>IF(主角经验!AX3="","",主角经验!$B3*主角经验!AX3)</f>
        <v>0</v>
      </c>
      <c r="V2" s="7">
        <f>IF(主角经验!AY3="","",主角经验!$B3*主角经验!AY3)</f>
        <v>0</v>
      </c>
      <c r="W2" s="7">
        <f>IF(主角经验!AZ3="","",主角经验!$B3*主角经验!AZ3)</f>
        <v>0</v>
      </c>
      <c r="X2" s="7">
        <f>IF(主角经验!BA3="","",主角经验!$B3*主角经验!BA3)</f>
        <v>0</v>
      </c>
      <c r="Y2" s="7">
        <f>IF(主角经验!BB3="","",主角经验!$B3*主角经验!BB3)</f>
        <v>0</v>
      </c>
      <c r="Z2" s="7">
        <f>IF(主角经验!BC3="","",主角经验!$B3*主角经验!BC3)</f>
        <v>0</v>
      </c>
      <c r="AA2" s="7">
        <f>IF(主角经验!BD3="","",主角经验!$B3*主角经验!BD3)</f>
        <v>0</v>
      </c>
      <c r="AB2" s="7" t="str">
        <f>IF(主角经验!BE3="","",主角经验!$B3*主角经验!BE3)</f>
        <v/>
      </c>
      <c r="AC2" s="7" t="str">
        <f>IF(主角经验!BF3="","",主角经验!$B3*主角经验!BF3)</f>
        <v/>
      </c>
      <c r="AD2" s="7" t="str">
        <f>IF(主角经验!BG3="","",主角经验!$B3*主角经验!BG3)</f>
        <v/>
      </c>
      <c r="AE2" s="7" t="str">
        <f>IF(主角经验!BH3="","",主角经验!$B3*主角经验!BH3)</f>
        <v/>
      </c>
      <c r="AF2" s="7">
        <f>主角经验!BK3</f>
        <v>1600</v>
      </c>
      <c r="AG2">
        <f>主角经验!BO3</f>
        <v>4</v>
      </c>
    </row>
    <row r="3" spans="1:33">
      <c r="A3" s="32">
        <v>2</v>
      </c>
      <c r="B3" s="81">
        <f>主角经验!B4</f>
        <v>800</v>
      </c>
      <c r="C3" s="7">
        <f>IF(主角经验!AF4="","",主角经验!$B4*主角经验!AF4)</f>
        <v>0</v>
      </c>
      <c r="D3" s="7">
        <f>IF(主角经验!AG4="","",主角经验!$B4*主角经验!AG4)</f>
        <v>0</v>
      </c>
      <c r="E3" s="7">
        <f>IF(主角经验!AH4="","",主角经验!$B4*主角经验!AH4)</f>
        <v>0</v>
      </c>
      <c r="F3" s="7">
        <f>IF(主角经验!AI4="","",主角经验!$B4*主角经验!AI4)</f>
        <v>0</v>
      </c>
      <c r="G3" s="7" t="str">
        <f>IF(主角经验!AJ4="","",主角经验!$B4*主角经验!AJ4)</f>
        <v/>
      </c>
      <c r="H3" s="7" t="str">
        <f>IF(主角经验!AK4="","",主角经验!$B4*主角经验!AK4)</f>
        <v/>
      </c>
      <c r="I3" s="7" t="str">
        <f>IF(主角经验!AL4="","",主角经验!$B4*主角经验!AL4)</f>
        <v/>
      </c>
      <c r="J3" s="7" t="str">
        <f>IF(主角经验!AM4="","",主角经验!$B4*主角经验!AM4)</f>
        <v/>
      </c>
      <c r="K3" s="7">
        <f>IF(主角经验!AN4="","",主角经验!$B4*主角经验!AN4)</f>
        <v>0</v>
      </c>
      <c r="L3" s="7">
        <f>IF(主角经验!AO4="","",主角经验!$B4*主角经验!AO4)</f>
        <v>0</v>
      </c>
      <c r="M3" s="7">
        <f>IF(主角经验!AP4="","",主角经验!$B4*主角经验!AP4)</f>
        <v>0</v>
      </c>
      <c r="N3" s="7">
        <f>IF(主角经验!AQ4="","",主角经验!$B4*主角经验!AQ4)</f>
        <v>0</v>
      </c>
      <c r="O3" s="7">
        <f>IF(主角经验!AR4="","",主角经验!$B4*主角经验!AR4)</f>
        <v>0</v>
      </c>
      <c r="P3" s="7">
        <f>IF(主角经验!AS4="","",主角经验!$B4*主角经验!AS4)</f>
        <v>0</v>
      </c>
      <c r="Q3" s="7">
        <f>IF(主角经验!AT4="","",主角经验!$B4*主角经验!AT4)</f>
        <v>41600</v>
      </c>
      <c r="R3" s="7">
        <f>IF(主角经验!AU4="","",主角经验!$B4*主角经验!AU4)</f>
        <v>0</v>
      </c>
      <c r="S3" s="7">
        <f>IF(主角经验!AV4="","",主角经验!$B4*主角经验!AV4)</f>
        <v>0</v>
      </c>
      <c r="T3" s="7">
        <f>IF(主角经验!AW4="","",主角经验!$B4*主角经验!AW4)</f>
        <v>0</v>
      </c>
      <c r="U3" s="7">
        <f>IF(主角经验!AX4="","",主角经验!$B4*主角经验!AX4)</f>
        <v>0</v>
      </c>
      <c r="V3" s="7">
        <f>IF(主角经验!AY4="","",主角经验!$B4*主角经验!AY4)</f>
        <v>0</v>
      </c>
      <c r="W3" s="7">
        <f>IF(主角经验!AZ4="","",主角经验!$B4*主角经验!AZ4)</f>
        <v>0</v>
      </c>
      <c r="X3" s="7">
        <f>IF(主角经验!BA4="","",主角经验!$B4*主角经验!BA4)</f>
        <v>0</v>
      </c>
      <c r="Y3" s="7">
        <f>IF(主角经验!BB4="","",主角经验!$B4*主角经验!BB4)</f>
        <v>0</v>
      </c>
      <c r="Z3" s="7">
        <f>IF(主角经验!BC4="","",主角经验!$B4*主角经验!BC4)</f>
        <v>0</v>
      </c>
      <c r="AA3" s="7">
        <f>IF(主角经验!BD4="","",主角经验!$B4*主角经验!BD4)</f>
        <v>0</v>
      </c>
      <c r="AB3" s="7" t="str">
        <f>IF(主角经验!BE4="","",主角经验!$B4*主角经验!BE4)</f>
        <v/>
      </c>
      <c r="AC3" s="7" t="str">
        <f>IF(主角经验!BF4="","",主角经验!$B4*主角经验!BF4)</f>
        <v/>
      </c>
      <c r="AD3" s="7" t="str">
        <f>IF(主角经验!BG4="","",主角经验!$B4*主角经验!BG4)</f>
        <v/>
      </c>
      <c r="AE3" s="7" t="str">
        <f>IF(主角经验!BH4="","",主角经验!$B4*主角经验!BH4)</f>
        <v/>
      </c>
      <c r="AF3" s="7">
        <f>主角经验!BK4</f>
        <v>3200</v>
      </c>
      <c r="AG3" s="7">
        <f>主角经验!BO4</f>
        <v>9</v>
      </c>
    </row>
    <row r="4" spans="1:33">
      <c r="A4" s="32">
        <v>3</v>
      </c>
      <c r="B4" s="81">
        <f>主角经验!B5</f>
        <v>1200</v>
      </c>
      <c r="C4" s="7">
        <f>IF(主角经验!AF5="","",主角经验!$B5*主角经验!AF5)</f>
        <v>0</v>
      </c>
      <c r="D4" s="7">
        <f>IF(主角经验!AG5="","",主角经验!$B5*主角经验!AG5)</f>
        <v>0</v>
      </c>
      <c r="E4" s="7">
        <f>IF(主角经验!AH5="","",主角经验!$B5*主角经验!AH5)</f>
        <v>0</v>
      </c>
      <c r="F4" s="7">
        <f>IF(主角经验!AI5="","",主角经验!$B5*主角经验!AI5)</f>
        <v>0</v>
      </c>
      <c r="G4" s="7" t="str">
        <f>IF(主角经验!AJ5="","",主角经验!$B5*主角经验!AJ5)</f>
        <v/>
      </c>
      <c r="H4" s="7" t="str">
        <f>IF(主角经验!AK5="","",主角经验!$B5*主角经验!AK5)</f>
        <v/>
      </c>
      <c r="I4" s="7" t="str">
        <f>IF(主角经验!AL5="","",主角经验!$B5*主角经验!AL5)</f>
        <v/>
      </c>
      <c r="J4" s="7" t="str">
        <f>IF(主角经验!AM5="","",主角经验!$B5*主角经验!AM5)</f>
        <v/>
      </c>
      <c r="K4" s="7">
        <f>IF(主角经验!AN5="","",主角经验!$B5*主角经验!AN5)</f>
        <v>0</v>
      </c>
      <c r="L4" s="7">
        <f>IF(主角经验!AO5="","",主角经验!$B5*主角经验!AO5)</f>
        <v>0</v>
      </c>
      <c r="M4" s="7">
        <f>IF(主角经验!AP5="","",主角经验!$B5*主角经验!AP5)</f>
        <v>0</v>
      </c>
      <c r="N4" s="7">
        <f>IF(主角经验!AQ5="","",主角经验!$B5*主角经验!AQ5)</f>
        <v>0</v>
      </c>
      <c r="O4" s="7">
        <f>IF(主角经验!AR5="","",主角经验!$B5*主角经验!AR5)</f>
        <v>0</v>
      </c>
      <c r="P4" s="7">
        <f>IF(主角经验!AS5="","",主角经验!$B5*主角经验!AS5)</f>
        <v>0</v>
      </c>
      <c r="Q4" s="7">
        <f>IF(主角经验!AT5="","",主角经验!$B5*主角经验!AT5)</f>
        <v>62400</v>
      </c>
      <c r="R4" s="7">
        <f>IF(主角经验!AU5="","",主角经验!$B5*主角经验!AU5)</f>
        <v>0</v>
      </c>
      <c r="S4" s="7">
        <f>IF(主角经验!AV5="","",主角经验!$B5*主角经验!AV5)</f>
        <v>0</v>
      </c>
      <c r="T4" s="7">
        <f>IF(主角经验!AW5="","",主角经验!$B5*主角经验!AW5)</f>
        <v>0</v>
      </c>
      <c r="U4" s="7">
        <f>IF(主角经验!AX5="","",主角经验!$B5*主角经验!AX5)</f>
        <v>0</v>
      </c>
      <c r="V4" s="7">
        <f>IF(主角经验!AY5="","",主角经验!$B5*主角经验!AY5)</f>
        <v>0</v>
      </c>
      <c r="W4" s="7">
        <f>IF(主角经验!AZ5="","",主角经验!$B5*主角经验!AZ5)</f>
        <v>0</v>
      </c>
      <c r="X4" s="7">
        <f>IF(主角经验!BA5="","",主角经验!$B5*主角经验!BA5)</f>
        <v>0</v>
      </c>
      <c r="Y4" s="7">
        <f>IF(主角经验!BB5="","",主角经验!$B5*主角经验!BB5)</f>
        <v>0</v>
      </c>
      <c r="Z4" s="7">
        <f>IF(主角经验!BC5="","",主角经验!$B5*主角经验!BC5)</f>
        <v>0</v>
      </c>
      <c r="AA4" s="7">
        <f>IF(主角经验!BD5="","",主角经验!$B5*主角经验!BD5)</f>
        <v>0</v>
      </c>
      <c r="AB4" s="7" t="str">
        <f>IF(主角经验!BE5="","",主角经验!$B5*主角经验!BE5)</f>
        <v/>
      </c>
      <c r="AC4" s="7" t="str">
        <f>IF(主角经验!BF5="","",主角经验!$B5*主角经验!BF5)</f>
        <v/>
      </c>
      <c r="AD4" s="7" t="str">
        <f>IF(主角经验!BG5="","",主角经验!$B5*主角经验!BG5)</f>
        <v/>
      </c>
      <c r="AE4" s="7" t="str">
        <f>IF(主角经验!BH5="","",主角经验!$B5*主角经验!BH5)</f>
        <v/>
      </c>
      <c r="AF4" s="7">
        <f>主角经验!BK5</f>
        <v>4800</v>
      </c>
      <c r="AG4" s="7">
        <f>主角经验!BO5</f>
        <v>13</v>
      </c>
    </row>
    <row r="5" spans="1:33">
      <c r="A5" s="32">
        <v>4</v>
      </c>
      <c r="B5" s="81">
        <f>主角经验!B6</f>
        <v>1600</v>
      </c>
      <c r="C5" s="7">
        <f>IF(主角经验!AF6="","",主角经验!$B6*主角经验!AF6)</f>
        <v>0</v>
      </c>
      <c r="D5" s="7">
        <f>IF(主角经验!AG6="","",主角经验!$B6*主角经验!AG6)</f>
        <v>0</v>
      </c>
      <c r="E5" s="7">
        <f>IF(主角经验!AH6="","",主角经验!$B6*主角经验!AH6)</f>
        <v>0</v>
      </c>
      <c r="F5" s="7">
        <f>IF(主角经验!AI6="","",主角经验!$B6*主角经验!AI6)</f>
        <v>0</v>
      </c>
      <c r="G5" s="7" t="str">
        <f>IF(主角经验!AJ6="","",主角经验!$B6*主角经验!AJ6)</f>
        <v/>
      </c>
      <c r="H5" s="7" t="str">
        <f>IF(主角经验!AK6="","",主角经验!$B6*主角经验!AK6)</f>
        <v/>
      </c>
      <c r="I5" s="7" t="str">
        <f>IF(主角经验!AL6="","",主角经验!$B6*主角经验!AL6)</f>
        <v/>
      </c>
      <c r="J5" s="7" t="str">
        <f>IF(主角经验!AM6="","",主角经验!$B6*主角经验!AM6)</f>
        <v/>
      </c>
      <c r="K5" s="7">
        <f>IF(主角经验!AN6="","",主角经验!$B6*主角经验!AN6)</f>
        <v>0</v>
      </c>
      <c r="L5" s="7">
        <f>IF(主角经验!AO6="","",主角经验!$B6*主角经验!AO6)</f>
        <v>0</v>
      </c>
      <c r="M5" s="7">
        <f>IF(主角经验!AP6="","",主角经验!$B6*主角经验!AP6)</f>
        <v>0</v>
      </c>
      <c r="N5" s="7">
        <f>IF(主角经验!AQ6="","",主角经验!$B6*主角经验!AQ6)</f>
        <v>0</v>
      </c>
      <c r="O5" s="7">
        <f>IF(主角经验!AR6="","",主角经验!$B6*主角经验!AR6)</f>
        <v>0</v>
      </c>
      <c r="P5" s="7">
        <f>IF(主角经验!AS6="","",主角经验!$B6*主角经验!AS6)</f>
        <v>0</v>
      </c>
      <c r="Q5" s="7">
        <f>IF(主角经验!AT6="","",主角经验!$B6*主角经验!AT6)</f>
        <v>83200</v>
      </c>
      <c r="R5" s="7">
        <f>IF(主角经验!AU6="","",主角经验!$B6*主角经验!AU6)</f>
        <v>0</v>
      </c>
      <c r="S5" s="7">
        <f>IF(主角经验!AV6="","",主角经验!$B6*主角经验!AV6)</f>
        <v>0</v>
      </c>
      <c r="T5" s="7">
        <f>IF(主角经验!AW6="","",主角经验!$B6*主角经验!AW6)</f>
        <v>0</v>
      </c>
      <c r="U5" s="7">
        <f>IF(主角经验!AX6="","",主角经验!$B6*主角经验!AX6)</f>
        <v>0</v>
      </c>
      <c r="V5" s="7">
        <f>IF(主角经验!AY6="","",主角经验!$B6*主角经验!AY6)</f>
        <v>0</v>
      </c>
      <c r="W5" s="7">
        <f>IF(主角经验!AZ6="","",主角经验!$B6*主角经验!AZ6)</f>
        <v>0</v>
      </c>
      <c r="X5" s="7">
        <f>IF(主角经验!BA6="","",主角经验!$B6*主角经验!BA6)</f>
        <v>0</v>
      </c>
      <c r="Y5" s="7">
        <f>IF(主角经验!BB6="","",主角经验!$B6*主角经验!BB6)</f>
        <v>0</v>
      </c>
      <c r="Z5" s="7">
        <f>IF(主角经验!BC6="","",主角经验!$B6*主角经验!BC6)</f>
        <v>0</v>
      </c>
      <c r="AA5" s="7">
        <f>IF(主角经验!BD6="","",主角经验!$B6*主角经验!BD6)</f>
        <v>0</v>
      </c>
      <c r="AB5" s="7" t="str">
        <f>IF(主角经验!BE6="","",主角经验!$B6*主角经验!BE6)</f>
        <v/>
      </c>
      <c r="AC5" s="7" t="str">
        <f>IF(主角经验!BF6="","",主角经验!$B6*主角经验!BF6)</f>
        <v/>
      </c>
      <c r="AD5" s="7" t="str">
        <f>IF(主角经验!BG6="","",主角经验!$B6*主角经验!BG6)</f>
        <v/>
      </c>
      <c r="AE5" s="7" t="str">
        <f>IF(主角经验!BH6="","",主角经验!$B6*主角经验!BH6)</f>
        <v/>
      </c>
      <c r="AF5" s="7">
        <f>主角经验!BK6</f>
        <v>6400</v>
      </c>
      <c r="AG5" s="7">
        <f>主角经验!BO6</f>
        <v>18</v>
      </c>
    </row>
    <row r="6" spans="1:33">
      <c r="A6" s="32">
        <v>5</v>
      </c>
      <c r="B6" s="81">
        <f>主角经验!B7</f>
        <v>2000</v>
      </c>
      <c r="C6" s="7">
        <f>IF(主角经验!AF7="","",主角经验!$B7*主角经验!AF7)</f>
        <v>0</v>
      </c>
      <c r="D6" s="7">
        <f>IF(主角经验!AG7="","",主角经验!$B7*主角经验!AG7)</f>
        <v>0</v>
      </c>
      <c r="E6" s="7">
        <f>IF(主角经验!AH7="","",主角经验!$B7*主角经验!AH7)</f>
        <v>0</v>
      </c>
      <c r="F6" s="7">
        <f>IF(主角经验!AI7="","",主角经验!$B7*主角经验!AI7)</f>
        <v>0</v>
      </c>
      <c r="G6" s="7" t="str">
        <f>IF(主角经验!AJ7="","",主角经验!$B7*主角经验!AJ7)</f>
        <v/>
      </c>
      <c r="H6" s="7" t="str">
        <f>IF(主角经验!AK7="","",主角经验!$B7*主角经验!AK7)</f>
        <v/>
      </c>
      <c r="I6" s="7" t="str">
        <f>IF(主角经验!AL7="","",主角经验!$B7*主角经验!AL7)</f>
        <v/>
      </c>
      <c r="J6" s="7" t="str">
        <f>IF(主角经验!AM7="","",主角经验!$B7*主角经验!AM7)</f>
        <v/>
      </c>
      <c r="K6" s="7">
        <f>IF(主角经验!AN7="","",主角经验!$B7*主角经验!AN7)</f>
        <v>0</v>
      </c>
      <c r="L6" s="7">
        <f>IF(主角经验!AO7="","",主角经验!$B7*主角经验!AO7)</f>
        <v>0</v>
      </c>
      <c r="M6" s="7">
        <f>IF(主角经验!AP7="","",主角经验!$B7*主角经验!AP7)</f>
        <v>0</v>
      </c>
      <c r="N6" s="7">
        <f>IF(主角经验!AQ7="","",主角经验!$B7*主角经验!AQ7)</f>
        <v>0</v>
      </c>
      <c r="O6" s="7">
        <f>IF(主角经验!AR7="","",主角经验!$B7*主角经验!AR7)</f>
        <v>0</v>
      </c>
      <c r="P6" s="7">
        <f>IF(主角经验!AS7="","",主角经验!$B7*主角经验!AS7)</f>
        <v>0</v>
      </c>
      <c r="Q6" s="7">
        <f>IF(主角经验!AT7="","",主角经验!$B7*主角经验!AT7)</f>
        <v>104000</v>
      </c>
      <c r="R6" s="7">
        <f>IF(主角经验!AU7="","",主角经验!$B7*主角经验!AU7)</f>
        <v>0</v>
      </c>
      <c r="S6" s="7">
        <f>IF(主角经验!AV7="","",主角经验!$B7*主角经验!AV7)</f>
        <v>0</v>
      </c>
      <c r="T6" s="7">
        <f>IF(主角经验!AW7="","",主角经验!$B7*主角经验!AW7)</f>
        <v>0</v>
      </c>
      <c r="U6" s="7">
        <f>IF(主角经验!AX7="","",主角经验!$B7*主角经验!AX7)</f>
        <v>0</v>
      </c>
      <c r="V6" s="7">
        <f>IF(主角经验!AY7="","",主角经验!$B7*主角经验!AY7)</f>
        <v>0</v>
      </c>
      <c r="W6" s="7">
        <f>IF(主角经验!AZ7="","",主角经验!$B7*主角经验!AZ7)</f>
        <v>0</v>
      </c>
      <c r="X6" s="7">
        <f>IF(主角经验!BA7="","",主角经验!$B7*主角经验!BA7)</f>
        <v>0</v>
      </c>
      <c r="Y6" s="7">
        <f>IF(主角经验!BB7="","",主角经验!$B7*主角经验!BB7)</f>
        <v>0</v>
      </c>
      <c r="Z6" s="7">
        <f>IF(主角经验!BC7="","",主角经验!$B7*主角经验!BC7)</f>
        <v>0</v>
      </c>
      <c r="AA6" s="7">
        <f>IF(主角经验!BD7="","",主角经验!$B7*主角经验!BD7)</f>
        <v>0</v>
      </c>
      <c r="AB6" s="7" t="str">
        <f>IF(主角经验!BE7="","",主角经验!$B7*主角经验!BE7)</f>
        <v/>
      </c>
      <c r="AC6" s="7" t="str">
        <f>IF(主角经验!BF7="","",主角经验!$B7*主角经验!BF7)</f>
        <v/>
      </c>
      <c r="AD6" s="7" t="str">
        <f>IF(主角经验!BG7="","",主角经验!$B7*主角经验!BG7)</f>
        <v/>
      </c>
      <c r="AE6" s="7" t="str">
        <f>IF(主角经验!BH7="","",主角经验!$B7*主角经验!BH7)</f>
        <v/>
      </c>
      <c r="AF6" s="7">
        <f>主角经验!BK7</f>
        <v>8000</v>
      </c>
      <c r="AG6" s="7">
        <f>主角经验!BO7</f>
        <v>22</v>
      </c>
    </row>
    <row r="7" spans="1:33">
      <c r="A7" s="32">
        <v>6</v>
      </c>
      <c r="B7" s="81">
        <f>主角经验!B8</f>
        <v>2400</v>
      </c>
      <c r="C7" s="7">
        <f>IF(主角经验!AF8="","",主角经验!$B8*主角经验!AF8)</f>
        <v>0</v>
      </c>
      <c r="D7" s="7">
        <f>IF(主角经验!AG8="","",主角经验!$B8*主角经验!AG8)</f>
        <v>0</v>
      </c>
      <c r="E7" s="7">
        <f>IF(主角经验!AH8="","",主角经验!$B8*主角经验!AH8)</f>
        <v>0</v>
      </c>
      <c r="F7" s="7">
        <f>IF(主角经验!AI8="","",主角经验!$B8*主角经验!AI8)</f>
        <v>0</v>
      </c>
      <c r="G7" s="7" t="str">
        <f>IF(主角经验!AJ8="","",主角经验!$B8*主角经验!AJ8)</f>
        <v/>
      </c>
      <c r="H7" s="7" t="str">
        <f>IF(主角经验!AK8="","",主角经验!$B8*主角经验!AK8)</f>
        <v/>
      </c>
      <c r="I7" s="7" t="str">
        <f>IF(主角经验!AL8="","",主角经验!$B8*主角经验!AL8)</f>
        <v/>
      </c>
      <c r="J7" s="7" t="str">
        <f>IF(主角经验!AM8="","",主角经验!$B8*主角经验!AM8)</f>
        <v/>
      </c>
      <c r="K7" s="7">
        <f>IF(主角经验!AN8="","",主角经验!$B8*主角经验!AN8)</f>
        <v>0</v>
      </c>
      <c r="L7" s="7">
        <f>IF(主角经验!AO8="","",主角经验!$B8*主角经验!AO8)</f>
        <v>0</v>
      </c>
      <c r="M7" s="7">
        <f>IF(主角经验!AP8="","",主角经验!$B8*主角经验!AP8)</f>
        <v>0</v>
      </c>
      <c r="N7" s="7">
        <f>IF(主角经验!AQ8="","",主角经验!$B8*主角经验!AQ8)</f>
        <v>0</v>
      </c>
      <c r="O7" s="7">
        <f>IF(主角经验!AR8="","",主角经验!$B8*主角经验!AR8)</f>
        <v>0</v>
      </c>
      <c r="P7" s="7">
        <f>IF(主角经验!AS8="","",主角经验!$B8*主角经验!AS8)</f>
        <v>0</v>
      </c>
      <c r="Q7" s="7">
        <f>IF(主角经验!AT8="","",主角经验!$B8*主角经验!AT8)</f>
        <v>124800</v>
      </c>
      <c r="R7" s="7">
        <f>IF(主角经验!AU8="","",主角经验!$B8*主角经验!AU8)</f>
        <v>0</v>
      </c>
      <c r="S7" s="7">
        <f>IF(主角经验!AV8="","",主角经验!$B8*主角经验!AV8)</f>
        <v>0</v>
      </c>
      <c r="T7" s="7">
        <f>IF(主角经验!AW8="","",主角经验!$B8*主角经验!AW8)</f>
        <v>0</v>
      </c>
      <c r="U7" s="7">
        <f>IF(主角经验!AX8="","",主角经验!$B8*主角经验!AX8)</f>
        <v>0</v>
      </c>
      <c r="V7" s="7">
        <f>IF(主角经验!AY8="","",主角经验!$B8*主角经验!AY8)</f>
        <v>0</v>
      </c>
      <c r="W7" s="7">
        <f>IF(主角经验!AZ8="","",主角经验!$B8*主角经验!AZ8)</f>
        <v>0</v>
      </c>
      <c r="X7" s="7">
        <f>IF(主角经验!BA8="","",主角经验!$B8*主角经验!BA8)</f>
        <v>0</v>
      </c>
      <c r="Y7" s="7">
        <f>IF(主角经验!BB8="","",主角经验!$B8*主角经验!BB8)</f>
        <v>0</v>
      </c>
      <c r="Z7" s="7">
        <f>IF(主角经验!BC8="","",主角经验!$B8*主角经验!BC8)</f>
        <v>0</v>
      </c>
      <c r="AA7" s="7">
        <f>IF(主角经验!BD8="","",主角经验!$B8*主角经验!BD8)</f>
        <v>0</v>
      </c>
      <c r="AB7" s="7" t="str">
        <f>IF(主角经验!BE8="","",主角经验!$B8*主角经验!BE8)</f>
        <v/>
      </c>
      <c r="AC7" s="7" t="str">
        <f>IF(主角经验!BF8="","",主角经验!$B8*主角经验!BF8)</f>
        <v/>
      </c>
      <c r="AD7" s="7" t="str">
        <f>IF(主角经验!BG8="","",主角经验!$B8*主角经验!BG8)</f>
        <v/>
      </c>
      <c r="AE7" s="7" t="str">
        <f>IF(主角经验!BH8="","",主角经验!$B8*主角经验!BH8)</f>
        <v/>
      </c>
      <c r="AF7" s="7">
        <f>主角经验!BK8</f>
        <v>9600</v>
      </c>
      <c r="AG7" s="7">
        <f>主角经验!BO8</f>
        <v>27</v>
      </c>
    </row>
    <row r="8" spans="1:33">
      <c r="A8" s="32">
        <v>7</v>
      </c>
      <c r="B8" s="81">
        <f>主角经验!B9</f>
        <v>2800</v>
      </c>
      <c r="C8" s="7">
        <f>IF(主角经验!AF9="","",主角经验!$B9*主角经验!AF9)</f>
        <v>0</v>
      </c>
      <c r="D8" s="7">
        <f>IF(主角经验!AG9="","",主角经验!$B9*主角经验!AG9)</f>
        <v>0</v>
      </c>
      <c r="E8" s="7">
        <f>IF(主角经验!AH9="","",主角经验!$B9*主角经验!AH9)</f>
        <v>0</v>
      </c>
      <c r="F8" s="7">
        <f>IF(主角经验!AI9="","",主角经验!$B9*主角经验!AI9)</f>
        <v>0</v>
      </c>
      <c r="G8" s="7" t="str">
        <f>IF(主角经验!AJ9="","",主角经验!$B9*主角经验!AJ9)</f>
        <v/>
      </c>
      <c r="H8" s="7" t="str">
        <f>IF(主角经验!AK9="","",主角经验!$B9*主角经验!AK9)</f>
        <v/>
      </c>
      <c r="I8" s="7" t="str">
        <f>IF(主角经验!AL9="","",主角经验!$B9*主角经验!AL9)</f>
        <v/>
      </c>
      <c r="J8" s="7" t="str">
        <f>IF(主角经验!AM9="","",主角经验!$B9*主角经验!AM9)</f>
        <v/>
      </c>
      <c r="K8" s="7">
        <f>IF(主角经验!AN9="","",主角经验!$B9*主角经验!AN9)</f>
        <v>0</v>
      </c>
      <c r="L8" s="7">
        <f>IF(主角经验!AO9="","",主角经验!$B9*主角经验!AO9)</f>
        <v>0</v>
      </c>
      <c r="M8" s="7">
        <f>IF(主角经验!AP9="","",主角经验!$B9*主角经验!AP9)</f>
        <v>0</v>
      </c>
      <c r="N8" s="7">
        <f>IF(主角经验!AQ9="","",主角经验!$B9*主角经验!AQ9)</f>
        <v>0</v>
      </c>
      <c r="O8" s="7">
        <f>IF(主角经验!AR9="","",主角经验!$B9*主角经验!AR9)</f>
        <v>0</v>
      </c>
      <c r="P8" s="7">
        <f>IF(主角经验!AS9="","",主角经验!$B9*主角经验!AS9)</f>
        <v>0</v>
      </c>
      <c r="Q8" s="7">
        <f>IF(主角经验!AT9="","",主角经验!$B9*主角经验!AT9)</f>
        <v>145600</v>
      </c>
      <c r="R8" s="7">
        <f>IF(主角经验!AU9="","",主角经验!$B9*主角经验!AU9)</f>
        <v>0</v>
      </c>
      <c r="S8" s="7">
        <f>IF(主角经验!AV9="","",主角经验!$B9*主角经验!AV9)</f>
        <v>0</v>
      </c>
      <c r="T8" s="7">
        <f>IF(主角经验!AW9="","",主角经验!$B9*主角经验!AW9)</f>
        <v>0</v>
      </c>
      <c r="U8" s="7">
        <f>IF(主角经验!AX9="","",主角经验!$B9*主角经验!AX9)</f>
        <v>0</v>
      </c>
      <c r="V8" s="7">
        <f>IF(主角经验!AY9="","",主角经验!$B9*主角经验!AY9)</f>
        <v>0</v>
      </c>
      <c r="W8" s="7">
        <f>IF(主角经验!AZ9="","",主角经验!$B9*主角经验!AZ9)</f>
        <v>0</v>
      </c>
      <c r="X8" s="7">
        <f>IF(主角经验!BA9="","",主角经验!$B9*主角经验!BA9)</f>
        <v>0</v>
      </c>
      <c r="Y8" s="7">
        <f>IF(主角经验!BB9="","",主角经验!$B9*主角经验!BB9)</f>
        <v>0</v>
      </c>
      <c r="Z8" s="7">
        <f>IF(主角经验!BC9="","",主角经验!$B9*主角经验!BC9)</f>
        <v>0</v>
      </c>
      <c r="AA8" s="7">
        <f>IF(主角经验!BD9="","",主角经验!$B9*主角经验!BD9)</f>
        <v>0</v>
      </c>
      <c r="AB8" s="7" t="str">
        <f>IF(主角经验!BE9="","",主角经验!$B9*主角经验!BE9)</f>
        <v/>
      </c>
      <c r="AC8" s="7" t="str">
        <f>IF(主角经验!BF9="","",主角经验!$B9*主角经验!BF9)</f>
        <v/>
      </c>
      <c r="AD8" s="7" t="str">
        <f>IF(主角经验!BG9="","",主角经验!$B9*主角经验!BG9)</f>
        <v/>
      </c>
      <c r="AE8" s="7" t="str">
        <f>IF(主角经验!BH9="","",主角经验!$B9*主角经验!BH9)</f>
        <v/>
      </c>
      <c r="AF8" s="7">
        <f>主角经验!BK9</f>
        <v>11200</v>
      </c>
      <c r="AG8" s="7">
        <f>主角经验!BO9</f>
        <v>31</v>
      </c>
    </row>
    <row r="9" spans="1:33">
      <c r="A9" s="32">
        <v>8</v>
      </c>
      <c r="B9" s="81">
        <f>主角经验!B10</f>
        <v>3200</v>
      </c>
      <c r="C9" s="7">
        <f>IF(主角经验!AF10="","",主角经验!$B10*主角经验!AF10)</f>
        <v>0</v>
      </c>
      <c r="D9" s="7">
        <f>IF(主角经验!AG10="","",主角经验!$B10*主角经验!AG10)</f>
        <v>0</v>
      </c>
      <c r="E9" s="7">
        <f>IF(主角经验!AH10="","",主角经验!$B10*主角经验!AH10)</f>
        <v>0</v>
      </c>
      <c r="F9" s="7">
        <f>IF(主角经验!AI10="","",主角经验!$B10*主角经验!AI10)</f>
        <v>0</v>
      </c>
      <c r="G9" s="7" t="str">
        <f>IF(主角经验!AJ10="","",主角经验!$B10*主角经验!AJ10)</f>
        <v/>
      </c>
      <c r="H9" s="7" t="str">
        <f>IF(主角经验!AK10="","",主角经验!$B10*主角经验!AK10)</f>
        <v/>
      </c>
      <c r="I9" s="7" t="str">
        <f>IF(主角经验!AL10="","",主角经验!$B10*主角经验!AL10)</f>
        <v/>
      </c>
      <c r="J9" s="7" t="str">
        <f>IF(主角经验!AM10="","",主角经验!$B10*主角经验!AM10)</f>
        <v/>
      </c>
      <c r="K9" s="7">
        <f>IF(主角经验!AN10="","",主角经验!$B10*主角经验!AN10)</f>
        <v>0</v>
      </c>
      <c r="L9" s="7">
        <f>IF(主角经验!AO10="","",主角经验!$B10*主角经验!AO10)</f>
        <v>0</v>
      </c>
      <c r="M9" s="7">
        <f>IF(主角经验!AP10="","",主角经验!$B10*主角经验!AP10)</f>
        <v>0</v>
      </c>
      <c r="N9" s="7">
        <f>IF(主角经验!AQ10="","",主角经验!$B10*主角经验!AQ10)</f>
        <v>0</v>
      </c>
      <c r="O9" s="7">
        <f>IF(主角经验!AR10="","",主角经验!$B10*主角经验!AR10)</f>
        <v>0</v>
      </c>
      <c r="P9" s="7">
        <f>IF(主角经验!AS10="","",主角经验!$B10*主角经验!AS10)</f>
        <v>0</v>
      </c>
      <c r="Q9" s="7">
        <f>IF(主角经验!AT10="","",主角经验!$B10*主角经验!AT10)</f>
        <v>166400</v>
      </c>
      <c r="R9" s="7">
        <f>IF(主角经验!AU10="","",主角经验!$B10*主角经验!AU10)</f>
        <v>0</v>
      </c>
      <c r="S9" s="7">
        <f>IF(主角经验!AV10="","",主角经验!$B10*主角经验!AV10)</f>
        <v>0</v>
      </c>
      <c r="T9" s="7">
        <f>IF(主角经验!AW10="","",主角经验!$B10*主角经验!AW10)</f>
        <v>0</v>
      </c>
      <c r="U9" s="7">
        <f>IF(主角经验!AX10="","",主角经验!$B10*主角经验!AX10)</f>
        <v>0</v>
      </c>
      <c r="V9" s="7">
        <f>IF(主角经验!AY10="","",主角经验!$B10*主角经验!AY10)</f>
        <v>0</v>
      </c>
      <c r="W9" s="7">
        <f>IF(主角经验!AZ10="","",主角经验!$B10*主角经验!AZ10)</f>
        <v>0</v>
      </c>
      <c r="X9" s="7">
        <f>IF(主角经验!BA10="","",主角经验!$B10*主角经验!BA10)</f>
        <v>0</v>
      </c>
      <c r="Y9" s="7">
        <f>IF(主角经验!BB10="","",主角经验!$B10*主角经验!BB10)</f>
        <v>0</v>
      </c>
      <c r="Z9" s="7">
        <f>IF(主角经验!BC10="","",主角经验!$B10*主角经验!BC10)</f>
        <v>0</v>
      </c>
      <c r="AA9" s="7">
        <f>IF(主角经验!BD10="","",主角经验!$B10*主角经验!BD10)</f>
        <v>0</v>
      </c>
      <c r="AB9" s="7" t="str">
        <f>IF(主角经验!BE10="","",主角经验!$B10*主角经验!BE10)</f>
        <v/>
      </c>
      <c r="AC9" s="7" t="str">
        <f>IF(主角经验!BF10="","",主角经验!$B10*主角经验!BF10)</f>
        <v/>
      </c>
      <c r="AD9" s="7" t="str">
        <f>IF(主角经验!BG10="","",主角经验!$B10*主角经验!BG10)</f>
        <v/>
      </c>
      <c r="AE9" s="7" t="str">
        <f>IF(主角经验!BH10="","",主角经验!$B10*主角经验!BH10)</f>
        <v/>
      </c>
      <c r="AF9" s="7">
        <f>主角经验!BK10</f>
        <v>12800</v>
      </c>
      <c r="AG9" s="7">
        <f>主角经验!BO10</f>
        <v>36</v>
      </c>
    </row>
    <row r="10" spans="1:33">
      <c r="A10" s="32">
        <v>9</v>
      </c>
      <c r="B10" s="81">
        <f>主角经验!B11</f>
        <v>3600</v>
      </c>
      <c r="C10" s="7">
        <f>IF(主角经验!AF11="","",主角经验!$B11*主角经验!AF11)</f>
        <v>0</v>
      </c>
      <c r="D10" s="7">
        <f>IF(主角经验!AG11="","",主角经验!$B11*主角经验!AG11)</f>
        <v>0</v>
      </c>
      <c r="E10" s="7">
        <f>IF(主角经验!AH11="","",主角经验!$B11*主角经验!AH11)</f>
        <v>0</v>
      </c>
      <c r="F10" s="7">
        <f>IF(主角经验!AI11="","",主角经验!$B11*主角经验!AI11)</f>
        <v>0</v>
      </c>
      <c r="G10" s="7" t="str">
        <f>IF(主角经验!AJ11="","",主角经验!$B11*主角经验!AJ11)</f>
        <v/>
      </c>
      <c r="H10" s="7" t="str">
        <f>IF(主角经验!AK11="","",主角经验!$B11*主角经验!AK11)</f>
        <v/>
      </c>
      <c r="I10" s="7" t="str">
        <f>IF(主角经验!AL11="","",主角经验!$B11*主角经验!AL11)</f>
        <v/>
      </c>
      <c r="J10" s="7" t="str">
        <f>IF(主角经验!AM11="","",主角经验!$B11*主角经验!AM11)</f>
        <v/>
      </c>
      <c r="K10" s="7">
        <f>IF(主角经验!AN11="","",主角经验!$B11*主角经验!AN11)</f>
        <v>0</v>
      </c>
      <c r="L10" s="7">
        <f>IF(主角经验!AO11="","",主角经验!$B11*主角经验!AO11)</f>
        <v>0</v>
      </c>
      <c r="M10" s="7">
        <f>IF(主角经验!AP11="","",主角经验!$B11*主角经验!AP11)</f>
        <v>0</v>
      </c>
      <c r="N10" s="7">
        <f>IF(主角经验!AQ11="","",主角经验!$B11*主角经验!AQ11)</f>
        <v>0</v>
      </c>
      <c r="O10" s="7">
        <f>IF(主角经验!AR11="","",主角经验!$B11*主角经验!AR11)</f>
        <v>0</v>
      </c>
      <c r="P10" s="7">
        <f>IF(主角经验!AS11="","",主角经验!$B11*主角经验!AS11)</f>
        <v>0</v>
      </c>
      <c r="Q10" s="7">
        <f>IF(主角经验!AT11="","",主角经验!$B11*主角经验!AT11)</f>
        <v>187200</v>
      </c>
      <c r="R10" s="7">
        <f>IF(主角经验!AU11="","",主角经验!$B11*主角经验!AU11)</f>
        <v>0</v>
      </c>
      <c r="S10" s="7">
        <f>IF(主角经验!AV11="","",主角经验!$B11*主角经验!AV11)</f>
        <v>0</v>
      </c>
      <c r="T10" s="7">
        <f>IF(主角经验!AW11="","",主角经验!$B11*主角经验!AW11)</f>
        <v>0</v>
      </c>
      <c r="U10" s="7">
        <f>IF(主角经验!AX11="","",主角经验!$B11*主角经验!AX11)</f>
        <v>0</v>
      </c>
      <c r="V10" s="7">
        <f>IF(主角经验!AY11="","",主角经验!$B11*主角经验!AY11)</f>
        <v>0</v>
      </c>
      <c r="W10" s="7">
        <f>IF(主角经验!AZ11="","",主角经验!$B11*主角经验!AZ11)</f>
        <v>0</v>
      </c>
      <c r="X10" s="7">
        <f>IF(主角经验!BA11="","",主角经验!$B11*主角经验!BA11)</f>
        <v>0</v>
      </c>
      <c r="Y10" s="7">
        <f>IF(主角经验!BB11="","",主角经验!$B11*主角经验!BB11)</f>
        <v>0</v>
      </c>
      <c r="Z10" s="7">
        <f>IF(主角经验!BC11="","",主角经验!$B11*主角经验!BC11)</f>
        <v>0</v>
      </c>
      <c r="AA10" s="7">
        <f>IF(主角经验!BD11="","",主角经验!$B11*主角经验!BD11)</f>
        <v>0</v>
      </c>
      <c r="AB10" s="7" t="str">
        <f>IF(主角经验!BE11="","",主角经验!$B11*主角经验!BE11)</f>
        <v/>
      </c>
      <c r="AC10" s="7" t="str">
        <f>IF(主角经验!BF11="","",主角经验!$B11*主角经验!BF11)</f>
        <v/>
      </c>
      <c r="AD10" s="7" t="str">
        <f>IF(主角经验!BG11="","",主角经验!$B11*主角经验!BG11)</f>
        <v/>
      </c>
      <c r="AE10" s="7" t="str">
        <f>IF(主角经验!BH11="","",主角经验!$B11*主角经验!BH11)</f>
        <v/>
      </c>
      <c r="AF10" s="7">
        <f>主角经验!BK11</f>
        <v>14400</v>
      </c>
      <c r="AG10" s="7">
        <f>主角经验!BO11</f>
        <v>40</v>
      </c>
    </row>
    <row r="11" spans="1:33">
      <c r="A11" s="32">
        <v>10</v>
      </c>
      <c r="B11" s="81">
        <f>主角经验!B12</f>
        <v>4000</v>
      </c>
      <c r="C11" s="7">
        <f>IF(主角经验!AF12="","",主角经验!$B12*主角经验!AF12)</f>
        <v>0</v>
      </c>
      <c r="D11" s="7">
        <f>IF(主角经验!AG12="","",主角经验!$B12*主角经验!AG12)</f>
        <v>0</v>
      </c>
      <c r="E11" s="7">
        <f>IF(主角经验!AH12="","",主角经验!$B12*主角经验!AH12)</f>
        <v>0</v>
      </c>
      <c r="F11" s="7">
        <f>IF(主角经验!AI12="","",主角经验!$B12*主角经验!AI12)</f>
        <v>0</v>
      </c>
      <c r="G11" s="7" t="str">
        <f>IF(主角经验!AJ12="","",主角经验!$B12*主角经验!AJ12)</f>
        <v/>
      </c>
      <c r="H11" s="7" t="str">
        <f>IF(主角经验!AK12="","",主角经验!$B12*主角经验!AK12)</f>
        <v/>
      </c>
      <c r="I11" s="7" t="str">
        <f>IF(主角经验!AL12="","",主角经验!$B12*主角经验!AL12)</f>
        <v/>
      </c>
      <c r="J11" s="7" t="str">
        <f>IF(主角经验!AM12="","",主角经验!$B12*主角经验!AM12)</f>
        <v/>
      </c>
      <c r="K11" s="7">
        <f>IF(主角经验!AN12="","",主角经验!$B12*主角经验!AN12)</f>
        <v>0</v>
      </c>
      <c r="L11" s="7">
        <f>IF(主角经验!AO12="","",主角经验!$B12*主角经验!AO12)</f>
        <v>0</v>
      </c>
      <c r="M11" s="7">
        <f>IF(主角经验!AP12="","",主角经验!$B12*主角经验!AP12)</f>
        <v>0</v>
      </c>
      <c r="N11" s="7">
        <f>IF(主角经验!AQ12="","",主角经验!$B12*主角经验!AQ12)</f>
        <v>48000</v>
      </c>
      <c r="O11" s="7">
        <f>IF(主角经验!AR12="","",主角经验!$B12*主角经验!AR12)</f>
        <v>0</v>
      </c>
      <c r="P11" s="7">
        <f>IF(主角经验!AS12="","",主角经验!$B12*主角经验!AS12)</f>
        <v>3320</v>
      </c>
      <c r="Q11" s="7">
        <f>IF(主角经验!AT12="","",主角经验!$B12*主角经验!AT12)</f>
        <v>208000</v>
      </c>
      <c r="R11" s="7">
        <f>IF(主角经验!AU12="","",主角经验!$B12*主角经验!AU12)</f>
        <v>0</v>
      </c>
      <c r="S11" s="7">
        <f>IF(主角经验!AV12="","",主角经验!$B12*主角经验!AV12)</f>
        <v>0</v>
      </c>
      <c r="T11" s="7">
        <f>IF(主角经验!AW12="","",主角经验!$B12*主角经验!AW12)</f>
        <v>0</v>
      </c>
      <c r="U11" s="7">
        <f>IF(主角经验!AX12="","",主角经验!$B12*主角经验!AX12)</f>
        <v>0</v>
      </c>
      <c r="V11" s="7">
        <f>IF(主角经验!AY12="","",主角经验!$B12*主角经验!AY12)</f>
        <v>0</v>
      </c>
      <c r="W11" s="7">
        <f>IF(主角经验!AZ12="","",主角经验!$B12*主角经验!AZ12)</f>
        <v>0</v>
      </c>
      <c r="X11" s="7">
        <f>IF(主角经验!BA12="","",主角经验!$B12*主角经验!BA12)</f>
        <v>0</v>
      </c>
      <c r="Y11" s="7">
        <f>IF(主角经验!BB12="","",主角经验!$B12*主角经验!BB12)</f>
        <v>0</v>
      </c>
      <c r="Z11" s="7">
        <f>IF(主角经验!BC12="","",主角经验!$B12*主角经验!BC12)</f>
        <v>0</v>
      </c>
      <c r="AA11" s="7">
        <f>IF(主角经验!BD12="","",主角经验!$B12*主角经验!BD12)</f>
        <v>0</v>
      </c>
      <c r="AB11" s="7" t="str">
        <f>IF(主角经验!BE12="","",主角经验!$B12*主角经验!BE12)</f>
        <v/>
      </c>
      <c r="AC11" s="7" t="str">
        <f>IF(主角经验!BF12="","",主角经验!$B12*主角经验!BF12)</f>
        <v/>
      </c>
      <c r="AD11" s="7" t="str">
        <f>IF(主角经验!BG12="","",主角经验!$B12*主角经验!BG12)</f>
        <v/>
      </c>
      <c r="AE11" s="7" t="str">
        <f>IF(主角经验!BH12="","",主角经验!$B12*主角经验!BH12)</f>
        <v/>
      </c>
      <c r="AF11" s="7">
        <f>主角经验!BK12</f>
        <v>16000</v>
      </c>
      <c r="AG11" s="7">
        <f>主角经验!BO12</f>
        <v>44</v>
      </c>
    </row>
    <row r="12" spans="1:33">
      <c r="A12" s="32">
        <v>11</v>
      </c>
      <c r="B12" s="81">
        <f>主角经验!B13</f>
        <v>4400</v>
      </c>
      <c r="C12" s="7">
        <f>IF(主角经验!AF13="","",主角经验!$B13*主角经验!AF13)</f>
        <v>0</v>
      </c>
      <c r="D12" s="7">
        <f>IF(主角经验!AG13="","",主角经验!$B13*主角经验!AG13)</f>
        <v>0</v>
      </c>
      <c r="E12" s="7">
        <f>IF(主角经验!AH13="","",主角经验!$B13*主角经验!AH13)</f>
        <v>0</v>
      </c>
      <c r="F12" s="7">
        <f>IF(主角经验!AI13="","",主角经验!$B13*主角经验!AI13)</f>
        <v>0</v>
      </c>
      <c r="G12" s="7" t="str">
        <f>IF(主角经验!AJ13="","",主角经验!$B13*主角经验!AJ13)</f>
        <v/>
      </c>
      <c r="H12" s="7" t="str">
        <f>IF(主角经验!AK13="","",主角经验!$B13*主角经验!AK13)</f>
        <v/>
      </c>
      <c r="I12" s="7" t="str">
        <f>IF(主角经验!AL13="","",主角经验!$B13*主角经验!AL13)</f>
        <v/>
      </c>
      <c r="J12" s="7" t="str">
        <f>IF(主角经验!AM13="","",主角经验!$B13*主角经验!AM13)</f>
        <v/>
      </c>
      <c r="K12" s="7">
        <f>IF(主角经验!AN13="","",主角经验!$B13*主角经验!AN13)</f>
        <v>0</v>
      </c>
      <c r="L12" s="7">
        <f>IF(主角经验!AO13="","",主角经验!$B13*主角经验!AO13)</f>
        <v>0</v>
      </c>
      <c r="M12" s="7">
        <f>IF(主角经验!AP13="","",主角经验!$B13*主角经验!AP13)</f>
        <v>0</v>
      </c>
      <c r="N12" s="7">
        <f>IF(主角经验!AQ13="","",主角经验!$B13*主角经验!AQ13)</f>
        <v>52800</v>
      </c>
      <c r="O12" s="7">
        <f>IF(主角经验!AR13="","",主角经验!$B13*主角经验!AR13)</f>
        <v>0</v>
      </c>
      <c r="P12" s="7">
        <f>IF(主角经验!AS13="","",主角经验!$B13*主角经验!AS13)</f>
        <v>3652</v>
      </c>
      <c r="Q12" s="7">
        <f>IF(主角经验!AT13="","",主角经验!$B13*主角经验!AT13)</f>
        <v>228800</v>
      </c>
      <c r="R12" s="7">
        <f>IF(主角经验!AU13="","",主角经验!$B13*主角经验!AU13)</f>
        <v>0</v>
      </c>
      <c r="S12" s="7">
        <f>IF(主角经验!AV13="","",主角经验!$B13*主角经验!AV13)</f>
        <v>0</v>
      </c>
      <c r="T12" s="7">
        <f>IF(主角经验!AW13="","",主角经验!$B13*主角经验!AW13)</f>
        <v>0</v>
      </c>
      <c r="U12" s="7">
        <f>IF(主角经验!AX13="","",主角经验!$B13*主角经验!AX13)</f>
        <v>0</v>
      </c>
      <c r="V12" s="7">
        <f>IF(主角经验!AY13="","",主角经验!$B13*主角经验!AY13)</f>
        <v>0</v>
      </c>
      <c r="W12" s="7">
        <f>IF(主角经验!AZ13="","",主角经验!$B13*主角经验!AZ13)</f>
        <v>0</v>
      </c>
      <c r="X12" s="7">
        <f>IF(主角经验!BA13="","",主角经验!$B13*主角经验!BA13)</f>
        <v>0</v>
      </c>
      <c r="Y12" s="7">
        <f>IF(主角经验!BB13="","",主角经验!$B13*主角经验!BB13)</f>
        <v>0</v>
      </c>
      <c r="Z12" s="7">
        <f>IF(主角经验!BC13="","",主角经验!$B13*主角经验!BC13)</f>
        <v>0</v>
      </c>
      <c r="AA12" s="7">
        <f>IF(主角经验!BD13="","",主角经验!$B13*主角经验!BD13)</f>
        <v>0</v>
      </c>
      <c r="AB12" s="7" t="str">
        <f>IF(主角经验!BE13="","",主角经验!$B13*主角经验!BE13)</f>
        <v/>
      </c>
      <c r="AC12" s="7" t="str">
        <f>IF(主角经验!BF13="","",主角经验!$B13*主角经验!BF13)</f>
        <v/>
      </c>
      <c r="AD12" s="7" t="str">
        <f>IF(主角经验!BG13="","",主角经验!$B13*主角经验!BG13)</f>
        <v/>
      </c>
      <c r="AE12" s="7" t="str">
        <f>IF(主角经验!BH13="","",主角经验!$B13*主角经验!BH13)</f>
        <v/>
      </c>
      <c r="AF12" s="7">
        <f>主角经验!BK13</f>
        <v>17600</v>
      </c>
      <c r="AG12" s="7">
        <f>主角经验!BO13</f>
        <v>49</v>
      </c>
    </row>
    <row r="13" spans="1:33">
      <c r="A13" s="32">
        <v>12</v>
      </c>
      <c r="B13" s="81">
        <f>主角经验!B14</f>
        <v>4800</v>
      </c>
      <c r="C13" s="7">
        <f>IF(主角经验!AF14="","",主角经验!$B14*主角经验!AF14)</f>
        <v>0</v>
      </c>
      <c r="D13" s="7">
        <f>IF(主角经验!AG14="","",主角经验!$B14*主角经验!AG14)</f>
        <v>0</v>
      </c>
      <c r="E13" s="7">
        <f>IF(主角经验!AH14="","",主角经验!$B14*主角经验!AH14)</f>
        <v>0</v>
      </c>
      <c r="F13" s="7">
        <f>IF(主角经验!AI14="","",主角经验!$B14*主角经验!AI14)</f>
        <v>0</v>
      </c>
      <c r="G13" s="7" t="str">
        <f>IF(主角经验!AJ14="","",主角经验!$B14*主角经验!AJ14)</f>
        <v/>
      </c>
      <c r="H13" s="7" t="str">
        <f>IF(主角经验!AK14="","",主角经验!$B14*主角经验!AK14)</f>
        <v/>
      </c>
      <c r="I13" s="7" t="str">
        <f>IF(主角经验!AL14="","",主角经验!$B14*主角经验!AL14)</f>
        <v/>
      </c>
      <c r="J13" s="7" t="str">
        <f>IF(主角经验!AM14="","",主角经验!$B14*主角经验!AM14)</f>
        <v/>
      </c>
      <c r="K13" s="7">
        <f>IF(主角经验!AN14="","",主角经验!$B14*主角经验!AN14)</f>
        <v>0</v>
      </c>
      <c r="L13" s="7">
        <f>IF(主角经验!AO14="","",主角经验!$B14*主角经验!AO14)</f>
        <v>0</v>
      </c>
      <c r="M13" s="7">
        <f>IF(主角经验!AP14="","",主角经验!$B14*主角经验!AP14)</f>
        <v>0</v>
      </c>
      <c r="N13" s="7">
        <f>IF(主角经验!AQ14="","",主角经验!$B14*主角经验!AQ14)</f>
        <v>57600</v>
      </c>
      <c r="O13" s="7">
        <f>IF(主角经验!AR14="","",主角经验!$B14*主角经验!AR14)</f>
        <v>0</v>
      </c>
      <c r="P13" s="7">
        <f>IF(主角经验!AS14="","",主角经验!$B14*主角经验!AS14)</f>
        <v>3984</v>
      </c>
      <c r="Q13" s="7">
        <f>IF(主角经验!AT14="","",主角经验!$B14*主角经验!AT14)</f>
        <v>249600</v>
      </c>
      <c r="R13" s="7">
        <f>IF(主角经验!AU14="","",主角经验!$B14*主角经验!AU14)</f>
        <v>0</v>
      </c>
      <c r="S13" s="7">
        <f>IF(主角经验!AV14="","",主角经验!$B14*主角经验!AV14)</f>
        <v>0</v>
      </c>
      <c r="T13" s="7">
        <f>IF(主角经验!AW14="","",主角经验!$B14*主角经验!AW14)</f>
        <v>0</v>
      </c>
      <c r="U13" s="7">
        <f>IF(主角经验!AX14="","",主角经验!$B14*主角经验!AX14)</f>
        <v>0</v>
      </c>
      <c r="V13" s="7">
        <f>IF(主角经验!AY14="","",主角经验!$B14*主角经验!AY14)</f>
        <v>0</v>
      </c>
      <c r="W13" s="7">
        <f>IF(主角经验!AZ14="","",主角经验!$B14*主角经验!AZ14)</f>
        <v>0</v>
      </c>
      <c r="X13" s="7">
        <f>IF(主角经验!BA14="","",主角经验!$B14*主角经验!BA14)</f>
        <v>0</v>
      </c>
      <c r="Y13" s="7">
        <f>IF(主角经验!BB14="","",主角经验!$B14*主角经验!BB14)</f>
        <v>0</v>
      </c>
      <c r="Z13" s="7">
        <f>IF(主角经验!BC14="","",主角经验!$B14*主角经验!BC14)</f>
        <v>0</v>
      </c>
      <c r="AA13" s="7">
        <f>IF(主角经验!BD14="","",主角经验!$B14*主角经验!BD14)</f>
        <v>0</v>
      </c>
      <c r="AB13" s="7" t="str">
        <f>IF(主角经验!BE14="","",主角经验!$B14*主角经验!BE14)</f>
        <v/>
      </c>
      <c r="AC13" s="7" t="str">
        <f>IF(主角经验!BF14="","",主角经验!$B14*主角经验!BF14)</f>
        <v/>
      </c>
      <c r="AD13" s="7" t="str">
        <f>IF(主角经验!BG14="","",主角经验!$B14*主角经验!BG14)</f>
        <v/>
      </c>
      <c r="AE13" s="7" t="str">
        <f>IF(主角经验!BH14="","",主角经验!$B14*主角经验!BH14)</f>
        <v/>
      </c>
      <c r="AF13" s="7">
        <f>主角经验!BK14</f>
        <v>19200</v>
      </c>
      <c r="AG13" s="7">
        <f>主角经验!BO14</f>
        <v>53</v>
      </c>
    </row>
    <row r="14" spans="1:33">
      <c r="A14" s="32">
        <v>13</v>
      </c>
      <c r="B14" s="81">
        <f>主角经验!B15</f>
        <v>5200</v>
      </c>
      <c r="C14" s="7">
        <f>IF(主角经验!AF15="","",主角经验!$B15*主角经验!AF15)</f>
        <v>0</v>
      </c>
      <c r="D14" s="7">
        <f>IF(主角经验!AG15="","",主角经验!$B15*主角经验!AG15)</f>
        <v>0</v>
      </c>
      <c r="E14" s="7">
        <f>IF(主角经验!AH15="","",主角经验!$B15*主角经验!AH15)</f>
        <v>0</v>
      </c>
      <c r="F14" s="7">
        <f>IF(主角经验!AI15="","",主角经验!$B15*主角经验!AI15)</f>
        <v>0</v>
      </c>
      <c r="G14" s="7" t="str">
        <f>IF(主角经验!AJ15="","",主角经验!$B15*主角经验!AJ15)</f>
        <v/>
      </c>
      <c r="H14" s="7" t="str">
        <f>IF(主角经验!AK15="","",主角经验!$B15*主角经验!AK15)</f>
        <v/>
      </c>
      <c r="I14" s="7" t="str">
        <f>IF(主角经验!AL15="","",主角经验!$B15*主角经验!AL15)</f>
        <v/>
      </c>
      <c r="J14" s="7" t="str">
        <f>IF(主角经验!AM15="","",主角经验!$B15*主角经验!AM15)</f>
        <v/>
      </c>
      <c r="K14" s="7">
        <f>IF(主角经验!AN15="","",主角经验!$B15*主角经验!AN15)</f>
        <v>0</v>
      </c>
      <c r="L14" s="7">
        <f>IF(主角经验!AO15="","",主角经验!$B15*主角经验!AO15)</f>
        <v>0</v>
      </c>
      <c r="M14" s="7">
        <f>IF(主角经验!AP15="","",主角经验!$B15*主角经验!AP15)</f>
        <v>0</v>
      </c>
      <c r="N14" s="7">
        <f>IF(主角经验!AQ15="","",主角经验!$B15*主角经验!AQ15)</f>
        <v>62400</v>
      </c>
      <c r="O14" s="7">
        <f>IF(主角经验!AR15="","",主角经验!$B15*主角经验!AR15)</f>
        <v>0</v>
      </c>
      <c r="P14" s="7">
        <f>IF(主角经验!AS15="","",主角经验!$B15*主角经验!AS15)</f>
        <v>4316</v>
      </c>
      <c r="Q14" s="7">
        <f>IF(主角经验!AT15="","",主角经验!$B15*主角经验!AT15)</f>
        <v>270400</v>
      </c>
      <c r="R14" s="7">
        <f>IF(主角经验!AU15="","",主角经验!$B15*主角经验!AU15)</f>
        <v>0</v>
      </c>
      <c r="S14" s="7">
        <f>IF(主角经验!AV15="","",主角经验!$B15*主角经验!AV15)</f>
        <v>0</v>
      </c>
      <c r="T14" s="7">
        <f>IF(主角经验!AW15="","",主角经验!$B15*主角经验!AW15)</f>
        <v>0</v>
      </c>
      <c r="U14" s="7">
        <f>IF(主角经验!AX15="","",主角经验!$B15*主角经验!AX15)</f>
        <v>0</v>
      </c>
      <c r="V14" s="7">
        <f>IF(主角经验!AY15="","",主角经验!$B15*主角经验!AY15)</f>
        <v>0</v>
      </c>
      <c r="W14" s="7">
        <f>IF(主角经验!AZ15="","",主角经验!$B15*主角经验!AZ15)</f>
        <v>0</v>
      </c>
      <c r="X14" s="7">
        <f>IF(主角经验!BA15="","",主角经验!$B15*主角经验!BA15)</f>
        <v>0</v>
      </c>
      <c r="Y14" s="7">
        <f>IF(主角经验!BB15="","",主角经验!$B15*主角经验!BB15)</f>
        <v>0</v>
      </c>
      <c r="Z14" s="7">
        <f>IF(主角经验!BC15="","",主角经验!$B15*主角经验!BC15)</f>
        <v>0</v>
      </c>
      <c r="AA14" s="7">
        <f>IF(主角经验!BD15="","",主角经验!$B15*主角经验!BD15)</f>
        <v>0</v>
      </c>
      <c r="AB14" s="7" t="str">
        <f>IF(主角经验!BE15="","",主角经验!$B15*主角经验!BE15)</f>
        <v/>
      </c>
      <c r="AC14" s="7" t="str">
        <f>IF(主角经验!BF15="","",主角经验!$B15*主角经验!BF15)</f>
        <v/>
      </c>
      <c r="AD14" s="7" t="str">
        <f>IF(主角经验!BG15="","",主角经验!$B15*主角经验!BG15)</f>
        <v/>
      </c>
      <c r="AE14" s="7" t="str">
        <f>IF(主角经验!BH15="","",主角经验!$B15*主角经验!BH15)</f>
        <v/>
      </c>
      <c r="AF14" s="7">
        <f>主角经验!BK15</f>
        <v>20800</v>
      </c>
      <c r="AG14" s="7">
        <f>主角经验!BO15</f>
        <v>58</v>
      </c>
    </row>
    <row r="15" spans="1:33">
      <c r="A15" s="32">
        <v>14</v>
      </c>
      <c r="B15" s="81">
        <f>主角经验!B16</f>
        <v>5600</v>
      </c>
      <c r="C15" s="7">
        <f>IF(主角经验!AF16="","",主角经验!$B16*主角经验!AF16)</f>
        <v>0</v>
      </c>
      <c r="D15" s="7">
        <f>IF(主角经验!AG16="","",主角经验!$B16*主角经验!AG16)</f>
        <v>0</v>
      </c>
      <c r="E15" s="7">
        <f>IF(主角经验!AH16="","",主角经验!$B16*主角经验!AH16)</f>
        <v>0</v>
      </c>
      <c r="F15" s="7">
        <f>IF(主角经验!AI16="","",主角经验!$B16*主角经验!AI16)</f>
        <v>0</v>
      </c>
      <c r="G15" s="7" t="str">
        <f>IF(主角经验!AJ16="","",主角经验!$B16*主角经验!AJ16)</f>
        <v/>
      </c>
      <c r="H15" s="7" t="str">
        <f>IF(主角经验!AK16="","",主角经验!$B16*主角经验!AK16)</f>
        <v/>
      </c>
      <c r="I15" s="7" t="str">
        <f>IF(主角经验!AL16="","",主角经验!$B16*主角经验!AL16)</f>
        <v/>
      </c>
      <c r="J15" s="7" t="str">
        <f>IF(主角经验!AM16="","",主角经验!$B16*主角经验!AM16)</f>
        <v/>
      </c>
      <c r="K15" s="7">
        <f>IF(主角经验!AN16="","",主角经验!$B16*主角经验!AN16)</f>
        <v>0</v>
      </c>
      <c r="L15" s="7">
        <f>IF(主角经验!AO16="","",主角经验!$B16*主角经验!AO16)</f>
        <v>0</v>
      </c>
      <c r="M15" s="7">
        <f>IF(主角经验!AP16="","",主角经验!$B16*主角经验!AP16)</f>
        <v>0</v>
      </c>
      <c r="N15" s="7">
        <f>IF(主角经验!AQ16="","",主角经验!$B16*主角经验!AQ16)</f>
        <v>67200</v>
      </c>
      <c r="O15" s="7">
        <f>IF(主角经验!AR16="","",主角经验!$B16*主角经验!AR16)</f>
        <v>0</v>
      </c>
      <c r="P15" s="7">
        <f>IF(主角经验!AS16="","",主角经验!$B16*主角经验!AS16)</f>
        <v>4648</v>
      </c>
      <c r="Q15" s="7">
        <f>IF(主角经验!AT16="","",主角经验!$B16*主角经验!AT16)</f>
        <v>291200</v>
      </c>
      <c r="R15" s="7">
        <f>IF(主角经验!AU16="","",主角经验!$B16*主角经验!AU16)</f>
        <v>0</v>
      </c>
      <c r="S15" s="7">
        <f>IF(主角经验!AV16="","",主角经验!$B16*主角经验!AV16)</f>
        <v>0</v>
      </c>
      <c r="T15" s="7">
        <f>IF(主角经验!AW16="","",主角经验!$B16*主角经验!AW16)</f>
        <v>0</v>
      </c>
      <c r="U15" s="7">
        <f>IF(主角经验!AX16="","",主角经验!$B16*主角经验!AX16)</f>
        <v>0</v>
      </c>
      <c r="V15" s="7">
        <f>IF(主角经验!AY16="","",主角经验!$B16*主角经验!AY16)</f>
        <v>0</v>
      </c>
      <c r="W15" s="7">
        <f>IF(主角经验!AZ16="","",主角经验!$B16*主角经验!AZ16)</f>
        <v>0</v>
      </c>
      <c r="X15" s="7">
        <f>IF(主角经验!BA16="","",主角经验!$B16*主角经验!BA16)</f>
        <v>0</v>
      </c>
      <c r="Y15" s="7">
        <f>IF(主角经验!BB16="","",主角经验!$B16*主角经验!BB16)</f>
        <v>0</v>
      </c>
      <c r="Z15" s="7">
        <f>IF(主角经验!BC16="","",主角经验!$B16*主角经验!BC16)</f>
        <v>0</v>
      </c>
      <c r="AA15" s="7">
        <f>IF(主角经验!BD16="","",主角经验!$B16*主角经验!BD16)</f>
        <v>0</v>
      </c>
      <c r="AB15" s="7" t="str">
        <f>IF(主角经验!BE16="","",主角经验!$B16*主角经验!BE16)</f>
        <v/>
      </c>
      <c r="AC15" s="7" t="str">
        <f>IF(主角经验!BF16="","",主角经验!$B16*主角经验!BF16)</f>
        <v/>
      </c>
      <c r="AD15" s="7" t="str">
        <f>IF(主角经验!BG16="","",主角经验!$B16*主角经验!BG16)</f>
        <v/>
      </c>
      <c r="AE15" s="7" t="str">
        <f>IF(主角经验!BH16="","",主角经验!$B16*主角经验!BH16)</f>
        <v/>
      </c>
      <c r="AF15" s="7">
        <f>主角经验!BK16</f>
        <v>22400</v>
      </c>
      <c r="AG15" s="7">
        <f>主角经验!BO16</f>
        <v>62</v>
      </c>
    </row>
    <row r="16" spans="1:33">
      <c r="A16" s="32">
        <v>15</v>
      </c>
      <c r="B16" s="81">
        <f>主角经验!B17</f>
        <v>6000</v>
      </c>
      <c r="C16" s="7">
        <f>IF(主角经验!AF17="","",主角经验!$B17*主角经验!AF17)</f>
        <v>100020.00000000001</v>
      </c>
      <c r="D16" s="7">
        <f>IF(主角经验!AG17="","",主角经验!$B17*主角经验!AG17)</f>
        <v>0</v>
      </c>
      <c r="E16" s="7">
        <f>IF(主角经验!AH17="","",主角经验!$B17*主角经验!AH17)</f>
        <v>0</v>
      </c>
      <c r="F16" s="7">
        <f>IF(主角经验!AI17="","",主角经验!$B17*主角经验!AI17)</f>
        <v>0</v>
      </c>
      <c r="G16" s="7" t="str">
        <f>IF(主角经验!AJ17="","",主角经验!$B17*主角经验!AJ17)</f>
        <v/>
      </c>
      <c r="H16" s="7" t="str">
        <f>IF(主角经验!AK17="","",主角经验!$B17*主角经验!AK17)</f>
        <v/>
      </c>
      <c r="I16" s="7" t="str">
        <f>IF(主角经验!AL17="","",主角经验!$B17*主角经验!AL17)</f>
        <v/>
      </c>
      <c r="J16" s="7" t="str">
        <f>IF(主角经验!AM17="","",主角经验!$B17*主角经验!AM17)</f>
        <v/>
      </c>
      <c r="K16" s="7">
        <f>IF(主角经验!AN17="","",主角经验!$B17*主角经验!AN17)</f>
        <v>0</v>
      </c>
      <c r="L16" s="7">
        <f>IF(主角经验!AO17="","",主角经验!$B17*主角经验!AO17)</f>
        <v>0</v>
      </c>
      <c r="M16" s="7">
        <f>IF(主角经验!AP17="","",主角经验!$B17*主角经验!AP17)</f>
        <v>0</v>
      </c>
      <c r="N16" s="7">
        <f>IF(主角经验!AQ17="","",主角经验!$B17*主角经验!AQ17)</f>
        <v>72000</v>
      </c>
      <c r="O16" s="7">
        <f>IF(主角经验!AR17="","",主角经验!$B17*主角经验!AR17)</f>
        <v>0</v>
      </c>
      <c r="P16" s="7">
        <f>IF(主角经验!AS17="","",主角经验!$B17*主角经验!AS17)</f>
        <v>4980</v>
      </c>
      <c r="Q16" s="7">
        <f>IF(主角经验!AT17="","",主角经验!$B17*主角经验!AT17)</f>
        <v>312000</v>
      </c>
      <c r="R16" s="7">
        <f>IF(主角经验!AU17="","",主角经验!$B17*主角经验!AU17)</f>
        <v>0</v>
      </c>
      <c r="S16" s="7">
        <f>IF(主角经验!AV17="","",主角经验!$B17*主角经验!AV17)</f>
        <v>0</v>
      </c>
      <c r="T16" s="7">
        <f>IF(主角经验!AW17="","",主角经验!$B17*主角经验!AW17)</f>
        <v>0</v>
      </c>
      <c r="U16" s="7">
        <f>IF(主角经验!AX17="","",主角经验!$B17*主角经验!AX17)</f>
        <v>0</v>
      </c>
      <c r="V16" s="7">
        <f>IF(主角经验!AY17="","",主角经验!$B17*主角经验!AY17)</f>
        <v>0</v>
      </c>
      <c r="W16" s="7">
        <f>IF(主角经验!AZ17="","",主角经验!$B17*主角经验!AZ17)</f>
        <v>0</v>
      </c>
      <c r="X16" s="7">
        <f>IF(主角经验!BA17="","",主角经验!$B17*主角经验!BA17)</f>
        <v>0</v>
      </c>
      <c r="Y16" s="7">
        <f>IF(主角经验!BB17="","",主角经验!$B17*主角经验!BB17)</f>
        <v>0</v>
      </c>
      <c r="Z16" s="7">
        <f>IF(主角经验!BC17="","",主角经验!$B17*主角经验!BC17)</f>
        <v>0</v>
      </c>
      <c r="AA16" s="7">
        <f>IF(主角经验!BD17="","",主角经验!$B17*主角经验!BD17)</f>
        <v>0</v>
      </c>
      <c r="AB16" s="7" t="str">
        <f>IF(主角经验!BE17="","",主角经验!$B17*主角经验!BE17)</f>
        <v/>
      </c>
      <c r="AC16" s="7" t="str">
        <f>IF(主角经验!BF17="","",主角经验!$B17*主角经验!BF17)</f>
        <v/>
      </c>
      <c r="AD16" s="7" t="str">
        <f>IF(主角经验!BG17="","",主角经验!$B17*主角经验!BG17)</f>
        <v/>
      </c>
      <c r="AE16" s="7" t="str">
        <f>IF(主角经验!BH17="","",主角经验!$B17*主角经验!BH17)</f>
        <v/>
      </c>
      <c r="AF16" s="7">
        <f>主角经验!BK17</f>
        <v>24000</v>
      </c>
      <c r="AG16" s="7">
        <f>主角经验!BO17</f>
        <v>67</v>
      </c>
    </row>
    <row r="17" spans="1:33">
      <c r="A17" s="32">
        <v>16</v>
      </c>
      <c r="B17" s="81">
        <f>主角经验!B18</f>
        <v>6400</v>
      </c>
      <c r="C17" s="7">
        <f>IF(主角经验!AF18="","",主角经验!$B18*主角经验!AF18)</f>
        <v>106688.00000000001</v>
      </c>
      <c r="D17" s="7">
        <f>IF(主角经验!AG18="","",主角经验!$B18*主角经验!AG18)</f>
        <v>0</v>
      </c>
      <c r="E17" s="7">
        <f>IF(主角经验!AH18="","",主角经验!$B18*主角经验!AH18)</f>
        <v>0</v>
      </c>
      <c r="F17" s="7">
        <f>IF(主角经验!AI18="","",主角经验!$B18*主角经验!AI18)</f>
        <v>0</v>
      </c>
      <c r="G17" s="7" t="str">
        <f>IF(主角经验!AJ18="","",主角经验!$B18*主角经验!AJ18)</f>
        <v/>
      </c>
      <c r="H17" s="7" t="str">
        <f>IF(主角经验!AK18="","",主角经验!$B18*主角经验!AK18)</f>
        <v/>
      </c>
      <c r="I17" s="7" t="str">
        <f>IF(主角经验!AL18="","",主角经验!$B18*主角经验!AL18)</f>
        <v/>
      </c>
      <c r="J17" s="7" t="str">
        <f>IF(主角经验!AM18="","",主角经验!$B18*主角经验!AM18)</f>
        <v/>
      </c>
      <c r="K17" s="7">
        <f>IF(主角经验!AN18="","",主角经验!$B18*主角经验!AN18)</f>
        <v>0</v>
      </c>
      <c r="L17" s="7">
        <f>IF(主角经验!AO18="","",主角经验!$B18*主角经验!AO18)</f>
        <v>0</v>
      </c>
      <c r="M17" s="7">
        <f>IF(主角经验!AP18="","",主角经验!$B18*主角经验!AP18)</f>
        <v>0</v>
      </c>
      <c r="N17" s="7">
        <f>IF(主角经验!AQ18="","",主角经验!$B18*主角经验!AQ18)</f>
        <v>76800</v>
      </c>
      <c r="O17" s="7">
        <f>IF(主角经验!AR18="","",主角经验!$B18*主角经验!AR18)</f>
        <v>0</v>
      </c>
      <c r="P17" s="7">
        <f>IF(主角经验!AS18="","",主角经验!$B18*主角经验!AS18)</f>
        <v>5312</v>
      </c>
      <c r="Q17" s="7">
        <f>IF(主角经验!AT18="","",主角经验!$B18*主角经验!AT18)</f>
        <v>332800</v>
      </c>
      <c r="R17" s="7">
        <f>IF(主角经验!AU18="","",主角经验!$B18*主角经验!AU18)</f>
        <v>0</v>
      </c>
      <c r="S17" s="7">
        <f>IF(主角经验!AV18="","",主角经验!$B18*主角经验!AV18)</f>
        <v>0</v>
      </c>
      <c r="T17" s="7">
        <f>IF(主角经验!AW18="","",主角经验!$B18*主角经验!AW18)</f>
        <v>0</v>
      </c>
      <c r="U17" s="7">
        <f>IF(主角经验!AX18="","",主角经验!$B18*主角经验!AX18)</f>
        <v>0</v>
      </c>
      <c r="V17" s="7">
        <f>IF(主角经验!AY18="","",主角经验!$B18*主角经验!AY18)</f>
        <v>0</v>
      </c>
      <c r="W17" s="7">
        <f>IF(主角经验!AZ18="","",主角经验!$B18*主角经验!AZ18)</f>
        <v>0</v>
      </c>
      <c r="X17" s="7">
        <f>IF(主角经验!BA18="","",主角经验!$B18*主角经验!BA18)</f>
        <v>0</v>
      </c>
      <c r="Y17" s="7">
        <f>IF(主角经验!BB18="","",主角经验!$B18*主角经验!BB18)</f>
        <v>0</v>
      </c>
      <c r="Z17" s="7">
        <f>IF(主角经验!BC18="","",主角经验!$B18*主角经验!BC18)</f>
        <v>0</v>
      </c>
      <c r="AA17" s="7">
        <f>IF(主角经验!BD18="","",主角经验!$B18*主角经验!BD18)</f>
        <v>0</v>
      </c>
      <c r="AB17" s="7" t="str">
        <f>IF(主角经验!BE18="","",主角经验!$B18*主角经验!BE18)</f>
        <v/>
      </c>
      <c r="AC17" s="7" t="str">
        <f>IF(主角经验!BF18="","",主角经验!$B18*主角经验!BF18)</f>
        <v/>
      </c>
      <c r="AD17" s="7" t="str">
        <f>IF(主角经验!BG18="","",主角经验!$B18*主角经验!BG18)</f>
        <v/>
      </c>
      <c r="AE17" s="7" t="str">
        <f>IF(主角经验!BH18="","",主角经验!$B18*主角经验!BH18)</f>
        <v/>
      </c>
      <c r="AF17" s="7">
        <f>主角经验!BK18</f>
        <v>25600</v>
      </c>
      <c r="AG17" s="7">
        <f>主角经验!BO18</f>
        <v>71</v>
      </c>
    </row>
    <row r="18" spans="1:33">
      <c r="A18" s="32">
        <v>17</v>
      </c>
      <c r="B18" s="81">
        <f>主角经验!B19</f>
        <v>6800</v>
      </c>
      <c r="C18" s="7">
        <f>IF(主角经验!AF19="","",主角经验!$B19*主角经验!AF19)</f>
        <v>113356.00000000001</v>
      </c>
      <c r="D18" s="7">
        <f>IF(主角经验!AG19="","",主角经验!$B19*主角经验!AG19)</f>
        <v>0</v>
      </c>
      <c r="E18" s="7">
        <f>IF(主角经验!AH19="","",主角经验!$B19*主角经验!AH19)</f>
        <v>0</v>
      </c>
      <c r="F18" s="7">
        <f>IF(主角经验!AI19="","",主角经验!$B19*主角经验!AI19)</f>
        <v>0</v>
      </c>
      <c r="G18" s="7" t="str">
        <f>IF(主角经验!AJ19="","",主角经验!$B19*主角经验!AJ19)</f>
        <v/>
      </c>
      <c r="H18" s="7" t="str">
        <f>IF(主角经验!AK19="","",主角经验!$B19*主角经验!AK19)</f>
        <v/>
      </c>
      <c r="I18" s="7" t="str">
        <f>IF(主角经验!AL19="","",主角经验!$B19*主角经验!AL19)</f>
        <v/>
      </c>
      <c r="J18" s="7" t="str">
        <f>IF(主角经验!AM19="","",主角经验!$B19*主角经验!AM19)</f>
        <v/>
      </c>
      <c r="K18" s="7">
        <f>IF(主角经验!AN19="","",主角经验!$B19*主角经验!AN19)</f>
        <v>0</v>
      </c>
      <c r="L18" s="7">
        <f>IF(主角经验!AO19="","",主角经验!$B19*主角经验!AO19)</f>
        <v>0</v>
      </c>
      <c r="M18" s="7">
        <f>IF(主角经验!AP19="","",主角经验!$B19*主角经验!AP19)</f>
        <v>0</v>
      </c>
      <c r="N18" s="7">
        <f>IF(主角经验!AQ19="","",主角经验!$B19*主角经验!AQ19)</f>
        <v>81600</v>
      </c>
      <c r="O18" s="7">
        <f>IF(主角经验!AR19="","",主角经验!$B19*主角经验!AR19)</f>
        <v>0</v>
      </c>
      <c r="P18" s="7">
        <f>IF(主角经验!AS19="","",主角经验!$B19*主角经验!AS19)</f>
        <v>5644</v>
      </c>
      <c r="Q18" s="7">
        <f>IF(主角经验!AT19="","",主角经验!$B19*主角经验!AT19)</f>
        <v>353600</v>
      </c>
      <c r="R18" s="7">
        <f>IF(主角经验!AU19="","",主角经验!$B19*主角经验!AU19)</f>
        <v>0</v>
      </c>
      <c r="S18" s="7">
        <f>IF(主角经验!AV19="","",主角经验!$B19*主角经验!AV19)</f>
        <v>0</v>
      </c>
      <c r="T18" s="7">
        <f>IF(主角经验!AW19="","",主角经验!$B19*主角经验!AW19)</f>
        <v>0</v>
      </c>
      <c r="U18" s="7">
        <f>IF(主角经验!AX19="","",主角经验!$B19*主角经验!AX19)</f>
        <v>0</v>
      </c>
      <c r="V18" s="7">
        <f>IF(主角经验!AY19="","",主角经验!$B19*主角经验!AY19)</f>
        <v>0</v>
      </c>
      <c r="W18" s="7">
        <f>IF(主角经验!AZ19="","",主角经验!$B19*主角经验!AZ19)</f>
        <v>0</v>
      </c>
      <c r="X18" s="7">
        <f>IF(主角经验!BA19="","",主角经验!$B19*主角经验!BA19)</f>
        <v>0</v>
      </c>
      <c r="Y18" s="7">
        <f>IF(主角经验!BB19="","",主角经验!$B19*主角经验!BB19)</f>
        <v>0</v>
      </c>
      <c r="Z18" s="7">
        <f>IF(主角经验!BC19="","",主角经验!$B19*主角经验!BC19)</f>
        <v>0</v>
      </c>
      <c r="AA18" s="7">
        <f>IF(主角经验!BD19="","",主角经验!$B19*主角经验!BD19)</f>
        <v>0</v>
      </c>
      <c r="AB18" s="7" t="str">
        <f>IF(主角经验!BE19="","",主角经验!$B19*主角经验!BE19)</f>
        <v/>
      </c>
      <c r="AC18" s="7" t="str">
        <f>IF(主角经验!BF19="","",主角经验!$B19*主角经验!BF19)</f>
        <v/>
      </c>
      <c r="AD18" s="7" t="str">
        <f>IF(主角经验!BG19="","",主角经验!$B19*主角经验!BG19)</f>
        <v/>
      </c>
      <c r="AE18" s="7" t="str">
        <f>IF(主角经验!BH19="","",主角经验!$B19*主角经验!BH19)</f>
        <v/>
      </c>
      <c r="AF18" s="7">
        <f>主角经验!BK19</f>
        <v>27200</v>
      </c>
      <c r="AG18" s="7">
        <f>主角经验!BO19</f>
        <v>76</v>
      </c>
    </row>
    <row r="19" spans="1:33">
      <c r="A19" s="32">
        <v>18</v>
      </c>
      <c r="B19" s="81">
        <f>主角经验!B20</f>
        <v>7200</v>
      </c>
      <c r="C19" s="7">
        <f>IF(主角经验!AF20="","",主角经验!$B20*主角经验!AF20)</f>
        <v>120024.00000000001</v>
      </c>
      <c r="D19" s="7">
        <f>IF(主角经验!AG20="","",主角经验!$B20*主角经验!AG20)</f>
        <v>0</v>
      </c>
      <c r="E19" s="7">
        <f>IF(主角经验!AH20="","",主角经验!$B20*主角经验!AH20)</f>
        <v>0</v>
      </c>
      <c r="F19" s="7">
        <f>IF(主角经验!AI20="","",主角经验!$B20*主角经验!AI20)</f>
        <v>0</v>
      </c>
      <c r="G19" s="7" t="str">
        <f>IF(主角经验!AJ20="","",主角经验!$B20*主角经验!AJ20)</f>
        <v/>
      </c>
      <c r="H19" s="7" t="str">
        <f>IF(主角经验!AK20="","",主角经验!$B20*主角经验!AK20)</f>
        <v/>
      </c>
      <c r="I19" s="7" t="str">
        <f>IF(主角经验!AL20="","",主角经验!$B20*主角经验!AL20)</f>
        <v/>
      </c>
      <c r="J19" s="7" t="str">
        <f>IF(主角经验!AM20="","",主角经验!$B20*主角经验!AM20)</f>
        <v/>
      </c>
      <c r="K19" s="7">
        <f>IF(主角经验!AN20="","",主角经验!$B20*主角经验!AN20)</f>
        <v>0</v>
      </c>
      <c r="L19" s="7">
        <f>IF(主角经验!AO20="","",主角经验!$B20*主角经验!AO20)</f>
        <v>0</v>
      </c>
      <c r="M19" s="7">
        <f>IF(主角经验!AP20="","",主角经验!$B20*主角经验!AP20)</f>
        <v>0</v>
      </c>
      <c r="N19" s="7">
        <f>IF(主角经验!AQ20="","",主角经验!$B20*主角经验!AQ20)</f>
        <v>86400</v>
      </c>
      <c r="O19" s="7">
        <f>IF(主角经验!AR20="","",主角经验!$B20*主角经验!AR20)</f>
        <v>0</v>
      </c>
      <c r="P19" s="7">
        <f>IF(主角经验!AS20="","",主角经验!$B20*主角经验!AS20)</f>
        <v>5976</v>
      </c>
      <c r="Q19" s="7">
        <f>IF(主角经验!AT20="","",主角经验!$B20*主角经验!AT20)</f>
        <v>374400</v>
      </c>
      <c r="R19" s="7">
        <f>IF(主角经验!AU20="","",主角经验!$B20*主角经验!AU20)</f>
        <v>0</v>
      </c>
      <c r="S19" s="7">
        <f>IF(主角经验!AV20="","",主角经验!$B20*主角经验!AV20)</f>
        <v>0</v>
      </c>
      <c r="T19" s="7">
        <f>IF(主角经验!AW20="","",主角经验!$B20*主角经验!AW20)</f>
        <v>0</v>
      </c>
      <c r="U19" s="7">
        <f>IF(主角经验!AX20="","",主角经验!$B20*主角经验!AX20)</f>
        <v>0</v>
      </c>
      <c r="V19" s="7">
        <f>IF(主角经验!AY20="","",主角经验!$B20*主角经验!AY20)</f>
        <v>0</v>
      </c>
      <c r="W19" s="7">
        <f>IF(主角经验!AZ20="","",主角经验!$B20*主角经验!AZ20)</f>
        <v>0</v>
      </c>
      <c r="X19" s="7">
        <f>IF(主角经验!BA20="","",主角经验!$B20*主角经验!BA20)</f>
        <v>0</v>
      </c>
      <c r="Y19" s="7">
        <f>IF(主角经验!BB20="","",主角经验!$B20*主角经验!BB20)</f>
        <v>0</v>
      </c>
      <c r="Z19" s="7">
        <f>IF(主角经验!BC20="","",主角经验!$B20*主角经验!BC20)</f>
        <v>0</v>
      </c>
      <c r="AA19" s="7">
        <f>IF(主角经验!BD20="","",主角经验!$B20*主角经验!BD20)</f>
        <v>0</v>
      </c>
      <c r="AB19" s="7" t="str">
        <f>IF(主角经验!BE20="","",主角经验!$B20*主角经验!BE20)</f>
        <v/>
      </c>
      <c r="AC19" s="7" t="str">
        <f>IF(主角经验!BF20="","",主角经验!$B20*主角经验!BF20)</f>
        <v/>
      </c>
      <c r="AD19" s="7" t="str">
        <f>IF(主角经验!BG20="","",主角经验!$B20*主角经验!BG20)</f>
        <v/>
      </c>
      <c r="AE19" s="7" t="str">
        <f>IF(主角经验!BH20="","",主角经验!$B20*主角经验!BH20)</f>
        <v/>
      </c>
      <c r="AF19" s="7">
        <f>主角经验!BK20</f>
        <v>28800</v>
      </c>
      <c r="AG19" s="7">
        <f>主角经验!BO20</f>
        <v>80</v>
      </c>
    </row>
    <row r="20" spans="1:33">
      <c r="A20" s="32">
        <v>19</v>
      </c>
      <c r="B20" s="81">
        <f>主角经验!B21</f>
        <v>7600</v>
      </c>
      <c r="C20" s="7">
        <f>IF(主角经验!AF21="","",主角经验!$B21*主角经验!AF21)</f>
        <v>126692.00000000001</v>
      </c>
      <c r="D20" s="7">
        <f>IF(主角经验!AG21="","",主角经验!$B21*主角经验!AG21)</f>
        <v>0</v>
      </c>
      <c r="E20" s="7">
        <f>IF(主角经验!AH21="","",主角经验!$B21*主角经验!AH21)</f>
        <v>0</v>
      </c>
      <c r="F20" s="7">
        <f>IF(主角经验!AI21="","",主角经验!$B21*主角经验!AI21)</f>
        <v>0</v>
      </c>
      <c r="G20" s="7" t="str">
        <f>IF(主角经验!AJ21="","",主角经验!$B21*主角经验!AJ21)</f>
        <v/>
      </c>
      <c r="H20" s="7" t="str">
        <f>IF(主角经验!AK21="","",主角经验!$B21*主角经验!AK21)</f>
        <v/>
      </c>
      <c r="I20" s="7" t="str">
        <f>IF(主角经验!AL21="","",主角经验!$B21*主角经验!AL21)</f>
        <v/>
      </c>
      <c r="J20" s="7" t="str">
        <f>IF(主角经验!AM21="","",主角经验!$B21*主角经验!AM21)</f>
        <v/>
      </c>
      <c r="K20" s="7">
        <f>IF(主角经验!AN21="","",主角经验!$B21*主角经验!AN21)</f>
        <v>0</v>
      </c>
      <c r="L20" s="7">
        <f>IF(主角经验!AO21="","",主角经验!$B21*主角经验!AO21)</f>
        <v>0</v>
      </c>
      <c r="M20" s="7">
        <f>IF(主角经验!AP21="","",主角经验!$B21*主角经验!AP21)</f>
        <v>0</v>
      </c>
      <c r="N20" s="7">
        <f>IF(主角经验!AQ21="","",主角经验!$B21*主角经验!AQ21)</f>
        <v>91200</v>
      </c>
      <c r="O20" s="7">
        <f>IF(主角经验!AR21="","",主角经验!$B21*主角经验!AR21)</f>
        <v>0</v>
      </c>
      <c r="P20" s="7">
        <f>IF(主角经验!AS21="","",主角经验!$B21*主角经验!AS21)</f>
        <v>6308</v>
      </c>
      <c r="Q20" s="7">
        <f>IF(主角经验!AT21="","",主角经验!$B21*主角经验!AT21)</f>
        <v>395200</v>
      </c>
      <c r="R20" s="7">
        <f>IF(主角经验!AU21="","",主角经验!$B21*主角经验!AU21)</f>
        <v>0</v>
      </c>
      <c r="S20" s="7">
        <f>IF(主角经验!AV21="","",主角经验!$B21*主角经验!AV21)</f>
        <v>0</v>
      </c>
      <c r="T20" s="7">
        <f>IF(主角经验!AW21="","",主角经验!$B21*主角经验!AW21)</f>
        <v>0</v>
      </c>
      <c r="U20" s="7">
        <f>IF(主角经验!AX21="","",主角经验!$B21*主角经验!AX21)</f>
        <v>0</v>
      </c>
      <c r="V20" s="7">
        <f>IF(主角经验!AY21="","",主角经验!$B21*主角经验!AY21)</f>
        <v>0</v>
      </c>
      <c r="W20" s="7">
        <f>IF(主角经验!AZ21="","",主角经验!$B21*主角经验!AZ21)</f>
        <v>0</v>
      </c>
      <c r="X20" s="7">
        <f>IF(主角经验!BA21="","",主角经验!$B21*主角经验!BA21)</f>
        <v>0</v>
      </c>
      <c r="Y20" s="7">
        <f>IF(主角经验!BB21="","",主角经验!$B21*主角经验!BB21)</f>
        <v>0</v>
      </c>
      <c r="Z20" s="7">
        <f>IF(主角经验!BC21="","",主角经验!$B21*主角经验!BC21)</f>
        <v>0</v>
      </c>
      <c r="AA20" s="7">
        <f>IF(主角经验!BD21="","",主角经验!$B21*主角经验!BD21)</f>
        <v>0</v>
      </c>
      <c r="AB20" s="7" t="str">
        <f>IF(主角经验!BE21="","",主角经验!$B21*主角经验!BE21)</f>
        <v/>
      </c>
      <c r="AC20" s="7" t="str">
        <f>IF(主角经验!BF21="","",主角经验!$B21*主角经验!BF21)</f>
        <v/>
      </c>
      <c r="AD20" s="7" t="str">
        <f>IF(主角经验!BG21="","",主角经验!$B21*主角经验!BG21)</f>
        <v/>
      </c>
      <c r="AE20" s="7" t="str">
        <f>IF(主角经验!BH21="","",主角经验!$B21*主角经验!BH21)</f>
        <v/>
      </c>
      <c r="AF20" s="7">
        <f>主角经验!BK21</f>
        <v>30400</v>
      </c>
      <c r="AG20" s="7">
        <f>主角经验!BO21</f>
        <v>84</v>
      </c>
    </row>
    <row r="21" spans="1:33">
      <c r="A21" s="32">
        <v>20</v>
      </c>
      <c r="B21" s="81">
        <f>主角经验!B22</f>
        <v>8000</v>
      </c>
      <c r="C21" s="7">
        <f>IF(主角经验!AF22="","",主角经验!$B22*主角经验!AF22)</f>
        <v>133360</v>
      </c>
      <c r="D21" s="7">
        <f>IF(主角经验!AG22="","",主角经验!$B22*主角经验!AG22)</f>
        <v>52800</v>
      </c>
      <c r="E21" s="7">
        <f>IF(主角经验!AH22="","",主角经验!$B22*主角经验!AH22)</f>
        <v>20000</v>
      </c>
      <c r="F21" s="7">
        <f>IF(主角经验!AI22="","",主角经验!$B22*主角经验!AI22)</f>
        <v>0</v>
      </c>
      <c r="G21" s="7" t="str">
        <f>IF(主角经验!AJ22="","",主角经验!$B22*主角经验!AJ22)</f>
        <v/>
      </c>
      <c r="H21" s="7" t="str">
        <f>IF(主角经验!AK22="","",主角经验!$B22*主角经验!AK22)</f>
        <v/>
      </c>
      <c r="I21" s="7" t="str">
        <f>IF(主角经验!AL22="","",主角经验!$B22*主角经验!AL22)</f>
        <v/>
      </c>
      <c r="J21" s="7" t="str">
        <f>IF(主角经验!AM22="","",主角经验!$B22*主角经验!AM22)</f>
        <v/>
      </c>
      <c r="K21" s="7">
        <f>IF(主角经验!AN22="","",主角经验!$B22*主角经验!AN22)</f>
        <v>0</v>
      </c>
      <c r="L21" s="7">
        <f>IF(主角经验!AO22="","",主角经验!$B22*主角经验!AO22)</f>
        <v>0</v>
      </c>
      <c r="M21" s="7">
        <f>IF(主角经验!AP22="","",主角经验!$B22*主角经验!AP22)</f>
        <v>0</v>
      </c>
      <c r="N21" s="7">
        <f>IF(主角经验!AQ22="","",主角经验!$B22*主角经验!AQ22)</f>
        <v>96000</v>
      </c>
      <c r="O21" s="7">
        <f>IF(主角经验!AR22="","",主角经验!$B22*主角经验!AR22)</f>
        <v>100000</v>
      </c>
      <c r="P21" s="7">
        <f>IF(主角经验!AS22="","",主角经验!$B22*主角经验!AS22)</f>
        <v>6640</v>
      </c>
      <c r="Q21" s="7">
        <f>IF(主角经验!AT22="","",主角经验!$B22*主角经验!AT22)</f>
        <v>416000</v>
      </c>
      <c r="R21" s="7">
        <f>IF(主角经验!AU22="","",主角经验!$B22*主角经验!AU22)</f>
        <v>0</v>
      </c>
      <c r="S21" s="7">
        <f>IF(主角经验!AV22="","",主角经验!$B22*主角经验!AV22)</f>
        <v>0</v>
      </c>
      <c r="T21" s="7">
        <f>IF(主角经验!AW22="","",主角经验!$B22*主角经验!AW22)</f>
        <v>0</v>
      </c>
      <c r="U21" s="7">
        <f>IF(主角经验!AX22="","",主角经验!$B22*主角经验!AX22)</f>
        <v>0</v>
      </c>
      <c r="V21" s="7">
        <f>IF(主角经验!AY22="","",主角经验!$B22*主角经验!AY22)</f>
        <v>0</v>
      </c>
      <c r="W21" s="7">
        <f>IF(主角经验!AZ22="","",主角经验!$B22*主角经验!AZ22)</f>
        <v>0</v>
      </c>
      <c r="X21" s="7">
        <f>IF(主角经验!BA22="","",主角经验!$B22*主角经验!BA22)</f>
        <v>0</v>
      </c>
      <c r="Y21" s="7">
        <f>IF(主角经验!BB22="","",主角经验!$B22*主角经验!BB22)</f>
        <v>0</v>
      </c>
      <c r="Z21" s="7">
        <f>IF(主角经验!BC22="","",主角经验!$B22*主角经验!BC22)</f>
        <v>0</v>
      </c>
      <c r="AA21" s="7">
        <f>IF(主角经验!BD22="","",主角经验!$B22*主角经验!BD22)</f>
        <v>0</v>
      </c>
      <c r="AB21" s="7" t="str">
        <f>IF(主角经验!BE22="","",主角经验!$B22*主角经验!BE22)</f>
        <v/>
      </c>
      <c r="AC21" s="7" t="str">
        <f>IF(主角经验!BF22="","",主角经验!$B22*主角经验!BF22)</f>
        <v/>
      </c>
      <c r="AD21" s="7" t="str">
        <f>IF(主角经验!BG22="","",主角经验!$B22*主角经验!BG22)</f>
        <v/>
      </c>
      <c r="AE21" s="7" t="str">
        <f>IF(主角经验!BH22="","",主角经验!$B22*主角经验!BH22)</f>
        <v/>
      </c>
      <c r="AF21" s="7">
        <f>主角经验!BK22</f>
        <v>32000</v>
      </c>
      <c r="AG21" s="7">
        <f>主角经验!BO22</f>
        <v>89</v>
      </c>
    </row>
    <row r="22" spans="1:33">
      <c r="A22" s="32">
        <v>21</v>
      </c>
      <c r="B22" s="81">
        <f>主角经验!B23</f>
        <v>8400</v>
      </c>
      <c r="C22" s="7">
        <f>IF(主角经验!AF23="","",主角经验!$B23*主角经验!AF23)</f>
        <v>140028</v>
      </c>
      <c r="D22" s="7">
        <f>IF(主角经验!AG23="","",主角经验!$B23*主角经验!AG23)</f>
        <v>55440</v>
      </c>
      <c r="E22" s="7">
        <f>IF(主角经验!AH23="","",主角经验!$B23*主角经验!AH23)</f>
        <v>21000</v>
      </c>
      <c r="F22" s="7">
        <f>IF(主角经验!AI23="","",主角经验!$B23*主角经验!AI23)</f>
        <v>0</v>
      </c>
      <c r="G22" s="7" t="str">
        <f>IF(主角经验!AJ23="","",主角经验!$B23*主角经验!AJ23)</f>
        <v/>
      </c>
      <c r="H22" s="7" t="str">
        <f>IF(主角经验!AK23="","",主角经验!$B23*主角经验!AK23)</f>
        <v/>
      </c>
      <c r="I22" s="7" t="str">
        <f>IF(主角经验!AL23="","",主角经验!$B23*主角经验!AL23)</f>
        <v/>
      </c>
      <c r="J22" s="7" t="str">
        <f>IF(主角经验!AM23="","",主角经验!$B23*主角经验!AM23)</f>
        <v/>
      </c>
      <c r="K22" s="7">
        <f>IF(主角经验!AN23="","",主角经验!$B23*主角经验!AN23)</f>
        <v>0</v>
      </c>
      <c r="L22" s="7">
        <f>IF(主角经验!AO23="","",主角经验!$B23*主角经验!AO23)</f>
        <v>0</v>
      </c>
      <c r="M22" s="7">
        <f>IF(主角经验!AP23="","",主角经验!$B23*主角经验!AP23)</f>
        <v>0</v>
      </c>
      <c r="N22" s="7">
        <f>IF(主角经验!AQ23="","",主角经验!$B23*主角经验!AQ23)</f>
        <v>100800</v>
      </c>
      <c r="O22" s="7">
        <f>IF(主角经验!AR23="","",主角经验!$B23*主角经验!AR23)</f>
        <v>105000</v>
      </c>
      <c r="P22" s="7">
        <f>IF(主角经验!AS23="","",主角经验!$B23*主角经验!AS23)</f>
        <v>6972</v>
      </c>
      <c r="Q22" s="7">
        <f>IF(主角经验!AT23="","",主角经验!$B23*主角经验!AT23)</f>
        <v>436800</v>
      </c>
      <c r="R22" s="7">
        <f>IF(主角经验!AU23="","",主角经验!$B23*主角经验!AU23)</f>
        <v>0</v>
      </c>
      <c r="S22" s="7">
        <f>IF(主角经验!AV23="","",主角经验!$B23*主角经验!AV23)</f>
        <v>0</v>
      </c>
      <c r="T22" s="7">
        <f>IF(主角经验!AW23="","",主角经验!$B23*主角经验!AW23)</f>
        <v>0</v>
      </c>
      <c r="U22" s="7">
        <f>IF(主角经验!AX23="","",主角经验!$B23*主角经验!AX23)</f>
        <v>0</v>
      </c>
      <c r="V22" s="7">
        <f>IF(主角经验!AY23="","",主角经验!$B23*主角经验!AY23)</f>
        <v>0</v>
      </c>
      <c r="W22" s="7">
        <f>IF(主角经验!AZ23="","",主角经验!$B23*主角经验!AZ23)</f>
        <v>0</v>
      </c>
      <c r="X22" s="7">
        <f>IF(主角经验!BA23="","",主角经验!$B23*主角经验!BA23)</f>
        <v>0</v>
      </c>
      <c r="Y22" s="7">
        <f>IF(主角经验!BB23="","",主角经验!$B23*主角经验!BB23)</f>
        <v>0</v>
      </c>
      <c r="Z22" s="7">
        <f>IF(主角经验!BC23="","",主角经验!$B23*主角经验!BC23)</f>
        <v>0</v>
      </c>
      <c r="AA22" s="7">
        <f>IF(主角经验!BD23="","",主角经验!$B23*主角经验!BD23)</f>
        <v>0</v>
      </c>
      <c r="AB22" s="7" t="str">
        <f>IF(主角经验!BE23="","",主角经验!$B23*主角经验!BE23)</f>
        <v/>
      </c>
      <c r="AC22" s="7" t="str">
        <f>IF(主角经验!BF23="","",主角经验!$B23*主角经验!BF23)</f>
        <v/>
      </c>
      <c r="AD22" s="7" t="str">
        <f>IF(主角经验!BG23="","",主角经验!$B23*主角经验!BG23)</f>
        <v/>
      </c>
      <c r="AE22" s="7" t="str">
        <f>IF(主角经验!BH23="","",主角经验!$B23*主角经验!BH23)</f>
        <v/>
      </c>
      <c r="AF22" s="7">
        <f>主角经验!BK23</f>
        <v>33600</v>
      </c>
      <c r="AG22" s="7">
        <f>主角经验!BO23</f>
        <v>93</v>
      </c>
    </row>
    <row r="23" spans="1:33">
      <c r="A23" s="32">
        <v>22</v>
      </c>
      <c r="B23" s="81">
        <f>主角经验!B24</f>
        <v>8800</v>
      </c>
      <c r="C23" s="7">
        <f>IF(主角经验!AF24="","",主角经验!$B24*主角经验!AF24)</f>
        <v>146696.00000000003</v>
      </c>
      <c r="D23" s="7">
        <f>IF(主角经验!AG24="","",主角经验!$B24*主角经验!AG24)</f>
        <v>58080</v>
      </c>
      <c r="E23" s="7">
        <f>IF(主角经验!AH24="","",主角经验!$B24*主角经验!AH24)</f>
        <v>22000</v>
      </c>
      <c r="F23" s="7">
        <f>IF(主角经验!AI24="","",主角经验!$B24*主角经验!AI24)</f>
        <v>0</v>
      </c>
      <c r="G23" s="7" t="str">
        <f>IF(主角经验!AJ24="","",主角经验!$B24*主角经验!AJ24)</f>
        <v/>
      </c>
      <c r="H23" s="7" t="str">
        <f>IF(主角经验!AK24="","",主角经验!$B24*主角经验!AK24)</f>
        <v/>
      </c>
      <c r="I23" s="7" t="str">
        <f>IF(主角经验!AL24="","",主角经验!$B24*主角经验!AL24)</f>
        <v/>
      </c>
      <c r="J23" s="7" t="str">
        <f>IF(主角经验!AM24="","",主角经验!$B24*主角经验!AM24)</f>
        <v/>
      </c>
      <c r="K23" s="7">
        <f>IF(主角经验!AN24="","",主角经验!$B24*主角经验!AN24)</f>
        <v>0</v>
      </c>
      <c r="L23" s="7">
        <f>IF(主角经验!AO24="","",主角经验!$B24*主角经验!AO24)</f>
        <v>0</v>
      </c>
      <c r="M23" s="7">
        <f>IF(主角经验!AP24="","",主角经验!$B24*主角经验!AP24)</f>
        <v>0</v>
      </c>
      <c r="N23" s="7">
        <f>IF(主角经验!AQ24="","",主角经验!$B24*主角经验!AQ24)</f>
        <v>105600</v>
      </c>
      <c r="O23" s="7">
        <f>IF(主角经验!AR24="","",主角经验!$B24*主角经验!AR24)</f>
        <v>110000</v>
      </c>
      <c r="P23" s="7">
        <f>IF(主角经验!AS24="","",主角经验!$B24*主角经验!AS24)</f>
        <v>7304</v>
      </c>
      <c r="Q23" s="7">
        <f>IF(主角经验!AT24="","",主角经验!$B24*主角经验!AT24)</f>
        <v>457600</v>
      </c>
      <c r="R23" s="7">
        <f>IF(主角经验!AU24="","",主角经验!$B24*主角经验!AU24)</f>
        <v>0</v>
      </c>
      <c r="S23" s="7">
        <f>IF(主角经验!AV24="","",主角经验!$B24*主角经验!AV24)</f>
        <v>0</v>
      </c>
      <c r="T23" s="7">
        <f>IF(主角经验!AW24="","",主角经验!$B24*主角经验!AW24)</f>
        <v>0</v>
      </c>
      <c r="U23" s="7">
        <f>IF(主角经验!AX24="","",主角经验!$B24*主角经验!AX24)</f>
        <v>0</v>
      </c>
      <c r="V23" s="7">
        <f>IF(主角经验!AY24="","",主角经验!$B24*主角经验!AY24)</f>
        <v>0</v>
      </c>
      <c r="W23" s="7">
        <f>IF(主角经验!AZ24="","",主角经验!$B24*主角经验!AZ24)</f>
        <v>0</v>
      </c>
      <c r="X23" s="7">
        <f>IF(主角经验!BA24="","",主角经验!$B24*主角经验!BA24)</f>
        <v>0</v>
      </c>
      <c r="Y23" s="7">
        <f>IF(主角经验!BB24="","",主角经验!$B24*主角经验!BB24)</f>
        <v>0</v>
      </c>
      <c r="Z23" s="7">
        <f>IF(主角经验!BC24="","",主角经验!$B24*主角经验!BC24)</f>
        <v>0</v>
      </c>
      <c r="AA23" s="7">
        <f>IF(主角经验!BD24="","",主角经验!$B24*主角经验!BD24)</f>
        <v>0</v>
      </c>
      <c r="AB23" s="7" t="str">
        <f>IF(主角经验!BE24="","",主角经验!$B24*主角经验!BE24)</f>
        <v/>
      </c>
      <c r="AC23" s="7" t="str">
        <f>IF(主角经验!BF24="","",主角经验!$B24*主角经验!BF24)</f>
        <v/>
      </c>
      <c r="AD23" s="7" t="str">
        <f>IF(主角经验!BG24="","",主角经验!$B24*主角经验!BG24)</f>
        <v/>
      </c>
      <c r="AE23" s="7" t="str">
        <f>IF(主角经验!BH24="","",主角经验!$B24*主角经验!BH24)</f>
        <v/>
      </c>
      <c r="AF23" s="7">
        <f>主角经验!BK24</f>
        <v>35200</v>
      </c>
      <c r="AG23" s="7">
        <f>主角经验!BO24</f>
        <v>98</v>
      </c>
    </row>
    <row r="24" spans="1:33">
      <c r="A24" s="32">
        <v>23</v>
      </c>
      <c r="B24" s="81">
        <f>主角经验!B25</f>
        <v>9200</v>
      </c>
      <c r="C24" s="7">
        <f>IF(主角经验!AF25="","",主角经验!$B25*主角经验!AF25)</f>
        <v>153364.00000000003</v>
      </c>
      <c r="D24" s="7">
        <f>IF(主角经验!AG25="","",主角经验!$B25*主角经验!AG25)</f>
        <v>60720</v>
      </c>
      <c r="E24" s="7">
        <f>IF(主角经验!AH25="","",主角经验!$B25*主角经验!AH25)</f>
        <v>23000</v>
      </c>
      <c r="F24" s="7">
        <f>IF(主角经验!AI25="","",主角经验!$B25*主角经验!AI25)</f>
        <v>0</v>
      </c>
      <c r="G24" s="7" t="str">
        <f>IF(主角经验!AJ25="","",主角经验!$B25*主角经验!AJ25)</f>
        <v/>
      </c>
      <c r="H24" s="7" t="str">
        <f>IF(主角经验!AK25="","",主角经验!$B25*主角经验!AK25)</f>
        <v/>
      </c>
      <c r="I24" s="7" t="str">
        <f>IF(主角经验!AL25="","",主角经验!$B25*主角经验!AL25)</f>
        <v/>
      </c>
      <c r="J24" s="7" t="str">
        <f>IF(主角经验!AM25="","",主角经验!$B25*主角经验!AM25)</f>
        <v/>
      </c>
      <c r="K24" s="7">
        <f>IF(主角经验!AN25="","",主角经验!$B25*主角经验!AN25)</f>
        <v>0</v>
      </c>
      <c r="L24" s="7">
        <f>IF(主角经验!AO25="","",主角经验!$B25*主角经验!AO25)</f>
        <v>0</v>
      </c>
      <c r="M24" s="7">
        <f>IF(主角经验!AP25="","",主角经验!$B25*主角经验!AP25)</f>
        <v>0</v>
      </c>
      <c r="N24" s="7">
        <f>IF(主角经验!AQ25="","",主角经验!$B25*主角经验!AQ25)</f>
        <v>110400</v>
      </c>
      <c r="O24" s="7">
        <f>IF(主角经验!AR25="","",主角经验!$B25*主角经验!AR25)</f>
        <v>115000</v>
      </c>
      <c r="P24" s="7">
        <f>IF(主角经验!AS25="","",主角经验!$B25*主角经验!AS25)</f>
        <v>7636</v>
      </c>
      <c r="Q24" s="7">
        <f>IF(主角经验!AT25="","",主角经验!$B25*主角经验!AT25)</f>
        <v>478400</v>
      </c>
      <c r="R24" s="7">
        <f>IF(主角经验!AU25="","",主角经验!$B25*主角经验!AU25)</f>
        <v>0</v>
      </c>
      <c r="S24" s="7">
        <f>IF(主角经验!AV25="","",主角经验!$B25*主角经验!AV25)</f>
        <v>0</v>
      </c>
      <c r="T24" s="7">
        <f>IF(主角经验!AW25="","",主角经验!$B25*主角经验!AW25)</f>
        <v>0</v>
      </c>
      <c r="U24" s="7">
        <f>IF(主角经验!AX25="","",主角经验!$B25*主角经验!AX25)</f>
        <v>0</v>
      </c>
      <c r="V24" s="7">
        <f>IF(主角经验!AY25="","",主角经验!$B25*主角经验!AY25)</f>
        <v>0</v>
      </c>
      <c r="W24" s="7">
        <f>IF(主角经验!AZ25="","",主角经验!$B25*主角经验!AZ25)</f>
        <v>0</v>
      </c>
      <c r="X24" s="7">
        <f>IF(主角经验!BA25="","",主角经验!$B25*主角经验!BA25)</f>
        <v>0</v>
      </c>
      <c r="Y24" s="7">
        <f>IF(主角经验!BB25="","",主角经验!$B25*主角经验!BB25)</f>
        <v>0</v>
      </c>
      <c r="Z24" s="7">
        <f>IF(主角经验!BC25="","",主角经验!$B25*主角经验!BC25)</f>
        <v>0</v>
      </c>
      <c r="AA24" s="7">
        <f>IF(主角经验!BD25="","",主角经验!$B25*主角经验!BD25)</f>
        <v>0</v>
      </c>
      <c r="AB24" s="7" t="str">
        <f>IF(主角经验!BE25="","",主角经验!$B25*主角经验!BE25)</f>
        <v/>
      </c>
      <c r="AC24" s="7" t="str">
        <f>IF(主角经验!BF25="","",主角经验!$B25*主角经验!BF25)</f>
        <v/>
      </c>
      <c r="AD24" s="7" t="str">
        <f>IF(主角经验!BG25="","",主角经验!$B25*主角经验!BG25)</f>
        <v/>
      </c>
      <c r="AE24" s="7" t="str">
        <f>IF(主角经验!BH25="","",主角经验!$B25*主角经验!BH25)</f>
        <v/>
      </c>
      <c r="AF24" s="7">
        <f>主角经验!BK25</f>
        <v>36800</v>
      </c>
      <c r="AG24" s="7">
        <f>主角经验!BO25</f>
        <v>102</v>
      </c>
    </row>
    <row r="25" spans="1:33">
      <c r="A25" s="32">
        <v>24</v>
      </c>
      <c r="B25" s="81">
        <f>主角经验!B26</f>
        <v>9600</v>
      </c>
      <c r="C25" s="7">
        <f>IF(主角经验!AF26="","",主角经验!$B26*主角经验!AF26)</f>
        <v>160032.00000000003</v>
      </c>
      <c r="D25" s="7">
        <f>IF(主角经验!AG26="","",主角经验!$B26*主角经验!AG26)</f>
        <v>63360</v>
      </c>
      <c r="E25" s="7">
        <f>IF(主角经验!AH26="","",主角经验!$B26*主角经验!AH26)</f>
        <v>24000</v>
      </c>
      <c r="F25" s="7">
        <f>IF(主角经验!AI26="","",主角经验!$B26*主角经验!AI26)</f>
        <v>0</v>
      </c>
      <c r="G25" s="7" t="str">
        <f>IF(主角经验!AJ26="","",主角经验!$B26*主角经验!AJ26)</f>
        <v/>
      </c>
      <c r="H25" s="7" t="str">
        <f>IF(主角经验!AK26="","",主角经验!$B26*主角经验!AK26)</f>
        <v/>
      </c>
      <c r="I25" s="7" t="str">
        <f>IF(主角经验!AL26="","",主角经验!$B26*主角经验!AL26)</f>
        <v/>
      </c>
      <c r="J25" s="7" t="str">
        <f>IF(主角经验!AM26="","",主角经验!$B26*主角经验!AM26)</f>
        <v/>
      </c>
      <c r="K25" s="7">
        <f>IF(主角经验!AN26="","",主角经验!$B26*主角经验!AN26)</f>
        <v>0</v>
      </c>
      <c r="L25" s="7">
        <f>IF(主角经验!AO26="","",主角经验!$B26*主角经验!AO26)</f>
        <v>0</v>
      </c>
      <c r="M25" s="7">
        <f>IF(主角经验!AP26="","",主角经验!$B26*主角经验!AP26)</f>
        <v>0</v>
      </c>
      <c r="N25" s="7">
        <f>IF(主角经验!AQ26="","",主角经验!$B26*主角经验!AQ26)</f>
        <v>115200</v>
      </c>
      <c r="O25" s="7">
        <f>IF(主角经验!AR26="","",主角经验!$B26*主角经验!AR26)</f>
        <v>120000</v>
      </c>
      <c r="P25" s="7">
        <f>IF(主角经验!AS26="","",主角经验!$B26*主角经验!AS26)</f>
        <v>7968</v>
      </c>
      <c r="Q25" s="7">
        <f>IF(主角经验!AT26="","",主角经验!$B26*主角经验!AT26)</f>
        <v>499200</v>
      </c>
      <c r="R25" s="7">
        <f>IF(主角经验!AU26="","",主角经验!$B26*主角经验!AU26)</f>
        <v>0</v>
      </c>
      <c r="S25" s="7">
        <f>IF(主角经验!AV26="","",主角经验!$B26*主角经验!AV26)</f>
        <v>0</v>
      </c>
      <c r="T25" s="7">
        <f>IF(主角经验!AW26="","",主角经验!$B26*主角经验!AW26)</f>
        <v>0</v>
      </c>
      <c r="U25" s="7">
        <f>IF(主角经验!AX26="","",主角经验!$B26*主角经验!AX26)</f>
        <v>0</v>
      </c>
      <c r="V25" s="7">
        <f>IF(主角经验!AY26="","",主角经验!$B26*主角经验!AY26)</f>
        <v>0</v>
      </c>
      <c r="W25" s="7">
        <f>IF(主角经验!AZ26="","",主角经验!$B26*主角经验!AZ26)</f>
        <v>0</v>
      </c>
      <c r="X25" s="7">
        <f>IF(主角经验!BA26="","",主角经验!$B26*主角经验!BA26)</f>
        <v>0</v>
      </c>
      <c r="Y25" s="7">
        <f>IF(主角经验!BB26="","",主角经验!$B26*主角经验!BB26)</f>
        <v>0</v>
      </c>
      <c r="Z25" s="7">
        <f>IF(主角经验!BC26="","",主角经验!$B26*主角经验!BC26)</f>
        <v>0</v>
      </c>
      <c r="AA25" s="7">
        <f>IF(主角经验!BD26="","",主角经验!$B26*主角经验!BD26)</f>
        <v>0</v>
      </c>
      <c r="AB25" s="7" t="str">
        <f>IF(主角经验!BE26="","",主角经验!$B26*主角经验!BE26)</f>
        <v/>
      </c>
      <c r="AC25" s="7" t="str">
        <f>IF(主角经验!BF26="","",主角经验!$B26*主角经验!BF26)</f>
        <v/>
      </c>
      <c r="AD25" s="7" t="str">
        <f>IF(主角经验!BG26="","",主角经验!$B26*主角经验!BG26)</f>
        <v/>
      </c>
      <c r="AE25" s="7" t="str">
        <f>IF(主角经验!BH26="","",主角经验!$B26*主角经验!BH26)</f>
        <v/>
      </c>
      <c r="AF25" s="7">
        <f>主角经验!BK26</f>
        <v>38400</v>
      </c>
      <c r="AG25" s="7">
        <f>主角经验!BO26</f>
        <v>107</v>
      </c>
    </row>
    <row r="26" spans="1:33">
      <c r="A26" s="32">
        <v>25</v>
      </c>
      <c r="B26" s="81">
        <f>主角经验!B27</f>
        <v>10000</v>
      </c>
      <c r="C26" s="7">
        <f>IF(主角经验!AF27="","",主角经验!$B27*主角经验!AF27)</f>
        <v>166700.00000000003</v>
      </c>
      <c r="D26" s="7">
        <f>IF(主角经验!AG27="","",主角经验!$B27*主角经验!AG27)</f>
        <v>66000</v>
      </c>
      <c r="E26" s="7">
        <f>IF(主角经验!AH27="","",主角经验!$B27*主角经验!AH27)</f>
        <v>25000</v>
      </c>
      <c r="F26" s="7">
        <f>IF(主角经验!AI27="","",主角经验!$B27*主角经验!AI27)</f>
        <v>0</v>
      </c>
      <c r="G26" s="7" t="str">
        <f>IF(主角经验!AJ27="","",主角经验!$B27*主角经验!AJ27)</f>
        <v/>
      </c>
      <c r="H26" s="7" t="str">
        <f>IF(主角经验!AK27="","",主角经验!$B27*主角经验!AK27)</f>
        <v/>
      </c>
      <c r="I26" s="7" t="str">
        <f>IF(主角经验!AL27="","",主角经验!$B27*主角经验!AL27)</f>
        <v/>
      </c>
      <c r="J26" s="7" t="str">
        <f>IF(主角经验!AM27="","",主角经验!$B27*主角经验!AM27)</f>
        <v/>
      </c>
      <c r="K26" s="7">
        <f>IF(主角经验!AN27="","",主角经验!$B27*主角经验!AN27)</f>
        <v>0</v>
      </c>
      <c r="L26" s="7">
        <f>IF(主角经验!AO27="","",主角经验!$B27*主角经验!AO27)</f>
        <v>0</v>
      </c>
      <c r="M26" s="7">
        <f>IF(主角经验!AP27="","",主角经验!$B27*主角经验!AP27)</f>
        <v>0</v>
      </c>
      <c r="N26" s="7">
        <f>IF(主角经验!AQ27="","",主角经验!$B27*主角经验!AQ27)</f>
        <v>120000</v>
      </c>
      <c r="O26" s="7">
        <f>IF(主角经验!AR27="","",主角经验!$B27*主角经验!AR27)</f>
        <v>125000</v>
      </c>
      <c r="P26" s="7">
        <f>IF(主角经验!AS27="","",主角经验!$B27*主角经验!AS27)</f>
        <v>8300</v>
      </c>
      <c r="Q26" s="7">
        <f>IF(主角经验!AT27="","",主角经验!$B27*主角经验!AT27)</f>
        <v>520000</v>
      </c>
      <c r="R26" s="7">
        <f>IF(主角经验!AU27="","",主角经验!$B27*主角经验!AU27)</f>
        <v>0</v>
      </c>
      <c r="S26" s="7">
        <f>IF(主角经验!AV27="","",主角经验!$B27*主角经验!AV27)</f>
        <v>66700</v>
      </c>
      <c r="T26" s="7">
        <f>IF(主角经验!AW27="","",主角经验!$B27*主角经验!AW27)</f>
        <v>0</v>
      </c>
      <c r="U26" s="7">
        <f>IF(主角经验!AX27="","",主角经验!$B27*主角经验!AX27)</f>
        <v>0</v>
      </c>
      <c r="V26" s="7">
        <f>IF(主角经验!AY27="","",主角经验!$B27*主角经验!AY27)</f>
        <v>66700</v>
      </c>
      <c r="W26" s="7">
        <f>IF(主角经验!AZ27="","",主角经验!$B27*主角经验!AZ27)</f>
        <v>0</v>
      </c>
      <c r="X26" s="7">
        <f>IF(主角经验!BA27="","",主角经验!$B27*主角经验!BA27)</f>
        <v>0</v>
      </c>
      <c r="Y26" s="7">
        <f>IF(主角经验!BB27="","",主角经验!$B27*主角经验!BB27)</f>
        <v>0</v>
      </c>
      <c r="Z26" s="7">
        <f>IF(主角经验!BC27="","",主角经验!$B27*主角经验!BC27)</f>
        <v>0</v>
      </c>
      <c r="AA26" s="7">
        <f>IF(主角经验!BD27="","",主角经验!$B27*主角经验!BD27)</f>
        <v>0</v>
      </c>
      <c r="AB26" s="7" t="str">
        <f>IF(主角经验!BE27="","",主角经验!$B27*主角经验!BE27)</f>
        <v/>
      </c>
      <c r="AC26" s="7" t="str">
        <f>IF(主角经验!BF27="","",主角经验!$B27*主角经验!BF27)</f>
        <v/>
      </c>
      <c r="AD26" s="7" t="str">
        <f>IF(主角经验!BG27="","",主角经验!$B27*主角经验!BG27)</f>
        <v/>
      </c>
      <c r="AE26" s="7" t="str">
        <f>IF(主角经验!BH27="","",主角经验!$B27*主角经验!BH27)</f>
        <v/>
      </c>
      <c r="AF26" s="7">
        <f>主角经验!BK27</f>
        <v>40000</v>
      </c>
      <c r="AG26" s="7">
        <f>主角经验!BO27</f>
        <v>111</v>
      </c>
    </row>
    <row r="27" spans="1:33">
      <c r="A27" s="32">
        <v>26</v>
      </c>
      <c r="B27" s="81">
        <f>主角经验!B28</f>
        <v>10400</v>
      </c>
      <c r="C27" s="7">
        <f>IF(主角经验!AF28="","",主角经验!$B28*主角经验!AF28)</f>
        <v>173368.00000000003</v>
      </c>
      <c r="D27" s="7">
        <f>IF(主角经验!AG28="","",主角经验!$B28*主角经验!AG28)</f>
        <v>68640</v>
      </c>
      <c r="E27" s="7">
        <f>IF(主角经验!AH28="","",主角经验!$B28*主角经验!AH28)</f>
        <v>26000</v>
      </c>
      <c r="F27" s="7">
        <f>IF(主角经验!AI28="","",主角经验!$B28*主角经验!AI28)</f>
        <v>0</v>
      </c>
      <c r="G27" s="7" t="str">
        <f>IF(主角经验!AJ28="","",主角经验!$B28*主角经验!AJ28)</f>
        <v/>
      </c>
      <c r="H27" s="7" t="str">
        <f>IF(主角经验!AK28="","",主角经验!$B28*主角经验!AK28)</f>
        <v/>
      </c>
      <c r="I27" s="7" t="str">
        <f>IF(主角经验!AL28="","",主角经验!$B28*主角经验!AL28)</f>
        <v/>
      </c>
      <c r="J27" s="7" t="str">
        <f>IF(主角经验!AM28="","",主角经验!$B28*主角经验!AM28)</f>
        <v/>
      </c>
      <c r="K27" s="7">
        <f>IF(主角经验!AN28="","",主角经验!$B28*主角经验!AN28)</f>
        <v>0</v>
      </c>
      <c r="L27" s="7">
        <f>IF(主角经验!AO28="","",主角经验!$B28*主角经验!AO28)</f>
        <v>0</v>
      </c>
      <c r="M27" s="7">
        <f>IF(主角经验!AP28="","",主角经验!$B28*主角经验!AP28)</f>
        <v>0</v>
      </c>
      <c r="N27" s="7">
        <f>IF(主角经验!AQ28="","",主角经验!$B28*主角经验!AQ28)</f>
        <v>124800</v>
      </c>
      <c r="O27" s="7">
        <f>IF(主角经验!AR28="","",主角经验!$B28*主角经验!AR28)</f>
        <v>130000</v>
      </c>
      <c r="P27" s="7">
        <f>IF(主角经验!AS28="","",主角经验!$B28*主角经验!AS28)</f>
        <v>8632</v>
      </c>
      <c r="Q27" s="7">
        <f>IF(主角经验!AT28="","",主角经验!$B28*主角经验!AT28)</f>
        <v>540800</v>
      </c>
      <c r="R27" s="7">
        <f>IF(主角经验!AU28="","",主角经验!$B28*主角经验!AU28)</f>
        <v>0</v>
      </c>
      <c r="S27" s="7">
        <f>IF(主角经验!AV28="","",主角经验!$B28*主角经验!AV28)</f>
        <v>69368</v>
      </c>
      <c r="T27" s="7">
        <f>IF(主角经验!AW28="","",主角经验!$B28*主角经验!AW28)</f>
        <v>0</v>
      </c>
      <c r="U27" s="7">
        <f>IF(主角经验!AX28="","",主角经验!$B28*主角经验!AX28)</f>
        <v>0</v>
      </c>
      <c r="V27" s="7">
        <f>IF(主角经验!AY28="","",主角经验!$B28*主角经验!AY28)</f>
        <v>69368</v>
      </c>
      <c r="W27" s="7">
        <f>IF(主角经验!AZ28="","",主角经验!$B28*主角经验!AZ28)</f>
        <v>0</v>
      </c>
      <c r="X27" s="7">
        <f>IF(主角经验!BA28="","",主角经验!$B28*主角经验!BA28)</f>
        <v>0</v>
      </c>
      <c r="Y27" s="7">
        <f>IF(主角经验!BB28="","",主角经验!$B28*主角经验!BB28)</f>
        <v>0</v>
      </c>
      <c r="Z27" s="7">
        <f>IF(主角经验!BC28="","",主角经验!$B28*主角经验!BC28)</f>
        <v>0</v>
      </c>
      <c r="AA27" s="7">
        <f>IF(主角经验!BD28="","",主角经验!$B28*主角经验!BD28)</f>
        <v>0</v>
      </c>
      <c r="AB27" s="7" t="str">
        <f>IF(主角经验!BE28="","",主角经验!$B28*主角经验!BE28)</f>
        <v/>
      </c>
      <c r="AC27" s="7" t="str">
        <f>IF(主角经验!BF28="","",主角经验!$B28*主角经验!BF28)</f>
        <v/>
      </c>
      <c r="AD27" s="7" t="str">
        <f>IF(主角经验!BG28="","",主角经验!$B28*主角经验!BG28)</f>
        <v/>
      </c>
      <c r="AE27" s="7" t="str">
        <f>IF(主角经验!BH28="","",主角经验!$B28*主角经验!BH28)</f>
        <v/>
      </c>
      <c r="AF27" s="7">
        <f>主角经验!BK28</f>
        <v>41600</v>
      </c>
      <c r="AG27" s="7">
        <f>主角经验!BO28</f>
        <v>116</v>
      </c>
    </row>
    <row r="28" spans="1:33">
      <c r="A28" s="32">
        <v>27</v>
      </c>
      <c r="B28" s="81">
        <f>主角经验!B29</f>
        <v>10800</v>
      </c>
      <c r="C28" s="7">
        <f>IF(主角经验!AF29="","",主角经验!$B29*主角经验!AF29)</f>
        <v>180036.00000000003</v>
      </c>
      <c r="D28" s="7">
        <f>IF(主角经验!AG29="","",主角经验!$B29*主角经验!AG29)</f>
        <v>71280</v>
      </c>
      <c r="E28" s="7">
        <f>IF(主角经验!AH29="","",主角经验!$B29*主角经验!AH29)</f>
        <v>27000</v>
      </c>
      <c r="F28" s="7">
        <f>IF(主角经验!AI29="","",主角经验!$B29*主角经验!AI29)</f>
        <v>0</v>
      </c>
      <c r="G28" s="7" t="str">
        <f>IF(主角经验!AJ29="","",主角经验!$B29*主角经验!AJ29)</f>
        <v/>
      </c>
      <c r="H28" s="7" t="str">
        <f>IF(主角经验!AK29="","",主角经验!$B29*主角经验!AK29)</f>
        <v/>
      </c>
      <c r="I28" s="7" t="str">
        <f>IF(主角经验!AL29="","",主角经验!$B29*主角经验!AL29)</f>
        <v/>
      </c>
      <c r="J28" s="7" t="str">
        <f>IF(主角经验!AM29="","",主角经验!$B29*主角经验!AM29)</f>
        <v/>
      </c>
      <c r="K28" s="7">
        <f>IF(主角经验!AN29="","",主角经验!$B29*主角经验!AN29)</f>
        <v>0</v>
      </c>
      <c r="L28" s="7">
        <f>IF(主角经验!AO29="","",主角经验!$B29*主角经验!AO29)</f>
        <v>0</v>
      </c>
      <c r="M28" s="7">
        <f>IF(主角经验!AP29="","",主角经验!$B29*主角经验!AP29)</f>
        <v>0</v>
      </c>
      <c r="N28" s="7">
        <f>IF(主角经验!AQ29="","",主角经验!$B29*主角经验!AQ29)</f>
        <v>129600</v>
      </c>
      <c r="O28" s="7">
        <f>IF(主角经验!AR29="","",主角经验!$B29*主角经验!AR29)</f>
        <v>135000</v>
      </c>
      <c r="P28" s="7">
        <f>IF(主角经验!AS29="","",主角经验!$B29*主角经验!AS29)</f>
        <v>8964</v>
      </c>
      <c r="Q28" s="7">
        <f>IF(主角经验!AT29="","",主角经验!$B29*主角经验!AT29)</f>
        <v>561600</v>
      </c>
      <c r="R28" s="7">
        <f>IF(主角经验!AU29="","",主角经验!$B29*主角经验!AU29)</f>
        <v>0</v>
      </c>
      <c r="S28" s="7">
        <f>IF(主角经验!AV29="","",主角经验!$B29*主角经验!AV29)</f>
        <v>72036</v>
      </c>
      <c r="T28" s="7">
        <f>IF(主角经验!AW29="","",主角经验!$B29*主角经验!AW29)</f>
        <v>0</v>
      </c>
      <c r="U28" s="7">
        <f>IF(主角经验!AX29="","",主角经验!$B29*主角经验!AX29)</f>
        <v>0</v>
      </c>
      <c r="V28" s="7">
        <f>IF(主角经验!AY29="","",主角经验!$B29*主角经验!AY29)</f>
        <v>72036</v>
      </c>
      <c r="W28" s="7">
        <f>IF(主角经验!AZ29="","",主角经验!$B29*主角经验!AZ29)</f>
        <v>0</v>
      </c>
      <c r="X28" s="7">
        <f>IF(主角经验!BA29="","",主角经验!$B29*主角经验!BA29)</f>
        <v>0</v>
      </c>
      <c r="Y28" s="7">
        <f>IF(主角经验!BB29="","",主角经验!$B29*主角经验!BB29)</f>
        <v>0</v>
      </c>
      <c r="Z28" s="7">
        <f>IF(主角经验!BC29="","",主角经验!$B29*主角经验!BC29)</f>
        <v>0</v>
      </c>
      <c r="AA28" s="7">
        <f>IF(主角经验!BD29="","",主角经验!$B29*主角经验!BD29)</f>
        <v>0</v>
      </c>
      <c r="AB28" s="7" t="str">
        <f>IF(主角经验!BE29="","",主角经验!$B29*主角经验!BE29)</f>
        <v/>
      </c>
      <c r="AC28" s="7" t="str">
        <f>IF(主角经验!BF29="","",主角经验!$B29*主角经验!BF29)</f>
        <v/>
      </c>
      <c r="AD28" s="7" t="str">
        <f>IF(主角经验!BG29="","",主角经验!$B29*主角经验!BG29)</f>
        <v/>
      </c>
      <c r="AE28" s="7" t="str">
        <f>IF(主角经验!BH29="","",主角经验!$B29*主角经验!BH29)</f>
        <v/>
      </c>
      <c r="AF28" s="7">
        <f>主角经验!BK29</f>
        <v>43200</v>
      </c>
      <c r="AG28" s="7">
        <f>主角经验!BO29</f>
        <v>120</v>
      </c>
    </row>
    <row r="29" spans="1:33">
      <c r="A29" s="32">
        <v>28</v>
      </c>
      <c r="B29" s="81">
        <f>主角经验!B30</f>
        <v>11200</v>
      </c>
      <c r="C29" s="7">
        <f>IF(主角经验!AF30="","",主角经验!$B30*主角经验!AF30)</f>
        <v>186704.00000000003</v>
      </c>
      <c r="D29" s="7">
        <f>IF(主角经验!AG30="","",主角经验!$B30*主角经验!AG30)</f>
        <v>73920</v>
      </c>
      <c r="E29" s="7">
        <f>IF(主角经验!AH30="","",主角经验!$B30*主角经验!AH30)</f>
        <v>28000</v>
      </c>
      <c r="F29" s="7">
        <f>IF(主角经验!AI30="","",主角经验!$B30*主角经验!AI30)</f>
        <v>0</v>
      </c>
      <c r="G29" s="7" t="str">
        <f>IF(主角经验!AJ30="","",主角经验!$B30*主角经验!AJ30)</f>
        <v/>
      </c>
      <c r="H29" s="7" t="str">
        <f>IF(主角经验!AK30="","",主角经验!$B30*主角经验!AK30)</f>
        <v/>
      </c>
      <c r="I29" s="7" t="str">
        <f>IF(主角经验!AL30="","",主角经验!$B30*主角经验!AL30)</f>
        <v/>
      </c>
      <c r="J29" s="7" t="str">
        <f>IF(主角经验!AM30="","",主角经验!$B30*主角经验!AM30)</f>
        <v/>
      </c>
      <c r="K29" s="7">
        <f>IF(主角经验!AN30="","",主角经验!$B30*主角经验!AN30)</f>
        <v>0</v>
      </c>
      <c r="L29" s="7">
        <f>IF(主角经验!AO30="","",主角经验!$B30*主角经验!AO30)</f>
        <v>0</v>
      </c>
      <c r="M29" s="7">
        <f>IF(主角经验!AP30="","",主角经验!$B30*主角经验!AP30)</f>
        <v>0</v>
      </c>
      <c r="N29" s="7">
        <f>IF(主角经验!AQ30="","",主角经验!$B30*主角经验!AQ30)</f>
        <v>134400</v>
      </c>
      <c r="O29" s="7">
        <f>IF(主角经验!AR30="","",主角经验!$B30*主角经验!AR30)</f>
        <v>140000</v>
      </c>
      <c r="P29" s="7">
        <f>IF(主角经验!AS30="","",主角经验!$B30*主角经验!AS30)</f>
        <v>9296</v>
      </c>
      <c r="Q29" s="7">
        <f>IF(主角经验!AT30="","",主角经验!$B30*主角经验!AT30)</f>
        <v>582400</v>
      </c>
      <c r="R29" s="7">
        <f>IF(主角经验!AU30="","",主角经验!$B30*主角经验!AU30)</f>
        <v>0</v>
      </c>
      <c r="S29" s="7">
        <f>IF(主角经验!AV30="","",主角经验!$B30*主角经验!AV30)</f>
        <v>74704</v>
      </c>
      <c r="T29" s="7">
        <f>IF(主角经验!AW30="","",主角经验!$B30*主角经验!AW30)</f>
        <v>0</v>
      </c>
      <c r="U29" s="7">
        <f>IF(主角经验!AX30="","",主角经验!$B30*主角经验!AX30)</f>
        <v>0</v>
      </c>
      <c r="V29" s="7">
        <f>IF(主角经验!AY30="","",主角经验!$B30*主角经验!AY30)</f>
        <v>74704</v>
      </c>
      <c r="W29" s="7">
        <f>IF(主角经验!AZ30="","",主角经验!$B30*主角经验!AZ30)</f>
        <v>0</v>
      </c>
      <c r="X29" s="7">
        <f>IF(主角经验!BA30="","",主角经验!$B30*主角经验!BA30)</f>
        <v>0</v>
      </c>
      <c r="Y29" s="7">
        <f>IF(主角经验!BB30="","",主角经验!$B30*主角经验!BB30)</f>
        <v>0</v>
      </c>
      <c r="Z29" s="7">
        <f>IF(主角经验!BC30="","",主角经验!$B30*主角经验!BC30)</f>
        <v>0</v>
      </c>
      <c r="AA29" s="7">
        <f>IF(主角经验!BD30="","",主角经验!$B30*主角经验!BD30)</f>
        <v>0</v>
      </c>
      <c r="AB29" s="7" t="str">
        <f>IF(主角经验!BE30="","",主角经验!$B30*主角经验!BE30)</f>
        <v/>
      </c>
      <c r="AC29" s="7" t="str">
        <f>IF(主角经验!BF30="","",主角经验!$B30*主角经验!BF30)</f>
        <v/>
      </c>
      <c r="AD29" s="7" t="str">
        <f>IF(主角经验!BG30="","",主角经验!$B30*主角经验!BG30)</f>
        <v/>
      </c>
      <c r="AE29" s="7" t="str">
        <f>IF(主角经验!BH30="","",主角经验!$B30*主角经验!BH30)</f>
        <v/>
      </c>
      <c r="AF29" s="7">
        <f>主角经验!BK30</f>
        <v>44800</v>
      </c>
      <c r="AG29" s="7">
        <f>主角经验!BO30</f>
        <v>124</v>
      </c>
    </row>
    <row r="30" spans="1:33">
      <c r="A30" s="32">
        <v>29</v>
      </c>
      <c r="B30" s="81">
        <f>主角经验!B31</f>
        <v>11600</v>
      </c>
      <c r="C30" s="7">
        <f>IF(主角经验!AF31="","",主角经验!$B31*主角经验!AF31)</f>
        <v>193372.00000000003</v>
      </c>
      <c r="D30" s="7">
        <f>IF(主角经验!AG31="","",主角经验!$B31*主角经验!AG31)</f>
        <v>76560</v>
      </c>
      <c r="E30" s="7">
        <f>IF(主角经验!AH31="","",主角经验!$B31*主角经验!AH31)</f>
        <v>29000</v>
      </c>
      <c r="F30" s="7">
        <f>IF(主角经验!AI31="","",主角经验!$B31*主角经验!AI31)</f>
        <v>0</v>
      </c>
      <c r="G30" s="7" t="str">
        <f>IF(主角经验!AJ31="","",主角经验!$B31*主角经验!AJ31)</f>
        <v/>
      </c>
      <c r="H30" s="7" t="str">
        <f>IF(主角经验!AK31="","",主角经验!$B31*主角经验!AK31)</f>
        <v/>
      </c>
      <c r="I30" s="7" t="str">
        <f>IF(主角经验!AL31="","",主角经验!$B31*主角经验!AL31)</f>
        <v/>
      </c>
      <c r="J30" s="7" t="str">
        <f>IF(主角经验!AM31="","",主角经验!$B31*主角经验!AM31)</f>
        <v/>
      </c>
      <c r="K30" s="7">
        <f>IF(主角经验!AN31="","",主角经验!$B31*主角经验!AN31)</f>
        <v>0</v>
      </c>
      <c r="L30" s="7">
        <f>IF(主角经验!AO31="","",主角经验!$B31*主角经验!AO31)</f>
        <v>0</v>
      </c>
      <c r="M30" s="7">
        <f>IF(主角经验!AP31="","",主角经验!$B31*主角经验!AP31)</f>
        <v>0</v>
      </c>
      <c r="N30" s="7">
        <f>IF(主角经验!AQ31="","",主角经验!$B31*主角经验!AQ31)</f>
        <v>139200</v>
      </c>
      <c r="O30" s="7">
        <f>IF(主角经验!AR31="","",主角经验!$B31*主角经验!AR31)</f>
        <v>145000</v>
      </c>
      <c r="P30" s="7">
        <f>IF(主角经验!AS31="","",主角经验!$B31*主角经验!AS31)</f>
        <v>9628</v>
      </c>
      <c r="Q30" s="7">
        <f>IF(主角经验!AT31="","",主角经验!$B31*主角经验!AT31)</f>
        <v>603200</v>
      </c>
      <c r="R30" s="7">
        <f>IF(主角经验!AU31="","",主角经验!$B31*主角经验!AU31)</f>
        <v>0</v>
      </c>
      <c r="S30" s="7">
        <f>IF(主角经验!AV31="","",主角经验!$B31*主角经验!AV31)</f>
        <v>77372</v>
      </c>
      <c r="T30" s="7">
        <f>IF(主角经验!AW31="","",主角经验!$B31*主角经验!AW31)</f>
        <v>0</v>
      </c>
      <c r="U30" s="7">
        <f>IF(主角经验!AX31="","",主角经验!$B31*主角经验!AX31)</f>
        <v>0</v>
      </c>
      <c r="V30" s="7">
        <f>IF(主角经验!AY31="","",主角经验!$B31*主角经验!AY31)</f>
        <v>77372</v>
      </c>
      <c r="W30" s="7">
        <f>IF(主角经验!AZ31="","",主角经验!$B31*主角经验!AZ31)</f>
        <v>0</v>
      </c>
      <c r="X30" s="7">
        <f>IF(主角经验!BA31="","",主角经验!$B31*主角经验!BA31)</f>
        <v>0</v>
      </c>
      <c r="Y30" s="7">
        <f>IF(主角经验!BB31="","",主角经验!$B31*主角经验!BB31)</f>
        <v>0</v>
      </c>
      <c r="Z30" s="7">
        <f>IF(主角经验!BC31="","",主角经验!$B31*主角经验!BC31)</f>
        <v>0</v>
      </c>
      <c r="AA30" s="7">
        <f>IF(主角经验!BD31="","",主角经验!$B31*主角经验!BD31)</f>
        <v>0</v>
      </c>
      <c r="AB30" s="7" t="str">
        <f>IF(主角经验!BE31="","",主角经验!$B31*主角经验!BE31)</f>
        <v/>
      </c>
      <c r="AC30" s="7" t="str">
        <f>IF(主角经验!BF31="","",主角经验!$B31*主角经验!BF31)</f>
        <v/>
      </c>
      <c r="AD30" s="7" t="str">
        <f>IF(主角经验!BG31="","",主角经验!$B31*主角经验!BG31)</f>
        <v/>
      </c>
      <c r="AE30" s="7" t="str">
        <f>IF(主角经验!BH31="","",主角经验!$B31*主角经验!BH31)</f>
        <v/>
      </c>
      <c r="AF30" s="7">
        <f>主角经验!BK31</f>
        <v>46400</v>
      </c>
      <c r="AG30" s="7">
        <f>主角经验!BO31</f>
        <v>129</v>
      </c>
    </row>
    <row r="31" spans="1:33">
      <c r="A31" s="32">
        <v>30</v>
      </c>
      <c r="B31" s="81">
        <f>主角经验!B32</f>
        <v>12000</v>
      </c>
      <c r="C31" s="7">
        <f>IF(主角经验!AF32="","",主角经验!$B32*主角经验!AF32)</f>
        <v>200040.00000000003</v>
      </c>
      <c r="D31" s="7">
        <f>IF(主角经验!AG32="","",主角经验!$B32*主角经验!AG32)</f>
        <v>79200</v>
      </c>
      <c r="E31" s="7">
        <f>IF(主角经验!AH32="","",主角经验!$B32*主角经验!AH32)</f>
        <v>30000</v>
      </c>
      <c r="F31" s="7">
        <f>IF(主角经验!AI32="","",主角经验!$B32*主角经验!AI32)</f>
        <v>0</v>
      </c>
      <c r="G31" s="7" t="str">
        <f>IF(主角经验!AJ32="","",主角经验!$B32*主角经验!AJ32)</f>
        <v/>
      </c>
      <c r="H31" s="7" t="str">
        <f>IF(主角经验!AK32="","",主角经验!$B32*主角经验!AK32)</f>
        <v/>
      </c>
      <c r="I31" s="7" t="str">
        <f>IF(主角经验!AL32="","",主角经验!$B32*主角经验!AL32)</f>
        <v/>
      </c>
      <c r="J31" s="7" t="str">
        <f>IF(主角经验!AM32="","",主角经验!$B32*主角经验!AM32)</f>
        <v/>
      </c>
      <c r="K31" s="7">
        <f>IF(主角经验!AN32="","",主角经验!$B32*主角经验!AN32)</f>
        <v>120000</v>
      </c>
      <c r="L31" s="7">
        <f>IF(主角经验!AO32="","",主角经验!$B32*主角经验!AO32)</f>
        <v>0</v>
      </c>
      <c r="M31" s="7">
        <f>IF(主角经验!AP32="","",主角经验!$B32*主角经验!AP32)</f>
        <v>0</v>
      </c>
      <c r="N31" s="7">
        <f>IF(主角经验!AQ32="","",主角经验!$B32*主角经验!AQ32)</f>
        <v>144000</v>
      </c>
      <c r="O31" s="7">
        <f>IF(主角经验!AR32="","",主角经验!$B32*主角经验!AR32)</f>
        <v>150000</v>
      </c>
      <c r="P31" s="7">
        <f>IF(主角经验!AS32="","",主角经验!$B32*主角经验!AS32)</f>
        <v>9960</v>
      </c>
      <c r="Q31" s="7">
        <f>IF(主角经验!AT32="","",主角经验!$B32*主角经验!AT32)</f>
        <v>624000</v>
      </c>
      <c r="R31" s="7">
        <f>IF(主角经验!AU32="","",主角经验!$B32*主角经验!AU32)</f>
        <v>72000</v>
      </c>
      <c r="S31" s="7">
        <f>IF(主角经验!AV32="","",主角经验!$B32*主角经验!AV32)</f>
        <v>80040</v>
      </c>
      <c r="T31" s="7">
        <f>IF(主角经验!AW32="","",主角经验!$B32*主角经验!AW32)</f>
        <v>0</v>
      </c>
      <c r="U31" s="7">
        <f>IF(主角经验!AX32="","",主角经验!$B32*主角经验!AX32)</f>
        <v>0</v>
      </c>
      <c r="V31" s="7">
        <f>IF(主角经验!AY32="","",主角经验!$B32*主角经验!AY32)</f>
        <v>80040</v>
      </c>
      <c r="W31" s="7">
        <f>IF(主角经验!AZ32="","",主角经验!$B32*主角经验!AZ32)</f>
        <v>30000</v>
      </c>
      <c r="X31" s="7">
        <f>IF(主角经验!BA32="","",主角经验!$B32*主角经验!BA32)</f>
        <v>60000</v>
      </c>
      <c r="Y31" s="7">
        <f>IF(主角经验!BB32="","",主角经验!$B32*主角经验!BB32)</f>
        <v>0</v>
      </c>
      <c r="Z31" s="7">
        <f>IF(主角经验!BC32="","",主角经验!$B32*主角经验!BC32)</f>
        <v>0</v>
      </c>
      <c r="AA31" s="7">
        <f>IF(主角经验!BD32="","",主角经验!$B32*主角经验!BD32)</f>
        <v>0</v>
      </c>
      <c r="AB31" s="7" t="str">
        <f>IF(主角经验!BE32="","",主角经验!$B32*主角经验!BE32)</f>
        <v/>
      </c>
      <c r="AC31" s="7" t="str">
        <f>IF(主角经验!BF32="","",主角经验!$B32*主角经验!BF32)</f>
        <v/>
      </c>
      <c r="AD31" s="7" t="str">
        <f>IF(主角经验!BG32="","",主角经验!$B32*主角经验!BG32)</f>
        <v/>
      </c>
      <c r="AE31" s="7" t="str">
        <f>IF(主角经验!BH32="","",主角经验!$B32*主角经验!BH32)</f>
        <v/>
      </c>
      <c r="AF31" s="7">
        <f>主角经验!BK32</f>
        <v>48000</v>
      </c>
      <c r="AG31" s="7">
        <f>主角经验!BO32</f>
        <v>133</v>
      </c>
    </row>
    <row r="32" spans="1:33">
      <c r="A32" s="32">
        <v>31</v>
      </c>
      <c r="B32" s="81">
        <f>主角经验!B33</f>
        <v>12400</v>
      </c>
      <c r="C32" s="7">
        <f>IF(主角经验!AF33="","",主角经验!$B33*主角经验!AF33)</f>
        <v>206708.00000000003</v>
      </c>
      <c r="D32" s="7">
        <f>IF(主角经验!AG33="","",主角经验!$B33*主角经验!AG33)</f>
        <v>81840</v>
      </c>
      <c r="E32" s="7">
        <f>IF(主角经验!AH33="","",主角经验!$B33*主角经验!AH33)</f>
        <v>31000</v>
      </c>
      <c r="F32" s="7">
        <f>IF(主角经验!AI33="","",主角经验!$B33*主角经验!AI33)</f>
        <v>0</v>
      </c>
      <c r="G32" s="7" t="str">
        <f>IF(主角经验!AJ33="","",主角经验!$B33*主角经验!AJ33)</f>
        <v/>
      </c>
      <c r="H32" s="7" t="str">
        <f>IF(主角经验!AK33="","",主角经验!$B33*主角经验!AK33)</f>
        <v/>
      </c>
      <c r="I32" s="7" t="str">
        <f>IF(主角经验!AL33="","",主角经验!$B33*主角经验!AL33)</f>
        <v/>
      </c>
      <c r="J32" s="7" t="str">
        <f>IF(主角经验!AM33="","",主角经验!$B33*主角经验!AM33)</f>
        <v/>
      </c>
      <c r="K32" s="7">
        <f>IF(主角经验!AN33="","",主角经验!$B33*主角经验!AN33)</f>
        <v>124000</v>
      </c>
      <c r="L32" s="7">
        <f>IF(主角经验!AO33="","",主角经验!$B33*主角经验!AO33)</f>
        <v>0</v>
      </c>
      <c r="M32" s="7">
        <f>IF(主角经验!AP33="","",主角经验!$B33*主角经验!AP33)</f>
        <v>0</v>
      </c>
      <c r="N32" s="7">
        <f>IF(主角经验!AQ33="","",主角经验!$B33*主角经验!AQ33)</f>
        <v>148800</v>
      </c>
      <c r="O32" s="7">
        <f>IF(主角经验!AR33="","",主角经验!$B33*主角经验!AR33)</f>
        <v>155000</v>
      </c>
      <c r="P32" s="7">
        <f>IF(主角经验!AS33="","",主角经验!$B33*主角经验!AS33)</f>
        <v>10292</v>
      </c>
      <c r="Q32" s="7">
        <f>IF(主角经验!AT33="","",主角经验!$B33*主角经验!AT33)</f>
        <v>644800</v>
      </c>
      <c r="R32" s="7">
        <f>IF(主角经验!AU33="","",主角经验!$B33*主角经验!AU33)</f>
        <v>74400</v>
      </c>
      <c r="S32" s="7">
        <f>IF(主角经验!AV33="","",主角经验!$B33*主角经验!AV33)</f>
        <v>82708</v>
      </c>
      <c r="T32" s="7">
        <f>IF(主角经验!AW33="","",主角经验!$B33*主角经验!AW33)</f>
        <v>0</v>
      </c>
      <c r="U32" s="7">
        <f>IF(主角经验!AX33="","",主角经验!$B33*主角经验!AX33)</f>
        <v>0</v>
      </c>
      <c r="V32" s="7">
        <f>IF(主角经验!AY33="","",主角经验!$B33*主角经验!AY33)</f>
        <v>82708</v>
      </c>
      <c r="W32" s="7">
        <f>IF(主角经验!AZ33="","",主角经验!$B33*主角经验!AZ33)</f>
        <v>31000</v>
      </c>
      <c r="X32" s="7">
        <f>IF(主角经验!BA33="","",主角经验!$B33*主角经验!BA33)</f>
        <v>62000</v>
      </c>
      <c r="Y32" s="7">
        <f>IF(主角经验!BB33="","",主角经验!$B33*主角经验!BB33)</f>
        <v>0</v>
      </c>
      <c r="Z32" s="7">
        <f>IF(主角经验!BC33="","",主角经验!$B33*主角经验!BC33)</f>
        <v>0</v>
      </c>
      <c r="AA32" s="7">
        <f>IF(主角经验!BD33="","",主角经验!$B33*主角经验!BD33)</f>
        <v>0</v>
      </c>
      <c r="AB32" s="7" t="str">
        <f>IF(主角经验!BE33="","",主角经验!$B33*主角经验!BE33)</f>
        <v/>
      </c>
      <c r="AC32" s="7" t="str">
        <f>IF(主角经验!BF33="","",主角经验!$B33*主角经验!BF33)</f>
        <v/>
      </c>
      <c r="AD32" s="7" t="str">
        <f>IF(主角经验!BG33="","",主角经验!$B33*主角经验!BG33)</f>
        <v/>
      </c>
      <c r="AE32" s="7" t="str">
        <f>IF(主角经验!BH33="","",主角经验!$B33*主角经验!BH33)</f>
        <v/>
      </c>
      <c r="AF32" s="7">
        <f>主角经验!BK33</f>
        <v>57000</v>
      </c>
      <c r="AG32" s="7">
        <f>主角经验!BO33</f>
        <v>138</v>
      </c>
    </row>
    <row r="33" spans="1:33">
      <c r="A33" s="32">
        <v>32</v>
      </c>
      <c r="B33" s="81">
        <f>主角经验!B34</f>
        <v>12800</v>
      </c>
      <c r="C33" s="7">
        <f>IF(主角经验!AF34="","",主角经验!$B34*主角经验!AF34)</f>
        <v>213376.00000000003</v>
      </c>
      <c r="D33" s="7">
        <f>IF(主角经验!AG34="","",主角经验!$B34*主角经验!AG34)</f>
        <v>84480</v>
      </c>
      <c r="E33" s="7">
        <f>IF(主角经验!AH34="","",主角经验!$B34*主角经验!AH34)</f>
        <v>32000</v>
      </c>
      <c r="F33" s="7">
        <f>IF(主角经验!AI34="","",主角经验!$B34*主角经验!AI34)</f>
        <v>0</v>
      </c>
      <c r="G33" s="7" t="str">
        <f>IF(主角经验!AJ34="","",主角经验!$B34*主角经验!AJ34)</f>
        <v/>
      </c>
      <c r="H33" s="7" t="str">
        <f>IF(主角经验!AK34="","",主角经验!$B34*主角经验!AK34)</f>
        <v/>
      </c>
      <c r="I33" s="7" t="str">
        <f>IF(主角经验!AL34="","",主角经验!$B34*主角经验!AL34)</f>
        <v/>
      </c>
      <c r="J33" s="7" t="str">
        <f>IF(主角经验!AM34="","",主角经验!$B34*主角经验!AM34)</f>
        <v/>
      </c>
      <c r="K33" s="7">
        <f>IF(主角经验!AN34="","",主角经验!$B34*主角经验!AN34)</f>
        <v>128000</v>
      </c>
      <c r="L33" s="7">
        <f>IF(主角经验!AO34="","",主角经验!$B34*主角经验!AO34)</f>
        <v>0</v>
      </c>
      <c r="M33" s="7">
        <f>IF(主角经验!AP34="","",主角经验!$B34*主角经验!AP34)</f>
        <v>0</v>
      </c>
      <c r="N33" s="7">
        <f>IF(主角经验!AQ34="","",主角经验!$B34*主角经验!AQ34)</f>
        <v>153600</v>
      </c>
      <c r="O33" s="7">
        <f>IF(主角经验!AR34="","",主角经验!$B34*主角经验!AR34)</f>
        <v>160000</v>
      </c>
      <c r="P33" s="7">
        <f>IF(主角经验!AS34="","",主角经验!$B34*主角经验!AS34)</f>
        <v>10624</v>
      </c>
      <c r="Q33" s="7">
        <f>IF(主角经验!AT34="","",主角经验!$B34*主角经验!AT34)</f>
        <v>665600</v>
      </c>
      <c r="R33" s="7">
        <f>IF(主角经验!AU34="","",主角经验!$B34*主角经验!AU34)</f>
        <v>76800</v>
      </c>
      <c r="S33" s="7">
        <f>IF(主角经验!AV34="","",主角经验!$B34*主角经验!AV34)</f>
        <v>85376</v>
      </c>
      <c r="T33" s="7">
        <f>IF(主角经验!AW34="","",主角经验!$B34*主角经验!AW34)</f>
        <v>0</v>
      </c>
      <c r="U33" s="7">
        <f>IF(主角经验!AX34="","",主角经验!$B34*主角经验!AX34)</f>
        <v>0</v>
      </c>
      <c r="V33" s="7">
        <f>IF(主角经验!AY34="","",主角经验!$B34*主角经验!AY34)</f>
        <v>85376</v>
      </c>
      <c r="W33" s="7">
        <f>IF(主角经验!AZ34="","",主角经验!$B34*主角经验!AZ34)</f>
        <v>32000</v>
      </c>
      <c r="X33" s="7">
        <f>IF(主角经验!BA34="","",主角经验!$B34*主角经验!BA34)</f>
        <v>64000</v>
      </c>
      <c r="Y33" s="7">
        <f>IF(主角经验!BB34="","",主角经验!$B34*主角经验!BB34)</f>
        <v>0</v>
      </c>
      <c r="Z33" s="7">
        <f>IF(主角经验!BC34="","",主角经验!$B34*主角经验!BC34)</f>
        <v>0</v>
      </c>
      <c r="AA33" s="7">
        <f>IF(主角经验!BD34="","",主角经验!$B34*主角经验!BD34)</f>
        <v>0</v>
      </c>
      <c r="AB33" s="7" t="str">
        <f>IF(主角经验!BE34="","",主角经验!$B34*主角经验!BE34)</f>
        <v/>
      </c>
      <c r="AC33" s="7" t="str">
        <f>IF(主角经验!BF34="","",主角经验!$B34*主角经验!BF34)</f>
        <v/>
      </c>
      <c r="AD33" s="7" t="str">
        <f>IF(主角经验!BG34="","",主角经验!$B34*主角经验!BG34)</f>
        <v/>
      </c>
      <c r="AE33" s="7" t="str">
        <f>IF(主角经验!BH34="","",主角经验!$B34*主角经验!BH34)</f>
        <v/>
      </c>
      <c r="AF33" s="7">
        <f>主角经验!BK34</f>
        <v>66600</v>
      </c>
      <c r="AG33" s="7">
        <f>主角经验!BO34</f>
        <v>142</v>
      </c>
    </row>
    <row r="34" spans="1:33">
      <c r="A34" s="32">
        <v>33</v>
      </c>
      <c r="B34" s="81">
        <f>主角经验!B35</f>
        <v>13200</v>
      </c>
      <c r="C34" s="7">
        <f>IF(主角经验!AF35="","",主角经验!$B35*主角经验!AF35)</f>
        <v>220044.00000000003</v>
      </c>
      <c r="D34" s="7">
        <f>IF(主角经验!AG35="","",主角经验!$B35*主角经验!AG35)</f>
        <v>87120</v>
      </c>
      <c r="E34" s="7">
        <f>IF(主角经验!AH35="","",主角经验!$B35*主角经验!AH35)</f>
        <v>33000</v>
      </c>
      <c r="F34" s="7">
        <f>IF(主角经验!AI35="","",主角经验!$B35*主角经验!AI35)</f>
        <v>0</v>
      </c>
      <c r="G34" s="7" t="str">
        <f>IF(主角经验!AJ35="","",主角经验!$B35*主角经验!AJ35)</f>
        <v/>
      </c>
      <c r="H34" s="7" t="str">
        <f>IF(主角经验!AK35="","",主角经验!$B35*主角经验!AK35)</f>
        <v/>
      </c>
      <c r="I34" s="7" t="str">
        <f>IF(主角经验!AL35="","",主角经验!$B35*主角经验!AL35)</f>
        <v/>
      </c>
      <c r="J34" s="7" t="str">
        <f>IF(主角经验!AM35="","",主角经验!$B35*主角经验!AM35)</f>
        <v/>
      </c>
      <c r="K34" s="7">
        <f>IF(主角经验!AN35="","",主角经验!$B35*主角经验!AN35)</f>
        <v>132000</v>
      </c>
      <c r="L34" s="7">
        <f>IF(主角经验!AO35="","",主角经验!$B35*主角经验!AO35)</f>
        <v>0</v>
      </c>
      <c r="M34" s="7">
        <f>IF(主角经验!AP35="","",主角经验!$B35*主角经验!AP35)</f>
        <v>0</v>
      </c>
      <c r="N34" s="7">
        <f>IF(主角经验!AQ35="","",主角经验!$B35*主角经验!AQ35)</f>
        <v>158400</v>
      </c>
      <c r="O34" s="7">
        <f>IF(主角经验!AR35="","",主角经验!$B35*主角经验!AR35)</f>
        <v>165000</v>
      </c>
      <c r="P34" s="7">
        <f>IF(主角经验!AS35="","",主角经验!$B35*主角经验!AS35)</f>
        <v>10956</v>
      </c>
      <c r="Q34" s="7">
        <f>IF(主角经验!AT35="","",主角经验!$B35*主角经验!AT35)</f>
        <v>686400</v>
      </c>
      <c r="R34" s="7">
        <f>IF(主角经验!AU35="","",主角经验!$B35*主角经验!AU35)</f>
        <v>79200</v>
      </c>
      <c r="S34" s="7">
        <f>IF(主角经验!AV35="","",主角经验!$B35*主角经验!AV35)</f>
        <v>88044</v>
      </c>
      <c r="T34" s="7">
        <f>IF(主角经验!AW35="","",主角经验!$B35*主角经验!AW35)</f>
        <v>0</v>
      </c>
      <c r="U34" s="7">
        <f>IF(主角经验!AX35="","",主角经验!$B35*主角经验!AX35)</f>
        <v>0</v>
      </c>
      <c r="V34" s="7">
        <f>IF(主角经验!AY35="","",主角经验!$B35*主角经验!AY35)</f>
        <v>88044</v>
      </c>
      <c r="W34" s="7">
        <f>IF(主角经验!AZ35="","",主角经验!$B35*主角经验!AZ35)</f>
        <v>33000</v>
      </c>
      <c r="X34" s="7">
        <f>IF(主角经验!BA35="","",主角经验!$B35*主角经验!BA35)</f>
        <v>66000</v>
      </c>
      <c r="Y34" s="7">
        <f>IF(主角经验!BB35="","",主角经验!$B35*主角经验!BB35)</f>
        <v>0</v>
      </c>
      <c r="Z34" s="7">
        <f>IF(主角经验!BC35="","",主角经验!$B35*主角经验!BC35)</f>
        <v>0</v>
      </c>
      <c r="AA34" s="7">
        <f>IF(主角经验!BD35="","",主角经验!$B35*主角经验!BD35)</f>
        <v>0</v>
      </c>
      <c r="AB34" s="7" t="str">
        <f>IF(主角经验!BE35="","",主角经验!$B35*主角经验!BE35)</f>
        <v/>
      </c>
      <c r="AC34" s="7" t="str">
        <f>IF(主角经验!BF35="","",主角经验!$B35*主角经验!BF35)</f>
        <v/>
      </c>
      <c r="AD34" s="7" t="str">
        <f>IF(主角经验!BG35="","",主角经验!$B35*主角经验!BG35)</f>
        <v/>
      </c>
      <c r="AE34" s="7" t="str">
        <f>IF(主角经验!BH35="","",主角经验!$B35*主角经验!BH35)</f>
        <v/>
      </c>
      <c r="AF34" s="7">
        <f>主角经验!BK35</f>
        <v>76600</v>
      </c>
      <c r="AG34" s="7">
        <f>主角经验!BO35</f>
        <v>147</v>
      </c>
    </row>
    <row r="35" spans="1:33">
      <c r="A35" s="32">
        <v>34</v>
      </c>
      <c r="B35" s="81">
        <f>主角经验!B36</f>
        <v>13600</v>
      </c>
      <c r="C35" s="7">
        <f>IF(主角经验!AF36="","",主角经验!$B36*主角经验!AF36)</f>
        <v>226712.00000000003</v>
      </c>
      <c r="D35" s="7">
        <f>IF(主角经验!AG36="","",主角经验!$B36*主角经验!AG36)</f>
        <v>89760</v>
      </c>
      <c r="E35" s="7">
        <f>IF(主角经验!AH36="","",主角经验!$B36*主角经验!AH36)</f>
        <v>34000</v>
      </c>
      <c r="F35" s="7">
        <f>IF(主角经验!AI36="","",主角经验!$B36*主角经验!AI36)</f>
        <v>0</v>
      </c>
      <c r="G35" s="7" t="str">
        <f>IF(主角经验!AJ36="","",主角经验!$B36*主角经验!AJ36)</f>
        <v/>
      </c>
      <c r="H35" s="7" t="str">
        <f>IF(主角经验!AK36="","",主角经验!$B36*主角经验!AK36)</f>
        <v/>
      </c>
      <c r="I35" s="7" t="str">
        <f>IF(主角经验!AL36="","",主角经验!$B36*主角经验!AL36)</f>
        <v/>
      </c>
      <c r="J35" s="7" t="str">
        <f>IF(主角经验!AM36="","",主角经验!$B36*主角经验!AM36)</f>
        <v/>
      </c>
      <c r="K35" s="7">
        <f>IF(主角经验!AN36="","",主角经验!$B36*主角经验!AN36)</f>
        <v>136000</v>
      </c>
      <c r="L35" s="7">
        <f>IF(主角经验!AO36="","",主角经验!$B36*主角经验!AO36)</f>
        <v>0</v>
      </c>
      <c r="M35" s="7">
        <f>IF(主角经验!AP36="","",主角经验!$B36*主角经验!AP36)</f>
        <v>0</v>
      </c>
      <c r="N35" s="7">
        <f>IF(主角经验!AQ36="","",主角经验!$B36*主角经验!AQ36)</f>
        <v>163200</v>
      </c>
      <c r="O35" s="7">
        <f>IF(主角经验!AR36="","",主角经验!$B36*主角经验!AR36)</f>
        <v>170000</v>
      </c>
      <c r="P35" s="7">
        <f>IF(主角经验!AS36="","",主角经验!$B36*主角经验!AS36)</f>
        <v>11288</v>
      </c>
      <c r="Q35" s="7">
        <f>IF(主角经验!AT36="","",主角经验!$B36*主角经验!AT36)</f>
        <v>707200</v>
      </c>
      <c r="R35" s="7">
        <f>IF(主角经验!AU36="","",主角经验!$B36*主角经验!AU36)</f>
        <v>81600</v>
      </c>
      <c r="S35" s="7">
        <f>IF(主角经验!AV36="","",主角经验!$B36*主角经验!AV36)</f>
        <v>90712</v>
      </c>
      <c r="T35" s="7">
        <f>IF(主角经验!AW36="","",主角经验!$B36*主角经验!AW36)</f>
        <v>0</v>
      </c>
      <c r="U35" s="7">
        <f>IF(主角经验!AX36="","",主角经验!$B36*主角经验!AX36)</f>
        <v>0</v>
      </c>
      <c r="V35" s="7">
        <f>IF(主角经验!AY36="","",主角经验!$B36*主角经验!AY36)</f>
        <v>90712</v>
      </c>
      <c r="W35" s="7">
        <f>IF(主角经验!AZ36="","",主角经验!$B36*主角经验!AZ36)</f>
        <v>34000</v>
      </c>
      <c r="X35" s="7">
        <f>IF(主角经验!BA36="","",主角经验!$B36*主角经验!BA36)</f>
        <v>68000</v>
      </c>
      <c r="Y35" s="7">
        <f>IF(主角经验!BB36="","",主角经验!$B36*主角经验!BB36)</f>
        <v>0</v>
      </c>
      <c r="Z35" s="7">
        <f>IF(主角经验!BC36="","",主角经验!$B36*主角经验!BC36)</f>
        <v>0</v>
      </c>
      <c r="AA35" s="7">
        <f>IF(主角经验!BD36="","",主角经验!$B36*主角经验!BD36)</f>
        <v>0</v>
      </c>
      <c r="AB35" s="7" t="str">
        <f>IF(主角经验!BE36="","",主角经验!$B36*主角经验!BE36)</f>
        <v/>
      </c>
      <c r="AC35" s="7" t="str">
        <f>IF(主角经验!BF36="","",主角经验!$B36*主角经验!BF36)</f>
        <v/>
      </c>
      <c r="AD35" s="7" t="str">
        <f>IF(主角经验!BG36="","",主角经验!$B36*主角经验!BG36)</f>
        <v/>
      </c>
      <c r="AE35" s="7" t="str">
        <f>IF(主角经验!BH36="","",主角经验!$B36*主角经验!BH36)</f>
        <v/>
      </c>
      <c r="AF35" s="7">
        <f>主角经验!BK36</f>
        <v>87000</v>
      </c>
      <c r="AG35" s="7">
        <f>主角经验!BO36</f>
        <v>151</v>
      </c>
    </row>
    <row r="36" spans="1:33">
      <c r="A36" s="32">
        <v>35</v>
      </c>
      <c r="B36" s="81">
        <f>主角经验!B37</f>
        <v>14000</v>
      </c>
      <c r="C36" s="7">
        <f>IF(主角经验!AF37="","",主角经验!$B37*主角经验!AF37)</f>
        <v>233380.00000000003</v>
      </c>
      <c r="D36" s="7">
        <f>IF(主角经验!AG37="","",主角经验!$B37*主角经验!AG37)</f>
        <v>92400</v>
      </c>
      <c r="E36" s="7">
        <f>IF(主角经验!AH37="","",主角经验!$B37*主角经验!AH37)</f>
        <v>35000</v>
      </c>
      <c r="F36" s="7">
        <f>IF(主角经验!AI37="","",主角经验!$B37*主角经验!AI37)</f>
        <v>0</v>
      </c>
      <c r="G36" s="7" t="str">
        <f>IF(主角经验!AJ37="","",主角经验!$B37*主角经验!AJ37)</f>
        <v/>
      </c>
      <c r="H36" s="7" t="str">
        <f>IF(主角经验!AK37="","",主角经验!$B37*主角经验!AK37)</f>
        <v/>
      </c>
      <c r="I36" s="7" t="str">
        <f>IF(主角经验!AL37="","",主角经验!$B37*主角经验!AL37)</f>
        <v/>
      </c>
      <c r="J36" s="7" t="str">
        <f>IF(主角经验!AM37="","",主角经验!$B37*主角经验!AM37)</f>
        <v/>
      </c>
      <c r="K36" s="7">
        <f>IF(主角经验!AN37="","",主角经验!$B37*主角经验!AN37)</f>
        <v>140000</v>
      </c>
      <c r="L36" s="7">
        <f>IF(主角经验!AO37="","",主角经验!$B37*主角经验!AO37)</f>
        <v>46620</v>
      </c>
      <c r="M36" s="7">
        <f>IF(主角经验!AP37="","",主角经验!$B37*主角经验!AP37)</f>
        <v>0</v>
      </c>
      <c r="N36" s="7">
        <f>IF(主角经验!AQ37="","",主角经验!$B37*主角经验!AQ37)</f>
        <v>168000</v>
      </c>
      <c r="O36" s="7">
        <f>IF(主角经验!AR37="","",主角经验!$B37*主角经验!AR37)</f>
        <v>175000</v>
      </c>
      <c r="P36" s="7">
        <f>IF(主角经验!AS37="","",主角经验!$B37*主角经验!AS37)</f>
        <v>11620</v>
      </c>
      <c r="Q36" s="7">
        <f>IF(主角经验!AT37="","",主角经验!$B37*主角经验!AT37)</f>
        <v>728000</v>
      </c>
      <c r="R36" s="7">
        <f>IF(主角经验!AU37="","",主角经验!$B37*主角经验!AU37)</f>
        <v>84000</v>
      </c>
      <c r="S36" s="7">
        <f>IF(主角经验!AV37="","",主角经验!$B37*主角经验!AV37)</f>
        <v>93380</v>
      </c>
      <c r="T36" s="7">
        <f>IF(主角经验!AW37="","",主角经验!$B37*主角经验!AW37)</f>
        <v>105000</v>
      </c>
      <c r="U36" s="7">
        <f>IF(主角经验!AX37="","",主角经验!$B37*主角经验!AX37)</f>
        <v>0</v>
      </c>
      <c r="V36" s="7">
        <f>IF(主角经验!AY37="","",主角经验!$B37*主角经验!AY37)</f>
        <v>93380</v>
      </c>
      <c r="W36" s="7">
        <f>IF(主角经验!AZ37="","",主角经验!$B37*主角经验!AZ37)</f>
        <v>35000</v>
      </c>
      <c r="X36" s="7">
        <f>IF(主角经验!BA37="","",主角经验!$B37*主角经验!BA37)</f>
        <v>70000</v>
      </c>
      <c r="Y36" s="7">
        <f>IF(主角经验!BB37="","",主角经验!$B37*主角经验!BB37)</f>
        <v>0</v>
      </c>
      <c r="Z36" s="7">
        <f>IF(主角经验!BC37="","",主角经验!$B37*主角经验!BC37)</f>
        <v>0</v>
      </c>
      <c r="AA36" s="7">
        <f>IF(主角经验!BD37="","",主角经验!$B37*主角经验!BD37)</f>
        <v>0</v>
      </c>
      <c r="AB36" s="7" t="str">
        <f>IF(主角经验!BE37="","",主角经验!$B37*主角经验!BE37)</f>
        <v/>
      </c>
      <c r="AC36" s="7" t="str">
        <f>IF(主角经验!BF37="","",主角经验!$B37*主角经验!BF37)</f>
        <v/>
      </c>
      <c r="AD36" s="7" t="str">
        <f>IF(主角经验!BG37="","",主角经验!$B37*主角经验!BG37)</f>
        <v/>
      </c>
      <c r="AE36" s="7" t="str">
        <f>IF(主角经验!BH37="","",主角经验!$B37*主角经验!BH37)</f>
        <v/>
      </c>
      <c r="AF36" s="7">
        <f>主角经验!BK37</f>
        <v>98000</v>
      </c>
      <c r="AG36" s="7">
        <f>主角经验!BO37</f>
        <v>156</v>
      </c>
    </row>
    <row r="37" spans="1:33">
      <c r="A37" s="32">
        <v>36</v>
      </c>
      <c r="B37" s="81">
        <f>主角经验!B38</f>
        <v>14400</v>
      </c>
      <c r="C37" s="7">
        <f>IF(主角经验!AF38="","",主角经验!$B38*主角经验!AF38)</f>
        <v>240048.00000000003</v>
      </c>
      <c r="D37" s="7">
        <f>IF(主角经验!AG38="","",主角经验!$B38*主角经验!AG38)</f>
        <v>95040</v>
      </c>
      <c r="E37" s="7">
        <f>IF(主角经验!AH38="","",主角经验!$B38*主角经验!AH38)</f>
        <v>36000</v>
      </c>
      <c r="F37" s="7">
        <f>IF(主角经验!AI38="","",主角经验!$B38*主角经验!AI38)</f>
        <v>0</v>
      </c>
      <c r="G37" s="7" t="str">
        <f>IF(主角经验!AJ38="","",主角经验!$B38*主角经验!AJ38)</f>
        <v/>
      </c>
      <c r="H37" s="7" t="str">
        <f>IF(主角经验!AK38="","",主角经验!$B38*主角经验!AK38)</f>
        <v/>
      </c>
      <c r="I37" s="7" t="str">
        <f>IF(主角经验!AL38="","",主角经验!$B38*主角经验!AL38)</f>
        <v/>
      </c>
      <c r="J37" s="7" t="str">
        <f>IF(主角经验!AM38="","",主角经验!$B38*主角经验!AM38)</f>
        <v/>
      </c>
      <c r="K37" s="7">
        <f>IF(主角经验!AN38="","",主角经验!$B38*主角经验!AN38)</f>
        <v>144000</v>
      </c>
      <c r="L37" s="7">
        <f>IF(主角经验!AO38="","",主角经验!$B38*主角经验!AO38)</f>
        <v>47952</v>
      </c>
      <c r="M37" s="7">
        <f>IF(主角经验!AP38="","",主角经验!$B38*主角经验!AP38)</f>
        <v>0</v>
      </c>
      <c r="N37" s="7">
        <f>IF(主角经验!AQ38="","",主角经验!$B38*主角经验!AQ38)</f>
        <v>172800</v>
      </c>
      <c r="O37" s="7">
        <f>IF(主角经验!AR38="","",主角经验!$B38*主角经验!AR38)</f>
        <v>180000</v>
      </c>
      <c r="P37" s="7">
        <f>IF(主角经验!AS38="","",主角经验!$B38*主角经验!AS38)</f>
        <v>11952</v>
      </c>
      <c r="Q37" s="7">
        <f>IF(主角经验!AT38="","",主角经验!$B38*主角经验!AT38)</f>
        <v>748800</v>
      </c>
      <c r="R37" s="7">
        <f>IF(主角经验!AU38="","",主角经验!$B38*主角经验!AU38)</f>
        <v>86400</v>
      </c>
      <c r="S37" s="7">
        <f>IF(主角经验!AV38="","",主角经验!$B38*主角经验!AV38)</f>
        <v>96048</v>
      </c>
      <c r="T37" s="7">
        <f>IF(主角经验!AW38="","",主角经验!$B38*主角经验!AW38)</f>
        <v>108000</v>
      </c>
      <c r="U37" s="7">
        <f>IF(主角经验!AX38="","",主角经验!$B38*主角经验!AX38)</f>
        <v>0</v>
      </c>
      <c r="V37" s="7">
        <f>IF(主角经验!AY38="","",主角经验!$B38*主角经验!AY38)</f>
        <v>96048</v>
      </c>
      <c r="W37" s="7">
        <f>IF(主角经验!AZ38="","",主角经验!$B38*主角经验!AZ38)</f>
        <v>36000</v>
      </c>
      <c r="X37" s="7">
        <f>IF(主角经验!BA38="","",主角经验!$B38*主角经验!BA38)</f>
        <v>72000</v>
      </c>
      <c r="Y37" s="7">
        <f>IF(主角经验!BB38="","",主角经验!$B38*主角经验!BB38)</f>
        <v>0</v>
      </c>
      <c r="Z37" s="7">
        <f>IF(主角经验!BC38="","",主角经验!$B38*主角经验!BC38)</f>
        <v>0</v>
      </c>
      <c r="AA37" s="7">
        <f>IF(主角经验!BD38="","",主角经验!$B38*主角经验!BD38)</f>
        <v>0</v>
      </c>
      <c r="AB37" s="7" t="str">
        <f>IF(主角经验!BE38="","",主角经验!$B38*主角经验!BE38)</f>
        <v/>
      </c>
      <c r="AC37" s="7" t="str">
        <f>IF(主角经验!BF38="","",主角经验!$B38*主角经验!BF38)</f>
        <v/>
      </c>
      <c r="AD37" s="7" t="str">
        <f>IF(主角经验!BG38="","",主角经验!$B38*主角经验!BG38)</f>
        <v/>
      </c>
      <c r="AE37" s="7" t="str">
        <f>IF(主角经验!BH38="","",主角经验!$B38*主角经验!BH38)</f>
        <v/>
      </c>
      <c r="AF37" s="7">
        <f>主角经验!BK38</f>
        <v>109400</v>
      </c>
      <c r="AG37" s="7">
        <f>主角经验!BO38</f>
        <v>160</v>
      </c>
    </row>
    <row r="38" spans="1:33">
      <c r="A38" s="32">
        <v>37</v>
      </c>
      <c r="B38" s="81">
        <f>主角经验!B39</f>
        <v>14800</v>
      </c>
      <c r="C38" s="7">
        <f>IF(主角经验!AF39="","",主角经验!$B39*主角经验!AF39)</f>
        <v>246716.00000000003</v>
      </c>
      <c r="D38" s="7">
        <f>IF(主角经验!AG39="","",主角经验!$B39*主角经验!AG39)</f>
        <v>97680</v>
      </c>
      <c r="E38" s="7">
        <f>IF(主角经验!AH39="","",主角经验!$B39*主角经验!AH39)</f>
        <v>37000</v>
      </c>
      <c r="F38" s="7">
        <f>IF(主角经验!AI39="","",主角经验!$B39*主角经验!AI39)</f>
        <v>0</v>
      </c>
      <c r="G38" s="7" t="str">
        <f>IF(主角经验!AJ39="","",主角经验!$B39*主角经验!AJ39)</f>
        <v/>
      </c>
      <c r="H38" s="7" t="str">
        <f>IF(主角经验!AK39="","",主角经验!$B39*主角经验!AK39)</f>
        <v/>
      </c>
      <c r="I38" s="7" t="str">
        <f>IF(主角经验!AL39="","",主角经验!$B39*主角经验!AL39)</f>
        <v/>
      </c>
      <c r="J38" s="7" t="str">
        <f>IF(主角经验!AM39="","",主角经验!$B39*主角经验!AM39)</f>
        <v/>
      </c>
      <c r="K38" s="7">
        <f>IF(主角经验!AN39="","",主角经验!$B39*主角经验!AN39)</f>
        <v>148000</v>
      </c>
      <c r="L38" s="7">
        <f>IF(主角经验!AO39="","",主角经验!$B39*主角经验!AO39)</f>
        <v>49284</v>
      </c>
      <c r="M38" s="7">
        <f>IF(主角经验!AP39="","",主角经验!$B39*主角经验!AP39)</f>
        <v>0</v>
      </c>
      <c r="N38" s="7">
        <f>IF(主角经验!AQ39="","",主角经验!$B39*主角经验!AQ39)</f>
        <v>177600</v>
      </c>
      <c r="O38" s="7">
        <f>IF(主角经验!AR39="","",主角经验!$B39*主角经验!AR39)</f>
        <v>185000</v>
      </c>
      <c r="P38" s="7">
        <f>IF(主角经验!AS39="","",主角经验!$B39*主角经验!AS39)</f>
        <v>12284</v>
      </c>
      <c r="Q38" s="7">
        <f>IF(主角经验!AT39="","",主角经验!$B39*主角经验!AT39)</f>
        <v>769600</v>
      </c>
      <c r="R38" s="7">
        <f>IF(主角经验!AU39="","",主角经验!$B39*主角经验!AU39)</f>
        <v>88800</v>
      </c>
      <c r="S38" s="7">
        <f>IF(主角经验!AV39="","",主角经验!$B39*主角经验!AV39)</f>
        <v>98716</v>
      </c>
      <c r="T38" s="7">
        <f>IF(主角经验!AW39="","",主角经验!$B39*主角经验!AW39)</f>
        <v>111000</v>
      </c>
      <c r="U38" s="7">
        <f>IF(主角经验!AX39="","",主角经验!$B39*主角经验!AX39)</f>
        <v>0</v>
      </c>
      <c r="V38" s="7">
        <f>IF(主角经验!AY39="","",主角经验!$B39*主角经验!AY39)</f>
        <v>98716</v>
      </c>
      <c r="W38" s="7">
        <f>IF(主角经验!AZ39="","",主角经验!$B39*主角经验!AZ39)</f>
        <v>37000</v>
      </c>
      <c r="X38" s="7">
        <f>IF(主角经验!BA39="","",主角经验!$B39*主角经验!BA39)</f>
        <v>74000</v>
      </c>
      <c r="Y38" s="7">
        <f>IF(主角经验!BB39="","",主角经验!$B39*主角经验!BB39)</f>
        <v>0</v>
      </c>
      <c r="Z38" s="7">
        <f>IF(主角经验!BC39="","",主角经验!$B39*主角经验!BC39)</f>
        <v>0</v>
      </c>
      <c r="AA38" s="7">
        <f>IF(主角经验!BD39="","",主角经验!$B39*主角经验!BD39)</f>
        <v>0</v>
      </c>
      <c r="AB38" s="7" t="str">
        <f>IF(主角经验!BE39="","",主角经验!$B39*主角经验!BE39)</f>
        <v/>
      </c>
      <c r="AC38" s="7" t="str">
        <f>IF(主角经验!BF39="","",主角经验!$B39*主角经验!BF39)</f>
        <v/>
      </c>
      <c r="AD38" s="7" t="str">
        <f>IF(主角经验!BG39="","",主角经验!$B39*主角经验!BG39)</f>
        <v/>
      </c>
      <c r="AE38" s="7" t="str">
        <f>IF(主角经验!BH39="","",主角经验!$B39*主角经验!BH39)</f>
        <v/>
      </c>
      <c r="AF38" s="7">
        <f>主角经验!BK39</f>
        <v>121400</v>
      </c>
      <c r="AG38" s="7">
        <f>主角经验!BO39</f>
        <v>164</v>
      </c>
    </row>
    <row r="39" spans="1:33">
      <c r="A39" s="32">
        <v>38</v>
      </c>
      <c r="B39" s="81">
        <f>主角经验!B40</f>
        <v>15200</v>
      </c>
      <c r="C39" s="7">
        <f>IF(主角经验!AF40="","",主角经验!$B40*主角经验!AF40)</f>
        <v>253384.00000000003</v>
      </c>
      <c r="D39" s="7">
        <f>IF(主角经验!AG40="","",主角经验!$B40*主角经验!AG40)</f>
        <v>100320</v>
      </c>
      <c r="E39" s="7">
        <f>IF(主角经验!AH40="","",主角经验!$B40*主角经验!AH40)</f>
        <v>38000</v>
      </c>
      <c r="F39" s="7">
        <f>IF(主角经验!AI40="","",主角经验!$B40*主角经验!AI40)</f>
        <v>0</v>
      </c>
      <c r="G39" s="7" t="str">
        <f>IF(主角经验!AJ40="","",主角经验!$B40*主角经验!AJ40)</f>
        <v/>
      </c>
      <c r="H39" s="7" t="str">
        <f>IF(主角经验!AK40="","",主角经验!$B40*主角经验!AK40)</f>
        <v/>
      </c>
      <c r="I39" s="7" t="str">
        <f>IF(主角经验!AL40="","",主角经验!$B40*主角经验!AL40)</f>
        <v/>
      </c>
      <c r="J39" s="7" t="str">
        <f>IF(主角经验!AM40="","",主角经验!$B40*主角经验!AM40)</f>
        <v/>
      </c>
      <c r="K39" s="7">
        <f>IF(主角经验!AN40="","",主角经验!$B40*主角经验!AN40)</f>
        <v>152000</v>
      </c>
      <c r="L39" s="7">
        <f>IF(主角经验!AO40="","",主角经验!$B40*主角经验!AO40)</f>
        <v>50616</v>
      </c>
      <c r="M39" s="7">
        <f>IF(主角经验!AP40="","",主角经验!$B40*主角经验!AP40)</f>
        <v>0</v>
      </c>
      <c r="N39" s="7">
        <f>IF(主角经验!AQ40="","",主角经验!$B40*主角经验!AQ40)</f>
        <v>182400</v>
      </c>
      <c r="O39" s="7">
        <f>IF(主角经验!AR40="","",主角经验!$B40*主角经验!AR40)</f>
        <v>190000</v>
      </c>
      <c r="P39" s="7">
        <f>IF(主角经验!AS40="","",主角经验!$B40*主角经验!AS40)</f>
        <v>12616</v>
      </c>
      <c r="Q39" s="7">
        <f>IF(主角经验!AT40="","",主角经验!$B40*主角经验!AT40)</f>
        <v>790400</v>
      </c>
      <c r="R39" s="7">
        <f>IF(主角经验!AU40="","",主角经验!$B40*主角经验!AU40)</f>
        <v>91200</v>
      </c>
      <c r="S39" s="7">
        <f>IF(主角经验!AV40="","",主角经验!$B40*主角经验!AV40)</f>
        <v>101384</v>
      </c>
      <c r="T39" s="7">
        <f>IF(主角经验!AW40="","",主角经验!$B40*主角经验!AW40)</f>
        <v>114000</v>
      </c>
      <c r="U39" s="7">
        <f>IF(主角经验!AX40="","",主角经验!$B40*主角经验!AX40)</f>
        <v>0</v>
      </c>
      <c r="V39" s="7">
        <f>IF(主角经验!AY40="","",主角经验!$B40*主角经验!AY40)</f>
        <v>101384</v>
      </c>
      <c r="W39" s="7">
        <f>IF(主角经验!AZ40="","",主角经验!$B40*主角经验!AZ40)</f>
        <v>38000</v>
      </c>
      <c r="X39" s="7">
        <f>IF(主角经验!BA40="","",主角经验!$B40*主角经验!BA40)</f>
        <v>76000</v>
      </c>
      <c r="Y39" s="7">
        <f>IF(主角经验!BB40="","",主角经验!$B40*主角经验!BB40)</f>
        <v>0</v>
      </c>
      <c r="Z39" s="7">
        <f>IF(主角经验!BC40="","",主角经验!$B40*主角经验!BC40)</f>
        <v>0</v>
      </c>
      <c r="AA39" s="7">
        <f>IF(主角经验!BD40="","",主角经验!$B40*主角经验!BD40)</f>
        <v>0</v>
      </c>
      <c r="AB39" s="7" t="str">
        <f>IF(主角经验!BE40="","",主角经验!$B40*主角经验!BE40)</f>
        <v/>
      </c>
      <c r="AC39" s="7" t="str">
        <f>IF(主角经验!BF40="","",主角经验!$B40*主角经验!BF40)</f>
        <v/>
      </c>
      <c r="AD39" s="7" t="str">
        <f>IF(主角经验!BG40="","",主角经验!$B40*主角经验!BG40)</f>
        <v/>
      </c>
      <c r="AE39" s="7" t="str">
        <f>IF(主角经验!BH40="","",主角经验!$B40*主角经验!BH40)</f>
        <v/>
      </c>
      <c r="AF39" s="7">
        <f>主角经验!BK40</f>
        <v>133800</v>
      </c>
      <c r="AG39" s="7">
        <f>主角经验!BO40</f>
        <v>169</v>
      </c>
    </row>
    <row r="40" spans="1:33">
      <c r="A40" s="32">
        <v>39</v>
      </c>
      <c r="B40" s="81">
        <f>主角经验!B41</f>
        <v>15600</v>
      </c>
      <c r="C40" s="7">
        <f>IF(主角经验!AF41="","",主角经验!$B41*主角经验!AF41)</f>
        <v>260052.00000000003</v>
      </c>
      <c r="D40" s="7">
        <f>IF(主角经验!AG41="","",主角经验!$B41*主角经验!AG41)</f>
        <v>102960</v>
      </c>
      <c r="E40" s="7">
        <f>IF(主角经验!AH41="","",主角经验!$B41*主角经验!AH41)</f>
        <v>39000</v>
      </c>
      <c r="F40" s="7">
        <f>IF(主角经验!AI41="","",主角经验!$B41*主角经验!AI41)</f>
        <v>0</v>
      </c>
      <c r="G40" s="7" t="str">
        <f>IF(主角经验!AJ41="","",主角经验!$B41*主角经验!AJ41)</f>
        <v/>
      </c>
      <c r="H40" s="7" t="str">
        <f>IF(主角经验!AK41="","",主角经验!$B41*主角经验!AK41)</f>
        <v/>
      </c>
      <c r="I40" s="7" t="str">
        <f>IF(主角经验!AL41="","",主角经验!$B41*主角经验!AL41)</f>
        <v/>
      </c>
      <c r="J40" s="7" t="str">
        <f>IF(主角经验!AM41="","",主角经验!$B41*主角经验!AM41)</f>
        <v/>
      </c>
      <c r="K40" s="7">
        <f>IF(主角经验!AN41="","",主角经验!$B41*主角经验!AN41)</f>
        <v>156000</v>
      </c>
      <c r="L40" s="7">
        <f>IF(主角经验!AO41="","",主角经验!$B41*主角经验!AO41)</f>
        <v>51948</v>
      </c>
      <c r="M40" s="7">
        <f>IF(主角经验!AP41="","",主角经验!$B41*主角经验!AP41)</f>
        <v>0</v>
      </c>
      <c r="N40" s="7">
        <f>IF(主角经验!AQ41="","",主角经验!$B41*主角经验!AQ41)</f>
        <v>187200</v>
      </c>
      <c r="O40" s="7">
        <f>IF(主角经验!AR41="","",主角经验!$B41*主角经验!AR41)</f>
        <v>195000</v>
      </c>
      <c r="P40" s="7">
        <f>IF(主角经验!AS41="","",主角经验!$B41*主角经验!AS41)</f>
        <v>12948</v>
      </c>
      <c r="Q40" s="7">
        <f>IF(主角经验!AT41="","",主角经验!$B41*主角经验!AT41)</f>
        <v>811200</v>
      </c>
      <c r="R40" s="7">
        <f>IF(主角经验!AU41="","",主角经验!$B41*主角经验!AU41)</f>
        <v>93600</v>
      </c>
      <c r="S40" s="7">
        <f>IF(主角经验!AV41="","",主角经验!$B41*主角经验!AV41)</f>
        <v>104052</v>
      </c>
      <c r="T40" s="7">
        <f>IF(主角经验!AW41="","",主角经验!$B41*主角经验!AW41)</f>
        <v>117000</v>
      </c>
      <c r="U40" s="7">
        <f>IF(主角经验!AX41="","",主角经验!$B41*主角经验!AX41)</f>
        <v>0</v>
      </c>
      <c r="V40" s="7">
        <f>IF(主角经验!AY41="","",主角经验!$B41*主角经验!AY41)</f>
        <v>104052</v>
      </c>
      <c r="W40" s="7">
        <f>IF(主角经验!AZ41="","",主角经验!$B41*主角经验!AZ41)</f>
        <v>39000</v>
      </c>
      <c r="X40" s="7">
        <f>IF(主角经验!BA41="","",主角经验!$B41*主角经验!BA41)</f>
        <v>78000</v>
      </c>
      <c r="Y40" s="7">
        <f>IF(主角经验!BB41="","",主角经验!$B41*主角经验!BB41)</f>
        <v>0</v>
      </c>
      <c r="Z40" s="7">
        <f>IF(主角经验!BC41="","",主角经验!$B41*主角经验!BC41)</f>
        <v>0</v>
      </c>
      <c r="AA40" s="7">
        <f>IF(主角经验!BD41="","",主角经验!$B41*主角经验!BD41)</f>
        <v>0</v>
      </c>
      <c r="AB40" s="7" t="str">
        <f>IF(主角经验!BE41="","",主角经验!$B41*主角经验!BE41)</f>
        <v/>
      </c>
      <c r="AC40" s="7" t="str">
        <f>IF(主角经验!BF41="","",主角经验!$B41*主角经验!BF41)</f>
        <v/>
      </c>
      <c r="AD40" s="7" t="str">
        <f>IF(主角经验!BG41="","",主角经验!$B41*主角经验!BG41)</f>
        <v/>
      </c>
      <c r="AE40" s="7" t="str">
        <f>IF(主角经验!BH41="","",主角经验!$B41*主角经验!BH41)</f>
        <v/>
      </c>
      <c r="AF40" s="7">
        <f>主角经验!BK41</f>
        <v>146600</v>
      </c>
      <c r="AG40" s="7">
        <f>主角经验!BO41</f>
        <v>173</v>
      </c>
    </row>
    <row r="41" spans="1:33">
      <c r="A41" s="32">
        <v>40</v>
      </c>
      <c r="B41" s="81">
        <f>主角经验!B42</f>
        <v>16000</v>
      </c>
      <c r="C41" s="7">
        <f>IF(主角经验!AF42="","",主角经验!$B42*主角经验!AF42)</f>
        <v>266720</v>
      </c>
      <c r="D41" s="7">
        <f>IF(主角经验!AG42="","",主角经验!$B42*主角经验!AG42)</f>
        <v>105600</v>
      </c>
      <c r="E41" s="7">
        <f>IF(主角经验!AH42="","",主角经验!$B42*主角经验!AH42)</f>
        <v>40000</v>
      </c>
      <c r="F41" s="7">
        <f>IF(主角经验!AI42="","",主角经验!$B42*主角经验!AI42)</f>
        <v>240000</v>
      </c>
      <c r="G41" s="7" t="str">
        <f>IF(主角经验!AJ42="","",主角经验!$B42*主角经验!AJ42)</f>
        <v/>
      </c>
      <c r="H41" s="7" t="str">
        <f>IF(主角经验!AK42="","",主角经验!$B42*主角经验!AK42)</f>
        <v/>
      </c>
      <c r="I41" s="7" t="str">
        <f>IF(主角经验!AL42="","",主角经验!$B42*主角经验!AL42)</f>
        <v/>
      </c>
      <c r="J41" s="7" t="str">
        <f>IF(主角经验!AM42="","",主角经验!$B42*主角经验!AM42)</f>
        <v/>
      </c>
      <c r="K41" s="7">
        <f>IF(主角经验!AN42="","",主角经验!$B42*主角经验!AN42)</f>
        <v>160000</v>
      </c>
      <c r="L41" s="7">
        <f>IF(主角经验!AO42="","",主角经验!$B42*主角经验!AO42)</f>
        <v>53280</v>
      </c>
      <c r="M41" s="7">
        <f>IF(主角经验!AP42="","",主角经验!$B42*主角经验!AP42)</f>
        <v>0</v>
      </c>
      <c r="N41" s="7">
        <f>IF(主角经验!AQ42="","",主角经验!$B42*主角经验!AQ42)</f>
        <v>192000</v>
      </c>
      <c r="O41" s="7">
        <f>IF(主角经验!AR42="","",主角经验!$B42*主角经验!AR42)</f>
        <v>200000</v>
      </c>
      <c r="P41" s="7">
        <f>IF(主角经验!AS42="","",主角经验!$B42*主角经验!AS42)</f>
        <v>13280</v>
      </c>
      <c r="Q41" s="7">
        <f>IF(主角经验!AT42="","",主角经验!$B42*主角经验!AT42)</f>
        <v>832000</v>
      </c>
      <c r="R41" s="7">
        <f>IF(主角经验!AU42="","",主角经验!$B42*主角经验!AU42)</f>
        <v>96000</v>
      </c>
      <c r="S41" s="7">
        <f>IF(主角经验!AV42="","",主角经验!$B42*主角经验!AV42)</f>
        <v>106720</v>
      </c>
      <c r="T41" s="7">
        <f>IF(主角经验!AW42="","",主角经验!$B42*主角经验!AW42)</f>
        <v>120000</v>
      </c>
      <c r="U41" s="7">
        <f>IF(主角经验!AX42="","",主角经验!$B42*主角经验!AX42)</f>
        <v>0</v>
      </c>
      <c r="V41" s="7">
        <f>IF(主角经验!AY42="","",主角经验!$B42*主角经验!AY42)</f>
        <v>106720</v>
      </c>
      <c r="W41" s="7">
        <f>IF(主角经验!AZ42="","",主角经验!$B42*主角经验!AZ42)</f>
        <v>40000</v>
      </c>
      <c r="X41" s="7">
        <f>IF(主角经验!BA42="","",主角经验!$B42*主角经验!BA42)</f>
        <v>80000</v>
      </c>
      <c r="Y41" s="7">
        <f>IF(主角经验!BB42="","",主角经验!$B42*主角经验!BB42)</f>
        <v>100000</v>
      </c>
      <c r="Z41" s="7">
        <f>IF(主角经验!BC42="","",主角经验!$B42*主角经验!BC42)</f>
        <v>140000</v>
      </c>
      <c r="AA41" s="7">
        <f>IF(主角经验!BD42="","",主角经验!$B42*主角经验!BD42)</f>
        <v>40000</v>
      </c>
      <c r="AB41" s="7" t="str">
        <f>IF(主角经验!BE42="","",主角经验!$B42*主角经验!BE42)</f>
        <v/>
      </c>
      <c r="AC41" s="7" t="str">
        <f>IF(主角经验!BF42="","",主角经验!$B42*主角经验!BF42)</f>
        <v/>
      </c>
      <c r="AD41" s="7" t="str">
        <f>IF(主角经验!BG42="","",主角经验!$B42*主角经验!BG42)</f>
        <v/>
      </c>
      <c r="AE41" s="7" t="str">
        <f>IF(主角经验!BH42="","",主角经验!$B42*主角经验!BH42)</f>
        <v/>
      </c>
      <c r="AF41" s="7">
        <f>主角经验!BK42</f>
        <v>160000</v>
      </c>
      <c r="AG41" s="7">
        <f>主角经验!BO42</f>
        <v>178</v>
      </c>
    </row>
    <row r="42" spans="1:33">
      <c r="A42" s="32">
        <v>41</v>
      </c>
      <c r="B42" s="81">
        <f>主角经验!B43</f>
        <v>16400</v>
      </c>
      <c r="C42" s="7">
        <f>IF(主角经验!AF43="","",主角经验!$B43*主角经验!AF43)</f>
        <v>273388</v>
      </c>
      <c r="D42" s="7">
        <f>IF(主角经验!AG43="","",主角经验!$B43*主角经验!AG43)</f>
        <v>108240</v>
      </c>
      <c r="E42" s="7">
        <f>IF(主角经验!AH43="","",主角经验!$B43*主角经验!AH43)</f>
        <v>41000</v>
      </c>
      <c r="F42" s="7">
        <f>IF(主角经验!AI43="","",主角经验!$B43*主角经验!AI43)</f>
        <v>246000</v>
      </c>
      <c r="G42" s="7" t="str">
        <f>IF(主角经验!AJ43="","",主角经验!$B43*主角经验!AJ43)</f>
        <v/>
      </c>
      <c r="H42" s="7" t="str">
        <f>IF(主角经验!AK43="","",主角经验!$B43*主角经验!AK43)</f>
        <v/>
      </c>
      <c r="I42" s="7" t="str">
        <f>IF(主角经验!AL43="","",主角经验!$B43*主角经验!AL43)</f>
        <v/>
      </c>
      <c r="J42" s="7" t="str">
        <f>IF(主角经验!AM43="","",主角经验!$B43*主角经验!AM43)</f>
        <v/>
      </c>
      <c r="K42" s="7">
        <f>IF(主角经验!AN43="","",主角经验!$B43*主角经验!AN43)</f>
        <v>164000</v>
      </c>
      <c r="L42" s="7">
        <f>IF(主角经验!AO43="","",主角经验!$B43*主角经验!AO43)</f>
        <v>54612</v>
      </c>
      <c r="M42" s="7">
        <f>IF(主角经验!AP43="","",主角经验!$B43*主角经验!AP43)</f>
        <v>0</v>
      </c>
      <c r="N42" s="7">
        <f>IF(主角经验!AQ43="","",主角经验!$B43*主角经验!AQ43)</f>
        <v>196800</v>
      </c>
      <c r="O42" s="7">
        <f>IF(主角经验!AR43="","",主角经验!$B43*主角经验!AR43)</f>
        <v>205000</v>
      </c>
      <c r="P42" s="7">
        <f>IF(主角经验!AS43="","",主角经验!$B43*主角经验!AS43)</f>
        <v>13612</v>
      </c>
      <c r="Q42" s="7">
        <f>IF(主角经验!AT43="","",主角经验!$B43*主角经验!AT43)</f>
        <v>852800</v>
      </c>
      <c r="R42" s="7">
        <f>IF(主角经验!AU43="","",主角经验!$B43*主角经验!AU43)</f>
        <v>98400</v>
      </c>
      <c r="S42" s="7">
        <f>IF(主角经验!AV43="","",主角经验!$B43*主角经验!AV43)</f>
        <v>109388</v>
      </c>
      <c r="T42" s="7">
        <f>IF(主角经验!AW43="","",主角经验!$B43*主角经验!AW43)</f>
        <v>123000</v>
      </c>
      <c r="U42" s="7">
        <f>IF(主角经验!AX43="","",主角经验!$B43*主角经验!AX43)</f>
        <v>0</v>
      </c>
      <c r="V42" s="7">
        <f>IF(主角经验!AY43="","",主角经验!$B43*主角经验!AY43)</f>
        <v>109388</v>
      </c>
      <c r="W42" s="7">
        <f>IF(主角经验!AZ43="","",主角经验!$B43*主角经验!AZ43)</f>
        <v>41000</v>
      </c>
      <c r="X42" s="7">
        <f>IF(主角经验!BA43="","",主角经验!$B43*主角经验!BA43)</f>
        <v>82000</v>
      </c>
      <c r="Y42" s="7">
        <f>IF(主角经验!BB43="","",主角经验!$B43*主角经验!BB43)</f>
        <v>102500</v>
      </c>
      <c r="Z42" s="7">
        <f>IF(主角经验!BC43="","",主角经验!$B43*主角经验!BC43)</f>
        <v>143500</v>
      </c>
      <c r="AA42" s="7">
        <f>IF(主角经验!BD43="","",主角经验!$B43*主角经验!BD43)</f>
        <v>41000</v>
      </c>
      <c r="AB42" s="7" t="str">
        <f>IF(主角经验!BE43="","",主角经验!$B43*主角经验!BE43)</f>
        <v/>
      </c>
      <c r="AC42" s="7" t="str">
        <f>IF(主角经验!BF43="","",主角经验!$B43*主角经验!BF43)</f>
        <v/>
      </c>
      <c r="AD42" s="7" t="str">
        <f>IF(主角经验!BG43="","",主角经验!$B43*主角经验!BG43)</f>
        <v/>
      </c>
      <c r="AE42" s="7" t="str">
        <f>IF(主角经验!BH43="","",主角经验!$B43*主角经验!BH43)</f>
        <v/>
      </c>
      <c r="AF42" s="7">
        <f>主角经验!BK43</f>
        <v>173800</v>
      </c>
      <c r="AG42" s="7">
        <f>主角经验!BO43</f>
        <v>182</v>
      </c>
    </row>
    <row r="43" spans="1:33">
      <c r="A43" s="32">
        <v>42</v>
      </c>
      <c r="B43" s="81">
        <f>主角经验!B44</f>
        <v>16800</v>
      </c>
      <c r="C43" s="7">
        <f>IF(主角经验!AF44="","",主角经验!$B44*主角经验!AF44)</f>
        <v>280056</v>
      </c>
      <c r="D43" s="7">
        <f>IF(主角经验!AG44="","",主角经验!$B44*主角经验!AG44)</f>
        <v>110880</v>
      </c>
      <c r="E43" s="7">
        <f>IF(主角经验!AH44="","",主角经验!$B44*主角经验!AH44)</f>
        <v>42000</v>
      </c>
      <c r="F43" s="7">
        <f>IF(主角经验!AI44="","",主角经验!$B44*主角经验!AI44)</f>
        <v>252000</v>
      </c>
      <c r="G43" s="7" t="str">
        <f>IF(主角经验!AJ44="","",主角经验!$B44*主角经验!AJ44)</f>
        <v/>
      </c>
      <c r="H43" s="7" t="str">
        <f>IF(主角经验!AK44="","",主角经验!$B44*主角经验!AK44)</f>
        <v/>
      </c>
      <c r="I43" s="7" t="str">
        <f>IF(主角经验!AL44="","",主角经验!$B44*主角经验!AL44)</f>
        <v/>
      </c>
      <c r="J43" s="7" t="str">
        <f>IF(主角经验!AM44="","",主角经验!$B44*主角经验!AM44)</f>
        <v/>
      </c>
      <c r="K43" s="7">
        <f>IF(主角经验!AN44="","",主角经验!$B44*主角经验!AN44)</f>
        <v>168000</v>
      </c>
      <c r="L43" s="7">
        <f>IF(主角经验!AO44="","",主角经验!$B44*主角经验!AO44)</f>
        <v>55944</v>
      </c>
      <c r="M43" s="7">
        <f>IF(主角经验!AP44="","",主角经验!$B44*主角经验!AP44)</f>
        <v>0</v>
      </c>
      <c r="N43" s="7">
        <f>IF(主角经验!AQ44="","",主角经验!$B44*主角经验!AQ44)</f>
        <v>201600</v>
      </c>
      <c r="O43" s="7">
        <f>IF(主角经验!AR44="","",主角经验!$B44*主角经验!AR44)</f>
        <v>210000</v>
      </c>
      <c r="P43" s="7">
        <f>IF(主角经验!AS44="","",主角经验!$B44*主角经验!AS44)</f>
        <v>13944</v>
      </c>
      <c r="Q43" s="7">
        <f>IF(主角经验!AT44="","",主角经验!$B44*主角经验!AT44)</f>
        <v>873600</v>
      </c>
      <c r="R43" s="7">
        <f>IF(主角经验!AU44="","",主角经验!$B44*主角经验!AU44)</f>
        <v>100800</v>
      </c>
      <c r="S43" s="7">
        <f>IF(主角经验!AV44="","",主角经验!$B44*主角经验!AV44)</f>
        <v>112056</v>
      </c>
      <c r="T43" s="7">
        <f>IF(主角经验!AW44="","",主角经验!$B44*主角经验!AW44)</f>
        <v>126000</v>
      </c>
      <c r="U43" s="7">
        <f>IF(主角经验!AX44="","",主角经验!$B44*主角经验!AX44)</f>
        <v>0</v>
      </c>
      <c r="V43" s="7">
        <f>IF(主角经验!AY44="","",主角经验!$B44*主角经验!AY44)</f>
        <v>112056</v>
      </c>
      <c r="W43" s="7">
        <f>IF(主角经验!AZ44="","",主角经验!$B44*主角经验!AZ44)</f>
        <v>42000</v>
      </c>
      <c r="X43" s="7">
        <f>IF(主角经验!BA44="","",主角经验!$B44*主角经验!BA44)</f>
        <v>84000</v>
      </c>
      <c r="Y43" s="7">
        <f>IF(主角经验!BB44="","",主角经验!$B44*主角经验!BB44)</f>
        <v>105000</v>
      </c>
      <c r="Z43" s="7">
        <f>IF(主角经验!BC44="","",主角经验!$B44*主角经验!BC44)</f>
        <v>147000</v>
      </c>
      <c r="AA43" s="7">
        <f>IF(主角经验!BD44="","",主角经验!$B44*主角经验!BD44)</f>
        <v>42000</v>
      </c>
      <c r="AB43" s="7" t="str">
        <f>IF(主角经验!BE44="","",主角经验!$B44*主角经验!BE44)</f>
        <v/>
      </c>
      <c r="AC43" s="7" t="str">
        <f>IF(主角经验!BF44="","",主角经验!$B44*主角经验!BF44)</f>
        <v/>
      </c>
      <c r="AD43" s="7" t="str">
        <f>IF(主角经验!BG44="","",主角经验!$B44*主角经验!BG44)</f>
        <v/>
      </c>
      <c r="AE43" s="7" t="str">
        <f>IF(主角经验!BH44="","",主角经验!$B44*主角经验!BH44)</f>
        <v/>
      </c>
      <c r="AF43" s="7">
        <f>主角经验!BK44</f>
        <v>188200</v>
      </c>
      <c r="AG43" s="7">
        <f>主角经验!BO44</f>
        <v>187</v>
      </c>
    </row>
    <row r="44" spans="1:33">
      <c r="A44" s="32">
        <v>43</v>
      </c>
      <c r="B44" s="81">
        <f>主角经验!B45</f>
        <v>17200</v>
      </c>
      <c r="C44" s="7">
        <f>IF(主角经验!AF45="","",主角经验!$B45*主角经验!AF45)</f>
        <v>286724.00000000006</v>
      </c>
      <c r="D44" s="7">
        <f>IF(主角经验!AG45="","",主角经验!$B45*主角经验!AG45)</f>
        <v>113520</v>
      </c>
      <c r="E44" s="7">
        <f>IF(主角经验!AH45="","",主角经验!$B45*主角经验!AH45)</f>
        <v>43000</v>
      </c>
      <c r="F44" s="7">
        <f>IF(主角经验!AI45="","",主角经验!$B45*主角经验!AI45)</f>
        <v>258000</v>
      </c>
      <c r="G44" s="7" t="str">
        <f>IF(主角经验!AJ45="","",主角经验!$B45*主角经验!AJ45)</f>
        <v/>
      </c>
      <c r="H44" s="7" t="str">
        <f>IF(主角经验!AK45="","",主角经验!$B45*主角经验!AK45)</f>
        <v/>
      </c>
      <c r="I44" s="7" t="str">
        <f>IF(主角经验!AL45="","",主角经验!$B45*主角经验!AL45)</f>
        <v/>
      </c>
      <c r="J44" s="7" t="str">
        <f>IF(主角经验!AM45="","",主角经验!$B45*主角经验!AM45)</f>
        <v/>
      </c>
      <c r="K44" s="7">
        <f>IF(主角经验!AN45="","",主角经验!$B45*主角经验!AN45)</f>
        <v>172000</v>
      </c>
      <c r="L44" s="7">
        <f>IF(主角经验!AO45="","",主角经验!$B45*主角经验!AO45)</f>
        <v>57276</v>
      </c>
      <c r="M44" s="7">
        <f>IF(主角经验!AP45="","",主角经验!$B45*主角经验!AP45)</f>
        <v>0</v>
      </c>
      <c r="N44" s="7">
        <f>IF(主角经验!AQ45="","",主角经验!$B45*主角经验!AQ45)</f>
        <v>206400</v>
      </c>
      <c r="O44" s="7">
        <f>IF(主角经验!AR45="","",主角经验!$B45*主角经验!AR45)</f>
        <v>215000</v>
      </c>
      <c r="P44" s="7">
        <f>IF(主角经验!AS45="","",主角经验!$B45*主角经验!AS45)</f>
        <v>14276</v>
      </c>
      <c r="Q44" s="7">
        <f>IF(主角经验!AT45="","",主角经验!$B45*主角经验!AT45)</f>
        <v>894400</v>
      </c>
      <c r="R44" s="7">
        <f>IF(主角经验!AU45="","",主角经验!$B45*主角经验!AU45)</f>
        <v>103200</v>
      </c>
      <c r="S44" s="7">
        <f>IF(主角经验!AV45="","",主角经验!$B45*主角经验!AV45)</f>
        <v>114724</v>
      </c>
      <c r="T44" s="7">
        <f>IF(主角经验!AW45="","",主角经验!$B45*主角经验!AW45)</f>
        <v>129000</v>
      </c>
      <c r="U44" s="7">
        <f>IF(主角经验!AX45="","",主角经验!$B45*主角经验!AX45)</f>
        <v>0</v>
      </c>
      <c r="V44" s="7">
        <f>IF(主角经验!AY45="","",主角经验!$B45*主角经验!AY45)</f>
        <v>114724</v>
      </c>
      <c r="W44" s="7">
        <f>IF(主角经验!AZ45="","",主角经验!$B45*主角经验!AZ45)</f>
        <v>43000</v>
      </c>
      <c r="X44" s="7">
        <f>IF(主角经验!BA45="","",主角经验!$B45*主角经验!BA45)</f>
        <v>86000</v>
      </c>
      <c r="Y44" s="7">
        <f>IF(主角经验!BB45="","",主角经验!$B45*主角经验!BB45)</f>
        <v>107500</v>
      </c>
      <c r="Z44" s="7">
        <f>IF(主角经验!BC45="","",主角经验!$B45*主角经验!BC45)</f>
        <v>150500</v>
      </c>
      <c r="AA44" s="7">
        <f>IF(主角经验!BD45="","",主角经验!$B45*主角经验!BD45)</f>
        <v>43000</v>
      </c>
      <c r="AB44" s="7" t="str">
        <f>IF(主角经验!BE45="","",主角经验!$B45*主角经验!BE45)</f>
        <v/>
      </c>
      <c r="AC44" s="7" t="str">
        <f>IF(主角经验!BF45="","",主角经验!$B45*主角经验!BF45)</f>
        <v/>
      </c>
      <c r="AD44" s="7" t="str">
        <f>IF(主角经验!BG45="","",主角经验!$B45*主角经验!BG45)</f>
        <v/>
      </c>
      <c r="AE44" s="7" t="str">
        <f>IF(主角经验!BH45="","",主角经验!$B45*主角经验!BH45)</f>
        <v/>
      </c>
      <c r="AF44" s="7">
        <f>主角经验!BK45</f>
        <v>203000</v>
      </c>
      <c r="AG44" s="7">
        <f>主角经验!BO45</f>
        <v>191</v>
      </c>
    </row>
    <row r="45" spans="1:33">
      <c r="A45" s="32">
        <v>44</v>
      </c>
      <c r="B45" s="81">
        <f>主角经验!B46</f>
        <v>17600</v>
      </c>
      <c r="C45" s="7">
        <f>IF(主角经验!AF46="","",主角经验!$B46*主角经验!AF46)</f>
        <v>293392.00000000006</v>
      </c>
      <c r="D45" s="7">
        <f>IF(主角经验!AG46="","",主角经验!$B46*主角经验!AG46)</f>
        <v>116160</v>
      </c>
      <c r="E45" s="7">
        <f>IF(主角经验!AH46="","",主角经验!$B46*主角经验!AH46)</f>
        <v>44000</v>
      </c>
      <c r="F45" s="7">
        <f>IF(主角经验!AI46="","",主角经验!$B46*主角经验!AI46)</f>
        <v>264000</v>
      </c>
      <c r="G45" s="7" t="str">
        <f>IF(主角经验!AJ46="","",主角经验!$B46*主角经验!AJ46)</f>
        <v/>
      </c>
      <c r="H45" s="7" t="str">
        <f>IF(主角经验!AK46="","",主角经验!$B46*主角经验!AK46)</f>
        <v/>
      </c>
      <c r="I45" s="7" t="str">
        <f>IF(主角经验!AL46="","",主角经验!$B46*主角经验!AL46)</f>
        <v/>
      </c>
      <c r="J45" s="7" t="str">
        <f>IF(主角经验!AM46="","",主角经验!$B46*主角经验!AM46)</f>
        <v/>
      </c>
      <c r="K45" s="7">
        <f>IF(主角经验!AN46="","",主角经验!$B46*主角经验!AN46)</f>
        <v>176000</v>
      </c>
      <c r="L45" s="7">
        <f>IF(主角经验!AO46="","",主角经验!$B46*主角经验!AO46)</f>
        <v>58608</v>
      </c>
      <c r="M45" s="7">
        <f>IF(主角经验!AP46="","",主角经验!$B46*主角经验!AP46)</f>
        <v>0</v>
      </c>
      <c r="N45" s="7">
        <f>IF(主角经验!AQ46="","",主角经验!$B46*主角经验!AQ46)</f>
        <v>211200</v>
      </c>
      <c r="O45" s="7">
        <f>IF(主角经验!AR46="","",主角经验!$B46*主角经验!AR46)</f>
        <v>220000</v>
      </c>
      <c r="P45" s="7">
        <f>IF(主角经验!AS46="","",主角经验!$B46*主角经验!AS46)</f>
        <v>14608</v>
      </c>
      <c r="Q45" s="7">
        <f>IF(主角经验!AT46="","",主角经验!$B46*主角经验!AT46)</f>
        <v>915200</v>
      </c>
      <c r="R45" s="7">
        <f>IF(主角经验!AU46="","",主角经验!$B46*主角经验!AU46)</f>
        <v>105600</v>
      </c>
      <c r="S45" s="7">
        <f>IF(主角经验!AV46="","",主角经验!$B46*主角经验!AV46)</f>
        <v>117392</v>
      </c>
      <c r="T45" s="7">
        <f>IF(主角经验!AW46="","",主角经验!$B46*主角经验!AW46)</f>
        <v>132000</v>
      </c>
      <c r="U45" s="7">
        <f>IF(主角经验!AX46="","",主角经验!$B46*主角经验!AX46)</f>
        <v>0</v>
      </c>
      <c r="V45" s="7">
        <f>IF(主角经验!AY46="","",主角经验!$B46*主角经验!AY46)</f>
        <v>117392</v>
      </c>
      <c r="W45" s="7">
        <f>IF(主角经验!AZ46="","",主角经验!$B46*主角经验!AZ46)</f>
        <v>44000</v>
      </c>
      <c r="X45" s="7">
        <f>IF(主角经验!BA46="","",主角经验!$B46*主角经验!BA46)</f>
        <v>88000</v>
      </c>
      <c r="Y45" s="7">
        <f>IF(主角经验!BB46="","",主角经验!$B46*主角经验!BB46)</f>
        <v>110000</v>
      </c>
      <c r="Z45" s="7">
        <f>IF(主角经验!BC46="","",主角经验!$B46*主角经验!BC46)</f>
        <v>154000</v>
      </c>
      <c r="AA45" s="7">
        <f>IF(主角经验!BD46="","",主角经验!$B46*主角经验!BD46)</f>
        <v>44000</v>
      </c>
      <c r="AB45" s="7" t="str">
        <f>IF(主角经验!BE46="","",主角经验!$B46*主角经验!BE46)</f>
        <v/>
      </c>
      <c r="AC45" s="7" t="str">
        <f>IF(主角经验!BF46="","",主角经验!$B46*主角经验!BF46)</f>
        <v/>
      </c>
      <c r="AD45" s="7" t="str">
        <f>IF(主角经验!BG46="","",主角经验!$B46*主角经验!BG46)</f>
        <v/>
      </c>
      <c r="AE45" s="7" t="str">
        <f>IF(主角经验!BH46="","",主角经验!$B46*主角经验!BH46)</f>
        <v/>
      </c>
      <c r="AF45" s="7">
        <f>主角经验!BK46</f>
        <v>218200</v>
      </c>
      <c r="AG45" s="7">
        <f>主角经验!BO46</f>
        <v>196</v>
      </c>
    </row>
    <row r="46" spans="1:33">
      <c r="A46" s="32">
        <v>45</v>
      </c>
      <c r="B46" s="81">
        <f>主角经验!B47</f>
        <v>18000</v>
      </c>
      <c r="C46" s="7">
        <f>IF(主角经验!AF47="","",主角经验!$B47*主角经验!AF47)</f>
        <v>300060.00000000006</v>
      </c>
      <c r="D46" s="7">
        <f>IF(主角经验!AG47="","",主角经验!$B47*主角经验!AG47)</f>
        <v>118800</v>
      </c>
      <c r="E46" s="7">
        <f>IF(主角经验!AH47="","",主角经验!$B47*主角经验!AH47)</f>
        <v>45000</v>
      </c>
      <c r="F46" s="7">
        <f>IF(主角经验!AI47="","",主角经验!$B47*主角经验!AI47)</f>
        <v>270000</v>
      </c>
      <c r="G46" s="7" t="str">
        <f>IF(主角经验!AJ47="","",主角经验!$B47*主角经验!AJ47)</f>
        <v/>
      </c>
      <c r="H46" s="7" t="str">
        <f>IF(主角经验!AK47="","",主角经验!$B47*主角经验!AK47)</f>
        <v/>
      </c>
      <c r="I46" s="7" t="str">
        <f>IF(主角经验!AL47="","",主角经验!$B47*主角经验!AL47)</f>
        <v/>
      </c>
      <c r="J46" s="7" t="str">
        <f>IF(主角经验!AM47="","",主角经验!$B47*主角经验!AM47)</f>
        <v/>
      </c>
      <c r="K46" s="7">
        <f>IF(主角经验!AN47="","",主角经验!$B47*主角经验!AN47)</f>
        <v>180000</v>
      </c>
      <c r="L46" s="7">
        <f>IF(主角经验!AO47="","",主角经验!$B47*主角经验!AO47)</f>
        <v>59940</v>
      </c>
      <c r="M46" s="7">
        <f>IF(主角经验!AP47="","",主角经验!$B47*主角经验!AP47)</f>
        <v>0</v>
      </c>
      <c r="N46" s="7">
        <f>IF(主角经验!AQ47="","",主角经验!$B47*主角经验!AQ47)</f>
        <v>216000</v>
      </c>
      <c r="O46" s="7">
        <f>IF(主角经验!AR47="","",主角经验!$B47*主角经验!AR47)</f>
        <v>225000</v>
      </c>
      <c r="P46" s="7">
        <f>IF(主角经验!AS47="","",主角经验!$B47*主角经验!AS47)</f>
        <v>14940</v>
      </c>
      <c r="Q46" s="7">
        <f>IF(主角经验!AT47="","",主角经验!$B47*主角经验!AT47)</f>
        <v>936000</v>
      </c>
      <c r="R46" s="7">
        <f>IF(主角经验!AU47="","",主角经验!$B47*主角经验!AU47)</f>
        <v>108000</v>
      </c>
      <c r="S46" s="7">
        <f>IF(主角经验!AV47="","",主角经验!$B47*主角经验!AV47)</f>
        <v>120060</v>
      </c>
      <c r="T46" s="7">
        <f>IF(主角经验!AW47="","",主角经验!$B47*主角经验!AW47)</f>
        <v>135000</v>
      </c>
      <c r="U46" s="7">
        <f>IF(主角经验!AX47="","",主角经验!$B47*主角经验!AX47)</f>
        <v>0</v>
      </c>
      <c r="V46" s="7">
        <f>IF(主角经验!AY47="","",主角经验!$B47*主角经验!AY47)</f>
        <v>120060</v>
      </c>
      <c r="W46" s="7">
        <f>IF(主角经验!AZ47="","",主角经验!$B47*主角经验!AZ47)</f>
        <v>45000</v>
      </c>
      <c r="X46" s="7">
        <f>IF(主角经验!BA47="","",主角经验!$B47*主角经验!BA47)</f>
        <v>90000</v>
      </c>
      <c r="Y46" s="7">
        <f>IF(主角经验!BB47="","",主角经验!$B47*主角经验!BB47)</f>
        <v>112500</v>
      </c>
      <c r="Z46" s="7">
        <f>IF(主角经验!BC47="","",主角经验!$B47*主角经验!BC47)</f>
        <v>157500</v>
      </c>
      <c r="AA46" s="7">
        <f>IF(主角经验!BD47="","",主角经验!$B47*主角经验!BD47)</f>
        <v>45000</v>
      </c>
      <c r="AB46" s="7" t="str">
        <f>IF(主角经验!BE47="","",主角经验!$B47*主角经验!BE47)</f>
        <v/>
      </c>
      <c r="AC46" s="7" t="str">
        <f>IF(主角经验!BF47="","",主角经验!$B47*主角经验!BF47)</f>
        <v/>
      </c>
      <c r="AD46" s="7" t="str">
        <f>IF(主角经验!BG47="","",主角经验!$B47*主角经验!BG47)</f>
        <v/>
      </c>
      <c r="AE46" s="7" t="str">
        <f>IF(主角经验!BH47="","",主角经验!$B47*主角经验!BH47)</f>
        <v/>
      </c>
      <c r="AF46" s="7">
        <f>主角经验!BK47</f>
        <v>234000</v>
      </c>
      <c r="AG46" s="7">
        <f>主角经验!BO47</f>
        <v>200</v>
      </c>
    </row>
    <row r="47" spans="1:33">
      <c r="A47" s="32">
        <v>46</v>
      </c>
      <c r="B47" s="81">
        <f>主角经验!B48</f>
        <v>18400</v>
      </c>
      <c r="C47" s="7">
        <f>IF(主角经验!AF48="","",主角经验!$B48*主角经验!AF48)</f>
        <v>306728.00000000006</v>
      </c>
      <c r="D47" s="7">
        <f>IF(主角经验!AG48="","",主角经验!$B48*主角经验!AG48)</f>
        <v>121440</v>
      </c>
      <c r="E47" s="7">
        <f>IF(主角经验!AH48="","",主角经验!$B48*主角经验!AH48)</f>
        <v>46000</v>
      </c>
      <c r="F47" s="7">
        <f>IF(主角经验!AI48="","",主角经验!$B48*主角经验!AI48)</f>
        <v>276000</v>
      </c>
      <c r="G47" s="7" t="str">
        <f>IF(主角经验!AJ48="","",主角经验!$B48*主角经验!AJ48)</f>
        <v/>
      </c>
      <c r="H47" s="7" t="str">
        <f>IF(主角经验!AK48="","",主角经验!$B48*主角经验!AK48)</f>
        <v/>
      </c>
      <c r="I47" s="7" t="str">
        <f>IF(主角经验!AL48="","",主角经验!$B48*主角经验!AL48)</f>
        <v/>
      </c>
      <c r="J47" s="7" t="str">
        <f>IF(主角经验!AM48="","",主角经验!$B48*主角经验!AM48)</f>
        <v/>
      </c>
      <c r="K47" s="7">
        <f>IF(主角经验!AN48="","",主角经验!$B48*主角经验!AN48)</f>
        <v>184000</v>
      </c>
      <c r="L47" s="7">
        <f>IF(主角经验!AO48="","",主角经验!$B48*主角经验!AO48)</f>
        <v>61272</v>
      </c>
      <c r="M47" s="7">
        <f>IF(主角经验!AP48="","",主角经验!$B48*主角经验!AP48)</f>
        <v>0</v>
      </c>
      <c r="N47" s="7">
        <f>IF(主角经验!AQ48="","",主角经验!$B48*主角经验!AQ48)</f>
        <v>220800</v>
      </c>
      <c r="O47" s="7">
        <f>IF(主角经验!AR48="","",主角经验!$B48*主角经验!AR48)</f>
        <v>230000</v>
      </c>
      <c r="P47" s="7">
        <f>IF(主角经验!AS48="","",主角经验!$B48*主角经验!AS48)</f>
        <v>15272</v>
      </c>
      <c r="Q47" s="7">
        <f>IF(主角经验!AT48="","",主角经验!$B48*主角经验!AT48)</f>
        <v>956800</v>
      </c>
      <c r="R47" s="7">
        <f>IF(主角经验!AU48="","",主角经验!$B48*主角经验!AU48)</f>
        <v>110400</v>
      </c>
      <c r="S47" s="7">
        <f>IF(主角经验!AV48="","",主角经验!$B48*主角经验!AV48)</f>
        <v>122728</v>
      </c>
      <c r="T47" s="7">
        <f>IF(主角经验!AW48="","",主角经验!$B48*主角经验!AW48)</f>
        <v>138000</v>
      </c>
      <c r="U47" s="7">
        <f>IF(主角经验!AX48="","",主角经验!$B48*主角经验!AX48)</f>
        <v>0</v>
      </c>
      <c r="V47" s="7">
        <f>IF(主角经验!AY48="","",主角经验!$B48*主角经验!AY48)</f>
        <v>122728</v>
      </c>
      <c r="W47" s="7">
        <f>IF(主角经验!AZ48="","",主角经验!$B48*主角经验!AZ48)</f>
        <v>46000</v>
      </c>
      <c r="X47" s="7">
        <f>IF(主角经验!BA48="","",主角经验!$B48*主角经验!BA48)</f>
        <v>92000</v>
      </c>
      <c r="Y47" s="7">
        <f>IF(主角经验!BB48="","",主角经验!$B48*主角经验!BB48)</f>
        <v>115000</v>
      </c>
      <c r="Z47" s="7">
        <f>IF(主角经验!BC48="","",主角经验!$B48*主角经验!BC48)</f>
        <v>161000</v>
      </c>
      <c r="AA47" s="7">
        <f>IF(主角经验!BD48="","",主角经验!$B48*主角经验!BD48)</f>
        <v>46000</v>
      </c>
      <c r="AB47" s="7" t="str">
        <f>IF(主角经验!BE48="","",主角经验!$B48*主角经验!BE48)</f>
        <v/>
      </c>
      <c r="AC47" s="7" t="str">
        <f>IF(主角经验!BF48="","",主角经验!$B48*主角经验!BF48)</f>
        <v/>
      </c>
      <c r="AD47" s="7" t="str">
        <f>IF(主角经验!BG48="","",主角经验!$B48*主角经验!BG48)</f>
        <v/>
      </c>
      <c r="AE47" s="7" t="str">
        <f>IF(主角经验!BH48="","",主角经验!$B48*主角经验!BH48)</f>
        <v/>
      </c>
      <c r="AF47" s="7">
        <f>主角经验!BK48</f>
        <v>250200</v>
      </c>
      <c r="AG47" s="7">
        <f>主角经验!BO48</f>
        <v>204</v>
      </c>
    </row>
    <row r="48" spans="1:33">
      <c r="A48" s="32">
        <v>47</v>
      </c>
      <c r="B48" s="81">
        <f>主角经验!B49</f>
        <v>18800</v>
      </c>
      <c r="C48" s="7">
        <f>IF(主角经验!AF49="","",主角经验!$B49*主角经验!AF49)</f>
        <v>313396.00000000006</v>
      </c>
      <c r="D48" s="7">
        <f>IF(主角经验!AG49="","",主角经验!$B49*主角经验!AG49)</f>
        <v>124080</v>
      </c>
      <c r="E48" s="7">
        <f>IF(主角经验!AH49="","",主角经验!$B49*主角经验!AH49)</f>
        <v>47000</v>
      </c>
      <c r="F48" s="7">
        <f>IF(主角经验!AI49="","",主角经验!$B49*主角经验!AI49)</f>
        <v>282000</v>
      </c>
      <c r="G48" s="7" t="str">
        <f>IF(主角经验!AJ49="","",主角经验!$B49*主角经验!AJ49)</f>
        <v/>
      </c>
      <c r="H48" s="7" t="str">
        <f>IF(主角经验!AK49="","",主角经验!$B49*主角经验!AK49)</f>
        <v/>
      </c>
      <c r="I48" s="7" t="str">
        <f>IF(主角经验!AL49="","",主角经验!$B49*主角经验!AL49)</f>
        <v/>
      </c>
      <c r="J48" s="7" t="str">
        <f>IF(主角经验!AM49="","",主角经验!$B49*主角经验!AM49)</f>
        <v/>
      </c>
      <c r="K48" s="7">
        <f>IF(主角经验!AN49="","",主角经验!$B49*主角经验!AN49)</f>
        <v>188000</v>
      </c>
      <c r="L48" s="7">
        <f>IF(主角经验!AO49="","",主角经验!$B49*主角经验!AO49)</f>
        <v>62604</v>
      </c>
      <c r="M48" s="7">
        <f>IF(主角经验!AP49="","",主角经验!$B49*主角经验!AP49)</f>
        <v>0</v>
      </c>
      <c r="N48" s="7">
        <f>IF(主角经验!AQ49="","",主角经验!$B49*主角经验!AQ49)</f>
        <v>225600</v>
      </c>
      <c r="O48" s="7">
        <f>IF(主角经验!AR49="","",主角经验!$B49*主角经验!AR49)</f>
        <v>235000</v>
      </c>
      <c r="P48" s="7">
        <f>IF(主角经验!AS49="","",主角经验!$B49*主角经验!AS49)</f>
        <v>15604</v>
      </c>
      <c r="Q48" s="7">
        <f>IF(主角经验!AT49="","",主角经验!$B49*主角经验!AT49)</f>
        <v>977600</v>
      </c>
      <c r="R48" s="7">
        <f>IF(主角经验!AU49="","",主角经验!$B49*主角经验!AU49)</f>
        <v>112800</v>
      </c>
      <c r="S48" s="7">
        <f>IF(主角经验!AV49="","",主角经验!$B49*主角经验!AV49)</f>
        <v>125396</v>
      </c>
      <c r="T48" s="7">
        <f>IF(主角经验!AW49="","",主角经验!$B49*主角经验!AW49)</f>
        <v>141000</v>
      </c>
      <c r="U48" s="7">
        <f>IF(主角经验!AX49="","",主角经验!$B49*主角经验!AX49)</f>
        <v>0</v>
      </c>
      <c r="V48" s="7">
        <f>IF(主角经验!AY49="","",主角经验!$B49*主角经验!AY49)</f>
        <v>125396</v>
      </c>
      <c r="W48" s="7">
        <f>IF(主角经验!AZ49="","",主角经验!$B49*主角经验!AZ49)</f>
        <v>47000</v>
      </c>
      <c r="X48" s="7">
        <f>IF(主角经验!BA49="","",主角经验!$B49*主角经验!BA49)</f>
        <v>94000</v>
      </c>
      <c r="Y48" s="7">
        <f>IF(主角经验!BB49="","",主角经验!$B49*主角经验!BB49)</f>
        <v>117500</v>
      </c>
      <c r="Z48" s="7">
        <f>IF(主角经验!BC49="","",主角经验!$B49*主角经验!BC49)</f>
        <v>164500</v>
      </c>
      <c r="AA48" s="7">
        <f>IF(主角经验!BD49="","",主角经验!$B49*主角经验!BD49)</f>
        <v>47000</v>
      </c>
      <c r="AB48" s="7" t="str">
        <f>IF(主角经验!BE49="","",主角经验!$B49*主角经验!BE49)</f>
        <v/>
      </c>
      <c r="AC48" s="7" t="str">
        <f>IF(主角经验!BF49="","",主角经验!$B49*主角经验!BF49)</f>
        <v/>
      </c>
      <c r="AD48" s="7" t="str">
        <f>IF(主角经验!BG49="","",主角经验!$B49*主角经验!BG49)</f>
        <v/>
      </c>
      <c r="AE48" s="7" t="str">
        <f>IF(主角经验!BH49="","",主角经验!$B49*主角经验!BH49)</f>
        <v/>
      </c>
      <c r="AF48" s="7">
        <f>主角经验!BK49</f>
        <v>267000</v>
      </c>
      <c r="AG48" s="7">
        <f>主角经验!BO49</f>
        <v>209</v>
      </c>
    </row>
    <row r="49" spans="1:36">
      <c r="A49" s="32">
        <v>48</v>
      </c>
      <c r="B49" s="81">
        <f>主角经验!B50</f>
        <v>19200</v>
      </c>
      <c r="C49" s="7">
        <f>IF(主角经验!AF50="","",主角经验!$B50*主角经验!AF50)</f>
        <v>320064.00000000006</v>
      </c>
      <c r="D49" s="7">
        <f>IF(主角经验!AG50="","",主角经验!$B50*主角经验!AG50)</f>
        <v>126720</v>
      </c>
      <c r="E49" s="7">
        <f>IF(主角经验!AH50="","",主角经验!$B50*主角经验!AH50)</f>
        <v>48000</v>
      </c>
      <c r="F49" s="7">
        <f>IF(主角经验!AI50="","",主角经验!$B50*主角经验!AI50)</f>
        <v>288000</v>
      </c>
      <c r="G49" s="7" t="str">
        <f>IF(主角经验!AJ50="","",主角经验!$B50*主角经验!AJ50)</f>
        <v/>
      </c>
      <c r="H49" s="7" t="str">
        <f>IF(主角经验!AK50="","",主角经验!$B50*主角经验!AK50)</f>
        <v/>
      </c>
      <c r="I49" s="7" t="str">
        <f>IF(主角经验!AL50="","",主角经验!$B50*主角经验!AL50)</f>
        <v/>
      </c>
      <c r="J49" s="7" t="str">
        <f>IF(主角经验!AM50="","",主角经验!$B50*主角经验!AM50)</f>
        <v/>
      </c>
      <c r="K49" s="7">
        <f>IF(主角经验!AN50="","",主角经验!$B50*主角经验!AN50)</f>
        <v>192000</v>
      </c>
      <c r="L49" s="7">
        <f>IF(主角经验!AO50="","",主角经验!$B50*主角经验!AO50)</f>
        <v>63936</v>
      </c>
      <c r="M49" s="7">
        <f>IF(主角经验!AP50="","",主角经验!$B50*主角经验!AP50)</f>
        <v>0</v>
      </c>
      <c r="N49" s="7">
        <f>IF(主角经验!AQ50="","",主角经验!$B50*主角经验!AQ50)</f>
        <v>230400</v>
      </c>
      <c r="O49" s="7">
        <f>IF(主角经验!AR50="","",主角经验!$B50*主角经验!AR50)</f>
        <v>240000</v>
      </c>
      <c r="P49" s="7">
        <f>IF(主角经验!AS50="","",主角经验!$B50*主角经验!AS50)</f>
        <v>15936</v>
      </c>
      <c r="Q49" s="7">
        <f>IF(主角经验!AT50="","",主角经验!$B50*主角经验!AT50)</f>
        <v>998400</v>
      </c>
      <c r="R49" s="7">
        <f>IF(主角经验!AU50="","",主角经验!$B50*主角经验!AU50)</f>
        <v>115200</v>
      </c>
      <c r="S49" s="7">
        <f>IF(主角经验!AV50="","",主角经验!$B50*主角经验!AV50)</f>
        <v>128064</v>
      </c>
      <c r="T49" s="7">
        <f>IF(主角经验!AW50="","",主角经验!$B50*主角经验!AW50)</f>
        <v>144000</v>
      </c>
      <c r="U49" s="7">
        <f>IF(主角经验!AX50="","",主角经验!$B50*主角经验!AX50)</f>
        <v>0</v>
      </c>
      <c r="V49" s="7">
        <f>IF(主角经验!AY50="","",主角经验!$B50*主角经验!AY50)</f>
        <v>128064</v>
      </c>
      <c r="W49" s="7">
        <f>IF(主角经验!AZ50="","",主角经验!$B50*主角经验!AZ50)</f>
        <v>48000</v>
      </c>
      <c r="X49" s="7">
        <f>IF(主角经验!BA50="","",主角经验!$B50*主角经验!BA50)</f>
        <v>96000</v>
      </c>
      <c r="Y49" s="7">
        <f>IF(主角经验!BB50="","",主角经验!$B50*主角经验!BB50)</f>
        <v>120000</v>
      </c>
      <c r="Z49" s="7">
        <f>IF(主角经验!BC50="","",主角经验!$B50*主角经验!BC50)</f>
        <v>168000</v>
      </c>
      <c r="AA49" s="7">
        <f>IF(主角经验!BD50="","",主角经验!$B50*主角经验!BD50)</f>
        <v>48000</v>
      </c>
      <c r="AB49" s="7" t="str">
        <f>IF(主角经验!BE50="","",主角经验!$B50*主角经验!BE50)</f>
        <v/>
      </c>
      <c r="AC49" s="7" t="str">
        <f>IF(主角经验!BF50="","",主角经验!$B50*主角经验!BF50)</f>
        <v/>
      </c>
      <c r="AD49" s="7" t="str">
        <f>IF(主角经验!BG50="","",主角经验!$B50*主角经验!BG50)</f>
        <v/>
      </c>
      <c r="AE49" s="7" t="str">
        <f>IF(主角经验!BH50="","",主角经验!$B50*主角经验!BH50)</f>
        <v/>
      </c>
      <c r="AF49" s="7">
        <f>主角经验!BK50</f>
        <v>284200</v>
      </c>
      <c r="AG49" s="7">
        <f>主角经验!BO50</f>
        <v>213</v>
      </c>
    </row>
    <row r="50" spans="1:36">
      <c r="A50" s="32">
        <v>49</v>
      </c>
      <c r="B50" s="81">
        <f>主角经验!B51</f>
        <v>19600</v>
      </c>
      <c r="C50" s="7">
        <f>IF(主角经验!AF51="","",主角经验!$B51*主角经验!AF51)</f>
        <v>326732.00000000006</v>
      </c>
      <c r="D50" s="7">
        <f>IF(主角经验!AG51="","",主角经验!$B51*主角经验!AG51)</f>
        <v>129360</v>
      </c>
      <c r="E50" s="7">
        <f>IF(主角经验!AH51="","",主角经验!$B51*主角经验!AH51)</f>
        <v>49000</v>
      </c>
      <c r="F50" s="7">
        <f>IF(主角经验!AI51="","",主角经验!$B51*主角经验!AI51)</f>
        <v>294000</v>
      </c>
      <c r="G50" s="7" t="str">
        <f>IF(主角经验!AJ51="","",主角经验!$B51*主角经验!AJ51)</f>
        <v/>
      </c>
      <c r="H50" s="7" t="str">
        <f>IF(主角经验!AK51="","",主角经验!$B51*主角经验!AK51)</f>
        <v/>
      </c>
      <c r="I50" s="7" t="str">
        <f>IF(主角经验!AL51="","",主角经验!$B51*主角经验!AL51)</f>
        <v/>
      </c>
      <c r="J50" s="7" t="str">
        <f>IF(主角经验!AM51="","",主角经验!$B51*主角经验!AM51)</f>
        <v/>
      </c>
      <c r="K50" s="7">
        <f>IF(主角经验!AN51="","",主角经验!$B51*主角经验!AN51)</f>
        <v>196000</v>
      </c>
      <c r="L50" s="7">
        <f>IF(主角经验!AO51="","",主角经验!$B51*主角经验!AO51)</f>
        <v>65268</v>
      </c>
      <c r="M50" s="7">
        <f>IF(主角经验!AP51="","",主角经验!$B51*主角经验!AP51)</f>
        <v>0</v>
      </c>
      <c r="N50" s="7">
        <f>IF(主角经验!AQ51="","",主角经验!$B51*主角经验!AQ51)</f>
        <v>235200</v>
      </c>
      <c r="O50" s="7">
        <f>IF(主角经验!AR51="","",主角经验!$B51*主角经验!AR51)</f>
        <v>245000</v>
      </c>
      <c r="P50" s="7">
        <f>IF(主角经验!AS51="","",主角经验!$B51*主角经验!AS51)</f>
        <v>16268</v>
      </c>
      <c r="Q50" s="7">
        <f>IF(主角经验!AT51="","",主角经验!$B51*主角经验!AT51)</f>
        <v>1019200</v>
      </c>
      <c r="R50" s="7">
        <f>IF(主角经验!AU51="","",主角经验!$B51*主角经验!AU51)</f>
        <v>117600</v>
      </c>
      <c r="S50" s="7">
        <f>IF(主角经验!AV51="","",主角经验!$B51*主角经验!AV51)</f>
        <v>130732</v>
      </c>
      <c r="T50" s="7">
        <f>IF(主角经验!AW51="","",主角经验!$B51*主角经验!AW51)</f>
        <v>147000</v>
      </c>
      <c r="U50" s="7">
        <f>IF(主角经验!AX51="","",主角经验!$B51*主角经验!AX51)</f>
        <v>0</v>
      </c>
      <c r="V50" s="7">
        <f>IF(主角经验!AY51="","",主角经验!$B51*主角经验!AY51)</f>
        <v>130732</v>
      </c>
      <c r="W50" s="7">
        <f>IF(主角经验!AZ51="","",主角经验!$B51*主角经验!AZ51)</f>
        <v>49000</v>
      </c>
      <c r="X50" s="7">
        <f>IF(主角经验!BA51="","",主角经验!$B51*主角经验!BA51)</f>
        <v>98000</v>
      </c>
      <c r="Y50" s="7">
        <f>IF(主角经验!BB51="","",主角经验!$B51*主角经验!BB51)</f>
        <v>122500</v>
      </c>
      <c r="Z50" s="7">
        <f>IF(主角经验!BC51="","",主角经验!$B51*主角经验!BC51)</f>
        <v>171500</v>
      </c>
      <c r="AA50" s="7">
        <f>IF(主角经验!BD51="","",主角经验!$B51*主角经验!BD51)</f>
        <v>49000</v>
      </c>
      <c r="AB50" s="7" t="str">
        <f>IF(主角经验!BE51="","",主角经验!$B51*主角经验!BE51)</f>
        <v/>
      </c>
      <c r="AC50" s="7" t="str">
        <f>IF(主角经验!BF51="","",主角经验!$B51*主角经验!BF51)</f>
        <v/>
      </c>
      <c r="AD50" s="7" t="str">
        <f>IF(主角经验!BG51="","",主角经验!$B51*主角经验!BG51)</f>
        <v/>
      </c>
      <c r="AE50" s="7" t="str">
        <f>IF(主角经验!BH51="","",主角经验!$B51*主角经验!BH51)</f>
        <v/>
      </c>
      <c r="AF50" s="7">
        <f>主角经验!BK51</f>
        <v>301800</v>
      </c>
      <c r="AG50" s="7">
        <f>主角经验!BO51</f>
        <v>218</v>
      </c>
    </row>
    <row r="51" spans="1:36" s="10" customFormat="1">
      <c r="A51" s="70">
        <v>50</v>
      </c>
      <c r="B51" s="82">
        <f>主角经验!B52</f>
        <v>20000</v>
      </c>
      <c r="C51" s="10">
        <f>IF(主角经验!AF52="","",主角经验!$B52*主角经验!AF52)</f>
        <v>333400.00000000006</v>
      </c>
      <c r="D51" s="10">
        <f>IF(主角经验!AG52="","",主角经验!$B52*主角经验!AG52)</f>
        <v>132000</v>
      </c>
      <c r="E51" s="10">
        <f>IF(主角经验!AH52="","",主角经验!$B52*主角经验!AH52)</f>
        <v>50000</v>
      </c>
      <c r="F51" s="10">
        <f>IF(主角经验!AI52="","",主角经验!$B52*主角经验!AI52)</f>
        <v>300000</v>
      </c>
      <c r="G51" s="10" t="str">
        <f>IF(主角经验!AJ52="","",主角经验!$B52*主角经验!AJ52)</f>
        <v/>
      </c>
      <c r="H51" s="10" t="str">
        <f>IF(主角经验!AK52="","",主角经验!$B52*主角经验!AK52)</f>
        <v/>
      </c>
      <c r="I51" s="10" t="str">
        <f>IF(主角经验!AL52="","",主角经验!$B52*主角经验!AL52)</f>
        <v/>
      </c>
      <c r="J51" s="10" t="str">
        <f>IF(主角经验!AM52="","",主角经验!$B52*主角经验!AM52)</f>
        <v/>
      </c>
      <c r="K51" s="10">
        <f>IF(主角经验!AN52="","",主角经验!$B52*主角经验!AN52)</f>
        <v>200000</v>
      </c>
      <c r="L51" s="10">
        <f>IF(主角经验!AO52="","",主角经验!$B52*主角经验!AO52)</f>
        <v>66600</v>
      </c>
      <c r="M51" s="10">
        <f>IF(主角经验!AP52="","",主角经验!$B52*主角经验!AP52)</f>
        <v>400000</v>
      </c>
      <c r="N51" s="10">
        <f>IF(主角经验!AQ52="","",主角经验!$B52*主角经验!AQ52)</f>
        <v>240000</v>
      </c>
      <c r="O51" s="10">
        <f>IF(主角经验!AR52="","",主角经验!$B52*主角经验!AR52)</f>
        <v>250000</v>
      </c>
      <c r="P51" s="10">
        <f>IF(主角经验!AS52="","",主角经验!$B52*主角经验!AS52)</f>
        <v>16600</v>
      </c>
      <c r="Q51" s="10">
        <f>IF(主角经验!AT52="","",主角经验!$B52*主角经验!AT52)</f>
        <v>1040000</v>
      </c>
      <c r="R51" s="10">
        <f>IF(主角经验!AU52="","",主角经验!$B52*主角经验!AU52)</f>
        <v>120000</v>
      </c>
      <c r="S51" s="10">
        <f>IF(主角经验!AV52="","",主角经验!$B52*主角经验!AV52)</f>
        <v>133400</v>
      </c>
      <c r="T51" s="10">
        <f>IF(主角经验!AW52="","",主角经验!$B52*主角经验!AW52)</f>
        <v>0</v>
      </c>
      <c r="U51" s="10">
        <f>IF(主角经验!AX52="","",主角经验!$B52*主角经验!AX52)</f>
        <v>100000</v>
      </c>
      <c r="V51" s="10">
        <f>IF(主角经验!AY52="","",主角经验!$B52*主角经验!AY52)</f>
        <v>133400</v>
      </c>
      <c r="W51" s="10">
        <f>IF(主角经验!AZ52="","",主角经验!$B52*主角经验!AZ52)</f>
        <v>50000</v>
      </c>
      <c r="X51" s="10">
        <f>IF(主角经验!BA52="","",主角经验!$B52*主角经验!BA52)</f>
        <v>100000</v>
      </c>
      <c r="Y51" s="10">
        <f>IF(主角经验!BB52="","",主角经验!$B52*主角经验!BB52)</f>
        <v>125000</v>
      </c>
      <c r="Z51" s="10">
        <f>IF(主角经验!BC52="","",主角经验!$B52*主角经验!BC52)</f>
        <v>175000</v>
      </c>
      <c r="AA51" s="10">
        <f>IF(主角经验!BD52="","",主角经验!$B52*主角经验!BD52)</f>
        <v>50000</v>
      </c>
      <c r="AB51" s="10" t="str">
        <f>IF(主角经验!BE52="","",主角经验!$B52*主角经验!BE52)</f>
        <v/>
      </c>
      <c r="AC51" s="10" t="str">
        <f>IF(主角经验!BF52="","",主角经验!$B52*主角经验!BF52)</f>
        <v/>
      </c>
      <c r="AD51" s="10" t="str">
        <f>IF(主角经验!BG52="","",主角经验!$B52*主角经验!BG52)</f>
        <v/>
      </c>
      <c r="AE51" s="10" t="str">
        <f>IF(主角经验!BH52="","",主角经验!$B52*主角经验!BH52)</f>
        <v/>
      </c>
      <c r="AF51" s="10">
        <f>主角经验!BK52</f>
        <v>320000</v>
      </c>
      <c r="AG51" s="7">
        <f>主角经验!BO52</f>
        <v>222</v>
      </c>
      <c r="AH51" s="10">
        <f>Y51*3.5/18</f>
        <v>24305.555555555555</v>
      </c>
      <c r="AI51" s="10">
        <f>Z51*7/5/10</f>
        <v>24500</v>
      </c>
      <c r="AJ51" s="10">
        <f>AA51*7/10*0.2</f>
        <v>7000</v>
      </c>
    </row>
    <row r="52" spans="1:36">
      <c r="A52" s="32">
        <v>51</v>
      </c>
      <c r="B52" s="81">
        <f>主角经验!B53</f>
        <v>20400</v>
      </c>
      <c r="C52" s="7">
        <f>IF(主角经验!AF53="","",主角经验!$B53*主角经验!AF53)</f>
        <v>340068.00000000006</v>
      </c>
      <c r="D52" s="7">
        <f>IF(主角经验!AG53="","",主角经验!$B53*主角经验!AG53)</f>
        <v>134640</v>
      </c>
      <c r="E52" s="7">
        <f>IF(主角经验!AH53="","",主角经验!$B53*主角经验!AH53)</f>
        <v>51000</v>
      </c>
      <c r="F52" s="7">
        <f>IF(主角经验!AI53="","",主角经验!$B53*主角经验!AI53)</f>
        <v>306000</v>
      </c>
      <c r="G52" s="7" t="str">
        <f>IF(主角经验!AJ53="","",主角经验!$B53*主角经验!AJ53)</f>
        <v/>
      </c>
      <c r="H52" s="7" t="str">
        <f>IF(主角经验!AK53="","",主角经验!$B53*主角经验!AK53)</f>
        <v/>
      </c>
      <c r="I52" s="7" t="str">
        <f>IF(主角经验!AL53="","",主角经验!$B53*主角经验!AL53)</f>
        <v/>
      </c>
      <c r="J52" s="7" t="str">
        <f>IF(主角经验!AM53="","",主角经验!$B53*主角经验!AM53)</f>
        <v/>
      </c>
      <c r="K52" s="7">
        <f>IF(主角经验!AN53="","",主角经验!$B53*主角经验!AN53)</f>
        <v>204000</v>
      </c>
      <c r="L52" s="7">
        <f>IF(主角经验!AO53="","",主角经验!$B53*主角经验!AO53)</f>
        <v>67932</v>
      </c>
      <c r="M52" s="7">
        <f>IF(主角经验!AP53="","",主角经验!$B53*主角经验!AP53)</f>
        <v>408000</v>
      </c>
      <c r="N52" s="7">
        <f>IF(主角经验!AQ53="","",主角经验!$B53*主角经验!AQ53)</f>
        <v>244800</v>
      </c>
      <c r="O52" s="7">
        <f>IF(主角经验!AR53="","",主角经验!$B53*主角经验!AR53)</f>
        <v>255000</v>
      </c>
      <c r="P52" s="7">
        <f>IF(主角经验!AS53="","",主角经验!$B53*主角经验!AS53)</f>
        <v>16932</v>
      </c>
      <c r="Q52" s="7">
        <f>IF(主角经验!AT53="","",主角经验!$B53*主角经验!AT53)</f>
        <v>1060800</v>
      </c>
      <c r="R52" s="7">
        <f>IF(主角经验!AU53="","",主角经验!$B53*主角经验!AU53)</f>
        <v>122400</v>
      </c>
      <c r="S52" s="7">
        <f>IF(主角经验!AV53="","",主角经验!$B53*主角经验!AV53)</f>
        <v>136068</v>
      </c>
      <c r="T52" s="7">
        <f>IF(主角经验!AW53="","",主角经验!$B53*主角经验!AW53)</f>
        <v>0</v>
      </c>
      <c r="U52" s="7">
        <f>IF(主角经验!AX53="","",主角经验!$B53*主角经验!AX53)</f>
        <v>102000</v>
      </c>
      <c r="V52" s="7">
        <f>IF(主角经验!AY53="","",主角经验!$B53*主角经验!AY53)</f>
        <v>136068</v>
      </c>
      <c r="W52" s="7">
        <f>IF(主角经验!AZ53="","",主角经验!$B53*主角经验!AZ53)</f>
        <v>51000</v>
      </c>
      <c r="X52" s="7">
        <f>IF(主角经验!BA53="","",主角经验!$B53*主角经验!BA53)</f>
        <v>102000</v>
      </c>
      <c r="Y52" s="7">
        <f>IF(主角经验!BB53="","",主角经验!$B53*主角经验!BB53)</f>
        <v>127500</v>
      </c>
      <c r="Z52" s="7">
        <f>IF(主角经验!BC53="","",主角经验!$B53*主角经验!BC53)</f>
        <v>178500</v>
      </c>
      <c r="AA52" s="7">
        <f>IF(主角经验!BD53="","",主角经验!$B53*主角经验!BD53)</f>
        <v>51000</v>
      </c>
      <c r="AB52" s="7" t="str">
        <f>IF(主角经验!BE53="","",主角经验!$B53*主角经验!BE53)</f>
        <v/>
      </c>
      <c r="AC52" s="7" t="str">
        <f>IF(主角经验!BF53="","",主角经验!$B53*主角经验!BF53)</f>
        <v/>
      </c>
      <c r="AD52" s="7" t="str">
        <f>IF(主角经验!BG53="","",主角经验!$B53*主角经验!BG53)</f>
        <v/>
      </c>
      <c r="AE52" s="7" t="str">
        <f>IF(主角经验!BH53="","",主角经验!$B53*主角经验!BH53)</f>
        <v/>
      </c>
      <c r="AF52" s="7">
        <f>主角经验!BK53</f>
        <v>338600</v>
      </c>
      <c r="AG52" s="7">
        <f>主角经验!BO53</f>
        <v>227</v>
      </c>
    </row>
    <row r="53" spans="1:36">
      <c r="A53" s="32">
        <v>52</v>
      </c>
      <c r="B53" s="81">
        <f>主角经验!B54</f>
        <v>20800</v>
      </c>
      <c r="C53" s="7">
        <f>IF(主角经验!AF54="","",主角经验!$B54*主角经验!AF54)</f>
        <v>346736.00000000006</v>
      </c>
      <c r="D53" s="7">
        <f>IF(主角经验!AG54="","",主角经验!$B54*主角经验!AG54)</f>
        <v>137280</v>
      </c>
      <c r="E53" s="7">
        <f>IF(主角经验!AH54="","",主角经验!$B54*主角经验!AH54)</f>
        <v>52000</v>
      </c>
      <c r="F53" s="7">
        <f>IF(主角经验!AI54="","",主角经验!$B54*主角经验!AI54)</f>
        <v>312000</v>
      </c>
      <c r="G53" s="7" t="str">
        <f>IF(主角经验!AJ54="","",主角经验!$B54*主角经验!AJ54)</f>
        <v/>
      </c>
      <c r="H53" s="7" t="str">
        <f>IF(主角经验!AK54="","",主角经验!$B54*主角经验!AK54)</f>
        <v/>
      </c>
      <c r="I53" s="7" t="str">
        <f>IF(主角经验!AL54="","",主角经验!$B54*主角经验!AL54)</f>
        <v/>
      </c>
      <c r="J53" s="7" t="str">
        <f>IF(主角经验!AM54="","",主角经验!$B54*主角经验!AM54)</f>
        <v/>
      </c>
      <c r="K53" s="7">
        <f>IF(主角经验!AN54="","",主角经验!$B54*主角经验!AN54)</f>
        <v>208000</v>
      </c>
      <c r="L53" s="7">
        <f>IF(主角经验!AO54="","",主角经验!$B54*主角经验!AO54)</f>
        <v>69264</v>
      </c>
      <c r="M53" s="7">
        <f>IF(主角经验!AP54="","",主角经验!$B54*主角经验!AP54)</f>
        <v>416000</v>
      </c>
      <c r="N53" s="7">
        <f>IF(主角经验!AQ54="","",主角经验!$B54*主角经验!AQ54)</f>
        <v>249600</v>
      </c>
      <c r="O53" s="7">
        <f>IF(主角经验!AR54="","",主角经验!$B54*主角经验!AR54)</f>
        <v>260000</v>
      </c>
      <c r="P53" s="7">
        <f>IF(主角经验!AS54="","",主角经验!$B54*主角经验!AS54)</f>
        <v>17264</v>
      </c>
      <c r="Q53" s="7">
        <f>IF(主角经验!AT54="","",主角经验!$B54*主角经验!AT54)</f>
        <v>1081600</v>
      </c>
      <c r="R53" s="7">
        <f>IF(主角经验!AU54="","",主角经验!$B54*主角经验!AU54)</f>
        <v>124800</v>
      </c>
      <c r="S53" s="7">
        <f>IF(主角经验!AV54="","",主角经验!$B54*主角经验!AV54)</f>
        <v>138736</v>
      </c>
      <c r="T53" s="7">
        <f>IF(主角经验!AW54="","",主角经验!$B54*主角经验!AW54)</f>
        <v>0</v>
      </c>
      <c r="U53" s="7">
        <f>IF(主角经验!AX54="","",主角经验!$B54*主角经验!AX54)</f>
        <v>104000</v>
      </c>
      <c r="V53" s="7">
        <f>IF(主角经验!AY54="","",主角经验!$B54*主角经验!AY54)</f>
        <v>138736</v>
      </c>
      <c r="W53" s="7">
        <f>IF(主角经验!AZ54="","",主角经验!$B54*主角经验!AZ54)</f>
        <v>52000</v>
      </c>
      <c r="X53" s="7">
        <f>IF(主角经验!BA54="","",主角经验!$B54*主角经验!BA54)</f>
        <v>104000</v>
      </c>
      <c r="Y53" s="7">
        <f>IF(主角经验!BB54="","",主角经验!$B54*主角经验!BB54)</f>
        <v>130000</v>
      </c>
      <c r="Z53" s="7">
        <f>IF(主角经验!BC54="","",主角经验!$B54*主角经验!BC54)</f>
        <v>182000</v>
      </c>
      <c r="AA53" s="7">
        <f>IF(主角经验!BD54="","",主角经验!$B54*主角经验!BD54)</f>
        <v>52000</v>
      </c>
      <c r="AB53" s="7" t="str">
        <f>IF(主角经验!BE54="","",主角经验!$B54*主角经验!BE54)</f>
        <v/>
      </c>
      <c r="AC53" s="7" t="str">
        <f>IF(主角经验!BF54="","",主角经验!$B54*主角经验!BF54)</f>
        <v/>
      </c>
      <c r="AD53" s="7" t="str">
        <f>IF(主角经验!BG54="","",主角经验!$B54*主角经验!BG54)</f>
        <v/>
      </c>
      <c r="AE53" s="7" t="str">
        <f>IF(主角经验!BH54="","",主角经验!$B54*主角经验!BH54)</f>
        <v/>
      </c>
      <c r="AF53" s="7">
        <f>主角经验!BK54</f>
        <v>357800</v>
      </c>
      <c r="AG53" s="7">
        <f>主角经验!BO54</f>
        <v>231</v>
      </c>
    </row>
    <row r="54" spans="1:36">
      <c r="A54" s="32">
        <v>53</v>
      </c>
      <c r="B54" s="81">
        <f>主角经验!B55</f>
        <v>21200</v>
      </c>
      <c r="C54" s="7">
        <f>IF(主角经验!AF55="","",主角经验!$B55*主角经验!AF55)</f>
        <v>353404.00000000006</v>
      </c>
      <c r="D54" s="7">
        <f>IF(主角经验!AG55="","",主角经验!$B55*主角经验!AG55)</f>
        <v>139920</v>
      </c>
      <c r="E54" s="7">
        <f>IF(主角经验!AH55="","",主角经验!$B55*主角经验!AH55)</f>
        <v>53000</v>
      </c>
      <c r="F54" s="7">
        <f>IF(主角经验!AI55="","",主角经验!$B55*主角经验!AI55)</f>
        <v>318000</v>
      </c>
      <c r="G54" s="7" t="str">
        <f>IF(主角经验!AJ55="","",主角经验!$B55*主角经验!AJ55)</f>
        <v/>
      </c>
      <c r="H54" s="7" t="str">
        <f>IF(主角经验!AK55="","",主角经验!$B55*主角经验!AK55)</f>
        <v/>
      </c>
      <c r="I54" s="7" t="str">
        <f>IF(主角经验!AL55="","",主角经验!$B55*主角经验!AL55)</f>
        <v/>
      </c>
      <c r="J54" s="7" t="str">
        <f>IF(主角经验!AM55="","",主角经验!$B55*主角经验!AM55)</f>
        <v/>
      </c>
      <c r="K54" s="7">
        <f>IF(主角经验!AN55="","",主角经验!$B55*主角经验!AN55)</f>
        <v>212000</v>
      </c>
      <c r="L54" s="7">
        <f>IF(主角经验!AO55="","",主角经验!$B55*主角经验!AO55)</f>
        <v>70596</v>
      </c>
      <c r="M54" s="7">
        <f>IF(主角经验!AP55="","",主角经验!$B55*主角经验!AP55)</f>
        <v>424000</v>
      </c>
      <c r="N54" s="7">
        <f>IF(主角经验!AQ55="","",主角经验!$B55*主角经验!AQ55)</f>
        <v>254400</v>
      </c>
      <c r="O54" s="7">
        <f>IF(主角经验!AR55="","",主角经验!$B55*主角经验!AR55)</f>
        <v>265000</v>
      </c>
      <c r="P54" s="7">
        <f>IF(主角经验!AS55="","",主角经验!$B55*主角经验!AS55)</f>
        <v>17596</v>
      </c>
      <c r="Q54" s="7">
        <f>IF(主角经验!AT55="","",主角经验!$B55*主角经验!AT55)</f>
        <v>1102400</v>
      </c>
      <c r="R54" s="7">
        <f>IF(主角经验!AU55="","",主角经验!$B55*主角经验!AU55)</f>
        <v>127200</v>
      </c>
      <c r="S54" s="7">
        <f>IF(主角经验!AV55="","",主角经验!$B55*主角经验!AV55)</f>
        <v>141404</v>
      </c>
      <c r="T54" s="7">
        <f>IF(主角经验!AW55="","",主角经验!$B55*主角经验!AW55)</f>
        <v>0</v>
      </c>
      <c r="U54" s="7">
        <f>IF(主角经验!AX55="","",主角经验!$B55*主角经验!AX55)</f>
        <v>106000</v>
      </c>
      <c r="V54" s="7">
        <f>IF(主角经验!AY55="","",主角经验!$B55*主角经验!AY55)</f>
        <v>141404</v>
      </c>
      <c r="W54" s="7">
        <f>IF(主角经验!AZ55="","",主角经验!$B55*主角经验!AZ55)</f>
        <v>53000</v>
      </c>
      <c r="X54" s="7">
        <f>IF(主角经验!BA55="","",主角经验!$B55*主角经验!BA55)</f>
        <v>106000</v>
      </c>
      <c r="Y54" s="7">
        <f>IF(主角经验!BB55="","",主角经验!$B55*主角经验!BB55)</f>
        <v>132500</v>
      </c>
      <c r="Z54" s="7">
        <f>IF(主角经验!BC55="","",主角经验!$B55*主角经验!BC55)</f>
        <v>185500</v>
      </c>
      <c r="AA54" s="7">
        <f>IF(主角经验!BD55="","",主角经验!$B55*主角经验!BD55)</f>
        <v>53000</v>
      </c>
      <c r="AB54" s="7" t="str">
        <f>IF(主角经验!BE55="","",主角经验!$B55*主角经验!BE55)</f>
        <v/>
      </c>
      <c r="AC54" s="7" t="str">
        <f>IF(主角经验!BF55="","",主角经验!$B55*主角经验!BF55)</f>
        <v/>
      </c>
      <c r="AD54" s="7" t="str">
        <f>IF(主角经验!BG55="","",主角经验!$B55*主角经验!BG55)</f>
        <v/>
      </c>
      <c r="AE54" s="7" t="str">
        <f>IF(主角经验!BH55="","",主角经验!$B55*主角经验!BH55)</f>
        <v/>
      </c>
      <c r="AF54" s="7">
        <f>主角经验!BK55</f>
        <v>377400</v>
      </c>
      <c r="AG54" s="7">
        <f>主角经验!BO55</f>
        <v>236</v>
      </c>
    </row>
    <row r="55" spans="1:36">
      <c r="A55" s="32">
        <v>54</v>
      </c>
      <c r="B55" s="81">
        <f>主角经验!B56</f>
        <v>21600</v>
      </c>
      <c r="C55" s="7">
        <f>IF(主角经验!AF56="","",主角经验!$B56*主角经验!AF56)</f>
        <v>360072.00000000006</v>
      </c>
      <c r="D55" s="7">
        <f>IF(主角经验!AG56="","",主角经验!$B56*主角经验!AG56)</f>
        <v>142560</v>
      </c>
      <c r="E55" s="7">
        <f>IF(主角经验!AH56="","",主角经验!$B56*主角经验!AH56)</f>
        <v>54000</v>
      </c>
      <c r="F55" s="7">
        <f>IF(主角经验!AI56="","",主角经验!$B56*主角经验!AI56)</f>
        <v>324000</v>
      </c>
      <c r="G55" s="7" t="str">
        <f>IF(主角经验!AJ56="","",主角经验!$B56*主角经验!AJ56)</f>
        <v/>
      </c>
      <c r="H55" s="7" t="str">
        <f>IF(主角经验!AK56="","",主角经验!$B56*主角经验!AK56)</f>
        <v/>
      </c>
      <c r="I55" s="7" t="str">
        <f>IF(主角经验!AL56="","",主角经验!$B56*主角经验!AL56)</f>
        <v/>
      </c>
      <c r="J55" s="7" t="str">
        <f>IF(主角经验!AM56="","",主角经验!$B56*主角经验!AM56)</f>
        <v/>
      </c>
      <c r="K55" s="7">
        <f>IF(主角经验!AN56="","",主角经验!$B56*主角经验!AN56)</f>
        <v>216000</v>
      </c>
      <c r="L55" s="7">
        <f>IF(主角经验!AO56="","",主角经验!$B56*主角经验!AO56)</f>
        <v>71928</v>
      </c>
      <c r="M55" s="7">
        <f>IF(主角经验!AP56="","",主角经验!$B56*主角经验!AP56)</f>
        <v>432000</v>
      </c>
      <c r="N55" s="7">
        <f>IF(主角经验!AQ56="","",主角经验!$B56*主角经验!AQ56)</f>
        <v>259200</v>
      </c>
      <c r="O55" s="7">
        <f>IF(主角经验!AR56="","",主角经验!$B56*主角经验!AR56)</f>
        <v>270000</v>
      </c>
      <c r="P55" s="7">
        <f>IF(主角经验!AS56="","",主角经验!$B56*主角经验!AS56)</f>
        <v>17928</v>
      </c>
      <c r="Q55" s="7">
        <f>IF(主角经验!AT56="","",主角经验!$B56*主角经验!AT56)</f>
        <v>1123200</v>
      </c>
      <c r="R55" s="7">
        <f>IF(主角经验!AU56="","",主角经验!$B56*主角经验!AU56)</f>
        <v>129600</v>
      </c>
      <c r="S55" s="7">
        <f>IF(主角经验!AV56="","",主角经验!$B56*主角经验!AV56)</f>
        <v>144072</v>
      </c>
      <c r="T55" s="7">
        <f>IF(主角经验!AW56="","",主角经验!$B56*主角经验!AW56)</f>
        <v>0</v>
      </c>
      <c r="U55" s="7">
        <f>IF(主角经验!AX56="","",主角经验!$B56*主角经验!AX56)</f>
        <v>108000</v>
      </c>
      <c r="V55" s="7">
        <f>IF(主角经验!AY56="","",主角经验!$B56*主角经验!AY56)</f>
        <v>144072</v>
      </c>
      <c r="W55" s="7">
        <f>IF(主角经验!AZ56="","",主角经验!$B56*主角经验!AZ56)</f>
        <v>54000</v>
      </c>
      <c r="X55" s="7">
        <f>IF(主角经验!BA56="","",主角经验!$B56*主角经验!BA56)</f>
        <v>108000</v>
      </c>
      <c r="Y55" s="7">
        <f>IF(主角经验!BB56="","",主角经验!$B56*主角经验!BB56)</f>
        <v>135000</v>
      </c>
      <c r="Z55" s="7">
        <f>IF(主角经验!BC56="","",主角经验!$B56*主角经验!BC56)</f>
        <v>189000</v>
      </c>
      <c r="AA55" s="7">
        <f>IF(主角经验!BD56="","",主角经验!$B56*主角经验!BD56)</f>
        <v>54000</v>
      </c>
      <c r="AB55" s="7" t="str">
        <f>IF(主角经验!BE56="","",主角经验!$B56*主角经验!BE56)</f>
        <v/>
      </c>
      <c r="AC55" s="7" t="str">
        <f>IF(主角经验!BF56="","",主角经验!$B56*主角经验!BF56)</f>
        <v/>
      </c>
      <c r="AD55" s="7" t="str">
        <f>IF(主角经验!BG56="","",主角经验!$B56*主角经验!BG56)</f>
        <v/>
      </c>
      <c r="AE55" s="7" t="str">
        <f>IF(主角经验!BH56="","",主角经验!$B56*主角经验!BH56)</f>
        <v/>
      </c>
      <c r="AF55" s="7">
        <f>主角经验!BK56</f>
        <v>397400</v>
      </c>
      <c r="AG55" s="7">
        <f>主角经验!BO56</f>
        <v>240</v>
      </c>
    </row>
    <row r="56" spans="1:36">
      <c r="A56" s="32">
        <v>55</v>
      </c>
      <c r="B56" s="81">
        <f>主角经验!B57</f>
        <v>22000</v>
      </c>
      <c r="C56" s="7">
        <f>IF(主角经验!AF57="","",主角经验!$B57*主角经验!AF57)</f>
        <v>366740.00000000006</v>
      </c>
      <c r="D56" s="7">
        <f>IF(主角经验!AG57="","",主角经验!$B57*主角经验!AG57)</f>
        <v>145200</v>
      </c>
      <c r="E56" s="7">
        <f>IF(主角经验!AH57="","",主角经验!$B57*主角经验!AH57)</f>
        <v>55000</v>
      </c>
      <c r="F56" s="7">
        <f>IF(主角经验!AI57="","",主角经验!$B57*主角经验!AI57)</f>
        <v>330000</v>
      </c>
      <c r="G56" s="7" t="str">
        <f>IF(主角经验!AJ57="","",主角经验!$B57*主角经验!AJ57)</f>
        <v/>
      </c>
      <c r="H56" s="7" t="str">
        <f>IF(主角经验!AK57="","",主角经验!$B57*主角经验!AK57)</f>
        <v/>
      </c>
      <c r="I56" s="7" t="str">
        <f>IF(主角经验!AL57="","",主角经验!$B57*主角经验!AL57)</f>
        <v/>
      </c>
      <c r="J56" s="7" t="str">
        <f>IF(主角经验!AM57="","",主角经验!$B57*主角经验!AM57)</f>
        <v/>
      </c>
      <c r="K56" s="7">
        <f>IF(主角经验!AN57="","",主角经验!$B57*主角经验!AN57)</f>
        <v>220000</v>
      </c>
      <c r="L56" s="7">
        <f>IF(主角经验!AO57="","",主角经验!$B57*主角经验!AO57)</f>
        <v>73260</v>
      </c>
      <c r="M56" s="7">
        <f>IF(主角经验!AP57="","",主角经验!$B57*主角经验!AP57)</f>
        <v>440000</v>
      </c>
      <c r="N56" s="7">
        <f>IF(主角经验!AQ57="","",主角经验!$B57*主角经验!AQ57)</f>
        <v>264000</v>
      </c>
      <c r="O56" s="7">
        <f>IF(主角经验!AR57="","",主角经验!$B57*主角经验!AR57)</f>
        <v>275000</v>
      </c>
      <c r="P56" s="7">
        <f>IF(主角经验!AS57="","",主角经验!$B57*主角经验!AS57)</f>
        <v>18260</v>
      </c>
      <c r="Q56" s="7">
        <f>IF(主角经验!AT57="","",主角经验!$B57*主角经验!AT57)</f>
        <v>1144000</v>
      </c>
      <c r="R56" s="7">
        <f>IF(主角经验!AU57="","",主角经验!$B57*主角经验!AU57)</f>
        <v>132000</v>
      </c>
      <c r="S56" s="7">
        <f>IF(主角经验!AV57="","",主角经验!$B57*主角经验!AV57)</f>
        <v>146740</v>
      </c>
      <c r="T56" s="7">
        <f>IF(主角经验!AW57="","",主角经验!$B57*主角经验!AW57)</f>
        <v>0</v>
      </c>
      <c r="U56" s="7">
        <f>IF(主角经验!AX57="","",主角经验!$B57*主角经验!AX57)</f>
        <v>110000</v>
      </c>
      <c r="V56" s="7">
        <f>IF(主角经验!AY57="","",主角经验!$B57*主角经验!AY57)</f>
        <v>146740</v>
      </c>
      <c r="W56" s="7">
        <f>IF(主角经验!AZ57="","",主角经验!$B57*主角经验!AZ57)</f>
        <v>55000</v>
      </c>
      <c r="X56" s="7">
        <f>IF(主角经验!BA57="","",主角经验!$B57*主角经验!BA57)</f>
        <v>110000</v>
      </c>
      <c r="Y56" s="7">
        <f>IF(主角经验!BB57="","",主角经验!$B57*主角经验!BB57)</f>
        <v>137500</v>
      </c>
      <c r="Z56" s="7">
        <f>IF(主角经验!BC57="","",主角经验!$B57*主角经验!BC57)</f>
        <v>192500</v>
      </c>
      <c r="AA56" s="7">
        <f>IF(主角经验!BD57="","",主角经验!$B57*主角经验!BD57)</f>
        <v>55000</v>
      </c>
      <c r="AB56" s="7" t="str">
        <f>IF(主角经验!BE57="","",主角经验!$B57*主角经验!BE57)</f>
        <v/>
      </c>
      <c r="AC56" s="7" t="str">
        <f>IF(主角经验!BF57="","",主角经验!$B57*主角经验!BF57)</f>
        <v/>
      </c>
      <c r="AD56" s="7" t="str">
        <f>IF(主角经验!BG57="","",主角经验!$B57*主角经验!BG57)</f>
        <v/>
      </c>
      <c r="AE56" s="7" t="str">
        <f>IF(主角经验!BH57="","",主角经验!$B57*主角经验!BH57)</f>
        <v/>
      </c>
      <c r="AF56" s="7">
        <f>主角经验!BK57</f>
        <v>418000</v>
      </c>
      <c r="AG56" s="7">
        <f>主角经验!BO57</f>
        <v>244</v>
      </c>
    </row>
    <row r="57" spans="1:36">
      <c r="A57" s="32">
        <v>56</v>
      </c>
      <c r="B57" s="81">
        <f>主角经验!B58</f>
        <v>22400</v>
      </c>
      <c r="C57" s="7">
        <f>IF(主角经验!AF58="","",主角经验!$B58*主角经验!AF58)</f>
        <v>373408.00000000006</v>
      </c>
      <c r="D57" s="7">
        <f>IF(主角经验!AG58="","",主角经验!$B58*主角经验!AG58)</f>
        <v>147840</v>
      </c>
      <c r="E57" s="7">
        <f>IF(主角经验!AH58="","",主角经验!$B58*主角经验!AH58)</f>
        <v>56000</v>
      </c>
      <c r="F57" s="7">
        <f>IF(主角经验!AI58="","",主角经验!$B58*主角经验!AI58)</f>
        <v>336000</v>
      </c>
      <c r="G57" s="7" t="str">
        <f>IF(主角经验!AJ58="","",主角经验!$B58*主角经验!AJ58)</f>
        <v/>
      </c>
      <c r="H57" s="7" t="str">
        <f>IF(主角经验!AK58="","",主角经验!$B58*主角经验!AK58)</f>
        <v/>
      </c>
      <c r="I57" s="7" t="str">
        <f>IF(主角经验!AL58="","",主角经验!$B58*主角经验!AL58)</f>
        <v/>
      </c>
      <c r="J57" s="7" t="str">
        <f>IF(主角经验!AM58="","",主角经验!$B58*主角经验!AM58)</f>
        <v/>
      </c>
      <c r="K57" s="7">
        <f>IF(主角经验!AN58="","",主角经验!$B58*主角经验!AN58)</f>
        <v>224000</v>
      </c>
      <c r="L57" s="7">
        <f>IF(主角经验!AO58="","",主角经验!$B58*主角经验!AO58)</f>
        <v>74592</v>
      </c>
      <c r="M57" s="7">
        <f>IF(主角经验!AP58="","",主角经验!$B58*主角经验!AP58)</f>
        <v>448000</v>
      </c>
      <c r="N57" s="7">
        <f>IF(主角经验!AQ58="","",主角经验!$B58*主角经验!AQ58)</f>
        <v>268800</v>
      </c>
      <c r="O57" s="7">
        <f>IF(主角经验!AR58="","",主角经验!$B58*主角经验!AR58)</f>
        <v>280000</v>
      </c>
      <c r="P57" s="7">
        <f>IF(主角经验!AS58="","",主角经验!$B58*主角经验!AS58)</f>
        <v>18592</v>
      </c>
      <c r="Q57" s="7">
        <f>IF(主角经验!AT58="","",主角经验!$B58*主角经验!AT58)</f>
        <v>1164800</v>
      </c>
      <c r="R57" s="7">
        <f>IF(主角经验!AU58="","",主角经验!$B58*主角经验!AU58)</f>
        <v>134400</v>
      </c>
      <c r="S57" s="7">
        <f>IF(主角经验!AV58="","",主角经验!$B58*主角经验!AV58)</f>
        <v>149408</v>
      </c>
      <c r="T57" s="7">
        <f>IF(主角经验!AW58="","",主角经验!$B58*主角经验!AW58)</f>
        <v>0</v>
      </c>
      <c r="U57" s="7">
        <f>IF(主角经验!AX58="","",主角经验!$B58*主角经验!AX58)</f>
        <v>112000</v>
      </c>
      <c r="V57" s="7">
        <f>IF(主角经验!AY58="","",主角经验!$B58*主角经验!AY58)</f>
        <v>149408</v>
      </c>
      <c r="W57" s="7">
        <f>IF(主角经验!AZ58="","",主角经验!$B58*主角经验!AZ58)</f>
        <v>56000</v>
      </c>
      <c r="X57" s="7">
        <f>IF(主角经验!BA58="","",主角经验!$B58*主角经验!BA58)</f>
        <v>112000</v>
      </c>
      <c r="Y57" s="7">
        <f>IF(主角经验!BB58="","",主角经验!$B58*主角经验!BB58)</f>
        <v>140000</v>
      </c>
      <c r="Z57" s="7">
        <f>IF(主角经验!BC58="","",主角经验!$B58*主角经验!BC58)</f>
        <v>196000</v>
      </c>
      <c r="AA57" s="7">
        <f>IF(主角经验!BD58="","",主角经验!$B58*主角经验!BD58)</f>
        <v>56000</v>
      </c>
      <c r="AB57" s="7" t="str">
        <f>IF(主角经验!BE58="","",主角经验!$B58*主角经验!BE58)</f>
        <v/>
      </c>
      <c r="AC57" s="7" t="str">
        <f>IF(主角经验!BF58="","",主角经验!$B58*主角经验!BF58)</f>
        <v/>
      </c>
      <c r="AD57" s="7" t="str">
        <f>IF(主角经验!BG58="","",主角经验!$B58*主角经验!BG58)</f>
        <v/>
      </c>
      <c r="AE57" s="7" t="str">
        <f>IF(主角经验!BH58="","",主角经验!$B58*主角经验!BH58)</f>
        <v/>
      </c>
      <c r="AF57" s="7">
        <f>主角经验!BK58</f>
        <v>439000</v>
      </c>
      <c r="AG57" s="7">
        <f>主角经验!BO58</f>
        <v>249</v>
      </c>
    </row>
    <row r="58" spans="1:36">
      <c r="A58" s="32">
        <v>57</v>
      </c>
      <c r="B58" s="81">
        <f>主角经验!B59</f>
        <v>22800</v>
      </c>
      <c r="C58" s="7">
        <f>IF(主角经验!AF59="","",主角经验!$B59*主角经验!AF59)</f>
        <v>380076.00000000006</v>
      </c>
      <c r="D58" s="7">
        <f>IF(主角经验!AG59="","",主角经验!$B59*主角经验!AG59)</f>
        <v>150480</v>
      </c>
      <c r="E58" s="7">
        <f>IF(主角经验!AH59="","",主角经验!$B59*主角经验!AH59)</f>
        <v>57000</v>
      </c>
      <c r="F58" s="7">
        <f>IF(主角经验!AI59="","",主角经验!$B59*主角经验!AI59)</f>
        <v>342000</v>
      </c>
      <c r="G58" s="7" t="str">
        <f>IF(主角经验!AJ59="","",主角经验!$B59*主角经验!AJ59)</f>
        <v/>
      </c>
      <c r="H58" s="7" t="str">
        <f>IF(主角经验!AK59="","",主角经验!$B59*主角经验!AK59)</f>
        <v/>
      </c>
      <c r="I58" s="7" t="str">
        <f>IF(主角经验!AL59="","",主角经验!$B59*主角经验!AL59)</f>
        <v/>
      </c>
      <c r="J58" s="7" t="str">
        <f>IF(主角经验!AM59="","",主角经验!$B59*主角经验!AM59)</f>
        <v/>
      </c>
      <c r="K58" s="7">
        <f>IF(主角经验!AN59="","",主角经验!$B59*主角经验!AN59)</f>
        <v>228000</v>
      </c>
      <c r="L58" s="7">
        <f>IF(主角经验!AO59="","",主角经验!$B59*主角经验!AO59)</f>
        <v>75924</v>
      </c>
      <c r="M58" s="7">
        <f>IF(主角经验!AP59="","",主角经验!$B59*主角经验!AP59)</f>
        <v>456000</v>
      </c>
      <c r="N58" s="7">
        <f>IF(主角经验!AQ59="","",主角经验!$B59*主角经验!AQ59)</f>
        <v>273600</v>
      </c>
      <c r="O58" s="7">
        <f>IF(主角经验!AR59="","",主角经验!$B59*主角经验!AR59)</f>
        <v>285000</v>
      </c>
      <c r="P58" s="7">
        <f>IF(主角经验!AS59="","",主角经验!$B59*主角经验!AS59)</f>
        <v>18924</v>
      </c>
      <c r="Q58" s="7">
        <f>IF(主角经验!AT59="","",主角经验!$B59*主角经验!AT59)</f>
        <v>1185600</v>
      </c>
      <c r="R58" s="7">
        <f>IF(主角经验!AU59="","",主角经验!$B59*主角经验!AU59)</f>
        <v>136800</v>
      </c>
      <c r="S58" s="7">
        <f>IF(主角经验!AV59="","",主角经验!$B59*主角经验!AV59)</f>
        <v>152076</v>
      </c>
      <c r="T58" s="7">
        <f>IF(主角经验!AW59="","",主角经验!$B59*主角经验!AW59)</f>
        <v>0</v>
      </c>
      <c r="U58" s="7">
        <f>IF(主角经验!AX59="","",主角经验!$B59*主角经验!AX59)</f>
        <v>114000</v>
      </c>
      <c r="V58" s="7">
        <f>IF(主角经验!AY59="","",主角经验!$B59*主角经验!AY59)</f>
        <v>152076</v>
      </c>
      <c r="W58" s="7">
        <f>IF(主角经验!AZ59="","",主角经验!$B59*主角经验!AZ59)</f>
        <v>57000</v>
      </c>
      <c r="X58" s="7">
        <f>IF(主角经验!BA59="","",主角经验!$B59*主角经验!BA59)</f>
        <v>114000</v>
      </c>
      <c r="Y58" s="7">
        <f>IF(主角经验!BB59="","",主角经验!$B59*主角经验!BB59)</f>
        <v>142500</v>
      </c>
      <c r="Z58" s="7">
        <f>IF(主角经验!BC59="","",主角经验!$B59*主角经验!BC59)</f>
        <v>199500</v>
      </c>
      <c r="AA58" s="7">
        <f>IF(主角经验!BD59="","",主角经验!$B59*主角经验!BD59)</f>
        <v>57000</v>
      </c>
      <c r="AB58" s="7" t="str">
        <f>IF(主角经验!BE59="","",主角经验!$B59*主角经验!BE59)</f>
        <v/>
      </c>
      <c r="AC58" s="7" t="str">
        <f>IF(主角经验!BF59="","",主角经验!$B59*主角经验!BF59)</f>
        <v/>
      </c>
      <c r="AD58" s="7" t="str">
        <f>IF(主角经验!BG59="","",主角经验!$B59*主角经验!BG59)</f>
        <v/>
      </c>
      <c r="AE58" s="7" t="str">
        <f>IF(主角经验!BH59="","",主角经验!$B59*主角经验!BH59)</f>
        <v/>
      </c>
      <c r="AF58" s="7">
        <f>主角经验!BK59</f>
        <v>460600</v>
      </c>
      <c r="AG58" s="7">
        <f>主角经验!BO59</f>
        <v>253</v>
      </c>
    </row>
    <row r="59" spans="1:36">
      <c r="A59" s="32">
        <v>58</v>
      </c>
      <c r="B59" s="81">
        <f>主角经验!B60</f>
        <v>23200</v>
      </c>
      <c r="C59" s="7">
        <f>IF(主角经验!AF60="","",主角经验!$B60*主角经验!AF60)</f>
        <v>386744.00000000006</v>
      </c>
      <c r="D59" s="7">
        <f>IF(主角经验!AG60="","",主角经验!$B60*主角经验!AG60)</f>
        <v>153120</v>
      </c>
      <c r="E59" s="7">
        <f>IF(主角经验!AH60="","",主角经验!$B60*主角经验!AH60)</f>
        <v>58000</v>
      </c>
      <c r="F59" s="7">
        <f>IF(主角经验!AI60="","",主角经验!$B60*主角经验!AI60)</f>
        <v>348000</v>
      </c>
      <c r="G59" s="7" t="str">
        <f>IF(主角经验!AJ60="","",主角经验!$B60*主角经验!AJ60)</f>
        <v/>
      </c>
      <c r="H59" s="7" t="str">
        <f>IF(主角经验!AK60="","",主角经验!$B60*主角经验!AK60)</f>
        <v/>
      </c>
      <c r="I59" s="7" t="str">
        <f>IF(主角经验!AL60="","",主角经验!$B60*主角经验!AL60)</f>
        <v/>
      </c>
      <c r="J59" s="7" t="str">
        <f>IF(主角经验!AM60="","",主角经验!$B60*主角经验!AM60)</f>
        <v/>
      </c>
      <c r="K59" s="7">
        <f>IF(主角经验!AN60="","",主角经验!$B60*主角经验!AN60)</f>
        <v>232000</v>
      </c>
      <c r="L59" s="7">
        <f>IF(主角经验!AO60="","",主角经验!$B60*主角经验!AO60)</f>
        <v>77256</v>
      </c>
      <c r="M59" s="7">
        <f>IF(主角经验!AP60="","",主角经验!$B60*主角经验!AP60)</f>
        <v>464000</v>
      </c>
      <c r="N59" s="7">
        <f>IF(主角经验!AQ60="","",主角经验!$B60*主角经验!AQ60)</f>
        <v>278400</v>
      </c>
      <c r="O59" s="7">
        <f>IF(主角经验!AR60="","",主角经验!$B60*主角经验!AR60)</f>
        <v>290000</v>
      </c>
      <c r="P59" s="7">
        <f>IF(主角经验!AS60="","",主角经验!$B60*主角经验!AS60)</f>
        <v>19256</v>
      </c>
      <c r="Q59" s="7">
        <f>IF(主角经验!AT60="","",主角经验!$B60*主角经验!AT60)</f>
        <v>1206400</v>
      </c>
      <c r="R59" s="7">
        <f>IF(主角经验!AU60="","",主角经验!$B60*主角经验!AU60)</f>
        <v>139200</v>
      </c>
      <c r="S59" s="7">
        <f>IF(主角经验!AV60="","",主角经验!$B60*主角经验!AV60)</f>
        <v>154744</v>
      </c>
      <c r="T59" s="7">
        <f>IF(主角经验!AW60="","",主角经验!$B60*主角经验!AW60)</f>
        <v>0</v>
      </c>
      <c r="U59" s="7">
        <f>IF(主角经验!AX60="","",主角经验!$B60*主角经验!AX60)</f>
        <v>116000</v>
      </c>
      <c r="V59" s="7">
        <f>IF(主角经验!AY60="","",主角经验!$B60*主角经验!AY60)</f>
        <v>154744</v>
      </c>
      <c r="W59" s="7">
        <f>IF(主角经验!AZ60="","",主角经验!$B60*主角经验!AZ60)</f>
        <v>58000</v>
      </c>
      <c r="X59" s="7">
        <f>IF(主角经验!BA60="","",主角经验!$B60*主角经验!BA60)</f>
        <v>116000</v>
      </c>
      <c r="Y59" s="7">
        <f>IF(主角经验!BB60="","",主角经验!$B60*主角经验!BB60)</f>
        <v>145000</v>
      </c>
      <c r="Z59" s="7">
        <f>IF(主角经验!BC60="","",主角经验!$B60*主角经验!BC60)</f>
        <v>203000</v>
      </c>
      <c r="AA59" s="7">
        <f>IF(主角经验!BD60="","",主角经验!$B60*主角经验!BD60)</f>
        <v>58000</v>
      </c>
      <c r="AB59" s="7" t="str">
        <f>IF(主角经验!BE60="","",主角经验!$B60*主角经验!BE60)</f>
        <v/>
      </c>
      <c r="AC59" s="7" t="str">
        <f>IF(主角经验!BF60="","",主角经验!$B60*主角经验!BF60)</f>
        <v/>
      </c>
      <c r="AD59" s="7" t="str">
        <f>IF(主角经验!BG60="","",主角经验!$B60*主角经验!BG60)</f>
        <v/>
      </c>
      <c r="AE59" s="7" t="str">
        <f>IF(主角经验!BH60="","",主角经验!$B60*主角经验!BH60)</f>
        <v/>
      </c>
      <c r="AF59" s="7">
        <f>主角经验!BK60</f>
        <v>482600</v>
      </c>
      <c r="AG59" s="7">
        <f>主角经验!BO60</f>
        <v>258</v>
      </c>
    </row>
    <row r="60" spans="1:36">
      <c r="A60" s="32">
        <v>59</v>
      </c>
      <c r="B60" s="81">
        <f>主角经验!B61</f>
        <v>23600</v>
      </c>
      <c r="C60" s="7">
        <f>IF(主角经验!AF61="","",主角经验!$B61*主角经验!AF61)</f>
        <v>393412.00000000006</v>
      </c>
      <c r="D60" s="7">
        <f>IF(主角经验!AG61="","",主角经验!$B61*主角经验!AG61)</f>
        <v>155760</v>
      </c>
      <c r="E60" s="7">
        <f>IF(主角经验!AH61="","",主角经验!$B61*主角经验!AH61)</f>
        <v>59000</v>
      </c>
      <c r="F60" s="7">
        <f>IF(主角经验!AI61="","",主角经验!$B61*主角经验!AI61)</f>
        <v>354000</v>
      </c>
      <c r="G60" s="7" t="str">
        <f>IF(主角经验!AJ61="","",主角经验!$B61*主角经验!AJ61)</f>
        <v/>
      </c>
      <c r="H60" s="7" t="str">
        <f>IF(主角经验!AK61="","",主角经验!$B61*主角经验!AK61)</f>
        <v/>
      </c>
      <c r="I60" s="7" t="str">
        <f>IF(主角经验!AL61="","",主角经验!$B61*主角经验!AL61)</f>
        <v/>
      </c>
      <c r="J60" s="7" t="str">
        <f>IF(主角经验!AM61="","",主角经验!$B61*主角经验!AM61)</f>
        <v/>
      </c>
      <c r="K60" s="7">
        <f>IF(主角经验!AN61="","",主角经验!$B61*主角经验!AN61)</f>
        <v>236000</v>
      </c>
      <c r="L60" s="7">
        <f>IF(主角经验!AO61="","",主角经验!$B61*主角经验!AO61)</f>
        <v>78588</v>
      </c>
      <c r="M60" s="7">
        <f>IF(主角经验!AP61="","",主角经验!$B61*主角经验!AP61)</f>
        <v>472000</v>
      </c>
      <c r="N60" s="7">
        <f>IF(主角经验!AQ61="","",主角经验!$B61*主角经验!AQ61)</f>
        <v>283200</v>
      </c>
      <c r="O60" s="7">
        <f>IF(主角经验!AR61="","",主角经验!$B61*主角经验!AR61)</f>
        <v>295000</v>
      </c>
      <c r="P60" s="7">
        <f>IF(主角经验!AS61="","",主角经验!$B61*主角经验!AS61)</f>
        <v>19588</v>
      </c>
      <c r="Q60" s="7">
        <f>IF(主角经验!AT61="","",主角经验!$B61*主角经验!AT61)</f>
        <v>1227200</v>
      </c>
      <c r="R60" s="7">
        <f>IF(主角经验!AU61="","",主角经验!$B61*主角经验!AU61)</f>
        <v>141600</v>
      </c>
      <c r="S60" s="7">
        <f>IF(主角经验!AV61="","",主角经验!$B61*主角经验!AV61)</f>
        <v>157412</v>
      </c>
      <c r="T60" s="7">
        <f>IF(主角经验!AW61="","",主角经验!$B61*主角经验!AW61)</f>
        <v>0</v>
      </c>
      <c r="U60" s="7">
        <f>IF(主角经验!AX61="","",主角经验!$B61*主角经验!AX61)</f>
        <v>118000</v>
      </c>
      <c r="V60" s="7">
        <f>IF(主角经验!AY61="","",主角经验!$B61*主角经验!AY61)</f>
        <v>157412</v>
      </c>
      <c r="W60" s="7">
        <f>IF(主角经验!AZ61="","",主角经验!$B61*主角经验!AZ61)</f>
        <v>59000</v>
      </c>
      <c r="X60" s="7">
        <f>IF(主角经验!BA61="","",主角经验!$B61*主角经验!BA61)</f>
        <v>118000</v>
      </c>
      <c r="Y60" s="7">
        <f>IF(主角经验!BB61="","",主角经验!$B61*主角经验!BB61)</f>
        <v>147500</v>
      </c>
      <c r="Z60" s="7">
        <f>IF(主角经验!BC61="","",主角经验!$B61*主角经验!BC61)</f>
        <v>206500</v>
      </c>
      <c r="AA60" s="7">
        <f>IF(主角经验!BD61="","",主角经验!$B61*主角经验!BD61)</f>
        <v>59000</v>
      </c>
      <c r="AB60" s="7" t="str">
        <f>IF(主角经验!BE61="","",主角经验!$B61*主角经验!BE61)</f>
        <v/>
      </c>
      <c r="AC60" s="7" t="str">
        <f>IF(主角经验!BF61="","",主角经验!$B61*主角经验!BF61)</f>
        <v/>
      </c>
      <c r="AD60" s="7" t="str">
        <f>IF(主角经验!BG61="","",主角经验!$B61*主角经验!BG61)</f>
        <v/>
      </c>
      <c r="AE60" s="7" t="str">
        <f>IF(主角经验!BH61="","",主角经验!$B61*主角经验!BH61)</f>
        <v/>
      </c>
      <c r="AF60" s="7">
        <f>主角经验!BK61</f>
        <v>505000</v>
      </c>
      <c r="AG60" s="7">
        <f>主角经验!BO61</f>
        <v>262</v>
      </c>
    </row>
    <row r="61" spans="1:36" s="10" customFormat="1">
      <c r="A61" s="70">
        <v>60</v>
      </c>
      <c r="B61" s="82">
        <f>主角经验!B62</f>
        <v>24000</v>
      </c>
      <c r="C61" s="10">
        <f>IF(主角经验!AF62="","",主角经验!$B62*主角经验!AF62)</f>
        <v>400080.00000000006</v>
      </c>
      <c r="D61" s="10">
        <f>IF(主角经验!AG62="","",主角经验!$B62*主角经验!AG62)</f>
        <v>158400</v>
      </c>
      <c r="E61" s="10">
        <f>IF(主角经验!AH62="","",主角经验!$B62*主角经验!AH62)</f>
        <v>60000</v>
      </c>
      <c r="F61" s="10">
        <f>IF(主角经验!AI62="","",主角经验!$B62*主角经验!AI62)</f>
        <v>360000</v>
      </c>
      <c r="G61" s="10" t="str">
        <f>IF(主角经验!AJ62="","",主角经验!$B62*主角经验!AJ62)</f>
        <v/>
      </c>
      <c r="H61" s="10" t="str">
        <f>IF(主角经验!AK62="","",主角经验!$B62*主角经验!AK62)</f>
        <v/>
      </c>
      <c r="I61" s="10" t="str">
        <f>IF(主角经验!AL62="","",主角经验!$B62*主角经验!AL62)</f>
        <v/>
      </c>
      <c r="J61" s="10" t="str">
        <f>IF(主角经验!AM62="","",主角经验!$B62*主角经验!AM62)</f>
        <v/>
      </c>
      <c r="K61" s="10">
        <f>IF(主角经验!AN62="","",主角经验!$B62*主角经验!AN62)</f>
        <v>240000</v>
      </c>
      <c r="L61" s="10">
        <f>IF(主角经验!AO62="","",主角经验!$B62*主角经验!AO62)</f>
        <v>79920</v>
      </c>
      <c r="M61" s="10">
        <f>IF(主角经验!AP62="","",主角经验!$B62*主角经验!AP62)</f>
        <v>480000</v>
      </c>
      <c r="N61" s="10">
        <f>IF(主角经验!AQ62="","",主角经验!$B62*主角经验!AQ62)</f>
        <v>288000</v>
      </c>
      <c r="O61" s="10">
        <f>IF(主角经验!AR62="","",主角经验!$B62*主角经验!AR62)</f>
        <v>300000</v>
      </c>
      <c r="P61" s="10">
        <f>IF(主角经验!AS62="","",主角经验!$B62*主角经验!AS62)</f>
        <v>19920</v>
      </c>
      <c r="Q61" s="10">
        <f>IF(主角经验!AT62="","",主角经验!$B62*主角经验!AT62)</f>
        <v>1248000</v>
      </c>
      <c r="R61" s="10">
        <f>IF(主角经验!AU62="","",主角经验!$B62*主角经验!AU62)</f>
        <v>144000</v>
      </c>
      <c r="S61" s="10">
        <f>IF(主角经验!AV62="","",主角经验!$B62*主角经验!AV62)</f>
        <v>160080</v>
      </c>
      <c r="T61" s="10">
        <f>IF(主角经验!AW62="","",主角经验!$B62*主角经验!AW62)</f>
        <v>0</v>
      </c>
      <c r="U61" s="10">
        <f>IF(主角经验!AX62="","",主角经验!$B62*主角经验!AX62)</f>
        <v>120000</v>
      </c>
      <c r="V61" s="10">
        <f>IF(主角经验!AY62="","",主角经验!$B62*主角经验!AY62)</f>
        <v>160080</v>
      </c>
      <c r="W61" s="10">
        <f>IF(主角经验!AZ62="","",主角经验!$B62*主角经验!AZ62)</f>
        <v>60000</v>
      </c>
      <c r="X61" s="10">
        <f>IF(主角经验!BA62="","",主角经验!$B62*主角经验!BA62)</f>
        <v>120000</v>
      </c>
      <c r="Y61" s="10">
        <f>IF(主角经验!BB62="","",主角经验!$B62*主角经验!BB62)</f>
        <v>150000</v>
      </c>
      <c r="Z61" s="10">
        <f>IF(主角经验!BC62="","",主角经验!$B62*主角经验!BC62)</f>
        <v>210000</v>
      </c>
      <c r="AA61" s="10">
        <f>IF(主角经验!BD62="","",主角经验!$B62*主角经验!BD62)</f>
        <v>60000</v>
      </c>
      <c r="AB61" s="10" t="str">
        <f>IF(主角经验!BE62="","",主角经验!$B62*主角经验!BE62)</f>
        <v/>
      </c>
      <c r="AC61" s="10" t="str">
        <f>IF(主角经验!BF62="","",主角经验!$B62*主角经验!BF62)</f>
        <v/>
      </c>
      <c r="AD61" s="10" t="str">
        <f>IF(主角经验!BG62="","",主角经验!$B62*主角经验!BG62)</f>
        <v/>
      </c>
      <c r="AE61" s="10" t="str">
        <f>IF(主角经验!BH62="","",主角经验!$B62*主角经验!BH62)</f>
        <v/>
      </c>
      <c r="AF61" s="10">
        <f>主角经验!BK62</f>
        <v>840000</v>
      </c>
      <c r="AG61" s="7">
        <f>主角经验!BO62</f>
        <v>267</v>
      </c>
      <c r="AH61" s="10">
        <f>Y61*3.5/18</f>
        <v>29166.666666666668</v>
      </c>
      <c r="AI61" s="10">
        <f>Z61*7/5/10</f>
        <v>29400</v>
      </c>
      <c r="AJ61" s="10">
        <f>AA61*7/10*0.2</f>
        <v>8400</v>
      </c>
    </row>
    <row r="62" spans="1:36">
      <c r="A62" s="32">
        <v>61</v>
      </c>
      <c r="B62" s="81">
        <f>主角经验!B63</f>
        <v>24400</v>
      </c>
      <c r="C62" s="7">
        <f>IF(主角经验!AF63="","",主角经验!$B63*主角经验!AF63)</f>
        <v>406748.00000000006</v>
      </c>
      <c r="D62" s="7">
        <f>IF(主角经验!AG63="","",主角经验!$B63*主角经验!AG63)</f>
        <v>161040</v>
      </c>
      <c r="E62" s="7">
        <f>IF(主角经验!AH63="","",主角经验!$B63*主角经验!AH63)</f>
        <v>61000</v>
      </c>
      <c r="F62" s="7">
        <f>IF(主角经验!AI63="","",主角经验!$B63*主角经验!AI63)</f>
        <v>366000</v>
      </c>
      <c r="G62" s="7" t="str">
        <f>IF(主角经验!AJ63="","",主角经验!$B63*主角经验!AJ63)</f>
        <v/>
      </c>
      <c r="H62" s="7" t="str">
        <f>IF(主角经验!AK63="","",主角经验!$B63*主角经验!AK63)</f>
        <v/>
      </c>
      <c r="I62" s="7" t="str">
        <f>IF(主角经验!AL63="","",主角经验!$B63*主角经验!AL63)</f>
        <v/>
      </c>
      <c r="J62" s="7" t="str">
        <f>IF(主角经验!AM63="","",主角经验!$B63*主角经验!AM63)</f>
        <v/>
      </c>
      <c r="K62" s="7">
        <f>IF(主角经验!AN63="","",主角经验!$B63*主角经验!AN63)</f>
        <v>244000</v>
      </c>
      <c r="L62" s="7">
        <f>IF(主角经验!AO63="","",主角经验!$B63*主角经验!AO63)</f>
        <v>81252</v>
      </c>
      <c r="M62" s="7">
        <f>IF(主角经验!AP63="","",主角经验!$B63*主角经验!AP63)</f>
        <v>488000</v>
      </c>
      <c r="N62" s="7">
        <f>IF(主角经验!AQ63="","",主角经验!$B63*主角经验!AQ63)</f>
        <v>292800</v>
      </c>
      <c r="O62" s="7">
        <f>IF(主角经验!AR63="","",主角经验!$B63*主角经验!AR63)</f>
        <v>305000</v>
      </c>
      <c r="P62" s="7">
        <f>IF(主角经验!AS63="","",主角经验!$B63*主角经验!AS63)</f>
        <v>20252</v>
      </c>
      <c r="Q62" s="7">
        <f>IF(主角经验!AT63="","",主角经验!$B63*主角经验!AT63)</f>
        <v>1268800</v>
      </c>
      <c r="R62" s="7">
        <f>IF(主角经验!AU63="","",主角经验!$B63*主角经验!AU63)</f>
        <v>146400</v>
      </c>
      <c r="S62" s="7">
        <f>IF(主角经验!AV63="","",主角经验!$B63*主角经验!AV63)</f>
        <v>162748</v>
      </c>
      <c r="T62" s="7">
        <f>IF(主角经验!AW63="","",主角经验!$B63*主角经验!AW63)</f>
        <v>0</v>
      </c>
      <c r="U62" s="7">
        <f>IF(主角经验!AX63="","",主角经验!$B63*主角经验!AX63)</f>
        <v>122000</v>
      </c>
      <c r="V62" s="7">
        <f>IF(主角经验!AY63="","",主角经验!$B63*主角经验!AY63)</f>
        <v>162748</v>
      </c>
      <c r="W62" s="7">
        <f>IF(主角经验!AZ63="","",主角经验!$B63*主角经验!AZ63)</f>
        <v>61000</v>
      </c>
      <c r="X62" s="7">
        <f>IF(主角经验!BA63="","",主角经验!$B63*主角经验!BA63)</f>
        <v>122000</v>
      </c>
      <c r="Y62" s="7">
        <f>IF(主角经验!BB63="","",主角经验!$B63*主角经验!BB63)</f>
        <v>152500</v>
      </c>
      <c r="Z62" s="7">
        <f>IF(主角经验!BC63="","",主角经验!$B63*主角经验!BC63)</f>
        <v>213500</v>
      </c>
      <c r="AA62" s="7">
        <f>IF(主角经验!BD63="","",主角经验!$B63*主角经验!BD63)</f>
        <v>61000</v>
      </c>
      <c r="AB62" s="7" t="str">
        <f>IF(主角经验!BE63="","",主角经验!$B63*主角经验!BE63)</f>
        <v/>
      </c>
      <c r="AC62" s="7" t="str">
        <f>IF(主角经验!BF63="","",主角经验!$B63*主角经验!BF63)</f>
        <v/>
      </c>
      <c r="AD62" s="7" t="str">
        <f>IF(主角经验!BG63="","",主角经验!$B63*主角经验!BG63)</f>
        <v/>
      </c>
      <c r="AE62" s="7" t="str">
        <f>IF(主角经验!BH63="","",主角经验!$B63*主角经验!BH63)</f>
        <v/>
      </c>
      <c r="AF62" s="7">
        <f>主角经验!BK63</f>
        <v>878400</v>
      </c>
      <c r="AG62" s="7">
        <f>主角经验!BO63</f>
        <v>271</v>
      </c>
    </row>
    <row r="63" spans="1:36">
      <c r="A63" s="32">
        <v>62</v>
      </c>
      <c r="B63" s="81">
        <f>主角经验!B64</f>
        <v>24800</v>
      </c>
      <c r="C63" s="7">
        <f>IF(主角经验!AF64="","",主角经验!$B64*主角经验!AF64)</f>
        <v>413416.00000000006</v>
      </c>
      <c r="D63" s="7">
        <f>IF(主角经验!AG64="","",主角经验!$B64*主角经验!AG64)</f>
        <v>163680</v>
      </c>
      <c r="E63" s="7">
        <f>IF(主角经验!AH64="","",主角经验!$B64*主角经验!AH64)</f>
        <v>62000</v>
      </c>
      <c r="F63" s="7">
        <f>IF(主角经验!AI64="","",主角经验!$B64*主角经验!AI64)</f>
        <v>372000</v>
      </c>
      <c r="G63" s="7" t="str">
        <f>IF(主角经验!AJ64="","",主角经验!$B64*主角经验!AJ64)</f>
        <v/>
      </c>
      <c r="H63" s="7" t="str">
        <f>IF(主角经验!AK64="","",主角经验!$B64*主角经验!AK64)</f>
        <v/>
      </c>
      <c r="I63" s="7" t="str">
        <f>IF(主角经验!AL64="","",主角经验!$B64*主角经验!AL64)</f>
        <v/>
      </c>
      <c r="J63" s="7" t="str">
        <f>IF(主角经验!AM64="","",主角经验!$B64*主角经验!AM64)</f>
        <v/>
      </c>
      <c r="K63" s="7">
        <f>IF(主角经验!AN64="","",主角经验!$B64*主角经验!AN64)</f>
        <v>248000</v>
      </c>
      <c r="L63" s="7">
        <f>IF(主角经验!AO64="","",主角经验!$B64*主角经验!AO64)</f>
        <v>82584</v>
      </c>
      <c r="M63" s="7">
        <f>IF(主角经验!AP64="","",主角经验!$B64*主角经验!AP64)</f>
        <v>496000</v>
      </c>
      <c r="N63" s="7">
        <f>IF(主角经验!AQ64="","",主角经验!$B64*主角经验!AQ64)</f>
        <v>297600</v>
      </c>
      <c r="O63" s="7">
        <f>IF(主角经验!AR64="","",主角经验!$B64*主角经验!AR64)</f>
        <v>310000</v>
      </c>
      <c r="P63" s="7">
        <f>IF(主角经验!AS64="","",主角经验!$B64*主角经验!AS64)</f>
        <v>20584</v>
      </c>
      <c r="Q63" s="7">
        <f>IF(主角经验!AT64="","",主角经验!$B64*主角经验!AT64)</f>
        <v>1289600</v>
      </c>
      <c r="R63" s="7">
        <f>IF(主角经验!AU64="","",主角经验!$B64*主角经验!AU64)</f>
        <v>148800</v>
      </c>
      <c r="S63" s="7">
        <f>IF(主角经验!AV64="","",主角经验!$B64*主角经验!AV64)</f>
        <v>165416</v>
      </c>
      <c r="T63" s="7">
        <f>IF(主角经验!AW64="","",主角经验!$B64*主角经验!AW64)</f>
        <v>0</v>
      </c>
      <c r="U63" s="7">
        <f>IF(主角经验!AX64="","",主角经验!$B64*主角经验!AX64)</f>
        <v>124000</v>
      </c>
      <c r="V63" s="7">
        <f>IF(主角经验!AY64="","",主角经验!$B64*主角经验!AY64)</f>
        <v>165416</v>
      </c>
      <c r="W63" s="7">
        <f>IF(主角经验!AZ64="","",主角经验!$B64*主角经验!AZ64)</f>
        <v>62000</v>
      </c>
      <c r="X63" s="7">
        <f>IF(主角经验!BA64="","",主角经验!$B64*主角经验!BA64)</f>
        <v>124000</v>
      </c>
      <c r="Y63" s="7">
        <f>IF(主角经验!BB64="","",主角经验!$B64*主角经验!BB64)</f>
        <v>155000</v>
      </c>
      <c r="Z63" s="7">
        <f>IF(主角经验!BC64="","",主角经验!$B64*主角经验!BC64)</f>
        <v>217000</v>
      </c>
      <c r="AA63" s="7">
        <f>IF(主角经验!BD64="","",主角经验!$B64*主角经验!BD64)</f>
        <v>62000</v>
      </c>
      <c r="AB63" s="7" t="str">
        <f>IF(主角经验!BE64="","",主角经验!$B64*主角经验!BE64)</f>
        <v/>
      </c>
      <c r="AC63" s="7" t="str">
        <f>IF(主角经验!BF64="","",主角经验!$B64*主角经验!BF64)</f>
        <v/>
      </c>
      <c r="AD63" s="7" t="str">
        <f>IF(主角经验!BG64="","",主角经验!$B64*主角经验!BG64)</f>
        <v/>
      </c>
      <c r="AE63" s="7" t="str">
        <f>IF(主角经验!BH64="","",主角经验!$B64*主角经验!BH64)</f>
        <v/>
      </c>
      <c r="AF63" s="7">
        <f>主角经验!BK64</f>
        <v>917600</v>
      </c>
      <c r="AG63" s="7">
        <f>主角经验!BO64</f>
        <v>276</v>
      </c>
    </row>
    <row r="64" spans="1:36">
      <c r="A64" s="32">
        <v>63</v>
      </c>
      <c r="B64" s="81">
        <f>主角经验!B65</f>
        <v>25200</v>
      </c>
      <c r="C64" s="7">
        <f>IF(主角经验!AF65="","",主角经验!$B65*主角经验!AF65)</f>
        <v>420084.00000000006</v>
      </c>
      <c r="D64" s="7">
        <f>IF(主角经验!AG65="","",主角经验!$B65*主角经验!AG65)</f>
        <v>166320</v>
      </c>
      <c r="E64" s="7">
        <f>IF(主角经验!AH65="","",主角经验!$B65*主角经验!AH65)</f>
        <v>63000</v>
      </c>
      <c r="F64" s="7">
        <f>IF(主角经验!AI65="","",主角经验!$B65*主角经验!AI65)</f>
        <v>378000</v>
      </c>
      <c r="G64" s="7" t="str">
        <f>IF(主角经验!AJ65="","",主角经验!$B65*主角经验!AJ65)</f>
        <v/>
      </c>
      <c r="H64" s="7" t="str">
        <f>IF(主角经验!AK65="","",主角经验!$B65*主角经验!AK65)</f>
        <v/>
      </c>
      <c r="I64" s="7" t="str">
        <f>IF(主角经验!AL65="","",主角经验!$B65*主角经验!AL65)</f>
        <v/>
      </c>
      <c r="J64" s="7" t="str">
        <f>IF(主角经验!AM65="","",主角经验!$B65*主角经验!AM65)</f>
        <v/>
      </c>
      <c r="K64" s="7">
        <f>IF(主角经验!AN65="","",主角经验!$B65*主角经验!AN65)</f>
        <v>252000</v>
      </c>
      <c r="L64" s="7">
        <f>IF(主角经验!AO65="","",主角经验!$B65*主角经验!AO65)</f>
        <v>83916</v>
      </c>
      <c r="M64" s="7">
        <f>IF(主角经验!AP65="","",主角经验!$B65*主角经验!AP65)</f>
        <v>504000</v>
      </c>
      <c r="N64" s="7">
        <f>IF(主角经验!AQ65="","",主角经验!$B65*主角经验!AQ65)</f>
        <v>302400</v>
      </c>
      <c r="O64" s="7">
        <f>IF(主角经验!AR65="","",主角经验!$B65*主角经验!AR65)</f>
        <v>315000</v>
      </c>
      <c r="P64" s="7">
        <f>IF(主角经验!AS65="","",主角经验!$B65*主角经验!AS65)</f>
        <v>20916</v>
      </c>
      <c r="Q64" s="7">
        <f>IF(主角经验!AT65="","",主角经验!$B65*主角经验!AT65)</f>
        <v>1310400</v>
      </c>
      <c r="R64" s="7">
        <f>IF(主角经验!AU65="","",主角经验!$B65*主角经验!AU65)</f>
        <v>151200</v>
      </c>
      <c r="S64" s="7">
        <f>IF(主角经验!AV65="","",主角经验!$B65*主角经验!AV65)</f>
        <v>168084</v>
      </c>
      <c r="T64" s="7">
        <f>IF(主角经验!AW65="","",主角经验!$B65*主角经验!AW65)</f>
        <v>0</v>
      </c>
      <c r="U64" s="7">
        <f>IF(主角经验!AX65="","",主角经验!$B65*主角经验!AX65)</f>
        <v>126000</v>
      </c>
      <c r="V64" s="7">
        <f>IF(主角经验!AY65="","",主角经验!$B65*主角经验!AY65)</f>
        <v>168084</v>
      </c>
      <c r="W64" s="7">
        <f>IF(主角经验!AZ65="","",主角经验!$B65*主角经验!AZ65)</f>
        <v>63000</v>
      </c>
      <c r="X64" s="7">
        <f>IF(主角经验!BA65="","",主角经验!$B65*主角经验!BA65)</f>
        <v>126000</v>
      </c>
      <c r="Y64" s="7">
        <f>IF(主角经验!BB65="","",主角经验!$B65*主角经验!BB65)</f>
        <v>157500</v>
      </c>
      <c r="Z64" s="7">
        <f>IF(主角经验!BC65="","",主角经验!$B65*主角经验!BC65)</f>
        <v>220500</v>
      </c>
      <c r="AA64" s="7">
        <f>IF(主角经验!BD65="","",主角经验!$B65*主角经验!BD65)</f>
        <v>63000</v>
      </c>
      <c r="AB64" s="7" t="str">
        <f>IF(主角经验!BE65="","",主角经验!$B65*主角经验!BE65)</f>
        <v/>
      </c>
      <c r="AC64" s="7" t="str">
        <f>IF(主角经验!BF65="","",主角经验!$B65*主角经验!BF65)</f>
        <v/>
      </c>
      <c r="AD64" s="7" t="str">
        <f>IF(主角经验!BG65="","",主角经验!$B65*主角经验!BG65)</f>
        <v/>
      </c>
      <c r="AE64" s="7" t="str">
        <f>IF(主角经验!BH65="","",主角经验!$B65*主角经验!BH65)</f>
        <v/>
      </c>
      <c r="AF64" s="7">
        <f>主角经验!BK65</f>
        <v>957600</v>
      </c>
      <c r="AG64" s="7">
        <f>主角经验!BO65</f>
        <v>280</v>
      </c>
    </row>
    <row r="65" spans="1:34">
      <c r="A65" s="32">
        <v>64</v>
      </c>
      <c r="B65" s="81">
        <f>主角经验!B66</f>
        <v>25600</v>
      </c>
      <c r="C65" s="7">
        <f>IF(主角经验!AF66="","",主角经验!$B66*主角经验!AF66)</f>
        <v>426752.00000000006</v>
      </c>
      <c r="D65" s="7">
        <f>IF(主角经验!AG66="","",主角经验!$B66*主角经验!AG66)</f>
        <v>168960</v>
      </c>
      <c r="E65" s="7">
        <f>IF(主角经验!AH66="","",主角经验!$B66*主角经验!AH66)</f>
        <v>64000</v>
      </c>
      <c r="F65" s="7">
        <f>IF(主角经验!AI66="","",主角经验!$B66*主角经验!AI66)</f>
        <v>384000</v>
      </c>
      <c r="G65" s="7" t="str">
        <f>IF(主角经验!AJ66="","",主角经验!$B66*主角经验!AJ66)</f>
        <v/>
      </c>
      <c r="H65" s="7" t="str">
        <f>IF(主角经验!AK66="","",主角经验!$B66*主角经验!AK66)</f>
        <v/>
      </c>
      <c r="I65" s="7" t="str">
        <f>IF(主角经验!AL66="","",主角经验!$B66*主角经验!AL66)</f>
        <v/>
      </c>
      <c r="J65" s="7" t="str">
        <f>IF(主角经验!AM66="","",主角经验!$B66*主角经验!AM66)</f>
        <v/>
      </c>
      <c r="K65" s="7">
        <f>IF(主角经验!AN66="","",主角经验!$B66*主角经验!AN66)</f>
        <v>256000</v>
      </c>
      <c r="L65" s="7">
        <f>IF(主角经验!AO66="","",主角经验!$B66*主角经验!AO66)</f>
        <v>85248</v>
      </c>
      <c r="M65" s="7">
        <f>IF(主角经验!AP66="","",主角经验!$B66*主角经验!AP66)</f>
        <v>512000</v>
      </c>
      <c r="N65" s="7">
        <f>IF(主角经验!AQ66="","",主角经验!$B66*主角经验!AQ66)</f>
        <v>307200</v>
      </c>
      <c r="O65" s="7">
        <f>IF(主角经验!AR66="","",主角经验!$B66*主角经验!AR66)</f>
        <v>320000</v>
      </c>
      <c r="P65" s="7">
        <f>IF(主角经验!AS66="","",主角经验!$B66*主角经验!AS66)</f>
        <v>21248</v>
      </c>
      <c r="Q65" s="7">
        <f>IF(主角经验!AT66="","",主角经验!$B66*主角经验!AT66)</f>
        <v>1331200</v>
      </c>
      <c r="R65" s="7">
        <f>IF(主角经验!AU66="","",主角经验!$B66*主角经验!AU66)</f>
        <v>153600</v>
      </c>
      <c r="S65" s="7">
        <f>IF(主角经验!AV66="","",主角经验!$B66*主角经验!AV66)</f>
        <v>170752</v>
      </c>
      <c r="T65" s="7">
        <f>IF(主角经验!AW66="","",主角经验!$B66*主角经验!AW66)</f>
        <v>0</v>
      </c>
      <c r="U65" s="7">
        <f>IF(主角经验!AX66="","",主角经验!$B66*主角经验!AX66)</f>
        <v>128000</v>
      </c>
      <c r="V65" s="7">
        <f>IF(主角经验!AY66="","",主角经验!$B66*主角经验!AY66)</f>
        <v>170752</v>
      </c>
      <c r="W65" s="7">
        <f>IF(主角经验!AZ66="","",主角经验!$B66*主角经验!AZ66)</f>
        <v>64000</v>
      </c>
      <c r="X65" s="7">
        <f>IF(主角经验!BA66="","",主角经验!$B66*主角经验!BA66)</f>
        <v>128000</v>
      </c>
      <c r="Y65" s="7">
        <f>IF(主角经验!BB66="","",主角经验!$B66*主角经验!BB66)</f>
        <v>160000</v>
      </c>
      <c r="Z65" s="7">
        <f>IF(主角经验!BC66="","",主角经验!$B66*主角经验!BC66)</f>
        <v>224000</v>
      </c>
      <c r="AA65" s="7">
        <f>IF(主角经验!BD66="","",主角经验!$B66*主角经验!BD66)</f>
        <v>64000</v>
      </c>
      <c r="AB65" s="7" t="str">
        <f>IF(主角经验!BE66="","",主角经验!$B66*主角经验!BE66)</f>
        <v/>
      </c>
      <c r="AC65" s="7" t="str">
        <f>IF(主角经验!BF66="","",主角经验!$B66*主角经验!BF66)</f>
        <v/>
      </c>
      <c r="AD65" s="7" t="str">
        <f>IF(主角经验!BG66="","",主角经验!$B66*主角经验!BG66)</f>
        <v/>
      </c>
      <c r="AE65" s="7" t="str">
        <f>IF(主角经验!BH66="","",主角经验!$B66*主角经验!BH66)</f>
        <v/>
      </c>
      <c r="AF65" s="7">
        <f>主角经验!BK66</f>
        <v>998400</v>
      </c>
      <c r="AG65" s="7">
        <f>主角经验!BO66</f>
        <v>284</v>
      </c>
    </row>
    <row r="66" spans="1:34">
      <c r="A66" s="32">
        <v>65</v>
      </c>
      <c r="B66" s="81">
        <f>主角经验!B67</f>
        <v>26000</v>
      </c>
      <c r="C66" s="7">
        <f>IF(主角经验!AF67="","",主角经验!$B67*主角经验!AF67)</f>
        <v>433420.00000000006</v>
      </c>
      <c r="D66" s="7">
        <f>IF(主角经验!AG67="","",主角经验!$B67*主角经验!AG67)</f>
        <v>171600</v>
      </c>
      <c r="E66" s="7">
        <f>IF(主角经验!AH67="","",主角经验!$B67*主角经验!AH67)</f>
        <v>65000</v>
      </c>
      <c r="F66" s="7">
        <f>IF(主角经验!AI67="","",主角经验!$B67*主角经验!AI67)</f>
        <v>390000</v>
      </c>
      <c r="G66" s="7" t="str">
        <f>IF(主角经验!AJ67="","",主角经验!$B67*主角经验!AJ67)</f>
        <v/>
      </c>
      <c r="H66" s="7" t="str">
        <f>IF(主角经验!AK67="","",主角经验!$B67*主角经验!AK67)</f>
        <v/>
      </c>
      <c r="I66" s="7" t="str">
        <f>IF(主角经验!AL67="","",主角经验!$B67*主角经验!AL67)</f>
        <v/>
      </c>
      <c r="J66" s="7" t="str">
        <f>IF(主角经验!AM67="","",主角经验!$B67*主角经验!AM67)</f>
        <v/>
      </c>
      <c r="K66" s="7">
        <f>IF(主角经验!AN67="","",主角经验!$B67*主角经验!AN67)</f>
        <v>260000</v>
      </c>
      <c r="L66" s="7">
        <f>IF(主角经验!AO67="","",主角经验!$B67*主角经验!AO67)</f>
        <v>86580</v>
      </c>
      <c r="M66" s="7">
        <f>IF(主角经验!AP67="","",主角经验!$B67*主角经验!AP67)</f>
        <v>520000</v>
      </c>
      <c r="N66" s="7">
        <f>IF(主角经验!AQ67="","",主角经验!$B67*主角经验!AQ67)</f>
        <v>312000</v>
      </c>
      <c r="O66" s="7">
        <f>IF(主角经验!AR67="","",主角经验!$B67*主角经验!AR67)</f>
        <v>325000</v>
      </c>
      <c r="P66" s="7">
        <f>IF(主角经验!AS67="","",主角经验!$B67*主角经验!AS67)</f>
        <v>21580</v>
      </c>
      <c r="Q66" s="7">
        <f>IF(主角经验!AT67="","",主角经验!$B67*主角经验!AT67)</f>
        <v>1352000</v>
      </c>
      <c r="R66" s="7">
        <f>IF(主角经验!AU67="","",主角经验!$B67*主角经验!AU67)</f>
        <v>156000</v>
      </c>
      <c r="S66" s="7">
        <f>IF(主角经验!AV67="","",主角经验!$B67*主角经验!AV67)</f>
        <v>173420</v>
      </c>
      <c r="T66" s="7">
        <f>IF(主角经验!AW67="","",主角经验!$B67*主角经验!AW67)</f>
        <v>0</v>
      </c>
      <c r="U66" s="7">
        <f>IF(主角经验!AX67="","",主角经验!$B67*主角经验!AX67)</f>
        <v>130000</v>
      </c>
      <c r="V66" s="7">
        <f>IF(主角经验!AY67="","",主角经验!$B67*主角经验!AY67)</f>
        <v>173420</v>
      </c>
      <c r="W66" s="7">
        <f>IF(主角经验!AZ67="","",主角经验!$B67*主角经验!AZ67)</f>
        <v>65000</v>
      </c>
      <c r="X66" s="7">
        <f>IF(主角经验!BA67="","",主角经验!$B67*主角经验!BA67)</f>
        <v>130000</v>
      </c>
      <c r="Y66" s="7">
        <f>IF(主角经验!BB67="","",主角经验!$B67*主角经验!BB67)</f>
        <v>162500</v>
      </c>
      <c r="Z66" s="7">
        <f>IF(主角经验!BC67="","",主角经验!$B67*主角经验!BC67)</f>
        <v>227500</v>
      </c>
      <c r="AA66" s="7">
        <f>IF(主角经验!BD67="","",主角经验!$B67*主角经验!BD67)</f>
        <v>65000</v>
      </c>
      <c r="AB66" s="7" t="str">
        <f>IF(主角经验!BE67="","",主角经验!$B67*主角经验!BE67)</f>
        <v/>
      </c>
      <c r="AC66" s="7" t="str">
        <f>IF(主角经验!BF67="","",主角经验!$B67*主角经验!BF67)</f>
        <v/>
      </c>
      <c r="AD66" s="7" t="str">
        <f>IF(主角经验!BG67="","",主角经验!$B67*主角经验!BG67)</f>
        <v/>
      </c>
      <c r="AE66" s="7" t="str">
        <f>IF(主角经验!BH67="","",主角经验!$B67*主角经验!BH67)</f>
        <v/>
      </c>
      <c r="AF66" s="7">
        <f>主角经验!BK67</f>
        <v>1040000</v>
      </c>
      <c r="AG66" s="7">
        <f>主角经验!BO67</f>
        <v>289</v>
      </c>
    </row>
    <row r="67" spans="1:34">
      <c r="A67" s="32">
        <v>66</v>
      </c>
      <c r="B67" s="81">
        <f>主角经验!B68</f>
        <v>26400</v>
      </c>
      <c r="C67" s="7">
        <f>IF(主角经验!AF68="","",主角经验!$B68*主角经验!AF68)</f>
        <v>440088.00000000006</v>
      </c>
      <c r="D67" s="7">
        <f>IF(主角经验!AG68="","",主角经验!$B68*主角经验!AG68)</f>
        <v>174240</v>
      </c>
      <c r="E67" s="7">
        <f>IF(主角经验!AH68="","",主角经验!$B68*主角经验!AH68)</f>
        <v>66000</v>
      </c>
      <c r="F67" s="7">
        <f>IF(主角经验!AI68="","",主角经验!$B68*主角经验!AI68)</f>
        <v>396000</v>
      </c>
      <c r="G67" s="7" t="str">
        <f>IF(主角经验!AJ68="","",主角经验!$B68*主角经验!AJ68)</f>
        <v/>
      </c>
      <c r="H67" s="7" t="str">
        <f>IF(主角经验!AK68="","",主角经验!$B68*主角经验!AK68)</f>
        <v/>
      </c>
      <c r="I67" s="7" t="str">
        <f>IF(主角经验!AL68="","",主角经验!$B68*主角经验!AL68)</f>
        <v/>
      </c>
      <c r="J67" s="7" t="str">
        <f>IF(主角经验!AM68="","",主角经验!$B68*主角经验!AM68)</f>
        <v/>
      </c>
      <c r="K67" s="7">
        <f>IF(主角经验!AN68="","",主角经验!$B68*主角经验!AN68)</f>
        <v>264000</v>
      </c>
      <c r="L67" s="7">
        <f>IF(主角经验!AO68="","",主角经验!$B68*主角经验!AO68)</f>
        <v>87912</v>
      </c>
      <c r="M67" s="7">
        <f>IF(主角经验!AP68="","",主角经验!$B68*主角经验!AP68)</f>
        <v>528000</v>
      </c>
      <c r="N67" s="7">
        <f>IF(主角经验!AQ68="","",主角经验!$B68*主角经验!AQ68)</f>
        <v>316800</v>
      </c>
      <c r="O67" s="7">
        <f>IF(主角经验!AR68="","",主角经验!$B68*主角经验!AR68)</f>
        <v>330000</v>
      </c>
      <c r="P67" s="7">
        <f>IF(主角经验!AS68="","",主角经验!$B68*主角经验!AS68)</f>
        <v>21912</v>
      </c>
      <c r="Q67" s="7">
        <f>IF(主角经验!AT68="","",主角经验!$B68*主角经验!AT68)</f>
        <v>1372800</v>
      </c>
      <c r="R67" s="7">
        <f>IF(主角经验!AU68="","",主角经验!$B68*主角经验!AU68)</f>
        <v>158400</v>
      </c>
      <c r="S67" s="7">
        <f>IF(主角经验!AV68="","",主角经验!$B68*主角经验!AV68)</f>
        <v>176088</v>
      </c>
      <c r="T67" s="7">
        <f>IF(主角经验!AW68="","",主角经验!$B68*主角经验!AW68)</f>
        <v>0</v>
      </c>
      <c r="U67" s="7">
        <f>IF(主角经验!AX68="","",主角经验!$B68*主角经验!AX68)</f>
        <v>132000</v>
      </c>
      <c r="V67" s="7">
        <f>IF(主角经验!AY68="","",主角经验!$B68*主角经验!AY68)</f>
        <v>176088</v>
      </c>
      <c r="W67" s="7">
        <f>IF(主角经验!AZ68="","",主角经验!$B68*主角经验!AZ68)</f>
        <v>66000</v>
      </c>
      <c r="X67" s="7">
        <f>IF(主角经验!BA68="","",主角经验!$B68*主角经验!BA68)</f>
        <v>132000</v>
      </c>
      <c r="Y67" s="7">
        <f>IF(主角经验!BB68="","",主角经验!$B68*主角经验!BB68)</f>
        <v>165000</v>
      </c>
      <c r="Z67" s="7">
        <f>IF(主角经验!BC68="","",主角经验!$B68*主角经验!BC68)</f>
        <v>231000</v>
      </c>
      <c r="AA67" s="7">
        <f>IF(主角经验!BD68="","",主角经验!$B68*主角经验!BD68)</f>
        <v>66000</v>
      </c>
      <c r="AB67" s="7" t="str">
        <f>IF(主角经验!BE68="","",主角经验!$B68*主角经验!BE68)</f>
        <v/>
      </c>
      <c r="AC67" s="7" t="str">
        <f>IF(主角经验!BF68="","",主角经验!$B68*主角经验!BF68)</f>
        <v/>
      </c>
      <c r="AD67" s="7" t="str">
        <f>IF(主角经验!BG68="","",主角经验!$B68*主角经验!BG68)</f>
        <v/>
      </c>
      <c r="AE67" s="7" t="str">
        <f>IF(主角经验!BH68="","",主角经验!$B68*主角经验!BH68)</f>
        <v/>
      </c>
      <c r="AF67" s="7">
        <f>主角经验!BK68</f>
        <v>1082400</v>
      </c>
      <c r="AG67" s="7">
        <f>主角经验!BO68</f>
        <v>293</v>
      </c>
    </row>
    <row r="68" spans="1:34">
      <c r="A68" s="32">
        <v>67</v>
      </c>
      <c r="B68" s="81">
        <f>主角经验!B69</f>
        <v>26800</v>
      </c>
      <c r="C68" s="7">
        <f>IF(主角经验!AF69="","",主角经验!$B69*主角经验!AF69)</f>
        <v>446756.00000000006</v>
      </c>
      <c r="D68" s="7">
        <f>IF(主角经验!AG69="","",主角经验!$B69*主角经验!AG69)</f>
        <v>176880</v>
      </c>
      <c r="E68" s="7">
        <f>IF(主角经验!AH69="","",主角经验!$B69*主角经验!AH69)</f>
        <v>67000</v>
      </c>
      <c r="F68" s="7">
        <f>IF(主角经验!AI69="","",主角经验!$B69*主角经验!AI69)</f>
        <v>402000</v>
      </c>
      <c r="G68" s="7" t="str">
        <f>IF(主角经验!AJ69="","",主角经验!$B69*主角经验!AJ69)</f>
        <v/>
      </c>
      <c r="H68" s="7" t="str">
        <f>IF(主角经验!AK69="","",主角经验!$B69*主角经验!AK69)</f>
        <v/>
      </c>
      <c r="I68" s="7" t="str">
        <f>IF(主角经验!AL69="","",主角经验!$B69*主角经验!AL69)</f>
        <v/>
      </c>
      <c r="J68" s="7" t="str">
        <f>IF(主角经验!AM69="","",主角经验!$B69*主角经验!AM69)</f>
        <v/>
      </c>
      <c r="K68" s="7">
        <f>IF(主角经验!AN69="","",主角经验!$B69*主角经验!AN69)</f>
        <v>268000</v>
      </c>
      <c r="L68" s="7">
        <f>IF(主角经验!AO69="","",主角经验!$B69*主角经验!AO69)</f>
        <v>89244</v>
      </c>
      <c r="M68" s="7">
        <f>IF(主角经验!AP69="","",主角经验!$B69*主角经验!AP69)</f>
        <v>536000</v>
      </c>
      <c r="N68" s="7">
        <f>IF(主角经验!AQ69="","",主角经验!$B69*主角经验!AQ69)</f>
        <v>321600</v>
      </c>
      <c r="O68" s="7">
        <f>IF(主角经验!AR69="","",主角经验!$B69*主角经验!AR69)</f>
        <v>335000</v>
      </c>
      <c r="P68" s="7">
        <f>IF(主角经验!AS69="","",主角经验!$B69*主角经验!AS69)</f>
        <v>22244</v>
      </c>
      <c r="Q68" s="7">
        <f>IF(主角经验!AT69="","",主角经验!$B69*主角经验!AT69)</f>
        <v>1393600</v>
      </c>
      <c r="R68" s="7">
        <f>IF(主角经验!AU69="","",主角经验!$B69*主角经验!AU69)</f>
        <v>160800</v>
      </c>
      <c r="S68" s="7">
        <f>IF(主角经验!AV69="","",主角经验!$B69*主角经验!AV69)</f>
        <v>178756</v>
      </c>
      <c r="T68" s="7">
        <f>IF(主角经验!AW69="","",主角经验!$B69*主角经验!AW69)</f>
        <v>0</v>
      </c>
      <c r="U68" s="7">
        <f>IF(主角经验!AX69="","",主角经验!$B69*主角经验!AX69)</f>
        <v>134000</v>
      </c>
      <c r="V68" s="7">
        <f>IF(主角经验!AY69="","",主角经验!$B69*主角经验!AY69)</f>
        <v>178756</v>
      </c>
      <c r="W68" s="7">
        <f>IF(主角经验!AZ69="","",主角经验!$B69*主角经验!AZ69)</f>
        <v>67000</v>
      </c>
      <c r="X68" s="7">
        <f>IF(主角经验!BA69="","",主角经验!$B69*主角经验!BA69)</f>
        <v>134000</v>
      </c>
      <c r="Y68" s="7">
        <f>IF(主角经验!BB69="","",主角经验!$B69*主角经验!BB69)</f>
        <v>167500</v>
      </c>
      <c r="Z68" s="7">
        <f>IF(主角经验!BC69="","",主角经验!$B69*主角经验!BC69)</f>
        <v>234500</v>
      </c>
      <c r="AA68" s="7">
        <f>IF(主角经验!BD69="","",主角经验!$B69*主角经验!BD69)</f>
        <v>67000</v>
      </c>
      <c r="AB68" s="7" t="str">
        <f>IF(主角经验!BE69="","",主角经验!$B69*主角经验!BE69)</f>
        <v/>
      </c>
      <c r="AC68" s="7" t="str">
        <f>IF(主角经验!BF69="","",主角经验!$B69*主角经验!BF69)</f>
        <v/>
      </c>
      <c r="AD68" s="7" t="str">
        <f>IF(主角经验!BG69="","",主角经验!$B69*主角经验!BG69)</f>
        <v/>
      </c>
      <c r="AE68" s="7" t="str">
        <f>IF(主角经验!BH69="","",主角经验!$B69*主角经验!BH69)</f>
        <v/>
      </c>
      <c r="AF68" s="7">
        <f>主角经验!BK69</f>
        <v>1125600</v>
      </c>
      <c r="AG68" s="7">
        <f>主角经验!BO69</f>
        <v>298</v>
      </c>
    </row>
    <row r="69" spans="1:34">
      <c r="A69" s="32">
        <v>68</v>
      </c>
      <c r="B69" s="81">
        <f>主角经验!B70</f>
        <v>27200</v>
      </c>
      <c r="C69" s="7">
        <f>IF(主角经验!AF70="","",主角经验!$B70*主角经验!AF70)</f>
        <v>453424.00000000006</v>
      </c>
      <c r="D69" s="7">
        <f>IF(主角经验!AG70="","",主角经验!$B70*主角经验!AG70)</f>
        <v>179520</v>
      </c>
      <c r="E69" s="7">
        <f>IF(主角经验!AH70="","",主角经验!$B70*主角经验!AH70)</f>
        <v>68000</v>
      </c>
      <c r="F69" s="7">
        <f>IF(主角经验!AI70="","",主角经验!$B70*主角经验!AI70)</f>
        <v>408000</v>
      </c>
      <c r="G69" s="7" t="str">
        <f>IF(主角经验!AJ70="","",主角经验!$B70*主角经验!AJ70)</f>
        <v/>
      </c>
      <c r="H69" s="7" t="str">
        <f>IF(主角经验!AK70="","",主角经验!$B70*主角经验!AK70)</f>
        <v/>
      </c>
      <c r="I69" s="7" t="str">
        <f>IF(主角经验!AL70="","",主角经验!$B70*主角经验!AL70)</f>
        <v/>
      </c>
      <c r="J69" s="7" t="str">
        <f>IF(主角经验!AM70="","",主角经验!$B70*主角经验!AM70)</f>
        <v/>
      </c>
      <c r="K69" s="7">
        <f>IF(主角经验!AN70="","",主角经验!$B70*主角经验!AN70)</f>
        <v>272000</v>
      </c>
      <c r="L69" s="7">
        <f>IF(主角经验!AO70="","",主角经验!$B70*主角经验!AO70)</f>
        <v>90576</v>
      </c>
      <c r="M69" s="7">
        <f>IF(主角经验!AP70="","",主角经验!$B70*主角经验!AP70)</f>
        <v>544000</v>
      </c>
      <c r="N69" s="7">
        <f>IF(主角经验!AQ70="","",主角经验!$B70*主角经验!AQ70)</f>
        <v>326400</v>
      </c>
      <c r="O69" s="7">
        <f>IF(主角经验!AR70="","",主角经验!$B70*主角经验!AR70)</f>
        <v>340000</v>
      </c>
      <c r="P69" s="7">
        <f>IF(主角经验!AS70="","",主角经验!$B70*主角经验!AS70)</f>
        <v>22576</v>
      </c>
      <c r="Q69" s="7">
        <f>IF(主角经验!AT70="","",主角经验!$B70*主角经验!AT70)</f>
        <v>1414400</v>
      </c>
      <c r="R69" s="7">
        <f>IF(主角经验!AU70="","",主角经验!$B70*主角经验!AU70)</f>
        <v>163200</v>
      </c>
      <c r="S69" s="7">
        <f>IF(主角经验!AV70="","",主角经验!$B70*主角经验!AV70)</f>
        <v>181424</v>
      </c>
      <c r="T69" s="7">
        <f>IF(主角经验!AW70="","",主角经验!$B70*主角经验!AW70)</f>
        <v>0</v>
      </c>
      <c r="U69" s="7">
        <f>IF(主角经验!AX70="","",主角经验!$B70*主角经验!AX70)</f>
        <v>136000</v>
      </c>
      <c r="V69" s="7">
        <f>IF(主角经验!AY70="","",主角经验!$B70*主角经验!AY70)</f>
        <v>181424</v>
      </c>
      <c r="W69" s="7">
        <f>IF(主角经验!AZ70="","",主角经验!$B70*主角经验!AZ70)</f>
        <v>68000</v>
      </c>
      <c r="X69" s="7">
        <f>IF(主角经验!BA70="","",主角经验!$B70*主角经验!BA70)</f>
        <v>136000</v>
      </c>
      <c r="Y69" s="7">
        <f>IF(主角经验!BB70="","",主角经验!$B70*主角经验!BB70)</f>
        <v>170000</v>
      </c>
      <c r="Z69" s="7">
        <f>IF(主角经验!BC70="","",主角经验!$B70*主角经验!BC70)</f>
        <v>238000</v>
      </c>
      <c r="AA69" s="7">
        <f>IF(主角经验!BD70="","",主角经验!$B70*主角经验!BD70)</f>
        <v>68000</v>
      </c>
      <c r="AB69" s="7" t="str">
        <f>IF(主角经验!BE70="","",主角经验!$B70*主角经验!BE70)</f>
        <v/>
      </c>
      <c r="AC69" s="7" t="str">
        <f>IF(主角经验!BF70="","",主角经验!$B70*主角经验!BF70)</f>
        <v/>
      </c>
      <c r="AD69" s="7" t="str">
        <f>IF(主角经验!BG70="","",主角经验!$B70*主角经验!BG70)</f>
        <v/>
      </c>
      <c r="AE69" s="7" t="str">
        <f>IF(主角经验!BH70="","",主角经验!$B70*主角经验!BH70)</f>
        <v/>
      </c>
      <c r="AF69" s="7">
        <f>主角经验!BK70</f>
        <v>1169600</v>
      </c>
      <c r="AG69" s="7">
        <f>主角经验!BO70</f>
        <v>302</v>
      </c>
    </row>
    <row r="70" spans="1:34">
      <c r="A70" s="32">
        <v>69</v>
      </c>
      <c r="B70" s="81">
        <f>主角经验!B71</f>
        <v>27600</v>
      </c>
      <c r="C70" s="7">
        <f>IF(主角经验!AF71="","",主角经验!$B71*主角经验!AF71)</f>
        <v>460092.00000000006</v>
      </c>
      <c r="D70" s="7">
        <f>IF(主角经验!AG71="","",主角经验!$B71*主角经验!AG71)</f>
        <v>182160</v>
      </c>
      <c r="E70" s="7">
        <f>IF(主角经验!AH71="","",主角经验!$B71*主角经验!AH71)</f>
        <v>69000</v>
      </c>
      <c r="F70" s="7">
        <f>IF(主角经验!AI71="","",主角经验!$B71*主角经验!AI71)</f>
        <v>414000</v>
      </c>
      <c r="G70" s="7" t="str">
        <f>IF(主角经验!AJ71="","",主角经验!$B71*主角经验!AJ71)</f>
        <v/>
      </c>
      <c r="H70" s="7" t="str">
        <f>IF(主角经验!AK71="","",主角经验!$B71*主角经验!AK71)</f>
        <v/>
      </c>
      <c r="I70" s="7" t="str">
        <f>IF(主角经验!AL71="","",主角经验!$B71*主角经验!AL71)</f>
        <v/>
      </c>
      <c r="J70" s="7" t="str">
        <f>IF(主角经验!AM71="","",主角经验!$B71*主角经验!AM71)</f>
        <v/>
      </c>
      <c r="K70" s="7">
        <f>IF(主角经验!AN71="","",主角经验!$B71*主角经验!AN71)</f>
        <v>276000</v>
      </c>
      <c r="L70" s="7">
        <f>IF(主角经验!AO71="","",主角经验!$B71*主角经验!AO71)</f>
        <v>91908</v>
      </c>
      <c r="M70" s="7">
        <f>IF(主角经验!AP71="","",主角经验!$B71*主角经验!AP71)</f>
        <v>552000</v>
      </c>
      <c r="N70" s="7">
        <f>IF(主角经验!AQ71="","",主角经验!$B71*主角经验!AQ71)</f>
        <v>331200</v>
      </c>
      <c r="O70" s="7">
        <f>IF(主角经验!AR71="","",主角经验!$B71*主角经验!AR71)</f>
        <v>345000</v>
      </c>
      <c r="P70" s="7">
        <f>IF(主角经验!AS71="","",主角经验!$B71*主角经验!AS71)</f>
        <v>22908</v>
      </c>
      <c r="Q70" s="7">
        <f>IF(主角经验!AT71="","",主角经验!$B71*主角经验!AT71)</f>
        <v>1435200</v>
      </c>
      <c r="R70" s="7">
        <f>IF(主角经验!AU71="","",主角经验!$B71*主角经验!AU71)</f>
        <v>165600</v>
      </c>
      <c r="S70" s="7">
        <f>IF(主角经验!AV71="","",主角经验!$B71*主角经验!AV71)</f>
        <v>184092</v>
      </c>
      <c r="T70" s="7">
        <f>IF(主角经验!AW71="","",主角经验!$B71*主角经验!AW71)</f>
        <v>0</v>
      </c>
      <c r="U70" s="7">
        <f>IF(主角经验!AX71="","",主角经验!$B71*主角经验!AX71)</f>
        <v>138000</v>
      </c>
      <c r="V70" s="7">
        <f>IF(主角经验!AY71="","",主角经验!$B71*主角经验!AY71)</f>
        <v>184092</v>
      </c>
      <c r="W70" s="7">
        <f>IF(主角经验!AZ71="","",主角经验!$B71*主角经验!AZ71)</f>
        <v>69000</v>
      </c>
      <c r="X70" s="7">
        <f>IF(主角经验!BA71="","",主角经验!$B71*主角经验!BA71)</f>
        <v>138000</v>
      </c>
      <c r="Y70" s="7">
        <f>IF(主角经验!BB71="","",主角经验!$B71*主角经验!BB71)</f>
        <v>172500</v>
      </c>
      <c r="Z70" s="7">
        <f>IF(主角经验!BC71="","",主角经验!$B71*主角经验!BC71)</f>
        <v>241500</v>
      </c>
      <c r="AA70" s="7">
        <f>IF(主角经验!BD71="","",主角经验!$B71*主角经验!BD71)</f>
        <v>69000</v>
      </c>
      <c r="AB70" s="7" t="str">
        <f>IF(主角经验!BE71="","",主角经验!$B71*主角经验!BE71)</f>
        <v/>
      </c>
      <c r="AC70" s="7" t="str">
        <f>IF(主角经验!BF71="","",主角经验!$B71*主角经验!BF71)</f>
        <v/>
      </c>
      <c r="AD70" s="7" t="str">
        <f>IF(主角经验!BG71="","",主角经验!$B71*主角经验!BG71)</f>
        <v/>
      </c>
      <c r="AE70" s="7" t="str">
        <f>IF(主角经验!BH71="","",主角经验!$B71*主角经验!BH71)</f>
        <v/>
      </c>
      <c r="AF70" s="7">
        <f>主角经验!BK71</f>
        <v>1214400</v>
      </c>
      <c r="AG70" s="7">
        <f>主角经验!BO71</f>
        <v>307</v>
      </c>
    </row>
    <row r="71" spans="1:34">
      <c r="A71" s="32">
        <v>70</v>
      </c>
      <c r="B71" s="81">
        <f>主角经验!B72</f>
        <v>28000</v>
      </c>
      <c r="C71" s="7">
        <f>IF(主角经验!AF72="","",主角经验!$B72*主角经验!AF72)</f>
        <v>466760.00000000006</v>
      </c>
      <c r="D71" s="7">
        <f>IF(主角经验!AG72="","",主角经验!$B72*主角经验!AG72)</f>
        <v>184800</v>
      </c>
      <c r="E71" s="7">
        <f>IF(主角经验!AH72="","",主角经验!$B72*主角经验!AH72)</f>
        <v>70000</v>
      </c>
      <c r="F71" s="7">
        <f>IF(主角经验!AI72="","",主角经验!$B72*主角经验!AI72)</f>
        <v>420000</v>
      </c>
      <c r="G71" s="7" t="str">
        <f>IF(主角经验!AJ72="","",主角经验!$B72*主角经验!AJ72)</f>
        <v/>
      </c>
      <c r="H71" s="7" t="str">
        <f>IF(主角经验!AK72="","",主角经验!$B72*主角经验!AK72)</f>
        <v/>
      </c>
      <c r="I71" s="7" t="str">
        <f>IF(主角经验!AL72="","",主角经验!$B72*主角经验!AL72)</f>
        <v/>
      </c>
      <c r="J71" s="7" t="str">
        <f>IF(主角经验!AM72="","",主角经验!$B72*主角经验!AM72)</f>
        <v/>
      </c>
      <c r="K71" s="7">
        <f>IF(主角经验!AN72="","",主角经验!$B72*主角经验!AN72)</f>
        <v>280000</v>
      </c>
      <c r="L71" s="7">
        <f>IF(主角经验!AO72="","",主角经验!$B72*主角经验!AO72)</f>
        <v>93240</v>
      </c>
      <c r="M71" s="7">
        <f>IF(主角经验!AP72="","",主角经验!$B72*主角经验!AP72)</f>
        <v>560000</v>
      </c>
      <c r="N71" s="7">
        <f>IF(主角经验!AQ72="","",主角经验!$B72*主角经验!AQ72)</f>
        <v>336000</v>
      </c>
      <c r="O71" s="7">
        <f>IF(主角经验!AR72="","",主角经验!$B72*主角经验!AR72)</f>
        <v>350000</v>
      </c>
      <c r="P71" s="7">
        <f>IF(主角经验!AS72="","",主角经验!$B72*主角经验!AS72)</f>
        <v>23240</v>
      </c>
      <c r="Q71" s="7">
        <f>IF(主角经验!AT72="","",主角经验!$B72*主角经验!AT72)</f>
        <v>1456000</v>
      </c>
      <c r="R71" s="7">
        <f>IF(主角经验!AU72="","",主角经验!$B72*主角经验!AU72)</f>
        <v>168000</v>
      </c>
      <c r="S71" s="7">
        <f>IF(主角经验!AV72="","",主角经验!$B72*主角经验!AV72)</f>
        <v>186760</v>
      </c>
      <c r="T71" s="7">
        <f>IF(主角经验!AW72="","",主角经验!$B72*主角经验!AW72)</f>
        <v>0</v>
      </c>
      <c r="U71" s="7">
        <f>IF(主角经验!AX72="","",主角经验!$B72*主角经验!AX72)</f>
        <v>140000</v>
      </c>
      <c r="V71" s="7">
        <f>IF(主角经验!AY72="","",主角经验!$B72*主角经验!AY72)</f>
        <v>186760</v>
      </c>
      <c r="W71" s="7">
        <f>IF(主角经验!AZ72="","",主角经验!$B72*主角经验!AZ72)</f>
        <v>70000</v>
      </c>
      <c r="X71" s="7">
        <f>IF(主角经验!BA72="","",主角经验!$B72*主角经验!BA72)</f>
        <v>140000</v>
      </c>
      <c r="Y71" s="7">
        <f>IF(主角经验!BB72="","",主角经验!$B72*主角经验!BB72)</f>
        <v>175000</v>
      </c>
      <c r="Z71" s="7">
        <f>IF(主角经验!BC72="","",主角经验!$B72*主角经验!BC72)</f>
        <v>245000</v>
      </c>
      <c r="AA71" s="7">
        <f>IF(主角经验!BD72="","",主角经验!$B72*主角经验!BD72)</f>
        <v>70000</v>
      </c>
      <c r="AB71" s="7" t="str">
        <f>IF(主角经验!BE72="","",主角经验!$B72*主角经验!BE72)</f>
        <v/>
      </c>
      <c r="AC71" s="7" t="str">
        <f>IF(主角经验!BF72="","",主角经验!$B72*主角经验!BF72)</f>
        <v/>
      </c>
      <c r="AD71" s="7" t="str">
        <f>IF(主角经验!BG72="","",主角经验!$B72*主角经验!BG72)</f>
        <v/>
      </c>
      <c r="AE71" s="7" t="str">
        <f>IF(主角经验!BH72="","",主角经验!$B72*主角经验!BH72)</f>
        <v/>
      </c>
      <c r="AF71" s="7">
        <f>主角经验!BK72</f>
        <v>1400000</v>
      </c>
      <c r="AG71" s="7">
        <f>主角经验!BO72</f>
        <v>311</v>
      </c>
      <c r="AH71" s="10">
        <f>Y71*3.5/18</f>
        <v>34027.777777777781</v>
      </c>
    </row>
    <row r="72" spans="1:34">
      <c r="A72" s="32">
        <v>71</v>
      </c>
      <c r="B72" s="81">
        <f>主角经验!B73</f>
        <v>28400</v>
      </c>
      <c r="C72" s="7">
        <f>IF(主角经验!AF73="","",主角经验!$B73*主角经验!AF73)</f>
        <v>473428.00000000006</v>
      </c>
      <c r="D72" s="7">
        <f>IF(主角经验!AG73="","",主角经验!$B73*主角经验!AG73)</f>
        <v>187440</v>
      </c>
      <c r="E72" s="7">
        <f>IF(主角经验!AH73="","",主角经验!$B73*主角经验!AH73)</f>
        <v>71000</v>
      </c>
      <c r="F72" s="7">
        <f>IF(主角经验!AI73="","",主角经验!$B73*主角经验!AI73)</f>
        <v>426000</v>
      </c>
      <c r="G72" s="7" t="str">
        <f>IF(主角经验!AJ73="","",主角经验!$B73*主角经验!AJ73)</f>
        <v/>
      </c>
      <c r="H72" s="7" t="str">
        <f>IF(主角经验!AK73="","",主角经验!$B73*主角经验!AK73)</f>
        <v/>
      </c>
      <c r="I72" s="7" t="str">
        <f>IF(主角经验!AL73="","",主角经验!$B73*主角经验!AL73)</f>
        <v/>
      </c>
      <c r="J72" s="7" t="str">
        <f>IF(主角经验!AM73="","",主角经验!$B73*主角经验!AM73)</f>
        <v/>
      </c>
      <c r="K72" s="7">
        <f>IF(主角经验!AN73="","",主角经验!$B73*主角经验!AN73)</f>
        <v>284000</v>
      </c>
      <c r="L72" s="7">
        <f>IF(主角经验!AO73="","",主角经验!$B73*主角经验!AO73)</f>
        <v>94572</v>
      </c>
      <c r="M72" s="7">
        <f>IF(主角经验!AP73="","",主角经验!$B73*主角经验!AP73)</f>
        <v>568000</v>
      </c>
      <c r="N72" s="7">
        <f>IF(主角经验!AQ73="","",主角经验!$B73*主角经验!AQ73)</f>
        <v>340800</v>
      </c>
      <c r="O72" s="7">
        <f>IF(主角经验!AR73="","",主角经验!$B73*主角经验!AR73)</f>
        <v>355000</v>
      </c>
      <c r="P72" s="7">
        <f>IF(主角经验!AS73="","",主角经验!$B73*主角经验!AS73)</f>
        <v>23572</v>
      </c>
      <c r="Q72" s="7">
        <f>IF(主角经验!AT73="","",主角经验!$B73*主角经验!AT73)</f>
        <v>1476800</v>
      </c>
      <c r="R72" s="7">
        <f>IF(主角经验!AU73="","",主角经验!$B73*主角经验!AU73)</f>
        <v>170400</v>
      </c>
      <c r="S72" s="7">
        <f>IF(主角经验!AV73="","",主角经验!$B73*主角经验!AV73)</f>
        <v>189428</v>
      </c>
      <c r="T72" s="7">
        <f>IF(主角经验!AW73="","",主角经验!$B73*主角经验!AW73)</f>
        <v>0</v>
      </c>
      <c r="U72" s="7">
        <f>IF(主角经验!AX73="","",主角经验!$B73*主角经验!AX73)</f>
        <v>142000</v>
      </c>
      <c r="V72" s="7">
        <f>IF(主角经验!AY73="","",主角经验!$B73*主角经验!AY73)</f>
        <v>189428</v>
      </c>
      <c r="W72" s="7">
        <f>IF(主角经验!AZ73="","",主角经验!$B73*主角经验!AZ73)</f>
        <v>71000</v>
      </c>
      <c r="X72" s="7">
        <f>IF(主角经验!BA73="","",主角经验!$B73*主角经验!BA73)</f>
        <v>142000</v>
      </c>
      <c r="Y72" s="7">
        <f>IF(主角经验!BB73="","",主角经验!$B73*主角经验!BB73)</f>
        <v>177500</v>
      </c>
      <c r="Z72" s="7">
        <f>IF(主角经验!BC73="","",主角经验!$B73*主角经验!BC73)</f>
        <v>248500</v>
      </c>
      <c r="AA72" s="7">
        <f>IF(主角经验!BD73="","",主角经验!$B73*主角经验!BD73)</f>
        <v>71000</v>
      </c>
      <c r="AB72" s="7" t="str">
        <f>IF(主角经验!BE73="","",主角经验!$B73*主角经验!BE73)</f>
        <v/>
      </c>
      <c r="AC72" s="7" t="str">
        <f>IF(主角经验!BF73="","",主角经验!$B73*主角经验!BF73)</f>
        <v/>
      </c>
      <c r="AD72" s="7" t="str">
        <f>IF(主角经验!BG73="","",主角经验!$B73*主角经验!BG73)</f>
        <v/>
      </c>
      <c r="AE72" s="7" t="str">
        <f>IF(主角经验!BH73="","",主角经验!$B73*主角经验!BH73)</f>
        <v/>
      </c>
      <c r="AF72" s="7">
        <f>主角经验!BK73</f>
        <v>1451200</v>
      </c>
      <c r="AG72" s="7">
        <f>主角经验!BO73</f>
        <v>316</v>
      </c>
    </row>
    <row r="73" spans="1:34">
      <c r="A73" s="32">
        <v>72</v>
      </c>
      <c r="B73" s="81">
        <f>主角经验!B74</f>
        <v>28800</v>
      </c>
      <c r="C73" s="7">
        <f>IF(主角经验!AF74="","",主角经验!$B74*主角经验!AF74)</f>
        <v>480096.00000000006</v>
      </c>
      <c r="D73" s="7">
        <f>IF(主角经验!AG74="","",主角经验!$B74*主角经验!AG74)</f>
        <v>190080</v>
      </c>
      <c r="E73" s="7">
        <f>IF(主角经验!AH74="","",主角经验!$B74*主角经验!AH74)</f>
        <v>72000</v>
      </c>
      <c r="F73" s="7">
        <f>IF(主角经验!AI74="","",主角经验!$B74*主角经验!AI74)</f>
        <v>432000</v>
      </c>
      <c r="G73" s="7" t="str">
        <f>IF(主角经验!AJ74="","",主角经验!$B74*主角经验!AJ74)</f>
        <v/>
      </c>
      <c r="H73" s="7" t="str">
        <f>IF(主角经验!AK74="","",主角经验!$B74*主角经验!AK74)</f>
        <v/>
      </c>
      <c r="I73" s="7" t="str">
        <f>IF(主角经验!AL74="","",主角经验!$B74*主角经验!AL74)</f>
        <v/>
      </c>
      <c r="J73" s="7" t="str">
        <f>IF(主角经验!AM74="","",主角经验!$B74*主角经验!AM74)</f>
        <v/>
      </c>
      <c r="K73" s="7">
        <f>IF(主角经验!AN74="","",主角经验!$B74*主角经验!AN74)</f>
        <v>288000</v>
      </c>
      <c r="L73" s="7">
        <f>IF(主角经验!AO74="","",主角经验!$B74*主角经验!AO74)</f>
        <v>95904</v>
      </c>
      <c r="M73" s="7">
        <f>IF(主角经验!AP74="","",主角经验!$B74*主角经验!AP74)</f>
        <v>576000</v>
      </c>
      <c r="N73" s="7">
        <f>IF(主角经验!AQ74="","",主角经验!$B74*主角经验!AQ74)</f>
        <v>345600</v>
      </c>
      <c r="O73" s="7">
        <f>IF(主角经验!AR74="","",主角经验!$B74*主角经验!AR74)</f>
        <v>360000</v>
      </c>
      <c r="P73" s="7">
        <f>IF(主角经验!AS74="","",主角经验!$B74*主角经验!AS74)</f>
        <v>23904</v>
      </c>
      <c r="Q73" s="7">
        <f>IF(主角经验!AT74="","",主角经验!$B74*主角经验!AT74)</f>
        <v>1497600</v>
      </c>
      <c r="R73" s="7">
        <f>IF(主角经验!AU74="","",主角经验!$B74*主角经验!AU74)</f>
        <v>172800</v>
      </c>
      <c r="S73" s="7">
        <f>IF(主角经验!AV74="","",主角经验!$B74*主角经验!AV74)</f>
        <v>192096</v>
      </c>
      <c r="T73" s="7">
        <f>IF(主角经验!AW74="","",主角经验!$B74*主角经验!AW74)</f>
        <v>0</v>
      </c>
      <c r="U73" s="7">
        <f>IF(主角经验!AX74="","",主角经验!$B74*主角经验!AX74)</f>
        <v>144000</v>
      </c>
      <c r="V73" s="7">
        <f>IF(主角经验!AY74="","",主角经验!$B74*主角经验!AY74)</f>
        <v>192096</v>
      </c>
      <c r="W73" s="7">
        <f>IF(主角经验!AZ74="","",主角经验!$B74*主角经验!AZ74)</f>
        <v>72000</v>
      </c>
      <c r="X73" s="7">
        <f>IF(主角经验!BA74="","",主角经验!$B74*主角经验!BA74)</f>
        <v>144000</v>
      </c>
      <c r="Y73" s="7">
        <f>IF(主角经验!BB74="","",主角经验!$B74*主角经验!BB74)</f>
        <v>180000</v>
      </c>
      <c r="Z73" s="7">
        <f>IF(主角经验!BC74="","",主角经验!$B74*主角经验!BC74)</f>
        <v>252000</v>
      </c>
      <c r="AA73" s="7">
        <f>IF(主角经验!BD74="","",主角经验!$B74*主角经验!BD74)</f>
        <v>72000</v>
      </c>
      <c r="AB73" s="7" t="str">
        <f>IF(主角经验!BE74="","",主角经验!$B74*主角经验!BE74)</f>
        <v/>
      </c>
      <c r="AC73" s="7" t="str">
        <f>IF(主角经验!BF74="","",主角经验!$B74*主角经验!BF74)</f>
        <v/>
      </c>
      <c r="AD73" s="7" t="str">
        <f>IF(主角经验!BG74="","",主角经验!$B74*主角经验!BG74)</f>
        <v/>
      </c>
      <c r="AE73" s="7" t="str">
        <f>IF(主角经验!BH74="","",主角经验!$B74*主角经验!BH74)</f>
        <v/>
      </c>
      <c r="AF73" s="7">
        <f>主角经验!BK74</f>
        <v>1503400</v>
      </c>
      <c r="AG73" s="7">
        <f>主角经验!BO74</f>
        <v>320</v>
      </c>
    </row>
    <row r="74" spans="1:34">
      <c r="A74" s="32">
        <v>73</v>
      </c>
      <c r="B74" s="81">
        <f>主角经验!B75</f>
        <v>29200</v>
      </c>
      <c r="C74" s="7">
        <f>IF(主角经验!AF75="","",主角经验!$B75*主角经验!AF75)</f>
        <v>486764.00000000006</v>
      </c>
      <c r="D74" s="7">
        <f>IF(主角经验!AG75="","",主角经验!$B75*主角经验!AG75)</f>
        <v>192720</v>
      </c>
      <c r="E74" s="7">
        <f>IF(主角经验!AH75="","",主角经验!$B75*主角经验!AH75)</f>
        <v>73000</v>
      </c>
      <c r="F74" s="7">
        <f>IF(主角经验!AI75="","",主角经验!$B75*主角经验!AI75)</f>
        <v>438000</v>
      </c>
      <c r="G74" s="7" t="str">
        <f>IF(主角经验!AJ75="","",主角经验!$B75*主角经验!AJ75)</f>
        <v/>
      </c>
      <c r="H74" s="7" t="str">
        <f>IF(主角经验!AK75="","",主角经验!$B75*主角经验!AK75)</f>
        <v/>
      </c>
      <c r="I74" s="7" t="str">
        <f>IF(主角经验!AL75="","",主角经验!$B75*主角经验!AL75)</f>
        <v/>
      </c>
      <c r="J74" s="7" t="str">
        <f>IF(主角经验!AM75="","",主角经验!$B75*主角经验!AM75)</f>
        <v/>
      </c>
      <c r="K74" s="7">
        <f>IF(主角经验!AN75="","",主角经验!$B75*主角经验!AN75)</f>
        <v>292000</v>
      </c>
      <c r="L74" s="7">
        <f>IF(主角经验!AO75="","",主角经验!$B75*主角经验!AO75)</f>
        <v>97236</v>
      </c>
      <c r="M74" s="7">
        <f>IF(主角经验!AP75="","",主角经验!$B75*主角经验!AP75)</f>
        <v>584000</v>
      </c>
      <c r="N74" s="7">
        <f>IF(主角经验!AQ75="","",主角经验!$B75*主角经验!AQ75)</f>
        <v>350400</v>
      </c>
      <c r="O74" s="7">
        <f>IF(主角经验!AR75="","",主角经验!$B75*主角经验!AR75)</f>
        <v>365000</v>
      </c>
      <c r="P74" s="7">
        <f>IF(主角经验!AS75="","",主角经验!$B75*主角经验!AS75)</f>
        <v>24236</v>
      </c>
      <c r="Q74" s="7">
        <f>IF(主角经验!AT75="","",主角经验!$B75*主角经验!AT75)</f>
        <v>1518400</v>
      </c>
      <c r="R74" s="7">
        <f>IF(主角经验!AU75="","",主角经验!$B75*主角经验!AU75)</f>
        <v>175200</v>
      </c>
      <c r="S74" s="7">
        <f>IF(主角经验!AV75="","",主角经验!$B75*主角经验!AV75)</f>
        <v>194764</v>
      </c>
      <c r="T74" s="7">
        <f>IF(主角经验!AW75="","",主角经验!$B75*主角经验!AW75)</f>
        <v>0</v>
      </c>
      <c r="U74" s="7">
        <f>IF(主角经验!AX75="","",主角经验!$B75*主角经验!AX75)</f>
        <v>146000</v>
      </c>
      <c r="V74" s="7">
        <f>IF(主角经验!AY75="","",主角经验!$B75*主角经验!AY75)</f>
        <v>194764</v>
      </c>
      <c r="W74" s="7">
        <f>IF(主角经验!AZ75="","",主角经验!$B75*主角经验!AZ75)</f>
        <v>73000</v>
      </c>
      <c r="X74" s="7">
        <f>IF(主角经验!BA75="","",主角经验!$B75*主角经验!BA75)</f>
        <v>146000</v>
      </c>
      <c r="Y74" s="7">
        <f>IF(主角经验!BB75="","",主角经验!$B75*主角经验!BB75)</f>
        <v>182500</v>
      </c>
      <c r="Z74" s="7">
        <f>IF(主角经验!BC75="","",主角经验!$B75*主角经验!BC75)</f>
        <v>255500</v>
      </c>
      <c r="AA74" s="7">
        <f>IF(主角经验!BD75="","",主角经验!$B75*主角经验!BD75)</f>
        <v>73000</v>
      </c>
      <c r="AB74" s="7" t="str">
        <f>IF(主角经验!BE75="","",主角经验!$B75*主角经验!BE75)</f>
        <v/>
      </c>
      <c r="AC74" s="7" t="str">
        <f>IF(主角经验!BF75="","",主角经验!$B75*主角经验!BF75)</f>
        <v/>
      </c>
      <c r="AD74" s="7" t="str">
        <f>IF(主角经验!BG75="","",主角经验!$B75*主角经验!BG75)</f>
        <v/>
      </c>
      <c r="AE74" s="7" t="str">
        <f>IF(主角经验!BH75="","",主角经验!$B75*主角经验!BH75)</f>
        <v/>
      </c>
      <c r="AF74" s="7">
        <f>主角经验!BK75</f>
        <v>1556400</v>
      </c>
      <c r="AG74" s="7">
        <f>主角经验!BO75</f>
        <v>324</v>
      </c>
    </row>
    <row r="75" spans="1:34">
      <c r="A75" s="32">
        <v>74</v>
      </c>
      <c r="B75" s="81">
        <f>主角经验!B76</f>
        <v>29600</v>
      </c>
      <c r="C75" s="7">
        <f>IF(主角经验!AF76="","",主角经验!$B76*主角经验!AF76)</f>
        <v>493432.00000000006</v>
      </c>
      <c r="D75" s="7">
        <f>IF(主角经验!AG76="","",主角经验!$B76*主角经验!AG76)</f>
        <v>195360</v>
      </c>
      <c r="E75" s="7">
        <f>IF(主角经验!AH76="","",主角经验!$B76*主角经验!AH76)</f>
        <v>74000</v>
      </c>
      <c r="F75" s="7">
        <f>IF(主角经验!AI76="","",主角经验!$B76*主角经验!AI76)</f>
        <v>444000</v>
      </c>
      <c r="G75" s="7" t="str">
        <f>IF(主角经验!AJ76="","",主角经验!$B76*主角经验!AJ76)</f>
        <v/>
      </c>
      <c r="H75" s="7" t="str">
        <f>IF(主角经验!AK76="","",主角经验!$B76*主角经验!AK76)</f>
        <v/>
      </c>
      <c r="I75" s="7" t="str">
        <f>IF(主角经验!AL76="","",主角经验!$B76*主角经验!AL76)</f>
        <v/>
      </c>
      <c r="J75" s="7" t="str">
        <f>IF(主角经验!AM76="","",主角经验!$B76*主角经验!AM76)</f>
        <v/>
      </c>
      <c r="K75" s="7">
        <f>IF(主角经验!AN76="","",主角经验!$B76*主角经验!AN76)</f>
        <v>296000</v>
      </c>
      <c r="L75" s="7">
        <f>IF(主角经验!AO76="","",主角经验!$B76*主角经验!AO76)</f>
        <v>98568</v>
      </c>
      <c r="M75" s="7">
        <f>IF(主角经验!AP76="","",主角经验!$B76*主角经验!AP76)</f>
        <v>592000</v>
      </c>
      <c r="N75" s="7">
        <f>IF(主角经验!AQ76="","",主角经验!$B76*主角经验!AQ76)</f>
        <v>355200</v>
      </c>
      <c r="O75" s="7">
        <f>IF(主角经验!AR76="","",主角经验!$B76*主角经验!AR76)</f>
        <v>370000</v>
      </c>
      <c r="P75" s="7">
        <f>IF(主角经验!AS76="","",主角经验!$B76*主角经验!AS76)</f>
        <v>24568</v>
      </c>
      <c r="Q75" s="7">
        <f>IF(主角经验!AT76="","",主角经验!$B76*主角经验!AT76)</f>
        <v>1539200</v>
      </c>
      <c r="R75" s="7">
        <f>IF(主角经验!AU76="","",主角经验!$B76*主角经验!AU76)</f>
        <v>177600</v>
      </c>
      <c r="S75" s="7">
        <f>IF(主角经验!AV76="","",主角经验!$B76*主角经验!AV76)</f>
        <v>197432</v>
      </c>
      <c r="T75" s="7">
        <f>IF(主角经验!AW76="","",主角经验!$B76*主角经验!AW76)</f>
        <v>0</v>
      </c>
      <c r="U75" s="7">
        <f>IF(主角经验!AX76="","",主角经验!$B76*主角经验!AX76)</f>
        <v>148000</v>
      </c>
      <c r="V75" s="7">
        <f>IF(主角经验!AY76="","",主角经验!$B76*主角经验!AY76)</f>
        <v>197432</v>
      </c>
      <c r="W75" s="7">
        <f>IF(主角经验!AZ76="","",主角经验!$B76*主角经验!AZ76)</f>
        <v>74000</v>
      </c>
      <c r="X75" s="7">
        <f>IF(主角经验!BA76="","",主角经验!$B76*主角经验!BA76)</f>
        <v>148000</v>
      </c>
      <c r="Y75" s="7">
        <f>IF(主角经验!BB76="","",主角经验!$B76*主角经验!BB76)</f>
        <v>185000</v>
      </c>
      <c r="Z75" s="7">
        <f>IF(主角经验!BC76="","",主角经验!$B76*主角经验!BC76)</f>
        <v>259000</v>
      </c>
      <c r="AA75" s="7">
        <f>IF(主角经验!BD76="","",主角经验!$B76*主角经验!BD76)</f>
        <v>74000</v>
      </c>
      <c r="AB75" s="7" t="str">
        <f>IF(主角经验!BE76="","",主角经验!$B76*主角经验!BE76)</f>
        <v/>
      </c>
      <c r="AC75" s="7" t="str">
        <f>IF(主角经验!BF76="","",主角经验!$B76*主角经验!BF76)</f>
        <v/>
      </c>
      <c r="AD75" s="7" t="str">
        <f>IF(主角经验!BG76="","",主角经验!$B76*主角经验!BG76)</f>
        <v/>
      </c>
      <c r="AE75" s="7" t="str">
        <f>IF(主角经验!BH76="","",主角经验!$B76*主角经验!BH76)</f>
        <v/>
      </c>
      <c r="AF75" s="7">
        <f>主角经验!BK76</f>
        <v>1610200</v>
      </c>
      <c r="AG75" s="7">
        <f>主角经验!BO76</f>
        <v>329</v>
      </c>
    </row>
    <row r="76" spans="1:34">
      <c r="A76" s="32">
        <v>75</v>
      </c>
      <c r="B76" s="81">
        <f>主角经验!B77</f>
        <v>30000</v>
      </c>
      <c r="C76" s="7">
        <f>IF(主角经验!AF77="","",主角经验!$B77*主角经验!AF77)</f>
        <v>500100.00000000006</v>
      </c>
      <c r="D76" s="7">
        <f>IF(主角经验!AG77="","",主角经验!$B77*主角经验!AG77)</f>
        <v>198000</v>
      </c>
      <c r="E76" s="7">
        <f>IF(主角经验!AH77="","",主角经验!$B77*主角经验!AH77)</f>
        <v>75000</v>
      </c>
      <c r="F76" s="7">
        <f>IF(主角经验!AI77="","",主角经验!$B77*主角经验!AI77)</f>
        <v>450000</v>
      </c>
      <c r="G76" s="7" t="str">
        <f>IF(主角经验!AJ77="","",主角经验!$B77*主角经验!AJ77)</f>
        <v/>
      </c>
      <c r="H76" s="7" t="str">
        <f>IF(主角经验!AK77="","",主角经验!$B77*主角经验!AK77)</f>
        <v/>
      </c>
      <c r="I76" s="7" t="str">
        <f>IF(主角经验!AL77="","",主角经验!$B77*主角经验!AL77)</f>
        <v/>
      </c>
      <c r="J76" s="7" t="str">
        <f>IF(主角经验!AM77="","",主角经验!$B77*主角经验!AM77)</f>
        <v/>
      </c>
      <c r="K76" s="7">
        <f>IF(主角经验!AN77="","",主角经验!$B77*主角经验!AN77)</f>
        <v>300000</v>
      </c>
      <c r="L76" s="7">
        <f>IF(主角经验!AO77="","",主角经验!$B77*主角经验!AO77)</f>
        <v>99900</v>
      </c>
      <c r="M76" s="7">
        <f>IF(主角经验!AP77="","",主角经验!$B77*主角经验!AP77)</f>
        <v>600000</v>
      </c>
      <c r="N76" s="7">
        <f>IF(主角经验!AQ77="","",主角经验!$B77*主角经验!AQ77)</f>
        <v>360000</v>
      </c>
      <c r="O76" s="7">
        <f>IF(主角经验!AR77="","",主角经验!$B77*主角经验!AR77)</f>
        <v>375000</v>
      </c>
      <c r="P76" s="7">
        <f>IF(主角经验!AS77="","",主角经验!$B77*主角经验!AS77)</f>
        <v>24900</v>
      </c>
      <c r="Q76" s="7">
        <f>IF(主角经验!AT77="","",主角经验!$B77*主角经验!AT77)</f>
        <v>1560000</v>
      </c>
      <c r="R76" s="7">
        <f>IF(主角经验!AU77="","",主角经验!$B77*主角经验!AU77)</f>
        <v>180000</v>
      </c>
      <c r="S76" s="7">
        <f>IF(主角经验!AV77="","",主角经验!$B77*主角经验!AV77)</f>
        <v>200100</v>
      </c>
      <c r="T76" s="7">
        <f>IF(主角经验!AW77="","",主角经验!$B77*主角经验!AW77)</f>
        <v>0</v>
      </c>
      <c r="U76" s="7">
        <f>IF(主角经验!AX77="","",主角经验!$B77*主角经验!AX77)</f>
        <v>150000</v>
      </c>
      <c r="V76" s="7">
        <f>IF(主角经验!AY77="","",主角经验!$B77*主角经验!AY77)</f>
        <v>200100</v>
      </c>
      <c r="W76" s="7">
        <f>IF(主角经验!AZ77="","",主角经验!$B77*主角经验!AZ77)</f>
        <v>75000</v>
      </c>
      <c r="X76" s="7">
        <f>IF(主角经验!BA77="","",主角经验!$B77*主角经验!BA77)</f>
        <v>150000</v>
      </c>
      <c r="Y76" s="7">
        <f>IF(主角经验!BB77="","",主角经验!$B77*主角经验!BB77)</f>
        <v>187500</v>
      </c>
      <c r="Z76" s="7">
        <f>IF(主角经验!BC77="","",主角经验!$B77*主角经验!BC77)</f>
        <v>262500</v>
      </c>
      <c r="AA76" s="7">
        <f>IF(主角经验!BD77="","",主角经验!$B77*主角经验!BD77)</f>
        <v>75000</v>
      </c>
      <c r="AB76" s="7" t="str">
        <f>IF(主角经验!BE77="","",主角经验!$B77*主角经验!BE77)</f>
        <v/>
      </c>
      <c r="AC76" s="7" t="str">
        <f>IF(主角经验!BF77="","",主角经验!$B77*主角经验!BF77)</f>
        <v/>
      </c>
      <c r="AD76" s="7" t="str">
        <f>IF(主角经验!BG77="","",主角经验!$B77*主角经验!BG77)</f>
        <v/>
      </c>
      <c r="AE76" s="7" t="str">
        <f>IF(主角经验!BH77="","",主角经验!$B77*主角经验!BH77)</f>
        <v/>
      </c>
      <c r="AF76" s="7">
        <f>主角经验!BK77</f>
        <v>1665000</v>
      </c>
      <c r="AG76" s="7">
        <f>主角经验!BO77</f>
        <v>333</v>
      </c>
    </row>
    <row r="77" spans="1:34">
      <c r="A77" s="32">
        <v>76</v>
      </c>
      <c r="B77" s="81">
        <f>主角经验!B78</f>
        <v>30400</v>
      </c>
      <c r="C77" s="7">
        <f>IF(主角经验!AF78="","",主角经验!$B78*主角经验!AF78)</f>
        <v>506768.00000000006</v>
      </c>
      <c r="D77" s="7">
        <f>IF(主角经验!AG78="","",主角经验!$B78*主角经验!AG78)</f>
        <v>200640</v>
      </c>
      <c r="E77" s="7">
        <f>IF(主角经验!AH78="","",主角经验!$B78*主角经验!AH78)</f>
        <v>76000</v>
      </c>
      <c r="F77" s="7">
        <f>IF(主角经验!AI78="","",主角经验!$B78*主角经验!AI78)</f>
        <v>456000</v>
      </c>
      <c r="G77" s="7" t="str">
        <f>IF(主角经验!AJ78="","",主角经验!$B78*主角经验!AJ78)</f>
        <v/>
      </c>
      <c r="H77" s="7" t="str">
        <f>IF(主角经验!AK78="","",主角经验!$B78*主角经验!AK78)</f>
        <v/>
      </c>
      <c r="I77" s="7" t="str">
        <f>IF(主角经验!AL78="","",主角经验!$B78*主角经验!AL78)</f>
        <v/>
      </c>
      <c r="J77" s="7" t="str">
        <f>IF(主角经验!AM78="","",主角经验!$B78*主角经验!AM78)</f>
        <v/>
      </c>
      <c r="K77" s="7">
        <f>IF(主角经验!AN78="","",主角经验!$B78*主角经验!AN78)</f>
        <v>304000</v>
      </c>
      <c r="L77" s="7">
        <f>IF(主角经验!AO78="","",主角经验!$B78*主角经验!AO78)</f>
        <v>101232</v>
      </c>
      <c r="M77" s="7">
        <f>IF(主角经验!AP78="","",主角经验!$B78*主角经验!AP78)</f>
        <v>608000</v>
      </c>
      <c r="N77" s="7">
        <f>IF(主角经验!AQ78="","",主角经验!$B78*主角经验!AQ78)</f>
        <v>364800</v>
      </c>
      <c r="O77" s="7">
        <f>IF(主角经验!AR78="","",主角经验!$B78*主角经验!AR78)</f>
        <v>380000</v>
      </c>
      <c r="P77" s="7">
        <f>IF(主角经验!AS78="","",主角经验!$B78*主角经验!AS78)</f>
        <v>25232</v>
      </c>
      <c r="Q77" s="7">
        <f>IF(主角经验!AT78="","",主角经验!$B78*主角经验!AT78)</f>
        <v>1580800</v>
      </c>
      <c r="R77" s="7">
        <f>IF(主角经验!AU78="","",主角经验!$B78*主角经验!AU78)</f>
        <v>182400</v>
      </c>
      <c r="S77" s="7">
        <f>IF(主角经验!AV78="","",主角经验!$B78*主角经验!AV78)</f>
        <v>202768</v>
      </c>
      <c r="T77" s="7">
        <f>IF(主角经验!AW78="","",主角经验!$B78*主角经验!AW78)</f>
        <v>0</v>
      </c>
      <c r="U77" s="7">
        <f>IF(主角经验!AX78="","",主角经验!$B78*主角经验!AX78)</f>
        <v>152000</v>
      </c>
      <c r="V77" s="7">
        <f>IF(主角经验!AY78="","",主角经验!$B78*主角经验!AY78)</f>
        <v>202768</v>
      </c>
      <c r="W77" s="7">
        <f>IF(主角经验!AZ78="","",主角经验!$B78*主角经验!AZ78)</f>
        <v>76000</v>
      </c>
      <c r="X77" s="7">
        <f>IF(主角经验!BA78="","",主角经验!$B78*主角经验!BA78)</f>
        <v>152000</v>
      </c>
      <c r="Y77" s="7">
        <f>IF(主角经验!BB78="","",主角经验!$B78*主角经验!BB78)</f>
        <v>190000</v>
      </c>
      <c r="Z77" s="7">
        <f>IF(主角经验!BC78="","",主角经验!$B78*主角经验!BC78)</f>
        <v>266000</v>
      </c>
      <c r="AA77" s="7">
        <f>IF(主角经验!BD78="","",主角经验!$B78*主角经验!BD78)</f>
        <v>76000</v>
      </c>
      <c r="AB77" s="7" t="str">
        <f>IF(主角经验!BE78="","",主角经验!$B78*主角经验!BE78)</f>
        <v/>
      </c>
      <c r="AC77" s="7" t="str">
        <f>IF(主角经验!BF78="","",主角经验!$B78*主角经验!BF78)</f>
        <v/>
      </c>
      <c r="AD77" s="7" t="str">
        <f>IF(主角经验!BG78="","",主角经验!$B78*主角经验!BG78)</f>
        <v/>
      </c>
      <c r="AE77" s="7" t="str">
        <f>IF(主角经验!BH78="","",主角经验!$B78*主角经验!BH78)</f>
        <v/>
      </c>
      <c r="AF77" s="7">
        <f>主角经验!BK78</f>
        <v>1720600</v>
      </c>
      <c r="AG77" s="7">
        <f>主角经验!BO78</f>
        <v>338</v>
      </c>
    </row>
    <row r="78" spans="1:34">
      <c r="A78" s="32">
        <v>77</v>
      </c>
      <c r="B78" s="81">
        <f>主角经验!B79</f>
        <v>30800</v>
      </c>
      <c r="C78" s="7">
        <f>IF(主角经验!AF79="","",主角经验!$B79*主角经验!AF79)</f>
        <v>513436.00000000006</v>
      </c>
      <c r="D78" s="7">
        <f>IF(主角经验!AG79="","",主角经验!$B79*主角经验!AG79)</f>
        <v>203280</v>
      </c>
      <c r="E78" s="7">
        <f>IF(主角经验!AH79="","",主角经验!$B79*主角经验!AH79)</f>
        <v>77000</v>
      </c>
      <c r="F78" s="7">
        <f>IF(主角经验!AI79="","",主角经验!$B79*主角经验!AI79)</f>
        <v>462000</v>
      </c>
      <c r="G78" s="7" t="str">
        <f>IF(主角经验!AJ79="","",主角经验!$B79*主角经验!AJ79)</f>
        <v/>
      </c>
      <c r="H78" s="7" t="str">
        <f>IF(主角经验!AK79="","",主角经验!$B79*主角经验!AK79)</f>
        <v/>
      </c>
      <c r="I78" s="7" t="str">
        <f>IF(主角经验!AL79="","",主角经验!$B79*主角经验!AL79)</f>
        <v/>
      </c>
      <c r="J78" s="7" t="str">
        <f>IF(主角经验!AM79="","",主角经验!$B79*主角经验!AM79)</f>
        <v/>
      </c>
      <c r="K78" s="7">
        <f>IF(主角经验!AN79="","",主角经验!$B79*主角经验!AN79)</f>
        <v>308000</v>
      </c>
      <c r="L78" s="7">
        <f>IF(主角经验!AO79="","",主角经验!$B79*主角经验!AO79)</f>
        <v>102564</v>
      </c>
      <c r="M78" s="7">
        <f>IF(主角经验!AP79="","",主角经验!$B79*主角经验!AP79)</f>
        <v>616000</v>
      </c>
      <c r="N78" s="7">
        <f>IF(主角经验!AQ79="","",主角经验!$B79*主角经验!AQ79)</f>
        <v>369600</v>
      </c>
      <c r="O78" s="7">
        <f>IF(主角经验!AR79="","",主角经验!$B79*主角经验!AR79)</f>
        <v>385000</v>
      </c>
      <c r="P78" s="7">
        <f>IF(主角经验!AS79="","",主角经验!$B79*主角经验!AS79)</f>
        <v>25564</v>
      </c>
      <c r="Q78" s="7">
        <f>IF(主角经验!AT79="","",主角经验!$B79*主角经验!AT79)</f>
        <v>1601600</v>
      </c>
      <c r="R78" s="7">
        <f>IF(主角经验!AU79="","",主角经验!$B79*主角经验!AU79)</f>
        <v>184800</v>
      </c>
      <c r="S78" s="7">
        <f>IF(主角经验!AV79="","",主角经验!$B79*主角经验!AV79)</f>
        <v>205436</v>
      </c>
      <c r="T78" s="7">
        <f>IF(主角经验!AW79="","",主角经验!$B79*主角经验!AW79)</f>
        <v>0</v>
      </c>
      <c r="U78" s="7">
        <f>IF(主角经验!AX79="","",主角经验!$B79*主角经验!AX79)</f>
        <v>154000</v>
      </c>
      <c r="V78" s="7">
        <f>IF(主角经验!AY79="","",主角经验!$B79*主角经验!AY79)</f>
        <v>205436</v>
      </c>
      <c r="W78" s="7">
        <f>IF(主角经验!AZ79="","",主角经验!$B79*主角经验!AZ79)</f>
        <v>77000</v>
      </c>
      <c r="X78" s="7">
        <f>IF(主角经验!BA79="","",主角经验!$B79*主角经验!BA79)</f>
        <v>154000</v>
      </c>
      <c r="Y78" s="7">
        <f>IF(主角经验!BB79="","",主角经验!$B79*主角经验!BB79)</f>
        <v>192500</v>
      </c>
      <c r="Z78" s="7">
        <f>IF(主角经验!BC79="","",主角经验!$B79*主角经验!BC79)</f>
        <v>269500</v>
      </c>
      <c r="AA78" s="7">
        <f>IF(主角经验!BD79="","",主角经验!$B79*主角经验!BD79)</f>
        <v>77000</v>
      </c>
      <c r="AB78" s="7" t="str">
        <f>IF(主角经验!BE79="","",主角经验!$B79*主角经验!BE79)</f>
        <v/>
      </c>
      <c r="AC78" s="7" t="str">
        <f>IF(主角经验!BF79="","",主角经验!$B79*主角经验!BF79)</f>
        <v/>
      </c>
      <c r="AD78" s="7" t="str">
        <f>IF(主角经验!BG79="","",主角经验!$B79*主角经验!BG79)</f>
        <v/>
      </c>
      <c r="AE78" s="7" t="str">
        <f>IF(主角经验!BH79="","",主角经验!$B79*主角经验!BH79)</f>
        <v/>
      </c>
      <c r="AF78" s="7">
        <f>主角经验!BK79</f>
        <v>1777200</v>
      </c>
      <c r="AG78" s="7">
        <f>主角经验!BO79</f>
        <v>342</v>
      </c>
    </row>
    <row r="79" spans="1:34">
      <c r="A79" s="32">
        <v>78</v>
      </c>
      <c r="B79" s="81">
        <f>主角经验!B80</f>
        <v>31200</v>
      </c>
      <c r="C79" s="7">
        <f>IF(主角经验!AF80="","",主角经验!$B80*主角经验!AF80)</f>
        <v>520104.00000000006</v>
      </c>
      <c r="D79" s="7">
        <f>IF(主角经验!AG80="","",主角经验!$B80*主角经验!AG80)</f>
        <v>205920</v>
      </c>
      <c r="E79" s="7">
        <f>IF(主角经验!AH80="","",主角经验!$B80*主角经验!AH80)</f>
        <v>78000</v>
      </c>
      <c r="F79" s="7">
        <f>IF(主角经验!AI80="","",主角经验!$B80*主角经验!AI80)</f>
        <v>468000</v>
      </c>
      <c r="G79" s="7" t="str">
        <f>IF(主角经验!AJ80="","",主角经验!$B80*主角经验!AJ80)</f>
        <v/>
      </c>
      <c r="H79" s="7" t="str">
        <f>IF(主角经验!AK80="","",主角经验!$B80*主角经验!AK80)</f>
        <v/>
      </c>
      <c r="I79" s="7" t="str">
        <f>IF(主角经验!AL80="","",主角经验!$B80*主角经验!AL80)</f>
        <v/>
      </c>
      <c r="J79" s="7" t="str">
        <f>IF(主角经验!AM80="","",主角经验!$B80*主角经验!AM80)</f>
        <v/>
      </c>
      <c r="K79" s="7">
        <f>IF(主角经验!AN80="","",主角经验!$B80*主角经验!AN80)</f>
        <v>312000</v>
      </c>
      <c r="L79" s="7">
        <f>IF(主角经验!AO80="","",主角经验!$B80*主角经验!AO80)</f>
        <v>103896</v>
      </c>
      <c r="M79" s="7">
        <f>IF(主角经验!AP80="","",主角经验!$B80*主角经验!AP80)</f>
        <v>624000</v>
      </c>
      <c r="N79" s="7">
        <f>IF(主角经验!AQ80="","",主角经验!$B80*主角经验!AQ80)</f>
        <v>374400</v>
      </c>
      <c r="O79" s="7">
        <f>IF(主角经验!AR80="","",主角经验!$B80*主角经验!AR80)</f>
        <v>390000</v>
      </c>
      <c r="P79" s="7">
        <f>IF(主角经验!AS80="","",主角经验!$B80*主角经验!AS80)</f>
        <v>25896</v>
      </c>
      <c r="Q79" s="7">
        <f>IF(主角经验!AT80="","",主角经验!$B80*主角经验!AT80)</f>
        <v>1622400</v>
      </c>
      <c r="R79" s="7">
        <f>IF(主角经验!AU80="","",主角经验!$B80*主角经验!AU80)</f>
        <v>187200</v>
      </c>
      <c r="S79" s="7">
        <f>IF(主角经验!AV80="","",主角经验!$B80*主角经验!AV80)</f>
        <v>208104</v>
      </c>
      <c r="T79" s="7">
        <f>IF(主角经验!AW80="","",主角经验!$B80*主角经验!AW80)</f>
        <v>0</v>
      </c>
      <c r="U79" s="7">
        <f>IF(主角经验!AX80="","",主角经验!$B80*主角经验!AX80)</f>
        <v>156000</v>
      </c>
      <c r="V79" s="7">
        <f>IF(主角经验!AY80="","",主角经验!$B80*主角经验!AY80)</f>
        <v>208104</v>
      </c>
      <c r="W79" s="7">
        <f>IF(主角经验!AZ80="","",主角经验!$B80*主角经验!AZ80)</f>
        <v>78000</v>
      </c>
      <c r="X79" s="7">
        <f>IF(主角经验!BA80="","",主角经验!$B80*主角经验!BA80)</f>
        <v>156000</v>
      </c>
      <c r="Y79" s="7">
        <f>IF(主角经验!BB80="","",主角经验!$B80*主角经验!BB80)</f>
        <v>195000</v>
      </c>
      <c r="Z79" s="7">
        <f>IF(主角经验!BC80="","",主角经验!$B80*主角经验!BC80)</f>
        <v>273000</v>
      </c>
      <c r="AA79" s="7">
        <f>IF(主角经验!BD80="","",主角经验!$B80*主角经验!BD80)</f>
        <v>78000</v>
      </c>
      <c r="AB79" s="7" t="str">
        <f>IF(主角经验!BE80="","",主角经验!$B80*主角经验!BE80)</f>
        <v/>
      </c>
      <c r="AC79" s="7" t="str">
        <f>IF(主角经验!BF80="","",主角经验!$B80*主角经验!BF80)</f>
        <v/>
      </c>
      <c r="AD79" s="7" t="str">
        <f>IF(主角经验!BG80="","",主角经验!$B80*主角经验!BG80)</f>
        <v/>
      </c>
      <c r="AE79" s="7" t="str">
        <f>IF(主角经验!BH80="","",主角经验!$B80*主角经验!BH80)</f>
        <v/>
      </c>
      <c r="AF79" s="7">
        <f>主角经验!BK80</f>
        <v>1834600</v>
      </c>
      <c r="AG79" s="7">
        <f>主角经验!BO80</f>
        <v>347</v>
      </c>
    </row>
    <row r="80" spans="1:34">
      <c r="A80" s="32">
        <v>79</v>
      </c>
      <c r="B80" s="81">
        <f>主角经验!B81</f>
        <v>31600</v>
      </c>
      <c r="C80" s="7">
        <f>IF(主角经验!AF81="","",主角经验!$B81*主角经验!AF81)</f>
        <v>526772</v>
      </c>
      <c r="D80" s="7">
        <f>IF(主角经验!AG81="","",主角经验!$B81*主角经验!AG81)</f>
        <v>208560</v>
      </c>
      <c r="E80" s="7">
        <f>IF(主角经验!AH81="","",主角经验!$B81*主角经验!AH81)</f>
        <v>79000</v>
      </c>
      <c r="F80" s="7">
        <f>IF(主角经验!AI81="","",主角经验!$B81*主角经验!AI81)</f>
        <v>474000</v>
      </c>
      <c r="G80" s="7" t="str">
        <f>IF(主角经验!AJ81="","",主角经验!$B81*主角经验!AJ81)</f>
        <v/>
      </c>
      <c r="H80" s="7" t="str">
        <f>IF(主角经验!AK81="","",主角经验!$B81*主角经验!AK81)</f>
        <v/>
      </c>
      <c r="I80" s="7" t="str">
        <f>IF(主角经验!AL81="","",主角经验!$B81*主角经验!AL81)</f>
        <v/>
      </c>
      <c r="J80" s="7" t="str">
        <f>IF(主角经验!AM81="","",主角经验!$B81*主角经验!AM81)</f>
        <v/>
      </c>
      <c r="K80" s="7">
        <f>IF(主角经验!AN81="","",主角经验!$B81*主角经验!AN81)</f>
        <v>316000</v>
      </c>
      <c r="L80" s="7">
        <f>IF(主角经验!AO81="","",主角经验!$B81*主角经验!AO81)</f>
        <v>105228</v>
      </c>
      <c r="M80" s="7">
        <f>IF(主角经验!AP81="","",主角经验!$B81*主角经验!AP81)</f>
        <v>632000</v>
      </c>
      <c r="N80" s="7">
        <f>IF(主角经验!AQ81="","",主角经验!$B81*主角经验!AQ81)</f>
        <v>379200</v>
      </c>
      <c r="O80" s="7">
        <f>IF(主角经验!AR81="","",主角经验!$B81*主角经验!AR81)</f>
        <v>395000</v>
      </c>
      <c r="P80" s="7">
        <f>IF(主角经验!AS81="","",主角经验!$B81*主角经验!AS81)</f>
        <v>26228</v>
      </c>
      <c r="Q80" s="7">
        <f>IF(主角经验!AT81="","",主角经验!$B81*主角经验!AT81)</f>
        <v>1643200</v>
      </c>
      <c r="R80" s="7">
        <f>IF(主角经验!AU81="","",主角经验!$B81*主角经验!AU81)</f>
        <v>189600</v>
      </c>
      <c r="S80" s="7">
        <f>IF(主角经验!AV81="","",主角经验!$B81*主角经验!AV81)</f>
        <v>210772</v>
      </c>
      <c r="T80" s="7">
        <f>IF(主角经验!AW81="","",主角经验!$B81*主角经验!AW81)</f>
        <v>0</v>
      </c>
      <c r="U80" s="7">
        <f>IF(主角经验!AX81="","",主角经验!$B81*主角经验!AX81)</f>
        <v>158000</v>
      </c>
      <c r="V80" s="7">
        <f>IF(主角经验!AY81="","",主角经验!$B81*主角经验!AY81)</f>
        <v>210772</v>
      </c>
      <c r="W80" s="7">
        <f>IF(主角经验!AZ81="","",主角经验!$B81*主角经验!AZ81)</f>
        <v>79000</v>
      </c>
      <c r="X80" s="7">
        <f>IF(主角经验!BA81="","",主角经验!$B81*主角经验!BA81)</f>
        <v>158000</v>
      </c>
      <c r="Y80" s="7">
        <f>IF(主角经验!BB81="","",主角经验!$B81*主角经验!BB81)</f>
        <v>197500</v>
      </c>
      <c r="Z80" s="7">
        <f>IF(主角经验!BC81="","",主角经验!$B81*主角经验!BC81)</f>
        <v>276500</v>
      </c>
      <c r="AA80" s="7">
        <f>IF(主角经验!BD81="","",主角经验!$B81*主角经验!BD81)</f>
        <v>79000</v>
      </c>
      <c r="AB80" s="7" t="str">
        <f>IF(主角经验!BE81="","",主角经验!$B81*主角经验!BE81)</f>
        <v/>
      </c>
      <c r="AC80" s="7" t="str">
        <f>IF(主角经验!BF81="","",主角经验!$B81*主角经验!BF81)</f>
        <v/>
      </c>
      <c r="AD80" s="7" t="str">
        <f>IF(主角经验!BG81="","",主角经验!$B81*主角经验!BG81)</f>
        <v/>
      </c>
      <c r="AE80" s="7" t="str">
        <f>IF(主角经验!BH81="","",主角经验!$B81*主角经验!BH81)</f>
        <v/>
      </c>
      <c r="AF80" s="7">
        <f>主角经验!BK81</f>
        <v>1892800</v>
      </c>
      <c r="AG80" s="7">
        <f>主角经验!BO81</f>
        <v>351</v>
      </c>
    </row>
    <row r="81" spans="1:33">
      <c r="A81" s="32">
        <v>80</v>
      </c>
      <c r="B81" s="81">
        <f>主角经验!B82</f>
        <v>32000</v>
      </c>
      <c r="C81" s="7">
        <f>IF(主角经验!AF82="","",主角经验!$B82*主角经验!AF82)</f>
        <v>533440</v>
      </c>
      <c r="D81" s="7">
        <f>IF(主角经验!AG82="","",主角经验!$B82*主角经验!AG82)</f>
        <v>211200</v>
      </c>
      <c r="E81" s="7">
        <f>IF(主角经验!AH82="","",主角经验!$B82*主角经验!AH82)</f>
        <v>80000</v>
      </c>
      <c r="F81" s="7">
        <f>IF(主角经验!AI82="","",主角经验!$B82*主角经验!AI82)</f>
        <v>480000</v>
      </c>
      <c r="G81" s="7" t="str">
        <f>IF(主角经验!AJ82="","",主角经验!$B82*主角经验!AJ82)</f>
        <v/>
      </c>
      <c r="H81" s="7" t="str">
        <f>IF(主角经验!AK82="","",主角经验!$B82*主角经验!AK82)</f>
        <v/>
      </c>
      <c r="I81" s="7" t="str">
        <f>IF(主角经验!AL82="","",主角经验!$B82*主角经验!AL82)</f>
        <v/>
      </c>
      <c r="J81" s="7" t="str">
        <f>IF(主角经验!AM82="","",主角经验!$B82*主角经验!AM82)</f>
        <v/>
      </c>
      <c r="K81" s="7">
        <f>IF(主角经验!AN82="","",主角经验!$B82*主角经验!AN82)</f>
        <v>320000</v>
      </c>
      <c r="L81" s="7">
        <f>IF(主角经验!AO82="","",主角经验!$B82*主角经验!AO82)</f>
        <v>106560</v>
      </c>
      <c r="M81" s="7">
        <f>IF(主角经验!AP82="","",主角经验!$B82*主角经验!AP82)</f>
        <v>640000</v>
      </c>
      <c r="N81" s="7">
        <f>IF(主角经验!AQ82="","",主角经验!$B82*主角经验!AQ82)</f>
        <v>384000</v>
      </c>
      <c r="O81" s="7">
        <f>IF(主角经验!AR82="","",主角经验!$B82*主角经验!AR82)</f>
        <v>400000</v>
      </c>
      <c r="P81" s="7">
        <f>IF(主角经验!AS82="","",主角经验!$B82*主角经验!AS82)</f>
        <v>26560</v>
      </c>
      <c r="Q81" s="7">
        <f>IF(主角经验!AT82="","",主角经验!$B82*主角经验!AT82)</f>
        <v>1664000</v>
      </c>
      <c r="R81" s="7">
        <f>IF(主角经验!AU82="","",主角经验!$B82*主角经验!AU82)</f>
        <v>192000</v>
      </c>
      <c r="S81" s="7">
        <f>IF(主角经验!AV82="","",主角经验!$B82*主角经验!AV82)</f>
        <v>213440</v>
      </c>
      <c r="T81" s="7">
        <f>IF(主角经验!AW82="","",主角经验!$B82*主角经验!AW82)</f>
        <v>0</v>
      </c>
      <c r="U81" s="7">
        <f>IF(主角经验!AX82="","",主角经验!$B82*主角经验!AX82)</f>
        <v>160000</v>
      </c>
      <c r="V81" s="7">
        <f>IF(主角经验!AY82="","",主角经验!$B82*主角经验!AY82)</f>
        <v>213440</v>
      </c>
      <c r="W81" s="7">
        <f>IF(主角经验!AZ82="","",主角经验!$B82*主角经验!AZ82)</f>
        <v>80000</v>
      </c>
      <c r="X81" s="7">
        <f>IF(主角经验!BA82="","",主角经验!$B82*主角经验!BA82)</f>
        <v>160000</v>
      </c>
      <c r="Y81" s="7">
        <f>IF(主角经验!BB82="","",主角经验!$B82*主角经验!BB82)</f>
        <v>200000</v>
      </c>
      <c r="Z81" s="7">
        <f>IF(主角经验!BC82="","",主角经验!$B82*主角经验!BC82)</f>
        <v>280000</v>
      </c>
      <c r="AA81" s="7">
        <f>IF(主角经验!BD82="","",主角经验!$B82*主角经验!BD82)</f>
        <v>80000</v>
      </c>
      <c r="AB81" s="7" t="str">
        <f>IF(主角经验!BE82="","",主角经验!$B82*主角经验!BE82)</f>
        <v/>
      </c>
      <c r="AC81" s="7" t="str">
        <f>IF(主角经验!BF82="","",主角经验!$B82*主角经验!BF82)</f>
        <v/>
      </c>
      <c r="AD81" s="7" t="str">
        <f>IF(主角经验!BG82="","",主角经验!$B82*主角经验!BG82)</f>
        <v/>
      </c>
      <c r="AE81" s="7" t="str">
        <f>IF(主角经验!BH82="","",主角经验!$B82*主角经验!BH82)</f>
        <v/>
      </c>
      <c r="AF81" s="7">
        <f>主角经验!BK82</f>
        <v>1952000</v>
      </c>
      <c r="AG81" s="7">
        <f>主角经验!BO82</f>
        <v>356</v>
      </c>
    </row>
    <row r="82" spans="1:33">
      <c r="A82" s="32">
        <v>81</v>
      </c>
      <c r="B82" s="81">
        <f>主角经验!B83</f>
        <v>32400</v>
      </c>
      <c r="C82" s="7">
        <f>IF(主角经验!AF83="","",主角经验!$B83*主角经验!AF83)</f>
        <v>540108</v>
      </c>
      <c r="D82" s="7">
        <f>IF(主角经验!AG83="","",主角经验!$B83*主角经验!AG83)</f>
        <v>213840</v>
      </c>
      <c r="E82" s="7">
        <f>IF(主角经验!AH83="","",主角经验!$B83*主角经验!AH83)</f>
        <v>81000</v>
      </c>
      <c r="F82" s="7">
        <f>IF(主角经验!AI83="","",主角经验!$B83*主角经验!AI83)</f>
        <v>486000</v>
      </c>
      <c r="G82" s="7" t="str">
        <f>IF(主角经验!AJ83="","",主角经验!$B83*主角经验!AJ83)</f>
        <v/>
      </c>
      <c r="H82" s="7" t="str">
        <f>IF(主角经验!AK83="","",主角经验!$B83*主角经验!AK83)</f>
        <v/>
      </c>
      <c r="I82" s="7" t="str">
        <f>IF(主角经验!AL83="","",主角经验!$B83*主角经验!AL83)</f>
        <v/>
      </c>
      <c r="J82" s="7" t="str">
        <f>IF(主角经验!AM83="","",主角经验!$B83*主角经验!AM83)</f>
        <v/>
      </c>
      <c r="K82" s="7">
        <f>IF(主角经验!AN83="","",主角经验!$B83*主角经验!AN83)</f>
        <v>324000</v>
      </c>
      <c r="L82" s="7">
        <f>IF(主角经验!AO83="","",主角经验!$B83*主角经验!AO83)</f>
        <v>107892</v>
      </c>
      <c r="M82" s="7">
        <f>IF(主角经验!AP83="","",主角经验!$B83*主角经验!AP83)</f>
        <v>648000</v>
      </c>
      <c r="N82" s="7">
        <f>IF(主角经验!AQ83="","",主角经验!$B83*主角经验!AQ83)</f>
        <v>388800</v>
      </c>
      <c r="O82" s="7">
        <f>IF(主角经验!AR83="","",主角经验!$B83*主角经验!AR83)</f>
        <v>405000</v>
      </c>
      <c r="P82" s="7">
        <f>IF(主角经验!AS83="","",主角经验!$B83*主角经验!AS83)</f>
        <v>26892</v>
      </c>
      <c r="Q82" s="7">
        <f>IF(主角经验!AT83="","",主角经验!$B83*主角经验!AT83)</f>
        <v>1684800</v>
      </c>
      <c r="R82" s="7">
        <f>IF(主角经验!AU83="","",主角经验!$B83*主角经验!AU83)</f>
        <v>194400</v>
      </c>
      <c r="S82" s="7">
        <f>IF(主角经验!AV83="","",主角经验!$B83*主角经验!AV83)</f>
        <v>216108</v>
      </c>
      <c r="T82" s="7">
        <f>IF(主角经验!AW83="","",主角经验!$B83*主角经验!AW83)</f>
        <v>0</v>
      </c>
      <c r="U82" s="7">
        <f>IF(主角经验!AX83="","",主角经验!$B83*主角经验!AX83)</f>
        <v>162000</v>
      </c>
      <c r="V82" s="7">
        <f>IF(主角经验!AY83="","",主角经验!$B83*主角经验!AY83)</f>
        <v>216108</v>
      </c>
      <c r="W82" s="7">
        <f>IF(主角经验!AZ83="","",主角经验!$B83*主角经验!AZ83)</f>
        <v>81000</v>
      </c>
      <c r="X82" s="7">
        <f>IF(主角经验!BA83="","",主角经验!$B83*主角经验!BA83)</f>
        <v>162000</v>
      </c>
      <c r="Y82" s="7">
        <f>IF(主角经验!BB83="","",主角经验!$B83*主角经验!BB83)</f>
        <v>202500</v>
      </c>
      <c r="Z82" s="7">
        <f>IF(主角经验!BC83="","",主角经验!$B83*主角经验!BC83)</f>
        <v>283500</v>
      </c>
      <c r="AA82" s="7">
        <f>IF(主角经验!BD83="","",主角经验!$B83*主角经验!BD83)</f>
        <v>81000</v>
      </c>
      <c r="AB82" s="7" t="str">
        <f>IF(主角经验!BE83="","",主角经验!$B83*主角经验!BE83)</f>
        <v/>
      </c>
      <c r="AC82" s="7" t="str">
        <f>IF(主角经验!BF83="","",主角经验!$B83*主角经验!BF83)</f>
        <v/>
      </c>
      <c r="AD82" s="7" t="str">
        <f>IF(主角经验!BG83="","",主角经验!$B83*主角经验!BG83)</f>
        <v/>
      </c>
      <c r="AE82" s="7" t="str">
        <f>IF(主角经验!BH83="","",主角经验!$B83*主角经验!BH83)</f>
        <v/>
      </c>
      <c r="AF82" s="7">
        <f>主角经验!BK83</f>
        <v>2012000</v>
      </c>
      <c r="AG82" s="7">
        <f>主角经验!BO83</f>
        <v>360</v>
      </c>
    </row>
    <row r="83" spans="1:33">
      <c r="A83" s="32">
        <v>82</v>
      </c>
      <c r="B83" s="81">
        <f>主角经验!B84</f>
        <v>32800</v>
      </c>
      <c r="C83" s="7">
        <f>IF(主角经验!AF84="","",主角经验!$B84*主角经验!AF84)</f>
        <v>546776</v>
      </c>
      <c r="D83" s="7">
        <f>IF(主角经验!AG84="","",主角经验!$B84*主角经验!AG84)</f>
        <v>216480</v>
      </c>
      <c r="E83" s="7">
        <f>IF(主角经验!AH84="","",主角经验!$B84*主角经验!AH84)</f>
        <v>82000</v>
      </c>
      <c r="F83" s="7">
        <f>IF(主角经验!AI84="","",主角经验!$B84*主角经验!AI84)</f>
        <v>492000</v>
      </c>
      <c r="G83" s="7" t="str">
        <f>IF(主角经验!AJ84="","",主角经验!$B84*主角经验!AJ84)</f>
        <v/>
      </c>
      <c r="H83" s="7" t="str">
        <f>IF(主角经验!AK84="","",主角经验!$B84*主角经验!AK84)</f>
        <v/>
      </c>
      <c r="I83" s="7" t="str">
        <f>IF(主角经验!AL84="","",主角经验!$B84*主角经验!AL84)</f>
        <v/>
      </c>
      <c r="J83" s="7" t="str">
        <f>IF(主角经验!AM84="","",主角经验!$B84*主角经验!AM84)</f>
        <v/>
      </c>
      <c r="K83" s="7">
        <f>IF(主角经验!AN84="","",主角经验!$B84*主角经验!AN84)</f>
        <v>328000</v>
      </c>
      <c r="L83" s="7">
        <f>IF(主角经验!AO84="","",主角经验!$B84*主角经验!AO84)</f>
        <v>109224</v>
      </c>
      <c r="M83" s="7">
        <f>IF(主角经验!AP84="","",主角经验!$B84*主角经验!AP84)</f>
        <v>656000</v>
      </c>
      <c r="N83" s="7">
        <f>IF(主角经验!AQ84="","",主角经验!$B84*主角经验!AQ84)</f>
        <v>393600</v>
      </c>
      <c r="O83" s="7">
        <f>IF(主角经验!AR84="","",主角经验!$B84*主角经验!AR84)</f>
        <v>410000</v>
      </c>
      <c r="P83" s="7">
        <f>IF(主角经验!AS84="","",主角经验!$B84*主角经验!AS84)</f>
        <v>27224</v>
      </c>
      <c r="Q83" s="7">
        <f>IF(主角经验!AT84="","",主角经验!$B84*主角经验!AT84)</f>
        <v>1705600</v>
      </c>
      <c r="R83" s="7">
        <f>IF(主角经验!AU84="","",主角经验!$B84*主角经验!AU84)</f>
        <v>196800</v>
      </c>
      <c r="S83" s="7">
        <f>IF(主角经验!AV84="","",主角经验!$B84*主角经验!AV84)</f>
        <v>218776</v>
      </c>
      <c r="T83" s="7">
        <f>IF(主角经验!AW84="","",主角经验!$B84*主角经验!AW84)</f>
        <v>0</v>
      </c>
      <c r="U83" s="7">
        <f>IF(主角经验!AX84="","",主角经验!$B84*主角经验!AX84)</f>
        <v>164000</v>
      </c>
      <c r="V83" s="7">
        <f>IF(主角经验!AY84="","",主角经验!$B84*主角经验!AY84)</f>
        <v>218776</v>
      </c>
      <c r="W83" s="7">
        <f>IF(主角经验!AZ84="","",主角经验!$B84*主角经验!AZ84)</f>
        <v>82000</v>
      </c>
      <c r="X83" s="7">
        <f>IF(主角经验!BA84="","",主角经验!$B84*主角经验!BA84)</f>
        <v>164000</v>
      </c>
      <c r="Y83" s="7">
        <f>IF(主角经验!BB84="","",主角经验!$B84*主角经验!BB84)</f>
        <v>205000</v>
      </c>
      <c r="Z83" s="7">
        <f>IF(主角经验!BC84="","",主角经验!$B84*主角经验!BC84)</f>
        <v>287000</v>
      </c>
      <c r="AA83" s="7">
        <f>IF(主角经验!BD84="","",主角经验!$B84*主角经验!BD84)</f>
        <v>82000</v>
      </c>
      <c r="AB83" s="7" t="str">
        <f>IF(主角经验!BE84="","",主角经验!$B84*主角经验!BE84)</f>
        <v/>
      </c>
      <c r="AC83" s="7" t="str">
        <f>IF(主角经验!BF84="","",主角经验!$B84*主角经验!BF84)</f>
        <v/>
      </c>
      <c r="AD83" s="7" t="str">
        <f>IF(主角经验!BG84="","",主角经验!$B84*主角经验!BG84)</f>
        <v/>
      </c>
      <c r="AE83" s="7" t="str">
        <f>IF(主角经验!BH84="","",主角经验!$B84*主角经验!BH84)</f>
        <v/>
      </c>
      <c r="AF83" s="7">
        <f>主角经验!BK84</f>
        <v>2073000</v>
      </c>
      <c r="AG83" s="7">
        <f>主角经验!BO84</f>
        <v>364</v>
      </c>
    </row>
    <row r="84" spans="1:33">
      <c r="A84" s="32">
        <v>83</v>
      </c>
      <c r="B84" s="81">
        <f>主角经验!B85</f>
        <v>33200</v>
      </c>
      <c r="C84" s="7">
        <f>IF(主角经验!AF85="","",主角经验!$B85*主角经验!AF85)</f>
        <v>553444</v>
      </c>
      <c r="D84" s="7">
        <f>IF(主角经验!AG85="","",主角经验!$B85*主角经验!AG85)</f>
        <v>219120</v>
      </c>
      <c r="E84" s="7">
        <f>IF(主角经验!AH85="","",主角经验!$B85*主角经验!AH85)</f>
        <v>83000</v>
      </c>
      <c r="F84" s="7">
        <f>IF(主角经验!AI85="","",主角经验!$B85*主角经验!AI85)</f>
        <v>498000</v>
      </c>
      <c r="G84" s="7" t="str">
        <f>IF(主角经验!AJ85="","",主角经验!$B85*主角经验!AJ85)</f>
        <v/>
      </c>
      <c r="H84" s="7" t="str">
        <f>IF(主角经验!AK85="","",主角经验!$B85*主角经验!AK85)</f>
        <v/>
      </c>
      <c r="I84" s="7" t="str">
        <f>IF(主角经验!AL85="","",主角经验!$B85*主角经验!AL85)</f>
        <v/>
      </c>
      <c r="J84" s="7" t="str">
        <f>IF(主角经验!AM85="","",主角经验!$B85*主角经验!AM85)</f>
        <v/>
      </c>
      <c r="K84" s="7">
        <f>IF(主角经验!AN85="","",主角经验!$B85*主角经验!AN85)</f>
        <v>332000</v>
      </c>
      <c r="L84" s="7">
        <f>IF(主角经验!AO85="","",主角经验!$B85*主角经验!AO85)</f>
        <v>110556</v>
      </c>
      <c r="M84" s="7">
        <f>IF(主角经验!AP85="","",主角经验!$B85*主角经验!AP85)</f>
        <v>664000</v>
      </c>
      <c r="N84" s="7">
        <f>IF(主角经验!AQ85="","",主角经验!$B85*主角经验!AQ85)</f>
        <v>398400</v>
      </c>
      <c r="O84" s="7">
        <f>IF(主角经验!AR85="","",主角经验!$B85*主角经验!AR85)</f>
        <v>415000</v>
      </c>
      <c r="P84" s="7">
        <f>IF(主角经验!AS85="","",主角经验!$B85*主角经验!AS85)</f>
        <v>27556</v>
      </c>
      <c r="Q84" s="7">
        <f>IF(主角经验!AT85="","",主角经验!$B85*主角经验!AT85)</f>
        <v>1726400</v>
      </c>
      <c r="R84" s="7">
        <f>IF(主角经验!AU85="","",主角经验!$B85*主角经验!AU85)</f>
        <v>199200</v>
      </c>
      <c r="S84" s="7">
        <f>IF(主角经验!AV85="","",主角经验!$B85*主角经验!AV85)</f>
        <v>221444</v>
      </c>
      <c r="T84" s="7">
        <f>IF(主角经验!AW85="","",主角经验!$B85*主角经验!AW85)</f>
        <v>0</v>
      </c>
      <c r="U84" s="7">
        <f>IF(主角经验!AX85="","",主角经验!$B85*主角经验!AX85)</f>
        <v>166000</v>
      </c>
      <c r="V84" s="7">
        <f>IF(主角经验!AY85="","",主角经验!$B85*主角经验!AY85)</f>
        <v>221444</v>
      </c>
      <c r="W84" s="7">
        <f>IF(主角经验!AZ85="","",主角经验!$B85*主角经验!AZ85)</f>
        <v>83000</v>
      </c>
      <c r="X84" s="7">
        <f>IF(主角经验!BA85="","",主角经验!$B85*主角经验!BA85)</f>
        <v>166000</v>
      </c>
      <c r="Y84" s="7">
        <f>IF(主角经验!BB85="","",主角经验!$B85*主角经验!BB85)</f>
        <v>207500</v>
      </c>
      <c r="Z84" s="7">
        <f>IF(主角经验!BC85="","",主角经验!$B85*主角经验!BC85)</f>
        <v>290500</v>
      </c>
      <c r="AA84" s="7">
        <f>IF(主角经验!BD85="","",主角经验!$B85*主角经验!BD85)</f>
        <v>83000</v>
      </c>
      <c r="AB84" s="7" t="str">
        <f>IF(主角经验!BE85="","",主角经验!$B85*主角经验!BE85)</f>
        <v/>
      </c>
      <c r="AC84" s="7" t="str">
        <f>IF(主角经验!BF85="","",主角经验!$B85*主角经验!BF85)</f>
        <v/>
      </c>
      <c r="AD84" s="7" t="str">
        <f>IF(主角经验!BG85="","",主角经验!$B85*主角经验!BG85)</f>
        <v/>
      </c>
      <c r="AE84" s="7" t="str">
        <f>IF(主角经验!BH85="","",主角经验!$B85*主角经验!BH85)</f>
        <v/>
      </c>
      <c r="AF84" s="7">
        <f>主角经验!BK85</f>
        <v>2134800</v>
      </c>
      <c r="AG84" s="7">
        <f>主角经验!BO85</f>
        <v>369</v>
      </c>
    </row>
    <row r="85" spans="1:33">
      <c r="A85" s="32">
        <v>84</v>
      </c>
      <c r="B85" s="81">
        <f>主角经验!B86</f>
        <v>33600</v>
      </c>
      <c r="C85" s="7">
        <f>IF(主角经验!AF86="","",主角经验!$B86*主角经验!AF86)</f>
        <v>560112</v>
      </c>
      <c r="D85" s="7">
        <f>IF(主角经验!AG86="","",主角经验!$B86*主角经验!AG86)</f>
        <v>221760</v>
      </c>
      <c r="E85" s="7">
        <f>IF(主角经验!AH86="","",主角经验!$B86*主角经验!AH86)</f>
        <v>84000</v>
      </c>
      <c r="F85" s="7">
        <f>IF(主角经验!AI86="","",主角经验!$B86*主角经验!AI86)</f>
        <v>504000</v>
      </c>
      <c r="G85" s="7" t="str">
        <f>IF(主角经验!AJ86="","",主角经验!$B86*主角经验!AJ86)</f>
        <v/>
      </c>
      <c r="H85" s="7" t="str">
        <f>IF(主角经验!AK86="","",主角经验!$B86*主角经验!AK86)</f>
        <v/>
      </c>
      <c r="I85" s="7" t="str">
        <f>IF(主角经验!AL86="","",主角经验!$B86*主角经验!AL86)</f>
        <v/>
      </c>
      <c r="J85" s="7" t="str">
        <f>IF(主角经验!AM86="","",主角经验!$B86*主角经验!AM86)</f>
        <v/>
      </c>
      <c r="K85" s="7">
        <f>IF(主角经验!AN86="","",主角经验!$B86*主角经验!AN86)</f>
        <v>336000</v>
      </c>
      <c r="L85" s="7">
        <f>IF(主角经验!AO86="","",主角经验!$B86*主角经验!AO86)</f>
        <v>111888</v>
      </c>
      <c r="M85" s="7">
        <f>IF(主角经验!AP86="","",主角经验!$B86*主角经验!AP86)</f>
        <v>672000</v>
      </c>
      <c r="N85" s="7">
        <f>IF(主角经验!AQ86="","",主角经验!$B86*主角经验!AQ86)</f>
        <v>403200</v>
      </c>
      <c r="O85" s="7">
        <f>IF(主角经验!AR86="","",主角经验!$B86*主角经验!AR86)</f>
        <v>420000</v>
      </c>
      <c r="P85" s="7">
        <f>IF(主角经验!AS86="","",主角经验!$B86*主角经验!AS86)</f>
        <v>27888</v>
      </c>
      <c r="Q85" s="7">
        <f>IF(主角经验!AT86="","",主角经验!$B86*主角经验!AT86)</f>
        <v>1747200</v>
      </c>
      <c r="R85" s="7">
        <f>IF(主角经验!AU86="","",主角经验!$B86*主角经验!AU86)</f>
        <v>201600</v>
      </c>
      <c r="S85" s="7">
        <f>IF(主角经验!AV86="","",主角经验!$B86*主角经验!AV86)</f>
        <v>224112</v>
      </c>
      <c r="T85" s="7">
        <f>IF(主角经验!AW86="","",主角经验!$B86*主角经验!AW86)</f>
        <v>0</v>
      </c>
      <c r="U85" s="7">
        <f>IF(主角经验!AX86="","",主角经验!$B86*主角经验!AX86)</f>
        <v>168000</v>
      </c>
      <c r="V85" s="7">
        <f>IF(主角经验!AY86="","",主角经验!$B86*主角经验!AY86)</f>
        <v>224112</v>
      </c>
      <c r="W85" s="7">
        <f>IF(主角经验!AZ86="","",主角经验!$B86*主角经验!AZ86)</f>
        <v>84000</v>
      </c>
      <c r="X85" s="7">
        <f>IF(主角经验!BA86="","",主角经验!$B86*主角经验!BA86)</f>
        <v>168000</v>
      </c>
      <c r="Y85" s="7">
        <f>IF(主角经验!BB86="","",主角经验!$B86*主角经验!BB86)</f>
        <v>210000</v>
      </c>
      <c r="Z85" s="7">
        <f>IF(主角经验!BC86="","",主角经验!$B86*主角经验!BC86)</f>
        <v>294000</v>
      </c>
      <c r="AA85" s="7">
        <f>IF(主角经验!BD86="","",主角经验!$B86*主角经验!BD86)</f>
        <v>84000</v>
      </c>
      <c r="AB85" s="7" t="str">
        <f>IF(主角经验!BE86="","",主角经验!$B86*主角经验!BE86)</f>
        <v/>
      </c>
      <c r="AC85" s="7" t="str">
        <f>IF(主角经验!BF86="","",主角经验!$B86*主角经验!BF86)</f>
        <v/>
      </c>
      <c r="AD85" s="7" t="str">
        <f>IF(主角经验!BG86="","",主角经验!$B86*主角经验!BG86)</f>
        <v/>
      </c>
      <c r="AE85" s="7" t="str">
        <f>IF(主角经验!BH86="","",主角经验!$B86*主角经验!BH86)</f>
        <v/>
      </c>
      <c r="AF85" s="7">
        <f>主角经验!BK86</f>
        <v>2197400</v>
      </c>
      <c r="AG85" s="7">
        <f>主角经验!BO86</f>
        <v>373</v>
      </c>
    </row>
    <row r="86" spans="1:33">
      <c r="A86" s="32">
        <v>85</v>
      </c>
      <c r="B86" s="81">
        <f>主角经验!B87</f>
        <v>34000</v>
      </c>
      <c r="C86" s="7">
        <f>IF(主角经验!AF87="","",主角经验!$B87*主角经验!AF87)</f>
        <v>566780</v>
      </c>
      <c r="D86" s="7">
        <f>IF(主角经验!AG87="","",主角经验!$B87*主角经验!AG87)</f>
        <v>224400</v>
      </c>
      <c r="E86" s="7">
        <f>IF(主角经验!AH87="","",主角经验!$B87*主角经验!AH87)</f>
        <v>85000</v>
      </c>
      <c r="F86" s="7">
        <f>IF(主角经验!AI87="","",主角经验!$B87*主角经验!AI87)</f>
        <v>510000</v>
      </c>
      <c r="G86" s="7" t="str">
        <f>IF(主角经验!AJ87="","",主角经验!$B87*主角经验!AJ87)</f>
        <v/>
      </c>
      <c r="H86" s="7" t="str">
        <f>IF(主角经验!AK87="","",主角经验!$B87*主角经验!AK87)</f>
        <v/>
      </c>
      <c r="I86" s="7" t="str">
        <f>IF(主角经验!AL87="","",主角经验!$B87*主角经验!AL87)</f>
        <v/>
      </c>
      <c r="J86" s="7" t="str">
        <f>IF(主角经验!AM87="","",主角经验!$B87*主角经验!AM87)</f>
        <v/>
      </c>
      <c r="K86" s="7">
        <f>IF(主角经验!AN87="","",主角经验!$B87*主角经验!AN87)</f>
        <v>340000</v>
      </c>
      <c r="L86" s="7">
        <f>IF(主角经验!AO87="","",主角经验!$B87*主角经验!AO87)</f>
        <v>113220</v>
      </c>
      <c r="M86" s="7">
        <f>IF(主角经验!AP87="","",主角经验!$B87*主角经验!AP87)</f>
        <v>680000</v>
      </c>
      <c r="N86" s="7">
        <f>IF(主角经验!AQ87="","",主角经验!$B87*主角经验!AQ87)</f>
        <v>408000</v>
      </c>
      <c r="O86" s="7">
        <f>IF(主角经验!AR87="","",主角经验!$B87*主角经验!AR87)</f>
        <v>425000</v>
      </c>
      <c r="P86" s="7">
        <f>IF(主角经验!AS87="","",主角经验!$B87*主角经验!AS87)</f>
        <v>28220</v>
      </c>
      <c r="Q86" s="7">
        <f>IF(主角经验!AT87="","",主角经验!$B87*主角经验!AT87)</f>
        <v>1768000</v>
      </c>
      <c r="R86" s="7">
        <f>IF(主角经验!AU87="","",主角经验!$B87*主角经验!AU87)</f>
        <v>204000</v>
      </c>
      <c r="S86" s="7">
        <f>IF(主角经验!AV87="","",主角经验!$B87*主角经验!AV87)</f>
        <v>226780</v>
      </c>
      <c r="T86" s="7">
        <f>IF(主角经验!AW87="","",主角经验!$B87*主角经验!AW87)</f>
        <v>0</v>
      </c>
      <c r="U86" s="7">
        <f>IF(主角经验!AX87="","",主角经验!$B87*主角经验!AX87)</f>
        <v>170000</v>
      </c>
      <c r="V86" s="7">
        <f>IF(主角经验!AY87="","",主角经验!$B87*主角经验!AY87)</f>
        <v>226780</v>
      </c>
      <c r="W86" s="7">
        <f>IF(主角经验!AZ87="","",主角经验!$B87*主角经验!AZ87)</f>
        <v>85000</v>
      </c>
      <c r="X86" s="7">
        <f>IF(主角经验!BA87="","",主角经验!$B87*主角经验!BA87)</f>
        <v>170000</v>
      </c>
      <c r="Y86" s="7">
        <f>IF(主角经验!BB87="","",主角经验!$B87*主角经验!BB87)</f>
        <v>212500</v>
      </c>
      <c r="Z86" s="7">
        <f>IF(主角经验!BC87="","",主角经验!$B87*主角经验!BC87)</f>
        <v>297500</v>
      </c>
      <c r="AA86" s="7">
        <f>IF(主角经验!BD87="","",主角经验!$B87*主角经验!BD87)</f>
        <v>85000</v>
      </c>
      <c r="AB86" s="7" t="str">
        <f>IF(主角经验!BE87="","",主角经验!$B87*主角经验!BE87)</f>
        <v/>
      </c>
      <c r="AC86" s="7" t="str">
        <f>IF(主角经验!BF87="","",主角经验!$B87*主角经验!BF87)</f>
        <v/>
      </c>
      <c r="AD86" s="7" t="str">
        <f>IF(主角经验!BG87="","",主角经验!$B87*主角经验!BG87)</f>
        <v/>
      </c>
      <c r="AE86" s="7" t="str">
        <f>IF(主角经验!BH87="","",主角经验!$B87*主角经验!BH87)</f>
        <v/>
      </c>
      <c r="AF86" s="7">
        <f>主角经验!BK87</f>
        <v>2261000</v>
      </c>
      <c r="AG86" s="7">
        <f>主角经验!BO87</f>
        <v>378</v>
      </c>
    </row>
    <row r="87" spans="1:33">
      <c r="A87" s="32">
        <v>86</v>
      </c>
      <c r="B87" s="81">
        <f>主角经验!B88</f>
        <v>34400</v>
      </c>
      <c r="C87" s="7">
        <f>IF(主角经验!AF88="","",主角经验!$B88*主角经验!AF88)</f>
        <v>573448.00000000012</v>
      </c>
      <c r="D87" s="7">
        <f>IF(主角经验!AG88="","",主角经验!$B88*主角经验!AG88)</f>
        <v>227040</v>
      </c>
      <c r="E87" s="7">
        <f>IF(主角经验!AH88="","",主角经验!$B88*主角经验!AH88)</f>
        <v>86000</v>
      </c>
      <c r="F87" s="7">
        <f>IF(主角经验!AI88="","",主角经验!$B88*主角经验!AI88)</f>
        <v>516000</v>
      </c>
      <c r="G87" s="7" t="str">
        <f>IF(主角经验!AJ88="","",主角经验!$B88*主角经验!AJ88)</f>
        <v/>
      </c>
      <c r="H87" s="7" t="str">
        <f>IF(主角经验!AK88="","",主角经验!$B88*主角经验!AK88)</f>
        <v/>
      </c>
      <c r="I87" s="7" t="str">
        <f>IF(主角经验!AL88="","",主角经验!$B88*主角经验!AL88)</f>
        <v/>
      </c>
      <c r="J87" s="7" t="str">
        <f>IF(主角经验!AM88="","",主角经验!$B88*主角经验!AM88)</f>
        <v/>
      </c>
      <c r="K87" s="7">
        <f>IF(主角经验!AN88="","",主角经验!$B88*主角经验!AN88)</f>
        <v>344000</v>
      </c>
      <c r="L87" s="7">
        <f>IF(主角经验!AO88="","",主角经验!$B88*主角经验!AO88)</f>
        <v>114552</v>
      </c>
      <c r="M87" s="7">
        <f>IF(主角经验!AP88="","",主角经验!$B88*主角经验!AP88)</f>
        <v>688000</v>
      </c>
      <c r="N87" s="7">
        <f>IF(主角经验!AQ88="","",主角经验!$B88*主角经验!AQ88)</f>
        <v>412800</v>
      </c>
      <c r="O87" s="7">
        <f>IF(主角经验!AR88="","",主角经验!$B88*主角经验!AR88)</f>
        <v>430000</v>
      </c>
      <c r="P87" s="7">
        <f>IF(主角经验!AS88="","",主角经验!$B88*主角经验!AS88)</f>
        <v>28552</v>
      </c>
      <c r="Q87" s="7">
        <f>IF(主角经验!AT88="","",主角经验!$B88*主角经验!AT88)</f>
        <v>1788800</v>
      </c>
      <c r="R87" s="7">
        <f>IF(主角经验!AU88="","",主角经验!$B88*主角经验!AU88)</f>
        <v>206400</v>
      </c>
      <c r="S87" s="7">
        <f>IF(主角经验!AV88="","",主角经验!$B88*主角经验!AV88)</f>
        <v>229448</v>
      </c>
      <c r="T87" s="7">
        <f>IF(主角经验!AW88="","",主角经验!$B88*主角经验!AW88)</f>
        <v>0</v>
      </c>
      <c r="U87" s="7">
        <f>IF(主角经验!AX88="","",主角经验!$B88*主角经验!AX88)</f>
        <v>172000</v>
      </c>
      <c r="V87" s="7">
        <f>IF(主角经验!AY88="","",主角经验!$B88*主角经验!AY88)</f>
        <v>229448</v>
      </c>
      <c r="W87" s="7">
        <f>IF(主角经验!AZ88="","",主角经验!$B88*主角经验!AZ88)</f>
        <v>86000</v>
      </c>
      <c r="X87" s="7">
        <f>IF(主角经验!BA88="","",主角经验!$B88*主角经验!BA88)</f>
        <v>172000</v>
      </c>
      <c r="Y87" s="7">
        <f>IF(主角经验!BB88="","",主角经验!$B88*主角经验!BB88)</f>
        <v>215000</v>
      </c>
      <c r="Z87" s="7">
        <f>IF(主角经验!BC88="","",主角经验!$B88*主角经验!BC88)</f>
        <v>301000</v>
      </c>
      <c r="AA87" s="7">
        <f>IF(主角经验!BD88="","",主角经验!$B88*主角经验!BD88)</f>
        <v>86000</v>
      </c>
      <c r="AB87" s="7" t="str">
        <f>IF(主角经验!BE88="","",主角经验!$B88*主角经验!BE88)</f>
        <v/>
      </c>
      <c r="AC87" s="7" t="str">
        <f>IF(主角经验!BF88="","",主角经验!$B88*主角经验!BF88)</f>
        <v/>
      </c>
      <c r="AD87" s="7" t="str">
        <f>IF(主角经验!BG88="","",主角经验!$B88*主角经验!BG88)</f>
        <v/>
      </c>
      <c r="AE87" s="7" t="str">
        <f>IF(主角经验!BH88="","",主角经验!$B88*主角经验!BH88)</f>
        <v/>
      </c>
      <c r="AF87" s="7">
        <f>主角经验!BK88</f>
        <v>2325400</v>
      </c>
      <c r="AG87" s="7">
        <f>主角经验!BO88</f>
        <v>382</v>
      </c>
    </row>
    <row r="88" spans="1:33">
      <c r="A88" s="32">
        <v>87</v>
      </c>
      <c r="B88" s="81">
        <f>主角经验!B89</f>
        <v>34800</v>
      </c>
      <c r="C88" s="7">
        <f>IF(主角经验!AF89="","",主角经验!$B89*主角经验!AF89)</f>
        <v>580116.00000000012</v>
      </c>
      <c r="D88" s="7">
        <f>IF(主角经验!AG89="","",主角经验!$B89*主角经验!AG89)</f>
        <v>229680</v>
      </c>
      <c r="E88" s="7">
        <f>IF(主角经验!AH89="","",主角经验!$B89*主角经验!AH89)</f>
        <v>87000</v>
      </c>
      <c r="F88" s="7">
        <f>IF(主角经验!AI89="","",主角经验!$B89*主角经验!AI89)</f>
        <v>522000</v>
      </c>
      <c r="G88" s="7" t="str">
        <f>IF(主角经验!AJ89="","",主角经验!$B89*主角经验!AJ89)</f>
        <v/>
      </c>
      <c r="H88" s="7" t="str">
        <f>IF(主角经验!AK89="","",主角经验!$B89*主角经验!AK89)</f>
        <v/>
      </c>
      <c r="I88" s="7" t="str">
        <f>IF(主角经验!AL89="","",主角经验!$B89*主角经验!AL89)</f>
        <v/>
      </c>
      <c r="J88" s="7" t="str">
        <f>IF(主角经验!AM89="","",主角经验!$B89*主角经验!AM89)</f>
        <v/>
      </c>
      <c r="K88" s="7">
        <f>IF(主角经验!AN89="","",主角经验!$B89*主角经验!AN89)</f>
        <v>348000</v>
      </c>
      <c r="L88" s="7">
        <f>IF(主角经验!AO89="","",主角经验!$B89*主角经验!AO89)</f>
        <v>115884</v>
      </c>
      <c r="M88" s="7">
        <f>IF(主角经验!AP89="","",主角经验!$B89*主角经验!AP89)</f>
        <v>696000</v>
      </c>
      <c r="N88" s="7">
        <f>IF(主角经验!AQ89="","",主角经验!$B89*主角经验!AQ89)</f>
        <v>417600</v>
      </c>
      <c r="O88" s="7">
        <f>IF(主角经验!AR89="","",主角经验!$B89*主角经验!AR89)</f>
        <v>435000</v>
      </c>
      <c r="P88" s="7">
        <f>IF(主角经验!AS89="","",主角经验!$B89*主角经验!AS89)</f>
        <v>28884</v>
      </c>
      <c r="Q88" s="7">
        <f>IF(主角经验!AT89="","",主角经验!$B89*主角经验!AT89)</f>
        <v>1809600</v>
      </c>
      <c r="R88" s="7">
        <f>IF(主角经验!AU89="","",主角经验!$B89*主角经验!AU89)</f>
        <v>208800</v>
      </c>
      <c r="S88" s="7">
        <f>IF(主角经验!AV89="","",主角经验!$B89*主角经验!AV89)</f>
        <v>232116</v>
      </c>
      <c r="T88" s="7">
        <f>IF(主角经验!AW89="","",主角经验!$B89*主角经验!AW89)</f>
        <v>0</v>
      </c>
      <c r="U88" s="7">
        <f>IF(主角经验!AX89="","",主角经验!$B89*主角经验!AX89)</f>
        <v>174000</v>
      </c>
      <c r="V88" s="7">
        <f>IF(主角经验!AY89="","",主角经验!$B89*主角经验!AY89)</f>
        <v>232116</v>
      </c>
      <c r="W88" s="7">
        <f>IF(主角经验!AZ89="","",主角经验!$B89*主角经验!AZ89)</f>
        <v>87000</v>
      </c>
      <c r="X88" s="7">
        <f>IF(主角经验!BA89="","",主角经验!$B89*主角经验!BA89)</f>
        <v>174000</v>
      </c>
      <c r="Y88" s="7">
        <f>IF(主角经验!BB89="","",主角经验!$B89*主角经验!BB89)</f>
        <v>217500</v>
      </c>
      <c r="Z88" s="7">
        <f>IF(主角经验!BC89="","",主角经验!$B89*主角经验!BC89)</f>
        <v>304500</v>
      </c>
      <c r="AA88" s="7">
        <f>IF(主角经验!BD89="","",主角经验!$B89*主角经验!BD89)</f>
        <v>87000</v>
      </c>
      <c r="AB88" s="7" t="str">
        <f>IF(主角经验!BE89="","",主角经验!$B89*主角经验!BE89)</f>
        <v/>
      </c>
      <c r="AC88" s="7" t="str">
        <f>IF(主角经验!BF89="","",主角经验!$B89*主角经验!BF89)</f>
        <v/>
      </c>
      <c r="AD88" s="7" t="str">
        <f>IF(主角经验!BG89="","",主角经验!$B89*主角经验!BG89)</f>
        <v/>
      </c>
      <c r="AE88" s="7" t="str">
        <f>IF(主角经验!BH89="","",主角经验!$B89*主角经验!BH89)</f>
        <v/>
      </c>
      <c r="AF88" s="7">
        <f>主角经验!BK89</f>
        <v>2390800</v>
      </c>
      <c r="AG88" s="7">
        <f>主角经验!BO89</f>
        <v>387</v>
      </c>
    </row>
    <row r="89" spans="1:33">
      <c r="A89" s="32">
        <v>88</v>
      </c>
      <c r="B89" s="81">
        <f>主角经验!B90</f>
        <v>35200</v>
      </c>
      <c r="C89" s="7">
        <f>IF(主角经验!AF90="","",主角经验!$B90*主角经验!AF90)</f>
        <v>586784.00000000012</v>
      </c>
      <c r="D89" s="7">
        <f>IF(主角经验!AG90="","",主角经验!$B90*主角经验!AG90)</f>
        <v>232320</v>
      </c>
      <c r="E89" s="7">
        <f>IF(主角经验!AH90="","",主角经验!$B90*主角经验!AH90)</f>
        <v>88000</v>
      </c>
      <c r="F89" s="7">
        <f>IF(主角经验!AI90="","",主角经验!$B90*主角经验!AI90)</f>
        <v>528000</v>
      </c>
      <c r="G89" s="7" t="str">
        <f>IF(主角经验!AJ90="","",主角经验!$B90*主角经验!AJ90)</f>
        <v/>
      </c>
      <c r="H89" s="7" t="str">
        <f>IF(主角经验!AK90="","",主角经验!$B90*主角经验!AK90)</f>
        <v/>
      </c>
      <c r="I89" s="7" t="str">
        <f>IF(主角经验!AL90="","",主角经验!$B90*主角经验!AL90)</f>
        <v/>
      </c>
      <c r="J89" s="7" t="str">
        <f>IF(主角经验!AM90="","",主角经验!$B90*主角经验!AM90)</f>
        <v/>
      </c>
      <c r="K89" s="7">
        <f>IF(主角经验!AN90="","",主角经验!$B90*主角经验!AN90)</f>
        <v>352000</v>
      </c>
      <c r="L89" s="7">
        <f>IF(主角经验!AO90="","",主角经验!$B90*主角经验!AO90)</f>
        <v>117216</v>
      </c>
      <c r="M89" s="7">
        <f>IF(主角经验!AP90="","",主角经验!$B90*主角经验!AP90)</f>
        <v>704000</v>
      </c>
      <c r="N89" s="7">
        <f>IF(主角经验!AQ90="","",主角经验!$B90*主角经验!AQ90)</f>
        <v>422400</v>
      </c>
      <c r="O89" s="7">
        <f>IF(主角经验!AR90="","",主角经验!$B90*主角经验!AR90)</f>
        <v>440000</v>
      </c>
      <c r="P89" s="7">
        <f>IF(主角经验!AS90="","",主角经验!$B90*主角经验!AS90)</f>
        <v>29216</v>
      </c>
      <c r="Q89" s="7">
        <f>IF(主角经验!AT90="","",主角经验!$B90*主角经验!AT90)</f>
        <v>1830400</v>
      </c>
      <c r="R89" s="7">
        <f>IF(主角经验!AU90="","",主角经验!$B90*主角经验!AU90)</f>
        <v>211200</v>
      </c>
      <c r="S89" s="7">
        <f>IF(主角经验!AV90="","",主角经验!$B90*主角经验!AV90)</f>
        <v>234784</v>
      </c>
      <c r="T89" s="7">
        <f>IF(主角经验!AW90="","",主角经验!$B90*主角经验!AW90)</f>
        <v>0</v>
      </c>
      <c r="U89" s="7">
        <f>IF(主角经验!AX90="","",主角经验!$B90*主角经验!AX90)</f>
        <v>176000</v>
      </c>
      <c r="V89" s="7">
        <f>IF(主角经验!AY90="","",主角经验!$B90*主角经验!AY90)</f>
        <v>234784</v>
      </c>
      <c r="W89" s="7">
        <f>IF(主角经验!AZ90="","",主角经验!$B90*主角经验!AZ90)</f>
        <v>88000</v>
      </c>
      <c r="X89" s="7">
        <f>IF(主角经验!BA90="","",主角经验!$B90*主角经验!BA90)</f>
        <v>176000</v>
      </c>
      <c r="Y89" s="7">
        <f>IF(主角经验!BB90="","",主角经验!$B90*主角经验!BB90)</f>
        <v>220000</v>
      </c>
      <c r="Z89" s="7">
        <f>IF(主角经验!BC90="","",主角经验!$B90*主角经验!BC90)</f>
        <v>308000</v>
      </c>
      <c r="AA89" s="7">
        <f>IF(主角经验!BD90="","",主角经验!$B90*主角经验!BD90)</f>
        <v>88000</v>
      </c>
      <c r="AB89" s="7" t="str">
        <f>IF(主角经验!BE90="","",主角经验!$B90*主角经验!BE90)</f>
        <v/>
      </c>
      <c r="AC89" s="7" t="str">
        <f>IF(主角经验!BF90="","",主角经验!$B90*主角经验!BF90)</f>
        <v/>
      </c>
      <c r="AD89" s="7" t="str">
        <f>IF(主角经验!BG90="","",主角经验!$B90*主角经验!BG90)</f>
        <v/>
      </c>
      <c r="AE89" s="7" t="str">
        <f>IF(主角经验!BH90="","",主角经验!$B90*主角经验!BH90)</f>
        <v/>
      </c>
      <c r="AF89" s="7">
        <f>主角经验!BK90</f>
        <v>2457000</v>
      </c>
      <c r="AG89" s="7">
        <f>主角经验!BO90</f>
        <v>391</v>
      </c>
    </row>
    <row r="90" spans="1:33">
      <c r="A90" s="32">
        <v>89</v>
      </c>
      <c r="B90" s="81">
        <f>主角经验!B91</f>
        <v>35600</v>
      </c>
      <c r="C90" s="7">
        <f>IF(主角经验!AF91="","",主角经验!$B91*主角经验!AF91)</f>
        <v>593452.00000000012</v>
      </c>
      <c r="D90" s="7">
        <f>IF(主角经验!AG91="","",主角经验!$B91*主角经验!AG91)</f>
        <v>234960</v>
      </c>
      <c r="E90" s="7">
        <f>IF(主角经验!AH91="","",主角经验!$B91*主角经验!AH91)</f>
        <v>89000</v>
      </c>
      <c r="F90" s="7">
        <f>IF(主角经验!AI91="","",主角经验!$B91*主角经验!AI91)</f>
        <v>534000</v>
      </c>
      <c r="G90" s="7" t="str">
        <f>IF(主角经验!AJ91="","",主角经验!$B91*主角经验!AJ91)</f>
        <v/>
      </c>
      <c r="H90" s="7" t="str">
        <f>IF(主角经验!AK91="","",主角经验!$B91*主角经验!AK91)</f>
        <v/>
      </c>
      <c r="I90" s="7" t="str">
        <f>IF(主角经验!AL91="","",主角经验!$B91*主角经验!AL91)</f>
        <v/>
      </c>
      <c r="J90" s="7" t="str">
        <f>IF(主角经验!AM91="","",主角经验!$B91*主角经验!AM91)</f>
        <v/>
      </c>
      <c r="K90" s="7">
        <f>IF(主角经验!AN91="","",主角经验!$B91*主角经验!AN91)</f>
        <v>356000</v>
      </c>
      <c r="L90" s="7">
        <f>IF(主角经验!AO91="","",主角经验!$B91*主角经验!AO91)</f>
        <v>118548</v>
      </c>
      <c r="M90" s="7">
        <f>IF(主角经验!AP91="","",主角经验!$B91*主角经验!AP91)</f>
        <v>712000</v>
      </c>
      <c r="N90" s="7">
        <f>IF(主角经验!AQ91="","",主角经验!$B91*主角经验!AQ91)</f>
        <v>427200</v>
      </c>
      <c r="O90" s="7">
        <f>IF(主角经验!AR91="","",主角经验!$B91*主角经验!AR91)</f>
        <v>445000</v>
      </c>
      <c r="P90" s="7">
        <f>IF(主角经验!AS91="","",主角经验!$B91*主角经验!AS91)</f>
        <v>29548</v>
      </c>
      <c r="Q90" s="7">
        <f>IF(主角经验!AT91="","",主角经验!$B91*主角经验!AT91)</f>
        <v>1851200</v>
      </c>
      <c r="R90" s="7">
        <f>IF(主角经验!AU91="","",主角经验!$B91*主角经验!AU91)</f>
        <v>213600</v>
      </c>
      <c r="S90" s="7">
        <f>IF(主角经验!AV91="","",主角经验!$B91*主角经验!AV91)</f>
        <v>237452</v>
      </c>
      <c r="T90" s="7">
        <f>IF(主角经验!AW91="","",主角经验!$B91*主角经验!AW91)</f>
        <v>0</v>
      </c>
      <c r="U90" s="7">
        <f>IF(主角经验!AX91="","",主角经验!$B91*主角经验!AX91)</f>
        <v>178000</v>
      </c>
      <c r="V90" s="7">
        <f>IF(主角经验!AY91="","",主角经验!$B91*主角经验!AY91)</f>
        <v>237452</v>
      </c>
      <c r="W90" s="7">
        <f>IF(主角经验!AZ91="","",主角经验!$B91*主角经验!AZ91)</f>
        <v>89000</v>
      </c>
      <c r="X90" s="7">
        <f>IF(主角经验!BA91="","",主角经验!$B91*主角经验!BA91)</f>
        <v>178000</v>
      </c>
      <c r="Y90" s="7">
        <f>IF(主角经验!BB91="","",主角经验!$B91*主角经验!BB91)</f>
        <v>222500</v>
      </c>
      <c r="Z90" s="7">
        <f>IF(主角经验!BC91="","",主角经验!$B91*主角经验!BC91)</f>
        <v>311500</v>
      </c>
      <c r="AA90" s="7">
        <f>IF(主角经验!BD91="","",主角经验!$B91*主角经验!BD91)</f>
        <v>89000</v>
      </c>
      <c r="AB90" s="7" t="str">
        <f>IF(主角经验!BE91="","",主角经验!$B91*主角经验!BE91)</f>
        <v/>
      </c>
      <c r="AC90" s="7" t="str">
        <f>IF(主角经验!BF91="","",主角经验!$B91*主角经验!BF91)</f>
        <v/>
      </c>
      <c r="AD90" s="7" t="str">
        <f>IF(主角经验!BG91="","",主角经验!$B91*主角经验!BG91)</f>
        <v/>
      </c>
      <c r="AE90" s="7" t="str">
        <f>IF(主角经验!BH91="","",主角经验!$B91*主角经验!BH91)</f>
        <v/>
      </c>
      <c r="AF90" s="7">
        <f>主角经验!BK91</f>
        <v>2524000</v>
      </c>
      <c r="AG90" s="7">
        <f>主角经验!BO91</f>
        <v>396</v>
      </c>
    </row>
    <row r="91" spans="1:33">
      <c r="A91" s="32">
        <v>90</v>
      </c>
      <c r="B91" s="81">
        <f>主角经验!B92</f>
        <v>36000</v>
      </c>
      <c r="C91" s="7">
        <f>IF(主角经验!AF92="","",主角经验!$B92*主角经验!AF92)</f>
        <v>600120.00000000012</v>
      </c>
      <c r="D91" s="7">
        <f>IF(主角经验!AG92="","",主角经验!$B92*主角经验!AG92)</f>
        <v>237600</v>
      </c>
      <c r="E91" s="7">
        <f>IF(主角经验!AH92="","",主角经验!$B92*主角经验!AH92)</f>
        <v>90000</v>
      </c>
      <c r="F91" s="7">
        <f>IF(主角经验!AI92="","",主角经验!$B92*主角经验!AI92)</f>
        <v>540000</v>
      </c>
      <c r="G91" s="7" t="str">
        <f>IF(主角经验!AJ92="","",主角经验!$B92*主角经验!AJ92)</f>
        <v/>
      </c>
      <c r="H91" s="7" t="str">
        <f>IF(主角经验!AK92="","",主角经验!$B92*主角经验!AK92)</f>
        <v/>
      </c>
      <c r="I91" s="7" t="str">
        <f>IF(主角经验!AL92="","",主角经验!$B92*主角经验!AL92)</f>
        <v/>
      </c>
      <c r="J91" s="7" t="str">
        <f>IF(主角经验!AM92="","",主角经验!$B92*主角经验!AM92)</f>
        <v/>
      </c>
      <c r="K91" s="7">
        <f>IF(主角经验!AN92="","",主角经验!$B92*主角经验!AN92)</f>
        <v>360000</v>
      </c>
      <c r="L91" s="7">
        <f>IF(主角经验!AO92="","",主角经验!$B92*主角经验!AO92)</f>
        <v>119880</v>
      </c>
      <c r="M91" s="7">
        <f>IF(主角经验!AP92="","",主角经验!$B92*主角经验!AP92)</f>
        <v>720000</v>
      </c>
      <c r="N91" s="7">
        <f>IF(主角经验!AQ92="","",主角经验!$B92*主角经验!AQ92)</f>
        <v>432000</v>
      </c>
      <c r="O91" s="7">
        <f>IF(主角经验!AR92="","",主角经验!$B92*主角经验!AR92)</f>
        <v>450000</v>
      </c>
      <c r="P91" s="7">
        <f>IF(主角经验!AS92="","",主角经验!$B92*主角经验!AS92)</f>
        <v>29880</v>
      </c>
      <c r="Q91" s="7">
        <f>IF(主角经验!AT92="","",主角经验!$B92*主角经验!AT92)</f>
        <v>1872000</v>
      </c>
      <c r="R91" s="7">
        <f>IF(主角经验!AU92="","",主角经验!$B92*主角经验!AU92)</f>
        <v>216000</v>
      </c>
      <c r="S91" s="7">
        <f>IF(主角经验!AV92="","",主角经验!$B92*主角经验!AV92)</f>
        <v>240120</v>
      </c>
      <c r="T91" s="7">
        <f>IF(主角经验!AW92="","",主角经验!$B92*主角经验!AW92)</f>
        <v>0</v>
      </c>
      <c r="U91" s="7">
        <f>IF(主角经验!AX92="","",主角经验!$B92*主角经验!AX92)</f>
        <v>180000</v>
      </c>
      <c r="V91" s="7">
        <f>IF(主角经验!AY92="","",主角经验!$B92*主角经验!AY92)</f>
        <v>240120</v>
      </c>
      <c r="W91" s="7">
        <f>IF(主角经验!AZ92="","",主角经验!$B92*主角经验!AZ92)</f>
        <v>90000</v>
      </c>
      <c r="X91" s="7">
        <f>IF(主角经验!BA92="","",主角经验!$B92*主角经验!BA92)</f>
        <v>180000</v>
      </c>
      <c r="Y91" s="7">
        <f>IF(主角经验!BB92="","",主角经验!$B92*主角经验!BB92)</f>
        <v>225000</v>
      </c>
      <c r="Z91" s="7">
        <f>IF(主角经验!BC92="","",主角经验!$B92*主角经验!BC92)</f>
        <v>315000</v>
      </c>
      <c r="AA91" s="7">
        <f>IF(主角经验!BD92="","",主角经验!$B92*主角经验!BD92)</f>
        <v>90000</v>
      </c>
      <c r="AB91" s="7" t="str">
        <f>IF(主角经验!BE92="","",主角经验!$B92*主角经验!BE92)</f>
        <v/>
      </c>
      <c r="AC91" s="7" t="str">
        <f>IF(主角经验!BF92="","",主角经验!$B92*主角经验!BF92)</f>
        <v/>
      </c>
      <c r="AD91" s="7" t="str">
        <f>IF(主角经验!BG92="","",主角经验!$B92*主角经验!BG92)</f>
        <v/>
      </c>
      <c r="AE91" s="7" t="str">
        <f>IF(主角经验!BH92="","",主角经验!$B92*主角经验!BH92)</f>
        <v/>
      </c>
      <c r="AF91" s="7">
        <f>主角经验!BK92</f>
        <v>2592000</v>
      </c>
      <c r="AG91" s="7">
        <f>主角经验!BO92</f>
        <v>400</v>
      </c>
    </row>
    <row r="92" spans="1:33">
      <c r="A92" s="32">
        <v>91</v>
      </c>
      <c r="B92" s="81">
        <f>主角经验!B93</f>
        <v>36400</v>
      </c>
      <c r="C92" s="7">
        <f>IF(主角经验!AF93="","",主角经验!$B93*主角经验!AF93)</f>
        <v>606788.00000000012</v>
      </c>
      <c r="D92" s="7">
        <f>IF(主角经验!AG93="","",主角经验!$B93*主角经验!AG93)</f>
        <v>240240</v>
      </c>
      <c r="E92" s="7">
        <f>IF(主角经验!AH93="","",主角经验!$B93*主角经验!AH93)</f>
        <v>91000</v>
      </c>
      <c r="F92" s="7">
        <f>IF(主角经验!AI93="","",主角经验!$B93*主角经验!AI93)</f>
        <v>546000</v>
      </c>
      <c r="G92" s="7" t="str">
        <f>IF(主角经验!AJ93="","",主角经验!$B93*主角经验!AJ93)</f>
        <v/>
      </c>
      <c r="H92" s="7" t="str">
        <f>IF(主角经验!AK93="","",主角经验!$B93*主角经验!AK93)</f>
        <v/>
      </c>
      <c r="I92" s="7" t="str">
        <f>IF(主角经验!AL93="","",主角经验!$B93*主角经验!AL93)</f>
        <v/>
      </c>
      <c r="J92" s="7" t="str">
        <f>IF(主角经验!AM93="","",主角经验!$B93*主角经验!AM93)</f>
        <v/>
      </c>
      <c r="K92" s="7">
        <f>IF(主角经验!AN93="","",主角经验!$B93*主角经验!AN93)</f>
        <v>364000</v>
      </c>
      <c r="L92" s="7">
        <f>IF(主角经验!AO93="","",主角经验!$B93*主角经验!AO93)</f>
        <v>121212</v>
      </c>
      <c r="M92" s="7">
        <f>IF(主角经验!AP93="","",主角经验!$B93*主角经验!AP93)</f>
        <v>728000</v>
      </c>
      <c r="N92" s="7">
        <f>IF(主角经验!AQ93="","",主角经验!$B93*主角经验!AQ93)</f>
        <v>436800</v>
      </c>
      <c r="O92" s="7">
        <f>IF(主角经验!AR93="","",主角经验!$B93*主角经验!AR93)</f>
        <v>455000</v>
      </c>
      <c r="P92" s="7">
        <f>IF(主角经验!AS93="","",主角经验!$B93*主角经验!AS93)</f>
        <v>30212</v>
      </c>
      <c r="Q92" s="7">
        <f>IF(主角经验!AT93="","",主角经验!$B93*主角经验!AT93)</f>
        <v>1892800</v>
      </c>
      <c r="R92" s="7">
        <f>IF(主角经验!AU93="","",主角经验!$B93*主角经验!AU93)</f>
        <v>218400</v>
      </c>
      <c r="S92" s="7">
        <f>IF(主角经验!AV93="","",主角经验!$B93*主角经验!AV93)</f>
        <v>242788</v>
      </c>
      <c r="T92" s="7">
        <f>IF(主角经验!AW93="","",主角经验!$B93*主角经验!AW93)</f>
        <v>0</v>
      </c>
      <c r="U92" s="7">
        <f>IF(主角经验!AX93="","",主角经验!$B93*主角经验!AX93)</f>
        <v>182000</v>
      </c>
      <c r="V92" s="7">
        <f>IF(主角经验!AY93="","",主角经验!$B93*主角经验!AY93)</f>
        <v>242788</v>
      </c>
      <c r="W92" s="7">
        <f>IF(主角经验!AZ93="","",主角经验!$B93*主角经验!AZ93)</f>
        <v>91000</v>
      </c>
      <c r="X92" s="7">
        <f>IF(主角经验!BA93="","",主角经验!$B93*主角经验!BA93)</f>
        <v>182000</v>
      </c>
      <c r="Y92" s="7">
        <f>IF(主角经验!BB93="","",主角经验!$B93*主角经验!BB93)</f>
        <v>227500</v>
      </c>
      <c r="Z92" s="7">
        <f>IF(主角经验!BC93="","",主角经验!$B93*主角经验!BC93)</f>
        <v>318500</v>
      </c>
      <c r="AA92" s="7">
        <f>IF(主角经验!BD93="","",主角经验!$B93*主角经验!BD93)</f>
        <v>91000</v>
      </c>
      <c r="AB92" s="7" t="str">
        <f>IF(主角经验!BE93="","",主角经验!$B93*主角经验!BE93)</f>
        <v/>
      </c>
      <c r="AC92" s="7" t="str">
        <f>IF(主角经验!BF93="","",主角经验!$B93*主角经验!BF93)</f>
        <v/>
      </c>
      <c r="AD92" s="7" t="str">
        <f>IF(主角经验!BG93="","",主角经验!$B93*主角经验!BG93)</f>
        <v/>
      </c>
      <c r="AE92" s="7" t="str">
        <f>IF(主角经验!BH93="","",主角经验!$B93*主角经验!BH93)</f>
        <v/>
      </c>
      <c r="AF92" s="7">
        <f>主角经验!BK93</f>
        <v>2660800</v>
      </c>
      <c r="AG92" s="7">
        <f>主角经验!BO93</f>
        <v>404</v>
      </c>
    </row>
    <row r="93" spans="1:33">
      <c r="A93" s="32">
        <v>92</v>
      </c>
      <c r="B93" s="81">
        <f>主角经验!B94</f>
        <v>36800</v>
      </c>
      <c r="C93" s="7">
        <f>IF(主角经验!AF94="","",主角经验!$B94*主角经验!AF94)</f>
        <v>613456.00000000012</v>
      </c>
      <c r="D93" s="7">
        <f>IF(主角经验!AG94="","",主角经验!$B94*主角经验!AG94)</f>
        <v>242880</v>
      </c>
      <c r="E93" s="7">
        <f>IF(主角经验!AH94="","",主角经验!$B94*主角经验!AH94)</f>
        <v>92000</v>
      </c>
      <c r="F93" s="7">
        <f>IF(主角经验!AI94="","",主角经验!$B94*主角经验!AI94)</f>
        <v>552000</v>
      </c>
      <c r="G93" s="7" t="str">
        <f>IF(主角经验!AJ94="","",主角经验!$B94*主角经验!AJ94)</f>
        <v/>
      </c>
      <c r="H93" s="7" t="str">
        <f>IF(主角经验!AK94="","",主角经验!$B94*主角经验!AK94)</f>
        <v/>
      </c>
      <c r="I93" s="7" t="str">
        <f>IF(主角经验!AL94="","",主角经验!$B94*主角经验!AL94)</f>
        <v/>
      </c>
      <c r="J93" s="7" t="str">
        <f>IF(主角经验!AM94="","",主角经验!$B94*主角经验!AM94)</f>
        <v/>
      </c>
      <c r="K93" s="7">
        <f>IF(主角经验!AN94="","",主角经验!$B94*主角经验!AN94)</f>
        <v>368000</v>
      </c>
      <c r="L93" s="7">
        <f>IF(主角经验!AO94="","",主角经验!$B94*主角经验!AO94)</f>
        <v>122544</v>
      </c>
      <c r="M93" s="7">
        <f>IF(主角经验!AP94="","",主角经验!$B94*主角经验!AP94)</f>
        <v>736000</v>
      </c>
      <c r="N93" s="7">
        <f>IF(主角经验!AQ94="","",主角经验!$B94*主角经验!AQ94)</f>
        <v>441600</v>
      </c>
      <c r="O93" s="7">
        <f>IF(主角经验!AR94="","",主角经验!$B94*主角经验!AR94)</f>
        <v>460000</v>
      </c>
      <c r="P93" s="7">
        <f>IF(主角经验!AS94="","",主角经验!$B94*主角经验!AS94)</f>
        <v>30544</v>
      </c>
      <c r="Q93" s="7">
        <f>IF(主角经验!AT94="","",主角经验!$B94*主角经验!AT94)</f>
        <v>1913600</v>
      </c>
      <c r="R93" s="7">
        <f>IF(主角经验!AU94="","",主角经验!$B94*主角经验!AU94)</f>
        <v>220800</v>
      </c>
      <c r="S93" s="7">
        <f>IF(主角经验!AV94="","",主角经验!$B94*主角经验!AV94)</f>
        <v>245456</v>
      </c>
      <c r="T93" s="7">
        <f>IF(主角经验!AW94="","",主角经验!$B94*主角经验!AW94)</f>
        <v>0</v>
      </c>
      <c r="U93" s="7">
        <f>IF(主角经验!AX94="","",主角经验!$B94*主角经验!AX94)</f>
        <v>184000</v>
      </c>
      <c r="V93" s="7">
        <f>IF(主角经验!AY94="","",主角经验!$B94*主角经验!AY94)</f>
        <v>245456</v>
      </c>
      <c r="W93" s="7">
        <f>IF(主角经验!AZ94="","",主角经验!$B94*主角经验!AZ94)</f>
        <v>92000</v>
      </c>
      <c r="X93" s="7">
        <f>IF(主角经验!BA94="","",主角经验!$B94*主角经验!BA94)</f>
        <v>184000</v>
      </c>
      <c r="Y93" s="7">
        <f>IF(主角经验!BB94="","",主角经验!$B94*主角经验!BB94)</f>
        <v>230000</v>
      </c>
      <c r="Z93" s="7">
        <f>IF(主角经验!BC94="","",主角经验!$B94*主角经验!BC94)</f>
        <v>322000</v>
      </c>
      <c r="AA93" s="7">
        <f>IF(主角经验!BD94="","",主角经验!$B94*主角经验!BD94)</f>
        <v>92000</v>
      </c>
      <c r="AB93" s="7" t="str">
        <f>IF(主角经验!BE94="","",主角经验!$B94*主角经验!BE94)</f>
        <v/>
      </c>
      <c r="AC93" s="7" t="str">
        <f>IF(主角经验!BF94="","",主角经验!$B94*主角经验!BF94)</f>
        <v/>
      </c>
      <c r="AD93" s="7" t="str">
        <f>IF(主角经验!BG94="","",主角经验!$B94*主角经验!BG94)</f>
        <v/>
      </c>
      <c r="AE93" s="7" t="str">
        <f>IF(主角经验!BH94="","",主角经验!$B94*主角经验!BH94)</f>
        <v/>
      </c>
      <c r="AF93" s="7">
        <f>主角经验!BK94</f>
        <v>2730600</v>
      </c>
      <c r="AG93" s="7">
        <f>主角经验!BO94</f>
        <v>409</v>
      </c>
    </row>
    <row r="94" spans="1:33">
      <c r="A94" s="32">
        <v>93</v>
      </c>
      <c r="B94" s="81">
        <f>主角经验!B95</f>
        <v>37200</v>
      </c>
      <c r="C94" s="7">
        <f>IF(主角经验!AF95="","",主角经验!$B95*主角经验!AF95)</f>
        <v>620124.00000000012</v>
      </c>
      <c r="D94" s="7">
        <f>IF(主角经验!AG95="","",主角经验!$B95*主角经验!AG95)</f>
        <v>245520</v>
      </c>
      <c r="E94" s="7">
        <f>IF(主角经验!AH95="","",主角经验!$B95*主角经验!AH95)</f>
        <v>93000</v>
      </c>
      <c r="F94" s="7">
        <f>IF(主角经验!AI95="","",主角经验!$B95*主角经验!AI95)</f>
        <v>558000</v>
      </c>
      <c r="G94" s="7" t="str">
        <f>IF(主角经验!AJ95="","",主角经验!$B95*主角经验!AJ95)</f>
        <v/>
      </c>
      <c r="H94" s="7" t="str">
        <f>IF(主角经验!AK95="","",主角经验!$B95*主角经验!AK95)</f>
        <v/>
      </c>
      <c r="I94" s="7" t="str">
        <f>IF(主角经验!AL95="","",主角经验!$B95*主角经验!AL95)</f>
        <v/>
      </c>
      <c r="J94" s="7" t="str">
        <f>IF(主角经验!AM95="","",主角经验!$B95*主角经验!AM95)</f>
        <v/>
      </c>
      <c r="K94" s="7">
        <f>IF(主角经验!AN95="","",主角经验!$B95*主角经验!AN95)</f>
        <v>372000</v>
      </c>
      <c r="L94" s="7">
        <f>IF(主角经验!AO95="","",主角经验!$B95*主角经验!AO95)</f>
        <v>123876</v>
      </c>
      <c r="M94" s="7">
        <f>IF(主角经验!AP95="","",主角经验!$B95*主角经验!AP95)</f>
        <v>744000</v>
      </c>
      <c r="N94" s="7">
        <f>IF(主角经验!AQ95="","",主角经验!$B95*主角经验!AQ95)</f>
        <v>446400</v>
      </c>
      <c r="O94" s="7">
        <f>IF(主角经验!AR95="","",主角经验!$B95*主角经验!AR95)</f>
        <v>465000</v>
      </c>
      <c r="P94" s="7">
        <f>IF(主角经验!AS95="","",主角经验!$B95*主角经验!AS95)</f>
        <v>30876</v>
      </c>
      <c r="Q94" s="7">
        <f>IF(主角经验!AT95="","",主角经验!$B95*主角经验!AT95)</f>
        <v>1934400</v>
      </c>
      <c r="R94" s="7">
        <f>IF(主角经验!AU95="","",主角经验!$B95*主角经验!AU95)</f>
        <v>223200</v>
      </c>
      <c r="S94" s="7">
        <f>IF(主角经验!AV95="","",主角经验!$B95*主角经验!AV95)</f>
        <v>248124</v>
      </c>
      <c r="T94" s="7">
        <f>IF(主角经验!AW95="","",主角经验!$B95*主角经验!AW95)</f>
        <v>0</v>
      </c>
      <c r="U94" s="7">
        <f>IF(主角经验!AX95="","",主角经验!$B95*主角经验!AX95)</f>
        <v>186000</v>
      </c>
      <c r="V94" s="7">
        <f>IF(主角经验!AY95="","",主角经验!$B95*主角经验!AY95)</f>
        <v>248124</v>
      </c>
      <c r="W94" s="7">
        <f>IF(主角经验!AZ95="","",主角经验!$B95*主角经验!AZ95)</f>
        <v>93000</v>
      </c>
      <c r="X94" s="7">
        <f>IF(主角经验!BA95="","",主角经验!$B95*主角经验!BA95)</f>
        <v>186000</v>
      </c>
      <c r="Y94" s="7">
        <f>IF(主角经验!BB95="","",主角经验!$B95*主角经验!BB95)</f>
        <v>232500</v>
      </c>
      <c r="Z94" s="7">
        <f>IF(主角经验!BC95="","",主角经验!$B95*主角经验!BC95)</f>
        <v>325500</v>
      </c>
      <c r="AA94" s="7">
        <f>IF(主角经验!BD95="","",主角经验!$B95*主角经验!BD95)</f>
        <v>93000</v>
      </c>
      <c r="AB94" s="7" t="str">
        <f>IF(主角经验!BE95="","",主角经验!$B95*主角经验!BE95)</f>
        <v/>
      </c>
      <c r="AC94" s="7" t="str">
        <f>IF(主角经验!BF95="","",主角经验!$B95*主角经验!BF95)</f>
        <v/>
      </c>
      <c r="AD94" s="7" t="str">
        <f>IF(主角经验!BG95="","",主角经验!$B95*主角经验!BG95)</f>
        <v/>
      </c>
      <c r="AE94" s="7" t="str">
        <f>IF(主角经验!BH95="","",主角经验!$B95*主角经验!BH95)</f>
        <v/>
      </c>
      <c r="AF94" s="7">
        <f>主角经验!BK95</f>
        <v>2801200</v>
      </c>
      <c r="AG94" s="7">
        <f>主角经验!BO95</f>
        <v>413</v>
      </c>
    </row>
    <row r="95" spans="1:33">
      <c r="A95" s="32">
        <v>94</v>
      </c>
      <c r="B95" s="81">
        <f>主角经验!B96</f>
        <v>37600</v>
      </c>
      <c r="C95" s="7">
        <f>IF(主角经验!AF96="","",主角经验!$B96*主角经验!AF96)</f>
        <v>626792.00000000012</v>
      </c>
      <c r="D95" s="7">
        <f>IF(主角经验!AG96="","",主角经验!$B96*主角经验!AG96)</f>
        <v>248160</v>
      </c>
      <c r="E95" s="7">
        <f>IF(主角经验!AH96="","",主角经验!$B96*主角经验!AH96)</f>
        <v>94000</v>
      </c>
      <c r="F95" s="7">
        <f>IF(主角经验!AI96="","",主角经验!$B96*主角经验!AI96)</f>
        <v>564000</v>
      </c>
      <c r="G95" s="7" t="str">
        <f>IF(主角经验!AJ96="","",主角经验!$B96*主角经验!AJ96)</f>
        <v/>
      </c>
      <c r="H95" s="7" t="str">
        <f>IF(主角经验!AK96="","",主角经验!$B96*主角经验!AK96)</f>
        <v/>
      </c>
      <c r="I95" s="7" t="str">
        <f>IF(主角经验!AL96="","",主角经验!$B96*主角经验!AL96)</f>
        <v/>
      </c>
      <c r="J95" s="7" t="str">
        <f>IF(主角经验!AM96="","",主角经验!$B96*主角经验!AM96)</f>
        <v/>
      </c>
      <c r="K95" s="7">
        <f>IF(主角经验!AN96="","",主角经验!$B96*主角经验!AN96)</f>
        <v>376000</v>
      </c>
      <c r="L95" s="7">
        <f>IF(主角经验!AO96="","",主角经验!$B96*主角经验!AO96)</f>
        <v>125208</v>
      </c>
      <c r="M95" s="7">
        <f>IF(主角经验!AP96="","",主角经验!$B96*主角经验!AP96)</f>
        <v>752000</v>
      </c>
      <c r="N95" s="7">
        <f>IF(主角经验!AQ96="","",主角经验!$B96*主角经验!AQ96)</f>
        <v>451200</v>
      </c>
      <c r="O95" s="7">
        <f>IF(主角经验!AR96="","",主角经验!$B96*主角经验!AR96)</f>
        <v>470000</v>
      </c>
      <c r="P95" s="7">
        <f>IF(主角经验!AS96="","",主角经验!$B96*主角经验!AS96)</f>
        <v>31208</v>
      </c>
      <c r="Q95" s="7">
        <f>IF(主角经验!AT96="","",主角经验!$B96*主角经验!AT96)</f>
        <v>1955200</v>
      </c>
      <c r="R95" s="7">
        <f>IF(主角经验!AU96="","",主角经验!$B96*主角经验!AU96)</f>
        <v>225600</v>
      </c>
      <c r="S95" s="7">
        <f>IF(主角经验!AV96="","",主角经验!$B96*主角经验!AV96)</f>
        <v>250792</v>
      </c>
      <c r="T95" s="7">
        <f>IF(主角经验!AW96="","",主角经验!$B96*主角经验!AW96)</f>
        <v>0</v>
      </c>
      <c r="U95" s="7">
        <f>IF(主角经验!AX96="","",主角经验!$B96*主角经验!AX96)</f>
        <v>188000</v>
      </c>
      <c r="V95" s="7">
        <f>IF(主角经验!AY96="","",主角经验!$B96*主角经验!AY96)</f>
        <v>250792</v>
      </c>
      <c r="W95" s="7">
        <f>IF(主角经验!AZ96="","",主角经验!$B96*主角经验!AZ96)</f>
        <v>94000</v>
      </c>
      <c r="X95" s="7">
        <f>IF(主角经验!BA96="","",主角经验!$B96*主角经验!BA96)</f>
        <v>188000</v>
      </c>
      <c r="Y95" s="7">
        <f>IF(主角经验!BB96="","",主角经验!$B96*主角经验!BB96)</f>
        <v>235000</v>
      </c>
      <c r="Z95" s="7">
        <f>IF(主角经验!BC96="","",主角经验!$B96*主角经验!BC96)</f>
        <v>329000</v>
      </c>
      <c r="AA95" s="7">
        <f>IF(主角经验!BD96="","",主角经验!$B96*主角经验!BD96)</f>
        <v>94000</v>
      </c>
      <c r="AB95" s="7" t="str">
        <f>IF(主角经验!BE96="","",主角经验!$B96*主角经验!BE96)</f>
        <v/>
      </c>
      <c r="AC95" s="7" t="str">
        <f>IF(主角经验!BF96="","",主角经验!$B96*主角经验!BF96)</f>
        <v/>
      </c>
      <c r="AD95" s="7" t="str">
        <f>IF(主角经验!BG96="","",主角经验!$B96*主角经验!BG96)</f>
        <v/>
      </c>
      <c r="AE95" s="7" t="str">
        <f>IF(主角经验!BH96="","",主角经验!$B96*主角经验!BH96)</f>
        <v/>
      </c>
      <c r="AF95" s="7">
        <f>主角经验!BK96</f>
        <v>2872600</v>
      </c>
      <c r="AG95" s="7">
        <f>主角经验!BO96</f>
        <v>418</v>
      </c>
    </row>
    <row r="96" spans="1:33">
      <c r="A96" s="32">
        <v>95</v>
      </c>
      <c r="B96" s="81">
        <f>主角经验!B97</f>
        <v>38000</v>
      </c>
      <c r="C96" s="7">
        <f>IF(主角经验!AF97="","",主角经验!$B97*主角经验!AF97)</f>
        <v>633460.00000000012</v>
      </c>
      <c r="D96" s="7">
        <f>IF(主角经验!AG97="","",主角经验!$B97*主角经验!AG97)</f>
        <v>250800</v>
      </c>
      <c r="E96" s="7">
        <f>IF(主角经验!AH97="","",主角经验!$B97*主角经验!AH97)</f>
        <v>95000</v>
      </c>
      <c r="F96" s="7">
        <f>IF(主角经验!AI97="","",主角经验!$B97*主角经验!AI97)</f>
        <v>570000</v>
      </c>
      <c r="G96" s="7" t="str">
        <f>IF(主角经验!AJ97="","",主角经验!$B97*主角经验!AJ97)</f>
        <v/>
      </c>
      <c r="H96" s="7" t="str">
        <f>IF(主角经验!AK97="","",主角经验!$B97*主角经验!AK97)</f>
        <v/>
      </c>
      <c r="I96" s="7" t="str">
        <f>IF(主角经验!AL97="","",主角经验!$B97*主角经验!AL97)</f>
        <v/>
      </c>
      <c r="J96" s="7" t="str">
        <f>IF(主角经验!AM97="","",主角经验!$B97*主角经验!AM97)</f>
        <v/>
      </c>
      <c r="K96" s="7">
        <f>IF(主角经验!AN97="","",主角经验!$B97*主角经验!AN97)</f>
        <v>380000</v>
      </c>
      <c r="L96" s="7">
        <f>IF(主角经验!AO97="","",主角经验!$B97*主角经验!AO97)</f>
        <v>126540</v>
      </c>
      <c r="M96" s="7">
        <f>IF(主角经验!AP97="","",主角经验!$B97*主角经验!AP97)</f>
        <v>760000</v>
      </c>
      <c r="N96" s="7">
        <f>IF(主角经验!AQ97="","",主角经验!$B97*主角经验!AQ97)</f>
        <v>456000</v>
      </c>
      <c r="O96" s="7">
        <f>IF(主角经验!AR97="","",主角经验!$B97*主角经验!AR97)</f>
        <v>475000</v>
      </c>
      <c r="P96" s="7">
        <f>IF(主角经验!AS97="","",主角经验!$B97*主角经验!AS97)</f>
        <v>31540</v>
      </c>
      <c r="Q96" s="7">
        <f>IF(主角经验!AT97="","",主角经验!$B97*主角经验!AT97)</f>
        <v>1976000</v>
      </c>
      <c r="R96" s="7">
        <f>IF(主角经验!AU97="","",主角经验!$B97*主角经验!AU97)</f>
        <v>228000</v>
      </c>
      <c r="S96" s="7">
        <f>IF(主角经验!AV97="","",主角经验!$B97*主角经验!AV97)</f>
        <v>253460</v>
      </c>
      <c r="T96" s="7">
        <f>IF(主角经验!AW97="","",主角经验!$B97*主角经验!AW97)</f>
        <v>0</v>
      </c>
      <c r="U96" s="7">
        <f>IF(主角经验!AX97="","",主角经验!$B97*主角经验!AX97)</f>
        <v>190000</v>
      </c>
      <c r="V96" s="7">
        <f>IF(主角经验!AY97="","",主角经验!$B97*主角经验!AY97)</f>
        <v>253460</v>
      </c>
      <c r="W96" s="7">
        <f>IF(主角经验!AZ97="","",主角经验!$B97*主角经验!AZ97)</f>
        <v>95000</v>
      </c>
      <c r="X96" s="7">
        <f>IF(主角经验!BA97="","",主角经验!$B97*主角经验!BA97)</f>
        <v>190000</v>
      </c>
      <c r="Y96" s="7">
        <f>IF(主角经验!BB97="","",主角经验!$B97*主角经验!BB97)</f>
        <v>237500</v>
      </c>
      <c r="Z96" s="7">
        <f>IF(主角经验!BC97="","",主角经验!$B97*主角经验!BC97)</f>
        <v>332500</v>
      </c>
      <c r="AA96" s="7">
        <f>IF(主角经验!BD97="","",主角经验!$B97*主角经验!BD97)</f>
        <v>95000</v>
      </c>
      <c r="AB96" s="7" t="str">
        <f>IF(主角经验!BE97="","",主角经验!$B97*主角经验!BE97)</f>
        <v/>
      </c>
      <c r="AC96" s="7" t="str">
        <f>IF(主角经验!BF97="","",主角经验!$B97*主角经验!BF97)</f>
        <v/>
      </c>
      <c r="AD96" s="7" t="str">
        <f>IF(主角经验!BG97="","",主角经验!$B97*主角经验!BG97)</f>
        <v/>
      </c>
      <c r="AE96" s="7" t="str">
        <f>IF(主角经验!BH97="","",主角经验!$B97*主角经验!BH97)</f>
        <v/>
      </c>
      <c r="AF96" s="7">
        <f>主角经验!BK97</f>
        <v>2945000</v>
      </c>
      <c r="AG96" s="7">
        <f>主角经验!BO97</f>
        <v>422</v>
      </c>
    </row>
    <row r="97" spans="1:33">
      <c r="A97" s="32">
        <v>96</v>
      </c>
      <c r="B97" s="81">
        <f>主角经验!B98</f>
        <v>38400</v>
      </c>
      <c r="C97" s="7">
        <f>IF(主角经验!AF98="","",主角经验!$B98*主角经验!AF98)</f>
        <v>640128.00000000012</v>
      </c>
      <c r="D97" s="7">
        <f>IF(主角经验!AG98="","",主角经验!$B98*主角经验!AG98)</f>
        <v>253440</v>
      </c>
      <c r="E97" s="7">
        <f>IF(主角经验!AH98="","",主角经验!$B98*主角经验!AH98)</f>
        <v>96000</v>
      </c>
      <c r="F97" s="7">
        <f>IF(主角经验!AI98="","",主角经验!$B98*主角经验!AI98)</f>
        <v>576000</v>
      </c>
      <c r="G97" s="7" t="str">
        <f>IF(主角经验!AJ98="","",主角经验!$B98*主角经验!AJ98)</f>
        <v/>
      </c>
      <c r="H97" s="7" t="str">
        <f>IF(主角经验!AK98="","",主角经验!$B98*主角经验!AK98)</f>
        <v/>
      </c>
      <c r="I97" s="7" t="str">
        <f>IF(主角经验!AL98="","",主角经验!$B98*主角经验!AL98)</f>
        <v/>
      </c>
      <c r="J97" s="7" t="str">
        <f>IF(主角经验!AM98="","",主角经验!$B98*主角经验!AM98)</f>
        <v/>
      </c>
      <c r="K97" s="7">
        <f>IF(主角经验!AN98="","",主角经验!$B98*主角经验!AN98)</f>
        <v>384000</v>
      </c>
      <c r="L97" s="7">
        <f>IF(主角经验!AO98="","",主角经验!$B98*主角经验!AO98)</f>
        <v>127872</v>
      </c>
      <c r="M97" s="7">
        <f>IF(主角经验!AP98="","",主角经验!$B98*主角经验!AP98)</f>
        <v>768000</v>
      </c>
      <c r="N97" s="7">
        <f>IF(主角经验!AQ98="","",主角经验!$B98*主角经验!AQ98)</f>
        <v>460800</v>
      </c>
      <c r="O97" s="7">
        <f>IF(主角经验!AR98="","",主角经验!$B98*主角经验!AR98)</f>
        <v>480000</v>
      </c>
      <c r="P97" s="7">
        <f>IF(主角经验!AS98="","",主角经验!$B98*主角经验!AS98)</f>
        <v>31872</v>
      </c>
      <c r="Q97" s="7">
        <f>IF(主角经验!AT98="","",主角经验!$B98*主角经验!AT98)</f>
        <v>1996800</v>
      </c>
      <c r="R97" s="7">
        <f>IF(主角经验!AU98="","",主角经验!$B98*主角经验!AU98)</f>
        <v>230400</v>
      </c>
      <c r="S97" s="7">
        <f>IF(主角经验!AV98="","",主角经验!$B98*主角经验!AV98)</f>
        <v>256128</v>
      </c>
      <c r="T97" s="7">
        <f>IF(主角经验!AW98="","",主角经验!$B98*主角经验!AW98)</f>
        <v>0</v>
      </c>
      <c r="U97" s="7">
        <f>IF(主角经验!AX98="","",主角经验!$B98*主角经验!AX98)</f>
        <v>192000</v>
      </c>
      <c r="V97" s="7">
        <f>IF(主角经验!AY98="","",主角经验!$B98*主角经验!AY98)</f>
        <v>256128</v>
      </c>
      <c r="W97" s="7">
        <f>IF(主角经验!AZ98="","",主角经验!$B98*主角经验!AZ98)</f>
        <v>96000</v>
      </c>
      <c r="X97" s="7">
        <f>IF(主角经验!BA98="","",主角经验!$B98*主角经验!BA98)</f>
        <v>192000</v>
      </c>
      <c r="Y97" s="7">
        <f>IF(主角经验!BB98="","",主角经验!$B98*主角经验!BB98)</f>
        <v>240000</v>
      </c>
      <c r="Z97" s="7">
        <f>IF(主角经验!BC98="","",主角经验!$B98*主角经验!BC98)</f>
        <v>336000</v>
      </c>
      <c r="AA97" s="7">
        <f>IF(主角经验!BD98="","",主角经验!$B98*主角经验!BD98)</f>
        <v>96000</v>
      </c>
      <c r="AB97" s="7" t="str">
        <f>IF(主角经验!BE98="","",主角经验!$B98*主角经验!BE98)</f>
        <v/>
      </c>
      <c r="AC97" s="7" t="str">
        <f>IF(主角经验!BF98="","",主角经验!$B98*主角经验!BF98)</f>
        <v/>
      </c>
      <c r="AD97" s="7" t="str">
        <f>IF(主角经验!BG98="","",主角经验!$B98*主角经验!BG98)</f>
        <v/>
      </c>
      <c r="AE97" s="7" t="str">
        <f>IF(主角经验!BH98="","",主角经验!$B98*主角经验!BH98)</f>
        <v/>
      </c>
      <c r="AF97" s="7">
        <f>主角经验!BK98</f>
        <v>3018200</v>
      </c>
      <c r="AG97" s="7">
        <f>主角经验!BO98</f>
        <v>427</v>
      </c>
    </row>
    <row r="98" spans="1:33">
      <c r="A98" s="32">
        <v>97</v>
      </c>
      <c r="B98" s="81">
        <f>主角经验!B99</f>
        <v>38800</v>
      </c>
      <c r="C98" s="7">
        <f>IF(主角经验!AF99="","",主角经验!$B99*主角经验!AF99)</f>
        <v>646796.00000000012</v>
      </c>
      <c r="D98" s="7">
        <f>IF(主角经验!AG99="","",主角经验!$B99*主角经验!AG99)</f>
        <v>256080</v>
      </c>
      <c r="E98" s="7">
        <f>IF(主角经验!AH99="","",主角经验!$B99*主角经验!AH99)</f>
        <v>97000</v>
      </c>
      <c r="F98" s="7">
        <f>IF(主角经验!AI99="","",主角经验!$B99*主角经验!AI99)</f>
        <v>582000</v>
      </c>
      <c r="G98" s="7" t="str">
        <f>IF(主角经验!AJ99="","",主角经验!$B99*主角经验!AJ99)</f>
        <v/>
      </c>
      <c r="H98" s="7" t="str">
        <f>IF(主角经验!AK99="","",主角经验!$B99*主角经验!AK99)</f>
        <v/>
      </c>
      <c r="I98" s="7" t="str">
        <f>IF(主角经验!AL99="","",主角经验!$B99*主角经验!AL99)</f>
        <v/>
      </c>
      <c r="J98" s="7" t="str">
        <f>IF(主角经验!AM99="","",主角经验!$B99*主角经验!AM99)</f>
        <v/>
      </c>
      <c r="K98" s="7">
        <f>IF(主角经验!AN99="","",主角经验!$B99*主角经验!AN99)</f>
        <v>388000</v>
      </c>
      <c r="L98" s="7">
        <f>IF(主角经验!AO99="","",主角经验!$B99*主角经验!AO99)</f>
        <v>129204</v>
      </c>
      <c r="M98" s="7">
        <f>IF(主角经验!AP99="","",主角经验!$B99*主角经验!AP99)</f>
        <v>776000</v>
      </c>
      <c r="N98" s="7">
        <f>IF(主角经验!AQ99="","",主角经验!$B99*主角经验!AQ99)</f>
        <v>465600</v>
      </c>
      <c r="O98" s="7">
        <f>IF(主角经验!AR99="","",主角经验!$B99*主角经验!AR99)</f>
        <v>485000</v>
      </c>
      <c r="P98" s="7">
        <f>IF(主角经验!AS99="","",主角经验!$B99*主角经验!AS99)</f>
        <v>32204</v>
      </c>
      <c r="Q98" s="7">
        <f>IF(主角经验!AT99="","",主角经验!$B99*主角经验!AT99)</f>
        <v>2017600</v>
      </c>
      <c r="R98" s="7">
        <f>IF(主角经验!AU99="","",主角经验!$B99*主角经验!AU99)</f>
        <v>232800</v>
      </c>
      <c r="S98" s="7">
        <f>IF(主角经验!AV99="","",主角经验!$B99*主角经验!AV99)</f>
        <v>258796</v>
      </c>
      <c r="T98" s="7">
        <f>IF(主角经验!AW99="","",主角经验!$B99*主角经验!AW99)</f>
        <v>0</v>
      </c>
      <c r="U98" s="7">
        <f>IF(主角经验!AX99="","",主角经验!$B99*主角经验!AX99)</f>
        <v>194000</v>
      </c>
      <c r="V98" s="7">
        <f>IF(主角经验!AY99="","",主角经验!$B99*主角经验!AY99)</f>
        <v>258796</v>
      </c>
      <c r="W98" s="7">
        <f>IF(主角经验!AZ99="","",主角经验!$B99*主角经验!AZ99)</f>
        <v>97000</v>
      </c>
      <c r="X98" s="7">
        <f>IF(主角经验!BA99="","",主角经验!$B99*主角经验!BA99)</f>
        <v>194000</v>
      </c>
      <c r="Y98" s="7">
        <f>IF(主角经验!BB99="","",主角经验!$B99*主角经验!BB99)</f>
        <v>242500</v>
      </c>
      <c r="Z98" s="7">
        <f>IF(主角经验!BC99="","",主角经验!$B99*主角经验!BC99)</f>
        <v>339500</v>
      </c>
      <c r="AA98" s="7">
        <f>IF(主角经验!BD99="","",主角经验!$B99*主角经验!BD99)</f>
        <v>97000</v>
      </c>
      <c r="AB98" s="7" t="str">
        <f>IF(主角经验!BE99="","",主角经验!$B99*主角经验!BE99)</f>
        <v/>
      </c>
      <c r="AC98" s="7" t="str">
        <f>IF(主角经验!BF99="","",主角经验!$B99*主角经验!BF99)</f>
        <v/>
      </c>
      <c r="AD98" s="7" t="str">
        <f>IF(主角经验!BG99="","",主角经验!$B99*主角经验!BG99)</f>
        <v/>
      </c>
      <c r="AE98" s="7" t="str">
        <f>IF(主角经验!BH99="","",主角经验!$B99*主角经验!BH99)</f>
        <v/>
      </c>
      <c r="AF98" s="7">
        <f>主角经验!BK99</f>
        <v>3092400</v>
      </c>
      <c r="AG98" s="7">
        <f>主角经验!BO99</f>
        <v>431</v>
      </c>
    </row>
    <row r="99" spans="1:33">
      <c r="A99" s="32">
        <v>98</v>
      </c>
      <c r="B99" s="81">
        <f>主角经验!B100</f>
        <v>39200</v>
      </c>
      <c r="C99" s="7">
        <f>IF(主角经验!AF100="","",主角经验!$B100*主角经验!AF100)</f>
        <v>653464.00000000012</v>
      </c>
      <c r="D99" s="7">
        <f>IF(主角经验!AG100="","",主角经验!$B100*主角经验!AG100)</f>
        <v>258720</v>
      </c>
      <c r="E99" s="7">
        <f>IF(主角经验!AH100="","",主角经验!$B100*主角经验!AH100)</f>
        <v>98000</v>
      </c>
      <c r="F99" s="7">
        <f>IF(主角经验!AI100="","",主角经验!$B100*主角经验!AI100)</f>
        <v>588000</v>
      </c>
      <c r="G99" s="7" t="str">
        <f>IF(主角经验!AJ100="","",主角经验!$B100*主角经验!AJ100)</f>
        <v/>
      </c>
      <c r="H99" s="7" t="str">
        <f>IF(主角经验!AK100="","",主角经验!$B100*主角经验!AK100)</f>
        <v/>
      </c>
      <c r="I99" s="7" t="str">
        <f>IF(主角经验!AL100="","",主角经验!$B100*主角经验!AL100)</f>
        <v/>
      </c>
      <c r="J99" s="7" t="str">
        <f>IF(主角经验!AM100="","",主角经验!$B100*主角经验!AM100)</f>
        <v/>
      </c>
      <c r="K99" s="7">
        <f>IF(主角经验!AN100="","",主角经验!$B100*主角经验!AN100)</f>
        <v>392000</v>
      </c>
      <c r="L99" s="7">
        <f>IF(主角经验!AO100="","",主角经验!$B100*主角经验!AO100)</f>
        <v>130536</v>
      </c>
      <c r="M99" s="7">
        <f>IF(主角经验!AP100="","",主角经验!$B100*主角经验!AP100)</f>
        <v>784000</v>
      </c>
      <c r="N99" s="7">
        <f>IF(主角经验!AQ100="","",主角经验!$B100*主角经验!AQ100)</f>
        <v>470400</v>
      </c>
      <c r="O99" s="7">
        <f>IF(主角经验!AR100="","",主角经验!$B100*主角经验!AR100)</f>
        <v>490000</v>
      </c>
      <c r="P99" s="7">
        <f>IF(主角经验!AS100="","",主角经验!$B100*主角经验!AS100)</f>
        <v>32536</v>
      </c>
      <c r="Q99" s="7">
        <f>IF(主角经验!AT100="","",主角经验!$B100*主角经验!AT100)</f>
        <v>2038400</v>
      </c>
      <c r="R99" s="7">
        <f>IF(主角经验!AU100="","",主角经验!$B100*主角经验!AU100)</f>
        <v>235200</v>
      </c>
      <c r="S99" s="7">
        <f>IF(主角经验!AV100="","",主角经验!$B100*主角经验!AV100)</f>
        <v>261464</v>
      </c>
      <c r="T99" s="7">
        <f>IF(主角经验!AW100="","",主角经验!$B100*主角经验!AW100)</f>
        <v>0</v>
      </c>
      <c r="U99" s="7">
        <f>IF(主角经验!AX100="","",主角经验!$B100*主角经验!AX100)</f>
        <v>196000</v>
      </c>
      <c r="V99" s="7">
        <f>IF(主角经验!AY100="","",主角经验!$B100*主角经验!AY100)</f>
        <v>261464</v>
      </c>
      <c r="W99" s="7">
        <f>IF(主角经验!AZ100="","",主角经验!$B100*主角经验!AZ100)</f>
        <v>98000</v>
      </c>
      <c r="X99" s="7">
        <f>IF(主角经验!BA100="","",主角经验!$B100*主角经验!BA100)</f>
        <v>196000</v>
      </c>
      <c r="Y99" s="7">
        <f>IF(主角经验!BB100="","",主角经验!$B100*主角经验!BB100)</f>
        <v>245000</v>
      </c>
      <c r="Z99" s="7">
        <f>IF(主角经验!BC100="","",主角经验!$B100*主角经验!BC100)</f>
        <v>343000</v>
      </c>
      <c r="AA99" s="7">
        <f>IF(主角经验!BD100="","",主角经验!$B100*主角经验!BD100)</f>
        <v>98000</v>
      </c>
      <c r="AB99" s="7" t="str">
        <f>IF(主角经验!BE100="","",主角经验!$B100*主角经验!BE100)</f>
        <v/>
      </c>
      <c r="AC99" s="7" t="str">
        <f>IF(主角经验!BF100="","",主角经验!$B100*主角经验!BF100)</f>
        <v/>
      </c>
      <c r="AD99" s="7" t="str">
        <f>IF(主角经验!BG100="","",主角经验!$B100*主角经验!BG100)</f>
        <v/>
      </c>
      <c r="AE99" s="7" t="str">
        <f>IF(主角经验!BH100="","",主角经验!$B100*主角经验!BH100)</f>
        <v/>
      </c>
      <c r="AF99" s="7">
        <f>主角经验!BK100</f>
        <v>3167400</v>
      </c>
      <c r="AG99" s="7">
        <f>主角经验!BO100</f>
        <v>436</v>
      </c>
    </row>
    <row r="100" spans="1:33">
      <c r="A100" s="32">
        <v>99</v>
      </c>
      <c r="B100" s="81">
        <f>主角经验!B101</f>
        <v>39600</v>
      </c>
      <c r="C100" s="7">
        <f>IF(主角经验!AF101="","",主角经验!$B101*主角经验!AF101)</f>
        <v>660132.00000000012</v>
      </c>
      <c r="D100" s="7">
        <f>IF(主角经验!AG101="","",主角经验!$B101*主角经验!AG101)</f>
        <v>261360</v>
      </c>
      <c r="E100" s="7">
        <f>IF(主角经验!AH101="","",主角经验!$B101*主角经验!AH101)</f>
        <v>99000</v>
      </c>
      <c r="F100" s="7">
        <f>IF(主角经验!AI101="","",主角经验!$B101*主角经验!AI101)</f>
        <v>594000</v>
      </c>
      <c r="G100" s="7" t="str">
        <f>IF(主角经验!AJ101="","",主角经验!$B101*主角经验!AJ101)</f>
        <v/>
      </c>
      <c r="H100" s="7" t="str">
        <f>IF(主角经验!AK101="","",主角经验!$B101*主角经验!AK101)</f>
        <v/>
      </c>
      <c r="I100" s="7" t="str">
        <f>IF(主角经验!AL101="","",主角经验!$B101*主角经验!AL101)</f>
        <v/>
      </c>
      <c r="J100" s="7" t="str">
        <f>IF(主角经验!AM101="","",主角经验!$B101*主角经验!AM101)</f>
        <v/>
      </c>
      <c r="K100" s="7">
        <f>IF(主角经验!AN101="","",主角经验!$B101*主角经验!AN101)</f>
        <v>396000</v>
      </c>
      <c r="L100" s="7">
        <f>IF(主角经验!AO101="","",主角经验!$B101*主角经验!AO101)</f>
        <v>131868</v>
      </c>
      <c r="M100" s="7">
        <f>IF(主角经验!AP101="","",主角经验!$B101*主角经验!AP101)</f>
        <v>792000</v>
      </c>
      <c r="N100" s="7">
        <f>IF(主角经验!AQ101="","",主角经验!$B101*主角经验!AQ101)</f>
        <v>475200</v>
      </c>
      <c r="O100" s="7">
        <f>IF(主角经验!AR101="","",主角经验!$B101*主角经验!AR101)</f>
        <v>495000</v>
      </c>
      <c r="P100" s="7">
        <f>IF(主角经验!AS101="","",主角经验!$B101*主角经验!AS101)</f>
        <v>32868</v>
      </c>
      <c r="Q100" s="7">
        <f>IF(主角经验!AT101="","",主角经验!$B101*主角经验!AT101)</f>
        <v>2059200</v>
      </c>
      <c r="R100" s="7">
        <f>IF(主角经验!AU101="","",主角经验!$B101*主角经验!AU101)</f>
        <v>237600</v>
      </c>
      <c r="S100" s="7">
        <f>IF(主角经验!AV101="","",主角经验!$B101*主角经验!AV101)</f>
        <v>264132</v>
      </c>
      <c r="T100" s="7">
        <f>IF(主角经验!AW101="","",主角经验!$B101*主角经验!AW101)</f>
        <v>0</v>
      </c>
      <c r="U100" s="7">
        <f>IF(主角经验!AX101="","",主角经验!$B101*主角经验!AX101)</f>
        <v>198000</v>
      </c>
      <c r="V100" s="7">
        <f>IF(主角经验!AY101="","",主角经验!$B101*主角经验!AY101)</f>
        <v>264132</v>
      </c>
      <c r="W100" s="7">
        <f>IF(主角经验!AZ101="","",主角经验!$B101*主角经验!AZ101)</f>
        <v>99000</v>
      </c>
      <c r="X100" s="7">
        <f>IF(主角经验!BA101="","",主角经验!$B101*主角经验!BA101)</f>
        <v>198000</v>
      </c>
      <c r="Y100" s="7">
        <f>IF(主角经验!BB101="","",主角经验!$B101*主角经验!BB101)</f>
        <v>247500</v>
      </c>
      <c r="Z100" s="7">
        <f>IF(主角经验!BC101="","",主角经验!$B101*主角经验!BC101)</f>
        <v>346500</v>
      </c>
      <c r="AA100" s="7">
        <f>IF(主角经验!BD101="","",主角经验!$B101*主角经验!BD101)</f>
        <v>99000</v>
      </c>
      <c r="AB100" s="7" t="str">
        <f>IF(主角经验!BE101="","",主角经验!$B101*主角经验!BE101)</f>
        <v/>
      </c>
      <c r="AC100" s="7" t="str">
        <f>IF(主角经验!BF101="","",主角经验!$B101*主角经验!BF101)</f>
        <v/>
      </c>
      <c r="AD100" s="7" t="str">
        <f>IF(主角经验!BG101="","",主角经验!$B101*主角经验!BG101)</f>
        <v/>
      </c>
      <c r="AE100" s="7" t="str">
        <f>IF(主角经验!BH101="","",主角经验!$B101*主角经验!BH101)</f>
        <v/>
      </c>
      <c r="AF100" s="7">
        <f>主角经验!BK101</f>
        <v>3243200</v>
      </c>
      <c r="AG100" s="7">
        <f>主角经验!BO101</f>
        <v>440</v>
      </c>
    </row>
    <row r="101" spans="1:33">
      <c r="A101" s="32">
        <v>100</v>
      </c>
      <c r="B101" s="81">
        <f>主角经验!B102</f>
        <v>40000</v>
      </c>
      <c r="C101" s="7">
        <f>IF(主角经验!AF102="","",主角经验!$B102*主角经验!AF102)</f>
        <v>666800.00000000012</v>
      </c>
      <c r="D101" s="7">
        <f>IF(主角经验!AG102="","",主角经验!$B102*主角经验!AG102)</f>
        <v>264000</v>
      </c>
      <c r="E101" s="7">
        <f>IF(主角经验!AH102="","",主角经验!$B102*主角经验!AH102)</f>
        <v>100000</v>
      </c>
      <c r="F101" s="7">
        <f>IF(主角经验!AI102="","",主角经验!$B102*主角经验!AI102)</f>
        <v>600000</v>
      </c>
      <c r="G101" s="7" t="str">
        <f>IF(主角经验!AJ102="","",主角经验!$B102*主角经验!AJ102)</f>
        <v/>
      </c>
      <c r="H101" s="7" t="str">
        <f>IF(主角经验!AK102="","",主角经验!$B102*主角经验!AK102)</f>
        <v/>
      </c>
      <c r="I101" s="7" t="str">
        <f>IF(主角经验!AL102="","",主角经验!$B102*主角经验!AL102)</f>
        <v/>
      </c>
      <c r="J101" s="7" t="str">
        <f>IF(主角经验!AM102="","",主角经验!$B102*主角经验!AM102)</f>
        <v/>
      </c>
      <c r="K101" s="7">
        <f>IF(主角经验!AN102="","",主角经验!$B102*主角经验!AN102)</f>
        <v>400000</v>
      </c>
      <c r="L101" s="7">
        <f>IF(主角经验!AO102="","",主角经验!$B102*主角经验!AO102)</f>
        <v>133200</v>
      </c>
      <c r="M101" s="7">
        <f>IF(主角经验!AP102="","",主角经验!$B102*主角经验!AP102)</f>
        <v>800000</v>
      </c>
      <c r="N101" s="7">
        <f>IF(主角经验!AQ102="","",主角经验!$B102*主角经验!AQ102)</f>
        <v>480000</v>
      </c>
      <c r="O101" s="7">
        <f>IF(主角经验!AR102="","",主角经验!$B102*主角经验!AR102)</f>
        <v>500000</v>
      </c>
      <c r="P101" s="7">
        <f>IF(主角经验!AS102="","",主角经验!$B102*主角经验!AS102)</f>
        <v>33200</v>
      </c>
      <c r="Q101" s="7">
        <f>IF(主角经验!AT102="","",主角经验!$B102*主角经验!AT102)</f>
        <v>2080000</v>
      </c>
      <c r="R101" s="7">
        <f>IF(主角经验!AU102="","",主角经验!$B102*主角经验!AU102)</f>
        <v>240000</v>
      </c>
      <c r="S101" s="7">
        <f>IF(主角经验!AV102="","",主角经验!$B102*主角经验!AV102)</f>
        <v>266800</v>
      </c>
      <c r="T101" s="7">
        <f>IF(主角经验!AW102="","",主角经验!$B102*主角经验!AW102)</f>
        <v>0</v>
      </c>
      <c r="U101" s="7">
        <f>IF(主角经验!AX102="","",主角经验!$B102*主角经验!AX102)</f>
        <v>200000</v>
      </c>
      <c r="V101" s="7">
        <f>IF(主角经验!AY102="","",主角经验!$B102*主角经验!AY102)</f>
        <v>266800</v>
      </c>
      <c r="W101" s="7">
        <f>IF(主角经验!AZ102="","",主角经验!$B102*主角经验!AZ102)</f>
        <v>100000</v>
      </c>
      <c r="X101" s="7">
        <f>IF(主角经验!BA102="","",主角经验!$B102*主角经验!BA102)</f>
        <v>200000</v>
      </c>
      <c r="Y101" s="7">
        <f>IF(主角经验!BB102="","",主角经验!$B102*主角经验!BB102)</f>
        <v>250000</v>
      </c>
      <c r="Z101" s="7">
        <f>IF(主角经验!BC102="","",主角经验!$B102*主角经验!BC102)</f>
        <v>350000</v>
      </c>
      <c r="AA101" s="7">
        <f>IF(主角经验!BD102="","",主角经验!$B102*主角经验!BD102)</f>
        <v>100000</v>
      </c>
      <c r="AB101" s="7" t="str">
        <f>IF(主角经验!BE102="","",主角经验!$B102*主角经验!BE102)</f>
        <v/>
      </c>
      <c r="AC101" s="7" t="str">
        <f>IF(主角经验!BF102="","",主角经验!$B102*主角经验!BF102)</f>
        <v/>
      </c>
      <c r="AD101" s="7" t="str">
        <f>IF(主角经验!BG102="","",主角经验!$B102*主角经验!BG102)</f>
        <v/>
      </c>
      <c r="AE101" s="7" t="str">
        <f>IF(主角经验!BH102="","",主角经验!$B102*主角经验!BH102)</f>
        <v/>
      </c>
      <c r="AF101" s="7">
        <f>主角经验!BK102</f>
        <v>3320000</v>
      </c>
      <c r="AG101" s="7">
        <f>主角经验!BO102</f>
        <v>444</v>
      </c>
    </row>
    <row r="102" spans="1:33">
      <c r="A102" s="32">
        <v>101</v>
      </c>
      <c r="B102" s="81">
        <f>主角经验!B103</f>
        <v>40400</v>
      </c>
      <c r="C102" s="7">
        <f>IF(主角经验!AF103="","",主角经验!$B103*主角经验!AF103)</f>
        <v>673468.00000000012</v>
      </c>
      <c r="D102" s="7">
        <f>IF(主角经验!AG103="","",主角经验!$B103*主角经验!AG103)</f>
        <v>266640</v>
      </c>
      <c r="E102" s="7">
        <f>IF(主角经验!AH103="","",主角经验!$B103*主角经验!AH103)</f>
        <v>101000</v>
      </c>
      <c r="F102" s="7">
        <f>IF(主角经验!AI103="","",主角经验!$B103*主角经验!AI103)</f>
        <v>606000</v>
      </c>
      <c r="G102" s="7" t="str">
        <f>IF(主角经验!AJ103="","",主角经验!$B103*主角经验!AJ103)</f>
        <v/>
      </c>
      <c r="H102" s="7" t="str">
        <f>IF(主角经验!AK103="","",主角经验!$B103*主角经验!AK103)</f>
        <v/>
      </c>
      <c r="I102" s="7" t="str">
        <f>IF(主角经验!AL103="","",主角经验!$B103*主角经验!AL103)</f>
        <v/>
      </c>
      <c r="J102" s="7" t="str">
        <f>IF(主角经验!AM103="","",主角经验!$B103*主角经验!AM103)</f>
        <v/>
      </c>
      <c r="K102" s="7">
        <f>IF(主角经验!AN103="","",主角经验!$B103*主角经验!AN103)</f>
        <v>404000</v>
      </c>
      <c r="L102" s="7">
        <f>IF(主角经验!AO103="","",主角经验!$B103*主角经验!AO103)</f>
        <v>134532</v>
      </c>
      <c r="M102" s="7">
        <f>IF(主角经验!AP103="","",主角经验!$B103*主角经验!AP103)</f>
        <v>808000</v>
      </c>
      <c r="N102" s="7">
        <f>IF(主角经验!AQ103="","",主角经验!$B103*主角经验!AQ103)</f>
        <v>484800</v>
      </c>
      <c r="O102" s="7">
        <f>IF(主角经验!AR103="","",主角经验!$B103*主角经验!AR103)</f>
        <v>505000</v>
      </c>
      <c r="P102" s="7">
        <f>IF(主角经验!AS103="","",主角经验!$B103*主角经验!AS103)</f>
        <v>33532</v>
      </c>
      <c r="Q102" s="7">
        <f>IF(主角经验!AT103="","",主角经验!$B103*主角经验!AT103)</f>
        <v>2100800</v>
      </c>
      <c r="R102" s="7">
        <f>IF(主角经验!AU103="","",主角经验!$B103*主角经验!AU103)</f>
        <v>242400</v>
      </c>
      <c r="S102" s="7">
        <f>IF(主角经验!AV103="","",主角经验!$B103*主角经验!AV103)</f>
        <v>269468</v>
      </c>
      <c r="T102" s="7">
        <f>IF(主角经验!AW103="","",主角经验!$B103*主角经验!AW103)</f>
        <v>0</v>
      </c>
      <c r="U102" s="7">
        <f>IF(主角经验!AX103="","",主角经验!$B103*主角经验!AX103)</f>
        <v>202000</v>
      </c>
      <c r="V102" s="7">
        <f>IF(主角经验!AY103="","",主角经验!$B103*主角经验!AY103)</f>
        <v>269468</v>
      </c>
      <c r="W102" s="7">
        <f>IF(主角经验!AZ103="","",主角经验!$B103*主角经验!AZ103)</f>
        <v>101000</v>
      </c>
      <c r="X102" s="7">
        <f>IF(主角经验!BA103="","",主角经验!$B103*主角经验!BA103)</f>
        <v>202000</v>
      </c>
      <c r="Y102" s="7">
        <f>IF(主角经验!BB103="","",主角经验!$B103*主角经验!BB103)</f>
        <v>252500</v>
      </c>
      <c r="Z102" s="7">
        <f>IF(主角经验!BC103="","",主角经验!$B103*主角经验!BC103)</f>
        <v>353500</v>
      </c>
      <c r="AA102" s="7">
        <f>IF(主角经验!BD103="","",主角经验!$B103*主角经验!BD103)</f>
        <v>101000</v>
      </c>
      <c r="AB102" s="7" t="str">
        <f>IF(主角经验!BE103="","",主角经验!$B103*主角经验!BE103)</f>
        <v/>
      </c>
      <c r="AC102" s="7" t="str">
        <f>IF(主角经验!BF103="","",主角经验!$B103*主角经验!BF103)</f>
        <v/>
      </c>
      <c r="AD102" s="7" t="str">
        <f>IF(主角经验!BG103="","",主角经验!$B103*主角经验!BG103)</f>
        <v/>
      </c>
      <c r="AE102" s="7" t="str">
        <f>IF(主角经验!BH103="","",主角经验!$B103*主角经验!BH103)</f>
        <v/>
      </c>
      <c r="AF102" s="7">
        <f>主角经验!BK103</f>
        <v>3397600</v>
      </c>
      <c r="AG102" s="7">
        <f>主角经验!BO103</f>
        <v>449</v>
      </c>
    </row>
    <row r="103" spans="1:33">
      <c r="A103" s="32">
        <v>102</v>
      </c>
      <c r="B103" s="81">
        <f>主角经验!B104</f>
        <v>40800</v>
      </c>
      <c r="C103" s="7">
        <f>IF(主角经验!AF104="","",主角经验!$B104*主角经验!AF104)</f>
        <v>680136.00000000012</v>
      </c>
      <c r="D103" s="7">
        <f>IF(主角经验!AG104="","",主角经验!$B104*主角经验!AG104)</f>
        <v>269280</v>
      </c>
      <c r="E103" s="7">
        <f>IF(主角经验!AH104="","",主角经验!$B104*主角经验!AH104)</f>
        <v>102000</v>
      </c>
      <c r="F103" s="7">
        <f>IF(主角经验!AI104="","",主角经验!$B104*主角经验!AI104)</f>
        <v>612000</v>
      </c>
      <c r="G103" s="7" t="str">
        <f>IF(主角经验!AJ104="","",主角经验!$B104*主角经验!AJ104)</f>
        <v/>
      </c>
      <c r="H103" s="7" t="str">
        <f>IF(主角经验!AK104="","",主角经验!$B104*主角经验!AK104)</f>
        <v/>
      </c>
      <c r="I103" s="7" t="str">
        <f>IF(主角经验!AL104="","",主角经验!$B104*主角经验!AL104)</f>
        <v/>
      </c>
      <c r="J103" s="7" t="str">
        <f>IF(主角经验!AM104="","",主角经验!$B104*主角经验!AM104)</f>
        <v/>
      </c>
      <c r="K103" s="7">
        <f>IF(主角经验!AN104="","",主角经验!$B104*主角经验!AN104)</f>
        <v>408000</v>
      </c>
      <c r="L103" s="7">
        <f>IF(主角经验!AO104="","",主角经验!$B104*主角经验!AO104)</f>
        <v>135864</v>
      </c>
      <c r="M103" s="7">
        <f>IF(主角经验!AP104="","",主角经验!$B104*主角经验!AP104)</f>
        <v>816000</v>
      </c>
      <c r="N103" s="7">
        <f>IF(主角经验!AQ104="","",主角经验!$B104*主角经验!AQ104)</f>
        <v>489600</v>
      </c>
      <c r="O103" s="7">
        <f>IF(主角经验!AR104="","",主角经验!$B104*主角经验!AR104)</f>
        <v>510000</v>
      </c>
      <c r="P103" s="7">
        <f>IF(主角经验!AS104="","",主角经验!$B104*主角经验!AS104)</f>
        <v>33864</v>
      </c>
      <c r="Q103" s="7">
        <f>IF(主角经验!AT104="","",主角经验!$B104*主角经验!AT104)</f>
        <v>2121600</v>
      </c>
      <c r="R103" s="7">
        <f>IF(主角经验!AU104="","",主角经验!$B104*主角经验!AU104)</f>
        <v>244800</v>
      </c>
      <c r="S103" s="7">
        <f>IF(主角经验!AV104="","",主角经验!$B104*主角经验!AV104)</f>
        <v>272136</v>
      </c>
      <c r="T103" s="7">
        <f>IF(主角经验!AW104="","",主角经验!$B104*主角经验!AW104)</f>
        <v>0</v>
      </c>
      <c r="U103" s="7">
        <f>IF(主角经验!AX104="","",主角经验!$B104*主角经验!AX104)</f>
        <v>204000</v>
      </c>
      <c r="V103" s="7">
        <f>IF(主角经验!AY104="","",主角经验!$B104*主角经验!AY104)</f>
        <v>272136</v>
      </c>
      <c r="W103" s="7">
        <f>IF(主角经验!AZ104="","",主角经验!$B104*主角经验!AZ104)</f>
        <v>102000</v>
      </c>
      <c r="X103" s="7">
        <f>IF(主角经验!BA104="","",主角经验!$B104*主角经验!BA104)</f>
        <v>204000</v>
      </c>
      <c r="Y103" s="7">
        <f>IF(主角经验!BB104="","",主角经验!$B104*主角经验!BB104)</f>
        <v>255000</v>
      </c>
      <c r="Z103" s="7">
        <f>IF(主角经验!BC104="","",主角经验!$B104*主角经验!BC104)</f>
        <v>357000</v>
      </c>
      <c r="AA103" s="7">
        <f>IF(主角经验!BD104="","",主角经验!$B104*主角经验!BD104)</f>
        <v>102000</v>
      </c>
      <c r="AB103" s="7" t="str">
        <f>IF(主角经验!BE104="","",主角经验!$B104*主角经验!BE104)</f>
        <v/>
      </c>
      <c r="AC103" s="7" t="str">
        <f>IF(主角经验!BF104="","",主角经验!$B104*主角经验!BF104)</f>
        <v/>
      </c>
      <c r="AD103" s="7" t="str">
        <f>IF(主角经验!BG104="","",主角经验!$B104*主角经验!BG104)</f>
        <v/>
      </c>
      <c r="AE103" s="7" t="str">
        <f>IF(主角经验!BH104="","",主角经验!$B104*主角经验!BH104)</f>
        <v/>
      </c>
      <c r="AF103" s="7">
        <f>主角经验!BK104</f>
        <v>3476200</v>
      </c>
      <c r="AG103" s="7">
        <f>主角经验!BO104</f>
        <v>453</v>
      </c>
    </row>
    <row r="104" spans="1:33">
      <c r="A104" s="32">
        <v>103</v>
      </c>
      <c r="B104" s="81">
        <f>主角经验!B105</f>
        <v>41200</v>
      </c>
      <c r="C104" s="7">
        <f>IF(主角经验!AF105="","",主角经验!$B105*主角经验!AF105)</f>
        <v>686804.00000000012</v>
      </c>
      <c r="D104" s="7">
        <f>IF(主角经验!AG105="","",主角经验!$B105*主角经验!AG105)</f>
        <v>271920</v>
      </c>
      <c r="E104" s="7">
        <f>IF(主角经验!AH105="","",主角经验!$B105*主角经验!AH105)</f>
        <v>103000</v>
      </c>
      <c r="F104" s="7">
        <f>IF(主角经验!AI105="","",主角经验!$B105*主角经验!AI105)</f>
        <v>618000</v>
      </c>
      <c r="G104" s="7" t="str">
        <f>IF(主角经验!AJ105="","",主角经验!$B105*主角经验!AJ105)</f>
        <v/>
      </c>
      <c r="H104" s="7" t="str">
        <f>IF(主角经验!AK105="","",主角经验!$B105*主角经验!AK105)</f>
        <v/>
      </c>
      <c r="I104" s="7" t="str">
        <f>IF(主角经验!AL105="","",主角经验!$B105*主角经验!AL105)</f>
        <v/>
      </c>
      <c r="J104" s="7" t="str">
        <f>IF(主角经验!AM105="","",主角经验!$B105*主角经验!AM105)</f>
        <v/>
      </c>
      <c r="K104" s="7">
        <f>IF(主角经验!AN105="","",主角经验!$B105*主角经验!AN105)</f>
        <v>412000</v>
      </c>
      <c r="L104" s="7">
        <f>IF(主角经验!AO105="","",主角经验!$B105*主角经验!AO105)</f>
        <v>137196</v>
      </c>
      <c r="M104" s="7">
        <f>IF(主角经验!AP105="","",主角经验!$B105*主角经验!AP105)</f>
        <v>824000</v>
      </c>
      <c r="N104" s="7">
        <f>IF(主角经验!AQ105="","",主角经验!$B105*主角经验!AQ105)</f>
        <v>494400</v>
      </c>
      <c r="O104" s="7">
        <f>IF(主角经验!AR105="","",主角经验!$B105*主角经验!AR105)</f>
        <v>515000</v>
      </c>
      <c r="P104" s="7">
        <f>IF(主角经验!AS105="","",主角经验!$B105*主角经验!AS105)</f>
        <v>34196</v>
      </c>
      <c r="Q104" s="7">
        <f>IF(主角经验!AT105="","",主角经验!$B105*主角经验!AT105)</f>
        <v>2142400</v>
      </c>
      <c r="R104" s="7">
        <f>IF(主角经验!AU105="","",主角经验!$B105*主角经验!AU105)</f>
        <v>247200</v>
      </c>
      <c r="S104" s="7">
        <f>IF(主角经验!AV105="","",主角经验!$B105*主角经验!AV105)</f>
        <v>274804</v>
      </c>
      <c r="T104" s="7">
        <f>IF(主角经验!AW105="","",主角经验!$B105*主角经验!AW105)</f>
        <v>0</v>
      </c>
      <c r="U104" s="7">
        <f>IF(主角经验!AX105="","",主角经验!$B105*主角经验!AX105)</f>
        <v>206000</v>
      </c>
      <c r="V104" s="7">
        <f>IF(主角经验!AY105="","",主角经验!$B105*主角经验!AY105)</f>
        <v>274804</v>
      </c>
      <c r="W104" s="7">
        <f>IF(主角经验!AZ105="","",主角经验!$B105*主角经验!AZ105)</f>
        <v>103000</v>
      </c>
      <c r="X104" s="7">
        <f>IF(主角经验!BA105="","",主角经验!$B105*主角经验!BA105)</f>
        <v>206000</v>
      </c>
      <c r="Y104" s="7">
        <f>IF(主角经验!BB105="","",主角经验!$B105*主角经验!BB105)</f>
        <v>257500</v>
      </c>
      <c r="Z104" s="7">
        <f>IF(主角经验!BC105="","",主角经验!$B105*主角经验!BC105)</f>
        <v>360500</v>
      </c>
      <c r="AA104" s="7">
        <f>IF(主角经验!BD105="","",主角经验!$B105*主角经验!BD105)</f>
        <v>103000</v>
      </c>
      <c r="AB104" s="7" t="str">
        <f>IF(主角经验!BE105="","",主角经验!$B105*主角经验!BE105)</f>
        <v/>
      </c>
      <c r="AC104" s="7" t="str">
        <f>IF(主角经验!BF105="","",主角经验!$B105*主角经验!BF105)</f>
        <v/>
      </c>
      <c r="AD104" s="7" t="str">
        <f>IF(主角经验!BG105="","",主角经验!$B105*主角经验!BG105)</f>
        <v/>
      </c>
      <c r="AE104" s="7" t="str">
        <f>IF(主角经验!BH105="","",主角经验!$B105*主角经验!BH105)</f>
        <v/>
      </c>
      <c r="AF104" s="7">
        <f>主角经验!BK105</f>
        <v>3555600</v>
      </c>
      <c r="AG104" s="7">
        <f>主角经验!BO105</f>
        <v>458</v>
      </c>
    </row>
    <row r="105" spans="1:33">
      <c r="A105" s="32">
        <v>104</v>
      </c>
      <c r="B105" s="81">
        <f>主角经验!B106</f>
        <v>41600</v>
      </c>
      <c r="C105" s="7">
        <f>IF(主角经验!AF106="","",主角经验!$B106*主角经验!AF106)</f>
        <v>693472.00000000012</v>
      </c>
      <c r="D105" s="7">
        <f>IF(主角经验!AG106="","",主角经验!$B106*主角经验!AG106)</f>
        <v>274560</v>
      </c>
      <c r="E105" s="7">
        <f>IF(主角经验!AH106="","",主角经验!$B106*主角经验!AH106)</f>
        <v>104000</v>
      </c>
      <c r="F105" s="7">
        <f>IF(主角经验!AI106="","",主角经验!$B106*主角经验!AI106)</f>
        <v>624000</v>
      </c>
      <c r="G105" s="7" t="str">
        <f>IF(主角经验!AJ106="","",主角经验!$B106*主角经验!AJ106)</f>
        <v/>
      </c>
      <c r="H105" s="7" t="str">
        <f>IF(主角经验!AK106="","",主角经验!$B106*主角经验!AK106)</f>
        <v/>
      </c>
      <c r="I105" s="7" t="str">
        <f>IF(主角经验!AL106="","",主角经验!$B106*主角经验!AL106)</f>
        <v/>
      </c>
      <c r="J105" s="7" t="str">
        <f>IF(主角经验!AM106="","",主角经验!$B106*主角经验!AM106)</f>
        <v/>
      </c>
      <c r="K105" s="7">
        <f>IF(主角经验!AN106="","",主角经验!$B106*主角经验!AN106)</f>
        <v>416000</v>
      </c>
      <c r="L105" s="7">
        <f>IF(主角经验!AO106="","",主角经验!$B106*主角经验!AO106)</f>
        <v>138528</v>
      </c>
      <c r="M105" s="7">
        <f>IF(主角经验!AP106="","",主角经验!$B106*主角经验!AP106)</f>
        <v>832000</v>
      </c>
      <c r="N105" s="7">
        <f>IF(主角经验!AQ106="","",主角经验!$B106*主角经验!AQ106)</f>
        <v>499200</v>
      </c>
      <c r="O105" s="7">
        <f>IF(主角经验!AR106="","",主角经验!$B106*主角经验!AR106)</f>
        <v>520000</v>
      </c>
      <c r="P105" s="7">
        <f>IF(主角经验!AS106="","",主角经验!$B106*主角经验!AS106)</f>
        <v>34528</v>
      </c>
      <c r="Q105" s="7">
        <f>IF(主角经验!AT106="","",主角经验!$B106*主角经验!AT106)</f>
        <v>2163200</v>
      </c>
      <c r="R105" s="7">
        <f>IF(主角经验!AU106="","",主角经验!$B106*主角经验!AU106)</f>
        <v>249600</v>
      </c>
      <c r="S105" s="7">
        <f>IF(主角经验!AV106="","",主角经验!$B106*主角经验!AV106)</f>
        <v>277472</v>
      </c>
      <c r="T105" s="7">
        <f>IF(主角经验!AW106="","",主角经验!$B106*主角经验!AW106)</f>
        <v>0</v>
      </c>
      <c r="U105" s="7">
        <f>IF(主角经验!AX106="","",主角经验!$B106*主角经验!AX106)</f>
        <v>208000</v>
      </c>
      <c r="V105" s="7">
        <f>IF(主角经验!AY106="","",主角经验!$B106*主角经验!AY106)</f>
        <v>277472</v>
      </c>
      <c r="W105" s="7">
        <f>IF(主角经验!AZ106="","",主角经验!$B106*主角经验!AZ106)</f>
        <v>104000</v>
      </c>
      <c r="X105" s="7">
        <f>IF(主角经验!BA106="","",主角经验!$B106*主角经验!BA106)</f>
        <v>208000</v>
      </c>
      <c r="Y105" s="7">
        <f>IF(主角经验!BB106="","",主角经验!$B106*主角经验!BB106)</f>
        <v>260000</v>
      </c>
      <c r="Z105" s="7">
        <f>IF(主角经验!BC106="","",主角经验!$B106*主角经验!BC106)</f>
        <v>364000</v>
      </c>
      <c r="AA105" s="7">
        <f>IF(主角经验!BD106="","",主角经验!$B106*主角经验!BD106)</f>
        <v>104000</v>
      </c>
      <c r="AB105" s="7" t="str">
        <f>IF(主角经验!BE106="","",主角经验!$B106*主角经验!BE106)</f>
        <v/>
      </c>
      <c r="AC105" s="7" t="str">
        <f>IF(主角经验!BF106="","",主角经验!$B106*主角经验!BF106)</f>
        <v/>
      </c>
      <c r="AD105" s="7" t="str">
        <f>IF(主角经验!BG106="","",主角经验!$B106*主角经验!BG106)</f>
        <v/>
      </c>
      <c r="AE105" s="7" t="str">
        <f>IF(主角经验!BH106="","",主角经验!$B106*主角经验!BH106)</f>
        <v/>
      </c>
      <c r="AF105" s="7">
        <f>主角经验!BK106</f>
        <v>3635800</v>
      </c>
      <c r="AG105" s="7">
        <f>主角经验!BO106</f>
        <v>462</v>
      </c>
    </row>
    <row r="106" spans="1:33">
      <c r="A106" s="32">
        <v>105</v>
      </c>
      <c r="B106" s="81">
        <f>主角经验!B107</f>
        <v>42000</v>
      </c>
      <c r="C106" s="7">
        <f>IF(主角经验!AF107="","",主角经验!$B107*主角经验!AF107)</f>
        <v>700140.00000000012</v>
      </c>
      <c r="D106" s="7">
        <f>IF(主角经验!AG107="","",主角经验!$B107*主角经验!AG107)</f>
        <v>277200</v>
      </c>
      <c r="E106" s="7">
        <f>IF(主角经验!AH107="","",主角经验!$B107*主角经验!AH107)</f>
        <v>105000</v>
      </c>
      <c r="F106" s="7">
        <f>IF(主角经验!AI107="","",主角经验!$B107*主角经验!AI107)</f>
        <v>630000</v>
      </c>
      <c r="G106" s="7" t="str">
        <f>IF(主角经验!AJ107="","",主角经验!$B107*主角经验!AJ107)</f>
        <v/>
      </c>
      <c r="H106" s="7" t="str">
        <f>IF(主角经验!AK107="","",主角经验!$B107*主角经验!AK107)</f>
        <v/>
      </c>
      <c r="I106" s="7" t="str">
        <f>IF(主角经验!AL107="","",主角经验!$B107*主角经验!AL107)</f>
        <v/>
      </c>
      <c r="J106" s="7" t="str">
        <f>IF(主角经验!AM107="","",主角经验!$B107*主角经验!AM107)</f>
        <v/>
      </c>
      <c r="K106" s="7">
        <f>IF(主角经验!AN107="","",主角经验!$B107*主角经验!AN107)</f>
        <v>420000</v>
      </c>
      <c r="L106" s="7">
        <f>IF(主角经验!AO107="","",主角经验!$B107*主角经验!AO107)</f>
        <v>139860</v>
      </c>
      <c r="M106" s="7">
        <f>IF(主角经验!AP107="","",主角经验!$B107*主角经验!AP107)</f>
        <v>840000</v>
      </c>
      <c r="N106" s="7">
        <f>IF(主角经验!AQ107="","",主角经验!$B107*主角经验!AQ107)</f>
        <v>504000</v>
      </c>
      <c r="O106" s="7">
        <f>IF(主角经验!AR107="","",主角经验!$B107*主角经验!AR107)</f>
        <v>525000</v>
      </c>
      <c r="P106" s="7">
        <f>IF(主角经验!AS107="","",主角经验!$B107*主角经验!AS107)</f>
        <v>34860</v>
      </c>
      <c r="Q106" s="7">
        <f>IF(主角经验!AT107="","",主角经验!$B107*主角经验!AT107)</f>
        <v>2184000</v>
      </c>
      <c r="R106" s="7">
        <f>IF(主角经验!AU107="","",主角经验!$B107*主角经验!AU107)</f>
        <v>252000</v>
      </c>
      <c r="S106" s="7">
        <f>IF(主角经验!AV107="","",主角经验!$B107*主角经验!AV107)</f>
        <v>280140</v>
      </c>
      <c r="T106" s="7">
        <f>IF(主角经验!AW107="","",主角经验!$B107*主角经验!AW107)</f>
        <v>0</v>
      </c>
      <c r="U106" s="7">
        <f>IF(主角经验!AX107="","",主角经验!$B107*主角经验!AX107)</f>
        <v>210000</v>
      </c>
      <c r="V106" s="7">
        <f>IF(主角经验!AY107="","",主角经验!$B107*主角经验!AY107)</f>
        <v>280140</v>
      </c>
      <c r="W106" s="7">
        <f>IF(主角经验!AZ107="","",主角经验!$B107*主角经验!AZ107)</f>
        <v>105000</v>
      </c>
      <c r="X106" s="7">
        <f>IF(主角经验!BA107="","",主角经验!$B107*主角经验!BA107)</f>
        <v>210000</v>
      </c>
      <c r="Y106" s="7">
        <f>IF(主角经验!BB107="","",主角经验!$B107*主角经验!BB107)</f>
        <v>262500</v>
      </c>
      <c r="Z106" s="7">
        <f>IF(主角经验!BC107="","",主角经验!$B107*主角经验!BC107)</f>
        <v>367500</v>
      </c>
      <c r="AA106" s="7">
        <f>IF(主角经验!BD107="","",主角经验!$B107*主角经验!BD107)</f>
        <v>105000</v>
      </c>
      <c r="AB106" s="7" t="str">
        <f>IF(主角经验!BE107="","",主角经验!$B107*主角经验!BE107)</f>
        <v/>
      </c>
      <c r="AC106" s="7" t="str">
        <f>IF(主角经验!BF107="","",主角经验!$B107*主角经验!BF107)</f>
        <v/>
      </c>
      <c r="AD106" s="7" t="str">
        <f>IF(主角经验!BG107="","",主角经验!$B107*主角经验!BG107)</f>
        <v/>
      </c>
      <c r="AE106" s="7" t="str">
        <f>IF(主角经验!BH107="","",主角经验!$B107*主角经验!BH107)</f>
        <v/>
      </c>
      <c r="AF106" s="7">
        <f>主角经验!BK107</f>
        <v>3717000</v>
      </c>
      <c r="AG106" s="7">
        <f>主角经验!BO107</f>
        <v>467</v>
      </c>
    </row>
    <row r="107" spans="1:33">
      <c r="A107" s="32">
        <v>106</v>
      </c>
      <c r="B107" s="81">
        <f>主角经验!B108</f>
        <v>42400</v>
      </c>
      <c r="C107" s="7">
        <f>IF(主角经验!AF108="","",主角经验!$B108*主角经验!AF108)</f>
        <v>706808.00000000012</v>
      </c>
      <c r="D107" s="7">
        <f>IF(主角经验!AG108="","",主角经验!$B108*主角经验!AG108)</f>
        <v>279840</v>
      </c>
      <c r="E107" s="7">
        <f>IF(主角经验!AH108="","",主角经验!$B108*主角经验!AH108)</f>
        <v>106000</v>
      </c>
      <c r="F107" s="7">
        <f>IF(主角经验!AI108="","",主角经验!$B108*主角经验!AI108)</f>
        <v>636000</v>
      </c>
      <c r="G107" s="7" t="str">
        <f>IF(主角经验!AJ108="","",主角经验!$B108*主角经验!AJ108)</f>
        <v/>
      </c>
      <c r="H107" s="7" t="str">
        <f>IF(主角经验!AK108="","",主角经验!$B108*主角经验!AK108)</f>
        <v/>
      </c>
      <c r="I107" s="7" t="str">
        <f>IF(主角经验!AL108="","",主角经验!$B108*主角经验!AL108)</f>
        <v/>
      </c>
      <c r="J107" s="7" t="str">
        <f>IF(主角经验!AM108="","",主角经验!$B108*主角经验!AM108)</f>
        <v/>
      </c>
      <c r="K107" s="7">
        <f>IF(主角经验!AN108="","",主角经验!$B108*主角经验!AN108)</f>
        <v>424000</v>
      </c>
      <c r="L107" s="7">
        <f>IF(主角经验!AO108="","",主角经验!$B108*主角经验!AO108)</f>
        <v>141192</v>
      </c>
      <c r="M107" s="7">
        <f>IF(主角经验!AP108="","",主角经验!$B108*主角经验!AP108)</f>
        <v>848000</v>
      </c>
      <c r="N107" s="7">
        <f>IF(主角经验!AQ108="","",主角经验!$B108*主角经验!AQ108)</f>
        <v>508800</v>
      </c>
      <c r="O107" s="7">
        <f>IF(主角经验!AR108="","",主角经验!$B108*主角经验!AR108)</f>
        <v>530000</v>
      </c>
      <c r="P107" s="7">
        <f>IF(主角经验!AS108="","",主角经验!$B108*主角经验!AS108)</f>
        <v>35192</v>
      </c>
      <c r="Q107" s="7">
        <f>IF(主角经验!AT108="","",主角经验!$B108*主角经验!AT108)</f>
        <v>2204800</v>
      </c>
      <c r="R107" s="7">
        <f>IF(主角经验!AU108="","",主角经验!$B108*主角经验!AU108)</f>
        <v>254400</v>
      </c>
      <c r="S107" s="7">
        <f>IF(主角经验!AV108="","",主角经验!$B108*主角经验!AV108)</f>
        <v>282808</v>
      </c>
      <c r="T107" s="7">
        <f>IF(主角经验!AW108="","",主角经验!$B108*主角经验!AW108)</f>
        <v>0</v>
      </c>
      <c r="U107" s="7">
        <f>IF(主角经验!AX108="","",主角经验!$B108*主角经验!AX108)</f>
        <v>212000</v>
      </c>
      <c r="V107" s="7">
        <f>IF(主角经验!AY108="","",主角经验!$B108*主角经验!AY108)</f>
        <v>282808</v>
      </c>
      <c r="W107" s="7">
        <f>IF(主角经验!AZ108="","",主角经验!$B108*主角经验!AZ108)</f>
        <v>106000</v>
      </c>
      <c r="X107" s="7">
        <f>IF(主角经验!BA108="","",主角经验!$B108*主角经验!BA108)</f>
        <v>212000</v>
      </c>
      <c r="Y107" s="7">
        <f>IF(主角经验!BB108="","",主角经验!$B108*主角经验!BB108)</f>
        <v>265000</v>
      </c>
      <c r="Z107" s="7">
        <f>IF(主角经验!BC108="","",主角经验!$B108*主角经验!BC108)</f>
        <v>371000</v>
      </c>
      <c r="AA107" s="7">
        <f>IF(主角经验!BD108="","",主角经验!$B108*主角经验!BD108)</f>
        <v>106000</v>
      </c>
      <c r="AB107" s="7" t="str">
        <f>IF(主角经验!BE108="","",主角经验!$B108*主角经验!BE108)</f>
        <v/>
      </c>
      <c r="AC107" s="7" t="str">
        <f>IF(主角经验!BF108="","",主角经验!$B108*主角经验!BF108)</f>
        <v/>
      </c>
      <c r="AD107" s="7" t="str">
        <f>IF(主角经验!BG108="","",主角经验!$B108*主角经验!BG108)</f>
        <v/>
      </c>
      <c r="AE107" s="7" t="str">
        <f>IF(主角经验!BH108="","",主角经验!$B108*主角经验!BH108)</f>
        <v/>
      </c>
      <c r="AF107" s="7">
        <f>主角经验!BK108</f>
        <v>3799000</v>
      </c>
      <c r="AG107" s="7">
        <f>主角经验!BO108</f>
        <v>471</v>
      </c>
    </row>
    <row r="108" spans="1:33">
      <c r="A108" s="32">
        <v>107</v>
      </c>
      <c r="B108" s="81">
        <f>主角经验!B109</f>
        <v>42800</v>
      </c>
      <c r="C108" s="7">
        <f>IF(主角经验!AF109="","",主角经验!$B109*主角经验!AF109)</f>
        <v>713476.00000000012</v>
      </c>
      <c r="D108" s="7">
        <f>IF(主角经验!AG109="","",主角经验!$B109*主角经验!AG109)</f>
        <v>282480</v>
      </c>
      <c r="E108" s="7">
        <f>IF(主角经验!AH109="","",主角经验!$B109*主角经验!AH109)</f>
        <v>107000</v>
      </c>
      <c r="F108" s="7">
        <f>IF(主角经验!AI109="","",主角经验!$B109*主角经验!AI109)</f>
        <v>642000</v>
      </c>
      <c r="G108" s="7" t="str">
        <f>IF(主角经验!AJ109="","",主角经验!$B109*主角经验!AJ109)</f>
        <v/>
      </c>
      <c r="H108" s="7" t="str">
        <f>IF(主角经验!AK109="","",主角经验!$B109*主角经验!AK109)</f>
        <v/>
      </c>
      <c r="I108" s="7" t="str">
        <f>IF(主角经验!AL109="","",主角经验!$B109*主角经验!AL109)</f>
        <v/>
      </c>
      <c r="J108" s="7" t="str">
        <f>IF(主角经验!AM109="","",主角经验!$B109*主角经验!AM109)</f>
        <v/>
      </c>
      <c r="K108" s="7">
        <f>IF(主角经验!AN109="","",主角经验!$B109*主角经验!AN109)</f>
        <v>428000</v>
      </c>
      <c r="L108" s="7">
        <f>IF(主角经验!AO109="","",主角经验!$B109*主角经验!AO109)</f>
        <v>142524</v>
      </c>
      <c r="M108" s="7">
        <f>IF(主角经验!AP109="","",主角经验!$B109*主角经验!AP109)</f>
        <v>856000</v>
      </c>
      <c r="N108" s="7">
        <f>IF(主角经验!AQ109="","",主角经验!$B109*主角经验!AQ109)</f>
        <v>513600</v>
      </c>
      <c r="O108" s="7">
        <f>IF(主角经验!AR109="","",主角经验!$B109*主角经验!AR109)</f>
        <v>535000</v>
      </c>
      <c r="P108" s="7">
        <f>IF(主角经验!AS109="","",主角经验!$B109*主角经验!AS109)</f>
        <v>35524</v>
      </c>
      <c r="Q108" s="7">
        <f>IF(主角经验!AT109="","",主角经验!$B109*主角经验!AT109)</f>
        <v>2225600</v>
      </c>
      <c r="R108" s="7">
        <f>IF(主角经验!AU109="","",主角经验!$B109*主角经验!AU109)</f>
        <v>256800</v>
      </c>
      <c r="S108" s="7">
        <f>IF(主角经验!AV109="","",主角经验!$B109*主角经验!AV109)</f>
        <v>285476</v>
      </c>
      <c r="T108" s="7">
        <f>IF(主角经验!AW109="","",主角经验!$B109*主角经验!AW109)</f>
        <v>0</v>
      </c>
      <c r="U108" s="7">
        <f>IF(主角经验!AX109="","",主角经验!$B109*主角经验!AX109)</f>
        <v>214000</v>
      </c>
      <c r="V108" s="7">
        <f>IF(主角经验!AY109="","",主角经验!$B109*主角经验!AY109)</f>
        <v>285476</v>
      </c>
      <c r="W108" s="7">
        <f>IF(主角经验!AZ109="","",主角经验!$B109*主角经验!AZ109)</f>
        <v>107000</v>
      </c>
      <c r="X108" s="7">
        <f>IF(主角经验!BA109="","",主角经验!$B109*主角经验!BA109)</f>
        <v>214000</v>
      </c>
      <c r="Y108" s="7">
        <f>IF(主角经验!BB109="","",主角经验!$B109*主角经验!BB109)</f>
        <v>267500</v>
      </c>
      <c r="Z108" s="7">
        <f>IF(主角经验!BC109="","",主角经验!$B109*主角经验!BC109)</f>
        <v>374500</v>
      </c>
      <c r="AA108" s="7">
        <f>IF(主角经验!BD109="","",主角经验!$B109*主角经验!BD109)</f>
        <v>107000</v>
      </c>
      <c r="AB108" s="7" t="str">
        <f>IF(主角经验!BE109="","",主角经验!$B109*主角经验!BE109)</f>
        <v/>
      </c>
      <c r="AC108" s="7" t="str">
        <f>IF(主角经验!BF109="","",主角经验!$B109*主角经验!BF109)</f>
        <v/>
      </c>
      <c r="AD108" s="7" t="str">
        <f>IF(主角经验!BG109="","",主角经验!$B109*主角经验!BG109)</f>
        <v/>
      </c>
      <c r="AE108" s="7" t="str">
        <f>IF(主角经验!BH109="","",主角经验!$B109*主角经验!BH109)</f>
        <v/>
      </c>
      <c r="AF108" s="7">
        <f>主角经验!BK109</f>
        <v>3882000</v>
      </c>
      <c r="AG108" s="7">
        <f>主角经验!BO109</f>
        <v>476</v>
      </c>
    </row>
    <row r="109" spans="1:33">
      <c r="A109" s="32">
        <v>108</v>
      </c>
      <c r="B109" s="81">
        <f>主角经验!B110</f>
        <v>43200</v>
      </c>
      <c r="C109" s="7">
        <f>IF(主角经验!AF110="","",主角经验!$B110*主角经验!AF110)</f>
        <v>720144.00000000012</v>
      </c>
      <c r="D109" s="7">
        <f>IF(主角经验!AG110="","",主角经验!$B110*主角经验!AG110)</f>
        <v>285120</v>
      </c>
      <c r="E109" s="7">
        <f>IF(主角经验!AH110="","",主角经验!$B110*主角经验!AH110)</f>
        <v>108000</v>
      </c>
      <c r="F109" s="7">
        <f>IF(主角经验!AI110="","",主角经验!$B110*主角经验!AI110)</f>
        <v>648000</v>
      </c>
      <c r="G109" s="7" t="str">
        <f>IF(主角经验!AJ110="","",主角经验!$B110*主角经验!AJ110)</f>
        <v/>
      </c>
      <c r="H109" s="7" t="str">
        <f>IF(主角经验!AK110="","",主角经验!$B110*主角经验!AK110)</f>
        <v/>
      </c>
      <c r="I109" s="7" t="str">
        <f>IF(主角经验!AL110="","",主角经验!$B110*主角经验!AL110)</f>
        <v/>
      </c>
      <c r="J109" s="7" t="str">
        <f>IF(主角经验!AM110="","",主角经验!$B110*主角经验!AM110)</f>
        <v/>
      </c>
      <c r="K109" s="7">
        <f>IF(主角经验!AN110="","",主角经验!$B110*主角经验!AN110)</f>
        <v>432000</v>
      </c>
      <c r="L109" s="7">
        <f>IF(主角经验!AO110="","",主角经验!$B110*主角经验!AO110)</f>
        <v>143856</v>
      </c>
      <c r="M109" s="7">
        <f>IF(主角经验!AP110="","",主角经验!$B110*主角经验!AP110)</f>
        <v>864000</v>
      </c>
      <c r="N109" s="7">
        <f>IF(主角经验!AQ110="","",主角经验!$B110*主角经验!AQ110)</f>
        <v>518400</v>
      </c>
      <c r="O109" s="7">
        <f>IF(主角经验!AR110="","",主角经验!$B110*主角经验!AR110)</f>
        <v>540000</v>
      </c>
      <c r="P109" s="7">
        <f>IF(主角经验!AS110="","",主角经验!$B110*主角经验!AS110)</f>
        <v>35856</v>
      </c>
      <c r="Q109" s="7">
        <f>IF(主角经验!AT110="","",主角经验!$B110*主角经验!AT110)</f>
        <v>2246400</v>
      </c>
      <c r="R109" s="7">
        <f>IF(主角经验!AU110="","",主角经验!$B110*主角经验!AU110)</f>
        <v>259200</v>
      </c>
      <c r="S109" s="7">
        <f>IF(主角经验!AV110="","",主角经验!$B110*主角经验!AV110)</f>
        <v>288144</v>
      </c>
      <c r="T109" s="7">
        <f>IF(主角经验!AW110="","",主角经验!$B110*主角经验!AW110)</f>
        <v>0</v>
      </c>
      <c r="U109" s="7">
        <f>IF(主角经验!AX110="","",主角经验!$B110*主角经验!AX110)</f>
        <v>216000</v>
      </c>
      <c r="V109" s="7">
        <f>IF(主角经验!AY110="","",主角经验!$B110*主角经验!AY110)</f>
        <v>288144</v>
      </c>
      <c r="W109" s="7">
        <f>IF(主角经验!AZ110="","",主角经验!$B110*主角经验!AZ110)</f>
        <v>108000</v>
      </c>
      <c r="X109" s="7">
        <f>IF(主角经验!BA110="","",主角经验!$B110*主角经验!BA110)</f>
        <v>216000</v>
      </c>
      <c r="Y109" s="7">
        <f>IF(主角经验!BB110="","",主角经验!$B110*主角经验!BB110)</f>
        <v>270000</v>
      </c>
      <c r="Z109" s="7">
        <f>IF(主角经验!BC110="","",主角经验!$B110*主角经验!BC110)</f>
        <v>378000</v>
      </c>
      <c r="AA109" s="7">
        <f>IF(主角经验!BD110="","",主角经验!$B110*主角经验!BD110)</f>
        <v>108000</v>
      </c>
      <c r="AB109" s="7" t="str">
        <f>IF(主角经验!BE110="","",主角经验!$B110*主角经验!BE110)</f>
        <v/>
      </c>
      <c r="AC109" s="7" t="str">
        <f>IF(主角经验!BF110="","",主角经验!$B110*主角经验!BF110)</f>
        <v/>
      </c>
      <c r="AD109" s="7" t="str">
        <f>IF(主角经验!BG110="","",主角经验!$B110*主角经验!BG110)</f>
        <v/>
      </c>
      <c r="AE109" s="7" t="str">
        <f>IF(主角经验!BH110="","",主角经验!$B110*主角经验!BH110)</f>
        <v/>
      </c>
      <c r="AF109" s="7">
        <f>主角经验!BK110</f>
        <v>3965800</v>
      </c>
      <c r="AG109" s="7">
        <f>主角经验!BO110</f>
        <v>480</v>
      </c>
    </row>
    <row r="110" spans="1:33">
      <c r="A110" s="32">
        <v>109</v>
      </c>
      <c r="B110" s="81">
        <f>主角经验!B111</f>
        <v>43600</v>
      </c>
      <c r="C110" s="7">
        <f>IF(主角经验!AF111="","",主角经验!$B111*主角经验!AF111)</f>
        <v>726812.00000000012</v>
      </c>
      <c r="D110" s="7">
        <f>IF(主角经验!AG111="","",主角经验!$B111*主角经验!AG111)</f>
        <v>287760</v>
      </c>
      <c r="E110" s="7">
        <f>IF(主角经验!AH111="","",主角经验!$B111*主角经验!AH111)</f>
        <v>109000</v>
      </c>
      <c r="F110" s="7">
        <f>IF(主角经验!AI111="","",主角经验!$B111*主角经验!AI111)</f>
        <v>654000</v>
      </c>
      <c r="G110" s="7" t="str">
        <f>IF(主角经验!AJ111="","",主角经验!$B111*主角经验!AJ111)</f>
        <v/>
      </c>
      <c r="H110" s="7" t="str">
        <f>IF(主角经验!AK111="","",主角经验!$B111*主角经验!AK111)</f>
        <v/>
      </c>
      <c r="I110" s="7" t="str">
        <f>IF(主角经验!AL111="","",主角经验!$B111*主角经验!AL111)</f>
        <v/>
      </c>
      <c r="J110" s="7" t="str">
        <f>IF(主角经验!AM111="","",主角经验!$B111*主角经验!AM111)</f>
        <v/>
      </c>
      <c r="K110" s="7">
        <f>IF(主角经验!AN111="","",主角经验!$B111*主角经验!AN111)</f>
        <v>436000</v>
      </c>
      <c r="L110" s="7">
        <f>IF(主角经验!AO111="","",主角经验!$B111*主角经验!AO111)</f>
        <v>145188</v>
      </c>
      <c r="M110" s="7">
        <f>IF(主角经验!AP111="","",主角经验!$B111*主角经验!AP111)</f>
        <v>872000</v>
      </c>
      <c r="N110" s="7">
        <f>IF(主角经验!AQ111="","",主角经验!$B111*主角经验!AQ111)</f>
        <v>523200</v>
      </c>
      <c r="O110" s="7">
        <f>IF(主角经验!AR111="","",主角经验!$B111*主角经验!AR111)</f>
        <v>545000</v>
      </c>
      <c r="P110" s="7">
        <f>IF(主角经验!AS111="","",主角经验!$B111*主角经验!AS111)</f>
        <v>36188</v>
      </c>
      <c r="Q110" s="7">
        <f>IF(主角经验!AT111="","",主角经验!$B111*主角经验!AT111)</f>
        <v>2267200</v>
      </c>
      <c r="R110" s="7">
        <f>IF(主角经验!AU111="","",主角经验!$B111*主角经验!AU111)</f>
        <v>261600</v>
      </c>
      <c r="S110" s="7">
        <f>IF(主角经验!AV111="","",主角经验!$B111*主角经验!AV111)</f>
        <v>290812</v>
      </c>
      <c r="T110" s="7">
        <f>IF(主角经验!AW111="","",主角经验!$B111*主角经验!AW111)</f>
        <v>0</v>
      </c>
      <c r="U110" s="7">
        <f>IF(主角经验!AX111="","",主角经验!$B111*主角经验!AX111)</f>
        <v>218000</v>
      </c>
      <c r="V110" s="7">
        <f>IF(主角经验!AY111="","",主角经验!$B111*主角经验!AY111)</f>
        <v>290812</v>
      </c>
      <c r="W110" s="7">
        <f>IF(主角经验!AZ111="","",主角经验!$B111*主角经验!AZ111)</f>
        <v>109000</v>
      </c>
      <c r="X110" s="7">
        <f>IF(主角经验!BA111="","",主角经验!$B111*主角经验!BA111)</f>
        <v>218000</v>
      </c>
      <c r="Y110" s="7">
        <f>IF(主角经验!BB111="","",主角经验!$B111*主角经验!BB111)</f>
        <v>272500</v>
      </c>
      <c r="Z110" s="7">
        <f>IF(主角经验!BC111="","",主角经验!$B111*主角经验!BC111)</f>
        <v>381500</v>
      </c>
      <c r="AA110" s="7">
        <f>IF(主角经验!BD111="","",主角经验!$B111*主角经验!BD111)</f>
        <v>109000</v>
      </c>
      <c r="AB110" s="7" t="str">
        <f>IF(主角经验!BE111="","",主角经验!$B111*主角经验!BE111)</f>
        <v/>
      </c>
      <c r="AC110" s="7" t="str">
        <f>IF(主角经验!BF111="","",主角经验!$B111*主角经验!BF111)</f>
        <v/>
      </c>
      <c r="AD110" s="7" t="str">
        <f>IF(主角经验!BG111="","",主角经验!$B111*主角经验!BG111)</f>
        <v/>
      </c>
      <c r="AE110" s="7" t="str">
        <f>IF(主角经验!BH111="","",主角经验!$B111*主角经验!BH111)</f>
        <v/>
      </c>
      <c r="AF110" s="7">
        <f>主角经验!BK111</f>
        <v>4050400</v>
      </c>
      <c r="AG110" s="7">
        <f>主角经验!BO111</f>
        <v>484</v>
      </c>
    </row>
    <row r="111" spans="1:33">
      <c r="A111" s="32">
        <v>110</v>
      </c>
      <c r="B111" s="81">
        <f>主角经验!B112</f>
        <v>44000</v>
      </c>
      <c r="C111" s="7">
        <f>IF(主角经验!AF112="","",主角经验!$B112*主角经验!AF112)</f>
        <v>733480.00000000012</v>
      </c>
      <c r="D111" s="7">
        <f>IF(主角经验!AG112="","",主角经验!$B112*主角经验!AG112)</f>
        <v>290400</v>
      </c>
      <c r="E111" s="7">
        <f>IF(主角经验!AH112="","",主角经验!$B112*主角经验!AH112)</f>
        <v>110000</v>
      </c>
      <c r="F111" s="7">
        <f>IF(主角经验!AI112="","",主角经验!$B112*主角经验!AI112)</f>
        <v>660000</v>
      </c>
      <c r="G111" s="7" t="str">
        <f>IF(主角经验!AJ112="","",主角经验!$B112*主角经验!AJ112)</f>
        <v/>
      </c>
      <c r="H111" s="7" t="str">
        <f>IF(主角经验!AK112="","",主角经验!$B112*主角经验!AK112)</f>
        <v/>
      </c>
      <c r="I111" s="7" t="str">
        <f>IF(主角经验!AL112="","",主角经验!$B112*主角经验!AL112)</f>
        <v/>
      </c>
      <c r="J111" s="7" t="str">
        <f>IF(主角经验!AM112="","",主角经验!$B112*主角经验!AM112)</f>
        <v/>
      </c>
      <c r="K111" s="7">
        <f>IF(主角经验!AN112="","",主角经验!$B112*主角经验!AN112)</f>
        <v>440000</v>
      </c>
      <c r="L111" s="7">
        <f>IF(主角经验!AO112="","",主角经验!$B112*主角经验!AO112)</f>
        <v>146520</v>
      </c>
      <c r="M111" s="7">
        <f>IF(主角经验!AP112="","",主角经验!$B112*主角经验!AP112)</f>
        <v>880000</v>
      </c>
      <c r="N111" s="7">
        <f>IF(主角经验!AQ112="","",主角经验!$B112*主角经验!AQ112)</f>
        <v>528000</v>
      </c>
      <c r="O111" s="7">
        <f>IF(主角经验!AR112="","",主角经验!$B112*主角经验!AR112)</f>
        <v>550000</v>
      </c>
      <c r="P111" s="7">
        <f>IF(主角经验!AS112="","",主角经验!$B112*主角经验!AS112)</f>
        <v>36520</v>
      </c>
      <c r="Q111" s="7">
        <f>IF(主角经验!AT112="","",主角经验!$B112*主角经验!AT112)</f>
        <v>2288000</v>
      </c>
      <c r="R111" s="7">
        <f>IF(主角经验!AU112="","",主角经验!$B112*主角经验!AU112)</f>
        <v>264000</v>
      </c>
      <c r="S111" s="7">
        <f>IF(主角经验!AV112="","",主角经验!$B112*主角经验!AV112)</f>
        <v>293480</v>
      </c>
      <c r="T111" s="7">
        <f>IF(主角经验!AW112="","",主角经验!$B112*主角经验!AW112)</f>
        <v>0</v>
      </c>
      <c r="U111" s="7">
        <f>IF(主角经验!AX112="","",主角经验!$B112*主角经验!AX112)</f>
        <v>220000</v>
      </c>
      <c r="V111" s="7">
        <f>IF(主角经验!AY112="","",主角经验!$B112*主角经验!AY112)</f>
        <v>293480</v>
      </c>
      <c r="W111" s="7">
        <f>IF(主角经验!AZ112="","",主角经验!$B112*主角经验!AZ112)</f>
        <v>110000</v>
      </c>
      <c r="X111" s="7">
        <f>IF(主角经验!BA112="","",主角经验!$B112*主角经验!BA112)</f>
        <v>220000</v>
      </c>
      <c r="Y111" s="7">
        <f>IF(主角经验!BB112="","",主角经验!$B112*主角经验!BB112)</f>
        <v>275000</v>
      </c>
      <c r="Z111" s="7">
        <f>IF(主角经验!BC112="","",主角经验!$B112*主角经验!BC112)</f>
        <v>385000</v>
      </c>
      <c r="AA111" s="7">
        <f>IF(主角经验!BD112="","",主角经验!$B112*主角经验!BD112)</f>
        <v>110000</v>
      </c>
      <c r="AB111" s="7" t="str">
        <f>IF(主角经验!BE112="","",主角经验!$B112*主角经验!BE112)</f>
        <v/>
      </c>
      <c r="AC111" s="7" t="str">
        <f>IF(主角经验!BF112="","",主角经验!$B112*主角经验!BF112)</f>
        <v/>
      </c>
      <c r="AD111" s="7" t="str">
        <f>IF(主角经验!BG112="","",主角经验!$B112*主角经验!BG112)</f>
        <v/>
      </c>
      <c r="AE111" s="7" t="str">
        <f>IF(主角经验!BH112="","",主角经验!$B112*主角经验!BH112)</f>
        <v/>
      </c>
      <c r="AF111" s="7">
        <f>主角经验!BK112</f>
        <v>4136000</v>
      </c>
      <c r="AG111" s="7">
        <f>主角经验!BO112</f>
        <v>489</v>
      </c>
    </row>
    <row r="112" spans="1:33">
      <c r="A112" s="32">
        <v>111</v>
      </c>
      <c r="B112" s="81">
        <f>主角经验!B113</f>
        <v>44400</v>
      </c>
      <c r="C112" s="7">
        <f>IF(主角经验!AF113="","",主角经验!$B113*主角经验!AF113)</f>
        <v>740148.00000000012</v>
      </c>
      <c r="D112" s="7">
        <f>IF(主角经验!AG113="","",主角经验!$B113*主角经验!AG113)</f>
        <v>293040</v>
      </c>
      <c r="E112" s="7">
        <f>IF(主角经验!AH113="","",主角经验!$B113*主角经验!AH113)</f>
        <v>111000</v>
      </c>
      <c r="F112" s="7">
        <f>IF(主角经验!AI113="","",主角经验!$B113*主角经验!AI113)</f>
        <v>666000</v>
      </c>
      <c r="G112" s="7" t="str">
        <f>IF(主角经验!AJ113="","",主角经验!$B113*主角经验!AJ113)</f>
        <v/>
      </c>
      <c r="H112" s="7" t="str">
        <f>IF(主角经验!AK113="","",主角经验!$B113*主角经验!AK113)</f>
        <v/>
      </c>
      <c r="I112" s="7" t="str">
        <f>IF(主角经验!AL113="","",主角经验!$B113*主角经验!AL113)</f>
        <v/>
      </c>
      <c r="J112" s="7" t="str">
        <f>IF(主角经验!AM113="","",主角经验!$B113*主角经验!AM113)</f>
        <v/>
      </c>
      <c r="K112" s="7">
        <f>IF(主角经验!AN113="","",主角经验!$B113*主角经验!AN113)</f>
        <v>444000</v>
      </c>
      <c r="L112" s="7">
        <f>IF(主角经验!AO113="","",主角经验!$B113*主角经验!AO113)</f>
        <v>147852</v>
      </c>
      <c r="M112" s="7">
        <f>IF(主角经验!AP113="","",主角经验!$B113*主角经验!AP113)</f>
        <v>888000</v>
      </c>
      <c r="N112" s="7">
        <f>IF(主角经验!AQ113="","",主角经验!$B113*主角经验!AQ113)</f>
        <v>532800</v>
      </c>
      <c r="O112" s="7">
        <f>IF(主角经验!AR113="","",主角经验!$B113*主角经验!AR113)</f>
        <v>555000</v>
      </c>
      <c r="P112" s="7">
        <f>IF(主角经验!AS113="","",主角经验!$B113*主角经验!AS113)</f>
        <v>36852</v>
      </c>
      <c r="Q112" s="7">
        <f>IF(主角经验!AT113="","",主角经验!$B113*主角经验!AT113)</f>
        <v>2308800</v>
      </c>
      <c r="R112" s="7">
        <f>IF(主角经验!AU113="","",主角经验!$B113*主角经验!AU113)</f>
        <v>266400</v>
      </c>
      <c r="S112" s="7">
        <f>IF(主角经验!AV113="","",主角经验!$B113*主角经验!AV113)</f>
        <v>296148</v>
      </c>
      <c r="T112" s="7">
        <f>IF(主角经验!AW113="","",主角经验!$B113*主角经验!AW113)</f>
        <v>0</v>
      </c>
      <c r="U112" s="7">
        <f>IF(主角经验!AX113="","",主角经验!$B113*主角经验!AX113)</f>
        <v>222000</v>
      </c>
      <c r="V112" s="7">
        <f>IF(主角经验!AY113="","",主角经验!$B113*主角经验!AY113)</f>
        <v>296148</v>
      </c>
      <c r="W112" s="7">
        <f>IF(主角经验!AZ113="","",主角经验!$B113*主角经验!AZ113)</f>
        <v>111000</v>
      </c>
      <c r="X112" s="7">
        <f>IF(主角经验!BA113="","",主角经验!$B113*主角经验!BA113)</f>
        <v>222000</v>
      </c>
      <c r="Y112" s="7">
        <f>IF(主角经验!BB113="","",主角经验!$B113*主角经验!BB113)</f>
        <v>277500</v>
      </c>
      <c r="Z112" s="7">
        <f>IF(主角经验!BC113="","",主角经验!$B113*主角经验!BC113)</f>
        <v>388500</v>
      </c>
      <c r="AA112" s="7">
        <f>IF(主角经验!BD113="","",主角经验!$B113*主角经验!BD113)</f>
        <v>111000</v>
      </c>
      <c r="AB112" s="7" t="str">
        <f>IF(主角经验!BE113="","",主角经验!$B113*主角经验!BE113)</f>
        <v/>
      </c>
      <c r="AC112" s="7" t="str">
        <f>IF(主角经验!BF113="","",主角经验!$B113*主角经验!BF113)</f>
        <v/>
      </c>
      <c r="AD112" s="7" t="str">
        <f>IF(主角经验!BG113="","",主角经验!$B113*主角经验!BG113)</f>
        <v/>
      </c>
      <c r="AE112" s="7" t="str">
        <f>IF(主角经验!BH113="","",主角经验!$B113*主角经验!BH113)</f>
        <v/>
      </c>
      <c r="AF112" s="7">
        <f>主角经验!BK113</f>
        <v>4222400</v>
      </c>
      <c r="AG112" s="7">
        <f>主角经验!BO113</f>
        <v>493</v>
      </c>
    </row>
    <row r="113" spans="1:33">
      <c r="A113" s="32">
        <v>112</v>
      </c>
      <c r="B113" s="81">
        <f>主角经验!B114</f>
        <v>44800</v>
      </c>
      <c r="C113" s="7">
        <f>IF(主角经验!AF114="","",主角经验!$B114*主角经验!AF114)</f>
        <v>746816.00000000012</v>
      </c>
      <c r="D113" s="7">
        <f>IF(主角经验!AG114="","",主角经验!$B114*主角经验!AG114)</f>
        <v>295680</v>
      </c>
      <c r="E113" s="7">
        <f>IF(主角经验!AH114="","",主角经验!$B114*主角经验!AH114)</f>
        <v>112000</v>
      </c>
      <c r="F113" s="7">
        <f>IF(主角经验!AI114="","",主角经验!$B114*主角经验!AI114)</f>
        <v>672000</v>
      </c>
      <c r="G113" s="7" t="str">
        <f>IF(主角经验!AJ114="","",主角经验!$B114*主角经验!AJ114)</f>
        <v/>
      </c>
      <c r="H113" s="7" t="str">
        <f>IF(主角经验!AK114="","",主角经验!$B114*主角经验!AK114)</f>
        <v/>
      </c>
      <c r="I113" s="7" t="str">
        <f>IF(主角经验!AL114="","",主角经验!$B114*主角经验!AL114)</f>
        <v/>
      </c>
      <c r="J113" s="7" t="str">
        <f>IF(主角经验!AM114="","",主角经验!$B114*主角经验!AM114)</f>
        <v/>
      </c>
      <c r="K113" s="7">
        <f>IF(主角经验!AN114="","",主角经验!$B114*主角经验!AN114)</f>
        <v>448000</v>
      </c>
      <c r="L113" s="7">
        <f>IF(主角经验!AO114="","",主角经验!$B114*主角经验!AO114)</f>
        <v>149184</v>
      </c>
      <c r="M113" s="7">
        <f>IF(主角经验!AP114="","",主角经验!$B114*主角经验!AP114)</f>
        <v>896000</v>
      </c>
      <c r="N113" s="7">
        <f>IF(主角经验!AQ114="","",主角经验!$B114*主角经验!AQ114)</f>
        <v>537600</v>
      </c>
      <c r="O113" s="7">
        <f>IF(主角经验!AR114="","",主角经验!$B114*主角经验!AR114)</f>
        <v>560000</v>
      </c>
      <c r="P113" s="7">
        <f>IF(主角经验!AS114="","",主角经验!$B114*主角经验!AS114)</f>
        <v>37184</v>
      </c>
      <c r="Q113" s="7">
        <f>IF(主角经验!AT114="","",主角经验!$B114*主角经验!AT114)</f>
        <v>2329600</v>
      </c>
      <c r="R113" s="7">
        <f>IF(主角经验!AU114="","",主角经验!$B114*主角经验!AU114)</f>
        <v>268800</v>
      </c>
      <c r="S113" s="7">
        <f>IF(主角经验!AV114="","",主角经验!$B114*主角经验!AV114)</f>
        <v>298816</v>
      </c>
      <c r="T113" s="7">
        <f>IF(主角经验!AW114="","",主角经验!$B114*主角经验!AW114)</f>
        <v>0</v>
      </c>
      <c r="U113" s="7">
        <f>IF(主角经验!AX114="","",主角经验!$B114*主角经验!AX114)</f>
        <v>224000</v>
      </c>
      <c r="V113" s="7">
        <f>IF(主角经验!AY114="","",主角经验!$B114*主角经验!AY114)</f>
        <v>298816</v>
      </c>
      <c r="W113" s="7">
        <f>IF(主角经验!AZ114="","",主角经验!$B114*主角经验!AZ114)</f>
        <v>112000</v>
      </c>
      <c r="X113" s="7">
        <f>IF(主角经验!BA114="","",主角经验!$B114*主角经验!BA114)</f>
        <v>224000</v>
      </c>
      <c r="Y113" s="7">
        <f>IF(主角经验!BB114="","",主角经验!$B114*主角经验!BB114)</f>
        <v>280000</v>
      </c>
      <c r="Z113" s="7">
        <f>IF(主角经验!BC114="","",主角经验!$B114*主角经验!BC114)</f>
        <v>392000</v>
      </c>
      <c r="AA113" s="7">
        <f>IF(主角经验!BD114="","",主角经验!$B114*主角经验!BD114)</f>
        <v>112000</v>
      </c>
      <c r="AB113" s="7" t="str">
        <f>IF(主角经验!BE114="","",主角经验!$B114*主角经验!BE114)</f>
        <v/>
      </c>
      <c r="AC113" s="7" t="str">
        <f>IF(主角经验!BF114="","",主角经验!$B114*主角经验!BF114)</f>
        <v/>
      </c>
      <c r="AD113" s="7" t="str">
        <f>IF(主角经验!BG114="","",主角经验!$B114*主角经验!BG114)</f>
        <v/>
      </c>
      <c r="AE113" s="7" t="str">
        <f>IF(主角经验!BH114="","",主角经验!$B114*主角经验!BH114)</f>
        <v/>
      </c>
      <c r="AF113" s="7">
        <f>主角经验!BK114</f>
        <v>4309800</v>
      </c>
      <c r="AG113" s="7">
        <f>主角经验!BO114</f>
        <v>498</v>
      </c>
    </row>
    <row r="114" spans="1:33">
      <c r="A114" s="32">
        <v>113</v>
      </c>
      <c r="B114" s="81">
        <f>主角经验!B115</f>
        <v>45200</v>
      </c>
      <c r="C114" s="7">
        <f>IF(主角经验!AF115="","",主角经验!$B115*主角经验!AF115)</f>
        <v>753484.00000000012</v>
      </c>
      <c r="D114" s="7">
        <f>IF(主角经验!AG115="","",主角经验!$B115*主角经验!AG115)</f>
        <v>298320</v>
      </c>
      <c r="E114" s="7">
        <f>IF(主角经验!AH115="","",主角经验!$B115*主角经验!AH115)</f>
        <v>113000</v>
      </c>
      <c r="F114" s="7">
        <f>IF(主角经验!AI115="","",主角经验!$B115*主角经验!AI115)</f>
        <v>678000</v>
      </c>
      <c r="G114" s="7" t="str">
        <f>IF(主角经验!AJ115="","",主角经验!$B115*主角经验!AJ115)</f>
        <v/>
      </c>
      <c r="H114" s="7" t="str">
        <f>IF(主角经验!AK115="","",主角经验!$B115*主角经验!AK115)</f>
        <v/>
      </c>
      <c r="I114" s="7" t="str">
        <f>IF(主角经验!AL115="","",主角经验!$B115*主角经验!AL115)</f>
        <v/>
      </c>
      <c r="J114" s="7" t="str">
        <f>IF(主角经验!AM115="","",主角经验!$B115*主角经验!AM115)</f>
        <v/>
      </c>
      <c r="K114" s="7">
        <f>IF(主角经验!AN115="","",主角经验!$B115*主角经验!AN115)</f>
        <v>452000</v>
      </c>
      <c r="L114" s="7">
        <f>IF(主角经验!AO115="","",主角经验!$B115*主角经验!AO115)</f>
        <v>150516</v>
      </c>
      <c r="M114" s="7">
        <f>IF(主角经验!AP115="","",主角经验!$B115*主角经验!AP115)</f>
        <v>904000</v>
      </c>
      <c r="N114" s="7">
        <f>IF(主角经验!AQ115="","",主角经验!$B115*主角经验!AQ115)</f>
        <v>542400</v>
      </c>
      <c r="O114" s="7">
        <f>IF(主角经验!AR115="","",主角经验!$B115*主角经验!AR115)</f>
        <v>565000</v>
      </c>
      <c r="P114" s="7">
        <f>IF(主角经验!AS115="","",主角经验!$B115*主角经验!AS115)</f>
        <v>37516</v>
      </c>
      <c r="Q114" s="7">
        <f>IF(主角经验!AT115="","",主角经验!$B115*主角经验!AT115)</f>
        <v>2350400</v>
      </c>
      <c r="R114" s="7">
        <f>IF(主角经验!AU115="","",主角经验!$B115*主角经验!AU115)</f>
        <v>271200</v>
      </c>
      <c r="S114" s="7">
        <f>IF(主角经验!AV115="","",主角经验!$B115*主角经验!AV115)</f>
        <v>301484</v>
      </c>
      <c r="T114" s="7">
        <f>IF(主角经验!AW115="","",主角经验!$B115*主角经验!AW115)</f>
        <v>0</v>
      </c>
      <c r="U114" s="7">
        <f>IF(主角经验!AX115="","",主角经验!$B115*主角经验!AX115)</f>
        <v>226000</v>
      </c>
      <c r="V114" s="7">
        <f>IF(主角经验!AY115="","",主角经验!$B115*主角经验!AY115)</f>
        <v>301484</v>
      </c>
      <c r="W114" s="7">
        <f>IF(主角经验!AZ115="","",主角经验!$B115*主角经验!AZ115)</f>
        <v>113000</v>
      </c>
      <c r="X114" s="7">
        <f>IF(主角经验!BA115="","",主角经验!$B115*主角经验!BA115)</f>
        <v>226000</v>
      </c>
      <c r="Y114" s="7">
        <f>IF(主角经验!BB115="","",主角经验!$B115*主角经验!BB115)</f>
        <v>282500</v>
      </c>
      <c r="Z114" s="7">
        <f>IF(主角经验!BC115="","",主角经验!$B115*主角经验!BC115)</f>
        <v>395500</v>
      </c>
      <c r="AA114" s="7">
        <f>IF(主角经验!BD115="","",主角经验!$B115*主角经验!BD115)</f>
        <v>113000</v>
      </c>
      <c r="AB114" s="7" t="str">
        <f>IF(主角经验!BE115="","",主角经验!$B115*主角经验!BE115)</f>
        <v/>
      </c>
      <c r="AC114" s="7" t="str">
        <f>IF(主角经验!BF115="","",主角经验!$B115*主角经验!BF115)</f>
        <v/>
      </c>
      <c r="AD114" s="7" t="str">
        <f>IF(主角经验!BG115="","",主角经验!$B115*主角经验!BG115)</f>
        <v/>
      </c>
      <c r="AE114" s="7" t="str">
        <f>IF(主角经验!BH115="","",主角经验!$B115*主角经验!BH115)</f>
        <v/>
      </c>
      <c r="AF114" s="7">
        <f>主角经验!BK115</f>
        <v>4398000</v>
      </c>
      <c r="AG114" s="7">
        <f>主角经验!BO115</f>
        <v>502</v>
      </c>
    </row>
    <row r="115" spans="1:33">
      <c r="A115" s="32">
        <v>114</v>
      </c>
      <c r="B115" s="81">
        <f>主角经验!B116</f>
        <v>45600</v>
      </c>
      <c r="C115" s="7">
        <f>IF(主角经验!AF116="","",主角经验!$B116*主角经验!AF116)</f>
        <v>760152.00000000012</v>
      </c>
      <c r="D115" s="7">
        <f>IF(主角经验!AG116="","",主角经验!$B116*主角经验!AG116)</f>
        <v>300960</v>
      </c>
      <c r="E115" s="7">
        <f>IF(主角经验!AH116="","",主角经验!$B116*主角经验!AH116)</f>
        <v>114000</v>
      </c>
      <c r="F115" s="7">
        <f>IF(主角经验!AI116="","",主角经验!$B116*主角经验!AI116)</f>
        <v>684000</v>
      </c>
      <c r="G115" s="7" t="str">
        <f>IF(主角经验!AJ116="","",主角经验!$B116*主角经验!AJ116)</f>
        <v/>
      </c>
      <c r="H115" s="7" t="str">
        <f>IF(主角经验!AK116="","",主角经验!$B116*主角经验!AK116)</f>
        <v/>
      </c>
      <c r="I115" s="7" t="str">
        <f>IF(主角经验!AL116="","",主角经验!$B116*主角经验!AL116)</f>
        <v/>
      </c>
      <c r="J115" s="7" t="str">
        <f>IF(主角经验!AM116="","",主角经验!$B116*主角经验!AM116)</f>
        <v/>
      </c>
      <c r="K115" s="7">
        <f>IF(主角经验!AN116="","",主角经验!$B116*主角经验!AN116)</f>
        <v>456000</v>
      </c>
      <c r="L115" s="7">
        <f>IF(主角经验!AO116="","",主角经验!$B116*主角经验!AO116)</f>
        <v>151848</v>
      </c>
      <c r="M115" s="7">
        <f>IF(主角经验!AP116="","",主角经验!$B116*主角经验!AP116)</f>
        <v>912000</v>
      </c>
      <c r="N115" s="7">
        <f>IF(主角经验!AQ116="","",主角经验!$B116*主角经验!AQ116)</f>
        <v>547200</v>
      </c>
      <c r="O115" s="7">
        <f>IF(主角经验!AR116="","",主角经验!$B116*主角经验!AR116)</f>
        <v>570000</v>
      </c>
      <c r="P115" s="7">
        <f>IF(主角经验!AS116="","",主角经验!$B116*主角经验!AS116)</f>
        <v>37848</v>
      </c>
      <c r="Q115" s="7">
        <f>IF(主角经验!AT116="","",主角经验!$B116*主角经验!AT116)</f>
        <v>2371200</v>
      </c>
      <c r="R115" s="7">
        <f>IF(主角经验!AU116="","",主角经验!$B116*主角经验!AU116)</f>
        <v>273600</v>
      </c>
      <c r="S115" s="7">
        <f>IF(主角经验!AV116="","",主角经验!$B116*主角经验!AV116)</f>
        <v>304152</v>
      </c>
      <c r="T115" s="7">
        <f>IF(主角经验!AW116="","",主角经验!$B116*主角经验!AW116)</f>
        <v>0</v>
      </c>
      <c r="U115" s="7">
        <f>IF(主角经验!AX116="","",主角经验!$B116*主角经验!AX116)</f>
        <v>228000</v>
      </c>
      <c r="V115" s="7">
        <f>IF(主角经验!AY116="","",主角经验!$B116*主角经验!AY116)</f>
        <v>304152</v>
      </c>
      <c r="W115" s="7">
        <f>IF(主角经验!AZ116="","",主角经验!$B116*主角经验!AZ116)</f>
        <v>114000</v>
      </c>
      <c r="X115" s="7">
        <f>IF(主角经验!BA116="","",主角经验!$B116*主角经验!BA116)</f>
        <v>228000</v>
      </c>
      <c r="Y115" s="7">
        <f>IF(主角经验!BB116="","",主角经验!$B116*主角经验!BB116)</f>
        <v>285000</v>
      </c>
      <c r="Z115" s="7">
        <f>IF(主角经验!BC116="","",主角经验!$B116*主角经验!BC116)</f>
        <v>399000</v>
      </c>
      <c r="AA115" s="7">
        <f>IF(主角经验!BD116="","",主角经验!$B116*主角经验!BD116)</f>
        <v>114000</v>
      </c>
      <c r="AB115" s="7" t="str">
        <f>IF(主角经验!BE116="","",主角经验!$B116*主角经验!BE116)</f>
        <v/>
      </c>
      <c r="AC115" s="7" t="str">
        <f>IF(主角经验!BF116="","",主角经验!$B116*主角经验!BF116)</f>
        <v/>
      </c>
      <c r="AD115" s="7" t="str">
        <f>IF(主角经验!BG116="","",主角经验!$B116*主角经验!BG116)</f>
        <v/>
      </c>
      <c r="AE115" s="7" t="str">
        <f>IF(主角经验!BH116="","",主角经验!$B116*主角经验!BH116)</f>
        <v/>
      </c>
      <c r="AF115" s="7">
        <f>主角经验!BK116</f>
        <v>4487000</v>
      </c>
      <c r="AG115" s="7">
        <f>主角经验!BO116</f>
        <v>507</v>
      </c>
    </row>
    <row r="116" spans="1:33">
      <c r="A116" s="32">
        <v>115</v>
      </c>
      <c r="B116" s="81">
        <f>主角经验!B117</f>
        <v>46000</v>
      </c>
      <c r="C116" s="7">
        <f>IF(主角经验!AF117="","",主角经验!$B117*主角经验!AF117)</f>
        <v>766820.00000000012</v>
      </c>
      <c r="D116" s="7">
        <f>IF(主角经验!AG117="","",主角经验!$B117*主角经验!AG117)</f>
        <v>303600</v>
      </c>
      <c r="E116" s="7">
        <f>IF(主角经验!AH117="","",主角经验!$B117*主角经验!AH117)</f>
        <v>115000</v>
      </c>
      <c r="F116" s="7">
        <f>IF(主角经验!AI117="","",主角经验!$B117*主角经验!AI117)</f>
        <v>690000</v>
      </c>
      <c r="G116" s="7" t="str">
        <f>IF(主角经验!AJ117="","",主角经验!$B117*主角经验!AJ117)</f>
        <v/>
      </c>
      <c r="H116" s="7" t="str">
        <f>IF(主角经验!AK117="","",主角经验!$B117*主角经验!AK117)</f>
        <v/>
      </c>
      <c r="I116" s="7" t="str">
        <f>IF(主角经验!AL117="","",主角经验!$B117*主角经验!AL117)</f>
        <v/>
      </c>
      <c r="J116" s="7" t="str">
        <f>IF(主角经验!AM117="","",主角经验!$B117*主角经验!AM117)</f>
        <v/>
      </c>
      <c r="K116" s="7">
        <f>IF(主角经验!AN117="","",主角经验!$B117*主角经验!AN117)</f>
        <v>460000</v>
      </c>
      <c r="L116" s="7">
        <f>IF(主角经验!AO117="","",主角经验!$B117*主角经验!AO117)</f>
        <v>153180</v>
      </c>
      <c r="M116" s="7">
        <f>IF(主角经验!AP117="","",主角经验!$B117*主角经验!AP117)</f>
        <v>920000</v>
      </c>
      <c r="N116" s="7">
        <f>IF(主角经验!AQ117="","",主角经验!$B117*主角经验!AQ117)</f>
        <v>552000</v>
      </c>
      <c r="O116" s="7">
        <f>IF(主角经验!AR117="","",主角经验!$B117*主角经验!AR117)</f>
        <v>575000</v>
      </c>
      <c r="P116" s="7">
        <f>IF(主角经验!AS117="","",主角经验!$B117*主角经验!AS117)</f>
        <v>38180</v>
      </c>
      <c r="Q116" s="7">
        <f>IF(主角经验!AT117="","",主角经验!$B117*主角经验!AT117)</f>
        <v>2392000</v>
      </c>
      <c r="R116" s="7">
        <f>IF(主角经验!AU117="","",主角经验!$B117*主角经验!AU117)</f>
        <v>276000</v>
      </c>
      <c r="S116" s="7">
        <f>IF(主角经验!AV117="","",主角经验!$B117*主角经验!AV117)</f>
        <v>306820</v>
      </c>
      <c r="T116" s="7">
        <f>IF(主角经验!AW117="","",主角经验!$B117*主角经验!AW117)</f>
        <v>0</v>
      </c>
      <c r="U116" s="7">
        <f>IF(主角经验!AX117="","",主角经验!$B117*主角经验!AX117)</f>
        <v>230000</v>
      </c>
      <c r="V116" s="7">
        <f>IF(主角经验!AY117="","",主角经验!$B117*主角经验!AY117)</f>
        <v>306820</v>
      </c>
      <c r="W116" s="7">
        <f>IF(主角经验!AZ117="","",主角经验!$B117*主角经验!AZ117)</f>
        <v>115000</v>
      </c>
      <c r="X116" s="7">
        <f>IF(主角经验!BA117="","",主角经验!$B117*主角经验!BA117)</f>
        <v>230000</v>
      </c>
      <c r="Y116" s="7">
        <f>IF(主角经验!BB117="","",主角经验!$B117*主角经验!BB117)</f>
        <v>287500</v>
      </c>
      <c r="Z116" s="7">
        <f>IF(主角经验!BC117="","",主角经验!$B117*主角经验!BC117)</f>
        <v>402500</v>
      </c>
      <c r="AA116" s="7">
        <f>IF(主角经验!BD117="","",主角经验!$B117*主角经验!BD117)</f>
        <v>115000</v>
      </c>
      <c r="AB116" s="7" t="str">
        <f>IF(主角经验!BE117="","",主角经验!$B117*主角经验!BE117)</f>
        <v/>
      </c>
      <c r="AC116" s="7" t="str">
        <f>IF(主角经验!BF117="","",主角经验!$B117*主角经验!BF117)</f>
        <v/>
      </c>
      <c r="AD116" s="7" t="str">
        <f>IF(主角经验!BG117="","",主角经验!$B117*主角经验!BG117)</f>
        <v/>
      </c>
      <c r="AE116" s="7" t="str">
        <f>IF(主角经验!BH117="","",主角经验!$B117*主角经验!BH117)</f>
        <v/>
      </c>
      <c r="AF116" s="7">
        <f>主角经验!BK117</f>
        <v>4577000</v>
      </c>
      <c r="AG116" s="7">
        <f>主角经验!BO117</f>
        <v>511</v>
      </c>
    </row>
    <row r="117" spans="1:33">
      <c r="A117" s="32">
        <v>116</v>
      </c>
      <c r="B117" s="81">
        <f>主角经验!B118</f>
        <v>46400</v>
      </c>
      <c r="C117" s="7">
        <f>IF(主角经验!AF118="","",主角经验!$B118*主角经验!AF118)</f>
        <v>773488.00000000012</v>
      </c>
      <c r="D117" s="7">
        <f>IF(主角经验!AG118="","",主角经验!$B118*主角经验!AG118)</f>
        <v>306240</v>
      </c>
      <c r="E117" s="7">
        <f>IF(主角经验!AH118="","",主角经验!$B118*主角经验!AH118)</f>
        <v>116000</v>
      </c>
      <c r="F117" s="7">
        <f>IF(主角经验!AI118="","",主角经验!$B118*主角经验!AI118)</f>
        <v>696000</v>
      </c>
      <c r="G117" s="7" t="str">
        <f>IF(主角经验!AJ118="","",主角经验!$B118*主角经验!AJ118)</f>
        <v/>
      </c>
      <c r="H117" s="7" t="str">
        <f>IF(主角经验!AK118="","",主角经验!$B118*主角经验!AK118)</f>
        <v/>
      </c>
      <c r="I117" s="7" t="str">
        <f>IF(主角经验!AL118="","",主角经验!$B118*主角经验!AL118)</f>
        <v/>
      </c>
      <c r="J117" s="7" t="str">
        <f>IF(主角经验!AM118="","",主角经验!$B118*主角经验!AM118)</f>
        <v/>
      </c>
      <c r="K117" s="7">
        <f>IF(主角经验!AN118="","",主角经验!$B118*主角经验!AN118)</f>
        <v>464000</v>
      </c>
      <c r="L117" s="7">
        <f>IF(主角经验!AO118="","",主角经验!$B118*主角经验!AO118)</f>
        <v>154512</v>
      </c>
      <c r="M117" s="7">
        <f>IF(主角经验!AP118="","",主角经验!$B118*主角经验!AP118)</f>
        <v>928000</v>
      </c>
      <c r="N117" s="7">
        <f>IF(主角经验!AQ118="","",主角经验!$B118*主角经验!AQ118)</f>
        <v>556800</v>
      </c>
      <c r="O117" s="7">
        <f>IF(主角经验!AR118="","",主角经验!$B118*主角经验!AR118)</f>
        <v>580000</v>
      </c>
      <c r="P117" s="7">
        <f>IF(主角经验!AS118="","",主角经验!$B118*主角经验!AS118)</f>
        <v>38512</v>
      </c>
      <c r="Q117" s="7">
        <f>IF(主角经验!AT118="","",主角经验!$B118*主角经验!AT118)</f>
        <v>2412800</v>
      </c>
      <c r="R117" s="7">
        <f>IF(主角经验!AU118="","",主角经验!$B118*主角经验!AU118)</f>
        <v>278400</v>
      </c>
      <c r="S117" s="7">
        <f>IF(主角经验!AV118="","",主角经验!$B118*主角经验!AV118)</f>
        <v>309488</v>
      </c>
      <c r="T117" s="7">
        <f>IF(主角经验!AW118="","",主角经验!$B118*主角经验!AW118)</f>
        <v>0</v>
      </c>
      <c r="U117" s="7">
        <f>IF(主角经验!AX118="","",主角经验!$B118*主角经验!AX118)</f>
        <v>232000</v>
      </c>
      <c r="V117" s="7">
        <f>IF(主角经验!AY118="","",主角经验!$B118*主角经验!AY118)</f>
        <v>309488</v>
      </c>
      <c r="W117" s="7">
        <f>IF(主角经验!AZ118="","",主角经验!$B118*主角经验!AZ118)</f>
        <v>116000</v>
      </c>
      <c r="X117" s="7">
        <f>IF(主角经验!BA118="","",主角经验!$B118*主角经验!BA118)</f>
        <v>232000</v>
      </c>
      <c r="Y117" s="7">
        <f>IF(主角经验!BB118="","",主角经验!$B118*主角经验!BB118)</f>
        <v>290000</v>
      </c>
      <c r="Z117" s="7">
        <f>IF(主角经验!BC118="","",主角经验!$B118*主角经验!BC118)</f>
        <v>406000</v>
      </c>
      <c r="AA117" s="7">
        <f>IF(主角经验!BD118="","",主角经验!$B118*主角经验!BD118)</f>
        <v>116000</v>
      </c>
      <c r="AB117" s="7" t="str">
        <f>IF(主角经验!BE118="","",主角经验!$B118*主角经验!BE118)</f>
        <v/>
      </c>
      <c r="AC117" s="7" t="str">
        <f>IF(主角经验!BF118="","",主角经验!$B118*主角经验!BF118)</f>
        <v/>
      </c>
      <c r="AD117" s="7" t="str">
        <f>IF(主角经验!BG118="","",主角经验!$B118*主角经验!BG118)</f>
        <v/>
      </c>
      <c r="AE117" s="7" t="str">
        <f>IF(主角经验!BH118="","",主角经验!$B118*主角经验!BH118)</f>
        <v/>
      </c>
      <c r="AF117" s="7">
        <f>主角经验!BK118</f>
        <v>4667800</v>
      </c>
      <c r="AG117" s="7">
        <f>主角经验!BO118</f>
        <v>516</v>
      </c>
    </row>
    <row r="118" spans="1:33">
      <c r="A118" s="32">
        <v>117</v>
      </c>
      <c r="B118" s="81">
        <f>主角经验!B119</f>
        <v>46800</v>
      </c>
      <c r="C118" s="7">
        <f>IF(主角经验!AF119="","",主角经验!$B119*主角经验!AF119)</f>
        <v>780156.00000000012</v>
      </c>
      <c r="D118" s="7">
        <f>IF(主角经验!AG119="","",主角经验!$B119*主角经验!AG119)</f>
        <v>308880</v>
      </c>
      <c r="E118" s="7">
        <f>IF(主角经验!AH119="","",主角经验!$B119*主角经验!AH119)</f>
        <v>117000</v>
      </c>
      <c r="F118" s="7">
        <f>IF(主角经验!AI119="","",主角经验!$B119*主角经验!AI119)</f>
        <v>702000</v>
      </c>
      <c r="G118" s="7" t="str">
        <f>IF(主角经验!AJ119="","",主角经验!$B119*主角经验!AJ119)</f>
        <v/>
      </c>
      <c r="H118" s="7" t="str">
        <f>IF(主角经验!AK119="","",主角经验!$B119*主角经验!AK119)</f>
        <v/>
      </c>
      <c r="I118" s="7" t="str">
        <f>IF(主角经验!AL119="","",主角经验!$B119*主角经验!AL119)</f>
        <v/>
      </c>
      <c r="J118" s="7" t="str">
        <f>IF(主角经验!AM119="","",主角经验!$B119*主角经验!AM119)</f>
        <v/>
      </c>
      <c r="K118" s="7">
        <f>IF(主角经验!AN119="","",主角经验!$B119*主角经验!AN119)</f>
        <v>468000</v>
      </c>
      <c r="L118" s="7">
        <f>IF(主角经验!AO119="","",主角经验!$B119*主角经验!AO119)</f>
        <v>155844</v>
      </c>
      <c r="M118" s="7">
        <f>IF(主角经验!AP119="","",主角经验!$B119*主角经验!AP119)</f>
        <v>936000</v>
      </c>
      <c r="N118" s="7">
        <f>IF(主角经验!AQ119="","",主角经验!$B119*主角经验!AQ119)</f>
        <v>561600</v>
      </c>
      <c r="O118" s="7">
        <f>IF(主角经验!AR119="","",主角经验!$B119*主角经验!AR119)</f>
        <v>585000</v>
      </c>
      <c r="P118" s="7">
        <f>IF(主角经验!AS119="","",主角经验!$B119*主角经验!AS119)</f>
        <v>38844</v>
      </c>
      <c r="Q118" s="7">
        <f>IF(主角经验!AT119="","",主角经验!$B119*主角经验!AT119)</f>
        <v>2433600</v>
      </c>
      <c r="R118" s="7">
        <f>IF(主角经验!AU119="","",主角经验!$B119*主角经验!AU119)</f>
        <v>280800</v>
      </c>
      <c r="S118" s="7">
        <f>IF(主角经验!AV119="","",主角经验!$B119*主角经验!AV119)</f>
        <v>312156</v>
      </c>
      <c r="T118" s="7">
        <f>IF(主角经验!AW119="","",主角经验!$B119*主角经验!AW119)</f>
        <v>0</v>
      </c>
      <c r="U118" s="7">
        <f>IF(主角经验!AX119="","",主角经验!$B119*主角经验!AX119)</f>
        <v>234000</v>
      </c>
      <c r="V118" s="7">
        <f>IF(主角经验!AY119="","",主角经验!$B119*主角经验!AY119)</f>
        <v>312156</v>
      </c>
      <c r="W118" s="7">
        <f>IF(主角经验!AZ119="","",主角经验!$B119*主角经验!AZ119)</f>
        <v>117000</v>
      </c>
      <c r="X118" s="7">
        <f>IF(主角经验!BA119="","",主角经验!$B119*主角经验!BA119)</f>
        <v>234000</v>
      </c>
      <c r="Y118" s="7">
        <f>IF(主角经验!BB119="","",主角经验!$B119*主角经验!BB119)</f>
        <v>292500</v>
      </c>
      <c r="Z118" s="7">
        <f>IF(主角经验!BC119="","",主角经验!$B119*主角经验!BC119)</f>
        <v>409500</v>
      </c>
      <c r="AA118" s="7">
        <f>IF(主角经验!BD119="","",主角经验!$B119*主角经验!BD119)</f>
        <v>117000</v>
      </c>
      <c r="AB118" s="7" t="str">
        <f>IF(主角经验!BE119="","",主角经验!$B119*主角经验!BE119)</f>
        <v/>
      </c>
      <c r="AC118" s="7" t="str">
        <f>IF(主角经验!BF119="","",主角经验!$B119*主角经验!BF119)</f>
        <v/>
      </c>
      <c r="AD118" s="7" t="str">
        <f>IF(主角经验!BG119="","",主角经验!$B119*主角经验!BG119)</f>
        <v/>
      </c>
      <c r="AE118" s="7" t="str">
        <f>IF(主角经验!BH119="","",主角经验!$B119*主角经验!BH119)</f>
        <v/>
      </c>
      <c r="AF118" s="7">
        <f>主角经验!BK119</f>
        <v>4759600</v>
      </c>
      <c r="AG118" s="7">
        <f>主角经验!BO119</f>
        <v>520</v>
      </c>
    </row>
    <row r="119" spans="1:33">
      <c r="A119" s="32">
        <v>118</v>
      </c>
      <c r="B119" s="81">
        <f>主角经验!B120</f>
        <v>47200</v>
      </c>
      <c r="C119" s="7">
        <f>IF(主角经验!AF120="","",主角经验!$B120*主角经验!AF120)</f>
        <v>786824.00000000012</v>
      </c>
      <c r="D119" s="7">
        <f>IF(主角经验!AG120="","",主角经验!$B120*主角经验!AG120)</f>
        <v>311520</v>
      </c>
      <c r="E119" s="7">
        <f>IF(主角经验!AH120="","",主角经验!$B120*主角经验!AH120)</f>
        <v>118000</v>
      </c>
      <c r="F119" s="7">
        <f>IF(主角经验!AI120="","",主角经验!$B120*主角经验!AI120)</f>
        <v>708000</v>
      </c>
      <c r="G119" s="7" t="str">
        <f>IF(主角经验!AJ120="","",主角经验!$B120*主角经验!AJ120)</f>
        <v/>
      </c>
      <c r="H119" s="7" t="str">
        <f>IF(主角经验!AK120="","",主角经验!$B120*主角经验!AK120)</f>
        <v/>
      </c>
      <c r="I119" s="7" t="str">
        <f>IF(主角经验!AL120="","",主角经验!$B120*主角经验!AL120)</f>
        <v/>
      </c>
      <c r="J119" s="7" t="str">
        <f>IF(主角经验!AM120="","",主角经验!$B120*主角经验!AM120)</f>
        <v/>
      </c>
      <c r="K119" s="7">
        <f>IF(主角经验!AN120="","",主角经验!$B120*主角经验!AN120)</f>
        <v>472000</v>
      </c>
      <c r="L119" s="7">
        <f>IF(主角经验!AO120="","",主角经验!$B120*主角经验!AO120)</f>
        <v>157176</v>
      </c>
      <c r="M119" s="7">
        <f>IF(主角经验!AP120="","",主角经验!$B120*主角经验!AP120)</f>
        <v>944000</v>
      </c>
      <c r="N119" s="7">
        <f>IF(主角经验!AQ120="","",主角经验!$B120*主角经验!AQ120)</f>
        <v>566400</v>
      </c>
      <c r="O119" s="7">
        <f>IF(主角经验!AR120="","",主角经验!$B120*主角经验!AR120)</f>
        <v>590000</v>
      </c>
      <c r="P119" s="7">
        <f>IF(主角经验!AS120="","",主角经验!$B120*主角经验!AS120)</f>
        <v>39176</v>
      </c>
      <c r="Q119" s="7">
        <f>IF(主角经验!AT120="","",主角经验!$B120*主角经验!AT120)</f>
        <v>2454400</v>
      </c>
      <c r="R119" s="7">
        <f>IF(主角经验!AU120="","",主角经验!$B120*主角经验!AU120)</f>
        <v>283200</v>
      </c>
      <c r="S119" s="7">
        <f>IF(主角经验!AV120="","",主角经验!$B120*主角经验!AV120)</f>
        <v>314824</v>
      </c>
      <c r="T119" s="7">
        <f>IF(主角经验!AW120="","",主角经验!$B120*主角经验!AW120)</f>
        <v>0</v>
      </c>
      <c r="U119" s="7">
        <f>IF(主角经验!AX120="","",主角经验!$B120*主角经验!AX120)</f>
        <v>236000</v>
      </c>
      <c r="V119" s="7">
        <f>IF(主角经验!AY120="","",主角经验!$B120*主角经验!AY120)</f>
        <v>314824</v>
      </c>
      <c r="W119" s="7">
        <f>IF(主角经验!AZ120="","",主角经验!$B120*主角经验!AZ120)</f>
        <v>118000</v>
      </c>
      <c r="X119" s="7">
        <f>IF(主角经验!BA120="","",主角经验!$B120*主角经验!BA120)</f>
        <v>236000</v>
      </c>
      <c r="Y119" s="7">
        <f>IF(主角经验!BB120="","",主角经验!$B120*主角经验!BB120)</f>
        <v>295000</v>
      </c>
      <c r="Z119" s="7">
        <f>IF(主角经验!BC120="","",主角经验!$B120*主角经验!BC120)</f>
        <v>413000</v>
      </c>
      <c r="AA119" s="7">
        <f>IF(主角经验!BD120="","",主角经验!$B120*主角经验!BD120)</f>
        <v>118000</v>
      </c>
      <c r="AB119" s="7" t="str">
        <f>IF(主角经验!BE120="","",主角经验!$B120*主角经验!BE120)</f>
        <v/>
      </c>
      <c r="AC119" s="7" t="str">
        <f>IF(主角经验!BF120="","",主角经验!$B120*主角经验!BF120)</f>
        <v/>
      </c>
      <c r="AD119" s="7" t="str">
        <f>IF(主角经验!BG120="","",主角经验!$B120*主角经验!BG120)</f>
        <v/>
      </c>
      <c r="AE119" s="7" t="str">
        <f>IF(主角经验!BH120="","",主角经验!$B120*主角经验!BH120)</f>
        <v/>
      </c>
      <c r="AF119" s="7">
        <f>主角经验!BK120</f>
        <v>4852200</v>
      </c>
      <c r="AG119" s="7">
        <f>主角经验!BO120</f>
        <v>524</v>
      </c>
    </row>
    <row r="120" spans="1:33">
      <c r="A120" s="32">
        <v>119</v>
      </c>
      <c r="B120" s="81">
        <f>主角经验!B121</f>
        <v>47600</v>
      </c>
      <c r="C120" s="7">
        <f>IF(主角经验!AF121="","",主角经验!$B121*主角经验!AF121)</f>
        <v>793492.00000000012</v>
      </c>
      <c r="D120" s="7">
        <f>IF(主角经验!AG121="","",主角经验!$B121*主角经验!AG121)</f>
        <v>314160</v>
      </c>
      <c r="E120" s="7">
        <f>IF(主角经验!AH121="","",主角经验!$B121*主角经验!AH121)</f>
        <v>119000</v>
      </c>
      <c r="F120" s="7">
        <f>IF(主角经验!AI121="","",主角经验!$B121*主角经验!AI121)</f>
        <v>714000</v>
      </c>
      <c r="G120" s="7" t="str">
        <f>IF(主角经验!AJ121="","",主角经验!$B121*主角经验!AJ121)</f>
        <v/>
      </c>
      <c r="H120" s="7" t="str">
        <f>IF(主角经验!AK121="","",主角经验!$B121*主角经验!AK121)</f>
        <v/>
      </c>
      <c r="I120" s="7" t="str">
        <f>IF(主角经验!AL121="","",主角经验!$B121*主角经验!AL121)</f>
        <v/>
      </c>
      <c r="J120" s="7" t="str">
        <f>IF(主角经验!AM121="","",主角经验!$B121*主角经验!AM121)</f>
        <v/>
      </c>
      <c r="K120" s="7">
        <f>IF(主角经验!AN121="","",主角经验!$B121*主角经验!AN121)</f>
        <v>476000</v>
      </c>
      <c r="L120" s="7">
        <f>IF(主角经验!AO121="","",主角经验!$B121*主角经验!AO121)</f>
        <v>158508</v>
      </c>
      <c r="M120" s="7">
        <f>IF(主角经验!AP121="","",主角经验!$B121*主角经验!AP121)</f>
        <v>952000</v>
      </c>
      <c r="N120" s="7">
        <f>IF(主角经验!AQ121="","",主角经验!$B121*主角经验!AQ121)</f>
        <v>571200</v>
      </c>
      <c r="O120" s="7">
        <f>IF(主角经验!AR121="","",主角经验!$B121*主角经验!AR121)</f>
        <v>595000</v>
      </c>
      <c r="P120" s="7">
        <f>IF(主角经验!AS121="","",主角经验!$B121*主角经验!AS121)</f>
        <v>39508</v>
      </c>
      <c r="Q120" s="7">
        <f>IF(主角经验!AT121="","",主角经验!$B121*主角经验!AT121)</f>
        <v>2475200</v>
      </c>
      <c r="R120" s="7">
        <f>IF(主角经验!AU121="","",主角经验!$B121*主角经验!AU121)</f>
        <v>285600</v>
      </c>
      <c r="S120" s="7">
        <f>IF(主角经验!AV121="","",主角经验!$B121*主角经验!AV121)</f>
        <v>317492</v>
      </c>
      <c r="T120" s="7">
        <f>IF(主角经验!AW121="","",主角经验!$B121*主角经验!AW121)</f>
        <v>0</v>
      </c>
      <c r="U120" s="7">
        <f>IF(主角经验!AX121="","",主角经验!$B121*主角经验!AX121)</f>
        <v>238000</v>
      </c>
      <c r="V120" s="7">
        <f>IF(主角经验!AY121="","",主角经验!$B121*主角经验!AY121)</f>
        <v>317492</v>
      </c>
      <c r="W120" s="7">
        <f>IF(主角经验!AZ121="","",主角经验!$B121*主角经验!AZ121)</f>
        <v>119000</v>
      </c>
      <c r="X120" s="7">
        <f>IF(主角经验!BA121="","",主角经验!$B121*主角经验!BA121)</f>
        <v>238000</v>
      </c>
      <c r="Y120" s="7">
        <f>IF(主角经验!BB121="","",主角经验!$B121*主角经验!BB121)</f>
        <v>297500</v>
      </c>
      <c r="Z120" s="7">
        <f>IF(主角经验!BC121="","",主角经验!$B121*主角经验!BC121)</f>
        <v>416500</v>
      </c>
      <c r="AA120" s="7">
        <f>IF(主角经验!BD121="","",主角经验!$B121*主角经验!BD121)</f>
        <v>119000</v>
      </c>
      <c r="AB120" s="7" t="str">
        <f>IF(主角经验!BE121="","",主角经验!$B121*主角经验!BE121)</f>
        <v/>
      </c>
      <c r="AC120" s="7" t="str">
        <f>IF(主角经验!BF121="","",主角经验!$B121*主角经验!BF121)</f>
        <v/>
      </c>
      <c r="AD120" s="7" t="str">
        <f>IF(主角经验!BG121="","",主角经验!$B121*主角经验!BG121)</f>
        <v/>
      </c>
      <c r="AE120" s="7" t="str">
        <f>IF(主角经验!BH121="","",主角经验!$B121*主角经验!BH121)</f>
        <v/>
      </c>
      <c r="AF120" s="7">
        <f>主角经验!BK121</f>
        <v>4945600</v>
      </c>
      <c r="AG120" s="7">
        <f>主角经验!BO121</f>
        <v>529</v>
      </c>
    </row>
    <row r="121" spans="1:33">
      <c r="A121" s="32">
        <v>120</v>
      </c>
      <c r="B121" s="81">
        <f>主角经验!B122</f>
        <v>48000</v>
      </c>
      <c r="C121" s="7">
        <f>IF(主角经验!AF122="","",主角经验!$B122*主角经验!AF122)</f>
        <v>800160.00000000012</v>
      </c>
      <c r="D121" s="7">
        <f>IF(主角经验!AG122="","",主角经验!$B122*主角经验!AG122)</f>
        <v>316800</v>
      </c>
      <c r="E121" s="7">
        <f>IF(主角经验!AH122="","",主角经验!$B122*主角经验!AH122)</f>
        <v>120000</v>
      </c>
      <c r="F121" s="7">
        <f>IF(主角经验!AI122="","",主角经验!$B122*主角经验!AI122)</f>
        <v>720000</v>
      </c>
      <c r="G121" s="7" t="str">
        <f>IF(主角经验!AJ122="","",主角经验!$B122*主角经验!AJ122)</f>
        <v/>
      </c>
      <c r="H121" s="7" t="str">
        <f>IF(主角经验!AK122="","",主角经验!$B122*主角经验!AK122)</f>
        <v/>
      </c>
      <c r="I121" s="7" t="str">
        <f>IF(主角经验!AL122="","",主角经验!$B122*主角经验!AL122)</f>
        <v/>
      </c>
      <c r="J121" s="7" t="str">
        <f>IF(主角经验!AM122="","",主角经验!$B122*主角经验!AM122)</f>
        <v/>
      </c>
      <c r="K121" s="7">
        <f>IF(主角经验!AN122="","",主角经验!$B122*主角经验!AN122)</f>
        <v>480000</v>
      </c>
      <c r="L121" s="7">
        <f>IF(主角经验!AO122="","",主角经验!$B122*主角经验!AO122)</f>
        <v>159840</v>
      </c>
      <c r="M121" s="7">
        <f>IF(主角经验!AP122="","",主角经验!$B122*主角经验!AP122)</f>
        <v>960000</v>
      </c>
      <c r="N121" s="7">
        <f>IF(主角经验!AQ122="","",主角经验!$B122*主角经验!AQ122)</f>
        <v>576000</v>
      </c>
      <c r="O121" s="7">
        <f>IF(主角经验!AR122="","",主角经验!$B122*主角经验!AR122)</f>
        <v>600000</v>
      </c>
      <c r="P121" s="7">
        <f>IF(主角经验!AS122="","",主角经验!$B122*主角经验!AS122)</f>
        <v>39840</v>
      </c>
      <c r="Q121" s="7">
        <f>IF(主角经验!AT122="","",主角经验!$B122*主角经验!AT122)</f>
        <v>2496000</v>
      </c>
      <c r="R121" s="7">
        <f>IF(主角经验!AU122="","",主角经验!$B122*主角经验!AU122)</f>
        <v>288000</v>
      </c>
      <c r="S121" s="7">
        <f>IF(主角经验!AV122="","",主角经验!$B122*主角经验!AV122)</f>
        <v>320160</v>
      </c>
      <c r="T121" s="7">
        <f>IF(主角经验!AW122="","",主角经验!$B122*主角经验!AW122)</f>
        <v>0</v>
      </c>
      <c r="U121" s="7">
        <f>IF(主角经验!AX122="","",主角经验!$B122*主角经验!AX122)</f>
        <v>240000</v>
      </c>
      <c r="V121" s="7">
        <f>IF(主角经验!AY122="","",主角经验!$B122*主角经验!AY122)</f>
        <v>320160</v>
      </c>
      <c r="W121" s="7">
        <f>IF(主角经验!AZ122="","",主角经验!$B122*主角经验!AZ122)</f>
        <v>120000</v>
      </c>
      <c r="X121" s="7">
        <f>IF(主角经验!BA122="","",主角经验!$B122*主角经验!BA122)</f>
        <v>240000</v>
      </c>
      <c r="Y121" s="7">
        <f>IF(主角经验!BB122="","",主角经验!$B122*主角经验!BB122)</f>
        <v>300000</v>
      </c>
      <c r="Z121" s="7">
        <f>IF(主角经验!BC122="","",主角经验!$B122*主角经验!BC122)</f>
        <v>420000</v>
      </c>
      <c r="AA121" s="7">
        <f>IF(主角经验!BD122="","",主角经验!$B122*主角经验!BD122)</f>
        <v>120000</v>
      </c>
      <c r="AB121" s="7" t="str">
        <f>IF(主角经验!BE122="","",主角经验!$B122*主角经验!BE122)</f>
        <v/>
      </c>
      <c r="AC121" s="7" t="str">
        <f>IF(主角经验!BF122="","",主角经验!$B122*主角经验!BF122)</f>
        <v/>
      </c>
      <c r="AD121" s="7" t="str">
        <f>IF(主角经验!BG122="","",主角经验!$B122*主角经验!BG122)</f>
        <v/>
      </c>
      <c r="AE121" s="7" t="str">
        <f>IF(主角经验!BH122="","",主角经验!$B122*主角经验!BH122)</f>
        <v/>
      </c>
      <c r="AF121" s="7">
        <f>主角经验!BK122</f>
        <v>5040000</v>
      </c>
      <c r="AG121" s="7">
        <f>主角经验!BO122</f>
        <v>533</v>
      </c>
    </row>
    <row r="122" spans="1:33">
      <c r="A122" s="32">
        <v>121</v>
      </c>
      <c r="B122" s="81">
        <f>主角经验!B123</f>
        <v>48400</v>
      </c>
      <c r="C122" s="7">
        <f>IF(主角经验!AF123="","",主角经验!$B123*主角经验!AF123)</f>
        <v>806828.00000000012</v>
      </c>
      <c r="D122" s="7">
        <f>IF(主角经验!AG123="","",主角经验!$B123*主角经验!AG123)</f>
        <v>319440</v>
      </c>
      <c r="E122" s="7">
        <f>IF(主角经验!AH123="","",主角经验!$B123*主角经验!AH123)</f>
        <v>121000</v>
      </c>
      <c r="F122" s="7">
        <f>IF(主角经验!AI123="","",主角经验!$B123*主角经验!AI123)</f>
        <v>726000</v>
      </c>
      <c r="G122" s="7" t="str">
        <f>IF(主角经验!AJ123="","",主角经验!$B123*主角经验!AJ123)</f>
        <v/>
      </c>
      <c r="H122" s="7" t="str">
        <f>IF(主角经验!AK123="","",主角经验!$B123*主角经验!AK123)</f>
        <v/>
      </c>
      <c r="I122" s="7" t="str">
        <f>IF(主角经验!AL123="","",主角经验!$B123*主角经验!AL123)</f>
        <v/>
      </c>
      <c r="J122" s="7" t="str">
        <f>IF(主角经验!AM123="","",主角经验!$B123*主角经验!AM123)</f>
        <v/>
      </c>
      <c r="K122" s="7">
        <f>IF(主角经验!AN123="","",主角经验!$B123*主角经验!AN123)</f>
        <v>484000</v>
      </c>
      <c r="L122" s="7">
        <f>IF(主角经验!AO123="","",主角经验!$B123*主角经验!AO123)</f>
        <v>161172</v>
      </c>
      <c r="M122" s="7">
        <f>IF(主角经验!AP123="","",主角经验!$B123*主角经验!AP123)</f>
        <v>968000</v>
      </c>
      <c r="N122" s="7">
        <f>IF(主角经验!AQ123="","",主角经验!$B123*主角经验!AQ123)</f>
        <v>580800</v>
      </c>
      <c r="O122" s="7">
        <f>IF(主角经验!AR123="","",主角经验!$B123*主角经验!AR123)</f>
        <v>605000</v>
      </c>
      <c r="P122" s="7">
        <f>IF(主角经验!AS123="","",主角经验!$B123*主角经验!AS123)</f>
        <v>40172</v>
      </c>
      <c r="Q122" s="7">
        <f>IF(主角经验!AT123="","",主角经验!$B123*主角经验!AT123)</f>
        <v>2516800</v>
      </c>
      <c r="R122" s="7">
        <f>IF(主角经验!AU123="","",主角经验!$B123*主角经验!AU123)</f>
        <v>290400</v>
      </c>
      <c r="S122" s="7">
        <f>IF(主角经验!AV123="","",主角经验!$B123*主角经验!AV123)</f>
        <v>322828</v>
      </c>
      <c r="T122" s="7">
        <f>IF(主角经验!AW123="","",主角经验!$B123*主角经验!AW123)</f>
        <v>0</v>
      </c>
      <c r="U122" s="7">
        <f>IF(主角经验!AX123="","",主角经验!$B123*主角经验!AX123)</f>
        <v>242000</v>
      </c>
      <c r="V122" s="7">
        <f>IF(主角经验!AY123="","",主角经验!$B123*主角经验!AY123)</f>
        <v>322828</v>
      </c>
      <c r="W122" s="7">
        <f>IF(主角经验!AZ123="","",主角经验!$B123*主角经验!AZ123)</f>
        <v>121000</v>
      </c>
      <c r="X122" s="7">
        <f>IF(主角经验!BA123="","",主角经验!$B123*主角经验!BA123)</f>
        <v>242000</v>
      </c>
      <c r="Y122" s="7">
        <f>IF(主角经验!BB123="","",主角经验!$B123*主角经验!BB123)</f>
        <v>302500</v>
      </c>
      <c r="Z122" s="7">
        <f>IF(主角经验!BC123="","",主角经验!$B123*主角经验!BC123)</f>
        <v>423500</v>
      </c>
      <c r="AA122" s="7">
        <f>IF(主角经验!BD123="","",主角经验!$B123*主角经验!BD123)</f>
        <v>121000</v>
      </c>
      <c r="AB122" s="7" t="str">
        <f>IF(主角经验!BE123="","",主角经验!$B123*主角经验!BE123)</f>
        <v/>
      </c>
      <c r="AC122" s="7" t="str">
        <f>IF(主角经验!BF123="","",主角经验!$B123*主角经验!BF123)</f>
        <v/>
      </c>
      <c r="AD122" s="7" t="str">
        <f>IF(主角经验!BG123="","",主角经验!$B123*主角经验!BG123)</f>
        <v/>
      </c>
      <c r="AE122" s="7" t="str">
        <f>IF(主角经验!BH123="","",主角经验!$B123*主角经验!BH123)</f>
        <v/>
      </c>
      <c r="AF122" s="7">
        <f>主角经验!BK123</f>
        <v>5135200</v>
      </c>
      <c r="AG122" s="7">
        <f>主角经验!BO123</f>
        <v>538</v>
      </c>
    </row>
    <row r="123" spans="1:33">
      <c r="A123" s="32">
        <v>122</v>
      </c>
      <c r="B123" s="81">
        <f>主角经验!B124</f>
        <v>48800</v>
      </c>
      <c r="C123" s="7">
        <f>IF(主角经验!AF124="","",主角经验!$B124*主角经验!AF124)</f>
        <v>813496.00000000012</v>
      </c>
      <c r="D123" s="7">
        <f>IF(主角经验!AG124="","",主角经验!$B124*主角经验!AG124)</f>
        <v>322080</v>
      </c>
      <c r="E123" s="7">
        <f>IF(主角经验!AH124="","",主角经验!$B124*主角经验!AH124)</f>
        <v>122000</v>
      </c>
      <c r="F123" s="7">
        <f>IF(主角经验!AI124="","",主角经验!$B124*主角经验!AI124)</f>
        <v>732000</v>
      </c>
      <c r="G123" s="7" t="str">
        <f>IF(主角经验!AJ124="","",主角经验!$B124*主角经验!AJ124)</f>
        <v/>
      </c>
      <c r="H123" s="7" t="str">
        <f>IF(主角经验!AK124="","",主角经验!$B124*主角经验!AK124)</f>
        <v/>
      </c>
      <c r="I123" s="7" t="str">
        <f>IF(主角经验!AL124="","",主角经验!$B124*主角经验!AL124)</f>
        <v/>
      </c>
      <c r="J123" s="7" t="str">
        <f>IF(主角经验!AM124="","",主角经验!$B124*主角经验!AM124)</f>
        <v/>
      </c>
      <c r="K123" s="7">
        <f>IF(主角经验!AN124="","",主角经验!$B124*主角经验!AN124)</f>
        <v>488000</v>
      </c>
      <c r="L123" s="7">
        <f>IF(主角经验!AO124="","",主角经验!$B124*主角经验!AO124)</f>
        <v>162504</v>
      </c>
      <c r="M123" s="7">
        <f>IF(主角经验!AP124="","",主角经验!$B124*主角经验!AP124)</f>
        <v>976000</v>
      </c>
      <c r="N123" s="7">
        <f>IF(主角经验!AQ124="","",主角经验!$B124*主角经验!AQ124)</f>
        <v>585600</v>
      </c>
      <c r="O123" s="7">
        <f>IF(主角经验!AR124="","",主角经验!$B124*主角经验!AR124)</f>
        <v>610000</v>
      </c>
      <c r="P123" s="7">
        <f>IF(主角经验!AS124="","",主角经验!$B124*主角经验!AS124)</f>
        <v>40504</v>
      </c>
      <c r="Q123" s="7">
        <f>IF(主角经验!AT124="","",主角经验!$B124*主角经验!AT124)</f>
        <v>2537600</v>
      </c>
      <c r="R123" s="7">
        <f>IF(主角经验!AU124="","",主角经验!$B124*主角经验!AU124)</f>
        <v>292800</v>
      </c>
      <c r="S123" s="7">
        <f>IF(主角经验!AV124="","",主角经验!$B124*主角经验!AV124)</f>
        <v>325496</v>
      </c>
      <c r="T123" s="7">
        <f>IF(主角经验!AW124="","",主角经验!$B124*主角经验!AW124)</f>
        <v>0</v>
      </c>
      <c r="U123" s="7">
        <f>IF(主角经验!AX124="","",主角经验!$B124*主角经验!AX124)</f>
        <v>244000</v>
      </c>
      <c r="V123" s="7">
        <f>IF(主角经验!AY124="","",主角经验!$B124*主角经验!AY124)</f>
        <v>325496</v>
      </c>
      <c r="W123" s="7">
        <f>IF(主角经验!AZ124="","",主角经验!$B124*主角经验!AZ124)</f>
        <v>122000</v>
      </c>
      <c r="X123" s="7">
        <f>IF(主角经验!BA124="","",主角经验!$B124*主角经验!BA124)</f>
        <v>244000</v>
      </c>
      <c r="Y123" s="7">
        <f>IF(主角经验!BB124="","",主角经验!$B124*主角经验!BB124)</f>
        <v>305000</v>
      </c>
      <c r="Z123" s="7">
        <f>IF(主角经验!BC124="","",主角经验!$B124*主角经验!BC124)</f>
        <v>427000</v>
      </c>
      <c r="AA123" s="7">
        <f>IF(主角经验!BD124="","",主角经验!$B124*主角经验!BD124)</f>
        <v>122000</v>
      </c>
      <c r="AB123" s="7" t="str">
        <f>IF(主角经验!BE124="","",主角经验!$B124*主角经验!BE124)</f>
        <v/>
      </c>
      <c r="AC123" s="7" t="str">
        <f>IF(主角经验!BF124="","",主角经验!$B124*主角经验!BF124)</f>
        <v/>
      </c>
      <c r="AD123" s="7" t="str">
        <f>IF(主角经验!BG124="","",主角经验!$B124*主角经验!BG124)</f>
        <v/>
      </c>
      <c r="AE123" s="7" t="str">
        <f>IF(主角经验!BH124="","",主角经验!$B124*主角经验!BH124)</f>
        <v/>
      </c>
      <c r="AF123" s="7">
        <f>主角经验!BK124</f>
        <v>5231400</v>
      </c>
      <c r="AG123" s="7">
        <f>主角经验!BO124</f>
        <v>542</v>
      </c>
    </row>
    <row r="124" spans="1:33">
      <c r="A124" s="32">
        <v>123</v>
      </c>
      <c r="B124" s="81">
        <f>主角经验!B125</f>
        <v>49200</v>
      </c>
      <c r="C124" s="7">
        <f>IF(主角经验!AF125="","",主角经验!$B125*主角经验!AF125)</f>
        <v>820164.00000000012</v>
      </c>
      <c r="D124" s="7">
        <f>IF(主角经验!AG125="","",主角经验!$B125*主角经验!AG125)</f>
        <v>324720</v>
      </c>
      <c r="E124" s="7">
        <f>IF(主角经验!AH125="","",主角经验!$B125*主角经验!AH125)</f>
        <v>123000</v>
      </c>
      <c r="F124" s="7">
        <f>IF(主角经验!AI125="","",主角经验!$B125*主角经验!AI125)</f>
        <v>738000</v>
      </c>
      <c r="G124" s="7" t="str">
        <f>IF(主角经验!AJ125="","",主角经验!$B125*主角经验!AJ125)</f>
        <v/>
      </c>
      <c r="H124" s="7" t="str">
        <f>IF(主角经验!AK125="","",主角经验!$B125*主角经验!AK125)</f>
        <v/>
      </c>
      <c r="I124" s="7" t="str">
        <f>IF(主角经验!AL125="","",主角经验!$B125*主角经验!AL125)</f>
        <v/>
      </c>
      <c r="J124" s="7" t="str">
        <f>IF(主角经验!AM125="","",主角经验!$B125*主角经验!AM125)</f>
        <v/>
      </c>
      <c r="K124" s="7">
        <f>IF(主角经验!AN125="","",主角经验!$B125*主角经验!AN125)</f>
        <v>492000</v>
      </c>
      <c r="L124" s="7">
        <f>IF(主角经验!AO125="","",主角经验!$B125*主角经验!AO125)</f>
        <v>163836</v>
      </c>
      <c r="M124" s="7">
        <f>IF(主角经验!AP125="","",主角经验!$B125*主角经验!AP125)</f>
        <v>984000</v>
      </c>
      <c r="N124" s="7">
        <f>IF(主角经验!AQ125="","",主角经验!$B125*主角经验!AQ125)</f>
        <v>590400</v>
      </c>
      <c r="O124" s="7">
        <f>IF(主角经验!AR125="","",主角经验!$B125*主角经验!AR125)</f>
        <v>615000</v>
      </c>
      <c r="P124" s="7">
        <f>IF(主角经验!AS125="","",主角经验!$B125*主角经验!AS125)</f>
        <v>40836</v>
      </c>
      <c r="Q124" s="7">
        <f>IF(主角经验!AT125="","",主角经验!$B125*主角经验!AT125)</f>
        <v>2558400</v>
      </c>
      <c r="R124" s="7">
        <f>IF(主角经验!AU125="","",主角经验!$B125*主角经验!AU125)</f>
        <v>295200</v>
      </c>
      <c r="S124" s="7">
        <f>IF(主角经验!AV125="","",主角经验!$B125*主角经验!AV125)</f>
        <v>328164</v>
      </c>
      <c r="T124" s="7">
        <f>IF(主角经验!AW125="","",主角经验!$B125*主角经验!AW125)</f>
        <v>0</v>
      </c>
      <c r="U124" s="7">
        <f>IF(主角经验!AX125="","",主角经验!$B125*主角经验!AX125)</f>
        <v>246000</v>
      </c>
      <c r="V124" s="7">
        <f>IF(主角经验!AY125="","",主角经验!$B125*主角经验!AY125)</f>
        <v>328164</v>
      </c>
      <c r="W124" s="7">
        <f>IF(主角经验!AZ125="","",主角经验!$B125*主角经验!AZ125)</f>
        <v>123000</v>
      </c>
      <c r="X124" s="7">
        <f>IF(主角经验!BA125="","",主角经验!$B125*主角经验!BA125)</f>
        <v>246000</v>
      </c>
      <c r="Y124" s="7">
        <f>IF(主角经验!BB125="","",主角经验!$B125*主角经验!BB125)</f>
        <v>307500</v>
      </c>
      <c r="Z124" s="7">
        <f>IF(主角经验!BC125="","",主角经验!$B125*主角经验!BC125)</f>
        <v>430500</v>
      </c>
      <c r="AA124" s="7">
        <f>IF(主角经验!BD125="","",主角经验!$B125*主角经验!BD125)</f>
        <v>123000</v>
      </c>
      <c r="AB124" s="7" t="str">
        <f>IF(主角经验!BE125="","",主角经验!$B125*主角经验!BE125)</f>
        <v/>
      </c>
      <c r="AC124" s="7" t="str">
        <f>IF(主角经验!BF125="","",主角经验!$B125*主角经验!BF125)</f>
        <v/>
      </c>
      <c r="AD124" s="7" t="str">
        <f>IF(主角经验!BG125="","",主角经验!$B125*主角经验!BG125)</f>
        <v/>
      </c>
      <c r="AE124" s="7" t="str">
        <f>IF(主角经验!BH125="","",主角经验!$B125*主角经验!BH125)</f>
        <v/>
      </c>
      <c r="AF124" s="7">
        <f>主角经验!BK125</f>
        <v>5328400</v>
      </c>
      <c r="AG124" s="7">
        <f>主角经验!BO125</f>
        <v>547</v>
      </c>
    </row>
    <row r="125" spans="1:33">
      <c r="A125" s="32">
        <v>124</v>
      </c>
      <c r="B125" s="81">
        <f>主角经验!B126</f>
        <v>49600</v>
      </c>
      <c r="C125" s="7">
        <f>IF(主角经验!AF126="","",主角经验!$B126*主角经验!AF126)</f>
        <v>826832.00000000012</v>
      </c>
      <c r="D125" s="7">
        <f>IF(主角经验!AG126="","",主角经验!$B126*主角经验!AG126)</f>
        <v>327360</v>
      </c>
      <c r="E125" s="7">
        <f>IF(主角经验!AH126="","",主角经验!$B126*主角经验!AH126)</f>
        <v>124000</v>
      </c>
      <c r="F125" s="7">
        <f>IF(主角经验!AI126="","",主角经验!$B126*主角经验!AI126)</f>
        <v>744000</v>
      </c>
      <c r="G125" s="7" t="str">
        <f>IF(主角经验!AJ126="","",主角经验!$B126*主角经验!AJ126)</f>
        <v/>
      </c>
      <c r="H125" s="7" t="str">
        <f>IF(主角经验!AK126="","",主角经验!$B126*主角经验!AK126)</f>
        <v/>
      </c>
      <c r="I125" s="7" t="str">
        <f>IF(主角经验!AL126="","",主角经验!$B126*主角经验!AL126)</f>
        <v/>
      </c>
      <c r="J125" s="7" t="str">
        <f>IF(主角经验!AM126="","",主角经验!$B126*主角经验!AM126)</f>
        <v/>
      </c>
      <c r="K125" s="7">
        <f>IF(主角经验!AN126="","",主角经验!$B126*主角经验!AN126)</f>
        <v>496000</v>
      </c>
      <c r="L125" s="7">
        <f>IF(主角经验!AO126="","",主角经验!$B126*主角经验!AO126)</f>
        <v>165168</v>
      </c>
      <c r="M125" s="7">
        <f>IF(主角经验!AP126="","",主角经验!$B126*主角经验!AP126)</f>
        <v>992000</v>
      </c>
      <c r="N125" s="7">
        <f>IF(主角经验!AQ126="","",主角经验!$B126*主角经验!AQ126)</f>
        <v>595200</v>
      </c>
      <c r="O125" s="7">
        <f>IF(主角经验!AR126="","",主角经验!$B126*主角经验!AR126)</f>
        <v>620000</v>
      </c>
      <c r="P125" s="7">
        <f>IF(主角经验!AS126="","",主角经验!$B126*主角经验!AS126)</f>
        <v>41168</v>
      </c>
      <c r="Q125" s="7">
        <f>IF(主角经验!AT126="","",主角经验!$B126*主角经验!AT126)</f>
        <v>2579200</v>
      </c>
      <c r="R125" s="7">
        <f>IF(主角经验!AU126="","",主角经验!$B126*主角经验!AU126)</f>
        <v>297600</v>
      </c>
      <c r="S125" s="7">
        <f>IF(主角经验!AV126="","",主角经验!$B126*主角经验!AV126)</f>
        <v>330832</v>
      </c>
      <c r="T125" s="7">
        <f>IF(主角经验!AW126="","",主角经验!$B126*主角经验!AW126)</f>
        <v>0</v>
      </c>
      <c r="U125" s="7">
        <f>IF(主角经验!AX126="","",主角经验!$B126*主角经验!AX126)</f>
        <v>248000</v>
      </c>
      <c r="V125" s="7">
        <f>IF(主角经验!AY126="","",主角经验!$B126*主角经验!AY126)</f>
        <v>330832</v>
      </c>
      <c r="W125" s="7">
        <f>IF(主角经验!AZ126="","",主角经验!$B126*主角经验!AZ126)</f>
        <v>124000</v>
      </c>
      <c r="X125" s="7">
        <f>IF(主角经验!BA126="","",主角经验!$B126*主角经验!BA126)</f>
        <v>248000</v>
      </c>
      <c r="Y125" s="7">
        <f>IF(主角经验!BB126="","",主角经验!$B126*主角经验!BB126)</f>
        <v>310000</v>
      </c>
      <c r="Z125" s="7">
        <f>IF(主角经验!BC126="","",主角经验!$B126*主角经验!BC126)</f>
        <v>434000</v>
      </c>
      <c r="AA125" s="7">
        <f>IF(主角经验!BD126="","",主角经验!$B126*主角经验!BD126)</f>
        <v>124000</v>
      </c>
      <c r="AB125" s="7" t="str">
        <f>IF(主角经验!BE126="","",主角经验!$B126*主角经验!BE126)</f>
        <v/>
      </c>
      <c r="AC125" s="7" t="str">
        <f>IF(主角经验!BF126="","",主角经验!$B126*主角经验!BF126)</f>
        <v/>
      </c>
      <c r="AD125" s="7" t="str">
        <f>IF(主角经验!BG126="","",主角经验!$B126*主角经验!BG126)</f>
        <v/>
      </c>
      <c r="AE125" s="7" t="str">
        <f>IF(主角经验!BH126="","",主角经验!$B126*主角经验!BH126)</f>
        <v/>
      </c>
      <c r="AF125" s="7">
        <f>主角经验!BK126</f>
        <v>5426200</v>
      </c>
      <c r="AG125" s="7">
        <f>主角经验!BO126</f>
        <v>551</v>
      </c>
    </row>
    <row r="126" spans="1:33">
      <c r="A126" s="32">
        <v>125</v>
      </c>
      <c r="B126" s="81">
        <f>主角经验!B127</f>
        <v>50000</v>
      </c>
      <c r="C126" s="7">
        <f>IF(主角经验!AF127="","",主角经验!$B127*主角经验!AF127)</f>
        <v>833500.00000000012</v>
      </c>
      <c r="D126" s="7">
        <f>IF(主角经验!AG127="","",主角经验!$B127*主角经验!AG127)</f>
        <v>330000</v>
      </c>
      <c r="E126" s="7">
        <f>IF(主角经验!AH127="","",主角经验!$B127*主角经验!AH127)</f>
        <v>125000</v>
      </c>
      <c r="F126" s="7">
        <f>IF(主角经验!AI127="","",主角经验!$B127*主角经验!AI127)</f>
        <v>750000</v>
      </c>
      <c r="G126" s="7" t="str">
        <f>IF(主角经验!AJ127="","",主角经验!$B127*主角经验!AJ127)</f>
        <v/>
      </c>
      <c r="H126" s="7" t="str">
        <f>IF(主角经验!AK127="","",主角经验!$B127*主角经验!AK127)</f>
        <v/>
      </c>
      <c r="I126" s="7" t="str">
        <f>IF(主角经验!AL127="","",主角经验!$B127*主角经验!AL127)</f>
        <v/>
      </c>
      <c r="J126" s="7" t="str">
        <f>IF(主角经验!AM127="","",主角经验!$B127*主角经验!AM127)</f>
        <v/>
      </c>
      <c r="K126" s="7">
        <f>IF(主角经验!AN127="","",主角经验!$B127*主角经验!AN127)</f>
        <v>500000</v>
      </c>
      <c r="L126" s="7">
        <f>IF(主角经验!AO127="","",主角经验!$B127*主角经验!AO127)</f>
        <v>166500</v>
      </c>
      <c r="M126" s="7">
        <f>IF(主角经验!AP127="","",主角经验!$B127*主角经验!AP127)</f>
        <v>1000000</v>
      </c>
      <c r="N126" s="7">
        <f>IF(主角经验!AQ127="","",主角经验!$B127*主角经验!AQ127)</f>
        <v>600000</v>
      </c>
      <c r="O126" s="7">
        <f>IF(主角经验!AR127="","",主角经验!$B127*主角经验!AR127)</f>
        <v>625000</v>
      </c>
      <c r="P126" s="7">
        <f>IF(主角经验!AS127="","",主角经验!$B127*主角经验!AS127)</f>
        <v>41500</v>
      </c>
      <c r="Q126" s="7">
        <f>IF(主角经验!AT127="","",主角经验!$B127*主角经验!AT127)</f>
        <v>2600000</v>
      </c>
      <c r="R126" s="7">
        <f>IF(主角经验!AU127="","",主角经验!$B127*主角经验!AU127)</f>
        <v>300000</v>
      </c>
      <c r="S126" s="7">
        <f>IF(主角经验!AV127="","",主角经验!$B127*主角经验!AV127)</f>
        <v>333500</v>
      </c>
      <c r="T126" s="7">
        <f>IF(主角经验!AW127="","",主角经验!$B127*主角经验!AW127)</f>
        <v>0</v>
      </c>
      <c r="U126" s="7">
        <f>IF(主角经验!AX127="","",主角经验!$B127*主角经验!AX127)</f>
        <v>250000</v>
      </c>
      <c r="V126" s="7">
        <f>IF(主角经验!AY127="","",主角经验!$B127*主角经验!AY127)</f>
        <v>333500</v>
      </c>
      <c r="W126" s="7">
        <f>IF(主角经验!AZ127="","",主角经验!$B127*主角经验!AZ127)</f>
        <v>125000</v>
      </c>
      <c r="X126" s="7">
        <f>IF(主角经验!BA127="","",主角经验!$B127*主角经验!BA127)</f>
        <v>250000</v>
      </c>
      <c r="Y126" s="7">
        <f>IF(主角经验!BB127="","",主角经验!$B127*主角经验!BB127)</f>
        <v>312500</v>
      </c>
      <c r="Z126" s="7">
        <f>IF(主角经验!BC127="","",主角经验!$B127*主角经验!BC127)</f>
        <v>437500</v>
      </c>
      <c r="AA126" s="7">
        <f>IF(主角经验!BD127="","",主角经验!$B127*主角经验!BD127)</f>
        <v>125000</v>
      </c>
      <c r="AB126" s="7" t="str">
        <f>IF(主角经验!BE127="","",主角经验!$B127*主角经验!BE127)</f>
        <v/>
      </c>
      <c r="AC126" s="7" t="str">
        <f>IF(主角经验!BF127="","",主角经验!$B127*主角经验!BF127)</f>
        <v/>
      </c>
      <c r="AD126" s="7" t="str">
        <f>IF(主角经验!BG127="","",主角经验!$B127*主角经验!BG127)</f>
        <v/>
      </c>
      <c r="AE126" s="7" t="str">
        <f>IF(主角经验!BH127="","",主角经验!$B127*主角经验!BH127)</f>
        <v/>
      </c>
      <c r="AF126" s="7">
        <f>主角经验!BK127</f>
        <v>5525000</v>
      </c>
      <c r="AG126" s="7">
        <f>主角经验!BO127</f>
        <v>556</v>
      </c>
    </row>
    <row r="127" spans="1:33">
      <c r="A127" s="32">
        <v>126</v>
      </c>
      <c r="B127" s="81">
        <f>主角经验!B128</f>
        <v>50400</v>
      </c>
      <c r="C127" s="7">
        <f>IF(主角经验!AF128="","",主角经验!$B128*主角经验!AF128)</f>
        <v>840168.00000000012</v>
      </c>
      <c r="D127" s="7">
        <f>IF(主角经验!AG128="","",主角经验!$B128*主角经验!AG128)</f>
        <v>332640</v>
      </c>
      <c r="E127" s="7">
        <f>IF(主角经验!AH128="","",主角经验!$B128*主角经验!AH128)</f>
        <v>126000</v>
      </c>
      <c r="F127" s="7">
        <f>IF(主角经验!AI128="","",主角经验!$B128*主角经验!AI128)</f>
        <v>756000</v>
      </c>
      <c r="G127" s="7" t="str">
        <f>IF(主角经验!AJ128="","",主角经验!$B128*主角经验!AJ128)</f>
        <v/>
      </c>
      <c r="H127" s="7" t="str">
        <f>IF(主角经验!AK128="","",主角经验!$B128*主角经验!AK128)</f>
        <v/>
      </c>
      <c r="I127" s="7" t="str">
        <f>IF(主角经验!AL128="","",主角经验!$B128*主角经验!AL128)</f>
        <v/>
      </c>
      <c r="J127" s="7" t="str">
        <f>IF(主角经验!AM128="","",主角经验!$B128*主角经验!AM128)</f>
        <v/>
      </c>
      <c r="K127" s="7">
        <f>IF(主角经验!AN128="","",主角经验!$B128*主角经验!AN128)</f>
        <v>504000</v>
      </c>
      <c r="L127" s="7">
        <f>IF(主角经验!AO128="","",主角经验!$B128*主角经验!AO128)</f>
        <v>167832</v>
      </c>
      <c r="M127" s="7">
        <f>IF(主角经验!AP128="","",主角经验!$B128*主角经验!AP128)</f>
        <v>1008000</v>
      </c>
      <c r="N127" s="7">
        <f>IF(主角经验!AQ128="","",主角经验!$B128*主角经验!AQ128)</f>
        <v>604800</v>
      </c>
      <c r="O127" s="7">
        <f>IF(主角经验!AR128="","",主角经验!$B128*主角经验!AR128)</f>
        <v>630000</v>
      </c>
      <c r="P127" s="7">
        <f>IF(主角经验!AS128="","",主角经验!$B128*主角经验!AS128)</f>
        <v>41832</v>
      </c>
      <c r="Q127" s="7">
        <f>IF(主角经验!AT128="","",主角经验!$B128*主角经验!AT128)</f>
        <v>2620800</v>
      </c>
      <c r="R127" s="7">
        <f>IF(主角经验!AU128="","",主角经验!$B128*主角经验!AU128)</f>
        <v>302400</v>
      </c>
      <c r="S127" s="7">
        <f>IF(主角经验!AV128="","",主角经验!$B128*主角经验!AV128)</f>
        <v>336168</v>
      </c>
      <c r="T127" s="7">
        <f>IF(主角经验!AW128="","",主角经验!$B128*主角经验!AW128)</f>
        <v>0</v>
      </c>
      <c r="U127" s="7">
        <f>IF(主角经验!AX128="","",主角经验!$B128*主角经验!AX128)</f>
        <v>252000</v>
      </c>
      <c r="V127" s="7">
        <f>IF(主角经验!AY128="","",主角经验!$B128*主角经验!AY128)</f>
        <v>336168</v>
      </c>
      <c r="W127" s="7">
        <f>IF(主角经验!AZ128="","",主角经验!$B128*主角经验!AZ128)</f>
        <v>126000</v>
      </c>
      <c r="X127" s="7">
        <f>IF(主角经验!BA128="","",主角经验!$B128*主角经验!BA128)</f>
        <v>252000</v>
      </c>
      <c r="Y127" s="7">
        <f>IF(主角经验!BB128="","",主角经验!$B128*主角经验!BB128)</f>
        <v>315000</v>
      </c>
      <c r="Z127" s="7">
        <f>IF(主角经验!BC128="","",主角经验!$B128*主角经验!BC128)</f>
        <v>441000</v>
      </c>
      <c r="AA127" s="7">
        <f>IF(主角经验!BD128="","",主角经验!$B128*主角经验!BD128)</f>
        <v>126000</v>
      </c>
      <c r="AB127" s="7" t="str">
        <f>IF(主角经验!BE128="","",主角经验!$B128*主角经验!BE128)</f>
        <v/>
      </c>
      <c r="AC127" s="7" t="str">
        <f>IF(主角经验!BF128="","",主角经验!$B128*主角经验!BF128)</f>
        <v/>
      </c>
      <c r="AD127" s="7" t="str">
        <f>IF(主角经验!BG128="","",主角经验!$B128*主角经验!BG128)</f>
        <v/>
      </c>
      <c r="AE127" s="7" t="str">
        <f>IF(主角经验!BH128="","",主角经验!$B128*主角经验!BH128)</f>
        <v/>
      </c>
      <c r="AF127" s="7">
        <f>主角经验!BK128</f>
        <v>5624600</v>
      </c>
      <c r="AG127" s="7">
        <f>主角经验!BO128</f>
        <v>560</v>
      </c>
    </row>
    <row r="128" spans="1:33">
      <c r="A128" s="32">
        <v>127</v>
      </c>
      <c r="B128" s="81">
        <f>主角经验!B129</f>
        <v>50800</v>
      </c>
      <c r="C128" s="7">
        <f>IF(主角经验!AF129="","",主角经验!$B129*主角经验!AF129)</f>
        <v>846836.00000000012</v>
      </c>
      <c r="D128" s="7">
        <f>IF(主角经验!AG129="","",主角经验!$B129*主角经验!AG129)</f>
        <v>335280</v>
      </c>
      <c r="E128" s="7">
        <f>IF(主角经验!AH129="","",主角经验!$B129*主角经验!AH129)</f>
        <v>127000</v>
      </c>
      <c r="F128" s="7">
        <f>IF(主角经验!AI129="","",主角经验!$B129*主角经验!AI129)</f>
        <v>762000</v>
      </c>
      <c r="G128" s="7" t="str">
        <f>IF(主角经验!AJ129="","",主角经验!$B129*主角经验!AJ129)</f>
        <v/>
      </c>
      <c r="H128" s="7" t="str">
        <f>IF(主角经验!AK129="","",主角经验!$B129*主角经验!AK129)</f>
        <v/>
      </c>
      <c r="I128" s="7" t="str">
        <f>IF(主角经验!AL129="","",主角经验!$B129*主角经验!AL129)</f>
        <v/>
      </c>
      <c r="J128" s="7" t="str">
        <f>IF(主角经验!AM129="","",主角经验!$B129*主角经验!AM129)</f>
        <v/>
      </c>
      <c r="K128" s="7">
        <f>IF(主角经验!AN129="","",主角经验!$B129*主角经验!AN129)</f>
        <v>508000</v>
      </c>
      <c r="L128" s="7">
        <f>IF(主角经验!AO129="","",主角经验!$B129*主角经验!AO129)</f>
        <v>169164</v>
      </c>
      <c r="M128" s="7">
        <f>IF(主角经验!AP129="","",主角经验!$B129*主角经验!AP129)</f>
        <v>1016000</v>
      </c>
      <c r="N128" s="7">
        <f>IF(主角经验!AQ129="","",主角经验!$B129*主角经验!AQ129)</f>
        <v>609600</v>
      </c>
      <c r="O128" s="7">
        <f>IF(主角经验!AR129="","",主角经验!$B129*主角经验!AR129)</f>
        <v>635000</v>
      </c>
      <c r="P128" s="7">
        <f>IF(主角经验!AS129="","",主角经验!$B129*主角经验!AS129)</f>
        <v>42164</v>
      </c>
      <c r="Q128" s="7">
        <f>IF(主角经验!AT129="","",主角经验!$B129*主角经验!AT129)</f>
        <v>2641600</v>
      </c>
      <c r="R128" s="7">
        <f>IF(主角经验!AU129="","",主角经验!$B129*主角经验!AU129)</f>
        <v>304800</v>
      </c>
      <c r="S128" s="7">
        <f>IF(主角经验!AV129="","",主角经验!$B129*主角经验!AV129)</f>
        <v>338836</v>
      </c>
      <c r="T128" s="7">
        <f>IF(主角经验!AW129="","",主角经验!$B129*主角经验!AW129)</f>
        <v>0</v>
      </c>
      <c r="U128" s="7">
        <f>IF(主角经验!AX129="","",主角经验!$B129*主角经验!AX129)</f>
        <v>254000</v>
      </c>
      <c r="V128" s="7">
        <f>IF(主角经验!AY129="","",主角经验!$B129*主角经验!AY129)</f>
        <v>338836</v>
      </c>
      <c r="W128" s="7">
        <f>IF(主角经验!AZ129="","",主角经验!$B129*主角经验!AZ129)</f>
        <v>127000</v>
      </c>
      <c r="X128" s="7">
        <f>IF(主角经验!BA129="","",主角经验!$B129*主角经验!BA129)</f>
        <v>254000</v>
      </c>
      <c r="Y128" s="7">
        <f>IF(主角经验!BB129="","",主角经验!$B129*主角经验!BB129)</f>
        <v>317500</v>
      </c>
      <c r="Z128" s="7">
        <f>IF(主角经验!BC129="","",主角经验!$B129*主角经验!BC129)</f>
        <v>444500</v>
      </c>
      <c r="AA128" s="7">
        <f>IF(主角经验!BD129="","",主角经验!$B129*主角经验!BD129)</f>
        <v>127000</v>
      </c>
      <c r="AB128" s="7" t="str">
        <f>IF(主角经验!BE129="","",主角经验!$B129*主角经验!BE129)</f>
        <v/>
      </c>
      <c r="AC128" s="7" t="str">
        <f>IF(主角经验!BF129="","",主角经验!$B129*主角经验!BF129)</f>
        <v/>
      </c>
      <c r="AD128" s="7" t="str">
        <f>IF(主角经验!BG129="","",主角经验!$B129*主角经验!BG129)</f>
        <v/>
      </c>
      <c r="AE128" s="7" t="str">
        <f>IF(主角经验!BH129="","",主角经验!$B129*主角经验!BH129)</f>
        <v/>
      </c>
      <c r="AF128" s="7">
        <f>主角经验!BK129</f>
        <v>5725200</v>
      </c>
      <c r="AG128" s="7">
        <f>主角经验!BO129</f>
        <v>564</v>
      </c>
    </row>
    <row r="129" spans="1:33">
      <c r="A129" s="32">
        <v>128</v>
      </c>
      <c r="B129" s="81">
        <f>主角经验!B130</f>
        <v>51200</v>
      </c>
      <c r="C129" s="7">
        <f>IF(主角经验!AF130="","",主角经验!$B130*主角经验!AF130)</f>
        <v>853504.00000000012</v>
      </c>
      <c r="D129" s="7">
        <f>IF(主角经验!AG130="","",主角经验!$B130*主角经验!AG130)</f>
        <v>337920</v>
      </c>
      <c r="E129" s="7">
        <f>IF(主角经验!AH130="","",主角经验!$B130*主角经验!AH130)</f>
        <v>128000</v>
      </c>
      <c r="F129" s="7">
        <f>IF(主角经验!AI130="","",主角经验!$B130*主角经验!AI130)</f>
        <v>768000</v>
      </c>
      <c r="G129" s="7" t="str">
        <f>IF(主角经验!AJ130="","",主角经验!$B130*主角经验!AJ130)</f>
        <v/>
      </c>
      <c r="H129" s="7" t="str">
        <f>IF(主角经验!AK130="","",主角经验!$B130*主角经验!AK130)</f>
        <v/>
      </c>
      <c r="I129" s="7" t="str">
        <f>IF(主角经验!AL130="","",主角经验!$B130*主角经验!AL130)</f>
        <v/>
      </c>
      <c r="J129" s="7" t="str">
        <f>IF(主角经验!AM130="","",主角经验!$B130*主角经验!AM130)</f>
        <v/>
      </c>
      <c r="K129" s="7">
        <f>IF(主角经验!AN130="","",主角经验!$B130*主角经验!AN130)</f>
        <v>512000</v>
      </c>
      <c r="L129" s="7">
        <f>IF(主角经验!AO130="","",主角经验!$B130*主角经验!AO130)</f>
        <v>170496</v>
      </c>
      <c r="M129" s="7">
        <f>IF(主角经验!AP130="","",主角经验!$B130*主角经验!AP130)</f>
        <v>1024000</v>
      </c>
      <c r="N129" s="7">
        <f>IF(主角经验!AQ130="","",主角经验!$B130*主角经验!AQ130)</f>
        <v>614400</v>
      </c>
      <c r="O129" s="7">
        <f>IF(主角经验!AR130="","",主角经验!$B130*主角经验!AR130)</f>
        <v>640000</v>
      </c>
      <c r="P129" s="7">
        <f>IF(主角经验!AS130="","",主角经验!$B130*主角经验!AS130)</f>
        <v>42496</v>
      </c>
      <c r="Q129" s="7">
        <f>IF(主角经验!AT130="","",主角经验!$B130*主角经验!AT130)</f>
        <v>2662400</v>
      </c>
      <c r="R129" s="7">
        <f>IF(主角经验!AU130="","",主角经验!$B130*主角经验!AU130)</f>
        <v>307200</v>
      </c>
      <c r="S129" s="7">
        <f>IF(主角经验!AV130="","",主角经验!$B130*主角经验!AV130)</f>
        <v>341504</v>
      </c>
      <c r="T129" s="7">
        <f>IF(主角经验!AW130="","",主角经验!$B130*主角经验!AW130)</f>
        <v>0</v>
      </c>
      <c r="U129" s="7">
        <f>IF(主角经验!AX130="","",主角经验!$B130*主角经验!AX130)</f>
        <v>256000</v>
      </c>
      <c r="V129" s="7">
        <f>IF(主角经验!AY130="","",主角经验!$B130*主角经验!AY130)</f>
        <v>341504</v>
      </c>
      <c r="W129" s="7">
        <f>IF(主角经验!AZ130="","",主角经验!$B130*主角经验!AZ130)</f>
        <v>128000</v>
      </c>
      <c r="X129" s="7">
        <f>IF(主角经验!BA130="","",主角经验!$B130*主角经验!BA130)</f>
        <v>256000</v>
      </c>
      <c r="Y129" s="7">
        <f>IF(主角经验!BB130="","",主角经验!$B130*主角经验!BB130)</f>
        <v>320000</v>
      </c>
      <c r="Z129" s="7">
        <f>IF(主角经验!BC130="","",主角经验!$B130*主角经验!BC130)</f>
        <v>448000</v>
      </c>
      <c r="AA129" s="7">
        <f>IF(主角经验!BD130="","",主角经验!$B130*主角经验!BD130)</f>
        <v>128000</v>
      </c>
      <c r="AB129" s="7" t="str">
        <f>IF(主角经验!BE130="","",主角经验!$B130*主角经验!BE130)</f>
        <v/>
      </c>
      <c r="AC129" s="7" t="str">
        <f>IF(主角经验!BF130="","",主角经验!$B130*主角经验!BF130)</f>
        <v/>
      </c>
      <c r="AD129" s="7" t="str">
        <f>IF(主角经验!BG130="","",主角经验!$B130*主角经验!BG130)</f>
        <v/>
      </c>
      <c r="AE129" s="7" t="str">
        <f>IF(主角经验!BH130="","",主角经验!$B130*主角经验!BH130)</f>
        <v/>
      </c>
      <c r="AF129" s="7">
        <f>主角经验!BK130</f>
        <v>5826600</v>
      </c>
      <c r="AG129" s="7">
        <f>主角经验!BO130</f>
        <v>569</v>
      </c>
    </row>
    <row r="130" spans="1:33">
      <c r="A130" s="32">
        <v>129</v>
      </c>
      <c r="B130" s="81">
        <f>主角经验!B131</f>
        <v>51600</v>
      </c>
      <c r="C130" s="7">
        <f>IF(主角经验!AF131="","",主角经验!$B131*主角经验!AF131)</f>
        <v>860172.00000000012</v>
      </c>
      <c r="D130" s="7">
        <f>IF(主角经验!AG131="","",主角经验!$B131*主角经验!AG131)</f>
        <v>340560</v>
      </c>
      <c r="E130" s="7">
        <f>IF(主角经验!AH131="","",主角经验!$B131*主角经验!AH131)</f>
        <v>129000</v>
      </c>
      <c r="F130" s="7">
        <f>IF(主角经验!AI131="","",主角经验!$B131*主角经验!AI131)</f>
        <v>774000</v>
      </c>
      <c r="G130" s="7" t="str">
        <f>IF(主角经验!AJ131="","",主角经验!$B131*主角经验!AJ131)</f>
        <v/>
      </c>
      <c r="H130" s="7" t="str">
        <f>IF(主角经验!AK131="","",主角经验!$B131*主角经验!AK131)</f>
        <v/>
      </c>
      <c r="I130" s="7" t="str">
        <f>IF(主角经验!AL131="","",主角经验!$B131*主角经验!AL131)</f>
        <v/>
      </c>
      <c r="J130" s="7" t="str">
        <f>IF(主角经验!AM131="","",主角经验!$B131*主角经验!AM131)</f>
        <v/>
      </c>
      <c r="K130" s="7">
        <f>IF(主角经验!AN131="","",主角经验!$B131*主角经验!AN131)</f>
        <v>516000</v>
      </c>
      <c r="L130" s="7">
        <f>IF(主角经验!AO131="","",主角经验!$B131*主角经验!AO131)</f>
        <v>171828</v>
      </c>
      <c r="M130" s="7">
        <f>IF(主角经验!AP131="","",主角经验!$B131*主角经验!AP131)</f>
        <v>1032000</v>
      </c>
      <c r="N130" s="7">
        <f>IF(主角经验!AQ131="","",主角经验!$B131*主角经验!AQ131)</f>
        <v>619200</v>
      </c>
      <c r="O130" s="7">
        <f>IF(主角经验!AR131="","",主角经验!$B131*主角经验!AR131)</f>
        <v>645000</v>
      </c>
      <c r="P130" s="7">
        <f>IF(主角经验!AS131="","",主角经验!$B131*主角经验!AS131)</f>
        <v>42828</v>
      </c>
      <c r="Q130" s="7">
        <f>IF(主角经验!AT131="","",主角经验!$B131*主角经验!AT131)</f>
        <v>2683200</v>
      </c>
      <c r="R130" s="7">
        <f>IF(主角经验!AU131="","",主角经验!$B131*主角经验!AU131)</f>
        <v>309600</v>
      </c>
      <c r="S130" s="7">
        <f>IF(主角经验!AV131="","",主角经验!$B131*主角经验!AV131)</f>
        <v>344172</v>
      </c>
      <c r="T130" s="7">
        <f>IF(主角经验!AW131="","",主角经验!$B131*主角经验!AW131)</f>
        <v>0</v>
      </c>
      <c r="U130" s="7">
        <f>IF(主角经验!AX131="","",主角经验!$B131*主角经验!AX131)</f>
        <v>258000</v>
      </c>
      <c r="V130" s="7">
        <f>IF(主角经验!AY131="","",主角经验!$B131*主角经验!AY131)</f>
        <v>344172</v>
      </c>
      <c r="W130" s="7">
        <f>IF(主角经验!AZ131="","",主角经验!$B131*主角经验!AZ131)</f>
        <v>129000</v>
      </c>
      <c r="X130" s="7">
        <f>IF(主角经验!BA131="","",主角经验!$B131*主角经验!BA131)</f>
        <v>258000</v>
      </c>
      <c r="Y130" s="7">
        <f>IF(主角经验!BB131="","",主角经验!$B131*主角经验!BB131)</f>
        <v>322500</v>
      </c>
      <c r="Z130" s="7">
        <f>IF(主角经验!BC131="","",主角经验!$B131*主角经验!BC131)</f>
        <v>451500</v>
      </c>
      <c r="AA130" s="7">
        <f>IF(主角经验!BD131="","",主角经验!$B131*主角经验!BD131)</f>
        <v>129000</v>
      </c>
      <c r="AB130" s="7" t="str">
        <f>IF(主角经验!BE131="","",主角经验!$B131*主角经验!BE131)</f>
        <v/>
      </c>
      <c r="AC130" s="7" t="str">
        <f>IF(主角经验!BF131="","",主角经验!$B131*主角经验!BF131)</f>
        <v/>
      </c>
      <c r="AD130" s="7" t="str">
        <f>IF(主角经验!BG131="","",主角经验!$B131*主角经验!BG131)</f>
        <v/>
      </c>
      <c r="AE130" s="7" t="str">
        <f>IF(主角经验!BH131="","",主角经验!$B131*主角经验!BH131)</f>
        <v/>
      </c>
      <c r="AF130" s="7">
        <f>主角经验!BK131</f>
        <v>5928800</v>
      </c>
      <c r="AG130" s="7">
        <f>主角经验!BO131</f>
        <v>573</v>
      </c>
    </row>
    <row r="131" spans="1:33">
      <c r="A131" s="32">
        <v>130</v>
      </c>
      <c r="B131" s="81">
        <f>主角经验!B132</f>
        <v>52000</v>
      </c>
      <c r="C131" s="7">
        <f>IF(主角经验!AF132="","",主角经验!$B132*主角经验!AF132)</f>
        <v>866840.00000000012</v>
      </c>
      <c r="D131" s="7">
        <f>IF(主角经验!AG132="","",主角经验!$B132*主角经验!AG132)</f>
        <v>343200</v>
      </c>
      <c r="E131" s="7">
        <f>IF(主角经验!AH132="","",主角经验!$B132*主角经验!AH132)</f>
        <v>130000</v>
      </c>
      <c r="F131" s="7">
        <f>IF(主角经验!AI132="","",主角经验!$B132*主角经验!AI132)</f>
        <v>780000</v>
      </c>
      <c r="G131" s="7" t="str">
        <f>IF(主角经验!AJ132="","",主角经验!$B132*主角经验!AJ132)</f>
        <v/>
      </c>
      <c r="H131" s="7" t="str">
        <f>IF(主角经验!AK132="","",主角经验!$B132*主角经验!AK132)</f>
        <v/>
      </c>
      <c r="I131" s="7" t="str">
        <f>IF(主角经验!AL132="","",主角经验!$B132*主角经验!AL132)</f>
        <v/>
      </c>
      <c r="J131" s="7" t="str">
        <f>IF(主角经验!AM132="","",主角经验!$B132*主角经验!AM132)</f>
        <v/>
      </c>
      <c r="K131" s="7">
        <f>IF(主角经验!AN132="","",主角经验!$B132*主角经验!AN132)</f>
        <v>520000</v>
      </c>
      <c r="L131" s="7">
        <f>IF(主角经验!AO132="","",主角经验!$B132*主角经验!AO132)</f>
        <v>173160</v>
      </c>
      <c r="M131" s="7">
        <f>IF(主角经验!AP132="","",主角经验!$B132*主角经验!AP132)</f>
        <v>1040000</v>
      </c>
      <c r="N131" s="7">
        <f>IF(主角经验!AQ132="","",主角经验!$B132*主角经验!AQ132)</f>
        <v>624000</v>
      </c>
      <c r="O131" s="7">
        <f>IF(主角经验!AR132="","",主角经验!$B132*主角经验!AR132)</f>
        <v>650000</v>
      </c>
      <c r="P131" s="7">
        <f>IF(主角经验!AS132="","",主角经验!$B132*主角经验!AS132)</f>
        <v>43160</v>
      </c>
      <c r="Q131" s="7">
        <f>IF(主角经验!AT132="","",主角经验!$B132*主角经验!AT132)</f>
        <v>2704000</v>
      </c>
      <c r="R131" s="7">
        <f>IF(主角经验!AU132="","",主角经验!$B132*主角经验!AU132)</f>
        <v>312000</v>
      </c>
      <c r="S131" s="7">
        <f>IF(主角经验!AV132="","",主角经验!$B132*主角经验!AV132)</f>
        <v>346840</v>
      </c>
      <c r="T131" s="7">
        <f>IF(主角经验!AW132="","",主角经验!$B132*主角经验!AW132)</f>
        <v>0</v>
      </c>
      <c r="U131" s="7">
        <f>IF(主角经验!AX132="","",主角经验!$B132*主角经验!AX132)</f>
        <v>260000</v>
      </c>
      <c r="V131" s="7">
        <f>IF(主角经验!AY132="","",主角经验!$B132*主角经验!AY132)</f>
        <v>346840</v>
      </c>
      <c r="W131" s="7">
        <f>IF(主角经验!AZ132="","",主角经验!$B132*主角经验!AZ132)</f>
        <v>130000</v>
      </c>
      <c r="X131" s="7">
        <f>IF(主角经验!BA132="","",主角经验!$B132*主角经验!BA132)</f>
        <v>260000</v>
      </c>
      <c r="Y131" s="7">
        <f>IF(主角经验!BB132="","",主角经验!$B132*主角经验!BB132)</f>
        <v>325000</v>
      </c>
      <c r="Z131" s="7">
        <f>IF(主角经验!BC132="","",主角经验!$B132*主角经验!BC132)</f>
        <v>455000</v>
      </c>
      <c r="AA131" s="7">
        <f>IF(主角经验!BD132="","",主角经验!$B132*主角经验!BD132)</f>
        <v>130000</v>
      </c>
      <c r="AB131" s="7" t="str">
        <f>IF(主角经验!BE132="","",主角经验!$B132*主角经验!BE132)</f>
        <v/>
      </c>
      <c r="AC131" s="7" t="str">
        <f>IF(主角经验!BF132="","",主角经验!$B132*主角经验!BF132)</f>
        <v/>
      </c>
      <c r="AD131" s="7" t="str">
        <f>IF(主角经验!BG132="","",主角经验!$B132*主角经验!BG132)</f>
        <v/>
      </c>
      <c r="AE131" s="7" t="str">
        <f>IF(主角经验!BH132="","",主角经验!$B132*主角经验!BH132)</f>
        <v/>
      </c>
      <c r="AF131" s="7">
        <f>主角经验!BK132</f>
        <v>6032000</v>
      </c>
      <c r="AG131" s="7">
        <f>主角经验!BO132</f>
        <v>578</v>
      </c>
    </row>
    <row r="132" spans="1:33">
      <c r="A132" s="32">
        <v>131</v>
      </c>
      <c r="B132" s="81">
        <f>主角经验!B133</f>
        <v>52400</v>
      </c>
      <c r="C132" s="7">
        <f>IF(主角经验!AF133="","",主角经验!$B133*主角经验!AF133)</f>
        <v>873508.00000000012</v>
      </c>
      <c r="D132" s="7">
        <f>IF(主角经验!AG133="","",主角经验!$B133*主角经验!AG133)</f>
        <v>345840</v>
      </c>
      <c r="E132" s="7">
        <f>IF(主角经验!AH133="","",主角经验!$B133*主角经验!AH133)</f>
        <v>131000</v>
      </c>
      <c r="F132" s="7">
        <f>IF(主角经验!AI133="","",主角经验!$B133*主角经验!AI133)</f>
        <v>786000</v>
      </c>
      <c r="G132" s="7" t="str">
        <f>IF(主角经验!AJ133="","",主角经验!$B133*主角经验!AJ133)</f>
        <v/>
      </c>
      <c r="H132" s="7" t="str">
        <f>IF(主角经验!AK133="","",主角经验!$B133*主角经验!AK133)</f>
        <v/>
      </c>
      <c r="I132" s="7" t="str">
        <f>IF(主角经验!AL133="","",主角经验!$B133*主角经验!AL133)</f>
        <v/>
      </c>
      <c r="J132" s="7" t="str">
        <f>IF(主角经验!AM133="","",主角经验!$B133*主角经验!AM133)</f>
        <v/>
      </c>
      <c r="K132" s="7">
        <f>IF(主角经验!AN133="","",主角经验!$B133*主角经验!AN133)</f>
        <v>524000</v>
      </c>
      <c r="L132" s="7">
        <f>IF(主角经验!AO133="","",主角经验!$B133*主角经验!AO133)</f>
        <v>174492</v>
      </c>
      <c r="M132" s="7">
        <f>IF(主角经验!AP133="","",主角经验!$B133*主角经验!AP133)</f>
        <v>1048000</v>
      </c>
      <c r="N132" s="7">
        <f>IF(主角经验!AQ133="","",主角经验!$B133*主角经验!AQ133)</f>
        <v>628800</v>
      </c>
      <c r="O132" s="7">
        <f>IF(主角经验!AR133="","",主角经验!$B133*主角经验!AR133)</f>
        <v>655000</v>
      </c>
      <c r="P132" s="7">
        <f>IF(主角经验!AS133="","",主角经验!$B133*主角经验!AS133)</f>
        <v>43492</v>
      </c>
      <c r="Q132" s="7">
        <f>IF(主角经验!AT133="","",主角经验!$B133*主角经验!AT133)</f>
        <v>2724800</v>
      </c>
      <c r="R132" s="7">
        <f>IF(主角经验!AU133="","",主角经验!$B133*主角经验!AU133)</f>
        <v>314400</v>
      </c>
      <c r="S132" s="7">
        <f>IF(主角经验!AV133="","",主角经验!$B133*主角经验!AV133)</f>
        <v>349508</v>
      </c>
      <c r="T132" s="7">
        <f>IF(主角经验!AW133="","",主角经验!$B133*主角经验!AW133)</f>
        <v>0</v>
      </c>
      <c r="U132" s="7">
        <f>IF(主角经验!AX133="","",主角经验!$B133*主角经验!AX133)</f>
        <v>262000</v>
      </c>
      <c r="V132" s="7">
        <f>IF(主角经验!AY133="","",主角经验!$B133*主角经验!AY133)</f>
        <v>349508</v>
      </c>
      <c r="W132" s="7">
        <f>IF(主角经验!AZ133="","",主角经验!$B133*主角经验!AZ133)</f>
        <v>131000</v>
      </c>
      <c r="X132" s="7">
        <f>IF(主角经验!BA133="","",主角经验!$B133*主角经验!BA133)</f>
        <v>262000</v>
      </c>
      <c r="Y132" s="7">
        <f>IF(主角经验!BB133="","",主角经验!$B133*主角经验!BB133)</f>
        <v>327500</v>
      </c>
      <c r="Z132" s="7">
        <f>IF(主角经验!BC133="","",主角经验!$B133*主角经验!BC133)</f>
        <v>458500</v>
      </c>
      <c r="AA132" s="7">
        <f>IF(主角经验!BD133="","",主角经验!$B133*主角经验!BD133)</f>
        <v>131000</v>
      </c>
      <c r="AB132" s="7" t="str">
        <f>IF(主角经验!BE133="","",主角经验!$B133*主角经验!BE133)</f>
        <v/>
      </c>
      <c r="AC132" s="7" t="str">
        <f>IF(主角经验!BF133="","",主角经验!$B133*主角经验!BF133)</f>
        <v/>
      </c>
      <c r="AD132" s="7" t="str">
        <f>IF(主角经验!BG133="","",主角经验!$B133*主角经验!BG133)</f>
        <v/>
      </c>
      <c r="AE132" s="7" t="str">
        <f>IF(主角经验!BH133="","",主角经验!$B133*主角经验!BH133)</f>
        <v/>
      </c>
      <c r="AF132" s="7">
        <f>主角经验!BK133</f>
        <v>6136000</v>
      </c>
      <c r="AG132" s="7">
        <f>主角经验!BO133</f>
        <v>582</v>
      </c>
    </row>
    <row r="133" spans="1:33">
      <c r="A133" s="32">
        <v>132</v>
      </c>
      <c r="B133" s="81">
        <f>主角经验!B134</f>
        <v>52800</v>
      </c>
      <c r="C133" s="7">
        <f>IF(主角经验!AF134="","",主角经验!$B134*主角经验!AF134)</f>
        <v>880176.00000000012</v>
      </c>
      <c r="D133" s="7">
        <f>IF(主角经验!AG134="","",主角经验!$B134*主角经验!AG134)</f>
        <v>348480</v>
      </c>
      <c r="E133" s="7">
        <f>IF(主角经验!AH134="","",主角经验!$B134*主角经验!AH134)</f>
        <v>132000</v>
      </c>
      <c r="F133" s="7">
        <f>IF(主角经验!AI134="","",主角经验!$B134*主角经验!AI134)</f>
        <v>792000</v>
      </c>
      <c r="G133" s="7" t="str">
        <f>IF(主角经验!AJ134="","",主角经验!$B134*主角经验!AJ134)</f>
        <v/>
      </c>
      <c r="H133" s="7" t="str">
        <f>IF(主角经验!AK134="","",主角经验!$B134*主角经验!AK134)</f>
        <v/>
      </c>
      <c r="I133" s="7" t="str">
        <f>IF(主角经验!AL134="","",主角经验!$B134*主角经验!AL134)</f>
        <v/>
      </c>
      <c r="J133" s="7" t="str">
        <f>IF(主角经验!AM134="","",主角经验!$B134*主角经验!AM134)</f>
        <v/>
      </c>
      <c r="K133" s="7">
        <f>IF(主角经验!AN134="","",主角经验!$B134*主角经验!AN134)</f>
        <v>528000</v>
      </c>
      <c r="L133" s="7">
        <f>IF(主角经验!AO134="","",主角经验!$B134*主角经验!AO134)</f>
        <v>175824</v>
      </c>
      <c r="M133" s="7">
        <f>IF(主角经验!AP134="","",主角经验!$B134*主角经验!AP134)</f>
        <v>1056000</v>
      </c>
      <c r="N133" s="7">
        <f>IF(主角经验!AQ134="","",主角经验!$B134*主角经验!AQ134)</f>
        <v>633600</v>
      </c>
      <c r="O133" s="7">
        <f>IF(主角经验!AR134="","",主角经验!$B134*主角经验!AR134)</f>
        <v>660000</v>
      </c>
      <c r="P133" s="7">
        <f>IF(主角经验!AS134="","",主角经验!$B134*主角经验!AS134)</f>
        <v>43824</v>
      </c>
      <c r="Q133" s="7">
        <f>IF(主角经验!AT134="","",主角经验!$B134*主角经验!AT134)</f>
        <v>2745600</v>
      </c>
      <c r="R133" s="7">
        <f>IF(主角经验!AU134="","",主角经验!$B134*主角经验!AU134)</f>
        <v>316800</v>
      </c>
      <c r="S133" s="7">
        <f>IF(主角经验!AV134="","",主角经验!$B134*主角经验!AV134)</f>
        <v>352176</v>
      </c>
      <c r="T133" s="7">
        <f>IF(主角经验!AW134="","",主角经验!$B134*主角经验!AW134)</f>
        <v>0</v>
      </c>
      <c r="U133" s="7">
        <f>IF(主角经验!AX134="","",主角经验!$B134*主角经验!AX134)</f>
        <v>264000</v>
      </c>
      <c r="V133" s="7">
        <f>IF(主角经验!AY134="","",主角经验!$B134*主角经验!AY134)</f>
        <v>352176</v>
      </c>
      <c r="W133" s="7">
        <f>IF(主角经验!AZ134="","",主角经验!$B134*主角经验!AZ134)</f>
        <v>132000</v>
      </c>
      <c r="X133" s="7">
        <f>IF(主角经验!BA134="","",主角经验!$B134*主角经验!BA134)</f>
        <v>264000</v>
      </c>
      <c r="Y133" s="7">
        <f>IF(主角经验!BB134="","",主角经验!$B134*主角经验!BB134)</f>
        <v>330000</v>
      </c>
      <c r="Z133" s="7">
        <f>IF(主角经验!BC134="","",主角经验!$B134*主角经验!BC134)</f>
        <v>462000</v>
      </c>
      <c r="AA133" s="7">
        <f>IF(主角经验!BD134="","",主角经验!$B134*主角经验!BD134)</f>
        <v>132000</v>
      </c>
      <c r="AB133" s="7" t="str">
        <f>IF(主角经验!BE134="","",主角经验!$B134*主角经验!BE134)</f>
        <v/>
      </c>
      <c r="AC133" s="7" t="str">
        <f>IF(主角经验!BF134="","",主角经验!$B134*主角经验!BF134)</f>
        <v/>
      </c>
      <c r="AD133" s="7" t="str">
        <f>IF(主角经验!BG134="","",主角经验!$B134*主角经验!BG134)</f>
        <v/>
      </c>
      <c r="AE133" s="7" t="str">
        <f>IF(主角经验!BH134="","",主角经验!$B134*主角经验!BH134)</f>
        <v/>
      </c>
      <c r="AF133" s="7">
        <f>主角经验!BK134</f>
        <v>6241000</v>
      </c>
      <c r="AG133" s="7">
        <f>主角经验!BO134</f>
        <v>587</v>
      </c>
    </row>
    <row r="134" spans="1:33">
      <c r="A134" s="32">
        <v>133</v>
      </c>
      <c r="B134" s="81">
        <f>主角经验!B135</f>
        <v>53200</v>
      </c>
      <c r="C134" s="7">
        <f>IF(主角经验!AF135="","",主角经验!$B135*主角经验!AF135)</f>
        <v>886844.00000000012</v>
      </c>
      <c r="D134" s="7">
        <f>IF(主角经验!AG135="","",主角经验!$B135*主角经验!AG135)</f>
        <v>351120</v>
      </c>
      <c r="E134" s="7">
        <f>IF(主角经验!AH135="","",主角经验!$B135*主角经验!AH135)</f>
        <v>133000</v>
      </c>
      <c r="F134" s="7">
        <f>IF(主角经验!AI135="","",主角经验!$B135*主角经验!AI135)</f>
        <v>798000</v>
      </c>
      <c r="G134" s="7" t="str">
        <f>IF(主角经验!AJ135="","",主角经验!$B135*主角经验!AJ135)</f>
        <v/>
      </c>
      <c r="H134" s="7" t="str">
        <f>IF(主角经验!AK135="","",主角经验!$B135*主角经验!AK135)</f>
        <v/>
      </c>
      <c r="I134" s="7" t="str">
        <f>IF(主角经验!AL135="","",主角经验!$B135*主角经验!AL135)</f>
        <v/>
      </c>
      <c r="J134" s="7" t="str">
        <f>IF(主角经验!AM135="","",主角经验!$B135*主角经验!AM135)</f>
        <v/>
      </c>
      <c r="K134" s="7">
        <f>IF(主角经验!AN135="","",主角经验!$B135*主角经验!AN135)</f>
        <v>532000</v>
      </c>
      <c r="L134" s="7">
        <f>IF(主角经验!AO135="","",主角经验!$B135*主角经验!AO135)</f>
        <v>177156</v>
      </c>
      <c r="M134" s="7">
        <f>IF(主角经验!AP135="","",主角经验!$B135*主角经验!AP135)</f>
        <v>1064000</v>
      </c>
      <c r="N134" s="7">
        <f>IF(主角经验!AQ135="","",主角经验!$B135*主角经验!AQ135)</f>
        <v>638400</v>
      </c>
      <c r="O134" s="7">
        <f>IF(主角经验!AR135="","",主角经验!$B135*主角经验!AR135)</f>
        <v>665000</v>
      </c>
      <c r="P134" s="7">
        <f>IF(主角经验!AS135="","",主角经验!$B135*主角经验!AS135)</f>
        <v>44156</v>
      </c>
      <c r="Q134" s="7">
        <f>IF(主角经验!AT135="","",主角经验!$B135*主角经验!AT135)</f>
        <v>2766400</v>
      </c>
      <c r="R134" s="7">
        <f>IF(主角经验!AU135="","",主角经验!$B135*主角经验!AU135)</f>
        <v>319200</v>
      </c>
      <c r="S134" s="7">
        <f>IF(主角经验!AV135="","",主角经验!$B135*主角经验!AV135)</f>
        <v>354844</v>
      </c>
      <c r="T134" s="7">
        <f>IF(主角经验!AW135="","",主角经验!$B135*主角经验!AW135)</f>
        <v>0</v>
      </c>
      <c r="U134" s="7">
        <f>IF(主角经验!AX135="","",主角经验!$B135*主角经验!AX135)</f>
        <v>266000</v>
      </c>
      <c r="V134" s="7">
        <f>IF(主角经验!AY135="","",主角经验!$B135*主角经验!AY135)</f>
        <v>354844</v>
      </c>
      <c r="W134" s="7">
        <f>IF(主角经验!AZ135="","",主角经验!$B135*主角经验!AZ135)</f>
        <v>133000</v>
      </c>
      <c r="X134" s="7">
        <f>IF(主角经验!BA135="","",主角经验!$B135*主角经验!BA135)</f>
        <v>266000</v>
      </c>
      <c r="Y134" s="7">
        <f>IF(主角经验!BB135="","",主角经验!$B135*主角经验!BB135)</f>
        <v>332500</v>
      </c>
      <c r="Z134" s="7">
        <f>IF(主角经验!BC135="","",主角经验!$B135*主角经验!BC135)</f>
        <v>465500</v>
      </c>
      <c r="AA134" s="7">
        <f>IF(主角经验!BD135="","",主角经验!$B135*主角经验!BD135)</f>
        <v>133000</v>
      </c>
      <c r="AB134" s="7" t="str">
        <f>IF(主角经验!BE135="","",主角经验!$B135*主角经验!BE135)</f>
        <v/>
      </c>
      <c r="AC134" s="7" t="str">
        <f>IF(主角经验!BF135="","",主角经验!$B135*主角经验!BF135)</f>
        <v/>
      </c>
      <c r="AD134" s="7" t="str">
        <f>IF(主角经验!BG135="","",主角经验!$B135*主角经验!BG135)</f>
        <v/>
      </c>
      <c r="AE134" s="7" t="str">
        <f>IF(主角经验!BH135="","",主角经验!$B135*主角经验!BH135)</f>
        <v/>
      </c>
      <c r="AF134" s="7">
        <f>主角经验!BK135</f>
        <v>6346800</v>
      </c>
      <c r="AG134" s="7">
        <f>主角经验!BO135</f>
        <v>591</v>
      </c>
    </row>
    <row r="135" spans="1:33">
      <c r="A135" s="32">
        <v>134</v>
      </c>
      <c r="B135" s="81">
        <f>主角经验!B136</f>
        <v>53600</v>
      </c>
      <c r="C135" s="7">
        <f>IF(主角经验!AF136="","",主角经验!$B136*主角经验!AF136)</f>
        <v>893512.00000000012</v>
      </c>
      <c r="D135" s="7">
        <f>IF(主角经验!AG136="","",主角经验!$B136*主角经验!AG136)</f>
        <v>353760</v>
      </c>
      <c r="E135" s="7">
        <f>IF(主角经验!AH136="","",主角经验!$B136*主角经验!AH136)</f>
        <v>134000</v>
      </c>
      <c r="F135" s="7">
        <f>IF(主角经验!AI136="","",主角经验!$B136*主角经验!AI136)</f>
        <v>804000</v>
      </c>
      <c r="G135" s="7" t="str">
        <f>IF(主角经验!AJ136="","",主角经验!$B136*主角经验!AJ136)</f>
        <v/>
      </c>
      <c r="H135" s="7" t="str">
        <f>IF(主角经验!AK136="","",主角经验!$B136*主角经验!AK136)</f>
        <v/>
      </c>
      <c r="I135" s="7" t="str">
        <f>IF(主角经验!AL136="","",主角经验!$B136*主角经验!AL136)</f>
        <v/>
      </c>
      <c r="J135" s="7" t="str">
        <f>IF(主角经验!AM136="","",主角经验!$B136*主角经验!AM136)</f>
        <v/>
      </c>
      <c r="K135" s="7">
        <f>IF(主角经验!AN136="","",主角经验!$B136*主角经验!AN136)</f>
        <v>536000</v>
      </c>
      <c r="L135" s="7">
        <f>IF(主角经验!AO136="","",主角经验!$B136*主角经验!AO136)</f>
        <v>178488</v>
      </c>
      <c r="M135" s="7">
        <f>IF(主角经验!AP136="","",主角经验!$B136*主角经验!AP136)</f>
        <v>1072000</v>
      </c>
      <c r="N135" s="7">
        <f>IF(主角经验!AQ136="","",主角经验!$B136*主角经验!AQ136)</f>
        <v>643200</v>
      </c>
      <c r="O135" s="7">
        <f>IF(主角经验!AR136="","",主角经验!$B136*主角经验!AR136)</f>
        <v>670000</v>
      </c>
      <c r="P135" s="7">
        <f>IF(主角经验!AS136="","",主角经验!$B136*主角经验!AS136)</f>
        <v>44488</v>
      </c>
      <c r="Q135" s="7">
        <f>IF(主角经验!AT136="","",主角经验!$B136*主角经验!AT136)</f>
        <v>2787200</v>
      </c>
      <c r="R135" s="7">
        <f>IF(主角经验!AU136="","",主角经验!$B136*主角经验!AU136)</f>
        <v>321600</v>
      </c>
      <c r="S135" s="7">
        <f>IF(主角经验!AV136="","",主角经验!$B136*主角经验!AV136)</f>
        <v>357512</v>
      </c>
      <c r="T135" s="7">
        <f>IF(主角经验!AW136="","",主角经验!$B136*主角经验!AW136)</f>
        <v>0</v>
      </c>
      <c r="U135" s="7">
        <f>IF(主角经验!AX136="","",主角经验!$B136*主角经验!AX136)</f>
        <v>268000</v>
      </c>
      <c r="V135" s="7">
        <f>IF(主角经验!AY136="","",主角经验!$B136*主角经验!AY136)</f>
        <v>357512</v>
      </c>
      <c r="W135" s="7">
        <f>IF(主角经验!AZ136="","",主角经验!$B136*主角经验!AZ136)</f>
        <v>134000</v>
      </c>
      <c r="X135" s="7">
        <f>IF(主角经验!BA136="","",主角经验!$B136*主角经验!BA136)</f>
        <v>268000</v>
      </c>
      <c r="Y135" s="7">
        <f>IF(主角经验!BB136="","",主角经验!$B136*主角经验!BB136)</f>
        <v>335000</v>
      </c>
      <c r="Z135" s="7">
        <f>IF(主角经验!BC136="","",主角经验!$B136*主角经验!BC136)</f>
        <v>469000</v>
      </c>
      <c r="AA135" s="7">
        <f>IF(主角经验!BD136="","",主角经验!$B136*主角经验!BD136)</f>
        <v>134000</v>
      </c>
      <c r="AB135" s="7" t="str">
        <f>IF(主角经验!BE136="","",主角经验!$B136*主角经验!BE136)</f>
        <v/>
      </c>
      <c r="AC135" s="7" t="str">
        <f>IF(主角经验!BF136="","",主角经验!$B136*主角经验!BF136)</f>
        <v/>
      </c>
      <c r="AD135" s="7" t="str">
        <f>IF(主角经验!BG136="","",主角经验!$B136*主角经验!BG136)</f>
        <v/>
      </c>
      <c r="AE135" s="7" t="str">
        <f>IF(主角经验!BH136="","",主角经验!$B136*主角经验!BH136)</f>
        <v/>
      </c>
      <c r="AF135" s="7">
        <f>主角经验!BK136</f>
        <v>6453400</v>
      </c>
      <c r="AG135" s="7">
        <f>主角经验!BO136</f>
        <v>596</v>
      </c>
    </row>
    <row r="136" spans="1:33">
      <c r="A136" s="32">
        <v>135</v>
      </c>
      <c r="B136" s="81">
        <f>主角经验!B137</f>
        <v>54000</v>
      </c>
      <c r="C136" s="7">
        <f>IF(主角经验!AF137="","",主角经验!$B137*主角经验!AF137)</f>
        <v>900180.00000000012</v>
      </c>
      <c r="D136" s="7">
        <f>IF(主角经验!AG137="","",主角经验!$B137*主角经验!AG137)</f>
        <v>356400</v>
      </c>
      <c r="E136" s="7">
        <f>IF(主角经验!AH137="","",主角经验!$B137*主角经验!AH137)</f>
        <v>135000</v>
      </c>
      <c r="F136" s="7">
        <f>IF(主角经验!AI137="","",主角经验!$B137*主角经验!AI137)</f>
        <v>810000</v>
      </c>
      <c r="G136" s="7" t="str">
        <f>IF(主角经验!AJ137="","",主角经验!$B137*主角经验!AJ137)</f>
        <v/>
      </c>
      <c r="H136" s="7" t="str">
        <f>IF(主角经验!AK137="","",主角经验!$B137*主角经验!AK137)</f>
        <v/>
      </c>
      <c r="I136" s="7" t="str">
        <f>IF(主角经验!AL137="","",主角经验!$B137*主角经验!AL137)</f>
        <v/>
      </c>
      <c r="J136" s="7" t="str">
        <f>IF(主角经验!AM137="","",主角经验!$B137*主角经验!AM137)</f>
        <v/>
      </c>
      <c r="K136" s="7">
        <f>IF(主角经验!AN137="","",主角经验!$B137*主角经验!AN137)</f>
        <v>540000</v>
      </c>
      <c r="L136" s="7">
        <f>IF(主角经验!AO137="","",主角经验!$B137*主角经验!AO137)</f>
        <v>179820</v>
      </c>
      <c r="M136" s="7">
        <f>IF(主角经验!AP137="","",主角经验!$B137*主角经验!AP137)</f>
        <v>1080000</v>
      </c>
      <c r="N136" s="7">
        <f>IF(主角经验!AQ137="","",主角经验!$B137*主角经验!AQ137)</f>
        <v>648000</v>
      </c>
      <c r="O136" s="7">
        <f>IF(主角经验!AR137="","",主角经验!$B137*主角经验!AR137)</f>
        <v>675000</v>
      </c>
      <c r="P136" s="7">
        <f>IF(主角经验!AS137="","",主角经验!$B137*主角经验!AS137)</f>
        <v>44820</v>
      </c>
      <c r="Q136" s="7">
        <f>IF(主角经验!AT137="","",主角经验!$B137*主角经验!AT137)</f>
        <v>2808000</v>
      </c>
      <c r="R136" s="7">
        <f>IF(主角经验!AU137="","",主角经验!$B137*主角经验!AU137)</f>
        <v>324000</v>
      </c>
      <c r="S136" s="7">
        <f>IF(主角经验!AV137="","",主角经验!$B137*主角经验!AV137)</f>
        <v>360180</v>
      </c>
      <c r="T136" s="7">
        <f>IF(主角经验!AW137="","",主角经验!$B137*主角经验!AW137)</f>
        <v>0</v>
      </c>
      <c r="U136" s="7">
        <f>IF(主角经验!AX137="","",主角经验!$B137*主角经验!AX137)</f>
        <v>270000</v>
      </c>
      <c r="V136" s="7">
        <f>IF(主角经验!AY137="","",主角经验!$B137*主角经验!AY137)</f>
        <v>360180</v>
      </c>
      <c r="W136" s="7">
        <f>IF(主角经验!AZ137="","",主角经验!$B137*主角经验!AZ137)</f>
        <v>135000</v>
      </c>
      <c r="X136" s="7">
        <f>IF(主角经验!BA137="","",主角经验!$B137*主角经验!BA137)</f>
        <v>270000</v>
      </c>
      <c r="Y136" s="7">
        <f>IF(主角经验!BB137="","",主角经验!$B137*主角经验!BB137)</f>
        <v>337500</v>
      </c>
      <c r="Z136" s="7">
        <f>IF(主角经验!BC137="","",主角经验!$B137*主角经验!BC137)</f>
        <v>472500</v>
      </c>
      <c r="AA136" s="7">
        <f>IF(主角经验!BD137="","",主角经验!$B137*主角经验!BD137)</f>
        <v>135000</v>
      </c>
      <c r="AB136" s="7" t="str">
        <f>IF(主角经验!BE137="","",主角经验!$B137*主角经验!BE137)</f>
        <v/>
      </c>
      <c r="AC136" s="7" t="str">
        <f>IF(主角经验!BF137="","",主角经验!$B137*主角经验!BF137)</f>
        <v/>
      </c>
      <c r="AD136" s="7" t="str">
        <f>IF(主角经验!BG137="","",主角经验!$B137*主角经验!BG137)</f>
        <v/>
      </c>
      <c r="AE136" s="7" t="str">
        <f>IF(主角经验!BH137="","",主角经验!$B137*主角经验!BH137)</f>
        <v/>
      </c>
      <c r="AF136" s="7">
        <f>主角经验!BK137</f>
        <v>6561000</v>
      </c>
      <c r="AG136" s="7">
        <f>主角经验!BO137</f>
        <v>600</v>
      </c>
    </row>
    <row r="137" spans="1:33">
      <c r="A137" s="32">
        <v>136</v>
      </c>
      <c r="B137" s="81">
        <f>主角经验!B138</f>
        <v>54400</v>
      </c>
      <c r="C137" s="7">
        <f>IF(主角经验!AF138="","",主角经验!$B138*主角经验!AF138)</f>
        <v>906848.00000000012</v>
      </c>
      <c r="D137" s="7">
        <f>IF(主角经验!AG138="","",主角经验!$B138*主角经验!AG138)</f>
        <v>359040</v>
      </c>
      <c r="E137" s="7">
        <f>IF(主角经验!AH138="","",主角经验!$B138*主角经验!AH138)</f>
        <v>136000</v>
      </c>
      <c r="F137" s="7">
        <f>IF(主角经验!AI138="","",主角经验!$B138*主角经验!AI138)</f>
        <v>816000</v>
      </c>
      <c r="G137" s="7" t="str">
        <f>IF(主角经验!AJ138="","",主角经验!$B138*主角经验!AJ138)</f>
        <v/>
      </c>
      <c r="H137" s="7" t="str">
        <f>IF(主角经验!AK138="","",主角经验!$B138*主角经验!AK138)</f>
        <v/>
      </c>
      <c r="I137" s="7" t="str">
        <f>IF(主角经验!AL138="","",主角经验!$B138*主角经验!AL138)</f>
        <v/>
      </c>
      <c r="J137" s="7" t="str">
        <f>IF(主角经验!AM138="","",主角经验!$B138*主角经验!AM138)</f>
        <v/>
      </c>
      <c r="K137" s="7">
        <f>IF(主角经验!AN138="","",主角经验!$B138*主角经验!AN138)</f>
        <v>544000</v>
      </c>
      <c r="L137" s="7">
        <f>IF(主角经验!AO138="","",主角经验!$B138*主角经验!AO138)</f>
        <v>181152</v>
      </c>
      <c r="M137" s="7">
        <f>IF(主角经验!AP138="","",主角经验!$B138*主角经验!AP138)</f>
        <v>1088000</v>
      </c>
      <c r="N137" s="7">
        <f>IF(主角经验!AQ138="","",主角经验!$B138*主角经验!AQ138)</f>
        <v>652800</v>
      </c>
      <c r="O137" s="7">
        <f>IF(主角经验!AR138="","",主角经验!$B138*主角经验!AR138)</f>
        <v>680000</v>
      </c>
      <c r="P137" s="7">
        <f>IF(主角经验!AS138="","",主角经验!$B138*主角经验!AS138)</f>
        <v>45152</v>
      </c>
      <c r="Q137" s="7">
        <f>IF(主角经验!AT138="","",主角经验!$B138*主角经验!AT138)</f>
        <v>2828800</v>
      </c>
      <c r="R137" s="7">
        <f>IF(主角经验!AU138="","",主角经验!$B138*主角经验!AU138)</f>
        <v>326400</v>
      </c>
      <c r="S137" s="7">
        <f>IF(主角经验!AV138="","",主角经验!$B138*主角经验!AV138)</f>
        <v>362848</v>
      </c>
      <c r="T137" s="7">
        <f>IF(主角经验!AW138="","",主角经验!$B138*主角经验!AW138)</f>
        <v>0</v>
      </c>
      <c r="U137" s="7">
        <f>IF(主角经验!AX138="","",主角经验!$B138*主角经验!AX138)</f>
        <v>272000</v>
      </c>
      <c r="V137" s="7">
        <f>IF(主角经验!AY138="","",主角经验!$B138*主角经验!AY138)</f>
        <v>362848</v>
      </c>
      <c r="W137" s="7">
        <f>IF(主角经验!AZ138="","",主角经验!$B138*主角经验!AZ138)</f>
        <v>136000</v>
      </c>
      <c r="X137" s="7">
        <f>IF(主角经验!BA138="","",主角经验!$B138*主角经验!BA138)</f>
        <v>272000</v>
      </c>
      <c r="Y137" s="7">
        <f>IF(主角经验!BB138="","",主角经验!$B138*主角经验!BB138)</f>
        <v>340000</v>
      </c>
      <c r="Z137" s="7">
        <f>IF(主角经验!BC138="","",主角经验!$B138*主角经验!BC138)</f>
        <v>476000</v>
      </c>
      <c r="AA137" s="7">
        <f>IF(主角经验!BD138="","",主角经验!$B138*主角经验!BD138)</f>
        <v>136000</v>
      </c>
      <c r="AB137" s="7" t="str">
        <f>IF(主角经验!BE138="","",主角经验!$B138*主角经验!BE138)</f>
        <v/>
      </c>
      <c r="AC137" s="7" t="str">
        <f>IF(主角经验!BF138="","",主角经验!$B138*主角经验!BF138)</f>
        <v/>
      </c>
      <c r="AD137" s="7" t="str">
        <f>IF(主角经验!BG138="","",主角经验!$B138*主角经验!BG138)</f>
        <v/>
      </c>
      <c r="AE137" s="7" t="str">
        <f>IF(主角经验!BH138="","",主角经验!$B138*主角经验!BH138)</f>
        <v/>
      </c>
      <c r="AF137" s="7">
        <f>主角经验!BK138</f>
        <v>6669400</v>
      </c>
      <c r="AG137" s="7">
        <f>主角经验!BO138</f>
        <v>604</v>
      </c>
    </row>
    <row r="138" spans="1:33">
      <c r="A138" s="32">
        <v>137</v>
      </c>
      <c r="B138" s="81">
        <f>主角经验!B139</f>
        <v>54800</v>
      </c>
      <c r="C138" s="7">
        <f>IF(主角经验!AF139="","",主角经验!$B139*主角经验!AF139)</f>
        <v>913516.00000000012</v>
      </c>
      <c r="D138" s="7">
        <f>IF(主角经验!AG139="","",主角经验!$B139*主角经验!AG139)</f>
        <v>361680</v>
      </c>
      <c r="E138" s="7">
        <f>IF(主角经验!AH139="","",主角经验!$B139*主角经验!AH139)</f>
        <v>137000</v>
      </c>
      <c r="F138" s="7">
        <f>IF(主角经验!AI139="","",主角经验!$B139*主角经验!AI139)</f>
        <v>822000</v>
      </c>
      <c r="G138" s="7" t="str">
        <f>IF(主角经验!AJ139="","",主角经验!$B139*主角经验!AJ139)</f>
        <v/>
      </c>
      <c r="H138" s="7" t="str">
        <f>IF(主角经验!AK139="","",主角经验!$B139*主角经验!AK139)</f>
        <v/>
      </c>
      <c r="I138" s="7" t="str">
        <f>IF(主角经验!AL139="","",主角经验!$B139*主角经验!AL139)</f>
        <v/>
      </c>
      <c r="J138" s="7" t="str">
        <f>IF(主角经验!AM139="","",主角经验!$B139*主角经验!AM139)</f>
        <v/>
      </c>
      <c r="K138" s="7">
        <f>IF(主角经验!AN139="","",主角经验!$B139*主角经验!AN139)</f>
        <v>548000</v>
      </c>
      <c r="L138" s="7">
        <f>IF(主角经验!AO139="","",主角经验!$B139*主角经验!AO139)</f>
        <v>182484</v>
      </c>
      <c r="M138" s="7">
        <f>IF(主角经验!AP139="","",主角经验!$B139*主角经验!AP139)</f>
        <v>1096000</v>
      </c>
      <c r="N138" s="7">
        <f>IF(主角经验!AQ139="","",主角经验!$B139*主角经验!AQ139)</f>
        <v>657600</v>
      </c>
      <c r="O138" s="7">
        <f>IF(主角经验!AR139="","",主角经验!$B139*主角经验!AR139)</f>
        <v>685000</v>
      </c>
      <c r="P138" s="7">
        <f>IF(主角经验!AS139="","",主角经验!$B139*主角经验!AS139)</f>
        <v>45484</v>
      </c>
      <c r="Q138" s="7">
        <f>IF(主角经验!AT139="","",主角经验!$B139*主角经验!AT139)</f>
        <v>2849600</v>
      </c>
      <c r="R138" s="7">
        <f>IF(主角经验!AU139="","",主角经验!$B139*主角经验!AU139)</f>
        <v>328800</v>
      </c>
      <c r="S138" s="7">
        <f>IF(主角经验!AV139="","",主角经验!$B139*主角经验!AV139)</f>
        <v>365516</v>
      </c>
      <c r="T138" s="7">
        <f>IF(主角经验!AW139="","",主角经验!$B139*主角经验!AW139)</f>
        <v>0</v>
      </c>
      <c r="U138" s="7">
        <f>IF(主角经验!AX139="","",主角经验!$B139*主角经验!AX139)</f>
        <v>274000</v>
      </c>
      <c r="V138" s="7">
        <f>IF(主角经验!AY139="","",主角经验!$B139*主角经验!AY139)</f>
        <v>365516</v>
      </c>
      <c r="W138" s="7">
        <f>IF(主角经验!AZ139="","",主角经验!$B139*主角经验!AZ139)</f>
        <v>137000</v>
      </c>
      <c r="X138" s="7">
        <f>IF(主角经验!BA139="","",主角经验!$B139*主角经验!BA139)</f>
        <v>274000</v>
      </c>
      <c r="Y138" s="7">
        <f>IF(主角经验!BB139="","",主角经验!$B139*主角经验!BB139)</f>
        <v>342500</v>
      </c>
      <c r="Z138" s="7">
        <f>IF(主角经验!BC139="","",主角经验!$B139*主角经验!BC139)</f>
        <v>479500</v>
      </c>
      <c r="AA138" s="7">
        <f>IF(主角经验!BD139="","",主角经验!$B139*主角经验!BD139)</f>
        <v>137000</v>
      </c>
      <c r="AB138" s="7" t="str">
        <f>IF(主角经验!BE139="","",主角经验!$B139*主角经验!BE139)</f>
        <v/>
      </c>
      <c r="AC138" s="7" t="str">
        <f>IF(主角经验!BF139="","",主角经验!$B139*主角经验!BF139)</f>
        <v/>
      </c>
      <c r="AD138" s="7" t="str">
        <f>IF(主角经验!BG139="","",主角经验!$B139*主角经验!BG139)</f>
        <v/>
      </c>
      <c r="AE138" s="7" t="str">
        <f>IF(主角经验!BH139="","",主角经验!$B139*主角经验!BH139)</f>
        <v/>
      </c>
      <c r="AF138" s="7">
        <f>主角经验!BK139</f>
        <v>6778800</v>
      </c>
      <c r="AG138" s="7">
        <f>主角经验!BO139</f>
        <v>609</v>
      </c>
    </row>
    <row r="139" spans="1:33">
      <c r="A139" s="32">
        <v>138</v>
      </c>
      <c r="B139" s="81">
        <f>主角经验!B140</f>
        <v>55200</v>
      </c>
      <c r="C139" s="7">
        <f>IF(主角经验!AF140="","",主角经验!$B140*主角经验!AF140)</f>
        <v>920184.00000000012</v>
      </c>
      <c r="D139" s="7">
        <f>IF(主角经验!AG140="","",主角经验!$B140*主角经验!AG140)</f>
        <v>364320</v>
      </c>
      <c r="E139" s="7">
        <f>IF(主角经验!AH140="","",主角经验!$B140*主角经验!AH140)</f>
        <v>138000</v>
      </c>
      <c r="F139" s="7">
        <f>IF(主角经验!AI140="","",主角经验!$B140*主角经验!AI140)</f>
        <v>828000</v>
      </c>
      <c r="G139" s="7" t="str">
        <f>IF(主角经验!AJ140="","",主角经验!$B140*主角经验!AJ140)</f>
        <v/>
      </c>
      <c r="H139" s="7" t="str">
        <f>IF(主角经验!AK140="","",主角经验!$B140*主角经验!AK140)</f>
        <v/>
      </c>
      <c r="I139" s="7" t="str">
        <f>IF(主角经验!AL140="","",主角经验!$B140*主角经验!AL140)</f>
        <v/>
      </c>
      <c r="J139" s="7" t="str">
        <f>IF(主角经验!AM140="","",主角经验!$B140*主角经验!AM140)</f>
        <v/>
      </c>
      <c r="K139" s="7">
        <f>IF(主角经验!AN140="","",主角经验!$B140*主角经验!AN140)</f>
        <v>552000</v>
      </c>
      <c r="L139" s="7">
        <f>IF(主角经验!AO140="","",主角经验!$B140*主角经验!AO140)</f>
        <v>183816</v>
      </c>
      <c r="M139" s="7">
        <f>IF(主角经验!AP140="","",主角经验!$B140*主角经验!AP140)</f>
        <v>1104000</v>
      </c>
      <c r="N139" s="7">
        <f>IF(主角经验!AQ140="","",主角经验!$B140*主角经验!AQ140)</f>
        <v>662400</v>
      </c>
      <c r="O139" s="7">
        <f>IF(主角经验!AR140="","",主角经验!$B140*主角经验!AR140)</f>
        <v>690000</v>
      </c>
      <c r="P139" s="7">
        <f>IF(主角经验!AS140="","",主角经验!$B140*主角经验!AS140)</f>
        <v>45816</v>
      </c>
      <c r="Q139" s="7">
        <f>IF(主角经验!AT140="","",主角经验!$B140*主角经验!AT140)</f>
        <v>2870400</v>
      </c>
      <c r="R139" s="7">
        <f>IF(主角经验!AU140="","",主角经验!$B140*主角经验!AU140)</f>
        <v>331200</v>
      </c>
      <c r="S139" s="7">
        <f>IF(主角经验!AV140="","",主角经验!$B140*主角经验!AV140)</f>
        <v>368184</v>
      </c>
      <c r="T139" s="7">
        <f>IF(主角经验!AW140="","",主角经验!$B140*主角经验!AW140)</f>
        <v>0</v>
      </c>
      <c r="U139" s="7">
        <f>IF(主角经验!AX140="","",主角经验!$B140*主角经验!AX140)</f>
        <v>276000</v>
      </c>
      <c r="V139" s="7">
        <f>IF(主角经验!AY140="","",主角经验!$B140*主角经验!AY140)</f>
        <v>368184</v>
      </c>
      <c r="W139" s="7">
        <f>IF(主角经验!AZ140="","",主角经验!$B140*主角经验!AZ140)</f>
        <v>138000</v>
      </c>
      <c r="X139" s="7">
        <f>IF(主角经验!BA140="","",主角经验!$B140*主角经验!BA140)</f>
        <v>276000</v>
      </c>
      <c r="Y139" s="7">
        <f>IF(主角经验!BB140="","",主角经验!$B140*主角经验!BB140)</f>
        <v>345000</v>
      </c>
      <c r="Z139" s="7">
        <f>IF(主角经验!BC140="","",主角经验!$B140*主角经验!BC140)</f>
        <v>483000</v>
      </c>
      <c r="AA139" s="7">
        <f>IF(主角经验!BD140="","",主角经验!$B140*主角经验!BD140)</f>
        <v>138000</v>
      </c>
      <c r="AB139" s="7" t="str">
        <f>IF(主角经验!BE140="","",主角经验!$B140*主角经验!BE140)</f>
        <v/>
      </c>
      <c r="AC139" s="7" t="str">
        <f>IF(主角经验!BF140="","",主角经验!$B140*主角经验!BF140)</f>
        <v/>
      </c>
      <c r="AD139" s="7" t="str">
        <f>IF(主角经验!BG140="","",主角经验!$B140*主角经验!BG140)</f>
        <v/>
      </c>
      <c r="AE139" s="7" t="str">
        <f>IF(主角经验!BH140="","",主角经验!$B140*主角经验!BH140)</f>
        <v/>
      </c>
      <c r="AF139" s="7">
        <f>主角经验!BK140</f>
        <v>6889000</v>
      </c>
      <c r="AG139" s="7">
        <f>主角经验!BO140</f>
        <v>613</v>
      </c>
    </row>
    <row r="140" spans="1:33">
      <c r="A140" s="32">
        <v>139</v>
      </c>
      <c r="B140" s="81">
        <f>主角经验!B141</f>
        <v>55600</v>
      </c>
      <c r="C140" s="7">
        <f>IF(主角经验!AF141="","",主角经验!$B141*主角经验!AF141)</f>
        <v>926852.00000000012</v>
      </c>
      <c r="D140" s="7">
        <f>IF(主角经验!AG141="","",主角经验!$B141*主角经验!AG141)</f>
        <v>366960</v>
      </c>
      <c r="E140" s="7">
        <f>IF(主角经验!AH141="","",主角经验!$B141*主角经验!AH141)</f>
        <v>139000</v>
      </c>
      <c r="F140" s="7">
        <f>IF(主角经验!AI141="","",主角经验!$B141*主角经验!AI141)</f>
        <v>834000</v>
      </c>
      <c r="G140" s="7" t="str">
        <f>IF(主角经验!AJ141="","",主角经验!$B141*主角经验!AJ141)</f>
        <v/>
      </c>
      <c r="H140" s="7" t="str">
        <f>IF(主角经验!AK141="","",主角经验!$B141*主角经验!AK141)</f>
        <v/>
      </c>
      <c r="I140" s="7" t="str">
        <f>IF(主角经验!AL141="","",主角经验!$B141*主角经验!AL141)</f>
        <v/>
      </c>
      <c r="J140" s="7" t="str">
        <f>IF(主角经验!AM141="","",主角经验!$B141*主角经验!AM141)</f>
        <v/>
      </c>
      <c r="K140" s="7">
        <f>IF(主角经验!AN141="","",主角经验!$B141*主角经验!AN141)</f>
        <v>556000</v>
      </c>
      <c r="L140" s="7">
        <f>IF(主角经验!AO141="","",主角经验!$B141*主角经验!AO141)</f>
        <v>185148</v>
      </c>
      <c r="M140" s="7">
        <f>IF(主角经验!AP141="","",主角经验!$B141*主角经验!AP141)</f>
        <v>1112000</v>
      </c>
      <c r="N140" s="7">
        <f>IF(主角经验!AQ141="","",主角经验!$B141*主角经验!AQ141)</f>
        <v>667200</v>
      </c>
      <c r="O140" s="7">
        <f>IF(主角经验!AR141="","",主角经验!$B141*主角经验!AR141)</f>
        <v>695000</v>
      </c>
      <c r="P140" s="7">
        <f>IF(主角经验!AS141="","",主角经验!$B141*主角经验!AS141)</f>
        <v>46148</v>
      </c>
      <c r="Q140" s="7">
        <f>IF(主角经验!AT141="","",主角经验!$B141*主角经验!AT141)</f>
        <v>2891200</v>
      </c>
      <c r="R140" s="7">
        <f>IF(主角经验!AU141="","",主角经验!$B141*主角经验!AU141)</f>
        <v>333600</v>
      </c>
      <c r="S140" s="7">
        <f>IF(主角经验!AV141="","",主角经验!$B141*主角经验!AV141)</f>
        <v>370852</v>
      </c>
      <c r="T140" s="7">
        <f>IF(主角经验!AW141="","",主角经验!$B141*主角经验!AW141)</f>
        <v>0</v>
      </c>
      <c r="U140" s="7">
        <f>IF(主角经验!AX141="","",主角经验!$B141*主角经验!AX141)</f>
        <v>278000</v>
      </c>
      <c r="V140" s="7">
        <f>IF(主角经验!AY141="","",主角经验!$B141*主角经验!AY141)</f>
        <v>370852</v>
      </c>
      <c r="W140" s="7">
        <f>IF(主角经验!AZ141="","",主角经验!$B141*主角经验!AZ141)</f>
        <v>139000</v>
      </c>
      <c r="X140" s="7">
        <f>IF(主角经验!BA141="","",主角经验!$B141*主角经验!BA141)</f>
        <v>278000</v>
      </c>
      <c r="Y140" s="7">
        <f>IF(主角经验!BB141="","",主角经验!$B141*主角经验!BB141)</f>
        <v>347500</v>
      </c>
      <c r="Z140" s="7">
        <f>IF(主角经验!BC141="","",主角经验!$B141*主角经验!BC141)</f>
        <v>486500</v>
      </c>
      <c r="AA140" s="7">
        <f>IF(主角经验!BD141="","",主角经验!$B141*主角经验!BD141)</f>
        <v>139000</v>
      </c>
      <c r="AB140" s="7" t="str">
        <f>IF(主角经验!BE141="","",主角经验!$B141*主角经验!BE141)</f>
        <v/>
      </c>
      <c r="AC140" s="7" t="str">
        <f>IF(主角经验!BF141="","",主角经验!$B141*主角经验!BF141)</f>
        <v/>
      </c>
      <c r="AD140" s="7" t="str">
        <f>IF(主角经验!BG141="","",主角经验!$B141*主角经验!BG141)</f>
        <v/>
      </c>
      <c r="AE140" s="7" t="str">
        <f>IF(主角经验!BH141="","",主角经验!$B141*主角经验!BH141)</f>
        <v/>
      </c>
      <c r="AF140" s="7">
        <f>主角经验!BK141</f>
        <v>7000000</v>
      </c>
      <c r="AG140" s="7">
        <f>主角经验!BO141</f>
        <v>618</v>
      </c>
    </row>
    <row r="141" spans="1:33">
      <c r="A141" s="32">
        <v>140</v>
      </c>
      <c r="B141" s="81">
        <f>主角经验!B142</f>
        <v>56000</v>
      </c>
      <c r="C141" s="7">
        <f>IF(主角经验!AF142="","",主角经验!$B142*主角经验!AF142)</f>
        <v>933520.00000000012</v>
      </c>
      <c r="D141" s="7">
        <f>IF(主角经验!AG142="","",主角经验!$B142*主角经验!AG142)</f>
        <v>369600</v>
      </c>
      <c r="E141" s="7">
        <f>IF(主角经验!AH142="","",主角经验!$B142*主角经验!AH142)</f>
        <v>140000</v>
      </c>
      <c r="F141" s="7">
        <f>IF(主角经验!AI142="","",主角经验!$B142*主角经验!AI142)</f>
        <v>840000</v>
      </c>
      <c r="G141" s="7" t="str">
        <f>IF(主角经验!AJ142="","",主角经验!$B142*主角经验!AJ142)</f>
        <v/>
      </c>
      <c r="H141" s="7" t="str">
        <f>IF(主角经验!AK142="","",主角经验!$B142*主角经验!AK142)</f>
        <v/>
      </c>
      <c r="I141" s="7" t="str">
        <f>IF(主角经验!AL142="","",主角经验!$B142*主角经验!AL142)</f>
        <v/>
      </c>
      <c r="J141" s="7" t="str">
        <f>IF(主角经验!AM142="","",主角经验!$B142*主角经验!AM142)</f>
        <v/>
      </c>
      <c r="K141" s="7">
        <f>IF(主角经验!AN142="","",主角经验!$B142*主角经验!AN142)</f>
        <v>560000</v>
      </c>
      <c r="L141" s="7">
        <f>IF(主角经验!AO142="","",主角经验!$B142*主角经验!AO142)</f>
        <v>186480</v>
      </c>
      <c r="M141" s="7">
        <f>IF(主角经验!AP142="","",主角经验!$B142*主角经验!AP142)</f>
        <v>1120000</v>
      </c>
      <c r="N141" s="7">
        <f>IF(主角经验!AQ142="","",主角经验!$B142*主角经验!AQ142)</f>
        <v>672000</v>
      </c>
      <c r="O141" s="7">
        <f>IF(主角经验!AR142="","",主角经验!$B142*主角经验!AR142)</f>
        <v>700000</v>
      </c>
      <c r="P141" s="7">
        <f>IF(主角经验!AS142="","",主角经验!$B142*主角经验!AS142)</f>
        <v>46480</v>
      </c>
      <c r="Q141" s="7">
        <f>IF(主角经验!AT142="","",主角经验!$B142*主角经验!AT142)</f>
        <v>2912000</v>
      </c>
      <c r="R141" s="7">
        <f>IF(主角经验!AU142="","",主角经验!$B142*主角经验!AU142)</f>
        <v>336000</v>
      </c>
      <c r="S141" s="7">
        <f>IF(主角经验!AV142="","",主角经验!$B142*主角经验!AV142)</f>
        <v>373520</v>
      </c>
      <c r="T141" s="7">
        <f>IF(主角经验!AW142="","",主角经验!$B142*主角经验!AW142)</f>
        <v>0</v>
      </c>
      <c r="U141" s="7">
        <f>IF(主角经验!AX142="","",主角经验!$B142*主角经验!AX142)</f>
        <v>280000</v>
      </c>
      <c r="V141" s="7">
        <f>IF(主角经验!AY142="","",主角经验!$B142*主角经验!AY142)</f>
        <v>373520</v>
      </c>
      <c r="W141" s="7">
        <f>IF(主角经验!AZ142="","",主角经验!$B142*主角经验!AZ142)</f>
        <v>140000</v>
      </c>
      <c r="X141" s="7">
        <f>IF(主角经验!BA142="","",主角经验!$B142*主角经验!BA142)</f>
        <v>280000</v>
      </c>
      <c r="Y141" s="7">
        <f>IF(主角经验!BB142="","",主角经验!$B142*主角经验!BB142)</f>
        <v>350000</v>
      </c>
      <c r="Z141" s="7">
        <f>IF(主角经验!BC142="","",主角经验!$B142*主角经验!BC142)</f>
        <v>490000</v>
      </c>
      <c r="AA141" s="7">
        <f>IF(主角经验!BD142="","",主角经验!$B142*主角经验!BD142)</f>
        <v>140000</v>
      </c>
      <c r="AB141" s="7" t="str">
        <f>IF(主角经验!BE142="","",主角经验!$B142*主角经验!BE142)</f>
        <v/>
      </c>
      <c r="AC141" s="7" t="str">
        <f>IF(主角经验!BF142="","",主角经验!$B142*主角经验!BF142)</f>
        <v/>
      </c>
      <c r="AD141" s="7" t="str">
        <f>IF(主角经验!BG142="","",主角经验!$B142*主角经验!BG142)</f>
        <v/>
      </c>
      <c r="AE141" s="7" t="str">
        <f>IF(主角经验!BH142="","",主角经验!$B142*主角经验!BH142)</f>
        <v/>
      </c>
      <c r="AF141" s="7">
        <f>主角经验!BK142</f>
        <v>7112000</v>
      </c>
      <c r="AG141" s="7">
        <f>主角经验!BO142</f>
        <v>622</v>
      </c>
    </row>
    <row r="142" spans="1:33">
      <c r="A142" s="32">
        <v>141</v>
      </c>
      <c r="B142" s="81">
        <f>主角经验!B143</f>
        <v>56400</v>
      </c>
      <c r="C142" s="7">
        <f>IF(主角经验!AF143="","",主角经验!$B143*主角经验!AF143)</f>
        <v>940188.00000000012</v>
      </c>
      <c r="D142" s="7">
        <f>IF(主角经验!AG143="","",主角经验!$B143*主角经验!AG143)</f>
        <v>372240</v>
      </c>
      <c r="E142" s="7">
        <f>IF(主角经验!AH143="","",主角经验!$B143*主角经验!AH143)</f>
        <v>141000</v>
      </c>
      <c r="F142" s="7">
        <f>IF(主角经验!AI143="","",主角经验!$B143*主角经验!AI143)</f>
        <v>846000</v>
      </c>
      <c r="G142" s="7" t="str">
        <f>IF(主角经验!AJ143="","",主角经验!$B143*主角经验!AJ143)</f>
        <v/>
      </c>
      <c r="H142" s="7" t="str">
        <f>IF(主角经验!AK143="","",主角经验!$B143*主角经验!AK143)</f>
        <v/>
      </c>
      <c r="I142" s="7" t="str">
        <f>IF(主角经验!AL143="","",主角经验!$B143*主角经验!AL143)</f>
        <v/>
      </c>
      <c r="J142" s="7" t="str">
        <f>IF(主角经验!AM143="","",主角经验!$B143*主角经验!AM143)</f>
        <v/>
      </c>
      <c r="K142" s="7">
        <f>IF(主角经验!AN143="","",主角经验!$B143*主角经验!AN143)</f>
        <v>564000</v>
      </c>
      <c r="L142" s="7">
        <f>IF(主角经验!AO143="","",主角经验!$B143*主角经验!AO143)</f>
        <v>187812</v>
      </c>
      <c r="M142" s="7">
        <f>IF(主角经验!AP143="","",主角经验!$B143*主角经验!AP143)</f>
        <v>1128000</v>
      </c>
      <c r="N142" s="7">
        <f>IF(主角经验!AQ143="","",主角经验!$B143*主角经验!AQ143)</f>
        <v>676800</v>
      </c>
      <c r="O142" s="7">
        <f>IF(主角经验!AR143="","",主角经验!$B143*主角经验!AR143)</f>
        <v>705000</v>
      </c>
      <c r="P142" s="7">
        <f>IF(主角经验!AS143="","",主角经验!$B143*主角经验!AS143)</f>
        <v>46812</v>
      </c>
      <c r="Q142" s="7">
        <f>IF(主角经验!AT143="","",主角经验!$B143*主角经验!AT143)</f>
        <v>2932800</v>
      </c>
      <c r="R142" s="7">
        <f>IF(主角经验!AU143="","",主角经验!$B143*主角经验!AU143)</f>
        <v>338400</v>
      </c>
      <c r="S142" s="7">
        <f>IF(主角经验!AV143="","",主角经验!$B143*主角经验!AV143)</f>
        <v>376188</v>
      </c>
      <c r="T142" s="7">
        <f>IF(主角经验!AW143="","",主角经验!$B143*主角经验!AW143)</f>
        <v>0</v>
      </c>
      <c r="U142" s="7">
        <f>IF(主角经验!AX143="","",主角经验!$B143*主角经验!AX143)</f>
        <v>282000</v>
      </c>
      <c r="V142" s="7">
        <f>IF(主角经验!AY143="","",主角经验!$B143*主角经验!AY143)</f>
        <v>376188</v>
      </c>
      <c r="W142" s="7">
        <f>IF(主角经验!AZ143="","",主角经验!$B143*主角经验!AZ143)</f>
        <v>141000</v>
      </c>
      <c r="X142" s="7">
        <f>IF(主角经验!BA143="","",主角经验!$B143*主角经验!BA143)</f>
        <v>282000</v>
      </c>
      <c r="Y142" s="7">
        <f>IF(主角经验!BB143="","",主角经验!$B143*主角经验!BB143)</f>
        <v>352500</v>
      </c>
      <c r="Z142" s="7">
        <f>IF(主角经验!BC143="","",主角经验!$B143*主角经验!BC143)</f>
        <v>493500</v>
      </c>
      <c r="AA142" s="7">
        <f>IF(主角经验!BD143="","",主角经验!$B143*主角经验!BD143)</f>
        <v>141000</v>
      </c>
      <c r="AB142" s="7" t="str">
        <f>IF(主角经验!BE143="","",主角经验!$B143*主角经验!BE143)</f>
        <v/>
      </c>
      <c r="AC142" s="7" t="str">
        <f>IF(主角经验!BF143="","",主角经验!$B143*主角经验!BF143)</f>
        <v/>
      </c>
      <c r="AD142" s="7" t="str">
        <f>IF(主角经验!BG143="","",主角经验!$B143*主角经验!BG143)</f>
        <v/>
      </c>
      <c r="AE142" s="7" t="str">
        <f>IF(主角经验!BH143="","",主角经验!$B143*主角经验!BH143)</f>
        <v/>
      </c>
      <c r="AF142" s="7">
        <f>主角经验!BK143</f>
        <v>7224800</v>
      </c>
      <c r="AG142" s="7">
        <f>主角经验!BO143</f>
        <v>627</v>
      </c>
    </row>
    <row r="143" spans="1:33">
      <c r="A143" s="32">
        <v>142</v>
      </c>
      <c r="B143" s="81">
        <f>主角经验!B144</f>
        <v>56800</v>
      </c>
      <c r="C143" s="7">
        <f>IF(主角经验!AF144="","",主角经验!$B144*主角经验!AF144)</f>
        <v>946856.00000000012</v>
      </c>
      <c r="D143" s="7">
        <f>IF(主角经验!AG144="","",主角经验!$B144*主角经验!AG144)</f>
        <v>374880</v>
      </c>
      <c r="E143" s="7">
        <f>IF(主角经验!AH144="","",主角经验!$B144*主角经验!AH144)</f>
        <v>142000</v>
      </c>
      <c r="F143" s="7">
        <f>IF(主角经验!AI144="","",主角经验!$B144*主角经验!AI144)</f>
        <v>852000</v>
      </c>
      <c r="G143" s="7" t="str">
        <f>IF(主角经验!AJ144="","",主角经验!$B144*主角经验!AJ144)</f>
        <v/>
      </c>
      <c r="H143" s="7" t="str">
        <f>IF(主角经验!AK144="","",主角经验!$B144*主角经验!AK144)</f>
        <v/>
      </c>
      <c r="I143" s="7" t="str">
        <f>IF(主角经验!AL144="","",主角经验!$B144*主角经验!AL144)</f>
        <v/>
      </c>
      <c r="J143" s="7" t="str">
        <f>IF(主角经验!AM144="","",主角经验!$B144*主角经验!AM144)</f>
        <v/>
      </c>
      <c r="K143" s="7">
        <f>IF(主角经验!AN144="","",主角经验!$B144*主角经验!AN144)</f>
        <v>568000</v>
      </c>
      <c r="L143" s="7">
        <f>IF(主角经验!AO144="","",主角经验!$B144*主角经验!AO144)</f>
        <v>189144</v>
      </c>
      <c r="M143" s="7">
        <f>IF(主角经验!AP144="","",主角经验!$B144*主角经验!AP144)</f>
        <v>1136000</v>
      </c>
      <c r="N143" s="7">
        <f>IF(主角经验!AQ144="","",主角经验!$B144*主角经验!AQ144)</f>
        <v>681600</v>
      </c>
      <c r="O143" s="7">
        <f>IF(主角经验!AR144="","",主角经验!$B144*主角经验!AR144)</f>
        <v>710000</v>
      </c>
      <c r="P143" s="7">
        <f>IF(主角经验!AS144="","",主角经验!$B144*主角经验!AS144)</f>
        <v>47144</v>
      </c>
      <c r="Q143" s="7">
        <f>IF(主角经验!AT144="","",主角经验!$B144*主角经验!AT144)</f>
        <v>2953600</v>
      </c>
      <c r="R143" s="7">
        <f>IF(主角经验!AU144="","",主角经验!$B144*主角经验!AU144)</f>
        <v>340800</v>
      </c>
      <c r="S143" s="7">
        <f>IF(主角经验!AV144="","",主角经验!$B144*主角经验!AV144)</f>
        <v>378856</v>
      </c>
      <c r="T143" s="7">
        <f>IF(主角经验!AW144="","",主角经验!$B144*主角经验!AW144)</f>
        <v>0</v>
      </c>
      <c r="U143" s="7">
        <f>IF(主角经验!AX144="","",主角经验!$B144*主角经验!AX144)</f>
        <v>284000</v>
      </c>
      <c r="V143" s="7">
        <f>IF(主角经验!AY144="","",主角经验!$B144*主角经验!AY144)</f>
        <v>378856</v>
      </c>
      <c r="W143" s="7">
        <f>IF(主角经验!AZ144="","",主角经验!$B144*主角经验!AZ144)</f>
        <v>142000</v>
      </c>
      <c r="X143" s="7">
        <f>IF(主角经验!BA144="","",主角经验!$B144*主角经验!BA144)</f>
        <v>284000</v>
      </c>
      <c r="Y143" s="7">
        <f>IF(主角经验!BB144="","",主角经验!$B144*主角经验!BB144)</f>
        <v>355000</v>
      </c>
      <c r="Z143" s="7">
        <f>IF(主角经验!BC144="","",主角经验!$B144*主角经验!BC144)</f>
        <v>497000</v>
      </c>
      <c r="AA143" s="7">
        <f>IF(主角经验!BD144="","",主角经验!$B144*主角经验!BD144)</f>
        <v>142000</v>
      </c>
      <c r="AB143" s="7" t="str">
        <f>IF(主角经验!BE144="","",主角经验!$B144*主角经验!BE144)</f>
        <v/>
      </c>
      <c r="AC143" s="7" t="str">
        <f>IF(主角经验!BF144="","",主角经验!$B144*主角经验!BF144)</f>
        <v/>
      </c>
      <c r="AD143" s="7" t="str">
        <f>IF(主角经验!BG144="","",主角经验!$B144*主角经验!BG144)</f>
        <v/>
      </c>
      <c r="AE143" s="7" t="str">
        <f>IF(主角经验!BH144="","",主角经验!$B144*主角经验!BH144)</f>
        <v/>
      </c>
      <c r="AF143" s="7">
        <f>主角经验!BK144</f>
        <v>7338600</v>
      </c>
      <c r="AG143" s="7">
        <f>主角经验!BO144</f>
        <v>631</v>
      </c>
    </row>
    <row r="144" spans="1:33">
      <c r="A144" s="32">
        <v>143</v>
      </c>
      <c r="B144" s="81">
        <f>主角经验!B145</f>
        <v>57200</v>
      </c>
      <c r="C144" s="7">
        <f>IF(主角经验!AF145="","",主角经验!$B145*主角经验!AF145)</f>
        <v>953524.00000000012</v>
      </c>
      <c r="D144" s="7">
        <f>IF(主角经验!AG145="","",主角经验!$B145*主角经验!AG145)</f>
        <v>377520</v>
      </c>
      <c r="E144" s="7">
        <f>IF(主角经验!AH145="","",主角经验!$B145*主角经验!AH145)</f>
        <v>143000</v>
      </c>
      <c r="F144" s="7">
        <f>IF(主角经验!AI145="","",主角经验!$B145*主角经验!AI145)</f>
        <v>858000</v>
      </c>
      <c r="G144" s="7" t="str">
        <f>IF(主角经验!AJ145="","",主角经验!$B145*主角经验!AJ145)</f>
        <v/>
      </c>
      <c r="H144" s="7" t="str">
        <f>IF(主角经验!AK145="","",主角经验!$B145*主角经验!AK145)</f>
        <v/>
      </c>
      <c r="I144" s="7" t="str">
        <f>IF(主角经验!AL145="","",主角经验!$B145*主角经验!AL145)</f>
        <v/>
      </c>
      <c r="J144" s="7" t="str">
        <f>IF(主角经验!AM145="","",主角经验!$B145*主角经验!AM145)</f>
        <v/>
      </c>
      <c r="K144" s="7">
        <f>IF(主角经验!AN145="","",主角经验!$B145*主角经验!AN145)</f>
        <v>572000</v>
      </c>
      <c r="L144" s="7">
        <f>IF(主角经验!AO145="","",主角经验!$B145*主角经验!AO145)</f>
        <v>190476</v>
      </c>
      <c r="M144" s="7">
        <f>IF(主角经验!AP145="","",主角经验!$B145*主角经验!AP145)</f>
        <v>1144000</v>
      </c>
      <c r="N144" s="7">
        <f>IF(主角经验!AQ145="","",主角经验!$B145*主角经验!AQ145)</f>
        <v>686400</v>
      </c>
      <c r="O144" s="7">
        <f>IF(主角经验!AR145="","",主角经验!$B145*主角经验!AR145)</f>
        <v>715000</v>
      </c>
      <c r="P144" s="7">
        <f>IF(主角经验!AS145="","",主角经验!$B145*主角经验!AS145)</f>
        <v>47476</v>
      </c>
      <c r="Q144" s="7">
        <f>IF(主角经验!AT145="","",主角经验!$B145*主角经验!AT145)</f>
        <v>2974400</v>
      </c>
      <c r="R144" s="7">
        <f>IF(主角经验!AU145="","",主角经验!$B145*主角经验!AU145)</f>
        <v>343200</v>
      </c>
      <c r="S144" s="7">
        <f>IF(主角经验!AV145="","",主角经验!$B145*主角经验!AV145)</f>
        <v>381524</v>
      </c>
      <c r="T144" s="7">
        <f>IF(主角经验!AW145="","",主角经验!$B145*主角经验!AW145)</f>
        <v>0</v>
      </c>
      <c r="U144" s="7">
        <f>IF(主角经验!AX145="","",主角经验!$B145*主角经验!AX145)</f>
        <v>286000</v>
      </c>
      <c r="V144" s="7">
        <f>IF(主角经验!AY145="","",主角经验!$B145*主角经验!AY145)</f>
        <v>381524</v>
      </c>
      <c r="W144" s="7">
        <f>IF(主角经验!AZ145="","",主角经验!$B145*主角经验!AZ145)</f>
        <v>143000</v>
      </c>
      <c r="X144" s="7">
        <f>IF(主角经验!BA145="","",主角经验!$B145*主角经验!BA145)</f>
        <v>286000</v>
      </c>
      <c r="Y144" s="7">
        <f>IF(主角经验!BB145="","",主角经验!$B145*主角经验!BB145)</f>
        <v>357500</v>
      </c>
      <c r="Z144" s="7">
        <f>IF(主角经验!BC145="","",主角经验!$B145*主角经验!BC145)</f>
        <v>500500</v>
      </c>
      <c r="AA144" s="7">
        <f>IF(主角经验!BD145="","",主角经验!$B145*主角经验!BD145)</f>
        <v>143000</v>
      </c>
      <c r="AB144" s="7" t="str">
        <f>IF(主角经验!BE145="","",主角经验!$B145*主角经验!BE145)</f>
        <v/>
      </c>
      <c r="AC144" s="7" t="str">
        <f>IF(主角经验!BF145="","",主角经验!$B145*主角经验!BF145)</f>
        <v/>
      </c>
      <c r="AD144" s="7" t="str">
        <f>IF(主角经验!BG145="","",主角经验!$B145*主角经验!BG145)</f>
        <v/>
      </c>
      <c r="AE144" s="7" t="str">
        <f>IF(主角经验!BH145="","",主角经验!$B145*主角经验!BH145)</f>
        <v/>
      </c>
      <c r="AF144" s="7">
        <f>主角经验!BK145</f>
        <v>7453200</v>
      </c>
      <c r="AG144" s="7">
        <f>主角经验!BO145</f>
        <v>636</v>
      </c>
    </row>
    <row r="145" spans="1:33">
      <c r="A145" s="32">
        <v>144</v>
      </c>
      <c r="B145" s="81">
        <f>主角经验!B146</f>
        <v>57600</v>
      </c>
      <c r="C145" s="7">
        <f>IF(主角经验!AF146="","",主角经验!$B146*主角经验!AF146)</f>
        <v>960192.00000000012</v>
      </c>
      <c r="D145" s="7">
        <f>IF(主角经验!AG146="","",主角经验!$B146*主角经验!AG146)</f>
        <v>380160</v>
      </c>
      <c r="E145" s="7">
        <f>IF(主角经验!AH146="","",主角经验!$B146*主角经验!AH146)</f>
        <v>144000</v>
      </c>
      <c r="F145" s="7">
        <f>IF(主角经验!AI146="","",主角经验!$B146*主角经验!AI146)</f>
        <v>864000</v>
      </c>
      <c r="G145" s="7" t="str">
        <f>IF(主角经验!AJ146="","",主角经验!$B146*主角经验!AJ146)</f>
        <v/>
      </c>
      <c r="H145" s="7" t="str">
        <f>IF(主角经验!AK146="","",主角经验!$B146*主角经验!AK146)</f>
        <v/>
      </c>
      <c r="I145" s="7" t="str">
        <f>IF(主角经验!AL146="","",主角经验!$B146*主角经验!AL146)</f>
        <v/>
      </c>
      <c r="J145" s="7" t="str">
        <f>IF(主角经验!AM146="","",主角经验!$B146*主角经验!AM146)</f>
        <v/>
      </c>
      <c r="K145" s="7">
        <f>IF(主角经验!AN146="","",主角经验!$B146*主角经验!AN146)</f>
        <v>576000</v>
      </c>
      <c r="L145" s="7">
        <f>IF(主角经验!AO146="","",主角经验!$B146*主角经验!AO146)</f>
        <v>191808</v>
      </c>
      <c r="M145" s="7">
        <f>IF(主角经验!AP146="","",主角经验!$B146*主角经验!AP146)</f>
        <v>1152000</v>
      </c>
      <c r="N145" s="7">
        <f>IF(主角经验!AQ146="","",主角经验!$B146*主角经验!AQ146)</f>
        <v>691200</v>
      </c>
      <c r="O145" s="7">
        <f>IF(主角经验!AR146="","",主角经验!$B146*主角经验!AR146)</f>
        <v>720000</v>
      </c>
      <c r="P145" s="7">
        <f>IF(主角经验!AS146="","",主角经验!$B146*主角经验!AS146)</f>
        <v>47808</v>
      </c>
      <c r="Q145" s="7">
        <f>IF(主角经验!AT146="","",主角经验!$B146*主角经验!AT146)</f>
        <v>2995200</v>
      </c>
      <c r="R145" s="7">
        <f>IF(主角经验!AU146="","",主角经验!$B146*主角经验!AU146)</f>
        <v>345600</v>
      </c>
      <c r="S145" s="7">
        <f>IF(主角经验!AV146="","",主角经验!$B146*主角经验!AV146)</f>
        <v>384192</v>
      </c>
      <c r="T145" s="7">
        <f>IF(主角经验!AW146="","",主角经验!$B146*主角经验!AW146)</f>
        <v>0</v>
      </c>
      <c r="U145" s="7">
        <f>IF(主角经验!AX146="","",主角经验!$B146*主角经验!AX146)</f>
        <v>288000</v>
      </c>
      <c r="V145" s="7">
        <f>IF(主角经验!AY146="","",主角经验!$B146*主角经验!AY146)</f>
        <v>384192</v>
      </c>
      <c r="W145" s="7">
        <f>IF(主角经验!AZ146="","",主角经验!$B146*主角经验!AZ146)</f>
        <v>144000</v>
      </c>
      <c r="X145" s="7">
        <f>IF(主角经验!BA146="","",主角经验!$B146*主角经验!BA146)</f>
        <v>288000</v>
      </c>
      <c r="Y145" s="7">
        <f>IF(主角经验!BB146="","",主角经验!$B146*主角经验!BB146)</f>
        <v>360000</v>
      </c>
      <c r="Z145" s="7">
        <f>IF(主角经验!BC146="","",主角经验!$B146*主角经验!BC146)</f>
        <v>504000</v>
      </c>
      <c r="AA145" s="7">
        <f>IF(主角经验!BD146="","",主角经验!$B146*主角经验!BD146)</f>
        <v>144000</v>
      </c>
      <c r="AB145" s="7" t="str">
        <f>IF(主角经验!BE146="","",主角经验!$B146*主角经验!BE146)</f>
        <v/>
      </c>
      <c r="AC145" s="7" t="str">
        <f>IF(主角经验!BF146="","",主角经验!$B146*主角经验!BF146)</f>
        <v/>
      </c>
      <c r="AD145" s="7" t="str">
        <f>IF(主角经验!BG146="","",主角经验!$B146*主角经验!BG146)</f>
        <v/>
      </c>
      <c r="AE145" s="7" t="str">
        <f>IF(主角经验!BH146="","",主角经验!$B146*主角经验!BH146)</f>
        <v/>
      </c>
      <c r="AF145" s="7">
        <f>主角经验!BK146</f>
        <v>7568600</v>
      </c>
      <c r="AG145" s="7">
        <f>主角经验!BO146</f>
        <v>640</v>
      </c>
    </row>
    <row r="146" spans="1:33">
      <c r="A146" s="32">
        <v>145</v>
      </c>
      <c r="B146" s="81">
        <f>主角经验!B147</f>
        <v>58000</v>
      </c>
      <c r="C146" s="7">
        <f>IF(主角经验!AF147="","",主角经验!$B147*主角经验!AF147)</f>
        <v>966860.00000000012</v>
      </c>
      <c r="D146" s="7">
        <f>IF(主角经验!AG147="","",主角经验!$B147*主角经验!AG147)</f>
        <v>382800</v>
      </c>
      <c r="E146" s="7">
        <f>IF(主角经验!AH147="","",主角经验!$B147*主角经验!AH147)</f>
        <v>145000</v>
      </c>
      <c r="F146" s="7">
        <f>IF(主角经验!AI147="","",主角经验!$B147*主角经验!AI147)</f>
        <v>870000</v>
      </c>
      <c r="G146" s="7" t="str">
        <f>IF(主角经验!AJ147="","",主角经验!$B147*主角经验!AJ147)</f>
        <v/>
      </c>
      <c r="H146" s="7" t="str">
        <f>IF(主角经验!AK147="","",主角经验!$B147*主角经验!AK147)</f>
        <v/>
      </c>
      <c r="I146" s="7" t="str">
        <f>IF(主角经验!AL147="","",主角经验!$B147*主角经验!AL147)</f>
        <v/>
      </c>
      <c r="J146" s="7" t="str">
        <f>IF(主角经验!AM147="","",主角经验!$B147*主角经验!AM147)</f>
        <v/>
      </c>
      <c r="K146" s="7">
        <f>IF(主角经验!AN147="","",主角经验!$B147*主角经验!AN147)</f>
        <v>580000</v>
      </c>
      <c r="L146" s="7">
        <f>IF(主角经验!AO147="","",主角经验!$B147*主角经验!AO147)</f>
        <v>193140</v>
      </c>
      <c r="M146" s="7">
        <f>IF(主角经验!AP147="","",主角经验!$B147*主角经验!AP147)</f>
        <v>1160000</v>
      </c>
      <c r="N146" s="7">
        <f>IF(主角经验!AQ147="","",主角经验!$B147*主角经验!AQ147)</f>
        <v>696000</v>
      </c>
      <c r="O146" s="7">
        <f>IF(主角经验!AR147="","",主角经验!$B147*主角经验!AR147)</f>
        <v>725000</v>
      </c>
      <c r="P146" s="7">
        <f>IF(主角经验!AS147="","",主角经验!$B147*主角经验!AS147)</f>
        <v>48140</v>
      </c>
      <c r="Q146" s="7">
        <f>IF(主角经验!AT147="","",主角经验!$B147*主角经验!AT147)</f>
        <v>3016000</v>
      </c>
      <c r="R146" s="7">
        <f>IF(主角经验!AU147="","",主角经验!$B147*主角经验!AU147)</f>
        <v>348000</v>
      </c>
      <c r="S146" s="7">
        <f>IF(主角经验!AV147="","",主角经验!$B147*主角经验!AV147)</f>
        <v>386860</v>
      </c>
      <c r="T146" s="7">
        <f>IF(主角经验!AW147="","",主角经验!$B147*主角经验!AW147)</f>
        <v>0</v>
      </c>
      <c r="U146" s="7">
        <f>IF(主角经验!AX147="","",主角经验!$B147*主角经验!AX147)</f>
        <v>290000</v>
      </c>
      <c r="V146" s="7">
        <f>IF(主角经验!AY147="","",主角经验!$B147*主角经验!AY147)</f>
        <v>386860</v>
      </c>
      <c r="W146" s="7">
        <f>IF(主角经验!AZ147="","",主角经验!$B147*主角经验!AZ147)</f>
        <v>145000</v>
      </c>
      <c r="X146" s="7">
        <f>IF(主角经验!BA147="","",主角经验!$B147*主角经验!BA147)</f>
        <v>290000</v>
      </c>
      <c r="Y146" s="7">
        <f>IF(主角经验!BB147="","",主角经验!$B147*主角经验!BB147)</f>
        <v>362500</v>
      </c>
      <c r="Z146" s="7">
        <f>IF(主角经验!BC147="","",主角经验!$B147*主角经验!BC147)</f>
        <v>507500</v>
      </c>
      <c r="AA146" s="7">
        <f>IF(主角经验!BD147="","",主角经验!$B147*主角经验!BD147)</f>
        <v>145000</v>
      </c>
      <c r="AB146" s="7" t="str">
        <f>IF(主角经验!BE147="","",主角经验!$B147*主角经验!BE147)</f>
        <v/>
      </c>
      <c r="AC146" s="7" t="str">
        <f>IF(主角经验!BF147="","",主角经验!$B147*主角经验!BF147)</f>
        <v/>
      </c>
      <c r="AD146" s="7" t="str">
        <f>IF(主角经验!BG147="","",主角经验!$B147*主角经验!BG147)</f>
        <v/>
      </c>
      <c r="AE146" s="7" t="str">
        <f>IF(主角经验!BH147="","",主角经验!$B147*主角经验!BH147)</f>
        <v/>
      </c>
      <c r="AF146" s="7">
        <f>主角经验!BK147</f>
        <v>7685000</v>
      </c>
      <c r="AG146" s="7">
        <f>主角经验!BO147</f>
        <v>644</v>
      </c>
    </row>
    <row r="147" spans="1:33">
      <c r="A147" s="32">
        <v>146</v>
      </c>
      <c r="B147" s="81">
        <f>主角经验!B148</f>
        <v>58400</v>
      </c>
      <c r="C147" s="7">
        <f>IF(主角经验!AF148="","",主角经验!$B148*主角经验!AF148)</f>
        <v>973528.00000000012</v>
      </c>
      <c r="D147" s="7">
        <f>IF(主角经验!AG148="","",主角经验!$B148*主角经验!AG148)</f>
        <v>385440</v>
      </c>
      <c r="E147" s="7">
        <f>IF(主角经验!AH148="","",主角经验!$B148*主角经验!AH148)</f>
        <v>146000</v>
      </c>
      <c r="F147" s="7">
        <f>IF(主角经验!AI148="","",主角经验!$B148*主角经验!AI148)</f>
        <v>876000</v>
      </c>
      <c r="G147" s="7" t="str">
        <f>IF(主角经验!AJ148="","",主角经验!$B148*主角经验!AJ148)</f>
        <v/>
      </c>
      <c r="H147" s="7" t="str">
        <f>IF(主角经验!AK148="","",主角经验!$B148*主角经验!AK148)</f>
        <v/>
      </c>
      <c r="I147" s="7" t="str">
        <f>IF(主角经验!AL148="","",主角经验!$B148*主角经验!AL148)</f>
        <v/>
      </c>
      <c r="J147" s="7" t="str">
        <f>IF(主角经验!AM148="","",主角经验!$B148*主角经验!AM148)</f>
        <v/>
      </c>
      <c r="K147" s="7">
        <f>IF(主角经验!AN148="","",主角经验!$B148*主角经验!AN148)</f>
        <v>584000</v>
      </c>
      <c r="L147" s="7">
        <f>IF(主角经验!AO148="","",主角经验!$B148*主角经验!AO148)</f>
        <v>194472</v>
      </c>
      <c r="M147" s="7">
        <f>IF(主角经验!AP148="","",主角经验!$B148*主角经验!AP148)</f>
        <v>1168000</v>
      </c>
      <c r="N147" s="7">
        <f>IF(主角经验!AQ148="","",主角经验!$B148*主角经验!AQ148)</f>
        <v>700800</v>
      </c>
      <c r="O147" s="7">
        <f>IF(主角经验!AR148="","",主角经验!$B148*主角经验!AR148)</f>
        <v>730000</v>
      </c>
      <c r="P147" s="7">
        <f>IF(主角经验!AS148="","",主角经验!$B148*主角经验!AS148)</f>
        <v>48472</v>
      </c>
      <c r="Q147" s="7">
        <f>IF(主角经验!AT148="","",主角经验!$B148*主角经验!AT148)</f>
        <v>3036800</v>
      </c>
      <c r="R147" s="7">
        <f>IF(主角经验!AU148="","",主角经验!$B148*主角经验!AU148)</f>
        <v>350400</v>
      </c>
      <c r="S147" s="7">
        <f>IF(主角经验!AV148="","",主角经验!$B148*主角经验!AV148)</f>
        <v>389528</v>
      </c>
      <c r="T147" s="7">
        <f>IF(主角经验!AW148="","",主角经验!$B148*主角经验!AW148)</f>
        <v>0</v>
      </c>
      <c r="U147" s="7">
        <f>IF(主角经验!AX148="","",主角经验!$B148*主角经验!AX148)</f>
        <v>292000</v>
      </c>
      <c r="V147" s="7">
        <f>IF(主角经验!AY148="","",主角经验!$B148*主角经验!AY148)</f>
        <v>389528</v>
      </c>
      <c r="W147" s="7">
        <f>IF(主角经验!AZ148="","",主角经验!$B148*主角经验!AZ148)</f>
        <v>146000</v>
      </c>
      <c r="X147" s="7">
        <f>IF(主角经验!BA148="","",主角经验!$B148*主角经验!BA148)</f>
        <v>292000</v>
      </c>
      <c r="Y147" s="7">
        <f>IF(主角经验!BB148="","",主角经验!$B148*主角经验!BB148)</f>
        <v>365000</v>
      </c>
      <c r="Z147" s="7">
        <f>IF(主角经验!BC148="","",主角经验!$B148*主角经验!BC148)</f>
        <v>511000</v>
      </c>
      <c r="AA147" s="7">
        <f>IF(主角经验!BD148="","",主角经验!$B148*主角经验!BD148)</f>
        <v>146000</v>
      </c>
      <c r="AB147" s="7" t="str">
        <f>IF(主角经验!BE148="","",主角经验!$B148*主角经验!BE148)</f>
        <v/>
      </c>
      <c r="AC147" s="7" t="str">
        <f>IF(主角经验!BF148="","",主角经验!$B148*主角经验!BF148)</f>
        <v/>
      </c>
      <c r="AD147" s="7" t="str">
        <f>IF(主角经验!BG148="","",主角经验!$B148*主角经验!BG148)</f>
        <v/>
      </c>
      <c r="AE147" s="7" t="str">
        <f>IF(主角经验!BH148="","",主角经验!$B148*主角经验!BH148)</f>
        <v/>
      </c>
      <c r="AF147" s="7">
        <f>主角经验!BK148</f>
        <v>7802200</v>
      </c>
      <c r="AG147" s="7">
        <f>主角经验!BO148</f>
        <v>649</v>
      </c>
    </row>
    <row r="148" spans="1:33">
      <c r="A148" s="32">
        <v>147</v>
      </c>
      <c r="B148" s="81">
        <f>主角经验!B149</f>
        <v>58800</v>
      </c>
      <c r="C148" s="7">
        <f>IF(主角经验!AF149="","",主角经验!$B149*主角经验!AF149)</f>
        <v>980196.00000000012</v>
      </c>
      <c r="D148" s="7">
        <f>IF(主角经验!AG149="","",主角经验!$B149*主角经验!AG149)</f>
        <v>388080</v>
      </c>
      <c r="E148" s="7">
        <f>IF(主角经验!AH149="","",主角经验!$B149*主角经验!AH149)</f>
        <v>147000</v>
      </c>
      <c r="F148" s="7">
        <f>IF(主角经验!AI149="","",主角经验!$B149*主角经验!AI149)</f>
        <v>882000</v>
      </c>
      <c r="G148" s="7" t="str">
        <f>IF(主角经验!AJ149="","",主角经验!$B149*主角经验!AJ149)</f>
        <v/>
      </c>
      <c r="H148" s="7" t="str">
        <f>IF(主角经验!AK149="","",主角经验!$B149*主角经验!AK149)</f>
        <v/>
      </c>
      <c r="I148" s="7" t="str">
        <f>IF(主角经验!AL149="","",主角经验!$B149*主角经验!AL149)</f>
        <v/>
      </c>
      <c r="J148" s="7" t="str">
        <f>IF(主角经验!AM149="","",主角经验!$B149*主角经验!AM149)</f>
        <v/>
      </c>
      <c r="K148" s="7">
        <f>IF(主角经验!AN149="","",主角经验!$B149*主角经验!AN149)</f>
        <v>588000</v>
      </c>
      <c r="L148" s="7">
        <f>IF(主角经验!AO149="","",主角经验!$B149*主角经验!AO149)</f>
        <v>195804</v>
      </c>
      <c r="M148" s="7">
        <f>IF(主角经验!AP149="","",主角经验!$B149*主角经验!AP149)</f>
        <v>1176000</v>
      </c>
      <c r="N148" s="7">
        <f>IF(主角经验!AQ149="","",主角经验!$B149*主角经验!AQ149)</f>
        <v>705600</v>
      </c>
      <c r="O148" s="7">
        <f>IF(主角经验!AR149="","",主角经验!$B149*主角经验!AR149)</f>
        <v>735000</v>
      </c>
      <c r="P148" s="7">
        <f>IF(主角经验!AS149="","",主角经验!$B149*主角经验!AS149)</f>
        <v>48804</v>
      </c>
      <c r="Q148" s="7">
        <f>IF(主角经验!AT149="","",主角经验!$B149*主角经验!AT149)</f>
        <v>3057600</v>
      </c>
      <c r="R148" s="7">
        <f>IF(主角经验!AU149="","",主角经验!$B149*主角经验!AU149)</f>
        <v>352800</v>
      </c>
      <c r="S148" s="7">
        <f>IF(主角经验!AV149="","",主角经验!$B149*主角经验!AV149)</f>
        <v>392196</v>
      </c>
      <c r="T148" s="7">
        <f>IF(主角经验!AW149="","",主角经验!$B149*主角经验!AW149)</f>
        <v>0</v>
      </c>
      <c r="U148" s="7">
        <f>IF(主角经验!AX149="","",主角经验!$B149*主角经验!AX149)</f>
        <v>294000</v>
      </c>
      <c r="V148" s="7">
        <f>IF(主角经验!AY149="","",主角经验!$B149*主角经验!AY149)</f>
        <v>392196</v>
      </c>
      <c r="W148" s="7">
        <f>IF(主角经验!AZ149="","",主角经验!$B149*主角经验!AZ149)</f>
        <v>147000</v>
      </c>
      <c r="X148" s="7">
        <f>IF(主角经验!BA149="","",主角经验!$B149*主角经验!BA149)</f>
        <v>294000</v>
      </c>
      <c r="Y148" s="7">
        <f>IF(主角经验!BB149="","",主角经验!$B149*主角经验!BB149)</f>
        <v>367500</v>
      </c>
      <c r="Z148" s="7">
        <f>IF(主角经验!BC149="","",主角经验!$B149*主角经验!BC149)</f>
        <v>514500</v>
      </c>
      <c r="AA148" s="7">
        <f>IF(主角经验!BD149="","",主角经验!$B149*主角经验!BD149)</f>
        <v>147000</v>
      </c>
      <c r="AB148" s="7" t="str">
        <f>IF(主角经验!BE149="","",主角经验!$B149*主角经验!BE149)</f>
        <v/>
      </c>
      <c r="AC148" s="7" t="str">
        <f>IF(主角经验!BF149="","",主角经验!$B149*主角经验!BF149)</f>
        <v/>
      </c>
      <c r="AD148" s="7" t="str">
        <f>IF(主角经验!BG149="","",主角经验!$B149*主角经验!BG149)</f>
        <v/>
      </c>
      <c r="AE148" s="7" t="str">
        <f>IF(主角经验!BH149="","",主角经验!$B149*主角经验!BH149)</f>
        <v/>
      </c>
      <c r="AF148" s="7">
        <f>主角经验!BK149</f>
        <v>7920400</v>
      </c>
      <c r="AG148" s="7">
        <f>主角经验!BO149</f>
        <v>653</v>
      </c>
    </row>
    <row r="149" spans="1:33">
      <c r="A149" s="32">
        <v>148</v>
      </c>
      <c r="B149" s="81">
        <f>主角经验!B150</f>
        <v>59200</v>
      </c>
      <c r="C149" s="7">
        <f>IF(主角经验!AF150="","",主角经验!$B150*主角经验!AF150)</f>
        <v>986864.00000000012</v>
      </c>
      <c r="D149" s="7">
        <f>IF(主角经验!AG150="","",主角经验!$B150*主角经验!AG150)</f>
        <v>390720</v>
      </c>
      <c r="E149" s="7">
        <f>IF(主角经验!AH150="","",主角经验!$B150*主角经验!AH150)</f>
        <v>148000</v>
      </c>
      <c r="F149" s="7">
        <f>IF(主角经验!AI150="","",主角经验!$B150*主角经验!AI150)</f>
        <v>888000</v>
      </c>
      <c r="G149" s="7" t="str">
        <f>IF(主角经验!AJ150="","",主角经验!$B150*主角经验!AJ150)</f>
        <v/>
      </c>
      <c r="H149" s="7" t="str">
        <f>IF(主角经验!AK150="","",主角经验!$B150*主角经验!AK150)</f>
        <v/>
      </c>
      <c r="I149" s="7" t="str">
        <f>IF(主角经验!AL150="","",主角经验!$B150*主角经验!AL150)</f>
        <v/>
      </c>
      <c r="J149" s="7" t="str">
        <f>IF(主角经验!AM150="","",主角经验!$B150*主角经验!AM150)</f>
        <v/>
      </c>
      <c r="K149" s="7">
        <f>IF(主角经验!AN150="","",主角经验!$B150*主角经验!AN150)</f>
        <v>592000</v>
      </c>
      <c r="L149" s="7">
        <f>IF(主角经验!AO150="","",主角经验!$B150*主角经验!AO150)</f>
        <v>197136</v>
      </c>
      <c r="M149" s="7">
        <f>IF(主角经验!AP150="","",主角经验!$B150*主角经验!AP150)</f>
        <v>1184000</v>
      </c>
      <c r="N149" s="7">
        <f>IF(主角经验!AQ150="","",主角经验!$B150*主角经验!AQ150)</f>
        <v>710400</v>
      </c>
      <c r="O149" s="7">
        <f>IF(主角经验!AR150="","",主角经验!$B150*主角经验!AR150)</f>
        <v>740000</v>
      </c>
      <c r="P149" s="7">
        <f>IF(主角经验!AS150="","",主角经验!$B150*主角经验!AS150)</f>
        <v>49136</v>
      </c>
      <c r="Q149" s="7">
        <f>IF(主角经验!AT150="","",主角经验!$B150*主角经验!AT150)</f>
        <v>3078400</v>
      </c>
      <c r="R149" s="7">
        <f>IF(主角经验!AU150="","",主角经验!$B150*主角经验!AU150)</f>
        <v>355200</v>
      </c>
      <c r="S149" s="7">
        <f>IF(主角经验!AV150="","",主角经验!$B150*主角经验!AV150)</f>
        <v>394864</v>
      </c>
      <c r="T149" s="7">
        <f>IF(主角经验!AW150="","",主角经验!$B150*主角经验!AW150)</f>
        <v>0</v>
      </c>
      <c r="U149" s="7">
        <f>IF(主角经验!AX150="","",主角经验!$B150*主角经验!AX150)</f>
        <v>296000</v>
      </c>
      <c r="V149" s="7">
        <f>IF(主角经验!AY150="","",主角经验!$B150*主角经验!AY150)</f>
        <v>394864</v>
      </c>
      <c r="W149" s="7">
        <f>IF(主角经验!AZ150="","",主角经验!$B150*主角经验!AZ150)</f>
        <v>148000</v>
      </c>
      <c r="X149" s="7">
        <f>IF(主角经验!BA150="","",主角经验!$B150*主角经验!BA150)</f>
        <v>296000</v>
      </c>
      <c r="Y149" s="7">
        <f>IF(主角经验!BB150="","",主角经验!$B150*主角经验!BB150)</f>
        <v>370000</v>
      </c>
      <c r="Z149" s="7">
        <f>IF(主角经验!BC150="","",主角经验!$B150*主角经验!BC150)</f>
        <v>518000</v>
      </c>
      <c r="AA149" s="7">
        <f>IF(主角经验!BD150="","",主角经验!$B150*主角经验!BD150)</f>
        <v>148000</v>
      </c>
      <c r="AB149" s="7" t="str">
        <f>IF(主角经验!BE150="","",主角经验!$B150*主角经验!BE150)</f>
        <v/>
      </c>
      <c r="AC149" s="7" t="str">
        <f>IF(主角经验!BF150="","",主角经验!$B150*主角经验!BF150)</f>
        <v/>
      </c>
      <c r="AD149" s="7" t="str">
        <f>IF(主角经验!BG150="","",主角经验!$B150*主角经验!BG150)</f>
        <v/>
      </c>
      <c r="AE149" s="7" t="str">
        <f>IF(主角经验!BH150="","",主角经验!$B150*主角经验!BH150)</f>
        <v/>
      </c>
      <c r="AF149" s="7">
        <f>主角经验!BK150</f>
        <v>8039400</v>
      </c>
      <c r="AG149" s="7">
        <f>主角经验!BO150</f>
        <v>658</v>
      </c>
    </row>
    <row r="150" spans="1:33">
      <c r="A150" s="32">
        <v>149</v>
      </c>
      <c r="B150" s="81">
        <f>主角经验!B151</f>
        <v>59600</v>
      </c>
      <c r="C150" s="7">
        <f>IF(主角经验!AF151="","",主角经验!$B151*主角经验!AF151)</f>
        <v>993532.00000000012</v>
      </c>
      <c r="D150" s="7">
        <f>IF(主角经验!AG151="","",主角经验!$B151*主角经验!AG151)</f>
        <v>393360</v>
      </c>
      <c r="E150" s="7">
        <f>IF(主角经验!AH151="","",主角经验!$B151*主角经验!AH151)</f>
        <v>149000</v>
      </c>
      <c r="F150" s="7">
        <f>IF(主角经验!AI151="","",主角经验!$B151*主角经验!AI151)</f>
        <v>894000</v>
      </c>
      <c r="G150" s="7" t="str">
        <f>IF(主角经验!AJ151="","",主角经验!$B151*主角经验!AJ151)</f>
        <v/>
      </c>
      <c r="H150" s="7" t="str">
        <f>IF(主角经验!AK151="","",主角经验!$B151*主角经验!AK151)</f>
        <v/>
      </c>
      <c r="I150" s="7" t="str">
        <f>IF(主角经验!AL151="","",主角经验!$B151*主角经验!AL151)</f>
        <v/>
      </c>
      <c r="J150" s="7" t="str">
        <f>IF(主角经验!AM151="","",主角经验!$B151*主角经验!AM151)</f>
        <v/>
      </c>
      <c r="K150" s="7">
        <f>IF(主角经验!AN151="","",主角经验!$B151*主角经验!AN151)</f>
        <v>596000</v>
      </c>
      <c r="L150" s="7">
        <f>IF(主角经验!AO151="","",主角经验!$B151*主角经验!AO151)</f>
        <v>198468</v>
      </c>
      <c r="M150" s="7">
        <f>IF(主角经验!AP151="","",主角经验!$B151*主角经验!AP151)</f>
        <v>1192000</v>
      </c>
      <c r="N150" s="7">
        <f>IF(主角经验!AQ151="","",主角经验!$B151*主角经验!AQ151)</f>
        <v>715200</v>
      </c>
      <c r="O150" s="7">
        <f>IF(主角经验!AR151="","",主角经验!$B151*主角经验!AR151)</f>
        <v>745000</v>
      </c>
      <c r="P150" s="7">
        <f>IF(主角经验!AS151="","",主角经验!$B151*主角经验!AS151)</f>
        <v>49468</v>
      </c>
      <c r="Q150" s="7">
        <f>IF(主角经验!AT151="","",主角经验!$B151*主角经验!AT151)</f>
        <v>3099200</v>
      </c>
      <c r="R150" s="7">
        <f>IF(主角经验!AU151="","",主角经验!$B151*主角经验!AU151)</f>
        <v>357600</v>
      </c>
      <c r="S150" s="7">
        <f>IF(主角经验!AV151="","",主角经验!$B151*主角经验!AV151)</f>
        <v>397532</v>
      </c>
      <c r="T150" s="7">
        <f>IF(主角经验!AW151="","",主角经验!$B151*主角经验!AW151)</f>
        <v>0</v>
      </c>
      <c r="U150" s="7">
        <f>IF(主角经验!AX151="","",主角经验!$B151*主角经验!AX151)</f>
        <v>298000</v>
      </c>
      <c r="V150" s="7">
        <f>IF(主角经验!AY151="","",主角经验!$B151*主角经验!AY151)</f>
        <v>397532</v>
      </c>
      <c r="W150" s="7">
        <f>IF(主角经验!AZ151="","",主角经验!$B151*主角经验!AZ151)</f>
        <v>149000</v>
      </c>
      <c r="X150" s="7">
        <f>IF(主角经验!BA151="","",主角经验!$B151*主角经验!BA151)</f>
        <v>298000</v>
      </c>
      <c r="Y150" s="7">
        <f>IF(主角经验!BB151="","",主角经验!$B151*主角经验!BB151)</f>
        <v>372500</v>
      </c>
      <c r="Z150" s="7">
        <f>IF(主角经验!BC151="","",主角经验!$B151*主角经验!BC151)</f>
        <v>521500</v>
      </c>
      <c r="AA150" s="7">
        <f>IF(主角经验!BD151="","",主角经验!$B151*主角经验!BD151)</f>
        <v>149000</v>
      </c>
      <c r="AB150" s="7" t="str">
        <f>IF(主角经验!BE151="","",主角经验!$B151*主角经验!BE151)</f>
        <v/>
      </c>
      <c r="AC150" s="7" t="str">
        <f>IF(主角经验!BF151="","",主角经验!$B151*主角经验!BF151)</f>
        <v/>
      </c>
      <c r="AD150" s="7" t="str">
        <f>IF(主角经验!BG151="","",主角经验!$B151*主角经验!BG151)</f>
        <v/>
      </c>
      <c r="AE150" s="7" t="str">
        <f>IF(主角经验!BH151="","",主角经验!$B151*主角经验!BH151)</f>
        <v/>
      </c>
      <c r="AF150" s="7">
        <f>主角经验!BK151</f>
        <v>8159200</v>
      </c>
      <c r="AG150" s="7">
        <f>主角经验!BO151</f>
        <v>662</v>
      </c>
    </row>
    <row r="151" spans="1:33">
      <c r="A151" s="33">
        <v>150</v>
      </c>
      <c r="B151" s="83">
        <f>主角经验!B152</f>
        <v>60000</v>
      </c>
      <c r="C151" s="7">
        <f>IF(主角经验!AF152="","",主角经验!$B152*主角经验!AF152)</f>
        <v>1000200.0000000001</v>
      </c>
      <c r="D151" s="7">
        <f>IF(主角经验!AG152="","",主角经验!$B152*主角经验!AG152)</f>
        <v>396000</v>
      </c>
      <c r="E151" s="7">
        <f>IF(主角经验!AH152="","",主角经验!$B152*主角经验!AH152)</f>
        <v>150000</v>
      </c>
      <c r="F151" s="7">
        <f>IF(主角经验!AI152="","",主角经验!$B152*主角经验!AI152)</f>
        <v>900000</v>
      </c>
      <c r="G151" s="7" t="str">
        <f>IF(主角经验!AJ152="","",主角经验!$B152*主角经验!AJ152)</f>
        <v/>
      </c>
      <c r="H151" s="7" t="str">
        <f>IF(主角经验!AK152="","",主角经验!$B152*主角经验!AK152)</f>
        <v/>
      </c>
      <c r="I151" s="7" t="str">
        <f>IF(主角经验!AL152="","",主角经验!$B152*主角经验!AL152)</f>
        <v/>
      </c>
      <c r="J151" s="7" t="str">
        <f>IF(主角经验!AM152="","",主角经验!$B152*主角经验!AM152)</f>
        <v/>
      </c>
      <c r="K151" s="7">
        <f>IF(主角经验!AN152="","",主角经验!$B152*主角经验!AN152)</f>
        <v>600000</v>
      </c>
      <c r="L151" s="7">
        <f>IF(主角经验!AO152="","",主角经验!$B152*主角经验!AO152)</f>
        <v>199800</v>
      </c>
      <c r="M151" s="7">
        <f>IF(主角经验!AP152="","",主角经验!$B152*主角经验!AP152)</f>
        <v>1200000</v>
      </c>
      <c r="N151" s="7">
        <f>IF(主角经验!AQ152="","",主角经验!$B152*主角经验!AQ152)</f>
        <v>720000</v>
      </c>
      <c r="O151" s="7">
        <f>IF(主角经验!AR152="","",主角经验!$B152*主角经验!AR152)</f>
        <v>750000</v>
      </c>
      <c r="P151" s="7">
        <f>IF(主角经验!AS152="","",主角经验!$B152*主角经验!AS152)</f>
        <v>49800</v>
      </c>
      <c r="Q151" s="7">
        <f>IF(主角经验!AT152="","",主角经验!$B152*主角经验!AT152)</f>
        <v>3120000</v>
      </c>
      <c r="R151" s="7">
        <f>IF(主角经验!AU152="","",主角经验!$B152*主角经验!AU152)</f>
        <v>360000</v>
      </c>
      <c r="S151" s="7">
        <f>IF(主角经验!AV152="","",主角经验!$B152*主角经验!AV152)</f>
        <v>400200</v>
      </c>
      <c r="T151" s="7">
        <f>IF(主角经验!AW152="","",主角经验!$B152*主角经验!AW152)</f>
        <v>0</v>
      </c>
      <c r="U151" s="7">
        <f>IF(主角经验!AX152="","",主角经验!$B152*主角经验!AX152)</f>
        <v>300000</v>
      </c>
      <c r="V151" s="7">
        <f>IF(主角经验!AY152="","",主角经验!$B152*主角经验!AY152)</f>
        <v>400200</v>
      </c>
      <c r="W151" s="7">
        <f>IF(主角经验!AZ152="","",主角经验!$B152*主角经验!AZ152)</f>
        <v>150000</v>
      </c>
      <c r="X151" s="7">
        <f>IF(主角经验!BA152="","",主角经验!$B152*主角经验!BA152)</f>
        <v>300000</v>
      </c>
      <c r="Y151" s="7">
        <f>IF(主角经验!BB152="","",主角经验!$B152*主角经验!BB152)</f>
        <v>375000</v>
      </c>
      <c r="Z151" s="7">
        <f>IF(主角经验!BC152="","",主角经验!$B152*主角经验!BC152)</f>
        <v>525000</v>
      </c>
      <c r="AA151" s="7">
        <f>IF(主角经验!BD152="","",主角经验!$B152*主角经验!BD152)</f>
        <v>150000</v>
      </c>
      <c r="AB151" s="7" t="str">
        <f>IF(主角经验!BE152="","",主角经验!$B152*主角经验!BE152)</f>
        <v/>
      </c>
      <c r="AC151" s="7" t="str">
        <f>IF(主角经验!BF152="","",主角经验!$B152*主角经验!BF152)</f>
        <v/>
      </c>
      <c r="AD151" s="7" t="str">
        <f>IF(主角经验!BG152="","",主角经验!$B152*主角经验!BG152)</f>
        <v/>
      </c>
      <c r="AE151" s="7" t="str">
        <f>IF(主角经验!BH152="","",主角经验!$B152*主角经验!BH152)</f>
        <v/>
      </c>
      <c r="AF151" s="7">
        <f>主角经验!BK152</f>
        <v>8280000</v>
      </c>
      <c r="AG151" s="7">
        <f>主角经验!BO152</f>
        <v>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2" sqref="O12"/>
    </sheetView>
  </sheetViews>
  <sheetFormatPr defaultRowHeight="13.5"/>
  <cols>
    <col min="1" max="2" width="6.625" style="84" customWidth="1"/>
    <col min="3" max="13" width="6.625" customWidth="1"/>
    <col min="14" max="14" width="8.5" bestFit="1" customWidth="1"/>
    <col min="15" max="16" width="6.625" customWidth="1"/>
    <col min="17" max="17" width="8.5" bestFit="1" customWidth="1"/>
    <col min="18" max="29" width="6.625" customWidth="1"/>
    <col min="30" max="31" width="6.625" style="7" customWidth="1"/>
    <col min="32" max="33" width="6.625" customWidth="1"/>
    <col min="36" max="36" width="9.5" bestFit="1" customWidth="1"/>
  </cols>
  <sheetData>
    <row r="1" spans="1:33" ht="193.5">
      <c r="A1" s="28" t="s">
        <v>63</v>
      </c>
      <c r="B1" s="85" t="s">
        <v>386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79" t="s">
        <v>193</v>
      </c>
      <c r="AG1" s="79" t="s">
        <v>194</v>
      </c>
    </row>
    <row r="2" spans="1:33">
      <c r="A2" s="31">
        <v>1</v>
      </c>
      <c r="B2" s="86">
        <f>宠物经验!B3</f>
        <v>5000</v>
      </c>
      <c r="C2">
        <f>IF(宠物经验!C3="","",INT(宠物经验!$B3*宠物经验!C3))</f>
        <v>0</v>
      </c>
      <c r="D2" s="7">
        <f>IF(宠物经验!D3="","",INT(宠物经验!$B3*宠物经验!D3))</f>
        <v>0</v>
      </c>
      <c r="E2" s="7" t="str">
        <f>IF(宠物经验!E3="","",INT(宠物经验!$B3*宠物经验!E3))</f>
        <v/>
      </c>
      <c r="F2" s="7">
        <f>IF(宠物经验!F3="","",INT(宠物经验!$B3*宠物经验!F3))</f>
        <v>0</v>
      </c>
      <c r="G2" s="7">
        <f>IF(宠物经验!G3="","",INT(宠物经验!$B3*宠物经验!G3))</f>
        <v>0</v>
      </c>
      <c r="H2" s="7" t="str">
        <f>IF(宠物经验!H3="","",INT(宠物经验!$B3*宠物经验!H3))</f>
        <v/>
      </c>
      <c r="I2" s="7" t="str">
        <f>IF(宠物经验!I3="","",INT(宠物经验!$B3*宠物经验!I3))</f>
        <v/>
      </c>
      <c r="J2" s="7" t="str">
        <f>IF(宠物经验!J3="","",INT(宠物经验!$B3*宠物经验!J3))</f>
        <v/>
      </c>
      <c r="K2" s="7">
        <f>IF(宠物经验!K3="","",INT(宠物经验!$B3*宠物经验!K3))</f>
        <v>0</v>
      </c>
      <c r="L2" s="7" t="str">
        <f>IF(宠物经验!L3="","",INT(宠物经验!$B3*宠物经验!L3))</f>
        <v/>
      </c>
      <c r="M2" s="7" t="str">
        <f>IF(宠物经验!M3="","",INT(宠物经验!$B3*宠物经验!M3))</f>
        <v/>
      </c>
      <c r="N2" s="7">
        <f>IF(宠物经验!N3="","",INT(宠物经验!$B3*宠物经验!N3))</f>
        <v>0</v>
      </c>
      <c r="O2" s="7" t="str">
        <f>IF(宠物经验!O3="","",INT(宠物经验!$B3*宠物经验!O3))</f>
        <v/>
      </c>
      <c r="P2" s="7" t="str">
        <f>IF(宠物经验!P3="","",INT(宠物经验!$B3*宠物经验!P3))</f>
        <v/>
      </c>
      <c r="Q2" s="7">
        <f>IF(宠物经验!Q3="","",INT(宠物经验!$B3*宠物经验!Q3))</f>
        <v>26000</v>
      </c>
      <c r="R2" s="7" t="str">
        <f>IF(宠物经验!R3="","",INT(宠物经验!$B3*宠物经验!R3))</f>
        <v/>
      </c>
      <c r="S2" s="7">
        <f>IF(宠物经验!S3="","",INT(宠物经验!$B3*宠物经验!S3))</f>
        <v>0</v>
      </c>
      <c r="T2" s="7">
        <f>IF(宠物经验!T3="","",INT(宠物经验!$B3*宠物经验!T3))</f>
        <v>0</v>
      </c>
      <c r="U2" s="7">
        <f>IF(宠物经验!U3="","",INT(宠物经验!$B3*宠物经验!U3))</f>
        <v>0</v>
      </c>
      <c r="V2" s="7">
        <f>IF(宠物经验!V3="","",INT(宠物经验!$B3*宠物经验!V3))</f>
        <v>0</v>
      </c>
      <c r="W2" s="7" t="str">
        <f>IF(宠物经验!W3="","",INT(宠物经验!$B3*宠物经验!W3))</f>
        <v/>
      </c>
      <c r="X2" s="7" t="str">
        <f>IF(宠物经验!X3="","",INT(宠物经验!$B3*宠物经验!X3))</f>
        <v/>
      </c>
      <c r="Y2" s="7">
        <f>IF(宠物经验!Y3="","",INT(宠物经验!$B3*宠物经验!Y3))</f>
        <v>0</v>
      </c>
      <c r="Z2" s="7" t="str">
        <f>IF(宠物经验!Z3="","",INT(宠物经验!$B3*宠物经验!Z3))</f>
        <v/>
      </c>
      <c r="AA2" s="7">
        <f>IF(宠物经验!AA3="","",INT(宠物经验!$B3*宠物经验!AA3))</f>
        <v>0</v>
      </c>
      <c r="AB2" s="7" t="str">
        <f>IF(宠物经验!AB3="","",INT(宠物经验!$B3*宠物经验!AB3))</f>
        <v/>
      </c>
      <c r="AC2" s="7" t="str">
        <f>IF(宠物经验!AC3="","",INT(宠物经验!$B3*宠物经验!AC3))</f>
        <v/>
      </c>
      <c r="AD2" s="7" t="str">
        <f>IF(宠物经验!AD3="","",INT(宠物经验!$B3*宠物经验!AD3))</f>
        <v/>
      </c>
      <c r="AE2" s="7" t="str">
        <f>IF(宠物经验!AE3="","",INT(宠物经验!$B3*宠物经验!AE3))</f>
        <v/>
      </c>
      <c r="AF2">
        <f>宠物经验!AH3</f>
        <v>1820</v>
      </c>
      <c r="AG2">
        <f>宠物经验!AO3</f>
        <v>83</v>
      </c>
    </row>
    <row r="3" spans="1:33">
      <c r="A3" s="32">
        <v>2</v>
      </c>
      <c r="B3" s="87">
        <f>宠物经验!B4</f>
        <v>10000</v>
      </c>
      <c r="C3" s="7">
        <f>IF(宠物经验!C4="","",INT(宠物经验!$B4*宠物经验!C4))</f>
        <v>0</v>
      </c>
      <c r="D3" s="7">
        <f>IF(宠物经验!D4="","",INT(宠物经验!$B4*宠物经验!D4))</f>
        <v>0</v>
      </c>
      <c r="E3" s="7" t="str">
        <f>IF(宠物经验!E4="","",INT(宠物经验!$B4*宠物经验!E4))</f>
        <v/>
      </c>
      <c r="F3" s="7">
        <f>IF(宠物经验!F4="","",INT(宠物经验!$B4*宠物经验!F4))</f>
        <v>0</v>
      </c>
      <c r="G3" s="7">
        <f>IF(宠物经验!G4="","",INT(宠物经验!$B4*宠物经验!G4))</f>
        <v>0</v>
      </c>
      <c r="H3" s="7" t="str">
        <f>IF(宠物经验!H4="","",INT(宠物经验!$B4*宠物经验!H4))</f>
        <v/>
      </c>
      <c r="I3" s="7" t="str">
        <f>IF(宠物经验!I4="","",INT(宠物经验!$B4*宠物经验!I4))</f>
        <v/>
      </c>
      <c r="J3" s="7" t="str">
        <f>IF(宠物经验!J4="","",INT(宠物经验!$B4*宠物经验!J4))</f>
        <v/>
      </c>
      <c r="K3" s="7">
        <f>IF(宠物经验!K4="","",INT(宠物经验!$B4*宠物经验!K4))</f>
        <v>0</v>
      </c>
      <c r="L3" s="7" t="str">
        <f>IF(宠物经验!L4="","",INT(宠物经验!$B4*宠物经验!L4))</f>
        <v/>
      </c>
      <c r="M3" s="7" t="str">
        <f>IF(宠物经验!M4="","",INT(宠物经验!$B4*宠物经验!M4))</f>
        <v/>
      </c>
      <c r="N3" s="7">
        <f>IF(宠物经验!N4="","",INT(宠物经验!$B4*宠物经验!N4))</f>
        <v>0</v>
      </c>
      <c r="O3" s="7" t="str">
        <f>IF(宠物经验!O4="","",INT(宠物经验!$B4*宠物经验!O4))</f>
        <v/>
      </c>
      <c r="P3" s="7" t="str">
        <f>IF(宠物经验!P4="","",INT(宠物经验!$B4*宠物经验!P4))</f>
        <v/>
      </c>
      <c r="Q3" s="7">
        <f>IF(宠物经验!Q4="","",INT(宠物经验!$B4*宠物经验!Q4))</f>
        <v>52000</v>
      </c>
      <c r="R3" s="7" t="str">
        <f>IF(宠物经验!R4="","",INT(宠物经验!$B4*宠物经验!R4))</f>
        <v/>
      </c>
      <c r="S3" s="7">
        <f>IF(宠物经验!S4="","",INT(宠物经验!$B4*宠物经验!S4))</f>
        <v>0</v>
      </c>
      <c r="T3" s="7">
        <f>IF(宠物经验!T4="","",INT(宠物经验!$B4*宠物经验!T4))</f>
        <v>0</v>
      </c>
      <c r="U3" s="7">
        <f>IF(宠物经验!U4="","",INT(宠物经验!$B4*宠物经验!U4))</f>
        <v>0</v>
      </c>
      <c r="V3" s="7">
        <f>IF(宠物经验!V4="","",INT(宠物经验!$B4*宠物经验!V4))</f>
        <v>0</v>
      </c>
      <c r="W3" s="7" t="str">
        <f>IF(宠物经验!W4="","",INT(宠物经验!$B4*宠物经验!W4))</f>
        <v/>
      </c>
      <c r="X3" s="7" t="str">
        <f>IF(宠物经验!X4="","",INT(宠物经验!$B4*宠物经验!X4))</f>
        <v/>
      </c>
      <c r="Y3" s="7">
        <f>IF(宠物经验!Y4="","",INT(宠物经验!$B4*宠物经验!Y4))</f>
        <v>0</v>
      </c>
      <c r="Z3" s="7" t="str">
        <f>IF(宠物经验!Z4="","",INT(宠物经验!$B4*宠物经验!Z4))</f>
        <v/>
      </c>
      <c r="AA3" s="7">
        <f>IF(宠物经验!AA4="","",INT(宠物经验!$B4*宠物经验!AA4))</f>
        <v>0</v>
      </c>
      <c r="AB3" s="7" t="str">
        <f>IF(宠物经验!AB4="","",INT(宠物经验!$B4*宠物经验!AB4))</f>
        <v/>
      </c>
      <c r="AC3" s="7" t="str">
        <f>IF(宠物经验!AC4="","",INT(宠物经验!$B4*宠物经验!AC4))</f>
        <v/>
      </c>
      <c r="AD3" s="7" t="str">
        <f>IF(宠物经验!AD4="","",INT(宠物经验!$B4*宠物经验!AD4))</f>
        <v/>
      </c>
      <c r="AE3" s="7" t="str">
        <f>IF(宠物经验!AE4="","",INT(宠物经验!$B4*宠物经验!AE4))</f>
        <v/>
      </c>
      <c r="AF3" s="7">
        <f>宠物经验!AH4</f>
        <v>2470</v>
      </c>
      <c r="AG3" s="7">
        <f>宠物经验!AO4</f>
        <v>167</v>
      </c>
    </row>
    <row r="4" spans="1:33">
      <c r="A4" s="32">
        <v>3</v>
      </c>
      <c r="B4" s="87">
        <f>宠物经验!B5</f>
        <v>15000</v>
      </c>
      <c r="C4" s="7">
        <f>IF(宠物经验!C5="","",INT(宠物经验!$B5*宠物经验!C5))</f>
        <v>0</v>
      </c>
      <c r="D4" s="7">
        <f>IF(宠物经验!D5="","",INT(宠物经验!$B5*宠物经验!D5))</f>
        <v>0</v>
      </c>
      <c r="E4" s="7" t="str">
        <f>IF(宠物经验!E5="","",INT(宠物经验!$B5*宠物经验!E5))</f>
        <v/>
      </c>
      <c r="F4" s="7">
        <f>IF(宠物经验!F5="","",INT(宠物经验!$B5*宠物经验!F5))</f>
        <v>0</v>
      </c>
      <c r="G4" s="7">
        <f>IF(宠物经验!G5="","",INT(宠物经验!$B5*宠物经验!G5))</f>
        <v>0</v>
      </c>
      <c r="H4" s="7" t="str">
        <f>IF(宠物经验!H5="","",INT(宠物经验!$B5*宠物经验!H5))</f>
        <v/>
      </c>
      <c r="I4" s="7" t="str">
        <f>IF(宠物经验!I5="","",INT(宠物经验!$B5*宠物经验!I5))</f>
        <v/>
      </c>
      <c r="J4" s="7" t="str">
        <f>IF(宠物经验!J5="","",INT(宠物经验!$B5*宠物经验!J5))</f>
        <v/>
      </c>
      <c r="K4" s="7">
        <f>IF(宠物经验!K5="","",INT(宠物经验!$B5*宠物经验!K5))</f>
        <v>0</v>
      </c>
      <c r="L4" s="7" t="str">
        <f>IF(宠物经验!L5="","",INT(宠物经验!$B5*宠物经验!L5))</f>
        <v/>
      </c>
      <c r="M4" s="7" t="str">
        <f>IF(宠物经验!M5="","",INT(宠物经验!$B5*宠物经验!M5))</f>
        <v/>
      </c>
      <c r="N4" s="7">
        <f>IF(宠物经验!N5="","",INT(宠物经验!$B5*宠物经验!N5))</f>
        <v>0</v>
      </c>
      <c r="O4" s="7" t="str">
        <f>IF(宠物经验!O5="","",INT(宠物经验!$B5*宠物经验!O5))</f>
        <v/>
      </c>
      <c r="P4" s="7" t="str">
        <f>IF(宠物经验!P5="","",INT(宠物经验!$B5*宠物经验!P5))</f>
        <v/>
      </c>
      <c r="Q4" s="7">
        <f>IF(宠物经验!Q5="","",INT(宠物经验!$B5*宠物经验!Q5))</f>
        <v>78000</v>
      </c>
      <c r="R4" s="7" t="str">
        <f>IF(宠物经验!R5="","",INT(宠物经验!$B5*宠物经验!R5))</f>
        <v/>
      </c>
      <c r="S4" s="7">
        <f>IF(宠物经验!S5="","",INT(宠物经验!$B5*宠物经验!S5))</f>
        <v>0</v>
      </c>
      <c r="T4" s="7">
        <f>IF(宠物经验!T5="","",INT(宠物经验!$B5*宠物经验!T5))</f>
        <v>0</v>
      </c>
      <c r="U4" s="7">
        <f>IF(宠物经验!U5="","",INT(宠物经验!$B5*宠物经验!U5))</f>
        <v>0</v>
      </c>
      <c r="V4" s="7">
        <f>IF(宠物经验!V5="","",INT(宠物经验!$B5*宠物经验!V5))</f>
        <v>0</v>
      </c>
      <c r="W4" s="7" t="str">
        <f>IF(宠物经验!W5="","",INT(宠物经验!$B5*宠物经验!W5))</f>
        <v/>
      </c>
      <c r="X4" s="7" t="str">
        <f>IF(宠物经验!X5="","",INT(宠物经验!$B5*宠物经验!X5))</f>
        <v/>
      </c>
      <c r="Y4" s="7">
        <f>IF(宠物经验!Y5="","",INT(宠物经验!$B5*宠物经验!Y5))</f>
        <v>0</v>
      </c>
      <c r="Z4" s="7" t="str">
        <f>IF(宠物经验!Z5="","",INT(宠物经验!$B5*宠物经验!Z5))</f>
        <v/>
      </c>
      <c r="AA4" s="7">
        <f>IF(宠物经验!AA5="","",INT(宠物经验!$B5*宠物经验!AA5))</f>
        <v>0</v>
      </c>
      <c r="AB4" s="7" t="str">
        <f>IF(宠物经验!AB5="","",INT(宠物经验!$B5*宠物经验!AB5))</f>
        <v/>
      </c>
      <c r="AC4" s="7" t="str">
        <f>IF(宠物经验!AC5="","",INT(宠物经验!$B5*宠物经验!AC5))</f>
        <v/>
      </c>
      <c r="AD4" s="7" t="str">
        <f>IF(宠物经验!AD5="","",INT(宠物经验!$B5*宠物经验!AD5))</f>
        <v/>
      </c>
      <c r="AE4" s="7" t="str">
        <f>IF(宠物经验!AE5="","",INT(宠物经验!$B5*宠物经验!AE5))</f>
        <v/>
      </c>
      <c r="AF4" s="7">
        <f>宠物经验!AH5</f>
        <v>3220</v>
      </c>
      <c r="AG4" s="7">
        <f>宠物经验!AO5</f>
        <v>250</v>
      </c>
    </row>
    <row r="5" spans="1:33">
      <c r="A5" s="32">
        <v>4</v>
      </c>
      <c r="B5" s="87">
        <f>宠物经验!B6</f>
        <v>20000</v>
      </c>
      <c r="C5" s="7">
        <f>IF(宠物经验!C6="","",INT(宠物经验!$B6*宠物经验!C6))</f>
        <v>0</v>
      </c>
      <c r="D5" s="7">
        <f>IF(宠物经验!D6="","",INT(宠物经验!$B6*宠物经验!D6))</f>
        <v>0</v>
      </c>
      <c r="E5" s="7" t="str">
        <f>IF(宠物经验!E6="","",INT(宠物经验!$B6*宠物经验!E6))</f>
        <v/>
      </c>
      <c r="F5" s="7">
        <f>IF(宠物经验!F6="","",INT(宠物经验!$B6*宠物经验!F6))</f>
        <v>0</v>
      </c>
      <c r="G5" s="7">
        <f>IF(宠物经验!G6="","",INT(宠物经验!$B6*宠物经验!G6))</f>
        <v>0</v>
      </c>
      <c r="H5" s="7" t="str">
        <f>IF(宠物经验!H6="","",INT(宠物经验!$B6*宠物经验!H6))</f>
        <v/>
      </c>
      <c r="I5" s="7" t="str">
        <f>IF(宠物经验!I6="","",INT(宠物经验!$B6*宠物经验!I6))</f>
        <v/>
      </c>
      <c r="J5" s="7" t="str">
        <f>IF(宠物经验!J6="","",INT(宠物经验!$B6*宠物经验!J6))</f>
        <v/>
      </c>
      <c r="K5" s="7">
        <f>IF(宠物经验!K6="","",INT(宠物经验!$B6*宠物经验!K6))</f>
        <v>0</v>
      </c>
      <c r="L5" s="7" t="str">
        <f>IF(宠物经验!L6="","",INT(宠物经验!$B6*宠物经验!L6))</f>
        <v/>
      </c>
      <c r="M5" s="7" t="str">
        <f>IF(宠物经验!M6="","",INT(宠物经验!$B6*宠物经验!M6))</f>
        <v/>
      </c>
      <c r="N5" s="7">
        <f>IF(宠物经验!N6="","",INT(宠物经验!$B6*宠物经验!N6))</f>
        <v>0</v>
      </c>
      <c r="O5" s="7" t="str">
        <f>IF(宠物经验!O6="","",INT(宠物经验!$B6*宠物经验!O6))</f>
        <v/>
      </c>
      <c r="P5" s="7" t="str">
        <f>IF(宠物经验!P6="","",INT(宠物经验!$B6*宠物经验!P6))</f>
        <v/>
      </c>
      <c r="Q5" s="7">
        <f>IF(宠物经验!Q6="","",INT(宠物经验!$B6*宠物经验!Q6))</f>
        <v>104000</v>
      </c>
      <c r="R5" s="7" t="str">
        <f>IF(宠物经验!R6="","",INT(宠物经验!$B6*宠物经验!R6))</f>
        <v/>
      </c>
      <c r="S5" s="7">
        <f>IF(宠物经验!S6="","",INT(宠物经验!$B6*宠物经验!S6))</f>
        <v>0</v>
      </c>
      <c r="T5" s="7">
        <f>IF(宠物经验!T6="","",INT(宠物经验!$B6*宠物经验!T6))</f>
        <v>0</v>
      </c>
      <c r="U5" s="7">
        <f>IF(宠物经验!U6="","",INT(宠物经验!$B6*宠物经验!U6))</f>
        <v>0</v>
      </c>
      <c r="V5" s="7">
        <f>IF(宠物经验!V6="","",INT(宠物经验!$B6*宠物经验!V6))</f>
        <v>0</v>
      </c>
      <c r="W5" s="7" t="str">
        <f>IF(宠物经验!W6="","",INT(宠物经验!$B6*宠物经验!W6))</f>
        <v/>
      </c>
      <c r="X5" s="7" t="str">
        <f>IF(宠物经验!X6="","",INT(宠物经验!$B6*宠物经验!X6))</f>
        <v/>
      </c>
      <c r="Y5" s="7">
        <f>IF(宠物经验!Y6="","",INT(宠物经验!$B6*宠物经验!Y6))</f>
        <v>0</v>
      </c>
      <c r="Z5" s="7" t="str">
        <f>IF(宠物经验!Z6="","",INT(宠物经验!$B6*宠物经验!Z6))</f>
        <v/>
      </c>
      <c r="AA5" s="7">
        <f>IF(宠物经验!AA6="","",INT(宠物经验!$B6*宠物经验!AA6))</f>
        <v>0</v>
      </c>
      <c r="AB5" s="7" t="str">
        <f>IF(宠物经验!AB6="","",INT(宠物经验!$B6*宠物经验!AB6))</f>
        <v/>
      </c>
      <c r="AC5" s="7" t="str">
        <f>IF(宠物经验!AC6="","",INT(宠物经验!$B6*宠物经验!AC6))</f>
        <v/>
      </c>
      <c r="AD5" s="7" t="str">
        <f>IF(宠物经验!AD6="","",INT(宠物经验!$B6*宠物经验!AD6))</f>
        <v/>
      </c>
      <c r="AE5" s="7" t="str">
        <f>IF(宠物经验!AE6="","",INT(宠物经验!$B6*宠物经验!AE6))</f>
        <v/>
      </c>
      <c r="AF5" s="7">
        <f>宠物经验!AH6</f>
        <v>4070</v>
      </c>
      <c r="AG5" s="7">
        <f>宠物经验!AO6</f>
        <v>333</v>
      </c>
    </row>
    <row r="6" spans="1:33">
      <c r="A6" s="32">
        <v>5</v>
      </c>
      <c r="B6" s="87">
        <f>宠物经验!B7</f>
        <v>25000</v>
      </c>
      <c r="C6" s="7">
        <f>IF(宠物经验!C7="","",INT(宠物经验!$B7*宠物经验!C7))</f>
        <v>0</v>
      </c>
      <c r="D6" s="7">
        <f>IF(宠物经验!D7="","",INT(宠物经验!$B7*宠物经验!D7))</f>
        <v>0</v>
      </c>
      <c r="E6" s="7" t="str">
        <f>IF(宠物经验!E7="","",INT(宠物经验!$B7*宠物经验!E7))</f>
        <v/>
      </c>
      <c r="F6" s="7">
        <f>IF(宠物经验!F7="","",INT(宠物经验!$B7*宠物经验!F7))</f>
        <v>0</v>
      </c>
      <c r="G6" s="7">
        <f>IF(宠物经验!G7="","",INT(宠物经验!$B7*宠物经验!G7))</f>
        <v>0</v>
      </c>
      <c r="H6" s="7" t="str">
        <f>IF(宠物经验!H7="","",INT(宠物经验!$B7*宠物经验!H7))</f>
        <v/>
      </c>
      <c r="I6" s="7" t="str">
        <f>IF(宠物经验!I7="","",INT(宠物经验!$B7*宠物经验!I7))</f>
        <v/>
      </c>
      <c r="J6" s="7" t="str">
        <f>IF(宠物经验!J7="","",INT(宠物经验!$B7*宠物经验!J7))</f>
        <v/>
      </c>
      <c r="K6" s="7">
        <f>IF(宠物经验!K7="","",INT(宠物经验!$B7*宠物经验!K7))</f>
        <v>0</v>
      </c>
      <c r="L6" s="7" t="str">
        <f>IF(宠物经验!L7="","",INT(宠物经验!$B7*宠物经验!L7))</f>
        <v/>
      </c>
      <c r="M6" s="7" t="str">
        <f>IF(宠物经验!M7="","",INT(宠物经验!$B7*宠物经验!M7))</f>
        <v/>
      </c>
      <c r="N6" s="7">
        <f>IF(宠物经验!N7="","",INT(宠物经验!$B7*宠物经验!N7))</f>
        <v>0</v>
      </c>
      <c r="O6" s="7" t="str">
        <f>IF(宠物经验!O7="","",INT(宠物经验!$B7*宠物经验!O7))</f>
        <v/>
      </c>
      <c r="P6" s="7" t="str">
        <f>IF(宠物经验!P7="","",INT(宠物经验!$B7*宠物经验!P7))</f>
        <v/>
      </c>
      <c r="Q6" s="7">
        <f>IF(宠物经验!Q7="","",INT(宠物经验!$B7*宠物经验!Q7))</f>
        <v>130000</v>
      </c>
      <c r="R6" s="7" t="str">
        <f>IF(宠物经验!R7="","",INT(宠物经验!$B7*宠物经验!R7))</f>
        <v/>
      </c>
      <c r="S6" s="7">
        <f>IF(宠物经验!S7="","",INT(宠物经验!$B7*宠物经验!S7))</f>
        <v>0</v>
      </c>
      <c r="T6" s="7">
        <f>IF(宠物经验!T7="","",INT(宠物经验!$B7*宠物经验!T7))</f>
        <v>0</v>
      </c>
      <c r="U6" s="7">
        <f>IF(宠物经验!U7="","",INT(宠物经验!$B7*宠物经验!U7))</f>
        <v>0</v>
      </c>
      <c r="V6" s="7">
        <f>IF(宠物经验!V7="","",INT(宠物经验!$B7*宠物经验!V7))</f>
        <v>0</v>
      </c>
      <c r="W6" s="7" t="str">
        <f>IF(宠物经验!W7="","",INT(宠物经验!$B7*宠物经验!W7))</f>
        <v/>
      </c>
      <c r="X6" s="7" t="str">
        <f>IF(宠物经验!X7="","",INT(宠物经验!$B7*宠物经验!X7))</f>
        <v/>
      </c>
      <c r="Y6" s="7">
        <f>IF(宠物经验!Y7="","",INT(宠物经验!$B7*宠物经验!Y7))</f>
        <v>0</v>
      </c>
      <c r="Z6" s="7" t="str">
        <f>IF(宠物经验!Z7="","",INT(宠物经验!$B7*宠物经验!Z7))</f>
        <v/>
      </c>
      <c r="AA6" s="7">
        <f>IF(宠物经验!AA7="","",INT(宠物经验!$B7*宠物经验!AA7))</f>
        <v>0</v>
      </c>
      <c r="AB6" s="7" t="str">
        <f>IF(宠物经验!AB7="","",INT(宠物经验!$B7*宠物经验!AB7))</f>
        <v/>
      </c>
      <c r="AC6" s="7" t="str">
        <f>IF(宠物经验!AC7="","",INT(宠物经验!$B7*宠物经验!AC7))</f>
        <v/>
      </c>
      <c r="AD6" s="7" t="str">
        <f>IF(宠物经验!AD7="","",INT(宠物经验!$B7*宠物经验!AD7))</f>
        <v/>
      </c>
      <c r="AE6" s="7" t="str">
        <f>IF(宠物经验!AE7="","",INT(宠物经验!$B7*宠物经验!AE7))</f>
        <v/>
      </c>
      <c r="AF6" s="7">
        <f>宠物经验!AH7</f>
        <v>5020</v>
      </c>
      <c r="AG6" s="7">
        <f>宠物经验!AO7</f>
        <v>417</v>
      </c>
    </row>
    <row r="7" spans="1:33">
      <c r="A7" s="32">
        <v>6</v>
      </c>
      <c r="B7" s="87">
        <f>宠物经验!B8</f>
        <v>30000</v>
      </c>
      <c r="C7" s="7">
        <f>IF(宠物经验!C8="","",INT(宠物经验!$B8*宠物经验!C8))</f>
        <v>0</v>
      </c>
      <c r="D7" s="7">
        <f>IF(宠物经验!D8="","",INT(宠物经验!$B8*宠物经验!D8))</f>
        <v>0</v>
      </c>
      <c r="E7" s="7" t="str">
        <f>IF(宠物经验!E8="","",INT(宠物经验!$B8*宠物经验!E8))</f>
        <v/>
      </c>
      <c r="F7" s="7">
        <f>IF(宠物经验!F8="","",INT(宠物经验!$B8*宠物经验!F8))</f>
        <v>0</v>
      </c>
      <c r="G7" s="7">
        <f>IF(宠物经验!G8="","",INT(宠物经验!$B8*宠物经验!G8))</f>
        <v>0</v>
      </c>
      <c r="H7" s="7" t="str">
        <f>IF(宠物经验!H8="","",INT(宠物经验!$B8*宠物经验!H8))</f>
        <v/>
      </c>
      <c r="I7" s="7" t="str">
        <f>IF(宠物经验!I8="","",INT(宠物经验!$B8*宠物经验!I8))</f>
        <v/>
      </c>
      <c r="J7" s="7" t="str">
        <f>IF(宠物经验!J8="","",INT(宠物经验!$B8*宠物经验!J8))</f>
        <v/>
      </c>
      <c r="K7" s="7">
        <f>IF(宠物经验!K8="","",INT(宠物经验!$B8*宠物经验!K8))</f>
        <v>0</v>
      </c>
      <c r="L7" s="7" t="str">
        <f>IF(宠物经验!L8="","",INT(宠物经验!$B8*宠物经验!L8))</f>
        <v/>
      </c>
      <c r="M7" s="7" t="str">
        <f>IF(宠物经验!M8="","",INT(宠物经验!$B8*宠物经验!M8))</f>
        <v/>
      </c>
      <c r="N7" s="7">
        <f>IF(宠物经验!N8="","",INT(宠物经验!$B8*宠物经验!N8))</f>
        <v>0</v>
      </c>
      <c r="O7" s="7" t="str">
        <f>IF(宠物经验!O8="","",INT(宠物经验!$B8*宠物经验!O8))</f>
        <v/>
      </c>
      <c r="P7" s="7" t="str">
        <f>IF(宠物经验!P8="","",INT(宠物经验!$B8*宠物经验!P8))</f>
        <v/>
      </c>
      <c r="Q7" s="7">
        <f>IF(宠物经验!Q8="","",INT(宠物经验!$B8*宠物经验!Q8))</f>
        <v>156000</v>
      </c>
      <c r="R7" s="7" t="str">
        <f>IF(宠物经验!R8="","",INT(宠物经验!$B8*宠物经验!R8))</f>
        <v/>
      </c>
      <c r="S7" s="7">
        <f>IF(宠物经验!S8="","",INT(宠物经验!$B8*宠物经验!S8))</f>
        <v>0</v>
      </c>
      <c r="T7" s="7">
        <f>IF(宠物经验!T8="","",INT(宠物经验!$B8*宠物经验!T8))</f>
        <v>0</v>
      </c>
      <c r="U7" s="7">
        <f>IF(宠物经验!U8="","",INT(宠物经验!$B8*宠物经验!U8))</f>
        <v>0</v>
      </c>
      <c r="V7" s="7">
        <f>IF(宠物经验!V8="","",INT(宠物经验!$B8*宠物经验!V8))</f>
        <v>0</v>
      </c>
      <c r="W7" s="7" t="str">
        <f>IF(宠物经验!W8="","",INT(宠物经验!$B8*宠物经验!W8))</f>
        <v/>
      </c>
      <c r="X7" s="7" t="str">
        <f>IF(宠物经验!X8="","",INT(宠物经验!$B8*宠物经验!X8))</f>
        <v/>
      </c>
      <c r="Y7" s="7">
        <f>IF(宠物经验!Y8="","",INT(宠物经验!$B8*宠物经验!Y8))</f>
        <v>0</v>
      </c>
      <c r="Z7" s="7" t="str">
        <f>IF(宠物经验!Z8="","",INT(宠物经验!$B8*宠物经验!Z8))</f>
        <v/>
      </c>
      <c r="AA7" s="7">
        <f>IF(宠物经验!AA8="","",INT(宠物经验!$B8*宠物经验!AA8))</f>
        <v>0</v>
      </c>
      <c r="AB7" s="7" t="str">
        <f>IF(宠物经验!AB8="","",INT(宠物经验!$B8*宠物经验!AB8))</f>
        <v/>
      </c>
      <c r="AC7" s="7" t="str">
        <f>IF(宠物经验!AC8="","",INT(宠物经验!$B8*宠物经验!AC8))</f>
        <v/>
      </c>
      <c r="AD7" s="7" t="str">
        <f>IF(宠物经验!AD8="","",INT(宠物经验!$B8*宠物经验!AD8))</f>
        <v/>
      </c>
      <c r="AE7" s="7" t="str">
        <f>IF(宠物经验!AE8="","",INT(宠物经验!$B8*宠物经验!AE8))</f>
        <v/>
      </c>
      <c r="AF7" s="7">
        <f>宠物经验!AH8</f>
        <v>6070</v>
      </c>
      <c r="AG7" s="7">
        <f>宠物经验!AO8</f>
        <v>500</v>
      </c>
    </row>
    <row r="8" spans="1:33">
      <c r="A8" s="32">
        <v>7</v>
      </c>
      <c r="B8" s="87">
        <f>宠物经验!B9</f>
        <v>35000</v>
      </c>
      <c r="C8" s="7">
        <f>IF(宠物经验!C9="","",INT(宠物经验!$B9*宠物经验!C9))</f>
        <v>0</v>
      </c>
      <c r="D8" s="7">
        <f>IF(宠物经验!D9="","",INT(宠物经验!$B9*宠物经验!D9))</f>
        <v>0</v>
      </c>
      <c r="E8" s="7" t="str">
        <f>IF(宠物经验!E9="","",INT(宠物经验!$B9*宠物经验!E9))</f>
        <v/>
      </c>
      <c r="F8" s="7">
        <f>IF(宠物经验!F9="","",INT(宠物经验!$B9*宠物经验!F9))</f>
        <v>0</v>
      </c>
      <c r="G8" s="7">
        <f>IF(宠物经验!G9="","",INT(宠物经验!$B9*宠物经验!G9))</f>
        <v>0</v>
      </c>
      <c r="H8" s="7" t="str">
        <f>IF(宠物经验!H9="","",INT(宠物经验!$B9*宠物经验!H9))</f>
        <v/>
      </c>
      <c r="I8" s="7" t="str">
        <f>IF(宠物经验!I9="","",INT(宠物经验!$B9*宠物经验!I9))</f>
        <v/>
      </c>
      <c r="J8" s="7" t="str">
        <f>IF(宠物经验!J9="","",INT(宠物经验!$B9*宠物经验!J9))</f>
        <v/>
      </c>
      <c r="K8" s="7">
        <f>IF(宠物经验!K9="","",INT(宠物经验!$B9*宠物经验!K9))</f>
        <v>0</v>
      </c>
      <c r="L8" s="7" t="str">
        <f>IF(宠物经验!L9="","",INT(宠物经验!$B9*宠物经验!L9))</f>
        <v/>
      </c>
      <c r="M8" s="7" t="str">
        <f>IF(宠物经验!M9="","",INT(宠物经验!$B9*宠物经验!M9))</f>
        <v/>
      </c>
      <c r="N8" s="7">
        <f>IF(宠物经验!N9="","",INT(宠物经验!$B9*宠物经验!N9))</f>
        <v>0</v>
      </c>
      <c r="O8" s="7" t="str">
        <f>IF(宠物经验!O9="","",INT(宠物经验!$B9*宠物经验!O9))</f>
        <v/>
      </c>
      <c r="P8" s="7" t="str">
        <f>IF(宠物经验!P9="","",INT(宠物经验!$B9*宠物经验!P9))</f>
        <v/>
      </c>
      <c r="Q8" s="7">
        <f>IF(宠物经验!Q9="","",INT(宠物经验!$B9*宠物经验!Q9))</f>
        <v>182000</v>
      </c>
      <c r="R8" s="7" t="str">
        <f>IF(宠物经验!R9="","",INT(宠物经验!$B9*宠物经验!R9))</f>
        <v/>
      </c>
      <c r="S8" s="7">
        <f>IF(宠物经验!S9="","",INT(宠物经验!$B9*宠物经验!S9))</f>
        <v>0</v>
      </c>
      <c r="T8" s="7">
        <f>IF(宠物经验!T9="","",INT(宠物经验!$B9*宠物经验!T9))</f>
        <v>0</v>
      </c>
      <c r="U8" s="7">
        <f>IF(宠物经验!U9="","",INT(宠物经验!$B9*宠物经验!U9))</f>
        <v>0</v>
      </c>
      <c r="V8" s="7">
        <f>IF(宠物经验!V9="","",INT(宠物经验!$B9*宠物经验!V9))</f>
        <v>0</v>
      </c>
      <c r="W8" s="7" t="str">
        <f>IF(宠物经验!W9="","",INT(宠物经验!$B9*宠物经验!W9))</f>
        <v/>
      </c>
      <c r="X8" s="7" t="str">
        <f>IF(宠物经验!X9="","",INT(宠物经验!$B9*宠物经验!X9))</f>
        <v/>
      </c>
      <c r="Y8" s="7">
        <f>IF(宠物经验!Y9="","",INT(宠物经验!$B9*宠物经验!Y9))</f>
        <v>0</v>
      </c>
      <c r="Z8" s="7" t="str">
        <f>IF(宠物经验!Z9="","",INT(宠物经验!$B9*宠物经验!Z9))</f>
        <v/>
      </c>
      <c r="AA8" s="7">
        <f>IF(宠物经验!AA9="","",INT(宠物经验!$B9*宠物经验!AA9))</f>
        <v>0</v>
      </c>
      <c r="AB8" s="7" t="str">
        <f>IF(宠物经验!AB9="","",INT(宠物经验!$B9*宠物经验!AB9))</f>
        <v/>
      </c>
      <c r="AC8" s="7" t="str">
        <f>IF(宠物经验!AC9="","",INT(宠物经验!$B9*宠物经验!AC9))</f>
        <v/>
      </c>
      <c r="AD8" s="7" t="str">
        <f>IF(宠物经验!AD9="","",INT(宠物经验!$B9*宠物经验!AD9))</f>
        <v/>
      </c>
      <c r="AE8" s="7" t="str">
        <f>IF(宠物经验!AE9="","",INT(宠物经验!$B9*宠物经验!AE9))</f>
        <v/>
      </c>
      <c r="AF8" s="7">
        <f>宠物经验!AH9</f>
        <v>7220</v>
      </c>
      <c r="AG8" s="7">
        <f>宠物经验!AO9</f>
        <v>583</v>
      </c>
    </row>
    <row r="9" spans="1:33">
      <c r="A9" s="32">
        <v>8</v>
      </c>
      <c r="B9" s="87">
        <f>宠物经验!B10</f>
        <v>40000</v>
      </c>
      <c r="C9" s="7">
        <f>IF(宠物经验!C10="","",INT(宠物经验!$B10*宠物经验!C10))</f>
        <v>0</v>
      </c>
      <c r="D9" s="7">
        <f>IF(宠物经验!D10="","",INT(宠物经验!$B10*宠物经验!D10))</f>
        <v>0</v>
      </c>
      <c r="E9" s="7" t="str">
        <f>IF(宠物经验!E10="","",INT(宠物经验!$B10*宠物经验!E10))</f>
        <v/>
      </c>
      <c r="F9" s="7">
        <f>IF(宠物经验!F10="","",INT(宠物经验!$B10*宠物经验!F10))</f>
        <v>0</v>
      </c>
      <c r="G9" s="7">
        <f>IF(宠物经验!G10="","",INT(宠物经验!$B10*宠物经验!G10))</f>
        <v>0</v>
      </c>
      <c r="H9" s="7" t="str">
        <f>IF(宠物经验!H10="","",INT(宠物经验!$B10*宠物经验!H10))</f>
        <v/>
      </c>
      <c r="I9" s="7" t="str">
        <f>IF(宠物经验!I10="","",INT(宠物经验!$B10*宠物经验!I10))</f>
        <v/>
      </c>
      <c r="J9" s="7" t="str">
        <f>IF(宠物经验!J10="","",INT(宠物经验!$B10*宠物经验!J10))</f>
        <v/>
      </c>
      <c r="K9" s="7">
        <f>IF(宠物经验!K10="","",INT(宠物经验!$B10*宠物经验!K10))</f>
        <v>0</v>
      </c>
      <c r="L9" s="7" t="str">
        <f>IF(宠物经验!L10="","",INT(宠物经验!$B10*宠物经验!L10))</f>
        <v/>
      </c>
      <c r="M9" s="7" t="str">
        <f>IF(宠物经验!M10="","",INT(宠物经验!$B10*宠物经验!M10))</f>
        <v/>
      </c>
      <c r="N9" s="7">
        <f>IF(宠物经验!N10="","",INT(宠物经验!$B10*宠物经验!N10))</f>
        <v>0</v>
      </c>
      <c r="O9" s="7" t="str">
        <f>IF(宠物经验!O10="","",INT(宠物经验!$B10*宠物经验!O10))</f>
        <v/>
      </c>
      <c r="P9" s="7" t="str">
        <f>IF(宠物经验!P10="","",INT(宠物经验!$B10*宠物经验!P10))</f>
        <v/>
      </c>
      <c r="Q9" s="7">
        <f>IF(宠物经验!Q10="","",INT(宠物经验!$B10*宠物经验!Q10))</f>
        <v>208000</v>
      </c>
      <c r="R9" s="7" t="str">
        <f>IF(宠物经验!R10="","",INT(宠物经验!$B10*宠物经验!R10))</f>
        <v/>
      </c>
      <c r="S9" s="7">
        <f>IF(宠物经验!S10="","",INT(宠物经验!$B10*宠物经验!S10))</f>
        <v>0</v>
      </c>
      <c r="T9" s="7">
        <f>IF(宠物经验!T10="","",INT(宠物经验!$B10*宠物经验!T10))</f>
        <v>0</v>
      </c>
      <c r="U9" s="7">
        <f>IF(宠物经验!U10="","",INT(宠物经验!$B10*宠物经验!U10))</f>
        <v>0</v>
      </c>
      <c r="V9" s="7">
        <f>IF(宠物经验!V10="","",INT(宠物经验!$B10*宠物经验!V10))</f>
        <v>0</v>
      </c>
      <c r="W9" s="7" t="str">
        <f>IF(宠物经验!W10="","",INT(宠物经验!$B10*宠物经验!W10))</f>
        <v/>
      </c>
      <c r="X9" s="7" t="str">
        <f>IF(宠物经验!X10="","",INT(宠物经验!$B10*宠物经验!X10))</f>
        <v/>
      </c>
      <c r="Y9" s="7">
        <f>IF(宠物经验!Y10="","",INT(宠物经验!$B10*宠物经验!Y10))</f>
        <v>0</v>
      </c>
      <c r="Z9" s="7" t="str">
        <f>IF(宠物经验!Z10="","",INT(宠物经验!$B10*宠物经验!Z10))</f>
        <v/>
      </c>
      <c r="AA9" s="7">
        <f>IF(宠物经验!AA10="","",INT(宠物经验!$B10*宠物经验!AA10))</f>
        <v>0</v>
      </c>
      <c r="AB9" s="7" t="str">
        <f>IF(宠物经验!AB10="","",INT(宠物经验!$B10*宠物经验!AB10))</f>
        <v/>
      </c>
      <c r="AC9" s="7" t="str">
        <f>IF(宠物经验!AC10="","",INT(宠物经验!$B10*宠物经验!AC10))</f>
        <v/>
      </c>
      <c r="AD9" s="7" t="str">
        <f>IF(宠物经验!AD10="","",INT(宠物经验!$B10*宠物经验!AD10))</f>
        <v/>
      </c>
      <c r="AE9" s="7" t="str">
        <f>IF(宠物经验!AE10="","",INT(宠物经验!$B10*宠物经验!AE10))</f>
        <v/>
      </c>
      <c r="AF9" s="7">
        <f>宠物经验!AH10</f>
        <v>8470</v>
      </c>
      <c r="AG9" s="7">
        <f>宠物经验!AO10</f>
        <v>667</v>
      </c>
    </row>
    <row r="10" spans="1:33">
      <c r="A10" s="32">
        <v>9</v>
      </c>
      <c r="B10" s="87">
        <f>宠物经验!B11</f>
        <v>45000</v>
      </c>
      <c r="C10" s="7">
        <f>IF(宠物经验!C11="","",INT(宠物经验!$B11*宠物经验!C11))</f>
        <v>0</v>
      </c>
      <c r="D10" s="7">
        <f>IF(宠物经验!D11="","",INT(宠物经验!$B11*宠物经验!D11))</f>
        <v>0</v>
      </c>
      <c r="E10" s="7" t="str">
        <f>IF(宠物经验!E11="","",INT(宠物经验!$B11*宠物经验!E11))</f>
        <v/>
      </c>
      <c r="F10" s="7">
        <f>IF(宠物经验!F11="","",INT(宠物经验!$B11*宠物经验!F11))</f>
        <v>0</v>
      </c>
      <c r="G10" s="7">
        <f>IF(宠物经验!G11="","",INT(宠物经验!$B11*宠物经验!G11))</f>
        <v>0</v>
      </c>
      <c r="H10" s="7" t="str">
        <f>IF(宠物经验!H11="","",INT(宠物经验!$B11*宠物经验!H11))</f>
        <v/>
      </c>
      <c r="I10" s="7" t="str">
        <f>IF(宠物经验!I11="","",INT(宠物经验!$B11*宠物经验!I11))</f>
        <v/>
      </c>
      <c r="J10" s="7" t="str">
        <f>IF(宠物经验!J11="","",INT(宠物经验!$B11*宠物经验!J11))</f>
        <v/>
      </c>
      <c r="K10" s="7">
        <f>IF(宠物经验!K11="","",INT(宠物经验!$B11*宠物经验!K11))</f>
        <v>0</v>
      </c>
      <c r="L10" s="7" t="str">
        <f>IF(宠物经验!L11="","",INT(宠物经验!$B11*宠物经验!L11))</f>
        <v/>
      </c>
      <c r="M10" s="7" t="str">
        <f>IF(宠物经验!M11="","",INT(宠物经验!$B11*宠物经验!M11))</f>
        <v/>
      </c>
      <c r="N10" s="7">
        <f>IF(宠物经验!N11="","",INT(宠物经验!$B11*宠物经验!N11))</f>
        <v>0</v>
      </c>
      <c r="O10" s="7" t="str">
        <f>IF(宠物经验!O11="","",INT(宠物经验!$B11*宠物经验!O11))</f>
        <v/>
      </c>
      <c r="P10" s="7" t="str">
        <f>IF(宠物经验!P11="","",INT(宠物经验!$B11*宠物经验!P11))</f>
        <v/>
      </c>
      <c r="Q10" s="7">
        <f>IF(宠物经验!Q11="","",INT(宠物经验!$B11*宠物经验!Q11))</f>
        <v>234000</v>
      </c>
      <c r="R10" s="7" t="str">
        <f>IF(宠物经验!R11="","",INT(宠物经验!$B11*宠物经验!R11))</f>
        <v/>
      </c>
      <c r="S10" s="7">
        <f>IF(宠物经验!S11="","",INT(宠物经验!$B11*宠物经验!S11))</f>
        <v>0</v>
      </c>
      <c r="T10" s="7">
        <f>IF(宠物经验!T11="","",INT(宠物经验!$B11*宠物经验!T11))</f>
        <v>0</v>
      </c>
      <c r="U10" s="7">
        <f>IF(宠物经验!U11="","",INT(宠物经验!$B11*宠物经验!U11))</f>
        <v>0</v>
      </c>
      <c r="V10" s="7">
        <f>IF(宠物经验!V11="","",INT(宠物经验!$B11*宠物经验!V11))</f>
        <v>0</v>
      </c>
      <c r="W10" s="7" t="str">
        <f>IF(宠物经验!W11="","",INT(宠物经验!$B11*宠物经验!W11))</f>
        <v/>
      </c>
      <c r="X10" s="7" t="str">
        <f>IF(宠物经验!X11="","",INT(宠物经验!$B11*宠物经验!X11))</f>
        <v/>
      </c>
      <c r="Y10" s="7">
        <f>IF(宠物经验!Y11="","",INT(宠物经验!$B11*宠物经验!Y11))</f>
        <v>0</v>
      </c>
      <c r="Z10" s="7" t="str">
        <f>IF(宠物经验!Z11="","",INT(宠物经验!$B11*宠物经验!Z11))</f>
        <v/>
      </c>
      <c r="AA10" s="7">
        <f>IF(宠物经验!AA11="","",INT(宠物经验!$B11*宠物经验!AA11))</f>
        <v>0</v>
      </c>
      <c r="AB10" s="7" t="str">
        <f>IF(宠物经验!AB11="","",INT(宠物经验!$B11*宠物经验!AB11))</f>
        <v/>
      </c>
      <c r="AC10" s="7" t="str">
        <f>IF(宠物经验!AC11="","",INT(宠物经验!$B11*宠物经验!AC11))</f>
        <v/>
      </c>
      <c r="AD10" s="7" t="str">
        <f>IF(宠物经验!AD11="","",INT(宠物经验!$B11*宠物经验!AD11))</f>
        <v/>
      </c>
      <c r="AE10" s="7" t="str">
        <f>IF(宠物经验!AE11="","",INT(宠物经验!$B11*宠物经验!AE11))</f>
        <v/>
      </c>
      <c r="AF10" s="7">
        <f>宠物经验!AH11</f>
        <v>9820</v>
      </c>
      <c r="AG10" s="7">
        <f>宠物经验!AO11</f>
        <v>750</v>
      </c>
    </row>
    <row r="11" spans="1:33">
      <c r="A11" s="32">
        <v>10</v>
      </c>
      <c r="B11" s="87">
        <f>宠物经验!B12</f>
        <v>50000</v>
      </c>
      <c r="C11" s="7">
        <f>IF(宠物经验!C12="","",INT(宠物经验!$B12*宠物经验!C12))</f>
        <v>0</v>
      </c>
      <c r="D11" s="7">
        <f>IF(宠物经验!D12="","",INT(宠物经验!$B12*宠物经验!D12))</f>
        <v>0</v>
      </c>
      <c r="E11" s="7" t="str">
        <f>IF(宠物经验!E12="","",INT(宠物经验!$B12*宠物经验!E12))</f>
        <v/>
      </c>
      <c r="F11" s="7">
        <f>IF(宠物经验!F12="","",INT(宠物经验!$B12*宠物经验!F12))</f>
        <v>0</v>
      </c>
      <c r="G11" s="7">
        <f>IF(宠物经验!G12="","",INT(宠物经验!$B12*宠物经验!G12))</f>
        <v>0</v>
      </c>
      <c r="H11" s="7" t="str">
        <f>IF(宠物经验!H12="","",INT(宠物经验!$B12*宠物经验!H12))</f>
        <v/>
      </c>
      <c r="I11" s="7" t="str">
        <f>IF(宠物经验!I12="","",INT(宠物经验!$B12*宠物经验!I12))</f>
        <v/>
      </c>
      <c r="J11" s="7" t="str">
        <f>IF(宠物经验!J12="","",INT(宠物经验!$B12*宠物经验!J12))</f>
        <v/>
      </c>
      <c r="K11" s="7">
        <f>IF(宠物经验!K12="","",INT(宠物经验!$B12*宠物经验!K12))</f>
        <v>0</v>
      </c>
      <c r="L11" s="7" t="str">
        <f>IF(宠物经验!L12="","",INT(宠物经验!$B12*宠物经验!L12))</f>
        <v/>
      </c>
      <c r="M11" s="7" t="str">
        <f>IF(宠物经验!M12="","",INT(宠物经验!$B12*宠物经验!M12))</f>
        <v/>
      </c>
      <c r="N11" s="7">
        <f>IF(宠物经验!N12="","",INT(宠物经验!$B12*宠物经验!N12))</f>
        <v>600000</v>
      </c>
      <c r="O11" s="7" t="str">
        <f>IF(宠物经验!O12="","",INT(宠物经验!$B12*宠物经验!O12))</f>
        <v/>
      </c>
      <c r="P11" s="7" t="str">
        <f>IF(宠物经验!P12="","",INT(宠物经验!$B12*宠物经验!P12))</f>
        <v/>
      </c>
      <c r="Q11" s="7">
        <f>IF(宠物经验!Q12="","",INT(宠物经验!$B12*宠物经验!Q12))</f>
        <v>260000</v>
      </c>
      <c r="R11" s="7" t="str">
        <f>IF(宠物经验!R12="","",INT(宠物经验!$B12*宠物经验!R12))</f>
        <v/>
      </c>
      <c r="S11" s="7">
        <f>IF(宠物经验!S12="","",INT(宠物经验!$B12*宠物经验!S12))</f>
        <v>0</v>
      </c>
      <c r="T11" s="7">
        <f>IF(宠物经验!T12="","",INT(宠物经验!$B12*宠物经验!T12))</f>
        <v>0</v>
      </c>
      <c r="U11" s="7">
        <f>IF(宠物经验!U12="","",INT(宠物经验!$B12*宠物经验!U12))</f>
        <v>0</v>
      </c>
      <c r="V11" s="7">
        <f>IF(宠物经验!V12="","",INT(宠物经验!$B12*宠物经验!V12))</f>
        <v>0</v>
      </c>
      <c r="W11" s="7" t="str">
        <f>IF(宠物经验!W12="","",INT(宠物经验!$B12*宠物经验!W12))</f>
        <v/>
      </c>
      <c r="X11" s="7" t="str">
        <f>IF(宠物经验!X12="","",INT(宠物经验!$B12*宠物经验!X12))</f>
        <v/>
      </c>
      <c r="Y11" s="7">
        <f>IF(宠物经验!Y12="","",INT(宠物经验!$B12*宠物经验!Y12))</f>
        <v>0</v>
      </c>
      <c r="Z11" s="7" t="str">
        <f>IF(宠物经验!Z12="","",INT(宠物经验!$B12*宠物经验!Z12))</f>
        <v/>
      </c>
      <c r="AA11" s="7">
        <f>IF(宠物经验!AA12="","",INT(宠物经验!$B12*宠物经验!AA12))</f>
        <v>0</v>
      </c>
      <c r="AB11" s="7" t="str">
        <f>IF(宠物经验!AB12="","",INT(宠物经验!$B12*宠物经验!AB12))</f>
        <v/>
      </c>
      <c r="AC11" s="7" t="str">
        <f>IF(宠物经验!AC12="","",INT(宠物经验!$B12*宠物经验!AC12))</f>
        <v/>
      </c>
      <c r="AD11" s="7" t="str">
        <f>IF(宠物经验!AD12="","",INT(宠物经验!$B12*宠物经验!AD12))</f>
        <v/>
      </c>
      <c r="AE11" s="7" t="str">
        <f>IF(宠物经验!AE12="","",INT(宠物经验!$B12*宠物经验!AE12))</f>
        <v/>
      </c>
      <c r="AF11" s="7">
        <f>宠物经验!AH12</f>
        <v>11270</v>
      </c>
      <c r="AG11" s="7">
        <f>宠物经验!AO12</f>
        <v>833</v>
      </c>
    </row>
    <row r="12" spans="1:33">
      <c r="A12" s="32">
        <v>11</v>
      </c>
      <c r="B12" s="87">
        <f>宠物经验!B13</f>
        <v>55000</v>
      </c>
      <c r="C12" s="7">
        <f>IF(宠物经验!C13="","",INT(宠物经验!$B13*宠物经验!C13))</f>
        <v>0</v>
      </c>
      <c r="D12" s="7">
        <f>IF(宠物经验!D13="","",INT(宠物经验!$B13*宠物经验!D13))</f>
        <v>0</v>
      </c>
      <c r="E12" s="7" t="str">
        <f>IF(宠物经验!E13="","",INT(宠物经验!$B13*宠物经验!E13))</f>
        <v/>
      </c>
      <c r="F12" s="7">
        <f>IF(宠物经验!F13="","",INT(宠物经验!$B13*宠物经验!F13))</f>
        <v>0</v>
      </c>
      <c r="G12" s="7">
        <f>IF(宠物经验!G13="","",INT(宠物经验!$B13*宠物经验!G13))</f>
        <v>0</v>
      </c>
      <c r="H12" s="7" t="str">
        <f>IF(宠物经验!H13="","",INT(宠物经验!$B13*宠物经验!H13))</f>
        <v/>
      </c>
      <c r="I12" s="7" t="str">
        <f>IF(宠物经验!I13="","",INT(宠物经验!$B13*宠物经验!I13))</f>
        <v/>
      </c>
      <c r="J12" s="7" t="str">
        <f>IF(宠物经验!J13="","",INT(宠物经验!$B13*宠物经验!J13))</f>
        <v/>
      </c>
      <c r="K12" s="7">
        <f>IF(宠物经验!K13="","",INT(宠物经验!$B13*宠物经验!K13))</f>
        <v>0</v>
      </c>
      <c r="L12" s="7" t="str">
        <f>IF(宠物经验!L13="","",INT(宠物经验!$B13*宠物经验!L13))</f>
        <v/>
      </c>
      <c r="M12" s="7" t="str">
        <f>IF(宠物经验!M13="","",INT(宠物经验!$B13*宠物经验!M13))</f>
        <v/>
      </c>
      <c r="N12" s="7">
        <f>IF(宠物经验!N13="","",INT(宠物经验!$B13*宠物经验!N13))</f>
        <v>660000</v>
      </c>
      <c r="O12" s="7" t="str">
        <f>IF(宠物经验!O13="","",INT(宠物经验!$B13*宠物经验!O13))</f>
        <v/>
      </c>
      <c r="P12" s="7" t="str">
        <f>IF(宠物经验!P13="","",INT(宠物经验!$B13*宠物经验!P13))</f>
        <v/>
      </c>
      <c r="Q12" s="7">
        <f>IF(宠物经验!Q13="","",INT(宠物经验!$B13*宠物经验!Q13))</f>
        <v>286000</v>
      </c>
      <c r="R12" s="7" t="str">
        <f>IF(宠物经验!R13="","",INT(宠物经验!$B13*宠物经验!R13))</f>
        <v/>
      </c>
      <c r="S12" s="7">
        <f>IF(宠物经验!S13="","",INT(宠物经验!$B13*宠物经验!S13))</f>
        <v>0</v>
      </c>
      <c r="T12" s="7">
        <f>IF(宠物经验!T13="","",INT(宠物经验!$B13*宠物经验!T13))</f>
        <v>0</v>
      </c>
      <c r="U12" s="7">
        <f>IF(宠物经验!U13="","",INT(宠物经验!$B13*宠物经验!U13))</f>
        <v>0</v>
      </c>
      <c r="V12" s="7">
        <f>IF(宠物经验!V13="","",INT(宠物经验!$B13*宠物经验!V13))</f>
        <v>0</v>
      </c>
      <c r="W12" s="7" t="str">
        <f>IF(宠物经验!W13="","",INT(宠物经验!$B13*宠物经验!W13))</f>
        <v/>
      </c>
      <c r="X12" s="7" t="str">
        <f>IF(宠物经验!X13="","",INT(宠物经验!$B13*宠物经验!X13))</f>
        <v/>
      </c>
      <c r="Y12" s="7">
        <f>IF(宠物经验!Y13="","",INT(宠物经验!$B13*宠物经验!Y13))</f>
        <v>0</v>
      </c>
      <c r="Z12" s="7" t="str">
        <f>IF(宠物经验!Z13="","",INT(宠物经验!$B13*宠物经验!Z13))</f>
        <v/>
      </c>
      <c r="AA12" s="7">
        <f>IF(宠物经验!AA13="","",INT(宠物经验!$B13*宠物经验!AA13))</f>
        <v>0</v>
      </c>
      <c r="AB12" s="7" t="str">
        <f>IF(宠物经验!AB13="","",INT(宠物经验!$B13*宠物经验!AB13))</f>
        <v/>
      </c>
      <c r="AC12" s="7" t="str">
        <f>IF(宠物经验!AC13="","",INT(宠物经验!$B13*宠物经验!AC13))</f>
        <v/>
      </c>
      <c r="AD12" s="7" t="str">
        <f>IF(宠物经验!AD13="","",INT(宠物经验!$B13*宠物经验!AD13))</f>
        <v/>
      </c>
      <c r="AE12" s="7" t="str">
        <f>IF(宠物经验!AE13="","",INT(宠物经验!$B13*宠物经验!AE13))</f>
        <v/>
      </c>
      <c r="AF12" s="7">
        <f>宠物经验!AH13</f>
        <v>12820</v>
      </c>
      <c r="AG12" s="7">
        <f>宠物经验!AO13</f>
        <v>917</v>
      </c>
    </row>
    <row r="13" spans="1:33">
      <c r="A13" s="32">
        <v>12</v>
      </c>
      <c r="B13" s="87">
        <f>宠物经验!B14</f>
        <v>60000</v>
      </c>
      <c r="C13" s="7">
        <f>IF(宠物经验!C14="","",INT(宠物经验!$B14*宠物经验!C14))</f>
        <v>0</v>
      </c>
      <c r="D13" s="7">
        <f>IF(宠物经验!D14="","",INT(宠物经验!$B14*宠物经验!D14))</f>
        <v>0</v>
      </c>
      <c r="E13" s="7" t="str">
        <f>IF(宠物经验!E14="","",INT(宠物经验!$B14*宠物经验!E14))</f>
        <v/>
      </c>
      <c r="F13" s="7">
        <f>IF(宠物经验!F14="","",INT(宠物经验!$B14*宠物经验!F14))</f>
        <v>0</v>
      </c>
      <c r="G13" s="7">
        <f>IF(宠物经验!G14="","",INT(宠物经验!$B14*宠物经验!G14))</f>
        <v>0</v>
      </c>
      <c r="H13" s="7" t="str">
        <f>IF(宠物经验!H14="","",INT(宠物经验!$B14*宠物经验!H14))</f>
        <v/>
      </c>
      <c r="I13" s="7" t="str">
        <f>IF(宠物经验!I14="","",INT(宠物经验!$B14*宠物经验!I14))</f>
        <v/>
      </c>
      <c r="J13" s="7" t="str">
        <f>IF(宠物经验!J14="","",INT(宠物经验!$B14*宠物经验!J14))</f>
        <v/>
      </c>
      <c r="K13" s="7">
        <f>IF(宠物经验!K14="","",INT(宠物经验!$B14*宠物经验!K14))</f>
        <v>0</v>
      </c>
      <c r="L13" s="7" t="str">
        <f>IF(宠物经验!L14="","",INT(宠物经验!$B14*宠物经验!L14))</f>
        <v/>
      </c>
      <c r="M13" s="7" t="str">
        <f>IF(宠物经验!M14="","",INT(宠物经验!$B14*宠物经验!M14))</f>
        <v/>
      </c>
      <c r="N13" s="7">
        <f>IF(宠物经验!N14="","",INT(宠物经验!$B14*宠物经验!N14))</f>
        <v>720000</v>
      </c>
      <c r="O13" s="7" t="str">
        <f>IF(宠物经验!O14="","",INT(宠物经验!$B14*宠物经验!O14))</f>
        <v/>
      </c>
      <c r="P13" s="7" t="str">
        <f>IF(宠物经验!P14="","",INT(宠物经验!$B14*宠物经验!P14))</f>
        <v/>
      </c>
      <c r="Q13" s="7">
        <f>IF(宠物经验!Q14="","",INT(宠物经验!$B14*宠物经验!Q14))</f>
        <v>312000</v>
      </c>
      <c r="R13" s="7" t="str">
        <f>IF(宠物经验!R14="","",INT(宠物经验!$B14*宠物经验!R14))</f>
        <v/>
      </c>
      <c r="S13" s="7">
        <f>IF(宠物经验!S14="","",INT(宠物经验!$B14*宠物经验!S14))</f>
        <v>0</v>
      </c>
      <c r="T13" s="7">
        <f>IF(宠物经验!T14="","",INT(宠物经验!$B14*宠物经验!T14))</f>
        <v>0</v>
      </c>
      <c r="U13" s="7">
        <f>IF(宠物经验!U14="","",INT(宠物经验!$B14*宠物经验!U14))</f>
        <v>0</v>
      </c>
      <c r="V13" s="7">
        <f>IF(宠物经验!V14="","",INT(宠物经验!$B14*宠物经验!V14))</f>
        <v>0</v>
      </c>
      <c r="W13" s="7" t="str">
        <f>IF(宠物经验!W14="","",INT(宠物经验!$B14*宠物经验!W14))</f>
        <v/>
      </c>
      <c r="X13" s="7" t="str">
        <f>IF(宠物经验!X14="","",INT(宠物经验!$B14*宠物经验!X14))</f>
        <v/>
      </c>
      <c r="Y13" s="7">
        <f>IF(宠物经验!Y14="","",INT(宠物经验!$B14*宠物经验!Y14))</f>
        <v>0</v>
      </c>
      <c r="Z13" s="7" t="str">
        <f>IF(宠物经验!Z14="","",INT(宠物经验!$B14*宠物经验!Z14))</f>
        <v/>
      </c>
      <c r="AA13" s="7">
        <f>IF(宠物经验!AA14="","",INT(宠物经验!$B14*宠物经验!AA14))</f>
        <v>0</v>
      </c>
      <c r="AB13" s="7" t="str">
        <f>IF(宠物经验!AB14="","",INT(宠物经验!$B14*宠物经验!AB14))</f>
        <v/>
      </c>
      <c r="AC13" s="7" t="str">
        <f>IF(宠物经验!AC14="","",INT(宠物经验!$B14*宠物经验!AC14))</f>
        <v/>
      </c>
      <c r="AD13" s="7" t="str">
        <f>IF(宠物经验!AD14="","",INT(宠物经验!$B14*宠物经验!AD14))</f>
        <v/>
      </c>
      <c r="AE13" s="7" t="str">
        <f>IF(宠物经验!AE14="","",INT(宠物经验!$B14*宠物经验!AE14))</f>
        <v/>
      </c>
      <c r="AF13" s="7">
        <f>宠物经验!AH14</f>
        <v>14470</v>
      </c>
      <c r="AG13" s="7">
        <f>宠物经验!AO14</f>
        <v>1000</v>
      </c>
    </row>
    <row r="14" spans="1:33">
      <c r="A14" s="32">
        <v>13</v>
      </c>
      <c r="B14" s="87">
        <f>宠物经验!B15</f>
        <v>65000</v>
      </c>
      <c r="C14" s="7">
        <f>IF(宠物经验!C15="","",INT(宠物经验!$B15*宠物经验!C15))</f>
        <v>0</v>
      </c>
      <c r="D14" s="7">
        <f>IF(宠物经验!D15="","",INT(宠物经验!$B15*宠物经验!D15))</f>
        <v>0</v>
      </c>
      <c r="E14" s="7" t="str">
        <f>IF(宠物经验!E15="","",INT(宠物经验!$B15*宠物经验!E15))</f>
        <v/>
      </c>
      <c r="F14" s="7">
        <f>IF(宠物经验!F15="","",INT(宠物经验!$B15*宠物经验!F15))</f>
        <v>0</v>
      </c>
      <c r="G14" s="7">
        <f>IF(宠物经验!G15="","",INT(宠物经验!$B15*宠物经验!G15))</f>
        <v>0</v>
      </c>
      <c r="H14" s="7" t="str">
        <f>IF(宠物经验!H15="","",INT(宠物经验!$B15*宠物经验!H15))</f>
        <v/>
      </c>
      <c r="I14" s="7" t="str">
        <f>IF(宠物经验!I15="","",INT(宠物经验!$B15*宠物经验!I15))</f>
        <v/>
      </c>
      <c r="J14" s="7" t="str">
        <f>IF(宠物经验!J15="","",INT(宠物经验!$B15*宠物经验!J15))</f>
        <v/>
      </c>
      <c r="K14" s="7">
        <f>IF(宠物经验!K15="","",INT(宠物经验!$B15*宠物经验!K15))</f>
        <v>0</v>
      </c>
      <c r="L14" s="7" t="str">
        <f>IF(宠物经验!L15="","",INT(宠物经验!$B15*宠物经验!L15))</f>
        <v/>
      </c>
      <c r="M14" s="7" t="str">
        <f>IF(宠物经验!M15="","",INT(宠物经验!$B15*宠物经验!M15))</f>
        <v/>
      </c>
      <c r="N14" s="7">
        <f>IF(宠物经验!N15="","",INT(宠物经验!$B15*宠物经验!N15))</f>
        <v>780000</v>
      </c>
      <c r="O14" s="7" t="str">
        <f>IF(宠物经验!O15="","",INT(宠物经验!$B15*宠物经验!O15))</f>
        <v/>
      </c>
      <c r="P14" s="7" t="str">
        <f>IF(宠物经验!P15="","",INT(宠物经验!$B15*宠物经验!P15))</f>
        <v/>
      </c>
      <c r="Q14" s="7">
        <f>IF(宠物经验!Q15="","",INT(宠物经验!$B15*宠物经验!Q15))</f>
        <v>338000</v>
      </c>
      <c r="R14" s="7" t="str">
        <f>IF(宠物经验!R15="","",INT(宠物经验!$B15*宠物经验!R15))</f>
        <v/>
      </c>
      <c r="S14" s="7">
        <f>IF(宠物经验!S15="","",INT(宠物经验!$B15*宠物经验!S15))</f>
        <v>0</v>
      </c>
      <c r="T14" s="7">
        <f>IF(宠物经验!T15="","",INT(宠物经验!$B15*宠物经验!T15))</f>
        <v>0</v>
      </c>
      <c r="U14" s="7">
        <f>IF(宠物经验!U15="","",INT(宠物经验!$B15*宠物经验!U15))</f>
        <v>0</v>
      </c>
      <c r="V14" s="7">
        <f>IF(宠物经验!V15="","",INT(宠物经验!$B15*宠物经验!V15))</f>
        <v>0</v>
      </c>
      <c r="W14" s="7" t="str">
        <f>IF(宠物经验!W15="","",INT(宠物经验!$B15*宠物经验!W15))</f>
        <v/>
      </c>
      <c r="X14" s="7" t="str">
        <f>IF(宠物经验!X15="","",INT(宠物经验!$B15*宠物经验!X15))</f>
        <v/>
      </c>
      <c r="Y14" s="7">
        <f>IF(宠物经验!Y15="","",INT(宠物经验!$B15*宠物经验!Y15))</f>
        <v>0</v>
      </c>
      <c r="Z14" s="7" t="str">
        <f>IF(宠物经验!Z15="","",INT(宠物经验!$B15*宠物经验!Z15))</f>
        <v/>
      </c>
      <c r="AA14" s="7">
        <f>IF(宠物经验!AA15="","",INT(宠物经验!$B15*宠物经验!AA15))</f>
        <v>0</v>
      </c>
      <c r="AB14" s="7" t="str">
        <f>IF(宠物经验!AB15="","",INT(宠物经验!$B15*宠物经验!AB15))</f>
        <v/>
      </c>
      <c r="AC14" s="7" t="str">
        <f>IF(宠物经验!AC15="","",INT(宠物经验!$B15*宠物经验!AC15))</f>
        <v/>
      </c>
      <c r="AD14" s="7" t="str">
        <f>IF(宠物经验!AD15="","",INT(宠物经验!$B15*宠物经验!AD15))</f>
        <v/>
      </c>
      <c r="AE14" s="7" t="str">
        <f>IF(宠物经验!AE15="","",INT(宠物经验!$B15*宠物经验!AE15))</f>
        <v/>
      </c>
      <c r="AF14" s="7">
        <f>宠物经验!AH15</f>
        <v>16220</v>
      </c>
      <c r="AG14" s="7">
        <f>宠物经验!AO15</f>
        <v>1083</v>
      </c>
    </row>
    <row r="15" spans="1:33">
      <c r="A15" s="32">
        <v>14</v>
      </c>
      <c r="B15" s="87">
        <f>宠物经验!B16</f>
        <v>70000</v>
      </c>
      <c r="C15" s="7">
        <f>IF(宠物经验!C16="","",INT(宠物经验!$B16*宠物经验!C16))</f>
        <v>0</v>
      </c>
      <c r="D15" s="7">
        <f>IF(宠物经验!D16="","",INT(宠物经验!$B16*宠物经验!D16))</f>
        <v>0</v>
      </c>
      <c r="E15" s="7" t="str">
        <f>IF(宠物经验!E16="","",INT(宠物经验!$B16*宠物经验!E16))</f>
        <v/>
      </c>
      <c r="F15" s="7">
        <f>IF(宠物经验!F16="","",INT(宠物经验!$B16*宠物经验!F16))</f>
        <v>0</v>
      </c>
      <c r="G15" s="7">
        <f>IF(宠物经验!G16="","",INT(宠物经验!$B16*宠物经验!G16))</f>
        <v>0</v>
      </c>
      <c r="H15" s="7" t="str">
        <f>IF(宠物经验!H16="","",INT(宠物经验!$B16*宠物经验!H16))</f>
        <v/>
      </c>
      <c r="I15" s="7" t="str">
        <f>IF(宠物经验!I16="","",INT(宠物经验!$B16*宠物经验!I16))</f>
        <v/>
      </c>
      <c r="J15" s="7" t="str">
        <f>IF(宠物经验!J16="","",INT(宠物经验!$B16*宠物经验!J16))</f>
        <v/>
      </c>
      <c r="K15" s="7">
        <f>IF(宠物经验!K16="","",INT(宠物经验!$B16*宠物经验!K16))</f>
        <v>0</v>
      </c>
      <c r="L15" s="7" t="str">
        <f>IF(宠物经验!L16="","",INT(宠物经验!$B16*宠物经验!L16))</f>
        <v/>
      </c>
      <c r="M15" s="7" t="str">
        <f>IF(宠物经验!M16="","",INT(宠物经验!$B16*宠物经验!M16))</f>
        <v/>
      </c>
      <c r="N15" s="7">
        <f>IF(宠物经验!N16="","",INT(宠物经验!$B16*宠物经验!N16))</f>
        <v>840000</v>
      </c>
      <c r="O15" s="7" t="str">
        <f>IF(宠物经验!O16="","",INT(宠物经验!$B16*宠物经验!O16))</f>
        <v/>
      </c>
      <c r="P15" s="7" t="str">
        <f>IF(宠物经验!P16="","",INT(宠物经验!$B16*宠物经验!P16))</f>
        <v/>
      </c>
      <c r="Q15" s="7">
        <f>IF(宠物经验!Q16="","",INT(宠物经验!$B16*宠物经验!Q16))</f>
        <v>364000</v>
      </c>
      <c r="R15" s="7" t="str">
        <f>IF(宠物经验!R16="","",INT(宠物经验!$B16*宠物经验!R16))</f>
        <v/>
      </c>
      <c r="S15" s="7">
        <f>IF(宠物经验!S16="","",INT(宠物经验!$B16*宠物经验!S16))</f>
        <v>0</v>
      </c>
      <c r="T15" s="7">
        <f>IF(宠物经验!T16="","",INT(宠物经验!$B16*宠物经验!T16))</f>
        <v>0</v>
      </c>
      <c r="U15" s="7">
        <f>IF(宠物经验!U16="","",INT(宠物经验!$B16*宠物经验!U16))</f>
        <v>0</v>
      </c>
      <c r="V15" s="7">
        <f>IF(宠物经验!V16="","",INT(宠物经验!$B16*宠物经验!V16))</f>
        <v>0</v>
      </c>
      <c r="W15" s="7" t="str">
        <f>IF(宠物经验!W16="","",INT(宠物经验!$B16*宠物经验!W16))</f>
        <v/>
      </c>
      <c r="X15" s="7" t="str">
        <f>IF(宠物经验!X16="","",INT(宠物经验!$B16*宠物经验!X16))</f>
        <v/>
      </c>
      <c r="Y15" s="7">
        <f>IF(宠物经验!Y16="","",INT(宠物经验!$B16*宠物经验!Y16))</f>
        <v>0</v>
      </c>
      <c r="Z15" s="7" t="str">
        <f>IF(宠物经验!Z16="","",INT(宠物经验!$B16*宠物经验!Z16))</f>
        <v/>
      </c>
      <c r="AA15" s="7">
        <f>IF(宠物经验!AA16="","",INT(宠物经验!$B16*宠物经验!AA16))</f>
        <v>0</v>
      </c>
      <c r="AB15" s="7" t="str">
        <f>IF(宠物经验!AB16="","",INT(宠物经验!$B16*宠物经验!AB16))</f>
        <v/>
      </c>
      <c r="AC15" s="7" t="str">
        <f>IF(宠物经验!AC16="","",INT(宠物经验!$B16*宠物经验!AC16))</f>
        <v/>
      </c>
      <c r="AD15" s="7" t="str">
        <f>IF(宠物经验!AD16="","",INT(宠物经验!$B16*宠物经验!AD16))</f>
        <v/>
      </c>
      <c r="AE15" s="7" t="str">
        <f>IF(宠物经验!AE16="","",INT(宠物经验!$B16*宠物经验!AE16))</f>
        <v/>
      </c>
      <c r="AF15" s="7">
        <f>宠物经验!AH16</f>
        <v>18070</v>
      </c>
      <c r="AG15" s="7">
        <f>宠物经验!AO16</f>
        <v>1167</v>
      </c>
    </row>
    <row r="16" spans="1:33">
      <c r="A16" s="32">
        <v>15</v>
      </c>
      <c r="B16" s="87">
        <f>宠物经验!B17</f>
        <v>75000</v>
      </c>
      <c r="C16" s="7">
        <f>IF(宠物经验!C17="","",INT(宠物经验!$B17*宠物经验!C17))</f>
        <v>74992</v>
      </c>
      <c r="D16" s="7">
        <f>IF(宠物经验!D17="","",INT(宠物经验!$B17*宠物经验!D17))</f>
        <v>0</v>
      </c>
      <c r="E16" s="7" t="str">
        <f>IF(宠物经验!E17="","",INT(宠物经验!$B17*宠物经验!E17))</f>
        <v/>
      </c>
      <c r="F16" s="7">
        <f>IF(宠物经验!F17="","",INT(宠物经验!$B17*宠物经验!F17))</f>
        <v>0</v>
      </c>
      <c r="G16" s="7">
        <f>IF(宠物经验!G17="","",INT(宠物经验!$B17*宠物经验!G17))</f>
        <v>0</v>
      </c>
      <c r="H16" s="7" t="str">
        <f>IF(宠物经验!H17="","",INT(宠物经验!$B17*宠物经验!H17))</f>
        <v/>
      </c>
      <c r="I16" s="7" t="str">
        <f>IF(宠物经验!I17="","",INT(宠物经验!$B17*宠物经验!I17))</f>
        <v/>
      </c>
      <c r="J16" s="7" t="str">
        <f>IF(宠物经验!J17="","",INT(宠物经验!$B17*宠物经验!J17))</f>
        <v/>
      </c>
      <c r="K16" s="7">
        <f>IF(宠物经验!K17="","",INT(宠物经验!$B17*宠物经验!K17))</f>
        <v>0</v>
      </c>
      <c r="L16" s="7" t="str">
        <f>IF(宠物经验!L17="","",INT(宠物经验!$B17*宠物经验!L17))</f>
        <v/>
      </c>
      <c r="M16" s="7" t="str">
        <f>IF(宠物经验!M17="","",INT(宠物经验!$B17*宠物经验!M17))</f>
        <v/>
      </c>
      <c r="N16" s="7">
        <f>IF(宠物经验!N17="","",INT(宠物经验!$B17*宠物经验!N17))</f>
        <v>900000</v>
      </c>
      <c r="O16" s="7" t="str">
        <f>IF(宠物经验!O17="","",INT(宠物经验!$B17*宠物经验!O17))</f>
        <v/>
      </c>
      <c r="P16" s="7" t="str">
        <f>IF(宠物经验!P17="","",INT(宠物经验!$B17*宠物经验!P17))</f>
        <v/>
      </c>
      <c r="Q16" s="7">
        <f>IF(宠物经验!Q17="","",INT(宠物经验!$B17*宠物经验!Q17))</f>
        <v>390000</v>
      </c>
      <c r="R16" s="7" t="str">
        <f>IF(宠物经验!R17="","",INT(宠物经验!$B17*宠物经验!R17))</f>
        <v/>
      </c>
      <c r="S16" s="7">
        <f>IF(宠物经验!S17="","",INT(宠物经验!$B17*宠物经验!S17))</f>
        <v>0</v>
      </c>
      <c r="T16" s="7">
        <f>IF(宠物经验!T17="","",INT(宠物经验!$B17*宠物经验!T17))</f>
        <v>0</v>
      </c>
      <c r="U16" s="7">
        <f>IF(宠物经验!U17="","",INT(宠物经验!$B17*宠物经验!U17))</f>
        <v>0</v>
      </c>
      <c r="V16" s="7">
        <f>IF(宠物经验!V17="","",INT(宠物经验!$B17*宠物经验!V17))</f>
        <v>0</v>
      </c>
      <c r="W16" s="7" t="str">
        <f>IF(宠物经验!W17="","",INT(宠物经验!$B17*宠物经验!W17))</f>
        <v/>
      </c>
      <c r="X16" s="7" t="str">
        <f>IF(宠物经验!X17="","",INT(宠物经验!$B17*宠物经验!X17))</f>
        <v/>
      </c>
      <c r="Y16" s="7">
        <f>IF(宠物经验!Y17="","",INT(宠物经验!$B17*宠物经验!Y17))</f>
        <v>0</v>
      </c>
      <c r="Z16" s="7" t="str">
        <f>IF(宠物经验!Z17="","",INT(宠物经验!$B17*宠物经验!Z17))</f>
        <v/>
      </c>
      <c r="AA16" s="7">
        <f>IF(宠物经验!AA17="","",INT(宠物经验!$B17*宠物经验!AA17))</f>
        <v>0</v>
      </c>
      <c r="AB16" s="7" t="str">
        <f>IF(宠物经验!AB17="","",INT(宠物经验!$B17*宠物经验!AB17))</f>
        <v/>
      </c>
      <c r="AC16" s="7" t="str">
        <f>IF(宠物经验!AC17="","",INT(宠物经验!$B17*宠物经验!AC17))</f>
        <v/>
      </c>
      <c r="AD16" s="7" t="str">
        <f>IF(宠物经验!AD17="","",INT(宠物经验!$B17*宠物经验!AD17))</f>
        <v/>
      </c>
      <c r="AE16" s="7" t="str">
        <f>IF(宠物经验!AE17="","",INT(宠物经验!$B17*宠物经验!AE17))</f>
        <v/>
      </c>
      <c r="AF16" s="7">
        <f>宠物经验!AH17</f>
        <v>20020</v>
      </c>
      <c r="AG16" s="7">
        <f>宠物经验!AO17</f>
        <v>1250</v>
      </c>
    </row>
    <row r="17" spans="1:33">
      <c r="A17" s="32">
        <v>16</v>
      </c>
      <c r="B17" s="87">
        <f>宠物经验!B18</f>
        <v>80000</v>
      </c>
      <c r="C17" s="7">
        <f>IF(宠物经验!C18="","",INT(宠物经验!$B18*宠物经验!C18))</f>
        <v>79992</v>
      </c>
      <c r="D17" s="7">
        <f>IF(宠物经验!D18="","",INT(宠物经验!$B18*宠物经验!D18))</f>
        <v>0</v>
      </c>
      <c r="E17" s="7" t="str">
        <f>IF(宠物经验!E18="","",INT(宠物经验!$B18*宠物经验!E18))</f>
        <v/>
      </c>
      <c r="F17" s="7">
        <f>IF(宠物经验!F18="","",INT(宠物经验!$B18*宠物经验!F18))</f>
        <v>0</v>
      </c>
      <c r="G17" s="7">
        <f>IF(宠物经验!G18="","",INT(宠物经验!$B18*宠物经验!G18))</f>
        <v>0</v>
      </c>
      <c r="H17" s="7" t="str">
        <f>IF(宠物经验!H18="","",INT(宠物经验!$B18*宠物经验!H18))</f>
        <v/>
      </c>
      <c r="I17" s="7" t="str">
        <f>IF(宠物经验!I18="","",INT(宠物经验!$B18*宠物经验!I18))</f>
        <v/>
      </c>
      <c r="J17" s="7" t="str">
        <f>IF(宠物经验!J18="","",INT(宠物经验!$B18*宠物经验!J18))</f>
        <v/>
      </c>
      <c r="K17" s="7">
        <f>IF(宠物经验!K18="","",INT(宠物经验!$B18*宠物经验!K18))</f>
        <v>0</v>
      </c>
      <c r="L17" s="7" t="str">
        <f>IF(宠物经验!L18="","",INT(宠物经验!$B18*宠物经验!L18))</f>
        <v/>
      </c>
      <c r="M17" s="7" t="str">
        <f>IF(宠物经验!M18="","",INT(宠物经验!$B18*宠物经验!M18))</f>
        <v/>
      </c>
      <c r="N17" s="7">
        <f>IF(宠物经验!N18="","",INT(宠物经验!$B18*宠物经验!N18))</f>
        <v>960000</v>
      </c>
      <c r="O17" s="7" t="str">
        <f>IF(宠物经验!O18="","",INT(宠物经验!$B18*宠物经验!O18))</f>
        <v/>
      </c>
      <c r="P17" s="7" t="str">
        <f>IF(宠物经验!P18="","",INT(宠物经验!$B18*宠物经验!P18))</f>
        <v/>
      </c>
      <c r="Q17" s="7">
        <f>IF(宠物经验!Q18="","",INT(宠物经验!$B18*宠物经验!Q18))</f>
        <v>416000</v>
      </c>
      <c r="R17" s="7" t="str">
        <f>IF(宠物经验!R18="","",INT(宠物经验!$B18*宠物经验!R18))</f>
        <v/>
      </c>
      <c r="S17" s="7">
        <f>IF(宠物经验!S18="","",INT(宠物经验!$B18*宠物经验!S18))</f>
        <v>0</v>
      </c>
      <c r="T17" s="7">
        <f>IF(宠物经验!T18="","",INT(宠物经验!$B18*宠物经验!T18))</f>
        <v>0</v>
      </c>
      <c r="U17" s="7">
        <f>IF(宠物经验!U18="","",INT(宠物经验!$B18*宠物经验!U18))</f>
        <v>0</v>
      </c>
      <c r="V17" s="7">
        <f>IF(宠物经验!V18="","",INT(宠物经验!$B18*宠物经验!V18))</f>
        <v>0</v>
      </c>
      <c r="W17" s="7" t="str">
        <f>IF(宠物经验!W18="","",INT(宠物经验!$B18*宠物经验!W18))</f>
        <v/>
      </c>
      <c r="X17" s="7" t="str">
        <f>IF(宠物经验!X18="","",INT(宠物经验!$B18*宠物经验!X18))</f>
        <v/>
      </c>
      <c r="Y17" s="7">
        <f>IF(宠物经验!Y18="","",INT(宠物经验!$B18*宠物经验!Y18))</f>
        <v>0</v>
      </c>
      <c r="Z17" s="7" t="str">
        <f>IF(宠物经验!Z18="","",INT(宠物经验!$B18*宠物经验!Z18))</f>
        <v/>
      </c>
      <c r="AA17" s="7">
        <f>IF(宠物经验!AA18="","",INT(宠物经验!$B18*宠物经验!AA18))</f>
        <v>0</v>
      </c>
      <c r="AB17" s="7" t="str">
        <f>IF(宠物经验!AB18="","",INT(宠物经验!$B18*宠物经验!AB18))</f>
        <v/>
      </c>
      <c r="AC17" s="7" t="str">
        <f>IF(宠物经验!AC18="","",INT(宠物经验!$B18*宠物经验!AC18))</f>
        <v/>
      </c>
      <c r="AD17" s="7" t="str">
        <f>IF(宠物经验!AD18="","",INT(宠物经验!$B18*宠物经验!AD18))</f>
        <v/>
      </c>
      <c r="AE17" s="7" t="str">
        <f>IF(宠物经验!AE18="","",INT(宠物经验!$B18*宠物经验!AE18))</f>
        <v/>
      </c>
      <c r="AF17" s="7">
        <f>宠物经验!AH18</f>
        <v>22070</v>
      </c>
      <c r="AG17" s="7">
        <f>宠物经验!AO18</f>
        <v>1333</v>
      </c>
    </row>
    <row r="18" spans="1:33">
      <c r="A18" s="32">
        <v>17</v>
      </c>
      <c r="B18" s="87">
        <f>宠物经验!B19</f>
        <v>85000</v>
      </c>
      <c r="C18" s="7">
        <f>IF(宠物经验!C19="","",INT(宠物经验!$B19*宠物经验!C19))</f>
        <v>84991</v>
      </c>
      <c r="D18" s="7">
        <f>IF(宠物经验!D19="","",INT(宠物经验!$B19*宠物经验!D19))</f>
        <v>0</v>
      </c>
      <c r="E18" s="7" t="str">
        <f>IF(宠物经验!E19="","",INT(宠物经验!$B19*宠物经验!E19))</f>
        <v/>
      </c>
      <c r="F18" s="7">
        <f>IF(宠物经验!F19="","",INT(宠物经验!$B19*宠物经验!F19))</f>
        <v>0</v>
      </c>
      <c r="G18" s="7">
        <f>IF(宠物经验!G19="","",INT(宠物经验!$B19*宠物经验!G19))</f>
        <v>0</v>
      </c>
      <c r="H18" s="7" t="str">
        <f>IF(宠物经验!H19="","",INT(宠物经验!$B19*宠物经验!H19))</f>
        <v/>
      </c>
      <c r="I18" s="7" t="str">
        <f>IF(宠物经验!I19="","",INT(宠物经验!$B19*宠物经验!I19))</f>
        <v/>
      </c>
      <c r="J18" s="7" t="str">
        <f>IF(宠物经验!J19="","",INT(宠物经验!$B19*宠物经验!J19))</f>
        <v/>
      </c>
      <c r="K18" s="7">
        <f>IF(宠物经验!K19="","",INT(宠物经验!$B19*宠物经验!K19))</f>
        <v>0</v>
      </c>
      <c r="L18" s="7" t="str">
        <f>IF(宠物经验!L19="","",INT(宠物经验!$B19*宠物经验!L19))</f>
        <v/>
      </c>
      <c r="M18" s="7" t="str">
        <f>IF(宠物经验!M19="","",INT(宠物经验!$B19*宠物经验!M19))</f>
        <v/>
      </c>
      <c r="N18" s="7">
        <f>IF(宠物经验!N19="","",INT(宠物经验!$B19*宠物经验!N19))</f>
        <v>1020000</v>
      </c>
      <c r="O18" s="7" t="str">
        <f>IF(宠物经验!O19="","",INT(宠物经验!$B19*宠物经验!O19))</f>
        <v/>
      </c>
      <c r="P18" s="7" t="str">
        <f>IF(宠物经验!P19="","",INT(宠物经验!$B19*宠物经验!P19))</f>
        <v/>
      </c>
      <c r="Q18" s="7">
        <f>IF(宠物经验!Q19="","",INT(宠物经验!$B19*宠物经验!Q19))</f>
        <v>442000</v>
      </c>
      <c r="R18" s="7" t="str">
        <f>IF(宠物经验!R19="","",INT(宠物经验!$B19*宠物经验!R19))</f>
        <v/>
      </c>
      <c r="S18" s="7">
        <f>IF(宠物经验!S19="","",INT(宠物经验!$B19*宠物经验!S19))</f>
        <v>0</v>
      </c>
      <c r="T18" s="7">
        <f>IF(宠物经验!T19="","",INT(宠物经验!$B19*宠物经验!T19))</f>
        <v>0</v>
      </c>
      <c r="U18" s="7">
        <f>IF(宠物经验!U19="","",INT(宠物经验!$B19*宠物经验!U19))</f>
        <v>0</v>
      </c>
      <c r="V18" s="7">
        <f>IF(宠物经验!V19="","",INT(宠物经验!$B19*宠物经验!V19))</f>
        <v>0</v>
      </c>
      <c r="W18" s="7" t="str">
        <f>IF(宠物经验!W19="","",INT(宠物经验!$B19*宠物经验!W19))</f>
        <v/>
      </c>
      <c r="X18" s="7" t="str">
        <f>IF(宠物经验!X19="","",INT(宠物经验!$B19*宠物经验!X19))</f>
        <v/>
      </c>
      <c r="Y18" s="7">
        <f>IF(宠物经验!Y19="","",INT(宠物经验!$B19*宠物经验!Y19))</f>
        <v>0</v>
      </c>
      <c r="Z18" s="7" t="str">
        <f>IF(宠物经验!Z19="","",INT(宠物经验!$B19*宠物经验!Z19))</f>
        <v/>
      </c>
      <c r="AA18" s="7">
        <f>IF(宠物经验!AA19="","",INT(宠物经验!$B19*宠物经验!AA19))</f>
        <v>0</v>
      </c>
      <c r="AB18" s="7" t="str">
        <f>IF(宠物经验!AB19="","",INT(宠物经验!$B19*宠物经验!AB19))</f>
        <v/>
      </c>
      <c r="AC18" s="7" t="str">
        <f>IF(宠物经验!AC19="","",INT(宠物经验!$B19*宠物经验!AC19))</f>
        <v/>
      </c>
      <c r="AD18" s="7" t="str">
        <f>IF(宠物经验!AD19="","",INT(宠物经验!$B19*宠物经验!AD19))</f>
        <v/>
      </c>
      <c r="AE18" s="7" t="str">
        <f>IF(宠物经验!AE19="","",INT(宠物经验!$B19*宠物经验!AE19))</f>
        <v/>
      </c>
      <c r="AF18" s="7">
        <f>宠物经验!AH19</f>
        <v>24220</v>
      </c>
      <c r="AG18" s="7">
        <f>宠物经验!AO19</f>
        <v>1417</v>
      </c>
    </row>
    <row r="19" spans="1:33">
      <c r="A19" s="32">
        <v>18</v>
      </c>
      <c r="B19" s="87">
        <f>宠物经验!B20</f>
        <v>90000</v>
      </c>
      <c r="C19" s="7">
        <f>IF(宠物经验!C20="","",INT(宠物经验!$B20*宠物经验!C20))</f>
        <v>89991</v>
      </c>
      <c r="D19" s="7">
        <f>IF(宠物经验!D20="","",INT(宠物经验!$B20*宠物经验!D20))</f>
        <v>0</v>
      </c>
      <c r="E19" s="7" t="str">
        <f>IF(宠物经验!E20="","",INT(宠物经验!$B20*宠物经验!E20))</f>
        <v/>
      </c>
      <c r="F19" s="7">
        <f>IF(宠物经验!F20="","",INT(宠物经验!$B20*宠物经验!F20))</f>
        <v>0</v>
      </c>
      <c r="G19" s="7">
        <f>IF(宠物经验!G20="","",INT(宠物经验!$B20*宠物经验!G20))</f>
        <v>0</v>
      </c>
      <c r="H19" s="7" t="str">
        <f>IF(宠物经验!H20="","",INT(宠物经验!$B20*宠物经验!H20))</f>
        <v/>
      </c>
      <c r="I19" s="7" t="str">
        <f>IF(宠物经验!I20="","",INT(宠物经验!$B20*宠物经验!I20))</f>
        <v/>
      </c>
      <c r="J19" s="7" t="str">
        <f>IF(宠物经验!J20="","",INT(宠物经验!$B20*宠物经验!J20))</f>
        <v/>
      </c>
      <c r="K19" s="7">
        <f>IF(宠物经验!K20="","",INT(宠物经验!$B20*宠物经验!K20))</f>
        <v>0</v>
      </c>
      <c r="L19" s="7" t="str">
        <f>IF(宠物经验!L20="","",INT(宠物经验!$B20*宠物经验!L20))</f>
        <v/>
      </c>
      <c r="M19" s="7" t="str">
        <f>IF(宠物经验!M20="","",INT(宠物经验!$B20*宠物经验!M20))</f>
        <v/>
      </c>
      <c r="N19" s="7">
        <f>IF(宠物经验!N20="","",INT(宠物经验!$B20*宠物经验!N20))</f>
        <v>1080000</v>
      </c>
      <c r="O19" s="7" t="str">
        <f>IF(宠物经验!O20="","",INT(宠物经验!$B20*宠物经验!O20))</f>
        <v/>
      </c>
      <c r="P19" s="7" t="str">
        <f>IF(宠物经验!P20="","",INT(宠物经验!$B20*宠物经验!P20))</f>
        <v/>
      </c>
      <c r="Q19" s="7">
        <f>IF(宠物经验!Q20="","",INT(宠物经验!$B20*宠物经验!Q20))</f>
        <v>468000</v>
      </c>
      <c r="R19" s="7" t="str">
        <f>IF(宠物经验!R20="","",INT(宠物经验!$B20*宠物经验!R20))</f>
        <v/>
      </c>
      <c r="S19" s="7">
        <f>IF(宠物经验!S20="","",INT(宠物经验!$B20*宠物经验!S20))</f>
        <v>0</v>
      </c>
      <c r="T19" s="7">
        <f>IF(宠物经验!T20="","",INT(宠物经验!$B20*宠物经验!T20))</f>
        <v>0</v>
      </c>
      <c r="U19" s="7">
        <f>IF(宠物经验!U20="","",INT(宠物经验!$B20*宠物经验!U20))</f>
        <v>0</v>
      </c>
      <c r="V19" s="7">
        <f>IF(宠物经验!V20="","",INT(宠物经验!$B20*宠物经验!V20))</f>
        <v>0</v>
      </c>
      <c r="W19" s="7" t="str">
        <f>IF(宠物经验!W20="","",INT(宠物经验!$B20*宠物经验!W20))</f>
        <v/>
      </c>
      <c r="X19" s="7" t="str">
        <f>IF(宠物经验!X20="","",INT(宠物经验!$B20*宠物经验!X20))</f>
        <v/>
      </c>
      <c r="Y19" s="7">
        <f>IF(宠物经验!Y20="","",INT(宠物经验!$B20*宠物经验!Y20))</f>
        <v>0</v>
      </c>
      <c r="Z19" s="7" t="str">
        <f>IF(宠物经验!Z20="","",INT(宠物经验!$B20*宠物经验!Z20))</f>
        <v/>
      </c>
      <c r="AA19" s="7">
        <f>IF(宠物经验!AA20="","",INT(宠物经验!$B20*宠物经验!AA20))</f>
        <v>0</v>
      </c>
      <c r="AB19" s="7" t="str">
        <f>IF(宠物经验!AB20="","",INT(宠物经验!$B20*宠物经验!AB20))</f>
        <v/>
      </c>
      <c r="AC19" s="7" t="str">
        <f>IF(宠物经验!AC20="","",INT(宠物经验!$B20*宠物经验!AC20))</f>
        <v/>
      </c>
      <c r="AD19" s="7" t="str">
        <f>IF(宠物经验!AD20="","",INT(宠物经验!$B20*宠物经验!AD20))</f>
        <v/>
      </c>
      <c r="AE19" s="7" t="str">
        <f>IF(宠物经验!AE20="","",INT(宠物经验!$B20*宠物经验!AE20))</f>
        <v/>
      </c>
      <c r="AF19" s="7">
        <f>宠物经验!AH20</f>
        <v>26470</v>
      </c>
      <c r="AG19" s="7">
        <f>宠物经验!AO20</f>
        <v>1500</v>
      </c>
    </row>
    <row r="20" spans="1:33">
      <c r="A20" s="32">
        <v>19</v>
      </c>
      <c r="B20" s="87">
        <f>宠物经验!B21</f>
        <v>95000</v>
      </c>
      <c r="C20" s="7">
        <f>IF(宠物经验!C21="","",INT(宠物经验!$B21*宠物经验!C21))</f>
        <v>94990</v>
      </c>
      <c r="D20" s="7">
        <f>IF(宠物经验!D21="","",INT(宠物经验!$B21*宠物经验!D21))</f>
        <v>0</v>
      </c>
      <c r="E20" s="7" t="str">
        <f>IF(宠物经验!E21="","",INT(宠物经验!$B21*宠物经验!E21))</f>
        <v/>
      </c>
      <c r="F20" s="7">
        <f>IF(宠物经验!F21="","",INT(宠物经验!$B21*宠物经验!F21))</f>
        <v>0</v>
      </c>
      <c r="G20" s="7">
        <f>IF(宠物经验!G21="","",INT(宠物经验!$B21*宠物经验!G21))</f>
        <v>0</v>
      </c>
      <c r="H20" s="7" t="str">
        <f>IF(宠物经验!H21="","",INT(宠物经验!$B21*宠物经验!H21))</f>
        <v/>
      </c>
      <c r="I20" s="7" t="str">
        <f>IF(宠物经验!I21="","",INT(宠物经验!$B21*宠物经验!I21))</f>
        <v/>
      </c>
      <c r="J20" s="7" t="str">
        <f>IF(宠物经验!J21="","",INT(宠物经验!$B21*宠物经验!J21))</f>
        <v/>
      </c>
      <c r="K20" s="7">
        <f>IF(宠物经验!K21="","",INT(宠物经验!$B21*宠物经验!K21))</f>
        <v>0</v>
      </c>
      <c r="L20" s="7" t="str">
        <f>IF(宠物经验!L21="","",INT(宠物经验!$B21*宠物经验!L21))</f>
        <v/>
      </c>
      <c r="M20" s="7" t="str">
        <f>IF(宠物经验!M21="","",INT(宠物经验!$B21*宠物经验!M21))</f>
        <v/>
      </c>
      <c r="N20" s="7">
        <f>IF(宠物经验!N21="","",INT(宠物经验!$B21*宠物经验!N21))</f>
        <v>1140000</v>
      </c>
      <c r="O20" s="7" t="str">
        <f>IF(宠物经验!O21="","",INT(宠物经验!$B21*宠物经验!O21))</f>
        <v/>
      </c>
      <c r="P20" s="7" t="str">
        <f>IF(宠物经验!P21="","",INT(宠物经验!$B21*宠物经验!P21))</f>
        <v/>
      </c>
      <c r="Q20" s="7">
        <f>IF(宠物经验!Q21="","",INT(宠物经验!$B21*宠物经验!Q21))</f>
        <v>494000</v>
      </c>
      <c r="R20" s="7" t="str">
        <f>IF(宠物经验!R21="","",INT(宠物经验!$B21*宠物经验!R21))</f>
        <v/>
      </c>
      <c r="S20" s="7">
        <f>IF(宠物经验!S21="","",INT(宠物经验!$B21*宠物经验!S21))</f>
        <v>0</v>
      </c>
      <c r="T20" s="7">
        <f>IF(宠物经验!T21="","",INT(宠物经验!$B21*宠物经验!T21))</f>
        <v>0</v>
      </c>
      <c r="U20" s="7">
        <f>IF(宠物经验!U21="","",INT(宠物经验!$B21*宠物经验!U21))</f>
        <v>0</v>
      </c>
      <c r="V20" s="7">
        <f>IF(宠物经验!V21="","",INT(宠物经验!$B21*宠物经验!V21))</f>
        <v>0</v>
      </c>
      <c r="W20" s="7" t="str">
        <f>IF(宠物经验!W21="","",INT(宠物经验!$B21*宠物经验!W21))</f>
        <v/>
      </c>
      <c r="X20" s="7" t="str">
        <f>IF(宠物经验!X21="","",INT(宠物经验!$B21*宠物经验!X21))</f>
        <v/>
      </c>
      <c r="Y20" s="7">
        <f>IF(宠物经验!Y21="","",INT(宠物经验!$B21*宠物经验!Y21))</f>
        <v>0</v>
      </c>
      <c r="Z20" s="7" t="str">
        <f>IF(宠物经验!Z21="","",INT(宠物经验!$B21*宠物经验!Z21))</f>
        <v/>
      </c>
      <c r="AA20" s="7">
        <f>IF(宠物经验!AA21="","",INT(宠物经验!$B21*宠物经验!AA21))</f>
        <v>0</v>
      </c>
      <c r="AB20" s="7" t="str">
        <f>IF(宠物经验!AB21="","",INT(宠物经验!$B21*宠物经验!AB21))</f>
        <v/>
      </c>
      <c r="AC20" s="7" t="str">
        <f>IF(宠物经验!AC21="","",INT(宠物经验!$B21*宠物经验!AC21))</f>
        <v/>
      </c>
      <c r="AD20" s="7" t="str">
        <f>IF(宠物经验!AD21="","",INT(宠物经验!$B21*宠物经验!AD21))</f>
        <v/>
      </c>
      <c r="AE20" s="7" t="str">
        <f>IF(宠物经验!AE21="","",INT(宠物经验!$B21*宠物经验!AE21))</f>
        <v/>
      </c>
      <c r="AF20" s="7">
        <f>宠物经验!AH21</f>
        <v>28820</v>
      </c>
      <c r="AG20" s="7">
        <f>宠物经验!AO21</f>
        <v>1583</v>
      </c>
    </row>
    <row r="21" spans="1:33">
      <c r="A21" s="32">
        <v>20</v>
      </c>
      <c r="B21" s="87">
        <f>宠物经验!B22</f>
        <v>100000</v>
      </c>
      <c r="C21" s="7">
        <f>IF(宠物经验!C22="","",INT(宠物经验!$B22*宠物经验!C22))</f>
        <v>99990</v>
      </c>
      <c r="D21" s="7">
        <f>IF(宠物经验!D22="","",INT(宠物经验!$B22*宠物经验!D22))</f>
        <v>110000</v>
      </c>
      <c r="E21" s="7" t="str">
        <f>IF(宠物经验!E22="","",INT(宠物经验!$B22*宠物经验!E22))</f>
        <v/>
      </c>
      <c r="F21" s="7">
        <f>IF(宠物经验!F22="","",INT(宠物经验!$B22*宠物经验!F22))</f>
        <v>0</v>
      </c>
      <c r="G21" s="7">
        <f>IF(宠物经验!G22="","",INT(宠物经验!$B22*宠物经验!G22))</f>
        <v>0</v>
      </c>
      <c r="H21" s="7" t="str">
        <f>IF(宠物经验!H22="","",INT(宠物经验!$B22*宠物经验!H22))</f>
        <v/>
      </c>
      <c r="I21" s="7" t="str">
        <f>IF(宠物经验!I22="","",INT(宠物经验!$B22*宠物经验!I22))</f>
        <v/>
      </c>
      <c r="J21" s="7" t="str">
        <f>IF(宠物经验!J22="","",INT(宠物经验!$B22*宠物经验!J22))</f>
        <v/>
      </c>
      <c r="K21" s="7">
        <f>IF(宠物经验!K22="","",INT(宠物经验!$B22*宠物经验!K22))</f>
        <v>0</v>
      </c>
      <c r="L21" s="7" t="str">
        <f>IF(宠物经验!L22="","",INT(宠物经验!$B22*宠物经验!L22))</f>
        <v/>
      </c>
      <c r="M21" s="7" t="str">
        <f>IF(宠物经验!M22="","",INT(宠物经验!$B22*宠物经验!M22))</f>
        <v/>
      </c>
      <c r="N21" s="7">
        <f>IF(宠物经验!N22="","",INT(宠物经验!$B22*宠物经验!N22))</f>
        <v>1200000</v>
      </c>
      <c r="O21" s="7" t="str">
        <f>IF(宠物经验!O22="","",INT(宠物经验!$B22*宠物经验!O22))</f>
        <v/>
      </c>
      <c r="P21" s="7" t="str">
        <f>IF(宠物经验!P22="","",INT(宠物经验!$B22*宠物经验!P22))</f>
        <v/>
      </c>
      <c r="Q21" s="7">
        <f>IF(宠物经验!Q22="","",INT(宠物经验!$B22*宠物经验!Q22))</f>
        <v>520000</v>
      </c>
      <c r="R21" s="7" t="str">
        <f>IF(宠物经验!R22="","",INT(宠物经验!$B22*宠物经验!R22))</f>
        <v/>
      </c>
      <c r="S21" s="7">
        <f>IF(宠物经验!S22="","",INT(宠物经验!$B22*宠物经验!S22))</f>
        <v>0</v>
      </c>
      <c r="T21" s="7">
        <f>IF(宠物经验!T22="","",INT(宠物经验!$B22*宠物经验!T22))</f>
        <v>0</v>
      </c>
      <c r="U21" s="7">
        <f>IF(宠物经验!U22="","",INT(宠物经验!$B22*宠物经验!U22))</f>
        <v>0</v>
      </c>
      <c r="V21" s="7">
        <f>IF(宠物经验!V22="","",INT(宠物经验!$B22*宠物经验!V22))</f>
        <v>0</v>
      </c>
      <c r="W21" s="7" t="str">
        <f>IF(宠物经验!W22="","",INT(宠物经验!$B22*宠物经验!W22))</f>
        <v/>
      </c>
      <c r="X21" s="7" t="str">
        <f>IF(宠物经验!X22="","",INT(宠物经验!$B22*宠物经验!X22))</f>
        <v/>
      </c>
      <c r="Y21" s="7">
        <f>IF(宠物经验!Y22="","",INT(宠物经验!$B22*宠物经验!Y22))</f>
        <v>0</v>
      </c>
      <c r="Z21" s="7" t="str">
        <f>IF(宠物经验!Z22="","",INT(宠物经验!$B22*宠物经验!Z22))</f>
        <v/>
      </c>
      <c r="AA21" s="7">
        <f>IF(宠物经验!AA22="","",INT(宠物经验!$B22*宠物经验!AA22))</f>
        <v>0</v>
      </c>
      <c r="AB21" s="7" t="str">
        <f>IF(宠物经验!AB22="","",INT(宠物经验!$B22*宠物经验!AB22))</f>
        <v/>
      </c>
      <c r="AC21" s="7" t="str">
        <f>IF(宠物经验!AC22="","",INT(宠物经验!$B22*宠物经验!AC22))</f>
        <v/>
      </c>
      <c r="AD21" s="7" t="str">
        <f>IF(宠物经验!AD22="","",INT(宠物经验!$B22*宠物经验!AD22))</f>
        <v/>
      </c>
      <c r="AE21" s="7" t="str">
        <f>IF(宠物经验!AE22="","",INT(宠物经验!$B22*宠物经验!AE22))</f>
        <v/>
      </c>
      <c r="AF21" s="7">
        <f>宠物经验!AH22</f>
        <v>31270</v>
      </c>
      <c r="AG21" s="7">
        <f>宠物经验!AO22</f>
        <v>1667</v>
      </c>
    </row>
    <row r="22" spans="1:33">
      <c r="A22" s="32">
        <v>21</v>
      </c>
      <c r="B22" s="87">
        <f>宠物经验!B23</f>
        <v>105000</v>
      </c>
      <c r="C22" s="7">
        <f>IF(宠物经验!C23="","",INT(宠物经验!$B23*宠物经验!C23))</f>
        <v>104989</v>
      </c>
      <c r="D22" s="7">
        <f>IF(宠物经验!D23="","",INT(宠物经验!$B23*宠物经验!D23))</f>
        <v>115500</v>
      </c>
      <c r="E22" s="7" t="str">
        <f>IF(宠物经验!E23="","",INT(宠物经验!$B23*宠物经验!E23))</f>
        <v/>
      </c>
      <c r="F22" s="7">
        <f>IF(宠物经验!F23="","",INT(宠物经验!$B23*宠物经验!F23))</f>
        <v>0</v>
      </c>
      <c r="G22" s="7">
        <f>IF(宠物经验!G23="","",INT(宠物经验!$B23*宠物经验!G23))</f>
        <v>0</v>
      </c>
      <c r="H22" s="7" t="str">
        <f>IF(宠物经验!H23="","",INT(宠物经验!$B23*宠物经验!H23))</f>
        <v/>
      </c>
      <c r="I22" s="7" t="str">
        <f>IF(宠物经验!I23="","",INT(宠物经验!$B23*宠物经验!I23))</f>
        <v/>
      </c>
      <c r="J22" s="7" t="str">
        <f>IF(宠物经验!J23="","",INT(宠物经验!$B23*宠物经验!J23))</f>
        <v/>
      </c>
      <c r="K22" s="7">
        <f>IF(宠物经验!K23="","",INT(宠物经验!$B23*宠物经验!K23))</f>
        <v>0</v>
      </c>
      <c r="L22" s="7" t="str">
        <f>IF(宠物经验!L23="","",INT(宠物经验!$B23*宠物经验!L23))</f>
        <v/>
      </c>
      <c r="M22" s="7" t="str">
        <f>IF(宠物经验!M23="","",INT(宠物经验!$B23*宠物经验!M23))</f>
        <v/>
      </c>
      <c r="N22" s="7">
        <f>IF(宠物经验!N23="","",INT(宠物经验!$B23*宠物经验!N23))</f>
        <v>1260000</v>
      </c>
      <c r="O22" s="7" t="str">
        <f>IF(宠物经验!O23="","",INT(宠物经验!$B23*宠物经验!O23))</f>
        <v/>
      </c>
      <c r="P22" s="7" t="str">
        <f>IF(宠物经验!P23="","",INT(宠物经验!$B23*宠物经验!P23))</f>
        <v/>
      </c>
      <c r="Q22" s="7">
        <f>IF(宠物经验!Q23="","",INT(宠物经验!$B23*宠物经验!Q23))</f>
        <v>546000</v>
      </c>
      <c r="R22" s="7" t="str">
        <f>IF(宠物经验!R23="","",INT(宠物经验!$B23*宠物经验!R23))</f>
        <v/>
      </c>
      <c r="S22" s="7">
        <f>IF(宠物经验!S23="","",INT(宠物经验!$B23*宠物经验!S23))</f>
        <v>0</v>
      </c>
      <c r="T22" s="7">
        <f>IF(宠物经验!T23="","",INT(宠物经验!$B23*宠物经验!T23))</f>
        <v>0</v>
      </c>
      <c r="U22" s="7">
        <f>IF(宠物经验!U23="","",INT(宠物经验!$B23*宠物经验!U23))</f>
        <v>0</v>
      </c>
      <c r="V22" s="7">
        <f>IF(宠物经验!V23="","",INT(宠物经验!$B23*宠物经验!V23))</f>
        <v>0</v>
      </c>
      <c r="W22" s="7" t="str">
        <f>IF(宠物经验!W23="","",INT(宠物经验!$B23*宠物经验!W23))</f>
        <v/>
      </c>
      <c r="X22" s="7" t="str">
        <f>IF(宠物经验!X23="","",INT(宠物经验!$B23*宠物经验!X23))</f>
        <v/>
      </c>
      <c r="Y22" s="7">
        <f>IF(宠物经验!Y23="","",INT(宠物经验!$B23*宠物经验!Y23))</f>
        <v>0</v>
      </c>
      <c r="Z22" s="7" t="str">
        <f>IF(宠物经验!Z23="","",INT(宠物经验!$B23*宠物经验!Z23))</f>
        <v/>
      </c>
      <c r="AA22" s="7">
        <f>IF(宠物经验!AA23="","",INT(宠物经验!$B23*宠物经验!AA23))</f>
        <v>0</v>
      </c>
      <c r="AB22" s="7" t="str">
        <f>IF(宠物经验!AB23="","",INT(宠物经验!$B23*宠物经验!AB23))</f>
        <v/>
      </c>
      <c r="AC22" s="7" t="str">
        <f>IF(宠物经验!AC23="","",INT(宠物经验!$B23*宠物经验!AC23))</f>
        <v/>
      </c>
      <c r="AD22" s="7" t="str">
        <f>IF(宠物经验!AD23="","",INT(宠物经验!$B23*宠物经验!AD23))</f>
        <v/>
      </c>
      <c r="AE22" s="7" t="str">
        <f>IF(宠物经验!AE23="","",INT(宠物经验!$B23*宠物经验!AE23))</f>
        <v/>
      </c>
      <c r="AF22" s="7">
        <f>宠物经验!AH23</f>
        <v>33820</v>
      </c>
      <c r="AG22" s="7">
        <f>宠物经验!AO23</f>
        <v>1750</v>
      </c>
    </row>
    <row r="23" spans="1:33">
      <c r="A23" s="32">
        <v>22</v>
      </c>
      <c r="B23" s="87">
        <f>宠物经验!B24</f>
        <v>110000</v>
      </c>
      <c r="C23" s="7">
        <f>IF(宠物经验!C24="","",INT(宠物经验!$B24*宠物经验!C24))</f>
        <v>109989</v>
      </c>
      <c r="D23" s="7">
        <f>IF(宠物经验!D24="","",INT(宠物经验!$B24*宠物经验!D24))</f>
        <v>121000</v>
      </c>
      <c r="E23" s="7" t="str">
        <f>IF(宠物经验!E24="","",INT(宠物经验!$B24*宠物经验!E24))</f>
        <v/>
      </c>
      <c r="F23" s="7">
        <f>IF(宠物经验!F24="","",INT(宠物经验!$B24*宠物经验!F24))</f>
        <v>0</v>
      </c>
      <c r="G23" s="7">
        <f>IF(宠物经验!G24="","",INT(宠物经验!$B24*宠物经验!G24))</f>
        <v>0</v>
      </c>
      <c r="H23" s="7" t="str">
        <f>IF(宠物经验!H24="","",INT(宠物经验!$B24*宠物经验!H24))</f>
        <v/>
      </c>
      <c r="I23" s="7" t="str">
        <f>IF(宠物经验!I24="","",INT(宠物经验!$B24*宠物经验!I24))</f>
        <v/>
      </c>
      <c r="J23" s="7" t="str">
        <f>IF(宠物经验!J24="","",INT(宠物经验!$B24*宠物经验!J24))</f>
        <v/>
      </c>
      <c r="K23" s="7">
        <f>IF(宠物经验!K24="","",INT(宠物经验!$B24*宠物经验!K24))</f>
        <v>0</v>
      </c>
      <c r="L23" s="7" t="str">
        <f>IF(宠物经验!L24="","",INT(宠物经验!$B24*宠物经验!L24))</f>
        <v/>
      </c>
      <c r="M23" s="7" t="str">
        <f>IF(宠物经验!M24="","",INT(宠物经验!$B24*宠物经验!M24))</f>
        <v/>
      </c>
      <c r="N23" s="7">
        <f>IF(宠物经验!N24="","",INT(宠物经验!$B24*宠物经验!N24))</f>
        <v>1320000</v>
      </c>
      <c r="O23" s="7" t="str">
        <f>IF(宠物经验!O24="","",INT(宠物经验!$B24*宠物经验!O24))</f>
        <v/>
      </c>
      <c r="P23" s="7" t="str">
        <f>IF(宠物经验!P24="","",INT(宠物经验!$B24*宠物经验!P24))</f>
        <v/>
      </c>
      <c r="Q23" s="7">
        <f>IF(宠物经验!Q24="","",INT(宠物经验!$B24*宠物经验!Q24))</f>
        <v>572000</v>
      </c>
      <c r="R23" s="7" t="str">
        <f>IF(宠物经验!R24="","",INT(宠物经验!$B24*宠物经验!R24))</f>
        <v/>
      </c>
      <c r="S23" s="7">
        <f>IF(宠物经验!S24="","",INT(宠物经验!$B24*宠物经验!S24))</f>
        <v>0</v>
      </c>
      <c r="T23" s="7">
        <f>IF(宠物经验!T24="","",INT(宠物经验!$B24*宠物经验!T24))</f>
        <v>0</v>
      </c>
      <c r="U23" s="7">
        <f>IF(宠物经验!U24="","",INT(宠物经验!$B24*宠物经验!U24))</f>
        <v>0</v>
      </c>
      <c r="V23" s="7">
        <f>IF(宠物经验!V24="","",INT(宠物经验!$B24*宠物经验!V24))</f>
        <v>0</v>
      </c>
      <c r="W23" s="7" t="str">
        <f>IF(宠物经验!W24="","",INT(宠物经验!$B24*宠物经验!W24))</f>
        <v/>
      </c>
      <c r="X23" s="7" t="str">
        <f>IF(宠物经验!X24="","",INT(宠物经验!$B24*宠物经验!X24))</f>
        <v/>
      </c>
      <c r="Y23" s="7">
        <f>IF(宠物经验!Y24="","",INT(宠物经验!$B24*宠物经验!Y24))</f>
        <v>0</v>
      </c>
      <c r="Z23" s="7" t="str">
        <f>IF(宠物经验!Z24="","",INT(宠物经验!$B24*宠物经验!Z24))</f>
        <v/>
      </c>
      <c r="AA23" s="7">
        <f>IF(宠物经验!AA24="","",INT(宠物经验!$B24*宠物经验!AA24))</f>
        <v>0</v>
      </c>
      <c r="AB23" s="7" t="str">
        <f>IF(宠物经验!AB24="","",INT(宠物经验!$B24*宠物经验!AB24))</f>
        <v/>
      </c>
      <c r="AC23" s="7" t="str">
        <f>IF(宠物经验!AC24="","",INT(宠物经验!$B24*宠物经验!AC24))</f>
        <v/>
      </c>
      <c r="AD23" s="7" t="str">
        <f>IF(宠物经验!AD24="","",INT(宠物经验!$B24*宠物经验!AD24))</f>
        <v/>
      </c>
      <c r="AE23" s="7" t="str">
        <f>IF(宠物经验!AE24="","",INT(宠物经验!$B24*宠物经验!AE24))</f>
        <v/>
      </c>
      <c r="AF23" s="7">
        <f>宠物经验!AH24</f>
        <v>36470</v>
      </c>
      <c r="AG23" s="7">
        <f>宠物经验!AO24</f>
        <v>1833</v>
      </c>
    </row>
    <row r="24" spans="1:33">
      <c r="A24" s="32">
        <v>23</v>
      </c>
      <c r="B24" s="87">
        <f>宠物经验!B25</f>
        <v>115000</v>
      </c>
      <c r="C24" s="7">
        <f>IF(宠物经验!C25="","",INT(宠物经验!$B25*宠物经验!C25))</f>
        <v>114988</v>
      </c>
      <c r="D24" s="7">
        <f>IF(宠物经验!D25="","",INT(宠物经验!$B25*宠物经验!D25))</f>
        <v>126500</v>
      </c>
      <c r="E24" s="7" t="str">
        <f>IF(宠物经验!E25="","",INT(宠物经验!$B25*宠物经验!E25))</f>
        <v/>
      </c>
      <c r="F24" s="7">
        <f>IF(宠物经验!F25="","",INT(宠物经验!$B25*宠物经验!F25))</f>
        <v>0</v>
      </c>
      <c r="G24" s="7">
        <f>IF(宠物经验!G25="","",INT(宠物经验!$B25*宠物经验!G25))</f>
        <v>0</v>
      </c>
      <c r="H24" s="7" t="str">
        <f>IF(宠物经验!H25="","",INT(宠物经验!$B25*宠物经验!H25))</f>
        <v/>
      </c>
      <c r="I24" s="7" t="str">
        <f>IF(宠物经验!I25="","",INT(宠物经验!$B25*宠物经验!I25))</f>
        <v/>
      </c>
      <c r="J24" s="7" t="str">
        <f>IF(宠物经验!J25="","",INT(宠物经验!$B25*宠物经验!J25))</f>
        <v/>
      </c>
      <c r="K24" s="7">
        <f>IF(宠物经验!K25="","",INT(宠物经验!$B25*宠物经验!K25))</f>
        <v>0</v>
      </c>
      <c r="L24" s="7" t="str">
        <f>IF(宠物经验!L25="","",INT(宠物经验!$B25*宠物经验!L25))</f>
        <v/>
      </c>
      <c r="M24" s="7" t="str">
        <f>IF(宠物经验!M25="","",INT(宠物经验!$B25*宠物经验!M25))</f>
        <v/>
      </c>
      <c r="N24" s="7">
        <f>IF(宠物经验!N25="","",INT(宠物经验!$B25*宠物经验!N25))</f>
        <v>1380000</v>
      </c>
      <c r="O24" s="7" t="str">
        <f>IF(宠物经验!O25="","",INT(宠物经验!$B25*宠物经验!O25))</f>
        <v/>
      </c>
      <c r="P24" s="7" t="str">
        <f>IF(宠物经验!P25="","",INT(宠物经验!$B25*宠物经验!P25))</f>
        <v/>
      </c>
      <c r="Q24" s="7">
        <f>IF(宠物经验!Q25="","",INT(宠物经验!$B25*宠物经验!Q25))</f>
        <v>598000</v>
      </c>
      <c r="R24" s="7" t="str">
        <f>IF(宠物经验!R25="","",INT(宠物经验!$B25*宠物经验!R25))</f>
        <v/>
      </c>
      <c r="S24" s="7">
        <f>IF(宠物经验!S25="","",INT(宠物经验!$B25*宠物经验!S25))</f>
        <v>0</v>
      </c>
      <c r="T24" s="7">
        <f>IF(宠物经验!T25="","",INT(宠物经验!$B25*宠物经验!T25))</f>
        <v>0</v>
      </c>
      <c r="U24" s="7">
        <f>IF(宠物经验!U25="","",INT(宠物经验!$B25*宠物经验!U25))</f>
        <v>0</v>
      </c>
      <c r="V24" s="7">
        <f>IF(宠物经验!V25="","",INT(宠物经验!$B25*宠物经验!V25))</f>
        <v>0</v>
      </c>
      <c r="W24" s="7" t="str">
        <f>IF(宠物经验!W25="","",INT(宠物经验!$B25*宠物经验!W25))</f>
        <v/>
      </c>
      <c r="X24" s="7" t="str">
        <f>IF(宠物经验!X25="","",INT(宠物经验!$B25*宠物经验!X25))</f>
        <v/>
      </c>
      <c r="Y24" s="7">
        <f>IF(宠物经验!Y25="","",INT(宠物经验!$B25*宠物经验!Y25))</f>
        <v>0</v>
      </c>
      <c r="Z24" s="7" t="str">
        <f>IF(宠物经验!Z25="","",INT(宠物经验!$B25*宠物经验!Z25))</f>
        <v/>
      </c>
      <c r="AA24" s="7">
        <f>IF(宠物经验!AA25="","",INT(宠物经验!$B25*宠物经验!AA25))</f>
        <v>0</v>
      </c>
      <c r="AB24" s="7" t="str">
        <f>IF(宠物经验!AB25="","",INT(宠物经验!$B25*宠物经验!AB25))</f>
        <v/>
      </c>
      <c r="AC24" s="7" t="str">
        <f>IF(宠物经验!AC25="","",INT(宠物经验!$B25*宠物经验!AC25))</f>
        <v/>
      </c>
      <c r="AD24" s="7" t="str">
        <f>IF(宠物经验!AD25="","",INT(宠物经验!$B25*宠物经验!AD25))</f>
        <v/>
      </c>
      <c r="AE24" s="7" t="str">
        <f>IF(宠物经验!AE25="","",INT(宠物经验!$B25*宠物经验!AE25))</f>
        <v/>
      </c>
      <c r="AF24" s="7">
        <f>宠物经验!AH25</f>
        <v>39220</v>
      </c>
      <c r="AG24" s="7">
        <f>宠物经验!AO25</f>
        <v>1917</v>
      </c>
    </row>
    <row r="25" spans="1:33">
      <c r="A25" s="32">
        <v>24</v>
      </c>
      <c r="B25" s="87">
        <f>宠物经验!B26</f>
        <v>120000</v>
      </c>
      <c r="C25" s="7">
        <f>IF(宠物经验!C26="","",INT(宠物经验!$B26*宠物经验!C26))</f>
        <v>119988</v>
      </c>
      <c r="D25" s="7">
        <f>IF(宠物经验!D26="","",INT(宠物经验!$B26*宠物经验!D26))</f>
        <v>132000</v>
      </c>
      <c r="E25" s="7" t="str">
        <f>IF(宠物经验!E26="","",INT(宠物经验!$B26*宠物经验!E26))</f>
        <v/>
      </c>
      <c r="F25" s="7">
        <f>IF(宠物经验!F26="","",INT(宠物经验!$B26*宠物经验!F26))</f>
        <v>0</v>
      </c>
      <c r="G25" s="7">
        <f>IF(宠物经验!G26="","",INT(宠物经验!$B26*宠物经验!G26))</f>
        <v>0</v>
      </c>
      <c r="H25" s="7" t="str">
        <f>IF(宠物经验!H26="","",INT(宠物经验!$B26*宠物经验!H26))</f>
        <v/>
      </c>
      <c r="I25" s="7" t="str">
        <f>IF(宠物经验!I26="","",INT(宠物经验!$B26*宠物经验!I26))</f>
        <v/>
      </c>
      <c r="J25" s="7" t="str">
        <f>IF(宠物经验!J26="","",INT(宠物经验!$B26*宠物经验!J26))</f>
        <v/>
      </c>
      <c r="K25" s="7">
        <f>IF(宠物经验!K26="","",INT(宠物经验!$B26*宠物经验!K26))</f>
        <v>0</v>
      </c>
      <c r="L25" s="7" t="str">
        <f>IF(宠物经验!L26="","",INT(宠物经验!$B26*宠物经验!L26))</f>
        <v/>
      </c>
      <c r="M25" s="7" t="str">
        <f>IF(宠物经验!M26="","",INT(宠物经验!$B26*宠物经验!M26))</f>
        <v/>
      </c>
      <c r="N25" s="7">
        <f>IF(宠物经验!N26="","",INT(宠物经验!$B26*宠物经验!N26))</f>
        <v>1440000</v>
      </c>
      <c r="O25" s="7" t="str">
        <f>IF(宠物经验!O26="","",INT(宠物经验!$B26*宠物经验!O26))</f>
        <v/>
      </c>
      <c r="P25" s="7" t="str">
        <f>IF(宠物经验!P26="","",INT(宠物经验!$B26*宠物经验!P26))</f>
        <v/>
      </c>
      <c r="Q25" s="7">
        <f>IF(宠物经验!Q26="","",INT(宠物经验!$B26*宠物经验!Q26))</f>
        <v>624000</v>
      </c>
      <c r="R25" s="7" t="str">
        <f>IF(宠物经验!R26="","",INT(宠物经验!$B26*宠物经验!R26))</f>
        <v/>
      </c>
      <c r="S25" s="7">
        <f>IF(宠物经验!S26="","",INT(宠物经验!$B26*宠物经验!S26))</f>
        <v>0</v>
      </c>
      <c r="T25" s="7">
        <f>IF(宠物经验!T26="","",INT(宠物经验!$B26*宠物经验!T26))</f>
        <v>0</v>
      </c>
      <c r="U25" s="7">
        <f>IF(宠物经验!U26="","",INT(宠物经验!$B26*宠物经验!U26))</f>
        <v>0</v>
      </c>
      <c r="V25" s="7">
        <f>IF(宠物经验!V26="","",INT(宠物经验!$B26*宠物经验!V26))</f>
        <v>0</v>
      </c>
      <c r="W25" s="7" t="str">
        <f>IF(宠物经验!W26="","",INT(宠物经验!$B26*宠物经验!W26))</f>
        <v/>
      </c>
      <c r="X25" s="7" t="str">
        <f>IF(宠物经验!X26="","",INT(宠物经验!$B26*宠物经验!X26))</f>
        <v/>
      </c>
      <c r="Y25" s="7">
        <f>IF(宠物经验!Y26="","",INT(宠物经验!$B26*宠物经验!Y26))</f>
        <v>0</v>
      </c>
      <c r="Z25" s="7" t="str">
        <f>IF(宠物经验!Z26="","",INT(宠物经验!$B26*宠物经验!Z26))</f>
        <v/>
      </c>
      <c r="AA25" s="7">
        <f>IF(宠物经验!AA26="","",INT(宠物经验!$B26*宠物经验!AA26))</f>
        <v>0</v>
      </c>
      <c r="AB25" s="7" t="str">
        <f>IF(宠物经验!AB26="","",INT(宠物经验!$B26*宠物经验!AB26))</f>
        <v/>
      </c>
      <c r="AC25" s="7" t="str">
        <f>IF(宠物经验!AC26="","",INT(宠物经验!$B26*宠物经验!AC26))</f>
        <v/>
      </c>
      <c r="AD25" s="7" t="str">
        <f>IF(宠物经验!AD26="","",INT(宠物经验!$B26*宠物经验!AD26))</f>
        <v/>
      </c>
      <c r="AE25" s="7" t="str">
        <f>IF(宠物经验!AE26="","",INT(宠物经验!$B26*宠物经验!AE26))</f>
        <v/>
      </c>
      <c r="AF25" s="7">
        <f>宠物经验!AH26</f>
        <v>42070</v>
      </c>
      <c r="AG25" s="7">
        <f>宠物经验!AO26</f>
        <v>2000</v>
      </c>
    </row>
    <row r="26" spans="1:33">
      <c r="A26" s="32">
        <v>25</v>
      </c>
      <c r="B26" s="87">
        <f>宠物经验!B27</f>
        <v>125000</v>
      </c>
      <c r="C26" s="7">
        <f>IF(宠物经验!C27="","",INT(宠物经验!$B27*宠物经验!C27))</f>
        <v>124987</v>
      </c>
      <c r="D26" s="7">
        <f>IF(宠物经验!D27="","",INT(宠物经验!$B27*宠物经验!D27))</f>
        <v>137500</v>
      </c>
      <c r="E26" s="7" t="str">
        <f>IF(宠物经验!E27="","",INT(宠物经验!$B27*宠物经验!E27))</f>
        <v/>
      </c>
      <c r="F26" s="7">
        <f>IF(宠物经验!F27="","",INT(宠物经验!$B27*宠物经验!F27))</f>
        <v>0</v>
      </c>
      <c r="G26" s="7">
        <f>IF(宠物经验!G27="","",INT(宠物经验!$B27*宠物经验!G27))</f>
        <v>83325</v>
      </c>
      <c r="H26" s="7" t="str">
        <f>IF(宠物经验!H27="","",INT(宠物经验!$B27*宠物经验!H27))</f>
        <v/>
      </c>
      <c r="I26" s="7" t="str">
        <f>IF(宠物经验!I27="","",INT(宠物经验!$B27*宠物经验!I27))</f>
        <v/>
      </c>
      <c r="J26" s="7" t="str">
        <f>IF(宠物经验!J27="","",INT(宠物经验!$B27*宠物经验!J27))</f>
        <v/>
      </c>
      <c r="K26" s="7">
        <f>IF(宠物经验!K27="","",INT(宠物经验!$B27*宠物经验!K27))</f>
        <v>0</v>
      </c>
      <c r="L26" s="7" t="str">
        <f>IF(宠物经验!L27="","",INT(宠物经验!$B27*宠物经验!L27))</f>
        <v/>
      </c>
      <c r="M26" s="7" t="str">
        <f>IF(宠物经验!M27="","",INT(宠物经验!$B27*宠物经验!M27))</f>
        <v/>
      </c>
      <c r="N26" s="7">
        <f>IF(宠物经验!N27="","",INT(宠物经验!$B27*宠物经验!N27))</f>
        <v>1500000</v>
      </c>
      <c r="O26" s="7" t="str">
        <f>IF(宠物经验!O27="","",INT(宠物经验!$B27*宠物经验!O27))</f>
        <v/>
      </c>
      <c r="P26" s="7" t="str">
        <f>IF(宠物经验!P27="","",INT(宠物经验!$B27*宠物经验!P27))</f>
        <v/>
      </c>
      <c r="Q26" s="7">
        <f>IF(宠物经验!Q27="","",INT(宠物经验!$B27*宠物经验!Q27))</f>
        <v>650000</v>
      </c>
      <c r="R26" s="7" t="str">
        <f>IF(宠物经验!R27="","",INT(宠物经验!$B27*宠物经验!R27))</f>
        <v/>
      </c>
      <c r="S26" s="7">
        <f>IF(宠物经验!S27="","",INT(宠物经验!$B27*宠物经验!S27))</f>
        <v>62493</v>
      </c>
      <c r="T26" s="7">
        <f>IF(宠物经验!T27="","",INT(宠物经验!$B27*宠物经验!T27))</f>
        <v>0</v>
      </c>
      <c r="U26" s="7">
        <f>IF(宠物经验!U27="","",INT(宠物经验!$B27*宠物经验!U27))</f>
        <v>0</v>
      </c>
      <c r="V26" s="7">
        <f>IF(宠物经验!V27="","",INT(宠物经验!$B27*宠物经验!V27))</f>
        <v>41675</v>
      </c>
      <c r="W26" s="7" t="str">
        <f>IF(宠物经验!W27="","",INT(宠物经验!$B27*宠物经验!W27))</f>
        <v/>
      </c>
      <c r="X26" s="7" t="str">
        <f>IF(宠物经验!X27="","",INT(宠物经验!$B27*宠物经验!X27))</f>
        <v/>
      </c>
      <c r="Y26" s="7">
        <f>IF(宠物经验!Y27="","",INT(宠物经验!$B27*宠物经验!Y27))</f>
        <v>0</v>
      </c>
      <c r="Z26" s="7" t="str">
        <f>IF(宠物经验!Z27="","",INT(宠物经验!$B27*宠物经验!Z27))</f>
        <v/>
      </c>
      <c r="AA26" s="7">
        <f>IF(宠物经验!AA27="","",INT(宠物经验!$B27*宠物经验!AA27))</f>
        <v>0</v>
      </c>
      <c r="AB26" s="7" t="str">
        <f>IF(宠物经验!AB27="","",INT(宠物经验!$B27*宠物经验!AB27))</f>
        <v/>
      </c>
      <c r="AC26" s="7" t="str">
        <f>IF(宠物经验!AC27="","",INT(宠物经验!$B27*宠物经验!AC27))</f>
        <v/>
      </c>
      <c r="AD26" s="7" t="str">
        <f>IF(宠物经验!AD27="","",INT(宠物经验!$B27*宠物经验!AD27))</f>
        <v/>
      </c>
      <c r="AE26" s="7" t="str">
        <f>IF(宠物经验!AE27="","",INT(宠物经验!$B27*宠物经验!AE27))</f>
        <v/>
      </c>
      <c r="AF26" s="7">
        <f>宠物经验!AH27</f>
        <v>45020</v>
      </c>
      <c r="AG26" s="7">
        <f>宠物经验!AO27</f>
        <v>2083</v>
      </c>
    </row>
    <row r="27" spans="1:33">
      <c r="A27" s="32">
        <v>26</v>
      </c>
      <c r="B27" s="87">
        <f>宠物经验!B28</f>
        <v>130000</v>
      </c>
      <c r="C27" s="7">
        <f>IF(宠物经验!C28="","",INT(宠物经验!$B28*宠物经验!C28))</f>
        <v>129987</v>
      </c>
      <c r="D27" s="7">
        <f>IF(宠物经验!D28="","",INT(宠物经验!$B28*宠物经验!D28))</f>
        <v>143000</v>
      </c>
      <c r="E27" s="7" t="str">
        <f>IF(宠物经验!E28="","",INT(宠物经验!$B28*宠物经验!E28))</f>
        <v/>
      </c>
      <c r="F27" s="7">
        <f>IF(宠物经验!F28="","",INT(宠物经验!$B28*宠物经验!F28))</f>
        <v>0</v>
      </c>
      <c r="G27" s="7">
        <f>IF(宠物经验!G28="","",INT(宠物经验!$B28*宠物经验!G28))</f>
        <v>86658</v>
      </c>
      <c r="H27" s="7" t="str">
        <f>IF(宠物经验!H28="","",INT(宠物经验!$B28*宠物经验!H28))</f>
        <v/>
      </c>
      <c r="I27" s="7" t="str">
        <f>IF(宠物经验!I28="","",INT(宠物经验!$B28*宠物经验!I28))</f>
        <v/>
      </c>
      <c r="J27" s="7" t="str">
        <f>IF(宠物经验!J28="","",INT(宠物经验!$B28*宠物经验!J28))</f>
        <v/>
      </c>
      <c r="K27" s="7">
        <f>IF(宠物经验!K28="","",INT(宠物经验!$B28*宠物经验!K28))</f>
        <v>0</v>
      </c>
      <c r="L27" s="7" t="str">
        <f>IF(宠物经验!L28="","",INT(宠物经验!$B28*宠物经验!L28))</f>
        <v/>
      </c>
      <c r="M27" s="7" t="str">
        <f>IF(宠物经验!M28="","",INT(宠物经验!$B28*宠物经验!M28))</f>
        <v/>
      </c>
      <c r="N27" s="7">
        <f>IF(宠物经验!N28="","",INT(宠物经验!$B28*宠物经验!N28))</f>
        <v>1560000</v>
      </c>
      <c r="O27" s="7" t="str">
        <f>IF(宠物经验!O28="","",INT(宠物经验!$B28*宠物经验!O28))</f>
        <v/>
      </c>
      <c r="P27" s="7" t="str">
        <f>IF(宠物经验!P28="","",INT(宠物经验!$B28*宠物经验!P28))</f>
        <v/>
      </c>
      <c r="Q27" s="7">
        <f>IF(宠物经验!Q28="","",INT(宠物经验!$B28*宠物经验!Q28))</f>
        <v>676000</v>
      </c>
      <c r="R27" s="7" t="str">
        <f>IF(宠物经验!R28="","",INT(宠物经验!$B28*宠物经验!R28))</f>
        <v/>
      </c>
      <c r="S27" s="7">
        <f>IF(宠物经验!S28="","",INT(宠物经验!$B28*宠物经验!S28))</f>
        <v>64993</v>
      </c>
      <c r="T27" s="7">
        <f>IF(宠物经验!T28="","",INT(宠物经验!$B28*宠物经验!T28))</f>
        <v>0</v>
      </c>
      <c r="U27" s="7">
        <f>IF(宠物经验!U28="","",INT(宠物经验!$B28*宠物经验!U28))</f>
        <v>0</v>
      </c>
      <c r="V27" s="7">
        <f>IF(宠物经验!V28="","",INT(宠物经验!$B28*宠物经验!V28))</f>
        <v>43342</v>
      </c>
      <c r="W27" s="7" t="str">
        <f>IF(宠物经验!W28="","",INT(宠物经验!$B28*宠物经验!W28))</f>
        <v/>
      </c>
      <c r="X27" s="7" t="str">
        <f>IF(宠物经验!X28="","",INT(宠物经验!$B28*宠物经验!X28))</f>
        <v/>
      </c>
      <c r="Y27" s="7">
        <f>IF(宠物经验!Y28="","",INT(宠物经验!$B28*宠物经验!Y28))</f>
        <v>0</v>
      </c>
      <c r="Z27" s="7" t="str">
        <f>IF(宠物经验!Z28="","",INT(宠物经验!$B28*宠物经验!Z28))</f>
        <v/>
      </c>
      <c r="AA27" s="7">
        <f>IF(宠物经验!AA28="","",INT(宠物经验!$B28*宠物经验!AA28))</f>
        <v>0</v>
      </c>
      <c r="AB27" s="7" t="str">
        <f>IF(宠物经验!AB28="","",INT(宠物经验!$B28*宠物经验!AB28))</f>
        <v/>
      </c>
      <c r="AC27" s="7" t="str">
        <f>IF(宠物经验!AC28="","",INT(宠物经验!$B28*宠物经验!AC28))</f>
        <v/>
      </c>
      <c r="AD27" s="7" t="str">
        <f>IF(宠物经验!AD28="","",INT(宠物经验!$B28*宠物经验!AD28))</f>
        <v/>
      </c>
      <c r="AE27" s="7" t="str">
        <f>IF(宠物经验!AE28="","",INT(宠物经验!$B28*宠物经验!AE28))</f>
        <v/>
      </c>
      <c r="AF27" s="7">
        <f>宠物经验!AH28</f>
        <v>48070</v>
      </c>
      <c r="AG27" s="7">
        <f>宠物经验!AO28</f>
        <v>2167</v>
      </c>
    </row>
    <row r="28" spans="1:33">
      <c r="A28" s="32">
        <v>27</v>
      </c>
      <c r="B28" s="87">
        <f>宠物经验!B29</f>
        <v>135000</v>
      </c>
      <c r="C28" s="7">
        <f>IF(宠物经验!C29="","",INT(宠物经验!$B29*宠物经验!C29))</f>
        <v>134986</v>
      </c>
      <c r="D28" s="7">
        <f>IF(宠物经验!D29="","",INT(宠物经验!$B29*宠物经验!D29))</f>
        <v>148500</v>
      </c>
      <c r="E28" s="7" t="str">
        <f>IF(宠物经验!E29="","",INT(宠物经验!$B29*宠物经验!E29))</f>
        <v/>
      </c>
      <c r="F28" s="7">
        <f>IF(宠物经验!F29="","",INT(宠物经验!$B29*宠物经验!F29))</f>
        <v>0</v>
      </c>
      <c r="G28" s="7">
        <f>IF(宠物经验!G29="","",INT(宠物经验!$B29*宠物经验!G29))</f>
        <v>89991</v>
      </c>
      <c r="H28" s="7" t="str">
        <f>IF(宠物经验!H29="","",INT(宠物经验!$B29*宠物经验!H29))</f>
        <v/>
      </c>
      <c r="I28" s="7" t="str">
        <f>IF(宠物经验!I29="","",INT(宠物经验!$B29*宠物经验!I29))</f>
        <v/>
      </c>
      <c r="J28" s="7" t="str">
        <f>IF(宠物经验!J29="","",INT(宠物经验!$B29*宠物经验!J29))</f>
        <v/>
      </c>
      <c r="K28" s="7">
        <f>IF(宠物经验!K29="","",INT(宠物经验!$B29*宠物经验!K29))</f>
        <v>0</v>
      </c>
      <c r="L28" s="7" t="str">
        <f>IF(宠物经验!L29="","",INT(宠物经验!$B29*宠物经验!L29))</f>
        <v/>
      </c>
      <c r="M28" s="7" t="str">
        <f>IF(宠物经验!M29="","",INT(宠物经验!$B29*宠物经验!M29))</f>
        <v/>
      </c>
      <c r="N28" s="7">
        <f>IF(宠物经验!N29="","",INT(宠物经验!$B29*宠物经验!N29))</f>
        <v>1620000</v>
      </c>
      <c r="O28" s="7" t="str">
        <f>IF(宠物经验!O29="","",INT(宠物经验!$B29*宠物经验!O29))</f>
        <v/>
      </c>
      <c r="P28" s="7" t="str">
        <f>IF(宠物经验!P29="","",INT(宠物经验!$B29*宠物经验!P29))</f>
        <v/>
      </c>
      <c r="Q28" s="7">
        <f>IF(宠物经验!Q29="","",INT(宠物经验!$B29*宠物经验!Q29))</f>
        <v>702000</v>
      </c>
      <c r="R28" s="7" t="str">
        <f>IF(宠物经验!R29="","",INT(宠物经验!$B29*宠物经验!R29))</f>
        <v/>
      </c>
      <c r="S28" s="7">
        <f>IF(宠物经验!S29="","",INT(宠物经验!$B29*宠物经验!S29))</f>
        <v>67493</v>
      </c>
      <c r="T28" s="7">
        <f>IF(宠物经验!T29="","",INT(宠物经验!$B29*宠物经验!T29))</f>
        <v>0</v>
      </c>
      <c r="U28" s="7">
        <f>IF(宠物经验!U29="","",INT(宠物经验!$B29*宠物经验!U29))</f>
        <v>0</v>
      </c>
      <c r="V28" s="7">
        <f>IF(宠物经验!V29="","",INT(宠物经验!$B29*宠物经验!V29))</f>
        <v>45009</v>
      </c>
      <c r="W28" s="7" t="str">
        <f>IF(宠物经验!W29="","",INT(宠物经验!$B29*宠物经验!W29))</f>
        <v/>
      </c>
      <c r="X28" s="7" t="str">
        <f>IF(宠物经验!X29="","",INT(宠物经验!$B29*宠物经验!X29))</f>
        <v/>
      </c>
      <c r="Y28" s="7">
        <f>IF(宠物经验!Y29="","",INT(宠物经验!$B29*宠物经验!Y29))</f>
        <v>0</v>
      </c>
      <c r="Z28" s="7" t="str">
        <f>IF(宠物经验!Z29="","",INT(宠物经验!$B29*宠物经验!Z29))</f>
        <v/>
      </c>
      <c r="AA28" s="7">
        <f>IF(宠物经验!AA29="","",INT(宠物经验!$B29*宠物经验!AA29))</f>
        <v>0</v>
      </c>
      <c r="AB28" s="7" t="str">
        <f>IF(宠物经验!AB29="","",INT(宠物经验!$B29*宠物经验!AB29))</f>
        <v/>
      </c>
      <c r="AC28" s="7" t="str">
        <f>IF(宠物经验!AC29="","",INT(宠物经验!$B29*宠物经验!AC29))</f>
        <v/>
      </c>
      <c r="AD28" s="7" t="str">
        <f>IF(宠物经验!AD29="","",INT(宠物经验!$B29*宠物经验!AD29))</f>
        <v/>
      </c>
      <c r="AE28" s="7" t="str">
        <f>IF(宠物经验!AE29="","",INT(宠物经验!$B29*宠物经验!AE29))</f>
        <v/>
      </c>
      <c r="AF28" s="7">
        <f>宠物经验!AH29</f>
        <v>51220</v>
      </c>
      <c r="AG28" s="7">
        <f>宠物经验!AO29</f>
        <v>2250</v>
      </c>
    </row>
    <row r="29" spans="1:33">
      <c r="A29" s="32">
        <v>28</v>
      </c>
      <c r="B29" s="87">
        <f>宠物经验!B30</f>
        <v>140000</v>
      </c>
      <c r="C29" s="7">
        <f>IF(宠物经验!C30="","",INT(宠物经验!$B30*宠物经验!C30))</f>
        <v>139986</v>
      </c>
      <c r="D29" s="7">
        <f>IF(宠物经验!D30="","",INT(宠物经验!$B30*宠物经验!D30))</f>
        <v>154000</v>
      </c>
      <c r="E29" s="7" t="str">
        <f>IF(宠物经验!E30="","",INT(宠物经验!$B30*宠物经验!E30))</f>
        <v/>
      </c>
      <c r="F29" s="7">
        <f>IF(宠物经验!F30="","",INT(宠物经验!$B30*宠物经验!F30))</f>
        <v>0</v>
      </c>
      <c r="G29" s="7">
        <f>IF(宠物经验!G30="","",INT(宠物经验!$B30*宠物经验!G30))</f>
        <v>93324</v>
      </c>
      <c r="H29" s="7" t="str">
        <f>IF(宠物经验!H30="","",INT(宠物经验!$B30*宠物经验!H30))</f>
        <v/>
      </c>
      <c r="I29" s="7" t="str">
        <f>IF(宠物经验!I30="","",INT(宠物经验!$B30*宠物经验!I30))</f>
        <v/>
      </c>
      <c r="J29" s="7" t="str">
        <f>IF(宠物经验!J30="","",INT(宠物经验!$B30*宠物经验!J30))</f>
        <v/>
      </c>
      <c r="K29" s="7">
        <f>IF(宠物经验!K30="","",INT(宠物经验!$B30*宠物经验!K30))</f>
        <v>0</v>
      </c>
      <c r="L29" s="7" t="str">
        <f>IF(宠物经验!L30="","",INT(宠物经验!$B30*宠物经验!L30))</f>
        <v/>
      </c>
      <c r="M29" s="7" t="str">
        <f>IF(宠物经验!M30="","",INT(宠物经验!$B30*宠物经验!M30))</f>
        <v/>
      </c>
      <c r="N29" s="7">
        <f>IF(宠物经验!N30="","",INT(宠物经验!$B30*宠物经验!N30))</f>
        <v>1680000</v>
      </c>
      <c r="O29" s="7" t="str">
        <f>IF(宠物经验!O30="","",INT(宠物经验!$B30*宠物经验!O30))</f>
        <v/>
      </c>
      <c r="P29" s="7" t="str">
        <f>IF(宠物经验!P30="","",INT(宠物经验!$B30*宠物经验!P30))</f>
        <v/>
      </c>
      <c r="Q29" s="7">
        <f>IF(宠物经验!Q30="","",INT(宠物经验!$B30*宠物经验!Q30))</f>
        <v>728000</v>
      </c>
      <c r="R29" s="7" t="str">
        <f>IF(宠物经验!R30="","",INT(宠物经验!$B30*宠物经验!R30))</f>
        <v/>
      </c>
      <c r="S29" s="7">
        <f>IF(宠物经验!S30="","",INT(宠物经验!$B30*宠物经验!S30))</f>
        <v>69993</v>
      </c>
      <c r="T29" s="7">
        <f>IF(宠物经验!T30="","",INT(宠物经验!$B30*宠物经验!T30))</f>
        <v>0</v>
      </c>
      <c r="U29" s="7">
        <f>IF(宠物经验!U30="","",INT(宠物经验!$B30*宠物经验!U30))</f>
        <v>0</v>
      </c>
      <c r="V29" s="7">
        <f>IF(宠物经验!V30="","",INT(宠物经验!$B30*宠物经验!V30))</f>
        <v>46676</v>
      </c>
      <c r="W29" s="7" t="str">
        <f>IF(宠物经验!W30="","",INT(宠物经验!$B30*宠物经验!W30))</f>
        <v/>
      </c>
      <c r="X29" s="7" t="str">
        <f>IF(宠物经验!X30="","",INT(宠物经验!$B30*宠物经验!X30))</f>
        <v/>
      </c>
      <c r="Y29" s="7">
        <f>IF(宠物经验!Y30="","",INT(宠物经验!$B30*宠物经验!Y30))</f>
        <v>0</v>
      </c>
      <c r="Z29" s="7" t="str">
        <f>IF(宠物经验!Z30="","",INT(宠物经验!$B30*宠物经验!Z30))</f>
        <v/>
      </c>
      <c r="AA29" s="7">
        <f>IF(宠物经验!AA30="","",INT(宠物经验!$B30*宠物经验!AA30))</f>
        <v>0</v>
      </c>
      <c r="AB29" s="7" t="str">
        <f>IF(宠物经验!AB30="","",INT(宠物经验!$B30*宠物经验!AB30))</f>
        <v/>
      </c>
      <c r="AC29" s="7" t="str">
        <f>IF(宠物经验!AC30="","",INT(宠物经验!$B30*宠物经验!AC30))</f>
        <v/>
      </c>
      <c r="AD29" s="7" t="str">
        <f>IF(宠物经验!AD30="","",INT(宠物经验!$B30*宠物经验!AD30))</f>
        <v/>
      </c>
      <c r="AE29" s="7" t="str">
        <f>IF(宠物经验!AE30="","",INT(宠物经验!$B30*宠物经验!AE30))</f>
        <v/>
      </c>
      <c r="AF29" s="7">
        <f>宠物经验!AH30</f>
        <v>54470</v>
      </c>
      <c r="AG29" s="7">
        <f>宠物经验!AO30</f>
        <v>2333</v>
      </c>
    </row>
    <row r="30" spans="1:33">
      <c r="A30" s="32">
        <v>29</v>
      </c>
      <c r="B30" s="87">
        <f>宠物经验!B31</f>
        <v>145000</v>
      </c>
      <c r="C30" s="7">
        <f>IF(宠物经验!C31="","",INT(宠物经验!$B31*宠物经验!C31))</f>
        <v>144985</v>
      </c>
      <c r="D30" s="7">
        <f>IF(宠物经验!D31="","",INT(宠物经验!$B31*宠物经验!D31))</f>
        <v>159500</v>
      </c>
      <c r="E30" s="7" t="str">
        <f>IF(宠物经验!E31="","",INT(宠物经验!$B31*宠物经验!E31))</f>
        <v/>
      </c>
      <c r="F30" s="7">
        <f>IF(宠物经验!F31="","",INT(宠物经验!$B31*宠物经验!F31))</f>
        <v>0</v>
      </c>
      <c r="G30" s="7">
        <f>IF(宠物经验!G31="","",INT(宠物经验!$B31*宠物经验!G31))</f>
        <v>96657</v>
      </c>
      <c r="H30" s="7" t="str">
        <f>IF(宠物经验!H31="","",INT(宠物经验!$B31*宠物经验!H31))</f>
        <v/>
      </c>
      <c r="I30" s="7" t="str">
        <f>IF(宠物经验!I31="","",INT(宠物经验!$B31*宠物经验!I31))</f>
        <v/>
      </c>
      <c r="J30" s="7" t="str">
        <f>IF(宠物经验!J31="","",INT(宠物经验!$B31*宠物经验!J31))</f>
        <v/>
      </c>
      <c r="K30" s="7">
        <f>IF(宠物经验!K31="","",INT(宠物经验!$B31*宠物经验!K31))</f>
        <v>0</v>
      </c>
      <c r="L30" s="7" t="str">
        <f>IF(宠物经验!L31="","",INT(宠物经验!$B31*宠物经验!L31))</f>
        <v/>
      </c>
      <c r="M30" s="7" t="str">
        <f>IF(宠物经验!M31="","",INT(宠物经验!$B31*宠物经验!M31))</f>
        <v/>
      </c>
      <c r="N30" s="7">
        <f>IF(宠物经验!N31="","",INT(宠物经验!$B31*宠物经验!N31))</f>
        <v>1740000</v>
      </c>
      <c r="O30" s="7" t="str">
        <f>IF(宠物经验!O31="","",INT(宠物经验!$B31*宠物经验!O31))</f>
        <v/>
      </c>
      <c r="P30" s="7" t="str">
        <f>IF(宠物经验!P31="","",INT(宠物经验!$B31*宠物经验!P31))</f>
        <v/>
      </c>
      <c r="Q30" s="7">
        <f>IF(宠物经验!Q31="","",INT(宠物经验!$B31*宠物经验!Q31))</f>
        <v>754000</v>
      </c>
      <c r="R30" s="7" t="str">
        <f>IF(宠物经验!R31="","",INT(宠物经验!$B31*宠物经验!R31))</f>
        <v/>
      </c>
      <c r="S30" s="7">
        <f>IF(宠物经验!S31="","",INT(宠物经验!$B31*宠物经验!S31))</f>
        <v>72492</v>
      </c>
      <c r="T30" s="7">
        <f>IF(宠物经验!T31="","",INT(宠物经验!$B31*宠物经验!T31))</f>
        <v>0</v>
      </c>
      <c r="U30" s="7">
        <f>IF(宠物经验!U31="","",INT(宠物经验!$B31*宠物经验!U31))</f>
        <v>0</v>
      </c>
      <c r="V30" s="7">
        <f>IF(宠物经验!V31="","",INT(宠物经验!$B31*宠物经验!V31))</f>
        <v>48343</v>
      </c>
      <c r="W30" s="7" t="str">
        <f>IF(宠物经验!W31="","",INT(宠物经验!$B31*宠物经验!W31))</f>
        <v/>
      </c>
      <c r="X30" s="7" t="str">
        <f>IF(宠物经验!X31="","",INT(宠物经验!$B31*宠物经验!X31))</f>
        <v/>
      </c>
      <c r="Y30" s="7">
        <f>IF(宠物经验!Y31="","",INT(宠物经验!$B31*宠物经验!Y31))</f>
        <v>0</v>
      </c>
      <c r="Z30" s="7" t="str">
        <f>IF(宠物经验!Z31="","",INT(宠物经验!$B31*宠物经验!Z31))</f>
        <v/>
      </c>
      <c r="AA30" s="7">
        <f>IF(宠物经验!AA31="","",INT(宠物经验!$B31*宠物经验!AA31))</f>
        <v>0</v>
      </c>
      <c r="AB30" s="7" t="str">
        <f>IF(宠物经验!AB31="","",INT(宠物经验!$B31*宠物经验!AB31))</f>
        <v/>
      </c>
      <c r="AC30" s="7" t="str">
        <f>IF(宠物经验!AC31="","",INT(宠物经验!$B31*宠物经验!AC31))</f>
        <v/>
      </c>
      <c r="AD30" s="7" t="str">
        <f>IF(宠物经验!AD31="","",INT(宠物经验!$B31*宠物经验!AD31))</f>
        <v/>
      </c>
      <c r="AE30" s="7" t="str">
        <f>IF(宠物经验!AE31="","",INT(宠物经验!$B31*宠物经验!AE31))</f>
        <v/>
      </c>
      <c r="AF30" s="7">
        <f>宠物经验!AH31</f>
        <v>57820</v>
      </c>
      <c r="AG30" s="7">
        <f>宠物经验!AO31</f>
        <v>2417</v>
      </c>
    </row>
    <row r="31" spans="1:33">
      <c r="A31" s="32">
        <v>30</v>
      </c>
      <c r="B31" s="87">
        <f>宠物经验!B32</f>
        <v>150000</v>
      </c>
      <c r="C31" s="7">
        <f>IF(宠物经验!C32="","",INT(宠物经验!$B32*宠物经验!C32))</f>
        <v>149985</v>
      </c>
      <c r="D31" s="7">
        <f>IF(宠物经验!D32="","",INT(宠物经验!$B32*宠物经验!D32))</f>
        <v>165000</v>
      </c>
      <c r="E31" s="7" t="str">
        <f>IF(宠物经验!E32="","",INT(宠物经验!$B32*宠物经验!E32))</f>
        <v/>
      </c>
      <c r="F31" s="7">
        <f>IF(宠物经验!F32="","",INT(宠物经验!$B32*宠物经验!F32))</f>
        <v>0</v>
      </c>
      <c r="G31" s="7">
        <f>IF(宠物经验!G32="","",INT(宠物经验!$B32*宠物经验!G32))</f>
        <v>99990</v>
      </c>
      <c r="H31" s="7" t="str">
        <f>IF(宠物经验!H32="","",INT(宠物经验!$B32*宠物经验!H32))</f>
        <v/>
      </c>
      <c r="I31" s="7" t="str">
        <f>IF(宠物经验!I32="","",INT(宠物经验!$B32*宠物经验!I32))</f>
        <v/>
      </c>
      <c r="J31" s="7" t="str">
        <f>IF(宠物经验!J32="","",INT(宠物经验!$B32*宠物经验!J32))</f>
        <v/>
      </c>
      <c r="K31" s="7">
        <f>IF(宠物经验!K32="","",INT(宠物经验!$B32*宠物经验!K32))</f>
        <v>150000</v>
      </c>
      <c r="L31" s="7" t="str">
        <f>IF(宠物经验!L32="","",INT(宠物经验!$B32*宠物经验!L32))</f>
        <v/>
      </c>
      <c r="M31" s="7" t="str">
        <f>IF(宠物经验!M32="","",INT(宠物经验!$B32*宠物经验!M32))</f>
        <v/>
      </c>
      <c r="N31" s="7">
        <f>IF(宠物经验!N32="","",INT(宠物经验!$B32*宠物经验!N32))</f>
        <v>1800000</v>
      </c>
      <c r="O31" s="7" t="str">
        <f>IF(宠物经验!O32="","",INT(宠物经验!$B32*宠物经验!O32))</f>
        <v/>
      </c>
      <c r="P31" s="7" t="str">
        <f>IF(宠物经验!P32="","",INT(宠物经验!$B32*宠物经验!P32))</f>
        <v/>
      </c>
      <c r="Q31" s="7">
        <f>IF(宠物经验!Q32="","",INT(宠物经验!$B32*宠物经验!Q32))</f>
        <v>780000</v>
      </c>
      <c r="R31" s="7" t="str">
        <f>IF(宠物经验!R32="","",INT(宠物经验!$B32*宠物经验!R32))</f>
        <v/>
      </c>
      <c r="S31" s="7">
        <f>IF(宠物经验!S32="","",INT(宠物经验!$B32*宠物经验!S32))</f>
        <v>74992</v>
      </c>
      <c r="T31" s="7">
        <f>IF(宠物经验!T32="","",INT(宠物经验!$B32*宠物经验!T32))</f>
        <v>0</v>
      </c>
      <c r="U31" s="7">
        <f>IF(宠物经验!U32="","",INT(宠物经验!$B32*宠物经验!U32))</f>
        <v>0</v>
      </c>
      <c r="V31" s="7">
        <f>IF(宠物经验!V32="","",INT(宠物经验!$B32*宠物经验!V32))</f>
        <v>50010</v>
      </c>
      <c r="W31" s="7" t="str">
        <f>IF(宠物经验!W32="","",INT(宠物经验!$B32*宠物经验!W32))</f>
        <v/>
      </c>
      <c r="X31" s="7" t="str">
        <f>IF(宠物经验!X32="","",INT(宠物经验!$B32*宠物经验!X32))</f>
        <v/>
      </c>
      <c r="Y31" s="7">
        <f>IF(宠物经验!Y32="","",INT(宠物经验!$B32*宠物经验!Y32))</f>
        <v>0</v>
      </c>
      <c r="Z31" s="7" t="str">
        <f>IF(宠物经验!Z32="","",INT(宠物经验!$B32*宠物经验!Z32))</f>
        <v/>
      </c>
      <c r="AA31" s="7">
        <f>IF(宠物经验!AA32="","",INT(宠物经验!$B32*宠物经验!AA32))</f>
        <v>0</v>
      </c>
      <c r="AB31" s="7" t="str">
        <f>IF(宠物经验!AB32="","",INT(宠物经验!$B32*宠物经验!AB32))</f>
        <v/>
      </c>
      <c r="AC31" s="7" t="str">
        <f>IF(宠物经验!AC32="","",INT(宠物经验!$B32*宠物经验!AC32))</f>
        <v/>
      </c>
      <c r="AD31" s="7" t="str">
        <f>IF(宠物经验!AD32="","",INT(宠物经验!$B32*宠物经验!AD32))</f>
        <v/>
      </c>
      <c r="AE31" s="7" t="str">
        <f>IF(宠物经验!AE32="","",INT(宠物经验!$B32*宠物经验!AE32))</f>
        <v/>
      </c>
      <c r="AF31" s="7">
        <f>宠物经验!AH32</f>
        <v>61270</v>
      </c>
      <c r="AG31" s="7">
        <f>宠物经验!AO32</f>
        <v>2500</v>
      </c>
    </row>
    <row r="32" spans="1:33">
      <c r="A32" s="32">
        <v>31</v>
      </c>
      <c r="B32" s="87">
        <f>宠物经验!B33</f>
        <v>155000</v>
      </c>
      <c r="C32" s="7">
        <f>IF(宠物经验!C33="","",INT(宠物经验!$B33*宠物经验!C33))</f>
        <v>154984</v>
      </c>
      <c r="D32" s="7">
        <f>IF(宠物经验!D33="","",INT(宠物经验!$B33*宠物经验!D33))</f>
        <v>170500</v>
      </c>
      <c r="E32" s="7" t="str">
        <f>IF(宠物经验!E33="","",INT(宠物经验!$B33*宠物经验!E33))</f>
        <v/>
      </c>
      <c r="F32" s="7">
        <f>IF(宠物经验!F33="","",INT(宠物经验!$B33*宠物经验!F33))</f>
        <v>0</v>
      </c>
      <c r="G32" s="7">
        <f>IF(宠物经验!G33="","",INT(宠物经验!$B33*宠物经验!G33))</f>
        <v>103323</v>
      </c>
      <c r="H32" s="7" t="str">
        <f>IF(宠物经验!H33="","",INT(宠物经验!$B33*宠物经验!H33))</f>
        <v/>
      </c>
      <c r="I32" s="7" t="str">
        <f>IF(宠物经验!I33="","",INT(宠物经验!$B33*宠物经验!I33))</f>
        <v/>
      </c>
      <c r="J32" s="7" t="str">
        <f>IF(宠物经验!J33="","",INT(宠物经验!$B33*宠物经验!J33))</f>
        <v/>
      </c>
      <c r="K32" s="7">
        <f>IF(宠物经验!K33="","",INT(宠物经验!$B33*宠物经验!K33))</f>
        <v>155000</v>
      </c>
      <c r="L32" s="7" t="str">
        <f>IF(宠物经验!L33="","",INT(宠物经验!$B33*宠物经验!L33))</f>
        <v/>
      </c>
      <c r="M32" s="7" t="str">
        <f>IF(宠物经验!M33="","",INT(宠物经验!$B33*宠物经验!M33))</f>
        <v/>
      </c>
      <c r="N32" s="7">
        <f>IF(宠物经验!N33="","",INT(宠物经验!$B33*宠物经验!N33))</f>
        <v>1860000</v>
      </c>
      <c r="O32" s="7" t="str">
        <f>IF(宠物经验!O33="","",INT(宠物经验!$B33*宠物经验!O33))</f>
        <v/>
      </c>
      <c r="P32" s="7" t="str">
        <f>IF(宠物经验!P33="","",INT(宠物经验!$B33*宠物经验!P33))</f>
        <v/>
      </c>
      <c r="Q32" s="7">
        <f>IF(宠物经验!Q33="","",INT(宠物经验!$B33*宠物经验!Q33))</f>
        <v>806000</v>
      </c>
      <c r="R32" s="7" t="str">
        <f>IF(宠物经验!R33="","",INT(宠物经验!$B33*宠物经验!R33))</f>
        <v/>
      </c>
      <c r="S32" s="7">
        <f>IF(宠物经验!S33="","",INT(宠物经验!$B33*宠物经验!S33))</f>
        <v>77492</v>
      </c>
      <c r="T32" s="7">
        <f>IF(宠物经验!T33="","",INT(宠物经验!$B33*宠物经验!T33))</f>
        <v>0</v>
      </c>
      <c r="U32" s="7">
        <f>IF(宠物经验!U33="","",INT(宠物经验!$B33*宠物经验!U33))</f>
        <v>0</v>
      </c>
      <c r="V32" s="7">
        <f>IF(宠物经验!V33="","",INT(宠物经验!$B33*宠物经验!V33))</f>
        <v>51677</v>
      </c>
      <c r="W32" s="7" t="str">
        <f>IF(宠物经验!W33="","",INT(宠物经验!$B33*宠物经验!W33))</f>
        <v/>
      </c>
      <c r="X32" s="7" t="str">
        <f>IF(宠物经验!X33="","",INT(宠物经验!$B33*宠物经验!X33))</f>
        <v/>
      </c>
      <c r="Y32" s="7">
        <f>IF(宠物经验!Y33="","",INT(宠物经验!$B33*宠物经验!Y33))</f>
        <v>0</v>
      </c>
      <c r="Z32" s="7" t="str">
        <f>IF(宠物经验!Z33="","",INT(宠物经验!$B33*宠物经验!Z33))</f>
        <v/>
      </c>
      <c r="AA32" s="7">
        <f>IF(宠物经验!AA33="","",INT(宠物经验!$B33*宠物经验!AA33))</f>
        <v>0</v>
      </c>
      <c r="AB32" s="7" t="str">
        <f>IF(宠物经验!AB33="","",INT(宠物经验!$B33*宠物经验!AB33))</f>
        <v/>
      </c>
      <c r="AC32" s="7" t="str">
        <f>IF(宠物经验!AC33="","",INT(宠物经验!$B33*宠物经验!AC33))</f>
        <v/>
      </c>
      <c r="AD32" s="7" t="str">
        <f>IF(宠物经验!AD33="","",INT(宠物经验!$B33*宠物经验!AD33))</f>
        <v/>
      </c>
      <c r="AE32" s="7" t="str">
        <f>IF(宠物经验!AE33="","",INT(宠物经验!$B33*宠物经验!AE33))</f>
        <v/>
      </c>
      <c r="AF32" s="7">
        <f>宠物经验!AH33</f>
        <v>64820</v>
      </c>
      <c r="AG32" s="7">
        <f>宠物经验!AO33</f>
        <v>2583</v>
      </c>
    </row>
    <row r="33" spans="1:33">
      <c r="A33" s="32">
        <v>32</v>
      </c>
      <c r="B33" s="87">
        <f>宠物经验!B34</f>
        <v>160000</v>
      </c>
      <c r="C33" s="7">
        <f>IF(宠物经验!C34="","",INT(宠物经验!$B34*宠物经验!C34))</f>
        <v>159984</v>
      </c>
      <c r="D33" s="7">
        <f>IF(宠物经验!D34="","",INT(宠物经验!$B34*宠物经验!D34))</f>
        <v>176000</v>
      </c>
      <c r="E33" s="7" t="str">
        <f>IF(宠物经验!E34="","",INT(宠物经验!$B34*宠物经验!E34))</f>
        <v/>
      </c>
      <c r="F33" s="7">
        <f>IF(宠物经验!F34="","",INT(宠物经验!$B34*宠物经验!F34))</f>
        <v>0</v>
      </c>
      <c r="G33" s="7">
        <f>IF(宠物经验!G34="","",INT(宠物经验!$B34*宠物经验!G34))</f>
        <v>106656</v>
      </c>
      <c r="H33" s="7" t="str">
        <f>IF(宠物经验!H34="","",INT(宠物经验!$B34*宠物经验!H34))</f>
        <v/>
      </c>
      <c r="I33" s="7" t="str">
        <f>IF(宠物经验!I34="","",INT(宠物经验!$B34*宠物经验!I34))</f>
        <v/>
      </c>
      <c r="J33" s="7" t="str">
        <f>IF(宠物经验!J34="","",INT(宠物经验!$B34*宠物经验!J34))</f>
        <v/>
      </c>
      <c r="K33" s="7">
        <f>IF(宠物经验!K34="","",INT(宠物经验!$B34*宠物经验!K34))</f>
        <v>160000</v>
      </c>
      <c r="L33" s="7" t="str">
        <f>IF(宠物经验!L34="","",INT(宠物经验!$B34*宠物经验!L34))</f>
        <v/>
      </c>
      <c r="M33" s="7" t="str">
        <f>IF(宠物经验!M34="","",INT(宠物经验!$B34*宠物经验!M34))</f>
        <v/>
      </c>
      <c r="N33" s="7">
        <f>IF(宠物经验!N34="","",INT(宠物经验!$B34*宠物经验!N34))</f>
        <v>1920000</v>
      </c>
      <c r="O33" s="7" t="str">
        <f>IF(宠物经验!O34="","",INT(宠物经验!$B34*宠物经验!O34))</f>
        <v/>
      </c>
      <c r="P33" s="7" t="str">
        <f>IF(宠物经验!P34="","",INT(宠物经验!$B34*宠物经验!P34))</f>
        <v/>
      </c>
      <c r="Q33" s="7">
        <f>IF(宠物经验!Q34="","",INT(宠物经验!$B34*宠物经验!Q34))</f>
        <v>832000</v>
      </c>
      <c r="R33" s="7" t="str">
        <f>IF(宠物经验!R34="","",INT(宠物经验!$B34*宠物经验!R34))</f>
        <v/>
      </c>
      <c r="S33" s="7">
        <f>IF(宠物经验!S34="","",INT(宠物经验!$B34*宠物经验!S34))</f>
        <v>79992</v>
      </c>
      <c r="T33" s="7">
        <f>IF(宠物经验!T34="","",INT(宠物经验!$B34*宠物经验!T34))</f>
        <v>0</v>
      </c>
      <c r="U33" s="7">
        <f>IF(宠物经验!U34="","",INT(宠物经验!$B34*宠物经验!U34))</f>
        <v>0</v>
      </c>
      <c r="V33" s="7">
        <f>IF(宠物经验!V34="","",INT(宠物经验!$B34*宠物经验!V34))</f>
        <v>53344</v>
      </c>
      <c r="W33" s="7" t="str">
        <f>IF(宠物经验!W34="","",INT(宠物经验!$B34*宠物经验!W34))</f>
        <v/>
      </c>
      <c r="X33" s="7" t="str">
        <f>IF(宠物经验!X34="","",INT(宠物经验!$B34*宠物经验!X34))</f>
        <v/>
      </c>
      <c r="Y33" s="7">
        <f>IF(宠物经验!Y34="","",INT(宠物经验!$B34*宠物经验!Y34))</f>
        <v>0</v>
      </c>
      <c r="Z33" s="7" t="str">
        <f>IF(宠物经验!Z34="","",INT(宠物经验!$B34*宠物经验!Z34))</f>
        <v/>
      </c>
      <c r="AA33" s="7">
        <f>IF(宠物经验!AA34="","",INT(宠物经验!$B34*宠物经验!AA34))</f>
        <v>0</v>
      </c>
      <c r="AB33" s="7" t="str">
        <f>IF(宠物经验!AB34="","",INT(宠物经验!$B34*宠物经验!AB34))</f>
        <v/>
      </c>
      <c r="AC33" s="7" t="str">
        <f>IF(宠物经验!AC34="","",INT(宠物经验!$B34*宠物经验!AC34))</f>
        <v/>
      </c>
      <c r="AD33" s="7" t="str">
        <f>IF(宠物经验!AD34="","",INT(宠物经验!$B34*宠物经验!AD34))</f>
        <v/>
      </c>
      <c r="AE33" s="7" t="str">
        <f>IF(宠物经验!AE34="","",INT(宠物经验!$B34*宠物经验!AE34))</f>
        <v/>
      </c>
      <c r="AF33" s="7">
        <f>宠物经验!AH34</f>
        <v>68470</v>
      </c>
      <c r="AG33" s="7">
        <f>宠物经验!AO34</f>
        <v>2667</v>
      </c>
    </row>
    <row r="34" spans="1:33">
      <c r="A34" s="32">
        <v>33</v>
      </c>
      <c r="B34" s="87">
        <f>宠物经验!B35</f>
        <v>165000</v>
      </c>
      <c r="C34" s="7">
        <f>IF(宠物经验!C35="","",INT(宠物经验!$B35*宠物经验!C35))</f>
        <v>164983</v>
      </c>
      <c r="D34" s="7">
        <f>IF(宠物经验!D35="","",INT(宠物经验!$B35*宠物经验!D35))</f>
        <v>181500</v>
      </c>
      <c r="E34" s="7" t="str">
        <f>IF(宠物经验!E35="","",INT(宠物经验!$B35*宠物经验!E35))</f>
        <v/>
      </c>
      <c r="F34" s="7">
        <f>IF(宠物经验!F35="","",INT(宠物经验!$B35*宠物经验!F35))</f>
        <v>0</v>
      </c>
      <c r="G34" s="7">
        <f>IF(宠物经验!G35="","",INT(宠物经验!$B35*宠物经验!G35))</f>
        <v>109989</v>
      </c>
      <c r="H34" s="7" t="str">
        <f>IF(宠物经验!H35="","",INT(宠物经验!$B35*宠物经验!H35))</f>
        <v/>
      </c>
      <c r="I34" s="7" t="str">
        <f>IF(宠物经验!I35="","",INT(宠物经验!$B35*宠物经验!I35))</f>
        <v/>
      </c>
      <c r="J34" s="7" t="str">
        <f>IF(宠物经验!J35="","",INT(宠物经验!$B35*宠物经验!J35))</f>
        <v/>
      </c>
      <c r="K34" s="7">
        <f>IF(宠物经验!K35="","",INT(宠物经验!$B35*宠物经验!K35))</f>
        <v>165000</v>
      </c>
      <c r="L34" s="7" t="str">
        <f>IF(宠物经验!L35="","",INT(宠物经验!$B35*宠物经验!L35))</f>
        <v/>
      </c>
      <c r="M34" s="7" t="str">
        <f>IF(宠物经验!M35="","",INT(宠物经验!$B35*宠物经验!M35))</f>
        <v/>
      </c>
      <c r="N34" s="7">
        <f>IF(宠物经验!N35="","",INT(宠物经验!$B35*宠物经验!N35))</f>
        <v>1980000</v>
      </c>
      <c r="O34" s="7" t="str">
        <f>IF(宠物经验!O35="","",INT(宠物经验!$B35*宠物经验!O35))</f>
        <v/>
      </c>
      <c r="P34" s="7" t="str">
        <f>IF(宠物经验!P35="","",INT(宠物经验!$B35*宠物经验!P35))</f>
        <v/>
      </c>
      <c r="Q34" s="7">
        <f>IF(宠物经验!Q35="","",INT(宠物经验!$B35*宠物经验!Q35))</f>
        <v>858000</v>
      </c>
      <c r="R34" s="7" t="str">
        <f>IF(宠物经验!R35="","",INT(宠物经验!$B35*宠物经验!R35))</f>
        <v/>
      </c>
      <c r="S34" s="7">
        <f>IF(宠物经验!S35="","",INT(宠物经验!$B35*宠物经验!S35))</f>
        <v>82491</v>
      </c>
      <c r="T34" s="7">
        <f>IF(宠物经验!T35="","",INT(宠物经验!$B35*宠物经验!T35))</f>
        <v>0</v>
      </c>
      <c r="U34" s="7">
        <f>IF(宠物经验!U35="","",INT(宠物经验!$B35*宠物经验!U35))</f>
        <v>0</v>
      </c>
      <c r="V34" s="7">
        <f>IF(宠物经验!V35="","",INT(宠物经验!$B35*宠物经验!V35))</f>
        <v>55011</v>
      </c>
      <c r="W34" s="7" t="str">
        <f>IF(宠物经验!W35="","",INT(宠物经验!$B35*宠物经验!W35))</f>
        <v/>
      </c>
      <c r="X34" s="7" t="str">
        <f>IF(宠物经验!X35="","",INT(宠物经验!$B35*宠物经验!X35))</f>
        <v/>
      </c>
      <c r="Y34" s="7">
        <f>IF(宠物经验!Y35="","",INT(宠物经验!$B35*宠物经验!Y35))</f>
        <v>0</v>
      </c>
      <c r="Z34" s="7" t="str">
        <f>IF(宠物经验!Z35="","",INT(宠物经验!$B35*宠物经验!Z35))</f>
        <v/>
      </c>
      <c r="AA34" s="7">
        <f>IF(宠物经验!AA35="","",INT(宠物经验!$B35*宠物经验!AA35))</f>
        <v>0</v>
      </c>
      <c r="AB34" s="7" t="str">
        <f>IF(宠物经验!AB35="","",INT(宠物经验!$B35*宠物经验!AB35))</f>
        <v/>
      </c>
      <c r="AC34" s="7" t="str">
        <f>IF(宠物经验!AC35="","",INT(宠物经验!$B35*宠物经验!AC35))</f>
        <v/>
      </c>
      <c r="AD34" s="7" t="str">
        <f>IF(宠物经验!AD35="","",INT(宠物经验!$B35*宠物经验!AD35))</f>
        <v/>
      </c>
      <c r="AE34" s="7" t="str">
        <f>IF(宠物经验!AE35="","",INT(宠物经验!$B35*宠物经验!AE35))</f>
        <v/>
      </c>
      <c r="AF34" s="7">
        <f>宠物经验!AH35</f>
        <v>72220</v>
      </c>
      <c r="AG34" s="7">
        <f>宠物经验!AO35</f>
        <v>2750</v>
      </c>
    </row>
    <row r="35" spans="1:33">
      <c r="A35" s="32">
        <v>34</v>
      </c>
      <c r="B35" s="87">
        <f>宠物经验!B36</f>
        <v>170000</v>
      </c>
      <c r="C35" s="7">
        <f>IF(宠物经验!C36="","",INT(宠物经验!$B36*宠物经验!C36))</f>
        <v>169983</v>
      </c>
      <c r="D35" s="7">
        <f>IF(宠物经验!D36="","",INT(宠物经验!$B36*宠物经验!D36))</f>
        <v>187000</v>
      </c>
      <c r="E35" s="7" t="str">
        <f>IF(宠物经验!E36="","",INT(宠物经验!$B36*宠物经验!E36))</f>
        <v/>
      </c>
      <c r="F35" s="7">
        <f>IF(宠物经验!F36="","",INT(宠物经验!$B36*宠物经验!F36))</f>
        <v>0</v>
      </c>
      <c r="G35" s="7">
        <f>IF(宠物经验!G36="","",INT(宠物经验!$B36*宠物经验!G36))</f>
        <v>113322</v>
      </c>
      <c r="H35" s="7" t="str">
        <f>IF(宠物经验!H36="","",INT(宠物经验!$B36*宠物经验!H36))</f>
        <v/>
      </c>
      <c r="I35" s="7" t="str">
        <f>IF(宠物经验!I36="","",INT(宠物经验!$B36*宠物经验!I36))</f>
        <v/>
      </c>
      <c r="J35" s="7" t="str">
        <f>IF(宠物经验!J36="","",INT(宠物经验!$B36*宠物经验!J36))</f>
        <v/>
      </c>
      <c r="K35" s="7">
        <f>IF(宠物经验!K36="","",INT(宠物经验!$B36*宠物经验!K36))</f>
        <v>170000</v>
      </c>
      <c r="L35" s="7" t="str">
        <f>IF(宠物经验!L36="","",INT(宠物经验!$B36*宠物经验!L36))</f>
        <v/>
      </c>
      <c r="M35" s="7" t="str">
        <f>IF(宠物经验!M36="","",INT(宠物经验!$B36*宠物经验!M36))</f>
        <v/>
      </c>
      <c r="N35" s="7">
        <f>IF(宠物经验!N36="","",INT(宠物经验!$B36*宠物经验!N36))</f>
        <v>2040000</v>
      </c>
      <c r="O35" s="7" t="str">
        <f>IF(宠物经验!O36="","",INT(宠物经验!$B36*宠物经验!O36))</f>
        <v/>
      </c>
      <c r="P35" s="7" t="str">
        <f>IF(宠物经验!P36="","",INT(宠物经验!$B36*宠物经验!P36))</f>
        <v/>
      </c>
      <c r="Q35" s="7">
        <f>IF(宠物经验!Q36="","",INT(宠物经验!$B36*宠物经验!Q36))</f>
        <v>884000</v>
      </c>
      <c r="R35" s="7" t="str">
        <f>IF(宠物经验!R36="","",INT(宠物经验!$B36*宠物经验!R36))</f>
        <v/>
      </c>
      <c r="S35" s="7">
        <f>IF(宠物经验!S36="","",INT(宠物经验!$B36*宠物经验!S36))</f>
        <v>84991</v>
      </c>
      <c r="T35" s="7">
        <f>IF(宠物经验!T36="","",INT(宠物经验!$B36*宠物经验!T36))</f>
        <v>0</v>
      </c>
      <c r="U35" s="7">
        <f>IF(宠物经验!U36="","",INT(宠物经验!$B36*宠物经验!U36))</f>
        <v>0</v>
      </c>
      <c r="V35" s="7">
        <f>IF(宠物经验!V36="","",INT(宠物经验!$B36*宠物经验!V36))</f>
        <v>56678</v>
      </c>
      <c r="W35" s="7" t="str">
        <f>IF(宠物经验!W36="","",INT(宠物经验!$B36*宠物经验!W36))</f>
        <v/>
      </c>
      <c r="X35" s="7" t="str">
        <f>IF(宠物经验!X36="","",INT(宠物经验!$B36*宠物经验!X36))</f>
        <v/>
      </c>
      <c r="Y35" s="7">
        <f>IF(宠物经验!Y36="","",INT(宠物经验!$B36*宠物经验!Y36))</f>
        <v>0</v>
      </c>
      <c r="Z35" s="7" t="str">
        <f>IF(宠物经验!Z36="","",INT(宠物经验!$B36*宠物经验!Z36))</f>
        <v/>
      </c>
      <c r="AA35" s="7">
        <f>IF(宠物经验!AA36="","",INT(宠物经验!$B36*宠物经验!AA36))</f>
        <v>0</v>
      </c>
      <c r="AB35" s="7" t="str">
        <f>IF(宠物经验!AB36="","",INT(宠物经验!$B36*宠物经验!AB36))</f>
        <v/>
      </c>
      <c r="AC35" s="7" t="str">
        <f>IF(宠物经验!AC36="","",INT(宠物经验!$B36*宠物经验!AC36))</f>
        <v/>
      </c>
      <c r="AD35" s="7" t="str">
        <f>IF(宠物经验!AD36="","",INT(宠物经验!$B36*宠物经验!AD36))</f>
        <v/>
      </c>
      <c r="AE35" s="7" t="str">
        <f>IF(宠物经验!AE36="","",INT(宠物经验!$B36*宠物经验!AE36))</f>
        <v/>
      </c>
      <c r="AF35" s="7">
        <f>宠物经验!AH36</f>
        <v>76070</v>
      </c>
      <c r="AG35" s="7">
        <f>宠物经验!AO36</f>
        <v>2833</v>
      </c>
    </row>
    <row r="36" spans="1:33">
      <c r="A36" s="32">
        <v>35</v>
      </c>
      <c r="B36" s="87">
        <f>宠物经验!B37</f>
        <v>175000</v>
      </c>
      <c r="C36" s="7">
        <f>IF(宠物经验!C37="","",INT(宠物经验!$B37*宠物经验!C37))</f>
        <v>174982</v>
      </c>
      <c r="D36" s="7">
        <f>IF(宠物经验!D37="","",INT(宠物经验!$B37*宠物经验!D37))</f>
        <v>192500</v>
      </c>
      <c r="E36" s="7" t="str">
        <f>IF(宠物经验!E37="","",INT(宠物经验!$B37*宠物经验!E37))</f>
        <v/>
      </c>
      <c r="F36" s="7">
        <f>IF(宠物经验!F37="","",INT(宠物经验!$B37*宠物经验!F37))</f>
        <v>0</v>
      </c>
      <c r="G36" s="7">
        <f>IF(宠物经验!G37="","",INT(宠物经验!$B37*宠物经验!G37))</f>
        <v>116655</v>
      </c>
      <c r="H36" s="7" t="str">
        <f>IF(宠物经验!H37="","",INT(宠物经验!$B37*宠物经验!H37))</f>
        <v/>
      </c>
      <c r="I36" s="7" t="str">
        <f>IF(宠物经验!I37="","",INT(宠物经验!$B37*宠物经验!I37))</f>
        <v/>
      </c>
      <c r="J36" s="7" t="str">
        <f>IF(宠物经验!J37="","",INT(宠物经验!$B37*宠物经验!J37))</f>
        <v/>
      </c>
      <c r="K36" s="7">
        <f>IF(宠物经验!K37="","",INT(宠物经验!$B37*宠物经验!K37))</f>
        <v>175000</v>
      </c>
      <c r="L36" s="7" t="str">
        <f>IF(宠物经验!L37="","",INT(宠物经验!$B37*宠物经验!L37))</f>
        <v/>
      </c>
      <c r="M36" s="7" t="str">
        <f>IF(宠物经验!M37="","",INT(宠物经验!$B37*宠物经验!M37))</f>
        <v/>
      </c>
      <c r="N36" s="7">
        <f>IF(宠物经验!N37="","",INT(宠物经验!$B37*宠物经验!N37))</f>
        <v>2100000</v>
      </c>
      <c r="O36" s="7" t="str">
        <f>IF(宠物经验!O37="","",INT(宠物经验!$B37*宠物经验!O37))</f>
        <v/>
      </c>
      <c r="P36" s="7" t="str">
        <f>IF(宠物经验!P37="","",INT(宠物经验!$B37*宠物经验!P37))</f>
        <v/>
      </c>
      <c r="Q36" s="7">
        <f>IF(宠物经验!Q37="","",INT(宠物经验!$B37*宠物经验!Q37))</f>
        <v>910000</v>
      </c>
      <c r="R36" s="7" t="str">
        <f>IF(宠物经验!R37="","",INT(宠物经验!$B37*宠物经验!R37))</f>
        <v/>
      </c>
      <c r="S36" s="7">
        <f>IF(宠物经验!S37="","",INT(宠物经验!$B37*宠物经验!S37))</f>
        <v>87491</v>
      </c>
      <c r="T36" s="7">
        <f>IF(宠物经验!T37="","",INT(宠物经验!$B37*宠物经验!T37))</f>
        <v>131250</v>
      </c>
      <c r="U36" s="7">
        <f>IF(宠物经验!U37="","",INT(宠物经验!$B37*宠物经验!U37))</f>
        <v>0</v>
      </c>
      <c r="V36" s="7">
        <f>IF(宠物经验!V37="","",INT(宠物经验!$B37*宠物经验!V37))</f>
        <v>58345</v>
      </c>
      <c r="W36" s="7" t="str">
        <f>IF(宠物经验!W37="","",INT(宠物经验!$B37*宠物经验!W37))</f>
        <v/>
      </c>
      <c r="X36" s="7" t="str">
        <f>IF(宠物经验!X37="","",INT(宠物经验!$B37*宠物经验!X37))</f>
        <v/>
      </c>
      <c r="Y36" s="7">
        <f>IF(宠物经验!Y37="","",INT(宠物经验!$B37*宠物经验!Y37))</f>
        <v>0</v>
      </c>
      <c r="Z36" s="7" t="str">
        <f>IF(宠物经验!Z37="","",INT(宠物经验!$B37*宠物经验!Z37))</f>
        <v/>
      </c>
      <c r="AA36" s="7">
        <f>IF(宠物经验!AA37="","",INT(宠物经验!$B37*宠物经验!AA37))</f>
        <v>0</v>
      </c>
      <c r="AB36" s="7" t="str">
        <f>IF(宠物经验!AB37="","",INT(宠物经验!$B37*宠物经验!AB37))</f>
        <v/>
      </c>
      <c r="AC36" s="7" t="str">
        <f>IF(宠物经验!AC37="","",INT(宠物经验!$B37*宠物经验!AC37))</f>
        <v/>
      </c>
      <c r="AD36" s="7" t="str">
        <f>IF(宠物经验!AD37="","",INT(宠物经验!$B37*宠物经验!AD37))</f>
        <v/>
      </c>
      <c r="AE36" s="7" t="str">
        <f>IF(宠物经验!AE37="","",INT(宠物经验!$B37*宠物经验!AE37))</f>
        <v/>
      </c>
      <c r="AF36" s="7">
        <f>宠物经验!AH37</f>
        <v>80020</v>
      </c>
      <c r="AG36" s="7">
        <f>宠物经验!AO37</f>
        <v>2917</v>
      </c>
    </row>
    <row r="37" spans="1:33">
      <c r="A37" s="32">
        <v>36</v>
      </c>
      <c r="B37" s="87">
        <f>宠物经验!B38</f>
        <v>180000</v>
      </c>
      <c r="C37" s="7">
        <f>IF(宠物经验!C38="","",INT(宠物经验!$B38*宠物经验!C38))</f>
        <v>179982</v>
      </c>
      <c r="D37" s="7">
        <f>IF(宠物经验!D38="","",INT(宠物经验!$B38*宠物经验!D38))</f>
        <v>198000</v>
      </c>
      <c r="E37" s="7" t="str">
        <f>IF(宠物经验!E38="","",INT(宠物经验!$B38*宠物经验!E38))</f>
        <v/>
      </c>
      <c r="F37" s="7">
        <f>IF(宠物经验!F38="","",INT(宠物经验!$B38*宠物经验!F38))</f>
        <v>0</v>
      </c>
      <c r="G37" s="7">
        <f>IF(宠物经验!G38="","",INT(宠物经验!$B38*宠物经验!G38))</f>
        <v>119988</v>
      </c>
      <c r="H37" s="7" t="str">
        <f>IF(宠物经验!H38="","",INT(宠物经验!$B38*宠物经验!H38))</f>
        <v/>
      </c>
      <c r="I37" s="7" t="str">
        <f>IF(宠物经验!I38="","",INT(宠物经验!$B38*宠物经验!I38))</f>
        <v/>
      </c>
      <c r="J37" s="7" t="str">
        <f>IF(宠物经验!J38="","",INT(宠物经验!$B38*宠物经验!J38))</f>
        <v/>
      </c>
      <c r="K37" s="7">
        <f>IF(宠物经验!K38="","",INT(宠物经验!$B38*宠物经验!K38))</f>
        <v>180000</v>
      </c>
      <c r="L37" s="7" t="str">
        <f>IF(宠物经验!L38="","",INT(宠物经验!$B38*宠物经验!L38))</f>
        <v/>
      </c>
      <c r="M37" s="7" t="str">
        <f>IF(宠物经验!M38="","",INT(宠物经验!$B38*宠物经验!M38))</f>
        <v/>
      </c>
      <c r="N37" s="7">
        <f>IF(宠物经验!N38="","",INT(宠物经验!$B38*宠物经验!N38))</f>
        <v>2160000</v>
      </c>
      <c r="O37" s="7" t="str">
        <f>IF(宠物经验!O38="","",INT(宠物经验!$B38*宠物经验!O38))</f>
        <v/>
      </c>
      <c r="P37" s="7" t="str">
        <f>IF(宠物经验!P38="","",INT(宠物经验!$B38*宠物经验!P38))</f>
        <v/>
      </c>
      <c r="Q37" s="7">
        <f>IF(宠物经验!Q38="","",INT(宠物经验!$B38*宠物经验!Q38))</f>
        <v>936000</v>
      </c>
      <c r="R37" s="7" t="str">
        <f>IF(宠物经验!R38="","",INT(宠物经验!$B38*宠物经验!R38))</f>
        <v/>
      </c>
      <c r="S37" s="7">
        <f>IF(宠物经验!S38="","",INT(宠物经验!$B38*宠物经验!S38))</f>
        <v>89991</v>
      </c>
      <c r="T37" s="7">
        <f>IF(宠物经验!T38="","",INT(宠物经验!$B38*宠物经验!T38))</f>
        <v>135000</v>
      </c>
      <c r="U37" s="7">
        <f>IF(宠物经验!U38="","",INT(宠物经验!$B38*宠物经验!U38))</f>
        <v>0</v>
      </c>
      <c r="V37" s="7">
        <f>IF(宠物经验!V38="","",INT(宠物经验!$B38*宠物经验!V38))</f>
        <v>60012</v>
      </c>
      <c r="W37" s="7" t="str">
        <f>IF(宠物经验!W38="","",INT(宠物经验!$B38*宠物经验!W38))</f>
        <v/>
      </c>
      <c r="X37" s="7" t="str">
        <f>IF(宠物经验!X38="","",INT(宠物经验!$B38*宠物经验!X38))</f>
        <v/>
      </c>
      <c r="Y37" s="7">
        <f>IF(宠物经验!Y38="","",INT(宠物经验!$B38*宠物经验!Y38))</f>
        <v>0</v>
      </c>
      <c r="Z37" s="7" t="str">
        <f>IF(宠物经验!Z38="","",INT(宠物经验!$B38*宠物经验!Z38))</f>
        <v/>
      </c>
      <c r="AA37" s="7">
        <f>IF(宠物经验!AA38="","",INT(宠物经验!$B38*宠物经验!AA38))</f>
        <v>0</v>
      </c>
      <c r="AB37" s="7" t="str">
        <f>IF(宠物经验!AB38="","",INT(宠物经验!$B38*宠物经验!AB38))</f>
        <v/>
      </c>
      <c r="AC37" s="7" t="str">
        <f>IF(宠物经验!AC38="","",INT(宠物经验!$B38*宠物经验!AC38))</f>
        <v/>
      </c>
      <c r="AD37" s="7" t="str">
        <f>IF(宠物经验!AD38="","",INT(宠物经验!$B38*宠物经验!AD38))</f>
        <v/>
      </c>
      <c r="AE37" s="7" t="str">
        <f>IF(宠物经验!AE38="","",INT(宠物经验!$B38*宠物经验!AE38))</f>
        <v/>
      </c>
      <c r="AF37" s="7">
        <f>宠物经验!AH38</f>
        <v>84070</v>
      </c>
      <c r="AG37" s="7">
        <f>宠物经验!AO38</f>
        <v>3000</v>
      </c>
    </row>
    <row r="38" spans="1:33">
      <c r="A38" s="32">
        <v>37</v>
      </c>
      <c r="B38" s="87">
        <f>宠物经验!B39</f>
        <v>185000</v>
      </c>
      <c r="C38" s="7">
        <f>IF(宠物经验!C39="","",INT(宠物经验!$B39*宠物经验!C39))</f>
        <v>184981</v>
      </c>
      <c r="D38" s="7">
        <f>IF(宠物经验!D39="","",INT(宠物经验!$B39*宠物经验!D39))</f>
        <v>203500</v>
      </c>
      <c r="E38" s="7" t="str">
        <f>IF(宠物经验!E39="","",INT(宠物经验!$B39*宠物经验!E39))</f>
        <v/>
      </c>
      <c r="F38" s="7">
        <f>IF(宠物经验!F39="","",INT(宠物经验!$B39*宠物经验!F39))</f>
        <v>0</v>
      </c>
      <c r="G38" s="7">
        <f>IF(宠物经验!G39="","",INT(宠物经验!$B39*宠物经验!G39))</f>
        <v>123321</v>
      </c>
      <c r="H38" s="7" t="str">
        <f>IF(宠物经验!H39="","",INT(宠物经验!$B39*宠物经验!H39))</f>
        <v/>
      </c>
      <c r="I38" s="7" t="str">
        <f>IF(宠物经验!I39="","",INT(宠物经验!$B39*宠物经验!I39))</f>
        <v/>
      </c>
      <c r="J38" s="7" t="str">
        <f>IF(宠物经验!J39="","",INT(宠物经验!$B39*宠物经验!J39))</f>
        <v/>
      </c>
      <c r="K38" s="7">
        <f>IF(宠物经验!K39="","",INT(宠物经验!$B39*宠物经验!K39))</f>
        <v>185000</v>
      </c>
      <c r="L38" s="7" t="str">
        <f>IF(宠物经验!L39="","",INT(宠物经验!$B39*宠物经验!L39))</f>
        <v/>
      </c>
      <c r="M38" s="7" t="str">
        <f>IF(宠物经验!M39="","",INT(宠物经验!$B39*宠物经验!M39))</f>
        <v/>
      </c>
      <c r="N38" s="7">
        <f>IF(宠物经验!N39="","",INT(宠物经验!$B39*宠物经验!N39))</f>
        <v>2220000</v>
      </c>
      <c r="O38" s="7" t="str">
        <f>IF(宠物经验!O39="","",INT(宠物经验!$B39*宠物经验!O39))</f>
        <v/>
      </c>
      <c r="P38" s="7" t="str">
        <f>IF(宠物经验!P39="","",INT(宠物经验!$B39*宠物经验!P39))</f>
        <v/>
      </c>
      <c r="Q38" s="7">
        <f>IF(宠物经验!Q39="","",INT(宠物经验!$B39*宠物经验!Q39))</f>
        <v>962000</v>
      </c>
      <c r="R38" s="7" t="str">
        <f>IF(宠物经验!R39="","",INT(宠物经验!$B39*宠物经验!R39))</f>
        <v/>
      </c>
      <c r="S38" s="7">
        <f>IF(宠物经验!S39="","",INT(宠物经验!$B39*宠物经验!S39))</f>
        <v>92490</v>
      </c>
      <c r="T38" s="7">
        <f>IF(宠物经验!T39="","",INT(宠物经验!$B39*宠物经验!T39))</f>
        <v>138750</v>
      </c>
      <c r="U38" s="7">
        <f>IF(宠物经验!U39="","",INT(宠物经验!$B39*宠物经验!U39))</f>
        <v>0</v>
      </c>
      <c r="V38" s="7">
        <f>IF(宠物经验!V39="","",INT(宠物经验!$B39*宠物经验!V39))</f>
        <v>61679</v>
      </c>
      <c r="W38" s="7" t="str">
        <f>IF(宠物经验!W39="","",INT(宠物经验!$B39*宠物经验!W39))</f>
        <v/>
      </c>
      <c r="X38" s="7" t="str">
        <f>IF(宠物经验!X39="","",INT(宠物经验!$B39*宠物经验!X39))</f>
        <v/>
      </c>
      <c r="Y38" s="7">
        <f>IF(宠物经验!Y39="","",INT(宠物经验!$B39*宠物经验!Y39))</f>
        <v>0</v>
      </c>
      <c r="Z38" s="7" t="str">
        <f>IF(宠物经验!Z39="","",INT(宠物经验!$B39*宠物经验!Z39))</f>
        <v/>
      </c>
      <c r="AA38" s="7">
        <f>IF(宠物经验!AA39="","",INT(宠物经验!$B39*宠物经验!AA39))</f>
        <v>0</v>
      </c>
      <c r="AB38" s="7" t="str">
        <f>IF(宠物经验!AB39="","",INT(宠物经验!$B39*宠物经验!AB39))</f>
        <v/>
      </c>
      <c r="AC38" s="7" t="str">
        <f>IF(宠物经验!AC39="","",INT(宠物经验!$B39*宠物经验!AC39))</f>
        <v/>
      </c>
      <c r="AD38" s="7" t="str">
        <f>IF(宠物经验!AD39="","",INT(宠物经验!$B39*宠物经验!AD39))</f>
        <v/>
      </c>
      <c r="AE38" s="7" t="str">
        <f>IF(宠物经验!AE39="","",INT(宠物经验!$B39*宠物经验!AE39))</f>
        <v/>
      </c>
      <c r="AF38" s="7">
        <f>宠物经验!AH39</f>
        <v>88220</v>
      </c>
      <c r="AG38" s="7">
        <f>宠物经验!AO39</f>
        <v>3083</v>
      </c>
    </row>
    <row r="39" spans="1:33">
      <c r="A39" s="32">
        <v>38</v>
      </c>
      <c r="B39" s="87">
        <f>宠物经验!B40</f>
        <v>190000</v>
      </c>
      <c r="C39" s="7">
        <f>IF(宠物经验!C40="","",INT(宠物经验!$B40*宠物经验!C40))</f>
        <v>189981</v>
      </c>
      <c r="D39" s="7">
        <f>IF(宠物经验!D40="","",INT(宠物经验!$B40*宠物经验!D40))</f>
        <v>209000</v>
      </c>
      <c r="E39" s="7" t="str">
        <f>IF(宠物经验!E40="","",INT(宠物经验!$B40*宠物经验!E40))</f>
        <v/>
      </c>
      <c r="F39" s="7">
        <f>IF(宠物经验!F40="","",INT(宠物经验!$B40*宠物经验!F40))</f>
        <v>0</v>
      </c>
      <c r="G39" s="7">
        <f>IF(宠物经验!G40="","",INT(宠物经验!$B40*宠物经验!G40))</f>
        <v>126654</v>
      </c>
      <c r="H39" s="7" t="str">
        <f>IF(宠物经验!H40="","",INT(宠物经验!$B40*宠物经验!H40))</f>
        <v/>
      </c>
      <c r="I39" s="7" t="str">
        <f>IF(宠物经验!I40="","",INT(宠物经验!$B40*宠物经验!I40))</f>
        <v/>
      </c>
      <c r="J39" s="7" t="str">
        <f>IF(宠物经验!J40="","",INT(宠物经验!$B40*宠物经验!J40))</f>
        <v/>
      </c>
      <c r="K39" s="7">
        <f>IF(宠物经验!K40="","",INT(宠物经验!$B40*宠物经验!K40))</f>
        <v>190000</v>
      </c>
      <c r="L39" s="7" t="str">
        <f>IF(宠物经验!L40="","",INT(宠物经验!$B40*宠物经验!L40))</f>
        <v/>
      </c>
      <c r="M39" s="7" t="str">
        <f>IF(宠物经验!M40="","",INT(宠物经验!$B40*宠物经验!M40))</f>
        <v/>
      </c>
      <c r="N39" s="7">
        <f>IF(宠物经验!N40="","",INT(宠物经验!$B40*宠物经验!N40))</f>
        <v>2280000</v>
      </c>
      <c r="O39" s="7" t="str">
        <f>IF(宠物经验!O40="","",INT(宠物经验!$B40*宠物经验!O40))</f>
        <v/>
      </c>
      <c r="P39" s="7" t="str">
        <f>IF(宠物经验!P40="","",INT(宠物经验!$B40*宠物经验!P40))</f>
        <v/>
      </c>
      <c r="Q39" s="7">
        <f>IF(宠物经验!Q40="","",INT(宠物经验!$B40*宠物经验!Q40))</f>
        <v>988000</v>
      </c>
      <c r="R39" s="7" t="str">
        <f>IF(宠物经验!R40="","",INT(宠物经验!$B40*宠物经验!R40))</f>
        <v/>
      </c>
      <c r="S39" s="7">
        <f>IF(宠物经验!S40="","",INT(宠物经验!$B40*宠物经验!S40))</f>
        <v>94990</v>
      </c>
      <c r="T39" s="7">
        <f>IF(宠物经验!T40="","",INT(宠物经验!$B40*宠物经验!T40))</f>
        <v>142500</v>
      </c>
      <c r="U39" s="7">
        <f>IF(宠物经验!U40="","",INT(宠物经验!$B40*宠物经验!U40))</f>
        <v>0</v>
      </c>
      <c r="V39" s="7">
        <f>IF(宠物经验!V40="","",INT(宠物经验!$B40*宠物经验!V40))</f>
        <v>63346</v>
      </c>
      <c r="W39" s="7" t="str">
        <f>IF(宠物经验!W40="","",INT(宠物经验!$B40*宠物经验!W40))</f>
        <v/>
      </c>
      <c r="X39" s="7" t="str">
        <f>IF(宠物经验!X40="","",INT(宠物经验!$B40*宠物经验!X40))</f>
        <v/>
      </c>
      <c r="Y39" s="7">
        <f>IF(宠物经验!Y40="","",INT(宠物经验!$B40*宠物经验!Y40))</f>
        <v>0</v>
      </c>
      <c r="Z39" s="7" t="str">
        <f>IF(宠物经验!Z40="","",INT(宠物经验!$B40*宠物经验!Z40))</f>
        <v/>
      </c>
      <c r="AA39" s="7">
        <f>IF(宠物经验!AA40="","",INT(宠物经验!$B40*宠物经验!AA40))</f>
        <v>0</v>
      </c>
      <c r="AB39" s="7" t="str">
        <f>IF(宠物经验!AB40="","",INT(宠物经验!$B40*宠物经验!AB40))</f>
        <v/>
      </c>
      <c r="AC39" s="7" t="str">
        <f>IF(宠物经验!AC40="","",INT(宠物经验!$B40*宠物经验!AC40))</f>
        <v/>
      </c>
      <c r="AD39" s="7" t="str">
        <f>IF(宠物经验!AD40="","",INT(宠物经验!$B40*宠物经验!AD40))</f>
        <v/>
      </c>
      <c r="AE39" s="7" t="str">
        <f>IF(宠物经验!AE40="","",INT(宠物经验!$B40*宠物经验!AE40))</f>
        <v/>
      </c>
      <c r="AF39" s="7">
        <f>宠物经验!AH40</f>
        <v>92470</v>
      </c>
      <c r="AG39" s="7">
        <f>宠物经验!AO40</f>
        <v>3167</v>
      </c>
    </row>
    <row r="40" spans="1:33">
      <c r="A40" s="32">
        <v>39</v>
      </c>
      <c r="B40" s="87">
        <f>宠物经验!B41</f>
        <v>195000</v>
      </c>
      <c r="C40" s="7">
        <f>IF(宠物经验!C41="","",INT(宠物经验!$B41*宠物经验!C41))</f>
        <v>194980</v>
      </c>
      <c r="D40" s="7">
        <f>IF(宠物经验!D41="","",INT(宠物经验!$B41*宠物经验!D41))</f>
        <v>214500</v>
      </c>
      <c r="E40" s="7" t="str">
        <f>IF(宠物经验!E41="","",INT(宠物经验!$B41*宠物经验!E41))</f>
        <v/>
      </c>
      <c r="F40" s="7">
        <f>IF(宠物经验!F41="","",INT(宠物经验!$B41*宠物经验!F41))</f>
        <v>0</v>
      </c>
      <c r="G40" s="7">
        <f>IF(宠物经验!G41="","",INT(宠物经验!$B41*宠物经验!G41))</f>
        <v>129987</v>
      </c>
      <c r="H40" s="7" t="str">
        <f>IF(宠物经验!H41="","",INT(宠物经验!$B41*宠物经验!H41))</f>
        <v/>
      </c>
      <c r="I40" s="7" t="str">
        <f>IF(宠物经验!I41="","",INT(宠物经验!$B41*宠物经验!I41))</f>
        <v/>
      </c>
      <c r="J40" s="7" t="str">
        <f>IF(宠物经验!J41="","",INT(宠物经验!$B41*宠物经验!J41))</f>
        <v/>
      </c>
      <c r="K40" s="7">
        <f>IF(宠物经验!K41="","",INT(宠物经验!$B41*宠物经验!K41))</f>
        <v>195000</v>
      </c>
      <c r="L40" s="7" t="str">
        <f>IF(宠物经验!L41="","",INT(宠物经验!$B41*宠物经验!L41))</f>
        <v/>
      </c>
      <c r="M40" s="7" t="str">
        <f>IF(宠物经验!M41="","",INT(宠物经验!$B41*宠物经验!M41))</f>
        <v/>
      </c>
      <c r="N40" s="7">
        <f>IF(宠物经验!N41="","",INT(宠物经验!$B41*宠物经验!N41))</f>
        <v>2340000</v>
      </c>
      <c r="O40" s="7" t="str">
        <f>IF(宠物经验!O41="","",INT(宠物经验!$B41*宠物经验!O41))</f>
        <v/>
      </c>
      <c r="P40" s="7" t="str">
        <f>IF(宠物经验!P41="","",INT(宠物经验!$B41*宠物经验!P41))</f>
        <v/>
      </c>
      <c r="Q40" s="7">
        <f>IF(宠物经验!Q41="","",INT(宠物经验!$B41*宠物经验!Q41))</f>
        <v>1014000</v>
      </c>
      <c r="R40" s="7" t="str">
        <f>IF(宠物经验!R41="","",INT(宠物经验!$B41*宠物经验!R41))</f>
        <v/>
      </c>
      <c r="S40" s="7">
        <f>IF(宠物经验!S41="","",INT(宠物经验!$B41*宠物经验!S41))</f>
        <v>97490</v>
      </c>
      <c r="T40" s="7">
        <f>IF(宠物经验!T41="","",INT(宠物经验!$B41*宠物经验!T41))</f>
        <v>146250</v>
      </c>
      <c r="U40" s="7">
        <f>IF(宠物经验!U41="","",INT(宠物经验!$B41*宠物经验!U41))</f>
        <v>0</v>
      </c>
      <c r="V40" s="7">
        <f>IF(宠物经验!V41="","",INT(宠物经验!$B41*宠物经验!V41))</f>
        <v>65013</v>
      </c>
      <c r="W40" s="7" t="str">
        <f>IF(宠物经验!W41="","",INT(宠物经验!$B41*宠物经验!W41))</f>
        <v/>
      </c>
      <c r="X40" s="7" t="str">
        <f>IF(宠物经验!X41="","",INT(宠物经验!$B41*宠物经验!X41))</f>
        <v/>
      </c>
      <c r="Y40" s="7">
        <f>IF(宠物经验!Y41="","",INT(宠物经验!$B41*宠物经验!Y41))</f>
        <v>0</v>
      </c>
      <c r="Z40" s="7" t="str">
        <f>IF(宠物经验!Z41="","",INT(宠物经验!$B41*宠物经验!Z41))</f>
        <v/>
      </c>
      <c r="AA40" s="7">
        <f>IF(宠物经验!AA41="","",INT(宠物经验!$B41*宠物经验!AA41))</f>
        <v>0</v>
      </c>
      <c r="AB40" s="7" t="str">
        <f>IF(宠物经验!AB41="","",INT(宠物经验!$B41*宠物经验!AB41))</f>
        <v/>
      </c>
      <c r="AC40" s="7" t="str">
        <f>IF(宠物经验!AC41="","",INT(宠物经验!$B41*宠物经验!AC41))</f>
        <v/>
      </c>
      <c r="AD40" s="7" t="str">
        <f>IF(宠物经验!AD41="","",INT(宠物经验!$B41*宠物经验!AD41))</f>
        <v/>
      </c>
      <c r="AE40" s="7" t="str">
        <f>IF(宠物经验!AE41="","",INT(宠物经验!$B41*宠物经验!AE41))</f>
        <v/>
      </c>
      <c r="AF40" s="7">
        <f>宠物经验!AH41</f>
        <v>96820</v>
      </c>
      <c r="AG40" s="7">
        <f>宠物经验!AO41</f>
        <v>3250</v>
      </c>
    </row>
    <row r="41" spans="1:33">
      <c r="A41" s="32">
        <v>40</v>
      </c>
      <c r="B41" s="87">
        <f>宠物经验!B42</f>
        <v>200000</v>
      </c>
      <c r="C41" s="7">
        <f>IF(宠物经验!C42="","",INT(宠物经验!$B42*宠物经验!C42))</f>
        <v>199980</v>
      </c>
      <c r="D41" s="7">
        <f>IF(宠物经验!D42="","",INT(宠物经验!$B42*宠物经验!D42))</f>
        <v>220000</v>
      </c>
      <c r="E41" s="7" t="str">
        <f>IF(宠物经验!E42="","",INT(宠物经验!$B42*宠物经验!E42))</f>
        <v/>
      </c>
      <c r="F41" s="7">
        <f>IF(宠物经验!F42="","",INT(宠物经验!$B42*宠物经验!F42))</f>
        <v>300000</v>
      </c>
      <c r="G41" s="7">
        <f>IF(宠物经验!G42="","",INT(宠物经验!$B42*宠物经验!G42))</f>
        <v>133320</v>
      </c>
      <c r="H41" s="7" t="str">
        <f>IF(宠物经验!H42="","",INT(宠物经验!$B42*宠物经验!H42))</f>
        <v/>
      </c>
      <c r="I41" s="7" t="str">
        <f>IF(宠物经验!I42="","",INT(宠物经验!$B42*宠物经验!I42))</f>
        <v/>
      </c>
      <c r="J41" s="7" t="str">
        <f>IF(宠物经验!J42="","",INT(宠物经验!$B42*宠物经验!J42))</f>
        <v/>
      </c>
      <c r="K41" s="7">
        <f>IF(宠物经验!K42="","",INT(宠物经验!$B42*宠物经验!K42))</f>
        <v>200000</v>
      </c>
      <c r="L41" s="7" t="str">
        <f>IF(宠物经验!L42="","",INT(宠物经验!$B42*宠物经验!L42))</f>
        <v/>
      </c>
      <c r="M41" s="7" t="str">
        <f>IF(宠物经验!M42="","",INT(宠物经验!$B42*宠物经验!M42))</f>
        <v/>
      </c>
      <c r="N41" s="7">
        <f>IF(宠物经验!N42="","",INT(宠物经验!$B42*宠物经验!N42))</f>
        <v>2400000</v>
      </c>
      <c r="O41" s="7" t="str">
        <f>IF(宠物经验!O42="","",INT(宠物经验!$B42*宠物经验!O42))</f>
        <v/>
      </c>
      <c r="P41" s="7" t="str">
        <f>IF(宠物经验!P42="","",INT(宠物经验!$B42*宠物经验!P42))</f>
        <v/>
      </c>
      <c r="Q41" s="7">
        <f>IF(宠物经验!Q42="","",INT(宠物经验!$B42*宠物经验!Q42))</f>
        <v>1040000</v>
      </c>
      <c r="R41" s="7" t="str">
        <f>IF(宠物经验!R42="","",INT(宠物经验!$B42*宠物经验!R42))</f>
        <v/>
      </c>
      <c r="S41" s="7">
        <f>IF(宠物经验!S42="","",INT(宠物经验!$B42*宠物经验!S42))</f>
        <v>99990</v>
      </c>
      <c r="T41" s="7">
        <f>IF(宠物经验!T42="","",INT(宠物经验!$B42*宠物经验!T42))</f>
        <v>150000</v>
      </c>
      <c r="U41" s="7">
        <f>IF(宠物经验!U42="","",INT(宠物经验!$B42*宠物经验!U42))</f>
        <v>0</v>
      </c>
      <c r="V41" s="7">
        <f>IF(宠物经验!V42="","",INT(宠物经验!$B42*宠物经验!V42))</f>
        <v>66680</v>
      </c>
      <c r="W41" s="7" t="str">
        <f>IF(宠物经验!W42="","",INT(宠物经验!$B42*宠物经验!W42))</f>
        <v/>
      </c>
      <c r="X41" s="7" t="str">
        <f>IF(宠物经验!X42="","",INT(宠物经验!$B42*宠物经验!X42))</f>
        <v/>
      </c>
      <c r="Y41" s="7">
        <f>IF(宠物经验!Y42="","",INT(宠物经验!$B42*宠物经验!Y42))</f>
        <v>50000</v>
      </c>
      <c r="Z41" s="7" t="str">
        <f>IF(宠物经验!Z42="","",INT(宠物经验!$B42*宠物经验!Z42))</f>
        <v/>
      </c>
      <c r="AA41" s="7">
        <f>IF(宠物经验!AA42="","",INT(宠物经验!$B42*宠物经验!AA42))</f>
        <v>16670</v>
      </c>
      <c r="AB41" s="7" t="str">
        <f>IF(宠物经验!AB42="","",INT(宠物经验!$B42*宠物经验!AB42))</f>
        <v/>
      </c>
      <c r="AC41" s="7" t="str">
        <f>IF(宠物经验!AC42="","",INT(宠物经验!$B42*宠物经验!AC42))</f>
        <v/>
      </c>
      <c r="AD41" s="7" t="str">
        <f>IF(宠物经验!AD42="","",INT(宠物经验!$B42*宠物经验!AD42))</f>
        <v/>
      </c>
      <c r="AE41" s="7" t="str">
        <f>IF(宠物经验!AE42="","",INT(宠物经验!$B42*宠物经验!AE42))</f>
        <v/>
      </c>
      <c r="AF41" s="7">
        <f>宠物经验!AH42</f>
        <v>101270</v>
      </c>
      <c r="AG41" s="7">
        <f>宠物经验!AO42</f>
        <v>3333</v>
      </c>
    </row>
    <row r="42" spans="1:33">
      <c r="A42" s="32">
        <v>41</v>
      </c>
      <c r="B42" s="87">
        <f>宠物经验!B43</f>
        <v>205000</v>
      </c>
      <c r="C42" s="7">
        <f>IF(宠物经验!C43="","",INT(宠物经验!$B43*宠物经验!C43))</f>
        <v>204979</v>
      </c>
      <c r="D42" s="7">
        <f>IF(宠物经验!D43="","",INT(宠物经验!$B43*宠物经验!D43))</f>
        <v>225500</v>
      </c>
      <c r="E42" s="7" t="str">
        <f>IF(宠物经验!E43="","",INT(宠物经验!$B43*宠物经验!E43))</f>
        <v/>
      </c>
      <c r="F42" s="7">
        <f>IF(宠物经验!F43="","",INT(宠物经验!$B43*宠物经验!F43))</f>
        <v>307500</v>
      </c>
      <c r="G42" s="7">
        <f>IF(宠物经验!G43="","",INT(宠物经验!$B43*宠物经验!G43))</f>
        <v>136653</v>
      </c>
      <c r="H42" s="7" t="str">
        <f>IF(宠物经验!H43="","",INT(宠物经验!$B43*宠物经验!H43))</f>
        <v/>
      </c>
      <c r="I42" s="7" t="str">
        <f>IF(宠物经验!I43="","",INT(宠物经验!$B43*宠物经验!I43))</f>
        <v/>
      </c>
      <c r="J42" s="7" t="str">
        <f>IF(宠物经验!J43="","",INT(宠物经验!$B43*宠物经验!J43))</f>
        <v/>
      </c>
      <c r="K42" s="7">
        <f>IF(宠物经验!K43="","",INT(宠物经验!$B43*宠物经验!K43))</f>
        <v>205000</v>
      </c>
      <c r="L42" s="7" t="str">
        <f>IF(宠物经验!L43="","",INT(宠物经验!$B43*宠物经验!L43))</f>
        <v/>
      </c>
      <c r="M42" s="7" t="str">
        <f>IF(宠物经验!M43="","",INT(宠物经验!$B43*宠物经验!M43))</f>
        <v/>
      </c>
      <c r="N42" s="7">
        <f>IF(宠物经验!N43="","",INT(宠物经验!$B43*宠物经验!N43))</f>
        <v>2460000</v>
      </c>
      <c r="O42" s="7" t="str">
        <f>IF(宠物经验!O43="","",INT(宠物经验!$B43*宠物经验!O43))</f>
        <v/>
      </c>
      <c r="P42" s="7" t="str">
        <f>IF(宠物经验!P43="","",INT(宠物经验!$B43*宠物经验!P43))</f>
        <v/>
      </c>
      <c r="Q42" s="7">
        <f>IF(宠物经验!Q43="","",INT(宠物经验!$B43*宠物经验!Q43))</f>
        <v>1066000</v>
      </c>
      <c r="R42" s="7" t="str">
        <f>IF(宠物经验!R43="","",INT(宠物经验!$B43*宠物经验!R43))</f>
        <v/>
      </c>
      <c r="S42" s="7">
        <f>IF(宠物经验!S43="","",INT(宠物经验!$B43*宠物经验!S43))</f>
        <v>102489</v>
      </c>
      <c r="T42" s="7">
        <f>IF(宠物经验!T43="","",INT(宠物经验!$B43*宠物经验!T43))</f>
        <v>153750</v>
      </c>
      <c r="U42" s="7">
        <f>IF(宠物经验!U43="","",INT(宠物经验!$B43*宠物经验!U43))</f>
        <v>0</v>
      </c>
      <c r="V42" s="7">
        <f>IF(宠物经验!V43="","",INT(宠物经验!$B43*宠物经验!V43))</f>
        <v>68347</v>
      </c>
      <c r="W42" s="7" t="str">
        <f>IF(宠物经验!W43="","",INT(宠物经验!$B43*宠物经验!W43))</f>
        <v/>
      </c>
      <c r="X42" s="7" t="str">
        <f>IF(宠物经验!X43="","",INT(宠物经验!$B43*宠物经验!X43))</f>
        <v/>
      </c>
      <c r="Y42" s="7">
        <f>IF(宠物经验!Y43="","",INT(宠物经验!$B43*宠物经验!Y43))</f>
        <v>51250</v>
      </c>
      <c r="Z42" s="7" t="str">
        <f>IF(宠物经验!Z43="","",INT(宠物经验!$B43*宠物经验!Z43))</f>
        <v/>
      </c>
      <c r="AA42" s="7">
        <f>IF(宠物经验!AA43="","",INT(宠物经验!$B43*宠物经验!AA43))</f>
        <v>17086</v>
      </c>
      <c r="AB42" s="7" t="str">
        <f>IF(宠物经验!AB43="","",INT(宠物经验!$B43*宠物经验!AB43))</f>
        <v/>
      </c>
      <c r="AC42" s="7" t="str">
        <f>IF(宠物经验!AC43="","",INT(宠物经验!$B43*宠物经验!AC43))</f>
        <v/>
      </c>
      <c r="AD42" s="7" t="str">
        <f>IF(宠物经验!AD43="","",INT(宠物经验!$B43*宠物经验!AD43))</f>
        <v/>
      </c>
      <c r="AE42" s="7" t="str">
        <f>IF(宠物经验!AE43="","",INT(宠物经验!$B43*宠物经验!AE43))</f>
        <v/>
      </c>
      <c r="AF42" s="7">
        <f>宠物经验!AH43</f>
        <v>105820</v>
      </c>
      <c r="AG42" s="7">
        <f>宠物经验!AO43</f>
        <v>3417</v>
      </c>
    </row>
    <row r="43" spans="1:33">
      <c r="A43" s="32">
        <v>42</v>
      </c>
      <c r="B43" s="87">
        <f>宠物经验!B44</f>
        <v>210000</v>
      </c>
      <c r="C43" s="7">
        <f>IF(宠物经验!C44="","",INT(宠物经验!$B44*宠物经验!C44))</f>
        <v>209979</v>
      </c>
      <c r="D43" s="7">
        <f>IF(宠物经验!D44="","",INT(宠物经验!$B44*宠物经验!D44))</f>
        <v>231000</v>
      </c>
      <c r="E43" s="7" t="str">
        <f>IF(宠物经验!E44="","",INT(宠物经验!$B44*宠物经验!E44))</f>
        <v/>
      </c>
      <c r="F43" s="7">
        <f>IF(宠物经验!F44="","",INT(宠物经验!$B44*宠物经验!F44))</f>
        <v>315000</v>
      </c>
      <c r="G43" s="7">
        <f>IF(宠物经验!G44="","",INT(宠物经验!$B44*宠物经验!G44))</f>
        <v>139986</v>
      </c>
      <c r="H43" s="7" t="str">
        <f>IF(宠物经验!H44="","",INT(宠物经验!$B44*宠物经验!H44))</f>
        <v/>
      </c>
      <c r="I43" s="7" t="str">
        <f>IF(宠物经验!I44="","",INT(宠物经验!$B44*宠物经验!I44))</f>
        <v/>
      </c>
      <c r="J43" s="7" t="str">
        <f>IF(宠物经验!J44="","",INT(宠物经验!$B44*宠物经验!J44))</f>
        <v/>
      </c>
      <c r="K43" s="7">
        <f>IF(宠物经验!K44="","",INT(宠物经验!$B44*宠物经验!K44))</f>
        <v>210000</v>
      </c>
      <c r="L43" s="7" t="str">
        <f>IF(宠物经验!L44="","",INT(宠物经验!$B44*宠物经验!L44))</f>
        <v/>
      </c>
      <c r="M43" s="7" t="str">
        <f>IF(宠物经验!M44="","",INT(宠物经验!$B44*宠物经验!M44))</f>
        <v/>
      </c>
      <c r="N43" s="7">
        <f>IF(宠物经验!N44="","",INT(宠物经验!$B44*宠物经验!N44))</f>
        <v>2520000</v>
      </c>
      <c r="O43" s="7" t="str">
        <f>IF(宠物经验!O44="","",INT(宠物经验!$B44*宠物经验!O44))</f>
        <v/>
      </c>
      <c r="P43" s="7" t="str">
        <f>IF(宠物经验!P44="","",INT(宠物经验!$B44*宠物经验!P44))</f>
        <v/>
      </c>
      <c r="Q43" s="7">
        <f>IF(宠物经验!Q44="","",INT(宠物经验!$B44*宠物经验!Q44))</f>
        <v>1092000</v>
      </c>
      <c r="R43" s="7" t="str">
        <f>IF(宠物经验!R44="","",INT(宠物经验!$B44*宠物经验!R44))</f>
        <v/>
      </c>
      <c r="S43" s="7">
        <f>IF(宠物经验!S44="","",INT(宠物经验!$B44*宠物经验!S44))</f>
        <v>104989</v>
      </c>
      <c r="T43" s="7">
        <f>IF(宠物经验!T44="","",INT(宠物经验!$B44*宠物经验!T44))</f>
        <v>157500</v>
      </c>
      <c r="U43" s="7">
        <f>IF(宠物经验!U44="","",INT(宠物经验!$B44*宠物经验!U44))</f>
        <v>0</v>
      </c>
      <c r="V43" s="7">
        <f>IF(宠物经验!V44="","",INT(宠物经验!$B44*宠物经验!V44))</f>
        <v>70014</v>
      </c>
      <c r="W43" s="7" t="str">
        <f>IF(宠物经验!W44="","",INT(宠物经验!$B44*宠物经验!W44))</f>
        <v/>
      </c>
      <c r="X43" s="7" t="str">
        <f>IF(宠物经验!X44="","",INT(宠物经验!$B44*宠物经验!X44))</f>
        <v/>
      </c>
      <c r="Y43" s="7">
        <f>IF(宠物经验!Y44="","",INT(宠物经验!$B44*宠物经验!Y44))</f>
        <v>52500</v>
      </c>
      <c r="Z43" s="7" t="str">
        <f>IF(宠物经验!Z44="","",INT(宠物经验!$B44*宠物经验!Z44))</f>
        <v/>
      </c>
      <c r="AA43" s="7">
        <f>IF(宠物经验!AA44="","",INT(宠物经验!$B44*宠物经验!AA44))</f>
        <v>17503</v>
      </c>
      <c r="AB43" s="7" t="str">
        <f>IF(宠物经验!AB44="","",INT(宠物经验!$B44*宠物经验!AB44))</f>
        <v/>
      </c>
      <c r="AC43" s="7" t="str">
        <f>IF(宠物经验!AC44="","",INT(宠物经验!$B44*宠物经验!AC44))</f>
        <v/>
      </c>
      <c r="AD43" s="7" t="str">
        <f>IF(宠物经验!AD44="","",INT(宠物经验!$B44*宠物经验!AD44))</f>
        <v/>
      </c>
      <c r="AE43" s="7" t="str">
        <f>IF(宠物经验!AE44="","",INT(宠物经验!$B44*宠物经验!AE44))</f>
        <v/>
      </c>
      <c r="AF43" s="7">
        <f>宠物经验!AH44</f>
        <v>110470</v>
      </c>
      <c r="AG43" s="7">
        <f>宠物经验!AO44</f>
        <v>3500</v>
      </c>
    </row>
    <row r="44" spans="1:33">
      <c r="A44" s="32">
        <v>43</v>
      </c>
      <c r="B44" s="87">
        <f>宠物经验!B45</f>
        <v>215000</v>
      </c>
      <c r="C44" s="7">
        <f>IF(宠物经验!C45="","",INT(宠物经验!$B45*宠物经验!C45))</f>
        <v>214978</v>
      </c>
      <c r="D44" s="7">
        <f>IF(宠物经验!D45="","",INT(宠物经验!$B45*宠物经验!D45))</f>
        <v>236500</v>
      </c>
      <c r="E44" s="7" t="str">
        <f>IF(宠物经验!E45="","",INT(宠物经验!$B45*宠物经验!E45))</f>
        <v/>
      </c>
      <c r="F44" s="7">
        <f>IF(宠物经验!F45="","",INT(宠物经验!$B45*宠物经验!F45))</f>
        <v>322500</v>
      </c>
      <c r="G44" s="7">
        <f>IF(宠物经验!G45="","",INT(宠物经验!$B45*宠物经验!G45))</f>
        <v>143319</v>
      </c>
      <c r="H44" s="7" t="str">
        <f>IF(宠物经验!H45="","",INT(宠物经验!$B45*宠物经验!H45))</f>
        <v/>
      </c>
      <c r="I44" s="7" t="str">
        <f>IF(宠物经验!I45="","",INT(宠物经验!$B45*宠物经验!I45))</f>
        <v/>
      </c>
      <c r="J44" s="7" t="str">
        <f>IF(宠物经验!J45="","",INT(宠物经验!$B45*宠物经验!J45))</f>
        <v/>
      </c>
      <c r="K44" s="7">
        <f>IF(宠物经验!K45="","",INT(宠物经验!$B45*宠物经验!K45))</f>
        <v>215000</v>
      </c>
      <c r="L44" s="7" t="str">
        <f>IF(宠物经验!L45="","",INT(宠物经验!$B45*宠物经验!L45))</f>
        <v/>
      </c>
      <c r="M44" s="7" t="str">
        <f>IF(宠物经验!M45="","",INT(宠物经验!$B45*宠物经验!M45))</f>
        <v/>
      </c>
      <c r="N44" s="7">
        <f>IF(宠物经验!N45="","",INT(宠物经验!$B45*宠物经验!N45))</f>
        <v>2580000</v>
      </c>
      <c r="O44" s="7" t="str">
        <f>IF(宠物经验!O45="","",INT(宠物经验!$B45*宠物经验!O45))</f>
        <v/>
      </c>
      <c r="P44" s="7" t="str">
        <f>IF(宠物经验!P45="","",INT(宠物经验!$B45*宠物经验!P45))</f>
        <v/>
      </c>
      <c r="Q44" s="7">
        <f>IF(宠物经验!Q45="","",INT(宠物经验!$B45*宠物经验!Q45))</f>
        <v>1118000</v>
      </c>
      <c r="R44" s="7" t="str">
        <f>IF(宠物经验!R45="","",INT(宠物经验!$B45*宠物经验!R45))</f>
        <v/>
      </c>
      <c r="S44" s="7">
        <f>IF(宠物经验!S45="","",INT(宠物经验!$B45*宠物经验!S45))</f>
        <v>107489</v>
      </c>
      <c r="T44" s="7">
        <f>IF(宠物经验!T45="","",INT(宠物经验!$B45*宠物经验!T45))</f>
        <v>161250</v>
      </c>
      <c r="U44" s="7">
        <f>IF(宠物经验!U45="","",INT(宠物经验!$B45*宠物经验!U45))</f>
        <v>0</v>
      </c>
      <c r="V44" s="7">
        <f>IF(宠物经验!V45="","",INT(宠物经验!$B45*宠物经验!V45))</f>
        <v>71681</v>
      </c>
      <c r="W44" s="7" t="str">
        <f>IF(宠物经验!W45="","",INT(宠物经验!$B45*宠物经验!W45))</f>
        <v/>
      </c>
      <c r="X44" s="7" t="str">
        <f>IF(宠物经验!X45="","",INT(宠物经验!$B45*宠物经验!X45))</f>
        <v/>
      </c>
      <c r="Y44" s="7">
        <f>IF(宠物经验!Y45="","",INT(宠物经验!$B45*宠物经验!Y45))</f>
        <v>53750</v>
      </c>
      <c r="Z44" s="7" t="str">
        <f>IF(宠物经验!Z45="","",INT(宠物经验!$B45*宠物经验!Z45))</f>
        <v/>
      </c>
      <c r="AA44" s="7">
        <f>IF(宠物经验!AA45="","",INT(宠物经验!$B45*宠物经验!AA45))</f>
        <v>17920</v>
      </c>
      <c r="AB44" s="7" t="str">
        <f>IF(宠物经验!AB45="","",INT(宠物经验!$B45*宠物经验!AB45))</f>
        <v/>
      </c>
      <c r="AC44" s="7" t="str">
        <f>IF(宠物经验!AC45="","",INT(宠物经验!$B45*宠物经验!AC45))</f>
        <v/>
      </c>
      <c r="AD44" s="7" t="str">
        <f>IF(宠物经验!AD45="","",INT(宠物经验!$B45*宠物经验!AD45))</f>
        <v/>
      </c>
      <c r="AE44" s="7" t="str">
        <f>IF(宠物经验!AE45="","",INT(宠物经验!$B45*宠物经验!AE45))</f>
        <v/>
      </c>
      <c r="AF44" s="7">
        <f>宠物经验!AH45</f>
        <v>115220</v>
      </c>
      <c r="AG44" s="7">
        <f>宠物经验!AO45</f>
        <v>3583</v>
      </c>
    </row>
    <row r="45" spans="1:33">
      <c r="A45" s="32">
        <v>44</v>
      </c>
      <c r="B45" s="87">
        <f>宠物经验!B46</f>
        <v>220000</v>
      </c>
      <c r="C45" s="7">
        <f>IF(宠物经验!C46="","",INT(宠物经验!$B46*宠物经验!C46))</f>
        <v>219978</v>
      </c>
      <c r="D45" s="7">
        <f>IF(宠物经验!D46="","",INT(宠物经验!$B46*宠物经验!D46))</f>
        <v>242000</v>
      </c>
      <c r="E45" s="7" t="str">
        <f>IF(宠物经验!E46="","",INT(宠物经验!$B46*宠物经验!E46))</f>
        <v/>
      </c>
      <c r="F45" s="7">
        <f>IF(宠物经验!F46="","",INT(宠物经验!$B46*宠物经验!F46))</f>
        <v>330000</v>
      </c>
      <c r="G45" s="7">
        <f>IF(宠物经验!G46="","",INT(宠物经验!$B46*宠物经验!G46))</f>
        <v>146652</v>
      </c>
      <c r="H45" s="7" t="str">
        <f>IF(宠物经验!H46="","",INT(宠物经验!$B46*宠物经验!H46))</f>
        <v/>
      </c>
      <c r="I45" s="7" t="str">
        <f>IF(宠物经验!I46="","",INT(宠物经验!$B46*宠物经验!I46))</f>
        <v/>
      </c>
      <c r="J45" s="7" t="str">
        <f>IF(宠物经验!J46="","",INT(宠物经验!$B46*宠物经验!J46))</f>
        <v/>
      </c>
      <c r="K45" s="7">
        <f>IF(宠物经验!K46="","",INT(宠物经验!$B46*宠物经验!K46))</f>
        <v>220000</v>
      </c>
      <c r="L45" s="7" t="str">
        <f>IF(宠物经验!L46="","",INT(宠物经验!$B46*宠物经验!L46))</f>
        <v/>
      </c>
      <c r="M45" s="7" t="str">
        <f>IF(宠物经验!M46="","",INT(宠物经验!$B46*宠物经验!M46))</f>
        <v/>
      </c>
      <c r="N45" s="7">
        <f>IF(宠物经验!N46="","",INT(宠物经验!$B46*宠物经验!N46))</f>
        <v>2640000</v>
      </c>
      <c r="O45" s="7" t="str">
        <f>IF(宠物经验!O46="","",INT(宠物经验!$B46*宠物经验!O46))</f>
        <v/>
      </c>
      <c r="P45" s="7" t="str">
        <f>IF(宠物经验!P46="","",INT(宠物经验!$B46*宠物经验!P46))</f>
        <v/>
      </c>
      <c r="Q45" s="7">
        <f>IF(宠物经验!Q46="","",INT(宠物经验!$B46*宠物经验!Q46))</f>
        <v>1144000</v>
      </c>
      <c r="R45" s="7" t="str">
        <f>IF(宠物经验!R46="","",INT(宠物经验!$B46*宠物经验!R46))</f>
        <v/>
      </c>
      <c r="S45" s="7">
        <f>IF(宠物经验!S46="","",INT(宠物经验!$B46*宠物经验!S46))</f>
        <v>109989</v>
      </c>
      <c r="T45" s="7">
        <f>IF(宠物经验!T46="","",INT(宠物经验!$B46*宠物经验!T46))</f>
        <v>165000</v>
      </c>
      <c r="U45" s="7">
        <f>IF(宠物经验!U46="","",INT(宠物经验!$B46*宠物经验!U46))</f>
        <v>0</v>
      </c>
      <c r="V45" s="7">
        <f>IF(宠物经验!V46="","",INT(宠物经验!$B46*宠物经验!V46))</f>
        <v>73348</v>
      </c>
      <c r="W45" s="7" t="str">
        <f>IF(宠物经验!W46="","",INT(宠物经验!$B46*宠物经验!W46))</f>
        <v/>
      </c>
      <c r="X45" s="7" t="str">
        <f>IF(宠物经验!X46="","",INT(宠物经验!$B46*宠物经验!X46))</f>
        <v/>
      </c>
      <c r="Y45" s="7">
        <f>IF(宠物经验!Y46="","",INT(宠物经验!$B46*宠物经验!Y46))</f>
        <v>55000</v>
      </c>
      <c r="Z45" s="7" t="str">
        <f>IF(宠物经验!Z46="","",INT(宠物经验!$B46*宠物经验!Z46))</f>
        <v/>
      </c>
      <c r="AA45" s="7">
        <f>IF(宠物经验!AA46="","",INT(宠物经验!$B46*宠物经验!AA46))</f>
        <v>18337</v>
      </c>
      <c r="AB45" s="7" t="str">
        <f>IF(宠物经验!AB46="","",INT(宠物经验!$B46*宠物经验!AB46))</f>
        <v/>
      </c>
      <c r="AC45" s="7" t="str">
        <f>IF(宠物经验!AC46="","",INT(宠物经验!$B46*宠物经验!AC46))</f>
        <v/>
      </c>
      <c r="AD45" s="7" t="str">
        <f>IF(宠物经验!AD46="","",INT(宠物经验!$B46*宠物经验!AD46))</f>
        <v/>
      </c>
      <c r="AE45" s="7" t="str">
        <f>IF(宠物经验!AE46="","",INT(宠物经验!$B46*宠物经验!AE46))</f>
        <v/>
      </c>
      <c r="AF45" s="7">
        <f>宠物经验!AH46</f>
        <v>120070</v>
      </c>
      <c r="AG45" s="7">
        <f>宠物经验!AO46</f>
        <v>3667</v>
      </c>
    </row>
    <row r="46" spans="1:33">
      <c r="A46" s="32">
        <v>45</v>
      </c>
      <c r="B46" s="87">
        <f>宠物经验!B47</f>
        <v>225000</v>
      </c>
      <c r="C46" s="7">
        <f>IF(宠物经验!C47="","",INT(宠物经验!$B47*宠物经验!C47))</f>
        <v>224977</v>
      </c>
      <c r="D46" s="7">
        <f>IF(宠物经验!D47="","",INT(宠物经验!$B47*宠物经验!D47))</f>
        <v>247500</v>
      </c>
      <c r="E46" s="7" t="str">
        <f>IF(宠物经验!E47="","",INT(宠物经验!$B47*宠物经验!E47))</f>
        <v/>
      </c>
      <c r="F46" s="7">
        <f>IF(宠物经验!F47="","",INT(宠物经验!$B47*宠物经验!F47))</f>
        <v>337500</v>
      </c>
      <c r="G46" s="7">
        <f>IF(宠物经验!G47="","",INT(宠物经验!$B47*宠物经验!G47))</f>
        <v>149985</v>
      </c>
      <c r="H46" s="7" t="str">
        <f>IF(宠物经验!H47="","",INT(宠物经验!$B47*宠物经验!H47))</f>
        <v/>
      </c>
      <c r="I46" s="7" t="str">
        <f>IF(宠物经验!I47="","",INT(宠物经验!$B47*宠物经验!I47))</f>
        <v/>
      </c>
      <c r="J46" s="7" t="str">
        <f>IF(宠物经验!J47="","",INT(宠物经验!$B47*宠物经验!J47))</f>
        <v/>
      </c>
      <c r="K46" s="7">
        <f>IF(宠物经验!K47="","",INT(宠物经验!$B47*宠物经验!K47))</f>
        <v>225000</v>
      </c>
      <c r="L46" s="7" t="str">
        <f>IF(宠物经验!L47="","",INT(宠物经验!$B47*宠物经验!L47))</f>
        <v/>
      </c>
      <c r="M46" s="7" t="str">
        <f>IF(宠物经验!M47="","",INT(宠物经验!$B47*宠物经验!M47))</f>
        <v/>
      </c>
      <c r="N46" s="7">
        <f>IF(宠物经验!N47="","",INT(宠物经验!$B47*宠物经验!N47))</f>
        <v>2700000</v>
      </c>
      <c r="O46" s="7" t="str">
        <f>IF(宠物经验!O47="","",INT(宠物经验!$B47*宠物经验!O47))</f>
        <v/>
      </c>
      <c r="P46" s="7" t="str">
        <f>IF(宠物经验!P47="","",INT(宠物经验!$B47*宠物经验!P47))</f>
        <v/>
      </c>
      <c r="Q46" s="7">
        <f>IF(宠物经验!Q47="","",INT(宠物经验!$B47*宠物经验!Q47))</f>
        <v>1170000</v>
      </c>
      <c r="R46" s="7" t="str">
        <f>IF(宠物经验!R47="","",INT(宠物经验!$B47*宠物经验!R47))</f>
        <v/>
      </c>
      <c r="S46" s="7">
        <f>IF(宠物经验!S47="","",INT(宠物经验!$B47*宠物经验!S47))</f>
        <v>112488</v>
      </c>
      <c r="T46" s="7">
        <f>IF(宠物经验!T47="","",INT(宠物经验!$B47*宠物经验!T47))</f>
        <v>168750</v>
      </c>
      <c r="U46" s="7">
        <f>IF(宠物经验!U47="","",INT(宠物经验!$B47*宠物经验!U47))</f>
        <v>0</v>
      </c>
      <c r="V46" s="7">
        <f>IF(宠物经验!V47="","",INT(宠物经验!$B47*宠物经验!V47))</f>
        <v>75015</v>
      </c>
      <c r="W46" s="7" t="str">
        <f>IF(宠物经验!W47="","",INT(宠物经验!$B47*宠物经验!W47))</f>
        <v/>
      </c>
      <c r="X46" s="7" t="str">
        <f>IF(宠物经验!X47="","",INT(宠物经验!$B47*宠物经验!X47))</f>
        <v/>
      </c>
      <c r="Y46" s="7">
        <f>IF(宠物经验!Y47="","",INT(宠物经验!$B47*宠物经验!Y47))</f>
        <v>56250</v>
      </c>
      <c r="Z46" s="7" t="str">
        <f>IF(宠物经验!Z47="","",INT(宠物经验!$B47*宠物经验!Z47))</f>
        <v/>
      </c>
      <c r="AA46" s="7">
        <f>IF(宠物经验!AA47="","",INT(宠物经验!$B47*宠物经验!AA47))</f>
        <v>18753</v>
      </c>
      <c r="AB46" s="7" t="str">
        <f>IF(宠物经验!AB47="","",INT(宠物经验!$B47*宠物经验!AB47))</f>
        <v/>
      </c>
      <c r="AC46" s="7" t="str">
        <f>IF(宠物经验!AC47="","",INT(宠物经验!$B47*宠物经验!AC47))</f>
        <v/>
      </c>
      <c r="AD46" s="7" t="str">
        <f>IF(宠物经验!AD47="","",INT(宠物经验!$B47*宠物经验!AD47))</f>
        <v/>
      </c>
      <c r="AE46" s="7" t="str">
        <f>IF(宠物经验!AE47="","",INT(宠物经验!$B47*宠物经验!AE47))</f>
        <v/>
      </c>
      <c r="AF46" s="7">
        <f>宠物经验!AH47</f>
        <v>125020</v>
      </c>
      <c r="AG46" s="7">
        <f>宠物经验!AO47</f>
        <v>3750</v>
      </c>
    </row>
    <row r="47" spans="1:33">
      <c r="A47" s="32">
        <v>46</v>
      </c>
      <c r="B47" s="87">
        <f>宠物经验!B48</f>
        <v>230000</v>
      </c>
      <c r="C47" s="7">
        <f>IF(宠物经验!C48="","",INT(宠物经验!$B48*宠物经验!C48))</f>
        <v>229977</v>
      </c>
      <c r="D47" s="7">
        <f>IF(宠物经验!D48="","",INT(宠物经验!$B48*宠物经验!D48))</f>
        <v>253000</v>
      </c>
      <c r="E47" s="7" t="str">
        <f>IF(宠物经验!E48="","",INT(宠物经验!$B48*宠物经验!E48))</f>
        <v/>
      </c>
      <c r="F47" s="7">
        <f>IF(宠物经验!F48="","",INT(宠物经验!$B48*宠物经验!F48))</f>
        <v>345000</v>
      </c>
      <c r="G47" s="7">
        <f>IF(宠物经验!G48="","",INT(宠物经验!$B48*宠物经验!G48))</f>
        <v>153318</v>
      </c>
      <c r="H47" s="7" t="str">
        <f>IF(宠物经验!H48="","",INT(宠物经验!$B48*宠物经验!H48))</f>
        <v/>
      </c>
      <c r="I47" s="7" t="str">
        <f>IF(宠物经验!I48="","",INT(宠物经验!$B48*宠物经验!I48))</f>
        <v/>
      </c>
      <c r="J47" s="7" t="str">
        <f>IF(宠物经验!J48="","",INT(宠物经验!$B48*宠物经验!J48))</f>
        <v/>
      </c>
      <c r="K47" s="7">
        <f>IF(宠物经验!K48="","",INT(宠物经验!$B48*宠物经验!K48))</f>
        <v>230000</v>
      </c>
      <c r="L47" s="7" t="str">
        <f>IF(宠物经验!L48="","",INT(宠物经验!$B48*宠物经验!L48))</f>
        <v/>
      </c>
      <c r="M47" s="7" t="str">
        <f>IF(宠物经验!M48="","",INT(宠物经验!$B48*宠物经验!M48))</f>
        <v/>
      </c>
      <c r="N47" s="7">
        <f>IF(宠物经验!N48="","",INT(宠物经验!$B48*宠物经验!N48))</f>
        <v>2760000</v>
      </c>
      <c r="O47" s="7" t="str">
        <f>IF(宠物经验!O48="","",INT(宠物经验!$B48*宠物经验!O48))</f>
        <v/>
      </c>
      <c r="P47" s="7" t="str">
        <f>IF(宠物经验!P48="","",INT(宠物经验!$B48*宠物经验!P48))</f>
        <v/>
      </c>
      <c r="Q47" s="7">
        <f>IF(宠物经验!Q48="","",INT(宠物经验!$B48*宠物经验!Q48))</f>
        <v>1196000</v>
      </c>
      <c r="R47" s="7" t="str">
        <f>IF(宠物经验!R48="","",INT(宠物经验!$B48*宠物经验!R48))</f>
        <v/>
      </c>
      <c r="S47" s="7">
        <f>IF(宠物经验!S48="","",INT(宠物经验!$B48*宠物经验!S48))</f>
        <v>114988</v>
      </c>
      <c r="T47" s="7">
        <f>IF(宠物经验!T48="","",INT(宠物经验!$B48*宠物经验!T48))</f>
        <v>172500</v>
      </c>
      <c r="U47" s="7">
        <f>IF(宠物经验!U48="","",INT(宠物经验!$B48*宠物经验!U48))</f>
        <v>0</v>
      </c>
      <c r="V47" s="7">
        <f>IF(宠物经验!V48="","",INT(宠物经验!$B48*宠物经验!V48))</f>
        <v>76682</v>
      </c>
      <c r="W47" s="7" t="str">
        <f>IF(宠物经验!W48="","",INT(宠物经验!$B48*宠物经验!W48))</f>
        <v/>
      </c>
      <c r="X47" s="7" t="str">
        <f>IF(宠物经验!X48="","",INT(宠物经验!$B48*宠物经验!X48))</f>
        <v/>
      </c>
      <c r="Y47" s="7">
        <f>IF(宠物经验!Y48="","",INT(宠物经验!$B48*宠物经验!Y48))</f>
        <v>57500</v>
      </c>
      <c r="Z47" s="7" t="str">
        <f>IF(宠物经验!Z48="","",INT(宠物经验!$B48*宠物经验!Z48))</f>
        <v/>
      </c>
      <c r="AA47" s="7">
        <f>IF(宠物经验!AA48="","",INT(宠物经验!$B48*宠物经验!AA48))</f>
        <v>19170</v>
      </c>
      <c r="AB47" s="7" t="str">
        <f>IF(宠物经验!AB48="","",INT(宠物经验!$B48*宠物经验!AB48))</f>
        <v/>
      </c>
      <c r="AC47" s="7" t="str">
        <f>IF(宠物经验!AC48="","",INT(宠物经验!$B48*宠物经验!AC48))</f>
        <v/>
      </c>
      <c r="AD47" s="7" t="str">
        <f>IF(宠物经验!AD48="","",INT(宠物经验!$B48*宠物经验!AD48))</f>
        <v/>
      </c>
      <c r="AE47" s="7" t="str">
        <f>IF(宠物经验!AE48="","",INT(宠物经验!$B48*宠物经验!AE48))</f>
        <v/>
      </c>
      <c r="AF47" s="7">
        <f>宠物经验!AH48</f>
        <v>130070</v>
      </c>
      <c r="AG47" s="7">
        <f>宠物经验!AO48</f>
        <v>3833</v>
      </c>
    </row>
    <row r="48" spans="1:33">
      <c r="A48" s="32">
        <v>47</v>
      </c>
      <c r="B48" s="87">
        <f>宠物经验!B49</f>
        <v>235000</v>
      </c>
      <c r="C48" s="7">
        <f>IF(宠物经验!C49="","",INT(宠物经验!$B49*宠物经验!C49))</f>
        <v>234976</v>
      </c>
      <c r="D48" s="7">
        <f>IF(宠物经验!D49="","",INT(宠物经验!$B49*宠物经验!D49))</f>
        <v>258500</v>
      </c>
      <c r="E48" s="7" t="str">
        <f>IF(宠物经验!E49="","",INT(宠物经验!$B49*宠物经验!E49))</f>
        <v/>
      </c>
      <c r="F48" s="7">
        <f>IF(宠物经验!F49="","",INT(宠物经验!$B49*宠物经验!F49))</f>
        <v>352500</v>
      </c>
      <c r="G48" s="7">
        <f>IF(宠物经验!G49="","",INT(宠物经验!$B49*宠物经验!G49))</f>
        <v>156651</v>
      </c>
      <c r="H48" s="7" t="str">
        <f>IF(宠物经验!H49="","",INT(宠物经验!$B49*宠物经验!H49))</f>
        <v/>
      </c>
      <c r="I48" s="7" t="str">
        <f>IF(宠物经验!I49="","",INT(宠物经验!$B49*宠物经验!I49))</f>
        <v/>
      </c>
      <c r="J48" s="7" t="str">
        <f>IF(宠物经验!J49="","",INT(宠物经验!$B49*宠物经验!J49))</f>
        <v/>
      </c>
      <c r="K48" s="7">
        <f>IF(宠物经验!K49="","",INT(宠物经验!$B49*宠物经验!K49))</f>
        <v>235000</v>
      </c>
      <c r="L48" s="7" t="str">
        <f>IF(宠物经验!L49="","",INT(宠物经验!$B49*宠物经验!L49))</f>
        <v/>
      </c>
      <c r="M48" s="7" t="str">
        <f>IF(宠物经验!M49="","",INT(宠物经验!$B49*宠物经验!M49))</f>
        <v/>
      </c>
      <c r="N48" s="7">
        <f>IF(宠物经验!N49="","",INT(宠物经验!$B49*宠物经验!N49))</f>
        <v>2820000</v>
      </c>
      <c r="O48" s="7" t="str">
        <f>IF(宠物经验!O49="","",INT(宠物经验!$B49*宠物经验!O49))</f>
        <v/>
      </c>
      <c r="P48" s="7" t="str">
        <f>IF(宠物经验!P49="","",INT(宠物经验!$B49*宠物经验!P49))</f>
        <v/>
      </c>
      <c r="Q48" s="7">
        <f>IF(宠物经验!Q49="","",INT(宠物经验!$B49*宠物经验!Q49))</f>
        <v>1222000</v>
      </c>
      <c r="R48" s="7" t="str">
        <f>IF(宠物经验!R49="","",INT(宠物经验!$B49*宠物经验!R49))</f>
        <v/>
      </c>
      <c r="S48" s="7">
        <f>IF(宠物经验!S49="","",INT(宠物经验!$B49*宠物经验!S49))</f>
        <v>117488</v>
      </c>
      <c r="T48" s="7">
        <f>IF(宠物经验!T49="","",INT(宠物经验!$B49*宠物经验!T49))</f>
        <v>176250</v>
      </c>
      <c r="U48" s="7">
        <f>IF(宠物经验!U49="","",INT(宠物经验!$B49*宠物经验!U49))</f>
        <v>0</v>
      </c>
      <c r="V48" s="7">
        <f>IF(宠物经验!V49="","",INT(宠物经验!$B49*宠物经验!V49))</f>
        <v>78349</v>
      </c>
      <c r="W48" s="7" t="str">
        <f>IF(宠物经验!W49="","",INT(宠物经验!$B49*宠物经验!W49))</f>
        <v/>
      </c>
      <c r="X48" s="7" t="str">
        <f>IF(宠物经验!X49="","",INT(宠物经验!$B49*宠物经验!X49))</f>
        <v/>
      </c>
      <c r="Y48" s="7">
        <f>IF(宠物经验!Y49="","",INT(宠物经验!$B49*宠物经验!Y49))</f>
        <v>58750</v>
      </c>
      <c r="Z48" s="7" t="str">
        <f>IF(宠物经验!Z49="","",INT(宠物经验!$B49*宠物经验!Z49))</f>
        <v/>
      </c>
      <c r="AA48" s="7">
        <f>IF(宠物经验!AA49="","",INT(宠物经验!$B49*宠物经验!AA49))</f>
        <v>19587</v>
      </c>
      <c r="AB48" s="7" t="str">
        <f>IF(宠物经验!AB49="","",INT(宠物经验!$B49*宠物经验!AB49))</f>
        <v/>
      </c>
      <c r="AC48" s="7" t="str">
        <f>IF(宠物经验!AC49="","",INT(宠物经验!$B49*宠物经验!AC49))</f>
        <v/>
      </c>
      <c r="AD48" s="7" t="str">
        <f>IF(宠物经验!AD49="","",INT(宠物经验!$B49*宠物经验!AD49))</f>
        <v/>
      </c>
      <c r="AE48" s="7" t="str">
        <f>IF(宠物经验!AE49="","",INT(宠物经验!$B49*宠物经验!AE49))</f>
        <v/>
      </c>
      <c r="AF48" s="7">
        <f>宠物经验!AH49</f>
        <v>135220</v>
      </c>
      <c r="AG48" s="7">
        <f>宠物经验!AO49</f>
        <v>3917</v>
      </c>
    </row>
    <row r="49" spans="1:36">
      <c r="A49" s="32">
        <v>48</v>
      </c>
      <c r="B49" s="87">
        <f>宠物经验!B50</f>
        <v>240000</v>
      </c>
      <c r="C49" s="7">
        <f>IF(宠物经验!C50="","",INT(宠物经验!$B50*宠物经验!C50))</f>
        <v>239976</v>
      </c>
      <c r="D49" s="7">
        <f>IF(宠物经验!D50="","",INT(宠物经验!$B50*宠物经验!D50))</f>
        <v>264000</v>
      </c>
      <c r="E49" s="7" t="str">
        <f>IF(宠物经验!E50="","",INT(宠物经验!$B50*宠物经验!E50))</f>
        <v/>
      </c>
      <c r="F49" s="7">
        <f>IF(宠物经验!F50="","",INT(宠物经验!$B50*宠物经验!F50))</f>
        <v>360000</v>
      </c>
      <c r="G49" s="7">
        <f>IF(宠物经验!G50="","",INT(宠物经验!$B50*宠物经验!G50))</f>
        <v>159984</v>
      </c>
      <c r="H49" s="7" t="str">
        <f>IF(宠物经验!H50="","",INT(宠物经验!$B50*宠物经验!H50))</f>
        <v/>
      </c>
      <c r="I49" s="7" t="str">
        <f>IF(宠物经验!I50="","",INT(宠物经验!$B50*宠物经验!I50))</f>
        <v/>
      </c>
      <c r="J49" s="7" t="str">
        <f>IF(宠物经验!J50="","",INT(宠物经验!$B50*宠物经验!J50))</f>
        <v/>
      </c>
      <c r="K49" s="7">
        <f>IF(宠物经验!K50="","",INT(宠物经验!$B50*宠物经验!K50))</f>
        <v>240000</v>
      </c>
      <c r="L49" s="7" t="str">
        <f>IF(宠物经验!L50="","",INT(宠物经验!$B50*宠物经验!L50))</f>
        <v/>
      </c>
      <c r="M49" s="7" t="str">
        <f>IF(宠物经验!M50="","",INT(宠物经验!$B50*宠物经验!M50))</f>
        <v/>
      </c>
      <c r="N49" s="7">
        <f>IF(宠物经验!N50="","",INT(宠物经验!$B50*宠物经验!N50))</f>
        <v>2880000</v>
      </c>
      <c r="O49" s="7" t="str">
        <f>IF(宠物经验!O50="","",INT(宠物经验!$B50*宠物经验!O50))</f>
        <v/>
      </c>
      <c r="P49" s="7" t="str">
        <f>IF(宠物经验!P50="","",INT(宠物经验!$B50*宠物经验!P50))</f>
        <v/>
      </c>
      <c r="Q49" s="7">
        <f>IF(宠物经验!Q50="","",INT(宠物经验!$B50*宠物经验!Q50))</f>
        <v>1248000</v>
      </c>
      <c r="R49" s="7" t="str">
        <f>IF(宠物经验!R50="","",INT(宠物经验!$B50*宠物经验!R50))</f>
        <v/>
      </c>
      <c r="S49" s="7">
        <f>IF(宠物经验!S50="","",INT(宠物经验!$B50*宠物经验!S50))</f>
        <v>119988</v>
      </c>
      <c r="T49" s="7">
        <f>IF(宠物经验!T50="","",INT(宠物经验!$B50*宠物经验!T50))</f>
        <v>180000</v>
      </c>
      <c r="U49" s="7">
        <f>IF(宠物经验!U50="","",INT(宠物经验!$B50*宠物经验!U50))</f>
        <v>0</v>
      </c>
      <c r="V49" s="7">
        <f>IF(宠物经验!V50="","",INT(宠物经验!$B50*宠物经验!V50))</f>
        <v>80016</v>
      </c>
      <c r="W49" s="7" t="str">
        <f>IF(宠物经验!W50="","",INT(宠物经验!$B50*宠物经验!W50))</f>
        <v/>
      </c>
      <c r="X49" s="7" t="str">
        <f>IF(宠物经验!X50="","",INT(宠物经验!$B50*宠物经验!X50))</f>
        <v/>
      </c>
      <c r="Y49" s="7">
        <f>IF(宠物经验!Y50="","",INT(宠物经验!$B50*宠物经验!Y50))</f>
        <v>60000</v>
      </c>
      <c r="Z49" s="7" t="str">
        <f>IF(宠物经验!Z50="","",INT(宠物经验!$B50*宠物经验!Z50))</f>
        <v/>
      </c>
      <c r="AA49" s="7">
        <f>IF(宠物经验!AA50="","",INT(宠物经验!$B50*宠物经验!AA50))</f>
        <v>20004</v>
      </c>
      <c r="AB49" s="7" t="str">
        <f>IF(宠物经验!AB50="","",INT(宠物经验!$B50*宠物经验!AB50))</f>
        <v/>
      </c>
      <c r="AC49" s="7" t="str">
        <f>IF(宠物经验!AC50="","",INT(宠物经验!$B50*宠物经验!AC50))</f>
        <v/>
      </c>
      <c r="AD49" s="7" t="str">
        <f>IF(宠物经验!AD50="","",INT(宠物经验!$B50*宠物经验!AD50))</f>
        <v/>
      </c>
      <c r="AE49" s="7" t="str">
        <f>IF(宠物经验!AE50="","",INT(宠物经验!$B50*宠物经验!AE50))</f>
        <v/>
      </c>
      <c r="AF49" s="7">
        <f>宠物经验!AH50</f>
        <v>140470</v>
      </c>
      <c r="AG49" s="7">
        <f>宠物经验!AO50</f>
        <v>4000</v>
      </c>
    </row>
    <row r="50" spans="1:36">
      <c r="A50" s="32">
        <v>49</v>
      </c>
      <c r="B50" s="87">
        <f>宠物经验!B51</f>
        <v>245000</v>
      </c>
      <c r="C50" s="7">
        <f>IF(宠物经验!C51="","",INT(宠物经验!$B51*宠物经验!C51))</f>
        <v>244975</v>
      </c>
      <c r="D50" s="7">
        <f>IF(宠物经验!D51="","",INT(宠物经验!$B51*宠物经验!D51))</f>
        <v>269500</v>
      </c>
      <c r="E50" s="7" t="str">
        <f>IF(宠物经验!E51="","",INT(宠物经验!$B51*宠物经验!E51))</f>
        <v/>
      </c>
      <c r="F50" s="7">
        <f>IF(宠物经验!F51="","",INT(宠物经验!$B51*宠物经验!F51))</f>
        <v>367500</v>
      </c>
      <c r="G50" s="7">
        <f>IF(宠物经验!G51="","",INT(宠物经验!$B51*宠物经验!G51))</f>
        <v>163317</v>
      </c>
      <c r="H50" s="7" t="str">
        <f>IF(宠物经验!H51="","",INT(宠物经验!$B51*宠物经验!H51))</f>
        <v/>
      </c>
      <c r="I50" s="7" t="str">
        <f>IF(宠物经验!I51="","",INT(宠物经验!$B51*宠物经验!I51))</f>
        <v/>
      </c>
      <c r="J50" s="7" t="str">
        <f>IF(宠物经验!J51="","",INT(宠物经验!$B51*宠物经验!J51))</f>
        <v/>
      </c>
      <c r="K50" s="7">
        <f>IF(宠物经验!K51="","",INT(宠物经验!$B51*宠物经验!K51))</f>
        <v>245000</v>
      </c>
      <c r="L50" s="7" t="str">
        <f>IF(宠物经验!L51="","",INT(宠物经验!$B51*宠物经验!L51))</f>
        <v/>
      </c>
      <c r="M50" s="7" t="str">
        <f>IF(宠物经验!M51="","",INT(宠物经验!$B51*宠物经验!M51))</f>
        <v/>
      </c>
      <c r="N50" s="7">
        <f>IF(宠物经验!N51="","",INT(宠物经验!$B51*宠物经验!N51))</f>
        <v>2940000</v>
      </c>
      <c r="O50" s="7" t="str">
        <f>IF(宠物经验!O51="","",INT(宠物经验!$B51*宠物经验!O51))</f>
        <v/>
      </c>
      <c r="P50" s="7" t="str">
        <f>IF(宠物经验!P51="","",INT(宠物经验!$B51*宠物经验!P51))</f>
        <v/>
      </c>
      <c r="Q50" s="7">
        <f>IF(宠物经验!Q51="","",INT(宠物经验!$B51*宠物经验!Q51))</f>
        <v>1274000</v>
      </c>
      <c r="R50" s="7" t="str">
        <f>IF(宠物经验!R51="","",INT(宠物经验!$B51*宠物经验!R51))</f>
        <v/>
      </c>
      <c r="S50" s="7">
        <f>IF(宠物经验!S51="","",INT(宠物经验!$B51*宠物经验!S51))</f>
        <v>122487</v>
      </c>
      <c r="T50" s="7">
        <f>IF(宠物经验!T51="","",INT(宠物经验!$B51*宠物经验!T51))</f>
        <v>183750</v>
      </c>
      <c r="U50" s="7">
        <f>IF(宠物经验!U51="","",INT(宠物经验!$B51*宠物经验!U51))</f>
        <v>0</v>
      </c>
      <c r="V50" s="7">
        <f>IF(宠物经验!V51="","",INT(宠物经验!$B51*宠物经验!V51))</f>
        <v>81683</v>
      </c>
      <c r="W50" s="7" t="str">
        <f>IF(宠物经验!W51="","",INT(宠物经验!$B51*宠物经验!W51))</f>
        <v/>
      </c>
      <c r="X50" s="7" t="str">
        <f>IF(宠物经验!X51="","",INT(宠物经验!$B51*宠物经验!X51))</f>
        <v/>
      </c>
      <c r="Y50" s="7">
        <f>IF(宠物经验!Y51="","",INT(宠物经验!$B51*宠物经验!Y51))</f>
        <v>61250</v>
      </c>
      <c r="Z50" s="7" t="str">
        <f>IF(宠物经验!Z51="","",INT(宠物经验!$B51*宠物经验!Z51))</f>
        <v/>
      </c>
      <c r="AA50" s="7">
        <f>IF(宠物经验!AA51="","",INT(宠物经验!$B51*宠物经验!AA51))</f>
        <v>20420</v>
      </c>
      <c r="AB50" s="7" t="str">
        <f>IF(宠物经验!AB51="","",INT(宠物经验!$B51*宠物经验!AB51))</f>
        <v/>
      </c>
      <c r="AC50" s="7" t="str">
        <f>IF(宠物经验!AC51="","",INT(宠物经验!$B51*宠物经验!AC51))</f>
        <v/>
      </c>
      <c r="AD50" s="7" t="str">
        <f>IF(宠物经验!AD51="","",INT(宠物经验!$B51*宠物经验!AD51))</f>
        <v/>
      </c>
      <c r="AE50" s="7" t="str">
        <f>IF(宠物经验!AE51="","",INT(宠物经验!$B51*宠物经验!AE51))</f>
        <v/>
      </c>
      <c r="AF50" s="7">
        <f>宠物经验!AH51</f>
        <v>145820</v>
      </c>
      <c r="AG50" s="7">
        <f>宠物经验!AO51</f>
        <v>4083</v>
      </c>
    </row>
    <row r="51" spans="1:36" s="10" customFormat="1">
      <c r="A51" s="70">
        <v>50</v>
      </c>
      <c r="B51" s="89">
        <f>宠物经验!B52</f>
        <v>250000</v>
      </c>
      <c r="C51" s="10">
        <f>IF(宠物经验!C52="","",INT(宠物经验!$B52*宠物经验!C52))</f>
        <v>249975</v>
      </c>
      <c r="D51" s="10">
        <f>IF(宠物经验!D52="","",INT(宠物经验!$B52*宠物经验!D52))</f>
        <v>275000</v>
      </c>
      <c r="E51" s="10" t="str">
        <f>IF(宠物经验!E52="","",INT(宠物经验!$B52*宠物经验!E52))</f>
        <v/>
      </c>
      <c r="F51" s="10">
        <f>IF(宠物经验!F52="","",INT(宠物经验!$B52*宠物经验!F52))</f>
        <v>375000</v>
      </c>
      <c r="G51" s="10">
        <f>IF(宠物经验!G52="","",INT(宠物经验!$B52*宠物经验!G52))</f>
        <v>166650</v>
      </c>
      <c r="H51" s="10" t="str">
        <f>IF(宠物经验!H52="","",INT(宠物经验!$B52*宠物经验!H52))</f>
        <v/>
      </c>
      <c r="I51" s="10" t="str">
        <f>IF(宠物经验!I52="","",INT(宠物经验!$B52*宠物经验!I52))</f>
        <v/>
      </c>
      <c r="J51" s="10" t="str">
        <f>IF(宠物经验!J52="","",INT(宠物经验!$B52*宠物经验!J52))</f>
        <v/>
      </c>
      <c r="K51" s="10">
        <f>IF(宠物经验!K52="","",INT(宠物经验!$B52*宠物经验!K52))</f>
        <v>250000</v>
      </c>
      <c r="L51" s="10" t="str">
        <f>IF(宠物经验!L52="","",INT(宠物经验!$B52*宠物经验!L52))</f>
        <v/>
      </c>
      <c r="M51" s="10" t="str">
        <f>IF(宠物经验!M52="","",INT(宠物经验!$B52*宠物经验!M52))</f>
        <v/>
      </c>
      <c r="N51" s="10">
        <f>IF(宠物经验!N52="","",INT(宠物经验!$B52*宠物经验!N52))</f>
        <v>3000000</v>
      </c>
      <c r="O51" s="10" t="str">
        <f>IF(宠物经验!O52="","",INT(宠物经验!$B52*宠物经验!O52))</f>
        <v/>
      </c>
      <c r="P51" s="10" t="str">
        <f>IF(宠物经验!P52="","",INT(宠物经验!$B52*宠物经验!P52))</f>
        <v/>
      </c>
      <c r="Q51" s="10">
        <f>IF(宠物经验!Q52="","",INT(宠物经验!$B52*宠物经验!Q52))</f>
        <v>1300000</v>
      </c>
      <c r="R51" s="10" t="str">
        <f>IF(宠物经验!R52="","",INT(宠物经验!$B52*宠物经验!R52))</f>
        <v/>
      </c>
      <c r="S51" s="10">
        <f>IF(宠物经验!S52="","",INT(宠物经验!$B52*宠物经验!S52))</f>
        <v>124987</v>
      </c>
      <c r="T51" s="10">
        <f>IF(宠物经验!T52="","",INT(宠物经验!$B52*宠物经验!T52))</f>
        <v>0</v>
      </c>
      <c r="U51" s="10">
        <f>IF(宠物经验!U52="","",INT(宠物经验!$B52*宠物经验!U52))</f>
        <v>124987</v>
      </c>
      <c r="V51" s="10">
        <f>IF(宠物经验!V52="","",INT(宠物经验!$B52*宠物经验!V52))</f>
        <v>83350</v>
      </c>
      <c r="W51" s="10" t="str">
        <f>IF(宠物经验!W52="","",INT(宠物经验!$B52*宠物经验!W52))</f>
        <v/>
      </c>
      <c r="X51" s="10" t="str">
        <f>IF(宠物经验!X52="","",INT(宠物经验!$B52*宠物经验!X52))</f>
        <v/>
      </c>
      <c r="Y51" s="10">
        <f>IF(宠物经验!Y52="","",INT(宠物经验!$B52*宠物经验!Y52))</f>
        <v>62500</v>
      </c>
      <c r="Z51" s="10" t="str">
        <f>IF(宠物经验!Z52="","",INT(宠物经验!$B52*宠物经验!Z52))</f>
        <v/>
      </c>
      <c r="AA51" s="10">
        <f>IF(宠物经验!AA52="","",INT(宠物经验!$B52*宠物经验!AA52))</f>
        <v>20837</v>
      </c>
      <c r="AB51" s="10" t="str">
        <f>IF(宠物经验!AB52="","",INT(宠物经验!$B52*宠物经验!AB52))</f>
        <v/>
      </c>
      <c r="AC51" s="10" t="str">
        <f>IF(宠物经验!AC52="","",INT(宠物经验!$B52*宠物经验!AC52))</f>
        <v/>
      </c>
      <c r="AD51" s="10" t="str">
        <f>IF(宠物经验!AD52="","",INT(宠物经验!$B52*宠物经验!AD52))</f>
        <v/>
      </c>
      <c r="AE51" s="10" t="str">
        <f>IF(宠物经验!AE52="","",INT(宠物经验!$B52*宠物经验!AE52))</f>
        <v/>
      </c>
      <c r="AF51" s="10">
        <f>宠物经验!AH52</f>
        <v>151270</v>
      </c>
      <c r="AG51" s="10">
        <f>宠物经验!AO52</f>
        <v>4167</v>
      </c>
      <c r="AH51" s="98">
        <f>Y51*3.5/13.5</f>
        <v>16203.703703703704</v>
      </c>
      <c r="AI51" s="98"/>
      <c r="AJ51" s="98">
        <f>AA51*7/10</f>
        <v>14585.9</v>
      </c>
    </row>
    <row r="52" spans="1:36">
      <c r="A52" s="32">
        <v>51</v>
      </c>
      <c r="B52" s="87">
        <f>宠物经验!B53</f>
        <v>255000</v>
      </c>
      <c r="C52" s="7">
        <f>IF(宠物经验!C53="","",INT(宠物经验!$B53*宠物经验!C53))</f>
        <v>254974</v>
      </c>
      <c r="D52" s="7">
        <f>IF(宠物经验!D53="","",INT(宠物经验!$B53*宠物经验!D53))</f>
        <v>280500</v>
      </c>
      <c r="E52" s="7" t="str">
        <f>IF(宠物经验!E53="","",INT(宠物经验!$B53*宠物经验!E53))</f>
        <v/>
      </c>
      <c r="F52" s="7">
        <f>IF(宠物经验!F53="","",INT(宠物经验!$B53*宠物经验!F53))</f>
        <v>382500</v>
      </c>
      <c r="G52" s="7">
        <f>IF(宠物经验!G53="","",INT(宠物经验!$B53*宠物经验!G53))</f>
        <v>169983</v>
      </c>
      <c r="H52" s="7" t="str">
        <f>IF(宠物经验!H53="","",INT(宠物经验!$B53*宠物经验!H53))</f>
        <v/>
      </c>
      <c r="I52" s="7" t="str">
        <f>IF(宠物经验!I53="","",INT(宠物经验!$B53*宠物经验!I53))</f>
        <v/>
      </c>
      <c r="J52" s="7" t="str">
        <f>IF(宠物经验!J53="","",INT(宠物经验!$B53*宠物经验!J53))</f>
        <v/>
      </c>
      <c r="K52" s="7">
        <f>IF(宠物经验!K53="","",INT(宠物经验!$B53*宠物经验!K53))</f>
        <v>255000</v>
      </c>
      <c r="L52" s="7" t="str">
        <f>IF(宠物经验!L53="","",INT(宠物经验!$B53*宠物经验!L53))</f>
        <v/>
      </c>
      <c r="M52" s="7" t="str">
        <f>IF(宠物经验!M53="","",INT(宠物经验!$B53*宠物经验!M53))</f>
        <v/>
      </c>
      <c r="N52" s="7">
        <f>IF(宠物经验!N53="","",INT(宠物经验!$B53*宠物经验!N53))</f>
        <v>3060000</v>
      </c>
      <c r="O52" s="7" t="str">
        <f>IF(宠物经验!O53="","",INT(宠物经验!$B53*宠物经验!O53))</f>
        <v/>
      </c>
      <c r="P52" s="7" t="str">
        <f>IF(宠物经验!P53="","",INT(宠物经验!$B53*宠物经验!P53))</f>
        <v/>
      </c>
      <c r="Q52" s="7">
        <f>IF(宠物经验!Q53="","",INT(宠物经验!$B53*宠物经验!Q53))</f>
        <v>1326000</v>
      </c>
      <c r="R52" s="7" t="str">
        <f>IF(宠物经验!R53="","",INT(宠物经验!$B53*宠物经验!R53))</f>
        <v/>
      </c>
      <c r="S52" s="7">
        <f>IF(宠物经验!S53="","",INT(宠物经验!$B53*宠物经验!S53))</f>
        <v>127487</v>
      </c>
      <c r="T52" s="7">
        <f>IF(宠物经验!T53="","",INT(宠物经验!$B53*宠物经验!T53))</f>
        <v>0</v>
      </c>
      <c r="U52" s="7">
        <f>IF(宠物经验!U53="","",INT(宠物经验!$B53*宠物经验!U53))</f>
        <v>127487</v>
      </c>
      <c r="V52" s="7">
        <f>IF(宠物经验!V53="","",INT(宠物经验!$B53*宠物经验!V53))</f>
        <v>85017</v>
      </c>
      <c r="W52" s="7" t="str">
        <f>IF(宠物经验!W53="","",INT(宠物经验!$B53*宠物经验!W53))</f>
        <v/>
      </c>
      <c r="X52" s="7" t="str">
        <f>IF(宠物经验!X53="","",INT(宠物经验!$B53*宠物经验!X53))</f>
        <v/>
      </c>
      <c r="Y52" s="7">
        <f>IF(宠物经验!Y53="","",INT(宠物经验!$B53*宠物经验!Y53))</f>
        <v>63750</v>
      </c>
      <c r="Z52" s="7" t="str">
        <f>IF(宠物经验!Z53="","",INT(宠物经验!$B53*宠物经验!Z53))</f>
        <v/>
      </c>
      <c r="AA52" s="7">
        <f>IF(宠物经验!AA53="","",INT(宠物经验!$B53*宠物经验!AA53))</f>
        <v>21254</v>
      </c>
      <c r="AB52" s="7" t="str">
        <f>IF(宠物经验!AB53="","",INT(宠物经验!$B53*宠物经验!AB53))</f>
        <v/>
      </c>
      <c r="AC52" s="7" t="str">
        <f>IF(宠物经验!AC53="","",INT(宠物经验!$B53*宠物经验!AC53))</f>
        <v/>
      </c>
      <c r="AD52" s="7" t="str">
        <f>IF(宠物经验!AD53="","",INT(宠物经验!$B53*宠物经验!AD53))</f>
        <v/>
      </c>
      <c r="AE52" s="7" t="str">
        <f>IF(宠物经验!AE53="","",INT(宠物经验!$B53*宠物经验!AE53))</f>
        <v/>
      </c>
      <c r="AF52" s="7">
        <f>宠物经验!AH53</f>
        <v>156820</v>
      </c>
      <c r="AG52" s="7">
        <f>宠物经验!AO53</f>
        <v>4250</v>
      </c>
      <c r="AH52" s="2"/>
      <c r="AI52" s="2"/>
      <c r="AJ52" s="2"/>
    </row>
    <row r="53" spans="1:36">
      <c r="A53" s="32">
        <v>52</v>
      </c>
      <c r="B53" s="87">
        <f>宠物经验!B54</f>
        <v>260000</v>
      </c>
      <c r="C53" s="7">
        <f>IF(宠物经验!C54="","",INT(宠物经验!$B54*宠物经验!C54))</f>
        <v>259974</v>
      </c>
      <c r="D53" s="7">
        <f>IF(宠物经验!D54="","",INT(宠物经验!$B54*宠物经验!D54))</f>
        <v>286000</v>
      </c>
      <c r="E53" s="7" t="str">
        <f>IF(宠物经验!E54="","",INT(宠物经验!$B54*宠物经验!E54))</f>
        <v/>
      </c>
      <c r="F53" s="7">
        <f>IF(宠物经验!F54="","",INT(宠物经验!$B54*宠物经验!F54))</f>
        <v>390000</v>
      </c>
      <c r="G53" s="7">
        <f>IF(宠物经验!G54="","",INT(宠物经验!$B54*宠物经验!G54))</f>
        <v>173316</v>
      </c>
      <c r="H53" s="7" t="str">
        <f>IF(宠物经验!H54="","",INT(宠物经验!$B54*宠物经验!H54))</f>
        <v/>
      </c>
      <c r="I53" s="7" t="str">
        <f>IF(宠物经验!I54="","",INT(宠物经验!$B54*宠物经验!I54))</f>
        <v/>
      </c>
      <c r="J53" s="7" t="str">
        <f>IF(宠物经验!J54="","",INT(宠物经验!$B54*宠物经验!J54))</f>
        <v/>
      </c>
      <c r="K53" s="7">
        <f>IF(宠物经验!K54="","",INT(宠物经验!$B54*宠物经验!K54))</f>
        <v>260000</v>
      </c>
      <c r="L53" s="7" t="str">
        <f>IF(宠物经验!L54="","",INT(宠物经验!$B54*宠物经验!L54))</f>
        <v/>
      </c>
      <c r="M53" s="7" t="str">
        <f>IF(宠物经验!M54="","",INT(宠物经验!$B54*宠物经验!M54))</f>
        <v/>
      </c>
      <c r="N53" s="7">
        <f>IF(宠物经验!N54="","",INT(宠物经验!$B54*宠物经验!N54))</f>
        <v>3120000</v>
      </c>
      <c r="O53" s="7" t="str">
        <f>IF(宠物经验!O54="","",INT(宠物经验!$B54*宠物经验!O54))</f>
        <v/>
      </c>
      <c r="P53" s="7" t="str">
        <f>IF(宠物经验!P54="","",INT(宠物经验!$B54*宠物经验!P54))</f>
        <v/>
      </c>
      <c r="Q53" s="7">
        <f>IF(宠物经验!Q54="","",INT(宠物经验!$B54*宠物经验!Q54))</f>
        <v>1352000</v>
      </c>
      <c r="R53" s="7" t="str">
        <f>IF(宠物经验!R54="","",INT(宠物经验!$B54*宠物经验!R54))</f>
        <v/>
      </c>
      <c r="S53" s="7">
        <f>IF(宠物经验!S54="","",INT(宠物经验!$B54*宠物经验!S54))</f>
        <v>129987</v>
      </c>
      <c r="T53" s="7">
        <f>IF(宠物经验!T54="","",INT(宠物经验!$B54*宠物经验!T54))</f>
        <v>0</v>
      </c>
      <c r="U53" s="7">
        <f>IF(宠物经验!U54="","",INT(宠物经验!$B54*宠物经验!U54))</f>
        <v>129987</v>
      </c>
      <c r="V53" s="7">
        <f>IF(宠物经验!V54="","",INT(宠物经验!$B54*宠物经验!V54))</f>
        <v>86684</v>
      </c>
      <c r="W53" s="7" t="str">
        <f>IF(宠物经验!W54="","",INT(宠物经验!$B54*宠物经验!W54))</f>
        <v/>
      </c>
      <c r="X53" s="7" t="str">
        <f>IF(宠物经验!X54="","",INT(宠物经验!$B54*宠物经验!X54))</f>
        <v/>
      </c>
      <c r="Y53" s="7">
        <f>IF(宠物经验!Y54="","",INT(宠物经验!$B54*宠物经验!Y54))</f>
        <v>65000</v>
      </c>
      <c r="Z53" s="7" t="str">
        <f>IF(宠物经验!Z54="","",INT(宠物经验!$B54*宠物经验!Z54))</f>
        <v/>
      </c>
      <c r="AA53" s="7">
        <f>IF(宠物经验!AA54="","",INT(宠物经验!$B54*宠物经验!AA54))</f>
        <v>21671</v>
      </c>
      <c r="AB53" s="7" t="str">
        <f>IF(宠物经验!AB54="","",INT(宠物经验!$B54*宠物经验!AB54))</f>
        <v/>
      </c>
      <c r="AC53" s="7" t="str">
        <f>IF(宠物经验!AC54="","",INT(宠物经验!$B54*宠物经验!AC54))</f>
        <v/>
      </c>
      <c r="AD53" s="7" t="str">
        <f>IF(宠物经验!AD54="","",INT(宠物经验!$B54*宠物经验!AD54))</f>
        <v/>
      </c>
      <c r="AE53" s="7" t="str">
        <f>IF(宠物经验!AE54="","",INT(宠物经验!$B54*宠物经验!AE54))</f>
        <v/>
      </c>
      <c r="AF53" s="7">
        <f>宠物经验!AH54</f>
        <v>162470</v>
      </c>
      <c r="AG53" s="7">
        <f>宠物经验!AO54</f>
        <v>4333</v>
      </c>
      <c r="AH53" s="2"/>
      <c r="AI53" s="2"/>
      <c r="AJ53" s="2"/>
    </row>
    <row r="54" spans="1:36">
      <c r="A54" s="32">
        <v>53</v>
      </c>
      <c r="B54" s="87">
        <f>宠物经验!B55</f>
        <v>265000</v>
      </c>
      <c r="C54" s="7">
        <f>IF(宠物经验!C55="","",INT(宠物经验!$B55*宠物经验!C55))</f>
        <v>264973</v>
      </c>
      <c r="D54" s="7">
        <f>IF(宠物经验!D55="","",INT(宠物经验!$B55*宠物经验!D55))</f>
        <v>291500</v>
      </c>
      <c r="E54" s="7" t="str">
        <f>IF(宠物经验!E55="","",INT(宠物经验!$B55*宠物经验!E55))</f>
        <v/>
      </c>
      <c r="F54" s="7">
        <f>IF(宠物经验!F55="","",INT(宠物经验!$B55*宠物经验!F55))</f>
        <v>397500</v>
      </c>
      <c r="G54" s="7">
        <f>IF(宠物经验!G55="","",INT(宠物经验!$B55*宠物经验!G55))</f>
        <v>176649</v>
      </c>
      <c r="H54" s="7" t="str">
        <f>IF(宠物经验!H55="","",INT(宠物经验!$B55*宠物经验!H55))</f>
        <v/>
      </c>
      <c r="I54" s="7" t="str">
        <f>IF(宠物经验!I55="","",INT(宠物经验!$B55*宠物经验!I55))</f>
        <v/>
      </c>
      <c r="J54" s="7" t="str">
        <f>IF(宠物经验!J55="","",INT(宠物经验!$B55*宠物经验!J55))</f>
        <v/>
      </c>
      <c r="K54" s="7">
        <f>IF(宠物经验!K55="","",INT(宠物经验!$B55*宠物经验!K55))</f>
        <v>265000</v>
      </c>
      <c r="L54" s="7" t="str">
        <f>IF(宠物经验!L55="","",INT(宠物经验!$B55*宠物经验!L55))</f>
        <v/>
      </c>
      <c r="M54" s="7" t="str">
        <f>IF(宠物经验!M55="","",INT(宠物经验!$B55*宠物经验!M55))</f>
        <v/>
      </c>
      <c r="N54" s="7">
        <f>IF(宠物经验!N55="","",INT(宠物经验!$B55*宠物经验!N55))</f>
        <v>3180000</v>
      </c>
      <c r="O54" s="7" t="str">
        <f>IF(宠物经验!O55="","",INT(宠物经验!$B55*宠物经验!O55))</f>
        <v/>
      </c>
      <c r="P54" s="7" t="str">
        <f>IF(宠物经验!P55="","",INT(宠物经验!$B55*宠物经验!P55))</f>
        <v/>
      </c>
      <c r="Q54" s="7">
        <f>IF(宠物经验!Q55="","",INT(宠物经验!$B55*宠物经验!Q55))</f>
        <v>1378000</v>
      </c>
      <c r="R54" s="7" t="str">
        <f>IF(宠物经验!R55="","",INT(宠物经验!$B55*宠物经验!R55))</f>
        <v/>
      </c>
      <c r="S54" s="7">
        <f>IF(宠物经验!S55="","",INT(宠物经验!$B55*宠物经验!S55))</f>
        <v>132486</v>
      </c>
      <c r="T54" s="7">
        <f>IF(宠物经验!T55="","",INT(宠物经验!$B55*宠物经验!T55))</f>
        <v>0</v>
      </c>
      <c r="U54" s="7">
        <f>IF(宠物经验!U55="","",INT(宠物经验!$B55*宠物经验!U55))</f>
        <v>132486</v>
      </c>
      <c r="V54" s="7">
        <f>IF(宠物经验!V55="","",INT(宠物经验!$B55*宠物经验!V55))</f>
        <v>88351</v>
      </c>
      <c r="W54" s="7" t="str">
        <f>IF(宠物经验!W55="","",INT(宠物经验!$B55*宠物经验!W55))</f>
        <v/>
      </c>
      <c r="X54" s="7" t="str">
        <f>IF(宠物经验!X55="","",INT(宠物经验!$B55*宠物经验!X55))</f>
        <v/>
      </c>
      <c r="Y54" s="7">
        <f>IF(宠物经验!Y55="","",INT(宠物经验!$B55*宠物经验!Y55))</f>
        <v>66250</v>
      </c>
      <c r="Z54" s="7" t="str">
        <f>IF(宠物经验!Z55="","",INT(宠物经验!$B55*宠物经验!Z55))</f>
        <v/>
      </c>
      <c r="AA54" s="7">
        <f>IF(宠物经验!AA55="","",INT(宠物经验!$B55*宠物经验!AA55))</f>
        <v>22087</v>
      </c>
      <c r="AB54" s="7" t="str">
        <f>IF(宠物经验!AB55="","",INT(宠物经验!$B55*宠物经验!AB55))</f>
        <v/>
      </c>
      <c r="AC54" s="7" t="str">
        <f>IF(宠物经验!AC55="","",INT(宠物经验!$B55*宠物经验!AC55))</f>
        <v/>
      </c>
      <c r="AD54" s="7" t="str">
        <f>IF(宠物经验!AD55="","",INT(宠物经验!$B55*宠物经验!AD55))</f>
        <v/>
      </c>
      <c r="AE54" s="7" t="str">
        <f>IF(宠物经验!AE55="","",INT(宠物经验!$B55*宠物经验!AE55))</f>
        <v/>
      </c>
      <c r="AF54" s="7">
        <f>宠物经验!AH55</f>
        <v>168220</v>
      </c>
      <c r="AG54" s="7">
        <f>宠物经验!AO55</f>
        <v>4417</v>
      </c>
      <c r="AH54" s="2"/>
      <c r="AI54" s="2"/>
      <c r="AJ54" s="2"/>
    </row>
    <row r="55" spans="1:36">
      <c r="A55" s="32">
        <v>54</v>
      </c>
      <c r="B55" s="87">
        <f>宠物经验!B56</f>
        <v>270000</v>
      </c>
      <c r="C55" s="7">
        <f>IF(宠物经验!C56="","",INT(宠物经验!$B56*宠物经验!C56))</f>
        <v>269973</v>
      </c>
      <c r="D55" s="7">
        <f>IF(宠物经验!D56="","",INT(宠物经验!$B56*宠物经验!D56))</f>
        <v>297000</v>
      </c>
      <c r="E55" s="7" t="str">
        <f>IF(宠物经验!E56="","",INT(宠物经验!$B56*宠物经验!E56))</f>
        <v/>
      </c>
      <c r="F55" s="7">
        <f>IF(宠物经验!F56="","",INT(宠物经验!$B56*宠物经验!F56))</f>
        <v>405000</v>
      </c>
      <c r="G55" s="7">
        <f>IF(宠物经验!G56="","",INT(宠物经验!$B56*宠物经验!G56))</f>
        <v>179982</v>
      </c>
      <c r="H55" s="7" t="str">
        <f>IF(宠物经验!H56="","",INT(宠物经验!$B56*宠物经验!H56))</f>
        <v/>
      </c>
      <c r="I55" s="7" t="str">
        <f>IF(宠物经验!I56="","",INT(宠物经验!$B56*宠物经验!I56))</f>
        <v/>
      </c>
      <c r="J55" s="7" t="str">
        <f>IF(宠物经验!J56="","",INT(宠物经验!$B56*宠物经验!J56))</f>
        <v/>
      </c>
      <c r="K55" s="7">
        <f>IF(宠物经验!K56="","",INT(宠物经验!$B56*宠物经验!K56))</f>
        <v>270000</v>
      </c>
      <c r="L55" s="7" t="str">
        <f>IF(宠物经验!L56="","",INT(宠物经验!$B56*宠物经验!L56))</f>
        <v/>
      </c>
      <c r="M55" s="7" t="str">
        <f>IF(宠物经验!M56="","",INT(宠物经验!$B56*宠物经验!M56))</f>
        <v/>
      </c>
      <c r="N55" s="7">
        <f>IF(宠物经验!N56="","",INT(宠物经验!$B56*宠物经验!N56))</f>
        <v>3240000</v>
      </c>
      <c r="O55" s="7" t="str">
        <f>IF(宠物经验!O56="","",INT(宠物经验!$B56*宠物经验!O56))</f>
        <v/>
      </c>
      <c r="P55" s="7" t="str">
        <f>IF(宠物经验!P56="","",INT(宠物经验!$B56*宠物经验!P56))</f>
        <v/>
      </c>
      <c r="Q55" s="7">
        <f>IF(宠物经验!Q56="","",INT(宠物经验!$B56*宠物经验!Q56))</f>
        <v>1404000</v>
      </c>
      <c r="R55" s="7" t="str">
        <f>IF(宠物经验!R56="","",INT(宠物经验!$B56*宠物经验!R56))</f>
        <v/>
      </c>
      <c r="S55" s="7">
        <f>IF(宠物经验!S56="","",INT(宠物经验!$B56*宠物经验!S56))</f>
        <v>134986</v>
      </c>
      <c r="T55" s="7">
        <f>IF(宠物经验!T56="","",INT(宠物经验!$B56*宠物经验!T56))</f>
        <v>0</v>
      </c>
      <c r="U55" s="7">
        <f>IF(宠物经验!U56="","",INT(宠物经验!$B56*宠物经验!U56))</f>
        <v>134986</v>
      </c>
      <c r="V55" s="7">
        <f>IF(宠物经验!V56="","",INT(宠物经验!$B56*宠物经验!V56))</f>
        <v>90018</v>
      </c>
      <c r="W55" s="7" t="str">
        <f>IF(宠物经验!W56="","",INT(宠物经验!$B56*宠物经验!W56))</f>
        <v/>
      </c>
      <c r="X55" s="7" t="str">
        <f>IF(宠物经验!X56="","",INT(宠物经验!$B56*宠物经验!X56))</f>
        <v/>
      </c>
      <c r="Y55" s="7">
        <f>IF(宠物经验!Y56="","",INT(宠物经验!$B56*宠物经验!Y56))</f>
        <v>67500</v>
      </c>
      <c r="Z55" s="7" t="str">
        <f>IF(宠物经验!Z56="","",INT(宠物经验!$B56*宠物经验!Z56))</f>
        <v/>
      </c>
      <c r="AA55" s="7">
        <f>IF(宠物经验!AA56="","",INT(宠物经验!$B56*宠物经验!AA56))</f>
        <v>22504</v>
      </c>
      <c r="AB55" s="7" t="str">
        <f>IF(宠物经验!AB56="","",INT(宠物经验!$B56*宠物经验!AB56))</f>
        <v/>
      </c>
      <c r="AC55" s="7" t="str">
        <f>IF(宠物经验!AC56="","",INT(宠物经验!$B56*宠物经验!AC56))</f>
        <v/>
      </c>
      <c r="AD55" s="7" t="str">
        <f>IF(宠物经验!AD56="","",INT(宠物经验!$B56*宠物经验!AD56))</f>
        <v/>
      </c>
      <c r="AE55" s="7" t="str">
        <f>IF(宠物经验!AE56="","",INT(宠物经验!$B56*宠物经验!AE56))</f>
        <v/>
      </c>
      <c r="AF55" s="7">
        <f>宠物经验!AH56</f>
        <v>174070</v>
      </c>
      <c r="AG55" s="7">
        <f>宠物经验!AO56</f>
        <v>4500</v>
      </c>
      <c r="AH55" s="2"/>
      <c r="AI55" s="2"/>
      <c r="AJ55" s="2"/>
    </row>
    <row r="56" spans="1:36">
      <c r="A56" s="32">
        <v>55</v>
      </c>
      <c r="B56" s="87">
        <f>宠物经验!B57</f>
        <v>275000</v>
      </c>
      <c r="C56" s="7">
        <f>IF(宠物经验!C57="","",INT(宠物经验!$B57*宠物经验!C57))</f>
        <v>274972</v>
      </c>
      <c r="D56" s="7">
        <f>IF(宠物经验!D57="","",INT(宠物经验!$B57*宠物经验!D57))</f>
        <v>302500</v>
      </c>
      <c r="E56" s="7" t="str">
        <f>IF(宠物经验!E57="","",INT(宠物经验!$B57*宠物经验!E57))</f>
        <v/>
      </c>
      <c r="F56" s="7">
        <f>IF(宠物经验!F57="","",INT(宠物经验!$B57*宠物经验!F57))</f>
        <v>412500</v>
      </c>
      <c r="G56" s="7">
        <f>IF(宠物经验!G57="","",INT(宠物经验!$B57*宠物经验!G57))</f>
        <v>183315</v>
      </c>
      <c r="H56" s="7" t="str">
        <f>IF(宠物经验!H57="","",INT(宠物经验!$B57*宠物经验!H57))</f>
        <v/>
      </c>
      <c r="I56" s="7" t="str">
        <f>IF(宠物经验!I57="","",INT(宠物经验!$B57*宠物经验!I57))</f>
        <v/>
      </c>
      <c r="J56" s="7" t="str">
        <f>IF(宠物经验!J57="","",INT(宠物经验!$B57*宠物经验!J57))</f>
        <v/>
      </c>
      <c r="K56" s="7">
        <f>IF(宠物经验!K57="","",INT(宠物经验!$B57*宠物经验!K57))</f>
        <v>275000</v>
      </c>
      <c r="L56" s="7" t="str">
        <f>IF(宠物经验!L57="","",INT(宠物经验!$B57*宠物经验!L57))</f>
        <v/>
      </c>
      <c r="M56" s="7" t="str">
        <f>IF(宠物经验!M57="","",INT(宠物经验!$B57*宠物经验!M57))</f>
        <v/>
      </c>
      <c r="N56" s="7">
        <f>IF(宠物经验!N57="","",INT(宠物经验!$B57*宠物经验!N57))</f>
        <v>3300000</v>
      </c>
      <c r="O56" s="7" t="str">
        <f>IF(宠物经验!O57="","",INT(宠物经验!$B57*宠物经验!O57))</f>
        <v/>
      </c>
      <c r="P56" s="7" t="str">
        <f>IF(宠物经验!P57="","",INT(宠物经验!$B57*宠物经验!P57))</f>
        <v/>
      </c>
      <c r="Q56" s="7">
        <f>IF(宠物经验!Q57="","",INT(宠物经验!$B57*宠物经验!Q57))</f>
        <v>1430000</v>
      </c>
      <c r="R56" s="7" t="str">
        <f>IF(宠物经验!R57="","",INT(宠物经验!$B57*宠物经验!R57))</f>
        <v/>
      </c>
      <c r="S56" s="7">
        <f>IF(宠物经验!S57="","",INT(宠物经验!$B57*宠物经验!S57))</f>
        <v>137486</v>
      </c>
      <c r="T56" s="7">
        <f>IF(宠物经验!T57="","",INT(宠物经验!$B57*宠物经验!T57))</f>
        <v>0</v>
      </c>
      <c r="U56" s="7">
        <f>IF(宠物经验!U57="","",INT(宠物经验!$B57*宠物经验!U57))</f>
        <v>137486</v>
      </c>
      <c r="V56" s="7">
        <f>IF(宠物经验!V57="","",INT(宠物经验!$B57*宠物经验!V57))</f>
        <v>91685</v>
      </c>
      <c r="W56" s="7" t="str">
        <f>IF(宠物经验!W57="","",INT(宠物经验!$B57*宠物经验!W57))</f>
        <v/>
      </c>
      <c r="X56" s="7" t="str">
        <f>IF(宠物经验!X57="","",INT(宠物经验!$B57*宠物经验!X57))</f>
        <v/>
      </c>
      <c r="Y56" s="7">
        <f>IF(宠物经验!Y57="","",INT(宠物经验!$B57*宠物经验!Y57))</f>
        <v>68750</v>
      </c>
      <c r="Z56" s="7" t="str">
        <f>IF(宠物经验!Z57="","",INT(宠物经验!$B57*宠物经验!Z57))</f>
        <v/>
      </c>
      <c r="AA56" s="7">
        <f>IF(宠物经验!AA57="","",INT(宠物经验!$B57*宠物经验!AA57))</f>
        <v>22921</v>
      </c>
      <c r="AB56" s="7" t="str">
        <f>IF(宠物经验!AB57="","",INT(宠物经验!$B57*宠物经验!AB57))</f>
        <v/>
      </c>
      <c r="AC56" s="7" t="str">
        <f>IF(宠物经验!AC57="","",INT(宠物经验!$B57*宠物经验!AC57))</f>
        <v/>
      </c>
      <c r="AD56" s="7" t="str">
        <f>IF(宠物经验!AD57="","",INT(宠物经验!$B57*宠物经验!AD57))</f>
        <v/>
      </c>
      <c r="AE56" s="7" t="str">
        <f>IF(宠物经验!AE57="","",INT(宠物经验!$B57*宠物经验!AE57))</f>
        <v/>
      </c>
      <c r="AF56" s="7">
        <f>宠物经验!AH57</f>
        <v>180020</v>
      </c>
      <c r="AG56" s="7">
        <f>宠物经验!AO57</f>
        <v>4583</v>
      </c>
      <c r="AH56" s="2"/>
      <c r="AI56" s="2"/>
      <c r="AJ56" s="2"/>
    </row>
    <row r="57" spans="1:36">
      <c r="A57" s="32">
        <v>56</v>
      </c>
      <c r="B57" s="87">
        <f>宠物经验!B58</f>
        <v>280000</v>
      </c>
      <c r="C57" s="7">
        <f>IF(宠物经验!C58="","",INT(宠物经验!$B58*宠物经验!C58))</f>
        <v>279972</v>
      </c>
      <c r="D57" s="7">
        <f>IF(宠物经验!D58="","",INT(宠物经验!$B58*宠物经验!D58))</f>
        <v>308000</v>
      </c>
      <c r="E57" s="7" t="str">
        <f>IF(宠物经验!E58="","",INT(宠物经验!$B58*宠物经验!E58))</f>
        <v/>
      </c>
      <c r="F57" s="7">
        <f>IF(宠物经验!F58="","",INT(宠物经验!$B58*宠物经验!F58))</f>
        <v>420000</v>
      </c>
      <c r="G57" s="7">
        <f>IF(宠物经验!G58="","",INT(宠物经验!$B58*宠物经验!G58))</f>
        <v>186648</v>
      </c>
      <c r="H57" s="7" t="str">
        <f>IF(宠物经验!H58="","",INT(宠物经验!$B58*宠物经验!H58))</f>
        <v/>
      </c>
      <c r="I57" s="7" t="str">
        <f>IF(宠物经验!I58="","",INT(宠物经验!$B58*宠物经验!I58))</f>
        <v/>
      </c>
      <c r="J57" s="7" t="str">
        <f>IF(宠物经验!J58="","",INT(宠物经验!$B58*宠物经验!J58))</f>
        <v/>
      </c>
      <c r="K57" s="7">
        <f>IF(宠物经验!K58="","",INT(宠物经验!$B58*宠物经验!K58))</f>
        <v>280000</v>
      </c>
      <c r="L57" s="7" t="str">
        <f>IF(宠物经验!L58="","",INT(宠物经验!$B58*宠物经验!L58))</f>
        <v/>
      </c>
      <c r="M57" s="7" t="str">
        <f>IF(宠物经验!M58="","",INT(宠物经验!$B58*宠物经验!M58))</f>
        <v/>
      </c>
      <c r="N57" s="7">
        <f>IF(宠物经验!N58="","",INT(宠物经验!$B58*宠物经验!N58))</f>
        <v>3360000</v>
      </c>
      <c r="O57" s="7" t="str">
        <f>IF(宠物经验!O58="","",INT(宠物经验!$B58*宠物经验!O58))</f>
        <v/>
      </c>
      <c r="P57" s="7" t="str">
        <f>IF(宠物经验!P58="","",INT(宠物经验!$B58*宠物经验!P58))</f>
        <v/>
      </c>
      <c r="Q57" s="7">
        <f>IF(宠物经验!Q58="","",INT(宠物经验!$B58*宠物经验!Q58))</f>
        <v>1456000</v>
      </c>
      <c r="R57" s="7" t="str">
        <f>IF(宠物经验!R58="","",INT(宠物经验!$B58*宠物经验!R58))</f>
        <v/>
      </c>
      <c r="S57" s="7">
        <f>IF(宠物经验!S58="","",INT(宠物经验!$B58*宠物经验!S58))</f>
        <v>139986</v>
      </c>
      <c r="T57" s="7">
        <f>IF(宠物经验!T58="","",INT(宠物经验!$B58*宠物经验!T58))</f>
        <v>0</v>
      </c>
      <c r="U57" s="7">
        <f>IF(宠物经验!U58="","",INT(宠物经验!$B58*宠物经验!U58))</f>
        <v>139986</v>
      </c>
      <c r="V57" s="7">
        <f>IF(宠物经验!V58="","",INT(宠物经验!$B58*宠物经验!V58))</f>
        <v>93352</v>
      </c>
      <c r="W57" s="7" t="str">
        <f>IF(宠物经验!W58="","",INT(宠物经验!$B58*宠物经验!W58))</f>
        <v/>
      </c>
      <c r="X57" s="7" t="str">
        <f>IF(宠物经验!X58="","",INT(宠物经验!$B58*宠物经验!X58))</f>
        <v/>
      </c>
      <c r="Y57" s="7">
        <f>IF(宠物经验!Y58="","",INT(宠物经验!$B58*宠物经验!Y58))</f>
        <v>70000</v>
      </c>
      <c r="Z57" s="7" t="str">
        <f>IF(宠物经验!Z58="","",INT(宠物经验!$B58*宠物经验!Z58))</f>
        <v/>
      </c>
      <c r="AA57" s="7">
        <f>IF(宠物经验!AA58="","",INT(宠物经验!$B58*宠物经验!AA58))</f>
        <v>23338</v>
      </c>
      <c r="AB57" s="7" t="str">
        <f>IF(宠物经验!AB58="","",INT(宠物经验!$B58*宠物经验!AB58))</f>
        <v/>
      </c>
      <c r="AC57" s="7" t="str">
        <f>IF(宠物经验!AC58="","",INT(宠物经验!$B58*宠物经验!AC58))</f>
        <v/>
      </c>
      <c r="AD57" s="7" t="str">
        <f>IF(宠物经验!AD58="","",INT(宠物经验!$B58*宠物经验!AD58))</f>
        <v/>
      </c>
      <c r="AE57" s="7" t="str">
        <f>IF(宠物经验!AE58="","",INT(宠物经验!$B58*宠物经验!AE58))</f>
        <v/>
      </c>
      <c r="AF57" s="7">
        <f>宠物经验!AH58</f>
        <v>186070</v>
      </c>
      <c r="AG57" s="7">
        <f>宠物经验!AO58</f>
        <v>4667</v>
      </c>
      <c r="AH57" s="2"/>
      <c r="AI57" s="2"/>
      <c r="AJ57" s="2"/>
    </row>
    <row r="58" spans="1:36">
      <c r="A58" s="32">
        <v>57</v>
      </c>
      <c r="B58" s="87">
        <f>宠物经验!B59</f>
        <v>285000</v>
      </c>
      <c r="C58" s="7">
        <f>IF(宠物经验!C59="","",INT(宠物经验!$B59*宠物经验!C59))</f>
        <v>284971</v>
      </c>
      <c r="D58" s="7">
        <f>IF(宠物经验!D59="","",INT(宠物经验!$B59*宠物经验!D59))</f>
        <v>313500</v>
      </c>
      <c r="E58" s="7" t="str">
        <f>IF(宠物经验!E59="","",INT(宠物经验!$B59*宠物经验!E59))</f>
        <v/>
      </c>
      <c r="F58" s="7">
        <f>IF(宠物经验!F59="","",INT(宠物经验!$B59*宠物经验!F59))</f>
        <v>427500</v>
      </c>
      <c r="G58" s="7">
        <f>IF(宠物经验!G59="","",INT(宠物经验!$B59*宠物经验!G59))</f>
        <v>189981</v>
      </c>
      <c r="H58" s="7" t="str">
        <f>IF(宠物经验!H59="","",INT(宠物经验!$B59*宠物经验!H59))</f>
        <v/>
      </c>
      <c r="I58" s="7" t="str">
        <f>IF(宠物经验!I59="","",INT(宠物经验!$B59*宠物经验!I59))</f>
        <v/>
      </c>
      <c r="J58" s="7" t="str">
        <f>IF(宠物经验!J59="","",INT(宠物经验!$B59*宠物经验!J59))</f>
        <v/>
      </c>
      <c r="K58" s="7">
        <f>IF(宠物经验!K59="","",INT(宠物经验!$B59*宠物经验!K59))</f>
        <v>285000</v>
      </c>
      <c r="L58" s="7" t="str">
        <f>IF(宠物经验!L59="","",INT(宠物经验!$B59*宠物经验!L59))</f>
        <v/>
      </c>
      <c r="M58" s="7" t="str">
        <f>IF(宠物经验!M59="","",INT(宠物经验!$B59*宠物经验!M59))</f>
        <v/>
      </c>
      <c r="N58" s="7">
        <f>IF(宠物经验!N59="","",INT(宠物经验!$B59*宠物经验!N59))</f>
        <v>3420000</v>
      </c>
      <c r="O58" s="7" t="str">
        <f>IF(宠物经验!O59="","",INT(宠物经验!$B59*宠物经验!O59))</f>
        <v/>
      </c>
      <c r="P58" s="7" t="str">
        <f>IF(宠物经验!P59="","",INT(宠物经验!$B59*宠物经验!P59))</f>
        <v/>
      </c>
      <c r="Q58" s="7">
        <f>IF(宠物经验!Q59="","",INT(宠物经验!$B59*宠物经验!Q59))</f>
        <v>1482000</v>
      </c>
      <c r="R58" s="7" t="str">
        <f>IF(宠物经验!R59="","",INT(宠物经验!$B59*宠物经验!R59))</f>
        <v/>
      </c>
      <c r="S58" s="7">
        <f>IF(宠物经验!S59="","",INT(宠物经验!$B59*宠物经验!S59))</f>
        <v>142485</v>
      </c>
      <c r="T58" s="7">
        <f>IF(宠物经验!T59="","",INT(宠物经验!$B59*宠物经验!T59))</f>
        <v>0</v>
      </c>
      <c r="U58" s="7">
        <f>IF(宠物经验!U59="","",INT(宠物经验!$B59*宠物经验!U59))</f>
        <v>142485</v>
      </c>
      <c r="V58" s="7">
        <f>IF(宠物经验!V59="","",INT(宠物经验!$B59*宠物经验!V59))</f>
        <v>95019</v>
      </c>
      <c r="W58" s="7" t="str">
        <f>IF(宠物经验!W59="","",INT(宠物经验!$B59*宠物经验!W59))</f>
        <v/>
      </c>
      <c r="X58" s="7" t="str">
        <f>IF(宠物经验!X59="","",INT(宠物经验!$B59*宠物经验!X59))</f>
        <v/>
      </c>
      <c r="Y58" s="7">
        <f>IF(宠物经验!Y59="","",INT(宠物经验!$B59*宠物经验!Y59))</f>
        <v>71250</v>
      </c>
      <c r="Z58" s="7" t="str">
        <f>IF(宠物经验!Z59="","",INT(宠物经验!$B59*宠物经验!Z59))</f>
        <v/>
      </c>
      <c r="AA58" s="7">
        <f>IF(宠物经验!AA59="","",INT(宠物经验!$B59*宠物经验!AA59))</f>
        <v>23754</v>
      </c>
      <c r="AB58" s="7" t="str">
        <f>IF(宠物经验!AB59="","",INT(宠物经验!$B59*宠物经验!AB59))</f>
        <v/>
      </c>
      <c r="AC58" s="7" t="str">
        <f>IF(宠物经验!AC59="","",INT(宠物经验!$B59*宠物经验!AC59))</f>
        <v/>
      </c>
      <c r="AD58" s="7" t="str">
        <f>IF(宠物经验!AD59="","",INT(宠物经验!$B59*宠物经验!AD59))</f>
        <v/>
      </c>
      <c r="AE58" s="7" t="str">
        <f>IF(宠物经验!AE59="","",INT(宠物经验!$B59*宠物经验!AE59))</f>
        <v/>
      </c>
      <c r="AF58" s="7">
        <f>宠物经验!AH59</f>
        <v>192220</v>
      </c>
      <c r="AG58" s="7">
        <f>宠物经验!AO59</f>
        <v>4750</v>
      </c>
      <c r="AH58" s="2"/>
      <c r="AI58" s="2"/>
      <c r="AJ58" s="2"/>
    </row>
    <row r="59" spans="1:36">
      <c r="A59" s="32">
        <v>58</v>
      </c>
      <c r="B59" s="87">
        <f>宠物经验!B60</f>
        <v>290000</v>
      </c>
      <c r="C59" s="7">
        <f>IF(宠物经验!C60="","",INT(宠物经验!$B60*宠物经验!C60))</f>
        <v>289971</v>
      </c>
      <c r="D59" s="7">
        <f>IF(宠物经验!D60="","",INT(宠物经验!$B60*宠物经验!D60))</f>
        <v>319000</v>
      </c>
      <c r="E59" s="7" t="str">
        <f>IF(宠物经验!E60="","",INT(宠物经验!$B60*宠物经验!E60))</f>
        <v/>
      </c>
      <c r="F59" s="7">
        <f>IF(宠物经验!F60="","",INT(宠物经验!$B60*宠物经验!F60))</f>
        <v>435000</v>
      </c>
      <c r="G59" s="7">
        <f>IF(宠物经验!G60="","",INT(宠物经验!$B60*宠物经验!G60))</f>
        <v>193314</v>
      </c>
      <c r="H59" s="7" t="str">
        <f>IF(宠物经验!H60="","",INT(宠物经验!$B60*宠物经验!H60))</f>
        <v/>
      </c>
      <c r="I59" s="7" t="str">
        <f>IF(宠物经验!I60="","",INT(宠物经验!$B60*宠物经验!I60))</f>
        <v/>
      </c>
      <c r="J59" s="7" t="str">
        <f>IF(宠物经验!J60="","",INT(宠物经验!$B60*宠物经验!J60))</f>
        <v/>
      </c>
      <c r="K59" s="7">
        <f>IF(宠物经验!K60="","",INT(宠物经验!$B60*宠物经验!K60))</f>
        <v>290000</v>
      </c>
      <c r="L59" s="7" t="str">
        <f>IF(宠物经验!L60="","",INT(宠物经验!$B60*宠物经验!L60))</f>
        <v/>
      </c>
      <c r="M59" s="7" t="str">
        <f>IF(宠物经验!M60="","",INT(宠物经验!$B60*宠物经验!M60))</f>
        <v/>
      </c>
      <c r="N59" s="7">
        <f>IF(宠物经验!N60="","",INT(宠物经验!$B60*宠物经验!N60))</f>
        <v>3480000</v>
      </c>
      <c r="O59" s="7" t="str">
        <f>IF(宠物经验!O60="","",INT(宠物经验!$B60*宠物经验!O60))</f>
        <v/>
      </c>
      <c r="P59" s="7" t="str">
        <f>IF(宠物经验!P60="","",INT(宠物经验!$B60*宠物经验!P60))</f>
        <v/>
      </c>
      <c r="Q59" s="7">
        <f>IF(宠物经验!Q60="","",INT(宠物经验!$B60*宠物经验!Q60))</f>
        <v>1508000</v>
      </c>
      <c r="R59" s="7" t="str">
        <f>IF(宠物经验!R60="","",INT(宠物经验!$B60*宠物经验!R60))</f>
        <v/>
      </c>
      <c r="S59" s="7">
        <f>IF(宠物经验!S60="","",INT(宠物经验!$B60*宠物经验!S60))</f>
        <v>144985</v>
      </c>
      <c r="T59" s="7">
        <f>IF(宠物经验!T60="","",INT(宠物经验!$B60*宠物经验!T60))</f>
        <v>0</v>
      </c>
      <c r="U59" s="7">
        <f>IF(宠物经验!U60="","",INT(宠物经验!$B60*宠物经验!U60))</f>
        <v>144985</v>
      </c>
      <c r="V59" s="7">
        <f>IF(宠物经验!V60="","",INT(宠物经验!$B60*宠物经验!V60))</f>
        <v>96686</v>
      </c>
      <c r="W59" s="7" t="str">
        <f>IF(宠物经验!W60="","",INT(宠物经验!$B60*宠物经验!W60))</f>
        <v/>
      </c>
      <c r="X59" s="7" t="str">
        <f>IF(宠物经验!X60="","",INT(宠物经验!$B60*宠物经验!X60))</f>
        <v/>
      </c>
      <c r="Y59" s="7">
        <f>IF(宠物经验!Y60="","",INT(宠物经验!$B60*宠物经验!Y60))</f>
        <v>72500</v>
      </c>
      <c r="Z59" s="7" t="str">
        <f>IF(宠物经验!Z60="","",INT(宠物经验!$B60*宠物经验!Z60))</f>
        <v/>
      </c>
      <c r="AA59" s="7">
        <f>IF(宠物经验!AA60="","",INT(宠物经验!$B60*宠物经验!AA60))</f>
        <v>24171</v>
      </c>
      <c r="AB59" s="7" t="str">
        <f>IF(宠物经验!AB60="","",INT(宠物经验!$B60*宠物经验!AB60))</f>
        <v/>
      </c>
      <c r="AC59" s="7" t="str">
        <f>IF(宠物经验!AC60="","",INT(宠物经验!$B60*宠物经验!AC60))</f>
        <v/>
      </c>
      <c r="AD59" s="7" t="str">
        <f>IF(宠物经验!AD60="","",INT(宠物经验!$B60*宠物经验!AD60))</f>
        <v/>
      </c>
      <c r="AE59" s="7" t="str">
        <f>IF(宠物经验!AE60="","",INT(宠物经验!$B60*宠物经验!AE60))</f>
        <v/>
      </c>
      <c r="AF59" s="7">
        <f>宠物经验!AH60</f>
        <v>198470</v>
      </c>
      <c r="AG59" s="7">
        <f>宠物经验!AO60</f>
        <v>4833</v>
      </c>
      <c r="AH59" s="2"/>
      <c r="AI59" s="2"/>
      <c r="AJ59" s="2"/>
    </row>
    <row r="60" spans="1:36" s="78" customFormat="1">
      <c r="A60" s="90">
        <v>59</v>
      </c>
      <c r="B60" s="91">
        <f>宠物经验!B61</f>
        <v>295000</v>
      </c>
      <c r="C60" s="7">
        <f>IF(宠物经验!C61="","",INT(宠物经验!$B61*宠物经验!C61))</f>
        <v>294970</v>
      </c>
      <c r="D60" s="7">
        <f>IF(宠物经验!D61="","",INT(宠物经验!$B61*宠物经验!D61))</f>
        <v>324500</v>
      </c>
      <c r="E60" s="7" t="str">
        <f>IF(宠物经验!E61="","",INT(宠物经验!$B61*宠物经验!E61))</f>
        <v/>
      </c>
      <c r="F60" s="7">
        <f>IF(宠物经验!F61="","",INT(宠物经验!$B61*宠物经验!F61))</f>
        <v>442500</v>
      </c>
      <c r="G60" s="7">
        <f>IF(宠物经验!G61="","",INT(宠物经验!$B61*宠物经验!G61))</f>
        <v>196647</v>
      </c>
      <c r="H60" s="7" t="str">
        <f>IF(宠物经验!H61="","",INT(宠物经验!$B61*宠物经验!H61))</f>
        <v/>
      </c>
      <c r="I60" s="7" t="str">
        <f>IF(宠物经验!I61="","",INT(宠物经验!$B61*宠物经验!I61))</f>
        <v/>
      </c>
      <c r="J60" s="7" t="str">
        <f>IF(宠物经验!J61="","",INT(宠物经验!$B61*宠物经验!J61))</f>
        <v/>
      </c>
      <c r="K60" s="7">
        <f>IF(宠物经验!K61="","",INT(宠物经验!$B61*宠物经验!K61))</f>
        <v>295000</v>
      </c>
      <c r="L60" s="7" t="str">
        <f>IF(宠物经验!L61="","",INT(宠物经验!$B61*宠物经验!L61))</f>
        <v/>
      </c>
      <c r="M60" s="7" t="str">
        <f>IF(宠物经验!M61="","",INT(宠物经验!$B61*宠物经验!M61))</f>
        <v/>
      </c>
      <c r="N60" s="7">
        <f>IF(宠物经验!N61="","",INT(宠物经验!$B61*宠物经验!N61))</f>
        <v>3540000</v>
      </c>
      <c r="O60" s="7" t="str">
        <f>IF(宠物经验!O61="","",INT(宠物经验!$B61*宠物经验!O61))</f>
        <v/>
      </c>
      <c r="P60" s="7" t="str">
        <f>IF(宠物经验!P61="","",INT(宠物经验!$B61*宠物经验!P61))</f>
        <v/>
      </c>
      <c r="Q60" s="7">
        <f>IF(宠物经验!Q61="","",INT(宠物经验!$B61*宠物经验!Q61))</f>
        <v>1534000</v>
      </c>
      <c r="R60" s="7" t="str">
        <f>IF(宠物经验!R61="","",INT(宠物经验!$B61*宠物经验!R61))</f>
        <v/>
      </c>
      <c r="S60" s="7">
        <f>IF(宠物经验!S61="","",INT(宠物经验!$B61*宠物经验!S61))</f>
        <v>147485</v>
      </c>
      <c r="T60" s="7">
        <f>IF(宠物经验!T61="","",INT(宠物经验!$B61*宠物经验!T61))</f>
        <v>0</v>
      </c>
      <c r="U60" s="7">
        <f>IF(宠物经验!U61="","",INT(宠物经验!$B61*宠物经验!U61))</f>
        <v>147485</v>
      </c>
      <c r="V60" s="7">
        <f>IF(宠物经验!V61="","",INT(宠物经验!$B61*宠物经验!V61))</f>
        <v>98353</v>
      </c>
      <c r="W60" s="7" t="str">
        <f>IF(宠物经验!W61="","",INT(宠物经验!$B61*宠物经验!W61))</f>
        <v/>
      </c>
      <c r="X60" s="7" t="str">
        <f>IF(宠物经验!X61="","",INT(宠物经验!$B61*宠物经验!X61))</f>
        <v/>
      </c>
      <c r="Y60" s="7">
        <f>IF(宠物经验!Y61="","",INT(宠物经验!$B61*宠物经验!Y61))</f>
        <v>73750</v>
      </c>
      <c r="Z60" s="7" t="str">
        <f>IF(宠物经验!Z61="","",INT(宠物经验!$B61*宠物经验!Z61))</f>
        <v/>
      </c>
      <c r="AA60" s="7">
        <f>IF(宠物经验!AA61="","",INT(宠物经验!$B61*宠物经验!AA61))</f>
        <v>24588</v>
      </c>
      <c r="AB60" s="7" t="str">
        <f>IF(宠物经验!AB61="","",INT(宠物经验!$B61*宠物经验!AB61))</f>
        <v/>
      </c>
      <c r="AC60" s="7" t="str">
        <f>IF(宠物经验!AC61="","",INT(宠物经验!$B61*宠物经验!AC61))</f>
        <v/>
      </c>
      <c r="AD60" s="7" t="str">
        <f>IF(宠物经验!AD61="","",INT(宠物经验!$B61*宠物经验!AD61))</f>
        <v/>
      </c>
      <c r="AE60" s="7" t="str">
        <f>IF(宠物经验!AE61="","",INT(宠物经验!$B61*宠物经验!AE61))</f>
        <v/>
      </c>
      <c r="AF60" s="78">
        <f>宠物经验!AH61</f>
        <v>204820</v>
      </c>
      <c r="AG60" s="7">
        <f>宠物经验!AO61</f>
        <v>4917</v>
      </c>
      <c r="AH60" s="2"/>
      <c r="AI60" s="2"/>
      <c r="AJ60" s="2"/>
    </row>
    <row r="61" spans="1:36" s="10" customFormat="1">
      <c r="A61" s="70">
        <v>60</v>
      </c>
      <c r="B61" s="89">
        <f>宠物经验!B62</f>
        <v>300000</v>
      </c>
      <c r="C61" s="10">
        <f>IF(宠物经验!C62="","",INT(宠物经验!$B62*宠物经验!C62))</f>
        <v>299970</v>
      </c>
      <c r="D61" s="10">
        <f>IF(宠物经验!D62="","",INT(宠物经验!$B62*宠物经验!D62))</f>
        <v>330000</v>
      </c>
      <c r="E61" s="10" t="str">
        <f>IF(宠物经验!E62="","",INT(宠物经验!$B62*宠物经验!E62))</f>
        <v/>
      </c>
      <c r="F61" s="10">
        <f>IF(宠物经验!F62="","",INT(宠物经验!$B62*宠物经验!F62))</f>
        <v>450000</v>
      </c>
      <c r="G61" s="10">
        <f>IF(宠物经验!G62="","",INT(宠物经验!$B62*宠物经验!G62))</f>
        <v>199980</v>
      </c>
      <c r="H61" s="10" t="str">
        <f>IF(宠物经验!H62="","",INT(宠物经验!$B62*宠物经验!H62))</f>
        <v/>
      </c>
      <c r="I61" s="10" t="str">
        <f>IF(宠物经验!I62="","",INT(宠物经验!$B62*宠物经验!I62))</f>
        <v/>
      </c>
      <c r="J61" s="10" t="str">
        <f>IF(宠物经验!J62="","",INT(宠物经验!$B62*宠物经验!J62))</f>
        <v/>
      </c>
      <c r="K61" s="10">
        <f>IF(宠物经验!K62="","",INT(宠物经验!$B62*宠物经验!K62))</f>
        <v>300000</v>
      </c>
      <c r="L61" s="10" t="str">
        <f>IF(宠物经验!L62="","",INT(宠物经验!$B62*宠物经验!L62))</f>
        <v/>
      </c>
      <c r="M61" s="10" t="str">
        <f>IF(宠物经验!M62="","",INT(宠物经验!$B62*宠物经验!M62))</f>
        <v/>
      </c>
      <c r="N61" s="10">
        <f>IF(宠物经验!N62="","",INT(宠物经验!$B62*宠物经验!N62))</f>
        <v>3600000</v>
      </c>
      <c r="O61" s="10" t="str">
        <f>IF(宠物经验!O62="","",INT(宠物经验!$B62*宠物经验!O62))</f>
        <v/>
      </c>
      <c r="P61" s="10" t="str">
        <f>IF(宠物经验!P62="","",INT(宠物经验!$B62*宠物经验!P62))</f>
        <v/>
      </c>
      <c r="Q61" s="10">
        <f>IF(宠物经验!Q62="","",INT(宠物经验!$B62*宠物经验!Q62))</f>
        <v>1560000</v>
      </c>
      <c r="R61" s="10" t="str">
        <f>IF(宠物经验!R62="","",INT(宠物经验!$B62*宠物经验!R62))</f>
        <v/>
      </c>
      <c r="S61" s="10">
        <f>IF(宠物经验!S62="","",INT(宠物经验!$B62*宠物经验!S62))</f>
        <v>149985</v>
      </c>
      <c r="T61" s="10">
        <f>IF(宠物经验!T62="","",INT(宠物经验!$B62*宠物经验!T62))</f>
        <v>0</v>
      </c>
      <c r="U61" s="10">
        <f>IF(宠物经验!U62="","",INT(宠物经验!$B62*宠物经验!U62))</f>
        <v>149985</v>
      </c>
      <c r="V61" s="10">
        <f>IF(宠物经验!V62="","",INT(宠物经验!$B62*宠物经验!V62))</f>
        <v>100020</v>
      </c>
      <c r="W61" s="10" t="str">
        <f>IF(宠物经验!W62="","",INT(宠物经验!$B62*宠物经验!W62))</f>
        <v/>
      </c>
      <c r="X61" s="10" t="str">
        <f>IF(宠物经验!X62="","",INT(宠物经验!$B62*宠物经验!X62))</f>
        <v/>
      </c>
      <c r="Y61" s="10">
        <f>IF(宠物经验!Y62="","",INT(宠物经验!$B62*宠物经验!Y62))</f>
        <v>75000</v>
      </c>
      <c r="Z61" s="10" t="str">
        <f>IF(宠物经验!Z62="","",INT(宠物经验!$B62*宠物经验!Z62))</f>
        <v/>
      </c>
      <c r="AA61" s="10">
        <f>IF(宠物经验!AA62="","",INT(宠物经验!$B62*宠物经验!AA62))</f>
        <v>25005</v>
      </c>
      <c r="AB61" s="10" t="str">
        <f>IF(宠物经验!AB62="","",INT(宠物经验!$B62*宠物经验!AB62))</f>
        <v/>
      </c>
      <c r="AC61" s="10" t="str">
        <f>IF(宠物经验!AC62="","",INT(宠物经验!$B62*宠物经验!AC62))</f>
        <v/>
      </c>
      <c r="AD61" s="10" t="str">
        <f>IF(宠物经验!AD62="","",INT(宠物经验!$B62*宠物经验!AD62))</f>
        <v/>
      </c>
      <c r="AE61" s="10" t="str">
        <f>IF(宠物经验!AE62="","",INT(宠物经验!$B62*宠物经验!AE62))</f>
        <v/>
      </c>
      <c r="AF61" s="10">
        <f>宠物经验!AH62</f>
        <v>211270</v>
      </c>
      <c r="AG61" s="10">
        <f>宠物经验!AO62</f>
        <v>5000</v>
      </c>
      <c r="AH61" s="98">
        <f>Y61*3.5/13.5</f>
        <v>19444.444444444445</v>
      </c>
      <c r="AI61" s="98"/>
      <c r="AJ61" s="98">
        <f>AA61*7/10</f>
        <v>17503.5</v>
      </c>
    </row>
    <row r="62" spans="1:36">
      <c r="A62" s="32">
        <v>61</v>
      </c>
      <c r="B62" s="87">
        <f>宠物经验!B63</f>
        <v>305000</v>
      </c>
      <c r="C62" s="7">
        <f>IF(宠物经验!C63="","",INT(宠物经验!$B63*宠物经验!C63))</f>
        <v>304969</v>
      </c>
      <c r="D62" s="7">
        <f>IF(宠物经验!D63="","",INT(宠物经验!$B63*宠物经验!D63))</f>
        <v>335500</v>
      </c>
      <c r="E62" s="7" t="str">
        <f>IF(宠物经验!E63="","",INT(宠物经验!$B63*宠物经验!E63))</f>
        <v/>
      </c>
      <c r="F62" s="7">
        <f>IF(宠物经验!F63="","",INT(宠物经验!$B63*宠物经验!F63))</f>
        <v>457500</v>
      </c>
      <c r="G62" s="7">
        <f>IF(宠物经验!G63="","",INT(宠物经验!$B63*宠物经验!G63))</f>
        <v>203313</v>
      </c>
      <c r="H62" s="7" t="str">
        <f>IF(宠物经验!H63="","",INT(宠物经验!$B63*宠物经验!H63))</f>
        <v/>
      </c>
      <c r="I62" s="7" t="str">
        <f>IF(宠物经验!I63="","",INT(宠物经验!$B63*宠物经验!I63))</f>
        <v/>
      </c>
      <c r="J62" s="7" t="str">
        <f>IF(宠物经验!J63="","",INT(宠物经验!$B63*宠物经验!J63))</f>
        <v/>
      </c>
      <c r="K62" s="7">
        <f>IF(宠物经验!K63="","",INT(宠物经验!$B63*宠物经验!K63))</f>
        <v>305000</v>
      </c>
      <c r="L62" s="7" t="str">
        <f>IF(宠物经验!L63="","",INT(宠物经验!$B63*宠物经验!L63))</f>
        <v/>
      </c>
      <c r="M62" s="7" t="str">
        <f>IF(宠物经验!M63="","",INT(宠物经验!$B63*宠物经验!M63))</f>
        <v/>
      </c>
      <c r="N62" s="7">
        <f>IF(宠物经验!N63="","",INT(宠物经验!$B63*宠物经验!N63))</f>
        <v>3660000</v>
      </c>
      <c r="O62" s="7" t="str">
        <f>IF(宠物经验!O63="","",INT(宠物经验!$B63*宠物经验!O63))</f>
        <v/>
      </c>
      <c r="P62" s="7" t="str">
        <f>IF(宠物经验!P63="","",INT(宠物经验!$B63*宠物经验!P63))</f>
        <v/>
      </c>
      <c r="Q62" s="7">
        <f>IF(宠物经验!Q63="","",INT(宠物经验!$B63*宠物经验!Q63))</f>
        <v>1586000</v>
      </c>
      <c r="R62" s="7" t="str">
        <f>IF(宠物经验!R63="","",INT(宠物经验!$B63*宠物经验!R63))</f>
        <v/>
      </c>
      <c r="S62" s="7">
        <f>IF(宠物经验!S63="","",INT(宠物经验!$B63*宠物经验!S63))</f>
        <v>152484</v>
      </c>
      <c r="T62" s="7">
        <f>IF(宠物经验!T63="","",INT(宠物经验!$B63*宠物经验!T63))</f>
        <v>0</v>
      </c>
      <c r="U62" s="7">
        <f>IF(宠物经验!U63="","",INT(宠物经验!$B63*宠物经验!U63))</f>
        <v>152484</v>
      </c>
      <c r="V62" s="7">
        <f>IF(宠物经验!V63="","",INT(宠物经验!$B63*宠物经验!V63))</f>
        <v>101687</v>
      </c>
      <c r="W62" s="7" t="str">
        <f>IF(宠物经验!W63="","",INT(宠物经验!$B63*宠物经验!W63))</f>
        <v/>
      </c>
      <c r="X62" s="7" t="str">
        <f>IF(宠物经验!X63="","",INT(宠物经验!$B63*宠物经验!X63))</f>
        <v/>
      </c>
      <c r="Y62" s="7">
        <f>IF(宠物经验!Y63="","",INT(宠物经验!$B63*宠物经验!Y63))</f>
        <v>76250</v>
      </c>
      <c r="Z62" s="7" t="str">
        <f>IF(宠物经验!Z63="","",INT(宠物经验!$B63*宠物经验!Z63))</f>
        <v/>
      </c>
      <c r="AA62" s="7">
        <f>IF(宠物经验!AA63="","",INT(宠物经验!$B63*宠物经验!AA63))</f>
        <v>25421</v>
      </c>
      <c r="AB62" s="7" t="str">
        <f>IF(宠物经验!AB63="","",INT(宠物经验!$B63*宠物经验!AB63))</f>
        <v/>
      </c>
      <c r="AC62" s="7" t="str">
        <f>IF(宠物经验!AC63="","",INT(宠物经验!$B63*宠物经验!AC63))</f>
        <v/>
      </c>
      <c r="AD62" s="7" t="str">
        <f>IF(宠物经验!AD63="","",INT(宠物经验!$B63*宠物经验!AD63))</f>
        <v/>
      </c>
      <c r="AE62" s="7" t="str">
        <f>IF(宠物经验!AE63="","",INT(宠物经验!$B63*宠物经验!AE63))</f>
        <v/>
      </c>
      <c r="AF62" s="7">
        <f>宠物经验!AH63</f>
        <v>217820</v>
      </c>
      <c r="AG62" s="7">
        <f>宠物经验!AO63</f>
        <v>5083</v>
      </c>
    </row>
    <row r="63" spans="1:36">
      <c r="A63" s="32">
        <v>62</v>
      </c>
      <c r="B63" s="87">
        <f>宠物经验!B64</f>
        <v>310000</v>
      </c>
      <c r="C63" s="7">
        <f>IF(宠物经验!C64="","",INT(宠物经验!$B64*宠物经验!C64))</f>
        <v>309969</v>
      </c>
      <c r="D63" s="7">
        <f>IF(宠物经验!D64="","",INT(宠物经验!$B64*宠物经验!D64))</f>
        <v>341000</v>
      </c>
      <c r="E63" s="7" t="str">
        <f>IF(宠物经验!E64="","",INT(宠物经验!$B64*宠物经验!E64))</f>
        <v/>
      </c>
      <c r="F63" s="7">
        <f>IF(宠物经验!F64="","",INT(宠物经验!$B64*宠物经验!F64))</f>
        <v>465000</v>
      </c>
      <c r="G63" s="7">
        <f>IF(宠物经验!G64="","",INT(宠物经验!$B64*宠物经验!G64))</f>
        <v>206646</v>
      </c>
      <c r="H63" s="7" t="str">
        <f>IF(宠物经验!H64="","",INT(宠物经验!$B64*宠物经验!H64))</f>
        <v/>
      </c>
      <c r="I63" s="7" t="str">
        <f>IF(宠物经验!I64="","",INT(宠物经验!$B64*宠物经验!I64))</f>
        <v/>
      </c>
      <c r="J63" s="7" t="str">
        <f>IF(宠物经验!J64="","",INT(宠物经验!$B64*宠物经验!J64))</f>
        <v/>
      </c>
      <c r="K63" s="7">
        <f>IF(宠物经验!K64="","",INT(宠物经验!$B64*宠物经验!K64))</f>
        <v>310000</v>
      </c>
      <c r="L63" s="7" t="str">
        <f>IF(宠物经验!L64="","",INT(宠物经验!$B64*宠物经验!L64))</f>
        <v/>
      </c>
      <c r="M63" s="7" t="str">
        <f>IF(宠物经验!M64="","",INT(宠物经验!$B64*宠物经验!M64))</f>
        <v/>
      </c>
      <c r="N63" s="7">
        <f>IF(宠物经验!N64="","",INT(宠物经验!$B64*宠物经验!N64))</f>
        <v>3720000</v>
      </c>
      <c r="O63" s="7" t="str">
        <f>IF(宠物经验!O64="","",INT(宠物经验!$B64*宠物经验!O64))</f>
        <v/>
      </c>
      <c r="P63" s="7" t="str">
        <f>IF(宠物经验!P64="","",INT(宠物经验!$B64*宠物经验!P64))</f>
        <v/>
      </c>
      <c r="Q63" s="7">
        <f>IF(宠物经验!Q64="","",INT(宠物经验!$B64*宠物经验!Q64))</f>
        <v>1612000</v>
      </c>
      <c r="R63" s="7" t="str">
        <f>IF(宠物经验!R64="","",INT(宠物经验!$B64*宠物经验!R64))</f>
        <v/>
      </c>
      <c r="S63" s="7">
        <f>IF(宠物经验!S64="","",INT(宠物经验!$B64*宠物经验!S64))</f>
        <v>154984</v>
      </c>
      <c r="T63" s="7">
        <f>IF(宠物经验!T64="","",INT(宠物经验!$B64*宠物经验!T64))</f>
        <v>0</v>
      </c>
      <c r="U63" s="7">
        <f>IF(宠物经验!U64="","",INT(宠物经验!$B64*宠物经验!U64))</f>
        <v>154984</v>
      </c>
      <c r="V63" s="7">
        <f>IF(宠物经验!V64="","",INT(宠物经验!$B64*宠物经验!V64))</f>
        <v>103354</v>
      </c>
      <c r="W63" s="7" t="str">
        <f>IF(宠物经验!W64="","",INT(宠物经验!$B64*宠物经验!W64))</f>
        <v/>
      </c>
      <c r="X63" s="7" t="str">
        <f>IF(宠物经验!X64="","",INT(宠物经验!$B64*宠物经验!X64))</f>
        <v/>
      </c>
      <c r="Y63" s="7">
        <f>IF(宠物经验!Y64="","",INT(宠物经验!$B64*宠物经验!Y64))</f>
        <v>77500</v>
      </c>
      <c r="Z63" s="7" t="str">
        <f>IF(宠物经验!Z64="","",INT(宠物经验!$B64*宠物经验!Z64))</f>
        <v/>
      </c>
      <c r="AA63" s="7">
        <f>IF(宠物经验!AA64="","",INT(宠物经验!$B64*宠物经验!AA64))</f>
        <v>25838</v>
      </c>
      <c r="AB63" s="7" t="str">
        <f>IF(宠物经验!AB64="","",INT(宠物经验!$B64*宠物经验!AB64))</f>
        <v/>
      </c>
      <c r="AC63" s="7" t="str">
        <f>IF(宠物经验!AC64="","",INT(宠物经验!$B64*宠物经验!AC64))</f>
        <v/>
      </c>
      <c r="AD63" s="7" t="str">
        <f>IF(宠物经验!AD64="","",INT(宠物经验!$B64*宠物经验!AD64))</f>
        <v/>
      </c>
      <c r="AE63" s="7" t="str">
        <f>IF(宠物经验!AE64="","",INT(宠物经验!$B64*宠物经验!AE64))</f>
        <v/>
      </c>
      <c r="AF63" s="7">
        <f>宠物经验!AH64</f>
        <v>224470</v>
      </c>
      <c r="AG63" s="7">
        <f>宠物经验!AO64</f>
        <v>5167</v>
      </c>
    </row>
    <row r="64" spans="1:36">
      <c r="A64" s="32">
        <v>63</v>
      </c>
      <c r="B64" s="87">
        <f>宠物经验!B65</f>
        <v>315000</v>
      </c>
      <c r="C64" s="7">
        <f>IF(宠物经验!C65="","",INT(宠物经验!$B65*宠物经验!C65))</f>
        <v>314968</v>
      </c>
      <c r="D64" s="7">
        <f>IF(宠物经验!D65="","",INT(宠物经验!$B65*宠物经验!D65))</f>
        <v>346500</v>
      </c>
      <c r="E64" s="7" t="str">
        <f>IF(宠物经验!E65="","",INT(宠物经验!$B65*宠物经验!E65))</f>
        <v/>
      </c>
      <c r="F64" s="7">
        <f>IF(宠物经验!F65="","",INT(宠物经验!$B65*宠物经验!F65))</f>
        <v>472500</v>
      </c>
      <c r="G64" s="7">
        <f>IF(宠物经验!G65="","",INT(宠物经验!$B65*宠物经验!G65))</f>
        <v>209979</v>
      </c>
      <c r="H64" s="7" t="str">
        <f>IF(宠物经验!H65="","",INT(宠物经验!$B65*宠物经验!H65))</f>
        <v/>
      </c>
      <c r="I64" s="7" t="str">
        <f>IF(宠物经验!I65="","",INT(宠物经验!$B65*宠物经验!I65))</f>
        <v/>
      </c>
      <c r="J64" s="7" t="str">
        <f>IF(宠物经验!J65="","",INT(宠物经验!$B65*宠物经验!J65))</f>
        <v/>
      </c>
      <c r="K64" s="7">
        <f>IF(宠物经验!K65="","",INT(宠物经验!$B65*宠物经验!K65))</f>
        <v>315000</v>
      </c>
      <c r="L64" s="7" t="str">
        <f>IF(宠物经验!L65="","",INT(宠物经验!$B65*宠物经验!L65))</f>
        <v/>
      </c>
      <c r="M64" s="7" t="str">
        <f>IF(宠物经验!M65="","",INT(宠物经验!$B65*宠物经验!M65))</f>
        <v/>
      </c>
      <c r="N64" s="7">
        <f>IF(宠物经验!N65="","",INT(宠物经验!$B65*宠物经验!N65))</f>
        <v>3780000</v>
      </c>
      <c r="O64" s="7" t="str">
        <f>IF(宠物经验!O65="","",INT(宠物经验!$B65*宠物经验!O65))</f>
        <v/>
      </c>
      <c r="P64" s="7" t="str">
        <f>IF(宠物经验!P65="","",INT(宠物经验!$B65*宠物经验!P65))</f>
        <v/>
      </c>
      <c r="Q64" s="7">
        <f>IF(宠物经验!Q65="","",INT(宠物经验!$B65*宠物经验!Q65))</f>
        <v>1638000</v>
      </c>
      <c r="R64" s="7" t="str">
        <f>IF(宠物经验!R65="","",INT(宠物经验!$B65*宠物经验!R65))</f>
        <v/>
      </c>
      <c r="S64" s="7">
        <f>IF(宠物经验!S65="","",INT(宠物经验!$B65*宠物经验!S65))</f>
        <v>157484</v>
      </c>
      <c r="T64" s="7">
        <f>IF(宠物经验!T65="","",INT(宠物经验!$B65*宠物经验!T65))</f>
        <v>0</v>
      </c>
      <c r="U64" s="7">
        <f>IF(宠物经验!U65="","",INT(宠物经验!$B65*宠物经验!U65))</f>
        <v>157484</v>
      </c>
      <c r="V64" s="7">
        <f>IF(宠物经验!V65="","",INT(宠物经验!$B65*宠物经验!V65))</f>
        <v>105021</v>
      </c>
      <c r="W64" s="7" t="str">
        <f>IF(宠物经验!W65="","",INT(宠物经验!$B65*宠物经验!W65))</f>
        <v/>
      </c>
      <c r="X64" s="7" t="str">
        <f>IF(宠物经验!X65="","",INT(宠物经验!$B65*宠物经验!X65))</f>
        <v/>
      </c>
      <c r="Y64" s="7">
        <f>IF(宠物经验!Y65="","",INT(宠物经验!$B65*宠物经验!Y65))</f>
        <v>78750</v>
      </c>
      <c r="Z64" s="7" t="str">
        <f>IF(宠物经验!Z65="","",INT(宠物经验!$B65*宠物经验!Z65))</f>
        <v/>
      </c>
      <c r="AA64" s="7">
        <f>IF(宠物经验!AA65="","",INT(宠物经验!$B65*宠物经验!AA65))</f>
        <v>26255</v>
      </c>
      <c r="AB64" s="7" t="str">
        <f>IF(宠物经验!AB65="","",INT(宠物经验!$B65*宠物经验!AB65))</f>
        <v/>
      </c>
      <c r="AC64" s="7" t="str">
        <f>IF(宠物经验!AC65="","",INT(宠物经验!$B65*宠物经验!AC65))</f>
        <v/>
      </c>
      <c r="AD64" s="7" t="str">
        <f>IF(宠物经验!AD65="","",INT(宠物经验!$B65*宠物经验!AD65))</f>
        <v/>
      </c>
      <c r="AE64" s="7" t="str">
        <f>IF(宠物经验!AE65="","",INT(宠物经验!$B65*宠物经验!AE65))</f>
        <v/>
      </c>
      <c r="AF64" s="7">
        <f>宠物经验!AH65</f>
        <v>231220</v>
      </c>
      <c r="AG64" s="7">
        <f>宠物经验!AO65</f>
        <v>5250</v>
      </c>
    </row>
    <row r="65" spans="1:33">
      <c r="A65" s="32">
        <v>64</v>
      </c>
      <c r="B65" s="87">
        <f>宠物经验!B66</f>
        <v>320000</v>
      </c>
      <c r="C65" s="7">
        <f>IF(宠物经验!C66="","",INT(宠物经验!$B66*宠物经验!C66))</f>
        <v>319968</v>
      </c>
      <c r="D65" s="7">
        <f>IF(宠物经验!D66="","",INT(宠物经验!$B66*宠物经验!D66))</f>
        <v>352000</v>
      </c>
      <c r="E65" s="7" t="str">
        <f>IF(宠物经验!E66="","",INT(宠物经验!$B66*宠物经验!E66))</f>
        <v/>
      </c>
      <c r="F65" s="7">
        <f>IF(宠物经验!F66="","",INT(宠物经验!$B66*宠物经验!F66))</f>
        <v>480000</v>
      </c>
      <c r="G65" s="7">
        <f>IF(宠物经验!G66="","",INT(宠物经验!$B66*宠物经验!G66))</f>
        <v>213312</v>
      </c>
      <c r="H65" s="7" t="str">
        <f>IF(宠物经验!H66="","",INT(宠物经验!$B66*宠物经验!H66))</f>
        <v/>
      </c>
      <c r="I65" s="7" t="str">
        <f>IF(宠物经验!I66="","",INT(宠物经验!$B66*宠物经验!I66))</f>
        <v/>
      </c>
      <c r="J65" s="7" t="str">
        <f>IF(宠物经验!J66="","",INT(宠物经验!$B66*宠物经验!J66))</f>
        <v/>
      </c>
      <c r="K65" s="7">
        <f>IF(宠物经验!K66="","",INT(宠物经验!$B66*宠物经验!K66))</f>
        <v>320000</v>
      </c>
      <c r="L65" s="7" t="str">
        <f>IF(宠物经验!L66="","",INT(宠物经验!$B66*宠物经验!L66))</f>
        <v/>
      </c>
      <c r="M65" s="7" t="str">
        <f>IF(宠物经验!M66="","",INT(宠物经验!$B66*宠物经验!M66))</f>
        <v/>
      </c>
      <c r="N65" s="7">
        <f>IF(宠物经验!N66="","",INT(宠物经验!$B66*宠物经验!N66))</f>
        <v>3840000</v>
      </c>
      <c r="O65" s="7" t="str">
        <f>IF(宠物经验!O66="","",INT(宠物经验!$B66*宠物经验!O66))</f>
        <v/>
      </c>
      <c r="P65" s="7" t="str">
        <f>IF(宠物经验!P66="","",INT(宠物经验!$B66*宠物经验!P66))</f>
        <v/>
      </c>
      <c r="Q65" s="7">
        <f>IF(宠物经验!Q66="","",INT(宠物经验!$B66*宠物经验!Q66))</f>
        <v>1664000</v>
      </c>
      <c r="R65" s="7" t="str">
        <f>IF(宠物经验!R66="","",INT(宠物经验!$B66*宠物经验!R66))</f>
        <v/>
      </c>
      <c r="S65" s="7">
        <f>IF(宠物经验!S66="","",INT(宠物经验!$B66*宠物经验!S66))</f>
        <v>159984</v>
      </c>
      <c r="T65" s="7">
        <f>IF(宠物经验!T66="","",INT(宠物经验!$B66*宠物经验!T66))</f>
        <v>0</v>
      </c>
      <c r="U65" s="7">
        <f>IF(宠物经验!U66="","",INT(宠物经验!$B66*宠物经验!U66))</f>
        <v>159984</v>
      </c>
      <c r="V65" s="7">
        <f>IF(宠物经验!V66="","",INT(宠物经验!$B66*宠物经验!V66))</f>
        <v>106688</v>
      </c>
      <c r="W65" s="7" t="str">
        <f>IF(宠物经验!W66="","",INT(宠物经验!$B66*宠物经验!W66))</f>
        <v/>
      </c>
      <c r="X65" s="7" t="str">
        <f>IF(宠物经验!X66="","",INT(宠物经验!$B66*宠物经验!X66))</f>
        <v/>
      </c>
      <c r="Y65" s="7">
        <f>IF(宠物经验!Y66="","",INT(宠物经验!$B66*宠物经验!Y66))</f>
        <v>80000</v>
      </c>
      <c r="Z65" s="7" t="str">
        <f>IF(宠物经验!Z66="","",INT(宠物经验!$B66*宠物经验!Z66))</f>
        <v/>
      </c>
      <c r="AA65" s="7">
        <f>IF(宠物经验!AA66="","",INT(宠物经验!$B66*宠物经验!AA66))</f>
        <v>26672</v>
      </c>
      <c r="AB65" s="7" t="str">
        <f>IF(宠物经验!AB66="","",INT(宠物经验!$B66*宠物经验!AB66))</f>
        <v/>
      </c>
      <c r="AC65" s="7" t="str">
        <f>IF(宠物经验!AC66="","",INT(宠物经验!$B66*宠物经验!AC66))</f>
        <v/>
      </c>
      <c r="AD65" s="7" t="str">
        <f>IF(宠物经验!AD66="","",INT(宠物经验!$B66*宠物经验!AD66))</f>
        <v/>
      </c>
      <c r="AE65" s="7" t="str">
        <f>IF(宠物经验!AE66="","",INT(宠物经验!$B66*宠物经验!AE66))</f>
        <v/>
      </c>
      <c r="AF65" s="7">
        <f>宠物经验!AH66</f>
        <v>238070</v>
      </c>
      <c r="AG65" s="7">
        <f>宠物经验!AO66</f>
        <v>5333</v>
      </c>
    </row>
    <row r="66" spans="1:33">
      <c r="A66" s="32">
        <v>65</v>
      </c>
      <c r="B66" s="87">
        <f>宠物经验!B67</f>
        <v>325000</v>
      </c>
      <c r="C66" s="7">
        <f>IF(宠物经验!C67="","",INT(宠物经验!$B67*宠物经验!C67))</f>
        <v>324967</v>
      </c>
      <c r="D66" s="7">
        <f>IF(宠物经验!D67="","",INT(宠物经验!$B67*宠物经验!D67))</f>
        <v>357500</v>
      </c>
      <c r="E66" s="7" t="str">
        <f>IF(宠物经验!E67="","",INT(宠物经验!$B67*宠物经验!E67))</f>
        <v/>
      </c>
      <c r="F66" s="7">
        <f>IF(宠物经验!F67="","",INT(宠物经验!$B67*宠物经验!F67))</f>
        <v>487500</v>
      </c>
      <c r="G66" s="7">
        <f>IF(宠物经验!G67="","",INT(宠物经验!$B67*宠物经验!G67))</f>
        <v>216645</v>
      </c>
      <c r="H66" s="7" t="str">
        <f>IF(宠物经验!H67="","",INT(宠物经验!$B67*宠物经验!H67))</f>
        <v/>
      </c>
      <c r="I66" s="7" t="str">
        <f>IF(宠物经验!I67="","",INT(宠物经验!$B67*宠物经验!I67))</f>
        <v/>
      </c>
      <c r="J66" s="7" t="str">
        <f>IF(宠物经验!J67="","",INT(宠物经验!$B67*宠物经验!J67))</f>
        <v/>
      </c>
      <c r="K66" s="7">
        <f>IF(宠物经验!K67="","",INT(宠物经验!$B67*宠物经验!K67))</f>
        <v>325000</v>
      </c>
      <c r="L66" s="7" t="str">
        <f>IF(宠物经验!L67="","",INT(宠物经验!$B67*宠物经验!L67))</f>
        <v/>
      </c>
      <c r="M66" s="7" t="str">
        <f>IF(宠物经验!M67="","",INT(宠物经验!$B67*宠物经验!M67))</f>
        <v/>
      </c>
      <c r="N66" s="7">
        <f>IF(宠物经验!N67="","",INT(宠物经验!$B67*宠物经验!N67))</f>
        <v>3900000</v>
      </c>
      <c r="O66" s="7" t="str">
        <f>IF(宠物经验!O67="","",INT(宠物经验!$B67*宠物经验!O67))</f>
        <v/>
      </c>
      <c r="P66" s="7" t="str">
        <f>IF(宠物经验!P67="","",INT(宠物经验!$B67*宠物经验!P67))</f>
        <v/>
      </c>
      <c r="Q66" s="7">
        <f>IF(宠物经验!Q67="","",INT(宠物经验!$B67*宠物经验!Q67))</f>
        <v>1690000</v>
      </c>
      <c r="R66" s="7" t="str">
        <f>IF(宠物经验!R67="","",INT(宠物经验!$B67*宠物经验!R67))</f>
        <v/>
      </c>
      <c r="S66" s="7">
        <f>IF(宠物经验!S67="","",INT(宠物经验!$B67*宠物经验!S67))</f>
        <v>162483</v>
      </c>
      <c r="T66" s="7">
        <f>IF(宠物经验!T67="","",INT(宠物经验!$B67*宠物经验!T67))</f>
        <v>0</v>
      </c>
      <c r="U66" s="7">
        <f>IF(宠物经验!U67="","",INT(宠物经验!$B67*宠物经验!U67))</f>
        <v>162483</v>
      </c>
      <c r="V66" s="7">
        <f>IF(宠物经验!V67="","",INT(宠物经验!$B67*宠物经验!V67))</f>
        <v>108355</v>
      </c>
      <c r="W66" s="7" t="str">
        <f>IF(宠物经验!W67="","",INT(宠物经验!$B67*宠物经验!W67))</f>
        <v/>
      </c>
      <c r="X66" s="7" t="str">
        <f>IF(宠物经验!X67="","",INT(宠物经验!$B67*宠物经验!X67))</f>
        <v/>
      </c>
      <c r="Y66" s="7">
        <f>IF(宠物经验!Y67="","",INT(宠物经验!$B67*宠物经验!Y67))</f>
        <v>81250</v>
      </c>
      <c r="Z66" s="7" t="str">
        <f>IF(宠物经验!Z67="","",INT(宠物经验!$B67*宠物经验!Z67))</f>
        <v/>
      </c>
      <c r="AA66" s="7">
        <f>IF(宠物经验!AA67="","",INT(宠物经验!$B67*宠物经验!AA67))</f>
        <v>27088</v>
      </c>
      <c r="AB66" s="7" t="str">
        <f>IF(宠物经验!AB67="","",INT(宠物经验!$B67*宠物经验!AB67))</f>
        <v/>
      </c>
      <c r="AC66" s="7" t="str">
        <f>IF(宠物经验!AC67="","",INT(宠物经验!$B67*宠物经验!AC67))</f>
        <v/>
      </c>
      <c r="AD66" s="7" t="str">
        <f>IF(宠物经验!AD67="","",INT(宠物经验!$B67*宠物经验!AD67))</f>
        <v/>
      </c>
      <c r="AE66" s="7" t="str">
        <f>IF(宠物经验!AE67="","",INT(宠物经验!$B67*宠物经验!AE67))</f>
        <v/>
      </c>
      <c r="AF66" s="7">
        <f>宠物经验!AH67</f>
        <v>245020</v>
      </c>
      <c r="AG66" s="7">
        <f>宠物经验!AO67</f>
        <v>5417</v>
      </c>
    </row>
    <row r="67" spans="1:33">
      <c r="A67" s="32">
        <v>66</v>
      </c>
      <c r="B67" s="87">
        <f>宠物经验!B68</f>
        <v>330000</v>
      </c>
      <c r="C67" s="7">
        <f>IF(宠物经验!C68="","",INT(宠物经验!$B68*宠物经验!C68))</f>
        <v>329967</v>
      </c>
      <c r="D67" s="7">
        <f>IF(宠物经验!D68="","",INT(宠物经验!$B68*宠物经验!D68))</f>
        <v>363000</v>
      </c>
      <c r="E67" s="7" t="str">
        <f>IF(宠物经验!E68="","",INT(宠物经验!$B68*宠物经验!E68))</f>
        <v/>
      </c>
      <c r="F67" s="7">
        <f>IF(宠物经验!F68="","",INT(宠物经验!$B68*宠物经验!F68))</f>
        <v>495000</v>
      </c>
      <c r="G67" s="7">
        <f>IF(宠物经验!G68="","",INT(宠物经验!$B68*宠物经验!G68))</f>
        <v>219978</v>
      </c>
      <c r="H67" s="7" t="str">
        <f>IF(宠物经验!H68="","",INT(宠物经验!$B68*宠物经验!H68))</f>
        <v/>
      </c>
      <c r="I67" s="7" t="str">
        <f>IF(宠物经验!I68="","",INT(宠物经验!$B68*宠物经验!I68))</f>
        <v/>
      </c>
      <c r="J67" s="7" t="str">
        <f>IF(宠物经验!J68="","",INT(宠物经验!$B68*宠物经验!J68))</f>
        <v/>
      </c>
      <c r="K67" s="7">
        <f>IF(宠物经验!K68="","",INT(宠物经验!$B68*宠物经验!K68))</f>
        <v>330000</v>
      </c>
      <c r="L67" s="7" t="str">
        <f>IF(宠物经验!L68="","",INT(宠物经验!$B68*宠物经验!L68))</f>
        <v/>
      </c>
      <c r="M67" s="7" t="str">
        <f>IF(宠物经验!M68="","",INT(宠物经验!$B68*宠物经验!M68))</f>
        <v/>
      </c>
      <c r="N67" s="7">
        <f>IF(宠物经验!N68="","",INT(宠物经验!$B68*宠物经验!N68))</f>
        <v>3960000</v>
      </c>
      <c r="O67" s="7" t="str">
        <f>IF(宠物经验!O68="","",INT(宠物经验!$B68*宠物经验!O68))</f>
        <v/>
      </c>
      <c r="P67" s="7" t="str">
        <f>IF(宠物经验!P68="","",INT(宠物经验!$B68*宠物经验!P68))</f>
        <v/>
      </c>
      <c r="Q67" s="7">
        <f>IF(宠物经验!Q68="","",INT(宠物经验!$B68*宠物经验!Q68))</f>
        <v>1716000</v>
      </c>
      <c r="R67" s="7" t="str">
        <f>IF(宠物经验!R68="","",INT(宠物经验!$B68*宠物经验!R68))</f>
        <v/>
      </c>
      <c r="S67" s="7">
        <f>IF(宠物经验!S68="","",INT(宠物经验!$B68*宠物经验!S68))</f>
        <v>164983</v>
      </c>
      <c r="T67" s="7">
        <f>IF(宠物经验!T68="","",INT(宠物经验!$B68*宠物经验!T68))</f>
        <v>0</v>
      </c>
      <c r="U67" s="7">
        <f>IF(宠物经验!U68="","",INT(宠物经验!$B68*宠物经验!U68))</f>
        <v>164983</v>
      </c>
      <c r="V67" s="7">
        <f>IF(宠物经验!V68="","",INT(宠物经验!$B68*宠物经验!V68))</f>
        <v>110022</v>
      </c>
      <c r="W67" s="7" t="str">
        <f>IF(宠物经验!W68="","",INT(宠物经验!$B68*宠物经验!W68))</f>
        <v/>
      </c>
      <c r="X67" s="7" t="str">
        <f>IF(宠物经验!X68="","",INT(宠物经验!$B68*宠物经验!X68))</f>
        <v/>
      </c>
      <c r="Y67" s="7">
        <f>IF(宠物经验!Y68="","",INT(宠物经验!$B68*宠物经验!Y68))</f>
        <v>82500</v>
      </c>
      <c r="Z67" s="7" t="str">
        <f>IF(宠物经验!Z68="","",INT(宠物经验!$B68*宠物经验!Z68))</f>
        <v/>
      </c>
      <c r="AA67" s="7">
        <f>IF(宠物经验!AA68="","",INT(宠物经验!$B68*宠物经验!AA68))</f>
        <v>27505</v>
      </c>
      <c r="AB67" s="7" t="str">
        <f>IF(宠物经验!AB68="","",INT(宠物经验!$B68*宠物经验!AB68))</f>
        <v/>
      </c>
      <c r="AC67" s="7" t="str">
        <f>IF(宠物经验!AC68="","",INT(宠物经验!$B68*宠物经验!AC68))</f>
        <v/>
      </c>
      <c r="AD67" s="7" t="str">
        <f>IF(宠物经验!AD68="","",INT(宠物经验!$B68*宠物经验!AD68))</f>
        <v/>
      </c>
      <c r="AE67" s="7" t="str">
        <f>IF(宠物经验!AE68="","",INT(宠物经验!$B68*宠物经验!AE68))</f>
        <v/>
      </c>
      <c r="AF67" s="7">
        <f>宠物经验!AH68</f>
        <v>252070</v>
      </c>
      <c r="AG67" s="7">
        <f>宠物经验!AO68</f>
        <v>5500</v>
      </c>
    </row>
    <row r="68" spans="1:33">
      <c r="A68" s="32">
        <v>67</v>
      </c>
      <c r="B68" s="87">
        <f>宠物经验!B69</f>
        <v>335000</v>
      </c>
      <c r="C68" s="7">
        <f>IF(宠物经验!C69="","",INT(宠物经验!$B69*宠物经验!C69))</f>
        <v>334966</v>
      </c>
      <c r="D68" s="7">
        <f>IF(宠物经验!D69="","",INT(宠物经验!$B69*宠物经验!D69))</f>
        <v>368500</v>
      </c>
      <c r="E68" s="7" t="str">
        <f>IF(宠物经验!E69="","",INT(宠物经验!$B69*宠物经验!E69))</f>
        <v/>
      </c>
      <c r="F68" s="7">
        <f>IF(宠物经验!F69="","",INT(宠物经验!$B69*宠物经验!F69))</f>
        <v>502500</v>
      </c>
      <c r="G68" s="7">
        <f>IF(宠物经验!G69="","",INT(宠物经验!$B69*宠物经验!G69))</f>
        <v>223311</v>
      </c>
      <c r="H68" s="7" t="str">
        <f>IF(宠物经验!H69="","",INT(宠物经验!$B69*宠物经验!H69))</f>
        <v/>
      </c>
      <c r="I68" s="7" t="str">
        <f>IF(宠物经验!I69="","",INT(宠物经验!$B69*宠物经验!I69))</f>
        <v/>
      </c>
      <c r="J68" s="7" t="str">
        <f>IF(宠物经验!J69="","",INT(宠物经验!$B69*宠物经验!J69))</f>
        <v/>
      </c>
      <c r="K68" s="7">
        <f>IF(宠物经验!K69="","",INT(宠物经验!$B69*宠物经验!K69))</f>
        <v>335000</v>
      </c>
      <c r="L68" s="7" t="str">
        <f>IF(宠物经验!L69="","",INT(宠物经验!$B69*宠物经验!L69))</f>
        <v/>
      </c>
      <c r="M68" s="7" t="str">
        <f>IF(宠物经验!M69="","",INT(宠物经验!$B69*宠物经验!M69))</f>
        <v/>
      </c>
      <c r="N68" s="7">
        <f>IF(宠物经验!N69="","",INT(宠物经验!$B69*宠物经验!N69))</f>
        <v>4020000</v>
      </c>
      <c r="O68" s="7" t="str">
        <f>IF(宠物经验!O69="","",INT(宠物经验!$B69*宠物经验!O69))</f>
        <v/>
      </c>
      <c r="P68" s="7" t="str">
        <f>IF(宠物经验!P69="","",INT(宠物经验!$B69*宠物经验!P69))</f>
        <v/>
      </c>
      <c r="Q68" s="7">
        <f>IF(宠物经验!Q69="","",INT(宠物经验!$B69*宠物经验!Q69))</f>
        <v>1742000</v>
      </c>
      <c r="R68" s="7" t="str">
        <f>IF(宠物经验!R69="","",INT(宠物经验!$B69*宠物经验!R69))</f>
        <v/>
      </c>
      <c r="S68" s="7">
        <f>IF(宠物经验!S69="","",INT(宠物经验!$B69*宠物经验!S69))</f>
        <v>167483</v>
      </c>
      <c r="T68" s="7">
        <f>IF(宠物经验!T69="","",INT(宠物经验!$B69*宠物经验!T69))</f>
        <v>0</v>
      </c>
      <c r="U68" s="7">
        <f>IF(宠物经验!U69="","",INT(宠物经验!$B69*宠物经验!U69))</f>
        <v>167483</v>
      </c>
      <c r="V68" s="7">
        <f>IF(宠物经验!V69="","",INT(宠物经验!$B69*宠物经验!V69))</f>
        <v>111689</v>
      </c>
      <c r="W68" s="7" t="str">
        <f>IF(宠物经验!W69="","",INT(宠物经验!$B69*宠物经验!W69))</f>
        <v/>
      </c>
      <c r="X68" s="7" t="str">
        <f>IF(宠物经验!X69="","",INT(宠物经验!$B69*宠物经验!X69))</f>
        <v/>
      </c>
      <c r="Y68" s="7">
        <f>IF(宠物经验!Y69="","",INT(宠物经验!$B69*宠物经验!Y69))</f>
        <v>83750</v>
      </c>
      <c r="Z68" s="7" t="str">
        <f>IF(宠物经验!Z69="","",INT(宠物经验!$B69*宠物经验!Z69))</f>
        <v/>
      </c>
      <c r="AA68" s="7">
        <f>IF(宠物经验!AA69="","",INT(宠物经验!$B69*宠物经验!AA69))</f>
        <v>27922</v>
      </c>
      <c r="AB68" s="7" t="str">
        <f>IF(宠物经验!AB69="","",INT(宠物经验!$B69*宠物经验!AB69))</f>
        <v/>
      </c>
      <c r="AC68" s="7" t="str">
        <f>IF(宠物经验!AC69="","",INT(宠物经验!$B69*宠物经验!AC69))</f>
        <v/>
      </c>
      <c r="AD68" s="7" t="str">
        <f>IF(宠物经验!AD69="","",INT(宠物经验!$B69*宠物经验!AD69))</f>
        <v/>
      </c>
      <c r="AE68" s="7" t="str">
        <f>IF(宠物经验!AE69="","",INT(宠物经验!$B69*宠物经验!AE69))</f>
        <v/>
      </c>
      <c r="AF68" s="7">
        <f>宠物经验!AH69</f>
        <v>259220</v>
      </c>
      <c r="AG68" s="7">
        <f>宠物经验!AO69</f>
        <v>5583</v>
      </c>
    </row>
    <row r="69" spans="1:33">
      <c r="A69" s="32">
        <v>68</v>
      </c>
      <c r="B69" s="87">
        <f>宠物经验!B70</f>
        <v>340000</v>
      </c>
      <c r="C69" s="7">
        <f>IF(宠物经验!C70="","",INT(宠物经验!$B70*宠物经验!C70))</f>
        <v>339966</v>
      </c>
      <c r="D69" s="7">
        <f>IF(宠物经验!D70="","",INT(宠物经验!$B70*宠物经验!D70))</f>
        <v>374000</v>
      </c>
      <c r="E69" s="7" t="str">
        <f>IF(宠物经验!E70="","",INT(宠物经验!$B70*宠物经验!E70))</f>
        <v/>
      </c>
      <c r="F69" s="7">
        <f>IF(宠物经验!F70="","",INT(宠物经验!$B70*宠物经验!F70))</f>
        <v>510000</v>
      </c>
      <c r="G69" s="7">
        <f>IF(宠物经验!G70="","",INT(宠物经验!$B70*宠物经验!G70))</f>
        <v>226644</v>
      </c>
      <c r="H69" s="7" t="str">
        <f>IF(宠物经验!H70="","",INT(宠物经验!$B70*宠物经验!H70))</f>
        <v/>
      </c>
      <c r="I69" s="7" t="str">
        <f>IF(宠物经验!I70="","",INT(宠物经验!$B70*宠物经验!I70))</f>
        <v/>
      </c>
      <c r="J69" s="7" t="str">
        <f>IF(宠物经验!J70="","",INT(宠物经验!$B70*宠物经验!J70))</f>
        <v/>
      </c>
      <c r="K69" s="7">
        <f>IF(宠物经验!K70="","",INT(宠物经验!$B70*宠物经验!K70))</f>
        <v>340000</v>
      </c>
      <c r="L69" s="7" t="str">
        <f>IF(宠物经验!L70="","",INT(宠物经验!$B70*宠物经验!L70))</f>
        <v/>
      </c>
      <c r="M69" s="7" t="str">
        <f>IF(宠物经验!M70="","",INT(宠物经验!$B70*宠物经验!M70))</f>
        <v/>
      </c>
      <c r="N69" s="7">
        <f>IF(宠物经验!N70="","",INT(宠物经验!$B70*宠物经验!N70))</f>
        <v>4080000</v>
      </c>
      <c r="O69" s="7" t="str">
        <f>IF(宠物经验!O70="","",INT(宠物经验!$B70*宠物经验!O70))</f>
        <v/>
      </c>
      <c r="P69" s="7" t="str">
        <f>IF(宠物经验!P70="","",INT(宠物经验!$B70*宠物经验!P70))</f>
        <v/>
      </c>
      <c r="Q69" s="7">
        <f>IF(宠物经验!Q70="","",INT(宠物经验!$B70*宠物经验!Q70))</f>
        <v>1768000</v>
      </c>
      <c r="R69" s="7" t="str">
        <f>IF(宠物经验!R70="","",INT(宠物经验!$B70*宠物经验!R70))</f>
        <v/>
      </c>
      <c r="S69" s="7">
        <f>IF(宠物经验!S70="","",INT(宠物经验!$B70*宠物经验!S70))</f>
        <v>169983</v>
      </c>
      <c r="T69" s="7">
        <f>IF(宠物经验!T70="","",INT(宠物经验!$B70*宠物经验!T70))</f>
        <v>0</v>
      </c>
      <c r="U69" s="7">
        <f>IF(宠物经验!U70="","",INT(宠物经验!$B70*宠物经验!U70))</f>
        <v>169983</v>
      </c>
      <c r="V69" s="7">
        <f>IF(宠物经验!V70="","",INT(宠物经验!$B70*宠物经验!V70))</f>
        <v>113356</v>
      </c>
      <c r="W69" s="7" t="str">
        <f>IF(宠物经验!W70="","",INT(宠物经验!$B70*宠物经验!W70))</f>
        <v/>
      </c>
      <c r="X69" s="7" t="str">
        <f>IF(宠物经验!X70="","",INT(宠物经验!$B70*宠物经验!X70))</f>
        <v/>
      </c>
      <c r="Y69" s="7">
        <f>IF(宠物经验!Y70="","",INT(宠物经验!$B70*宠物经验!Y70))</f>
        <v>85000</v>
      </c>
      <c r="Z69" s="7" t="str">
        <f>IF(宠物经验!Z70="","",INT(宠物经验!$B70*宠物经验!Z70))</f>
        <v/>
      </c>
      <c r="AA69" s="7">
        <f>IF(宠物经验!AA70="","",INT(宠物经验!$B70*宠物经验!AA70))</f>
        <v>28339</v>
      </c>
      <c r="AB69" s="7" t="str">
        <f>IF(宠物经验!AB70="","",INT(宠物经验!$B70*宠物经验!AB70))</f>
        <v/>
      </c>
      <c r="AC69" s="7" t="str">
        <f>IF(宠物经验!AC70="","",INT(宠物经验!$B70*宠物经验!AC70))</f>
        <v/>
      </c>
      <c r="AD69" s="7" t="str">
        <f>IF(宠物经验!AD70="","",INT(宠物经验!$B70*宠物经验!AD70))</f>
        <v/>
      </c>
      <c r="AE69" s="7" t="str">
        <f>IF(宠物经验!AE70="","",INT(宠物经验!$B70*宠物经验!AE70))</f>
        <v/>
      </c>
      <c r="AF69" s="7">
        <f>宠物经验!AH70</f>
        <v>266470</v>
      </c>
      <c r="AG69" s="7">
        <f>宠物经验!AO70</f>
        <v>5667</v>
      </c>
    </row>
    <row r="70" spans="1:33">
      <c r="A70" s="32">
        <v>69</v>
      </c>
      <c r="B70" s="87">
        <f>宠物经验!B71</f>
        <v>345000</v>
      </c>
      <c r="C70" s="7">
        <f>IF(宠物经验!C71="","",INT(宠物经验!$B71*宠物经验!C71))</f>
        <v>344965</v>
      </c>
      <c r="D70" s="7">
        <f>IF(宠物经验!D71="","",INT(宠物经验!$B71*宠物经验!D71))</f>
        <v>379500</v>
      </c>
      <c r="E70" s="7" t="str">
        <f>IF(宠物经验!E71="","",INT(宠物经验!$B71*宠物经验!E71))</f>
        <v/>
      </c>
      <c r="F70" s="7">
        <f>IF(宠物经验!F71="","",INT(宠物经验!$B71*宠物经验!F71))</f>
        <v>517500</v>
      </c>
      <c r="G70" s="7">
        <f>IF(宠物经验!G71="","",INT(宠物经验!$B71*宠物经验!G71))</f>
        <v>229977</v>
      </c>
      <c r="H70" s="7" t="str">
        <f>IF(宠物经验!H71="","",INT(宠物经验!$B71*宠物经验!H71))</f>
        <v/>
      </c>
      <c r="I70" s="7" t="str">
        <f>IF(宠物经验!I71="","",INT(宠物经验!$B71*宠物经验!I71))</f>
        <v/>
      </c>
      <c r="J70" s="7" t="str">
        <f>IF(宠物经验!J71="","",INT(宠物经验!$B71*宠物经验!J71))</f>
        <v/>
      </c>
      <c r="K70" s="7">
        <f>IF(宠物经验!K71="","",INT(宠物经验!$B71*宠物经验!K71))</f>
        <v>345000</v>
      </c>
      <c r="L70" s="7" t="str">
        <f>IF(宠物经验!L71="","",INT(宠物经验!$B71*宠物经验!L71))</f>
        <v/>
      </c>
      <c r="M70" s="7" t="str">
        <f>IF(宠物经验!M71="","",INT(宠物经验!$B71*宠物经验!M71))</f>
        <v/>
      </c>
      <c r="N70" s="7">
        <f>IF(宠物经验!N71="","",INT(宠物经验!$B71*宠物经验!N71))</f>
        <v>4140000</v>
      </c>
      <c r="O70" s="7" t="str">
        <f>IF(宠物经验!O71="","",INT(宠物经验!$B71*宠物经验!O71))</f>
        <v/>
      </c>
      <c r="P70" s="7" t="str">
        <f>IF(宠物经验!P71="","",INT(宠物经验!$B71*宠物经验!P71))</f>
        <v/>
      </c>
      <c r="Q70" s="7">
        <f>IF(宠物经验!Q71="","",INT(宠物经验!$B71*宠物经验!Q71))</f>
        <v>1794000</v>
      </c>
      <c r="R70" s="7" t="str">
        <f>IF(宠物经验!R71="","",INT(宠物经验!$B71*宠物经验!R71))</f>
        <v/>
      </c>
      <c r="S70" s="7">
        <f>IF(宠物经验!S71="","",INT(宠物经验!$B71*宠物经验!S71))</f>
        <v>172482</v>
      </c>
      <c r="T70" s="7">
        <f>IF(宠物经验!T71="","",INT(宠物经验!$B71*宠物经验!T71))</f>
        <v>0</v>
      </c>
      <c r="U70" s="7">
        <f>IF(宠物经验!U71="","",INT(宠物经验!$B71*宠物经验!U71))</f>
        <v>172482</v>
      </c>
      <c r="V70" s="7">
        <f>IF(宠物经验!V71="","",INT(宠物经验!$B71*宠物经验!V71))</f>
        <v>115023</v>
      </c>
      <c r="W70" s="7" t="str">
        <f>IF(宠物经验!W71="","",INT(宠物经验!$B71*宠物经验!W71))</f>
        <v/>
      </c>
      <c r="X70" s="7" t="str">
        <f>IF(宠物经验!X71="","",INT(宠物经验!$B71*宠物经验!X71))</f>
        <v/>
      </c>
      <c r="Y70" s="7">
        <f>IF(宠物经验!Y71="","",INT(宠物经验!$B71*宠物经验!Y71))</f>
        <v>86250</v>
      </c>
      <c r="Z70" s="7" t="str">
        <f>IF(宠物经验!Z71="","",INT(宠物经验!$B71*宠物经验!Z71))</f>
        <v/>
      </c>
      <c r="AA70" s="7">
        <f>IF(宠物经验!AA71="","",INT(宠物经验!$B71*宠物经验!AA71))</f>
        <v>28755</v>
      </c>
      <c r="AB70" s="7" t="str">
        <f>IF(宠物经验!AB71="","",INT(宠物经验!$B71*宠物经验!AB71))</f>
        <v/>
      </c>
      <c r="AC70" s="7" t="str">
        <f>IF(宠物经验!AC71="","",INT(宠物经验!$B71*宠物经验!AC71))</f>
        <v/>
      </c>
      <c r="AD70" s="7" t="str">
        <f>IF(宠物经验!AD71="","",INT(宠物经验!$B71*宠物经验!AD71))</f>
        <v/>
      </c>
      <c r="AE70" s="7" t="str">
        <f>IF(宠物经验!AE71="","",INT(宠物经验!$B71*宠物经验!AE71))</f>
        <v/>
      </c>
      <c r="AF70" s="7">
        <f>宠物经验!AH71</f>
        <v>273820</v>
      </c>
      <c r="AG70" s="7">
        <f>宠物经验!AO71</f>
        <v>5750</v>
      </c>
    </row>
    <row r="71" spans="1:33">
      <c r="A71" s="32">
        <v>70</v>
      </c>
      <c r="B71" s="87">
        <f>宠物经验!B72</f>
        <v>350000</v>
      </c>
      <c r="C71" s="7">
        <f>IF(宠物经验!C72="","",INT(宠物经验!$B72*宠物经验!C72))</f>
        <v>349965</v>
      </c>
      <c r="D71" s="7">
        <f>IF(宠物经验!D72="","",INT(宠物经验!$B72*宠物经验!D72))</f>
        <v>385000</v>
      </c>
      <c r="E71" s="7" t="str">
        <f>IF(宠物经验!E72="","",INT(宠物经验!$B72*宠物经验!E72))</f>
        <v/>
      </c>
      <c r="F71" s="7">
        <f>IF(宠物经验!F72="","",INT(宠物经验!$B72*宠物经验!F72))</f>
        <v>525000</v>
      </c>
      <c r="G71" s="7">
        <f>IF(宠物经验!G72="","",INT(宠物经验!$B72*宠物经验!G72))</f>
        <v>233310</v>
      </c>
      <c r="H71" s="7" t="str">
        <f>IF(宠物经验!H72="","",INT(宠物经验!$B72*宠物经验!H72))</f>
        <v/>
      </c>
      <c r="I71" s="7" t="str">
        <f>IF(宠物经验!I72="","",INT(宠物经验!$B72*宠物经验!I72))</f>
        <v/>
      </c>
      <c r="J71" s="7" t="str">
        <f>IF(宠物经验!J72="","",INT(宠物经验!$B72*宠物经验!J72))</f>
        <v/>
      </c>
      <c r="K71" s="7">
        <f>IF(宠物经验!K72="","",INT(宠物经验!$B72*宠物经验!K72))</f>
        <v>350000</v>
      </c>
      <c r="L71" s="7" t="str">
        <f>IF(宠物经验!L72="","",INT(宠物经验!$B72*宠物经验!L72))</f>
        <v/>
      </c>
      <c r="M71" s="7" t="str">
        <f>IF(宠物经验!M72="","",INT(宠物经验!$B72*宠物经验!M72))</f>
        <v/>
      </c>
      <c r="N71" s="7">
        <f>IF(宠物经验!N72="","",INT(宠物经验!$B72*宠物经验!N72))</f>
        <v>4200000</v>
      </c>
      <c r="O71" s="7" t="str">
        <f>IF(宠物经验!O72="","",INT(宠物经验!$B72*宠物经验!O72))</f>
        <v/>
      </c>
      <c r="P71" s="7" t="str">
        <f>IF(宠物经验!P72="","",INT(宠物经验!$B72*宠物经验!P72))</f>
        <v/>
      </c>
      <c r="Q71" s="7">
        <f>IF(宠物经验!Q72="","",INT(宠物经验!$B72*宠物经验!Q72))</f>
        <v>1820000</v>
      </c>
      <c r="R71" s="7" t="str">
        <f>IF(宠物经验!R72="","",INT(宠物经验!$B72*宠物经验!R72))</f>
        <v/>
      </c>
      <c r="S71" s="7">
        <f>IF(宠物经验!S72="","",INT(宠物经验!$B72*宠物经验!S72))</f>
        <v>174982</v>
      </c>
      <c r="T71" s="7">
        <f>IF(宠物经验!T72="","",INT(宠物经验!$B72*宠物经验!T72))</f>
        <v>0</v>
      </c>
      <c r="U71" s="7">
        <f>IF(宠物经验!U72="","",INT(宠物经验!$B72*宠物经验!U72))</f>
        <v>174982</v>
      </c>
      <c r="V71" s="7">
        <f>IF(宠物经验!V72="","",INT(宠物经验!$B72*宠物经验!V72))</f>
        <v>116690</v>
      </c>
      <c r="W71" s="7" t="str">
        <f>IF(宠物经验!W72="","",INT(宠物经验!$B72*宠物经验!W72))</f>
        <v/>
      </c>
      <c r="X71" s="7" t="str">
        <f>IF(宠物经验!X72="","",INT(宠物经验!$B72*宠物经验!X72))</f>
        <v/>
      </c>
      <c r="Y71" s="7">
        <f>IF(宠物经验!Y72="","",INT(宠物经验!$B72*宠物经验!Y72))</f>
        <v>87500</v>
      </c>
      <c r="Z71" s="7" t="str">
        <f>IF(宠物经验!Z72="","",INT(宠物经验!$B72*宠物经验!Z72))</f>
        <v/>
      </c>
      <c r="AA71" s="7">
        <f>IF(宠物经验!AA72="","",INT(宠物经验!$B72*宠物经验!AA72))</f>
        <v>29172</v>
      </c>
      <c r="AB71" s="7" t="str">
        <f>IF(宠物经验!AB72="","",INT(宠物经验!$B72*宠物经验!AB72))</f>
        <v/>
      </c>
      <c r="AC71" s="7" t="str">
        <f>IF(宠物经验!AC72="","",INT(宠物经验!$B72*宠物经验!AC72))</f>
        <v/>
      </c>
      <c r="AD71" s="7" t="str">
        <f>IF(宠物经验!AD72="","",INT(宠物经验!$B72*宠物经验!AD72))</f>
        <v/>
      </c>
      <c r="AE71" s="7" t="str">
        <f>IF(宠物经验!AE72="","",INT(宠物经验!$B72*宠物经验!AE72))</f>
        <v/>
      </c>
      <c r="AF71" s="7">
        <f>宠物经验!AH72</f>
        <v>281270</v>
      </c>
      <c r="AG71" s="7">
        <f>宠物经验!AO72</f>
        <v>5833</v>
      </c>
    </row>
    <row r="72" spans="1:33">
      <c r="A72" s="32">
        <v>71</v>
      </c>
      <c r="B72" s="87">
        <f>宠物经验!B73</f>
        <v>355000</v>
      </c>
      <c r="C72" s="7">
        <f>IF(宠物经验!C73="","",INT(宠物经验!$B73*宠物经验!C73))</f>
        <v>354964</v>
      </c>
      <c r="D72" s="7">
        <f>IF(宠物经验!D73="","",INT(宠物经验!$B73*宠物经验!D73))</f>
        <v>390500</v>
      </c>
      <c r="E72" s="7" t="str">
        <f>IF(宠物经验!E73="","",INT(宠物经验!$B73*宠物经验!E73))</f>
        <v/>
      </c>
      <c r="F72" s="7">
        <f>IF(宠物经验!F73="","",INT(宠物经验!$B73*宠物经验!F73))</f>
        <v>532500</v>
      </c>
      <c r="G72" s="7">
        <f>IF(宠物经验!G73="","",INT(宠物经验!$B73*宠物经验!G73))</f>
        <v>236643</v>
      </c>
      <c r="H72" s="7" t="str">
        <f>IF(宠物经验!H73="","",INT(宠物经验!$B73*宠物经验!H73))</f>
        <v/>
      </c>
      <c r="I72" s="7" t="str">
        <f>IF(宠物经验!I73="","",INT(宠物经验!$B73*宠物经验!I73))</f>
        <v/>
      </c>
      <c r="J72" s="7" t="str">
        <f>IF(宠物经验!J73="","",INT(宠物经验!$B73*宠物经验!J73))</f>
        <v/>
      </c>
      <c r="K72" s="7">
        <f>IF(宠物经验!K73="","",INT(宠物经验!$B73*宠物经验!K73))</f>
        <v>355000</v>
      </c>
      <c r="L72" s="7" t="str">
        <f>IF(宠物经验!L73="","",INT(宠物经验!$B73*宠物经验!L73))</f>
        <v/>
      </c>
      <c r="M72" s="7" t="str">
        <f>IF(宠物经验!M73="","",INT(宠物经验!$B73*宠物经验!M73))</f>
        <v/>
      </c>
      <c r="N72" s="7">
        <f>IF(宠物经验!N73="","",INT(宠物经验!$B73*宠物经验!N73))</f>
        <v>4260000</v>
      </c>
      <c r="O72" s="7" t="str">
        <f>IF(宠物经验!O73="","",INT(宠物经验!$B73*宠物经验!O73))</f>
        <v/>
      </c>
      <c r="P72" s="7" t="str">
        <f>IF(宠物经验!P73="","",INT(宠物经验!$B73*宠物经验!P73))</f>
        <v/>
      </c>
      <c r="Q72" s="7">
        <f>IF(宠物经验!Q73="","",INT(宠物经验!$B73*宠物经验!Q73))</f>
        <v>1846000</v>
      </c>
      <c r="R72" s="7" t="str">
        <f>IF(宠物经验!R73="","",INT(宠物经验!$B73*宠物经验!R73))</f>
        <v/>
      </c>
      <c r="S72" s="7">
        <f>IF(宠物经验!S73="","",INT(宠物经验!$B73*宠物经验!S73))</f>
        <v>177482</v>
      </c>
      <c r="T72" s="7">
        <f>IF(宠物经验!T73="","",INT(宠物经验!$B73*宠物经验!T73))</f>
        <v>0</v>
      </c>
      <c r="U72" s="7">
        <f>IF(宠物经验!U73="","",INT(宠物经验!$B73*宠物经验!U73))</f>
        <v>177482</v>
      </c>
      <c r="V72" s="7">
        <f>IF(宠物经验!V73="","",INT(宠物经验!$B73*宠物经验!V73))</f>
        <v>118357</v>
      </c>
      <c r="W72" s="7" t="str">
        <f>IF(宠物经验!W73="","",INT(宠物经验!$B73*宠物经验!W73))</f>
        <v/>
      </c>
      <c r="X72" s="7" t="str">
        <f>IF(宠物经验!X73="","",INT(宠物经验!$B73*宠物经验!X73))</f>
        <v/>
      </c>
      <c r="Y72" s="7">
        <f>IF(宠物经验!Y73="","",INT(宠物经验!$B73*宠物经验!Y73))</f>
        <v>88750</v>
      </c>
      <c r="Z72" s="7" t="str">
        <f>IF(宠物经验!Z73="","",INT(宠物经验!$B73*宠物经验!Z73))</f>
        <v/>
      </c>
      <c r="AA72" s="7">
        <f>IF(宠物经验!AA73="","",INT(宠物经验!$B73*宠物经验!AA73))</f>
        <v>29589</v>
      </c>
      <c r="AB72" s="7" t="str">
        <f>IF(宠物经验!AB73="","",INT(宠物经验!$B73*宠物经验!AB73))</f>
        <v/>
      </c>
      <c r="AC72" s="7" t="str">
        <f>IF(宠物经验!AC73="","",INT(宠物经验!$B73*宠物经验!AC73))</f>
        <v/>
      </c>
      <c r="AD72" s="7" t="str">
        <f>IF(宠物经验!AD73="","",INT(宠物经验!$B73*宠物经验!AD73))</f>
        <v/>
      </c>
      <c r="AE72" s="7" t="str">
        <f>IF(宠物经验!AE73="","",INT(宠物经验!$B73*宠物经验!AE73))</f>
        <v/>
      </c>
      <c r="AF72" s="7">
        <f>宠物经验!AH73</f>
        <v>288820</v>
      </c>
      <c r="AG72" s="7">
        <f>宠物经验!AO73</f>
        <v>5917</v>
      </c>
    </row>
    <row r="73" spans="1:33">
      <c r="A73" s="32">
        <v>72</v>
      </c>
      <c r="B73" s="87">
        <f>宠物经验!B74</f>
        <v>360000</v>
      </c>
      <c r="C73" s="7">
        <f>IF(宠物经验!C74="","",INT(宠物经验!$B74*宠物经验!C74))</f>
        <v>359964</v>
      </c>
      <c r="D73" s="7">
        <f>IF(宠物经验!D74="","",INT(宠物经验!$B74*宠物经验!D74))</f>
        <v>396000</v>
      </c>
      <c r="E73" s="7" t="str">
        <f>IF(宠物经验!E74="","",INT(宠物经验!$B74*宠物经验!E74))</f>
        <v/>
      </c>
      <c r="F73" s="7">
        <f>IF(宠物经验!F74="","",INT(宠物经验!$B74*宠物经验!F74))</f>
        <v>540000</v>
      </c>
      <c r="G73" s="7">
        <f>IF(宠物经验!G74="","",INT(宠物经验!$B74*宠物经验!G74))</f>
        <v>239976</v>
      </c>
      <c r="H73" s="7" t="str">
        <f>IF(宠物经验!H74="","",INT(宠物经验!$B74*宠物经验!H74))</f>
        <v/>
      </c>
      <c r="I73" s="7" t="str">
        <f>IF(宠物经验!I74="","",INT(宠物经验!$B74*宠物经验!I74))</f>
        <v/>
      </c>
      <c r="J73" s="7" t="str">
        <f>IF(宠物经验!J74="","",INT(宠物经验!$B74*宠物经验!J74))</f>
        <v/>
      </c>
      <c r="K73" s="7">
        <f>IF(宠物经验!K74="","",INT(宠物经验!$B74*宠物经验!K74))</f>
        <v>360000</v>
      </c>
      <c r="L73" s="7" t="str">
        <f>IF(宠物经验!L74="","",INT(宠物经验!$B74*宠物经验!L74))</f>
        <v/>
      </c>
      <c r="M73" s="7" t="str">
        <f>IF(宠物经验!M74="","",INT(宠物经验!$B74*宠物经验!M74))</f>
        <v/>
      </c>
      <c r="N73" s="7">
        <f>IF(宠物经验!N74="","",INT(宠物经验!$B74*宠物经验!N74))</f>
        <v>4320000</v>
      </c>
      <c r="O73" s="7" t="str">
        <f>IF(宠物经验!O74="","",INT(宠物经验!$B74*宠物经验!O74))</f>
        <v/>
      </c>
      <c r="P73" s="7" t="str">
        <f>IF(宠物经验!P74="","",INT(宠物经验!$B74*宠物经验!P74))</f>
        <v/>
      </c>
      <c r="Q73" s="7">
        <f>IF(宠物经验!Q74="","",INT(宠物经验!$B74*宠物经验!Q74))</f>
        <v>1872000</v>
      </c>
      <c r="R73" s="7" t="str">
        <f>IF(宠物经验!R74="","",INT(宠物经验!$B74*宠物经验!R74))</f>
        <v/>
      </c>
      <c r="S73" s="7">
        <f>IF(宠物经验!S74="","",INT(宠物经验!$B74*宠物经验!S74))</f>
        <v>179982</v>
      </c>
      <c r="T73" s="7">
        <f>IF(宠物经验!T74="","",INT(宠物经验!$B74*宠物经验!T74))</f>
        <v>0</v>
      </c>
      <c r="U73" s="7">
        <f>IF(宠物经验!U74="","",INT(宠物经验!$B74*宠物经验!U74))</f>
        <v>179982</v>
      </c>
      <c r="V73" s="7">
        <f>IF(宠物经验!V74="","",INT(宠物经验!$B74*宠物经验!V74))</f>
        <v>120024</v>
      </c>
      <c r="W73" s="7" t="str">
        <f>IF(宠物经验!W74="","",INT(宠物经验!$B74*宠物经验!W74))</f>
        <v/>
      </c>
      <c r="X73" s="7" t="str">
        <f>IF(宠物经验!X74="","",INT(宠物经验!$B74*宠物经验!X74))</f>
        <v/>
      </c>
      <c r="Y73" s="7">
        <f>IF(宠物经验!Y74="","",INT(宠物经验!$B74*宠物经验!Y74))</f>
        <v>90000</v>
      </c>
      <c r="Z73" s="7" t="str">
        <f>IF(宠物经验!Z74="","",INT(宠物经验!$B74*宠物经验!Z74))</f>
        <v/>
      </c>
      <c r="AA73" s="7">
        <f>IF(宠物经验!AA74="","",INT(宠物经验!$B74*宠物经验!AA74))</f>
        <v>30006</v>
      </c>
      <c r="AB73" s="7" t="str">
        <f>IF(宠物经验!AB74="","",INT(宠物经验!$B74*宠物经验!AB74))</f>
        <v/>
      </c>
      <c r="AC73" s="7" t="str">
        <f>IF(宠物经验!AC74="","",INT(宠物经验!$B74*宠物经验!AC74))</f>
        <v/>
      </c>
      <c r="AD73" s="7" t="str">
        <f>IF(宠物经验!AD74="","",INT(宠物经验!$B74*宠物经验!AD74))</f>
        <v/>
      </c>
      <c r="AE73" s="7" t="str">
        <f>IF(宠物经验!AE74="","",INT(宠物经验!$B74*宠物经验!AE74))</f>
        <v/>
      </c>
      <c r="AF73" s="7">
        <f>宠物经验!AH74</f>
        <v>296470</v>
      </c>
      <c r="AG73" s="7">
        <f>宠物经验!AO74</f>
        <v>6000</v>
      </c>
    </row>
    <row r="74" spans="1:33">
      <c r="A74" s="32">
        <v>73</v>
      </c>
      <c r="B74" s="87">
        <f>宠物经验!B75</f>
        <v>365000</v>
      </c>
      <c r="C74" s="7">
        <f>IF(宠物经验!C75="","",INT(宠物经验!$B75*宠物经验!C75))</f>
        <v>364963</v>
      </c>
      <c r="D74" s="7">
        <f>IF(宠物经验!D75="","",INT(宠物经验!$B75*宠物经验!D75))</f>
        <v>401500</v>
      </c>
      <c r="E74" s="7" t="str">
        <f>IF(宠物经验!E75="","",INT(宠物经验!$B75*宠物经验!E75))</f>
        <v/>
      </c>
      <c r="F74" s="7">
        <f>IF(宠物经验!F75="","",INT(宠物经验!$B75*宠物经验!F75))</f>
        <v>547500</v>
      </c>
      <c r="G74" s="7">
        <f>IF(宠物经验!G75="","",INT(宠物经验!$B75*宠物经验!G75))</f>
        <v>243309</v>
      </c>
      <c r="H74" s="7" t="str">
        <f>IF(宠物经验!H75="","",INT(宠物经验!$B75*宠物经验!H75))</f>
        <v/>
      </c>
      <c r="I74" s="7" t="str">
        <f>IF(宠物经验!I75="","",INT(宠物经验!$B75*宠物经验!I75))</f>
        <v/>
      </c>
      <c r="J74" s="7" t="str">
        <f>IF(宠物经验!J75="","",INT(宠物经验!$B75*宠物经验!J75))</f>
        <v/>
      </c>
      <c r="K74" s="7">
        <f>IF(宠物经验!K75="","",INT(宠物经验!$B75*宠物经验!K75))</f>
        <v>365000</v>
      </c>
      <c r="L74" s="7" t="str">
        <f>IF(宠物经验!L75="","",INT(宠物经验!$B75*宠物经验!L75))</f>
        <v/>
      </c>
      <c r="M74" s="7" t="str">
        <f>IF(宠物经验!M75="","",INT(宠物经验!$B75*宠物经验!M75))</f>
        <v/>
      </c>
      <c r="N74" s="7">
        <f>IF(宠物经验!N75="","",INT(宠物经验!$B75*宠物经验!N75))</f>
        <v>4380000</v>
      </c>
      <c r="O74" s="7" t="str">
        <f>IF(宠物经验!O75="","",INT(宠物经验!$B75*宠物经验!O75))</f>
        <v/>
      </c>
      <c r="P74" s="7" t="str">
        <f>IF(宠物经验!P75="","",INT(宠物经验!$B75*宠物经验!P75))</f>
        <v/>
      </c>
      <c r="Q74" s="7">
        <f>IF(宠物经验!Q75="","",INT(宠物经验!$B75*宠物经验!Q75))</f>
        <v>1898000</v>
      </c>
      <c r="R74" s="7" t="str">
        <f>IF(宠物经验!R75="","",INT(宠物经验!$B75*宠物经验!R75))</f>
        <v/>
      </c>
      <c r="S74" s="7">
        <f>IF(宠物经验!S75="","",INT(宠物经验!$B75*宠物经验!S75))</f>
        <v>182481</v>
      </c>
      <c r="T74" s="7">
        <f>IF(宠物经验!T75="","",INT(宠物经验!$B75*宠物经验!T75))</f>
        <v>0</v>
      </c>
      <c r="U74" s="7">
        <f>IF(宠物经验!U75="","",INT(宠物经验!$B75*宠物经验!U75))</f>
        <v>182481</v>
      </c>
      <c r="V74" s="7">
        <f>IF(宠物经验!V75="","",INT(宠物经验!$B75*宠物经验!V75))</f>
        <v>121691</v>
      </c>
      <c r="W74" s="7" t="str">
        <f>IF(宠物经验!W75="","",INT(宠物经验!$B75*宠物经验!W75))</f>
        <v/>
      </c>
      <c r="X74" s="7" t="str">
        <f>IF(宠物经验!X75="","",INT(宠物经验!$B75*宠物经验!X75))</f>
        <v/>
      </c>
      <c r="Y74" s="7">
        <f>IF(宠物经验!Y75="","",INT(宠物经验!$B75*宠物经验!Y75))</f>
        <v>91250</v>
      </c>
      <c r="Z74" s="7" t="str">
        <f>IF(宠物经验!Z75="","",INT(宠物经验!$B75*宠物经验!Z75))</f>
        <v/>
      </c>
      <c r="AA74" s="7">
        <f>IF(宠物经验!AA75="","",INT(宠物经验!$B75*宠物经验!AA75))</f>
        <v>30422</v>
      </c>
      <c r="AB74" s="7" t="str">
        <f>IF(宠物经验!AB75="","",INT(宠物经验!$B75*宠物经验!AB75))</f>
        <v/>
      </c>
      <c r="AC74" s="7" t="str">
        <f>IF(宠物经验!AC75="","",INT(宠物经验!$B75*宠物经验!AC75))</f>
        <v/>
      </c>
      <c r="AD74" s="7" t="str">
        <f>IF(宠物经验!AD75="","",INT(宠物经验!$B75*宠物经验!AD75))</f>
        <v/>
      </c>
      <c r="AE74" s="7" t="str">
        <f>IF(宠物经验!AE75="","",INT(宠物经验!$B75*宠物经验!AE75))</f>
        <v/>
      </c>
      <c r="AF74" s="7">
        <f>宠物经验!AH75</f>
        <v>304220</v>
      </c>
      <c r="AG74" s="7">
        <f>宠物经验!AO75</f>
        <v>6083</v>
      </c>
    </row>
    <row r="75" spans="1:33">
      <c r="A75" s="32">
        <v>74</v>
      </c>
      <c r="B75" s="87">
        <f>宠物经验!B76</f>
        <v>370000</v>
      </c>
      <c r="C75" s="7">
        <f>IF(宠物经验!C76="","",INT(宠物经验!$B76*宠物经验!C76))</f>
        <v>369963</v>
      </c>
      <c r="D75" s="7">
        <f>IF(宠物经验!D76="","",INT(宠物经验!$B76*宠物经验!D76))</f>
        <v>407000</v>
      </c>
      <c r="E75" s="7" t="str">
        <f>IF(宠物经验!E76="","",INT(宠物经验!$B76*宠物经验!E76))</f>
        <v/>
      </c>
      <c r="F75" s="7">
        <f>IF(宠物经验!F76="","",INT(宠物经验!$B76*宠物经验!F76))</f>
        <v>555000</v>
      </c>
      <c r="G75" s="7">
        <f>IF(宠物经验!G76="","",INT(宠物经验!$B76*宠物经验!G76))</f>
        <v>246642</v>
      </c>
      <c r="H75" s="7" t="str">
        <f>IF(宠物经验!H76="","",INT(宠物经验!$B76*宠物经验!H76))</f>
        <v/>
      </c>
      <c r="I75" s="7" t="str">
        <f>IF(宠物经验!I76="","",INT(宠物经验!$B76*宠物经验!I76))</f>
        <v/>
      </c>
      <c r="J75" s="7" t="str">
        <f>IF(宠物经验!J76="","",INT(宠物经验!$B76*宠物经验!J76))</f>
        <v/>
      </c>
      <c r="K75" s="7">
        <f>IF(宠物经验!K76="","",INT(宠物经验!$B76*宠物经验!K76))</f>
        <v>370000</v>
      </c>
      <c r="L75" s="7" t="str">
        <f>IF(宠物经验!L76="","",INT(宠物经验!$B76*宠物经验!L76))</f>
        <v/>
      </c>
      <c r="M75" s="7" t="str">
        <f>IF(宠物经验!M76="","",INT(宠物经验!$B76*宠物经验!M76))</f>
        <v/>
      </c>
      <c r="N75" s="7">
        <f>IF(宠物经验!N76="","",INT(宠物经验!$B76*宠物经验!N76))</f>
        <v>4440000</v>
      </c>
      <c r="O75" s="7" t="str">
        <f>IF(宠物经验!O76="","",INT(宠物经验!$B76*宠物经验!O76))</f>
        <v/>
      </c>
      <c r="P75" s="7" t="str">
        <f>IF(宠物经验!P76="","",INT(宠物经验!$B76*宠物经验!P76))</f>
        <v/>
      </c>
      <c r="Q75" s="7">
        <f>IF(宠物经验!Q76="","",INT(宠物经验!$B76*宠物经验!Q76))</f>
        <v>1924000</v>
      </c>
      <c r="R75" s="7" t="str">
        <f>IF(宠物经验!R76="","",INT(宠物经验!$B76*宠物经验!R76))</f>
        <v/>
      </c>
      <c r="S75" s="7">
        <f>IF(宠物经验!S76="","",INT(宠物经验!$B76*宠物经验!S76))</f>
        <v>184981</v>
      </c>
      <c r="T75" s="7">
        <f>IF(宠物经验!T76="","",INT(宠物经验!$B76*宠物经验!T76))</f>
        <v>0</v>
      </c>
      <c r="U75" s="7">
        <f>IF(宠物经验!U76="","",INT(宠物经验!$B76*宠物经验!U76))</f>
        <v>184981</v>
      </c>
      <c r="V75" s="7">
        <f>IF(宠物经验!V76="","",INT(宠物经验!$B76*宠物经验!V76))</f>
        <v>123358</v>
      </c>
      <c r="W75" s="7" t="str">
        <f>IF(宠物经验!W76="","",INT(宠物经验!$B76*宠物经验!W76))</f>
        <v/>
      </c>
      <c r="X75" s="7" t="str">
        <f>IF(宠物经验!X76="","",INT(宠物经验!$B76*宠物经验!X76))</f>
        <v/>
      </c>
      <c r="Y75" s="7">
        <f>IF(宠物经验!Y76="","",INT(宠物经验!$B76*宠物经验!Y76))</f>
        <v>92500</v>
      </c>
      <c r="Z75" s="7" t="str">
        <f>IF(宠物经验!Z76="","",INT(宠物经验!$B76*宠物经验!Z76))</f>
        <v/>
      </c>
      <c r="AA75" s="7">
        <f>IF(宠物经验!AA76="","",INT(宠物经验!$B76*宠物经验!AA76))</f>
        <v>30839</v>
      </c>
      <c r="AB75" s="7" t="str">
        <f>IF(宠物经验!AB76="","",INT(宠物经验!$B76*宠物经验!AB76))</f>
        <v/>
      </c>
      <c r="AC75" s="7" t="str">
        <f>IF(宠物经验!AC76="","",INT(宠物经验!$B76*宠物经验!AC76))</f>
        <v/>
      </c>
      <c r="AD75" s="7" t="str">
        <f>IF(宠物经验!AD76="","",INT(宠物经验!$B76*宠物经验!AD76))</f>
        <v/>
      </c>
      <c r="AE75" s="7" t="str">
        <f>IF(宠物经验!AE76="","",INT(宠物经验!$B76*宠物经验!AE76))</f>
        <v/>
      </c>
      <c r="AF75" s="7">
        <f>宠物经验!AH76</f>
        <v>312070</v>
      </c>
      <c r="AG75" s="7">
        <f>宠物经验!AO76</f>
        <v>6167</v>
      </c>
    </row>
    <row r="76" spans="1:33">
      <c r="A76" s="32">
        <v>75</v>
      </c>
      <c r="B76" s="87">
        <f>宠物经验!B77</f>
        <v>375000</v>
      </c>
      <c r="C76" s="7">
        <f>IF(宠物经验!C77="","",INT(宠物经验!$B77*宠物经验!C77))</f>
        <v>374962</v>
      </c>
      <c r="D76" s="7">
        <f>IF(宠物经验!D77="","",INT(宠物经验!$B77*宠物经验!D77))</f>
        <v>412500</v>
      </c>
      <c r="E76" s="7" t="str">
        <f>IF(宠物经验!E77="","",INT(宠物经验!$B77*宠物经验!E77))</f>
        <v/>
      </c>
      <c r="F76" s="7">
        <f>IF(宠物经验!F77="","",INT(宠物经验!$B77*宠物经验!F77))</f>
        <v>562500</v>
      </c>
      <c r="G76" s="7">
        <f>IF(宠物经验!G77="","",INT(宠物经验!$B77*宠物经验!G77))</f>
        <v>249975</v>
      </c>
      <c r="H76" s="7" t="str">
        <f>IF(宠物经验!H77="","",INT(宠物经验!$B77*宠物经验!H77))</f>
        <v/>
      </c>
      <c r="I76" s="7" t="str">
        <f>IF(宠物经验!I77="","",INT(宠物经验!$B77*宠物经验!I77))</f>
        <v/>
      </c>
      <c r="J76" s="7" t="str">
        <f>IF(宠物经验!J77="","",INT(宠物经验!$B77*宠物经验!J77))</f>
        <v/>
      </c>
      <c r="K76" s="7">
        <f>IF(宠物经验!K77="","",INT(宠物经验!$B77*宠物经验!K77))</f>
        <v>375000</v>
      </c>
      <c r="L76" s="7" t="str">
        <f>IF(宠物经验!L77="","",INT(宠物经验!$B77*宠物经验!L77))</f>
        <v/>
      </c>
      <c r="M76" s="7" t="str">
        <f>IF(宠物经验!M77="","",INT(宠物经验!$B77*宠物经验!M77))</f>
        <v/>
      </c>
      <c r="N76" s="7">
        <f>IF(宠物经验!N77="","",INT(宠物经验!$B77*宠物经验!N77))</f>
        <v>4500000</v>
      </c>
      <c r="O76" s="7" t="str">
        <f>IF(宠物经验!O77="","",INT(宠物经验!$B77*宠物经验!O77))</f>
        <v/>
      </c>
      <c r="P76" s="7" t="str">
        <f>IF(宠物经验!P77="","",INT(宠物经验!$B77*宠物经验!P77))</f>
        <v/>
      </c>
      <c r="Q76" s="7">
        <f>IF(宠物经验!Q77="","",INT(宠物经验!$B77*宠物经验!Q77))</f>
        <v>1950000</v>
      </c>
      <c r="R76" s="7" t="str">
        <f>IF(宠物经验!R77="","",INT(宠物经验!$B77*宠物经验!R77))</f>
        <v/>
      </c>
      <c r="S76" s="7">
        <f>IF(宠物经验!S77="","",INT(宠物经验!$B77*宠物经验!S77))</f>
        <v>187481</v>
      </c>
      <c r="T76" s="7">
        <f>IF(宠物经验!T77="","",INT(宠物经验!$B77*宠物经验!T77))</f>
        <v>0</v>
      </c>
      <c r="U76" s="7">
        <f>IF(宠物经验!U77="","",INT(宠物经验!$B77*宠物经验!U77))</f>
        <v>187481</v>
      </c>
      <c r="V76" s="7">
        <f>IF(宠物经验!V77="","",INT(宠物经验!$B77*宠物经验!V77))</f>
        <v>125025</v>
      </c>
      <c r="W76" s="7" t="str">
        <f>IF(宠物经验!W77="","",INT(宠物经验!$B77*宠物经验!W77))</f>
        <v/>
      </c>
      <c r="X76" s="7" t="str">
        <f>IF(宠物经验!X77="","",INT(宠物经验!$B77*宠物经验!X77))</f>
        <v/>
      </c>
      <c r="Y76" s="7">
        <f>IF(宠物经验!Y77="","",INT(宠物经验!$B77*宠物经验!Y77))</f>
        <v>93750</v>
      </c>
      <c r="Z76" s="7" t="str">
        <f>IF(宠物经验!Z77="","",INT(宠物经验!$B77*宠物经验!Z77))</f>
        <v/>
      </c>
      <c r="AA76" s="7">
        <f>IF(宠物经验!AA77="","",INT(宠物经验!$B77*宠物经验!AA77))</f>
        <v>31256</v>
      </c>
      <c r="AB76" s="7" t="str">
        <f>IF(宠物经验!AB77="","",INT(宠物经验!$B77*宠物经验!AB77))</f>
        <v/>
      </c>
      <c r="AC76" s="7" t="str">
        <f>IF(宠物经验!AC77="","",INT(宠物经验!$B77*宠物经验!AC77))</f>
        <v/>
      </c>
      <c r="AD76" s="7" t="str">
        <f>IF(宠物经验!AD77="","",INT(宠物经验!$B77*宠物经验!AD77))</f>
        <v/>
      </c>
      <c r="AE76" s="7" t="str">
        <f>IF(宠物经验!AE77="","",INT(宠物经验!$B77*宠物经验!AE77))</f>
        <v/>
      </c>
      <c r="AF76" s="7">
        <f>宠物经验!AH77</f>
        <v>320020</v>
      </c>
      <c r="AG76" s="7">
        <f>宠物经验!AO77</f>
        <v>6250</v>
      </c>
    </row>
    <row r="77" spans="1:33">
      <c r="A77" s="32">
        <v>76</v>
      </c>
      <c r="B77" s="87">
        <f>宠物经验!B78</f>
        <v>380000</v>
      </c>
      <c r="C77" s="7">
        <f>IF(宠物经验!C78="","",INT(宠物经验!$B78*宠物经验!C78))</f>
        <v>379962</v>
      </c>
      <c r="D77" s="7">
        <f>IF(宠物经验!D78="","",INT(宠物经验!$B78*宠物经验!D78))</f>
        <v>418000</v>
      </c>
      <c r="E77" s="7" t="str">
        <f>IF(宠物经验!E78="","",INT(宠物经验!$B78*宠物经验!E78))</f>
        <v/>
      </c>
      <c r="F77" s="7">
        <f>IF(宠物经验!F78="","",INT(宠物经验!$B78*宠物经验!F78))</f>
        <v>570000</v>
      </c>
      <c r="G77" s="7">
        <f>IF(宠物经验!G78="","",INT(宠物经验!$B78*宠物经验!G78))</f>
        <v>253308</v>
      </c>
      <c r="H77" s="7" t="str">
        <f>IF(宠物经验!H78="","",INT(宠物经验!$B78*宠物经验!H78))</f>
        <v/>
      </c>
      <c r="I77" s="7" t="str">
        <f>IF(宠物经验!I78="","",INT(宠物经验!$B78*宠物经验!I78))</f>
        <v/>
      </c>
      <c r="J77" s="7" t="str">
        <f>IF(宠物经验!J78="","",INT(宠物经验!$B78*宠物经验!J78))</f>
        <v/>
      </c>
      <c r="K77" s="7">
        <f>IF(宠物经验!K78="","",INT(宠物经验!$B78*宠物经验!K78))</f>
        <v>380000</v>
      </c>
      <c r="L77" s="7" t="str">
        <f>IF(宠物经验!L78="","",INT(宠物经验!$B78*宠物经验!L78))</f>
        <v/>
      </c>
      <c r="M77" s="7" t="str">
        <f>IF(宠物经验!M78="","",INT(宠物经验!$B78*宠物经验!M78))</f>
        <v/>
      </c>
      <c r="N77" s="7">
        <f>IF(宠物经验!N78="","",INT(宠物经验!$B78*宠物经验!N78))</f>
        <v>4560000</v>
      </c>
      <c r="O77" s="7" t="str">
        <f>IF(宠物经验!O78="","",INT(宠物经验!$B78*宠物经验!O78))</f>
        <v/>
      </c>
      <c r="P77" s="7" t="str">
        <f>IF(宠物经验!P78="","",INT(宠物经验!$B78*宠物经验!P78))</f>
        <v/>
      </c>
      <c r="Q77" s="7">
        <f>IF(宠物经验!Q78="","",INT(宠物经验!$B78*宠物经验!Q78))</f>
        <v>1976000</v>
      </c>
      <c r="R77" s="7" t="str">
        <f>IF(宠物经验!R78="","",INT(宠物经验!$B78*宠物经验!R78))</f>
        <v/>
      </c>
      <c r="S77" s="7">
        <f>IF(宠物经验!S78="","",INT(宠物经验!$B78*宠物经验!S78))</f>
        <v>189981</v>
      </c>
      <c r="T77" s="7">
        <f>IF(宠物经验!T78="","",INT(宠物经验!$B78*宠物经验!T78))</f>
        <v>0</v>
      </c>
      <c r="U77" s="7">
        <f>IF(宠物经验!U78="","",INT(宠物经验!$B78*宠物经验!U78))</f>
        <v>189981</v>
      </c>
      <c r="V77" s="7">
        <f>IF(宠物经验!V78="","",INT(宠物经验!$B78*宠物经验!V78))</f>
        <v>126692</v>
      </c>
      <c r="W77" s="7" t="str">
        <f>IF(宠物经验!W78="","",INT(宠物经验!$B78*宠物经验!W78))</f>
        <v/>
      </c>
      <c r="X77" s="7" t="str">
        <f>IF(宠物经验!X78="","",INT(宠物经验!$B78*宠物经验!X78))</f>
        <v/>
      </c>
      <c r="Y77" s="7">
        <f>IF(宠物经验!Y78="","",INT(宠物经验!$B78*宠物经验!Y78))</f>
        <v>95000</v>
      </c>
      <c r="Z77" s="7" t="str">
        <f>IF(宠物经验!Z78="","",INT(宠物经验!$B78*宠物经验!Z78))</f>
        <v/>
      </c>
      <c r="AA77" s="7">
        <f>IF(宠物经验!AA78="","",INT(宠物经验!$B78*宠物经验!AA78))</f>
        <v>31673</v>
      </c>
      <c r="AB77" s="7" t="str">
        <f>IF(宠物经验!AB78="","",INT(宠物经验!$B78*宠物经验!AB78))</f>
        <v/>
      </c>
      <c r="AC77" s="7" t="str">
        <f>IF(宠物经验!AC78="","",INT(宠物经验!$B78*宠物经验!AC78))</f>
        <v/>
      </c>
      <c r="AD77" s="7" t="str">
        <f>IF(宠物经验!AD78="","",INT(宠物经验!$B78*宠物经验!AD78))</f>
        <v/>
      </c>
      <c r="AE77" s="7" t="str">
        <f>IF(宠物经验!AE78="","",INT(宠物经验!$B78*宠物经验!AE78))</f>
        <v/>
      </c>
      <c r="AF77" s="7">
        <f>宠物经验!AH78</f>
        <v>328070</v>
      </c>
      <c r="AG77" s="7">
        <f>宠物经验!AO78</f>
        <v>6333</v>
      </c>
    </row>
    <row r="78" spans="1:33">
      <c r="A78" s="32">
        <v>77</v>
      </c>
      <c r="B78" s="87">
        <f>宠物经验!B79</f>
        <v>385000</v>
      </c>
      <c r="C78" s="7">
        <f>IF(宠物经验!C79="","",INT(宠物经验!$B79*宠物经验!C79))</f>
        <v>384961</v>
      </c>
      <c r="D78" s="7">
        <f>IF(宠物经验!D79="","",INT(宠物经验!$B79*宠物经验!D79))</f>
        <v>423500</v>
      </c>
      <c r="E78" s="7" t="str">
        <f>IF(宠物经验!E79="","",INT(宠物经验!$B79*宠物经验!E79))</f>
        <v/>
      </c>
      <c r="F78" s="7">
        <f>IF(宠物经验!F79="","",INT(宠物经验!$B79*宠物经验!F79))</f>
        <v>577500</v>
      </c>
      <c r="G78" s="7">
        <f>IF(宠物经验!G79="","",INT(宠物经验!$B79*宠物经验!G79))</f>
        <v>256641</v>
      </c>
      <c r="H78" s="7" t="str">
        <f>IF(宠物经验!H79="","",INT(宠物经验!$B79*宠物经验!H79))</f>
        <v/>
      </c>
      <c r="I78" s="7" t="str">
        <f>IF(宠物经验!I79="","",INT(宠物经验!$B79*宠物经验!I79))</f>
        <v/>
      </c>
      <c r="J78" s="7" t="str">
        <f>IF(宠物经验!J79="","",INT(宠物经验!$B79*宠物经验!J79))</f>
        <v/>
      </c>
      <c r="K78" s="7">
        <f>IF(宠物经验!K79="","",INT(宠物经验!$B79*宠物经验!K79))</f>
        <v>385000</v>
      </c>
      <c r="L78" s="7" t="str">
        <f>IF(宠物经验!L79="","",INT(宠物经验!$B79*宠物经验!L79))</f>
        <v/>
      </c>
      <c r="M78" s="7" t="str">
        <f>IF(宠物经验!M79="","",INT(宠物经验!$B79*宠物经验!M79))</f>
        <v/>
      </c>
      <c r="N78" s="7">
        <f>IF(宠物经验!N79="","",INT(宠物经验!$B79*宠物经验!N79))</f>
        <v>4620000</v>
      </c>
      <c r="O78" s="7" t="str">
        <f>IF(宠物经验!O79="","",INT(宠物经验!$B79*宠物经验!O79))</f>
        <v/>
      </c>
      <c r="P78" s="7" t="str">
        <f>IF(宠物经验!P79="","",INT(宠物经验!$B79*宠物经验!P79))</f>
        <v/>
      </c>
      <c r="Q78" s="7">
        <f>IF(宠物经验!Q79="","",INT(宠物经验!$B79*宠物经验!Q79))</f>
        <v>2002000</v>
      </c>
      <c r="R78" s="7" t="str">
        <f>IF(宠物经验!R79="","",INT(宠物经验!$B79*宠物经验!R79))</f>
        <v/>
      </c>
      <c r="S78" s="7">
        <f>IF(宠物经验!S79="","",INT(宠物经验!$B79*宠物经验!S79))</f>
        <v>192480</v>
      </c>
      <c r="T78" s="7">
        <f>IF(宠物经验!T79="","",INT(宠物经验!$B79*宠物经验!T79))</f>
        <v>0</v>
      </c>
      <c r="U78" s="7">
        <f>IF(宠物经验!U79="","",INT(宠物经验!$B79*宠物经验!U79))</f>
        <v>192480</v>
      </c>
      <c r="V78" s="7">
        <f>IF(宠物经验!V79="","",INT(宠物经验!$B79*宠物经验!V79))</f>
        <v>128359</v>
      </c>
      <c r="W78" s="7" t="str">
        <f>IF(宠物经验!W79="","",INT(宠物经验!$B79*宠物经验!W79))</f>
        <v/>
      </c>
      <c r="X78" s="7" t="str">
        <f>IF(宠物经验!X79="","",INT(宠物经验!$B79*宠物经验!X79))</f>
        <v/>
      </c>
      <c r="Y78" s="7">
        <f>IF(宠物经验!Y79="","",INT(宠物经验!$B79*宠物经验!Y79))</f>
        <v>96250</v>
      </c>
      <c r="Z78" s="7" t="str">
        <f>IF(宠物经验!Z79="","",INT(宠物经验!$B79*宠物经验!Z79))</f>
        <v/>
      </c>
      <c r="AA78" s="7">
        <f>IF(宠物经验!AA79="","",INT(宠物经验!$B79*宠物经验!AA79))</f>
        <v>32089</v>
      </c>
      <c r="AB78" s="7" t="str">
        <f>IF(宠物经验!AB79="","",INT(宠物经验!$B79*宠物经验!AB79))</f>
        <v/>
      </c>
      <c r="AC78" s="7" t="str">
        <f>IF(宠物经验!AC79="","",INT(宠物经验!$B79*宠物经验!AC79))</f>
        <v/>
      </c>
      <c r="AD78" s="7" t="str">
        <f>IF(宠物经验!AD79="","",INT(宠物经验!$B79*宠物经验!AD79))</f>
        <v/>
      </c>
      <c r="AE78" s="7" t="str">
        <f>IF(宠物经验!AE79="","",INT(宠物经验!$B79*宠物经验!AE79))</f>
        <v/>
      </c>
      <c r="AF78" s="7">
        <f>宠物经验!AH79</f>
        <v>336220</v>
      </c>
      <c r="AG78" s="7">
        <f>宠物经验!AO79</f>
        <v>6417</v>
      </c>
    </row>
    <row r="79" spans="1:33">
      <c r="A79" s="32">
        <v>78</v>
      </c>
      <c r="B79" s="87">
        <f>宠物经验!B80</f>
        <v>390000</v>
      </c>
      <c r="C79" s="7">
        <f>IF(宠物经验!C80="","",INT(宠物经验!$B80*宠物经验!C80))</f>
        <v>389961</v>
      </c>
      <c r="D79" s="7">
        <f>IF(宠物经验!D80="","",INT(宠物经验!$B80*宠物经验!D80))</f>
        <v>429000</v>
      </c>
      <c r="E79" s="7" t="str">
        <f>IF(宠物经验!E80="","",INT(宠物经验!$B80*宠物经验!E80))</f>
        <v/>
      </c>
      <c r="F79" s="7">
        <f>IF(宠物经验!F80="","",INT(宠物经验!$B80*宠物经验!F80))</f>
        <v>585000</v>
      </c>
      <c r="G79" s="7">
        <f>IF(宠物经验!G80="","",INT(宠物经验!$B80*宠物经验!G80))</f>
        <v>259974</v>
      </c>
      <c r="H79" s="7" t="str">
        <f>IF(宠物经验!H80="","",INT(宠物经验!$B80*宠物经验!H80))</f>
        <v/>
      </c>
      <c r="I79" s="7" t="str">
        <f>IF(宠物经验!I80="","",INT(宠物经验!$B80*宠物经验!I80))</f>
        <v/>
      </c>
      <c r="J79" s="7" t="str">
        <f>IF(宠物经验!J80="","",INT(宠物经验!$B80*宠物经验!J80))</f>
        <v/>
      </c>
      <c r="K79" s="7">
        <f>IF(宠物经验!K80="","",INT(宠物经验!$B80*宠物经验!K80))</f>
        <v>390000</v>
      </c>
      <c r="L79" s="7" t="str">
        <f>IF(宠物经验!L80="","",INT(宠物经验!$B80*宠物经验!L80))</f>
        <v/>
      </c>
      <c r="M79" s="7" t="str">
        <f>IF(宠物经验!M80="","",INT(宠物经验!$B80*宠物经验!M80))</f>
        <v/>
      </c>
      <c r="N79" s="7">
        <f>IF(宠物经验!N80="","",INT(宠物经验!$B80*宠物经验!N80))</f>
        <v>4680000</v>
      </c>
      <c r="O79" s="7" t="str">
        <f>IF(宠物经验!O80="","",INT(宠物经验!$B80*宠物经验!O80))</f>
        <v/>
      </c>
      <c r="P79" s="7" t="str">
        <f>IF(宠物经验!P80="","",INT(宠物经验!$B80*宠物经验!P80))</f>
        <v/>
      </c>
      <c r="Q79" s="7">
        <f>IF(宠物经验!Q80="","",INT(宠物经验!$B80*宠物经验!Q80))</f>
        <v>2028000</v>
      </c>
      <c r="R79" s="7" t="str">
        <f>IF(宠物经验!R80="","",INT(宠物经验!$B80*宠物经验!R80))</f>
        <v/>
      </c>
      <c r="S79" s="7">
        <f>IF(宠物经验!S80="","",INT(宠物经验!$B80*宠物经验!S80))</f>
        <v>194980</v>
      </c>
      <c r="T79" s="7">
        <f>IF(宠物经验!T80="","",INT(宠物经验!$B80*宠物经验!T80))</f>
        <v>0</v>
      </c>
      <c r="U79" s="7">
        <f>IF(宠物经验!U80="","",INT(宠物经验!$B80*宠物经验!U80))</f>
        <v>194980</v>
      </c>
      <c r="V79" s="7">
        <f>IF(宠物经验!V80="","",INT(宠物经验!$B80*宠物经验!V80))</f>
        <v>130026</v>
      </c>
      <c r="W79" s="7" t="str">
        <f>IF(宠物经验!W80="","",INT(宠物经验!$B80*宠物经验!W80))</f>
        <v/>
      </c>
      <c r="X79" s="7" t="str">
        <f>IF(宠物经验!X80="","",INT(宠物经验!$B80*宠物经验!X80))</f>
        <v/>
      </c>
      <c r="Y79" s="7">
        <f>IF(宠物经验!Y80="","",INT(宠物经验!$B80*宠物经验!Y80))</f>
        <v>97500</v>
      </c>
      <c r="Z79" s="7" t="str">
        <f>IF(宠物经验!Z80="","",INT(宠物经验!$B80*宠物经验!Z80))</f>
        <v/>
      </c>
      <c r="AA79" s="7">
        <f>IF(宠物经验!AA80="","",INT(宠物经验!$B80*宠物经验!AA80))</f>
        <v>32506</v>
      </c>
      <c r="AB79" s="7" t="str">
        <f>IF(宠物经验!AB80="","",INT(宠物经验!$B80*宠物经验!AB80))</f>
        <v/>
      </c>
      <c r="AC79" s="7" t="str">
        <f>IF(宠物经验!AC80="","",INT(宠物经验!$B80*宠物经验!AC80))</f>
        <v/>
      </c>
      <c r="AD79" s="7" t="str">
        <f>IF(宠物经验!AD80="","",INT(宠物经验!$B80*宠物经验!AD80))</f>
        <v/>
      </c>
      <c r="AE79" s="7" t="str">
        <f>IF(宠物经验!AE80="","",INT(宠物经验!$B80*宠物经验!AE80))</f>
        <v/>
      </c>
      <c r="AF79" s="7">
        <f>宠物经验!AH80</f>
        <v>344470</v>
      </c>
      <c r="AG79" s="7">
        <f>宠物经验!AO80</f>
        <v>6500</v>
      </c>
    </row>
    <row r="80" spans="1:33">
      <c r="A80" s="32">
        <v>79</v>
      </c>
      <c r="B80" s="87">
        <f>宠物经验!B81</f>
        <v>395000</v>
      </c>
      <c r="C80" s="7">
        <f>IF(宠物经验!C81="","",INT(宠物经验!$B81*宠物经验!C81))</f>
        <v>394960</v>
      </c>
      <c r="D80" s="7">
        <f>IF(宠物经验!D81="","",INT(宠物经验!$B81*宠物经验!D81))</f>
        <v>434500</v>
      </c>
      <c r="E80" s="7" t="str">
        <f>IF(宠物经验!E81="","",INT(宠物经验!$B81*宠物经验!E81))</f>
        <v/>
      </c>
      <c r="F80" s="7">
        <f>IF(宠物经验!F81="","",INT(宠物经验!$B81*宠物经验!F81))</f>
        <v>592500</v>
      </c>
      <c r="G80" s="7">
        <f>IF(宠物经验!G81="","",INT(宠物经验!$B81*宠物经验!G81))</f>
        <v>263307</v>
      </c>
      <c r="H80" s="7" t="str">
        <f>IF(宠物经验!H81="","",INT(宠物经验!$B81*宠物经验!H81))</f>
        <v/>
      </c>
      <c r="I80" s="7" t="str">
        <f>IF(宠物经验!I81="","",INT(宠物经验!$B81*宠物经验!I81))</f>
        <v/>
      </c>
      <c r="J80" s="7" t="str">
        <f>IF(宠物经验!J81="","",INT(宠物经验!$B81*宠物经验!J81))</f>
        <v/>
      </c>
      <c r="K80" s="7">
        <f>IF(宠物经验!K81="","",INT(宠物经验!$B81*宠物经验!K81))</f>
        <v>395000</v>
      </c>
      <c r="L80" s="7" t="str">
        <f>IF(宠物经验!L81="","",INT(宠物经验!$B81*宠物经验!L81))</f>
        <v/>
      </c>
      <c r="M80" s="7" t="str">
        <f>IF(宠物经验!M81="","",INT(宠物经验!$B81*宠物经验!M81))</f>
        <v/>
      </c>
      <c r="N80" s="7">
        <f>IF(宠物经验!N81="","",INT(宠物经验!$B81*宠物经验!N81))</f>
        <v>4740000</v>
      </c>
      <c r="O80" s="7" t="str">
        <f>IF(宠物经验!O81="","",INT(宠物经验!$B81*宠物经验!O81))</f>
        <v/>
      </c>
      <c r="P80" s="7" t="str">
        <f>IF(宠物经验!P81="","",INT(宠物经验!$B81*宠物经验!P81))</f>
        <v/>
      </c>
      <c r="Q80" s="7">
        <f>IF(宠物经验!Q81="","",INT(宠物经验!$B81*宠物经验!Q81))</f>
        <v>2054000</v>
      </c>
      <c r="R80" s="7" t="str">
        <f>IF(宠物经验!R81="","",INT(宠物经验!$B81*宠物经验!R81))</f>
        <v/>
      </c>
      <c r="S80" s="7">
        <f>IF(宠物经验!S81="","",INT(宠物经验!$B81*宠物经验!S81))</f>
        <v>197480</v>
      </c>
      <c r="T80" s="7">
        <f>IF(宠物经验!T81="","",INT(宠物经验!$B81*宠物经验!T81))</f>
        <v>0</v>
      </c>
      <c r="U80" s="7">
        <f>IF(宠物经验!U81="","",INT(宠物经验!$B81*宠物经验!U81))</f>
        <v>197480</v>
      </c>
      <c r="V80" s="7">
        <f>IF(宠物经验!V81="","",INT(宠物经验!$B81*宠物经验!V81))</f>
        <v>131693</v>
      </c>
      <c r="W80" s="7" t="str">
        <f>IF(宠物经验!W81="","",INT(宠物经验!$B81*宠物经验!W81))</f>
        <v/>
      </c>
      <c r="X80" s="7" t="str">
        <f>IF(宠物经验!X81="","",INT(宠物经验!$B81*宠物经验!X81))</f>
        <v/>
      </c>
      <c r="Y80" s="7">
        <f>IF(宠物经验!Y81="","",INT(宠物经验!$B81*宠物经验!Y81))</f>
        <v>98750</v>
      </c>
      <c r="Z80" s="7" t="str">
        <f>IF(宠物经验!Z81="","",INT(宠物经验!$B81*宠物经验!Z81))</f>
        <v/>
      </c>
      <c r="AA80" s="7">
        <f>IF(宠物经验!AA81="","",INT(宠物经验!$B81*宠物经验!AA81))</f>
        <v>32923</v>
      </c>
      <c r="AB80" s="7" t="str">
        <f>IF(宠物经验!AB81="","",INT(宠物经验!$B81*宠物经验!AB81))</f>
        <v/>
      </c>
      <c r="AC80" s="7" t="str">
        <f>IF(宠物经验!AC81="","",INT(宠物经验!$B81*宠物经验!AC81))</f>
        <v/>
      </c>
      <c r="AD80" s="7" t="str">
        <f>IF(宠物经验!AD81="","",INT(宠物经验!$B81*宠物经验!AD81))</f>
        <v/>
      </c>
      <c r="AE80" s="7" t="str">
        <f>IF(宠物经验!AE81="","",INT(宠物经验!$B81*宠物经验!AE81))</f>
        <v/>
      </c>
      <c r="AF80" s="7">
        <f>宠物经验!AH81</f>
        <v>352820</v>
      </c>
      <c r="AG80" s="7">
        <f>宠物经验!AO81</f>
        <v>6583</v>
      </c>
    </row>
    <row r="81" spans="1:33">
      <c r="A81" s="32">
        <v>80</v>
      </c>
      <c r="B81" s="87">
        <f>宠物经验!B82</f>
        <v>400000</v>
      </c>
      <c r="C81" s="7">
        <f>IF(宠物经验!C82="","",INT(宠物经验!$B82*宠物经验!C82))</f>
        <v>399960</v>
      </c>
      <c r="D81" s="7">
        <f>IF(宠物经验!D82="","",INT(宠物经验!$B82*宠物经验!D82))</f>
        <v>440000</v>
      </c>
      <c r="E81" s="7" t="str">
        <f>IF(宠物经验!E82="","",INT(宠物经验!$B82*宠物经验!E82))</f>
        <v/>
      </c>
      <c r="F81" s="7">
        <f>IF(宠物经验!F82="","",INT(宠物经验!$B82*宠物经验!F82))</f>
        <v>600000</v>
      </c>
      <c r="G81" s="7">
        <f>IF(宠物经验!G82="","",INT(宠物经验!$B82*宠物经验!G82))</f>
        <v>266640</v>
      </c>
      <c r="H81" s="7" t="str">
        <f>IF(宠物经验!H82="","",INT(宠物经验!$B82*宠物经验!H82))</f>
        <v/>
      </c>
      <c r="I81" s="7" t="str">
        <f>IF(宠物经验!I82="","",INT(宠物经验!$B82*宠物经验!I82))</f>
        <v/>
      </c>
      <c r="J81" s="7" t="str">
        <f>IF(宠物经验!J82="","",INT(宠物经验!$B82*宠物经验!J82))</f>
        <v/>
      </c>
      <c r="K81" s="7">
        <f>IF(宠物经验!K82="","",INT(宠物经验!$B82*宠物经验!K82))</f>
        <v>400000</v>
      </c>
      <c r="L81" s="7" t="str">
        <f>IF(宠物经验!L82="","",INT(宠物经验!$B82*宠物经验!L82))</f>
        <v/>
      </c>
      <c r="M81" s="7" t="str">
        <f>IF(宠物经验!M82="","",INT(宠物经验!$B82*宠物经验!M82))</f>
        <v/>
      </c>
      <c r="N81" s="7">
        <f>IF(宠物经验!N82="","",INT(宠物经验!$B82*宠物经验!N82))</f>
        <v>4800000</v>
      </c>
      <c r="O81" s="7" t="str">
        <f>IF(宠物经验!O82="","",INT(宠物经验!$B82*宠物经验!O82))</f>
        <v/>
      </c>
      <c r="P81" s="7" t="str">
        <f>IF(宠物经验!P82="","",INT(宠物经验!$B82*宠物经验!P82))</f>
        <v/>
      </c>
      <c r="Q81" s="7">
        <f>IF(宠物经验!Q82="","",INT(宠物经验!$B82*宠物经验!Q82))</f>
        <v>2080000</v>
      </c>
      <c r="R81" s="7" t="str">
        <f>IF(宠物经验!R82="","",INT(宠物经验!$B82*宠物经验!R82))</f>
        <v/>
      </c>
      <c r="S81" s="7">
        <f>IF(宠物经验!S82="","",INT(宠物经验!$B82*宠物经验!S82))</f>
        <v>199980</v>
      </c>
      <c r="T81" s="7">
        <f>IF(宠物经验!T82="","",INT(宠物经验!$B82*宠物经验!T82))</f>
        <v>0</v>
      </c>
      <c r="U81" s="7">
        <f>IF(宠物经验!U82="","",INT(宠物经验!$B82*宠物经验!U82))</f>
        <v>199980</v>
      </c>
      <c r="V81" s="7">
        <f>IF(宠物经验!V82="","",INT(宠物经验!$B82*宠物经验!V82))</f>
        <v>133360</v>
      </c>
      <c r="W81" s="7" t="str">
        <f>IF(宠物经验!W82="","",INT(宠物经验!$B82*宠物经验!W82))</f>
        <v/>
      </c>
      <c r="X81" s="7" t="str">
        <f>IF(宠物经验!X82="","",INT(宠物经验!$B82*宠物经验!X82))</f>
        <v/>
      </c>
      <c r="Y81" s="7">
        <f>IF(宠物经验!Y82="","",INT(宠物经验!$B82*宠物经验!Y82))</f>
        <v>100000</v>
      </c>
      <c r="Z81" s="7" t="str">
        <f>IF(宠物经验!Z82="","",INT(宠物经验!$B82*宠物经验!Z82))</f>
        <v/>
      </c>
      <c r="AA81" s="7">
        <f>IF(宠物经验!AA82="","",INT(宠物经验!$B82*宠物经验!AA82))</f>
        <v>33340</v>
      </c>
      <c r="AB81" s="7" t="str">
        <f>IF(宠物经验!AB82="","",INT(宠物经验!$B82*宠物经验!AB82))</f>
        <v/>
      </c>
      <c r="AC81" s="7" t="str">
        <f>IF(宠物经验!AC82="","",INT(宠物经验!$B82*宠物经验!AC82))</f>
        <v/>
      </c>
      <c r="AD81" s="7" t="str">
        <f>IF(宠物经验!AD82="","",INT(宠物经验!$B82*宠物经验!AD82))</f>
        <v/>
      </c>
      <c r="AE81" s="7" t="str">
        <f>IF(宠物经验!AE82="","",INT(宠物经验!$B82*宠物经验!AE82))</f>
        <v/>
      </c>
      <c r="AF81" s="7">
        <f>宠物经验!AH82</f>
        <v>361270</v>
      </c>
      <c r="AG81" s="7">
        <f>宠物经验!AO82</f>
        <v>6667</v>
      </c>
    </row>
    <row r="82" spans="1:33">
      <c r="A82" s="32">
        <v>81</v>
      </c>
      <c r="B82" s="87">
        <f>宠物经验!B83</f>
        <v>405000</v>
      </c>
      <c r="C82" s="7">
        <f>IF(宠物经验!C83="","",INT(宠物经验!$B83*宠物经验!C83))</f>
        <v>404959</v>
      </c>
      <c r="D82" s="7">
        <f>IF(宠物经验!D83="","",INT(宠物经验!$B83*宠物经验!D83))</f>
        <v>445500</v>
      </c>
      <c r="E82" s="7" t="str">
        <f>IF(宠物经验!E83="","",INT(宠物经验!$B83*宠物经验!E83))</f>
        <v/>
      </c>
      <c r="F82" s="7">
        <f>IF(宠物经验!F83="","",INT(宠物经验!$B83*宠物经验!F83))</f>
        <v>607500</v>
      </c>
      <c r="G82" s="7">
        <f>IF(宠物经验!G83="","",INT(宠物经验!$B83*宠物经验!G83))</f>
        <v>269973</v>
      </c>
      <c r="H82" s="7" t="str">
        <f>IF(宠物经验!H83="","",INT(宠物经验!$B83*宠物经验!H83))</f>
        <v/>
      </c>
      <c r="I82" s="7" t="str">
        <f>IF(宠物经验!I83="","",INT(宠物经验!$B83*宠物经验!I83))</f>
        <v/>
      </c>
      <c r="J82" s="7" t="str">
        <f>IF(宠物经验!J83="","",INT(宠物经验!$B83*宠物经验!J83))</f>
        <v/>
      </c>
      <c r="K82" s="7">
        <f>IF(宠物经验!K83="","",INT(宠物经验!$B83*宠物经验!K83))</f>
        <v>405000</v>
      </c>
      <c r="L82" s="7" t="str">
        <f>IF(宠物经验!L83="","",INT(宠物经验!$B83*宠物经验!L83))</f>
        <v/>
      </c>
      <c r="M82" s="7" t="str">
        <f>IF(宠物经验!M83="","",INT(宠物经验!$B83*宠物经验!M83))</f>
        <v/>
      </c>
      <c r="N82" s="7">
        <f>IF(宠物经验!N83="","",INT(宠物经验!$B83*宠物经验!N83))</f>
        <v>4860000</v>
      </c>
      <c r="O82" s="7" t="str">
        <f>IF(宠物经验!O83="","",INT(宠物经验!$B83*宠物经验!O83))</f>
        <v/>
      </c>
      <c r="P82" s="7" t="str">
        <f>IF(宠物经验!P83="","",INT(宠物经验!$B83*宠物经验!P83))</f>
        <v/>
      </c>
      <c r="Q82" s="7">
        <f>IF(宠物经验!Q83="","",INT(宠物经验!$B83*宠物经验!Q83))</f>
        <v>2106000</v>
      </c>
      <c r="R82" s="7" t="str">
        <f>IF(宠物经验!R83="","",INT(宠物经验!$B83*宠物经验!R83))</f>
        <v/>
      </c>
      <c r="S82" s="7">
        <f>IF(宠物经验!S83="","",INT(宠物经验!$B83*宠物经验!S83))</f>
        <v>202479</v>
      </c>
      <c r="T82" s="7">
        <f>IF(宠物经验!T83="","",INT(宠物经验!$B83*宠物经验!T83))</f>
        <v>0</v>
      </c>
      <c r="U82" s="7">
        <f>IF(宠物经验!U83="","",INT(宠物经验!$B83*宠物经验!U83))</f>
        <v>202479</v>
      </c>
      <c r="V82" s="7">
        <f>IF(宠物经验!V83="","",INT(宠物经验!$B83*宠物经验!V83))</f>
        <v>135027</v>
      </c>
      <c r="W82" s="7" t="str">
        <f>IF(宠物经验!W83="","",INT(宠物经验!$B83*宠物经验!W83))</f>
        <v/>
      </c>
      <c r="X82" s="7" t="str">
        <f>IF(宠物经验!X83="","",INT(宠物经验!$B83*宠物经验!X83))</f>
        <v/>
      </c>
      <c r="Y82" s="7">
        <f>IF(宠物经验!Y83="","",INT(宠物经验!$B83*宠物经验!Y83))</f>
        <v>101250</v>
      </c>
      <c r="Z82" s="7" t="str">
        <f>IF(宠物经验!Z83="","",INT(宠物经验!$B83*宠物经验!Z83))</f>
        <v/>
      </c>
      <c r="AA82" s="7">
        <f>IF(宠物经验!AA83="","",INT(宠物经验!$B83*宠物经验!AA83))</f>
        <v>33756</v>
      </c>
      <c r="AB82" s="7" t="str">
        <f>IF(宠物经验!AB83="","",INT(宠物经验!$B83*宠物经验!AB83))</f>
        <v/>
      </c>
      <c r="AC82" s="7" t="str">
        <f>IF(宠物经验!AC83="","",INT(宠物经验!$B83*宠物经验!AC83))</f>
        <v/>
      </c>
      <c r="AD82" s="7" t="str">
        <f>IF(宠物经验!AD83="","",INT(宠物经验!$B83*宠物经验!AD83))</f>
        <v/>
      </c>
      <c r="AE82" s="7" t="str">
        <f>IF(宠物经验!AE83="","",INT(宠物经验!$B83*宠物经验!AE83))</f>
        <v/>
      </c>
      <c r="AF82" s="7">
        <f>宠物经验!AH83</f>
        <v>369820</v>
      </c>
      <c r="AG82" s="7">
        <f>宠物经验!AO83</f>
        <v>6750</v>
      </c>
    </row>
    <row r="83" spans="1:33">
      <c r="A83" s="32">
        <v>82</v>
      </c>
      <c r="B83" s="87">
        <f>宠物经验!B84</f>
        <v>410000</v>
      </c>
      <c r="C83" s="7">
        <f>IF(宠物经验!C84="","",INT(宠物经验!$B84*宠物经验!C84))</f>
        <v>409959</v>
      </c>
      <c r="D83" s="7">
        <f>IF(宠物经验!D84="","",INT(宠物经验!$B84*宠物经验!D84))</f>
        <v>451000</v>
      </c>
      <c r="E83" s="7" t="str">
        <f>IF(宠物经验!E84="","",INT(宠物经验!$B84*宠物经验!E84))</f>
        <v/>
      </c>
      <c r="F83" s="7">
        <f>IF(宠物经验!F84="","",INT(宠物经验!$B84*宠物经验!F84))</f>
        <v>615000</v>
      </c>
      <c r="G83" s="7">
        <f>IF(宠物经验!G84="","",INT(宠物经验!$B84*宠物经验!G84))</f>
        <v>273306</v>
      </c>
      <c r="H83" s="7" t="str">
        <f>IF(宠物经验!H84="","",INT(宠物经验!$B84*宠物经验!H84))</f>
        <v/>
      </c>
      <c r="I83" s="7" t="str">
        <f>IF(宠物经验!I84="","",INT(宠物经验!$B84*宠物经验!I84))</f>
        <v/>
      </c>
      <c r="J83" s="7" t="str">
        <f>IF(宠物经验!J84="","",INT(宠物经验!$B84*宠物经验!J84))</f>
        <v/>
      </c>
      <c r="K83" s="7">
        <f>IF(宠物经验!K84="","",INT(宠物经验!$B84*宠物经验!K84))</f>
        <v>410000</v>
      </c>
      <c r="L83" s="7" t="str">
        <f>IF(宠物经验!L84="","",INT(宠物经验!$B84*宠物经验!L84))</f>
        <v/>
      </c>
      <c r="M83" s="7" t="str">
        <f>IF(宠物经验!M84="","",INT(宠物经验!$B84*宠物经验!M84))</f>
        <v/>
      </c>
      <c r="N83" s="7">
        <f>IF(宠物经验!N84="","",INT(宠物经验!$B84*宠物经验!N84))</f>
        <v>4920000</v>
      </c>
      <c r="O83" s="7" t="str">
        <f>IF(宠物经验!O84="","",INT(宠物经验!$B84*宠物经验!O84))</f>
        <v/>
      </c>
      <c r="P83" s="7" t="str">
        <f>IF(宠物经验!P84="","",INT(宠物经验!$B84*宠物经验!P84))</f>
        <v/>
      </c>
      <c r="Q83" s="7">
        <f>IF(宠物经验!Q84="","",INT(宠物经验!$B84*宠物经验!Q84))</f>
        <v>2132000</v>
      </c>
      <c r="R83" s="7" t="str">
        <f>IF(宠物经验!R84="","",INT(宠物经验!$B84*宠物经验!R84))</f>
        <v/>
      </c>
      <c r="S83" s="7">
        <f>IF(宠物经验!S84="","",INT(宠物经验!$B84*宠物经验!S84))</f>
        <v>204979</v>
      </c>
      <c r="T83" s="7">
        <f>IF(宠物经验!T84="","",INT(宠物经验!$B84*宠物经验!T84))</f>
        <v>0</v>
      </c>
      <c r="U83" s="7">
        <f>IF(宠物经验!U84="","",INT(宠物经验!$B84*宠物经验!U84))</f>
        <v>204979</v>
      </c>
      <c r="V83" s="7">
        <f>IF(宠物经验!V84="","",INT(宠物经验!$B84*宠物经验!V84))</f>
        <v>136694</v>
      </c>
      <c r="W83" s="7" t="str">
        <f>IF(宠物经验!W84="","",INT(宠物经验!$B84*宠物经验!W84))</f>
        <v/>
      </c>
      <c r="X83" s="7" t="str">
        <f>IF(宠物经验!X84="","",INT(宠物经验!$B84*宠物经验!X84))</f>
        <v/>
      </c>
      <c r="Y83" s="7">
        <f>IF(宠物经验!Y84="","",INT(宠物经验!$B84*宠物经验!Y84))</f>
        <v>102500</v>
      </c>
      <c r="Z83" s="7" t="str">
        <f>IF(宠物经验!Z84="","",INT(宠物经验!$B84*宠物经验!Z84))</f>
        <v/>
      </c>
      <c r="AA83" s="7">
        <f>IF(宠物经验!AA84="","",INT(宠物经验!$B84*宠物经验!AA84))</f>
        <v>34173</v>
      </c>
      <c r="AB83" s="7" t="str">
        <f>IF(宠物经验!AB84="","",INT(宠物经验!$B84*宠物经验!AB84))</f>
        <v/>
      </c>
      <c r="AC83" s="7" t="str">
        <f>IF(宠物经验!AC84="","",INT(宠物经验!$B84*宠物经验!AC84))</f>
        <v/>
      </c>
      <c r="AD83" s="7" t="str">
        <f>IF(宠物经验!AD84="","",INT(宠物经验!$B84*宠物经验!AD84))</f>
        <v/>
      </c>
      <c r="AE83" s="7" t="str">
        <f>IF(宠物经验!AE84="","",INT(宠物经验!$B84*宠物经验!AE84))</f>
        <v/>
      </c>
      <c r="AF83" s="7">
        <f>宠物经验!AH84</f>
        <v>378470</v>
      </c>
      <c r="AG83" s="7">
        <f>宠物经验!AO84</f>
        <v>6833</v>
      </c>
    </row>
    <row r="84" spans="1:33">
      <c r="A84" s="32">
        <v>83</v>
      </c>
      <c r="B84" s="87">
        <f>宠物经验!B85</f>
        <v>415000</v>
      </c>
      <c r="C84" s="7">
        <f>IF(宠物经验!C85="","",INT(宠物经验!$B85*宠物经验!C85))</f>
        <v>414958</v>
      </c>
      <c r="D84" s="7">
        <f>IF(宠物经验!D85="","",INT(宠物经验!$B85*宠物经验!D85))</f>
        <v>456500</v>
      </c>
      <c r="E84" s="7" t="str">
        <f>IF(宠物经验!E85="","",INT(宠物经验!$B85*宠物经验!E85))</f>
        <v/>
      </c>
      <c r="F84" s="7">
        <f>IF(宠物经验!F85="","",INT(宠物经验!$B85*宠物经验!F85))</f>
        <v>622500</v>
      </c>
      <c r="G84" s="7">
        <f>IF(宠物经验!G85="","",INT(宠物经验!$B85*宠物经验!G85))</f>
        <v>276639</v>
      </c>
      <c r="H84" s="7" t="str">
        <f>IF(宠物经验!H85="","",INT(宠物经验!$B85*宠物经验!H85))</f>
        <v/>
      </c>
      <c r="I84" s="7" t="str">
        <f>IF(宠物经验!I85="","",INT(宠物经验!$B85*宠物经验!I85))</f>
        <v/>
      </c>
      <c r="J84" s="7" t="str">
        <f>IF(宠物经验!J85="","",INT(宠物经验!$B85*宠物经验!J85))</f>
        <v/>
      </c>
      <c r="K84" s="7">
        <f>IF(宠物经验!K85="","",INT(宠物经验!$B85*宠物经验!K85))</f>
        <v>415000</v>
      </c>
      <c r="L84" s="7" t="str">
        <f>IF(宠物经验!L85="","",INT(宠物经验!$B85*宠物经验!L85))</f>
        <v/>
      </c>
      <c r="M84" s="7" t="str">
        <f>IF(宠物经验!M85="","",INT(宠物经验!$B85*宠物经验!M85))</f>
        <v/>
      </c>
      <c r="N84" s="7">
        <f>IF(宠物经验!N85="","",INT(宠物经验!$B85*宠物经验!N85))</f>
        <v>4980000</v>
      </c>
      <c r="O84" s="7" t="str">
        <f>IF(宠物经验!O85="","",INT(宠物经验!$B85*宠物经验!O85))</f>
        <v/>
      </c>
      <c r="P84" s="7" t="str">
        <f>IF(宠物经验!P85="","",INT(宠物经验!$B85*宠物经验!P85))</f>
        <v/>
      </c>
      <c r="Q84" s="7">
        <f>IF(宠物经验!Q85="","",INT(宠物经验!$B85*宠物经验!Q85))</f>
        <v>2158000</v>
      </c>
      <c r="R84" s="7" t="str">
        <f>IF(宠物经验!R85="","",INT(宠物经验!$B85*宠物经验!R85))</f>
        <v/>
      </c>
      <c r="S84" s="7">
        <f>IF(宠物经验!S85="","",INT(宠物经验!$B85*宠物经验!S85))</f>
        <v>207479</v>
      </c>
      <c r="T84" s="7">
        <f>IF(宠物经验!T85="","",INT(宠物经验!$B85*宠物经验!T85))</f>
        <v>0</v>
      </c>
      <c r="U84" s="7">
        <f>IF(宠物经验!U85="","",INT(宠物经验!$B85*宠物经验!U85))</f>
        <v>207479</v>
      </c>
      <c r="V84" s="7">
        <f>IF(宠物经验!V85="","",INT(宠物经验!$B85*宠物经验!V85))</f>
        <v>138361</v>
      </c>
      <c r="W84" s="7" t="str">
        <f>IF(宠物经验!W85="","",INT(宠物经验!$B85*宠物经验!W85))</f>
        <v/>
      </c>
      <c r="X84" s="7" t="str">
        <f>IF(宠物经验!X85="","",INT(宠物经验!$B85*宠物经验!X85))</f>
        <v/>
      </c>
      <c r="Y84" s="7">
        <f>IF(宠物经验!Y85="","",INT(宠物经验!$B85*宠物经验!Y85))</f>
        <v>103750</v>
      </c>
      <c r="Z84" s="7" t="str">
        <f>IF(宠物经验!Z85="","",INT(宠物经验!$B85*宠物经验!Z85))</f>
        <v/>
      </c>
      <c r="AA84" s="7">
        <f>IF(宠物经验!AA85="","",INT(宠物经验!$B85*宠物经验!AA85))</f>
        <v>34590</v>
      </c>
      <c r="AB84" s="7" t="str">
        <f>IF(宠物经验!AB85="","",INT(宠物经验!$B85*宠物经验!AB85))</f>
        <v/>
      </c>
      <c r="AC84" s="7" t="str">
        <f>IF(宠物经验!AC85="","",INT(宠物经验!$B85*宠物经验!AC85))</f>
        <v/>
      </c>
      <c r="AD84" s="7" t="str">
        <f>IF(宠物经验!AD85="","",INT(宠物经验!$B85*宠物经验!AD85))</f>
        <v/>
      </c>
      <c r="AE84" s="7" t="str">
        <f>IF(宠物经验!AE85="","",INT(宠物经验!$B85*宠物经验!AE85))</f>
        <v/>
      </c>
      <c r="AF84" s="7">
        <f>宠物经验!AH85</f>
        <v>387220</v>
      </c>
      <c r="AG84" s="7">
        <f>宠物经验!AO85</f>
        <v>6917</v>
      </c>
    </row>
    <row r="85" spans="1:33">
      <c r="A85" s="32">
        <v>84</v>
      </c>
      <c r="B85" s="87">
        <f>宠物经验!B86</f>
        <v>420000</v>
      </c>
      <c r="C85" s="7">
        <f>IF(宠物经验!C86="","",INT(宠物经验!$B86*宠物经验!C86))</f>
        <v>419958</v>
      </c>
      <c r="D85" s="7">
        <f>IF(宠物经验!D86="","",INT(宠物经验!$B86*宠物经验!D86))</f>
        <v>462000</v>
      </c>
      <c r="E85" s="7" t="str">
        <f>IF(宠物经验!E86="","",INT(宠物经验!$B86*宠物经验!E86))</f>
        <v/>
      </c>
      <c r="F85" s="7">
        <f>IF(宠物经验!F86="","",INT(宠物经验!$B86*宠物经验!F86))</f>
        <v>630000</v>
      </c>
      <c r="G85" s="7">
        <f>IF(宠物经验!G86="","",INT(宠物经验!$B86*宠物经验!G86))</f>
        <v>279972</v>
      </c>
      <c r="H85" s="7" t="str">
        <f>IF(宠物经验!H86="","",INT(宠物经验!$B86*宠物经验!H86))</f>
        <v/>
      </c>
      <c r="I85" s="7" t="str">
        <f>IF(宠物经验!I86="","",INT(宠物经验!$B86*宠物经验!I86))</f>
        <v/>
      </c>
      <c r="J85" s="7" t="str">
        <f>IF(宠物经验!J86="","",INT(宠物经验!$B86*宠物经验!J86))</f>
        <v/>
      </c>
      <c r="K85" s="7">
        <f>IF(宠物经验!K86="","",INT(宠物经验!$B86*宠物经验!K86))</f>
        <v>420000</v>
      </c>
      <c r="L85" s="7" t="str">
        <f>IF(宠物经验!L86="","",INT(宠物经验!$B86*宠物经验!L86))</f>
        <v/>
      </c>
      <c r="M85" s="7" t="str">
        <f>IF(宠物经验!M86="","",INT(宠物经验!$B86*宠物经验!M86))</f>
        <v/>
      </c>
      <c r="N85" s="7">
        <f>IF(宠物经验!N86="","",INT(宠物经验!$B86*宠物经验!N86))</f>
        <v>5040000</v>
      </c>
      <c r="O85" s="7" t="str">
        <f>IF(宠物经验!O86="","",INT(宠物经验!$B86*宠物经验!O86))</f>
        <v/>
      </c>
      <c r="P85" s="7" t="str">
        <f>IF(宠物经验!P86="","",INT(宠物经验!$B86*宠物经验!P86))</f>
        <v/>
      </c>
      <c r="Q85" s="7">
        <f>IF(宠物经验!Q86="","",INT(宠物经验!$B86*宠物经验!Q86))</f>
        <v>2184000</v>
      </c>
      <c r="R85" s="7" t="str">
        <f>IF(宠物经验!R86="","",INT(宠物经验!$B86*宠物经验!R86))</f>
        <v/>
      </c>
      <c r="S85" s="7">
        <f>IF(宠物经验!S86="","",INT(宠物经验!$B86*宠物经验!S86))</f>
        <v>209979</v>
      </c>
      <c r="T85" s="7">
        <f>IF(宠物经验!T86="","",INT(宠物经验!$B86*宠物经验!T86))</f>
        <v>0</v>
      </c>
      <c r="U85" s="7">
        <f>IF(宠物经验!U86="","",INT(宠物经验!$B86*宠物经验!U86))</f>
        <v>209979</v>
      </c>
      <c r="V85" s="7">
        <f>IF(宠物经验!V86="","",INT(宠物经验!$B86*宠物经验!V86))</f>
        <v>140028</v>
      </c>
      <c r="W85" s="7" t="str">
        <f>IF(宠物经验!W86="","",INT(宠物经验!$B86*宠物经验!W86))</f>
        <v/>
      </c>
      <c r="X85" s="7" t="str">
        <f>IF(宠物经验!X86="","",INT(宠物经验!$B86*宠物经验!X86))</f>
        <v/>
      </c>
      <c r="Y85" s="7">
        <f>IF(宠物经验!Y86="","",INT(宠物经验!$B86*宠物经验!Y86))</f>
        <v>105000</v>
      </c>
      <c r="Z85" s="7" t="str">
        <f>IF(宠物经验!Z86="","",INT(宠物经验!$B86*宠物经验!Z86))</f>
        <v/>
      </c>
      <c r="AA85" s="7">
        <f>IF(宠物经验!AA86="","",INT(宠物经验!$B86*宠物经验!AA86))</f>
        <v>35007</v>
      </c>
      <c r="AB85" s="7" t="str">
        <f>IF(宠物经验!AB86="","",INT(宠物经验!$B86*宠物经验!AB86))</f>
        <v/>
      </c>
      <c r="AC85" s="7" t="str">
        <f>IF(宠物经验!AC86="","",INT(宠物经验!$B86*宠物经验!AC86))</f>
        <v/>
      </c>
      <c r="AD85" s="7" t="str">
        <f>IF(宠物经验!AD86="","",INT(宠物经验!$B86*宠物经验!AD86))</f>
        <v/>
      </c>
      <c r="AE85" s="7" t="str">
        <f>IF(宠物经验!AE86="","",INT(宠物经验!$B86*宠物经验!AE86))</f>
        <v/>
      </c>
      <c r="AF85" s="7">
        <f>宠物经验!AH86</f>
        <v>396070</v>
      </c>
      <c r="AG85" s="7">
        <f>宠物经验!AO86</f>
        <v>7000</v>
      </c>
    </row>
    <row r="86" spans="1:33">
      <c r="A86" s="32">
        <v>85</v>
      </c>
      <c r="B86" s="87">
        <f>宠物经验!B87</f>
        <v>425000</v>
      </c>
      <c r="C86" s="7">
        <f>IF(宠物经验!C87="","",INT(宠物经验!$B87*宠物经验!C87))</f>
        <v>424957</v>
      </c>
      <c r="D86" s="7">
        <f>IF(宠物经验!D87="","",INT(宠物经验!$B87*宠物经验!D87))</f>
        <v>467500</v>
      </c>
      <c r="E86" s="7" t="str">
        <f>IF(宠物经验!E87="","",INT(宠物经验!$B87*宠物经验!E87))</f>
        <v/>
      </c>
      <c r="F86" s="7">
        <f>IF(宠物经验!F87="","",INT(宠物经验!$B87*宠物经验!F87))</f>
        <v>637500</v>
      </c>
      <c r="G86" s="7">
        <f>IF(宠物经验!G87="","",INT(宠物经验!$B87*宠物经验!G87))</f>
        <v>283305</v>
      </c>
      <c r="H86" s="7" t="str">
        <f>IF(宠物经验!H87="","",INT(宠物经验!$B87*宠物经验!H87))</f>
        <v/>
      </c>
      <c r="I86" s="7" t="str">
        <f>IF(宠物经验!I87="","",INT(宠物经验!$B87*宠物经验!I87))</f>
        <v/>
      </c>
      <c r="J86" s="7" t="str">
        <f>IF(宠物经验!J87="","",INT(宠物经验!$B87*宠物经验!J87))</f>
        <v/>
      </c>
      <c r="K86" s="7">
        <f>IF(宠物经验!K87="","",INT(宠物经验!$B87*宠物经验!K87))</f>
        <v>425000</v>
      </c>
      <c r="L86" s="7" t="str">
        <f>IF(宠物经验!L87="","",INT(宠物经验!$B87*宠物经验!L87))</f>
        <v/>
      </c>
      <c r="M86" s="7" t="str">
        <f>IF(宠物经验!M87="","",INT(宠物经验!$B87*宠物经验!M87))</f>
        <v/>
      </c>
      <c r="N86" s="7">
        <f>IF(宠物经验!N87="","",INT(宠物经验!$B87*宠物经验!N87))</f>
        <v>5100000</v>
      </c>
      <c r="O86" s="7" t="str">
        <f>IF(宠物经验!O87="","",INT(宠物经验!$B87*宠物经验!O87))</f>
        <v/>
      </c>
      <c r="P86" s="7" t="str">
        <f>IF(宠物经验!P87="","",INT(宠物经验!$B87*宠物经验!P87))</f>
        <v/>
      </c>
      <c r="Q86" s="7">
        <f>IF(宠物经验!Q87="","",INT(宠物经验!$B87*宠物经验!Q87))</f>
        <v>2210000</v>
      </c>
      <c r="R86" s="7" t="str">
        <f>IF(宠物经验!R87="","",INT(宠物经验!$B87*宠物经验!R87))</f>
        <v/>
      </c>
      <c r="S86" s="7">
        <f>IF(宠物经验!S87="","",INT(宠物经验!$B87*宠物经验!S87))</f>
        <v>212478</v>
      </c>
      <c r="T86" s="7">
        <f>IF(宠物经验!T87="","",INT(宠物经验!$B87*宠物经验!T87))</f>
        <v>0</v>
      </c>
      <c r="U86" s="7">
        <f>IF(宠物经验!U87="","",INT(宠物经验!$B87*宠物经验!U87))</f>
        <v>212478</v>
      </c>
      <c r="V86" s="7">
        <f>IF(宠物经验!V87="","",INT(宠物经验!$B87*宠物经验!V87))</f>
        <v>141695</v>
      </c>
      <c r="W86" s="7" t="str">
        <f>IF(宠物经验!W87="","",INT(宠物经验!$B87*宠物经验!W87))</f>
        <v/>
      </c>
      <c r="X86" s="7" t="str">
        <f>IF(宠物经验!X87="","",INT(宠物经验!$B87*宠物经验!X87))</f>
        <v/>
      </c>
      <c r="Y86" s="7">
        <f>IF(宠物经验!Y87="","",INT(宠物经验!$B87*宠物经验!Y87))</f>
        <v>106250</v>
      </c>
      <c r="Z86" s="7" t="str">
        <f>IF(宠物经验!Z87="","",INT(宠物经验!$B87*宠物经验!Z87))</f>
        <v/>
      </c>
      <c r="AA86" s="7">
        <f>IF(宠物经验!AA87="","",INT(宠物经验!$B87*宠物经验!AA87))</f>
        <v>35423</v>
      </c>
      <c r="AB86" s="7" t="str">
        <f>IF(宠物经验!AB87="","",INT(宠物经验!$B87*宠物经验!AB87))</f>
        <v/>
      </c>
      <c r="AC86" s="7" t="str">
        <f>IF(宠物经验!AC87="","",INT(宠物经验!$B87*宠物经验!AC87))</f>
        <v/>
      </c>
      <c r="AD86" s="7" t="str">
        <f>IF(宠物经验!AD87="","",INT(宠物经验!$B87*宠物经验!AD87))</f>
        <v/>
      </c>
      <c r="AE86" s="7" t="str">
        <f>IF(宠物经验!AE87="","",INT(宠物经验!$B87*宠物经验!AE87))</f>
        <v/>
      </c>
      <c r="AF86" s="7">
        <f>宠物经验!AH87</f>
        <v>405020</v>
      </c>
      <c r="AG86" s="7">
        <f>宠物经验!AO87</f>
        <v>7083</v>
      </c>
    </row>
    <row r="87" spans="1:33">
      <c r="A87" s="32">
        <v>86</v>
      </c>
      <c r="B87" s="87">
        <f>宠物经验!B88</f>
        <v>430000</v>
      </c>
      <c r="C87" s="7">
        <f>IF(宠物经验!C88="","",INT(宠物经验!$B88*宠物经验!C88))</f>
        <v>429957</v>
      </c>
      <c r="D87" s="7">
        <f>IF(宠物经验!D88="","",INT(宠物经验!$B88*宠物经验!D88))</f>
        <v>473000</v>
      </c>
      <c r="E87" s="7" t="str">
        <f>IF(宠物经验!E88="","",INT(宠物经验!$B88*宠物经验!E88))</f>
        <v/>
      </c>
      <c r="F87" s="7">
        <f>IF(宠物经验!F88="","",INT(宠物经验!$B88*宠物经验!F88))</f>
        <v>645000</v>
      </c>
      <c r="G87" s="7">
        <f>IF(宠物经验!G88="","",INT(宠物经验!$B88*宠物经验!G88))</f>
        <v>286638</v>
      </c>
      <c r="H87" s="7" t="str">
        <f>IF(宠物经验!H88="","",INT(宠物经验!$B88*宠物经验!H88))</f>
        <v/>
      </c>
      <c r="I87" s="7" t="str">
        <f>IF(宠物经验!I88="","",INT(宠物经验!$B88*宠物经验!I88))</f>
        <v/>
      </c>
      <c r="J87" s="7" t="str">
        <f>IF(宠物经验!J88="","",INT(宠物经验!$B88*宠物经验!J88))</f>
        <v/>
      </c>
      <c r="K87" s="7">
        <f>IF(宠物经验!K88="","",INT(宠物经验!$B88*宠物经验!K88))</f>
        <v>430000</v>
      </c>
      <c r="L87" s="7" t="str">
        <f>IF(宠物经验!L88="","",INT(宠物经验!$B88*宠物经验!L88))</f>
        <v/>
      </c>
      <c r="M87" s="7" t="str">
        <f>IF(宠物经验!M88="","",INT(宠物经验!$B88*宠物经验!M88))</f>
        <v/>
      </c>
      <c r="N87" s="7">
        <f>IF(宠物经验!N88="","",INT(宠物经验!$B88*宠物经验!N88))</f>
        <v>5160000</v>
      </c>
      <c r="O87" s="7" t="str">
        <f>IF(宠物经验!O88="","",INT(宠物经验!$B88*宠物经验!O88))</f>
        <v/>
      </c>
      <c r="P87" s="7" t="str">
        <f>IF(宠物经验!P88="","",INT(宠物经验!$B88*宠物经验!P88))</f>
        <v/>
      </c>
      <c r="Q87" s="7">
        <f>IF(宠物经验!Q88="","",INT(宠物经验!$B88*宠物经验!Q88))</f>
        <v>2236000</v>
      </c>
      <c r="R87" s="7" t="str">
        <f>IF(宠物经验!R88="","",INT(宠物经验!$B88*宠物经验!R88))</f>
        <v/>
      </c>
      <c r="S87" s="7">
        <f>IF(宠物经验!S88="","",INT(宠物经验!$B88*宠物经验!S88))</f>
        <v>214978</v>
      </c>
      <c r="T87" s="7">
        <f>IF(宠物经验!T88="","",INT(宠物经验!$B88*宠物经验!T88))</f>
        <v>0</v>
      </c>
      <c r="U87" s="7">
        <f>IF(宠物经验!U88="","",INT(宠物经验!$B88*宠物经验!U88))</f>
        <v>214978</v>
      </c>
      <c r="V87" s="7">
        <f>IF(宠物经验!V88="","",INT(宠物经验!$B88*宠物经验!V88))</f>
        <v>143362</v>
      </c>
      <c r="W87" s="7" t="str">
        <f>IF(宠物经验!W88="","",INT(宠物经验!$B88*宠物经验!W88))</f>
        <v/>
      </c>
      <c r="X87" s="7" t="str">
        <f>IF(宠物经验!X88="","",INT(宠物经验!$B88*宠物经验!X88))</f>
        <v/>
      </c>
      <c r="Y87" s="7">
        <f>IF(宠物经验!Y88="","",INT(宠物经验!$B88*宠物经验!Y88))</f>
        <v>107500</v>
      </c>
      <c r="Z87" s="7" t="str">
        <f>IF(宠物经验!Z88="","",INT(宠物经验!$B88*宠物经验!Z88))</f>
        <v/>
      </c>
      <c r="AA87" s="7">
        <f>IF(宠物经验!AA88="","",INT(宠物经验!$B88*宠物经验!AA88))</f>
        <v>35840</v>
      </c>
      <c r="AB87" s="7" t="str">
        <f>IF(宠物经验!AB88="","",INT(宠物经验!$B88*宠物经验!AB88))</f>
        <v/>
      </c>
      <c r="AC87" s="7" t="str">
        <f>IF(宠物经验!AC88="","",INT(宠物经验!$B88*宠物经验!AC88))</f>
        <v/>
      </c>
      <c r="AD87" s="7" t="str">
        <f>IF(宠物经验!AD88="","",INT(宠物经验!$B88*宠物经验!AD88))</f>
        <v/>
      </c>
      <c r="AE87" s="7" t="str">
        <f>IF(宠物经验!AE88="","",INT(宠物经验!$B88*宠物经验!AE88))</f>
        <v/>
      </c>
      <c r="AF87" s="7">
        <f>宠物经验!AH88</f>
        <v>414070</v>
      </c>
      <c r="AG87" s="7">
        <f>宠物经验!AO88</f>
        <v>7167</v>
      </c>
    </row>
    <row r="88" spans="1:33">
      <c r="A88" s="32">
        <v>87</v>
      </c>
      <c r="B88" s="87">
        <f>宠物经验!B89</f>
        <v>435000</v>
      </c>
      <c r="C88" s="7">
        <f>IF(宠物经验!C89="","",INT(宠物经验!$B89*宠物经验!C89))</f>
        <v>434956</v>
      </c>
      <c r="D88" s="7">
        <f>IF(宠物经验!D89="","",INT(宠物经验!$B89*宠物经验!D89))</f>
        <v>478500</v>
      </c>
      <c r="E88" s="7" t="str">
        <f>IF(宠物经验!E89="","",INT(宠物经验!$B89*宠物经验!E89))</f>
        <v/>
      </c>
      <c r="F88" s="7">
        <f>IF(宠物经验!F89="","",INT(宠物经验!$B89*宠物经验!F89))</f>
        <v>652500</v>
      </c>
      <c r="G88" s="7">
        <f>IF(宠物经验!G89="","",INT(宠物经验!$B89*宠物经验!G89))</f>
        <v>289971</v>
      </c>
      <c r="H88" s="7" t="str">
        <f>IF(宠物经验!H89="","",INT(宠物经验!$B89*宠物经验!H89))</f>
        <v/>
      </c>
      <c r="I88" s="7" t="str">
        <f>IF(宠物经验!I89="","",INT(宠物经验!$B89*宠物经验!I89))</f>
        <v/>
      </c>
      <c r="J88" s="7" t="str">
        <f>IF(宠物经验!J89="","",INT(宠物经验!$B89*宠物经验!J89))</f>
        <v/>
      </c>
      <c r="K88" s="7">
        <f>IF(宠物经验!K89="","",INT(宠物经验!$B89*宠物经验!K89))</f>
        <v>435000</v>
      </c>
      <c r="L88" s="7" t="str">
        <f>IF(宠物经验!L89="","",INT(宠物经验!$B89*宠物经验!L89))</f>
        <v/>
      </c>
      <c r="M88" s="7" t="str">
        <f>IF(宠物经验!M89="","",INT(宠物经验!$B89*宠物经验!M89))</f>
        <v/>
      </c>
      <c r="N88" s="7">
        <f>IF(宠物经验!N89="","",INT(宠物经验!$B89*宠物经验!N89))</f>
        <v>5220000</v>
      </c>
      <c r="O88" s="7" t="str">
        <f>IF(宠物经验!O89="","",INT(宠物经验!$B89*宠物经验!O89))</f>
        <v/>
      </c>
      <c r="P88" s="7" t="str">
        <f>IF(宠物经验!P89="","",INT(宠物经验!$B89*宠物经验!P89))</f>
        <v/>
      </c>
      <c r="Q88" s="7">
        <f>IF(宠物经验!Q89="","",INT(宠物经验!$B89*宠物经验!Q89))</f>
        <v>2262000</v>
      </c>
      <c r="R88" s="7" t="str">
        <f>IF(宠物经验!R89="","",INT(宠物经验!$B89*宠物经验!R89))</f>
        <v/>
      </c>
      <c r="S88" s="7">
        <f>IF(宠物经验!S89="","",INT(宠物经验!$B89*宠物经验!S89))</f>
        <v>217478</v>
      </c>
      <c r="T88" s="7">
        <f>IF(宠物经验!T89="","",INT(宠物经验!$B89*宠物经验!T89))</f>
        <v>0</v>
      </c>
      <c r="U88" s="7">
        <f>IF(宠物经验!U89="","",INT(宠物经验!$B89*宠物经验!U89))</f>
        <v>217478</v>
      </c>
      <c r="V88" s="7">
        <f>IF(宠物经验!V89="","",INT(宠物经验!$B89*宠物经验!V89))</f>
        <v>145029</v>
      </c>
      <c r="W88" s="7" t="str">
        <f>IF(宠物经验!W89="","",INT(宠物经验!$B89*宠物经验!W89))</f>
        <v/>
      </c>
      <c r="X88" s="7" t="str">
        <f>IF(宠物经验!X89="","",INT(宠物经验!$B89*宠物经验!X89))</f>
        <v/>
      </c>
      <c r="Y88" s="7">
        <f>IF(宠物经验!Y89="","",INT(宠物经验!$B89*宠物经验!Y89))</f>
        <v>108750</v>
      </c>
      <c r="Z88" s="7" t="str">
        <f>IF(宠物经验!Z89="","",INT(宠物经验!$B89*宠物经验!Z89))</f>
        <v/>
      </c>
      <c r="AA88" s="7">
        <f>IF(宠物经验!AA89="","",INT(宠物经验!$B89*宠物经验!AA89))</f>
        <v>36257</v>
      </c>
      <c r="AB88" s="7" t="str">
        <f>IF(宠物经验!AB89="","",INT(宠物经验!$B89*宠物经验!AB89))</f>
        <v/>
      </c>
      <c r="AC88" s="7" t="str">
        <f>IF(宠物经验!AC89="","",INT(宠物经验!$B89*宠物经验!AC89))</f>
        <v/>
      </c>
      <c r="AD88" s="7" t="str">
        <f>IF(宠物经验!AD89="","",INT(宠物经验!$B89*宠物经验!AD89))</f>
        <v/>
      </c>
      <c r="AE88" s="7" t="str">
        <f>IF(宠物经验!AE89="","",INT(宠物经验!$B89*宠物经验!AE89))</f>
        <v/>
      </c>
      <c r="AF88" s="7">
        <f>宠物经验!AH89</f>
        <v>423220</v>
      </c>
      <c r="AG88" s="7">
        <f>宠物经验!AO89</f>
        <v>7250</v>
      </c>
    </row>
    <row r="89" spans="1:33">
      <c r="A89" s="32">
        <v>88</v>
      </c>
      <c r="B89" s="87">
        <f>宠物经验!B90</f>
        <v>440000</v>
      </c>
      <c r="C89" s="7">
        <f>IF(宠物经验!C90="","",INT(宠物经验!$B90*宠物经验!C90))</f>
        <v>439956</v>
      </c>
      <c r="D89" s="7">
        <f>IF(宠物经验!D90="","",INT(宠物经验!$B90*宠物经验!D90))</f>
        <v>484000</v>
      </c>
      <c r="E89" s="7" t="str">
        <f>IF(宠物经验!E90="","",INT(宠物经验!$B90*宠物经验!E90))</f>
        <v/>
      </c>
      <c r="F89" s="7">
        <f>IF(宠物经验!F90="","",INT(宠物经验!$B90*宠物经验!F90))</f>
        <v>660000</v>
      </c>
      <c r="G89" s="7">
        <f>IF(宠物经验!G90="","",INT(宠物经验!$B90*宠物经验!G90))</f>
        <v>293304</v>
      </c>
      <c r="H89" s="7" t="str">
        <f>IF(宠物经验!H90="","",INT(宠物经验!$B90*宠物经验!H90))</f>
        <v/>
      </c>
      <c r="I89" s="7" t="str">
        <f>IF(宠物经验!I90="","",INT(宠物经验!$B90*宠物经验!I90))</f>
        <v/>
      </c>
      <c r="J89" s="7" t="str">
        <f>IF(宠物经验!J90="","",INT(宠物经验!$B90*宠物经验!J90))</f>
        <v/>
      </c>
      <c r="K89" s="7">
        <f>IF(宠物经验!K90="","",INT(宠物经验!$B90*宠物经验!K90))</f>
        <v>440000</v>
      </c>
      <c r="L89" s="7" t="str">
        <f>IF(宠物经验!L90="","",INT(宠物经验!$B90*宠物经验!L90))</f>
        <v/>
      </c>
      <c r="M89" s="7" t="str">
        <f>IF(宠物经验!M90="","",INT(宠物经验!$B90*宠物经验!M90))</f>
        <v/>
      </c>
      <c r="N89" s="7">
        <f>IF(宠物经验!N90="","",INT(宠物经验!$B90*宠物经验!N90))</f>
        <v>5280000</v>
      </c>
      <c r="O89" s="7" t="str">
        <f>IF(宠物经验!O90="","",INT(宠物经验!$B90*宠物经验!O90))</f>
        <v/>
      </c>
      <c r="P89" s="7" t="str">
        <f>IF(宠物经验!P90="","",INT(宠物经验!$B90*宠物经验!P90))</f>
        <v/>
      </c>
      <c r="Q89" s="7">
        <f>IF(宠物经验!Q90="","",INT(宠物经验!$B90*宠物经验!Q90))</f>
        <v>2288000</v>
      </c>
      <c r="R89" s="7" t="str">
        <f>IF(宠物经验!R90="","",INT(宠物经验!$B90*宠物经验!R90))</f>
        <v/>
      </c>
      <c r="S89" s="7">
        <f>IF(宠物经验!S90="","",INT(宠物经验!$B90*宠物经验!S90))</f>
        <v>219978</v>
      </c>
      <c r="T89" s="7">
        <f>IF(宠物经验!T90="","",INT(宠物经验!$B90*宠物经验!T90))</f>
        <v>0</v>
      </c>
      <c r="U89" s="7">
        <f>IF(宠物经验!U90="","",INT(宠物经验!$B90*宠物经验!U90))</f>
        <v>219978</v>
      </c>
      <c r="V89" s="7">
        <f>IF(宠物经验!V90="","",INT(宠物经验!$B90*宠物经验!V90))</f>
        <v>146696</v>
      </c>
      <c r="W89" s="7" t="str">
        <f>IF(宠物经验!W90="","",INT(宠物经验!$B90*宠物经验!W90))</f>
        <v/>
      </c>
      <c r="X89" s="7" t="str">
        <f>IF(宠物经验!X90="","",INT(宠物经验!$B90*宠物经验!X90))</f>
        <v/>
      </c>
      <c r="Y89" s="7">
        <f>IF(宠物经验!Y90="","",INT(宠物经验!$B90*宠物经验!Y90))</f>
        <v>110000</v>
      </c>
      <c r="Z89" s="7" t="str">
        <f>IF(宠物经验!Z90="","",INT(宠物经验!$B90*宠物经验!Z90))</f>
        <v/>
      </c>
      <c r="AA89" s="7">
        <f>IF(宠物经验!AA90="","",INT(宠物经验!$B90*宠物经验!AA90))</f>
        <v>36674</v>
      </c>
      <c r="AB89" s="7" t="str">
        <f>IF(宠物经验!AB90="","",INT(宠物经验!$B90*宠物经验!AB90))</f>
        <v/>
      </c>
      <c r="AC89" s="7" t="str">
        <f>IF(宠物经验!AC90="","",INT(宠物经验!$B90*宠物经验!AC90))</f>
        <v/>
      </c>
      <c r="AD89" s="7" t="str">
        <f>IF(宠物经验!AD90="","",INT(宠物经验!$B90*宠物经验!AD90))</f>
        <v/>
      </c>
      <c r="AE89" s="7" t="str">
        <f>IF(宠物经验!AE90="","",INT(宠物经验!$B90*宠物经验!AE90))</f>
        <v/>
      </c>
      <c r="AF89" s="7">
        <f>宠物经验!AH90</f>
        <v>432470</v>
      </c>
      <c r="AG89" s="7">
        <f>宠物经验!AO90</f>
        <v>7333</v>
      </c>
    </row>
    <row r="90" spans="1:33">
      <c r="A90" s="32">
        <v>89</v>
      </c>
      <c r="B90" s="87">
        <f>宠物经验!B91</f>
        <v>445000</v>
      </c>
      <c r="C90" s="7">
        <f>IF(宠物经验!C91="","",INT(宠物经验!$B91*宠物经验!C91))</f>
        <v>444955</v>
      </c>
      <c r="D90" s="7">
        <f>IF(宠物经验!D91="","",INT(宠物经验!$B91*宠物经验!D91))</f>
        <v>489500</v>
      </c>
      <c r="E90" s="7" t="str">
        <f>IF(宠物经验!E91="","",INT(宠物经验!$B91*宠物经验!E91))</f>
        <v/>
      </c>
      <c r="F90" s="7">
        <f>IF(宠物经验!F91="","",INT(宠物经验!$B91*宠物经验!F91))</f>
        <v>667500</v>
      </c>
      <c r="G90" s="7">
        <f>IF(宠物经验!G91="","",INT(宠物经验!$B91*宠物经验!G91))</f>
        <v>296637</v>
      </c>
      <c r="H90" s="7" t="str">
        <f>IF(宠物经验!H91="","",INT(宠物经验!$B91*宠物经验!H91))</f>
        <v/>
      </c>
      <c r="I90" s="7" t="str">
        <f>IF(宠物经验!I91="","",INT(宠物经验!$B91*宠物经验!I91))</f>
        <v/>
      </c>
      <c r="J90" s="7" t="str">
        <f>IF(宠物经验!J91="","",INT(宠物经验!$B91*宠物经验!J91))</f>
        <v/>
      </c>
      <c r="K90" s="7">
        <f>IF(宠物经验!K91="","",INT(宠物经验!$B91*宠物经验!K91))</f>
        <v>445000</v>
      </c>
      <c r="L90" s="7" t="str">
        <f>IF(宠物经验!L91="","",INT(宠物经验!$B91*宠物经验!L91))</f>
        <v/>
      </c>
      <c r="M90" s="7" t="str">
        <f>IF(宠物经验!M91="","",INT(宠物经验!$B91*宠物经验!M91))</f>
        <v/>
      </c>
      <c r="N90" s="7">
        <f>IF(宠物经验!N91="","",INT(宠物经验!$B91*宠物经验!N91))</f>
        <v>5340000</v>
      </c>
      <c r="O90" s="7" t="str">
        <f>IF(宠物经验!O91="","",INT(宠物经验!$B91*宠物经验!O91))</f>
        <v/>
      </c>
      <c r="P90" s="7" t="str">
        <f>IF(宠物经验!P91="","",INT(宠物经验!$B91*宠物经验!P91))</f>
        <v/>
      </c>
      <c r="Q90" s="7">
        <f>IF(宠物经验!Q91="","",INT(宠物经验!$B91*宠物经验!Q91))</f>
        <v>2314000</v>
      </c>
      <c r="R90" s="7" t="str">
        <f>IF(宠物经验!R91="","",INT(宠物经验!$B91*宠物经验!R91))</f>
        <v/>
      </c>
      <c r="S90" s="7">
        <f>IF(宠物经验!S91="","",INT(宠物经验!$B91*宠物经验!S91))</f>
        <v>222477</v>
      </c>
      <c r="T90" s="7">
        <f>IF(宠物经验!T91="","",INT(宠物经验!$B91*宠物经验!T91))</f>
        <v>0</v>
      </c>
      <c r="U90" s="7">
        <f>IF(宠物经验!U91="","",INT(宠物经验!$B91*宠物经验!U91))</f>
        <v>222477</v>
      </c>
      <c r="V90" s="7">
        <f>IF(宠物经验!V91="","",INT(宠物经验!$B91*宠物经验!V91))</f>
        <v>148363</v>
      </c>
      <c r="W90" s="7" t="str">
        <f>IF(宠物经验!W91="","",INT(宠物经验!$B91*宠物经验!W91))</f>
        <v/>
      </c>
      <c r="X90" s="7" t="str">
        <f>IF(宠物经验!X91="","",INT(宠物经验!$B91*宠物经验!X91))</f>
        <v/>
      </c>
      <c r="Y90" s="7">
        <f>IF(宠物经验!Y91="","",INT(宠物经验!$B91*宠物经验!Y91))</f>
        <v>111250</v>
      </c>
      <c r="Z90" s="7" t="str">
        <f>IF(宠物经验!Z91="","",INT(宠物经验!$B91*宠物经验!Z91))</f>
        <v/>
      </c>
      <c r="AA90" s="7">
        <f>IF(宠物经验!AA91="","",INT(宠物经验!$B91*宠物经验!AA91))</f>
        <v>37090</v>
      </c>
      <c r="AB90" s="7" t="str">
        <f>IF(宠物经验!AB91="","",INT(宠物经验!$B91*宠物经验!AB91))</f>
        <v/>
      </c>
      <c r="AC90" s="7" t="str">
        <f>IF(宠物经验!AC91="","",INT(宠物经验!$B91*宠物经验!AC91))</f>
        <v/>
      </c>
      <c r="AD90" s="7" t="str">
        <f>IF(宠物经验!AD91="","",INT(宠物经验!$B91*宠物经验!AD91))</f>
        <v/>
      </c>
      <c r="AE90" s="7" t="str">
        <f>IF(宠物经验!AE91="","",INT(宠物经验!$B91*宠物经验!AE91))</f>
        <v/>
      </c>
      <c r="AF90" s="7">
        <f>宠物经验!AH91</f>
        <v>441820</v>
      </c>
      <c r="AG90" s="7">
        <f>宠物经验!AO91</f>
        <v>7417</v>
      </c>
    </row>
    <row r="91" spans="1:33">
      <c r="A91" s="32">
        <v>90</v>
      </c>
      <c r="B91" s="87">
        <f>宠物经验!B92</f>
        <v>450000</v>
      </c>
      <c r="C91" s="7">
        <f>IF(宠物经验!C92="","",INT(宠物经验!$B92*宠物经验!C92))</f>
        <v>449955</v>
      </c>
      <c r="D91" s="7">
        <f>IF(宠物经验!D92="","",INT(宠物经验!$B92*宠物经验!D92))</f>
        <v>495000</v>
      </c>
      <c r="E91" s="7" t="str">
        <f>IF(宠物经验!E92="","",INT(宠物经验!$B92*宠物经验!E92))</f>
        <v/>
      </c>
      <c r="F91" s="7">
        <f>IF(宠物经验!F92="","",INT(宠物经验!$B92*宠物经验!F92))</f>
        <v>675000</v>
      </c>
      <c r="G91" s="7">
        <f>IF(宠物经验!G92="","",INT(宠物经验!$B92*宠物经验!G92))</f>
        <v>299970</v>
      </c>
      <c r="H91" s="7" t="str">
        <f>IF(宠物经验!H92="","",INT(宠物经验!$B92*宠物经验!H92))</f>
        <v/>
      </c>
      <c r="I91" s="7" t="str">
        <f>IF(宠物经验!I92="","",INT(宠物经验!$B92*宠物经验!I92))</f>
        <v/>
      </c>
      <c r="J91" s="7" t="str">
        <f>IF(宠物经验!J92="","",INT(宠物经验!$B92*宠物经验!J92))</f>
        <v/>
      </c>
      <c r="K91" s="7">
        <f>IF(宠物经验!K92="","",INT(宠物经验!$B92*宠物经验!K92))</f>
        <v>450000</v>
      </c>
      <c r="L91" s="7" t="str">
        <f>IF(宠物经验!L92="","",INT(宠物经验!$B92*宠物经验!L92))</f>
        <v/>
      </c>
      <c r="M91" s="7" t="str">
        <f>IF(宠物经验!M92="","",INT(宠物经验!$B92*宠物经验!M92))</f>
        <v/>
      </c>
      <c r="N91" s="7">
        <f>IF(宠物经验!N92="","",INT(宠物经验!$B92*宠物经验!N92))</f>
        <v>5400000</v>
      </c>
      <c r="O91" s="7" t="str">
        <f>IF(宠物经验!O92="","",INT(宠物经验!$B92*宠物经验!O92))</f>
        <v/>
      </c>
      <c r="P91" s="7" t="str">
        <f>IF(宠物经验!P92="","",INT(宠物经验!$B92*宠物经验!P92))</f>
        <v/>
      </c>
      <c r="Q91" s="7">
        <f>IF(宠物经验!Q92="","",INT(宠物经验!$B92*宠物经验!Q92))</f>
        <v>2340000</v>
      </c>
      <c r="R91" s="7" t="str">
        <f>IF(宠物经验!R92="","",INT(宠物经验!$B92*宠物经验!R92))</f>
        <v/>
      </c>
      <c r="S91" s="7">
        <f>IF(宠物经验!S92="","",INT(宠物经验!$B92*宠物经验!S92))</f>
        <v>224977</v>
      </c>
      <c r="T91" s="7">
        <f>IF(宠物经验!T92="","",INT(宠物经验!$B92*宠物经验!T92))</f>
        <v>0</v>
      </c>
      <c r="U91" s="7">
        <f>IF(宠物经验!U92="","",INT(宠物经验!$B92*宠物经验!U92))</f>
        <v>224977</v>
      </c>
      <c r="V91" s="7">
        <f>IF(宠物经验!V92="","",INT(宠物经验!$B92*宠物经验!V92))</f>
        <v>150030</v>
      </c>
      <c r="W91" s="7" t="str">
        <f>IF(宠物经验!W92="","",INT(宠物经验!$B92*宠物经验!W92))</f>
        <v/>
      </c>
      <c r="X91" s="7" t="str">
        <f>IF(宠物经验!X92="","",INT(宠物经验!$B92*宠物经验!X92))</f>
        <v/>
      </c>
      <c r="Y91" s="7">
        <f>IF(宠物经验!Y92="","",INT(宠物经验!$B92*宠物经验!Y92))</f>
        <v>112500</v>
      </c>
      <c r="Z91" s="7" t="str">
        <f>IF(宠物经验!Z92="","",INT(宠物经验!$B92*宠物经验!Z92))</f>
        <v/>
      </c>
      <c r="AA91" s="7">
        <f>IF(宠物经验!AA92="","",INT(宠物经验!$B92*宠物经验!AA92))</f>
        <v>37507</v>
      </c>
      <c r="AB91" s="7" t="str">
        <f>IF(宠物经验!AB92="","",INT(宠物经验!$B92*宠物经验!AB92))</f>
        <v/>
      </c>
      <c r="AC91" s="7" t="str">
        <f>IF(宠物经验!AC92="","",INT(宠物经验!$B92*宠物经验!AC92))</f>
        <v/>
      </c>
      <c r="AD91" s="7" t="str">
        <f>IF(宠物经验!AD92="","",INT(宠物经验!$B92*宠物经验!AD92))</f>
        <v/>
      </c>
      <c r="AE91" s="7" t="str">
        <f>IF(宠物经验!AE92="","",INT(宠物经验!$B92*宠物经验!AE92))</f>
        <v/>
      </c>
      <c r="AF91" s="7">
        <f>宠物经验!AH92</f>
        <v>451270</v>
      </c>
      <c r="AG91" s="7">
        <f>宠物经验!AO92</f>
        <v>7500</v>
      </c>
    </row>
    <row r="92" spans="1:33">
      <c r="A92" s="32">
        <v>91</v>
      </c>
      <c r="B92" s="87">
        <f>宠物经验!B93</f>
        <v>455000</v>
      </c>
      <c r="C92" s="7">
        <f>IF(宠物经验!C93="","",INT(宠物经验!$B93*宠物经验!C93))</f>
        <v>454954</v>
      </c>
      <c r="D92" s="7">
        <f>IF(宠物经验!D93="","",INT(宠物经验!$B93*宠物经验!D93))</f>
        <v>500500</v>
      </c>
      <c r="E92" s="7" t="str">
        <f>IF(宠物经验!E93="","",INT(宠物经验!$B93*宠物经验!E93))</f>
        <v/>
      </c>
      <c r="F92" s="7">
        <f>IF(宠物经验!F93="","",INT(宠物经验!$B93*宠物经验!F93))</f>
        <v>682500</v>
      </c>
      <c r="G92" s="7">
        <f>IF(宠物经验!G93="","",INT(宠物经验!$B93*宠物经验!G93))</f>
        <v>303303</v>
      </c>
      <c r="H92" s="7" t="str">
        <f>IF(宠物经验!H93="","",INT(宠物经验!$B93*宠物经验!H93))</f>
        <v/>
      </c>
      <c r="I92" s="7" t="str">
        <f>IF(宠物经验!I93="","",INT(宠物经验!$B93*宠物经验!I93))</f>
        <v/>
      </c>
      <c r="J92" s="7" t="str">
        <f>IF(宠物经验!J93="","",INT(宠物经验!$B93*宠物经验!J93))</f>
        <v/>
      </c>
      <c r="K92" s="7">
        <f>IF(宠物经验!K93="","",INT(宠物经验!$B93*宠物经验!K93))</f>
        <v>455000</v>
      </c>
      <c r="L92" s="7" t="str">
        <f>IF(宠物经验!L93="","",INT(宠物经验!$B93*宠物经验!L93))</f>
        <v/>
      </c>
      <c r="M92" s="7" t="str">
        <f>IF(宠物经验!M93="","",INT(宠物经验!$B93*宠物经验!M93))</f>
        <v/>
      </c>
      <c r="N92" s="7">
        <f>IF(宠物经验!N93="","",INT(宠物经验!$B93*宠物经验!N93))</f>
        <v>5460000</v>
      </c>
      <c r="O92" s="7" t="str">
        <f>IF(宠物经验!O93="","",INT(宠物经验!$B93*宠物经验!O93))</f>
        <v/>
      </c>
      <c r="P92" s="7" t="str">
        <f>IF(宠物经验!P93="","",INT(宠物经验!$B93*宠物经验!P93))</f>
        <v/>
      </c>
      <c r="Q92" s="7">
        <f>IF(宠物经验!Q93="","",INT(宠物经验!$B93*宠物经验!Q93))</f>
        <v>2366000</v>
      </c>
      <c r="R92" s="7" t="str">
        <f>IF(宠物经验!R93="","",INT(宠物经验!$B93*宠物经验!R93))</f>
        <v/>
      </c>
      <c r="S92" s="7">
        <f>IF(宠物经验!S93="","",INT(宠物经验!$B93*宠物经验!S93))</f>
        <v>227477</v>
      </c>
      <c r="T92" s="7">
        <f>IF(宠物经验!T93="","",INT(宠物经验!$B93*宠物经验!T93))</f>
        <v>0</v>
      </c>
      <c r="U92" s="7">
        <f>IF(宠物经验!U93="","",INT(宠物经验!$B93*宠物经验!U93))</f>
        <v>227477</v>
      </c>
      <c r="V92" s="7">
        <f>IF(宠物经验!V93="","",INT(宠物经验!$B93*宠物经验!V93))</f>
        <v>151697</v>
      </c>
      <c r="W92" s="7" t="str">
        <f>IF(宠物经验!W93="","",INT(宠物经验!$B93*宠物经验!W93))</f>
        <v/>
      </c>
      <c r="X92" s="7" t="str">
        <f>IF(宠物经验!X93="","",INT(宠物经验!$B93*宠物经验!X93))</f>
        <v/>
      </c>
      <c r="Y92" s="7">
        <f>IF(宠物经验!Y93="","",INT(宠物经验!$B93*宠物经验!Y93))</f>
        <v>113750</v>
      </c>
      <c r="Z92" s="7" t="str">
        <f>IF(宠物经验!Z93="","",INT(宠物经验!$B93*宠物经验!Z93))</f>
        <v/>
      </c>
      <c r="AA92" s="7">
        <f>IF(宠物经验!AA93="","",INT(宠物经验!$B93*宠物经验!AA93))</f>
        <v>37924</v>
      </c>
      <c r="AB92" s="7" t="str">
        <f>IF(宠物经验!AB93="","",INT(宠物经验!$B93*宠物经验!AB93))</f>
        <v/>
      </c>
      <c r="AC92" s="7" t="str">
        <f>IF(宠物经验!AC93="","",INT(宠物经验!$B93*宠物经验!AC93))</f>
        <v/>
      </c>
      <c r="AD92" s="7" t="str">
        <f>IF(宠物经验!AD93="","",INT(宠物经验!$B93*宠物经验!AD93))</f>
        <v/>
      </c>
      <c r="AE92" s="7" t="str">
        <f>IF(宠物经验!AE93="","",INT(宠物经验!$B93*宠物经验!AE93))</f>
        <v/>
      </c>
      <c r="AF92" s="7">
        <f>宠物经验!AH93</f>
        <v>460820</v>
      </c>
      <c r="AG92" s="7">
        <f>宠物经验!AO93</f>
        <v>7583</v>
      </c>
    </row>
    <row r="93" spans="1:33">
      <c r="A93" s="32">
        <v>92</v>
      </c>
      <c r="B93" s="87">
        <f>宠物经验!B94</f>
        <v>460000</v>
      </c>
      <c r="C93" s="7">
        <f>IF(宠物经验!C94="","",INT(宠物经验!$B94*宠物经验!C94))</f>
        <v>459954</v>
      </c>
      <c r="D93" s="7">
        <f>IF(宠物经验!D94="","",INT(宠物经验!$B94*宠物经验!D94))</f>
        <v>506000</v>
      </c>
      <c r="E93" s="7" t="str">
        <f>IF(宠物经验!E94="","",INT(宠物经验!$B94*宠物经验!E94))</f>
        <v/>
      </c>
      <c r="F93" s="7">
        <f>IF(宠物经验!F94="","",INT(宠物经验!$B94*宠物经验!F94))</f>
        <v>690000</v>
      </c>
      <c r="G93" s="7">
        <f>IF(宠物经验!G94="","",INT(宠物经验!$B94*宠物经验!G94))</f>
        <v>306636</v>
      </c>
      <c r="H93" s="7" t="str">
        <f>IF(宠物经验!H94="","",INT(宠物经验!$B94*宠物经验!H94))</f>
        <v/>
      </c>
      <c r="I93" s="7" t="str">
        <f>IF(宠物经验!I94="","",INT(宠物经验!$B94*宠物经验!I94))</f>
        <v/>
      </c>
      <c r="J93" s="7" t="str">
        <f>IF(宠物经验!J94="","",INT(宠物经验!$B94*宠物经验!J94))</f>
        <v/>
      </c>
      <c r="K93" s="7">
        <f>IF(宠物经验!K94="","",INT(宠物经验!$B94*宠物经验!K94))</f>
        <v>460000</v>
      </c>
      <c r="L93" s="7" t="str">
        <f>IF(宠物经验!L94="","",INT(宠物经验!$B94*宠物经验!L94))</f>
        <v/>
      </c>
      <c r="M93" s="7" t="str">
        <f>IF(宠物经验!M94="","",INT(宠物经验!$B94*宠物经验!M94))</f>
        <v/>
      </c>
      <c r="N93" s="7">
        <f>IF(宠物经验!N94="","",INT(宠物经验!$B94*宠物经验!N94))</f>
        <v>5520000</v>
      </c>
      <c r="O93" s="7" t="str">
        <f>IF(宠物经验!O94="","",INT(宠物经验!$B94*宠物经验!O94))</f>
        <v/>
      </c>
      <c r="P93" s="7" t="str">
        <f>IF(宠物经验!P94="","",INT(宠物经验!$B94*宠物经验!P94))</f>
        <v/>
      </c>
      <c r="Q93" s="7">
        <f>IF(宠物经验!Q94="","",INT(宠物经验!$B94*宠物经验!Q94))</f>
        <v>2392000</v>
      </c>
      <c r="R93" s="7" t="str">
        <f>IF(宠物经验!R94="","",INT(宠物经验!$B94*宠物经验!R94))</f>
        <v/>
      </c>
      <c r="S93" s="7">
        <f>IF(宠物经验!S94="","",INT(宠物经验!$B94*宠物经验!S94))</f>
        <v>229977</v>
      </c>
      <c r="T93" s="7">
        <f>IF(宠物经验!T94="","",INT(宠物经验!$B94*宠物经验!T94))</f>
        <v>0</v>
      </c>
      <c r="U93" s="7">
        <f>IF(宠物经验!U94="","",INT(宠物经验!$B94*宠物经验!U94))</f>
        <v>229977</v>
      </c>
      <c r="V93" s="7">
        <f>IF(宠物经验!V94="","",INT(宠物经验!$B94*宠物经验!V94))</f>
        <v>153364</v>
      </c>
      <c r="W93" s="7" t="str">
        <f>IF(宠物经验!W94="","",INT(宠物经验!$B94*宠物经验!W94))</f>
        <v/>
      </c>
      <c r="X93" s="7" t="str">
        <f>IF(宠物经验!X94="","",INT(宠物经验!$B94*宠物经验!X94))</f>
        <v/>
      </c>
      <c r="Y93" s="7">
        <f>IF(宠物经验!Y94="","",INT(宠物经验!$B94*宠物经验!Y94))</f>
        <v>115000</v>
      </c>
      <c r="Z93" s="7" t="str">
        <f>IF(宠物经验!Z94="","",INT(宠物经验!$B94*宠物经验!Z94))</f>
        <v/>
      </c>
      <c r="AA93" s="7">
        <f>IF(宠物经验!AA94="","",INT(宠物经验!$B94*宠物经验!AA94))</f>
        <v>38341</v>
      </c>
      <c r="AB93" s="7" t="str">
        <f>IF(宠物经验!AB94="","",INT(宠物经验!$B94*宠物经验!AB94))</f>
        <v/>
      </c>
      <c r="AC93" s="7" t="str">
        <f>IF(宠物经验!AC94="","",INT(宠物经验!$B94*宠物经验!AC94))</f>
        <v/>
      </c>
      <c r="AD93" s="7" t="str">
        <f>IF(宠物经验!AD94="","",INT(宠物经验!$B94*宠物经验!AD94))</f>
        <v/>
      </c>
      <c r="AE93" s="7" t="str">
        <f>IF(宠物经验!AE94="","",INT(宠物经验!$B94*宠物经验!AE94))</f>
        <v/>
      </c>
      <c r="AF93" s="7">
        <f>宠物经验!AH94</f>
        <v>470470</v>
      </c>
      <c r="AG93" s="7">
        <f>宠物经验!AO94</f>
        <v>7667</v>
      </c>
    </row>
    <row r="94" spans="1:33">
      <c r="A94" s="32">
        <v>93</v>
      </c>
      <c r="B94" s="87">
        <f>宠物经验!B95</f>
        <v>465000</v>
      </c>
      <c r="C94" s="7">
        <f>IF(宠物经验!C95="","",INT(宠物经验!$B95*宠物经验!C95))</f>
        <v>464953</v>
      </c>
      <c r="D94" s="7">
        <f>IF(宠物经验!D95="","",INT(宠物经验!$B95*宠物经验!D95))</f>
        <v>511500</v>
      </c>
      <c r="E94" s="7" t="str">
        <f>IF(宠物经验!E95="","",INT(宠物经验!$B95*宠物经验!E95))</f>
        <v/>
      </c>
      <c r="F94" s="7">
        <f>IF(宠物经验!F95="","",INT(宠物经验!$B95*宠物经验!F95))</f>
        <v>697500</v>
      </c>
      <c r="G94" s="7">
        <f>IF(宠物经验!G95="","",INT(宠物经验!$B95*宠物经验!G95))</f>
        <v>309969</v>
      </c>
      <c r="H94" s="7" t="str">
        <f>IF(宠物经验!H95="","",INT(宠物经验!$B95*宠物经验!H95))</f>
        <v/>
      </c>
      <c r="I94" s="7" t="str">
        <f>IF(宠物经验!I95="","",INT(宠物经验!$B95*宠物经验!I95))</f>
        <v/>
      </c>
      <c r="J94" s="7" t="str">
        <f>IF(宠物经验!J95="","",INT(宠物经验!$B95*宠物经验!J95))</f>
        <v/>
      </c>
      <c r="K94" s="7">
        <f>IF(宠物经验!K95="","",INT(宠物经验!$B95*宠物经验!K95))</f>
        <v>465000</v>
      </c>
      <c r="L94" s="7" t="str">
        <f>IF(宠物经验!L95="","",INT(宠物经验!$B95*宠物经验!L95))</f>
        <v/>
      </c>
      <c r="M94" s="7" t="str">
        <f>IF(宠物经验!M95="","",INT(宠物经验!$B95*宠物经验!M95))</f>
        <v/>
      </c>
      <c r="N94" s="7">
        <f>IF(宠物经验!N95="","",INT(宠物经验!$B95*宠物经验!N95))</f>
        <v>5580000</v>
      </c>
      <c r="O94" s="7" t="str">
        <f>IF(宠物经验!O95="","",INT(宠物经验!$B95*宠物经验!O95))</f>
        <v/>
      </c>
      <c r="P94" s="7" t="str">
        <f>IF(宠物经验!P95="","",INT(宠物经验!$B95*宠物经验!P95))</f>
        <v/>
      </c>
      <c r="Q94" s="7">
        <f>IF(宠物经验!Q95="","",INT(宠物经验!$B95*宠物经验!Q95))</f>
        <v>2418000</v>
      </c>
      <c r="R94" s="7" t="str">
        <f>IF(宠物经验!R95="","",INT(宠物经验!$B95*宠物经验!R95))</f>
        <v/>
      </c>
      <c r="S94" s="7">
        <f>IF(宠物经验!S95="","",INT(宠物经验!$B95*宠物经验!S95))</f>
        <v>232476</v>
      </c>
      <c r="T94" s="7">
        <f>IF(宠物经验!T95="","",INT(宠物经验!$B95*宠物经验!T95))</f>
        <v>0</v>
      </c>
      <c r="U94" s="7">
        <f>IF(宠物经验!U95="","",INT(宠物经验!$B95*宠物经验!U95))</f>
        <v>232476</v>
      </c>
      <c r="V94" s="7">
        <f>IF(宠物经验!V95="","",INT(宠物经验!$B95*宠物经验!V95))</f>
        <v>155031</v>
      </c>
      <c r="W94" s="7" t="str">
        <f>IF(宠物经验!W95="","",INT(宠物经验!$B95*宠物经验!W95))</f>
        <v/>
      </c>
      <c r="X94" s="7" t="str">
        <f>IF(宠物经验!X95="","",INT(宠物经验!$B95*宠物经验!X95))</f>
        <v/>
      </c>
      <c r="Y94" s="7">
        <f>IF(宠物经验!Y95="","",INT(宠物经验!$B95*宠物经验!Y95))</f>
        <v>116250</v>
      </c>
      <c r="Z94" s="7" t="str">
        <f>IF(宠物经验!Z95="","",INT(宠物经验!$B95*宠物经验!Z95))</f>
        <v/>
      </c>
      <c r="AA94" s="7">
        <f>IF(宠物经验!AA95="","",INT(宠物经验!$B95*宠物经验!AA95))</f>
        <v>38757</v>
      </c>
      <c r="AB94" s="7" t="str">
        <f>IF(宠物经验!AB95="","",INT(宠物经验!$B95*宠物经验!AB95))</f>
        <v/>
      </c>
      <c r="AC94" s="7" t="str">
        <f>IF(宠物经验!AC95="","",INT(宠物经验!$B95*宠物经验!AC95))</f>
        <v/>
      </c>
      <c r="AD94" s="7" t="str">
        <f>IF(宠物经验!AD95="","",INT(宠物经验!$B95*宠物经验!AD95))</f>
        <v/>
      </c>
      <c r="AE94" s="7" t="str">
        <f>IF(宠物经验!AE95="","",INT(宠物经验!$B95*宠物经验!AE95))</f>
        <v/>
      </c>
      <c r="AF94" s="7">
        <f>宠物经验!AH95</f>
        <v>480220</v>
      </c>
      <c r="AG94" s="7">
        <f>宠物经验!AO95</f>
        <v>7750</v>
      </c>
    </row>
    <row r="95" spans="1:33">
      <c r="A95" s="32">
        <v>94</v>
      </c>
      <c r="B95" s="87">
        <f>宠物经验!B96</f>
        <v>470000</v>
      </c>
      <c r="C95" s="7">
        <f>IF(宠物经验!C96="","",INT(宠物经验!$B96*宠物经验!C96))</f>
        <v>469953</v>
      </c>
      <c r="D95" s="7">
        <f>IF(宠物经验!D96="","",INT(宠物经验!$B96*宠物经验!D96))</f>
        <v>517000</v>
      </c>
      <c r="E95" s="7" t="str">
        <f>IF(宠物经验!E96="","",INT(宠物经验!$B96*宠物经验!E96))</f>
        <v/>
      </c>
      <c r="F95" s="7">
        <f>IF(宠物经验!F96="","",INT(宠物经验!$B96*宠物经验!F96))</f>
        <v>705000</v>
      </c>
      <c r="G95" s="7">
        <f>IF(宠物经验!G96="","",INT(宠物经验!$B96*宠物经验!G96))</f>
        <v>313302</v>
      </c>
      <c r="H95" s="7" t="str">
        <f>IF(宠物经验!H96="","",INT(宠物经验!$B96*宠物经验!H96))</f>
        <v/>
      </c>
      <c r="I95" s="7" t="str">
        <f>IF(宠物经验!I96="","",INT(宠物经验!$B96*宠物经验!I96))</f>
        <v/>
      </c>
      <c r="J95" s="7" t="str">
        <f>IF(宠物经验!J96="","",INT(宠物经验!$B96*宠物经验!J96))</f>
        <v/>
      </c>
      <c r="K95" s="7">
        <f>IF(宠物经验!K96="","",INT(宠物经验!$B96*宠物经验!K96))</f>
        <v>470000</v>
      </c>
      <c r="L95" s="7" t="str">
        <f>IF(宠物经验!L96="","",INT(宠物经验!$B96*宠物经验!L96))</f>
        <v/>
      </c>
      <c r="M95" s="7" t="str">
        <f>IF(宠物经验!M96="","",INT(宠物经验!$B96*宠物经验!M96))</f>
        <v/>
      </c>
      <c r="N95" s="7">
        <f>IF(宠物经验!N96="","",INT(宠物经验!$B96*宠物经验!N96))</f>
        <v>5640000</v>
      </c>
      <c r="O95" s="7" t="str">
        <f>IF(宠物经验!O96="","",INT(宠物经验!$B96*宠物经验!O96))</f>
        <v/>
      </c>
      <c r="P95" s="7" t="str">
        <f>IF(宠物经验!P96="","",INT(宠物经验!$B96*宠物经验!P96))</f>
        <v/>
      </c>
      <c r="Q95" s="7">
        <f>IF(宠物经验!Q96="","",INT(宠物经验!$B96*宠物经验!Q96))</f>
        <v>2444000</v>
      </c>
      <c r="R95" s="7" t="str">
        <f>IF(宠物经验!R96="","",INT(宠物经验!$B96*宠物经验!R96))</f>
        <v/>
      </c>
      <c r="S95" s="7">
        <f>IF(宠物经验!S96="","",INT(宠物经验!$B96*宠物经验!S96))</f>
        <v>234976</v>
      </c>
      <c r="T95" s="7">
        <f>IF(宠物经验!T96="","",INT(宠物经验!$B96*宠物经验!T96))</f>
        <v>0</v>
      </c>
      <c r="U95" s="7">
        <f>IF(宠物经验!U96="","",INT(宠物经验!$B96*宠物经验!U96))</f>
        <v>234976</v>
      </c>
      <c r="V95" s="7">
        <f>IF(宠物经验!V96="","",INT(宠物经验!$B96*宠物经验!V96))</f>
        <v>156698</v>
      </c>
      <c r="W95" s="7" t="str">
        <f>IF(宠物经验!W96="","",INT(宠物经验!$B96*宠物经验!W96))</f>
        <v/>
      </c>
      <c r="X95" s="7" t="str">
        <f>IF(宠物经验!X96="","",INT(宠物经验!$B96*宠物经验!X96))</f>
        <v/>
      </c>
      <c r="Y95" s="7">
        <f>IF(宠物经验!Y96="","",INT(宠物经验!$B96*宠物经验!Y96))</f>
        <v>117500</v>
      </c>
      <c r="Z95" s="7" t="str">
        <f>IF(宠物经验!Z96="","",INT(宠物经验!$B96*宠物经验!Z96))</f>
        <v/>
      </c>
      <c r="AA95" s="7">
        <f>IF(宠物经验!AA96="","",INT(宠物经验!$B96*宠物经验!AA96))</f>
        <v>39174</v>
      </c>
      <c r="AB95" s="7" t="str">
        <f>IF(宠物经验!AB96="","",INT(宠物经验!$B96*宠物经验!AB96))</f>
        <v/>
      </c>
      <c r="AC95" s="7" t="str">
        <f>IF(宠物经验!AC96="","",INT(宠物经验!$B96*宠物经验!AC96))</f>
        <v/>
      </c>
      <c r="AD95" s="7" t="str">
        <f>IF(宠物经验!AD96="","",INT(宠物经验!$B96*宠物经验!AD96))</f>
        <v/>
      </c>
      <c r="AE95" s="7" t="str">
        <f>IF(宠物经验!AE96="","",INT(宠物经验!$B96*宠物经验!AE96))</f>
        <v/>
      </c>
      <c r="AF95" s="7">
        <f>宠物经验!AH96</f>
        <v>490070</v>
      </c>
      <c r="AG95" s="7">
        <f>宠物经验!AO96</f>
        <v>7833</v>
      </c>
    </row>
    <row r="96" spans="1:33">
      <c r="A96" s="32">
        <v>95</v>
      </c>
      <c r="B96" s="87">
        <f>宠物经验!B97</f>
        <v>475000</v>
      </c>
      <c r="C96" s="7">
        <f>IF(宠物经验!C97="","",INT(宠物经验!$B97*宠物经验!C97))</f>
        <v>474952</v>
      </c>
      <c r="D96" s="7">
        <f>IF(宠物经验!D97="","",INT(宠物经验!$B97*宠物经验!D97))</f>
        <v>522500</v>
      </c>
      <c r="E96" s="7" t="str">
        <f>IF(宠物经验!E97="","",INT(宠物经验!$B97*宠物经验!E97))</f>
        <v/>
      </c>
      <c r="F96" s="7">
        <f>IF(宠物经验!F97="","",INT(宠物经验!$B97*宠物经验!F97))</f>
        <v>712500</v>
      </c>
      <c r="G96" s="7">
        <f>IF(宠物经验!G97="","",INT(宠物经验!$B97*宠物经验!G97))</f>
        <v>316635</v>
      </c>
      <c r="H96" s="7" t="str">
        <f>IF(宠物经验!H97="","",INT(宠物经验!$B97*宠物经验!H97))</f>
        <v/>
      </c>
      <c r="I96" s="7" t="str">
        <f>IF(宠物经验!I97="","",INT(宠物经验!$B97*宠物经验!I97))</f>
        <v/>
      </c>
      <c r="J96" s="7" t="str">
        <f>IF(宠物经验!J97="","",INT(宠物经验!$B97*宠物经验!J97))</f>
        <v/>
      </c>
      <c r="K96" s="7">
        <f>IF(宠物经验!K97="","",INT(宠物经验!$B97*宠物经验!K97))</f>
        <v>475000</v>
      </c>
      <c r="L96" s="7" t="str">
        <f>IF(宠物经验!L97="","",INT(宠物经验!$B97*宠物经验!L97))</f>
        <v/>
      </c>
      <c r="M96" s="7" t="str">
        <f>IF(宠物经验!M97="","",INT(宠物经验!$B97*宠物经验!M97))</f>
        <v/>
      </c>
      <c r="N96" s="7">
        <f>IF(宠物经验!N97="","",INT(宠物经验!$B97*宠物经验!N97))</f>
        <v>5700000</v>
      </c>
      <c r="O96" s="7" t="str">
        <f>IF(宠物经验!O97="","",INT(宠物经验!$B97*宠物经验!O97))</f>
        <v/>
      </c>
      <c r="P96" s="7" t="str">
        <f>IF(宠物经验!P97="","",INT(宠物经验!$B97*宠物经验!P97))</f>
        <v/>
      </c>
      <c r="Q96" s="7">
        <f>IF(宠物经验!Q97="","",INT(宠物经验!$B97*宠物经验!Q97))</f>
        <v>2470000</v>
      </c>
      <c r="R96" s="7" t="str">
        <f>IF(宠物经验!R97="","",INT(宠物经验!$B97*宠物经验!R97))</f>
        <v/>
      </c>
      <c r="S96" s="7">
        <f>IF(宠物经验!S97="","",INT(宠物经验!$B97*宠物经验!S97))</f>
        <v>237476</v>
      </c>
      <c r="T96" s="7">
        <f>IF(宠物经验!T97="","",INT(宠物经验!$B97*宠物经验!T97))</f>
        <v>0</v>
      </c>
      <c r="U96" s="7">
        <f>IF(宠物经验!U97="","",INT(宠物经验!$B97*宠物经验!U97))</f>
        <v>237476</v>
      </c>
      <c r="V96" s="7">
        <f>IF(宠物经验!V97="","",INT(宠物经验!$B97*宠物经验!V97))</f>
        <v>158365</v>
      </c>
      <c r="W96" s="7" t="str">
        <f>IF(宠物经验!W97="","",INT(宠物经验!$B97*宠物经验!W97))</f>
        <v/>
      </c>
      <c r="X96" s="7" t="str">
        <f>IF(宠物经验!X97="","",INT(宠物经验!$B97*宠物经验!X97))</f>
        <v/>
      </c>
      <c r="Y96" s="7">
        <f>IF(宠物经验!Y97="","",INT(宠物经验!$B97*宠物经验!Y97))</f>
        <v>118750</v>
      </c>
      <c r="Z96" s="7" t="str">
        <f>IF(宠物经验!Z97="","",INT(宠物经验!$B97*宠物经验!Z97))</f>
        <v/>
      </c>
      <c r="AA96" s="7">
        <f>IF(宠物经验!AA97="","",INT(宠物经验!$B97*宠物经验!AA97))</f>
        <v>39591</v>
      </c>
      <c r="AB96" s="7" t="str">
        <f>IF(宠物经验!AB97="","",INT(宠物经验!$B97*宠物经验!AB97))</f>
        <v/>
      </c>
      <c r="AC96" s="7" t="str">
        <f>IF(宠物经验!AC97="","",INT(宠物经验!$B97*宠物经验!AC97))</f>
        <v/>
      </c>
      <c r="AD96" s="7" t="str">
        <f>IF(宠物经验!AD97="","",INT(宠物经验!$B97*宠物经验!AD97))</f>
        <v/>
      </c>
      <c r="AE96" s="7" t="str">
        <f>IF(宠物经验!AE97="","",INT(宠物经验!$B97*宠物经验!AE97))</f>
        <v/>
      </c>
      <c r="AF96" s="7">
        <f>宠物经验!AH97</f>
        <v>500020</v>
      </c>
      <c r="AG96" s="7">
        <f>宠物经验!AO97</f>
        <v>7917</v>
      </c>
    </row>
    <row r="97" spans="1:33">
      <c r="A97" s="32">
        <v>96</v>
      </c>
      <c r="B97" s="87">
        <f>宠物经验!B98</f>
        <v>480000</v>
      </c>
      <c r="C97" s="7">
        <f>IF(宠物经验!C98="","",INT(宠物经验!$B98*宠物经验!C98))</f>
        <v>479952</v>
      </c>
      <c r="D97" s="7">
        <f>IF(宠物经验!D98="","",INT(宠物经验!$B98*宠物经验!D98))</f>
        <v>528000</v>
      </c>
      <c r="E97" s="7" t="str">
        <f>IF(宠物经验!E98="","",INT(宠物经验!$B98*宠物经验!E98))</f>
        <v/>
      </c>
      <c r="F97" s="7">
        <f>IF(宠物经验!F98="","",INT(宠物经验!$B98*宠物经验!F98))</f>
        <v>720000</v>
      </c>
      <c r="G97" s="7">
        <f>IF(宠物经验!G98="","",INT(宠物经验!$B98*宠物经验!G98))</f>
        <v>319968</v>
      </c>
      <c r="H97" s="7" t="str">
        <f>IF(宠物经验!H98="","",INT(宠物经验!$B98*宠物经验!H98))</f>
        <v/>
      </c>
      <c r="I97" s="7" t="str">
        <f>IF(宠物经验!I98="","",INT(宠物经验!$B98*宠物经验!I98))</f>
        <v/>
      </c>
      <c r="J97" s="7" t="str">
        <f>IF(宠物经验!J98="","",INT(宠物经验!$B98*宠物经验!J98))</f>
        <v/>
      </c>
      <c r="K97" s="7">
        <f>IF(宠物经验!K98="","",INT(宠物经验!$B98*宠物经验!K98))</f>
        <v>480000</v>
      </c>
      <c r="L97" s="7" t="str">
        <f>IF(宠物经验!L98="","",INT(宠物经验!$B98*宠物经验!L98))</f>
        <v/>
      </c>
      <c r="M97" s="7" t="str">
        <f>IF(宠物经验!M98="","",INT(宠物经验!$B98*宠物经验!M98))</f>
        <v/>
      </c>
      <c r="N97" s="7">
        <f>IF(宠物经验!N98="","",INT(宠物经验!$B98*宠物经验!N98))</f>
        <v>5760000</v>
      </c>
      <c r="O97" s="7" t="str">
        <f>IF(宠物经验!O98="","",INT(宠物经验!$B98*宠物经验!O98))</f>
        <v/>
      </c>
      <c r="P97" s="7" t="str">
        <f>IF(宠物经验!P98="","",INT(宠物经验!$B98*宠物经验!P98))</f>
        <v/>
      </c>
      <c r="Q97" s="7">
        <f>IF(宠物经验!Q98="","",INT(宠物经验!$B98*宠物经验!Q98))</f>
        <v>2496000</v>
      </c>
      <c r="R97" s="7" t="str">
        <f>IF(宠物经验!R98="","",INT(宠物经验!$B98*宠物经验!R98))</f>
        <v/>
      </c>
      <c r="S97" s="7">
        <f>IF(宠物经验!S98="","",INT(宠物经验!$B98*宠物经验!S98))</f>
        <v>239976</v>
      </c>
      <c r="T97" s="7">
        <f>IF(宠物经验!T98="","",INT(宠物经验!$B98*宠物经验!T98))</f>
        <v>0</v>
      </c>
      <c r="U97" s="7">
        <f>IF(宠物经验!U98="","",INT(宠物经验!$B98*宠物经验!U98))</f>
        <v>239976</v>
      </c>
      <c r="V97" s="7">
        <f>IF(宠物经验!V98="","",INT(宠物经验!$B98*宠物经验!V98))</f>
        <v>160032</v>
      </c>
      <c r="W97" s="7" t="str">
        <f>IF(宠物经验!W98="","",INT(宠物经验!$B98*宠物经验!W98))</f>
        <v/>
      </c>
      <c r="X97" s="7" t="str">
        <f>IF(宠物经验!X98="","",INT(宠物经验!$B98*宠物经验!X98))</f>
        <v/>
      </c>
      <c r="Y97" s="7">
        <f>IF(宠物经验!Y98="","",INT(宠物经验!$B98*宠物经验!Y98))</f>
        <v>120000</v>
      </c>
      <c r="Z97" s="7" t="str">
        <f>IF(宠物经验!Z98="","",INT(宠物经验!$B98*宠物经验!Z98))</f>
        <v/>
      </c>
      <c r="AA97" s="7">
        <f>IF(宠物经验!AA98="","",INT(宠物经验!$B98*宠物经验!AA98))</f>
        <v>40008</v>
      </c>
      <c r="AB97" s="7" t="str">
        <f>IF(宠物经验!AB98="","",INT(宠物经验!$B98*宠物经验!AB98))</f>
        <v/>
      </c>
      <c r="AC97" s="7" t="str">
        <f>IF(宠物经验!AC98="","",INT(宠物经验!$B98*宠物经验!AC98))</f>
        <v/>
      </c>
      <c r="AD97" s="7" t="str">
        <f>IF(宠物经验!AD98="","",INT(宠物经验!$B98*宠物经验!AD98))</f>
        <v/>
      </c>
      <c r="AE97" s="7" t="str">
        <f>IF(宠物经验!AE98="","",INT(宠物经验!$B98*宠物经验!AE98))</f>
        <v/>
      </c>
      <c r="AF97" s="7">
        <f>宠物经验!AH98</f>
        <v>510070</v>
      </c>
      <c r="AG97" s="7">
        <f>宠物经验!AO98</f>
        <v>8000</v>
      </c>
    </row>
    <row r="98" spans="1:33">
      <c r="A98" s="32">
        <v>97</v>
      </c>
      <c r="B98" s="87">
        <f>宠物经验!B99</f>
        <v>485000</v>
      </c>
      <c r="C98" s="7">
        <f>IF(宠物经验!C99="","",INT(宠物经验!$B99*宠物经验!C99))</f>
        <v>484951</v>
      </c>
      <c r="D98" s="7">
        <f>IF(宠物经验!D99="","",INT(宠物经验!$B99*宠物经验!D99))</f>
        <v>533500</v>
      </c>
      <c r="E98" s="7" t="str">
        <f>IF(宠物经验!E99="","",INT(宠物经验!$B99*宠物经验!E99))</f>
        <v/>
      </c>
      <c r="F98" s="7">
        <f>IF(宠物经验!F99="","",INT(宠物经验!$B99*宠物经验!F99))</f>
        <v>727500</v>
      </c>
      <c r="G98" s="7">
        <f>IF(宠物经验!G99="","",INT(宠物经验!$B99*宠物经验!G99))</f>
        <v>323301</v>
      </c>
      <c r="H98" s="7" t="str">
        <f>IF(宠物经验!H99="","",INT(宠物经验!$B99*宠物经验!H99))</f>
        <v/>
      </c>
      <c r="I98" s="7" t="str">
        <f>IF(宠物经验!I99="","",INT(宠物经验!$B99*宠物经验!I99))</f>
        <v/>
      </c>
      <c r="J98" s="7" t="str">
        <f>IF(宠物经验!J99="","",INT(宠物经验!$B99*宠物经验!J99))</f>
        <v/>
      </c>
      <c r="K98" s="7">
        <f>IF(宠物经验!K99="","",INT(宠物经验!$B99*宠物经验!K99))</f>
        <v>485000</v>
      </c>
      <c r="L98" s="7" t="str">
        <f>IF(宠物经验!L99="","",INT(宠物经验!$B99*宠物经验!L99))</f>
        <v/>
      </c>
      <c r="M98" s="7" t="str">
        <f>IF(宠物经验!M99="","",INT(宠物经验!$B99*宠物经验!M99))</f>
        <v/>
      </c>
      <c r="N98" s="7">
        <f>IF(宠物经验!N99="","",INT(宠物经验!$B99*宠物经验!N99))</f>
        <v>5820000</v>
      </c>
      <c r="O98" s="7" t="str">
        <f>IF(宠物经验!O99="","",INT(宠物经验!$B99*宠物经验!O99))</f>
        <v/>
      </c>
      <c r="P98" s="7" t="str">
        <f>IF(宠物经验!P99="","",INT(宠物经验!$B99*宠物经验!P99))</f>
        <v/>
      </c>
      <c r="Q98" s="7">
        <f>IF(宠物经验!Q99="","",INT(宠物经验!$B99*宠物经验!Q99))</f>
        <v>2522000</v>
      </c>
      <c r="R98" s="7" t="str">
        <f>IF(宠物经验!R99="","",INT(宠物经验!$B99*宠物经验!R99))</f>
        <v/>
      </c>
      <c r="S98" s="7">
        <f>IF(宠物经验!S99="","",INT(宠物经验!$B99*宠物经验!S99))</f>
        <v>242475</v>
      </c>
      <c r="T98" s="7">
        <f>IF(宠物经验!T99="","",INT(宠物经验!$B99*宠物经验!T99))</f>
        <v>0</v>
      </c>
      <c r="U98" s="7">
        <f>IF(宠物经验!U99="","",INT(宠物经验!$B99*宠物经验!U99))</f>
        <v>242475</v>
      </c>
      <c r="V98" s="7">
        <f>IF(宠物经验!V99="","",INT(宠物经验!$B99*宠物经验!V99))</f>
        <v>161699</v>
      </c>
      <c r="W98" s="7" t="str">
        <f>IF(宠物经验!W99="","",INT(宠物经验!$B99*宠物经验!W99))</f>
        <v/>
      </c>
      <c r="X98" s="7" t="str">
        <f>IF(宠物经验!X99="","",INT(宠物经验!$B99*宠物经验!X99))</f>
        <v/>
      </c>
      <c r="Y98" s="7">
        <f>IF(宠物经验!Y99="","",INT(宠物经验!$B99*宠物经验!Y99))</f>
        <v>121250</v>
      </c>
      <c r="Z98" s="7" t="str">
        <f>IF(宠物经验!Z99="","",INT(宠物经验!$B99*宠物经验!Z99))</f>
        <v/>
      </c>
      <c r="AA98" s="7">
        <f>IF(宠物经验!AA99="","",INT(宠物经验!$B99*宠物经验!AA99))</f>
        <v>40424</v>
      </c>
      <c r="AB98" s="7" t="str">
        <f>IF(宠物经验!AB99="","",INT(宠物经验!$B99*宠物经验!AB99))</f>
        <v/>
      </c>
      <c r="AC98" s="7" t="str">
        <f>IF(宠物经验!AC99="","",INT(宠物经验!$B99*宠物经验!AC99))</f>
        <v/>
      </c>
      <c r="AD98" s="7" t="str">
        <f>IF(宠物经验!AD99="","",INT(宠物经验!$B99*宠物经验!AD99))</f>
        <v/>
      </c>
      <c r="AE98" s="7" t="str">
        <f>IF(宠物经验!AE99="","",INT(宠物经验!$B99*宠物经验!AE99))</f>
        <v/>
      </c>
      <c r="AF98" s="7">
        <f>宠物经验!AH99</f>
        <v>520220</v>
      </c>
      <c r="AG98" s="7">
        <f>宠物经验!AO99</f>
        <v>8083</v>
      </c>
    </row>
    <row r="99" spans="1:33">
      <c r="A99" s="32">
        <v>98</v>
      </c>
      <c r="B99" s="87">
        <f>宠物经验!B100</f>
        <v>490000</v>
      </c>
      <c r="C99" s="7">
        <f>IF(宠物经验!C100="","",INT(宠物经验!$B100*宠物经验!C100))</f>
        <v>489951</v>
      </c>
      <c r="D99" s="7">
        <f>IF(宠物经验!D100="","",INT(宠物经验!$B100*宠物经验!D100))</f>
        <v>539000</v>
      </c>
      <c r="E99" s="7" t="str">
        <f>IF(宠物经验!E100="","",INT(宠物经验!$B100*宠物经验!E100))</f>
        <v/>
      </c>
      <c r="F99" s="7">
        <f>IF(宠物经验!F100="","",INT(宠物经验!$B100*宠物经验!F100))</f>
        <v>735000</v>
      </c>
      <c r="G99" s="7">
        <f>IF(宠物经验!G100="","",INT(宠物经验!$B100*宠物经验!G100))</f>
        <v>326634</v>
      </c>
      <c r="H99" s="7" t="str">
        <f>IF(宠物经验!H100="","",INT(宠物经验!$B100*宠物经验!H100))</f>
        <v/>
      </c>
      <c r="I99" s="7" t="str">
        <f>IF(宠物经验!I100="","",INT(宠物经验!$B100*宠物经验!I100))</f>
        <v/>
      </c>
      <c r="J99" s="7" t="str">
        <f>IF(宠物经验!J100="","",INT(宠物经验!$B100*宠物经验!J100))</f>
        <v/>
      </c>
      <c r="K99" s="7">
        <f>IF(宠物经验!K100="","",INT(宠物经验!$B100*宠物经验!K100))</f>
        <v>490000</v>
      </c>
      <c r="L99" s="7" t="str">
        <f>IF(宠物经验!L100="","",INT(宠物经验!$B100*宠物经验!L100))</f>
        <v/>
      </c>
      <c r="M99" s="7" t="str">
        <f>IF(宠物经验!M100="","",INT(宠物经验!$B100*宠物经验!M100))</f>
        <v/>
      </c>
      <c r="N99" s="7">
        <f>IF(宠物经验!N100="","",INT(宠物经验!$B100*宠物经验!N100))</f>
        <v>5880000</v>
      </c>
      <c r="O99" s="7" t="str">
        <f>IF(宠物经验!O100="","",INT(宠物经验!$B100*宠物经验!O100))</f>
        <v/>
      </c>
      <c r="P99" s="7" t="str">
        <f>IF(宠物经验!P100="","",INT(宠物经验!$B100*宠物经验!P100))</f>
        <v/>
      </c>
      <c r="Q99" s="7">
        <f>IF(宠物经验!Q100="","",INT(宠物经验!$B100*宠物经验!Q100))</f>
        <v>2548000</v>
      </c>
      <c r="R99" s="7" t="str">
        <f>IF(宠物经验!R100="","",INT(宠物经验!$B100*宠物经验!R100))</f>
        <v/>
      </c>
      <c r="S99" s="7">
        <f>IF(宠物经验!S100="","",INT(宠物经验!$B100*宠物经验!S100))</f>
        <v>244975</v>
      </c>
      <c r="T99" s="7">
        <f>IF(宠物经验!T100="","",INT(宠物经验!$B100*宠物经验!T100))</f>
        <v>0</v>
      </c>
      <c r="U99" s="7">
        <f>IF(宠物经验!U100="","",INT(宠物经验!$B100*宠物经验!U100))</f>
        <v>244975</v>
      </c>
      <c r="V99" s="7">
        <f>IF(宠物经验!V100="","",INT(宠物经验!$B100*宠物经验!V100))</f>
        <v>163366</v>
      </c>
      <c r="W99" s="7" t="str">
        <f>IF(宠物经验!W100="","",INT(宠物经验!$B100*宠物经验!W100))</f>
        <v/>
      </c>
      <c r="X99" s="7" t="str">
        <f>IF(宠物经验!X100="","",INT(宠物经验!$B100*宠物经验!X100))</f>
        <v/>
      </c>
      <c r="Y99" s="7">
        <f>IF(宠物经验!Y100="","",INT(宠物经验!$B100*宠物经验!Y100))</f>
        <v>122500</v>
      </c>
      <c r="Z99" s="7" t="str">
        <f>IF(宠物经验!Z100="","",INT(宠物经验!$B100*宠物经验!Z100))</f>
        <v/>
      </c>
      <c r="AA99" s="7">
        <f>IF(宠物经验!AA100="","",INT(宠物经验!$B100*宠物经验!AA100))</f>
        <v>40841</v>
      </c>
      <c r="AB99" s="7" t="str">
        <f>IF(宠物经验!AB100="","",INT(宠物经验!$B100*宠物经验!AB100))</f>
        <v/>
      </c>
      <c r="AC99" s="7" t="str">
        <f>IF(宠物经验!AC100="","",INT(宠物经验!$B100*宠物经验!AC100))</f>
        <v/>
      </c>
      <c r="AD99" s="7" t="str">
        <f>IF(宠物经验!AD100="","",INT(宠物经验!$B100*宠物经验!AD100))</f>
        <v/>
      </c>
      <c r="AE99" s="7" t="str">
        <f>IF(宠物经验!AE100="","",INT(宠物经验!$B100*宠物经验!AE100))</f>
        <v/>
      </c>
      <c r="AF99" s="7">
        <f>宠物经验!AH100</f>
        <v>530470</v>
      </c>
      <c r="AG99" s="7">
        <f>宠物经验!AO100</f>
        <v>8167</v>
      </c>
    </row>
    <row r="100" spans="1:33">
      <c r="A100" s="32">
        <v>99</v>
      </c>
      <c r="B100" s="87">
        <f>宠物经验!B101</f>
        <v>495000</v>
      </c>
      <c r="C100" s="7">
        <f>IF(宠物经验!C101="","",INT(宠物经验!$B101*宠物经验!C101))</f>
        <v>494950</v>
      </c>
      <c r="D100" s="7">
        <f>IF(宠物经验!D101="","",INT(宠物经验!$B101*宠物经验!D101))</f>
        <v>544500</v>
      </c>
      <c r="E100" s="7" t="str">
        <f>IF(宠物经验!E101="","",INT(宠物经验!$B101*宠物经验!E101))</f>
        <v/>
      </c>
      <c r="F100" s="7">
        <f>IF(宠物经验!F101="","",INT(宠物经验!$B101*宠物经验!F101))</f>
        <v>742500</v>
      </c>
      <c r="G100" s="7">
        <f>IF(宠物经验!G101="","",INT(宠物经验!$B101*宠物经验!G101))</f>
        <v>329967</v>
      </c>
      <c r="H100" s="7" t="str">
        <f>IF(宠物经验!H101="","",INT(宠物经验!$B101*宠物经验!H101))</f>
        <v/>
      </c>
      <c r="I100" s="7" t="str">
        <f>IF(宠物经验!I101="","",INT(宠物经验!$B101*宠物经验!I101))</f>
        <v/>
      </c>
      <c r="J100" s="7" t="str">
        <f>IF(宠物经验!J101="","",INT(宠物经验!$B101*宠物经验!J101))</f>
        <v/>
      </c>
      <c r="K100" s="7">
        <f>IF(宠物经验!K101="","",INT(宠物经验!$B101*宠物经验!K101))</f>
        <v>495000</v>
      </c>
      <c r="L100" s="7" t="str">
        <f>IF(宠物经验!L101="","",INT(宠物经验!$B101*宠物经验!L101))</f>
        <v/>
      </c>
      <c r="M100" s="7" t="str">
        <f>IF(宠物经验!M101="","",INT(宠物经验!$B101*宠物经验!M101))</f>
        <v/>
      </c>
      <c r="N100" s="7">
        <f>IF(宠物经验!N101="","",INT(宠物经验!$B101*宠物经验!N101))</f>
        <v>5940000</v>
      </c>
      <c r="O100" s="7" t="str">
        <f>IF(宠物经验!O101="","",INT(宠物经验!$B101*宠物经验!O101))</f>
        <v/>
      </c>
      <c r="P100" s="7" t="str">
        <f>IF(宠物经验!P101="","",INT(宠物经验!$B101*宠物经验!P101))</f>
        <v/>
      </c>
      <c r="Q100" s="7">
        <f>IF(宠物经验!Q101="","",INT(宠物经验!$B101*宠物经验!Q101))</f>
        <v>2574000</v>
      </c>
      <c r="R100" s="7" t="str">
        <f>IF(宠物经验!R101="","",INT(宠物经验!$B101*宠物经验!R101))</f>
        <v/>
      </c>
      <c r="S100" s="7">
        <f>IF(宠物经验!S101="","",INT(宠物经验!$B101*宠物经验!S101))</f>
        <v>247475</v>
      </c>
      <c r="T100" s="7">
        <f>IF(宠物经验!T101="","",INT(宠物经验!$B101*宠物经验!T101))</f>
        <v>0</v>
      </c>
      <c r="U100" s="7">
        <f>IF(宠物经验!U101="","",INT(宠物经验!$B101*宠物经验!U101))</f>
        <v>247475</v>
      </c>
      <c r="V100" s="7">
        <f>IF(宠物经验!V101="","",INT(宠物经验!$B101*宠物经验!V101))</f>
        <v>165033</v>
      </c>
      <c r="W100" s="7" t="str">
        <f>IF(宠物经验!W101="","",INT(宠物经验!$B101*宠物经验!W101))</f>
        <v/>
      </c>
      <c r="X100" s="7" t="str">
        <f>IF(宠物经验!X101="","",INT(宠物经验!$B101*宠物经验!X101))</f>
        <v/>
      </c>
      <c r="Y100" s="7">
        <f>IF(宠物经验!Y101="","",INT(宠物经验!$B101*宠物经验!Y101))</f>
        <v>123750</v>
      </c>
      <c r="Z100" s="7" t="str">
        <f>IF(宠物经验!Z101="","",INT(宠物经验!$B101*宠物经验!Z101))</f>
        <v/>
      </c>
      <c r="AA100" s="7">
        <f>IF(宠物经验!AA101="","",INT(宠物经验!$B101*宠物经验!AA101))</f>
        <v>41258</v>
      </c>
      <c r="AB100" s="7" t="str">
        <f>IF(宠物经验!AB101="","",INT(宠物经验!$B101*宠物经验!AB101))</f>
        <v/>
      </c>
      <c r="AC100" s="7" t="str">
        <f>IF(宠物经验!AC101="","",INT(宠物经验!$B101*宠物经验!AC101))</f>
        <v/>
      </c>
      <c r="AD100" s="7" t="str">
        <f>IF(宠物经验!AD101="","",INT(宠物经验!$B101*宠物经验!AD101))</f>
        <v/>
      </c>
      <c r="AE100" s="7" t="str">
        <f>IF(宠物经验!AE101="","",INT(宠物经验!$B101*宠物经验!AE101))</f>
        <v/>
      </c>
      <c r="AF100" s="7">
        <f>宠物经验!AH101</f>
        <v>540820</v>
      </c>
      <c r="AG100" s="7">
        <f>宠物经验!AO101</f>
        <v>8250</v>
      </c>
    </row>
    <row r="101" spans="1:33">
      <c r="A101" s="32">
        <v>100</v>
      </c>
      <c r="B101" s="87">
        <f>宠物经验!B102</f>
        <v>500000</v>
      </c>
      <c r="C101" s="7">
        <f>IF(宠物经验!C102="","",INT(宠物经验!$B102*宠物经验!C102))</f>
        <v>499950</v>
      </c>
      <c r="D101" s="7">
        <f>IF(宠物经验!D102="","",INT(宠物经验!$B102*宠物经验!D102))</f>
        <v>550000</v>
      </c>
      <c r="E101" s="7" t="str">
        <f>IF(宠物经验!E102="","",INT(宠物经验!$B102*宠物经验!E102))</f>
        <v/>
      </c>
      <c r="F101" s="7">
        <f>IF(宠物经验!F102="","",INT(宠物经验!$B102*宠物经验!F102))</f>
        <v>750000</v>
      </c>
      <c r="G101" s="7">
        <f>IF(宠物经验!G102="","",INT(宠物经验!$B102*宠物经验!G102))</f>
        <v>333300</v>
      </c>
      <c r="H101" s="7" t="str">
        <f>IF(宠物经验!H102="","",INT(宠物经验!$B102*宠物经验!H102))</f>
        <v/>
      </c>
      <c r="I101" s="7" t="str">
        <f>IF(宠物经验!I102="","",INT(宠物经验!$B102*宠物经验!I102))</f>
        <v/>
      </c>
      <c r="J101" s="7" t="str">
        <f>IF(宠物经验!J102="","",INT(宠物经验!$B102*宠物经验!J102))</f>
        <v/>
      </c>
      <c r="K101" s="7">
        <f>IF(宠物经验!K102="","",INT(宠物经验!$B102*宠物经验!K102))</f>
        <v>500000</v>
      </c>
      <c r="L101" s="7" t="str">
        <f>IF(宠物经验!L102="","",INT(宠物经验!$B102*宠物经验!L102))</f>
        <v/>
      </c>
      <c r="M101" s="7" t="str">
        <f>IF(宠物经验!M102="","",INT(宠物经验!$B102*宠物经验!M102))</f>
        <v/>
      </c>
      <c r="N101" s="7">
        <f>IF(宠物经验!N102="","",INT(宠物经验!$B102*宠物经验!N102))</f>
        <v>6000000</v>
      </c>
      <c r="O101" s="7" t="str">
        <f>IF(宠物经验!O102="","",INT(宠物经验!$B102*宠物经验!O102))</f>
        <v/>
      </c>
      <c r="P101" s="7" t="str">
        <f>IF(宠物经验!P102="","",INT(宠物经验!$B102*宠物经验!P102))</f>
        <v/>
      </c>
      <c r="Q101" s="7">
        <f>IF(宠物经验!Q102="","",INT(宠物经验!$B102*宠物经验!Q102))</f>
        <v>2600000</v>
      </c>
      <c r="R101" s="7" t="str">
        <f>IF(宠物经验!R102="","",INT(宠物经验!$B102*宠物经验!R102))</f>
        <v/>
      </c>
      <c r="S101" s="7">
        <f>IF(宠物经验!S102="","",INT(宠物经验!$B102*宠物经验!S102))</f>
        <v>249975</v>
      </c>
      <c r="T101" s="7">
        <f>IF(宠物经验!T102="","",INT(宠物经验!$B102*宠物经验!T102))</f>
        <v>0</v>
      </c>
      <c r="U101" s="7">
        <f>IF(宠物经验!U102="","",INT(宠物经验!$B102*宠物经验!U102))</f>
        <v>249975</v>
      </c>
      <c r="V101" s="7">
        <f>IF(宠物经验!V102="","",INT(宠物经验!$B102*宠物经验!V102))</f>
        <v>166700</v>
      </c>
      <c r="W101" s="7" t="str">
        <f>IF(宠物经验!W102="","",INT(宠物经验!$B102*宠物经验!W102))</f>
        <v/>
      </c>
      <c r="X101" s="7" t="str">
        <f>IF(宠物经验!X102="","",INT(宠物经验!$B102*宠物经验!X102))</f>
        <v/>
      </c>
      <c r="Y101" s="7">
        <f>IF(宠物经验!Y102="","",INT(宠物经验!$B102*宠物经验!Y102))</f>
        <v>125000</v>
      </c>
      <c r="Z101" s="7" t="str">
        <f>IF(宠物经验!Z102="","",INT(宠物经验!$B102*宠物经验!Z102))</f>
        <v/>
      </c>
      <c r="AA101" s="7">
        <f>IF(宠物经验!AA102="","",INT(宠物经验!$B102*宠物经验!AA102))</f>
        <v>41675</v>
      </c>
      <c r="AB101" s="7" t="str">
        <f>IF(宠物经验!AB102="","",INT(宠物经验!$B102*宠物经验!AB102))</f>
        <v/>
      </c>
      <c r="AC101" s="7" t="str">
        <f>IF(宠物经验!AC102="","",INT(宠物经验!$B102*宠物经验!AC102))</f>
        <v/>
      </c>
      <c r="AD101" s="7" t="str">
        <f>IF(宠物经验!AD102="","",INT(宠物经验!$B102*宠物经验!AD102))</f>
        <v/>
      </c>
      <c r="AE101" s="7" t="str">
        <f>IF(宠物经验!AE102="","",INT(宠物经验!$B102*宠物经验!AE102))</f>
        <v/>
      </c>
      <c r="AF101" s="7">
        <f>宠物经验!AH102</f>
        <v>551270</v>
      </c>
      <c r="AG101" s="7">
        <f>宠物经验!AO102</f>
        <v>8333</v>
      </c>
    </row>
    <row r="102" spans="1:33">
      <c r="A102" s="32">
        <v>101</v>
      </c>
      <c r="B102" s="87">
        <f>宠物经验!B103</f>
        <v>505000</v>
      </c>
      <c r="C102" s="7">
        <f>IF(宠物经验!C103="","",INT(宠物经验!$B103*宠物经验!C103))</f>
        <v>504949</v>
      </c>
      <c r="D102" s="7">
        <f>IF(宠物经验!D103="","",INT(宠物经验!$B103*宠物经验!D103))</f>
        <v>555500</v>
      </c>
      <c r="E102" s="7" t="str">
        <f>IF(宠物经验!E103="","",INT(宠物经验!$B103*宠物经验!E103))</f>
        <v/>
      </c>
      <c r="F102" s="7">
        <f>IF(宠物经验!F103="","",INT(宠物经验!$B103*宠物经验!F103))</f>
        <v>757500</v>
      </c>
      <c r="G102" s="7">
        <f>IF(宠物经验!G103="","",INT(宠物经验!$B103*宠物经验!G103))</f>
        <v>336633</v>
      </c>
      <c r="H102" s="7" t="str">
        <f>IF(宠物经验!H103="","",INT(宠物经验!$B103*宠物经验!H103))</f>
        <v/>
      </c>
      <c r="I102" s="7" t="str">
        <f>IF(宠物经验!I103="","",INT(宠物经验!$B103*宠物经验!I103))</f>
        <v/>
      </c>
      <c r="J102" s="7" t="str">
        <f>IF(宠物经验!J103="","",INT(宠物经验!$B103*宠物经验!J103))</f>
        <v/>
      </c>
      <c r="K102" s="7">
        <f>IF(宠物经验!K103="","",INT(宠物经验!$B103*宠物经验!K103))</f>
        <v>505000</v>
      </c>
      <c r="L102" s="7" t="str">
        <f>IF(宠物经验!L103="","",INT(宠物经验!$B103*宠物经验!L103))</f>
        <v/>
      </c>
      <c r="M102" s="7" t="str">
        <f>IF(宠物经验!M103="","",INT(宠物经验!$B103*宠物经验!M103))</f>
        <v/>
      </c>
      <c r="N102" s="7">
        <f>IF(宠物经验!N103="","",INT(宠物经验!$B103*宠物经验!N103))</f>
        <v>6060000</v>
      </c>
      <c r="O102" s="7" t="str">
        <f>IF(宠物经验!O103="","",INT(宠物经验!$B103*宠物经验!O103))</f>
        <v/>
      </c>
      <c r="P102" s="7" t="str">
        <f>IF(宠物经验!P103="","",INT(宠物经验!$B103*宠物经验!P103))</f>
        <v/>
      </c>
      <c r="Q102" s="7">
        <f>IF(宠物经验!Q103="","",INT(宠物经验!$B103*宠物经验!Q103))</f>
        <v>2626000</v>
      </c>
      <c r="R102" s="7" t="str">
        <f>IF(宠物经验!R103="","",INT(宠物经验!$B103*宠物经验!R103))</f>
        <v/>
      </c>
      <c r="S102" s="7">
        <f>IF(宠物经验!S103="","",INT(宠物经验!$B103*宠物经验!S103))</f>
        <v>252474</v>
      </c>
      <c r="T102" s="7">
        <f>IF(宠物经验!T103="","",INT(宠物经验!$B103*宠物经验!T103))</f>
        <v>0</v>
      </c>
      <c r="U102" s="7">
        <f>IF(宠物经验!U103="","",INT(宠物经验!$B103*宠物经验!U103))</f>
        <v>252474</v>
      </c>
      <c r="V102" s="7">
        <f>IF(宠物经验!V103="","",INT(宠物经验!$B103*宠物经验!V103))</f>
        <v>168367</v>
      </c>
      <c r="W102" s="7" t="str">
        <f>IF(宠物经验!W103="","",INT(宠物经验!$B103*宠物经验!W103))</f>
        <v/>
      </c>
      <c r="X102" s="7" t="str">
        <f>IF(宠物经验!X103="","",INT(宠物经验!$B103*宠物经验!X103))</f>
        <v/>
      </c>
      <c r="Y102" s="7">
        <f>IF(宠物经验!Y103="","",INT(宠物经验!$B103*宠物经验!Y103))</f>
        <v>126250</v>
      </c>
      <c r="Z102" s="7" t="str">
        <f>IF(宠物经验!Z103="","",INT(宠物经验!$B103*宠物经验!Z103))</f>
        <v/>
      </c>
      <c r="AA102" s="7">
        <f>IF(宠物经验!AA103="","",INT(宠物经验!$B103*宠物经验!AA103))</f>
        <v>42091</v>
      </c>
      <c r="AB102" s="7" t="str">
        <f>IF(宠物经验!AB103="","",INT(宠物经验!$B103*宠物经验!AB103))</f>
        <v/>
      </c>
      <c r="AC102" s="7" t="str">
        <f>IF(宠物经验!AC103="","",INT(宠物经验!$B103*宠物经验!AC103))</f>
        <v/>
      </c>
      <c r="AD102" s="7" t="str">
        <f>IF(宠物经验!AD103="","",INT(宠物经验!$B103*宠物经验!AD103))</f>
        <v/>
      </c>
      <c r="AE102" s="7" t="str">
        <f>IF(宠物经验!AE103="","",INT(宠物经验!$B103*宠物经验!AE103))</f>
        <v/>
      </c>
      <c r="AF102" s="7">
        <f>宠物经验!AH103</f>
        <v>561820</v>
      </c>
      <c r="AG102" s="7">
        <f>宠物经验!AO103</f>
        <v>8417</v>
      </c>
    </row>
    <row r="103" spans="1:33">
      <c r="A103" s="32">
        <v>102</v>
      </c>
      <c r="B103" s="87">
        <f>宠物经验!B104</f>
        <v>510000</v>
      </c>
      <c r="C103" s="7">
        <f>IF(宠物经验!C104="","",INT(宠物经验!$B104*宠物经验!C104))</f>
        <v>509949</v>
      </c>
      <c r="D103" s="7">
        <f>IF(宠物经验!D104="","",INT(宠物经验!$B104*宠物经验!D104))</f>
        <v>561000</v>
      </c>
      <c r="E103" s="7" t="str">
        <f>IF(宠物经验!E104="","",INT(宠物经验!$B104*宠物经验!E104))</f>
        <v/>
      </c>
      <c r="F103" s="7">
        <f>IF(宠物经验!F104="","",INT(宠物经验!$B104*宠物经验!F104))</f>
        <v>765000</v>
      </c>
      <c r="G103" s="7">
        <f>IF(宠物经验!G104="","",INT(宠物经验!$B104*宠物经验!G104))</f>
        <v>339966</v>
      </c>
      <c r="H103" s="7" t="str">
        <f>IF(宠物经验!H104="","",INT(宠物经验!$B104*宠物经验!H104))</f>
        <v/>
      </c>
      <c r="I103" s="7" t="str">
        <f>IF(宠物经验!I104="","",INT(宠物经验!$B104*宠物经验!I104))</f>
        <v/>
      </c>
      <c r="J103" s="7" t="str">
        <f>IF(宠物经验!J104="","",INT(宠物经验!$B104*宠物经验!J104))</f>
        <v/>
      </c>
      <c r="K103" s="7">
        <f>IF(宠物经验!K104="","",INT(宠物经验!$B104*宠物经验!K104))</f>
        <v>510000</v>
      </c>
      <c r="L103" s="7" t="str">
        <f>IF(宠物经验!L104="","",INT(宠物经验!$B104*宠物经验!L104))</f>
        <v/>
      </c>
      <c r="M103" s="7" t="str">
        <f>IF(宠物经验!M104="","",INT(宠物经验!$B104*宠物经验!M104))</f>
        <v/>
      </c>
      <c r="N103" s="7">
        <f>IF(宠物经验!N104="","",INT(宠物经验!$B104*宠物经验!N104))</f>
        <v>6120000</v>
      </c>
      <c r="O103" s="7" t="str">
        <f>IF(宠物经验!O104="","",INT(宠物经验!$B104*宠物经验!O104))</f>
        <v/>
      </c>
      <c r="P103" s="7" t="str">
        <f>IF(宠物经验!P104="","",INT(宠物经验!$B104*宠物经验!P104))</f>
        <v/>
      </c>
      <c r="Q103" s="7">
        <f>IF(宠物经验!Q104="","",INT(宠物经验!$B104*宠物经验!Q104))</f>
        <v>2652000</v>
      </c>
      <c r="R103" s="7" t="str">
        <f>IF(宠物经验!R104="","",INT(宠物经验!$B104*宠物经验!R104))</f>
        <v/>
      </c>
      <c r="S103" s="7">
        <f>IF(宠物经验!S104="","",INT(宠物经验!$B104*宠物经验!S104))</f>
        <v>254974</v>
      </c>
      <c r="T103" s="7">
        <f>IF(宠物经验!T104="","",INT(宠物经验!$B104*宠物经验!T104))</f>
        <v>0</v>
      </c>
      <c r="U103" s="7">
        <f>IF(宠物经验!U104="","",INT(宠物经验!$B104*宠物经验!U104))</f>
        <v>254974</v>
      </c>
      <c r="V103" s="7">
        <f>IF(宠物经验!V104="","",INT(宠物经验!$B104*宠物经验!V104))</f>
        <v>170034</v>
      </c>
      <c r="W103" s="7" t="str">
        <f>IF(宠物经验!W104="","",INT(宠物经验!$B104*宠物经验!W104))</f>
        <v/>
      </c>
      <c r="X103" s="7" t="str">
        <f>IF(宠物经验!X104="","",INT(宠物经验!$B104*宠物经验!X104))</f>
        <v/>
      </c>
      <c r="Y103" s="7">
        <f>IF(宠物经验!Y104="","",INT(宠物经验!$B104*宠物经验!Y104))</f>
        <v>127500</v>
      </c>
      <c r="Z103" s="7" t="str">
        <f>IF(宠物经验!Z104="","",INT(宠物经验!$B104*宠物经验!Z104))</f>
        <v/>
      </c>
      <c r="AA103" s="7">
        <f>IF(宠物经验!AA104="","",INT(宠物经验!$B104*宠物经验!AA104))</f>
        <v>42508</v>
      </c>
      <c r="AB103" s="7" t="str">
        <f>IF(宠物经验!AB104="","",INT(宠物经验!$B104*宠物经验!AB104))</f>
        <v/>
      </c>
      <c r="AC103" s="7" t="str">
        <f>IF(宠物经验!AC104="","",INT(宠物经验!$B104*宠物经验!AC104))</f>
        <v/>
      </c>
      <c r="AD103" s="7" t="str">
        <f>IF(宠物经验!AD104="","",INT(宠物经验!$B104*宠物经验!AD104))</f>
        <v/>
      </c>
      <c r="AE103" s="7" t="str">
        <f>IF(宠物经验!AE104="","",INT(宠物经验!$B104*宠物经验!AE104))</f>
        <v/>
      </c>
      <c r="AF103" s="7">
        <f>宠物经验!AH104</f>
        <v>572470</v>
      </c>
      <c r="AG103" s="7">
        <f>宠物经验!AO104</f>
        <v>8500</v>
      </c>
    </row>
    <row r="104" spans="1:33">
      <c r="A104" s="32">
        <v>103</v>
      </c>
      <c r="B104" s="87">
        <f>宠物经验!B105</f>
        <v>515000</v>
      </c>
      <c r="C104" s="7">
        <f>IF(宠物经验!C105="","",INT(宠物经验!$B105*宠物经验!C105))</f>
        <v>514948</v>
      </c>
      <c r="D104" s="7">
        <f>IF(宠物经验!D105="","",INT(宠物经验!$B105*宠物经验!D105))</f>
        <v>566500</v>
      </c>
      <c r="E104" s="7" t="str">
        <f>IF(宠物经验!E105="","",INT(宠物经验!$B105*宠物经验!E105))</f>
        <v/>
      </c>
      <c r="F104" s="7">
        <f>IF(宠物经验!F105="","",INT(宠物经验!$B105*宠物经验!F105))</f>
        <v>772500</v>
      </c>
      <c r="G104" s="7">
        <f>IF(宠物经验!G105="","",INT(宠物经验!$B105*宠物经验!G105))</f>
        <v>343299</v>
      </c>
      <c r="H104" s="7" t="str">
        <f>IF(宠物经验!H105="","",INT(宠物经验!$B105*宠物经验!H105))</f>
        <v/>
      </c>
      <c r="I104" s="7" t="str">
        <f>IF(宠物经验!I105="","",INT(宠物经验!$B105*宠物经验!I105))</f>
        <v/>
      </c>
      <c r="J104" s="7" t="str">
        <f>IF(宠物经验!J105="","",INT(宠物经验!$B105*宠物经验!J105))</f>
        <v/>
      </c>
      <c r="K104" s="7">
        <f>IF(宠物经验!K105="","",INT(宠物经验!$B105*宠物经验!K105))</f>
        <v>515000</v>
      </c>
      <c r="L104" s="7" t="str">
        <f>IF(宠物经验!L105="","",INT(宠物经验!$B105*宠物经验!L105))</f>
        <v/>
      </c>
      <c r="M104" s="7" t="str">
        <f>IF(宠物经验!M105="","",INT(宠物经验!$B105*宠物经验!M105))</f>
        <v/>
      </c>
      <c r="N104" s="7">
        <f>IF(宠物经验!N105="","",INT(宠物经验!$B105*宠物经验!N105))</f>
        <v>6180000</v>
      </c>
      <c r="O104" s="7" t="str">
        <f>IF(宠物经验!O105="","",INT(宠物经验!$B105*宠物经验!O105))</f>
        <v/>
      </c>
      <c r="P104" s="7" t="str">
        <f>IF(宠物经验!P105="","",INT(宠物经验!$B105*宠物经验!P105))</f>
        <v/>
      </c>
      <c r="Q104" s="7">
        <f>IF(宠物经验!Q105="","",INT(宠物经验!$B105*宠物经验!Q105))</f>
        <v>2678000</v>
      </c>
      <c r="R104" s="7" t="str">
        <f>IF(宠物经验!R105="","",INT(宠物经验!$B105*宠物经验!R105))</f>
        <v/>
      </c>
      <c r="S104" s="7">
        <f>IF(宠物经验!S105="","",INT(宠物经验!$B105*宠物经验!S105))</f>
        <v>257474</v>
      </c>
      <c r="T104" s="7">
        <f>IF(宠物经验!T105="","",INT(宠物经验!$B105*宠物经验!T105))</f>
        <v>0</v>
      </c>
      <c r="U104" s="7">
        <f>IF(宠物经验!U105="","",INT(宠物经验!$B105*宠物经验!U105))</f>
        <v>257474</v>
      </c>
      <c r="V104" s="7">
        <f>IF(宠物经验!V105="","",INT(宠物经验!$B105*宠物经验!V105))</f>
        <v>171701</v>
      </c>
      <c r="W104" s="7" t="str">
        <f>IF(宠物经验!W105="","",INT(宠物经验!$B105*宠物经验!W105))</f>
        <v/>
      </c>
      <c r="X104" s="7" t="str">
        <f>IF(宠物经验!X105="","",INT(宠物经验!$B105*宠物经验!X105))</f>
        <v/>
      </c>
      <c r="Y104" s="7">
        <f>IF(宠物经验!Y105="","",INT(宠物经验!$B105*宠物经验!Y105))</f>
        <v>128750</v>
      </c>
      <c r="Z104" s="7" t="str">
        <f>IF(宠物经验!Z105="","",INT(宠物经验!$B105*宠物经验!Z105))</f>
        <v/>
      </c>
      <c r="AA104" s="7">
        <f>IF(宠物经验!AA105="","",INT(宠物经验!$B105*宠物经验!AA105))</f>
        <v>42925</v>
      </c>
      <c r="AB104" s="7" t="str">
        <f>IF(宠物经验!AB105="","",INT(宠物经验!$B105*宠物经验!AB105))</f>
        <v/>
      </c>
      <c r="AC104" s="7" t="str">
        <f>IF(宠物经验!AC105="","",INT(宠物经验!$B105*宠物经验!AC105))</f>
        <v/>
      </c>
      <c r="AD104" s="7" t="str">
        <f>IF(宠物经验!AD105="","",INT(宠物经验!$B105*宠物经验!AD105))</f>
        <v/>
      </c>
      <c r="AE104" s="7" t="str">
        <f>IF(宠物经验!AE105="","",INT(宠物经验!$B105*宠物经验!AE105))</f>
        <v/>
      </c>
      <c r="AF104" s="7">
        <f>宠物经验!AH105</f>
        <v>583220</v>
      </c>
      <c r="AG104" s="7">
        <f>宠物经验!AO105</f>
        <v>8583</v>
      </c>
    </row>
    <row r="105" spans="1:33">
      <c r="A105" s="32">
        <v>104</v>
      </c>
      <c r="B105" s="87">
        <f>宠物经验!B106</f>
        <v>520000</v>
      </c>
      <c r="C105" s="7">
        <f>IF(宠物经验!C106="","",INT(宠物经验!$B106*宠物经验!C106))</f>
        <v>519948</v>
      </c>
      <c r="D105" s="7">
        <f>IF(宠物经验!D106="","",INT(宠物经验!$B106*宠物经验!D106))</f>
        <v>572000</v>
      </c>
      <c r="E105" s="7" t="str">
        <f>IF(宠物经验!E106="","",INT(宠物经验!$B106*宠物经验!E106))</f>
        <v/>
      </c>
      <c r="F105" s="7">
        <f>IF(宠物经验!F106="","",INT(宠物经验!$B106*宠物经验!F106))</f>
        <v>780000</v>
      </c>
      <c r="G105" s="7">
        <f>IF(宠物经验!G106="","",INT(宠物经验!$B106*宠物经验!G106))</f>
        <v>346632</v>
      </c>
      <c r="H105" s="7" t="str">
        <f>IF(宠物经验!H106="","",INT(宠物经验!$B106*宠物经验!H106))</f>
        <v/>
      </c>
      <c r="I105" s="7" t="str">
        <f>IF(宠物经验!I106="","",INT(宠物经验!$B106*宠物经验!I106))</f>
        <v/>
      </c>
      <c r="J105" s="7" t="str">
        <f>IF(宠物经验!J106="","",INT(宠物经验!$B106*宠物经验!J106))</f>
        <v/>
      </c>
      <c r="K105" s="7">
        <f>IF(宠物经验!K106="","",INT(宠物经验!$B106*宠物经验!K106))</f>
        <v>520000</v>
      </c>
      <c r="L105" s="7" t="str">
        <f>IF(宠物经验!L106="","",INT(宠物经验!$B106*宠物经验!L106))</f>
        <v/>
      </c>
      <c r="M105" s="7" t="str">
        <f>IF(宠物经验!M106="","",INT(宠物经验!$B106*宠物经验!M106))</f>
        <v/>
      </c>
      <c r="N105" s="7">
        <f>IF(宠物经验!N106="","",INT(宠物经验!$B106*宠物经验!N106))</f>
        <v>6240000</v>
      </c>
      <c r="O105" s="7" t="str">
        <f>IF(宠物经验!O106="","",INT(宠物经验!$B106*宠物经验!O106))</f>
        <v/>
      </c>
      <c r="P105" s="7" t="str">
        <f>IF(宠物经验!P106="","",INT(宠物经验!$B106*宠物经验!P106))</f>
        <v/>
      </c>
      <c r="Q105" s="7">
        <f>IF(宠物经验!Q106="","",INT(宠物经验!$B106*宠物经验!Q106))</f>
        <v>2704000</v>
      </c>
      <c r="R105" s="7" t="str">
        <f>IF(宠物经验!R106="","",INT(宠物经验!$B106*宠物经验!R106))</f>
        <v/>
      </c>
      <c r="S105" s="7">
        <f>IF(宠物经验!S106="","",INT(宠物经验!$B106*宠物经验!S106))</f>
        <v>259974</v>
      </c>
      <c r="T105" s="7">
        <f>IF(宠物经验!T106="","",INT(宠物经验!$B106*宠物经验!T106))</f>
        <v>0</v>
      </c>
      <c r="U105" s="7">
        <f>IF(宠物经验!U106="","",INT(宠物经验!$B106*宠物经验!U106))</f>
        <v>259974</v>
      </c>
      <c r="V105" s="7">
        <f>IF(宠物经验!V106="","",INT(宠物经验!$B106*宠物经验!V106))</f>
        <v>173368</v>
      </c>
      <c r="W105" s="7" t="str">
        <f>IF(宠物经验!W106="","",INT(宠物经验!$B106*宠物经验!W106))</f>
        <v/>
      </c>
      <c r="X105" s="7" t="str">
        <f>IF(宠物经验!X106="","",INT(宠物经验!$B106*宠物经验!X106))</f>
        <v/>
      </c>
      <c r="Y105" s="7">
        <f>IF(宠物经验!Y106="","",INT(宠物经验!$B106*宠物经验!Y106))</f>
        <v>130000</v>
      </c>
      <c r="Z105" s="7" t="str">
        <f>IF(宠物经验!Z106="","",INT(宠物经验!$B106*宠物经验!Z106))</f>
        <v/>
      </c>
      <c r="AA105" s="7">
        <f>IF(宠物经验!AA106="","",INT(宠物经验!$B106*宠物经验!AA106))</f>
        <v>43342</v>
      </c>
      <c r="AB105" s="7" t="str">
        <f>IF(宠物经验!AB106="","",INT(宠物经验!$B106*宠物经验!AB106))</f>
        <v/>
      </c>
      <c r="AC105" s="7" t="str">
        <f>IF(宠物经验!AC106="","",INT(宠物经验!$B106*宠物经验!AC106))</f>
        <v/>
      </c>
      <c r="AD105" s="7" t="str">
        <f>IF(宠物经验!AD106="","",INT(宠物经验!$B106*宠物经验!AD106))</f>
        <v/>
      </c>
      <c r="AE105" s="7" t="str">
        <f>IF(宠物经验!AE106="","",INT(宠物经验!$B106*宠物经验!AE106))</f>
        <v/>
      </c>
      <c r="AF105" s="7">
        <f>宠物经验!AH106</f>
        <v>594070</v>
      </c>
      <c r="AG105" s="7">
        <f>宠物经验!AO106</f>
        <v>8667</v>
      </c>
    </row>
    <row r="106" spans="1:33">
      <c r="A106" s="32">
        <v>105</v>
      </c>
      <c r="B106" s="87">
        <f>宠物经验!B107</f>
        <v>525000</v>
      </c>
      <c r="C106" s="7">
        <f>IF(宠物经验!C107="","",INT(宠物经验!$B107*宠物经验!C107))</f>
        <v>524947</v>
      </c>
      <c r="D106" s="7">
        <f>IF(宠物经验!D107="","",INT(宠物经验!$B107*宠物经验!D107))</f>
        <v>577500</v>
      </c>
      <c r="E106" s="7" t="str">
        <f>IF(宠物经验!E107="","",INT(宠物经验!$B107*宠物经验!E107))</f>
        <v/>
      </c>
      <c r="F106" s="7">
        <f>IF(宠物经验!F107="","",INT(宠物经验!$B107*宠物经验!F107))</f>
        <v>787500</v>
      </c>
      <c r="G106" s="7">
        <f>IF(宠物经验!G107="","",INT(宠物经验!$B107*宠物经验!G107))</f>
        <v>349965</v>
      </c>
      <c r="H106" s="7" t="str">
        <f>IF(宠物经验!H107="","",INT(宠物经验!$B107*宠物经验!H107))</f>
        <v/>
      </c>
      <c r="I106" s="7" t="str">
        <f>IF(宠物经验!I107="","",INT(宠物经验!$B107*宠物经验!I107))</f>
        <v/>
      </c>
      <c r="J106" s="7" t="str">
        <f>IF(宠物经验!J107="","",INT(宠物经验!$B107*宠物经验!J107))</f>
        <v/>
      </c>
      <c r="K106" s="7">
        <f>IF(宠物经验!K107="","",INT(宠物经验!$B107*宠物经验!K107))</f>
        <v>525000</v>
      </c>
      <c r="L106" s="7" t="str">
        <f>IF(宠物经验!L107="","",INT(宠物经验!$B107*宠物经验!L107))</f>
        <v/>
      </c>
      <c r="M106" s="7" t="str">
        <f>IF(宠物经验!M107="","",INT(宠物经验!$B107*宠物经验!M107))</f>
        <v/>
      </c>
      <c r="N106" s="7">
        <f>IF(宠物经验!N107="","",INT(宠物经验!$B107*宠物经验!N107))</f>
        <v>6300000</v>
      </c>
      <c r="O106" s="7" t="str">
        <f>IF(宠物经验!O107="","",INT(宠物经验!$B107*宠物经验!O107))</f>
        <v/>
      </c>
      <c r="P106" s="7" t="str">
        <f>IF(宠物经验!P107="","",INT(宠物经验!$B107*宠物经验!P107))</f>
        <v/>
      </c>
      <c r="Q106" s="7">
        <f>IF(宠物经验!Q107="","",INT(宠物经验!$B107*宠物经验!Q107))</f>
        <v>2730000</v>
      </c>
      <c r="R106" s="7" t="str">
        <f>IF(宠物经验!R107="","",INT(宠物经验!$B107*宠物经验!R107))</f>
        <v/>
      </c>
      <c r="S106" s="7">
        <f>IF(宠物经验!S107="","",INT(宠物经验!$B107*宠物经验!S107))</f>
        <v>262473</v>
      </c>
      <c r="T106" s="7">
        <f>IF(宠物经验!T107="","",INT(宠物经验!$B107*宠物经验!T107))</f>
        <v>0</v>
      </c>
      <c r="U106" s="7">
        <f>IF(宠物经验!U107="","",INT(宠物经验!$B107*宠物经验!U107))</f>
        <v>262473</v>
      </c>
      <c r="V106" s="7">
        <f>IF(宠物经验!V107="","",INT(宠物经验!$B107*宠物经验!V107))</f>
        <v>175035</v>
      </c>
      <c r="W106" s="7" t="str">
        <f>IF(宠物经验!W107="","",INT(宠物经验!$B107*宠物经验!W107))</f>
        <v/>
      </c>
      <c r="X106" s="7" t="str">
        <f>IF(宠物经验!X107="","",INT(宠物经验!$B107*宠物经验!X107))</f>
        <v/>
      </c>
      <c r="Y106" s="7">
        <f>IF(宠物经验!Y107="","",INT(宠物经验!$B107*宠物经验!Y107))</f>
        <v>131250</v>
      </c>
      <c r="Z106" s="7" t="str">
        <f>IF(宠物经验!Z107="","",INT(宠物经验!$B107*宠物经验!Z107))</f>
        <v/>
      </c>
      <c r="AA106" s="7">
        <f>IF(宠物经验!AA107="","",INT(宠物经验!$B107*宠物经验!AA107))</f>
        <v>43758</v>
      </c>
      <c r="AB106" s="7" t="str">
        <f>IF(宠物经验!AB107="","",INT(宠物经验!$B107*宠物经验!AB107))</f>
        <v/>
      </c>
      <c r="AC106" s="7" t="str">
        <f>IF(宠物经验!AC107="","",INT(宠物经验!$B107*宠物经验!AC107))</f>
        <v/>
      </c>
      <c r="AD106" s="7" t="str">
        <f>IF(宠物经验!AD107="","",INT(宠物经验!$B107*宠物经验!AD107))</f>
        <v/>
      </c>
      <c r="AE106" s="7" t="str">
        <f>IF(宠物经验!AE107="","",INT(宠物经验!$B107*宠物经验!AE107))</f>
        <v/>
      </c>
      <c r="AF106" s="7">
        <f>宠物经验!AH107</f>
        <v>605020</v>
      </c>
      <c r="AG106" s="7">
        <f>宠物经验!AO107</f>
        <v>8750</v>
      </c>
    </row>
    <row r="107" spans="1:33">
      <c r="A107" s="32">
        <v>106</v>
      </c>
      <c r="B107" s="87">
        <f>宠物经验!B108</f>
        <v>530000</v>
      </c>
      <c r="C107" s="7">
        <f>IF(宠物经验!C108="","",INT(宠物经验!$B108*宠物经验!C108))</f>
        <v>529947</v>
      </c>
      <c r="D107" s="7">
        <f>IF(宠物经验!D108="","",INT(宠物经验!$B108*宠物经验!D108))</f>
        <v>583000</v>
      </c>
      <c r="E107" s="7" t="str">
        <f>IF(宠物经验!E108="","",INT(宠物经验!$B108*宠物经验!E108))</f>
        <v/>
      </c>
      <c r="F107" s="7">
        <f>IF(宠物经验!F108="","",INT(宠物经验!$B108*宠物经验!F108))</f>
        <v>795000</v>
      </c>
      <c r="G107" s="7">
        <f>IF(宠物经验!G108="","",INT(宠物经验!$B108*宠物经验!G108))</f>
        <v>353298</v>
      </c>
      <c r="H107" s="7" t="str">
        <f>IF(宠物经验!H108="","",INT(宠物经验!$B108*宠物经验!H108))</f>
        <v/>
      </c>
      <c r="I107" s="7" t="str">
        <f>IF(宠物经验!I108="","",INT(宠物经验!$B108*宠物经验!I108))</f>
        <v/>
      </c>
      <c r="J107" s="7" t="str">
        <f>IF(宠物经验!J108="","",INT(宠物经验!$B108*宠物经验!J108))</f>
        <v/>
      </c>
      <c r="K107" s="7">
        <f>IF(宠物经验!K108="","",INT(宠物经验!$B108*宠物经验!K108))</f>
        <v>530000</v>
      </c>
      <c r="L107" s="7" t="str">
        <f>IF(宠物经验!L108="","",INT(宠物经验!$B108*宠物经验!L108))</f>
        <v/>
      </c>
      <c r="M107" s="7" t="str">
        <f>IF(宠物经验!M108="","",INT(宠物经验!$B108*宠物经验!M108))</f>
        <v/>
      </c>
      <c r="N107" s="7">
        <f>IF(宠物经验!N108="","",INT(宠物经验!$B108*宠物经验!N108))</f>
        <v>6360000</v>
      </c>
      <c r="O107" s="7" t="str">
        <f>IF(宠物经验!O108="","",INT(宠物经验!$B108*宠物经验!O108))</f>
        <v/>
      </c>
      <c r="P107" s="7" t="str">
        <f>IF(宠物经验!P108="","",INT(宠物经验!$B108*宠物经验!P108))</f>
        <v/>
      </c>
      <c r="Q107" s="7">
        <f>IF(宠物经验!Q108="","",INT(宠物经验!$B108*宠物经验!Q108))</f>
        <v>2756000</v>
      </c>
      <c r="R107" s="7" t="str">
        <f>IF(宠物经验!R108="","",INT(宠物经验!$B108*宠物经验!R108))</f>
        <v/>
      </c>
      <c r="S107" s="7">
        <f>IF(宠物经验!S108="","",INT(宠物经验!$B108*宠物经验!S108))</f>
        <v>264973</v>
      </c>
      <c r="T107" s="7">
        <f>IF(宠物经验!T108="","",INT(宠物经验!$B108*宠物经验!T108))</f>
        <v>0</v>
      </c>
      <c r="U107" s="7">
        <f>IF(宠物经验!U108="","",INT(宠物经验!$B108*宠物经验!U108))</f>
        <v>264973</v>
      </c>
      <c r="V107" s="7">
        <f>IF(宠物经验!V108="","",INT(宠物经验!$B108*宠物经验!V108))</f>
        <v>176702</v>
      </c>
      <c r="W107" s="7" t="str">
        <f>IF(宠物经验!W108="","",INT(宠物经验!$B108*宠物经验!W108))</f>
        <v/>
      </c>
      <c r="X107" s="7" t="str">
        <f>IF(宠物经验!X108="","",INT(宠物经验!$B108*宠物经验!X108))</f>
        <v/>
      </c>
      <c r="Y107" s="7">
        <f>IF(宠物经验!Y108="","",INT(宠物经验!$B108*宠物经验!Y108))</f>
        <v>132500</v>
      </c>
      <c r="Z107" s="7" t="str">
        <f>IF(宠物经验!Z108="","",INT(宠物经验!$B108*宠物经验!Z108))</f>
        <v/>
      </c>
      <c r="AA107" s="7">
        <f>IF(宠物经验!AA108="","",INT(宠物经验!$B108*宠物经验!AA108))</f>
        <v>44175</v>
      </c>
      <c r="AB107" s="7" t="str">
        <f>IF(宠物经验!AB108="","",INT(宠物经验!$B108*宠物经验!AB108))</f>
        <v/>
      </c>
      <c r="AC107" s="7" t="str">
        <f>IF(宠物经验!AC108="","",INT(宠物经验!$B108*宠物经验!AC108))</f>
        <v/>
      </c>
      <c r="AD107" s="7" t="str">
        <f>IF(宠物经验!AD108="","",INT(宠物经验!$B108*宠物经验!AD108))</f>
        <v/>
      </c>
      <c r="AE107" s="7" t="str">
        <f>IF(宠物经验!AE108="","",INT(宠物经验!$B108*宠物经验!AE108))</f>
        <v/>
      </c>
      <c r="AF107" s="7">
        <f>宠物经验!AH108</f>
        <v>616070</v>
      </c>
      <c r="AG107" s="7">
        <f>宠物经验!AO108</f>
        <v>8833</v>
      </c>
    </row>
    <row r="108" spans="1:33">
      <c r="A108" s="32">
        <v>107</v>
      </c>
      <c r="B108" s="87">
        <f>宠物经验!B109</f>
        <v>535000</v>
      </c>
      <c r="C108" s="7">
        <f>IF(宠物经验!C109="","",INT(宠物经验!$B109*宠物经验!C109))</f>
        <v>534946</v>
      </c>
      <c r="D108" s="7">
        <f>IF(宠物经验!D109="","",INT(宠物经验!$B109*宠物经验!D109))</f>
        <v>588500</v>
      </c>
      <c r="E108" s="7" t="str">
        <f>IF(宠物经验!E109="","",INT(宠物经验!$B109*宠物经验!E109))</f>
        <v/>
      </c>
      <c r="F108" s="7">
        <f>IF(宠物经验!F109="","",INT(宠物经验!$B109*宠物经验!F109))</f>
        <v>802500</v>
      </c>
      <c r="G108" s="7">
        <f>IF(宠物经验!G109="","",INT(宠物经验!$B109*宠物经验!G109))</f>
        <v>356631</v>
      </c>
      <c r="H108" s="7" t="str">
        <f>IF(宠物经验!H109="","",INT(宠物经验!$B109*宠物经验!H109))</f>
        <v/>
      </c>
      <c r="I108" s="7" t="str">
        <f>IF(宠物经验!I109="","",INT(宠物经验!$B109*宠物经验!I109))</f>
        <v/>
      </c>
      <c r="J108" s="7" t="str">
        <f>IF(宠物经验!J109="","",INT(宠物经验!$B109*宠物经验!J109))</f>
        <v/>
      </c>
      <c r="K108" s="7">
        <f>IF(宠物经验!K109="","",INT(宠物经验!$B109*宠物经验!K109))</f>
        <v>535000</v>
      </c>
      <c r="L108" s="7" t="str">
        <f>IF(宠物经验!L109="","",INT(宠物经验!$B109*宠物经验!L109))</f>
        <v/>
      </c>
      <c r="M108" s="7" t="str">
        <f>IF(宠物经验!M109="","",INT(宠物经验!$B109*宠物经验!M109))</f>
        <v/>
      </c>
      <c r="N108" s="7">
        <f>IF(宠物经验!N109="","",INT(宠物经验!$B109*宠物经验!N109))</f>
        <v>6420000</v>
      </c>
      <c r="O108" s="7" t="str">
        <f>IF(宠物经验!O109="","",INT(宠物经验!$B109*宠物经验!O109))</f>
        <v/>
      </c>
      <c r="P108" s="7" t="str">
        <f>IF(宠物经验!P109="","",INT(宠物经验!$B109*宠物经验!P109))</f>
        <v/>
      </c>
      <c r="Q108" s="7">
        <f>IF(宠物经验!Q109="","",INT(宠物经验!$B109*宠物经验!Q109))</f>
        <v>2782000</v>
      </c>
      <c r="R108" s="7" t="str">
        <f>IF(宠物经验!R109="","",INT(宠物经验!$B109*宠物经验!R109))</f>
        <v/>
      </c>
      <c r="S108" s="7">
        <f>IF(宠物经验!S109="","",INT(宠物经验!$B109*宠物经验!S109))</f>
        <v>267473</v>
      </c>
      <c r="T108" s="7">
        <f>IF(宠物经验!T109="","",INT(宠物经验!$B109*宠物经验!T109))</f>
        <v>0</v>
      </c>
      <c r="U108" s="7">
        <f>IF(宠物经验!U109="","",INT(宠物经验!$B109*宠物经验!U109))</f>
        <v>267473</v>
      </c>
      <c r="V108" s="7">
        <f>IF(宠物经验!V109="","",INT(宠物经验!$B109*宠物经验!V109))</f>
        <v>178369</v>
      </c>
      <c r="W108" s="7" t="str">
        <f>IF(宠物经验!W109="","",INT(宠物经验!$B109*宠物经验!W109))</f>
        <v/>
      </c>
      <c r="X108" s="7" t="str">
        <f>IF(宠物经验!X109="","",INT(宠物经验!$B109*宠物经验!X109))</f>
        <v/>
      </c>
      <c r="Y108" s="7">
        <f>IF(宠物经验!Y109="","",INT(宠物经验!$B109*宠物经验!Y109))</f>
        <v>133750</v>
      </c>
      <c r="Z108" s="7" t="str">
        <f>IF(宠物经验!Z109="","",INT(宠物经验!$B109*宠物经验!Z109))</f>
        <v/>
      </c>
      <c r="AA108" s="7">
        <f>IF(宠物经验!AA109="","",INT(宠物经验!$B109*宠物经验!AA109))</f>
        <v>44592</v>
      </c>
      <c r="AB108" s="7" t="str">
        <f>IF(宠物经验!AB109="","",INT(宠物经验!$B109*宠物经验!AB109))</f>
        <v/>
      </c>
      <c r="AC108" s="7" t="str">
        <f>IF(宠物经验!AC109="","",INT(宠物经验!$B109*宠物经验!AC109))</f>
        <v/>
      </c>
      <c r="AD108" s="7" t="str">
        <f>IF(宠物经验!AD109="","",INT(宠物经验!$B109*宠物经验!AD109))</f>
        <v/>
      </c>
      <c r="AE108" s="7" t="str">
        <f>IF(宠物经验!AE109="","",INT(宠物经验!$B109*宠物经验!AE109))</f>
        <v/>
      </c>
      <c r="AF108" s="7">
        <f>宠物经验!AH109</f>
        <v>627220</v>
      </c>
      <c r="AG108" s="7">
        <f>宠物经验!AO109</f>
        <v>8917</v>
      </c>
    </row>
    <row r="109" spans="1:33">
      <c r="A109" s="32">
        <v>108</v>
      </c>
      <c r="B109" s="87">
        <f>宠物经验!B110</f>
        <v>540000</v>
      </c>
      <c r="C109" s="7">
        <f>IF(宠物经验!C110="","",INT(宠物经验!$B110*宠物经验!C110))</f>
        <v>539946</v>
      </c>
      <c r="D109" s="7">
        <f>IF(宠物经验!D110="","",INT(宠物经验!$B110*宠物经验!D110))</f>
        <v>594000</v>
      </c>
      <c r="E109" s="7" t="str">
        <f>IF(宠物经验!E110="","",INT(宠物经验!$B110*宠物经验!E110))</f>
        <v/>
      </c>
      <c r="F109" s="7">
        <f>IF(宠物经验!F110="","",INT(宠物经验!$B110*宠物经验!F110))</f>
        <v>810000</v>
      </c>
      <c r="G109" s="7">
        <f>IF(宠物经验!G110="","",INT(宠物经验!$B110*宠物经验!G110))</f>
        <v>359964</v>
      </c>
      <c r="H109" s="7" t="str">
        <f>IF(宠物经验!H110="","",INT(宠物经验!$B110*宠物经验!H110))</f>
        <v/>
      </c>
      <c r="I109" s="7" t="str">
        <f>IF(宠物经验!I110="","",INT(宠物经验!$B110*宠物经验!I110))</f>
        <v/>
      </c>
      <c r="J109" s="7" t="str">
        <f>IF(宠物经验!J110="","",INT(宠物经验!$B110*宠物经验!J110))</f>
        <v/>
      </c>
      <c r="K109" s="7">
        <f>IF(宠物经验!K110="","",INT(宠物经验!$B110*宠物经验!K110))</f>
        <v>540000</v>
      </c>
      <c r="L109" s="7" t="str">
        <f>IF(宠物经验!L110="","",INT(宠物经验!$B110*宠物经验!L110))</f>
        <v/>
      </c>
      <c r="M109" s="7" t="str">
        <f>IF(宠物经验!M110="","",INT(宠物经验!$B110*宠物经验!M110))</f>
        <v/>
      </c>
      <c r="N109" s="7">
        <f>IF(宠物经验!N110="","",INT(宠物经验!$B110*宠物经验!N110))</f>
        <v>6480000</v>
      </c>
      <c r="O109" s="7" t="str">
        <f>IF(宠物经验!O110="","",INT(宠物经验!$B110*宠物经验!O110))</f>
        <v/>
      </c>
      <c r="P109" s="7" t="str">
        <f>IF(宠物经验!P110="","",INT(宠物经验!$B110*宠物经验!P110))</f>
        <v/>
      </c>
      <c r="Q109" s="7">
        <f>IF(宠物经验!Q110="","",INT(宠物经验!$B110*宠物经验!Q110))</f>
        <v>2808000</v>
      </c>
      <c r="R109" s="7" t="str">
        <f>IF(宠物经验!R110="","",INT(宠物经验!$B110*宠物经验!R110))</f>
        <v/>
      </c>
      <c r="S109" s="7">
        <f>IF(宠物经验!S110="","",INT(宠物经验!$B110*宠物经验!S110))</f>
        <v>269973</v>
      </c>
      <c r="T109" s="7">
        <f>IF(宠物经验!T110="","",INT(宠物经验!$B110*宠物经验!T110))</f>
        <v>0</v>
      </c>
      <c r="U109" s="7">
        <f>IF(宠物经验!U110="","",INT(宠物经验!$B110*宠物经验!U110))</f>
        <v>269973</v>
      </c>
      <c r="V109" s="7">
        <f>IF(宠物经验!V110="","",INT(宠物经验!$B110*宠物经验!V110))</f>
        <v>180036</v>
      </c>
      <c r="W109" s="7" t="str">
        <f>IF(宠物经验!W110="","",INT(宠物经验!$B110*宠物经验!W110))</f>
        <v/>
      </c>
      <c r="X109" s="7" t="str">
        <f>IF(宠物经验!X110="","",INT(宠物经验!$B110*宠物经验!X110))</f>
        <v/>
      </c>
      <c r="Y109" s="7">
        <f>IF(宠物经验!Y110="","",INT(宠物经验!$B110*宠物经验!Y110))</f>
        <v>135000</v>
      </c>
      <c r="Z109" s="7" t="str">
        <f>IF(宠物经验!Z110="","",INT(宠物经验!$B110*宠物经验!Z110))</f>
        <v/>
      </c>
      <c r="AA109" s="7">
        <f>IF(宠物经验!AA110="","",INT(宠物经验!$B110*宠物经验!AA110))</f>
        <v>45009</v>
      </c>
      <c r="AB109" s="7" t="str">
        <f>IF(宠物经验!AB110="","",INT(宠物经验!$B110*宠物经验!AB110))</f>
        <v/>
      </c>
      <c r="AC109" s="7" t="str">
        <f>IF(宠物经验!AC110="","",INT(宠物经验!$B110*宠物经验!AC110))</f>
        <v/>
      </c>
      <c r="AD109" s="7" t="str">
        <f>IF(宠物经验!AD110="","",INT(宠物经验!$B110*宠物经验!AD110))</f>
        <v/>
      </c>
      <c r="AE109" s="7" t="str">
        <f>IF(宠物经验!AE110="","",INT(宠物经验!$B110*宠物经验!AE110))</f>
        <v/>
      </c>
      <c r="AF109" s="7">
        <f>宠物经验!AH110</f>
        <v>638470</v>
      </c>
      <c r="AG109" s="7">
        <f>宠物经验!AO110</f>
        <v>9000</v>
      </c>
    </row>
    <row r="110" spans="1:33">
      <c r="A110" s="32">
        <v>109</v>
      </c>
      <c r="B110" s="87">
        <f>宠物经验!B111</f>
        <v>545000</v>
      </c>
      <c r="C110" s="7">
        <f>IF(宠物经验!C111="","",INT(宠物经验!$B111*宠物经验!C111))</f>
        <v>544945</v>
      </c>
      <c r="D110" s="7">
        <f>IF(宠物经验!D111="","",INT(宠物经验!$B111*宠物经验!D111))</f>
        <v>599500</v>
      </c>
      <c r="E110" s="7" t="str">
        <f>IF(宠物经验!E111="","",INT(宠物经验!$B111*宠物经验!E111))</f>
        <v/>
      </c>
      <c r="F110" s="7">
        <f>IF(宠物经验!F111="","",INT(宠物经验!$B111*宠物经验!F111))</f>
        <v>817500</v>
      </c>
      <c r="G110" s="7">
        <f>IF(宠物经验!G111="","",INT(宠物经验!$B111*宠物经验!G111))</f>
        <v>363297</v>
      </c>
      <c r="H110" s="7" t="str">
        <f>IF(宠物经验!H111="","",INT(宠物经验!$B111*宠物经验!H111))</f>
        <v/>
      </c>
      <c r="I110" s="7" t="str">
        <f>IF(宠物经验!I111="","",INT(宠物经验!$B111*宠物经验!I111))</f>
        <v/>
      </c>
      <c r="J110" s="7" t="str">
        <f>IF(宠物经验!J111="","",INT(宠物经验!$B111*宠物经验!J111))</f>
        <v/>
      </c>
      <c r="K110" s="7">
        <f>IF(宠物经验!K111="","",INT(宠物经验!$B111*宠物经验!K111))</f>
        <v>545000</v>
      </c>
      <c r="L110" s="7" t="str">
        <f>IF(宠物经验!L111="","",INT(宠物经验!$B111*宠物经验!L111))</f>
        <v/>
      </c>
      <c r="M110" s="7" t="str">
        <f>IF(宠物经验!M111="","",INT(宠物经验!$B111*宠物经验!M111))</f>
        <v/>
      </c>
      <c r="N110" s="7">
        <f>IF(宠物经验!N111="","",INT(宠物经验!$B111*宠物经验!N111))</f>
        <v>6540000</v>
      </c>
      <c r="O110" s="7" t="str">
        <f>IF(宠物经验!O111="","",INT(宠物经验!$B111*宠物经验!O111))</f>
        <v/>
      </c>
      <c r="P110" s="7" t="str">
        <f>IF(宠物经验!P111="","",INT(宠物经验!$B111*宠物经验!P111))</f>
        <v/>
      </c>
      <c r="Q110" s="7">
        <f>IF(宠物经验!Q111="","",INT(宠物经验!$B111*宠物经验!Q111))</f>
        <v>2834000</v>
      </c>
      <c r="R110" s="7" t="str">
        <f>IF(宠物经验!R111="","",INT(宠物经验!$B111*宠物经验!R111))</f>
        <v/>
      </c>
      <c r="S110" s="7">
        <f>IF(宠物经验!S111="","",INT(宠物经验!$B111*宠物经验!S111))</f>
        <v>272472</v>
      </c>
      <c r="T110" s="7">
        <f>IF(宠物经验!T111="","",INT(宠物经验!$B111*宠物经验!T111))</f>
        <v>0</v>
      </c>
      <c r="U110" s="7">
        <f>IF(宠物经验!U111="","",INT(宠物经验!$B111*宠物经验!U111))</f>
        <v>272472</v>
      </c>
      <c r="V110" s="7">
        <f>IF(宠物经验!V111="","",INT(宠物经验!$B111*宠物经验!V111))</f>
        <v>181703</v>
      </c>
      <c r="W110" s="7" t="str">
        <f>IF(宠物经验!W111="","",INT(宠物经验!$B111*宠物经验!W111))</f>
        <v/>
      </c>
      <c r="X110" s="7" t="str">
        <f>IF(宠物经验!X111="","",INT(宠物经验!$B111*宠物经验!X111))</f>
        <v/>
      </c>
      <c r="Y110" s="7">
        <f>IF(宠物经验!Y111="","",INT(宠物经验!$B111*宠物经验!Y111))</f>
        <v>136250</v>
      </c>
      <c r="Z110" s="7" t="str">
        <f>IF(宠物经验!Z111="","",INT(宠物经验!$B111*宠物经验!Z111))</f>
        <v/>
      </c>
      <c r="AA110" s="7">
        <f>IF(宠物经验!AA111="","",INT(宠物经验!$B111*宠物经验!AA111))</f>
        <v>45425</v>
      </c>
      <c r="AB110" s="7" t="str">
        <f>IF(宠物经验!AB111="","",INT(宠物经验!$B111*宠物经验!AB111))</f>
        <v/>
      </c>
      <c r="AC110" s="7" t="str">
        <f>IF(宠物经验!AC111="","",INT(宠物经验!$B111*宠物经验!AC111))</f>
        <v/>
      </c>
      <c r="AD110" s="7" t="str">
        <f>IF(宠物经验!AD111="","",INT(宠物经验!$B111*宠物经验!AD111))</f>
        <v/>
      </c>
      <c r="AE110" s="7" t="str">
        <f>IF(宠物经验!AE111="","",INT(宠物经验!$B111*宠物经验!AE111))</f>
        <v/>
      </c>
      <c r="AF110" s="7">
        <f>宠物经验!AH111</f>
        <v>649820</v>
      </c>
      <c r="AG110" s="7">
        <f>宠物经验!AO111</f>
        <v>9083</v>
      </c>
    </row>
    <row r="111" spans="1:33">
      <c r="A111" s="32">
        <v>110</v>
      </c>
      <c r="B111" s="87">
        <f>宠物经验!B112</f>
        <v>550000</v>
      </c>
      <c r="C111" s="7">
        <f>IF(宠物经验!C112="","",INT(宠物经验!$B112*宠物经验!C112))</f>
        <v>549945</v>
      </c>
      <c r="D111" s="7">
        <f>IF(宠物经验!D112="","",INT(宠物经验!$B112*宠物经验!D112))</f>
        <v>605000</v>
      </c>
      <c r="E111" s="7" t="str">
        <f>IF(宠物经验!E112="","",INT(宠物经验!$B112*宠物经验!E112))</f>
        <v/>
      </c>
      <c r="F111" s="7">
        <f>IF(宠物经验!F112="","",INT(宠物经验!$B112*宠物经验!F112))</f>
        <v>825000</v>
      </c>
      <c r="G111" s="7">
        <f>IF(宠物经验!G112="","",INT(宠物经验!$B112*宠物经验!G112))</f>
        <v>366630</v>
      </c>
      <c r="H111" s="7" t="str">
        <f>IF(宠物经验!H112="","",INT(宠物经验!$B112*宠物经验!H112))</f>
        <v/>
      </c>
      <c r="I111" s="7" t="str">
        <f>IF(宠物经验!I112="","",INT(宠物经验!$B112*宠物经验!I112))</f>
        <v/>
      </c>
      <c r="J111" s="7" t="str">
        <f>IF(宠物经验!J112="","",INT(宠物经验!$B112*宠物经验!J112))</f>
        <v/>
      </c>
      <c r="K111" s="7">
        <f>IF(宠物经验!K112="","",INT(宠物经验!$B112*宠物经验!K112))</f>
        <v>550000</v>
      </c>
      <c r="L111" s="7" t="str">
        <f>IF(宠物经验!L112="","",INT(宠物经验!$B112*宠物经验!L112))</f>
        <v/>
      </c>
      <c r="M111" s="7" t="str">
        <f>IF(宠物经验!M112="","",INT(宠物经验!$B112*宠物经验!M112))</f>
        <v/>
      </c>
      <c r="N111" s="7">
        <f>IF(宠物经验!N112="","",INT(宠物经验!$B112*宠物经验!N112))</f>
        <v>6600000</v>
      </c>
      <c r="O111" s="7" t="str">
        <f>IF(宠物经验!O112="","",INT(宠物经验!$B112*宠物经验!O112))</f>
        <v/>
      </c>
      <c r="P111" s="7" t="str">
        <f>IF(宠物经验!P112="","",INT(宠物经验!$B112*宠物经验!P112))</f>
        <v/>
      </c>
      <c r="Q111" s="7">
        <f>IF(宠物经验!Q112="","",INT(宠物经验!$B112*宠物经验!Q112))</f>
        <v>2860000</v>
      </c>
      <c r="R111" s="7" t="str">
        <f>IF(宠物经验!R112="","",INT(宠物经验!$B112*宠物经验!R112))</f>
        <v/>
      </c>
      <c r="S111" s="7">
        <f>IF(宠物经验!S112="","",INT(宠物经验!$B112*宠物经验!S112))</f>
        <v>274972</v>
      </c>
      <c r="T111" s="7">
        <f>IF(宠物经验!T112="","",INT(宠物经验!$B112*宠物经验!T112))</f>
        <v>0</v>
      </c>
      <c r="U111" s="7">
        <f>IF(宠物经验!U112="","",INT(宠物经验!$B112*宠物经验!U112))</f>
        <v>274972</v>
      </c>
      <c r="V111" s="7">
        <f>IF(宠物经验!V112="","",INT(宠物经验!$B112*宠物经验!V112))</f>
        <v>183370</v>
      </c>
      <c r="W111" s="7" t="str">
        <f>IF(宠物经验!W112="","",INT(宠物经验!$B112*宠物经验!W112))</f>
        <v/>
      </c>
      <c r="X111" s="7" t="str">
        <f>IF(宠物经验!X112="","",INT(宠物经验!$B112*宠物经验!X112))</f>
        <v/>
      </c>
      <c r="Y111" s="7">
        <f>IF(宠物经验!Y112="","",INT(宠物经验!$B112*宠物经验!Y112))</f>
        <v>137500</v>
      </c>
      <c r="Z111" s="7" t="str">
        <f>IF(宠物经验!Z112="","",INT(宠物经验!$B112*宠物经验!Z112))</f>
        <v/>
      </c>
      <c r="AA111" s="7">
        <f>IF(宠物经验!AA112="","",INT(宠物经验!$B112*宠物经验!AA112))</f>
        <v>45842</v>
      </c>
      <c r="AB111" s="7" t="str">
        <f>IF(宠物经验!AB112="","",INT(宠物经验!$B112*宠物经验!AB112))</f>
        <v/>
      </c>
      <c r="AC111" s="7" t="str">
        <f>IF(宠物经验!AC112="","",INT(宠物经验!$B112*宠物经验!AC112))</f>
        <v/>
      </c>
      <c r="AD111" s="7" t="str">
        <f>IF(宠物经验!AD112="","",INT(宠物经验!$B112*宠物经验!AD112))</f>
        <v/>
      </c>
      <c r="AE111" s="7" t="str">
        <f>IF(宠物经验!AE112="","",INT(宠物经验!$B112*宠物经验!AE112))</f>
        <v/>
      </c>
      <c r="AF111" s="7">
        <f>宠物经验!AH112</f>
        <v>661270</v>
      </c>
      <c r="AG111" s="7">
        <f>宠物经验!AO112</f>
        <v>9167</v>
      </c>
    </row>
    <row r="112" spans="1:33">
      <c r="A112" s="32">
        <v>111</v>
      </c>
      <c r="B112" s="87">
        <f>宠物经验!B113</f>
        <v>555000</v>
      </c>
      <c r="C112" s="7">
        <f>IF(宠物经验!C113="","",INT(宠物经验!$B113*宠物经验!C113))</f>
        <v>554944</v>
      </c>
      <c r="D112" s="7">
        <f>IF(宠物经验!D113="","",INT(宠物经验!$B113*宠物经验!D113))</f>
        <v>610500</v>
      </c>
      <c r="E112" s="7" t="str">
        <f>IF(宠物经验!E113="","",INT(宠物经验!$B113*宠物经验!E113))</f>
        <v/>
      </c>
      <c r="F112" s="7">
        <f>IF(宠物经验!F113="","",INT(宠物经验!$B113*宠物经验!F113))</f>
        <v>832500</v>
      </c>
      <c r="G112" s="7">
        <f>IF(宠物经验!G113="","",INT(宠物经验!$B113*宠物经验!G113))</f>
        <v>369963</v>
      </c>
      <c r="H112" s="7" t="str">
        <f>IF(宠物经验!H113="","",INT(宠物经验!$B113*宠物经验!H113))</f>
        <v/>
      </c>
      <c r="I112" s="7" t="str">
        <f>IF(宠物经验!I113="","",INT(宠物经验!$B113*宠物经验!I113))</f>
        <v/>
      </c>
      <c r="J112" s="7" t="str">
        <f>IF(宠物经验!J113="","",INT(宠物经验!$B113*宠物经验!J113))</f>
        <v/>
      </c>
      <c r="K112" s="7">
        <f>IF(宠物经验!K113="","",INT(宠物经验!$B113*宠物经验!K113))</f>
        <v>555000</v>
      </c>
      <c r="L112" s="7" t="str">
        <f>IF(宠物经验!L113="","",INT(宠物经验!$B113*宠物经验!L113))</f>
        <v/>
      </c>
      <c r="M112" s="7" t="str">
        <f>IF(宠物经验!M113="","",INT(宠物经验!$B113*宠物经验!M113))</f>
        <v/>
      </c>
      <c r="N112" s="7">
        <f>IF(宠物经验!N113="","",INT(宠物经验!$B113*宠物经验!N113))</f>
        <v>6660000</v>
      </c>
      <c r="O112" s="7" t="str">
        <f>IF(宠物经验!O113="","",INT(宠物经验!$B113*宠物经验!O113))</f>
        <v/>
      </c>
      <c r="P112" s="7" t="str">
        <f>IF(宠物经验!P113="","",INT(宠物经验!$B113*宠物经验!P113))</f>
        <v/>
      </c>
      <c r="Q112" s="7">
        <f>IF(宠物经验!Q113="","",INT(宠物经验!$B113*宠物经验!Q113))</f>
        <v>2886000</v>
      </c>
      <c r="R112" s="7" t="str">
        <f>IF(宠物经验!R113="","",INT(宠物经验!$B113*宠物经验!R113))</f>
        <v/>
      </c>
      <c r="S112" s="7">
        <f>IF(宠物经验!S113="","",INT(宠物经验!$B113*宠物经验!S113))</f>
        <v>277472</v>
      </c>
      <c r="T112" s="7">
        <f>IF(宠物经验!T113="","",INT(宠物经验!$B113*宠物经验!T113))</f>
        <v>0</v>
      </c>
      <c r="U112" s="7">
        <f>IF(宠物经验!U113="","",INT(宠物经验!$B113*宠物经验!U113))</f>
        <v>277472</v>
      </c>
      <c r="V112" s="7">
        <f>IF(宠物经验!V113="","",INT(宠物经验!$B113*宠物经验!V113))</f>
        <v>185037</v>
      </c>
      <c r="W112" s="7" t="str">
        <f>IF(宠物经验!W113="","",INT(宠物经验!$B113*宠物经验!W113))</f>
        <v/>
      </c>
      <c r="X112" s="7" t="str">
        <f>IF(宠物经验!X113="","",INT(宠物经验!$B113*宠物经验!X113))</f>
        <v/>
      </c>
      <c r="Y112" s="7">
        <f>IF(宠物经验!Y113="","",INT(宠物经验!$B113*宠物经验!Y113))</f>
        <v>138750</v>
      </c>
      <c r="Z112" s="7" t="str">
        <f>IF(宠物经验!Z113="","",INT(宠物经验!$B113*宠物经验!Z113))</f>
        <v/>
      </c>
      <c r="AA112" s="7">
        <f>IF(宠物经验!AA113="","",INT(宠物经验!$B113*宠物经验!AA113))</f>
        <v>46259</v>
      </c>
      <c r="AB112" s="7" t="str">
        <f>IF(宠物经验!AB113="","",INT(宠物经验!$B113*宠物经验!AB113))</f>
        <v/>
      </c>
      <c r="AC112" s="7" t="str">
        <f>IF(宠物经验!AC113="","",INT(宠物经验!$B113*宠物经验!AC113))</f>
        <v/>
      </c>
      <c r="AD112" s="7" t="str">
        <f>IF(宠物经验!AD113="","",INT(宠物经验!$B113*宠物经验!AD113))</f>
        <v/>
      </c>
      <c r="AE112" s="7" t="str">
        <f>IF(宠物经验!AE113="","",INT(宠物经验!$B113*宠物经验!AE113))</f>
        <v/>
      </c>
      <c r="AF112" s="7">
        <f>宠物经验!AH113</f>
        <v>672820</v>
      </c>
      <c r="AG112" s="7">
        <f>宠物经验!AO113</f>
        <v>9250</v>
      </c>
    </row>
    <row r="113" spans="1:33">
      <c r="A113" s="32">
        <v>112</v>
      </c>
      <c r="B113" s="87">
        <f>宠物经验!B114</f>
        <v>560000</v>
      </c>
      <c r="C113" s="7">
        <f>IF(宠物经验!C114="","",INT(宠物经验!$B114*宠物经验!C114))</f>
        <v>559944</v>
      </c>
      <c r="D113" s="7">
        <f>IF(宠物经验!D114="","",INT(宠物经验!$B114*宠物经验!D114))</f>
        <v>616000</v>
      </c>
      <c r="E113" s="7" t="str">
        <f>IF(宠物经验!E114="","",INT(宠物经验!$B114*宠物经验!E114))</f>
        <v/>
      </c>
      <c r="F113" s="7">
        <f>IF(宠物经验!F114="","",INT(宠物经验!$B114*宠物经验!F114))</f>
        <v>840000</v>
      </c>
      <c r="G113" s="7">
        <f>IF(宠物经验!G114="","",INT(宠物经验!$B114*宠物经验!G114))</f>
        <v>373296</v>
      </c>
      <c r="H113" s="7" t="str">
        <f>IF(宠物经验!H114="","",INT(宠物经验!$B114*宠物经验!H114))</f>
        <v/>
      </c>
      <c r="I113" s="7" t="str">
        <f>IF(宠物经验!I114="","",INT(宠物经验!$B114*宠物经验!I114))</f>
        <v/>
      </c>
      <c r="J113" s="7" t="str">
        <f>IF(宠物经验!J114="","",INT(宠物经验!$B114*宠物经验!J114))</f>
        <v/>
      </c>
      <c r="K113" s="7">
        <f>IF(宠物经验!K114="","",INT(宠物经验!$B114*宠物经验!K114))</f>
        <v>560000</v>
      </c>
      <c r="L113" s="7" t="str">
        <f>IF(宠物经验!L114="","",INT(宠物经验!$B114*宠物经验!L114))</f>
        <v/>
      </c>
      <c r="M113" s="7" t="str">
        <f>IF(宠物经验!M114="","",INT(宠物经验!$B114*宠物经验!M114))</f>
        <v/>
      </c>
      <c r="N113" s="7">
        <f>IF(宠物经验!N114="","",INT(宠物经验!$B114*宠物经验!N114))</f>
        <v>6720000</v>
      </c>
      <c r="O113" s="7" t="str">
        <f>IF(宠物经验!O114="","",INT(宠物经验!$B114*宠物经验!O114))</f>
        <v/>
      </c>
      <c r="P113" s="7" t="str">
        <f>IF(宠物经验!P114="","",INT(宠物经验!$B114*宠物经验!P114))</f>
        <v/>
      </c>
      <c r="Q113" s="7">
        <f>IF(宠物经验!Q114="","",INT(宠物经验!$B114*宠物经验!Q114))</f>
        <v>2912000</v>
      </c>
      <c r="R113" s="7" t="str">
        <f>IF(宠物经验!R114="","",INT(宠物经验!$B114*宠物经验!R114))</f>
        <v/>
      </c>
      <c r="S113" s="7">
        <f>IF(宠物经验!S114="","",INT(宠物经验!$B114*宠物经验!S114))</f>
        <v>279972</v>
      </c>
      <c r="T113" s="7">
        <f>IF(宠物经验!T114="","",INT(宠物经验!$B114*宠物经验!T114))</f>
        <v>0</v>
      </c>
      <c r="U113" s="7">
        <f>IF(宠物经验!U114="","",INT(宠物经验!$B114*宠物经验!U114))</f>
        <v>279972</v>
      </c>
      <c r="V113" s="7">
        <f>IF(宠物经验!V114="","",INT(宠物经验!$B114*宠物经验!V114))</f>
        <v>186704</v>
      </c>
      <c r="W113" s="7" t="str">
        <f>IF(宠物经验!W114="","",INT(宠物经验!$B114*宠物经验!W114))</f>
        <v/>
      </c>
      <c r="X113" s="7" t="str">
        <f>IF(宠物经验!X114="","",INT(宠物经验!$B114*宠物经验!X114))</f>
        <v/>
      </c>
      <c r="Y113" s="7">
        <f>IF(宠物经验!Y114="","",INT(宠物经验!$B114*宠物经验!Y114))</f>
        <v>140000</v>
      </c>
      <c r="Z113" s="7" t="str">
        <f>IF(宠物经验!Z114="","",INT(宠物经验!$B114*宠物经验!Z114))</f>
        <v/>
      </c>
      <c r="AA113" s="7">
        <f>IF(宠物经验!AA114="","",INT(宠物经验!$B114*宠物经验!AA114))</f>
        <v>46676</v>
      </c>
      <c r="AB113" s="7" t="str">
        <f>IF(宠物经验!AB114="","",INT(宠物经验!$B114*宠物经验!AB114))</f>
        <v/>
      </c>
      <c r="AC113" s="7" t="str">
        <f>IF(宠物经验!AC114="","",INT(宠物经验!$B114*宠物经验!AC114))</f>
        <v/>
      </c>
      <c r="AD113" s="7" t="str">
        <f>IF(宠物经验!AD114="","",INT(宠物经验!$B114*宠物经验!AD114))</f>
        <v/>
      </c>
      <c r="AE113" s="7" t="str">
        <f>IF(宠物经验!AE114="","",INT(宠物经验!$B114*宠物经验!AE114))</f>
        <v/>
      </c>
      <c r="AF113" s="7">
        <f>宠物经验!AH114</f>
        <v>684470</v>
      </c>
      <c r="AG113" s="7">
        <f>宠物经验!AO114</f>
        <v>9333</v>
      </c>
    </row>
    <row r="114" spans="1:33">
      <c r="A114" s="32">
        <v>113</v>
      </c>
      <c r="B114" s="87">
        <f>宠物经验!B115</f>
        <v>565000</v>
      </c>
      <c r="C114" s="7">
        <f>IF(宠物经验!C115="","",INT(宠物经验!$B115*宠物经验!C115))</f>
        <v>564943</v>
      </c>
      <c r="D114" s="7">
        <f>IF(宠物经验!D115="","",INT(宠物经验!$B115*宠物经验!D115))</f>
        <v>621500</v>
      </c>
      <c r="E114" s="7" t="str">
        <f>IF(宠物经验!E115="","",INT(宠物经验!$B115*宠物经验!E115))</f>
        <v/>
      </c>
      <c r="F114" s="7">
        <f>IF(宠物经验!F115="","",INT(宠物经验!$B115*宠物经验!F115))</f>
        <v>847500</v>
      </c>
      <c r="G114" s="7">
        <f>IF(宠物经验!G115="","",INT(宠物经验!$B115*宠物经验!G115))</f>
        <v>376629</v>
      </c>
      <c r="H114" s="7" t="str">
        <f>IF(宠物经验!H115="","",INT(宠物经验!$B115*宠物经验!H115))</f>
        <v/>
      </c>
      <c r="I114" s="7" t="str">
        <f>IF(宠物经验!I115="","",INT(宠物经验!$B115*宠物经验!I115))</f>
        <v/>
      </c>
      <c r="J114" s="7" t="str">
        <f>IF(宠物经验!J115="","",INT(宠物经验!$B115*宠物经验!J115))</f>
        <v/>
      </c>
      <c r="K114" s="7">
        <f>IF(宠物经验!K115="","",INT(宠物经验!$B115*宠物经验!K115))</f>
        <v>565000</v>
      </c>
      <c r="L114" s="7" t="str">
        <f>IF(宠物经验!L115="","",INT(宠物经验!$B115*宠物经验!L115))</f>
        <v/>
      </c>
      <c r="M114" s="7" t="str">
        <f>IF(宠物经验!M115="","",INT(宠物经验!$B115*宠物经验!M115))</f>
        <v/>
      </c>
      <c r="N114" s="7">
        <f>IF(宠物经验!N115="","",INT(宠物经验!$B115*宠物经验!N115))</f>
        <v>6780000</v>
      </c>
      <c r="O114" s="7" t="str">
        <f>IF(宠物经验!O115="","",INT(宠物经验!$B115*宠物经验!O115))</f>
        <v/>
      </c>
      <c r="P114" s="7" t="str">
        <f>IF(宠物经验!P115="","",INT(宠物经验!$B115*宠物经验!P115))</f>
        <v/>
      </c>
      <c r="Q114" s="7">
        <f>IF(宠物经验!Q115="","",INT(宠物经验!$B115*宠物经验!Q115))</f>
        <v>2938000</v>
      </c>
      <c r="R114" s="7" t="str">
        <f>IF(宠物经验!R115="","",INT(宠物经验!$B115*宠物经验!R115))</f>
        <v/>
      </c>
      <c r="S114" s="7">
        <f>IF(宠物经验!S115="","",INT(宠物经验!$B115*宠物经验!S115))</f>
        <v>282471</v>
      </c>
      <c r="T114" s="7">
        <f>IF(宠物经验!T115="","",INT(宠物经验!$B115*宠物经验!T115))</f>
        <v>0</v>
      </c>
      <c r="U114" s="7">
        <f>IF(宠物经验!U115="","",INT(宠物经验!$B115*宠物经验!U115))</f>
        <v>282471</v>
      </c>
      <c r="V114" s="7">
        <f>IF(宠物经验!V115="","",INT(宠物经验!$B115*宠物经验!V115))</f>
        <v>188371</v>
      </c>
      <c r="W114" s="7" t="str">
        <f>IF(宠物经验!W115="","",INT(宠物经验!$B115*宠物经验!W115))</f>
        <v/>
      </c>
      <c r="X114" s="7" t="str">
        <f>IF(宠物经验!X115="","",INT(宠物经验!$B115*宠物经验!X115))</f>
        <v/>
      </c>
      <c r="Y114" s="7">
        <f>IF(宠物经验!Y115="","",INT(宠物经验!$B115*宠物经验!Y115))</f>
        <v>141250</v>
      </c>
      <c r="Z114" s="7" t="str">
        <f>IF(宠物经验!Z115="","",INT(宠物经验!$B115*宠物经验!Z115))</f>
        <v/>
      </c>
      <c r="AA114" s="7">
        <f>IF(宠物经验!AA115="","",INT(宠物经验!$B115*宠物经验!AA115))</f>
        <v>47092</v>
      </c>
      <c r="AB114" s="7" t="str">
        <f>IF(宠物经验!AB115="","",INT(宠物经验!$B115*宠物经验!AB115))</f>
        <v/>
      </c>
      <c r="AC114" s="7" t="str">
        <f>IF(宠物经验!AC115="","",INT(宠物经验!$B115*宠物经验!AC115))</f>
        <v/>
      </c>
      <c r="AD114" s="7" t="str">
        <f>IF(宠物经验!AD115="","",INT(宠物经验!$B115*宠物经验!AD115))</f>
        <v/>
      </c>
      <c r="AE114" s="7" t="str">
        <f>IF(宠物经验!AE115="","",INT(宠物经验!$B115*宠物经验!AE115))</f>
        <v/>
      </c>
      <c r="AF114" s="7">
        <f>宠物经验!AH115</f>
        <v>696220</v>
      </c>
      <c r="AG114" s="7">
        <f>宠物经验!AO115</f>
        <v>9417</v>
      </c>
    </row>
    <row r="115" spans="1:33">
      <c r="A115" s="32">
        <v>114</v>
      </c>
      <c r="B115" s="87">
        <f>宠物经验!B116</f>
        <v>570000</v>
      </c>
      <c r="C115" s="7">
        <f>IF(宠物经验!C116="","",INT(宠物经验!$B116*宠物经验!C116))</f>
        <v>569943</v>
      </c>
      <c r="D115" s="7">
        <f>IF(宠物经验!D116="","",INT(宠物经验!$B116*宠物经验!D116))</f>
        <v>627000</v>
      </c>
      <c r="E115" s="7" t="str">
        <f>IF(宠物经验!E116="","",INT(宠物经验!$B116*宠物经验!E116))</f>
        <v/>
      </c>
      <c r="F115" s="7">
        <f>IF(宠物经验!F116="","",INT(宠物经验!$B116*宠物经验!F116))</f>
        <v>855000</v>
      </c>
      <c r="G115" s="7">
        <f>IF(宠物经验!G116="","",INT(宠物经验!$B116*宠物经验!G116))</f>
        <v>379962</v>
      </c>
      <c r="H115" s="7" t="str">
        <f>IF(宠物经验!H116="","",INT(宠物经验!$B116*宠物经验!H116))</f>
        <v/>
      </c>
      <c r="I115" s="7" t="str">
        <f>IF(宠物经验!I116="","",INT(宠物经验!$B116*宠物经验!I116))</f>
        <v/>
      </c>
      <c r="J115" s="7" t="str">
        <f>IF(宠物经验!J116="","",INT(宠物经验!$B116*宠物经验!J116))</f>
        <v/>
      </c>
      <c r="K115" s="7">
        <f>IF(宠物经验!K116="","",INT(宠物经验!$B116*宠物经验!K116))</f>
        <v>570000</v>
      </c>
      <c r="L115" s="7" t="str">
        <f>IF(宠物经验!L116="","",INT(宠物经验!$B116*宠物经验!L116))</f>
        <v/>
      </c>
      <c r="M115" s="7" t="str">
        <f>IF(宠物经验!M116="","",INT(宠物经验!$B116*宠物经验!M116))</f>
        <v/>
      </c>
      <c r="N115" s="7">
        <f>IF(宠物经验!N116="","",INT(宠物经验!$B116*宠物经验!N116))</f>
        <v>6840000</v>
      </c>
      <c r="O115" s="7" t="str">
        <f>IF(宠物经验!O116="","",INT(宠物经验!$B116*宠物经验!O116))</f>
        <v/>
      </c>
      <c r="P115" s="7" t="str">
        <f>IF(宠物经验!P116="","",INT(宠物经验!$B116*宠物经验!P116))</f>
        <v/>
      </c>
      <c r="Q115" s="7">
        <f>IF(宠物经验!Q116="","",INT(宠物经验!$B116*宠物经验!Q116))</f>
        <v>2964000</v>
      </c>
      <c r="R115" s="7" t="str">
        <f>IF(宠物经验!R116="","",INT(宠物经验!$B116*宠物经验!R116))</f>
        <v/>
      </c>
      <c r="S115" s="7">
        <f>IF(宠物经验!S116="","",INT(宠物经验!$B116*宠物经验!S116))</f>
        <v>284971</v>
      </c>
      <c r="T115" s="7">
        <f>IF(宠物经验!T116="","",INT(宠物经验!$B116*宠物经验!T116))</f>
        <v>0</v>
      </c>
      <c r="U115" s="7">
        <f>IF(宠物经验!U116="","",INT(宠物经验!$B116*宠物经验!U116))</f>
        <v>284971</v>
      </c>
      <c r="V115" s="7">
        <f>IF(宠物经验!V116="","",INT(宠物经验!$B116*宠物经验!V116))</f>
        <v>190038</v>
      </c>
      <c r="W115" s="7" t="str">
        <f>IF(宠物经验!W116="","",INT(宠物经验!$B116*宠物经验!W116))</f>
        <v/>
      </c>
      <c r="X115" s="7" t="str">
        <f>IF(宠物经验!X116="","",INT(宠物经验!$B116*宠物经验!X116))</f>
        <v/>
      </c>
      <c r="Y115" s="7">
        <f>IF(宠物经验!Y116="","",INT(宠物经验!$B116*宠物经验!Y116))</f>
        <v>142500</v>
      </c>
      <c r="Z115" s="7" t="str">
        <f>IF(宠物经验!Z116="","",INT(宠物经验!$B116*宠物经验!Z116))</f>
        <v/>
      </c>
      <c r="AA115" s="7">
        <f>IF(宠物经验!AA116="","",INT(宠物经验!$B116*宠物经验!AA116))</f>
        <v>47509</v>
      </c>
      <c r="AB115" s="7" t="str">
        <f>IF(宠物经验!AB116="","",INT(宠物经验!$B116*宠物经验!AB116))</f>
        <v/>
      </c>
      <c r="AC115" s="7" t="str">
        <f>IF(宠物经验!AC116="","",INT(宠物经验!$B116*宠物经验!AC116))</f>
        <v/>
      </c>
      <c r="AD115" s="7" t="str">
        <f>IF(宠物经验!AD116="","",INT(宠物经验!$B116*宠物经验!AD116))</f>
        <v/>
      </c>
      <c r="AE115" s="7" t="str">
        <f>IF(宠物经验!AE116="","",INT(宠物经验!$B116*宠物经验!AE116))</f>
        <v/>
      </c>
      <c r="AF115" s="7">
        <f>宠物经验!AH116</f>
        <v>708070</v>
      </c>
      <c r="AG115" s="7">
        <f>宠物经验!AO116</f>
        <v>9500</v>
      </c>
    </row>
    <row r="116" spans="1:33">
      <c r="A116" s="32">
        <v>115</v>
      </c>
      <c r="B116" s="87">
        <f>宠物经验!B117</f>
        <v>575000</v>
      </c>
      <c r="C116" s="7">
        <f>IF(宠物经验!C117="","",INT(宠物经验!$B117*宠物经验!C117))</f>
        <v>574942</v>
      </c>
      <c r="D116" s="7">
        <f>IF(宠物经验!D117="","",INT(宠物经验!$B117*宠物经验!D117))</f>
        <v>632500</v>
      </c>
      <c r="E116" s="7" t="str">
        <f>IF(宠物经验!E117="","",INT(宠物经验!$B117*宠物经验!E117))</f>
        <v/>
      </c>
      <c r="F116" s="7">
        <f>IF(宠物经验!F117="","",INT(宠物经验!$B117*宠物经验!F117))</f>
        <v>862500</v>
      </c>
      <c r="G116" s="7">
        <f>IF(宠物经验!G117="","",INT(宠物经验!$B117*宠物经验!G117))</f>
        <v>383295</v>
      </c>
      <c r="H116" s="7" t="str">
        <f>IF(宠物经验!H117="","",INT(宠物经验!$B117*宠物经验!H117))</f>
        <v/>
      </c>
      <c r="I116" s="7" t="str">
        <f>IF(宠物经验!I117="","",INT(宠物经验!$B117*宠物经验!I117))</f>
        <v/>
      </c>
      <c r="J116" s="7" t="str">
        <f>IF(宠物经验!J117="","",INT(宠物经验!$B117*宠物经验!J117))</f>
        <v/>
      </c>
      <c r="K116" s="7">
        <f>IF(宠物经验!K117="","",INT(宠物经验!$B117*宠物经验!K117))</f>
        <v>575000</v>
      </c>
      <c r="L116" s="7" t="str">
        <f>IF(宠物经验!L117="","",INT(宠物经验!$B117*宠物经验!L117))</f>
        <v/>
      </c>
      <c r="M116" s="7" t="str">
        <f>IF(宠物经验!M117="","",INT(宠物经验!$B117*宠物经验!M117))</f>
        <v/>
      </c>
      <c r="N116" s="7">
        <f>IF(宠物经验!N117="","",INT(宠物经验!$B117*宠物经验!N117))</f>
        <v>6900000</v>
      </c>
      <c r="O116" s="7" t="str">
        <f>IF(宠物经验!O117="","",INT(宠物经验!$B117*宠物经验!O117))</f>
        <v/>
      </c>
      <c r="P116" s="7" t="str">
        <f>IF(宠物经验!P117="","",INT(宠物经验!$B117*宠物经验!P117))</f>
        <v/>
      </c>
      <c r="Q116" s="7">
        <f>IF(宠物经验!Q117="","",INT(宠物经验!$B117*宠物经验!Q117))</f>
        <v>2990000</v>
      </c>
      <c r="R116" s="7" t="str">
        <f>IF(宠物经验!R117="","",INT(宠物经验!$B117*宠物经验!R117))</f>
        <v/>
      </c>
      <c r="S116" s="7">
        <f>IF(宠物经验!S117="","",INT(宠物经验!$B117*宠物经验!S117))</f>
        <v>287471</v>
      </c>
      <c r="T116" s="7">
        <f>IF(宠物经验!T117="","",INT(宠物经验!$B117*宠物经验!T117))</f>
        <v>0</v>
      </c>
      <c r="U116" s="7">
        <f>IF(宠物经验!U117="","",INT(宠物经验!$B117*宠物经验!U117))</f>
        <v>287471</v>
      </c>
      <c r="V116" s="7">
        <f>IF(宠物经验!V117="","",INT(宠物经验!$B117*宠物经验!V117))</f>
        <v>191705</v>
      </c>
      <c r="W116" s="7" t="str">
        <f>IF(宠物经验!W117="","",INT(宠物经验!$B117*宠物经验!W117))</f>
        <v/>
      </c>
      <c r="X116" s="7" t="str">
        <f>IF(宠物经验!X117="","",INT(宠物经验!$B117*宠物经验!X117))</f>
        <v/>
      </c>
      <c r="Y116" s="7">
        <f>IF(宠物经验!Y117="","",INT(宠物经验!$B117*宠物经验!Y117))</f>
        <v>143750</v>
      </c>
      <c r="Z116" s="7" t="str">
        <f>IF(宠物经验!Z117="","",INT(宠物经验!$B117*宠物经验!Z117))</f>
        <v/>
      </c>
      <c r="AA116" s="7">
        <f>IF(宠物经验!AA117="","",INT(宠物经验!$B117*宠物经验!AA117))</f>
        <v>47926</v>
      </c>
      <c r="AB116" s="7" t="str">
        <f>IF(宠物经验!AB117="","",INT(宠物经验!$B117*宠物经验!AB117))</f>
        <v/>
      </c>
      <c r="AC116" s="7" t="str">
        <f>IF(宠物经验!AC117="","",INT(宠物经验!$B117*宠物经验!AC117))</f>
        <v/>
      </c>
      <c r="AD116" s="7" t="str">
        <f>IF(宠物经验!AD117="","",INT(宠物经验!$B117*宠物经验!AD117))</f>
        <v/>
      </c>
      <c r="AE116" s="7" t="str">
        <f>IF(宠物经验!AE117="","",INT(宠物经验!$B117*宠物经验!AE117))</f>
        <v/>
      </c>
      <c r="AF116" s="7">
        <f>宠物经验!AH117</f>
        <v>720020</v>
      </c>
      <c r="AG116" s="7">
        <f>宠物经验!AO117</f>
        <v>9583</v>
      </c>
    </row>
    <row r="117" spans="1:33">
      <c r="A117" s="32">
        <v>116</v>
      </c>
      <c r="B117" s="87">
        <f>宠物经验!B118</f>
        <v>580000</v>
      </c>
      <c r="C117" s="7">
        <f>IF(宠物经验!C118="","",INT(宠物经验!$B118*宠物经验!C118))</f>
        <v>579942</v>
      </c>
      <c r="D117" s="7">
        <f>IF(宠物经验!D118="","",INT(宠物经验!$B118*宠物经验!D118))</f>
        <v>638000</v>
      </c>
      <c r="E117" s="7" t="str">
        <f>IF(宠物经验!E118="","",INT(宠物经验!$B118*宠物经验!E118))</f>
        <v/>
      </c>
      <c r="F117" s="7">
        <f>IF(宠物经验!F118="","",INT(宠物经验!$B118*宠物经验!F118))</f>
        <v>870000</v>
      </c>
      <c r="G117" s="7">
        <f>IF(宠物经验!G118="","",INT(宠物经验!$B118*宠物经验!G118))</f>
        <v>386628</v>
      </c>
      <c r="H117" s="7" t="str">
        <f>IF(宠物经验!H118="","",INT(宠物经验!$B118*宠物经验!H118))</f>
        <v/>
      </c>
      <c r="I117" s="7" t="str">
        <f>IF(宠物经验!I118="","",INT(宠物经验!$B118*宠物经验!I118))</f>
        <v/>
      </c>
      <c r="J117" s="7" t="str">
        <f>IF(宠物经验!J118="","",INT(宠物经验!$B118*宠物经验!J118))</f>
        <v/>
      </c>
      <c r="K117" s="7">
        <f>IF(宠物经验!K118="","",INT(宠物经验!$B118*宠物经验!K118))</f>
        <v>580000</v>
      </c>
      <c r="L117" s="7" t="str">
        <f>IF(宠物经验!L118="","",INT(宠物经验!$B118*宠物经验!L118))</f>
        <v/>
      </c>
      <c r="M117" s="7" t="str">
        <f>IF(宠物经验!M118="","",INT(宠物经验!$B118*宠物经验!M118))</f>
        <v/>
      </c>
      <c r="N117" s="7">
        <f>IF(宠物经验!N118="","",INT(宠物经验!$B118*宠物经验!N118))</f>
        <v>6960000</v>
      </c>
      <c r="O117" s="7" t="str">
        <f>IF(宠物经验!O118="","",INT(宠物经验!$B118*宠物经验!O118))</f>
        <v/>
      </c>
      <c r="P117" s="7" t="str">
        <f>IF(宠物经验!P118="","",INT(宠物经验!$B118*宠物经验!P118))</f>
        <v/>
      </c>
      <c r="Q117" s="7">
        <f>IF(宠物经验!Q118="","",INT(宠物经验!$B118*宠物经验!Q118))</f>
        <v>3016000</v>
      </c>
      <c r="R117" s="7" t="str">
        <f>IF(宠物经验!R118="","",INT(宠物经验!$B118*宠物经验!R118))</f>
        <v/>
      </c>
      <c r="S117" s="7">
        <f>IF(宠物经验!S118="","",INT(宠物经验!$B118*宠物经验!S118))</f>
        <v>289971</v>
      </c>
      <c r="T117" s="7">
        <f>IF(宠物经验!T118="","",INT(宠物经验!$B118*宠物经验!T118))</f>
        <v>0</v>
      </c>
      <c r="U117" s="7">
        <f>IF(宠物经验!U118="","",INT(宠物经验!$B118*宠物经验!U118))</f>
        <v>289971</v>
      </c>
      <c r="V117" s="7">
        <f>IF(宠物经验!V118="","",INT(宠物经验!$B118*宠物经验!V118))</f>
        <v>193372</v>
      </c>
      <c r="W117" s="7" t="str">
        <f>IF(宠物经验!W118="","",INT(宠物经验!$B118*宠物经验!W118))</f>
        <v/>
      </c>
      <c r="X117" s="7" t="str">
        <f>IF(宠物经验!X118="","",INT(宠物经验!$B118*宠物经验!X118))</f>
        <v/>
      </c>
      <c r="Y117" s="7">
        <f>IF(宠物经验!Y118="","",INT(宠物经验!$B118*宠物经验!Y118))</f>
        <v>145000</v>
      </c>
      <c r="Z117" s="7" t="str">
        <f>IF(宠物经验!Z118="","",INT(宠物经验!$B118*宠物经验!Z118))</f>
        <v/>
      </c>
      <c r="AA117" s="7">
        <f>IF(宠物经验!AA118="","",INT(宠物经验!$B118*宠物经验!AA118))</f>
        <v>48343</v>
      </c>
      <c r="AB117" s="7" t="str">
        <f>IF(宠物经验!AB118="","",INT(宠物经验!$B118*宠物经验!AB118))</f>
        <v/>
      </c>
      <c r="AC117" s="7" t="str">
        <f>IF(宠物经验!AC118="","",INT(宠物经验!$B118*宠物经验!AC118))</f>
        <v/>
      </c>
      <c r="AD117" s="7" t="str">
        <f>IF(宠物经验!AD118="","",INT(宠物经验!$B118*宠物经验!AD118))</f>
        <v/>
      </c>
      <c r="AE117" s="7" t="str">
        <f>IF(宠物经验!AE118="","",INT(宠物经验!$B118*宠物经验!AE118))</f>
        <v/>
      </c>
      <c r="AF117" s="7">
        <f>宠物经验!AH118</f>
        <v>732070</v>
      </c>
      <c r="AG117" s="7">
        <f>宠物经验!AO118</f>
        <v>9667</v>
      </c>
    </row>
    <row r="118" spans="1:33">
      <c r="A118" s="32">
        <v>117</v>
      </c>
      <c r="B118" s="87">
        <f>宠物经验!B119</f>
        <v>585000</v>
      </c>
      <c r="C118" s="7">
        <f>IF(宠物经验!C119="","",INT(宠物经验!$B119*宠物经验!C119))</f>
        <v>584941</v>
      </c>
      <c r="D118" s="7">
        <f>IF(宠物经验!D119="","",INT(宠物经验!$B119*宠物经验!D119))</f>
        <v>643500</v>
      </c>
      <c r="E118" s="7" t="str">
        <f>IF(宠物经验!E119="","",INT(宠物经验!$B119*宠物经验!E119))</f>
        <v/>
      </c>
      <c r="F118" s="7">
        <f>IF(宠物经验!F119="","",INT(宠物经验!$B119*宠物经验!F119))</f>
        <v>877500</v>
      </c>
      <c r="G118" s="7">
        <f>IF(宠物经验!G119="","",INT(宠物经验!$B119*宠物经验!G119))</f>
        <v>389961</v>
      </c>
      <c r="H118" s="7" t="str">
        <f>IF(宠物经验!H119="","",INT(宠物经验!$B119*宠物经验!H119))</f>
        <v/>
      </c>
      <c r="I118" s="7" t="str">
        <f>IF(宠物经验!I119="","",INT(宠物经验!$B119*宠物经验!I119))</f>
        <v/>
      </c>
      <c r="J118" s="7" t="str">
        <f>IF(宠物经验!J119="","",INT(宠物经验!$B119*宠物经验!J119))</f>
        <v/>
      </c>
      <c r="K118" s="7">
        <f>IF(宠物经验!K119="","",INT(宠物经验!$B119*宠物经验!K119))</f>
        <v>585000</v>
      </c>
      <c r="L118" s="7" t="str">
        <f>IF(宠物经验!L119="","",INT(宠物经验!$B119*宠物经验!L119))</f>
        <v/>
      </c>
      <c r="M118" s="7" t="str">
        <f>IF(宠物经验!M119="","",INT(宠物经验!$B119*宠物经验!M119))</f>
        <v/>
      </c>
      <c r="N118" s="7">
        <f>IF(宠物经验!N119="","",INT(宠物经验!$B119*宠物经验!N119))</f>
        <v>7020000</v>
      </c>
      <c r="O118" s="7" t="str">
        <f>IF(宠物经验!O119="","",INT(宠物经验!$B119*宠物经验!O119))</f>
        <v/>
      </c>
      <c r="P118" s="7" t="str">
        <f>IF(宠物经验!P119="","",INT(宠物经验!$B119*宠物经验!P119))</f>
        <v/>
      </c>
      <c r="Q118" s="7">
        <f>IF(宠物经验!Q119="","",INT(宠物经验!$B119*宠物经验!Q119))</f>
        <v>3042000</v>
      </c>
      <c r="R118" s="7" t="str">
        <f>IF(宠物经验!R119="","",INT(宠物经验!$B119*宠物经验!R119))</f>
        <v/>
      </c>
      <c r="S118" s="7">
        <f>IF(宠物经验!S119="","",INT(宠物经验!$B119*宠物经验!S119))</f>
        <v>292470</v>
      </c>
      <c r="T118" s="7">
        <f>IF(宠物经验!T119="","",INT(宠物经验!$B119*宠物经验!T119))</f>
        <v>0</v>
      </c>
      <c r="U118" s="7">
        <f>IF(宠物经验!U119="","",INT(宠物经验!$B119*宠物经验!U119))</f>
        <v>292470</v>
      </c>
      <c r="V118" s="7">
        <f>IF(宠物经验!V119="","",INT(宠物经验!$B119*宠物经验!V119))</f>
        <v>195039</v>
      </c>
      <c r="W118" s="7" t="str">
        <f>IF(宠物经验!W119="","",INT(宠物经验!$B119*宠物经验!W119))</f>
        <v/>
      </c>
      <c r="X118" s="7" t="str">
        <f>IF(宠物经验!X119="","",INT(宠物经验!$B119*宠物经验!X119))</f>
        <v/>
      </c>
      <c r="Y118" s="7">
        <f>IF(宠物经验!Y119="","",INT(宠物经验!$B119*宠物经验!Y119))</f>
        <v>146250</v>
      </c>
      <c r="Z118" s="7" t="str">
        <f>IF(宠物经验!Z119="","",INT(宠物经验!$B119*宠物经验!Z119))</f>
        <v/>
      </c>
      <c r="AA118" s="7">
        <f>IF(宠物经验!AA119="","",INT(宠物经验!$B119*宠物经验!AA119))</f>
        <v>48759</v>
      </c>
      <c r="AB118" s="7" t="str">
        <f>IF(宠物经验!AB119="","",INT(宠物经验!$B119*宠物经验!AB119))</f>
        <v/>
      </c>
      <c r="AC118" s="7" t="str">
        <f>IF(宠物经验!AC119="","",INT(宠物经验!$B119*宠物经验!AC119))</f>
        <v/>
      </c>
      <c r="AD118" s="7" t="str">
        <f>IF(宠物经验!AD119="","",INT(宠物经验!$B119*宠物经验!AD119))</f>
        <v/>
      </c>
      <c r="AE118" s="7" t="str">
        <f>IF(宠物经验!AE119="","",INT(宠物经验!$B119*宠物经验!AE119))</f>
        <v/>
      </c>
      <c r="AF118" s="7">
        <f>宠物经验!AH119</f>
        <v>744220</v>
      </c>
      <c r="AG118" s="7">
        <f>宠物经验!AO119</f>
        <v>9750</v>
      </c>
    </row>
    <row r="119" spans="1:33">
      <c r="A119" s="32">
        <v>118</v>
      </c>
      <c r="B119" s="87">
        <f>宠物经验!B120</f>
        <v>590000</v>
      </c>
      <c r="C119" s="7">
        <f>IF(宠物经验!C120="","",INT(宠物经验!$B120*宠物经验!C120))</f>
        <v>589941</v>
      </c>
      <c r="D119" s="7">
        <f>IF(宠物经验!D120="","",INT(宠物经验!$B120*宠物经验!D120))</f>
        <v>649000</v>
      </c>
      <c r="E119" s="7" t="str">
        <f>IF(宠物经验!E120="","",INT(宠物经验!$B120*宠物经验!E120))</f>
        <v/>
      </c>
      <c r="F119" s="7">
        <f>IF(宠物经验!F120="","",INT(宠物经验!$B120*宠物经验!F120))</f>
        <v>885000</v>
      </c>
      <c r="G119" s="7">
        <f>IF(宠物经验!G120="","",INT(宠物经验!$B120*宠物经验!G120))</f>
        <v>393294</v>
      </c>
      <c r="H119" s="7" t="str">
        <f>IF(宠物经验!H120="","",INT(宠物经验!$B120*宠物经验!H120))</f>
        <v/>
      </c>
      <c r="I119" s="7" t="str">
        <f>IF(宠物经验!I120="","",INT(宠物经验!$B120*宠物经验!I120))</f>
        <v/>
      </c>
      <c r="J119" s="7" t="str">
        <f>IF(宠物经验!J120="","",INT(宠物经验!$B120*宠物经验!J120))</f>
        <v/>
      </c>
      <c r="K119" s="7">
        <f>IF(宠物经验!K120="","",INT(宠物经验!$B120*宠物经验!K120))</f>
        <v>590000</v>
      </c>
      <c r="L119" s="7" t="str">
        <f>IF(宠物经验!L120="","",INT(宠物经验!$B120*宠物经验!L120))</f>
        <v/>
      </c>
      <c r="M119" s="7" t="str">
        <f>IF(宠物经验!M120="","",INT(宠物经验!$B120*宠物经验!M120))</f>
        <v/>
      </c>
      <c r="N119" s="7">
        <f>IF(宠物经验!N120="","",INT(宠物经验!$B120*宠物经验!N120))</f>
        <v>7080000</v>
      </c>
      <c r="O119" s="7" t="str">
        <f>IF(宠物经验!O120="","",INT(宠物经验!$B120*宠物经验!O120))</f>
        <v/>
      </c>
      <c r="P119" s="7" t="str">
        <f>IF(宠物经验!P120="","",INT(宠物经验!$B120*宠物经验!P120))</f>
        <v/>
      </c>
      <c r="Q119" s="7">
        <f>IF(宠物经验!Q120="","",INT(宠物经验!$B120*宠物经验!Q120))</f>
        <v>3068000</v>
      </c>
      <c r="R119" s="7" t="str">
        <f>IF(宠物经验!R120="","",INT(宠物经验!$B120*宠物经验!R120))</f>
        <v/>
      </c>
      <c r="S119" s="7">
        <f>IF(宠物经验!S120="","",INT(宠物经验!$B120*宠物经验!S120))</f>
        <v>294970</v>
      </c>
      <c r="T119" s="7">
        <f>IF(宠物经验!T120="","",INT(宠物经验!$B120*宠物经验!T120))</f>
        <v>0</v>
      </c>
      <c r="U119" s="7">
        <f>IF(宠物经验!U120="","",INT(宠物经验!$B120*宠物经验!U120))</f>
        <v>294970</v>
      </c>
      <c r="V119" s="7">
        <f>IF(宠物经验!V120="","",INT(宠物经验!$B120*宠物经验!V120))</f>
        <v>196706</v>
      </c>
      <c r="W119" s="7" t="str">
        <f>IF(宠物经验!W120="","",INT(宠物经验!$B120*宠物经验!W120))</f>
        <v/>
      </c>
      <c r="X119" s="7" t="str">
        <f>IF(宠物经验!X120="","",INT(宠物经验!$B120*宠物经验!X120))</f>
        <v/>
      </c>
      <c r="Y119" s="7">
        <f>IF(宠物经验!Y120="","",INT(宠物经验!$B120*宠物经验!Y120))</f>
        <v>147500</v>
      </c>
      <c r="Z119" s="7" t="str">
        <f>IF(宠物经验!Z120="","",INT(宠物经验!$B120*宠物经验!Z120))</f>
        <v/>
      </c>
      <c r="AA119" s="7">
        <f>IF(宠物经验!AA120="","",INT(宠物经验!$B120*宠物经验!AA120))</f>
        <v>49176</v>
      </c>
      <c r="AB119" s="7" t="str">
        <f>IF(宠物经验!AB120="","",INT(宠物经验!$B120*宠物经验!AB120))</f>
        <v/>
      </c>
      <c r="AC119" s="7" t="str">
        <f>IF(宠物经验!AC120="","",INT(宠物经验!$B120*宠物经验!AC120))</f>
        <v/>
      </c>
      <c r="AD119" s="7" t="str">
        <f>IF(宠物经验!AD120="","",INT(宠物经验!$B120*宠物经验!AD120))</f>
        <v/>
      </c>
      <c r="AE119" s="7" t="str">
        <f>IF(宠物经验!AE120="","",INT(宠物经验!$B120*宠物经验!AE120))</f>
        <v/>
      </c>
      <c r="AF119" s="7">
        <f>宠物经验!AH120</f>
        <v>756470</v>
      </c>
      <c r="AG119" s="7">
        <f>宠物经验!AO120</f>
        <v>9833</v>
      </c>
    </row>
    <row r="120" spans="1:33">
      <c r="A120" s="32">
        <v>119</v>
      </c>
      <c r="B120" s="87">
        <f>宠物经验!B121</f>
        <v>595000</v>
      </c>
      <c r="C120" s="7">
        <f>IF(宠物经验!C121="","",INT(宠物经验!$B121*宠物经验!C121))</f>
        <v>594940</v>
      </c>
      <c r="D120" s="7">
        <f>IF(宠物经验!D121="","",INT(宠物经验!$B121*宠物经验!D121))</f>
        <v>654500</v>
      </c>
      <c r="E120" s="7" t="str">
        <f>IF(宠物经验!E121="","",INT(宠物经验!$B121*宠物经验!E121))</f>
        <v/>
      </c>
      <c r="F120" s="7">
        <f>IF(宠物经验!F121="","",INT(宠物经验!$B121*宠物经验!F121))</f>
        <v>892500</v>
      </c>
      <c r="G120" s="7">
        <f>IF(宠物经验!G121="","",INT(宠物经验!$B121*宠物经验!G121))</f>
        <v>396627</v>
      </c>
      <c r="H120" s="7" t="str">
        <f>IF(宠物经验!H121="","",INT(宠物经验!$B121*宠物经验!H121))</f>
        <v/>
      </c>
      <c r="I120" s="7" t="str">
        <f>IF(宠物经验!I121="","",INT(宠物经验!$B121*宠物经验!I121))</f>
        <v/>
      </c>
      <c r="J120" s="7" t="str">
        <f>IF(宠物经验!J121="","",INT(宠物经验!$B121*宠物经验!J121))</f>
        <v/>
      </c>
      <c r="K120" s="7">
        <f>IF(宠物经验!K121="","",INT(宠物经验!$B121*宠物经验!K121))</f>
        <v>595000</v>
      </c>
      <c r="L120" s="7" t="str">
        <f>IF(宠物经验!L121="","",INT(宠物经验!$B121*宠物经验!L121))</f>
        <v/>
      </c>
      <c r="M120" s="7" t="str">
        <f>IF(宠物经验!M121="","",INT(宠物经验!$B121*宠物经验!M121))</f>
        <v/>
      </c>
      <c r="N120" s="7">
        <f>IF(宠物经验!N121="","",INT(宠物经验!$B121*宠物经验!N121))</f>
        <v>7140000</v>
      </c>
      <c r="O120" s="7" t="str">
        <f>IF(宠物经验!O121="","",INT(宠物经验!$B121*宠物经验!O121))</f>
        <v/>
      </c>
      <c r="P120" s="7" t="str">
        <f>IF(宠物经验!P121="","",INT(宠物经验!$B121*宠物经验!P121))</f>
        <v/>
      </c>
      <c r="Q120" s="7">
        <f>IF(宠物经验!Q121="","",INT(宠物经验!$B121*宠物经验!Q121))</f>
        <v>3094000</v>
      </c>
      <c r="R120" s="7" t="str">
        <f>IF(宠物经验!R121="","",INT(宠物经验!$B121*宠物经验!R121))</f>
        <v/>
      </c>
      <c r="S120" s="7">
        <f>IF(宠物经验!S121="","",INT(宠物经验!$B121*宠物经验!S121))</f>
        <v>297470</v>
      </c>
      <c r="T120" s="7">
        <f>IF(宠物经验!T121="","",INT(宠物经验!$B121*宠物经验!T121))</f>
        <v>0</v>
      </c>
      <c r="U120" s="7">
        <f>IF(宠物经验!U121="","",INT(宠物经验!$B121*宠物经验!U121))</f>
        <v>297470</v>
      </c>
      <c r="V120" s="7">
        <f>IF(宠物经验!V121="","",INT(宠物经验!$B121*宠物经验!V121))</f>
        <v>198373</v>
      </c>
      <c r="W120" s="7" t="str">
        <f>IF(宠物经验!W121="","",INT(宠物经验!$B121*宠物经验!W121))</f>
        <v/>
      </c>
      <c r="X120" s="7" t="str">
        <f>IF(宠物经验!X121="","",INT(宠物经验!$B121*宠物经验!X121))</f>
        <v/>
      </c>
      <c r="Y120" s="7">
        <f>IF(宠物经验!Y121="","",INT(宠物经验!$B121*宠物经验!Y121))</f>
        <v>148750</v>
      </c>
      <c r="Z120" s="7" t="str">
        <f>IF(宠物经验!Z121="","",INT(宠物经验!$B121*宠物经验!Z121))</f>
        <v/>
      </c>
      <c r="AA120" s="7">
        <f>IF(宠物经验!AA121="","",INT(宠物经验!$B121*宠物经验!AA121))</f>
        <v>49593</v>
      </c>
      <c r="AB120" s="7" t="str">
        <f>IF(宠物经验!AB121="","",INT(宠物经验!$B121*宠物经验!AB121))</f>
        <v/>
      </c>
      <c r="AC120" s="7" t="str">
        <f>IF(宠物经验!AC121="","",INT(宠物经验!$B121*宠物经验!AC121))</f>
        <v/>
      </c>
      <c r="AD120" s="7" t="str">
        <f>IF(宠物经验!AD121="","",INT(宠物经验!$B121*宠物经验!AD121))</f>
        <v/>
      </c>
      <c r="AE120" s="7" t="str">
        <f>IF(宠物经验!AE121="","",INT(宠物经验!$B121*宠物经验!AE121))</f>
        <v/>
      </c>
      <c r="AF120" s="7">
        <f>宠物经验!AH121</f>
        <v>768820</v>
      </c>
      <c r="AG120" s="7">
        <f>宠物经验!AO121</f>
        <v>9917</v>
      </c>
    </row>
    <row r="121" spans="1:33">
      <c r="A121" s="32">
        <v>120</v>
      </c>
      <c r="B121" s="87">
        <f>宠物经验!B122</f>
        <v>600000</v>
      </c>
      <c r="C121" s="7">
        <f>IF(宠物经验!C122="","",INT(宠物经验!$B122*宠物经验!C122))</f>
        <v>599940</v>
      </c>
      <c r="D121" s="7">
        <f>IF(宠物经验!D122="","",INT(宠物经验!$B122*宠物经验!D122))</f>
        <v>660000</v>
      </c>
      <c r="E121" s="7" t="str">
        <f>IF(宠物经验!E122="","",INT(宠物经验!$B122*宠物经验!E122))</f>
        <v/>
      </c>
      <c r="F121" s="7">
        <f>IF(宠物经验!F122="","",INT(宠物经验!$B122*宠物经验!F122))</f>
        <v>900000</v>
      </c>
      <c r="G121" s="7">
        <f>IF(宠物经验!G122="","",INT(宠物经验!$B122*宠物经验!G122))</f>
        <v>399960</v>
      </c>
      <c r="H121" s="7" t="str">
        <f>IF(宠物经验!H122="","",INT(宠物经验!$B122*宠物经验!H122))</f>
        <v/>
      </c>
      <c r="I121" s="7" t="str">
        <f>IF(宠物经验!I122="","",INT(宠物经验!$B122*宠物经验!I122))</f>
        <v/>
      </c>
      <c r="J121" s="7" t="str">
        <f>IF(宠物经验!J122="","",INT(宠物经验!$B122*宠物经验!J122))</f>
        <v/>
      </c>
      <c r="K121" s="7">
        <f>IF(宠物经验!K122="","",INT(宠物经验!$B122*宠物经验!K122))</f>
        <v>600000</v>
      </c>
      <c r="L121" s="7" t="str">
        <f>IF(宠物经验!L122="","",INT(宠物经验!$B122*宠物经验!L122))</f>
        <v/>
      </c>
      <c r="M121" s="7" t="str">
        <f>IF(宠物经验!M122="","",INT(宠物经验!$B122*宠物经验!M122))</f>
        <v/>
      </c>
      <c r="N121" s="7">
        <f>IF(宠物经验!N122="","",INT(宠物经验!$B122*宠物经验!N122))</f>
        <v>7200000</v>
      </c>
      <c r="O121" s="7" t="str">
        <f>IF(宠物经验!O122="","",INT(宠物经验!$B122*宠物经验!O122))</f>
        <v/>
      </c>
      <c r="P121" s="7" t="str">
        <f>IF(宠物经验!P122="","",INT(宠物经验!$B122*宠物经验!P122))</f>
        <v/>
      </c>
      <c r="Q121" s="7">
        <f>IF(宠物经验!Q122="","",INT(宠物经验!$B122*宠物经验!Q122))</f>
        <v>3120000</v>
      </c>
      <c r="R121" s="7" t="str">
        <f>IF(宠物经验!R122="","",INT(宠物经验!$B122*宠物经验!R122))</f>
        <v/>
      </c>
      <c r="S121" s="7">
        <f>IF(宠物经验!S122="","",INT(宠物经验!$B122*宠物经验!S122))</f>
        <v>299970</v>
      </c>
      <c r="T121" s="7">
        <f>IF(宠物经验!T122="","",INT(宠物经验!$B122*宠物经验!T122))</f>
        <v>0</v>
      </c>
      <c r="U121" s="7">
        <f>IF(宠物经验!U122="","",INT(宠物经验!$B122*宠物经验!U122))</f>
        <v>299970</v>
      </c>
      <c r="V121" s="7">
        <f>IF(宠物经验!V122="","",INT(宠物经验!$B122*宠物经验!V122))</f>
        <v>200040</v>
      </c>
      <c r="W121" s="7" t="str">
        <f>IF(宠物经验!W122="","",INT(宠物经验!$B122*宠物经验!W122))</f>
        <v/>
      </c>
      <c r="X121" s="7" t="str">
        <f>IF(宠物经验!X122="","",INT(宠物经验!$B122*宠物经验!X122))</f>
        <v/>
      </c>
      <c r="Y121" s="7">
        <f>IF(宠物经验!Y122="","",INT(宠物经验!$B122*宠物经验!Y122))</f>
        <v>150000</v>
      </c>
      <c r="Z121" s="7" t="str">
        <f>IF(宠物经验!Z122="","",INT(宠物经验!$B122*宠物经验!Z122))</f>
        <v/>
      </c>
      <c r="AA121" s="7">
        <f>IF(宠物经验!AA122="","",INT(宠物经验!$B122*宠物经验!AA122))</f>
        <v>50010</v>
      </c>
      <c r="AB121" s="7" t="str">
        <f>IF(宠物经验!AB122="","",INT(宠物经验!$B122*宠物经验!AB122))</f>
        <v/>
      </c>
      <c r="AC121" s="7" t="str">
        <f>IF(宠物经验!AC122="","",INT(宠物经验!$B122*宠物经验!AC122))</f>
        <v/>
      </c>
      <c r="AD121" s="7" t="str">
        <f>IF(宠物经验!AD122="","",INT(宠物经验!$B122*宠物经验!AD122))</f>
        <v/>
      </c>
      <c r="AE121" s="7" t="str">
        <f>IF(宠物经验!AE122="","",INT(宠物经验!$B122*宠物经验!AE122))</f>
        <v/>
      </c>
      <c r="AF121" s="7">
        <f>宠物经验!AH122</f>
        <v>781270</v>
      </c>
      <c r="AG121" s="7">
        <f>宠物经验!AO122</f>
        <v>10000</v>
      </c>
    </row>
    <row r="122" spans="1:33">
      <c r="A122" s="32">
        <v>121</v>
      </c>
      <c r="B122" s="87">
        <f>宠物经验!B123</f>
        <v>605000</v>
      </c>
      <c r="C122" s="7">
        <f>IF(宠物经验!C123="","",INT(宠物经验!$B123*宠物经验!C123))</f>
        <v>604939</v>
      </c>
      <c r="D122" s="7">
        <f>IF(宠物经验!D123="","",INT(宠物经验!$B123*宠物经验!D123))</f>
        <v>665500</v>
      </c>
      <c r="E122" s="7" t="str">
        <f>IF(宠物经验!E123="","",INT(宠物经验!$B123*宠物经验!E123))</f>
        <v/>
      </c>
      <c r="F122" s="7">
        <f>IF(宠物经验!F123="","",INT(宠物经验!$B123*宠物经验!F123))</f>
        <v>907500</v>
      </c>
      <c r="G122" s="7">
        <f>IF(宠物经验!G123="","",INT(宠物经验!$B123*宠物经验!G123))</f>
        <v>403293</v>
      </c>
      <c r="H122" s="7" t="str">
        <f>IF(宠物经验!H123="","",INT(宠物经验!$B123*宠物经验!H123))</f>
        <v/>
      </c>
      <c r="I122" s="7" t="str">
        <f>IF(宠物经验!I123="","",INT(宠物经验!$B123*宠物经验!I123))</f>
        <v/>
      </c>
      <c r="J122" s="7" t="str">
        <f>IF(宠物经验!J123="","",INT(宠物经验!$B123*宠物经验!J123))</f>
        <v/>
      </c>
      <c r="K122" s="7">
        <f>IF(宠物经验!K123="","",INT(宠物经验!$B123*宠物经验!K123))</f>
        <v>605000</v>
      </c>
      <c r="L122" s="7" t="str">
        <f>IF(宠物经验!L123="","",INT(宠物经验!$B123*宠物经验!L123))</f>
        <v/>
      </c>
      <c r="M122" s="7" t="str">
        <f>IF(宠物经验!M123="","",INT(宠物经验!$B123*宠物经验!M123))</f>
        <v/>
      </c>
      <c r="N122" s="7">
        <f>IF(宠物经验!N123="","",INT(宠物经验!$B123*宠物经验!N123))</f>
        <v>7260000</v>
      </c>
      <c r="O122" s="7" t="str">
        <f>IF(宠物经验!O123="","",INT(宠物经验!$B123*宠物经验!O123))</f>
        <v/>
      </c>
      <c r="P122" s="7" t="str">
        <f>IF(宠物经验!P123="","",INT(宠物经验!$B123*宠物经验!P123))</f>
        <v/>
      </c>
      <c r="Q122" s="7">
        <f>IF(宠物经验!Q123="","",INT(宠物经验!$B123*宠物经验!Q123))</f>
        <v>3146000</v>
      </c>
      <c r="R122" s="7" t="str">
        <f>IF(宠物经验!R123="","",INT(宠物经验!$B123*宠物经验!R123))</f>
        <v/>
      </c>
      <c r="S122" s="7">
        <f>IF(宠物经验!S123="","",INT(宠物经验!$B123*宠物经验!S123))</f>
        <v>302469</v>
      </c>
      <c r="T122" s="7">
        <f>IF(宠物经验!T123="","",INT(宠物经验!$B123*宠物经验!T123))</f>
        <v>0</v>
      </c>
      <c r="U122" s="7">
        <f>IF(宠物经验!U123="","",INT(宠物经验!$B123*宠物经验!U123))</f>
        <v>302469</v>
      </c>
      <c r="V122" s="7">
        <f>IF(宠物经验!V123="","",INT(宠物经验!$B123*宠物经验!V123))</f>
        <v>201707</v>
      </c>
      <c r="W122" s="7" t="str">
        <f>IF(宠物经验!W123="","",INT(宠物经验!$B123*宠物经验!W123))</f>
        <v/>
      </c>
      <c r="X122" s="7" t="str">
        <f>IF(宠物经验!X123="","",INT(宠物经验!$B123*宠物经验!X123))</f>
        <v/>
      </c>
      <c r="Y122" s="7">
        <f>IF(宠物经验!Y123="","",INT(宠物经验!$B123*宠物经验!Y123))</f>
        <v>151250</v>
      </c>
      <c r="Z122" s="7" t="str">
        <f>IF(宠物经验!Z123="","",INT(宠物经验!$B123*宠物经验!Z123))</f>
        <v/>
      </c>
      <c r="AA122" s="7">
        <f>IF(宠物经验!AA123="","",INT(宠物经验!$B123*宠物经验!AA123))</f>
        <v>50426</v>
      </c>
      <c r="AB122" s="7" t="str">
        <f>IF(宠物经验!AB123="","",INT(宠物经验!$B123*宠物经验!AB123))</f>
        <v/>
      </c>
      <c r="AC122" s="7" t="str">
        <f>IF(宠物经验!AC123="","",INT(宠物经验!$B123*宠物经验!AC123))</f>
        <v/>
      </c>
      <c r="AD122" s="7" t="str">
        <f>IF(宠物经验!AD123="","",INT(宠物经验!$B123*宠物经验!AD123))</f>
        <v/>
      </c>
      <c r="AE122" s="7" t="str">
        <f>IF(宠物经验!AE123="","",INT(宠物经验!$B123*宠物经验!AE123))</f>
        <v/>
      </c>
      <c r="AF122" s="7">
        <f>宠物经验!AH123</f>
        <v>793820</v>
      </c>
      <c r="AG122" s="7">
        <f>宠物经验!AO123</f>
        <v>10083</v>
      </c>
    </row>
    <row r="123" spans="1:33">
      <c r="A123" s="32">
        <v>122</v>
      </c>
      <c r="B123" s="87">
        <f>宠物经验!B124</f>
        <v>610000</v>
      </c>
      <c r="C123" s="7">
        <f>IF(宠物经验!C124="","",INT(宠物经验!$B124*宠物经验!C124))</f>
        <v>609939</v>
      </c>
      <c r="D123" s="7">
        <f>IF(宠物经验!D124="","",INT(宠物经验!$B124*宠物经验!D124))</f>
        <v>671000</v>
      </c>
      <c r="E123" s="7" t="str">
        <f>IF(宠物经验!E124="","",INT(宠物经验!$B124*宠物经验!E124))</f>
        <v/>
      </c>
      <c r="F123" s="7">
        <f>IF(宠物经验!F124="","",INT(宠物经验!$B124*宠物经验!F124))</f>
        <v>915000</v>
      </c>
      <c r="G123" s="7">
        <f>IF(宠物经验!G124="","",INT(宠物经验!$B124*宠物经验!G124))</f>
        <v>406626</v>
      </c>
      <c r="H123" s="7" t="str">
        <f>IF(宠物经验!H124="","",INT(宠物经验!$B124*宠物经验!H124))</f>
        <v/>
      </c>
      <c r="I123" s="7" t="str">
        <f>IF(宠物经验!I124="","",INT(宠物经验!$B124*宠物经验!I124))</f>
        <v/>
      </c>
      <c r="J123" s="7" t="str">
        <f>IF(宠物经验!J124="","",INT(宠物经验!$B124*宠物经验!J124))</f>
        <v/>
      </c>
      <c r="K123" s="7">
        <f>IF(宠物经验!K124="","",INT(宠物经验!$B124*宠物经验!K124))</f>
        <v>610000</v>
      </c>
      <c r="L123" s="7" t="str">
        <f>IF(宠物经验!L124="","",INT(宠物经验!$B124*宠物经验!L124))</f>
        <v/>
      </c>
      <c r="M123" s="7" t="str">
        <f>IF(宠物经验!M124="","",INT(宠物经验!$B124*宠物经验!M124))</f>
        <v/>
      </c>
      <c r="N123" s="7">
        <f>IF(宠物经验!N124="","",INT(宠物经验!$B124*宠物经验!N124))</f>
        <v>7320000</v>
      </c>
      <c r="O123" s="7" t="str">
        <f>IF(宠物经验!O124="","",INT(宠物经验!$B124*宠物经验!O124))</f>
        <v/>
      </c>
      <c r="P123" s="7" t="str">
        <f>IF(宠物经验!P124="","",INT(宠物经验!$B124*宠物经验!P124))</f>
        <v/>
      </c>
      <c r="Q123" s="7">
        <f>IF(宠物经验!Q124="","",INT(宠物经验!$B124*宠物经验!Q124))</f>
        <v>3172000</v>
      </c>
      <c r="R123" s="7" t="str">
        <f>IF(宠物经验!R124="","",INT(宠物经验!$B124*宠物经验!R124))</f>
        <v/>
      </c>
      <c r="S123" s="7">
        <f>IF(宠物经验!S124="","",INT(宠物经验!$B124*宠物经验!S124))</f>
        <v>304969</v>
      </c>
      <c r="T123" s="7">
        <f>IF(宠物经验!T124="","",INT(宠物经验!$B124*宠物经验!T124))</f>
        <v>0</v>
      </c>
      <c r="U123" s="7">
        <f>IF(宠物经验!U124="","",INT(宠物经验!$B124*宠物经验!U124))</f>
        <v>304969</v>
      </c>
      <c r="V123" s="7">
        <f>IF(宠物经验!V124="","",INT(宠物经验!$B124*宠物经验!V124))</f>
        <v>203374</v>
      </c>
      <c r="W123" s="7" t="str">
        <f>IF(宠物经验!W124="","",INT(宠物经验!$B124*宠物经验!W124))</f>
        <v/>
      </c>
      <c r="X123" s="7" t="str">
        <f>IF(宠物经验!X124="","",INT(宠物经验!$B124*宠物经验!X124))</f>
        <v/>
      </c>
      <c r="Y123" s="7">
        <f>IF(宠物经验!Y124="","",INT(宠物经验!$B124*宠物经验!Y124))</f>
        <v>152500</v>
      </c>
      <c r="Z123" s="7" t="str">
        <f>IF(宠物经验!Z124="","",INT(宠物经验!$B124*宠物经验!Z124))</f>
        <v/>
      </c>
      <c r="AA123" s="7">
        <f>IF(宠物经验!AA124="","",INT(宠物经验!$B124*宠物经验!AA124))</f>
        <v>50843</v>
      </c>
      <c r="AB123" s="7" t="str">
        <f>IF(宠物经验!AB124="","",INT(宠物经验!$B124*宠物经验!AB124))</f>
        <v/>
      </c>
      <c r="AC123" s="7" t="str">
        <f>IF(宠物经验!AC124="","",INT(宠物经验!$B124*宠物经验!AC124))</f>
        <v/>
      </c>
      <c r="AD123" s="7" t="str">
        <f>IF(宠物经验!AD124="","",INT(宠物经验!$B124*宠物经验!AD124))</f>
        <v/>
      </c>
      <c r="AE123" s="7" t="str">
        <f>IF(宠物经验!AE124="","",INT(宠物经验!$B124*宠物经验!AE124))</f>
        <v/>
      </c>
      <c r="AF123" s="7">
        <f>宠物经验!AH124</f>
        <v>806470</v>
      </c>
      <c r="AG123" s="7">
        <f>宠物经验!AO124</f>
        <v>10167</v>
      </c>
    </row>
    <row r="124" spans="1:33">
      <c r="A124" s="32">
        <v>123</v>
      </c>
      <c r="B124" s="87">
        <f>宠物经验!B125</f>
        <v>615000</v>
      </c>
      <c r="C124" s="7">
        <f>IF(宠物经验!C125="","",INT(宠物经验!$B125*宠物经验!C125))</f>
        <v>614938</v>
      </c>
      <c r="D124" s="7">
        <f>IF(宠物经验!D125="","",INT(宠物经验!$B125*宠物经验!D125))</f>
        <v>676500</v>
      </c>
      <c r="E124" s="7" t="str">
        <f>IF(宠物经验!E125="","",INT(宠物经验!$B125*宠物经验!E125))</f>
        <v/>
      </c>
      <c r="F124" s="7">
        <f>IF(宠物经验!F125="","",INT(宠物经验!$B125*宠物经验!F125))</f>
        <v>922500</v>
      </c>
      <c r="G124" s="7">
        <f>IF(宠物经验!G125="","",INT(宠物经验!$B125*宠物经验!G125))</f>
        <v>409959</v>
      </c>
      <c r="H124" s="7" t="str">
        <f>IF(宠物经验!H125="","",INT(宠物经验!$B125*宠物经验!H125))</f>
        <v/>
      </c>
      <c r="I124" s="7" t="str">
        <f>IF(宠物经验!I125="","",INT(宠物经验!$B125*宠物经验!I125))</f>
        <v/>
      </c>
      <c r="J124" s="7" t="str">
        <f>IF(宠物经验!J125="","",INT(宠物经验!$B125*宠物经验!J125))</f>
        <v/>
      </c>
      <c r="K124" s="7">
        <f>IF(宠物经验!K125="","",INT(宠物经验!$B125*宠物经验!K125))</f>
        <v>615000</v>
      </c>
      <c r="L124" s="7" t="str">
        <f>IF(宠物经验!L125="","",INT(宠物经验!$B125*宠物经验!L125))</f>
        <v/>
      </c>
      <c r="M124" s="7" t="str">
        <f>IF(宠物经验!M125="","",INT(宠物经验!$B125*宠物经验!M125))</f>
        <v/>
      </c>
      <c r="N124" s="7">
        <f>IF(宠物经验!N125="","",INT(宠物经验!$B125*宠物经验!N125))</f>
        <v>7380000</v>
      </c>
      <c r="O124" s="7" t="str">
        <f>IF(宠物经验!O125="","",INT(宠物经验!$B125*宠物经验!O125))</f>
        <v/>
      </c>
      <c r="P124" s="7" t="str">
        <f>IF(宠物经验!P125="","",INT(宠物经验!$B125*宠物经验!P125))</f>
        <v/>
      </c>
      <c r="Q124" s="7">
        <f>IF(宠物经验!Q125="","",INT(宠物经验!$B125*宠物经验!Q125))</f>
        <v>3198000</v>
      </c>
      <c r="R124" s="7" t="str">
        <f>IF(宠物经验!R125="","",INT(宠物经验!$B125*宠物经验!R125))</f>
        <v/>
      </c>
      <c r="S124" s="7">
        <f>IF(宠物经验!S125="","",INT(宠物经验!$B125*宠物经验!S125))</f>
        <v>307469</v>
      </c>
      <c r="T124" s="7">
        <f>IF(宠物经验!T125="","",INT(宠物经验!$B125*宠物经验!T125))</f>
        <v>0</v>
      </c>
      <c r="U124" s="7">
        <f>IF(宠物经验!U125="","",INT(宠物经验!$B125*宠物经验!U125))</f>
        <v>307469</v>
      </c>
      <c r="V124" s="7">
        <f>IF(宠物经验!V125="","",INT(宠物经验!$B125*宠物经验!V125))</f>
        <v>205041</v>
      </c>
      <c r="W124" s="7" t="str">
        <f>IF(宠物经验!W125="","",INT(宠物经验!$B125*宠物经验!W125))</f>
        <v/>
      </c>
      <c r="X124" s="7" t="str">
        <f>IF(宠物经验!X125="","",INT(宠物经验!$B125*宠物经验!X125))</f>
        <v/>
      </c>
      <c r="Y124" s="7">
        <f>IF(宠物经验!Y125="","",INT(宠物经验!$B125*宠物经验!Y125))</f>
        <v>153750</v>
      </c>
      <c r="Z124" s="7" t="str">
        <f>IF(宠物经验!Z125="","",INT(宠物经验!$B125*宠物经验!Z125))</f>
        <v/>
      </c>
      <c r="AA124" s="7">
        <f>IF(宠物经验!AA125="","",INT(宠物经验!$B125*宠物经验!AA125))</f>
        <v>51260</v>
      </c>
      <c r="AB124" s="7" t="str">
        <f>IF(宠物经验!AB125="","",INT(宠物经验!$B125*宠物经验!AB125))</f>
        <v/>
      </c>
      <c r="AC124" s="7" t="str">
        <f>IF(宠物经验!AC125="","",INT(宠物经验!$B125*宠物经验!AC125))</f>
        <v/>
      </c>
      <c r="AD124" s="7" t="str">
        <f>IF(宠物经验!AD125="","",INT(宠物经验!$B125*宠物经验!AD125))</f>
        <v/>
      </c>
      <c r="AE124" s="7" t="str">
        <f>IF(宠物经验!AE125="","",INT(宠物经验!$B125*宠物经验!AE125))</f>
        <v/>
      </c>
      <c r="AF124" s="7">
        <f>宠物经验!AH125</f>
        <v>819220</v>
      </c>
      <c r="AG124" s="7">
        <f>宠物经验!AO125</f>
        <v>10250</v>
      </c>
    </row>
    <row r="125" spans="1:33">
      <c r="A125" s="32">
        <v>124</v>
      </c>
      <c r="B125" s="87">
        <f>宠物经验!B126</f>
        <v>620000</v>
      </c>
      <c r="C125" s="7">
        <f>IF(宠物经验!C126="","",INT(宠物经验!$B126*宠物经验!C126))</f>
        <v>619938</v>
      </c>
      <c r="D125" s="7">
        <f>IF(宠物经验!D126="","",INT(宠物经验!$B126*宠物经验!D126))</f>
        <v>682000</v>
      </c>
      <c r="E125" s="7" t="str">
        <f>IF(宠物经验!E126="","",INT(宠物经验!$B126*宠物经验!E126))</f>
        <v/>
      </c>
      <c r="F125" s="7">
        <f>IF(宠物经验!F126="","",INT(宠物经验!$B126*宠物经验!F126))</f>
        <v>930000</v>
      </c>
      <c r="G125" s="7">
        <f>IF(宠物经验!G126="","",INT(宠物经验!$B126*宠物经验!G126))</f>
        <v>413292</v>
      </c>
      <c r="H125" s="7" t="str">
        <f>IF(宠物经验!H126="","",INT(宠物经验!$B126*宠物经验!H126))</f>
        <v/>
      </c>
      <c r="I125" s="7" t="str">
        <f>IF(宠物经验!I126="","",INT(宠物经验!$B126*宠物经验!I126))</f>
        <v/>
      </c>
      <c r="J125" s="7" t="str">
        <f>IF(宠物经验!J126="","",INT(宠物经验!$B126*宠物经验!J126))</f>
        <v/>
      </c>
      <c r="K125" s="7">
        <f>IF(宠物经验!K126="","",INT(宠物经验!$B126*宠物经验!K126))</f>
        <v>620000</v>
      </c>
      <c r="L125" s="7" t="str">
        <f>IF(宠物经验!L126="","",INT(宠物经验!$B126*宠物经验!L126))</f>
        <v/>
      </c>
      <c r="M125" s="7" t="str">
        <f>IF(宠物经验!M126="","",INT(宠物经验!$B126*宠物经验!M126))</f>
        <v/>
      </c>
      <c r="N125" s="7">
        <f>IF(宠物经验!N126="","",INT(宠物经验!$B126*宠物经验!N126))</f>
        <v>7440000</v>
      </c>
      <c r="O125" s="7" t="str">
        <f>IF(宠物经验!O126="","",INT(宠物经验!$B126*宠物经验!O126))</f>
        <v/>
      </c>
      <c r="P125" s="7" t="str">
        <f>IF(宠物经验!P126="","",INT(宠物经验!$B126*宠物经验!P126))</f>
        <v/>
      </c>
      <c r="Q125" s="7">
        <f>IF(宠物经验!Q126="","",INT(宠物经验!$B126*宠物经验!Q126))</f>
        <v>3224000</v>
      </c>
      <c r="R125" s="7" t="str">
        <f>IF(宠物经验!R126="","",INT(宠物经验!$B126*宠物经验!R126))</f>
        <v/>
      </c>
      <c r="S125" s="7">
        <f>IF(宠物经验!S126="","",INT(宠物经验!$B126*宠物经验!S126))</f>
        <v>309969</v>
      </c>
      <c r="T125" s="7">
        <f>IF(宠物经验!T126="","",INT(宠物经验!$B126*宠物经验!T126))</f>
        <v>0</v>
      </c>
      <c r="U125" s="7">
        <f>IF(宠物经验!U126="","",INT(宠物经验!$B126*宠物经验!U126))</f>
        <v>309969</v>
      </c>
      <c r="V125" s="7">
        <f>IF(宠物经验!V126="","",INT(宠物经验!$B126*宠物经验!V126))</f>
        <v>206708</v>
      </c>
      <c r="W125" s="7" t="str">
        <f>IF(宠物经验!W126="","",INT(宠物经验!$B126*宠物经验!W126))</f>
        <v/>
      </c>
      <c r="X125" s="7" t="str">
        <f>IF(宠物经验!X126="","",INT(宠物经验!$B126*宠物经验!X126))</f>
        <v/>
      </c>
      <c r="Y125" s="7">
        <f>IF(宠物经验!Y126="","",INT(宠物经验!$B126*宠物经验!Y126))</f>
        <v>155000</v>
      </c>
      <c r="Z125" s="7" t="str">
        <f>IF(宠物经验!Z126="","",INT(宠物经验!$B126*宠物经验!Z126))</f>
        <v/>
      </c>
      <c r="AA125" s="7">
        <f>IF(宠物经验!AA126="","",INT(宠物经验!$B126*宠物经验!AA126))</f>
        <v>51677</v>
      </c>
      <c r="AB125" s="7" t="str">
        <f>IF(宠物经验!AB126="","",INT(宠物经验!$B126*宠物经验!AB126))</f>
        <v/>
      </c>
      <c r="AC125" s="7" t="str">
        <f>IF(宠物经验!AC126="","",INT(宠物经验!$B126*宠物经验!AC126))</f>
        <v/>
      </c>
      <c r="AD125" s="7" t="str">
        <f>IF(宠物经验!AD126="","",INT(宠物经验!$B126*宠物经验!AD126))</f>
        <v/>
      </c>
      <c r="AE125" s="7" t="str">
        <f>IF(宠物经验!AE126="","",INT(宠物经验!$B126*宠物经验!AE126))</f>
        <v/>
      </c>
      <c r="AF125" s="7">
        <f>宠物经验!AH126</f>
        <v>832070</v>
      </c>
      <c r="AG125" s="7">
        <f>宠物经验!AO126</f>
        <v>10333</v>
      </c>
    </row>
    <row r="126" spans="1:33">
      <c r="A126" s="32">
        <v>125</v>
      </c>
      <c r="B126" s="87">
        <f>宠物经验!B127</f>
        <v>625000</v>
      </c>
      <c r="C126" s="7">
        <f>IF(宠物经验!C127="","",INT(宠物经验!$B127*宠物经验!C127))</f>
        <v>624937</v>
      </c>
      <c r="D126" s="7">
        <f>IF(宠物经验!D127="","",INT(宠物经验!$B127*宠物经验!D127))</f>
        <v>687500</v>
      </c>
      <c r="E126" s="7" t="str">
        <f>IF(宠物经验!E127="","",INT(宠物经验!$B127*宠物经验!E127))</f>
        <v/>
      </c>
      <c r="F126" s="7">
        <f>IF(宠物经验!F127="","",INT(宠物经验!$B127*宠物经验!F127))</f>
        <v>937500</v>
      </c>
      <c r="G126" s="7">
        <f>IF(宠物经验!G127="","",INT(宠物经验!$B127*宠物经验!G127))</f>
        <v>416625</v>
      </c>
      <c r="H126" s="7" t="str">
        <f>IF(宠物经验!H127="","",INT(宠物经验!$B127*宠物经验!H127))</f>
        <v/>
      </c>
      <c r="I126" s="7" t="str">
        <f>IF(宠物经验!I127="","",INT(宠物经验!$B127*宠物经验!I127))</f>
        <v/>
      </c>
      <c r="J126" s="7" t="str">
        <f>IF(宠物经验!J127="","",INT(宠物经验!$B127*宠物经验!J127))</f>
        <v/>
      </c>
      <c r="K126" s="7">
        <f>IF(宠物经验!K127="","",INT(宠物经验!$B127*宠物经验!K127))</f>
        <v>625000</v>
      </c>
      <c r="L126" s="7" t="str">
        <f>IF(宠物经验!L127="","",INT(宠物经验!$B127*宠物经验!L127))</f>
        <v/>
      </c>
      <c r="M126" s="7" t="str">
        <f>IF(宠物经验!M127="","",INT(宠物经验!$B127*宠物经验!M127))</f>
        <v/>
      </c>
      <c r="N126" s="7">
        <f>IF(宠物经验!N127="","",INT(宠物经验!$B127*宠物经验!N127))</f>
        <v>7500000</v>
      </c>
      <c r="O126" s="7" t="str">
        <f>IF(宠物经验!O127="","",INT(宠物经验!$B127*宠物经验!O127))</f>
        <v/>
      </c>
      <c r="P126" s="7" t="str">
        <f>IF(宠物经验!P127="","",INT(宠物经验!$B127*宠物经验!P127))</f>
        <v/>
      </c>
      <c r="Q126" s="7">
        <f>IF(宠物经验!Q127="","",INT(宠物经验!$B127*宠物经验!Q127))</f>
        <v>3250000</v>
      </c>
      <c r="R126" s="7" t="str">
        <f>IF(宠物经验!R127="","",INT(宠物经验!$B127*宠物经验!R127))</f>
        <v/>
      </c>
      <c r="S126" s="7">
        <f>IF(宠物经验!S127="","",INT(宠物经验!$B127*宠物经验!S127))</f>
        <v>312468</v>
      </c>
      <c r="T126" s="7">
        <f>IF(宠物经验!T127="","",INT(宠物经验!$B127*宠物经验!T127))</f>
        <v>0</v>
      </c>
      <c r="U126" s="7">
        <f>IF(宠物经验!U127="","",INT(宠物经验!$B127*宠物经验!U127))</f>
        <v>312468</v>
      </c>
      <c r="V126" s="7">
        <f>IF(宠物经验!V127="","",INT(宠物经验!$B127*宠物经验!V127))</f>
        <v>208375</v>
      </c>
      <c r="W126" s="7" t="str">
        <f>IF(宠物经验!W127="","",INT(宠物经验!$B127*宠物经验!W127))</f>
        <v/>
      </c>
      <c r="X126" s="7" t="str">
        <f>IF(宠物经验!X127="","",INT(宠物经验!$B127*宠物经验!X127))</f>
        <v/>
      </c>
      <c r="Y126" s="7">
        <f>IF(宠物经验!Y127="","",INT(宠物经验!$B127*宠物经验!Y127))</f>
        <v>156250</v>
      </c>
      <c r="Z126" s="7" t="str">
        <f>IF(宠物经验!Z127="","",INT(宠物经验!$B127*宠物经验!Z127))</f>
        <v/>
      </c>
      <c r="AA126" s="7">
        <f>IF(宠物经验!AA127="","",INT(宠物经验!$B127*宠物经验!AA127))</f>
        <v>52093</v>
      </c>
      <c r="AB126" s="7" t="str">
        <f>IF(宠物经验!AB127="","",INT(宠物经验!$B127*宠物经验!AB127))</f>
        <v/>
      </c>
      <c r="AC126" s="7" t="str">
        <f>IF(宠物经验!AC127="","",INT(宠物经验!$B127*宠物经验!AC127))</f>
        <v/>
      </c>
      <c r="AD126" s="7" t="str">
        <f>IF(宠物经验!AD127="","",INT(宠物经验!$B127*宠物经验!AD127))</f>
        <v/>
      </c>
      <c r="AE126" s="7" t="str">
        <f>IF(宠物经验!AE127="","",INT(宠物经验!$B127*宠物经验!AE127))</f>
        <v/>
      </c>
      <c r="AF126" s="7">
        <f>宠物经验!AH127</f>
        <v>845020</v>
      </c>
      <c r="AG126" s="7">
        <f>宠物经验!AO127</f>
        <v>10417</v>
      </c>
    </row>
    <row r="127" spans="1:33">
      <c r="A127" s="32">
        <v>126</v>
      </c>
      <c r="B127" s="87">
        <f>宠物经验!B128</f>
        <v>630000</v>
      </c>
      <c r="C127" s="7">
        <f>IF(宠物经验!C128="","",INT(宠物经验!$B128*宠物经验!C128))</f>
        <v>629937</v>
      </c>
      <c r="D127" s="7">
        <f>IF(宠物经验!D128="","",INT(宠物经验!$B128*宠物经验!D128))</f>
        <v>693000</v>
      </c>
      <c r="E127" s="7" t="str">
        <f>IF(宠物经验!E128="","",INT(宠物经验!$B128*宠物经验!E128))</f>
        <v/>
      </c>
      <c r="F127" s="7">
        <f>IF(宠物经验!F128="","",INT(宠物经验!$B128*宠物经验!F128))</f>
        <v>945000</v>
      </c>
      <c r="G127" s="7">
        <f>IF(宠物经验!G128="","",INT(宠物经验!$B128*宠物经验!G128))</f>
        <v>419958</v>
      </c>
      <c r="H127" s="7" t="str">
        <f>IF(宠物经验!H128="","",INT(宠物经验!$B128*宠物经验!H128))</f>
        <v/>
      </c>
      <c r="I127" s="7" t="str">
        <f>IF(宠物经验!I128="","",INT(宠物经验!$B128*宠物经验!I128))</f>
        <v/>
      </c>
      <c r="J127" s="7" t="str">
        <f>IF(宠物经验!J128="","",INT(宠物经验!$B128*宠物经验!J128))</f>
        <v/>
      </c>
      <c r="K127" s="7">
        <f>IF(宠物经验!K128="","",INT(宠物经验!$B128*宠物经验!K128))</f>
        <v>630000</v>
      </c>
      <c r="L127" s="7" t="str">
        <f>IF(宠物经验!L128="","",INT(宠物经验!$B128*宠物经验!L128))</f>
        <v/>
      </c>
      <c r="M127" s="7" t="str">
        <f>IF(宠物经验!M128="","",INT(宠物经验!$B128*宠物经验!M128))</f>
        <v/>
      </c>
      <c r="N127" s="7">
        <f>IF(宠物经验!N128="","",INT(宠物经验!$B128*宠物经验!N128))</f>
        <v>7560000</v>
      </c>
      <c r="O127" s="7" t="str">
        <f>IF(宠物经验!O128="","",INT(宠物经验!$B128*宠物经验!O128))</f>
        <v/>
      </c>
      <c r="P127" s="7" t="str">
        <f>IF(宠物经验!P128="","",INT(宠物经验!$B128*宠物经验!P128))</f>
        <v/>
      </c>
      <c r="Q127" s="7">
        <f>IF(宠物经验!Q128="","",INT(宠物经验!$B128*宠物经验!Q128))</f>
        <v>3276000</v>
      </c>
      <c r="R127" s="7" t="str">
        <f>IF(宠物经验!R128="","",INT(宠物经验!$B128*宠物经验!R128))</f>
        <v/>
      </c>
      <c r="S127" s="7">
        <f>IF(宠物经验!S128="","",INT(宠物经验!$B128*宠物经验!S128))</f>
        <v>314968</v>
      </c>
      <c r="T127" s="7">
        <f>IF(宠物经验!T128="","",INT(宠物经验!$B128*宠物经验!T128))</f>
        <v>0</v>
      </c>
      <c r="U127" s="7">
        <f>IF(宠物经验!U128="","",INT(宠物经验!$B128*宠物经验!U128))</f>
        <v>314968</v>
      </c>
      <c r="V127" s="7">
        <f>IF(宠物经验!V128="","",INT(宠物经验!$B128*宠物经验!V128))</f>
        <v>210042</v>
      </c>
      <c r="W127" s="7" t="str">
        <f>IF(宠物经验!W128="","",INT(宠物经验!$B128*宠物经验!W128))</f>
        <v/>
      </c>
      <c r="X127" s="7" t="str">
        <f>IF(宠物经验!X128="","",INT(宠物经验!$B128*宠物经验!X128))</f>
        <v/>
      </c>
      <c r="Y127" s="7">
        <f>IF(宠物经验!Y128="","",INT(宠物经验!$B128*宠物经验!Y128))</f>
        <v>157500</v>
      </c>
      <c r="Z127" s="7" t="str">
        <f>IF(宠物经验!Z128="","",INT(宠物经验!$B128*宠物经验!Z128))</f>
        <v/>
      </c>
      <c r="AA127" s="7">
        <f>IF(宠物经验!AA128="","",INT(宠物经验!$B128*宠物经验!AA128))</f>
        <v>52510</v>
      </c>
      <c r="AB127" s="7" t="str">
        <f>IF(宠物经验!AB128="","",INT(宠物经验!$B128*宠物经验!AB128))</f>
        <v/>
      </c>
      <c r="AC127" s="7" t="str">
        <f>IF(宠物经验!AC128="","",INT(宠物经验!$B128*宠物经验!AC128))</f>
        <v/>
      </c>
      <c r="AD127" s="7" t="str">
        <f>IF(宠物经验!AD128="","",INT(宠物经验!$B128*宠物经验!AD128))</f>
        <v/>
      </c>
      <c r="AE127" s="7" t="str">
        <f>IF(宠物经验!AE128="","",INT(宠物经验!$B128*宠物经验!AE128))</f>
        <v/>
      </c>
      <c r="AF127" s="7">
        <f>宠物经验!AH128</f>
        <v>858070</v>
      </c>
      <c r="AG127" s="7">
        <f>宠物经验!AO128</f>
        <v>10500</v>
      </c>
    </row>
    <row r="128" spans="1:33">
      <c r="A128" s="32">
        <v>127</v>
      </c>
      <c r="B128" s="87">
        <f>宠物经验!B129</f>
        <v>635000</v>
      </c>
      <c r="C128" s="7">
        <f>IF(宠物经验!C129="","",INT(宠物经验!$B129*宠物经验!C129))</f>
        <v>634936</v>
      </c>
      <c r="D128" s="7">
        <f>IF(宠物经验!D129="","",INT(宠物经验!$B129*宠物经验!D129))</f>
        <v>698500</v>
      </c>
      <c r="E128" s="7" t="str">
        <f>IF(宠物经验!E129="","",INT(宠物经验!$B129*宠物经验!E129))</f>
        <v/>
      </c>
      <c r="F128" s="7">
        <f>IF(宠物经验!F129="","",INT(宠物经验!$B129*宠物经验!F129))</f>
        <v>952500</v>
      </c>
      <c r="G128" s="7">
        <f>IF(宠物经验!G129="","",INT(宠物经验!$B129*宠物经验!G129))</f>
        <v>423291</v>
      </c>
      <c r="H128" s="7" t="str">
        <f>IF(宠物经验!H129="","",INT(宠物经验!$B129*宠物经验!H129))</f>
        <v/>
      </c>
      <c r="I128" s="7" t="str">
        <f>IF(宠物经验!I129="","",INT(宠物经验!$B129*宠物经验!I129))</f>
        <v/>
      </c>
      <c r="J128" s="7" t="str">
        <f>IF(宠物经验!J129="","",INT(宠物经验!$B129*宠物经验!J129))</f>
        <v/>
      </c>
      <c r="K128" s="7">
        <f>IF(宠物经验!K129="","",INT(宠物经验!$B129*宠物经验!K129))</f>
        <v>635000</v>
      </c>
      <c r="L128" s="7" t="str">
        <f>IF(宠物经验!L129="","",INT(宠物经验!$B129*宠物经验!L129))</f>
        <v/>
      </c>
      <c r="M128" s="7" t="str">
        <f>IF(宠物经验!M129="","",INT(宠物经验!$B129*宠物经验!M129))</f>
        <v/>
      </c>
      <c r="N128" s="7">
        <f>IF(宠物经验!N129="","",INT(宠物经验!$B129*宠物经验!N129))</f>
        <v>7620000</v>
      </c>
      <c r="O128" s="7" t="str">
        <f>IF(宠物经验!O129="","",INT(宠物经验!$B129*宠物经验!O129))</f>
        <v/>
      </c>
      <c r="P128" s="7" t="str">
        <f>IF(宠物经验!P129="","",INT(宠物经验!$B129*宠物经验!P129))</f>
        <v/>
      </c>
      <c r="Q128" s="7">
        <f>IF(宠物经验!Q129="","",INT(宠物经验!$B129*宠物经验!Q129))</f>
        <v>3302000</v>
      </c>
      <c r="R128" s="7" t="str">
        <f>IF(宠物经验!R129="","",INT(宠物经验!$B129*宠物经验!R129))</f>
        <v/>
      </c>
      <c r="S128" s="7">
        <f>IF(宠物经验!S129="","",INT(宠物经验!$B129*宠物经验!S129))</f>
        <v>317468</v>
      </c>
      <c r="T128" s="7">
        <f>IF(宠物经验!T129="","",INT(宠物经验!$B129*宠物经验!T129))</f>
        <v>0</v>
      </c>
      <c r="U128" s="7">
        <f>IF(宠物经验!U129="","",INT(宠物经验!$B129*宠物经验!U129))</f>
        <v>317468</v>
      </c>
      <c r="V128" s="7">
        <f>IF(宠物经验!V129="","",INT(宠物经验!$B129*宠物经验!V129))</f>
        <v>211709</v>
      </c>
      <c r="W128" s="7" t="str">
        <f>IF(宠物经验!W129="","",INT(宠物经验!$B129*宠物经验!W129))</f>
        <v/>
      </c>
      <c r="X128" s="7" t="str">
        <f>IF(宠物经验!X129="","",INT(宠物经验!$B129*宠物经验!X129))</f>
        <v/>
      </c>
      <c r="Y128" s="7">
        <f>IF(宠物经验!Y129="","",INT(宠物经验!$B129*宠物经验!Y129))</f>
        <v>158750</v>
      </c>
      <c r="Z128" s="7" t="str">
        <f>IF(宠物经验!Z129="","",INT(宠物经验!$B129*宠物经验!Z129))</f>
        <v/>
      </c>
      <c r="AA128" s="7">
        <f>IF(宠物经验!AA129="","",INT(宠物经验!$B129*宠物经验!AA129))</f>
        <v>52927</v>
      </c>
      <c r="AB128" s="7" t="str">
        <f>IF(宠物经验!AB129="","",INT(宠物经验!$B129*宠物经验!AB129))</f>
        <v/>
      </c>
      <c r="AC128" s="7" t="str">
        <f>IF(宠物经验!AC129="","",INT(宠物经验!$B129*宠物经验!AC129))</f>
        <v/>
      </c>
      <c r="AD128" s="7" t="str">
        <f>IF(宠物经验!AD129="","",INT(宠物经验!$B129*宠物经验!AD129))</f>
        <v/>
      </c>
      <c r="AE128" s="7" t="str">
        <f>IF(宠物经验!AE129="","",INT(宠物经验!$B129*宠物经验!AE129))</f>
        <v/>
      </c>
      <c r="AF128" s="7">
        <f>宠物经验!AH129</f>
        <v>871220</v>
      </c>
      <c r="AG128" s="7">
        <f>宠物经验!AO129</f>
        <v>10583</v>
      </c>
    </row>
    <row r="129" spans="1:33">
      <c r="A129" s="32">
        <v>128</v>
      </c>
      <c r="B129" s="87">
        <f>宠物经验!B130</f>
        <v>640000</v>
      </c>
      <c r="C129" s="7">
        <f>IF(宠物经验!C130="","",INT(宠物经验!$B130*宠物经验!C130))</f>
        <v>639936</v>
      </c>
      <c r="D129" s="7">
        <f>IF(宠物经验!D130="","",INT(宠物经验!$B130*宠物经验!D130))</f>
        <v>704000</v>
      </c>
      <c r="E129" s="7" t="str">
        <f>IF(宠物经验!E130="","",INT(宠物经验!$B130*宠物经验!E130))</f>
        <v/>
      </c>
      <c r="F129" s="7">
        <f>IF(宠物经验!F130="","",INT(宠物经验!$B130*宠物经验!F130))</f>
        <v>960000</v>
      </c>
      <c r="G129" s="7">
        <f>IF(宠物经验!G130="","",INT(宠物经验!$B130*宠物经验!G130))</f>
        <v>426624</v>
      </c>
      <c r="H129" s="7" t="str">
        <f>IF(宠物经验!H130="","",INT(宠物经验!$B130*宠物经验!H130))</f>
        <v/>
      </c>
      <c r="I129" s="7" t="str">
        <f>IF(宠物经验!I130="","",INT(宠物经验!$B130*宠物经验!I130))</f>
        <v/>
      </c>
      <c r="J129" s="7" t="str">
        <f>IF(宠物经验!J130="","",INT(宠物经验!$B130*宠物经验!J130))</f>
        <v/>
      </c>
      <c r="K129" s="7">
        <f>IF(宠物经验!K130="","",INT(宠物经验!$B130*宠物经验!K130))</f>
        <v>640000</v>
      </c>
      <c r="L129" s="7" t="str">
        <f>IF(宠物经验!L130="","",INT(宠物经验!$B130*宠物经验!L130))</f>
        <v/>
      </c>
      <c r="M129" s="7" t="str">
        <f>IF(宠物经验!M130="","",INT(宠物经验!$B130*宠物经验!M130))</f>
        <v/>
      </c>
      <c r="N129" s="7">
        <f>IF(宠物经验!N130="","",INT(宠物经验!$B130*宠物经验!N130))</f>
        <v>7680000</v>
      </c>
      <c r="O129" s="7" t="str">
        <f>IF(宠物经验!O130="","",INT(宠物经验!$B130*宠物经验!O130))</f>
        <v/>
      </c>
      <c r="P129" s="7" t="str">
        <f>IF(宠物经验!P130="","",INT(宠物经验!$B130*宠物经验!P130))</f>
        <v/>
      </c>
      <c r="Q129" s="7">
        <f>IF(宠物经验!Q130="","",INT(宠物经验!$B130*宠物经验!Q130))</f>
        <v>3328000</v>
      </c>
      <c r="R129" s="7" t="str">
        <f>IF(宠物经验!R130="","",INT(宠物经验!$B130*宠物经验!R130))</f>
        <v/>
      </c>
      <c r="S129" s="7">
        <f>IF(宠物经验!S130="","",INT(宠物经验!$B130*宠物经验!S130))</f>
        <v>319968</v>
      </c>
      <c r="T129" s="7">
        <f>IF(宠物经验!T130="","",INT(宠物经验!$B130*宠物经验!T130))</f>
        <v>0</v>
      </c>
      <c r="U129" s="7">
        <f>IF(宠物经验!U130="","",INT(宠物经验!$B130*宠物经验!U130))</f>
        <v>319968</v>
      </c>
      <c r="V129" s="7">
        <f>IF(宠物经验!V130="","",INT(宠物经验!$B130*宠物经验!V130))</f>
        <v>213376</v>
      </c>
      <c r="W129" s="7" t="str">
        <f>IF(宠物经验!W130="","",INT(宠物经验!$B130*宠物经验!W130))</f>
        <v/>
      </c>
      <c r="X129" s="7" t="str">
        <f>IF(宠物经验!X130="","",INT(宠物经验!$B130*宠物经验!X130))</f>
        <v/>
      </c>
      <c r="Y129" s="7">
        <f>IF(宠物经验!Y130="","",INT(宠物经验!$B130*宠物经验!Y130))</f>
        <v>160000</v>
      </c>
      <c r="Z129" s="7" t="str">
        <f>IF(宠物经验!Z130="","",INT(宠物经验!$B130*宠物经验!Z130))</f>
        <v/>
      </c>
      <c r="AA129" s="7">
        <f>IF(宠物经验!AA130="","",INT(宠物经验!$B130*宠物经验!AA130))</f>
        <v>53344</v>
      </c>
      <c r="AB129" s="7" t="str">
        <f>IF(宠物经验!AB130="","",INT(宠物经验!$B130*宠物经验!AB130))</f>
        <v/>
      </c>
      <c r="AC129" s="7" t="str">
        <f>IF(宠物经验!AC130="","",INT(宠物经验!$B130*宠物经验!AC130))</f>
        <v/>
      </c>
      <c r="AD129" s="7" t="str">
        <f>IF(宠物经验!AD130="","",INT(宠物经验!$B130*宠物经验!AD130))</f>
        <v/>
      </c>
      <c r="AE129" s="7" t="str">
        <f>IF(宠物经验!AE130="","",INT(宠物经验!$B130*宠物经验!AE130))</f>
        <v/>
      </c>
      <c r="AF129" s="7">
        <f>宠物经验!AH130</f>
        <v>884470</v>
      </c>
      <c r="AG129" s="7">
        <f>宠物经验!AO130</f>
        <v>10667</v>
      </c>
    </row>
    <row r="130" spans="1:33">
      <c r="A130" s="32">
        <v>129</v>
      </c>
      <c r="B130" s="87">
        <f>宠物经验!B131</f>
        <v>645000</v>
      </c>
      <c r="C130" s="7">
        <f>IF(宠物经验!C131="","",INT(宠物经验!$B131*宠物经验!C131))</f>
        <v>644935</v>
      </c>
      <c r="D130" s="7">
        <f>IF(宠物经验!D131="","",INT(宠物经验!$B131*宠物经验!D131))</f>
        <v>709500</v>
      </c>
      <c r="E130" s="7" t="str">
        <f>IF(宠物经验!E131="","",INT(宠物经验!$B131*宠物经验!E131))</f>
        <v/>
      </c>
      <c r="F130" s="7">
        <f>IF(宠物经验!F131="","",INT(宠物经验!$B131*宠物经验!F131))</f>
        <v>967500</v>
      </c>
      <c r="G130" s="7">
        <f>IF(宠物经验!G131="","",INT(宠物经验!$B131*宠物经验!G131))</f>
        <v>429957</v>
      </c>
      <c r="H130" s="7" t="str">
        <f>IF(宠物经验!H131="","",INT(宠物经验!$B131*宠物经验!H131))</f>
        <v/>
      </c>
      <c r="I130" s="7" t="str">
        <f>IF(宠物经验!I131="","",INT(宠物经验!$B131*宠物经验!I131))</f>
        <v/>
      </c>
      <c r="J130" s="7" t="str">
        <f>IF(宠物经验!J131="","",INT(宠物经验!$B131*宠物经验!J131))</f>
        <v/>
      </c>
      <c r="K130" s="7">
        <f>IF(宠物经验!K131="","",INT(宠物经验!$B131*宠物经验!K131))</f>
        <v>645000</v>
      </c>
      <c r="L130" s="7" t="str">
        <f>IF(宠物经验!L131="","",INT(宠物经验!$B131*宠物经验!L131))</f>
        <v/>
      </c>
      <c r="M130" s="7" t="str">
        <f>IF(宠物经验!M131="","",INT(宠物经验!$B131*宠物经验!M131))</f>
        <v/>
      </c>
      <c r="N130" s="7">
        <f>IF(宠物经验!N131="","",INT(宠物经验!$B131*宠物经验!N131))</f>
        <v>7740000</v>
      </c>
      <c r="O130" s="7" t="str">
        <f>IF(宠物经验!O131="","",INT(宠物经验!$B131*宠物经验!O131))</f>
        <v/>
      </c>
      <c r="P130" s="7" t="str">
        <f>IF(宠物经验!P131="","",INT(宠物经验!$B131*宠物经验!P131))</f>
        <v/>
      </c>
      <c r="Q130" s="7">
        <f>IF(宠物经验!Q131="","",INT(宠物经验!$B131*宠物经验!Q131))</f>
        <v>3354000</v>
      </c>
      <c r="R130" s="7" t="str">
        <f>IF(宠物经验!R131="","",INT(宠物经验!$B131*宠物经验!R131))</f>
        <v/>
      </c>
      <c r="S130" s="7">
        <f>IF(宠物经验!S131="","",INT(宠物经验!$B131*宠物经验!S131))</f>
        <v>322467</v>
      </c>
      <c r="T130" s="7">
        <f>IF(宠物经验!T131="","",INT(宠物经验!$B131*宠物经验!T131))</f>
        <v>0</v>
      </c>
      <c r="U130" s="7">
        <f>IF(宠物经验!U131="","",INT(宠物经验!$B131*宠物经验!U131))</f>
        <v>322467</v>
      </c>
      <c r="V130" s="7">
        <f>IF(宠物经验!V131="","",INT(宠物经验!$B131*宠物经验!V131))</f>
        <v>215043</v>
      </c>
      <c r="W130" s="7" t="str">
        <f>IF(宠物经验!W131="","",INT(宠物经验!$B131*宠物经验!W131))</f>
        <v/>
      </c>
      <c r="X130" s="7" t="str">
        <f>IF(宠物经验!X131="","",INT(宠物经验!$B131*宠物经验!X131))</f>
        <v/>
      </c>
      <c r="Y130" s="7">
        <f>IF(宠物经验!Y131="","",INT(宠物经验!$B131*宠物经验!Y131))</f>
        <v>161250</v>
      </c>
      <c r="Z130" s="7" t="str">
        <f>IF(宠物经验!Z131="","",INT(宠物经验!$B131*宠物经验!Z131))</f>
        <v/>
      </c>
      <c r="AA130" s="7">
        <f>IF(宠物经验!AA131="","",INT(宠物经验!$B131*宠物经验!AA131))</f>
        <v>53760</v>
      </c>
      <c r="AB130" s="7" t="str">
        <f>IF(宠物经验!AB131="","",INT(宠物经验!$B131*宠物经验!AB131))</f>
        <v/>
      </c>
      <c r="AC130" s="7" t="str">
        <f>IF(宠物经验!AC131="","",INT(宠物经验!$B131*宠物经验!AC131))</f>
        <v/>
      </c>
      <c r="AD130" s="7" t="str">
        <f>IF(宠物经验!AD131="","",INT(宠物经验!$B131*宠物经验!AD131))</f>
        <v/>
      </c>
      <c r="AE130" s="7" t="str">
        <f>IF(宠物经验!AE131="","",INT(宠物经验!$B131*宠物经验!AE131))</f>
        <v/>
      </c>
      <c r="AF130" s="7">
        <f>宠物经验!AH131</f>
        <v>897820</v>
      </c>
      <c r="AG130" s="7">
        <f>宠物经验!AO131</f>
        <v>10750</v>
      </c>
    </row>
    <row r="131" spans="1:33">
      <c r="A131" s="32">
        <v>130</v>
      </c>
      <c r="B131" s="87">
        <f>宠物经验!B132</f>
        <v>650000</v>
      </c>
      <c r="C131" s="7">
        <f>IF(宠物经验!C132="","",INT(宠物经验!$B132*宠物经验!C132))</f>
        <v>649935</v>
      </c>
      <c r="D131" s="7">
        <f>IF(宠物经验!D132="","",INT(宠物经验!$B132*宠物经验!D132))</f>
        <v>715000</v>
      </c>
      <c r="E131" s="7" t="str">
        <f>IF(宠物经验!E132="","",INT(宠物经验!$B132*宠物经验!E132))</f>
        <v/>
      </c>
      <c r="F131" s="7">
        <f>IF(宠物经验!F132="","",INT(宠物经验!$B132*宠物经验!F132))</f>
        <v>975000</v>
      </c>
      <c r="G131" s="7">
        <f>IF(宠物经验!G132="","",INT(宠物经验!$B132*宠物经验!G132))</f>
        <v>433290</v>
      </c>
      <c r="H131" s="7" t="str">
        <f>IF(宠物经验!H132="","",INT(宠物经验!$B132*宠物经验!H132))</f>
        <v/>
      </c>
      <c r="I131" s="7" t="str">
        <f>IF(宠物经验!I132="","",INT(宠物经验!$B132*宠物经验!I132))</f>
        <v/>
      </c>
      <c r="J131" s="7" t="str">
        <f>IF(宠物经验!J132="","",INT(宠物经验!$B132*宠物经验!J132))</f>
        <v/>
      </c>
      <c r="K131" s="7">
        <f>IF(宠物经验!K132="","",INT(宠物经验!$B132*宠物经验!K132))</f>
        <v>650000</v>
      </c>
      <c r="L131" s="7" t="str">
        <f>IF(宠物经验!L132="","",INT(宠物经验!$B132*宠物经验!L132))</f>
        <v/>
      </c>
      <c r="M131" s="7" t="str">
        <f>IF(宠物经验!M132="","",INT(宠物经验!$B132*宠物经验!M132))</f>
        <v/>
      </c>
      <c r="N131" s="7">
        <f>IF(宠物经验!N132="","",INT(宠物经验!$B132*宠物经验!N132))</f>
        <v>7800000</v>
      </c>
      <c r="O131" s="7" t="str">
        <f>IF(宠物经验!O132="","",INT(宠物经验!$B132*宠物经验!O132))</f>
        <v/>
      </c>
      <c r="P131" s="7" t="str">
        <f>IF(宠物经验!P132="","",INT(宠物经验!$B132*宠物经验!P132))</f>
        <v/>
      </c>
      <c r="Q131" s="7">
        <f>IF(宠物经验!Q132="","",INT(宠物经验!$B132*宠物经验!Q132))</f>
        <v>3380000</v>
      </c>
      <c r="R131" s="7" t="str">
        <f>IF(宠物经验!R132="","",INT(宠物经验!$B132*宠物经验!R132))</f>
        <v/>
      </c>
      <c r="S131" s="7">
        <f>IF(宠物经验!S132="","",INT(宠物经验!$B132*宠物经验!S132))</f>
        <v>324967</v>
      </c>
      <c r="T131" s="7">
        <f>IF(宠物经验!T132="","",INT(宠物经验!$B132*宠物经验!T132))</f>
        <v>0</v>
      </c>
      <c r="U131" s="7">
        <f>IF(宠物经验!U132="","",INT(宠物经验!$B132*宠物经验!U132))</f>
        <v>324967</v>
      </c>
      <c r="V131" s="7">
        <f>IF(宠物经验!V132="","",INT(宠物经验!$B132*宠物经验!V132))</f>
        <v>216710</v>
      </c>
      <c r="W131" s="7" t="str">
        <f>IF(宠物经验!W132="","",INT(宠物经验!$B132*宠物经验!W132))</f>
        <v/>
      </c>
      <c r="X131" s="7" t="str">
        <f>IF(宠物经验!X132="","",INT(宠物经验!$B132*宠物经验!X132))</f>
        <v/>
      </c>
      <c r="Y131" s="7">
        <f>IF(宠物经验!Y132="","",INT(宠物经验!$B132*宠物经验!Y132))</f>
        <v>162500</v>
      </c>
      <c r="Z131" s="7" t="str">
        <f>IF(宠物经验!Z132="","",INT(宠物经验!$B132*宠物经验!Z132))</f>
        <v/>
      </c>
      <c r="AA131" s="7">
        <f>IF(宠物经验!AA132="","",INT(宠物经验!$B132*宠物经验!AA132))</f>
        <v>54177</v>
      </c>
      <c r="AB131" s="7" t="str">
        <f>IF(宠物经验!AB132="","",INT(宠物经验!$B132*宠物经验!AB132))</f>
        <v/>
      </c>
      <c r="AC131" s="7" t="str">
        <f>IF(宠物经验!AC132="","",INT(宠物经验!$B132*宠物经验!AC132))</f>
        <v/>
      </c>
      <c r="AD131" s="7" t="str">
        <f>IF(宠物经验!AD132="","",INT(宠物经验!$B132*宠物经验!AD132))</f>
        <v/>
      </c>
      <c r="AE131" s="7" t="str">
        <f>IF(宠物经验!AE132="","",INT(宠物经验!$B132*宠物经验!AE132))</f>
        <v/>
      </c>
      <c r="AF131" s="7">
        <f>宠物经验!AH132</f>
        <v>911270</v>
      </c>
      <c r="AG131" s="7">
        <f>宠物经验!AO132</f>
        <v>10833</v>
      </c>
    </row>
    <row r="132" spans="1:33">
      <c r="A132" s="32">
        <v>131</v>
      </c>
      <c r="B132" s="87">
        <f>宠物经验!B133</f>
        <v>655000</v>
      </c>
      <c r="C132" s="7">
        <f>IF(宠物经验!C133="","",INT(宠物经验!$B133*宠物经验!C133))</f>
        <v>654934</v>
      </c>
      <c r="D132" s="7">
        <f>IF(宠物经验!D133="","",INT(宠物经验!$B133*宠物经验!D133))</f>
        <v>720500</v>
      </c>
      <c r="E132" s="7" t="str">
        <f>IF(宠物经验!E133="","",INT(宠物经验!$B133*宠物经验!E133))</f>
        <v/>
      </c>
      <c r="F132" s="7">
        <f>IF(宠物经验!F133="","",INT(宠物经验!$B133*宠物经验!F133))</f>
        <v>982500</v>
      </c>
      <c r="G132" s="7">
        <f>IF(宠物经验!G133="","",INT(宠物经验!$B133*宠物经验!G133))</f>
        <v>436623</v>
      </c>
      <c r="H132" s="7" t="str">
        <f>IF(宠物经验!H133="","",INT(宠物经验!$B133*宠物经验!H133))</f>
        <v/>
      </c>
      <c r="I132" s="7" t="str">
        <f>IF(宠物经验!I133="","",INT(宠物经验!$B133*宠物经验!I133))</f>
        <v/>
      </c>
      <c r="J132" s="7" t="str">
        <f>IF(宠物经验!J133="","",INT(宠物经验!$B133*宠物经验!J133))</f>
        <v/>
      </c>
      <c r="K132" s="7">
        <f>IF(宠物经验!K133="","",INT(宠物经验!$B133*宠物经验!K133))</f>
        <v>655000</v>
      </c>
      <c r="L132" s="7" t="str">
        <f>IF(宠物经验!L133="","",INT(宠物经验!$B133*宠物经验!L133))</f>
        <v/>
      </c>
      <c r="M132" s="7" t="str">
        <f>IF(宠物经验!M133="","",INT(宠物经验!$B133*宠物经验!M133))</f>
        <v/>
      </c>
      <c r="N132" s="7">
        <f>IF(宠物经验!N133="","",INT(宠物经验!$B133*宠物经验!N133))</f>
        <v>7860000</v>
      </c>
      <c r="O132" s="7" t="str">
        <f>IF(宠物经验!O133="","",INT(宠物经验!$B133*宠物经验!O133))</f>
        <v/>
      </c>
      <c r="P132" s="7" t="str">
        <f>IF(宠物经验!P133="","",INT(宠物经验!$B133*宠物经验!P133))</f>
        <v/>
      </c>
      <c r="Q132" s="7">
        <f>IF(宠物经验!Q133="","",INT(宠物经验!$B133*宠物经验!Q133))</f>
        <v>3406000</v>
      </c>
      <c r="R132" s="7" t="str">
        <f>IF(宠物经验!R133="","",INT(宠物经验!$B133*宠物经验!R133))</f>
        <v/>
      </c>
      <c r="S132" s="7">
        <f>IF(宠物经验!S133="","",INT(宠物经验!$B133*宠物经验!S133))</f>
        <v>327467</v>
      </c>
      <c r="T132" s="7">
        <f>IF(宠物经验!T133="","",INT(宠物经验!$B133*宠物经验!T133))</f>
        <v>0</v>
      </c>
      <c r="U132" s="7">
        <f>IF(宠物经验!U133="","",INT(宠物经验!$B133*宠物经验!U133))</f>
        <v>327467</v>
      </c>
      <c r="V132" s="7">
        <f>IF(宠物经验!V133="","",INT(宠物经验!$B133*宠物经验!V133))</f>
        <v>218377</v>
      </c>
      <c r="W132" s="7" t="str">
        <f>IF(宠物经验!W133="","",INT(宠物经验!$B133*宠物经验!W133))</f>
        <v/>
      </c>
      <c r="X132" s="7" t="str">
        <f>IF(宠物经验!X133="","",INT(宠物经验!$B133*宠物经验!X133))</f>
        <v/>
      </c>
      <c r="Y132" s="7">
        <f>IF(宠物经验!Y133="","",INT(宠物经验!$B133*宠物经验!Y133))</f>
        <v>163750</v>
      </c>
      <c r="Z132" s="7" t="str">
        <f>IF(宠物经验!Z133="","",INT(宠物经验!$B133*宠物经验!Z133))</f>
        <v/>
      </c>
      <c r="AA132" s="7">
        <f>IF(宠物经验!AA133="","",INT(宠物经验!$B133*宠物经验!AA133))</f>
        <v>54594</v>
      </c>
      <c r="AB132" s="7" t="str">
        <f>IF(宠物经验!AB133="","",INT(宠物经验!$B133*宠物经验!AB133))</f>
        <v/>
      </c>
      <c r="AC132" s="7" t="str">
        <f>IF(宠物经验!AC133="","",INT(宠物经验!$B133*宠物经验!AC133))</f>
        <v/>
      </c>
      <c r="AD132" s="7" t="str">
        <f>IF(宠物经验!AD133="","",INT(宠物经验!$B133*宠物经验!AD133))</f>
        <v/>
      </c>
      <c r="AE132" s="7" t="str">
        <f>IF(宠物经验!AE133="","",INT(宠物经验!$B133*宠物经验!AE133))</f>
        <v/>
      </c>
      <c r="AF132" s="7">
        <f>宠物经验!AH133</f>
        <v>924820</v>
      </c>
      <c r="AG132" s="7">
        <f>宠物经验!AO133</f>
        <v>10917</v>
      </c>
    </row>
    <row r="133" spans="1:33">
      <c r="A133" s="32">
        <v>132</v>
      </c>
      <c r="B133" s="87">
        <f>宠物经验!B134</f>
        <v>660000</v>
      </c>
      <c r="C133" s="7">
        <f>IF(宠物经验!C134="","",INT(宠物经验!$B134*宠物经验!C134))</f>
        <v>659934</v>
      </c>
      <c r="D133" s="7">
        <f>IF(宠物经验!D134="","",INT(宠物经验!$B134*宠物经验!D134))</f>
        <v>726000</v>
      </c>
      <c r="E133" s="7" t="str">
        <f>IF(宠物经验!E134="","",INT(宠物经验!$B134*宠物经验!E134))</f>
        <v/>
      </c>
      <c r="F133" s="7">
        <f>IF(宠物经验!F134="","",INT(宠物经验!$B134*宠物经验!F134))</f>
        <v>990000</v>
      </c>
      <c r="G133" s="7">
        <f>IF(宠物经验!G134="","",INT(宠物经验!$B134*宠物经验!G134))</f>
        <v>439956</v>
      </c>
      <c r="H133" s="7" t="str">
        <f>IF(宠物经验!H134="","",INT(宠物经验!$B134*宠物经验!H134))</f>
        <v/>
      </c>
      <c r="I133" s="7" t="str">
        <f>IF(宠物经验!I134="","",INT(宠物经验!$B134*宠物经验!I134))</f>
        <v/>
      </c>
      <c r="J133" s="7" t="str">
        <f>IF(宠物经验!J134="","",INT(宠物经验!$B134*宠物经验!J134))</f>
        <v/>
      </c>
      <c r="K133" s="7">
        <f>IF(宠物经验!K134="","",INT(宠物经验!$B134*宠物经验!K134))</f>
        <v>660000</v>
      </c>
      <c r="L133" s="7" t="str">
        <f>IF(宠物经验!L134="","",INT(宠物经验!$B134*宠物经验!L134))</f>
        <v/>
      </c>
      <c r="M133" s="7" t="str">
        <f>IF(宠物经验!M134="","",INT(宠物经验!$B134*宠物经验!M134))</f>
        <v/>
      </c>
      <c r="N133" s="7">
        <f>IF(宠物经验!N134="","",INT(宠物经验!$B134*宠物经验!N134))</f>
        <v>7920000</v>
      </c>
      <c r="O133" s="7" t="str">
        <f>IF(宠物经验!O134="","",INT(宠物经验!$B134*宠物经验!O134))</f>
        <v/>
      </c>
      <c r="P133" s="7" t="str">
        <f>IF(宠物经验!P134="","",INT(宠物经验!$B134*宠物经验!P134))</f>
        <v/>
      </c>
      <c r="Q133" s="7">
        <f>IF(宠物经验!Q134="","",INT(宠物经验!$B134*宠物经验!Q134))</f>
        <v>3432000</v>
      </c>
      <c r="R133" s="7" t="str">
        <f>IF(宠物经验!R134="","",INT(宠物经验!$B134*宠物经验!R134))</f>
        <v/>
      </c>
      <c r="S133" s="7">
        <f>IF(宠物经验!S134="","",INT(宠物经验!$B134*宠物经验!S134))</f>
        <v>329967</v>
      </c>
      <c r="T133" s="7">
        <f>IF(宠物经验!T134="","",INT(宠物经验!$B134*宠物经验!T134))</f>
        <v>0</v>
      </c>
      <c r="U133" s="7">
        <f>IF(宠物经验!U134="","",INT(宠物经验!$B134*宠物经验!U134))</f>
        <v>329967</v>
      </c>
      <c r="V133" s="7">
        <f>IF(宠物经验!V134="","",INT(宠物经验!$B134*宠物经验!V134))</f>
        <v>220044</v>
      </c>
      <c r="W133" s="7" t="str">
        <f>IF(宠物经验!W134="","",INT(宠物经验!$B134*宠物经验!W134))</f>
        <v/>
      </c>
      <c r="X133" s="7" t="str">
        <f>IF(宠物经验!X134="","",INT(宠物经验!$B134*宠物经验!X134))</f>
        <v/>
      </c>
      <c r="Y133" s="7">
        <f>IF(宠物经验!Y134="","",INT(宠物经验!$B134*宠物经验!Y134))</f>
        <v>165000</v>
      </c>
      <c r="Z133" s="7" t="str">
        <f>IF(宠物经验!Z134="","",INT(宠物经验!$B134*宠物经验!Z134))</f>
        <v/>
      </c>
      <c r="AA133" s="7">
        <f>IF(宠物经验!AA134="","",INT(宠物经验!$B134*宠物经验!AA134))</f>
        <v>55011</v>
      </c>
      <c r="AB133" s="7" t="str">
        <f>IF(宠物经验!AB134="","",INT(宠物经验!$B134*宠物经验!AB134))</f>
        <v/>
      </c>
      <c r="AC133" s="7" t="str">
        <f>IF(宠物经验!AC134="","",INT(宠物经验!$B134*宠物经验!AC134))</f>
        <v/>
      </c>
      <c r="AD133" s="7" t="str">
        <f>IF(宠物经验!AD134="","",INT(宠物经验!$B134*宠物经验!AD134))</f>
        <v/>
      </c>
      <c r="AE133" s="7" t="str">
        <f>IF(宠物经验!AE134="","",INT(宠物经验!$B134*宠物经验!AE134))</f>
        <v/>
      </c>
      <c r="AF133" s="7">
        <f>宠物经验!AH134</f>
        <v>938470</v>
      </c>
      <c r="AG133" s="7">
        <f>宠物经验!AO134</f>
        <v>11000</v>
      </c>
    </row>
    <row r="134" spans="1:33">
      <c r="A134" s="32">
        <v>133</v>
      </c>
      <c r="B134" s="87">
        <f>宠物经验!B135</f>
        <v>665000</v>
      </c>
      <c r="C134" s="7">
        <f>IF(宠物经验!C135="","",INT(宠物经验!$B135*宠物经验!C135))</f>
        <v>664933</v>
      </c>
      <c r="D134" s="7">
        <f>IF(宠物经验!D135="","",INT(宠物经验!$B135*宠物经验!D135))</f>
        <v>731500</v>
      </c>
      <c r="E134" s="7" t="str">
        <f>IF(宠物经验!E135="","",INT(宠物经验!$B135*宠物经验!E135))</f>
        <v/>
      </c>
      <c r="F134" s="7">
        <f>IF(宠物经验!F135="","",INT(宠物经验!$B135*宠物经验!F135))</f>
        <v>997500</v>
      </c>
      <c r="G134" s="7">
        <f>IF(宠物经验!G135="","",INT(宠物经验!$B135*宠物经验!G135))</f>
        <v>443289</v>
      </c>
      <c r="H134" s="7" t="str">
        <f>IF(宠物经验!H135="","",INT(宠物经验!$B135*宠物经验!H135))</f>
        <v/>
      </c>
      <c r="I134" s="7" t="str">
        <f>IF(宠物经验!I135="","",INT(宠物经验!$B135*宠物经验!I135))</f>
        <v/>
      </c>
      <c r="J134" s="7" t="str">
        <f>IF(宠物经验!J135="","",INT(宠物经验!$B135*宠物经验!J135))</f>
        <v/>
      </c>
      <c r="K134" s="7">
        <f>IF(宠物经验!K135="","",INT(宠物经验!$B135*宠物经验!K135))</f>
        <v>665000</v>
      </c>
      <c r="L134" s="7" t="str">
        <f>IF(宠物经验!L135="","",INT(宠物经验!$B135*宠物经验!L135))</f>
        <v/>
      </c>
      <c r="M134" s="7" t="str">
        <f>IF(宠物经验!M135="","",INT(宠物经验!$B135*宠物经验!M135))</f>
        <v/>
      </c>
      <c r="N134" s="7">
        <f>IF(宠物经验!N135="","",INT(宠物经验!$B135*宠物经验!N135))</f>
        <v>7980000</v>
      </c>
      <c r="O134" s="7" t="str">
        <f>IF(宠物经验!O135="","",INT(宠物经验!$B135*宠物经验!O135))</f>
        <v/>
      </c>
      <c r="P134" s="7" t="str">
        <f>IF(宠物经验!P135="","",INT(宠物经验!$B135*宠物经验!P135))</f>
        <v/>
      </c>
      <c r="Q134" s="7">
        <f>IF(宠物经验!Q135="","",INT(宠物经验!$B135*宠物经验!Q135))</f>
        <v>3458000</v>
      </c>
      <c r="R134" s="7" t="str">
        <f>IF(宠物经验!R135="","",INT(宠物经验!$B135*宠物经验!R135))</f>
        <v/>
      </c>
      <c r="S134" s="7">
        <f>IF(宠物经验!S135="","",INT(宠物经验!$B135*宠物经验!S135))</f>
        <v>332466</v>
      </c>
      <c r="T134" s="7">
        <f>IF(宠物经验!T135="","",INT(宠物经验!$B135*宠物经验!T135))</f>
        <v>0</v>
      </c>
      <c r="U134" s="7">
        <f>IF(宠物经验!U135="","",INT(宠物经验!$B135*宠物经验!U135))</f>
        <v>332466</v>
      </c>
      <c r="V134" s="7">
        <f>IF(宠物经验!V135="","",INT(宠物经验!$B135*宠物经验!V135))</f>
        <v>221711</v>
      </c>
      <c r="W134" s="7" t="str">
        <f>IF(宠物经验!W135="","",INT(宠物经验!$B135*宠物经验!W135))</f>
        <v/>
      </c>
      <c r="X134" s="7" t="str">
        <f>IF(宠物经验!X135="","",INT(宠物经验!$B135*宠物经验!X135))</f>
        <v/>
      </c>
      <c r="Y134" s="7">
        <f>IF(宠物经验!Y135="","",INT(宠物经验!$B135*宠物经验!Y135))</f>
        <v>166250</v>
      </c>
      <c r="Z134" s="7" t="str">
        <f>IF(宠物经验!Z135="","",INT(宠物经验!$B135*宠物经验!Z135))</f>
        <v/>
      </c>
      <c r="AA134" s="7">
        <f>IF(宠物经验!AA135="","",INT(宠物经验!$B135*宠物经验!AA135))</f>
        <v>55427</v>
      </c>
      <c r="AB134" s="7" t="str">
        <f>IF(宠物经验!AB135="","",INT(宠物经验!$B135*宠物经验!AB135))</f>
        <v/>
      </c>
      <c r="AC134" s="7" t="str">
        <f>IF(宠物经验!AC135="","",INT(宠物经验!$B135*宠物经验!AC135))</f>
        <v/>
      </c>
      <c r="AD134" s="7" t="str">
        <f>IF(宠物经验!AD135="","",INT(宠物经验!$B135*宠物经验!AD135))</f>
        <v/>
      </c>
      <c r="AE134" s="7" t="str">
        <f>IF(宠物经验!AE135="","",INT(宠物经验!$B135*宠物经验!AE135))</f>
        <v/>
      </c>
      <c r="AF134" s="7">
        <f>宠物经验!AH135</f>
        <v>952220</v>
      </c>
      <c r="AG134" s="7">
        <f>宠物经验!AO135</f>
        <v>11083</v>
      </c>
    </row>
    <row r="135" spans="1:33">
      <c r="A135" s="32">
        <v>134</v>
      </c>
      <c r="B135" s="87">
        <f>宠物经验!B136</f>
        <v>670000</v>
      </c>
      <c r="C135" s="7">
        <f>IF(宠物经验!C136="","",INT(宠物经验!$B136*宠物经验!C136))</f>
        <v>669933</v>
      </c>
      <c r="D135" s="7">
        <f>IF(宠物经验!D136="","",INT(宠物经验!$B136*宠物经验!D136))</f>
        <v>737000</v>
      </c>
      <c r="E135" s="7" t="str">
        <f>IF(宠物经验!E136="","",INT(宠物经验!$B136*宠物经验!E136))</f>
        <v/>
      </c>
      <c r="F135" s="7">
        <f>IF(宠物经验!F136="","",INT(宠物经验!$B136*宠物经验!F136))</f>
        <v>1005000</v>
      </c>
      <c r="G135" s="7">
        <f>IF(宠物经验!G136="","",INT(宠物经验!$B136*宠物经验!G136))</f>
        <v>446622</v>
      </c>
      <c r="H135" s="7" t="str">
        <f>IF(宠物经验!H136="","",INT(宠物经验!$B136*宠物经验!H136))</f>
        <v/>
      </c>
      <c r="I135" s="7" t="str">
        <f>IF(宠物经验!I136="","",INT(宠物经验!$B136*宠物经验!I136))</f>
        <v/>
      </c>
      <c r="J135" s="7" t="str">
        <f>IF(宠物经验!J136="","",INT(宠物经验!$B136*宠物经验!J136))</f>
        <v/>
      </c>
      <c r="K135" s="7">
        <f>IF(宠物经验!K136="","",INT(宠物经验!$B136*宠物经验!K136))</f>
        <v>670000</v>
      </c>
      <c r="L135" s="7" t="str">
        <f>IF(宠物经验!L136="","",INT(宠物经验!$B136*宠物经验!L136))</f>
        <v/>
      </c>
      <c r="M135" s="7" t="str">
        <f>IF(宠物经验!M136="","",INT(宠物经验!$B136*宠物经验!M136))</f>
        <v/>
      </c>
      <c r="N135" s="7">
        <f>IF(宠物经验!N136="","",INT(宠物经验!$B136*宠物经验!N136))</f>
        <v>8040000</v>
      </c>
      <c r="O135" s="7" t="str">
        <f>IF(宠物经验!O136="","",INT(宠物经验!$B136*宠物经验!O136))</f>
        <v/>
      </c>
      <c r="P135" s="7" t="str">
        <f>IF(宠物经验!P136="","",INT(宠物经验!$B136*宠物经验!P136))</f>
        <v/>
      </c>
      <c r="Q135" s="7">
        <f>IF(宠物经验!Q136="","",INT(宠物经验!$B136*宠物经验!Q136))</f>
        <v>3484000</v>
      </c>
      <c r="R135" s="7" t="str">
        <f>IF(宠物经验!R136="","",INT(宠物经验!$B136*宠物经验!R136))</f>
        <v/>
      </c>
      <c r="S135" s="7">
        <f>IF(宠物经验!S136="","",INT(宠物经验!$B136*宠物经验!S136))</f>
        <v>334966</v>
      </c>
      <c r="T135" s="7">
        <f>IF(宠物经验!T136="","",INT(宠物经验!$B136*宠物经验!T136))</f>
        <v>0</v>
      </c>
      <c r="U135" s="7">
        <f>IF(宠物经验!U136="","",INT(宠物经验!$B136*宠物经验!U136))</f>
        <v>334966</v>
      </c>
      <c r="V135" s="7">
        <f>IF(宠物经验!V136="","",INT(宠物经验!$B136*宠物经验!V136))</f>
        <v>223378</v>
      </c>
      <c r="W135" s="7" t="str">
        <f>IF(宠物经验!W136="","",INT(宠物经验!$B136*宠物经验!W136))</f>
        <v/>
      </c>
      <c r="X135" s="7" t="str">
        <f>IF(宠物经验!X136="","",INT(宠物经验!$B136*宠物经验!X136))</f>
        <v/>
      </c>
      <c r="Y135" s="7">
        <f>IF(宠物经验!Y136="","",INT(宠物经验!$B136*宠物经验!Y136))</f>
        <v>167500</v>
      </c>
      <c r="Z135" s="7" t="str">
        <f>IF(宠物经验!Z136="","",INT(宠物经验!$B136*宠物经验!Z136))</f>
        <v/>
      </c>
      <c r="AA135" s="7">
        <f>IF(宠物经验!AA136="","",INT(宠物经验!$B136*宠物经验!AA136))</f>
        <v>55844</v>
      </c>
      <c r="AB135" s="7" t="str">
        <f>IF(宠物经验!AB136="","",INT(宠物经验!$B136*宠物经验!AB136))</f>
        <v/>
      </c>
      <c r="AC135" s="7" t="str">
        <f>IF(宠物经验!AC136="","",INT(宠物经验!$B136*宠物经验!AC136))</f>
        <v/>
      </c>
      <c r="AD135" s="7" t="str">
        <f>IF(宠物经验!AD136="","",INT(宠物经验!$B136*宠物经验!AD136))</f>
        <v/>
      </c>
      <c r="AE135" s="7" t="str">
        <f>IF(宠物经验!AE136="","",INT(宠物经验!$B136*宠物经验!AE136))</f>
        <v/>
      </c>
      <c r="AF135" s="7">
        <f>宠物经验!AH136</f>
        <v>966070</v>
      </c>
      <c r="AG135" s="7">
        <f>宠物经验!AO136</f>
        <v>11167</v>
      </c>
    </row>
    <row r="136" spans="1:33">
      <c r="A136" s="32">
        <v>135</v>
      </c>
      <c r="B136" s="87">
        <f>宠物经验!B137</f>
        <v>675000</v>
      </c>
      <c r="C136" s="7">
        <f>IF(宠物经验!C137="","",INT(宠物经验!$B137*宠物经验!C137))</f>
        <v>674932</v>
      </c>
      <c r="D136" s="7">
        <f>IF(宠物经验!D137="","",INT(宠物经验!$B137*宠物经验!D137))</f>
        <v>742500</v>
      </c>
      <c r="E136" s="7" t="str">
        <f>IF(宠物经验!E137="","",INT(宠物经验!$B137*宠物经验!E137))</f>
        <v/>
      </c>
      <c r="F136" s="7">
        <f>IF(宠物经验!F137="","",INT(宠物经验!$B137*宠物经验!F137))</f>
        <v>1012500</v>
      </c>
      <c r="G136" s="7">
        <f>IF(宠物经验!G137="","",INT(宠物经验!$B137*宠物经验!G137))</f>
        <v>449955</v>
      </c>
      <c r="H136" s="7" t="str">
        <f>IF(宠物经验!H137="","",INT(宠物经验!$B137*宠物经验!H137))</f>
        <v/>
      </c>
      <c r="I136" s="7" t="str">
        <f>IF(宠物经验!I137="","",INT(宠物经验!$B137*宠物经验!I137))</f>
        <v/>
      </c>
      <c r="J136" s="7" t="str">
        <f>IF(宠物经验!J137="","",INT(宠物经验!$B137*宠物经验!J137))</f>
        <v/>
      </c>
      <c r="K136" s="7">
        <f>IF(宠物经验!K137="","",INT(宠物经验!$B137*宠物经验!K137))</f>
        <v>675000</v>
      </c>
      <c r="L136" s="7" t="str">
        <f>IF(宠物经验!L137="","",INT(宠物经验!$B137*宠物经验!L137))</f>
        <v/>
      </c>
      <c r="M136" s="7" t="str">
        <f>IF(宠物经验!M137="","",INT(宠物经验!$B137*宠物经验!M137))</f>
        <v/>
      </c>
      <c r="N136" s="7">
        <f>IF(宠物经验!N137="","",INT(宠物经验!$B137*宠物经验!N137))</f>
        <v>8100000</v>
      </c>
      <c r="O136" s="7" t="str">
        <f>IF(宠物经验!O137="","",INT(宠物经验!$B137*宠物经验!O137))</f>
        <v/>
      </c>
      <c r="P136" s="7" t="str">
        <f>IF(宠物经验!P137="","",INT(宠物经验!$B137*宠物经验!P137))</f>
        <v/>
      </c>
      <c r="Q136" s="7">
        <f>IF(宠物经验!Q137="","",INT(宠物经验!$B137*宠物经验!Q137))</f>
        <v>3510000</v>
      </c>
      <c r="R136" s="7" t="str">
        <f>IF(宠物经验!R137="","",INT(宠物经验!$B137*宠物经验!R137))</f>
        <v/>
      </c>
      <c r="S136" s="7">
        <f>IF(宠物经验!S137="","",INT(宠物经验!$B137*宠物经验!S137))</f>
        <v>337466</v>
      </c>
      <c r="T136" s="7">
        <f>IF(宠物经验!T137="","",INT(宠物经验!$B137*宠物经验!T137))</f>
        <v>0</v>
      </c>
      <c r="U136" s="7">
        <f>IF(宠物经验!U137="","",INT(宠物经验!$B137*宠物经验!U137))</f>
        <v>337466</v>
      </c>
      <c r="V136" s="7">
        <f>IF(宠物经验!V137="","",INT(宠物经验!$B137*宠物经验!V137))</f>
        <v>225045</v>
      </c>
      <c r="W136" s="7" t="str">
        <f>IF(宠物经验!W137="","",INT(宠物经验!$B137*宠物经验!W137))</f>
        <v/>
      </c>
      <c r="X136" s="7" t="str">
        <f>IF(宠物经验!X137="","",INT(宠物经验!$B137*宠物经验!X137))</f>
        <v/>
      </c>
      <c r="Y136" s="7">
        <f>IF(宠物经验!Y137="","",INT(宠物经验!$B137*宠物经验!Y137))</f>
        <v>168750</v>
      </c>
      <c r="Z136" s="7" t="str">
        <f>IF(宠物经验!Z137="","",INT(宠物经验!$B137*宠物经验!Z137))</f>
        <v/>
      </c>
      <c r="AA136" s="7">
        <f>IF(宠物经验!AA137="","",INT(宠物经验!$B137*宠物经验!AA137))</f>
        <v>56261</v>
      </c>
      <c r="AB136" s="7" t="str">
        <f>IF(宠物经验!AB137="","",INT(宠物经验!$B137*宠物经验!AB137))</f>
        <v/>
      </c>
      <c r="AC136" s="7" t="str">
        <f>IF(宠物经验!AC137="","",INT(宠物经验!$B137*宠物经验!AC137))</f>
        <v/>
      </c>
      <c r="AD136" s="7" t="str">
        <f>IF(宠物经验!AD137="","",INT(宠物经验!$B137*宠物经验!AD137))</f>
        <v/>
      </c>
      <c r="AE136" s="7" t="str">
        <f>IF(宠物经验!AE137="","",INT(宠物经验!$B137*宠物经验!AE137))</f>
        <v/>
      </c>
      <c r="AF136" s="7">
        <f>宠物经验!AH137</f>
        <v>980020</v>
      </c>
      <c r="AG136" s="7">
        <f>宠物经验!AO137</f>
        <v>11250</v>
      </c>
    </row>
    <row r="137" spans="1:33">
      <c r="A137" s="32">
        <v>136</v>
      </c>
      <c r="B137" s="87">
        <f>宠物经验!B138</f>
        <v>680000</v>
      </c>
      <c r="C137" s="7">
        <f>IF(宠物经验!C138="","",INT(宠物经验!$B138*宠物经验!C138))</f>
        <v>679932</v>
      </c>
      <c r="D137" s="7">
        <f>IF(宠物经验!D138="","",INT(宠物经验!$B138*宠物经验!D138))</f>
        <v>748000</v>
      </c>
      <c r="E137" s="7" t="str">
        <f>IF(宠物经验!E138="","",INT(宠物经验!$B138*宠物经验!E138))</f>
        <v/>
      </c>
      <c r="F137" s="7">
        <f>IF(宠物经验!F138="","",INT(宠物经验!$B138*宠物经验!F138))</f>
        <v>1020000</v>
      </c>
      <c r="G137" s="7">
        <f>IF(宠物经验!G138="","",INT(宠物经验!$B138*宠物经验!G138))</f>
        <v>453288</v>
      </c>
      <c r="H137" s="7" t="str">
        <f>IF(宠物经验!H138="","",INT(宠物经验!$B138*宠物经验!H138))</f>
        <v/>
      </c>
      <c r="I137" s="7" t="str">
        <f>IF(宠物经验!I138="","",INT(宠物经验!$B138*宠物经验!I138))</f>
        <v/>
      </c>
      <c r="J137" s="7" t="str">
        <f>IF(宠物经验!J138="","",INT(宠物经验!$B138*宠物经验!J138))</f>
        <v/>
      </c>
      <c r="K137" s="7">
        <f>IF(宠物经验!K138="","",INT(宠物经验!$B138*宠物经验!K138))</f>
        <v>680000</v>
      </c>
      <c r="L137" s="7" t="str">
        <f>IF(宠物经验!L138="","",INT(宠物经验!$B138*宠物经验!L138))</f>
        <v/>
      </c>
      <c r="M137" s="7" t="str">
        <f>IF(宠物经验!M138="","",INT(宠物经验!$B138*宠物经验!M138))</f>
        <v/>
      </c>
      <c r="N137" s="7">
        <f>IF(宠物经验!N138="","",INT(宠物经验!$B138*宠物经验!N138))</f>
        <v>8160000</v>
      </c>
      <c r="O137" s="7" t="str">
        <f>IF(宠物经验!O138="","",INT(宠物经验!$B138*宠物经验!O138))</f>
        <v/>
      </c>
      <c r="P137" s="7" t="str">
        <f>IF(宠物经验!P138="","",INT(宠物经验!$B138*宠物经验!P138))</f>
        <v/>
      </c>
      <c r="Q137" s="7">
        <f>IF(宠物经验!Q138="","",INT(宠物经验!$B138*宠物经验!Q138))</f>
        <v>3536000</v>
      </c>
      <c r="R137" s="7" t="str">
        <f>IF(宠物经验!R138="","",INT(宠物经验!$B138*宠物经验!R138))</f>
        <v/>
      </c>
      <c r="S137" s="7">
        <f>IF(宠物经验!S138="","",INT(宠物经验!$B138*宠物经验!S138))</f>
        <v>339966</v>
      </c>
      <c r="T137" s="7">
        <f>IF(宠物经验!T138="","",INT(宠物经验!$B138*宠物经验!T138))</f>
        <v>0</v>
      </c>
      <c r="U137" s="7">
        <f>IF(宠物经验!U138="","",INT(宠物经验!$B138*宠物经验!U138))</f>
        <v>339966</v>
      </c>
      <c r="V137" s="7">
        <f>IF(宠物经验!V138="","",INT(宠物经验!$B138*宠物经验!V138))</f>
        <v>226712</v>
      </c>
      <c r="W137" s="7" t="str">
        <f>IF(宠物经验!W138="","",INT(宠物经验!$B138*宠物经验!W138))</f>
        <v/>
      </c>
      <c r="X137" s="7" t="str">
        <f>IF(宠物经验!X138="","",INT(宠物经验!$B138*宠物经验!X138))</f>
        <v/>
      </c>
      <c r="Y137" s="7">
        <f>IF(宠物经验!Y138="","",INT(宠物经验!$B138*宠物经验!Y138))</f>
        <v>170000</v>
      </c>
      <c r="Z137" s="7" t="str">
        <f>IF(宠物经验!Z138="","",INT(宠物经验!$B138*宠物经验!Z138))</f>
        <v/>
      </c>
      <c r="AA137" s="7">
        <f>IF(宠物经验!AA138="","",INT(宠物经验!$B138*宠物经验!AA138))</f>
        <v>56678</v>
      </c>
      <c r="AB137" s="7" t="str">
        <f>IF(宠物经验!AB138="","",INT(宠物经验!$B138*宠物经验!AB138))</f>
        <v/>
      </c>
      <c r="AC137" s="7" t="str">
        <f>IF(宠物经验!AC138="","",INT(宠物经验!$B138*宠物经验!AC138))</f>
        <v/>
      </c>
      <c r="AD137" s="7" t="str">
        <f>IF(宠物经验!AD138="","",INT(宠物经验!$B138*宠物经验!AD138))</f>
        <v/>
      </c>
      <c r="AE137" s="7" t="str">
        <f>IF(宠物经验!AE138="","",INT(宠物经验!$B138*宠物经验!AE138))</f>
        <v/>
      </c>
      <c r="AF137" s="7">
        <f>宠物经验!AH138</f>
        <v>994070</v>
      </c>
      <c r="AG137" s="7">
        <f>宠物经验!AO138</f>
        <v>11333</v>
      </c>
    </row>
    <row r="138" spans="1:33">
      <c r="A138" s="32">
        <v>137</v>
      </c>
      <c r="B138" s="87">
        <f>宠物经验!B139</f>
        <v>685000</v>
      </c>
      <c r="C138" s="7">
        <f>IF(宠物经验!C139="","",INT(宠物经验!$B139*宠物经验!C139))</f>
        <v>684931</v>
      </c>
      <c r="D138" s="7">
        <f>IF(宠物经验!D139="","",INT(宠物经验!$B139*宠物经验!D139))</f>
        <v>753500</v>
      </c>
      <c r="E138" s="7" t="str">
        <f>IF(宠物经验!E139="","",INT(宠物经验!$B139*宠物经验!E139))</f>
        <v/>
      </c>
      <c r="F138" s="7">
        <f>IF(宠物经验!F139="","",INT(宠物经验!$B139*宠物经验!F139))</f>
        <v>1027500</v>
      </c>
      <c r="G138" s="7">
        <f>IF(宠物经验!G139="","",INT(宠物经验!$B139*宠物经验!G139))</f>
        <v>456621</v>
      </c>
      <c r="H138" s="7" t="str">
        <f>IF(宠物经验!H139="","",INT(宠物经验!$B139*宠物经验!H139))</f>
        <v/>
      </c>
      <c r="I138" s="7" t="str">
        <f>IF(宠物经验!I139="","",INT(宠物经验!$B139*宠物经验!I139))</f>
        <v/>
      </c>
      <c r="J138" s="7" t="str">
        <f>IF(宠物经验!J139="","",INT(宠物经验!$B139*宠物经验!J139))</f>
        <v/>
      </c>
      <c r="K138" s="7">
        <f>IF(宠物经验!K139="","",INT(宠物经验!$B139*宠物经验!K139))</f>
        <v>685000</v>
      </c>
      <c r="L138" s="7" t="str">
        <f>IF(宠物经验!L139="","",INT(宠物经验!$B139*宠物经验!L139))</f>
        <v/>
      </c>
      <c r="M138" s="7" t="str">
        <f>IF(宠物经验!M139="","",INT(宠物经验!$B139*宠物经验!M139))</f>
        <v/>
      </c>
      <c r="N138" s="7">
        <f>IF(宠物经验!N139="","",INT(宠物经验!$B139*宠物经验!N139))</f>
        <v>8220000</v>
      </c>
      <c r="O138" s="7" t="str">
        <f>IF(宠物经验!O139="","",INT(宠物经验!$B139*宠物经验!O139))</f>
        <v/>
      </c>
      <c r="P138" s="7" t="str">
        <f>IF(宠物经验!P139="","",INT(宠物经验!$B139*宠物经验!P139))</f>
        <v/>
      </c>
      <c r="Q138" s="7">
        <f>IF(宠物经验!Q139="","",INT(宠物经验!$B139*宠物经验!Q139))</f>
        <v>3562000</v>
      </c>
      <c r="R138" s="7" t="str">
        <f>IF(宠物经验!R139="","",INT(宠物经验!$B139*宠物经验!R139))</f>
        <v/>
      </c>
      <c r="S138" s="7">
        <f>IF(宠物经验!S139="","",INT(宠物经验!$B139*宠物经验!S139))</f>
        <v>342465</v>
      </c>
      <c r="T138" s="7">
        <f>IF(宠物经验!T139="","",INT(宠物经验!$B139*宠物经验!T139))</f>
        <v>0</v>
      </c>
      <c r="U138" s="7">
        <f>IF(宠物经验!U139="","",INT(宠物经验!$B139*宠物经验!U139))</f>
        <v>342465</v>
      </c>
      <c r="V138" s="7">
        <f>IF(宠物经验!V139="","",INT(宠物经验!$B139*宠物经验!V139))</f>
        <v>228379</v>
      </c>
      <c r="W138" s="7" t="str">
        <f>IF(宠物经验!W139="","",INT(宠物经验!$B139*宠物经验!W139))</f>
        <v/>
      </c>
      <c r="X138" s="7" t="str">
        <f>IF(宠物经验!X139="","",INT(宠物经验!$B139*宠物经验!X139))</f>
        <v/>
      </c>
      <c r="Y138" s="7">
        <f>IF(宠物经验!Y139="","",INT(宠物经验!$B139*宠物经验!Y139))</f>
        <v>171250</v>
      </c>
      <c r="Z138" s="7" t="str">
        <f>IF(宠物经验!Z139="","",INT(宠物经验!$B139*宠物经验!Z139))</f>
        <v/>
      </c>
      <c r="AA138" s="7">
        <f>IF(宠物经验!AA139="","",INT(宠物经验!$B139*宠物经验!AA139))</f>
        <v>57094</v>
      </c>
      <c r="AB138" s="7" t="str">
        <f>IF(宠物经验!AB139="","",INT(宠物经验!$B139*宠物经验!AB139))</f>
        <v/>
      </c>
      <c r="AC138" s="7" t="str">
        <f>IF(宠物经验!AC139="","",INT(宠物经验!$B139*宠物经验!AC139))</f>
        <v/>
      </c>
      <c r="AD138" s="7" t="str">
        <f>IF(宠物经验!AD139="","",INT(宠物经验!$B139*宠物经验!AD139))</f>
        <v/>
      </c>
      <c r="AE138" s="7" t="str">
        <f>IF(宠物经验!AE139="","",INT(宠物经验!$B139*宠物经验!AE139))</f>
        <v/>
      </c>
      <c r="AF138" s="7">
        <f>宠物经验!AH139</f>
        <v>1008220</v>
      </c>
      <c r="AG138" s="7">
        <f>宠物经验!AO139</f>
        <v>11417</v>
      </c>
    </row>
    <row r="139" spans="1:33">
      <c r="A139" s="32">
        <v>138</v>
      </c>
      <c r="B139" s="87">
        <f>宠物经验!B140</f>
        <v>690000</v>
      </c>
      <c r="C139" s="7">
        <f>IF(宠物经验!C140="","",INT(宠物经验!$B140*宠物经验!C140))</f>
        <v>689931</v>
      </c>
      <c r="D139" s="7">
        <f>IF(宠物经验!D140="","",INT(宠物经验!$B140*宠物经验!D140))</f>
        <v>759000</v>
      </c>
      <c r="E139" s="7" t="str">
        <f>IF(宠物经验!E140="","",INT(宠物经验!$B140*宠物经验!E140))</f>
        <v/>
      </c>
      <c r="F139" s="7">
        <f>IF(宠物经验!F140="","",INT(宠物经验!$B140*宠物经验!F140))</f>
        <v>1035000</v>
      </c>
      <c r="G139" s="7">
        <f>IF(宠物经验!G140="","",INT(宠物经验!$B140*宠物经验!G140))</f>
        <v>459954</v>
      </c>
      <c r="H139" s="7" t="str">
        <f>IF(宠物经验!H140="","",INT(宠物经验!$B140*宠物经验!H140))</f>
        <v/>
      </c>
      <c r="I139" s="7" t="str">
        <f>IF(宠物经验!I140="","",INT(宠物经验!$B140*宠物经验!I140))</f>
        <v/>
      </c>
      <c r="J139" s="7" t="str">
        <f>IF(宠物经验!J140="","",INT(宠物经验!$B140*宠物经验!J140))</f>
        <v/>
      </c>
      <c r="K139" s="7">
        <f>IF(宠物经验!K140="","",INT(宠物经验!$B140*宠物经验!K140))</f>
        <v>690000</v>
      </c>
      <c r="L139" s="7" t="str">
        <f>IF(宠物经验!L140="","",INT(宠物经验!$B140*宠物经验!L140))</f>
        <v/>
      </c>
      <c r="M139" s="7" t="str">
        <f>IF(宠物经验!M140="","",INT(宠物经验!$B140*宠物经验!M140))</f>
        <v/>
      </c>
      <c r="N139" s="7">
        <f>IF(宠物经验!N140="","",INT(宠物经验!$B140*宠物经验!N140))</f>
        <v>8280000</v>
      </c>
      <c r="O139" s="7" t="str">
        <f>IF(宠物经验!O140="","",INT(宠物经验!$B140*宠物经验!O140))</f>
        <v/>
      </c>
      <c r="P139" s="7" t="str">
        <f>IF(宠物经验!P140="","",INT(宠物经验!$B140*宠物经验!P140))</f>
        <v/>
      </c>
      <c r="Q139" s="7">
        <f>IF(宠物经验!Q140="","",INT(宠物经验!$B140*宠物经验!Q140))</f>
        <v>3588000</v>
      </c>
      <c r="R139" s="7" t="str">
        <f>IF(宠物经验!R140="","",INT(宠物经验!$B140*宠物经验!R140))</f>
        <v/>
      </c>
      <c r="S139" s="7">
        <f>IF(宠物经验!S140="","",INT(宠物经验!$B140*宠物经验!S140))</f>
        <v>344965</v>
      </c>
      <c r="T139" s="7">
        <f>IF(宠物经验!T140="","",INT(宠物经验!$B140*宠物经验!T140))</f>
        <v>0</v>
      </c>
      <c r="U139" s="7">
        <f>IF(宠物经验!U140="","",INT(宠物经验!$B140*宠物经验!U140))</f>
        <v>344965</v>
      </c>
      <c r="V139" s="7">
        <f>IF(宠物经验!V140="","",INT(宠物经验!$B140*宠物经验!V140))</f>
        <v>230046</v>
      </c>
      <c r="W139" s="7" t="str">
        <f>IF(宠物经验!W140="","",INT(宠物经验!$B140*宠物经验!W140))</f>
        <v/>
      </c>
      <c r="X139" s="7" t="str">
        <f>IF(宠物经验!X140="","",INT(宠物经验!$B140*宠物经验!X140))</f>
        <v/>
      </c>
      <c r="Y139" s="7">
        <f>IF(宠物经验!Y140="","",INT(宠物经验!$B140*宠物经验!Y140))</f>
        <v>172500</v>
      </c>
      <c r="Z139" s="7" t="str">
        <f>IF(宠物经验!Z140="","",INT(宠物经验!$B140*宠物经验!Z140))</f>
        <v/>
      </c>
      <c r="AA139" s="7">
        <f>IF(宠物经验!AA140="","",INT(宠物经验!$B140*宠物经验!AA140))</f>
        <v>57511</v>
      </c>
      <c r="AB139" s="7" t="str">
        <f>IF(宠物经验!AB140="","",INT(宠物经验!$B140*宠物经验!AB140))</f>
        <v/>
      </c>
      <c r="AC139" s="7" t="str">
        <f>IF(宠物经验!AC140="","",INT(宠物经验!$B140*宠物经验!AC140))</f>
        <v/>
      </c>
      <c r="AD139" s="7" t="str">
        <f>IF(宠物经验!AD140="","",INT(宠物经验!$B140*宠物经验!AD140))</f>
        <v/>
      </c>
      <c r="AE139" s="7" t="str">
        <f>IF(宠物经验!AE140="","",INT(宠物经验!$B140*宠物经验!AE140))</f>
        <v/>
      </c>
      <c r="AF139" s="7">
        <f>宠物经验!AH140</f>
        <v>1022470</v>
      </c>
      <c r="AG139" s="7">
        <f>宠物经验!AO140</f>
        <v>11500</v>
      </c>
    </row>
    <row r="140" spans="1:33">
      <c r="A140" s="32">
        <v>139</v>
      </c>
      <c r="B140" s="87">
        <f>宠物经验!B141</f>
        <v>695000</v>
      </c>
      <c r="C140" s="7">
        <f>IF(宠物经验!C141="","",INT(宠物经验!$B141*宠物经验!C141))</f>
        <v>694930</v>
      </c>
      <c r="D140" s="7">
        <f>IF(宠物经验!D141="","",INT(宠物经验!$B141*宠物经验!D141))</f>
        <v>764500</v>
      </c>
      <c r="E140" s="7" t="str">
        <f>IF(宠物经验!E141="","",INT(宠物经验!$B141*宠物经验!E141))</f>
        <v/>
      </c>
      <c r="F140" s="7">
        <f>IF(宠物经验!F141="","",INT(宠物经验!$B141*宠物经验!F141))</f>
        <v>1042500</v>
      </c>
      <c r="G140" s="7">
        <f>IF(宠物经验!G141="","",INT(宠物经验!$B141*宠物经验!G141))</f>
        <v>463287</v>
      </c>
      <c r="H140" s="7" t="str">
        <f>IF(宠物经验!H141="","",INT(宠物经验!$B141*宠物经验!H141))</f>
        <v/>
      </c>
      <c r="I140" s="7" t="str">
        <f>IF(宠物经验!I141="","",INT(宠物经验!$B141*宠物经验!I141))</f>
        <v/>
      </c>
      <c r="J140" s="7" t="str">
        <f>IF(宠物经验!J141="","",INT(宠物经验!$B141*宠物经验!J141))</f>
        <v/>
      </c>
      <c r="K140" s="7">
        <f>IF(宠物经验!K141="","",INT(宠物经验!$B141*宠物经验!K141))</f>
        <v>695000</v>
      </c>
      <c r="L140" s="7" t="str">
        <f>IF(宠物经验!L141="","",INT(宠物经验!$B141*宠物经验!L141))</f>
        <v/>
      </c>
      <c r="M140" s="7" t="str">
        <f>IF(宠物经验!M141="","",INT(宠物经验!$B141*宠物经验!M141))</f>
        <v/>
      </c>
      <c r="N140" s="7">
        <f>IF(宠物经验!N141="","",INT(宠物经验!$B141*宠物经验!N141))</f>
        <v>8340000</v>
      </c>
      <c r="O140" s="7" t="str">
        <f>IF(宠物经验!O141="","",INT(宠物经验!$B141*宠物经验!O141))</f>
        <v/>
      </c>
      <c r="P140" s="7" t="str">
        <f>IF(宠物经验!P141="","",INT(宠物经验!$B141*宠物经验!P141))</f>
        <v/>
      </c>
      <c r="Q140" s="7">
        <f>IF(宠物经验!Q141="","",INT(宠物经验!$B141*宠物经验!Q141))</f>
        <v>3614000</v>
      </c>
      <c r="R140" s="7" t="str">
        <f>IF(宠物经验!R141="","",INT(宠物经验!$B141*宠物经验!R141))</f>
        <v/>
      </c>
      <c r="S140" s="7">
        <f>IF(宠物经验!S141="","",INT(宠物经验!$B141*宠物经验!S141))</f>
        <v>347465</v>
      </c>
      <c r="T140" s="7">
        <f>IF(宠物经验!T141="","",INT(宠物经验!$B141*宠物经验!T141))</f>
        <v>0</v>
      </c>
      <c r="U140" s="7">
        <f>IF(宠物经验!U141="","",INT(宠物经验!$B141*宠物经验!U141))</f>
        <v>347465</v>
      </c>
      <c r="V140" s="7">
        <f>IF(宠物经验!V141="","",INT(宠物经验!$B141*宠物经验!V141))</f>
        <v>231713</v>
      </c>
      <c r="W140" s="7" t="str">
        <f>IF(宠物经验!W141="","",INT(宠物经验!$B141*宠物经验!W141))</f>
        <v/>
      </c>
      <c r="X140" s="7" t="str">
        <f>IF(宠物经验!X141="","",INT(宠物经验!$B141*宠物经验!X141))</f>
        <v/>
      </c>
      <c r="Y140" s="7">
        <f>IF(宠物经验!Y141="","",INT(宠物经验!$B141*宠物经验!Y141))</f>
        <v>173750</v>
      </c>
      <c r="Z140" s="7" t="str">
        <f>IF(宠物经验!Z141="","",INT(宠物经验!$B141*宠物经验!Z141))</f>
        <v/>
      </c>
      <c r="AA140" s="7">
        <f>IF(宠物经验!AA141="","",INT(宠物经验!$B141*宠物经验!AA141))</f>
        <v>57928</v>
      </c>
      <c r="AB140" s="7" t="str">
        <f>IF(宠物经验!AB141="","",INT(宠物经验!$B141*宠物经验!AB141))</f>
        <v/>
      </c>
      <c r="AC140" s="7" t="str">
        <f>IF(宠物经验!AC141="","",INT(宠物经验!$B141*宠物经验!AC141))</f>
        <v/>
      </c>
      <c r="AD140" s="7" t="str">
        <f>IF(宠物经验!AD141="","",INT(宠物经验!$B141*宠物经验!AD141))</f>
        <v/>
      </c>
      <c r="AE140" s="7" t="str">
        <f>IF(宠物经验!AE141="","",INT(宠物经验!$B141*宠物经验!AE141))</f>
        <v/>
      </c>
      <c r="AF140" s="7">
        <f>宠物经验!AH141</f>
        <v>1036820</v>
      </c>
      <c r="AG140" s="7">
        <f>宠物经验!AO141</f>
        <v>11583</v>
      </c>
    </row>
    <row r="141" spans="1:33">
      <c r="A141" s="32">
        <v>140</v>
      </c>
      <c r="B141" s="87">
        <f>宠物经验!B142</f>
        <v>700000</v>
      </c>
      <c r="C141" s="7">
        <f>IF(宠物经验!C142="","",INT(宠物经验!$B142*宠物经验!C142))</f>
        <v>699930</v>
      </c>
      <c r="D141" s="7">
        <f>IF(宠物经验!D142="","",INT(宠物经验!$B142*宠物经验!D142))</f>
        <v>770000</v>
      </c>
      <c r="E141" s="7" t="str">
        <f>IF(宠物经验!E142="","",INT(宠物经验!$B142*宠物经验!E142))</f>
        <v/>
      </c>
      <c r="F141" s="7">
        <f>IF(宠物经验!F142="","",INT(宠物经验!$B142*宠物经验!F142))</f>
        <v>1050000</v>
      </c>
      <c r="G141" s="7">
        <f>IF(宠物经验!G142="","",INT(宠物经验!$B142*宠物经验!G142))</f>
        <v>466620</v>
      </c>
      <c r="H141" s="7" t="str">
        <f>IF(宠物经验!H142="","",INT(宠物经验!$B142*宠物经验!H142))</f>
        <v/>
      </c>
      <c r="I141" s="7" t="str">
        <f>IF(宠物经验!I142="","",INT(宠物经验!$B142*宠物经验!I142))</f>
        <v/>
      </c>
      <c r="J141" s="7" t="str">
        <f>IF(宠物经验!J142="","",INT(宠物经验!$B142*宠物经验!J142))</f>
        <v/>
      </c>
      <c r="K141" s="7">
        <f>IF(宠物经验!K142="","",INT(宠物经验!$B142*宠物经验!K142))</f>
        <v>700000</v>
      </c>
      <c r="L141" s="7" t="str">
        <f>IF(宠物经验!L142="","",INT(宠物经验!$B142*宠物经验!L142))</f>
        <v/>
      </c>
      <c r="M141" s="7" t="str">
        <f>IF(宠物经验!M142="","",INT(宠物经验!$B142*宠物经验!M142))</f>
        <v/>
      </c>
      <c r="N141" s="7">
        <f>IF(宠物经验!N142="","",INT(宠物经验!$B142*宠物经验!N142))</f>
        <v>8400000</v>
      </c>
      <c r="O141" s="7" t="str">
        <f>IF(宠物经验!O142="","",INT(宠物经验!$B142*宠物经验!O142))</f>
        <v/>
      </c>
      <c r="P141" s="7" t="str">
        <f>IF(宠物经验!P142="","",INT(宠物经验!$B142*宠物经验!P142))</f>
        <v/>
      </c>
      <c r="Q141" s="7">
        <f>IF(宠物经验!Q142="","",INT(宠物经验!$B142*宠物经验!Q142))</f>
        <v>3640000</v>
      </c>
      <c r="R141" s="7" t="str">
        <f>IF(宠物经验!R142="","",INT(宠物经验!$B142*宠物经验!R142))</f>
        <v/>
      </c>
      <c r="S141" s="7">
        <f>IF(宠物经验!S142="","",INT(宠物经验!$B142*宠物经验!S142))</f>
        <v>349965</v>
      </c>
      <c r="T141" s="7">
        <f>IF(宠物经验!T142="","",INT(宠物经验!$B142*宠物经验!T142))</f>
        <v>0</v>
      </c>
      <c r="U141" s="7">
        <f>IF(宠物经验!U142="","",INT(宠物经验!$B142*宠物经验!U142))</f>
        <v>349965</v>
      </c>
      <c r="V141" s="7">
        <f>IF(宠物经验!V142="","",INT(宠物经验!$B142*宠物经验!V142))</f>
        <v>233380</v>
      </c>
      <c r="W141" s="7" t="str">
        <f>IF(宠物经验!W142="","",INT(宠物经验!$B142*宠物经验!W142))</f>
        <v/>
      </c>
      <c r="X141" s="7" t="str">
        <f>IF(宠物经验!X142="","",INT(宠物经验!$B142*宠物经验!X142))</f>
        <v/>
      </c>
      <c r="Y141" s="7">
        <f>IF(宠物经验!Y142="","",INT(宠物经验!$B142*宠物经验!Y142))</f>
        <v>175000</v>
      </c>
      <c r="Z141" s="7" t="str">
        <f>IF(宠物经验!Z142="","",INT(宠物经验!$B142*宠物经验!Z142))</f>
        <v/>
      </c>
      <c r="AA141" s="7">
        <f>IF(宠物经验!AA142="","",INT(宠物经验!$B142*宠物经验!AA142))</f>
        <v>58345</v>
      </c>
      <c r="AB141" s="7" t="str">
        <f>IF(宠物经验!AB142="","",INT(宠物经验!$B142*宠物经验!AB142))</f>
        <v/>
      </c>
      <c r="AC141" s="7" t="str">
        <f>IF(宠物经验!AC142="","",INT(宠物经验!$B142*宠物经验!AC142))</f>
        <v/>
      </c>
      <c r="AD141" s="7" t="str">
        <f>IF(宠物经验!AD142="","",INT(宠物经验!$B142*宠物经验!AD142))</f>
        <v/>
      </c>
      <c r="AE141" s="7" t="str">
        <f>IF(宠物经验!AE142="","",INT(宠物经验!$B142*宠物经验!AE142))</f>
        <v/>
      </c>
      <c r="AF141" s="7">
        <f>宠物经验!AH142</f>
        <v>1051270</v>
      </c>
      <c r="AG141" s="7">
        <f>宠物经验!AO142</f>
        <v>11667</v>
      </c>
    </row>
    <row r="142" spans="1:33">
      <c r="A142" s="32">
        <v>141</v>
      </c>
      <c r="B142" s="87">
        <f>宠物经验!B143</f>
        <v>705000</v>
      </c>
      <c r="C142" s="7">
        <f>IF(宠物经验!C143="","",INT(宠物经验!$B143*宠物经验!C143))</f>
        <v>704929</v>
      </c>
      <c r="D142" s="7">
        <f>IF(宠物经验!D143="","",INT(宠物经验!$B143*宠物经验!D143))</f>
        <v>775500</v>
      </c>
      <c r="E142" s="7" t="str">
        <f>IF(宠物经验!E143="","",INT(宠物经验!$B143*宠物经验!E143))</f>
        <v/>
      </c>
      <c r="F142" s="7">
        <f>IF(宠物经验!F143="","",INT(宠物经验!$B143*宠物经验!F143))</f>
        <v>1057500</v>
      </c>
      <c r="G142" s="7">
        <f>IF(宠物经验!G143="","",INT(宠物经验!$B143*宠物经验!G143))</f>
        <v>469953</v>
      </c>
      <c r="H142" s="7" t="str">
        <f>IF(宠物经验!H143="","",INT(宠物经验!$B143*宠物经验!H143))</f>
        <v/>
      </c>
      <c r="I142" s="7" t="str">
        <f>IF(宠物经验!I143="","",INT(宠物经验!$B143*宠物经验!I143))</f>
        <v/>
      </c>
      <c r="J142" s="7" t="str">
        <f>IF(宠物经验!J143="","",INT(宠物经验!$B143*宠物经验!J143))</f>
        <v/>
      </c>
      <c r="K142" s="7">
        <f>IF(宠物经验!K143="","",INT(宠物经验!$B143*宠物经验!K143))</f>
        <v>705000</v>
      </c>
      <c r="L142" s="7" t="str">
        <f>IF(宠物经验!L143="","",INT(宠物经验!$B143*宠物经验!L143))</f>
        <v/>
      </c>
      <c r="M142" s="7" t="str">
        <f>IF(宠物经验!M143="","",INT(宠物经验!$B143*宠物经验!M143))</f>
        <v/>
      </c>
      <c r="N142" s="7">
        <f>IF(宠物经验!N143="","",INT(宠物经验!$B143*宠物经验!N143))</f>
        <v>8460000</v>
      </c>
      <c r="O142" s="7" t="str">
        <f>IF(宠物经验!O143="","",INT(宠物经验!$B143*宠物经验!O143))</f>
        <v/>
      </c>
      <c r="P142" s="7" t="str">
        <f>IF(宠物经验!P143="","",INT(宠物经验!$B143*宠物经验!P143))</f>
        <v/>
      </c>
      <c r="Q142" s="7">
        <f>IF(宠物经验!Q143="","",INT(宠物经验!$B143*宠物经验!Q143))</f>
        <v>3666000</v>
      </c>
      <c r="R142" s="7" t="str">
        <f>IF(宠物经验!R143="","",INT(宠物经验!$B143*宠物经验!R143))</f>
        <v/>
      </c>
      <c r="S142" s="7">
        <f>IF(宠物经验!S143="","",INT(宠物经验!$B143*宠物经验!S143))</f>
        <v>352464</v>
      </c>
      <c r="T142" s="7">
        <f>IF(宠物经验!T143="","",INT(宠物经验!$B143*宠物经验!T143))</f>
        <v>0</v>
      </c>
      <c r="U142" s="7">
        <f>IF(宠物经验!U143="","",INT(宠物经验!$B143*宠物经验!U143))</f>
        <v>352464</v>
      </c>
      <c r="V142" s="7">
        <f>IF(宠物经验!V143="","",INT(宠物经验!$B143*宠物经验!V143))</f>
        <v>235047</v>
      </c>
      <c r="W142" s="7" t="str">
        <f>IF(宠物经验!W143="","",INT(宠物经验!$B143*宠物经验!W143))</f>
        <v/>
      </c>
      <c r="X142" s="7" t="str">
        <f>IF(宠物经验!X143="","",INT(宠物经验!$B143*宠物经验!X143))</f>
        <v/>
      </c>
      <c r="Y142" s="7">
        <f>IF(宠物经验!Y143="","",INT(宠物经验!$B143*宠物经验!Y143))</f>
        <v>176250</v>
      </c>
      <c r="Z142" s="7" t="str">
        <f>IF(宠物经验!Z143="","",INT(宠物经验!$B143*宠物经验!Z143))</f>
        <v/>
      </c>
      <c r="AA142" s="7">
        <f>IF(宠物经验!AA143="","",INT(宠物经验!$B143*宠物经验!AA143))</f>
        <v>58761</v>
      </c>
      <c r="AB142" s="7" t="str">
        <f>IF(宠物经验!AB143="","",INT(宠物经验!$B143*宠物经验!AB143))</f>
        <v/>
      </c>
      <c r="AC142" s="7" t="str">
        <f>IF(宠物经验!AC143="","",INT(宠物经验!$B143*宠物经验!AC143))</f>
        <v/>
      </c>
      <c r="AD142" s="7" t="str">
        <f>IF(宠物经验!AD143="","",INT(宠物经验!$B143*宠物经验!AD143))</f>
        <v/>
      </c>
      <c r="AE142" s="7" t="str">
        <f>IF(宠物经验!AE143="","",INT(宠物经验!$B143*宠物经验!AE143))</f>
        <v/>
      </c>
      <c r="AF142" s="7">
        <f>宠物经验!AH143</f>
        <v>1065820</v>
      </c>
      <c r="AG142" s="7">
        <f>宠物经验!AO143</f>
        <v>11750</v>
      </c>
    </row>
    <row r="143" spans="1:33">
      <c r="A143" s="32">
        <v>142</v>
      </c>
      <c r="B143" s="87">
        <f>宠物经验!B144</f>
        <v>710000</v>
      </c>
      <c r="C143" s="7">
        <f>IF(宠物经验!C144="","",INT(宠物经验!$B144*宠物经验!C144))</f>
        <v>709929</v>
      </c>
      <c r="D143" s="7">
        <f>IF(宠物经验!D144="","",INT(宠物经验!$B144*宠物经验!D144))</f>
        <v>781000</v>
      </c>
      <c r="E143" s="7" t="str">
        <f>IF(宠物经验!E144="","",INT(宠物经验!$B144*宠物经验!E144))</f>
        <v/>
      </c>
      <c r="F143" s="7">
        <f>IF(宠物经验!F144="","",INT(宠物经验!$B144*宠物经验!F144))</f>
        <v>1065000</v>
      </c>
      <c r="G143" s="7">
        <f>IF(宠物经验!G144="","",INT(宠物经验!$B144*宠物经验!G144))</f>
        <v>473286</v>
      </c>
      <c r="H143" s="7" t="str">
        <f>IF(宠物经验!H144="","",INT(宠物经验!$B144*宠物经验!H144))</f>
        <v/>
      </c>
      <c r="I143" s="7" t="str">
        <f>IF(宠物经验!I144="","",INT(宠物经验!$B144*宠物经验!I144))</f>
        <v/>
      </c>
      <c r="J143" s="7" t="str">
        <f>IF(宠物经验!J144="","",INT(宠物经验!$B144*宠物经验!J144))</f>
        <v/>
      </c>
      <c r="K143" s="7">
        <f>IF(宠物经验!K144="","",INT(宠物经验!$B144*宠物经验!K144))</f>
        <v>710000</v>
      </c>
      <c r="L143" s="7" t="str">
        <f>IF(宠物经验!L144="","",INT(宠物经验!$B144*宠物经验!L144))</f>
        <v/>
      </c>
      <c r="M143" s="7" t="str">
        <f>IF(宠物经验!M144="","",INT(宠物经验!$B144*宠物经验!M144))</f>
        <v/>
      </c>
      <c r="N143" s="7">
        <f>IF(宠物经验!N144="","",INT(宠物经验!$B144*宠物经验!N144))</f>
        <v>8520000</v>
      </c>
      <c r="O143" s="7" t="str">
        <f>IF(宠物经验!O144="","",INT(宠物经验!$B144*宠物经验!O144))</f>
        <v/>
      </c>
      <c r="P143" s="7" t="str">
        <f>IF(宠物经验!P144="","",INT(宠物经验!$B144*宠物经验!P144))</f>
        <v/>
      </c>
      <c r="Q143" s="7">
        <f>IF(宠物经验!Q144="","",INT(宠物经验!$B144*宠物经验!Q144))</f>
        <v>3692000</v>
      </c>
      <c r="R143" s="7" t="str">
        <f>IF(宠物经验!R144="","",INT(宠物经验!$B144*宠物经验!R144))</f>
        <v/>
      </c>
      <c r="S143" s="7">
        <f>IF(宠物经验!S144="","",INT(宠物经验!$B144*宠物经验!S144))</f>
        <v>354964</v>
      </c>
      <c r="T143" s="7">
        <f>IF(宠物经验!T144="","",INT(宠物经验!$B144*宠物经验!T144))</f>
        <v>0</v>
      </c>
      <c r="U143" s="7">
        <f>IF(宠物经验!U144="","",INT(宠物经验!$B144*宠物经验!U144))</f>
        <v>354964</v>
      </c>
      <c r="V143" s="7">
        <f>IF(宠物经验!V144="","",INT(宠物经验!$B144*宠物经验!V144))</f>
        <v>236714</v>
      </c>
      <c r="W143" s="7" t="str">
        <f>IF(宠物经验!W144="","",INT(宠物经验!$B144*宠物经验!W144))</f>
        <v/>
      </c>
      <c r="X143" s="7" t="str">
        <f>IF(宠物经验!X144="","",INT(宠物经验!$B144*宠物经验!X144))</f>
        <v/>
      </c>
      <c r="Y143" s="7">
        <f>IF(宠物经验!Y144="","",INT(宠物经验!$B144*宠物经验!Y144))</f>
        <v>177500</v>
      </c>
      <c r="Z143" s="7" t="str">
        <f>IF(宠物经验!Z144="","",INT(宠物经验!$B144*宠物经验!Z144))</f>
        <v/>
      </c>
      <c r="AA143" s="7">
        <f>IF(宠物经验!AA144="","",INT(宠物经验!$B144*宠物经验!AA144))</f>
        <v>59178</v>
      </c>
      <c r="AB143" s="7" t="str">
        <f>IF(宠物经验!AB144="","",INT(宠物经验!$B144*宠物经验!AB144))</f>
        <v/>
      </c>
      <c r="AC143" s="7" t="str">
        <f>IF(宠物经验!AC144="","",INT(宠物经验!$B144*宠物经验!AC144))</f>
        <v/>
      </c>
      <c r="AD143" s="7" t="str">
        <f>IF(宠物经验!AD144="","",INT(宠物经验!$B144*宠物经验!AD144))</f>
        <v/>
      </c>
      <c r="AE143" s="7" t="str">
        <f>IF(宠物经验!AE144="","",INT(宠物经验!$B144*宠物经验!AE144))</f>
        <v/>
      </c>
      <c r="AF143" s="7">
        <f>宠物经验!AH144</f>
        <v>1080470</v>
      </c>
      <c r="AG143" s="7">
        <f>宠物经验!AO144</f>
        <v>11833</v>
      </c>
    </row>
    <row r="144" spans="1:33">
      <c r="A144" s="32">
        <v>143</v>
      </c>
      <c r="B144" s="87">
        <f>宠物经验!B145</f>
        <v>715000</v>
      </c>
      <c r="C144" s="7">
        <f>IF(宠物经验!C145="","",INT(宠物经验!$B145*宠物经验!C145))</f>
        <v>714928</v>
      </c>
      <c r="D144" s="7">
        <f>IF(宠物经验!D145="","",INT(宠物经验!$B145*宠物经验!D145))</f>
        <v>786500</v>
      </c>
      <c r="E144" s="7" t="str">
        <f>IF(宠物经验!E145="","",INT(宠物经验!$B145*宠物经验!E145))</f>
        <v/>
      </c>
      <c r="F144" s="7">
        <f>IF(宠物经验!F145="","",INT(宠物经验!$B145*宠物经验!F145))</f>
        <v>1072500</v>
      </c>
      <c r="G144" s="7">
        <f>IF(宠物经验!G145="","",INT(宠物经验!$B145*宠物经验!G145))</f>
        <v>476619</v>
      </c>
      <c r="H144" s="7" t="str">
        <f>IF(宠物经验!H145="","",INT(宠物经验!$B145*宠物经验!H145))</f>
        <v/>
      </c>
      <c r="I144" s="7" t="str">
        <f>IF(宠物经验!I145="","",INT(宠物经验!$B145*宠物经验!I145))</f>
        <v/>
      </c>
      <c r="J144" s="7" t="str">
        <f>IF(宠物经验!J145="","",INT(宠物经验!$B145*宠物经验!J145))</f>
        <v/>
      </c>
      <c r="K144" s="7">
        <f>IF(宠物经验!K145="","",INT(宠物经验!$B145*宠物经验!K145))</f>
        <v>715000</v>
      </c>
      <c r="L144" s="7" t="str">
        <f>IF(宠物经验!L145="","",INT(宠物经验!$B145*宠物经验!L145))</f>
        <v/>
      </c>
      <c r="M144" s="7" t="str">
        <f>IF(宠物经验!M145="","",INT(宠物经验!$B145*宠物经验!M145))</f>
        <v/>
      </c>
      <c r="N144" s="7">
        <f>IF(宠物经验!N145="","",INT(宠物经验!$B145*宠物经验!N145))</f>
        <v>8580000</v>
      </c>
      <c r="O144" s="7" t="str">
        <f>IF(宠物经验!O145="","",INT(宠物经验!$B145*宠物经验!O145))</f>
        <v/>
      </c>
      <c r="P144" s="7" t="str">
        <f>IF(宠物经验!P145="","",INT(宠物经验!$B145*宠物经验!P145))</f>
        <v/>
      </c>
      <c r="Q144" s="7">
        <f>IF(宠物经验!Q145="","",INT(宠物经验!$B145*宠物经验!Q145))</f>
        <v>3718000</v>
      </c>
      <c r="R144" s="7" t="str">
        <f>IF(宠物经验!R145="","",INT(宠物经验!$B145*宠物经验!R145))</f>
        <v/>
      </c>
      <c r="S144" s="7">
        <f>IF(宠物经验!S145="","",INT(宠物经验!$B145*宠物经验!S145))</f>
        <v>357464</v>
      </c>
      <c r="T144" s="7">
        <f>IF(宠物经验!T145="","",INT(宠物经验!$B145*宠物经验!T145))</f>
        <v>0</v>
      </c>
      <c r="U144" s="7">
        <f>IF(宠物经验!U145="","",INT(宠物经验!$B145*宠物经验!U145))</f>
        <v>357464</v>
      </c>
      <c r="V144" s="7">
        <f>IF(宠物经验!V145="","",INT(宠物经验!$B145*宠物经验!V145))</f>
        <v>238381</v>
      </c>
      <c r="W144" s="7" t="str">
        <f>IF(宠物经验!W145="","",INT(宠物经验!$B145*宠物经验!W145))</f>
        <v/>
      </c>
      <c r="X144" s="7" t="str">
        <f>IF(宠物经验!X145="","",INT(宠物经验!$B145*宠物经验!X145))</f>
        <v/>
      </c>
      <c r="Y144" s="7">
        <f>IF(宠物经验!Y145="","",INT(宠物经验!$B145*宠物经验!Y145))</f>
        <v>178750</v>
      </c>
      <c r="Z144" s="7" t="str">
        <f>IF(宠物经验!Z145="","",INT(宠物经验!$B145*宠物经验!Z145))</f>
        <v/>
      </c>
      <c r="AA144" s="7">
        <f>IF(宠物经验!AA145="","",INT(宠物经验!$B145*宠物经验!AA145))</f>
        <v>59595</v>
      </c>
      <c r="AB144" s="7" t="str">
        <f>IF(宠物经验!AB145="","",INT(宠物经验!$B145*宠物经验!AB145))</f>
        <v/>
      </c>
      <c r="AC144" s="7" t="str">
        <f>IF(宠物经验!AC145="","",INT(宠物经验!$B145*宠物经验!AC145))</f>
        <v/>
      </c>
      <c r="AD144" s="7" t="str">
        <f>IF(宠物经验!AD145="","",INT(宠物经验!$B145*宠物经验!AD145))</f>
        <v/>
      </c>
      <c r="AE144" s="7" t="str">
        <f>IF(宠物经验!AE145="","",INT(宠物经验!$B145*宠物经验!AE145))</f>
        <v/>
      </c>
      <c r="AF144" s="7">
        <f>宠物经验!AH145</f>
        <v>1095220</v>
      </c>
      <c r="AG144" s="7">
        <f>宠物经验!AO145</f>
        <v>11917</v>
      </c>
    </row>
    <row r="145" spans="1:33">
      <c r="A145" s="32">
        <v>144</v>
      </c>
      <c r="B145" s="87">
        <f>宠物经验!B146</f>
        <v>720000</v>
      </c>
      <c r="C145" s="7">
        <f>IF(宠物经验!C146="","",INT(宠物经验!$B146*宠物经验!C146))</f>
        <v>719928</v>
      </c>
      <c r="D145" s="7">
        <f>IF(宠物经验!D146="","",INT(宠物经验!$B146*宠物经验!D146))</f>
        <v>792000</v>
      </c>
      <c r="E145" s="7" t="str">
        <f>IF(宠物经验!E146="","",INT(宠物经验!$B146*宠物经验!E146))</f>
        <v/>
      </c>
      <c r="F145" s="7">
        <f>IF(宠物经验!F146="","",INT(宠物经验!$B146*宠物经验!F146))</f>
        <v>1080000</v>
      </c>
      <c r="G145" s="7">
        <f>IF(宠物经验!G146="","",INT(宠物经验!$B146*宠物经验!G146))</f>
        <v>479952</v>
      </c>
      <c r="H145" s="7" t="str">
        <f>IF(宠物经验!H146="","",INT(宠物经验!$B146*宠物经验!H146))</f>
        <v/>
      </c>
      <c r="I145" s="7" t="str">
        <f>IF(宠物经验!I146="","",INT(宠物经验!$B146*宠物经验!I146))</f>
        <v/>
      </c>
      <c r="J145" s="7" t="str">
        <f>IF(宠物经验!J146="","",INT(宠物经验!$B146*宠物经验!J146))</f>
        <v/>
      </c>
      <c r="K145" s="7">
        <f>IF(宠物经验!K146="","",INT(宠物经验!$B146*宠物经验!K146))</f>
        <v>720000</v>
      </c>
      <c r="L145" s="7" t="str">
        <f>IF(宠物经验!L146="","",INT(宠物经验!$B146*宠物经验!L146))</f>
        <v/>
      </c>
      <c r="M145" s="7" t="str">
        <f>IF(宠物经验!M146="","",INT(宠物经验!$B146*宠物经验!M146))</f>
        <v/>
      </c>
      <c r="N145" s="7">
        <f>IF(宠物经验!N146="","",INT(宠物经验!$B146*宠物经验!N146))</f>
        <v>8640000</v>
      </c>
      <c r="O145" s="7" t="str">
        <f>IF(宠物经验!O146="","",INT(宠物经验!$B146*宠物经验!O146))</f>
        <v/>
      </c>
      <c r="P145" s="7" t="str">
        <f>IF(宠物经验!P146="","",INT(宠物经验!$B146*宠物经验!P146))</f>
        <v/>
      </c>
      <c r="Q145" s="7">
        <f>IF(宠物经验!Q146="","",INT(宠物经验!$B146*宠物经验!Q146))</f>
        <v>3744000</v>
      </c>
      <c r="R145" s="7" t="str">
        <f>IF(宠物经验!R146="","",INT(宠物经验!$B146*宠物经验!R146))</f>
        <v/>
      </c>
      <c r="S145" s="7">
        <f>IF(宠物经验!S146="","",INT(宠物经验!$B146*宠物经验!S146))</f>
        <v>359964</v>
      </c>
      <c r="T145" s="7">
        <f>IF(宠物经验!T146="","",INT(宠物经验!$B146*宠物经验!T146))</f>
        <v>0</v>
      </c>
      <c r="U145" s="7">
        <f>IF(宠物经验!U146="","",INT(宠物经验!$B146*宠物经验!U146))</f>
        <v>359964</v>
      </c>
      <c r="V145" s="7">
        <f>IF(宠物经验!V146="","",INT(宠物经验!$B146*宠物经验!V146))</f>
        <v>240048</v>
      </c>
      <c r="W145" s="7" t="str">
        <f>IF(宠物经验!W146="","",INT(宠物经验!$B146*宠物经验!W146))</f>
        <v/>
      </c>
      <c r="X145" s="7" t="str">
        <f>IF(宠物经验!X146="","",INT(宠物经验!$B146*宠物经验!X146))</f>
        <v/>
      </c>
      <c r="Y145" s="7">
        <f>IF(宠物经验!Y146="","",INT(宠物经验!$B146*宠物经验!Y146))</f>
        <v>180000</v>
      </c>
      <c r="Z145" s="7" t="str">
        <f>IF(宠物经验!Z146="","",INT(宠物经验!$B146*宠物经验!Z146))</f>
        <v/>
      </c>
      <c r="AA145" s="7">
        <f>IF(宠物经验!AA146="","",INT(宠物经验!$B146*宠物经验!AA146))</f>
        <v>60012</v>
      </c>
      <c r="AB145" s="7" t="str">
        <f>IF(宠物经验!AB146="","",INT(宠物经验!$B146*宠物经验!AB146))</f>
        <v/>
      </c>
      <c r="AC145" s="7" t="str">
        <f>IF(宠物经验!AC146="","",INT(宠物经验!$B146*宠物经验!AC146))</f>
        <v/>
      </c>
      <c r="AD145" s="7" t="str">
        <f>IF(宠物经验!AD146="","",INT(宠物经验!$B146*宠物经验!AD146))</f>
        <v/>
      </c>
      <c r="AE145" s="7" t="str">
        <f>IF(宠物经验!AE146="","",INT(宠物经验!$B146*宠物经验!AE146))</f>
        <v/>
      </c>
      <c r="AF145" s="7">
        <f>宠物经验!AH146</f>
        <v>1110070</v>
      </c>
      <c r="AG145" s="7">
        <f>宠物经验!AO146</f>
        <v>12000</v>
      </c>
    </row>
    <row r="146" spans="1:33">
      <c r="A146" s="32">
        <v>145</v>
      </c>
      <c r="B146" s="87">
        <f>宠物经验!B147</f>
        <v>725000</v>
      </c>
      <c r="C146" s="7">
        <f>IF(宠物经验!C147="","",INT(宠物经验!$B147*宠物经验!C147))</f>
        <v>724927</v>
      </c>
      <c r="D146" s="7">
        <f>IF(宠物经验!D147="","",INT(宠物经验!$B147*宠物经验!D147))</f>
        <v>797500</v>
      </c>
      <c r="E146" s="7" t="str">
        <f>IF(宠物经验!E147="","",INT(宠物经验!$B147*宠物经验!E147))</f>
        <v/>
      </c>
      <c r="F146" s="7">
        <f>IF(宠物经验!F147="","",INT(宠物经验!$B147*宠物经验!F147))</f>
        <v>1087500</v>
      </c>
      <c r="G146" s="7">
        <f>IF(宠物经验!G147="","",INT(宠物经验!$B147*宠物经验!G147))</f>
        <v>483285</v>
      </c>
      <c r="H146" s="7" t="str">
        <f>IF(宠物经验!H147="","",INT(宠物经验!$B147*宠物经验!H147))</f>
        <v/>
      </c>
      <c r="I146" s="7" t="str">
        <f>IF(宠物经验!I147="","",INT(宠物经验!$B147*宠物经验!I147))</f>
        <v/>
      </c>
      <c r="J146" s="7" t="str">
        <f>IF(宠物经验!J147="","",INT(宠物经验!$B147*宠物经验!J147))</f>
        <v/>
      </c>
      <c r="K146" s="7">
        <f>IF(宠物经验!K147="","",INT(宠物经验!$B147*宠物经验!K147))</f>
        <v>725000</v>
      </c>
      <c r="L146" s="7" t="str">
        <f>IF(宠物经验!L147="","",INT(宠物经验!$B147*宠物经验!L147))</f>
        <v/>
      </c>
      <c r="M146" s="7" t="str">
        <f>IF(宠物经验!M147="","",INT(宠物经验!$B147*宠物经验!M147))</f>
        <v/>
      </c>
      <c r="N146" s="7">
        <f>IF(宠物经验!N147="","",INT(宠物经验!$B147*宠物经验!N147))</f>
        <v>8700000</v>
      </c>
      <c r="O146" s="7" t="str">
        <f>IF(宠物经验!O147="","",INT(宠物经验!$B147*宠物经验!O147))</f>
        <v/>
      </c>
      <c r="P146" s="7" t="str">
        <f>IF(宠物经验!P147="","",INT(宠物经验!$B147*宠物经验!P147))</f>
        <v/>
      </c>
      <c r="Q146" s="7">
        <f>IF(宠物经验!Q147="","",INT(宠物经验!$B147*宠物经验!Q147))</f>
        <v>3770000</v>
      </c>
      <c r="R146" s="7" t="str">
        <f>IF(宠物经验!R147="","",INT(宠物经验!$B147*宠物经验!R147))</f>
        <v/>
      </c>
      <c r="S146" s="7">
        <f>IF(宠物经验!S147="","",INT(宠物经验!$B147*宠物经验!S147))</f>
        <v>362463</v>
      </c>
      <c r="T146" s="7">
        <f>IF(宠物经验!T147="","",INT(宠物经验!$B147*宠物经验!T147))</f>
        <v>0</v>
      </c>
      <c r="U146" s="7">
        <f>IF(宠物经验!U147="","",INT(宠物经验!$B147*宠物经验!U147))</f>
        <v>362463</v>
      </c>
      <c r="V146" s="7">
        <f>IF(宠物经验!V147="","",INT(宠物经验!$B147*宠物经验!V147))</f>
        <v>241715</v>
      </c>
      <c r="W146" s="7" t="str">
        <f>IF(宠物经验!W147="","",INT(宠物经验!$B147*宠物经验!W147))</f>
        <v/>
      </c>
      <c r="X146" s="7" t="str">
        <f>IF(宠物经验!X147="","",INT(宠物经验!$B147*宠物经验!X147))</f>
        <v/>
      </c>
      <c r="Y146" s="7">
        <f>IF(宠物经验!Y147="","",INT(宠物经验!$B147*宠物经验!Y147))</f>
        <v>181250</v>
      </c>
      <c r="Z146" s="7" t="str">
        <f>IF(宠物经验!Z147="","",INT(宠物经验!$B147*宠物经验!Z147))</f>
        <v/>
      </c>
      <c r="AA146" s="7">
        <f>IF(宠物经验!AA147="","",INT(宠物经验!$B147*宠物经验!AA147))</f>
        <v>60428</v>
      </c>
      <c r="AB146" s="7" t="str">
        <f>IF(宠物经验!AB147="","",INT(宠物经验!$B147*宠物经验!AB147))</f>
        <v/>
      </c>
      <c r="AC146" s="7" t="str">
        <f>IF(宠物经验!AC147="","",INT(宠物经验!$B147*宠物经验!AC147))</f>
        <v/>
      </c>
      <c r="AD146" s="7" t="str">
        <f>IF(宠物经验!AD147="","",INT(宠物经验!$B147*宠物经验!AD147))</f>
        <v/>
      </c>
      <c r="AE146" s="7" t="str">
        <f>IF(宠物经验!AE147="","",INT(宠物经验!$B147*宠物经验!AE147))</f>
        <v/>
      </c>
      <c r="AF146" s="7">
        <f>宠物经验!AH147</f>
        <v>1125020</v>
      </c>
      <c r="AG146" s="7">
        <f>宠物经验!AO147</f>
        <v>12083</v>
      </c>
    </row>
    <row r="147" spans="1:33">
      <c r="A147" s="32">
        <v>146</v>
      </c>
      <c r="B147" s="87">
        <f>宠物经验!B148</f>
        <v>730000</v>
      </c>
      <c r="C147" s="7">
        <f>IF(宠物经验!C148="","",INT(宠物经验!$B148*宠物经验!C148))</f>
        <v>729927</v>
      </c>
      <c r="D147" s="7">
        <f>IF(宠物经验!D148="","",INT(宠物经验!$B148*宠物经验!D148))</f>
        <v>803000</v>
      </c>
      <c r="E147" s="7" t="str">
        <f>IF(宠物经验!E148="","",INT(宠物经验!$B148*宠物经验!E148))</f>
        <v/>
      </c>
      <c r="F147" s="7">
        <f>IF(宠物经验!F148="","",INT(宠物经验!$B148*宠物经验!F148))</f>
        <v>1095000</v>
      </c>
      <c r="G147" s="7">
        <f>IF(宠物经验!G148="","",INT(宠物经验!$B148*宠物经验!G148))</f>
        <v>486618</v>
      </c>
      <c r="H147" s="7" t="str">
        <f>IF(宠物经验!H148="","",INT(宠物经验!$B148*宠物经验!H148))</f>
        <v/>
      </c>
      <c r="I147" s="7" t="str">
        <f>IF(宠物经验!I148="","",INT(宠物经验!$B148*宠物经验!I148))</f>
        <v/>
      </c>
      <c r="J147" s="7" t="str">
        <f>IF(宠物经验!J148="","",INT(宠物经验!$B148*宠物经验!J148))</f>
        <v/>
      </c>
      <c r="K147" s="7">
        <f>IF(宠物经验!K148="","",INT(宠物经验!$B148*宠物经验!K148))</f>
        <v>730000</v>
      </c>
      <c r="L147" s="7" t="str">
        <f>IF(宠物经验!L148="","",INT(宠物经验!$B148*宠物经验!L148))</f>
        <v/>
      </c>
      <c r="M147" s="7" t="str">
        <f>IF(宠物经验!M148="","",INT(宠物经验!$B148*宠物经验!M148))</f>
        <v/>
      </c>
      <c r="N147" s="7">
        <f>IF(宠物经验!N148="","",INT(宠物经验!$B148*宠物经验!N148))</f>
        <v>8760000</v>
      </c>
      <c r="O147" s="7" t="str">
        <f>IF(宠物经验!O148="","",INT(宠物经验!$B148*宠物经验!O148))</f>
        <v/>
      </c>
      <c r="P147" s="7" t="str">
        <f>IF(宠物经验!P148="","",INT(宠物经验!$B148*宠物经验!P148))</f>
        <v/>
      </c>
      <c r="Q147" s="7">
        <f>IF(宠物经验!Q148="","",INT(宠物经验!$B148*宠物经验!Q148))</f>
        <v>3796000</v>
      </c>
      <c r="R147" s="7" t="str">
        <f>IF(宠物经验!R148="","",INT(宠物经验!$B148*宠物经验!R148))</f>
        <v/>
      </c>
      <c r="S147" s="7">
        <f>IF(宠物经验!S148="","",INT(宠物经验!$B148*宠物经验!S148))</f>
        <v>364963</v>
      </c>
      <c r="T147" s="7">
        <f>IF(宠物经验!T148="","",INT(宠物经验!$B148*宠物经验!T148))</f>
        <v>0</v>
      </c>
      <c r="U147" s="7">
        <f>IF(宠物经验!U148="","",INT(宠物经验!$B148*宠物经验!U148))</f>
        <v>364963</v>
      </c>
      <c r="V147" s="7">
        <f>IF(宠物经验!V148="","",INT(宠物经验!$B148*宠物经验!V148))</f>
        <v>243382</v>
      </c>
      <c r="W147" s="7" t="str">
        <f>IF(宠物经验!W148="","",INT(宠物经验!$B148*宠物经验!W148))</f>
        <v/>
      </c>
      <c r="X147" s="7" t="str">
        <f>IF(宠物经验!X148="","",INT(宠物经验!$B148*宠物经验!X148))</f>
        <v/>
      </c>
      <c r="Y147" s="7">
        <f>IF(宠物经验!Y148="","",INT(宠物经验!$B148*宠物经验!Y148))</f>
        <v>182500</v>
      </c>
      <c r="Z147" s="7" t="str">
        <f>IF(宠物经验!Z148="","",INT(宠物经验!$B148*宠物经验!Z148))</f>
        <v/>
      </c>
      <c r="AA147" s="7">
        <f>IF(宠物经验!AA148="","",INT(宠物经验!$B148*宠物经验!AA148))</f>
        <v>60845</v>
      </c>
      <c r="AB147" s="7" t="str">
        <f>IF(宠物经验!AB148="","",INT(宠物经验!$B148*宠物经验!AB148))</f>
        <v/>
      </c>
      <c r="AC147" s="7" t="str">
        <f>IF(宠物经验!AC148="","",INT(宠物经验!$B148*宠物经验!AC148))</f>
        <v/>
      </c>
      <c r="AD147" s="7" t="str">
        <f>IF(宠物经验!AD148="","",INT(宠物经验!$B148*宠物经验!AD148))</f>
        <v/>
      </c>
      <c r="AE147" s="7" t="str">
        <f>IF(宠物经验!AE148="","",INT(宠物经验!$B148*宠物经验!AE148))</f>
        <v/>
      </c>
      <c r="AF147" s="7">
        <f>宠物经验!AH148</f>
        <v>1125020</v>
      </c>
      <c r="AG147" s="7">
        <f>宠物经验!AO148</f>
        <v>12167</v>
      </c>
    </row>
    <row r="148" spans="1:33">
      <c r="A148" s="32">
        <v>147</v>
      </c>
      <c r="B148" s="87">
        <f>宠物经验!B149</f>
        <v>735000</v>
      </c>
      <c r="C148" s="7">
        <f>IF(宠物经验!C149="","",INT(宠物经验!$B149*宠物经验!C149))</f>
        <v>734926</v>
      </c>
      <c r="D148" s="7">
        <f>IF(宠物经验!D149="","",INT(宠物经验!$B149*宠物经验!D149))</f>
        <v>808500</v>
      </c>
      <c r="E148" s="7" t="str">
        <f>IF(宠物经验!E149="","",INT(宠物经验!$B149*宠物经验!E149))</f>
        <v/>
      </c>
      <c r="F148" s="7">
        <f>IF(宠物经验!F149="","",INT(宠物经验!$B149*宠物经验!F149))</f>
        <v>1102500</v>
      </c>
      <c r="G148" s="7">
        <f>IF(宠物经验!G149="","",INT(宠物经验!$B149*宠物经验!G149))</f>
        <v>489951</v>
      </c>
      <c r="H148" s="7" t="str">
        <f>IF(宠物经验!H149="","",INT(宠物经验!$B149*宠物经验!H149))</f>
        <v/>
      </c>
      <c r="I148" s="7" t="str">
        <f>IF(宠物经验!I149="","",INT(宠物经验!$B149*宠物经验!I149))</f>
        <v/>
      </c>
      <c r="J148" s="7" t="str">
        <f>IF(宠物经验!J149="","",INT(宠物经验!$B149*宠物经验!J149))</f>
        <v/>
      </c>
      <c r="K148" s="7">
        <f>IF(宠物经验!K149="","",INT(宠物经验!$B149*宠物经验!K149))</f>
        <v>735000</v>
      </c>
      <c r="L148" s="7" t="str">
        <f>IF(宠物经验!L149="","",INT(宠物经验!$B149*宠物经验!L149))</f>
        <v/>
      </c>
      <c r="M148" s="7" t="str">
        <f>IF(宠物经验!M149="","",INT(宠物经验!$B149*宠物经验!M149))</f>
        <v/>
      </c>
      <c r="N148" s="7">
        <f>IF(宠物经验!N149="","",INT(宠物经验!$B149*宠物经验!N149))</f>
        <v>8820000</v>
      </c>
      <c r="O148" s="7" t="str">
        <f>IF(宠物经验!O149="","",INT(宠物经验!$B149*宠物经验!O149))</f>
        <v/>
      </c>
      <c r="P148" s="7" t="str">
        <f>IF(宠物经验!P149="","",INT(宠物经验!$B149*宠物经验!P149))</f>
        <v/>
      </c>
      <c r="Q148" s="7">
        <f>IF(宠物经验!Q149="","",INT(宠物经验!$B149*宠物经验!Q149))</f>
        <v>3822000</v>
      </c>
      <c r="R148" s="7" t="str">
        <f>IF(宠物经验!R149="","",INT(宠物经验!$B149*宠物经验!R149))</f>
        <v/>
      </c>
      <c r="S148" s="7">
        <f>IF(宠物经验!S149="","",INT(宠物经验!$B149*宠物经验!S149))</f>
        <v>367463</v>
      </c>
      <c r="T148" s="7">
        <f>IF(宠物经验!T149="","",INT(宠物经验!$B149*宠物经验!T149))</f>
        <v>0</v>
      </c>
      <c r="U148" s="7">
        <f>IF(宠物经验!U149="","",INT(宠物经验!$B149*宠物经验!U149))</f>
        <v>367463</v>
      </c>
      <c r="V148" s="7">
        <f>IF(宠物经验!V149="","",INT(宠物经验!$B149*宠物经验!V149))</f>
        <v>245049</v>
      </c>
      <c r="W148" s="7" t="str">
        <f>IF(宠物经验!W149="","",INT(宠物经验!$B149*宠物经验!W149))</f>
        <v/>
      </c>
      <c r="X148" s="7" t="str">
        <f>IF(宠物经验!X149="","",INT(宠物经验!$B149*宠物经验!X149))</f>
        <v/>
      </c>
      <c r="Y148" s="7">
        <f>IF(宠物经验!Y149="","",INT(宠物经验!$B149*宠物经验!Y149))</f>
        <v>183750</v>
      </c>
      <c r="Z148" s="7" t="str">
        <f>IF(宠物经验!Z149="","",INT(宠物经验!$B149*宠物经验!Z149))</f>
        <v/>
      </c>
      <c r="AA148" s="7">
        <f>IF(宠物经验!AA149="","",INT(宠物经验!$B149*宠物经验!AA149))</f>
        <v>61262</v>
      </c>
      <c r="AB148" s="7" t="str">
        <f>IF(宠物经验!AB149="","",INT(宠物经验!$B149*宠物经验!AB149))</f>
        <v/>
      </c>
      <c r="AC148" s="7" t="str">
        <f>IF(宠物经验!AC149="","",INT(宠物经验!$B149*宠物经验!AC149))</f>
        <v/>
      </c>
      <c r="AD148" s="7" t="str">
        <f>IF(宠物经验!AD149="","",INT(宠物经验!$B149*宠物经验!AD149))</f>
        <v/>
      </c>
      <c r="AE148" s="7" t="str">
        <f>IF(宠物经验!AE149="","",INT(宠物经验!$B149*宠物经验!AE149))</f>
        <v/>
      </c>
      <c r="AF148" s="7">
        <f>宠物经验!AH149</f>
        <v>1125020</v>
      </c>
      <c r="AG148" s="7">
        <f>宠物经验!AO149</f>
        <v>12250</v>
      </c>
    </row>
    <row r="149" spans="1:33">
      <c r="A149" s="32">
        <v>148</v>
      </c>
      <c r="B149" s="87">
        <f>宠物经验!B150</f>
        <v>740000</v>
      </c>
      <c r="C149" s="7">
        <f>IF(宠物经验!C150="","",INT(宠物经验!$B150*宠物经验!C150))</f>
        <v>739926</v>
      </c>
      <c r="D149" s="7">
        <f>IF(宠物经验!D150="","",INT(宠物经验!$B150*宠物经验!D150))</f>
        <v>814000</v>
      </c>
      <c r="E149" s="7" t="str">
        <f>IF(宠物经验!E150="","",INT(宠物经验!$B150*宠物经验!E150))</f>
        <v/>
      </c>
      <c r="F149" s="7">
        <f>IF(宠物经验!F150="","",INT(宠物经验!$B150*宠物经验!F150))</f>
        <v>1110000</v>
      </c>
      <c r="G149" s="7">
        <f>IF(宠物经验!G150="","",INT(宠物经验!$B150*宠物经验!G150))</f>
        <v>493284</v>
      </c>
      <c r="H149" s="7" t="str">
        <f>IF(宠物经验!H150="","",INT(宠物经验!$B150*宠物经验!H150))</f>
        <v/>
      </c>
      <c r="I149" s="7" t="str">
        <f>IF(宠物经验!I150="","",INT(宠物经验!$B150*宠物经验!I150))</f>
        <v/>
      </c>
      <c r="J149" s="7" t="str">
        <f>IF(宠物经验!J150="","",INT(宠物经验!$B150*宠物经验!J150))</f>
        <v/>
      </c>
      <c r="K149" s="7">
        <f>IF(宠物经验!K150="","",INT(宠物经验!$B150*宠物经验!K150))</f>
        <v>740000</v>
      </c>
      <c r="L149" s="7" t="str">
        <f>IF(宠物经验!L150="","",INT(宠物经验!$B150*宠物经验!L150))</f>
        <v/>
      </c>
      <c r="M149" s="7" t="str">
        <f>IF(宠物经验!M150="","",INT(宠物经验!$B150*宠物经验!M150))</f>
        <v/>
      </c>
      <c r="N149" s="7">
        <f>IF(宠物经验!N150="","",INT(宠物经验!$B150*宠物经验!N150))</f>
        <v>8880000</v>
      </c>
      <c r="O149" s="7" t="str">
        <f>IF(宠物经验!O150="","",INT(宠物经验!$B150*宠物经验!O150))</f>
        <v/>
      </c>
      <c r="P149" s="7" t="str">
        <f>IF(宠物经验!P150="","",INT(宠物经验!$B150*宠物经验!P150))</f>
        <v/>
      </c>
      <c r="Q149" s="7">
        <f>IF(宠物经验!Q150="","",INT(宠物经验!$B150*宠物经验!Q150))</f>
        <v>3848000</v>
      </c>
      <c r="R149" s="7" t="str">
        <f>IF(宠物经验!R150="","",INT(宠物经验!$B150*宠物经验!R150))</f>
        <v/>
      </c>
      <c r="S149" s="7">
        <f>IF(宠物经验!S150="","",INT(宠物经验!$B150*宠物经验!S150))</f>
        <v>369963</v>
      </c>
      <c r="T149" s="7">
        <f>IF(宠物经验!T150="","",INT(宠物经验!$B150*宠物经验!T150))</f>
        <v>0</v>
      </c>
      <c r="U149" s="7">
        <f>IF(宠物经验!U150="","",INT(宠物经验!$B150*宠物经验!U150))</f>
        <v>369963</v>
      </c>
      <c r="V149" s="7">
        <f>IF(宠物经验!V150="","",INT(宠物经验!$B150*宠物经验!V150))</f>
        <v>246716</v>
      </c>
      <c r="W149" s="7" t="str">
        <f>IF(宠物经验!W150="","",INT(宠物经验!$B150*宠物经验!W150))</f>
        <v/>
      </c>
      <c r="X149" s="7" t="str">
        <f>IF(宠物经验!X150="","",INT(宠物经验!$B150*宠物经验!X150))</f>
        <v/>
      </c>
      <c r="Y149" s="7">
        <f>IF(宠物经验!Y150="","",INT(宠物经验!$B150*宠物经验!Y150))</f>
        <v>185000</v>
      </c>
      <c r="Z149" s="7" t="str">
        <f>IF(宠物经验!Z150="","",INT(宠物经验!$B150*宠物经验!Z150))</f>
        <v/>
      </c>
      <c r="AA149" s="7">
        <f>IF(宠物经验!AA150="","",INT(宠物经验!$B150*宠物经验!AA150))</f>
        <v>61679</v>
      </c>
      <c r="AB149" s="7" t="str">
        <f>IF(宠物经验!AB150="","",INT(宠物经验!$B150*宠物经验!AB150))</f>
        <v/>
      </c>
      <c r="AC149" s="7" t="str">
        <f>IF(宠物经验!AC150="","",INT(宠物经验!$B150*宠物经验!AC150))</f>
        <v/>
      </c>
      <c r="AD149" s="7" t="str">
        <f>IF(宠物经验!AD150="","",INT(宠物经验!$B150*宠物经验!AD150))</f>
        <v/>
      </c>
      <c r="AE149" s="7" t="str">
        <f>IF(宠物经验!AE150="","",INT(宠物经验!$B150*宠物经验!AE150))</f>
        <v/>
      </c>
      <c r="AF149" s="7">
        <f>宠物经验!AH150</f>
        <v>1125020</v>
      </c>
      <c r="AG149" s="7">
        <f>宠物经验!AO150</f>
        <v>12333</v>
      </c>
    </row>
    <row r="150" spans="1:33">
      <c r="A150" s="32">
        <v>149</v>
      </c>
      <c r="B150" s="87">
        <f>宠物经验!B151</f>
        <v>745000</v>
      </c>
      <c r="C150" s="7">
        <f>IF(宠物经验!C151="","",INT(宠物经验!$B151*宠物经验!C151))</f>
        <v>744925</v>
      </c>
      <c r="D150" s="7">
        <f>IF(宠物经验!D151="","",INT(宠物经验!$B151*宠物经验!D151))</f>
        <v>819500</v>
      </c>
      <c r="E150" s="7" t="str">
        <f>IF(宠物经验!E151="","",INT(宠物经验!$B151*宠物经验!E151))</f>
        <v/>
      </c>
      <c r="F150" s="7">
        <f>IF(宠物经验!F151="","",INT(宠物经验!$B151*宠物经验!F151))</f>
        <v>1117500</v>
      </c>
      <c r="G150" s="7">
        <f>IF(宠物经验!G151="","",INT(宠物经验!$B151*宠物经验!G151))</f>
        <v>496617</v>
      </c>
      <c r="H150" s="7" t="str">
        <f>IF(宠物经验!H151="","",INT(宠物经验!$B151*宠物经验!H151))</f>
        <v/>
      </c>
      <c r="I150" s="7" t="str">
        <f>IF(宠物经验!I151="","",INT(宠物经验!$B151*宠物经验!I151))</f>
        <v/>
      </c>
      <c r="J150" s="7" t="str">
        <f>IF(宠物经验!J151="","",INT(宠物经验!$B151*宠物经验!J151))</f>
        <v/>
      </c>
      <c r="K150" s="7">
        <f>IF(宠物经验!K151="","",INT(宠物经验!$B151*宠物经验!K151))</f>
        <v>745000</v>
      </c>
      <c r="L150" s="7" t="str">
        <f>IF(宠物经验!L151="","",INT(宠物经验!$B151*宠物经验!L151))</f>
        <v/>
      </c>
      <c r="M150" s="7" t="str">
        <f>IF(宠物经验!M151="","",INT(宠物经验!$B151*宠物经验!M151))</f>
        <v/>
      </c>
      <c r="N150" s="7">
        <f>IF(宠物经验!N151="","",INT(宠物经验!$B151*宠物经验!N151))</f>
        <v>8940000</v>
      </c>
      <c r="O150" s="7" t="str">
        <f>IF(宠物经验!O151="","",INT(宠物经验!$B151*宠物经验!O151))</f>
        <v/>
      </c>
      <c r="P150" s="7" t="str">
        <f>IF(宠物经验!P151="","",INT(宠物经验!$B151*宠物经验!P151))</f>
        <v/>
      </c>
      <c r="Q150" s="7">
        <f>IF(宠物经验!Q151="","",INT(宠物经验!$B151*宠物经验!Q151))</f>
        <v>3874000</v>
      </c>
      <c r="R150" s="7" t="str">
        <f>IF(宠物经验!R151="","",INT(宠物经验!$B151*宠物经验!R151))</f>
        <v/>
      </c>
      <c r="S150" s="7">
        <f>IF(宠物经验!S151="","",INT(宠物经验!$B151*宠物经验!S151))</f>
        <v>372462</v>
      </c>
      <c r="T150" s="7">
        <f>IF(宠物经验!T151="","",INT(宠物经验!$B151*宠物经验!T151))</f>
        <v>0</v>
      </c>
      <c r="U150" s="7">
        <f>IF(宠物经验!U151="","",INT(宠物经验!$B151*宠物经验!U151))</f>
        <v>372462</v>
      </c>
      <c r="V150" s="7">
        <f>IF(宠物经验!V151="","",INT(宠物经验!$B151*宠物经验!V151))</f>
        <v>248383</v>
      </c>
      <c r="W150" s="7" t="str">
        <f>IF(宠物经验!W151="","",INT(宠物经验!$B151*宠物经验!W151))</f>
        <v/>
      </c>
      <c r="X150" s="7" t="str">
        <f>IF(宠物经验!X151="","",INT(宠物经验!$B151*宠物经验!X151))</f>
        <v/>
      </c>
      <c r="Y150" s="7">
        <f>IF(宠物经验!Y151="","",INT(宠物经验!$B151*宠物经验!Y151))</f>
        <v>186250</v>
      </c>
      <c r="Z150" s="7" t="str">
        <f>IF(宠物经验!Z151="","",INT(宠物经验!$B151*宠物经验!Z151))</f>
        <v/>
      </c>
      <c r="AA150" s="7">
        <f>IF(宠物经验!AA151="","",INT(宠物经验!$B151*宠物经验!AA151))</f>
        <v>62095</v>
      </c>
      <c r="AB150" s="7" t="str">
        <f>IF(宠物经验!AB151="","",INT(宠物经验!$B151*宠物经验!AB151))</f>
        <v/>
      </c>
      <c r="AC150" s="7" t="str">
        <f>IF(宠物经验!AC151="","",INT(宠物经验!$B151*宠物经验!AC151))</f>
        <v/>
      </c>
      <c r="AD150" s="7" t="str">
        <f>IF(宠物经验!AD151="","",INT(宠物经验!$B151*宠物经验!AD151))</f>
        <v/>
      </c>
      <c r="AE150" s="7" t="str">
        <f>IF(宠物经验!AE151="","",INT(宠物经验!$B151*宠物经验!AE151))</f>
        <v/>
      </c>
      <c r="AF150" s="7">
        <f>宠物经验!AH151</f>
        <v>1125020</v>
      </c>
      <c r="AG150" s="7">
        <f>宠物经验!AO151</f>
        <v>12417</v>
      </c>
    </row>
    <row r="151" spans="1:33">
      <c r="A151" s="33">
        <v>150</v>
      </c>
      <c r="B151" s="88">
        <f>宠物经验!B152</f>
        <v>750000</v>
      </c>
      <c r="C151" s="7">
        <f>IF(宠物经验!C152="","",INT(宠物经验!$B152*宠物经验!C152))</f>
        <v>749925</v>
      </c>
      <c r="D151" s="7">
        <f>IF(宠物经验!D152="","",INT(宠物经验!$B152*宠物经验!D152))</f>
        <v>825000</v>
      </c>
      <c r="E151" s="7" t="str">
        <f>IF(宠物经验!E152="","",INT(宠物经验!$B152*宠物经验!E152))</f>
        <v/>
      </c>
      <c r="F151" s="7">
        <f>IF(宠物经验!F152="","",INT(宠物经验!$B152*宠物经验!F152))</f>
        <v>1125000</v>
      </c>
      <c r="G151" s="7">
        <f>IF(宠物经验!G152="","",INT(宠物经验!$B152*宠物经验!G152))</f>
        <v>499950</v>
      </c>
      <c r="H151" s="7" t="str">
        <f>IF(宠物经验!H152="","",INT(宠物经验!$B152*宠物经验!H152))</f>
        <v/>
      </c>
      <c r="I151" s="7" t="str">
        <f>IF(宠物经验!I152="","",INT(宠物经验!$B152*宠物经验!I152))</f>
        <v/>
      </c>
      <c r="J151" s="7" t="str">
        <f>IF(宠物经验!J152="","",INT(宠物经验!$B152*宠物经验!J152))</f>
        <v/>
      </c>
      <c r="K151" s="7">
        <f>IF(宠物经验!K152="","",INT(宠物经验!$B152*宠物经验!K152))</f>
        <v>750000</v>
      </c>
      <c r="L151" s="7" t="str">
        <f>IF(宠物经验!L152="","",INT(宠物经验!$B152*宠物经验!L152))</f>
        <v/>
      </c>
      <c r="M151" s="7" t="str">
        <f>IF(宠物经验!M152="","",INT(宠物经验!$B152*宠物经验!M152))</f>
        <v/>
      </c>
      <c r="N151" s="7">
        <f>IF(宠物经验!N152="","",INT(宠物经验!$B152*宠物经验!N152))</f>
        <v>9000000</v>
      </c>
      <c r="O151" s="7" t="str">
        <f>IF(宠物经验!O152="","",INT(宠物经验!$B152*宠物经验!O152))</f>
        <v/>
      </c>
      <c r="P151" s="7" t="str">
        <f>IF(宠物经验!P152="","",INT(宠物经验!$B152*宠物经验!P152))</f>
        <v/>
      </c>
      <c r="Q151" s="7">
        <f>IF(宠物经验!Q152="","",INT(宠物经验!$B152*宠物经验!Q152))</f>
        <v>3900000</v>
      </c>
      <c r="R151" s="7" t="str">
        <f>IF(宠物经验!R152="","",INT(宠物经验!$B152*宠物经验!R152))</f>
        <v/>
      </c>
      <c r="S151" s="7">
        <f>IF(宠物经验!S152="","",INT(宠物经验!$B152*宠物经验!S152))</f>
        <v>374962</v>
      </c>
      <c r="T151" s="7">
        <f>IF(宠物经验!T152="","",INT(宠物经验!$B152*宠物经验!T152))</f>
        <v>0</v>
      </c>
      <c r="U151" s="7">
        <f>IF(宠物经验!U152="","",INT(宠物经验!$B152*宠物经验!U152))</f>
        <v>374962</v>
      </c>
      <c r="V151" s="7">
        <f>IF(宠物经验!V152="","",INT(宠物经验!$B152*宠物经验!V152))</f>
        <v>250050</v>
      </c>
      <c r="W151" s="7" t="str">
        <f>IF(宠物经验!W152="","",INT(宠物经验!$B152*宠物经验!W152))</f>
        <v/>
      </c>
      <c r="X151" s="7" t="str">
        <f>IF(宠物经验!X152="","",INT(宠物经验!$B152*宠物经验!X152))</f>
        <v/>
      </c>
      <c r="Y151" s="7">
        <f>IF(宠物经验!Y152="","",INT(宠物经验!$B152*宠物经验!Y152))</f>
        <v>187500</v>
      </c>
      <c r="Z151" s="7" t="str">
        <f>IF(宠物经验!Z152="","",INT(宠物经验!$B152*宠物经验!Z152))</f>
        <v/>
      </c>
      <c r="AA151" s="7">
        <f>IF(宠物经验!AA152="","",INT(宠物经验!$B152*宠物经验!AA152))</f>
        <v>62512</v>
      </c>
      <c r="AB151" s="7" t="str">
        <f>IF(宠物经验!AB152="","",INT(宠物经验!$B152*宠物经验!AB152))</f>
        <v/>
      </c>
      <c r="AC151" s="7" t="str">
        <f>IF(宠物经验!AC152="","",INT(宠物经验!$B152*宠物经验!AC152))</f>
        <v/>
      </c>
      <c r="AD151" s="7" t="str">
        <f>IF(宠物经验!AD152="","",INT(宠物经验!$B152*宠物经验!AD152))</f>
        <v/>
      </c>
      <c r="AE151" s="7" t="str">
        <f>IF(宠物经验!AE152="","",INT(宠物经验!$B152*宠物经验!AE152))</f>
        <v/>
      </c>
      <c r="AF151" s="7">
        <f>宠物经验!AH152</f>
        <v>1125020</v>
      </c>
      <c r="AG151" s="7">
        <f>宠物经验!AO152</f>
        <v>12500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workbookViewId="0">
      <pane xSplit="2" ySplit="1" topLeftCell="D80" activePane="bottomRight" state="frozen"/>
      <selection pane="topRight" activeCell="C1" sqref="C1"/>
      <selection pane="bottomLeft" activeCell="A2" sqref="A2"/>
      <selection pane="bottomRight" activeCell="T122" sqref="T122"/>
    </sheetView>
  </sheetViews>
  <sheetFormatPr defaultRowHeight="13.5"/>
  <cols>
    <col min="1" max="1" width="7.75" style="58" customWidth="1"/>
    <col min="2" max="2" width="9.75" style="96" customWidth="1"/>
    <col min="3" max="16" width="6.625" style="2" customWidth="1"/>
    <col min="17" max="17" width="8.5" style="2" bestFit="1" customWidth="1"/>
    <col min="18" max="31" width="6.625" style="2" customWidth="1"/>
    <col min="32" max="16384" width="9" style="2"/>
  </cols>
  <sheetData>
    <row r="1" spans="1:32" ht="133.5">
      <c r="A1" s="28" t="s">
        <v>4</v>
      </c>
      <c r="B1" s="28" t="s">
        <v>215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22" t="s">
        <v>106</v>
      </c>
    </row>
    <row r="2" spans="1:32">
      <c r="A2" s="58">
        <v>1</v>
      </c>
      <c r="B2" s="96">
        <f>银币!B3</f>
        <v>1000</v>
      </c>
      <c r="C2" s="2">
        <f>IF(银币!C3="","",银币!$B3*银币!C3)</f>
        <v>0</v>
      </c>
      <c r="D2" s="2">
        <f>IF(银币!D3="","",银币!$B3*银币!D3)</f>
        <v>0</v>
      </c>
      <c r="E2" s="2">
        <f>IF(银币!E3="","",银币!$B3*银币!E3)</f>
        <v>0</v>
      </c>
      <c r="F2" s="2">
        <f>IF(银币!F3="","",银币!$B3*银币!F3)</f>
        <v>0</v>
      </c>
      <c r="G2" s="2" t="str">
        <f>IF(银币!G3="","",银币!$B3*银币!G3)</f>
        <v/>
      </c>
      <c r="H2" s="2" t="str">
        <f>IF(银币!H3="","",银币!$B3*银币!H3)</f>
        <v/>
      </c>
      <c r="I2" s="2" t="str">
        <f>IF(银币!I3="","",银币!$B3*银币!I3)</f>
        <v/>
      </c>
      <c r="J2" s="2" t="str">
        <f>IF(银币!J3="","",银币!$B3*银币!J3)</f>
        <v/>
      </c>
      <c r="K2" s="2">
        <f>IF(银币!K3="","",银币!$B3*银币!K3)</f>
        <v>0</v>
      </c>
      <c r="L2" s="2">
        <f>IF(银币!L3="","",银币!$B3*银币!L3)</f>
        <v>0</v>
      </c>
      <c r="M2" s="2" t="str">
        <f>IF(银币!M3="","",银币!$B3*银币!M3)</f>
        <v/>
      </c>
      <c r="N2" s="2" t="str">
        <f>IF(银币!N3="","",银币!$B3*银币!N3)</f>
        <v/>
      </c>
      <c r="O2" s="2" t="str">
        <f>IF(银币!O3="","",银币!$B3*银币!O3)</f>
        <v/>
      </c>
      <c r="P2" s="2">
        <f>IF(银币!P3="","",银币!$B3*银币!P3)</f>
        <v>0</v>
      </c>
      <c r="Q2" s="2">
        <f>IF(银币!Q3="","",银币!$B3*银币!Q3)</f>
        <v>5000</v>
      </c>
      <c r="R2" s="2" t="str">
        <f>IF(银币!R3="","",银币!$B3*银币!R3)</f>
        <v/>
      </c>
      <c r="S2" s="2">
        <f>IF(银币!S3="","",银币!$B3*银币!S3)</f>
        <v>0</v>
      </c>
      <c r="T2" s="2">
        <f>IF(银币!T3="","",银币!$B3*银币!T3)</f>
        <v>0</v>
      </c>
      <c r="U2" s="2">
        <f>IF(银币!U3="","",银币!$B3*银币!U3)</f>
        <v>0</v>
      </c>
      <c r="V2" s="2">
        <f>IF(银币!V3="","",银币!$B3*银币!V3)</f>
        <v>0</v>
      </c>
      <c r="W2" s="2">
        <f>IF(银币!W3="","",银币!$B3*银币!W3)</f>
        <v>0</v>
      </c>
      <c r="X2" s="2">
        <f>IF(银币!X3="","",银币!$B3*银币!X3)</f>
        <v>0</v>
      </c>
      <c r="Y2" s="2">
        <f>IF(银币!Y3="","",银币!$B3*银币!Y3)</f>
        <v>0</v>
      </c>
      <c r="Z2" s="2">
        <f>IF(银币!Z3="","",银币!$B3*银币!Z3)</f>
        <v>0</v>
      </c>
      <c r="AA2" s="2">
        <f>IF(银币!AA3="","",银币!$B3*银币!AA3)</f>
        <v>0</v>
      </c>
      <c r="AB2" s="2" t="str">
        <f>IF(银币!AB3="","",银币!$B3*银币!AB3)</f>
        <v/>
      </c>
      <c r="AC2" s="2" t="str">
        <f>IF(银币!AC3="","",银币!$B3*银币!AC3)</f>
        <v/>
      </c>
      <c r="AD2" s="2" t="str">
        <f>IF(银币!AD3="","",银币!$B3*银币!AD3)</f>
        <v/>
      </c>
      <c r="AE2" s="2" t="str">
        <f>IF(银币!AE3="","",银币!$B3*银币!AE3)</f>
        <v/>
      </c>
      <c r="AF2" s="2">
        <f>银币!AI3</f>
        <v>1000</v>
      </c>
    </row>
    <row r="3" spans="1:32">
      <c r="A3" s="58">
        <v>2</v>
      </c>
      <c r="B3" s="96">
        <f>银币!B4</f>
        <v>2000</v>
      </c>
      <c r="C3" s="2">
        <f>IF(银币!C4="","",银币!$B4*银币!C4)</f>
        <v>0</v>
      </c>
      <c r="D3" s="2">
        <f>IF(银币!D4="","",银币!$B4*银币!D4)</f>
        <v>0</v>
      </c>
      <c r="E3" s="2">
        <f>IF(银币!E4="","",银币!$B4*银币!E4)</f>
        <v>0</v>
      </c>
      <c r="F3" s="2">
        <f>IF(银币!F4="","",银币!$B4*银币!F4)</f>
        <v>0</v>
      </c>
      <c r="G3" s="2" t="str">
        <f>IF(银币!G4="","",银币!$B4*银币!G4)</f>
        <v/>
      </c>
      <c r="H3" s="2" t="str">
        <f>IF(银币!H4="","",银币!$B4*银币!H4)</f>
        <v/>
      </c>
      <c r="I3" s="2" t="str">
        <f>IF(银币!I4="","",银币!$B4*银币!I4)</f>
        <v/>
      </c>
      <c r="J3" s="2" t="str">
        <f>IF(银币!J4="","",银币!$B4*银币!J4)</f>
        <v/>
      </c>
      <c r="K3" s="2">
        <f>IF(银币!K4="","",银币!$B4*银币!K4)</f>
        <v>0</v>
      </c>
      <c r="L3" s="2">
        <f>IF(银币!L4="","",银币!$B4*银币!L4)</f>
        <v>0</v>
      </c>
      <c r="M3" s="2" t="str">
        <f>IF(银币!M4="","",银币!$B4*银币!M4)</f>
        <v/>
      </c>
      <c r="N3" s="2" t="str">
        <f>IF(银币!N4="","",银币!$B4*银币!N4)</f>
        <v/>
      </c>
      <c r="O3" s="2" t="str">
        <f>IF(银币!O4="","",银币!$B4*银币!O4)</f>
        <v/>
      </c>
      <c r="P3" s="2">
        <f>IF(银币!P4="","",银币!$B4*银币!P4)</f>
        <v>0</v>
      </c>
      <c r="Q3" s="2">
        <f>IF(银币!Q4="","",银币!$B4*银币!Q4)</f>
        <v>10000</v>
      </c>
      <c r="R3" s="2" t="str">
        <f>IF(银币!R4="","",银币!$B4*银币!R4)</f>
        <v/>
      </c>
      <c r="S3" s="2">
        <f>IF(银币!S4="","",银币!$B4*银币!S4)</f>
        <v>0</v>
      </c>
      <c r="T3" s="2">
        <f>IF(银币!T4="","",银币!$B4*银币!T4)</f>
        <v>0</v>
      </c>
      <c r="U3" s="2">
        <f>IF(银币!U4="","",银币!$B4*银币!U4)</f>
        <v>0</v>
      </c>
      <c r="V3" s="2">
        <f>IF(银币!V4="","",银币!$B4*银币!V4)</f>
        <v>0</v>
      </c>
      <c r="W3" s="2">
        <f>IF(银币!W4="","",银币!$B4*银币!W4)</f>
        <v>0</v>
      </c>
      <c r="X3" s="2">
        <f>IF(银币!X4="","",银币!$B4*银币!X4)</f>
        <v>0</v>
      </c>
      <c r="Y3" s="2">
        <f>IF(银币!Y4="","",银币!$B4*银币!Y4)</f>
        <v>0</v>
      </c>
      <c r="Z3" s="2">
        <f>IF(银币!Z4="","",银币!$B4*银币!Z4)</f>
        <v>0</v>
      </c>
      <c r="AA3" s="2">
        <f>IF(银币!AA4="","",银币!$B4*银币!AA4)</f>
        <v>0</v>
      </c>
      <c r="AB3" s="2" t="str">
        <f>IF(银币!AB4="","",银币!$B4*银币!AB4)</f>
        <v/>
      </c>
      <c r="AC3" s="2" t="str">
        <f>IF(银币!AC4="","",银币!$B4*银币!AC4)</f>
        <v/>
      </c>
      <c r="AD3" s="2" t="str">
        <f>IF(银币!AD4="","",银币!$B4*银币!AD4)</f>
        <v/>
      </c>
      <c r="AE3" s="2" t="str">
        <f>IF(银币!AE4="","",银币!$B4*银币!AE4)</f>
        <v/>
      </c>
      <c r="AF3" s="2">
        <f>银币!AI4</f>
        <v>2000</v>
      </c>
    </row>
    <row r="4" spans="1:32">
      <c r="A4" s="58">
        <v>3</v>
      </c>
      <c r="B4" s="96">
        <f>银币!B5</f>
        <v>3000</v>
      </c>
      <c r="C4" s="2">
        <f>IF(银币!C5="","",银币!$B5*银币!C5)</f>
        <v>0</v>
      </c>
      <c r="D4" s="2">
        <f>IF(银币!D5="","",银币!$B5*银币!D5)</f>
        <v>0</v>
      </c>
      <c r="E4" s="2">
        <f>IF(银币!E5="","",银币!$B5*银币!E5)</f>
        <v>0</v>
      </c>
      <c r="F4" s="2">
        <f>IF(银币!F5="","",银币!$B5*银币!F5)</f>
        <v>0</v>
      </c>
      <c r="G4" s="2" t="str">
        <f>IF(银币!G5="","",银币!$B5*银币!G5)</f>
        <v/>
      </c>
      <c r="H4" s="2" t="str">
        <f>IF(银币!H5="","",银币!$B5*银币!H5)</f>
        <v/>
      </c>
      <c r="I4" s="2" t="str">
        <f>IF(银币!I5="","",银币!$B5*银币!I5)</f>
        <v/>
      </c>
      <c r="J4" s="2" t="str">
        <f>IF(银币!J5="","",银币!$B5*银币!J5)</f>
        <v/>
      </c>
      <c r="K4" s="2">
        <f>IF(银币!K5="","",银币!$B5*银币!K5)</f>
        <v>0</v>
      </c>
      <c r="L4" s="2">
        <f>IF(银币!L5="","",银币!$B5*银币!L5)</f>
        <v>0</v>
      </c>
      <c r="M4" s="2" t="str">
        <f>IF(银币!M5="","",银币!$B5*银币!M5)</f>
        <v/>
      </c>
      <c r="N4" s="2" t="str">
        <f>IF(银币!N5="","",银币!$B5*银币!N5)</f>
        <v/>
      </c>
      <c r="O4" s="2" t="str">
        <f>IF(银币!O5="","",银币!$B5*银币!O5)</f>
        <v/>
      </c>
      <c r="P4" s="2">
        <f>IF(银币!P5="","",银币!$B5*银币!P5)</f>
        <v>0</v>
      </c>
      <c r="Q4" s="2">
        <f>IF(银币!Q5="","",银币!$B5*银币!Q5)</f>
        <v>15000</v>
      </c>
      <c r="R4" s="2" t="str">
        <f>IF(银币!R5="","",银币!$B5*银币!R5)</f>
        <v/>
      </c>
      <c r="S4" s="2">
        <f>IF(银币!S5="","",银币!$B5*银币!S5)</f>
        <v>0</v>
      </c>
      <c r="T4" s="2">
        <f>IF(银币!T5="","",银币!$B5*银币!T5)</f>
        <v>0</v>
      </c>
      <c r="U4" s="2">
        <f>IF(银币!U5="","",银币!$B5*银币!U5)</f>
        <v>0</v>
      </c>
      <c r="V4" s="2">
        <f>IF(银币!V5="","",银币!$B5*银币!V5)</f>
        <v>0</v>
      </c>
      <c r="W4" s="2">
        <f>IF(银币!W5="","",银币!$B5*银币!W5)</f>
        <v>0</v>
      </c>
      <c r="X4" s="2">
        <f>IF(银币!X5="","",银币!$B5*银币!X5)</f>
        <v>0</v>
      </c>
      <c r="Y4" s="2">
        <f>IF(银币!Y5="","",银币!$B5*银币!Y5)</f>
        <v>0</v>
      </c>
      <c r="Z4" s="2">
        <f>IF(银币!Z5="","",银币!$B5*银币!Z5)</f>
        <v>0</v>
      </c>
      <c r="AA4" s="2">
        <f>IF(银币!AA5="","",银币!$B5*银币!AA5)</f>
        <v>0</v>
      </c>
      <c r="AB4" s="2" t="str">
        <f>IF(银币!AB5="","",银币!$B5*银币!AB5)</f>
        <v/>
      </c>
      <c r="AC4" s="2" t="str">
        <f>IF(银币!AC5="","",银币!$B5*银币!AC5)</f>
        <v/>
      </c>
      <c r="AD4" s="2" t="str">
        <f>IF(银币!AD5="","",银币!$B5*银币!AD5)</f>
        <v/>
      </c>
      <c r="AE4" s="2" t="str">
        <f>IF(银币!AE5="","",银币!$B5*银币!AE5)</f>
        <v/>
      </c>
      <c r="AF4" s="2">
        <f>银币!AI5</f>
        <v>3000</v>
      </c>
    </row>
    <row r="5" spans="1:32">
      <c r="A5" s="58">
        <v>4</v>
      </c>
      <c r="B5" s="96">
        <f>银币!B6</f>
        <v>4000</v>
      </c>
      <c r="C5" s="2">
        <f>IF(银币!C6="","",银币!$B6*银币!C6)</f>
        <v>0</v>
      </c>
      <c r="D5" s="2">
        <f>IF(银币!D6="","",银币!$B6*银币!D6)</f>
        <v>0</v>
      </c>
      <c r="E5" s="2">
        <f>IF(银币!E6="","",银币!$B6*银币!E6)</f>
        <v>0</v>
      </c>
      <c r="F5" s="2">
        <f>IF(银币!F6="","",银币!$B6*银币!F6)</f>
        <v>0</v>
      </c>
      <c r="G5" s="2" t="str">
        <f>IF(银币!G6="","",银币!$B6*银币!G6)</f>
        <v/>
      </c>
      <c r="H5" s="2" t="str">
        <f>IF(银币!H6="","",银币!$B6*银币!H6)</f>
        <v/>
      </c>
      <c r="I5" s="2" t="str">
        <f>IF(银币!I6="","",银币!$B6*银币!I6)</f>
        <v/>
      </c>
      <c r="J5" s="2" t="str">
        <f>IF(银币!J6="","",银币!$B6*银币!J6)</f>
        <v/>
      </c>
      <c r="K5" s="2">
        <f>IF(银币!K6="","",银币!$B6*银币!K6)</f>
        <v>0</v>
      </c>
      <c r="L5" s="2">
        <f>IF(银币!L6="","",银币!$B6*银币!L6)</f>
        <v>0</v>
      </c>
      <c r="M5" s="2" t="str">
        <f>IF(银币!M6="","",银币!$B6*银币!M6)</f>
        <v/>
      </c>
      <c r="N5" s="2" t="str">
        <f>IF(银币!N6="","",银币!$B6*银币!N6)</f>
        <v/>
      </c>
      <c r="O5" s="2" t="str">
        <f>IF(银币!O6="","",银币!$B6*银币!O6)</f>
        <v/>
      </c>
      <c r="P5" s="2">
        <f>IF(银币!P6="","",银币!$B6*银币!P6)</f>
        <v>0</v>
      </c>
      <c r="Q5" s="2">
        <f>IF(银币!Q6="","",银币!$B6*银币!Q6)</f>
        <v>20000</v>
      </c>
      <c r="R5" s="2" t="str">
        <f>IF(银币!R6="","",银币!$B6*银币!R6)</f>
        <v/>
      </c>
      <c r="S5" s="2">
        <f>IF(银币!S6="","",银币!$B6*银币!S6)</f>
        <v>0</v>
      </c>
      <c r="T5" s="2">
        <f>IF(银币!T6="","",银币!$B6*银币!T6)</f>
        <v>0</v>
      </c>
      <c r="U5" s="2">
        <f>IF(银币!U6="","",银币!$B6*银币!U6)</f>
        <v>0</v>
      </c>
      <c r="V5" s="2">
        <f>IF(银币!V6="","",银币!$B6*银币!V6)</f>
        <v>0</v>
      </c>
      <c r="W5" s="2">
        <f>IF(银币!W6="","",银币!$B6*银币!W6)</f>
        <v>0</v>
      </c>
      <c r="X5" s="2">
        <f>IF(银币!X6="","",银币!$B6*银币!X6)</f>
        <v>0</v>
      </c>
      <c r="Y5" s="2">
        <f>IF(银币!Y6="","",银币!$B6*银币!Y6)</f>
        <v>0</v>
      </c>
      <c r="Z5" s="2">
        <f>IF(银币!Z6="","",银币!$B6*银币!Z6)</f>
        <v>0</v>
      </c>
      <c r="AA5" s="2">
        <f>IF(银币!AA6="","",银币!$B6*银币!AA6)</f>
        <v>0</v>
      </c>
      <c r="AB5" s="2" t="str">
        <f>IF(银币!AB6="","",银币!$B6*银币!AB6)</f>
        <v/>
      </c>
      <c r="AC5" s="2" t="str">
        <f>IF(银币!AC6="","",银币!$B6*银币!AC6)</f>
        <v/>
      </c>
      <c r="AD5" s="2" t="str">
        <f>IF(银币!AD6="","",银币!$B6*银币!AD6)</f>
        <v/>
      </c>
      <c r="AE5" s="2" t="str">
        <f>IF(银币!AE6="","",银币!$B6*银币!AE6)</f>
        <v/>
      </c>
      <c r="AF5" s="2">
        <f>银币!AI6</f>
        <v>4000</v>
      </c>
    </row>
    <row r="6" spans="1:32">
      <c r="A6" s="58">
        <v>5</v>
      </c>
      <c r="B6" s="96">
        <f>银币!B7</f>
        <v>5000</v>
      </c>
      <c r="C6" s="2">
        <f>IF(银币!C7="","",银币!$B7*银币!C7)</f>
        <v>0</v>
      </c>
      <c r="D6" s="2">
        <f>IF(银币!D7="","",银币!$B7*银币!D7)</f>
        <v>0</v>
      </c>
      <c r="E6" s="2">
        <f>IF(银币!E7="","",银币!$B7*银币!E7)</f>
        <v>0</v>
      </c>
      <c r="F6" s="2">
        <f>IF(银币!F7="","",银币!$B7*银币!F7)</f>
        <v>0</v>
      </c>
      <c r="G6" s="2" t="str">
        <f>IF(银币!G7="","",银币!$B7*银币!G7)</f>
        <v/>
      </c>
      <c r="H6" s="2" t="str">
        <f>IF(银币!H7="","",银币!$B7*银币!H7)</f>
        <v/>
      </c>
      <c r="I6" s="2" t="str">
        <f>IF(银币!I7="","",银币!$B7*银币!I7)</f>
        <v/>
      </c>
      <c r="J6" s="2" t="str">
        <f>IF(银币!J7="","",银币!$B7*银币!J7)</f>
        <v/>
      </c>
      <c r="K6" s="2">
        <f>IF(银币!K7="","",银币!$B7*银币!K7)</f>
        <v>0</v>
      </c>
      <c r="L6" s="2">
        <f>IF(银币!L7="","",银币!$B7*银币!L7)</f>
        <v>0</v>
      </c>
      <c r="M6" s="2" t="str">
        <f>IF(银币!M7="","",银币!$B7*银币!M7)</f>
        <v/>
      </c>
      <c r="N6" s="2" t="str">
        <f>IF(银币!N7="","",银币!$B7*银币!N7)</f>
        <v/>
      </c>
      <c r="O6" s="2" t="str">
        <f>IF(银币!O7="","",银币!$B7*银币!O7)</f>
        <v/>
      </c>
      <c r="P6" s="2">
        <f>IF(银币!P7="","",银币!$B7*银币!P7)</f>
        <v>0</v>
      </c>
      <c r="Q6" s="2">
        <f>IF(银币!Q7="","",银币!$B7*银币!Q7)</f>
        <v>25000</v>
      </c>
      <c r="R6" s="2" t="str">
        <f>IF(银币!R7="","",银币!$B7*银币!R7)</f>
        <v/>
      </c>
      <c r="S6" s="2">
        <f>IF(银币!S7="","",银币!$B7*银币!S7)</f>
        <v>0</v>
      </c>
      <c r="T6" s="2">
        <f>IF(银币!T7="","",银币!$B7*银币!T7)</f>
        <v>0</v>
      </c>
      <c r="U6" s="2">
        <f>IF(银币!U7="","",银币!$B7*银币!U7)</f>
        <v>0</v>
      </c>
      <c r="V6" s="2">
        <f>IF(银币!V7="","",银币!$B7*银币!V7)</f>
        <v>0</v>
      </c>
      <c r="W6" s="2">
        <f>IF(银币!W7="","",银币!$B7*银币!W7)</f>
        <v>0</v>
      </c>
      <c r="X6" s="2">
        <f>IF(银币!X7="","",银币!$B7*银币!X7)</f>
        <v>0</v>
      </c>
      <c r="Y6" s="2">
        <f>IF(银币!Y7="","",银币!$B7*银币!Y7)</f>
        <v>0</v>
      </c>
      <c r="Z6" s="2">
        <f>IF(银币!Z7="","",银币!$B7*银币!Z7)</f>
        <v>0</v>
      </c>
      <c r="AA6" s="2">
        <f>IF(银币!AA7="","",银币!$B7*银币!AA7)</f>
        <v>0</v>
      </c>
      <c r="AB6" s="2" t="str">
        <f>IF(银币!AB7="","",银币!$B7*银币!AB7)</f>
        <v/>
      </c>
      <c r="AC6" s="2" t="str">
        <f>IF(银币!AC7="","",银币!$B7*银币!AC7)</f>
        <v/>
      </c>
      <c r="AD6" s="2" t="str">
        <f>IF(银币!AD7="","",银币!$B7*银币!AD7)</f>
        <v/>
      </c>
      <c r="AE6" s="2" t="str">
        <f>IF(银币!AE7="","",银币!$B7*银币!AE7)</f>
        <v/>
      </c>
      <c r="AF6" s="2">
        <f>银币!AI7</f>
        <v>5000</v>
      </c>
    </row>
    <row r="7" spans="1:32">
      <c r="A7" s="58">
        <v>6</v>
      </c>
      <c r="B7" s="96">
        <f>银币!B8</f>
        <v>6000</v>
      </c>
      <c r="C7" s="2">
        <f>IF(银币!C8="","",银币!$B8*银币!C8)</f>
        <v>0</v>
      </c>
      <c r="D7" s="2">
        <f>IF(银币!D8="","",银币!$B8*银币!D8)</f>
        <v>0</v>
      </c>
      <c r="E7" s="2">
        <f>IF(银币!E8="","",银币!$B8*银币!E8)</f>
        <v>0</v>
      </c>
      <c r="F7" s="2">
        <f>IF(银币!F8="","",银币!$B8*银币!F8)</f>
        <v>0</v>
      </c>
      <c r="G7" s="2" t="str">
        <f>IF(银币!G8="","",银币!$B8*银币!G8)</f>
        <v/>
      </c>
      <c r="H7" s="2" t="str">
        <f>IF(银币!H8="","",银币!$B8*银币!H8)</f>
        <v/>
      </c>
      <c r="I7" s="2" t="str">
        <f>IF(银币!I8="","",银币!$B8*银币!I8)</f>
        <v/>
      </c>
      <c r="J7" s="2" t="str">
        <f>IF(银币!J8="","",银币!$B8*银币!J8)</f>
        <v/>
      </c>
      <c r="K7" s="2">
        <f>IF(银币!K8="","",银币!$B8*银币!K8)</f>
        <v>0</v>
      </c>
      <c r="L7" s="2">
        <f>IF(银币!L8="","",银币!$B8*银币!L8)</f>
        <v>0</v>
      </c>
      <c r="M7" s="2" t="str">
        <f>IF(银币!M8="","",银币!$B8*银币!M8)</f>
        <v/>
      </c>
      <c r="N7" s="2" t="str">
        <f>IF(银币!N8="","",银币!$B8*银币!N8)</f>
        <v/>
      </c>
      <c r="O7" s="2" t="str">
        <f>IF(银币!O8="","",银币!$B8*银币!O8)</f>
        <v/>
      </c>
      <c r="P7" s="2">
        <f>IF(银币!P8="","",银币!$B8*银币!P8)</f>
        <v>0</v>
      </c>
      <c r="Q7" s="2">
        <f>IF(银币!Q8="","",银币!$B8*银币!Q8)</f>
        <v>30000</v>
      </c>
      <c r="R7" s="2" t="str">
        <f>IF(银币!R8="","",银币!$B8*银币!R8)</f>
        <v/>
      </c>
      <c r="S7" s="2">
        <f>IF(银币!S8="","",银币!$B8*银币!S8)</f>
        <v>0</v>
      </c>
      <c r="T7" s="2">
        <f>IF(银币!T8="","",银币!$B8*银币!T8)</f>
        <v>0</v>
      </c>
      <c r="U7" s="2">
        <f>IF(银币!U8="","",银币!$B8*银币!U8)</f>
        <v>0</v>
      </c>
      <c r="V7" s="2">
        <f>IF(银币!V8="","",银币!$B8*银币!V8)</f>
        <v>0</v>
      </c>
      <c r="W7" s="2">
        <f>IF(银币!W8="","",银币!$B8*银币!W8)</f>
        <v>0</v>
      </c>
      <c r="X7" s="2">
        <f>IF(银币!X8="","",银币!$B8*银币!X8)</f>
        <v>0</v>
      </c>
      <c r="Y7" s="2">
        <f>IF(银币!Y8="","",银币!$B8*银币!Y8)</f>
        <v>0</v>
      </c>
      <c r="Z7" s="2">
        <f>IF(银币!Z8="","",银币!$B8*银币!Z8)</f>
        <v>0</v>
      </c>
      <c r="AA7" s="2">
        <f>IF(银币!AA8="","",银币!$B8*银币!AA8)</f>
        <v>0</v>
      </c>
      <c r="AB7" s="2" t="str">
        <f>IF(银币!AB8="","",银币!$B8*银币!AB8)</f>
        <v/>
      </c>
      <c r="AC7" s="2" t="str">
        <f>IF(银币!AC8="","",银币!$B8*银币!AC8)</f>
        <v/>
      </c>
      <c r="AD7" s="2" t="str">
        <f>IF(银币!AD8="","",银币!$B8*银币!AD8)</f>
        <v/>
      </c>
      <c r="AE7" s="2" t="str">
        <f>IF(银币!AE8="","",银币!$B8*银币!AE8)</f>
        <v/>
      </c>
      <c r="AF7" s="2">
        <f>银币!AI8</f>
        <v>6000</v>
      </c>
    </row>
    <row r="8" spans="1:32">
      <c r="A8" s="58">
        <v>7</v>
      </c>
      <c r="B8" s="96">
        <f>银币!B9</f>
        <v>7000</v>
      </c>
      <c r="C8" s="2">
        <f>IF(银币!C9="","",银币!$B9*银币!C9)</f>
        <v>0</v>
      </c>
      <c r="D8" s="2">
        <f>IF(银币!D9="","",银币!$B9*银币!D9)</f>
        <v>0</v>
      </c>
      <c r="E8" s="2">
        <f>IF(银币!E9="","",银币!$B9*银币!E9)</f>
        <v>0</v>
      </c>
      <c r="F8" s="2">
        <f>IF(银币!F9="","",银币!$B9*银币!F9)</f>
        <v>0</v>
      </c>
      <c r="G8" s="2" t="str">
        <f>IF(银币!G9="","",银币!$B9*银币!G9)</f>
        <v/>
      </c>
      <c r="H8" s="2" t="str">
        <f>IF(银币!H9="","",银币!$B9*银币!H9)</f>
        <v/>
      </c>
      <c r="I8" s="2" t="str">
        <f>IF(银币!I9="","",银币!$B9*银币!I9)</f>
        <v/>
      </c>
      <c r="J8" s="2" t="str">
        <f>IF(银币!J9="","",银币!$B9*银币!J9)</f>
        <v/>
      </c>
      <c r="K8" s="2">
        <f>IF(银币!K9="","",银币!$B9*银币!K9)</f>
        <v>0</v>
      </c>
      <c r="L8" s="2">
        <f>IF(银币!L9="","",银币!$B9*银币!L9)</f>
        <v>0</v>
      </c>
      <c r="M8" s="2" t="str">
        <f>IF(银币!M9="","",银币!$B9*银币!M9)</f>
        <v/>
      </c>
      <c r="N8" s="2" t="str">
        <f>IF(银币!N9="","",银币!$B9*银币!N9)</f>
        <v/>
      </c>
      <c r="O8" s="2" t="str">
        <f>IF(银币!O9="","",银币!$B9*银币!O9)</f>
        <v/>
      </c>
      <c r="P8" s="2">
        <f>IF(银币!P9="","",银币!$B9*银币!P9)</f>
        <v>0</v>
      </c>
      <c r="Q8" s="2">
        <f>IF(银币!Q9="","",银币!$B9*银币!Q9)</f>
        <v>35000</v>
      </c>
      <c r="R8" s="2" t="str">
        <f>IF(银币!R9="","",银币!$B9*银币!R9)</f>
        <v/>
      </c>
      <c r="S8" s="2">
        <f>IF(银币!S9="","",银币!$B9*银币!S9)</f>
        <v>0</v>
      </c>
      <c r="T8" s="2">
        <f>IF(银币!T9="","",银币!$B9*银币!T9)</f>
        <v>0</v>
      </c>
      <c r="U8" s="2">
        <f>IF(银币!U9="","",银币!$B9*银币!U9)</f>
        <v>0</v>
      </c>
      <c r="V8" s="2">
        <f>IF(银币!V9="","",银币!$B9*银币!V9)</f>
        <v>0</v>
      </c>
      <c r="W8" s="2">
        <f>IF(银币!W9="","",银币!$B9*银币!W9)</f>
        <v>0</v>
      </c>
      <c r="X8" s="2">
        <f>IF(银币!X9="","",银币!$B9*银币!X9)</f>
        <v>0</v>
      </c>
      <c r="Y8" s="2">
        <f>IF(银币!Y9="","",银币!$B9*银币!Y9)</f>
        <v>0</v>
      </c>
      <c r="Z8" s="2">
        <f>IF(银币!Z9="","",银币!$B9*银币!Z9)</f>
        <v>0</v>
      </c>
      <c r="AA8" s="2">
        <f>IF(银币!AA9="","",银币!$B9*银币!AA9)</f>
        <v>0</v>
      </c>
      <c r="AB8" s="2" t="str">
        <f>IF(银币!AB9="","",银币!$B9*银币!AB9)</f>
        <v/>
      </c>
      <c r="AC8" s="2" t="str">
        <f>IF(银币!AC9="","",银币!$B9*银币!AC9)</f>
        <v/>
      </c>
      <c r="AD8" s="2" t="str">
        <f>IF(银币!AD9="","",银币!$B9*银币!AD9)</f>
        <v/>
      </c>
      <c r="AE8" s="2" t="str">
        <f>IF(银币!AE9="","",银币!$B9*银币!AE9)</f>
        <v/>
      </c>
      <c r="AF8" s="2">
        <f>银币!AI9</f>
        <v>7000</v>
      </c>
    </row>
    <row r="9" spans="1:32">
      <c r="A9" s="58">
        <v>8</v>
      </c>
      <c r="B9" s="96">
        <f>银币!B10</f>
        <v>8000</v>
      </c>
      <c r="C9" s="2">
        <f>IF(银币!C10="","",银币!$B10*银币!C10)</f>
        <v>0</v>
      </c>
      <c r="D9" s="2">
        <f>IF(银币!D10="","",银币!$B10*银币!D10)</f>
        <v>0</v>
      </c>
      <c r="E9" s="2">
        <f>IF(银币!E10="","",银币!$B10*银币!E10)</f>
        <v>0</v>
      </c>
      <c r="F9" s="2">
        <f>IF(银币!F10="","",银币!$B10*银币!F10)</f>
        <v>0</v>
      </c>
      <c r="G9" s="2" t="str">
        <f>IF(银币!G10="","",银币!$B10*银币!G10)</f>
        <v/>
      </c>
      <c r="H9" s="2" t="str">
        <f>IF(银币!H10="","",银币!$B10*银币!H10)</f>
        <v/>
      </c>
      <c r="I9" s="2" t="str">
        <f>IF(银币!I10="","",银币!$B10*银币!I10)</f>
        <v/>
      </c>
      <c r="J9" s="2" t="str">
        <f>IF(银币!J10="","",银币!$B10*银币!J10)</f>
        <v/>
      </c>
      <c r="K9" s="2">
        <f>IF(银币!K10="","",银币!$B10*银币!K10)</f>
        <v>0</v>
      </c>
      <c r="L9" s="2">
        <f>IF(银币!L10="","",银币!$B10*银币!L10)</f>
        <v>0</v>
      </c>
      <c r="M9" s="2" t="str">
        <f>IF(银币!M10="","",银币!$B10*银币!M10)</f>
        <v/>
      </c>
      <c r="N9" s="2" t="str">
        <f>IF(银币!N10="","",银币!$B10*银币!N10)</f>
        <v/>
      </c>
      <c r="O9" s="2" t="str">
        <f>IF(银币!O10="","",银币!$B10*银币!O10)</f>
        <v/>
      </c>
      <c r="P9" s="2">
        <f>IF(银币!P10="","",银币!$B10*银币!P10)</f>
        <v>0</v>
      </c>
      <c r="Q9" s="2">
        <f>IF(银币!Q10="","",银币!$B10*银币!Q10)</f>
        <v>40000</v>
      </c>
      <c r="R9" s="2" t="str">
        <f>IF(银币!R10="","",银币!$B10*银币!R10)</f>
        <v/>
      </c>
      <c r="S9" s="2">
        <f>IF(银币!S10="","",银币!$B10*银币!S10)</f>
        <v>0</v>
      </c>
      <c r="T9" s="2">
        <f>IF(银币!T10="","",银币!$B10*银币!T10)</f>
        <v>0</v>
      </c>
      <c r="U9" s="2">
        <f>IF(银币!U10="","",银币!$B10*银币!U10)</f>
        <v>0</v>
      </c>
      <c r="V9" s="2">
        <f>IF(银币!V10="","",银币!$B10*银币!V10)</f>
        <v>0</v>
      </c>
      <c r="W9" s="2">
        <f>IF(银币!W10="","",银币!$B10*银币!W10)</f>
        <v>0</v>
      </c>
      <c r="X9" s="2">
        <f>IF(银币!X10="","",银币!$B10*银币!X10)</f>
        <v>0</v>
      </c>
      <c r="Y9" s="2">
        <f>IF(银币!Y10="","",银币!$B10*银币!Y10)</f>
        <v>0</v>
      </c>
      <c r="Z9" s="2">
        <f>IF(银币!Z10="","",银币!$B10*银币!Z10)</f>
        <v>0</v>
      </c>
      <c r="AA9" s="2">
        <f>IF(银币!AA10="","",银币!$B10*银币!AA10)</f>
        <v>0</v>
      </c>
      <c r="AB9" s="2" t="str">
        <f>IF(银币!AB10="","",银币!$B10*银币!AB10)</f>
        <v/>
      </c>
      <c r="AC9" s="2" t="str">
        <f>IF(银币!AC10="","",银币!$B10*银币!AC10)</f>
        <v/>
      </c>
      <c r="AD9" s="2" t="str">
        <f>IF(银币!AD10="","",银币!$B10*银币!AD10)</f>
        <v/>
      </c>
      <c r="AE9" s="2" t="str">
        <f>IF(银币!AE10="","",银币!$B10*银币!AE10)</f>
        <v/>
      </c>
      <c r="AF9" s="2">
        <f>银币!AI10</f>
        <v>8000</v>
      </c>
    </row>
    <row r="10" spans="1:32">
      <c r="A10" s="58">
        <v>9</v>
      </c>
      <c r="B10" s="96">
        <f>银币!B11</f>
        <v>9000</v>
      </c>
      <c r="C10" s="2">
        <f>IF(银币!C11="","",银币!$B11*银币!C11)</f>
        <v>0</v>
      </c>
      <c r="D10" s="2">
        <f>IF(银币!D11="","",银币!$B11*银币!D11)</f>
        <v>0</v>
      </c>
      <c r="E10" s="2">
        <f>IF(银币!E11="","",银币!$B11*银币!E11)</f>
        <v>0</v>
      </c>
      <c r="F10" s="2">
        <f>IF(银币!F11="","",银币!$B11*银币!F11)</f>
        <v>0</v>
      </c>
      <c r="G10" s="2" t="str">
        <f>IF(银币!G11="","",银币!$B11*银币!G11)</f>
        <v/>
      </c>
      <c r="H10" s="2" t="str">
        <f>IF(银币!H11="","",银币!$B11*银币!H11)</f>
        <v/>
      </c>
      <c r="I10" s="2" t="str">
        <f>IF(银币!I11="","",银币!$B11*银币!I11)</f>
        <v/>
      </c>
      <c r="J10" s="2" t="str">
        <f>IF(银币!J11="","",银币!$B11*银币!J11)</f>
        <v/>
      </c>
      <c r="K10" s="2">
        <f>IF(银币!K11="","",银币!$B11*银币!K11)</f>
        <v>0</v>
      </c>
      <c r="L10" s="2">
        <f>IF(银币!L11="","",银币!$B11*银币!L11)</f>
        <v>0</v>
      </c>
      <c r="M10" s="2" t="str">
        <f>IF(银币!M11="","",银币!$B11*银币!M11)</f>
        <v/>
      </c>
      <c r="N10" s="2" t="str">
        <f>IF(银币!N11="","",银币!$B11*银币!N11)</f>
        <v/>
      </c>
      <c r="O10" s="2" t="str">
        <f>IF(银币!O11="","",银币!$B11*银币!O11)</f>
        <v/>
      </c>
      <c r="P10" s="2">
        <f>IF(银币!P11="","",银币!$B11*银币!P11)</f>
        <v>0</v>
      </c>
      <c r="Q10" s="2">
        <f>IF(银币!Q11="","",银币!$B11*银币!Q11)</f>
        <v>45000</v>
      </c>
      <c r="R10" s="2" t="str">
        <f>IF(银币!R11="","",银币!$B11*银币!R11)</f>
        <v/>
      </c>
      <c r="S10" s="2">
        <f>IF(银币!S11="","",银币!$B11*银币!S11)</f>
        <v>0</v>
      </c>
      <c r="T10" s="2">
        <f>IF(银币!T11="","",银币!$B11*银币!T11)</f>
        <v>0</v>
      </c>
      <c r="U10" s="2">
        <f>IF(银币!U11="","",银币!$B11*银币!U11)</f>
        <v>0</v>
      </c>
      <c r="V10" s="2">
        <f>IF(银币!V11="","",银币!$B11*银币!V11)</f>
        <v>0</v>
      </c>
      <c r="W10" s="2">
        <f>IF(银币!W11="","",银币!$B11*银币!W11)</f>
        <v>0</v>
      </c>
      <c r="X10" s="2">
        <f>IF(银币!X11="","",银币!$B11*银币!X11)</f>
        <v>0</v>
      </c>
      <c r="Y10" s="2">
        <f>IF(银币!Y11="","",银币!$B11*银币!Y11)</f>
        <v>0</v>
      </c>
      <c r="Z10" s="2">
        <f>IF(银币!Z11="","",银币!$B11*银币!Z11)</f>
        <v>0</v>
      </c>
      <c r="AA10" s="2">
        <f>IF(银币!AA11="","",银币!$B11*银币!AA11)</f>
        <v>0</v>
      </c>
      <c r="AB10" s="2" t="str">
        <f>IF(银币!AB11="","",银币!$B11*银币!AB11)</f>
        <v/>
      </c>
      <c r="AC10" s="2" t="str">
        <f>IF(银币!AC11="","",银币!$B11*银币!AC11)</f>
        <v/>
      </c>
      <c r="AD10" s="2" t="str">
        <f>IF(银币!AD11="","",银币!$B11*银币!AD11)</f>
        <v/>
      </c>
      <c r="AE10" s="2" t="str">
        <f>IF(银币!AE11="","",银币!$B11*银币!AE11)</f>
        <v/>
      </c>
      <c r="AF10" s="2">
        <f>银币!AI11</f>
        <v>9000</v>
      </c>
    </row>
    <row r="11" spans="1:32">
      <c r="A11" s="58">
        <v>10</v>
      </c>
      <c r="B11" s="96">
        <f>银币!B12</f>
        <v>10000</v>
      </c>
      <c r="C11" s="2">
        <f>IF(银币!C12="","",银币!$B12*银币!C12)</f>
        <v>0</v>
      </c>
      <c r="D11" s="2">
        <f>IF(银币!D12="","",银币!$B12*银币!D12)</f>
        <v>0</v>
      </c>
      <c r="E11" s="2">
        <f>IF(银币!E12="","",银币!$B12*银币!E12)</f>
        <v>0</v>
      </c>
      <c r="F11" s="2">
        <f>IF(银币!F12="","",银币!$B12*银币!F12)</f>
        <v>0</v>
      </c>
      <c r="G11" s="2" t="str">
        <f>IF(银币!G12="","",银币!$B12*银币!G12)</f>
        <v/>
      </c>
      <c r="H11" s="2" t="str">
        <f>IF(银币!H12="","",银币!$B12*银币!H12)</f>
        <v/>
      </c>
      <c r="I11" s="2" t="str">
        <f>IF(银币!I12="","",银币!$B12*银币!I12)</f>
        <v/>
      </c>
      <c r="J11" s="2" t="str">
        <f>IF(银币!J12="","",银币!$B12*银币!J12)</f>
        <v/>
      </c>
      <c r="K11" s="2">
        <f>IF(银币!K12="","",银币!$B12*银币!K12)</f>
        <v>0</v>
      </c>
      <c r="L11" s="2">
        <f>IF(银币!L12="","",银币!$B12*银币!L12)</f>
        <v>0</v>
      </c>
      <c r="M11" s="2" t="str">
        <f>IF(银币!M12="","",银币!$B12*银币!M12)</f>
        <v/>
      </c>
      <c r="N11" s="2" t="str">
        <f>IF(银币!N12="","",银币!$B12*银币!N12)</f>
        <v/>
      </c>
      <c r="O11" s="2" t="str">
        <f>IF(银币!O12="","",银币!$B12*银币!O12)</f>
        <v/>
      </c>
      <c r="P11" s="2">
        <f>IF(银币!P12="","",银币!$B12*银币!P12)</f>
        <v>5000</v>
      </c>
      <c r="Q11" s="2">
        <f>IF(银币!Q12="","",银币!$B12*银币!Q12)</f>
        <v>50000</v>
      </c>
      <c r="R11" s="2" t="str">
        <f>IF(银币!R12="","",银币!$B12*银币!R12)</f>
        <v/>
      </c>
      <c r="S11" s="2">
        <f>IF(银币!S12="","",银币!$B12*银币!S12)</f>
        <v>0</v>
      </c>
      <c r="T11" s="2">
        <f>IF(银币!T12="","",银币!$B12*银币!T12)</f>
        <v>0</v>
      </c>
      <c r="U11" s="2">
        <f>IF(银币!U12="","",银币!$B12*银币!U12)</f>
        <v>0</v>
      </c>
      <c r="V11" s="2">
        <f>IF(银币!V12="","",银币!$B12*银币!V12)</f>
        <v>0</v>
      </c>
      <c r="W11" s="2">
        <f>IF(银币!W12="","",银币!$B12*银币!W12)</f>
        <v>0</v>
      </c>
      <c r="X11" s="2">
        <f>IF(银币!X12="","",银币!$B12*银币!X12)</f>
        <v>0</v>
      </c>
      <c r="Y11" s="2">
        <f>IF(银币!Y12="","",银币!$B12*银币!Y12)</f>
        <v>0</v>
      </c>
      <c r="Z11" s="2">
        <f>IF(银币!Z12="","",银币!$B12*银币!Z12)</f>
        <v>0</v>
      </c>
      <c r="AA11" s="2">
        <f>IF(银币!AA12="","",银币!$B12*银币!AA12)</f>
        <v>0</v>
      </c>
      <c r="AB11" s="2" t="str">
        <f>IF(银币!AB12="","",银币!$B12*银币!AB12)</f>
        <v/>
      </c>
      <c r="AC11" s="2" t="str">
        <f>IF(银币!AC12="","",银币!$B12*银币!AC12)</f>
        <v/>
      </c>
      <c r="AD11" s="2" t="str">
        <f>IF(银币!AD12="","",银币!$B12*银币!AD12)</f>
        <v/>
      </c>
      <c r="AE11" s="2" t="str">
        <f>IF(银币!AE12="","",银币!$B12*银币!AE12)</f>
        <v/>
      </c>
      <c r="AF11" s="2">
        <f>银币!AI12</f>
        <v>10000</v>
      </c>
    </row>
    <row r="12" spans="1:32">
      <c r="A12" s="58">
        <v>11</v>
      </c>
      <c r="B12" s="96">
        <f>银币!B13</f>
        <v>11000</v>
      </c>
      <c r="C12" s="2">
        <f>IF(银币!C13="","",银币!$B13*银币!C13)</f>
        <v>0</v>
      </c>
      <c r="D12" s="2">
        <f>IF(银币!D13="","",银币!$B13*银币!D13)</f>
        <v>0</v>
      </c>
      <c r="E12" s="2">
        <f>IF(银币!E13="","",银币!$B13*银币!E13)</f>
        <v>0</v>
      </c>
      <c r="F12" s="2">
        <f>IF(银币!F13="","",银币!$B13*银币!F13)</f>
        <v>0</v>
      </c>
      <c r="G12" s="2" t="str">
        <f>IF(银币!G13="","",银币!$B13*银币!G13)</f>
        <v/>
      </c>
      <c r="H12" s="2" t="str">
        <f>IF(银币!H13="","",银币!$B13*银币!H13)</f>
        <v/>
      </c>
      <c r="I12" s="2" t="str">
        <f>IF(银币!I13="","",银币!$B13*银币!I13)</f>
        <v/>
      </c>
      <c r="J12" s="2" t="str">
        <f>IF(银币!J13="","",银币!$B13*银币!J13)</f>
        <v/>
      </c>
      <c r="K12" s="2">
        <f>IF(银币!K13="","",银币!$B13*银币!K13)</f>
        <v>0</v>
      </c>
      <c r="L12" s="2">
        <f>IF(银币!L13="","",银币!$B13*银币!L13)</f>
        <v>0</v>
      </c>
      <c r="M12" s="2" t="str">
        <f>IF(银币!M13="","",银币!$B13*银币!M13)</f>
        <v/>
      </c>
      <c r="N12" s="2" t="str">
        <f>IF(银币!N13="","",银币!$B13*银币!N13)</f>
        <v/>
      </c>
      <c r="O12" s="2" t="str">
        <f>IF(银币!O13="","",银币!$B13*银币!O13)</f>
        <v/>
      </c>
      <c r="P12" s="2">
        <f>IF(银币!P13="","",银币!$B13*银币!P13)</f>
        <v>5500</v>
      </c>
      <c r="Q12" s="2">
        <f>IF(银币!Q13="","",银币!$B13*银币!Q13)</f>
        <v>55000</v>
      </c>
      <c r="R12" s="2" t="str">
        <f>IF(银币!R13="","",银币!$B13*银币!R13)</f>
        <v/>
      </c>
      <c r="S12" s="2">
        <f>IF(银币!S13="","",银币!$B13*银币!S13)</f>
        <v>0</v>
      </c>
      <c r="T12" s="2">
        <f>IF(银币!T13="","",银币!$B13*银币!T13)</f>
        <v>0</v>
      </c>
      <c r="U12" s="2">
        <f>IF(银币!U13="","",银币!$B13*银币!U13)</f>
        <v>0</v>
      </c>
      <c r="V12" s="2">
        <f>IF(银币!V13="","",银币!$B13*银币!V13)</f>
        <v>0</v>
      </c>
      <c r="W12" s="2">
        <f>IF(银币!W13="","",银币!$B13*银币!W13)</f>
        <v>0</v>
      </c>
      <c r="X12" s="2">
        <f>IF(银币!X13="","",银币!$B13*银币!X13)</f>
        <v>0</v>
      </c>
      <c r="Y12" s="2">
        <f>IF(银币!Y13="","",银币!$B13*银币!Y13)</f>
        <v>0</v>
      </c>
      <c r="Z12" s="2">
        <f>IF(银币!Z13="","",银币!$B13*银币!Z13)</f>
        <v>0</v>
      </c>
      <c r="AA12" s="2">
        <f>IF(银币!AA13="","",银币!$B13*银币!AA13)</f>
        <v>0</v>
      </c>
      <c r="AB12" s="2" t="str">
        <f>IF(银币!AB13="","",银币!$B13*银币!AB13)</f>
        <v/>
      </c>
      <c r="AC12" s="2" t="str">
        <f>IF(银币!AC13="","",银币!$B13*银币!AC13)</f>
        <v/>
      </c>
      <c r="AD12" s="2" t="str">
        <f>IF(银币!AD13="","",银币!$B13*银币!AD13)</f>
        <v/>
      </c>
      <c r="AE12" s="2" t="str">
        <f>IF(银币!AE13="","",银币!$B13*银币!AE13)</f>
        <v/>
      </c>
      <c r="AF12" s="2">
        <f>银币!AI13</f>
        <v>11000</v>
      </c>
    </row>
    <row r="13" spans="1:32">
      <c r="A13" s="58">
        <v>12</v>
      </c>
      <c r="B13" s="96">
        <f>银币!B14</f>
        <v>12000</v>
      </c>
      <c r="C13" s="2">
        <f>IF(银币!C14="","",银币!$B14*银币!C14)</f>
        <v>0</v>
      </c>
      <c r="D13" s="2">
        <f>IF(银币!D14="","",银币!$B14*银币!D14)</f>
        <v>0</v>
      </c>
      <c r="E13" s="2">
        <f>IF(银币!E14="","",银币!$B14*银币!E14)</f>
        <v>0</v>
      </c>
      <c r="F13" s="2">
        <f>IF(银币!F14="","",银币!$B14*银币!F14)</f>
        <v>0</v>
      </c>
      <c r="G13" s="2" t="str">
        <f>IF(银币!G14="","",银币!$B14*银币!G14)</f>
        <v/>
      </c>
      <c r="H13" s="2" t="str">
        <f>IF(银币!H14="","",银币!$B14*银币!H14)</f>
        <v/>
      </c>
      <c r="I13" s="2" t="str">
        <f>IF(银币!I14="","",银币!$B14*银币!I14)</f>
        <v/>
      </c>
      <c r="J13" s="2" t="str">
        <f>IF(银币!J14="","",银币!$B14*银币!J14)</f>
        <v/>
      </c>
      <c r="K13" s="2">
        <f>IF(银币!K14="","",银币!$B14*银币!K14)</f>
        <v>0</v>
      </c>
      <c r="L13" s="2">
        <f>IF(银币!L14="","",银币!$B14*银币!L14)</f>
        <v>0</v>
      </c>
      <c r="M13" s="2" t="str">
        <f>IF(银币!M14="","",银币!$B14*银币!M14)</f>
        <v/>
      </c>
      <c r="N13" s="2" t="str">
        <f>IF(银币!N14="","",银币!$B14*银币!N14)</f>
        <v/>
      </c>
      <c r="O13" s="2" t="str">
        <f>IF(银币!O14="","",银币!$B14*银币!O14)</f>
        <v/>
      </c>
      <c r="P13" s="2">
        <f>IF(银币!P14="","",银币!$B14*银币!P14)</f>
        <v>6000</v>
      </c>
      <c r="Q13" s="2">
        <f>IF(银币!Q14="","",银币!$B14*银币!Q14)</f>
        <v>60000</v>
      </c>
      <c r="R13" s="2" t="str">
        <f>IF(银币!R14="","",银币!$B14*银币!R14)</f>
        <v/>
      </c>
      <c r="S13" s="2">
        <f>IF(银币!S14="","",银币!$B14*银币!S14)</f>
        <v>0</v>
      </c>
      <c r="T13" s="2">
        <f>IF(银币!T14="","",银币!$B14*银币!T14)</f>
        <v>0</v>
      </c>
      <c r="U13" s="2">
        <f>IF(银币!U14="","",银币!$B14*银币!U14)</f>
        <v>0</v>
      </c>
      <c r="V13" s="2">
        <f>IF(银币!V14="","",银币!$B14*银币!V14)</f>
        <v>0</v>
      </c>
      <c r="W13" s="2">
        <f>IF(银币!W14="","",银币!$B14*银币!W14)</f>
        <v>0</v>
      </c>
      <c r="X13" s="2">
        <f>IF(银币!X14="","",银币!$B14*银币!X14)</f>
        <v>0</v>
      </c>
      <c r="Y13" s="2">
        <f>IF(银币!Y14="","",银币!$B14*银币!Y14)</f>
        <v>0</v>
      </c>
      <c r="Z13" s="2">
        <f>IF(银币!Z14="","",银币!$B14*银币!Z14)</f>
        <v>0</v>
      </c>
      <c r="AA13" s="2">
        <f>IF(银币!AA14="","",银币!$B14*银币!AA14)</f>
        <v>0</v>
      </c>
      <c r="AB13" s="2" t="str">
        <f>IF(银币!AB14="","",银币!$B14*银币!AB14)</f>
        <v/>
      </c>
      <c r="AC13" s="2" t="str">
        <f>IF(银币!AC14="","",银币!$B14*银币!AC14)</f>
        <v/>
      </c>
      <c r="AD13" s="2" t="str">
        <f>IF(银币!AD14="","",银币!$B14*银币!AD14)</f>
        <v/>
      </c>
      <c r="AE13" s="2" t="str">
        <f>IF(银币!AE14="","",银币!$B14*银币!AE14)</f>
        <v/>
      </c>
      <c r="AF13" s="2">
        <f>银币!AI14</f>
        <v>12000</v>
      </c>
    </row>
    <row r="14" spans="1:32">
      <c r="A14" s="58">
        <v>13</v>
      </c>
      <c r="B14" s="96">
        <f>银币!B15</f>
        <v>13000</v>
      </c>
      <c r="C14" s="2">
        <f>IF(银币!C15="","",银币!$B15*银币!C15)</f>
        <v>0</v>
      </c>
      <c r="D14" s="2">
        <f>IF(银币!D15="","",银币!$B15*银币!D15)</f>
        <v>0</v>
      </c>
      <c r="E14" s="2">
        <f>IF(银币!E15="","",银币!$B15*银币!E15)</f>
        <v>0</v>
      </c>
      <c r="F14" s="2">
        <f>IF(银币!F15="","",银币!$B15*银币!F15)</f>
        <v>0</v>
      </c>
      <c r="G14" s="2" t="str">
        <f>IF(银币!G15="","",银币!$B15*银币!G15)</f>
        <v/>
      </c>
      <c r="H14" s="2" t="str">
        <f>IF(银币!H15="","",银币!$B15*银币!H15)</f>
        <v/>
      </c>
      <c r="I14" s="2" t="str">
        <f>IF(银币!I15="","",银币!$B15*银币!I15)</f>
        <v/>
      </c>
      <c r="J14" s="2" t="str">
        <f>IF(银币!J15="","",银币!$B15*银币!J15)</f>
        <v/>
      </c>
      <c r="K14" s="2">
        <f>IF(银币!K15="","",银币!$B15*银币!K15)</f>
        <v>0</v>
      </c>
      <c r="L14" s="2">
        <f>IF(银币!L15="","",银币!$B15*银币!L15)</f>
        <v>0</v>
      </c>
      <c r="M14" s="2" t="str">
        <f>IF(银币!M15="","",银币!$B15*银币!M15)</f>
        <v/>
      </c>
      <c r="N14" s="2" t="str">
        <f>IF(银币!N15="","",银币!$B15*银币!N15)</f>
        <v/>
      </c>
      <c r="O14" s="2" t="str">
        <f>IF(银币!O15="","",银币!$B15*银币!O15)</f>
        <v/>
      </c>
      <c r="P14" s="2">
        <f>IF(银币!P15="","",银币!$B15*银币!P15)</f>
        <v>6500</v>
      </c>
      <c r="Q14" s="2">
        <f>IF(银币!Q15="","",银币!$B15*银币!Q15)</f>
        <v>65000</v>
      </c>
      <c r="R14" s="2" t="str">
        <f>IF(银币!R15="","",银币!$B15*银币!R15)</f>
        <v/>
      </c>
      <c r="S14" s="2">
        <f>IF(银币!S15="","",银币!$B15*银币!S15)</f>
        <v>0</v>
      </c>
      <c r="T14" s="2">
        <f>IF(银币!T15="","",银币!$B15*银币!T15)</f>
        <v>0</v>
      </c>
      <c r="U14" s="2">
        <f>IF(银币!U15="","",银币!$B15*银币!U15)</f>
        <v>0</v>
      </c>
      <c r="V14" s="2">
        <f>IF(银币!V15="","",银币!$B15*银币!V15)</f>
        <v>0</v>
      </c>
      <c r="W14" s="2">
        <f>IF(银币!W15="","",银币!$B15*银币!W15)</f>
        <v>0</v>
      </c>
      <c r="X14" s="2">
        <f>IF(银币!X15="","",银币!$B15*银币!X15)</f>
        <v>0</v>
      </c>
      <c r="Y14" s="2">
        <f>IF(银币!Y15="","",银币!$B15*银币!Y15)</f>
        <v>0</v>
      </c>
      <c r="Z14" s="2">
        <f>IF(银币!Z15="","",银币!$B15*银币!Z15)</f>
        <v>0</v>
      </c>
      <c r="AA14" s="2">
        <f>IF(银币!AA15="","",银币!$B15*银币!AA15)</f>
        <v>0</v>
      </c>
      <c r="AB14" s="2" t="str">
        <f>IF(银币!AB15="","",银币!$B15*银币!AB15)</f>
        <v/>
      </c>
      <c r="AC14" s="2" t="str">
        <f>IF(银币!AC15="","",银币!$B15*银币!AC15)</f>
        <v/>
      </c>
      <c r="AD14" s="2" t="str">
        <f>IF(银币!AD15="","",银币!$B15*银币!AD15)</f>
        <v/>
      </c>
      <c r="AE14" s="2" t="str">
        <f>IF(银币!AE15="","",银币!$B15*银币!AE15)</f>
        <v/>
      </c>
      <c r="AF14" s="2">
        <f>银币!AI15</f>
        <v>13000</v>
      </c>
    </row>
    <row r="15" spans="1:32">
      <c r="A15" s="58">
        <v>14</v>
      </c>
      <c r="B15" s="96">
        <f>银币!B16</f>
        <v>14000</v>
      </c>
      <c r="C15" s="2">
        <f>IF(银币!C16="","",银币!$B16*银币!C16)</f>
        <v>0</v>
      </c>
      <c r="D15" s="2">
        <f>IF(银币!D16="","",银币!$B16*银币!D16)</f>
        <v>0</v>
      </c>
      <c r="E15" s="2">
        <f>IF(银币!E16="","",银币!$B16*银币!E16)</f>
        <v>0</v>
      </c>
      <c r="F15" s="2">
        <f>IF(银币!F16="","",银币!$B16*银币!F16)</f>
        <v>0</v>
      </c>
      <c r="G15" s="2" t="str">
        <f>IF(银币!G16="","",银币!$B16*银币!G16)</f>
        <v/>
      </c>
      <c r="H15" s="2" t="str">
        <f>IF(银币!H16="","",银币!$B16*银币!H16)</f>
        <v/>
      </c>
      <c r="I15" s="2" t="str">
        <f>IF(银币!I16="","",银币!$B16*银币!I16)</f>
        <v/>
      </c>
      <c r="J15" s="2" t="str">
        <f>IF(银币!J16="","",银币!$B16*银币!J16)</f>
        <v/>
      </c>
      <c r="K15" s="2">
        <f>IF(银币!K16="","",银币!$B16*银币!K16)</f>
        <v>0</v>
      </c>
      <c r="L15" s="2">
        <f>IF(银币!L16="","",银币!$B16*银币!L16)</f>
        <v>0</v>
      </c>
      <c r="M15" s="2" t="str">
        <f>IF(银币!M16="","",银币!$B16*银币!M16)</f>
        <v/>
      </c>
      <c r="N15" s="2" t="str">
        <f>IF(银币!N16="","",银币!$B16*银币!N16)</f>
        <v/>
      </c>
      <c r="O15" s="2" t="str">
        <f>IF(银币!O16="","",银币!$B16*银币!O16)</f>
        <v/>
      </c>
      <c r="P15" s="2">
        <f>IF(银币!P16="","",银币!$B16*银币!P16)</f>
        <v>7000</v>
      </c>
      <c r="Q15" s="2">
        <f>IF(银币!Q16="","",银币!$B16*银币!Q16)</f>
        <v>70000</v>
      </c>
      <c r="R15" s="2" t="str">
        <f>IF(银币!R16="","",银币!$B16*银币!R16)</f>
        <v/>
      </c>
      <c r="S15" s="2">
        <f>IF(银币!S16="","",银币!$B16*银币!S16)</f>
        <v>0</v>
      </c>
      <c r="T15" s="2">
        <f>IF(银币!T16="","",银币!$B16*银币!T16)</f>
        <v>0</v>
      </c>
      <c r="U15" s="2">
        <f>IF(银币!U16="","",银币!$B16*银币!U16)</f>
        <v>0</v>
      </c>
      <c r="V15" s="2">
        <f>IF(银币!V16="","",银币!$B16*银币!V16)</f>
        <v>0</v>
      </c>
      <c r="W15" s="2">
        <f>IF(银币!W16="","",银币!$B16*银币!W16)</f>
        <v>0</v>
      </c>
      <c r="X15" s="2">
        <f>IF(银币!X16="","",银币!$B16*银币!X16)</f>
        <v>0</v>
      </c>
      <c r="Y15" s="2">
        <f>IF(银币!Y16="","",银币!$B16*银币!Y16)</f>
        <v>0</v>
      </c>
      <c r="Z15" s="2">
        <f>IF(银币!Z16="","",银币!$B16*银币!Z16)</f>
        <v>0</v>
      </c>
      <c r="AA15" s="2">
        <f>IF(银币!AA16="","",银币!$B16*银币!AA16)</f>
        <v>0</v>
      </c>
      <c r="AB15" s="2" t="str">
        <f>IF(银币!AB16="","",银币!$B16*银币!AB16)</f>
        <v/>
      </c>
      <c r="AC15" s="2" t="str">
        <f>IF(银币!AC16="","",银币!$B16*银币!AC16)</f>
        <v/>
      </c>
      <c r="AD15" s="2" t="str">
        <f>IF(银币!AD16="","",银币!$B16*银币!AD16)</f>
        <v/>
      </c>
      <c r="AE15" s="2" t="str">
        <f>IF(银币!AE16="","",银币!$B16*银币!AE16)</f>
        <v/>
      </c>
      <c r="AF15" s="2">
        <f>银币!AI16</f>
        <v>14000</v>
      </c>
    </row>
    <row r="16" spans="1:32">
      <c r="A16" s="58">
        <v>15</v>
      </c>
      <c r="B16" s="96">
        <f>银币!B17</f>
        <v>15000</v>
      </c>
      <c r="C16" s="2">
        <f>IF(银币!C17="","",银币!$B17*银币!C17)</f>
        <v>60000</v>
      </c>
      <c r="D16" s="2">
        <f>IF(银币!D17="","",银币!$B17*银币!D17)</f>
        <v>0</v>
      </c>
      <c r="E16" s="2">
        <f>IF(银币!E17="","",银币!$B17*银币!E17)</f>
        <v>0</v>
      </c>
      <c r="F16" s="2">
        <f>IF(银币!F17="","",银币!$B17*银币!F17)</f>
        <v>0</v>
      </c>
      <c r="G16" s="2" t="str">
        <f>IF(银币!G17="","",银币!$B17*银币!G17)</f>
        <v/>
      </c>
      <c r="H16" s="2" t="str">
        <f>IF(银币!H17="","",银币!$B17*银币!H17)</f>
        <v/>
      </c>
      <c r="I16" s="2" t="str">
        <f>IF(银币!I17="","",银币!$B17*银币!I17)</f>
        <v/>
      </c>
      <c r="J16" s="2" t="str">
        <f>IF(银币!J17="","",银币!$B17*银币!J17)</f>
        <v/>
      </c>
      <c r="K16" s="2">
        <f>IF(银币!K17="","",银币!$B17*银币!K17)</f>
        <v>0</v>
      </c>
      <c r="L16" s="2">
        <f>IF(银币!L17="","",银币!$B17*银币!L17)</f>
        <v>0</v>
      </c>
      <c r="M16" s="2" t="str">
        <f>IF(银币!M17="","",银币!$B17*银币!M17)</f>
        <v/>
      </c>
      <c r="N16" s="2" t="str">
        <f>IF(银币!N17="","",银币!$B17*银币!N17)</f>
        <v/>
      </c>
      <c r="O16" s="2" t="str">
        <f>IF(银币!O17="","",银币!$B17*银币!O17)</f>
        <v/>
      </c>
      <c r="P16" s="2">
        <f>IF(银币!P17="","",银币!$B17*银币!P17)</f>
        <v>7500</v>
      </c>
      <c r="Q16" s="2">
        <f>IF(银币!Q17="","",银币!$B17*银币!Q17)</f>
        <v>75000</v>
      </c>
      <c r="R16" s="2" t="str">
        <f>IF(银币!R17="","",银币!$B17*银币!R17)</f>
        <v/>
      </c>
      <c r="S16" s="2">
        <f>IF(银币!S17="","",银币!$B17*银币!S17)</f>
        <v>0</v>
      </c>
      <c r="T16" s="2">
        <f>IF(银币!T17="","",银币!$B17*银币!T17)</f>
        <v>0</v>
      </c>
      <c r="U16" s="2">
        <f>IF(银币!U17="","",银币!$B17*银币!U17)</f>
        <v>0</v>
      </c>
      <c r="V16" s="2">
        <f>IF(银币!V17="","",银币!$B17*银币!V17)</f>
        <v>0</v>
      </c>
      <c r="W16" s="2">
        <f>IF(银币!W17="","",银币!$B17*银币!W17)</f>
        <v>0</v>
      </c>
      <c r="X16" s="2">
        <f>IF(银币!X17="","",银币!$B17*银币!X17)</f>
        <v>0</v>
      </c>
      <c r="Y16" s="2">
        <f>IF(银币!Y17="","",银币!$B17*银币!Y17)</f>
        <v>0</v>
      </c>
      <c r="Z16" s="2">
        <f>IF(银币!Z17="","",银币!$B17*银币!Z17)</f>
        <v>0</v>
      </c>
      <c r="AA16" s="2">
        <f>IF(银币!AA17="","",银币!$B17*银币!AA17)</f>
        <v>0</v>
      </c>
      <c r="AB16" s="2" t="str">
        <f>IF(银币!AB17="","",银币!$B17*银币!AB17)</f>
        <v/>
      </c>
      <c r="AC16" s="2" t="str">
        <f>IF(银币!AC17="","",银币!$B17*银币!AC17)</f>
        <v/>
      </c>
      <c r="AD16" s="2" t="str">
        <f>IF(银币!AD17="","",银币!$B17*银币!AD17)</f>
        <v/>
      </c>
      <c r="AE16" s="2" t="str">
        <f>IF(银币!AE17="","",银币!$B17*银币!AE17)</f>
        <v/>
      </c>
      <c r="AF16" s="2">
        <f>银币!AI17</f>
        <v>15000</v>
      </c>
    </row>
    <row r="17" spans="1:32">
      <c r="A17" s="58">
        <v>16</v>
      </c>
      <c r="B17" s="96">
        <f>银币!B18</f>
        <v>16000</v>
      </c>
      <c r="C17" s="2">
        <f>IF(银币!C18="","",银币!$B18*银币!C18)</f>
        <v>64000</v>
      </c>
      <c r="D17" s="2">
        <f>IF(银币!D18="","",银币!$B18*银币!D18)</f>
        <v>0</v>
      </c>
      <c r="E17" s="2">
        <f>IF(银币!E18="","",银币!$B18*银币!E18)</f>
        <v>0</v>
      </c>
      <c r="F17" s="2">
        <f>IF(银币!F18="","",银币!$B18*银币!F18)</f>
        <v>0</v>
      </c>
      <c r="G17" s="2" t="str">
        <f>IF(银币!G18="","",银币!$B18*银币!G18)</f>
        <v/>
      </c>
      <c r="H17" s="2" t="str">
        <f>IF(银币!H18="","",银币!$B18*银币!H18)</f>
        <v/>
      </c>
      <c r="I17" s="2" t="str">
        <f>IF(银币!I18="","",银币!$B18*银币!I18)</f>
        <v/>
      </c>
      <c r="J17" s="2" t="str">
        <f>IF(银币!J18="","",银币!$B18*银币!J18)</f>
        <v/>
      </c>
      <c r="K17" s="2">
        <f>IF(银币!K18="","",银币!$B18*银币!K18)</f>
        <v>0</v>
      </c>
      <c r="L17" s="2">
        <f>IF(银币!L18="","",银币!$B18*银币!L18)</f>
        <v>0</v>
      </c>
      <c r="M17" s="2" t="str">
        <f>IF(银币!M18="","",银币!$B18*银币!M18)</f>
        <v/>
      </c>
      <c r="N17" s="2" t="str">
        <f>IF(银币!N18="","",银币!$B18*银币!N18)</f>
        <v/>
      </c>
      <c r="O17" s="2" t="str">
        <f>IF(银币!O18="","",银币!$B18*银币!O18)</f>
        <v/>
      </c>
      <c r="P17" s="2">
        <f>IF(银币!P18="","",银币!$B18*银币!P18)</f>
        <v>8000</v>
      </c>
      <c r="Q17" s="2">
        <f>IF(银币!Q18="","",银币!$B18*银币!Q18)</f>
        <v>80000</v>
      </c>
      <c r="R17" s="2" t="str">
        <f>IF(银币!R18="","",银币!$B18*银币!R18)</f>
        <v/>
      </c>
      <c r="S17" s="2">
        <f>IF(银币!S18="","",银币!$B18*银币!S18)</f>
        <v>0</v>
      </c>
      <c r="T17" s="2">
        <f>IF(银币!T18="","",银币!$B18*银币!T18)</f>
        <v>0</v>
      </c>
      <c r="U17" s="2">
        <f>IF(银币!U18="","",银币!$B18*银币!U18)</f>
        <v>0</v>
      </c>
      <c r="V17" s="2">
        <f>IF(银币!V18="","",银币!$B18*银币!V18)</f>
        <v>0</v>
      </c>
      <c r="W17" s="2">
        <f>IF(银币!W18="","",银币!$B18*银币!W18)</f>
        <v>0</v>
      </c>
      <c r="X17" s="2">
        <f>IF(银币!X18="","",银币!$B18*银币!X18)</f>
        <v>0</v>
      </c>
      <c r="Y17" s="2">
        <f>IF(银币!Y18="","",银币!$B18*银币!Y18)</f>
        <v>0</v>
      </c>
      <c r="Z17" s="2">
        <f>IF(银币!Z18="","",银币!$B18*银币!Z18)</f>
        <v>0</v>
      </c>
      <c r="AA17" s="2">
        <f>IF(银币!AA18="","",银币!$B18*银币!AA18)</f>
        <v>0</v>
      </c>
      <c r="AB17" s="2" t="str">
        <f>IF(银币!AB18="","",银币!$B18*银币!AB18)</f>
        <v/>
      </c>
      <c r="AC17" s="2" t="str">
        <f>IF(银币!AC18="","",银币!$B18*银币!AC18)</f>
        <v/>
      </c>
      <c r="AD17" s="2" t="str">
        <f>IF(银币!AD18="","",银币!$B18*银币!AD18)</f>
        <v/>
      </c>
      <c r="AE17" s="2" t="str">
        <f>IF(银币!AE18="","",银币!$B18*银币!AE18)</f>
        <v/>
      </c>
      <c r="AF17" s="2">
        <f>银币!AI18</f>
        <v>16000</v>
      </c>
    </row>
    <row r="18" spans="1:32">
      <c r="A18" s="58">
        <v>17</v>
      </c>
      <c r="B18" s="96">
        <f>银币!B19</f>
        <v>17000</v>
      </c>
      <c r="C18" s="2">
        <f>IF(银币!C19="","",银币!$B19*银币!C19)</f>
        <v>68000</v>
      </c>
      <c r="D18" s="2">
        <f>IF(银币!D19="","",银币!$B19*银币!D19)</f>
        <v>0</v>
      </c>
      <c r="E18" s="2">
        <f>IF(银币!E19="","",银币!$B19*银币!E19)</f>
        <v>0</v>
      </c>
      <c r="F18" s="2">
        <f>IF(银币!F19="","",银币!$B19*银币!F19)</f>
        <v>0</v>
      </c>
      <c r="G18" s="2" t="str">
        <f>IF(银币!G19="","",银币!$B19*银币!G19)</f>
        <v/>
      </c>
      <c r="H18" s="2" t="str">
        <f>IF(银币!H19="","",银币!$B19*银币!H19)</f>
        <v/>
      </c>
      <c r="I18" s="2" t="str">
        <f>IF(银币!I19="","",银币!$B19*银币!I19)</f>
        <v/>
      </c>
      <c r="J18" s="2" t="str">
        <f>IF(银币!J19="","",银币!$B19*银币!J19)</f>
        <v/>
      </c>
      <c r="K18" s="2">
        <f>IF(银币!K19="","",银币!$B19*银币!K19)</f>
        <v>0</v>
      </c>
      <c r="L18" s="2">
        <f>IF(银币!L19="","",银币!$B19*银币!L19)</f>
        <v>0</v>
      </c>
      <c r="M18" s="2" t="str">
        <f>IF(银币!M19="","",银币!$B19*银币!M19)</f>
        <v/>
      </c>
      <c r="N18" s="2" t="str">
        <f>IF(银币!N19="","",银币!$B19*银币!N19)</f>
        <v/>
      </c>
      <c r="O18" s="2" t="str">
        <f>IF(银币!O19="","",银币!$B19*银币!O19)</f>
        <v/>
      </c>
      <c r="P18" s="2">
        <f>IF(银币!P19="","",银币!$B19*银币!P19)</f>
        <v>8500</v>
      </c>
      <c r="Q18" s="2">
        <f>IF(银币!Q19="","",银币!$B19*银币!Q19)</f>
        <v>85000</v>
      </c>
      <c r="R18" s="2" t="str">
        <f>IF(银币!R19="","",银币!$B19*银币!R19)</f>
        <v/>
      </c>
      <c r="S18" s="2">
        <f>IF(银币!S19="","",银币!$B19*银币!S19)</f>
        <v>0</v>
      </c>
      <c r="T18" s="2">
        <f>IF(银币!T19="","",银币!$B19*银币!T19)</f>
        <v>0</v>
      </c>
      <c r="U18" s="2">
        <f>IF(银币!U19="","",银币!$B19*银币!U19)</f>
        <v>0</v>
      </c>
      <c r="V18" s="2">
        <f>IF(银币!V19="","",银币!$B19*银币!V19)</f>
        <v>0</v>
      </c>
      <c r="W18" s="2">
        <f>IF(银币!W19="","",银币!$B19*银币!W19)</f>
        <v>0</v>
      </c>
      <c r="X18" s="2">
        <f>IF(银币!X19="","",银币!$B19*银币!X19)</f>
        <v>0</v>
      </c>
      <c r="Y18" s="2">
        <f>IF(银币!Y19="","",银币!$B19*银币!Y19)</f>
        <v>0</v>
      </c>
      <c r="Z18" s="2">
        <f>IF(银币!Z19="","",银币!$B19*银币!Z19)</f>
        <v>0</v>
      </c>
      <c r="AA18" s="2">
        <f>IF(银币!AA19="","",银币!$B19*银币!AA19)</f>
        <v>0</v>
      </c>
      <c r="AB18" s="2" t="str">
        <f>IF(银币!AB19="","",银币!$B19*银币!AB19)</f>
        <v/>
      </c>
      <c r="AC18" s="2" t="str">
        <f>IF(银币!AC19="","",银币!$B19*银币!AC19)</f>
        <v/>
      </c>
      <c r="AD18" s="2" t="str">
        <f>IF(银币!AD19="","",银币!$B19*银币!AD19)</f>
        <v/>
      </c>
      <c r="AE18" s="2" t="str">
        <f>IF(银币!AE19="","",银币!$B19*银币!AE19)</f>
        <v/>
      </c>
      <c r="AF18" s="2">
        <f>银币!AI19</f>
        <v>17000</v>
      </c>
    </row>
    <row r="19" spans="1:32">
      <c r="A19" s="58">
        <v>18</v>
      </c>
      <c r="B19" s="96">
        <f>银币!B20</f>
        <v>18000</v>
      </c>
      <c r="C19" s="2">
        <f>IF(银币!C20="","",银币!$B20*银币!C20)</f>
        <v>72000</v>
      </c>
      <c r="D19" s="2">
        <f>IF(银币!D20="","",银币!$B20*银币!D20)</f>
        <v>0</v>
      </c>
      <c r="E19" s="2">
        <f>IF(银币!E20="","",银币!$B20*银币!E20)</f>
        <v>0</v>
      </c>
      <c r="F19" s="2">
        <f>IF(银币!F20="","",银币!$B20*银币!F20)</f>
        <v>0</v>
      </c>
      <c r="G19" s="2" t="str">
        <f>IF(银币!G20="","",银币!$B20*银币!G20)</f>
        <v/>
      </c>
      <c r="H19" s="2" t="str">
        <f>IF(银币!H20="","",银币!$B20*银币!H20)</f>
        <v/>
      </c>
      <c r="I19" s="2" t="str">
        <f>IF(银币!I20="","",银币!$B20*银币!I20)</f>
        <v/>
      </c>
      <c r="J19" s="2" t="str">
        <f>IF(银币!J20="","",银币!$B20*银币!J20)</f>
        <v/>
      </c>
      <c r="K19" s="2">
        <f>IF(银币!K20="","",银币!$B20*银币!K20)</f>
        <v>0</v>
      </c>
      <c r="L19" s="2">
        <f>IF(银币!L20="","",银币!$B20*银币!L20)</f>
        <v>0</v>
      </c>
      <c r="M19" s="2" t="str">
        <f>IF(银币!M20="","",银币!$B20*银币!M20)</f>
        <v/>
      </c>
      <c r="N19" s="2" t="str">
        <f>IF(银币!N20="","",银币!$B20*银币!N20)</f>
        <v/>
      </c>
      <c r="O19" s="2" t="str">
        <f>IF(银币!O20="","",银币!$B20*银币!O20)</f>
        <v/>
      </c>
      <c r="P19" s="2">
        <f>IF(银币!P20="","",银币!$B20*银币!P20)</f>
        <v>9000</v>
      </c>
      <c r="Q19" s="2">
        <f>IF(银币!Q20="","",银币!$B20*银币!Q20)</f>
        <v>90000</v>
      </c>
      <c r="R19" s="2" t="str">
        <f>IF(银币!R20="","",银币!$B20*银币!R20)</f>
        <v/>
      </c>
      <c r="S19" s="2">
        <f>IF(银币!S20="","",银币!$B20*银币!S20)</f>
        <v>0</v>
      </c>
      <c r="T19" s="2">
        <f>IF(银币!T20="","",银币!$B20*银币!T20)</f>
        <v>0</v>
      </c>
      <c r="U19" s="2">
        <f>IF(银币!U20="","",银币!$B20*银币!U20)</f>
        <v>0</v>
      </c>
      <c r="V19" s="2">
        <f>IF(银币!V20="","",银币!$B20*银币!V20)</f>
        <v>0</v>
      </c>
      <c r="W19" s="2">
        <f>IF(银币!W20="","",银币!$B20*银币!W20)</f>
        <v>0</v>
      </c>
      <c r="X19" s="2">
        <f>IF(银币!X20="","",银币!$B20*银币!X20)</f>
        <v>0</v>
      </c>
      <c r="Y19" s="2">
        <f>IF(银币!Y20="","",银币!$B20*银币!Y20)</f>
        <v>0</v>
      </c>
      <c r="Z19" s="2">
        <f>IF(银币!Z20="","",银币!$B20*银币!Z20)</f>
        <v>0</v>
      </c>
      <c r="AA19" s="2">
        <f>IF(银币!AA20="","",银币!$B20*银币!AA20)</f>
        <v>0</v>
      </c>
      <c r="AB19" s="2" t="str">
        <f>IF(银币!AB20="","",银币!$B20*银币!AB20)</f>
        <v/>
      </c>
      <c r="AC19" s="2" t="str">
        <f>IF(银币!AC20="","",银币!$B20*银币!AC20)</f>
        <v/>
      </c>
      <c r="AD19" s="2" t="str">
        <f>IF(银币!AD20="","",银币!$B20*银币!AD20)</f>
        <v/>
      </c>
      <c r="AE19" s="2" t="str">
        <f>IF(银币!AE20="","",银币!$B20*银币!AE20)</f>
        <v/>
      </c>
      <c r="AF19" s="2">
        <f>银币!AI20</f>
        <v>18000</v>
      </c>
    </row>
    <row r="20" spans="1:32">
      <c r="A20" s="58">
        <v>19</v>
      </c>
      <c r="B20" s="96">
        <f>银币!B21</f>
        <v>19000</v>
      </c>
      <c r="C20" s="2">
        <f>IF(银币!C21="","",银币!$B21*银币!C21)</f>
        <v>76000</v>
      </c>
      <c r="D20" s="2">
        <f>IF(银币!D21="","",银币!$B21*银币!D21)</f>
        <v>0</v>
      </c>
      <c r="E20" s="2">
        <f>IF(银币!E21="","",银币!$B21*银币!E21)</f>
        <v>0</v>
      </c>
      <c r="F20" s="2">
        <f>IF(银币!F21="","",银币!$B21*银币!F21)</f>
        <v>0</v>
      </c>
      <c r="G20" s="2" t="str">
        <f>IF(银币!G21="","",银币!$B21*银币!G21)</f>
        <v/>
      </c>
      <c r="H20" s="2" t="str">
        <f>IF(银币!H21="","",银币!$B21*银币!H21)</f>
        <v/>
      </c>
      <c r="I20" s="2" t="str">
        <f>IF(银币!I21="","",银币!$B21*银币!I21)</f>
        <v/>
      </c>
      <c r="J20" s="2" t="str">
        <f>IF(银币!J21="","",银币!$B21*银币!J21)</f>
        <v/>
      </c>
      <c r="K20" s="2">
        <f>IF(银币!K21="","",银币!$B21*银币!K21)</f>
        <v>0</v>
      </c>
      <c r="L20" s="2">
        <f>IF(银币!L21="","",银币!$B21*银币!L21)</f>
        <v>0</v>
      </c>
      <c r="M20" s="2" t="str">
        <f>IF(银币!M21="","",银币!$B21*银币!M21)</f>
        <v/>
      </c>
      <c r="N20" s="2" t="str">
        <f>IF(银币!N21="","",银币!$B21*银币!N21)</f>
        <v/>
      </c>
      <c r="O20" s="2" t="str">
        <f>IF(银币!O21="","",银币!$B21*银币!O21)</f>
        <v/>
      </c>
      <c r="P20" s="2">
        <f>IF(银币!P21="","",银币!$B21*银币!P21)</f>
        <v>9500</v>
      </c>
      <c r="Q20" s="2">
        <f>IF(银币!Q21="","",银币!$B21*银币!Q21)</f>
        <v>95000</v>
      </c>
      <c r="R20" s="2" t="str">
        <f>IF(银币!R21="","",银币!$B21*银币!R21)</f>
        <v/>
      </c>
      <c r="S20" s="2">
        <f>IF(银币!S21="","",银币!$B21*银币!S21)</f>
        <v>0</v>
      </c>
      <c r="T20" s="2">
        <f>IF(银币!T21="","",银币!$B21*银币!T21)</f>
        <v>0</v>
      </c>
      <c r="U20" s="2">
        <f>IF(银币!U21="","",银币!$B21*银币!U21)</f>
        <v>0</v>
      </c>
      <c r="V20" s="2">
        <f>IF(银币!V21="","",银币!$B21*银币!V21)</f>
        <v>0</v>
      </c>
      <c r="W20" s="2">
        <f>IF(银币!W21="","",银币!$B21*银币!W21)</f>
        <v>0</v>
      </c>
      <c r="X20" s="2">
        <f>IF(银币!X21="","",银币!$B21*银币!X21)</f>
        <v>0</v>
      </c>
      <c r="Y20" s="2">
        <f>IF(银币!Y21="","",银币!$B21*银币!Y21)</f>
        <v>0</v>
      </c>
      <c r="Z20" s="2">
        <f>IF(银币!Z21="","",银币!$B21*银币!Z21)</f>
        <v>0</v>
      </c>
      <c r="AA20" s="2">
        <f>IF(银币!AA21="","",银币!$B21*银币!AA21)</f>
        <v>0</v>
      </c>
      <c r="AB20" s="2" t="str">
        <f>IF(银币!AB21="","",银币!$B21*银币!AB21)</f>
        <v/>
      </c>
      <c r="AC20" s="2" t="str">
        <f>IF(银币!AC21="","",银币!$B21*银币!AC21)</f>
        <v/>
      </c>
      <c r="AD20" s="2" t="str">
        <f>IF(银币!AD21="","",银币!$B21*银币!AD21)</f>
        <v/>
      </c>
      <c r="AE20" s="2" t="str">
        <f>IF(银币!AE21="","",银币!$B21*银币!AE21)</f>
        <v/>
      </c>
      <c r="AF20" s="2">
        <f>银币!AI21</f>
        <v>19000</v>
      </c>
    </row>
    <row r="21" spans="1:32">
      <c r="A21" s="58">
        <v>20</v>
      </c>
      <c r="B21" s="96">
        <f>银币!B22</f>
        <v>20000</v>
      </c>
      <c r="C21" s="2">
        <f>IF(银币!C22="","",银币!$B22*银币!C22)</f>
        <v>80000</v>
      </c>
      <c r="D21" s="2">
        <f>IF(银币!D22="","",银币!$B22*银币!D22)</f>
        <v>33000</v>
      </c>
      <c r="E21" s="2">
        <f>IF(银币!E22="","",银币!$B22*银币!E22)</f>
        <v>10000</v>
      </c>
      <c r="F21" s="2">
        <f>IF(银币!F22="","",银币!$B22*银币!F22)</f>
        <v>0</v>
      </c>
      <c r="G21" s="2" t="str">
        <f>IF(银币!G22="","",银币!$B22*银币!G22)</f>
        <v/>
      </c>
      <c r="H21" s="2" t="str">
        <f>IF(银币!H22="","",银币!$B22*银币!H22)</f>
        <v/>
      </c>
      <c r="I21" s="2" t="str">
        <f>IF(银币!I22="","",银币!$B22*银币!I22)</f>
        <v/>
      </c>
      <c r="J21" s="2" t="str">
        <f>IF(银币!J22="","",银币!$B22*银币!J22)</f>
        <v/>
      </c>
      <c r="K21" s="2">
        <f>IF(银币!K22="","",银币!$B22*银币!K22)</f>
        <v>0</v>
      </c>
      <c r="L21" s="2">
        <f>IF(银币!L22="","",银币!$B22*银币!L22)</f>
        <v>0</v>
      </c>
      <c r="M21" s="2" t="str">
        <f>IF(银币!M22="","",银币!$B22*银币!M22)</f>
        <v/>
      </c>
      <c r="N21" s="2" t="str">
        <f>IF(银币!N22="","",银币!$B22*银币!N22)</f>
        <v/>
      </c>
      <c r="O21" s="2" t="str">
        <f>IF(银币!O22="","",银币!$B22*银币!O22)</f>
        <v/>
      </c>
      <c r="P21" s="2">
        <f>IF(银币!P22="","",银币!$B22*银币!P22)</f>
        <v>10000</v>
      </c>
      <c r="Q21" s="2">
        <f>IF(银币!Q22="","",银币!$B22*银币!Q22)</f>
        <v>100000</v>
      </c>
      <c r="R21" s="2" t="str">
        <f>IF(银币!R22="","",银币!$B22*银币!R22)</f>
        <v/>
      </c>
      <c r="S21" s="2">
        <f>IF(银币!S22="","",银币!$B22*银币!S22)</f>
        <v>0</v>
      </c>
      <c r="T21" s="2">
        <f>IF(银币!T22="","",银币!$B22*银币!T22)</f>
        <v>0</v>
      </c>
      <c r="U21" s="2">
        <f>IF(银币!U22="","",银币!$B22*银币!U22)</f>
        <v>0</v>
      </c>
      <c r="V21" s="2">
        <f>IF(银币!V22="","",银币!$B22*银币!V22)</f>
        <v>0</v>
      </c>
      <c r="W21" s="2">
        <f>IF(银币!W22="","",银币!$B22*银币!W22)</f>
        <v>0</v>
      </c>
      <c r="X21" s="2">
        <f>IF(银币!X22="","",银币!$B22*银币!X22)</f>
        <v>0</v>
      </c>
      <c r="Y21" s="2">
        <f>IF(银币!Y22="","",银币!$B22*银币!Y22)</f>
        <v>0</v>
      </c>
      <c r="Z21" s="2">
        <f>IF(银币!Z22="","",银币!$B22*银币!Z22)</f>
        <v>0</v>
      </c>
      <c r="AA21" s="2">
        <f>IF(银币!AA22="","",银币!$B22*银币!AA22)</f>
        <v>0</v>
      </c>
      <c r="AB21" s="2" t="str">
        <f>IF(银币!AB22="","",银币!$B22*银币!AB22)</f>
        <v/>
      </c>
      <c r="AC21" s="2" t="str">
        <f>IF(银币!AC22="","",银币!$B22*银币!AC22)</f>
        <v/>
      </c>
      <c r="AD21" s="2" t="str">
        <f>IF(银币!AD22="","",银币!$B22*银币!AD22)</f>
        <v/>
      </c>
      <c r="AE21" s="2" t="str">
        <f>IF(银币!AE22="","",银币!$B22*银币!AE22)</f>
        <v/>
      </c>
      <c r="AF21" s="2">
        <f>银币!AI22</f>
        <v>20000</v>
      </c>
    </row>
    <row r="22" spans="1:32">
      <c r="A22" s="58">
        <v>21</v>
      </c>
      <c r="B22" s="96">
        <f>银币!B23</f>
        <v>21000</v>
      </c>
      <c r="C22" s="2">
        <f>IF(银币!C23="","",银币!$B23*银币!C23)</f>
        <v>84000</v>
      </c>
      <c r="D22" s="2">
        <f>IF(银币!D23="","",银币!$B23*银币!D23)</f>
        <v>34650</v>
      </c>
      <c r="E22" s="2">
        <f>IF(银币!E23="","",银币!$B23*银币!E23)</f>
        <v>10500</v>
      </c>
      <c r="F22" s="2">
        <f>IF(银币!F23="","",银币!$B23*银币!F23)</f>
        <v>0</v>
      </c>
      <c r="G22" s="2" t="str">
        <f>IF(银币!G23="","",银币!$B23*银币!G23)</f>
        <v/>
      </c>
      <c r="H22" s="2" t="str">
        <f>IF(银币!H23="","",银币!$B23*银币!H23)</f>
        <v/>
      </c>
      <c r="I22" s="2" t="str">
        <f>IF(银币!I23="","",银币!$B23*银币!I23)</f>
        <v/>
      </c>
      <c r="J22" s="2" t="str">
        <f>IF(银币!J23="","",银币!$B23*银币!J23)</f>
        <v/>
      </c>
      <c r="K22" s="2">
        <f>IF(银币!K23="","",银币!$B23*银币!K23)</f>
        <v>0</v>
      </c>
      <c r="L22" s="2">
        <f>IF(银币!L23="","",银币!$B23*银币!L23)</f>
        <v>0</v>
      </c>
      <c r="M22" s="2" t="str">
        <f>IF(银币!M23="","",银币!$B23*银币!M23)</f>
        <v/>
      </c>
      <c r="N22" s="2" t="str">
        <f>IF(银币!N23="","",银币!$B23*银币!N23)</f>
        <v/>
      </c>
      <c r="O22" s="2" t="str">
        <f>IF(银币!O23="","",银币!$B23*银币!O23)</f>
        <v/>
      </c>
      <c r="P22" s="2">
        <f>IF(银币!P23="","",银币!$B23*银币!P23)</f>
        <v>10500</v>
      </c>
      <c r="Q22" s="2">
        <f>IF(银币!Q23="","",银币!$B23*银币!Q23)</f>
        <v>105000</v>
      </c>
      <c r="R22" s="2" t="str">
        <f>IF(银币!R23="","",银币!$B23*银币!R23)</f>
        <v/>
      </c>
      <c r="S22" s="2">
        <f>IF(银币!S23="","",银币!$B23*银币!S23)</f>
        <v>0</v>
      </c>
      <c r="T22" s="2">
        <f>IF(银币!T23="","",银币!$B23*银币!T23)</f>
        <v>0</v>
      </c>
      <c r="U22" s="2">
        <f>IF(银币!U23="","",银币!$B23*银币!U23)</f>
        <v>0</v>
      </c>
      <c r="V22" s="2">
        <f>IF(银币!V23="","",银币!$B23*银币!V23)</f>
        <v>0</v>
      </c>
      <c r="W22" s="2">
        <f>IF(银币!W23="","",银币!$B23*银币!W23)</f>
        <v>0</v>
      </c>
      <c r="X22" s="2">
        <f>IF(银币!X23="","",银币!$B23*银币!X23)</f>
        <v>0</v>
      </c>
      <c r="Y22" s="2">
        <f>IF(银币!Y23="","",银币!$B23*银币!Y23)</f>
        <v>0</v>
      </c>
      <c r="Z22" s="2">
        <f>IF(银币!Z23="","",银币!$B23*银币!Z23)</f>
        <v>0</v>
      </c>
      <c r="AA22" s="2">
        <f>IF(银币!AA23="","",银币!$B23*银币!AA23)</f>
        <v>0</v>
      </c>
      <c r="AB22" s="2" t="str">
        <f>IF(银币!AB23="","",银币!$B23*银币!AB23)</f>
        <v/>
      </c>
      <c r="AC22" s="2" t="str">
        <f>IF(银币!AC23="","",银币!$B23*银币!AC23)</f>
        <v/>
      </c>
      <c r="AD22" s="2" t="str">
        <f>IF(银币!AD23="","",银币!$B23*银币!AD23)</f>
        <v/>
      </c>
      <c r="AE22" s="2" t="str">
        <f>IF(银币!AE23="","",银币!$B23*银币!AE23)</f>
        <v/>
      </c>
      <c r="AF22" s="2">
        <f>银币!AI23</f>
        <v>21000</v>
      </c>
    </row>
    <row r="23" spans="1:32">
      <c r="A23" s="58">
        <v>22</v>
      </c>
      <c r="B23" s="96">
        <f>银币!B24</f>
        <v>22000</v>
      </c>
      <c r="C23" s="2">
        <f>IF(银币!C24="","",银币!$B24*银币!C24)</f>
        <v>88000</v>
      </c>
      <c r="D23" s="2">
        <f>IF(银币!D24="","",银币!$B24*银币!D24)</f>
        <v>36300</v>
      </c>
      <c r="E23" s="2">
        <f>IF(银币!E24="","",银币!$B24*银币!E24)</f>
        <v>11000</v>
      </c>
      <c r="F23" s="2">
        <f>IF(银币!F24="","",银币!$B24*银币!F24)</f>
        <v>0</v>
      </c>
      <c r="G23" s="2" t="str">
        <f>IF(银币!G24="","",银币!$B24*银币!G24)</f>
        <v/>
      </c>
      <c r="H23" s="2" t="str">
        <f>IF(银币!H24="","",银币!$B24*银币!H24)</f>
        <v/>
      </c>
      <c r="I23" s="2" t="str">
        <f>IF(银币!I24="","",银币!$B24*银币!I24)</f>
        <v/>
      </c>
      <c r="J23" s="2" t="str">
        <f>IF(银币!J24="","",银币!$B24*银币!J24)</f>
        <v/>
      </c>
      <c r="K23" s="2">
        <f>IF(银币!K24="","",银币!$B24*银币!K24)</f>
        <v>0</v>
      </c>
      <c r="L23" s="2">
        <f>IF(银币!L24="","",银币!$B24*银币!L24)</f>
        <v>0</v>
      </c>
      <c r="M23" s="2" t="str">
        <f>IF(银币!M24="","",银币!$B24*银币!M24)</f>
        <v/>
      </c>
      <c r="N23" s="2" t="str">
        <f>IF(银币!N24="","",银币!$B24*银币!N24)</f>
        <v/>
      </c>
      <c r="O23" s="2" t="str">
        <f>IF(银币!O24="","",银币!$B24*银币!O24)</f>
        <v/>
      </c>
      <c r="P23" s="2">
        <f>IF(银币!P24="","",银币!$B24*银币!P24)</f>
        <v>11000</v>
      </c>
      <c r="Q23" s="2">
        <f>IF(银币!Q24="","",银币!$B24*银币!Q24)</f>
        <v>110000</v>
      </c>
      <c r="R23" s="2" t="str">
        <f>IF(银币!R24="","",银币!$B24*银币!R24)</f>
        <v/>
      </c>
      <c r="S23" s="2">
        <f>IF(银币!S24="","",银币!$B24*银币!S24)</f>
        <v>0</v>
      </c>
      <c r="T23" s="2">
        <f>IF(银币!T24="","",银币!$B24*银币!T24)</f>
        <v>0</v>
      </c>
      <c r="U23" s="2">
        <f>IF(银币!U24="","",银币!$B24*银币!U24)</f>
        <v>0</v>
      </c>
      <c r="V23" s="2">
        <f>IF(银币!V24="","",银币!$B24*银币!V24)</f>
        <v>0</v>
      </c>
      <c r="W23" s="2">
        <f>IF(银币!W24="","",银币!$B24*银币!W24)</f>
        <v>0</v>
      </c>
      <c r="X23" s="2">
        <f>IF(银币!X24="","",银币!$B24*银币!X24)</f>
        <v>0</v>
      </c>
      <c r="Y23" s="2">
        <f>IF(银币!Y24="","",银币!$B24*银币!Y24)</f>
        <v>0</v>
      </c>
      <c r="Z23" s="2">
        <f>IF(银币!Z24="","",银币!$B24*银币!Z24)</f>
        <v>0</v>
      </c>
      <c r="AA23" s="2">
        <f>IF(银币!AA24="","",银币!$B24*银币!AA24)</f>
        <v>0</v>
      </c>
      <c r="AB23" s="2" t="str">
        <f>IF(银币!AB24="","",银币!$B24*银币!AB24)</f>
        <v/>
      </c>
      <c r="AC23" s="2" t="str">
        <f>IF(银币!AC24="","",银币!$B24*银币!AC24)</f>
        <v/>
      </c>
      <c r="AD23" s="2" t="str">
        <f>IF(银币!AD24="","",银币!$B24*银币!AD24)</f>
        <v/>
      </c>
      <c r="AE23" s="2" t="str">
        <f>IF(银币!AE24="","",银币!$B24*银币!AE24)</f>
        <v/>
      </c>
      <c r="AF23" s="2">
        <f>银币!AI24</f>
        <v>22000</v>
      </c>
    </row>
    <row r="24" spans="1:32">
      <c r="A24" s="58">
        <v>23</v>
      </c>
      <c r="B24" s="96">
        <f>银币!B25</f>
        <v>23000</v>
      </c>
      <c r="C24" s="2">
        <f>IF(银币!C25="","",银币!$B25*银币!C25)</f>
        <v>92000</v>
      </c>
      <c r="D24" s="2">
        <f>IF(银币!D25="","",银币!$B25*银币!D25)</f>
        <v>37950</v>
      </c>
      <c r="E24" s="2">
        <f>IF(银币!E25="","",银币!$B25*银币!E25)</f>
        <v>11500</v>
      </c>
      <c r="F24" s="2">
        <f>IF(银币!F25="","",银币!$B25*银币!F25)</f>
        <v>0</v>
      </c>
      <c r="G24" s="2" t="str">
        <f>IF(银币!G25="","",银币!$B25*银币!G25)</f>
        <v/>
      </c>
      <c r="H24" s="2" t="str">
        <f>IF(银币!H25="","",银币!$B25*银币!H25)</f>
        <v/>
      </c>
      <c r="I24" s="2" t="str">
        <f>IF(银币!I25="","",银币!$B25*银币!I25)</f>
        <v/>
      </c>
      <c r="J24" s="2" t="str">
        <f>IF(银币!J25="","",银币!$B25*银币!J25)</f>
        <v/>
      </c>
      <c r="K24" s="2">
        <f>IF(银币!K25="","",银币!$B25*银币!K25)</f>
        <v>0</v>
      </c>
      <c r="L24" s="2">
        <f>IF(银币!L25="","",银币!$B25*银币!L25)</f>
        <v>0</v>
      </c>
      <c r="M24" s="2" t="str">
        <f>IF(银币!M25="","",银币!$B25*银币!M25)</f>
        <v/>
      </c>
      <c r="N24" s="2" t="str">
        <f>IF(银币!N25="","",银币!$B25*银币!N25)</f>
        <v/>
      </c>
      <c r="O24" s="2" t="str">
        <f>IF(银币!O25="","",银币!$B25*银币!O25)</f>
        <v/>
      </c>
      <c r="P24" s="2">
        <f>IF(银币!P25="","",银币!$B25*银币!P25)</f>
        <v>11500</v>
      </c>
      <c r="Q24" s="2">
        <f>IF(银币!Q25="","",银币!$B25*银币!Q25)</f>
        <v>115000</v>
      </c>
      <c r="R24" s="2" t="str">
        <f>IF(银币!R25="","",银币!$B25*银币!R25)</f>
        <v/>
      </c>
      <c r="S24" s="2">
        <f>IF(银币!S25="","",银币!$B25*银币!S25)</f>
        <v>0</v>
      </c>
      <c r="T24" s="2">
        <f>IF(银币!T25="","",银币!$B25*银币!T25)</f>
        <v>0</v>
      </c>
      <c r="U24" s="2">
        <f>IF(银币!U25="","",银币!$B25*银币!U25)</f>
        <v>0</v>
      </c>
      <c r="V24" s="2">
        <f>IF(银币!V25="","",银币!$B25*银币!V25)</f>
        <v>0</v>
      </c>
      <c r="W24" s="2">
        <f>IF(银币!W25="","",银币!$B25*银币!W25)</f>
        <v>0</v>
      </c>
      <c r="X24" s="2">
        <f>IF(银币!X25="","",银币!$B25*银币!X25)</f>
        <v>0</v>
      </c>
      <c r="Y24" s="2">
        <f>IF(银币!Y25="","",银币!$B25*银币!Y25)</f>
        <v>0</v>
      </c>
      <c r="Z24" s="2">
        <f>IF(银币!Z25="","",银币!$B25*银币!Z25)</f>
        <v>0</v>
      </c>
      <c r="AA24" s="2">
        <f>IF(银币!AA25="","",银币!$B25*银币!AA25)</f>
        <v>0</v>
      </c>
      <c r="AB24" s="2" t="str">
        <f>IF(银币!AB25="","",银币!$B25*银币!AB25)</f>
        <v/>
      </c>
      <c r="AC24" s="2" t="str">
        <f>IF(银币!AC25="","",银币!$B25*银币!AC25)</f>
        <v/>
      </c>
      <c r="AD24" s="2" t="str">
        <f>IF(银币!AD25="","",银币!$B25*银币!AD25)</f>
        <v/>
      </c>
      <c r="AE24" s="2" t="str">
        <f>IF(银币!AE25="","",银币!$B25*银币!AE25)</f>
        <v/>
      </c>
      <c r="AF24" s="2">
        <f>银币!AI25</f>
        <v>23000</v>
      </c>
    </row>
    <row r="25" spans="1:32">
      <c r="A25" s="58">
        <v>24</v>
      </c>
      <c r="B25" s="96">
        <f>银币!B26</f>
        <v>24000</v>
      </c>
      <c r="C25" s="2">
        <f>IF(银币!C26="","",银币!$B26*银币!C26)</f>
        <v>96000</v>
      </c>
      <c r="D25" s="2">
        <f>IF(银币!D26="","",银币!$B26*银币!D26)</f>
        <v>39600</v>
      </c>
      <c r="E25" s="2">
        <f>IF(银币!E26="","",银币!$B26*银币!E26)</f>
        <v>12000</v>
      </c>
      <c r="F25" s="2">
        <f>IF(银币!F26="","",银币!$B26*银币!F26)</f>
        <v>0</v>
      </c>
      <c r="G25" s="2" t="str">
        <f>IF(银币!G26="","",银币!$B26*银币!G26)</f>
        <v/>
      </c>
      <c r="H25" s="2" t="str">
        <f>IF(银币!H26="","",银币!$B26*银币!H26)</f>
        <v/>
      </c>
      <c r="I25" s="2" t="str">
        <f>IF(银币!I26="","",银币!$B26*银币!I26)</f>
        <v/>
      </c>
      <c r="J25" s="2" t="str">
        <f>IF(银币!J26="","",银币!$B26*银币!J26)</f>
        <v/>
      </c>
      <c r="K25" s="2">
        <f>IF(银币!K26="","",银币!$B26*银币!K26)</f>
        <v>0</v>
      </c>
      <c r="L25" s="2">
        <f>IF(银币!L26="","",银币!$B26*银币!L26)</f>
        <v>0</v>
      </c>
      <c r="M25" s="2" t="str">
        <f>IF(银币!M26="","",银币!$B26*银币!M26)</f>
        <v/>
      </c>
      <c r="N25" s="2" t="str">
        <f>IF(银币!N26="","",银币!$B26*银币!N26)</f>
        <v/>
      </c>
      <c r="O25" s="2" t="str">
        <f>IF(银币!O26="","",银币!$B26*银币!O26)</f>
        <v/>
      </c>
      <c r="P25" s="2">
        <f>IF(银币!P26="","",银币!$B26*银币!P26)</f>
        <v>12000</v>
      </c>
      <c r="Q25" s="2">
        <f>IF(银币!Q26="","",银币!$B26*银币!Q26)</f>
        <v>120000</v>
      </c>
      <c r="R25" s="2" t="str">
        <f>IF(银币!R26="","",银币!$B26*银币!R26)</f>
        <v/>
      </c>
      <c r="S25" s="2">
        <f>IF(银币!S26="","",银币!$B26*银币!S26)</f>
        <v>0</v>
      </c>
      <c r="T25" s="2">
        <f>IF(银币!T26="","",银币!$B26*银币!T26)</f>
        <v>0</v>
      </c>
      <c r="U25" s="2">
        <f>IF(银币!U26="","",银币!$B26*银币!U26)</f>
        <v>0</v>
      </c>
      <c r="V25" s="2">
        <f>IF(银币!V26="","",银币!$B26*银币!V26)</f>
        <v>0</v>
      </c>
      <c r="W25" s="2">
        <f>IF(银币!W26="","",银币!$B26*银币!W26)</f>
        <v>0</v>
      </c>
      <c r="X25" s="2">
        <f>IF(银币!X26="","",银币!$B26*银币!X26)</f>
        <v>0</v>
      </c>
      <c r="Y25" s="2">
        <f>IF(银币!Y26="","",银币!$B26*银币!Y26)</f>
        <v>0</v>
      </c>
      <c r="Z25" s="2">
        <f>IF(银币!Z26="","",银币!$B26*银币!Z26)</f>
        <v>0</v>
      </c>
      <c r="AA25" s="2">
        <f>IF(银币!AA26="","",银币!$B26*银币!AA26)</f>
        <v>0</v>
      </c>
      <c r="AB25" s="2" t="str">
        <f>IF(银币!AB26="","",银币!$B26*银币!AB26)</f>
        <v/>
      </c>
      <c r="AC25" s="2" t="str">
        <f>IF(银币!AC26="","",银币!$B26*银币!AC26)</f>
        <v/>
      </c>
      <c r="AD25" s="2" t="str">
        <f>IF(银币!AD26="","",银币!$B26*银币!AD26)</f>
        <v/>
      </c>
      <c r="AE25" s="2" t="str">
        <f>IF(银币!AE26="","",银币!$B26*银币!AE26)</f>
        <v/>
      </c>
      <c r="AF25" s="2">
        <f>银币!AI26</f>
        <v>24000</v>
      </c>
    </row>
    <row r="26" spans="1:32">
      <c r="A26" s="58">
        <v>25</v>
      </c>
      <c r="B26" s="96">
        <f>银币!B27</f>
        <v>25000</v>
      </c>
      <c r="C26" s="2">
        <f>IF(银币!C27="","",银币!$B27*银币!C27)</f>
        <v>100000</v>
      </c>
      <c r="D26" s="2">
        <f>IF(银币!D27="","",银币!$B27*银币!D27)</f>
        <v>41250</v>
      </c>
      <c r="E26" s="2">
        <f>IF(银币!E27="","",银币!$B27*银币!E27)</f>
        <v>12500</v>
      </c>
      <c r="F26" s="2">
        <f>IF(银币!F27="","",银币!$B27*银币!F27)</f>
        <v>0</v>
      </c>
      <c r="G26" s="2" t="str">
        <f>IF(银币!G27="","",银币!$B27*银币!G27)</f>
        <v/>
      </c>
      <c r="H26" s="2" t="str">
        <f>IF(银币!H27="","",银币!$B27*银币!H27)</f>
        <v/>
      </c>
      <c r="I26" s="2" t="str">
        <f>IF(银币!I27="","",银币!$B27*银币!I27)</f>
        <v/>
      </c>
      <c r="J26" s="2" t="str">
        <f>IF(银币!J27="","",银币!$B27*银币!J27)</f>
        <v/>
      </c>
      <c r="K26" s="2">
        <f>IF(银币!K27="","",银币!$B27*银币!K27)</f>
        <v>0</v>
      </c>
      <c r="L26" s="2">
        <f>IF(银币!L27="","",银币!$B27*银币!L27)</f>
        <v>0</v>
      </c>
      <c r="M26" s="2" t="str">
        <f>IF(银币!M27="","",银币!$B27*银币!M27)</f>
        <v/>
      </c>
      <c r="N26" s="2" t="str">
        <f>IF(银币!N27="","",银币!$B27*银币!N27)</f>
        <v/>
      </c>
      <c r="O26" s="2" t="str">
        <f>IF(银币!O27="","",银币!$B27*银币!O27)</f>
        <v/>
      </c>
      <c r="P26" s="2">
        <f>IF(银币!P27="","",银币!$B27*银币!P27)</f>
        <v>12500</v>
      </c>
      <c r="Q26" s="2">
        <f>IF(银币!Q27="","",银币!$B27*银币!Q27)</f>
        <v>125000</v>
      </c>
      <c r="R26" s="2" t="str">
        <f>IF(银币!R27="","",银币!$B27*银币!R27)</f>
        <v/>
      </c>
      <c r="S26" s="2">
        <f>IF(银币!S27="","",银币!$B27*银币!S27)</f>
        <v>25000</v>
      </c>
      <c r="T26" s="2">
        <f>IF(银币!T27="","",银币!$B27*银币!T27)</f>
        <v>0</v>
      </c>
      <c r="U26" s="2">
        <f>IF(银币!U27="","",银币!$B27*银币!U27)</f>
        <v>0</v>
      </c>
      <c r="V26" s="2">
        <f>IF(银币!V27="","",银币!$B27*银币!V27)</f>
        <v>37500</v>
      </c>
      <c r="W26" s="2">
        <f>IF(银币!W27="","",银币!$B27*银币!W27)</f>
        <v>0</v>
      </c>
      <c r="X26" s="2">
        <f>IF(银币!X27="","",银币!$B27*银币!X27)</f>
        <v>0</v>
      </c>
      <c r="Y26" s="2">
        <f>IF(银币!Y27="","",银币!$B27*银币!Y27)</f>
        <v>0</v>
      </c>
      <c r="Z26" s="2">
        <f>IF(银币!Z27="","",银币!$B27*银币!Z27)</f>
        <v>0</v>
      </c>
      <c r="AA26" s="2">
        <f>IF(银币!AA27="","",银币!$B27*银币!AA27)</f>
        <v>0</v>
      </c>
      <c r="AB26" s="2" t="str">
        <f>IF(银币!AB27="","",银币!$B27*银币!AB27)</f>
        <v/>
      </c>
      <c r="AC26" s="2" t="str">
        <f>IF(银币!AC27="","",银币!$B27*银币!AC27)</f>
        <v/>
      </c>
      <c r="AD26" s="2" t="str">
        <f>IF(银币!AD27="","",银币!$B27*银币!AD27)</f>
        <v/>
      </c>
      <c r="AE26" s="2" t="str">
        <f>IF(银币!AE27="","",银币!$B27*银币!AE27)</f>
        <v/>
      </c>
      <c r="AF26" s="2">
        <f>银币!AI27</f>
        <v>25000</v>
      </c>
    </row>
    <row r="27" spans="1:32">
      <c r="A27" s="58">
        <v>26</v>
      </c>
      <c r="B27" s="96">
        <f>银币!B28</f>
        <v>26000</v>
      </c>
      <c r="C27" s="2">
        <f>IF(银币!C28="","",银币!$B28*银币!C28)</f>
        <v>104000</v>
      </c>
      <c r="D27" s="2">
        <f>IF(银币!D28="","",银币!$B28*银币!D28)</f>
        <v>42900</v>
      </c>
      <c r="E27" s="2">
        <f>IF(银币!E28="","",银币!$B28*银币!E28)</f>
        <v>13000</v>
      </c>
      <c r="F27" s="2">
        <f>IF(银币!F28="","",银币!$B28*银币!F28)</f>
        <v>0</v>
      </c>
      <c r="G27" s="2" t="str">
        <f>IF(银币!G28="","",银币!$B28*银币!G28)</f>
        <v/>
      </c>
      <c r="H27" s="2" t="str">
        <f>IF(银币!H28="","",银币!$B28*银币!H28)</f>
        <v/>
      </c>
      <c r="I27" s="2" t="str">
        <f>IF(银币!I28="","",银币!$B28*银币!I28)</f>
        <v/>
      </c>
      <c r="J27" s="2" t="str">
        <f>IF(银币!J28="","",银币!$B28*银币!J28)</f>
        <v/>
      </c>
      <c r="K27" s="2">
        <f>IF(银币!K28="","",银币!$B28*银币!K28)</f>
        <v>0</v>
      </c>
      <c r="L27" s="2">
        <f>IF(银币!L28="","",银币!$B28*银币!L28)</f>
        <v>0</v>
      </c>
      <c r="M27" s="2" t="str">
        <f>IF(银币!M28="","",银币!$B28*银币!M28)</f>
        <v/>
      </c>
      <c r="N27" s="2" t="str">
        <f>IF(银币!N28="","",银币!$B28*银币!N28)</f>
        <v/>
      </c>
      <c r="O27" s="2" t="str">
        <f>IF(银币!O28="","",银币!$B28*银币!O28)</f>
        <v/>
      </c>
      <c r="P27" s="2">
        <f>IF(银币!P28="","",银币!$B28*银币!P28)</f>
        <v>13000</v>
      </c>
      <c r="Q27" s="2">
        <f>IF(银币!Q28="","",银币!$B28*银币!Q28)</f>
        <v>130000</v>
      </c>
      <c r="R27" s="2" t="str">
        <f>IF(银币!R28="","",银币!$B28*银币!R28)</f>
        <v/>
      </c>
      <c r="S27" s="2">
        <f>IF(银币!S28="","",银币!$B28*银币!S28)</f>
        <v>26000</v>
      </c>
      <c r="T27" s="2">
        <f>IF(银币!T28="","",银币!$B28*银币!T28)</f>
        <v>0</v>
      </c>
      <c r="U27" s="2">
        <f>IF(银币!U28="","",银币!$B28*银币!U28)</f>
        <v>0</v>
      </c>
      <c r="V27" s="2">
        <f>IF(银币!V28="","",银币!$B28*银币!V28)</f>
        <v>39000</v>
      </c>
      <c r="W27" s="2">
        <f>IF(银币!W28="","",银币!$B28*银币!W28)</f>
        <v>0</v>
      </c>
      <c r="X27" s="2">
        <f>IF(银币!X28="","",银币!$B28*银币!X28)</f>
        <v>0</v>
      </c>
      <c r="Y27" s="2">
        <f>IF(银币!Y28="","",银币!$B28*银币!Y28)</f>
        <v>0</v>
      </c>
      <c r="Z27" s="2">
        <f>IF(银币!Z28="","",银币!$B28*银币!Z28)</f>
        <v>0</v>
      </c>
      <c r="AA27" s="2">
        <f>IF(银币!AA28="","",银币!$B28*银币!AA28)</f>
        <v>0</v>
      </c>
      <c r="AB27" s="2" t="str">
        <f>IF(银币!AB28="","",银币!$B28*银币!AB28)</f>
        <v/>
      </c>
      <c r="AC27" s="2" t="str">
        <f>IF(银币!AC28="","",银币!$B28*银币!AC28)</f>
        <v/>
      </c>
      <c r="AD27" s="2" t="str">
        <f>IF(银币!AD28="","",银币!$B28*银币!AD28)</f>
        <v/>
      </c>
      <c r="AE27" s="2" t="str">
        <f>IF(银币!AE28="","",银币!$B28*银币!AE28)</f>
        <v/>
      </c>
      <c r="AF27" s="2">
        <f>银币!AI28</f>
        <v>26000</v>
      </c>
    </row>
    <row r="28" spans="1:32">
      <c r="A28" s="58">
        <v>27</v>
      </c>
      <c r="B28" s="96">
        <f>银币!B29</f>
        <v>27000</v>
      </c>
      <c r="C28" s="2">
        <f>IF(银币!C29="","",银币!$B29*银币!C29)</f>
        <v>108000</v>
      </c>
      <c r="D28" s="2">
        <f>IF(银币!D29="","",银币!$B29*银币!D29)</f>
        <v>44550</v>
      </c>
      <c r="E28" s="2">
        <f>IF(银币!E29="","",银币!$B29*银币!E29)</f>
        <v>13500</v>
      </c>
      <c r="F28" s="2">
        <f>IF(银币!F29="","",银币!$B29*银币!F29)</f>
        <v>0</v>
      </c>
      <c r="G28" s="2" t="str">
        <f>IF(银币!G29="","",银币!$B29*银币!G29)</f>
        <v/>
      </c>
      <c r="H28" s="2" t="str">
        <f>IF(银币!H29="","",银币!$B29*银币!H29)</f>
        <v/>
      </c>
      <c r="I28" s="2" t="str">
        <f>IF(银币!I29="","",银币!$B29*银币!I29)</f>
        <v/>
      </c>
      <c r="J28" s="2" t="str">
        <f>IF(银币!J29="","",银币!$B29*银币!J29)</f>
        <v/>
      </c>
      <c r="K28" s="2">
        <f>IF(银币!K29="","",银币!$B29*银币!K29)</f>
        <v>0</v>
      </c>
      <c r="L28" s="2">
        <f>IF(银币!L29="","",银币!$B29*银币!L29)</f>
        <v>0</v>
      </c>
      <c r="M28" s="2" t="str">
        <f>IF(银币!M29="","",银币!$B29*银币!M29)</f>
        <v/>
      </c>
      <c r="N28" s="2" t="str">
        <f>IF(银币!N29="","",银币!$B29*银币!N29)</f>
        <v/>
      </c>
      <c r="O28" s="2" t="str">
        <f>IF(银币!O29="","",银币!$B29*银币!O29)</f>
        <v/>
      </c>
      <c r="P28" s="2">
        <f>IF(银币!P29="","",银币!$B29*银币!P29)</f>
        <v>13500</v>
      </c>
      <c r="Q28" s="2">
        <f>IF(银币!Q29="","",银币!$B29*银币!Q29)</f>
        <v>135000</v>
      </c>
      <c r="R28" s="2" t="str">
        <f>IF(银币!R29="","",银币!$B29*银币!R29)</f>
        <v/>
      </c>
      <c r="S28" s="2">
        <f>IF(银币!S29="","",银币!$B29*银币!S29)</f>
        <v>27000</v>
      </c>
      <c r="T28" s="2">
        <f>IF(银币!T29="","",银币!$B29*银币!T29)</f>
        <v>0</v>
      </c>
      <c r="U28" s="2">
        <f>IF(银币!U29="","",银币!$B29*银币!U29)</f>
        <v>0</v>
      </c>
      <c r="V28" s="2">
        <f>IF(银币!V29="","",银币!$B29*银币!V29)</f>
        <v>40500</v>
      </c>
      <c r="W28" s="2">
        <f>IF(银币!W29="","",银币!$B29*银币!W29)</f>
        <v>0</v>
      </c>
      <c r="X28" s="2">
        <f>IF(银币!X29="","",银币!$B29*银币!X29)</f>
        <v>0</v>
      </c>
      <c r="Y28" s="2">
        <f>IF(银币!Y29="","",银币!$B29*银币!Y29)</f>
        <v>0</v>
      </c>
      <c r="Z28" s="2">
        <f>IF(银币!Z29="","",银币!$B29*银币!Z29)</f>
        <v>0</v>
      </c>
      <c r="AA28" s="2">
        <f>IF(银币!AA29="","",银币!$B29*银币!AA29)</f>
        <v>0</v>
      </c>
      <c r="AB28" s="2" t="str">
        <f>IF(银币!AB29="","",银币!$B29*银币!AB29)</f>
        <v/>
      </c>
      <c r="AC28" s="2" t="str">
        <f>IF(银币!AC29="","",银币!$B29*银币!AC29)</f>
        <v/>
      </c>
      <c r="AD28" s="2" t="str">
        <f>IF(银币!AD29="","",银币!$B29*银币!AD29)</f>
        <v/>
      </c>
      <c r="AE28" s="2" t="str">
        <f>IF(银币!AE29="","",银币!$B29*银币!AE29)</f>
        <v/>
      </c>
      <c r="AF28" s="2">
        <f>银币!AI29</f>
        <v>27000</v>
      </c>
    </row>
    <row r="29" spans="1:32">
      <c r="A29" s="58">
        <v>28</v>
      </c>
      <c r="B29" s="96">
        <f>银币!B30</f>
        <v>28000</v>
      </c>
      <c r="C29" s="2">
        <f>IF(银币!C30="","",银币!$B30*银币!C30)</f>
        <v>112000</v>
      </c>
      <c r="D29" s="2">
        <f>IF(银币!D30="","",银币!$B30*银币!D30)</f>
        <v>46200</v>
      </c>
      <c r="E29" s="2">
        <f>IF(银币!E30="","",银币!$B30*银币!E30)</f>
        <v>14000</v>
      </c>
      <c r="F29" s="2">
        <f>IF(银币!F30="","",银币!$B30*银币!F30)</f>
        <v>0</v>
      </c>
      <c r="G29" s="2" t="str">
        <f>IF(银币!G30="","",银币!$B30*银币!G30)</f>
        <v/>
      </c>
      <c r="H29" s="2" t="str">
        <f>IF(银币!H30="","",银币!$B30*银币!H30)</f>
        <v/>
      </c>
      <c r="I29" s="2" t="str">
        <f>IF(银币!I30="","",银币!$B30*银币!I30)</f>
        <v/>
      </c>
      <c r="J29" s="2" t="str">
        <f>IF(银币!J30="","",银币!$B30*银币!J30)</f>
        <v/>
      </c>
      <c r="K29" s="2">
        <f>IF(银币!K30="","",银币!$B30*银币!K30)</f>
        <v>0</v>
      </c>
      <c r="L29" s="2">
        <f>IF(银币!L30="","",银币!$B30*银币!L30)</f>
        <v>0</v>
      </c>
      <c r="M29" s="2" t="str">
        <f>IF(银币!M30="","",银币!$B30*银币!M30)</f>
        <v/>
      </c>
      <c r="N29" s="2" t="str">
        <f>IF(银币!N30="","",银币!$B30*银币!N30)</f>
        <v/>
      </c>
      <c r="O29" s="2" t="str">
        <f>IF(银币!O30="","",银币!$B30*银币!O30)</f>
        <v/>
      </c>
      <c r="P29" s="2">
        <f>IF(银币!P30="","",银币!$B30*银币!P30)</f>
        <v>14000</v>
      </c>
      <c r="Q29" s="2">
        <f>IF(银币!Q30="","",银币!$B30*银币!Q30)</f>
        <v>140000</v>
      </c>
      <c r="R29" s="2" t="str">
        <f>IF(银币!R30="","",银币!$B30*银币!R30)</f>
        <v/>
      </c>
      <c r="S29" s="2">
        <f>IF(银币!S30="","",银币!$B30*银币!S30)</f>
        <v>28000</v>
      </c>
      <c r="T29" s="2">
        <f>IF(银币!T30="","",银币!$B30*银币!T30)</f>
        <v>0</v>
      </c>
      <c r="U29" s="2">
        <f>IF(银币!U30="","",银币!$B30*银币!U30)</f>
        <v>0</v>
      </c>
      <c r="V29" s="2">
        <f>IF(银币!V30="","",银币!$B30*银币!V30)</f>
        <v>42000</v>
      </c>
      <c r="W29" s="2">
        <f>IF(银币!W30="","",银币!$B30*银币!W30)</f>
        <v>0</v>
      </c>
      <c r="X29" s="2">
        <f>IF(银币!X30="","",银币!$B30*银币!X30)</f>
        <v>0</v>
      </c>
      <c r="Y29" s="2">
        <f>IF(银币!Y30="","",银币!$B30*银币!Y30)</f>
        <v>0</v>
      </c>
      <c r="Z29" s="2">
        <f>IF(银币!Z30="","",银币!$B30*银币!Z30)</f>
        <v>0</v>
      </c>
      <c r="AA29" s="2">
        <f>IF(银币!AA30="","",银币!$B30*银币!AA30)</f>
        <v>0</v>
      </c>
      <c r="AB29" s="2" t="str">
        <f>IF(银币!AB30="","",银币!$B30*银币!AB30)</f>
        <v/>
      </c>
      <c r="AC29" s="2" t="str">
        <f>IF(银币!AC30="","",银币!$B30*银币!AC30)</f>
        <v/>
      </c>
      <c r="AD29" s="2" t="str">
        <f>IF(银币!AD30="","",银币!$B30*银币!AD30)</f>
        <v/>
      </c>
      <c r="AE29" s="2" t="str">
        <f>IF(银币!AE30="","",银币!$B30*银币!AE30)</f>
        <v/>
      </c>
      <c r="AF29" s="2">
        <f>银币!AI30</f>
        <v>28000</v>
      </c>
    </row>
    <row r="30" spans="1:32">
      <c r="A30" s="58">
        <v>29</v>
      </c>
      <c r="B30" s="96">
        <f>银币!B31</f>
        <v>29000</v>
      </c>
      <c r="C30" s="2">
        <f>IF(银币!C31="","",银币!$B31*银币!C31)</f>
        <v>116000</v>
      </c>
      <c r="D30" s="2">
        <f>IF(银币!D31="","",银币!$B31*银币!D31)</f>
        <v>47850</v>
      </c>
      <c r="E30" s="2">
        <f>IF(银币!E31="","",银币!$B31*银币!E31)</f>
        <v>14500</v>
      </c>
      <c r="F30" s="2">
        <f>IF(银币!F31="","",银币!$B31*银币!F31)</f>
        <v>0</v>
      </c>
      <c r="G30" s="2" t="str">
        <f>IF(银币!G31="","",银币!$B31*银币!G31)</f>
        <v/>
      </c>
      <c r="H30" s="2" t="str">
        <f>IF(银币!H31="","",银币!$B31*银币!H31)</f>
        <v/>
      </c>
      <c r="I30" s="2" t="str">
        <f>IF(银币!I31="","",银币!$B31*银币!I31)</f>
        <v/>
      </c>
      <c r="J30" s="2" t="str">
        <f>IF(银币!J31="","",银币!$B31*银币!J31)</f>
        <v/>
      </c>
      <c r="K30" s="2">
        <f>IF(银币!K31="","",银币!$B31*银币!K31)</f>
        <v>0</v>
      </c>
      <c r="L30" s="2">
        <f>IF(银币!L31="","",银币!$B31*银币!L31)</f>
        <v>0</v>
      </c>
      <c r="M30" s="2" t="str">
        <f>IF(银币!M31="","",银币!$B31*银币!M31)</f>
        <v/>
      </c>
      <c r="N30" s="2" t="str">
        <f>IF(银币!N31="","",银币!$B31*银币!N31)</f>
        <v/>
      </c>
      <c r="O30" s="2" t="str">
        <f>IF(银币!O31="","",银币!$B31*银币!O31)</f>
        <v/>
      </c>
      <c r="P30" s="2">
        <f>IF(银币!P31="","",银币!$B31*银币!P31)</f>
        <v>14500</v>
      </c>
      <c r="Q30" s="2">
        <f>IF(银币!Q31="","",银币!$B31*银币!Q31)</f>
        <v>145000</v>
      </c>
      <c r="R30" s="2" t="str">
        <f>IF(银币!R31="","",银币!$B31*银币!R31)</f>
        <v/>
      </c>
      <c r="S30" s="2">
        <f>IF(银币!S31="","",银币!$B31*银币!S31)</f>
        <v>29000</v>
      </c>
      <c r="T30" s="2">
        <f>IF(银币!T31="","",银币!$B31*银币!T31)</f>
        <v>0</v>
      </c>
      <c r="U30" s="2">
        <f>IF(银币!U31="","",银币!$B31*银币!U31)</f>
        <v>0</v>
      </c>
      <c r="V30" s="2">
        <f>IF(银币!V31="","",银币!$B31*银币!V31)</f>
        <v>43500</v>
      </c>
      <c r="W30" s="2">
        <f>IF(银币!W31="","",银币!$B31*银币!W31)</f>
        <v>0</v>
      </c>
      <c r="X30" s="2">
        <f>IF(银币!X31="","",银币!$B31*银币!X31)</f>
        <v>0</v>
      </c>
      <c r="Y30" s="2">
        <f>IF(银币!Y31="","",银币!$B31*银币!Y31)</f>
        <v>0</v>
      </c>
      <c r="Z30" s="2">
        <f>IF(银币!Z31="","",银币!$B31*银币!Z31)</f>
        <v>0</v>
      </c>
      <c r="AA30" s="2">
        <f>IF(银币!AA31="","",银币!$B31*银币!AA31)</f>
        <v>0</v>
      </c>
      <c r="AB30" s="2" t="str">
        <f>IF(银币!AB31="","",银币!$B31*银币!AB31)</f>
        <v/>
      </c>
      <c r="AC30" s="2" t="str">
        <f>IF(银币!AC31="","",银币!$B31*银币!AC31)</f>
        <v/>
      </c>
      <c r="AD30" s="2" t="str">
        <f>IF(银币!AD31="","",银币!$B31*银币!AD31)</f>
        <v/>
      </c>
      <c r="AE30" s="2" t="str">
        <f>IF(银币!AE31="","",银币!$B31*银币!AE31)</f>
        <v/>
      </c>
      <c r="AF30" s="2">
        <f>银币!AI31</f>
        <v>29000</v>
      </c>
    </row>
    <row r="31" spans="1:32">
      <c r="A31" s="58">
        <v>30</v>
      </c>
      <c r="B31" s="96">
        <f>银币!B32</f>
        <v>30000</v>
      </c>
      <c r="C31" s="2">
        <f>IF(银币!C32="","",银币!$B32*银币!C32)</f>
        <v>120000</v>
      </c>
      <c r="D31" s="2">
        <f>IF(银币!D32="","",银币!$B32*银币!D32)</f>
        <v>49500</v>
      </c>
      <c r="E31" s="2">
        <f>IF(银币!E32="","",银币!$B32*银币!E32)</f>
        <v>15000</v>
      </c>
      <c r="F31" s="2">
        <f>IF(银币!F32="","",银币!$B32*银币!F32)</f>
        <v>0</v>
      </c>
      <c r="G31" s="2" t="str">
        <f>IF(银币!G32="","",银币!$B32*银币!G32)</f>
        <v/>
      </c>
      <c r="H31" s="2" t="str">
        <f>IF(银币!H32="","",银币!$B32*银币!H32)</f>
        <v/>
      </c>
      <c r="I31" s="2" t="str">
        <f>IF(银币!I32="","",银币!$B32*银币!I32)</f>
        <v/>
      </c>
      <c r="J31" s="2" t="str">
        <f>IF(银币!J32="","",银币!$B32*银币!J32)</f>
        <v/>
      </c>
      <c r="K31" s="2">
        <f>IF(银币!K32="","",银币!$B32*银币!K32)</f>
        <v>30000</v>
      </c>
      <c r="L31" s="2">
        <f>IF(银币!L32="","",银币!$B32*银币!L32)</f>
        <v>0</v>
      </c>
      <c r="M31" s="2" t="str">
        <f>IF(银币!M32="","",银币!$B32*银币!M32)</f>
        <v/>
      </c>
      <c r="N31" s="2" t="str">
        <f>IF(银币!N32="","",银币!$B32*银币!N32)</f>
        <v/>
      </c>
      <c r="O31" s="2" t="str">
        <f>IF(银币!O32="","",银币!$B32*银币!O32)</f>
        <v/>
      </c>
      <c r="P31" s="2">
        <f>IF(银币!P32="","",银币!$B32*银币!P32)</f>
        <v>15000</v>
      </c>
      <c r="Q31" s="2">
        <f>IF(银币!Q32="","",银币!$B32*银币!Q32)</f>
        <v>150000</v>
      </c>
      <c r="R31" s="2" t="str">
        <f>IF(银币!R32="","",银币!$B32*银币!R32)</f>
        <v/>
      </c>
      <c r="S31" s="2">
        <f>IF(银币!S32="","",银币!$B32*银币!S32)</f>
        <v>30000</v>
      </c>
      <c r="T31" s="2">
        <f>IF(银币!T32="","",银币!$B32*银币!T32)</f>
        <v>0</v>
      </c>
      <c r="U31" s="2">
        <f>IF(银币!U32="","",银币!$B32*银币!U32)</f>
        <v>0</v>
      </c>
      <c r="V31" s="2">
        <f>IF(银币!V32="","",银币!$B32*银币!V32)</f>
        <v>45000</v>
      </c>
      <c r="W31" s="2">
        <f>IF(银币!W32="","",银币!$B32*银币!W32)</f>
        <v>30000</v>
      </c>
      <c r="X31" s="2">
        <f>IF(银币!X32="","",银币!$B32*银币!X32)</f>
        <v>30000</v>
      </c>
      <c r="Y31" s="2">
        <f>IF(银币!Y32="","",银币!$B32*银币!Y32)</f>
        <v>0</v>
      </c>
      <c r="Z31" s="2">
        <f>IF(银币!Z32="","",银币!$B32*银币!Z32)</f>
        <v>0</v>
      </c>
      <c r="AA31" s="2">
        <f>IF(银币!AA32="","",银币!$B32*银币!AA32)</f>
        <v>0</v>
      </c>
      <c r="AB31" s="2" t="str">
        <f>IF(银币!AB32="","",银币!$B32*银币!AB32)</f>
        <v/>
      </c>
      <c r="AC31" s="2" t="str">
        <f>IF(银币!AC32="","",银币!$B32*银币!AC32)</f>
        <v/>
      </c>
      <c r="AD31" s="2" t="str">
        <f>IF(银币!AD32="","",银币!$B32*银币!AD32)</f>
        <v/>
      </c>
      <c r="AE31" s="2" t="str">
        <f>IF(银币!AE32="","",银币!$B32*银币!AE32)</f>
        <v/>
      </c>
      <c r="AF31" s="2">
        <f>银币!AI32</f>
        <v>30000</v>
      </c>
    </row>
    <row r="32" spans="1:32">
      <c r="A32" s="58">
        <v>31</v>
      </c>
      <c r="B32" s="96">
        <f>银币!B33</f>
        <v>31000</v>
      </c>
      <c r="C32" s="2">
        <f>IF(银币!C33="","",银币!$B33*银币!C33)</f>
        <v>124000</v>
      </c>
      <c r="D32" s="2">
        <f>IF(银币!D33="","",银币!$B33*银币!D33)</f>
        <v>51150</v>
      </c>
      <c r="E32" s="2">
        <f>IF(银币!E33="","",银币!$B33*银币!E33)</f>
        <v>15500</v>
      </c>
      <c r="F32" s="2">
        <f>IF(银币!F33="","",银币!$B33*银币!F33)</f>
        <v>0</v>
      </c>
      <c r="G32" s="2" t="str">
        <f>IF(银币!G33="","",银币!$B33*银币!G33)</f>
        <v/>
      </c>
      <c r="H32" s="2" t="str">
        <f>IF(银币!H33="","",银币!$B33*银币!H33)</f>
        <v/>
      </c>
      <c r="I32" s="2" t="str">
        <f>IF(银币!I33="","",银币!$B33*银币!I33)</f>
        <v/>
      </c>
      <c r="J32" s="2" t="str">
        <f>IF(银币!J33="","",银币!$B33*银币!J33)</f>
        <v/>
      </c>
      <c r="K32" s="2">
        <f>IF(银币!K33="","",银币!$B33*银币!K33)</f>
        <v>31000</v>
      </c>
      <c r="L32" s="2">
        <f>IF(银币!L33="","",银币!$B33*银币!L33)</f>
        <v>0</v>
      </c>
      <c r="M32" s="2" t="str">
        <f>IF(银币!M33="","",银币!$B33*银币!M33)</f>
        <v/>
      </c>
      <c r="N32" s="2" t="str">
        <f>IF(银币!N33="","",银币!$B33*银币!N33)</f>
        <v/>
      </c>
      <c r="O32" s="2" t="str">
        <f>IF(银币!O33="","",银币!$B33*银币!O33)</f>
        <v/>
      </c>
      <c r="P32" s="2">
        <f>IF(银币!P33="","",银币!$B33*银币!P33)</f>
        <v>15500</v>
      </c>
      <c r="Q32" s="2">
        <f>IF(银币!Q33="","",银币!$B33*银币!Q33)</f>
        <v>155000</v>
      </c>
      <c r="R32" s="2" t="str">
        <f>IF(银币!R33="","",银币!$B33*银币!R33)</f>
        <v/>
      </c>
      <c r="S32" s="2">
        <f>IF(银币!S33="","",银币!$B33*银币!S33)</f>
        <v>31000</v>
      </c>
      <c r="T32" s="2">
        <f>IF(银币!T33="","",银币!$B33*银币!T33)</f>
        <v>0</v>
      </c>
      <c r="U32" s="2">
        <f>IF(银币!U33="","",银币!$B33*银币!U33)</f>
        <v>0</v>
      </c>
      <c r="V32" s="2">
        <f>IF(银币!V33="","",银币!$B33*银币!V33)</f>
        <v>46500</v>
      </c>
      <c r="W32" s="2">
        <f>IF(银币!W33="","",银币!$B33*银币!W33)</f>
        <v>31000</v>
      </c>
      <c r="X32" s="2">
        <f>IF(银币!X33="","",银币!$B33*银币!X33)</f>
        <v>31000</v>
      </c>
      <c r="Y32" s="2">
        <f>IF(银币!Y33="","",银币!$B33*银币!Y33)</f>
        <v>0</v>
      </c>
      <c r="Z32" s="2">
        <f>IF(银币!Z33="","",银币!$B33*银币!Z33)</f>
        <v>0</v>
      </c>
      <c r="AA32" s="2">
        <f>IF(银币!AA33="","",银币!$B33*银币!AA33)</f>
        <v>0</v>
      </c>
      <c r="AB32" s="2" t="str">
        <f>IF(银币!AB33="","",银币!$B33*银币!AB33)</f>
        <v/>
      </c>
      <c r="AC32" s="2" t="str">
        <f>IF(银币!AC33="","",银币!$B33*银币!AC33)</f>
        <v/>
      </c>
      <c r="AD32" s="2" t="str">
        <f>IF(银币!AD33="","",银币!$B33*银币!AD33)</f>
        <v/>
      </c>
      <c r="AE32" s="2" t="str">
        <f>IF(银币!AE33="","",银币!$B33*银币!AE33)</f>
        <v/>
      </c>
      <c r="AF32" s="2">
        <f>银币!AI33</f>
        <v>31000</v>
      </c>
    </row>
    <row r="33" spans="1:32">
      <c r="A33" s="58">
        <v>32</v>
      </c>
      <c r="B33" s="96">
        <f>银币!B34</f>
        <v>32000</v>
      </c>
      <c r="C33" s="2">
        <f>IF(银币!C34="","",银币!$B34*银币!C34)</f>
        <v>128000</v>
      </c>
      <c r="D33" s="2">
        <f>IF(银币!D34="","",银币!$B34*银币!D34)</f>
        <v>52800</v>
      </c>
      <c r="E33" s="2">
        <f>IF(银币!E34="","",银币!$B34*银币!E34)</f>
        <v>16000</v>
      </c>
      <c r="F33" s="2">
        <f>IF(银币!F34="","",银币!$B34*银币!F34)</f>
        <v>0</v>
      </c>
      <c r="G33" s="2" t="str">
        <f>IF(银币!G34="","",银币!$B34*银币!G34)</f>
        <v/>
      </c>
      <c r="H33" s="2" t="str">
        <f>IF(银币!H34="","",银币!$B34*银币!H34)</f>
        <v/>
      </c>
      <c r="I33" s="2" t="str">
        <f>IF(银币!I34="","",银币!$B34*银币!I34)</f>
        <v/>
      </c>
      <c r="J33" s="2" t="str">
        <f>IF(银币!J34="","",银币!$B34*银币!J34)</f>
        <v/>
      </c>
      <c r="K33" s="2">
        <f>IF(银币!K34="","",银币!$B34*银币!K34)</f>
        <v>32000</v>
      </c>
      <c r="L33" s="2">
        <f>IF(银币!L34="","",银币!$B34*银币!L34)</f>
        <v>0</v>
      </c>
      <c r="M33" s="2" t="str">
        <f>IF(银币!M34="","",银币!$B34*银币!M34)</f>
        <v/>
      </c>
      <c r="N33" s="2" t="str">
        <f>IF(银币!N34="","",银币!$B34*银币!N34)</f>
        <v/>
      </c>
      <c r="O33" s="2" t="str">
        <f>IF(银币!O34="","",银币!$B34*银币!O34)</f>
        <v/>
      </c>
      <c r="P33" s="2">
        <f>IF(银币!P34="","",银币!$B34*银币!P34)</f>
        <v>16000</v>
      </c>
      <c r="Q33" s="2">
        <f>IF(银币!Q34="","",银币!$B34*银币!Q34)</f>
        <v>160000</v>
      </c>
      <c r="R33" s="2" t="str">
        <f>IF(银币!R34="","",银币!$B34*银币!R34)</f>
        <v/>
      </c>
      <c r="S33" s="2">
        <f>IF(银币!S34="","",银币!$B34*银币!S34)</f>
        <v>32000</v>
      </c>
      <c r="T33" s="2">
        <f>IF(银币!T34="","",银币!$B34*银币!T34)</f>
        <v>0</v>
      </c>
      <c r="U33" s="2">
        <f>IF(银币!U34="","",银币!$B34*银币!U34)</f>
        <v>0</v>
      </c>
      <c r="V33" s="2">
        <f>IF(银币!V34="","",银币!$B34*银币!V34)</f>
        <v>48000</v>
      </c>
      <c r="W33" s="2">
        <f>IF(银币!W34="","",银币!$B34*银币!W34)</f>
        <v>32000</v>
      </c>
      <c r="X33" s="2">
        <f>IF(银币!X34="","",银币!$B34*银币!X34)</f>
        <v>32000</v>
      </c>
      <c r="Y33" s="2">
        <f>IF(银币!Y34="","",银币!$B34*银币!Y34)</f>
        <v>0</v>
      </c>
      <c r="Z33" s="2">
        <f>IF(银币!Z34="","",银币!$B34*银币!Z34)</f>
        <v>0</v>
      </c>
      <c r="AA33" s="2">
        <f>IF(银币!AA34="","",银币!$B34*银币!AA34)</f>
        <v>0</v>
      </c>
      <c r="AB33" s="2" t="str">
        <f>IF(银币!AB34="","",银币!$B34*银币!AB34)</f>
        <v/>
      </c>
      <c r="AC33" s="2" t="str">
        <f>IF(银币!AC34="","",银币!$B34*银币!AC34)</f>
        <v/>
      </c>
      <c r="AD33" s="2" t="str">
        <f>IF(银币!AD34="","",银币!$B34*银币!AD34)</f>
        <v/>
      </c>
      <c r="AE33" s="2" t="str">
        <f>IF(银币!AE34="","",银币!$B34*银币!AE34)</f>
        <v/>
      </c>
      <c r="AF33" s="2">
        <f>银币!AI34</f>
        <v>32000</v>
      </c>
    </row>
    <row r="34" spans="1:32">
      <c r="A34" s="58">
        <v>33</v>
      </c>
      <c r="B34" s="96">
        <f>银币!B35</f>
        <v>33000</v>
      </c>
      <c r="C34" s="2">
        <f>IF(银币!C35="","",银币!$B35*银币!C35)</f>
        <v>132000</v>
      </c>
      <c r="D34" s="2">
        <f>IF(银币!D35="","",银币!$B35*银币!D35)</f>
        <v>54450</v>
      </c>
      <c r="E34" s="2">
        <f>IF(银币!E35="","",银币!$B35*银币!E35)</f>
        <v>16500</v>
      </c>
      <c r="F34" s="2">
        <f>IF(银币!F35="","",银币!$B35*银币!F35)</f>
        <v>0</v>
      </c>
      <c r="G34" s="2" t="str">
        <f>IF(银币!G35="","",银币!$B35*银币!G35)</f>
        <v/>
      </c>
      <c r="H34" s="2" t="str">
        <f>IF(银币!H35="","",银币!$B35*银币!H35)</f>
        <v/>
      </c>
      <c r="I34" s="2" t="str">
        <f>IF(银币!I35="","",银币!$B35*银币!I35)</f>
        <v/>
      </c>
      <c r="J34" s="2" t="str">
        <f>IF(银币!J35="","",银币!$B35*银币!J35)</f>
        <v/>
      </c>
      <c r="K34" s="2">
        <f>IF(银币!K35="","",银币!$B35*银币!K35)</f>
        <v>33000</v>
      </c>
      <c r="L34" s="2">
        <f>IF(银币!L35="","",银币!$B35*银币!L35)</f>
        <v>0</v>
      </c>
      <c r="M34" s="2" t="str">
        <f>IF(银币!M35="","",银币!$B35*银币!M35)</f>
        <v/>
      </c>
      <c r="N34" s="2" t="str">
        <f>IF(银币!N35="","",银币!$B35*银币!N35)</f>
        <v/>
      </c>
      <c r="O34" s="2" t="str">
        <f>IF(银币!O35="","",银币!$B35*银币!O35)</f>
        <v/>
      </c>
      <c r="P34" s="2">
        <f>IF(银币!P35="","",银币!$B35*银币!P35)</f>
        <v>16500</v>
      </c>
      <c r="Q34" s="2">
        <f>IF(银币!Q35="","",银币!$B35*银币!Q35)</f>
        <v>165000</v>
      </c>
      <c r="R34" s="2" t="str">
        <f>IF(银币!R35="","",银币!$B35*银币!R35)</f>
        <v/>
      </c>
      <c r="S34" s="2">
        <f>IF(银币!S35="","",银币!$B35*银币!S35)</f>
        <v>33000</v>
      </c>
      <c r="T34" s="2">
        <f>IF(银币!T35="","",银币!$B35*银币!T35)</f>
        <v>0</v>
      </c>
      <c r="U34" s="2">
        <f>IF(银币!U35="","",银币!$B35*银币!U35)</f>
        <v>0</v>
      </c>
      <c r="V34" s="2">
        <f>IF(银币!V35="","",银币!$B35*银币!V35)</f>
        <v>49500</v>
      </c>
      <c r="W34" s="2">
        <f>IF(银币!W35="","",银币!$B35*银币!W35)</f>
        <v>33000</v>
      </c>
      <c r="X34" s="2">
        <f>IF(银币!X35="","",银币!$B35*银币!X35)</f>
        <v>33000</v>
      </c>
      <c r="Y34" s="2">
        <f>IF(银币!Y35="","",银币!$B35*银币!Y35)</f>
        <v>0</v>
      </c>
      <c r="Z34" s="2">
        <f>IF(银币!Z35="","",银币!$B35*银币!Z35)</f>
        <v>0</v>
      </c>
      <c r="AA34" s="2">
        <f>IF(银币!AA35="","",银币!$B35*银币!AA35)</f>
        <v>0</v>
      </c>
      <c r="AB34" s="2" t="str">
        <f>IF(银币!AB35="","",银币!$B35*银币!AB35)</f>
        <v/>
      </c>
      <c r="AC34" s="2" t="str">
        <f>IF(银币!AC35="","",银币!$B35*银币!AC35)</f>
        <v/>
      </c>
      <c r="AD34" s="2" t="str">
        <f>IF(银币!AD35="","",银币!$B35*银币!AD35)</f>
        <v/>
      </c>
      <c r="AE34" s="2" t="str">
        <f>IF(银币!AE35="","",银币!$B35*银币!AE35)</f>
        <v/>
      </c>
      <c r="AF34" s="2">
        <f>银币!AI35</f>
        <v>33000</v>
      </c>
    </row>
    <row r="35" spans="1:32">
      <c r="A35" s="58">
        <v>34</v>
      </c>
      <c r="B35" s="96">
        <f>银币!B36</f>
        <v>34000</v>
      </c>
      <c r="C35" s="2">
        <f>IF(银币!C36="","",银币!$B36*银币!C36)</f>
        <v>136000</v>
      </c>
      <c r="D35" s="2">
        <f>IF(银币!D36="","",银币!$B36*银币!D36)</f>
        <v>56100</v>
      </c>
      <c r="E35" s="2">
        <f>IF(银币!E36="","",银币!$B36*银币!E36)</f>
        <v>17000</v>
      </c>
      <c r="F35" s="2">
        <f>IF(银币!F36="","",银币!$B36*银币!F36)</f>
        <v>0</v>
      </c>
      <c r="G35" s="2" t="str">
        <f>IF(银币!G36="","",银币!$B36*银币!G36)</f>
        <v/>
      </c>
      <c r="H35" s="2" t="str">
        <f>IF(银币!H36="","",银币!$B36*银币!H36)</f>
        <v/>
      </c>
      <c r="I35" s="2" t="str">
        <f>IF(银币!I36="","",银币!$B36*银币!I36)</f>
        <v/>
      </c>
      <c r="J35" s="2" t="str">
        <f>IF(银币!J36="","",银币!$B36*银币!J36)</f>
        <v/>
      </c>
      <c r="K35" s="2">
        <f>IF(银币!K36="","",银币!$B36*银币!K36)</f>
        <v>34000</v>
      </c>
      <c r="L35" s="2">
        <f>IF(银币!L36="","",银币!$B36*银币!L36)</f>
        <v>0</v>
      </c>
      <c r="M35" s="2" t="str">
        <f>IF(银币!M36="","",银币!$B36*银币!M36)</f>
        <v/>
      </c>
      <c r="N35" s="2" t="str">
        <f>IF(银币!N36="","",银币!$B36*银币!N36)</f>
        <v/>
      </c>
      <c r="O35" s="2" t="str">
        <f>IF(银币!O36="","",银币!$B36*银币!O36)</f>
        <v/>
      </c>
      <c r="P35" s="2">
        <f>IF(银币!P36="","",银币!$B36*银币!P36)</f>
        <v>17000</v>
      </c>
      <c r="Q35" s="2">
        <f>IF(银币!Q36="","",银币!$B36*银币!Q36)</f>
        <v>170000</v>
      </c>
      <c r="R35" s="2" t="str">
        <f>IF(银币!R36="","",银币!$B36*银币!R36)</f>
        <v/>
      </c>
      <c r="S35" s="2">
        <f>IF(银币!S36="","",银币!$B36*银币!S36)</f>
        <v>34000</v>
      </c>
      <c r="T35" s="2">
        <f>IF(银币!T36="","",银币!$B36*银币!T36)</f>
        <v>0</v>
      </c>
      <c r="U35" s="2">
        <f>IF(银币!U36="","",银币!$B36*银币!U36)</f>
        <v>0</v>
      </c>
      <c r="V35" s="2">
        <f>IF(银币!V36="","",银币!$B36*银币!V36)</f>
        <v>51000</v>
      </c>
      <c r="W35" s="2">
        <f>IF(银币!W36="","",银币!$B36*银币!W36)</f>
        <v>34000</v>
      </c>
      <c r="X35" s="2">
        <f>IF(银币!X36="","",银币!$B36*银币!X36)</f>
        <v>34000</v>
      </c>
      <c r="Y35" s="2">
        <f>IF(银币!Y36="","",银币!$B36*银币!Y36)</f>
        <v>0</v>
      </c>
      <c r="Z35" s="2">
        <f>IF(银币!Z36="","",银币!$B36*银币!Z36)</f>
        <v>0</v>
      </c>
      <c r="AA35" s="2">
        <f>IF(银币!AA36="","",银币!$B36*银币!AA36)</f>
        <v>0</v>
      </c>
      <c r="AB35" s="2" t="str">
        <f>IF(银币!AB36="","",银币!$B36*银币!AB36)</f>
        <v/>
      </c>
      <c r="AC35" s="2" t="str">
        <f>IF(银币!AC36="","",银币!$B36*银币!AC36)</f>
        <v/>
      </c>
      <c r="AD35" s="2" t="str">
        <f>IF(银币!AD36="","",银币!$B36*银币!AD36)</f>
        <v/>
      </c>
      <c r="AE35" s="2" t="str">
        <f>IF(银币!AE36="","",银币!$B36*银币!AE36)</f>
        <v/>
      </c>
      <c r="AF35" s="2">
        <f>银币!AI36</f>
        <v>34000</v>
      </c>
    </row>
    <row r="36" spans="1:32">
      <c r="A36" s="58">
        <v>35</v>
      </c>
      <c r="B36" s="96">
        <f>银币!B37</f>
        <v>35000</v>
      </c>
      <c r="C36" s="2">
        <f>IF(银币!C37="","",银币!$B37*银币!C37)</f>
        <v>140000</v>
      </c>
      <c r="D36" s="2">
        <f>IF(银币!D37="","",银币!$B37*银币!D37)</f>
        <v>57750</v>
      </c>
      <c r="E36" s="2">
        <f>IF(银币!E37="","",银币!$B37*银币!E37)</f>
        <v>17500</v>
      </c>
      <c r="F36" s="2">
        <f>IF(银币!F37="","",银币!$B37*银币!F37)</f>
        <v>0</v>
      </c>
      <c r="G36" s="2" t="str">
        <f>IF(银币!G37="","",银币!$B37*银币!G37)</f>
        <v/>
      </c>
      <c r="H36" s="2" t="str">
        <f>IF(银币!H37="","",银币!$B37*银币!H37)</f>
        <v/>
      </c>
      <c r="I36" s="2" t="str">
        <f>IF(银币!I37="","",银币!$B37*银币!I37)</f>
        <v/>
      </c>
      <c r="J36" s="2" t="str">
        <f>IF(银币!J37="","",银币!$B37*银币!J37)</f>
        <v/>
      </c>
      <c r="K36" s="2">
        <f>IF(银币!K37="","",银币!$B37*银币!K37)</f>
        <v>35000</v>
      </c>
      <c r="L36" s="2">
        <f>IF(银币!L37="","",银币!$B37*银币!L37)</f>
        <v>35000</v>
      </c>
      <c r="M36" s="2" t="str">
        <f>IF(银币!M37="","",银币!$B37*银币!M37)</f>
        <v/>
      </c>
      <c r="N36" s="2" t="str">
        <f>IF(银币!N37="","",银币!$B37*银币!N37)</f>
        <v/>
      </c>
      <c r="O36" s="2" t="str">
        <f>IF(银币!O37="","",银币!$B37*银币!O37)</f>
        <v/>
      </c>
      <c r="P36" s="2">
        <f>IF(银币!P37="","",银币!$B37*银币!P37)</f>
        <v>17500</v>
      </c>
      <c r="Q36" s="2">
        <f>IF(银币!Q37="","",银币!$B37*银币!Q37)</f>
        <v>175000</v>
      </c>
      <c r="R36" s="2" t="str">
        <f>IF(银币!R37="","",银币!$B37*银币!R37)</f>
        <v/>
      </c>
      <c r="S36" s="2">
        <f>IF(银币!S37="","",银币!$B37*银币!S37)</f>
        <v>35000</v>
      </c>
      <c r="T36" s="2">
        <f>IF(银币!T37="","",银币!$B37*银币!T37)</f>
        <v>35000</v>
      </c>
      <c r="U36" s="2">
        <f>IF(银币!U37="","",银币!$B37*银币!U37)</f>
        <v>0</v>
      </c>
      <c r="V36" s="2">
        <f>IF(银币!V37="","",银币!$B37*银币!V37)</f>
        <v>52500</v>
      </c>
      <c r="W36" s="2">
        <f>IF(银币!W37="","",银币!$B37*银币!W37)</f>
        <v>35000</v>
      </c>
      <c r="X36" s="2">
        <f>IF(银币!X37="","",银币!$B37*银币!X37)</f>
        <v>35000</v>
      </c>
      <c r="Y36" s="2">
        <f>IF(银币!Y37="","",银币!$B37*银币!Y37)</f>
        <v>0</v>
      </c>
      <c r="Z36" s="2">
        <f>IF(银币!Z37="","",银币!$B37*银币!Z37)</f>
        <v>0</v>
      </c>
      <c r="AA36" s="2">
        <f>IF(银币!AA37="","",银币!$B37*银币!AA37)</f>
        <v>0</v>
      </c>
      <c r="AB36" s="2" t="str">
        <f>IF(银币!AB37="","",银币!$B37*银币!AB37)</f>
        <v/>
      </c>
      <c r="AC36" s="2" t="str">
        <f>IF(银币!AC37="","",银币!$B37*银币!AC37)</f>
        <v/>
      </c>
      <c r="AD36" s="2" t="str">
        <f>IF(银币!AD37="","",银币!$B37*银币!AD37)</f>
        <v/>
      </c>
      <c r="AE36" s="2" t="str">
        <f>IF(银币!AE37="","",银币!$B37*银币!AE37)</f>
        <v/>
      </c>
      <c r="AF36" s="2">
        <f>银币!AI37</f>
        <v>35000</v>
      </c>
    </row>
    <row r="37" spans="1:32">
      <c r="A37" s="58">
        <v>36</v>
      </c>
      <c r="B37" s="96">
        <f>银币!B38</f>
        <v>36000</v>
      </c>
      <c r="C37" s="2">
        <f>IF(银币!C38="","",银币!$B38*银币!C38)</f>
        <v>144000</v>
      </c>
      <c r="D37" s="2">
        <f>IF(银币!D38="","",银币!$B38*银币!D38)</f>
        <v>59400</v>
      </c>
      <c r="E37" s="2">
        <f>IF(银币!E38="","",银币!$B38*银币!E38)</f>
        <v>18000</v>
      </c>
      <c r="F37" s="2">
        <f>IF(银币!F38="","",银币!$B38*银币!F38)</f>
        <v>0</v>
      </c>
      <c r="G37" s="2" t="str">
        <f>IF(银币!G38="","",银币!$B38*银币!G38)</f>
        <v/>
      </c>
      <c r="H37" s="2" t="str">
        <f>IF(银币!H38="","",银币!$B38*银币!H38)</f>
        <v/>
      </c>
      <c r="I37" s="2" t="str">
        <f>IF(银币!I38="","",银币!$B38*银币!I38)</f>
        <v/>
      </c>
      <c r="J37" s="2" t="str">
        <f>IF(银币!J38="","",银币!$B38*银币!J38)</f>
        <v/>
      </c>
      <c r="K37" s="2">
        <f>IF(银币!K38="","",银币!$B38*银币!K38)</f>
        <v>36000</v>
      </c>
      <c r="L37" s="2">
        <f>IF(银币!L38="","",银币!$B38*银币!L38)</f>
        <v>36000</v>
      </c>
      <c r="M37" s="2" t="str">
        <f>IF(银币!M38="","",银币!$B38*银币!M38)</f>
        <v/>
      </c>
      <c r="N37" s="2" t="str">
        <f>IF(银币!N38="","",银币!$B38*银币!N38)</f>
        <v/>
      </c>
      <c r="O37" s="2" t="str">
        <f>IF(银币!O38="","",银币!$B38*银币!O38)</f>
        <v/>
      </c>
      <c r="P37" s="2">
        <f>IF(银币!P38="","",银币!$B38*银币!P38)</f>
        <v>18000</v>
      </c>
      <c r="Q37" s="2">
        <f>IF(银币!Q38="","",银币!$B38*银币!Q38)</f>
        <v>180000</v>
      </c>
      <c r="R37" s="2" t="str">
        <f>IF(银币!R38="","",银币!$B38*银币!R38)</f>
        <v/>
      </c>
      <c r="S37" s="2">
        <f>IF(银币!S38="","",银币!$B38*银币!S38)</f>
        <v>36000</v>
      </c>
      <c r="T37" s="2">
        <f>IF(银币!T38="","",银币!$B38*银币!T38)</f>
        <v>36000</v>
      </c>
      <c r="U37" s="2">
        <f>IF(银币!U38="","",银币!$B38*银币!U38)</f>
        <v>0</v>
      </c>
      <c r="V37" s="2">
        <f>IF(银币!V38="","",银币!$B38*银币!V38)</f>
        <v>54000</v>
      </c>
      <c r="W37" s="2">
        <f>IF(银币!W38="","",银币!$B38*银币!W38)</f>
        <v>36000</v>
      </c>
      <c r="X37" s="2">
        <f>IF(银币!X38="","",银币!$B38*银币!X38)</f>
        <v>36000</v>
      </c>
      <c r="Y37" s="2">
        <f>IF(银币!Y38="","",银币!$B38*银币!Y38)</f>
        <v>0</v>
      </c>
      <c r="Z37" s="2">
        <f>IF(银币!Z38="","",银币!$B38*银币!Z38)</f>
        <v>0</v>
      </c>
      <c r="AA37" s="2">
        <f>IF(银币!AA38="","",银币!$B38*银币!AA38)</f>
        <v>0</v>
      </c>
      <c r="AB37" s="2" t="str">
        <f>IF(银币!AB38="","",银币!$B38*银币!AB38)</f>
        <v/>
      </c>
      <c r="AC37" s="2" t="str">
        <f>IF(银币!AC38="","",银币!$B38*银币!AC38)</f>
        <v/>
      </c>
      <c r="AD37" s="2" t="str">
        <f>IF(银币!AD38="","",银币!$B38*银币!AD38)</f>
        <v/>
      </c>
      <c r="AE37" s="2" t="str">
        <f>IF(银币!AE38="","",银币!$B38*银币!AE38)</f>
        <v/>
      </c>
      <c r="AF37" s="2">
        <f>银币!AI38</f>
        <v>36000</v>
      </c>
    </row>
    <row r="38" spans="1:32">
      <c r="A38" s="58">
        <v>37</v>
      </c>
      <c r="B38" s="96">
        <f>银币!B39</f>
        <v>37000</v>
      </c>
      <c r="C38" s="2">
        <f>IF(银币!C39="","",银币!$B39*银币!C39)</f>
        <v>148000</v>
      </c>
      <c r="D38" s="2">
        <f>IF(银币!D39="","",银币!$B39*银币!D39)</f>
        <v>61050</v>
      </c>
      <c r="E38" s="2">
        <f>IF(银币!E39="","",银币!$B39*银币!E39)</f>
        <v>18500</v>
      </c>
      <c r="F38" s="2">
        <f>IF(银币!F39="","",银币!$B39*银币!F39)</f>
        <v>0</v>
      </c>
      <c r="G38" s="2" t="str">
        <f>IF(银币!G39="","",银币!$B39*银币!G39)</f>
        <v/>
      </c>
      <c r="H38" s="2" t="str">
        <f>IF(银币!H39="","",银币!$B39*银币!H39)</f>
        <v/>
      </c>
      <c r="I38" s="2" t="str">
        <f>IF(银币!I39="","",银币!$B39*银币!I39)</f>
        <v/>
      </c>
      <c r="J38" s="2" t="str">
        <f>IF(银币!J39="","",银币!$B39*银币!J39)</f>
        <v/>
      </c>
      <c r="K38" s="2">
        <f>IF(银币!K39="","",银币!$B39*银币!K39)</f>
        <v>37000</v>
      </c>
      <c r="L38" s="2">
        <f>IF(银币!L39="","",银币!$B39*银币!L39)</f>
        <v>37000</v>
      </c>
      <c r="M38" s="2" t="str">
        <f>IF(银币!M39="","",银币!$B39*银币!M39)</f>
        <v/>
      </c>
      <c r="N38" s="2" t="str">
        <f>IF(银币!N39="","",银币!$B39*银币!N39)</f>
        <v/>
      </c>
      <c r="O38" s="2" t="str">
        <f>IF(银币!O39="","",银币!$B39*银币!O39)</f>
        <v/>
      </c>
      <c r="P38" s="2">
        <f>IF(银币!P39="","",银币!$B39*银币!P39)</f>
        <v>18500</v>
      </c>
      <c r="Q38" s="2">
        <f>IF(银币!Q39="","",银币!$B39*银币!Q39)</f>
        <v>185000</v>
      </c>
      <c r="R38" s="2" t="str">
        <f>IF(银币!R39="","",银币!$B39*银币!R39)</f>
        <v/>
      </c>
      <c r="S38" s="2">
        <f>IF(银币!S39="","",银币!$B39*银币!S39)</f>
        <v>37000</v>
      </c>
      <c r="T38" s="2">
        <f>IF(银币!T39="","",银币!$B39*银币!T39)</f>
        <v>37000</v>
      </c>
      <c r="U38" s="2">
        <f>IF(银币!U39="","",银币!$B39*银币!U39)</f>
        <v>0</v>
      </c>
      <c r="V38" s="2">
        <f>IF(银币!V39="","",银币!$B39*银币!V39)</f>
        <v>55500</v>
      </c>
      <c r="W38" s="2">
        <f>IF(银币!W39="","",银币!$B39*银币!W39)</f>
        <v>37000</v>
      </c>
      <c r="X38" s="2">
        <f>IF(银币!X39="","",银币!$B39*银币!X39)</f>
        <v>37000</v>
      </c>
      <c r="Y38" s="2">
        <f>IF(银币!Y39="","",银币!$B39*银币!Y39)</f>
        <v>0</v>
      </c>
      <c r="Z38" s="2">
        <f>IF(银币!Z39="","",银币!$B39*银币!Z39)</f>
        <v>0</v>
      </c>
      <c r="AA38" s="2">
        <f>IF(银币!AA39="","",银币!$B39*银币!AA39)</f>
        <v>0</v>
      </c>
      <c r="AB38" s="2" t="str">
        <f>IF(银币!AB39="","",银币!$B39*银币!AB39)</f>
        <v/>
      </c>
      <c r="AC38" s="2" t="str">
        <f>IF(银币!AC39="","",银币!$B39*银币!AC39)</f>
        <v/>
      </c>
      <c r="AD38" s="2" t="str">
        <f>IF(银币!AD39="","",银币!$B39*银币!AD39)</f>
        <v/>
      </c>
      <c r="AE38" s="2" t="str">
        <f>IF(银币!AE39="","",银币!$B39*银币!AE39)</f>
        <v/>
      </c>
      <c r="AF38" s="2">
        <f>银币!AI39</f>
        <v>37000</v>
      </c>
    </row>
    <row r="39" spans="1:32">
      <c r="A39" s="58">
        <v>38</v>
      </c>
      <c r="B39" s="96">
        <f>银币!B40</f>
        <v>38000</v>
      </c>
      <c r="C39" s="2">
        <f>IF(银币!C40="","",银币!$B40*银币!C40)</f>
        <v>152000</v>
      </c>
      <c r="D39" s="2">
        <f>IF(银币!D40="","",银币!$B40*银币!D40)</f>
        <v>62700</v>
      </c>
      <c r="E39" s="2">
        <f>IF(银币!E40="","",银币!$B40*银币!E40)</f>
        <v>19000</v>
      </c>
      <c r="F39" s="2">
        <f>IF(银币!F40="","",银币!$B40*银币!F40)</f>
        <v>0</v>
      </c>
      <c r="G39" s="2" t="str">
        <f>IF(银币!G40="","",银币!$B40*银币!G40)</f>
        <v/>
      </c>
      <c r="H39" s="2" t="str">
        <f>IF(银币!H40="","",银币!$B40*银币!H40)</f>
        <v/>
      </c>
      <c r="I39" s="2" t="str">
        <f>IF(银币!I40="","",银币!$B40*银币!I40)</f>
        <v/>
      </c>
      <c r="J39" s="2" t="str">
        <f>IF(银币!J40="","",银币!$B40*银币!J40)</f>
        <v/>
      </c>
      <c r="K39" s="2">
        <f>IF(银币!K40="","",银币!$B40*银币!K40)</f>
        <v>38000</v>
      </c>
      <c r="L39" s="2">
        <f>IF(银币!L40="","",银币!$B40*银币!L40)</f>
        <v>38000</v>
      </c>
      <c r="M39" s="2" t="str">
        <f>IF(银币!M40="","",银币!$B40*银币!M40)</f>
        <v/>
      </c>
      <c r="N39" s="2" t="str">
        <f>IF(银币!N40="","",银币!$B40*银币!N40)</f>
        <v/>
      </c>
      <c r="O39" s="2" t="str">
        <f>IF(银币!O40="","",银币!$B40*银币!O40)</f>
        <v/>
      </c>
      <c r="P39" s="2">
        <f>IF(银币!P40="","",银币!$B40*银币!P40)</f>
        <v>19000</v>
      </c>
      <c r="Q39" s="2">
        <f>IF(银币!Q40="","",银币!$B40*银币!Q40)</f>
        <v>190000</v>
      </c>
      <c r="R39" s="2" t="str">
        <f>IF(银币!R40="","",银币!$B40*银币!R40)</f>
        <v/>
      </c>
      <c r="S39" s="2">
        <f>IF(银币!S40="","",银币!$B40*银币!S40)</f>
        <v>38000</v>
      </c>
      <c r="T39" s="2">
        <f>IF(银币!T40="","",银币!$B40*银币!T40)</f>
        <v>38000</v>
      </c>
      <c r="U39" s="2">
        <f>IF(银币!U40="","",银币!$B40*银币!U40)</f>
        <v>0</v>
      </c>
      <c r="V39" s="2">
        <f>IF(银币!V40="","",银币!$B40*银币!V40)</f>
        <v>57000</v>
      </c>
      <c r="W39" s="2">
        <f>IF(银币!W40="","",银币!$B40*银币!W40)</f>
        <v>38000</v>
      </c>
      <c r="X39" s="2">
        <f>IF(银币!X40="","",银币!$B40*银币!X40)</f>
        <v>38000</v>
      </c>
      <c r="Y39" s="2">
        <f>IF(银币!Y40="","",银币!$B40*银币!Y40)</f>
        <v>0</v>
      </c>
      <c r="Z39" s="2">
        <f>IF(银币!Z40="","",银币!$B40*银币!Z40)</f>
        <v>0</v>
      </c>
      <c r="AA39" s="2">
        <f>IF(银币!AA40="","",银币!$B40*银币!AA40)</f>
        <v>0</v>
      </c>
      <c r="AB39" s="2" t="str">
        <f>IF(银币!AB40="","",银币!$B40*银币!AB40)</f>
        <v/>
      </c>
      <c r="AC39" s="2" t="str">
        <f>IF(银币!AC40="","",银币!$B40*银币!AC40)</f>
        <v/>
      </c>
      <c r="AD39" s="2" t="str">
        <f>IF(银币!AD40="","",银币!$B40*银币!AD40)</f>
        <v/>
      </c>
      <c r="AE39" s="2" t="str">
        <f>IF(银币!AE40="","",银币!$B40*银币!AE40)</f>
        <v/>
      </c>
      <c r="AF39" s="2">
        <f>银币!AI40</f>
        <v>38000</v>
      </c>
    </row>
    <row r="40" spans="1:32">
      <c r="A40" s="58">
        <v>39</v>
      </c>
      <c r="B40" s="96">
        <f>银币!B41</f>
        <v>39000</v>
      </c>
      <c r="C40" s="2">
        <f>IF(银币!C41="","",银币!$B41*银币!C41)</f>
        <v>156000</v>
      </c>
      <c r="D40" s="2">
        <f>IF(银币!D41="","",银币!$B41*银币!D41)</f>
        <v>64350</v>
      </c>
      <c r="E40" s="2">
        <f>IF(银币!E41="","",银币!$B41*银币!E41)</f>
        <v>19500</v>
      </c>
      <c r="F40" s="2">
        <f>IF(银币!F41="","",银币!$B41*银币!F41)</f>
        <v>0</v>
      </c>
      <c r="G40" s="2" t="str">
        <f>IF(银币!G41="","",银币!$B41*银币!G41)</f>
        <v/>
      </c>
      <c r="H40" s="2" t="str">
        <f>IF(银币!H41="","",银币!$B41*银币!H41)</f>
        <v/>
      </c>
      <c r="I40" s="2" t="str">
        <f>IF(银币!I41="","",银币!$B41*银币!I41)</f>
        <v/>
      </c>
      <c r="J40" s="2" t="str">
        <f>IF(银币!J41="","",银币!$B41*银币!J41)</f>
        <v/>
      </c>
      <c r="K40" s="2">
        <f>IF(银币!K41="","",银币!$B41*银币!K41)</f>
        <v>39000</v>
      </c>
      <c r="L40" s="2">
        <f>IF(银币!L41="","",银币!$B41*银币!L41)</f>
        <v>39000</v>
      </c>
      <c r="M40" s="2" t="str">
        <f>IF(银币!M41="","",银币!$B41*银币!M41)</f>
        <v/>
      </c>
      <c r="N40" s="2" t="str">
        <f>IF(银币!N41="","",银币!$B41*银币!N41)</f>
        <v/>
      </c>
      <c r="O40" s="2" t="str">
        <f>IF(银币!O41="","",银币!$B41*银币!O41)</f>
        <v/>
      </c>
      <c r="P40" s="2">
        <f>IF(银币!P41="","",银币!$B41*银币!P41)</f>
        <v>19500</v>
      </c>
      <c r="Q40" s="2">
        <f>IF(银币!Q41="","",银币!$B41*银币!Q41)</f>
        <v>195000</v>
      </c>
      <c r="R40" s="2" t="str">
        <f>IF(银币!R41="","",银币!$B41*银币!R41)</f>
        <v/>
      </c>
      <c r="S40" s="2">
        <f>IF(银币!S41="","",银币!$B41*银币!S41)</f>
        <v>39000</v>
      </c>
      <c r="T40" s="2">
        <f>IF(银币!T41="","",银币!$B41*银币!T41)</f>
        <v>39000</v>
      </c>
      <c r="U40" s="2">
        <f>IF(银币!U41="","",银币!$B41*银币!U41)</f>
        <v>0</v>
      </c>
      <c r="V40" s="2">
        <f>IF(银币!V41="","",银币!$B41*银币!V41)</f>
        <v>58500</v>
      </c>
      <c r="W40" s="2">
        <f>IF(银币!W41="","",银币!$B41*银币!W41)</f>
        <v>39000</v>
      </c>
      <c r="X40" s="2">
        <f>IF(银币!X41="","",银币!$B41*银币!X41)</f>
        <v>39000</v>
      </c>
      <c r="Y40" s="2">
        <f>IF(银币!Y41="","",银币!$B41*银币!Y41)</f>
        <v>0</v>
      </c>
      <c r="Z40" s="2">
        <f>IF(银币!Z41="","",银币!$B41*银币!Z41)</f>
        <v>0</v>
      </c>
      <c r="AA40" s="2">
        <f>IF(银币!AA41="","",银币!$B41*银币!AA41)</f>
        <v>0</v>
      </c>
      <c r="AB40" s="2" t="str">
        <f>IF(银币!AB41="","",银币!$B41*银币!AB41)</f>
        <v/>
      </c>
      <c r="AC40" s="2" t="str">
        <f>IF(银币!AC41="","",银币!$B41*银币!AC41)</f>
        <v/>
      </c>
      <c r="AD40" s="2" t="str">
        <f>IF(银币!AD41="","",银币!$B41*银币!AD41)</f>
        <v/>
      </c>
      <c r="AE40" s="2" t="str">
        <f>IF(银币!AE41="","",银币!$B41*银币!AE41)</f>
        <v/>
      </c>
      <c r="AF40" s="2">
        <f>银币!AI41</f>
        <v>39000</v>
      </c>
    </row>
    <row r="41" spans="1:32">
      <c r="A41" s="58">
        <v>40</v>
      </c>
      <c r="B41" s="96">
        <f>银币!B42</f>
        <v>40000</v>
      </c>
      <c r="C41" s="2">
        <f>IF(银币!C42="","",银币!$B42*银币!C42)</f>
        <v>160000</v>
      </c>
      <c r="D41" s="2">
        <f>IF(银币!D42="","",银币!$B42*银币!D42)</f>
        <v>66000</v>
      </c>
      <c r="E41" s="2">
        <f>IF(银币!E42="","",银币!$B42*银币!E42)</f>
        <v>20000</v>
      </c>
      <c r="F41" s="2">
        <f>IF(银币!F42="","",银币!$B42*银币!F42)</f>
        <v>40000</v>
      </c>
      <c r="G41" s="2" t="str">
        <f>IF(银币!G42="","",银币!$B42*银币!G42)</f>
        <v/>
      </c>
      <c r="H41" s="2" t="str">
        <f>IF(银币!H42="","",银币!$B42*银币!H42)</f>
        <v/>
      </c>
      <c r="I41" s="2" t="str">
        <f>IF(银币!I42="","",银币!$B42*银币!I42)</f>
        <v/>
      </c>
      <c r="J41" s="2" t="str">
        <f>IF(银币!J42="","",银币!$B42*银币!J42)</f>
        <v/>
      </c>
      <c r="K41" s="2">
        <f>IF(银币!K42="","",银币!$B42*银币!K42)</f>
        <v>40000</v>
      </c>
      <c r="L41" s="2">
        <f>IF(银币!L42="","",银币!$B42*银币!L42)</f>
        <v>40000</v>
      </c>
      <c r="M41" s="2" t="str">
        <f>IF(银币!M42="","",银币!$B42*银币!M42)</f>
        <v/>
      </c>
      <c r="N41" s="2" t="str">
        <f>IF(银币!N42="","",银币!$B42*银币!N42)</f>
        <v/>
      </c>
      <c r="O41" s="2" t="str">
        <f>IF(银币!O42="","",银币!$B42*银币!O42)</f>
        <v/>
      </c>
      <c r="P41" s="2">
        <f>IF(银币!P42="","",银币!$B42*银币!P42)</f>
        <v>20000</v>
      </c>
      <c r="Q41" s="2">
        <f>IF(银币!Q42="","",银币!$B42*银币!Q42)</f>
        <v>200000</v>
      </c>
      <c r="R41" s="2" t="str">
        <f>IF(银币!R42="","",银币!$B42*银币!R42)</f>
        <v/>
      </c>
      <c r="S41" s="2">
        <f>IF(银币!S42="","",银币!$B42*银币!S42)</f>
        <v>40000</v>
      </c>
      <c r="T41" s="2">
        <f>IF(银币!T42="","",银币!$B42*银币!T42)</f>
        <v>40000</v>
      </c>
      <c r="U41" s="2">
        <f>IF(银币!U42="","",银币!$B42*银币!U42)</f>
        <v>0</v>
      </c>
      <c r="V41" s="2">
        <f>IF(银币!V42="","",银币!$B42*银币!V42)</f>
        <v>60000</v>
      </c>
      <c r="W41" s="2">
        <f>IF(银币!W42="","",银币!$B42*银币!W42)</f>
        <v>40000</v>
      </c>
      <c r="X41" s="2">
        <f>IF(银币!X42="","",银币!$B42*银币!X42)</f>
        <v>40000</v>
      </c>
      <c r="Y41" s="2">
        <f>IF(银币!Y42="","",银币!$B42*银币!Y42)</f>
        <v>40000</v>
      </c>
      <c r="Z41" s="2">
        <f>IF(银币!Z42="","",银币!$B42*银币!Z42)</f>
        <v>120000</v>
      </c>
      <c r="AA41" s="2">
        <f>IF(银币!AA42="","",银币!$B42*银币!AA42)</f>
        <v>20000</v>
      </c>
      <c r="AB41" s="2" t="str">
        <f>IF(银币!AB42="","",银币!$B42*银币!AB42)</f>
        <v/>
      </c>
      <c r="AC41" s="2" t="str">
        <f>IF(银币!AC42="","",银币!$B42*银币!AC42)</f>
        <v/>
      </c>
      <c r="AD41" s="2" t="str">
        <f>IF(银币!AD42="","",银币!$B42*银币!AD42)</f>
        <v/>
      </c>
      <c r="AE41" s="2" t="str">
        <f>IF(银币!AE42="","",银币!$B42*银币!AE42)</f>
        <v/>
      </c>
      <c r="AF41" s="2">
        <f>银币!AI42</f>
        <v>40000</v>
      </c>
    </row>
    <row r="42" spans="1:32">
      <c r="A42" s="58">
        <v>41</v>
      </c>
      <c r="B42" s="96">
        <f>银币!B43</f>
        <v>41000</v>
      </c>
      <c r="C42" s="2">
        <f>IF(银币!C43="","",银币!$B43*银币!C43)</f>
        <v>164000</v>
      </c>
      <c r="D42" s="2">
        <f>IF(银币!D43="","",银币!$B43*银币!D43)</f>
        <v>67650</v>
      </c>
      <c r="E42" s="2">
        <f>IF(银币!E43="","",银币!$B43*银币!E43)</f>
        <v>20500</v>
      </c>
      <c r="F42" s="2">
        <f>IF(银币!F43="","",银币!$B43*银币!F43)</f>
        <v>41000</v>
      </c>
      <c r="G42" s="2" t="str">
        <f>IF(银币!G43="","",银币!$B43*银币!G43)</f>
        <v/>
      </c>
      <c r="H42" s="2" t="str">
        <f>IF(银币!H43="","",银币!$B43*银币!H43)</f>
        <v/>
      </c>
      <c r="I42" s="2" t="str">
        <f>IF(银币!I43="","",银币!$B43*银币!I43)</f>
        <v/>
      </c>
      <c r="J42" s="2" t="str">
        <f>IF(银币!J43="","",银币!$B43*银币!J43)</f>
        <v/>
      </c>
      <c r="K42" s="2">
        <f>IF(银币!K43="","",银币!$B43*银币!K43)</f>
        <v>41000</v>
      </c>
      <c r="L42" s="2">
        <f>IF(银币!L43="","",银币!$B43*银币!L43)</f>
        <v>41000</v>
      </c>
      <c r="M42" s="2" t="str">
        <f>IF(银币!M43="","",银币!$B43*银币!M43)</f>
        <v/>
      </c>
      <c r="N42" s="2" t="str">
        <f>IF(银币!N43="","",银币!$B43*银币!N43)</f>
        <v/>
      </c>
      <c r="O42" s="2" t="str">
        <f>IF(银币!O43="","",银币!$B43*银币!O43)</f>
        <v/>
      </c>
      <c r="P42" s="2">
        <f>IF(银币!P43="","",银币!$B43*银币!P43)</f>
        <v>20500</v>
      </c>
      <c r="Q42" s="2">
        <f>IF(银币!Q43="","",银币!$B43*银币!Q43)</f>
        <v>205000</v>
      </c>
      <c r="R42" s="2" t="str">
        <f>IF(银币!R43="","",银币!$B43*银币!R43)</f>
        <v/>
      </c>
      <c r="S42" s="2">
        <f>IF(银币!S43="","",银币!$B43*银币!S43)</f>
        <v>41000</v>
      </c>
      <c r="T42" s="2">
        <f>IF(银币!T43="","",银币!$B43*银币!T43)</f>
        <v>41000</v>
      </c>
      <c r="U42" s="2">
        <f>IF(银币!U43="","",银币!$B43*银币!U43)</f>
        <v>0</v>
      </c>
      <c r="V42" s="2">
        <f>IF(银币!V43="","",银币!$B43*银币!V43)</f>
        <v>61500</v>
      </c>
      <c r="W42" s="2">
        <f>IF(银币!W43="","",银币!$B43*银币!W43)</f>
        <v>41000</v>
      </c>
      <c r="X42" s="2">
        <f>IF(银币!X43="","",银币!$B43*银币!X43)</f>
        <v>41000</v>
      </c>
      <c r="Y42" s="2">
        <f>IF(银币!Y43="","",银币!$B43*银币!Y43)</f>
        <v>41000</v>
      </c>
      <c r="Z42" s="2">
        <f>IF(银币!Z43="","",银币!$B43*银币!Z43)</f>
        <v>123000</v>
      </c>
      <c r="AA42" s="2">
        <f>IF(银币!AA43="","",银币!$B43*银币!AA43)</f>
        <v>20500</v>
      </c>
      <c r="AB42" s="2" t="str">
        <f>IF(银币!AB43="","",银币!$B43*银币!AB43)</f>
        <v/>
      </c>
      <c r="AC42" s="2" t="str">
        <f>IF(银币!AC43="","",银币!$B43*银币!AC43)</f>
        <v/>
      </c>
      <c r="AD42" s="2" t="str">
        <f>IF(银币!AD43="","",银币!$B43*银币!AD43)</f>
        <v/>
      </c>
      <c r="AE42" s="2" t="str">
        <f>IF(银币!AE43="","",银币!$B43*银币!AE43)</f>
        <v/>
      </c>
      <c r="AF42" s="2">
        <f>银币!AI43</f>
        <v>45100</v>
      </c>
    </row>
    <row r="43" spans="1:32">
      <c r="A43" s="58">
        <v>42</v>
      </c>
      <c r="B43" s="96">
        <f>银币!B44</f>
        <v>42000</v>
      </c>
      <c r="C43" s="2">
        <f>IF(银币!C44="","",银币!$B44*银币!C44)</f>
        <v>168000</v>
      </c>
      <c r="D43" s="2">
        <f>IF(银币!D44="","",银币!$B44*银币!D44)</f>
        <v>69300</v>
      </c>
      <c r="E43" s="2">
        <f>IF(银币!E44="","",银币!$B44*银币!E44)</f>
        <v>21000</v>
      </c>
      <c r="F43" s="2">
        <f>IF(银币!F44="","",银币!$B44*银币!F44)</f>
        <v>42000</v>
      </c>
      <c r="G43" s="2" t="str">
        <f>IF(银币!G44="","",银币!$B44*银币!G44)</f>
        <v/>
      </c>
      <c r="H43" s="2" t="str">
        <f>IF(银币!H44="","",银币!$B44*银币!H44)</f>
        <v/>
      </c>
      <c r="I43" s="2" t="str">
        <f>IF(银币!I44="","",银币!$B44*银币!I44)</f>
        <v/>
      </c>
      <c r="J43" s="2" t="str">
        <f>IF(银币!J44="","",银币!$B44*银币!J44)</f>
        <v/>
      </c>
      <c r="K43" s="2">
        <f>IF(银币!K44="","",银币!$B44*银币!K44)</f>
        <v>42000</v>
      </c>
      <c r="L43" s="2">
        <f>IF(银币!L44="","",银币!$B44*银币!L44)</f>
        <v>42000</v>
      </c>
      <c r="M43" s="2" t="str">
        <f>IF(银币!M44="","",银币!$B44*银币!M44)</f>
        <v/>
      </c>
      <c r="N43" s="2" t="str">
        <f>IF(银币!N44="","",银币!$B44*银币!N44)</f>
        <v/>
      </c>
      <c r="O43" s="2" t="str">
        <f>IF(银币!O44="","",银币!$B44*银币!O44)</f>
        <v/>
      </c>
      <c r="P43" s="2">
        <f>IF(银币!P44="","",银币!$B44*银币!P44)</f>
        <v>21000</v>
      </c>
      <c r="Q43" s="2">
        <f>IF(银币!Q44="","",银币!$B44*银币!Q44)</f>
        <v>210000</v>
      </c>
      <c r="R43" s="2" t="str">
        <f>IF(银币!R44="","",银币!$B44*银币!R44)</f>
        <v/>
      </c>
      <c r="S43" s="2">
        <f>IF(银币!S44="","",银币!$B44*银币!S44)</f>
        <v>42000</v>
      </c>
      <c r="T43" s="2">
        <f>IF(银币!T44="","",银币!$B44*银币!T44)</f>
        <v>42000</v>
      </c>
      <c r="U43" s="2">
        <f>IF(银币!U44="","",银币!$B44*银币!U44)</f>
        <v>0</v>
      </c>
      <c r="V43" s="2">
        <f>IF(银币!V44="","",银币!$B44*银币!V44)</f>
        <v>63000</v>
      </c>
      <c r="W43" s="2">
        <f>IF(银币!W44="","",银币!$B44*银币!W44)</f>
        <v>42000</v>
      </c>
      <c r="X43" s="2">
        <f>IF(银币!X44="","",银币!$B44*银币!X44)</f>
        <v>42000</v>
      </c>
      <c r="Y43" s="2">
        <f>IF(银币!Y44="","",银币!$B44*银币!Y44)</f>
        <v>42000</v>
      </c>
      <c r="Z43" s="2">
        <f>IF(银币!Z44="","",银币!$B44*银币!Z44)</f>
        <v>126000</v>
      </c>
      <c r="AA43" s="2">
        <f>IF(银币!AA44="","",银币!$B44*银币!AA44)</f>
        <v>21000</v>
      </c>
      <c r="AB43" s="2" t="str">
        <f>IF(银币!AB44="","",银币!$B44*银币!AB44)</f>
        <v/>
      </c>
      <c r="AC43" s="2" t="str">
        <f>IF(银币!AC44="","",银币!$B44*银币!AC44)</f>
        <v/>
      </c>
      <c r="AD43" s="2" t="str">
        <f>IF(银币!AD44="","",银币!$B44*银币!AD44)</f>
        <v/>
      </c>
      <c r="AE43" s="2" t="str">
        <f>IF(银币!AE44="","",银币!$B44*银币!AE44)</f>
        <v/>
      </c>
      <c r="AF43" s="2">
        <f>银币!AI44</f>
        <v>50400</v>
      </c>
    </row>
    <row r="44" spans="1:32">
      <c r="A44" s="58">
        <v>43</v>
      </c>
      <c r="B44" s="96">
        <f>银币!B45</f>
        <v>43000</v>
      </c>
      <c r="C44" s="2">
        <f>IF(银币!C45="","",银币!$B45*银币!C45)</f>
        <v>172000</v>
      </c>
      <c r="D44" s="2">
        <f>IF(银币!D45="","",银币!$B45*银币!D45)</f>
        <v>70950</v>
      </c>
      <c r="E44" s="2">
        <f>IF(银币!E45="","",银币!$B45*银币!E45)</f>
        <v>21500</v>
      </c>
      <c r="F44" s="2">
        <f>IF(银币!F45="","",银币!$B45*银币!F45)</f>
        <v>43000</v>
      </c>
      <c r="G44" s="2" t="str">
        <f>IF(银币!G45="","",银币!$B45*银币!G45)</f>
        <v/>
      </c>
      <c r="H44" s="2" t="str">
        <f>IF(银币!H45="","",银币!$B45*银币!H45)</f>
        <v/>
      </c>
      <c r="I44" s="2" t="str">
        <f>IF(银币!I45="","",银币!$B45*银币!I45)</f>
        <v/>
      </c>
      <c r="J44" s="2" t="str">
        <f>IF(银币!J45="","",银币!$B45*银币!J45)</f>
        <v/>
      </c>
      <c r="K44" s="2">
        <f>IF(银币!K45="","",银币!$B45*银币!K45)</f>
        <v>43000</v>
      </c>
      <c r="L44" s="2">
        <f>IF(银币!L45="","",银币!$B45*银币!L45)</f>
        <v>43000</v>
      </c>
      <c r="M44" s="2" t="str">
        <f>IF(银币!M45="","",银币!$B45*银币!M45)</f>
        <v/>
      </c>
      <c r="N44" s="2" t="str">
        <f>IF(银币!N45="","",银币!$B45*银币!N45)</f>
        <v/>
      </c>
      <c r="O44" s="2" t="str">
        <f>IF(银币!O45="","",银币!$B45*银币!O45)</f>
        <v/>
      </c>
      <c r="P44" s="2">
        <f>IF(银币!P45="","",银币!$B45*银币!P45)</f>
        <v>21500</v>
      </c>
      <c r="Q44" s="2">
        <f>IF(银币!Q45="","",银币!$B45*银币!Q45)</f>
        <v>215000</v>
      </c>
      <c r="R44" s="2" t="str">
        <f>IF(银币!R45="","",银币!$B45*银币!R45)</f>
        <v/>
      </c>
      <c r="S44" s="2">
        <f>IF(银币!S45="","",银币!$B45*银币!S45)</f>
        <v>43000</v>
      </c>
      <c r="T44" s="2">
        <f>IF(银币!T45="","",银币!$B45*银币!T45)</f>
        <v>43000</v>
      </c>
      <c r="U44" s="2">
        <f>IF(银币!U45="","",银币!$B45*银币!U45)</f>
        <v>0</v>
      </c>
      <c r="V44" s="2">
        <f>IF(银币!V45="","",银币!$B45*银币!V45)</f>
        <v>64500</v>
      </c>
      <c r="W44" s="2">
        <f>IF(银币!W45="","",银币!$B45*银币!W45)</f>
        <v>43000</v>
      </c>
      <c r="X44" s="2">
        <f>IF(银币!X45="","",银币!$B45*银币!X45)</f>
        <v>43000</v>
      </c>
      <c r="Y44" s="2">
        <f>IF(银币!Y45="","",银币!$B45*银币!Y45)</f>
        <v>43000</v>
      </c>
      <c r="Z44" s="2">
        <f>IF(银币!Z45="","",银币!$B45*银币!Z45)</f>
        <v>129000</v>
      </c>
      <c r="AA44" s="2">
        <f>IF(银币!AA45="","",银币!$B45*银币!AA45)</f>
        <v>21500</v>
      </c>
      <c r="AB44" s="2" t="str">
        <f>IF(银币!AB45="","",银币!$B45*银币!AB45)</f>
        <v/>
      </c>
      <c r="AC44" s="2" t="str">
        <f>IF(银币!AC45="","",银币!$B45*银币!AC45)</f>
        <v/>
      </c>
      <c r="AD44" s="2" t="str">
        <f>IF(银币!AD45="","",银币!$B45*银币!AD45)</f>
        <v/>
      </c>
      <c r="AE44" s="2" t="str">
        <f>IF(银币!AE45="","",银币!$B45*银币!AE45)</f>
        <v/>
      </c>
      <c r="AF44" s="2">
        <f>银币!AI45</f>
        <v>55900</v>
      </c>
    </row>
    <row r="45" spans="1:32">
      <c r="A45" s="58">
        <v>44</v>
      </c>
      <c r="B45" s="96">
        <f>银币!B46</f>
        <v>44000</v>
      </c>
      <c r="C45" s="2">
        <f>IF(银币!C46="","",银币!$B46*银币!C46)</f>
        <v>176000</v>
      </c>
      <c r="D45" s="2">
        <f>IF(银币!D46="","",银币!$B46*银币!D46)</f>
        <v>72600</v>
      </c>
      <c r="E45" s="2">
        <f>IF(银币!E46="","",银币!$B46*银币!E46)</f>
        <v>22000</v>
      </c>
      <c r="F45" s="2">
        <f>IF(银币!F46="","",银币!$B46*银币!F46)</f>
        <v>44000</v>
      </c>
      <c r="G45" s="2" t="str">
        <f>IF(银币!G46="","",银币!$B46*银币!G46)</f>
        <v/>
      </c>
      <c r="H45" s="2" t="str">
        <f>IF(银币!H46="","",银币!$B46*银币!H46)</f>
        <v/>
      </c>
      <c r="I45" s="2" t="str">
        <f>IF(银币!I46="","",银币!$B46*银币!I46)</f>
        <v/>
      </c>
      <c r="J45" s="2" t="str">
        <f>IF(银币!J46="","",银币!$B46*银币!J46)</f>
        <v/>
      </c>
      <c r="K45" s="2">
        <f>IF(银币!K46="","",银币!$B46*银币!K46)</f>
        <v>44000</v>
      </c>
      <c r="L45" s="2">
        <f>IF(银币!L46="","",银币!$B46*银币!L46)</f>
        <v>44000</v>
      </c>
      <c r="M45" s="2" t="str">
        <f>IF(银币!M46="","",银币!$B46*银币!M46)</f>
        <v/>
      </c>
      <c r="N45" s="2" t="str">
        <f>IF(银币!N46="","",银币!$B46*银币!N46)</f>
        <v/>
      </c>
      <c r="O45" s="2" t="str">
        <f>IF(银币!O46="","",银币!$B46*银币!O46)</f>
        <v/>
      </c>
      <c r="P45" s="2">
        <f>IF(银币!P46="","",银币!$B46*银币!P46)</f>
        <v>22000</v>
      </c>
      <c r="Q45" s="2">
        <f>IF(银币!Q46="","",银币!$B46*银币!Q46)</f>
        <v>220000</v>
      </c>
      <c r="R45" s="2" t="str">
        <f>IF(银币!R46="","",银币!$B46*银币!R46)</f>
        <v/>
      </c>
      <c r="S45" s="2">
        <f>IF(银币!S46="","",银币!$B46*银币!S46)</f>
        <v>44000</v>
      </c>
      <c r="T45" s="2">
        <f>IF(银币!T46="","",银币!$B46*银币!T46)</f>
        <v>44000</v>
      </c>
      <c r="U45" s="2">
        <f>IF(银币!U46="","",银币!$B46*银币!U46)</f>
        <v>0</v>
      </c>
      <c r="V45" s="2">
        <f>IF(银币!V46="","",银币!$B46*银币!V46)</f>
        <v>66000</v>
      </c>
      <c r="W45" s="2">
        <f>IF(银币!W46="","",银币!$B46*银币!W46)</f>
        <v>44000</v>
      </c>
      <c r="X45" s="2">
        <f>IF(银币!X46="","",银币!$B46*银币!X46)</f>
        <v>44000</v>
      </c>
      <c r="Y45" s="2">
        <f>IF(银币!Y46="","",银币!$B46*银币!Y46)</f>
        <v>44000</v>
      </c>
      <c r="Z45" s="2">
        <f>IF(银币!Z46="","",银币!$B46*银币!Z46)</f>
        <v>132000</v>
      </c>
      <c r="AA45" s="2">
        <f>IF(银币!AA46="","",银币!$B46*银币!AA46)</f>
        <v>22000</v>
      </c>
      <c r="AB45" s="2" t="str">
        <f>IF(银币!AB46="","",银币!$B46*银币!AB46)</f>
        <v/>
      </c>
      <c r="AC45" s="2" t="str">
        <f>IF(银币!AC46="","",银币!$B46*银币!AC46)</f>
        <v/>
      </c>
      <c r="AD45" s="2" t="str">
        <f>IF(银币!AD46="","",银币!$B46*银币!AD46)</f>
        <v/>
      </c>
      <c r="AE45" s="2" t="str">
        <f>IF(银币!AE46="","",银币!$B46*银币!AE46)</f>
        <v/>
      </c>
      <c r="AF45" s="2">
        <f>银币!AI46</f>
        <v>61600</v>
      </c>
    </row>
    <row r="46" spans="1:32">
      <c r="A46" s="58">
        <v>45</v>
      </c>
      <c r="B46" s="96">
        <f>银币!B47</f>
        <v>45000</v>
      </c>
      <c r="C46" s="2">
        <f>IF(银币!C47="","",银币!$B47*银币!C47)</f>
        <v>180000</v>
      </c>
      <c r="D46" s="2">
        <f>IF(银币!D47="","",银币!$B47*银币!D47)</f>
        <v>74250</v>
      </c>
      <c r="E46" s="2">
        <f>IF(银币!E47="","",银币!$B47*银币!E47)</f>
        <v>22500</v>
      </c>
      <c r="F46" s="2">
        <f>IF(银币!F47="","",银币!$B47*银币!F47)</f>
        <v>45000</v>
      </c>
      <c r="G46" s="2" t="str">
        <f>IF(银币!G47="","",银币!$B47*银币!G47)</f>
        <v/>
      </c>
      <c r="H46" s="2" t="str">
        <f>IF(银币!H47="","",银币!$B47*银币!H47)</f>
        <v/>
      </c>
      <c r="I46" s="2" t="str">
        <f>IF(银币!I47="","",银币!$B47*银币!I47)</f>
        <v/>
      </c>
      <c r="J46" s="2" t="str">
        <f>IF(银币!J47="","",银币!$B47*银币!J47)</f>
        <v/>
      </c>
      <c r="K46" s="2">
        <f>IF(银币!K47="","",银币!$B47*银币!K47)</f>
        <v>45000</v>
      </c>
      <c r="L46" s="2">
        <f>IF(银币!L47="","",银币!$B47*银币!L47)</f>
        <v>45000</v>
      </c>
      <c r="M46" s="2" t="str">
        <f>IF(银币!M47="","",银币!$B47*银币!M47)</f>
        <v/>
      </c>
      <c r="N46" s="2" t="str">
        <f>IF(银币!N47="","",银币!$B47*银币!N47)</f>
        <v/>
      </c>
      <c r="O46" s="2" t="str">
        <f>IF(银币!O47="","",银币!$B47*银币!O47)</f>
        <v/>
      </c>
      <c r="P46" s="2">
        <f>IF(银币!P47="","",银币!$B47*银币!P47)</f>
        <v>22500</v>
      </c>
      <c r="Q46" s="2">
        <f>IF(银币!Q47="","",银币!$B47*银币!Q47)</f>
        <v>225000</v>
      </c>
      <c r="R46" s="2" t="str">
        <f>IF(银币!R47="","",银币!$B47*银币!R47)</f>
        <v/>
      </c>
      <c r="S46" s="2">
        <f>IF(银币!S47="","",银币!$B47*银币!S47)</f>
        <v>45000</v>
      </c>
      <c r="T46" s="2">
        <f>IF(银币!T47="","",银币!$B47*银币!T47)</f>
        <v>45000</v>
      </c>
      <c r="U46" s="2">
        <f>IF(银币!U47="","",银币!$B47*银币!U47)</f>
        <v>0</v>
      </c>
      <c r="V46" s="2">
        <f>IF(银币!V47="","",银币!$B47*银币!V47)</f>
        <v>67500</v>
      </c>
      <c r="W46" s="2">
        <f>IF(银币!W47="","",银币!$B47*银币!W47)</f>
        <v>45000</v>
      </c>
      <c r="X46" s="2">
        <f>IF(银币!X47="","",银币!$B47*银币!X47)</f>
        <v>45000</v>
      </c>
      <c r="Y46" s="2">
        <f>IF(银币!Y47="","",银币!$B47*银币!Y47)</f>
        <v>45000</v>
      </c>
      <c r="Z46" s="2">
        <f>IF(银币!Z47="","",银币!$B47*银币!Z47)</f>
        <v>135000</v>
      </c>
      <c r="AA46" s="2">
        <f>IF(银币!AA47="","",银币!$B47*银币!AA47)</f>
        <v>22500</v>
      </c>
      <c r="AB46" s="2" t="str">
        <f>IF(银币!AB47="","",银币!$B47*银币!AB47)</f>
        <v/>
      </c>
      <c r="AC46" s="2" t="str">
        <f>IF(银币!AC47="","",银币!$B47*银币!AC47)</f>
        <v/>
      </c>
      <c r="AD46" s="2" t="str">
        <f>IF(银币!AD47="","",银币!$B47*银币!AD47)</f>
        <v/>
      </c>
      <c r="AE46" s="2" t="str">
        <f>IF(银币!AE47="","",银币!$B47*银币!AE47)</f>
        <v/>
      </c>
      <c r="AF46" s="2">
        <f>银币!AI47</f>
        <v>67500</v>
      </c>
    </row>
    <row r="47" spans="1:32">
      <c r="A47" s="58">
        <v>46</v>
      </c>
      <c r="B47" s="96">
        <f>银币!B48</f>
        <v>46000</v>
      </c>
      <c r="C47" s="2">
        <f>IF(银币!C48="","",银币!$B48*银币!C48)</f>
        <v>184000</v>
      </c>
      <c r="D47" s="2">
        <f>IF(银币!D48="","",银币!$B48*银币!D48)</f>
        <v>75900</v>
      </c>
      <c r="E47" s="2">
        <f>IF(银币!E48="","",银币!$B48*银币!E48)</f>
        <v>23000</v>
      </c>
      <c r="F47" s="2">
        <f>IF(银币!F48="","",银币!$B48*银币!F48)</f>
        <v>46000</v>
      </c>
      <c r="G47" s="2" t="str">
        <f>IF(银币!G48="","",银币!$B48*银币!G48)</f>
        <v/>
      </c>
      <c r="H47" s="2" t="str">
        <f>IF(银币!H48="","",银币!$B48*银币!H48)</f>
        <v/>
      </c>
      <c r="I47" s="2" t="str">
        <f>IF(银币!I48="","",银币!$B48*银币!I48)</f>
        <v/>
      </c>
      <c r="J47" s="2" t="str">
        <f>IF(银币!J48="","",银币!$B48*银币!J48)</f>
        <v/>
      </c>
      <c r="K47" s="2">
        <f>IF(银币!K48="","",银币!$B48*银币!K48)</f>
        <v>46000</v>
      </c>
      <c r="L47" s="2">
        <f>IF(银币!L48="","",银币!$B48*银币!L48)</f>
        <v>46000</v>
      </c>
      <c r="M47" s="2" t="str">
        <f>IF(银币!M48="","",银币!$B48*银币!M48)</f>
        <v/>
      </c>
      <c r="N47" s="2" t="str">
        <f>IF(银币!N48="","",银币!$B48*银币!N48)</f>
        <v/>
      </c>
      <c r="O47" s="2" t="str">
        <f>IF(银币!O48="","",银币!$B48*银币!O48)</f>
        <v/>
      </c>
      <c r="P47" s="2">
        <f>IF(银币!P48="","",银币!$B48*银币!P48)</f>
        <v>23000</v>
      </c>
      <c r="Q47" s="2">
        <f>IF(银币!Q48="","",银币!$B48*银币!Q48)</f>
        <v>230000</v>
      </c>
      <c r="R47" s="2" t="str">
        <f>IF(银币!R48="","",银币!$B48*银币!R48)</f>
        <v/>
      </c>
      <c r="S47" s="2">
        <f>IF(银币!S48="","",银币!$B48*银币!S48)</f>
        <v>46000</v>
      </c>
      <c r="T47" s="2">
        <f>IF(银币!T48="","",银币!$B48*银币!T48)</f>
        <v>46000</v>
      </c>
      <c r="U47" s="2">
        <f>IF(银币!U48="","",银币!$B48*银币!U48)</f>
        <v>0</v>
      </c>
      <c r="V47" s="2">
        <f>IF(银币!V48="","",银币!$B48*银币!V48)</f>
        <v>69000</v>
      </c>
      <c r="W47" s="2">
        <f>IF(银币!W48="","",银币!$B48*银币!W48)</f>
        <v>46000</v>
      </c>
      <c r="X47" s="2">
        <f>IF(银币!X48="","",银币!$B48*银币!X48)</f>
        <v>46000</v>
      </c>
      <c r="Y47" s="2">
        <f>IF(银币!Y48="","",银币!$B48*银币!Y48)</f>
        <v>46000</v>
      </c>
      <c r="Z47" s="2">
        <f>IF(银币!Z48="","",银币!$B48*银币!Z48)</f>
        <v>138000</v>
      </c>
      <c r="AA47" s="2">
        <f>IF(银币!AA48="","",银币!$B48*银币!AA48)</f>
        <v>23000</v>
      </c>
      <c r="AB47" s="2" t="str">
        <f>IF(银币!AB48="","",银币!$B48*银币!AB48)</f>
        <v/>
      </c>
      <c r="AC47" s="2" t="str">
        <f>IF(银币!AC48="","",银币!$B48*银币!AC48)</f>
        <v/>
      </c>
      <c r="AD47" s="2" t="str">
        <f>IF(银币!AD48="","",银币!$B48*银币!AD48)</f>
        <v/>
      </c>
      <c r="AE47" s="2" t="str">
        <f>IF(银币!AE48="","",银币!$B48*银币!AE48)</f>
        <v/>
      </c>
      <c r="AF47" s="2">
        <f>银币!AI48</f>
        <v>73600</v>
      </c>
    </row>
    <row r="48" spans="1:32">
      <c r="A48" s="58">
        <v>47</v>
      </c>
      <c r="B48" s="96">
        <f>银币!B49</f>
        <v>47000</v>
      </c>
      <c r="C48" s="2">
        <f>IF(银币!C49="","",银币!$B49*银币!C49)</f>
        <v>188000</v>
      </c>
      <c r="D48" s="2">
        <f>IF(银币!D49="","",银币!$B49*银币!D49)</f>
        <v>77550</v>
      </c>
      <c r="E48" s="2">
        <f>IF(银币!E49="","",银币!$B49*银币!E49)</f>
        <v>23500</v>
      </c>
      <c r="F48" s="2">
        <f>IF(银币!F49="","",银币!$B49*银币!F49)</f>
        <v>47000</v>
      </c>
      <c r="G48" s="2" t="str">
        <f>IF(银币!G49="","",银币!$B49*银币!G49)</f>
        <v/>
      </c>
      <c r="H48" s="2" t="str">
        <f>IF(银币!H49="","",银币!$B49*银币!H49)</f>
        <v/>
      </c>
      <c r="I48" s="2" t="str">
        <f>IF(银币!I49="","",银币!$B49*银币!I49)</f>
        <v/>
      </c>
      <c r="J48" s="2" t="str">
        <f>IF(银币!J49="","",银币!$B49*银币!J49)</f>
        <v/>
      </c>
      <c r="K48" s="2">
        <f>IF(银币!K49="","",银币!$B49*银币!K49)</f>
        <v>47000</v>
      </c>
      <c r="L48" s="2">
        <f>IF(银币!L49="","",银币!$B49*银币!L49)</f>
        <v>47000</v>
      </c>
      <c r="M48" s="2" t="str">
        <f>IF(银币!M49="","",银币!$B49*银币!M49)</f>
        <v/>
      </c>
      <c r="N48" s="2" t="str">
        <f>IF(银币!N49="","",银币!$B49*银币!N49)</f>
        <v/>
      </c>
      <c r="O48" s="2" t="str">
        <f>IF(银币!O49="","",银币!$B49*银币!O49)</f>
        <v/>
      </c>
      <c r="P48" s="2">
        <f>IF(银币!P49="","",银币!$B49*银币!P49)</f>
        <v>23500</v>
      </c>
      <c r="Q48" s="2">
        <f>IF(银币!Q49="","",银币!$B49*银币!Q49)</f>
        <v>235000</v>
      </c>
      <c r="R48" s="2" t="str">
        <f>IF(银币!R49="","",银币!$B49*银币!R49)</f>
        <v/>
      </c>
      <c r="S48" s="2">
        <f>IF(银币!S49="","",银币!$B49*银币!S49)</f>
        <v>47000</v>
      </c>
      <c r="T48" s="2">
        <f>IF(银币!T49="","",银币!$B49*银币!T49)</f>
        <v>47000</v>
      </c>
      <c r="U48" s="2">
        <f>IF(银币!U49="","",银币!$B49*银币!U49)</f>
        <v>0</v>
      </c>
      <c r="V48" s="2">
        <f>IF(银币!V49="","",银币!$B49*银币!V49)</f>
        <v>70500</v>
      </c>
      <c r="W48" s="2">
        <f>IF(银币!W49="","",银币!$B49*银币!W49)</f>
        <v>47000</v>
      </c>
      <c r="X48" s="2">
        <f>IF(银币!X49="","",银币!$B49*银币!X49)</f>
        <v>47000</v>
      </c>
      <c r="Y48" s="2">
        <f>IF(银币!Y49="","",银币!$B49*银币!Y49)</f>
        <v>47000</v>
      </c>
      <c r="Z48" s="2">
        <f>IF(银币!Z49="","",银币!$B49*银币!Z49)</f>
        <v>141000</v>
      </c>
      <c r="AA48" s="2">
        <f>IF(银币!AA49="","",银币!$B49*银币!AA49)</f>
        <v>23500</v>
      </c>
      <c r="AB48" s="2" t="str">
        <f>IF(银币!AB49="","",银币!$B49*银币!AB49)</f>
        <v/>
      </c>
      <c r="AC48" s="2" t="str">
        <f>IF(银币!AC49="","",银币!$B49*银币!AC49)</f>
        <v/>
      </c>
      <c r="AD48" s="2" t="str">
        <f>IF(银币!AD49="","",银币!$B49*银币!AD49)</f>
        <v/>
      </c>
      <c r="AE48" s="2" t="str">
        <f>IF(银币!AE49="","",银币!$B49*银币!AE49)</f>
        <v/>
      </c>
      <c r="AF48" s="2">
        <f>银币!AI49</f>
        <v>79900</v>
      </c>
    </row>
    <row r="49" spans="1:35">
      <c r="A49" s="58">
        <v>48</v>
      </c>
      <c r="B49" s="96">
        <f>银币!B50</f>
        <v>48000</v>
      </c>
      <c r="C49" s="2">
        <f>IF(银币!C50="","",银币!$B50*银币!C50)</f>
        <v>192000</v>
      </c>
      <c r="D49" s="2">
        <f>IF(银币!D50="","",银币!$B50*银币!D50)</f>
        <v>79200</v>
      </c>
      <c r="E49" s="2">
        <f>IF(银币!E50="","",银币!$B50*银币!E50)</f>
        <v>24000</v>
      </c>
      <c r="F49" s="2">
        <f>IF(银币!F50="","",银币!$B50*银币!F50)</f>
        <v>48000</v>
      </c>
      <c r="G49" s="2" t="str">
        <f>IF(银币!G50="","",银币!$B50*银币!G50)</f>
        <v/>
      </c>
      <c r="H49" s="2" t="str">
        <f>IF(银币!H50="","",银币!$B50*银币!H50)</f>
        <v/>
      </c>
      <c r="I49" s="2" t="str">
        <f>IF(银币!I50="","",银币!$B50*银币!I50)</f>
        <v/>
      </c>
      <c r="J49" s="2" t="str">
        <f>IF(银币!J50="","",银币!$B50*银币!J50)</f>
        <v/>
      </c>
      <c r="K49" s="2">
        <f>IF(银币!K50="","",银币!$B50*银币!K50)</f>
        <v>48000</v>
      </c>
      <c r="L49" s="2">
        <f>IF(银币!L50="","",银币!$B50*银币!L50)</f>
        <v>48000</v>
      </c>
      <c r="M49" s="2" t="str">
        <f>IF(银币!M50="","",银币!$B50*银币!M50)</f>
        <v/>
      </c>
      <c r="N49" s="2" t="str">
        <f>IF(银币!N50="","",银币!$B50*银币!N50)</f>
        <v/>
      </c>
      <c r="O49" s="2" t="str">
        <f>IF(银币!O50="","",银币!$B50*银币!O50)</f>
        <v/>
      </c>
      <c r="P49" s="2">
        <f>IF(银币!P50="","",银币!$B50*银币!P50)</f>
        <v>24000</v>
      </c>
      <c r="Q49" s="2">
        <f>IF(银币!Q50="","",银币!$B50*银币!Q50)</f>
        <v>240000</v>
      </c>
      <c r="R49" s="2" t="str">
        <f>IF(银币!R50="","",银币!$B50*银币!R50)</f>
        <v/>
      </c>
      <c r="S49" s="2">
        <f>IF(银币!S50="","",银币!$B50*银币!S50)</f>
        <v>48000</v>
      </c>
      <c r="T49" s="2">
        <f>IF(银币!T50="","",银币!$B50*银币!T50)</f>
        <v>48000</v>
      </c>
      <c r="U49" s="2">
        <f>IF(银币!U50="","",银币!$B50*银币!U50)</f>
        <v>0</v>
      </c>
      <c r="V49" s="2">
        <f>IF(银币!V50="","",银币!$B50*银币!V50)</f>
        <v>72000</v>
      </c>
      <c r="W49" s="2">
        <f>IF(银币!W50="","",银币!$B50*银币!W50)</f>
        <v>48000</v>
      </c>
      <c r="X49" s="2">
        <f>IF(银币!X50="","",银币!$B50*银币!X50)</f>
        <v>48000</v>
      </c>
      <c r="Y49" s="2">
        <f>IF(银币!Y50="","",银币!$B50*银币!Y50)</f>
        <v>48000</v>
      </c>
      <c r="Z49" s="2">
        <f>IF(银币!Z50="","",银币!$B50*银币!Z50)</f>
        <v>144000</v>
      </c>
      <c r="AA49" s="2">
        <f>IF(银币!AA50="","",银币!$B50*银币!AA50)</f>
        <v>24000</v>
      </c>
      <c r="AB49" s="2" t="str">
        <f>IF(银币!AB50="","",银币!$B50*银币!AB50)</f>
        <v/>
      </c>
      <c r="AC49" s="2" t="str">
        <f>IF(银币!AC50="","",银币!$B50*银币!AC50)</f>
        <v/>
      </c>
      <c r="AD49" s="2" t="str">
        <f>IF(银币!AD50="","",银币!$B50*银币!AD50)</f>
        <v/>
      </c>
      <c r="AE49" s="2" t="str">
        <f>IF(银币!AE50="","",银币!$B50*银币!AE50)</f>
        <v/>
      </c>
      <c r="AF49" s="2">
        <f>银币!AI50</f>
        <v>86400</v>
      </c>
    </row>
    <row r="50" spans="1:35">
      <c r="A50" s="58">
        <v>49</v>
      </c>
      <c r="B50" s="96">
        <f>银币!B51</f>
        <v>49000</v>
      </c>
      <c r="C50" s="2">
        <f>IF(银币!C51="","",银币!$B51*银币!C51)</f>
        <v>196000</v>
      </c>
      <c r="D50" s="2">
        <f>IF(银币!D51="","",银币!$B51*银币!D51)</f>
        <v>80850</v>
      </c>
      <c r="E50" s="2">
        <f>IF(银币!E51="","",银币!$B51*银币!E51)</f>
        <v>24500</v>
      </c>
      <c r="F50" s="2">
        <f>IF(银币!F51="","",银币!$B51*银币!F51)</f>
        <v>49000</v>
      </c>
      <c r="G50" s="2" t="str">
        <f>IF(银币!G51="","",银币!$B51*银币!G51)</f>
        <v/>
      </c>
      <c r="H50" s="2" t="str">
        <f>IF(银币!H51="","",银币!$B51*银币!H51)</f>
        <v/>
      </c>
      <c r="I50" s="2" t="str">
        <f>IF(银币!I51="","",银币!$B51*银币!I51)</f>
        <v/>
      </c>
      <c r="J50" s="2" t="str">
        <f>IF(银币!J51="","",银币!$B51*银币!J51)</f>
        <v/>
      </c>
      <c r="K50" s="2">
        <f>IF(银币!K51="","",银币!$B51*银币!K51)</f>
        <v>49000</v>
      </c>
      <c r="L50" s="2">
        <f>IF(银币!L51="","",银币!$B51*银币!L51)</f>
        <v>49000</v>
      </c>
      <c r="M50" s="2" t="str">
        <f>IF(银币!M51="","",银币!$B51*银币!M51)</f>
        <v/>
      </c>
      <c r="N50" s="2" t="str">
        <f>IF(银币!N51="","",银币!$B51*银币!N51)</f>
        <v/>
      </c>
      <c r="O50" s="2" t="str">
        <f>IF(银币!O51="","",银币!$B51*银币!O51)</f>
        <v/>
      </c>
      <c r="P50" s="2">
        <f>IF(银币!P51="","",银币!$B51*银币!P51)</f>
        <v>24500</v>
      </c>
      <c r="Q50" s="2">
        <f>IF(银币!Q51="","",银币!$B51*银币!Q51)</f>
        <v>245000</v>
      </c>
      <c r="R50" s="2" t="str">
        <f>IF(银币!R51="","",银币!$B51*银币!R51)</f>
        <v/>
      </c>
      <c r="S50" s="2">
        <f>IF(银币!S51="","",银币!$B51*银币!S51)</f>
        <v>49000</v>
      </c>
      <c r="T50" s="2">
        <f>IF(银币!T51="","",银币!$B51*银币!T51)</f>
        <v>49000</v>
      </c>
      <c r="U50" s="2">
        <f>IF(银币!U51="","",银币!$B51*银币!U51)</f>
        <v>0</v>
      </c>
      <c r="V50" s="2">
        <f>IF(银币!V51="","",银币!$B51*银币!V51)</f>
        <v>73500</v>
      </c>
      <c r="W50" s="2">
        <f>IF(银币!W51="","",银币!$B51*银币!W51)</f>
        <v>49000</v>
      </c>
      <c r="X50" s="2">
        <f>IF(银币!X51="","",银币!$B51*银币!X51)</f>
        <v>49000</v>
      </c>
      <c r="Y50" s="2">
        <f>IF(银币!Y51="","",银币!$B51*银币!Y51)</f>
        <v>49000</v>
      </c>
      <c r="Z50" s="2">
        <f>IF(银币!Z51="","",银币!$B51*银币!Z51)</f>
        <v>147000</v>
      </c>
      <c r="AA50" s="2">
        <f>IF(银币!AA51="","",银币!$B51*银币!AA51)</f>
        <v>24500</v>
      </c>
      <c r="AB50" s="2" t="str">
        <f>IF(银币!AB51="","",银币!$B51*银币!AB51)</f>
        <v/>
      </c>
      <c r="AC50" s="2" t="str">
        <f>IF(银币!AC51="","",银币!$B51*银币!AC51)</f>
        <v/>
      </c>
      <c r="AD50" s="2" t="str">
        <f>IF(银币!AD51="","",银币!$B51*银币!AD51)</f>
        <v/>
      </c>
      <c r="AE50" s="2" t="str">
        <f>IF(银币!AE51="","",银币!$B51*银币!AE51)</f>
        <v/>
      </c>
      <c r="AF50" s="2">
        <f>银币!AI51</f>
        <v>93100</v>
      </c>
    </row>
    <row r="51" spans="1:35" s="98" customFormat="1">
      <c r="A51" s="97">
        <v>50</v>
      </c>
      <c r="B51" s="96">
        <f>银币!B52</f>
        <v>50000</v>
      </c>
      <c r="C51" s="98">
        <f>IF(银币!C52="","",银币!$B52*银币!C52)</f>
        <v>200000</v>
      </c>
      <c r="D51" s="98">
        <f>IF(银币!D52="","",银币!$B52*银币!D52)</f>
        <v>82500</v>
      </c>
      <c r="E51" s="98">
        <f>IF(银币!E52="","",银币!$B52*银币!E52)</f>
        <v>25000</v>
      </c>
      <c r="F51" s="98">
        <f>IF(银币!F52="","",银币!$B52*银币!F52)</f>
        <v>50000</v>
      </c>
      <c r="G51" s="98" t="str">
        <f>IF(银币!G52="","",银币!$B52*银币!G52)</f>
        <v/>
      </c>
      <c r="H51" s="98" t="str">
        <f>IF(银币!H52="","",银币!$B52*银币!H52)</f>
        <v/>
      </c>
      <c r="I51" s="98" t="str">
        <f>IF(银币!I52="","",银币!$B52*银币!I52)</f>
        <v/>
      </c>
      <c r="J51" s="98" t="str">
        <f>IF(银币!J52="","",银币!$B52*银币!J52)</f>
        <v/>
      </c>
      <c r="K51" s="98">
        <f>IF(银币!K52="","",银币!$B52*银币!K52)</f>
        <v>50000</v>
      </c>
      <c r="L51" s="98">
        <f>IF(银币!L52="","",银币!$B52*银币!L52)</f>
        <v>50000</v>
      </c>
      <c r="M51" s="98" t="str">
        <f>IF(银币!M52="","",银币!$B52*银币!M52)</f>
        <v/>
      </c>
      <c r="N51" s="98" t="str">
        <f>IF(银币!N52="","",银币!$B52*银币!N52)</f>
        <v/>
      </c>
      <c r="O51" s="98" t="str">
        <f>IF(银币!O52="","",银币!$B52*银币!O52)</f>
        <v/>
      </c>
      <c r="P51" s="98">
        <f>IF(银币!P52="","",银币!$B52*银币!P52)</f>
        <v>25000</v>
      </c>
      <c r="Q51" s="98">
        <f>IF(银币!Q52="","",银币!$B52*银币!Q52)</f>
        <v>250000</v>
      </c>
      <c r="R51" s="98" t="str">
        <f>IF(银币!R52="","",银币!$B52*银币!R52)</f>
        <v/>
      </c>
      <c r="S51" s="98">
        <f>IF(银币!S52="","",银币!$B52*银币!S52)</f>
        <v>50000</v>
      </c>
      <c r="T51" s="98">
        <f>IF(银币!T52="","",银币!$B52*银币!T52)</f>
        <v>0</v>
      </c>
      <c r="U51" s="98">
        <f>IF(银币!U52="","",银币!$B52*银币!U52)</f>
        <v>50000</v>
      </c>
      <c r="V51" s="98">
        <f>IF(银币!V52="","",银币!$B52*银币!V52)</f>
        <v>75000</v>
      </c>
      <c r="W51" s="98">
        <f>IF(银币!W52="","",银币!$B52*银币!W52)</f>
        <v>50000</v>
      </c>
      <c r="X51" s="98">
        <f>IF(银币!X52="","",银币!$B52*银币!X52)</f>
        <v>50000</v>
      </c>
      <c r="Y51" s="98">
        <f>IF(银币!Y52="","",银币!$B52*银币!Y52)</f>
        <v>50000</v>
      </c>
      <c r="Z51" s="98">
        <f>IF(银币!Z52="","",银币!$B52*银币!Z52)</f>
        <v>150000</v>
      </c>
      <c r="AA51" s="98">
        <f>IF(银币!AA52="","",银币!$B52*银币!AA52)</f>
        <v>25000</v>
      </c>
      <c r="AB51" s="98" t="str">
        <f>IF(银币!AB52="","",银币!$B52*银币!AB52)</f>
        <v/>
      </c>
      <c r="AC51" s="98" t="str">
        <f>IF(银币!AC52="","",银币!$B52*银币!AC52)</f>
        <v/>
      </c>
      <c r="AD51" s="98" t="str">
        <f>IF(银币!AD52="","",银币!$B52*银币!AD52)</f>
        <v/>
      </c>
      <c r="AE51" s="98" t="str">
        <f>IF(银币!AE52="","",银币!$B52*银币!AE52)</f>
        <v/>
      </c>
      <c r="AF51" s="2">
        <f>银币!AI52</f>
        <v>100000</v>
      </c>
      <c r="AG51" s="98">
        <f>Y51*3.5/13.5</f>
        <v>12962.962962962964</v>
      </c>
      <c r="AH51" s="98">
        <f>Z51*7/5/12</f>
        <v>17500</v>
      </c>
      <c r="AI51" s="98">
        <f>AA51*7/20</f>
        <v>8750</v>
      </c>
    </row>
    <row r="52" spans="1:35">
      <c r="A52" s="58">
        <v>51</v>
      </c>
      <c r="B52" s="96">
        <f>银币!B53</f>
        <v>51000</v>
      </c>
      <c r="C52" s="2">
        <f>IF(银币!C53="","",银币!$B53*银币!C53)</f>
        <v>204000</v>
      </c>
      <c r="D52" s="2">
        <f>IF(银币!D53="","",银币!$B53*银币!D53)</f>
        <v>84150</v>
      </c>
      <c r="E52" s="2">
        <f>IF(银币!E53="","",银币!$B53*银币!E53)</f>
        <v>25500</v>
      </c>
      <c r="F52" s="2">
        <f>IF(银币!F53="","",银币!$B53*银币!F53)</f>
        <v>51000</v>
      </c>
      <c r="G52" s="2" t="str">
        <f>IF(银币!G53="","",银币!$B53*银币!G53)</f>
        <v/>
      </c>
      <c r="H52" s="2" t="str">
        <f>IF(银币!H53="","",银币!$B53*银币!H53)</f>
        <v/>
      </c>
      <c r="I52" s="2" t="str">
        <f>IF(银币!I53="","",银币!$B53*银币!I53)</f>
        <v/>
      </c>
      <c r="J52" s="2" t="str">
        <f>IF(银币!J53="","",银币!$B53*银币!J53)</f>
        <v/>
      </c>
      <c r="K52" s="2">
        <f>IF(银币!K53="","",银币!$B53*银币!K53)</f>
        <v>51000</v>
      </c>
      <c r="L52" s="2">
        <f>IF(银币!L53="","",银币!$B53*银币!L53)</f>
        <v>51000</v>
      </c>
      <c r="M52" s="2" t="str">
        <f>IF(银币!M53="","",银币!$B53*银币!M53)</f>
        <v/>
      </c>
      <c r="N52" s="2" t="str">
        <f>IF(银币!N53="","",银币!$B53*银币!N53)</f>
        <v/>
      </c>
      <c r="O52" s="2" t="str">
        <f>IF(银币!O53="","",银币!$B53*银币!O53)</f>
        <v/>
      </c>
      <c r="P52" s="2">
        <f>IF(银币!P53="","",银币!$B53*银币!P53)</f>
        <v>25500</v>
      </c>
      <c r="Q52" s="2">
        <f>IF(银币!Q53="","",银币!$B53*银币!Q53)</f>
        <v>255000</v>
      </c>
      <c r="R52" s="2" t="str">
        <f>IF(银币!R53="","",银币!$B53*银币!R53)</f>
        <v/>
      </c>
      <c r="S52" s="2">
        <f>IF(银币!S53="","",银币!$B53*银币!S53)</f>
        <v>51000</v>
      </c>
      <c r="T52" s="2">
        <f>IF(银币!T53="","",银币!$B53*银币!T53)</f>
        <v>0</v>
      </c>
      <c r="U52" s="2">
        <f>IF(银币!U53="","",银币!$B53*银币!U53)</f>
        <v>51000</v>
      </c>
      <c r="V52" s="2">
        <f>IF(银币!V53="","",银币!$B53*银币!V53)</f>
        <v>76500</v>
      </c>
      <c r="W52" s="2">
        <f>IF(银币!W53="","",银币!$B53*银币!W53)</f>
        <v>51000</v>
      </c>
      <c r="X52" s="2">
        <f>IF(银币!X53="","",银币!$B53*银币!X53)</f>
        <v>51000</v>
      </c>
      <c r="Y52" s="2">
        <f>IF(银币!Y53="","",银币!$B53*银币!Y53)</f>
        <v>51000</v>
      </c>
      <c r="Z52" s="2">
        <f>IF(银币!Z53="","",银币!$B53*银币!Z53)</f>
        <v>153000</v>
      </c>
      <c r="AA52" s="2">
        <f>IF(银币!AA53="","",银币!$B53*银币!AA53)</f>
        <v>25500</v>
      </c>
      <c r="AB52" s="2" t="str">
        <f>IF(银币!AB53="","",银币!$B53*银币!AB53)</f>
        <v/>
      </c>
      <c r="AC52" s="2" t="str">
        <f>IF(银币!AC53="","",银币!$B53*银币!AC53)</f>
        <v/>
      </c>
      <c r="AD52" s="2" t="str">
        <f>IF(银币!AD53="","",银币!$B53*银币!AD53)</f>
        <v/>
      </c>
      <c r="AE52" s="2" t="str">
        <f>IF(银币!AE53="","",银币!$B53*银币!AE53)</f>
        <v/>
      </c>
      <c r="AF52" s="2">
        <f>银币!AI53</f>
        <v>107100</v>
      </c>
    </row>
    <row r="53" spans="1:35">
      <c r="A53" s="58">
        <v>52</v>
      </c>
      <c r="B53" s="96">
        <f>银币!B54</f>
        <v>52000</v>
      </c>
      <c r="C53" s="2">
        <f>IF(银币!C54="","",银币!$B54*银币!C54)</f>
        <v>208000</v>
      </c>
      <c r="D53" s="2">
        <f>IF(银币!D54="","",银币!$B54*银币!D54)</f>
        <v>85800</v>
      </c>
      <c r="E53" s="2">
        <f>IF(银币!E54="","",银币!$B54*银币!E54)</f>
        <v>26000</v>
      </c>
      <c r="F53" s="2">
        <f>IF(银币!F54="","",银币!$B54*银币!F54)</f>
        <v>52000</v>
      </c>
      <c r="G53" s="2" t="str">
        <f>IF(银币!G54="","",银币!$B54*银币!G54)</f>
        <v/>
      </c>
      <c r="H53" s="2" t="str">
        <f>IF(银币!H54="","",银币!$B54*银币!H54)</f>
        <v/>
      </c>
      <c r="I53" s="2" t="str">
        <f>IF(银币!I54="","",银币!$B54*银币!I54)</f>
        <v/>
      </c>
      <c r="J53" s="2" t="str">
        <f>IF(银币!J54="","",银币!$B54*银币!J54)</f>
        <v/>
      </c>
      <c r="K53" s="2">
        <f>IF(银币!K54="","",银币!$B54*银币!K54)</f>
        <v>52000</v>
      </c>
      <c r="L53" s="2">
        <f>IF(银币!L54="","",银币!$B54*银币!L54)</f>
        <v>52000</v>
      </c>
      <c r="M53" s="2" t="str">
        <f>IF(银币!M54="","",银币!$B54*银币!M54)</f>
        <v/>
      </c>
      <c r="N53" s="2" t="str">
        <f>IF(银币!N54="","",银币!$B54*银币!N54)</f>
        <v/>
      </c>
      <c r="O53" s="2" t="str">
        <f>IF(银币!O54="","",银币!$B54*银币!O54)</f>
        <v/>
      </c>
      <c r="P53" s="2">
        <f>IF(银币!P54="","",银币!$B54*银币!P54)</f>
        <v>26000</v>
      </c>
      <c r="Q53" s="2">
        <f>IF(银币!Q54="","",银币!$B54*银币!Q54)</f>
        <v>260000</v>
      </c>
      <c r="R53" s="2" t="str">
        <f>IF(银币!R54="","",银币!$B54*银币!R54)</f>
        <v/>
      </c>
      <c r="S53" s="2">
        <f>IF(银币!S54="","",银币!$B54*银币!S54)</f>
        <v>52000</v>
      </c>
      <c r="T53" s="2">
        <f>IF(银币!T54="","",银币!$B54*银币!T54)</f>
        <v>0</v>
      </c>
      <c r="U53" s="2">
        <f>IF(银币!U54="","",银币!$B54*银币!U54)</f>
        <v>52000</v>
      </c>
      <c r="V53" s="2">
        <f>IF(银币!V54="","",银币!$B54*银币!V54)</f>
        <v>78000</v>
      </c>
      <c r="W53" s="2">
        <f>IF(银币!W54="","",银币!$B54*银币!W54)</f>
        <v>52000</v>
      </c>
      <c r="X53" s="2">
        <f>IF(银币!X54="","",银币!$B54*银币!X54)</f>
        <v>52000</v>
      </c>
      <c r="Y53" s="2">
        <f>IF(银币!Y54="","",银币!$B54*银币!Y54)</f>
        <v>52000</v>
      </c>
      <c r="Z53" s="2">
        <f>IF(银币!Z54="","",银币!$B54*银币!Z54)</f>
        <v>156000</v>
      </c>
      <c r="AA53" s="2">
        <f>IF(银币!AA54="","",银币!$B54*银币!AA54)</f>
        <v>26000</v>
      </c>
      <c r="AB53" s="2" t="str">
        <f>IF(银币!AB54="","",银币!$B54*银币!AB54)</f>
        <v/>
      </c>
      <c r="AC53" s="2" t="str">
        <f>IF(银币!AC54="","",银币!$B54*银币!AC54)</f>
        <v/>
      </c>
      <c r="AD53" s="2" t="str">
        <f>IF(银币!AD54="","",银币!$B54*银币!AD54)</f>
        <v/>
      </c>
      <c r="AE53" s="2" t="str">
        <f>IF(银币!AE54="","",银币!$B54*银币!AE54)</f>
        <v/>
      </c>
      <c r="AF53" s="2">
        <f>银币!AI54</f>
        <v>114400</v>
      </c>
    </row>
    <row r="54" spans="1:35">
      <c r="A54" s="58">
        <v>53</v>
      </c>
      <c r="B54" s="96">
        <f>银币!B55</f>
        <v>53000</v>
      </c>
      <c r="C54" s="2">
        <f>IF(银币!C55="","",银币!$B55*银币!C55)</f>
        <v>212000</v>
      </c>
      <c r="D54" s="2">
        <f>IF(银币!D55="","",银币!$B55*银币!D55)</f>
        <v>87450</v>
      </c>
      <c r="E54" s="2">
        <f>IF(银币!E55="","",银币!$B55*银币!E55)</f>
        <v>26500</v>
      </c>
      <c r="F54" s="2">
        <f>IF(银币!F55="","",银币!$B55*银币!F55)</f>
        <v>53000</v>
      </c>
      <c r="G54" s="2" t="str">
        <f>IF(银币!G55="","",银币!$B55*银币!G55)</f>
        <v/>
      </c>
      <c r="H54" s="2" t="str">
        <f>IF(银币!H55="","",银币!$B55*银币!H55)</f>
        <v/>
      </c>
      <c r="I54" s="2" t="str">
        <f>IF(银币!I55="","",银币!$B55*银币!I55)</f>
        <v/>
      </c>
      <c r="J54" s="2" t="str">
        <f>IF(银币!J55="","",银币!$B55*银币!J55)</f>
        <v/>
      </c>
      <c r="K54" s="2">
        <f>IF(银币!K55="","",银币!$B55*银币!K55)</f>
        <v>53000</v>
      </c>
      <c r="L54" s="2">
        <f>IF(银币!L55="","",银币!$B55*银币!L55)</f>
        <v>53000</v>
      </c>
      <c r="M54" s="2" t="str">
        <f>IF(银币!M55="","",银币!$B55*银币!M55)</f>
        <v/>
      </c>
      <c r="N54" s="2" t="str">
        <f>IF(银币!N55="","",银币!$B55*银币!N55)</f>
        <v/>
      </c>
      <c r="O54" s="2" t="str">
        <f>IF(银币!O55="","",银币!$B55*银币!O55)</f>
        <v/>
      </c>
      <c r="P54" s="2">
        <f>IF(银币!P55="","",银币!$B55*银币!P55)</f>
        <v>26500</v>
      </c>
      <c r="Q54" s="2">
        <f>IF(银币!Q55="","",银币!$B55*银币!Q55)</f>
        <v>265000</v>
      </c>
      <c r="R54" s="2" t="str">
        <f>IF(银币!R55="","",银币!$B55*银币!R55)</f>
        <v/>
      </c>
      <c r="S54" s="2">
        <f>IF(银币!S55="","",银币!$B55*银币!S55)</f>
        <v>53000</v>
      </c>
      <c r="T54" s="2">
        <f>IF(银币!T55="","",银币!$B55*银币!T55)</f>
        <v>0</v>
      </c>
      <c r="U54" s="2">
        <f>IF(银币!U55="","",银币!$B55*银币!U55)</f>
        <v>53000</v>
      </c>
      <c r="V54" s="2">
        <f>IF(银币!V55="","",银币!$B55*银币!V55)</f>
        <v>79500</v>
      </c>
      <c r="W54" s="2">
        <f>IF(银币!W55="","",银币!$B55*银币!W55)</f>
        <v>53000</v>
      </c>
      <c r="X54" s="2">
        <f>IF(银币!X55="","",银币!$B55*银币!X55)</f>
        <v>53000</v>
      </c>
      <c r="Y54" s="2">
        <f>IF(银币!Y55="","",银币!$B55*银币!Y55)</f>
        <v>53000</v>
      </c>
      <c r="Z54" s="2">
        <f>IF(银币!Z55="","",银币!$B55*银币!Z55)</f>
        <v>159000</v>
      </c>
      <c r="AA54" s="2">
        <f>IF(银币!AA55="","",银币!$B55*银币!AA55)</f>
        <v>26500</v>
      </c>
      <c r="AB54" s="2" t="str">
        <f>IF(银币!AB55="","",银币!$B55*银币!AB55)</f>
        <v/>
      </c>
      <c r="AC54" s="2" t="str">
        <f>IF(银币!AC55="","",银币!$B55*银币!AC55)</f>
        <v/>
      </c>
      <c r="AD54" s="2" t="str">
        <f>IF(银币!AD55="","",银币!$B55*银币!AD55)</f>
        <v/>
      </c>
      <c r="AE54" s="2" t="str">
        <f>IF(银币!AE55="","",银币!$B55*银币!AE55)</f>
        <v/>
      </c>
      <c r="AF54" s="2">
        <f>银币!AI55</f>
        <v>121900</v>
      </c>
    </row>
    <row r="55" spans="1:35">
      <c r="A55" s="58">
        <v>54</v>
      </c>
      <c r="B55" s="96">
        <f>银币!B56</f>
        <v>54000</v>
      </c>
      <c r="C55" s="2">
        <f>IF(银币!C56="","",银币!$B56*银币!C56)</f>
        <v>216000</v>
      </c>
      <c r="D55" s="2">
        <f>IF(银币!D56="","",银币!$B56*银币!D56)</f>
        <v>89100</v>
      </c>
      <c r="E55" s="2">
        <f>IF(银币!E56="","",银币!$B56*银币!E56)</f>
        <v>27000</v>
      </c>
      <c r="F55" s="2">
        <f>IF(银币!F56="","",银币!$B56*银币!F56)</f>
        <v>54000</v>
      </c>
      <c r="G55" s="2" t="str">
        <f>IF(银币!G56="","",银币!$B56*银币!G56)</f>
        <v/>
      </c>
      <c r="H55" s="2" t="str">
        <f>IF(银币!H56="","",银币!$B56*银币!H56)</f>
        <v/>
      </c>
      <c r="I55" s="2" t="str">
        <f>IF(银币!I56="","",银币!$B56*银币!I56)</f>
        <v/>
      </c>
      <c r="J55" s="2" t="str">
        <f>IF(银币!J56="","",银币!$B56*银币!J56)</f>
        <v/>
      </c>
      <c r="K55" s="2">
        <f>IF(银币!K56="","",银币!$B56*银币!K56)</f>
        <v>54000</v>
      </c>
      <c r="L55" s="2">
        <f>IF(银币!L56="","",银币!$B56*银币!L56)</f>
        <v>54000</v>
      </c>
      <c r="M55" s="2" t="str">
        <f>IF(银币!M56="","",银币!$B56*银币!M56)</f>
        <v/>
      </c>
      <c r="N55" s="2" t="str">
        <f>IF(银币!N56="","",银币!$B56*银币!N56)</f>
        <v/>
      </c>
      <c r="O55" s="2" t="str">
        <f>IF(银币!O56="","",银币!$B56*银币!O56)</f>
        <v/>
      </c>
      <c r="P55" s="2">
        <f>IF(银币!P56="","",银币!$B56*银币!P56)</f>
        <v>27000</v>
      </c>
      <c r="Q55" s="2">
        <f>IF(银币!Q56="","",银币!$B56*银币!Q56)</f>
        <v>270000</v>
      </c>
      <c r="R55" s="2" t="str">
        <f>IF(银币!R56="","",银币!$B56*银币!R56)</f>
        <v/>
      </c>
      <c r="S55" s="2">
        <f>IF(银币!S56="","",银币!$B56*银币!S56)</f>
        <v>54000</v>
      </c>
      <c r="T55" s="2">
        <f>IF(银币!T56="","",银币!$B56*银币!T56)</f>
        <v>0</v>
      </c>
      <c r="U55" s="2">
        <f>IF(银币!U56="","",银币!$B56*银币!U56)</f>
        <v>54000</v>
      </c>
      <c r="V55" s="2">
        <f>IF(银币!V56="","",银币!$B56*银币!V56)</f>
        <v>81000</v>
      </c>
      <c r="W55" s="2">
        <f>IF(银币!W56="","",银币!$B56*银币!W56)</f>
        <v>54000</v>
      </c>
      <c r="X55" s="2">
        <f>IF(银币!X56="","",银币!$B56*银币!X56)</f>
        <v>54000</v>
      </c>
      <c r="Y55" s="2">
        <f>IF(银币!Y56="","",银币!$B56*银币!Y56)</f>
        <v>54000</v>
      </c>
      <c r="Z55" s="2">
        <f>IF(银币!Z56="","",银币!$B56*银币!Z56)</f>
        <v>162000</v>
      </c>
      <c r="AA55" s="2">
        <f>IF(银币!AA56="","",银币!$B56*银币!AA56)</f>
        <v>27000</v>
      </c>
      <c r="AB55" s="2" t="str">
        <f>IF(银币!AB56="","",银币!$B56*银币!AB56)</f>
        <v/>
      </c>
      <c r="AC55" s="2" t="str">
        <f>IF(银币!AC56="","",银币!$B56*银币!AC56)</f>
        <v/>
      </c>
      <c r="AD55" s="2" t="str">
        <f>IF(银币!AD56="","",银币!$B56*银币!AD56)</f>
        <v/>
      </c>
      <c r="AE55" s="2" t="str">
        <f>IF(银币!AE56="","",银币!$B56*银币!AE56)</f>
        <v/>
      </c>
      <c r="AF55" s="2">
        <f>银币!AI56</f>
        <v>129600</v>
      </c>
    </row>
    <row r="56" spans="1:35">
      <c r="A56" s="58">
        <v>55</v>
      </c>
      <c r="B56" s="96">
        <f>银币!B57</f>
        <v>55000</v>
      </c>
      <c r="C56" s="2">
        <f>IF(银币!C57="","",银币!$B57*银币!C57)</f>
        <v>220000</v>
      </c>
      <c r="D56" s="2">
        <f>IF(银币!D57="","",银币!$B57*银币!D57)</f>
        <v>90750</v>
      </c>
      <c r="E56" s="2">
        <f>IF(银币!E57="","",银币!$B57*银币!E57)</f>
        <v>27500</v>
      </c>
      <c r="F56" s="2">
        <f>IF(银币!F57="","",银币!$B57*银币!F57)</f>
        <v>55000</v>
      </c>
      <c r="G56" s="2" t="str">
        <f>IF(银币!G57="","",银币!$B57*银币!G57)</f>
        <v/>
      </c>
      <c r="H56" s="2" t="str">
        <f>IF(银币!H57="","",银币!$B57*银币!H57)</f>
        <v/>
      </c>
      <c r="I56" s="2" t="str">
        <f>IF(银币!I57="","",银币!$B57*银币!I57)</f>
        <v/>
      </c>
      <c r="J56" s="2" t="str">
        <f>IF(银币!J57="","",银币!$B57*银币!J57)</f>
        <v/>
      </c>
      <c r="K56" s="2">
        <f>IF(银币!K57="","",银币!$B57*银币!K57)</f>
        <v>55000</v>
      </c>
      <c r="L56" s="2">
        <f>IF(银币!L57="","",银币!$B57*银币!L57)</f>
        <v>55000</v>
      </c>
      <c r="M56" s="2" t="str">
        <f>IF(银币!M57="","",银币!$B57*银币!M57)</f>
        <v/>
      </c>
      <c r="N56" s="2" t="str">
        <f>IF(银币!N57="","",银币!$B57*银币!N57)</f>
        <v/>
      </c>
      <c r="O56" s="2" t="str">
        <f>IF(银币!O57="","",银币!$B57*银币!O57)</f>
        <v/>
      </c>
      <c r="P56" s="2">
        <f>IF(银币!P57="","",银币!$B57*银币!P57)</f>
        <v>27500</v>
      </c>
      <c r="Q56" s="2">
        <f>IF(银币!Q57="","",银币!$B57*银币!Q57)</f>
        <v>275000</v>
      </c>
      <c r="R56" s="2" t="str">
        <f>IF(银币!R57="","",银币!$B57*银币!R57)</f>
        <v/>
      </c>
      <c r="S56" s="2">
        <f>IF(银币!S57="","",银币!$B57*银币!S57)</f>
        <v>55000</v>
      </c>
      <c r="T56" s="2">
        <f>IF(银币!T57="","",银币!$B57*银币!T57)</f>
        <v>0</v>
      </c>
      <c r="U56" s="2">
        <f>IF(银币!U57="","",银币!$B57*银币!U57)</f>
        <v>55000</v>
      </c>
      <c r="V56" s="2">
        <f>IF(银币!V57="","",银币!$B57*银币!V57)</f>
        <v>82500</v>
      </c>
      <c r="W56" s="2">
        <f>IF(银币!W57="","",银币!$B57*银币!W57)</f>
        <v>55000</v>
      </c>
      <c r="X56" s="2">
        <f>IF(银币!X57="","",银币!$B57*银币!X57)</f>
        <v>55000</v>
      </c>
      <c r="Y56" s="2">
        <f>IF(银币!Y57="","",银币!$B57*银币!Y57)</f>
        <v>55000</v>
      </c>
      <c r="Z56" s="2">
        <f>IF(银币!Z57="","",银币!$B57*银币!Z57)</f>
        <v>165000</v>
      </c>
      <c r="AA56" s="2">
        <f>IF(银币!AA57="","",银币!$B57*银币!AA57)</f>
        <v>27500</v>
      </c>
      <c r="AB56" s="2" t="str">
        <f>IF(银币!AB57="","",银币!$B57*银币!AB57)</f>
        <v/>
      </c>
      <c r="AC56" s="2" t="str">
        <f>IF(银币!AC57="","",银币!$B57*银币!AC57)</f>
        <v/>
      </c>
      <c r="AD56" s="2" t="str">
        <f>IF(银币!AD57="","",银币!$B57*银币!AD57)</f>
        <v/>
      </c>
      <c r="AE56" s="2" t="str">
        <f>IF(银币!AE57="","",银币!$B57*银币!AE57)</f>
        <v/>
      </c>
      <c r="AF56" s="2">
        <f>银币!AI57</f>
        <v>137500</v>
      </c>
    </row>
    <row r="57" spans="1:35">
      <c r="A57" s="58">
        <v>56</v>
      </c>
      <c r="B57" s="96">
        <f>银币!B58</f>
        <v>56000</v>
      </c>
      <c r="C57" s="2">
        <f>IF(银币!C58="","",银币!$B58*银币!C58)</f>
        <v>224000</v>
      </c>
      <c r="D57" s="2">
        <f>IF(银币!D58="","",银币!$B58*银币!D58)</f>
        <v>92400</v>
      </c>
      <c r="E57" s="2">
        <f>IF(银币!E58="","",银币!$B58*银币!E58)</f>
        <v>28000</v>
      </c>
      <c r="F57" s="2">
        <f>IF(银币!F58="","",银币!$B58*银币!F58)</f>
        <v>56000</v>
      </c>
      <c r="G57" s="2" t="str">
        <f>IF(银币!G58="","",银币!$B58*银币!G58)</f>
        <v/>
      </c>
      <c r="H57" s="2" t="str">
        <f>IF(银币!H58="","",银币!$B58*银币!H58)</f>
        <v/>
      </c>
      <c r="I57" s="2" t="str">
        <f>IF(银币!I58="","",银币!$B58*银币!I58)</f>
        <v/>
      </c>
      <c r="J57" s="2" t="str">
        <f>IF(银币!J58="","",银币!$B58*银币!J58)</f>
        <v/>
      </c>
      <c r="K57" s="2">
        <f>IF(银币!K58="","",银币!$B58*银币!K58)</f>
        <v>56000</v>
      </c>
      <c r="L57" s="2">
        <f>IF(银币!L58="","",银币!$B58*银币!L58)</f>
        <v>56000</v>
      </c>
      <c r="M57" s="2" t="str">
        <f>IF(银币!M58="","",银币!$B58*银币!M58)</f>
        <v/>
      </c>
      <c r="N57" s="2" t="str">
        <f>IF(银币!N58="","",银币!$B58*银币!N58)</f>
        <v/>
      </c>
      <c r="O57" s="2" t="str">
        <f>IF(银币!O58="","",银币!$B58*银币!O58)</f>
        <v/>
      </c>
      <c r="P57" s="2">
        <f>IF(银币!P58="","",银币!$B58*银币!P58)</f>
        <v>28000</v>
      </c>
      <c r="Q57" s="2">
        <f>IF(银币!Q58="","",银币!$B58*银币!Q58)</f>
        <v>280000</v>
      </c>
      <c r="R57" s="2" t="str">
        <f>IF(银币!R58="","",银币!$B58*银币!R58)</f>
        <v/>
      </c>
      <c r="S57" s="2">
        <f>IF(银币!S58="","",银币!$B58*银币!S58)</f>
        <v>56000</v>
      </c>
      <c r="T57" s="2">
        <f>IF(银币!T58="","",银币!$B58*银币!T58)</f>
        <v>0</v>
      </c>
      <c r="U57" s="2">
        <f>IF(银币!U58="","",银币!$B58*银币!U58)</f>
        <v>56000</v>
      </c>
      <c r="V57" s="2">
        <f>IF(银币!V58="","",银币!$B58*银币!V58)</f>
        <v>84000</v>
      </c>
      <c r="W57" s="2">
        <f>IF(银币!W58="","",银币!$B58*银币!W58)</f>
        <v>56000</v>
      </c>
      <c r="X57" s="2">
        <f>IF(银币!X58="","",银币!$B58*银币!X58)</f>
        <v>56000</v>
      </c>
      <c r="Y57" s="2">
        <f>IF(银币!Y58="","",银币!$B58*银币!Y58)</f>
        <v>56000</v>
      </c>
      <c r="Z57" s="2">
        <f>IF(银币!Z58="","",银币!$B58*银币!Z58)</f>
        <v>168000</v>
      </c>
      <c r="AA57" s="2">
        <f>IF(银币!AA58="","",银币!$B58*银币!AA58)</f>
        <v>28000</v>
      </c>
      <c r="AB57" s="2" t="str">
        <f>IF(银币!AB58="","",银币!$B58*银币!AB58)</f>
        <v/>
      </c>
      <c r="AC57" s="2" t="str">
        <f>IF(银币!AC58="","",银币!$B58*银币!AC58)</f>
        <v/>
      </c>
      <c r="AD57" s="2" t="str">
        <f>IF(银币!AD58="","",银币!$B58*银币!AD58)</f>
        <v/>
      </c>
      <c r="AE57" s="2" t="str">
        <f>IF(银币!AE58="","",银币!$B58*银币!AE58)</f>
        <v/>
      </c>
      <c r="AF57" s="2">
        <f>银币!AI58</f>
        <v>145600</v>
      </c>
    </row>
    <row r="58" spans="1:35">
      <c r="A58" s="58">
        <v>57</v>
      </c>
      <c r="B58" s="96">
        <f>银币!B59</f>
        <v>57000</v>
      </c>
      <c r="C58" s="2">
        <f>IF(银币!C59="","",银币!$B59*银币!C59)</f>
        <v>228000</v>
      </c>
      <c r="D58" s="2">
        <f>IF(银币!D59="","",银币!$B59*银币!D59)</f>
        <v>94050</v>
      </c>
      <c r="E58" s="2">
        <f>IF(银币!E59="","",银币!$B59*银币!E59)</f>
        <v>28500</v>
      </c>
      <c r="F58" s="2">
        <f>IF(银币!F59="","",银币!$B59*银币!F59)</f>
        <v>57000</v>
      </c>
      <c r="G58" s="2" t="str">
        <f>IF(银币!G59="","",银币!$B59*银币!G59)</f>
        <v/>
      </c>
      <c r="H58" s="2" t="str">
        <f>IF(银币!H59="","",银币!$B59*银币!H59)</f>
        <v/>
      </c>
      <c r="I58" s="2" t="str">
        <f>IF(银币!I59="","",银币!$B59*银币!I59)</f>
        <v/>
      </c>
      <c r="J58" s="2" t="str">
        <f>IF(银币!J59="","",银币!$B59*银币!J59)</f>
        <v/>
      </c>
      <c r="K58" s="2">
        <f>IF(银币!K59="","",银币!$B59*银币!K59)</f>
        <v>57000</v>
      </c>
      <c r="L58" s="2">
        <f>IF(银币!L59="","",银币!$B59*银币!L59)</f>
        <v>57000</v>
      </c>
      <c r="M58" s="2" t="str">
        <f>IF(银币!M59="","",银币!$B59*银币!M59)</f>
        <v/>
      </c>
      <c r="N58" s="2" t="str">
        <f>IF(银币!N59="","",银币!$B59*银币!N59)</f>
        <v/>
      </c>
      <c r="O58" s="2" t="str">
        <f>IF(银币!O59="","",银币!$B59*银币!O59)</f>
        <v/>
      </c>
      <c r="P58" s="2">
        <f>IF(银币!P59="","",银币!$B59*银币!P59)</f>
        <v>28500</v>
      </c>
      <c r="Q58" s="2">
        <f>IF(银币!Q59="","",银币!$B59*银币!Q59)</f>
        <v>285000</v>
      </c>
      <c r="R58" s="2" t="str">
        <f>IF(银币!R59="","",银币!$B59*银币!R59)</f>
        <v/>
      </c>
      <c r="S58" s="2">
        <f>IF(银币!S59="","",银币!$B59*银币!S59)</f>
        <v>57000</v>
      </c>
      <c r="T58" s="2">
        <f>IF(银币!T59="","",银币!$B59*银币!T59)</f>
        <v>0</v>
      </c>
      <c r="U58" s="2">
        <f>IF(银币!U59="","",银币!$B59*银币!U59)</f>
        <v>57000</v>
      </c>
      <c r="V58" s="2">
        <f>IF(银币!V59="","",银币!$B59*银币!V59)</f>
        <v>85500</v>
      </c>
      <c r="W58" s="2">
        <f>IF(银币!W59="","",银币!$B59*银币!W59)</f>
        <v>57000</v>
      </c>
      <c r="X58" s="2">
        <f>IF(银币!X59="","",银币!$B59*银币!X59)</f>
        <v>57000</v>
      </c>
      <c r="Y58" s="2">
        <f>IF(银币!Y59="","",银币!$B59*银币!Y59)</f>
        <v>57000</v>
      </c>
      <c r="Z58" s="2">
        <f>IF(银币!Z59="","",银币!$B59*银币!Z59)</f>
        <v>171000</v>
      </c>
      <c r="AA58" s="2">
        <f>IF(银币!AA59="","",银币!$B59*银币!AA59)</f>
        <v>28500</v>
      </c>
      <c r="AB58" s="2" t="str">
        <f>IF(银币!AB59="","",银币!$B59*银币!AB59)</f>
        <v/>
      </c>
      <c r="AC58" s="2" t="str">
        <f>IF(银币!AC59="","",银币!$B59*银币!AC59)</f>
        <v/>
      </c>
      <c r="AD58" s="2" t="str">
        <f>IF(银币!AD59="","",银币!$B59*银币!AD59)</f>
        <v/>
      </c>
      <c r="AE58" s="2" t="str">
        <f>IF(银币!AE59="","",银币!$B59*银币!AE59)</f>
        <v/>
      </c>
      <c r="AF58" s="2">
        <f>银币!AI59</f>
        <v>153900</v>
      </c>
    </row>
    <row r="59" spans="1:35">
      <c r="A59" s="58">
        <v>58</v>
      </c>
      <c r="B59" s="96">
        <f>银币!B60</f>
        <v>58000</v>
      </c>
      <c r="C59" s="2">
        <f>IF(银币!C60="","",银币!$B60*银币!C60)</f>
        <v>232000</v>
      </c>
      <c r="D59" s="2">
        <f>IF(银币!D60="","",银币!$B60*银币!D60)</f>
        <v>95700</v>
      </c>
      <c r="E59" s="2">
        <f>IF(银币!E60="","",银币!$B60*银币!E60)</f>
        <v>29000</v>
      </c>
      <c r="F59" s="2">
        <f>IF(银币!F60="","",银币!$B60*银币!F60)</f>
        <v>58000</v>
      </c>
      <c r="G59" s="2" t="str">
        <f>IF(银币!G60="","",银币!$B60*银币!G60)</f>
        <v/>
      </c>
      <c r="H59" s="2" t="str">
        <f>IF(银币!H60="","",银币!$B60*银币!H60)</f>
        <v/>
      </c>
      <c r="I59" s="2" t="str">
        <f>IF(银币!I60="","",银币!$B60*银币!I60)</f>
        <v/>
      </c>
      <c r="J59" s="2" t="str">
        <f>IF(银币!J60="","",银币!$B60*银币!J60)</f>
        <v/>
      </c>
      <c r="K59" s="2">
        <f>IF(银币!K60="","",银币!$B60*银币!K60)</f>
        <v>58000</v>
      </c>
      <c r="L59" s="2">
        <f>IF(银币!L60="","",银币!$B60*银币!L60)</f>
        <v>58000</v>
      </c>
      <c r="M59" s="2" t="str">
        <f>IF(银币!M60="","",银币!$B60*银币!M60)</f>
        <v/>
      </c>
      <c r="N59" s="2" t="str">
        <f>IF(银币!N60="","",银币!$B60*银币!N60)</f>
        <v/>
      </c>
      <c r="O59" s="2" t="str">
        <f>IF(银币!O60="","",银币!$B60*银币!O60)</f>
        <v/>
      </c>
      <c r="P59" s="2">
        <f>IF(银币!P60="","",银币!$B60*银币!P60)</f>
        <v>29000</v>
      </c>
      <c r="Q59" s="2">
        <f>IF(银币!Q60="","",银币!$B60*银币!Q60)</f>
        <v>290000</v>
      </c>
      <c r="R59" s="2" t="str">
        <f>IF(银币!R60="","",银币!$B60*银币!R60)</f>
        <v/>
      </c>
      <c r="S59" s="2">
        <f>IF(银币!S60="","",银币!$B60*银币!S60)</f>
        <v>58000</v>
      </c>
      <c r="T59" s="2">
        <f>IF(银币!T60="","",银币!$B60*银币!T60)</f>
        <v>0</v>
      </c>
      <c r="U59" s="2">
        <f>IF(银币!U60="","",银币!$B60*银币!U60)</f>
        <v>58000</v>
      </c>
      <c r="V59" s="2">
        <f>IF(银币!V60="","",银币!$B60*银币!V60)</f>
        <v>87000</v>
      </c>
      <c r="W59" s="2">
        <f>IF(银币!W60="","",银币!$B60*银币!W60)</f>
        <v>58000</v>
      </c>
      <c r="X59" s="2">
        <f>IF(银币!X60="","",银币!$B60*银币!X60)</f>
        <v>58000</v>
      </c>
      <c r="Y59" s="2">
        <f>IF(银币!Y60="","",银币!$B60*银币!Y60)</f>
        <v>58000</v>
      </c>
      <c r="Z59" s="2">
        <f>IF(银币!Z60="","",银币!$B60*银币!Z60)</f>
        <v>174000</v>
      </c>
      <c r="AA59" s="2">
        <f>IF(银币!AA60="","",银币!$B60*银币!AA60)</f>
        <v>29000</v>
      </c>
      <c r="AB59" s="2" t="str">
        <f>IF(银币!AB60="","",银币!$B60*银币!AB60)</f>
        <v/>
      </c>
      <c r="AC59" s="2" t="str">
        <f>IF(银币!AC60="","",银币!$B60*银币!AC60)</f>
        <v/>
      </c>
      <c r="AD59" s="2" t="str">
        <f>IF(银币!AD60="","",银币!$B60*银币!AD60)</f>
        <v/>
      </c>
      <c r="AE59" s="2" t="str">
        <f>IF(银币!AE60="","",银币!$B60*银币!AE60)</f>
        <v/>
      </c>
      <c r="AF59" s="2">
        <f>银币!AI60</f>
        <v>162400</v>
      </c>
    </row>
    <row r="60" spans="1:35">
      <c r="A60" s="58">
        <v>59</v>
      </c>
      <c r="B60" s="96">
        <f>银币!B61</f>
        <v>59000</v>
      </c>
      <c r="C60" s="2">
        <f>IF(银币!C61="","",银币!$B61*银币!C61)</f>
        <v>236000</v>
      </c>
      <c r="D60" s="2">
        <f>IF(银币!D61="","",银币!$B61*银币!D61)</f>
        <v>97350</v>
      </c>
      <c r="E60" s="2">
        <f>IF(银币!E61="","",银币!$B61*银币!E61)</f>
        <v>29500</v>
      </c>
      <c r="F60" s="2">
        <f>IF(银币!F61="","",银币!$B61*银币!F61)</f>
        <v>59000</v>
      </c>
      <c r="G60" s="2" t="str">
        <f>IF(银币!G61="","",银币!$B61*银币!G61)</f>
        <v/>
      </c>
      <c r="H60" s="2" t="str">
        <f>IF(银币!H61="","",银币!$B61*银币!H61)</f>
        <v/>
      </c>
      <c r="I60" s="2" t="str">
        <f>IF(银币!I61="","",银币!$B61*银币!I61)</f>
        <v/>
      </c>
      <c r="J60" s="2" t="str">
        <f>IF(银币!J61="","",银币!$B61*银币!J61)</f>
        <v/>
      </c>
      <c r="K60" s="2">
        <f>IF(银币!K61="","",银币!$B61*银币!K61)</f>
        <v>59000</v>
      </c>
      <c r="L60" s="2">
        <f>IF(银币!L61="","",银币!$B61*银币!L61)</f>
        <v>59000</v>
      </c>
      <c r="M60" s="2" t="str">
        <f>IF(银币!M61="","",银币!$B61*银币!M61)</f>
        <v/>
      </c>
      <c r="N60" s="2" t="str">
        <f>IF(银币!N61="","",银币!$B61*银币!N61)</f>
        <v/>
      </c>
      <c r="O60" s="2" t="str">
        <f>IF(银币!O61="","",银币!$B61*银币!O61)</f>
        <v/>
      </c>
      <c r="P60" s="2">
        <f>IF(银币!P61="","",银币!$B61*银币!P61)</f>
        <v>29500</v>
      </c>
      <c r="Q60" s="2">
        <f>IF(银币!Q61="","",银币!$B61*银币!Q61)</f>
        <v>295000</v>
      </c>
      <c r="R60" s="2" t="str">
        <f>IF(银币!R61="","",银币!$B61*银币!R61)</f>
        <v/>
      </c>
      <c r="S60" s="2">
        <f>IF(银币!S61="","",银币!$B61*银币!S61)</f>
        <v>59000</v>
      </c>
      <c r="T60" s="2">
        <f>IF(银币!T61="","",银币!$B61*银币!T61)</f>
        <v>0</v>
      </c>
      <c r="U60" s="2">
        <f>IF(银币!U61="","",银币!$B61*银币!U61)</f>
        <v>59000</v>
      </c>
      <c r="V60" s="2">
        <f>IF(银币!V61="","",银币!$B61*银币!V61)</f>
        <v>88500</v>
      </c>
      <c r="W60" s="2">
        <f>IF(银币!W61="","",银币!$B61*银币!W61)</f>
        <v>59000</v>
      </c>
      <c r="X60" s="2">
        <f>IF(银币!X61="","",银币!$B61*银币!X61)</f>
        <v>59000</v>
      </c>
      <c r="Y60" s="2">
        <f>IF(银币!Y61="","",银币!$B61*银币!Y61)</f>
        <v>59000</v>
      </c>
      <c r="Z60" s="2">
        <f>IF(银币!Z61="","",银币!$B61*银币!Z61)</f>
        <v>177000</v>
      </c>
      <c r="AA60" s="2">
        <f>IF(银币!AA61="","",银币!$B61*银币!AA61)</f>
        <v>29500</v>
      </c>
      <c r="AB60" s="2" t="str">
        <f>IF(银币!AB61="","",银币!$B61*银币!AB61)</f>
        <v/>
      </c>
      <c r="AC60" s="2" t="str">
        <f>IF(银币!AC61="","",银币!$B61*银币!AC61)</f>
        <v/>
      </c>
      <c r="AD60" s="2" t="str">
        <f>IF(银币!AD61="","",银币!$B61*银币!AD61)</f>
        <v/>
      </c>
      <c r="AE60" s="2" t="str">
        <f>IF(银币!AE61="","",银币!$B61*银币!AE61)</f>
        <v/>
      </c>
      <c r="AF60" s="2">
        <f>银币!AI61</f>
        <v>171100</v>
      </c>
    </row>
    <row r="61" spans="1:35" s="98" customFormat="1">
      <c r="A61" s="97">
        <v>60</v>
      </c>
      <c r="B61" s="96">
        <f>银币!B62</f>
        <v>60000</v>
      </c>
      <c r="C61" s="98">
        <f>IF(银币!C62="","",银币!$B62*银币!C62)</f>
        <v>240000</v>
      </c>
      <c r="D61" s="98">
        <f>IF(银币!D62="","",银币!$B62*银币!D62)</f>
        <v>99000</v>
      </c>
      <c r="E61" s="98">
        <f>IF(银币!E62="","",银币!$B62*银币!E62)</f>
        <v>30000</v>
      </c>
      <c r="F61" s="98">
        <f>IF(银币!F62="","",银币!$B62*银币!F62)</f>
        <v>60000</v>
      </c>
      <c r="G61" s="98" t="str">
        <f>IF(银币!G62="","",银币!$B62*银币!G62)</f>
        <v/>
      </c>
      <c r="H61" s="98" t="str">
        <f>IF(银币!H62="","",银币!$B62*银币!H62)</f>
        <v/>
      </c>
      <c r="I61" s="98" t="str">
        <f>IF(银币!I62="","",银币!$B62*银币!I62)</f>
        <v/>
      </c>
      <c r="J61" s="98" t="str">
        <f>IF(银币!J62="","",银币!$B62*银币!J62)</f>
        <v/>
      </c>
      <c r="K61" s="98">
        <f>IF(银币!K62="","",银币!$B62*银币!K62)</f>
        <v>60000</v>
      </c>
      <c r="L61" s="98">
        <f>IF(银币!L62="","",银币!$B62*银币!L62)</f>
        <v>60000</v>
      </c>
      <c r="M61" s="98" t="str">
        <f>IF(银币!M62="","",银币!$B62*银币!M62)</f>
        <v/>
      </c>
      <c r="N61" s="98" t="str">
        <f>IF(银币!N62="","",银币!$B62*银币!N62)</f>
        <v/>
      </c>
      <c r="O61" s="98" t="str">
        <f>IF(银币!O62="","",银币!$B62*银币!O62)</f>
        <v/>
      </c>
      <c r="P61" s="98">
        <f>IF(银币!P62="","",银币!$B62*银币!P62)</f>
        <v>30000</v>
      </c>
      <c r="Q61" s="98">
        <f>IF(银币!Q62="","",银币!$B62*银币!Q62)</f>
        <v>300000</v>
      </c>
      <c r="R61" s="98" t="str">
        <f>IF(银币!R62="","",银币!$B62*银币!R62)</f>
        <v/>
      </c>
      <c r="S61" s="98">
        <f>IF(银币!S62="","",银币!$B62*银币!S62)</f>
        <v>60000</v>
      </c>
      <c r="T61" s="98">
        <f>IF(银币!T62="","",银币!$B62*银币!T62)</f>
        <v>0</v>
      </c>
      <c r="U61" s="98">
        <f>IF(银币!U62="","",银币!$B62*银币!U62)</f>
        <v>60000</v>
      </c>
      <c r="V61" s="98">
        <f>IF(银币!V62="","",银币!$B62*银币!V62)</f>
        <v>90000</v>
      </c>
      <c r="W61" s="98">
        <f>IF(银币!W62="","",银币!$B62*银币!W62)</f>
        <v>60000</v>
      </c>
      <c r="X61" s="98">
        <f>IF(银币!X62="","",银币!$B62*银币!X62)</f>
        <v>60000</v>
      </c>
      <c r="Y61" s="98">
        <f>IF(银币!Y62="","",银币!$B62*银币!Y62)</f>
        <v>60000</v>
      </c>
      <c r="Z61" s="98">
        <f>IF(银币!Z62="","",银币!$B62*银币!Z62)</f>
        <v>180000</v>
      </c>
      <c r="AA61" s="98">
        <f>IF(银币!AA62="","",银币!$B62*银币!AA62)</f>
        <v>30000</v>
      </c>
      <c r="AB61" s="98" t="str">
        <f>IF(银币!AB62="","",银币!$B62*银币!AB62)</f>
        <v/>
      </c>
      <c r="AC61" s="98" t="str">
        <f>IF(银币!AC62="","",银币!$B62*银币!AC62)</f>
        <v/>
      </c>
      <c r="AD61" s="98" t="str">
        <f>IF(银币!AD62="","",银币!$B62*银币!AD62)</f>
        <v/>
      </c>
      <c r="AE61" s="98" t="str">
        <f>IF(银币!AE62="","",银币!$B62*银币!AE62)</f>
        <v/>
      </c>
      <c r="AF61" s="2">
        <f>银币!AI62</f>
        <v>180000</v>
      </c>
      <c r="AG61" s="98">
        <f>Y61*3.5/13.5</f>
        <v>15555.555555555555</v>
      </c>
      <c r="AH61" s="98">
        <f>Z61*7/5/12</f>
        <v>21000</v>
      </c>
      <c r="AI61" s="98">
        <f>AA61*7/20</f>
        <v>10500</v>
      </c>
    </row>
    <row r="62" spans="1:35">
      <c r="A62" s="58">
        <v>61</v>
      </c>
      <c r="B62" s="96">
        <f>银币!B63</f>
        <v>61000</v>
      </c>
      <c r="C62" s="2">
        <f>IF(银币!C63="","",银币!$B63*银币!C63)</f>
        <v>244000</v>
      </c>
      <c r="D62" s="2">
        <f>IF(银币!D63="","",银币!$B63*银币!D63)</f>
        <v>100650</v>
      </c>
      <c r="E62" s="2">
        <f>IF(银币!E63="","",银币!$B63*银币!E63)</f>
        <v>30500</v>
      </c>
      <c r="F62" s="2">
        <f>IF(银币!F63="","",银币!$B63*银币!F63)</f>
        <v>61000</v>
      </c>
      <c r="G62" s="2" t="str">
        <f>IF(银币!G63="","",银币!$B63*银币!G63)</f>
        <v/>
      </c>
      <c r="H62" s="2" t="str">
        <f>IF(银币!H63="","",银币!$B63*银币!H63)</f>
        <v/>
      </c>
      <c r="I62" s="2" t="str">
        <f>IF(银币!I63="","",银币!$B63*银币!I63)</f>
        <v/>
      </c>
      <c r="J62" s="2" t="str">
        <f>IF(银币!J63="","",银币!$B63*银币!J63)</f>
        <v/>
      </c>
      <c r="K62" s="2">
        <f>IF(银币!K63="","",银币!$B63*银币!K63)</f>
        <v>61000</v>
      </c>
      <c r="L62" s="2">
        <f>IF(银币!L63="","",银币!$B63*银币!L63)</f>
        <v>61000</v>
      </c>
      <c r="M62" s="2" t="str">
        <f>IF(银币!M63="","",银币!$B63*银币!M63)</f>
        <v/>
      </c>
      <c r="N62" s="2" t="str">
        <f>IF(银币!N63="","",银币!$B63*银币!N63)</f>
        <v/>
      </c>
      <c r="O62" s="2" t="str">
        <f>IF(银币!O63="","",银币!$B63*银币!O63)</f>
        <v/>
      </c>
      <c r="P62" s="2">
        <f>IF(银币!P63="","",银币!$B63*银币!P63)</f>
        <v>30500</v>
      </c>
      <c r="Q62" s="2">
        <f>IF(银币!Q63="","",银币!$B63*银币!Q63)</f>
        <v>305000</v>
      </c>
      <c r="R62" s="2" t="str">
        <f>IF(银币!R63="","",银币!$B63*银币!R63)</f>
        <v/>
      </c>
      <c r="S62" s="2">
        <f>IF(银币!S63="","",银币!$B63*银币!S63)</f>
        <v>61000</v>
      </c>
      <c r="T62" s="2">
        <f>IF(银币!T63="","",银币!$B63*银币!T63)</f>
        <v>0</v>
      </c>
      <c r="U62" s="2">
        <f>IF(银币!U63="","",银币!$B63*银币!U63)</f>
        <v>61000</v>
      </c>
      <c r="V62" s="2">
        <f>IF(银币!V63="","",银币!$B63*银币!V63)</f>
        <v>91500</v>
      </c>
      <c r="W62" s="2">
        <f>IF(银币!W63="","",银币!$B63*银币!W63)</f>
        <v>61000</v>
      </c>
      <c r="X62" s="2">
        <f>IF(银币!X63="","",银币!$B63*银币!X63)</f>
        <v>61000</v>
      </c>
      <c r="Y62" s="2">
        <f>IF(银币!Y63="","",银币!$B63*银币!Y63)</f>
        <v>61000</v>
      </c>
      <c r="Z62" s="2">
        <f>IF(银币!Z63="","",银币!$B63*银币!Z63)</f>
        <v>183000</v>
      </c>
      <c r="AA62" s="2">
        <f>IF(银币!AA63="","",银币!$B63*银币!AA63)</f>
        <v>30500</v>
      </c>
      <c r="AB62" s="2" t="str">
        <f>IF(银币!AB63="","",银币!$B63*银币!AB63)</f>
        <v/>
      </c>
      <c r="AC62" s="2" t="str">
        <f>IF(银币!AC63="","",银币!$B63*银币!AC63)</f>
        <v/>
      </c>
      <c r="AD62" s="2" t="str">
        <f>IF(银币!AD63="","",银币!$B63*银币!AD63)</f>
        <v/>
      </c>
      <c r="AE62" s="2" t="str">
        <f>IF(银币!AE63="","",银币!$B63*银币!AE63)</f>
        <v/>
      </c>
      <c r="AF62" s="2">
        <f>银币!AI63</f>
        <v>189100</v>
      </c>
    </row>
    <row r="63" spans="1:35">
      <c r="A63" s="58">
        <v>62</v>
      </c>
      <c r="B63" s="96">
        <f>银币!B64</f>
        <v>62000</v>
      </c>
      <c r="C63" s="2">
        <f>IF(银币!C64="","",银币!$B64*银币!C64)</f>
        <v>248000</v>
      </c>
      <c r="D63" s="2">
        <f>IF(银币!D64="","",银币!$B64*银币!D64)</f>
        <v>102300</v>
      </c>
      <c r="E63" s="2">
        <f>IF(银币!E64="","",银币!$B64*银币!E64)</f>
        <v>31000</v>
      </c>
      <c r="F63" s="2">
        <f>IF(银币!F64="","",银币!$B64*银币!F64)</f>
        <v>62000</v>
      </c>
      <c r="G63" s="2" t="str">
        <f>IF(银币!G64="","",银币!$B64*银币!G64)</f>
        <v/>
      </c>
      <c r="H63" s="2" t="str">
        <f>IF(银币!H64="","",银币!$B64*银币!H64)</f>
        <v/>
      </c>
      <c r="I63" s="2" t="str">
        <f>IF(银币!I64="","",银币!$B64*银币!I64)</f>
        <v/>
      </c>
      <c r="J63" s="2" t="str">
        <f>IF(银币!J64="","",银币!$B64*银币!J64)</f>
        <v/>
      </c>
      <c r="K63" s="2">
        <f>IF(银币!K64="","",银币!$B64*银币!K64)</f>
        <v>62000</v>
      </c>
      <c r="L63" s="2">
        <f>IF(银币!L64="","",银币!$B64*银币!L64)</f>
        <v>62000</v>
      </c>
      <c r="M63" s="2" t="str">
        <f>IF(银币!M64="","",银币!$B64*银币!M64)</f>
        <v/>
      </c>
      <c r="N63" s="2" t="str">
        <f>IF(银币!N64="","",银币!$B64*银币!N64)</f>
        <v/>
      </c>
      <c r="O63" s="2" t="str">
        <f>IF(银币!O64="","",银币!$B64*银币!O64)</f>
        <v/>
      </c>
      <c r="P63" s="2">
        <f>IF(银币!P64="","",银币!$B64*银币!P64)</f>
        <v>31000</v>
      </c>
      <c r="Q63" s="2">
        <f>IF(银币!Q64="","",银币!$B64*银币!Q64)</f>
        <v>310000</v>
      </c>
      <c r="R63" s="2" t="str">
        <f>IF(银币!R64="","",银币!$B64*银币!R64)</f>
        <v/>
      </c>
      <c r="S63" s="2">
        <f>IF(银币!S64="","",银币!$B64*银币!S64)</f>
        <v>62000</v>
      </c>
      <c r="T63" s="2">
        <f>IF(银币!T64="","",银币!$B64*银币!T64)</f>
        <v>0</v>
      </c>
      <c r="U63" s="2">
        <f>IF(银币!U64="","",银币!$B64*银币!U64)</f>
        <v>62000</v>
      </c>
      <c r="V63" s="2">
        <f>IF(银币!V64="","",银币!$B64*银币!V64)</f>
        <v>93000</v>
      </c>
      <c r="W63" s="2">
        <f>IF(银币!W64="","",银币!$B64*银币!W64)</f>
        <v>62000</v>
      </c>
      <c r="X63" s="2">
        <f>IF(银币!X64="","",银币!$B64*银币!X64)</f>
        <v>62000</v>
      </c>
      <c r="Y63" s="2">
        <f>IF(银币!Y64="","",银币!$B64*银币!Y64)</f>
        <v>62000</v>
      </c>
      <c r="Z63" s="2">
        <f>IF(银币!Z64="","",银币!$B64*银币!Z64)</f>
        <v>186000</v>
      </c>
      <c r="AA63" s="2">
        <f>IF(银币!AA64="","",银币!$B64*银币!AA64)</f>
        <v>31000</v>
      </c>
      <c r="AB63" s="2" t="str">
        <f>IF(银币!AB64="","",银币!$B64*银币!AB64)</f>
        <v/>
      </c>
      <c r="AC63" s="2" t="str">
        <f>IF(银币!AC64="","",银币!$B64*银币!AC64)</f>
        <v/>
      </c>
      <c r="AD63" s="2" t="str">
        <f>IF(银币!AD64="","",银币!$B64*银币!AD64)</f>
        <v/>
      </c>
      <c r="AE63" s="2" t="str">
        <f>IF(银币!AE64="","",银币!$B64*银币!AE64)</f>
        <v/>
      </c>
      <c r="AF63" s="2">
        <f>银币!AI64</f>
        <v>198400</v>
      </c>
    </row>
    <row r="64" spans="1:35">
      <c r="A64" s="58">
        <v>63</v>
      </c>
      <c r="B64" s="96">
        <f>银币!B65</f>
        <v>63000</v>
      </c>
      <c r="C64" s="2">
        <f>IF(银币!C65="","",银币!$B65*银币!C65)</f>
        <v>252000</v>
      </c>
      <c r="D64" s="2">
        <f>IF(银币!D65="","",银币!$B65*银币!D65)</f>
        <v>103950</v>
      </c>
      <c r="E64" s="2">
        <f>IF(银币!E65="","",银币!$B65*银币!E65)</f>
        <v>31500</v>
      </c>
      <c r="F64" s="2">
        <f>IF(银币!F65="","",银币!$B65*银币!F65)</f>
        <v>63000</v>
      </c>
      <c r="G64" s="2" t="str">
        <f>IF(银币!G65="","",银币!$B65*银币!G65)</f>
        <v/>
      </c>
      <c r="H64" s="2" t="str">
        <f>IF(银币!H65="","",银币!$B65*银币!H65)</f>
        <v/>
      </c>
      <c r="I64" s="2" t="str">
        <f>IF(银币!I65="","",银币!$B65*银币!I65)</f>
        <v/>
      </c>
      <c r="J64" s="2" t="str">
        <f>IF(银币!J65="","",银币!$B65*银币!J65)</f>
        <v/>
      </c>
      <c r="K64" s="2">
        <f>IF(银币!K65="","",银币!$B65*银币!K65)</f>
        <v>63000</v>
      </c>
      <c r="L64" s="2">
        <f>IF(银币!L65="","",银币!$B65*银币!L65)</f>
        <v>63000</v>
      </c>
      <c r="M64" s="2" t="str">
        <f>IF(银币!M65="","",银币!$B65*银币!M65)</f>
        <v/>
      </c>
      <c r="N64" s="2" t="str">
        <f>IF(银币!N65="","",银币!$B65*银币!N65)</f>
        <v/>
      </c>
      <c r="O64" s="2" t="str">
        <f>IF(银币!O65="","",银币!$B65*银币!O65)</f>
        <v/>
      </c>
      <c r="P64" s="2">
        <f>IF(银币!P65="","",银币!$B65*银币!P65)</f>
        <v>31500</v>
      </c>
      <c r="Q64" s="2">
        <f>IF(银币!Q65="","",银币!$B65*银币!Q65)</f>
        <v>315000</v>
      </c>
      <c r="R64" s="2" t="str">
        <f>IF(银币!R65="","",银币!$B65*银币!R65)</f>
        <v/>
      </c>
      <c r="S64" s="2">
        <f>IF(银币!S65="","",银币!$B65*银币!S65)</f>
        <v>63000</v>
      </c>
      <c r="T64" s="2">
        <f>IF(银币!T65="","",银币!$B65*银币!T65)</f>
        <v>0</v>
      </c>
      <c r="U64" s="2">
        <f>IF(银币!U65="","",银币!$B65*银币!U65)</f>
        <v>63000</v>
      </c>
      <c r="V64" s="2">
        <f>IF(银币!V65="","",银币!$B65*银币!V65)</f>
        <v>94500</v>
      </c>
      <c r="W64" s="2">
        <f>IF(银币!W65="","",银币!$B65*银币!W65)</f>
        <v>63000</v>
      </c>
      <c r="X64" s="2">
        <f>IF(银币!X65="","",银币!$B65*银币!X65)</f>
        <v>63000</v>
      </c>
      <c r="Y64" s="2">
        <f>IF(银币!Y65="","",银币!$B65*银币!Y65)</f>
        <v>63000</v>
      </c>
      <c r="Z64" s="2">
        <f>IF(银币!Z65="","",银币!$B65*银币!Z65)</f>
        <v>189000</v>
      </c>
      <c r="AA64" s="2">
        <f>IF(银币!AA65="","",银币!$B65*银币!AA65)</f>
        <v>31500</v>
      </c>
      <c r="AB64" s="2" t="str">
        <f>IF(银币!AB65="","",银币!$B65*银币!AB65)</f>
        <v/>
      </c>
      <c r="AC64" s="2" t="str">
        <f>IF(银币!AC65="","",银币!$B65*银币!AC65)</f>
        <v/>
      </c>
      <c r="AD64" s="2" t="str">
        <f>IF(银币!AD65="","",银币!$B65*银币!AD65)</f>
        <v/>
      </c>
      <c r="AE64" s="2" t="str">
        <f>IF(银币!AE65="","",银币!$B65*银币!AE65)</f>
        <v/>
      </c>
      <c r="AF64" s="2">
        <f>银币!AI65</f>
        <v>207900</v>
      </c>
    </row>
    <row r="65" spans="1:32">
      <c r="A65" s="58">
        <v>64</v>
      </c>
      <c r="B65" s="96">
        <f>银币!B66</f>
        <v>64000</v>
      </c>
      <c r="C65" s="2">
        <f>IF(银币!C66="","",银币!$B66*银币!C66)</f>
        <v>256000</v>
      </c>
      <c r="D65" s="2">
        <f>IF(银币!D66="","",银币!$B66*银币!D66)</f>
        <v>105600</v>
      </c>
      <c r="E65" s="2">
        <f>IF(银币!E66="","",银币!$B66*银币!E66)</f>
        <v>32000</v>
      </c>
      <c r="F65" s="2">
        <f>IF(银币!F66="","",银币!$B66*银币!F66)</f>
        <v>64000</v>
      </c>
      <c r="G65" s="2" t="str">
        <f>IF(银币!G66="","",银币!$B66*银币!G66)</f>
        <v/>
      </c>
      <c r="H65" s="2" t="str">
        <f>IF(银币!H66="","",银币!$B66*银币!H66)</f>
        <v/>
      </c>
      <c r="I65" s="2" t="str">
        <f>IF(银币!I66="","",银币!$B66*银币!I66)</f>
        <v/>
      </c>
      <c r="J65" s="2" t="str">
        <f>IF(银币!J66="","",银币!$B66*银币!J66)</f>
        <v/>
      </c>
      <c r="K65" s="2">
        <f>IF(银币!K66="","",银币!$B66*银币!K66)</f>
        <v>64000</v>
      </c>
      <c r="L65" s="2">
        <f>IF(银币!L66="","",银币!$B66*银币!L66)</f>
        <v>64000</v>
      </c>
      <c r="M65" s="2" t="str">
        <f>IF(银币!M66="","",银币!$B66*银币!M66)</f>
        <v/>
      </c>
      <c r="N65" s="2" t="str">
        <f>IF(银币!N66="","",银币!$B66*银币!N66)</f>
        <v/>
      </c>
      <c r="O65" s="2" t="str">
        <f>IF(银币!O66="","",银币!$B66*银币!O66)</f>
        <v/>
      </c>
      <c r="P65" s="2">
        <f>IF(银币!P66="","",银币!$B66*银币!P66)</f>
        <v>32000</v>
      </c>
      <c r="Q65" s="2">
        <f>IF(银币!Q66="","",银币!$B66*银币!Q66)</f>
        <v>320000</v>
      </c>
      <c r="R65" s="2" t="str">
        <f>IF(银币!R66="","",银币!$B66*银币!R66)</f>
        <v/>
      </c>
      <c r="S65" s="2">
        <f>IF(银币!S66="","",银币!$B66*银币!S66)</f>
        <v>64000</v>
      </c>
      <c r="T65" s="2">
        <f>IF(银币!T66="","",银币!$B66*银币!T66)</f>
        <v>0</v>
      </c>
      <c r="U65" s="2">
        <f>IF(银币!U66="","",银币!$B66*银币!U66)</f>
        <v>64000</v>
      </c>
      <c r="V65" s="2">
        <f>IF(银币!V66="","",银币!$B66*银币!V66)</f>
        <v>96000</v>
      </c>
      <c r="W65" s="2">
        <f>IF(银币!W66="","",银币!$B66*银币!W66)</f>
        <v>64000</v>
      </c>
      <c r="X65" s="2">
        <f>IF(银币!X66="","",银币!$B66*银币!X66)</f>
        <v>64000</v>
      </c>
      <c r="Y65" s="2">
        <f>IF(银币!Y66="","",银币!$B66*银币!Y66)</f>
        <v>64000</v>
      </c>
      <c r="Z65" s="2">
        <f>IF(银币!Z66="","",银币!$B66*银币!Z66)</f>
        <v>192000</v>
      </c>
      <c r="AA65" s="2">
        <f>IF(银币!AA66="","",银币!$B66*银币!AA66)</f>
        <v>32000</v>
      </c>
      <c r="AB65" s="2" t="str">
        <f>IF(银币!AB66="","",银币!$B66*银币!AB66)</f>
        <v/>
      </c>
      <c r="AC65" s="2" t="str">
        <f>IF(银币!AC66="","",银币!$B66*银币!AC66)</f>
        <v/>
      </c>
      <c r="AD65" s="2" t="str">
        <f>IF(银币!AD66="","",银币!$B66*银币!AD66)</f>
        <v/>
      </c>
      <c r="AE65" s="2" t="str">
        <f>IF(银币!AE66="","",银币!$B66*银币!AE66)</f>
        <v/>
      </c>
      <c r="AF65" s="2">
        <f>银币!AI66</f>
        <v>217600</v>
      </c>
    </row>
    <row r="66" spans="1:32">
      <c r="A66" s="58">
        <v>65</v>
      </c>
      <c r="B66" s="96">
        <f>银币!B67</f>
        <v>65000</v>
      </c>
      <c r="C66" s="2">
        <f>IF(银币!C67="","",银币!$B67*银币!C67)</f>
        <v>260000</v>
      </c>
      <c r="D66" s="2">
        <f>IF(银币!D67="","",银币!$B67*银币!D67)</f>
        <v>107250</v>
      </c>
      <c r="E66" s="2">
        <f>IF(银币!E67="","",银币!$B67*银币!E67)</f>
        <v>32500</v>
      </c>
      <c r="F66" s="2">
        <f>IF(银币!F67="","",银币!$B67*银币!F67)</f>
        <v>65000</v>
      </c>
      <c r="G66" s="2" t="str">
        <f>IF(银币!G67="","",银币!$B67*银币!G67)</f>
        <v/>
      </c>
      <c r="H66" s="2" t="str">
        <f>IF(银币!H67="","",银币!$B67*银币!H67)</f>
        <v/>
      </c>
      <c r="I66" s="2" t="str">
        <f>IF(银币!I67="","",银币!$B67*银币!I67)</f>
        <v/>
      </c>
      <c r="J66" s="2" t="str">
        <f>IF(银币!J67="","",银币!$B67*银币!J67)</f>
        <v/>
      </c>
      <c r="K66" s="2">
        <f>IF(银币!K67="","",银币!$B67*银币!K67)</f>
        <v>65000</v>
      </c>
      <c r="L66" s="2">
        <f>IF(银币!L67="","",银币!$B67*银币!L67)</f>
        <v>65000</v>
      </c>
      <c r="M66" s="2" t="str">
        <f>IF(银币!M67="","",银币!$B67*银币!M67)</f>
        <v/>
      </c>
      <c r="N66" s="2" t="str">
        <f>IF(银币!N67="","",银币!$B67*银币!N67)</f>
        <v/>
      </c>
      <c r="O66" s="2" t="str">
        <f>IF(银币!O67="","",银币!$B67*银币!O67)</f>
        <v/>
      </c>
      <c r="P66" s="2">
        <f>IF(银币!P67="","",银币!$B67*银币!P67)</f>
        <v>32500</v>
      </c>
      <c r="Q66" s="2">
        <f>IF(银币!Q67="","",银币!$B67*银币!Q67)</f>
        <v>325000</v>
      </c>
      <c r="R66" s="2" t="str">
        <f>IF(银币!R67="","",银币!$B67*银币!R67)</f>
        <v/>
      </c>
      <c r="S66" s="2">
        <f>IF(银币!S67="","",银币!$B67*银币!S67)</f>
        <v>65000</v>
      </c>
      <c r="T66" s="2">
        <f>IF(银币!T67="","",银币!$B67*银币!T67)</f>
        <v>0</v>
      </c>
      <c r="U66" s="2">
        <f>IF(银币!U67="","",银币!$B67*银币!U67)</f>
        <v>65000</v>
      </c>
      <c r="V66" s="2">
        <f>IF(银币!V67="","",银币!$B67*银币!V67)</f>
        <v>97500</v>
      </c>
      <c r="W66" s="2">
        <f>IF(银币!W67="","",银币!$B67*银币!W67)</f>
        <v>65000</v>
      </c>
      <c r="X66" s="2">
        <f>IF(银币!X67="","",银币!$B67*银币!X67)</f>
        <v>65000</v>
      </c>
      <c r="Y66" s="2">
        <f>IF(银币!Y67="","",银币!$B67*银币!Y67)</f>
        <v>65000</v>
      </c>
      <c r="Z66" s="2">
        <f>IF(银币!Z67="","",银币!$B67*银币!Z67)</f>
        <v>195000</v>
      </c>
      <c r="AA66" s="2">
        <f>IF(银币!AA67="","",银币!$B67*银币!AA67)</f>
        <v>32500</v>
      </c>
      <c r="AB66" s="2" t="str">
        <f>IF(银币!AB67="","",银币!$B67*银币!AB67)</f>
        <v/>
      </c>
      <c r="AC66" s="2" t="str">
        <f>IF(银币!AC67="","",银币!$B67*银币!AC67)</f>
        <v/>
      </c>
      <c r="AD66" s="2" t="str">
        <f>IF(银币!AD67="","",银币!$B67*银币!AD67)</f>
        <v/>
      </c>
      <c r="AE66" s="2" t="str">
        <f>IF(银币!AE67="","",银币!$B67*银币!AE67)</f>
        <v/>
      </c>
      <c r="AF66" s="2">
        <f>银币!AI67</f>
        <v>227500</v>
      </c>
    </row>
    <row r="67" spans="1:32">
      <c r="A67" s="58">
        <v>66</v>
      </c>
      <c r="B67" s="96">
        <f>银币!B68</f>
        <v>66000</v>
      </c>
      <c r="C67" s="2">
        <f>IF(银币!C68="","",银币!$B68*银币!C68)</f>
        <v>264000</v>
      </c>
      <c r="D67" s="2">
        <f>IF(银币!D68="","",银币!$B68*银币!D68)</f>
        <v>108900</v>
      </c>
      <c r="E67" s="2">
        <f>IF(银币!E68="","",银币!$B68*银币!E68)</f>
        <v>33000</v>
      </c>
      <c r="F67" s="2">
        <f>IF(银币!F68="","",银币!$B68*银币!F68)</f>
        <v>66000</v>
      </c>
      <c r="G67" s="2" t="str">
        <f>IF(银币!G68="","",银币!$B68*银币!G68)</f>
        <v/>
      </c>
      <c r="H67" s="2" t="str">
        <f>IF(银币!H68="","",银币!$B68*银币!H68)</f>
        <v/>
      </c>
      <c r="I67" s="2" t="str">
        <f>IF(银币!I68="","",银币!$B68*银币!I68)</f>
        <v/>
      </c>
      <c r="J67" s="2" t="str">
        <f>IF(银币!J68="","",银币!$B68*银币!J68)</f>
        <v/>
      </c>
      <c r="K67" s="2">
        <f>IF(银币!K68="","",银币!$B68*银币!K68)</f>
        <v>66000</v>
      </c>
      <c r="L67" s="2">
        <f>IF(银币!L68="","",银币!$B68*银币!L68)</f>
        <v>66000</v>
      </c>
      <c r="M67" s="2" t="str">
        <f>IF(银币!M68="","",银币!$B68*银币!M68)</f>
        <v/>
      </c>
      <c r="N67" s="2" t="str">
        <f>IF(银币!N68="","",银币!$B68*银币!N68)</f>
        <v/>
      </c>
      <c r="O67" s="2" t="str">
        <f>IF(银币!O68="","",银币!$B68*银币!O68)</f>
        <v/>
      </c>
      <c r="P67" s="2">
        <f>IF(银币!P68="","",银币!$B68*银币!P68)</f>
        <v>33000</v>
      </c>
      <c r="Q67" s="2">
        <f>IF(银币!Q68="","",银币!$B68*银币!Q68)</f>
        <v>330000</v>
      </c>
      <c r="R67" s="2" t="str">
        <f>IF(银币!R68="","",银币!$B68*银币!R68)</f>
        <v/>
      </c>
      <c r="S67" s="2">
        <f>IF(银币!S68="","",银币!$B68*银币!S68)</f>
        <v>66000</v>
      </c>
      <c r="T67" s="2">
        <f>IF(银币!T68="","",银币!$B68*银币!T68)</f>
        <v>0</v>
      </c>
      <c r="U67" s="2">
        <f>IF(银币!U68="","",银币!$B68*银币!U68)</f>
        <v>66000</v>
      </c>
      <c r="V67" s="2">
        <f>IF(银币!V68="","",银币!$B68*银币!V68)</f>
        <v>99000</v>
      </c>
      <c r="W67" s="2">
        <f>IF(银币!W68="","",银币!$B68*银币!W68)</f>
        <v>66000</v>
      </c>
      <c r="X67" s="2">
        <f>IF(银币!X68="","",银币!$B68*银币!X68)</f>
        <v>66000</v>
      </c>
      <c r="Y67" s="2">
        <f>IF(银币!Y68="","",银币!$B68*银币!Y68)</f>
        <v>66000</v>
      </c>
      <c r="Z67" s="2">
        <f>IF(银币!Z68="","",银币!$B68*银币!Z68)</f>
        <v>198000</v>
      </c>
      <c r="AA67" s="2">
        <f>IF(银币!AA68="","",银币!$B68*银币!AA68)</f>
        <v>33000</v>
      </c>
      <c r="AB67" s="2" t="str">
        <f>IF(银币!AB68="","",银币!$B68*银币!AB68)</f>
        <v/>
      </c>
      <c r="AC67" s="2" t="str">
        <f>IF(银币!AC68="","",银币!$B68*银币!AC68)</f>
        <v/>
      </c>
      <c r="AD67" s="2" t="str">
        <f>IF(银币!AD68="","",银币!$B68*银币!AD68)</f>
        <v/>
      </c>
      <c r="AE67" s="2" t="str">
        <f>IF(银币!AE68="","",银币!$B68*银币!AE68)</f>
        <v/>
      </c>
      <c r="AF67" s="2">
        <f>银币!AI68</f>
        <v>237600</v>
      </c>
    </row>
    <row r="68" spans="1:32">
      <c r="A68" s="58">
        <v>67</v>
      </c>
      <c r="B68" s="96">
        <f>银币!B69</f>
        <v>67000</v>
      </c>
      <c r="C68" s="2">
        <f>IF(银币!C69="","",银币!$B69*银币!C69)</f>
        <v>268000</v>
      </c>
      <c r="D68" s="2">
        <f>IF(银币!D69="","",银币!$B69*银币!D69)</f>
        <v>110550</v>
      </c>
      <c r="E68" s="2">
        <f>IF(银币!E69="","",银币!$B69*银币!E69)</f>
        <v>33500</v>
      </c>
      <c r="F68" s="2">
        <f>IF(银币!F69="","",银币!$B69*银币!F69)</f>
        <v>67000</v>
      </c>
      <c r="G68" s="2" t="str">
        <f>IF(银币!G69="","",银币!$B69*银币!G69)</f>
        <v/>
      </c>
      <c r="H68" s="2" t="str">
        <f>IF(银币!H69="","",银币!$B69*银币!H69)</f>
        <v/>
      </c>
      <c r="I68" s="2" t="str">
        <f>IF(银币!I69="","",银币!$B69*银币!I69)</f>
        <v/>
      </c>
      <c r="J68" s="2" t="str">
        <f>IF(银币!J69="","",银币!$B69*银币!J69)</f>
        <v/>
      </c>
      <c r="K68" s="2">
        <f>IF(银币!K69="","",银币!$B69*银币!K69)</f>
        <v>67000</v>
      </c>
      <c r="L68" s="2">
        <f>IF(银币!L69="","",银币!$B69*银币!L69)</f>
        <v>67000</v>
      </c>
      <c r="M68" s="2" t="str">
        <f>IF(银币!M69="","",银币!$B69*银币!M69)</f>
        <v/>
      </c>
      <c r="N68" s="2" t="str">
        <f>IF(银币!N69="","",银币!$B69*银币!N69)</f>
        <v/>
      </c>
      <c r="O68" s="2" t="str">
        <f>IF(银币!O69="","",银币!$B69*银币!O69)</f>
        <v/>
      </c>
      <c r="P68" s="2">
        <f>IF(银币!P69="","",银币!$B69*银币!P69)</f>
        <v>33500</v>
      </c>
      <c r="Q68" s="2">
        <f>IF(银币!Q69="","",银币!$B69*银币!Q69)</f>
        <v>335000</v>
      </c>
      <c r="R68" s="2" t="str">
        <f>IF(银币!R69="","",银币!$B69*银币!R69)</f>
        <v/>
      </c>
      <c r="S68" s="2">
        <f>IF(银币!S69="","",银币!$B69*银币!S69)</f>
        <v>67000</v>
      </c>
      <c r="T68" s="2">
        <f>IF(银币!T69="","",银币!$B69*银币!T69)</f>
        <v>0</v>
      </c>
      <c r="U68" s="2">
        <f>IF(银币!U69="","",银币!$B69*银币!U69)</f>
        <v>67000</v>
      </c>
      <c r="V68" s="2">
        <f>IF(银币!V69="","",银币!$B69*银币!V69)</f>
        <v>100500</v>
      </c>
      <c r="W68" s="2">
        <f>IF(银币!W69="","",银币!$B69*银币!W69)</f>
        <v>67000</v>
      </c>
      <c r="X68" s="2">
        <f>IF(银币!X69="","",银币!$B69*银币!X69)</f>
        <v>67000</v>
      </c>
      <c r="Y68" s="2">
        <f>IF(银币!Y69="","",银币!$B69*银币!Y69)</f>
        <v>67000</v>
      </c>
      <c r="Z68" s="2">
        <f>IF(银币!Z69="","",银币!$B69*银币!Z69)</f>
        <v>201000</v>
      </c>
      <c r="AA68" s="2">
        <f>IF(银币!AA69="","",银币!$B69*银币!AA69)</f>
        <v>33500</v>
      </c>
      <c r="AB68" s="2" t="str">
        <f>IF(银币!AB69="","",银币!$B69*银币!AB69)</f>
        <v/>
      </c>
      <c r="AC68" s="2" t="str">
        <f>IF(银币!AC69="","",银币!$B69*银币!AC69)</f>
        <v/>
      </c>
      <c r="AD68" s="2" t="str">
        <f>IF(银币!AD69="","",银币!$B69*银币!AD69)</f>
        <v/>
      </c>
      <c r="AE68" s="2" t="str">
        <f>IF(银币!AE69="","",银币!$B69*银币!AE69)</f>
        <v/>
      </c>
      <c r="AF68" s="2">
        <f>银币!AI69</f>
        <v>247900</v>
      </c>
    </row>
    <row r="69" spans="1:32">
      <c r="A69" s="58">
        <v>68</v>
      </c>
      <c r="B69" s="96">
        <f>银币!B70</f>
        <v>68000</v>
      </c>
      <c r="C69" s="2">
        <f>IF(银币!C70="","",银币!$B70*银币!C70)</f>
        <v>272000</v>
      </c>
      <c r="D69" s="2">
        <f>IF(银币!D70="","",银币!$B70*银币!D70)</f>
        <v>112200</v>
      </c>
      <c r="E69" s="2">
        <f>IF(银币!E70="","",银币!$B70*银币!E70)</f>
        <v>34000</v>
      </c>
      <c r="F69" s="2">
        <f>IF(银币!F70="","",银币!$B70*银币!F70)</f>
        <v>68000</v>
      </c>
      <c r="G69" s="2" t="str">
        <f>IF(银币!G70="","",银币!$B70*银币!G70)</f>
        <v/>
      </c>
      <c r="H69" s="2" t="str">
        <f>IF(银币!H70="","",银币!$B70*银币!H70)</f>
        <v/>
      </c>
      <c r="I69" s="2" t="str">
        <f>IF(银币!I70="","",银币!$B70*银币!I70)</f>
        <v/>
      </c>
      <c r="J69" s="2" t="str">
        <f>IF(银币!J70="","",银币!$B70*银币!J70)</f>
        <v/>
      </c>
      <c r="K69" s="2">
        <f>IF(银币!K70="","",银币!$B70*银币!K70)</f>
        <v>68000</v>
      </c>
      <c r="L69" s="2">
        <f>IF(银币!L70="","",银币!$B70*银币!L70)</f>
        <v>68000</v>
      </c>
      <c r="M69" s="2" t="str">
        <f>IF(银币!M70="","",银币!$B70*银币!M70)</f>
        <v/>
      </c>
      <c r="N69" s="2" t="str">
        <f>IF(银币!N70="","",银币!$B70*银币!N70)</f>
        <v/>
      </c>
      <c r="O69" s="2" t="str">
        <f>IF(银币!O70="","",银币!$B70*银币!O70)</f>
        <v/>
      </c>
      <c r="P69" s="2">
        <f>IF(银币!P70="","",银币!$B70*银币!P70)</f>
        <v>34000</v>
      </c>
      <c r="Q69" s="2">
        <f>IF(银币!Q70="","",银币!$B70*银币!Q70)</f>
        <v>340000</v>
      </c>
      <c r="R69" s="2" t="str">
        <f>IF(银币!R70="","",银币!$B70*银币!R70)</f>
        <v/>
      </c>
      <c r="S69" s="2">
        <f>IF(银币!S70="","",银币!$B70*银币!S70)</f>
        <v>68000</v>
      </c>
      <c r="T69" s="2">
        <f>IF(银币!T70="","",银币!$B70*银币!T70)</f>
        <v>0</v>
      </c>
      <c r="U69" s="2">
        <f>IF(银币!U70="","",银币!$B70*银币!U70)</f>
        <v>68000</v>
      </c>
      <c r="V69" s="2">
        <f>IF(银币!V70="","",银币!$B70*银币!V70)</f>
        <v>102000</v>
      </c>
      <c r="W69" s="2">
        <f>IF(银币!W70="","",银币!$B70*银币!W70)</f>
        <v>68000</v>
      </c>
      <c r="X69" s="2">
        <f>IF(银币!X70="","",银币!$B70*银币!X70)</f>
        <v>68000</v>
      </c>
      <c r="Y69" s="2">
        <f>IF(银币!Y70="","",银币!$B70*银币!Y70)</f>
        <v>68000</v>
      </c>
      <c r="Z69" s="2">
        <f>IF(银币!Z70="","",银币!$B70*银币!Z70)</f>
        <v>204000</v>
      </c>
      <c r="AA69" s="2">
        <f>IF(银币!AA70="","",银币!$B70*银币!AA70)</f>
        <v>34000</v>
      </c>
      <c r="AB69" s="2" t="str">
        <f>IF(银币!AB70="","",银币!$B70*银币!AB70)</f>
        <v/>
      </c>
      <c r="AC69" s="2" t="str">
        <f>IF(银币!AC70="","",银币!$B70*银币!AC70)</f>
        <v/>
      </c>
      <c r="AD69" s="2" t="str">
        <f>IF(银币!AD70="","",银币!$B70*银币!AD70)</f>
        <v/>
      </c>
      <c r="AE69" s="2" t="str">
        <f>IF(银币!AE70="","",银币!$B70*银币!AE70)</f>
        <v/>
      </c>
      <c r="AF69" s="2">
        <f>银币!AI70</f>
        <v>258400</v>
      </c>
    </row>
    <row r="70" spans="1:32">
      <c r="A70" s="58">
        <v>69</v>
      </c>
      <c r="B70" s="96">
        <f>银币!B71</f>
        <v>69000</v>
      </c>
      <c r="C70" s="2">
        <f>IF(银币!C71="","",银币!$B71*银币!C71)</f>
        <v>276000</v>
      </c>
      <c r="D70" s="2">
        <f>IF(银币!D71="","",银币!$B71*银币!D71)</f>
        <v>113850</v>
      </c>
      <c r="E70" s="2">
        <f>IF(银币!E71="","",银币!$B71*银币!E71)</f>
        <v>34500</v>
      </c>
      <c r="F70" s="2">
        <f>IF(银币!F71="","",银币!$B71*银币!F71)</f>
        <v>69000</v>
      </c>
      <c r="G70" s="2" t="str">
        <f>IF(银币!G71="","",银币!$B71*银币!G71)</f>
        <v/>
      </c>
      <c r="H70" s="2" t="str">
        <f>IF(银币!H71="","",银币!$B71*银币!H71)</f>
        <v/>
      </c>
      <c r="I70" s="2" t="str">
        <f>IF(银币!I71="","",银币!$B71*银币!I71)</f>
        <v/>
      </c>
      <c r="J70" s="2" t="str">
        <f>IF(银币!J71="","",银币!$B71*银币!J71)</f>
        <v/>
      </c>
      <c r="K70" s="2">
        <f>IF(银币!K71="","",银币!$B71*银币!K71)</f>
        <v>69000</v>
      </c>
      <c r="L70" s="2">
        <f>IF(银币!L71="","",银币!$B71*银币!L71)</f>
        <v>69000</v>
      </c>
      <c r="M70" s="2" t="str">
        <f>IF(银币!M71="","",银币!$B71*银币!M71)</f>
        <v/>
      </c>
      <c r="N70" s="2" t="str">
        <f>IF(银币!N71="","",银币!$B71*银币!N71)</f>
        <v/>
      </c>
      <c r="O70" s="2" t="str">
        <f>IF(银币!O71="","",银币!$B71*银币!O71)</f>
        <v/>
      </c>
      <c r="P70" s="2">
        <f>IF(银币!P71="","",银币!$B71*银币!P71)</f>
        <v>34500</v>
      </c>
      <c r="Q70" s="2">
        <f>IF(银币!Q71="","",银币!$B71*银币!Q71)</f>
        <v>345000</v>
      </c>
      <c r="R70" s="2" t="str">
        <f>IF(银币!R71="","",银币!$B71*银币!R71)</f>
        <v/>
      </c>
      <c r="S70" s="2">
        <f>IF(银币!S71="","",银币!$B71*银币!S71)</f>
        <v>69000</v>
      </c>
      <c r="T70" s="2">
        <f>IF(银币!T71="","",银币!$B71*银币!T71)</f>
        <v>0</v>
      </c>
      <c r="U70" s="2">
        <f>IF(银币!U71="","",银币!$B71*银币!U71)</f>
        <v>69000</v>
      </c>
      <c r="V70" s="2">
        <f>IF(银币!V71="","",银币!$B71*银币!V71)</f>
        <v>103500</v>
      </c>
      <c r="W70" s="2">
        <f>IF(银币!W71="","",银币!$B71*银币!W71)</f>
        <v>69000</v>
      </c>
      <c r="X70" s="2">
        <f>IF(银币!X71="","",银币!$B71*银币!X71)</f>
        <v>69000</v>
      </c>
      <c r="Y70" s="2">
        <f>IF(银币!Y71="","",银币!$B71*银币!Y71)</f>
        <v>69000</v>
      </c>
      <c r="Z70" s="2">
        <f>IF(银币!Z71="","",银币!$B71*银币!Z71)</f>
        <v>207000</v>
      </c>
      <c r="AA70" s="2">
        <f>IF(银币!AA71="","",银币!$B71*银币!AA71)</f>
        <v>34500</v>
      </c>
      <c r="AB70" s="2" t="str">
        <f>IF(银币!AB71="","",银币!$B71*银币!AB71)</f>
        <v/>
      </c>
      <c r="AC70" s="2" t="str">
        <f>IF(银币!AC71="","",银币!$B71*银币!AC71)</f>
        <v/>
      </c>
      <c r="AD70" s="2" t="str">
        <f>IF(银币!AD71="","",银币!$B71*银币!AD71)</f>
        <v/>
      </c>
      <c r="AE70" s="2" t="str">
        <f>IF(银币!AE71="","",银币!$B71*银币!AE71)</f>
        <v/>
      </c>
      <c r="AF70" s="2">
        <f>银币!AI71</f>
        <v>269100</v>
      </c>
    </row>
    <row r="71" spans="1:32">
      <c r="A71" s="58">
        <v>70</v>
      </c>
      <c r="B71" s="96">
        <f>银币!B72</f>
        <v>70000</v>
      </c>
      <c r="C71" s="2">
        <f>IF(银币!C72="","",银币!$B72*银币!C72)</f>
        <v>280000</v>
      </c>
      <c r="D71" s="2">
        <f>IF(银币!D72="","",银币!$B72*银币!D72)</f>
        <v>115500</v>
      </c>
      <c r="E71" s="2">
        <f>IF(银币!E72="","",银币!$B72*银币!E72)</f>
        <v>35000</v>
      </c>
      <c r="F71" s="2">
        <f>IF(银币!F72="","",银币!$B72*银币!F72)</f>
        <v>70000</v>
      </c>
      <c r="G71" s="2" t="str">
        <f>IF(银币!G72="","",银币!$B72*银币!G72)</f>
        <v/>
      </c>
      <c r="H71" s="2" t="str">
        <f>IF(银币!H72="","",银币!$B72*银币!H72)</f>
        <v/>
      </c>
      <c r="I71" s="2" t="str">
        <f>IF(银币!I72="","",银币!$B72*银币!I72)</f>
        <v/>
      </c>
      <c r="J71" s="2" t="str">
        <f>IF(银币!J72="","",银币!$B72*银币!J72)</f>
        <v/>
      </c>
      <c r="K71" s="2">
        <f>IF(银币!K72="","",银币!$B72*银币!K72)</f>
        <v>70000</v>
      </c>
      <c r="L71" s="2">
        <f>IF(银币!L72="","",银币!$B72*银币!L72)</f>
        <v>70000</v>
      </c>
      <c r="M71" s="2" t="str">
        <f>IF(银币!M72="","",银币!$B72*银币!M72)</f>
        <v/>
      </c>
      <c r="N71" s="2" t="str">
        <f>IF(银币!N72="","",银币!$B72*银币!N72)</f>
        <v/>
      </c>
      <c r="O71" s="2" t="str">
        <f>IF(银币!O72="","",银币!$B72*银币!O72)</f>
        <v/>
      </c>
      <c r="P71" s="2">
        <f>IF(银币!P72="","",银币!$B72*银币!P72)</f>
        <v>35000</v>
      </c>
      <c r="Q71" s="2">
        <f>IF(银币!Q72="","",银币!$B72*银币!Q72)</f>
        <v>350000</v>
      </c>
      <c r="R71" s="2" t="str">
        <f>IF(银币!R72="","",银币!$B72*银币!R72)</f>
        <v/>
      </c>
      <c r="S71" s="2">
        <f>IF(银币!S72="","",银币!$B72*银币!S72)</f>
        <v>70000</v>
      </c>
      <c r="T71" s="2">
        <f>IF(银币!T72="","",银币!$B72*银币!T72)</f>
        <v>0</v>
      </c>
      <c r="U71" s="2">
        <f>IF(银币!U72="","",银币!$B72*银币!U72)</f>
        <v>70000</v>
      </c>
      <c r="V71" s="2">
        <f>IF(银币!V72="","",银币!$B72*银币!V72)</f>
        <v>105000</v>
      </c>
      <c r="W71" s="2">
        <f>IF(银币!W72="","",银币!$B72*银币!W72)</f>
        <v>70000</v>
      </c>
      <c r="X71" s="2">
        <f>IF(银币!X72="","",银币!$B72*银币!X72)</f>
        <v>70000</v>
      </c>
      <c r="Y71" s="2">
        <f>IF(银币!Y72="","",银币!$B72*银币!Y72)</f>
        <v>70000</v>
      </c>
      <c r="Z71" s="2">
        <f>IF(银币!Z72="","",银币!$B72*银币!Z72)</f>
        <v>210000</v>
      </c>
      <c r="AA71" s="2">
        <f>IF(银币!AA72="","",银币!$B72*银币!AA72)</f>
        <v>35000</v>
      </c>
      <c r="AB71" s="2" t="str">
        <f>IF(银币!AB72="","",银币!$B72*银币!AB72)</f>
        <v/>
      </c>
      <c r="AC71" s="2" t="str">
        <f>IF(银币!AC72="","",银币!$B72*银币!AC72)</f>
        <v/>
      </c>
      <c r="AD71" s="2" t="str">
        <f>IF(银币!AD72="","",银币!$B72*银币!AD72)</f>
        <v/>
      </c>
      <c r="AE71" s="2" t="str">
        <f>IF(银币!AE72="","",银币!$B72*银币!AE72)</f>
        <v/>
      </c>
      <c r="AF71" s="2">
        <f>银币!AI72</f>
        <v>280000</v>
      </c>
    </row>
    <row r="72" spans="1:32">
      <c r="A72" s="58">
        <v>71</v>
      </c>
      <c r="B72" s="96">
        <f>银币!B73</f>
        <v>71000</v>
      </c>
      <c r="C72" s="2">
        <f>IF(银币!C73="","",银币!$B73*银币!C73)</f>
        <v>284000</v>
      </c>
      <c r="D72" s="2">
        <f>IF(银币!D73="","",银币!$B73*银币!D73)</f>
        <v>117150</v>
      </c>
      <c r="E72" s="2">
        <f>IF(银币!E73="","",银币!$B73*银币!E73)</f>
        <v>35500</v>
      </c>
      <c r="F72" s="2">
        <f>IF(银币!F73="","",银币!$B73*银币!F73)</f>
        <v>71000</v>
      </c>
      <c r="G72" s="2" t="str">
        <f>IF(银币!G73="","",银币!$B73*银币!G73)</f>
        <v/>
      </c>
      <c r="H72" s="2" t="str">
        <f>IF(银币!H73="","",银币!$B73*银币!H73)</f>
        <v/>
      </c>
      <c r="I72" s="2" t="str">
        <f>IF(银币!I73="","",银币!$B73*银币!I73)</f>
        <v/>
      </c>
      <c r="J72" s="2" t="str">
        <f>IF(银币!J73="","",银币!$B73*银币!J73)</f>
        <v/>
      </c>
      <c r="K72" s="2">
        <f>IF(银币!K73="","",银币!$B73*银币!K73)</f>
        <v>71000</v>
      </c>
      <c r="L72" s="2">
        <f>IF(银币!L73="","",银币!$B73*银币!L73)</f>
        <v>71000</v>
      </c>
      <c r="M72" s="2" t="str">
        <f>IF(银币!M73="","",银币!$B73*银币!M73)</f>
        <v/>
      </c>
      <c r="N72" s="2" t="str">
        <f>IF(银币!N73="","",银币!$B73*银币!N73)</f>
        <v/>
      </c>
      <c r="O72" s="2" t="str">
        <f>IF(银币!O73="","",银币!$B73*银币!O73)</f>
        <v/>
      </c>
      <c r="P72" s="2">
        <f>IF(银币!P73="","",银币!$B73*银币!P73)</f>
        <v>35500</v>
      </c>
      <c r="Q72" s="2">
        <f>IF(银币!Q73="","",银币!$B73*银币!Q73)</f>
        <v>355000</v>
      </c>
      <c r="R72" s="2" t="str">
        <f>IF(银币!R73="","",银币!$B73*银币!R73)</f>
        <v/>
      </c>
      <c r="S72" s="2">
        <f>IF(银币!S73="","",银币!$B73*银币!S73)</f>
        <v>71000</v>
      </c>
      <c r="T72" s="2">
        <f>IF(银币!T73="","",银币!$B73*银币!T73)</f>
        <v>0</v>
      </c>
      <c r="U72" s="2">
        <f>IF(银币!U73="","",银币!$B73*银币!U73)</f>
        <v>71000</v>
      </c>
      <c r="V72" s="2">
        <f>IF(银币!V73="","",银币!$B73*银币!V73)</f>
        <v>106500</v>
      </c>
      <c r="W72" s="2">
        <f>IF(银币!W73="","",银币!$B73*银币!W73)</f>
        <v>71000</v>
      </c>
      <c r="X72" s="2">
        <f>IF(银币!X73="","",银币!$B73*银币!X73)</f>
        <v>71000</v>
      </c>
      <c r="Y72" s="2">
        <f>IF(银币!Y73="","",银币!$B73*银币!Y73)</f>
        <v>71000</v>
      </c>
      <c r="Z72" s="2">
        <f>IF(银币!Z73="","",银币!$B73*银币!Z73)</f>
        <v>213000</v>
      </c>
      <c r="AA72" s="2">
        <f>IF(银币!AA73="","",银币!$B73*银币!AA73)</f>
        <v>35500</v>
      </c>
      <c r="AB72" s="2" t="str">
        <f>IF(银币!AB73="","",银币!$B73*银币!AB73)</f>
        <v/>
      </c>
      <c r="AC72" s="2" t="str">
        <f>IF(银币!AC73="","",银币!$B73*银币!AC73)</f>
        <v/>
      </c>
      <c r="AD72" s="2" t="str">
        <f>IF(银币!AD73="","",银币!$B73*银币!AD73)</f>
        <v/>
      </c>
      <c r="AE72" s="2" t="str">
        <f>IF(银币!AE73="","",银币!$B73*银币!AE73)</f>
        <v/>
      </c>
      <c r="AF72" s="2">
        <f>银币!AI73</f>
        <v>291100</v>
      </c>
    </row>
    <row r="73" spans="1:32">
      <c r="A73" s="58">
        <v>72</v>
      </c>
      <c r="B73" s="96">
        <f>银币!B74</f>
        <v>72000</v>
      </c>
      <c r="C73" s="2">
        <f>IF(银币!C74="","",银币!$B74*银币!C74)</f>
        <v>288000</v>
      </c>
      <c r="D73" s="2">
        <f>IF(银币!D74="","",银币!$B74*银币!D74)</f>
        <v>118800</v>
      </c>
      <c r="E73" s="2">
        <f>IF(银币!E74="","",银币!$B74*银币!E74)</f>
        <v>36000</v>
      </c>
      <c r="F73" s="2">
        <f>IF(银币!F74="","",银币!$B74*银币!F74)</f>
        <v>72000</v>
      </c>
      <c r="G73" s="2" t="str">
        <f>IF(银币!G74="","",银币!$B74*银币!G74)</f>
        <v/>
      </c>
      <c r="H73" s="2" t="str">
        <f>IF(银币!H74="","",银币!$B74*银币!H74)</f>
        <v/>
      </c>
      <c r="I73" s="2" t="str">
        <f>IF(银币!I74="","",银币!$B74*银币!I74)</f>
        <v/>
      </c>
      <c r="J73" s="2" t="str">
        <f>IF(银币!J74="","",银币!$B74*银币!J74)</f>
        <v/>
      </c>
      <c r="K73" s="2">
        <f>IF(银币!K74="","",银币!$B74*银币!K74)</f>
        <v>72000</v>
      </c>
      <c r="L73" s="2">
        <f>IF(银币!L74="","",银币!$B74*银币!L74)</f>
        <v>72000</v>
      </c>
      <c r="M73" s="2" t="str">
        <f>IF(银币!M74="","",银币!$B74*银币!M74)</f>
        <v/>
      </c>
      <c r="N73" s="2" t="str">
        <f>IF(银币!N74="","",银币!$B74*银币!N74)</f>
        <v/>
      </c>
      <c r="O73" s="2" t="str">
        <f>IF(银币!O74="","",银币!$B74*银币!O74)</f>
        <v/>
      </c>
      <c r="P73" s="2">
        <f>IF(银币!P74="","",银币!$B74*银币!P74)</f>
        <v>36000</v>
      </c>
      <c r="Q73" s="2">
        <f>IF(银币!Q74="","",银币!$B74*银币!Q74)</f>
        <v>360000</v>
      </c>
      <c r="R73" s="2" t="str">
        <f>IF(银币!R74="","",银币!$B74*银币!R74)</f>
        <v/>
      </c>
      <c r="S73" s="2">
        <f>IF(银币!S74="","",银币!$B74*银币!S74)</f>
        <v>72000</v>
      </c>
      <c r="T73" s="2">
        <f>IF(银币!T74="","",银币!$B74*银币!T74)</f>
        <v>0</v>
      </c>
      <c r="U73" s="2">
        <f>IF(银币!U74="","",银币!$B74*银币!U74)</f>
        <v>72000</v>
      </c>
      <c r="V73" s="2">
        <f>IF(银币!V74="","",银币!$B74*银币!V74)</f>
        <v>108000</v>
      </c>
      <c r="W73" s="2">
        <f>IF(银币!W74="","",银币!$B74*银币!W74)</f>
        <v>72000</v>
      </c>
      <c r="X73" s="2">
        <f>IF(银币!X74="","",银币!$B74*银币!X74)</f>
        <v>72000</v>
      </c>
      <c r="Y73" s="2">
        <f>IF(银币!Y74="","",银币!$B74*银币!Y74)</f>
        <v>72000</v>
      </c>
      <c r="Z73" s="2">
        <f>IF(银币!Z74="","",银币!$B74*银币!Z74)</f>
        <v>216000</v>
      </c>
      <c r="AA73" s="2">
        <f>IF(银币!AA74="","",银币!$B74*银币!AA74)</f>
        <v>36000</v>
      </c>
      <c r="AB73" s="2" t="str">
        <f>IF(银币!AB74="","",银币!$B74*银币!AB74)</f>
        <v/>
      </c>
      <c r="AC73" s="2" t="str">
        <f>IF(银币!AC74="","",银币!$B74*银币!AC74)</f>
        <v/>
      </c>
      <c r="AD73" s="2" t="str">
        <f>IF(银币!AD74="","",银币!$B74*银币!AD74)</f>
        <v/>
      </c>
      <c r="AE73" s="2" t="str">
        <f>IF(银币!AE74="","",银币!$B74*银币!AE74)</f>
        <v/>
      </c>
      <c r="AF73" s="2">
        <f>银币!AI74</f>
        <v>302400</v>
      </c>
    </row>
    <row r="74" spans="1:32">
      <c r="A74" s="58">
        <v>73</v>
      </c>
      <c r="B74" s="96">
        <f>银币!B75</f>
        <v>73000</v>
      </c>
      <c r="C74" s="2">
        <f>IF(银币!C75="","",银币!$B75*银币!C75)</f>
        <v>292000</v>
      </c>
      <c r="D74" s="2">
        <f>IF(银币!D75="","",银币!$B75*银币!D75)</f>
        <v>120450</v>
      </c>
      <c r="E74" s="2">
        <f>IF(银币!E75="","",银币!$B75*银币!E75)</f>
        <v>36500</v>
      </c>
      <c r="F74" s="2">
        <f>IF(银币!F75="","",银币!$B75*银币!F75)</f>
        <v>73000</v>
      </c>
      <c r="G74" s="2" t="str">
        <f>IF(银币!G75="","",银币!$B75*银币!G75)</f>
        <v/>
      </c>
      <c r="H74" s="2" t="str">
        <f>IF(银币!H75="","",银币!$B75*银币!H75)</f>
        <v/>
      </c>
      <c r="I74" s="2" t="str">
        <f>IF(银币!I75="","",银币!$B75*银币!I75)</f>
        <v/>
      </c>
      <c r="J74" s="2" t="str">
        <f>IF(银币!J75="","",银币!$B75*银币!J75)</f>
        <v/>
      </c>
      <c r="K74" s="2">
        <f>IF(银币!K75="","",银币!$B75*银币!K75)</f>
        <v>73000</v>
      </c>
      <c r="L74" s="2">
        <f>IF(银币!L75="","",银币!$B75*银币!L75)</f>
        <v>73000</v>
      </c>
      <c r="M74" s="2" t="str">
        <f>IF(银币!M75="","",银币!$B75*银币!M75)</f>
        <v/>
      </c>
      <c r="N74" s="2" t="str">
        <f>IF(银币!N75="","",银币!$B75*银币!N75)</f>
        <v/>
      </c>
      <c r="O74" s="2" t="str">
        <f>IF(银币!O75="","",银币!$B75*银币!O75)</f>
        <v/>
      </c>
      <c r="P74" s="2">
        <f>IF(银币!P75="","",银币!$B75*银币!P75)</f>
        <v>36500</v>
      </c>
      <c r="Q74" s="2">
        <f>IF(银币!Q75="","",银币!$B75*银币!Q75)</f>
        <v>365000</v>
      </c>
      <c r="R74" s="2" t="str">
        <f>IF(银币!R75="","",银币!$B75*银币!R75)</f>
        <v/>
      </c>
      <c r="S74" s="2">
        <f>IF(银币!S75="","",银币!$B75*银币!S75)</f>
        <v>73000</v>
      </c>
      <c r="T74" s="2">
        <f>IF(银币!T75="","",银币!$B75*银币!T75)</f>
        <v>0</v>
      </c>
      <c r="U74" s="2">
        <f>IF(银币!U75="","",银币!$B75*银币!U75)</f>
        <v>73000</v>
      </c>
      <c r="V74" s="2">
        <f>IF(银币!V75="","",银币!$B75*银币!V75)</f>
        <v>109500</v>
      </c>
      <c r="W74" s="2">
        <f>IF(银币!W75="","",银币!$B75*银币!W75)</f>
        <v>73000</v>
      </c>
      <c r="X74" s="2">
        <f>IF(银币!X75="","",银币!$B75*银币!X75)</f>
        <v>73000</v>
      </c>
      <c r="Y74" s="2">
        <f>IF(银币!Y75="","",银币!$B75*银币!Y75)</f>
        <v>73000</v>
      </c>
      <c r="Z74" s="2">
        <f>IF(银币!Z75="","",银币!$B75*银币!Z75)</f>
        <v>219000</v>
      </c>
      <c r="AA74" s="2">
        <f>IF(银币!AA75="","",银币!$B75*银币!AA75)</f>
        <v>36500</v>
      </c>
      <c r="AB74" s="2" t="str">
        <f>IF(银币!AB75="","",银币!$B75*银币!AB75)</f>
        <v/>
      </c>
      <c r="AC74" s="2" t="str">
        <f>IF(银币!AC75="","",银币!$B75*银币!AC75)</f>
        <v/>
      </c>
      <c r="AD74" s="2" t="str">
        <f>IF(银币!AD75="","",银币!$B75*银币!AD75)</f>
        <v/>
      </c>
      <c r="AE74" s="2" t="str">
        <f>IF(银币!AE75="","",银币!$B75*银币!AE75)</f>
        <v/>
      </c>
      <c r="AF74" s="2">
        <f>银币!AI75</f>
        <v>313900</v>
      </c>
    </row>
    <row r="75" spans="1:32">
      <c r="A75" s="58">
        <v>74</v>
      </c>
      <c r="B75" s="96">
        <f>银币!B76</f>
        <v>74000</v>
      </c>
      <c r="C75" s="2">
        <f>IF(银币!C76="","",银币!$B76*银币!C76)</f>
        <v>296000</v>
      </c>
      <c r="D75" s="2">
        <f>IF(银币!D76="","",银币!$B76*银币!D76)</f>
        <v>122100</v>
      </c>
      <c r="E75" s="2">
        <f>IF(银币!E76="","",银币!$B76*银币!E76)</f>
        <v>37000</v>
      </c>
      <c r="F75" s="2">
        <f>IF(银币!F76="","",银币!$B76*银币!F76)</f>
        <v>74000</v>
      </c>
      <c r="G75" s="2" t="str">
        <f>IF(银币!G76="","",银币!$B76*银币!G76)</f>
        <v/>
      </c>
      <c r="H75" s="2" t="str">
        <f>IF(银币!H76="","",银币!$B76*银币!H76)</f>
        <v/>
      </c>
      <c r="I75" s="2" t="str">
        <f>IF(银币!I76="","",银币!$B76*银币!I76)</f>
        <v/>
      </c>
      <c r="J75" s="2" t="str">
        <f>IF(银币!J76="","",银币!$B76*银币!J76)</f>
        <v/>
      </c>
      <c r="K75" s="2">
        <f>IF(银币!K76="","",银币!$B76*银币!K76)</f>
        <v>74000</v>
      </c>
      <c r="L75" s="2">
        <f>IF(银币!L76="","",银币!$B76*银币!L76)</f>
        <v>74000</v>
      </c>
      <c r="M75" s="2" t="str">
        <f>IF(银币!M76="","",银币!$B76*银币!M76)</f>
        <v/>
      </c>
      <c r="N75" s="2" t="str">
        <f>IF(银币!N76="","",银币!$B76*银币!N76)</f>
        <v/>
      </c>
      <c r="O75" s="2" t="str">
        <f>IF(银币!O76="","",银币!$B76*银币!O76)</f>
        <v/>
      </c>
      <c r="P75" s="2">
        <f>IF(银币!P76="","",银币!$B76*银币!P76)</f>
        <v>37000</v>
      </c>
      <c r="Q75" s="2">
        <f>IF(银币!Q76="","",银币!$B76*银币!Q76)</f>
        <v>370000</v>
      </c>
      <c r="R75" s="2" t="str">
        <f>IF(银币!R76="","",银币!$B76*银币!R76)</f>
        <v/>
      </c>
      <c r="S75" s="2">
        <f>IF(银币!S76="","",银币!$B76*银币!S76)</f>
        <v>74000</v>
      </c>
      <c r="T75" s="2">
        <f>IF(银币!T76="","",银币!$B76*银币!T76)</f>
        <v>0</v>
      </c>
      <c r="U75" s="2">
        <f>IF(银币!U76="","",银币!$B76*银币!U76)</f>
        <v>74000</v>
      </c>
      <c r="V75" s="2">
        <f>IF(银币!V76="","",银币!$B76*银币!V76)</f>
        <v>111000</v>
      </c>
      <c r="W75" s="2">
        <f>IF(银币!W76="","",银币!$B76*银币!W76)</f>
        <v>74000</v>
      </c>
      <c r="X75" s="2">
        <f>IF(银币!X76="","",银币!$B76*银币!X76)</f>
        <v>74000</v>
      </c>
      <c r="Y75" s="2">
        <f>IF(银币!Y76="","",银币!$B76*银币!Y76)</f>
        <v>74000</v>
      </c>
      <c r="Z75" s="2">
        <f>IF(银币!Z76="","",银币!$B76*银币!Z76)</f>
        <v>222000</v>
      </c>
      <c r="AA75" s="2">
        <f>IF(银币!AA76="","",银币!$B76*银币!AA76)</f>
        <v>37000</v>
      </c>
      <c r="AB75" s="2" t="str">
        <f>IF(银币!AB76="","",银币!$B76*银币!AB76)</f>
        <v/>
      </c>
      <c r="AC75" s="2" t="str">
        <f>IF(银币!AC76="","",银币!$B76*银币!AC76)</f>
        <v/>
      </c>
      <c r="AD75" s="2" t="str">
        <f>IF(银币!AD76="","",银币!$B76*银币!AD76)</f>
        <v/>
      </c>
      <c r="AE75" s="2" t="str">
        <f>IF(银币!AE76="","",银币!$B76*银币!AE76)</f>
        <v/>
      </c>
      <c r="AF75" s="2">
        <f>银币!AI76</f>
        <v>325600</v>
      </c>
    </row>
    <row r="76" spans="1:32">
      <c r="A76" s="58">
        <v>75</v>
      </c>
      <c r="B76" s="96">
        <f>银币!B77</f>
        <v>75000</v>
      </c>
      <c r="C76" s="2">
        <f>IF(银币!C77="","",银币!$B77*银币!C77)</f>
        <v>300000</v>
      </c>
      <c r="D76" s="2">
        <f>IF(银币!D77="","",银币!$B77*银币!D77)</f>
        <v>123750</v>
      </c>
      <c r="E76" s="2">
        <f>IF(银币!E77="","",银币!$B77*银币!E77)</f>
        <v>37500</v>
      </c>
      <c r="F76" s="2">
        <f>IF(银币!F77="","",银币!$B77*银币!F77)</f>
        <v>75000</v>
      </c>
      <c r="G76" s="2" t="str">
        <f>IF(银币!G77="","",银币!$B77*银币!G77)</f>
        <v/>
      </c>
      <c r="H76" s="2" t="str">
        <f>IF(银币!H77="","",银币!$B77*银币!H77)</f>
        <v/>
      </c>
      <c r="I76" s="2" t="str">
        <f>IF(银币!I77="","",银币!$B77*银币!I77)</f>
        <v/>
      </c>
      <c r="J76" s="2" t="str">
        <f>IF(银币!J77="","",银币!$B77*银币!J77)</f>
        <v/>
      </c>
      <c r="K76" s="2">
        <f>IF(银币!K77="","",银币!$B77*银币!K77)</f>
        <v>75000</v>
      </c>
      <c r="L76" s="2">
        <f>IF(银币!L77="","",银币!$B77*银币!L77)</f>
        <v>75000</v>
      </c>
      <c r="M76" s="2" t="str">
        <f>IF(银币!M77="","",银币!$B77*银币!M77)</f>
        <v/>
      </c>
      <c r="N76" s="2" t="str">
        <f>IF(银币!N77="","",银币!$B77*银币!N77)</f>
        <v/>
      </c>
      <c r="O76" s="2" t="str">
        <f>IF(银币!O77="","",银币!$B77*银币!O77)</f>
        <v/>
      </c>
      <c r="P76" s="2">
        <f>IF(银币!P77="","",银币!$B77*银币!P77)</f>
        <v>37500</v>
      </c>
      <c r="Q76" s="2">
        <f>IF(银币!Q77="","",银币!$B77*银币!Q77)</f>
        <v>375000</v>
      </c>
      <c r="R76" s="2" t="str">
        <f>IF(银币!R77="","",银币!$B77*银币!R77)</f>
        <v/>
      </c>
      <c r="S76" s="2">
        <f>IF(银币!S77="","",银币!$B77*银币!S77)</f>
        <v>75000</v>
      </c>
      <c r="T76" s="2">
        <f>IF(银币!T77="","",银币!$B77*银币!T77)</f>
        <v>0</v>
      </c>
      <c r="U76" s="2">
        <f>IF(银币!U77="","",银币!$B77*银币!U77)</f>
        <v>75000</v>
      </c>
      <c r="V76" s="2">
        <f>IF(银币!V77="","",银币!$B77*银币!V77)</f>
        <v>112500</v>
      </c>
      <c r="W76" s="2">
        <f>IF(银币!W77="","",银币!$B77*银币!W77)</f>
        <v>75000</v>
      </c>
      <c r="X76" s="2">
        <f>IF(银币!X77="","",银币!$B77*银币!X77)</f>
        <v>75000</v>
      </c>
      <c r="Y76" s="2">
        <f>IF(银币!Y77="","",银币!$B77*银币!Y77)</f>
        <v>75000</v>
      </c>
      <c r="Z76" s="2">
        <f>IF(银币!Z77="","",银币!$B77*银币!Z77)</f>
        <v>225000</v>
      </c>
      <c r="AA76" s="2">
        <f>IF(银币!AA77="","",银币!$B77*银币!AA77)</f>
        <v>37500</v>
      </c>
      <c r="AB76" s="2" t="str">
        <f>IF(银币!AB77="","",银币!$B77*银币!AB77)</f>
        <v/>
      </c>
      <c r="AC76" s="2" t="str">
        <f>IF(银币!AC77="","",银币!$B77*银币!AC77)</f>
        <v/>
      </c>
      <c r="AD76" s="2" t="str">
        <f>IF(银币!AD77="","",银币!$B77*银币!AD77)</f>
        <v/>
      </c>
      <c r="AE76" s="2" t="str">
        <f>IF(银币!AE77="","",银币!$B77*银币!AE77)</f>
        <v/>
      </c>
      <c r="AF76" s="2">
        <f>银币!AI77</f>
        <v>337500</v>
      </c>
    </row>
    <row r="77" spans="1:32">
      <c r="A77" s="58">
        <v>76</v>
      </c>
      <c r="B77" s="96">
        <f>银币!B78</f>
        <v>76000</v>
      </c>
      <c r="C77" s="2">
        <f>IF(银币!C78="","",银币!$B78*银币!C78)</f>
        <v>304000</v>
      </c>
      <c r="D77" s="2">
        <f>IF(银币!D78="","",银币!$B78*银币!D78)</f>
        <v>125400</v>
      </c>
      <c r="E77" s="2">
        <f>IF(银币!E78="","",银币!$B78*银币!E78)</f>
        <v>38000</v>
      </c>
      <c r="F77" s="2">
        <f>IF(银币!F78="","",银币!$B78*银币!F78)</f>
        <v>76000</v>
      </c>
      <c r="G77" s="2" t="str">
        <f>IF(银币!G78="","",银币!$B78*银币!G78)</f>
        <v/>
      </c>
      <c r="H77" s="2" t="str">
        <f>IF(银币!H78="","",银币!$B78*银币!H78)</f>
        <v/>
      </c>
      <c r="I77" s="2" t="str">
        <f>IF(银币!I78="","",银币!$B78*银币!I78)</f>
        <v/>
      </c>
      <c r="J77" s="2" t="str">
        <f>IF(银币!J78="","",银币!$B78*银币!J78)</f>
        <v/>
      </c>
      <c r="K77" s="2">
        <f>IF(银币!K78="","",银币!$B78*银币!K78)</f>
        <v>76000</v>
      </c>
      <c r="L77" s="2">
        <f>IF(银币!L78="","",银币!$B78*银币!L78)</f>
        <v>76000</v>
      </c>
      <c r="M77" s="2" t="str">
        <f>IF(银币!M78="","",银币!$B78*银币!M78)</f>
        <v/>
      </c>
      <c r="N77" s="2" t="str">
        <f>IF(银币!N78="","",银币!$B78*银币!N78)</f>
        <v/>
      </c>
      <c r="O77" s="2" t="str">
        <f>IF(银币!O78="","",银币!$B78*银币!O78)</f>
        <v/>
      </c>
      <c r="P77" s="2">
        <f>IF(银币!P78="","",银币!$B78*银币!P78)</f>
        <v>38000</v>
      </c>
      <c r="Q77" s="2">
        <f>IF(银币!Q78="","",银币!$B78*银币!Q78)</f>
        <v>380000</v>
      </c>
      <c r="R77" s="2" t="str">
        <f>IF(银币!R78="","",银币!$B78*银币!R78)</f>
        <v/>
      </c>
      <c r="S77" s="2">
        <f>IF(银币!S78="","",银币!$B78*银币!S78)</f>
        <v>76000</v>
      </c>
      <c r="T77" s="2">
        <f>IF(银币!T78="","",银币!$B78*银币!T78)</f>
        <v>0</v>
      </c>
      <c r="U77" s="2">
        <f>IF(银币!U78="","",银币!$B78*银币!U78)</f>
        <v>76000</v>
      </c>
      <c r="V77" s="2">
        <f>IF(银币!V78="","",银币!$B78*银币!V78)</f>
        <v>114000</v>
      </c>
      <c r="W77" s="2">
        <f>IF(银币!W78="","",银币!$B78*银币!W78)</f>
        <v>76000</v>
      </c>
      <c r="X77" s="2">
        <f>IF(银币!X78="","",银币!$B78*银币!X78)</f>
        <v>76000</v>
      </c>
      <c r="Y77" s="2">
        <f>IF(银币!Y78="","",银币!$B78*银币!Y78)</f>
        <v>76000</v>
      </c>
      <c r="Z77" s="2">
        <f>IF(银币!Z78="","",银币!$B78*银币!Z78)</f>
        <v>228000</v>
      </c>
      <c r="AA77" s="2">
        <f>IF(银币!AA78="","",银币!$B78*银币!AA78)</f>
        <v>38000</v>
      </c>
      <c r="AB77" s="2" t="str">
        <f>IF(银币!AB78="","",银币!$B78*银币!AB78)</f>
        <v/>
      </c>
      <c r="AC77" s="2" t="str">
        <f>IF(银币!AC78="","",银币!$B78*银币!AC78)</f>
        <v/>
      </c>
      <c r="AD77" s="2" t="str">
        <f>IF(银币!AD78="","",银币!$B78*银币!AD78)</f>
        <v/>
      </c>
      <c r="AE77" s="2" t="str">
        <f>IF(银币!AE78="","",银币!$B78*银币!AE78)</f>
        <v/>
      </c>
      <c r="AF77" s="2">
        <f>银币!AI78</f>
        <v>349600</v>
      </c>
    </row>
    <row r="78" spans="1:32">
      <c r="A78" s="58">
        <v>77</v>
      </c>
      <c r="B78" s="96">
        <f>银币!B79</f>
        <v>77000</v>
      </c>
      <c r="C78" s="2">
        <f>IF(银币!C79="","",银币!$B79*银币!C79)</f>
        <v>308000</v>
      </c>
      <c r="D78" s="2">
        <f>IF(银币!D79="","",银币!$B79*银币!D79)</f>
        <v>127050</v>
      </c>
      <c r="E78" s="2">
        <f>IF(银币!E79="","",银币!$B79*银币!E79)</f>
        <v>38500</v>
      </c>
      <c r="F78" s="2">
        <f>IF(银币!F79="","",银币!$B79*银币!F79)</f>
        <v>77000</v>
      </c>
      <c r="G78" s="2" t="str">
        <f>IF(银币!G79="","",银币!$B79*银币!G79)</f>
        <v/>
      </c>
      <c r="H78" s="2" t="str">
        <f>IF(银币!H79="","",银币!$B79*银币!H79)</f>
        <v/>
      </c>
      <c r="I78" s="2" t="str">
        <f>IF(银币!I79="","",银币!$B79*银币!I79)</f>
        <v/>
      </c>
      <c r="J78" s="2" t="str">
        <f>IF(银币!J79="","",银币!$B79*银币!J79)</f>
        <v/>
      </c>
      <c r="K78" s="2">
        <f>IF(银币!K79="","",银币!$B79*银币!K79)</f>
        <v>77000</v>
      </c>
      <c r="L78" s="2">
        <f>IF(银币!L79="","",银币!$B79*银币!L79)</f>
        <v>77000</v>
      </c>
      <c r="M78" s="2" t="str">
        <f>IF(银币!M79="","",银币!$B79*银币!M79)</f>
        <v/>
      </c>
      <c r="N78" s="2" t="str">
        <f>IF(银币!N79="","",银币!$B79*银币!N79)</f>
        <v/>
      </c>
      <c r="O78" s="2" t="str">
        <f>IF(银币!O79="","",银币!$B79*银币!O79)</f>
        <v/>
      </c>
      <c r="P78" s="2">
        <f>IF(银币!P79="","",银币!$B79*银币!P79)</f>
        <v>38500</v>
      </c>
      <c r="Q78" s="2">
        <f>IF(银币!Q79="","",银币!$B79*银币!Q79)</f>
        <v>385000</v>
      </c>
      <c r="R78" s="2" t="str">
        <f>IF(银币!R79="","",银币!$B79*银币!R79)</f>
        <v/>
      </c>
      <c r="S78" s="2">
        <f>IF(银币!S79="","",银币!$B79*银币!S79)</f>
        <v>77000</v>
      </c>
      <c r="T78" s="2">
        <f>IF(银币!T79="","",银币!$B79*银币!T79)</f>
        <v>0</v>
      </c>
      <c r="U78" s="2">
        <f>IF(银币!U79="","",银币!$B79*银币!U79)</f>
        <v>77000</v>
      </c>
      <c r="V78" s="2">
        <f>IF(银币!V79="","",银币!$B79*银币!V79)</f>
        <v>115500</v>
      </c>
      <c r="W78" s="2">
        <f>IF(银币!W79="","",银币!$B79*银币!W79)</f>
        <v>77000</v>
      </c>
      <c r="X78" s="2">
        <f>IF(银币!X79="","",银币!$B79*银币!X79)</f>
        <v>77000</v>
      </c>
      <c r="Y78" s="2">
        <f>IF(银币!Y79="","",银币!$B79*银币!Y79)</f>
        <v>77000</v>
      </c>
      <c r="Z78" s="2">
        <f>IF(银币!Z79="","",银币!$B79*银币!Z79)</f>
        <v>231000</v>
      </c>
      <c r="AA78" s="2">
        <f>IF(银币!AA79="","",银币!$B79*银币!AA79)</f>
        <v>38500</v>
      </c>
      <c r="AB78" s="2" t="str">
        <f>IF(银币!AB79="","",银币!$B79*银币!AB79)</f>
        <v/>
      </c>
      <c r="AC78" s="2" t="str">
        <f>IF(银币!AC79="","",银币!$B79*银币!AC79)</f>
        <v/>
      </c>
      <c r="AD78" s="2" t="str">
        <f>IF(银币!AD79="","",银币!$B79*银币!AD79)</f>
        <v/>
      </c>
      <c r="AE78" s="2" t="str">
        <f>IF(银币!AE79="","",银币!$B79*银币!AE79)</f>
        <v/>
      </c>
      <c r="AF78" s="2">
        <f>银币!AI79</f>
        <v>361900</v>
      </c>
    </row>
    <row r="79" spans="1:32">
      <c r="A79" s="58">
        <v>78</v>
      </c>
      <c r="B79" s="96">
        <f>银币!B80</f>
        <v>78000</v>
      </c>
      <c r="C79" s="2">
        <f>IF(银币!C80="","",银币!$B80*银币!C80)</f>
        <v>312000</v>
      </c>
      <c r="D79" s="2">
        <f>IF(银币!D80="","",银币!$B80*银币!D80)</f>
        <v>128700</v>
      </c>
      <c r="E79" s="2">
        <f>IF(银币!E80="","",银币!$B80*银币!E80)</f>
        <v>39000</v>
      </c>
      <c r="F79" s="2">
        <f>IF(银币!F80="","",银币!$B80*银币!F80)</f>
        <v>78000</v>
      </c>
      <c r="G79" s="2" t="str">
        <f>IF(银币!G80="","",银币!$B80*银币!G80)</f>
        <v/>
      </c>
      <c r="H79" s="2" t="str">
        <f>IF(银币!H80="","",银币!$B80*银币!H80)</f>
        <v/>
      </c>
      <c r="I79" s="2" t="str">
        <f>IF(银币!I80="","",银币!$B80*银币!I80)</f>
        <v/>
      </c>
      <c r="J79" s="2" t="str">
        <f>IF(银币!J80="","",银币!$B80*银币!J80)</f>
        <v/>
      </c>
      <c r="K79" s="2">
        <f>IF(银币!K80="","",银币!$B80*银币!K80)</f>
        <v>78000</v>
      </c>
      <c r="L79" s="2">
        <f>IF(银币!L80="","",银币!$B80*银币!L80)</f>
        <v>78000</v>
      </c>
      <c r="M79" s="2" t="str">
        <f>IF(银币!M80="","",银币!$B80*银币!M80)</f>
        <v/>
      </c>
      <c r="N79" s="2" t="str">
        <f>IF(银币!N80="","",银币!$B80*银币!N80)</f>
        <v/>
      </c>
      <c r="O79" s="2" t="str">
        <f>IF(银币!O80="","",银币!$B80*银币!O80)</f>
        <v/>
      </c>
      <c r="P79" s="2">
        <f>IF(银币!P80="","",银币!$B80*银币!P80)</f>
        <v>39000</v>
      </c>
      <c r="Q79" s="2">
        <f>IF(银币!Q80="","",银币!$B80*银币!Q80)</f>
        <v>390000</v>
      </c>
      <c r="R79" s="2" t="str">
        <f>IF(银币!R80="","",银币!$B80*银币!R80)</f>
        <v/>
      </c>
      <c r="S79" s="2">
        <f>IF(银币!S80="","",银币!$B80*银币!S80)</f>
        <v>78000</v>
      </c>
      <c r="T79" s="2">
        <f>IF(银币!T80="","",银币!$B80*银币!T80)</f>
        <v>0</v>
      </c>
      <c r="U79" s="2">
        <f>IF(银币!U80="","",银币!$B80*银币!U80)</f>
        <v>78000</v>
      </c>
      <c r="V79" s="2">
        <f>IF(银币!V80="","",银币!$B80*银币!V80)</f>
        <v>117000</v>
      </c>
      <c r="W79" s="2">
        <f>IF(银币!W80="","",银币!$B80*银币!W80)</f>
        <v>78000</v>
      </c>
      <c r="X79" s="2">
        <f>IF(银币!X80="","",银币!$B80*银币!X80)</f>
        <v>78000</v>
      </c>
      <c r="Y79" s="2">
        <f>IF(银币!Y80="","",银币!$B80*银币!Y80)</f>
        <v>78000</v>
      </c>
      <c r="Z79" s="2">
        <f>IF(银币!Z80="","",银币!$B80*银币!Z80)</f>
        <v>234000</v>
      </c>
      <c r="AA79" s="2">
        <f>IF(银币!AA80="","",银币!$B80*银币!AA80)</f>
        <v>39000</v>
      </c>
      <c r="AB79" s="2" t="str">
        <f>IF(银币!AB80="","",银币!$B80*银币!AB80)</f>
        <v/>
      </c>
      <c r="AC79" s="2" t="str">
        <f>IF(银币!AC80="","",银币!$B80*银币!AC80)</f>
        <v/>
      </c>
      <c r="AD79" s="2" t="str">
        <f>IF(银币!AD80="","",银币!$B80*银币!AD80)</f>
        <v/>
      </c>
      <c r="AE79" s="2" t="str">
        <f>IF(银币!AE80="","",银币!$B80*银币!AE80)</f>
        <v/>
      </c>
      <c r="AF79" s="2">
        <f>银币!AI80</f>
        <v>374400</v>
      </c>
    </row>
    <row r="80" spans="1:32">
      <c r="A80" s="58">
        <v>79</v>
      </c>
      <c r="B80" s="96">
        <f>银币!B81</f>
        <v>79000</v>
      </c>
      <c r="C80" s="2">
        <f>IF(银币!C81="","",银币!$B81*银币!C81)</f>
        <v>316000</v>
      </c>
      <c r="D80" s="2">
        <f>IF(银币!D81="","",银币!$B81*银币!D81)</f>
        <v>130350</v>
      </c>
      <c r="E80" s="2">
        <f>IF(银币!E81="","",银币!$B81*银币!E81)</f>
        <v>39500</v>
      </c>
      <c r="F80" s="2">
        <f>IF(银币!F81="","",银币!$B81*银币!F81)</f>
        <v>79000</v>
      </c>
      <c r="G80" s="2" t="str">
        <f>IF(银币!G81="","",银币!$B81*银币!G81)</f>
        <v/>
      </c>
      <c r="H80" s="2" t="str">
        <f>IF(银币!H81="","",银币!$B81*银币!H81)</f>
        <v/>
      </c>
      <c r="I80" s="2" t="str">
        <f>IF(银币!I81="","",银币!$B81*银币!I81)</f>
        <v/>
      </c>
      <c r="J80" s="2" t="str">
        <f>IF(银币!J81="","",银币!$B81*银币!J81)</f>
        <v/>
      </c>
      <c r="K80" s="2">
        <f>IF(银币!K81="","",银币!$B81*银币!K81)</f>
        <v>79000</v>
      </c>
      <c r="L80" s="2">
        <f>IF(银币!L81="","",银币!$B81*银币!L81)</f>
        <v>79000</v>
      </c>
      <c r="M80" s="2" t="str">
        <f>IF(银币!M81="","",银币!$B81*银币!M81)</f>
        <v/>
      </c>
      <c r="N80" s="2" t="str">
        <f>IF(银币!N81="","",银币!$B81*银币!N81)</f>
        <v/>
      </c>
      <c r="O80" s="2" t="str">
        <f>IF(银币!O81="","",银币!$B81*银币!O81)</f>
        <v/>
      </c>
      <c r="P80" s="2">
        <f>IF(银币!P81="","",银币!$B81*银币!P81)</f>
        <v>39500</v>
      </c>
      <c r="Q80" s="2">
        <f>IF(银币!Q81="","",银币!$B81*银币!Q81)</f>
        <v>395000</v>
      </c>
      <c r="R80" s="2" t="str">
        <f>IF(银币!R81="","",银币!$B81*银币!R81)</f>
        <v/>
      </c>
      <c r="S80" s="2">
        <f>IF(银币!S81="","",银币!$B81*银币!S81)</f>
        <v>79000</v>
      </c>
      <c r="T80" s="2">
        <f>IF(银币!T81="","",银币!$B81*银币!T81)</f>
        <v>0</v>
      </c>
      <c r="U80" s="2">
        <f>IF(银币!U81="","",银币!$B81*银币!U81)</f>
        <v>79000</v>
      </c>
      <c r="V80" s="2">
        <f>IF(银币!V81="","",银币!$B81*银币!V81)</f>
        <v>118500</v>
      </c>
      <c r="W80" s="2">
        <f>IF(银币!W81="","",银币!$B81*银币!W81)</f>
        <v>79000</v>
      </c>
      <c r="X80" s="2">
        <f>IF(银币!X81="","",银币!$B81*银币!X81)</f>
        <v>79000</v>
      </c>
      <c r="Y80" s="2">
        <f>IF(银币!Y81="","",银币!$B81*银币!Y81)</f>
        <v>79000</v>
      </c>
      <c r="Z80" s="2">
        <f>IF(银币!Z81="","",银币!$B81*银币!Z81)</f>
        <v>237000</v>
      </c>
      <c r="AA80" s="2">
        <f>IF(银币!AA81="","",银币!$B81*银币!AA81)</f>
        <v>39500</v>
      </c>
      <c r="AB80" s="2" t="str">
        <f>IF(银币!AB81="","",银币!$B81*银币!AB81)</f>
        <v/>
      </c>
      <c r="AC80" s="2" t="str">
        <f>IF(银币!AC81="","",银币!$B81*银币!AC81)</f>
        <v/>
      </c>
      <c r="AD80" s="2" t="str">
        <f>IF(银币!AD81="","",银币!$B81*银币!AD81)</f>
        <v/>
      </c>
      <c r="AE80" s="2" t="str">
        <f>IF(银币!AE81="","",银币!$B81*银币!AE81)</f>
        <v/>
      </c>
      <c r="AF80" s="2">
        <f>银币!AI81</f>
        <v>387100</v>
      </c>
    </row>
    <row r="81" spans="1:32">
      <c r="A81" s="58">
        <v>80</v>
      </c>
      <c r="B81" s="96">
        <f>银币!B82</f>
        <v>80000</v>
      </c>
      <c r="C81" s="2">
        <f>IF(银币!C82="","",银币!$B82*银币!C82)</f>
        <v>320000</v>
      </c>
      <c r="D81" s="2">
        <f>IF(银币!D82="","",银币!$B82*银币!D82)</f>
        <v>132000</v>
      </c>
      <c r="E81" s="2">
        <f>IF(银币!E82="","",银币!$B82*银币!E82)</f>
        <v>40000</v>
      </c>
      <c r="F81" s="2">
        <f>IF(银币!F82="","",银币!$B82*银币!F82)</f>
        <v>80000</v>
      </c>
      <c r="G81" s="2" t="str">
        <f>IF(银币!G82="","",银币!$B82*银币!G82)</f>
        <v/>
      </c>
      <c r="H81" s="2" t="str">
        <f>IF(银币!H82="","",银币!$B82*银币!H82)</f>
        <v/>
      </c>
      <c r="I81" s="2" t="str">
        <f>IF(银币!I82="","",银币!$B82*银币!I82)</f>
        <v/>
      </c>
      <c r="J81" s="2" t="str">
        <f>IF(银币!J82="","",银币!$B82*银币!J82)</f>
        <v/>
      </c>
      <c r="K81" s="2">
        <f>IF(银币!K82="","",银币!$B82*银币!K82)</f>
        <v>80000</v>
      </c>
      <c r="L81" s="2">
        <f>IF(银币!L82="","",银币!$B82*银币!L82)</f>
        <v>80000</v>
      </c>
      <c r="M81" s="2" t="str">
        <f>IF(银币!M82="","",银币!$B82*银币!M82)</f>
        <v/>
      </c>
      <c r="N81" s="2" t="str">
        <f>IF(银币!N82="","",银币!$B82*银币!N82)</f>
        <v/>
      </c>
      <c r="O81" s="2" t="str">
        <f>IF(银币!O82="","",银币!$B82*银币!O82)</f>
        <v/>
      </c>
      <c r="P81" s="2">
        <f>IF(银币!P82="","",银币!$B82*银币!P82)</f>
        <v>40000</v>
      </c>
      <c r="Q81" s="2">
        <f>IF(银币!Q82="","",银币!$B82*银币!Q82)</f>
        <v>400000</v>
      </c>
      <c r="R81" s="2" t="str">
        <f>IF(银币!R82="","",银币!$B82*银币!R82)</f>
        <v/>
      </c>
      <c r="S81" s="2">
        <f>IF(银币!S82="","",银币!$B82*银币!S82)</f>
        <v>80000</v>
      </c>
      <c r="T81" s="2">
        <f>IF(银币!T82="","",银币!$B82*银币!T82)</f>
        <v>0</v>
      </c>
      <c r="U81" s="2">
        <f>IF(银币!U82="","",银币!$B82*银币!U82)</f>
        <v>80000</v>
      </c>
      <c r="V81" s="2">
        <f>IF(银币!V82="","",银币!$B82*银币!V82)</f>
        <v>120000</v>
      </c>
      <c r="W81" s="2">
        <f>IF(银币!W82="","",银币!$B82*银币!W82)</f>
        <v>80000</v>
      </c>
      <c r="X81" s="2">
        <f>IF(银币!X82="","",银币!$B82*银币!X82)</f>
        <v>80000</v>
      </c>
      <c r="Y81" s="2">
        <f>IF(银币!Y82="","",银币!$B82*银币!Y82)</f>
        <v>80000</v>
      </c>
      <c r="Z81" s="2">
        <f>IF(银币!Z82="","",银币!$B82*银币!Z82)</f>
        <v>240000</v>
      </c>
      <c r="AA81" s="2">
        <f>IF(银币!AA82="","",银币!$B82*银币!AA82)</f>
        <v>40000</v>
      </c>
      <c r="AB81" s="2" t="str">
        <f>IF(银币!AB82="","",银币!$B82*银币!AB82)</f>
        <v/>
      </c>
      <c r="AC81" s="2" t="str">
        <f>IF(银币!AC82="","",银币!$B82*银币!AC82)</f>
        <v/>
      </c>
      <c r="AD81" s="2" t="str">
        <f>IF(银币!AD82="","",银币!$B82*银币!AD82)</f>
        <v/>
      </c>
      <c r="AE81" s="2" t="str">
        <f>IF(银币!AE82="","",银币!$B82*银币!AE82)</f>
        <v/>
      </c>
      <c r="AF81" s="2">
        <f>银币!AI82</f>
        <v>400000</v>
      </c>
    </row>
    <row r="82" spans="1:32">
      <c r="A82" s="58">
        <v>81</v>
      </c>
      <c r="B82" s="96">
        <f>银币!B83</f>
        <v>81000</v>
      </c>
      <c r="C82" s="2">
        <f>IF(银币!C83="","",银币!$B83*银币!C83)</f>
        <v>324000</v>
      </c>
      <c r="D82" s="2">
        <f>IF(银币!D83="","",银币!$B83*银币!D83)</f>
        <v>133650</v>
      </c>
      <c r="E82" s="2">
        <f>IF(银币!E83="","",银币!$B83*银币!E83)</f>
        <v>40500</v>
      </c>
      <c r="F82" s="2">
        <f>IF(银币!F83="","",银币!$B83*银币!F83)</f>
        <v>81000</v>
      </c>
      <c r="G82" s="2" t="str">
        <f>IF(银币!G83="","",银币!$B83*银币!G83)</f>
        <v/>
      </c>
      <c r="H82" s="2" t="str">
        <f>IF(银币!H83="","",银币!$B83*银币!H83)</f>
        <v/>
      </c>
      <c r="I82" s="2" t="str">
        <f>IF(银币!I83="","",银币!$B83*银币!I83)</f>
        <v/>
      </c>
      <c r="J82" s="2" t="str">
        <f>IF(银币!J83="","",银币!$B83*银币!J83)</f>
        <v/>
      </c>
      <c r="K82" s="2">
        <f>IF(银币!K83="","",银币!$B83*银币!K83)</f>
        <v>81000</v>
      </c>
      <c r="L82" s="2">
        <f>IF(银币!L83="","",银币!$B83*银币!L83)</f>
        <v>81000</v>
      </c>
      <c r="M82" s="2" t="str">
        <f>IF(银币!M83="","",银币!$B83*银币!M83)</f>
        <v/>
      </c>
      <c r="N82" s="2" t="str">
        <f>IF(银币!N83="","",银币!$B83*银币!N83)</f>
        <v/>
      </c>
      <c r="O82" s="2" t="str">
        <f>IF(银币!O83="","",银币!$B83*银币!O83)</f>
        <v/>
      </c>
      <c r="P82" s="2">
        <f>IF(银币!P83="","",银币!$B83*银币!P83)</f>
        <v>40500</v>
      </c>
      <c r="Q82" s="2">
        <f>IF(银币!Q83="","",银币!$B83*银币!Q83)</f>
        <v>405000</v>
      </c>
      <c r="R82" s="2" t="str">
        <f>IF(银币!R83="","",银币!$B83*银币!R83)</f>
        <v/>
      </c>
      <c r="S82" s="2">
        <f>IF(银币!S83="","",银币!$B83*银币!S83)</f>
        <v>81000</v>
      </c>
      <c r="T82" s="2">
        <f>IF(银币!T83="","",银币!$B83*银币!T83)</f>
        <v>0</v>
      </c>
      <c r="U82" s="2">
        <f>IF(银币!U83="","",银币!$B83*银币!U83)</f>
        <v>81000</v>
      </c>
      <c r="V82" s="2">
        <f>IF(银币!V83="","",银币!$B83*银币!V83)</f>
        <v>121500</v>
      </c>
      <c r="W82" s="2">
        <f>IF(银币!W83="","",银币!$B83*银币!W83)</f>
        <v>81000</v>
      </c>
      <c r="X82" s="2">
        <f>IF(银币!X83="","",银币!$B83*银币!X83)</f>
        <v>81000</v>
      </c>
      <c r="Y82" s="2">
        <f>IF(银币!Y83="","",银币!$B83*银币!Y83)</f>
        <v>81000</v>
      </c>
      <c r="Z82" s="2">
        <f>IF(银币!Z83="","",银币!$B83*银币!Z83)</f>
        <v>243000</v>
      </c>
      <c r="AA82" s="2">
        <f>IF(银币!AA83="","",银币!$B83*银币!AA83)</f>
        <v>40500</v>
      </c>
      <c r="AB82" s="2" t="str">
        <f>IF(银币!AB83="","",银币!$B83*银币!AB83)</f>
        <v/>
      </c>
      <c r="AC82" s="2" t="str">
        <f>IF(银币!AC83="","",银币!$B83*银币!AC83)</f>
        <v/>
      </c>
      <c r="AD82" s="2" t="str">
        <f>IF(银币!AD83="","",银币!$B83*银币!AD83)</f>
        <v/>
      </c>
      <c r="AE82" s="2" t="str">
        <f>IF(银币!AE83="","",银币!$B83*银币!AE83)</f>
        <v/>
      </c>
      <c r="AF82" s="2">
        <f>银币!AI83</f>
        <v>413100</v>
      </c>
    </row>
    <row r="83" spans="1:32">
      <c r="A83" s="58">
        <v>82</v>
      </c>
      <c r="B83" s="96">
        <f>银币!B84</f>
        <v>82000</v>
      </c>
      <c r="C83" s="2">
        <f>IF(银币!C84="","",银币!$B84*银币!C84)</f>
        <v>328000</v>
      </c>
      <c r="D83" s="2">
        <f>IF(银币!D84="","",银币!$B84*银币!D84)</f>
        <v>135300</v>
      </c>
      <c r="E83" s="2">
        <f>IF(银币!E84="","",银币!$B84*银币!E84)</f>
        <v>41000</v>
      </c>
      <c r="F83" s="2">
        <f>IF(银币!F84="","",银币!$B84*银币!F84)</f>
        <v>82000</v>
      </c>
      <c r="G83" s="2" t="str">
        <f>IF(银币!G84="","",银币!$B84*银币!G84)</f>
        <v/>
      </c>
      <c r="H83" s="2" t="str">
        <f>IF(银币!H84="","",银币!$B84*银币!H84)</f>
        <v/>
      </c>
      <c r="I83" s="2" t="str">
        <f>IF(银币!I84="","",银币!$B84*银币!I84)</f>
        <v/>
      </c>
      <c r="J83" s="2" t="str">
        <f>IF(银币!J84="","",银币!$B84*银币!J84)</f>
        <v/>
      </c>
      <c r="K83" s="2">
        <f>IF(银币!K84="","",银币!$B84*银币!K84)</f>
        <v>82000</v>
      </c>
      <c r="L83" s="2">
        <f>IF(银币!L84="","",银币!$B84*银币!L84)</f>
        <v>82000</v>
      </c>
      <c r="M83" s="2" t="str">
        <f>IF(银币!M84="","",银币!$B84*银币!M84)</f>
        <v/>
      </c>
      <c r="N83" s="2" t="str">
        <f>IF(银币!N84="","",银币!$B84*银币!N84)</f>
        <v/>
      </c>
      <c r="O83" s="2" t="str">
        <f>IF(银币!O84="","",银币!$B84*银币!O84)</f>
        <v/>
      </c>
      <c r="P83" s="2">
        <f>IF(银币!P84="","",银币!$B84*银币!P84)</f>
        <v>41000</v>
      </c>
      <c r="Q83" s="2">
        <f>IF(银币!Q84="","",银币!$B84*银币!Q84)</f>
        <v>410000</v>
      </c>
      <c r="R83" s="2" t="str">
        <f>IF(银币!R84="","",银币!$B84*银币!R84)</f>
        <v/>
      </c>
      <c r="S83" s="2">
        <f>IF(银币!S84="","",银币!$B84*银币!S84)</f>
        <v>82000</v>
      </c>
      <c r="T83" s="2">
        <f>IF(银币!T84="","",银币!$B84*银币!T84)</f>
        <v>0</v>
      </c>
      <c r="U83" s="2">
        <f>IF(银币!U84="","",银币!$B84*银币!U84)</f>
        <v>82000</v>
      </c>
      <c r="V83" s="2">
        <f>IF(银币!V84="","",银币!$B84*银币!V84)</f>
        <v>123000</v>
      </c>
      <c r="W83" s="2">
        <f>IF(银币!W84="","",银币!$B84*银币!W84)</f>
        <v>82000</v>
      </c>
      <c r="X83" s="2">
        <f>IF(银币!X84="","",银币!$B84*银币!X84)</f>
        <v>82000</v>
      </c>
      <c r="Y83" s="2">
        <f>IF(银币!Y84="","",银币!$B84*银币!Y84)</f>
        <v>82000</v>
      </c>
      <c r="Z83" s="2">
        <f>IF(银币!Z84="","",银币!$B84*银币!Z84)</f>
        <v>246000</v>
      </c>
      <c r="AA83" s="2">
        <f>IF(银币!AA84="","",银币!$B84*银币!AA84)</f>
        <v>41000</v>
      </c>
      <c r="AB83" s="2" t="str">
        <f>IF(银币!AB84="","",银币!$B84*银币!AB84)</f>
        <v/>
      </c>
      <c r="AC83" s="2" t="str">
        <f>IF(银币!AC84="","",银币!$B84*银币!AC84)</f>
        <v/>
      </c>
      <c r="AD83" s="2" t="str">
        <f>IF(银币!AD84="","",银币!$B84*银币!AD84)</f>
        <v/>
      </c>
      <c r="AE83" s="2" t="str">
        <f>IF(银币!AE84="","",银币!$B84*银币!AE84)</f>
        <v/>
      </c>
      <c r="AF83" s="2">
        <f>银币!AI84</f>
        <v>426400</v>
      </c>
    </row>
    <row r="84" spans="1:32">
      <c r="A84" s="58">
        <v>83</v>
      </c>
      <c r="B84" s="96">
        <f>银币!B85</f>
        <v>83000</v>
      </c>
      <c r="C84" s="2">
        <f>IF(银币!C85="","",银币!$B85*银币!C85)</f>
        <v>332000</v>
      </c>
      <c r="D84" s="2">
        <f>IF(银币!D85="","",银币!$B85*银币!D85)</f>
        <v>136950</v>
      </c>
      <c r="E84" s="2">
        <f>IF(银币!E85="","",银币!$B85*银币!E85)</f>
        <v>41500</v>
      </c>
      <c r="F84" s="2">
        <f>IF(银币!F85="","",银币!$B85*银币!F85)</f>
        <v>83000</v>
      </c>
      <c r="G84" s="2" t="str">
        <f>IF(银币!G85="","",银币!$B85*银币!G85)</f>
        <v/>
      </c>
      <c r="H84" s="2" t="str">
        <f>IF(银币!H85="","",银币!$B85*银币!H85)</f>
        <v/>
      </c>
      <c r="I84" s="2" t="str">
        <f>IF(银币!I85="","",银币!$B85*银币!I85)</f>
        <v/>
      </c>
      <c r="J84" s="2" t="str">
        <f>IF(银币!J85="","",银币!$B85*银币!J85)</f>
        <v/>
      </c>
      <c r="K84" s="2">
        <f>IF(银币!K85="","",银币!$B85*银币!K85)</f>
        <v>83000</v>
      </c>
      <c r="L84" s="2">
        <f>IF(银币!L85="","",银币!$B85*银币!L85)</f>
        <v>83000</v>
      </c>
      <c r="M84" s="2" t="str">
        <f>IF(银币!M85="","",银币!$B85*银币!M85)</f>
        <v/>
      </c>
      <c r="N84" s="2" t="str">
        <f>IF(银币!N85="","",银币!$B85*银币!N85)</f>
        <v/>
      </c>
      <c r="O84" s="2" t="str">
        <f>IF(银币!O85="","",银币!$B85*银币!O85)</f>
        <v/>
      </c>
      <c r="P84" s="2">
        <f>IF(银币!P85="","",银币!$B85*银币!P85)</f>
        <v>41500</v>
      </c>
      <c r="Q84" s="2">
        <f>IF(银币!Q85="","",银币!$B85*银币!Q85)</f>
        <v>415000</v>
      </c>
      <c r="R84" s="2" t="str">
        <f>IF(银币!R85="","",银币!$B85*银币!R85)</f>
        <v/>
      </c>
      <c r="S84" s="2">
        <f>IF(银币!S85="","",银币!$B85*银币!S85)</f>
        <v>83000</v>
      </c>
      <c r="T84" s="2">
        <f>IF(银币!T85="","",银币!$B85*银币!T85)</f>
        <v>0</v>
      </c>
      <c r="U84" s="2">
        <f>IF(银币!U85="","",银币!$B85*银币!U85)</f>
        <v>83000</v>
      </c>
      <c r="V84" s="2">
        <f>IF(银币!V85="","",银币!$B85*银币!V85)</f>
        <v>124500</v>
      </c>
      <c r="W84" s="2">
        <f>IF(银币!W85="","",银币!$B85*银币!W85)</f>
        <v>83000</v>
      </c>
      <c r="X84" s="2">
        <f>IF(银币!X85="","",银币!$B85*银币!X85)</f>
        <v>83000</v>
      </c>
      <c r="Y84" s="2">
        <f>IF(银币!Y85="","",银币!$B85*银币!Y85)</f>
        <v>83000</v>
      </c>
      <c r="Z84" s="2">
        <f>IF(银币!Z85="","",银币!$B85*银币!Z85)</f>
        <v>249000</v>
      </c>
      <c r="AA84" s="2">
        <f>IF(银币!AA85="","",银币!$B85*银币!AA85)</f>
        <v>41500</v>
      </c>
      <c r="AB84" s="2" t="str">
        <f>IF(银币!AB85="","",银币!$B85*银币!AB85)</f>
        <v/>
      </c>
      <c r="AC84" s="2" t="str">
        <f>IF(银币!AC85="","",银币!$B85*银币!AC85)</f>
        <v/>
      </c>
      <c r="AD84" s="2" t="str">
        <f>IF(银币!AD85="","",银币!$B85*银币!AD85)</f>
        <v/>
      </c>
      <c r="AE84" s="2" t="str">
        <f>IF(银币!AE85="","",银币!$B85*银币!AE85)</f>
        <v/>
      </c>
      <c r="AF84" s="2">
        <f>银币!AI85</f>
        <v>439900</v>
      </c>
    </row>
    <row r="85" spans="1:32">
      <c r="A85" s="58">
        <v>84</v>
      </c>
      <c r="B85" s="96">
        <f>银币!B86</f>
        <v>84000</v>
      </c>
      <c r="C85" s="2">
        <f>IF(银币!C86="","",银币!$B86*银币!C86)</f>
        <v>336000</v>
      </c>
      <c r="D85" s="2">
        <f>IF(银币!D86="","",银币!$B86*银币!D86)</f>
        <v>138600</v>
      </c>
      <c r="E85" s="2">
        <f>IF(银币!E86="","",银币!$B86*银币!E86)</f>
        <v>42000</v>
      </c>
      <c r="F85" s="2">
        <f>IF(银币!F86="","",银币!$B86*银币!F86)</f>
        <v>84000</v>
      </c>
      <c r="G85" s="2" t="str">
        <f>IF(银币!G86="","",银币!$B86*银币!G86)</f>
        <v/>
      </c>
      <c r="H85" s="2" t="str">
        <f>IF(银币!H86="","",银币!$B86*银币!H86)</f>
        <v/>
      </c>
      <c r="I85" s="2" t="str">
        <f>IF(银币!I86="","",银币!$B86*银币!I86)</f>
        <v/>
      </c>
      <c r="J85" s="2" t="str">
        <f>IF(银币!J86="","",银币!$B86*银币!J86)</f>
        <v/>
      </c>
      <c r="K85" s="2">
        <f>IF(银币!K86="","",银币!$B86*银币!K86)</f>
        <v>84000</v>
      </c>
      <c r="L85" s="2">
        <f>IF(银币!L86="","",银币!$B86*银币!L86)</f>
        <v>84000</v>
      </c>
      <c r="M85" s="2" t="str">
        <f>IF(银币!M86="","",银币!$B86*银币!M86)</f>
        <v/>
      </c>
      <c r="N85" s="2" t="str">
        <f>IF(银币!N86="","",银币!$B86*银币!N86)</f>
        <v/>
      </c>
      <c r="O85" s="2" t="str">
        <f>IF(银币!O86="","",银币!$B86*银币!O86)</f>
        <v/>
      </c>
      <c r="P85" s="2">
        <f>IF(银币!P86="","",银币!$B86*银币!P86)</f>
        <v>42000</v>
      </c>
      <c r="Q85" s="2">
        <f>IF(银币!Q86="","",银币!$B86*银币!Q86)</f>
        <v>420000</v>
      </c>
      <c r="R85" s="2" t="str">
        <f>IF(银币!R86="","",银币!$B86*银币!R86)</f>
        <v/>
      </c>
      <c r="S85" s="2">
        <f>IF(银币!S86="","",银币!$B86*银币!S86)</f>
        <v>84000</v>
      </c>
      <c r="T85" s="2">
        <f>IF(银币!T86="","",银币!$B86*银币!T86)</f>
        <v>0</v>
      </c>
      <c r="U85" s="2">
        <f>IF(银币!U86="","",银币!$B86*银币!U86)</f>
        <v>84000</v>
      </c>
      <c r="V85" s="2">
        <f>IF(银币!V86="","",银币!$B86*银币!V86)</f>
        <v>126000</v>
      </c>
      <c r="W85" s="2">
        <f>IF(银币!W86="","",银币!$B86*银币!W86)</f>
        <v>84000</v>
      </c>
      <c r="X85" s="2">
        <f>IF(银币!X86="","",银币!$B86*银币!X86)</f>
        <v>84000</v>
      </c>
      <c r="Y85" s="2">
        <f>IF(银币!Y86="","",银币!$B86*银币!Y86)</f>
        <v>84000</v>
      </c>
      <c r="Z85" s="2">
        <f>IF(银币!Z86="","",银币!$B86*银币!Z86)</f>
        <v>252000</v>
      </c>
      <c r="AA85" s="2">
        <f>IF(银币!AA86="","",银币!$B86*银币!AA86)</f>
        <v>42000</v>
      </c>
      <c r="AB85" s="2" t="str">
        <f>IF(银币!AB86="","",银币!$B86*银币!AB86)</f>
        <v/>
      </c>
      <c r="AC85" s="2" t="str">
        <f>IF(银币!AC86="","",银币!$B86*银币!AC86)</f>
        <v/>
      </c>
      <c r="AD85" s="2" t="str">
        <f>IF(银币!AD86="","",银币!$B86*银币!AD86)</f>
        <v/>
      </c>
      <c r="AE85" s="2" t="str">
        <f>IF(银币!AE86="","",银币!$B86*银币!AE86)</f>
        <v/>
      </c>
      <c r="AF85" s="2">
        <f>银币!AI86</f>
        <v>453600</v>
      </c>
    </row>
    <row r="86" spans="1:32">
      <c r="A86" s="58">
        <v>85</v>
      </c>
      <c r="B86" s="96">
        <f>银币!B87</f>
        <v>85000</v>
      </c>
      <c r="C86" s="2">
        <f>IF(银币!C87="","",银币!$B87*银币!C87)</f>
        <v>340000</v>
      </c>
      <c r="D86" s="2">
        <f>IF(银币!D87="","",银币!$B87*银币!D87)</f>
        <v>140250</v>
      </c>
      <c r="E86" s="2">
        <f>IF(银币!E87="","",银币!$B87*银币!E87)</f>
        <v>42500</v>
      </c>
      <c r="F86" s="2">
        <f>IF(银币!F87="","",银币!$B87*银币!F87)</f>
        <v>85000</v>
      </c>
      <c r="G86" s="2" t="str">
        <f>IF(银币!G87="","",银币!$B87*银币!G87)</f>
        <v/>
      </c>
      <c r="H86" s="2" t="str">
        <f>IF(银币!H87="","",银币!$B87*银币!H87)</f>
        <v/>
      </c>
      <c r="I86" s="2" t="str">
        <f>IF(银币!I87="","",银币!$B87*银币!I87)</f>
        <v/>
      </c>
      <c r="J86" s="2" t="str">
        <f>IF(银币!J87="","",银币!$B87*银币!J87)</f>
        <v/>
      </c>
      <c r="K86" s="2">
        <f>IF(银币!K87="","",银币!$B87*银币!K87)</f>
        <v>85000</v>
      </c>
      <c r="L86" s="2">
        <f>IF(银币!L87="","",银币!$B87*银币!L87)</f>
        <v>85000</v>
      </c>
      <c r="M86" s="2" t="str">
        <f>IF(银币!M87="","",银币!$B87*银币!M87)</f>
        <v/>
      </c>
      <c r="N86" s="2" t="str">
        <f>IF(银币!N87="","",银币!$B87*银币!N87)</f>
        <v/>
      </c>
      <c r="O86" s="2" t="str">
        <f>IF(银币!O87="","",银币!$B87*银币!O87)</f>
        <v/>
      </c>
      <c r="P86" s="2">
        <f>IF(银币!P87="","",银币!$B87*银币!P87)</f>
        <v>42500</v>
      </c>
      <c r="Q86" s="2">
        <f>IF(银币!Q87="","",银币!$B87*银币!Q87)</f>
        <v>425000</v>
      </c>
      <c r="R86" s="2" t="str">
        <f>IF(银币!R87="","",银币!$B87*银币!R87)</f>
        <v/>
      </c>
      <c r="S86" s="2">
        <f>IF(银币!S87="","",银币!$B87*银币!S87)</f>
        <v>85000</v>
      </c>
      <c r="T86" s="2">
        <f>IF(银币!T87="","",银币!$B87*银币!T87)</f>
        <v>0</v>
      </c>
      <c r="U86" s="2">
        <f>IF(银币!U87="","",银币!$B87*银币!U87)</f>
        <v>85000</v>
      </c>
      <c r="V86" s="2">
        <f>IF(银币!V87="","",银币!$B87*银币!V87)</f>
        <v>127500</v>
      </c>
      <c r="W86" s="2">
        <f>IF(银币!W87="","",银币!$B87*银币!W87)</f>
        <v>85000</v>
      </c>
      <c r="X86" s="2">
        <f>IF(银币!X87="","",银币!$B87*银币!X87)</f>
        <v>85000</v>
      </c>
      <c r="Y86" s="2">
        <f>IF(银币!Y87="","",银币!$B87*银币!Y87)</f>
        <v>85000</v>
      </c>
      <c r="Z86" s="2">
        <f>IF(银币!Z87="","",银币!$B87*银币!Z87)</f>
        <v>255000</v>
      </c>
      <c r="AA86" s="2">
        <f>IF(银币!AA87="","",银币!$B87*银币!AA87)</f>
        <v>42500</v>
      </c>
      <c r="AB86" s="2" t="str">
        <f>IF(银币!AB87="","",银币!$B87*银币!AB87)</f>
        <v/>
      </c>
      <c r="AC86" s="2" t="str">
        <f>IF(银币!AC87="","",银币!$B87*银币!AC87)</f>
        <v/>
      </c>
      <c r="AD86" s="2" t="str">
        <f>IF(银币!AD87="","",银币!$B87*银币!AD87)</f>
        <v/>
      </c>
      <c r="AE86" s="2" t="str">
        <f>IF(银币!AE87="","",银币!$B87*银币!AE87)</f>
        <v/>
      </c>
      <c r="AF86" s="2">
        <f>银币!AI87</f>
        <v>467500</v>
      </c>
    </row>
    <row r="87" spans="1:32">
      <c r="A87" s="58">
        <v>86</v>
      </c>
      <c r="B87" s="96">
        <f>银币!B88</f>
        <v>86000</v>
      </c>
      <c r="C87" s="2">
        <f>IF(银币!C88="","",银币!$B88*银币!C88)</f>
        <v>344000</v>
      </c>
      <c r="D87" s="2">
        <f>IF(银币!D88="","",银币!$B88*银币!D88)</f>
        <v>141900</v>
      </c>
      <c r="E87" s="2">
        <f>IF(银币!E88="","",银币!$B88*银币!E88)</f>
        <v>43000</v>
      </c>
      <c r="F87" s="2">
        <f>IF(银币!F88="","",银币!$B88*银币!F88)</f>
        <v>86000</v>
      </c>
      <c r="G87" s="2" t="str">
        <f>IF(银币!G88="","",银币!$B88*银币!G88)</f>
        <v/>
      </c>
      <c r="H87" s="2" t="str">
        <f>IF(银币!H88="","",银币!$B88*银币!H88)</f>
        <v/>
      </c>
      <c r="I87" s="2" t="str">
        <f>IF(银币!I88="","",银币!$B88*银币!I88)</f>
        <v/>
      </c>
      <c r="J87" s="2" t="str">
        <f>IF(银币!J88="","",银币!$B88*银币!J88)</f>
        <v/>
      </c>
      <c r="K87" s="2">
        <f>IF(银币!K88="","",银币!$B88*银币!K88)</f>
        <v>86000</v>
      </c>
      <c r="L87" s="2">
        <f>IF(银币!L88="","",银币!$B88*银币!L88)</f>
        <v>86000</v>
      </c>
      <c r="M87" s="2" t="str">
        <f>IF(银币!M88="","",银币!$B88*银币!M88)</f>
        <v/>
      </c>
      <c r="N87" s="2" t="str">
        <f>IF(银币!N88="","",银币!$B88*银币!N88)</f>
        <v/>
      </c>
      <c r="O87" s="2" t="str">
        <f>IF(银币!O88="","",银币!$B88*银币!O88)</f>
        <v/>
      </c>
      <c r="P87" s="2">
        <f>IF(银币!P88="","",银币!$B88*银币!P88)</f>
        <v>43000</v>
      </c>
      <c r="Q87" s="2">
        <f>IF(银币!Q88="","",银币!$B88*银币!Q88)</f>
        <v>430000</v>
      </c>
      <c r="R87" s="2" t="str">
        <f>IF(银币!R88="","",银币!$B88*银币!R88)</f>
        <v/>
      </c>
      <c r="S87" s="2">
        <f>IF(银币!S88="","",银币!$B88*银币!S88)</f>
        <v>86000</v>
      </c>
      <c r="T87" s="2">
        <f>IF(银币!T88="","",银币!$B88*银币!T88)</f>
        <v>0</v>
      </c>
      <c r="U87" s="2">
        <f>IF(银币!U88="","",银币!$B88*银币!U88)</f>
        <v>86000</v>
      </c>
      <c r="V87" s="2">
        <f>IF(银币!V88="","",银币!$B88*银币!V88)</f>
        <v>129000</v>
      </c>
      <c r="W87" s="2">
        <f>IF(银币!W88="","",银币!$B88*银币!W88)</f>
        <v>86000</v>
      </c>
      <c r="X87" s="2">
        <f>IF(银币!X88="","",银币!$B88*银币!X88)</f>
        <v>86000</v>
      </c>
      <c r="Y87" s="2">
        <f>IF(银币!Y88="","",银币!$B88*银币!Y88)</f>
        <v>86000</v>
      </c>
      <c r="Z87" s="2">
        <f>IF(银币!Z88="","",银币!$B88*银币!Z88)</f>
        <v>258000</v>
      </c>
      <c r="AA87" s="2">
        <f>IF(银币!AA88="","",银币!$B88*银币!AA88)</f>
        <v>43000</v>
      </c>
      <c r="AB87" s="2" t="str">
        <f>IF(银币!AB88="","",银币!$B88*银币!AB88)</f>
        <v/>
      </c>
      <c r="AC87" s="2" t="str">
        <f>IF(银币!AC88="","",银币!$B88*银币!AC88)</f>
        <v/>
      </c>
      <c r="AD87" s="2" t="str">
        <f>IF(银币!AD88="","",银币!$B88*银币!AD88)</f>
        <v/>
      </c>
      <c r="AE87" s="2" t="str">
        <f>IF(银币!AE88="","",银币!$B88*银币!AE88)</f>
        <v/>
      </c>
      <c r="AF87" s="2">
        <f>银币!AI88</f>
        <v>481600</v>
      </c>
    </row>
    <row r="88" spans="1:32">
      <c r="A88" s="58">
        <v>87</v>
      </c>
      <c r="B88" s="96">
        <f>银币!B89</f>
        <v>87000</v>
      </c>
      <c r="C88" s="2">
        <f>IF(银币!C89="","",银币!$B89*银币!C89)</f>
        <v>348000</v>
      </c>
      <c r="D88" s="2">
        <f>IF(银币!D89="","",银币!$B89*银币!D89)</f>
        <v>143550</v>
      </c>
      <c r="E88" s="2">
        <f>IF(银币!E89="","",银币!$B89*银币!E89)</f>
        <v>43500</v>
      </c>
      <c r="F88" s="2">
        <f>IF(银币!F89="","",银币!$B89*银币!F89)</f>
        <v>87000</v>
      </c>
      <c r="G88" s="2" t="str">
        <f>IF(银币!G89="","",银币!$B89*银币!G89)</f>
        <v/>
      </c>
      <c r="H88" s="2" t="str">
        <f>IF(银币!H89="","",银币!$B89*银币!H89)</f>
        <v/>
      </c>
      <c r="I88" s="2" t="str">
        <f>IF(银币!I89="","",银币!$B89*银币!I89)</f>
        <v/>
      </c>
      <c r="J88" s="2" t="str">
        <f>IF(银币!J89="","",银币!$B89*银币!J89)</f>
        <v/>
      </c>
      <c r="K88" s="2">
        <f>IF(银币!K89="","",银币!$B89*银币!K89)</f>
        <v>87000</v>
      </c>
      <c r="L88" s="2">
        <f>IF(银币!L89="","",银币!$B89*银币!L89)</f>
        <v>87000</v>
      </c>
      <c r="M88" s="2" t="str">
        <f>IF(银币!M89="","",银币!$B89*银币!M89)</f>
        <v/>
      </c>
      <c r="N88" s="2" t="str">
        <f>IF(银币!N89="","",银币!$B89*银币!N89)</f>
        <v/>
      </c>
      <c r="O88" s="2" t="str">
        <f>IF(银币!O89="","",银币!$B89*银币!O89)</f>
        <v/>
      </c>
      <c r="P88" s="2">
        <f>IF(银币!P89="","",银币!$B89*银币!P89)</f>
        <v>43500</v>
      </c>
      <c r="Q88" s="2">
        <f>IF(银币!Q89="","",银币!$B89*银币!Q89)</f>
        <v>435000</v>
      </c>
      <c r="R88" s="2" t="str">
        <f>IF(银币!R89="","",银币!$B89*银币!R89)</f>
        <v/>
      </c>
      <c r="S88" s="2">
        <f>IF(银币!S89="","",银币!$B89*银币!S89)</f>
        <v>87000</v>
      </c>
      <c r="T88" s="2">
        <f>IF(银币!T89="","",银币!$B89*银币!T89)</f>
        <v>0</v>
      </c>
      <c r="U88" s="2">
        <f>IF(银币!U89="","",银币!$B89*银币!U89)</f>
        <v>87000</v>
      </c>
      <c r="V88" s="2">
        <f>IF(银币!V89="","",银币!$B89*银币!V89)</f>
        <v>130500</v>
      </c>
      <c r="W88" s="2">
        <f>IF(银币!W89="","",银币!$B89*银币!W89)</f>
        <v>87000</v>
      </c>
      <c r="X88" s="2">
        <f>IF(银币!X89="","",银币!$B89*银币!X89)</f>
        <v>87000</v>
      </c>
      <c r="Y88" s="2">
        <f>IF(银币!Y89="","",银币!$B89*银币!Y89)</f>
        <v>87000</v>
      </c>
      <c r="Z88" s="2">
        <f>IF(银币!Z89="","",银币!$B89*银币!Z89)</f>
        <v>261000</v>
      </c>
      <c r="AA88" s="2">
        <f>IF(银币!AA89="","",银币!$B89*银币!AA89)</f>
        <v>43500</v>
      </c>
      <c r="AB88" s="2" t="str">
        <f>IF(银币!AB89="","",银币!$B89*银币!AB89)</f>
        <v/>
      </c>
      <c r="AC88" s="2" t="str">
        <f>IF(银币!AC89="","",银币!$B89*银币!AC89)</f>
        <v/>
      </c>
      <c r="AD88" s="2" t="str">
        <f>IF(银币!AD89="","",银币!$B89*银币!AD89)</f>
        <v/>
      </c>
      <c r="AE88" s="2" t="str">
        <f>IF(银币!AE89="","",银币!$B89*银币!AE89)</f>
        <v/>
      </c>
      <c r="AF88" s="2">
        <f>银币!AI89</f>
        <v>495900</v>
      </c>
    </row>
    <row r="89" spans="1:32">
      <c r="A89" s="58">
        <v>88</v>
      </c>
      <c r="B89" s="96">
        <f>银币!B90</f>
        <v>88000</v>
      </c>
      <c r="C89" s="2">
        <f>IF(银币!C90="","",银币!$B90*银币!C90)</f>
        <v>352000</v>
      </c>
      <c r="D89" s="2">
        <f>IF(银币!D90="","",银币!$B90*银币!D90)</f>
        <v>145200</v>
      </c>
      <c r="E89" s="2">
        <f>IF(银币!E90="","",银币!$B90*银币!E90)</f>
        <v>44000</v>
      </c>
      <c r="F89" s="2">
        <f>IF(银币!F90="","",银币!$B90*银币!F90)</f>
        <v>88000</v>
      </c>
      <c r="G89" s="2" t="str">
        <f>IF(银币!G90="","",银币!$B90*银币!G90)</f>
        <v/>
      </c>
      <c r="H89" s="2" t="str">
        <f>IF(银币!H90="","",银币!$B90*银币!H90)</f>
        <v/>
      </c>
      <c r="I89" s="2" t="str">
        <f>IF(银币!I90="","",银币!$B90*银币!I90)</f>
        <v/>
      </c>
      <c r="J89" s="2" t="str">
        <f>IF(银币!J90="","",银币!$B90*银币!J90)</f>
        <v/>
      </c>
      <c r="K89" s="2">
        <f>IF(银币!K90="","",银币!$B90*银币!K90)</f>
        <v>88000</v>
      </c>
      <c r="L89" s="2">
        <f>IF(银币!L90="","",银币!$B90*银币!L90)</f>
        <v>88000</v>
      </c>
      <c r="M89" s="2" t="str">
        <f>IF(银币!M90="","",银币!$B90*银币!M90)</f>
        <v/>
      </c>
      <c r="N89" s="2" t="str">
        <f>IF(银币!N90="","",银币!$B90*银币!N90)</f>
        <v/>
      </c>
      <c r="O89" s="2" t="str">
        <f>IF(银币!O90="","",银币!$B90*银币!O90)</f>
        <v/>
      </c>
      <c r="P89" s="2">
        <f>IF(银币!P90="","",银币!$B90*银币!P90)</f>
        <v>44000</v>
      </c>
      <c r="Q89" s="2">
        <f>IF(银币!Q90="","",银币!$B90*银币!Q90)</f>
        <v>440000</v>
      </c>
      <c r="R89" s="2" t="str">
        <f>IF(银币!R90="","",银币!$B90*银币!R90)</f>
        <v/>
      </c>
      <c r="S89" s="2">
        <f>IF(银币!S90="","",银币!$B90*银币!S90)</f>
        <v>88000</v>
      </c>
      <c r="T89" s="2">
        <f>IF(银币!T90="","",银币!$B90*银币!T90)</f>
        <v>0</v>
      </c>
      <c r="U89" s="2">
        <f>IF(银币!U90="","",银币!$B90*银币!U90)</f>
        <v>88000</v>
      </c>
      <c r="V89" s="2">
        <f>IF(银币!V90="","",银币!$B90*银币!V90)</f>
        <v>132000</v>
      </c>
      <c r="W89" s="2">
        <f>IF(银币!W90="","",银币!$B90*银币!W90)</f>
        <v>88000</v>
      </c>
      <c r="X89" s="2">
        <f>IF(银币!X90="","",银币!$B90*银币!X90)</f>
        <v>88000</v>
      </c>
      <c r="Y89" s="2">
        <f>IF(银币!Y90="","",银币!$B90*银币!Y90)</f>
        <v>88000</v>
      </c>
      <c r="Z89" s="2">
        <f>IF(银币!Z90="","",银币!$B90*银币!Z90)</f>
        <v>264000</v>
      </c>
      <c r="AA89" s="2">
        <f>IF(银币!AA90="","",银币!$B90*银币!AA90)</f>
        <v>44000</v>
      </c>
      <c r="AB89" s="2" t="str">
        <f>IF(银币!AB90="","",银币!$B90*银币!AB90)</f>
        <v/>
      </c>
      <c r="AC89" s="2" t="str">
        <f>IF(银币!AC90="","",银币!$B90*银币!AC90)</f>
        <v/>
      </c>
      <c r="AD89" s="2" t="str">
        <f>IF(银币!AD90="","",银币!$B90*银币!AD90)</f>
        <v/>
      </c>
      <c r="AE89" s="2" t="str">
        <f>IF(银币!AE90="","",银币!$B90*银币!AE90)</f>
        <v/>
      </c>
      <c r="AF89" s="2">
        <f>银币!AI90</f>
        <v>510400</v>
      </c>
    </row>
    <row r="90" spans="1:32">
      <c r="A90" s="58">
        <v>89</v>
      </c>
      <c r="B90" s="96">
        <f>银币!B91</f>
        <v>89000</v>
      </c>
      <c r="C90" s="2">
        <f>IF(银币!C91="","",银币!$B91*银币!C91)</f>
        <v>356000</v>
      </c>
      <c r="D90" s="2">
        <f>IF(银币!D91="","",银币!$B91*银币!D91)</f>
        <v>146850</v>
      </c>
      <c r="E90" s="2">
        <f>IF(银币!E91="","",银币!$B91*银币!E91)</f>
        <v>44500</v>
      </c>
      <c r="F90" s="2">
        <f>IF(银币!F91="","",银币!$B91*银币!F91)</f>
        <v>89000</v>
      </c>
      <c r="G90" s="2" t="str">
        <f>IF(银币!G91="","",银币!$B91*银币!G91)</f>
        <v/>
      </c>
      <c r="H90" s="2" t="str">
        <f>IF(银币!H91="","",银币!$B91*银币!H91)</f>
        <v/>
      </c>
      <c r="I90" s="2" t="str">
        <f>IF(银币!I91="","",银币!$B91*银币!I91)</f>
        <v/>
      </c>
      <c r="J90" s="2" t="str">
        <f>IF(银币!J91="","",银币!$B91*银币!J91)</f>
        <v/>
      </c>
      <c r="K90" s="2">
        <f>IF(银币!K91="","",银币!$B91*银币!K91)</f>
        <v>89000</v>
      </c>
      <c r="L90" s="2">
        <f>IF(银币!L91="","",银币!$B91*银币!L91)</f>
        <v>89000</v>
      </c>
      <c r="M90" s="2" t="str">
        <f>IF(银币!M91="","",银币!$B91*银币!M91)</f>
        <v/>
      </c>
      <c r="N90" s="2" t="str">
        <f>IF(银币!N91="","",银币!$B91*银币!N91)</f>
        <v/>
      </c>
      <c r="O90" s="2" t="str">
        <f>IF(银币!O91="","",银币!$B91*银币!O91)</f>
        <v/>
      </c>
      <c r="P90" s="2">
        <f>IF(银币!P91="","",银币!$B91*银币!P91)</f>
        <v>44500</v>
      </c>
      <c r="Q90" s="2">
        <f>IF(银币!Q91="","",银币!$B91*银币!Q91)</f>
        <v>445000</v>
      </c>
      <c r="R90" s="2" t="str">
        <f>IF(银币!R91="","",银币!$B91*银币!R91)</f>
        <v/>
      </c>
      <c r="S90" s="2">
        <f>IF(银币!S91="","",银币!$B91*银币!S91)</f>
        <v>89000</v>
      </c>
      <c r="T90" s="2">
        <f>IF(银币!T91="","",银币!$B91*银币!T91)</f>
        <v>0</v>
      </c>
      <c r="U90" s="2">
        <f>IF(银币!U91="","",银币!$B91*银币!U91)</f>
        <v>89000</v>
      </c>
      <c r="V90" s="2">
        <f>IF(银币!V91="","",银币!$B91*银币!V91)</f>
        <v>133500</v>
      </c>
      <c r="W90" s="2">
        <f>IF(银币!W91="","",银币!$B91*银币!W91)</f>
        <v>89000</v>
      </c>
      <c r="X90" s="2">
        <f>IF(银币!X91="","",银币!$B91*银币!X91)</f>
        <v>89000</v>
      </c>
      <c r="Y90" s="2">
        <f>IF(银币!Y91="","",银币!$B91*银币!Y91)</f>
        <v>89000</v>
      </c>
      <c r="Z90" s="2">
        <f>IF(银币!Z91="","",银币!$B91*银币!Z91)</f>
        <v>267000</v>
      </c>
      <c r="AA90" s="2">
        <f>IF(银币!AA91="","",银币!$B91*银币!AA91)</f>
        <v>44500</v>
      </c>
      <c r="AB90" s="2" t="str">
        <f>IF(银币!AB91="","",银币!$B91*银币!AB91)</f>
        <v/>
      </c>
      <c r="AC90" s="2" t="str">
        <f>IF(银币!AC91="","",银币!$B91*银币!AC91)</f>
        <v/>
      </c>
      <c r="AD90" s="2" t="str">
        <f>IF(银币!AD91="","",银币!$B91*银币!AD91)</f>
        <v/>
      </c>
      <c r="AE90" s="2" t="str">
        <f>IF(银币!AE91="","",银币!$B91*银币!AE91)</f>
        <v/>
      </c>
      <c r="AF90" s="2">
        <f>银币!AI91</f>
        <v>525100</v>
      </c>
    </row>
    <row r="91" spans="1:32">
      <c r="A91" s="58">
        <v>90</v>
      </c>
      <c r="B91" s="96">
        <f>银币!B92</f>
        <v>90000</v>
      </c>
      <c r="C91" s="2">
        <f>IF(银币!C92="","",银币!$B92*银币!C92)</f>
        <v>360000</v>
      </c>
      <c r="D91" s="2">
        <f>IF(银币!D92="","",银币!$B92*银币!D92)</f>
        <v>148500</v>
      </c>
      <c r="E91" s="2">
        <f>IF(银币!E92="","",银币!$B92*银币!E92)</f>
        <v>45000</v>
      </c>
      <c r="F91" s="2">
        <f>IF(银币!F92="","",银币!$B92*银币!F92)</f>
        <v>90000</v>
      </c>
      <c r="G91" s="2" t="str">
        <f>IF(银币!G92="","",银币!$B92*银币!G92)</f>
        <v/>
      </c>
      <c r="H91" s="2" t="str">
        <f>IF(银币!H92="","",银币!$B92*银币!H92)</f>
        <v/>
      </c>
      <c r="I91" s="2" t="str">
        <f>IF(银币!I92="","",银币!$B92*银币!I92)</f>
        <v/>
      </c>
      <c r="J91" s="2" t="str">
        <f>IF(银币!J92="","",银币!$B92*银币!J92)</f>
        <v/>
      </c>
      <c r="K91" s="2">
        <f>IF(银币!K92="","",银币!$B92*银币!K92)</f>
        <v>90000</v>
      </c>
      <c r="L91" s="2">
        <f>IF(银币!L92="","",银币!$B92*银币!L92)</f>
        <v>90000</v>
      </c>
      <c r="M91" s="2" t="str">
        <f>IF(银币!M92="","",银币!$B92*银币!M92)</f>
        <v/>
      </c>
      <c r="N91" s="2" t="str">
        <f>IF(银币!N92="","",银币!$B92*银币!N92)</f>
        <v/>
      </c>
      <c r="O91" s="2" t="str">
        <f>IF(银币!O92="","",银币!$B92*银币!O92)</f>
        <v/>
      </c>
      <c r="P91" s="2">
        <f>IF(银币!P92="","",银币!$B92*银币!P92)</f>
        <v>45000</v>
      </c>
      <c r="Q91" s="2">
        <f>IF(银币!Q92="","",银币!$B92*银币!Q92)</f>
        <v>450000</v>
      </c>
      <c r="R91" s="2" t="str">
        <f>IF(银币!R92="","",银币!$B92*银币!R92)</f>
        <v/>
      </c>
      <c r="S91" s="2">
        <f>IF(银币!S92="","",银币!$B92*银币!S92)</f>
        <v>90000</v>
      </c>
      <c r="T91" s="2">
        <f>IF(银币!T92="","",银币!$B92*银币!T92)</f>
        <v>0</v>
      </c>
      <c r="U91" s="2">
        <f>IF(银币!U92="","",银币!$B92*银币!U92)</f>
        <v>90000</v>
      </c>
      <c r="V91" s="2">
        <f>IF(银币!V92="","",银币!$B92*银币!V92)</f>
        <v>135000</v>
      </c>
      <c r="W91" s="2">
        <f>IF(银币!W92="","",银币!$B92*银币!W92)</f>
        <v>90000</v>
      </c>
      <c r="X91" s="2">
        <f>IF(银币!X92="","",银币!$B92*银币!X92)</f>
        <v>90000</v>
      </c>
      <c r="Y91" s="2">
        <f>IF(银币!Y92="","",银币!$B92*银币!Y92)</f>
        <v>90000</v>
      </c>
      <c r="Z91" s="2">
        <f>IF(银币!Z92="","",银币!$B92*银币!Z92)</f>
        <v>270000</v>
      </c>
      <c r="AA91" s="2">
        <f>IF(银币!AA92="","",银币!$B92*银币!AA92)</f>
        <v>45000</v>
      </c>
      <c r="AB91" s="2" t="str">
        <f>IF(银币!AB92="","",银币!$B92*银币!AB92)</f>
        <v/>
      </c>
      <c r="AC91" s="2" t="str">
        <f>IF(银币!AC92="","",银币!$B92*银币!AC92)</f>
        <v/>
      </c>
      <c r="AD91" s="2" t="str">
        <f>IF(银币!AD92="","",银币!$B92*银币!AD92)</f>
        <v/>
      </c>
      <c r="AE91" s="2" t="str">
        <f>IF(银币!AE92="","",银币!$B92*银币!AE92)</f>
        <v/>
      </c>
      <c r="AF91" s="2">
        <f>银币!AI92</f>
        <v>540000</v>
      </c>
    </row>
    <row r="92" spans="1:32">
      <c r="A92" s="58">
        <v>91</v>
      </c>
      <c r="B92" s="96">
        <f>银币!B93</f>
        <v>91000</v>
      </c>
      <c r="C92" s="2">
        <f>IF(银币!C93="","",银币!$B93*银币!C93)</f>
        <v>364000</v>
      </c>
      <c r="D92" s="2">
        <f>IF(银币!D93="","",银币!$B93*银币!D93)</f>
        <v>150150</v>
      </c>
      <c r="E92" s="2">
        <f>IF(银币!E93="","",银币!$B93*银币!E93)</f>
        <v>45500</v>
      </c>
      <c r="F92" s="2">
        <f>IF(银币!F93="","",银币!$B93*银币!F93)</f>
        <v>91000</v>
      </c>
      <c r="G92" s="2" t="str">
        <f>IF(银币!G93="","",银币!$B93*银币!G93)</f>
        <v/>
      </c>
      <c r="H92" s="2" t="str">
        <f>IF(银币!H93="","",银币!$B93*银币!H93)</f>
        <v/>
      </c>
      <c r="I92" s="2" t="str">
        <f>IF(银币!I93="","",银币!$B93*银币!I93)</f>
        <v/>
      </c>
      <c r="J92" s="2" t="str">
        <f>IF(银币!J93="","",银币!$B93*银币!J93)</f>
        <v/>
      </c>
      <c r="K92" s="2">
        <f>IF(银币!K93="","",银币!$B93*银币!K93)</f>
        <v>91000</v>
      </c>
      <c r="L92" s="2">
        <f>IF(银币!L93="","",银币!$B93*银币!L93)</f>
        <v>91000</v>
      </c>
      <c r="M92" s="2" t="str">
        <f>IF(银币!M93="","",银币!$B93*银币!M93)</f>
        <v/>
      </c>
      <c r="N92" s="2" t="str">
        <f>IF(银币!N93="","",银币!$B93*银币!N93)</f>
        <v/>
      </c>
      <c r="O92" s="2" t="str">
        <f>IF(银币!O93="","",银币!$B93*银币!O93)</f>
        <v/>
      </c>
      <c r="P92" s="2">
        <f>IF(银币!P93="","",银币!$B93*银币!P93)</f>
        <v>45500</v>
      </c>
      <c r="Q92" s="2">
        <f>IF(银币!Q93="","",银币!$B93*银币!Q93)</f>
        <v>455000</v>
      </c>
      <c r="R92" s="2" t="str">
        <f>IF(银币!R93="","",银币!$B93*银币!R93)</f>
        <v/>
      </c>
      <c r="S92" s="2">
        <f>IF(银币!S93="","",银币!$B93*银币!S93)</f>
        <v>91000</v>
      </c>
      <c r="T92" s="2">
        <f>IF(银币!T93="","",银币!$B93*银币!T93)</f>
        <v>0</v>
      </c>
      <c r="U92" s="2">
        <f>IF(银币!U93="","",银币!$B93*银币!U93)</f>
        <v>91000</v>
      </c>
      <c r="V92" s="2">
        <f>IF(银币!V93="","",银币!$B93*银币!V93)</f>
        <v>136500</v>
      </c>
      <c r="W92" s="2">
        <f>IF(银币!W93="","",银币!$B93*银币!W93)</f>
        <v>91000</v>
      </c>
      <c r="X92" s="2">
        <f>IF(银币!X93="","",银币!$B93*银币!X93)</f>
        <v>91000</v>
      </c>
      <c r="Y92" s="2">
        <f>IF(银币!Y93="","",银币!$B93*银币!Y93)</f>
        <v>91000</v>
      </c>
      <c r="Z92" s="2">
        <f>IF(银币!Z93="","",银币!$B93*银币!Z93)</f>
        <v>273000</v>
      </c>
      <c r="AA92" s="2">
        <f>IF(银币!AA93="","",银币!$B93*银币!AA93)</f>
        <v>45500</v>
      </c>
      <c r="AB92" s="2" t="str">
        <f>IF(银币!AB93="","",银币!$B93*银币!AB93)</f>
        <v/>
      </c>
      <c r="AC92" s="2" t="str">
        <f>IF(银币!AC93="","",银币!$B93*银币!AC93)</f>
        <v/>
      </c>
      <c r="AD92" s="2" t="str">
        <f>IF(银币!AD93="","",银币!$B93*银币!AD93)</f>
        <v/>
      </c>
      <c r="AE92" s="2" t="str">
        <f>IF(银币!AE93="","",银币!$B93*银币!AE93)</f>
        <v/>
      </c>
      <c r="AF92" s="2">
        <f>银币!AI93</f>
        <v>555100</v>
      </c>
    </row>
    <row r="93" spans="1:32">
      <c r="A93" s="58">
        <v>92</v>
      </c>
      <c r="B93" s="96">
        <f>银币!B94</f>
        <v>92000</v>
      </c>
      <c r="C93" s="2">
        <f>IF(银币!C94="","",银币!$B94*银币!C94)</f>
        <v>368000</v>
      </c>
      <c r="D93" s="2">
        <f>IF(银币!D94="","",银币!$B94*银币!D94)</f>
        <v>151800</v>
      </c>
      <c r="E93" s="2">
        <f>IF(银币!E94="","",银币!$B94*银币!E94)</f>
        <v>46000</v>
      </c>
      <c r="F93" s="2">
        <f>IF(银币!F94="","",银币!$B94*银币!F94)</f>
        <v>92000</v>
      </c>
      <c r="G93" s="2" t="str">
        <f>IF(银币!G94="","",银币!$B94*银币!G94)</f>
        <v/>
      </c>
      <c r="H93" s="2" t="str">
        <f>IF(银币!H94="","",银币!$B94*银币!H94)</f>
        <v/>
      </c>
      <c r="I93" s="2" t="str">
        <f>IF(银币!I94="","",银币!$B94*银币!I94)</f>
        <v/>
      </c>
      <c r="J93" s="2" t="str">
        <f>IF(银币!J94="","",银币!$B94*银币!J94)</f>
        <v/>
      </c>
      <c r="K93" s="2">
        <f>IF(银币!K94="","",银币!$B94*银币!K94)</f>
        <v>92000</v>
      </c>
      <c r="L93" s="2">
        <f>IF(银币!L94="","",银币!$B94*银币!L94)</f>
        <v>92000</v>
      </c>
      <c r="M93" s="2" t="str">
        <f>IF(银币!M94="","",银币!$B94*银币!M94)</f>
        <v/>
      </c>
      <c r="N93" s="2" t="str">
        <f>IF(银币!N94="","",银币!$B94*银币!N94)</f>
        <v/>
      </c>
      <c r="O93" s="2" t="str">
        <f>IF(银币!O94="","",银币!$B94*银币!O94)</f>
        <v/>
      </c>
      <c r="P93" s="2">
        <f>IF(银币!P94="","",银币!$B94*银币!P94)</f>
        <v>46000</v>
      </c>
      <c r="Q93" s="2">
        <f>IF(银币!Q94="","",银币!$B94*银币!Q94)</f>
        <v>460000</v>
      </c>
      <c r="R93" s="2" t="str">
        <f>IF(银币!R94="","",银币!$B94*银币!R94)</f>
        <v/>
      </c>
      <c r="S93" s="2">
        <f>IF(银币!S94="","",银币!$B94*银币!S94)</f>
        <v>92000</v>
      </c>
      <c r="T93" s="2">
        <f>IF(银币!T94="","",银币!$B94*银币!T94)</f>
        <v>0</v>
      </c>
      <c r="U93" s="2">
        <f>IF(银币!U94="","",银币!$B94*银币!U94)</f>
        <v>92000</v>
      </c>
      <c r="V93" s="2">
        <f>IF(银币!V94="","",银币!$B94*银币!V94)</f>
        <v>138000</v>
      </c>
      <c r="W93" s="2">
        <f>IF(银币!W94="","",银币!$B94*银币!W94)</f>
        <v>92000</v>
      </c>
      <c r="X93" s="2">
        <f>IF(银币!X94="","",银币!$B94*银币!X94)</f>
        <v>92000</v>
      </c>
      <c r="Y93" s="2">
        <f>IF(银币!Y94="","",银币!$B94*银币!Y94)</f>
        <v>92000</v>
      </c>
      <c r="Z93" s="2">
        <f>IF(银币!Z94="","",银币!$B94*银币!Z94)</f>
        <v>276000</v>
      </c>
      <c r="AA93" s="2">
        <f>IF(银币!AA94="","",银币!$B94*银币!AA94)</f>
        <v>46000</v>
      </c>
      <c r="AB93" s="2" t="str">
        <f>IF(银币!AB94="","",银币!$B94*银币!AB94)</f>
        <v/>
      </c>
      <c r="AC93" s="2" t="str">
        <f>IF(银币!AC94="","",银币!$B94*银币!AC94)</f>
        <v/>
      </c>
      <c r="AD93" s="2" t="str">
        <f>IF(银币!AD94="","",银币!$B94*银币!AD94)</f>
        <v/>
      </c>
      <c r="AE93" s="2" t="str">
        <f>IF(银币!AE94="","",银币!$B94*银币!AE94)</f>
        <v/>
      </c>
      <c r="AF93" s="2">
        <f>银币!AI94</f>
        <v>570400</v>
      </c>
    </row>
    <row r="94" spans="1:32">
      <c r="A94" s="58">
        <v>93</v>
      </c>
      <c r="B94" s="96">
        <f>银币!B95</f>
        <v>93000</v>
      </c>
      <c r="C94" s="2">
        <f>IF(银币!C95="","",银币!$B95*银币!C95)</f>
        <v>372000</v>
      </c>
      <c r="D94" s="2">
        <f>IF(银币!D95="","",银币!$B95*银币!D95)</f>
        <v>153450</v>
      </c>
      <c r="E94" s="2">
        <f>IF(银币!E95="","",银币!$B95*银币!E95)</f>
        <v>46500</v>
      </c>
      <c r="F94" s="2">
        <f>IF(银币!F95="","",银币!$B95*银币!F95)</f>
        <v>93000</v>
      </c>
      <c r="G94" s="2" t="str">
        <f>IF(银币!G95="","",银币!$B95*银币!G95)</f>
        <v/>
      </c>
      <c r="H94" s="2" t="str">
        <f>IF(银币!H95="","",银币!$B95*银币!H95)</f>
        <v/>
      </c>
      <c r="I94" s="2" t="str">
        <f>IF(银币!I95="","",银币!$B95*银币!I95)</f>
        <v/>
      </c>
      <c r="J94" s="2" t="str">
        <f>IF(银币!J95="","",银币!$B95*银币!J95)</f>
        <v/>
      </c>
      <c r="K94" s="2">
        <f>IF(银币!K95="","",银币!$B95*银币!K95)</f>
        <v>93000</v>
      </c>
      <c r="L94" s="2">
        <f>IF(银币!L95="","",银币!$B95*银币!L95)</f>
        <v>93000</v>
      </c>
      <c r="M94" s="2" t="str">
        <f>IF(银币!M95="","",银币!$B95*银币!M95)</f>
        <v/>
      </c>
      <c r="N94" s="2" t="str">
        <f>IF(银币!N95="","",银币!$B95*银币!N95)</f>
        <v/>
      </c>
      <c r="O94" s="2" t="str">
        <f>IF(银币!O95="","",银币!$B95*银币!O95)</f>
        <v/>
      </c>
      <c r="P94" s="2">
        <f>IF(银币!P95="","",银币!$B95*银币!P95)</f>
        <v>46500</v>
      </c>
      <c r="Q94" s="2">
        <f>IF(银币!Q95="","",银币!$B95*银币!Q95)</f>
        <v>465000</v>
      </c>
      <c r="R94" s="2" t="str">
        <f>IF(银币!R95="","",银币!$B95*银币!R95)</f>
        <v/>
      </c>
      <c r="S94" s="2">
        <f>IF(银币!S95="","",银币!$B95*银币!S95)</f>
        <v>93000</v>
      </c>
      <c r="T94" s="2">
        <f>IF(银币!T95="","",银币!$B95*银币!T95)</f>
        <v>0</v>
      </c>
      <c r="U94" s="2">
        <f>IF(银币!U95="","",银币!$B95*银币!U95)</f>
        <v>93000</v>
      </c>
      <c r="V94" s="2">
        <f>IF(银币!V95="","",银币!$B95*银币!V95)</f>
        <v>139500</v>
      </c>
      <c r="W94" s="2">
        <f>IF(银币!W95="","",银币!$B95*银币!W95)</f>
        <v>93000</v>
      </c>
      <c r="X94" s="2">
        <f>IF(银币!X95="","",银币!$B95*银币!X95)</f>
        <v>93000</v>
      </c>
      <c r="Y94" s="2">
        <f>IF(银币!Y95="","",银币!$B95*银币!Y95)</f>
        <v>93000</v>
      </c>
      <c r="Z94" s="2">
        <f>IF(银币!Z95="","",银币!$B95*银币!Z95)</f>
        <v>279000</v>
      </c>
      <c r="AA94" s="2">
        <f>IF(银币!AA95="","",银币!$B95*银币!AA95)</f>
        <v>46500</v>
      </c>
      <c r="AB94" s="2" t="str">
        <f>IF(银币!AB95="","",银币!$B95*银币!AB95)</f>
        <v/>
      </c>
      <c r="AC94" s="2" t="str">
        <f>IF(银币!AC95="","",银币!$B95*银币!AC95)</f>
        <v/>
      </c>
      <c r="AD94" s="2" t="str">
        <f>IF(银币!AD95="","",银币!$B95*银币!AD95)</f>
        <v/>
      </c>
      <c r="AE94" s="2" t="str">
        <f>IF(银币!AE95="","",银币!$B95*银币!AE95)</f>
        <v/>
      </c>
      <c r="AF94" s="2">
        <f>银币!AI95</f>
        <v>585900</v>
      </c>
    </row>
    <row r="95" spans="1:32">
      <c r="A95" s="58">
        <v>94</v>
      </c>
      <c r="B95" s="96">
        <f>银币!B96</f>
        <v>94000</v>
      </c>
      <c r="C95" s="2">
        <f>IF(银币!C96="","",银币!$B96*银币!C96)</f>
        <v>376000</v>
      </c>
      <c r="D95" s="2">
        <f>IF(银币!D96="","",银币!$B96*银币!D96)</f>
        <v>155100</v>
      </c>
      <c r="E95" s="2">
        <f>IF(银币!E96="","",银币!$B96*银币!E96)</f>
        <v>47000</v>
      </c>
      <c r="F95" s="2">
        <f>IF(银币!F96="","",银币!$B96*银币!F96)</f>
        <v>94000</v>
      </c>
      <c r="G95" s="2" t="str">
        <f>IF(银币!G96="","",银币!$B96*银币!G96)</f>
        <v/>
      </c>
      <c r="H95" s="2" t="str">
        <f>IF(银币!H96="","",银币!$B96*银币!H96)</f>
        <v/>
      </c>
      <c r="I95" s="2" t="str">
        <f>IF(银币!I96="","",银币!$B96*银币!I96)</f>
        <v/>
      </c>
      <c r="J95" s="2" t="str">
        <f>IF(银币!J96="","",银币!$B96*银币!J96)</f>
        <v/>
      </c>
      <c r="K95" s="2">
        <f>IF(银币!K96="","",银币!$B96*银币!K96)</f>
        <v>94000</v>
      </c>
      <c r="L95" s="2">
        <f>IF(银币!L96="","",银币!$B96*银币!L96)</f>
        <v>94000</v>
      </c>
      <c r="M95" s="2" t="str">
        <f>IF(银币!M96="","",银币!$B96*银币!M96)</f>
        <v/>
      </c>
      <c r="N95" s="2" t="str">
        <f>IF(银币!N96="","",银币!$B96*银币!N96)</f>
        <v/>
      </c>
      <c r="O95" s="2" t="str">
        <f>IF(银币!O96="","",银币!$B96*银币!O96)</f>
        <v/>
      </c>
      <c r="P95" s="2">
        <f>IF(银币!P96="","",银币!$B96*银币!P96)</f>
        <v>47000</v>
      </c>
      <c r="Q95" s="2">
        <f>IF(银币!Q96="","",银币!$B96*银币!Q96)</f>
        <v>470000</v>
      </c>
      <c r="R95" s="2" t="str">
        <f>IF(银币!R96="","",银币!$B96*银币!R96)</f>
        <v/>
      </c>
      <c r="S95" s="2">
        <f>IF(银币!S96="","",银币!$B96*银币!S96)</f>
        <v>94000</v>
      </c>
      <c r="T95" s="2">
        <f>IF(银币!T96="","",银币!$B96*银币!T96)</f>
        <v>0</v>
      </c>
      <c r="U95" s="2">
        <f>IF(银币!U96="","",银币!$B96*银币!U96)</f>
        <v>94000</v>
      </c>
      <c r="V95" s="2">
        <f>IF(银币!V96="","",银币!$B96*银币!V96)</f>
        <v>141000</v>
      </c>
      <c r="W95" s="2">
        <f>IF(银币!W96="","",银币!$B96*银币!W96)</f>
        <v>94000</v>
      </c>
      <c r="X95" s="2">
        <f>IF(银币!X96="","",银币!$B96*银币!X96)</f>
        <v>94000</v>
      </c>
      <c r="Y95" s="2">
        <f>IF(银币!Y96="","",银币!$B96*银币!Y96)</f>
        <v>94000</v>
      </c>
      <c r="Z95" s="2">
        <f>IF(银币!Z96="","",银币!$B96*银币!Z96)</f>
        <v>282000</v>
      </c>
      <c r="AA95" s="2">
        <f>IF(银币!AA96="","",银币!$B96*银币!AA96)</f>
        <v>47000</v>
      </c>
      <c r="AB95" s="2" t="str">
        <f>IF(银币!AB96="","",银币!$B96*银币!AB96)</f>
        <v/>
      </c>
      <c r="AC95" s="2" t="str">
        <f>IF(银币!AC96="","",银币!$B96*银币!AC96)</f>
        <v/>
      </c>
      <c r="AD95" s="2" t="str">
        <f>IF(银币!AD96="","",银币!$B96*银币!AD96)</f>
        <v/>
      </c>
      <c r="AE95" s="2" t="str">
        <f>IF(银币!AE96="","",银币!$B96*银币!AE96)</f>
        <v/>
      </c>
      <c r="AF95" s="2">
        <f>银币!AI96</f>
        <v>601600</v>
      </c>
    </row>
    <row r="96" spans="1:32">
      <c r="A96" s="58">
        <v>95</v>
      </c>
      <c r="B96" s="96">
        <f>银币!B97</f>
        <v>95000</v>
      </c>
      <c r="C96" s="2">
        <f>IF(银币!C97="","",银币!$B97*银币!C97)</f>
        <v>380000</v>
      </c>
      <c r="D96" s="2">
        <f>IF(银币!D97="","",银币!$B97*银币!D97)</f>
        <v>156750</v>
      </c>
      <c r="E96" s="2">
        <f>IF(银币!E97="","",银币!$B97*银币!E97)</f>
        <v>47500</v>
      </c>
      <c r="F96" s="2">
        <f>IF(银币!F97="","",银币!$B97*银币!F97)</f>
        <v>95000</v>
      </c>
      <c r="G96" s="2" t="str">
        <f>IF(银币!G97="","",银币!$B97*银币!G97)</f>
        <v/>
      </c>
      <c r="H96" s="2" t="str">
        <f>IF(银币!H97="","",银币!$B97*银币!H97)</f>
        <v/>
      </c>
      <c r="I96" s="2" t="str">
        <f>IF(银币!I97="","",银币!$B97*银币!I97)</f>
        <v/>
      </c>
      <c r="J96" s="2" t="str">
        <f>IF(银币!J97="","",银币!$B97*银币!J97)</f>
        <v/>
      </c>
      <c r="K96" s="2">
        <f>IF(银币!K97="","",银币!$B97*银币!K97)</f>
        <v>95000</v>
      </c>
      <c r="L96" s="2">
        <f>IF(银币!L97="","",银币!$B97*银币!L97)</f>
        <v>95000</v>
      </c>
      <c r="M96" s="2" t="str">
        <f>IF(银币!M97="","",银币!$B97*银币!M97)</f>
        <v/>
      </c>
      <c r="N96" s="2" t="str">
        <f>IF(银币!N97="","",银币!$B97*银币!N97)</f>
        <v/>
      </c>
      <c r="O96" s="2" t="str">
        <f>IF(银币!O97="","",银币!$B97*银币!O97)</f>
        <v/>
      </c>
      <c r="P96" s="2">
        <f>IF(银币!P97="","",银币!$B97*银币!P97)</f>
        <v>47500</v>
      </c>
      <c r="Q96" s="2">
        <f>IF(银币!Q97="","",银币!$B97*银币!Q97)</f>
        <v>475000</v>
      </c>
      <c r="R96" s="2" t="str">
        <f>IF(银币!R97="","",银币!$B97*银币!R97)</f>
        <v/>
      </c>
      <c r="S96" s="2">
        <f>IF(银币!S97="","",银币!$B97*银币!S97)</f>
        <v>95000</v>
      </c>
      <c r="T96" s="2">
        <f>IF(银币!T97="","",银币!$B97*银币!T97)</f>
        <v>0</v>
      </c>
      <c r="U96" s="2">
        <f>IF(银币!U97="","",银币!$B97*银币!U97)</f>
        <v>95000</v>
      </c>
      <c r="V96" s="2">
        <f>IF(银币!V97="","",银币!$B97*银币!V97)</f>
        <v>142500</v>
      </c>
      <c r="W96" s="2">
        <f>IF(银币!W97="","",银币!$B97*银币!W97)</f>
        <v>95000</v>
      </c>
      <c r="X96" s="2">
        <f>IF(银币!X97="","",银币!$B97*银币!X97)</f>
        <v>95000</v>
      </c>
      <c r="Y96" s="2">
        <f>IF(银币!Y97="","",银币!$B97*银币!Y97)</f>
        <v>95000</v>
      </c>
      <c r="Z96" s="2">
        <f>IF(银币!Z97="","",银币!$B97*银币!Z97)</f>
        <v>285000</v>
      </c>
      <c r="AA96" s="2">
        <f>IF(银币!AA97="","",银币!$B97*银币!AA97)</f>
        <v>47500</v>
      </c>
      <c r="AB96" s="2" t="str">
        <f>IF(银币!AB97="","",银币!$B97*银币!AB97)</f>
        <v/>
      </c>
      <c r="AC96" s="2" t="str">
        <f>IF(银币!AC97="","",银币!$B97*银币!AC97)</f>
        <v/>
      </c>
      <c r="AD96" s="2" t="str">
        <f>IF(银币!AD97="","",银币!$B97*银币!AD97)</f>
        <v/>
      </c>
      <c r="AE96" s="2" t="str">
        <f>IF(银币!AE97="","",银币!$B97*银币!AE97)</f>
        <v/>
      </c>
      <c r="AF96" s="2">
        <f>银币!AI97</f>
        <v>617500</v>
      </c>
    </row>
    <row r="97" spans="1:32">
      <c r="A97" s="58">
        <v>96</v>
      </c>
      <c r="B97" s="96">
        <f>银币!B98</f>
        <v>96000</v>
      </c>
      <c r="C97" s="2">
        <f>IF(银币!C98="","",银币!$B98*银币!C98)</f>
        <v>384000</v>
      </c>
      <c r="D97" s="2">
        <f>IF(银币!D98="","",银币!$B98*银币!D98)</f>
        <v>158400</v>
      </c>
      <c r="E97" s="2">
        <f>IF(银币!E98="","",银币!$B98*银币!E98)</f>
        <v>48000</v>
      </c>
      <c r="F97" s="2">
        <f>IF(银币!F98="","",银币!$B98*银币!F98)</f>
        <v>96000</v>
      </c>
      <c r="G97" s="2" t="str">
        <f>IF(银币!G98="","",银币!$B98*银币!G98)</f>
        <v/>
      </c>
      <c r="H97" s="2" t="str">
        <f>IF(银币!H98="","",银币!$B98*银币!H98)</f>
        <v/>
      </c>
      <c r="I97" s="2" t="str">
        <f>IF(银币!I98="","",银币!$B98*银币!I98)</f>
        <v/>
      </c>
      <c r="J97" s="2" t="str">
        <f>IF(银币!J98="","",银币!$B98*银币!J98)</f>
        <v/>
      </c>
      <c r="K97" s="2">
        <f>IF(银币!K98="","",银币!$B98*银币!K98)</f>
        <v>96000</v>
      </c>
      <c r="L97" s="2">
        <f>IF(银币!L98="","",银币!$B98*银币!L98)</f>
        <v>96000</v>
      </c>
      <c r="M97" s="2" t="str">
        <f>IF(银币!M98="","",银币!$B98*银币!M98)</f>
        <v/>
      </c>
      <c r="N97" s="2" t="str">
        <f>IF(银币!N98="","",银币!$B98*银币!N98)</f>
        <v/>
      </c>
      <c r="O97" s="2" t="str">
        <f>IF(银币!O98="","",银币!$B98*银币!O98)</f>
        <v/>
      </c>
      <c r="P97" s="2">
        <f>IF(银币!P98="","",银币!$B98*银币!P98)</f>
        <v>48000</v>
      </c>
      <c r="Q97" s="2">
        <f>IF(银币!Q98="","",银币!$B98*银币!Q98)</f>
        <v>480000</v>
      </c>
      <c r="R97" s="2" t="str">
        <f>IF(银币!R98="","",银币!$B98*银币!R98)</f>
        <v/>
      </c>
      <c r="S97" s="2">
        <f>IF(银币!S98="","",银币!$B98*银币!S98)</f>
        <v>96000</v>
      </c>
      <c r="T97" s="2">
        <f>IF(银币!T98="","",银币!$B98*银币!T98)</f>
        <v>0</v>
      </c>
      <c r="U97" s="2">
        <f>IF(银币!U98="","",银币!$B98*银币!U98)</f>
        <v>96000</v>
      </c>
      <c r="V97" s="2">
        <f>IF(银币!V98="","",银币!$B98*银币!V98)</f>
        <v>144000</v>
      </c>
      <c r="W97" s="2">
        <f>IF(银币!W98="","",银币!$B98*银币!W98)</f>
        <v>96000</v>
      </c>
      <c r="X97" s="2">
        <f>IF(银币!X98="","",银币!$B98*银币!X98)</f>
        <v>96000</v>
      </c>
      <c r="Y97" s="2">
        <f>IF(银币!Y98="","",银币!$B98*银币!Y98)</f>
        <v>96000</v>
      </c>
      <c r="Z97" s="2">
        <f>IF(银币!Z98="","",银币!$B98*银币!Z98)</f>
        <v>288000</v>
      </c>
      <c r="AA97" s="2">
        <f>IF(银币!AA98="","",银币!$B98*银币!AA98)</f>
        <v>48000</v>
      </c>
      <c r="AB97" s="2" t="str">
        <f>IF(银币!AB98="","",银币!$B98*银币!AB98)</f>
        <v/>
      </c>
      <c r="AC97" s="2" t="str">
        <f>IF(银币!AC98="","",银币!$B98*银币!AC98)</f>
        <v/>
      </c>
      <c r="AD97" s="2" t="str">
        <f>IF(银币!AD98="","",银币!$B98*银币!AD98)</f>
        <v/>
      </c>
      <c r="AE97" s="2" t="str">
        <f>IF(银币!AE98="","",银币!$B98*银币!AE98)</f>
        <v/>
      </c>
      <c r="AF97" s="2">
        <f>银币!AI98</f>
        <v>633600</v>
      </c>
    </row>
    <row r="98" spans="1:32">
      <c r="A98" s="58">
        <v>97</v>
      </c>
      <c r="B98" s="96">
        <f>银币!B99</f>
        <v>97000</v>
      </c>
      <c r="C98" s="2">
        <f>IF(银币!C99="","",银币!$B99*银币!C99)</f>
        <v>388000</v>
      </c>
      <c r="D98" s="2">
        <f>IF(银币!D99="","",银币!$B99*银币!D99)</f>
        <v>160050</v>
      </c>
      <c r="E98" s="2">
        <f>IF(银币!E99="","",银币!$B99*银币!E99)</f>
        <v>48500</v>
      </c>
      <c r="F98" s="2">
        <f>IF(银币!F99="","",银币!$B99*银币!F99)</f>
        <v>97000</v>
      </c>
      <c r="G98" s="2" t="str">
        <f>IF(银币!G99="","",银币!$B99*银币!G99)</f>
        <v/>
      </c>
      <c r="H98" s="2" t="str">
        <f>IF(银币!H99="","",银币!$B99*银币!H99)</f>
        <v/>
      </c>
      <c r="I98" s="2" t="str">
        <f>IF(银币!I99="","",银币!$B99*银币!I99)</f>
        <v/>
      </c>
      <c r="J98" s="2" t="str">
        <f>IF(银币!J99="","",银币!$B99*银币!J99)</f>
        <v/>
      </c>
      <c r="K98" s="2">
        <f>IF(银币!K99="","",银币!$B99*银币!K99)</f>
        <v>97000</v>
      </c>
      <c r="L98" s="2">
        <f>IF(银币!L99="","",银币!$B99*银币!L99)</f>
        <v>97000</v>
      </c>
      <c r="M98" s="2" t="str">
        <f>IF(银币!M99="","",银币!$B99*银币!M99)</f>
        <v/>
      </c>
      <c r="N98" s="2" t="str">
        <f>IF(银币!N99="","",银币!$B99*银币!N99)</f>
        <v/>
      </c>
      <c r="O98" s="2" t="str">
        <f>IF(银币!O99="","",银币!$B99*银币!O99)</f>
        <v/>
      </c>
      <c r="P98" s="2">
        <f>IF(银币!P99="","",银币!$B99*银币!P99)</f>
        <v>48500</v>
      </c>
      <c r="Q98" s="2">
        <f>IF(银币!Q99="","",银币!$B99*银币!Q99)</f>
        <v>485000</v>
      </c>
      <c r="R98" s="2" t="str">
        <f>IF(银币!R99="","",银币!$B99*银币!R99)</f>
        <v/>
      </c>
      <c r="S98" s="2">
        <f>IF(银币!S99="","",银币!$B99*银币!S99)</f>
        <v>97000</v>
      </c>
      <c r="T98" s="2">
        <f>IF(银币!T99="","",银币!$B99*银币!T99)</f>
        <v>0</v>
      </c>
      <c r="U98" s="2">
        <f>IF(银币!U99="","",银币!$B99*银币!U99)</f>
        <v>97000</v>
      </c>
      <c r="V98" s="2">
        <f>IF(银币!V99="","",银币!$B99*银币!V99)</f>
        <v>145500</v>
      </c>
      <c r="W98" s="2">
        <f>IF(银币!W99="","",银币!$B99*银币!W99)</f>
        <v>97000</v>
      </c>
      <c r="X98" s="2">
        <f>IF(银币!X99="","",银币!$B99*银币!X99)</f>
        <v>97000</v>
      </c>
      <c r="Y98" s="2">
        <f>IF(银币!Y99="","",银币!$B99*银币!Y99)</f>
        <v>97000</v>
      </c>
      <c r="Z98" s="2">
        <f>IF(银币!Z99="","",银币!$B99*银币!Z99)</f>
        <v>291000</v>
      </c>
      <c r="AA98" s="2">
        <f>IF(银币!AA99="","",银币!$B99*银币!AA99)</f>
        <v>48500</v>
      </c>
      <c r="AB98" s="2" t="str">
        <f>IF(银币!AB99="","",银币!$B99*银币!AB99)</f>
        <v/>
      </c>
      <c r="AC98" s="2" t="str">
        <f>IF(银币!AC99="","",银币!$B99*银币!AC99)</f>
        <v/>
      </c>
      <c r="AD98" s="2" t="str">
        <f>IF(银币!AD99="","",银币!$B99*银币!AD99)</f>
        <v/>
      </c>
      <c r="AE98" s="2" t="str">
        <f>IF(银币!AE99="","",银币!$B99*银币!AE99)</f>
        <v/>
      </c>
      <c r="AF98" s="2">
        <f>银币!AI99</f>
        <v>649900</v>
      </c>
    </row>
    <row r="99" spans="1:32">
      <c r="A99" s="58">
        <v>98</v>
      </c>
      <c r="B99" s="96">
        <f>银币!B100</f>
        <v>98000</v>
      </c>
      <c r="C99" s="2">
        <f>IF(银币!C100="","",银币!$B100*银币!C100)</f>
        <v>392000</v>
      </c>
      <c r="D99" s="2">
        <f>IF(银币!D100="","",银币!$B100*银币!D100)</f>
        <v>161700</v>
      </c>
      <c r="E99" s="2">
        <f>IF(银币!E100="","",银币!$B100*银币!E100)</f>
        <v>49000</v>
      </c>
      <c r="F99" s="2">
        <f>IF(银币!F100="","",银币!$B100*银币!F100)</f>
        <v>98000</v>
      </c>
      <c r="G99" s="2" t="str">
        <f>IF(银币!G100="","",银币!$B100*银币!G100)</f>
        <v/>
      </c>
      <c r="H99" s="2" t="str">
        <f>IF(银币!H100="","",银币!$B100*银币!H100)</f>
        <v/>
      </c>
      <c r="I99" s="2" t="str">
        <f>IF(银币!I100="","",银币!$B100*银币!I100)</f>
        <v/>
      </c>
      <c r="J99" s="2" t="str">
        <f>IF(银币!J100="","",银币!$B100*银币!J100)</f>
        <v/>
      </c>
      <c r="K99" s="2">
        <f>IF(银币!K100="","",银币!$B100*银币!K100)</f>
        <v>98000</v>
      </c>
      <c r="L99" s="2">
        <f>IF(银币!L100="","",银币!$B100*银币!L100)</f>
        <v>98000</v>
      </c>
      <c r="M99" s="2" t="str">
        <f>IF(银币!M100="","",银币!$B100*银币!M100)</f>
        <v/>
      </c>
      <c r="N99" s="2" t="str">
        <f>IF(银币!N100="","",银币!$B100*银币!N100)</f>
        <v/>
      </c>
      <c r="O99" s="2" t="str">
        <f>IF(银币!O100="","",银币!$B100*银币!O100)</f>
        <v/>
      </c>
      <c r="P99" s="2">
        <f>IF(银币!P100="","",银币!$B100*银币!P100)</f>
        <v>49000</v>
      </c>
      <c r="Q99" s="2">
        <f>IF(银币!Q100="","",银币!$B100*银币!Q100)</f>
        <v>490000</v>
      </c>
      <c r="R99" s="2" t="str">
        <f>IF(银币!R100="","",银币!$B100*银币!R100)</f>
        <v/>
      </c>
      <c r="S99" s="2">
        <f>IF(银币!S100="","",银币!$B100*银币!S100)</f>
        <v>98000</v>
      </c>
      <c r="T99" s="2">
        <f>IF(银币!T100="","",银币!$B100*银币!T100)</f>
        <v>0</v>
      </c>
      <c r="U99" s="2">
        <f>IF(银币!U100="","",银币!$B100*银币!U100)</f>
        <v>98000</v>
      </c>
      <c r="V99" s="2">
        <f>IF(银币!V100="","",银币!$B100*银币!V100)</f>
        <v>147000</v>
      </c>
      <c r="W99" s="2">
        <f>IF(银币!W100="","",银币!$B100*银币!W100)</f>
        <v>98000</v>
      </c>
      <c r="X99" s="2">
        <f>IF(银币!X100="","",银币!$B100*银币!X100)</f>
        <v>98000</v>
      </c>
      <c r="Y99" s="2">
        <f>IF(银币!Y100="","",银币!$B100*银币!Y100)</f>
        <v>98000</v>
      </c>
      <c r="Z99" s="2">
        <f>IF(银币!Z100="","",银币!$B100*银币!Z100)</f>
        <v>294000</v>
      </c>
      <c r="AA99" s="2">
        <f>IF(银币!AA100="","",银币!$B100*银币!AA100)</f>
        <v>49000</v>
      </c>
      <c r="AB99" s="2" t="str">
        <f>IF(银币!AB100="","",银币!$B100*银币!AB100)</f>
        <v/>
      </c>
      <c r="AC99" s="2" t="str">
        <f>IF(银币!AC100="","",银币!$B100*银币!AC100)</f>
        <v/>
      </c>
      <c r="AD99" s="2" t="str">
        <f>IF(银币!AD100="","",银币!$B100*银币!AD100)</f>
        <v/>
      </c>
      <c r="AE99" s="2" t="str">
        <f>IF(银币!AE100="","",银币!$B100*银币!AE100)</f>
        <v/>
      </c>
      <c r="AF99" s="2">
        <f>银币!AI100</f>
        <v>666400</v>
      </c>
    </row>
    <row r="100" spans="1:32">
      <c r="A100" s="58">
        <v>99</v>
      </c>
      <c r="B100" s="96">
        <f>银币!B101</f>
        <v>99000</v>
      </c>
      <c r="C100" s="2">
        <f>IF(银币!C101="","",银币!$B101*银币!C101)</f>
        <v>396000</v>
      </c>
      <c r="D100" s="2">
        <f>IF(银币!D101="","",银币!$B101*银币!D101)</f>
        <v>163350</v>
      </c>
      <c r="E100" s="2">
        <f>IF(银币!E101="","",银币!$B101*银币!E101)</f>
        <v>49500</v>
      </c>
      <c r="F100" s="2">
        <f>IF(银币!F101="","",银币!$B101*银币!F101)</f>
        <v>99000</v>
      </c>
      <c r="G100" s="2" t="str">
        <f>IF(银币!G101="","",银币!$B101*银币!G101)</f>
        <v/>
      </c>
      <c r="H100" s="2" t="str">
        <f>IF(银币!H101="","",银币!$B101*银币!H101)</f>
        <v/>
      </c>
      <c r="I100" s="2" t="str">
        <f>IF(银币!I101="","",银币!$B101*银币!I101)</f>
        <v/>
      </c>
      <c r="J100" s="2" t="str">
        <f>IF(银币!J101="","",银币!$B101*银币!J101)</f>
        <v/>
      </c>
      <c r="K100" s="2">
        <f>IF(银币!K101="","",银币!$B101*银币!K101)</f>
        <v>99000</v>
      </c>
      <c r="L100" s="2">
        <f>IF(银币!L101="","",银币!$B101*银币!L101)</f>
        <v>99000</v>
      </c>
      <c r="M100" s="2" t="str">
        <f>IF(银币!M101="","",银币!$B101*银币!M101)</f>
        <v/>
      </c>
      <c r="N100" s="2" t="str">
        <f>IF(银币!N101="","",银币!$B101*银币!N101)</f>
        <v/>
      </c>
      <c r="O100" s="2" t="str">
        <f>IF(银币!O101="","",银币!$B101*银币!O101)</f>
        <v/>
      </c>
      <c r="P100" s="2">
        <f>IF(银币!P101="","",银币!$B101*银币!P101)</f>
        <v>49500</v>
      </c>
      <c r="Q100" s="2">
        <f>IF(银币!Q101="","",银币!$B101*银币!Q101)</f>
        <v>495000</v>
      </c>
      <c r="R100" s="2" t="str">
        <f>IF(银币!R101="","",银币!$B101*银币!R101)</f>
        <v/>
      </c>
      <c r="S100" s="2">
        <f>IF(银币!S101="","",银币!$B101*银币!S101)</f>
        <v>99000</v>
      </c>
      <c r="T100" s="2">
        <f>IF(银币!T101="","",银币!$B101*银币!T101)</f>
        <v>0</v>
      </c>
      <c r="U100" s="2">
        <f>IF(银币!U101="","",银币!$B101*银币!U101)</f>
        <v>99000</v>
      </c>
      <c r="V100" s="2">
        <f>IF(银币!V101="","",银币!$B101*银币!V101)</f>
        <v>148500</v>
      </c>
      <c r="W100" s="2">
        <f>IF(银币!W101="","",银币!$B101*银币!W101)</f>
        <v>99000</v>
      </c>
      <c r="X100" s="2">
        <f>IF(银币!X101="","",银币!$B101*银币!X101)</f>
        <v>99000</v>
      </c>
      <c r="Y100" s="2">
        <f>IF(银币!Y101="","",银币!$B101*银币!Y101)</f>
        <v>99000</v>
      </c>
      <c r="Z100" s="2">
        <f>IF(银币!Z101="","",银币!$B101*银币!Z101)</f>
        <v>297000</v>
      </c>
      <c r="AA100" s="2">
        <f>IF(银币!AA101="","",银币!$B101*银币!AA101)</f>
        <v>49500</v>
      </c>
      <c r="AB100" s="2" t="str">
        <f>IF(银币!AB101="","",银币!$B101*银币!AB101)</f>
        <v/>
      </c>
      <c r="AC100" s="2" t="str">
        <f>IF(银币!AC101="","",银币!$B101*银币!AC101)</f>
        <v/>
      </c>
      <c r="AD100" s="2" t="str">
        <f>IF(银币!AD101="","",银币!$B101*银币!AD101)</f>
        <v/>
      </c>
      <c r="AE100" s="2" t="str">
        <f>IF(银币!AE101="","",银币!$B101*银币!AE101)</f>
        <v/>
      </c>
      <c r="AF100" s="2">
        <f>银币!AI101</f>
        <v>683100</v>
      </c>
    </row>
    <row r="101" spans="1:32">
      <c r="A101" s="58">
        <v>100</v>
      </c>
      <c r="B101" s="96">
        <f>银币!B102</f>
        <v>100000</v>
      </c>
      <c r="C101" s="2">
        <f>IF(银币!C102="","",银币!$B102*银币!C102)</f>
        <v>400000</v>
      </c>
      <c r="D101" s="2">
        <f>IF(银币!D102="","",银币!$B102*银币!D102)</f>
        <v>165000</v>
      </c>
      <c r="E101" s="2">
        <f>IF(银币!E102="","",银币!$B102*银币!E102)</f>
        <v>50000</v>
      </c>
      <c r="F101" s="2">
        <f>IF(银币!F102="","",银币!$B102*银币!F102)</f>
        <v>100000</v>
      </c>
      <c r="G101" s="2" t="str">
        <f>IF(银币!G102="","",银币!$B102*银币!G102)</f>
        <v/>
      </c>
      <c r="H101" s="2" t="str">
        <f>IF(银币!H102="","",银币!$B102*银币!H102)</f>
        <v/>
      </c>
      <c r="I101" s="2" t="str">
        <f>IF(银币!I102="","",银币!$B102*银币!I102)</f>
        <v/>
      </c>
      <c r="J101" s="2" t="str">
        <f>IF(银币!J102="","",银币!$B102*银币!J102)</f>
        <v/>
      </c>
      <c r="K101" s="2">
        <f>IF(银币!K102="","",银币!$B102*银币!K102)</f>
        <v>100000</v>
      </c>
      <c r="L101" s="2">
        <f>IF(银币!L102="","",银币!$B102*银币!L102)</f>
        <v>100000</v>
      </c>
      <c r="M101" s="2" t="str">
        <f>IF(银币!M102="","",银币!$B102*银币!M102)</f>
        <v/>
      </c>
      <c r="N101" s="2" t="str">
        <f>IF(银币!N102="","",银币!$B102*银币!N102)</f>
        <v/>
      </c>
      <c r="O101" s="2" t="str">
        <f>IF(银币!O102="","",银币!$B102*银币!O102)</f>
        <v/>
      </c>
      <c r="P101" s="2">
        <f>IF(银币!P102="","",银币!$B102*银币!P102)</f>
        <v>50000</v>
      </c>
      <c r="Q101" s="2">
        <f>IF(银币!Q102="","",银币!$B102*银币!Q102)</f>
        <v>500000</v>
      </c>
      <c r="R101" s="2" t="str">
        <f>IF(银币!R102="","",银币!$B102*银币!R102)</f>
        <v/>
      </c>
      <c r="S101" s="2">
        <f>IF(银币!S102="","",银币!$B102*银币!S102)</f>
        <v>100000</v>
      </c>
      <c r="T101" s="2">
        <f>IF(银币!T102="","",银币!$B102*银币!T102)</f>
        <v>0</v>
      </c>
      <c r="U101" s="2">
        <f>IF(银币!U102="","",银币!$B102*银币!U102)</f>
        <v>100000</v>
      </c>
      <c r="V101" s="2">
        <f>IF(银币!V102="","",银币!$B102*银币!V102)</f>
        <v>150000</v>
      </c>
      <c r="W101" s="2">
        <f>IF(银币!W102="","",银币!$B102*银币!W102)</f>
        <v>100000</v>
      </c>
      <c r="X101" s="2">
        <f>IF(银币!X102="","",银币!$B102*银币!X102)</f>
        <v>100000</v>
      </c>
      <c r="Y101" s="2">
        <f>IF(银币!Y102="","",银币!$B102*银币!Y102)</f>
        <v>100000</v>
      </c>
      <c r="Z101" s="2">
        <f>IF(银币!Z102="","",银币!$B102*银币!Z102)</f>
        <v>300000</v>
      </c>
      <c r="AA101" s="2">
        <f>IF(银币!AA102="","",银币!$B102*银币!AA102)</f>
        <v>50000</v>
      </c>
      <c r="AB101" s="2" t="str">
        <f>IF(银币!AB102="","",银币!$B102*银币!AB102)</f>
        <v/>
      </c>
      <c r="AC101" s="2" t="str">
        <f>IF(银币!AC102="","",银币!$B102*银币!AC102)</f>
        <v/>
      </c>
      <c r="AD101" s="2" t="str">
        <f>IF(银币!AD102="","",银币!$B102*银币!AD102)</f>
        <v/>
      </c>
      <c r="AE101" s="2" t="str">
        <f>IF(银币!AE102="","",银币!$B102*银币!AE102)</f>
        <v/>
      </c>
      <c r="AF101" s="2">
        <f>银币!AI102</f>
        <v>700000</v>
      </c>
    </row>
    <row r="102" spans="1:32">
      <c r="A102" s="58">
        <v>101</v>
      </c>
      <c r="B102" s="96">
        <f>银币!B103</f>
        <v>101000</v>
      </c>
      <c r="C102" s="2">
        <f>IF(银币!C103="","",银币!$B103*银币!C103)</f>
        <v>404000</v>
      </c>
      <c r="D102" s="2">
        <f>IF(银币!D103="","",银币!$B103*银币!D103)</f>
        <v>166650</v>
      </c>
      <c r="E102" s="2">
        <f>IF(银币!E103="","",银币!$B103*银币!E103)</f>
        <v>50500</v>
      </c>
      <c r="F102" s="2">
        <f>IF(银币!F103="","",银币!$B103*银币!F103)</f>
        <v>101000</v>
      </c>
      <c r="G102" s="2" t="str">
        <f>IF(银币!G103="","",银币!$B103*银币!G103)</f>
        <v/>
      </c>
      <c r="H102" s="2" t="str">
        <f>IF(银币!H103="","",银币!$B103*银币!H103)</f>
        <v/>
      </c>
      <c r="I102" s="2" t="str">
        <f>IF(银币!I103="","",银币!$B103*银币!I103)</f>
        <v/>
      </c>
      <c r="J102" s="2" t="str">
        <f>IF(银币!J103="","",银币!$B103*银币!J103)</f>
        <v/>
      </c>
      <c r="K102" s="2">
        <f>IF(银币!K103="","",银币!$B103*银币!K103)</f>
        <v>101000</v>
      </c>
      <c r="L102" s="2">
        <f>IF(银币!L103="","",银币!$B103*银币!L103)</f>
        <v>101000</v>
      </c>
      <c r="M102" s="2" t="str">
        <f>IF(银币!M103="","",银币!$B103*银币!M103)</f>
        <v/>
      </c>
      <c r="N102" s="2" t="str">
        <f>IF(银币!N103="","",银币!$B103*银币!N103)</f>
        <v/>
      </c>
      <c r="O102" s="2" t="str">
        <f>IF(银币!O103="","",银币!$B103*银币!O103)</f>
        <v/>
      </c>
      <c r="P102" s="2">
        <f>IF(银币!P103="","",银币!$B103*银币!P103)</f>
        <v>50500</v>
      </c>
      <c r="Q102" s="2">
        <f>IF(银币!Q103="","",银币!$B103*银币!Q103)</f>
        <v>505000</v>
      </c>
      <c r="R102" s="2" t="str">
        <f>IF(银币!R103="","",银币!$B103*银币!R103)</f>
        <v/>
      </c>
      <c r="S102" s="2">
        <f>IF(银币!S103="","",银币!$B103*银币!S103)</f>
        <v>101000</v>
      </c>
      <c r="T102" s="2">
        <f>IF(银币!T103="","",银币!$B103*银币!T103)</f>
        <v>0</v>
      </c>
      <c r="U102" s="2">
        <f>IF(银币!U103="","",银币!$B103*银币!U103)</f>
        <v>101000</v>
      </c>
      <c r="V102" s="2">
        <f>IF(银币!V103="","",银币!$B103*银币!V103)</f>
        <v>151500</v>
      </c>
      <c r="W102" s="2">
        <f>IF(银币!W103="","",银币!$B103*银币!W103)</f>
        <v>101000</v>
      </c>
      <c r="X102" s="2">
        <f>IF(银币!X103="","",银币!$B103*银币!X103)</f>
        <v>101000</v>
      </c>
      <c r="Y102" s="2">
        <f>IF(银币!Y103="","",银币!$B103*银币!Y103)</f>
        <v>101000</v>
      </c>
      <c r="Z102" s="2">
        <f>IF(银币!Z103="","",银币!$B103*银币!Z103)</f>
        <v>303000</v>
      </c>
      <c r="AA102" s="2">
        <f>IF(银币!AA103="","",银币!$B103*银币!AA103)</f>
        <v>50500</v>
      </c>
      <c r="AB102" s="2" t="str">
        <f>IF(银币!AB103="","",银币!$B103*银币!AB103)</f>
        <v/>
      </c>
      <c r="AC102" s="2" t="str">
        <f>IF(银币!AC103="","",银币!$B103*银币!AC103)</f>
        <v/>
      </c>
      <c r="AD102" s="2" t="str">
        <f>IF(银币!AD103="","",银币!$B103*银币!AD103)</f>
        <v/>
      </c>
      <c r="AE102" s="2" t="str">
        <f>IF(银币!AE103="","",银币!$B103*银币!AE103)</f>
        <v/>
      </c>
      <c r="AF102" s="2">
        <f>银币!AI103</f>
        <v>717100</v>
      </c>
    </row>
    <row r="103" spans="1:32">
      <c r="A103" s="58">
        <v>102</v>
      </c>
      <c r="B103" s="96">
        <f>银币!B104</f>
        <v>102000</v>
      </c>
      <c r="C103" s="2">
        <f>IF(银币!C104="","",银币!$B104*银币!C104)</f>
        <v>408000</v>
      </c>
      <c r="D103" s="2">
        <f>IF(银币!D104="","",银币!$B104*银币!D104)</f>
        <v>168300</v>
      </c>
      <c r="E103" s="2">
        <f>IF(银币!E104="","",银币!$B104*银币!E104)</f>
        <v>51000</v>
      </c>
      <c r="F103" s="2">
        <f>IF(银币!F104="","",银币!$B104*银币!F104)</f>
        <v>102000</v>
      </c>
      <c r="G103" s="2" t="str">
        <f>IF(银币!G104="","",银币!$B104*银币!G104)</f>
        <v/>
      </c>
      <c r="H103" s="2" t="str">
        <f>IF(银币!H104="","",银币!$B104*银币!H104)</f>
        <v/>
      </c>
      <c r="I103" s="2" t="str">
        <f>IF(银币!I104="","",银币!$B104*银币!I104)</f>
        <v/>
      </c>
      <c r="J103" s="2" t="str">
        <f>IF(银币!J104="","",银币!$B104*银币!J104)</f>
        <v/>
      </c>
      <c r="K103" s="2">
        <f>IF(银币!K104="","",银币!$B104*银币!K104)</f>
        <v>102000</v>
      </c>
      <c r="L103" s="2">
        <f>IF(银币!L104="","",银币!$B104*银币!L104)</f>
        <v>102000</v>
      </c>
      <c r="M103" s="2" t="str">
        <f>IF(银币!M104="","",银币!$B104*银币!M104)</f>
        <v/>
      </c>
      <c r="N103" s="2" t="str">
        <f>IF(银币!N104="","",银币!$B104*银币!N104)</f>
        <v/>
      </c>
      <c r="O103" s="2" t="str">
        <f>IF(银币!O104="","",银币!$B104*银币!O104)</f>
        <v/>
      </c>
      <c r="P103" s="2">
        <f>IF(银币!P104="","",银币!$B104*银币!P104)</f>
        <v>51000</v>
      </c>
      <c r="Q103" s="2">
        <f>IF(银币!Q104="","",银币!$B104*银币!Q104)</f>
        <v>510000</v>
      </c>
      <c r="R103" s="2" t="str">
        <f>IF(银币!R104="","",银币!$B104*银币!R104)</f>
        <v/>
      </c>
      <c r="S103" s="2">
        <f>IF(银币!S104="","",银币!$B104*银币!S104)</f>
        <v>102000</v>
      </c>
      <c r="T103" s="2">
        <f>IF(银币!T104="","",银币!$B104*银币!T104)</f>
        <v>0</v>
      </c>
      <c r="U103" s="2">
        <f>IF(银币!U104="","",银币!$B104*银币!U104)</f>
        <v>102000</v>
      </c>
      <c r="V103" s="2">
        <f>IF(银币!V104="","",银币!$B104*银币!V104)</f>
        <v>153000</v>
      </c>
      <c r="W103" s="2">
        <f>IF(银币!W104="","",银币!$B104*银币!W104)</f>
        <v>102000</v>
      </c>
      <c r="X103" s="2">
        <f>IF(银币!X104="","",银币!$B104*银币!X104)</f>
        <v>102000</v>
      </c>
      <c r="Y103" s="2">
        <f>IF(银币!Y104="","",银币!$B104*银币!Y104)</f>
        <v>102000</v>
      </c>
      <c r="Z103" s="2">
        <f>IF(银币!Z104="","",银币!$B104*银币!Z104)</f>
        <v>306000</v>
      </c>
      <c r="AA103" s="2">
        <f>IF(银币!AA104="","",银币!$B104*银币!AA104)</f>
        <v>51000</v>
      </c>
      <c r="AB103" s="2" t="str">
        <f>IF(银币!AB104="","",银币!$B104*银币!AB104)</f>
        <v/>
      </c>
      <c r="AC103" s="2" t="str">
        <f>IF(银币!AC104="","",银币!$B104*银币!AC104)</f>
        <v/>
      </c>
      <c r="AD103" s="2" t="str">
        <f>IF(银币!AD104="","",银币!$B104*银币!AD104)</f>
        <v/>
      </c>
      <c r="AE103" s="2" t="str">
        <f>IF(银币!AE104="","",银币!$B104*银币!AE104)</f>
        <v/>
      </c>
      <c r="AF103" s="2">
        <f>银币!AI104</f>
        <v>734400</v>
      </c>
    </row>
    <row r="104" spans="1:32">
      <c r="A104" s="58">
        <v>103</v>
      </c>
      <c r="B104" s="96">
        <f>银币!B105</f>
        <v>103000</v>
      </c>
      <c r="C104" s="2">
        <f>IF(银币!C105="","",银币!$B105*银币!C105)</f>
        <v>412000</v>
      </c>
      <c r="D104" s="2">
        <f>IF(银币!D105="","",银币!$B105*银币!D105)</f>
        <v>169950</v>
      </c>
      <c r="E104" s="2">
        <f>IF(银币!E105="","",银币!$B105*银币!E105)</f>
        <v>51500</v>
      </c>
      <c r="F104" s="2">
        <f>IF(银币!F105="","",银币!$B105*银币!F105)</f>
        <v>103000</v>
      </c>
      <c r="G104" s="2" t="str">
        <f>IF(银币!G105="","",银币!$B105*银币!G105)</f>
        <v/>
      </c>
      <c r="H104" s="2" t="str">
        <f>IF(银币!H105="","",银币!$B105*银币!H105)</f>
        <v/>
      </c>
      <c r="I104" s="2" t="str">
        <f>IF(银币!I105="","",银币!$B105*银币!I105)</f>
        <v/>
      </c>
      <c r="J104" s="2" t="str">
        <f>IF(银币!J105="","",银币!$B105*银币!J105)</f>
        <v/>
      </c>
      <c r="K104" s="2">
        <f>IF(银币!K105="","",银币!$B105*银币!K105)</f>
        <v>103000</v>
      </c>
      <c r="L104" s="2">
        <f>IF(银币!L105="","",银币!$B105*银币!L105)</f>
        <v>103000</v>
      </c>
      <c r="M104" s="2" t="str">
        <f>IF(银币!M105="","",银币!$B105*银币!M105)</f>
        <v/>
      </c>
      <c r="N104" s="2" t="str">
        <f>IF(银币!N105="","",银币!$B105*银币!N105)</f>
        <v/>
      </c>
      <c r="O104" s="2" t="str">
        <f>IF(银币!O105="","",银币!$B105*银币!O105)</f>
        <v/>
      </c>
      <c r="P104" s="2">
        <f>IF(银币!P105="","",银币!$B105*银币!P105)</f>
        <v>51500</v>
      </c>
      <c r="Q104" s="2">
        <f>IF(银币!Q105="","",银币!$B105*银币!Q105)</f>
        <v>515000</v>
      </c>
      <c r="R104" s="2" t="str">
        <f>IF(银币!R105="","",银币!$B105*银币!R105)</f>
        <v/>
      </c>
      <c r="S104" s="2">
        <f>IF(银币!S105="","",银币!$B105*银币!S105)</f>
        <v>103000</v>
      </c>
      <c r="T104" s="2">
        <f>IF(银币!T105="","",银币!$B105*银币!T105)</f>
        <v>0</v>
      </c>
      <c r="U104" s="2">
        <f>IF(银币!U105="","",银币!$B105*银币!U105)</f>
        <v>103000</v>
      </c>
      <c r="V104" s="2">
        <f>IF(银币!V105="","",银币!$B105*银币!V105)</f>
        <v>154500</v>
      </c>
      <c r="W104" s="2">
        <f>IF(银币!W105="","",银币!$B105*银币!W105)</f>
        <v>103000</v>
      </c>
      <c r="X104" s="2">
        <f>IF(银币!X105="","",银币!$B105*银币!X105)</f>
        <v>103000</v>
      </c>
      <c r="Y104" s="2">
        <f>IF(银币!Y105="","",银币!$B105*银币!Y105)</f>
        <v>103000</v>
      </c>
      <c r="Z104" s="2">
        <f>IF(银币!Z105="","",银币!$B105*银币!Z105)</f>
        <v>309000</v>
      </c>
      <c r="AA104" s="2">
        <f>IF(银币!AA105="","",银币!$B105*银币!AA105)</f>
        <v>51500</v>
      </c>
      <c r="AB104" s="2" t="str">
        <f>IF(银币!AB105="","",银币!$B105*银币!AB105)</f>
        <v/>
      </c>
      <c r="AC104" s="2" t="str">
        <f>IF(银币!AC105="","",银币!$B105*银币!AC105)</f>
        <v/>
      </c>
      <c r="AD104" s="2" t="str">
        <f>IF(银币!AD105="","",银币!$B105*银币!AD105)</f>
        <v/>
      </c>
      <c r="AE104" s="2" t="str">
        <f>IF(银币!AE105="","",银币!$B105*银币!AE105)</f>
        <v/>
      </c>
      <c r="AF104" s="2">
        <f>银币!AI105</f>
        <v>751900</v>
      </c>
    </row>
    <row r="105" spans="1:32">
      <c r="A105" s="58">
        <v>104</v>
      </c>
      <c r="B105" s="96">
        <f>银币!B106</f>
        <v>104000</v>
      </c>
      <c r="C105" s="2">
        <f>IF(银币!C106="","",银币!$B106*银币!C106)</f>
        <v>416000</v>
      </c>
      <c r="D105" s="2">
        <f>IF(银币!D106="","",银币!$B106*银币!D106)</f>
        <v>171600</v>
      </c>
      <c r="E105" s="2">
        <f>IF(银币!E106="","",银币!$B106*银币!E106)</f>
        <v>52000</v>
      </c>
      <c r="F105" s="2">
        <f>IF(银币!F106="","",银币!$B106*银币!F106)</f>
        <v>104000</v>
      </c>
      <c r="G105" s="2" t="str">
        <f>IF(银币!G106="","",银币!$B106*银币!G106)</f>
        <v/>
      </c>
      <c r="H105" s="2" t="str">
        <f>IF(银币!H106="","",银币!$B106*银币!H106)</f>
        <v/>
      </c>
      <c r="I105" s="2" t="str">
        <f>IF(银币!I106="","",银币!$B106*银币!I106)</f>
        <v/>
      </c>
      <c r="J105" s="2" t="str">
        <f>IF(银币!J106="","",银币!$B106*银币!J106)</f>
        <v/>
      </c>
      <c r="K105" s="2">
        <f>IF(银币!K106="","",银币!$B106*银币!K106)</f>
        <v>104000</v>
      </c>
      <c r="L105" s="2">
        <f>IF(银币!L106="","",银币!$B106*银币!L106)</f>
        <v>104000</v>
      </c>
      <c r="M105" s="2" t="str">
        <f>IF(银币!M106="","",银币!$B106*银币!M106)</f>
        <v/>
      </c>
      <c r="N105" s="2" t="str">
        <f>IF(银币!N106="","",银币!$B106*银币!N106)</f>
        <v/>
      </c>
      <c r="O105" s="2" t="str">
        <f>IF(银币!O106="","",银币!$B106*银币!O106)</f>
        <v/>
      </c>
      <c r="P105" s="2">
        <f>IF(银币!P106="","",银币!$B106*银币!P106)</f>
        <v>52000</v>
      </c>
      <c r="Q105" s="2">
        <f>IF(银币!Q106="","",银币!$B106*银币!Q106)</f>
        <v>520000</v>
      </c>
      <c r="R105" s="2" t="str">
        <f>IF(银币!R106="","",银币!$B106*银币!R106)</f>
        <v/>
      </c>
      <c r="S105" s="2">
        <f>IF(银币!S106="","",银币!$B106*银币!S106)</f>
        <v>104000</v>
      </c>
      <c r="T105" s="2">
        <f>IF(银币!T106="","",银币!$B106*银币!T106)</f>
        <v>0</v>
      </c>
      <c r="U105" s="2">
        <f>IF(银币!U106="","",银币!$B106*银币!U106)</f>
        <v>104000</v>
      </c>
      <c r="V105" s="2">
        <f>IF(银币!V106="","",银币!$B106*银币!V106)</f>
        <v>156000</v>
      </c>
      <c r="W105" s="2">
        <f>IF(银币!W106="","",银币!$B106*银币!W106)</f>
        <v>104000</v>
      </c>
      <c r="X105" s="2">
        <f>IF(银币!X106="","",银币!$B106*银币!X106)</f>
        <v>104000</v>
      </c>
      <c r="Y105" s="2">
        <f>IF(银币!Y106="","",银币!$B106*银币!Y106)</f>
        <v>104000</v>
      </c>
      <c r="Z105" s="2">
        <f>IF(银币!Z106="","",银币!$B106*银币!Z106)</f>
        <v>312000</v>
      </c>
      <c r="AA105" s="2">
        <f>IF(银币!AA106="","",银币!$B106*银币!AA106)</f>
        <v>52000</v>
      </c>
      <c r="AB105" s="2" t="str">
        <f>IF(银币!AB106="","",银币!$B106*银币!AB106)</f>
        <v/>
      </c>
      <c r="AC105" s="2" t="str">
        <f>IF(银币!AC106="","",银币!$B106*银币!AC106)</f>
        <v/>
      </c>
      <c r="AD105" s="2" t="str">
        <f>IF(银币!AD106="","",银币!$B106*银币!AD106)</f>
        <v/>
      </c>
      <c r="AE105" s="2" t="str">
        <f>IF(银币!AE106="","",银币!$B106*银币!AE106)</f>
        <v/>
      </c>
      <c r="AF105" s="2">
        <f>银币!AI106</f>
        <v>769600</v>
      </c>
    </row>
    <row r="106" spans="1:32">
      <c r="A106" s="58">
        <v>105</v>
      </c>
      <c r="B106" s="96">
        <f>银币!B107</f>
        <v>105000</v>
      </c>
      <c r="C106" s="2">
        <f>IF(银币!C107="","",银币!$B107*银币!C107)</f>
        <v>420000</v>
      </c>
      <c r="D106" s="2">
        <f>IF(银币!D107="","",银币!$B107*银币!D107)</f>
        <v>173250</v>
      </c>
      <c r="E106" s="2">
        <f>IF(银币!E107="","",银币!$B107*银币!E107)</f>
        <v>52500</v>
      </c>
      <c r="F106" s="2">
        <f>IF(银币!F107="","",银币!$B107*银币!F107)</f>
        <v>105000</v>
      </c>
      <c r="G106" s="2" t="str">
        <f>IF(银币!G107="","",银币!$B107*银币!G107)</f>
        <v/>
      </c>
      <c r="H106" s="2" t="str">
        <f>IF(银币!H107="","",银币!$B107*银币!H107)</f>
        <v/>
      </c>
      <c r="I106" s="2" t="str">
        <f>IF(银币!I107="","",银币!$B107*银币!I107)</f>
        <v/>
      </c>
      <c r="J106" s="2" t="str">
        <f>IF(银币!J107="","",银币!$B107*银币!J107)</f>
        <v/>
      </c>
      <c r="K106" s="2">
        <f>IF(银币!K107="","",银币!$B107*银币!K107)</f>
        <v>105000</v>
      </c>
      <c r="L106" s="2">
        <f>IF(银币!L107="","",银币!$B107*银币!L107)</f>
        <v>105000</v>
      </c>
      <c r="M106" s="2" t="str">
        <f>IF(银币!M107="","",银币!$B107*银币!M107)</f>
        <v/>
      </c>
      <c r="N106" s="2" t="str">
        <f>IF(银币!N107="","",银币!$B107*银币!N107)</f>
        <v/>
      </c>
      <c r="O106" s="2" t="str">
        <f>IF(银币!O107="","",银币!$B107*银币!O107)</f>
        <v/>
      </c>
      <c r="P106" s="2">
        <f>IF(银币!P107="","",银币!$B107*银币!P107)</f>
        <v>52500</v>
      </c>
      <c r="Q106" s="2">
        <f>IF(银币!Q107="","",银币!$B107*银币!Q107)</f>
        <v>525000</v>
      </c>
      <c r="R106" s="2" t="str">
        <f>IF(银币!R107="","",银币!$B107*银币!R107)</f>
        <v/>
      </c>
      <c r="S106" s="2">
        <f>IF(银币!S107="","",银币!$B107*银币!S107)</f>
        <v>105000</v>
      </c>
      <c r="T106" s="2">
        <f>IF(银币!T107="","",银币!$B107*银币!T107)</f>
        <v>0</v>
      </c>
      <c r="U106" s="2">
        <f>IF(银币!U107="","",银币!$B107*银币!U107)</f>
        <v>105000</v>
      </c>
      <c r="V106" s="2">
        <f>IF(银币!V107="","",银币!$B107*银币!V107)</f>
        <v>157500</v>
      </c>
      <c r="W106" s="2">
        <f>IF(银币!W107="","",银币!$B107*银币!W107)</f>
        <v>105000</v>
      </c>
      <c r="X106" s="2">
        <f>IF(银币!X107="","",银币!$B107*银币!X107)</f>
        <v>105000</v>
      </c>
      <c r="Y106" s="2">
        <f>IF(银币!Y107="","",银币!$B107*银币!Y107)</f>
        <v>105000</v>
      </c>
      <c r="Z106" s="2">
        <f>IF(银币!Z107="","",银币!$B107*银币!Z107)</f>
        <v>315000</v>
      </c>
      <c r="AA106" s="2">
        <f>IF(银币!AA107="","",银币!$B107*银币!AA107)</f>
        <v>52500</v>
      </c>
      <c r="AB106" s="2" t="str">
        <f>IF(银币!AB107="","",银币!$B107*银币!AB107)</f>
        <v/>
      </c>
      <c r="AC106" s="2" t="str">
        <f>IF(银币!AC107="","",银币!$B107*银币!AC107)</f>
        <v/>
      </c>
      <c r="AD106" s="2" t="str">
        <f>IF(银币!AD107="","",银币!$B107*银币!AD107)</f>
        <v/>
      </c>
      <c r="AE106" s="2" t="str">
        <f>IF(银币!AE107="","",银币!$B107*银币!AE107)</f>
        <v/>
      </c>
      <c r="AF106" s="2">
        <f>银币!AI107</f>
        <v>787500</v>
      </c>
    </row>
    <row r="107" spans="1:32">
      <c r="A107" s="58">
        <v>106</v>
      </c>
      <c r="B107" s="96">
        <f>银币!B108</f>
        <v>106000</v>
      </c>
      <c r="C107" s="2">
        <f>IF(银币!C108="","",银币!$B108*银币!C108)</f>
        <v>424000</v>
      </c>
      <c r="D107" s="2">
        <f>IF(银币!D108="","",银币!$B108*银币!D108)</f>
        <v>174900</v>
      </c>
      <c r="E107" s="2">
        <f>IF(银币!E108="","",银币!$B108*银币!E108)</f>
        <v>53000</v>
      </c>
      <c r="F107" s="2">
        <f>IF(银币!F108="","",银币!$B108*银币!F108)</f>
        <v>106000</v>
      </c>
      <c r="G107" s="2" t="str">
        <f>IF(银币!G108="","",银币!$B108*银币!G108)</f>
        <v/>
      </c>
      <c r="H107" s="2" t="str">
        <f>IF(银币!H108="","",银币!$B108*银币!H108)</f>
        <v/>
      </c>
      <c r="I107" s="2" t="str">
        <f>IF(银币!I108="","",银币!$B108*银币!I108)</f>
        <v/>
      </c>
      <c r="J107" s="2" t="str">
        <f>IF(银币!J108="","",银币!$B108*银币!J108)</f>
        <v/>
      </c>
      <c r="K107" s="2">
        <f>IF(银币!K108="","",银币!$B108*银币!K108)</f>
        <v>106000</v>
      </c>
      <c r="L107" s="2">
        <f>IF(银币!L108="","",银币!$B108*银币!L108)</f>
        <v>106000</v>
      </c>
      <c r="M107" s="2" t="str">
        <f>IF(银币!M108="","",银币!$B108*银币!M108)</f>
        <v/>
      </c>
      <c r="N107" s="2" t="str">
        <f>IF(银币!N108="","",银币!$B108*银币!N108)</f>
        <v/>
      </c>
      <c r="O107" s="2" t="str">
        <f>IF(银币!O108="","",银币!$B108*银币!O108)</f>
        <v/>
      </c>
      <c r="P107" s="2">
        <f>IF(银币!P108="","",银币!$B108*银币!P108)</f>
        <v>53000</v>
      </c>
      <c r="Q107" s="2">
        <f>IF(银币!Q108="","",银币!$B108*银币!Q108)</f>
        <v>530000</v>
      </c>
      <c r="R107" s="2" t="str">
        <f>IF(银币!R108="","",银币!$B108*银币!R108)</f>
        <v/>
      </c>
      <c r="S107" s="2">
        <f>IF(银币!S108="","",银币!$B108*银币!S108)</f>
        <v>106000</v>
      </c>
      <c r="T107" s="2">
        <f>IF(银币!T108="","",银币!$B108*银币!T108)</f>
        <v>0</v>
      </c>
      <c r="U107" s="2">
        <f>IF(银币!U108="","",银币!$B108*银币!U108)</f>
        <v>106000</v>
      </c>
      <c r="V107" s="2">
        <f>IF(银币!V108="","",银币!$B108*银币!V108)</f>
        <v>159000</v>
      </c>
      <c r="W107" s="2">
        <f>IF(银币!W108="","",银币!$B108*银币!W108)</f>
        <v>106000</v>
      </c>
      <c r="X107" s="2">
        <f>IF(银币!X108="","",银币!$B108*银币!X108)</f>
        <v>106000</v>
      </c>
      <c r="Y107" s="2">
        <f>IF(银币!Y108="","",银币!$B108*银币!Y108)</f>
        <v>106000</v>
      </c>
      <c r="Z107" s="2">
        <f>IF(银币!Z108="","",银币!$B108*银币!Z108)</f>
        <v>318000</v>
      </c>
      <c r="AA107" s="2">
        <f>IF(银币!AA108="","",银币!$B108*银币!AA108)</f>
        <v>53000</v>
      </c>
      <c r="AB107" s="2" t="str">
        <f>IF(银币!AB108="","",银币!$B108*银币!AB108)</f>
        <v/>
      </c>
      <c r="AC107" s="2" t="str">
        <f>IF(银币!AC108="","",银币!$B108*银币!AC108)</f>
        <v/>
      </c>
      <c r="AD107" s="2" t="str">
        <f>IF(银币!AD108="","",银币!$B108*银币!AD108)</f>
        <v/>
      </c>
      <c r="AE107" s="2" t="str">
        <f>IF(银币!AE108="","",银币!$B108*银币!AE108)</f>
        <v/>
      </c>
      <c r="AF107" s="2">
        <f>银币!AI108</f>
        <v>805600</v>
      </c>
    </row>
    <row r="108" spans="1:32">
      <c r="A108" s="58">
        <v>107</v>
      </c>
      <c r="B108" s="96">
        <f>银币!B109</f>
        <v>107000</v>
      </c>
      <c r="C108" s="2">
        <f>IF(银币!C109="","",银币!$B109*银币!C109)</f>
        <v>428000</v>
      </c>
      <c r="D108" s="2">
        <f>IF(银币!D109="","",银币!$B109*银币!D109)</f>
        <v>176550</v>
      </c>
      <c r="E108" s="2">
        <f>IF(银币!E109="","",银币!$B109*银币!E109)</f>
        <v>53500</v>
      </c>
      <c r="F108" s="2">
        <f>IF(银币!F109="","",银币!$B109*银币!F109)</f>
        <v>107000</v>
      </c>
      <c r="G108" s="2" t="str">
        <f>IF(银币!G109="","",银币!$B109*银币!G109)</f>
        <v/>
      </c>
      <c r="H108" s="2" t="str">
        <f>IF(银币!H109="","",银币!$B109*银币!H109)</f>
        <v/>
      </c>
      <c r="I108" s="2" t="str">
        <f>IF(银币!I109="","",银币!$B109*银币!I109)</f>
        <v/>
      </c>
      <c r="J108" s="2" t="str">
        <f>IF(银币!J109="","",银币!$B109*银币!J109)</f>
        <v/>
      </c>
      <c r="K108" s="2">
        <f>IF(银币!K109="","",银币!$B109*银币!K109)</f>
        <v>107000</v>
      </c>
      <c r="L108" s="2">
        <f>IF(银币!L109="","",银币!$B109*银币!L109)</f>
        <v>107000</v>
      </c>
      <c r="M108" s="2" t="str">
        <f>IF(银币!M109="","",银币!$B109*银币!M109)</f>
        <v/>
      </c>
      <c r="N108" s="2" t="str">
        <f>IF(银币!N109="","",银币!$B109*银币!N109)</f>
        <v/>
      </c>
      <c r="O108" s="2" t="str">
        <f>IF(银币!O109="","",银币!$B109*银币!O109)</f>
        <v/>
      </c>
      <c r="P108" s="2">
        <f>IF(银币!P109="","",银币!$B109*银币!P109)</f>
        <v>53500</v>
      </c>
      <c r="Q108" s="2">
        <f>IF(银币!Q109="","",银币!$B109*银币!Q109)</f>
        <v>535000</v>
      </c>
      <c r="R108" s="2" t="str">
        <f>IF(银币!R109="","",银币!$B109*银币!R109)</f>
        <v/>
      </c>
      <c r="S108" s="2">
        <f>IF(银币!S109="","",银币!$B109*银币!S109)</f>
        <v>107000</v>
      </c>
      <c r="T108" s="2">
        <f>IF(银币!T109="","",银币!$B109*银币!T109)</f>
        <v>0</v>
      </c>
      <c r="U108" s="2">
        <f>IF(银币!U109="","",银币!$B109*银币!U109)</f>
        <v>107000</v>
      </c>
      <c r="V108" s="2">
        <f>IF(银币!V109="","",银币!$B109*银币!V109)</f>
        <v>160500</v>
      </c>
      <c r="W108" s="2">
        <f>IF(银币!W109="","",银币!$B109*银币!W109)</f>
        <v>107000</v>
      </c>
      <c r="X108" s="2">
        <f>IF(银币!X109="","",银币!$B109*银币!X109)</f>
        <v>107000</v>
      </c>
      <c r="Y108" s="2">
        <f>IF(银币!Y109="","",银币!$B109*银币!Y109)</f>
        <v>107000</v>
      </c>
      <c r="Z108" s="2">
        <f>IF(银币!Z109="","",银币!$B109*银币!Z109)</f>
        <v>321000</v>
      </c>
      <c r="AA108" s="2">
        <f>IF(银币!AA109="","",银币!$B109*银币!AA109)</f>
        <v>53500</v>
      </c>
      <c r="AB108" s="2" t="str">
        <f>IF(银币!AB109="","",银币!$B109*银币!AB109)</f>
        <v/>
      </c>
      <c r="AC108" s="2" t="str">
        <f>IF(银币!AC109="","",银币!$B109*银币!AC109)</f>
        <v/>
      </c>
      <c r="AD108" s="2" t="str">
        <f>IF(银币!AD109="","",银币!$B109*银币!AD109)</f>
        <v/>
      </c>
      <c r="AE108" s="2" t="str">
        <f>IF(银币!AE109="","",银币!$B109*银币!AE109)</f>
        <v/>
      </c>
      <c r="AF108" s="2">
        <f>银币!AI109</f>
        <v>823900</v>
      </c>
    </row>
    <row r="109" spans="1:32">
      <c r="A109" s="58">
        <v>108</v>
      </c>
      <c r="B109" s="96">
        <f>银币!B110</f>
        <v>108000</v>
      </c>
      <c r="C109" s="2">
        <f>IF(银币!C110="","",银币!$B110*银币!C110)</f>
        <v>432000</v>
      </c>
      <c r="D109" s="2">
        <f>IF(银币!D110="","",银币!$B110*银币!D110)</f>
        <v>178200</v>
      </c>
      <c r="E109" s="2">
        <f>IF(银币!E110="","",银币!$B110*银币!E110)</f>
        <v>54000</v>
      </c>
      <c r="F109" s="2">
        <f>IF(银币!F110="","",银币!$B110*银币!F110)</f>
        <v>108000</v>
      </c>
      <c r="G109" s="2" t="str">
        <f>IF(银币!G110="","",银币!$B110*银币!G110)</f>
        <v/>
      </c>
      <c r="H109" s="2" t="str">
        <f>IF(银币!H110="","",银币!$B110*银币!H110)</f>
        <v/>
      </c>
      <c r="I109" s="2" t="str">
        <f>IF(银币!I110="","",银币!$B110*银币!I110)</f>
        <v/>
      </c>
      <c r="J109" s="2" t="str">
        <f>IF(银币!J110="","",银币!$B110*银币!J110)</f>
        <v/>
      </c>
      <c r="K109" s="2">
        <f>IF(银币!K110="","",银币!$B110*银币!K110)</f>
        <v>108000</v>
      </c>
      <c r="L109" s="2">
        <f>IF(银币!L110="","",银币!$B110*银币!L110)</f>
        <v>108000</v>
      </c>
      <c r="M109" s="2" t="str">
        <f>IF(银币!M110="","",银币!$B110*银币!M110)</f>
        <v/>
      </c>
      <c r="N109" s="2" t="str">
        <f>IF(银币!N110="","",银币!$B110*银币!N110)</f>
        <v/>
      </c>
      <c r="O109" s="2" t="str">
        <f>IF(银币!O110="","",银币!$B110*银币!O110)</f>
        <v/>
      </c>
      <c r="P109" s="2">
        <f>IF(银币!P110="","",银币!$B110*银币!P110)</f>
        <v>54000</v>
      </c>
      <c r="Q109" s="2">
        <f>IF(银币!Q110="","",银币!$B110*银币!Q110)</f>
        <v>540000</v>
      </c>
      <c r="R109" s="2" t="str">
        <f>IF(银币!R110="","",银币!$B110*银币!R110)</f>
        <v/>
      </c>
      <c r="S109" s="2">
        <f>IF(银币!S110="","",银币!$B110*银币!S110)</f>
        <v>108000</v>
      </c>
      <c r="T109" s="2">
        <f>IF(银币!T110="","",银币!$B110*银币!T110)</f>
        <v>0</v>
      </c>
      <c r="U109" s="2">
        <f>IF(银币!U110="","",银币!$B110*银币!U110)</f>
        <v>108000</v>
      </c>
      <c r="V109" s="2">
        <f>IF(银币!V110="","",银币!$B110*银币!V110)</f>
        <v>162000</v>
      </c>
      <c r="W109" s="2">
        <f>IF(银币!W110="","",银币!$B110*银币!W110)</f>
        <v>108000</v>
      </c>
      <c r="X109" s="2">
        <f>IF(银币!X110="","",银币!$B110*银币!X110)</f>
        <v>108000</v>
      </c>
      <c r="Y109" s="2">
        <f>IF(银币!Y110="","",银币!$B110*银币!Y110)</f>
        <v>108000</v>
      </c>
      <c r="Z109" s="2">
        <f>IF(银币!Z110="","",银币!$B110*银币!Z110)</f>
        <v>324000</v>
      </c>
      <c r="AA109" s="2">
        <f>IF(银币!AA110="","",银币!$B110*银币!AA110)</f>
        <v>54000</v>
      </c>
      <c r="AB109" s="2" t="str">
        <f>IF(银币!AB110="","",银币!$B110*银币!AB110)</f>
        <v/>
      </c>
      <c r="AC109" s="2" t="str">
        <f>IF(银币!AC110="","",银币!$B110*银币!AC110)</f>
        <v/>
      </c>
      <c r="AD109" s="2" t="str">
        <f>IF(银币!AD110="","",银币!$B110*银币!AD110)</f>
        <v/>
      </c>
      <c r="AE109" s="2" t="str">
        <f>IF(银币!AE110="","",银币!$B110*银币!AE110)</f>
        <v/>
      </c>
      <c r="AF109" s="2">
        <f>银币!AI110</f>
        <v>842400</v>
      </c>
    </row>
    <row r="110" spans="1:32">
      <c r="A110" s="58">
        <v>109</v>
      </c>
      <c r="B110" s="96">
        <f>银币!B111</f>
        <v>109000</v>
      </c>
      <c r="C110" s="2">
        <f>IF(银币!C111="","",银币!$B111*银币!C111)</f>
        <v>436000</v>
      </c>
      <c r="D110" s="2">
        <f>IF(银币!D111="","",银币!$B111*银币!D111)</f>
        <v>179850</v>
      </c>
      <c r="E110" s="2">
        <f>IF(银币!E111="","",银币!$B111*银币!E111)</f>
        <v>54500</v>
      </c>
      <c r="F110" s="2">
        <f>IF(银币!F111="","",银币!$B111*银币!F111)</f>
        <v>109000</v>
      </c>
      <c r="G110" s="2" t="str">
        <f>IF(银币!G111="","",银币!$B111*银币!G111)</f>
        <v/>
      </c>
      <c r="H110" s="2" t="str">
        <f>IF(银币!H111="","",银币!$B111*银币!H111)</f>
        <v/>
      </c>
      <c r="I110" s="2" t="str">
        <f>IF(银币!I111="","",银币!$B111*银币!I111)</f>
        <v/>
      </c>
      <c r="J110" s="2" t="str">
        <f>IF(银币!J111="","",银币!$B111*银币!J111)</f>
        <v/>
      </c>
      <c r="K110" s="2">
        <f>IF(银币!K111="","",银币!$B111*银币!K111)</f>
        <v>109000</v>
      </c>
      <c r="L110" s="2">
        <f>IF(银币!L111="","",银币!$B111*银币!L111)</f>
        <v>109000</v>
      </c>
      <c r="M110" s="2" t="str">
        <f>IF(银币!M111="","",银币!$B111*银币!M111)</f>
        <v/>
      </c>
      <c r="N110" s="2" t="str">
        <f>IF(银币!N111="","",银币!$B111*银币!N111)</f>
        <v/>
      </c>
      <c r="O110" s="2" t="str">
        <f>IF(银币!O111="","",银币!$B111*银币!O111)</f>
        <v/>
      </c>
      <c r="P110" s="2">
        <f>IF(银币!P111="","",银币!$B111*银币!P111)</f>
        <v>54500</v>
      </c>
      <c r="Q110" s="2">
        <f>IF(银币!Q111="","",银币!$B111*银币!Q111)</f>
        <v>545000</v>
      </c>
      <c r="R110" s="2" t="str">
        <f>IF(银币!R111="","",银币!$B111*银币!R111)</f>
        <v/>
      </c>
      <c r="S110" s="2">
        <f>IF(银币!S111="","",银币!$B111*银币!S111)</f>
        <v>109000</v>
      </c>
      <c r="T110" s="2">
        <f>IF(银币!T111="","",银币!$B111*银币!T111)</f>
        <v>0</v>
      </c>
      <c r="U110" s="2">
        <f>IF(银币!U111="","",银币!$B111*银币!U111)</f>
        <v>109000</v>
      </c>
      <c r="V110" s="2">
        <f>IF(银币!V111="","",银币!$B111*银币!V111)</f>
        <v>163500</v>
      </c>
      <c r="W110" s="2">
        <f>IF(银币!W111="","",银币!$B111*银币!W111)</f>
        <v>109000</v>
      </c>
      <c r="X110" s="2">
        <f>IF(银币!X111="","",银币!$B111*银币!X111)</f>
        <v>109000</v>
      </c>
      <c r="Y110" s="2">
        <f>IF(银币!Y111="","",银币!$B111*银币!Y111)</f>
        <v>109000</v>
      </c>
      <c r="Z110" s="2">
        <f>IF(银币!Z111="","",银币!$B111*银币!Z111)</f>
        <v>327000</v>
      </c>
      <c r="AA110" s="2">
        <f>IF(银币!AA111="","",银币!$B111*银币!AA111)</f>
        <v>54500</v>
      </c>
      <c r="AB110" s="2" t="str">
        <f>IF(银币!AB111="","",银币!$B111*银币!AB111)</f>
        <v/>
      </c>
      <c r="AC110" s="2" t="str">
        <f>IF(银币!AC111="","",银币!$B111*银币!AC111)</f>
        <v/>
      </c>
      <c r="AD110" s="2" t="str">
        <f>IF(银币!AD111="","",银币!$B111*银币!AD111)</f>
        <v/>
      </c>
      <c r="AE110" s="2" t="str">
        <f>IF(银币!AE111="","",银币!$B111*银币!AE111)</f>
        <v/>
      </c>
      <c r="AF110" s="2">
        <f>银币!AI111</f>
        <v>861100</v>
      </c>
    </row>
    <row r="111" spans="1:32">
      <c r="A111" s="58">
        <v>110</v>
      </c>
      <c r="B111" s="96">
        <f>银币!B112</f>
        <v>110000</v>
      </c>
      <c r="C111" s="2">
        <f>IF(银币!C112="","",银币!$B112*银币!C112)</f>
        <v>440000</v>
      </c>
      <c r="D111" s="2">
        <f>IF(银币!D112="","",银币!$B112*银币!D112)</f>
        <v>181500</v>
      </c>
      <c r="E111" s="2">
        <f>IF(银币!E112="","",银币!$B112*银币!E112)</f>
        <v>55000</v>
      </c>
      <c r="F111" s="2">
        <f>IF(银币!F112="","",银币!$B112*银币!F112)</f>
        <v>110000</v>
      </c>
      <c r="G111" s="2" t="str">
        <f>IF(银币!G112="","",银币!$B112*银币!G112)</f>
        <v/>
      </c>
      <c r="H111" s="2" t="str">
        <f>IF(银币!H112="","",银币!$B112*银币!H112)</f>
        <v/>
      </c>
      <c r="I111" s="2" t="str">
        <f>IF(银币!I112="","",银币!$B112*银币!I112)</f>
        <v/>
      </c>
      <c r="J111" s="2" t="str">
        <f>IF(银币!J112="","",银币!$B112*银币!J112)</f>
        <v/>
      </c>
      <c r="K111" s="2">
        <f>IF(银币!K112="","",银币!$B112*银币!K112)</f>
        <v>110000</v>
      </c>
      <c r="L111" s="2">
        <f>IF(银币!L112="","",银币!$B112*银币!L112)</f>
        <v>110000</v>
      </c>
      <c r="M111" s="2" t="str">
        <f>IF(银币!M112="","",银币!$B112*银币!M112)</f>
        <v/>
      </c>
      <c r="N111" s="2" t="str">
        <f>IF(银币!N112="","",银币!$B112*银币!N112)</f>
        <v/>
      </c>
      <c r="O111" s="2" t="str">
        <f>IF(银币!O112="","",银币!$B112*银币!O112)</f>
        <v/>
      </c>
      <c r="P111" s="2">
        <f>IF(银币!P112="","",银币!$B112*银币!P112)</f>
        <v>55000</v>
      </c>
      <c r="Q111" s="2">
        <f>IF(银币!Q112="","",银币!$B112*银币!Q112)</f>
        <v>550000</v>
      </c>
      <c r="R111" s="2" t="str">
        <f>IF(银币!R112="","",银币!$B112*银币!R112)</f>
        <v/>
      </c>
      <c r="S111" s="2">
        <f>IF(银币!S112="","",银币!$B112*银币!S112)</f>
        <v>110000</v>
      </c>
      <c r="T111" s="2">
        <f>IF(银币!T112="","",银币!$B112*银币!T112)</f>
        <v>0</v>
      </c>
      <c r="U111" s="2">
        <f>IF(银币!U112="","",银币!$B112*银币!U112)</f>
        <v>110000</v>
      </c>
      <c r="V111" s="2">
        <f>IF(银币!V112="","",银币!$B112*银币!V112)</f>
        <v>165000</v>
      </c>
      <c r="W111" s="2">
        <f>IF(银币!W112="","",银币!$B112*银币!W112)</f>
        <v>110000</v>
      </c>
      <c r="X111" s="2">
        <f>IF(银币!X112="","",银币!$B112*银币!X112)</f>
        <v>110000</v>
      </c>
      <c r="Y111" s="2">
        <f>IF(银币!Y112="","",银币!$B112*银币!Y112)</f>
        <v>110000</v>
      </c>
      <c r="Z111" s="2">
        <f>IF(银币!Z112="","",银币!$B112*银币!Z112)</f>
        <v>330000</v>
      </c>
      <c r="AA111" s="2">
        <f>IF(银币!AA112="","",银币!$B112*银币!AA112)</f>
        <v>55000</v>
      </c>
      <c r="AB111" s="2" t="str">
        <f>IF(银币!AB112="","",银币!$B112*银币!AB112)</f>
        <v/>
      </c>
      <c r="AC111" s="2" t="str">
        <f>IF(银币!AC112="","",银币!$B112*银币!AC112)</f>
        <v/>
      </c>
      <c r="AD111" s="2" t="str">
        <f>IF(银币!AD112="","",银币!$B112*银币!AD112)</f>
        <v/>
      </c>
      <c r="AE111" s="2" t="str">
        <f>IF(银币!AE112="","",银币!$B112*银币!AE112)</f>
        <v/>
      </c>
      <c r="AF111" s="2">
        <f>银币!AI112</f>
        <v>880000</v>
      </c>
    </row>
    <row r="112" spans="1:32">
      <c r="A112" s="58">
        <v>111</v>
      </c>
      <c r="B112" s="96">
        <f>银币!B113</f>
        <v>111000</v>
      </c>
      <c r="C112" s="2">
        <f>IF(银币!C113="","",银币!$B113*银币!C113)</f>
        <v>444000</v>
      </c>
      <c r="D112" s="2">
        <f>IF(银币!D113="","",银币!$B113*银币!D113)</f>
        <v>183150</v>
      </c>
      <c r="E112" s="2">
        <f>IF(银币!E113="","",银币!$B113*银币!E113)</f>
        <v>55500</v>
      </c>
      <c r="F112" s="2">
        <f>IF(银币!F113="","",银币!$B113*银币!F113)</f>
        <v>111000</v>
      </c>
      <c r="G112" s="2" t="str">
        <f>IF(银币!G113="","",银币!$B113*银币!G113)</f>
        <v/>
      </c>
      <c r="H112" s="2" t="str">
        <f>IF(银币!H113="","",银币!$B113*银币!H113)</f>
        <v/>
      </c>
      <c r="I112" s="2" t="str">
        <f>IF(银币!I113="","",银币!$B113*银币!I113)</f>
        <v/>
      </c>
      <c r="J112" s="2" t="str">
        <f>IF(银币!J113="","",银币!$B113*银币!J113)</f>
        <v/>
      </c>
      <c r="K112" s="2">
        <f>IF(银币!K113="","",银币!$B113*银币!K113)</f>
        <v>111000</v>
      </c>
      <c r="L112" s="2">
        <f>IF(银币!L113="","",银币!$B113*银币!L113)</f>
        <v>111000</v>
      </c>
      <c r="M112" s="2" t="str">
        <f>IF(银币!M113="","",银币!$B113*银币!M113)</f>
        <v/>
      </c>
      <c r="N112" s="2" t="str">
        <f>IF(银币!N113="","",银币!$B113*银币!N113)</f>
        <v/>
      </c>
      <c r="O112" s="2" t="str">
        <f>IF(银币!O113="","",银币!$B113*银币!O113)</f>
        <v/>
      </c>
      <c r="P112" s="2">
        <f>IF(银币!P113="","",银币!$B113*银币!P113)</f>
        <v>55500</v>
      </c>
      <c r="Q112" s="2">
        <f>IF(银币!Q113="","",银币!$B113*银币!Q113)</f>
        <v>555000</v>
      </c>
      <c r="R112" s="2" t="str">
        <f>IF(银币!R113="","",银币!$B113*银币!R113)</f>
        <v/>
      </c>
      <c r="S112" s="2">
        <f>IF(银币!S113="","",银币!$B113*银币!S113)</f>
        <v>111000</v>
      </c>
      <c r="T112" s="2">
        <f>IF(银币!T113="","",银币!$B113*银币!T113)</f>
        <v>0</v>
      </c>
      <c r="U112" s="2">
        <f>IF(银币!U113="","",银币!$B113*银币!U113)</f>
        <v>111000</v>
      </c>
      <c r="V112" s="2">
        <f>IF(银币!V113="","",银币!$B113*银币!V113)</f>
        <v>166500</v>
      </c>
      <c r="W112" s="2">
        <f>IF(银币!W113="","",银币!$B113*银币!W113)</f>
        <v>111000</v>
      </c>
      <c r="X112" s="2">
        <f>IF(银币!X113="","",银币!$B113*银币!X113)</f>
        <v>111000</v>
      </c>
      <c r="Y112" s="2">
        <f>IF(银币!Y113="","",银币!$B113*银币!Y113)</f>
        <v>111000</v>
      </c>
      <c r="Z112" s="2">
        <f>IF(银币!Z113="","",银币!$B113*银币!Z113)</f>
        <v>333000</v>
      </c>
      <c r="AA112" s="2">
        <f>IF(银币!AA113="","",银币!$B113*银币!AA113)</f>
        <v>55500</v>
      </c>
      <c r="AB112" s="2" t="str">
        <f>IF(银币!AB113="","",银币!$B113*银币!AB113)</f>
        <v/>
      </c>
      <c r="AC112" s="2" t="str">
        <f>IF(银币!AC113="","",银币!$B113*银币!AC113)</f>
        <v/>
      </c>
      <c r="AD112" s="2" t="str">
        <f>IF(银币!AD113="","",银币!$B113*银币!AD113)</f>
        <v/>
      </c>
      <c r="AE112" s="2" t="str">
        <f>IF(银币!AE113="","",银币!$B113*银币!AE113)</f>
        <v/>
      </c>
      <c r="AF112" s="2">
        <f>银币!AI113</f>
        <v>899100</v>
      </c>
    </row>
    <row r="113" spans="1:32">
      <c r="A113" s="58">
        <v>112</v>
      </c>
      <c r="B113" s="96">
        <f>银币!B114</f>
        <v>112000</v>
      </c>
      <c r="C113" s="2">
        <f>IF(银币!C114="","",银币!$B114*银币!C114)</f>
        <v>448000</v>
      </c>
      <c r="D113" s="2">
        <f>IF(银币!D114="","",银币!$B114*银币!D114)</f>
        <v>184800</v>
      </c>
      <c r="E113" s="2">
        <f>IF(银币!E114="","",银币!$B114*银币!E114)</f>
        <v>56000</v>
      </c>
      <c r="F113" s="2">
        <f>IF(银币!F114="","",银币!$B114*银币!F114)</f>
        <v>112000</v>
      </c>
      <c r="G113" s="2" t="str">
        <f>IF(银币!G114="","",银币!$B114*银币!G114)</f>
        <v/>
      </c>
      <c r="H113" s="2" t="str">
        <f>IF(银币!H114="","",银币!$B114*银币!H114)</f>
        <v/>
      </c>
      <c r="I113" s="2" t="str">
        <f>IF(银币!I114="","",银币!$B114*银币!I114)</f>
        <v/>
      </c>
      <c r="J113" s="2" t="str">
        <f>IF(银币!J114="","",银币!$B114*银币!J114)</f>
        <v/>
      </c>
      <c r="K113" s="2">
        <f>IF(银币!K114="","",银币!$B114*银币!K114)</f>
        <v>112000</v>
      </c>
      <c r="L113" s="2">
        <f>IF(银币!L114="","",银币!$B114*银币!L114)</f>
        <v>112000</v>
      </c>
      <c r="M113" s="2" t="str">
        <f>IF(银币!M114="","",银币!$B114*银币!M114)</f>
        <v/>
      </c>
      <c r="N113" s="2" t="str">
        <f>IF(银币!N114="","",银币!$B114*银币!N114)</f>
        <v/>
      </c>
      <c r="O113" s="2" t="str">
        <f>IF(银币!O114="","",银币!$B114*银币!O114)</f>
        <v/>
      </c>
      <c r="P113" s="2">
        <f>IF(银币!P114="","",银币!$B114*银币!P114)</f>
        <v>56000</v>
      </c>
      <c r="Q113" s="2">
        <f>IF(银币!Q114="","",银币!$B114*银币!Q114)</f>
        <v>560000</v>
      </c>
      <c r="R113" s="2" t="str">
        <f>IF(银币!R114="","",银币!$B114*银币!R114)</f>
        <v/>
      </c>
      <c r="S113" s="2">
        <f>IF(银币!S114="","",银币!$B114*银币!S114)</f>
        <v>112000</v>
      </c>
      <c r="T113" s="2">
        <f>IF(银币!T114="","",银币!$B114*银币!T114)</f>
        <v>0</v>
      </c>
      <c r="U113" s="2">
        <f>IF(银币!U114="","",银币!$B114*银币!U114)</f>
        <v>112000</v>
      </c>
      <c r="V113" s="2">
        <f>IF(银币!V114="","",银币!$B114*银币!V114)</f>
        <v>168000</v>
      </c>
      <c r="W113" s="2">
        <f>IF(银币!W114="","",银币!$B114*银币!W114)</f>
        <v>112000</v>
      </c>
      <c r="X113" s="2">
        <f>IF(银币!X114="","",银币!$B114*银币!X114)</f>
        <v>112000</v>
      </c>
      <c r="Y113" s="2">
        <f>IF(银币!Y114="","",银币!$B114*银币!Y114)</f>
        <v>112000</v>
      </c>
      <c r="Z113" s="2">
        <f>IF(银币!Z114="","",银币!$B114*银币!Z114)</f>
        <v>336000</v>
      </c>
      <c r="AA113" s="2">
        <f>IF(银币!AA114="","",银币!$B114*银币!AA114)</f>
        <v>56000</v>
      </c>
      <c r="AB113" s="2" t="str">
        <f>IF(银币!AB114="","",银币!$B114*银币!AB114)</f>
        <v/>
      </c>
      <c r="AC113" s="2" t="str">
        <f>IF(银币!AC114="","",银币!$B114*银币!AC114)</f>
        <v/>
      </c>
      <c r="AD113" s="2" t="str">
        <f>IF(银币!AD114="","",银币!$B114*银币!AD114)</f>
        <v/>
      </c>
      <c r="AE113" s="2" t="str">
        <f>IF(银币!AE114="","",银币!$B114*银币!AE114)</f>
        <v/>
      </c>
      <c r="AF113" s="2">
        <f>银币!AI114</f>
        <v>918400</v>
      </c>
    </row>
    <row r="114" spans="1:32">
      <c r="A114" s="58">
        <v>113</v>
      </c>
      <c r="B114" s="96">
        <f>银币!B115</f>
        <v>113000</v>
      </c>
      <c r="C114" s="2">
        <f>IF(银币!C115="","",银币!$B115*银币!C115)</f>
        <v>452000</v>
      </c>
      <c r="D114" s="2">
        <f>IF(银币!D115="","",银币!$B115*银币!D115)</f>
        <v>186450</v>
      </c>
      <c r="E114" s="2">
        <f>IF(银币!E115="","",银币!$B115*银币!E115)</f>
        <v>56500</v>
      </c>
      <c r="F114" s="2">
        <f>IF(银币!F115="","",银币!$B115*银币!F115)</f>
        <v>113000</v>
      </c>
      <c r="G114" s="2" t="str">
        <f>IF(银币!G115="","",银币!$B115*银币!G115)</f>
        <v/>
      </c>
      <c r="H114" s="2" t="str">
        <f>IF(银币!H115="","",银币!$B115*银币!H115)</f>
        <v/>
      </c>
      <c r="I114" s="2" t="str">
        <f>IF(银币!I115="","",银币!$B115*银币!I115)</f>
        <v/>
      </c>
      <c r="J114" s="2" t="str">
        <f>IF(银币!J115="","",银币!$B115*银币!J115)</f>
        <v/>
      </c>
      <c r="K114" s="2">
        <f>IF(银币!K115="","",银币!$B115*银币!K115)</f>
        <v>113000</v>
      </c>
      <c r="L114" s="2">
        <f>IF(银币!L115="","",银币!$B115*银币!L115)</f>
        <v>113000</v>
      </c>
      <c r="M114" s="2" t="str">
        <f>IF(银币!M115="","",银币!$B115*银币!M115)</f>
        <v/>
      </c>
      <c r="N114" s="2" t="str">
        <f>IF(银币!N115="","",银币!$B115*银币!N115)</f>
        <v/>
      </c>
      <c r="O114" s="2" t="str">
        <f>IF(银币!O115="","",银币!$B115*银币!O115)</f>
        <v/>
      </c>
      <c r="P114" s="2">
        <f>IF(银币!P115="","",银币!$B115*银币!P115)</f>
        <v>56500</v>
      </c>
      <c r="Q114" s="2">
        <f>IF(银币!Q115="","",银币!$B115*银币!Q115)</f>
        <v>565000</v>
      </c>
      <c r="R114" s="2" t="str">
        <f>IF(银币!R115="","",银币!$B115*银币!R115)</f>
        <v/>
      </c>
      <c r="S114" s="2">
        <f>IF(银币!S115="","",银币!$B115*银币!S115)</f>
        <v>113000</v>
      </c>
      <c r="T114" s="2">
        <f>IF(银币!T115="","",银币!$B115*银币!T115)</f>
        <v>0</v>
      </c>
      <c r="U114" s="2">
        <f>IF(银币!U115="","",银币!$B115*银币!U115)</f>
        <v>113000</v>
      </c>
      <c r="V114" s="2">
        <f>IF(银币!V115="","",银币!$B115*银币!V115)</f>
        <v>169500</v>
      </c>
      <c r="W114" s="2">
        <f>IF(银币!W115="","",银币!$B115*银币!W115)</f>
        <v>113000</v>
      </c>
      <c r="X114" s="2">
        <f>IF(银币!X115="","",银币!$B115*银币!X115)</f>
        <v>113000</v>
      </c>
      <c r="Y114" s="2">
        <f>IF(银币!Y115="","",银币!$B115*银币!Y115)</f>
        <v>113000</v>
      </c>
      <c r="Z114" s="2">
        <f>IF(银币!Z115="","",银币!$B115*银币!Z115)</f>
        <v>339000</v>
      </c>
      <c r="AA114" s="2">
        <f>IF(银币!AA115="","",银币!$B115*银币!AA115)</f>
        <v>56500</v>
      </c>
      <c r="AB114" s="2" t="str">
        <f>IF(银币!AB115="","",银币!$B115*银币!AB115)</f>
        <v/>
      </c>
      <c r="AC114" s="2" t="str">
        <f>IF(银币!AC115="","",银币!$B115*银币!AC115)</f>
        <v/>
      </c>
      <c r="AD114" s="2" t="str">
        <f>IF(银币!AD115="","",银币!$B115*银币!AD115)</f>
        <v/>
      </c>
      <c r="AE114" s="2" t="str">
        <f>IF(银币!AE115="","",银币!$B115*银币!AE115)</f>
        <v/>
      </c>
      <c r="AF114" s="2">
        <f>银币!AI115</f>
        <v>937900</v>
      </c>
    </row>
    <row r="115" spans="1:32">
      <c r="A115" s="58">
        <v>114</v>
      </c>
      <c r="B115" s="96">
        <f>银币!B116</f>
        <v>114000</v>
      </c>
      <c r="C115" s="2">
        <f>IF(银币!C116="","",银币!$B116*银币!C116)</f>
        <v>456000</v>
      </c>
      <c r="D115" s="2">
        <f>IF(银币!D116="","",银币!$B116*银币!D116)</f>
        <v>188100</v>
      </c>
      <c r="E115" s="2">
        <f>IF(银币!E116="","",银币!$B116*银币!E116)</f>
        <v>57000</v>
      </c>
      <c r="F115" s="2">
        <f>IF(银币!F116="","",银币!$B116*银币!F116)</f>
        <v>114000</v>
      </c>
      <c r="G115" s="2" t="str">
        <f>IF(银币!G116="","",银币!$B116*银币!G116)</f>
        <v/>
      </c>
      <c r="H115" s="2" t="str">
        <f>IF(银币!H116="","",银币!$B116*银币!H116)</f>
        <v/>
      </c>
      <c r="I115" s="2" t="str">
        <f>IF(银币!I116="","",银币!$B116*银币!I116)</f>
        <v/>
      </c>
      <c r="J115" s="2" t="str">
        <f>IF(银币!J116="","",银币!$B116*银币!J116)</f>
        <v/>
      </c>
      <c r="K115" s="2">
        <f>IF(银币!K116="","",银币!$B116*银币!K116)</f>
        <v>114000</v>
      </c>
      <c r="L115" s="2">
        <f>IF(银币!L116="","",银币!$B116*银币!L116)</f>
        <v>114000</v>
      </c>
      <c r="M115" s="2" t="str">
        <f>IF(银币!M116="","",银币!$B116*银币!M116)</f>
        <v/>
      </c>
      <c r="N115" s="2" t="str">
        <f>IF(银币!N116="","",银币!$B116*银币!N116)</f>
        <v/>
      </c>
      <c r="O115" s="2" t="str">
        <f>IF(银币!O116="","",银币!$B116*银币!O116)</f>
        <v/>
      </c>
      <c r="P115" s="2">
        <f>IF(银币!P116="","",银币!$B116*银币!P116)</f>
        <v>57000</v>
      </c>
      <c r="Q115" s="2">
        <f>IF(银币!Q116="","",银币!$B116*银币!Q116)</f>
        <v>570000</v>
      </c>
      <c r="R115" s="2" t="str">
        <f>IF(银币!R116="","",银币!$B116*银币!R116)</f>
        <v/>
      </c>
      <c r="S115" s="2">
        <f>IF(银币!S116="","",银币!$B116*银币!S116)</f>
        <v>114000</v>
      </c>
      <c r="T115" s="2">
        <f>IF(银币!T116="","",银币!$B116*银币!T116)</f>
        <v>0</v>
      </c>
      <c r="U115" s="2">
        <f>IF(银币!U116="","",银币!$B116*银币!U116)</f>
        <v>114000</v>
      </c>
      <c r="V115" s="2">
        <f>IF(银币!V116="","",银币!$B116*银币!V116)</f>
        <v>171000</v>
      </c>
      <c r="W115" s="2">
        <f>IF(银币!W116="","",银币!$B116*银币!W116)</f>
        <v>114000</v>
      </c>
      <c r="X115" s="2">
        <f>IF(银币!X116="","",银币!$B116*银币!X116)</f>
        <v>114000</v>
      </c>
      <c r="Y115" s="2">
        <f>IF(银币!Y116="","",银币!$B116*银币!Y116)</f>
        <v>114000</v>
      </c>
      <c r="Z115" s="2">
        <f>IF(银币!Z116="","",银币!$B116*银币!Z116)</f>
        <v>342000</v>
      </c>
      <c r="AA115" s="2">
        <f>IF(银币!AA116="","",银币!$B116*银币!AA116)</f>
        <v>57000</v>
      </c>
      <c r="AB115" s="2" t="str">
        <f>IF(银币!AB116="","",银币!$B116*银币!AB116)</f>
        <v/>
      </c>
      <c r="AC115" s="2" t="str">
        <f>IF(银币!AC116="","",银币!$B116*银币!AC116)</f>
        <v/>
      </c>
      <c r="AD115" s="2" t="str">
        <f>IF(银币!AD116="","",银币!$B116*银币!AD116)</f>
        <v/>
      </c>
      <c r="AE115" s="2" t="str">
        <f>IF(银币!AE116="","",银币!$B116*银币!AE116)</f>
        <v/>
      </c>
      <c r="AF115" s="2">
        <f>银币!AI116</f>
        <v>957600</v>
      </c>
    </row>
    <row r="116" spans="1:32">
      <c r="A116" s="58">
        <v>115</v>
      </c>
      <c r="B116" s="96">
        <f>银币!B117</f>
        <v>115000</v>
      </c>
      <c r="C116" s="2">
        <f>IF(银币!C117="","",银币!$B117*银币!C117)</f>
        <v>460000</v>
      </c>
      <c r="D116" s="2">
        <f>IF(银币!D117="","",银币!$B117*银币!D117)</f>
        <v>189750</v>
      </c>
      <c r="E116" s="2">
        <f>IF(银币!E117="","",银币!$B117*银币!E117)</f>
        <v>57500</v>
      </c>
      <c r="F116" s="2">
        <f>IF(银币!F117="","",银币!$B117*银币!F117)</f>
        <v>115000</v>
      </c>
      <c r="G116" s="2" t="str">
        <f>IF(银币!G117="","",银币!$B117*银币!G117)</f>
        <v/>
      </c>
      <c r="H116" s="2" t="str">
        <f>IF(银币!H117="","",银币!$B117*银币!H117)</f>
        <v/>
      </c>
      <c r="I116" s="2" t="str">
        <f>IF(银币!I117="","",银币!$B117*银币!I117)</f>
        <v/>
      </c>
      <c r="J116" s="2" t="str">
        <f>IF(银币!J117="","",银币!$B117*银币!J117)</f>
        <v/>
      </c>
      <c r="K116" s="2">
        <f>IF(银币!K117="","",银币!$B117*银币!K117)</f>
        <v>115000</v>
      </c>
      <c r="L116" s="2">
        <f>IF(银币!L117="","",银币!$B117*银币!L117)</f>
        <v>115000</v>
      </c>
      <c r="M116" s="2" t="str">
        <f>IF(银币!M117="","",银币!$B117*银币!M117)</f>
        <v/>
      </c>
      <c r="N116" s="2" t="str">
        <f>IF(银币!N117="","",银币!$B117*银币!N117)</f>
        <v/>
      </c>
      <c r="O116" s="2" t="str">
        <f>IF(银币!O117="","",银币!$B117*银币!O117)</f>
        <v/>
      </c>
      <c r="P116" s="2">
        <f>IF(银币!P117="","",银币!$B117*银币!P117)</f>
        <v>57500</v>
      </c>
      <c r="Q116" s="2">
        <f>IF(银币!Q117="","",银币!$B117*银币!Q117)</f>
        <v>575000</v>
      </c>
      <c r="R116" s="2" t="str">
        <f>IF(银币!R117="","",银币!$B117*银币!R117)</f>
        <v/>
      </c>
      <c r="S116" s="2">
        <f>IF(银币!S117="","",银币!$B117*银币!S117)</f>
        <v>115000</v>
      </c>
      <c r="T116" s="2">
        <f>IF(银币!T117="","",银币!$B117*银币!T117)</f>
        <v>0</v>
      </c>
      <c r="U116" s="2">
        <f>IF(银币!U117="","",银币!$B117*银币!U117)</f>
        <v>115000</v>
      </c>
      <c r="V116" s="2">
        <f>IF(银币!V117="","",银币!$B117*银币!V117)</f>
        <v>172500</v>
      </c>
      <c r="W116" s="2">
        <f>IF(银币!W117="","",银币!$B117*银币!W117)</f>
        <v>115000</v>
      </c>
      <c r="X116" s="2">
        <f>IF(银币!X117="","",银币!$B117*银币!X117)</f>
        <v>115000</v>
      </c>
      <c r="Y116" s="2">
        <f>IF(银币!Y117="","",银币!$B117*银币!Y117)</f>
        <v>115000</v>
      </c>
      <c r="Z116" s="2">
        <f>IF(银币!Z117="","",银币!$B117*银币!Z117)</f>
        <v>345000</v>
      </c>
      <c r="AA116" s="2">
        <f>IF(银币!AA117="","",银币!$B117*银币!AA117)</f>
        <v>57500</v>
      </c>
      <c r="AB116" s="2" t="str">
        <f>IF(银币!AB117="","",银币!$B117*银币!AB117)</f>
        <v/>
      </c>
      <c r="AC116" s="2" t="str">
        <f>IF(银币!AC117="","",银币!$B117*银币!AC117)</f>
        <v/>
      </c>
      <c r="AD116" s="2" t="str">
        <f>IF(银币!AD117="","",银币!$B117*银币!AD117)</f>
        <v/>
      </c>
      <c r="AE116" s="2" t="str">
        <f>IF(银币!AE117="","",银币!$B117*银币!AE117)</f>
        <v/>
      </c>
      <c r="AF116" s="2">
        <f>银币!AI117</f>
        <v>977500</v>
      </c>
    </row>
    <row r="117" spans="1:32">
      <c r="A117" s="58">
        <v>116</v>
      </c>
      <c r="B117" s="96">
        <f>银币!B118</f>
        <v>116000</v>
      </c>
      <c r="C117" s="2">
        <f>IF(银币!C118="","",银币!$B118*银币!C118)</f>
        <v>464000</v>
      </c>
      <c r="D117" s="2">
        <f>IF(银币!D118="","",银币!$B118*银币!D118)</f>
        <v>191400</v>
      </c>
      <c r="E117" s="2">
        <f>IF(银币!E118="","",银币!$B118*银币!E118)</f>
        <v>58000</v>
      </c>
      <c r="F117" s="2">
        <f>IF(银币!F118="","",银币!$B118*银币!F118)</f>
        <v>116000</v>
      </c>
      <c r="G117" s="2" t="str">
        <f>IF(银币!G118="","",银币!$B118*银币!G118)</f>
        <v/>
      </c>
      <c r="H117" s="2" t="str">
        <f>IF(银币!H118="","",银币!$B118*银币!H118)</f>
        <v/>
      </c>
      <c r="I117" s="2" t="str">
        <f>IF(银币!I118="","",银币!$B118*银币!I118)</f>
        <v/>
      </c>
      <c r="J117" s="2" t="str">
        <f>IF(银币!J118="","",银币!$B118*银币!J118)</f>
        <v/>
      </c>
      <c r="K117" s="2">
        <f>IF(银币!K118="","",银币!$B118*银币!K118)</f>
        <v>116000</v>
      </c>
      <c r="L117" s="2">
        <f>IF(银币!L118="","",银币!$B118*银币!L118)</f>
        <v>116000</v>
      </c>
      <c r="M117" s="2" t="str">
        <f>IF(银币!M118="","",银币!$B118*银币!M118)</f>
        <v/>
      </c>
      <c r="N117" s="2" t="str">
        <f>IF(银币!N118="","",银币!$B118*银币!N118)</f>
        <v/>
      </c>
      <c r="O117" s="2" t="str">
        <f>IF(银币!O118="","",银币!$B118*银币!O118)</f>
        <v/>
      </c>
      <c r="P117" s="2">
        <f>IF(银币!P118="","",银币!$B118*银币!P118)</f>
        <v>58000</v>
      </c>
      <c r="Q117" s="2">
        <f>IF(银币!Q118="","",银币!$B118*银币!Q118)</f>
        <v>580000</v>
      </c>
      <c r="R117" s="2" t="str">
        <f>IF(银币!R118="","",银币!$B118*银币!R118)</f>
        <v/>
      </c>
      <c r="S117" s="2">
        <f>IF(银币!S118="","",银币!$B118*银币!S118)</f>
        <v>116000</v>
      </c>
      <c r="T117" s="2">
        <f>IF(银币!T118="","",银币!$B118*银币!T118)</f>
        <v>0</v>
      </c>
      <c r="U117" s="2">
        <f>IF(银币!U118="","",银币!$B118*银币!U118)</f>
        <v>116000</v>
      </c>
      <c r="V117" s="2">
        <f>IF(银币!V118="","",银币!$B118*银币!V118)</f>
        <v>174000</v>
      </c>
      <c r="W117" s="2">
        <f>IF(银币!W118="","",银币!$B118*银币!W118)</f>
        <v>116000</v>
      </c>
      <c r="X117" s="2">
        <f>IF(银币!X118="","",银币!$B118*银币!X118)</f>
        <v>116000</v>
      </c>
      <c r="Y117" s="2">
        <f>IF(银币!Y118="","",银币!$B118*银币!Y118)</f>
        <v>116000</v>
      </c>
      <c r="Z117" s="2">
        <f>IF(银币!Z118="","",银币!$B118*银币!Z118)</f>
        <v>348000</v>
      </c>
      <c r="AA117" s="2">
        <f>IF(银币!AA118="","",银币!$B118*银币!AA118)</f>
        <v>58000</v>
      </c>
      <c r="AB117" s="2" t="str">
        <f>IF(银币!AB118="","",银币!$B118*银币!AB118)</f>
        <v/>
      </c>
      <c r="AC117" s="2" t="str">
        <f>IF(银币!AC118="","",银币!$B118*银币!AC118)</f>
        <v/>
      </c>
      <c r="AD117" s="2" t="str">
        <f>IF(银币!AD118="","",银币!$B118*银币!AD118)</f>
        <v/>
      </c>
      <c r="AE117" s="2" t="str">
        <f>IF(银币!AE118="","",银币!$B118*银币!AE118)</f>
        <v/>
      </c>
      <c r="AF117" s="2">
        <f>银币!AI118</f>
        <v>997600</v>
      </c>
    </row>
    <row r="118" spans="1:32">
      <c r="A118" s="58">
        <v>117</v>
      </c>
      <c r="B118" s="96">
        <f>银币!B119</f>
        <v>117000</v>
      </c>
      <c r="C118" s="2">
        <f>IF(银币!C119="","",银币!$B119*银币!C119)</f>
        <v>468000</v>
      </c>
      <c r="D118" s="2">
        <f>IF(银币!D119="","",银币!$B119*银币!D119)</f>
        <v>193050</v>
      </c>
      <c r="E118" s="2">
        <f>IF(银币!E119="","",银币!$B119*银币!E119)</f>
        <v>58500</v>
      </c>
      <c r="F118" s="2">
        <f>IF(银币!F119="","",银币!$B119*银币!F119)</f>
        <v>117000</v>
      </c>
      <c r="G118" s="2" t="str">
        <f>IF(银币!G119="","",银币!$B119*银币!G119)</f>
        <v/>
      </c>
      <c r="H118" s="2" t="str">
        <f>IF(银币!H119="","",银币!$B119*银币!H119)</f>
        <v/>
      </c>
      <c r="I118" s="2" t="str">
        <f>IF(银币!I119="","",银币!$B119*银币!I119)</f>
        <v/>
      </c>
      <c r="J118" s="2" t="str">
        <f>IF(银币!J119="","",银币!$B119*银币!J119)</f>
        <v/>
      </c>
      <c r="K118" s="2">
        <f>IF(银币!K119="","",银币!$B119*银币!K119)</f>
        <v>117000</v>
      </c>
      <c r="L118" s="2">
        <f>IF(银币!L119="","",银币!$B119*银币!L119)</f>
        <v>117000</v>
      </c>
      <c r="M118" s="2" t="str">
        <f>IF(银币!M119="","",银币!$B119*银币!M119)</f>
        <v/>
      </c>
      <c r="N118" s="2" t="str">
        <f>IF(银币!N119="","",银币!$B119*银币!N119)</f>
        <v/>
      </c>
      <c r="O118" s="2" t="str">
        <f>IF(银币!O119="","",银币!$B119*银币!O119)</f>
        <v/>
      </c>
      <c r="P118" s="2">
        <f>IF(银币!P119="","",银币!$B119*银币!P119)</f>
        <v>58500</v>
      </c>
      <c r="Q118" s="2">
        <f>IF(银币!Q119="","",银币!$B119*银币!Q119)</f>
        <v>585000</v>
      </c>
      <c r="R118" s="2" t="str">
        <f>IF(银币!R119="","",银币!$B119*银币!R119)</f>
        <v/>
      </c>
      <c r="S118" s="2">
        <f>IF(银币!S119="","",银币!$B119*银币!S119)</f>
        <v>117000</v>
      </c>
      <c r="T118" s="2">
        <f>IF(银币!T119="","",银币!$B119*银币!T119)</f>
        <v>0</v>
      </c>
      <c r="U118" s="2">
        <f>IF(银币!U119="","",银币!$B119*银币!U119)</f>
        <v>117000</v>
      </c>
      <c r="V118" s="2">
        <f>IF(银币!V119="","",银币!$B119*银币!V119)</f>
        <v>175500</v>
      </c>
      <c r="W118" s="2">
        <f>IF(银币!W119="","",银币!$B119*银币!W119)</f>
        <v>117000</v>
      </c>
      <c r="X118" s="2">
        <f>IF(银币!X119="","",银币!$B119*银币!X119)</f>
        <v>117000</v>
      </c>
      <c r="Y118" s="2">
        <f>IF(银币!Y119="","",银币!$B119*银币!Y119)</f>
        <v>117000</v>
      </c>
      <c r="Z118" s="2">
        <f>IF(银币!Z119="","",银币!$B119*银币!Z119)</f>
        <v>351000</v>
      </c>
      <c r="AA118" s="2">
        <f>IF(银币!AA119="","",银币!$B119*银币!AA119)</f>
        <v>58500</v>
      </c>
      <c r="AB118" s="2" t="str">
        <f>IF(银币!AB119="","",银币!$B119*银币!AB119)</f>
        <v/>
      </c>
      <c r="AC118" s="2" t="str">
        <f>IF(银币!AC119="","",银币!$B119*银币!AC119)</f>
        <v/>
      </c>
      <c r="AD118" s="2" t="str">
        <f>IF(银币!AD119="","",银币!$B119*银币!AD119)</f>
        <v/>
      </c>
      <c r="AE118" s="2" t="str">
        <f>IF(银币!AE119="","",银币!$B119*银币!AE119)</f>
        <v/>
      </c>
      <c r="AF118" s="2">
        <f>银币!AI119</f>
        <v>1017900</v>
      </c>
    </row>
    <row r="119" spans="1:32">
      <c r="A119" s="58">
        <v>118</v>
      </c>
      <c r="B119" s="96">
        <f>银币!B120</f>
        <v>118000</v>
      </c>
      <c r="C119" s="2">
        <f>IF(银币!C120="","",银币!$B120*银币!C120)</f>
        <v>472000</v>
      </c>
      <c r="D119" s="2">
        <f>IF(银币!D120="","",银币!$B120*银币!D120)</f>
        <v>194700</v>
      </c>
      <c r="E119" s="2">
        <f>IF(银币!E120="","",银币!$B120*银币!E120)</f>
        <v>59000</v>
      </c>
      <c r="F119" s="2">
        <f>IF(银币!F120="","",银币!$B120*银币!F120)</f>
        <v>118000</v>
      </c>
      <c r="G119" s="2" t="str">
        <f>IF(银币!G120="","",银币!$B120*银币!G120)</f>
        <v/>
      </c>
      <c r="H119" s="2" t="str">
        <f>IF(银币!H120="","",银币!$B120*银币!H120)</f>
        <v/>
      </c>
      <c r="I119" s="2" t="str">
        <f>IF(银币!I120="","",银币!$B120*银币!I120)</f>
        <v/>
      </c>
      <c r="J119" s="2" t="str">
        <f>IF(银币!J120="","",银币!$B120*银币!J120)</f>
        <v/>
      </c>
      <c r="K119" s="2">
        <f>IF(银币!K120="","",银币!$B120*银币!K120)</f>
        <v>118000</v>
      </c>
      <c r="L119" s="2">
        <f>IF(银币!L120="","",银币!$B120*银币!L120)</f>
        <v>118000</v>
      </c>
      <c r="M119" s="2" t="str">
        <f>IF(银币!M120="","",银币!$B120*银币!M120)</f>
        <v/>
      </c>
      <c r="N119" s="2" t="str">
        <f>IF(银币!N120="","",银币!$B120*银币!N120)</f>
        <v/>
      </c>
      <c r="O119" s="2" t="str">
        <f>IF(银币!O120="","",银币!$B120*银币!O120)</f>
        <v/>
      </c>
      <c r="P119" s="2">
        <f>IF(银币!P120="","",银币!$B120*银币!P120)</f>
        <v>59000</v>
      </c>
      <c r="Q119" s="2">
        <f>IF(银币!Q120="","",银币!$B120*银币!Q120)</f>
        <v>590000</v>
      </c>
      <c r="R119" s="2" t="str">
        <f>IF(银币!R120="","",银币!$B120*银币!R120)</f>
        <v/>
      </c>
      <c r="S119" s="2">
        <f>IF(银币!S120="","",银币!$B120*银币!S120)</f>
        <v>118000</v>
      </c>
      <c r="T119" s="2">
        <f>IF(银币!T120="","",银币!$B120*银币!T120)</f>
        <v>0</v>
      </c>
      <c r="U119" s="2">
        <f>IF(银币!U120="","",银币!$B120*银币!U120)</f>
        <v>118000</v>
      </c>
      <c r="V119" s="2">
        <f>IF(银币!V120="","",银币!$B120*银币!V120)</f>
        <v>177000</v>
      </c>
      <c r="W119" s="2">
        <f>IF(银币!W120="","",银币!$B120*银币!W120)</f>
        <v>118000</v>
      </c>
      <c r="X119" s="2">
        <f>IF(银币!X120="","",银币!$B120*银币!X120)</f>
        <v>118000</v>
      </c>
      <c r="Y119" s="2">
        <f>IF(银币!Y120="","",银币!$B120*银币!Y120)</f>
        <v>118000</v>
      </c>
      <c r="Z119" s="2">
        <f>IF(银币!Z120="","",银币!$B120*银币!Z120)</f>
        <v>354000</v>
      </c>
      <c r="AA119" s="2">
        <f>IF(银币!AA120="","",银币!$B120*银币!AA120)</f>
        <v>59000</v>
      </c>
      <c r="AB119" s="2" t="str">
        <f>IF(银币!AB120="","",银币!$B120*银币!AB120)</f>
        <v/>
      </c>
      <c r="AC119" s="2" t="str">
        <f>IF(银币!AC120="","",银币!$B120*银币!AC120)</f>
        <v/>
      </c>
      <c r="AD119" s="2" t="str">
        <f>IF(银币!AD120="","",银币!$B120*银币!AD120)</f>
        <v/>
      </c>
      <c r="AE119" s="2" t="str">
        <f>IF(银币!AE120="","",银币!$B120*银币!AE120)</f>
        <v/>
      </c>
      <c r="AF119" s="2">
        <f>银币!AI120</f>
        <v>1038400</v>
      </c>
    </row>
    <row r="120" spans="1:32">
      <c r="A120" s="58">
        <v>119</v>
      </c>
      <c r="B120" s="96">
        <f>银币!B121</f>
        <v>119000</v>
      </c>
      <c r="C120" s="2">
        <f>IF(银币!C121="","",银币!$B121*银币!C121)</f>
        <v>476000</v>
      </c>
      <c r="D120" s="2">
        <f>IF(银币!D121="","",银币!$B121*银币!D121)</f>
        <v>196350</v>
      </c>
      <c r="E120" s="2">
        <f>IF(银币!E121="","",银币!$B121*银币!E121)</f>
        <v>59500</v>
      </c>
      <c r="F120" s="2">
        <f>IF(银币!F121="","",银币!$B121*银币!F121)</f>
        <v>119000</v>
      </c>
      <c r="G120" s="2" t="str">
        <f>IF(银币!G121="","",银币!$B121*银币!G121)</f>
        <v/>
      </c>
      <c r="H120" s="2" t="str">
        <f>IF(银币!H121="","",银币!$B121*银币!H121)</f>
        <v/>
      </c>
      <c r="I120" s="2" t="str">
        <f>IF(银币!I121="","",银币!$B121*银币!I121)</f>
        <v/>
      </c>
      <c r="J120" s="2" t="str">
        <f>IF(银币!J121="","",银币!$B121*银币!J121)</f>
        <v/>
      </c>
      <c r="K120" s="2">
        <f>IF(银币!K121="","",银币!$B121*银币!K121)</f>
        <v>119000</v>
      </c>
      <c r="L120" s="2">
        <f>IF(银币!L121="","",银币!$B121*银币!L121)</f>
        <v>119000</v>
      </c>
      <c r="M120" s="2" t="str">
        <f>IF(银币!M121="","",银币!$B121*银币!M121)</f>
        <v/>
      </c>
      <c r="N120" s="2" t="str">
        <f>IF(银币!N121="","",银币!$B121*银币!N121)</f>
        <v/>
      </c>
      <c r="O120" s="2" t="str">
        <f>IF(银币!O121="","",银币!$B121*银币!O121)</f>
        <v/>
      </c>
      <c r="P120" s="2">
        <f>IF(银币!P121="","",银币!$B121*银币!P121)</f>
        <v>59500</v>
      </c>
      <c r="Q120" s="2">
        <f>IF(银币!Q121="","",银币!$B121*银币!Q121)</f>
        <v>595000</v>
      </c>
      <c r="R120" s="2" t="str">
        <f>IF(银币!R121="","",银币!$B121*银币!R121)</f>
        <v/>
      </c>
      <c r="S120" s="2">
        <f>IF(银币!S121="","",银币!$B121*银币!S121)</f>
        <v>119000</v>
      </c>
      <c r="T120" s="2">
        <f>IF(银币!T121="","",银币!$B121*银币!T121)</f>
        <v>0</v>
      </c>
      <c r="U120" s="2">
        <f>IF(银币!U121="","",银币!$B121*银币!U121)</f>
        <v>119000</v>
      </c>
      <c r="V120" s="2">
        <f>IF(银币!V121="","",银币!$B121*银币!V121)</f>
        <v>178500</v>
      </c>
      <c r="W120" s="2">
        <f>IF(银币!W121="","",银币!$B121*银币!W121)</f>
        <v>119000</v>
      </c>
      <c r="X120" s="2">
        <f>IF(银币!X121="","",银币!$B121*银币!X121)</f>
        <v>119000</v>
      </c>
      <c r="Y120" s="2">
        <f>IF(银币!Y121="","",银币!$B121*银币!Y121)</f>
        <v>119000</v>
      </c>
      <c r="Z120" s="2">
        <f>IF(银币!Z121="","",银币!$B121*银币!Z121)</f>
        <v>357000</v>
      </c>
      <c r="AA120" s="2">
        <f>IF(银币!AA121="","",银币!$B121*银币!AA121)</f>
        <v>59500</v>
      </c>
      <c r="AB120" s="2" t="str">
        <f>IF(银币!AB121="","",银币!$B121*银币!AB121)</f>
        <v/>
      </c>
      <c r="AC120" s="2" t="str">
        <f>IF(银币!AC121="","",银币!$B121*银币!AC121)</f>
        <v/>
      </c>
      <c r="AD120" s="2" t="str">
        <f>IF(银币!AD121="","",银币!$B121*银币!AD121)</f>
        <v/>
      </c>
      <c r="AE120" s="2" t="str">
        <f>IF(银币!AE121="","",银币!$B121*银币!AE121)</f>
        <v/>
      </c>
      <c r="AF120" s="2">
        <f>银币!AI121</f>
        <v>1059100</v>
      </c>
    </row>
    <row r="121" spans="1:32">
      <c r="A121" s="58">
        <v>120</v>
      </c>
      <c r="B121" s="96">
        <f>银币!B122</f>
        <v>120000</v>
      </c>
      <c r="C121" s="2">
        <f>IF(银币!C122="","",银币!$B122*银币!C122)</f>
        <v>480000</v>
      </c>
      <c r="D121" s="2">
        <f>IF(银币!D122="","",银币!$B122*银币!D122)</f>
        <v>198000</v>
      </c>
      <c r="E121" s="2">
        <f>IF(银币!E122="","",银币!$B122*银币!E122)</f>
        <v>60000</v>
      </c>
      <c r="F121" s="2">
        <f>IF(银币!F122="","",银币!$B122*银币!F122)</f>
        <v>120000</v>
      </c>
      <c r="G121" s="2" t="str">
        <f>IF(银币!G122="","",银币!$B122*银币!G122)</f>
        <v/>
      </c>
      <c r="H121" s="2" t="str">
        <f>IF(银币!H122="","",银币!$B122*银币!H122)</f>
        <v/>
      </c>
      <c r="I121" s="2" t="str">
        <f>IF(银币!I122="","",银币!$B122*银币!I122)</f>
        <v/>
      </c>
      <c r="J121" s="2" t="str">
        <f>IF(银币!J122="","",银币!$B122*银币!J122)</f>
        <v/>
      </c>
      <c r="K121" s="2">
        <f>IF(银币!K122="","",银币!$B122*银币!K122)</f>
        <v>120000</v>
      </c>
      <c r="L121" s="2">
        <f>IF(银币!L122="","",银币!$B122*银币!L122)</f>
        <v>120000</v>
      </c>
      <c r="M121" s="2" t="str">
        <f>IF(银币!M122="","",银币!$B122*银币!M122)</f>
        <v/>
      </c>
      <c r="N121" s="2" t="str">
        <f>IF(银币!N122="","",银币!$B122*银币!N122)</f>
        <v/>
      </c>
      <c r="O121" s="2" t="str">
        <f>IF(银币!O122="","",银币!$B122*银币!O122)</f>
        <v/>
      </c>
      <c r="P121" s="2">
        <f>IF(银币!P122="","",银币!$B122*银币!P122)</f>
        <v>60000</v>
      </c>
      <c r="Q121" s="2">
        <f>IF(银币!Q122="","",银币!$B122*银币!Q122)</f>
        <v>600000</v>
      </c>
      <c r="R121" s="2" t="str">
        <f>IF(银币!R122="","",银币!$B122*银币!R122)</f>
        <v/>
      </c>
      <c r="S121" s="2">
        <f>IF(银币!S122="","",银币!$B122*银币!S122)</f>
        <v>120000</v>
      </c>
      <c r="T121" s="2">
        <f>IF(银币!T122="","",银币!$B122*银币!T122)</f>
        <v>0</v>
      </c>
      <c r="U121" s="2">
        <f>IF(银币!U122="","",银币!$B122*银币!U122)</f>
        <v>120000</v>
      </c>
      <c r="V121" s="2">
        <f>IF(银币!V122="","",银币!$B122*银币!V122)</f>
        <v>180000</v>
      </c>
      <c r="W121" s="2">
        <f>IF(银币!W122="","",银币!$B122*银币!W122)</f>
        <v>120000</v>
      </c>
      <c r="X121" s="2">
        <f>IF(银币!X122="","",银币!$B122*银币!X122)</f>
        <v>120000</v>
      </c>
      <c r="Y121" s="2">
        <f>IF(银币!Y122="","",银币!$B122*银币!Y122)</f>
        <v>120000</v>
      </c>
      <c r="Z121" s="2">
        <f>IF(银币!Z122="","",银币!$B122*银币!Z122)</f>
        <v>360000</v>
      </c>
      <c r="AA121" s="2">
        <f>IF(银币!AA122="","",银币!$B122*银币!AA122)</f>
        <v>60000</v>
      </c>
      <c r="AB121" s="2" t="str">
        <f>IF(银币!AB122="","",银币!$B122*银币!AB122)</f>
        <v/>
      </c>
      <c r="AC121" s="2" t="str">
        <f>IF(银币!AC122="","",银币!$B122*银币!AC122)</f>
        <v/>
      </c>
      <c r="AD121" s="2" t="str">
        <f>IF(银币!AD122="","",银币!$B122*银币!AD122)</f>
        <v/>
      </c>
      <c r="AE121" s="2" t="str">
        <f>IF(银币!AE122="","",银币!$B122*银币!AE122)</f>
        <v/>
      </c>
      <c r="AF121" s="2">
        <f>银币!AI122</f>
        <v>1080000</v>
      </c>
    </row>
    <row r="122" spans="1:32">
      <c r="A122" s="58">
        <v>121</v>
      </c>
      <c r="B122" s="96">
        <f>银币!B123</f>
        <v>121000</v>
      </c>
      <c r="C122" s="2">
        <f>IF(银币!C123="","",银币!$B123*银币!C123)</f>
        <v>484000</v>
      </c>
      <c r="D122" s="2">
        <f>IF(银币!D123="","",银币!$B123*银币!D123)</f>
        <v>199650</v>
      </c>
      <c r="E122" s="2">
        <f>IF(银币!E123="","",银币!$B123*银币!E123)</f>
        <v>60500</v>
      </c>
      <c r="F122" s="2">
        <f>IF(银币!F123="","",银币!$B123*银币!F123)</f>
        <v>121000</v>
      </c>
      <c r="G122" s="2" t="str">
        <f>IF(银币!G123="","",银币!$B123*银币!G123)</f>
        <v/>
      </c>
      <c r="H122" s="2" t="str">
        <f>IF(银币!H123="","",银币!$B123*银币!H123)</f>
        <v/>
      </c>
      <c r="I122" s="2" t="str">
        <f>IF(银币!I123="","",银币!$B123*银币!I123)</f>
        <v/>
      </c>
      <c r="J122" s="2" t="str">
        <f>IF(银币!J123="","",银币!$B123*银币!J123)</f>
        <v/>
      </c>
      <c r="K122" s="2">
        <f>IF(银币!K123="","",银币!$B123*银币!K123)</f>
        <v>121000</v>
      </c>
      <c r="L122" s="2">
        <f>IF(银币!L123="","",银币!$B123*银币!L123)</f>
        <v>121000</v>
      </c>
      <c r="M122" s="2" t="str">
        <f>IF(银币!M123="","",银币!$B123*银币!M123)</f>
        <v/>
      </c>
      <c r="N122" s="2" t="str">
        <f>IF(银币!N123="","",银币!$B123*银币!N123)</f>
        <v/>
      </c>
      <c r="O122" s="2" t="str">
        <f>IF(银币!O123="","",银币!$B123*银币!O123)</f>
        <v/>
      </c>
      <c r="P122" s="2">
        <f>IF(银币!P123="","",银币!$B123*银币!P123)</f>
        <v>60500</v>
      </c>
      <c r="Q122" s="2">
        <f>IF(银币!Q123="","",银币!$B123*银币!Q123)</f>
        <v>605000</v>
      </c>
      <c r="R122" s="2" t="str">
        <f>IF(银币!R123="","",银币!$B123*银币!R123)</f>
        <v/>
      </c>
      <c r="S122" s="2">
        <f>IF(银币!S123="","",银币!$B123*银币!S123)</f>
        <v>121000</v>
      </c>
      <c r="T122" s="2">
        <f>IF(银币!T123="","",银币!$B123*银币!T123)</f>
        <v>0</v>
      </c>
      <c r="U122" s="2">
        <f>IF(银币!U123="","",银币!$B123*银币!U123)</f>
        <v>121000</v>
      </c>
      <c r="V122" s="2">
        <f>IF(银币!V123="","",银币!$B123*银币!V123)</f>
        <v>181500</v>
      </c>
      <c r="W122" s="2">
        <f>IF(银币!W123="","",银币!$B123*银币!W123)</f>
        <v>121000</v>
      </c>
      <c r="X122" s="2">
        <f>IF(银币!X123="","",银币!$B123*银币!X123)</f>
        <v>121000</v>
      </c>
      <c r="Y122" s="2">
        <f>IF(银币!Y123="","",银币!$B123*银币!Y123)</f>
        <v>121000</v>
      </c>
      <c r="Z122" s="2">
        <f>IF(银币!Z123="","",银币!$B123*银币!Z123)</f>
        <v>363000</v>
      </c>
      <c r="AA122" s="2">
        <f>IF(银币!AA123="","",银币!$B123*银币!AA123)</f>
        <v>60500</v>
      </c>
      <c r="AB122" s="2" t="str">
        <f>IF(银币!AB123="","",银币!$B123*银币!AB123)</f>
        <v/>
      </c>
      <c r="AC122" s="2" t="str">
        <f>IF(银币!AC123="","",银币!$B123*银币!AC123)</f>
        <v/>
      </c>
      <c r="AD122" s="2" t="str">
        <f>IF(银币!AD123="","",银币!$B123*银币!AD123)</f>
        <v/>
      </c>
      <c r="AE122" s="2" t="str">
        <f>IF(银币!AE123="","",银币!$B123*银币!AE123)</f>
        <v/>
      </c>
      <c r="AF122" s="2">
        <f>银币!AI123</f>
        <v>1101100</v>
      </c>
    </row>
    <row r="123" spans="1:32">
      <c r="A123" s="58">
        <v>122</v>
      </c>
      <c r="B123" s="96">
        <f>银币!B124</f>
        <v>122000</v>
      </c>
      <c r="C123" s="2">
        <f>IF(银币!C124="","",银币!$B124*银币!C124)</f>
        <v>488000</v>
      </c>
      <c r="D123" s="2">
        <f>IF(银币!D124="","",银币!$B124*银币!D124)</f>
        <v>201300</v>
      </c>
      <c r="E123" s="2">
        <f>IF(银币!E124="","",银币!$B124*银币!E124)</f>
        <v>61000</v>
      </c>
      <c r="F123" s="2">
        <f>IF(银币!F124="","",银币!$B124*银币!F124)</f>
        <v>122000</v>
      </c>
      <c r="G123" s="2" t="str">
        <f>IF(银币!G124="","",银币!$B124*银币!G124)</f>
        <v/>
      </c>
      <c r="H123" s="2" t="str">
        <f>IF(银币!H124="","",银币!$B124*银币!H124)</f>
        <v/>
      </c>
      <c r="I123" s="2" t="str">
        <f>IF(银币!I124="","",银币!$B124*银币!I124)</f>
        <v/>
      </c>
      <c r="J123" s="2" t="str">
        <f>IF(银币!J124="","",银币!$B124*银币!J124)</f>
        <v/>
      </c>
      <c r="K123" s="2">
        <f>IF(银币!K124="","",银币!$B124*银币!K124)</f>
        <v>122000</v>
      </c>
      <c r="L123" s="2">
        <f>IF(银币!L124="","",银币!$B124*银币!L124)</f>
        <v>122000</v>
      </c>
      <c r="M123" s="2" t="str">
        <f>IF(银币!M124="","",银币!$B124*银币!M124)</f>
        <v/>
      </c>
      <c r="N123" s="2" t="str">
        <f>IF(银币!N124="","",银币!$B124*银币!N124)</f>
        <v/>
      </c>
      <c r="O123" s="2" t="str">
        <f>IF(银币!O124="","",银币!$B124*银币!O124)</f>
        <v/>
      </c>
      <c r="P123" s="2">
        <f>IF(银币!P124="","",银币!$B124*银币!P124)</f>
        <v>61000</v>
      </c>
      <c r="Q123" s="2">
        <f>IF(银币!Q124="","",银币!$B124*银币!Q124)</f>
        <v>610000</v>
      </c>
      <c r="R123" s="2" t="str">
        <f>IF(银币!R124="","",银币!$B124*银币!R124)</f>
        <v/>
      </c>
      <c r="S123" s="2">
        <f>IF(银币!S124="","",银币!$B124*银币!S124)</f>
        <v>122000</v>
      </c>
      <c r="T123" s="2">
        <f>IF(银币!T124="","",银币!$B124*银币!T124)</f>
        <v>0</v>
      </c>
      <c r="U123" s="2">
        <f>IF(银币!U124="","",银币!$B124*银币!U124)</f>
        <v>122000</v>
      </c>
      <c r="V123" s="2">
        <f>IF(银币!V124="","",银币!$B124*银币!V124)</f>
        <v>183000</v>
      </c>
      <c r="W123" s="2">
        <f>IF(银币!W124="","",银币!$B124*银币!W124)</f>
        <v>122000</v>
      </c>
      <c r="X123" s="2">
        <f>IF(银币!X124="","",银币!$B124*银币!X124)</f>
        <v>122000</v>
      </c>
      <c r="Y123" s="2">
        <f>IF(银币!Y124="","",银币!$B124*银币!Y124)</f>
        <v>122000</v>
      </c>
      <c r="Z123" s="2">
        <f>IF(银币!Z124="","",银币!$B124*银币!Z124)</f>
        <v>366000</v>
      </c>
      <c r="AA123" s="2">
        <f>IF(银币!AA124="","",银币!$B124*银币!AA124)</f>
        <v>61000</v>
      </c>
      <c r="AB123" s="2" t="str">
        <f>IF(银币!AB124="","",银币!$B124*银币!AB124)</f>
        <v/>
      </c>
      <c r="AC123" s="2" t="str">
        <f>IF(银币!AC124="","",银币!$B124*银币!AC124)</f>
        <v/>
      </c>
      <c r="AD123" s="2" t="str">
        <f>IF(银币!AD124="","",银币!$B124*银币!AD124)</f>
        <v/>
      </c>
      <c r="AE123" s="2" t="str">
        <f>IF(银币!AE124="","",银币!$B124*银币!AE124)</f>
        <v/>
      </c>
      <c r="AF123" s="2">
        <f>银币!AI124</f>
        <v>1122400</v>
      </c>
    </row>
    <row r="124" spans="1:32">
      <c r="A124" s="58">
        <v>123</v>
      </c>
      <c r="B124" s="96">
        <f>银币!B125</f>
        <v>123000</v>
      </c>
      <c r="C124" s="2">
        <f>IF(银币!C125="","",银币!$B125*银币!C125)</f>
        <v>492000</v>
      </c>
      <c r="D124" s="2">
        <f>IF(银币!D125="","",银币!$B125*银币!D125)</f>
        <v>202950</v>
      </c>
      <c r="E124" s="2">
        <f>IF(银币!E125="","",银币!$B125*银币!E125)</f>
        <v>61500</v>
      </c>
      <c r="F124" s="2">
        <f>IF(银币!F125="","",银币!$B125*银币!F125)</f>
        <v>123000</v>
      </c>
      <c r="G124" s="2" t="str">
        <f>IF(银币!G125="","",银币!$B125*银币!G125)</f>
        <v/>
      </c>
      <c r="H124" s="2" t="str">
        <f>IF(银币!H125="","",银币!$B125*银币!H125)</f>
        <v/>
      </c>
      <c r="I124" s="2" t="str">
        <f>IF(银币!I125="","",银币!$B125*银币!I125)</f>
        <v/>
      </c>
      <c r="J124" s="2" t="str">
        <f>IF(银币!J125="","",银币!$B125*银币!J125)</f>
        <v/>
      </c>
      <c r="K124" s="2">
        <f>IF(银币!K125="","",银币!$B125*银币!K125)</f>
        <v>123000</v>
      </c>
      <c r="L124" s="2">
        <f>IF(银币!L125="","",银币!$B125*银币!L125)</f>
        <v>123000</v>
      </c>
      <c r="M124" s="2" t="str">
        <f>IF(银币!M125="","",银币!$B125*银币!M125)</f>
        <v/>
      </c>
      <c r="N124" s="2" t="str">
        <f>IF(银币!N125="","",银币!$B125*银币!N125)</f>
        <v/>
      </c>
      <c r="O124" s="2" t="str">
        <f>IF(银币!O125="","",银币!$B125*银币!O125)</f>
        <v/>
      </c>
      <c r="P124" s="2">
        <f>IF(银币!P125="","",银币!$B125*银币!P125)</f>
        <v>61500</v>
      </c>
      <c r="Q124" s="2">
        <f>IF(银币!Q125="","",银币!$B125*银币!Q125)</f>
        <v>615000</v>
      </c>
      <c r="R124" s="2" t="str">
        <f>IF(银币!R125="","",银币!$B125*银币!R125)</f>
        <v/>
      </c>
      <c r="S124" s="2">
        <f>IF(银币!S125="","",银币!$B125*银币!S125)</f>
        <v>123000</v>
      </c>
      <c r="T124" s="2">
        <f>IF(银币!T125="","",银币!$B125*银币!T125)</f>
        <v>0</v>
      </c>
      <c r="U124" s="2">
        <f>IF(银币!U125="","",银币!$B125*银币!U125)</f>
        <v>123000</v>
      </c>
      <c r="V124" s="2">
        <f>IF(银币!V125="","",银币!$B125*银币!V125)</f>
        <v>184500</v>
      </c>
      <c r="W124" s="2">
        <f>IF(银币!W125="","",银币!$B125*银币!W125)</f>
        <v>123000</v>
      </c>
      <c r="X124" s="2">
        <f>IF(银币!X125="","",银币!$B125*银币!X125)</f>
        <v>123000</v>
      </c>
      <c r="Y124" s="2">
        <f>IF(银币!Y125="","",银币!$B125*银币!Y125)</f>
        <v>123000</v>
      </c>
      <c r="Z124" s="2">
        <f>IF(银币!Z125="","",银币!$B125*银币!Z125)</f>
        <v>369000</v>
      </c>
      <c r="AA124" s="2">
        <f>IF(银币!AA125="","",银币!$B125*银币!AA125)</f>
        <v>61500</v>
      </c>
      <c r="AB124" s="2" t="str">
        <f>IF(银币!AB125="","",银币!$B125*银币!AB125)</f>
        <v/>
      </c>
      <c r="AC124" s="2" t="str">
        <f>IF(银币!AC125="","",银币!$B125*银币!AC125)</f>
        <v/>
      </c>
      <c r="AD124" s="2" t="str">
        <f>IF(银币!AD125="","",银币!$B125*银币!AD125)</f>
        <v/>
      </c>
      <c r="AE124" s="2" t="str">
        <f>IF(银币!AE125="","",银币!$B125*银币!AE125)</f>
        <v/>
      </c>
      <c r="AF124" s="2">
        <f>银币!AI125</f>
        <v>1143900</v>
      </c>
    </row>
    <row r="125" spans="1:32">
      <c r="A125" s="58">
        <v>124</v>
      </c>
      <c r="B125" s="96">
        <f>银币!B126</f>
        <v>124000</v>
      </c>
      <c r="C125" s="2">
        <f>IF(银币!C126="","",银币!$B126*银币!C126)</f>
        <v>496000</v>
      </c>
      <c r="D125" s="2">
        <f>IF(银币!D126="","",银币!$B126*银币!D126)</f>
        <v>204600</v>
      </c>
      <c r="E125" s="2">
        <f>IF(银币!E126="","",银币!$B126*银币!E126)</f>
        <v>62000</v>
      </c>
      <c r="F125" s="2">
        <f>IF(银币!F126="","",银币!$B126*银币!F126)</f>
        <v>124000</v>
      </c>
      <c r="G125" s="2" t="str">
        <f>IF(银币!G126="","",银币!$B126*银币!G126)</f>
        <v/>
      </c>
      <c r="H125" s="2" t="str">
        <f>IF(银币!H126="","",银币!$B126*银币!H126)</f>
        <v/>
      </c>
      <c r="I125" s="2" t="str">
        <f>IF(银币!I126="","",银币!$B126*银币!I126)</f>
        <v/>
      </c>
      <c r="J125" s="2" t="str">
        <f>IF(银币!J126="","",银币!$B126*银币!J126)</f>
        <v/>
      </c>
      <c r="K125" s="2">
        <f>IF(银币!K126="","",银币!$B126*银币!K126)</f>
        <v>124000</v>
      </c>
      <c r="L125" s="2">
        <f>IF(银币!L126="","",银币!$B126*银币!L126)</f>
        <v>124000</v>
      </c>
      <c r="M125" s="2" t="str">
        <f>IF(银币!M126="","",银币!$B126*银币!M126)</f>
        <v/>
      </c>
      <c r="N125" s="2" t="str">
        <f>IF(银币!N126="","",银币!$B126*银币!N126)</f>
        <v/>
      </c>
      <c r="O125" s="2" t="str">
        <f>IF(银币!O126="","",银币!$B126*银币!O126)</f>
        <v/>
      </c>
      <c r="P125" s="2">
        <f>IF(银币!P126="","",银币!$B126*银币!P126)</f>
        <v>62000</v>
      </c>
      <c r="Q125" s="2">
        <f>IF(银币!Q126="","",银币!$B126*银币!Q126)</f>
        <v>620000</v>
      </c>
      <c r="R125" s="2" t="str">
        <f>IF(银币!R126="","",银币!$B126*银币!R126)</f>
        <v/>
      </c>
      <c r="S125" s="2">
        <f>IF(银币!S126="","",银币!$B126*银币!S126)</f>
        <v>124000</v>
      </c>
      <c r="T125" s="2">
        <f>IF(银币!T126="","",银币!$B126*银币!T126)</f>
        <v>0</v>
      </c>
      <c r="U125" s="2">
        <f>IF(银币!U126="","",银币!$B126*银币!U126)</f>
        <v>124000</v>
      </c>
      <c r="V125" s="2">
        <f>IF(银币!V126="","",银币!$B126*银币!V126)</f>
        <v>186000</v>
      </c>
      <c r="W125" s="2">
        <f>IF(银币!W126="","",银币!$B126*银币!W126)</f>
        <v>124000</v>
      </c>
      <c r="X125" s="2">
        <f>IF(银币!X126="","",银币!$B126*银币!X126)</f>
        <v>124000</v>
      </c>
      <c r="Y125" s="2">
        <f>IF(银币!Y126="","",银币!$B126*银币!Y126)</f>
        <v>124000</v>
      </c>
      <c r="Z125" s="2">
        <f>IF(银币!Z126="","",银币!$B126*银币!Z126)</f>
        <v>372000</v>
      </c>
      <c r="AA125" s="2">
        <f>IF(银币!AA126="","",银币!$B126*银币!AA126)</f>
        <v>62000</v>
      </c>
      <c r="AB125" s="2" t="str">
        <f>IF(银币!AB126="","",银币!$B126*银币!AB126)</f>
        <v/>
      </c>
      <c r="AC125" s="2" t="str">
        <f>IF(银币!AC126="","",银币!$B126*银币!AC126)</f>
        <v/>
      </c>
      <c r="AD125" s="2" t="str">
        <f>IF(银币!AD126="","",银币!$B126*银币!AD126)</f>
        <v/>
      </c>
      <c r="AE125" s="2" t="str">
        <f>IF(银币!AE126="","",银币!$B126*银币!AE126)</f>
        <v/>
      </c>
      <c r="AF125" s="2">
        <f>银币!AI126</f>
        <v>1165600</v>
      </c>
    </row>
    <row r="126" spans="1:32">
      <c r="A126" s="58">
        <v>125</v>
      </c>
      <c r="B126" s="96">
        <f>银币!B127</f>
        <v>125000</v>
      </c>
      <c r="C126" s="2">
        <f>IF(银币!C127="","",银币!$B127*银币!C127)</f>
        <v>500000</v>
      </c>
      <c r="D126" s="2">
        <f>IF(银币!D127="","",银币!$B127*银币!D127)</f>
        <v>206250</v>
      </c>
      <c r="E126" s="2">
        <f>IF(银币!E127="","",银币!$B127*银币!E127)</f>
        <v>62500</v>
      </c>
      <c r="F126" s="2">
        <f>IF(银币!F127="","",银币!$B127*银币!F127)</f>
        <v>125000</v>
      </c>
      <c r="G126" s="2" t="str">
        <f>IF(银币!G127="","",银币!$B127*银币!G127)</f>
        <v/>
      </c>
      <c r="H126" s="2" t="str">
        <f>IF(银币!H127="","",银币!$B127*银币!H127)</f>
        <v/>
      </c>
      <c r="I126" s="2" t="str">
        <f>IF(银币!I127="","",银币!$B127*银币!I127)</f>
        <v/>
      </c>
      <c r="J126" s="2" t="str">
        <f>IF(银币!J127="","",银币!$B127*银币!J127)</f>
        <v/>
      </c>
      <c r="K126" s="2">
        <f>IF(银币!K127="","",银币!$B127*银币!K127)</f>
        <v>125000</v>
      </c>
      <c r="L126" s="2">
        <f>IF(银币!L127="","",银币!$B127*银币!L127)</f>
        <v>125000</v>
      </c>
      <c r="M126" s="2" t="str">
        <f>IF(银币!M127="","",银币!$B127*银币!M127)</f>
        <v/>
      </c>
      <c r="N126" s="2" t="str">
        <f>IF(银币!N127="","",银币!$B127*银币!N127)</f>
        <v/>
      </c>
      <c r="O126" s="2" t="str">
        <f>IF(银币!O127="","",银币!$B127*银币!O127)</f>
        <v/>
      </c>
      <c r="P126" s="2">
        <f>IF(银币!P127="","",银币!$B127*银币!P127)</f>
        <v>62500</v>
      </c>
      <c r="Q126" s="2">
        <f>IF(银币!Q127="","",银币!$B127*银币!Q127)</f>
        <v>625000</v>
      </c>
      <c r="R126" s="2" t="str">
        <f>IF(银币!R127="","",银币!$B127*银币!R127)</f>
        <v/>
      </c>
      <c r="S126" s="2">
        <f>IF(银币!S127="","",银币!$B127*银币!S127)</f>
        <v>125000</v>
      </c>
      <c r="T126" s="2">
        <f>IF(银币!T127="","",银币!$B127*银币!T127)</f>
        <v>0</v>
      </c>
      <c r="U126" s="2">
        <f>IF(银币!U127="","",银币!$B127*银币!U127)</f>
        <v>125000</v>
      </c>
      <c r="V126" s="2">
        <f>IF(银币!V127="","",银币!$B127*银币!V127)</f>
        <v>187500</v>
      </c>
      <c r="W126" s="2">
        <f>IF(银币!W127="","",银币!$B127*银币!W127)</f>
        <v>125000</v>
      </c>
      <c r="X126" s="2">
        <f>IF(银币!X127="","",银币!$B127*银币!X127)</f>
        <v>125000</v>
      </c>
      <c r="Y126" s="2">
        <f>IF(银币!Y127="","",银币!$B127*银币!Y127)</f>
        <v>125000</v>
      </c>
      <c r="Z126" s="2">
        <f>IF(银币!Z127="","",银币!$B127*银币!Z127)</f>
        <v>375000</v>
      </c>
      <c r="AA126" s="2">
        <f>IF(银币!AA127="","",银币!$B127*银币!AA127)</f>
        <v>62500</v>
      </c>
      <c r="AB126" s="2" t="str">
        <f>IF(银币!AB127="","",银币!$B127*银币!AB127)</f>
        <v/>
      </c>
      <c r="AC126" s="2" t="str">
        <f>IF(银币!AC127="","",银币!$B127*银币!AC127)</f>
        <v/>
      </c>
      <c r="AD126" s="2" t="str">
        <f>IF(银币!AD127="","",银币!$B127*银币!AD127)</f>
        <v/>
      </c>
      <c r="AE126" s="2" t="str">
        <f>IF(银币!AE127="","",银币!$B127*银币!AE127)</f>
        <v/>
      </c>
      <c r="AF126" s="2">
        <f>银币!AI127</f>
        <v>1187500</v>
      </c>
    </row>
    <row r="127" spans="1:32">
      <c r="A127" s="58">
        <v>126</v>
      </c>
      <c r="B127" s="96">
        <f>银币!B128</f>
        <v>126000</v>
      </c>
      <c r="C127" s="2">
        <f>IF(银币!C128="","",银币!$B128*银币!C128)</f>
        <v>504000</v>
      </c>
      <c r="D127" s="2">
        <f>IF(银币!D128="","",银币!$B128*银币!D128)</f>
        <v>207900</v>
      </c>
      <c r="E127" s="2">
        <f>IF(银币!E128="","",银币!$B128*银币!E128)</f>
        <v>63000</v>
      </c>
      <c r="F127" s="2">
        <f>IF(银币!F128="","",银币!$B128*银币!F128)</f>
        <v>126000</v>
      </c>
      <c r="G127" s="2" t="str">
        <f>IF(银币!G128="","",银币!$B128*银币!G128)</f>
        <v/>
      </c>
      <c r="H127" s="2" t="str">
        <f>IF(银币!H128="","",银币!$B128*银币!H128)</f>
        <v/>
      </c>
      <c r="I127" s="2" t="str">
        <f>IF(银币!I128="","",银币!$B128*银币!I128)</f>
        <v/>
      </c>
      <c r="J127" s="2" t="str">
        <f>IF(银币!J128="","",银币!$B128*银币!J128)</f>
        <v/>
      </c>
      <c r="K127" s="2">
        <f>IF(银币!K128="","",银币!$B128*银币!K128)</f>
        <v>126000</v>
      </c>
      <c r="L127" s="2">
        <f>IF(银币!L128="","",银币!$B128*银币!L128)</f>
        <v>126000</v>
      </c>
      <c r="M127" s="2" t="str">
        <f>IF(银币!M128="","",银币!$B128*银币!M128)</f>
        <v/>
      </c>
      <c r="N127" s="2" t="str">
        <f>IF(银币!N128="","",银币!$B128*银币!N128)</f>
        <v/>
      </c>
      <c r="O127" s="2" t="str">
        <f>IF(银币!O128="","",银币!$B128*银币!O128)</f>
        <v/>
      </c>
      <c r="P127" s="2">
        <f>IF(银币!P128="","",银币!$B128*银币!P128)</f>
        <v>63000</v>
      </c>
      <c r="Q127" s="2">
        <f>IF(银币!Q128="","",银币!$B128*银币!Q128)</f>
        <v>630000</v>
      </c>
      <c r="R127" s="2" t="str">
        <f>IF(银币!R128="","",银币!$B128*银币!R128)</f>
        <v/>
      </c>
      <c r="S127" s="2">
        <f>IF(银币!S128="","",银币!$B128*银币!S128)</f>
        <v>126000</v>
      </c>
      <c r="T127" s="2">
        <f>IF(银币!T128="","",银币!$B128*银币!T128)</f>
        <v>0</v>
      </c>
      <c r="U127" s="2">
        <f>IF(银币!U128="","",银币!$B128*银币!U128)</f>
        <v>126000</v>
      </c>
      <c r="V127" s="2">
        <f>IF(银币!V128="","",银币!$B128*银币!V128)</f>
        <v>189000</v>
      </c>
      <c r="W127" s="2">
        <f>IF(银币!W128="","",银币!$B128*银币!W128)</f>
        <v>126000</v>
      </c>
      <c r="X127" s="2">
        <f>IF(银币!X128="","",银币!$B128*银币!X128)</f>
        <v>126000</v>
      </c>
      <c r="Y127" s="2">
        <f>IF(银币!Y128="","",银币!$B128*银币!Y128)</f>
        <v>126000</v>
      </c>
      <c r="Z127" s="2">
        <f>IF(银币!Z128="","",银币!$B128*银币!Z128)</f>
        <v>378000</v>
      </c>
      <c r="AA127" s="2">
        <f>IF(银币!AA128="","",银币!$B128*银币!AA128)</f>
        <v>63000</v>
      </c>
      <c r="AB127" s="2" t="str">
        <f>IF(银币!AB128="","",银币!$B128*银币!AB128)</f>
        <v/>
      </c>
      <c r="AC127" s="2" t="str">
        <f>IF(银币!AC128="","",银币!$B128*银币!AC128)</f>
        <v/>
      </c>
      <c r="AD127" s="2" t="str">
        <f>IF(银币!AD128="","",银币!$B128*银币!AD128)</f>
        <v/>
      </c>
      <c r="AE127" s="2" t="str">
        <f>IF(银币!AE128="","",银币!$B128*银币!AE128)</f>
        <v/>
      </c>
      <c r="AF127" s="2">
        <f>银币!AI128</f>
        <v>1209600</v>
      </c>
    </row>
    <row r="128" spans="1:32">
      <c r="A128" s="58">
        <v>127</v>
      </c>
      <c r="B128" s="96">
        <f>银币!B129</f>
        <v>127000</v>
      </c>
      <c r="C128" s="2">
        <f>IF(银币!C129="","",银币!$B129*银币!C129)</f>
        <v>508000</v>
      </c>
      <c r="D128" s="2">
        <f>IF(银币!D129="","",银币!$B129*银币!D129)</f>
        <v>209550</v>
      </c>
      <c r="E128" s="2">
        <f>IF(银币!E129="","",银币!$B129*银币!E129)</f>
        <v>63500</v>
      </c>
      <c r="F128" s="2">
        <f>IF(银币!F129="","",银币!$B129*银币!F129)</f>
        <v>127000</v>
      </c>
      <c r="G128" s="2" t="str">
        <f>IF(银币!G129="","",银币!$B129*银币!G129)</f>
        <v/>
      </c>
      <c r="H128" s="2" t="str">
        <f>IF(银币!H129="","",银币!$B129*银币!H129)</f>
        <v/>
      </c>
      <c r="I128" s="2" t="str">
        <f>IF(银币!I129="","",银币!$B129*银币!I129)</f>
        <v/>
      </c>
      <c r="J128" s="2" t="str">
        <f>IF(银币!J129="","",银币!$B129*银币!J129)</f>
        <v/>
      </c>
      <c r="K128" s="2">
        <f>IF(银币!K129="","",银币!$B129*银币!K129)</f>
        <v>127000</v>
      </c>
      <c r="L128" s="2">
        <f>IF(银币!L129="","",银币!$B129*银币!L129)</f>
        <v>127000</v>
      </c>
      <c r="M128" s="2" t="str">
        <f>IF(银币!M129="","",银币!$B129*银币!M129)</f>
        <v/>
      </c>
      <c r="N128" s="2" t="str">
        <f>IF(银币!N129="","",银币!$B129*银币!N129)</f>
        <v/>
      </c>
      <c r="O128" s="2" t="str">
        <f>IF(银币!O129="","",银币!$B129*银币!O129)</f>
        <v/>
      </c>
      <c r="P128" s="2">
        <f>IF(银币!P129="","",银币!$B129*银币!P129)</f>
        <v>63500</v>
      </c>
      <c r="Q128" s="2">
        <f>IF(银币!Q129="","",银币!$B129*银币!Q129)</f>
        <v>635000</v>
      </c>
      <c r="R128" s="2" t="str">
        <f>IF(银币!R129="","",银币!$B129*银币!R129)</f>
        <v/>
      </c>
      <c r="S128" s="2">
        <f>IF(银币!S129="","",银币!$B129*银币!S129)</f>
        <v>127000</v>
      </c>
      <c r="T128" s="2">
        <f>IF(银币!T129="","",银币!$B129*银币!T129)</f>
        <v>0</v>
      </c>
      <c r="U128" s="2">
        <f>IF(银币!U129="","",银币!$B129*银币!U129)</f>
        <v>127000</v>
      </c>
      <c r="V128" s="2">
        <f>IF(银币!V129="","",银币!$B129*银币!V129)</f>
        <v>190500</v>
      </c>
      <c r="W128" s="2">
        <f>IF(银币!W129="","",银币!$B129*银币!W129)</f>
        <v>127000</v>
      </c>
      <c r="X128" s="2">
        <f>IF(银币!X129="","",银币!$B129*银币!X129)</f>
        <v>127000</v>
      </c>
      <c r="Y128" s="2">
        <f>IF(银币!Y129="","",银币!$B129*银币!Y129)</f>
        <v>127000</v>
      </c>
      <c r="Z128" s="2">
        <f>IF(银币!Z129="","",银币!$B129*银币!Z129)</f>
        <v>381000</v>
      </c>
      <c r="AA128" s="2">
        <f>IF(银币!AA129="","",银币!$B129*银币!AA129)</f>
        <v>63500</v>
      </c>
      <c r="AB128" s="2" t="str">
        <f>IF(银币!AB129="","",银币!$B129*银币!AB129)</f>
        <v/>
      </c>
      <c r="AC128" s="2" t="str">
        <f>IF(银币!AC129="","",银币!$B129*银币!AC129)</f>
        <v/>
      </c>
      <c r="AD128" s="2" t="str">
        <f>IF(银币!AD129="","",银币!$B129*银币!AD129)</f>
        <v/>
      </c>
      <c r="AE128" s="2" t="str">
        <f>IF(银币!AE129="","",银币!$B129*银币!AE129)</f>
        <v/>
      </c>
      <c r="AF128" s="2">
        <f>银币!AI129</f>
        <v>1231900</v>
      </c>
    </row>
    <row r="129" spans="1:32">
      <c r="A129" s="58">
        <v>128</v>
      </c>
      <c r="B129" s="96">
        <f>银币!B130</f>
        <v>128000</v>
      </c>
      <c r="C129" s="2">
        <f>IF(银币!C130="","",银币!$B130*银币!C130)</f>
        <v>512000</v>
      </c>
      <c r="D129" s="2">
        <f>IF(银币!D130="","",银币!$B130*银币!D130)</f>
        <v>211200</v>
      </c>
      <c r="E129" s="2">
        <f>IF(银币!E130="","",银币!$B130*银币!E130)</f>
        <v>64000</v>
      </c>
      <c r="F129" s="2">
        <f>IF(银币!F130="","",银币!$B130*银币!F130)</f>
        <v>128000</v>
      </c>
      <c r="G129" s="2" t="str">
        <f>IF(银币!G130="","",银币!$B130*银币!G130)</f>
        <v/>
      </c>
      <c r="H129" s="2" t="str">
        <f>IF(银币!H130="","",银币!$B130*银币!H130)</f>
        <v/>
      </c>
      <c r="I129" s="2" t="str">
        <f>IF(银币!I130="","",银币!$B130*银币!I130)</f>
        <v/>
      </c>
      <c r="J129" s="2" t="str">
        <f>IF(银币!J130="","",银币!$B130*银币!J130)</f>
        <v/>
      </c>
      <c r="K129" s="2">
        <f>IF(银币!K130="","",银币!$B130*银币!K130)</f>
        <v>128000</v>
      </c>
      <c r="L129" s="2">
        <f>IF(银币!L130="","",银币!$B130*银币!L130)</f>
        <v>128000</v>
      </c>
      <c r="M129" s="2" t="str">
        <f>IF(银币!M130="","",银币!$B130*银币!M130)</f>
        <v/>
      </c>
      <c r="N129" s="2" t="str">
        <f>IF(银币!N130="","",银币!$B130*银币!N130)</f>
        <v/>
      </c>
      <c r="O129" s="2" t="str">
        <f>IF(银币!O130="","",银币!$B130*银币!O130)</f>
        <v/>
      </c>
      <c r="P129" s="2">
        <f>IF(银币!P130="","",银币!$B130*银币!P130)</f>
        <v>64000</v>
      </c>
      <c r="Q129" s="2">
        <f>IF(银币!Q130="","",银币!$B130*银币!Q130)</f>
        <v>640000</v>
      </c>
      <c r="R129" s="2" t="str">
        <f>IF(银币!R130="","",银币!$B130*银币!R130)</f>
        <v/>
      </c>
      <c r="S129" s="2">
        <f>IF(银币!S130="","",银币!$B130*银币!S130)</f>
        <v>128000</v>
      </c>
      <c r="T129" s="2">
        <f>IF(银币!T130="","",银币!$B130*银币!T130)</f>
        <v>0</v>
      </c>
      <c r="U129" s="2">
        <f>IF(银币!U130="","",银币!$B130*银币!U130)</f>
        <v>128000</v>
      </c>
      <c r="V129" s="2">
        <f>IF(银币!V130="","",银币!$B130*银币!V130)</f>
        <v>192000</v>
      </c>
      <c r="W129" s="2">
        <f>IF(银币!W130="","",银币!$B130*银币!W130)</f>
        <v>128000</v>
      </c>
      <c r="X129" s="2">
        <f>IF(银币!X130="","",银币!$B130*银币!X130)</f>
        <v>128000</v>
      </c>
      <c r="Y129" s="2">
        <f>IF(银币!Y130="","",银币!$B130*银币!Y130)</f>
        <v>128000</v>
      </c>
      <c r="Z129" s="2">
        <f>IF(银币!Z130="","",银币!$B130*银币!Z130)</f>
        <v>384000</v>
      </c>
      <c r="AA129" s="2">
        <f>IF(银币!AA130="","",银币!$B130*银币!AA130)</f>
        <v>64000</v>
      </c>
      <c r="AB129" s="2" t="str">
        <f>IF(银币!AB130="","",银币!$B130*银币!AB130)</f>
        <v/>
      </c>
      <c r="AC129" s="2" t="str">
        <f>IF(银币!AC130="","",银币!$B130*银币!AC130)</f>
        <v/>
      </c>
      <c r="AD129" s="2" t="str">
        <f>IF(银币!AD130="","",银币!$B130*银币!AD130)</f>
        <v/>
      </c>
      <c r="AE129" s="2" t="str">
        <f>IF(银币!AE130="","",银币!$B130*银币!AE130)</f>
        <v/>
      </c>
      <c r="AF129" s="2">
        <f>银币!AI130</f>
        <v>1254400</v>
      </c>
    </row>
    <row r="130" spans="1:32">
      <c r="A130" s="58">
        <v>129</v>
      </c>
      <c r="B130" s="96">
        <f>银币!B131</f>
        <v>129000</v>
      </c>
      <c r="C130" s="2">
        <f>IF(银币!C131="","",银币!$B131*银币!C131)</f>
        <v>516000</v>
      </c>
      <c r="D130" s="2">
        <f>IF(银币!D131="","",银币!$B131*银币!D131)</f>
        <v>212850</v>
      </c>
      <c r="E130" s="2">
        <f>IF(银币!E131="","",银币!$B131*银币!E131)</f>
        <v>64500</v>
      </c>
      <c r="F130" s="2">
        <f>IF(银币!F131="","",银币!$B131*银币!F131)</f>
        <v>129000</v>
      </c>
      <c r="G130" s="2" t="str">
        <f>IF(银币!G131="","",银币!$B131*银币!G131)</f>
        <v/>
      </c>
      <c r="H130" s="2" t="str">
        <f>IF(银币!H131="","",银币!$B131*银币!H131)</f>
        <v/>
      </c>
      <c r="I130" s="2" t="str">
        <f>IF(银币!I131="","",银币!$B131*银币!I131)</f>
        <v/>
      </c>
      <c r="J130" s="2" t="str">
        <f>IF(银币!J131="","",银币!$B131*银币!J131)</f>
        <v/>
      </c>
      <c r="K130" s="2">
        <f>IF(银币!K131="","",银币!$B131*银币!K131)</f>
        <v>129000</v>
      </c>
      <c r="L130" s="2">
        <f>IF(银币!L131="","",银币!$B131*银币!L131)</f>
        <v>129000</v>
      </c>
      <c r="M130" s="2" t="str">
        <f>IF(银币!M131="","",银币!$B131*银币!M131)</f>
        <v/>
      </c>
      <c r="N130" s="2" t="str">
        <f>IF(银币!N131="","",银币!$B131*银币!N131)</f>
        <v/>
      </c>
      <c r="O130" s="2" t="str">
        <f>IF(银币!O131="","",银币!$B131*银币!O131)</f>
        <v/>
      </c>
      <c r="P130" s="2">
        <f>IF(银币!P131="","",银币!$B131*银币!P131)</f>
        <v>64500</v>
      </c>
      <c r="Q130" s="2">
        <f>IF(银币!Q131="","",银币!$B131*银币!Q131)</f>
        <v>645000</v>
      </c>
      <c r="R130" s="2" t="str">
        <f>IF(银币!R131="","",银币!$B131*银币!R131)</f>
        <v/>
      </c>
      <c r="S130" s="2">
        <f>IF(银币!S131="","",银币!$B131*银币!S131)</f>
        <v>129000</v>
      </c>
      <c r="T130" s="2">
        <f>IF(银币!T131="","",银币!$B131*银币!T131)</f>
        <v>0</v>
      </c>
      <c r="U130" s="2">
        <f>IF(银币!U131="","",银币!$B131*银币!U131)</f>
        <v>129000</v>
      </c>
      <c r="V130" s="2">
        <f>IF(银币!V131="","",银币!$B131*银币!V131)</f>
        <v>193500</v>
      </c>
      <c r="W130" s="2">
        <f>IF(银币!W131="","",银币!$B131*银币!W131)</f>
        <v>129000</v>
      </c>
      <c r="X130" s="2">
        <f>IF(银币!X131="","",银币!$B131*银币!X131)</f>
        <v>129000</v>
      </c>
      <c r="Y130" s="2">
        <f>IF(银币!Y131="","",银币!$B131*银币!Y131)</f>
        <v>129000</v>
      </c>
      <c r="Z130" s="2">
        <f>IF(银币!Z131="","",银币!$B131*银币!Z131)</f>
        <v>387000</v>
      </c>
      <c r="AA130" s="2">
        <f>IF(银币!AA131="","",银币!$B131*银币!AA131)</f>
        <v>64500</v>
      </c>
      <c r="AB130" s="2" t="str">
        <f>IF(银币!AB131="","",银币!$B131*银币!AB131)</f>
        <v/>
      </c>
      <c r="AC130" s="2" t="str">
        <f>IF(银币!AC131="","",银币!$B131*银币!AC131)</f>
        <v/>
      </c>
      <c r="AD130" s="2" t="str">
        <f>IF(银币!AD131="","",银币!$B131*银币!AD131)</f>
        <v/>
      </c>
      <c r="AE130" s="2" t="str">
        <f>IF(银币!AE131="","",银币!$B131*银币!AE131)</f>
        <v/>
      </c>
      <c r="AF130" s="2">
        <f>银币!AI131</f>
        <v>1277100</v>
      </c>
    </row>
    <row r="131" spans="1:32">
      <c r="A131" s="58">
        <v>130</v>
      </c>
      <c r="B131" s="96">
        <f>银币!B132</f>
        <v>130000</v>
      </c>
      <c r="C131" s="2">
        <f>IF(银币!C132="","",银币!$B132*银币!C132)</f>
        <v>520000</v>
      </c>
      <c r="D131" s="2">
        <f>IF(银币!D132="","",银币!$B132*银币!D132)</f>
        <v>214500</v>
      </c>
      <c r="E131" s="2">
        <f>IF(银币!E132="","",银币!$B132*银币!E132)</f>
        <v>65000</v>
      </c>
      <c r="F131" s="2">
        <f>IF(银币!F132="","",银币!$B132*银币!F132)</f>
        <v>130000</v>
      </c>
      <c r="G131" s="2" t="str">
        <f>IF(银币!G132="","",银币!$B132*银币!G132)</f>
        <v/>
      </c>
      <c r="H131" s="2" t="str">
        <f>IF(银币!H132="","",银币!$B132*银币!H132)</f>
        <v/>
      </c>
      <c r="I131" s="2" t="str">
        <f>IF(银币!I132="","",银币!$B132*银币!I132)</f>
        <v/>
      </c>
      <c r="J131" s="2" t="str">
        <f>IF(银币!J132="","",银币!$B132*银币!J132)</f>
        <v/>
      </c>
      <c r="K131" s="2">
        <f>IF(银币!K132="","",银币!$B132*银币!K132)</f>
        <v>130000</v>
      </c>
      <c r="L131" s="2">
        <f>IF(银币!L132="","",银币!$B132*银币!L132)</f>
        <v>130000</v>
      </c>
      <c r="M131" s="2" t="str">
        <f>IF(银币!M132="","",银币!$B132*银币!M132)</f>
        <v/>
      </c>
      <c r="N131" s="2" t="str">
        <f>IF(银币!N132="","",银币!$B132*银币!N132)</f>
        <v/>
      </c>
      <c r="O131" s="2" t="str">
        <f>IF(银币!O132="","",银币!$B132*银币!O132)</f>
        <v/>
      </c>
      <c r="P131" s="2">
        <f>IF(银币!P132="","",银币!$B132*银币!P132)</f>
        <v>65000</v>
      </c>
      <c r="Q131" s="2">
        <f>IF(银币!Q132="","",银币!$B132*银币!Q132)</f>
        <v>650000</v>
      </c>
      <c r="R131" s="2" t="str">
        <f>IF(银币!R132="","",银币!$B132*银币!R132)</f>
        <v/>
      </c>
      <c r="S131" s="2">
        <f>IF(银币!S132="","",银币!$B132*银币!S132)</f>
        <v>130000</v>
      </c>
      <c r="T131" s="2">
        <f>IF(银币!T132="","",银币!$B132*银币!T132)</f>
        <v>0</v>
      </c>
      <c r="U131" s="2">
        <f>IF(银币!U132="","",银币!$B132*银币!U132)</f>
        <v>130000</v>
      </c>
      <c r="V131" s="2">
        <f>IF(银币!V132="","",银币!$B132*银币!V132)</f>
        <v>195000</v>
      </c>
      <c r="W131" s="2">
        <f>IF(银币!W132="","",银币!$B132*银币!W132)</f>
        <v>130000</v>
      </c>
      <c r="X131" s="2">
        <f>IF(银币!X132="","",银币!$B132*银币!X132)</f>
        <v>130000</v>
      </c>
      <c r="Y131" s="2">
        <f>IF(银币!Y132="","",银币!$B132*银币!Y132)</f>
        <v>130000</v>
      </c>
      <c r="Z131" s="2">
        <f>IF(银币!Z132="","",银币!$B132*银币!Z132)</f>
        <v>390000</v>
      </c>
      <c r="AA131" s="2">
        <f>IF(银币!AA132="","",银币!$B132*银币!AA132)</f>
        <v>65000</v>
      </c>
      <c r="AB131" s="2" t="str">
        <f>IF(银币!AB132="","",银币!$B132*银币!AB132)</f>
        <v/>
      </c>
      <c r="AC131" s="2" t="str">
        <f>IF(银币!AC132="","",银币!$B132*银币!AC132)</f>
        <v/>
      </c>
      <c r="AD131" s="2" t="str">
        <f>IF(银币!AD132="","",银币!$B132*银币!AD132)</f>
        <v/>
      </c>
      <c r="AE131" s="2" t="str">
        <f>IF(银币!AE132="","",银币!$B132*银币!AE132)</f>
        <v/>
      </c>
      <c r="AF131" s="2">
        <f>银币!AI132</f>
        <v>1300000</v>
      </c>
    </row>
    <row r="132" spans="1:32">
      <c r="A132" s="58">
        <v>131</v>
      </c>
      <c r="B132" s="96">
        <f>银币!B133</f>
        <v>131000</v>
      </c>
      <c r="C132" s="2">
        <f>IF(银币!C133="","",银币!$B133*银币!C133)</f>
        <v>524000</v>
      </c>
      <c r="D132" s="2">
        <f>IF(银币!D133="","",银币!$B133*银币!D133)</f>
        <v>216150</v>
      </c>
      <c r="E132" s="2">
        <f>IF(银币!E133="","",银币!$B133*银币!E133)</f>
        <v>65500</v>
      </c>
      <c r="F132" s="2">
        <f>IF(银币!F133="","",银币!$B133*银币!F133)</f>
        <v>131000</v>
      </c>
      <c r="G132" s="2" t="str">
        <f>IF(银币!G133="","",银币!$B133*银币!G133)</f>
        <v/>
      </c>
      <c r="H132" s="2" t="str">
        <f>IF(银币!H133="","",银币!$B133*银币!H133)</f>
        <v/>
      </c>
      <c r="I132" s="2" t="str">
        <f>IF(银币!I133="","",银币!$B133*银币!I133)</f>
        <v/>
      </c>
      <c r="J132" s="2" t="str">
        <f>IF(银币!J133="","",银币!$B133*银币!J133)</f>
        <v/>
      </c>
      <c r="K132" s="2">
        <f>IF(银币!K133="","",银币!$B133*银币!K133)</f>
        <v>131000</v>
      </c>
      <c r="L132" s="2">
        <f>IF(银币!L133="","",银币!$B133*银币!L133)</f>
        <v>131000</v>
      </c>
      <c r="M132" s="2" t="str">
        <f>IF(银币!M133="","",银币!$B133*银币!M133)</f>
        <v/>
      </c>
      <c r="N132" s="2" t="str">
        <f>IF(银币!N133="","",银币!$B133*银币!N133)</f>
        <v/>
      </c>
      <c r="O132" s="2" t="str">
        <f>IF(银币!O133="","",银币!$B133*银币!O133)</f>
        <v/>
      </c>
      <c r="P132" s="2">
        <f>IF(银币!P133="","",银币!$B133*银币!P133)</f>
        <v>65500</v>
      </c>
      <c r="Q132" s="2">
        <f>IF(银币!Q133="","",银币!$B133*银币!Q133)</f>
        <v>655000</v>
      </c>
      <c r="R132" s="2" t="str">
        <f>IF(银币!R133="","",银币!$B133*银币!R133)</f>
        <v/>
      </c>
      <c r="S132" s="2">
        <f>IF(银币!S133="","",银币!$B133*银币!S133)</f>
        <v>131000</v>
      </c>
      <c r="T132" s="2">
        <f>IF(银币!T133="","",银币!$B133*银币!T133)</f>
        <v>0</v>
      </c>
      <c r="U132" s="2">
        <f>IF(银币!U133="","",银币!$B133*银币!U133)</f>
        <v>131000</v>
      </c>
      <c r="V132" s="2">
        <f>IF(银币!V133="","",银币!$B133*银币!V133)</f>
        <v>196500</v>
      </c>
      <c r="W132" s="2">
        <f>IF(银币!W133="","",银币!$B133*银币!W133)</f>
        <v>131000</v>
      </c>
      <c r="X132" s="2">
        <f>IF(银币!X133="","",银币!$B133*银币!X133)</f>
        <v>131000</v>
      </c>
      <c r="Y132" s="2">
        <f>IF(银币!Y133="","",银币!$B133*银币!Y133)</f>
        <v>131000</v>
      </c>
      <c r="Z132" s="2">
        <f>IF(银币!Z133="","",银币!$B133*银币!Z133)</f>
        <v>393000</v>
      </c>
      <c r="AA132" s="2">
        <f>IF(银币!AA133="","",银币!$B133*银币!AA133)</f>
        <v>65500</v>
      </c>
      <c r="AB132" s="2" t="str">
        <f>IF(银币!AB133="","",银币!$B133*银币!AB133)</f>
        <v/>
      </c>
      <c r="AC132" s="2" t="str">
        <f>IF(银币!AC133="","",银币!$B133*银币!AC133)</f>
        <v/>
      </c>
      <c r="AD132" s="2" t="str">
        <f>IF(银币!AD133="","",银币!$B133*银币!AD133)</f>
        <v/>
      </c>
      <c r="AE132" s="2" t="str">
        <f>IF(银币!AE133="","",银币!$B133*银币!AE133)</f>
        <v/>
      </c>
      <c r="AF132" s="2">
        <f>银币!AI133</f>
        <v>1323100</v>
      </c>
    </row>
    <row r="133" spans="1:32">
      <c r="A133" s="58">
        <v>132</v>
      </c>
      <c r="B133" s="96">
        <f>银币!B134</f>
        <v>132000</v>
      </c>
      <c r="C133" s="2">
        <f>IF(银币!C134="","",银币!$B134*银币!C134)</f>
        <v>528000</v>
      </c>
      <c r="D133" s="2">
        <f>IF(银币!D134="","",银币!$B134*银币!D134)</f>
        <v>217800</v>
      </c>
      <c r="E133" s="2">
        <f>IF(银币!E134="","",银币!$B134*银币!E134)</f>
        <v>66000</v>
      </c>
      <c r="F133" s="2">
        <f>IF(银币!F134="","",银币!$B134*银币!F134)</f>
        <v>132000</v>
      </c>
      <c r="G133" s="2" t="str">
        <f>IF(银币!G134="","",银币!$B134*银币!G134)</f>
        <v/>
      </c>
      <c r="H133" s="2" t="str">
        <f>IF(银币!H134="","",银币!$B134*银币!H134)</f>
        <v/>
      </c>
      <c r="I133" s="2" t="str">
        <f>IF(银币!I134="","",银币!$B134*银币!I134)</f>
        <v/>
      </c>
      <c r="J133" s="2" t="str">
        <f>IF(银币!J134="","",银币!$B134*银币!J134)</f>
        <v/>
      </c>
      <c r="K133" s="2">
        <f>IF(银币!K134="","",银币!$B134*银币!K134)</f>
        <v>132000</v>
      </c>
      <c r="L133" s="2">
        <f>IF(银币!L134="","",银币!$B134*银币!L134)</f>
        <v>132000</v>
      </c>
      <c r="M133" s="2" t="str">
        <f>IF(银币!M134="","",银币!$B134*银币!M134)</f>
        <v/>
      </c>
      <c r="N133" s="2" t="str">
        <f>IF(银币!N134="","",银币!$B134*银币!N134)</f>
        <v/>
      </c>
      <c r="O133" s="2" t="str">
        <f>IF(银币!O134="","",银币!$B134*银币!O134)</f>
        <v/>
      </c>
      <c r="P133" s="2">
        <f>IF(银币!P134="","",银币!$B134*银币!P134)</f>
        <v>66000</v>
      </c>
      <c r="Q133" s="2">
        <f>IF(银币!Q134="","",银币!$B134*银币!Q134)</f>
        <v>660000</v>
      </c>
      <c r="R133" s="2" t="str">
        <f>IF(银币!R134="","",银币!$B134*银币!R134)</f>
        <v/>
      </c>
      <c r="S133" s="2">
        <f>IF(银币!S134="","",银币!$B134*银币!S134)</f>
        <v>132000</v>
      </c>
      <c r="T133" s="2">
        <f>IF(银币!T134="","",银币!$B134*银币!T134)</f>
        <v>0</v>
      </c>
      <c r="U133" s="2">
        <f>IF(银币!U134="","",银币!$B134*银币!U134)</f>
        <v>132000</v>
      </c>
      <c r="V133" s="2">
        <f>IF(银币!V134="","",银币!$B134*银币!V134)</f>
        <v>198000</v>
      </c>
      <c r="W133" s="2">
        <f>IF(银币!W134="","",银币!$B134*银币!W134)</f>
        <v>132000</v>
      </c>
      <c r="X133" s="2">
        <f>IF(银币!X134="","",银币!$B134*银币!X134)</f>
        <v>132000</v>
      </c>
      <c r="Y133" s="2">
        <f>IF(银币!Y134="","",银币!$B134*银币!Y134)</f>
        <v>132000</v>
      </c>
      <c r="Z133" s="2">
        <f>IF(银币!Z134="","",银币!$B134*银币!Z134)</f>
        <v>396000</v>
      </c>
      <c r="AA133" s="2">
        <f>IF(银币!AA134="","",银币!$B134*银币!AA134)</f>
        <v>66000</v>
      </c>
      <c r="AB133" s="2" t="str">
        <f>IF(银币!AB134="","",银币!$B134*银币!AB134)</f>
        <v/>
      </c>
      <c r="AC133" s="2" t="str">
        <f>IF(银币!AC134="","",银币!$B134*银币!AC134)</f>
        <v/>
      </c>
      <c r="AD133" s="2" t="str">
        <f>IF(银币!AD134="","",银币!$B134*银币!AD134)</f>
        <v/>
      </c>
      <c r="AE133" s="2" t="str">
        <f>IF(银币!AE134="","",银币!$B134*银币!AE134)</f>
        <v/>
      </c>
      <c r="AF133" s="2">
        <f>银币!AI134</f>
        <v>1346400</v>
      </c>
    </row>
    <row r="134" spans="1:32">
      <c r="A134" s="58">
        <v>133</v>
      </c>
      <c r="B134" s="96">
        <f>银币!B135</f>
        <v>133000</v>
      </c>
      <c r="C134" s="2">
        <f>IF(银币!C135="","",银币!$B135*银币!C135)</f>
        <v>532000</v>
      </c>
      <c r="D134" s="2">
        <f>IF(银币!D135="","",银币!$B135*银币!D135)</f>
        <v>219450</v>
      </c>
      <c r="E134" s="2">
        <f>IF(银币!E135="","",银币!$B135*银币!E135)</f>
        <v>66500</v>
      </c>
      <c r="F134" s="2">
        <f>IF(银币!F135="","",银币!$B135*银币!F135)</f>
        <v>133000</v>
      </c>
      <c r="G134" s="2" t="str">
        <f>IF(银币!G135="","",银币!$B135*银币!G135)</f>
        <v/>
      </c>
      <c r="H134" s="2" t="str">
        <f>IF(银币!H135="","",银币!$B135*银币!H135)</f>
        <v/>
      </c>
      <c r="I134" s="2" t="str">
        <f>IF(银币!I135="","",银币!$B135*银币!I135)</f>
        <v/>
      </c>
      <c r="J134" s="2" t="str">
        <f>IF(银币!J135="","",银币!$B135*银币!J135)</f>
        <v/>
      </c>
      <c r="K134" s="2">
        <f>IF(银币!K135="","",银币!$B135*银币!K135)</f>
        <v>133000</v>
      </c>
      <c r="L134" s="2">
        <f>IF(银币!L135="","",银币!$B135*银币!L135)</f>
        <v>133000</v>
      </c>
      <c r="M134" s="2" t="str">
        <f>IF(银币!M135="","",银币!$B135*银币!M135)</f>
        <v/>
      </c>
      <c r="N134" s="2" t="str">
        <f>IF(银币!N135="","",银币!$B135*银币!N135)</f>
        <v/>
      </c>
      <c r="O134" s="2" t="str">
        <f>IF(银币!O135="","",银币!$B135*银币!O135)</f>
        <v/>
      </c>
      <c r="P134" s="2">
        <f>IF(银币!P135="","",银币!$B135*银币!P135)</f>
        <v>66500</v>
      </c>
      <c r="Q134" s="2">
        <f>IF(银币!Q135="","",银币!$B135*银币!Q135)</f>
        <v>665000</v>
      </c>
      <c r="R134" s="2" t="str">
        <f>IF(银币!R135="","",银币!$B135*银币!R135)</f>
        <v/>
      </c>
      <c r="S134" s="2">
        <f>IF(银币!S135="","",银币!$B135*银币!S135)</f>
        <v>133000</v>
      </c>
      <c r="T134" s="2">
        <f>IF(银币!T135="","",银币!$B135*银币!T135)</f>
        <v>0</v>
      </c>
      <c r="U134" s="2">
        <f>IF(银币!U135="","",银币!$B135*银币!U135)</f>
        <v>133000</v>
      </c>
      <c r="V134" s="2">
        <f>IF(银币!V135="","",银币!$B135*银币!V135)</f>
        <v>199500</v>
      </c>
      <c r="W134" s="2">
        <f>IF(银币!W135="","",银币!$B135*银币!W135)</f>
        <v>133000</v>
      </c>
      <c r="X134" s="2">
        <f>IF(银币!X135="","",银币!$B135*银币!X135)</f>
        <v>133000</v>
      </c>
      <c r="Y134" s="2">
        <f>IF(银币!Y135="","",银币!$B135*银币!Y135)</f>
        <v>133000</v>
      </c>
      <c r="Z134" s="2">
        <f>IF(银币!Z135="","",银币!$B135*银币!Z135)</f>
        <v>399000</v>
      </c>
      <c r="AA134" s="2">
        <f>IF(银币!AA135="","",银币!$B135*银币!AA135)</f>
        <v>66500</v>
      </c>
      <c r="AB134" s="2" t="str">
        <f>IF(银币!AB135="","",银币!$B135*银币!AB135)</f>
        <v/>
      </c>
      <c r="AC134" s="2" t="str">
        <f>IF(银币!AC135="","",银币!$B135*银币!AC135)</f>
        <v/>
      </c>
      <c r="AD134" s="2" t="str">
        <f>IF(银币!AD135="","",银币!$B135*银币!AD135)</f>
        <v/>
      </c>
      <c r="AE134" s="2" t="str">
        <f>IF(银币!AE135="","",银币!$B135*银币!AE135)</f>
        <v/>
      </c>
      <c r="AF134" s="2">
        <f>银币!AI135</f>
        <v>1369900</v>
      </c>
    </row>
    <row r="135" spans="1:32">
      <c r="A135" s="58">
        <v>134</v>
      </c>
      <c r="B135" s="96">
        <f>银币!B136</f>
        <v>134000</v>
      </c>
      <c r="C135" s="2">
        <f>IF(银币!C136="","",银币!$B136*银币!C136)</f>
        <v>536000</v>
      </c>
      <c r="D135" s="2">
        <f>IF(银币!D136="","",银币!$B136*银币!D136)</f>
        <v>221100</v>
      </c>
      <c r="E135" s="2">
        <f>IF(银币!E136="","",银币!$B136*银币!E136)</f>
        <v>67000</v>
      </c>
      <c r="F135" s="2">
        <f>IF(银币!F136="","",银币!$B136*银币!F136)</f>
        <v>134000</v>
      </c>
      <c r="G135" s="2" t="str">
        <f>IF(银币!G136="","",银币!$B136*银币!G136)</f>
        <v/>
      </c>
      <c r="H135" s="2" t="str">
        <f>IF(银币!H136="","",银币!$B136*银币!H136)</f>
        <v/>
      </c>
      <c r="I135" s="2" t="str">
        <f>IF(银币!I136="","",银币!$B136*银币!I136)</f>
        <v/>
      </c>
      <c r="J135" s="2" t="str">
        <f>IF(银币!J136="","",银币!$B136*银币!J136)</f>
        <v/>
      </c>
      <c r="K135" s="2">
        <f>IF(银币!K136="","",银币!$B136*银币!K136)</f>
        <v>134000</v>
      </c>
      <c r="L135" s="2">
        <f>IF(银币!L136="","",银币!$B136*银币!L136)</f>
        <v>134000</v>
      </c>
      <c r="M135" s="2" t="str">
        <f>IF(银币!M136="","",银币!$B136*银币!M136)</f>
        <v/>
      </c>
      <c r="N135" s="2" t="str">
        <f>IF(银币!N136="","",银币!$B136*银币!N136)</f>
        <v/>
      </c>
      <c r="O135" s="2" t="str">
        <f>IF(银币!O136="","",银币!$B136*银币!O136)</f>
        <v/>
      </c>
      <c r="P135" s="2">
        <f>IF(银币!P136="","",银币!$B136*银币!P136)</f>
        <v>67000</v>
      </c>
      <c r="Q135" s="2">
        <f>IF(银币!Q136="","",银币!$B136*银币!Q136)</f>
        <v>670000</v>
      </c>
      <c r="R135" s="2" t="str">
        <f>IF(银币!R136="","",银币!$B136*银币!R136)</f>
        <v/>
      </c>
      <c r="S135" s="2">
        <f>IF(银币!S136="","",银币!$B136*银币!S136)</f>
        <v>134000</v>
      </c>
      <c r="T135" s="2">
        <f>IF(银币!T136="","",银币!$B136*银币!T136)</f>
        <v>0</v>
      </c>
      <c r="U135" s="2">
        <f>IF(银币!U136="","",银币!$B136*银币!U136)</f>
        <v>134000</v>
      </c>
      <c r="V135" s="2">
        <f>IF(银币!V136="","",银币!$B136*银币!V136)</f>
        <v>201000</v>
      </c>
      <c r="W135" s="2">
        <f>IF(银币!W136="","",银币!$B136*银币!W136)</f>
        <v>134000</v>
      </c>
      <c r="X135" s="2">
        <f>IF(银币!X136="","",银币!$B136*银币!X136)</f>
        <v>134000</v>
      </c>
      <c r="Y135" s="2">
        <f>IF(银币!Y136="","",银币!$B136*银币!Y136)</f>
        <v>134000</v>
      </c>
      <c r="Z135" s="2">
        <f>IF(银币!Z136="","",银币!$B136*银币!Z136)</f>
        <v>402000</v>
      </c>
      <c r="AA135" s="2">
        <f>IF(银币!AA136="","",银币!$B136*银币!AA136)</f>
        <v>67000</v>
      </c>
      <c r="AB135" s="2" t="str">
        <f>IF(银币!AB136="","",银币!$B136*银币!AB136)</f>
        <v/>
      </c>
      <c r="AC135" s="2" t="str">
        <f>IF(银币!AC136="","",银币!$B136*银币!AC136)</f>
        <v/>
      </c>
      <c r="AD135" s="2" t="str">
        <f>IF(银币!AD136="","",银币!$B136*银币!AD136)</f>
        <v/>
      </c>
      <c r="AE135" s="2" t="str">
        <f>IF(银币!AE136="","",银币!$B136*银币!AE136)</f>
        <v/>
      </c>
      <c r="AF135" s="2">
        <f>银币!AI136</f>
        <v>1393600</v>
      </c>
    </row>
    <row r="136" spans="1:32">
      <c r="A136" s="58">
        <v>135</v>
      </c>
      <c r="B136" s="96">
        <f>银币!B137</f>
        <v>135000</v>
      </c>
      <c r="C136" s="2">
        <f>IF(银币!C137="","",银币!$B137*银币!C137)</f>
        <v>540000</v>
      </c>
      <c r="D136" s="2">
        <f>IF(银币!D137="","",银币!$B137*银币!D137)</f>
        <v>222750</v>
      </c>
      <c r="E136" s="2">
        <f>IF(银币!E137="","",银币!$B137*银币!E137)</f>
        <v>67500</v>
      </c>
      <c r="F136" s="2">
        <f>IF(银币!F137="","",银币!$B137*银币!F137)</f>
        <v>135000</v>
      </c>
      <c r="G136" s="2" t="str">
        <f>IF(银币!G137="","",银币!$B137*银币!G137)</f>
        <v/>
      </c>
      <c r="H136" s="2" t="str">
        <f>IF(银币!H137="","",银币!$B137*银币!H137)</f>
        <v/>
      </c>
      <c r="I136" s="2" t="str">
        <f>IF(银币!I137="","",银币!$B137*银币!I137)</f>
        <v/>
      </c>
      <c r="J136" s="2" t="str">
        <f>IF(银币!J137="","",银币!$B137*银币!J137)</f>
        <v/>
      </c>
      <c r="K136" s="2">
        <f>IF(银币!K137="","",银币!$B137*银币!K137)</f>
        <v>135000</v>
      </c>
      <c r="L136" s="2">
        <f>IF(银币!L137="","",银币!$B137*银币!L137)</f>
        <v>135000</v>
      </c>
      <c r="M136" s="2" t="str">
        <f>IF(银币!M137="","",银币!$B137*银币!M137)</f>
        <v/>
      </c>
      <c r="N136" s="2" t="str">
        <f>IF(银币!N137="","",银币!$B137*银币!N137)</f>
        <v/>
      </c>
      <c r="O136" s="2" t="str">
        <f>IF(银币!O137="","",银币!$B137*银币!O137)</f>
        <v/>
      </c>
      <c r="P136" s="2">
        <f>IF(银币!P137="","",银币!$B137*银币!P137)</f>
        <v>67500</v>
      </c>
      <c r="Q136" s="2">
        <f>IF(银币!Q137="","",银币!$B137*银币!Q137)</f>
        <v>675000</v>
      </c>
      <c r="R136" s="2" t="str">
        <f>IF(银币!R137="","",银币!$B137*银币!R137)</f>
        <v/>
      </c>
      <c r="S136" s="2">
        <f>IF(银币!S137="","",银币!$B137*银币!S137)</f>
        <v>135000</v>
      </c>
      <c r="T136" s="2">
        <f>IF(银币!T137="","",银币!$B137*银币!T137)</f>
        <v>0</v>
      </c>
      <c r="U136" s="2">
        <f>IF(银币!U137="","",银币!$B137*银币!U137)</f>
        <v>135000</v>
      </c>
      <c r="V136" s="2">
        <f>IF(银币!V137="","",银币!$B137*银币!V137)</f>
        <v>202500</v>
      </c>
      <c r="W136" s="2">
        <f>IF(银币!W137="","",银币!$B137*银币!W137)</f>
        <v>135000</v>
      </c>
      <c r="X136" s="2">
        <f>IF(银币!X137="","",银币!$B137*银币!X137)</f>
        <v>135000</v>
      </c>
      <c r="Y136" s="2">
        <f>IF(银币!Y137="","",银币!$B137*银币!Y137)</f>
        <v>135000</v>
      </c>
      <c r="Z136" s="2">
        <f>IF(银币!Z137="","",银币!$B137*银币!Z137)</f>
        <v>405000</v>
      </c>
      <c r="AA136" s="2">
        <f>IF(银币!AA137="","",银币!$B137*银币!AA137)</f>
        <v>67500</v>
      </c>
      <c r="AB136" s="2" t="str">
        <f>IF(银币!AB137="","",银币!$B137*银币!AB137)</f>
        <v/>
      </c>
      <c r="AC136" s="2" t="str">
        <f>IF(银币!AC137="","",银币!$B137*银币!AC137)</f>
        <v/>
      </c>
      <c r="AD136" s="2" t="str">
        <f>IF(银币!AD137="","",银币!$B137*银币!AD137)</f>
        <v/>
      </c>
      <c r="AE136" s="2" t="str">
        <f>IF(银币!AE137="","",银币!$B137*银币!AE137)</f>
        <v/>
      </c>
      <c r="AF136" s="2">
        <f>银币!AI137</f>
        <v>1417500</v>
      </c>
    </row>
    <row r="137" spans="1:32">
      <c r="A137" s="58">
        <v>136</v>
      </c>
      <c r="B137" s="96">
        <f>银币!B138</f>
        <v>136000</v>
      </c>
      <c r="C137" s="2">
        <f>IF(银币!C138="","",银币!$B138*银币!C138)</f>
        <v>544000</v>
      </c>
      <c r="D137" s="2">
        <f>IF(银币!D138="","",银币!$B138*银币!D138)</f>
        <v>224400</v>
      </c>
      <c r="E137" s="2">
        <f>IF(银币!E138="","",银币!$B138*银币!E138)</f>
        <v>68000</v>
      </c>
      <c r="F137" s="2">
        <f>IF(银币!F138="","",银币!$B138*银币!F138)</f>
        <v>136000</v>
      </c>
      <c r="G137" s="2" t="str">
        <f>IF(银币!G138="","",银币!$B138*银币!G138)</f>
        <v/>
      </c>
      <c r="H137" s="2" t="str">
        <f>IF(银币!H138="","",银币!$B138*银币!H138)</f>
        <v/>
      </c>
      <c r="I137" s="2" t="str">
        <f>IF(银币!I138="","",银币!$B138*银币!I138)</f>
        <v/>
      </c>
      <c r="J137" s="2" t="str">
        <f>IF(银币!J138="","",银币!$B138*银币!J138)</f>
        <v/>
      </c>
      <c r="K137" s="2">
        <f>IF(银币!K138="","",银币!$B138*银币!K138)</f>
        <v>136000</v>
      </c>
      <c r="L137" s="2">
        <f>IF(银币!L138="","",银币!$B138*银币!L138)</f>
        <v>136000</v>
      </c>
      <c r="M137" s="2" t="str">
        <f>IF(银币!M138="","",银币!$B138*银币!M138)</f>
        <v/>
      </c>
      <c r="N137" s="2" t="str">
        <f>IF(银币!N138="","",银币!$B138*银币!N138)</f>
        <v/>
      </c>
      <c r="O137" s="2" t="str">
        <f>IF(银币!O138="","",银币!$B138*银币!O138)</f>
        <v/>
      </c>
      <c r="P137" s="2">
        <f>IF(银币!P138="","",银币!$B138*银币!P138)</f>
        <v>68000</v>
      </c>
      <c r="Q137" s="2">
        <f>IF(银币!Q138="","",银币!$B138*银币!Q138)</f>
        <v>680000</v>
      </c>
      <c r="R137" s="2" t="str">
        <f>IF(银币!R138="","",银币!$B138*银币!R138)</f>
        <v/>
      </c>
      <c r="S137" s="2">
        <f>IF(银币!S138="","",银币!$B138*银币!S138)</f>
        <v>136000</v>
      </c>
      <c r="T137" s="2">
        <f>IF(银币!T138="","",银币!$B138*银币!T138)</f>
        <v>0</v>
      </c>
      <c r="U137" s="2">
        <f>IF(银币!U138="","",银币!$B138*银币!U138)</f>
        <v>136000</v>
      </c>
      <c r="V137" s="2">
        <f>IF(银币!V138="","",银币!$B138*银币!V138)</f>
        <v>204000</v>
      </c>
      <c r="W137" s="2">
        <f>IF(银币!W138="","",银币!$B138*银币!W138)</f>
        <v>136000</v>
      </c>
      <c r="X137" s="2">
        <f>IF(银币!X138="","",银币!$B138*银币!X138)</f>
        <v>136000</v>
      </c>
      <c r="Y137" s="2">
        <f>IF(银币!Y138="","",银币!$B138*银币!Y138)</f>
        <v>136000</v>
      </c>
      <c r="Z137" s="2">
        <f>IF(银币!Z138="","",银币!$B138*银币!Z138)</f>
        <v>408000</v>
      </c>
      <c r="AA137" s="2">
        <f>IF(银币!AA138="","",银币!$B138*银币!AA138)</f>
        <v>68000</v>
      </c>
      <c r="AB137" s="2" t="str">
        <f>IF(银币!AB138="","",银币!$B138*银币!AB138)</f>
        <v/>
      </c>
      <c r="AC137" s="2" t="str">
        <f>IF(银币!AC138="","",银币!$B138*银币!AC138)</f>
        <v/>
      </c>
      <c r="AD137" s="2" t="str">
        <f>IF(银币!AD138="","",银币!$B138*银币!AD138)</f>
        <v/>
      </c>
      <c r="AE137" s="2" t="str">
        <f>IF(银币!AE138="","",银币!$B138*银币!AE138)</f>
        <v/>
      </c>
      <c r="AF137" s="2">
        <f>银币!AI138</f>
        <v>1441600</v>
      </c>
    </row>
    <row r="138" spans="1:32">
      <c r="A138" s="58">
        <v>137</v>
      </c>
      <c r="B138" s="96">
        <f>银币!B139</f>
        <v>137000</v>
      </c>
      <c r="C138" s="2">
        <f>IF(银币!C139="","",银币!$B139*银币!C139)</f>
        <v>548000</v>
      </c>
      <c r="D138" s="2">
        <f>IF(银币!D139="","",银币!$B139*银币!D139)</f>
        <v>226050</v>
      </c>
      <c r="E138" s="2">
        <f>IF(银币!E139="","",银币!$B139*银币!E139)</f>
        <v>68500</v>
      </c>
      <c r="F138" s="2">
        <f>IF(银币!F139="","",银币!$B139*银币!F139)</f>
        <v>137000</v>
      </c>
      <c r="G138" s="2" t="str">
        <f>IF(银币!G139="","",银币!$B139*银币!G139)</f>
        <v/>
      </c>
      <c r="H138" s="2" t="str">
        <f>IF(银币!H139="","",银币!$B139*银币!H139)</f>
        <v/>
      </c>
      <c r="I138" s="2" t="str">
        <f>IF(银币!I139="","",银币!$B139*银币!I139)</f>
        <v/>
      </c>
      <c r="J138" s="2" t="str">
        <f>IF(银币!J139="","",银币!$B139*银币!J139)</f>
        <v/>
      </c>
      <c r="K138" s="2">
        <f>IF(银币!K139="","",银币!$B139*银币!K139)</f>
        <v>137000</v>
      </c>
      <c r="L138" s="2">
        <f>IF(银币!L139="","",银币!$B139*银币!L139)</f>
        <v>137000</v>
      </c>
      <c r="M138" s="2" t="str">
        <f>IF(银币!M139="","",银币!$B139*银币!M139)</f>
        <v/>
      </c>
      <c r="N138" s="2" t="str">
        <f>IF(银币!N139="","",银币!$B139*银币!N139)</f>
        <v/>
      </c>
      <c r="O138" s="2" t="str">
        <f>IF(银币!O139="","",银币!$B139*银币!O139)</f>
        <v/>
      </c>
      <c r="P138" s="2">
        <f>IF(银币!P139="","",银币!$B139*银币!P139)</f>
        <v>68500</v>
      </c>
      <c r="Q138" s="2">
        <f>IF(银币!Q139="","",银币!$B139*银币!Q139)</f>
        <v>685000</v>
      </c>
      <c r="R138" s="2" t="str">
        <f>IF(银币!R139="","",银币!$B139*银币!R139)</f>
        <v/>
      </c>
      <c r="S138" s="2">
        <f>IF(银币!S139="","",银币!$B139*银币!S139)</f>
        <v>137000</v>
      </c>
      <c r="T138" s="2">
        <f>IF(银币!T139="","",银币!$B139*银币!T139)</f>
        <v>0</v>
      </c>
      <c r="U138" s="2">
        <f>IF(银币!U139="","",银币!$B139*银币!U139)</f>
        <v>137000</v>
      </c>
      <c r="V138" s="2">
        <f>IF(银币!V139="","",银币!$B139*银币!V139)</f>
        <v>205500</v>
      </c>
      <c r="W138" s="2">
        <f>IF(银币!W139="","",银币!$B139*银币!W139)</f>
        <v>137000</v>
      </c>
      <c r="X138" s="2">
        <f>IF(银币!X139="","",银币!$B139*银币!X139)</f>
        <v>137000</v>
      </c>
      <c r="Y138" s="2">
        <f>IF(银币!Y139="","",银币!$B139*银币!Y139)</f>
        <v>137000</v>
      </c>
      <c r="Z138" s="2">
        <f>IF(银币!Z139="","",银币!$B139*银币!Z139)</f>
        <v>411000</v>
      </c>
      <c r="AA138" s="2">
        <f>IF(银币!AA139="","",银币!$B139*银币!AA139)</f>
        <v>68500</v>
      </c>
      <c r="AB138" s="2" t="str">
        <f>IF(银币!AB139="","",银币!$B139*银币!AB139)</f>
        <v/>
      </c>
      <c r="AC138" s="2" t="str">
        <f>IF(银币!AC139="","",银币!$B139*银币!AC139)</f>
        <v/>
      </c>
      <c r="AD138" s="2" t="str">
        <f>IF(银币!AD139="","",银币!$B139*银币!AD139)</f>
        <v/>
      </c>
      <c r="AE138" s="2" t="str">
        <f>IF(银币!AE139="","",银币!$B139*银币!AE139)</f>
        <v/>
      </c>
      <c r="AF138" s="2">
        <f>银币!AI139</f>
        <v>1465900</v>
      </c>
    </row>
    <row r="139" spans="1:32">
      <c r="A139" s="58">
        <v>138</v>
      </c>
      <c r="B139" s="96">
        <f>银币!B140</f>
        <v>138000</v>
      </c>
      <c r="C139" s="2">
        <f>IF(银币!C140="","",银币!$B140*银币!C140)</f>
        <v>552000</v>
      </c>
      <c r="D139" s="2">
        <f>IF(银币!D140="","",银币!$B140*银币!D140)</f>
        <v>227700</v>
      </c>
      <c r="E139" s="2">
        <f>IF(银币!E140="","",银币!$B140*银币!E140)</f>
        <v>69000</v>
      </c>
      <c r="F139" s="2">
        <f>IF(银币!F140="","",银币!$B140*银币!F140)</f>
        <v>138000</v>
      </c>
      <c r="G139" s="2" t="str">
        <f>IF(银币!G140="","",银币!$B140*银币!G140)</f>
        <v/>
      </c>
      <c r="H139" s="2" t="str">
        <f>IF(银币!H140="","",银币!$B140*银币!H140)</f>
        <v/>
      </c>
      <c r="I139" s="2" t="str">
        <f>IF(银币!I140="","",银币!$B140*银币!I140)</f>
        <v/>
      </c>
      <c r="J139" s="2" t="str">
        <f>IF(银币!J140="","",银币!$B140*银币!J140)</f>
        <v/>
      </c>
      <c r="K139" s="2">
        <f>IF(银币!K140="","",银币!$B140*银币!K140)</f>
        <v>138000</v>
      </c>
      <c r="L139" s="2">
        <f>IF(银币!L140="","",银币!$B140*银币!L140)</f>
        <v>138000</v>
      </c>
      <c r="M139" s="2" t="str">
        <f>IF(银币!M140="","",银币!$B140*银币!M140)</f>
        <v/>
      </c>
      <c r="N139" s="2" t="str">
        <f>IF(银币!N140="","",银币!$B140*银币!N140)</f>
        <v/>
      </c>
      <c r="O139" s="2" t="str">
        <f>IF(银币!O140="","",银币!$B140*银币!O140)</f>
        <v/>
      </c>
      <c r="P139" s="2">
        <f>IF(银币!P140="","",银币!$B140*银币!P140)</f>
        <v>69000</v>
      </c>
      <c r="Q139" s="2">
        <f>IF(银币!Q140="","",银币!$B140*银币!Q140)</f>
        <v>690000</v>
      </c>
      <c r="R139" s="2" t="str">
        <f>IF(银币!R140="","",银币!$B140*银币!R140)</f>
        <v/>
      </c>
      <c r="S139" s="2">
        <f>IF(银币!S140="","",银币!$B140*银币!S140)</f>
        <v>138000</v>
      </c>
      <c r="T139" s="2">
        <f>IF(银币!T140="","",银币!$B140*银币!T140)</f>
        <v>0</v>
      </c>
      <c r="U139" s="2">
        <f>IF(银币!U140="","",银币!$B140*银币!U140)</f>
        <v>138000</v>
      </c>
      <c r="V139" s="2">
        <f>IF(银币!V140="","",银币!$B140*银币!V140)</f>
        <v>207000</v>
      </c>
      <c r="W139" s="2">
        <f>IF(银币!W140="","",银币!$B140*银币!W140)</f>
        <v>138000</v>
      </c>
      <c r="X139" s="2">
        <f>IF(银币!X140="","",银币!$B140*银币!X140)</f>
        <v>138000</v>
      </c>
      <c r="Y139" s="2">
        <f>IF(银币!Y140="","",银币!$B140*银币!Y140)</f>
        <v>138000</v>
      </c>
      <c r="Z139" s="2">
        <f>IF(银币!Z140="","",银币!$B140*银币!Z140)</f>
        <v>414000</v>
      </c>
      <c r="AA139" s="2">
        <f>IF(银币!AA140="","",银币!$B140*银币!AA140)</f>
        <v>69000</v>
      </c>
      <c r="AB139" s="2" t="str">
        <f>IF(银币!AB140="","",银币!$B140*银币!AB140)</f>
        <v/>
      </c>
      <c r="AC139" s="2" t="str">
        <f>IF(银币!AC140="","",银币!$B140*银币!AC140)</f>
        <v/>
      </c>
      <c r="AD139" s="2" t="str">
        <f>IF(银币!AD140="","",银币!$B140*银币!AD140)</f>
        <v/>
      </c>
      <c r="AE139" s="2" t="str">
        <f>IF(银币!AE140="","",银币!$B140*银币!AE140)</f>
        <v/>
      </c>
      <c r="AF139" s="2">
        <f>银币!AI140</f>
        <v>1490400</v>
      </c>
    </row>
    <row r="140" spans="1:32">
      <c r="A140" s="58">
        <v>139</v>
      </c>
      <c r="B140" s="96">
        <f>银币!B141</f>
        <v>139000</v>
      </c>
      <c r="C140" s="2">
        <f>IF(银币!C141="","",银币!$B141*银币!C141)</f>
        <v>556000</v>
      </c>
      <c r="D140" s="2">
        <f>IF(银币!D141="","",银币!$B141*银币!D141)</f>
        <v>229350</v>
      </c>
      <c r="E140" s="2">
        <f>IF(银币!E141="","",银币!$B141*银币!E141)</f>
        <v>69500</v>
      </c>
      <c r="F140" s="2">
        <f>IF(银币!F141="","",银币!$B141*银币!F141)</f>
        <v>139000</v>
      </c>
      <c r="G140" s="2" t="str">
        <f>IF(银币!G141="","",银币!$B141*银币!G141)</f>
        <v/>
      </c>
      <c r="H140" s="2" t="str">
        <f>IF(银币!H141="","",银币!$B141*银币!H141)</f>
        <v/>
      </c>
      <c r="I140" s="2" t="str">
        <f>IF(银币!I141="","",银币!$B141*银币!I141)</f>
        <v/>
      </c>
      <c r="J140" s="2" t="str">
        <f>IF(银币!J141="","",银币!$B141*银币!J141)</f>
        <v/>
      </c>
      <c r="K140" s="2">
        <f>IF(银币!K141="","",银币!$B141*银币!K141)</f>
        <v>139000</v>
      </c>
      <c r="L140" s="2">
        <f>IF(银币!L141="","",银币!$B141*银币!L141)</f>
        <v>139000</v>
      </c>
      <c r="M140" s="2" t="str">
        <f>IF(银币!M141="","",银币!$B141*银币!M141)</f>
        <v/>
      </c>
      <c r="N140" s="2" t="str">
        <f>IF(银币!N141="","",银币!$B141*银币!N141)</f>
        <v/>
      </c>
      <c r="O140" s="2" t="str">
        <f>IF(银币!O141="","",银币!$B141*银币!O141)</f>
        <v/>
      </c>
      <c r="P140" s="2">
        <f>IF(银币!P141="","",银币!$B141*银币!P141)</f>
        <v>69500</v>
      </c>
      <c r="Q140" s="2">
        <f>IF(银币!Q141="","",银币!$B141*银币!Q141)</f>
        <v>695000</v>
      </c>
      <c r="R140" s="2" t="str">
        <f>IF(银币!R141="","",银币!$B141*银币!R141)</f>
        <v/>
      </c>
      <c r="S140" s="2">
        <f>IF(银币!S141="","",银币!$B141*银币!S141)</f>
        <v>139000</v>
      </c>
      <c r="T140" s="2">
        <f>IF(银币!T141="","",银币!$B141*银币!T141)</f>
        <v>0</v>
      </c>
      <c r="U140" s="2">
        <f>IF(银币!U141="","",银币!$B141*银币!U141)</f>
        <v>139000</v>
      </c>
      <c r="V140" s="2">
        <f>IF(银币!V141="","",银币!$B141*银币!V141)</f>
        <v>208500</v>
      </c>
      <c r="W140" s="2">
        <f>IF(银币!W141="","",银币!$B141*银币!W141)</f>
        <v>139000</v>
      </c>
      <c r="X140" s="2">
        <f>IF(银币!X141="","",银币!$B141*银币!X141)</f>
        <v>139000</v>
      </c>
      <c r="Y140" s="2">
        <f>IF(银币!Y141="","",银币!$B141*银币!Y141)</f>
        <v>139000</v>
      </c>
      <c r="Z140" s="2">
        <f>IF(银币!Z141="","",银币!$B141*银币!Z141)</f>
        <v>417000</v>
      </c>
      <c r="AA140" s="2">
        <f>IF(银币!AA141="","",银币!$B141*银币!AA141)</f>
        <v>69500</v>
      </c>
      <c r="AB140" s="2" t="str">
        <f>IF(银币!AB141="","",银币!$B141*银币!AB141)</f>
        <v/>
      </c>
      <c r="AC140" s="2" t="str">
        <f>IF(银币!AC141="","",银币!$B141*银币!AC141)</f>
        <v/>
      </c>
      <c r="AD140" s="2" t="str">
        <f>IF(银币!AD141="","",银币!$B141*银币!AD141)</f>
        <v/>
      </c>
      <c r="AE140" s="2" t="str">
        <f>IF(银币!AE141="","",银币!$B141*银币!AE141)</f>
        <v/>
      </c>
      <c r="AF140" s="2">
        <f>银币!AI141</f>
        <v>1515100</v>
      </c>
    </row>
    <row r="141" spans="1:32">
      <c r="A141" s="58">
        <v>140</v>
      </c>
      <c r="B141" s="96">
        <f>银币!B142</f>
        <v>140000</v>
      </c>
      <c r="C141" s="2">
        <f>IF(银币!C142="","",银币!$B142*银币!C142)</f>
        <v>560000</v>
      </c>
      <c r="D141" s="2">
        <f>IF(银币!D142="","",银币!$B142*银币!D142)</f>
        <v>231000</v>
      </c>
      <c r="E141" s="2">
        <f>IF(银币!E142="","",银币!$B142*银币!E142)</f>
        <v>70000</v>
      </c>
      <c r="F141" s="2">
        <f>IF(银币!F142="","",银币!$B142*银币!F142)</f>
        <v>140000</v>
      </c>
      <c r="G141" s="2" t="str">
        <f>IF(银币!G142="","",银币!$B142*银币!G142)</f>
        <v/>
      </c>
      <c r="H141" s="2" t="str">
        <f>IF(银币!H142="","",银币!$B142*银币!H142)</f>
        <v/>
      </c>
      <c r="I141" s="2" t="str">
        <f>IF(银币!I142="","",银币!$B142*银币!I142)</f>
        <v/>
      </c>
      <c r="J141" s="2" t="str">
        <f>IF(银币!J142="","",银币!$B142*银币!J142)</f>
        <v/>
      </c>
      <c r="K141" s="2">
        <f>IF(银币!K142="","",银币!$B142*银币!K142)</f>
        <v>140000</v>
      </c>
      <c r="L141" s="2">
        <f>IF(银币!L142="","",银币!$B142*银币!L142)</f>
        <v>140000</v>
      </c>
      <c r="M141" s="2" t="str">
        <f>IF(银币!M142="","",银币!$B142*银币!M142)</f>
        <v/>
      </c>
      <c r="N141" s="2" t="str">
        <f>IF(银币!N142="","",银币!$B142*银币!N142)</f>
        <v/>
      </c>
      <c r="O141" s="2" t="str">
        <f>IF(银币!O142="","",银币!$B142*银币!O142)</f>
        <v/>
      </c>
      <c r="P141" s="2">
        <f>IF(银币!P142="","",银币!$B142*银币!P142)</f>
        <v>70000</v>
      </c>
      <c r="Q141" s="2">
        <f>IF(银币!Q142="","",银币!$B142*银币!Q142)</f>
        <v>700000</v>
      </c>
      <c r="R141" s="2" t="str">
        <f>IF(银币!R142="","",银币!$B142*银币!R142)</f>
        <v/>
      </c>
      <c r="S141" s="2">
        <f>IF(银币!S142="","",银币!$B142*银币!S142)</f>
        <v>140000</v>
      </c>
      <c r="T141" s="2">
        <f>IF(银币!T142="","",银币!$B142*银币!T142)</f>
        <v>0</v>
      </c>
      <c r="U141" s="2">
        <f>IF(银币!U142="","",银币!$B142*银币!U142)</f>
        <v>140000</v>
      </c>
      <c r="V141" s="2">
        <f>IF(银币!V142="","",银币!$B142*银币!V142)</f>
        <v>210000</v>
      </c>
      <c r="W141" s="2">
        <f>IF(银币!W142="","",银币!$B142*银币!W142)</f>
        <v>140000</v>
      </c>
      <c r="X141" s="2">
        <f>IF(银币!X142="","",银币!$B142*银币!X142)</f>
        <v>140000</v>
      </c>
      <c r="Y141" s="2">
        <f>IF(银币!Y142="","",银币!$B142*银币!Y142)</f>
        <v>140000</v>
      </c>
      <c r="Z141" s="2">
        <f>IF(银币!Z142="","",银币!$B142*银币!Z142)</f>
        <v>420000</v>
      </c>
      <c r="AA141" s="2">
        <f>IF(银币!AA142="","",银币!$B142*银币!AA142)</f>
        <v>70000</v>
      </c>
      <c r="AB141" s="2" t="str">
        <f>IF(银币!AB142="","",银币!$B142*银币!AB142)</f>
        <v/>
      </c>
      <c r="AC141" s="2" t="str">
        <f>IF(银币!AC142="","",银币!$B142*银币!AC142)</f>
        <v/>
      </c>
      <c r="AD141" s="2" t="str">
        <f>IF(银币!AD142="","",银币!$B142*银币!AD142)</f>
        <v/>
      </c>
      <c r="AE141" s="2" t="str">
        <f>IF(银币!AE142="","",银币!$B142*银币!AE142)</f>
        <v/>
      </c>
      <c r="AF141" s="2">
        <f>银币!AI142</f>
        <v>1540000</v>
      </c>
    </row>
    <row r="142" spans="1:32">
      <c r="A142" s="58">
        <v>141</v>
      </c>
      <c r="B142" s="96">
        <f>银币!B143</f>
        <v>141000</v>
      </c>
      <c r="C142" s="2">
        <f>IF(银币!C143="","",银币!$B143*银币!C143)</f>
        <v>564000</v>
      </c>
      <c r="D142" s="2">
        <f>IF(银币!D143="","",银币!$B143*银币!D143)</f>
        <v>232650</v>
      </c>
      <c r="E142" s="2">
        <f>IF(银币!E143="","",银币!$B143*银币!E143)</f>
        <v>70500</v>
      </c>
      <c r="F142" s="2">
        <f>IF(银币!F143="","",银币!$B143*银币!F143)</f>
        <v>141000</v>
      </c>
      <c r="G142" s="2" t="str">
        <f>IF(银币!G143="","",银币!$B143*银币!G143)</f>
        <v/>
      </c>
      <c r="H142" s="2" t="str">
        <f>IF(银币!H143="","",银币!$B143*银币!H143)</f>
        <v/>
      </c>
      <c r="I142" s="2" t="str">
        <f>IF(银币!I143="","",银币!$B143*银币!I143)</f>
        <v/>
      </c>
      <c r="J142" s="2" t="str">
        <f>IF(银币!J143="","",银币!$B143*银币!J143)</f>
        <v/>
      </c>
      <c r="K142" s="2">
        <f>IF(银币!K143="","",银币!$B143*银币!K143)</f>
        <v>141000</v>
      </c>
      <c r="L142" s="2">
        <f>IF(银币!L143="","",银币!$B143*银币!L143)</f>
        <v>141000</v>
      </c>
      <c r="M142" s="2" t="str">
        <f>IF(银币!M143="","",银币!$B143*银币!M143)</f>
        <v/>
      </c>
      <c r="N142" s="2" t="str">
        <f>IF(银币!N143="","",银币!$B143*银币!N143)</f>
        <v/>
      </c>
      <c r="O142" s="2" t="str">
        <f>IF(银币!O143="","",银币!$B143*银币!O143)</f>
        <v/>
      </c>
      <c r="P142" s="2">
        <f>IF(银币!P143="","",银币!$B143*银币!P143)</f>
        <v>70500</v>
      </c>
      <c r="Q142" s="2">
        <f>IF(银币!Q143="","",银币!$B143*银币!Q143)</f>
        <v>705000</v>
      </c>
      <c r="R142" s="2" t="str">
        <f>IF(银币!R143="","",银币!$B143*银币!R143)</f>
        <v/>
      </c>
      <c r="S142" s="2">
        <f>IF(银币!S143="","",银币!$B143*银币!S143)</f>
        <v>141000</v>
      </c>
      <c r="T142" s="2">
        <f>IF(银币!T143="","",银币!$B143*银币!T143)</f>
        <v>0</v>
      </c>
      <c r="U142" s="2">
        <f>IF(银币!U143="","",银币!$B143*银币!U143)</f>
        <v>141000</v>
      </c>
      <c r="V142" s="2">
        <f>IF(银币!V143="","",银币!$B143*银币!V143)</f>
        <v>211500</v>
      </c>
      <c r="W142" s="2">
        <f>IF(银币!W143="","",银币!$B143*银币!W143)</f>
        <v>141000</v>
      </c>
      <c r="X142" s="2">
        <f>IF(银币!X143="","",银币!$B143*银币!X143)</f>
        <v>141000</v>
      </c>
      <c r="Y142" s="2">
        <f>IF(银币!Y143="","",银币!$B143*银币!Y143)</f>
        <v>141000</v>
      </c>
      <c r="Z142" s="2">
        <f>IF(银币!Z143="","",银币!$B143*银币!Z143)</f>
        <v>423000</v>
      </c>
      <c r="AA142" s="2">
        <f>IF(银币!AA143="","",银币!$B143*银币!AA143)</f>
        <v>70500</v>
      </c>
      <c r="AB142" s="2" t="str">
        <f>IF(银币!AB143="","",银币!$B143*银币!AB143)</f>
        <v/>
      </c>
      <c r="AC142" s="2" t="str">
        <f>IF(银币!AC143="","",银币!$B143*银币!AC143)</f>
        <v/>
      </c>
      <c r="AD142" s="2" t="str">
        <f>IF(银币!AD143="","",银币!$B143*银币!AD143)</f>
        <v/>
      </c>
      <c r="AE142" s="2" t="str">
        <f>IF(银币!AE143="","",银币!$B143*银币!AE143)</f>
        <v/>
      </c>
      <c r="AF142" s="2">
        <f>银币!AI143</f>
        <v>1565100</v>
      </c>
    </row>
    <row r="143" spans="1:32">
      <c r="A143" s="58">
        <v>142</v>
      </c>
      <c r="B143" s="96">
        <f>银币!B144</f>
        <v>142000</v>
      </c>
      <c r="C143" s="2">
        <f>IF(银币!C144="","",银币!$B144*银币!C144)</f>
        <v>568000</v>
      </c>
      <c r="D143" s="2">
        <f>IF(银币!D144="","",银币!$B144*银币!D144)</f>
        <v>234300</v>
      </c>
      <c r="E143" s="2">
        <f>IF(银币!E144="","",银币!$B144*银币!E144)</f>
        <v>71000</v>
      </c>
      <c r="F143" s="2">
        <f>IF(银币!F144="","",银币!$B144*银币!F144)</f>
        <v>142000</v>
      </c>
      <c r="G143" s="2" t="str">
        <f>IF(银币!G144="","",银币!$B144*银币!G144)</f>
        <v/>
      </c>
      <c r="H143" s="2" t="str">
        <f>IF(银币!H144="","",银币!$B144*银币!H144)</f>
        <v/>
      </c>
      <c r="I143" s="2" t="str">
        <f>IF(银币!I144="","",银币!$B144*银币!I144)</f>
        <v/>
      </c>
      <c r="J143" s="2" t="str">
        <f>IF(银币!J144="","",银币!$B144*银币!J144)</f>
        <v/>
      </c>
      <c r="K143" s="2">
        <f>IF(银币!K144="","",银币!$B144*银币!K144)</f>
        <v>142000</v>
      </c>
      <c r="L143" s="2">
        <f>IF(银币!L144="","",银币!$B144*银币!L144)</f>
        <v>142000</v>
      </c>
      <c r="M143" s="2" t="str">
        <f>IF(银币!M144="","",银币!$B144*银币!M144)</f>
        <v/>
      </c>
      <c r="N143" s="2" t="str">
        <f>IF(银币!N144="","",银币!$B144*银币!N144)</f>
        <v/>
      </c>
      <c r="O143" s="2" t="str">
        <f>IF(银币!O144="","",银币!$B144*银币!O144)</f>
        <v/>
      </c>
      <c r="P143" s="2">
        <f>IF(银币!P144="","",银币!$B144*银币!P144)</f>
        <v>71000</v>
      </c>
      <c r="Q143" s="2">
        <f>IF(银币!Q144="","",银币!$B144*银币!Q144)</f>
        <v>710000</v>
      </c>
      <c r="R143" s="2" t="str">
        <f>IF(银币!R144="","",银币!$B144*银币!R144)</f>
        <v/>
      </c>
      <c r="S143" s="2">
        <f>IF(银币!S144="","",银币!$B144*银币!S144)</f>
        <v>142000</v>
      </c>
      <c r="T143" s="2">
        <f>IF(银币!T144="","",银币!$B144*银币!T144)</f>
        <v>0</v>
      </c>
      <c r="U143" s="2">
        <f>IF(银币!U144="","",银币!$B144*银币!U144)</f>
        <v>142000</v>
      </c>
      <c r="V143" s="2">
        <f>IF(银币!V144="","",银币!$B144*银币!V144)</f>
        <v>213000</v>
      </c>
      <c r="W143" s="2">
        <f>IF(银币!W144="","",银币!$B144*银币!W144)</f>
        <v>142000</v>
      </c>
      <c r="X143" s="2">
        <f>IF(银币!X144="","",银币!$B144*银币!X144)</f>
        <v>142000</v>
      </c>
      <c r="Y143" s="2">
        <f>IF(银币!Y144="","",银币!$B144*银币!Y144)</f>
        <v>142000</v>
      </c>
      <c r="Z143" s="2">
        <f>IF(银币!Z144="","",银币!$B144*银币!Z144)</f>
        <v>426000</v>
      </c>
      <c r="AA143" s="2">
        <f>IF(银币!AA144="","",银币!$B144*银币!AA144)</f>
        <v>71000</v>
      </c>
      <c r="AB143" s="2" t="str">
        <f>IF(银币!AB144="","",银币!$B144*银币!AB144)</f>
        <v/>
      </c>
      <c r="AC143" s="2" t="str">
        <f>IF(银币!AC144="","",银币!$B144*银币!AC144)</f>
        <v/>
      </c>
      <c r="AD143" s="2" t="str">
        <f>IF(银币!AD144="","",银币!$B144*银币!AD144)</f>
        <v/>
      </c>
      <c r="AE143" s="2" t="str">
        <f>IF(银币!AE144="","",银币!$B144*银币!AE144)</f>
        <v/>
      </c>
      <c r="AF143" s="2">
        <f>银币!AI144</f>
        <v>1590400</v>
      </c>
    </row>
    <row r="144" spans="1:32">
      <c r="A144" s="58">
        <v>143</v>
      </c>
      <c r="B144" s="96">
        <f>银币!B145</f>
        <v>143000</v>
      </c>
      <c r="C144" s="2">
        <f>IF(银币!C145="","",银币!$B145*银币!C145)</f>
        <v>572000</v>
      </c>
      <c r="D144" s="2">
        <f>IF(银币!D145="","",银币!$B145*银币!D145)</f>
        <v>235950</v>
      </c>
      <c r="E144" s="2">
        <f>IF(银币!E145="","",银币!$B145*银币!E145)</f>
        <v>71500</v>
      </c>
      <c r="F144" s="2">
        <f>IF(银币!F145="","",银币!$B145*银币!F145)</f>
        <v>143000</v>
      </c>
      <c r="G144" s="2" t="str">
        <f>IF(银币!G145="","",银币!$B145*银币!G145)</f>
        <v/>
      </c>
      <c r="H144" s="2" t="str">
        <f>IF(银币!H145="","",银币!$B145*银币!H145)</f>
        <v/>
      </c>
      <c r="I144" s="2" t="str">
        <f>IF(银币!I145="","",银币!$B145*银币!I145)</f>
        <v/>
      </c>
      <c r="J144" s="2" t="str">
        <f>IF(银币!J145="","",银币!$B145*银币!J145)</f>
        <v/>
      </c>
      <c r="K144" s="2">
        <f>IF(银币!K145="","",银币!$B145*银币!K145)</f>
        <v>143000</v>
      </c>
      <c r="L144" s="2">
        <f>IF(银币!L145="","",银币!$B145*银币!L145)</f>
        <v>143000</v>
      </c>
      <c r="M144" s="2" t="str">
        <f>IF(银币!M145="","",银币!$B145*银币!M145)</f>
        <v/>
      </c>
      <c r="N144" s="2" t="str">
        <f>IF(银币!N145="","",银币!$B145*银币!N145)</f>
        <v/>
      </c>
      <c r="O144" s="2" t="str">
        <f>IF(银币!O145="","",银币!$B145*银币!O145)</f>
        <v/>
      </c>
      <c r="P144" s="2">
        <f>IF(银币!P145="","",银币!$B145*银币!P145)</f>
        <v>71500</v>
      </c>
      <c r="Q144" s="2">
        <f>IF(银币!Q145="","",银币!$B145*银币!Q145)</f>
        <v>715000</v>
      </c>
      <c r="R144" s="2" t="str">
        <f>IF(银币!R145="","",银币!$B145*银币!R145)</f>
        <v/>
      </c>
      <c r="S144" s="2">
        <f>IF(银币!S145="","",银币!$B145*银币!S145)</f>
        <v>143000</v>
      </c>
      <c r="T144" s="2">
        <f>IF(银币!T145="","",银币!$B145*银币!T145)</f>
        <v>0</v>
      </c>
      <c r="U144" s="2">
        <f>IF(银币!U145="","",银币!$B145*银币!U145)</f>
        <v>143000</v>
      </c>
      <c r="V144" s="2">
        <f>IF(银币!V145="","",银币!$B145*银币!V145)</f>
        <v>214500</v>
      </c>
      <c r="W144" s="2">
        <f>IF(银币!W145="","",银币!$B145*银币!W145)</f>
        <v>143000</v>
      </c>
      <c r="X144" s="2">
        <f>IF(银币!X145="","",银币!$B145*银币!X145)</f>
        <v>143000</v>
      </c>
      <c r="Y144" s="2">
        <f>IF(银币!Y145="","",银币!$B145*银币!Y145)</f>
        <v>143000</v>
      </c>
      <c r="Z144" s="2">
        <f>IF(银币!Z145="","",银币!$B145*银币!Z145)</f>
        <v>429000</v>
      </c>
      <c r="AA144" s="2">
        <f>IF(银币!AA145="","",银币!$B145*银币!AA145)</f>
        <v>71500</v>
      </c>
      <c r="AB144" s="2" t="str">
        <f>IF(银币!AB145="","",银币!$B145*银币!AB145)</f>
        <v/>
      </c>
      <c r="AC144" s="2" t="str">
        <f>IF(银币!AC145="","",银币!$B145*银币!AC145)</f>
        <v/>
      </c>
      <c r="AD144" s="2" t="str">
        <f>IF(银币!AD145="","",银币!$B145*银币!AD145)</f>
        <v/>
      </c>
      <c r="AE144" s="2" t="str">
        <f>IF(银币!AE145="","",银币!$B145*银币!AE145)</f>
        <v/>
      </c>
      <c r="AF144" s="2">
        <f>银币!AI145</f>
        <v>1615900</v>
      </c>
    </row>
    <row r="145" spans="1:32">
      <c r="A145" s="58">
        <v>144</v>
      </c>
      <c r="B145" s="96">
        <f>银币!B146</f>
        <v>144000</v>
      </c>
      <c r="C145" s="2">
        <f>IF(银币!C146="","",银币!$B146*银币!C146)</f>
        <v>576000</v>
      </c>
      <c r="D145" s="2">
        <f>IF(银币!D146="","",银币!$B146*银币!D146)</f>
        <v>237600</v>
      </c>
      <c r="E145" s="2">
        <f>IF(银币!E146="","",银币!$B146*银币!E146)</f>
        <v>72000</v>
      </c>
      <c r="F145" s="2">
        <f>IF(银币!F146="","",银币!$B146*银币!F146)</f>
        <v>144000</v>
      </c>
      <c r="G145" s="2" t="str">
        <f>IF(银币!G146="","",银币!$B146*银币!G146)</f>
        <v/>
      </c>
      <c r="H145" s="2" t="str">
        <f>IF(银币!H146="","",银币!$B146*银币!H146)</f>
        <v/>
      </c>
      <c r="I145" s="2" t="str">
        <f>IF(银币!I146="","",银币!$B146*银币!I146)</f>
        <v/>
      </c>
      <c r="J145" s="2" t="str">
        <f>IF(银币!J146="","",银币!$B146*银币!J146)</f>
        <v/>
      </c>
      <c r="K145" s="2">
        <f>IF(银币!K146="","",银币!$B146*银币!K146)</f>
        <v>144000</v>
      </c>
      <c r="L145" s="2">
        <f>IF(银币!L146="","",银币!$B146*银币!L146)</f>
        <v>144000</v>
      </c>
      <c r="M145" s="2" t="str">
        <f>IF(银币!M146="","",银币!$B146*银币!M146)</f>
        <v/>
      </c>
      <c r="N145" s="2" t="str">
        <f>IF(银币!N146="","",银币!$B146*银币!N146)</f>
        <v/>
      </c>
      <c r="O145" s="2" t="str">
        <f>IF(银币!O146="","",银币!$B146*银币!O146)</f>
        <v/>
      </c>
      <c r="P145" s="2">
        <f>IF(银币!P146="","",银币!$B146*银币!P146)</f>
        <v>72000</v>
      </c>
      <c r="Q145" s="2">
        <f>IF(银币!Q146="","",银币!$B146*银币!Q146)</f>
        <v>720000</v>
      </c>
      <c r="R145" s="2" t="str">
        <f>IF(银币!R146="","",银币!$B146*银币!R146)</f>
        <v/>
      </c>
      <c r="S145" s="2">
        <f>IF(银币!S146="","",银币!$B146*银币!S146)</f>
        <v>144000</v>
      </c>
      <c r="T145" s="2">
        <f>IF(银币!T146="","",银币!$B146*银币!T146)</f>
        <v>0</v>
      </c>
      <c r="U145" s="2">
        <f>IF(银币!U146="","",银币!$B146*银币!U146)</f>
        <v>144000</v>
      </c>
      <c r="V145" s="2">
        <f>IF(银币!V146="","",银币!$B146*银币!V146)</f>
        <v>216000</v>
      </c>
      <c r="W145" s="2">
        <f>IF(银币!W146="","",银币!$B146*银币!W146)</f>
        <v>144000</v>
      </c>
      <c r="X145" s="2">
        <f>IF(银币!X146="","",银币!$B146*银币!X146)</f>
        <v>144000</v>
      </c>
      <c r="Y145" s="2">
        <f>IF(银币!Y146="","",银币!$B146*银币!Y146)</f>
        <v>144000</v>
      </c>
      <c r="Z145" s="2">
        <f>IF(银币!Z146="","",银币!$B146*银币!Z146)</f>
        <v>432000</v>
      </c>
      <c r="AA145" s="2">
        <f>IF(银币!AA146="","",银币!$B146*银币!AA146)</f>
        <v>72000</v>
      </c>
      <c r="AB145" s="2" t="str">
        <f>IF(银币!AB146="","",银币!$B146*银币!AB146)</f>
        <v/>
      </c>
      <c r="AC145" s="2" t="str">
        <f>IF(银币!AC146="","",银币!$B146*银币!AC146)</f>
        <v/>
      </c>
      <c r="AD145" s="2" t="str">
        <f>IF(银币!AD146="","",银币!$B146*银币!AD146)</f>
        <v/>
      </c>
      <c r="AE145" s="2" t="str">
        <f>IF(银币!AE146="","",银币!$B146*银币!AE146)</f>
        <v/>
      </c>
      <c r="AF145" s="2">
        <f>银币!AI146</f>
        <v>1641600</v>
      </c>
    </row>
    <row r="146" spans="1:32">
      <c r="A146" s="58">
        <v>145</v>
      </c>
      <c r="B146" s="96">
        <f>银币!B147</f>
        <v>145000</v>
      </c>
      <c r="C146" s="2">
        <f>IF(银币!C147="","",银币!$B147*银币!C147)</f>
        <v>580000</v>
      </c>
      <c r="D146" s="2">
        <f>IF(银币!D147="","",银币!$B147*银币!D147)</f>
        <v>239250</v>
      </c>
      <c r="E146" s="2">
        <f>IF(银币!E147="","",银币!$B147*银币!E147)</f>
        <v>72500</v>
      </c>
      <c r="F146" s="2">
        <f>IF(银币!F147="","",银币!$B147*银币!F147)</f>
        <v>145000</v>
      </c>
      <c r="G146" s="2" t="str">
        <f>IF(银币!G147="","",银币!$B147*银币!G147)</f>
        <v/>
      </c>
      <c r="H146" s="2" t="str">
        <f>IF(银币!H147="","",银币!$B147*银币!H147)</f>
        <v/>
      </c>
      <c r="I146" s="2" t="str">
        <f>IF(银币!I147="","",银币!$B147*银币!I147)</f>
        <v/>
      </c>
      <c r="J146" s="2" t="str">
        <f>IF(银币!J147="","",银币!$B147*银币!J147)</f>
        <v/>
      </c>
      <c r="K146" s="2">
        <f>IF(银币!K147="","",银币!$B147*银币!K147)</f>
        <v>145000</v>
      </c>
      <c r="L146" s="2">
        <f>IF(银币!L147="","",银币!$B147*银币!L147)</f>
        <v>145000</v>
      </c>
      <c r="M146" s="2" t="str">
        <f>IF(银币!M147="","",银币!$B147*银币!M147)</f>
        <v/>
      </c>
      <c r="N146" s="2" t="str">
        <f>IF(银币!N147="","",银币!$B147*银币!N147)</f>
        <v/>
      </c>
      <c r="O146" s="2" t="str">
        <f>IF(银币!O147="","",银币!$B147*银币!O147)</f>
        <v/>
      </c>
      <c r="P146" s="2">
        <f>IF(银币!P147="","",银币!$B147*银币!P147)</f>
        <v>72500</v>
      </c>
      <c r="Q146" s="2">
        <f>IF(银币!Q147="","",银币!$B147*银币!Q147)</f>
        <v>725000</v>
      </c>
      <c r="R146" s="2" t="str">
        <f>IF(银币!R147="","",银币!$B147*银币!R147)</f>
        <v/>
      </c>
      <c r="S146" s="2">
        <f>IF(银币!S147="","",银币!$B147*银币!S147)</f>
        <v>145000</v>
      </c>
      <c r="T146" s="2">
        <f>IF(银币!T147="","",银币!$B147*银币!T147)</f>
        <v>0</v>
      </c>
      <c r="U146" s="2">
        <f>IF(银币!U147="","",银币!$B147*银币!U147)</f>
        <v>145000</v>
      </c>
      <c r="V146" s="2">
        <f>IF(银币!V147="","",银币!$B147*银币!V147)</f>
        <v>217500</v>
      </c>
      <c r="W146" s="2">
        <f>IF(银币!W147="","",银币!$B147*银币!W147)</f>
        <v>145000</v>
      </c>
      <c r="X146" s="2">
        <f>IF(银币!X147="","",银币!$B147*银币!X147)</f>
        <v>145000</v>
      </c>
      <c r="Y146" s="2">
        <f>IF(银币!Y147="","",银币!$B147*银币!Y147)</f>
        <v>145000</v>
      </c>
      <c r="Z146" s="2">
        <f>IF(银币!Z147="","",银币!$B147*银币!Z147)</f>
        <v>435000</v>
      </c>
      <c r="AA146" s="2">
        <f>IF(银币!AA147="","",银币!$B147*银币!AA147)</f>
        <v>72500</v>
      </c>
      <c r="AB146" s="2" t="str">
        <f>IF(银币!AB147="","",银币!$B147*银币!AB147)</f>
        <v/>
      </c>
      <c r="AC146" s="2" t="str">
        <f>IF(银币!AC147="","",银币!$B147*银币!AC147)</f>
        <v/>
      </c>
      <c r="AD146" s="2" t="str">
        <f>IF(银币!AD147="","",银币!$B147*银币!AD147)</f>
        <v/>
      </c>
      <c r="AE146" s="2" t="str">
        <f>IF(银币!AE147="","",银币!$B147*银币!AE147)</f>
        <v/>
      </c>
      <c r="AF146" s="2">
        <f>银币!AI147</f>
        <v>1667500</v>
      </c>
    </row>
    <row r="147" spans="1:32">
      <c r="A147" s="58">
        <v>146</v>
      </c>
      <c r="B147" s="96">
        <f>银币!B148</f>
        <v>146000</v>
      </c>
      <c r="C147" s="2">
        <f>IF(银币!C148="","",银币!$B148*银币!C148)</f>
        <v>584000</v>
      </c>
      <c r="D147" s="2">
        <f>IF(银币!D148="","",银币!$B148*银币!D148)</f>
        <v>240900</v>
      </c>
      <c r="E147" s="2">
        <f>IF(银币!E148="","",银币!$B148*银币!E148)</f>
        <v>73000</v>
      </c>
      <c r="F147" s="2">
        <f>IF(银币!F148="","",银币!$B148*银币!F148)</f>
        <v>146000</v>
      </c>
      <c r="G147" s="2" t="str">
        <f>IF(银币!G148="","",银币!$B148*银币!G148)</f>
        <v/>
      </c>
      <c r="H147" s="2" t="str">
        <f>IF(银币!H148="","",银币!$B148*银币!H148)</f>
        <v/>
      </c>
      <c r="I147" s="2" t="str">
        <f>IF(银币!I148="","",银币!$B148*银币!I148)</f>
        <v/>
      </c>
      <c r="J147" s="2" t="str">
        <f>IF(银币!J148="","",银币!$B148*银币!J148)</f>
        <v/>
      </c>
      <c r="K147" s="2">
        <f>IF(银币!K148="","",银币!$B148*银币!K148)</f>
        <v>146000</v>
      </c>
      <c r="L147" s="2">
        <f>IF(银币!L148="","",银币!$B148*银币!L148)</f>
        <v>146000</v>
      </c>
      <c r="M147" s="2" t="str">
        <f>IF(银币!M148="","",银币!$B148*银币!M148)</f>
        <v/>
      </c>
      <c r="N147" s="2" t="str">
        <f>IF(银币!N148="","",银币!$B148*银币!N148)</f>
        <v/>
      </c>
      <c r="O147" s="2" t="str">
        <f>IF(银币!O148="","",银币!$B148*银币!O148)</f>
        <v/>
      </c>
      <c r="P147" s="2">
        <f>IF(银币!P148="","",银币!$B148*银币!P148)</f>
        <v>73000</v>
      </c>
      <c r="Q147" s="2">
        <f>IF(银币!Q148="","",银币!$B148*银币!Q148)</f>
        <v>730000</v>
      </c>
      <c r="R147" s="2" t="str">
        <f>IF(银币!R148="","",银币!$B148*银币!R148)</f>
        <v/>
      </c>
      <c r="S147" s="2">
        <f>IF(银币!S148="","",银币!$B148*银币!S148)</f>
        <v>146000</v>
      </c>
      <c r="T147" s="2">
        <f>IF(银币!T148="","",银币!$B148*银币!T148)</f>
        <v>0</v>
      </c>
      <c r="U147" s="2">
        <f>IF(银币!U148="","",银币!$B148*银币!U148)</f>
        <v>146000</v>
      </c>
      <c r="V147" s="2">
        <f>IF(银币!V148="","",银币!$B148*银币!V148)</f>
        <v>219000</v>
      </c>
      <c r="W147" s="2">
        <f>IF(银币!W148="","",银币!$B148*银币!W148)</f>
        <v>146000</v>
      </c>
      <c r="X147" s="2">
        <f>IF(银币!X148="","",银币!$B148*银币!X148)</f>
        <v>146000</v>
      </c>
      <c r="Y147" s="2">
        <f>IF(银币!Y148="","",银币!$B148*银币!Y148)</f>
        <v>146000</v>
      </c>
      <c r="Z147" s="2">
        <f>IF(银币!Z148="","",银币!$B148*银币!Z148)</f>
        <v>438000</v>
      </c>
      <c r="AA147" s="2">
        <f>IF(银币!AA148="","",银币!$B148*银币!AA148)</f>
        <v>73000</v>
      </c>
      <c r="AB147" s="2" t="str">
        <f>IF(银币!AB148="","",银币!$B148*银币!AB148)</f>
        <v/>
      </c>
      <c r="AC147" s="2" t="str">
        <f>IF(银币!AC148="","",银币!$B148*银币!AC148)</f>
        <v/>
      </c>
      <c r="AD147" s="2" t="str">
        <f>IF(银币!AD148="","",银币!$B148*银币!AD148)</f>
        <v/>
      </c>
      <c r="AE147" s="2" t="str">
        <f>IF(银币!AE148="","",银币!$B148*银币!AE148)</f>
        <v/>
      </c>
      <c r="AF147" s="2">
        <f>银币!AI148</f>
        <v>1693600</v>
      </c>
    </row>
    <row r="148" spans="1:32">
      <c r="A148" s="58">
        <v>147</v>
      </c>
      <c r="B148" s="96">
        <f>银币!B149</f>
        <v>147000</v>
      </c>
      <c r="C148" s="2">
        <f>IF(银币!C149="","",银币!$B149*银币!C149)</f>
        <v>588000</v>
      </c>
      <c r="D148" s="2">
        <f>IF(银币!D149="","",银币!$B149*银币!D149)</f>
        <v>242550</v>
      </c>
      <c r="E148" s="2">
        <f>IF(银币!E149="","",银币!$B149*银币!E149)</f>
        <v>73500</v>
      </c>
      <c r="F148" s="2">
        <f>IF(银币!F149="","",银币!$B149*银币!F149)</f>
        <v>147000</v>
      </c>
      <c r="G148" s="2" t="str">
        <f>IF(银币!G149="","",银币!$B149*银币!G149)</f>
        <v/>
      </c>
      <c r="H148" s="2" t="str">
        <f>IF(银币!H149="","",银币!$B149*银币!H149)</f>
        <v/>
      </c>
      <c r="I148" s="2" t="str">
        <f>IF(银币!I149="","",银币!$B149*银币!I149)</f>
        <v/>
      </c>
      <c r="J148" s="2" t="str">
        <f>IF(银币!J149="","",银币!$B149*银币!J149)</f>
        <v/>
      </c>
      <c r="K148" s="2">
        <f>IF(银币!K149="","",银币!$B149*银币!K149)</f>
        <v>147000</v>
      </c>
      <c r="L148" s="2">
        <f>IF(银币!L149="","",银币!$B149*银币!L149)</f>
        <v>147000</v>
      </c>
      <c r="M148" s="2" t="str">
        <f>IF(银币!M149="","",银币!$B149*银币!M149)</f>
        <v/>
      </c>
      <c r="N148" s="2" t="str">
        <f>IF(银币!N149="","",银币!$B149*银币!N149)</f>
        <v/>
      </c>
      <c r="O148" s="2" t="str">
        <f>IF(银币!O149="","",银币!$B149*银币!O149)</f>
        <v/>
      </c>
      <c r="P148" s="2">
        <f>IF(银币!P149="","",银币!$B149*银币!P149)</f>
        <v>73500</v>
      </c>
      <c r="Q148" s="2">
        <f>IF(银币!Q149="","",银币!$B149*银币!Q149)</f>
        <v>735000</v>
      </c>
      <c r="R148" s="2" t="str">
        <f>IF(银币!R149="","",银币!$B149*银币!R149)</f>
        <v/>
      </c>
      <c r="S148" s="2">
        <f>IF(银币!S149="","",银币!$B149*银币!S149)</f>
        <v>147000</v>
      </c>
      <c r="T148" s="2">
        <f>IF(银币!T149="","",银币!$B149*银币!T149)</f>
        <v>0</v>
      </c>
      <c r="U148" s="2">
        <f>IF(银币!U149="","",银币!$B149*银币!U149)</f>
        <v>147000</v>
      </c>
      <c r="V148" s="2">
        <f>IF(银币!V149="","",银币!$B149*银币!V149)</f>
        <v>220500</v>
      </c>
      <c r="W148" s="2">
        <f>IF(银币!W149="","",银币!$B149*银币!W149)</f>
        <v>147000</v>
      </c>
      <c r="X148" s="2">
        <f>IF(银币!X149="","",银币!$B149*银币!X149)</f>
        <v>147000</v>
      </c>
      <c r="Y148" s="2">
        <f>IF(银币!Y149="","",银币!$B149*银币!Y149)</f>
        <v>147000</v>
      </c>
      <c r="Z148" s="2">
        <f>IF(银币!Z149="","",银币!$B149*银币!Z149)</f>
        <v>441000</v>
      </c>
      <c r="AA148" s="2">
        <f>IF(银币!AA149="","",银币!$B149*银币!AA149)</f>
        <v>73500</v>
      </c>
      <c r="AB148" s="2" t="str">
        <f>IF(银币!AB149="","",银币!$B149*银币!AB149)</f>
        <v/>
      </c>
      <c r="AC148" s="2" t="str">
        <f>IF(银币!AC149="","",银币!$B149*银币!AC149)</f>
        <v/>
      </c>
      <c r="AD148" s="2" t="str">
        <f>IF(银币!AD149="","",银币!$B149*银币!AD149)</f>
        <v/>
      </c>
      <c r="AE148" s="2" t="str">
        <f>IF(银币!AE149="","",银币!$B149*银币!AE149)</f>
        <v/>
      </c>
      <c r="AF148" s="2">
        <f>银币!AI149</f>
        <v>1719900</v>
      </c>
    </row>
    <row r="149" spans="1:32">
      <c r="A149" s="58">
        <v>148</v>
      </c>
      <c r="B149" s="96">
        <f>银币!B150</f>
        <v>148000</v>
      </c>
      <c r="C149" s="2">
        <f>IF(银币!C150="","",银币!$B150*银币!C150)</f>
        <v>592000</v>
      </c>
      <c r="D149" s="2">
        <f>IF(银币!D150="","",银币!$B150*银币!D150)</f>
        <v>244200</v>
      </c>
      <c r="E149" s="2">
        <f>IF(银币!E150="","",银币!$B150*银币!E150)</f>
        <v>74000</v>
      </c>
      <c r="F149" s="2">
        <f>IF(银币!F150="","",银币!$B150*银币!F150)</f>
        <v>148000</v>
      </c>
      <c r="G149" s="2" t="str">
        <f>IF(银币!G150="","",银币!$B150*银币!G150)</f>
        <v/>
      </c>
      <c r="H149" s="2" t="str">
        <f>IF(银币!H150="","",银币!$B150*银币!H150)</f>
        <v/>
      </c>
      <c r="I149" s="2" t="str">
        <f>IF(银币!I150="","",银币!$B150*银币!I150)</f>
        <v/>
      </c>
      <c r="J149" s="2" t="str">
        <f>IF(银币!J150="","",银币!$B150*银币!J150)</f>
        <v/>
      </c>
      <c r="K149" s="2">
        <f>IF(银币!K150="","",银币!$B150*银币!K150)</f>
        <v>148000</v>
      </c>
      <c r="L149" s="2">
        <f>IF(银币!L150="","",银币!$B150*银币!L150)</f>
        <v>148000</v>
      </c>
      <c r="M149" s="2" t="str">
        <f>IF(银币!M150="","",银币!$B150*银币!M150)</f>
        <v/>
      </c>
      <c r="N149" s="2" t="str">
        <f>IF(银币!N150="","",银币!$B150*银币!N150)</f>
        <v/>
      </c>
      <c r="O149" s="2" t="str">
        <f>IF(银币!O150="","",银币!$B150*银币!O150)</f>
        <v/>
      </c>
      <c r="P149" s="2">
        <f>IF(银币!P150="","",银币!$B150*银币!P150)</f>
        <v>74000</v>
      </c>
      <c r="Q149" s="2">
        <f>IF(银币!Q150="","",银币!$B150*银币!Q150)</f>
        <v>740000</v>
      </c>
      <c r="R149" s="2" t="str">
        <f>IF(银币!R150="","",银币!$B150*银币!R150)</f>
        <v/>
      </c>
      <c r="S149" s="2">
        <f>IF(银币!S150="","",银币!$B150*银币!S150)</f>
        <v>148000</v>
      </c>
      <c r="T149" s="2">
        <f>IF(银币!T150="","",银币!$B150*银币!T150)</f>
        <v>0</v>
      </c>
      <c r="U149" s="2">
        <f>IF(银币!U150="","",银币!$B150*银币!U150)</f>
        <v>148000</v>
      </c>
      <c r="V149" s="2">
        <f>IF(银币!V150="","",银币!$B150*银币!V150)</f>
        <v>222000</v>
      </c>
      <c r="W149" s="2">
        <f>IF(银币!W150="","",银币!$B150*银币!W150)</f>
        <v>148000</v>
      </c>
      <c r="X149" s="2">
        <f>IF(银币!X150="","",银币!$B150*银币!X150)</f>
        <v>148000</v>
      </c>
      <c r="Y149" s="2">
        <f>IF(银币!Y150="","",银币!$B150*银币!Y150)</f>
        <v>148000</v>
      </c>
      <c r="Z149" s="2">
        <f>IF(银币!Z150="","",银币!$B150*银币!Z150)</f>
        <v>444000</v>
      </c>
      <c r="AA149" s="2">
        <f>IF(银币!AA150="","",银币!$B150*银币!AA150)</f>
        <v>74000</v>
      </c>
      <c r="AB149" s="2" t="str">
        <f>IF(银币!AB150="","",银币!$B150*银币!AB150)</f>
        <v/>
      </c>
      <c r="AC149" s="2" t="str">
        <f>IF(银币!AC150="","",银币!$B150*银币!AC150)</f>
        <v/>
      </c>
      <c r="AD149" s="2" t="str">
        <f>IF(银币!AD150="","",银币!$B150*银币!AD150)</f>
        <v/>
      </c>
      <c r="AE149" s="2" t="str">
        <f>IF(银币!AE150="","",银币!$B150*银币!AE150)</f>
        <v/>
      </c>
      <c r="AF149" s="2">
        <f>银币!AI150</f>
        <v>1746400</v>
      </c>
    </row>
    <row r="150" spans="1:32">
      <c r="A150" s="58">
        <v>149</v>
      </c>
      <c r="B150" s="96">
        <f>银币!B151</f>
        <v>149000</v>
      </c>
      <c r="C150" s="2">
        <f>IF(银币!C151="","",银币!$B151*银币!C151)</f>
        <v>596000</v>
      </c>
      <c r="D150" s="2">
        <f>IF(银币!D151="","",银币!$B151*银币!D151)</f>
        <v>245850</v>
      </c>
      <c r="E150" s="2">
        <f>IF(银币!E151="","",银币!$B151*银币!E151)</f>
        <v>74500</v>
      </c>
      <c r="F150" s="2">
        <f>IF(银币!F151="","",银币!$B151*银币!F151)</f>
        <v>149000</v>
      </c>
      <c r="G150" s="2" t="str">
        <f>IF(银币!G151="","",银币!$B151*银币!G151)</f>
        <v/>
      </c>
      <c r="H150" s="2" t="str">
        <f>IF(银币!H151="","",银币!$B151*银币!H151)</f>
        <v/>
      </c>
      <c r="I150" s="2" t="str">
        <f>IF(银币!I151="","",银币!$B151*银币!I151)</f>
        <v/>
      </c>
      <c r="J150" s="2" t="str">
        <f>IF(银币!J151="","",银币!$B151*银币!J151)</f>
        <v/>
      </c>
      <c r="K150" s="2">
        <f>IF(银币!K151="","",银币!$B151*银币!K151)</f>
        <v>149000</v>
      </c>
      <c r="L150" s="2">
        <f>IF(银币!L151="","",银币!$B151*银币!L151)</f>
        <v>149000</v>
      </c>
      <c r="M150" s="2" t="str">
        <f>IF(银币!M151="","",银币!$B151*银币!M151)</f>
        <v/>
      </c>
      <c r="N150" s="2" t="str">
        <f>IF(银币!N151="","",银币!$B151*银币!N151)</f>
        <v/>
      </c>
      <c r="O150" s="2" t="str">
        <f>IF(银币!O151="","",银币!$B151*银币!O151)</f>
        <v/>
      </c>
      <c r="P150" s="2">
        <f>IF(银币!P151="","",银币!$B151*银币!P151)</f>
        <v>74500</v>
      </c>
      <c r="Q150" s="2">
        <f>IF(银币!Q151="","",银币!$B151*银币!Q151)</f>
        <v>745000</v>
      </c>
      <c r="R150" s="2" t="str">
        <f>IF(银币!R151="","",银币!$B151*银币!R151)</f>
        <v/>
      </c>
      <c r="S150" s="2">
        <f>IF(银币!S151="","",银币!$B151*银币!S151)</f>
        <v>149000</v>
      </c>
      <c r="T150" s="2">
        <f>IF(银币!T151="","",银币!$B151*银币!T151)</f>
        <v>0</v>
      </c>
      <c r="U150" s="2">
        <f>IF(银币!U151="","",银币!$B151*银币!U151)</f>
        <v>149000</v>
      </c>
      <c r="V150" s="2">
        <f>IF(银币!V151="","",银币!$B151*银币!V151)</f>
        <v>223500</v>
      </c>
      <c r="W150" s="2">
        <f>IF(银币!W151="","",银币!$B151*银币!W151)</f>
        <v>149000</v>
      </c>
      <c r="X150" s="2">
        <f>IF(银币!X151="","",银币!$B151*银币!X151)</f>
        <v>149000</v>
      </c>
      <c r="Y150" s="2">
        <f>IF(银币!Y151="","",银币!$B151*银币!Y151)</f>
        <v>149000</v>
      </c>
      <c r="Z150" s="2">
        <f>IF(银币!Z151="","",银币!$B151*银币!Z151)</f>
        <v>447000</v>
      </c>
      <c r="AA150" s="2">
        <f>IF(银币!AA151="","",银币!$B151*银币!AA151)</f>
        <v>74500</v>
      </c>
      <c r="AB150" s="2" t="str">
        <f>IF(银币!AB151="","",银币!$B151*银币!AB151)</f>
        <v/>
      </c>
      <c r="AC150" s="2" t="str">
        <f>IF(银币!AC151="","",银币!$B151*银币!AC151)</f>
        <v/>
      </c>
      <c r="AD150" s="2" t="str">
        <f>IF(银币!AD151="","",银币!$B151*银币!AD151)</f>
        <v/>
      </c>
      <c r="AE150" s="2" t="str">
        <f>IF(银币!AE151="","",银币!$B151*银币!AE151)</f>
        <v/>
      </c>
      <c r="AF150" s="2">
        <f>银币!AI151</f>
        <v>1773100</v>
      </c>
    </row>
    <row r="151" spans="1:32">
      <c r="A151" s="58">
        <v>150</v>
      </c>
      <c r="B151" s="96">
        <f>银币!B152</f>
        <v>150000</v>
      </c>
      <c r="C151" s="2">
        <f>IF(银币!C152="","",银币!$B152*银币!C152)</f>
        <v>600000</v>
      </c>
      <c r="D151" s="2">
        <f>IF(银币!D152="","",银币!$B152*银币!D152)</f>
        <v>247500</v>
      </c>
      <c r="E151" s="2">
        <f>IF(银币!E152="","",银币!$B152*银币!E152)</f>
        <v>75000</v>
      </c>
      <c r="F151" s="2">
        <f>IF(银币!F152="","",银币!$B152*银币!F152)</f>
        <v>150000</v>
      </c>
      <c r="G151" s="2" t="str">
        <f>IF(银币!G152="","",银币!$B152*银币!G152)</f>
        <v/>
      </c>
      <c r="H151" s="2" t="str">
        <f>IF(银币!H152="","",银币!$B152*银币!H152)</f>
        <v/>
      </c>
      <c r="I151" s="2" t="str">
        <f>IF(银币!I152="","",银币!$B152*银币!I152)</f>
        <v/>
      </c>
      <c r="J151" s="2" t="str">
        <f>IF(银币!J152="","",银币!$B152*银币!J152)</f>
        <v/>
      </c>
      <c r="K151" s="2">
        <f>IF(银币!K152="","",银币!$B152*银币!K152)</f>
        <v>150000</v>
      </c>
      <c r="L151" s="2">
        <f>IF(银币!L152="","",银币!$B152*银币!L152)</f>
        <v>150000</v>
      </c>
      <c r="M151" s="2" t="str">
        <f>IF(银币!M152="","",银币!$B152*银币!M152)</f>
        <v/>
      </c>
      <c r="N151" s="2" t="str">
        <f>IF(银币!N152="","",银币!$B152*银币!N152)</f>
        <v/>
      </c>
      <c r="O151" s="2" t="str">
        <f>IF(银币!O152="","",银币!$B152*银币!O152)</f>
        <v/>
      </c>
      <c r="P151" s="2">
        <f>IF(银币!P152="","",银币!$B152*银币!P152)</f>
        <v>75000</v>
      </c>
      <c r="Q151" s="2">
        <f>IF(银币!Q152="","",银币!$B152*银币!Q152)</f>
        <v>750000</v>
      </c>
      <c r="R151" s="2" t="str">
        <f>IF(银币!R152="","",银币!$B152*银币!R152)</f>
        <v/>
      </c>
      <c r="S151" s="2">
        <f>IF(银币!S152="","",银币!$B152*银币!S152)</f>
        <v>150000</v>
      </c>
      <c r="T151" s="2">
        <f>IF(银币!T152="","",银币!$B152*银币!T152)</f>
        <v>0</v>
      </c>
      <c r="U151" s="2">
        <f>IF(银币!U152="","",银币!$B152*银币!U152)</f>
        <v>150000</v>
      </c>
      <c r="V151" s="2">
        <f>IF(银币!V152="","",银币!$B152*银币!V152)</f>
        <v>225000</v>
      </c>
      <c r="W151" s="2">
        <f>IF(银币!W152="","",银币!$B152*银币!W152)</f>
        <v>150000</v>
      </c>
      <c r="X151" s="2">
        <f>IF(银币!X152="","",银币!$B152*银币!X152)</f>
        <v>150000</v>
      </c>
      <c r="Y151" s="2">
        <f>IF(银币!Y152="","",银币!$B152*银币!Y152)</f>
        <v>150000</v>
      </c>
      <c r="Z151" s="2">
        <f>IF(银币!Z152="","",银币!$B152*银币!Z152)</f>
        <v>450000</v>
      </c>
      <c r="AA151" s="2">
        <f>IF(银币!AA152="","",银币!$B152*银币!AA152)</f>
        <v>75000</v>
      </c>
      <c r="AB151" s="2" t="str">
        <f>IF(银币!AB152="","",银币!$B152*银币!AB152)</f>
        <v/>
      </c>
      <c r="AC151" s="2" t="str">
        <f>IF(银币!AC152="","",银币!$B152*银币!AC152)</f>
        <v/>
      </c>
      <c r="AD151" s="2" t="str">
        <f>IF(银币!AD152="","",银币!$B152*银币!AD152)</f>
        <v/>
      </c>
      <c r="AE151" s="2" t="str">
        <f>IF(银币!AE152="","",银币!$B152*银币!AE152)</f>
        <v/>
      </c>
      <c r="AF151" s="2">
        <f>银币!AI152</f>
        <v>1800000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topLeftCell="A34" workbookViewId="0">
      <selection activeCell="M13" sqref="M13"/>
    </sheetView>
  </sheetViews>
  <sheetFormatPr defaultRowHeight="13.5"/>
  <cols>
    <col min="1" max="2" width="4.625" style="84" customWidth="1"/>
    <col min="3" max="32" width="4.625" customWidth="1"/>
  </cols>
  <sheetData>
    <row r="1" spans="1:33" ht="133.5">
      <c r="A1" s="28" t="s">
        <v>4</v>
      </c>
      <c r="B1" s="28" t="s">
        <v>224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125" t="s">
        <v>214</v>
      </c>
      <c r="AG1" s="22" t="s">
        <v>106</v>
      </c>
    </row>
    <row r="2" spans="1:33">
      <c r="A2" s="31">
        <v>1</v>
      </c>
      <c r="B2" s="86">
        <f>金币!B3</f>
        <v>1</v>
      </c>
      <c r="C2">
        <f>IF(金币!C3="","",金币!$B3*金币!C3)</f>
        <v>0</v>
      </c>
      <c r="D2" s="7" t="str">
        <f>IF(金币!D3="","",金币!$B3*金币!D3)</f>
        <v/>
      </c>
      <c r="E2" s="7" t="str">
        <f>IF(金币!E3="","",金币!$B3*金币!E3)</f>
        <v/>
      </c>
      <c r="F2" s="7">
        <f>IF(金币!F3="","",金币!$B3*金币!F3)</f>
        <v>0</v>
      </c>
      <c r="G2" s="7" t="str">
        <f>IF(金币!G3="","",金币!$B3*金币!G3)</f>
        <v/>
      </c>
      <c r="H2" s="7" t="str">
        <f>IF(金币!H3="","",金币!$B3*金币!H3)</f>
        <v/>
      </c>
      <c r="I2" s="7" t="str">
        <f>IF(金币!I3="","",金币!$B3*金币!I3)</f>
        <v/>
      </c>
      <c r="J2" s="7" t="str">
        <f>IF(金币!J3="","",金币!$B3*金币!J3)</f>
        <v/>
      </c>
      <c r="K2" s="7">
        <f>IF(金币!K3="","",金币!$B3*金币!K3)</f>
        <v>0</v>
      </c>
      <c r="L2" s="7">
        <f>IF(金币!L3="","",金币!$B3*金币!L3)</f>
        <v>0</v>
      </c>
      <c r="M2" s="7" t="str">
        <f>IF(金币!M3="","",金币!$B3*金币!M3)</f>
        <v/>
      </c>
      <c r="N2" s="7" t="str">
        <f>IF(金币!N3="","",金币!$B3*金币!N3)</f>
        <v/>
      </c>
      <c r="O2" s="7" t="str">
        <f>IF(金币!O3="","",金币!$B3*金币!O3)</f>
        <v/>
      </c>
      <c r="P2" s="7" t="str">
        <f>IF(金币!P3="","",金币!$B3*金币!P3)</f>
        <v/>
      </c>
      <c r="Q2" s="7">
        <f>IF(金币!Q3="","",金币!$B3*金币!Q3)</f>
        <v>10</v>
      </c>
      <c r="R2" s="7" t="str">
        <f>IF(金币!R3="","",金币!$B3*金币!R3)</f>
        <v/>
      </c>
      <c r="S2" s="7">
        <f>IF(金币!S3="","",金币!$B3*金币!S3)</f>
        <v>0</v>
      </c>
      <c r="T2" s="7" t="str">
        <f>IF(金币!T3="","",金币!$B3*金币!T3)</f>
        <v/>
      </c>
      <c r="U2" s="7" t="str">
        <f>IF(金币!U3="","",金币!$B3*金币!U3)</f>
        <v/>
      </c>
      <c r="V2" s="7">
        <f>IF(金币!V3="","",金币!$B3*金币!V3)</f>
        <v>0</v>
      </c>
      <c r="W2" s="7" t="str">
        <f>IF(金币!W3="","",金币!$B3*金币!W3)</f>
        <v/>
      </c>
      <c r="X2" s="7" t="str">
        <f>IF(金币!X3="","",金币!$B3*金币!X3)</f>
        <v/>
      </c>
      <c r="Y2" s="7" t="str">
        <f>IF(金币!Y3="","",金币!$B3*金币!Y3)</f>
        <v/>
      </c>
      <c r="Z2" s="7">
        <f>IF(金币!Z3="","",金币!$B3*金币!Z3)</f>
        <v>0</v>
      </c>
      <c r="AA2" s="7" t="str">
        <f>IF(金币!AA3="","",金币!$B3*金币!AA3)</f>
        <v/>
      </c>
      <c r="AB2" s="7" t="str">
        <f>IF(金币!AB3="","",金币!$B3*金币!AB3)</f>
        <v/>
      </c>
      <c r="AC2" s="7" t="str">
        <f>IF(金币!AC3="","",金币!$B3*金币!AC3)</f>
        <v/>
      </c>
      <c r="AD2" s="7" t="str">
        <f>IF(金币!AD3="","",金币!$B3*金币!AD3)</f>
        <v/>
      </c>
      <c r="AE2" s="7" t="str">
        <f>IF(金币!AE3="","",金币!$B3*金币!AE3)</f>
        <v/>
      </c>
      <c r="AF2" s="7">
        <f>IF(金币!AF3="","",金币!$B3*金币!AF3)</f>
        <v>0</v>
      </c>
      <c r="AG2">
        <f>金币!AI3</f>
        <v>0</v>
      </c>
    </row>
    <row r="3" spans="1:33">
      <c r="A3" s="32">
        <v>2</v>
      </c>
      <c r="B3" s="87">
        <f>金币!B4</f>
        <v>2</v>
      </c>
      <c r="C3" s="7">
        <f>IF(金币!C4="","",金币!$B4*金币!C4)</f>
        <v>0</v>
      </c>
      <c r="D3" s="7" t="str">
        <f>IF(金币!D4="","",金币!$B4*金币!D4)</f>
        <v/>
      </c>
      <c r="E3" s="7" t="str">
        <f>IF(金币!E4="","",金币!$B4*金币!E4)</f>
        <v/>
      </c>
      <c r="F3" s="7">
        <f>IF(金币!F4="","",金币!$B4*金币!F4)</f>
        <v>0</v>
      </c>
      <c r="G3" s="7" t="str">
        <f>IF(金币!G4="","",金币!$B4*金币!G4)</f>
        <v/>
      </c>
      <c r="H3" s="7" t="str">
        <f>IF(金币!H4="","",金币!$B4*金币!H4)</f>
        <v/>
      </c>
      <c r="I3" s="7" t="str">
        <f>IF(金币!I4="","",金币!$B4*金币!I4)</f>
        <v/>
      </c>
      <c r="J3" s="7" t="str">
        <f>IF(金币!J4="","",金币!$B4*金币!J4)</f>
        <v/>
      </c>
      <c r="K3" s="7">
        <f>IF(金币!K4="","",金币!$B4*金币!K4)</f>
        <v>0</v>
      </c>
      <c r="L3" s="7">
        <f>IF(金币!L4="","",金币!$B4*金币!L4)</f>
        <v>0</v>
      </c>
      <c r="M3" s="7" t="str">
        <f>IF(金币!M4="","",金币!$B4*金币!M4)</f>
        <v/>
      </c>
      <c r="N3" s="7" t="str">
        <f>IF(金币!N4="","",金币!$B4*金币!N4)</f>
        <v/>
      </c>
      <c r="O3" s="7" t="str">
        <f>IF(金币!O4="","",金币!$B4*金币!O4)</f>
        <v/>
      </c>
      <c r="P3" s="7" t="str">
        <f>IF(金币!P4="","",金币!$B4*金币!P4)</f>
        <v/>
      </c>
      <c r="Q3" s="7">
        <f>IF(金币!Q4="","",金币!$B4*金币!Q4)</f>
        <v>20</v>
      </c>
      <c r="R3" s="7" t="str">
        <f>IF(金币!R4="","",金币!$B4*金币!R4)</f>
        <v/>
      </c>
      <c r="S3" s="7">
        <f>IF(金币!S4="","",金币!$B4*金币!S4)</f>
        <v>0</v>
      </c>
      <c r="T3" s="7" t="str">
        <f>IF(金币!T4="","",金币!$B4*金币!T4)</f>
        <v/>
      </c>
      <c r="U3" s="7" t="str">
        <f>IF(金币!U4="","",金币!$B4*金币!U4)</f>
        <v/>
      </c>
      <c r="V3" s="7">
        <f>IF(金币!V4="","",金币!$B4*金币!V4)</f>
        <v>0</v>
      </c>
      <c r="W3" s="7" t="str">
        <f>IF(金币!W4="","",金币!$B4*金币!W4)</f>
        <v/>
      </c>
      <c r="X3" s="7" t="str">
        <f>IF(金币!X4="","",金币!$B4*金币!X4)</f>
        <v/>
      </c>
      <c r="Y3" s="7" t="str">
        <f>IF(金币!Y4="","",金币!$B4*金币!Y4)</f>
        <v/>
      </c>
      <c r="Z3" s="7">
        <f>IF(金币!Z4="","",金币!$B4*金币!Z4)</f>
        <v>0</v>
      </c>
      <c r="AA3" s="7" t="str">
        <f>IF(金币!AA4="","",金币!$B4*金币!AA4)</f>
        <v/>
      </c>
      <c r="AB3" s="7" t="str">
        <f>IF(金币!AB4="","",金币!$B4*金币!AB4)</f>
        <v/>
      </c>
      <c r="AC3" s="7" t="str">
        <f>IF(金币!AC4="","",金币!$B4*金币!AC4)</f>
        <v/>
      </c>
      <c r="AD3" s="7" t="str">
        <f>IF(金币!AD4="","",金币!$B4*金币!AD4)</f>
        <v/>
      </c>
      <c r="AE3" s="7" t="str">
        <f>IF(金币!AE4="","",金币!$B4*金币!AE4)</f>
        <v/>
      </c>
      <c r="AF3" s="7">
        <f>IF(金币!AF4="","",金币!$B4*金币!AF4)</f>
        <v>0</v>
      </c>
      <c r="AG3" s="7">
        <f>金币!AI4</f>
        <v>0</v>
      </c>
    </row>
    <row r="4" spans="1:33">
      <c r="A4" s="32">
        <v>3</v>
      </c>
      <c r="B4" s="87">
        <f>金币!B5</f>
        <v>3</v>
      </c>
      <c r="C4" s="7">
        <f>IF(金币!C5="","",金币!$B5*金币!C5)</f>
        <v>0</v>
      </c>
      <c r="D4" s="7" t="str">
        <f>IF(金币!D5="","",金币!$B5*金币!D5)</f>
        <v/>
      </c>
      <c r="E4" s="7" t="str">
        <f>IF(金币!E5="","",金币!$B5*金币!E5)</f>
        <v/>
      </c>
      <c r="F4" s="7">
        <f>IF(金币!F5="","",金币!$B5*金币!F5)</f>
        <v>0</v>
      </c>
      <c r="G4" s="7" t="str">
        <f>IF(金币!G5="","",金币!$B5*金币!G5)</f>
        <v/>
      </c>
      <c r="H4" s="7" t="str">
        <f>IF(金币!H5="","",金币!$B5*金币!H5)</f>
        <v/>
      </c>
      <c r="I4" s="7" t="str">
        <f>IF(金币!I5="","",金币!$B5*金币!I5)</f>
        <v/>
      </c>
      <c r="J4" s="7" t="str">
        <f>IF(金币!J5="","",金币!$B5*金币!J5)</f>
        <v/>
      </c>
      <c r="K4" s="7">
        <f>IF(金币!K5="","",金币!$B5*金币!K5)</f>
        <v>0</v>
      </c>
      <c r="L4" s="7">
        <f>IF(金币!L5="","",金币!$B5*金币!L5)</f>
        <v>0</v>
      </c>
      <c r="M4" s="7" t="str">
        <f>IF(金币!M5="","",金币!$B5*金币!M5)</f>
        <v/>
      </c>
      <c r="N4" s="7" t="str">
        <f>IF(金币!N5="","",金币!$B5*金币!N5)</f>
        <v/>
      </c>
      <c r="O4" s="7" t="str">
        <f>IF(金币!O5="","",金币!$B5*金币!O5)</f>
        <v/>
      </c>
      <c r="P4" s="7" t="str">
        <f>IF(金币!P5="","",金币!$B5*金币!P5)</f>
        <v/>
      </c>
      <c r="Q4" s="7">
        <f>IF(金币!Q5="","",金币!$B5*金币!Q5)</f>
        <v>30</v>
      </c>
      <c r="R4" s="7" t="str">
        <f>IF(金币!R5="","",金币!$B5*金币!R5)</f>
        <v/>
      </c>
      <c r="S4" s="7">
        <f>IF(金币!S5="","",金币!$B5*金币!S5)</f>
        <v>0</v>
      </c>
      <c r="T4" s="7" t="str">
        <f>IF(金币!T5="","",金币!$B5*金币!T5)</f>
        <v/>
      </c>
      <c r="U4" s="7" t="str">
        <f>IF(金币!U5="","",金币!$B5*金币!U5)</f>
        <v/>
      </c>
      <c r="V4" s="7">
        <f>IF(金币!V5="","",金币!$B5*金币!V5)</f>
        <v>0</v>
      </c>
      <c r="W4" s="7" t="str">
        <f>IF(金币!W5="","",金币!$B5*金币!W5)</f>
        <v/>
      </c>
      <c r="X4" s="7" t="str">
        <f>IF(金币!X5="","",金币!$B5*金币!X5)</f>
        <v/>
      </c>
      <c r="Y4" s="7" t="str">
        <f>IF(金币!Y5="","",金币!$B5*金币!Y5)</f>
        <v/>
      </c>
      <c r="Z4" s="7">
        <f>IF(金币!Z5="","",金币!$B5*金币!Z5)</f>
        <v>0</v>
      </c>
      <c r="AA4" s="7" t="str">
        <f>IF(金币!AA5="","",金币!$B5*金币!AA5)</f>
        <v/>
      </c>
      <c r="AB4" s="7" t="str">
        <f>IF(金币!AB5="","",金币!$B5*金币!AB5)</f>
        <v/>
      </c>
      <c r="AC4" s="7" t="str">
        <f>IF(金币!AC5="","",金币!$B5*金币!AC5)</f>
        <v/>
      </c>
      <c r="AD4" s="7" t="str">
        <f>IF(金币!AD5="","",金币!$B5*金币!AD5)</f>
        <v/>
      </c>
      <c r="AE4" s="7" t="str">
        <f>IF(金币!AE5="","",金币!$B5*金币!AE5)</f>
        <v/>
      </c>
      <c r="AF4" s="7">
        <f>IF(金币!AF5="","",金币!$B5*金币!AF5)</f>
        <v>0</v>
      </c>
      <c r="AG4" s="7">
        <f>金币!AI5</f>
        <v>0</v>
      </c>
    </row>
    <row r="5" spans="1:33">
      <c r="A5" s="32">
        <v>4</v>
      </c>
      <c r="B5" s="87">
        <f>金币!B6</f>
        <v>4</v>
      </c>
      <c r="C5" s="7">
        <f>IF(金币!C6="","",金币!$B6*金币!C6)</f>
        <v>0</v>
      </c>
      <c r="D5" s="7" t="str">
        <f>IF(金币!D6="","",金币!$B6*金币!D6)</f>
        <v/>
      </c>
      <c r="E5" s="7" t="str">
        <f>IF(金币!E6="","",金币!$B6*金币!E6)</f>
        <v/>
      </c>
      <c r="F5" s="7">
        <f>IF(金币!F6="","",金币!$B6*金币!F6)</f>
        <v>0</v>
      </c>
      <c r="G5" s="7" t="str">
        <f>IF(金币!G6="","",金币!$B6*金币!G6)</f>
        <v/>
      </c>
      <c r="H5" s="7" t="str">
        <f>IF(金币!H6="","",金币!$B6*金币!H6)</f>
        <v/>
      </c>
      <c r="I5" s="7" t="str">
        <f>IF(金币!I6="","",金币!$B6*金币!I6)</f>
        <v/>
      </c>
      <c r="J5" s="7" t="str">
        <f>IF(金币!J6="","",金币!$B6*金币!J6)</f>
        <v/>
      </c>
      <c r="K5" s="7">
        <f>IF(金币!K6="","",金币!$B6*金币!K6)</f>
        <v>0</v>
      </c>
      <c r="L5" s="7">
        <f>IF(金币!L6="","",金币!$B6*金币!L6)</f>
        <v>0</v>
      </c>
      <c r="M5" s="7" t="str">
        <f>IF(金币!M6="","",金币!$B6*金币!M6)</f>
        <v/>
      </c>
      <c r="N5" s="7" t="str">
        <f>IF(金币!N6="","",金币!$B6*金币!N6)</f>
        <v/>
      </c>
      <c r="O5" s="7" t="str">
        <f>IF(金币!O6="","",金币!$B6*金币!O6)</f>
        <v/>
      </c>
      <c r="P5" s="7" t="str">
        <f>IF(金币!P6="","",金币!$B6*金币!P6)</f>
        <v/>
      </c>
      <c r="Q5" s="7">
        <f>IF(金币!Q6="","",金币!$B6*金币!Q6)</f>
        <v>40</v>
      </c>
      <c r="R5" s="7" t="str">
        <f>IF(金币!R6="","",金币!$B6*金币!R6)</f>
        <v/>
      </c>
      <c r="S5" s="7">
        <f>IF(金币!S6="","",金币!$B6*金币!S6)</f>
        <v>0</v>
      </c>
      <c r="T5" s="7" t="str">
        <f>IF(金币!T6="","",金币!$B6*金币!T6)</f>
        <v/>
      </c>
      <c r="U5" s="7" t="str">
        <f>IF(金币!U6="","",金币!$B6*金币!U6)</f>
        <v/>
      </c>
      <c r="V5" s="7">
        <f>IF(金币!V6="","",金币!$B6*金币!V6)</f>
        <v>0</v>
      </c>
      <c r="W5" s="7" t="str">
        <f>IF(金币!W6="","",金币!$B6*金币!W6)</f>
        <v/>
      </c>
      <c r="X5" s="7" t="str">
        <f>IF(金币!X6="","",金币!$B6*金币!X6)</f>
        <v/>
      </c>
      <c r="Y5" s="7" t="str">
        <f>IF(金币!Y6="","",金币!$B6*金币!Y6)</f>
        <v/>
      </c>
      <c r="Z5" s="7">
        <f>IF(金币!Z6="","",金币!$B6*金币!Z6)</f>
        <v>0</v>
      </c>
      <c r="AA5" s="7" t="str">
        <f>IF(金币!AA6="","",金币!$B6*金币!AA6)</f>
        <v/>
      </c>
      <c r="AB5" s="7" t="str">
        <f>IF(金币!AB6="","",金币!$B6*金币!AB6)</f>
        <v/>
      </c>
      <c r="AC5" s="7" t="str">
        <f>IF(金币!AC6="","",金币!$B6*金币!AC6)</f>
        <v/>
      </c>
      <c r="AD5" s="7" t="str">
        <f>IF(金币!AD6="","",金币!$B6*金币!AD6)</f>
        <v/>
      </c>
      <c r="AE5" s="7" t="str">
        <f>IF(金币!AE6="","",金币!$B6*金币!AE6)</f>
        <v/>
      </c>
      <c r="AF5" s="7">
        <f>IF(金币!AF6="","",金币!$B6*金币!AF6)</f>
        <v>0</v>
      </c>
      <c r="AG5" s="7">
        <f>金币!AI6</f>
        <v>0</v>
      </c>
    </row>
    <row r="6" spans="1:33">
      <c r="A6" s="32">
        <v>5</v>
      </c>
      <c r="B6" s="87">
        <f>金币!B7</f>
        <v>5</v>
      </c>
      <c r="C6" s="7">
        <f>IF(金币!C7="","",金币!$B7*金币!C7)</f>
        <v>0</v>
      </c>
      <c r="D6" s="7" t="str">
        <f>IF(金币!D7="","",金币!$B7*金币!D7)</f>
        <v/>
      </c>
      <c r="E6" s="7" t="str">
        <f>IF(金币!E7="","",金币!$B7*金币!E7)</f>
        <v/>
      </c>
      <c r="F6" s="7">
        <f>IF(金币!F7="","",金币!$B7*金币!F7)</f>
        <v>0</v>
      </c>
      <c r="G6" s="7" t="str">
        <f>IF(金币!G7="","",金币!$B7*金币!G7)</f>
        <v/>
      </c>
      <c r="H6" s="7" t="str">
        <f>IF(金币!H7="","",金币!$B7*金币!H7)</f>
        <v/>
      </c>
      <c r="I6" s="7" t="str">
        <f>IF(金币!I7="","",金币!$B7*金币!I7)</f>
        <v/>
      </c>
      <c r="J6" s="7" t="str">
        <f>IF(金币!J7="","",金币!$B7*金币!J7)</f>
        <v/>
      </c>
      <c r="K6" s="7">
        <f>IF(金币!K7="","",金币!$B7*金币!K7)</f>
        <v>0</v>
      </c>
      <c r="L6" s="7">
        <f>IF(金币!L7="","",金币!$B7*金币!L7)</f>
        <v>0</v>
      </c>
      <c r="M6" s="7" t="str">
        <f>IF(金币!M7="","",金币!$B7*金币!M7)</f>
        <v/>
      </c>
      <c r="N6" s="7" t="str">
        <f>IF(金币!N7="","",金币!$B7*金币!N7)</f>
        <v/>
      </c>
      <c r="O6" s="7" t="str">
        <f>IF(金币!O7="","",金币!$B7*金币!O7)</f>
        <v/>
      </c>
      <c r="P6" s="7" t="str">
        <f>IF(金币!P7="","",金币!$B7*金币!P7)</f>
        <v/>
      </c>
      <c r="Q6" s="7">
        <f>IF(金币!Q7="","",金币!$B7*金币!Q7)</f>
        <v>50</v>
      </c>
      <c r="R6" s="7" t="str">
        <f>IF(金币!R7="","",金币!$B7*金币!R7)</f>
        <v/>
      </c>
      <c r="S6" s="7">
        <f>IF(金币!S7="","",金币!$B7*金币!S7)</f>
        <v>0</v>
      </c>
      <c r="T6" s="7" t="str">
        <f>IF(金币!T7="","",金币!$B7*金币!T7)</f>
        <v/>
      </c>
      <c r="U6" s="7" t="str">
        <f>IF(金币!U7="","",金币!$B7*金币!U7)</f>
        <v/>
      </c>
      <c r="V6" s="7">
        <f>IF(金币!V7="","",金币!$B7*金币!V7)</f>
        <v>0</v>
      </c>
      <c r="W6" s="7" t="str">
        <f>IF(金币!W7="","",金币!$B7*金币!W7)</f>
        <v/>
      </c>
      <c r="X6" s="7" t="str">
        <f>IF(金币!X7="","",金币!$B7*金币!X7)</f>
        <v/>
      </c>
      <c r="Y6" s="7" t="str">
        <f>IF(金币!Y7="","",金币!$B7*金币!Y7)</f>
        <v/>
      </c>
      <c r="Z6" s="7">
        <f>IF(金币!Z7="","",金币!$B7*金币!Z7)</f>
        <v>0</v>
      </c>
      <c r="AA6" s="7" t="str">
        <f>IF(金币!AA7="","",金币!$B7*金币!AA7)</f>
        <v/>
      </c>
      <c r="AB6" s="7" t="str">
        <f>IF(金币!AB7="","",金币!$B7*金币!AB7)</f>
        <v/>
      </c>
      <c r="AC6" s="7" t="str">
        <f>IF(金币!AC7="","",金币!$B7*金币!AC7)</f>
        <v/>
      </c>
      <c r="AD6" s="7" t="str">
        <f>IF(金币!AD7="","",金币!$B7*金币!AD7)</f>
        <v/>
      </c>
      <c r="AE6" s="7" t="str">
        <f>IF(金币!AE7="","",金币!$B7*金币!AE7)</f>
        <v/>
      </c>
      <c r="AF6" s="7">
        <f>IF(金币!AF7="","",金币!$B7*金币!AF7)</f>
        <v>0</v>
      </c>
      <c r="AG6" s="7">
        <f>金币!AI7</f>
        <v>0</v>
      </c>
    </row>
    <row r="7" spans="1:33">
      <c r="A7" s="32">
        <v>6</v>
      </c>
      <c r="B7" s="87">
        <f>金币!B8</f>
        <v>6</v>
      </c>
      <c r="C7" s="7">
        <f>IF(金币!C8="","",金币!$B8*金币!C8)</f>
        <v>0</v>
      </c>
      <c r="D7" s="7" t="str">
        <f>IF(金币!D8="","",金币!$B8*金币!D8)</f>
        <v/>
      </c>
      <c r="E7" s="7" t="str">
        <f>IF(金币!E8="","",金币!$B8*金币!E8)</f>
        <v/>
      </c>
      <c r="F7" s="7">
        <f>IF(金币!F8="","",金币!$B8*金币!F8)</f>
        <v>0</v>
      </c>
      <c r="G7" s="7" t="str">
        <f>IF(金币!G8="","",金币!$B8*金币!G8)</f>
        <v/>
      </c>
      <c r="H7" s="7" t="str">
        <f>IF(金币!H8="","",金币!$B8*金币!H8)</f>
        <v/>
      </c>
      <c r="I7" s="7" t="str">
        <f>IF(金币!I8="","",金币!$B8*金币!I8)</f>
        <v/>
      </c>
      <c r="J7" s="7" t="str">
        <f>IF(金币!J8="","",金币!$B8*金币!J8)</f>
        <v/>
      </c>
      <c r="K7" s="7">
        <f>IF(金币!K8="","",金币!$B8*金币!K8)</f>
        <v>0</v>
      </c>
      <c r="L7" s="7">
        <f>IF(金币!L8="","",金币!$B8*金币!L8)</f>
        <v>0</v>
      </c>
      <c r="M7" s="7" t="str">
        <f>IF(金币!M8="","",金币!$B8*金币!M8)</f>
        <v/>
      </c>
      <c r="N7" s="7" t="str">
        <f>IF(金币!N8="","",金币!$B8*金币!N8)</f>
        <v/>
      </c>
      <c r="O7" s="7" t="str">
        <f>IF(金币!O8="","",金币!$B8*金币!O8)</f>
        <v/>
      </c>
      <c r="P7" s="7" t="str">
        <f>IF(金币!P8="","",金币!$B8*金币!P8)</f>
        <v/>
      </c>
      <c r="Q7" s="7">
        <f>IF(金币!Q8="","",金币!$B8*金币!Q8)</f>
        <v>60</v>
      </c>
      <c r="R7" s="7" t="str">
        <f>IF(金币!R8="","",金币!$B8*金币!R8)</f>
        <v/>
      </c>
      <c r="S7" s="7">
        <f>IF(金币!S8="","",金币!$B8*金币!S8)</f>
        <v>0</v>
      </c>
      <c r="T7" s="7" t="str">
        <f>IF(金币!T8="","",金币!$B8*金币!T8)</f>
        <v/>
      </c>
      <c r="U7" s="7" t="str">
        <f>IF(金币!U8="","",金币!$B8*金币!U8)</f>
        <v/>
      </c>
      <c r="V7" s="7">
        <f>IF(金币!V8="","",金币!$B8*金币!V8)</f>
        <v>0</v>
      </c>
      <c r="W7" s="7" t="str">
        <f>IF(金币!W8="","",金币!$B8*金币!W8)</f>
        <v/>
      </c>
      <c r="X7" s="7" t="str">
        <f>IF(金币!X8="","",金币!$B8*金币!X8)</f>
        <v/>
      </c>
      <c r="Y7" s="7" t="str">
        <f>IF(金币!Y8="","",金币!$B8*金币!Y8)</f>
        <v/>
      </c>
      <c r="Z7" s="7">
        <f>IF(金币!Z8="","",金币!$B8*金币!Z8)</f>
        <v>0</v>
      </c>
      <c r="AA7" s="7" t="str">
        <f>IF(金币!AA8="","",金币!$B8*金币!AA8)</f>
        <v/>
      </c>
      <c r="AB7" s="7" t="str">
        <f>IF(金币!AB8="","",金币!$B8*金币!AB8)</f>
        <v/>
      </c>
      <c r="AC7" s="7" t="str">
        <f>IF(金币!AC8="","",金币!$B8*金币!AC8)</f>
        <v/>
      </c>
      <c r="AD7" s="7" t="str">
        <f>IF(金币!AD8="","",金币!$B8*金币!AD8)</f>
        <v/>
      </c>
      <c r="AE7" s="7" t="str">
        <f>IF(金币!AE8="","",金币!$B8*金币!AE8)</f>
        <v/>
      </c>
      <c r="AF7" s="7">
        <f>IF(金币!AF8="","",金币!$B8*金币!AF8)</f>
        <v>0</v>
      </c>
      <c r="AG7" s="7">
        <f>金币!AI8</f>
        <v>0</v>
      </c>
    </row>
    <row r="8" spans="1:33">
      <c r="A8" s="32">
        <v>7</v>
      </c>
      <c r="B8" s="87">
        <f>金币!B9</f>
        <v>7</v>
      </c>
      <c r="C8" s="7">
        <f>IF(金币!C9="","",金币!$B9*金币!C9)</f>
        <v>0</v>
      </c>
      <c r="D8" s="7" t="str">
        <f>IF(金币!D9="","",金币!$B9*金币!D9)</f>
        <v/>
      </c>
      <c r="E8" s="7" t="str">
        <f>IF(金币!E9="","",金币!$B9*金币!E9)</f>
        <v/>
      </c>
      <c r="F8" s="7">
        <f>IF(金币!F9="","",金币!$B9*金币!F9)</f>
        <v>0</v>
      </c>
      <c r="G8" s="7" t="str">
        <f>IF(金币!G9="","",金币!$B9*金币!G9)</f>
        <v/>
      </c>
      <c r="H8" s="7" t="str">
        <f>IF(金币!H9="","",金币!$B9*金币!H9)</f>
        <v/>
      </c>
      <c r="I8" s="7" t="str">
        <f>IF(金币!I9="","",金币!$B9*金币!I9)</f>
        <v/>
      </c>
      <c r="J8" s="7" t="str">
        <f>IF(金币!J9="","",金币!$B9*金币!J9)</f>
        <v/>
      </c>
      <c r="K8" s="7">
        <f>IF(金币!K9="","",金币!$B9*金币!K9)</f>
        <v>0</v>
      </c>
      <c r="L8" s="7">
        <f>IF(金币!L9="","",金币!$B9*金币!L9)</f>
        <v>0</v>
      </c>
      <c r="M8" s="7" t="str">
        <f>IF(金币!M9="","",金币!$B9*金币!M9)</f>
        <v/>
      </c>
      <c r="N8" s="7" t="str">
        <f>IF(金币!N9="","",金币!$B9*金币!N9)</f>
        <v/>
      </c>
      <c r="O8" s="7" t="str">
        <f>IF(金币!O9="","",金币!$B9*金币!O9)</f>
        <v/>
      </c>
      <c r="P8" s="7" t="str">
        <f>IF(金币!P9="","",金币!$B9*金币!P9)</f>
        <v/>
      </c>
      <c r="Q8" s="7">
        <f>IF(金币!Q9="","",金币!$B9*金币!Q9)</f>
        <v>70</v>
      </c>
      <c r="R8" s="7" t="str">
        <f>IF(金币!R9="","",金币!$B9*金币!R9)</f>
        <v/>
      </c>
      <c r="S8" s="7">
        <f>IF(金币!S9="","",金币!$B9*金币!S9)</f>
        <v>0</v>
      </c>
      <c r="T8" s="7" t="str">
        <f>IF(金币!T9="","",金币!$B9*金币!T9)</f>
        <v/>
      </c>
      <c r="U8" s="7" t="str">
        <f>IF(金币!U9="","",金币!$B9*金币!U9)</f>
        <v/>
      </c>
      <c r="V8" s="7">
        <f>IF(金币!V9="","",金币!$B9*金币!V9)</f>
        <v>0</v>
      </c>
      <c r="W8" s="7" t="str">
        <f>IF(金币!W9="","",金币!$B9*金币!W9)</f>
        <v/>
      </c>
      <c r="X8" s="7" t="str">
        <f>IF(金币!X9="","",金币!$B9*金币!X9)</f>
        <v/>
      </c>
      <c r="Y8" s="7" t="str">
        <f>IF(金币!Y9="","",金币!$B9*金币!Y9)</f>
        <v/>
      </c>
      <c r="Z8" s="7">
        <f>IF(金币!Z9="","",金币!$B9*金币!Z9)</f>
        <v>0</v>
      </c>
      <c r="AA8" s="7" t="str">
        <f>IF(金币!AA9="","",金币!$B9*金币!AA9)</f>
        <v/>
      </c>
      <c r="AB8" s="7" t="str">
        <f>IF(金币!AB9="","",金币!$B9*金币!AB9)</f>
        <v/>
      </c>
      <c r="AC8" s="7" t="str">
        <f>IF(金币!AC9="","",金币!$B9*金币!AC9)</f>
        <v/>
      </c>
      <c r="AD8" s="7" t="str">
        <f>IF(金币!AD9="","",金币!$B9*金币!AD9)</f>
        <v/>
      </c>
      <c r="AE8" s="7" t="str">
        <f>IF(金币!AE9="","",金币!$B9*金币!AE9)</f>
        <v/>
      </c>
      <c r="AF8" s="7">
        <f>IF(金币!AF9="","",金币!$B9*金币!AF9)</f>
        <v>0</v>
      </c>
      <c r="AG8" s="7">
        <f>金币!AI9</f>
        <v>0</v>
      </c>
    </row>
    <row r="9" spans="1:33">
      <c r="A9" s="32">
        <v>8</v>
      </c>
      <c r="B9" s="87">
        <f>金币!B10</f>
        <v>8</v>
      </c>
      <c r="C9" s="7">
        <f>IF(金币!C10="","",金币!$B10*金币!C10)</f>
        <v>0</v>
      </c>
      <c r="D9" s="7" t="str">
        <f>IF(金币!D10="","",金币!$B10*金币!D10)</f>
        <v/>
      </c>
      <c r="E9" s="7" t="str">
        <f>IF(金币!E10="","",金币!$B10*金币!E10)</f>
        <v/>
      </c>
      <c r="F9" s="7">
        <f>IF(金币!F10="","",金币!$B10*金币!F10)</f>
        <v>0</v>
      </c>
      <c r="G9" s="7" t="str">
        <f>IF(金币!G10="","",金币!$B10*金币!G10)</f>
        <v/>
      </c>
      <c r="H9" s="7" t="str">
        <f>IF(金币!H10="","",金币!$B10*金币!H10)</f>
        <v/>
      </c>
      <c r="I9" s="7" t="str">
        <f>IF(金币!I10="","",金币!$B10*金币!I10)</f>
        <v/>
      </c>
      <c r="J9" s="7" t="str">
        <f>IF(金币!J10="","",金币!$B10*金币!J10)</f>
        <v/>
      </c>
      <c r="K9" s="7">
        <f>IF(金币!K10="","",金币!$B10*金币!K10)</f>
        <v>0</v>
      </c>
      <c r="L9" s="7">
        <f>IF(金币!L10="","",金币!$B10*金币!L10)</f>
        <v>0</v>
      </c>
      <c r="M9" s="7" t="str">
        <f>IF(金币!M10="","",金币!$B10*金币!M10)</f>
        <v/>
      </c>
      <c r="N9" s="7" t="str">
        <f>IF(金币!N10="","",金币!$B10*金币!N10)</f>
        <v/>
      </c>
      <c r="O9" s="7" t="str">
        <f>IF(金币!O10="","",金币!$B10*金币!O10)</f>
        <v/>
      </c>
      <c r="P9" s="7" t="str">
        <f>IF(金币!P10="","",金币!$B10*金币!P10)</f>
        <v/>
      </c>
      <c r="Q9" s="7">
        <f>IF(金币!Q10="","",金币!$B10*金币!Q10)</f>
        <v>80</v>
      </c>
      <c r="R9" s="7" t="str">
        <f>IF(金币!R10="","",金币!$B10*金币!R10)</f>
        <v/>
      </c>
      <c r="S9" s="7">
        <f>IF(金币!S10="","",金币!$B10*金币!S10)</f>
        <v>0</v>
      </c>
      <c r="T9" s="7" t="str">
        <f>IF(金币!T10="","",金币!$B10*金币!T10)</f>
        <v/>
      </c>
      <c r="U9" s="7" t="str">
        <f>IF(金币!U10="","",金币!$B10*金币!U10)</f>
        <v/>
      </c>
      <c r="V9" s="7">
        <f>IF(金币!V10="","",金币!$B10*金币!V10)</f>
        <v>0</v>
      </c>
      <c r="W9" s="7" t="str">
        <f>IF(金币!W10="","",金币!$B10*金币!W10)</f>
        <v/>
      </c>
      <c r="X9" s="7" t="str">
        <f>IF(金币!X10="","",金币!$B10*金币!X10)</f>
        <v/>
      </c>
      <c r="Y9" s="7" t="str">
        <f>IF(金币!Y10="","",金币!$B10*金币!Y10)</f>
        <v/>
      </c>
      <c r="Z9" s="7">
        <f>IF(金币!Z10="","",金币!$B10*金币!Z10)</f>
        <v>0</v>
      </c>
      <c r="AA9" s="7" t="str">
        <f>IF(金币!AA10="","",金币!$B10*金币!AA10)</f>
        <v/>
      </c>
      <c r="AB9" s="7" t="str">
        <f>IF(金币!AB10="","",金币!$B10*金币!AB10)</f>
        <v/>
      </c>
      <c r="AC9" s="7" t="str">
        <f>IF(金币!AC10="","",金币!$B10*金币!AC10)</f>
        <v/>
      </c>
      <c r="AD9" s="7" t="str">
        <f>IF(金币!AD10="","",金币!$B10*金币!AD10)</f>
        <v/>
      </c>
      <c r="AE9" s="7" t="str">
        <f>IF(金币!AE10="","",金币!$B10*金币!AE10)</f>
        <v/>
      </c>
      <c r="AF9" s="7">
        <f>IF(金币!AF10="","",金币!$B10*金币!AF10)</f>
        <v>0</v>
      </c>
      <c r="AG9" s="7">
        <f>金币!AI10</f>
        <v>0</v>
      </c>
    </row>
    <row r="10" spans="1:33">
      <c r="A10" s="32">
        <v>9</v>
      </c>
      <c r="B10" s="87">
        <f>金币!B11</f>
        <v>9</v>
      </c>
      <c r="C10" s="7">
        <f>IF(金币!C11="","",金币!$B11*金币!C11)</f>
        <v>0</v>
      </c>
      <c r="D10" s="7" t="str">
        <f>IF(金币!D11="","",金币!$B11*金币!D11)</f>
        <v/>
      </c>
      <c r="E10" s="7" t="str">
        <f>IF(金币!E11="","",金币!$B11*金币!E11)</f>
        <v/>
      </c>
      <c r="F10" s="7">
        <f>IF(金币!F11="","",金币!$B11*金币!F11)</f>
        <v>0</v>
      </c>
      <c r="G10" s="7" t="str">
        <f>IF(金币!G11="","",金币!$B11*金币!G11)</f>
        <v/>
      </c>
      <c r="H10" s="7" t="str">
        <f>IF(金币!H11="","",金币!$B11*金币!H11)</f>
        <v/>
      </c>
      <c r="I10" s="7" t="str">
        <f>IF(金币!I11="","",金币!$B11*金币!I11)</f>
        <v/>
      </c>
      <c r="J10" s="7" t="str">
        <f>IF(金币!J11="","",金币!$B11*金币!J11)</f>
        <v/>
      </c>
      <c r="K10" s="7">
        <f>IF(金币!K11="","",金币!$B11*金币!K11)</f>
        <v>0</v>
      </c>
      <c r="L10" s="7">
        <f>IF(金币!L11="","",金币!$B11*金币!L11)</f>
        <v>0</v>
      </c>
      <c r="M10" s="7" t="str">
        <f>IF(金币!M11="","",金币!$B11*金币!M11)</f>
        <v/>
      </c>
      <c r="N10" s="7" t="str">
        <f>IF(金币!N11="","",金币!$B11*金币!N11)</f>
        <v/>
      </c>
      <c r="O10" s="7" t="str">
        <f>IF(金币!O11="","",金币!$B11*金币!O11)</f>
        <v/>
      </c>
      <c r="P10" s="7" t="str">
        <f>IF(金币!P11="","",金币!$B11*金币!P11)</f>
        <v/>
      </c>
      <c r="Q10" s="7">
        <f>IF(金币!Q11="","",金币!$B11*金币!Q11)</f>
        <v>90</v>
      </c>
      <c r="R10" s="7" t="str">
        <f>IF(金币!R11="","",金币!$B11*金币!R11)</f>
        <v/>
      </c>
      <c r="S10" s="7">
        <f>IF(金币!S11="","",金币!$B11*金币!S11)</f>
        <v>0</v>
      </c>
      <c r="T10" s="7" t="str">
        <f>IF(金币!T11="","",金币!$B11*金币!T11)</f>
        <v/>
      </c>
      <c r="U10" s="7" t="str">
        <f>IF(金币!U11="","",金币!$B11*金币!U11)</f>
        <v/>
      </c>
      <c r="V10" s="7">
        <f>IF(金币!V11="","",金币!$B11*金币!V11)</f>
        <v>0</v>
      </c>
      <c r="W10" s="7" t="str">
        <f>IF(金币!W11="","",金币!$B11*金币!W11)</f>
        <v/>
      </c>
      <c r="X10" s="7" t="str">
        <f>IF(金币!X11="","",金币!$B11*金币!X11)</f>
        <v/>
      </c>
      <c r="Y10" s="7" t="str">
        <f>IF(金币!Y11="","",金币!$B11*金币!Y11)</f>
        <v/>
      </c>
      <c r="Z10" s="7">
        <f>IF(金币!Z11="","",金币!$B11*金币!Z11)</f>
        <v>0</v>
      </c>
      <c r="AA10" s="7" t="str">
        <f>IF(金币!AA11="","",金币!$B11*金币!AA11)</f>
        <v/>
      </c>
      <c r="AB10" s="7" t="str">
        <f>IF(金币!AB11="","",金币!$B11*金币!AB11)</f>
        <v/>
      </c>
      <c r="AC10" s="7" t="str">
        <f>IF(金币!AC11="","",金币!$B11*金币!AC11)</f>
        <v/>
      </c>
      <c r="AD10" s="7" t="str">
        <f>IF(金币!AD11="","",金币!$B11*金币!AD11)</f>
        <v/>
      </c>
      <c r="AE10" s="7" t="str">
        <f>IF(金币!AE11="","",金币!$B11*金币!AE11)</f>
        <v/>
      </c>
      <c r="AF10" s="7">
        <f>IF(金币!AF11="","",金币!$B11*金币!AF11)</f>
        <v>0</v>
      </c>
      <c r="AG10" s="7">
        <f>金币!AI11</f>
        <v>0</v>
      </c>
    </row>
    <row r="11" spans="1:33">
      <c r="A11" s="32">
        <v>10</v>
      </c>
      <c r="B11" s="87">
        <f>金币!B12</f>
        <v>10</v>
      </c>
      <c r="C11" s="7">
        <f>IF(金币!C12="","",金币!$B12*金币!C12)</f>
        <v>0</v>
      </c>
      <c r="D11" s="7" t="str">
        <f>IF(金币!D12="","",金币!$B12*金币!D12)</f>
        <v/>
      </c>
      <c r="E11" s="7" t="str">
        <f>IF(金币!E12="","",金币!$B12*金币!E12)</f>
        <v/>
      </c>
      <c r="F11" s="7">
        <f>IF(金币!F12="","",金币!$B12*金币!F12)</f>
        <v>0</v>
      </c>
      <c r="G11" s="7" t="str">
        <f>IF(金币!G12="","",金币!$B12*金币!G12)</f>
        <v/>
      </c>
      <c r="H11" s="7" t="str">
        <f>IF(金币!H12="","",金币!$B12*金币!H12)</f>
        <v/>
      </c>
      <c r="I11" s="7" t="str">
        <f>IF(金币!I12="","",金币!$B12*金币!I12)</f>
        <v/>
      </c>
      <c r="J11" s="7" t="str">
        <f>IF(金币!J12="","",金币!$B12*金币!J12)</f>
        <v/>
      </c>
      <c r="K11" s="7">
        <f>IF(金币!K12="","",金币!$B12*金币!K12)</f>
        <v>0</v>
      </c>
      <c r="L11" s="7">
        <f>IF(金币!L12="","",金币!$B12*金币!L12)</f>
        <v>0</v>
      </c>
      <c r="M11" s="7" t="str">
        <f>IF(金币!M12="","",金币!$B12*金币!M12)</f>
        <v/>
      </c>
      <c r="N11" s="7" t="str">
        <f>IF(金币!N12="","",金币!$B12*金币!N12)</f>
        <v/>
      </c>
      <c r="O11" s="7" t="str">
        <f>IF(金币!O12="","",金币!$B12*金币!O12)</f>
        <v/>
      </c>
      <c r="P11" s="7" t="str">
        <f>IF(金币!P12="","",金币!$B12*金币!P12)</f>
        <v/>
      </c>
      <c r="Q11" s="7">
        <f>IF(金币!Q12="","",金币!$B12*金币!Q12)</f>
        <v>100</v>
      </c>
      <c r="R11" s="7" t="str">
        <f>IF(金币!R12="","",金币!$B12*金币!R12)</f>
        <v/>
      </c>
      <c r="S11" s="7">
        <f>IF(金币!S12="","",金币!$B12*金币!S12)</f>
        <v>0</v>
      </c>
      <c r="T11" s="7" t="str">
        <f>IF(金币!T12="","",金币!$B12*金币!T12)</f>
        <v/>
      </c>
      <c r="U11" s="7" t="str">
        <f>IF(金币!U12="","",金币!$B12*金币!U12)</f>
        <v/>
      </c>
      <c r="V11" s="7">
        <f>IF(金币!V12="","",金币!$B12*金币!V12)</f>
        <v>0</v>
      </c>
      <c r="W11" s="7" t="str">
        <f>IF(金币!W12="","",金币!$B12*金币!W12)</f>
        <v/>
      </c>
      <c r="X11" s="7" t="str">
        <f>IF(金币!X12="","",金币!$B12*金币!X12)</f>
        <v/>
      </c>
      <c r="Y11" s="7" t="str">
        <f>IF(金币!Y12="","",金币!$B12*金币!Y12)</f>
        <v/>
      </c>
      <c r="Z11" s="7">
        <f>IF(金币!Z12="","",金币!$B12*金币!Z12)</f>
        <v>0</v>
      </c>
      <c r="AA11" s="7" t="str">
        <f>IF(金币!AA12="","",金币!$B12*金币!AA12)</f>
        <v/>
      </c>
      <c r="AB11" s="7" t="str">
        <f>IF(金币!AB12="","",金币!$B12*金币!AB12)</f>
        <v/>
      </c>
      <c r="AC11" s="7" t="str">
        <f>IF(金币!AC12="","",金币!$B12*金币!AC12)</f>
        <v/>
      </c>
      <c r="AD11" s="7" t="str">
        <f>IF(金币!AD12="","",金币!$B12*金币!AD12)</f>
        <v/>
      </c>
      <c r="AE11" s="7" t="str">
        <f>IF(金币!AE12="","",金币!$B12*金币!AE12)</f>
        <v/>
      </c>
      <c r="AF11" s="7">
        <f>IF(金币!AF12="","",金币!$B12*金币!AF12)</f>
        <v>0</v>
      </c>
      <c r="AG11" s="7">
        <f>金币!AI12</f>
        <v>0</v>
      </c>
    </row>
    <row r="12" spans="1:33">
      <c r="A12" s="32">
        <v>11</v>
      </c>
      <c r="B12" s="87">
        <f>金币!B13</f>
        <v>11</v>
      </c>
      <c r="C12" s="7">
        <f>IF(金币!C13="","",金币!$B13*金币!C13)</f>
        <v>0</v>
      </c>
      <c r="D12" s="7" t="str">
        <f>IF(金币!D13="","",金币!$B13*金币!D13)</f>
        <v/>
      </c>
      <c r="E12" s="7" t="str">
        <f>IF(金币!E13="","",金币!$B13*金币!E13)</f>
        <v/>
      </c>
      <c r="F12" s="7">
        <f>IF(金币!F13="","",金币!$B13*金币!F13)</f>
        <v>0</v>
      </c>
      <c r="G12" s="7" t="str">
        <f>IF(金币!G13="","",金币!$B13*金币!G13)</f>
        <v/>
      </c>
      <c r="H12" s="7" t="str">
        <f>IF(金币!H13="","",金币!$B13*金币!H13)</f>
        <v/>
      </c>
      <c r="I12" s="7" t="str">
        <f>IF(金币!I13="","",金币!$B13*金币!I13)</f>
        <v/>
      </c>
      <c r="J12" s="7" t="str">
        <f>IF(金币!J13="","",金币!$B13*金币!J13)</f>
        <v/>
      </c>
      <c r="K12" s="7">
        <f>IF(金币!K13="","",金币!$B13*金币!K13)</f>
        <v>0</v>
      </c>
      <c r="L12" s="7">
        <f>IF(金币!L13="","",金币!$B13*金币!L13)</f>
        <v>0</v>
      </c>
      <c r="M12" s="7" t="str">
        <f>IF(金币!M13="","",金币!$B13*金币!M13)</f>
        <v/>
      </c>
      <c r="N12" s="7" t="str">
        <f>IF(金币!N13="","",金币!$B13*金币!N13)</f>
        <v/>
      </c>
      <c r="O12" s="7" t="str">
        <f>IF(金币!O13="","",金币!$B13*金币!O13)</f>
        <v/>
      </c>
      <c r="P12" s="7" t="str">
        <f>IF(金币!P13="","",金币!$B13*金币!P13)</f>
        <v/>
      </c>
      <c r="Q12" s="7">
        <f>IF(金币!Q13="","",金币!$B13*金币!Q13)</f>
        <v>110</v>
      </c>
      <c r="R12" s="7" t="str">
        <f>IF(金币!R13="","",金币!$B13*金币!R13)</f>
        <v/>
      </c>
      <c r="S12" s="7">
        <f>IF(金币!S13="","",金币!$B13*金币!S13)</f>
        <v>0</v>
      </c>
      <c r="T12" s="7" t="str">
        <f>IF(金币!T13="","",金币!$B13*金币!T13)</f>
        <v/>
      </c>
      <c r="U12" s="7" t="str">
        <f>IF(金币!U13="","",金币!$B13*金币!U13)</f>
        <v/>
      </c>
      <c r="V12" s="7">
        <f>IF(金币!V13="","",金币!$B13*金币!V13)</f>
        <v>0</v>
      </c>
      <c r="W12" s="7" t="str">
        <f>IF(金币!W13="","",金币!$B13*金币!W13)</f>
        <v/>
      </c>
      <c r="X12" s="7" t="str">
        <f>IF(金币!X13="","",金币!$B13*金币!X13)</f>
        <v/>
      </c>
      <c r="Y12" s="7" t="str">
        <f>IF(金币!Y13="","",金币!$B13*金币!Y13)</f>
        <v/>
      </c>
      <c r="Z12" s="7">
        <f>IF(金币!Z13="","",金币!$B13*金币!Z13)</f>
        <v>0</v>
      </c>
      <c r="AA12" s="7" t="str">
        <f>IF(金币!AA13="","",金币!$B13*金币!AA13)</f>
        <v/>
      </c>
      <c r="AB12" s="7" t="str">
        <f>IF(金币!AB13="","",金币!$B13*金币!AB13)</f>
        <v/>
      </c>
      <c r="AC12" s="7" t="str">
        <f>IF(金币!AC13="","",金币!$B13*金币!AC13)</f>
        <v/>
      </c>
      <c r="AD12" s="7" t="str">
        <f>IF(金币!AD13="","",金币!$B13*金币!AD13)</f>
        <v/>
      </c>
      <c r="AE12" s="7" t="str">
        <f>IF(金币!AE13="","",金币!$B13*金币!AE13)</f>
        <v/>
      </c>
      <c r="AF12" s="7">
        <f>IF(金币!AF13="","",金币!$B13*金币!AF13)</f>
        <v>0</v>
      </c>
      <c r="AG12" s="7">
        <f>金币!AI13</f>
        <v>0</v>
      </c>
    </row>
    <row r="13" spans="1:33">
      <c r="A13" s="32">
        <v>12</v>
      </c>
      <c r="B13" s="87">
        <f>金币!B14</f>
        <v>12</v>
      </c>
      <c r="C13" s="7">
        <f>IF(金币!C14="","",金币!$B14*金币!C14)</f>
        <v>0</v>
      </c>
      <c r="D13" s="7" t="str">
        <f>IF(金币!D14="","",金币!$B14*金币!D14)</f>
        <v/>
      </c>
      <c r="E13" s="7" t="str">
        <f>IF(金币!E14="","",金币!$B14*金币!E14)</f>
        <v/>
      </c>
      <c r="F13" s="7">
        <f>IF(金币!F14="","",金币!$B14*金币!F14)</f>
        <v>0</v>
      </c>
      <c r="G13" s="7" t="str">
        <f>IF(金币!G14="","",金币!$B14*金币!G14)</f>
        <v/>
      </c>
      <c r="H13" s="7" t="str">
        <f>IF(金币!H14="","",金币!$B14*金币!H14)</f>
        <v/>
      </c>
      <c r="I13" s="7" t="str">
        <f>IF(金币!I14="","",金币!$B14*金币!I14)</f>
        <v/>
      </c>
      <c r="J13" s="7" t="str">
        <f>IF(金币!J14="","",金币!$B14*金币!J14)</f>
        <v/>
      </c>
      <c r="K13" s="7">
        <f>IF(金币!K14="","",金币!$B14*金币!K14)</f>
        <v>0</v>
      </c>
      <c r="L13" s="7">
        <f>IF(金币!L14="","",金币!$B14*金币!L14)</f>
        <v>0</v>
      </c>
      <c r="M13" s="7" t="str">
        <f>IF(金币!M14="","",金币!$B14*金币!M14)</f>
        <v/>
      </c>
      <c r="N13" s="7" t="str">
        <f>IF(金币!N14="","",金币!$B14*金币!N14)</f>
        <v/>
      </c>
      <c r="O13" s="7" t="str">
        <f>IF(金币!O14="","",金币!$B14*金币!O14)</f>
        <v/>
      </c>
      <c r="P13" s="7" t="str">
        <f>IF(金币!P14="","",金币!$B14*金币!P14)</f>
        <v/>
      </c>
      <c r="Q13" s="7">
        <f>IF(金币!Q14="","",金币!$B14*金币!Q14)</f>
        <v>120</v>
      </c>
      <c r="R13" s="7" t="str">
        <f>IF(金币!R14="","",金币!$B14*金币!R14)</f>
        <v/>
      </c>
      <c r="S13" s="7">
        <f>IF(金币!S14="","",金币!$B14*金币!S14)</f>
        <v>0</v>
      </c>
      <c r="T13" s="7" t="str">
        <f>IF(金币!T14="","",金币!$B14*金币!T14)</f>
        <v/>
      </c>
      <c r="U13" s="7" t="str">
        <f>IF(金币!U14="","",金币!$B14*金币!U14)</f>
        <v/>
      </c>
      <c r="V13" s="7">
        <f>IF(金币!V14="","",金币!$B14*金币!V14)</f>
        <v>0</v>
      </c>
      <c r="W13" s="7" t="str">
        <f>IF(金币!W14="","",金币!$B14*金币!W14)</f>
        <v/>
      </c>
      <c r="X13" s="7" t="str">
        <f>IF(金币!X14="","",金币!$B14*金币!X14)</f>
        <v/>
      </c>
      <c r="Y13" s="7" t="str">
        <f>IF(金币!Y14="","",金币!$B14*金币!Y14)</f>
        <v/>
      </c>
      <c r="Z13" s="7">
        <f>IF(金币!Z14="","",金币!$B14*金币!Z14)</f>
        <v>0</v>
      </c>
      <c r="AA13" s="7" t="str">
        <f>IF(金币!AA14="","",金币!$B14*金币!AA14)</f>
        <v/>
      </c>
      <c r="AB13" s="7" t="str">
        <f>IF(金币!AB14="","",金币!$B14*金币!AB14)</f>
        <v/>
      </c>
      <c r="AC13" s="7" t="str">
        <f>IF(金币!AC14="","",金币!$B14*金币!AC14)</f>
        <v/>
      </c>
      <c r="AD13" s="7" t="str">
        <f>IF(金币!AD14="","",金币!$B14*金币!AD14)</f>
        <v/>
      </c>
      <c r="AE13" s="7" t="str">
        <f>IF(金币!AE14="","",金币!$B14*金币!AE14)</f>
        <v/>
      </c>
      <c r="AF13" s="7">
        <f>IF(金币!AF14="","",金币!$B14*金币!AF14)</f>
        <v>0</v>
      </c>
      <c r="AG13" s="7">
        <f>金币!AI14</f>
        <v>0</v>
      </c>
    </row>
    <row r="14" spans="1:33">
      <c r="A14" s="32">
        <v>13</v>
      </c>
      <c r="B14" s="87">
        <f>金币!B15</f>
        <v>13</v>
      </c>
      <c r="C14" s="7">
        <f>IF(金币!C15="","",金币!$B15*金币!C15)</f>
        <v>0</v>
      </c>
      <c r="D14" s="7" t="str">
        <f>IF(金币!D15="","",金币!$B15*金币!D15)</f>
        <v/>
      </c>
      <c r="E14" s="7" t="str">
        <f>IF(金币!E15="","",金币!$B15*金币!E15)</f>
        <v/>
      </c>
      <c r="F14" s="7">
        <f>IF(金币!F15="","",金币!$B15*金币!F15)</f>
        <v>0</v>
      </c>
      <c r="G14" s="7" t="str">
        <f>IF(金币!G15="","",金币!$B15*金币!G15)</f>
        <v/>
      </c>
      <c r="H14" s="7" t="str">
        <f>IF(金币!H15="","",金币!$B15*金币!H15)</f>
        <v/>
      </c>
      <c r="I14" s="7" t="str">
        <f>IF(金币!I15="","",金币!$B15*金币!I15)</f>
        <v/>
      </c>
      <c r="J14" s="7" t="str">
        <f>IF(金币!J15="","",金币!$B15*金币!J15)</f>
        <v/>
      </c>
      <c r="K14" s="7">
        <f>IF(金币!K15="","",金币!$B15*金币!K15)</f>
        <v>0</v>
      </c>
      <c r="L14" s="7">
        <f>IF(金币!L15="","",金币!$B15*金币!L15)</f>
        <v>0</v>
      </c>
      <c r="M14" s="7" t="str">
        <f>IF(金币!M15="","",金币!$B15*金币!M15)</f>
        <v/>
      </c>
      <c r="N14" s="7" t="str">
        <f>IF(金币!N15="","",金币!$B15*金币!N15)</f>
        <v/>
      </c>
      <c r="O14" s="7" t="str">
        <f>IF(金币!O15="","",金币!$B15*金币!O15)</f>
        <v/>
      </c>
      <c r="P14" s="7" t="str">
        <f>IF(金币!P15="","",金币!$B15*金币!P15)</f>
        <v/>
      </c>
      <c r="Q14" s="7">
        <f>IF(金币!Q15="","",金币!$B15*金币!Q15)</f>
        <v>130</v>
      </c>
      <c r="R14" s="7" t="str">
        <f>IF(金币!R15="","",金币!$B15*金币!R15)</f>
        <v/>
      </c>
      <c r="S14" s="7">
        <f>IF(金币!S15="","",金币!$B15*金币!S15)</f>
        <v>0</v>
      </c>
      <c r="T14" s="7" t="str">
        <f>IF(金币!T15="","",金币!$B15*金币!T15)</f>
        <v/>
      </c>
      <c r="U14" s="7" t="str">
        <f>IF(金币!U15="","",金币!$B15*金币!U15)</f>
        <v/>
      </c>
      <c r="V14" s="7">
        <f>IF(金币!V15="","",金币!$B15*金币!V15)</f>
        <v>0</v>
      </c>
      <c r="W14" s="7" t="str">
        <f>IF(金币!W15="","",金币!$B15*金币!W15)</f>
        <v/>
      </c>
      <c r="X14" s="7" t="str">
        <f>IF(金币!X15="","",金币!$B15*金币!X15)</f>
        <v/>
      </c>
      <c r="Y14" s="7" t="str">
        <f>IF(金币!Y15="","",金币!$B15*金币!Y15)</f>
        <v/>
      </c>
      <c r="Z14" s="7">
        <f>IF(金币!Z15="","",金币!$B15*金币!Z15)</f>
        <v>0</v>
      </c>
      <c r="AA14" s="7" t="str">
        <f>IF(金币!AA15="","",金币!$B15*金币!AA15)</f>
        <v/>
      </c>
      <c r="AB14" s="7" t="str">
        <f>IF(金币!AB15="","",金币!$B15*金币!AB15)</f>
        <v/>
      </c>
      <c r="AC14" s="7" t="str">
        <f>IF(金币!AC15="","",金币!$B15*金币!AC15)</f>
        <v/>
      </c>
      <c r="AD14" s="7" t="str">
        <f>IF(金币!AD15="","",金币!$B15*金币!AD15)</f>
        <v/>
      </c>
      <c r="AE14" s="7" t="str">
        <f>IF(金币!AE15="","",金币!$B15*金币!AE15)</f>
        <v/>
      </c>
      <c r="AF14" s="7">
        <f>IF(金币!AF15="","",金币!$B15*金币!AF15)</f>
        <v>0</v>
      </c>
      <c r="AG14" s="7">
        <f>金币!AI15</f>
        <v>0</v>
      </c>
    </row>
    <row r="15" spans="1:33">
      <c r="A15" s="32">
        <v>14</v>
      </c>
      <c r="B15" s="87">
        <f>金币!B16</f>
        <v>14</v>
      </c>
      <c r="C15" s="7">
        <f>IF(金币!C16="","",金币!$B16*金币!C16)</f>
        <v>0</v>
      </c>
      <c r="D15" s="7" t="str">
        <f>IF(金币!D16="","",金币!$B16*金币!D16)</f>
        <v/>
      </c>
      <c r="E15" s="7" t="str">
        <f>IF(金币!E16="","",金币!$B16*金币!E16)</f>
        <v/>
      </c>
      <c r="F15" s="7">
        <f>IF(金币!F16="","",金币!$B16*金币!F16)</f>
        <v>0</v>
      </c>
      <c r="G15" s="7" t="str">
        <f>IF(金币!G16="","",金币!$B16*金币!G16)</f>
        <v/>
      </c>
      <c r="H15" s="7" t="str">
        <f>IF(金币!H16="","",金币!$B16*金币!H16)</f>
        <v/>
      </c>
      <c r="I15" s="7" t="str">
        <f>IF(金币!I16="","",金币!$B16*金币!I16)</f>
        <v/>
      </c>
      <c r="J15" s="7" t="str">
        <f>IF(金币!J16="","",金币!$B16*金币!J16)</f>
        <v/>
      </c>
      <c r="K15" s="7">
        <f>IF(金币!K16="","",金币!$B16*金币!K16)</f>
        <v>0</v>
      </c>
      <c r="L15" s="7">
        <f>IF(金币!L16="","",金币!$B16*金币!L16)</f>
        <v>0</v>
      </c>
      <c r="M15" s="7" t="str">
        <f>IF(金币!M16="","",金币!$B16*金币!M16)</f>
        <v/>
      </c>
      <c r="N15" s="7" t="str">
        <f>IF(金币!N16="","",金币!$B16*金币!N16)</f>
        <v/>
      </c>
      <c r="O15" s="7" t="str">
        <f>IF(金币!O16="","",金币!$B16*金币!O16)</f>
        <v/>
      </c>
      <c r="P15" s="7" t="str">
        <f>IF(金币!P16="","",金币!$B16*金币!P16)</f>
        <v/>
      </c>
      <c r="Q15" s="7">
        <f>IF(金币!Q16="","",金币!$B16*金币!Q16)</f>
        <v>140</v>
      </c>
      <c r="R15" s="7" t="str">
        <f>IF(金币!R16="","",金币!$B16*金币!R16)</f>
        <v/>
      </c>
      <c r="S15" s="7">
        <f>IF(金币!S16="","",金币!$B16*金币!S16)</f>
        <v>0</v>
      </c>
      <c r="T15" s="7" t="str">
        <f>IF(金币!T16="","",金币!$B16*金币!T16)</f>
        <v/>
      </c>
      <c r="U15" s="7" t="str">
        <f>IF(金币!U16="","",金币!$B16*金币!U16)</f>
        <v/>
      </c>
      <c r="V15" s="7">
        <f>IF(金币!V16="","",金币!$B16*金币!V16)</f>
        <v>0</v>
      </c>
      <c r="W15" s="7" t="str">
        <f>IF(金币!W16="","",金币!$B16*金币!W16)</f>
        <v/>
      </c>
      <c r="X15" s="7" t="str">
        <f>IF(金币!X16="","",金币!$B16*金币!X16)</f>
        <v/>
      </c>
      <c r="Y15" s="7" t="str">
        <f>IF(金币!Y16="","",金币!$B16*金币!Y16)</f>
        <v/>
      </c>
      <c r="Z15" s="7">
        <f>IF(金币!Z16="","",金币!$B16*金币!Z16)</f>
        <v>0</v>
      </c>
      <c r="AA15" s="7" t="str">
        <f>IF(金币!AA16="","",金币!$B16*金币!AA16)</f>
        <v/>
      </c>
      <c r="AB15" s="7" t="str">
        <f>IF(金币!AB16="","",金币!$B16*金币!AB16)</f>
        <v/>
      </c>
      <c r="AC15" s="7" t="str">
        <f>IF(金币!AC16="","",金币!$B16*金币!AC16)</f>
        <v/>
      </c>
      <c r="AD15" s="7" t="str">
        <f>IF(金币!AD16="","",金币!$B16*金币!AD16)</f>
        <v/>
      </c>
      <c r="AE15" s="7" t="str">
        <f>IF(金币!AE16="","",金币!$B16*金币!AE16)</f>
        <v/>
      </c>
      <c r="AF15" s="7">
        <f>IF(金币!AF16="","",金币!$B16*金币!AF16)</f>
        <v>0</v>
      </c>
      <c r="AG15" s="7">
        <f>金币!AI16</f>
        <v>0</v>
      </c>
    </row>
    <row r="16" spans="1:33">
      <c r="A16" s="32">
        <v>15</v>
      </c>
      <c r="B16" s="87">
        <f>金币!B17</f>
        <v>15</v>
      </c>
      <c r="C16" s="7">
        <f>IF(金币!C17="","",金币!$B17*金币!C17)</f>
        <v>120</v>
      </c>
      <c r="D16" s="7" t="str">
        <f>IF(金币!D17="","",金币!$B17*金币!D17)</f>
        <v/>
      </c>
      <c r="E16" s="7" t="str">
        <f>IF(金币!E17="","",金币!$B17*金币!E17)</f>
        <v/>
      </c>
      <c r="F16" s="7">
        <f>IF(金币!F17="","",金币!$B17*金币!F17)</f>
        <v>0</v>
      </c>
      <c r="G16" s="7" t="str">
        <f>IF(金币!G17="","",金币!$B17*金币!G17)</f>
        <v/>
      </c>
      <c r="H16" s="7" t="str">
        <f>IF(金币!H17="","",金币!$B17*金币!H17)</f>
        <v/>
      </c>
      <c r="I16" s="7" t="str">
        <f>IF(金币!I17="","",金币!$B17*金币!I17)</f>
        <v/>
      </c>
      <c r="J16" s="7" t="str">
        <f>IF(金币!J17="","",金币!$B17*金币!J17)</f>
        <v/>
      </c>
      <c r="K16" s="7">
        <f>IF(金币!K17="","",金币!$B17*金币!K17)</f>
        <v>0</v>
      </c>
      <c r="L16" s="7">
        <f>IF(金币!L17="","",金币!$B17*金币!L17)</f>
        <v>0</v>
      </c>
      <c r="M16" s="7" t="str">
        <f>IF(金币!M17="","",金币!$B17*金币!M17)</f>
        <v/>
      </c>
      <c r="N16" s="7" t="str">
        <f>IF(金币!N17="","",金币!$B17*金币!N17)</f>
        <v/>
      </c>
      <c r="O16" s="7" t="str">
        <f>IF(金币!O17="","",金币!$B17*金币!O17)</f>
        <v/>
      </c>
      <c r="P16" s="7" t="str">
        <f>IF(金币!P17="","",金币!$B17*金币!P17)</f>
        <v/>
      </c>
      <c r="Q16" s="7">
        <f>IF(金币!Q17="","",金币!$B17*金币!Q17)</f>
        <v>150</v>
      </c>
      <c r="R16" s="7" t="str">
        <f>IF(金币!R17="","",金币!$B17*金币!R17)</f>
        <v/>
      </c>
      <c r="S16" s="7">
        <f>IF(金币!S17="","",金币!$B17*金币!S17)</f>
        <v>0</v>
      </c>
      <c r="T16" s="7" t="str">
        <f>IF(金币!T17="","",金币!$B17*金币!T17)</f>
        <v/>
      </c>
      <c r="U16" s="7" t="str">
        <f>IF(金币!U17="","",金币!$B17*金币!U17)</f>
        <v/>
      </c>
      <c r="V16" s="7">
        <f>IF(金币!V17="","",金币!$B17*金币!V17)</f>
        <v>0</v>
      </c>
      <c r="W16" s="7" t="str">
        <f>IF(金币!W17="","",金币!$B17*金币!W17)</f>
        <v/>
      </c>
      <c r="X16" s="7" t="str">
        <f>IF(金币!X17="","",金币!$B17*金币!X17)</f>
        <v/>
      </c>
      <c r="Y16" s="7" t="str">
        <f>IF(金币!Y17="","",金币!$B17*金币!Y17)</f>
        <v/>
      </c>
      <c r="Z16" s="7">
        <f>IF(金币!Z17="","",金币!$B17*金币!Z17)</f>
        <v>0</v>
      </c>
      <c r="AA16" s="7" t="str">
        <f>IF(金币!AA17="","",金币!$B17*金币!AA17)</f>
        <v/>
      </c>
      <c r="AB16" s="7" t="str">
        <f>IF(金币!AB17="","",金币!$B17*金币!AB17)</f>
        <v/>
      </c>
      <c r="AC16" s="7" t="str">
        <f>IF(金币!AC17="","",金币!$B17*金币!AC17)</f>
        <v/>
      </c>
      <c r="AD16" s="7" t="str">
        <f>IF(金币!AD17="","",金币!$B17*金币!AD17)</f>
        <v/>
      </c>
      <c r="AE16" s="7" t="str">
        <f>IF(金币!AE17="","",金币!$B17*金币!AE17)</f>
        <v/>
      </c>
      <c r="AF16" s="7">
        <f>IF(金币!AF17="","",金币!$B17*金币!AF17)</f>
        <v>0</v>
      </c>
      <c r="AG16" s="7">
        <f>金币!AI17</f>
        <v>0</v>
      </c>
    </row>
    <row r="17" spans="1:33">
      <c r="A17" s="32">
        <v>16</v>
      </c>
      <c r="B17" s="87">
        <f>金币!B18</f>
        <v>16</v>
      </c>
      <c r="C17" s="7">
        <f>IF(金币!C18="","",金币!$B18*金币!C18)</f>
        <v>128</v>
      </c>
      <c r="D17" s="7" t="str">
        <f>IF(金币!D18="","",金币!$B18*金币!D18)</f>
        <v/>
      </c>
      <c r="E17" s="7" t="str">
        <f>IF(金币!E18="","",金币!$B18*金币!E18)</f>
        <v/>
      </c>
      <c r="F17" s="7">
        <f>IF(金币!F18="","",金币!$B18*金币!F18)</f>
        <v>0</v>
      </c>
      <c r="G17" s="7" t="str">
        <f>IF(金币!G18="","",金币!$B18*金币!G18)</f>
        <v/>
      </c>
      <c r="H17" s="7" t="str">
        <f>IF(金币!H18="","",金币!$B18*金币!H18)</f>
        <v/>
      </c>
      <c r="I17" s="7" t="str">
        <f>IF(金币!I18="","",金币!$B18*金币!I18)</f>
        <v/>
      </c>
      <c r="J17" s="7" t="str">
        <f>IF(金币!J18="","",金币!$B18*金币!J18)</f>
        <v/>
      </c>
      <c r="K17" s="7">
        <f>IF(金币!K18="","",金币!$B18*金币!K18)</f>
        <v>0</v>
      </c>
      <c r="L17" s="7">
        <f>IF(金币!L18="","",金币!$B18*金币!L18)</f>
        <v>0</v>
      </c>
      <c r="M17" s="7" t="str">
        <f>IF(金币!M18="","",金币!$B18*金币!M18)</f>
        <v/>
      </c>
      <c r="N17" s="7" t="str">
        <f>IF(金币!N18="","",金币!$B18*金币!N18)</f>
        <v/>
      </c>
      <c r="O17" s="7" t="str">
        <f>IF(金币!O18="","",金币!$B18*金币!O18)</f>
        <v/>
      </c>
      <c r="P17" s="7" t="str">
        <f>IF(金币!P18="","",金币!$B18*金币!P18)</f>
        <v/>
      </c>
      <c r="Q17" s="7">
        <f>IF(金币!Q18="","",金币!$B18*金币!Q18)</f>
        <v>160</v>
      </c>
      <c r="R17" s="7" t="str">
        <f>IF(金币!R18="","",金币!$B18*金币!R18)</f>
        <v/>
      </c>
      <c r="S17" s="7">
        <f>IF(金币!S18="","",金币!$B18*金币!S18)</f>
        <v>0</v>
      </c>
      <c r="T17" s="7" t="str">
        <f>IF(金币!T18="","",金币!$B18*金币!T18)</f>
        <v/>
      </c>
      <c r="U17" s="7" t="str">
        <f>IF(金币!U18="","",金币!$B18*金币!U18)</f>
        <v/>
      </c>
      <c r="V17" s="7">
        <f>IF(金币!V18="","",金币!$B18*金币!V18)</f>
        <v>0</v>
      </c>
      <c r="W17" s="7" t="str">
        <f>IF(金币!W18="","",金币!$B18*金币!W18)</f>
        <v/>
      </c>
      <c r="X17" s="7" t="str">
        <f>IF(金币!X18="","",金币!$B18*金币!X18)</f>
        <v/>
      </c>
      <c r="Y17" s="7" t="str">
        <f>IF(金币!Y18="","",金币!$B18*金币!Y18)</f>
        <v/>
      </c>
      <c r="Z17" s="7">
        <f>IF(金币!Z18="","",金币!$B18*金币!Z18)</f>
        <v>0</v>
      </c>
      <c r="AA17" s="7" t="str">
        <f>IF(金币!AA18="","",金币!$B18*金币!AA18)</f>
        <v/>
      </c>
      <c r="AB17" s="7" t="str">
        <f>IF(金币!AB18="","",金币!$B18*金币!AB18)</f>
        <v/>
      </c>
      <c r="AC17" s="7" t="str">
        <f>IF(金币!AC18="","",金币!$B18*金币!AC18)</f>
        <v/>
      </c>
      <c r="AD17" s="7" t="str">
        <f>IF(金币!AD18="","",金币!$B18*金币!AD18)</f>
        <v/>
      </c>
      <c r="AE17" s="7" t="str">
        <f>IF(金币!AE18="","",金币!$B18*金币!AE18)</f>
        <v/>
      </c>
      <c r="AF17" s="7">
        <f>IF(金币!AF18="","",金币!$B18*金币!AF18)</f>
        <v>0</v>
      </c>
      <c r="AG17" s="7">
        <f>金币!AI18</f>
        <v>0</v>
      </c>
    </row>
    <row r="18" spans="1:33">
      <c r="A18" s="32">
        <v>17</v>
      </c>
      <c r="B18" s="87">
        <f>金币!B19</f>
        <v>17</v>
      </c>
      <c r="C18" s="7">
        <f>IF(金币!C19="","",金币!$B19*金币!C19)</f>
        <v>136</v>
      </c>
      <c r="D18" s="7" t="str">
        <f>IF(金币!D19="","",金币!$B19*金币!D19)</f>
        <v/>
      </c>
      <c r="E18" s="7" t="str">
        <f>IF(金币!E19="","",金币!$B19*金币!E19)</f>
        <v/>
      </c>
      <c r="F18" s="7">
        <f>IF(金币!F19="","",金币!$B19*金币!F19)</f>
        <v>0</v>
      </c>
      <c r="G18" s="7" t="str">
        <f>IF(金币!G19="","",金币!$B19*金币!G19)</f>
        <v/>
      </c>
      <c r="H18" s="7" t="str">
        <f>IF(金币!H19="","",金币!$B19*金币!H19)</f>
        <v/>
      </c>
      <c r="I18" s="7" t="str">
        <f>IF(金币!I19="","",金币!$B19*金币!I19)</f>
        <v/>
      </c>
      <c r="J18" s="7" t="str">
        <f>IF(金币!J19="","",金币!$B19*金币!J19)</f>
        <v/>
      </c>
      <c r="K18" s="7">
        <f>IF(金币!K19="","",金币!$B19*金币!K19)</f>
        <v>0</v>
      </c>
      <c r="L18" s="7">
        <f>IF(金币!L19="","",金币!$B19*金币!L19)</f>
        <v>0</v>
      </c>
      <c r="M18" s="7" t="str">
        <f>IF(金币!M19="","",金币!$B19*金币!M19)</f>
        <v/>
      </c>
      <c r="N18" s="7" t="str">
        <f>IF(金币!N19="","",金币!$B19*金币!N19)</f>
        <v/>
      </c>
      <c r="O18" s="7" t="str">
        <f>IF(金币!O19="","",金币!$B19*金币!O19)</f>
        <v/>
      </c>
      <c r="P18" s="7" t="str">
        <f>IF(金币!P19="","",金币!$B19*金币!P19)</f>
        <v/>
      </c>
      <c r="Q18" s="7">
        <f>IF(金币!Q19="","",金币!$B19*金币!Q19)</f>
        <v>170</v>
      </c>
      <c r="R18" s="7" t="str">
        <f>IF(金币!R19="","",金币!$B19*金币!R19)</f>
        <v/>
      </c>
      <c r="S18" s="7">
        <f>IF(金币!S19="","",金币!$B19*金币!S19)</f>
        <v>0</v>
      </c>
      <c r="T18" s="7" t="str">
        <f>IF(金币!T19="","",金币!$B19*金币!T19)</f>
        <v/>
      </c>
      <c r="U18" s="7" t="str">
        <f>IF(金币!U19="","",金币!$B19*金币!U19)</f>
        <v/>
      </c>
      <c r="V18" s="7">
        <f>IF(金币!V19="","",金币!$B19*金币!V19)</f>
        <v>0</v>
      </c>
      <c r="W18" s="7" t="str">
        <f>IF(金币!W19="","",金币!$B19*金币!W19)</f>
        <v/>
      </c>
      <c r="X18" s="7" t="str">
        <f>IF(金币!X19="","",金币!$B19*金币!X19)</f>
        <v/>
      </c>
      <c r="Y18" s="7" t="str">
        <f>IF(金币!Y19="","",金币!$B19*金币!Y19)</f>
        <v/>
      </c>
      <c r="Z18" s="7">
        <f>IF(金币!Z19="","",金币!$B19*金币!Z19)</f>
        <v>0</v>
      </c>
      <c r="AA18" s="7" t="str">
        <f>IF(金币!AA19="","",金币!$B19*金币!AA19)</f>
        <v/>
      </c>
      <c r="AB18" s="7" t="str">
        <f>IF(金币!AB19="","",金币!$B19*金币!AB19)</f>
        <v/>
      </c>
      <c r="AC18" s="7" t="str">
        <f>IF(金币!AC19="","",金币!$B19*金币!AC19)</f>
        <v/>
      </c>
      <c r="AD18" s="7" t="str">
        <f>IF(金币!AD19="","",金币!$B19*金币!AD19)</f>
        <v/>
      </c>
      <c r="AE18" s="7" t="str">
        <f>IF(金币!AE19="","",金币!$B19*金币!AE19)</f>
        <v/>
      </c>
      <c r="AF18" s="7">
        <f>IF(金币!AF19="","",金币!$B19*金币!AF19)</f>
        <v>0</v>
      </c>
      <c r="AG18" s="7">
        <f>金币!AI19</f>
        <v>0</v>
      </c>
    </row>
    <row r="19" spans="1:33">
      <c r="A19" s="32">
        <v>18</v>
      </c>
      <c r="B19" s="87">
        <f>金币!B20</f>
        <v>18</v>
      </c>
      <c r="C19" s="7">
        <f>IF(金币!C20="","",金币!$B20*金币!C20)</f>
        <v>144</v>
      </c>
      <c r="D19" s="7" t="str">
        <f>IF(金币!D20="","",金币!$B20*金币!D20)</f>
        <v/>
      </c>
      <c r="E19" s="7" t="str">
        <f>IF(金币!E20="","",金币!$B20*金币!E20)</f>
        <v/>
      </c>
      <c r="F19" s="7">
        <f>IF(金币!F20="","",金币!$B20*金币!F20)</f>
        <v>0</v>
      </c>
      <c r="G19" s="7" t="str">
        <f>IF(金币!G20="","",金币!$B20*金币!G20)</f>
        <v/>
      </c>
      <c r="H19" s="7" t="str">
        <f>IF(金币!H20="","",金币!$B20*金币!H20)</f>
        <v/>
      </c>
      <c r="I19" s="7" t="str">
        <f>IF(金币!I20="","",金币!$B20*金币!I20)</f>
        <v/>
      </c>
      <c r="J19" s="7" t="str">
        <f>IF(金币!J20="","",金币!$B20*金币!J20)</f>
        <v/>
      </c>
      <c r="K19" s="7">
        <f>IF(金币!K20="","",金币!$B20*金币!K20)</f>
        <v>0</v>
      </c>
      <c r="L19" s="7">
        <f>IF(金币!L20="","",金币!$B20*金币!L20)</f>
        <v>0</v>
      </c>
      <c r="M19" s="7" t="str">
        <f>IF(金币!M20="","",金币!$B20*金币!M20)</f>
        <v/>
      </c>
      <c r="N19" s="7" t="str">
        <f>IF(金币!N20="","",金币!$B20*金币!N20)</f>
        <v/>
      </c>
      <c r="O19" s="7" t="str">
        <f>IF(金币!O20="","",金币!$B20*金币!O20)</f>
        <v/>
      </c>
      <c r="P19" s="7" t="str">
        <f>IF(金币!P20="","",金币!$B20*金币!P20)</f>
        <v/>
      </c>
      <c r="Q19" s="7">
        <f>IF(金币!Q20="","",金币!$B20*金币!Q20)</f>
        <v>180</v>
      </c>
      <c r="R19" s="7" t="str">
        <f>IF(金币!R20="","",金币!$B20*金币!R20)</f>
        <v/>
      </c>
      <c r="S19" s="7">
        <f>IF(金币!S20="","",金币!$B20*金币!S20)</f>
        <v>0</v>
      </c>
      <c r="T19" s="7" t="str">
        <f>IF(金币!T20="","",金币!$B20*金币!T20)</f>
        <v/>
      </c>
      <c r="U19" s="7" t="str">
        <f>IF(金币!U20="","",金币!$B20*金币!U20)</f>
        <v/>
      </c>
      <c r="V19" s="7">
        <f>IF(金币!V20="","",金币!$B20*金币!V20)</f>
        <v>0</v>
      </c>
      <c r="W19" s="7" t="str">
        <f>IF(金币!W20="","",金币!$B20*金币!W20)</f>
        <v/>
      </c>
      <c r="X19" s="7" t="str">
        <f>IF(金币!X20="","",金币!$B20*金币!X20)</f>
        <v/>
      </c>
      <c r="Y19" s="7" t="str">
        <f>IF(金币!Y20="","",金币!$B20*金币!Y20)</f>
        <v/>
      </c>
      <c r="Z19" s="7">
        <f>IF(金币!Z20="","",金币!$B20*金币!Z20)</f>
        <v>0</v>
      </c>
      <c r="AA19" s="7" t="str">
        <f>IF(金币!AA20="","",金币!$B20*金币!AA20)</f>
        <v/>
      </c>
      <c r="AB19" s="7" t="str">
        <f>IF(金币!AB20="","",金币!$B20*金币!AB20)</f>
        <v/>
      </c>
      <c r="AC19" s="7" t="str">
        <f>IF(金币!AC20="","",金币!$B20*金币!AC20)</f>
        <v/>
      </c>
      <c r="AD19" s="7" t="str">
        <f>IF(金币!AD20="","",金币!$B20*金币!AD20)</f>
        <v/>
      </c>
      <c r="AE19" s="7" t="str">
        <f>IF(金币!AE20="","",金币!$B20*金币!AE20)</f>
        <v/>
      </c>
      <c r="AF19" s="7">
        <f>IF(金币!AF20="","",金币!$B20*金币!AF20)</f>
        <v>0</v>
      </c>
      <c r="AG19" s="7">
        <f>金币!AI20</f>
        <v>0</v>
      </c>
    </row>
    <row r="20" spans="1:33">
      <c r="A20" s="32">
        <v>19</v>
      </c>
      <c r="B20" s="87">
        <f>金币!B21</f>
        <v>19</v>
      </c>
      <c r="C20" s="7">
        <f>IF(金币!C21="","",金币!$B21*金币!C21)</f>
        <v>152</v>
      </c>
      <c r="D20" s="7" t="str">
        <f>IF(金币!D21="","",金币!$B21*金币!D21)</f>
        <v/>
      </c>
      <c r="E20" s="7" t="str">
        <f>IF(金币!E21="","",金币!$B21*金币!E21)</f>
        <v/>
      </c>
      <c r="F20" s="7">
        <f>IF(金币!F21="","",金币!$B21*金币!F21)</f>
        <v>0</v>
      </c>
      <c r="G20" s="7" t="str">
        <f>IF(金币!G21="","",金币!$B21*金币!G21)</f>
        <v/>
      </c>
      <c r="H20" s="7" t="str">
        <f>IF(金币!H21="","",金币!$B21*金币!H21)</f>
        <v/>
      </c>
      <c r="I20" s="7" t="str">
        <f>IF(金币!I21="","",金币!$B21*金币!I21)</f>
        <v/>
      </c>
      <c r="J20" s="7" t="str">
        <f>IF(金币!J21="","",金币!$B21*金币!J21)</f>
        <v/>
      </c>
      <c r="K20" s="7">
        <f>IF(金币!K21="","",金币!$B21*金币!K21)</f>
        <v>0</v>
      </c>
      <c r="L20" s="7">
        <f>IF(金币!L21="","",金币!$B21*金币!L21)</f>
        <v>0</v>
      </c>
      <c r="M20" s="7" t="str">
        <f>IF(金币!M21="","",金币!$B21*金币!M21)</f>
        <v/>
      </c>
      <c r="N20" s="7" t="str">
        <f>IF(金币!N21="","",金币!$B21*金币!N21)</f>
        <v/>
      </c>
      <c r="O20" s="7" t="str">
        <f>IF(金币!O21="","",金币!$B21*金币!O21)</f>
        <v/>
      </c>
      <c r="P20" s="7" t="str">
        <f>IF(金币!P21="","",金币!$B21*金币!P21)</f>
        <v/>
      </c>
      <c r="Q20" s="7">
        <f>IF(金币!Q21="","",金币!$B21*金币!Q21)</f>
        <v>190</v>
      </c>
      <c r="R20" s="7" t="str">
        <f>IF(金币!R21="","",金币!$B21*金币!R21)</f>
        <v/>
      </c>
      <c r="S20" s="7">
        <f>IF(金币!S21="","",金币!$B21*金币!S21)</f>
        <v>0</v>
      </c>
      <c r="T20" s="7" t="str">
        <f>IF(金币!T21="","",金币!$B21*金币!T21)</f>
        <v/>
      </c>
      <c r="U20" s="7" t="str">
        <f>IF(金币!U21="","",金币!$B21*金币!U21)</f>
        <v/>
      </c>
      <c r="V20" s="7">
        <f>IF(金币!V21="","",金币!$B21*金币!V21)</f>
        <v>0</v>
      </c>
      <c r="W20" s="7" t="str">
        <f>IF(金币!W21="","",金币!$B21*金币!W21)</f>
        <v/>
      </c>
      <c r="X20" s="7" t="str">
        <f>IF(金币!X21="","",金币!$B21*金币!X21)</f>
        <v/>
      </c>
      <c r="Y20" s="7" t="str">
        <f>IF(金币!Y21="","",金币!$B21*金币!Y21)</f>
        <v/>
      </c>
      <c r="Z20" s="7">
        <f>IF(金币!Z21="","",金币!$B21*金币!Z21)</f>
        <v>0</v>
      </c>
      <c r="AA20" s="7" t="str">
        <f>IF(金币!AA21="","",金币!$B21*金币!AA21)</f>
        <v/>
      </c>
      <c r="AB20" s="7" t="str">
        <f>IF(金币!AB21="","",金币!$B21*金币!AB21)</f>
        <v/>
      </c>
      <c r="AC20" s="7" t="str">
        <f>IF(金币!AC21="","",金币!$B21*金币!AC21)</f>
        <v/>
      </c>
      <c r="AD20" s="7" t="str">
        <f>IF(金币!AD21="","",金币!$B21*金币!AD21)</f>
        <v/>
      </c>
      <c r="AE20" s="7" t="str">
        <f>IF(金币!AE21="","",金币!$B21*金币!AE21)</f>
        <v/>
      </c>
      <c r="AF20" s="7">
        <f>IF(金币!AF21="","",金币!$B21*金币!AF21)</f>
        <v>0</v>
      </c>
      <c r="AG20" s="7">
        <f>金币!AI21</f>
        <v>0</v>
      </c>
    </row>
    <row r="21" spans="1:33">
      <c r="A21" s="32">
        <v>20</v>
      </c>
      <c r="B21" s="87">
        <f>金币!B22</f>
        <v>20</v>
      </c>
      <c r="C21" s="7">
        <f>IF(金币!C22="","",金币!$B22*金币!C22)</f>
        <v>160</v>
      </c>
      <c r="D21" s="7" t="str">
        <f>IF(金币!D22="","",金币!$B22*金币!D22)</f>
        <v/>
      </c>
      <c r="E21" s="7" t="str">
        <f>IF(金币!E22="","",金币!$B22*金币!E22)</f>
        <v/>
      </c>
      <c r="F21" s="7">
        <f>IF(金币!F22="","",金币!$B22*金币!F22)</f>
        <v>0</v>
      </c>
      <c r="G21" s="7" t="str">
        <f>IF(金币!G22="","",金币!$B22*金币!G22)</f>
        <v/>
      </c>
      <c r="H21" s="7" t="str">
        <f>IF(金币!H22="","",金币!$B22*金币!H22)</f>
        <v/>
      </c>
      <c r="I21" s="7" t="str">
        <f>IF(金币!I22="","",金币!$B22*金币!I22)</f>
        <v/>
      </c>
      <c r="J21" s="7" t="str">
        <f>IF(金币!J22="","",金币!$B22*金币!J22)</f>
        <v/>
      </c>
      <c r="K21" s="7">
        <f>IF(金币!K22="","",金币!$B22*金币!K22)</f>
        <v>0</v>
      </c>
      <c r="L21" s="7">
        <f>IF(金币!L22="","",金币!$B22*金币!L22)</f>
        <v>0</v>
      </c>
      <c r="M21" s="7" t="str">
        <f>IF(金币!M22="","",金币!$B22*金币!M22)</f>
        <v/>
      </c>
      <c r="N21" s="7" t="str">
        <f>IF(金币!N22="","",金币!$B22*金币!N22)</f>
        <v/>
      </c>
      <c r="O21" s="7" t="str">
        <f>IF(金币!O22="","",金币!$B22*金币!O22)</f>
        <v/>
      </c>
      <c r="P21" s="7" t="str">
        <f>IF(金币!P22="","",金币!$B22*金币!P22)</f>
        <v/>
      </c>
      <c r="Q21" s="7">
        <f>IF(金币!Q22="","",金币!$B22*金币!Q22)</f>
        <v>200</v>
      </c>
      <c r="R21" s="7" t="str">
        <f>IF(金币!R22="","",金币!$B22*金币!R22)</f>
        <v/>
      </c>
      <c r="S21" s="7">
        <f>IF(金币!S22="","",金币!$B22*金币!S22)</f>
        <v>0</v>
      </c>
      <c r="T21" s="7" t="str">
        <f>IF(金币!T22="","",金币!$B22*金币!T22)</f>
        <v/>
      </c>
      <c r="U21" s="7" t="str">
        <f>IF(金币!U22="","",金币!$B22*金币!U22)</f>
        <v/>
      </c>
      <c r="V21" s="7">
        <f>IF(金币!V22="","",金币!$B22*金币!V22)</f>
        <v>0</v>
      </c>
      <c r="W21" s="7" t="str">
        <f>IF(金币!W22="","",金币!$B22*金币!W22)</f>
        <v/>
      </c>
      <c r="X21" s="7" t="str">
        <f>IF(金币!X22="","",金币!$B22*金币!X22)</f>
        <v/>
      </c>
      <c r="Y21" s="7" t="str">
        <f>IF(金币!Y22="","",金币!$B22*金币!Y22)</f>
        <v/>
      </c>
      <c r="Z21" s="7">
        <f>IF(金币!Z22="","",金币!$B22*金币!Z22)</f>
        <v>0</v>
      </c>
      <c r="AA21" s="7" t="str">
        <f>IF(金币!AA22="","",金币!$B22*金币!AA22)</f>
        <v/>
      </c>
      <c r="AB21" s="7" t="str">
        <f>IF(金币!AB22="","",金币!$B22*金币!AB22)</f>
        <v/>
      </c>
      <c r="AC21" s="7" t="str">
        <f>IF(金币!AC22="","",金币!$B22*金币!AC22)</f>
        <v/>
      </c>
      <c r="AD21" s="7" t="str">
        <f>IF(金币!AD22="","",金币!$B22*金币!AD22)</f>
        <v/>
      </c>
      <c r="AE21" s="7" t="str">
        <f>IF(金币!AE22="","",金币!$B22*金币!AE22)</f>
        <v/>
      </c>
      <c r="AF21" s="7">
        <f>IF(金币!AF22="","",金币!$B22*金币!AF22)</f>
        <v>0</v>
      </c>
      <c r="AG21" s="7">
        <f>金币!AI22</f>
        <v>0</v>
      </c>
    </row>
    <row r="22" spans="1:33">
      <c r="A22" s="32">
        <v>21</v>
      </c>
      <c r="B22" s="87">
        <f>金币!B23</f>
        <v>21</v>
      </c>
      <c r="C22" s="7">
        <f>IF(金币!C23="","",金币!$B23*金币!C23)</f>
        <v>168</v>
      </c>
      <c r="D22" s="7" t="str">
        <f>IF(金币!D23="","",金币!$B23*金币!D23)</f>
        <v/>
      </c>
      <c r="E22" s="7" t="str">
        <f>IF(金币!E23="","",金币!$B23*金币!E23)</f>
        <v/>
      </c>
      <c r="F22" s="7">
        <f>IF(金币!F23="","",金币!$B23*金币!F23)</f>
        <v>0</v>
      </c>
      <c r="G22" s="7" t="str">
        <f>IF(金币!G23="","",金币!$B23*金币!G23)</f>
        <v/>
      </c>
      <c r="H22" s="7" t="str">
        <f>IF(金币!H23="","",金币!$B23*金币!H23)</f>
        <v/>
      </c>
      <c r="I22" s="7" t="str">
        <f>IF(金币!I23="","",金币!$B23*金币!I23)</f>
        <v/>
      </c>
      <c r="J22" s="7" t="str">
        <f>IF(金币!J23="","",金币!$B23*金币!J23)</f>
        <v/>
      </c>
      <c r="K22" s="7">
        <f>IF(金币!K23="","",金币!$B23*金币!K23)</f>
        <v>0</v>
      </c>
      <c r="L22" s="7">
        <f>IF(金币!L23="","",金币!$B23*金币!L23)</f>
        <v>0</v>
      </c>
      <c r="M22" s="7" t="str">
        <f>IF(金币!M23="","",金币!$B23*金币!M23)</f>
        <v/>
      </c>
      <c r="N22" s="7" t="str">
        <f>IF(金币!N23="","",金币!$B23*金币!N23)</f>
        <v/>
      </c>
      <c r="O22" s="7" t="str">
        <f>IF(金币!O23="","",金币!$B23*金币!O23)</f>
        <v/>
      </c>
      <c r="P22" s="7" t="str">
        <f>IF(金币!P23="","",金币!$B23*金币!P23)</f>
        <v/>
      </c>
      <c r="Q22" s="7">
        <f>IF(金币!Q23="","",金币!$B23*金币!Q23)</f>
        <v>210</v>
      </c>
      <c r="R22" s="7" t="str">
        <f>IF(金币!R23="","",金币!$B23*金币!R23)</f>
        <v/>
      </c>
      <c r="S22" s="7">
        <f>IF(金币!S23="","",金币!$B23*金币!S23)</f>
        <v>0</v>
      </c>
      <c r="T22" s="7" t="str">
        <f>IF(金币!T23="","",金币!$B23*金币!T23)</f>
        <v/>
      </c>
      <c r="U22" s="7" t="str">
        <f>IF(金币!U23="","",金币!$B23*金币!U23)</f>
        <v/>
      </c>
      <c r="V22" s="7">
        <f>IF(金币!V23="","",金币!$B23*金币!V23)</f>
        <v>0</v>
      </c>
      <c r="W22" s="7" t="str">
        <f>IF(金币!W23="","",金币!$B23*金币!W23)</f>
        <v/>
      </c>
      <c r="X22" s="7" t="str">
        <f>IF(金币!X23="","",金币!$B23*金币!X23)</f>
        <v/>
      </c>
      <c r="Y22" s="7" t="str">
        <f>IF(金币!Y23="","",金币!$B23*金币!Y23)</f>
        <v/>
      </c>
      <c r="Z22" s="7">
        <f>IF(金币!Z23="","",金币!$B23*金币!Z23)</f>
        <v>0</v>
      </c>
      <c r="AA22" s="7" t="str">
        <f>IF(金币!AA23="","",金币!$B23*金币!AA23)</f>
        <v/>
      </c>
      <c r="AB22" s="7" t="str">
        <f>IF(金币!AB23="","",金币!$B23*金币!AB23)</f>
        <v/>
      </c>
      <c r="AC22" s="7" t="str">
        <f>IF(金币!AC23="","",金币!$B23*金币!AC23)</f>
        <v/>
      </c>
      <c r="AD22" s="7" t="str">
        <f>IF(金币!AD23="","",金币!$B23*金币!AD23)</f>
        <v/>
      </c>
      <c r="AE22" s="7" t="str">
        <f>IF(金币!AE23="","",金币!$B23*金币!AE23)</f>
        <v/>
      </c>
      <c r="AF22" s="7">
        <f>IF(金币!AF23="","",金币!$B23*金币!AF23)</f>
        <v>0</v>
      </c>
      <c r="AG22" s="7">
        <f>金币!AI23</f>
        <v>0</v>
      </c>
    </row>
    <row r="23" spans="1:33">
      <c r="A23" s="32">
        <v>22</v>
      </c>
      <c r="B23" s="87">
        <f>金币!B24</f>
        <v>22</v>
      </c>
      <c r="C23" s="7">
        <f>IF(金币!C24="","",金币!$B24*金币!C24)</f>
        <v>176</v>
      </c>
      <c r="D23" s="7" t="str">
        <f>IF(金币!D24="","",金币!$B24*金币!D24)</f>
        <v/>
      </c>
      <c r="E23" s="7" t="str">
        <f>IF(金币!E24="","",金币!$B24*金币!E24)</f>
        <v/>
      </c>
      <c r="F23" s="7">
        <f>IF(金币!F24="","",金币!$B24*金币!F24)</f>
        <v>0</v>
      </c>
      <c r="G23" s="7" t="str">
        <f>IF(金币!G24="","",金币!$B24*金币!G24)</f>
        <v/>
      </c>
      <c r="H23" s="7" t="str">
        <f>IF(金币!H24="","",金币!$B24*金币!H24)</f>
        <v/>
      </c>
      <c r="I23" s="7" t="str">
        <f>IF(金币!I24="","",金币!$B24*金币!I24)</f>
        <v/>
      </c>
      <c r="J23" s="7" t="str">
        <f>IF(金币!J24="","",金币!$B24*金币!J24)</f>
        <v/>
      </c>
      <c r="K23" s="7">
        <f>IF(金币!K24="","",金币!$B24*金币!K24)</f>
        <v>0</v>
      </c>
      <c r="L23" s="7">
        <f>IF(金币!L24="","",金币!$B24*金币!L24)</f>
        <v>0</v>
      </c>
      <c r="M23" s="7" t="str">
        <f>IF(金币!M24="","",金币!$B24*金币!M24)</f>
        <v/>
      </c>
      <c r="N23" s="7" t="str">
        <f>IF(金币!N24="","",金币!$B24*金币!N24)</f>
        <v/>
      </c>
      <c r="O23" s="7" t="str">
        <f>IF(金币!O24="","",金币!$B24*金币!O24)</f>
        <v/>
      </c>
      <c r="P23" s="7" t="str">
        <f>IF(金币!P24="","",金币!$B24*金币!P24)</f>
        <v/>
      </c>
      <c r="Q23" s="7">
        <f>IF(金币!Q24="","",金币!$B24*金币!Q24)</f>
        <v>220</v>
      </c>
      <c r="R23" s="7" t="str">
        <f>IF(金币!R24="","",金币!$B24*金币!R24)</f>
        <v/>
      </c>
      <c r="S23" s="7">
        <f>IF(金币!S24="","",金币!$B24*金币!S24)</f>
        <v>0</v>
      </c>
      <c r="T23" s="7" t="str">
        <f>IF(金币!T24="","",金币!$B24*金币!T24)</f>
        <v/>
      </c>
      <c r="U23" s="7" t="str">
        <f>IF(金币!U24="","",金币!$B24*金币!U24)</f>
        <v/>
      </c>
      <c r="V23" s="7">
        <f>IF(金币!V24="","",金币!$B24*金币!V24)</f>
        <v>0</v>
      </c>
      <c r="W23" s="7" t="str">
        <f>IF(金币!W24="","",金币!$B24*金币!W24)</f>
        <v/>
      </c>
      <c r="X23" s="7" t="str">
        <f>IF(金币!X24="","",金币!$B24*金币!X24)</f>
        <v/>
      </c>
      <c r="Y23" s="7" t="str">
        <f>IF(金币!Y24="","",金币!$B24*金币!Y24)</f>
        <v/>
      </c>
      <c r="Z23" s="7">
        <f>IF(金币!Z24="","",金币!$B24*金币!Z24)</f>
        <v>0</v>
      </c>
      <c r="AA23" s="7" t="str">
        <f>IF(金币!AA24="","",金币!$B24*金币!AA24)</f>
        <v/>
      </c>
      <c r="AB23" s="7" t="str">
        <f>IF(金币!AB24="","",金币!$B24*金币!AB24)</f>
        <v/>
      </c>
      <c r="AC23" s="7" t="str">
        <f>IF(金币!AC24="","",金币!$B24*金币!AC24)</f>
        <v/>
      </c>
      <c r="AD23" s="7" t="str">
        <f>IF(金币!AD24="","",金币!$B24*金币!AD24)</f>
        <v/>
      </c>
      <c r="AE23" s="7" t="str">
        <f>IF(金币!AE24="","",金币!$B24*金币!AE24)</f>
        <v/>
      </c>
      <c r="AF23" s="7">
        <f>IF(金币!AF24="","",金币!$B24*金币!AF24)</f>
        <v>0</v>
      </c>
      <c r="AG23" s="7">
        <f>金币!AI24</f>
        <v>0</v>
      </c>
    </row>
    <row r="24" spans="1:33">
      <c r="A24" s="32">
        <v>23</v>
      </c>
      <c r="B24" s="87">
        <f>金币!B25</f>
        <v>23</v>
      </c>
      <c r="C24" s="7">
        <f>IF(金币!C25="","",金币!$B25*金币!C25)</f>
        <v>184</v>
      </c>
      <c r="D24" s="7" t="str">
        <f>IF(金币!D25="","",金币!$B25*金币!D25)</f>
        <v/>
      </c>
      <c r="E24" s="7" t="str">
        <f>IF(金币!E25="","",金币!$B25*金币!E25)</f>
        <v/>
      </c>
      <c r="F24" s="7">
        <f>IF(金币!F25="","",金币!$B25*金币!F25)</f>
        <v>0</v>
      </c>
      <c r="G24" s="7" t="str">
        <f>IF(金币!G25="","",金币!$B25*金币!G25)</f>
        <v/>
      </c>
      <c r="H24" s="7" t="str">
        <f>IF(金币!H25="","",金币!$B25*金币!H25)</f>
        <v/>
      </c>
      <c r="I24" s="7" t="str">
        <f>IF(金币!I25="","",金币!$B25*金币!I25)</f>
        <v/>
      </c>
      <c r="J24" s="7" t="str">
        <f>IF(金币!J25="","",金币!$B25*金币!J25)</f>
        <v/>
      </c>
      <c r="K24" s="7">
        <f>IF(金币!K25="","",金币!$B25*金币!K25)</f>
        <v>0</v>
      </c>
      <c r="L24" s="7">
        <f>IF(金币!L25="","",金币!$B25*金币!L25)</f>
        <v>0</v>
      </c>
      <c r="M24" s="7" t="str">
        <f>IF(金币!M25="","",金币!$B25*金币!M25)</f>
        <v/>
      </c>
      <c r="N24" s="7" t="str">
        <f>IF(金币!N25="","",金币!$B25*金币!N25)</f>
        <v/>
      </c>
      <c r="O24" s="7" t="str">
        <f>IF(金币!O25="","",金币!$B25*金币!O25)</f>
        <v/>
      </c>
      <c r="P24" s="7" t="str">
        <f>IF(金币!P25="","",金币!$B25*金币!P25)</f>
        <v/>
      </c>
      <c r="Q24" s="7">
        <f>IF(金币!Q25="","",金币!$B25*金币!Q25)</f>
        <v>230</v>
      </c>
      <c r="R24" s="7" t="str">
        <f>IF(金币!R25="","",金币!$B25*金币!R25)</f>
        <v/>
      </c>
      <c r="S24" s="7">
        <f>IF(金币!S25="","",金币!$B25*金币!S25)</f>
        <v>0</v>
      </c>
      <c r="T24" s="7" t="str">
        <f>IF(金币!T25="","",金币!$B25*金币!T25)</f>
        <v/>
      </c>
      <c r="U24" s="7" t="str">
        <f>IF(金币!U25="","",金币!$B25*金币!U25)</f>
        <v/>
      </c>
      <c r="V24" s="7">
        <f>IF(金币!V25="","",金币!$B25*金币!V25)</f>
        <v>0</v>
      </c>
      <c r="W24" s="7" t="str">
        <f>IF(金币!W25="","",金币!$B25*金币!W25)</f>
        <v/>
      </c>
      <c r="X24" s="7" t="str">
        <f>IF(金币!X25="","",金币!$B25*金币!X25)</f>
        <v/>
      </c>
      <c r="Y24" s="7" t="str">
        <f>IF(金币!Y25="","",金币!$B25*金币!Y25)</f>
        <v/>
      </c>
      <c r="Z24" s="7">
        <f>IF(金币!Z25="","",金币!$B25*金币!Z25)</f>
        <v>0</v>
      </c>
      <c r="AA24" s="7" t="str">
        <f>IF(金币!AA25="","",金币!$B25*金币!AA25)</f>
        <v/>
      </c>
      <c r="AB24" s="7" t="str">
        <f>IF(金币!AB25="","",金币!$B25*金币!AB25)</f>
        <v/>
      </c>
      <c r="AC24" s="7" t="str">
        <f>IF(金币!AC25="","",金币!$B25*金币!AC25)</f>
        <v/>
      </c>
      <c r="AD24" s="7" t="str">
        <f>IF(金币!AD25="","",金币!$B25*金币!AD25)</f>
        <v/>
      </c>
      <c r="AE24" s="7" t="str">
        <f>IF(金币!AE25="","",金币!$B25*金币!AE25)</f>
        <v/>
      </c>
      <c r="AF24" s="7">
        <f>IF(金币!AF25="","",金币!$B25*金币!AF25)</f>
        <v>0</v>
      </c>
      <c r="AG24" s="7">
        <f>金币!AI25</f>
        <v>0</v>
      </c>
    </row>
    <row r="25" spans="1:33">
      <c r="A25" s="32">
        <v>24</v>
      </c>
      <c r="B25" s="87">
        <f>金币!B26</f>
        <v>24</v>
      </c>
      <c r="C25" s="7">
        <f>IF(金币!C26="","",金币!$B26*金币!C26)</f>
        <v>192</v>
      </c>
      <c r="D25" s="7" t="str">
        <f>IF(金币!D26="","",金币!$B26*金币!D26)</f>
        <v/>
      </c>
      <c r="E25" s="7" t="str">
        <f>IF(金币!E26="","",金币!$B26*金币!E26)</f>
        <v/>
      </c>
      <c r="F25" s="7">
        <f>IF(金币!F26="","",金币!$B26*金币!F26)</f>
        <v>0</v>
      </c>
      <c r="G25" s="7" t="str">
        <f>IF(金币!G26="","",金币!$B26*金币!G26)</f>
        <v/>
      </c>
      <c r="H25" s="7" t="str">
        <f>IF(金币!H26="","",金币!$B26*金币!H26)</f>
        <v/>
      </c>
      <c r="I25" s="7" t="str">
        <f>IF(金币!I26="","",金币!$B26*金币!I26)</f>
        <v/>
      </c>
      <c r="J25" s="7" t="str">
        <f>IF(金币!J26="","",金币!$B26*金币!J26)</f>
        <v/>
      </c>
      <c r="K25" s="7">
        <f>IF(金币!K26="","",金币!$B26*金币!K26)</f>
        <v>0</v>
      </c>
      <c r="L25" s="7">
        <f>IF(金币!L26="","",金币!$B26*金币!L26)</f>
        <v>0</v>
      </c>
      <c r="M25" s="7" t="str">
        <f>IF(金币!M26="","",金币!$B26*金币!M26)</f>
        <v/>
      </c>
      <c r="N25" s="7" t="str">
        <f>IF(金币!N26="","",金币!$B26*金币!N26)</f>
        <v/>
      </c>
      <c r="O25" s="7" t="str">
        <f>IF(金币!O26="","",金币!$B26*金币!O26)</f>
        <v/>
      </c>
      <c r="P25" s="7" t="str">
        <f>IF(金币!P26="","",金币!$B26*金币!P26)</f>
        <v/>
      </c>
      <c r="Q25" s="7">
        <f>IF(金币!Q26="","",金币!$B26*金币!Q26)</f>
        <v>240</v>
      </c>
      <c r="R25" s="7" t="str">
        <f>IF(金币!R26="","",金币!$B26*金币!R26)</f>
        <v/>
      </c>
      <c r="S25" s="7">
        <f>IF(金币!S26="","",金币!$B26*金币!S26)</f>
        <v>0</v>
      </c>
      <c r="T25" s="7" t="str">
        <f>IF(金币!T26="","",金币!$B26*金币!T26)</f>
        <v/>
      </c>
      <c r="U25" s="7" t="str">
        <f>IF(金币!U26="","",金币!$B26*金币!U26)</f>
        <v/>
      </c>
      <c r="V25" s="7">
        <f>IF(金币!V26="","",金币!$B26*金币!V26)</f>
        <v>0</v>
      </c>
      <c r="W25" s="7" t="str">
        <f>IF(金币!W26="","",金币!$B26*金币!W26)</f>
        <v/>
      </c>
      <c r="X25" s="7" t="str">
        <f>IF(金币!X26="","",金币!$B26*金币!X26)</f>
        <v/>
      </c>
      <c r="Y25" s="7" t="str">
        <f>IF(金币!Y26="","",金币!$B26*金币!Y26)</f>
        <v/>
      </c>
      <c r="Z25" s="7">
        <f>IF(金币!Z26="","",金币!$B26*金币!Z26)</f>
        <v>0</v>
      </c>
      <c r="AA25" s="7" t="str">
        <f>IF(金币!AA26="","",金币!$B26*金币!AA26)</f>
        <v/>
      </c>
      <c r="AB25" s="7" t="str">
        <f>IF(金币!AB26="","",金币!$B26*金币!AB26)</f>
        <v/>
      </c>
      <c r="AC25" s="7" t="str">
        <f>IF(金币!AC26="","",金币!$B26*金币!AC26)</f>
        <v/>
      </c>
      <c r="AD25" s="7" t="str">
        <f>IF(金币!AD26="","",金币!$B26*金币!AD26)</f>
        <v/>
      </c>
      <c r="AE25" s="7" t="str">
        <f>IF(金币!AE26="","",金币!$B26*金币!AE26)</f>
        <v/>
      </c>
      <c r="AF25" s="7">
        <f>IF(金币!AF26="","",金币!$B26*金币!AF26)</f>
        <v>0</v>
      </c>
      <c r="AG25" s="7">
        <f>金币!AI26</f>
        <v>0</v>
      </c>
    </row>
    <row r="26" spans="1:33">
      <c r="A26" s="32">
        <v>25</v>
      </c>
      <c r="B26" s="87">
        <f>金币!B27</f>
        <v>25</v>
      </c>
      <c r="C26" s="7">
        <f>IF(金币!C27="","",金币!$B27*金币!C27)</f>
        <v>200</v>
      </c>
      <c r="D26" s="7" t="str">
        <f>IF(金币!D27="","",金币!$B27*金币!D27)</f>
        <v/>
      </c>
      <c r="E26" s="7" t="str">
        <f>IF(金币!E27="","",金币!$B27*金币!E27)</f>
        <v/>
      </c>
      <c r="F26" s="7">
        <f>IF(金币!F27="","",金币!$B27*金币!F27)</f>
        <v>0</v>
      </c>
      <c r="G26" s="7" t="str">
        <f>IF(金币!G27="","",金币!$B27*金币!G27)</f>
        <v/>
      </c>
      <c r="H26" s="7" t="str">
        <f>IF(金币!H27="","",金币!$B27*金币!H27)</f>
        <v/>
      </c>
      <c r="I26" s="7" t="str">
        <f>IF(金币!I27="","",金币!$B27*金币!I27)</f>
        <v/>
      </c>
      <c r="J26" s="7" t="str">
        <f>IF(金币!J27="","",金币!$B27*金币!J27)</f>
        <v/>
      </c>
      <c r="K26" s="7">
        <f>IF(金币!K27="","",金币!$B27*金币!K27)</f>
        <v>0</v>
      </c>
      <c r="L26" s="7">
        <f>IF(金币!L27="","",金币!$B27*金币!L27)</f>
        <v>0</v>
      </c>
      <c r="M26" s="7" t="str">
        <f>IF(金币!M27="","",金币!$B27*金币!M27)</f>
        <v/>
      </c>
      <c r="N26" s="7" t="str">
        <f>IF(金币!N27="","",金币!$B27*金币!N27)</f>
        <v/>
      </c>
      <c r="O26" s="7" t="str">
        <f>IF(金币!O27="","",金币!$B27*金币!O27)</f>
        <v/>
      </c>
      <c r="P26" s="7" t="str">
        <f>IF(金币!P27="","",金币!$B27*金币!P27)</f>
        <v/>
      </c>
      <c r="Q26" s="7">
        <f>IF(金币!Q27="","",金币!$B27*金币!Q27)</f>
        <v>250</v>
      </c>
      <c r="R26" s="7" t="str">
        <f>IF(金币!R27="","",金币!$B27*金币!R27)</f>
        <v/>
      </c>
      <c r="S26" s="7">
        <f>IF(金币!S27="","",金币!$B27*金币!S27)</f>
        <v>75</v>
      </c>
      <c r="T26" s="7" t="str">
        <f>IF(金币!T27="","",金币!$B27*金币!T27)</f>
        <v/>
      </c>
      <c r="U26" s="7" t="str">
        <f>IF(金币!U27="","",金币!$B27*金币!U27)</f>
        <v/>
      </c>
      <c r="V26" s="7">
        <f>IF(金币!V27="","",金币!$B27*金币!V27)</f>
        <v>100</v>
      </c>
      <c r="W26" s="7" t="str">
        <f>IF(金币!W27="","",金币!$B27*金币!W27)</f>
        <v/>
      </c>
      <c r="X26" s="7" t="str">
        <f>IF(金币!X27="","",金币!$B27*金币!X27)</f>
        <v/>
      </c>
      <c r="Y26" s="7" t="str">
        <f>IF(金币!Y27="","",金币!$B27*金币!Y27)</f>
        <v/>
      </c>
      <c r="Z26" s="7">
        <f>IF(金币!Z27="","",金币!$B27*金币!Z27)</f>
        <v>0</v>
      </c>
      <c r="AA26" s="7" t="str">
        <f>IF(金币!AA27="","",金币!$B27*金币!AA27)</f>
        <v/>
      </c>
      <c r="AB26" s="7" t="str">
        <f>IF(金币!AB27="","",金币!$B27*金币!AB27)</f>
        <v/>
      </c>
      <c r="AC26" s="7" t="str">
        <f>IF(金币!AC27="","",金币!$B27*金币!AC27)</f>
        <v/>
      </c>
      <c r="AD26" s="7" t="str">
        <f>IF(金币!AD27="","",金币!$B27*金币!AD27)</f>
        <v/>
      </c>
      <c r="AE26" s="7" t="str">
        <f>IF(金币!AE27="","",金币!$B27*金币!AE27)</f>
        <v/>
      </c>
      <c r="AF26" s="7">
        <f>IF(金币!AF27="","",金币!$B27*金币!AF27)</f>
        <v>500</v>
      </c>
      <c r="AG26" s="7">
        <f>金币!AI27</f>
        <v>0</v>
      </c>
    </row>
    <row r="27" spans="1:33">
      <c r="A27" s="32">
        <v>26</v>
      </c>
      <c r="B27" s="87">
        <f>金币!B28</f>
        <v>26</v>
      </c>
      <c r="C27" s="7">
        <f>IF(金币!C28="","",金币!$B28*金币!C28)</f>
        <v>208</v>
      </c>
      <c r="D27" s="7" t="str">
        <f>IF(金币!D28="","",金币!$B28*金币!D28)</f>
        <v/>
      </c>
      <c r="E27" s="7" t="str">
        <f>IF(金币!E28="","",金币!$B28*金币!E28)</f>
        <v/>
      </c>
      <c r="F27" s="7">
        <f>IF(金币!F28="","",金币!$B28*金币!F28)</f>
        <v>0</v>
      </c>
      <c r="G27" s="7" t="str">
        <f>IF(金币!G28="","",金币!$B28*金币!G28)</f>
        <v/>
      </c>
      <c r="H27" s="7" t="str">
        <f>IF(金币!H28="","",金币!$B28*金币!H28)</f>
        <v/>
      </c>
      <c r="I27" s="7" t="str">
        <f>IF(金币!I28="","",金币!$B28*金币!I28)</f>
        <v/>
      </c>
      <c r="J27" s="7" t="str">
        <f>IF(金币!J28="","",金币!$B28*金币!J28)</f>
        <v/>
      </c>
      <c r="K27" s="7">
        <f>IF(金币!K28="","",金币!$B28*金币!K28)</f>
        <v>0</v>
      </c>
      <c r="L27" s="7">
        <f>IF(金币!L28="","",金币!$B28*金币!L28)</f>
        <v>0</v>
      </c>
      <c r="M27" s="7" t="str">
        <f>IF(金币!M28="","",金币!$B28*金币!M28)</f>
        <v/>
      </c>
      <c r="N27" s="7" t="str">
        <f>IF(金币!N28="","",金币!$B28*金币!N28)</f>
        <v/>
      </c>
      <c r="O27" s="7" t="str">
        <f>IF(金币!O28="","",金币!$B28*金币!O28)</f>
        <v/>
      </c>
      <c r="P27" s="7" t="str">
        <f>IF(金币!P28="","",金币!$B28*金币!P28)</f>
        <v/>
      </c>
      <c r="Q27" s="7">
        <f>IF(金币!Q28="","",金币!$B28*金币!Q28)</f>
        <v>260</v>
      </c>
      <c r="R27" s="7" t="str">
        <f>IF(金币!R28="","",金币!$B28*金币!R28)</f>
        <v/>
      </c>
      <c r="S27" s="7">
        <f>IF(金币!S28="","",金币!$B28*金币!S28)</f>
        <v>78</v>
      </c>
      <c r="T27" s="7" t="str">
        <f>IF(金币!T28="","",金币!$B28*金币!T28)</f>
        <v/>
      </c>
      <c r="U27" s="7" t="str">
        <f>IF(金币!U28="","",金币!$B28*金币!U28)</f>
        <v/>
      </c>
      <c r="V27" s="7">
        <f>IF(金币!V28="","",金币!$B28*金币!V28)</f>
        <v>104</v>
      </c>
      <c r="W27" s="7" t="str">
        <f>IF(金币!W28="","",金币!$B28*金币!W28)</f>
        <v/>
      </c>
      <c r="X27" s="7" t="str">
        <f>IF(金币!X28="","",金币!$B28*金币!X28)</f>
        <v/>
      </c>
      <c r="Y27" s="7" t="str">
        <f>IF(金币!Y28="","",金币!$B28*金币!Y28)</f>
        <v/>
      </c>
      <c r="Z27" s="7">
        <f>IF(金币!Z28="","",金币!$B28*金币!Z28)</f>
        <v>0</v>
      </c>
      <c r="AA27" s="7" t="str">
        <f>IF(金币!AA28="","",金币!$B28*金币!AA28)</f>
        <v/>
      </c>
      <c r="AB27" s="7" t="str">
        <f>IF(金币!AB28="","",金币!$B28*金币!AB28)</f>
        <v/>
      </c>
      <c r="AC27" s="7" t="str">
        <f>IF(金币!AC28="","",金币!$B28*金币!AC28)</f>
        <v/>
      </c>
      <c r="AD27" s="7" t="str">
        <f>IF(金币!AD28="","",金币!$B28*金币!AD28)</f>
        <v/>
      </c>
      <c r="AE27" s="7" t="str">
        <f>IF(金币!AE28="","",金币!$B28*金币!AE28)</f>
        <v/>
      </c>
      <c r="AF27" s="7">
        <f>IF(金币!AF28="","",金币!$B28*金币!AF28)</f>
        <v>520</v>
      </c>
      <c r="AG27" s="7">
        <f>金币!AI28</f>
        <v>0</v>
      </c>
    </row>
    <row r="28" spans="1:33">
      <c r="A28" s="32">
        <v>27</v>
      </c>
      <c r="B28" s="87">
        <f>金币!B29</f>
        <v>27</v>
      </c>
      <c r="C28" s="7">
        <f>IF(金币!C29="","",金币!$B29*金币!C29)</f>
        <v>216</v>
      </c>
      <c r="D28" s="7" t="str">
        <f>IF(金币!D29="","",金币!$B29*金币!D29)</f>
        <v/>
      </c>
      <c r="E28" s="7" t="str">
        <f>IF(金币!E29="","",金币!$B29*金币!E29)</f>
        <v/>
      </c>
      <c r="F28" s="7">
        <f>IF(金币!F29="","",金币!$B29*金币!F29)</f>
        <v>0</v>
      </c>
      <c r="G28" s="7" t="str">
        <f>IF(金币!G29="","",金币!$B29*金币!G29)</f>
        <v/>
      </c>
      <c r="H28" s="7" t="str">
        <f>IF(金币!H29="","",金币!$B29*金币!H29)</f>
        <v/>
      </c>
      <c r="I28" s="7" t="str">
        <f>IF(金币!I29="","",金币!$B29*金币!I29)</f>
        <v/>
      </c>
      <c r="J28" s="7" t="str">
        <f>IF(金币!J29="","",金币!$B29*金币!J29)</f>
        <v/>
      </c>
      <c r="K28" s="7">
        <f>IF(金币!K29="","",金币!$B29*金币!K29)</f>
        <v>0</v>
      </c>
      <c r="L28" s="7">
        <f>IF(金币!L29="","",金币!$B29*金币!L29)</f>
        <v>0</v>
      </c>
      <c r="M28" s="7" t="str">
        <f>IF(金币!M29="","",金币!$B29*金币!M29)</f>
        <v/>
      </c>
      <c r="N28" s="7" t="str">
        <f>IF(金币!N29="","",金币!$B29*金币!N29)</f>
        <v/>
      </c>
      <c r="O28" s="7" t="str">
        <f>IF(金币!O29="","",金币!$B29*金币!O29)</f>
        <v/>
      </c>
      <c r="P28" s="7" t="str">
        <f>IF(金币!P29="","",金币!$B29*金币!P29)</f>
        <v/>
      </c>
      <c r="Q28" s="7">
        <f>IF(金币!Q29="","",金币!$B29*金币!Q29)</f>
        <v>270</v>
      </c>
      <c r="R28" s="7" t="str">
        <f>IF(金币!R29="","",金币!$B29*金币!R29)</f>
        <v/>
      </c>
      <c r="S28" s="7">
        <f>IF(金币!S29="","",金币!$B29*金币!S29)</f>
        <v>81</v>
      </c>
      <c r="T28" s="7" t="str">
        <f>IF(金币!T29="","",金币!$B29*金币!T29)</f>
        <v/>
      </c>
      <c r="U28" s="7" t="str">
        <f>IF(金币!U29="","",金币!$B29*金币!U29)</f>
        <v/>
      </c>
      <c r="V28" s="7">
        <f>IF(金币!V29="","",金币!$B29*金币!V29)</f>
        <v>108</v>
      </c>
      <c r="W28" s="7" t="str">
        <f>IF(金币!W29="","",金币!$B29*金币!W29)</f>
        <v/>
      </c>
      <c r="X28" s="7" t="str">
        <f>IF(金币!X29="","",金币!$B29*金币!X29)</f>
        <v/>
      </c>
      <c r="Y28" s="7" t="str">
        <f>IF(金币!Y29="","",金币!$B29*金币!Y29)</f>
        <v/>
      </c>
      <c r="Z28" s="7">
        <f>IF(金币!Z29="","",金币!$B29*金币!Z29)</f>
        <v>0</v>
      </c>
      <c r="AA28" s="7" t="str">
        <f>IF(金币!AA29="","",金币!$B29*金币!AA29)</f>
        <v/>
      </c>
      <c r="AB28" s="7" t="str">
        <f>IF(金币!AB29="","",金币!$B29*金币!AB29)</f>
        <v/>
      </c>
      <c r="AC28" s="7" t="str">
        <f>IF(金币!AC29="","",金币!$B29*金币!AC29)</f>
        <v/>
      </c>
      <c r="AD28" s="7" t="str">
        <f>IF(金币!AD29="","",金币!$B29*金币!AD29)</f>
        <v/>
      </c>
      <c r="AE28" s="7" t="str">
        <f>IF(金币!AE29="","",金币!$B29*金币!AE29)</f>
        <v/>
      </c>
      <c r="AF28" s="7">
        <f>IF(金币!AF29="","",金币!$B29*金币!AF29)</f>
        <v>540</v>
      </c>
      <c r="AG28" s="7">
        <f>金币!AI29</f>
        <v>0</v>
      </c>
    </row>
    <row r="29" spans="1:33">
      <c r="A29" s="32">
        <v>28</v>
      </c>
      <c r="B29" s="87">
        <f>金币!B30</f>
        <v>28</v>
      </c>
      <c r="C29" s="7">
        <f>IF(金币!C30="","",金币!$B30*金币!C30)</f>
        <v>224</v>
      </c>
      <c r="D29" s="7" t="str">
        <f>IF(金币!D30="","",金币!$B30*金币!D30)</f>
        <v/>
      </c>
      <c r="E29" s="7" t="str">
        <f>IF(金币!E30="","",金币!$B30*金币!E30)</f>
        <v/>
      </c>
      <c r="F29" s="7">
        <f>IF(金币!F30="","",金币!$B30*金币!F30)</f>
        <v>0</v>
      </c>
      <c r="G29" s="7" t="str">
        <f>IF(金币!G30="","",金币!$B30*金币!G30)</f>
        <v/>
      </c>
      <c r="H29" s="7" t="str">
        <f>IF(金币!H30="","",金币!$B30*金币!H30)</f>
        <v/>
      </c>
      <c r="I29" s="7" t="str">
        <f>IF(金币!I30="","",金币!$B30*金币!I30)</f>
        <v/>
      </c>
      <c r="J29" s="7" t="str">
        <f>IF(金币!J30="","",金币!$B30*金币!J30)</f>
        <v/>
      </c>
      <c r="K29" s="7">
        <f>IF(金币!K30="","",金币!$B30*金币!K30)</f>
        <v>0</v>
      </c>
      <c r="L29" s="7">
        <f>IF(金币!L30="","",金币!$B30*金币!L30)</f>
        <v>0</v>
      </c>
      <c r="M29" s="7" t="str">
        <f>IF(金币!M30="","",金币!$B30*金币!M30)</f>
        <v/>
      </c>
      <c r="N29" s="7" t="str">
        <f>IF(金币!N30="","",金币!$B30*金币!N30)</f>
        <v/>
      </c>
      <c r="O29" s="7" t="str">
        <f>IF(金币!O30="","",金币!$B30*金币!O30)</f>
        <v/>
      </c>
      <c r="P29" s="7" t="str">
        <f>IF(金币!P30="","",金币!$B30*金币!P30)</f>
        <v/>
      </c>
      <c r="Q29" s="7">
        <f>IF(金币!Q30="","",金币!$B30*金币!Q30)</f>
        <v>280</v>
      </c>
      <c r="R29" s="7" t="str">
        <f>IF(金币!R30="","",金币!$B30*金币!R30)</f>
        <v/>
      </c>
      <c r="S29" s="7">
        <f>IF(金币!S30="","",金币!$B30*金币!S30)</f>
        <v>84</v>
      </c>
      <c r="T29" s="7" t="str">
        <f>IF(金币!T30="","",金币!$B30*金币!T30)</f>
        <v/>
      </c>
      <c r="U29" s="7" t="str">
        <f>IF(金币!U30="","",金币!$B30*金币!U30)</f>
        <v/>
      </c>
      <c r="V29" s="7">
        <f>IF(金币!V30="","",金币!$B30*金币!V30)</f>
        <v>112</v>
      </c>
      <c r="W29" s="7" t="str">
        <f>IF(金币!W30="","",金币!$B30*金币!W30)</f>
        <v/>
      </c>
      <c r="X29" s="7" t="str">
        <f>IF(金币!X30="","",金币!$B30*金币!X30)</f>
        <v/>
      </c>
      <c r="Y29" s="7" t="str">
        <f>IF(金币!Y30="","",金币!$B30*金币!Y30)</f>
        <v/>
      </c>
      <c r="Z29" s="7">
        <f>IF(金币!Z30="","",金币!$B30*金币!Z30)</f>
        <v>0</v>
      </c>
      <c r="AA29" s="7" t="str">
        <f>IF(金币!AA30="","",金币!$B30*金币!AA30)</f>
        <v/>
      </c>
      <c r="AB29" s="7" t="str">
        <f>IF(金币!AB30="","",金币!$B30*金币!AB30)</f>
        <v/>
      </c>
      <c r="AC29" s="7" t="str">
        <f>IF(金币!AC30="","",金币!$B30*金币!AC30)</f>
        <v/>
      </c>
      <c r="AD29" s="7" t="str">
        <f>IF(金币!AD30="","",金币!$B30*金币!AD30)</f>
        <v/>
      </c>
      <c r="AE29" s="7" t="str">
        <f>IF(金币!AE30="","",金币!$B30*金币!AE30)</f>
        <v/>
      </c>
      <c r="AF29" s="7">
        <f>IF(金币!AF30="","",金币!$B30*金币!AF30)</f>
        <v>560</v>
      </c>
      <c r="AG29" s="7">
        <f>金币!AI30</f>
        <v>0</v>
      </c>
    </row>
    <row r="30" spans="1:33">
      <c r="A30" s="32">
        <v>29</v>
      </c>
      <c r="B30" s="87">
        <f>金币!B31</f>
        <v>29</v>
      </c>
      <c r="C30" s="7">
        <f>IF(金币!C31="","",金币!$B31*金币!C31)</f>
        <v>232</v>
      </c>
      <c r="D30" s="7" t="str">
        <f>IF(金币!D31="","",金币!$B31*金币!D31)</f>
        <v/>
      </c>
      <c r="E30" s="7" t="str">
        <f>IF(金币!E31="","",金币!$B31*金币!E31)</f>
        <v/>
      </c>
      <c r="F30" s="7">
        <f>IF(金币!F31="","",金币!$B31*金币!F31)</f>
        <v>0</v>
      </c>
      <c r="G30" s="7" t="str">
        <f>IF(金币!G31="","",金币!$B31*金币!G31)</f>
        <v/>
      </c>
      <c r="H30" s="7" t="str">
        <f>IF(金币!H31="","",金币!$B31*金币!H31)</f>
        <v/>
      </c>
      <c r="I30" s="7" t="str">
        <f>IF(金币!I31="","",金币!$B31*金币!I31)</f>
        <v/>
      </c>
      <c r="J30" s="7" t="str">
        <f>IF(金币!J31="","",金币!$B31*金币!J31)</f>
        <v/>
      </c>
      <c r="K30" s="7">
        <f>IF(金币!K31="","",金币!$B31*金币!K31)</f>
        <v>0</v>
      </c>
      <c r="L30" s="7">
        <f>IF(金币!L31="","",金币!$B31*金币!L31)</f>
        <v>0</v>
      </c>
      <c r="M30" s="7" t="str">
        <f>IF(金币!M31="","",金币!$B31*金币!M31)</f>
        <v/>
      </c>
      <c r="N30" s="7" t="str">
        <f>IF(金币!N31="","",金币!$B31*金币!N31)</f>
        <v/>
      </c>
      <c r="O30" s="7" t="str">
        <f>IF(金币!O31="","",金币!$B31*金币!O31)</f>
        <v/>
      </c>
      <c r="P30" s="7" t="str">
        <f>IF(金币!P31="","",金币!$B31*金币!P31)</f>
        <v/>
      </c>
      <c r="Q30" s="7">
        <f>IF(金币!Q31="","",金币!$B31*金币!Q31)</f>
        <v>290</v>
      </c>
      <c r="R30" s="7" t="str">
        <f>IF(金币!R31="","",金币!$B31*金币!R31)</f>
        <v/>
      </c>
      <c r="S30" s="7">
        <f>IF(金币!S31="","",金币!$B31*金币!S31)</f>
        <v>87</v>
      </c>
      <c r="T30" s="7" t="str">
        <f>IF(金币!T31="","",金币!$B31*金币!T31)</f>
        <v/>
      </c>
      <c r="U30" s="7" t="str">
        <f>IF(金币!U31="","",金币!$B31*金币!U31)</f>
        <v/>
      </c>
      <c r="V30" s="7">
        <f>IF(金币!V31="","",金币!$B31*金币!V31)</f>
        <v>116</v>
      </c>
      <c r="W30" s="7" t="str">
        <f>IF(金币!W31="","",金币!$B31*金币!W31)</f>
        <v/>
      </c>
      <c r="X30" s="7" t="str">
        <f>IF(金币!X31="","",金币!$B31*金币!X31)</f>
        <v/>
      </c>
      <c r="Y30" s="7" t="str">
        <f>IF(金币!Y31="","",金币!$B31*金币!Y31)</f>
        <v/>
      </c>
      <c r="Z30" s="7">
        <f>IF(金币!Z31="","",金币!$B31*金币!Z31)</f>
        <v>0</v>
      </c>
      <c r="AA30" s="7" t="str">
        <f>IF(金币!AA31="","",金币!$B31*金币!AA31)</f>
        <v/>
      </c>
      <c r="AB30" s="7" t="str">
        <f>IF(金币!AB31="","",金币!$B31*金币!AB31)</f>
        <v/>
      </c>
      <c r="AC30" s="7" t="str">
        <f>IF(金币!AC31="","",金币!$B31*金币!AC31)</f>
        <v/>
      </c>
      <c r="AD30" s="7" t="str">
        <f>IF(金币!AD31="","",金币!$B31*金币!AD31)</f>
        <v/>
      </c>
      <c r="AE30" s="7" t="str">
        <f>IF(金币!AE31="","",金币!$B31*金币!AE31)</f>
        <v/>
      </c>
      <c r="AF30" s="7">
        <f>IF(金币!AF31="","",金币!$B31*金币!AF31)</f>
        <v>580</v>
      </c>
      <c r="AG30" s="7">
        <f>金币!AI31</f>
        <v>0</v>
      </c>
    </row>
    <row r="31" spans="1:33">
      <c r="A31" s="32">
        <v>30</v>
      </c>
      <c r="B31" s="87">
        <f>金币!B32</f>
        <v>30</v>
      </c>
      <c r="C31" s="7">
        <f>IF(金币!C32="","",金币!$B32*金币!C32)</f>
        <v>240</v>
      </c>
      <c r="D31" s="7" t="str">
        <f>IF(金币!D32="","",金币!$B32*金币!D32)</f>
        <v/>
      </c>
      <c r="E31" s="7" t="str">
        <f>IF(金币!E32="","",金币!$B32*金币!E32)</f>
        <v/>
      </c>
      <c r="F31" s="7">
        <f>IF(金币!F32="","",金币!$B32*金币!F32)</f>
        <v>0</v>
      </c>
      <c r="G31" s="7" t="str">
        <f>IF(金币!G32="","",金币!$B32*金币!G32)</f>
        <v/>
      </c>
      <c r="H31" s="7" t="str">
        <f>IF(金币!H32="","",金币!$B32*金币!H32)</f>
        <v/>
      </c>
      <c r="I31" s="7" t="str">
        <f>IF(金币!I32="","",金币!$B32*金币!I32)</f>
        <v/>
      </c>
      <c r="J31" s="7" t="str">
        <f>IF(金币!J32="","",金币!$B32*金币!J32)</f>
        <v/>
      </c>
      <c r="K31" s="7">
        <f>IF(金币!K32="","",金币!$B32*金币!K32)</f>
        <v>300</v>
      </c>
      <c r="L31" s="7">
        <f>IF(金币!L32="","",金币!$B32*金币!L32)</f>
        <v>0</v>
      </c>
      <c r="M31" s="7" t="str">
        <f>IF(金币!M32="","",金币!$B32*金币!M32)</f>
        <v/>
      </c>
      <c r="N31" s="7" t="str">
        <f>IF(金币!N32="","",金币!$B32*金币!N32)</f>
        <v/>
      </c>
      <c r="O31" s="7" t="str">
        <f>IF(金币!O32="","",金币!$B32*金币!O32)</f>
        <v/>
      </c>
      <c r="P31" s="7" t="str">
        <f>IF(金币!P32="","",金币!$B32*金币!P32)</f>
        <v/>
      </c>
      <c r="Q31" s="7">
        <f>IF(金币!Q32="","",金币!$B32*金币!Q32)</f>
        <v>300</v>
      </c>
      <c r="R31" s="7" t="str">
        <f>IF(金币!R32="","",金币!$B32*金币!R32)</f>
        <v/>
      </c>
      <c r="S31" s="7">
        <f>IF(金币!S32="","",金币!$B32*金币!S32)</f>
        <v>90</v>
      </c>
      <c r="T31" s="7" t="str">
        <f>IF(金币!T32="","",金币!$B32*金币!T32)</f>
        <v/>
      </c>
      <c r="U31" s="7" t="str">
        <f>IF(金币!U32="","",金币!$B32*金币!U32)</f>
        <v/>
      </c>
      <c r="V31" s="7">
        <f>IF(金币!V32="","",金币!$B32*金币!V32)</f>
        <v>120</v>
      </c>
      <c r="W31" s="7" t="str">
        <f>IF(金币!W32="","",金币!$B32*金币!W32)</f>
        <v/>
      </c>
      <c r="X31" s="7" t="str">
        <f>IF(金币!X32="","",金币!$B32*金币!X32)</f>
        <v/>
      </c>
      <c r="Y31" s="7" t="str">
        <f>IF(金币!Y32="","",金币!$B32*金币!Y32)</f>
        <v/>
      </c>
      <c r="Z31" s="7">
        <f>IF(金币!Z32="","",金币!$B32*金币!Z32)</f>
        <v>0</v>
      </c>
      <c r="AA31" s="7" t="str">
        <f>IF(金币!AA32="","",金币!$B32*金币!AA32)</f>
        <v/>
      </c>
      <c r="AB31" s="7" t="str">
        <f>IF(金币!AB32="","",金币!$B32*金币!AB32)</f>
        <v/>
      </c>
      <c r="AC31" s="7" t="str">
        <f>IF(金币!AC32="","",金币!$B32*金币!AC32)</f>
        <v/>
      </c>
      <c r="AD31" s="7" t="str">
        <f>IF(金币!AD32="","",金币!$B32*金币!AD32)</f>
        <v/>
      </c>
      <c r="AE31" s="7" t="str">
        <f>IF(金币!AE32="","",金币!$B32*金币!AE32)</f>
        <v/>
      </c>
      <c r="AF31" s="7">
        <f>IF(金币!AF32="","",金币!$B32*金币!AF32)</f>
        <v>600</v>
      </c>
      <c r="AG31" s="7">
        <f>金币!AI32</f>
        <v>0</v>
      </c>
    </row>
    <row r="32" spans="1:33">
      <c r="A32" s="32">
        <v>31</v>
      </c>
      <c r="B32" s="87">
        <f>金币!B33</f>
        <v>31</v>
      </c>
      <c r="C32" s="7">
        <f>IF(金币!C33="","",金币!$B33*金币!C33)</f>
        <v>248</v>
      </c>
      <c r="D32" s="7" t="str">
        <f>IF(金币!D33="","",金币!$B33*金币!D33)</f>
        <v/>
      </c>
      <c r="E32" s="7" t="str">
        <f>IF(金币!E33="","",金币!$B33*金币!E33)</f>
        <v/>
      </c>
      <c r="F32" s="7">
        <f>IF(金币!F33="","",金币!$B33*金币!F33)</f>
        <v>0</v>
      </c>
      <c r="G32" s="7" t="str">
        <f>IF(金币!G33="","",金币!$B33*金币!G33)</f>
        <v/>
      </c>
      <c r="H32" s="7" t="str">
        <f>IF(金币!H33="","",金币!$B33*金币!H33)</f>
        <v/>
      </c>
      <c r="I32" s="7" t="str">
        <f>IF(金币!I33="","",金币!$B33*金币!I33)</f>
        <v/>
      </c>
      <c r="J32" s="7" t="str">
        <f>IF(金币!J33="","",金币!$B33*金币!J33)</f>
        <v/>
      </c>
      <c r="K32" s="7">
        <f>IF(金币!K33="","",金币!$B33*金币!K33)</f>
        <v>310</v>
      </c>
      <c r="L32" s="7">
        <f>IF(金币!L33="","",金币!$B33*金币!L33)</f>
        <v>0</v>
      </c>
      <c r="M32" s="7" t="str">
        <f>IF(金币!M33="","",金币!$B33*金币!M33)</f>
        <v/>
      </c>
      <c r="N32" s="7" t="str">
        <f>IF(金币!N33="","",金币!$B33*金币!N33)</f>
        <v/>
      </c>
      <c r="O32" s="7" t="str">
        <f>IF(金币!O33="","",金币!$B33*金币!O33)</f>
        <v/>
      </c>
      <c r="P32" s="7" t="str">
        <f>IF(金币!P33="","",金币!$B33*金币!P33)</f>
        <v/>
      </c>
      <c r="Q32" s="7">
        <f>IF(金币!Q33="","",金币!$B33*金币!Q33)</f>
        <v>310</v>
      </c>
      <c r="R32" s="7" t="str">
        <f>IF(金币!R33="","",金币!$B33*金币!R33)</f>
        <v/>
      </c>
      <c r="S32" s="7">
        <f>IF(金币!S33="","",金币!$B33*金币!S33)</f>
        <v>93</v>
      </c>
      <c r="T32" s="7" t="str">
        <f>IF(金币!T33="","",金币!$B33*金币!T33)</f>
        <v/>
      </c>
      <c r="U32" s="7" t="str">
        <f>IF(金币!U33="","",金币!$B33*金币!U33)</f>
        <v/>
      </c>
      <c r="V32" s="7">
        <f>IF(金币!V33="","",金币!$B33*金币!V33)</f>
        <v>124</v>
      </c>
      <c r="W32" s="7" t="str">
        <f>IF(金币!W33="","",金币!$B33*金币!W33)</f>
        <v/>
      </c>
      <c r="X32" s="7" t="str">
        <f>IF(金币!X33="","",金币!$B33*金币!X33)</f>
        <v/>
      </c>
      <c r="Y32" s="7" t="str">
        <f>IF(金币!Y33="","",金币!$B33*金币!Y33)</f>
        <v/>
      </c>
      <c r="Z32" s="7">
        <f>IF(金币!Z33="","",金币!$B33*金币!Z33)</f>
        <v>0</v>
      </c>
      <c r="AA32" s="7" t="str">
        <f>IF(金币!AA33="","",金币!$B33*金币!AA33)</f>
        <v/>
      </c>
      <c r="AB32" s="7" t="str">
        <f>IF(金币!AB33="","",金币!$B33*金币!AB33)</f>
        <v/>
      </c>
      <c r="AC32" s="7" t="str">
        <f>IF(金币!AC33="","",金币!$B33*金币!AC33)</f>
        <v/>
      </c>
      <c r="AD32" s="7" t="str">
        <f>IF(金币!AD33="","",金币!$B33*金币!AD33)</f>
        <v/>
      </c>
      <c r="AE32" s="7" t="str">
        <f>IF(金币!AE33="","",金币!$B33*金币!AE33)</f>
        <v/>
      </c>
      <c r="AF32" s="7">
        <f>IF(金币!AF33="","",金币!$B33*金币!AF33)</f>
        <v>620</v>
      </c>
      <c r="AG32" s="7">
        <f>金币!AI33</f>
        <v>0</v>
      </c>
    </row>
    <row r="33" spans="1:33">
      <c r="A33" s="32">
        <v>32</v>
      </c>
      <c r="B33" s="87">
        <f>金币!B34</f>
        <v>32</v>
      </c>
      <c r="C33" s="7">
        <f>IF(金币!C34="","",金币!$B34*金币!C34)</f>
        <v>256</v>
      </c>
      <c r="D33" s="7" t="str">
        <f>IF(金币!D34="","",金币!$B34*金币!D34)</f>
        <v/>
      </c>
      <c r="E33" s="7" t="str">
        <f>IF(金币!E34="","",金币!$B34*金币!E34)</f>
        <v/>
      </c>
      <c r="F33" s="7">
        <f>IF(金币!F34="","",金币!$B34*金币!F34)</f>
        <v>0</v>
      </c>
      <c r="G33" s="7" t="str">
        <f>IF(金币!G34="","",金币!$B34*金币!G34)</f>
        <v/>
      </c>
      <c r="H33" s="7" t="str">
        <f>IF(金币!H34="","",金币!$B34*金币!H34)</f>
        <v/>
      </c>
      <c r="I33" s="7" t="str">
        <f>IF(金币!I34="","",金币!$B34*金币!I34)</f>
        <v/>
      </c>
      <c r="J33" s="7" t="str">
        <f>IF(金币!J34="","",金币!$B34*金币!J34)</f>
        <v/>
      </c>
      <c r="K33" s="7">
        <f>IF(金币!K34="","",金币!$B34*金币!K34)</f>
        <v>320</v>
      </c>
      <c r="L33" s="7">
        <f>IF(金币!L34="","",金币!$B34*金币!L34)</f>
        <v>0</v>
      </c>
      <c r="M33" s="7" t="str">
        <f>IF(金币!M34="","",金币!$B34*金币!M34)</f>
        <v/>
      </c>
      <c r="N33" s="7" t="str">
        <f>IF(金币!N34="","",金币!$B34*金币!N34)</f>
        <v/>
      </c>
      <c r="O33" s="7" t="str">
        <f>IF(金币!O34="","",金币!$B34*金币!O34)</f>
        <v/>
      </c>
      <c r="P33" s="7" t="str">
        <f>IF(金币!P34="","",金币!$B34*金币!P34)</f>
        <v/>
      </c>
      <c r="Q33" s="7">
        <f>IF(金币!Q34="","",金币!$B34*金币!Q34)</f>
        <v>320</v>
      </c>
      <c r="R33" s="7" t="str">
        <f>IF(金币!R34="","",金币!$B34*金币!R34)</f>
        <v/>
      </c>
      <c r="S33" s="7">
        <f>IF(金币!S34="","",金币!$B34*金币!S34)</f>
        <v>96</v>
      </c>
      <c r="T33" s="7" t="str">
        <f>IF(金币!T34="","",金币!$B34*金币!T34)</f>
        <v/>
      </c>
      <c r="U33" s="7" t="str">
        <f>IF(金币!U34="","",金币!$B34*金币!U34)</f>
        <v/>
      </c>
      <c r="V33" s="7">
        <f>IF(金币!V34="","",金币!$B34*金币!V34)</f>
        <v>128</v>
      </c>
      <c r="W33" s="7" t="str">
        <f>IF(金币!W34="","",金币!$B34*金币!W34)</f>
        <v/>
      </c>
      <c r="X33" s="7" t="str">
        <f>IF(金币!X34="","",金币!$B34*金币!X34)</f>
        <v/>
      </c>
      <c r="Y33" s="7" t="str">
        <f>IF(金币!Y34="","",金币!$B34*金币!Y34)</f>
        <v/>
      </c>
      <c r="Z33" s="7">
        <f>IF(金币!Z34="","",金币!$B34*金币!Z34)</f>
        <v>0</v>
      </c>
      <c r="AA33" s="7" t="str">
        <f>IF(金币!AA34="","",金币!$B34*金币!AA34)</f>
        <v/>
      </c>
      <c r="AB33" s="7" t="str">
        <f>IF(金币!AB34="","",金币!$B34*金币!AB34)</f>
        <v/>
      </c>
      <c r="AC33" s="7" t="str">
        <f>IF(金币!AC34="","",金币!$B34*金币!AC34)</f>
        <v/>
      </c>
      <c r="AD33" s="7" t="str">
        <f>IF(金币!AD34="","",金币!$B34*金币!AD34)</f>
        <v/>
      </c>
      <c r="AE33" s="7" t="str">
        <f>IF(金币!AE34="","",金币!$B34*金币!AE34)</f>
        <v/>
      </c>
      <c r="AF33" s="7">
        <f>IF(金币!AF34="","",金币!$B34*金币!AF34)</f>
        <v>640</v>
      </c>
      <c r="AG33" s="7">
        <f>金币!AI34</f>
        <v>0</v>
      </c>
    </row>
    <row r="34" spans="1:33">
      <c r="A34" s="32">
        <v>33</v>
      </c>
      <c r="B34" s="87">
        <f>金币!B35</f>
        <v>33</v>
      </c>
      <c r="C34" s="7">
        <f>IF(金币!C35="","",金币!$B35*金币!C35)</f>
        <v>264</v>
      </c>
      <c r="D34" s="7" t="str">
        <f>IF(金币!D35="","",金币!$B35*金币!D35)</f>
        <v/>
      </c>
      <c r="E34" s="7" t="str">
        <f>IF(金币!E35="","",金币!$B35*金币!E35)</f>
        <v/>
      </c>
      <c r="F34" s="7">
        <f>IF(金币!F35="","",金币!$B35*金币!F35)</f>
        <v>0</v>
      </c>
      <c r="G34" s="7" t="str">
        <f>IF(金币!G35="","",金币!$B35*金币!G35)</f>
        <v/>
      </c>
      <c r="H34" s="7" t="str">
        <f>IF(金币!H35="","",金币!$B35*金币!H35)</f>
        <v/>
      </c>
      <c r="I34" s="7" t="str">
        <f>IF(金币!I35="","",金币!$B35*金币!I35)</f>
        <v/>
      </c>
      <c r="J34" s="7" t="str">
        <f>IF(金币!J35="","",金币!$B35*金币!J35)</f>
        <v/>
      </c>
      <c r="K34" s="7">
        <f>IF(金币!K35="","",金币!$B35*金币!K35)</f>
        <v>330</v>
      </c>
      <c r="L34" s="7">
        <f>IF(金币!L35="","",金币!$B35*金币!L35)</f>
        <v>0</v>
      </c>
      <c r="M34" s="7" t="str">
        <f>IF(金币!M35="","",金币!$B35*金币!M35)</f>
        <v/>
      </c>
      <c r="N34" s="7" t="str">
        <f>IF(金币!N35="","",金币!$B35*金币!N35)</f>
        <v/>
      </c>
      <c r="O34" s="7" t="str">
        <f>IF(金币!O35="","",金币!$B35*金币!O35)</f>
        <v/>
      </c>
      <c r="P34" s="7" t="str">
        <f>IF(金币!P35="","",金币!$B35*金币!P35)</f>
        <v/>
      </c>
      <c r="Q34" s="7">
        <f>IF(金币!Q35="","",金币!$B35*金币!Q35)</f>
        <v>330</v>
      </c>
      <c r="R34" s="7" t="str">
        <f>IF(金币!R35="","",金币!$B35*金币!R35)</f>
        <v/>
      </c>
      <c r="S34" s="7">
        <f>IF(金币!S35="","",金币!$B35*金币!S35)</f>
        <v>99</v>
      </c>
      <c r="T34" s="7" t="str">
        <f>IF(金币!T35="","",金币!$B35*金币!T35)</f>
        <v/>
      </c>
      <c r="U34" s="7" t="str">
        <f>IF(金币!U35="","",金币!$B35*金币!U35)</f>
        <v/>
      </c>
      <c r="V34" s="7">
        <f>IF(金币!V35="","",金币!$B35*金币!V35)</f>
        <v>132</v>
      </c>
      <c r="W34" s="7" t="str">
        <f>IF(金币!W35="","",金币!$B35*金币!W35)</f>
        <v/>
      </c>
      <c r="X34" s="7" t="str">
        <f>IF(金币!X35="","",金币!$B35*金币!X35)</f>
        <v/>
      </c>
      <c r="Y34" s="7" t="str">
        <f>IF(金币!Y35="","",金币!$B35*金币!Y35)</f>
        <v/>
      </c>
      <c r="Z34" s="7">
        <f>IF(金币!Z35="","",金币!$B35*金币!Z35)</f>
        <v>0</v>
      </c>
      <c r="AA34" s="7" t="str">
        <f>IF(金币!AA35="","",金币!$B35*金币!AA35)</f>
        <v/>
      </c>
      <c r="AB34" s="7" t="str">
        <f>IF(金币!AB35="","",金币!$B35*金币!AB35)</f>
        <v/>
      </c>
      <c r="AC34" s="7" t="str">
        <f>IF(金币!AC35="","",金币!$B35*金币!AC35)</f>
        <v/>
      </c>
      <c r="AD34" s="7" t="str">
        <f>IF(金币!AD35="","",金币!$B35*金币!AD35)</f>
        <v/>
      </c>
      <c r="AE34" s="7" t="str">
        <f>IF(金币!AE35="","",金币!$B35*金币!AE35)</f>
        <v/>
      </c>
      <c r="AF34" s="7">
        <f>IF(金币!AF35="","",金币!$B35*金币!AF35)</f>
        <v>660</v>
      </c>
      <c r="AG34" s="7">
        <f>金币!AI35</f>
        <v>0</v>
      </c>
    </row>
    <row r="35" spans="1:33">
      <c r="A35" s="32">
        <v>34</v>
      </c>
      <c r="B35" s="87">
        <f>金币!B36</f>
        <v>34</v>
      </c>
      <c r="C35" s="7">
        <f>IF(金币!C36="","",金币!$B36*金币!C36)</f>
        <v>272</v>
      </c>
      <c r="D35" s="7" t="str">
        <f>IF(金币!D36="","",金币!$B36*金币!D36)</f>
        <v/>
      </c>
      <c r="E35" s="7" t="str">
        <f>IF(金币!E36="","",金币!$B36*金币!E36)</f>
        <v/>
      </c>
      <c r="F35" s="7">
        <f>IF(金币!F36="","",金币!$B36*金币!F36)</f>
        <v>0</v>
      </c>
      <c r="G35" s="7" t="str">
        <f>IF(金币!G36="","",金币!$B36*金币!G36)</f>
        <v/>
      </c>
      <c r="H35" s="7" t="str">
        <f>IF(金币!H36="","",金币!$B36*金币!H36)</f>
        <v/>
      </c>
      <c r="I35" s="7" t="str">
        <f>IF(金币!I36="","",金币!$B36*金币!I36)</f>
        <v/>
      </c>
      <c r="J35" s="7" t="str">
        <f>IF(金币!J36="","",金币!$B36*金币!J36)</f>
        <v/>
      </c>
      <c r="K35" s="7">
        <f>IF(金币!K36="","",金币!$B36*金币!K36)</f>
        <v>340</v>
      </c>
      <c r="L35" s="7">
        <f>IF(金币!L36="","",金币!$B36*金币!L36)</f>
        <v>0</v>
      </c>
      <c r="M35" s="7" t="str">
        <f>IF(金币!M36="","",金币!$B36*金币!M36)</f>
        <v/>
      </c>
      <c r="N35" s="7" t="str">
        <f>IF(金币!N36="","",金币!$B36*金币!N36)</f>
        <v/>
      </c>
      <c r="O35" s="7" t="str">
        <f>IF(金币!O36="","",金币!$B36*金币!O36)</f>
        <v/>
      </c>
      <c r="P35" s="7" t="str">
        <f>IF(金币!P36="","",金币!$B36*金币!P36)</f>
        <v/>
      </c>
      <c r="Q35" s="7">
        <f>IF(金币!Q36="","",金币!$B36*金币!Q36)</f>
        <v>340</v>
      </c>
      <c r="R35" s="7" t="str">
        <f>IF(金币!R36="","",金币!$B36*金币!R36)</f>
        <v/>
      </c>
      <c r="S35" s="7">
        <f>IF(金币!S36="","",金币!$B36*金币!S36)</f>
        <v>102</v>
      </c>
      <c r="T35" s="7" t="str">
        <f>IF(金币!T36="","",金币!$B36*金币!T36)</f>
        <v/>
      </c>
      <c r="U35" s="7" t="str">
        <f>IF(金币!U36="","",金币!$B36*金币!U36)</f>
        <v/>
      </c>
      <c r="V35" s="7">
        <f>IF(金币!V36="","",金币!$B36*金币!V36)</f>
        <v>136</v>
      </c>
      <c r="W35" s="7" t="str">
        <f>IF(金币!W36="","",金币!$B36*金币!W36)</f>
        <v/>
      </c>
      <c r="X35" s="7" t="str">
        <f>IF(金币!X36="","",金币!$B36*金币!X36)</f>
        <v/>
      </c>
      <c r="Y35" s="7" t="str">
        <f>IF(金币!Y36="","",金币!$B36*金币!Y36)</f>
        <v/>
      </c>
      <c r="Z35" s="7">
        <f>IF(金币!Z36="","",金币!$B36*金币!Z36)</f>
        <v>0</v>
      </c>
      <c r="AA35" s="7" t="str">
        <f>IF(金币!AA36="","",金币!$B36*金币!AA36)</f>
        <v/>
      </c>
      <c r="AB35" s="7" t="str">
        <f>IF(金币!AB36="","",金币!$B36*金币!AB36)</f>
        <v/>
      </c>
      <c r="AC35" s="7" t="str">
        <f>IF(金币!AC36="","",金币!$B36*金币!AC36)</f>
        <v/>
      </c>
      <c r="AD35" s="7" t="str">
        <f>IF(金币!AD36="","",金币!$B36*金币!AD36)</f>
        <v/>
      </c>
      <c r="AE35" s="7" t="str">
        <f>IF(金币!AE36="","",金币!$B36*金币!AE36)</f>
        <v/>
      </c>
      <c r="AF35" s="7">
        <f>IF(金币!AF36="","",金币!$B36*金币!AF36)</f>
        <v>680</v>
      </c>
      <c r="AG35" s="7">
        <f>金币!AI36</f>
        <v>0</v>
      </c>
    </row>
    <row r="36" spans="1:33">
      <c r="A36" s="32">
        <v>35</v>
      </c>
      <c r="B36" s="87">
        <f>金币!B37</f>
        <v>35</v>
      </c>
      <c r="C36" s="7">
        <f>IF(金币!C37="","",金币!$B37*金币!C37)</f>
        <v>280</v>
      </c>
      <c r="D36" s="7" t="str">
        <f>IF(金币!D37="","",金币!$B37*金币!D37)</f>
        <v/>
      </c>
      <c r="E36" s="7" t="str">
        <f>IF(金币!E37="","",金币!$B37*金币!E37)</f>
        <v/>
      </c>
      <c r="F36" s="7">
        <f>IF(金币!F37="","",金币!$B37*金币!F37)</f>
        <v>0</v>
      </c>
      <c r="G36" s="7" t="str">
        <f>IF(金币!G37="","",金币!$B37*金币!G37)</f>
        <v/>
      </c>
      <c r="H36" s="7" t="str">
        <f>IF(金币!H37="","",金币!$B37*金币!H37)</f>
        <v/>
      </c>
      <c r="I36" s="7" t="str">
        <f>IF(金币!I37="","",金币!$B37*金币!I37)</f>
        <v/>
      </c>
      <c r="J36" s="7" t="str">
        <f>IF(金币!J37="","",金币!$B37*金币!J37)</f>
        <v/>
      </c>
      <c r="K36" s="7">
        <f>IF(金币!K37="","",金币!$B37*金币!K37)</f>
        <v>350</v>
      </c>
      <c r="L36" s="7">
        <f>IF(金币!L37="","",金币!$B37*金币!L37)</f>
        <v>175</v>
      </c>
      <c r="M36" s="7" t="str">
        <f>IF(金币!M37="","",金币!$B37*金币!M37)</f>
        <v/>
      </c>
      <c r="N36" s="7" t="str">
        <f>IF(金币!N37="","",金币!$B37*金币!N37)</f>
        <v/>
      </c>
      <c r="O36" s="7" t="str">
        <f>IF(金币!O37="","",金币!$B37*金币!O37)</f>
        <v/>
      </c>
      <c r="P36" s="7" t="str">
        <f>IF(金币!P37="","",金币!$B37*金币!P37)</f>
        <v/>
      </c>
      <c r="Q36" s="7">
        <f>IF(金币!Q37="","",金币!$B37*金币!Q37)</f>
        <v>350</v>
      </c>
      <c r="R36" s="7" t="str">
        <f>IF(金币!R37="","",金币!$B37*金币!R37)</f>
        <v/>
      </c>
      <c r="S36" s="7">
        <f>IF(金币!S37="","",金币!$B37*金币!S37)</f>
        <v>105</v>
      </c>
      <c r="T36" s="7" t="str">
        <f>IF(金币!T37="","",金币!$B37*金币!T37)</f>
        <v/>
      </c>
      <c r="U36" s="7" t="str">
        <f>IF(金币!U37="","",金币!$B37*金币!U37)</f>
        <v/>
      </c>
      <c r="V36" s="7">
        <f>IF(金币!V37="","",金币!$B37*金币!V37)</f>
        <v>140</v>
      </c>
      <c r="W36" s="7" t="str">
        <f>IF(金币!W37="","",金币!$B37*金币!W37)</f>
        <v/>
      </c>
      <c r="X36" s="7" t="str">
        <f>IF(金币!X37="","",金币!$B37*金币!X37)</f>
        <v/>
      </c>
      <c r="Y36" s="7" t="str">
        <f>IF(金币!Y37="","",金币!$B37*金币!Y37)</f>
        <v/>
      </c>
      <c r="Z36" s="7">
        <f>IF(金币!Z37="","",金币!$B37*金币!Z37)</f>
        <v>0</v>
      </c>
      <c r="AA36" s="7" t="str">
        <f>IF(金币!AA37="","",金币!$B37*金币!AA37)</f>
        <v/>
      </c>
      <c r="AB36" s="7" t="str">
        <f>IF(金币!AB37="","",金币!$B37*金币!AB37)</f>
        <v/>
      </c>
      <c r="AC36" s="7" t="str">
        <f>IF(金币!AC37="","",金币!$B37*金币!AC37)</f>
        <v/>
      </c>
      <c r="AD36" s="7" t="str">
        <f>IF(金币!AD37="","",金币!$B37*金币!AD37)</f>
        <v/>
      </c>
      <c r="AE36" s="7" t="str">
        <f>IF(金币!AE37="","",金币!$B37*金币!AE37)</f>
        <v/>
      </c>
      <c r="AF36" s="7">
        <f>IF(金币!AF37="","",金币!$B37*金币!AF37)</f>
        <v>700</v>
      </c>
      <c r="AG36" s="7">
        <f>金币!AI37</f>
        <v>0</v>
      </c>
    </row>
    <row r="37" spans="1:33">
      <c r="A37" s="32">
        <v>36</v>
      </c>
      <c r="B37" s="87">
        <f>金币!B38</f>
        <v>36</v>
      </c>
      <c r="C37" s="7">
        <f>IF(金币!C38="","",金币!$B38*金币!C38)</f>
        <v>288</v>
      </c>
      <c r="D37" s="7" t="str">
        <f>IF(金币!D38="","",金币!$B38*金币!D38)</f>
        <v/>
      </c>
      <c r="E37" s="7" t="str">
        <f>IF(金币!E38="","",金币!$B38*金币!E38)</f>
        <v/>
      </c>
      <c r="F37" s="7">
        <f>IF(金币!F38="","",金币!$B38*金币!F38)</f>
        <v>0</v>
      </c>
      <c r="G37" s="7" t="str">
        <f>IF(金币!G38="","",金币!$B38*金币!G38)</f>
        <v/>
      </c>
      <c r="H37" s="7" t="str">
        <f>IF(金币!H38="","",金币!$B38*金币!H38)</f>
        <v/>
      </c>
      <c r="I37" s="7" t="str">
        <f>IF(金币!I38="","",金币!$B38*金币!I38)</f>
        <v/>
      </c>
      <c r="J37" s="7" t="str">
        <f>IF(金币!J38="","",金币!$B38*金币!J38)</f>
        <v/>
      </c>
      <c r="K37" s="7">
        <f>IF(金币!K38="","",金币!$B38*金币!K38)</f>
        <v>360</v>
      </c>
      <c r="L37" s="7">
        <f>IF(金币!L38="","",金币!$B38*金币!L38)</f>
        <v>180</v>
      </c>
      <c r="M37" s="7" t="str">
        <f>IF(金币!M38="","",金币!$B38*金币!M38)</f>
        <v/>
      </c>
      <c r="N37" s="7" t="str">
        <f>IF(金币!N38="","",金币!$B38*金币!N38)</f>
        <v/>
      </c>
      <c r="O37" s="7" t="str">
        <f>IF(金币!O38="","",金币!$B38*金币!O38)</f>
        <v/>
      </c>
      <c r="P37" s="7" t="str">
        <f>IF(金币!P38="","",金币!$B38*金币!P38)</f>
        <v/>
      </c>
      <c r="Q37" s="7">
        <f>IF(金币!Q38="","",金币!$B38*金币!Q38)</f>
        <v>360</v>
      </c>
      <c r="R37" s="7" t="str">
        <f>IF(金币!R38="","",金币!$B38*金币!R38)</f>
        <v/>
      </c>
      <c r="S37" s="7">
        <f>IF(金币!S38="","",金币!$B38*金币!S38)</f>
        <v>108</v>
      </c>
      <c r="T37" s="7" t="str">
        <f>IF(金币!T38="","",金币!$B38*金币!T38)</f>
        <v/>
      </c>
      <c r="U37" s="7" t="str">
        <f>IF(金币!U38="","",金币!$B38*金币!U38)</f>
        <v/>
      </c>
      <c r="V37" s="7">
        <f>IF(金币!V38="","",金币!$B38*金币!V38)</f>
        <v>144</v>
      </c>
      <c r="W37" s="7" t="str">
        <f>IF(金币!W38="","",金币!$B38*金币!W38)</f>
        <v/>
      </c>
      <c r="X37" s="7" t="str">
        <f>IF(金币!X38="","",金币!$B38*金币!X38)</f>
        <v/>
      </c>
      <c r="Y37" s="7" t="str">
        <f>IF(金币!Y38="","",金币!$B38*金币!Y38)</f>
        <v/>
      </c>
      <c r="Z37" s="7">
        <f>IF(金币!Z38="","",金币!$B38*金币!Z38)</f>
        <v>0</v>
      </c>
      <c r="AA37" s="7" t="str">
        <f>IF(金币!AA38="","",金币!$B38*金币!AA38)</f>
        <v/>
      </c>
      <c r="AB37" s="7" t="str">
        <f>IF(金币!AB38="","",金币!$B38*金币!AB38)</f>
        <v/>
      </c>
      <c r="AC37" s="7" t="str">
        <f>IF(金币!AC38="","",金币!$B38*金币!AC38)</f>
        <v/>
      </c>
      <c r="AD37" s="7" t="str">
        <f>IF(金币!AD38="","",金币!$B38*金币!AD38)</f>
        <v/>
      </c>
      <c r="AE37" s="7" t="str">
        <f>IF(金币!AE38="","",金币!$B38*金币!AE38)</f>
        <v/>
      </c>
      <c r="AF37" s="7">
        <f>IF(金币!AF38="","",金币!$B38*金币!AF38)</f>
        <v>720</v>
      </c>
      <c r="AG37" s="7">
        <f>金币!AI38</f>
        <v>0</v>
      </c>
    </row>
    <row r="38" spans="1:33">
      <c r="A38" s="32">
        <v>37</v>
      </c>
      <c r="B38" s="87">
        <f>金币!B39</f>
        <v>37</v>
      </c>
      <c r="C38" s="7">
        <f>IF(金币!C39="","",金币!$B39*金币!C39)</f>
        <v>296</v>
      </c>
      <c r="D38" s="7" t="str">
        <f>IF(金币!D39="","",金币!$B39*金币!D39)</f>
        <v/>
      </c>
      <c r="E38" s="7" t="str">
        <f>IF(金币!E39="","",金币!$B39*金币!E39)</f>
        <v/>
      </c>
      <c r="F38" s="7">
        <f>IF(金币!F39="","",金币!$B39*金币!F39)</f>
        <v>0</v>
      </c>
      <c r="G38" s="7" t="str">
        <f>IF(金币!G39="","",金币!$B39*金币!G39)</f>
        <v/>
      </c>
      <c r="H38" s="7" t="str">
        <f>IF(金币!H39="","",金币!$B39*金币!H39)</f>
        <v/>
      </c>
      <c r="I38" s="7" t="str">
        <f>IF(金币!I39="","",金币!$B39*金币!I39)</f>
        <v/>
      </c>
      <c r="J38" s="7" t="str">
        <f>IF(金币!J39="","",金币!$B39*金币!J39)</f>
        <v/>
      </c>
      <c r="K38" s="7">
        <f>IF(金币!K39="","",金币!$B39*金币!K39)</f>
        <v>370</v>
      </c>
      <c r="L38" s="7">
        <f>IF(金币!L39="","",金币!$B39*金币!L39)</f>
        <v>185</v>
      </c>
      <c r="M38" s="7" t="str">
        <f>IF(金币!M39="","",金币!$B39*金币!M39)</f>
        <v/>
      </c>
      <c r="N38" s="7" t="str">
        <f>IF(金币!N39="","",金币!$B39*金币!N39)</f>
        <v/>
      </c>
      <c r="O38" s="7" t="str">
        <f>IF(金币!O39="","",金币!$B39*金币!O39)</f>
        <v/>
      </c>
      <c r="P38" s="7" t="str">
        <f>IF(金币!P39="","",金币!$B39*金币!P39)</f>
        <v/>
      </c>
      <c r="Q38" s="7">
        <f>IF(金币!Q39="","",金币!$B39*金币!Q39)</f>
        <v>370</v>
      </c>
      <c r="R38" s="7" t="str">
        <f>IF(金币!R39="","",金币!$B39*金币!R39)</f>
        <v/>
      </c>
      <c r="S38" s="7">
        <f>IF(金币!S39="","",金币!$B39*金币!S39)</f>
        <v>111</v>
      </c>
      <c r="T38" s="7" t="str">
        <f>IF(金币!T39="","",金币!$B39*金币!T39)</f>
        <v/>
      </c>
      <c r="U38" s="7" t="str">
        <f>IF(金币!U39="","",金币!$B39*金币!U39)</f>
        <v/>
      </c>
      <c r="V38" s="7">
        <f>IF(金币!V39="","",金币!$B39*金币!V39)</f>
        <v>148</v>
      </c>
      <c r="W38" s="7" t="str">
        <f>IF(金币!W39="","",金币!$B39*金币!W39)</f>
        <v/>
      </c>
      <c r="X38" s="7" t="str">
        <f>IF(金币!X39="","",金币!$B39*金币!X39)</f>
        <v/>
      </c>
      <c r="Y38" s="7" t="str">
        <f>IF(金币!Y39="","",金币!$B39*金币!Y39)</f>
        <v/>
      </c>
      <c r="Z38" s="7">
        <f>IF(金币!Z39="","",金币!$B39*金币!Z39)</f>
        <v>0</v>
      </c>
      <c r="AA38" s="7" t="str">
        <f>IF(金币!AA39="","",金币!$B39*金币!AA39)</f>
        <v/>
      </c>
      <c r="AB38" s="7" t="str">
        <f>IF(金币!AB39="","",金币!$B39*金币!AB39)</f>
        <v/>
      </c>
      <c r="AC38" s="7" t="str">
        <f>IF(金币!AC39="","",金币!$B39*金币!AC39)</f>
        <v/>
      </c>
      <c r="AD38" s="7" t="str">
        <f>IF(金币!AD39="","",金币!$B39*金币!AD39)</f>
        <v/>
      </c>
      <c r="AE38" s="7" t="str">
        <f>IF(金币!AE39="","",金币!$B39*金币!AE39)</f>
        <v/>
      </c>
      <c r="AF38" s="7">
        <f>IF(金币!AF39="","",金币!$B39*金币!AF39)</f>
        <v>740</v>
      </c>
      <c r="AG38" s="7">
        <f>金币!AI39</f>
        <v>0</v>
      </c>
    </row>
    <row r="39" spans="1:33">
      <c r="A39" s="32">
        <v>38</v>
      </c>
      <c r="B39" s="87">
        <f>金币!B40</f>
        <v>38</v>
      </c>
      <c r="C39" s="7">
        <f>IF(金币!C40="","",金币!$B40*金币!C40)</f>
        <v>304</v>
      </c>
      <c r="D39" s="7" t="str">
        <f>IF(金币!D40="","",金币!$B40*金币!D40)</f>
        <v/>
      </c>
      <c r="E39" s="7" t="str">
        <f>IF(金币!E40="","",金币!$B40*金币!E40)</f>
        <v/>
      </c>
      <c r="F39" s="7">
        <f>IF(金币!F40="","",金币!$B40*金币!F40)</f>
        <v>0</v>
      </c>
      <c r="G39" s="7" t="str">
        <f>IF(金币!G40="","",金币!$B40*金币!G40)</f>
        <v/>
      </c>
      <c r="H39" s="7" t="str">
        <f>IF(金币!H40="","",金币!$B40*金币!H40)</f>
        <v/>
      </c>
      <c r="I39" s="7" t="str">
        <f>IF(金币!I40="","",金币!$B40*金币!I40)</f>
        <v/>
      </c>
      <c r="J39" s="7" t="str">
        <f>IF(金币!J40="","",金币!$B40*金币!J40)</f>
        <v/>
      </c>
      <c r="K39" s="7">
        <f>IF(金币!K40="","",金币!$B40*金币!K40)</f>
        <v>380</v>
      </c>
      <c r="L39" s="7">
        <f>IF(金币!L40="","",金币!$B40*金币!L40)</f>
        <v>190</v>
      </c>
      <c r="M39" s="7" t="str">
        <f>IF(金币!M40="","",金币!$B40*金币!M40)</f>
        <v/>
      </c>
      <c r="N39" s="7" t="str">
        <f>IF(金币!N40="","",金币!$B40*金币!N40)</f>
        <v/>
      </c>
      <c r="O39" s="7" t="str">
        <f>IF(金币!O40="","",金币!$B40*金币!O40)</f>
        <v/>
      </c>
      <c r="P39" s="7" t="str">
        <f>IF(金币!P40="","",金币!$B40*金币!P40)</f>
        <v/>
      </c>
      <c r="Q39" s="7">
        <f>IF(金币!Q40="","",金币!$B40*金币!Q40)</f>
        <v>380</v>
      </c>
      <c r="R39" s="7" t="str">
        <f>IF(金币!R40="","",金币!$B40*金币!R40)</f>
        <v/>
      </c>
      <c r="S39" s="7">
        <f>IF(金币!S40="","",金币!$B40*金币!S40)</f>
        <v>114</v>
      </c>
      <c r="T39" s="7" t="str">
        <f>IF(金币!T40="","",金币!$B40*金币!T40)</f>
        <v/>
      </c>
      <c r="U39" s="7" t="str">
        <f>IF(金币!U40="","",金币!$B40*金币!U40)</f>
        <v/>
      </c>
      <c r="V39" s="7">
        <f>IF(金币!V40="","",金币!$B40*金币!V40)</f>
        <v>152</v>
      </c>
      <c r="W39" s="7" t="str">
        <f>IF(金币!W40="","",金币!$B40*金币!W40)</f>
        <v/>
      </c>
      <c r="X39" s="7" t="str">
        <f>IF(金币!X40="","",金币!$B40*金币!X40)</f>
        <v/>
      </c>
      <c r="Y39" s="7" t="str">
        <f>IF(金币!Y40="","",金币!$B40*金币!Y40)</f>
        <v/>
      </c>
      <c r="Z39" s="7">
        <f>IF(金币!Z40="","",金币!$B40*金币!Z40)</f>
        <v>0</v>
      </c>
      <c r="AA39" s="7" t="str">
        <f>IF(金币!AA40="","",金币!$B40*金币!AA40)</f>
        <v/>
      </c>
      <c r="AB39" s="7" t="str">
        <f>IF(金币!AB40="","",金币!$B40*金币!AB40)</f>
        <v/>
      </c>
      <c r="AC39" s="7" t="str">
        <f>IF(金币!AC40="","",金币!$B40*金币!AC40)</f>
        <v/>
      </c>
      <c r="AD39" s="7" t="str">
        <f>IF(金币!AD40="","",金币!$B40*金币!AD40)</f>
        <v/>
      </c>
      <c r="AE39" s="7" t="str">
        <f>IF(金币!AE40="","",金币!$B40*金币!AE40)</f>
        <v/>
      </c>
      <c r="AF39" s="7">
        <f>IF(金币!AF40="","",金币!$B40*金币!AF40)</f>
        <v>760</v>
      </c>
      <c r="AG39" s="7">
        <f>金币!AI40</f>
        <v>0</v>
      </c>
    </row>
    <row r="40" spans="1:33">
      <c r="A40" s="32">
        <v>39</v>
      </c>
      <c r="B40" s="87">
        <f>金币!B41</f>
        <v>39</v>
      </c>
      <c r="C40" s="7">
        <f>IF(金币!C41="","",金币!$B41*金币!C41)</f>
        <v>312</v>
      </c>
      <c r="D40" s="7" t="str">
        <f>IF(金币!D41="","",金币!$B41*金币!D41)</f>
        <v/>
      </c>
      <c r="E40" s="7" t="str">
        <f>IF(金币!E41="","",金币!$B41*金币!E41)</f>
        <v/>
      </c>
      <c r="F40" s="7">
        <f>IF(金币!F41="","",金币!$B41*金币!F41)</f>
        <v>0</v>
      </c>
      <c r="G40" s="7" t="str">
        <f>IF(金币!G41="","",金币!$B41*金币!G41)</f>
        <v/>
      </c>
      <c r="H40" s="7" t="str">
        <f>IF(金币!H41="","",金币!$B41*金币!H41)</f>
        <v/>
      </c>
      <c r="I40" s="7" t="str">
        <f>IF(金币!I41="","",金币!$B41*金币!I41)</f>
        <v/>
      </c>
      <c r="J40" s="7" t="str">
        <f>IF(金币!J41="","",金币!$B41*金币!J41)</f>
        <v/>
      </c>
      <c r="K40" s="7">
        <f>IF(金币!K41="","",金币!$B41*金币!K41)</f>
        <v>390</v>
      </c>
      <c r="L40" s="7">
        <f>IF(金币!L41="","",金币!$B41*金币!L41)</f>
        <v>195</v>
      </c>
      <c r="M40" s="7" t="str">
        <f>IF(金币!M41="","",金币!$B41*金币!M41)</f>
        <v/>
      </c>
      <c r="N40" s="7" t="str">
        <f>IF(金币!N41="","",金币!$B41*金币!N41)</f>
        <v/>
      </c>
      <c r="O40" s="7" t="str">
        <f>IF(金币!O41="","",金币!$B41*金币!O41)</f>
        <v/>
      </c>
      <c r="P40" s="7" t="str">
        <f>IF(金币!P41="","",金币!$B41*金币!P41)</f>
        <v/>
      </c>
      <c r="Q40" s="7">
        <f>IF(金币!Q41="","",金币!$B41*金币!Q41)</f>
        <v>390</v>
      </c>
      <c r="R40" s="7" t="str">
        <f>IF(金币!R41="","",金币!$B41*金币!R41)</f>
        <v/>
      </c>
      <c r="S40" s="7">
        <f>IF(金币!S41="","",金币!$B41*金币!S41)</f>
        <v>117</v>
      </c>
      <c r="T40" s="7" t="str">
        <f>IF(金币!T41="","",金币!$B41*金币!T41)</f>
        <v/>
      </c>
      <c r="U40" s="7" t="str">
        <f>IF(金币!U41="","",金币!$B41*金币!U41)</f>
        <v/>
      </c>
      <c r="V40" s="7">
        <f>IF(金币!V41="","",金币!$B41*金币!V41)</f>
        <v>156</v>
      </c>
      <c r="W40" s="7" t="str">
        <f>IF(金币!W41="","",金币!$B41*金币!W41)</f>
        <v/>
      </c>
      <c r="X40" s="7" t="str">
        <f>IF(金币!X41="","",金币!$B41*金币!X41)</f>
        <v/>
      </c>
      <c r="Y40" s="7" t="str">
        <f>IF(金币!Y41="","",金币!$B41*金币!Y41)</f>
        <v/>
      </c>
      <c r="Z40" s="7">
        <f>IF(金币!Z41="","",金币!$B41*金币!Z41)</f>
        <v>0</v>
      </c>
      <c r="AA40" s="7" t="str">
        <f>IF(金币!AA41="","",金币!$B41*金币!AA41)</f>
        <v/>
      </c>
      <c r="AB40" s="7" t="str">
        <f>IF(金币!AB41="","",金币!$B41*金币!AB41)</f>
        <v/>
      </c>
      <c r="AC40" s="7" t="str">
        <f>IF(金币!AC41="","",金币!$B41*金币!AC41)</f>
        <v/>
      </c>
      <c r="AD40" s="7" t="str">
        <f>IF(金币!AD41="","",金币!$B41*金币!AD41)</f>
        <v/>
      </c>
      <c r="AE40" s="7" t="str">
        <f>IF(金币!AE41="","",金币!$B41*金币!AE41)</f>
        <v/>
      </c>
      <c r="AF40" s="7">
        <f>IF(金币!AF41="","",金币!$B41*金币!AF41)</f>
        <v>780</v>
      </c>
      <c r="AG40" s="7">
        <f>金币!AI41</f>
        <v>0</v>
      </c>
    </row>
    <row r="41" spans="1:33">
      <c r="A41" s="32">
        <v>40</v>
      </c>
      <c r="B41" s="87">
        <f>金币!B42</f>
        <v>40</v>
      </c>
      <c r="C41" s="7">
        <f>IF(金币!C42="","",金币!$B42*金币!C42)</f>
        <v>320</v>
      </c>
      <c r="D41" s="7" t="str">
        <f>IF(金币!D42="","",金币!$B42*金币!D42)</f>
        <v/>
      </c>
      <c r="E41" s="7" t="str">
        <f>IF(金币!E42="","",金币!$B42*金币!E42)</f>
        <v/>
      </c>
      <c r="F41" s="7">
        <f>IF(金币!F42="","",金币!$B42*金币!F42)</f>
        <v>400</v>
      </c>
      <c r="G41" s="7" t="str">
        <f>IF(金币!G42="","",金币!$B42*金币!G42)</f>
        <v/>
      </c>
      <c r="H41" s="7" t="str">
        <f>IF(金币!H42="","",金币!$B42*金币!H42)</f>
        <v/>
      </c>
      <c r="I41" s="7" t="str">
        <f>IF(金币!I42="","",金币!$B42*金币!I42)</f>
        <v/>
      </c>
      <c r="J41" s="7" t="str">
        <f>IF(金币!J42="","",金币!$B42*金币!J42)</f>
        <v/>
      </c>
      <c r="K41" s="7">
        <f>IF(金币!K42="","",金币!$B42*金币!K42)</f>
        <v>400</v>
      </c>
      <c r="L41" s="7">
        <f>IF(金币!L42="","",金币!$B42*金币!L42)</f>
        <v>200</v>
      </c>
      <c r="M41" s="7" t="str">
        <f>IF(金币!M42="","",金币!$B42*金币!M42)</f>
        <v/>
      </c>
      <c r="N41" s="7" t="str">
        <f>IF(金币!N42="","",金币!$B42*金币!N42)</f>
        <v/>
      </c>
      <c r="O41" s="7" t="str">
        <f>IF(金币!O42="","",金币!$B42*金币!O42)</f>
        <v/>
      </c>
      <c r="P41" s="7" t="str">
        <f>IF(金币!P42="","",金币!$B42*金币!P42)</f>
        <v/>
      </c>
      <c r="Q41" s="7">
        <f>IF(金币!Q42="","",金币!$B42*金币!Q42)</f>
        <v>400</v>
      </c>
      <c r="R41" s="7" t="str">
        <f>IF(金币!R42="","",金币!$B42*金币!R42)</f>
        <v/>
      </c>
      <c r="S41" s="7">
        <f>IF(金币!S42="","",金币!$B42*金币!S42)</f>
        <v>120</v>
      </c>
      <c r="T41" s="7" t="str">
        <f>IF(金币!T42="","",金币!$B42*金币!T42)</f>
        <v/>
      </c>
      <c r="U41" s="7" t="str">
        <f>IF(金币!U42="","",金币!$B42*金币!U42)</f>
        <v/>
      </c>
      <c r="V41" s="7">
        <f>IF(金币!V42="","",金币!$B42*金币!V42)</f>
        <v>160</v>
      </c>
      <c r="W41" s="7" t="str">
        <f>IF(金币!W42="","",金币!$B42*金币!W42)</f>
        <v/>
      </c>
      <c r="X41" s="7" t="str">
        <f>IF(金币!X42="","",金币!$B42*金币!X42)</f>
        <v/>
      </c>
      <c r="Y41" s="7" t="str">
        <f>IF(金币!Y42="","",金币!$B42*金币!Y42)</f>
        <v/>
      </c>
      <c r="Z41" s="7">
        <f>IF(金币!Z42="","",金币!$B42*金币!Z42)</f>
        <v>400</v>
      </c>
      <c r="AA41" s="7" t="str">
        <f>IF(金币!AA42="","",金币!$B42*金币!AA42)</f>
        <v/>
      </c>
      <c r="AB41" s="7" t="str">
        <f>IF(金币!AB42="","",金币!$B42*金币!AB42)</f>
        <v/>
      </c>
      <c r="AC41" s="7" t="str">
        <f>IF(金币!AC42="","",金币!$B42*金币!AC42)</f>
        <v/>
      </c>
      <c r="AD41" s="7" t="str">
        <f>IF(金币!AD42="","",金币!$B42*金币!AD42)</f>
        <v/>
      </c>
      <c r="AE41" s="7" t="str">
        <f>IF(金币!AE42="","",金币!$B42*金币!AE42)</f>
        <v/>
      </c>
      <c r="AF41" s="7">
        <f>IF(金币!AF42="","",金币!$B42*金币!AF42)</f>
        <v>800</v>
      </c>
      <c r="AG41" s="7">
        <f>金币!AI42</f>
        <v>0</v>
      </c>
    </row>
    <row r="42" spans="1:33">
      <c r="A42" s="32">
        <v>41</v>
      </c>
      <c r="B42" s="87">
        <f>金币!B43</f>
        <v>41</v>
      </c>
      <c r="C42" s="7">
        <f>IF(金币!C43="","",金币!$B43*金币!C43)</f>
        <v>328</v>
      </c>
      <c r="D42" s="7" t="str">
        <f>IF(金币!D43="","",金币!$B43*金币!D43)</f>
        <v/>
      </c>
      <c r="E42" s="7" t="str">
        <f>IF(金币!E43="","",金币!$B43*金币!E43)</f>
        <v/>
      </c>
      <c r="F42" s="7">
        <f>IF(金币!F43="","",金币!$B43*金币!F43)</f>
        <v>410</v>
      </c>
      <c r="G42" s="7" t="str">
        <f>IF(金币!G43="","",金币!$B43*金币!G43)</f>
        <v/>
      </c>
      <c r="H42" s="7" t="str">
        <f>IF(金币!H43="","",金币!$B43*金币!H43)</f>
        <v/>
      </c>
      <c r="I42" s="7" t="str">
        <f>IF(金币!I43="","",金币!$B43*金币!I43)</f>
        <v/>
      </c>
      <c r="J42" s="7" t="str">
        <f>IF(金币!J43="","",金币!$B43*金币!J43)</f>
        <v/>
      </c>
      <c r="K42" s="7">
        <f>IF(金币!K43="","",金币!$B43*金币!K43)</f>
        <v>410</v>
      </c>
      <c r="L42" s="7">
        <f>IF(金币!L43="","",金币!$B43*金币!L43)</f>
        <v>205</v>
      </c>
      <c r="M42" s="7" t="str">
        <f>IF(金币!M43="","",金币!$B43*金币!M43)</f>
        <v/>
      </c>
      <c r="N42" s="7" t="str">
        <f>IF(金币!N43="","",金币!$B43*金币!N43)</f>
        <v/>
      </c>
      <c r="O42" s="7" t="str">
        <f>IF(金币!O43="","",金币!$B43*金币!O43)</f>
        <v/>
      </c>
      <c r="P42" s="7" t="str">
        <f>IF(金币!P43="","",金币!$B43*金币!P43)</f>
        <v/>
      </c>
      <c r="Q42" s="7">
        <f>IF(金币!Q43="","",金币!$B43*金币!Q43)</f>
        <v>410</v>
      </c>
      <c r="R42" s="7" t="str">
        <f>IF(金币!R43="","",金币!$B43*金币!R43)</f>
        <v/>
      </c>
      <c r="S42" s="7">
        <f>IF(金币!S43="","",金币!$B43*金币!S43)</f>
        <v>123</v>
      </c>
      <c r="T42" s="7" t="str">
        <f>IF(金币!T43="","",金币!$B43*金币!T43)</f>
        <v/>
      </c>
      <c r="U42" s="7" t="str">
        <f>IF(金币!U43="","",金币!$B43*金币!U43)</f>
        <v/>
      </c>
      <c r="V42" s="7">
        <f>IF(金币!V43="","",金币!$B43*金币!V43)</f>
        <v>164</v>
      </c>
      <c r="W42" s="7" t="str">
        <f>IF(金币!W43="","",金币!$B43*金币!W43)</f>
        <v/>
      </c>
      <c r="X42" s="7" t="str">
        <f>IF(金币!X43="","",金币!$B43*金币!X43)</f>
        <v/>
      </c>
      <c r="Y42" s="7" t="str">
        <f>IF(金币!Y43="","",金币!$B43*金币!Y43)</f>
        <v/>
      </c>
      <c r="Z42" s="7">
        <f>IF(金币!Z43="","",金币!$B43*金币!Z43)</f>
        <v>410</v>
      </c>
      <c r="AA42" s="7" t="str">
        <f>IF(金币!AA43="","",金币!$B43*金币!AA43)</f>
        <v/>
      </c>
      <c r="AB42" s="7" t="str">
        <f>IF(金币!AB43="","",金币!$B43*金币!AB43)</f>
        <v/>
      </c>
      <c r="AC42" s="7" t="str">
        <f>IF(金币!AC43="","",金币!$B43*金币!AC43)</f>
        <v/>
      </c>
      <c r="AD42" s="7" t="str">
        <f>IF(金币!AD43="","",金币!$B43*金币!AD43)</f>
        <v/>
      </c>
      <c r="AE42" s="7" t="str">
        <f>IF(金币!AE43="","",金币!$B43*金币!AE43)</f>
        <v/>
      </c>
      <c r="AF42" s="7">
        <f>IF(金币!AF43="","",金币!$B43*金币!AF43)</f>
        <v>820</v>
      </c>
      <c r="AG42" s="7">
        <f>金币!AI43</f>
        <v>0</v>
      </c>
    </row>
    <row r="43" spans="1:33">
      <c r="A43" s="32">
        <v>42</v>
      </c>
      <c r="B43" s="87">
        <f>金币!B44</f>
        <v>42</v>
      </c>
      <c r="C43" s="7">
        <f>IF(金币!C44="","",金币!$B44*金币!C44)</f>
        <v>336</v>
      </c>
      <c r="D43" s="7" t="str">
        <f>IF(金币!D44="","",金币!$B44*金币!D44)</f>
        <v/>
      </c>
      <c r="E43" s="7" t="str">
        <f>IF(金币!E44="","",金币!$B44*金币!E44)</f>
        <v/>
      </c>
      <c r="F43" s="7">
        <f>IF(金币!F44="","",金币!$B44*金币!F44)</f>
        <v>420</v>
      </c>
      <c r="G43" s="7" t="str">
        <f>IF(金币!G44="","",金币!$B44*金币!G44)</f>
        <v/>
      </c>
      <c r="H43" s="7" t="str">
        <f>IF(金币!H44="","",金币!$B44*金币!H44)</f>
        <v/>
      </c>
      <c r="I43" s="7" t="str">
        <f>IF(金币!I44="","",金币!$B44*金币!I44)</f>
        <v/>
      </c>
      <c r="J43" s="7" t="str">
        <f>IF(金币!J44="","",金币!$B44*金币!J44)</f>
        <v/>
      </c>
      <c r="K43" s="7">
        <f>IF(金币!K44="","",金币!$B44*金币!K44)</f>
        <v>420</v>
      </c>
      <c r="L43" s="7">
        <f>IF(金币!L44="","",金币!$B44*金币!L44)</f>
        <v>210</v>
      </c>
      <c r="M43" s="7" t="str">
        <f>IF(金币!M44="","",金币!$B44*金币!M44)</f>
        <v/>
      </c>
      <c r="N43" s="7" t="str">
        <f>IF(金币!N44="","",金币!$B44*金币!N44)</f>
        <v/>
      </c>
      <c r="O43" s="7" t="str">
        <f>IF(金币!O44="","",金币!$B44*金币!O44)</f>
        <v/>
      </c>
      <c r="P43" s="7" t="str">
        <f>IF(金币!P44="","",金币!$B44*金币!P44)</f>
        <v/>
      </c>
      <c r="Q43" s="7">
        <f>IF(金币!Q44="","",金币!$B44*金币!Q44)</f>
        <v>420</v>
      </c>
      <c r="R43" s="7" t="str">
        <f>IF(金币!R44="","",金币!$B44*金币!R44)</f>
        <v/>
      </c>
      <c r="S43" s="7">
        <f>IF(金币!S44="","",金币!$B44*金币!S44)</f>
        <v>126</v>
      </c>
      <c r="T43" s="7" t="str">
        <f>IF(金币!T44="","",金币!$B44*金币!T44)</f>
        <v/>
      </c>
      <c r="U43" s="7" t="str">
        <f>IF(金币!U44="","",金币!$B44*金币!U44)</f>
        <v/>
      </c>
      <c r="V43" s="7">
        <f>IF(金币!V44="","",金币!$B44*金币!V44)</f>
        <v>168</v>
      </c>
      <c r="W43" s="7" t="str">
        <f>IF(金币!W44="","",金币!$B44*金币!W44)</f>
        <v/>
      </c>
      <c r="X43" s="7" t="str">
        <f>IF(金币!X44="","",金币!$B44*金币!X44)</f>
        <v/>
      </c>
      <c r="Y43" s="7" t="str">
        <f>IF(金币!Y44="","",金币!$B44*金币!Y44)</f>
        <v/>
      </c>
      <c r="Z43" s="7">
        <f>IF(金币!Z44="","",金币!$B44*金币!Z44)</f>
        <v>420</v>
      </c>
      <c r="AA43" s="7" t="str">
        <f>IF(金币!AA44="","",金币!$B44*金币!AA44)</f>
        <v/>
      </c>
      <c r="AB43" s="7" t="str">
        <f>IF(金币!AB44="","",金币!$B44*金币!AB44)</f>
        <v/>
      </c>
      <c r="AC43" s="7" t="str">
        <f>IF(金币!AC44="","",金币!$B44*金币!AC44)</f>
        <v/>
      </c>
      <c r="AD43" s="7" t="str">
        <f>IF(金币!AD44="","",金币!$B44*金币!AD44)</f>
        <v/>
      </c>
      <c r="AE43" s="7" t="str">
        <f>IF(金币!AE44="","",金币!$B44*金币!AE44)</f>
        <v/>
      </c>
      <c r="AF43" s="7">
        <f>IF(金币!AF44="","",金币!$B44*金币!AF44)</f>
        <v>840</v>
      </c>
      <c r="AG43" s="7">
        <f>金币!AI44</f>
        <v>0</v>
      </c>
    </row>
    <row r="44" spans="1:33">
      <c r="A44" s="32">
        <v>43</v>
      </c>
      <c r="B44" s="87">
        <f>金币!B45</f>
        <v>43</v>
      </c>
      <c r="C44" s="7">
        <f>IF(金币!C45="","",金币!$B45*金币!C45)</f>
        <v>344</v>
      </c>
      <c r="D44" s="7" t="str">
        <f>IF(金币!D45="","",金币!$B45*金币!D45)</f>
        <v/>
      </c>
      <c r="E44" s="7" t="str">
        <f>IF(金币!E45="","",金币!$B45*金币!E45)</f>
        <v/>
      </c>
      <c r="F44" s="7">
        <f>IF(金币!F45="","",金币!$B45*金币!F45)</f>
        <v>430</v>
      </c>
      <c r="G44" s="7" t="str">
        <f>IF(金币!G45="","",金币!$B45*金币!G45)</f>
        <v/>
      </c>
      <c r="H44" s="7" t="str">
        <f>IF(金币!H45="","",金币!$B45*金币!H45)</f>
        <v/>
      </c>
      <c r="I44" s="7" t="str">
        <f>IF(金币!I45="","",金币!$B45*金币!I45)</f>
        <v/>
      </c>
      <c r="J44" s="7" t="str">
        <f>IF(金币!J45="","",金币!$B45*金币!J45)</f>
        <v/>
      </c>
      <c r="K44" s="7">
        <f>IF(金币!K45="","",金币!$B45*金币!K45)</f>
        <v>430</v>
      </c>
      <c r="L44" s="7">
        <f>IF(金币!L45="","",金币!$B45*金币!L45)</f>
        <v>215</v>
      </c>
      <c r="M44" s="7" t="str">
        <f>IF(金币!M45="","",金币!$B45*金币!M45)</f>
        <v/>
      </c>
      <c r="N44" s="7" t="str">
        <f>IF(金币!N45="","",金币!$B45*金币!N45)</f>
        <v/>
      </c>
      <c r="O44" s="7" t="str">
        <f>IF(金币!O45="","",金币!$B45*金币!O45)</f>
        <v/>
      </c>
      <c r="P44" s="7" t="str">
        <f>IF(金币!P45="","",金币!$B45*金币!P45)</f>
        <v/>
      </c>
      <c r="Q44" s="7">
        <f>IF(金币!Q45="","",金币!$B45*金币!Q45)</f>
        <v>430</v>
      </c>
      <c r="R44" s="7" t="str">
        <f>IF(金币!R45="","",金币!$B45*金币!R45)</f>
        <v/>
      </c>
      <c r="S44" s="7">
        <f>IF(金币!S45="","",金币!$B45*金币!S45)</f>
        <v>129</v>
      </c>
      <c r="T44" s="7" t="str">
        <f>IF(金币!T45="","",金币!$B45*金币!T45)</f>
        <v/>
      </c>
      <c r="U44" s="7" t="str">
        <f>IF(金币!U45="","",金币!$B45*金币!U45)</f>
        <v/>
      </c>
      <c r="V44" s="7">
        <f>IF(金币!V45="","",金币!$B45*金币!V45)</f>
        <v>172</v>
      </c>
      <c r="W44" s="7" t="str">
        <f>IF(金币!W45="","",金币!$B45*金币!W45)</f>
        <v/>
      </c>
      <c r="X44" s="7" t="str">
        <f>IF(金币!X45="","",金币!$B45*金币!X45)</f>
        <v/>
      </c>
      <c r="Y44" s="7" t="str">
        <f>IF(金币!Y45="","",金币!$B45*金币!Y45)</f>
        <v/>
      </c>
      <c r="Z44" s="7">
        <f>IF(金币!Z45="","",金币!$B45*金币!Z45)</f>
        <v>430</v>
      </c>
      <c r="AA44" s="7" t="str">
        <f>IF(金币!AA45="","",金币!$B45*金币!AA45)</f>
        <v/>
      </c>
      <c r="AB44" s="7" t="str">
        <f>IF(金币!AB45="","",金币!$B45*金币!AB45)</f>
        <v/>
      </c>
      <c r="AC44" s="7" t="str">
        <f>IF(金币!AC45="","",金币!$B45*金币!AC45)</f>
        <v/>
      </c>
      <c r="AD44" s="7" t="str">
        <f>IF(金币!AD45="","",金币!$B45*金币!AD45)</f>
        <v/>
      </c>
      <c r="AE44" s="7" t="str">
        <f>IF(金币!AE45="","",金币!$B45*金币!AE45)</f>
        <v/>
      </c>
      <c r="AF44" s="7">
        <f>IF(金币!AF45="","",金币!$B45*金币!AF45)</f>
        <v>860</v>
      </c>
      <c r="AG44" s="7">
        <f>金币!AI45</f>
        <v>0</v>
      </c>
    </row>
    <row r="45" spans="1:33">
      <c r="A45" s="32">
        <v>44</v>
      </c>
      <c r="B45" s="87">
        <f>金币!B46</f>
        <v>44</v>
      </c>
      <c r="C45" s="7">
        <f>IF(金币!C46="","",金币!$B46*金币!C46)</f>
        <v>352</v>
      </c>
      <c r="D45" s="7" t="str">
        <f>IF(金币!D46="","",金币!$B46*金币!D46)</f>
        <v/>
      </c>
      <c r="E45" s="7" t="str">
        <f>IF(金币!E46="","",金币!$B46*金币!E46)</f>
        <v/>
      </c>
      <c r="F45" s="7">
        <f>IF(金币!F46="","",金币!$B46*金币!F46)</f>
        <v>440</v>
      </c>
      <c r="G45" s="7" t="str">
        <f>IF(金币!G46="","",金币!$B46*金币!G46)</f>
        <v/>
      </c>
      <c r="H45" s="7" t="str">
        <f>IF(金币!H46="","",金币!$B46*金币!H46)</f>
        <v/>
      </c>
      <c r="I45" s="7" t="str">
        <f>IF(金币!I46="","",金币!$B46*金币!I46)</f>
        <v/>
      </c>
      <c r="J45" s="7" t="str">
        <f>IF(金币!J46="","",金币!$B46*金币!J46)</f>
        <v/>
      </c>
      <c r="K45" s="7">
        <f>IF(金币!K46="","",金币!$B46*金币!K46)</f>
        <v>440</v>
      </c>
      <c r="L45" s="7">
        <f>IF(金币!L46="","",金币!$B46*金币!L46)</f>
        <v>220</v>
      </c>
      <c r="M45" s="7" t="str">
        <f>IF(金币!M46="","",金币!$B46*金币!M46)</f>
        <v/>
      </c>
      <c r="N45" s="7" t="str">
        <f>IF(金币!N46="","",金币!$B46*金币!N46)</f>
        <v/>
      </c>
      <c r="O45" s="7" t="str">
        <f>IF(金币!O46="","",金币!$B46*金币!O46)</f>
        <v/>
      </c>
      <c r="P45" s="7" t="str">
        <f>IF(金币!P46="","",金币!$B46*金币!P46)</f>
        <v/>
      </c>
      <c r="Q45" s="7">
        <f>IF(金币!Q46="","",金币!$B46*金币!Q46)</f>
        <v>440</v>
      </c>
      <c r="R45" s="7" t="str">
        <f>IF(金币!R46="","",金币!$B46*金币!R46)</f>
        <v/>
      </c>
      <c r="S45" s="7">
        <f>IF(金币!S46="","",金币!$B46*金币!S46)</f>
        <v>132</v>
      </c>
      <c r="T45" s="7" t="str">
        <f>IF(金币!T46="","",金币!$B46*金币!T46)</f>
        <v/>
      </c>
      <c r="U45" s="7" t="str">
        <f>IF(金币!U46="","",金币!$B46*金币!U46)</f>
        <v/>
      </c>
      <c r="V45" s="7">
        <f>IF(金币!V46="","",金币!$B46*金币!V46)</f>
        <v>176</v>
      </c>
      <c r="W45" s="7" t="str">
        <f>IF(金币!W46="","",金币!$B46*金币!W46)</f>
        <v/>
      </c>
      <c r="X45" s="7" t="str">
        <f>IF(金币!X46="","",金币!$B46*金币!X46)</f>
        <v/>
      </c>
      <c r="Y45" s="7" t="str">
        <f>IF(金币!Y46="","",金币!$B46*金币!Y46)</f>
        <v/>
      </c>
      <c r="Z45" s="7">
        <f>IF(金币!Z46="","",金币!$B46*金币!Z46)</f>
        <v>440</v>
      </c>
      <c r="AA45" s="7" t="str">
        <f>IF(金币!AA46="","",金币!$B46*金币!AA46)</f>
        <v/>
      </c>
      <c r="AB45" s="7" t="str">
        <f>IF(金币!AB46="","",金币!$B46*金币!AB46)</f>
        <v/>
      </c>
      <c r="AC45" s="7" t="str">
        <f>IF(金币!AC46="","",金币!$B46*金币!AC46)</f>
        <v/>
      </c>
      <c r="AD45" s="7" t="str">
        <f>IF(金币!AD46="","",金币!$B46*金币!AD46)</f>
        <v/>
      </c>
      <c r="AE45" s="7" t="str">
        <f>IF(金币!AE46="","",金币!$B46*金币!AE46)</f>
        <v/>
      </c>
      <c r="AF45" s="7">
        <f>IF(金币!AF46="","",金币!$B46*金币!AF46)</f>
        <v>880</v>
      </c>
      <c r="AG45" s="7">
        <f>金币!AI46</f>
        <v>0</v>
      </c>
    </row>
    <row r="46" spans="1:33">
      <c r="A46" s="32">
        <v>45</v>
      </c>
      <c r="B46" s="87">
        <f>金币!B47</f>
        <v>45</v>
      </c>
      <c r="C46" s="7">
        <f>IF(金币!C47="","",金币!$B47*金币!C47)</f>
        <v>360</v>
      </c>
      <c r="D46" s="7" t="str">
        <f>IF(金币!D47="","",金币!$B47*金币!D47)</f>
        <v/>
      </c>
      <c r="E46" s="7" t="str">
        <f>IF(金币!E47="","",金币!$B47*金币!E47)</f>
        <v/>
      </c>
      <c r="F46" s="7">
        <f>IF(金币!F47="","",金币!$B47*金币!F47)</f>
        <v>450</v>
      </c>
      <c r="G46" s="7" t="str">
        <f>IF(金币!G47="","",金币!$B47*金币!G47)</f>
        <v/>
      </c>
      <c r="H46" s="7" t="str">
        <f>IF(金币!H47="","",金币!$B47*金币!H47)</f>
        <v/>
      </c>
      <c r="I46" s="7" t="str">
        <f>IF(金币!I47="","",金币!$B47*金币!I47)</f>
        <v/>
      </c>
      <c r="J46" s="7" t="str">
        <f>IF(金币!J47="","",金币!$B47*金币!J47)</f>
        <v/>
      </c>
      <c r="K46" s="7">
        <f>IF(金币!K47="","",金币!$B47*金币!K47)</f>
        <v>450</v>
      </c>
      <c r="L46" s="7">
        <f>IF(金币!L47="","",金币!$B47*金币!L47)</f>
        <v>225</v>
      </c>
      <c r="M46" s="7" t="str">
        <f>IF(金币!M47="","",金币!$B47*金币!M47)</f>
        <v/>
      </c>
      <c r="N46" s="7" t="str">
        <f>IF(金币!N47="","",金币!$B47*金币!N47)</f>
        <v/>
      </c>
      <c r="O46" s="7" t="str">
        <f>IF(金币!O47="","",金币!$B47*金币!O47)</f>
        <v/>
      </c>
      <c r="P46" s="7" t="str">
        <f>IF(金币!P47="","",金币!$B47*金币!P47)</f>
        <v/>
      </c>
      <c r="Q46" s="7">
        <f>IF(金币!Q47="","",金币!$B47*金币!Q47)</f>
        <v>450</v>
      </c>
      <c r="R46" s="7" t="str">
        <f>IF(金币!R47="","",金币!$B47*金币!R47)</f>
        <v/>
      </c>
      <c r="S46" s="7">
        <f>IF(金币!S47="","",金币!$B47*金币!S47)</f>
        <v>135</v>
      </c>
      <c r="T46" s="7" t="str">
        <f>IF(金币!T47="","",金币!$B47*金币!T47)</f>
        <v/>
      </c>
      <c r="U46" s="7" t="str">
        <f>IF(金币!U47="","",金币!$B47*金币!U47)</f>
        <v/>
      </c>
      <c r="V46" s="7">
        <f>IF(金币!V47="","",金币!$B47*金币!V47)</f>
        <v>180</v>
      </c>
      <c r="W46" s="7" t="str">
        <f>IF(金币!W47="","",金币!$B47*金币!W47)</f>
        <v/>
      </c>
      <c r="X46" s="7" t="str">
        <f>IF(金币!X47="","",金币!$B47*金币!X47)</f>
        <v/>
      </c>
      <c r="Y46" s="7" t="str">
        <f>IF(金币!Y47="","",金币!$B47*金币!Y47)</f>
        <v/>
      </c>
      <c r="Z46" s="7">
        <f>IF(金币!Z47="","",金币!$B47*金币!Z47)</f>
        <v>450</v>
      </c>
      <c r="AA46" s="7" t="str">
        <f>IF(金币!AA47="","",金币!$B47*金币!AA47)</f>
        <v/>
      </c>
      <c r="AB46" s="7" t="str">
        <f>IF(金币!AB47="","",金币!$B47*金币!AB47)</f>
        <v/>
      </c>
      <c r="AC46" s="7" t="str">
        <f>IF(金币!AC47="","",金币!$B47*金币!AC47)</f>
        <v/>
      </c>
      <c r="AD46" s="7" t="str">
        <f>IF(金币!AD47="","",金币!$B47*金币!AD47)</f>
        <v/>
      </c>
      <c r="AE46" s="7" t="str">
        <f>IF(金币!AE47="","",金币!$B47*金币!AE47)</f>
        <v/>
      </c>
      <c r="AF46" s="7">
        <f>IF(金币!AF47="","",金币!$B47*金币!AF47)</f>
        <v>900</v>
      </c>
      <c r="AG46" s="7">
        <f>金币!AI47</f>
        <v>0</v>
      </c>
    </row>
    <row r="47" spans="1:33">
      <c r="A47" s="32">
        <v>46</v>
      </c>
      <c r="B47" s="87">
        <f>金币!B48</f>
        <v>46</v>
      </c>
      <c r="C47" s="7">
        <f>IF(金币!C48="","",金币!$B48*金币!C48)</f>
        <v>368</v>
      </c>
      <c r="D47" s="7" t="str">
        <f>IF(金币!D48="","",金币!$B48*金币!D48)</f>
        <v/>
      </c>
      <c r="E47" s="7" t="str">
        <f>IF(金币!E48="","",金币!$B48*金币!E48)</f>
        <v/>
      </c>
      <c r="F47" s="7">
        <f>IF(金币!F48="","",金币!$B48*金币!F48)</f>
        <v>460</v>
      </c>
      <c r="G47" s="7" t="str">
        <f>IF(金币!G48="","",金币!$B48*金币!G48)</f>
        <v/>
      </c>
      <c r="H47" s="7" t="str">
        <f>IF(金币!H48="","",金币!$B48*金币!H48)</f>
        <v/>
      </c>
      <c r="I47" s="7" t="str">
        <f>IF(金币!I48="","",金币!$B48*金币!I48)</f>
        <v/>
      </c>
      <c r="J47" s="7" t="str">
        <f>IF(金币!J48="","",金币!$B48*金币!J48)</f>
        <v/>
      </c>
      <c r="K47" s="7">
        <f>IF(金币!K48="","",金币!$B48*金币!K48)</f>
        <v>460</v>
      </c>
      <c r="L47" s="7">
        <f>IF(金币!L48="","",金币!$B48*金币!L48)</f>
        <v>230</v>
      </c>
      <c r="M47" s="7" t="str">
        <f>IF(金币!M48="","",金币!$B48*金币!M48)</f>
        <v/>
      </c>
      <c r="N47" s="7" t="str">
        <f>IF(金币!N48="","",金币!$B48*金币!N48)</f>
        <v/>
      </c>
      <c r="O47" s="7" t="str">
        <f>IF(金币!O48="","",金币!$B48*金币!O48)</f>
        <v/>
      </c>
      <c r="P47" s="7" t="str">
        <f>IF(金币!P48="","",金币!$B48*金币!P48)</f>
        <v/>
      </c>
      <c r="Q47" s="7">
        <f>IF(金币!Q48="","",金币!$B48*金币!Q48)</f>
        <v>460</v>
      </c>
      <c r="R47" s="7" t="str">
        <f>IF(金币!R48="","",金币!$B48*金币!R48)</f>
        <v/>
      </c>
      <c r="S47" s="7">
        <f>IF(金币!S48="","",金币!$B48*金币!S48)</f>
        <v>138</v>
      </c>
      <c r="T47" s="7" t="str">
        <f>IF(金币!T48="","",金币!$B48*金币!T48)</f>
        <v/>
      </c>
      <c r="U47" s="7" t="str">
        <f>IF(金币!U48="","",金币!$B48*金币!U48)</f>
        <v/>
      </c>
      <c r="V47" s="7">
        <f>IF(金币!V48="","",金币!$B48*金币!V48)</f>
        <v>184</v>
      </c>
      <c r="W47" s="7" t="str">
        <f>IF(金币!W48="","",金币!$B48*金币!W48)</f>
        <v/>
      </c>
      <c r="X47" s="7" t="str">
        <f>IF(金币!X48="","",金币!$B48*金币!X48)</f>
        <v/>
      </c>
      <c r="Y47" s="7" t="str">
        <f>IF(金币!Y48="","",金币!$B48*金币!Y48)</f>
        <v/>
      </c>
      <c r="Z47" s="7">
        <f>IF(金币!Z48="","",金币!$B48*金币!Z48)</f>
        <v>460</v>
      </c>
      <c r="AA47" s="7" t="str">
        <f>IF(金币!AA48="","",金币!$B48*金币!AA48)</f>
        <v/>
      </c>
      <c r="AB47" s="7" t="str">
        <f>IF(金币!AB48="","",金币!$B48*金币!AB48)</f>
        <v/>
      </c>
      <c r="AC47" s="7" t="str">
        <f>IF(金币!AC48="","",金币!$B48*金币!AC48)</f>
        <v/>
      </c>
      <c r="AD47" s="7" t="str">
        <f>IF(金币!AD48="","",金币!$B48*金币!AD48)</f>
        <v/>
      </c>
      <c r="AE47" s="7" t="str">
        <f>IF(金币!AE48="","",金币!$B48*金币!AE48)</f>
        <v/>
      </c>
      <c r="AF47" s="7">
        <f>IF(金币!AF48="","",金币!$B48*金币!AF48)</f>
        <v>920</v>
      </c>
      <c r="AG47" s="7">
        <f>金币!AI48</f>
        <v>0</v>
      </c>
    </row>
    <row r="48" spans="1:33">
      <c r="A48" s="32">
        <v>47</v>
      </c>
      <c r="B48" s="87">
        <f>金币!B49</f>
        <v>47</v>
      </c>
      <c r="C48" s="7">
        <f>IF(金币!C49="","",金币!$B49*金币!C49)</f>
        <v>376</v>
      </c>
      <c r="D48" s="7" t="str">
        <f>IF(金币!D49="","",金币!$B49*金币!D49)</f>
        <v/>
      </c>
      <c r="E48" s="7" t="str">
        <f>IF(金币!E49="","",金币!$B49*金币!E49)</f>
        <v/>
      </c>
      <c r="F48" s="7">
        <f>IF(金币!F49="","",金币!$B49*金币!F49)</f>
        <v>470</v>
      </c>
      <c r="G48" s="7" t="str">
        <f>IF(金币!G49="","",金币!$B49*金币!G49)</f>
        <v/>
      </c>
      <c r="H48" s="7" t="str">
        <f>IF(金币!H49="","",金币!$B49*金币!H49)</f>
        <v/>
      </c>
      <c r="I48" s="7" t="str">
        <f>IF(金币!I49="","",金币!$B49*金币!I49)</f>
        <v/>
      </c>
      <c r="J48" s="7" t="str">
        <f>IF(金币!J49="","",金币!$B49*金币!J49)</f>
        <v/>
      </c>
      <c r="K48" s="7">
        <f>IF(金币!K49="","",金币!$B49*金币!K49)</f>
        <v>470</v>
      </c>
      <c r="L48" s="7">
        <f>IF(金币!L49="","",金币!$B49*金币!L49)</f>
        <v>235</v>
      </c>
      <c r="M48" s="7" t="str">
        <f>IF(金币!M49="","",金币!$B49*金币!M49)</f>
        <v/>
      </c>
      <c r="N48" s="7" t="str">
        <f>IF(金币!N49="","",金币!$B49*金币!N49)</f>
        <v/>
      </c>
      <c r="O48" s="7" t="str">
        <f>IF(金币!O49="","",金币!$B49*金币!O49)</f>
        <v/>
      </c>
      <c r="P48" s="7" t="str">
        <f>IF(金币!P49="","",金币!$B49*金币!P49)</f>
        <v/>
      </c>
      <c r="Q48" s="7">
        <f>IF(金币!Q49="","",金币!$B49*金币!Q49)</f>
        <v>470</v>
      </c>
      <c r="R48" s="7" t="str">
        <f>IF(金币!R49="","",金币!$B49*金币!R49)</f>
        <v/>
      </c>
      <c r="S48" s="7">
        <f>IF(金币!S49="","",金币!$B49*金币!S49)</f>
        <v>141</v>
      </c>
      <c r="T48" s="7" t="str">
        <f>IF(金币!T49="","",金币!$B49*金币!T49)</f>
        <v/>
      </c>
      <c r="U48" s="7" t="str">
        <f>IF(金币!U49="","",金币!$B49*金币!U49)</f>
        <v/>
      </c>
      <c r="V48" s="7">
        <f>IF(金币!V49="","",金币!$B49*金币!V49)</f>
        <v>188</v>
      </c>
      <c r="W48" s="7" t="str">
        <f>IF(金币!W49="","",金币!$B49*金币!W49)</f>
        <v/>
      </c>
      <c r="X48" s="7" t="str">
        <f>IF(金币!X49="","",金币!$B49*金币!X49)</f>
        <v/>
      </c>
      <c r="Y48" s="7" t="str">
        <f>IF(金币!Y49="","",金币!$B49*金币!Y49)</f>
        <v/>
      </c>
      <c r="Z48" s="7">
        <f>IF(金币!Z49="","",金币!$B49*金币!Z49)</f>
        <v>470</v>
      </c>
      <c r="AA48" s="7" t="str">
        <f>IF(金币!AA49="","",金币!$B49*金币!AA49)</f>
        <v/>
      </c>
      <c r="AB48" s="7" t="str">
        <f>IF(金币!AB49="","",金币!$B49*金币!AB49)</f>
        <v/>
      </c>
      <c r="AC48" s="7" t="str">
        <f>IF(金币!AC49="","",金币!$B49*金币!AC49)</f>
        <v/>
      </c>
      <c r="AD48" s="7" t="str">
        <f>IF(金币!AD49="","",金币!$B49*金币!AD49)</f>
        <v/>
      </c>
      <c r="AE48" s="7" t="str">
        <f>IF(金币!AE49="","",金币!$B49*金币!AE49)</f>
        <v/>
      </c>
      <c r="AF48" s="7">
        <f>IF(金币!AF49="","",金币!$B49*金币!AF49)</f>
        <v>940</v>
      </c>
      <c r="AG48" s="7">
        <f>金币!AI49</f>
        <v>0</v>
      </c>
    </row>
    <row r="49" spans="1:35">
      <c r="A49" s="32">
        <v>48</v>
      </c>
      <c r="B49" s="87">
        <f>金币!B50</f>
        <v>48</v>
      </c>
      <c r="C49" s="7">
        <f>IF(金币!C50="","",金币!$B50*金币!C50)</f>
        <v>384</v>
      </c>
      <c r="D49" s="7" t="str">
        <f>IF(金币!D50="","",金币!$B50*金币!D50)</f>
        <v/>
      </c>
      <c r="E49" s="7" t="str">
        <f>IF(金币!E50="","",金币!$B50*金币!E50)</f>
        <v/>
      </c>
      <c r="F49" s="7">
        <f>IF(金币!F50="","",金币!$B50*金币!F50)</f>
        <v>480</v>
      </c>
      <c r="G49" s="7" t="str">
        <f>IF(金币!G50="","",金币!$B50*金币!G50)</f>
        <v/>
      </c>
      <c r="H49" s="7" t="str">
        <f>IF(金币!H50="","",金币!$B50*金币!H50)</f>
        <v/>
      </c>
      <c r="I49" s="7" t="str">
        <f>IF(金币!I50="","",金币!$B50*金币!I50)</f>
        <v/>
      </c>
      <c r="J49" s="7" t="str">
        <f>IF(金币!J50="","",金币!$B50*金币!J50)</f>
        <v/>
      </c>
      <c r="K49" s="7">
        <f>IF(金币!K50="","",金币!$B50*金币!K50)</f>
        <v>480</v>
      </c>
      <c r="L49" s="7">
        <f>IF(金币!L50="","",金币!$B50*金币!L50)</f>
        <v>240</v>
      </c>
      <c r="M49" s="7" t="str">
        <f>IF(金币!M50="","",金币!$B50*金币!M50)</f>
        <v/>
      </c>
      <c r="N49" s="7" t="str">
        <f>IF(金币!N50="","",金币!$B50*金币!N50)</f>
        <v/>
      </c>
      <c r="O49" s="7" t="str">
        <f>IF(金币!O50="","",金币!$B50*金币!O50)</f>
        <v/>
      </c>
      <c r="P49" s="7" t="str">
        <f>IF(金币!P50="","",金币!$B50*金币!P50)</f>
        <v/>
      </c>
      <c r="Q49" s="7">
        <f>IF(金币!Q50="","",金币!$B50*金币!Q50)</f>
        <v>480</v>
      </c>
      <c r="R49" s="7" t="str">
        <f>IF(金币!R50="","",金币!$B50*金币!R50)</f>
        <v/>
      </c>
      <c r="S49" s="7">
        <f>IF(金币!S50="","",金币!$B50*金币!S50)</f>
        <v>144</v>
      </c>
      <c r="T49" s="7" t="str">
        <f>IF(金币!T50="","",金币!$B50*金币!T50)</f>
        <v/>
      </c>
      <c r="U49" s="7" t="str">
        <f>IF(金币!U50="","",金币!$B50*金币!U50)</f>
        <v/>
      </c>
      <c r="V49" s="7">
        <f>IF(金币!V50="","",金币!$B50*金币!V50)</f>
        <v>192</v>
      </c>
      <c r="W49" s="7" t="str">
        <f>IF(金币!W50="","",金币!$B50*金币!W50)</f>
        <v/>
      </c>
      <c r="X49" s="7" t="str">
        <f>IF(金币!X50="","",金币!$B50*金币!X50)</f>
        <v/>
      </c>
      <c r="Y49" s="7" t="str">
        <f>IF(金币!Y50="","",金币!$B50*金币!Y50)</f>
        <v/>
      </c>
      <c r="Z49" s="7">
        <f>IF(金币!Z50="","",金币!$B50*金币!Z50)</f>
        <v>480</v>
      </c>
      <c r="AA49" s="7" t="str">
        <f>IF(金币!AA50="","",金币!$B50*金币!AA50)</f>
        <v/>
      </c>
      <c r="AB49" s="7" t="str">
        <f>IF(金币!AB50="","",金币!$B50*金币!AB50)</f>
        <v/>
      </c>
      <c r="AC49" s="7" t="str">
        <f>IF(金币!AC50="","",金币!$B50*金币!AC50)</f>
        <v/>
      </c>
      <c r="AD49" s="7" t="str">
        <f>IF(金币!AD50="","",金币!$B50*金币!AD50)</f>
        <v/>
      </c>
      <c r="AE49" s="7" t="str">
        <f>IF(金币!AE50="","",金币!$B50*金币!AE50)</f>
        <v/>
      </c>
      <c r="AF49" s="7">
        <f>IF(金币!AF50="","",金币!$B50*金币!AF50)</f>
        <v>960</v>
      </c>
      <c r="AG49" s="7">
        <f>金币!AI50</f>
        <v>0</v>
      </c>
    </row>
    <row r="50" spans="1:35">
      <c r="A50" s="32">
        <v>49</v>
      </c>
      <c r="B50" s="87">
        <f>金币!B51</f>
        <v>49</v>
      </c>
      <c r="C50" s="7">
        <f>IF(金币!C51="","",金币!$B51*金币!C51)</f>
        <v>392</v>
      </c>
      <c r="D50" s="7" t="str">
        <f>IF(金币!D51="","",金币!$B51*金币!D51)</f>
        <v/>
      </c>
      <c r="E50" s="7" t="str">
        <f>IF(金币!E51="","",金币!$B51*金币!E51)</f>
        <v/>
      </c>
      <c r="F50" s="7">
        <f>IF(金币!F51="","",金币!$B51*金币!F51)</f>
        <v>490</v>
      </c>
      <c r="G50" s="7" t="str">
        <f>IF(金币!G51="","",金币!$B51*金币!G51)</f>
        <v/>
      </c>
      <c r="H50" s="7" t="str">
        <f>IF(金币!H51="","",金币!$B51*金币!H51)</f>
        <v/>
      </c>
      <c r="I50" s="7" t="str">
        <f>IF(金币!I51="","",金币!$B51*金币!I51)</f>
        <v/>
      </c>
      <c r="J50" s="7" t="str">
        <f>IF(金币!J51="","",金币!$B51*金币!J51)</f>
        <v/>
      </c>
      <c r="K50" s="7">
        <f>IF(金币!K51="","",金币!$B51*金币!K51)</f>
        <v>490</v>
      </c>
      <c r="L50" s="7">
        <f>IF(金币!L51="","",金币!$B51*金币!L51)</f>
        <v>245</v>
      </c>
      <c r="M50" s="7" t="str">
        <f>IF(金币!M51="","",金币!$B51*金币!M51)</f>
        <v/>
      </c>
      <c r="N50" s="7" t="str">
        <f>IF(金币!N51="","",金币!$B51*金币!N51)</f>
        <v/>
      </c>
      <c r="O50" s="7" t="str">
        <f>IF(金币!O51="","",金币!$B51*金币!O51)</f>
        <v/>
      </c>
      <c r="P50" s="7" t="str">
        <f>IF(金币!P51="","",金币!$B51*金币!P51)</f>
        <v/>
      </c>
      <c r="Q50" s="7">
        <f>IF(金币!Q51="","",金币!$B51*金币!Q51)</f>
        <v>490</v>
      </c>
      <c r="R50" s="7" t="str">
        <f>IF(金币!R51="","",金币!$B51*金币!R51)</f>
        <v/>
      </c>
      <c r="S50" s="7">
        <f>IF(金币!S51="","",金币!$B51*金币!S51)</f>
        <v>147</v>
      </c>
      <c r="T50" s="7" t="str">
        <f>IF(金币!T51="","",金币!$B51*金币!T51)</f>
        <v/>
      </c>
      <c r="U50" s="7" t="str">
        <f>IF(金币!U51="","",金币!$B51*金币!U51)</f>
        <v/>
      </c>
      <c r="V50" s="7">
        <f>IF(金币!V51="","",金币!$B51*金币!V51)</f>
        <v>196</v>
      </c>
      <c r="W50" s="7" t="str">
        <f>IF(金币!W51="","",金币!$B51*金币!W51)</f>
        <v/>
      </c>
      <c r="X50" s="7" t="str">
        <f>IF(金币!X51="","",金币!$B51*金币!X51)</f>
        <v/>
      </c>
      <c r="Y50" s="7" t="str">
        <f>IF(金币!Y51="","",金币!$B51*金币!Y51)</f>
        <v/>
      </c>
      <c r="Z50" s="7">
        <f>IF(金币!Z51="","",金币!$B51*金币!Z51)</f>
        <v>490</v>
      </c>
      <c r="AA50" s="7" t="str">
        <f>IF(金币!AA51="","",金币!$B51*金币!AA51)</f>
        <v/>
      </c>
      <c r="AB50" s="7" t="str">
        <f>IF(金币!AB51="","",金币!$B51*金币!AB51)</f>
        <v/>
      </c>
      <c r="AC50" s="7" t="str">
        <f>IF(金币!AC51="","",金币!$B51*金币!AC51)</f>
        <v/>
      </c>
      <c r="AD50" s="7" t="str">
        <f>IF(金币!AD51="","",金币!$B51*金币!AD51)</f>
        <v/>
      </c>
      <c r="AE50" s="7" t="str">
        <f>IF(金币!AE51="","",金币!$B51*金币!AE51)</f>
        <v/>
      </c>
      <c r="AF50" s="7">
        <f>IF(金币!AF51="","",金币!$B51*金币!AF51)</f>
        <v>980</v>
      </c>
      <c r="AG50" s="7">
        <f>金币!AI51</f>
        <v>0</v>
      </c>
    </row>
    <row r="51" spans="1:35" s="10" customFormat="1">
      <c r="A51" s="70">
        <v>50</v>
      </c>
      <c r="B51" s="89">
        <f>金币!B52</f>
        <v>50</v>
      </c>
      <c r="C51" s="10">
        <f>IF(金币!C52="","",金币!$B52*金币!C52)</f>
        <v>400</v>
      </c>
      <c r="D51" s="10" t="str">
        <f>IF(金币!D52="","",金币!$B52*金币!D52)</f>
        <v/>
      </c>
      <c r="E51" s="10" t="str">
        <f>IF(金币!E52="","",金币!$B52*金币!E52)</f>
        <v/>
      </c>
      <c r="F51" s="10">
        <f>IF(金币!F52="","",金币!$B52*金币!F52)</f>
        <v>500</v>
      </c>
      <c r="G51" s="10" t="str">
        <f>IF(金币!G52="","",金币!$B52*金币!G52)</f>
        <v/>
      </c>
      <c r="H51" s="10" t="str">
        <f>IF(金币!H52="","",金币!$B52*金币!H52)</f>
        <v/>
      </c>
      <c r="I51" s="10" t="str">
        <f>IF(金币!I52="","",金币!$B52*金币!I52)</f>
        <v/>
      </c>
      <c r="J51" s="10" t="str">
        <f>IF(金币!J52="","",金币!$B52*金币!J52)</f>
        <v/>
      </c>
      <c r="K51" s="10">
        <f>IF(金币!K52="","",金币!$B52*金币!K52)</f>
        <v>500</v>
      </c>
      <c r="L51" s="10">
        <f>IF(金币!L52="","",金币!$B52*金币!L52)</f>
        <v>250</v>
      </c>
      <c r="M51" s="10" t="str">
        <f>IF(金币!M52="","",金币!$B52*金币!M52)</f>
        <v/>
      </c>
      <c r="N51" s="10" t="str">
        <f>IF(金币!N52="","",金币!$B52*金币!N52)</f>
        <v/>
      </c>
      <c r="O51" s="10" t="str">
        <f>IF(金币!O52="","",金币!$B52*金币!O52)</f>
        <v/>
      </c>
      <c r="P51" s="10" t="str">
        <f>IF(金币!P52="","",金币!$B52*金币!P52)</f>
        <v/>
      </c>
      <c r="Q51" s="10">
        <f>IF(金币!Q52="","",金币!$B52*金币!Q52)</f>
        <v>500</v>
      </c>
      <c r="R51" s="10" t="str">
        <f>IF(金币!R52="","",金币!$B52*金币!R52)</f>
        <v/>
      </c>
      <c r="S51" s="10">
        <f>IF(金币!S52="","",金币!$B52*金币!S52)</f>
        <v>150</v>
      </c>
      <c r="T51" s="10" t="str">
        <f>IF(金币!T52="","",金币!$B52*金币!T52)</f>
        <v/>
      </c>
      <c r="U51" s="10" t="str">
        <f>IF(金币!U52="","",金币!$B52*金币!U52)</f>
        <v/>
      </c>
      <c r="V51" s="10">
        <f>IF(金币!V52="","",金币!$B52*金币!V52)</f>
        <v>200</v>
      </c>
      <c r="W51" s="10" t="str">
        <f>IF(金币!W52="","",金币!$B52*金币!W52)</f>
        <v/>
      </c>
      <c r="X51" s="10" t="str">
        <f>IF(金币!X52="","",金币!$B52*金币!X52)</f>
        <v/>
      </c>
      <c r="Y51" s="10" t="str">
        <f>IF(金币!Y52="","",金币!$B52*金币!Y52)</f>
        <v/>
      </c>
      <c r="Z51" s="10">
        <f>IF(金币!Z52="","",金币!$B52*金币!Z52)</f>
        <v>500</v>
      </c>
      <c r="AA51" s="10" t="str">
        <f>IF(金币!AA52="","",金币!$B52*金币!AA52)</f>
        <v/>
      </c>
      <c r="AB51" s="10" t="str">
        <f>IF(金币!AB52="","",金币!$B52*金币!AB52)</f>
        <v/>
      </c>
      <c r="AC51" s="10" t="str">
        <f>IF(金币!AC52="","",金币!$B52*金币!AC52)</f>
        <v/>
      </c>
      <c r="AD51" s="10" t="str">
        <f>IF(金币!AD52="","",金币!$B52*金币!AD52)</f>
        <v/>
      </c>
      <c r="AE51" s="10" t="str">
        <f>IF(金币!AE52="","",金币!$B52*金币!AE52)</f>
        <v/>
      </c>
      <c r="AF51" s="10">
        <f>IF(金币!AF52="","",金币!$B52*金币!AF52)</f>
        <v>1000</v>
      </c>
      <c r="AG51" s="7">
        <f>金币!AI52</f>
        <v>0</v>
      </c>
      <c r="AI51" s="10">
        <f>Z51*7/5/12</f>
        <v>58.333333333333336</v>
      </c>
    </row>
    <row r="52" spans="1:35">
      <c r="A52" s="32">
        <v>51</v>
      </c>
      <c r="B52" s="87">
        <f>金币!B53</f>
        <v>51</v>
      </c>
      <c r="C52" s="7">
        <f>IF(金币!C53="","",金币!$B53*金币!C53)</f>
        <v>408</v>
      </c>
      <c r="D52" s="7" t="str">
        <f>IF(金币!D53="","",金币!$B53*金币!D53)</f>
        <v/>
      </c>
      <c r="E52" s="7" t="str">
        <f>IF(金币!E53="","",金币!$B53*金币!E53)</f>
        <v/>
      </c>
      <c r="F52" s="7">
        <f>IF(金币!F53="","",金币!$B53*金币!F53)</f>
        <v>510</v>
      </c>
      <c r="G52" s="7" t="str">
        <f>IF(金币!G53="","",金币!$B53*金币!G53)</f>
        <v/>
      </c>
      <c r="H52" s="7" t="str">
        <f>IF(金币!H53="","",金币!$B53*金币!H53)</f>
        <v/>
      </c>
      <c r="I52" s="7" t="str">
        <f>IF(金币!I53="","",金币!$B53*金币!I53)</f>
        <v/>
      </c>
      <c r="J52" s="7" t="str">
        <f>IF(金币!J53="","",金币!$B53*金币!J53)</f>
        <v/>
      </c>
      <c r="K52" s="7">
        <f>IF(金币!K53="","",金币!$B53*金币!K53)</f>
        <v>510</v>
      </c>
      <c r="L52" s="7">
        <f>IF(金币!L53="","",金币!$B53*金币!L53)</f>
        <v>255</v>
      </c>
      <c r="M52" s="7" t="str">
        <f>IF(金币!M53="","",金币!$B53*金币!M53)</f>
        <v/>
      </c>
      <c r="N52" s="7" t="str">
        <f>IF(金币!N53="","",金币!$B53*金币!N53)</f>
        <v/>
      </c>
      <c r="O52" s="7" t="str">
        <f>IF(金币!O53="","",金币!$B53*金币!O53)</f>
        <v/>
      </c>
      <c r="P52" s="7" t="str">
        <f>IF(金币!P53="","",金币!$B53*金币!P53)</f>
        <v/>
      </c>
      <c r="Q52" s="7">
        <f>IF(金币!Q53="","",金币!$B53*金币!Q53)</f>
        <v>510</v>
      </c>
      <c r="R52" s="7" t="str">
        <f>IF(金币!R53="","",金币!$B53*金币!R53)</f>
        <v/>
      </c>
      <c r="S52" s="7">
        <f>IF(金币!S53="","",金币!$B53*金币!S53)</f>
        <v>153</v>
      </c>
      <c r="T52" s="7" t="str">
        <f>IF(金币!T53="","",金币!$B53*金币!T53)</f>
        <v/>
      </c>
      <c r="U52" s="7" t="str">
        <f>IF(金币!U53="","",金币!$B53*金币!U53)</f>
        <v/>
      </c>
      <c r="V52" s="7">
        <f>IF(金币!V53="","",金币!$B53*金币!V53)</f>
        <v>204</v>
      </c>
      <c r="W52" s="7" t="str">
        <f>IF(金币!W53="","",金币!$B53*金币!W53)</f>
        <v/>
      </c>
      <c r="X52" s="7" t="str">
        <f>IF(金币!X53="","",金币!$B53*金币!X53)</f>
        <v/>
      </c>
      <c r="Y52" s="7" t="str">
        <f>IF(金币!Y53="","",金币!$B53*金币!Y53)</f>
        <v/>
      </c>
      <c r="Z52" s="7">
        <f>IF(金币!Z53="","",金币!$B53*金币!Z53)</f>
        <v>510</v>
      </c>
      <c r="AA52" s="7" t="str">
        <f>IF(金币!AA53="","",金币!$B53*金币!AA53)</f>
        <v/>
      </c>
      <c r="AB52" s="7" t="str">
        <f>IF(金币!AB53="","",金币!$B53*金币!AB53)</f>
        <v/>
      </c>
      <c r="AC52" s="7" t="str">
        <f>IF(金币!AC53="","",金币!$B53*金币!AC53)</f>
        <v/>
      </c>
      <c r="AD52" s="7" t="str">
        <f>IF(金币!AD53="","",金币!$B53*金币!AD53)</f>
        <v/>
      </c>
      <c r="AE52" s="7" t="str">
        <f>IF(金币!AE53="","",金币!$B53*金币!AE53)</f>
        <v/>
      </c>
      <c r="AF52" s="7">
        <f>IF(金币!AF53="","",金币!$B53*金币!AF53)</f>
        <v>1020</v>
      </c>
      <c r="AG52" s="7">
        <f>金币!AI53</f>
        <v>0</v>
      </c>
    </row>
    <row r="53" spans="1:35">
      <c r="A53" s="32">
        <v>52</v>
      </c>
      <c r="B53" s="87">
        <f>金币!B54</f>
        <v>52</v>
      </c>
      <c r="C53" s="7">
        <f>IF(金币!C54="","",金币!$B54*金币!C54)</f>
        <v>416</v>
      </c>
      <c r="D53" s="7" t="str">
        <f>IF(金币!D54="","",金币!$B54*金币!D54)</f>
        <v/>
      </c>
      <c r="E53" s="7" t="str">
        <f>IF(金币!E54="","",金币!$B54*金币!E54)</f>
        <v/>
      </c>
      <c r="F53" s="7">
        <f>IF(金币!F54="","",金币!$B54*金币!F54)</f>
        <v>520</v>
      </c>
      <c r="G53" s="7" t="str">
        <f>IF(金币!G54="","",金币!$B54*金币!G54)</f>
        <v/>
      </c>
      <c r="H53" s="7" t="str">
        <f>IF(金币!H54="","",金币!$B54*金币!H54)</f>
        <v/>
      </c>
      <c r="I53" s="7" t="str">
        <f>IF(金币!I54="","",金币!$B54*金币!I54)</f>
        <v/>
      </c>
      <c r="J53" s="7" t="str">
        <f>IF(金币!J54="","",金币!$B54*金币!J54)</f>
        <v/>
      </c>
      <c r="K53" s="7">
        <f>IF(金币!K54="","",金币!$B54*金币!K54)</f>
        <v>520</v>
      </c>
      <c r="L53" s="7">
        <f>IF(金币!L54="","",金币!$B54*金币!L54)</f>
        <v>260</v>
      </c>
      <c r="M53" s="7" t="str">
        <f>IF(金币!M54="","",金币!$B54*金币!M54)</f>
        <v/>
      </c>
      <c r="N53" s="7" t="str">
        <f>IF(金币!N54="","",金币!$B54*金币!N54)</f>
        <v/>
      </c>
      <c r="O53" s="7" t="str">
        <f>IF(金币!O54="","",金币!$B54*金币!O54)</f>
        <v/>
      </c>
      <c r="P53" s="7" t="str">
        <f>IF(金币!P54="","",金币!$B54*金币!P54)</f>
        <v/>
      </c>
      <c r="Q53" s="7">
        <f>IF(金币!Q54="","",金币!$B54*金币!Q54)</f>
        <v>520</v>
      </c>
      <c r="R53" s="7" t="str">
        <f>IF(金币!R54="","",金币!$B54*金币!R54)</f>
        <v/>
      </c>
      <c r="S53" s="7">
        <f>IF(金币!S54="","",金币!$B54*金币!S54)</f>
        <v>156</v>
      </c>
      <c r="T53" s="7" t="str">
        <f>IF(金币!T54="","",金币!$B54*金币!T54)</f>
        <v/>
      </c>
      <c r="U53" s="7" t="str">
        <f>IF(金币!U54="","",金币!$B54*金币!U54)</f>
        <v/>
      </c>
      <c r="V53" s="7">
        <f>IF(金币!V54="","",金币!$B54*金币!V54)</f>
        <v>208</v>
      </c>
      <c r="W53" s="7" t="str">
        <f>IF(金币!W54="","",金币!$B54*金币!W54)</f>
        <v/>
      </c>
      <c r="X53" s="7" t="str">
        <f>IF(金币!X54="","",金币!$B54*金币!X54)</f>
        <v/>
      </c>
      <c r="Y53" s="7" t="str">
        <f>IF(金币!Y54="","",金币!$B54*金币!Y54)</f>
        <v/>
      </c>
      <c r="Z53" s="7">
        <f>IF(金币!Z54="","",金币!$B54*金币!Z54)</f>
        <v>520</v>
      </c>
      <c r="AA53" s="7" t="str">
        <f>IF(金币!AA54="","",金币!$B54*金币!AA54)</f>
        <v/>
      </c>
      <c r="AB53" s="7" t="str">
        <f>IF(金币!AB54="","",金币!$B54*金币!AB54)</f>
        <v/>
      </c>
      <c r="AC53" s="7" t="str">
        <f>IF(金币!AC54="","",金币!$B54*金币!AC54)</f>
        <v/>
      </c>
      <c r="AD53" s="7" t="str">
        <f>IF(金币!AD54="","",金币!$B54*金币!AD54)</f>
        <v/>
      </c>
      <c r="AE53" s="7" t="str">
        <f>IF(金币!AE54="","",金币!$B54*金币!AE54)</f>
        <v/>
      </c>
      <c r="AF53" s="7">
        <f>IF(金币!AF54="","",金币!$B54*金币!AF54)</f>
        <v>1040</v>
      </c>
      <c r="AG53" s="7">
        <f>金币!AI54</f>
        <v>0</v>
      </c>
    </row>
    <row r="54" spans="1:35">
      <c r="A54" s="32">
        <v>53</v>
      </c>
      <c r="B54" s="87">
        <f>金币!B55</f>
        <v>53</v>
      </c>
      <c r="C54" s="7">
        <f>IF(金币!C55="","",金币!$B55*金币!C55)</f>
        <v>424</v>
      </c>
      <c r="D54" s="7" t="str">
        <f>IF(金币!D55="","",金币!$B55*金币!D55)</f>
        <v/>
      </c>
      <c r="E54" s="7" t="str">
        <f>IF(金币!E55="","",金币!$B55*金币!E55)</f>
        <v/>
      </c>
      <c r="F54" s="7">
        <f>IF(金币!F55="","",金币!$B55*金币!F55)</f>
        <v>530</v>
      </c>
      <c r="G54" s="7" t="str">
        <f>IF(金币!G55="","",金币!$B55*金币!G55)</f>
        <v/>
      </c>
      <c r="H54" s="7" t="str">
        <f>IF(金币!H55="","",金币!$B55*金币!H55)</f>
        <v/>
      </c>
      <c r="I54" s="7" t="str">
        <f>IF(金币!I55="","",金币!$B55*金币!I55)</f>
        <v/>
      </c>
      <c r="J54" s="7" t="str">
        <f>IF(金币!J55="","",金币!$B55*金币!J55)</f>
        <v/>
      </c>
      <c r="K54" s="7">
        <f>IF(金币!K55="","",金币!$B55*金币!K55)</f>
        <v>530</v>
      </c>
      <c r="L54" s="7">
        <f>IF(金币!L55="","",金币!$B55*金币!L55)</f>
        <v>265</v>
      </c>
      <c r="M54" s="7" t="str">
        <f>IF(金币!M55="","",金币!$B55*金币!M55)</f>
        <v/>
      </c>
      <c r="N54" s="7" t="str">
        <f>IF(金币!N55="","",金币!$B55*金币!N55)</f>
        <v/>
      </c>
      <c r="O54" s="7" t="str">
        <f>IF(金币!O55="","",金币!$B55*金币!O55)</f>
        <v/>
      </c>
      <c r="P54" s="7" t="str">
        <f>IF(金币!P55="","",金币!$B55*金币!P55)</f>
        <v/>
      </c>
      <c r="Q54" s="7">
        <f>IF(金币!Q55="","",金币!$B55*金币!Q55)</f>
        <v>530</v>
      </c>
      <c r="R54" s="7" t="str">
        <f>IF(金币!R55="","",金币!$B55*金币!R55)</f>
        <v/>
      </c>
      <c r="S54" s="7">
        <f>IF(金币!S55="","",金币!$B55*金币!S55)</f>
        <v>159</v>
      </c>
      <c r="T54" s="7" t="str">
        <f>IF(金币!T55="","",金币!$B55*金币!T55)</f>
        <v/>
      </c>
      <c r="U54" s="7" t="str">
        <f>IF(金币!U55="","",金币!$B55*金币!U55)</f>
        <v/>
      </c>
      <c r="V54" s="7">
        <f>IF(金币!V55="","",金币!$B55*金币!V55)</f>
        <v>212</v>
      </c>
      <c r="W54" s="7" t="str">
        <f>IF(金币!W55="","",金币!$B55*金币!W55)</f>
        <v/>
      </c>
      <c r="X54" s="7" t="str">
        <f>IF(金币!X55="","",金币!$B55*金币!X55)</f>
        <v/>
      </c>
      <c r="Y54" s="7" t="str">
        <f>IF(金币!Y55="","",金币!$B55*金币!Y55)</f>
        <v/>
      </c>
      <c r="Z54" s="7">
        <f>IF(金币!Z55="","",金币!$B55*金币!Z55)</f>
        <v>530</v>
      </c>
      <c r="AA54" s="7" t="str">
        <f>IF(金币!AA55="","",金币!$B55*金币!AA55)</f>
        <v/>
      </c>
      <c r="AB54" s="7" t="str">
        <f>IF(金币!AB55="","",金币!$B55*金币!AB55)</f>
        <v/>
      </c>
      <c r="AC54" s="7" t="str">
        <f>IF(金币!AC55="","",金币!$B55*金币!AC55)</f>
        <v/>
      </c>
      <c r="AD54" s="7" t="str">
        <f>IF(金币!AD55="","",金币!$B55*金币!AD55)</f>
        <v/>
      </c>
      <c r="AE54" s="7" t="str">
        <f>IF(金币!AE55="","",金币!$B55*金币!AE55)</f>
        <v/>
      </c>
      <c r="AF54" s="7">
        <f>IF(金币!AF55="","",金币!$B55*金币!AF55)</f>
        <v>1060</v>
      </c>
      <c r="AG54" s="7">
        <f>金币!AI55</f>
        <v>0</v>
      </c>
    </row>
    <row r="55" spans="1:35">
      <c r="A55" s="32">
        <v>54</v>
      </c>
      <c r="B55" s="87">
        <f>金币!B56</f>
        <v>54</v>
      </c>
      <c r="C55" s="7">
        <f>IF(金币!C56="","",金币!$B56*金币!C56)</f>
        <v>432</v>
      </c>
      <c r="D55" s="7" t="str">
        <f>IF(金币!D56="","",金币!$B56*金币!D56)</f>
        <v/>
      </c>
      <c r="E55" s="7" t="str">
        <f>IF(金币!E56="","",金币!$B56*金币!E56)</f>
        <v/>
      </c>
      <c r="F55" s="7">
        <f>IF(金币!F56="","",金币!$B56*金币!F56)</f>
        <v>540</v>
      </c>
      <c r="G55" s="7" t="str">
        <f>IF(金币!G56="","",金币!$B56*金币!G56)</f>
        <v/>
      </c>
      <c r="H55" s="7" t="str">
        <f>IF(金币!H56="","",金币!$B56*金币!H56)</f>
        <v/>
      </c>
      <c r="I55" s="7" t="str">
        <f>IF(金币!I56="","",金币!$B56*金币!I56)</f>
        <v/>
      </c>
      <c r="J55" s="7" t="str">
        <f>IF(金币!J56="","",金币!$B56*金币!J56)</f>
        <v/>
      </c>
      <c r="K55" s="7">
        <f>IF(金币!K56="","",金币!$B56*金币!K56)</f>
        <v>540</v>
      </c>
      <c r="L55" s="7">
        <f>IF(金币!L56="","",金币!$B56*金币!L56)</f>
        <v>270</v>
      </c>
      <c r="M55" s="7" t="str">
        <f>IF(金币!M56="","",金币!$B56*金币!M56)</f>
        <v/>
      </c>
      <c r="N55" s="7" t="str">
        <f>IF(金币!N56="","",金币!$B56*金币!N56)</f>
        <v/>
      </c>
      <c r="O55" s="7" t="str">
        <f>IF(金币!O56="","",金币!$B56*金币!O56)</f>
        <v/>
      </c>
      <c r="P55" s="7" t="str">
        <f>IF(金币!P56="","",金币!$B56*金币!P56)</f>
        <v/>
      </c>
      <c r="Q55" s="7">
        <f>IF(金币!Q56="","",金币!$B56*金币!Q56)</f>
        <v>540</v>
      </c>
      <c r="R55" s="7" t="str">
        <f>IF(金币!R56="","",金币!$B56*金币!R56)</f>
        <v/>
      </c>
      <c r="S55" s="7">
        <f>IF(金币!S56="","",金币!$B56*金币!S56)</f>
        <v>162</v>
      </c>
      <c r="T55" s="7" t="str">
        <f>IF(金币!T56="","",金币!$B56*金币!T56)</f>
        <v/>
      </c>
      <c r="U55" s="7" t="str">
        <f>IF(金币!U56="","",金币!$B56*金币!U56)</f>
        <v/>
      </c>
      <c r="V55" s="7">
        <f>IF(金币!V56="","",金币!$B56*金币!V56)</f>
        <v>216</v>
      </c>
      <c r="W55" s="7" t="str">
        <f>IF(金币!W56="","",金币!$B56*金币!W56)</f>
        <v/>
      </c>
      <c r="X55" s="7" t="str">
        <f>IF(金币!X56="","",金币!$B56*金币!X56)</f>
        <v/>
      </c>
      <c r="Y55" s="7" t="str">
        <f>IF(金币!Y56="","",金币!$B56*金币!Y56)</f>
        <v/>
      </c>
      <c r="Z55" s="7">
        <f>IF(金币!Z56="","",金币!$B56*金币!Z56)</f>
        <v>540</v>
      </c>
      <c r="AA55" s="7" t="str">
        <f>IF(金币!AA56="","",金币!$B56*金币!AA56)</f>
        <v/>
      </c>
      <c r="AB55" s="7" t="str">
        <f>IF(金币!AB56="","",金币!$B56*金币!AB56)</f>
        <v/>
      </c>
      <c r="AC55" s="7" t="str">
        <f>IF(金币!AC56="","",金币!$B56*金币!AC56)</f>
        <v/>
      </c>
      <c r="AD55" s="7" t="str">
        <f>IF(金币!AD56="","",金币!$B56*金币!AD56)</f>
        <v/>
      </c>
      <c r="AE55" s="7" t="str">
        <f>IF(金币!AE56="","",金币!$B56*金币!AE56)</f>
        <v/>
      </c>
      <c r="AF55" s="7">
        <f>IF(金币!AF56="","",金币!$B56*金币!AF56)</f>
        <v>1080</v>
      </c>
      <c r="AG55" s="7">
        <f>金币!AI56</f>
        <v>0</v>
      </c>
    </row>
    <row r="56" spans="1:35">
      <c r="A56" s="32">
        <v>55</v>
      </c>
      <c r="B56" s="87">
        <f>金币!B57</f>
        <v>55</v>
      </c>
      <c r="C56" s="7">
        <f>IF(金币!C57="","",金币!$B57*金币!C57)</f>
        <v>440</v>
      </c>
      <c r="D56" s="7" t="str">
        <f>IF(金币!D57="","",金币!$B57*金币!D57)</f>
        <v/>
      </c>
      <c r="E56" s="7" t="str">
        <f>IF(金币!E57="","",金币!$B57*金币!E57)</f>
        <v/>
      </c>
      <c r="F56" s="7">
        <f>IF(金币!F57="","",金币!$B57*金币!F57)</f>
        <v>550</v>
      </c>
      <c r="G56" s="7" t="str">
        <f>IF(金币!G57="","",金币!$B57*金币!G57)</f>
        <v/>
      </c>
      <c r="H56" s="7" t="str">
        <f>IF(金币!H57="","",金币!$B57*金币!H57)</f>
        <v/>
      </c>
      <c r="I56" s="7" t="str">
        <f>IF(金币!I57="","",金币!$B57*金币!I57)</f>
        <v/>
      </c>
      <c r="J56" s="7" t="str">
        <f>IF(金币!J57="","",金币!$B57*金币!J57)</f>
        <v/>
      </c>
      <c r="K56" s="7">
        <f>IF(金币!K57="","",金币!$B57*金币!K57)</f>
        <v>550</v>
      </c>
      <c r="L56" s="7">
        <f>IF(金币!L57="","",金币!$B57*金币!L57)</f>
        <v>275</v>
      </c>
      <c r="M56" s="7" t="str">
        <f>IF(金币!M57="","",金币!$B57*金币!M57)</f>
        <v/>
      </c>
      <c r="N56" s="7" t="str">
        <f>IF(金币!N57="","",金币!$B57*金币!N57)</f>
        <v/>
      </c>
      <c r="O56" s="7" t="str">
        <f>IF(金币!O57="","",金币!$B57*金币!O57)</f>
        <v/>
      </c>
      <c r="P56" s="7" t="str">
        <f>IF(金币!P57="","",金币!$B57*金币!P57)</f>
        <v/>
      </c>
      <c r="Q56" s="7">
        <f>IF(金币!Q57="","",金币!$B57*金币!Q57)</f>
        <v>550</v>
      </c>
      <c r="R56" s="7" t="str">
        <f>IF(金币!R57="","",金币!$B57*金币!R57)</f>
        <v/>
      </c>
      <c r="S56" s="7">
        <f>IF(金币!S57="","",金币!$B57*金币!S57)</f>
        <v>165</v>
      </c>
      <c r="T56" s="7" t="str">
        <f>IF(金币!T57="","",金币!$B57*金币!T57)</f>
        <v/>
      </c>
      <c r="U56" s="7" t="str">
        <f>IF(金币!U57="","",金币!$B57*金币!U57)</f>
        <v/>
      </c>
      <c r="V56" s="7">
        <f>IF(金币!V57="","",金币!$B57*金币!V57)</f>
        <v>220</v>
      </c>
      <c r="W56" s="7" t="str">
        <f>IF(金币!W57="","",金币!$B57*金币!W57)</f>
        <v/>
      </c>
      <c r="X56" s="7" t="str">
        <f>IF(金币!X57="","",金币!$B57*金币!X57)</f>
        <v/>
      </c>
      <c r="Y56" s="7" t="str">
        <f>IF(金币!Y57="","",金币!$B57*金币!Y57)</f>
        <v/>
      </c>
      <c r="Z56" s="7">
        <f>IF(金币!Z57="","",金币!$B57*金币!Z57)</f>
        <v>550</v>
      </c>
      <c r="AA56" s="7" t="str">
        <f>IF(金币!AA57="","",金币!$B57*金币!AA57)</f>
        <v/>
      </c>
      <c r="AB56" s="7" t="str">
        <f>IF(金币!AB57="","",金币!$B57*金币!AB57)</f>
        <v/>
      </c>
      <c r="AC56" s="7" t="str">
        <f>IF(金币!AC57="","",金币!$B57*金币!AC57)</f>
        <v/>
      </c>
      <c r="AD56" s="7" t="str">
        <f>IF(金币!AD57="","",金币!$B57*金币!AD57)</f>
        <v/>
      </c>
      <c r="AE56" s="7" t="str">
        <f>IF(金币!AE57="","",金币!$B57*金币!AE57)</f>
        <v/>
      </c>
      <c r="AF56" s="7">
        <f>IF(金币!AF57="","",金币!$B57*金币!AF57)</f>
        <v>1100</v>
      </c>
      <c r="AG56" s="7">
        <f>金币!AI57</f>
        <v>0</v>
      </c>
    </row>
    <row r="57" spans="1:35">
      <c r="A57" s="32">
        <v>56</v>
      </c>
      <c r="B57" s="87">
        <f>金币!B58</f>
        <v>56</v>
      </c>
      <c r="C57" s="7">
        <f>IF(金币!C58="","",金币!$B58*金币!C58)</f>
        <v>448</v>
      </c>
      <c r="D57" s="7" t="str">
        <f>IF(金币!D58="","",金币!$B58*金币!D58)</f>
        <v/>
      </c>
      <c r="E57" s="7" t="str">
        <f>IF(金币!E58="","",金币!$B58*金币!E58)</f>
        <v/>
      </c>
      <c r="F57" s="7">
        <f>IF(金币!F58="","",金币!$B58*金币!F58)</f>
        <v>560</v>
      </c>
      <c r="G57" s="7" t="str">
        <f>IF(金币!G58="","",金币!$B58*金币!G58)</f>
        <v/>
      </c>
      <c r="H57" s="7" t="str">
        <f>IF(金币!H58="","",金币!$B58*金币!H58)</f>
        <v/>
      </c>
      <c r="I57" s="7" t="str">
        <f>IF(金币!I58="","",金币!$B58*金币!I58)</f>
        <v/>
      </c>
      <c r="J57" s="7" t="str">
        <f>IF(金币!J58="","",金币!$B58*金币!J58)</f>
        <v/>
      </c>
      <c r="K57" s="7">
        <f>IF(金币!K58="","",金币!$B58*金币!K58)</f>
        <v>560</v>
      </c>
      <c r="L57" s="7">
        <f>IF(金币!L58="","",金币!$B58*金币!L58)</f>
        <v>280</v>
      </c>
      <c r="M57" s="7" t="str">
        <f>IF(金币!M58="","",金币!$B58*金币!M58)</f>
        <v/>
      </c>
      <c r="N57" s="7" t="str">
        <f>IF(金币!N58="","",金币!$B58*金币!N58)</f>
        <v/>
      </c>
      <c r="O57" s="7" t="str">
        <f>IF(金币!O58="","",金币!$B58*金币!O58)</f>
        <v/>
      </c>
      <c r="P57" s="7" t="str">
        <f>IF(金币!P58="","",金币!$B58*金币!P58)</f>
        <v/>
      </c>
      <c r="Q57" s="7">
        <f>IF(金币!Q58="","",金币!$B58*金币!Q58)</f>
        <v>560</v>
      </c>
      <c r="R57" s="7" t="str">
        <f>IF(金币!R58="","",金币!$B58*金币!R58)</f>
        <v/>
      </c>
      <c r="S57" s="7">
        <f>IF(金币!S58="","",金币!$B58*金币!S58)</f>
        <v>168</v>
      </c>
      <c r="T57" s="7" t="str">
        <f>IF(金币!T58="","",金币!$B58*金币!T58)</f>
        <v/>
      </c>
      <c r="U57" s="7" t="str">
        <f>IF(金币!U58="","",金币!$B58*金币!U58)</f>
        <v/>
      </c>
      <c r="V57" s="7">
        <f>IF(金币!V58="","",金币!$B58*金币!V58)</f>
        <v>224</v>
      </c>
      <c r="W57" s="7" t="str">
        <f>IF(金币!W58="","",金币!$B58*金币!W58)</f>
        <v/>
      </c>
      <c r="X57" s="7" t="str">
        <f>IF(金币!X58="","",金币!$B58*金币!X58)</f>
        <v/>
      </c>
      <c r="Y57" s="7" t="str">
        <f>IF(金币!Y58="","",金币!$B58*金币!Y58)</f>
        <v/>
      </c>
      <c r="Z57" s="7">
        <f>IF(金币!Z58="","",金币!$B58*金币!Z58)</f>
        <v>560</v>
      </c>
      <c r="AA57" s="7" t="str">
        <f>IF(金币!AA58="","",金币!$B58*金币!AA58)</f>
        <v/>
      </c>
      <c r="AB57" s="7" t="str">
        <f>IF(金币!AB58="","",金币!$B58*金币!AB58)</f>
        <v/>
      </c>
      <c r="AC57" s="7" t="str">
        <f>IF(金币!AC58="","",金币!$B58*金币!AC58)</f>
        <v/>
      </c>
      <c r="AD57" s="7" t="str">
        <f>IF(金币!AD58="","",金币!$B58*金币!AD58)</f>
        <v/>
      </c>
      <c r="AE57" s="7" t="str">
        <f>IF(金币!AE58="","",金币!$B58*金币!AE58)</f>
        <v/>
      </c>
      <c r="AF57" s="7">
        <f>IF(金币!AF58="","",金币!$B58*金币!AF58)</f>
        <v>1120</v>
      </c>
      <c r="AG57" s="7">
        <f>金币!AI58</f>
        <v>0</v>
      </c>
    </row>
    <row r="58" spans="1:35">
      <c r="A58" s="32">
        <v>57</v>
      </c>
      <c r="B58" s="87">
        <f>金币!B59</f>
        <v>57</v>
      </c>
      <c r="C58" s="7">
        <f>IF(金币!C59="","",金币!$B59*金币!C59)</f>
        <v>456</v>
      </c>
      <c r="D58" s="7" t="str">
        <f>IF(金币!D59="","",金币!$B59*金币!D59)</f>
        <v/>
      </c>
      <c r="E58" s="7" t="str">
        <f>IF(金币!E59="","",金币!$B59*金币!E59)</f>
        <v/>
      </c>
      <c r="F58" s="7">
        <f>IF(金币!F59="","",金币!$B59*金币!F59)</f>
        <v>570</v>
      </c>
      <c r="G58" s="7" t="str">
        <f>IF(金币!G59="","",金币!$B59*金币!G59)</f>
        <v/>
      </c>
      <c r="H58" s="7" t="str">
        <f>IF(金币!H59="","",金币!$B59*金币!H59)</f>
        <v/>
      </c>
      <c r="I58" s="7" t="str">
        <f>IF(金币!I59="","",金币!$B59*金币!I59)</f>
        <v/>
      </c>
      <c r="J58" s="7" t="str">
        <f>IF(金币!J59="","",金币!$B59*金币!J59)</f>
        <v/>
      </c>
      <c r="K58" s="7">
        <f>IF(金币!K59="","",金币!$B59*金币!K59)</f>
        <v>570</v>
      </c>
      <c r="L58" s="7">
        <f>IF(金币!L59="","",金币!$B59*金币!L59)</f>
        <v>285</v>
      </c>
      <c r="M58" s="7" t="str">
        <f>IF(金币!M59="","",金币!$B59*金币!M59)</f>
        <v/>
      </c>
      <c r="N58" s="7" t="str">
        <f>IF(金币!N59="","",金币!$B59*金币!N59)</f>
        <v/>
      </c>
      <c r="O58" s="7" t="str">
        <f>IF(金币!O59="","",金币!$B59*金币!O59)</f>
        <v/>
      </c>
      <c r="P58" s="7" t="str">
        <f>IF(金币!P59="","",金币!$B59*金币!P59)</f>
        <v/>
      </c>
      <c r="Q58" s="7">
        <f>IF(金币!Q59="","",金币!$B59*金币!Q59)</f>
        <v>570</v>
      </c>
      <c r="R58" s="7" t="str">
        <f>IF(金币!R59="","",金币!$B59*金币!R59)</f>
        <v/>
      </c>
      <c r="S58" s="7">
        <f>IF(金币!S59="","",金币!$B59*金币!S59)</f>
        <v>171</v>
      </c>
      <c r="T58" s="7" t="str">
        <f>IF(金币!T59="","",金币!$B59*金币!T59)</f>
        <v/>
      </c>
      <c r="U58" s="7" t="str">
        <f>IF(金币!U59="","",金币!$B59*金币!U59)</f>
        <v/>
      </c>
      <c r="V58" s="7">
        <f>IF(金币!V59="","",金币!$B59*金币!V59)</f>
        <v>228</v>
      </c>
      <c r="W58" s="7" t="str">
        <f>IF(金币!W59="","",金币!$B59*金币!W59)</f>
        <v/>
      </c>
      <c r="X58" s="7" t="str">
        <f>IF(金币!X59="","",金币!$B59*金币!X59)</f>
        <v/>
      </c>
      <c r="Y58" s="7" t="str">
        <f>IF(金币!Y59="","",金币!$B59*金币!Y59)</f>
        <v/>
      </c>
      <c r="Z58" s="7">
        <f>IF(金币!Z59="","",金币!$B59*金币!Z59)</f>
        <v>570</v>
      </c>
      <c r="AA58" s="7" t="str">
        <f>IF(金币!AA59="","",金币!$B59*金币!AA59)</f>
        <v/>
      </c>
      <c r="AB58" s="7" t="str">
        <f>IF(金币!AB59="","",金币!$B59*金币!AB59)</f>
        <v/>
      </c>
      <c r="AC58" s="7" t="str">
        <f>IF(金币!AC59="","",金币!$B59*金币!AC59)</f>
        <v/>
      </c>
      <c r="AD58" s="7" t="str">
        <f>IF(金币!AD59="","",金币!$B59*金币!AD59)</f>
        <v/>
      </c>
      <c r="AE58" s="7" t="str">
        <f>IF(金币!AE59="","",金币!$B59*金币!AE59)</f>
        <v/>
      </c>
      <c r="AF58" s="7">
        <f>IF(金币!AF59="","",金币!$B59*金币!AF59)</f>
        <v>1140</v>
      </c>
      <c r="AG58" s="7">
        <f>金币!AI59</f>
        <v>0</v>
      </c>
    </row>
    <row r="59" spans="1:35">
      <c r="A59" s="32">
        <v>58</v>
      </c>
      <c r="B59" s="87">
        <f>金币!B60</f>
        <v>58</v>
      </c>
      <c r="C59" s="7">
        <f>IF(金币!C60="","",金币!$B60*金币!C60)</f>
        <v>464</v>
      </c>
      <c r="D59" s="7" t="str">
        <f>IF(金币!D60="","",金币!$B60*金币!D60)</f>
        <v/>
      </c>
      <c r="E59" s="7" t="str">
        <f>IF(金币!E60="","",金币!$B60*金币!E60)</f>
        <v/>
      </c>
      <c r="F59" s="7">
        <f>IF(金币!F60="","",金币!$B60*金币!F60)</f>
        <v>580</v>
      </c>
      <c r="G59" s="7" t="str">
        <f>IF(金币!G60="","",金币!$B60*金币!G60)</f>
        <v/>
      </c>
      <c r="H59" s="7" t="str">
        <f>IF(金币!H60="","",金币!$B60*金币!H60)</f>
        <v/>
      </c>
      <c r="I59" s="7" t="str">
        <f>IF(金币!I60="","",金币!$B60*金币!I60)</f>
        <v/>
      </c>
      <c r="J59" s="7" t="str">
        <f>IF(金币!J60="","",金币!$B60*金币!J60)</f>
        <v/>
      </c>
      <c r="K59" s="7">
        <f>IF(金币!K60="","",金币!$B60*金币!K60)</f>
        <v>580</v>
      </c>
      <c r="L59" s="7">
        <f>IF(金币!L60="","",金币!$B60*金币!L60)</f>
        <v>290</v>
      </c>
      <c r="M59" s="7" t="str">
        <f>IF(金币!M60="","",金币!$B60*金币!M60)</f>
        <v/>
      </c>
      <c r="N59" s="7" t="str">
        <f>IF(金币!N60="","",金币!$B60*金币!N60)</f>
        <v/>
      </c>
      <c r="O59" s="7" t="str">
        <f>IF(金币!O60="","",金币!$B60*金币!O60)</f>
        <v/>
      </c>
      <c r="P59" s="7" t="str">
        <f>IF(金币!P60="","",金币!$B60*金币!P60)</f>
        <v/>
      </c>
      <c r="Q59" s="7">
        <f>IF(金币!Q60="","",金币!$B60*金币!Q60)</f>
        <v>580</v>
      </c>
      <c r="R59" s="7" t="str">
        <f>IF(金币!R60="","",金币!$B60*金币!R60)</f>
        <v/>
      </c>
      <c r="S59" s="7">
        <f>IF(金币!S60="","",金币!$B60*金币!S60)</f>
        <v>174</v>
      </c>
      <c r="T59" s="7" t="str">
        <f>IF(金币!T60="","",金币!$B60*金币!T60)</f>
        <v/>
      </c>
      <c r="U59" s="7" t="str">
        <f>IF(金币!U60="","",金币!$B60*金币!U60)</f>
        <v/>
      </c>
      <c r="V59" s="7">
        <f>IF(金币!V60="","",金币!$B60*金币!V60)</f>
        <v>232</v>
      </c>
      <c r="W59" s="7" t="str">
        <f>IF(金币!W60="","",金币!$B60*金币!W60)</f>
        <v/>
      </c>
      <c r="X59" s="7" t="str">
        <f>IF(金币!X60="","",金币!$B60*金币!X60)</f>
        <v/>
      </c>
      <c r="Y59" s="7" t="str">
        <f>IF(金币!Y60="","",金币!$B60*金币!Y60)</f>
        <v/>
      </c>
      <c r="Z59" s="7">
        <f>IF(金币!Z60="","",金币!$B60*金币!Z60)</f>
        <v>580</v>
      </c>
      <c r="AA59" s="7" t="str">
        <f>IF(金币!AA60="","",金币!$B60*金币!AA60)</f>
        <v/>
      </c>
      <c r="AB59" s="7" t="str">
        <f>IF(金币!AB60="","",金币!$B60*金币!AB60)</f>
        <v/>
      </c>
      <c r="AC59" s="7" t="str">
        <f>IF(金币!AC60="","",金币!$B60*金币!AC60)</f>
        <v/>
      </c>
      <c r="AD59" s="7" t="str">
        <f>IF(金币!AD60="","",金币!$B60*金币!AD60)</f>
        <v/>
      </c>
      <c r="AE59" s="7" t="str">
        <f>IF(金币!AE60="","",金币!$B60*金币!AE60)</f>
        <v/>
      </c>
      <c r="AF59" s="7">
        <f>IF(金币!AF60="","",金币!$B60*金币!AF60)</f>
        <v>1160</v>
      </c>
      <c r="AG59" s="7">
        <f>金币!AI60</f>
        <v>0</v>
      </c>
    </row>
    <row r="60" spans="1:35" s="10" customFormat="1">
      <c r="A60" s="70">
        <v>59</v>
      </c>
      <c r="B60" s="89">
        <f>金币!B61</f>
        <v>59</v>
      </c>
      <c r="C60" s="10">
        <f>IF(金币!C61="","",金币!$B61*金币!C61)</f>
        <v>472</v>
      </c>
      <c r="D60" s="10" t="str">
        <f>IF(金币!D61="","",金币!$B61*金币!D61)</f>
        <v/>
      </c>
      <c r="E60" s="10" t="str">
        <f>IF(金币!E61="","",金币!$B61*金币!E61)</f>
        <v/>
      </c>
      <c r="F60" s="10">
        <f>IF(金币!F61="","",金币!$B61*金币!F61)</f>
        <v>590</v>
      </c>
      <c r="G60" s="10" t="str">
        <f>IF(金币!G61="","",金币!$B61*金币!G61)</f>
        <v/>
      </c>
      <c r="H60" s="10" t="str">
        <f>IF(金币!H61="","",金币!$B61*金币!H61)</f>
        <v/>
      </c>
      <c r="I60" s="10" t="str">
        <f>IF(金币!I61="","",金币!$B61*金币!I61)</f>
        <v/>
      </c>
      <c r="J60" s="10" t="str">
        <f>IF(金币!J61="","",金币!$B61*金币!J61)</f>
        <v/>
      </c>
      <c r="K60" s="10">
        <f>IF(金币!K61="","",金币!$B61*金币!K61)</f>
        <v>590</v>
      </c>
      <c r="L60" s="10">
        <f>IF(金币!L61="","",金币!$B61*金币!L61)</f>
        <v>295</v>
      </c>
      <c r="M60" s="10" t="str">
        <f>IF(金币!M61="","",金币!$B61*金币!M61)</f>
        <v/>
      </c>
      <c r="N60" s="10" t="str">
        <f>IF(金币!N61="","",金币!$B61*金币!N61)</f>
        <v/>
      </c>
      <c r="O60" s="10" t="str">
        <f>IF(金币!O61="","",金币!$B61*金币!O61)</f>
        <v/>
      </c>
      <c r="P60" s="10" t="str">
        <f>IF(金币!P61="","",金币!$B61*金币!P61)</f>
        <v/>
      </c>
      <c r="Q60" s="10">
        <f>IF(金币!Q61="","",金币!$B61*金币!Q61)</f>
        <v>590</v>
      </c>
      <c r="R60" s="10" t="str">
        <f>IF(金币!R61="","",金币!$B61*金币!R61)</f>
        <v/>
      </c>
      <c r="S60" s="10">
        <f>IF(金币!S61="","",金币!$B61*金币!S61)</f>
        <v>177</v>
      </c>
      <c r="T60" s="10" t="str">
        <f>IF(金币!T61="","",金币!$B61*金币!T61)</f>
        <v/>
      </c>
      <c r="U60" s="10" t="str">
        <f>IF(金币!U61="","",金币!$B61*金币!U61)</f>
        <v/>
      </c>
      <c r="V60" s="10">
        <f>IF(金币!V61="","",金币!$B61*金币!V61)</f>
        <v>236</v>
      </c>
      <c r="W60" s="10" t="str">
        <f>IF(金币!W61="","",金币!$B61*金币!W61)</f>
        <v/>
      </c>
      <c r="X60" s="10" t="str">
        <f>IF(金币!X61="","",金币!$B61*金币!X61)</f>
        <v/>
      </c>
      <c r="Y60" s="10" t="str">
        <f>IF(金币!Y61="","",金币!$B61*金币!Y61)</f>
        <v/>
      </c>
      <c r="Z60" s="10">
        <f>IF(金币!Z61="","",金币!$B61*金币!Z61)</f>
        <v>590</v>
      </c>
      <c r="AA60" s="10" t="str">
        <f>IF(金币!AA61="","",金币!$B61*金币!AA61)</f>
        <v/>
      </c>
      <c r="AB60" s="10" t="str">
        <f>IF(金币!AB61="","",金币!$B61*金币!AB61)</f>
        <v/>
      </c>
      <c r="AC60" s="10" t="str">
        <f>IF(金币!AC61="","",金币!$B61*金币!AC61)</f>
        <v/>
      </c>
      <c r="AD60" s="10" t="str">
        <f>IF(金币!AD61="","",金币!$B61*金币!AD61)</f>
        <v/>
      </c>
      <c r="AE60" s="10" t="str">
        <f>IF(金币!AE61="","",金币!$B61*金币!AE61)</f>
        <v/>
      </c>
      <c r="AF60" s="10">
        <f>IF(金币!AF61="","",金币!$B61*金币!AF61)</f>
        <v>1180</v>
      </c>
      <c r="AG60" s="7">
        <f>金币!AI61</f>
        <v>0</v>
      </c>
    </row>
    <row r="61" spans="1:35">
      <c r="A61" s="32">
        <v>60</v>
      </c>
      <c r="B61" s="87">
        <f>金币!B62</f>
        <v>60</v>
      </c>
      <c r="C61" s="7">
        <f>IF(金币!C62="","",金币!$B62*金币!C62)</f>
        <v>480</v>
      </c>
      <c r="D61" s="7" t="str">
        <f>IF(金币!D62="","",金币!$B62*金币!D62)</f>
        <v/>
      </c>
      <c r="E61" s="7" t="str">
        <f>IF(金币!E62="","",金币!$B62*金币!E62)</f>
        <v/>
      </c>
      <c r="F61" s="7">
        <f>IF(金币!F62="","",金币!$B62*金币!F62)</f>
        <v>600</v>
      </c>
      <c r="G61" s="7" t="str">
        <f>IF(金币!G62="","",金币!$B62*金币!G62)</f>
        <v/>
      </c>
      <c r="H61" s="7" t="str">
        <f>IF(金币!H62="","",金币!$B62*金币!H62)</f>
        <v/>
      </c>
      <c r="I61" s="7" t="str">
        <f>IF(金币!I62="","",金币!$B62*金币!I62)</f>
        <v/>
      </c>
      <c r="J61" s="7" t="str">
        <f>IF(金币!J62="","",金币!$B62*金币!J62)</f>
        <v/>
      </c>
      <c r="K61" s="7">
        <f>IF(金币!K62="","",金币!$B62*金币!K62)</f>
        <v>600</v>
      </c>
      <c r="L61" s="7">
        <f>IF(金币!L62="","",金币!$B62*金币!L62)</f>
        <v>300</v>
      </c>
      <c r="M61" s="7" t="str">
        <f>IF(金币!M62="","",金币!$B62*金币!M62)</f>
        <v/>
      </c>
      <c r="N61" s="7" t="str">
        <f>IF(金币!N62="","",金币!$B62*金币!N62)</f>
        <v/>
      </c>
      <c r="O61" s="7" t="str">
        <f>IF(金币!O62="","",金币!$B62*金币!O62)</f>
        <v/>
      </c>
      <c r="P61" s="7" t="str">
        <f>IF(金币!P62="","",金币!$B62*金币!P62)</f>
        <v/>
      </c>
      <c r="Q61" s="7">
        <f>IF(金币!Q62="","",金币!$B62*金币!Q62)</f>
        <v>600</v>
      </c>
      <c r="R61" s="7" t="str">
        <f>IF(金币!R62="","",金币!$B62*金币!R62)</f>
        <v/>
      </c>
      <c r="S61" s="7">
        <f>IF(金币!S62="","",金币!$B62*金币!S62)</f>
        <v>180</v>
      </c>
      <c r="T61" s="7" t="str">
        <f>IF(金币!T62="","",金币!$B62*金币!T62)</f>
        <v/>
      </c>
      <c r="U61" s="7" t="str">
        <f>IF(金币!U62="","",金币!$B62*金币!U62)</f>
        <v/>
      </c>
      <c r="V61" s="7">
        <f>IF(金币!V62="","",金币!$B62*金币!V62)</f>
        <v>240</v>
      </c>
      <c r="W61" s="7" t="str">
        <f>IF(金币!W62="","",金币!$B62*金币!W62)</f>
        <v/>
      </c>
      <c r="X61" s="7" t="str">
        <f>IF(金币!X62="","",金币!$B62*金币!X62)</f>
        <v/>
      </c>
      <c r="Y61" s="7" t="str">
        <f>IF(金币!Y62="","",金币!$B62*金币!Y62)</f>
        <v/>
      </c>
      <c r="Z61" s="7">
        <f>IF(金币!Z62="","",金币!$B62*金币!Z62)</f>
        <v>600</v>
      </c>
      <c r="AA61" s="7" t="str">
        <f>IF(金币!AA62="","",金币!$B62*金币!AA62)</f>
        <v/>
      </c>
      <c r="AB61" s="7" t="str">
        <f>IF(金币!AB62="","",金币!$B62*金币!AB62)</f>
        <v/>
      </c>
      <c r="AC61" s="7" t="str">
        <f>IF(金币!AC62="","",金币!$B62*金币!AC62)</f>
        <v/>
      </c>
      <c r="AD61" s="7" t="str">
        <f>IF(金币!AD62="","",金币!$B62*金币!AD62)</f>
        <v/>
      </c>
      <c r="AE61" s="7" t="str">
        <f>IF(金币!AE62="","",金币!$B62*金币!AE62)</f>
        <v/>
      </c>
      <c r="AF61" s="7">
        <f>IF(金币!AF62="","",金币!$B62*金币!AF62)</f>
        <v>1200</v>
      </c>
      <c r="AG61" s="7">
        <f>金币!AI62</f>
        <v>0</v>
      </c>
    </row>
    <row r="62" spans="1:35">
      <c r="A62" s="32">
        <v>61</v>
      </c>
      <c r="B62" s="87">
        <f>金币!B63</f>
        <v>61</v>
      </c>
      <c r="C62" s="7">
        <f>IF(金币!C63="","",金币!$B63*金币!C63)</f>
        <v>488</v>
      </c>
      <c r="D62" s="7" t="str">
        <f>IF(金币!D63="","",金币!$B63*金币!D63)</f>
        <v/>
      </c>
      <c r="E62" s="7" t="str">
        <f>IF(金币!E63="","",金币!$B63*金币!E63)</f>
        <v/>
      </c>
      <c r="F62" s="7">
        <f>IF(金币!F63="","",金币!$B63*金币!F63)</f>
        <v>610</v>
      </c>
      <c r="G62" s="7" t="str">
        <f>IF(金币!G63="","",金币!$B63*金币!G63)</f>
        <v/>
      </c>
      <c r="H62" s="7" t="str">
        <f>IF(金币!H63="","",金币!$B63*金币!H63)</f>
        <v/>
      </c>
      <c r="I62" s="7" t="str">
        <f>IF(金币!I63="","",金币!$B63*金币!I63)</f>
        <v/>
      </c>
      <c r="J62" s="7" t="str">
        <f>IF(金币!J63="","",金币!$B63*金币!J63)</f>
        <v/>
      </c>
      <c r="K62" s="7">
        <f>IF(金币!K63="","",金币!$B63*金币!K63)</f>
        <v>610</v>
      </c>
      <c r="L62" s="7">
        <f>IF(金币!L63="","",金币!$B63*金币!L63)</f>
        <v>305</v>
      </c>
      <c r="M62" s="7" t="str">
        <f>IF(金币!M63="","",金币!$B63*金币!M63)</f>
        <v/>
      </c>
      <c r="N62" s="7" t="str">
        <f>IF(金币!N63="","",金币!$B63*金币!N63)</f>
        <v/>
      </c>
      <c r="O62" s="7" t="str">
        <f>IF(金币!O63="","",金币!$B63*金币!O63)</f>
        <v/>
      </c>
      <c r="P62" s="7" t="str">
        <f>IF(金币!P63="","",金币!$B63*金币!P63)</f>
        <v/>
      </c>
      <c r="Q62" s="7">
        <f>IF(金币!Q63="","",金币!$B63*金币!Q63)</f>
        <v>610</v>
      </c>
      <c r="R62" s="7" t="str">
        <f>IF(金币!R63="","",金币!$B63*金币!R63)</f>
        <v/>
      </c>
      <c r="S62" s="7">
        <f>IF(金币!S63="","",金币!$B63*金币!S63)</f>
        <v>183</v>
      </c>
      <c r="T62" s="7" t="str">
        <f>IF(金币!T63="","",金币!$B63*金币!T63)</f>
        <v/>
      </c>
      <c r="U62" s="7" t="str">
        <f>IF(金币!U63="","",金币!$B63*金币!U63)</f>
        <v/>
      </c>
      <c r="V62" s="7">
        <f>IF(金币!V63="","",金币!$B63*金币!V63)</f>
        <v>244</v>
      </c>
      <c r="W62" s="7" t="str">
        <f>IF(金币!W63="","",金币!$B63*金币!W63)</f>
        <v/>
      </c>
      <c r="X62" s="7" t="str">
        <f>IF(金币!X63="","",金币!$B63*金币!X63)</f>
        <v/>
      </c>
      <c r="Y62" s="7" t="str">
        <f>IF(金币!Y63="","",金币!$B63*金币!Y63)</f>
        <v/>
      </c>
      <c r="Z62" s="7">
        <f>IF(金币!Z63="","",金币!$B63*金币!Z63)</f>
        <v>610</v>
      </c>
      <c r="AA62" s="7" t="str">
        <f>IF(金币!AA63="","",金币!$B63*金币!AA63)</f>
        <v/>
      </c>
      <c r="AB62" s="7" t="str">
        <f>IF(金币!AB63="","",金币!$B63*金币!AB63)</f>
        <v/>
      </c>
      <c r="AC62" s="7" t="str">
        <f>IF(金币!AC63="","",金币!$B63*金币!AC63)</f>
        <v/>
      </c>
      <c r="AD62" s="7" t="str">
        <f>IF(金币!AD63="","",金币!$B63*金币!AD63)</f>
        <v/>
      </c>
      <c r="AE62" s="7" t="str">
        <f>IF(金币!AE63="","",金币!$B63*金币!AE63)</f>
        <v/>
      </c>
      <c r="AF62" s="7">
        <f>IF(金币!AF63="","",金币!$B63*金币!AF63)</f>
        <v>1220</v>
      </c>
      <c r="AG62" s="7">
        <f>金币!AI63</f>
        <v>0</v>
      </c>
    </row>
    <row r="63" spans="1:35">
      <c r="A63" s="32">
        <v>62</v>
      </c>
      <c r="B63" s="87">
        <f>金币!B64</f>
        <v>62</v>
      </c>
      <c r="C63" s="7">
        <f>IF(金币!C64="","",金币!$B64*金币!C64)</f>
        <v>496</v>
      </c>
      <c r="D63" s="7" t="str">
        <f>IF(金币!D64="","",金币!$B64*金币!D64)</f>
        <v/>
      </c>
      <c r="E63" s="7" t="str">
        <f>IF(金币!E64="","",金币!$B64*金币!E64)</f>
        <v/>
      </c>
      <c r="F63" s="7">
        <f>IF(金币!F64="","",金币!$B64*金币!F64)</f>
        <v>620</v>
      </c>
      <c r="G63" s="7" t="str">
        <f>IF(金币!G64="","",金币!$B64*金币!G64)</f>
        <v/>
      </c>
      <c r="H63" s="7" t="str">
        <f>IF(金币!H64="","",金币!$B64*金币!H64)</f>
        <v/>
      </c>
      <c r="I63" s="7" t="str">
        <f>IF(金币!I64="","",金币!$B64*金币!I64)</f>
        <v/>
      </c>
      <c r="J63" s="7" t="str">
        <f>IF(金币!J64="","",金币!$B64*金币!J64)</f>
        <v/>
      </c>
      <c r="K63" s="7">
        <f>IF(金币!K64="","",金币!$B64*金币!K64)</f>
        <v>620</v>
      </c>
      <c r="L63" s="7">
        <f>IF(金币!L64="","",金币!$B64*金币!L64)</f>
        <v>310</v>
      </c>
      <c r="M63" s="7" t="str">
        <f>IF(金币!M64="","",金币!$B64*金币!M64)</f>
        <v/>
      </c>
      <c r="N63" s="7" t="str">
        <f>IF(金币!N64="","",金币!$B64*金币!N64)</f>
        <v/>
      </c>
      <c r="O63" s="7" t="str">
        <f>IF(金币!O64="","",金币!$B64*金币!O64)</f>
        <v/>
      </c>
      <c r="P63" s="7" t="str">
        <f>IF(金币!P64="","",金币!$B64*金币!P64)</f>
        <v/>
      </c>
      <c r="Q63" s="7">
        <f>IF(金币!Q64="","",金币!$B64*金币!Q64)</f>
        <v>620</v>
      </c>
      <c r="R63" s="7" t="str">
        <f>IF(金币!R64="","",金币!$B64*金币!R64)</f>
        <v/>
      </c>
      <c r="S63" s="7">
        <f>IF(金币!S64="","",金币!$B64*金币!S64)</f>
        <v>186</v>
      </c>
      <c r="T63" s="7" t="str">
        <f>IF(金币!T64="","",金币!$B64*金币!T64)</f>
        <v/>
      </c>
      <c r="U63" s="7" t="str">
        <f>IF(金币!U64="","",金币!$B64*金币!U64)</f>
        <v/>
      </c>
      <c r="V63" s="7">
        <f>IF(金币!V64="","",金币!$B64*金币!V64)</f>
        <v>248</v>
      </c>
      <c r="W63" s="7" t="str">
        <f>IF(金币!W64="","",金币!$B64*金币!W64)</f>
        <v/>
      </c>
      <c r="X63" s="7" t="str">
        <f>IF(金币!X64="","",金币!$B64*金币!X64)</f>
        <v/>
      </c>
      <c r="Y63" s="7" t="str">
        <f>IF(金币!Y64="","",金币!$B64*金币!Y64)</f>
        <v/>
      </c>
      <c r="Z63" s="7">
        <f>IF(金币!Z64="","",金币!$B64*金币!Z64)</f>
        <v>620</v>
      </c>
      <c r="AA63" s="7" t="str">
        <f>IF(金币!AA64="","",金币!$B64*金币!AA64)</f>
        <v/>
      </c>
      <c r="AB63" s="7" t="str">
        <f>IF(金币!AB64="","",金币!$B64*金币!AB64)</f>
        <v/>
      </c>
      <c r="AC63" s="7" t="str">
        <f>IF(金币!AC64="","",金币!$B64*金币!AC64)</f>
        <v/>
      </c>
      <c r="AD63" s="7" t="str">
        <f>IF(金币!AD64="","",金币!$B64*金币!AD64)</f>
        <v/>
      </c>
      <c r="AE63" s="7" t="str">
        <f>IF(金币!AE64="","",金币!$B64*金币!AE64)</f>
        <v/>
      </c>
      <c r="AF63" s="7">
        <f>IF(金币!AF64="","",金币!$B64*金币!AF64)</f>
        <v>1240</v>
      </c>
      <c r="AG63" s="7">
        <f>金币!AI64</f>
        <v>0</v>
      </c>
    </row>
    <row r="64" spans="1:35">
      <c r="A64" s="32">
        <v>63</v>
      </c>
      <c r="B64" s="87">
        <f>金币!B65</f>
        <v>63</v>
      </c>
      <c r="C64" s="7">
        <f>IF(金币!C65="","",金币!$B65*金币!C65)</f>
        <v>504</v>
      </c>
      <c r="D64" s="7" t="str">
        <f>IF(金币!D65="","",金币!$B65*金币!D65)</f>
        <v/>
      </c>
      <c r="E64" s="7" t="str">
        <f>IF(金币!E65="","",金币!$B65*金币!E65)</f>
        <v/>
      </c>
      <c r="F64" s="7">
        <f>IF(金币!F65="","",金币!$B65*金币!F65)</f>
        <v>630</v>
      </c>
      <c r="G64" s="7" t="str">
        <f>IF(金币!G65="","",金币!$B65*金币!G65)</f>
        <v/>
      </c>
      <c r="H64" s="7" t="str">
        <f>IF(金币!H65="","",金币!$B65*金币!H65)</f>
        <v/>
      </c>
      <c r="I64" s="7" t="str">
        <f>IF(金币!I65="","",金币!$B65*金币!I65)</f>
        <v/>
      </c>
      <c r="J64" s="7" t="str">
        <f>IF(金币!J65="","",金币!$B65*金币!J65)</f>
        <v/>
      </c>
      <c r="K64" s="7">
        <f>IF(金币!K65="","",金币!$B65*金币!K65)</f>
        <v>630</v>
      </c>
      <c r="L64" s="7">
        <f>IF(金币!L65="","",金币!$B65*金币!L65)</f>
        <v>315</v>
      </c>
      <c r="M64" s="7" t="str">
        <f>IF(金币!M65="","",金币!$B65*金币!M65)</f>
        <v/>
      </c>
      <c r="N64" s="7" t="str">
        <f>IF(金币!N65="","",金币!$B65*金币!N65)</f>
        <v/>
      </c>
      <c r="O64" s="7" t="str">
        <f>IF(金币!O65="","",金币!$B65*金币!O65)</f>
        <v/>
      </c>
      <c r="P64" s="7" t="str">
        <f>IF(金币!P65="","",金币!$B65*金币!P65)</f>
        <v/>
      </c>
      <c r="Q64" s="7">
        <f>IF(金币!Q65="","",金币!$B65*金币!Q65)</f>
        <v>630</v>
      </c>
      <c r="R64" s="7" t="str">
        <f>IF(金币!R65="","",金币!$B65*金币!R65)</f>
        <v/>
      </c>
      <c r="S64" s="7">
        <f>IF(金币!S65="","",金币!$B65*金币!S65)</f>
        <v>189</v>
      </c>
      <c r="T64" s="7" t="str">
        <f>IF(金币!T65="","",金币!$B65*金币!T65)</f>
        <v/>
      </c>
      <c r="U64" s="7" t="str">
        <f>IF(金币!U65="","",金币!$B65*金币!U65)</f>
        <v/>
      </c>
      <c r="V64" s="7">
        <f>IF(金币!V65="","",金币!$B65*金币!V65)</f>
        <v>252</v>
      </c>
      <c r="W64" s="7" t="str">
        <f>IF(金币!W65="","",金币!$B65*金币!W65)</f>
        <v/>
      </c>
      <c r="X64" s="7" t="str">
        <f>IF(金币!X65="","",金币!$B65*金币!X65)</f>
        <v/>
      </c>
      <c r="Y64" s="7" t="str">
        <f>IF(金币!Y65="","",金币!$B65*金币!Y65)</f>
        <v/>
      </c>
      <c r="Z64" s="7">
        <f>IF(金币!Z65="","",金币!$B65*金币!Z65)</f>
        <v>630</v>
      </c>
      <c r="AA64" s="7" t="str">
        <f>IF(金币!AA65="","",金币!$B65*金币!AA65)</f>
        <v/>
      </c>
      <c r="AB64" s="7" t="str">
        <f>IF(金币!AB65="","",金币!$B65*金币!AB65)</f>
        <v/>
      </c>
      <c r="AC64" s="7" t="str">
        <f>IF(金币!AC65="","",金币!$B65*金币!AC65)</f>
        <v/>
      </c>
      <c r="AD64" s="7" t="str">
        <f>IF(金币!AD65="","",金币!$B65*金币!AD65)</f>
        <v/>
      </c>
      <c r="AE64" s="7" t="str">
        <f>IF(金币!AE65="","",金币!$B65*金币!AE65)</f>
        <v/>
      </c>
      <c r="AF64" s="7">
        <f>IF(金币!AF65="","",金币!$B65*金币!AF65)</f>
        <v>1260</v>
      </c>
      <c r="AG64" s="7">
        <f>金币!AI65</f>
        <v>0</v>
      </c>
    </row>
    <row r="65" spans="1:33">
      <c r="A65" s="32">
        <v>64</v>
      </c>
      <c r="B65" s="87">
        <f>金币!B66</f>
        <v>64</v>
      </c>
      <c r="C65" s="7">
        <f>IF(金币!C66="","",金币!$B66*金币!C66)</f>
        <v>512</v>
      </c>
      <c r="D65" s="7" t="str">
        <f>IF(金币!D66="","",金币!$B66*金币!D66)</f>
        <v/>
      </c>
      <c r="E65" s="7" t="str">
        <f>IF(金币!E66="","",金币!$B66*金币!E66)</f>
        <v/>
      </c>
      <c r="F65" s="7">
        <f>IF(金币!F66="","",金币!$B66*金币!F66)</f>
        <v>640</v>
      </c>
      <c r="G65" s="7" t="str">
        <f>IF(金币!G66="","",金币!$B66*金币!G66)</f>
        <v/>
      </c>
      <c r="H65" s="7" t="str">
        <f>IF(金币!H66="","",金币!$B66*金币!H66)</f>
        <v/>
      </c>
      <c r="I65" s="7" t="str">
        <f>IF(金币!I66="","",金币!$B66*金币!I66)</f>
        <v/>
      </c>
      <c r="J65" s="7" t="str">
        <f>IF(金币!J66="","",金币!$B66*金币!J66)</f>
        <v/>
      </c>
      <c r="K65" s="7">
        <f>IF(金币!K66="","",金币!$B66*金币!K66)</f>
        <v>640</v>
      </c>
      <c r="L65" s="7">
        <f>IF(金币!L66="","",金币!$B66*金币!L66)</f>
        <v>320</v>
      </c>
      <c r="M65" s="7" t="str">
        <f>IF(金币!M66="","",金币!$B66*金币!M66)</f>
        <v/>
      </c>
      <c r="N65" s="7" t="str">
        <f>IF(金币!N66="","",金币!$B66*金币!N66)</f>
        <v/>
      </c>
      <c r="O65" s="7" t="str">
        <f>IF(金币!O66="","",金币!$B66*金币!O66)</f>
        <v/>
      </c>
      <c r="P65" s="7" t="str">
        <f>IF(金币!P66="","",金币!$B66*金币!P66)</f>
        <v/>
      </c>
      <c r="Q65" s="7">
        <f>IF(金币!Q66="","",金币!$B66*金币!Q66)</f>
        <v>640</v>
      </c>
      <c r="R65" s="7" t="str">
        <f>IF(金币!R66="","",金币!$B66*金币!R66)</f>
        <v/>
      </c>
      <c r="S65" s="7">
        <f>IF(金币!S66="","",金币!$B66*金币!S66)</f>
        <v>192</v>
      </c>
      <c r="T65" s="7" t="str">
        <f>IF(金币!T66="","",金币!$B66*金币!T66)</f>
        <v/>
      </c>
      <c r="U65" s="7" t="str">
        <f>IF(金币!U66="","",金币!$B66*金币!U66)</f>
        <v/>
      </c>
      <c r="V65" s="7">
        <f>IF(金币!V66="","",金币!$B66*金币!V66)</f>
        <v>256</v>
      </c>
      <c r="W65" s="7" t="str">
        <f>IF(金币!W66="","",金币!$B66*金币!W66)</f>
        <v/>
      </c>
      <c r="X65" s="7" t="str">
        <f>IF(金币!X66="","",金币!$B66*金币!X66)</f>
        <v/>
      </c>
      <c r="Y65" s="7" t="str">
        <f>IF(金币!Y66="","",金币!$B66*金币!Y66)</f>
        <v/>
      </c>
      <c r="Z65" s="7">
        <f>IF(金币!Z66="","",金币!$B66*金币!Z66)</f>
        <v>640</v>
      </c>
      <c r="AA65" s="7" t="str">
        <f>IF(金币!AA66="","",金币!$B66*金币!AA66)</f>
        <v/>
      </c>
      <c r="AB65" s="7" t="str">
        <f>IF(金币!AB66="","",金币!$B66*金币!AB66)</f>
        <v/>
      </c>
      <c r="AC65" s="7" t="str">
        <f>IF(金币!AC66="","",金币!$B66*金币!AC66)</f>
        <v/>
      </c>
      <c r="AD65" s="7" t="str">
        <f>IF(金币!AD66="","",金币!$B66*金币!AD66)</f>
        <v/>
      </c>
      <c r="AE65" s="7" t="str">
        <f>IF(金币!AE66="","",金币!$B66*金币!AE66)</f>
        <v/>
      </c>
      <c r="AF65" s="7">
        <f>IF(金币!AF66="","",金币!$B66*金币!AF66)</f>
        <v>1280</v>
      </c>
      <c r="AG65" s="7">
        <f>金币!AI66</f>
        <v>0</v>
      </c>
    </row>
    <row r="66" spans="1:33">
      <c r="A66" s="32">
        <v>65</v>
      </c>
      <c r="B66" s="87">
        <f>金币!B67</f>
        <v>65</v>
      </c>
      <c r="C66" s="7">
        <f>IF(金币!C67="","",金币!$B67*金币!C67)</f>
        <v>520</v>
      </c>
      <c r="D66" s="7" t="str">
        <f>IF(金币!D67="","",金币!$B67*金币!D67)</f>
        <v/>
      </c>
      <c r="E66" s="7" t="str">
        <f>IF(金币!E67="","",金币!$B67*金币!E67)</f>
        <v/>
      </c>
      <c r="F66" s="7">
        <f>IF(金币!F67="","",金币!$B67*金币!F67)</f>
        <v>650</v>
      </c>
      <c r="G66" s="7" t="str">
        <f>IF(金币!G67="","",金币!$B67*金币!G67)</f>
        <v/>
      </c>
      <c r="H66" s="7" t="str">
        <f>IF(金币!H67="","",金币!$B67*金币!H67)</f>
        <v/>
      </c>
      <c r="I66" s="7" t="str">
        <f>IF(金币!I67="","",金币!$B67*金币!I67)</f>
        <v/>
      </c>
      <c r="J66" s="7" t="str">
        <f>IF(金币!J67="","",金币!$B67*金币!J67)</f>
        <v/>
      </c>
      <c r="K66" s="7">
        <f>IF(金币!K67="","",金币!$B67*金币!K67)</f>
        <v>650</v>
      </c>
      <c r="L66" s="7">
        <f>IF(金币!L67="","",金币!$B67*金币!L67)</f>
        <v>325</v>
      </c>
      <c r="M66" s="7" t="str">
        <f>IF(金币!M67="","",金币!$B67*金币!M67)</f>
        <v/>
      </c>
      <c r="N66" s="7" t="str">
        <f>IF(金币!N67="","",金币!$B67*金币!N67)</f>
        <v/>
      </c>
      <c r="O66" s="7" t="str">
        <f>IF(金币!O67="","",金币!$B67*金币!O67)</f>
        <v/>
      </c>
      <c r="P66" s="7" t="str">
        <f>IF(金币!P67="","",金币!$B67*金币!P67)</f>
        <v/>
      </c>
      <c r="Q66" s="7">
        <f>IF(金币!Q67="","",金币!$B67*金币!Q67)</f>
        <v>650</v>
      </c>
      <c r="R66" s="7" t="str">
        <f>IF(金币!R67="","",金币!$B67*金币!R67)</f>
        <v/>
      </c>
      <c r="S66" s="7">
        <f>IF(金币!S67="","",金币!$B67*金币!S67)</f>
        <v>195</v>
      </c>
      <c r="T66" s="7" t="str">
        <f>IF(金币!T67="","",金币!$B67*金币!T67)</f>
        <v/>
      </c>
      <c r="U66" s="7" t="str">
        <f>IF(金币!U67="","",金币!$B67*金币!U67)</f>
        <v/>
      </c>
      <c r="V66" s="7">
        <f>IF(金币!V67="","",金币!$B67*金币!V67)</f>
        <v>260</v>
      </c>
      <c r="W66" s="7" t="str">
        <f>IF(金币!W67="","",金币!$B67*金币!W67)</f>
        <v/>
      </c>
      <c r="X66" s="7" t="str">
        <f>IF(金币!X67="","",金币!$B67*金币!X67)</f>
        <v/>
      </c>
      <c r="Y66" s="7" t="str">
        <f>IF(金币!Y67="","",金币!$B67*金币!Y67)</f>
        <v/>
      </c>
      <c r="Z66" s="7">
        <f>IF(金币!Z67="","",金币!$B67*金币!Z67)</f>
        <v>650</v>
      </c>
      <c r="AA66" s="7" t="str">
        <f>IF(金币!AA67="","",金币!$B67*金币!AA67)</f>
        <v/>
      </c>
      <c r="AB66" s="7" t="str">
        <f>IF(金币!AB67="","",金币!$B67*金币!AB67)</f>
        <v/>
      </c>
      <c r="AC66" s="7" t="str">
        <f>IF(金币!AC67="","",金币!$B67*金币!AC67)</f>
        <v/>
      </c>
      <c r="AD66" s="7" t="str">
        <f>IF(金币!AD67="","",金币!$B67*金币!AD67)</f>
        <v/>
      </c>
      <c r="AE66" s="7" t="str">
        <f>IF(金币!AE67="","",金币!$B67*金币!AE67)</f>
        <v/>
      </c>
      <c r="AF66" s="7">
        <f>IF(金币!AF67="","",金币!$B67*金币!AF67)</f>
        <v>1300</v>
      </c>
      <c r="AG66" s="7">
        <f>金币!AI67</f>
        <v>0</v>
      </c>
    </row>
    <row r="67" spans="1:33">
      <c r="A67" s="32">
        <v>66</v>
      </c>
      <c r="B67" s="87">
        <f>金币!B68</f>
        <v>66</v>
      </c>
      <c r="C67" s="7">
        <f>IF(金币!C68="","",金币!$B68*金币!C68)</f>
        <v>528</v>
      </c>
      <c r="D67" s="7" t="str">
        <f>IF(金币!D68="","",金币!$B68*金币!D68)</f>
        <v/>
      </c>
      <c r="E67" s="7" t="str">
        <f>IF(金币!E68="","",金币!$B68*金币!E68)</f>
        <v/>
      </c>
      <c r="F67" s="7">
        <f>IF(金币!F68="","",金币!$B68*金币!F68)</f>
        <v>660</v>
      </c>
      <c r="G67" s="7" t="str">
        <f>IF(金币!G68="","",金币!$B68*金币!G68)</f>
        <v/>
      </c>
      <c r="H67" s="7" t="str">
        <f>IF(金币!H68="","",金币!$B68*金币!H68)</f>
        <v/>
      </c>
      <c r="I67" s="7" t="str">
        <f>IF(金币!I68="","",金币!$B68*金币!I68)</f>
        <v/>
      </c>
      <c r="J67" s="7" t="str">
        <f>IF(金币!J68="","",金币!$B68*金币!J68)</f>
        <v/>
      </c>
      <c r="K67" s="7">
        <f>IF(金币!K68="","",金币!$B68*金币!K68)</f>
        <v>660</v>
      </c>
      <c r="L67" s="7">
        <f>IF(金币!L68="","",金币!$B68*金币!L68)</f>
        <v>330</v>
      </c>
      <c r="M67" s="7" t="str">
        <f>IF(金币!M68="","",金币!$B68*金币!M68)</f>
        <v/>
      </c>
      <c r="N67" s="7" t="str">
        <f>IF(金币!N68="","",金币!$B68*金币!N68)</f>
        <v/>
      </c>
      <c r="O67" s="7" t="str">
        <f>IF(金币!O68="","",金币!$B68*金币!O68)</f>
        <v/>
      </c>
      <c r="P67" s="7" t="str">
        <f>IF(金币!P68="","",金币!$B68*金币!P68)</f>
        <v/>
      </c>
      <c r="Q67" s="7">
        <f>IF(金币!Q68="","",金币!$B68*金币!Q68)</f>
        <v>660</v>
      </c>
      <c r="R67" s="7" t="str">
        <f>IF(金币!R68="","",金币!$B68*金币!R68)</f>
        <v/>
      </c>
      <c r="S67" s="7">
        <f>IF(金币!S68="","",金币!$B68*金币!S68)</f>
        <v>198</v>
      </c>
      <c r="T67" s="7" t="str">
        <f>IF(金币!T68="","",金币!$B68*金币!T68)</f>
        <v/>
      </c>
      <c r="U67" s="7" t="str">
        <f>IF(金币!U68="","",金币!$B68*金币!U68)</f>
        <v/>
      </c>
      <c r="V67" s="7">
        <f>IF(金币!V68="","",金币!$B68*金币!V68)</f>
        <v>264</v>
      </c>
      <c r="W67" s="7" t="str">
        <f>IF(金币!W68="","",金币!$B68*金币!W68)</f>
        <v/>
      </c>
      <c r="X67" s="7" t="str">
        <f>IF(金币!X68="","",金币!$B68*金币!X68)</f>
        <v/>
      </c>
      <c r="Y67" s="7" t="str">
        <f>IF(金币!Y68="","",金币!$B68*金币!Y68)</f>
        <v/>
      </c>
      <c r="Z67" s="7">
        <f>IF(金币!Z68="","",金币!$B68*金币!Z68)</f>
        <v>660</v>
      </c>
      <c r="AA67" s="7" t="str">
        <f>IF(金币!AA68="","",金币!$B68*金币!AA68)</f>
        <v/>
      </c>
      <c r="AB67" s="7" t="str">
        <f>IF(金币!AB68="","",金币!$B68*金币!AB68)</f>
        <v/>
      </c>
      <c r="AC67" s="7" t="str">
        <f>IF(金币!AC68="","",金币!$B68*金币!AC68)</f>
        <v/>
      </c>
      <c r="AD67" s="7" t="str">
        <f>IF(金币!AD68="","",金币!$B68*金币!AD68)</f>
        <v/>
      </c>
      <c r="AE67" s="7" t="str">
        <f>IF(金币!AE68="","",金币!$B68*金币!AE68)</f>
        <v/>
      </c>
      <c r="AF67" s="7">
        <f>IF(金币!AF68="","",金币!$B68*金币!AF68)</f>
        <v>1320</v>
      </c>
      <c r="AG67" s="7">
        <f>金币!AI68</f>
        <v>0</v>
      </c>
    </row>
    <row r="68" spans="1:33">
      <c r="A68" s="32">
        <v>67</v>
      </c>
      <c r="B68" s="87">
        <f>金币!B69</f>
        <v>67</v>
      </c>
      <c r="C68" s="7">
        <f>IF(金币!C69="","",金币!$B69*金币!C69)</f>
        <v>536</v>
      </c>
      <c r="D68" s="7" t="str">
        <f>IF(金币!D69="","",金币!$B69*金币!D69)</f>
        <v/>
      </c>
      <c r="E68" s="7" t="str">
        <f>IF(金币!E69="","",金币!$B69*金币!E69)</f>
        <v/>
      </c>
      <c r="F68" s="7">
        <f>IF(金币!F69="","",金币!$B69*金币!F69)</f>
        <v>670</v>
      </c>
      <c r="G68" s="7" t="str">
        <f>IF(金币!G69="","",金币!$B69*金币!G69)</f>
        <v/>
      </c>
      <c r="H68" s="7" t="str">
        <f>IF(金币!H69="","",金币!$B69*金币!H69)</f>
        <v/>
      </c>
      <c r="I68" s="7" t="str">
        <f>IF(金币!I69="","",金币!$B69*金币!I69)</f>
        <v/>
      </c>
      <c r="J68" s="7" t="str">
        <f>IF(金币!J69="","",金币!$B69*金币!J69)</f>
        <v/>
      </c>
      <c r="K68" s="7">
        <f>IF(金币!K69="","",金币!$B69*金币!K69)</f>
        <v>670</v>
      </c>
      <c r="L68" s="7">
        <f>IF(金币!L69="","",金币!$B69*金币!L69)</f>
        <v>335</v>
      </c>
      <c r="M68" s="7" t="str">
        <f>IF(金币!M69="","",金币!$B69*金币!M69)</f>
        <v/>
      </c>
      <c r="N68" s="7" t="str">
        <f>IF(金币!N69="","",金币!$B69*金币!N69)</f>
        <v/>
      </c>
      <c r="O68" s="7" t="str">
        <f>IF(金币!O69="","",金币!$B69*金币!O69)</f>
        <v/>
      </c>
      <c r="P68" s="7" t="str">
        <f>IF(金币!P69="","",金币!$B69*金币!P69)</f>
        <v/>
      </c>
      <c r="Q68" s="7">
        <f>IF(金币!Q69="","",金币!$B69*金币!Q69)</f>
        <v>670</v>
      </c>
      <c r="R68" s="7" t="str">
        <f>IF(金币!R69="","",金币!$B69*金币!R69)</f>
        <v/>
      </c>
      <c r="S68" s="7">
        <f>IF(金币!S69="","",金币!$B69*金币!S69)</f>
        <v>201</v>
      </c>
      <c r="T68" s="7" t="str">
        <f>IF(金币!T69="","",金币!$B69*金币!T69)</f>
        <v/>
      </c>
      <c r="U68" s="7" t="str">
        <f>IF(金币!U69="","",金币!$B69*金币!U69)</f>
        <v/>
      </c>
      <c r="V68" s="7">
        <f>IF(金币!V69="","",金币!$B69*金币!V69)</f>
        <v>268</v>
      </c>
      <c r="W68" s="7" t="str">
        <f>IF(金币!W69="","",金币!$B69*金币!W69)</f>
        <v/>
      </c>
      <c r="X68" s="7" t="str">
        <f>IF(金币!X69="","",金币!$B69*金币!X69)</f>
        <v/>
      </c>
      <c r="Y68" s="7" t="str">
        <f>IF(金币!Y69="","",金币!$B69*金币!Y69)</f>
        <v/>
      </c>
      <c r="Z68" s="7">
        <f>IF(金币!Z69="","",金币!$B69*金币!Z69)</f>
        <v>670</v>
      </c>
      <c r="AA68" s="7" t="str">
        <f>IF(金币!AA69="","",金币!$B69*金币!AA69)</f>
        <v/>
      </c>
      <c r="AB68" s="7" t="str">
        <f>IF(金币!AB69="","",金币!$B69*金币!AB69)</f>
        <v/>
      </c>
      <c r="AC68" s="7" t="str">
        <f>IF(金币!AC69="","",金币!$B69*金币!AC69)</f>
        <v/>
      </c>
      <c r="AD68" s="7" t="str">
        <f>IF(金币!AD69="","",金币!$B69*金币!AD69)</f>
        <v/>
      </c>
      <c r="AE68" s="7" t="str">
        <f>IF(金币!AE69="","",金币!$B69*金币!AE69)</f>
        <v/>
      </c>
      <c r="AF68" s="7">
        <f>IF(金币!AF69="","",金币!$B69*金币!AF69)</f>
        <v>1340</v>
      </c>
      <c r="AG68" s="7">
        <f>金币!AI69</f>
        <v>0</v>
      </c>
    </row>
    <row r="69" spans="1:33">
      <c r="A69" s="32">
        <v>68</v>
      </c>
      <c r="B69" s="87">
        <f>金币!B70</f>
        <v>68</v>
      </c>
      <c r="C69" s="7">
        <f>IF(金币!C70="","",金币!$B70*金币!C70)</f>
        <v>544</v>
      </c>
      <c r="D69" s="7" t="str">
        <f>IF(金币!D70="","",金币!$B70*金币!D70)</f>
        <v/>
      </c>
      <c r="E69" s="7" t="str">
        <f>IF(金币!E70="","",金币!$B70*金币!E70)</f>
        <v/>
      </c>
      <c r="F69" s="7">
        <f>IF(金币!F70="","",金币!$B70*金币!F70)</f>
        <v>680</v>
      </c>
      <c r="G69" s="7" t="str">
        <f>IF(金币!G70="","",金币!$B70*金币!G70)</f>
        <v/>
      </c>
      <c r="H69" s="7" t="str">
        <f>IF(金币!H70="","",金币!$B70*金币!H70)</f>
        <v/>
      </c>
      <c r="I69" s="7" t="str">
        <f>IF(金币!I70="","",金币!$B70*金币!I70)</f>
        <v/>
      </c>
      <c r="J69" s="7" t="str">
        <f>IF(金币!J70="","",金币!$B70*金币!J70)</f>
        <v/>
      </c>
      <c r="K69" s="7">
        <f>IF(金币!K70="","",金币!$B70*金币!K70)</f>
        <v>680</v>
      </c>
      <c r="L69" s="7">
        <f>IF(金币!L70="","",金币!$B70*金币!L70)</f>
        <v>340</v>
      </c>
      <c r="M69" s="7" t="str">
        <f>IF(金币!M70="","",金币!$B70*金币!M70)</f>
        <v/>
      </c>
      <c r="N69" s="7" t="str">
        <f>IF(金币!N70="","",金币!$B70*金币!N70)</f>
        <v/>
      </c>
      <c r="O69" s="7" t="str">
        <f>IF(金币!O70="","",金币!$B70*金币!O70)</f>
        <v/>
      </c>
      <c r="P69" s="7" t="str">
        <f>IF(金币!P70="","",金币!$B70*金币!P70)</f>
        <v/>
      </c>
      <c r="Q69" s="7">
        <f>IF(金币!Q70="","",金币!$B70*金币!Q70)</f>
        <v>680</v>
      </c>
      <c r="R69" s="7" t="str">
        <f>IF(金币!R70="","",金币!$B70*金币!R70)</f>
        <v/>
      </c>
      <c r="S69" s="7">
        <f>IF(金币!S70="","",金币!$B70*金币!S70)</f>
        <v>204</v>
      </c>
      <c r="T69" s="7" t="str">
        <f>IF(金币!T70="","",金币!$B70*金币!T70)</f>
        <v/>
      </c>
      <c r="U69" s="7" t="str">
        <f>IF(金币!U70="","",金币!$B70*金币!U70)</f>
        <v/>
      </c>
      <c r="V69" s="7">
        <f>IF(金币!V70="","",金币!$B70*金币!V70)</f>
        <v>272</v>
      </c>
      <c r="W69" s="7" t="str">
        <f>IF(金币!W70="","",金币!$B70*金币!W70)</f>
        <v/>
      </c>
      <c r="X69" s="7" t="str">
        <f>IF(金币!X70="","",金币!$B70*金币!X70)</f>
        <v/>
      </c>
      <c r="Y69" s="7" t="str">
        <f>IF(金币!Y70="","",金币!$B70*金币!Y70)</f>
        <v/>
      </c>
      <c r="Z69" s="7">
        <f>IF(金币!Z70="","",金币!$B70*金币!Z70)</f>
        <v>680</v>
      </c>
      <c r="AA69" s="7" t="str">
        <f>IF(金币!AA70="","",金币!$B70*金币!AA70)</f>
        <v/>
      </c>
      <c r="AB69" s="7" t="str">
        <f>IF(金币!AB70="","",金币!$B70*金币!AB70)</f>
        <v/>
      </c>
      <c r="AC69" s="7" t="str">
        <f>IF(金币!AC70="","",金币!$B70*金币!AC70)</f>
        <v/>
      </c>
      <c r="AD69" s="7" t="str">
        <f>IF(金币!AD70="","",金币!$B70*金币!AD70)</f>
        <v/>
      </c>
      <c r="AE69" s="7" t="str">
        <f>IF(金币!AE70="","",金币!$B70*金币!AE70)</f>
        <v/>
      </c>
      <c r="AF69" s="7">
        <f>IF(金币!AF70="","",金币!$B70*金币!AF70)</f>
        <v>1360</v>
      </c>
      <c r="AG69" s="7">
        <f>金币!AI70</f>
        <v>0</v>
      </c>
    </row>
    <row r="70" spans="1:33">
      <c r="A70" s="32">
        <v>69</v>
      </c>
      <c r="B70" s="87">
        <f>金币!B71</f>
        <v>69</v>
      </c>
      <c r="C70" s="7">
        <f>IF(金币!C71="","",金币!$B71*金币!C71)</f>
        <v>552</v>
      </c>
      <c r="D70" s="7" t="str">
        <f>IF(金币!D71="","",金币!$B71*金币!D71)</f>
        <v/>
      </c>
      <c r="E70" s="7" t="str">
        <f>IF(金币!E71="","",金币!$B71*金币!E71)</f>
        <v/>
      </c>
      <c r="F70" s="7">
        <f>IF(金币!F71="","",金币!$B71*金币!F71)</f>
        <v>690</v>
      </c>
      <c r="G70" s="7" t="str">
        <f>IF(金币!G71="","",金币!$B71*金币!G71)</f>
        <v/>
      </c>
      <c r="H70" s="7" t="str">
        <f>IF(金币!H71="","",金币!$B71*金币!H71)</f>
        <v/>
      </c>
      <c r="I70" s="7" t="str">
        <f>IF(金币!I71="","",金币!$B71*金币!I71)</f>
        <v/>
      </c>
      <c r="J70" s="7" t="str">
        <f>IF(金币!J71="","",金币!$B71*金币!J71)</f>
        <v/>
      </c>
      <c r="K70" s="7">
        <f>IF(金币!K71="","",金币!$B71*金币!K71)</f>
        <v>690</v>
      </c>
      <c r="L70" s="7">
        <f>IF(金币!L71="","",金币!$B71*金币!L71)</f>
        <v>345</v>
      </c>
      <c r="M70" s="7" t="str">
        <f>IF(金币!M71="","",金币!$B71*金币!M71)</f>
        <v/>
      </c>
      <c r="N70" s="7" t="str">
        <f>IF(金币!N71="","",金币!$B71*金币!N71)</f>
        <v/>
      </c>
      <c r="O70" s="7" t="str">
        <f>IF(金币!O71="","",金币!$B71*金币!O71)</f>
        <v/>
      </c>
      <c r="P70" s="7" t="str">
        <f>IF(金币!P71="","",金币!$B71*金币!P71)</f>
        <v/>
      </c>
      <c r="Q70" s="7">
        <f>IF(金币!Q71="","",金币!$B71*金币!Q71)</f>
        <v>690</v>
      </c>
      <c r="R70" s="7" t="str">
        <f>IF(金币!R71="","",金币!$B71*金币!R71)</f>
        <v/>
      </c>
      <c r="S70" s="7">
        <f>IF(金币!S71="","",金币!$B71*金币!S71)</f>
        <v>207</v>
      </c>
      <c r="T70" s="7" t="str">
        <f>IF(金币!T71="","",金币!$B71*金币!T71)</f>
        <v/>
      </c>
      <c r="U70" s="7" t="str">
        <f>IF(金币!U71="","",金币!$B71*金币!U71)</f>
        <v/>
      </c>
      <c r="V70" s="7">
        <f>IF(金币!V71="","",金币!$B71*金币!V71)</f>
        <v>276</v>
      </c>
      <c r="W70" s="7" t="str">
        <f>IF(金币!W71="","",金币!$B71*金币!W71)</f>
        <v/>
      </c>
      <c r="X70" s="7" t="str">
        <f>IF(金币!X71="","",金币!$B71*金币!X71)</f>
        <v/>
      </c>
      <c r="Y70" s="7" t="str">
        <f>IF(金币!Y71="","",金币!$B71*金币!Y71)</f>
        <v/>
      </c>
      <c r="Z70" s="7">
        <f>IF(金币!Z71="","",金币!$B71*金币!Z71)</f>
        <v>690</v>
      </c>
      <c r="AA70" s="7" t="str">
        <f>IF(金币!AA71="","",金币!$B71*金币!AA71)</f>
        <v/>
      </c>
      <c r="AB70" s="7" t="str">
        <f>IF(金币!AB71="","",金币!$B71*金币!AB71)</f>
        <v/>
      </c>
      <c r="AC70" s="7" t="str">
        <f>IF(金币!AC71="","",金币!$B71*金币!AC71)</f>
        <v/>
      </c>
      <c r="AD70" s="7" t="str">
        <f>IF(金币!AD71="","",金币!$B71*金币!AD71)</f>
        <v/>
      </c>
      <c r="AE70" s="7" t="str">
        <f>IF(金币!AE71="","",金币!$B71*金币!AE71)</f>
        <v/>
      </c>
      <c r="AF70" s="7">
        <f>IF(金币!AF71="","",金币!$B71*金币!AF71)</f>
        <v>1380</v>
      </c>
      <c r="AG70" s="7">
        <f>金币!AI71</f>
        <v>0</v>
      </c>
    </row>
    <row r="71" spans="1:33">
      <c r="A71" s="32">
        <v>70</v>
      </c>
      <c r="B71" s="87">
        <f>金币!B72</f>
        <v>70</v>
      </c>
      <c r="C71" s="7">
        <f>IF(金币!C72="","",金币!$B72*金币!C72)</f>
        <v>560</v>
      </c>
      <c r="D71" s="7" t="str">
        <f>IF(金币!D72="","",金币!$B72*金币!D72)</f>
        <v/>
      </c>
      <c r="E71" s="7" t="str">
        <f>IF(金币!E72="","",金币!$B72*金币!E72)</f>
        <v/>
      </c>
      <c r="F71" s="7">
        <f>IF(金币!F72="","",金币!$B72*金币!F72)</f>
        <v>700</v>
      </c>
      <c r="G71" s="7" t="str">
        <f>IF(金币!G72="","",金币!$B72*金币!G72)</f>
        <v/>
      </c>
      <c r="H71" s="7" t="str">
        <f>IF(金币!H72="","",金币!$B72*金币!H72)</f>
        <v/>
      </c>
      <c r="I71" s="7" t="str">
        <f>IF(金币!I72="","",金币!$B72*金币!I72)</f>
        <v/>
      </c>
      <c r="J71" s="7" t="str">
        <f>IF(金币!J72="","",金币!$B72*金币!J72)</f>
        <v/>
      </c>
      <c r="K71" s="7">
        <f>IF(金币!K72="","",金币!$B72*金币!K72)</f>
        <v>700</v>
      </c>
      <c r="L71" s="7">
        <f>IF(金币!L72="","",金币!$B72*金币!L72)</f>
        <v>350</v>
      </c>
      <c r="M71" s="7" t="str">
        <f>IF(金币!M72="","",金币!$B72*金币!M72)</f>
        <v/>
      </c>
      <c r="N71" s="7" t="str">
        <f>IF(金币!N72="","",金币!$B72*金币!N72)</f>
        <v/>
      </c>
      <c r="O71" s="7" t="str">
        <f>IF(金币!O72="","",金币!$B72*金币!O72)</f>
        <v/>
      </c>
      <c r="P71" s="7" t="str">
        <f>IF(金币!P72="","",金币!$B72*金币!P72)</f>
        <v/>
      </c>
      <c r="Q71" s="7">
        <f>IF(金币!Q72="","",金币!$B72*金币!Q72)</f>
        <v>700</v>
      </c>
      <c r="R71" s="7" t="str">
        <f>IF(金币!R72="","",金币!$B72*金币!R72)</f>
        <v/>
      </c>
      <c r="S71" s="7">
        <f>IF(金币!S72="","",金币!$B72*金币!S72)</f>
        <v>210</v>
      </c>
      <c r="T71" s="7" t="str">
        <f>IF(金币!T72="","",金币!$B72*金币!T72)</f>
        <v/>
      </c>
      <c r="U71" s="7" t="str">
        <f>IF(金币!U72="","",金币!$B72*金币!U72)</f>
        <v/>
      </c>
      <c r="V71" s="7">
        <f>IF(金币!V72="","",金币!$B72*金币!V72)</f>
        <v>280</v>
      </c>
      <c r="W71" s="7" t="str">
        <f>IF(金币!W72="","",金币!$B72*金币!W72)</f>
        <v/>
      </c>
      <c r="X71" s="7" t="str">
        <f>IF(金币!X72="","",金币!$B72*金币!X72)</f>
        <v/>
      </c>
      <c r="Y71" s="7" t="str">
        <f>IF(金币!Y72="","",金币!$B72*金币!Y72)</f>
        <v/>
      </c>
      <c r="Z71" s="7">
        <f>IF(金币!Z72="","",金币!$B72*金币!Z72)</f>
        <v>700</v>
      </c>
      <c r="AA71" s="7" t="str">
        <f>IF(金币!AA72="","",金币!$B72*金币!AA72)</f>
        <v/>
      </c>
      <c r="AB71" s="7" t="str">
        <f>IF(金币!AB72="","",金币!$B72*金币!AB72)</f>
        <v/>
      </c>
      <c r="AC71" s="7" t="str">
        <f>IF(金币!AC72="","",金币!$B72*金币!AC72)</f>
        <v/>
      </c>
      <c r="AD71" s="7" t="str">
        <f>IF(金币!AD72="","",金币!$B72*金币!AD72)</f>
        <v/>
      </c>
      <c r="AE71" s="7" t="str">
        <f>IF(金币!AE72="","",金币!$B72*金币!AE72)</f>
        <v/>
      </c>
      <c r="AF71" s="7">
        <f>IF(金币!AF72="","",金币!$B72*金币!AF72)</f>
        <v>1400</v>
      </c>
      <c r="AG71" s="7">
        <f>金币!AI72</f>
        <v>0</v>
      </c>
    </row>
    <row r="72" spans="1:33">
      <c r="A72" s="32">
        <v>71</v>
      </c>
      <c r="B72" s="87">
        <f>金币!B73</f>
        <v>71</v>
      </c>
      <c r="C72" s="7">
        <f>IF(金币!C73="","",金币!$B73*金币!C73)</f>
        <v>568</v>
      </c>
      <c r="D72" s="7" t="str">
        <f>IF(金币!D73="","",金币!$B73*金币!D73)</f>
        <v/>
      </c>
      <c r="E72" s="7" t="str">
        <f>IF(金币!E73="","",金币!$B73*金币!E73)</f>
        <v/>
      </c>
      <c r="F72" s="7">
        <f>IF(金币!F73="","",金币!$B73*金币!F73)</f>
        <v>710</v>
      </c>
      <c r="G72" s="7" t="str">
        <f>IF(金币!G73="","",金币!$B73*金币!G73)</f>
        <v/>
      </c>
      <c r="H72" s="7" t="str">
        <f>IF(金币!H73="","",金币!$B73*金币!H73)</f>
        <v/>
      </c>
      <c r="I72" s="7" t="str">
        <f>IF(金币!I73="","",金币!$B73*金币!I73)</f>
        <v/>
      </c>
      <c r="J72" s="7" t="str">
        <f>IF(金币!J73="","",金币!$B73*金币!J73)</f>
        <v/>
      </c>
      <c r="K72" s="7">
        <f>IF(金币!K73="","",金币!$B73*金币!K73)</f>
        <v>710</v>
      </c>
      <c r="L72" s="7">
        <f>IF(金币!L73="","",金币!$B73*金币!L73)</f>
        <v>355</v>
      </c>
      <c r="M72" s="7" t="str">
        <f>IF(金币!M73="","",金币!$B73*金币!M73)</f>
        <v/>
      </c>
      <c r="N72" s="7" t="str">
        <f>IF(金币!N73="","",金币!$B73*金币!N73)</f>
        <v/>
      </c>
      <c r="O72" s="7" t="str">
        <f>IF(金币!O73="","",金币!$B73*金币!O73)</f>
        <v/>
      </c>
      <c r="P72" s="7" t="str">
        <f>IF(金币!P73="","",金币!$B73*金币!P73)</f>
        <v/>
      </c>
      <c r="Q72" s="7">
        <f>IF(金币!Q73="","",金币!$B73*金币!Q73)</f>
        <v>710</v>
      </c>
      <c r="R72" s="7" t="str">
        <f>IF(金币!R73="","",金币!$B73*金币!R73)</f>
        <v/>
      </c>
      <c r="S72" s="7">
        <f>IF(金币!S73="","",金币!$B73*金币!S73)</f>
        <v>213</v>
      </c>
      <c r="T72" s="7" t="str">
        <f>IF(金币!T73="","",金币!$B73*金币!T73)</f>
        <v/>
      </c>
      <c r="U72" s="7" t="str">
        <f>IF(金币!U73="","",金币!$B73*金币!U73)</f>
        <v/>
      </c>
      <c r="V72" s="7">
        <f>IF(金币!V73="","",金币!$B73*金币!V73)</f>
        <v>284</v>
      </c>
      <c r="W72" s="7" t="str">
        <f>IF(金币!W73="","",金币!$B73*金币!W73)</f>
        <v/>
      </c>
      <c r="X72" s="7" t="str">
        <f>IF(金币!X73="","",金币!$B73*金币!X73)</f>
        <v/>
      </c>
      <c r="Y72" s="7" t="str">
        <f>IF(金币!Y73="","",金币!$B73*金币!Y73)</f>
        <v/>
      </c>
      <c r="Z72" s="7">
        <f>IF(金币!Z73="","",金币!$B73*金币!Z73)</f>
        <v>710</v>
      </c>
      <c r="AA72" s="7" t="str">
        <f>IF(金币!AA73="","",金币!$B73*金币!AA73)</f>
        <v/>
      </c>
      <c r="AB72" s="7" t="str">
        <f>IF(金币!AB73="","",金币!$B73*金币!AB73)</f>
        <v/>
      </c>
      <c r="AC72" s="7" t="str">
        <f>IF(金币!AC73="","",金币!$B73*金币!AC73)</f>
        <v/>
      </c>
      <c r="AD72" s="7" t="str">
        <f>IF(金币!AD73="","",金币!$B73*金币!AD73)</f>
        <v/>
      </c>
      <c r="AE72" s="7" t="str">
        <f>IF(金币!AE73="","",金币!$B73*金币!AE73)</f>
        <v/>
      </c>
      <c r="AF72" s="7">
        <f>IF(金币!AF73="","",金币!$B73*金币!AF73)</f>
        <v>1420</v>
      </c>
      <c r="AG72" s="7">
        <f>金币!AI73</f>
        <v>0</v>
      </c>
    </row>
    <row r="73" spans="1:33">
      <c r="A73" s="32">
        <v>72</v>
      </c>
      <c r="B73" s="87">
        <f>金币!B74</f>
        <v>72</v>
      </c>
      <c r="C73" s="7">
        <f>IF(金币!C74="","",金币!$B74*金币!C74)</f>
        <v>576</v>
      </c>
      <c r="D73" s="7" t="str">
        <f>IF(金币!D74="","",金币!$B74*金币!D74)</f>
        <v/>
      </c>
      <c r="E73" s="7" t="str">
        <f>IF(金币!E74="","",金币!$B74*金币!E74)</f>
        <v/>
      </c>
      <c r="F73" s="7">
        <f>IF(金币!F74="","",金币!$B74*金币!F74)</f>
        <v>720</v>
      </c>
      <c r="G73" s="7" t="str">
        <f>IF(金币!G74="","",金币!$B74*金币!G74)</f>
        <v/>
      </c>
      <c r="H73" s="7" t="str">
        <f>IF(金币!H74="","",金币!$B74*金币!H74)</f>
        <v/>
      </c>
      <c r="I73" s="7" t="str">
        <f>IF(金币!I74="","",金币!$B74*金币!I74)</f>
        <v/>
      </c>
      <c r="J73" s="7" t="str">
        <f>IF(金币!J74="","",金币!$B74*金币!J74)</f>
        <v/>
      </c>
      <c r="K73" s="7">
        <f>IF(金币!K74="","",金币!$B74*金币!K74)</f>
        <v>720</v>
      </c>
      <c r="L73" s="7">
        <f>IF(金币!L74="","",金币!$B74*金币!L74)</f>
        <v>360</v>
      </c>
      <c r="M73" s="7" t="str">
        <f>IF(金币!M74="","",金币!$B74*金币!M74)</f>
        <v/>
      </c>
      <c r="N73" s="7" t="str">
        <f>IF(金币!N74="","",金币!$B74*金币!N74)</f>
        <v/>
      </c>
      <c r="O73" s="7" t="str">
        <f>IF(金币!O74="","",金币!$B74*金币!O74)</f>
        <v/>
      </c>
      <c r="P73" s="7" t="str">
        <f>IF(金币!P74="","",金币!$B74*金币!P74)</f>
        <v/>
      </c>
      <c r="Q73" s="7">
        <f>IF(金币!Q74="","",金币!$B74*金币!Q74)</f>
        <v>720</v>
      </c>
      <c r="R73" s="7" t="str">
        <f>IF(金币!R74="","",金币!$B74*金币!R74)</f>
        <v/>
      </c>
      <c r="S73" s="7">
        <f>IF(金币!S74="","",金币!$B74*金币!S74)</f>
        <v>216</v>
      </c>
      <c r="T73" s="7" t="str">
        <f>IF(金币!T74="","",金币!$B74*金币!T74)</f>
        <v/>
      </c>
      <c r="U73" s="7" t="str">
        <f>IF(金币!U74="","",金币!$B74*金币!U74)</f>
        <v/>
      </c>
      <c r="V73" s="7">
        <f>IF(金币!V74="","",金币!$B74*金币!V74)</f>
        <v>288</v>
      </c>
      <c r="W73" s="7" t="str">
        <f>IF(金币!W74="","",金币!$B74*金币!W74)</f>
        <v/>
      </c>
      <c r="X73" s="7" t="str">
        <f>IF(金币!X74="","",金币!$B74*金币!X74)</f>
        <v/>
      </c>
      <c r="Y73" s="7" t="str">
        <f>IF(金币!Y74="","",金币!$B74*金币!Y74)</f>
        <v/>
      </c>
      <c r="Z73" s="7">
        <f>IF(金币!Z74="","",金币!$B74*金币!Z74)</f>
        <v>720</v>
      </c>
      <c r="AA73" s="7" t="str">
        <f>IF(金币!AA74="","",金币!$B74*金币!AA74)</f>
        <v/>
      </c>
      <c r="AB73" s="7" t="str">
        <f>IF(金币!AB74="","",金币!$B74*金币!AB74)</f>
        <v/>
      </c>
      <c r="AC73" s="7" t="str">
        <f>IF(金币!AC74="","",金币!$B74*金币!AC74)</f>
        <v/>
      </c>
      <c r="AD73" s="7" t="str">
        <f>IF(金币!AD74="","",金币!$B74*金币!AD74)</f>
        <v/>
      </c>
      <c r="AE73" s="7" t="str">
        <f>IF(金币!AE74="","",金币!$B74*金币!AE74)</f>
        <v/>
      </c>
      <c r="AF73" s="7">
        <f>IF(金币!AF74="","",金币!$B74*金币!AF74)</f>
        <v>1440</v>
      </c>
      <c r="AG73" s="7">
        <f>金币!AI74</f>
        <v>0</v>
      </c>
    </row>
    <row r="74" spans="1:33">
      <c r="A74" s="32">
        <v>73</v>
      </c>
      <c r="B74" s="87">
        <f>金币!B75</f>
        <v>73</v>
      </c>
      <c r="C74" s="7">
        <f>IF(金币!C75="","",金币!$B75*金币!C75)</f>
        <v>584</v>
      </c>
      <c r="D74" s="7" t="str">
        <f>IF(金币!D75="","",金币!$B75*金币!D75)</f>
        <v/>
      </c>
      <c r="E74" s="7" t="str">
        <f>IF(金币!E75="","",金币!$B75*金币!E75)</f>
        <v/>
      </c>
      <c r="F74" s="7">
        <f>IF(金币!F75="","",金币!$B75*金币!F75)</f>
        <v>730</v>
      </c>
      <c r="G74" s="7" t="str">
        <f>IF(金币!G75="","",金币!$B75*金币!G75)</f>
        <v/>
      </c>
      <c r="H74" s="7" t="str">
        <f>IF(金币!H75="","",金币!$B75*金币!H75)</f>
        <v/>
      </c>
      <c r="I74" s="7" t="str">
        <f>IF(金币!I75="","",金币!$B75*金币!I75)</f>
        <v/>
      </c>
      <c r="J74" s="7" t="str">
        <f>IF(金币!J75="","",金币!$B75*金币!J75)</f>
        <v/>
      </c>
      <c r="K74" s="7">
        <f>IF(金币!K75="","",金币!$B75*金币!K75)</f>
        <v>730</v>
      </c>
      <c r="L74" s="7">
        <f>IF(金币!L75="","",金币!$B75*金币!L75)</f>
        <v>365</v>
      </c>
      <c r="M74" s="7" t="str">
        <f>IF(金币!M75="","",金币!$B75*金币!M75)</f>
        <v/>
      </c>
      <c r="N74" s="7" t="str">
        <f>IF(金币!N75="","",金币!$B75*金币!N75)</f>
        <v/>
      </c>
      <c r="O74" s="7" t="str">
        <f>IF(金币!O75="","",金币!$B75*金币!O75)</f>
        <v/>
      </c>
      <c r="P74" s="7" t="str">
        <f>IF(金币!P75="","",金币!$B75*金币!P75)</f>
        <v/>
      </c>
      <c r="Q74" s="7">
        <f>IF(金币!Q75="","",金币!$B75*金币!Q75)</f>
        <v>730</v>
      </c>
      <c r="R74" s="7" t="str">
        <f>IF(金币!R75="","",金币!$B75*金币!R75)</f>
        <v/>
      </c>
      <c r="S74" s="7">
        <f>IF(金币!S75="","",金币!$B75*金币!S75)</f>
        <v>219</v>
      </c>
      <c r="T74" s="7" t="str">
        <f>IF(金币!T75="","",金币!$B75*金币!T75)</f>
        <v/>
      </c>
      <c r="U74" s="7" t="str">
        <f>IF(金币!U75="","",金币!$B75*金币!U75)</f>
        <v/>
      </c>
      <c r="V74" s="7">
        <f>IF(金币!V75="","",金币!$B75*金币!V75)</f>
        <v>292</v>
      </c>
      <c r="W74" s="7" t="str">
        <f>IF(金币!W75="","",金币!$B75*金币!W75)</f>
        <v/>
      </c>
      <c r="X74" s="7" t="str">
        <f>IF(金币!X75="","",金币!$B75*金币!X75)</f>
        <v/>
      </c>
      <c r="Y74" s="7" t="str">
        <f>IF(金币!Y75="","",金币!$B75*金币!Y75)</f>
        <v/>
      </c>
      <c r="Z74" s="7">
        <f>IF(金币!Z75="","",金币!$B75*金币!Z75)</f>
        <v>730</v>
      </c>
      <c r="AA74" s="7" t="str">
        <f>IF(金币!AA75="","",金币!$B75*金币!AA75)</f>
        <v/>
      </c>
      <c r="AB74" s="7" t="str">
        <f>IF(金币!AB75="","",金币!$B75*金币!AB75)</f>
        <v/>
      </c>
      <c r="AC74" s="7" t="str">
        <f>IF(金币!AC75="","",金币!$B75*金币!AC75)</f>
        <v/>
      </c>
      <c r="AD74" s="7" t="str">
        <f>IF(金币!AD75="","",金币!$B75*金币!AD75)</f>
        <v/>
      </c>
      <c r="AE74" s="7" t="str">
        <f>IF(金币!AE75="","",金币!$B75*金币!AE75)</f>
        <v/>
      </c>
      <c r="AF74" s="7">
        <f>IF(金币!AF75="","",金币!$B75*金币!AF75)</f>
        <v>1460</v>
      </c>
      <c r="AG74" s="7">
        <f>金币!AI75</f>
        <v>0</v>
      </c>
    </row>
    <row r="75" spans="1:33">
      <c r="A75" s="32">
        <v>74</v>
      </c>
      <c r="B75" s="87">
        <f>金币!B76</f>
        <v>74</v>
      </c>
      <c r="C75" s="7">
        <f>IF(金币!C76="","",金币!$B76*金币!C76)</f>
        <v>592</v>
      </c>
      <c r="D75" s="7" t="str">
        <f>IF(金币!D76="","",金币!$B76*金币!D76)</f>
        <v/>
      </c>
      <c r="E75" s="7" t="str">
        <f>IF(金币!E76="","",金币!$B76*金币!E76)</f>
        <v/>
      </c>
      <c r="F75" s="7">
        <f>IF(金币!F76="","",金币!$B76*金币!F76)</f>
        <v>740</v>
      </c>
      <c r="G75" s="7" t="str">
        <f>IF(金币!G76="","",金币!$B76*金币!G76)</f>
        <v/>
      </c>
      <c r="H75" s="7" t="str">
        <f>IF(金币!H76="","",金币!$B76*金币!H76)</f>
        <v/>
      </c>
      <c r="I75" s="7" t="str">
        <f>IF(金币!I76="","",金币!$B76*金币!I76)</f>
        <v/>
      </c>
      <c r="J75" s="7" t="str">
        <f>IF(金币!J76="","",金币!$B76*金币!J76)</f>
        <v/>
      </c>
      <c r="K75" s="7">
        <f>IF(金币!K76="","",金币!$B76*金币!K76)</f>
        <v>740</v>
      </c>
      <c r="L75" s="7">
        <f>IF(金币!L76="","",金币!$B76*金币!L76)</f>
        <v>370</v>
      </c>
      <c r="M75" s="7" t="str">
        <f>IF(金币!M76="","",金币!$B76*金币!M76)</f>
        <v/>
      </c>
      <c r="N75" s="7" t="str">
        <f>IF(金币!N76="","",金币!$B76*金币!N76)</f>
        <v/>
      </c>
      <c r="O75" s="7" t="str">
        <f>IF(金币!O76="","",金币!$B76*金币!O76)</f>
        <v/>
      </c>
      <c r="P75" s="7" t="str">
        <f>IF(金币!P76="","",金币!$B76*金币!P76)</f>
        <v/>
      </c>
      <c r="Q75" s="7">
        <f>IF(金币!Q76="","",金币!$B76*金币!Q76)</f>
        <v>740</v>
      </c>
      <c r="R75" s="7" t="str">
        <f>IF(金币!R76="","",金币!$B76*金币!R76)</f>
        <v/>
      </c>
      <c r="S75" s="7">
        <f>IF(金币!S76="","",金币!$B76*金币!S76)</f>
        <v>222</v>
      </c>
      <c r="T75" s="7" t="str">
        <f>IF(金币!T76="","",金币!$B76*金币!T76)</f>
        <v/>
      </c>
      <c r="U75" s="7" t="str">
        <f>IF(金币!U76="","",金币!$B76*金币!U76)</f>
        <v/>
      </c>
      <c r="V75" s="7">
        <f>IF(金币!V76="","",金币!$B76*金币!V76)</f>
        <v>296</v>
      </c>
      <c r="W75" s="7" t="str">
        <f>IF(金币!W76="","",金币!$B76*金币!W76)</f>
        <v/>
      </c>
      <c r="X75" s="7" t="str">
        <f>IF(金币!X76="","",金币!$B76*金币!X76)</f>
        <v/>
      </c>
      <c r="Y75" s="7" t="str">
        <f>IF(金币!Y76="","",金币!$B76*金币!Y76)</f>
        <v/>
      </c>
      <c r="Z75" s="7">
        <f>IF(金币!Z76="","",金币!$B76*金币!Z76)</f>
        <v>740</v>
      </c>
      <c r="AA75" s="7" t="str">
        <f>IF(金币!AA76="","",金币!$B76*金币!AA76)</f>
        <v/>
      </c>
      <c r="AB75" s="7" t="str">
        <f>IF(金币!AB76="","",金币!$B76*金币!AB76)</f>
        <v/>
      </c>
      <c r="AC75" s="7" t="str">
        <f>IF(金币!AC76="","",金币!$B76*金币!AC76)</f>
        <v/>
      </c>
      <c r="AD75" s="7" t="str">
        <f>IF(金币!AD76="","",金币!$B76*金币!AD76)</f>
        <v/>
      </c>
      <c r="AE75" s="7" t="str">
        <f>IF(金币!AE76="","",金币!$B76*金币!AE76)</f>
        <v/>
      </c>
      <c r="AF75" s="7">
        <f>IF(金币!AF76="","",金币!$B76*金币!AF76)</f>
        <v>1480</v>
      </c>
      <c r="AG75" s="7">
        <f>金币!AI76</f>
        <v>0</v>
      </c>
    </row>
    <row r="76" spans="1:33">
      <c r="A76" s="32">
        <v>75</v>
      </c>
      <c r="B76" s="87">
        <f>金币!B77</f>
        <v>75</v>
      </c>
      <c r="C76" s="7">
        <f>IF(金币!C77="","",金币!$B77*金币!C77)</f>
        <v>600</v>
      </c>
      <c r="D76" s="7" t="str">
        <f>IF(金币!D77="","",金币!$B77*金币!D77)</f>
        <v/>
      </c>
      <c r="E76" s="7" t="str">
        <f>IF(金币!E77="","",金币!$B77*金币!E77)</f>
        <v/>
      </c>
      <c r="F76" s="7">
        <f>IF(金币!F77="","",金币!$B77*金币!F77)</f>
        <v>750</v>
      </c>
      <c r="G76" s="7" t="str">
        <f>IF(金币!G77="","",金币!$B77*金币!G77)</f>
        <v/>
      </c>
      <c r="H76" s="7" t="str">
        <f>IF(金币!H77="","",金币!$B77*金币!H77)</f>
        <v/>
      </c>
      <c r="I76" s="7" t="str">
        <f>IF(金币!I77="","",金币!$B77*金币!I77)</f>
        <v/>
      </c>
      <c r="J76" s="7" t="str">
        <f>IF(金币!J77="","",金币!$B77*金币!J77)</f>
        <v/>
      </c>
      <c r="K76" s="7">
        <f>IF(金币!K77="","",金币!$B77*金币!K77)</f>
        <v>750</v>
      </c>
      <c r="L76" s="7">
        <f>IF(金币!L77="","",金币!$B77*金币!L77)</f>
        <v>375</v>
      </c>
      <c r="M76" s="7" t="str">
        <f>IF(金币!M77="","",金币!$B77*金币!M77)</f>
        <v/>
      </c>
      <c r="N76" s="7" t="str">
        <f>IF(金币!N77="","",金币!$B77*金币!N77)</f>
        <v/>
      </c>
      <c r="O76" s="7" t="str">
        <f>IF(金币!O77="","",金币!$B77*金币!O77)</f>
        <v/>
      </c>
      <c r="P76" s="7" t="str">
        <f>IF(金币!P77="","",金币!$B77*金币!P77)</f>
        <v/>
      </c>
      <c r="Q76" s="7">
        <f>IF(金币!Q77="","",金币!$B77*金币!Q77)</f>
        <v>750</v>
      </c>
      <c r="R76" s="7" t="str">
        <f>IF(金币!R77="","",金币!$B77*金币!R77)</f>
        <v/>
      </c>
      <c r="S76" s="7">
        <f>IF(金币!S77="","",金币!$B77*金币!S77)</f>
        <v>225</v>
      </c>
      <c r="T76" s="7" t="str">
        <f>IF(金币!T77="","",金币!$B77*金币!T77)</f>
        <v/>
      </c>
      <c r="U76" s="7" t="str">
        <f>IF(金币!U77="","",金币!$B77*金币!U77)</f>
        <v/>
      </c>
      <c r="V76" s="7">
        <f>IF(金币!V77="","",金币!$B77*金币!V77)</f>
        <v>300</v>
      </c>
      <c r="W76" s="7" t="str">
        <f>IF(金币!W77="","",金币!$B77*金币!W77)</f>
        <v/>
      </c>
      <c r="X76" s="7" t="str">
        <f>IF(金币!X77="","",金币!$B77*金币!X77)</f>
        <v/>
      </c>
      <c r="Y76" s="7" t="str">
        <f>IF(金币!Y77="","",金币!$B77*金币!Y77)</f>
        <v/>
      </c>
      <c r="Z76" s="7">
        <f>IF(金币!Z77="","",金币!$B77*金币!Z77)</f>
        <v>750</v>
      </c>
      <c r="AA76" s="7" t="str">
        <f>IF(金币!AA77="","",金币!$B77*金币!AA77)</f>
        <v/>
      </c>
      <c r="AB76" s="7" t="str">
        <f>IF(金币!AB77="","",金币!$B77*金币!AB77)</f>
        <v/>
      </c>
      <c r="AC76" s="7" t="str">
        <f>IF(金币!AC77="","",金币!$B77*金币!AC77)</f>
        <v/>
      </c>
      <c r="AD76" s="7" t="str">
        <f>IF(金币!AD77="","",金币!$B77*金币!AD77)</f>
        <v/>
      </c>
      <c r="AE76" s="7" t="str">
        <f>IF(金币!AE77="","",金币!$B77*金币!AE77)</f>
        <v/>
      </c>
      <c r="AF76" s="7">
        <f>IF(金币!AF77="","",金币!$B77*金币!AF77)</f>
        <v>1500</v>
      </c>
      <c r="AG76" s="7">
        <f>金币!AI77</f>
        <v>0</v>
      </c>
    </row>
    <row r="77" spans="1:33">
      <c r="A77" s="32">
        <v>76</v>
      </c>
      <c r="B77" s="87">
        <f>金币!B78</f>
        <v>76</v>
      </c>
      <c r="C77" s="7">
        <f>IF(金币!C78="","",金币!$B78*金币!C78)</f>
        <v>608</v>
      </c>
      <c r="D77" s="7" t="str">
        <f>IF(金币!D78="","",金币!$B78*金币!D78)</f>
        <v/>
      </c>
      <c r="E77" s="7" t="str">
        <f>IF(金币!E78="","",金币!$B78*金币!E78)</f>
        <v/>
      </c>
      <c r="F77" s="7">
        <f>IF(金币!F78="","",金币!$B78*金币!F78)</f>
        <v>760</v>
      </c>
      <c r="G77" s="7" t="str">
        <f>IF(金币!G78="","",金币!$B78*金币!G78)</f>
        <v/>
      </c>
      <c r="H77" s="7" t="str">
        <f>IF(金币!H78="","",金币!$B78*金币!H78)</f>
        <v/>
      </c>
      <c r="I77" s="7" t="str">
        <f>IF(金币!I78="","",金币!$B78*金币!I78)</f>
        <v/>
      </c>
      <c r="J77" s="7" t="str">
        <f>IF(金币!J78="","",金币!$B78*金币!J78)</f>
        <v/>
      </c>
      <c r="K77" s="7">
        <f>IF(金币!K78="","",金币!$B78*金币!K78)</f>
        <v>760</v>
      </c>
      <c r="L77" s="7">
        <f>IF(金币!L78="","",金币!$B78*金币!L78)</f>
        <v>380</v>
      </c>
      <c r="M77" s="7" t="str">
        <f>IF(金币!M78="","",金币!$B78*金币!M78)</f>
        <v/>
      </c>
      <c r="N77" s="7" t="str">
        <f>IF(金币!N78="","",金币!$B78*金币!N78)</f>
        <v/>
      </c>
      <c r="O77" s="7" t="str">
        <f>IF(金币!O78="","",金币!$B78*金币!O78)</f>
        <v/>
      </c>
      <c r="P77" s="7" t="str">
        <f>IF(金币!P78="","",金币!$B78*金币!P78)</f>
        <v/>
      </c>
      <c r="Q77" s="7">
        <f>IF(金币!Q78="","",金币!$B78*金币!Q78)</f>
        <v>760</v>
      </c>
      <c r="R77" s="7" t="str">
        <f>IF(金币!R78="","",金币!$B78*金币!R78)</f>
        <v/>
      </c>
      <c r="S77" s="7">
        <f>IF(金币!S78="","",金币!$B78*金币!S78)</f>
        <v>228</v>
      </c>
      <c r="T77" s="7" t="str">
        <f>IF(金币!T78="","",金币!$B78*金币!T78)</f>
        <v/>
      </c>
      <c r="U77" s="7" t="str">
        <f>IF(金币!U78="","",金币!$B78*金币!U78)</f>
        <v/>
      </c>
      <c r="V77" s="7">
        <f>IF(金币!V78="","",金币!$B78*金币!V78)</f>
        <v>304</v>
      </c>
      <c r="W77" s="7" t="str">
        <f>IF(金币!W78="","",金币!$B78*金币!W78)</f>
        <v/>
      </c>
      <c r="X77" s="7" t="str">
        <f>IF(金币!X78="","",金币!$B78*金币!X78)</f>
        <v/>
      </c>
      <c r="Y77" s="7" t="str">
        <f>IF(金币!Y78="","",金币!$B78*金币!Y78)</f>
        <v/>
      </c>
      <c r="Z77" s="7">
        <f>IF(金币!Z78="","",金币!$B78*金币!Z78)</f>
        <v>760</v>
      </c>
      <c r="AA77" s="7" t="str">
        <f>IF(金币!AA78="","",金币!$B78*金币!AA78)</f>
        <v/>
      </c>
      <c r="AB77" s="7" t="str">
        <f>IF(金币!AB78="","",金币!$B78*金币!AB78)</f>
        <v/>
      </c>
      <c r="AC77" s="7" t="str">
        <f>IF(金币!AC78="","",金币!$B78*金币!AC78)</f>
        <v/>
      </c>
      <c r="AD77" s="7" t="str">
        <f>IF(金币!AD78="","",金币!$B78*金币!AD78)</f>
        <v/>
      </c>
      <c r="AE77" s="7" t="str">
        <f>IF(金币!AE78="","",金币!$B78*金币!AE78)</f>
        <v/>
      </c>
      <c r="AF77" s="7">
        <f>IF(金币!AF78="","",金币!$B78*金币!AF78)</f>
        <v>1520</v>
      </c>
      <c r="AG77" s="7">
        <f>金币!AI78</f>
        <v>0</v>
      </c>
    </row>
    <row r="78" spans="1:33">
      <c r="A78" s="32">
        <v>77</v>
      </c>
      <c r="B78" s="87">
        <f>金币!B79</f>
        <v>77</v>
      </c>
      <c r="C78" s="7">
        <f>IF(金币!C79="","",金币!$B79*金币!C79)</f>
        <v>616</v>
      </c>
      <c r="D78" s="7" t="str">
        <f>IF(金币!D79="","",金币!$B79*金币!D79)</f>
        <v/>
      </c>
      <c r="E78" s="7" t="str">
        <f>IF(金币!E79="","",金币!$B79*金币!E79)</f>
        <v/>
      </c>
      <c r="F78" s="7">
        <f>IF(金币!F79="","",金币!$B79*金币!F79)</f>
        <v>770</v>
      </c>
      <c r="G78" s="7" t="str">
        <f>IF(金币!G79="","",金币!$B79*金币!G79)</f>
        <v/>
      </c>
      <c r="H78" s="7" t="str">
        <f>IF(金币!H79="","",金币!$B79*金币!H79)</f>
        <v/>
      </c>
      <c r="I78" s="7" t="str">
        <f>IF(金币!I79="","",金币!$B79*金币!I79)</f>
        <v/>
      </c>
      <c r="J78" s="7" t="str">
        <f>IF(金币!J79="","",金币!$B79*金币!J79)</f>
        <v/>
      </c>
      <c r="K78" s="7">
        <f>IF(金币!K79="","",金币!$B79*金币!K79)</f>
        <v>770</v>
      </c>
      <c r="L78" s="7">
        <f>IF(金币!L79="","",金币!$B79*金币!L79)</f>
        <v>385</v>
      </c>
      <c r="M78" s="7" t="str">
        <f>IF(金币!M79="","",金币!$B79*金币!M79)</f>
        <v/>
      </c>
      <c r="N78" s="7" t="str">
        <f>IF(金币!N79="","",金币!$B79*金币!N79)</f>
        <v/>
      </c>
      <c r="O78" s="7" t="str">
        <f>IF(金币!O79="","",金币!$B79*金币!O79)</f>
        <v/>
      </c>
      <c r="P78" s="7" t="str">
        <f>IF(金币!P79="","",金币!$B79*金币!P79)</f>
        <v/>
      </c>
      <c r="Q78" s="7">
        <f>IF(金币!Q79="","",金币!$B79*金币!Q79)</f>
        <v>770</v>
      </c>
      <c r="R78" s="7" t="str">
        <f>IF(金币!R79="","",金币!$B79*金币!R79)</f>
        <v/>
      </c>
      <c r="S78" s="7">
        <f>IF(金币!S79="","",金币!$B79*金币!S79)</f>
        <v>231</v>
      </c>
      <c r="T78" s="7" t="str">
        <f>IF(金币!T79="","",金币!$B79*金币!T79)</f>
        <v/>
      </c>
      <c r="U78" s="7" t="str">
        <f>IF(金币!U79="","",金币!$B79*金币!U79)</f>
        <v/>
      </c>
      <c r="V78" s="7">
        <f>IF(金币!V79="","",金币!$B79*金币!V79)</f>
        <v>308</v>
      </c>
      <c r="W78" s="7" t="str">
        <f>IF(金币!W79="","",金币!$B79*金币!W79)</f>
        <v/>
      </c>
      <c r="X78" s="7" t="str">
        <f>IF(金币!X79="","",金币!$B79*金币!X79)</f>
        <v/>
      </c>
      <c r="Y78" s="7" t="str">
        <f>IF(金币!Y79="","",金币!$B79*金币!Y79)</f>
        <v/>
      </c>
      <c r="Z78" s="7">
        <f>IF(金币!Z79="","",金币!$B79*金币!Z79)</f>
        <v>770</v>
      </c>
      <c r="AA78" s="7" t="str">
        <f>IF(金币!AA79="","",金币!$B79*金币!AA79)</f>
        <v/>
      </c>
      <c r="AB78" s="7" t="str">
        <f>IF(金币!AB79="","",金币!$B79*金币!AB79)</f>
        <v/>
      </c>
      <c r="AC78" s="7" t="str">
        <f>IF(金币!AC79="","",金币!$B79*金币!AC79)</f>
        <v/>
      </c>
      <c r="AD78" s="7" t="str">
        <f>IF(金币!AD79="","",金币!$B79*金币!AD79)</f>
        <v/>
      </c>
      <c r="AE78" s="7" t="str">
        <f>IF(金币!AE79="","",金币!$B79*金币!AE79)</f>
        <v/>
      </c>
      <c r="AF78" s="7">
        <f>IF(金币!AF79="","",金币!$B79*金币!AF79)</f>
        <v>1540</v>
      </c>
      <c r="AG78" s="7">
        <f>金币!AI79</f>
        <v>0</v>
      </c>
    </row>
    <row r="79" spans="1:33">
      <c r="A79" s="32">
        <v>78</v>
      </c>
      <c r="B79" s="87">
        <f>金币!B80</f>
        <v>78</v>
      </c>
      <c r="C79" s="7">
        <f>IF(金币!C80="","",金币!$B80*金币!C80)</f>
        <v>624</v>
      </c>
      <c r="D79" s="7" t="str">
        <f>IF(金币!D80="","",金币!$B80*金币!D80)</f>
        <v/>
      </c>
      <c r="E79" s="7" t="str">
        <f>IF(金币!E80="","",金币!$B80*金币!E80)</f>
        <v/>
      </c>
      <c r="F79" s="7">
        <f>IF(金币!F80="","",金币!$B80*金币!F80)</f>
        <v>780</v>
      </c>
      <c r="G79" s="7" t="str">
        <f>IF(金币!G80="","",金币!$B80*金币!G80)</f>
        <v/>
      </c>
      <c r="H79" s="7" t="str">
        <f>IF(金币!H80="","",金币!$B80*金币!H80)</f>
        <v/>
      </c>
      <c r="I79" s="7" t="str">
        <f>IF(金币!I80="","",金币!$B80*金币!I80)</f>
        <v/>
      </c>
      <c r="J79" s="7" t="str">
        <f>IF(金币!J80="","",金币!$B80*金币!J80)</f>
        <v/>
      </c>
      <c r="K79" s="7">
        <f>IF(金币!K80="","",金币!$B80*金币!K80)</f>
        <v>780</v>
      </c>
      <c r="L79" s="7">
        <f>IF(金币!L80="","",金币!$B80*金币!L80)</f>
        <v>390</v>
      </c>
      <c r="M79" s="7" t="str">
        <f>IF(金币!M80="","",金币!$B80*金币!M80)</f>
        <v/>
      </c>
      <c r="N79" s="7" t="str">
        <f>IF(金币!N80="","",金币!$B80*金币!N80)</f>
        <v/>
      </c>
      <c r="O79" s="7" t="str">
        <f>IF(金币!O80="","",金币!$B80*金币!O80)</f>
        <v/>
      </c>
      <c r="P79" s="7" t="str">
        <f>IF(金币!P80="","",金币!$B80*金币!P80)</f>
        <v/>
      </c>
      <c r="Q79" s="7">
        <f>IF(金币!Q80="","",金币!$B80*金币!Q80)</f>
        <v>780</v>
      </c>
      <c r="R79" s="7" t="str">
        <f>IF(金币!R80="","",金币!$B80*金币!R80)</f>
        <v/>
      </c>
      <c r="S79" s="7">
        <f>IF(金币!S80="","",金币!$B80*金币!S80)</f>
        <v>234</v>
      </c>
      <c r="T79" s="7" t="str">
        <f>IF(金币!T80="","",金币!$B80*金币!T80)</f>
        <v/>
      </c>
      <c r="U79" s="7" t="str">
        <f>IF(金币!U80="","",金币!$B80*金币!U80)</f>
        <v/>
      </c>
      <c r="V79" s="7">
        <f>IF(金币!V80="","",金币!$B80*金币!V80)</f>
        <v>312</v>
      </c>
      <c r="W79" s="7" t="str">
        <f>IF(金币!W80="","",金币!$B80*金币!W80)</f>
        <v/>
      </c>
      <c r="X79" s="7" t="str">
        <f>IF(金币!X80="","",金币!$B80*金币!X80)</f>
        <v/>
      </c>
      <c r="Y79" s="7" t="str">
        <f>IF(金币!Y80="","",金币!$B80*金币!Y80)</f>
        <v/>
      </c>
      <c r="Z79" s="7">
        <f>IF(金币!Z80="","",金币!$B80*金币!Z80)</f>
        <v>780</v>
      </c>
      <c r="AA79" s="7" t="str">
        <f>IF(金币!AA80="","",金币!$B80*金币!AA80)</f>
        <v/>
      </c>
      <c r="AB79" s="7" t="str">
        <f>IF(金币!AB80="","",金币!$B80*金币!AB80)</f>
        <v/>
      </c>
      <c r="AC79" s="7" t="str">
        <f>IF(金币!AC80="","",金币!$B80*金币!AC80)</f>
        <v/>
      </c>
      <c r="AD79" s="7" t="str">
        <f>IF(金币!AD80="","",金币!$B80*金币!AD80)</f>
        <v/>
      </c>
      <c r="AE79" s="7" t="str">
        <f>IF(金币!AE80="","",金币!$B80*金币!AE80)</f>
        <v/>
      </c>
      <c r="AF79" s="7">
        <f>IF(金币!AF80="","",金币!$B80*金币!AF80)</f>
        <v>1560</v>
      </c>
      <c r="AG79" s="7">
        <f>金币!AI80</f>
        <v>0</v>
      </c>
    </row>
    <row r="80" spans="1:33">
      <c r="A80" s="32">
        <v>79</v>
      </c>
      <c r="B80" s="87">
        <f>金币!B81</f>
        <v>79</v>
      </c>
      <c r="C80" s="7">
        <f>IF(金币!C81="","",金币!$B81*金币!C81)</f>
        <v>632</v>
      </c>
      <c r="D80" s="7" t="str">
        <f>IF(金币!D81="","",金币!$B81*金币!D81)</f>
        <v/>
      </c>
      <c r="E80" s="7" t="str">
        <f>IF(金币!E81="","",金币!$B81*金币!E81)</f>
        <v/>
      </c>
      <c r="F80" s="7">
        <f>IF(金币!F81="","",金币!$B81*金币!F81)</f>
        <v>790</v>
      </c>
      <c r="G80" s="7" t="str">
        <f>IF(金币!G81="","",金币!$B81*金币!G81)</f>
        <v/>
      </c>
      <c r="H80" s="7" t="str">
        <f>IF(金币!H81="","",金币!$B81*金币!H81)</f>
        <v/>
      </c>
      <c r="I80" s="7" t="str">
        <f>IF(金币!I81="","",金币!$B81*金币!I81)</f>
        <v/>
      </c>
      <c r="J80" s="7" t="str">
        <f>IF(金币!J81="","",金币!$B81*金币!J81)</f>
        <v/>
      </c>
      <c r="K80" s="7">
        <f>IF(金币!K81="","",金币!$B81*金币!K81)</f>
        <v>790</v>
      </c>
      <c r="L80" s="7">
        <f>IF(金币!L81="","",金币!$B81*金币!L81)</f>
        <v>395</v>
      </c>
      <c r="M80" s="7" t="str">
        <f>IF(金币!M81="","",金币!$B81*金币!M81)</f>
        <v/>
      </c>
      <c r="N80" s="7" t="str">
        <f>IF(金币!N81="","",金币!$B81*金币!N81)</f>
        <v/>
      </c>
      <c r="O80" s="7" t="str">
        <f>IF(金币!O81="","",金币!$B81*金币!O81)</f>
        <v/>
      </c>
      <c r="P80" s="7" t="str">
        <f>IF(金币!P81="","",金币!$B81*金币!P81)</f>
        <v/>
      </c>
      <c r="Q80" s="7">
        <f>IF(金币!Q81="","",金币!$B81*金币!Q81)</f>
        <v>790</v>
      </c>
      <c r="R80" s="7" t="str">
        <f>IF(金币!R81="","",金币!$B81*金币!R81)</f>
        <v/>
      </c>
      <c r="S80" s="7">
        <f>IF(金币!S81="","",金币!$B81*金币!S81)</f>
        <v>237</v>
      </c>
      <c r="T80" s="7" t="str">
        <f>IF(金币!T81="","",金币!$B81*金币!T81)</f>
        <v/>
      </c>
      <c r="U80" s="7" t="str">
        <f>IF(金币!U81="","",金币!$B81*金币!U81)</f>
        <v/>
      </c>
      <c r="V80" s="7">
        <f>IF(金币!V81="","",金币!$B81*金币!V81)</f>
        <v>316</v>
      </c>
      <c r="W80" s="7" t="str">
        <f>IF(金币!W81="","",金币!$B81*金币!W81)</f>
        <v/>
      </c>
      <c r="X80" s="7" t="str">
        <f>IF(金币!X81="","",金币!$B81*金币!X81)</f>
        <v/>
      </c>
      <c r="Y80" s="7" t="str">
        <f>IF(金币!Y81="","",金币!$B81*金币!Y81)</f>
        <v/>
      </c>
      <c r="Z80" s="7">
        <f>IF(金币!Z81="","",金币!$B81*金币!Z81)</f>
        <v>790</v>
      </c>
      <c r="AA80" s="7" t="str">
        <f>IF(金币!AA81="","",金币!$B81*金币!AA81)</f>
        <v/>
      </c>
      <c r="AB80" s="7" t="str">
        <f>IF(金币!AB81="","",金币!$B81*金币!AB81)</f>
        <v/>
      </c>
      <c r="AC80" s="7" t="str">
        <f>IF(金币!AC81="","",金币!$B81*金币!AC81)</f>
        <v/>
      </c>
      <c r="AD80" s="7" t="str">
        <f>IF(金币!AD81="","",金币!$B81*金币!AD81)</f>
        <v/>
      </c>
      <c r="AE80" s="7" t="str">
        <f>IF(金币!AE81="","",金币!$B81*金币!AE81)</f>
        <v/>
      </c>
      <c r="AF80" s="7">
        <f>IF(金币!AF81="","",金币!$B81*金币!AF81)</f>
        <v>1580</v>
      </c>
      <c r="AG80" s="7">
        <f>金币!AI81</f>
        <v>0</v>
      </c>
    </row>
    <row r="81" spans="1:33">
      <c r="A81" s="32">
        <v>80</v>
      </c>
      <c r="B81" s="87">
        <f>金币!B82</f>
        <v>80</v>
      </c>
      <c r="C81" s="7">
        <f>IF(金币!C82="","",金币!$B82*金币!C82)</f>
        <v>640</v>
      </c>
      <c r="D81" s="7" t="str">
        <f>IF(金币!D82="","",金币!$B82*金币!D82)</f>
        <v/>
      </c>
      <c r="E81" s="7" t="str">
        <f>IF(金币!E82="","",金币!$B82*金币!E82)</f>
        <v/>
      </c>
      <c r="F81" s="7">
        <f>IF(金币!F82="","",金币!$B82*金币!F82)</f>
        <v>800</v>
      </c>
      <c r="G81" s="7" t="str">
        <f>IF(金币!G82="","",金币!$B82*金币!G82)</f>
        <v/>
      </c>
      <c r="H81" s="7" t="str">
        <f>IF(金币!H82="","",金币!$B82*金币!H82)</f>
        <v/>
      </c>
      <c r="I81" s="7" t="str">
        <f>IF(金币!I82="","",金币!$B82*金币!I82)</f>
        <v/>
      </c>
      <c r="J81" s="7" t="str">
        <f>IF(金币!J82="","",金币!$B82*金币!J82)</f>
        <v/>
      </c>
      <c r="K81" s="7">
        <f>IF(金币!K82="","",金币!$B82*金币!K82)</f>
        <v>800</v>
      </c>
      <c r="L81" s="7">
        <f>IF(金币!L82="","",金币!$B82*金币!L82)</f>
        <v>400</v>
      </c>
      <c r="M81" s="7" t="str">
        <f>IF(金币!M82="","",金币!$B82*金币!M82)</f>
        <v/>
      </c>
      <c r="N81" s="7" t="str">
        <f>IF(金币!N82="","",金币!$B82*金币!N82)</f>
        <v/>
      </c>
      <c r="O81" s="7" t="str">
        <f>IF(金币!O82="","",金币!$B82*金币!O82)</f>
        <v/>
      </c>
      <c r="P81" s="7" t="str">
        <f>IF(金币!P82="","",金币!$B82*金币!P82)</f>
        <v/>
      </c>
      <c r="Q81" s="7">
        <f>IF(金币!Q82="","",金币!$B82*金币!Q82)</f>
        <v>800</v>
      </c>
      <c r="R81" s="7" t="str">
        <f>IF(金币!R82="","",金币!$B82*金币!R82)</f>
        <v/>
      </c>
      <c r="S81" s="7">
        <f>IF(金币!S82="","",金币!$B82*金币!S82)</f>
        <v>240</v>
      </c>
      <c r="T81" s="7" t="str">
        <f>IF(金币!T82="","",金币!$B82*金币!T82)</f>
        <v/>
      </c>
      <c r="U81" s="7" t="str">
        <f>IF(金币!U82="","",金币!$B82*金币!U82)</f>
        <v/>
      </c>
      <c r="V81" s="7">
        <f>IF(金币!V82="","",金币!$B82*金币!V82)</f>
        <v>320</v>
      </c>
      <c r="W81" s="7" t="str">
        <f>IF(金币!W82="","",金币!$B82*金币!W82)</f>
        <v/>
      </c>
      <c r="X81" s="7" t="str">
        <f>IF(金币!X82="","",金币!$B82*金币!X82)</f>
        <v/>
      </c>
      <c r="Y81" s="7" t="str">
        <f>IF(金币!Y82="","",金币!$B82*金币!Y82)</f>
        <v/>
      </c>
      <c r="Z81" s="7">
        <f>IF(金币!Z82="","",金币!$B82*金币!Z82)</f>
        <v>800</v>
      </c>
      <c r="AA81" s="7" t="str">
        <f>IF(金币!AA82="","",金币!$B82*金币!AA82)</f>
        <v/>
      </c>
      <c r="AB81" s="7" t="str">
        <f>IF(金币!AB82="","",金币!$B82*金币!AB82)</f>
        <v/>
      </c>
      <c r="AC81" s="7" t="str">
        <f>IF(金币!AC82="","",金币!$B82*金币!AC82)</f>
        <v/>
      </c>
      <c r="AD81" s="7" t="str">
        <f>IF(金币!AD82="","",金币!$B82*金币!AD82)</f>
        <v/>
      </c>
      <c r="AE81" s="7" t="str">
        <f>IF(金币!AE82="","",金币!$B82*金币!AE82)</f>
        <v/>
      </c>
      <c r="AF81" s="7">
        <f>IF(金币!AF82="","",金币!$B82*金币!AF82)</f>
        <v>1600</v>
      </c>
      <c r="AG81" s="7">
        <f>金币!AI82</f>
        <v>0</v>
      </c>
    </row>
    <row r="82" spans="1:33">
      <c r="A82" s="32">
        <v>81</v>
      </c>
      <c r="B82" s="87">
        <f>金币!B83</f>
        <v>81</v>
      </c>
      <c r="C82" s="7">
        <f>IF(金币!C83="","",金币!$B83*金币!C83)</f>
        <v>648</v>
      </c>
      <c r="D82" s="7" t="str">
        <f>IF(金币!D83="","",金币!$B83*金币!D83)</f>
        <v/>
      </c>
      <c r="E82" s="7" t="str">
        <f>IF(金币!E83="","",金币!$B83*金币!E83)</f>
        <v/>
      </c>
      <c r="F82" s="7">
        <f>IF(金币!F83="","",金币!$B83*金币!F83)</f>
        <v>810</v>
      </c>
      <c r="G82" s="7" t="str">
        <f>IF(金币!G83="","",金币!$B83*金币!G83)</f>
        <v/>
      </c>
      <c r="H82" s="7" t="str">
        <f>IF(金币!H83="","",金币!$B83*金币!H83)</f>
        <v/>
      </c>
      <c r="I82" s="7" t="str">
        <f>IF(金币!I83="","",金币!$B83*金币!I83)</f>
        <v/>
      </c>
      <c r="J82" s="7" t="str">
        <f>IF(金币!J83="","",金币!$B83*金币!J83)</f>
        <v/>
      </c>
      <c r="K82" s="7">
        <f>IF(金币!K83="","",金币!$B83*金币!K83)</f>
        <v>810</v>
      </c>
      <c r="L82" s="7">
        <f>IF(金币!L83="","",金币!$B83*金币!L83)</f>
        <v>405</v>
      </c>
      <c r="M82" s="7" t="str">
        <f>IF(金币!M83="","",金币!$B83*金币!M83)</f>
        <v/>
      </c>
      <c r="N82" s="7" t="str">
        <f>IF(金币!N83="","",金币!$B83*金币!N83)</f>
        <v/>
      </c>
      <c r="O82" s="7" t="str">
        <f>IF(金币!O83="","",金币!$B83*金币!O83)</f>
        <v/>
      </c>
      <c r="P82" s="7" t="str">
        <f>IF(金币!P83="","",金币!$B83*金币!P83)</f>
        <v/>
      </c>
      <c r="Q82" s="7">
        <f>IF(金币!Q83="","",金币!$B83*金币!Q83)</f>
        <v>810</v>
      </c>
      <c r="R82" s="7" t="str">
        <f>IF(金币!R83="","",金币!$B83*金币!R83)</f>
        <v/>
      </c>
      <c r="S82" s="7">
        <f>IF(金币!S83="","",金币!$B83*金币!S83)</f>
        <v>243</v>
      </c>
      <c r="T82" s="7" t="str">
        <f>IF(金币!T83="","",金币!$B83*金币!T83)</f>
        <v/>
      </c>
      <c r="U82" s="7" t="str">
        <f>IF(金币!U83="","",金币!$B83*金币!U83)</f>
        <v/>
      </c>
      <c r="V82" s="7">
        <f>IF(金币!V83="","",金币!$B83*金币!V83)</f>
        <v>324</v>
      </c>
      <c r="W82" s="7" t="str">
        <f>IF(金币!W83="","",金币!$B83*金币!W83)</f>
        <v/>
      </c>
      <c r="X82" s="7" t="str">
        <f>IF(金币!X83="","",金币!$B83*金币!X83)</f>
        <v/>
      </c>
      <c r="Y82" s="7" t="str">
        <f>IF(金币!Y83="","",金币!$B83*金币!Y83)</f>
        <v/>
      </c>
      <c r="Z82" s="7">
        <f>IF(金币!Z83="","",金币!$B83*金币!Z83)</f>
        <v>810</v>
      </c>
      <c r="AA82" s="7" t="str">
        <f>IF(金币!AA83="","",金币!$B83*金币!AA83)</f>
        <v/>
      </c>
      <c r="AB82" s="7" t="str">
        <f>IF(金币!AB83="","",金币!$B83*金币!AB83)</f>
        <v/>
      </c>
      <c r="AC82" s="7" t="str">
        <f>IF(金币!AC83="","",金币!$B83*金币!AC83)</f>
        <v/>
      </c>
      <c r="AD82" s="7" t="str">
        <f>IF(金币!AD83="","",金币!$B83*金币!AD83)</f>
        <v/>
      </c>
      <c r="AE82" s="7" t="str">
        <f>IF(金币!AE83="","",金币!$B83*金币!AE83)</f>
        <v/>
      </c>
      <c r="AF82" s="7">
        <f>IF(金币!AF83="","",金币!$B83*金币!AF83)</f>
        <v>1620</v>
      </c>
      <c r="AG82" s="7">
        <f>金币!AI83</f>
        <v>0</v>
      </c>
    </row>
    <row r="83" spans="1:33">
      <c r="A83" s="32">
        <v>82</v>
      </c>
      <c r="B83" s="87">
        <f>金币!B84</f>
        <v>82</v>
      </c>
      <c r="C83" s="7">
        <f>IF(金币!C84="","",金币!$B84*金币!C84)</f>
        <v>656</v>
      </c>
      <c r="D83" s="7" t="str">
        <f>IF(金币!D84="","",金币!$B84*金币!D84)</f>
        <v/>
      </c>
      <c r="E83" s="7" t="str">
        <f>IF(金币!E84="","",金币!$B84*金币!E84)</f>
        <v/>
      </c>
      <c r="F83" s="7">
        <f>IF(金币!F84="","",金币!$B84*金币!F84)</f>
        <v>820</v>
      </c>
      <c r="G83" s="7" t="str">
        <f>IF(金币!G84="","",金币!$B84*金币!G84)</f>
        <v/>
      </c>
      <c r="H83" s="7" t="str">
        <f>IF(金币!H84="","",金币!$B84*金币!H84)</f>
        <v/>
      </c>
      <c r="I83" s="7" t="str">
        <f>IF(金币!I84="","",金币!$B84*金币!I84)</f>
        <v/>
      </c>
      <c r="J83" s="7" t="str">
        <f>IF(金币!J84="","",金币!$B84*金币!J84)</f>
        <v/>
      </c>
      <c r="K83" s="7">
        <f>IF(金币!K84="","",金币!$B84*金币!K84)</f>
        <v>820</v>
      </c>
      <c r="L83" s="7">
        <f>IF(金币!L84="","",金币!$B84*金币!L84)</f>
        <v>410</v>
      </c>
      <c r="M83" s="7" t="str">
        <f>IF(金币!M84="","",金币!$B84*金币!M84)</f>
        <v/>
      </c>
      <c r="N83" s="7" t="str">
        <f>IF(金币!N84="","",金币!$B84*金币!N84)</f>
        <v/>
      </c>
      <c r="O83" s="7" t="str">
        <f>IF(金币!O84="","",金币!$B84*金币!O84)</f>
        <v/>
      </c>
      <c r="P83" s="7" t="str">
        <f>IF(金币!P84="","",金币!$B84*金币!P84)</f>
        <v/>
      </c>
      <c r="Q83" s="7">
        <f>IF(金币!Q84="","",金币!$B84*金币!Q84)</f>
        <v>820</v>
      </c>
      <c r="R83" s="7" t="str">
        <f>IF(金币!R84="","",金币!$B84*金币!R84)</f>
        <v/>
      </c>
      <c r="S83" s="7">
        <f>IF(金币!S84="","",金币!$B84*金币!S84)</f>
        <v>246</v>
      </c>
      <c r="T83" s="7" t="str">
        <f>IF(金币!T84="","",金币!$B84*金币!T84)</f>
        <v/>
      </c>
      <c r="U83" s="7" t="str">
        <f>IF(金币!U84="","",金币!$B84*金币!U84)</f>
        <v/>
      </c>
      <c r="V83" s="7">
        <f>IF(金币!V84="","",金币!$B84*金币!V84)</f>
        <v>328</v>
      </c>
      <c r="W83" s="7" t="str">
        <f>IF(金币!W84="","",金币!$B84*金币!W84)</f>
        <v/>
      </c>
      <c r="X83" s="7" t="str">
        <f>IF(金币!X84="","",金币!$B84*金币!X84)</f>
        <v/>
      </c>
      <c r="Y83" s="7" t="str">
        <f>IF(金币!Y84="","",金币!$B84*金币!Y84)</f>
        <v/>
      </c>
      <c r="Z83" s="7">
        <f>IF(金币!Z84="","",金币!$B84*金币!Z84)</f>
        <v>820</v>
      </c>
      <c r="AA83" s="7" t="str">
        <f>IF(金币!AA84="","",金币!$B84*金币!AA84)</f>
        <v/>
      </c>
      <c r="AB83" s="7" t="str">
        <f>IF(金币!AB84="","",金币!$B84*金币!AB84)</f>
        <v/>
      </c>
      <c r="AC83" s="7" t="str">
        <f>IF(金币!AC84="","",金币!$B84*金币!AC84)</f>
        <v/>
      </c>
      <c r="AD83" s="7" t="str">
        <f>IF(金币!AD84="","",金币!$B84*金币!AD84)</f>
        <v/>
      </c>
      <c r="AE83" s="7" t="str">
        <f>IF(金币!AE84="","",金币!$B84*金币!AE84)</f>
        <v/>
      </c>
      <c r="AF83" s="7">
        <f>IF(金币!AF84="","",金币!$B84*金币!AF84)</f>
        <v>1640</v>
      </c>
      <c r="AG83" s="7">
        <f>金币!AI84</f>
        <v>0</v>
      </c>
    </row>
    <row r="84" spans="1:33">
      <c r="A84" s="32">
        <v>83</v>
      </c>
      <c r="B84" s="87">
        <f>金币!B85</f>
        <v>83</v>
      </c>
      <c r="C84" s="7">
        <f>IF(金币!C85="","",金币!$B85*金币!C85)</f>
        <v>664</v>
      </c>
      <c r="D84" s="7" t="str">
        <f>IF(金币!D85="","",金币!$B85*金币!D85)</f>
        <v/>
      </c>
      <c r="E84" s="7" t="str">
        <f>IF(金币!E85="","",金币!$B85*金币!E85)</f>
        <v/>
      </c>
      <c r="F84" s="7">
        <f>IF(金币!F85="","",金币!$B85*金币!F85)</f>
        <v>830</v>
      </c>
      <c r="G84" s="7" t="str">
        <f>IF(金币!G85="","",金币!$B85*金币!G85)</f>
        <v/>
      </c>
      <c r="H84" s="7" t="str">
        <f>IF(金币!H85="","",金币!$B85*金币!H85)</f>
        <v/>
      </c>
      <c r="I84" s="7" t="str">
        <f>IF(金币!I85="","",金币!$B85*金币!I85)</f>
        <v/>
      </c>
      <c r="J84" s="7" t="str">
        <f>IF(金币!J85="","",金币!$B85*金币!J85)</f>
        <v/>
      </c>
      <c r="K84" s="7">
        <f>IF(金币!K85="","",金币!$B85*金币!K85)</f>
        <v>830</v>
      </c>
      <c r="L84" s="7">
        <f>IF(金币!L85="","",金币!$B85*金币!L85)</f>
        <v>415</v>
      </c>
      <c r="M84" s="7" t="str">
        <f>IF(金币!M85="","",金币!$B85*金币!M85)</f>
        <v/>
      </c>
      <c r="N84" s="7" t="str">
        <f>IF(金币!N85="","",金币!$B85*金币!N85)</f>
        <v/>
      </c>
      <c r="O84" s="7" t="str">
        <f>IF(金币!O85="","",金币!$B85*金币!O85)</f>
        <v/>
      </c>
      <c r="P84" s="7" t="str">
        <f>IF(金币!P85="","",金币!$B85*金币!P85)</f>
        <v/>
      </c>
      <c r="Q84" s="7">
        <f>IF(金币!Q85="","",金币!$B85*金币!Q85)</f>
        <v>830</v>
      </c>
      <c r="R84" s="7" t="str">
        <f>IF(金币!R85="","",金币!$B85*金币!R85)</f>
        <v/>
      </c>
      <c r="S84" s="7">
        <f>IF(金币!S85="","",金币!$B85*金币!S85)</f>
        <v>249</v>
      </c>
      <c r="T84" s="7" t="str">
        <f>IF(金币!T85="","",金币!$B85*金币!T85)</f>
        <v/>
      </c>
      <c r="U84" s="7" t="str">
        <f>IF(金币!U85="","",金币!$B85*金币!U85)</f>
        <v/>
      </c>
      <c r="V84" s="7">
        <f>IF(金币!V85="","",金币!$B85*金币!V85)</f>
        <v>332</v>
      </c>
      <c r="W84" s="7" t="str">
        <f>IF(金币!W85="","",金币!$B85*金币!W85)</f>
        <v/>
      </c>
      <c r="X84" s="7" t="str">
        <f>IF(金币!X85="","",金币!$B85*金币!X85)</f>
        <v/>
      </c>
      <c r="Y84" s="7" t="str">
        <f>IF(金币!Y85="","",金币!$B85*金币!Y85)</f>
        <v/>
      </c>
      <c r="Z84" s="7">
        <f>IF(金币!Z85="","",金币!$B85*金币!Z85)</f>
        <v>830</v>
      </c>
      <c r="AA84" s="7" t="str">
        <f>IF(金币!AA85="","",金币!$B85*金币!AA85)</f>
        <v/>
      </c>
      <c r="AB84" s="7" t="str">
        <f>IF(金币!AB85="","",金币!$B85*金币!AB85)</f>
        <v/>
      </c>
      <c r="AC84" s="7" t="str">
        <f>IF(金币!AC85="","",金币!$B85*金币!AC85)</f>
        <v/>
      </c>
      <c r="AD84" s="7" t="str">
        <f>IF(金币!AD85="","",金币!$B85*金币!AD85)</f>
        <v/>
      </c>
      <c r="AE84" s="7" t="str">
        <f>IF(金币!AE85="","",金币!$B85*金币!AE85)</f>
        <v/>
      </c>
      <c r="AF84" s="7">
        <f>IF(金币!AF85="","",金币!$B85*金币!AF85)</f>
        <v>1660</v>
      </c>
      <c r="AG84" s="7">
        <f>金币!AI85</f>
        <v>0</v>
      </c>
    </row>
    <row r="85" spans="1:33">
      <c r="A85" s="32">
        <v>84</v>
      </c>
      <c r="B85" s="87">
        <f>金币!B86</f>
        <v>84</v>
      </c>
      <c r="C85" s="7">
        <f>IF(金币!C86="","",金币!$B86*金币!C86)</f>
        <v>672</v>
      </c>
      <c r="D85" s="7" t="str">
        <f>IF(金币!D86="","",金币!$B86*金币!D86)</f>
        <v/>
      </c>
      <c r="E85" s="7" t="str">
        <f>IF(金币!E86="","",金币!$B86*金币!E86)</f>
        <v/>
      </c>
      <c r="F85" s="7">
        <f>IF(金币!F86="","",金币!$B86*金币!F86)</f>
        <v>840</v>
      </c>
      <c r="G85" s="7" t="str">
        <f>IF(金币!G86="","",金币!$B86*金币!G86)</f>
        <v/>
      </c>
      <c r="H85" s="7" t="str">
        <f>IF(金币!H86="","",金币!$B86*金币!H86)</f>
        <v/>
      </c>
      <c r="I85" s="7" t="str">
        <f>IF(金币!I86="","",金币!$B86*金币!I86)</f>
        <v/>
      </c>
      <c r="J85" s="7" t="str">
        <f>IF(金币!J86="","",金币!$B86*金币!J86)</f>
        <v/>
      </c>
      <c r="K85" s="7">
        <f>IF(金币!K86="","",金币!$B86*金币!K86)</f>
        <v>840</v>
      </c>
      <c r="L85" s="7">
        <f>IF(金币!L86="","",金币!$B86*金币!L86)</f>
        <v>420</v>
      </c>
      <c r="M85" s="7" t="str">
        <f>IF(金币!M86="","",金币!$B86*金币!M86)</f>
        <v/>
      </c>
      <c r="N85" s="7" t="str">
        <f>IF(金币!N86="","",金币!$B86*金币!N86)</f>
        <v/>
      </c>
      <c r="O85" s="7" t="str">
        <f>IF(金币!O86="","",金币!$B86*金币!O86)</f>
        <v/>
      </c>
      <c r="P85" s="7" t="str">
        <f>IF(金币!P86="","",金币!$B86*金币!P86)</f>
        <v/>
      </c>
      <c r="Q85" s="7">
        <f>IF(金币!Q86="","",金币!$B86*金币!Q86)</f>
        <v>840</v>
      </c>
      <c r="R85" s="7" t="str">
        <f>IF(金币!R86="","",金币!$B86*金币!R86)</f>
        <v/>
      </c>
      <c r="S85" s="7">
        <f>IF(金币!S86="","",金币!$B86*金币!S86)</f>
        <v>252</v>
      </c>
      <c r="T85" s="7" t="str">
        <f>IF(金币!T86="","",金币!$B86*金币!T86)</f>
        <v/>
      </c>
      <c r="U85" s="7" t="str">
        <f>IF(金币!U86="","",金币!$B86*金币!U86)</f>
        <v/>
      </c>
      <c r="V85" s="7">
        <f>IF(金币!V86="","",金币!$B86*金币!V86)</f>
        <v>336</v>
      </c>
      <c r="W85" s="7" t="str">
        <f>IF(金币!W86="","",金币!$B86*金币!W86)</f>
        <v/>
      </c>
      <c r="X85" s="7" t="str">
        <f>IF(金币!X86="","",金币!$B86*金币!X86)</f>
        <v/>
      </c>
      <c r="Y85" s="7" t="str">
        <f>IF(金币!Y86="","",金币!$B86*金币!Y86)</f>
        <v/>
      </c>
      <c r="Z85" s="7">
        <f>IF(金币!Z86="","",金币!$B86*金币!Z86)</f>
        <v>840</v>
      </c>
      <c r="AA85" s="7" t="str">
        <f>IF(金币!AA86="","",金币!$B86*金币!AA86)</f>
        <v/>
      </c>
      <c r="AB85" s="7" t="str">
        <f>IF(金币!AB86="","",金币!$B86*金币!AB86)</f>
        <v/>
      </c>
      <c r="AC85" s="7" t="str">
        <f>IF(金币!AC86="","",金币!$B86*金币!AC86)</f>
        <v/>
      </c>
      <c r="AD85" s="7" t="str">
        <f>IF(金币!AD86="","",金币!$B86*金币!AD86)</f>
        <v/>
      </c>
      <c r="AE85" s="7" t="str">
        <f>IF(金币!AE86="","",金币!$B86*金币!AE86)</f>
        <v/>
      </c>
      <c r="AF85" s="7">
        <f>IF(金币!AF86="","",金币!$B86*金币!AF86)</f>
        <v>1680</v>
      </c>
      <c r="AG85" s="7">
        <f>金币!AI86</f>
        <v>0</v>
      </c>
    </row>
    <row r="86" spans="1:33">
      <c r="A86" s="32">
        <v>85</v>
      </c>
      <c r="B86" s="87">
        <f>金币!B87</f>
        <v>85</v>
      </c>
      <c r="C86" s="7">
        <f>IF(金币!C87="","",金币!$B87*金币!C87)</f>
        <v>680</v>
      </c>
      <c r="D86" s="7" t="str">
        <f>IF(金币!D87="","",金币!$B87*金币!D87)</f>
        <v/>
      </c>
      <c r="E86" s="7" t="str">
        <f>IF(金币!E87="","",金币!$B87*金币!E87)</f>
        <v/>
      </c>
      <c r="F86" s="7">
        <f>IF(金币!F87="","",金币!$B87*金币!F87)</f>
        <v>850</v>
      </c>
      <c r="G86" s="7" t="str">
        <f>IF(金币!G87="","",金币!$B87*金币!G87)</f>
        <v/>
      </c>
      <c r="H86" s="7" t="str">
        <f>IF(金币!H87="","",金币!$B87*金币!H87)</f>
        <v/>
      </c>
      <c r="I86" s="7" t="str">
        <f>IF(金币!I87="","",金币!$B87*金币!I87)</f>
        <v/>
      </c>
      <c r="J86" s="7" t="str">
        <f>IF(金币!J87="","",金币!$B87*金币!J87)</f>
        <v/>
      </c>
      <c r="K86" s="7">
        <f>IF(金币!K87="","",金币!$B87*金币!K87)</f>
        <v>850</v>
      </c>
      <c r="L86" s="7">
        <f>IF(金币!L87="","",金币!$B87*金币!L87)</f>
        <v>425</v>
      </c>
      <c r="M86" s="7" t="str">
        <f>IF(金币!M87="","",金币!$B87*金币!M87)</f>
        <v/>
      </c>
      <c r="N86" s="7" t="str">
        <f>IF(金币!N87="","",金币!$B87*金币!N87)</f>
        <v/>
      </c>
      <c r="O86" s="7" t="str">
        <f>IF(金币!O87="","",金币!$B87*金币!O87)</f>
        <v/>
      </c>
      <c r="P86" s="7" t="str">
        <f>IF(金币!P87="","",金币!$B87*金币!P87)</f>
        <v/>
      </c>
      <c r="Q86" s="7">
        <f>IF(金币!Q87="","",金币!$B87*金币!Q87)</f>
        <v>850</v>
      </c>
      <c r="R86" s="7" t="str">
        <f>IF(金币!R87="","",金币!$B87*金币!R87)</f>
        <v/>
      </c>
      <c r="S86" s="7">
        <f>IF(金币!S87="","",金币!$B87*金币!S87)</f>
        <v>255</v>
      </c>
      <c r="T86" s="7" t="str">
        <f>IF(金币!T87="","",金币!$B87*金币!T87)</f>
        <v/>
      </c>
      <c r="U86" s="7" t="str">
        <f>IF(金币!U87="","",金币!$B87*金币!U87)</f>
        <v/>
      </c>
      <c r="V86" s="7">
        <f>IF(金币!V87="","",金币!$B87*金币!V87)</f>
        <v>340</v>
      </c>
      <c r="W86" s="7" t="str">
        <f>IF(金币!W87="","",金币!$B87*金币!W87)</f>
        <v/>
      </c>
      <c r="X86" s="7" t="str">
        <f>IF(金币!X87="","",金币!$B87*金币!X87)</f>
        <v/>
      </c>
      <c r="Y86" s="7" t="str">
        <f>IF(金币!Y87="","",金币!$B87*金币!Y87)</f>
        <v/>
      </c>
      <c r="Z86" s="7">
        <f>IF(金币!Z87="","",金币!$B87*金币!Z87)</f>
        <v>850</v>
      </c>
      <c r="AA86" s="7" t="str">
        <f>IF(金币!AA87="","",金币!$B87*金币!AA87)</f>
        <v/>
      </c>
      <c r="AB86" s="7" t="str">
        <f>IF(金币!AB87="","",金币!$B87*金币!AB87)</f>
        <v/>
      </c>
      <c r="AC86" s="7" t="str">
        <f>IF(金币!AC87="","",金币!$B87*金币!AC87)</f>
        <v/>
      </c>
      <c r="AD86" s="7" t="str">
        <f>IF(金币!AD87="","",金币!$B87*金币!AD87)</f>
        <v/>
      </c>
      <c r="AE86" s="7" t="str">
        <f>IF(金币!AE87="","",金币!$B87*金币!AE87)</f>
        <v/>
      </c>
      <c r="AF86" s="7">
        <f>IF(金币!AF87="","",金币!$B87*金币!AF87)</f>
        <v>1700</v>
      </c>
      <c r="AG86" s="7">
        <f>金币!AI87</f>
        <v>0</v>
      </c>
    </row>
    <row r="87" spans="1:33">
      <c r="A87" s="32">
        <v>86</v>
      </c>
      <c r="B87" s="87">
        <f>金币!B88</f>
        <v>86</v>
      </c>
      <c r="C87" s="7">
        <f>IF(金币!C88="","",金币!$B88*金币!C88)</f>
        <v>688</v>
      </c>
      <c r="D87" s="7" t="str">
        <f>IF(金币!D88="","",金币!$B88*金币!D88)</f>
        <v/>
      </c>
      <c r="E87" s="7" t="str">
        <f>IF(金币!E88="","",金币!$B88*金币!E88)</f>
        <v/>
      </c>
      <c r="F87" s="7">
        <f>IF(金币!F88="","",金币!$B88*金币!F88)</f>
        <v>860</v>
      </c>
      <c r="G87" s="7" t="str">
        <f>IF(金币!G88="","",金币!$B88*金币!G88)</f>
        <v/>
      </c>
      <c r="H87" s="7" t="str">
        <f>IF(金币!H88="","",金币!$B88*金币!H88)</f>
        <v/>
      </c>
      <c r="I87" s="7" t="str">
        <f>IF(金币!I88="","",金币!$B88*金币!I88)</f>
        <v/>
      </c>
      <c r="J87" s="7" t="str">
        <f>IF(金币!J88="","",金币!$B88*金币!J88)</f>
        <v/>
      </c>
      <c r="K87" s="7">
        <f>IF(金币!K88="","",金币!$B88*金币!K88)</f>
        <v>860</v>
      </c>
      <c r="L87" s="7">
        <f>IF(金币!L88="","",金币!$B88*金币!L88)</f>
        <v>430</v>
      </c>
      <c r="M87" s="7" t="str">
        <f>IF(金币!M88="","",金币!$B88*金币!M88)</f>
        <v/>
      </c>
      <c r="N87" s="7" t="str">
        <f>IF(金币!N88="","",金币!$B88*金币!N88)</f>
        <v/>
      </c>
      <c r="O87" s="7" t="str">
        <f>IF(金币!O88="","",金币!$B88*金币!O88)</f>
        <v/>
      </c>
      <c r="P87" s="7" t="str">
        <f>IF(金币!P88="","",金币!$B88*金币!P88)</f>
        <v/>
      </c>
      <c r="Q87" s="7">
        <f>IF(金币!Q88="","",金币!$B88*金币!Q88)</f>
        <v>860</v>
      </c>
      <c r="R87" s="7" t="str">
        <f>IF(金币!R88="","",金币!$B88*金币!R88)</f>
        <v/>
      </c>
      <c r="S87" s="7">
        <f>IF(金币!S88="","",金币!$B88*金币!S88)</f>
        <v>258</v>
      </c>
      <c r="T87" s="7" t="str">
        <f>IF(金币!T88="","",金币!$B88*金币!T88)</f>
        <v/>
      </c>
      <c r="U87" s="7" t="str">
        <f>IF(金币!U88="","",金币!$B88*金币!U88)</f>
        <v/>
      </c>
      <c r="V87" s="7">
        <f>IF(金币!V88="","",金币!$B88*金币!V88)</f>
        <v>344</v>
      </c>
      <c r="W87" s="7" t="str">
        <f>IF(金币!W88="","",金币!$B88*金币!W88)</f>
        <v/>
      </c>
      <c r="X87" s="7" t="str">
        <f>IF(金币!X88="","",金币!$B88*金币!X88)</f>
        <v/>
      </c>
      <c r="Y87" s="7" t="str">
        <f>IF(金币!Y88="","",金币!$B88*金币!Y88)</f>
        <v/>
      </c>
      <c r="Z87" s="7">
        <f>IF(金币!Z88="","",金币!$B88*金币!Z88)</f>
        <v>860</v>
      </c>
      <c r="AA87" s="7" t="str">
        <f>IF(金币!AA88="","",金币!$B88*金币!AA88)</f>
        <v/>
      </c>
      <c r="AB87" s="7" t="str">
        <f>IF(金币!AB88="","",金币!$B88*金币!AB88)</f>
        <v/>
      </c>
      <c r="AC87" s="7" t="str">
        <f>IF(金币!AC88="","",金币!$B88*金币!AC88)</f>
        <v/>
      </c>
      <c r="AD87" s="7" t="str">
        <f>IF(金币!AD88="","",金币!$B88*金币!AD88)</f>
        <v/>
      </c>
      <c r="AE87" s="7" t="str">
        <f>IF(金币!AE88="","",金币!$B88*金币!AE88)</f>
        <v/>
      </c>
      <c r="AF87" s="7">
        <f>IF(金币!AF88="","",金币!$B88*金币!AF88)</f>
        <v>1720</v>
      </c>
      <c r="AG87" s="7">
        <f>金币!AI88</f>
        <v>0</v>
      </c>
    </row>
    <row r="88" spans="1:33">
      <c r="A88" s="32">
        <v>87</v>
      </c>
      <c r="B88" s="87">
        <f>金币!B89</f>
        <v>87</v>
      </c>
      <c r="C88" s="7">
        <f>IF(金币!C89="","",金币!$B89*金币!C89)</f>
        <v>696</v>
      </c>
      <c r="D88" s="7" t="str">
        <f>IF(金币!D89="","",金币!$B89*金币!D89)</f>
        <v/>
      </c>
      <c r="E88" s="7" t="str">
        <f>IF(金币!E89="","",金币!$B89*金币!E89)</f>
        <v/>
      </c>
      <c r="F88" s="7">
        <f>IF(金币!F89="","",金币!$B89*金币!F89)</f>
        <v>870</v>
      </c>
      <c r="G88" s="7" t="str">
        <f>IF(金币!G89="","",金币!$B89*金币!G89)</f>
        <v/>
      </c>
      <c r="H88" s="7" t="str">
        <f>IF(金币!H89="","",金币!$B89*金币!H89)</f>
        <v/>
      </c>
      <c r="I88" s="7" t="str">
        <f>IF(金币!I89="","",金币!$B89*金币!I89)</f>
        <v/>
      </c>
      <c r="J88" s="7" t="str">
        <f>IF(金币!J89="","",金币!$B89*金币!J89)</f>
        <v/>
      </c>
      <c r="K88" s="7">
        <f>IF(金币!K89="","",金币!$B89*金币!K89)</f>
        <v>870</v>
      </c>
      <c r="L88" s="7">
        <f>IF(金币!L89="","",金币!$B89*金币!L89)</f>
        <v>435</v>
      </c>
      <c r="M88" s="7" t="str">
        <f>IF(金币!M89="","",金币!$B89*金币!M89)</f>
        <v/>
      </c>
      <c r="N88" s="7" t="str">
        <f>IF(金币!N89="","",金币!$B89*金币!N89)</f>
        <v/>
      </c>
      <c r="O88" s="7" t="str">
        <f>IF(金币!O89="","",金币!$B89*金币!O89)</f>
        <v/>
      </c>
      <c r="P88" s="7" t="str">
        <f>IF(金币!P89="","",金币!$B89*金币!P89)</f>
        <v/>
      </c>
      <c r="Q88" s="7">
        <f>IF(金币!Q89="","",金币!$B89*金币!Q89)</f>
        <v>870</v>
      </c>
      <c r="R88" s="7" t="str">
        <f>IF(金币!R89="","",金币!$B89*金币!R89)</f>
        <v/>
      </c>
      <c r="S88" s="7">
        <f>IF(金币!S89="","",金币!$B89*金币!S89)</f>
        <v>261</v>
      </c>
      <c r="T88" s="7" t="str">
        <f>IF(金币!T89="","",金币!$B89*金币!T89)</f>
        <v/>
      </c>
      <c r="U88" s="7" t="str">
        <f>IF(金币!U89="","",金币!$B89*金币!U89)</f>
        <v/>
      </c>
      <c r="V88" s="7">
        <f>IF(金币!V89="","",金币!$B89*金币!V89)</f>
        <v>348</v>
      </c>
      <c r="W88" s="7" t="str">
        <f>IF(金币!W89="","",金币!$B89*金币!W89)</f>
        <v/>
      </c>
      <c r="X88" s="7" t="str">
        <f>IF(金币!X89="","",金币!$B89*金币!X89)</f>
        <v/>
      </c>
      <c r="Y88" s="7" t="str">
        <f>IF(金币!Y89="","",金币!$B89*金币!Y89)</f>
        <v/>
      </c>
      <c r="Z88" s="7">
        <f>IF(金币!Z89="","",金币!$B89*金币!Z89)</f>
        <v>870</v>
      </c>
      <c r="AA88" s="7" t="str">
        <f>IF(金币!AA89="","",金币!$B89*金币!AA89)</f>
        <v/>
      </c>
      <c r="AB88" s="7" t="str">
        <f>IF(金币!AB89="","",金币!$B89*金币!AB89)</f>
        <v/>
      </c>
      <c r="AC88" s="7" t="str">
        <f>IF(金币!AC89="","",金币!$B89*金币!AC89)</f>
        <v/>
      </c>
      <c r="AD88" s="7" t="str">
        <f>IF(金币!AD89="","",金币!$B89*金币!AD89)</f>
        <v/>
      </c>
      <c r="AE88" s="7" t="str">
        <f>IF(金币!AE89="","",金币!$B89*金币!AE89)</f>
        <v/>
      </c>
      <c r="AF88" s="7">
        <f>IF(金币!AF89="","",金币!$B89*金币!AF89)</f>
        <v>1740</v>
      </c>
      <c r="AG88" s="7">
        <f>金币!AI89</f>
        <v>0</v>
      </c>
    </row>
    <row r="89" spans="1:33">
      <c r="A89" s="32">
        <v>88</v>
      </c>
      <c r="B89" s="87">
        <f>金币!B90</f>
        <v>88</v>
      </c>
      <c r="C89" s="7">
        <f>IF(金币!C90="","",金币!$B90*金币!C90)</f>
        <v>704</v>
      </c>
      <c r="D89" s="7" t="str">
        <f>IF(金币!D90="","",金币!$B90*金币!D90)</f>
        <v/>
      </c>
      <c r="E89" s="7" t="str">
        <f>IF(金币!E90="","",金币!$B90*金币!E90)</f>
        <v/>
      </c>
      <c r="F89" s="7">
        <f>IF(金币!F90="","",金币!$B90*金币!F90)</f>
        <v>880</v>
      </c>
      <c r="G89" s="7" t="str">
        <f>IF(金币!G90="","",金币!$B90*金币!G90)</f>
        <v/>
      </c>
      <c r="H89" s="7" t="str">
        <f>IF(金币!H90="","",金币!$B90*金币!H90)</f>
        <v/>
      </c>
      <c r="I89" s="7" t="str">
        <f>IF(金币!I90="","",金币!$B90*金币!I90)</f>
        <v/>
      </c>
      <c r="J89" s="7" t="str">
        <f>IF(金币!J90="","",金币!$B90*金币!J90)</f>
        <v/>
      </c>
      <c r="K89" s="7">
        <f>IF(金币!K90="","",金币!$B90*金币!K90)</f>
        <v>880</v>
      </c>
      <c r="L89" s="7">
        <f>IF(金币!L90="","",金币!$B90*金币!L90)</f>
        <v>440</v>
      </c>
      <c r="M89" s="7" t="str">
        <f>IF(金币!M90="","",金币!$B90*金币!M90)</f>
        <v/>
      </c>
      <c r="N89" s="7" t="str">
        <f>IF(金币!N90="","",金币!$B90*金币!N90)</f>
        <v/>
      </c>
      <c r="O89" s="7" t="str">
        <f>IF(金币!O90="","",金币!$B90*金币!O90)</f>
        <v/>
      </c>
      <c r="P89" s="7" t="str">
        <f>IF(金币!P90="","",金币!$B90*金币!P90)</f>
        <v/>
      </c>
      <c r="Q89" s="7">
        <f>IF(金币!Q90="","",金币!$B90*金币!Q90)</f>
        <v>880</v>
      </c>
      <c r="R89" s="7" t="str">
        <f>IF(金币!R90="","",金币!$B90*金币!R90)</f>
        <v/>
      </c>
      <c r="S89" s="7">
        <f>IF(金币!S90="","",金币!$B90*金币!S90)</f>
        <v>264</v>
      </c>
      <c r="T89" s="7" t="str">
        <f>IF(金币!T90="","",金币!$B90*金币!T90)</f>
        <v/>
      </c>
      <c r="U89" s="7" t="str">
        <f>IF(金币!U90="","",金币!$B90*金币!U90)</f>
        <v/>
      </c>
      <c r="V89" s="7">
        <f>IF(金币!V90="","",金币!$B90*金币!V90)</f>
        <v>352</v>
      </c>
      <c r="W89" s="7" t="str">
        <f>IF(金币!W90="","",金币!$B90*金币!W90)</f>
        <v/>
      </c>
      <c r="X89" s="7" t="str">
        <f>IF(金币!X90="","",金币!$B90*金币!X90)</f>
        <v/>
      </c>
      <c r="Y89" s="7" t="str">
        <f>IF(金币!Y90="","",金币!$B90*金币!Y90)</f>
        <v/>
      </c>
      <c r="Z89" s="7">
        <f>IF(金币!Z90="","",金币!$B90*金币!Z90)</f>
        <v>880</v>
      </c>
      <c r="AA89" s="7" t="str">
        <f>IF(金币!AA90="","",金币!$B90*金币!AA90)</f>
        <v/>
      </c>
      <c r="AB89" s="7" t="str">
        <f>IF(金币!AB90="","",金币!$B90*金币!AB90)</f>
        <v/>
      </c>
      <c r="AC89" s="7" t="str">
        <f>IF(金币!AC90="","",金币!$B90*金币!AC90)</f>
        <v/>
      </c>
      <c r="AD89" s="7" t="str">
        <f>IF(金币!AD90="","",金币!$B90*金币!AD90)</f>
        <v/>
      </c>
      <c r="AE89" s="7" t="str">
        <f>IF(金币!AE90="","",金币!$B90*金币!AE90)</f>
        <v/>
      </c>
      <c r="AF89" s="7">
        <f>IF(金币!AF90="","",金币!$B90*金币!AF90)</f>
        <v>1760</v>
      </c>
      <c r="AG89" s="7">
        <f>金币!AI90</f>
        <v>0</v>
      </c>
    </row>
    <row r="90" spans="1:33">
      <c r="A90" s="32">
        <v>89</v>
      </c>
      <c r="B90" s="87">
        <f>金币!B91</f>
        <v>89</v>
      </c>
      <c r="C90" s="7">
        <f>IF(金币!C91="","",金币!$B91*金币!C91)</f>
        <v>712</v>
      </c>
      <c r="D90" s="7" t="str">
        <f>IF(金币!D91="","",金币!$B91*金币!D91)</f>
        <v/>
      </c>
      <c r="E90" s="7" t="str">
        <f>IF(金币!E91="","",金币!$B91*金币!E91)</f>
        <v/>
      </c>
      <c r="F90" s="7">
        <f>IF(金币!F91="","",金币!$B91*金币!F91)</f>
        <v>890</v>
      </c>
      <c r="G90" s="7" t="str">
        <f>IF(金币!G91="","",金币!$B91*金币!G91)</f>
        <v/>
      </c>
      <c r="H90" s="7" t="str">
        <f>IF(金币!H91="","",金币!$B91*金币!H91)</f>
        <v/>
      </c>
      <c r="I90" s="7" t="str">
        <f>IF(金币!I91="","",金币!$B91*金币!I91)</f>
        <v/>
      </c>
      <c r="J90" s="7" t="str">
        <f>IF(金币!J91="","",金币!$B91*金币!J91)</f>
        <v/>
      </c>
      <c r="K90" s="7">
        <f>IF(金币!K91="","",金币!$B91*金币!K91)</f>
        <v>890</v>
      </c>
      <c r="L90" s="7">
        <f>IF(金币!L91="","",金币!$B91*金币!L91)</f>
        <v>445</v>
      </c>
      <c r="M90" s="7" t="str">
        <f>IF(金币!M91="","",金币!$B91*金币!M91)</f>
        <v/>
      </c>
      <c r="N90" s="7" t="str">
        <f>IF(金币!N91="","",金币!$B91*金币!N91)</f>
        <v/>
      </c>
      <c r="O90" s="7" t="str">
        <f>IF(金币!O91="","",金币!$B91*金币!O91)</f>
        <v/>
      </c>
      <c r="P90" s="7" t="str">
        <f>IF(金币!P91="","",金币!$B91*金币!P91)</f>
        <v/>
      </c>
      <c r="Q90" s="7">
        <f>IF(金币!Q91="","",金币!$B91*金币!Q91)</f>
        <v>890</v>
      </c>
      <c r="R90" s="7" t="str">
        <f>IF(金币!R91="","",金币!$B91*金币!R91)</f>
        <v/>
      </c>
      <c r="S90" s="7">
        <f>IF(金币!S91="","",金币!$B91*金币!S91)</f>
        <v>267</v>
      </c>
      <c r="T90" s="7" t="str">
        <f>IF(金币!T91="","",金币!$B91*金币!T91)</f>
        <v/>
      </c>
      <c r="U90" s="7" t="str">
        <f>IF(金币!U91="","",金币!$B91*金币!U91)</f>
        <v/>
      </c>
      <c r="V90" s="7">
        <f>IF(金币!V91="","",金币!$B91*金币!V91)</f>
        <v>356</v>
      </c>
      <c r="W90" s="7" t="str">
        <f>IF(金币!W91="","",金币!$B91*金币!W91)</f>
        <v/>
      </c>
      <c r="X90" s="7" t="str">
        <f>IF(金币!X91="","",金币!$B91*金币!X91)</f>
        <v/>
      </c>
      <c r="Y90" s="7" t="str">
        <f>IF(金币!Y91="","",金币!$B91*金币!Y91)</f>
        <v/>
      </c>
      <c r="Z90" s="7">
        <f>IF(金币!Z91="","",金币!$B91*金币!Z91)</f>
        <v>890</v>
      </c>
      <c r="AA90" s="7" t="str">
        <f>IF(金币!AA91="","",金币!$B91*金币!AA91)</f>
        <v/>
      </c>
      <c r="AB90" s="7" t="str">
        <f>IF(金币!AB91="","",金币!$B91*金币!AB91)</f>
        <v/>
      </c>
      <c r="AC90" s="7" t="str">
        <f>IF(金币!AC91="","",金币!$B91*金币!AC91)</f>
        <v/>
      </c>
      <c r="AD90" s="7" t="str">
        <f>IF(金币!AD91="","",金币!$B91*金币!AD91)</f>
        <v/>
      </c>
      <c r="AE90" s="7" t="str">
        <f>IF(金币!AE91="","",金币!$B91*金币!AE91)</f>
        <v/>
      </c>
      <c r="AF90" s="7">
        <f>IF(金币!AF91="","",金币!$B91*金币!AF91)</f>
        <v>1780</v>
      </c>
      <c r="AG90" s="7">
        <f>金币!AI91</f>
        <v>0</v>
      </c>
    </row>
    <row r="91" spans="1:33">
      <c r="A91" s="32">
        <v>90</v>
      </c>
      <c r="B91" s="87">
        <f>金币!B92</f>
        <v>90</v>
      </c>
      <c r="C91" s="7">
        <f>IF(金币!C92="","",金币!$B92*金币!C92)</f>
        <v>720</v>
      </c>
      <c r="D91" s="7" t="str">
        <f>IF(金币!D92="","",金币!$B92*金币!D92)</f>
        <v/>
      </c>
      <c r="E91" s="7" t="str">
        <f>IF(金币!E92="","",金币!$B92*金币!E92)</f>
        <v/>
      </c>
      <c r="F91" s="7">
        <f>IF(金币!F92="","",金币!$B92*金币!F92)</f>
        <v>900</v>
      </c>
      <c r="G91" s="7" t="str">
        <f>IF(金币!G92="","",金币!$B92*金币!G92)</f>
        <v/>
      </c>
      <c r="H91" s="7" t="str">
        <f>IF(金币!H92="","",金币!$B92*金币!H92)</f>
        <v/>
      </c>
      <c r="I91" s="7" t="str">
        <f>IF(金币!I92="","",金币!$B92*金币!I92)</f>
        <v/>
      </c>
      <c r="J91" s="7" t="str">
        <f>IF(金币!J92="","",金币!$B92*金币!J92)</f>
        <v/>
      </c>
      <c r="K91" s="7">
        <f>IF(金币!K92="","",金币!$B92*金币!K92)</f>
        <v>900</v>
      </c>
      <c r="L91" s="7">
        <f>IF(金币!L92="","",金币!$B92*金币!L92)</f>
        <v>450</v>
      </c>
      <c r="M91" s="7" t="str">
        <f>IF(金币!M92="","",金币!$B92*金币!M92)</f>
        <v/>
      </c>
      <c r="N91" s="7" t="str">
        <f>IF(金币!N92="","",金币!$B92*金币!N92)</f>
        <v/>
      </c>
      <c r="O91" s="7" t="str">
        <f>IF(金币!O92="","",金币!$B92*金币!O92)</f>
        <v/>
      </c>
      <c r="P91" s="7" t="str">
        <f>IF(金币!P92="","",金币!$B92*金币!P92)</f>
        <v/>
      </c>
      <c r="Q91" s="7">
        <f>IF(金币!Q92="","",金币!$B92*金币!Q92)</f>
        <v>900</v>
      </c>
      <c r="R91" s="7" t="str">
        <f>IF(金币!R92="","",金币!$B92*金币!R92)</f>
        <v/>
      </c>
      <c r="S91" s="7">
        <f>IF(金币!S92="","",金币!$B92*金币!S92)</f>
        <v>270</v>
      </c>
      <c r="T91" s="7" t="str">
        <f>IF(金币!T92="","",金币!$B92*金币!T92)</f>
        <v/>
      </c>
      <c r="U91" s="7" t="str">
        <f>IF(金币!U92="","",金币!$B92*金币!U92)</f>
        <v/>
      </c>
      <c r="V91" s="7">
        <f>IF(金币!V92="","",金币!$B92*金币!V92)</f>
        <v>360</v>
      </c>
      <c r="W91" s="7" t="str">
        <f>IF(金币!W92="","",金币!$B92*金币!W92)</f>
        <v/>
      </c>
      <c r="X91" s="7" t="str">
        <f>IF(金币!X92="","",金币!$B92*金币!X92)</f>
        <v/>
      </c>
      <c r="Y91" s="7" t="str">
        <f>IF(金币!Y92="","",金币!$B92*金币!Y92)</f>
        <v/>
      </c>
      <c r="Z91" s="7">
        <f>IF(金币!Z92="","",金币!$B92*金币!Z92)</f>
        <v>900</v>
      </c>
      <c r="AA91" s="7" t="str">
        <f>IF(金币!AA92="","",金币!$B92*金币!AA92)</f>
        <v/>
      </c>
      <c r="AB91" s="7" t="str">
        <f>IF(金币!AB92="","",金币!$B92*金币!AB92)</f>
        <v/>
      </c>
      <c r="AC91" s="7" t="str">
        <f>IF(金币!AC92="","",金币!$B92*金币!AC92)</f>
        <v/>
      </c>
      <c r="AD91" s="7" t="str">
        <f>IF(金币!AD92="","",金币!$B92*金币!AD92)</f>
        <v/>
      </c>
      <c r="AE91" s="7" t="str">
        <f>IF(金币!AE92="","",金币!$B92*金币!AE92)</f>
        <v/>
      </c>
      <c r="AF91" s="7">
        <f>IF(金币!AF92="","",金币!$B92*金币!AF92)</f>
        <v>1800</v>
      </c>
      <c r="AG91" s="7">
        <f>金币!AI92</f>
        <v>0</v>
      </c>
    </row>
    <row r="92" spans="1:33">
      <c r="A92" s="32">
        <v>91</v>
      </c>
      <c r="B92" s="87">
        <f>金币!B93</f>
        <v>91</v>
      </c>
      <c r="C92" s="7">
        <f>IF(金币!C93="","",金币!$B93*金币!C93)</f>
        <v>728</v>
      </c>
      <c r="D92" s="7" t="str">
        <f>IF(金币!D93="","",金币!$B93*金币!D93)</f>
        <v/>
      </c>
      <c r="E92" s="7" t="str">
        <f>IF(金币!E93="","",金币!$B93*金币!E93)</f>
        <v/>
      </c>
      <c r="F92" s="7">
        <f>IF(金币!F93="","",金币!$B93*金币!F93)</f>
        <v>910</v>
      </c>
      <c r="G92" s="7" t="str">
        <f>IF(金币!G93="","",金币!$B93*金币!G93)</f>
        <v/>
      </c>
      <c r="H92" s="7" t="str">
        <f>IF(金币!H93="","",金币!$B93*金币!H93)</f>
        <v/>
      </c>
      <c r="I92" s="7" t="str">
        <f>IF(金币!I93="","",金币!$B93*金币!I93)</f>
        <v/>
      </c>
      <c r="J92" s="7" t="str">
        <f>IF(金币!J93="","",金币!$B93*金币!J93)</f>
        <v/>
      </c>
      <c r="K92" s="7">
        <f>IF(金币!K93="","",金币!$B93*金币!K93)</f>
        <v>910</v>
      </c>
      <c r="L92" s="7">
        <f>IF(金币!L93="","",金币!$B93*金币!L93)</f>
        <v>455</v>
      </c>
      <c r="M92" s="7" t="str">
        <f>IF(金币!M93="","",金币!$B93*金币!M93)</f>
        <v/>
      </c>
      <c r="N92" s="7" t="str">
        <f>IF(金币!N93="","",金币!$B93*金币!N93)</f>
        <v/>
      </c>
      <c r="O92" s="7" t="str">
        <f>IF(金币!O93="","",金币!$B93*金币!O93)</f>
        <v/>
      </c>
      <c r="P92" s="7" t="str">
        <f>IF(金币!P93="","",金币!$B93*金币!P93)</f>
        <v/>
      </c>
      <c r="Q92" s="7">
        <f>IF(金币!Q93="","",金币!$B93*金币!Q93)</f>
        <v>910</v>
      </c>
      <c r="R92" s="7" t="str">
        <f>IF(金币!R93="","",金币!$B93*金币!R93)</f>
        <v/>
      </c>
      <c r="S92" s="7">
        <f>IF(金币!S93="","",金币!$B93*金币!S93)</f>
        <v>273</v>
      </c>
      <c r="T92" s="7" t="str">
        <f>IF(金币!T93="","",金币!$B93*金币!T93)</f>
        <v/>
      </c>
      <c r="U92" s="7" t="str">
        <f>IF(金币!U93="","",金币!$B93*金币!U93)</f>
        <v/>
      </c>
      <c r="V92" s="7">
        <f>IF(金币!V93="","",金币!$B93*金币!V93)</f>
        <v>364</v>
      </c>
      <c r="W92" s="7" t="str">
        <f>IF(金币!W93="","",金币!$B93*金币!W93)</f>
        <v/>
      </c>
      <c r="X92" s="7" t="str">
        <f>IF(金币!X93="","",金币!$B93*金币!X93)</f>
        <v/>
      </c>
      <c r="Y92" s="7" t="str">
        <f>IF(金币!Y93="","",金币!$B93*金币!Y93)</f>
        <v/>
      </c>
      <c r="Z92" s="7">
        <f>IF(金币!Z93="","",金币!$B93*金币!Z93)</f>
        <v>910</v>
      </c>
      <c r="AA92" s="7" t="str">
        <f>IF(金币!AA93="","",金币!$B93*金币!AA93)</f>
        <v/>
      </c>
      <c r="AB92" s="7" t="str">
        <f>IF(金币!AB93="","",金币!$B93*金币!AB93)</f>
        <v/>
      </c>
      <c r="AC92" s="7" t="str">
        <f>IF(金币!AC93="","",金币!$B93*金币!AC93)</f>
        <v/>
      </c>
      <c r="AD92" s="7" t="str">
        <f>IF(金币!AD93="","",金币!$B93*金币!AD93)</f>
        <v/>
      </c>
      <c r="AE92" s="7" t="str">
        <f>IF(金币!AE93="","",金币!$B93*金币!AE93)</f>
        <v/>
      </c>
      <c r="AF92" s="7">
        <f>IF(金币!AF93="","",金币!$B93*金币!AF93)</f>
        <v>1820</v>
      </c>
      <c r="AG92" s="7">
        <f>金币!AI93</f>
        <v>0</v>
      </c>
    </row>
    <row r="93" spans="1:33">
      <c r="A93" s="32">
        <v>92</v>
      </c>
      <c r="B93" s="87">
        <f>金币!B94</f>
        <v>92</v>
      </c>
      <c r="C93" s="7">
        <f>IF(金币!C94="","",金币!$B94*金币!C94)</f>
        <v>736</v>
      </c>
      <c r="D93" s="7" t="str">
        <f>IF(金币!D94="","",金币!$B94*金币!D94)</f>
        <v/>
      </c>
      <c r="E93" s="7" t="str">
        <f>IF(金币!E94="","",金币!$B94*金币!E94)</f>
        <v/>
      </c>
      <c r="F93" s="7">
        <f>IF(金币!F94="","",金币!$B94*金币!F94)</f>
        <v>920</v>
      </c>
      <c r="G93" s="7" t="str">
        <f>IF(金币!G94="","",金币!$B94*金币!G94)</f>
        <v/>
      </c>
      <c r="H93" s="7" t="str">
        <f>IF(金币!H94="","",金币!$B94*金币!H94)</f>
        <v/>
      </c>
      <c r="I93" s="7" t="str">
        <f>IF(金币!I94="","",金币!$B94*金币!I94)</f>
        <v/>
      </c>
      <c r="J93" s="7" t="str">
        <f>IF(金币!J94="","",金币!$B94*金币!J94)</f>
        <v/>
      </c>
      <c r="K93" s="7">
        <f>IF(金币!K94="","",金币!$B94*金币!K94)</f>
        <v>920</v>
      </c>
      <c r="L93" s="7">
        <f>IF(金币!L94="","",金币!$B94*金币!L94)</f>
        <v>460</v>
      </c>
      <c r="M93" s="7" t="str">
        <f>IF(金币!M94="","",金币!$B94*金币!M94)</f>
        <v/>
      </c>
      <c r="N93" s="7" t="str">
        <f>IF(金币!N94="","",金币!$B94*金币!N94)</f>
        <v/>
      </c>
      <c r="O93" s="7" t="str">
        <f>IF(金币!O94="","",金币!$B94*金币!O94)</f>
        <v/>
      </c>
      <c r="P93" s="7" t="str">
        <f>IF(金币!P94="","",金币!$B94*金币!P94)</f>
        <v/>
      </c>
      <c r="Q93" s="7">
        <f>IF(金币!Q94="","",金币!$B94*金币!Q94)</f>
        <v>920</v>
      </c>
      <c r="R93" s="7" t="str">
        <f>IF(金币!R94="","",金币!$B94*金币!R94)</f>
        <v/>
      </c>
      <c r="S93" s="7">
        <f>IF(金币!S94="","",金币!$B94*金币!S94)</f>
        <v>276</v>
      </c>
      <c r="T93" s="7" t="str">
        <f>IF(金币!T94="","",金币!$B94*金币!T94)</f>
        <v/>
      </c>
      <c r="U93" s="7" t="str">
        <f>IF(金币!U94="","",金币!$B94*金币!U94)</f>
        <v/>
      </c>
      <c r="V93" s="7">
        <f>IF(金币!V94="","",金币!$B94*金币!V94)</f>
        <v>368</v>
      </c>
      <c r="W93" s="7" t="str">
        <f>IF(金币!W94="","",金币!$B94*金币!W94)</f>
        <v/>
      </c>
      <c r="X93" s="7" t="str">
        <f>IF(金币!X94="","",金币!$B94*金币!X94)</f>
        <v/>
      </c>
      <c r="Y93" s="7" t="str">
        <f>IF(金币!Y94="","",金币!$B94*金币!Y94)</f>
        <v/>
      </c>
      <c r="Z93" s="7">
        <f>IF(金币!Z94="","",金币!$B94*金币!Z94)</f>
        <v>920</v>
      </c>
      <c r="AA93" s="7" t="str">
        <f>IF(金币!AA94="","",金币!$B94*金币!AA94)</f>
        <v/>
      </c>
      <c r="AB93" s="7" t="str">
        <f>IF(金币!AB94="","",金币!$B94*金币!AB94)</f>
        <v/>
      </c>
      <c r="AC93" s="7" t="str">
        <f>IF(金币!AC94="","",金币!$B94*金币!AC94)</f>
        <v/>
      </c>
      <c r="AD93" s="7" t="str">
        <f>IF(金币!AD94="","",金币!$B94*金币!AD94)</f>
        <v/>
      </c>
      <c r="AE93" s="7" t="str">
        <f>IF(金币!AE94="","",金币!$B94*金币!AE94)</f>
        <v/>
      </c>
      <c r="AF93" s="7">
        <f>IF(金币!AF94="","",金币!$B94*金币!AF94)</f>
        <v>1840</v>
      </c>
      <c r="AG93" s="7">
        <f>金币!AI94</f>
        <v>0</v>
      </c>
    </row>
    <row r="94" spans="1:33">
      <c r="A94" s="32">
        <v>93</v>
      </c>
      <c r="B94" s="87">
        <f>金币!B95</f>
        <v>93</v>
      </c>
      <c r="C94" s="7">
        <f>IF(金币!C95="","",金币!$B95*金币!C95)</f>
        <v>744</v>
      </c>
      <c r="D94" s="7" t="str">
        <f>IF(金币!D95="","",金币!$B95*金币!D95)</f>
        <v/>
      </c>
      <c r="E94" s="7" t="str">
        <f>IF(金币!E95="","",金币!$B95*金币!E95)</f>
        <v/>
      </c>
      <c r="F94" s="7">
        <f>IF(金币!F95="","",金币!$B95*金币!F95)</f>
        <v>930</v>
      </c>
      <c r="G94" s="7" t="str">
        <f>IF(金币!G95="","",金币!$B95*金币!G95)</f>
        <v/>
      </c>
      <c r="H94" s="7" t="str">
        <f>IF(金币!H95="","",金币!$B95*金币!H95)</f>
        <v/>
      </c>
      <c r="I94" s="7" t="str">
        <f>IF(金币!I95="","",金币!$B95*金币!I95)</f>
        <v/>
      </c>
      <c r="J94" s="7" t="str">
        <f>IF(金币!J95="","",金币!$B95*金币!J95)</f>
        <v/>
      </c>
      <c r="K94" s="7">
        <f>IF(金币!K95="","",金币!$B95*金币!K95)</f>
        <v>930</v>
      </c>
      <c r="L94" s="7">
        <f>IF(金币!L95="","",金币!$B95*金币!L95)</f>
        <v>465</v>
      </c>
      <c r="M94" s="7" t="str">
        <f>IF(金币!M95="","",金币!$B95*金币!M95)</f>
        <v/>
      </c>
      <c r="N94" s="7" t="str">
        <f>IF(金币!N95="","",金币!$B95*金币!N95)</f>
        <v/>
      </c>
      <c r="O94" s="7" t="str">
        <f>IF(金币!O95="","",金币!$B95*金币!O95)</f>
        <v/>
      </c>
      <c r="P94" s="7" t="str">
        <f>IF(金币!P95="","",金币!$B95*金币!P95)</f>
        <v/>
      </c>
      <c r="Q94" s="7">
        <f>IF(金币!Q95="","",金币!$B95*金币!Q95)</f>
        <v>930</v>
      </c>
      <c r="R94" s="7" t="str">
        <f>IF(金币!R95="","",金币!$B95*金币!R95)</f>
        <v/>
      </c>
      <c r="S94" s="7">
        <f>IF(金币!S95="","",金币!$B95*金币!S95)</f>
        <v>279</v>
      </c>
      <c r="T94" s="7" t="str">
        <f>IF(金币!T95="","",金币!$B95*金币!T95)</f>
        <v/>
      </c>
      <c r="U94" s="7" t="str">
        <f>IF(金币!U95="","",金币!$B95*金币!U95)</f>
        <v/>
      </c>
      <c r="V94" s="7">
        <f>IF(金币!V95="","",金币!$B95*金币!V95)</f>
        <v>372</v>
      </c>
      <c r="W94" s="7" t="str">
        <f>IF(金币!W95="","",金币!$B95*金币!W95)</f>
        <v/>
      </c>
      <c r="X94" s="7" t="str">
        <f>IF(金币!X95="","",金币!$B95*金币!X95)</f>
        <v/>
      </c>
      <c r="Y94" s="7" t="str">
        <f>IF(金币!Y95="","",金币!$B95*金币!Y95)</f>
        <v/>
      </c>
      <c r="Z94" s="7">
        <f>IF(金币!Z95="","",金币!$B95*金币!Z95)</f>
        <v>930</v>
      </c>
      <c r="AA94" s="7" t="str">
        <f>IF(金币!AA95="","",金币!$B95*金币!AA95)</f>
        <v/>
      </c>
      <c r="AB94" s="7" t="str">
        <f>IF(金币!AB95="","",金币!$B95*金币!AB95)</f>
        <v/>
      </c>
      <c r="AC94" s="7" t="str">
        <f>IF(金币!AC95="","",金币!$B95*金币!AC95)</f>
        <v/>
      </c>
      <c r="AD94" s="7" t="str">
        <f>IF(金币!AD95="","",金币!$B95*金币!AD95)</f>
        <v/>
      </c>
      <c r="AE94" s="7" t="str">
        <f>IF(金币!AE95="","",金币!$B95*金币!AE95)</f>
        <v/>
      </c>
      <c r="AF94" s="7">
        <f>IF(金币!AF95="","",金币!$B95*金币!AF95)</f>
        <v>1860</v>
      </c>
      <c r="AG94" s="7">
        <f>金币!AI95</f>
        <v>0</v>
      </c>
    </row>
    <row r="95" spans="1:33">
      <c r="A95" s="32">
        <v>94</v>
      </c>
      <c r="B95" s="87">
        <f>金币!B96</f>
        <v>94</v>
      </c>
      <c r="C95" s="7">
        <f>IF(金币!C96="","",金币!$B96*金币!C96)</f>
        <v>752</v>
      </c>
      <c r="D95" s="7" t="str">
        <f>IF(金币!D96="","",金币!$B96*金币!D96)</f>
        <v/>
      </c>
      <c r="E95" s="7" t="str">
        <f>IF(金币!E96="","",金币!$B96*金币!E96)</f>
        <v/>
      </c>
      <c r="F95" s="7">
        <f>IF(金币!F96="","",金币!$B96*金币!F96)</f>
        <v>940</v>
      </c>
      <c r="G95" s="7" t="str">
        <f>IF(金币!G96="","",金币!$B96*金币!G96)</f>
        <v/>
      </c>
      <c r="H95" s="7" t="str">
        <f>IF(金币!H96="","",金币!$B96*金币!H96)</f>
        <v/>
      </c>
      <c r="I95" s="7" t="str">
        <f>IF(金币!I96="","",金币!$B96*金币!I96)</f>
        <v/>
      </c>
      <c r="J95" s="7" t="str">
        <f>IF(金币!J96="","",金币!$B96*金币!J96)</f>
        <v/>
      </c>
      <c r="K95" s="7">
        <f>IF(金币!K96="","",金币!$B96*金币!K96)</f>
        <v>940</v>
      </c>
      <c r="L95" s="7">
        <f>IF(金币!L96="","",金币!$B96*金币!L96)</f>
        <v>470</v>
      </c>
      <c r="M95" s="7" t="str">
        <f>IF(金币!M96="","",金币!$B96*金币!M96)</f>
        <v/>
      </c>
      <c r="N95" s="7" t="str">
        <f>IF(金币!N96="","",金币!$B96*金币!N96)</f>
        <v/>
      </c>
      <c r="O95" s="7" t="str">
        <f>IF(金币!O96="","",金币!$B96*金币!O96)</f>
        <v/>
      </c>
      <c r="P95" s="7" t="str">
        <f>IF(金币!P96="","",金币!$B96*金币!P96)</f>
        <v/>
      </c>
      <c r="Q95" s="7">
        <f>IF(金币!Q96="","",金币!$B96*金币!Q96)</f>
        <v>940</v>
      </c>
      <c r="R95" s="7" t="str">
        <f>IF(金币!R96="","",金币!$B96*金币!R96)</f>
        <v/>
      </c>
      <c r="S95" s="7">
        <f>IF(金币!S96="","",金币!$B96*金币!S96)</f>
        <v>282</v>
      </c>
      <c r="T95" s="7" t="str">
        <f>IF(金币!T96="","",金币!$B96*金币!T96)</f>
        <v/>
      </c>
      <c r="U95" s="7" t="str">
        <f>IF(金币!U96="","",金币!$B96*金币!U96)</f>
        <v/>
      </c>
      <c r="V95" s="7">
        <f>IF(金币!V96="","",金币!$B96*金币!V96)</f>
        <v>376</v>
      </c>
      <c r="W95" s="7" t="str">
        <f>IF(金币!W96="","",金币!$B96*金币!W96)</f>
        <v/>
      </c>
      <c r="X95" s="7" t="str">
        <f>IF(金币!X96="","",金币!$B96*金币!X96)</f>
        <v/>
      </c>
      <c r="Y95" s="7" t="str">
        <f>IF(金币!Y96="","",金币!$B96*金币!Y96)</f>
        <v/>
      </c>
      <c r="Z95" s="7">
        <f>IF(金币!Z96="","",金币!$B96*金币!Z96)</f>
        <v>940</v>
      </c>
      <c r="AA95" s="7" t="str">
        <f>IF(金币!AA96="","",金币!$B96*金币!AA96)</f>
        <v/>
      </c>
      <c r="AB95" s="7" t="str">
        <f>IF(金币!AB96="","",金币!$B96*金币!AB96)</f>
        <v/>
      </c>
      <c r="AC95" s="7" t="str">
        <f>IF(金币!AC96="","",金币!$B96*金币!AC96)</f>
        <v/>
      </c>
      <c r="AD95" s="7" t="str">
        <f>IF(金币!AD96="","",金币!$B96*金币!AD96)</f>
        <v/>
      </c>
      <c r="AE95" s="7" t="str">
        <f>IF(金币!AE96="","",金币!$B96*金币!AE96)</f>
        <v/>
      </c>
      <c r="AF95" s="7">
        <f>IF(金币!AF96="","",金币!$B96*金币!AF96)</f>
        <v>1880</v>
      </c>
      <c r="AG95" s="7">
        <f>金币!AI96</f>
        <v>0</v>
      </c>
    </row>
    <row r="96" spans="1:33">
      <c r="A96" s="32">
        <v>95</v>
      </c>
      <c r="B96" s="87">
        <f>金币!B97</f>
        <v>95</v>
      </c>
      <c r="C96" s="7">
        <f>IF(金币!C97="","",金币!$B97*金币!C97)</f>
        <v>760</v>
      </c>
      <c r="D96" s="7" t="str">
        <f>IF(金币!D97="","",金币!$B97*金币!D97)</f>
        <v/>
      </c>
      <c r="E96" s="7" t="str">
        <f>IF(金币!E97="","",金币!$B97*金币!E97)</f>
        <v/>
      </c>
      <c r="F96" s="7">
        <f>IF(金币!F97="","",金币!$B97*金币!F97)</f>
        <v>950</v>
      </c>
      <c r="G96" s="7" t="str">
        <f>IF(金币!G97="","",金币!$B97*金币!G97)</f>
        <v/>
      </c>
      <c r="H96" s="7" t="str">
        <f>IF(金币!H97="","",金币!$B97*金币!H97)</f>
        <v/>
      </c>
      <c r="I96" s="7" t="str">
        <f>IF(金币!I97="","",金币!$B97*金币!I97)</f>
        <v/>
      </c>
      <c r="J96" s="7" t="str">
        <f>IF(金币!J97="","",金币!$B97*金币!J97)</f>
        <v/>
      </c>
      <c r="K96" s="7">
        <f>IF(金币!K97="","",金币!$B97*金币!K97)</f>
        <v>950</v>
      </c>
      <c r="L96" s="7">
        <f>IF(金币!L97="","",金币!$B97*金币!L97)</f>
        <v>475</v>
      </c>
      <c r="M96" s="7" t="str">
        <f>IF(金币!M97="","",金币!$B97*金币!M97)</f>
        <v/>
      </c>
      <c r="N96" s="7" t="str">
        <f>IF(金币!N97="","",金币!$B97*金币!N97)</f>
        <v/>
      </c>
      <c r="O96" s="7" t="str">
        <f>IF(金币!O97="","",金币!$B97*金币!O97)</f>
        <v/>
      </c>
      <c r="P96" s="7" t="str">
        <f>IF(金币!P97="","",金币!$B97*金币!P97)</f>
        <v/>
      </c>
      <c r="Q96" s="7">
        <f>IF(金币!Q97="","",金币!$B97*金币!Q97)</f>
        <v>950</v>
      </c>
      <c r="R96" s="7" t="str">
        <f>IF(金币!R97="","",金币!$B97*金币!R97)</f>
        <v/>
      </c>
      <c r="S96" s="7">
        <f>IF(金币!S97="","",金币!$B97*金币!S97)</f>
        <v>285</v>
      </c>
      <c r="T96" s="7" t="str">
        <f>IF(金币!T97="","",金币!$B97*金币!T97)</f>
        <v/>
      </c>
      <c r="U96" s="7" t="str">
        <f>IF(金币!U97="","",金币!$B97*金币!U97)</f>
        <v/>
      </c>
      <c r="V96" s="7">
        <f>IF(金币!V97="","",金币!$B97*金币!V97)</f>
        <v>380</v>
      </c>
      <c r="W96" s="7" t="str">
        <f>IF(金币!W97="","",金币!$B97*金币!W97)</f>
        <v/>
      </c>
      <c r="X96" s="7" t="str">
        <f>IF(金币!X97="","",金币!$B97*金币!X97)</f>
        <v/>
      </c>
      <c r="Y96" s="7" t="str">
        <f>IF(金币!Y97="","",金币!$B97*金币!Y97)</f>
        <v/>
      </c>
      <c r="Z96" s="7">
        <f>IF(金币!Z97="","",金币!$B97*金币!Z97)</f>
        <v>950</v>
      </c>
      <c r="AA96" s="7" t="str">
        <f>IF(金币!AA97="","",金币!$B97*金币!AA97)</f>
        <v/>
      </c>
      <c r="AB96" s="7" t="str">
        <f>IF(金币!AB97="","",金币!$B97*金币!AB97)</f>
        <v/>
      </c>
      <c r="AC96" s="7" t="str">
        <f>IF(金币!AC97="","",金币!$B97*金币!AC97)</f>
        <v/>
      </c>
      <c r="AD96" s="7" t="str">
        <f>IF(金币!AD97="","",金币!$B97*金币!AD97)</f>
        <v/>
      </c>
      <c r="AE96" s="7" t="str">
        <f>IF(金币!AE97="","",金币!$B97*金币!AE97)</f>
        <v/>
      </c>
      <c r="AF96" s="7">
        <f>IF(金币!AF97="","",金币!$B97*金币!AF97)</f>
        <v>1900</v>
      </c>
      <c r="AG96" s="7">
        <f>金币!AI97</f>
        <v>0</v>
      </c>
    </row>
    <row r="97" spans="1:33">
      <c r="A97" s="32">
        <v>96</v>
      </c>
      <c r="B97" s="87">
        <f>金币!B98</f>
        <v>96</v>
      </c>
      <c r="C97" s="7">
        <f>IF(金币!C98="","",金币!$B98*金币!C98)</f>
        <v>768</v>
      </c>
      <c r="D97" s="7" t="str">
        <f>IF(金币!D98="","",金币!$B98*金币!D98)</f>
        <v/>
      </c>
      <c r="E97" s="7" t="str">
        <f>IF(金币!E98="","",金币!$B98*金币!E98)</f>
        <v/>
      </c>
      <c r="F97" s="7">
        <f>IF(金币!F98="","",金币!$B98*金币!F98)</f>
        <v>960</v>
      </c>
      <c r="G97" s="7" t="str">
        <f>IF(金币!G98="","",金币!$B98*金币!G98)</f>
        <v/>
      </c>
      <c r="H97" s="7" t="str">
        <f>IF(金币!H98="","",金币!$B98*金币!H98)</f>
        <v/>
      </c>
      <c r="I97" s="7" t="str">
        <f>IF(金币!I98="","",金币!$B98*金币!I98)</f>
        <v/>
      </c>
      <c r="J97" s="7" t="str">
        <f>IF(金币!J98="","",金币!$B98*金币!J98)</f>
        <v/>
      </c>
      <c r="K97" s="7">
        <f>IF(金币!K98="","",金币!$B98*金币!K98)</f>
        <v>960</v>
      </c>
      <c r="L97" s="7">
        <f>IF(金币!L98="","",金币!$B98*金币!L98)</f>
        <v>480</v>
      </c>
      <c r="M97" s="7" t="str">
        <f>IF(金币!M98="","",金币!$B98*金币!M98)</f>
        <v/>
      </c>
      <c r="N97" s="7" t="str">
        <f>IF(金币!N98="","",金币!$B98*金币!N98)</f>
        <v/>
      </c>
      <c r="O97" s="7" t="str">
        <f>IF(金币!O98="","",金币!$B98*金币!O98)</f>
        <v/>
      </c>
      <c r="P97" s="7" t="str">
        <f>IF(金币!P98="","",金币!$B98*金币!P98)</f>
        <v/>
      </c>
      <c r="Q97" s="7">
        <f>IF(金币!Q98="","",金币!$B98*金币!Q98)</f>
        <v>960</v>
      </c>
      <c r="R97" s="7" t="str">
        <f>IF(金币!R98="","",金币!$B98*金币!R98)</f>
        <v/>
      </c>
      <c r="S97" s="7">
        <f>IF(金币!S98="","",金币!$B98*金币!S98)</f>
        <v>288</v>
      </c>
      <c r="T97" s="7" t="str">
        <f>IF(金币!T98="","",金币!$B98*金币!T98)</f>
        <v/>
      </c>
      <c r="U97" s="7" t="str">
        <f>IF(金币!U98="","",金币!$B98*金币!U98)</f>
        <v/>
      </c>
      <c r="V97" s="7">
        <f>IF(金币!V98="","",金币!$B98*金币!V98)</f>
        <v>384</v>
      </c>
      <c r="W97" s="7" t="str">
        <f>IF(金币!W98="","",金币!$B98*金币!W98)</f>
        <v/>
      </c>
      <c r="X97" s="7" t="str">
        <f>IF(金币!X98="","",金币!$B98*金币!X98)</f>
        <v/>
      </c>
      <c r="Y97" s="7" t="str">
        <f>IF(金币!Y98="","",金币!$B98*金币!Y98)</f>
        <v/>
      </c>
      <c r="Z97" s="7">
        <f>IF(金币!Z98="","",金币!$B98*金币!Z98)</f>
        <v>960</v>
      </c>
      <c r="AA97" s="7" t="str">
        <f>IF(金币!AA98="","",金币!$B98*金币!AA98)</f>
        <v/>
      </c>
      <c r="AB97" s="7" t="str">
        <f>IF(金币!AB98="","",金币!$B98*金币!AB98)</f>
        <v/>
      </c>
      <c r="AC97" s="7" t="str">
        <f>IF(金币!AC98="","",金币!$B98*金币!AC98)</f>
        <v/>
      </c>
      <c r="AD97" s="7" t="str">
        <f>IF(金币!AD98="","",金币!$B98*金币!AD98)</f>
        <v/>
      </c>
      <c r="AE97" s="7" t="str">
        <f>IF(金币!AE98="","",金币!$B98*金币!AE98)</f>
        <v/>
      </c>
      <c r="AF97" s="7">
        <f>IF(金币!AF98="","",金币!$B98*金币!AF98)</f>
        <v>1920</v>
      </c>
      <c r="AG97" s="7">
        <f>金币!AI98</f>
        <v>0</v>
      </c>
    </row>
    <row r="98" spans="1:33">
      <c r="A98" s="32">
        <v>97</v>
      </c>
      <c r="B98" s="87">
        <f>金币!B99</f>
        <v>97</v>
      </c>
      <c r="C98" s="7">
        <f>IF(金币!C99="","",金币!$B99*金币!C99)</f>
        <v>776</v>
      </c>
      <c r="D98" s="7" t="str">
        <f>IF(金币!D99="","",金币!$B99*金币!D99)</f>
        <v/>
      </c>
      <c r="E98" s="7" t="str">
        <f>IF(金币!E99="","",金币!$B99*金币!E99)</f>
        <v/>
      </c>
      <c r="F98" s="7">
        <f>IF(金币!F99="","",金币!$B99*金币!F99)</f>
        <v>970</v>
      </c>
      <c r="G98" s="7" t="str">
        <f>IF(金币!G99="","",金币!$B99*金币!G99)</f>
        <v/>
      </c>
      <c r="H98" s="7" t="str">
        <f>IF(金币!H99="","",金币!$B99*金币!H99)</f>
        <v/>
      </c>
      <c r="I98" s="7" t="str">
        <f>IF(金币!I99="","",金币!$B99*金币!I99)</f>
        <v/>
      </c>
      <c r="J98" s="7" t="str">
        <f>IF(金币!J99="","",金币!$B99*金币!J99)</f>
        <v/>
      </c>
      <c r="K98" s="7">
        <f>IF(金币!K99="","",金币!$B99*金币!K99)</f>
        <v>970</v>
      </c>
      <c r="L98" s="7">
        <f>IF(金币!L99="","",金币!$B99*金币!L99)</f>
        <v>485</v>
      </c>
      <c r="M98" s="7" t="str">
        <f>IF(金币!M99="","",金币!$B99*金币!M99)</f>
        <v/>
      </c>
      <c r="N98" s="7" t="str">
        <f>IF(金币!N99="","",金币!$B99*金币!N99)</f>
        <v/>
      </c>
      <c r="O98" s="7" t="str">
        <f>IF(金币!O99="","",金币!$B99*金币!O99)</f>
        <v/>
      </c>
      <c r="P98" s="7" t="str">
        <f>IF(金币!P99="","",金币!$B99*金币!P99)</f>
        <v/>
      </c>
      <c r="Q98" s="7">
        <f>IF(金币!Q99="","",金币!$B99*金币!Q99)</f>
        <v>970</v>
      </c>
      <c r="R98" s="7" t="str">
        <f>IF(金币!R99="","",金币!$B99*金币!R99)</f>
        <v/>
      </c>
      <c r="S98" s="7">
        <f>IF(金币!S99="","",金币!$B99*金币!S99)</f>
        <v>291</v>
      </c>
      <c r="T98" s="7" t="str">
        <f>IF(金币!T99="","",金币!$B99*金币!T99)</f>
        <v/>
      </c>
      <c r="U98" s="7" t="str">
        <f>IF(金币!U99="","",金币!$B99*金币!U99)</f>
        <v/>
      </c>
      <c r="V98" s="7">
        <f>IF(金币!V99="","",金币!$B99*金币!V99)</f>
        <v>388</v>
      </c>
      <c r="W98" s="7" t="str">
        <f>IF(金币!W99="","",金币!$B99*金币!W99)</f>
        <v/>
      </c>
      <c r="X98" s="7" t="str">
        <f>IF(金币!X99="","",金币!$B99*金币!X99)</f>
        <v/>
      </c>
      <c r="Y98" s="7" t="str">
        <f>IF(金币!Y99="","",金币!$B99*金币!Y99)</f>
        <v/>
      </c>
      <c r="Z98" s="7">
        <f>IF(金币!Z99="","",金币!$B99*金币!Z99)</f>
        <v>970</v>
      </c>
      <c r="AA98" s="7" t="str">
        <f>IF(金币!AA99="","",金币!$B99*金币!AA99)</f>
        <v/>
      </c>
      <c r="AB98" s="7" t="str">
        <f>IF(金币!AB99="","",金币!$B99*金币!AB99)</f>
        <v/>
      </c>
      <c r="AC98" s="7" t="str">
        <f>IF(金币!AC99="","",金币!$B99*金币!AC99)</f>
        <v/>
      </c>
      <c r="AD98" s="7" t="str">
        <f>IF(金币!AD99="","",金币!$B99*金币!AD99)</f>
        <v/>
      </c>
      <c r="AE98" s="7" t="str">
        <f>IF(金币!AE99="","",金币!$B99*金币!AE99)</f>
        <v/>
      </c>
      <c r="AF98" s="7">
        <f>IF(金币!AF99="","",金币!$B99*金币!AF99)</f>
        <v>1940</v>
      </c>
      <c r="AG98" s="7">
        <f>金币!AI99</f>
        <v>0</v>
      </c>
    </row>
    <row r="99" spans="1:33">
      <c r="A99" s="32">
        <v>98</v>
      </c>
      <c r="B99" s="87">
        <f>金币!B100</f>
        <v>98</v>
      </c>
      <c r="C99" s="7">
        <f>IF(金币!C100="","",金币!$B100*金币!C100)</f>
        <v>784</v>
      </c>
      <c r="D99" s="7" t="str">
        <f>IF(金币!D100="","",金币!$B100*金币!D100)</f>
        <v/>
      </c>
      <c r="E99" s="7" t="str">
        <f>IF(金币!E100="","",金币!$B100*金币!E100)</f>
        <v/>
      </c>
      <c r="F99" s="7">
        <f>IF(金币!F100="","",金币!$B100*金币!F100)</f>
        <v>980</v>
      </c>
      <c r="G99" s="7" t="str">
        <f>IF(金币!G100="","",金币!$B100*金币!G100)</f>
        <v/>
      </c>
      <c r="H99" s="7" t="str">
        <f>IF(金币!H100="","",金币!$B100*金币!H100)</f>
        <v/>
      </c>
      <c r="I99" s="7" t="str">
        <f>IF(金币!I100="","",金币!$B100*金币!I100)</f>
        <v/>
      </c>
      <c r="J99" s="7" t="str">
        <f>IF(金币!J100="","",金币!$B100*金币!J100)</f>
        <v/>
      </c>
      <c r="K99" s="7">
        <f>IF(金币!K100="","",金币!$B100*金币!K100)</f>
        <v>980</v>
      </c>
      <c r="L99" s="7">
        <f>IF(金币!L100="","",金币!$B100*金币!L100)</f>
        <v>490</v>
      </c>
      <c r="M99" s="7" t="str">
        <f>IF(金币!M100="","",金币!$B100*金币!M100)</f>
        <v/>
      </c>
      <c r="N99" s="7" t="str">
        <f>IF(金币!N100="","",金币!$B100*金币!N100)</f>
        <v/>
      </c>
      <c r="O99" s="7" t="str">
        <f>IF(金币!O100="","",金币!$B100*金币!O100)</f>
        <v/>
      </c>
      <c r="P99" s="7" t="str">
        <f>IF(金币!P100="","",金币!$B100*金币!P100)</f>
        <v/>
      </c>
      <c r="Q99" s="7">
        <f>IF(金币!Q100="","",金币!$B100*金币!Q100)</f>
        <v>980</v>
      </c>
      <c r="R99" s="7" t="str">
        <f>IF(金币!R100="","",金币!$B100*金币!R100)</f>
        <v/>
      </c>
      <c r="S99" s="7">
        <f>IF(金币!S100="","",金币!$B100*金币!S100)</f>
        <v>294</v>
      </c>
      <c r="T99" s="7" t="str">
        <f>IF(金币!T100="","",金币!$B100*金币!T100)</f>
        <v/>
      </c>
      <c r="U99" s="7" t="str">
        <f>IF(金币!U100="","",金币!$B100*金币!U100)</f>
        <v/>
      </c>
      <c r="V99" s="7">
        <f>IF(金币!V100="","",金币!$B100*金币!V100)</f>
        <v>392</v>
      </c>
      <c r="W99" s="7" t="str">
        <f>IF(金币!W100="","",金币!$B100*金币!W100)</f>
        <v/>
      </c>
      <c r="X99" s="7" t="str">
        <f>IF(金币!X100="","",金币!$B100*金币!X100)</f>
        <v/>
      </c>
      <c r="Y99" s="7" t="str">
        <f>IF(金币!Y100="","",金币!$B100*金币!Y100)</f>
        <v/>
      </c>
      <c r="Z99" s="7">
        <f>IF(金币!Z100="","",金币!$B100*金币!Z100)</f>
        <v>980</v>
      </c>
      <c r="AA99" s="7" t="str">
        <f>IF(金币!AA100="","",金币!$B100*金币!AA100)</f>
        <v/>
      </c>
      <c r="AB99" s="7" t="str">
        <f>IF(金币!AB100="","",金币!$B100*金币!AB100)</f>
        <v/>
      </c>
      <c r="AC99" s="7" t="str">
        <f>IF(金币!AC100="","",金币!$B100*金币!AC100)</f>
        <v/>
      </c>
      <c r="AD99" s="7" t="str">
        <f>IF(金币!AD100="","",金币!$B100*金币!AD100)</f>
        <v/>
      </c>
      <c r="AE99" s="7" t="str">
        <f>IF(金币!AE100="","",金币!$B100*金币!AE100)</f>
        <v/>
      </c>
      <c r="AF99" s="7">
        <f>IF(金币!AF100="","",金币!$B100*金币!AF100)</f>
        <v>1960</v>
      </c>
      <c r="AG99" s="7">
        <f>金币!AI100</f>
        <v>0</v>
      </c>
    </row>
    <row r="100" spans="1:33">
      <c r="A100" s="32">
        <v>99</v>
      </c>
      <c r="B100" s="87">
        <f>金币!B101</f>
        <v>99</v>
      </c>
      <c r="C100" s="7">
        <f>IF(金币!C101="","",金币!$B101*金币!C101)</f>
        <v>792</v>
      </c>
      <c r="D100" s="7" t="str">
        <f>IF(金币!D101="","",金币!$B101*金币!D101)</f>
        <v/>
      </c>
      <c r="E100" s="7" t="str">
        <f>IF(金币!E101="","",金币!$B101*金币!E101)</f>
        <v/>
      </c>
      <c r="F100" s="7">
        <f>IF(金币!F101="","",金币!$B101*金币!F101)</f>
        <v>990</v>
      </c>
      <c r="G100" s="7" t="str">
        <f>IF(金币!G101="","",金币!$B101*金币!G101)</f>
        <v/>
      </c>
      <c r="H100" s="7" t="str">
        <f>IF(金币!H101="","",金币!$B101*金币!H101)</f>
        <v/>
      </c>
      <c r="I100" s="7" t="str">
        <f>IF(金币!I101="","",金币!$B101*金币!I101)</f>
        <v/>
      </c>
      <c r="J100" s="7" t="str">
        <f>IF(金币!J101="","",金币!$B101*金币!J101)</f>
        <v/>
      </c>
      <c r="K100" s="7">
        <f>IF(金币!K101="","",金币!$B101*金币!K101)</f>
        <v>990</v>
      </c>
      <c r="L100" s="7">
        <f>IF(金币!L101="","",金币!$B101*金币!L101)</f>
        <v>495</v>
      </c>
      <c r="M100" s="7" t="str">
        <f>IF(金币!M101="","",金币!$B101*金币!M101)</f>
        <v/>
      </c>
      <c r="N100" s="7" t="str">
        <f>IF(金币!N101="","",金币!$B101*金币!N101)</f>
        <v/>
      </c>
      <c r="O100" s="7" t="str">
        <f>IF(金币!O101="","",金币!$B101*金币!O101)</f>
        <v/>
      </c>
      <c r="P100" s="7" t="str">
        <f>IF(金币!P101="","",金币!$B101*金币!P101)</f>
        <v/>
      </c>
      <c r="Q100" s="7">
        <f>IF(金币!Q101="","",金币!$B101*金币!Q101)</f>
        <v>990</v>
      </c>
      <c r="R100" s="7" t="str">
        <f>IF(金币!R101="","",金币!$B101*金币!R101)</f>
        <v/>
      </c>
      <c r="S100" s="7">
        <f>IF(金币!S101="","",金币!$B101*金币!S101)</f>
        <v>297</v>
      </c>
      <c r="T100" s="7" t="str">
        <f>IF(金币!T101="","",金币!$B101*金币!T101)</f>
        <v/>
      </c>
      <c r="U100" s="7" t="str">
        <f>IF(金币!U101="","",金币!$B101*金币!U101)</f>
        <v/>
      </c>
      <c r="V100" s="7">
        <f>IF(金币!V101="","",金币!$B101*金币!V101)</f>
        <v>396</v>
      </c>
      <c r="W100" s="7" t="str">
        <f>IF(金币!W101="","",金币!$B101*金币!W101)</f>
        <v/>
      </c>
      <c r="X100" s="7" t="str">
        <f>IF(金币!X101="","",金币!$B101*金币!X101)</f>
        <v/>
      </c>
      <c r="Y100" s="7" t="str">
        <f>IF(金币!Y101="","",金币!$B101*金币!Y101)</f>
        <v/>
      </c>
      <c r="Z100" s="7">
        <f>IF(金币!Z101="","",金币!$B101*金币!Z101)</f>
        <v>990</v>
      </c>
      <c r="AA100" s="7" t="str">
        <f>IF(金币!AA101="","",金币!$B101*金币!AA101)</f>
        <v/>
      </c>
      <c r="AB100" s="7" t="str">
        <f>IF(金币!AB101="","",金币!$B101*金币!AB101)</f>
        <v/>
      </c>
      <c r="AC100" s="7" t="str">
        <f>IF(金币!AC101="","",金币!$B101*金币!AC101)</f>
        <v/>
      </c>
      <c r="AD100" s="7" t="str">
        <f>IF(金币!AD101="","",金币!$B101*金币!AD101)</f>
        <v/>
      </c>
      <c r="AE100" s="7" t="str">
        <f>IF(金币!AE101="","",金币!$B101*金币!AE101)</f>
        <v/>
      </c>
      <c r="AF100" s="7">
        <f>IF(金币!AF101="","",金币!$B101*金币!AF101)</f>
        <v>1980</v>
      </c>
      <c r="AG100" s="7">
        <f>金币!AI101</f>
        <v>0</v>
      </c>
    </row>
    <row r="101" spans="1:33">
      <c r="A101" s="32">
        <v>100</v>
      </c>
      <c r="B101" s="87">
        <f>金币!B102</f>
        <v>100</v>
      </c>
      <c r="C101" s="7">
        <f>IF(金币!C102="","",金币!$B102*金币!C102)</f>
        <v>800</v>
      </c>
      <c r="D101" s="7" t="str">
        <f>IF(金币!D102="","",金币!$B102*金币!D102)</f>
        <v/>
      </c>
      <c r="E101" s="7" t="str">
        <f>IF(金币!E102="","",金币!$B102*金币!E102)</f>
        <v/>
      </c>
      <c r="F101" s="7">
        <f>IF(金币!F102="","",金币!$B102*金币!F102)</f>
        <v>1000</v>
      </c>
      <c r="G101" s="7" t="str">
        <f>IF(金币!G102="","",金币!$B102*金币!G102)</f>
        <v/>
      </c>
      <c r="H101" s="7" t="str">
        <f>IF(金币!H102="","",金币!$B102*金币!H102)</f>
        <v/>
      </c>
      <c r="I101" s="7" t="str">
        <f>IF(金币!I102="","",金币!$B102*金币!I102)</f>
        <v/>
      </c>
      <c r="J101" s="7" t="str">
        <f>IF(金币!J102="","",金币!$B102*金币!J102)</f>
        <v/>
      </c>
      <c r="K101" s="7">
        <f>IF(金币!K102="","",金币!$B102*金币!K102)</f>
        <v>1000</v>
      </c>
      <c r="L101" s="7">
        <f>IF(金币!L102="","",金币!$B102*金币!L102)</f>
        <v>500</v>
      </c>
      <c r="M101" s="7" t="str">
        <f>IF(金币!M102="","",金币!$B102*金币!M102)</f>
        <v/>
      </c>
      <c r="N101" s="7" t="str">
        <f>IF(金币!N102="","",金币!$B102*金币!N102)</f>
        <v/>
      </c>
      <c r="O101" s="7" t="str">
        <f>IF(金币!O102="","",金币!$B102*金币!O102)</f>
        <v/>
      </c>
      <c r="P101" s="7" t="str">
        <f>IF(金币!P102="","",金币!$B102*金币!P102)</f>
        <v/>
      </c>
      <c r="Q101" s="7">
        <f>IF(金币!Q102="","",金币!$B102*金币!Q102)</f>
        <v>1000</v>
      </c>
      <c r="R101" s="7" t="str">
        <f>IF(金币!R102="","",金币!$B102*金币!R102)</f>
        <v/>
      </c>
      <c r="S101" s="7">
        <f>IF(金币!S102="","",金币!$B102*金币!S102)</f>
        <v>300</v>
      </c>
      <c r="T101" s="7" t="str">
        <f>IF(金币!T102="","",金币!$B102*金币!T102)</f>
        <v/>
      </c>
      <c r="U101" s="7" t="str">
        <f>IF(金币!U102="","",金币!$B102*金币!U102)</f>
        <v/>
      </c>
      <c r="V101" s="7">
        <f>IF(金币!V102="","",金币!$B102*金币!V102)</f>
        <v>400</v>
      </c>
      <c r="W101" s="7" t="str">
        <f>IF(金币!W102="","",金币!$B102*金币!W102)</f>
        <v/>
      </c>
      <c r="X101" s="7" t="str">
        <f>IF(金币!X102="","",金币!$B102*金币!X102)</f>
        <v/>
      </c>
      <c r="Y101" s="7" t="str">
        <f>IF(金币!Y102="","",金币!$B102*金币!Y102)</f>
        <v/>
      </c>
      <c r="Z101" s="7">
        <f>IF(金币!Z102="","",金币!$B102*金币!Z102)</f>
        <v>1000</v>
      </c>
      <c r="AA101" s="7" t="str">
        <f>IF(金币!AA102="","",金币!$B102*金币!AA102)</f>
        <v/>
      </c>
      <c r="AB101" s="7" t="str">
        <f>IF(金币!AB102="","",金币!$B102*金币!AB102)</f>
        <v/>
      </c>
      <c r="AC101" s="7" t="str">
        <f>IF(金币!AC102="","",金币!$B102*金币!AC102)</f>
        <v/>
      </c>
      <c r="AD101" s="7" t="str">
        <f>IF(金币!AD102="","",金币!$B102*金币!AD102)</f>
        <v/>
      </c>
      <c r="AE101" s="7" t="str">
        <f>IF(金币!AE102="","",金币!$B102*金币!AE102)</f>
        <v/>
      </c>
      <c r="AF101" s="7">
        <f>IF(金币!AF102="","",金币!$B102*金币!AF102)</f>
        <v>2000</v>
      </c>
      <c r="AG101" s="7">
        <f>金币!AI102</f>
        <v>0</v>
      </c>
    </row>
    <row r="102" spans="1:33">
      <c r="A102" s="32">
        <v>101</v>
      </c>
      <c r="B102" s="87">
        <f>金币!B103</f>
        <v>101</v>
      </c>
      <c r="C102" s="7">
        <f>IF(金币!C103="","",金币!$B103*金币!C103)</f>
        <v>808</v>
      </c>
      <c r="D102" s="7" t="str">
        <f>IF(金币!D103="","",金币!$B103*金币!D103)</f>
        <v/>
      </c>
      <c r="E102" s="7" t="str">
        <f>IF(金币!E103="","",金币!$B103*金币!E103)</f>
        <v/>
      </c>
      <c r="F102" s="7">
        <f>IF(金币!F103="","",金币!$B103*金币!F103)</f>
        <v>1010</v>
      </c>
      <c r="G102" s="7" t="str">
        <f>IF(金币!G103="","",金币!$B103*金币!G103)</f>
        <v/>
      </c>
      <c r="H102" s="7" t="str">
        <f>IF(金币!H103="","",金币!$B103*金币!H103)</f>
        <v/>
      </c>
      <c r="I102" s="7" t="str">
        <f>IF(金币!I103="","",金币!$B103*金币!I103)</f>
        <v/>
      </c>
      <c r="J102" s="7" t="str">
        <f>IF(金币!J103="","",金币!$B103*金币!J103)</f>
        <v/>
      </c>
      <c r="K102" s="7">
        <f>IF(金币!K103="","",金币!$B103*金币!K103)</f>
        <v>1010</v>
      </c>
      <c r="L102" s="7">
        <f>IF(金币!L103="","",金币!$B103*金币!L103)</f>
        <v>505</v>
      </c>
      <c r="M102" s="7" t="str">
        <f>IF(金币!M103="","",金币!$B103*金币!M103)</f>
        <v/>
      </c>
      <c r="N102" s="7" t="str">
        <f>IF(金币!N103="","",金币!$B103*金币!N103)</f>
        <v/>
      </c>
      <c r="O102" s="7" t="str">
        <f>IF(金币!O103="","",金币!$B103*金币!O103)</f>
        <v/>
      </c>
      <c r="P102" s="7" t="str">
        <f>IF(金币!P103="","",金币!$B103*金币!P103)</f>
        <v/>
      </c>
      <c r="Q102" s="7">
        <f>IF(金币!Q103="","",金币!$B103*金币!Q103)</f>
        <v>1010</v>
      </c>
      <c r="R102" s="7" t="str">
        <f>IF(金币!R103="","",金币!$B103*金币!R103)</f>
        <v/>
      </c>
      <c r="S102" s="7">
        <f>IF(金币!S103="","",金币!$B103*金币!S103)</f>
        <v>303</v>
      </c>
      <c r="T102" s="7" t="str">
        <f>IF(金币!T103="","",金币!$B103*金币!T103)</f>
        <v/>
      </c>
      <c r="U102" s="7" t="str">
        <f>IF(金币!U103="","",金币!$B103*金币!U103)</f>
        <v/>
      </c>
      <c r="V102" s="7">
        <f>IF(金币!V103="","",金币!$B103*金币!V103)</f>
        <v>404</v>
      </c>
      <c r="W102" s="7" t="str">
        <f>IF(金币!W103="","",金币!$B103*金币!W103)</f>
        <v/>
      </c>
      <c r="X102" s="7" t="str">
        <f>IF(金币!X103="","",金币!$B103*金币!X103)</f>
        <v/>
      </c>
      <c r="Y102" s="7" t="str">
        <f>IF(金币!Y103="","",金币!$B103*金币!Y103)</f>
        <v/>
      </c>
      <c r="Z102" s="7">
        <f>IF(金币!Z103="","",金币!$B103*金币!Z103)</f>
        <v>1010</v>
      </c>
      <c r="AA102" s="7" t="str">
        <f>IF(金币!AA103="","",金币!$B103*金币!AA103)</f>
        <v/>
      </c>
      <c r="AB102" s="7" t="str">
        <f>IF(金币!AB103="","",金币!$B103*金币!AB103)</f>
        <v/>
      </c>
      <c r="AC102" s="7" t="str">
        <f>IF(金币!AC103="","",金币!$B103*金币!AC103)</f>
        <v/>
      </c>
      <c r="AD102" s="7" t="str">
        <f>IF(金币!AD103="","",金币!$B103*金币!AD103)</f>
        <v/>
      </c>
      <c r="AE102" s="7" t="str">
        <f>IF(金币!AE103="","",金币!$B103*金币!AE103)</f>
        <v/>
      </c>
      <c r="AF102" s="7">
        <f>IF(金币!AF103="","",金币!$B103*金币!AF103)</f>
        <v>2020</v>
      </c>
      <c r="AG102" s="7">
        <f>金币!AI103</f>
        <v>0</v>
      </c>
    </row>
    <row r="103" spans="1:33">
      <c r="A103" s="32">
        <v>102</v>
      </c>
      <c r="B103" s="87">
        <f>金币!B104</f>
        <v>102</v>
      </c>
      <c r="C103" s="7">
        <f>IF(金币!C104="","",金币!$B104*金币!C104)</f>
        <v>816</v>
      </c>
      <c r="D103" s="7" t="str">
        <f>IF(金币!D104="","",金币!$B104*金币!D104)</f>
        <v/>
      </c>
      <c r="E103" s="7" t="str">
        <f>IF(金币!E104="","",金币!$B104*金币!E104)</f>
        <v/>
      </c>
      <c r="F103" s="7">
        <f>IF(金币!F104="","",金币!$B104*金币!F104)</f>
        <v>1020</v>
      </c>
      <c r="G103" s="7" t="str">
        <f>IF(金币!G104="","",金币!$B104*金币!G104)</f>
        <v/>
      </c>
      <c r="H103" s="7" t="str">
        <f>IF(金币!H104="","",金币!$B104*金币!H104)</f>
        <v/>
      </c>
      <c r="I103" s="7" t="str">
        <f>IF(金币!I104="","",金币!$B104*金币!I104)</f>
        <v/>
      </c>
      <c r="J103" s="7" t="str">
        <f>IF(金币!J104="","",金币!$B104*金币!J104)</f>
        <v/>
      </c>
      <c r="K103" s="7">
        <f>IF(金币!K104="","",金币!$B104*金币!K104)</f>
        <v>1020</v>
      </c>
      <c r="L103" s="7">
        <f>IF(金币!L104="","",金币!$B104*金币!L104)</f>
        <v>510</v>
      </c>
      <c r="M103" s="7" t="str">
        <f>IF(金币!M104="","",金币!$B104*金币!M104)</f>
        <v/>
      </c>
      <c r="N103" s="7" t="str">
        <f>IF(金币!N104="","",金币!$B104*金币!N104)</f>
        <v/>
      </c>
      <c r="O103" s="7" t="str">
        <f>IF(金币!O104="","",金币!$B104*金币!O104)</f>
        <v/>
      </c>
      <c r="P103" s="7" t="str">
        <f>IF(金币!P104="","",金币!$B104*金币!P104)</f>
        <v/>
      </c>
      <c r="Q103" s="7">
        <f>IF(金币!Q104="","",金币!$B104*金币!Q104)</f>
        <v>1020</v>
      </c>
      <c r="R103" s="7" t="str">
        <f>IF(金币!R104="","",金币!$B104*金币!R104)</f>
        <v/>
      </c>
      <c r="S103" s="7">
        <f>IF(金币!S104="","",金币!$B104*金币!S104)</f>
        <v>306</v>
      </c>
      <c r="T103" s="7" t="str">
        <f>IF(金币!T104="","",金币!$B104*金币!T104)</f>
        <v/>
      </c>
      <c r="U103" s="7" t="str">
        <f>IF(金币!U104="","",金币!$B104*金币!U104)</f>
        <v/>
      </c>
      <c r="V103" s="7">
        <f>IF(金币!V104="","",金币!$B104*金币!V104)</f>
        <v>408</v>
      </c>
      <c r="W103" s="7" t="str">
        <f>IF(金币!W104="","",金币!$B104*金币!W104)</f>
        <v/>
      </c>
      <c r="X103" s="7" t="str">
        <f>IF(金币!X104="","",金币!$B104*金币!X104)</f>
        <v/>
      </c>
      <c r="Y103" s="7" t="str">
        <f>IF(金币!Y104="","",金币!$B104*金币!Y104)</f>
        <v/>
      </c>
      <c r="Z103" s="7">
        <f>IF(金币!Z104="","",金币!$B104*金币!Z104)</f>
        <v>1020</v>
      </c>
      <c r="AA103" s="7" t="str">
        <f>IF(金币!AA104="","",金币!$B104*金币!AA104)</f>
        <v/>
      </c>
      <c r="AB103" s="7" t="str">
        <f>IF(金币!AB104="","",金币!$B104*金币!AB104)</f>
        <v/>
      </c>
      <c r="AC103" s="7" t="str">
        <f>IF(金币!AC104="","",金币!$B104*金币!AC104)</f>
        <v/>
      </c>
      <c r="AD103" s="7" t="str">
        <f>IF(金币!AD104="","",金币!$B104*金币!AD104)</f>
        <v/>
      </c>
      <c r="AE103" s="7" t="str">
        <f>IF(金币!AE104="","",金币!$B104*金币!AE104)</f>
        <v/>
      </c>
      <c r="AF103" s="7">
        <f>IF(金币!AF104="","",金币!$B104*金币!AF104)</f>
        <v>2040</v>
      </c>
      <c r="AG103" s="7">
        <f>金币!AI104</f>
        <v>0</v>
      </c>
    </row>
    <row r="104" spans="1:33">
      <c r="A104" s="32">
        <v>103</v>
      </c>
      <c r="B104" s="87">
        <f>金币!B105</f>
        <v>103</v>
      </c>
      <c r="C104" s="7">
        <f>IF(金币!C105="","",金币!$B105*金币!C105)</f>
        <v>824</v>
      </c>
      <c r="D104" s="7" t="str">
        <f>IF(金币!D105="","",金币!$B105*金币!D105)</f>
        <v/>
      </c>
      <c r="E104" s="7" t="str">
        <f>IF(金币!E105="","",金币!$B105*金币!E105)</f>
        <v/>
      </c>
      <c r="F104" s="7">
        <f>IF(金币!F105="","",金币!$B105*金币!F105)</f>
        <v>1030</v>
      </c>
      <c r="G104" s="7" t="str">
        <f>IF(金币!G105="","",金币!$B105*金币!G105)</f>
        <v/>
      </c>
      <c r="H104" s="7" t="str">
        <f>IF(金币!H105="","",金币!$B105*金币!H105)</f>
        <v/>
      </c>
      <c r="I104" s="7" t="str">
        <f>IF(金币!I105="","",金币!$B105*金币!I105)</f>
        <v/>
      </c>
      <c r="J104" s="7" t="str">
        <f>IF(金币!J105="","",金币!$B105*金币!J105)</f>
        <v/>
      </c>
      <c r="K104" s="7">
        <f>IF(金币!K105="","",金币!$B105*金币!K105)</f>
        <v>1030</v>
      </c>
      <c r="L104" s="7">
        <f>IF(金币!L105="","",金币!$B105*金币!L105)</f>
        <v>515</v>
      </c>
      <c r="M104" s="7" t="str">
        <f>IF(金币!M105="","",金币!$B105*金币!M105)</f>
        <v/>
      </c>
      <c r="N104" s="7" t="str">
        <f>IF(金币!N105="","",金币!$B105*金币!N105)</f>
        <v/>
      </c>
      <c r="O104" s="7" t="str">
        <f>IF(金币!O105="","",金币!$B105*金币!O105)</f>
        <v/>
      </c>
      <c r="P104" s="7" t="str">
        <f>IF(金币!P105="","",金币!$B105*金币!P105)</f>
        <v/>
      </c>
      <c r="Q104" s="7">
        <f>IF(金币!Q105="","",金币!$B105*金币!Q105)</f>
        <v>1030</v>
      </c>
      <c r="R104" s="7" t="str">
        <f>IF(金币!R105="","",金币!$B105*金币!R105)</f>
        <v/>
      </c>
      <c r="S104" s="7">
        <f>IF(金币!S105="","",金币!$B105*金币!S105)</f>
        <v>309</v>
      </c>
      <c r="T104" s="7" t="str">
        <f>IF(金币!T105="","",金币!$B105*金币!T105)</f>
        <v/>
      </c>
      <c r="U104" s="7" t="str">
        <f>IF(金币!U105="","",金币!$B105*金币!U105)</f>
        <v/>
      </c>
      <c r="V104" s="7">
        <f>IF(金币!V105="","",金币!$B105*金币!V105)</f>
        <v>412</v>
      </c>
      <c r="W104" s="7" t="str">
        <f>IF(金币!W105="","",金币!$B105*金币!W105)</f>
        <v/>
      </c>
      <c r="X104" s="7" t="str">
        <f>IF(金币!X105="","",金币!$B105*金币!X105)</f>
        <v/>
      </c>
      <c r="Y104" s="7" t="str">
        <f>IF(金币!Y105="","",金币!$B105*金币!Y105)</f>
        <v/>
      </c>
      <c r="Z104" s="7">
        <f>IF(金币!Z105="","",金币!$B105*金币!Z105)</f>
        <v>1030</v>
      </c>
      <c r="AA104" s="7" t="str">
        <f>IF(金币!AA105="","",金币!$B105*金币!AA105)</f>
        <v/>
      </c>
      <c r="AB104" s="7" t="str">
        <f>IF(金币!AB105="","",金币!$B105*金币!AB105)</f>
        <v/>
      </c>
      <c r="AC104" s="7" t="str">
        <f>IF(金币!AC105="","",金币!$B105*金币!AC105)</f>
        <v/>
      </c>
      <c r="AD104" s="7" t="str">
        <f>IF(金币!AD105="","",金币!$B105*金币!AD105)</f>
        <v/>
      </c>
      <c r="AE104" s="7" t="str">
        <f>IF(金币!AE105="","",金币!$B105*金币!AE105)</f>
        <v/>
      </c>
      <c r="AF104" s="7">
        <f>IF(金币!AF105="","",金币!$B105*金币!AF105)</f>
        <v>2060</v>
      </c>
      <c r="AG104" s="7">
        <f>金币!AI105</f>
        <v>0</v>
      </c>
    </row>
    <row r="105" spans="1:33">
      <c r="A105" s="32">
        <v>104</v>
      </c>
      <c r="B105" s="87">
        <f>金币!B106</f>
        <v>104</v>
      </c>
      <c r="C105" s="7">
        <f>IF(金币!C106="","",金币!$B106*金币!C106)</f>
        <v>832</v>
      </c>
      <c r="D105" s="7" t="str">
        <f>IF(金币!D106="","",金币!$B106*金币!D106)</f>
        <v/>
      </c>
      <c r="E105" s="7" t="str">
        <f>IF(金币!E106="","",金币!$B106*金币!E106)</f>
        <v/>
      </c>
      <c r="F105" s="7">
        <f>IF(金币!F106="","",金币!$B106*金币!F106)</f>
        <v>1040</v>
      </c>
      <c r="G105" s="7" t="str">
        <f>IF(金币!G106="","",金币!$B106*金币!G106)</f>
        <v/>
      </c>
      <c r="H105" s="7" t="str">
        <f>IF(金币!H106="","",金币!$B106*金币!H106)</f>
        <v/>
      </c>
      <c r="I105" s="7" t="str">
        <f>IF(金币!I106="","",金币!$B106*金币!I106)</f>
        <v/>
      </c>
      <c r="J105" s="7" t="str">
        <f>IF(金币!J106="","",金币!$B106*金币!J106)</f>
        <v/>
      </c>
      <c r="K105" s="7">
        <f>IF(金币!K106="","",金币!$B106*金币!K106)</f>
        <v>1040</v>
      </c>
      <c r="L105" s="7">
        <f>IF(金币!L106="","",金币!$B106*金币!L106)</f>
        <v>520</v>
      </c>
      <c r="M105" s="7" t="str">
        <f>IF(金币!M106="","",金币!$B106*金币!M106)</f>
        <v/>
      </c>
      <c r="N105" s="7" t="str">
        <f>IF(金币!N106="","",金币!$B106*金币!N106)</f>
        <v/>
      </c>
      <c r="O105" s="7" t="str">
        <f>IF(金币!O106="","",金币!$B106*金币!O106)</f>
        <v/>
      </c>
      <c r="P105" s="7" t="str">
        <f>IF(金币!P106="","",金币!$B106*金币!P106)</f>
        <v/>
      </c>
      <c r="Q105" s="7">
        <f>IF(金币!Q106="","",金币!$B106*金币!Q106)</f>
        <v>1040</v>
      </c>
      <c r="R105" s="7" t="str">
        <f>IF(金币!R106="","",金币!$B106*金币!R106)</f>
        <v/>
      </c>
      <c r="S105" s="7">
        <f>IF(金币!S106="","",金币!$B106*金币!S106)</f>
        <v>312</v>
      </c>
      <c r="T105" s="7" t="str">
        <f>IF(金币!T106="","",金币!$B106*金币!T106)</f>
        <v/>
      </c>
      <c r="U105" s="7" t="str">
        <f>IF(金币!U106="","",金币!$B106*金币!U106)</f>
        <v/>
      </c>
      <c r="V105" s="7">
        <f>IF(金币!V106="","",金币!$B106*金币!V106)</f>
        <v>416</v>
      </c>
      <c r="W105" s="7" t="str">
        <f>IF(金币!W106="","",金币!$B106*金币!W106)</f>
        <v/>
      </c>
      <c r="X105" s="7" t="str">
        <f>IF(金币!X106="","",金币!$B106*金币!X106)</f>
        <v/>
      </c>
      <c r="Y105" s="7" t="str">
        <f>IF(金币!Y106="","",金币!$B106*金币!Y106)</f>
        <v/>
      </c>
      <c r="Z105" s="7">
        <f>IF(金币!Z106="","",金币!$B106*金币!Z106)</f>
        <v>1040</v>
      </c>
      <c r="AA105" s="7" t="str">
        <f>IF(金币!AA106="","",金币!$B106*金币!AA106)</f>
        <v/>
      </c>
      <c r="AB105" s="7" t="str">
        <f>IF(金币!AB106="","",金币!$B106*金币!AB106)</f>
        <v/>
      </c>
      <c r="AC105" s="7" t="str">
        <f>IF(金币!AC106="","",金币!$B106*金币!AC106)</f>
        <v/>
      </c>
      <c r="AD105" s="7" t="str">
        <f>IF(金币!AD106="","",金币!$B106*金币!AD106)</f>
        <v/>
      </c>
      <c r="AE105" s="7" t="str">
        <f>IF(金币!AE106="","",金币!$B106*金币!AE106)</f>
        <v/>
      </c>
      <c r="AF105" s="7">
        <f>IF(金币!AF106="","",金币!$B106*金币!AF106)</f>
        <v>2080</v>
      </c>
      <c r="AG105" s="7">
        <f>金币!AI106</f>
        <v>0</v>
      </c>
    </row>
    <row r="106" spans="1:33">
      <c r="A106" s="32">
        <v>105</v>
      </c>
      <c r="B106" s="87">
        <f>金币!B107</f>
        <v>105</v>
      </c>
      <c r="C106" s="7">
        <f>IF(金币!C107="","",金币!$B107*金币!C107)</f>
        <v>840</v>
      </c>
      <c r="D106" s="7" t="str">
        <f>IF(金币!D107="","",金币!$B107*金币!D107)</f>
        <v/>
      </c>
      <c r="E106" s="7" t="str">
        <f>IF(金币!E107="","",金币!$B107*金币!E107)</f>
        <v/>
      </c>
      <c r="F106" s="7">
        <f>IF(金币!F107="","",金币!$B107*金币!F107)</f>
        <v>1050</v>
      </c>
      <c r="G106" s="7" t="str">
        <f>IF(金币!G107="","",金币!$B107*金币!G107)</f>
        <v/>
      </c>
      <c r="H106" s="7" t="str">
        <f>IF(金币!H107="","",金币!$B107*金币!H107)</f>
        <v/>
      </c>
      <c r="I106" s="7" t="str">
        <f>IF(金币!I107="","",金币!$B107*金币!I107)</f>
        <v/>
      </c>
      <c r="J106" s="7" t="str">
        <f>IF(金币!J107="","",金币!$B107*金币!J107)</f>
        <v/>
      </c>
      <c r="K106" s="7">
        <f>IF(金币!K107="","",金币!$B107*金币!K107)</f>
        <v>1050</v>
      </c>
      <c r="L106" s="7">
        <f>IF(金币!L107="","",金币!$B107*金币!L107)</f>
        <v>525</v>
      </c>
      <c r="M106" s="7" t="str">
        <f>IF(金币!M107="","",金币!$B107*金币!M107)</f>
        <v/>
      </c>
      <c r="N106" s="7" t="str">
        <f>IF(金币!N107="","",金币!$B107*金币!N107)</f>
        <v/>
      </c>
      <c r="O106" s="7" t="str">
        <f>IF(金币!O107="","",金币!$B107*金币!O107)</f>
        <v/>
      </c>
      <c r="P106" s="7" t="str">
        <f>IF(金币!P107="","",金币!$B107*金币!P107)</f>
        <v/>
      </c>
      <c r="Q106" s="7">
        <f>IF(金币!Q107="","",金币!$B107*金币!Q107)</f>
        <v>1050</v>
      </c>
      <c r="R106" s="7" t="str">
        <f>IF(金币!R107="","",金币!$B107*金币!R107)</f>
        <v/>
      </c>
      <c r="S106" s="7">
        <f>IF(金币!S107="","",金币!$B107*金币!S107)</f>
        <v>315</v>
      </c>
      <c r="T106" s="7" t="str">
        <f>IF(金币!T107="","",金币!$B107*金币!T107)</f>
        <v/>
      </c>
      <c r="U106" s="7" t="str">
        <f>IF(金币!U107="","",金币!$B107*金币!U107)</f>
        <v/>
      </c>
      <c r="V106" s="7">
        <f>IF(金币!V107="","",金币!$B107*金币!V107)</f>
        <v>420</v>
      </c>
      <c r="W106" s="7" t="str">
        <f>IF(金币!W107="","",金币!$B107*金币!W107)</f>
        <v/>
      </c>
      <c r="X106" s="7" t="str">
        <f>IF(金币!X107="","",金币!$B107*金币!X107)</f>
        <v/>
      </c>
      <c r="Y106" s="7" t="str">
        <f>IF(金币!Y107="","",金币!$B107*金币!Y107)</f>
        <v/>
      </c>
      <c r="Z106" s="7">
        <f>IF(金币!Z107="","",金币!$B107*金币!Z107)</f>
        <v>1050</v>
      </c>
      <c r="AA106" s="7" t="str">
        <f>IF(金币!AA107="","",金币!$B107*金币!AA107)</f>
        <v/>
      </c>
      <c r="AB106" s="7" t="str">
        <f>IF(金币!AB107="","",金币!$B107*金币!AB107)</f>
        <v/>
      </c>
      <c r="AC106" s="7" t="str">
        <f>IF(金币!AC107="","",金币!$B107*金币!AC107)</f>
        <v/>
      </c>
      <c r="AD106" s="7" t="str">
        <f>IF(金币!AD107="","",金币!$B107*金币!AD107)</f>
        <v/>
      </c>
      <c r="AE106" s="7" t="str">
        <f>IF(金币!AE107="","",金币!$B107*金币!AE107)</f>
        <v/>
      </c>
      <c r="AF106" s="7">
        <f>IF(金币!AF107="","",金币!$B107*金币!AF107)</f>
        <v>2100</v>
      </c>
      <c r="AG106" s="7">
        <f>金币!AI107</f>
        <v>0</v>
      </c>
    </row>
    <row r="107" spans="1:33">
      <c r="A107" s="32">
        <v>106</v>
      </c>
      <c r="B107" s="87">
        <f>金币!B108</f>
        <v>106</v>
      </c>
      <c r="C107" s="7">
        <f>IF(金币!C108="","",金币!$B108*金币!C108)</f>
        <v>848</v>
      </c>
      <c r="D107" s="7" t="str">
        <f>IF(金币!D108="","",金币!$B108*金币!D108)</f>
        <v/>
      </c>
      <c r="E107" s="7" t="str">
        <f>IF(金币!E108="","",金币!$B108*金币!E108)</f>
        <v/>
      </c>
      <c r="F107" s="7">
        <f>IF(金币!F108="","",金币!$B108*金币!F108)</f>
        <v>1060</v>
      </c>
      <c r="G107" s="7" t="str">
        <f>IF(金币!G108="","",金币!$B108*金币!G108)</f>
        <v/>
      </c>
      <c r="H107" s="7" t="str">
        <f>IF(金币!H108="","",金币!$B108*金币!H108)</f>
        <v/>
      </c>
      <c r="I107" s="7" t="str">
        <f>IF(金币!I108="","",金币!$B108*金币!I108)</f>
        <v/>
      </c>
      <c r="J107" s="7" t="str">
        <f>IF(金币!J108="","",金币!$B108*金币!J108)</f>
        <v/>
      </c>
      <c r="K107" s="7">
        <f>IF(金币!K108="","",金币!$B108*金币!K108)</f>
        <v>1060</v>
      </c>
      <c r="L107" s="7">
        <f>IF(金币!L108="","",金币!$B108*金币!L108)</f>
        <v>530</v>
      </c>
      <c r="M107" s="7" t="str">
        <f>IF(金币!M108="","",金币!$B108*金币!M108)</f>
        <v/>
      </c>
      <c r="N107" s="7" t="str">
        <f>IF(金币!N108="","",金币!$B108*金币!N108)</f>
        <v/>
      </c>
      <c r="O107" s="7" t="str">
        <f>IF(金币!O108="","",金币!$B108*金币!O108)</f>
        <v/>
      </c>
      <c r="P107" s="7" t="str">
        <f>IF(金币!P108="","",金币!$B108*金币!P108)</f>
        <v/>
      </c>
      <c r="Q107" s="7">
        <f>IF(金币!Q108="","",金币!$B108*金币!Q108)</f>
        <v>1060</v>
      </c>
      <c r="R107" s="7" t="str">
        <f>IF(金币!R108="","",金币!$B108*金币!R108)</f>
        <v/>
      </c>
      <c r="S107" s="7">
        <f>IF(金币!S108="","",金币!$B108*金币!S108)</f>
        <v>318</v>
      </c>
      <c r="T107" s="7" t="str">
        <f>IF(金币!T108="","",金币!$B108*金币!T108)</f>
        <v/>
      </c>
      <c r="U107" s="7" t="str">
        <f>IF(金币!U108="","",金币!$B108*金币!U108)</f>
        <v/>
      </c>
      <c r="V107" s="7">
        <f>IF(金币!V108="","",金币!$B108*金币!V108)</f>
        <v>424</v>
      </c>
      <c r="W107" s="7" t="str">
        <f>IF(金币!W108="","",金币!$B108*金币!W108)</f>
        <v/>
      </c>
      <c r="X107" s="7" t="str">
        <f>IF(金币!X108="","",金币!$B108*金币!X108)</f>
        <v/>
      </c>
      <c r="Y107" s="7" t="str">
        <f>IF(金币!Y108="","",金币!$B108*金币!Y108)</f>
        <v/>
      </c>
      <c r="Z107" s="7">
        <f>IF(金币!Z108="","",金币!$B108*金币!Z108)</f>
        <v>1060</v>
      </c>
      <c r="AA107" s="7" t="str">
        <f>IF(金币!AA108="","",金币!$B108*金币!AA108)</f>
        <v/>
      </c>
      <c r="AB107" s="7" t="str">
        <f>IF(金币!AB108="","",金币!$B108*金币!AB108)</f>
        <v/>
      </c>
      <c r="AC107" s="7" t="str">
        <f>IF(金币!AC108="","",金币!$B108*金币!AC108)</f>
        <v/>
      </c>
      <c r="AD107" s="7" t="str">
        <f>IF(金币!AD108="","",金币!$B108*金币!AD108)</f>
        <v/>
      </c>
      <c r="AE107" s="7" t="str">
        <f>IF(金币!AE108="","",金币!$B108*金币!AE108)</f>
        <v/>
      </c>
      <c r="AF107" s="7">
        <f>IF(金币!AF108="","",金币!$B108*金币!AF108)</f>
        <v>2120</v>
      </c>
      <c r="AG107" s="7">
        <f>金币!AI108</f>
        <v>0</v>
      </c>
    </row>
    <row r="108" spans="1:33">
      <c r="A108" s="32">
        <v>107</v>
      </c>
      <c r="B108" s="87">
        <f>金币!B109</f>
        <v>107</v>
      </c>
      <c r="C108" s="7">
        <f>IF(金币!C109="","",金币!$B109*金币!C109)</f>
        <v>856</v>
      </c>
      <c r="D108" s="7" t="str">
        <f>IF(金币!D109="","",金币!$B109*金币!D109)</f>
        <v/>
      </c>
      <c r="E108" s="7" t="str">
        <f>IF(金币!E109="","",金币!$B109*金币!E109)</f>
        <v/>
      </c>
      <c r="F108" s="7">
        <f>IF(金币!F109="","",金币!$B109*金币!F109)</f>
        <v>1070</v>
      </c>
      <c r="G108" s="7" t="str">
        <f>IF(金币!G109="","",金币!$B109*金币!G109)</f>
        <v/>
      </c>
      <c r="H108" s="7" t="str">
        <f>IF(金币!H109="","",金币!$B109*金币!H109)</f>
        <v/>
      </c>
      <c r="I108" s="7" t="str">
        <f>IF(金币!I109="","",金币!$B109*金币!I109)</f>
        <v/>
      </c>
      <c r="J108" s="7" t="str">
        <f>IF(金币!J109="","",金币!$B109*金币!J109)</f>
        <v/>
      </c>
      <c r="K108" s="7">
        <f>IF(金币!K109="","",金币!$B109*金币!K109)</f>
        <v>1070</v>
      </c>
      <c r="L108" s="7">
        <f>IF(金币!L109="","",金币!$B109*金币!L109)</f>
        <v>535</v>
      </c>
      <c r="M108" s="7" t="str">
        <f>IF(金币!M109="","",金币!$B109*金币!M109)</f>
        <v/>
      </c>
      <c r="N108" s="7" t="str">
        <f>IF(金币!N109="","",金币!$B109*金币!N109)</f>
        <v/>
      </c>
      <c r="O108" s="7" t="str">
        <f>IF(金币!O109="","",金币!$B109*金币!O109)</f>
        <v/>
      </c>
      <c r="P108" s="7" t="str">
        <f>IF(金币!P109="","",金币!$B109*金币!P109)</f>
        <v/>
      </c>
      <c r="Q108" s="7">
        <f>IF(金币!Q109="","",金币!$B109*金币!Q109)</f>
        <v>1070</v>
      </c>
      <c r="R108" s="7" t="str">
        <f>IF(金币!R109="","",金币!$B109*金币!R109)</f>
        <v/>
      </c>
      <c r="S108" s="7">
        <f>IF(金币!S109="","",金币!$B109*金币!S109)</f>
        <v>321</v>
      </c>
      <c r="T108" s="7" t="str">
        <f>IF(金币!T109="","",金币!$B109*金币!T109)</f>
        <v/>
      </c>
      <c r="U108" s="7" t="str">
        <f>IF(金币!U109="","",金币!$B109*金币!U109)</f>
        <v/>
      </c>
      <c r="V108" s="7">
        <f>IF(金币!V109="","",金币!$B109*金币!V109)</f>
        <v>428</v>
      </c>
      <c r="W108" s="7" t="str">
        <f>IF(金币!W109="","",金币!$B109*金币!W109)</f>
        <v/>
      </c>
      <c r="X108" s="7" t="str">
        <f>IF(金币!X109="","",金币!$B109*金币!X109)</f>
        <v/>
      </c>
      <c r="Y108" s="7" t="str">
        <f>IF(金币!Y109="","",金币!$B109*金币!Y109)</f>
        <v/>
      </c>
      <c r="Z108" s="7">
        <f>IF(金币!Z109="","",金币!$B109*金币!Z109)</f>
        <v>1070</v>
      </c>
      <c r="AA108" s="7" t="str">
        <f>IF(金币!AA109="","",金币!$B109*金币!AA109)</f>
        <v/>
      </c>
      <c r="AB108" s="7" t="str">
        <f>IF(金币!AB109="","",金币!$B109*金币!AB109)</f>
        <v/>
      </c>
      <c r="AC108" s="7" t="str">
        <f>IF(金币!AC109="","",金币!$B109*金币!AC109)</f>
        <v/>
      </c>
      <c r="AD108" s="7" t="str">
        <f>IF(金币!AD109="","",金币!$B109*金币!AD109)</f>
        <v/>
      </c>
      <c r="AE108" s="7" t="str">
        <f>IF(金币!AE109="","",金币!$B109*金币!AE109)</f>
        <v/>
      </c>
      <c r="AF108" s="7">
        <f>IF(金币!AF109="","",金币!$B109*金币!AF109)</f>
        <v>2140</v>
      </c>
      <c r="AG108" s="7">
        <f>金币!AI109</f>
        <v>0</v>
      </c>
    </row>
    <row r="109" spans="1:33">
      <c r="A109" s="32">
        <v>108</v>
      </c>
      <c r="B109" s="87">
        <f>金币!B110</f>
        <v>108</v>
      </c>
      <c r="C109" s="7">
        <f>IF(金币!C110="","",金币!$B110*金币!C110)</f>
        <v>864</v>
      </c>
      <c r="D109" s="7" t="str">
        <f>IF(金币!D110="","",金币!$B110*金币!D110)</f>
        <v/>
      </c>
      <c r="E109" s="7" t="str">
        <f>IF(金币!E110="","",金币!$B110*金币!E110)</f>
        <v/>
      </c>
      <c r="F109" s="7">
        <f>IF(金币!F110="","",金币!$B110*金币!F110)</f>
        <v>1080</v>
      </c>
      <c r="G109" s="7" t="str">
        <f>IF(金币!G110="","",金币!$B110*金币!G110)</f>
        <v/>
      </c>
      <c r="H109" s="7" t="str">
        <f>IF(金币!H110="","",金币!$B110*金币!H110)</f>
        <v/>
      </c>
      <c r="I109" s="7" t="str">
        <f>IF(金币!I110="","",金币!$B110*金币!I110)</f>
        <v/>
      </c>
      <c r="J109" s="7" t="str">
        <f>IF(金币!J110="","",金币!$B110*金币!J110)</f>
        <v/>
      </c>
      <c r="K109" s="7">
        <f>IF(金币!K110="","",金币!$B110*金币!K110)</f>
        <v>1080</v>
      </c>
      <c r="L109" s="7">
        <f>IF(金币!L110="","",金币!$B110*金币!L110)</f>
        <v>540</v>
      </c>
      <c r="M109" s="7" t="str">
        <f>IF(金币!M110="","",金币!$B110*金币!M110)</f>
        <v/>
      </c>
      <c r="N109" s="7" t="str">
        <f>IF(金币!N110="","",金币!$B110*金币!N110)</f>
        <v/>
      </c>
      <c r="O109" s="7" t="str">
        <f>IF(金币!O110="","",金币!$B110*金币!O110)</f>
        <v/>
      </c>
      <c r="P109" s="7" t="str">
        <f>IF(金币!P110="","",金币!$B110*金币!P110)</f>
        <v/>
      </c>
      <c r="Q109" s="7">
        <f>IF(金币!Q110="","",金币!$B110*金币!Q110)</f>
        <v>1080</v>
      </c>
      <c r="R109" s="7" t="str">
        <f>IF(金币!R110="","",金币!$B110*金币!R110)</f>
        <v/>
      </c>
      <c r="S109" s="7">
        <f>IF(金币!S110="","",金币!$B110*金币!S110)</f>
        <v>324</v>
      </c>
      <c r="T109" s="7" t="str">
        <f>IF(金币!T110="","",金币!$B110*金币!T110)</f>
        <v/>
      </c>
      <c r="U109" s="7" t="str">
        <f>IF(金币!U110="","",金币!$B110*金币!U110)</f>
        <v/>
      </c>
      <c r="V109" s="7">
        <f>IF(金币!V110="","",金币!$B110*金币!V110)</f>
        <v>432</v>
      </c>
      <c r="W109" s="7" t="str">
        <f>IF(金币!W110="","",金币!$B110*金币!W110)</f>
        <v/>
      </c>
      <c r="X109" s="7" t="str">
        <f>IF(金币!X110="","",金币!$B110*金币!X110)</f>
        <v/>
      </c>
      <c r="Y109" s="7" t="str">
        <f>IF(金币!Y110="","",金币!$B110*金币!Y110)</f>
        <v/>
      </c>
      <c r="Z109" s="7">
        <f>IF(金币!Z110="","",金币!$B110*金币!Z110)</f>
        <v>1080</v>
      </c>
      <c r="AA109" s="7" t="str">
        <f>IF(金币!AA110="","",金币!$B110*金币!AA110)</f>
        <v/>
      </c>
      <c r="AB109" s="7" t="str">
        <f>IF(金币!AB110="","",金币!$B110*金币!AB110)</f>
        <v/>
      </c>
      <c r="AC109" s="7" t="str">
        <f>IF(金币!AC110="","",金币!$B110*金币!AC110)</f>
        <v/>
      </c>
      <c r="AD109" s="7" t="str">
        <f>IF(金币!AD110="","",金币!$B110*金币!AD110)</f>
        <v/>
      </c>
      <c r="AE109" s="7" t="str">
        <f>IF(金币!AE110="","",金币!$B110*金币!AE110)</f>
        <v/>
      </c>
      <c r="AF109" s="7">
        <f>IF(金币!AF110="","",金币!$B110*金币!AF110)</f>
        <v>2160</v>
      </c>
      <c r="AG109" s="7">
        <f>金币!AI110</f>
        <v>0</v>
      </c>
    </row>
    <row r="110" spans="1:33">
      <c r="A110" s="32">
        <v>109</v>
      </c>
      <c r="B110" s="87">
        <f>金币!B111</f>
        <v>109</v>
      </c>
      <c r="C110" s="7">
        <f>IF(金币!C111="","",金币!$B111*金币!C111)</f>
        <v>872</v>
      </c>
      <c r="D110" s="7" t="str">
        <f>IF(金币!D111="","",金币!$B111*金币!D111)</f>
        <v/>
      </c>
      <c r="E110" s="7" t="str">
        <f>IF(金币!E111="","",金币!$B111*金币!E111)</f>
        <v/>
      </c>
      <c r="F110" s="7">
        <f>IF(金币!F111="","",金币!$B111*金币!F111)</f>
        <v>1090</v>
      </c>
      <c r="G110" s="7" t="str">
        <f>IF(金币!G111="","",金币!$B111*金币!G111)</f>
        <v/>
      </c>
      <c r="H110" s="7" t="str">
        <f>IF(金币!H111="","",金币!$B111*金币!H111)</f>
        <v/>
      </c>
      <c r="I110" s="7" t="str">
        <f>IF(金币!I111="","",金币!$B111*金币!I111)</f>
        <v/>
      </c>
      <c r="J110" s="7" t="str">
        <f>IF(金币!J111="","",金币!$B111*金币!J111)</f>
        <v/>
      </c>
      <c r="K110" s="7">
        <f>IF(金币!K111="","",金币!$B111*金币!K111)</f>
        <v>1090</v>
      </c>
      <c r="L110" s="7">
        <f>IF(金币!L111="","",金币!$B111*金币!L111)</f>
        <v>545</v>
      </c>
      <c r="M110" s="7" t="str">
        <f>IF(金币!M111="","",金币!$B111*金币!M111)</f>
        <v/>
      </c>
      <c r="N110" s="7" t="str">
        <f>IF(金币!N111="","",金币!$B111*金币!N111)</f>
        <v/>
      </c>
      <c r="O110" s="7" t="str">
        <f>IF(金币!O111="","",金币!$B111*金币!O111)</f>
        <v/>
      </c>
      <c r="P110" s="7" t="str">
        <f>IF(金币!P111="","",金币!$B111*金币!P111)</f>
        <v/>
      </c>
      <c r="Q110" s="7">
        <f>IF(金币!Q111="","",金币!$B111*金币!Q111)</f>
        <v>1090</v>
      </c>
      <c r="R110" s="7" t="str">
        <f>IF(金币!R111="","",金币!$B111*金币!R111)</f>
        <v/>
      </c>
      <c r="S110" s="7">
        <f>IF(金币!S111="","",金币!$B111*金币!S111)</f>
        <v>327</v>
      </c>
      <c r="T110" s="7" t="str">
        <f>IF(金币!T111="","",金币!$B111*金币!T111)</f>
        <v/>
      </c>
      <c r="U110" s="7" t="str">
        <f>IF(金币!U111="","",金币!$B111*金币!U111)</f>
        <v/>
      </c>
      <c r="V110" s="7">
        <f>IF(金币!V111="","",金币!$B111*金币!V111)</f>
        <v>436</v>
      </c>
      <c r="W110" s="7" t="str">
        <f>IF(金币!W111="","",金币!$B111*金币!W111)</f>
        <v/>
      </c>
      <c r="X110" s="7" t="str">
        <f>IF(金币!X111="","",金币!$B111*金币!X111)</f>
        <v/>
      </c>
      <c r="Y110" s="7" t="str">
        <f>IF(金币!Y111="","",金币!$B111*金币!Y111)</f>
        <v/>
      </c>
      <c r="Z110" s="7">
        <f>IF(金币!Z111="","",金币!$B111*金币!Z111)</f>
        <v>1090</v>
      </c>
      <c r="AA110" s="7" t="str">
        <f>IF(金币!AA111="","",金币!$B111*金币!AA111)</f>
        <v/>
      </c>
      <c r="AB110" s="7" t="str">
        <f>IF(金币!AB111="","",金币!$B111*金币!AB111)</f>
        <v/>
      </c>
      <c r="AC110" s="7" t="str">
        <f>IF(金币!AC111="","",金币!$B111*金币!AC111)</f>
        <v/>
      </c>
      <c r="AD110" s="7" t="str">
        <f>IF(金币!AD111="","",金币!$B111*金币!AD111)</f>
        <v/>
      </c>
      <c r="AE110" s="7" t="str">
        <f>IF(金币!AE111="","",金币!$B111*金币!AE111)</f>
        <v/>
      </c>
      <c r="AF110" s="7">
        <f>IF(金币!AF111="","",金币!$B111*金币!AF111)</f>
        <v>2180</v>
      </c>
      <c r="AG110" s="7">
        <f>金币!AI111</f>
        <v>0</v>
      </c>
    </row>
    <row r="111" spans="1:33">
      <c r="A111" s="32">
        <v>110</v>
      </c>
      <c r="B111" s="87">
        <f>金币!B112</f>
        <v>110</v>
      </c>
      <c r="C111" s="7">
        <f>IF(金币!C112="","",金币!$B112*金币!C112)</f>
        <v>880</v>
      </c>
      <c r="D111" s="7" t="str">
        <f>IF(金币!D112="","",金币!$B112*金币!D112)</f>
        <v/>
      </c>
      <c r="E111" s="7" t="str">
        <f>IF(金币!E112="","",金币!$B112*金币!E112)</f>
        <v/>
      </c>
      <c r="F111" s="7">
        <f>IF(金币!F112="","",金币!$B112*金币!F112)</f>
        <v>1100</v>
      </c>
      <c r="G111" s="7" t="str">
        <f>IF(金币!G112="","",金币!$B112*金币!G112)</f>
        <v/>
      </c>
      <c r="H111" s="7" t="str">
        <f>IF(金币!H112="","",金币!$B112*金币!H112)</f>
        <v/>
      </c>
      <c r="I111" s="7" t="str">
        <f>IF(金币!I112="","",金币!$B112*金币!I112)</f>
        <v/>
      </c>
      <c r="J111" s="7" t="str">
        <f>IF(金币!J112="","",金币!$B112*金币!J112)</f>
        <v/>
      </c>
      <c r="K111" s="7">
        <f>IF(金币!K112="","",金币!$B112*金币!K112)</f>
        <v>1100</v>
      </c>
      <c r="L111" s="7">
        <f>IF(金币!L112="","",金币!$B112*金币!L112)</f>
        <v>550</v>
      </c>
      <c r="M111" s="7" t="str">
        <f>IF(金币!M112="","",金币!$B112*金币!M112)</f>
        <v/>
      </c>
      <c r="N111" s="7" t="str">
        <f>IF(金币!N112="","",金币!$B112*金币!N112)</f>
        <v/>
      </c>
      <c r="O111" s="7" t="str">
        <f>IF(金币!O112="","",金币!$B112*金币!O112)</f>
        <v/>
      </c>
      <c r="P111" s="7" t="str">
        <f>IF(金币!P112="","",金币!$B112*金币!P112)</f>
        <v/>
      </c>
      <c r="Q111" s="7">
        <f>IF(金币!Q112="","",金币!$B112*金币!Q112)</f>
        <v>1100</v>
      </c>
      <c r="R111" s="7" t="str">
        <f>IF(金币!R112="","",金币!$B112*金币!R112)</f>
        <v/>
      </c>
      <c r="S111" s="7">
        <f>IF(金币!S112="","",金币!$B112*金币!S112)</f>
        <v>330</v>
      </c>
      <c r="T111" s="7" t="str">
        <f>IF(金币!T112="","",金币!$B112*金币!T112)</f>
        <v/>
      </c>
      <c r="U111" s="7" t="str">
        <f>IF(金币!U112="","",金币!$B112*金币!U112)</f>
        <v/>
      </c>
      <c r="V111" s="7">
        <f>IF(金币!V112="","",金币!$B112*金币!V112)</f>
        <v>440</v>
      </c>
      <c r="W111" s="7" t="str">
        <f>IF(金币!W112="","",金币!$B112*金币!W112)</f>
        <v/>
      </c>
      <c r="X111" s="7" t="str">
        <f>IF(金币!X112="","",金币!$B112*金币!X112)</f>
        <v/>
      </c>
      <c r="Y111" s="7" t="str">
        <f>IF(金币!Y112="","",金币!$B112*金币!Y112)</f>
        <v/>
      </c>
      <c r="Z111" s="7">
        <f>IF(金币!Z112="","",金币!$B112*金币!Z112)</f>
        <v>1100</v>
      </c>
      <c r="AA111" s="7" t="str">
        <f>IF(金币!AA112="","",金币!$B112*金币!AA112)</f>
        <v/>
      </c>
      <c r="AB111" s="7" t="str">
        <f>IF(金币!AB112="","",金币!$B112*金币!AB112)</f>
        <v/>
      </c>
      <c r="AC111" s="7" t="str">
        <f>IF(金币!AC112="","",金币!$B112*金币!AC112)</f>
        <v/>
      </c>
      <c r="AD111" s="7" t="str">
        <f>IF(金币!AD112="","",金币!$B112*金币!AD112)</f>
        <v/>
      </c>
      <c r="AE111" s="7" t="str">
        <f>IF(金币!AE112="","",金币!$B112*金币!AE112)</f>
        <v/>
      </c>
      <c r="AF111" s="7">
        <f>IF(金币!AF112="","",金币!$B112*金币!AF112)</f>
        <v>2200</v>
      </c>
      <c r="AG111" s="7">
        <f>金币!AI112</f>
        <v>0</v>
      </c>
    </row>
    <row r="112" spans="1:33">
      <c r="A112" s="32">
        <v>111</v>
      </c>
      <c r="B112" s="87">
        <f>金币!B113</f>
        <v>111</v>
      </c>
      <c r="C112" s="7">
        <f>IF(金币!C113="","",金币!$B113*金币!C113)</f>
        <v>888</v>
      </c>
      <c r="D112" s="7" t="str">
        <f>IF(金币!D113="","",金币!$B113*金币!D113)</f>
        <v/>
      </c>
      <c r="E112" s="7" t="str">
        <f>IF(金币!E113="","",金币!$B113*金币!E113)</f>
        <v/>
      </c>
      <c r="F112" s="7">
        <f>IF(金币!F113="","",金币!$B113*金币!F113)</f>
        <v>1110</v>
      </c>
      <c r="G112" s="7" t="str">
        <f>IF(金币!G113="","",金币!$B113*金币!G113)</f>
        <v/>
      </c>
      <c r="H112" s="7" t="str">
        <f>IF(金币!H113="","",金币!$B113*金币!H113)</f>
        <v/>
      </c>
      <c r="I112" s="7" t="str">
        <f>IF(金币!I113="","",金币!$B113*金币!I113)</f>
        <v/>
      </c>
      <c r="J112" s="7" t="str">
        <f>IF(金币!J113="","",金币!$B113*金币!J113)</f>
        <v/>
      </c>
      <c r="K112" s="7">
        <f>IF(金币!K113="","",金币!$B113*金币!K113)</f>
        <v>1110</v>
      </c>
      <c r="L112" s="7">
        <f>IF(金币!L113="","",金币!$B113*金币!L113)</f>
        <v>555</v>
      </c>
      <c r="M112" s="7" t="str">
        <f>IF(金币!M113="","",金币!$B113*金币!M113)</f>
        <v/>
      </c>
      <c r="N112" s="7" t="str">
        <f>IF(金币!N113="","",金币!$B113*金币!N113)</f>
        <v/>
      </c>
      <c r="O112" s="7" t="str">
        <f>IF(金币!O113="","",金币!$B113*金币!O113)</f>
        <v/>
      </c>
      <c r="P112" s="7" t="str">
        <f>IF(金币!P113="","",金币!$B113*金币!P113)</f>
        <v/>
      </c>
      <c r="Q112" s="7">
        <f>IF(金币!Q113="","",金币!$B113*金币!Q113)</f>
        <v>1110</v>
      </c>
      <c r="R112" s="7" t="str">
        <f>IF(金币!R113="","",金币!$B113*金币!R113)</f>
        <v/>
      </c>
      <c r="S112" s="7">
        <f>IF(金币!S113="","",金币!$B113*金币!S113)</f>
        <v>333</v>
      </c>
      <c r="T112" s="7" t="str">
        <f>IF(金币!T113="","",金币!$B113*金币!T113)</f>
        <v/>
      </c>
      <c r="U112" s="7" t="str">
        <f>IF(金币!U113="","",金币!$B113*金币!U113)</f>
        <v/>
      </c>
      <c r="V112" s="7">
        <f>IF(金币!V113="","",金币!$B113*金币!V113)</f>
        <v>444</v>
      </c>
      <c r="W112" s="7" t="str">
        <f>IF(金币!W113="","",金币!$B113*金币!W113)</f>
        <v/>
      </c>
      <c r="X112" s="7" t="str">
        <f>IF(金币!X113="","",金币!$B113*金币!X113)</f>
        <v/>
      </c>
      <c r="Y112" s="7" t="str">
        <f>IF(金币!Y113="","",金币!$B113*金币!Y113)</f>
        <v/>
      </c>
      <c r="Z112" s="7">
        <f>IF(金币!Z113="","",金币!$B113*金币!Z113)</f>
        <v>1110</v>
      </c>
      <c r="AA112" s="7" t="str">
        <f>IF(金币!AA113="","",金币!$B113*金币!AA113)</f>
        <v/>
      </c>
      <c r="AB112" s="7" t="str">
        <f>IF(金币!AB113="","",金币!$B113*金币!AB113)</f>
        <v/>
      </c>
      <c r="AC112" s="7" t="str">
        <f>IF(金币!AC113="","",金币!$B113*金币!AC113)</f>
        <v/>
      </c>
      <c r="AD112" s="7" t="str">
        <f>IF(金币!AD113="","",金币!$B113*金币!AD113)</f>
        <v/>
      </c>
      <c r="AE112" s="7" t="str">
        <f>IF(金币!AE113="","",金币!$B113*金币!AE113)</f>
        <v/>
      </c>
      <c r="AF112" s="7">
        <f>IF(金币!AF113="","",金币!$B113*金币!AF113)</f>
        <v>2220</v>
      </c>
      <c r="AG112" s="7">
        <f>金币!AI113</f>
        <v>0</v>
      </c>
    </row>
    <row r="113" spans="1:33">
      <c r="A113" s="32">
        <v>112</v>
      </c>
      <c r="B113" s="87">
        <f>金币!B114</f>
        <v>112</v>
      </c>
      <c r="C113" s="7">
        <f>IF(金币!C114="","",金币!$B114*金币!C114)</f>
        <v>896</v>
      </c>
      <c r="D113" s="7" t="str">
        <f>IF(金币!D114="","",金币!$B114*金币!D114)</f>
        <v/>
      </c>
      <c r="E113" s="7" t="str">
        <f>IF(金币!E114="","",金币!$B114*金币!E114)</f>
        <v/>
      </c>
      <c r="F113" s="7">
        <f>IF(金币!F114="","",金币!$B114*金币!F114)</f>
        <v>1120</v>
      </c>
      <c r="G113" s="7" t="str">
        <f>IF(金币!G114="","",金币!$B114*金币!G114)</f>
        <v/>
      </c>
      <c r="H113" s="7" t="str">
        <f>IF(金币!H114="","",金币!$B114*金币!H114)</f>
        <v/>
      </c>
      <c r="I113" s="7" t="str">
        <f>IF(金币!I114="","",金币!$B114*金币!I114)</f>
        <v/>
      </c>
      <c r="J113" s="7" t="str">
        <f>IF(金币!J114="","",金币!$B114*金币!J114)</f>
        <v/>
      </c>
      <c r="K113" s="7">
        <f>IF(金币!K114="","",金币!$B114*金币!K114)</f>
        <v>1120</v>
      </c>
      <c r="L113" s="7">
        <f>IF(金币!L114="","",金币!$B114*金币!L114)</f>
        <v>560</v>
      </c>
      <c r="M113" s="7" t="str">
        <f>IF(金币!M114="","",金币!$B114*金币!M114)</f>
        <v/>
      </c>
      <c r="N113" s="7" t="str">
        <f>IF(金币!N114="","",金币!$B114*金币!N114)</f>
        <v/>
      </c>
      <c r="O113" s="7" t="str">
        <f>IF(金币!O114="","",金币!$B114*金币!O114)</f>
        <v/>
      </c>
      <c r="P113" s="7" t="str">
        <f>IF(金币!P114="","",金币!$B114*金币!P114)</f>
        <v/>
      </c>
      <c r="Q113" s="7">
        <f>IF(金币!Q114="","",金币!$B114*金币!Q114)</f>
        <v>1120</v>
      </c>
      <c r="R113" s="7" t="str">
        <f>IF(金币!R114="","",金币!$B114*金币!R114)</f>
        <v/>
      </c>
      <c r="S113" s="7">
        <f>IF(金币!S114="","",金币!$B114*金币!S114)</f>
        <v>336</v>
      </c>
      <c r="T113" s="7" t="str">
        <f>IF(金币!T114="","",金币!$B114*金币!T114)</f>
        <v/>
      </c>
      <c r="U113" s="7" t="str">
        <f>IF(金币!U114="","",金币!$B114*金币!U114)</f>
        <v/>
      </c>
      <c r="V113" s="7">
        <f>IF(金币!V114="","",金币!$B114*金币!V114)</f>
        <v>448</v>
      </c>
      <c r="W113" s="7" t="str">
        <f>IF(金币!W114="","",金币!$B114*金币!W114)</f>
        <v/>
      </c>
      <c r="X113" s="7" t="str">
        <f>IF(金币!X114="","",金币!$B114*金币!X114)</f>
        <v/>
      </c>
      <c r="Y113" s="7" t="str">
        <f>IF(金币!Y114="","",金币!$B114*金币!Y114)</f>
        <v/>
      </c>
      <c r="Z113" s="7">
        <f>IF(金币!Z114="","",金币!$B114*金币!Z114)</f>
        <v>1120</v>
      </c>
      <c r="AA113" s="7" t="str">
        <f>IF(金币!AA114="","",金币!$B114*金币!AA114)</f>
        <v/>
      </c>
      <c r="AB113" s="7" t="str">
        <f>IF(金币!AB114="","",金币!$B114*金币!AB114)</f>
        <v/>
      </c>
      <c r="AC113" s="7" t="str">
        <f>IF(金币!AC114="","",金币!$B114*金币!AC114)</f>
        <v/>
      </c>
      <c r="AD113" s="7" t="str">
        <f>IF(金币!AD114="","",金币!$B114*金币!AD114)</f>
        <v/>
      </c>
      <c r="AE113" s="7" t="str">
        <f>IF(金币!AE114="","",金币!$B114*金币!AE114)</f>
        <v/>
      </c>
      <c r="AF113" s="7">
        <f>IF(金币!AF114="","",金币!$B114*金币!AF114)</f>
        <v>2240</v>
      </c>
      <c r="AG113" s="7">
        <f>金币!AI114</f>
        <v>0</v>
      </c>
    </row>
    <row r="114" spans="1:33">
      <c r="A114" s="32">
        <v>113</v>
      </c>
      <c r="B114" s="87">
        <f>金币!B115</f>
        <v>113</v>
      </c>
      <c r="C114" s="7">
        <f>IF(金币!C115="","",金币!$B115*金币!C115)</f>
        <v>904</v>
      </c>
      <c r="D114" s="7" t="str">
        <f>IF(金币!D115="","",金币!$B115*金币!D115)</f>
        <v/>
      </c>
      <c r="E114" s="7" t="str">
        <f>IF(金币!E115="","",金币!$B115*金币!E115)</f>
        <v/>
      </c>
      <c r="F114" s="7">
        <f>IF(金币!F115="","",金币!$B115*金币!F115)</f>
        <v>1130</v>
      </c>
      <c r="G114" s="7" t="str">
        <f>IF(金币!G115="","",金币!$B115*金币!G115)</f>
        <v/>
      </c>
      <c r="H114" s="7" t="str">
        <f>IF(金币!H115="","",金币!$B115*金币!H115)</f>
        <v/>
      </c>
      <c r="I114" s="7" t="str">
        <f>IF(金币!I115="","",金币!$B115*金币!I115)</f>
        <v/>
      </c>
      <c r="J114" s="7" t="str">
        <f>IF(金币!J115="","",金币!$B115*金币!J115)</f>
        <v/>
      </c>
      <c r="K114" s="7">
        <f>IF(金币!K115="","",金币!$B115*金币!K115)</f>
        <v>1130</v>
      </c>
      <c r="L114" s="7">
        <f>IF(金币!L115="","",金币!$B115*金币!L115)</f>
        <v>565</v>
      </c>
      <c r="M114" s="7" t="str">
        <f>IF(金币!M115="","",金币!$B115*金币!M115)</f>
        <v/>
      </c>
      <c r="N114" s="7" t="str">
        <f>IF(金币!N115="","",金币!$B115*金币!N115)</f>
        <v/>
      </c>
      <c r="O114" s="7" t="str">
        <f>IF(金币!O115="","",金币!$B115*金币!O115)</f>
        <v/>
      </c>
      <c r="P114" s="7" t="str">
        <f>IF(金币!P115="","",金币!$B115*金币!P115)</f>
        <v/>
      </c>
      <c r="Q114" s="7">
        <f>IF(金币!Q115="","",金币!$B115*金币!Q115)</f>
        <v>1130</v>
      </c>
      <c r="R114" s="7" t="str">
        <f>IF(金币!R115="","",金币!$B115*金币!R115)</f>
        <v/>
      </c>
      <c r="S114" s="7">
        <f>IF(金币!S115="","",金币!$B115*金币!S115)</f>
        <v>339</v>
      </c>
      <c r="T114" s="7" t="str">
        <f>IF(金币!T115="","",金币!$B115*金币!T115)</f>
        <v/>
      </c>
      <c r="U114" s="7" t="str">
        <f>IF(金币!U115="","",金币!$B115*金币!U115)</f>
        <v/>
      </c>
      <c r="V114" s="7">
        <f>IF(金币!V115="","",金币!$B115*金币!V115)</f>
        <v>452</v>
      </c>
      <c r="W114" s="7" t="str">
        <f>IF(金币!W115="","",金币!$B115*金币!W115)</f>
        <v/>
      </c>
      <c r="X114" s="7" t="str">
        <f>IF(金币!X115="","",金币!$B115*金币!X115)</f>
        <v/>
      </c>
      <c r="Y114" s="7" t="str">
        <f>IF(金币!Y115="","",金币!$B115*金币!Y115)</f>
        <v/>
      </c>
      <c r="Z114" s="7">
        <f>IF(金币!Z115="","",金币!$B115*金币!Z115)</f>
        <v>1130</v>
      </c>
      <c r="AA114" s="7" t="str">
        <f>IF(金币!AA115="","",金币!$B115*金币!AA115)</f>
        <v/>
      </c>
      <c r="AB114" s="7" t="str">
        <f>IF(金币!AB115="","",金币!$B115*金币!AB115)</f>
        <v/>
      </c>
      <c r="AC114" s="7" t="str">
        <f>IF(金币!AC115="","",金币!$B115*金币!AC115)</f>
        <v/>
      </c>
      <c r="AD114" s="7" t="str">
        <f>IF(金币!AD115="","",金币!$B115*金币!AD115)</f>
        <v/>
      </c>
      <c r="AE114" s="7" t="str">
        <f>IF(金币!AE115="","",金币!$B115*金币!AE115)</f>
        <v/>
      </c>
      <c r="AF114" s="7">
        <f>IF(金币!AF115="","",金币!$B115*金币!AF115)</f>
        <v>2260</v>
      </c>
      <c r="AG114" s="7">
        <f>金币!AI115</f>
        <v>0</v>
      </c>
    </row>
    <row r="115" spans="1:33">
      <c r="A115" s="32">
        <v>114</v>
      </c>
      <c r="B115" s="87">
        <f>金币!B116</f>
        <v>114</v>
      </c>
      <c r="C115" s="7">
        <f>IF(金币!C116="","",金币!$B116*金币!C116)</f>
        <v>912</v>
      </c>
      <c r="D115" s="7" t="str">
        <f>IF(金币!D116="","",金币!$B116*金币!D116)</f>
        <v/>
      </c>
      <c r="E115" s="7" t="str">
        <f>IF(金币!E116="","",金币!$B116*金币!E116)</f>
        <v/>
      </c>
      <c r="F115" s="7">
        <f>IF(金币!F116="","",金币!$B116*金币!F116)</f>
        <v>1140</v>
      </c>
      <c r="G115" s="7" t="str">
        <f>IF(金币!G116="","",金币!$B116*金币!G116)</f>
        <v/>
      </c>
      <c r="H115" s="7" t="str">
        <f>IF(金币!H116="","",金币!$B116*金币!H116)</f>
        <v/>
      </c>
      <c r="I115" s="7" t="str">
        <f>IF(金币!I116="","",金币!$B116*金币!I116)</f>
        <v/>
      </c>
      <c r="J115" s="7" t="str">
        <f>IF(金币!J116="","",金币!$B116*金币!J116)</f>
        <v/>
      </c>
      <c r="K115" s="7">
        <f>IF(金币!K116="","",金币!$B116*金币!K116)</f>
        <v>1140</v>
      </c>
      <c r="L115" s="7">
        <f>IF(金币!L116="","",金币!$B116*金币!L116)</f>
        <v>570</v>
      </c>
      <c r="M115" s="7" t="str">
        <f>IF(金币!M116="","",金币!$B116*金币!M116)</f>
        <v/>
      </c>
      <c r="N115" s="7" t="str">
        <f>IF(金币!N116="","",金币!$B116*金币!N116)</f>
        <v/>
      </c>
      <c r="O115" s="7" t="str">
        <f>IF(金币!O116="","",金币!$B116*金币!O116)</f>
        <v/>
      </c>
      <c r="P115" s="7" t="str">
        <f>IF(金币!P116="","",金币!$B116*金币!P116)</f>
        <v/>
      </c>
      <c r="Q115" s="7">
        <f>IF(金币!Q116="","",金币!$B116*金币!Q116)</f>
        <v>1140</v>
      </c>
      <c r="R115" s="7" t="str">
        <f>IF(金币!R116="","",金币!$B116*金币!R116)</f>
        <v/>
      </c>
      <c r="S115" s="7">
        <f>IF(金币!S116="","",金币!$B116*金币!S116)</f>
        <v>342</v>
      </c>
      <c r="T115" s="7" t="str">
        <f>IF(金币!T116="","",金币!$B116*金币!T116)</f>
        <v/>
      </c>
      <c r="U115" s="7" t="str">
        <f>IF(金币!U116="","",金币!$B116*金币!U116)</f>
        <v/>
      </c>
      <c r="V115" s="7">
        <f>IF(金币!V116="","",金币!$B116*金币!V116)</f>
        <v>456</v>
      </c>
      <c r="W115" s="7" t="str">
        <f>IF(金币!W116="","",金币!$B116*金币!W116)</f>
        <v/>
      </c>
      <c r="X115" s="7" t="str">
        <f>IF(金币!X116="","",金币!$B116*金币!X116)</f>
        <v/>
      </c>
      <c r="Y115" s="7" t="str">
        <f>IF(金币!Y116="","",金币!$B116*金币!Y116)</f>
        <v/>
      </c>
      <c r="Z115" s="7">
        <f>IF(金币!Z116="","",金币!$B116*金币!Z116)</f>
        <v>1140</v>
      </c>
      <c r="AA115" s="7" t="str">
        <f>IF(金币!AA116="","",金币!$B116*金币!AA116)</f>
        <v/>
      </c>
      <c r="AB115" s="7" t="str">
        <f>IF(金币!AB116="","",金币!$B116*金币!AB116)</f>
        <v/>
      </c>
      <c r="AC115" s="7" t="str">
        <f>IF(金币!AC116="","",金币!$B116*金币!AC116)</f>
        <v/>
      </c>
      <c r="AD115" s="7" t="str">
        <f>IF(金币!AD116="","",金币!$B116*金币!AD116)</f>
        <v/>
      </c>
      <c r="AE115" s="7" t="str">
        <f>IF(金币!AE116="","",金币!$B116*金币!AE116)</f>
        <v/>
      </c>
      <c r="AF115" s="7">
        <f>IF(金币!AF116="","",金币!$B116*金币!AF116)</f>
        <v>2280</v>
      </c>
      <c r="AG115" s="7">
        <f>金币!AI116</f>
        <v>0</v>
      </c>
    </row>
    <row r="116" spans="1:33">
      <c r="A116" s="32">
        <v>115</v>
      </c>
      <c r="B116" s="87">
        <f>金币!B117</f>
        <v>115</v>
      </c>
      <c r="C116" s="7">
        <f>IF(金币!C117="","",金币!$B117*金币!C117)</f>
        <v>920</v>
      </c>
      <c r="D116" s="7" t="str">
        <f>IF(金币!D117="","",金币!$B117*金币!D117)</f>
        <v/>
      </c>
      <c r="E116" s="7" t="str">
        <f>IF(金币!E117="","",金币!$B117*金币!E117)</f>
        <v/>
      </c>
      <c r="F116" s="7">
        <f>IF(金币!F117="","",金币!$B117*金币!F117)</f>
        <v>1150</v>
      </c>
      <c r="G116" s="7" t="str">
        <f>IF(金币!G117="","",金币!$B117*金币!G117)</f>
        <v/>
      </c>
      <c r="H116" s="7" t="str">
        <f>IF(金币!H117="","",金币!$B117*金币!H117)</f>
        <v/>
      </c>
      <c r="I116" s="7" t="str">
        <f>IF(金币!I117="","",金币!$B117*金币!I117)</f>
        <v/>
      </c>
      <c r="J116" s="7" t="str">
        <f>IF(金币!J117="","",金币!$B117*金币!J117)</f>
        <v/>
      </c>
      <c r="K116" s="7">
        <f>IF(金币!K117="","",金币!$B117*金币!K117)</f>
        <v>1150</v>
      </c>
      <c r="L116" s="7">
        <f>IF(金币!L117="","",金币!$B117*金币!L117)</f>
        <v>575</v>
      </c>
      <c r="M116" s="7" t="str">
        <f>IF(金币!M117="","",金币!$B117*金币!M117)</f>
        <v/>
      </c>
      <c r="N116" s="7" t="str">
        <f>IF(金币!N117="","",金币!$B117*金币!N117)</f>
        <v/>
      </c>
      <c r="O116" s="7" t="str">
        <f>IF(金币!O117="","",金币!$B117*金币!O117)</f>
        <v/>
      </c>
      <c r="P116" s="7" t="str">
        <f>IF(金币!P117="","",金币!$B117*金币!P117)</f>
        <v/>
      </c>
      <c r="Q116" s="7">
        <f>IF(金币!Q117="","",金币!$B117*金币!Q117)</f>
        <v>1150</v>
      </c>
      <c r="R116" s="7" t="str">
        <f>IF(金币!R117="","",金币!$B117*金币!R117)</f>
        <v/>
      </c>
      <c r="S116" s="7">
        <f>IF(金币!S117="","",金币!$B117*金币!S117)</f>
        <v>345</v>
      </c>
      <c r="T116" s="7" t="str">
        <f>IF(金币!T117="","",金币!$B117*金币!T117)</f>
        <v/>
      </c>
      <c r="U116" s="7" t="str">
        <f>IF(金币!U117="","",金币!$B117*金币!U117)</f>
        <v/>
      </c>
      <c r="V116" s="7">
        <f>IF(金币!V117="","",金币!$B117*金币!V117)</f>
        <v>460</v>
      </c>
      <c r="W116" s="7" t="str">
        <f>IF(金币!W117="","",金币!$B117*金币!W117)</f>
        <v/>
      </c>
      <c r="X116" s="7" t="str">
        <f>IF(金币!X117="","",金币!$B117*金币!X117)</f>
        <v/>
      </c>
      <c r="Y116" s="7" t="str">
        <f>IF(金币!Y117="","",金币!$B117*金币!Y117)</f>
        <v/>
      </c>
      <c r="Z116" s="7">
        <f>IF(金币!Z117="","",金币!$B117*金币!Z117)</f>
        <v>1150</v>
      </c>
      <c r="AA116" s="7" t="str">
        <f>IF(金币!AA117="","",金币!$B117*金币!AA117)</f>
        <v/>
      </c>
      <c r="AB116" s="7" t="str">
        <f>IF(金币!AB117="","",金币!$B117*金币!AB117)</f>
        <v/>
      </c>
      <c r="AC116" s="7" t="str">
        <f>IF(金币!AC117="","",金币!$B117*金币!AC117)</f>
        <v/>
      </c>
      <c r="AD116" s="7" t="str">
        <f>IF(金币!AD117="","",金币!$B117*金币!AD117)</f>
        <v/>
      </c>
      <c r="AE116" s="7" t="str">
        <f>IF(金币!AE117="","",金币!$B117*金币!AE117)</f>
        <v/>
      </c>
      <c r="AF116" s="7">
        <f>IF(金币!AF117="","",金币!$B117*金币!AF117)</f>
        <v>2300</v>
      </c>
      <c r="AG116" s="7">
        <f>金币!AI117</f>
        <v>0</v>
      </c>
    </row>
    <row r="117" spans="1:33">
      <c r="A117" s="32">
        <v>116</v>
      </c>
      <c r="B117" s="87">
        <f>金币!B118</f>
        <v>116</v>
      </c>
      <c r="C117" s="7">
        <f>IF(金币!C118="","",金币!$B118*金币!C118)</f>
        <v>928</v>
      </c>
      <c r="D117" s="7" t="str">
        <f>IF(金币!D118="","",金币!$B118*金币!D118)</f>
        <v/>
      </c>
      <c r="E117" s="7" t="str">
        <f>IF(金币!E118="","",金币!$B118*金币!E118)</f>
        <v/>
      </c>
      <c r="F117" s="7">
        <f>IF(金币!F118="","",金币!$B118*金币!F118)</f>
        <v>1160</v>
      </c>
      <c r="G117" s="7" t="str">
        <f>IF(金币!G118="","",金币!$B118*金币!G118)</f>
        <v/>
      </c>
      <c r="H117" s="7" t="str">
        <f>IF(金币!H118="","",金币!$B118*金币!H118)</f>
        <v/>
      </c>
      <c r="I117" s="7" t="str">
        <f>IF(金币!I118="","",金币!$B118*金币!I118)</f>
        <v/>
      </c>
      <c r="J117" s="7" t="str">
        <f>IF(金币!J118="","",金币!$B118*金币!J118)</f>
        <v/>
      </c>
      <c r="K117" s="7">
        <f>IF(金币!K118="","",金币!$B118*金币!K118)</f>
        <v>1160</v>
      </c>
      <c r="L117" s="7">
        <f>IF(金币!L118="","",金币!$B118*金币!L118)</f>
        <v>580</v>
      </c>
      <c r="M117" s="7" t="str">
        <f>IF(金币!M118="","",金币!$B118*金币!M118)</f>
        <v/>
      </c>
      <c r="N117" s="7" t="str">
        <f>IF(金币!N118="","",金币!$B118*金币!N118)</f>
        <v/>
      </c>
      <c r="O117" s="7" t="str">
        <f>IF(金币!O118="","",金币!$B118*金币!O118)</f>
        <v/>
      </c>
      <c r="P117" s="7" t="str">
        <f>IF(金币!P118="","",金币!$B118*金币!P118)</f>
        <v/>
      </c>
      <c r="Q117" s="7">
        <f>IF(金币!Q118="","",金币!$B118*金币!Q118)</f>
        <v>1160</v>
      </c>
      <c r="R117" s="7" t="str">
        <f>IF(金币!R118="","",金币!$B118*金币!R118)</f>
        <v/>
      </c>
      <c r="S117" s="7">
        <f>IF(金币!S118="","",金币!$B118*金币!S118)</f>
        <v>348</v>
      </c>
      <c r="T117" s="7" t="str">
        <f>IF(金币!T118="","",金币!$B118*金币!T118)</f>
        <v/>
      </c>
      <c r="U117" s="7" t="str">
        <f>IF(金币!U118="","",金币!$B118*金币!U118)</f>
        <v/>
      </c>
      <c r="V117" s="7">
        <f>IF(金币!V118="","",金币!$B118*金币!V118)</f>
        <v>464</v>
      </c>
      <c r="W117" s="7" t="str">
        <f>IF(金币!W118="","",金币!$B118*金币!W118)</f>
        <v/>
      </c>
      <c r="X117" s="7" t="str">
        <f>IF(金币!X118="","",金币!$B118*金币!X118)</f>
        <v/>
      </c>
      <c r="Y117" s="7" t="str">
        <f>IF(金币!Y118="","",金币!$B118*金币!Y118)</f>
        <v/>
      </c>
      <c r="Z117" s="7">
        <f>IF(金币!Z118="","",金币!$B118*金币!Z118)</f>
        <v>1160</v>
      </c>
      <c r="AA117" s="7" t="str">
        <f>IF(金币!AA118="","",金币!$B118*金币!AA118)</f>
        <v/>
      </c>
      <c r="AB117" s="7" t="str">
        <f>IF(金币!AB118="","",金币!$B118*金币!AB118)</f>
        <v/>
      </c>
      <c r="AC117" s="7" t="str">
        <f>IF(金币!AC118="","",金币!$B118*金币!AC118)</f>
        <v/>
      </c>
      <c r="AD117" s="7" t="str">
        <f>IF(金币!AD118="","",金币!$B118*金币!AD118)</f>
        <v/>
      </c>
      <c r="AE117" s="7" t="str">
        <f>IF(金币!AE118="","",金币!$B118*金币!AE118)</f>
        <v/>
      </c>
      <c r="AF117" s="7">
        <f>IF(金币!AF118="","",金币!$B118*金币!AF118)</f>
        <v>2320</v>
      </c>
      <c r="AG117" s="7">
        <f>金币!AI118</f>
        <v>0</v>
      </c>
    </row>
    <row r="118" spans="1:33">
      <c r="A118" s="32">
        <v>117</v>
      </c>
      <c r="B118" s="87">
        <f>金币!B119</f>
        <v>117</v>
      </c>
      <c r="C118" s="7">
        <f>IF(金币!C119="","",金币!$B119*金币!C119)</f>
        <v>936</v>
      </c>
      <c r="D118" s="7" t="str">
        <f>IF(金币!D119="","",金币!$B119*金币!D119)</f>
        <v/>
      </c>
      <c r="E118" s="7" t="str">
        <f>IF(金币!E119="","",金币!$B119*金币!E119)</f>
        <v/>
      </c>
      <c r="F118" s="7">
        <f>IF(金币!F119="","",金币!$B119*金币!F119)</f>
        <v>1170</v>
      </c>
      <c r="G118" s="7" t="str">
        <f>IF(金币!G119="","",金币!$B119*金币!G119)</f>
        <v/>
      </c>
      <c r="H118" s="7" t="str">
        <f>IF(金币!H119="","",金币!$B119*金币!H119)</f>
        <v/>
      </c>
      <c r="I118" s="7" t="str">
        <f>IF(金币!I119="","",金币!$B119*金币!I119)</f>
        <v/>
      </c>
      <c r="J118" s="7" t="str">
        <f>IF(金币!J119="","",金币!$B119*金币!J119)</f>
        <v/>
      </c>
      <c r="K118" s="7">
        <f>IF(金币!K119="","",金币!$B119*金币!K119)</f>
        <v>1170</v>
      </c>
      <c r="L118" s="7">
        <f>IF(金币!L119="","",金币!$B119*金币!L119)</f>
        <v>585</v>
      </c>
      <c r="M118" s="7" t="str">
        <f>IF(金币!M119="","",金币!$B119*金币!M119)</f>
        <v/>
      </c>
      <c r="N118" s="7" t="str">
        <f>IF(金币!N119="","",金币!$B119*金币!N119)</f>
        <v/>
      </c>
      <c r="O118" s="7" t="str">
        <f>IF(金币!O119="","",金币!$B119*金币!O119)</f>
        <v/>
      </c>
      <c r="P118" s="7" t="str">
        <f>IF(金币!P119="","",金币!$B119*金币!P119)</f>
        <v/>
      </c>
      <c r="Q118" s="7">
        <f>IF(金币!Q119="","",金币!$B119*金币!Q119)</f>
        <v>1170</v>
      </c>
      <c r="R118" s="7" t="str">
        <f>IF(金币!R119="","",金币!$B119*金币!R119)</f>
        <v/>
      </c>
      <c r="S118" s="7">
        <f>IF(金币!S119="","",金币!$B119*金币!S119)</f>
        <v>351</v>
      </c>
      <c r="T118" s="7" t="str">
        <f>IF(金币!T119="","",金币!$B119*金币!T119)</f>
        <v/>
      </c>
      <c r="U118" s="7" t="str">
        <f>IF(金币!U119="","",金币!$B119*金币!U119)</f>
        <v/>
      </c>
      <c r="V118" s="7">
        <f>IF(金币!V119="","",金币!$B119*金币!V119)</f>
        <v>468</v>
      </c>
      <c r="W118" s="7" t="str">
        <f>IF(金币!W119="","",金币!$B119*金币!W119)</f>
        <v/>
      </c>
      <c r="X118" s="7" t="str">
        <f>IF(金币!X119="","",金币!$B119*金币!X119)</f>
        <v/>
      </c>
      <c r="Y118" s="7" t="str">
        <f>IF(金币!Y119="","",金币!$B119*金币!Y119)</f>
        <v/>
      </c>
      <c r="Z118" s="7">
        <f>IF(金币!Z119="","",金币!$B119*金币!Z119)</f>
        <v>1170</v>
      </c>
      <c r="AA118" s="7" t="str">
        <f>IF(金币!AA119="","",金币!$B119*金币!AA119)</f>
        <v/>
      </c>
      <c r="AB118" s="7" t="str">
        <f>IF(金币!AB119="","",金币!$B119*金币!AB119)</f>
        <v/>
      </c>
      <c r="AC118" s="7" t="str">
        <f>IF(金币!AC119="","",金币!$B119*金币!AC119)</f>
        <v/>
      </c>
      <c r="AD118" s="7" t="str">
        <f>IF(金币!AD119="","",金币!$B119*金币!AD119)</f>
        <v/>
      </c>
      <c r="AE118" s="7" t="str">
        <f>IF(金币!AE119="","",金币!$B119*金币!AE119)</f>
        <v/>
      </c>
      <c r="AF118" s="7">
        <f>IF(金币!AF119="","",金币!$B119*金币!AF119)</f>
        <v>2340</v>
      </c>
      <c r="AG118" s="7">
        <f>金币!AI119</f>
        <v>0</v>
      </c>
    </row>
    <row r="119" spans="1:33">
      <c r="A119" s="32">
        <v>118</v>
      </c>
      <c r="B119" s="87">
        <f>金币!B120</f>
        <v>118</v>
      </c>
      <c r="C119" s="7">
        <f>IF(金币!C120="","",金币!$B120*金币!C120)</f>
        <v>944</v>
      </c>
      <c r="D119" s="7" t="str">
        <f>IF(金币!D120="","",金币!$B120*金币!D120)</f>
        <v/>
      </c>
      <c r="E119" s="7" t="str">
        <f>IF(金币!E120="","",金币!$B120*金币!E120)</f>
        <v/>
      </c>
      <c r="F119" s="7">
        <f>IF(金币!F120="","",金币!$B120*金币!F120)</f>
        <v>1180</v>
      </c>
      <c r="G119" s="7" t="str">
        <f>IF(金币!G120="","",金币!$B120*金币!G120)</f>
        <v/>
      </c>
      <c r="H119" s="7" t="str">
        <f>IF(金币!H120="","",金币!$B120*金币!H120)</f>
        <v/>
      </c>
      <c r="I119" s="7" t="str">
        <f>IF(金币!I120="","",金币!$B120*金币!I120)</f>
        <v/>
      </c>
      <c r="J119" s="7" t="str">
        <f>IF(金币!J120="","",金币!$B120*金币!J120)</f>
        <v/>
      </c>
      <c r="K119" s="7">
        <f>IF(金币!K120="","",金币!$B120*金币!K120)</f>
        <v>1180</v>
      </c>
      <c r="L119" s="7">
        <f>IF(金币!L120="","",金币!$B120*金币!L120)</f>
        <v>590</v>
      </c>
      <c r="M119" s="7" t="str">
        <f>IF(金币!M120="","",金币!$B120*金币!M120)</f>
        <v/>
      </c>
      <c r="N119" s="7" t="str">
        <f>IF(金币!N120="","",金币!$B120*金币!N120)</f>
        <v/>
      </c>
      <c r="O119" s="7" t="str">
        <f>IF(金币!O120="","",金币!$B120*金币!O120)</f>
        <v/>
      </c>
      <c r="P119" s="7" t="str">
        <f>IF(金币!P120="","",金币!$B120*金币!P120)</f>
        <v/>
      </c>
      <c r="Q119" s="7">
        <f>IF(金币!Q120="","",金币!$B120*金币!Q120)</f>
        <v>1180</v>
      </c>
      <c r="R119" s="7" t="str">
        <f>IF(金币!R120="","",金币!$B120*金币!R120)</f>
        <v/>
      </c>
      <c r="S119" s="7">
        <f>IF(金币!S120="","",金币!$B120*金币!S120)</f>
        <v>354</v>
      </c>
      <c r="T119" s="7" t="str">
        <f>IF(金币!T120="","",金币!$B120*金币!T120)</f>
        <v/>
      </c>
      <c r="U119" s="7" t="str">
        <f>IF(金币!U120="","",金币!$B120*金币!U120)</f>
        <v/>
      </c>
      <c r="V119" s="7">
        <f>IF(金币!V120="","",金币!$B120*金币!V120)</f>
        <v>472</v>
      </c>
      <c r="W119" s="7" t="str">
        <f>IF(金币!W120="","",金币!$B120*金币!W120)</f>
        <v/>
      </c>
      <c r="X119" s="7" t="str">
        <f>IF(金币!X120="","",金币!$B120*金币!X120)</f>
        <v/>
      </c>
      <c r="Y119" s="7" t="str">
        <f>IF(金币!Y120="","",金币!$B120*金币!Y120)</f>
        <v/>
      </c>
      <c r="Z119" s="7">
        <f>IF(金币!Z120="","",金币!$B120*金币!Z120)</f>
        <v>1180</v>
      </c>
      <c r="AA119" s="7" t="str">
        <f>IF(金币!AA120="","",金币!$B120*金币!AA120)</f>
        <v/>
      </c>
      <c r="AB119" s="7" t="str">
        <f>IF(金币!AB120="","",金币!$B120*金币!AB120)</f>
        <v/>
      </c>
      <c r="AC119" s="7" t="str">
        <f>IF(金币!AC120="","",金币!$B120*金币!AC120)</f>
        <v/>
      </c>
      <c r="AD119" s="7" t="str">
        <f>IF(金币!AD120="","",金币!$B120*金币!AD120)</f>
        <v/>
      </c>
      <c r="AE119" s="7" t="str">
        <f>IF(金币!AE120="","",金币!$B120*金币!AE120)</f>
        <v/>
      </c>
      <c r="AF119" s="7">
        <f>IF(金币!AF120="","",金币!$B120*金币!AF120)</f>
        <v>2360</v>
      </c>
      <c r="AG119" s="7">
        <f>金币!AI120</f>
        <v>0</v>
      </c>
    </row>
    <row r="120" spans="1:33">
      <c r="A120" s="32">
        <v>119</v>
      </c>
      <c r="B120" s="87">
        <f>金币!B121</f>
        <v>119</v>
      </c>
      <c r="C120" s="7">
        <f>IF(金币!C121="","",金币!$B121*金币!C121)</f>
        <v>952</v>
      </c>
      <c r="D120" s="7" t="str">
        <f>IF(金币!D121="","",金币!$B121*金币!D121)</f>
        <v/>
      </c>
      <c r="E120" s="7" t="str">
        <f>IF(金币!E121="","",金币!$B121*金币!E121)</f>
        <v/>
      </c>
      <c r="F120" s="7">
        <f>IF(金币!F121="","",金币!$B121*金币!F121)</f>
        <v>1190</v>
      </c>
      <c r="G120" s="7" t="str">
        <f>IF(金币!G121="","",金币!$B121*金币!G121)</f>
        <v/>
      </c>
      <c r="H120" s="7" t="str">
        <f>IF(金币!H121="","",金币!$B121*金币!H121)</f>
        <v/>
      </c>
      <c r="I120" s="7" t="str">
        <f>IF(金币!I121="","",金币!$B121*金币!I121)</f>
        <v/>
      </c>
      <c r="J120" s="7" t="str">
        <f>IF(金币!J121="","",金币!$B121*金币!J121)</f>
        <v/>
      </c>
      <c r="K120" s="7">
        <f>IF(金币!K121="","",金币!$B121*金币!K121)</f>
        <v>1190</v>
      </c>
      <c r="L120" s="7">
        <f>IF(金币!L121="","",金币!$B121*金币!L121)</f>
        <v>595</v>
      </c>
      <c r="M120" s="7" t="str">
        <f>IF(金币!M121="","",金币!$B121*金币!M121)</f>
        <v/>
      </c>
      <c r="N120" s="7" t="str">
        <f>IF(金币!N121="","",金币!$B121*金币!N121)</f>
        <v/>
      </c>
      <c r="O120" s="7" t="str">
        <f>IF(金币!O121="","",金币!$B121*金币!O121)</f>
        <v/>
      </c>
      <c r="P120" s="7" t="str">
        <f>IF(金币!P121="","",金币!$B121*金币!P121)</f>
        <v/>
      </c>
      <c r="Q120" s="7">
        <f>IF(金币!Q121="","",金币!$B121*金币!Q121)</f>
        <v>1190</v>
      </c>
      <c r="R120" s="7" t="str">
        <f>IF(金币!R121="","",金币!$B121*金币!R121)</f>
        <v/>
      </c>
      <c r="S120" s="7">
        <f>IF(金币!S121="","",金币!$B121*金币!S121)</f>
        <v>357</v>
      </c>
      <c r="T120" s="7" t="str">
        <f>IF(金币!T121="","",金币!$B121*金币!T121)</f>
        <v/>
      </c>
      <c r="U120" s="7" t="str">
        <f>IF(金币!U121="","",金币!$B121*金币!U121)</f>
        <v/>
      </c>
      <c r="V120" s="7">
        <f>IF(金币!V121="","",金币!$B121*金币!V121)</f>
        <v>476</v>
      </c>
      <c r="W120" s="7" t="str">
        <f>IF(金币!W121="","",金币!$B121*金币!W121)</f>
        <v/>
      </c>
      <c r="X120" s="7" t="str">
        <f>IF(金币!X121="","",金币!$B121*金币!X121)</f>
        <v/>
      </c>
      <c r="Y120" s="7" t="str">
        <f>IF(金币!Y121="","",金币!$B121*金币!Y121)</f>
        <v/>
      </c>
      <c r="Z120" s="7">
        <f>IF(金币!Z121="","",金币!$B121*金币!Z121)</f>
        <v>1190</v>
      </c>
      <c r="AA120" s="7" t="str">
        <f>IF(金币!AA121="","",金币!$B121*金币!AA121)</f>
        <v/>
      </c>
      <c r="AB120" s="7" t="str">
        <f>IF(金币!AB121="","",金币!$B121*金币!AB121)</f>
        <v/>
      </c>
      <c r="AC120" s="7" t="str">
        <f>IF(金币!AC121="","",金币!$B121*金币!AC121)</f>
        <v/>
      </c>
      <c r="AD120" s="7" t="str">
        <f>IF(金币!AD121="","",金币!$B121*金币!AD121)</f>
        <v/>
      </c>
      <c r="AE120" s="7" t="str">
        <f>IF(金币!AE121="","",金币!$B121*金币!AE121)</f>
        <v/>
      </c>
      <c r="AF120" s="7">
        <f>IF(金币!AF121="","",金币!$B121*金币!AF121)</f>
        <v>2380</v>
      </c>
      <c r="AG120" s="7">
        <f>金币!AI121</f>
        <v>0</v>
      </c>
    </row>
    <row r="121" spans="1:33">
      <c r="A121" s="32">
        <v>120</v>
      </c>
      <c r="B121" s="87">
        <f>金币!B122</f>
        <v>120</v>
      </c>
      <c r="C121" s="7">
        <f>IF(金币!C122="","",金币!$B122*金币!C122)</f>
        <v>960</v>
      </c>
      <c r="D121" s="7" t="str">
        <f>IF(金币!D122="","",金币!$B122*金币!D122)</f>
        <v/>
      </c>
      <c r="E121" s="7" t="str">
        <f>IF(金币!E122="","",金币!$B122*金币!E122)</f>
        <v/>
      </c>
      <c r="F121" s="7">
        <f>IF(金币!F122="","",金币!$B122*金币!F122)</f>
        <v>1200</v>
      </c>
      <c r="G121" s="7" t="str">
        <f>IF(金币!G122="","",金币!$B122*金币!G122)</f>
        <v/>
      </c>
      <c r="H121" s="7" t="str">
        <f>IF(金币!H122="","",金币!$B122*金币!H122)</f>
        <v/>
      </c>
      <c r="I121" s="7" t="str">
        <f>IF(金币!I122="","",金币!$B122*金币!I122)</f>
        <v/>
      </c>
      <c r="J121" s="7" t="str">
        <f>IF(金币!J122="","",金币!$B122*金币!J122)</f>
        <v/>
      </c>
      <c r="K121" s="7">
        <f>IF(金币!K122="","",金币!$B122*金币!K122)</f>
        <v>1200</v>
      </c>
      <c r="L121" s="7">
        <f>IF(金币!L122="","",金币!$B122*金币!L122)</f>
        <v>600</v>
      </c>
      <c r="M121" s="7" t="str">
        <f>IF(金币!M122="","",金币!$B122*金币!M122)</f>
        <v/>
      </c>
      <c r="N121" s="7" t="str">
        <f>IF(金币!N122="","",金币!$B122*金币!N122)</f>
        <v/>
      </c>
      <c r="O121" s="7" t="str">
        <f>IF(金币!O122="","",金币!$B122*金币!O122)</f>
        <v/>
      </c>
      <c r="P121" s="7" t="str">
        <f>IF(金币!P122="","",金币!$B122*金币!P122)</f>
        <v/>
      </c>
      <c r="Q121" s="7">
        <f>IF(金币!Q122="","",金币!$B122*金币!Q122)</f>
        <v>1200</v>
      </c>
      <c r="R121" s="7" t="str">
        <f>IF(金币!R122="","",金币!$B122*金币!R122)</f>
        <v/>
      </c>
      <c r="S121" s="7">
        <f>IF(金币!S122="","",金币!$B122*金币!S122)</f>
        <v>360</v>
      </c>
      <c r="T121" s="7" t="str">
        <f>IF(金币!T122="","",金币!$B122*金币!T122)</f>
        <v/>
      </c>
      <c r="U121" s="7" t="str">
        <f>IF(金币!U122="","",金币!$B122*金币!U122)</f>
        <v/>
      </c>
      <c r="V121" s="7">
        <f>IF(金币!V122="","",金币!$B122*金币!V122)</f>
        <v>480</v>
      </c>
      <c r="W121" s="7" t="str">
        <f>IF(金币!W122="","",金币!$B122*金币!W122)</f>
        <v/>
      </c>
      <c r="X121" s="7" t="str">
        <f>IF(金币!X122="","",金币!$B122*金币!X122)</f>
        <v/>
      </c>
      <c r="Y121" s="7" t="str">
        <f>IF(金币!Y122="","",金币!$B122*金币!Y122)</f>
        <v/>
      </c>
      <c r="Z121" s="7">
        <f>IF(金币!Z122="","",金币!$B122*金币!Z122)</f>
        <v>1200</v>
      </c>
      <c r="AA121" s="7" t="str">
        <f>IF(金币!AA122="","",金币!$B122*金币!AA122)</f>
        <v/>
      </c>
      <c r="AB121" s="7" t="str">
        <f>IF(金币!AB122="","",金币!$B122*金币!AB122)</f>
        <v/>
      </c>
      <c r="AC121" s="7" t="str">
        <f>IF(金币!AC122="","",金币!$B122*金币!AC122)</f>
        <v/>
      </c>
      <c r="AD121" s="7" t="str">
        <f>IF(金币!AD122="","",金币!$B122*金币!AD122)</f>
        <v/>
      </c>
      <c r="AE121" s="7" t="str">
        <f>IF(金币!AE122="","",金币!$B122*金币!AE122)</f>
        <v/>
      </c>
      <c r="AF121" s="7">
        <f>IF(金币!AF122="","",金币!$B122*金币!AF122)</f>
        <v>2400</v>
      </c>
      <c r="AG121" s="7">
        <f>金币!AI122</f>
        <v>0</v>
      </c>
    </row>
    <row r="122" spans="1:33">
      <c r="A122" s="32">
        <v>121</v>
      </c>
      <c r="B122" s="87">
        <f>金币!B123</f>
        <v>121</v>
      </c>
      <c r="C122" s="7">
        <f>IF(金币!C123="","",金币!$B123*金币!C123)</f>
        <v>968</v>
      </c>
      <c r="D122" s="7" t="str">
        <f>IF(金币!D123="","",金币!$B123*金币!D123)</f>
        <v/>
      </c>
      <c r="E122" s="7" t="str">
        <f>IF(金币!E123="","",金币!$B123*金币!E123)</f>
        <v/>
      </c>
      <c r="F122" s="7">
        <f>IF(金币!F123="","",金币!$B123*金币!F123)</f>
        <v>1210</v>
      </c>
      <c r="G122" s="7" t="str">
        <f>IF(金币!G123="","",金币!$B123*金币!G123)</f>
        <v/>
      </c>
      <c r="H122" s="7" t="str">
        <f>IF(金币!H123="","",金币!$B123*金币!H123)</f>
        <v/>
      </c>
      <c r="I122" s="7" t="str">
        <f>IF(金币!I123="","",金币!$B123*金币!I123)</f>
        <v/>
      </c>
      <c r="J122" s="7" t="str">
        <f>IF(金币!J123="","",金币!$B123*金币!J123)</f>
        <v/>
      </c>
      <c r="K122" s="7">
        <f>IF(金币!K123="","",金币!$B123*金币!K123)</f>
        <v>1210</v>
      </c>
      <c r="L122" s="7">
        <f>IF(金币!L123="","",金币!$B123*金币!L123)</f>
        <v>605</v>
      </c>
      <c r="M122" s="7" t="str">
        <f>IF(金币!M123="","",金币!$B123*金币!M123)</f>
        <v/>
      </c>
      <c r="N122" s="7" t="str">
        <f>IF(金币!N123="","",金币!$B123*金币!N123)</f>
        <v/>
      </c>
      <c r="O122" s="7" t="str">
        <f>IF(金币!O123="","",金币!$B123*金币!O123)</f>
        <v/>
      </c>
      <c r="P122" s="7" t="str">
        <f>IF(金币!P123="","",金币!$B123*金币!P123)</f>
        <v/>
      </c>
      <c r="Q122" s="7">
        <f>IF(金币!Q123="","",金币!$B123*金币!Q123)</f>
        <v>1210</v>
      </c>
      <c r="R122" s="7" t="str">
        <f>IF(金币!R123="","",金币!$B123*金币!R123)</f>
        <v/>
      </c>
      <c r="S122" s="7">
        <f>IF(金币!S123="","",金币!$B123*金币!S123)</f>
        <v>363</v>
      </c>
      <c r="T122" s="7" t="str">
        <f>IF(金币!T123="","",金币!$B123*金币!T123)</f>
        <v/>
      </c>
      <c r="U122" s="7" t="str">
        <f>IF(金币!U123="","",金币!$B123*金币!U123)</f>
        <v/>
      </c>
      <c r="V122" s="7">
        <f>IF(金币!V123="","",金币!$B123*金币!V123)</f>
        <v>484</v>
      </c>
      <c r="W122" s="7" t="str">
        <f>IF(金币!W123="","",金币!$B123*金币!W123)</f>
        <v/>
      </c>
      <c r="X122" s="7" t="str">
        <f>IF(金币!X123="","",金币!$B123*金币!X123)</f>
        <v/>
      </c>
      <c r="Y122" s="7" t="str">
        <f>IF(金币!Y123="","",金币!$B123*金币!Y123)</f>
        <v/>
      </c>
      <c r="Z122" s="7">
        <f>IF(金币!Z123="","",金币!$B123*金币!Z123)</f>
        <v>1210</v>
      </c>
      <c r="AA122" s="7" t="str">
        <f>IF(金币!AA123="","",金币!$B123*金币!AA123)</f>
        <v/>
      </c>
      <c r="AB122" s="7" t="str">
        <f>IF(金币!AB123="","",金币!$B123*金币!AB123)</f>
        <v/>
      </c>
      <c r="AC122" s="7" t="str">
        <f>IF(金币!AC123="","",金币!$B123*金币!AC123)</f>
        <v/>
      </c>
      <c r="AD122" s="7" t="str">
        <f>IF(金币!AD123="","",金币!$B123*金币!AD123)</f>
        <v/>
      </c>
      <c r="AE122" s="7" t="str">
        <f>IF(金币!AE123="","",金币!$B123*金币!AE123)</f>
        <v/>
      </c>
      <c r="AF122" s="7">
        <f>IF(金币!AF123="","",金币!$B123*金币!AF123)</f>
        <v>2420</v>
      </c>
      <c r="AG122" s="7">
        <f>金币!AI123</f>
        <v>0</v>
      </c>
    </row>
    <row r="123" spans="1:33">
      <c r="A123" s="32">
        <v>122</v>
      </c>
      <c r="B123" s="87">
        <f>金币!B124</f>
        <v>122</v>
      </c>
      <c r="C123" s="7">
        <f>IF(金币!C124="","",金币!$B124*金币!C124)</f>
        <v>976</v>
      </c>
      <c r="D123" s="7" t="str">
        <f>IF(金币!D124="","",金币!$B124*金币!D124)</f>
        <v/>
      </c>
      <c r="E123" s="7" t="str">
        <f>IF(金币!E124="","",金币!$B124*金币!E124)</f>
        <v/>
      </c>
      <c r="F123" s="7">
        <f>IF(金币!F124="","",金币!$B124*金币!F124)</f>
        <v>1220</v>
      </c>
      <c r="G123" s="7" t="str">
        <f>IF(金币!G124="","",金币!$B124*金币!G124)</f>
        <v/>
      </c>
      <c r="H123" s="7" t="str">
        <f>IF(金币!H124="","",金币!$B124*金币!H124)</f>
        <v/>
      </c>
      <c r="I123" s="7" t="str">
        <f>IF(金币!I124="","",金币!$B124*金币!I124)</f>
        <v/>
      </c>
      <c r="J123" s="7" t="str">
        <f>IF(金币!J124="","",金币!$B124*金币!J124)</f>
        <v/>
      </c>
      <c r="K123" s="7">
        <f>IF(金币!K124="","",金币!$B124*金币!K124)</f>
        <v>1220</v>
      </c>
      <c r="L123" s="7">
        <f>IF(金币!L124="","",金币!$B124*金币!L124)</f>
        <v>610</v>
      </c>
      <c r="M123" s="7" t="str">
        <f>IF(金币!M124="","",金币!$B124*金币!M124)</f>
        <v/>
      </c>
      <c r="N123" s="7" t="str">
        <f>IF(金币!N124="","",金币!$B124*金币!N124)</f>
        <v/>
      </c>
      <c r="O123" s="7" t="str">
        <f>IF(金币!O124="","",金币!$B124*金币!O124)</f>
        <v/>
      </c>
      <c r="P123" s="7" t="str">
        <f>IF(金币!P124="","",金币!$B124*金币!P124)</f>
        <v/>
      </c>
      <c r="Q123" s="7">
        <f>IF(金币!Q124="","",金币!$B124*金币!Q124)</f>
        <v>1220</v>
      </c>
      <c r="R123" s="7" t="str">
        <f>IF(金币!R124="","",金币!$B124*金币!R124)</f>
        <v/>
      </c>
      <c r="S123" s="7">
        <f>IF(金币!S124="","",金币!$B124*金币!S124)</f>
        <v>366</v>
      </c>
      <c r="T123" s="7" t="str">
        <f>IF(金币!T124="","",金币!$B124*金币!T124)</f>
        <v/>
      </c>
      <c r="U123" s="7" t="str">
        <f>IF(金币!U124="","",金币!$B124*金币!U124)</f>
        <v/>
      </c>
      <c r="V123" s="7">
        <f>IF(金币!V124="","",金币!$B124*金币!V124)</f>
        <v>488</v>
      </c>
      <c r="W123" s="7" t="str">
        <f>IF(金币!W124="","",金币!$B124*金币!W124)</f>
        <v/>
      </c>
      <c r="X123" s="7" t="str">
        <f>IF(金币!X124="","",金币!$B124*金币!X124)</f>
        <v/>
      </c>
      <c r="Y123" s="7" t="str">
        <f>IF(金币!Y124="","",金币!$B124*金币!Y124)</f>
        <v/>
      </c>
      <c r="Z123" s="7">
        <f>IF(金币!Z124="","",金币!$B124*金币!Z124)</f>
        <v>1220</v>
      </c>
      <c r="AA123" s="7" t="str">
        <f>IF(金币!AA124="","",金币!$B124*金币!AA124)</f>
        <v/>
      </c>
      <c r="AB123" s="7" t="str">
        <f>IF(金币!AB124="","",金币!$B124*金币!AB124)</f>
        <v/>
      </c>
      <c r="AC123" s="7" t="str">
        <f>IF(金币!AC124="","",金币!$B124*金币!AC124)</f>
        <v/>
      </c>
      <c r="AD123" s="7" t="str">
        <f>IF(金币!AD124="","",金币!$B124*金币!AD124)</f>
        <v/>
      </c>
      <c r="AE123" s="7" t="str">
        <f>IF(金币!AE124="","",金币!$B124*金币!AE124)</f>
        <v/>
      </c>
      <c r="AF123" s="7">
        <f>IF(金币!AF124="","",金币!$B124*金币!AF124)</f>
        <v>2440</v>
      </c>
      <c r="AG123" s="7">
        <f>金币!AI124</f>
        <v>0</v>
      </c>
    </row>
    <row r="124" spans="1:33">
      <c r="A124" s="32">
        <v>123</v>
      </c>
      <c r="B124" s="87">
        <f>金币!B125</f>
        <v>123</v>
      </c>
      <c r="C124" s="7">
        <f>IF(金币!C125="","",金币!$B125*金币!C125)</f>
        <v>984</v>
      </c>
      <c r="D124" s="7" t="str">
        <f>IF(金币!D125="","",金币!$B125*金币!D125)</f>
        <v/>
      </c>
      <c r="E124" s="7" t="str">
        <f>IF(金币!E125="","",金币!$B125*金币!E125)</f>
        <v/>
      </c>
      <c r="F124" s="7">
        <f>IF(金币!F125="","",金币!$B125*金币!F125)</f>
        <v>1230</v>
      </c>
      <c r="G124" s="7" t="str">
        <f>IF(金币!G125="","",金币!$B125*金币!G125)</f>
        <v/>
      </c>
      <c r="H124" s="7" t="str">
        <f>IF(金币!H125="","",金币!$B125*金币!H125)</f>
        <v/>
      </c>
      <c r="I124" s="7" t="str">
        <f>IF(金币!I125="","",金币!$B125*金币!I125)</f>
        <v/>
      </c>
      <c r="J124" s="7" t="str">
        <f>IF(金币!J125="","",金币!$B125*金币!J125)</f>
        <v/>
      </c>
      <c r="K124" s="7">
        <f>IF(金币!K125="","",金币!$B125*金币!K125)</f>
        <v>1230</v>
      </c>
      <c r="L124" s="7">
        <f>IF(金币!L125="","",金币!$B125*金币!L125)</f>
        <v>615</v>
      </c>
      <c r="M124" s="7" t="str">
        <f>IF(金币!M125="","",金币!$B125*金币!M125)</f>
        <v/>
      </c>
      <c r="N124" s="7" t="str">
        <f>IF(金币!N125="","",金币!$B125*金币!N125)</f>
        <v/>
      </c>
      <c r="O124" s="7" t="str">
        <f>IF(金币!O125="","",金币!$B125*金币!O125)</f>
        <v/>
      </c>
      <c r="P124" s="7" t="str">
        <f>IF(金币!P125="","",金币!$B125*金币!P125)</f>
        <v/>
      </c>
      <c r="Q124" s="7">
        <f>IF(金币!Q125="","",金币!$B125*金币!Q125)</f>
        <v>1230</v>
      </c>
      <c r="R124" s="7" t="str">
        <f>IF(金币!R125="","",金币!$B125*金币!R125)</f>
        <v/>
      </c>
      <c r="S124" s="7">
        <f>IF(金币!S125="","",金币!$B125*金币!S125)</f>
        <v>369</v>
      </c>
      <c r="T124" s="7" t="str">
        <f>IF(金币!T125="","",金币!$B125*金币!T125)</f>
        <v/>
      </c>
      <c r="U124" s="7" t="str">
        <f>IF(金币!U125="","",金币!$B125*金币!U125)</f>
        <v/>
      </c>
      <c r="V124" s="7">
        <f>IF(金币!V125="","",金币!$B125*金币!V125)</f>
        <v>492</v>
      </c>
      <c r="W124" s="7" t="str">
        <f>IF(金币!W125="","",金币!$B125*金币!W125)</f>
        <v/>
      </c>
      <c r="X124" s="7" t="str">
        <f>IF(金币!X125="","",金币!$B125*金币!X125)</f>
        <v/>
      </c>
      <c r="Y124" s="7" t="str">
        <f>IF(金币!Y125="","",金币!$B125*金币!Y125)</f>
        <v/>
      </c>
      <c r="Z124" s="7">
        <f>IF(金币!Z125="","",金币!$B125*金币!Z125)</f>
        <v>1230</v>
      </c>
      <c r="AA124" s="7" t="str">
        <f>IF(金币!AA125="","",金币!$B125*金币!AA125)</f>
        <v/>
      </c>
      <c r="AB124" s="7" t="str">
        <f>IF(金币!AB125="","",金币!$B125*金币!AB125)</f>
        <v/>
      </c>
      <c r="AC124" s="7" t="str">
        <f>IF(金币!AC125="","",金币!$B125*金币!AC125)</f>
        <v/>
      </c>
      <c r="AD124" s="7" t="str">
        <f>IF(金币!AD125="","",金币!$B125*金币!AD125)</f>
        <v/>
      </c>
      <c r="AE124" s="7" t="str">
        <f>IF(金币!AE125="","",金币!$B125*金币!AE125)</f>
        <v/>
      </c>
      <c r="AF124" s="7">
        <f>IF(金币!AF125="","",金币!$B125*金币!AF125)</f>
        <v>2460</v>
      </c>
      <c r="AG124" s="7">
        <f>金币!AI125</f>
        <v>0</v>
      </c>
    </row>
    <row r="125" spans="1:33">
      <c r="A125" s="32">
        <v>124</v>
      </c>
      <c r="B125" s="87">
        <f>金币!B126</f>
        <v>124</v>
      </c>
      <c r="C125" s="7">
        <f>IF(金币!C126="","",金币!$B126*金币!C126)</f>
        <v>992</v>
      </c>
      <c r="D125" s="7" t="str">
        <f>IF(金币!D126="","",金币!$B126*金币!D126)</f>
        <v/>
      </c>
      <c r="E125" s="7" t="str">
        <f>IF(金币!E126="","",金币!$B126*金币!E126)</f>
        <v/>
      </c>
      <c r="F125" s="7">
        <f>IF(金币!F126="","",金币!$B126*金币!F126)</f>
        <v>1240</v>
      </c>
      <c r="G125" s="7" t="str">
        <f>IF(金币!G126="","",金币!$B126*金币!G126)</f>
        <v/>
      </c>
      <c r="H125" s="7" t="str">
        <f>IF(金币!H126="","",金币!$B126*金币!H126)</f>
        <v/>
      </c>
      <c r="I125" s="7" t="str">
        <f>IF(金币!I126="","",金币!$B126*金币!I126)</f>
        <v/>
      </c>
      <c r="J125" s="7" t="str">
        <f>IF(金币!J126="","",金币!$B126*金币!J126)</f>
        <v/>
      </c>
      <c r="K125" s="7">
        <f>IF(金币!K126="","",金币!$B126*金币!K126)</f>
        <v>1240</v>
      </c>
      <c r="L125" s="7">
        <f>IF(金币!L126="","",金币!$B126*金币!L126)</f>
        <v>620</v>
      </c>
      <c r="M125" s="7" t="str">
        <f>IF(金币!M126="","",金币!$B126*金币!M126)</f>
        <v/>
      </c>
      <c r="N125" s="7" t="str">
        <f>IF(金币!N126="","",金币!$B126*金币!N126)</f>
        <v/>
      </c>
      <c r="O125" s="7" t="str">
        <f>IF(金币!O126="","",金币!$B126*金币!O126)</f>
        <v/>
      </c>
      <c r="P125" s="7" t="str">
        <f>IF(金币!P126="","",金币!$B126*金币!P126)</f>
        <v/>
      </c>
      <c r="Q125" s="7">
        <f>IF(金币!Q126="","",金币!$B126*金币!Q126)</f>
        <v>1240</v>
      </c>
      <c r="R125" s="7" t="str">
        <f>IF(金币!R126="","",金币!$B126*金币!R126)</f>
        <v/>
      </c>
      <c r="S125" s="7">
        <f>IF(金币!S126="","",金币!$B126*金币!S126)</f>
        <v>372</v>
      </c>
      <c r="T125" s="7" t="str">
        <f>IF(金币!T126="","",金币!$B126*金币!T126)</f>
        <v/>
      </c>
      <c r="U125" s="7" t="str">
        <f>IF(金币!U126="","",金币!$B126*金币!U126)</f>
        <v/>
      </c>
      <c r="V125" s="7">
        <f>IF(金币!V126="","",金币!$B126*金币!V126)</f>
        <v>496</v>
      </c>
      <c r="W125" s="7" t="str">
        <f>IF(金币!W126="","",金币!$B126*金币!W126)</f>
        <v/>
      </c>
      <c r="X125" s="7" t="str">
        <f>IF(金币!X126="","",金币!$B126*金币!X126)</f>
        <v/>
      </c>
      <c r="Y125" s="7" t="str">
        <f>IF(金币!Y126="","",金币!$B126*金币!Y126)</f>
        <v/>
      </c>
      <c r="Z125" s="7">
        <f>IF(金币!Z126="","",金币!$B126*金币!Z126)</f>
        <v>1240</v>
      </c>
      <c r="AA125" s="7" t="str">
        <f>IF(金币!AA126="","",金币!$B126*金币!AA126)</f>
        <v/>
      </c>
      <c r="AB125" s="7" t="str">
        <f>IF(金币!AB126="","",金币!$B126*金币!AB126)</f>
        <v/>
      </c>
      <c r="AC125" s="7" t="str">
        <f>IF(金币!AC126="","",金币!$B126*金币!AC126)</f>
        <v/>
      </c>
      <c r="AD125" s="7" t="str">
        <f>IF(金币!AD126="","",金币!$B126*金币!AD126)</f>
        <v/>
      </c>
      <c r="AE125" s="7" t="str">
        <f>IF(金币!AE126="","",金币!$B126*金币!AE126)</f>
        <v/>
      </c>
      <c r="AF125" s="7">
        <f>IF(金币!AF126="","",金币!$B126*金币!AF126)</f>
        <v>2480</v>
      </c>
      <c r="AG125" s="7">
        <f>金币!AI126</f>
        <v>0</v>
      </c>
    </row>
    <row r="126" spans="1:33">
      <c r="A126" s="32">
        <v>125</v>
      </c>
      <c r="B126" s="87">
        <f>金币!B127</f>
        <v>125</v>
      </c>
      <c r="C126" s="7">
        <f>IF(金币!C127="","",金币!$B127*金币!C127)</f>
        <v>1000</v>
      </c>
      <c r="D126" s="7" t="str">
        <f>IF(金币!D127="","",金币!$B127*金币!D127)</f>
        <v/>
      </c>
      <c r="E126" s="7" t="str">
        <f>IF(金币!E127="","",金币!$B127*金币!E127)</f>
        <v/>
      </c>
      <c r="F126" s="7">
        <f>IF(金币!F127="","",金币!$B127*金币!F127)</f>
        <v>1250</v>
      </c>
      <c r="G126" s="7" t="str">
        <f>IF(金币!G127="","",金币!$B127*金币!G127)</f>
        <v/>
      </c>
      <c r="H126" s="7" t="str">
        <f>IF(金币!H127="","",金币!$B127*金币!H127)</f>
        <v/>
      </c>
      <c r="I126" s="7" t="str">
        <f>IF(金币!I127="","",金币!$B127*金币!I127)</f>
        <v/>
      </c>
      <c r="J126" s="7" t="str">
        <f>IF(金币!J127="","",金币!$B127*金币!J127)</f>
        <v/>
      </c>
      <c r="K126" s="7">
        <f>IF(金币!K127="","",金币!$B127*金币!K127)</f>
        <v>1250</v>
      </c>
      <c r="L126" s="7">
        <f>IF(金币!L127="","",金币!$B127*金币!L127)</f>
        <v>625</v>
      </c>
      <c r="M126" s="7" t="str">
        <f>IF(金币!M127="","",金币!$B127*金币!M127)</f>
        <v/>
      </c>
      <c r="N126" s="7" t="str">
        <f>IF(金币!N127="","",金币!$B127*金币!N127)</f>
        <v/>
      </c>
      <c r="O126" s="7" t="str">
        <f>IF(金币!O127="","",金币!$B127*金币!O127)</f>
        <v/>
      </c>
      <c r="P126" s="7" t="str">
        <f>IF(金币!P127="","",金币!$B127*金币!P127)</f>
        <v/>
      </c>
      <c r="Q126" s="7">
        <f>IF(金币!Q127="","",金币!$B127*金币!Q127)</f>
        <v>1250</v>
      </c>
      <c r="R126" s="7" t="str">
        <f>IF(金币!R127="","",金币!$B127*金币!R127)</f>
        <v/>
      </c>
      <c r="S126" s="7">
        <f>IF(金币!S127="","",金币!$B127*金币!S127)</f>
        <v>375</v>
      </c>
      <c r="T126" s="7" t="str">
        <f>IF(金币!T127="","",金币!$B127*金币!T127)</f>
        <v/>
      </c>
      <c r="U126" s="7" t="str">
        <f>IF(金币!U127="","",金币!$B127*金币!U127)</f>
        <v/>
      </c>
      <c r="V126" s="7">
        <f>IF(金币!V127="","",金币!$B127*金币!V127)</f>
        <v>500</v>
      </c>
      <c r="W126" s="7" t="str">
        <f>IF(金币!W127="","",金币!$B127*金币!W127)</f>
        <v/>
      </c>
      <c r="X126" s="7" t="str">
        <f>IF(金币!X127="","",金币!$B127*金币!X127)</f>
        <v/>
      </c>
      <c r="Y126" s="7" t="str">
        <f>IF(金币!Y127="","",金币!$B127*金币!Y127)</f>
        <v/>
      </c>
      <c r="Z126" s="7">
        <f>IF(金币!Z127="","",金币!$B127*金币!Z127)</f>
        <v>1250</v>
      </c>
      <c r="AA126" s="7" t="str">
        <f>IF(金币!AA127="","",金币!$B127*金币!AA127)</f>
        <v/>
      </c>
      <c r="AB126" s="7" t="str">
        <f>IF(金币!AB127="","",金币!$B127*金币!AB127)</f>
        <v/>
      </c>
      <c r="AC126" s="7" t="str">
        <f>IF(金币!AC127="","",金币!$B127*金币!AC127)</f>
        <v/>
      </c>
      <c r="AD126" s="7" t="str">
        <f>IF(金币!AD127="","",金币!$B127*金币!AD127)</f>
        <v/>
      </c>
      <c r="AE126" s="7" t="str">
        <f>IF(金币!AE127="","",金币!$B127*金币!AE127)</f>
        <v/>
      </c>
      <c r="AF126" s="7">
        <f>IF(金币!AF127="","",金币!$B127*金币!AF127)</f>
        <v>2500</v>
      </c>
      <c r="AG126" s="7">
        <f>金币!AI127</f>
        <v>0</v>
      </c>
    </row>
    <row r="127" spans="1:33">
      <c r="A127" s="32">
        <v>126</v>
      </c>
      <c r="B127" s="87">
        <f>金币!B128</f>
        <v>126</v>
      </c>
      <c r="C127" s="7">
        <f>IF(金币!C128="","",金币!$B128*金币!C128)</f>
        <v>1008</v>
      </c>
      <c r="D127" s="7" t="str">
        <f>IF(金币!D128="","",金币!$B128*金币!D128)</f>
        <v/>
      </c>
      <c r="E127" s="7" t="str">
        <f>IF(金币!E128="","",金币!$B128*金币!E128)</f>
        <v/>
      </c>
      <c r="F127" s="7">
        <f>IF(金币!F128="","",金币!$B128*金币!F128)</f>
        <v>1260</v>
      </c>
      <c r="G127" s="7" t="str">
        <f>IF(金币!G128="","",金币!$B128*金币!G128)</f>
        <v/>
      </c>
      <c r="H127" s="7" t="str">
        <f>IF(金币!H128="","",金币!$B128*金币!H128)</f>
        <v/>
      </c>
      <c r="I127" s="7" t="str">
        <f>IF(金币!I128="","",金币!$B128*金币!I128)</f>
        <v/>
      </c>
      <c r="J127" s="7" t="str">
        <f>IF(金币!J128="","",金币!$B128*金币!J128)</f>
        <v/>
      </c>
      <c r="K127" s="7">
        <f>IF(金币!K128="","",金币!$B128*金币!K128)</f>
        <v>1260</v>
      </c>
      <c r="L127" s="7">
        <f>IF(金币!L128="","",金币!$B128*金币!L128)</f>
        <v>630</v>
      </c>
      <c r="M127" s="7" t="str">
        <f>IF(金币!M128="","",金币!$B128*金币!M128)</f>
        <v/>
      </c>
      <c r="N127" s="7" t="str">
        <f>IF(金币!N128="","",金币!$B128*金币!N128)</f>
        <v/>
      </c>
      <c r="O127" s="7" t="str">
        <f>IF(金币!O128="","",金币!$B128*金币!O128)</f>
        <v/>
      </c>
      <c r="P127" s="7" t="str">
        <f>IF(金币!P128="","",金币!$B128*金币!P128)</f>
        <v/>
      </c>
      <c r="Q127" s="7">
        <f>IF(金币!Q128="","",金币!$B128*金币!Q128)</f>
        <v>1260</v>
      </c>
      <c r="R127" s="7" t="str">
        <f>IF(金币!R128="","",金币!$B128*金币!R128)</f>
        <v/>
      </c>
      <c r="S127" s="7">
        <f>IF(金币!S128="","",金币!$B128*金币!S128)</f>
        <v>378</v>
      </c>
      <c r="T127" s="7" t="str">
        <f>IF(金币!T128="","",金币!$B128*金币!T128)</f>
        <v/>
      </c>
      <c r="U127" s="7" t="str">
        <f>IF(金币!U128="","",金币!$B128*金币!U128)</f>
        <v/>
      </c>
      <c r="V127" s="7">
        <f>IF(金币!V128="","",金币!$B128*金币!V128)</f>
        <v>504</v>
      </c>
      <c r="W127" s="7" t="str">
        <f>IF(金币!W128="","",金币!$B128*金币!W128)</f>
        <v/>
      </c>
      <c r="X127" s="7" t="str">
        <f>IF(金币!X128="","",金币!$B128*金币!X128)</f>
        <v/>
      </c>
      <c r="Y127" s="7" t="str">
        <f>IF(金币!Y128="","",金币!$B128*金币!Y128)</f>
        <v/>
      </c>
      <c r="Z127" s="7">
        <f>IF(金币!Z128="","",金币!$B128*金币!Z128)</f>
        <v>1260</v>
      </c>
      <c r="AA127" s="7" t="str">
        <f>IF(金币!AA128="","",金币!$B128*金币!AA128)</f>
        <v/>
      </c>
      <c r="AB127" s="7" t="str">
        <f>IF(金币!AB128="","",金币!$B128*金币!AB128)</f>
        <v/>
      </c>
      <c r="AC127" s="7" t="str">
        <f>IF(金币!AC128="","",金币!$B128*金币!AC128)</f>
        <v/>
      </c>
      <c r="AD127" s="7" t="str">
        <f>IF(金币!AD128="","",金币!$B128*金币!AD128)</f>
        <v/>
      </c>
      <c r="AE127" s="7" t="str">
        <f>IF(金币!AE128="","",金币!$B128*金币!AE128)</f>
        <v/>
      </c>
      <c r="AF127" s="7">
        <f>IF(金币!AF128="","",金币!$B128*金币!AF128)</f>
        <v>2520</v>
      </c>
      <c r="AG127" s="7">
        <f>金币!AI128</f>
        <v>0</v>
      </c>
    </row>
    <row r="128" spans="1:33">
      <c r="A128" s="32">
        <v>127</v>
      </c>
      <c r="B128" s="87">
        <f>金币!B129</f>
        <v>127</v>
      </c>
      <c r="C128" s="7">
        <f>IF(金币!C129="","",金币!$B129*金币!C129)</f>
        <v>1016</v>
      </c>
      <c r="D128" s="7" t="str">
        <f>IF(金币!D129="","",金币!$B129*金币!D129)</f>
        <v/>
      </c>
      <c r="E128" s="7" t="str">
        <f>IF(金币!E129="","",金币!$B129*金币!E129)</f>
        <v/>
      </c>
      <c r="F128" s="7">
        <f>IF(金币!F129="","",金币!$B129*金币!F129)</f>
        <v>1270</v>
      </c>
      <c r="G128" s="7" t="str">
        <f>IF(金币!G129="","",金币!$B129*金币!G129)</f>
        <v/>
      </c>
      <c r="H128" s="7" t="str">
        <f>IF(金币!H129="","",金币!$B129*金币!H129)</f>
        <v/>
      </c>
      <c r="I128" s="7" t="str">
        <f>IF(金币!I129="","",金币!$B129*金币!I129)</f>
        <v/>
      </c>
      <c r="J128" s="7" t="str">
        <f>IF(金币!J129="","",金币!$B129*金币!J129)</f>
        <v/>
      </c>
      <c r="K128" s="7">
        <f>IF(金币!K129="","",金币!$B129*金币!K129)</f>
        <v>1270</v>
      </c>
      <c r="L128" s="7">
        <f>IF(金币!L129="","",金币!$B129*金币!L129)</f>
        <v>635</v>
      </c>
      <c r="M128" s="7" t="str">
        <f>IF(金币!M129="","",金币!$B129*金币!M129)</f>
        <v/>
      </c>
      <c r="N128" s="7" t="str">
        <f>IF(金币!N129="","",金币!$B129*金币!N129)</f>
        <v/>
      </c>
      <c r="O128" s="7" t="str">
        <f>IF(金币!O129="","",金币!$B129*金币!O129)</f>
        <v/>
      </c>
      <c r="P128" s="7" t="str">
        <f>IF(金币!P129="","",金币!$B129*金币!P129)</f>
        <v/>
      </c>
      <c r="Q128" s="7">
        <f>IF(金币!Q129="","",金币!$B129*金币!Q129)</f>
        <v>1270</v>
      </c>
      <c r="R128" s="7" t="str">
        <f>IF(金币!R129="","",金币!$B129*金币!R129)</f>
        <v/>
      </c>
      <c r="S128" s="7">
        <f>IF(金币!S129="","",金币!$B129*金币!S129)</f>
        <v>381</v>
      </c>
      <c r="T128" s="7" t="str">
        <f>IF(金币!T129="","",金币!$B129*金币!T129)</f>
        <v/>
      </c>
      <c r="U128" s="7" t="str">
        <f>IF(金币!U129="","",金币!$B129*金币!U129)</f>
        <v/>
      </c>
      <c r="V128" s="7">
        <f>IF(金币!V129="","",金币!$B129*金币!V129)</f>
        <v>508</v>
      </c>
      <c r="W128" s="7" t="str">
        <f>IF(金币!W129="","",金币!$B129*金币!W129)</f>
        <v/>
      </c>
      <c r="X128" s="7" t="str">
        <f>IF(金币!X129="","",金币!$B129*金币!X129)</f>
        <v/>
      </c>
      <c r="Y128" s="7" t="str">
        <f>IF(金币!Y129="","",金币!$B129*金币!Y129)</f>
        <v/>
      </c>
      <c r="Z128" s="7">
        <f>IF(金币!Z129="","",金币!$B129*金币!Z129)</f>
        <v>1270</v>
      </c>
      <c r="AA128" s="7" t="str">
        <f>IF(金币!AA129="","",金币!$B129*金币!AA129)</f>
        <v/>
      </c>
      <c r="AB128" s="7" t="str">
        <f>IF(金币!AB129="","",金币!$B129*金币!AB129)</f>
        <v/>
      </c>
      <c r="AC128" s="7" t="str">
        <f>IF(金币!AC129="","",金币!$B129*金币!AC129)</f>
        <v/>
      </c>
      <c r="AD128" s="7" t="str">
        <f>IF(金币!AD129="","",金币!$B129*金币!AD129)</f>
        <v/>
      </c>
      <c r="AE128" s="7" t="str">
        <f>IF(金币!AE129="","",金币!$B129*金币!AE129)</f>
        <v/>
      </c>
      <c r="AF128" s="7">
        <f>IF(金币!AF129="","",金币!$B129*金币!AF129)</f>
        <v>2540</v>
      </c>
      <c r="AG128" s="7">
        <f>金币!AI129</f>
        <v>0</v>
      </c>
    </row>
    <row r="129" spans="1:33">
      <c r="A129" s="32">
        <v>128</v>
      </c>
      <c r="B129" s="87">
        <f>金币!B130</f>
        <v>128</v>
      </c>
      <c r="C129" s="7">
        <f>IF(金币!C130="","",金币!$B130*金币!C130)</f>
        <v>1024</v>
      </c>
      <c r="D129" s="7" t="str">
        <f>IF(金币!D130="","",金币!$B130*金币!D130)</f>
        <v/>
      </c>
      <c r="E129" s="7" t="str">
        <f>IF(金币!E130="","",金币!$B130*金币!E130)</f>
        <v/>
      </c>
      <c r="F129" s="7">
        <f>IF(金币!F130="","",金币!$B130*金币!F130)</f>
        <v>1280</v>
      </c>
      <c r="G129" s="7" t="str">
        <f>IF(金币!G130="","",金币!$B130*金币!G130)</f>
        <v/>
      </c>
      <c r="H129" s="7" t="str">
        <f>IF(金币!H130="","",金币!$B130*金币!H130)</f>
        <v/>
      </c>
      <c r="I129" s="7" t="str">
        <f>IF(金币!I130="","",金币!$B130*金币!I130)</f>
        <v/>
      </c>
      <c r="J129" s="7" t="str">
        <f>IF(金币!J130="","",金币!$B130*金币!J130)</f>
        <v/>
      </c>
      <c r="K129" s="7">
        <f>IF(金币!K130="","",金币!$B130*金币!K130)</f>
        <v>1280</v>
      </c>
      <c r="L129" s="7">
        <f>IF(金币!L130="","",金币!$B130*金币!L130)</f>
        <v>640</v>
      </c>
      <c r="M129" s="7" t="str">
        <f>IF(金币!M130="","",金币!$B130*金币!M130)</f>
        <v/>
      </c>
      <c r="N129" s="7" t="str">
        <f>IF(金币!N130="","",金币!$B130*金币!N130)</f>
        <v/>
      </c>
      <c r="O129" s="7" t="str">
        <f>IF(金币!O130="","",金币!$B130*金币!O130)</f>
        <v/>
      </c>
      <c r="P129" s="7" t="str">
        <f>IF(金币!P130="","",金币!$B130*金币!P130)</f>
        <v/>
      </c>
      <c r="Q129" s="7">
        <f>IF(金币!Q130="","",金币!$B130*金币!Q130)</f>
        <v>1280</v>
      </c>
      <c r="R129" s="7" t="str">
        <f>IF(金币!R130="","",金币!$B130*金币!R130)</f>
        <v/>
      </c>
      <c r="S129" s="7">
        <f>IF(金币!S130="","",金币!$B130*金币!S130)</f>
        <v>384</v>
      </c>
      <c r="T129" s="7" t="str">
        <f>IF(金币!T130="","",金币!$B130*金币!T130)</f>
        <v/>
      </c>
      <c r="U129" s="7" t="str">
        <f>IF(金币!U130="","",金币!$B130*金币!U130)</f>
        <v/>
      </c>
      <c r="V129" s="7">
        <f>IF(金币!V130="","",金币!$B130*金币!V130)</f>
        <v>512</v>
      </c>
      <c r="W129" s="7" t="str">
        <f>IF(金币!W130="","",金币!$B130*金币!W130)</f>
        <v/>
      </c>
      <c r="X129" s="7" t="str">
        <f>IF(金币!X130="","",金币!$B130*金币!X130)</f>
        <v/>
      </c>
      <c r="Y129" s="7" t="str">
        <f>IF(金币!Y130="","",金币!$B130*金币!Y130)</f>
        <v/>
      </c>
      <c r="Z129" s="7">
        <f>IF(金币!Z130="","",金币!$B130*金币!Z130)</f>
        <v>1280</v>
      </c>
      <c r="AA129" s="7" t="str">
        <f>IF(金币!AA130="","",金币!$B130*金币!AA130)</f>
        <v/>
      </c>
      <c r="AB129" s="7" t="str">
        <f>IF(金币!AB130="","",金币!$B130*金币!AB130)</f>
        <v/>
      </c>
      <c r="AC129" s="7" t="str">
        <f>IF(金币!AC130="","",金币!$B130*金币!AC130)</f>
        <v/>
      </c>
      <c r="AD129" s="7" t="str">
        <f>IF(金币!AD130="","",金币!$B130*金币!AD130)</f>
        <v/>
      </c>
      <c r="AE129" s="7" t="str">
        <f>IF(金币!AE130="","",金币!$B130*金币!AE130)</f>
        <v/>
      </c>
      <c r="AF129" s="7">
        <f>IF(金币!AF130="","",金币!$B130*金币!AF130)</f>
        <v>2560</v>
      </c>
      <c r="AG129" s="7">
        <f>金币!AI130</f>
        <v>0</v>
      </c>
    </row>
    <row r="130" spans="1:33">
      <c r="A130" s="32">
        <v>129</v>
      </c>
      <c r="B130" s="87">
        <f>金币!B131</f>
        <v>129</v>
      </c>
      <c r="C130" s="7">
        <f>IF(金币!C131="","",金币!$B131*金币!C131)</f>
        <v>1032</v>
      </c>
      <c r="D130" s="7" t="str">
        <f>IF(金币!D131="","",金币!$B131*金币!D131)</f>
        <v/>
      </c>
      <c r="E130" s="7" t="str">
        <f>IF(金币!E131="","",金币!$B131*金币!E131)</f>
        <v/>
      </c>
      <c r="F130" s="7">
        <f>IF(金币!F131="","",金币!$B131*金币!F131)</f>
        <v>1290</v>
      </c>
      <c r="G130" s="7" t="str">
        <f>IF(金币!G131="","",金币!$B131*金币!G131)</f>
        <v/>
      </c>
      <c r="H130" s="7" t="str">
        <f>IF(金币!H131="","",金币!$B131*金币!H131)</f>
        <v/>
      </c>
      <c r="I130" s="7" t="str">
        <f>IF(金币!I131="","",金币!$B131*金币!I131)</f>
        <v/>
      </c>
      <c r="J130" s="7" t="str">
        <f>IF(金币!J131="","",金币!$B131*金币!J131)</f>
        <v/>
      </c>
      <c r="K130" s="7">
        <f>IF(金币!K131="","",金币!$B131*金币!K131)</f>
        <v>1290</v>
      </c>
      <c r="L130" s="7">
        <f>IF(金币!L131="","",金币!$B131*金币!L131)</f>
        <v>645</v>
      </c>
      <c r="M130" s="7" t="str">
        <f>IF(金币!M131="","",金币!$B131*金币!M131)</f>
        <v/>
      </c>
      <c r="N130" s="7" t="str">
        <f>IF(金币!N131="","",金币!$B131*金币!N131)</f>
        <v/>
      </c>
      <c r="O130" s="7" t="str">
        <f>IF(金币!O131="","",金币!$B131*金币!O131)</f>
        <v/>
      </c>
      <c r="P130" s="7" t="str">
        <f>IF(金币!P131="","",金币!$B131*金币!P131)</f>
        <v/>
      </c>
      <c r="Q130" s="7">
        <f>IF(金币!Q131="","",金币!$B131*金币!Q131)</f>
        <v>1290</v>
      </c>
      <c r="R130" s="7" t="str">
        <f>IF(金币!R131="","",金币!$B131*金币!R131)</f>
        <v/>
      </c>
      <c r="S130" s="7">
        <f>IF(金币!S131="","",金币!$B131*金币!S131)</f>
        <v>387</v>
      </c>
      <c r="T130" s="7" t="str">
        <f>IF(金币!T131="","",金币!$B131*金币!T131)</f>
        <v/>
      </c>
      <c r="U130" s="7" t="str">
        <f>IF(金币!U131="","",金币!$B131*金币!U131)</f>
        <v/>
      </c>
      <c r="V130" s="7">
        <f>IF(金币!V131="","",金币!$B131*金币!V131)</f>
        <v>516</v>
      </c>
      <c r="W130" s="7" t="str">
        <f>IF(金币!W131="","",金币!$B131*金币!W131)</f>
        <v/>
      </c>
      <c r="X130" s="7" t="str">
        <f>IF(金币!X131="","",金币!$B131*金币!X131)</f>
        <v/>
      </c>
      <c r="Y130" s="7" t="str">
        <f>IF(金币!Y131="","",金币!$B131*金币!Y131)</f>
        <v/>
      </c>
      <c r="Z130" s="7">
        <f>IF(金币!Z131="","",金币!$B131*金币!Z131)</f>
        <v>1290</v>
      </c>
      <c r="AA130" s="7" t="str">
        <f>IF(金币!AA131="","",金币!$B131*金币!AA131)</f>
        <v/>
      </c>
      <c r="AB130" s="7" t="str">
        <f>IF(金币!AB131="","",金币!$B131*金币!AB131)</f>
        <v/>
      </c>
      <c r="AC130" s="7" t="str">
        <f>IF(金币!AC131="","",金币!$B131*金币!AC131)</f>
        <v/>
      </c>
      <c r="AD130" s="7" t="str">
        <f>IF(金币!AD131="","",金币!$B131*金币!AD131)</f>
        <v/>
      </c>
      <c r="AE130" s="7" t="str">
        <f>IF(金币!AE131="","",金币!$B131*金币!AE131)</f>
        <v/>
      </c>
      <c r="AF130" s="7">
        <f>IF(金币!AF131="","",金币!$B131*金币!AF131)</f>
        <v>2580</v>
      </c>
      <c r="AG130" s="7">
        <f>金币!AI131</f>
        <v>0</v>
      </c>
    </row>
    <row r="131" spans="1:33">
      <c r="A131" s="32">
        <v>130</v>
      </c>
      <c r="B131" s="87">
        <f>金币!B132</f>
        <v>130</v>
      </c>
      <c r="C131" s="7">
        <f>IF(金币!C132="","",金币!$B132*金币!C132)</f>
        <v>1040</v>
      </c>
      <c r="D131" s="7" t="str">
        <f>IF(金币!D132="","",金币!$B132*金币!D132)</f>
        <v/>
      </c>
      <c r="E131" s="7" t="str">
        <f>IF(金币!E132="","",金币!$B132*金币!E132)</f>
        <v/>
      </c>
      <c r="F131" s="7">
        <f>IF(金币!F132="","",金币!$B132*金币!F132)</f>
        <v>1300</v>
      </c>
      <c r="G131" s="7" t="str">
        <f>IF(金币!G132="","",金币!$B132*金币!G132)</f>
        <v/>
      </c>
      <c r="H131" s="7" t="str">
        <f>IF(金币!H132="","",金币!$B132*金币!H132)</f>
        <v/>
      </c>
      <c r="I131" s="7" t="str">
        <f>IF(金币!I132="","",金币!$B132*金币!I132)</f>
        <v/>
      </c>
      <c r="J131" s="7" t="str">
        <f>IF(金币!J132="","",金币!$B132*金币!J132)</f>
        <v/>
      </c>
      <c r="K131" s="7">
        <f>IF(金币!K132="","",金币!$B132*金币!K132)</f>
        <v>1300</v>
      </c>
      <c r="L131" s="7">
        <f>IF(金币!L132="","",金币!$B132*金币!L132)</f>
        <v>650</v>
      </c>
      <c r="M131" s="7" t="str">
        <f>IF(金币!M132="","",金币!$B132*金币!M132)</f>
        <v/>
      </c>
      <c r="N131" s="7" t="str">
        <f>IF(金币!N132="","",金币!$B132*金币!N132)</f>
        <v/>
      </c>
      <c r="O131" s="7" t="str">
        <f>IF(金币!O132="","",金币!$B132*金币!O132)</f>
        <v/>
      </c>
      <c r="P131" s="7" t="str">
        <f>IF(金币!P132="","",金币!$B132*金币!P132)</f>
        <v/>
      </c>
      <c r="Q131" s="7">
        <f>IF(金币!Q132="","",金币!$B132*金币!Q132)</f>
        <v>1300</v>
      </c>
      <c r="R131" s="7" t="str">
        <f>IF(金币!R132="","",金币!$B132*金币!R132)</f>
        <v/>
      </c>
      <c r="S131" s="7">
        <f>IF(金币!S132="","",金币!$B132*金币!S132)</f>
        <v>390</v>
      </c>
      <c r="T131" s="7" t="str">
        <f>IF(金币!T132="","",金币!$B132*金币!T132)</f>
        <v/>
      </c>
      <c r="U131" s="7" t="str">
        <f>IF(金币!U132="","",金币!$B132*金币!U132)</f>
        <v/>
      </c>
      <c r="V131" s="7">
        <f>IF(金币!V132="","",金币!$B132*金币!V132)</f>
        <v>520</v>
      </c>
      <c r="W131" s="7" t="str">
        <f>IF(金币!W132="","",金币!$B132*金币!W132)</f>
        <v/>
      </c>
      <c r="X131" s="7" t="str">
        <f>IF(金币!X132="","",金币!$B132*金币!X132)</f>
        <v/>
      </c>
      <c r="Y131" s="7" t="str">
        <f>IF(金币!Y132="","",金币!$B132*金币!Y132)</f>
        <v/>
      </c>
      <c r="Z131" s="7">
        <f>IF(金币!Z132="","",金币!$B132*金币!Z132)</f>
        <v>1300</v>
      </c>
      <c r="AA131" s="7" t="str">
        <f>IF(金币!AA132="","",金币!$B132*金币!AA132)</f>
        <v/>
      </c>
      <c r="AB131" s="7" t="str">
        <f>IF(金币!AB132="","",金币!$B132*金币!AB132)</f>
        <v/>
      </c>
      <c r="AC131" s="7" t="str">
        <f>IF(金币!AC132="","",金币!$B132*金币!AC132)</f>
        <v/>
      </c>
      <c r="AD131" s="7" t="str">
        <f>IF(金币!AD132="","",金币!$B132*金币!AD132)</f>
        <v/>
      </c>
      <c r="AE131" s="7" t="str">
        <f>IF(金币!AE132="","",金币!$B132*金币!AE132)</f>
        <v/>
      </c>
      <c r="AF131" s="7">
        <f>IF(金币!AF132="","",金币!$B132*金币!AF132)</f>
        <v>2600</v>
      </c>
      <c r="AG131" s="7">
        <f>金币!AI132</f>
        <v>0</v>
      </c>
    </row>
    <row r="132" spans="1:33">
      <c r="A132" s="32">
        <v>131</v>
      </c>
      <c r="B132" s="87">
        <f>金币!B133</f>
        <v>131</v>
      </c>
      <c r="C132" s="7">
        <f>IF(金币!C133="","",金币!$B133*金币!C133)</f>
        <v>1048</v>
      </c>
      <c r="D132" s="7" t="str">
        <f>IF(金币!D133="","",金币!$B133*金币!D133)</f>
        <v/>
      </c>
      <c r="E132" s="7" t="str">
        <f>IF(金币!E133="","",金币!$B133*金币!E133)</f>
        <v/>
      </c>
      <c r="F132" s="7">
        <f>IF(金币!F133="","",金币!$B133*金币!F133)</f>
        <v>1310</v>
      </c>
      <c r="G132" s="7" t="str">
        <f>IF(金币!G133="","",金币!$B133*金币!G133)</f>
        <v/>
      </c>
      <c r="H132" s="7" t="str">
        <f>IF(金币!H133="","",金币!$B133*金币!H133)</f>
        <v/>
      </c>
      <c r="I132" s="7" t="str">
        <f>IF(金币!I133="","",金币!$B133*金币!I133)</f>
        <v/>
      </c>
      <c r="J132" s="7" t="str">
        <f>IF(金币!J133="","",金币!$B133*金币!J133)</f>
        <v/>
      </c>
      <c r="K132" s="7">
        <f>IF(金币!K133="","",金币!$B133*金币!K133)</f>
        <v>1310</v>
      </c>
      <c r="L132" s="7">
        <f>IF(金币!L133="","",金币!$B133*金币!L133)</f>
        <v>655</v>
      </c>
      <c r="M132" s="7" t="str">
        <f>IF(金币!M133="","",金币!$B133*金币!M133)</f>
        <v/>
      </c>
      <c r="N132" s="7" t="str">
        <f>IF(金币!N133="","",金币!$B133*金币!N133)</f>
        <v/>
      </c>
      <c r="O132" s="7" t="str">
        <f>IF(金币!O133="","",金币!$B133*金币!O133)</f>
        <v/>
      </c>
      <c r="P132" s="7" t="str">
        <f>IF(金币!P133="","",金币!$B133*金币!P133)</f>
        <v/>
      </c>
      <c r="Q132" s="7">
        <f>IF(金币!Q133="","",金币!$B133*金币!Q133)</f>
        <v>1310</v>
      </c>
      <c r="R132" s="7" t="str">
        <f>IF(金币!R133="","",金币!$B133*金币!R133)</f>
        <v/>
      </c>
      <c r="S132" s="7">
        <f>IF(金币!S133="","",金币!$B133*金币!S133)</f>
        <v>393</v>
      </c>
      <c r="T132" s="7" t="str">
        <f>IF(金币!T133="","",金币!$B133*金币!T133)</f>
        <v/>
      </c>
      <c r="U132" s="7" t="str">
        <f>IF(金币!U133="","",金币!$B133*金币!U133)</f>
        <v/>
      </c>
      <c r="V132" s="7">
        <f>IF(金币!V133="","",金币!$B133*金币!V133)</f>
        <v>524</v>
      </c>
      <c r="W132" s="7" t="str">
        <f>IF(金币!W133="","",金币!$B133*金币!W133)</f>
        <v/>
      </c>
      <c r="X132" s="7" t="str">
        <f>IF(金币!X133="","",金币!$B133*金币!X133)</f>
        <v/>
      </c>
      <c r="Y132" s="7" t="str">
        <f>IF(金币!Y133="","",金币!$B133*金币!Y133)</f>
        <v/>
      </c>
      <c r="Z132" s="7">
        <f>IF(金币!Z133="","",金币!$B133*金币!Z133)</f>
        <v>1310</v>
      </c>
      <c r="AA132" s="7" t="str">
        <f>IF(金币!AA133="","",金币!$B133*金币!AA133)</f>
        <v/>
      </c>
      <c r="AB132" s="7" t="str">
        <f>IF(金币!AB133="","",金币!$B133*金币!AB133)</f>
        <v/>
      </c>
      <c r="AC132" s="7" t="str">
        <f>IF(金币!AC133="","",金币!$B133*金币!AC133)</f>
        <v/>
      </c>
      <c r="AD132" s="7" t="str">
        <f>IF(金币!AD133="","",金币!$B133*金币!AD133)</f>
        <v/>
      </c>
      <c r="AE132" s="7" t="str">
        <f>IF(金币!AE133="","",金币!$B133*金币!AE133)</f>
        <v/>
      </c>
      <c r="AF132" s="7">
        <f>IF(金币!AF133="","",金币!$B133*金币!AF133)</f>
        <v>2620</v>
      </c>
      <c r="AG132" s="7">
        <f>金币!AI133</f>
        <v>0</v>
      </c>
    </row>
    <row r="133" spans="1:33">
      <c r="A133" s="32">
        <v>132</v>
      </c>
      <c r="B133" s="87">
        <f>金币!B134</f>
        <v>132</v>
      </c>
      <c r="C133" s="7">
        <f>IF(金币!C134="","",金币!$B134*金币!C134)</f>
        <v>1056</v>
      </c>
      <c r="D133" s="7" t="str">
        <f>IF(金币!D134="","",金币!$B134*金币!D134)</f>
        <v/>
      </c>
      <c r="E133" s="7" t="str">
        <f>IF(金币!E134="","",金币!$B134*金币!E134)</f>
        <v/>
      </c>
      <c r="F133" s="7">
        <f>IF(金币!F134="","",金币!$B134*金币!F134)</f>
        <v>1320</v>
      </c>
      <c r="G133" s="7" t="str">
        <f>IF(金币!G134="","",金币!$B134*金币!G134)</f>
        <v/>
      </c>
      <c r="H133" s="7" t="str">
        <f>IF(金币!H134="","",金币!$B134*金币!H134)</f>
        <v/>
      </c>
      <c r="I133" s="7" t="str">
        <f>IF(金币!I134="","",金币!$B134*金币!I134)</f>
        <v/>
      </c>
      <c r="J133" s="7" t="str">
        <f>IF(金币!J134="","",金币!$B134*金币!J134)</f>
        <v/>
      </c>
      <c r="K133" s="7">
        <f>IF(金币!K134="","",金币!$B134*金币!K134)</f>
        <v>1320</v>
      </c>
      <c r="L133" s="7">
        <f>IF(金币!L134="","",金币!$B134*金币!L134)</f>
        <v>660</v>
      </c>
      <c r="M133" s="7" t="str">
        <f>IF(金币!M134="","",金币!$B134*金币!M134)</f>
        <v/>
      </c>
      <c r="N133" s="7" t="str">
        <f>IF(金币!N134="","",金币!$B134*金币!N134)</f>
        <v/>
      </c>
      <c r="O133" s="7" t="str">
        <f>IF(金币!O134="","",金币!$B134*金币!O134)</f>
        <v/>
      </c>
      <c r="P133" s="7" t="str">
        <f>IF(金币!P134="","",金币!$B134*金币!P134)</f>
        <v/>
      </c>
      <c r="Q133" s="7">
        <f>IF(金币!Q134="","",金币!$B134*金币!Q134)</f>
        <v>1320</v>
      </c>
      <c r="R133" s="7" t="str">
        <f>IF(金币!R134="","",金币!$B134*金币!R134)</f>
        <v/>
      </c>
      <c r="S133" s="7">
        <f>IF(金币!S134="","",金币!$B134*金币!S134)</f>
        <v>396</v>
      </c>
      <c r="T133" s="7" t="str">
        <f>IF(金币!T134="","",金币!$B134*金币!T134)</f>
        <v/>
      </c>
      <c r="U133" s="7" t="str">
        <f>IF(金币!U134="","",金币!$B134*金币!U134)</f>
        <v/>
      </c>
      <c r="V133" s="7">
        <f>IF(金币!V134="","",金币!$B134*金币!V134)</f>
        <v>528</v>
      </c>
      <c r="W133" s="7" t="str">
        <f>IF(金币!W134="","",金币!$B134*金币!W134)</f>
        <v/>
      </c>
      <c r="X133" s="7" t="str">
        <f>IF(金币!X134="","",金币!$B134*金币!X134)</f>
        <v/>
      </c>
      <c r="Y133" s="7" t="str">
        <f>IF(金币!Y134="","",金币!$B134*金币!Y134)</f>
        <v/>
      </c>
      <c r="Z133" s="7">
        <f>IF(金币!Z134="","",金币!$B134*金币!Z134)</f>
        <v>1320</v>
      </c>
      <c r="AA133" s="7" t="str">
        <f>IF(金币!AA134="","",金币!$B134*金币!AA134)</f>
        <v/>
      </c>
      <c r="AB133" s="7" t="str">
        <f>IF(金币!AB134="","",金币!$B134*金币!AB134)</f>
        <v/>
      </c>
      <c r="AC133" s="7" t="str">
        <f>IF(金币!AC134="","",金币!$B134*金币!AC134)</f>
        <v/>
      </c>
      <c r="AD133" s="7" t="str">
        <f>IF(金币!AD134="","",金币!$B134*金币!AD134)</f>
        <v/>
      </c>
      <c r="AE133" s="7" t="str">
        <f>IF(金币!AE134="","",金币!$B134*金币!AE134)</f>
        <v/>
      </c>
      <c r="AF133" s="7">
        <f>IF(金币!AF134="","",金币!$B134*金币!AF134)</f>
        <v>2640</v>
      </c>
      <c r="AG133" s="7">
        <f>金币!AI134</f>
        <v>0</v>
      </c>
    </row>
    <row r="134" spans="1:33">
      <c r="A134" s="32">
        <v>133</v>
      </c>
      <c r="B134" s="87">
        <f>金币!B135</f>
        <v>133</v>
      </c>
      <c r="C134" s="7">
        <f>IF(金币!C135="","",金币!$B135*金币!C135)</f>
        <v>1064</v>
      </c>
      <c r="D134" s="7" t="str">
        <f>IF(金币!D135="","",金币!$B135*金币!D135)</f>
        <v/>
      </c>
      <c r="E134" s="7" t="str">
        <f>IF(金币!E135="","",金币!$B135*金币!E135)</f>
        <v/>
      </c>
      <c r="F134" s="7">
        <f>IF(金币!F135="","",金币!$B135*金币!F135)</f>
        <v>1330</v>
      </c>
      <c r="G134" s="7" t="str">
        <f>IF(金币!G135="","",金币!$B135*金币!G135)</f>
        <v/>
      </c>
      <c r="H134" s="7" t="str">
        <f>IF(金币!H135="","",金币!$B135*金币!H135)</f>
        <v/>
      </c>
      <c r="I134" s="7" t="str">
        <f>IF(金币!I135="","",金币!$B135*金币!I135)</f>
        <v/>
      </c>
      <c r="J134" s="7" t="str">
        <f>IF(金币!J135="","",金币!$B135*金币!J135)</f>
        <v/>
      </c>
      <c r="K134" s="7">
        <f>IF(金币!K135="","",金币!$B135*金币!K135)</f>
        <v>1330</v>
      </c>
      <c r="L134" s="7">
        <f>IF(金币!L135="","",金币!$B135*金币!L135)</f>
        <v>665</v>
      </c>
      <c r="M134" s="7" t="str">
        <f>IF(金币!M135="","",金币!$B135*金币!M135)</f>
        <v/>
      </c>
      <c r="N134" s="7" t="str">
        <f>IF(金币!N135="","",金币!$B135*金币!N135)</f>
        <v/>
      </c>
      <c r="O134" s="7" t="str">
        <f>IF(金币!O135="","",金币!$B135*金币!O135)</f>
        <v/>
      </c>
      <c r="P134" s="7" t="str">
        <f>IF(金币!P135="","",金币!$B135*金币!P135)</f>
        <v/>
      </c>
      <c r="Q134" s="7">
        <f>IF(金币!Q135="","",金币!$B135*金币!Q135)</f>
        <v>1330</v>
      </c>
      <c r="R134" s="7" t="str">
        <f>IF(金币!R135="","",金币!$B135*金币!R135)</f>
        <v/>
      </c>
      <c r="S134" s="7">
        <f>IF(金币!S135="","",金币!$B135*金币!S135)</f>
        <v>399</v>
      </c>
      <c r="T134" s="7" t="str">
        <f>IF(金币!T135="","",金币!$B135*金币!T135)</f>
        <v/>
      </c>
      <c r="U134" s="7" t="str">
        <f>IF(金币!U135="","",金币!$B135*金币!U135)</f>
        <v/>
      </c>
      <c r="V134" s="7">
        <f>IF(金币!V135="","",金币!$B135*金币!V135)</f>
        <v>532</v>
      </c>
      <c r="W134" s="7" t="str">
        <f>IF(金币!W135="","",金币!$B135*金币!W135)</f>
        <v/>
      </c>
      <c r="X134" s="7" t="str">
        <f>IF(金币!X135="","",金币!$B135*金币!X135)</f>
        <v/>
      </c>
      <c r="Y134" s="7" t="str">
        <f>IF(金币!Y135="","",金币!$B135*金币!Y135)</f>
        <v/>
      </c>
      <c r="Z134" s="7">
        <f>IF(金币!Z135="","",金币!$B135*金币!Z135)</f>
        <v>1330</v>
      </c>
      <c r="AA134" s="7" t="str">
        <f>IF(金币!AA135="","",金币!$B135*金币!AA135)</f>
        <v/>
      </c>
      <c r="AB134" s="7" t="str">
        <f>IF(金币!AB135="","",金币!$B135*金币!AB135)</f>
        <v/>
      </c>
      <c r="AC134" s="7" t="str">
        <f>IF(金币!AC135="","",金币!$B135*金币!AC135)</f>
        <v/>
      </c>
      <c r="AD134" s="7" t="str">
        <f>IF(金币!AD135="","",金币!$B135*金币!AD135)</f>
        <v/>
      </c>
      <c r="AE134" s="7" t="str">
        <f>IF(金币!AE135="","",金币!$B135*金币!AE135)</f>
        <v/>
      </c>
      <c r="AF134" s="7">
        <f>IF(金币!AF135="","",金币!$B135*金币!AF135)</f>
        <v>2660</v>
      </c>
      <c r="AG134" s="7">
        <f>金币!AI135</f>
        <v>0</v>
      </c>
    </row>
    <row r="135" spans="1:33">
      <c r="A135" s="32">
        <v>134</v>
      </c>
      <c r="B135" s="87">
        <f>金币!B136</f>
        <v>134</v>
      </c>
      <c r="C135" s="7">
        <f>IF(金币!C136="","",金币!$B136*金币!C136)</f>
        <v>1072</v>
      </c>
      <c r="D135" s="7" t="str">
        <f>IF(金币!D136="","",金币!$B136*金币!D136)</f>
        <v/>
      </c>
      <c r="E135" s="7" t="str">
        <f>IF(金币!E136="","",金币!$B136*金币!E136)</f>
        <v/>
      </c>
      <c r="F135" s="7">
        <f>IF(金币!F136="","",金币!$B136*金币!F136)</f>
        <v>1340</v>
      </c>
      <c r="G135" s="7" t="str">
        <f>IF(金币!G136="","",金币!$B136*金币!G136)</f>
        <v/>
      </c>
      <c r="H135" s="7" t="str">
        <f>IF(金币!H136="","",金币!$B136*金币!H136)</f>
        <v/>
      </c>
      <c r="I135" s="7" t="str">
        <f>IF(金币!I136="","",金币!$B136*金币!I136)</f>
        <v/>
      </c>
      <c r="J135" s="7" t="str">
        <f>IF(金币!J136="","",金币!$B136*金币!J136)</f>
        <v/>
      </c>
      <c r="K135" s="7">
        <f>IF(金币!K136="","",金币!$B136*金币!K136)</f>
        <v>1340</v>
      </c>
      <c r="L135" s="7">
        <f>IF(金币!L136="","",金币!$B136*金币!L136)</f>
        <v>670</v>
      </c>
      <c r="M135" s="7" t="str">
        <f>IF(金币!M136="","",金币!$B136*金币!M136)</f>
        <v/>
      </c>
      <c r="N135" s="7" t="str">
        <f>IF(金币!N136="","",金币!$B136*金币!N136)</f>
        <v/>
      </c>
      <c r="O135" s="7" t="str">
        <f>IF(金币!O136="","",金币!$B136*金币!O136)</f>
        <v/>
      </c>
      <c r="P135" s="7" t="str">
        <f>IF(金币!P136="","",金币!$B136*金币!P136)</f>
        <v/>
      </c>
      <c r="Q135" s="7">
        <f>IF(金币!Q136="","",金币!$B136*金币!Q136)</f>
        <v>1340</v>
      </c>
      <c r="R135" s="7" t="str">
        <f>IF(金币!R136="","",金币!$B136*金币!R136)</f>
        <v/>
      </c>
      <c r="S135" s="7">
        <f>IF(金币!S136="","",金币!$B136*金币!S136)</f>
        <v>402</v>
      </c>
      <c r="T135" s="7" t="str">
        <f>IF(金币!T136="","",金币!$B136*金币!T136)</f>
        <v/>
      </c>
      <c r="U135" s="7" t="str">
        <f>IF(金币!U136="","",金币!$B136*金币!U136)</f>
        <v/>
      </c>
      <c r="V135" s="7">
        <f>IF(金币!V136="","",金币!$B136*金币!V136)</f>
        <v>536</v>
      </c>
      <c r="W135" s="7" t="str">
        <f>IF(金币!W136="","",金币!$B136*金币!W136)</f>
        <v/>
      </c>
      <c r="X135" s="7" t="str">
        <f>IF(金币!X136="","",金币!$B136*金币!X136)</f>
        <v/>
      </c>
      <c r="Y135" s="7" t="str">
        <f>IF(金币!Y136="","",金币!$B136*金币!Y136)</f>
        <v/>
      </c>
      <c r="Z135" s="7">
        <f>IF(金币!Z136="","",金币!$B136*金币!Z136)</f>
        <v>1340</v>
      </c>
      <c r="AA135" s="7" t="str">
        <f>IF(金币!AA136="","",金币!$B136*金币!AA136)</f>
        <v/>
      </c>
      <c r="AB135" s="7" t="str">
        <f>IF(金币!AB136="","",金币!$B136*金币!AB136)</f>
        <v/>
      </c>
      <c r="AC135" s="7" t="str">
        <f>IF(金币!AC136="","",金币!$B136*金币!AC136)</f>
        <v/>
      </c>
      <c r="AD135" s="7" t="str">
        <f>IF(金币!AD136="","",金币!$B136*金币!AD136)</f>
        <v/>
      </c>
      <c r="AE135" s="7" t="str">
        <f>IF(金币!AE136="","",金币!$B136*金币!AE136)</f>
        <v/>
      </c>
      <c r="AF135" s="7">
        <f>IF(金币!AF136="","",金币!$B136*金币!AF136)</f>
        <v>2680</v>
      </c>
      <c r="AG135" s="7">
        <f>金币!AI136</f>
        <v>0</v>
      </c>
    </row>
    <row r="136" spans="1:33">
      <c r="A136" s="32">
        <v>135</v>
      </c>
      <c r="B136" s="87">
        <f>金币!B137</f>
        <v>135</v>
      </c>
      <c r="C136" s="7">
        <f>IF(金币!C137="","",金币!$B137*金币!C137)</f>
        <v>1080</v>
      </c>
      <c r="D136" s="7" t="str">
        <f>IF(金币!D137="","",金币!$B137*金币!D137)</f>
        <v/>
      </c>
      <c r="E136" s="7" t="str">
        <f>IF(金币!E137="","",金币!$B137*金币!E137)</f>
        <v/>
      </c>
      <c r="F136" s="7">
        <f>IF(金币!F137="","",金币!$B137*金币!F137)</f>
        <v>1350</v>
      </c>
      <c r="G136" s="7" t="str">
        <f>IF(金币!G137="","",金币!$B137*金币!G137)</f>
        <v/>
      </c>
      <c r="H136" s="7" t="str">
        <f>IF(金币!H137="","",金币!$B137*金币!H137)</f>
        <v/>
      </c>
      <c r="I136" s="7" t="str">
        <f>IF(金币!I137="","",金币!$B137*金币!I137)</f>
        <v/>
      </c>
      <c r="J136" s="7" t="str">
        <f>IF(金币!J137="","",金币!$B137*金币!J137)</f>
        <v/>
      </c>
      <c r="K136" s="7">
        <f>IF(金币!K137="","",金币!$B137*金币!K137)</f>
        <v>1350</v>
      </c>
      <c r="L136" s="7">
        <f>IF(金币!L137="","",金币!$B137*金币!L137)</f>
        <v>675</v>
      </c>
      <c r="M136" s="7" t="str">
        <f>IF(金币!M137="","",金币!$B137*金币!M137)</f>
        <v/>
      </c>
      <c r="N136" s="7" t="str">
        <f>IF(金币!N137="","",金币!$B137*金币!N137)</f>
        <v/>
      </c>
      <c r="O136" s="7" t="str">
        <f>IF(金币!O137="","",金币!$B137*金币!O137)</f>
        <v/>
      </c>
      <c r="P136" s="7" t="str">
        <f>IF(金币!P137="","",金币!$B137*金币!P137)</f>
        <v/>
      </c>
      <c r="Q136" s="7">
        <f>IF(金币!Q137="","",金币!$B137*金币!Q137)</f>
        <v>1350</v>
      </c>
      <c r="R136" s="7" t="str">
        <f>IF(金币!R137="","",金币!$B137*金币!R137)</f>
        <v/>
      </c>
      <c r="S136" s="7">
        <f>IF(金币!S137="","",金币!$B137*金币!S137)</f>
        <v>405</v>
      </c>
      <c r="T136" s="7" t="str">
        <f>IF(金币!T137="","",金币!$B137*金币!T137)</f>
        <v/>
      </c>
      <c r="U136" s="7" t="str">
        <f>IF(金币!U137="","",金币!$B137*金币!U137)</f>
        <v/>
      </c>
      <c r="V136" s="7">
        <f>IF(金币!V137="","",金币!$B137*金币!V137)</f>
        <v>540</v>
      </c>
      <c r="W136" s="7" t="str">
        <f>IF(金币!W137="","",金币!$B137*金币!W137)</f>
        <v/>
      </c>
      <c r="X136" s="7" t="str">
        <f>IF(金币!X137="","",金币!$B137*金币!X137)</f>
        <v/>
      </c>
      <c r="Y136" s="7" t="str">
        <f>IF(金币!Y137="","",金币!$B137*金币!Y137)</f>
        <v/>
      </c>
      <c r="Z136" s="7">
        <f>IF(金币!Z137="","",金币!$B137*金币!Z137)</f>
        <v>1350</v>
      </c>
      <c r="AA136" s="7" t="str">
        <f>IF(金币!AA137="","",金币!$B137*金币!AA137)</f>
        <v/>
      </c>
      <c r="AB136" s="7" t="str">
        <f>IF(金币!AB137="","",金币!$B137*金币!AB137)</f>
        <v/>
      </c>
      <c r="AC136" s="7" t="str">
        <f>IF(金币!AC137="","",金币!$B137*金币!AC137)</f>
        <v/>
      </c>
      <c r="AD136" s="7" t="str">
        <f>IF(金币!AD137="","",金币!$B137*金币!AD137)</f>
        <v/>
      </c>
      <c r="AE136" s="7" t="str">
        <f>IF(金币!AE137="","",金币!$B137*金币!AE137)</f>
        <v/>
      </c>
      <c r="AF136" s="7">
        <f>IF(金币!AF137="","",金币!$B137*金币!AF137)</f>
        <v>2700</v>
      </c>
      <c r="AG136" s="7">
        <f>金币!AI137</f>
        <v>0</v>
      </c>
    </row>
    <row r="137" spans="1:33">
      <c r="A137" s="32">
        <v>136</v>
      </c>
      <c r="B137" s="87">
        <f>金币!B138</f>
        <v>136</v>
      </c>
      <c r="C137" s="7">
        <f>IF(金币!C138="","",金币!$B138*金币!C138)</f>
        <v>1088</v>
      </c>
      <c r="D137" s="7" t="str">
        <f>IF(金币!D138="","",金币!$B138*金币!D138)</f>
        <v/>
      </c>
      <c r="E137" s="7" t="str">
        <f>IF(金币!E138="","",金币!$B138*金币!E138)</f>
        <v/>
      </c>
      <c r="F137" s="7">
        <f>IF(金币!F138="","",金币!$B138*金币!F138)</f>
        <v>1360</v>
      </c>
      <c r="G137" s="7" t="str">
        <f>IF(金币!G138="","",金币!$B138*金币!G138)</f>
        <v/>
      </c>
      <c r="H137" s="7" t="str">
        <f>IF(金币!H138="","",金币!$B138*金币!H138)</f>
        <v/>
      </c>
      <c r="I137" s="7" t="str">
        <f>IF(金币!I138="","",金币!$B138*金币!I138)</f>
        <v/>
      </c>
      <c r="J137" s="7" t="str">
        <f>IF(金币!J138="","",金币!$B138*金币!J138)</f>
        <v/>
      </c>
      <c r="K137" s="7">
        <f>IF(金币!K138="","",金币!$B138*金币!K138)</f>
        <v>1360</v>
      </c>
      <c r="L137" s="7">
        <f>IF(金币!L138="","",金币!$B138*金币!L138)</f>
        <v>680</v>
      </c>
      <c r="M137" s="7" t="str">
        <f>IF(金币!M138="","",金币!$B138*金币!M138)</f>
        <v/>
      </c>
      <c r="N137" s="7" t="str">
        <f>IF(金币!N138="","",金币!$B138*金币!N138)</f>
        <v/>
      </c>
      <c r="O137" s="7" t="str">
        <f>IF(金币!O138="","",金币!$B138*金币!O138)</f>
        <v/>
      </c>
      <c r="P137" s="7" t="str">
        <f>IF(金币!P138="","",金币!$B138*金币!P138)</f>
        <v/>
      </c>
      <c r="Q137" s="7">
        <f>IF(金币!Q138="","",金币!$B138*金币!Q138)</f>
        <v>1360</v>
      </c>
      <c r="R137" s="7" t="str">
        <f>IF(金币!R138="","",金币!$B138*金币!R138)</f>
        <v/>
      </c>
      <c r="S137" s="7">
        <f>IF(金币!S138="","",金币!$B138*金币!S138)</f>
        <v>408</v>
      </c>
      <c r="T137" s="7" t="str">
        <f>IF(金币!T138="","",金币!$B138*金币!T138)</f>
        <v/>
      </c>
      <c r="U137" s="7" t="str">
        <f>IF(金币!U138="","",金币!$B138*金币!U138)</f>
        <v/>
      </c>
      <c r="V137" s="7">
        <f>IF(金币!V138="","",金币!$B138*金币!V138)</f>
        <v>544</v>
      </c>
      <c r="W137" s="7" t="str">
        <f>IF(金币!W138="","",金币!$B138*金币!W138)</f>
        <v/>
      </c>
      <c r="X137" s="7" t="str">
        <f>IF(金币!X138="","",金币!$B138*金币!X138)</f>
        <v/>
      </c>
      <c r="Y137" s="7" t="str">
        <f>IF(金币!Y138="","",金币!$B138*金币!Y138)</f>
        <v/>
      </c>
      <c r="Z137" s="7">
        <f>IF(金币!Z138="","",金币!$B138*金币!Z138)</f>
        <v>1360</v>
      </c>
      <c r="AA137" s="7" t="str">
        <f>IF(金币!AA138="","",金币!$B138*金币!AA138)</f>
        <v/>
      </c>
      <c r="AB137" s="7" t="str">
        <f>IF(金币!AB138="","",金币!$B138*金币!AB138)</f>
        <v/>
      </c>
      <c r="AC137" s="7" t="str">
        <f>IF(金币!AC138="","",金币!$B138*金币!AC138)</f>
        <v/>
      </c>
      <c r="AD137" s="7" t="str">
        <f>IF(金币!AD138="","",金币!$B138*金币!AD138)</f>
        <v/>
      </c>
      <c r="AE137" s="7" t="str">
        <f>IF(金币!AE138="","",金币!$B138*金币!AE138)</f>
        <v/>
      </c>
      <c r="AF137" s="7">
        <f>IF(金币!AF138="","",金币!$B138*金币!AF138)</f>
        <v>2720</v>
      </c>
      <c r="AG137" s="7">
        <f>金币!AI138</f>
        <v>0</v>
      </c>
    </row>
    <row r="138" spans="1:33">
      <c r="A138" s="32">
        <v>137</v>
      </c>
      <c r="B138" s="87">
        <f>金币!B139</f>
        <v>137</v>
      </c>
      <c r="C138" s="7">
        <f>IF(金币!C139="","",金币!$B139*金币!C139)</f>
        <v>1096</v>
      </c>
      <c r="D138" s="7" t="str">
        <f>IF(金币!D139="","",金币!$B139*金币!D139)</f>
        <v/>
      </c>
      <c r="E138" s="7" t="str">
        <f>IF(金币!E139="","",金币!$B139*金币!E139)</f>
        <v/>
      </c>
      <c r="F138" s="7">
        <f>IF(金币!F139="","",金币!$B139*金币!F139)</f>
        <v>1370</v>
      </c>
      <c r="G138" s="7" t="str">
        <f>IF(金币!G139="","",金币!$B139*金币!G139)</f>
        <v/>
      </c>
      <c r="H138" s="7" t="str">
        <f>IF(金币!H139="","",金币!$B139*金币!H139)</f>
        <v/>
      </c>
      <c r="I138" s="7" t="str">
        <f>IF(金币!I139="","",金币!$B139*金币!I139)</f>
        <v/>
      </c>
      <c r="J138" s="7" t="str">
        <f>IF(金币!J139="","",金币!$B139*金币!J139)</f>
        <v/>
      </c>
      <c r="K138" s="7">
        <f>IF(金币!K139="","",金币!$B139*金币!K139)</f>
        <v>1370</v>
      </c>
      <c r="L138" s="7">
        <f>IF(金币!L139="","",金币!$B139*金币!L139)</f>
        <v>685</v>
      </c>
      <c r="M138" s="7" t="str">
        <f>IF(金币!M139="","",金币!$B139*金币!M139)</f>
        <v/>
      </c>
      <c r="N138" s="7" t="str">
        <f>IF(金币!N139="","",金币!$B139*金币!N139)</f>
        <v/>
      </c>
      <c r="O138" s="7" t="str">
        <f>IF(金币!O139="","",金币!$B139*金币!O139)</f>
        <v/>
      </c>
      <c r="P138" s="7" t="str">
        <f>IF(金币!P139="","",金币!$B139*金币!P139)</f>
        <v/>
      </c>
      <c r="Q138" s="7">
        <f>IF(金币!Q139="","",金币!$B139*金币!Q139)</f>
        <v>1370</v>
      </c>
      <c r="R138" s="7" t="str">
        <f>IF(金币!R139="","",金币!$B139*金币!R139)</f>
        <v/>
      </c>
      <c r="S138" s="7">
        <f>IF(金币!S139="","",金币!$B139*金币!S139)</f>
        <v>411</v>
      </c>
      <c r="T138" s="7" t="str">
        <f>IF(金币!T139="","",金币!$B139*金币!T139)</f>
        <v/>
      </c>
      <c r="U138" s="7" t="str">
        <f>IF(金币!U139="","",金币!$B139*金币!U139)</f>
        <v/>
      </c>
      <c r="V138" s="7">
        <f>IF(金币!V139="","",金币!$B139*金币!V139)</f>
        <v>548</v>
      </c>
      <c r="W138" s="7" t="str">
        <f>IF(金币!W139="","",金币!$B139*金币!W139)</f>
        <v/>
      </c>
      <c r="X138" s="7" t="str">
        <f>IF(金币!X139="","",金币!$B139*金币!X139)</f>
        <v/>
      </c>
      <c r="Y138" s="7" t="str">
        <f>IF(金币!Y139="","",金币!$B139*金币!Y139)</f>
        <v/>
      </c>
      <c r="Z138" s="7">
        <f>IF(金币!Z139="","",金币!$B139*金币!Z139)</f>
        <v>1370</v>
      </c>
      <c r="AA138" s="7" t="str">
        <f>IF(金币!AA139="","",金币!$B139*金币!AA139)</f>
        <v/>
      </c>
      <c r="AB138" s="7" t="str">
        <f>IF(金币!AB139="","",金币!$B139*金币!AB139)</f>
        <v/>
      </c>
      <c r="AC138" s="7" t="str">
        <f>IF(金币!AC139="","",金币!$B139*金币!AC139)</f>
        <v/>
      </c>
      <c r="AD138" s="7" t="str">
        <f>IF(金币!AD139="","",金币!$B139*金币!AD139)</f>
        <v/>
      </c>
      <c r="AE138" s="7" t="str">
        <f>IF(金币!AE139="","",金币!$B139*金币!AE139)</f>
        <v/>
      </c>
      <c r="AF138" s="7">
        <f>IF(金币!AF139="","",金币!$B139*金币!AF139)</f>
        <v>2740</v>
      </c>
      <c r="AG138" s="7">
        <f>金币!AI139</f>
        <v>0</v>
      </c>
    </row>
    <row r="139" spans="1:33">
      <c r="A139" s="32">
        <v>138</v>
      </c>
      <c r="B139" s="87">
        <f>金币!B140</f>
        <v>138</v>
      </c>
      <c r="C139" s="7">
        <f>IF(金币!C140="","",金币!$B140*金币!C140)</f>
        <v>1104</v>
      </c>
      <c r="D139" s="7" t="str">
        <f>IF(金币!D140="","",金币!$B140*金币!D140)</f>
        <v/>
      </c>
      <c r="E139" s="7" t="str">
        <f>IF(金币!E140="","",金币!$B140*金币!E140)</f>
        <v/>
      </c>
      <c r="F139" s="7">
        <f>IF(金币!F140="","",金币!$B140*金币!F140)</f>
        <v>1380</v>
      </c>
      <c r="G139" s="7" t="str">
        <f>IF(金币!G140="","",金币!$B140*金币!G140)</f>
        <v/>
      </c>
      <c r="H139" s="7" t="str">
        <f>IF(金币!H140="","",金币!$B140*金币!H140)</f>
        <v/>
      </c>
      <c r="I139" s="7" t="str">
        <f>IF(金币!I140="","",金币!$B140*金币!I140)</f>
        <v/>
      </c>
      <c r="J139" s="7" t="str">
        <f>IF(金币!J140="","",金币!$B140*金币!J140)</f>
        <v/>
      </c>
      <c r="K139" s="7">
        <f>IF(金币!K140="","",金币!$B140*金币!K140)</f>
        <v>1380</v>
      </c>
      <c r="L139" s="7">
        <f>IF(金币!L140="","",金币!$B140*金币!L140)</f>
        <v>690</v>
      </c>
      <c r="M139" s="7" t="str">
        <f>IF(金币!M140="","",金币!$B140*金币!M140)</f>
        <v/>
      </c>
      <c r="N139" s="7" t="str">
        <f>IF(金币!N140="","",金币!$B140*金币!N140)</f>
        <v/>
      </c>
      <c r="O139" s="7" t="str">
        <f>IF(金币!O140="","",金币!$B140*金币!O140)</f>
        <v/>
      </c>
      <c r="P139" s="7" t="str">
        <f>IF(金币!P140="","",金币!$B140*金币!P140)</f>
        <v/>
      </c>
      <c r="Q139" s="7">
        <f>IF(金币!Q140="","",金币!$B140*金币!Q140)</f>
        <v>1380</v>
      </c>
      <c r="R139" s="7" t="str">
        <f>IF(金币!R140="","",金币!$B140*金币!R140)</f>
        <v/>
      </c>
      <c r="S139" s="7">
        <f>IF(金币!S140="","",金币!$B140*金币!S140)</f>
        <v>414</v>
      </c>
      <c r="T139" s="7" t="str">
        <f>IF(金币!T140="","",金币!$B140*金币!T140)</f>
        <v/>
      </c>
      <c r="U139" s="7" t="str">
        <f>IF(金币!U140="","",金币!$B140*金币!U140)</f>
        <v/>
      </c>
      <c r="V139" s="7">
        <f>IF(金币!V140="","",金币!$B140*金币!V140)</f>
        <v>552</v>
      </c>
      <c r="W139" s="7" t="str">
        <f>IF(金币!W140="","",金币!$B140*金币!W140)</f>
        <v/>
      </c>
      <c r="X139" s="7" t="str">
        <f>IF(金币!X140="","",金币!$B140*金币!X140)</f>
        <v/>
      </c>
      <c r="Y139" s="7" t="str">
        <f>IF(金币!Y140="","",金币!$B140*金币!Y140)</f>
        <v/>
      </c>
      <c r="Z139" s="7">
        <f>IF(金币!Z140="","",金币!$B140*金币!Z140)</f>
        <v>1380</v>
      </c>
      <c r="AA139" s="7" t="str">
        <f>IF(金币!AA140="","",金币!$B140*金币!AA140)</f>
        <v/>
      </c>
      <c r="AB139" s="7" t="str">
        <f>IF(金币!AB140="","",金币!$B140*金币!AB140)</f>
        <v/>
      </c>
      <c r="AC139" s="7" t="str">
        <f>IF(金币!AC140="","",金币!$B140*金币!AC140)</f>
        <v/>
      </c>
      <c r="AD139" s="7" t="str">
        <f>IF(金币!AD140="","",金币!$B140*金币!AD140)</f>
        <v/>
      </c>
      <c r="AE139" s="7" t="str">
        <f>IF(金币!AE140="","",金币!$B140*金币!AE140)</f>
        <v/>
      </c>
      <c r="AF139" s="7">
        <f>IF(金币!AF140="","",金币!$B140*金币!AF140)</f>
        <v>2760</v>
      </c>
      <c r="AG139" s="7">
        <f>金币!AI140</f>
        <v>0</v>
      </c>
    </row>
    <row r="140" spans="1:33">
      <c r="A140" s="32">
        <v>139</v>
      </c>
      <c r="B140" s="87">
        <f>金币!B141</f>
        <v>139</v>
      </c>
      <c r="C140" s="7">
        <f>IF(金币!C141="","",金币!$B141*金币!C141)</f>
        <v>1112</v>
      </c>
      <c r="D140" s="7" t="str">
        <f>IF(金币!D141="","",金币!$B141*金币!D141)</f>
        <v/>
      </c>
      <c r="E140" s="7" t="str">
        <f>IF(金币!E141="","",金币!$B141*金币!E141)</f>
        <v/>
      </c>
      <c r="F140" s="7">
        <f>IF(金币!F141="","",金币!$B141*金币!F141)</f>
        <v>1390</v>
      </c>
      <c r="G140" s="7" t="str">
        <f>IF(金币!G141="","",金币!$B141*金币!G141)</f>
        <v/>
      </c>
      <c r="H140" s="7" t="str">
        <f>IF(金币!H141="","",金币!$B141*金币!H141)</f>
        <v/>
      </c>
      <c r="I140" s="7" t="str">
        <f>IF(金币!I141="","",金币!$B141*金币!I141)</f>
        <v/>
      </c>
      <c r="J140" s="7" t="str">
        <f>IF(金币!J141="","",金币!$B141*金币!J141)</f>
        <v/>
      </c>
      <c r="K140" s="7">
        <f>IF(金币!K141="","",金币!$B141*金币!K141)</f>
        <v>1390</v>
      </c>
      <c r="L140" s="7">
        <f>IF(金币!L141="","",金币!$B141*金币!L141)</f>
        <v>695</v>
      </c>
      <c r="M140" s="7" t="str">
        <f>IF(金币!M141="","",金币!$B141*金币!M141)</f>
        <v/>
      </c>
      <c r="N140" s="7" t="str">
        <f>IF(金币!N141="","",金币!$B141*金币!N141)</f>
        <v/>
      </c>
      <c r="O140" s="7" t="str">
        <f>IF(金币!O141="","",金币!$B141*金币!O141)</f>
        <v/>
      </c>
      <c r="P140" s="7" t="str">
        <f>IF(金币!P141="","",金币!$B141*金币!P141)</f>
        <v/>
      </c>
      <c r="Q140" s="7">
        <f>IF(金币!Q141="","",金币!$B141*金币!Q141)</f>
        <v>1390</v>
      </c>
      <c r="R140" s="7" t="str">
        <f>IF(金币!R141="","",金币!$B141*金币!R141)</f>
        <v/>
      </c>
      <c r="S140" s="7">
        <f>IF(金币!S141="","",金币!$B141*金币!S141)</f>
        <v>417</v>
      </c>
      <c r="T140" s="7" t="str">
        <f>IF(金币!T141="","",金币!$B141*金币!T141)</f>
        <v/>
      </c>
      <c r="U140" s="7" t="str">
        <f>IF(金币!U141="","",金币!$B141*金币!U141)</f>
        <v/>
      </c>
      <c r="V140" s="7">
        <f>IF(金币!V141="","",金币!$B141*金币!V141)</f>
        <v>556</v>
      </c>
      <c r="W140" s="7" t="str">
        <f>IF(金币!W141="","",金币!$B141*金币!W141)</f>
        <v/>
      </c>
      <c r="X140" s="7" t="str">
        <f>IF(金币!X141="","",金币!$B141*金币!X141)</f>
        <v/>
      </c>
      <c r="Y140" s="7" t="str">
        <f>IF(金币!Y141="","",金币!$B141*金币!Y141)</f>
        <v/>
      </c>
      <c r="Z140" s="7">
        <f>IF(金币!Z141="","",金币!$B141*金币!Z141)</f>
        <v>1390</v>
      </c>
      <c r="AA140" s="7" t="str">
        <f>IF(金币!AA141="","",金币!$B141*金币!AA141)</f>
        <v/>
      </c>
      <c r="AB140" s="7" t="str">
        <f>IF(金币!AB141="","",金币!$B141*金币!AB141)</f>
        <v/>
      </c>
      <c r="AC140" s="7" t="str">
        <f>IF(金币!AC141="","",金币!$B141*金币!AC141)</f>
        <v/>
      </c>
      <c r="AD140" s="7" t="str">
        <f>IF(金币!AD141="","",金币!$B141*金币!AD141)</f>
        <v/>
      </c>
      <c r="AE140" s="7" t="str">
        <f>IF(金币!AE141="","",金币!$B141*金币!AE141)</f>
        <v/>
      </c>
      <c r="AF140" s="7">
        <f>IF(金币!AF141="","",金币!$B141*金币!AF141)</f>
        <v>2780</v>
      </c>
      <c r="AG140" s="7">
        <f>金币!AI141</f>
        <v>0</v>
      </c>
    </row>
    <row r="141" spans="1:33">
      <c r="A141" s="32">
        <v>140</v>
      </c>
      <c r="B141" s="87">
        <f>金币!B142</f>
        <v>140</v>
      </c>
      <c r="C141" s="7">
        <f>IF(金币!C142="","",金币!$B142*金币!C142)</f>
        <v>1120</v>
      </c>
      <c r="D141" s="7" t="str">
        <f>IF(金币!D142="","",金币!$B142*金币!D142)</f>
        <v/>
      </c>
      <c r="E141" s="7" t="str">
        <f>IF(金币!E142="","",金币!$B142*金币!E142)</f>
        <v/>
      </c>
      <c r="F141" s="7">
        <f>IF(金币!F142="","",金币!$B142*金币!F142)</f>
        <v>1400</v>
      </c>
      <c r="G141" s="7" t="str">
        <f>IF(金币!G142="","",金币!$B142*金币!G142)</f>
        <v/>
      </c>
      <c r="H141" s="7" t="str">
        <f>IF(金币!H142="","",金币!$B142*金币!H142)</f>
        <v/>
      </c>
      <c r="I141" s="7" t="str">
        <f>IF(金币!I142="","",金币!$B142*金币!I142)</f>
        <v/>
      </c>
      <c r="J141" s="7" t="str">
        <f>IF(金币!J142="","",金币!$B142*金币!J142)</f>
        <v/>
      </c>
      <c r="K141" s="7">
        <f>IF(金币!K142="","",金币!$B142*金币!K142)</f>
        <v>1400</v>
      </c>
      <c r="L141" s="7">
        <f>IF(金币!L142="","",金币!$B142*金币!L142)</f>
        <v>700</v>
      </c>
      <c r="M141" s="7" t="str">
        <f>IF(金币!M142="","",金币!$B142*金币!M142)</f>
        <v/>
      </c>
      <c r="N141" s="7" t="str">
        <f>IF(金币!N142="","",金币!$B142*金币!N142)</f>
        <v/>
      </c>
      <c r="O141" s="7" t="str">
        <f>IF(金币!O142="","",金币!$B142*金币!O142)</f>
        <v/>
      </c>
      <c r="P141" s="7" t="str">
        <f>IF(金币!P142="","",金币!$B142*金币!P142)</f>
        <v/>
      </c>
      <c r="Q141" s="7">
        <f>IF(金币!Q142="","",金币!$B142*金币!Q142)</f>
        <v>1400</v>
      </c>
      <c r="R141" s="7" t="str">
        <f>IF(金币!R142="","",金币!$B142*金币!R142)</f>
        <v/>
      </c>
      <c r="S141" s="7">
        <f>IF(金币!S142="","",金币!$B142*金币!S142)</f>
        <v>420</v>
      </c>
      <c r="T141" s="7" t="str">
        <f>IF(金币!T142="","",金币!$B142*金币!T142)</f>
        <v/>
      </c>
      <c r="U141" s="7" t="str">
        <f>IF(金币!U142="","",金币!$B142*金币!U142)</f>
        <v/>
      </c>
      <c r="V141" s="7">
        <f>IF(金币!V142="","",金币!$B142*金币!V142)</f>
        <v>560</v>
      </c>
      <c r="W141" s="7" t="str">
        <f>IF(金币!W142="","",金币!$B142*金币!W142)</f>
        <v/>
      </c>
      <c r="X141" s="7" t="str">
        <f>IF(金币!X142="","",金币!$B142*金币!X142)</f>
        <v/>
      </c>
      <c r="Y141" s="7" t="str">
        <f>IF(金币!Y142="","",金币!$B142*金币!Y142)</f>
        <v/>
      </c>
      <c r="Z141" s="7">
        <f>IF(金币!Z142="","",金币!$B142*金币!Z142)</f>
        <v>1400</v>
      </c>
      <c r="AA141" s="7" t="str">
        <f>IF(金币!AA142="","",金币!$B142*金币!AA142)</f>
        <v/>
      </c>
      <c r="AB141" s="7" t="str">
        <f>IF(金币!AB142="","",金币!$B142*金币!AB142)</f>
        <v/>
      </c>
      <c r="AC141" s="7" t="str">
        <f>IF(金币!AC142="","",金币!$B142*金币!AC142)</f>
        <v/>
      </c>
      <c r="AD141" s="7" t="str">
        <f>IF(金币!AD142="","",金币!$B142*金币!AD142)</f>
        <v/>
      </c>
      <c r="AE141" s="7" t="str">
        <f>IF(金币!AE142="","",金币!$B142*金币!AE142)</f>
        <v/>
      </c>
      <c r="AF141" s="7">
        <f>IF(金币!AF142="","",金币!$B142*金币!AF142)</f>
        <v>2800</v>
      </c>
      <c r="AG141" s="7">
        <f>金币!AI142</f>
        <v>0</v>
      </c>
    </row>
    <row r="142" spans="1:33">
      <c r="A142" s="32">
        <v>141</v>
      </c>
      <c r="B142" s="87">
        <f>金币!B143</f>
        <v>141</v>
      </c>
      <c r="C142" s="7">
        <f>IF(金币!C143="","",金币!$B143*金币!C143)</f>
        <v>1128</v>
      </c>
      <c r="D142" s="7" t="str">
        <f>IF(金币!D143="","",金币!$B143*金币!D143)</f>
        <v/>
      </c>
      <c r="E142" s="7" t="str">
        <f>IF(金币!E143="","",金币!$B143*金币!E143)</f>
        <v/>
      </c>
      <c r="F142" s="7">
        <f>IF(金币!F143="","",金币!$B143*金币!F143)</f>
        <v>1410</v>
      </c>
      <c r="G142" s="7" t="str">
        <f>IF(金币!G143="","",金币!$B143*金币!G143)</f>
        <v/>
      </c>
      <c r="H142" s="7" t="str">
        <f>IF(金币!H143="","",金币!$B143*金币!H143)</f>
        <v/>
      </c>
      <c r="I142" s="7" t="str">
        <f>IF(金币!I143="","",金币!$B143*金币!I143)</f>
        <v/>
      </c>
      <c r="J142" s="7" t="str">
        <f>IF(金币!J143="","",金币!$B143*金币!J143)</f>
        <v/>
      </c>
      <c r="K142" s="7">
        <f>IF(金币!K143="","",金币!$B143*金币!K143)</f>
        <v>1410</v>
      </c>
      <c r="L142" s="7">
        <f>IF(金币!L143="","",金币!$B143*金币!L143)</f>
        <v>705</v>
      </c>
      <c r="M142" s="7" t="str">
        <f>IF(金币!M143="","",金币!$B143*金币!M143)</f>
        <v/>
      </c>
      <c r="N142" s="7" t="str">
        <f>IF(金币!N143="","",金币!$B143*金币!N143)</f>
        <v/>
      </c>
      <c r="O142" s="7" t="str">
        <f>IF(金币!O143="","",金币!$B143*金币!O143)</f>
        <v/>
      </c>
      <c r="P142" s="7" t="str">
        <f>IF(金币!P143="","",金币!$B143*金币!P143)</f>
        <v/>
      </c>
      <c r="Q142" s="7">
        <f>IF(金币!Q143="","",金币!$B143*金币!Q143)</f>
        <v>1410</v>
      </c>
      <c r="R142" s="7" t="str">
        <f>IF(金币!R143="","",金币!$B143*金币!R143)</f>
        <v/>
      </c>
      <c r="S142" s="7">
        <f>IF(金币!S143="","",金币!$B143*金币!S143)</f>
        <v>423</v>
      </c>
      <c r="T142" s="7" t="str">
        <f>IF(金币!T143="","",金币!$B143*金币!T143)</f>
        <v/>
      </c>
      <c r="U142" s="7" t="str">
        <f>IF(金币!U143="","",金币!$B143*金币!U143)</f>
        <v/>
      </c>
      <c r="V142" s="7">
        <f>IF(金币!V143="","",金币!$B143*金币!V143)</f>
        <v>564</v>
      </c>
      <c r="W142" s="7" t="str">
        <f>IF(金币!W143="","",金币!$B143*金币!W143)</f>
        <v/>
      </c>
      <c r="X142" s="7" t="str">
        <f>IF(金币!X143="","",金币!$B143*金币!X143)</f>
        <v/>
      </c>
      <c r="Y142" s="7" t="str">
        <f>IF(金币!Y143="","",金币!$B143*金币!Y143)</f>
        <v/>
      </c>
      <c r="Z142" s="7">
        <f>IF(金币!Z143="","",金币!$B143*金币!Z143)</f>
        <v>1410</v>
      </c>
      <c r="AA142" s="7" t="str">
        <f>IF(金币!AA143="","",金币!$B143*金币!AA143)</f>
        <v/>
      </c>
      <c r="AB142" s="7" t="str">
        <f>IF(金币!AB143="","",金币!$B143*金币!AB143)</f>
        <v/>
      </c>
      <c r="AC142" s="7" t="str">
        <f>IF(金币!AC143="","",金币!$B143*金币!AC143)</f>
        <v/>
      </c>
      <c r="AD142" s="7" t="str">
        <f>IF(金币!AD143="","",金币!$B143*金币!AD143)</f>
        <v/>
      </c>
      <c r="AE142" s="7" t="str">
        <f>IF(金币!AE143="","",金币!$B143*金币!AE143)</f>
        <v/>
      </c>
      <c r="AF142" s="7">
        <f>IF(金币!AF143="","",金币!$B143*金币!AF143)</f>
        <v>2820</v>
      </c>
      <c r="AG142" s="7">
        <f>金币!AI143</f>
        <v>0</v>
      </c>
    </row>
    <row r="143" spans="1:33">
      <c r="A143" s="32">
        <v>142</v>
      </c>
      <c r="B143" s="87">
        <f>金币!B144</f>
        <v>142</v>
      </c>
      <c r="C143" s="7">
        <f>IF(金币!C144="","",金币!$B144*金币!C144)</f>
        <v>1136</v>
      </c>
      <c r="D143" s="7" t="str">
        <f>IF(金币!D144="","",金币!$B144*金币!D144)</f>
        <v/>
      </c>
      <c r="E143" s="7" t="str">
        <f>IF(金币!E144="","",金币!$B144*金币!E144)</f>
        <v/>
      </c>
      <c r="F143" s="7">
        <f>IF(金币!F144="","",金币!$B144*金币!F144)</f>
        <v>1420</v>
      </c>
      <c r="G143" s="7" t="str">
        <f>IF(金币!G144="","",金币!$B144*金币!G144)</f>
        <v/>
      </c>
      <c r="H143" s="7" t="str">
        <f>IF(金币!H144="","",金币!$B144*金币!H144)</f>
        <v/>
      </c>
      <c r="I143" s="7" t="str">
        <f>IF(金币!I144="","",金币!$B144*金币!I144)</f>
        <v/>
      </c>
      <c r="J143" s="7" t="str">
        <f>IF(金币!J144="","",金币!$B144*金币!J144)</f>
        <v/>
      </c>
      <c r="K143" s="7">
        <f>IF(金币!K144="","",金币!$B144*金币!K144)</f>
        <v>1420</v>
      </c>
      <c r="L143" s="7">
        <f>IF(金币!L144="","",金币!$B144*金币!L144)</f>
        <v>710</v>
      </c>
      <c r="M143" s="7" t="str">
        <f>IF(金币!M144="","",金币!$B144*金币!M144)</f>
        <v/>
      </c>
      <c r="N143" s="7" t="str">
        <f>IF(金币!N144="","",金币!$B144*金币!N144)</f>
        <v/>
      </c>
      <c r="O143" s="7" t="str">
        <f>IF(金币!O144="","",金币!$B144*金币!O144)</f>
        <v/>
      </c>
      <c r="P143" s="7" t="str">
        <f>IF(金币!P144="","",金币!$B144*金币!P144)</f>
        <v/>
      </c>
      <c r="Q143" s="7">
        <f>IF(金币!Q144="","",金币!$B144*金币!Q144)</f>
        <v>1420</v>
      </c>
      <c r="R143" s="7" t="str">
        <f>IF(金币!R144="","",金币!$B144*金币!R144)</f>
        <v/>
      </c>
      <c r="S143" s="7">
        <f>IF(金币!S144="","",金币!$B144*金币!S144)</f>
        <v>426</v>
      </c>
      <c r="T143" s="7" t="str">
        <f>IF(金币!T144="","",金币!$B144*金币!T144)</f>
        <v/>
      </c>
      <c r="U143" s="7" t="str">
        <f>IF(金币!U144="","",金币!$B144*金币!U144)</f>
        <v/>
      </c>
      <c r="V143" s="7">
        <f>IF(金币!V144="","",金币!$B144*金币!V144)</f>
        <v>568</v>
      </c>
      <c r="W143" s="7" t="str">
        <f>IF(金币!W144="","",金币!$B144*金币!W144)</f>
        <v/>
      </c>
      <c r="X143" s="7" t="str">
        <f>IF(金币!X144="","",金币!$B144*金币!X144)</f>
        <v/>
      </c>
      <c r="Y143" s="7" t="str">
        <f>IF(金币!Y144="","",金币!$B144*金币!Y144)</f>
        <v/>
      </c>
      <c r="Z143" s="7">
        <f>IF(金币!Z144="","",金币!$B144*金币!Z144)</f>
        <v>1420</v>
      </c>
      <c r="AA143" s="7" t="str">
        <f>IF(金币!AA144="","",金币!$B144*金币!AA144)</f>
        <v/>
      </c>
      <c r="AB143" s="7" t="str">
        <f>IF(金币!AB144="","",金币!$B144*金币!AB144)</f>
        <v/>
      </c>
      <c r="AC143" s="7" t="str">
        <f>IF(金币!AC144="","",金币!$B144*金币!AC144)</f>
        <v/>
      </c>
      <c r="AD143" s="7" t="str">
        <f>IF(金币!AD144="","",金币!$B144*金币!AD144)</f>
        <v/>
      </c>
      <c r="AE143" s="7" t="str">
        <f>IF(金币!AE144="","",金币!$B144*金币!AE144)</f>
        <v/>
      </c>
      <c r="AF143" s="7">
        <f>IF(金币!AF144="","",金币!$B144*金币!AF144)</f>
        <v>2840</v>
      </c>
      <c r="AG143" s="7">
        <f>金币!AI144</f>
        <v>0</v>
      </c>
    </row>
    <row r="144" spans="1:33">
      <c r="A144" s="32">
        <v>143</v>
      </c>
      <c r="B144" s="87">
        <f>金币!B145</f>
        <v>143</v>
      </c>
      <c r="C144" s="7">
        <f>IF(金币!C145="","",金币!$B145*金币!C145)</f>
        <v>1144</v>
      </c>
      <c r="D144" s="7" t="str">
        <f>IF(金币!D145="","",金币!$B145*金币!D145)</f>
        <v/>
      </c>
      <c r="E144" s="7" t="str">
        <f>IF(金币!E145="","",金币!$B145*金币!E145)</f>
        <v/>
      </c>
      <c r="F144" s="7">
        <f>IF(金币!F145="","",金币!$B145*金币!F145)</f>
        <v>1430</v>
      </c>
      <c r="G144" s="7" t="str">
        <f>IF(金币!G145="","",金币!$B145*金币!G145)</f>
        <v/>
      </c>
      <c r="H144" s="7" t="str">
        <f>IF(金币!H145="","",金币!$B145*金币!H145)</f>
        <v/>
      </c>
      <c r="I144" s="7" t="str">
        <f>IF(金币!I145="","",金币!$B145*金币!I145)</f>
        <v/>
      </c>
      <c r="J144" s="7" t="str">
        <f>IF(金币!J145="","",金币!$B145*金币!J145)</f>
        <v/>
      </c>
      <c r="K144" s="7">
        <f>IF(金币!K145="","",金币!$B145*金币!K145)</f>
        <v>1430</v>
      </c>
      <c r="L144" s="7">
        <f>IF(金币!L145="","",金币!$B145*金币!L145)</f>
        <v>715</v>
      </c>
      <c r="M144" s="7" t="str">
        <f>IF(金币!M145="","",金币!$B145*金币!M145)</f>
        <v/>
      </c>
      <c r="N144" s="7" t="str">
        <f>IF(金币!N145="","",金币!$B145*金币!N145)</f>
        <v/>
      </c>
      <c r="O144" s="7" t="str">
        <f>IF(金币!O145="","",金币!$B145*金币!O145)</f>
        <v/>
      </c>
      <c r="P144" s="7" t="str">
        <f>IF(金币!P145="","",金币!$B145*金币!P145)</f>
        <v/>
      </c>
      <c r="Q144" s="7">
        <f>IF(金币!Q145="","",金币!$B145*金币!Q145)</f>
        <v>1430</v>
      </c>
      <c r="R144" s="7" t="str">
        <f>IF(金币!R145="","",金币!$B145*金币!R145)</f>
        <v/>
      </c>
      <c r="S144" s="7">
        <f>IF(金币!S145="","",金币!$B145*金币!S145)</f>
        <v>429</v>
      </c>
      <c r="T144" s="7" t="str">
        <f>IF(金币!T145="","",金币!$B145*金币!T145)</f>
        <v/>
      </c>
      <c r="U144" s="7" t="str">
        <f>IF(金币!U145="","",金币!$B145*金币!U145)</f>
        <v/>
      </c>
      <c r="V144" s="7">
        <f>IF(金币!V145="","",金币!$B145*金币!V145)</f>
        <v>572</v>
      </c>
      <c r="W144" s="7" t="str">
        <f>IF(金币!W145="","",金币!$B145*金币!W145)</f>
        <v/>
      </c>
      <c r="X144" s="7" t="str">
        <f>IF(金币!X145="","",金币!$B145*金币!X145)</f>
        <v/>
      </c>
      <c r="Y144" s="7" t="str">
        <f>IF(金币!Y145="","",金币!$B145*金币!Y145)</f>
        <v/>
      </c>
      <c r="Z144" s="7">
        <f>IF(金币!Z145="","",金币!$B145*金币!Z145)</f>
        <v>1430</v>
      </c>
      <c r="AA144" s="7" t="str">
        <f>IF(金币!AA145="","",金币!$B145*金币!AA145)</f>
        <v/>
      </c>
      <c r="AB144" s="7" t="str">
        <f>IF(金币!AB145="","",金币!$B145*金币!AB145)</f>
        <v/>
      </c>
      <c r="AC144" s="7" t="str">
        <f>IF(金币!AC145="","",金币!$B145*金币!AC145)</f>
        <v/>
      </c>
      <c r="AD144" s="7" t="str">
        <f>IF(金币!AD145="","",金币!$B145*金币!AD145)</f>
        <v/>
      </c>
      <c r="AE144" s="7" t="str">
        <f>IF(金币!AE145="","",金币!$B145*金币!AE145)</f>
        <v/>
      </c>
      <c r="AF144" s="7">
        <f>IF(金币!AF145="","",金币!$B145*金币!AF145)</f>
        <v>2860</v>
      </c>
      <c r="AG144" s="7">
        <f>金币!AI145</f>
        <v>0</v>
      </c>
    </row>
    <row r="145" spans="1:33">
      <c r="A145" s="32">
        <v>144</v>
      </c>
      <c r="B145" s="87">
        <f>金币!B146</f>
        <v>144</v>
      </c>
      <c r="C145" s="7">
        <f>IF(金币!C146="","",金币!$B146*金币!C146)</f>
        <v>1152</v>
      </c>
      <c r="D145" s="7" t="str">
        <f>IF(金币!D146="","",金币!$B146*金币!D146)</f>
        <v/>
      </c>
      <c r="E145" s="7" t="str">
        <f>IF(金币!E146="","",金币!$B146*金币!E146)</f>
        <v/>
      </c>
      <c r="F145" s="7">
        <f>IF(金币!F146="","",金币!$B146*金币!F146)</f>
        <v>1440</v>
      </c>
      <c r="G145" s="7" t="str">
        <f>IF(金币!G146="","",金币!$B146*金币!G146)</f>
        <v/>
      </c>
      <c r="H145" s="7" t="str">
        <f>IF(金币!H146="","",金币!$B146*金币!H146)</f>
        <v/>
      </c>
      <c r="I145" s="7" t="str">
        <f>IF(金币!I146="","",金币!$B146*金币!I146)</f>
        <v/>
      </c>
      <c r="J145" s="7" t="str">
        <f>IF(金币!J146="","",金币!$B146*金币!J146)</f>
        <v/>
      </c>
      <c r="K145" s="7">
        <f>IF(金币!K146="","",金币!$B146*金币!K146)</f>
        <v>1440</v>
      </c>
      <c r="L145" s="7">
        <f>IF(金币!L146="","",金币!$B146*金币!L146)</f>
        <v>720</v>
      </c>
      <c r="M145" s="7" t="str">
        <f>IF(金币!M146="","",金币!$B146*金币!M146)</f>
        <v/>
      </c>
      <c r="N145" s="7" t="str">
        <f>IF(金币!N146="","",金币!$B146*金币!N146)</f>
        <v/>
      </c>
      <c r="O145" s="7" t="str">
        <f>IF(金币!O146="","",金币!$B146*金币!O146)</f>
        <v/>
      </c>
      <c r="P145" s="7" t="str">
        <f>IF(金币!P146="","",金币!$B146*金币!P146)</f>
        <v/>
      </c>
      <c r="Q145" s="7">
        <f>IF(金币!Q146="","",金币!$B146*金币!Q146)</f>
        <v>1440</v>
      </c>
      <c r="R145" s="7" t="str">
        <f>IF(金币!R146="","",金币!$B146*金币!R146)</f>
        <v/>
      </c>
      <c r="S145" s="7">
        <f>IF(金币!S146="","",金币!$B146*金币!S146)</f>
        <v>432</v>
      </c>
      <c r="T145" s="7" t="str">
        <f>IF(金币!T146="","",金币!$B146*金币!T146)</f>
        <v/>
      </c>
      <c r="U145" s="7" t="str">
        <f>IF(金币!U146="","",金币!$B146*金币!U146)</f>
        <v/>
      </c>
      <c r="V145" s="7">
        <f>IF(金币!V146="","",金币!$B146*金币!V146)</f>
        <v>576</v>
      </c>
      <c r="W145" s="7" t="str">
        <f>IF(金币!W146="","",金币!$B146*金币!W146)</f>
        <v/>
      </c>
      <c r="X145" s="7" t="str">
        <f>IF(金币!X146="","",金币!$B146*金币!X146)</f>
        <v/>
      </c>
      <c r="Y145" s="7" t="str">
        <f>IF(金币!Y146="","",金币!$B146*金币!Y146)</f>
        <v/>
      </c>
      <c r="Z145" s="7">
        <f>IF(金币!Z146="","",金币!$B146*金币!Z146)</f>
        <v>1440</v>
      </c>
      <c r="AA145" s="7" t="str">
        <f>IF(金币!AA146="","",金币!$B146*金币!AA146)</f>
        <v/>
      </c>
      <c r="AB145" s="7" t="str">
        <f>IF(金币!AB146="","",金币!$B146*金币!AB146)</f>
        <v/>
      </c>
      <c r="AC145" s="7" t="str">
        <f>IF(金币!AC146="","",金币!$B146*金币!AC146)</f>
        <v/>
      </c>
      <c r="AD145" s="7" t="str">
        <f>IF(金币!AD146="","",金币!$B146*金币!AD146)</f>
        <v/>
      </c>
      <c r="AE145" s="7" t="str">
        <f>IF(金币!AE146="","",金币!$B146*金币!AE146)</f>
        <v/>
      </c>
      <c r="AF145" s="7">
        <f>IF(金币!AF146="","",金币!$B146*金币!AF146)</f>
        <v>2880</v>
      </c>
      <c r="AG145" s="7">
        <f>金币!AI146</f>
        <v>0</v>
      </c>
    </row>
    <row r="146" spans="1:33">
      <c r="A146" s="32">
        <v>145</v>
      </c>
      <c r="B146" s="87">
        <f>金币!B147</f>
        <v>145</v>
      </c>
      <c r="C146" s="7">
        <f>IF(金币!C147="","",金币!$B147*金币!C147)</f>
        <v>1160</v>
      </c>
      <c r="D146" s="7" t="str">
        <f>IF(金币!D147="","",金币!$B147*金币!D147)</f>
        <v/>
      </c>
      <c r="E146" s="7" t="str">
        <f>IF(金币!E147="","",金币!$B147*金币!E147)</f>
        <v/>
      </c>
      <c r="F146" s="7">
        <f>IF(金币!F147="","",金币!$B147*金币!F147)</f>
        <v>1450</v>
      </c>
      <c r="G146" s="7" t="str">
        <f>IF(金币!G147="","",金币!$B147*金币!G147)</f>
        <v/>
      </c>
      <c r="H146" s="7" t="str">
        <f>IF(金币!H147="","",金币!$B147*金币!H147)</f>
        <v/>
      </c>
      <c r="I146" s="7" t="str">
        <f>IF(金币!I147="","",金币!$B147*金币!I147)</f>
        <v/>
      </c>
      <c r="J146" s="7" t="str">
        <f>IF(金币!J147="","",金币!$B147*金币!J147)</f>
        <v/>
      </c>
      <c r="K146" s="7">
        <f>IF(金币!K147="","",金币!$B147*金币!K147)</f>
        <v>1450</v>
      </c>
      <c r="L146" s="7">
        <f>IF(金币!L147="","",金币!$B147*金币!L147)</f>
        <v>725</v>
      </c>
      <c r="M146" s="7" t="str">
        <f>IF(金币!M147="","",金币!$B147*金币!M147)</f>
        <v/>
      </c>
      <c r="N146" s="7" t="str">
        <f>IF(金币!N147="","",金币!$B147*金币!N147)</f>
        <v/>
      </c>
      <c r="O146" s="7" t="str">
        <f>IF(金币!O147="","",金币!$B147*金币!O147)</f>
        <v/>
      </c>
      <c r="P146" s="7" t="str">
        <f>IF(金币!P147="","",金币!$B147*金币!P147)</f>
        <v/>
      </c>
      <c r="Q146" s="7">
        <f>IF(金币!Q147="","",金币!$B147*金币!Q147)</f>
        <v>1450</v>
      </c>
      <c r="R146" s="7" t="str">
        <f>IF(金币!R147="","",金币!$B147*金币!R147)</f>
        <v/>
      </c>
      <c r="S146" s="7">
        <f>IF(金币!S147="","",金币!$B147*金币!S147)</f>
        <v>435</v>
      </c>
      <c r="T146" s="7" t="str">
        <f>IF(金币!T147="","",金币!$B147*金币!T147)</f>
        <v/>
      </c>
      <c r="U146" s="7" t="str">
        <f>IF(金币!U147="","",金币!$B147*金币!U147)</f>
        <v/>
      </c>
      <c r="V146" s="7">
        <f>IF(金币!V147="","",金币!$B147*金币!V147)</f>
        <v>580</v>
      </c>
      <c r="W146" s="7" t="str">
        <f>IF(金币!W147="","",金币!$B147*金币!W147)</f>
        <v/>
      </c>
      <c r="X146" s="7" t="str">
        <f>IF(金币!X147="","",金币!$B147*金币!X147)</f>
        <v/>
      </c>
      <c r="Y146" s="7" t="str">
        <f>IF(金币!Y147="","",金币!$B147*金币!Y147)</f>
        <v/>
      </c>
      <c r="Z146" s="7">
        <f>IF(金币!Z147="","",金币!$B147*金币!Z147)</f>
        <v>1450</v>
      </c>
      <c r="AA146" s="7" t="str">
        <f>IF(金币!AA147="","",金币!$B147*金币!AA147)</f>
        <v/>
      </c>
      <c r="AB146" s="7" t="str">
        <f>IF(金币!AB147="","",金币!$B147*金币!AB147)</f>
        <v/>
      </c>
      <c r="AC146" s="7" t="str">
        <f>IF(金币!AC147="","",金币!$B147*金币!AC147)</f>
        <v/>
      </c>
      <c r="AD146" s="7" t="str">
        <f>IF(金币!AD147="","",金币!$B147*金币!AD147)</f>
        <v/>
      </c>
      <c r="AE146" s="7" t="str">
        <f>IF(金币!AE147="","",金币!$B147*金币!AE147)</f>
        <v/>
      </c>
      <c r="AF146" s="7">
        <f>IF(金币!AF147="","",金币!$B147*金币!AF147)</f>
        <v>2900</v>
      </c>
      <c r="AG146" s="7">
        <f>金币!AI147</f>
        <v>0</v>
      </c>
    </row>
    <row r="147" spans="1:33">
      <c r="A147" s="32">
        <v>146</v>
      </c>
      <c r="B147" s="87">
        <f>金币!B148</f>
        <v>146</v>
      </c>
      <c r="C147" s="7">
        <f>IF(金币!C148="","",金币!$B148*金币!C148)</f>
        <v>1168</v>
      </c>
      <c r="D147" s="7" t="str">
        <f>IF(金币!D148="","",金币!$B148*金币!D148)</f>
        <v/>
      </c>
      <c r="E147" s="7" t="str">
        <f>IF(金币!E148="","",金币!$B148*金币!E148)</f>
        <v/>
      </c>
      <c r="F147" s="7">
        <f>IF(金币!F148="","",金币!$B148*金币!F148)</f>
        <v>1460</v>
      </c>
      <c r="G147" s="7" t="str">
        <f>IF(金币!G148="","",金币!$B148*金币!G148)</f>
        <v/>
      </c>
      <c r="H147" s="7" t="str">
        <f>IF(金币!H148="","",金币!$B148*金币!H148)</f>
        <v/>
      </c>
      <c r="I147" s="7" t="str">
        <f>IF(金币!I148="","",金币!$B148*金币!I148)</f>
        <v/>
      </c>
      <c r="J147" s="7" t="str">
        <f>IF(金币!J148="","",金币!$B148*金币!J148)</f>
        <v/>
      </c>
      <c r="K147" s="7">
        <f>IF(金币!K148="","",金币!$B148*金币!K148)</f>
        <v>1460</v>
      </c>
      <c r="L147" s="7">
        <f>IF(金币!L148="","",金币!$B148*金币!L148)</f>
        <v>730</v>
      </c>
      <c r="M147" s="7" t="str">
        <f>IF(金币!M148="","",金币!$B148*金币!M148)</f>
        <v/>
      </c>
      <c r="N147" s="7" t="str">
        <f>IF(金币!N148="","",金币!$B148*金币!N148)</f>
        <v/>
      </c>
      <c r="O147" s="7" t="str">
        <f>IF(金币!O148="","",金币!$B148*金币!O148)</f>
        <v/>
      </c>
      <c r="P147" s="7" t="str">
        <f>IF(金币!P148="","",金币!$B148*金币!P148)</f>
        <v/>
      </c>
      <c r="Q147" s="7">
        <f>IF(金币!Q148="","",金币!$B148*金币!Q148)</f>
        <v>1460</v>
      </c>
      <c r="R147" s="7" t="str">
        <f>IF(金币!R148="","",金币!$B148*金币!R148)</f>
        <v/>
      </c>
      <c r="S147" s="7">
        <f>IF(金币!S148="","",金币!$B148*金币!S148)</f>
        <v>438</v>
      </c>
      <c r="T147" s="7" t="str">
        <f>IF(金币!T148="","",金币!$B148*金币!T148)</f>
        <v/>
      </c>
      <c r="U147" s="7" t="str">
        <f>IF(金币!U148="","",金币!$B148*金币!U148)</f>
        <v/>
      </c>
      <c r="V147" s="7">
        <f>IF(金币!V148="","",金币!$B148*金币!V148)</f>
        <v>584</v>
      </c>
      <c r="W147" s="7" t="str">
        <f>IF(金币!W148="","",金币!$B148*金币!W148)</f>
        <v/>
      </c>
      <c r="X147" s="7" t="str">
        <f>IF(金币!X148="","",金币!$B148*金币!X148)</f>
        <v/>
      </c>
      <c r="Y147" s="7" t="str">
        <f>IF(金币!Y148="","",金币!$B148*金币!Y148)</f>
        <v/>
      </c>
      <c r="Z147" s="7">
        <f>IF(金币!Z148="","",金币!$B148*金币!Z148)</f>
        <v>1460</v>
      </c>
      <c r="AA147" s="7" t="str">
        <f>IF(金币!AA148="","",金币!$B148*金币!AA148)</f>
        <v/>
      </c>
      <c r="AB147" s="7" t="str">
        <f>IF(金币!AB148="","",金币!$B148*金币!AB148)</f>
        <v/>
      </c>
      <c r="AC147" s="7" t="str">
        <f>IF(金币!AC148="","",金币!$B148*金币!AC148)</f>
        <v/>
      </c>
      <c r="AD147" s="7" t="str">
        <f>IF(金币!AD148="","",金币!$B148*金币!AD148)</f>
        <v/>
      </c>
      <c r="AE147" s="7" t="str">
        <f>IF(金币!AE148="","",金币!$B148*金币!AE148)</f>
        <v/>
      </c>
      <c r="AF147" s="7">
        <f>IF(金币!AF148="","",金币!$B148*金币!AF148)</f>
        <v>2920</v>
      </c>
      <c r="AG147" s="7">
        <f>金币!AI148</f>
        <v>0</v>
      </c>
    </row>
    <row r="148" spans="1:33">
      <c r="A148" s="32">
        <v>147</v>
      </c>
      <c r="B148" s="87">
        <f>金币!B149</f>
        <v>147</v>
      </c>
      <c r="C148" s="7">
        <f>IF(金币!C149="","",金币!$B149*金币!C149)</f>
        <v>1176</v>
      </c>
      <c r="D148" s="7" t="str">
        <f>IF(金币!D149="","",金币!$B149*金币!D149)</f>
        <v/>
      </c>
      <c r="E148" s="7" t="str">
        <f>IF(金币!E149="","",金币!$B149*金币!E149)</f>
        <v/>
      </c>
      <c r="F148" s="7">
        <f>IF(金币!F149="","",金币!$B149*金币!F149)</f>
        <v>1470</v>
      </c>
      <c r="G148" s="7" t="str">
        <f>IF(金币!G149="","",金币!$B149*金币!G149)</f>
        <v/>
      </c>
      <c r="H148" s="7" t="str">
        <f>IF(金币!H149="","",金币!$B149*金币!H149)</f>
        <v/>
      </c>
      <c r="I148" s="7" t="str">
        <f>IF(金币!I149="","",金币!$B149*金币!I149)</f>
        <v/>
      </c>
      <c r="J148" s="7" t="str">
        <f>IF(金币!J149="","",金币!$B149*金币!J149)</f>
        <v/>
      </c>
      <c r="K148" s="7">
        <f>IF(金币!K149="","",金币!$B149*金币!K149)</f>
        <v>1470</v>
      </c>
      <c r="L148" s="7">
        <f>IF(金币!L149="","",金币!$B149*金币!L149)</f>
        <v>735</v>
      </c>
      <c r="M148" s="7" t="str">
        <f>IF(金币!M149="","",金币!$B149*金币!M149)</f>
        <v/>
      </c>
      <c r="N148" s="7" t="str">
        <f>IF(金币!N149="","",金币!$B149*金币!N149)</f>
        <v/>
      </c>
      <c r="O148" s="7" t="str">
        <f>IF(金币!O149="","",金币!$B149*金币!O149)</f>
        <v/>
      </c>
      <c r="P148" s="7" t="str">
        <f>IF(金币!P149="","",金币!$B149*金币!P149)</f>
        <v/>
      </c>
      <c r="Q148" s="7">
        <f>IF(金币!Q149="","",金币!$B149*金币!Q149)</f>
        <v>1470</v>
      </c>
      <c r="R148" s="7" t="str">
        <f>IF(金币!R149="","",金币!$B149*金币!R149)</f>
        <v/>
      </c>
      <c r="S148" s="7">
        <f>IF(金币!S149="","",金币!$B149*金币!S149)</f>
        <v>441</v>
      </c>
      <c r="T148" s="7" t="str">
        <f>IF(金币!T149="","",金币!$B149*金币!T149)</f>
        <v/>
      </c>
      <c r="U148" s="7" t="str">
        <f>IF(金币!U149="","",金币!$B149*金币!U149)</f>
        <v/>
      </c>
      <c r="V148" s="7">
        <f>IF(金币!V149="","",金币!$B149*金币!V149)</f>
        <v>588</v>
      </c>
      <c r="W148" s="7" t="str">
        <f>IF(金币!W149="","",金币!$B149*金币!W149)</f>
        <v/>
      </c>
      <c r="X148" s="7" t="str">
        <f>IF(金币!X149="","",金币!$B149*金币!X149)</f>
        <v/>
      </c>
      <c r="Y148" s="7" t="str">
        <f>IF(金币!Y149="","",金币!$B149*金币!Y149)</f>
        <v/>
      </c>
      <c r="Z148" s="7">
        <f>IF(金币!Z149="","",金币!$B149*金币!Z149)</f>
        <v>1470</v>
      </c>
      <c r="AA148" s="7" t="str">
        <f>IF(金币!AA149="","",金币!$B149*金币!AA149)</f>
        <v/>
      </c>
      <c r="AB148" s="7" t="str">
        <f>IF(金币!AB149="","",金币!$B149*金币!AB149)</f>
        <v/>
      </c>
      <c r="AC148" s="7" t="str">
        <f>IF(金币!AC149="","",金币!$B149*金币!AC149)</f>
        <v/>
      </c>
      <c r="AD148" s="7" t="str">
        <f>IF(金币!AD149="","",金币!$B149*金币!AD149)</f>
        <v/>
      </c>
      <c r="AE148" s="7" t="str">
        <f>IF(金币!AE149="","",金币!$B149*金币!AE149)</f>
        <v/>
      </c>
      <c r="AF148" s="7">
        <f>IF(金币!AF149="","",金币!$B149*金币!AF149)</f>
        <v>2940</v>
      </c>
      <c r="AG148" s="7">
        <f>金币!AI149</f>
        <v>0</v>
      </c>
    </row>
    <row r="149" spans="1:33">
      <c r="A149" s="32">
        <v>148</v>
      </c>
      <c r="B149" s="87">
        <f>金币!B150</f>
        <v>148</v>
      </c>
      <c r="C149" s="7">
        <f>IF(金币!C150="","",金币!$B150*金币!C150)</f>
        <v>1184</v>
      </c>
      <c r="D149" s="7" t="str">
        <f>IF(金币!D150="","",金币!$B150*金币!D150)</f>
        <v/>
      </c>
      <c r="E149" s="7" t="str">
        <f>IF(金币!E150="","",金币!$B150*金币!E150)</f>
        <v/>
      </c>
      <c r="F149" s="7">
        <f>IF(金币!F150="","",金币!$B150*金币!F150)</f>
        <v>1480</v>
      </c>
      <c r="G149" s="7" t="str">
        <f>IF(金币!G150="","",金币!$B150*金币!G150)</f>
        <v/>
      </c>
      <c r="H149" s="7" t="str">
        <f>IF(金币!H150="","",金币!$B150*金币!H150)</f>
        <v/>
      </c>
      <c r="I149" s="7" t="str">
        <f>IF(金币!I150="","",金币!$B150*金币!I150)</f>
        <v/>
      </c>
      <c r="J149" s="7" t="str">
        <f>IF(金币!J150="","",金币!$B150*金币!J150)</f>
        <v/>
      </c>
      <c r="K149" s="7">
        <f>IF(金币!K150="","",金币!$B150*金币!K150)</f>
        <v>1480</v>
      </c>
      <c r="L149" s="7">
        <f>IF(金币!L150="","",金币!$B150*金币!L150)</f>
        <v>740</v>
      </c>
      <c r="M149" s="7" t="str">
        <f>IF(金币!M150="","",金币!$B150*金币!M150)</f>
        <v/>
      </c>
      <c r="N149" s="7" t="str">
        <f>IF(金币!N150="","",金币!$B150*金币!N150)</f>
        <v/>
      </c>
      <c r="O149" s="7" t="str">
        <f>IF(金币!O150="","",金币!$B150*金币!O150)</f>
        <v/>
      </c>
      <c r="P149" s="7" t="str">
        <f>IF(金币!P150="","",金币!$B150*金币!P150)</f>
        <v/>
      </c>
      <c r="Q149" s="7">
        <f>IF(金币!Q150="","",金币!$B150*金币!Q150)</f>
        <v>1480</v>
      </c>
      <c r="R149" s="7" t="str">
        <f>IF(金币!R150="","",金币!$B150*金币!R150)</f>
        <v/>
      </c>
      <c r="S149" s="7">
        <f>IF(金币!S150="","",金币!$B150*金币!S150)</f>
        <v>444</v>
      </c>
      <c r="T149" s="7" t="str">
        <f>IF(金币!T150="","",金币!$B150*金币!T150)</f>
        <v/>
      </c>
      <c r="U149" s="7" t="str">
        <f>IF(金币!U150="","",金币!$B150*金币!U150)</f>
        <v/>
      </c>
      <c r="V149" s="7">
        <f>IF(金币!V150="","",金币!$B150*金币!V150)</f>
        <v>592</v>
      </c>
      <c r="W149" s="7" t="str">
        <f>IF(金币!W150="","",金币!$B150*金币!W150)</f>
        <v/>
      </c>
      <c r="X149" s="7" t="str">
        <f>IF(金币!X150="","",金币!$B150*金币!X150)</f>
        <v/>
      </c>
      <c r="Y149" s="7" t="str">
        <f>IF(金币!Y150="","",金币!$B150*金币!Y150)</f>
        <v/>
      </c>
      <c r="Z149" s="7">
        <f>IF(金币!Z150="","",金币!$B150*金币!Z150)</f>
        <v>1480</v>
      </c>
      <c r="AA149" s="7" t="str">
        <f>IF(金币!AA150="","",金币!$B150*金币!AA150)</f>
        <v/>
      </c>
      <c r="AB149" s="7" t="str">
        <f>IF(金币!AB150="","",金币!$B150*金币!AB150)</f>
        <v/>
      </c>
      <c r="AC149" s="7" t="str">
        <f>IF(金币!AC150="","",金币!$B150*金币!AC150)</f>
        <v/>
      </c>
      <c r="AD149" s="7" t="str">
        <f>IF(金币!AD150="","",金币!$B150*金币!AD150)</f>
        <v/>
      </c>
      <c r="AE149" s="7" t="str">
        <f>IF(金币!AE150="","",金币!$B150*金币!AE150)</f>
        <v/>
      </c>
      <c r="AF149" s="7">
        <f>IF(金币!AF150="","",金币!$B150*金币!AF150)</f>
        <v>2960</v>
      </c>
      <c r="AG149" s="7">
        <f>金币!AI150</f>
        <v>0</v>
      </c>
    </row>
    <row r="150" spans="1:33">
      <c r="A150" s="32">
        <v>149</v>
      </c>
      <c r="B150" s="87">
        <f>金币!B151</f>
        <v>149</v>
      </c>
      <c r="C150" s="7">
        <f>IF(金币!C151="","",金币!$B151*金币!C151)</f>
        <v>1192</v>
      </c>
      <c r="D150" s="7" t="str">
        <f>IF(金币!D151="","",金币!$B151*金币!D151)</f>
        <v/>
      </c>
      <c r="E150" s="7" t="str">
        <f>IF(金币!E151="","",金币!$B151*金币!E151)</f>
        <v/>
      </c>
      <c r="F150" s="7">
        <f>IF(金币!F151="","",金币!$B151*金币!F151)</f>
        <v>1490</v>
      </c>
      <c r="G150" s="7" t="str">
        <f>IF(金币!G151="","",金币!$B151*金币!G151)</f>
        <v/>
      </c>
      <c r="H150" s="7" t="str">
        <f>IF(金币!H151="","",金币!$B151*金币!H151)</f>
        <v/>
      </c>
      <c r="I150" s="7" t="str">
        <f>IF(金币!I151="","",金币!$B151*金币!I151)</f>
        <v/>
      </c>
      <c r="J150" s="7" t="str">
        <f>IF(金币!J151="","",金币!$B151*金币!J151)</f>
        <v/>
      </c>
      <c r="K150" s="7">
        <f>IF(金币!K151="","",金币!$B151*金币!K151)</f>
        <v>1490</v>
      </c>
      <c r="L150" s="7">
        <f>IF(金币!L151="","",金币!$B151*金币!L151)</f>
        <v>745</v>
      </c>
      <c r="M150" s="7" t="str">
        <f>IF(金币!M151="","",金币!$B151*金币!M151)</f>
        <v/>
      </c>
      <c r="N150" s="7" t="str">
        <f>IF(金币!N151="","",金币!$B151*金币!N151)</f>
        <v/>
      </c>
      <c r="O150" s="7" t="str">
        <f>IF(金币!O151="","",金币!$B151*金币!O151)</f>
        <v/>
      </c>
      <c r="P150" s="7" t="str">
        <f>IF(金币!P151="","",金币!$B151*金币!P151)</f>
        <v/>
      </c>
      <c r="Q150" s="7">
        <f>IF(金币!Q151="","",金币!$B151*金币!Q151)</f>
        <v>1490</v>
      </c>
      <c r="R150" s="7" t="str">
        <f>IF(金币!R151="","",金币!$B151*金币!R151)</f>
        <v/>
      </c>
      <c r="S150" s="7">
        <f>IF(金币!S151="","",金币!$B151*金币!S151)</f>
        <v>447</v>
      </c>
      <c r="T150" s="7" t="str">
        <f>IF(金币!T151="","",金币!$B151*金币!T151)</f>
        <v/>
      </c>
      <c r="U150" s="7" t="str">
        <f>IF(金币!U151="","",金币!$B151*金币!U151)</f>
        <v/>
      </c>
      <c r="V150" s="7">
        <f>IF(金币!V151="","",金币!$B151*金币!V151)</f>
        <v>596</v>
      </c>
      <c r="W150" s="7" t="str">
        <f>IF(金币!W151="","",金币!$B151*金币!W151)</f>
        <v/>
      </c>
      <c r="X150" s="7" t="str">
        <f>IF(金币!X151="","",金币!$B151*金币!X151)</f>
        <v/>
      </c>
      <c r="Y150" s="7" t="str">
        <f>IF(金币!Y151="","",金币!$B151*金币!Y151)</f>
        <v/>
      </c>
      <c r="Z150" s="7">
        <f>IF(金币!Z151="","",金币!$B151*金币!Z151)</f>
        <v>1490</v>
      </c>
      <c r="AA150" s="7" t="str">
        <f>IF(金币!AA151="","",金币!$B151*金币!AA151)</f>
        <v/>
      </c>
      <c r="AB150" s="7" t="str">
        <f>IF(金币!AB151="","",金币!$B151*金币!AB151)</f>
        <v/>
      </c>
      <c r="AC150" s="7" t="str">
        <f>IF(金币!AC151="","",金币!$B151*金币!AC151)</f>
        <v/>
      </c>
      <c r="AD150" s="7" t="str">
        <f>IF(金币!AD151="","",金币!$B151*金币!AD151)</f>
        <v/>
      </c>
      <c r="AE150" s="7" t="str">
        <f>IF(金币!AE151="","",金币!$B151*金币!AE151)</f>
        <v/>
      </c>
      <c r="AF150" s="7">
        <f>IF(金币!AF151="","",金币!$B151*金币!AF151)</f>
        <v>2980</v>
      </c>
      <c r="AG150" s="7">
        <f>金币!AI151</f>
        <v>0</v>
      </c>
    </row>
    <row r="151" spans="1:33">
      <c r="A151" s="33">
        <v>150</v>
      </c>
      <c r="B151" s="88">
        <f>金币!B152</f>
        <v>150</v>
      </c>
      <c r="C151" s="7">
        <f>IF(金币!C152="","",金币!$B152*金币!C152)</f>
        <v>1200</v>
      </c>
      <c r="D151" s="7" t="str">
        <f>IF(金币!D152="","",金币!$B152*金币!D152)</f>
        <v/>
      </c>
      <c r="E151" s="7" t="str">
        <f>IF(金币!E152="","",金币!$B152*金币!E152)</f>
        <v/>
      </c>
      <c r="F151" s="7">
        <f>IF(金币!F152="","",金币!$B152*金币!F152)</f>
        <v>1500</v>
      </c>
      <c r="G151" s="7" t="str">
        <f>IF(金币!G152="","",金币!$B152*金币!G152)</f>
        <v/>
      </c>
      <c r="H151" s="7" t="str">
        <f>IF(金币!H152="","",金币!$B152*金币!H152)</f>
        <v/>
      </c>
      <c r="I151" s="7" t="str">
        <f>IF(金币!I152="","",金币!$B152*金币!I152)</f>
        <v/>
      </c>
      <c r="J151" s="7" t="str">
        <f>IF(金币!J152="","",金币!$B152*金币!J152)</f>
        <v/>
      </c>
      <c r="K151" s="7">
        <f>IF(金币!K152="","",金币!$B152*金币!K152)</f>
        <v>1500</v>
      </c>
      <c r="L151" s="7">
        <f>IF(金币!L152="","",金币!$B152*金币!L152)</f>
        <v>750</v>
      </c>
      <c r="M151" s="7" t="str">
        <f>IF(金币!M152="","",金币!$B152*金币!M152)</f>
        <v/>
      </c>
      <c r="N151" s="7" t="str">
        <f>IF(金币!N152="","",金币!$B152*金币!N152)</f>
        <v/>
      </c>
      <c r="O151" s="7" t="str">
        <f>IF(金币!O152="","",金币!$B152*金币!O152)</f>
        <v/>
      </c>
      <c r="P151" s="7" t="str">
        <f>IF(金币!P152="","",金币!$B152*金币!P152)</f>
        <v/>
      </c>
      <c r="Q151" s="7">
        <f>IF(金币!Q152="","",金币!$B152*金币!Q152)</f>
        <v>1500</v>
      </c>
      <c r="R151" s="7" t="str">
        <f>IF(金币!R152="","",金币!$B152*金币!R152)</f>
        <v/>
      </c>
      <c r="S151" s="7">
        <f>IF(金币!S152="","",金币!$B152*金币!S152)</f>
        <v>450</v>
      </c>
      <c r="T151" s="7" t="str">
        <f>IF(金币!T152="","",金币!$B152*金币!T152)</f>
        <v/>
      </c>
      <c r="U151" s="7" t="str">
        <f>IF(金币!U152="","",金币!$B152*金币!U152)</f>
        <v/>
      </c>
      <c r="V151" s="7">
        <f>IF(金币!V152="","",金币!$B152*金币!V152)</f>
        <v>600</v>
      </c>
      <c r="W151" s="7" t="str">
        <f>IF(金币!W152="","",金币!$B152*金币!W152)</f>
        <v/>
      </c>
      <c r="X151" s="7" t="str">
        <f>IF(金币!X152="","",金币!$B152*金币!X152)</f>
        <v/>
      </c>
      <c r="Y151" s="7" t="str">
        <f>IF(金币!Y152="","",金币!$B152*金币!Y152)</f>
        <v/>
      </c>
      <c r="Z151" s="7">
        <f>IF(金币!Z152="","",金币!$B152*金币!Z152)</f>
        <v>1500</v>
      </c>
      <c r="AA151" s="7" t="str">
        <f>IF(金币!AA152="","",金币!$B152*金币!AA152)</f>
        <v/>
      </c>
      <c r="AB151" s="7" t="str">
        <f>IF(金币!AB152="","",金币!$B152*金币!AB152)</f>
        <v/>
      </c>
      <c r="AC151" s="7" t="str">
        <f>IF(金币!AC152="","",金币!$B152*金币!AC152)</f>
        <v/>
      </c>
      <c r="AD151" s="7" t="str">
        <f>IF(金币!AD152="","",金币!$B152*金币!AD152)</f>
        <v/>
      </c>
      <c r="AE151" s="7" t="str">
        <f>IF(金币!AE152="","",金币!$B152*金币!AE152)</f>
        <v/>
      </c>
      <c r="AF151" s="7">
        <f>IF(金币!AF152="","",金币!$B152*金币!AF152)</f>
        <v>3000</v>
      </c>
      <c r="AG151" s="7">
        <f>金币!AI152</f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00"/>
  </sheetPr>
  <dimension ref="B2:V613"/>
  <sheetViews>
    <sheetView topLeftCell="A227" workbookViewId="0">
      <selection activeCell="D234" sqref="D234"/>
    </sheetView>
  </sheetViews>
  <sheetFormatPr defaultRowHeight="13.5"/>
  <cols>
    <col min="2" max="2" width="10.375" customWidth="1"/>
    <col min="3" max="3" width="19.75" customWidth="1"/>
    <col min="4" max="4" width="44.875" customWidth="1"/>
    <col min="5" max="5" width="28.125" customWidth="1"/>
    <col min="6" max="6" width="36.625" customWidth="1"/>
    <col min="7" max="7" width="18.75" customWidth="1"/>
    <col min="11" max="11" width="25.75" customWidth="1"/>
    <col min="12" max="12" width="19.375" customWidth="1"/>
    <col min="13" max="13" width="23.875" bestFit="1" customWidth="1"/>
    <col min="14" max="14" width="31.625" customWidth="1"/>
    <col min="15" max="15" width="18.375" bestFit="1" customWidth="1"/>
    <col min="16" max="16" width="9" style="7"/>
    <col min="18" max="18" width="17.875" customWidth="1"/>
    <col min="19" max="19" width="9.375" customWidth="1"/>
    <col min="20" max="20" width="19.375" bestFit="1" customWidth="1"/>
  </cols>
  <sheetData>
    <row r="2" spans="3:21">
      <c r="C2" s="129" t="s">
        <v>240</v>
      </c>
      <c r="D2" s="129" t="s">
        <v>241</v>
      </c>
      <c r="E2" s="129" t="s">
        <v>242</v>
      </c>
      <c r="F2" s="129" t="s">
        <v>245</v>
      </c>
    </row>
    <row r="3" spans="3:21">
      <c r="C3" s="7">
        <f>升级节奏!C3</f>
        <v>400</v>
      </c>
      <c r="D3" s="7">
        <f>升级节奏!D3</f>
        <v>5000</v>
      </c>
      <c r="E3" s="7">
        <f>升级节奏!E3</f>
        <v>1000</v>
      </c>
      <c r="F3" s="7">
        <f>升级节奏!F3</f>
        <v>1</v>
      </c>
    </row>
    <row r="6" spans="3:21">
      <c r="C6" s="131" t="s">
        <v>144</v>
      </c>
    </row>
    <row r="7" spans="3:21">
      <c r="C7" s="63" t="s">
        <v>280</v>
      </c>
      <c r="D7" s="13" t="s">
        <v>281</v>
      </c>
      <c r="E7" s="7" t="s">
        <v>282</v>
      </c>
      <c r="O7" s="10"/>
      <c r="S7" s="7" t="s">
        <v>575</v>
      </c>
    </row>
    <row r="8" spans="3:21">
      <c r="O8" s="10"/>
      <c r="T8" s="7" t="s">
        <v>283</v>
      </c>
      <c r="U8" s="7" t="s">
        <v>246</v>
      </c>
    </row>
    <row r="9" spans="3:21">
      <c r="C9" s="7" t="s">
        <v>235</v>
      </c>
      <c r="D9" t="str">
        <f>IF(VLOOKUP(C6,行为概览!$D$3:$U$33,7,0)&gt;0,C$3&amp;"*"&amp;VLOOKUP(D7,$T$8:$U$43,2,0)&amp;"*"&amp;ROUND(VLOOKUP(C6,行为概览!$D$3:$U$33,7,0)*VLOOKUP(C6,行为概览!$D$3:$U$33,6,0),2),"无")</f>
        <v>400*RoleLv*16.67</v>
      </c>
      <c r="O9" s="77" t="s">
        <v>439</v>
      </c>
      <c r="T9" s="7" t="s">
        <v>284</v>
      </c>
      <c r="U9" s="7" t="s">
        <v>247</v>
      </c>
    </row>
    <row r="10" spans="3:21">
      <c r="C10" s="7" t="s">
        <v>236</v>
      </c>
      <c r="D10" t="str">
        <f>IF(VLOOKUP(C6,行为概览!$D$3:$U$33,8,0)&gt;0,D$3&amp;"*"&amp;VLOOKUP(D7,$T$8:$U$43,2,0)&amp;"*"&amp;ROUND(VLOOKUP(C6,行为概览!$D$3:$U$33,8,0)*VLOOKUP(C6,行为概览!$D$3:$U$33,6,0),2),"无")</f>
        <v>5000*RoleLv*1</v>
      </c>
      <c r="O10" s="77" t="s">
        <v>440</v>
      </c>
      <c r="T10" s="7" t="s">
        <v>281</v>
      </c>
      <c r="U10" s="7" t="s">
        <v>248</v>
      </c>
    </row>
    <row r="11" spans="3:21">
      <c r="C11" s="7" t="s">
        <v>237</v>
      </c>
      <c r="D11" t="str">
        <f>IF(VLOOKUP(C6,行为概览!$D$3:$U$33,9,0)&gt;0,E$3&amp;"*"&amp;VLOOKUP(D7,$T$8:$U$43,2,0)&amp;"*"&amp;ROUND(VLOOKUP(C6,行为概览!$D$3:$U$33,9,0),2),"无")</f>
        <v>1000*RoleLv*4</v>
      </c>
      <c r="O11" s="77" t="s">
        <v>441</v>
      </c>
      <c r="T11" s="7" t="s">
        <v>285</v>
      </c>
      <c r="U11" s="7" t="s">
        <v>249</v>
      </c>
    </row>
    <row r="12" spans="3:21">
      <c r="C12" s="7" t="s">
        <v>238</v>
      </c>
      <c r="D12" t="str">
        <f>IF(VLOOKUP(C6,行为概览!$D$3:$U$33,10,0)&gt;0,F$3&amp;"*"&amp;VLOOKUP(D7,$T$8:$U$43,2,0)&amp;"*"&amp;ROUND(VLOOKUP(C6,行为概览!$D$3:$U$33,10,0),2),"无")</f>
        <v>1*RoleLv*8</v>
      </c>
      <c r="O12" s="77" t="s">
        <v>442</v>
      </c>
      <c r="P12"/>
      <c r="T12" s="7" t="s">
        <v>141</v>
      </c>
      <c r="U12" s="7" t="s">
        <v>279</v>
      </c>
    </row>
    <row r="13" spans="3:21">
      <c r="O13" s="10"/>
      <c r="P13"/>
      <c r="T13" s="7" t="s">
        <v>401</v>
      </c>
      <c r="U13" s="7" t="s">
        <v>278</v>
      </c>
    </row>
    <row r="14" spans="3:21">
      <c r="E14" s="63" t="s">
        <v>420</v>
      </c>
      <c r="F14" s="7">
        <v>4</v>
      </c>
      <c r="P14"/>
      <c r="T14" s="7" t="s">
        <v>286</v>
      </c>
      <c r="U14" s="7" t="s">
        <v>277</v>
      </c>
    </row>
    <row r="15" spans="3:21">
      <c r="C15" s="7" t="s">
        <v>323</v>
      </c>
      <c r="D15">
        <v>2</v>
      </c>
      <c r="F15" s="7"/>
      <c r="G15" s="7" t="s">
        <v>316</v>
      </c>
      <c r="H15">
        <v>1</v>
      </c>
      <c r="I15" s="7">
        <v>0.82</v>
      </c>
      <c r="J15" s="7">
        <f>0.78+0.04*H15</f>
        <v>0.82000000000000006</v>
      </c>
      <c r="K15" s="7" t="str">
        <f>0.78&amp;"+0.04*"&amp;VLOOKUP("环数",$T$8:$U$43,2,0)</f>
        <v>0.78+0.04*Ring</v>
      </c>
      <c r="P15"/>
      <c r="T15" s="7" t="s">
        <v>287</v>
      </c>
      <c r="U15" s="7" t="s">
        <v>67</v>
      </c>
    </row>
    <row r="16" spans="3:21">
      <c r="C16" s="7" t="s">
        <v>389</v>
      </c>
      <c r="D16" s="7">
        <f>10*D15</f>
        <v>20</v>
      </c>
      <c r="F16" s="7"/>
      <c r="H16">
        <v>2</v>
      </c>
      <c r="I16" s="7">
        <v>0.86</v>
      </c>
      <c r="J16" s="7">
        <f t="shared" ref="J16:J24" si="0">0.78+0.04*H16</f>
        <v>0.86</v>
      </c>
      <c r="K16" s="7"/>
      <c r="P16"/>
      <c r="T16" s="7" t="s">
        <v>288</v>
      </c>
      <c r="U16" s="7" t="s">
        <v>276</v>
      </c>
    </row>
    <row r="17" spans="3:22">
      <c r="D17" s="63" t="s">
        <v>419</v>
      </c>
      <c r="H17" s="7">
        <v>3</v>
      </c>
      <c r="I17" s="7">
        <v>0.9</v>
      </c>
      <c r="J17" s="7">
        <f t="shared" si="0"/>
        <v>0.9</v>
      </c>
      <c r="K17" s="7"/>
      <c r="P17"/>
      <c r="T17" s="7" t="s">
        <v>289</v>
      </c>
      <c r="U17" s="7" t="s">
        <v>424</v>
      </c>
    </row>
    <row r="18" spans="3:22">
      <c r="C18" s="7" t="s">
        <v>317</v>
      </c>
      <c r="D18" s="10" t="str">
        <f>IF(VLOOKUP(C6,行为概览!$D$3:$U$33,7,0)&gt;0,C$3&amp;"*"&amp;VLOOKUP(D7,$T$8:$U$43,2,0)&amp;"*"&amp;ROUND(VLOOKUP(C6,行为概览!$D$3:$U$33,7,0)*VLOOKUP(C6,行为概览!$D$3:$U$33,6,0)/D16*(20/24),3)&amp;"*("&amp;K15&amp;")","无")</f>
        <v>400*RoleLv*0.694*(0.78+0.04*Ring)</v>
      </c>
      <c r="H18" s="7">
        <v>4</v>
      </c>
      <c r="I18" s="7">
        <v>0.94</v>
      </c>
      <c r="J18" s="7">
        <f t="shared" si="0"/>
        <v>0.94000000000000006</v>
      </c>
      <c r="K18" s="7"/>
      <c r="P18"/>
      <c r="T18" s="7" t="s">
        <v>290</v>
      </c>
      <c r="U18" s="7" t="s">
        <v>275</v>
      </c>
    </row>
    <row r="19" spans="3:22">
      <c r="C19" s="7" t="s">
        <v>319</v>
      </c>
      <c r="D19" s="10" t="str">
        <f>IF(VLOOKUP(C6,行为概览!$D$3:$U$33,8,0)&gt;0,D$3&amp;"*"&amp;VLOOKUP(D7,$T$8:$U$43,2,0)&amp;"*"&amp;ROUND(VLOOKUP(C6,行为概览!$D$3:$U$33,8,0)*VLOOKUP(C6,行为概览!$D$3:$U$33,6,0)/D16,3)&amp;"*("&amp;K15&amp;")","无")</f>
        <v>5000*RoleLv*0.05*(0.78+0.04*Ring)</v>
      </c>
      <c r="H19" s="7">
        <v>5</v>
      </c>
      <c r="I19" s="7">
        <v>0.98</v>
      </c>
      <c r="J19" s="7">
        <f t="shared" si="0"/>
        <v>0.98</v>
      </c>
      <c r="K19" s="7"/>
      <c r="P19"/>
      <c r="T19" s="7" t="s">
        <v>291</v>
      </c>
      <c r="U19" s="7" t="s">
        <v>274</v>
      </c>
    </row>
    <row r="20" spans="3:22">
      <c r="C20" s="7" t="s">
        <v>320</v>
      </c>
      <c r="D20" s="10" t="str">
        <f>IF(VLOOKUP(C6,行为概览!$D$3:$U$33,9,0)&gt;0,E$3&amp;"*"&amp;VLOOKUP(D7,$T$8:$U$43,2,0)&amp;"*"&amp;ROUND(VLOOKUP(C6,行为概览!$D$3:$U$33,9,0)/D16,3)&amp;"*("&amp;K15&amp;")","无")</f>
        <v>1000*RoleLv*0.2*(0.78+0.04*Ring)</v>
      </c>
      <c r="H20" s="7">
        <v>6</v>
      </c>
      <c r="I20" s="7">
        <v>1.02</v>
      </c>
      <c r="J20" s="7">
        <f t="shared" si="0"/>
        <v>1.02</v>
      </c>
      <c r="K20" s="7"/>
      <c r="P20"/>
      <c r="T20" s="7" t="s">
        <v>292</v>
      </c>
      <c r="U20" s="7" t="s">
        <v>273</v>
      </c>
    </row>
    <row r="21" spans="3:22">
      <c r="C21" s="137" t="s">
        <v>417</v>
      </c>
      <c r="D21" s="10" t="str">
        <f>IF(VLOOKUP(C6,行为概览!$D$3:$U$33,10,0)&gt;0,F$3&amp;"*"&amp;VLOOKUP(D7,$T$8:$U$43,2,0)&amp;"*"&amp;ROUND(VLOOKUP(C6,行为概览!$D$3:$U$33,10,0)/D15,3),"无")</f>
        <v>1*RoleLv*4</v>
      </c>
      <c r="H21" s="7">
        <v>7</v>
      </c>
      <c r="I21" s="7">
        <v>1.06</v>
      </c>
      <c r="J21" s="7">
        <f t="shared" si="0"/>
        <v>1.06</v>
      </c>
      <c r="K21" s="7"/>
      <c r="T21" s="7" t="s">
        <v>293</v>
      </c>
      <c r="U21" s="7" t="s">
        <v>272</v>
      </c>
    </row>
    <row r="22" spans="3:22">
      <c r="H22" s="7">
        <v>8</v>
      </c>
      <c r="I22" s="7">
        <v>1.1000000000000001</v>
      </c>
      <c r="J22" s="7">
        <f t="shared" si="0"/>
        <v>1.1000000000000001</v>
      </c>
      <c r="K22" s="7"/>
      <c r="T22" s="7" t="s">
        <v>294</v>
      </c>
      <c r="U22" s="7" t="s">
        <v>271</v>
      </c>
    </row>
    <row r="23" spans="3:22">
      <c r="H23" s="7">
        <v>9</v>
      </c>
      <c r="I23" s="7">
        <v>1.1399999999999999</v>
      </c>
      <c r="J23" s="7">
        <f t="shared" si="0"/>
        <v>1.1400000000000001</v>
      </c>
      <c r="K23" s="7"/>
      <c r="T23" s="7" t="s">
        <v>295</v>
      </c>
      <c r="U23" s="7" t="s">
        <v>270</v>
      </c>
    </row>
    <row r="24" spans="3:22">
      <c r="H24" s="7">
        <v>10</v>
      </c>
      <c r="I24" s="7">
        <v>1.18</v>
      </c>
      <c r="J24" s="7">
        <f t="shared" si="0"/>
        <v>1.1800000000000002</v>
      </c>
      <c r="K24" s="7"/>
      <c r="T24" s="7" t="s">
        <v>296</v>
      </c>
      <c r="U24" s="7" t="s">
        <v>269</v>
      </c>
    </row>
    <row r="25" spans="3:22">
      <c r="T25" s="7" t="s">
        <v>297</v>
      </c>
      <c r="U25" s="7" t="s">
        <v>268</v>
      </c>
    </row>
    <row r="26" spans="3:22">
      <c r="C26" s="7"/>
      <c r="T26" s="7" t="s">
        <v>298</v>
      </c>
      <c r="U26" s="7" t="s">
        <v>267</v>
      </c>
    </row>
    <row r="27" spans="3:22">
      <c r="C27" s="7"/>
      <c r="T27" s="7" t="s">
        <v>299</v>
      </c>
      <c r="U27" s="7" t="s">
        <v>266</v>
      </c>
    </row>
    <row r="28" spans="3:22">
      <c r="C28" s="7"/>
      <c r="T28" s="7" t="s">
        <v>300</v>
      </c>
      <c r="U28" s="7" t="s">
        <v>265</v>
      </c>
    </row>
    <row r="29" spans="3:22">
      <c r="C29" s="13" t="s">
        <v>321</v>
      </c>
      <c r="D29" s="7"/>
      <c r="E29" s="7"/>
      <c r="F29" s="7"/>
      <c r="G29" s="7"/>
      <c r="H29" s="7"/>
      <c r="I29" s="7"/>
      <c r="J29" s="7"/>
      <c r="K29" s="7"/>
      <c r="T29" s="7" t="s">
        <v>301</v>
      </c>
      <c r="U29" s="7" t="s">
        <v>264</v>
      </c>
      <c r="V29" s="7" t="s">
        <v>348</v>
      </c>
    </row>
    <row r="30" spans="3:22">
      <c r="C30" s="63" t="s">
        <v>280</v>
      </c>
      <c r="D30" s="13" t="s">
        <v>283</v>
      </c>
      <c r="E30" s="7" t="s">
        <v>282</v>
      </c>
      <c r="F30" s="137" t="s">
        <v>425</v>
      </c>
      <c r="G30" s="137" t="s">
        <v>426</v>
      </c>
      <c r="H30" s="7"/>
      <c r="I30" s="7"/>
      <c r="J30" s="7"/>
      <c r="K30" s="7"/>
      <c r="T30" s="7" t="s">
        <v>302</v>
      </c>
      <c r="U30" s="7" t="s">
        <v>263</v>
      </c>
      <c r="V30" s="7" t="s">
        <v>348</v>
      </c>
    </row>
    <row r="31" spans="3:22">
      <c r="C31" s="7"/>
      <c r="D31" s="7"/>
      <c r="E31" s="7"/>
      <c r="F31" s="137" t="str">
        <f>D41&amp;"*(1-IsDbPoint)+"&amp;D65&amp;"*IsDbPoint"</f>
        <v>400*TeamLv*0.15*(0.78+0.04*Ring)*(1-IsDbPoint)+400*TeamLv*1.02*(0.78+0.04*Ring)*IsDbPoint</v>
      </c>
      <c r="G31" s="137" t="str">
        <f>D47&amp;"*(1-IsDbPoint)+"&amp;D71&amp;"*IsDbPoint"</f>
        <v>400*TeamLv*0.3*(1-IsDbPoint)+400*TeamLv*1.244*IsDbPoint</v>
      </c>
      <c r="H31" s="7"/>
      <c r="I31" s="7"/>
      <c r="J31" s="7"/>
      <c r="K31" s="7"/>
      <c r="T31" s="7" t="s">
        <v>303</v>
      </c>
      <c r="U31" s="7" t="s">
        <v>262</v>
      </c>
    </row>
    <row r="32" spans="3:22">
      <c r="C32" s="7" t="s">
        <v>235</v>
      </c>
      <c r="D32" s="7" t="str">
        <f>IF(VLOOKUP(C29,行为概览!$D$3:$U$33,7,0)&gt;0,C$3&amp;"*"&amp;VLOOKUP(D30,$T$8:$U$43,2,0)&amp;"*"&amp;ROUND(VLOOKUP(C29,行为概览!$D$3:$U$33,7,0)*VLOOKUP(C29,行为概览!$D$3:$U$33,6,0),2),"无")</f>
        <v>400*TeamLv*6.6</v>
      </c>
      <c r="E32" s="7"/>
      <c r="F32" s="137" t="str">
        <f t="shared" ref="F32:F33" si="1">D42&amp;"*(1-IsDbPoint)+"&amp;D66&amp;"*IsDbPoint"</f>
        <v>5000*TeamLv*0.025*(0.78+0.04*Ring)*(1-IsDbPoint)+5000*TeamLv*0.102*(0.78+0.04*Ring)*IsDbPoint</v>
      </c>
      <c r="G32" s="137" t="str">
        <f t="shared" ref="G32:G33" si="2">D48&amp;"*(1-IsDbPoint)+"&amp;D72&amp;"*IsDbPoint"</f>
        <v>5000*TeamLv*0.05*(1-IsDbPoint)+5000*TeamLv*0.124*IsDbPoint</v>
      </c>
      <c r="H32" s="7"/>
      <c r="I32" s="7"/>
      <c r="J32" s="7"/>
      <c r="K32" s="7"/>
      <c r="T32" s="7" t="s">
        <v>304</v>
      </c>
      <c r="U32" s="7" t="s">
        <v>261</v>
      </c>
    </row>
    <row r="33" spans="3:22">
      <c r="C33" s="7" t="s">
        <v>236</v>
      </c>
      <c r="D33" s="7" t="str">
        <f>IF(VLOOKUP(C29,行为概览!$D$3:$U$33,8,0)&gt;0,D$3&amp;"*"&amp;VLOOKUP(D30,$T$8:$U$43,2,0)&amp;"*"&amp;ROUND(VLOOKUP(C29,行为概览!$D$3:$U$33,8,0)*VLOOKUP(C29,行为概览!$D$3:$U$33,6,0),2),"无")</f>
        <v>5000*TeamLv*1.1</v>
      </c>
      <c r="E33" s="7"/>
      <c r="F33" s="137" t="str">
        <f t="shared" si="1"/>
        <v>1000*TeamLv*0.038*(0.78+0.04*Ring)*(1-IsDbPoint)+1000*TeamLv*0.098*(0.78+0.04*Ring)*IsDbPoint</v>
      </c>
      <c r="G33" s="137" t="str">
        <f t="shared" si="2"/>
        <v>1000*TeamLv*0.075*(1-IsDbPoint)+1000*TeamLv*0.12*IsDbPoint</v>
      </c>
      <c r="H33" s="7"/>
      <c r="I33" s="7"/>
      <c r="J33" s="7"/>
      <c r="K33" s="7"/>
      <c r="U33" s="7" t="s">
        <v>260</v>
      </c>
    </row>
    <row r="34" spans="3:22">
      <c r="C34" s="7" t="s">
        <v>237</v>
      </c>
      <c r="D34" s="7" t="str">
        <f>IF(VLOOKUP(C29,行为概览!$D$3:$U$33,9,0)&gt;0,E$3&amp;"*"&amp;VLOOKUP(D30,$T$8:$U$43,2,0)&amp;"*"&amp;ROUND(VLOOKUP(C29,行为概览!$D$3:$U$33,9,0),2),"无")</f>
        <v>1000*TeamLv*1.65</v>
      </c>
      <c r="E34" s="7"/>
      <c r="F34" s="137" t="str">
        <f>D68&amp;"*IsDbPoint"</f>
        <v>1*TeamLv*0.196*(0.78+0.04*Ring)*IsDbPoint</v>
      </c>
      <c r="G34" s="137" t="str">
        <f>D74&amp;"*IsDbPoint"</f>
        <v>1*TeamLv*0.239*IsDbPoint</v>
      </c>
      <c r="H34" s="7"/>
      <c r="I34" s="7"/>
      <c r="J34" s="7"/>
      <c r="K34" s="7"/>
      <c r="T34" s="7" t="s">
        <v>305</v>
      </c>
      <c r="U34" s="7" t="s">
        <v>259</v>
      </c>
    </row>
    <row r="35" spans="3:22">
      <c r="C35" s="7" t="s">
        <v>238</v>
      </c>
      <c r="D35" s="7" t="str">
        <f>IF(VLOOKUP(C29,行为概览!$D$3:$U$33,10,0)&gt;0,F$3&amp;"*"&amp;VLOOKUP(D30,$T$8:$U$43,2,0)&amp;"*"&amp;ROUND(VLOOKUP(C29,行为概览!$D$3:$U$33,10,0),2),"无")</f>
        <v>无</v>
      </c>
      <c r="E35" s="7"/>
      <c r="F35" s="7"/>
      <c r="G35" s="7"/>
      <c r="H35" s="7"/>
      <c r="I35" s="7"/>
      <c r="J35" s="7"/>
      <c r="K35" s="7"/>
      <c r="T35" s="7" t="s">
        <v>507</v>
      </c>
      <c r="U35" s="7" t="s">
        <v>258</v>
      </c>
    </row>
    <row r="36" spans="3:22">
      <c r="C36" s="7"/>
      <c r="D36" s="7"/>
      <c r="E36" s="7"/>
      <c r="F36" s="7" t="s">
        <v>445</v>
      </c>
      <c r="G36" s="7"/>
      <c r="H36" s="7"/>
      <c r="I36" s="7"/>
      <c r="J36" s="7"/>
      <c r="K36" s="7"/>
      <c r="T36" s="7" t="s">
        <v>306</v>
      </c>
      <c r="U36" s="7" t="s">
        <v>257</v>
      </c>
    </row>
    <row r="37" spans="3:22">
      <c r="C37" s="7"/>
      <c r="D37" s="7"/>
      <c r="E37" s="7"/>
      <c r="F37" s="7"/>
      <c r="G37" s="7"/>
      <c r="H37" s="7"/>
      <c r="I37" s="7"/>
      <c r="J37" s="7"/>
      <c r="K37" s="7"/>
      <c r="T37" s="7" t="s">
        <v>307</v>
      </c>
      <c r="U37" s="7" t="s">
        <v>256</v>
      </c>
    </row>
    <row r="38" spans="3:22">
      <c r="C38" s="7" t="s">
        <v>323</v>
      </c>
      <c r="D38" s="7">
        <v>5</v>
      </c>
      <c r="E38" s="7"/>
      <c r="F38" s="7"/>
      <c r="G38" s="7" t="s">
        <v>316</v>
      </c>
      <c r="H38" s="7">
        <v>1</v>
      </c>
      <c r="I38" s="7">
        <v>0.82</v>
      </c>
      <c r="J38" s="7">
        <f>0.78+0.04*H38</f>
        <v>0.82000000000000006</v>
      </c>
      <c r="K38" s="7" t="str">
        <f>0.78&amp;"+0.04*"&amp;VLOOKUP("环数",$T$8:$U$43,2,0)</f>
        <v>0.78+0.04*Ring</v>
      </c>
      <c r="T38" s="7" t="s">
        <v>308</v>
      </c>
      <c r="U38" s="7" t="s">
        <v>255</v>
      </c>
    </row>
    <row r="39" spans="3:22">
      <c r="C39" s="7" t="s">
        <v>389</v>
      </c>
      <c r="D39" s="7">
        <v>44</v>
      </c>
      <c r="E39" s="7"/>
      <c r="F39" s="7"/>
      <c r="G39" s="7"/>
      <c r="H39" s="7">
        <v>2</v>
      </c>
      <c r="I39" s="7">
        <v>0.86</v>
      </c>
      <c r="J39" s="7">
        <f t="shared" ref="J39:J47" si="3">0.78+0.04*H39</f>
        <v>0.86</v>
      </c>
      <c r="K39" s="7"/>
      <c r="T39" s="7" t="s">
        <v>309</v>
      </c>
      <c r="U39" s="7" t="s">
        <v>254</v>
      </c>
    </row>
    <row r="40" spans="3:22">
      <c r="C40" s="7"/>
      <c r="D40" s="7"/>
      <c r="E40" s="7"/>
      <c r="F40" s="7"/>
      <c r="G40" s="7"/>
      <c r="H40" s="7">
        <v>3</v>
      </c>
      <c r="I40" s="7">
        <v>0.9</v>
      </c>
      <c r="J40" s="7">
        <f t="shared" si="3"/>
        <v>0.9</v>
      </c>
      <c r="K40" s="7"/>
      <c r="T40" s="7" t="s">
        <v>310</v>
      </c>
      <c r="U40" s="7" t="s">
        <v>253</v>
      </c>
    </row>
    <row r="41" spans="3:22">
      <c r="C41" s="7" t="s">
        <v>317</v>
      </c>
      <c r="D41" s="10" t="str">
        <f>IF(VLOOKUP(C29,行为概览!$D$3:$U$33,7,0)&gt;0,C$3&amp;"*"&amp;VLOOKUP(D30,$T$8:$U$43,2,0)&amp;"*"&amp;ROUND(VLOOKUP(C29,行为概览!$D$3:$U$33,7,0)*VLOOKUP(C29,行为概览!$D$3:$U$33,6,0)/D39,3)&amp;"*("&amp;K38&amp;")","无")</f>
        <v>400*TeamLv*0.15*(0.78+0.04*Ring)</v>
      </c>
      <c r="E41" s="7"/>
      <c r="F41" s="7"/>
      <c r="G41" s="7"/>
      <c r="H41" s="7">
        <v>4</v>
      </c>
      <c r="I41" s="7">
        <v>0.94</v>
      </c>
      <c r="J41" s="7">
        <f t="shared" si="3"/>
        <v>0.94000000000000006</v>
      </c>
      <c r="K41" s="7"/>
      <c r="T41" s="7" t="s">
        <v>313</v>
      </c>
      <c r="U41" s="7" t="s">
        <v>252</v>
      </c>
      <c r="V41" s="130" t="s">
        <v>312</v>
      </c>
    </row>
    <row r="42" spans="3:22">
      <c r="C42" s="7" t="s">
        <v>319</v>
      </c>
      <c r="D42" s="10" t="str">
        <f>IF(VLOOKUP(C29,行为概览!$D$3:$U$33,8,0)&gt;0,D$3&amp;"*"&amp;VLOOKUP(D30,$T$8:$U$43,2,0)&amp;"*"&amp;ROUND(VLOOKUP(C29,行为概览!$D$3:$U$33,8,0)*VLOOKUP(C29,行为概览!$D$3:$U$33,6,0)/D39,3)&amp;"*("&amp;K38&amp;")","无")</f>
        <v>5000*TeamLv*0.025*(0.78+0.04*Ring)</v>
      </c>
      <c r="E42" s="7"/>
      <c r="F42" s="7"/>
      <c r="G42" s="7"/>
      <c r="H42" s="7">
        <v>5</v>
      </c>
      <c r="I42" s="7">
        <v>0.98</v>
      </c>
      <c r="J42" s="7">
        <f t="shared" si="3"/>
        <v>0.98</v>
      </c>
      <c r="K42" s="7"/>
      <c r="T42" s="7" t="s">
        <v>311</v>
      </c>
      <c r="U42" s="7" t="s">
        <v>251</v>
      </c>
    </row>
    <row r="43" spans="3:22">
      <c r="C43" s="7" t="s">
        <v>320</v>
      </c>
      <c r="D43" s="10" t="str">
        <f>IF(VLOOKUP(C29,行为概览!$D$3:$U$33,9,0)&gt;0,E$3&amp;"*"&amp;VLOOKUP(D30,$T$8:$U$43,2,0)&amp;"*"&amp;ROUND(VLOOKUP(C29,行为概览!$D$3:$U$33,9,0)/D39,3)&amp;"*("&amp;K38&amp;")","无")</f>
        <v>1000*TeamLv*0.038*(0.78+0.04*Ring)</v>
      </c>
      <c r="E43" s="7"/>
      <c r="F43" s="7"/>
      <c r="G43" s="7"/>
      <c r="H43" s="7">
        <v>6</v>
      </c>
      <c r="I43" s="7">
        <v>1.02</v>
      </c>
      <c r="J43" s="7">
        <f t="shared" si="3"/>
        <v>1.02</v>
      </c>
      <c r="K43" s="7"/>
      <c r="T43" s="7" t="s">
        <v>314</v>
      </c>
      <c r="U43" s="7" t="s">
        <v>250</v>
      </c>
    </row>
    <row r="44" spans="3:22">
      <c r="C44" s="7" t="s">
        <v>328</v>
      </c>
      <c r="D44" s="10" t="str">
        <f>IF(VLOOKUP(C29,行为概览!$D$3:$U$33,10,0)&gt;0,F$3&amp;"*"&amp;VLOOKUP(D30,$T$8:$U$43,2,0)&amp;"*"&amp;ROUND(VLOOKUP(C29,行为概览!$D$3:$U$33,10,0)/D39,3)&amp;"*("&amp;K38&amp;")","无")</f>
        <v>无</v>
      </c>
      <c r="E44" s="7"/>
      <c r="F44" s="7"/>
      <c r="G44" s="7"/>
      <c r="H44" s="7">
        <v>7</v>
      </c>
      <c r="I44" s="7">
        <v>1.06</v>
      </c>
      <c r="J44" s="7">
        <f t="shared" si="3"/>
        <v>1.06</v>
      </c>
      <c r="K44" s="7"/>
      <c r="T44" s="10" t="s">
        <v>404</v>
      </c>
      <c r="U44" s="10" t="s">
        <v>406</v>
      </c>
    </row>
    <row r="45" spans="3:22">
      <c r="C45" s="7"/>
      <c r="D45" s="7"/>
      <c r="E45" s="7"/>
      <c r="F45" s="7"/>
      <c r="G45" s="7"/>
      <c r="H45" s="7">
        <v>8</v>
      </c>
      <c r="I45" s="7">
        <v>1.1000000000000001</v>
      </c>
      <c r="J45" s="7">
        <f t="shared" si="3"/>
        <v>1.1000000000000001</v>
      </c>
      <c r="K45" s="7"/>
      <c r="T45" s="10" t="s">
        <v>405</v>
      </c>
      <c r="U45" s="10" t="s">
        <v>427</v>
      </c>
    </row>
    <row r="46" spans="3:22">
      <c r="C46" s="132" t="s">
        <v>325</v>
      </c>
      <c r="D46" s="7">
        <v>0.5</v>
      </c>
      <c r="E46" s="7"/>
      <c r="F46" s="7"/>
      <c r="G46" s="7"/>
      <c r="H46" s="7">
        <v>9</v>
      </c>
      <c r="I46" s="7">
        <v>1.1399999999999999</v>
      </c>
      <c r="J46" s="7">
        <f t="shared" si="3"/>
        <v>1.1400000000000001</v>
      </c>
      <c r="K46" s="7"/>
      <c r="T46" s="10" t="s">
        <v>403</v>
      </c>
      <c r="U46" s="10" t="s">
        <v>431</v>
      </c>
    </row>
    <row r="47" spans="3:22">
      <c r="C47" s="7" t="s">
        <v>317</v>
      </c>
      <c r="D47" s="10" t="str">
        <f>IF(VLOOKUP(C29,行为概览!$D$3:$U$33,7,0)&gt;0,C$3&amp;"*"&amp;VLOOKUP(D30,$T$8:$U$43,2,0)&amp;"*"&amp;ROUND(VLOOKUP(C29,行为概览!$D$3:$U$33,7,0)*VLOOKUP(C29,行为概览!$D$3:$U$33,6,0)/D39*I48,3),"无")</f>
        <v>400*TeamLv*0.3</v>
      </c>
      <c r="E47" s="7"/>
      <c r="F47" s="7"/>
      <c r="G47" s="7"/>
      <c r="H47" s="7">
        <v>10</v>
      </c>
      <c r="I47" s="7">
        <v>1.18</v>
      </c>
      <c r="J47" s="7">
        <f t="shared" si="3"/>
        <v>1.1800000000000002</v>
      </c>
      <c r="K47" s="7"/>
      <c r="T47" s="10" t="s">
        <v>428</v>
      </c>
      <c r="U47" s="10" t="s">
        <v>429</v>
      </c>
    </row>
    <row r="48" spans="3:22">
      <c r="C48" s="7" t="s">
        <v>319</v>
      </c>
      <c r="D48" s="10" t="str">
        <f>IF(VLOOKUP(C29,行为概览!$D$3:$U$33,8,0)&gt;0,D$3&amp;"*"&amp;VLOOKUP(D30,$T$8:$U$43,2,0)&amp;"*"&amp;ROUND(VLOOKUP(C29,行为概览!$D$3:$U$33,8,0)*VLOOKUP(C29,行为概览!$D$3:$U$33,6,0)/D39*I48,3),"无")</f>
        <v>5000*TeamLv*0.05</v>
      </c>
      <c r="H48" s="133">
        <v>11</v>
      </c>
      <c r="I48" s="7">
        <v>2</v>
      </c>
      <c r="J48" s="7">
        <v>2</v>
      </c>
      <c r="T48" s="10" t="s">
        <v>411</v>
      </c>
      <c r="U48" s="10" t="s">
        <v>412</v>
      </c>
    </row>
    <row r="49" spans="2:21">
      <c r="C49" s="7" t="s">
        <v>320</v>
      </c>
      <c r="D49" s="10" t="str">
        <f>IF(VLOOKUP(C29,行为概览!$D$3:$U$33,9,0)&gt;0,E$3&amp;"*"&amp;VLOOKUP(D30,$T$8:$U$43,2,0)&amp;"*"&amp;ROUND(VLOOKUP(C29,行为概览!$D$3:$U$33,9,0)/D39*I48,3),"无")</f>
        <v>1000*TeamLv*0.075</v>
      </c>
      <c r="F49" s="7"/>
      <c r="T49" s="10" t="s">
        <v>421</v>
      </c>
      <c r="U49" s="10" t="s">
        <v>253</v>
      </c>
    </row>
    <row r="50" spans="2:21">
      <c r="C50" s="7" t="s">
        <v>328</v>
      </c>
      <c r="D50" s="10" t="str">
        <f>IF(VLOOKUP(C29,行为概览!$D$3:$U$33,10,0)&gt;0,F$3&amp;"*"&amp;VLOOKUP(D30,$T$8:$U$43,2,0)&amp;"*"&amp;ROUND(VLOOKUP(C29,行为概览!$D$3:$U$33,10,0)/D39/D46,3),"无")</f>
        <v>无</v>
      </c>
    </row>
    <row r="51" spans="2:21">
      <c r="F51" s="7"/>
    </row>
    <row r="52" spans="2:21">
      <c r="B52" s="7"/>
      <c r="C52" s="12"/>
      <c r="D52" s="7"/>
    </row>
    <row r="53" spans="2:21">
      <c r="B53" s="7" t="s">
        <v>327</v>
      </c>
      <c r="C53" s="13" t="s">
        <v>324</v>
      </c>
      <c r="D53" s="7" t="s">
        <v>326</v>
      </c>
      <c r="E53" s="7"/>
      <c r="F53" s="7"/>
      <c r="G53" s="7"/>
      <c r="H53" s="7"/>
      <c r="I53" s="7"/>
      <c r="J53" s="7"/>
      <c r="K53" s="7"/>
      <c r="L53" s="7"/>
      <c r="T53" s="7"/>
    </row>
    <row r="54" spans="2:21">
      <c r="C54" s="63" t="s">
        <v>280</v>
      </c>
      <c r="D54" s="13" t="s">
        <v>283</v>
      </c>
      <c r="E54" s="7" t="s">
        <v>282</v>
      </c>
      <c r="F54" s="7"/>
      <c r="G54" s="7"/>
      <c r="H54" s="7"/>
      <c r="I54" s="7"/>
      <c r="J54" s="7"/>
      <c r="K54" s="7"/>
      <c r="L54" s="7"/>
      <c r="T54" s="7"/>
    </row>
    <row r="55" spans="2:21">
      <c r="C55" s="7"/>
      <c r="D55" s="7"/>
      <c r="E55" s="7"/>
      <c r="G55" s="7"/>
      <c r="H55" s="7"/>
      <c r="I55" s="7"/>
      <c r="J55" s="7"/>
      <c r="K55" s="7"/>
      <c r="L55" s="7"/>
      <c r="T55" s="7"/>
    </row>
    <row r="56" spans="2:21">
      <c r="C56" s="7" t="s">
        <v>235</v>
      </c>
      <c r="D56" s="7" t="str">
        <f>IF(VLOOKUP(C53,行为概览!$D$3:$U$33,7,0)&gt;0,C$3&amp;"*"&amp;VLOOKUP(D54,$T$8:$U$43,2,0)&amp;"*"&amp;ROUND(VLOOKUP(C53,行为概览!$D$3:$U$33,7,0)*VLOOKUP(C53,行为概览!$D$3:$U$33,6,0),2),"无")</f>
        <v>400*TeamLv*52</v>
      </c>
      <c r="E56" s="7"/>
      <c r="F56" s="7"/>
      <c r="G56" s="7"/>
      <c r="H56" s="7"/>
      <c r="I56" s="7"/>
      <c r="J56" s="7"/>
      <c r="K56" s="7"/>
      <c r="L56" s="7"/>
    </row>
    <row r="57" spans="2:21">
      <c r="C57" s="7" t="s">
        <v>236</v>
      </c>
      <c r="D57" s="7" t="str">
        <f>IF(VLOOKUP(C53,行为概览!$D$3:$U$33,8,0)&gt;0,D$3&amp;"*"&amp;VLOOKUP(D54,$T$8:$U$43,2,0)&amp;"*"&amp;ROUND(VLOOKUP(C53,行为概览!$D$3:$U$33,8,0)*VLOOKUP(C53,行为概览!$D$3:$U$33,6,0),2),"无")</f>
        <v>5000*TeamLv*5.2</v>
      </c>
      <c r="E57" s="7"/>
      <c r="F57" s="7"/>
      <c r="G57" s="7"/>
      <c r="H57" s="7"/>
      <c r="I57" s="7"/>
      <c r="J57" s="7"/>
      <c r="K57" s="7"/>
      <c r="L57" s="7"/>
    </row>
    <row r="58" spans="2:21">
      <c r="C58" s="7" t="s">
        <v>237</v>
      </c>
      <c r="D58" s="7" t="str">
        <f>IF(VLOOKUP(C53,行为概览!$D$3:$U$33,9,0)&gt;0,E$3&amp;"*"&amp;VLOOKUP(D54,$T$8:$U$43,2,0)&amp;"*"&amp;ROUND(VLOOKUP(C53,行为概览!$D$3:$U$33,9,0),2),"无")</f>
        <v>1000*TeamLv*5</v>
      </c>
      <c r="E58" s="7"/>
      <c r="F58" s="7"/>
      <c r="G58" s="7"/>
      <c r="H58" s="7"/>
      <c r="I58" s="7"/>
      <c r="J58" s="7"/>
      <c r="K58" s="7"/>
      <c r="L58" s="7"/>
    </row>
    <row r="59" spans="2:21">
      <c r="C59" s="7" t="s">
        <v>238</v>
      </c>
      <c r="D59" s="7" t="str">
        <f>IF(VLOOKUP(C53,行为概览!$D$3:$U$33,10,0)&gt;0,F$3&amp;"*"&amp;VLOOKUP(D54,$T$8:$U$43,2,0)&amp;"*"&amp;ROUND(VLOOKUP(C53,行为概览!$D$3:$U$33,10,0),2),"无")</f>
        <v>1*TeamLv*10</v>
      </c>
      <c r="E59" s="7"/>
      <c r="F59" s="7"/>
      <c r="G59" s="7"/>
      <c r="H59" s="7"/>
      <c r="I59" s="7"/>
      <c r="J59" s="7"/>
      <c r="K59" s="7"/>
      <c r="L59" s="7"/>
    </row>
    <row r="60" spans="2:21"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21"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21">
      <c r="C62" s="7" t="s">
        <v>323</v>
      </c>
      <c r="D62" s="7">
        <v>5</v>
      </c>
      <c r="E62" s="7"/>
      <c r="F62" s="7"/>
      <c r="G62" s="7" t="s">
        <v>316</v>
      </c>
      <c r="H62" s="7">
        <v>1</v>
      </c>
      <c r="I62" s="7">
        <v>0.82</v>
      </c>
      <c r="J62" s="7">
        <f>0.78+0.04*H62</f>
        <v>0.82000000000000006</v>
      </c>
      <c r="K62" s="7" t="str">
        <f>0.78&amp;"+0.04*"&amp;VLOOKUP("环数",$T$8:$U$43,2,0)</f>
        <v>0.78+0.04*Ring</v>
      </c>
      <c r="L62" s="7"/>
    </row>
    <row r="63" spans="2:21">
      <c r="C63" s="7" t="s">
        <v>389</v>
      </c>
      <c r="D63" s="7">
        <f>ROUND(40+400/7/5,0)</f>
        <v>51</v>
      </c>
      <c r="E63" s="7"/>
      <c r="F63" s="7"/>
      <c r="G63" s="7"/>
      <c r="H63" s="7">
        <v>2</v>
      </c>
      <c r="I63" s="7">
        <v>0.86</v>
      </c>
      <c r="J63" s="7">
        <f t="shared" ref="J63:J72" si="4">0.78+0.04*H63</f>
        <v>0.86</v>
      </c>
      <c r="K63" s="7"/>
      <c r="L63" s="7"/>
    </row>
    <row r="64" spans="2:21">
      <c r="C64" s="7"/>
      <c r="D64" s="7"/>
      <c r="E64" s="7"/>
      <c r="F64" s="7"/>
      <c r="G64" s="7"/>
      <c r="H64" s="7">
        <v>3</v>
      </c>
      <c r="I64" s="7">
        <v>0.9</v>
      </c>
      <c r="J64" s="7">
        <f t="shared" si="4"/>
        <v>0.9</v>
      </c>
      <c r="K64" s="7"/>
      <c r="L64" s="7"/>
    </row>
    <row r="65" spans="3:12">
      <c r="C65" s="7" t="s">
        <v>317</v>
      </c>
      <c r="D65" s="10" t="str">
        <f>IF(VLOOKUP(C53,行为概览!$D$3:$U$33,7,0)&gt;0,C$3&amp;"*"&amp;VLOOKUP(D54,$T$8:$U$43,2,0)&amp;"*"&amp;ROUND(VLOOKUP(C53,行为概览!$D$3:$U$33,7,0)*VLOOKUP(C53,行为概览!$D$3:$U$33,6,0)/D63,3)&amp;"*("&amp;K62&amp;")","无")</f>
        <v>400*TeamLv*1.02*(0.78+0.04*Ring)</v>
      </c>
      <c r="E65" s="7"/>
      <c r="F65" s="7"/>
      <c r="G65" s="7"/>
      <c r="H65" s="7">
        <v>4</v>
      </c>
      <c r="I65" s="7">
        <v>0.94</v>
      </c>
      <c r="J65" s="7">
        <f t="shared" si="4"/>
        <v>0.94000000000000006</v>
      </c>
      <c r="K65" s="7"/>
      <c r="L65" s="7"/>
    </row>
    <row r="66" spans="3:12">
      <c r="C66" s="7" t="s">
        <v>319</v>
      </c>
      <c r="D66" s="10" t="str">
        <f>IF(VLOOKUP(C53,行为概览!$D$3:$U$33,8,0)&gt;0,D$3&amp;"*"&amp;VLOOKUP(D54,$T$8:$U$43,2,0)&amp;"*"&amp;ROUND(VLOOKUP(C53,行为概览!$D$3:$U$33,8,0)*VLOOKUP(C53,行为概览!$D$3:$U$33,6,0)/D63,3)&amp;"*("&amp;K62&amp;")","无")</f>
        <v>5000*TeamLv*0.102*(0.78+0.04*Ring)</v>
      </c>
      <c r="E66" s="7"/>
      <c r="F66" s="7"/>
      <c r="G66" s="7"/>
      <c r="H66" s="7">
        <v>5</v>
      </c>
      <c r="I66" s="7">
        <v>0.98</v>
      </c>
      <c r="J66" s="7">
        <f t="shared" si="4"/>
        <v>0.98</v>
      </c>
      <c r="K66" s="7"/>
      <c r="L66" s="7"/>
    </row>
    <row r="67" spans="3:12">
      <c r="C67" s="7" t="s">
        <v>320</v>
      </c>
      <c r="D67" s="10" t="str">
        <f>IF(VLOOKUP(C53,行为概览!$D$3:$U$33,9,0)&gt;0,E$3&amp;"*"&amp;VLOOKUP(D54,$T$8:$U$43,2,0)&amp;"*"&amp;ROUND(VLOOKUP(C53,行为概览!$D$3:$U$33,9,0)/D63,3)&amp;"*("&amp;K62&amp;")","无")</f>
        <v>1000*TeamLv*0.098*(0.78+0.04*Ring)</v>
      </c>
      <c r="E67" s="7"/>
      <c r="F67" s="7"/>
      <c r="G67" s="7"/>
      <c r="H67" s="7">
        <v>6</v>
      </c>
      <c r="I67" s="7">
        <v>1.02</v>
      </c>
      <c r="J67" s="7">
        <f t="shared" si="4"/>
        <v>1.02</v>
      </c>
      <c r="K67" s="7"/>
      <c r="L67" s="7"/>
    </row>
    <row r="68" spans="3:12">
      <c r="C68" s="7" t="s">
        <v>322</v>
      </c>
      <c r="D68" s="10" t="str">
        <f>IF(VLOOKUP(C53,行为概览!$D$3:$U$33,10,0)&gt;0,F$3&amp;"*"&amp;VLOOKUP(D54,$T$8:$U$43,2,0)&amp;"*"&amp;ROUND(VLOOKUP(C53,行为概览!$D$3:$U$33,10,0)/D63,3)&amp;"*("&amp;K62&amp;")","无")</f>
        <v>1*TeamLv*0.196*(0.78+0.04*Ring)</v>
      </c>
      <c r="E68" s="7"/>
      <c r="F68" s="7"/>
      <c r="G68" s="7"/>
      <c r="H68" s="7">
        <v>7</v>
      </c>
      <c r="I68" s="7">
        <v>1.06</v>
      </c>
      <c r="J68" s="7">
        <f t="shared" si="4"/>
        <v>1.06</v>
      </c>
      <c r="K68" s="7"/>
      <c r="L68" s="7"/>
    </row>
    <row r="69" spans="3:12">
      <c r="C69" s="7"/>
      <c r="D69" s="7"/>
      <c r="E69" s="7"/>
      <c r="F69" s="7"/>
      <c r="G69" s="7"/>
      <c r="H69" s="7">
        <v>8</v>
      </c>
      <c r="I69" s="7">
        <v>1.1000000000000001</v>
      </c>
      <c r="J69" s="7">
        <f t="shared" si="4"/>
        <v>1.1000000000000001</v>
      </c>
      <c r="K69" s="7"/>
      <c r="L69" s="7"/>
    </row>
    <row r="70" spans="3:12">
      <c r="C70" s="132" t="s">
        <v>325</v>
      </c>
      <c r="D70" s="7">
        <v>0.5</v>
      </c>
      <c r="E70" s="7"/>
      <c r="F70" s="7"/>
      <c r="G70" s="7"/>
      <c r="H70" s="7">
        <v>9</v>
      </c>
      <c r="I70" s="7">
        <v>1.1399999999999999</v>
      </c>
      <c r="J70" s="7">
        <f t="shared" si="4"/>
        <v>1.1400000000000001</v>
      </c>
      <c r="K70" s="7"/>
      <c r="L70" s="7"/>
    </row>
    <row r="71" spans="3:12">
      <c r="C71" s="7" t="s">
        <v>317</v>
      </c>
      <c r="D71" s="10" t="str">
        <f>IF(VLOOKUP(C53,行为概览!$D$3:$U$33,7,0)&gt;0,C$3&amp;"*"&amp;VLOOKUP(D54,$T$8:$U$43,2,0)&amp;"*"&amp;ROUND(VLOOKUP(C53,行为概览!$D$3:$U$33,7,0)*VLOOKUP(C53,行为概览!$D$3:$U$33,6,0)/D63*I72,3),"无")</f>
        <v>400*TeamLv*1.244</v>
      </c>
      <c r="E71" s="7"/>
      <c r="F71" s="7"/>
      <c r="G71" s="7"/>
      <c r="H71" s="7">
        <v>10</v>
      </c>
      <c r="I71" s="7">
        <v>1.18</v>
      </c>
      <c r="J71" s="7">
        <f t="shared" si="4"/>
        <v>1.1800000000000002</v>
      </c>
      <c r="K71" s="7"/>
      <c r="L71" s="7"/>
    </row>
    <row r="72" spans="3:12">
      <c r="C72" s="7" t="s">
        <v>319</v>
      </c>
      <c r="D72" s="10" t="str">
        <f>IF(VLOOKUP(C53,行为概览!$D$3:$U$33,8,0)&gt;0,D$3&amp;"*"&amp;VLOOKUP(D54,$T$8:$U$43,2,0)&amp;"*"&amp;ROUND(VLOOKUP(C53,行为概览!$D$3:$U$33,8,0)*VLOOKUP(C53,行为概览!$D$3:$U$33,6,0)/D63*I72,3),"无")</f>
        <v>5000*TeamLv*0.124</v>
      </c>
      <c r="E72" s="7"/>
      <c r="F72" s="7"/>
      <c r="G72" s="7"/>
      <c r="H72" s="63">
        <v>11</v>
      </c>
      <c r="I72" s="7">
        <v>1.22</v>
      </c>
      <c r="J72" s="7">
        <f t="shared" si="4"/>
        <v>1.22</v>
      </c>
      <c r="K72" s="7"/>
      <c r="L72" s="7"/>
    </row>
    <row r="73" spans="3:12">
      <c r="C73" s="7" t="s">
        <v>320</v>
      </c>
      <c r="D73" s="10" t="str">
        <f>IF(VLOOKUP(C53,行为概览!$D$3:$U$33,9,0)&gt;0,E$3&amp;"*"&amp;VLOOKUP(D54,$T$8:$U$43,2,0)&amp;"*"&amp;ROUND(VLOOKUP(C53,行为概览!$D$3:$U$33,9,0)/D63*I72,3),"无")</f>
        <v>1000*TeamLv*0.12</v>
      </c>
      <c r="E73" s="7"/>
      <c r="F73" s="7"/>
      <c r="G73" s="7"/>
      <c r="H73" s="7"/>
      <c r="I73" s="7"/>
      <c r="J73" s="7"/>
      <c r="K73" s="7"/>
      <c r="L73" s="7"/>
    </row>
    <row r="74" spans="3:12">
      <c r="C74" s="7" t="s">
        <v>322</v>
      </c>
      <c r="D74" s="10" t="str">
        <f>IF(VLOOKUP(C53,行为概览!$D$3:$U$33,10,0)&gt;0,F$3&amp;"*"&amp;VLOOKUP(D54,$T$8:$U$43,2,0)&amp;"*"&amp;ROUND(VLOOKUP(C53,行为概览!$D$3:$U$33,10,0)/D63*I72,3),"无")</f>
        <v>1*TeamLv*0.239</v>
      </c>
      <c r="E74" s="7"/>
      <c r="F74" s="7"/>
      <c r="G74" s="7"/>
      <c r="H74" s="7"/>
      <c r="I74" s="7"/>
      <c r="J74" s="7"/>
      <c r="K74" s="7"/>
      <c r="L74" s="7"/>
    </row>
    <row r="77" spans="3:12">
      <c r="C77" s="131" t="s">
        <v>145</v>
      </c>
      <c r="D77" s="7"/>
      <c r="E77" s="7"/>
      <c r="F77" s="7"/>
      <c r="G77" s="7"/>
      <c r="H77" s="7"/>
      <c r="I77" s="7"/>
      <c r="J77" s="7"/>
      <c r="K77" s="7"/>
    </row>
    <row r="78" spans="3:12">
      <c r="C78" s="63" t="s">
        <v>280</v>
      </c>
      <c r="D78" s="13" t="s">
        <v>281</v>
      </c>
      <c r="E78" s="7" t="s">
        <v>282</v>
      </c>
      <c r="F78" s="7"/>
      <c r="G78" s="7"/>
      <c r="H78" s="7"/>
      <c r="I78" s="7"/>
      <c r="J78" s="7"/>
      <c r="K78" s="7"/>
    </row>
    <row r="79" spans="3:12">
      <c r="C79" s="7"/>
      <c r="D79" s="7"/>
      <c r="E79" s="7"/>
      <c r="F79" s="7"/>
      <c r="G79" s="7"/>
      <c r="H79" s="7"/>
      <c r="I79" s="7"/>
      <c r="J79" s="7"/>
      <c r="K79" s="7"/>
    </row>
    <row r="80" spans="3:12">
      <c r="C80" s="7" t="s">
        <v>235</v>
      </c>
      <c r="D80" s="7" t="str">
        <f>IF(VLOOKUP(C77,行为概览!$D$3:$U$33,7,0)&gt;0,C$3&amp;"*"&amp;VLOOKUP(D78,$T$8:$U$43,2,0)&amp;"*"&amp;ROUND(VLOOKUP(C77,行为概览!$D$3:$U$33,7,0)*VLOOKUP(C77,行为概览!$D$3:$U$33,6,0),2),"无")</f>
        <v>400*RoleLv*2.5</v>
      </c>
      <c r="E80" s="7"/>
      <c r="F80" s="7"/>
      <c r="G80" s="7"/>
      <c r="H80" s="7"/>
      <c r="I80" s="7"/>
      <c r="J80" s="7"/>
      <c r="K80" s="7"/>
    </row>
    <row r="81" spans="3:11">
      <c r="C81" s="7" t="s">
        <v>236</v>
      </c>
      <c r="D81" s="7" t="str">
        <f>IF(VLOOKUP(C77,行为概览!$D$3:$U$33,8,0)&gt;0,D$3&amp;"*"&amp;VLOOKUP(D78,$T$8:$U$43,2,0)&amp;"*"&amp;ROUND(VLOOKUP(C77,行为概览!$D$3:$U$33,8,0)*VLOOKUP(C77,行为概览!$D$3:$U$33,6,0),2),"无")</f>
        <v>无</v>
      </c>
      <c r="E81" s="7"/>
      <c r="F81" s="7"/>
      <c r="G81" s="7"/>
      <c r="H81" s="7"/>
      <c r="I81" s="7"/>
      <c r="J81" s="7"/>
      <c r="K81" s="7"/>
    </row>
    <row r="82" spans="3:11">
      <c r="C82" s="7" t="s">
        <v>237</v>
      </c>
      <c r="D82" s="7" t="str">
        <f>IF(VLOOKUP(C77,行为概览!$D$3:$U$33,9,0)&gt;0,E$3&amp;"*"&amp;VLOOKUP(D78,$T$8:$U$43,2,0)&amp;"*"&amp;ROUND(VLOOKUP(C77,行为概览!$D$3:$U$33,9,0),2),"无")</f>
        <v>1000*RoleLv*0.5</v>
      </c>
      <c r="E82" s="7"/>
      <c r="F82" s="7"/>
      <c r="G82" s="7"/>
      <c r="H82" s="7"/>
      <c r="I82" s="7"/>
      <c r="J82" s="7"/>
      <c r="K82" s="7"/>
    </row>
    <row r="83" spans="3:11">
      <c r="C83" s="7" t="s">
        <v>238</v>
      </c>
      <c r="D83" s="7" t="str">
        <f>IF(VLOOKUP(C77,行为概览!$D$3:$U$33,10,0)&gt;0,F$3&amp;"*"&amp;VLOOKUP(D78,$T$8:$U$43,2,0)&amp;"*"&amp;ROUND(VLOOKUP(C77,行为概览!$D$3:$U$33,10,0),2),"无")</f>
        <v>无</v>
      </c>
      <c r="E83" s="7"/>
      <c r="F83" s="7"/>
      <c r="G83" s="7"/>
      <c r="H83" s="7"/>
      <c r="I83" s="7"/>
      <c r="J83" s="7"/>
      <c r="K83" s="7"/>
    </row>
    <row r="84" spans="3:11">
      <c r="C84" s="7"/>
      <c r="D84" s="7"/>
      <c r="E84" s="7"/>
      <c r="F84" s="7"/>
      <c r="G84" s="7"/>
      <c r="H84" s="7"/>
      <c r="I84" s="7"/>
      <c r="J84" s="7"/>
      <c r="K84" s="7"/>
    </row>
    <row r="85" spans="3:11">
      <c r="C85" s="7"/>
      <c r="D85" s="7"/>
      <c r="E85" s="7"/>
      <c r="F85" s="7"/>
      <c r="G85" s="7"/>
      <c r="H85" s="7"/>
      <c r="I85" s="7"/>
      <c r="J85" s="7"/>
      <c r="K85" s="7"/>
    </row>
    <row r="86" spans="3:11">
      <c r="C86" s="7" t="s">
        <v>323</v>
      </c>
      <c r="D86" s="7">
        <v>1</v>
      </c>
      <c r="E86" s="7"/>
      <c r="F86" s="7"/>
      <c r="G86" s="7"/>
      <c r="H86" s="7"/>
      <c r="I86" s="7"/>
      <c r="J86" s="7"/>
      <c r="K86" s="7"/>
    </row>
    <row r="87" spans="3:11">
      <c r="C87" s="7" t="s">
        <v>389</v>
      </c>
      <c r="D87" s="7">
        <v>1</v>
      </c>
      <c r="E87" s="7"/>
      <c r="F87" s="7"/>
      <c r="G87" s="7"/>
      <c r="H87" s="7"/>
      <c r="I87" s="7"/>
      <c r="J87" s="7"/>
      <c r="K87" s="7"/>
    </row>
    <row r="88" spans="3:11">
      <c r="C88" s="7"/>
      <c r="D88" s="7"/>
      <c r="E88" s="7"/>
      <c r="F88" s="7"/>
      <c r="G88" s="7"/>
      <c r="H88" s="7"/>
      <c r="I88" s="7"/>
      <c r="J88" s="7"/>
      <c r="K88" s="7"/>
    </row>
    <row r="89" spans="3:11">
      <c r="C89" s="7" t="s">
        <v>317</v>
      </c>
      <c r="D89" s="10" t="str">
        <f>IF(VLOOKUP(C77,行为概览!$D$3:$U$33,7,0)&gt;0,C$3&amp;"*"&amp;VLOOKUP(D78,$T$8:$U$43,2,0)&amp;"*"&amp;ROUND(VLOOKUP(C77,行为概览!$D$3:$U$33,7,0)*VLOOKUP(C77,行为概览!$D$3:$U$33,6,0)/D87,3),"无")</f>
        <v>400*RoleLv*2.5</v>
      </c>
      <c r="E89" s="7"/>
      <c r="F89" s="7"/>
      <c r="G89" s="7"/>
      <c r="H89" s="7"/>
      <c r="I89" s="7"/>
      <c r="J89" s="7"/>
      <c r="K89" s="7"/>
    </row>
    <row r="90" spans="3:11">
      <c r="C90" s="7" t="s">
        <v>319</v>
      </c>
      <c r="D90" s="10" t="str">
        <f>IF(VLOOKUP(C77,行为概览!$D$3:$U$33,8,0)&gt;0,D$3&amp;"*"&amp;VLOOKUP(D78,$T$8:$U$43,2,0)&amp;"*"&amp;ROUND(VLOOKUP(C77,行为概览!$D$3:$U$33,8,0)*VLOOKUP(C77,行为概览!$D$3:$U$33,6,0)/D87,3),"无")</f>
        <v>无</v>
      </c>
      <c r="E90" s="7"/>
      <c r="F90" s="7"/>
      <c r="G90" s="7"/>
      <c r="H90" s="7"/>
      <c r="I90" s="7"/>
      <c r="J90" s="7"/>
      <c r="K90" s="7"/>
    </row>
    <row r="91" spans="3:11">
      <c r="C91" s="7" t="s">
        <v>320</v>
      </c>
      <c r="D91" s="10" t="str">
        <f>IF(VLOOKUP(C77,行为概览!$D$3:$U$33,9,0)&gt;0,E$3&amp;"*"&amp;VLOOKUP(D78,$T$8:$U$43,2,0)&amp;"*"&amp;ROUND(VLOOKUP(C77,行为概览!$D$3:$U$33,9,0)/D87,3),"无")</f>
        <v>1000*RoleLv*0.5</v>
      </c>
      <c r="E91" s="7"/>
      <c r="F91" s="7"/>
      <c r="G91" s="7"/>
      <c r="H91" s="7"/>
      <c r="I91" s="7"/>
      <c r="J91" s="7"/>
      <c r="K91" s="7"/>
    </row>
    <row r="92" spans="3:11">
      <c r="C92" s="7" t="s">
        <v>328</v>
      </c>
      <c r="D92" s="10" t="str">
        <f>IF(VLOOKUP(C77,行为概览!$D$3:$U$33,10,0)&gt;0,F$3&amp;"*"&amp;VLOOKUP(D78,$T$8:$U$43,2,0)&amp;"*"&amp;ROUND(VLOOKUP(C77,行为概览!$D$3:$U$33,10,0)/D87,3),"无")</f>
        <v>无</v>
      </c>
      <c r="E92" s="7"/>
      <c r="F92" s="7"/>
      <c r="G92" s="7"/>
      <c r="H92" s="7"/>
      <c r="I92" s="7"/>
      <c r="J92" s="7"/>
      <c r="K92" s="7"/>
    </row>
    <row r="93" spans="3:11">
      <c r="C93" s="7"/>
      <c r="D93" s="7"/>
      <c r="E93" s="7"/>
      <c r="F93" s="7"/>
      <c r="G93" s="7"/>
      <c r="H93" s="7"/>
      <c r="I93" s="7"/>
      <c r="J93" s="7"/>
      <c r="K93" s="7"/>
    </row>
    <row r="94" spans="3:11">
      <c r="C94" s="7"/>
      <c r="D94" s="7"/>
      <c r="E94" s="7"/>
      <c r="F94" s="7"/>
      <c r="G94" s="7"/>
      <c r="H94" s="7"/>
      <c r="I94" s="7"/>
      <c r="J94" s="7"/>
      <c r="K94" s="7"/>
    </row>
    <row r="95" spans="3:11">
      <c r="C95" s="7"/>
      <c r="D95" s="7"/>
      <c r="E95" s="7"/>
      <c r="F95" s="7"/>
      <c r="G95" s="7"/>
      <c r="H95" s="7"/>
      <c r="I95" s="7"/>
      <c r="J95" s="7"/>
      <c r="K95" s="7"/>
    </row>
    <row r="96" spans="3:11">
      <c r="C96" s="131" t="s">
        <v>146</v>
      </c>
      <c r="D96" s="7"/>
      <c r="E96" s="7"/>
      <c r="F96" s="7"/>
      <c r="G96" s="7"/>
      <c r="H96" s="7"/>
      <c r="I96" s="7"/>
      <c r="J96" s="7"/>
      <c r="K96" s="7"/>
    </row>
    <row r="97" spans="3:21">
      <c r="C97" s="63" t="s">
        <v>280</v>
      </c>
      <c r="D97" s="13" t="s">
        <v>281</v>
      </c>
      <c r="E97" s="7" t="s">
        <v>282</v>
      </c>
      <c r="F97" s="7"/>
      <c r="G97" s="13"/>
      <c r="H97" s="7"/>
      <c r="I97" s="7"/>
      <c r="J97" s="7"/>
      <c r="K97" s="7"/>
    </row>
    <row r="98" spans="3:21">
      <c r="C98" s="7"/>
      <c r="D98" s="7"/>
      <c r="E98" s="7"/>
      <c r="F98" s="7"/>
      <c r="G98" s="12"/>
      <c r="H98" s="13"/>
      <c r="I98" s="7"/>
      <c r="J98" s="7"/>
      <c r="K98" s="7"/>
    </row>
    <row r="99" spans="3:21">
      <c r="C99" s="7" t="s">
        <v>235</v>
      </c>
      <c r="D99" s="7" t="str">
        <f>IF(VLOOKUP(C96,行为概览!$D$3:$U$33,7,0)&gt;0,C$3&amp;"*"&amp;VLOOKUP(D97,$T$8:$U$43,2,0)&amp;"*"&amp;ROUND(VLOOKUP(C96,行为概览!$D$3:$U$33,7,0)*VLOOKUP(C96,行为概览!$D$3:$U$33,6,0),2),"无")</f>
        <v>400*RoleLv*15</v>
      </c>
      <c r="E99" s="7"/>
      <c r="F99" s="7"/>
      <c r="G99" s="7"/>
      <c r="H99" s="7"/>
      <c r="I99" s="7"/>
      <c r="J99" s="7"/>
      <c r="K99" s="7"/>
    </row>
    <row r="100" spans="3:21">
      <c r="C100" s="7" t="s">
        <v>236</v>
      </c>
      <c r="D100" s="7" t="str">
        <f>IF(VLOOKUP(C96,行为概览!$D$3:$U$33,8,0)&gt;0,D$3&amp;"*"&amp;VLOOKUP(D97,$T$8:$U$43,2,0)&amp;"*"&amp;ROUND(VLOOKUP(C96,行为概览!$D$3:$U$33,8,0)*VLOOKUP(C96,行为概览!$D$3:$U$33,6,0),2),"无")</f>
        <v>5000*RoleLv*1.5</v>
      </c>
      <c r="E100" s="7"/>
      <c r="F100" s="7"/>
      <c r="G100" s="7"/>
      <c r="H100" s="7"/>
      <c r="I100" s="7"/>
      <c r="J100" s="7"/>
      <c r="K100" s="7"/>
    </row>
    <row r="101" spans="3:21">
      <c r="C101" s="7" t="s">
        <v>237</v>
      </c>
      <c r="D101" s="7" t="str">
        <f>IF(VLOOKUP(C96,行为概览!$D$3:$U$33,9,0)&gt;0,E$3&amp;"*"&amp;VLOOKUP(D97,$T$8:$U$43,2,0)&amp;"*"&amp;ROUND(VLOOKUP(C96,行为概览!$D$3:$U$33,9,0),2),"无")</f>
        <v>1000*RoleLv*1</v>
      </c>
      <c r="E101" s="7"/>
      <c r="F101" s="7"/>
      <c r="G101" s="7"/>
      <c r="H101" s="7"/>
      <c r="I101" s="7"/>
      <c r="J101" s="7"/>
      <c r="K101" s="7"/>
    </row>
    <row r="102" spans="3:21">
      <c r="C102" s="7" t="s">
        <v>238</v>
      </c>
      <c r="D102" s="7" t="str">
        <f>IF(VLOOKUP(C96,行为概览!$D$3:$U$33,10,0)&gt;0,F$3&amp;"*"&amp;VLOOKUP(D97,$T$8:$U$43,2,0)&amp;"*"&amp;ROUND(VLOOKUP(C96,行为概览!$D$3:$U$33,10,0),2),"无")</f>
        <v>1*RoleLv*10</v>
      </c>
      <c r="E102" s="7"/>
      <c r="F102" s="7"/>
      <c r="G102" s="7"/>
      <c r="H102" s="7"/>
      <c r="I102" s="7"/>
      <c r="J102" s="7"/>
      <c r="K102" s="7"/>
    </row>
    <row r="103" spans="3:21">
      <c r="C103" s="7"/>
      <c r="D103" s="7"/>
      <c r="E103" s="7"/>
      <c r="F103" s="7"/>
      <c r="G103" s="7"/>
      <c r="H103" s="7"/>
      <c r="I103" s="7"/>
      <c r="J103" s="7"/>
      <c r="K103" s="7"/>
    </row>
    <row r="104" spans="3:21">
      <c r="C104" s="7"/>
      <c r="D104" s="7"/>
      <c r="E104" s="7"/>
      <c r="F104" s="7"/>
      <c r="G104" s="7"/>
      <c r="H104" s="7"/>
      <c r="I104" s="7"/>
      <c r="J104" s="7"/>
      <c r="K104" s="7"/>
      <c r="L104" s="7" t="s">
        <v>142</v>
      </c>
      <c r="M104" s="7" t="s">
        <v>143</v>
      </c>
      <c r="N104" s="7" t="s">
        <v>329</v>
      </c>
      <c r="O104" s="7" t="s">
        <v>433</v>
      </c>
      <c r="T104" s="7" t="s">
        <v>480</v>
      </c>
    </row>
    <row r="105" spans="3:21">
      <c r="C105" s="7" t="s">
        <v>323</v>
      </c>
      <c r="D105" s="7">
        <v>1</v>
      </c>
      <c r="E105" s="7"/>
      <c r="F105" s="7"/>
      <c r="G105" s="7" t="s">
        <v>361</v>
      </c>
      <c r="H105" s="7">
        <v>1</v>
      </c>
      <c r="I105" s="7">
        <v>0.76</v>
      </c>
      <c r="J105" s="7">
        <f>0.74+0.02*H105</f>
        <v>0.76</v>
      </c>
      <c r="K105" s="7" t="str">
        <f>0.74&amp;"+0.02*"&amp;VLOOKUP("次数",$T$8:$U$43,2,0)</f>
        <v>0.74+0.02*Time</v>
      </c>
      <c r="L105" s="7" t="str">
        <f t="shared" ref="L105:L129" si="5">MID($D$108,1,FIND("(",$D$108,1)-1)&amp;$J105</f>
        <v>400*RoleLv*1*0.76</v>
      </c>
      <c r="M105" s="7" t="str">
        <f t="shared" ref="M105:M129" si="6">MID($D$109,1,FIND("(",$D$109,1)-1)&amp;$J105</f>
        <v>5000*RoleLv*0.1*0.76</v>
      </c>
      <c r="N105" s="7" t="str">
        <f t="shared" ref="N105:N129" si="7">MID($D$110,1,FIND("(",$D$110,1)-1)&amp;$J105</f>
        <v>1000*RoleLv*0.067*0.76</v>
      </c>
      <c r="O105" s="7"/>
      <c r="P105" s="10" t="str">
        <f>3.5&amp;"+0.5*(floor(("&amp;VLOOKUP("次数",$T$8:$U$43,2,0)&amp;"-1)/5)+1)"</f>
        <v>3.5+0.5*(floor((Time-1)/5)+1)</v>
      </c>
      <c r="S105">
        <f>ROUNDDOWN((H105-1)/5,0)+1</f>
        <v>1</v>
      </c>
      <c r="T105">
        <f>ROUNDDOWN(1-MOD(H105,5)/5,0)</f>
        <v>0</v>
      </c>
      <c r="U105" s="10" t="s">
        <v>574</v>
      </c>
    </row>
    <row r="106" spans="3:21">
      <c r="C106" s="7" t="s">
        <v>389</v>
      </c>
      <c r="D106" s="7">
        <v>15</v>
      </c>
      <c r="E106" s="7"/>
      <c r="F106" s="7"/>
      <c r="G106" s="7"/>
      <c r="H106" s="7">
        <v>2</v>
      </c>
      <c r="I106" s="7">
        <v>0.78</v>
      </c>
      <c r="J106" s="7">
        <f t="shared" ref="J106:J129" si="8">0.74+0.02*H106</f>
        <v>0.78</v>
      </c>
      <c r="K106" s="7"/>
      <c r="L106" s="7" t="str">
        <f t="shared" si="5"/>
        <v>400*RoleLv*1*0.78</v>
      </c>
      <c r="M106" s="7" t="str">
        <f t="shared" si="6"/>
        <v>5000*RoleLv*0.1*0.78</v>
      </c>
      <c r="N106" s="7" t="str">
        <f t="shared" si="7"/>
        <v>1000*RoleLv*0.067*0.78</v>
      </c>
      <c r="O106" s="7"/>
      <c r="S106" s="7">
        <f t="shared" ref="S106:S129" si="9">ROUNDDOWN((H106-1)/5,0)+1</f>
        <v>1</v>
      </c>
      <c r="T106" s="7">
        <f t="shared" ref="T106:T129" si="10">ROUNDDOWN(1-MOD(H106,5)/5,0)</f>
        <v>0</v>
      </c>
    </row>
    <row r="107" spans="3:21">
      <c r="C107" s="7"/>
      <c r="D107" s="7"/>
      <c r="E107" s="7"/>
      <c r="F107" s="7"/>
      <c r="G107" s="7"/>
      <c r="H107" s="7">
        <v>3</v>
      </c>
      <c r="I107" s="7">
        <v>0.8</v>
      </c>
      <c r="J107" s="7">
        <f t="shared" si="8"/>
        <v>0.8</v>
      </c>
      <c r="K107" s="7"/>
      <c r="L107" s="7" t="str">
        <f t="shared" si="5"/>
        <v>400*RoleLv*1*0.8</v>
      </c>
      <c r="M107" s="7" t="str">
        <f t="shared" si="6"/>
        <v>5000*RoleLv*0.1*0.8</v>
      </c>
      <c r="N107" s="7" t="str">
        <f t="shared" si="7"/>
        <v>1000*RoleLv*0.067*0.8</v>
      </c>
      <c r="O107" s="7"/>
      <c r="S107" s="7">
        <f t="shared" si="9"/>
        <v>1</v>
      </c>
      <c r="T107" s="7">
        <f t="shared" si="10"/>
        <v>0</v>
      </c>
    </row>
    <row r="108" spans="3:21">
      <c r="C108" s="7" t="s">
        <v>317</v>
      </c>
      <c r="D108" s="10" t="str">
        <f>IF(VLOOKUP(C96,行为概览!$D$3:$U$33,7,0)&gt;0,C$3&amp;"*"&amp;VLOOKUP(D97,$T$8:$U$43,2,0)&amp;"*"&amp;ROUND(VLOOKUP(C96,行为概览!$D$3:$U$33,7,0)*VLOOKUP(C96,行为概览!$D$3:$U$33,6,0)/D106,3)&amp;"*("&amp;K105&amp;")","无")</f>
        <v>400*RoleLv*1*(0.74+0.02*Time)</v>
      </c>
      <c r="E108" s="7"/>
      <c r="F108" s="7"/>
      <c r="G108" s="7"/>
      <c r="H108" s="7">
        <v>4</v>
      </c>
      <c r="I108" s="7">
        <v>0.82</v>
      </c>
      <c r="J108" s="7">
        <f t="shared" si="8"/>
        <v>0.82</v>
      </c>
      <c r="K108" s="7"/>
      <c r="L108" s="7" t="str">
        <f t="shared" si="5"/>
        <v>400*RoleLv*1*0.82</v>
      </c>
      <c r="M108" s="7" t="str">
        <f t="shared" si="6"/>
        <v>5000*RoleLv*0.1*0.82</v>
      </c>
      <c r="N108" s="7" t="str">
        <f t="shared" si="7"/>
        <v>1000*RoleLv*0.067*0.82</v>
      </c>
      <c r="O108" s="7"/>
      <c r="S108" s="7">
        <f t="shared" si="9"/>
        <v>1</v>
      </c>
      <c r="T108" s="7">
        <f t="shared" si="10"/>
        <v>0</v>
      </c>
    </row>
    <row r="109" spans="3:21">
      <c r="C109" s="7" t="s">
        <v>319</v>
      </c>
      <c r="D109" s="10" t="str">
        <f>IF(VLOOKUP(C96,行为概览!$D$3:$U$33,8,0)&gt;0,D$3&amp;"*"&amp;VLOOKUP(D97,$T$8:$U$43,2,0)&amp;"*"&amp;ROUND(VLOOKUP(C96,行为概览!$D$3:$U$33,8,0)*VLOOKUP(C96,行为概览!$D$3:$U$33,6,0)/D106,3)&amp;"*("&amp;K105&amp;")","无")</f>
        <v>5000*RoleLv*0.1*(0.74+0.02*Time)</v>
      </c>
      <c r="E109" s="7"/>
      <c r="F109" s="7"/>
      <c r="G109" s="7"/>
      <c r="H109" s="7">
        <v>5</v>
      </c>
      <c r="I109" s="7">
        <v>0.84</v>
      </c>
      <c r="J109" s="7">
        <f t="shared" si="8"/>
        <v>0.84</v>
      </c>
      <c r="K109" s="7"/>
      <c r="L109" s="7" t="str">
        <f t="shared" si="5"/>
        <v>400*RoleLv*1*0.84</v>
      </c>
      <c r="M109" s="7" t="str">
        <f t="shared" si="6"/>
        <v>5000*RoleLv*0.1*0.84</v>
      </c>
      <c r="N109" s="7" t="str">
        <f t="shared" si="7"/>
        <v>1000*RoleLv*0.067*0.84</v>
      </c>
      <c r="O109" s="7" t="str">
        <f>MID($D$111,1,FIND("(",$D$111,1)-1)&amp;SUM($J105:$J109)</f>
        <v>1*RoleLv*0.667*4</v>
      </c>
      <c r="S109" s="7">
        <f t="shared" si="9"/>
        <v>1</v>
      </c>
      <c r="T109" s="7">
        <f t="shared" si="10"/>
        <v>1</v>
      </c>
    </row>
    <row r="110" spans="3:21">
      <c r="C110" s="7" t="s">
        <v>320</v>
      </c>
      <c r="D110" s="10" t="str">
        <f>IF(VLOOKUP(C96,行为概览!$D$3:$U$33,9,0)&gt;0,E$3&amp;"*"&amp;VLOOKUP(D97,$T$8:$U$43,2,0)&amp;"*"&amp;ROUND(VLOOKUP(C96,行为概览!$D$3:$U$33,9,0)/D106,3)&amp;"*("&amp;K105&amp;")","无")</f>
        <v>1000*RoleLv*0.067*(0.74+0.02*Time)</v>
      </c>
      <c r="E110" s="7"/>
      <c r="F110" s="7"/>
      <c r="G110" s="7"/>
      <c r="H110" s="7">
        <v>6</v>
      </c>
      <c r="I110" s="7">
        <v>0.86</v>
      </c>
      <c r="J110" s="7">
        <f t="shared" si="8"/>
        <v>0.86</v>
      </c>
      <c r="K110" s="7"/>
      <c r="L110" s="7" t="str">
        <f t="shared" si="5"/>
        <v>400*RoleLv*1*0.86</v>
      </c>
      <c r="M110" s="7" t="str">
        <f t="shared" si="6"/>
        <v>5000*RoleLv*0.1*0.86</v>
      </c>
      <c r="N110" s="7" t="str">
        <f t="shared" si="7"/>
        <v>1000*RoleLv*0.067*0.86</v>
      </c>
      <c r="O110" s="7"/>
      <c r="S110" s="7">
        <f t="shared" si="9"/>
        <v>2</v>
      </c>
      <c r="T110" s="7">
        <f t="shared" si="10"/>
        <v>0</v>
      </c>
    </row>
    <row r="111" spans="3:21">
      <c r="C111" s="69" t="s">
        <v>479</v>
      </c>
      <c r="D111" s="10" t="str">
        <f>IF(VLOOKUP(C96,行为概览!$D$3:$U$33,10,0)&gt;0,F$3&amp;"*"&amp;VLOOKUP(D97,$T$8:$U$43,2,0)&amp;"*"&amp;ROUND(VLOOKUP(C96,行为概览!$D$3:$U$33,10,0)/D106,3)&amp;"*("&amp;P105&amp;")*"&amp;U105,"无")</f>
        <v>1*RoleLv*0.667*(3.5+0.5*(floor((Time-1)/5)+1))*floor(1-(time%5)*0.2)</v>
      </c>
      <c r="E111" s="7"/>
      <c r="F111" s="7"/>
      <c r="G111" s="7"/>
      <c r="H111" s="7">
        <v>7</v>
      </c>
      <c r="I111" s="7">
        <v>0.88</v>
      </c>
      <c r="J111" s="7">
        <f t="shared" si="8"/>
        <v>0.88</v>
      </c>
      <c r="K111" s="7"/>
      <c r="L111" s="7" t="str">
        <f t="shared" si="5"/>
        <v>400*RoleLv*1*0.88</v>
      </c>
      <c r="M111" s="7" t="str">
        <f t="shared" si="6"/>
        <v>5000*RoleLv*0.1*0.88</v>
      </c>
      <c r="N111" s="7" t="str">
        <f t="shared" si="7"/>
        <v>1000*RoleLv*0.067*0.88</v>
      </c>
      <c r="O111" s="7"/>
      <c r="S111" s="7">
        <f t="shared" si="9"/>
        <v>2</v>
      </c>
      <c r="T111" s="7">
        <f t="shared" si="10"/>
        <v>0</v>
      </c>
    </row>
    <row r="112" spans="3:21">
      <c r="C112" s="7"/>
      <c r="D112" s="7"/>
      <c r="E112" s="7"/>
      <c r="F112" s="7"/>
      <c r="G112" s="7"/>
      <c r="H112" s="7">
        <v>8</v>
      </c>
      <c r="I112" s="7">
        <v>0.9</v>
      </c>
      <c r="J112" s="7">
        <f t="shared" si="8"/>
        <v>0.9</v>
      </c>
      <c r="K112" s="7"/>
      <c r="L112" s="7" t="str">
        <f t="shared" si="5"/>
        <v>400*RoleLv*1*0.9</v>
      </c>
      <c r="M112" s="7" t="str">
        <f t="shared" si="6"/>
        <v>5000*RoleLv*0.1*0.9</v>
      </c>
      <c r="N112" s="7" t="str">
        <f t="shared" si="7"/>
        <v>1000*RoleLv*0.067*0.9</v>
      </c>
      <c r="O112" s="7"/>
      <c r="S112" s="7">
        <f t="shared" si="9"/>
        <v>2</v>
      </c>
      <c r="T112" s="7">
        <f t="shared" si="10"/>
        <v>0</v>
      </c>
    </row>
    <row r="113" spans="3:20">
      <c r="C113" s="7"/>
      <c r="D113" s="7"/>
      <c r="E113" s="7"/>
      <c r="F113" s="7"/>
      <c r="G113" s="7"/>
      <c r="H113" s="7">
        <v>9</v>
      </c>
      <c r="I113" s="7">
        <v>0.92</v>
      </c>
      <c r="J113" s="7">
        <f t="shared" si="8"/>
        <v>0.91999999999999993</v>
      </c>
      <c r="K113" s="7"/>
      <c r="L113" s="7" t="str">
        <f t="shared" si="5"/>
        <v>400*RoleLv*1*0.92</v>
      </c>
      <c r="M113" s="7" t="str">
        <f t="shared" si="6"/>
        <v>5000*RoleLv*0.1*0.92</v>
      </c>
      <c r="N113" s="7" t="str">
        <f t="shared" si="7"/>
        <v>1000*RoleLv*0.067*0.92</v>
      </c>
      <c r="O113" s="7"/>
      <c r="S113" s="7">
        <f t="shared" si="9"/>
        <v>2</v>
      </c>
      <c r="T113" s="7">
        <f t="shared" si="10"/>
        <v>0</v>
      </c>
    </row>
    <row r="114" spans="3:20">
      <c r="C114" s="7"/>
      <c r="D114" s="7"/>
      <c r="E114" s="7"/>
      <c r="F114" s="7"/>
      <c r="G114" s="7"/>
      <c r="H114" s="7">
        <v>10</v>
      </c>
      <c r="I114" s="7">
        <v>0.94</v>
      </c>
      <c r="J114" s="7">
        <f t="shared" si="8"/>
        <v>0.94</v>
      </c>
      <c r="K114" s="7"/>
      <c r="L114" s="7" t="str">
        <f t="shared" si="5"/>
        <v>400*RoleLv*1*0.94</v>
      </c>
      <c r="M114" s="7" t="str">
        <f t="shared" si="6"/>
        <v>5000*RoleLv*0.1*0.94</v>
      </c>
      <c r="N114" s="7" t="str">
        <f t="shared" si="7"/>
        <v>1000*RoleLv*0.067*0.94</v>
      </c>
      <c r="O114" s="7" t="str">
        <f>MID($D$111,1,FIND("(",$D$111,1)-1)&amp;SUM($J110:$J114)</f>
        <v>1*RoleLv*0.667*4.5</v>
      </c>
      <c r="S114" s="7">
        <f t="shared" si="9"/>
        <v>2</v>
      </c>
      <c r="T114" s="7">
        <f t="shared" si="10"/>
        <v>1</v>
      </c>
    </row>
    <row r="115" spans="3:20">
      <c r="H115" s="7">
        <v>11</v>
      </c>
      <c r="I115" s="7">
        <v>0.96</v>
      </c>
      <c r="J115" s="7">
        <f t="shared" si="8"/>
        <v>0.96</v>
      </c>
      <c r="K115" s="7"/>
      <c r="L115" s="7" t="str">
        <f t="shared" si="5"/>
        <v>400*RoleLv*1*0.96</v>
      </c>
      <c r="M115" s="7" t="str">
        <f t="shared" si="6"/>
        <v>5000*RoleLv*0.1*0.96</v>
      </c>
      <c r="N115" s="7" t="str">
        <f t="shared" si="7"/>
        <v>1000*RoleLv*0.067*0.96</v>
      </c>
      <c r="O115" s="7"/>
      <c r="S115" s="7">
        <f t="shared" si="9"/>
        <v>3</v>
      </c>
      <c r="T115" s="7">
        <f t="shared" si="10"/>
        <v>0</v>
      </c>
    </row>
    <row r="116" spans="3:20">
      <c r="H116" s="7">
        <v>12</v>
      </c>
      <c r="I116" s="7">
        <v>0.98</v>
      </c>
      <c r="J116" s="7">
        <f t="shared" si="8"/>
        <v>0.98</v>
      </c>
      <c r="K116" s="7"/>
      <c r="L116" s="7" t="str">
        <f t="shared" si="5"/>
        <v>400*RoleLv*1*0.98</v>
      </c>
      <c r="M116" s="7" t="str">
        <f t="shared" si="6"/>
        <v>5000*RoleLv*0.1*0.98</v>
      </c>
      <c r="N116" s="7" t="str">
        <f t="shared" si="7"/>
        <v>1000*RoleLv*0.067*0.98</v>
      </c>
      <c r="O116" s="7"/>
      <c r="S116" s="7">
        <f t="shared" si="9"/>
        <v>3</v>
      </c>
      <c r="T116" s="7">
        <f t="shared" si="10"/>
        <v>0</v>
      </c>
    </row>
    <row r="117" spans="3:20">
      <c r="H117" s="7">
        <v>13</v>
      </c>
      <c r="I117" s="7">
        <v>1</v>
      </c>
      <c r="J117" s="7">
        <f t="shared" si="8"/>
        <v>1</v>
      </c>
      <c r="K117" s="7"/>
      <c r="L117" s="7" t="str">
        <f t="shared" si="5"/>
        <v>400*RoleLv*1*1</v>
      </c>
      <c r="M117" s="7" t="str">
        <f t="shared" si="6"/>
        <v>5000*RoleLv*0.1*1</v>
      </c>
      <c r="N117" s="7" t="str">
        <f t="shared" si="7"/>
        <v>1000*RoleLv*0.067*1</v>
      </c>
      <c r="O117" s="7"/>
      <c r="S117" s="7">
        <f t="shared" si="9"/>
        <v>3</v>
      </c>
      <c r="T117" s="7">
        <f t="shared" si="10"/>
        <v>0</v>
      </c>
    </row>
    <row r="118" spans="3:20">
      <c r="H118" s="7">
        <v>14</v>
      </c>
      <c r="I118" s="7">
        <v>1.02</v>
      </c>
      <c r="J118" s="7">
        <f t="shared" si="8"/>
        <v>1.02</v>
      </c>
      <c r="K118" s="7"/>
      <c r="L118" s="7" t="str">
        <f t="shared" si="5"/>
        <v>400*RoleLv*1*1.02</v>
      </c>
      <c r="M118" s="7" t="str">
        <f t="shared" si="6"/>
        <v>5000*RoleLv*0.1*1.02</v>
      </c>
      <c r="N118" s="7" t="str">
        <f t="shared" si="7"/>
        <v>1000*RoleLv*0.067*1.02</v>
      </c>
      <c r="O118" s="7"/>
      <c r="S118" s="7">
        <f t="shared" si="9"/>
        <v>3</v>
      </c>
      <c r="T118" s="7">
        <f t="shared" si="10"/>
        <v>0</v>
      </c>
    </row>
    <row r="119" spans="3:20">
      <c r="H119" s="7">
        <v>15</v>
      </c>
      <c r="I119" s="7">
        <v>1.04</v>
      </c>
      <c r="J119" s="7">
        <f t="shared" si="8"/>
        <v>1.04</v>
      </c>
      <c r="K119" s="7"/>
      <c r="L119" s="7" t="str">
        <f t="shared" si="5"/>
        <v>400*RoleLv*1*1.04</v>
      </c>
      <c r="M119" s="7" t="str">
        <f t="shared" si="6"/>
        <v>5000*RoleLv*0.1*1.04</v>
      </c>
      <c r="N119" s="7" t="str">
        <f t="shared" si="7"/>
        <v>1000*RoleLv*0.067*1.04</v>
      </c>
      <c r="O119" s="7" t="str">
        <f>MID($D$111,1,FIND("(",$D$111,1)-1)&amp;SUM($J115:$J119)</f>
        <v>1*RoleLv*0.667*5</v>
      </c>
      <c r="S119" s="7">
        <f t="shared" si="9"/>
        <v>3</v>
      </c>
      <c r="T119" s="7">
        <f t="shared" si="10"/>
        <v>1</v>
      </c>
    </row>
    <row r="120" spans="3:20">
      <c r="H120" s="7">
        <v>16</v>
      </c>
      <c r="I120" s="7">
        <v>1.06</v>
      </c>
      <c r="J120" s="7">
        <f t="shared" si="8"/>
        <v>1.06</v>
      </c>
      <c r="K120" s="7"/>
      <c r="L120" s="7" t="str">
        <f t="shared" si="5"/>
        <v>400*RoleLv*1*1.06</v>
      </c>
      <c r="M120" s="7" t="str">
        <f t="shared" si="6"/>
        <v>5000*RoleLv*0.1*1.06</v>
      </c>
      <c r="N120" s="7" t="str">
        <f t="shared" si="7"/>
        <v>1000*RoleLv*0.067*1.06</v>
      </c>
      <c r="O120" s="7"/>
      <c r="S120" s="7">
        <f t="shared" si="9"/>
        <v>4</v>
      </c>
      <c r="T120" s="7">
        <f t="shared" si="10"/>
        <v>0</v>
      </c>
    </row>
    <row r="121" spans="3:20">
      <c r="H121" s="7">
        <v>17</v>
      </c>
      <c r="I121" s="7">
        <v>1.08</v>
      </c>
      <c r="J121" s="7">
        <f t="shared" si="8"/>
        <v>1.08</v>
      </c>
      <c r="K121" s="7"/>
      <c r="L121" s="7" t="str">
        <f t="shared" si="5"/>
        <v>400*RoleLv*1*1.08</v>
      </c>
      <c r="M121" s="7" t="str">
        <f t="shared" si="6"/>
        <v>5000*RoleLv*0.1*1.08</v>
      </c>
      <c r="N121" s="7" t="str">
        <f t="shared" si="7"/>
        <v>1000*RoleLv*0.067*1.08</v>
      </c>
      <c r="O121" s="7"/>
      <c r="S121" s="7">
        <f t="shared" si="9"/>
        <v>4</v>
      </c>
      <c r="T121" s="7">
        <f t="shared" si="10"/>
        <v>0</v>
      </c>
    </row>
    <row r="122" spans="3:20">
      <c r="H122" s="7">
        <v>18</v>
      </c>
      <c r="I122" s="7">
        <v>1.1000000000000001</v>
      </c>
      <c r="J122" s="7">
        <f t="shared" si="8"/>
        <v>1.1000000000000001</v>
      </c>
      <c r="K122" s="7"/>
      <c r="L122" s="7" t="str">
        <f t="shared" si="5"/>
        <v>400*RoleLv*1*1.1</v>
      </c>
      <c r="M122" s="7" t="str">
        <f t="shared" si="6"/>
        <v>5000*RoleLv*0.1*1.1</v>
      </c>
      <c r="N122" s="7" t="str">
        <f t="shared" si="7"/>
        <v>1000*RoleLv*0.067*1.1</v>
      </c>
      <c r="O122" s="7"/>
      <c r="S122" s="7">
        <f t="shared" si="9"/>
        <v>4</v>
      </c>
      <c r="T122" s="7">
        <f t="shared" si="10"/>
        <v>0</v>
      </c>
    </row>
    <row r="123" spans="3:20">
      <c r="H123" s="7">
        <v>19</v>
      </c>
      <c r="I123" s="7">
        <v>1.1200000000000001</v>
      </c>
      <c r="J123" s="7">
        <f t="shared" si="8"/>
        <v>1.1200000000000001</v>
      </c>
      <c r="K123" s="7"/>
      <c r="L123" s="7" t="str">
        <f t="shared" si="5"/>
        <v>400*RoleLv*1*1.12</v>
      </c>
      <c r="M123" s="7" t="str">
        <f t="shared" si="6"/>
        <v>5000*RoleLv*0.1*1.12</v>
      </c>
      <c r="N123" s="7" t="str">
        <f t="shared" si="7"/>
        <v>1000*RoleLv*0.067*1.12</v>
      </c>
      <c r="O123" s="7"/>
      <c r="S123" s="7">
        <f t="shared" si="9"/>
        <v>4</v>
      </c>
      <c r="T123" s="7">
        <f t="shared" si="10"/>
        <v>0</v>
      </c>
    </row>
    <row r="124" spans="3:20">
      <c r="H124" s="7">
        <v>20</v>
      </c>
      <c r="I124" s="7">
        <v>1.1399999999999999</v>
      </c>
      <c r="J124" s="7">
        <f t="shared" si="8"/>
        <v>1.1400000000000001</v>
      </c>
      <c r="K124" s="7"/>
      <c r="L124" s="7" t="str">
        <f t="shared" si="5"/>
        <v>400*RoleLv*1*1.14</v>
      </c>
      <c r="M124" s="7" t="str">
        <f t="shared" si="6"/>
        <v>5000*RoleLv*0.1*1.14</v>
      </c>
      <c r="N124" s="7" t="str">
        <f t="shared" si="7"/>
        <v>1000*RoleLv*0.067*1.14</v>
      </c>
      <c r="O124" s="7" t="str">
        <f>MID($D$111,1,FIND("(",$D$111,1)-1)&amp;SUM($J120:$J124)</f>
        <v>1*RoleLv*0.667*5.5</v>
      </c>
      <c r="S124" s="7">
        <f t="shared" si="9"/>
        <v>4</v>
      </c>
      <c r="T124" s="7">
        <f t="shared" si="10"/>
        <v>1</v>
      </c>
    </row>
    <row r="125" spans="3:20">
      <c r="H125" s="7">
        <v>21</v>
      </c>
      <c r="I125" s="7">
        <v>1.1599999999999999</v>
      </c>
      <c r="J125" s="7">
        <f t="shared" si="8"/>
        <v>1.1599999999999999</v>
      </c>
      <c r="K125" s="7"/>
      <c r="L125" s="7" t="str">
        <f t="shared" si="5"/>
        <v>400*RoleLv*1*1.16</v>
      </c>
      <c r="M125" s="7" t="str">
        <f t="shared" si="6"/>
        <v>5000*RoleLv*0.1*1.16</v>
      </c>
      <c r="N125" s="7" t="str">
        <f t="shared" si="7"/>
        <v>1000*RoleLv*0.067*1.16</v>
      </c>
      <c r="O125" s="7"/>
      <c r="S125" s="7">
        <f t="shared" si="9"/>
        <v>5</v>
      </c>
      <c r="T125" s="7">
        <f t="shared" si="10"/>
        <v>0</v>
      </c>
    </row>
    <row r="126" spans="3:20">
      <c r="H126" s="7">
        <v>22</v>
      </c>
      <c r="I126" s="7">
        <v>1.18</v>
      </c>
      <c r="J126" s="7">
        <f t="shared" si="8"/>
        <v>1.18</v>
      </c>
      <c r="K126" s="7"/>
      <c r="L126" s="7" t="str">
        <f t="shared" si="5"/>
        <v>400*RoleLv*1*1.18</v>
      </c>
      <c r="M126" s="7" t="str">
        <f t="shared" si="6"/>
        <v>5000*RoleLv*0.1*1.18</v>
      </c>
      <c r="N126" s="7" t="str">
        <f t="shared" si="7"/>
        <v>1000*RoleLv*0.067*1.18</v>
      </c>
      <c r="O126" s="7"/>
      <c r="S126" s="7">
        <f t="shared" si="9"/>
        <v>5</v>
      </c>
      <c r="T126" s="7">
        <f t="shared" si="10"/>
        <v>0</v>
      </c>
    </row>
    <row r="127" spans="3:20">
      <c r="H127" s="7">
        <v>23</v>
      </c>
      <c r="I127" s="7">
        <v>1.2</v>
      </c>
      <c r="J127" s="7">
        <f t="shared" si="8"/>
        <v>1.2</v>
      </c>
      <c r="K127" s="7"/>
      <c r="L127" s="7" t="str">
        <f t="shared" si="5"/>
        <v>400*RoleLv*1*1.2</v>
      </c>
      <c r="M127" s="7" t="str">
        <f t="shared" si="6"/>
        <v>5000*RoleLv*0.1*1.2</v>
      </c>
      <c r="N127" s="7" t="str">
        <f t="shared" si="7"/>
        <v>1000*RoleLv*0.067*1.2</v>
      </c>
      <c r="O127" s="7"/>
      <c r="S127" s="7">
        <f t="shared" si="9"/>
        <v>5</v>
      </c>
      <c r="T127" s="7">
        <f t="shared" si="10"/>
        <v>0</v>
      </c>
    </row>
    <row r="128" spans="3:20">
      <c r="H128" s="7">
        <v>24</v>
      </c>
      <c r="I128" s="7">
        <v>1.22</v>
      </c>
      <c r="J128" s="7">
        <f t="shared" si="8"/>
        <v>1.22</v>
      </c>
      <c r="K128" s="7"/>
      <c r="L128" s="7" t="str">
        <f t="shared" si="5"/>
        <v>400*RoleLv*1*1.22</v>
      </c>
      <c r="M128" s="7" t="str">
        <f t="shared" si="6"/>
        <v>5000*RoleLv*0.1*1.22</v>
      </c>
      <c r="N128" s="7" t="str">
        <f t="shared" si="7"/>
        <v>1000*RoleLv*0.067*1.22</v>
      </c>
      <c r="O128" s="7"/>
      <c r="S128" s="7">
        <f t="shared" si="9"/>
        <v>5</v>
      </c>
      <c r="T128" s="7">
        <f t="shared" si="10"/>
        <v>0</v>
      </c>
    </row>
    <row r="129" spans="3:20">
      <c r="H129" s="7">
        <v>25</v>
      </c>
      <c r="I129" s="7">
        <v>1.24</v>
      </c>
      <c r="J129" s="7">
        <f t="shared" si="8"/>
        <v>1.24</v>
      </c>
      <c r="K129" s="7"/>
      <c r="L129" s="7" t="str">
        <f t="shared" si="5"/>
        <v>400*RoleLv*1*1.24</v>
      </c>
      <c r="M129" s="7" t="str">
        <f t="shared" si="6"/>
        <v>5000*RoleLv*0.1*1.24</v>
      </c>
      <c r="N129" s="7" t="str">
        <f t="shared" si="7"/>
        <v>1000*RoleLv*0.067*1.24</v>
      </c>
      <c r="O129" s="7" t="str">
        <f>MID($D$111,1,FIND("(",$D$111,1)-1)&amp;SUM($J125:$J129)</f>
        <v>1*RoleLv*0.667*6</v>
      </c>
      <c r="S129" s="7">
        <f t="shared" si="9"/>
        <v>5</v>
      </c>
      <c r="T129" s="7">
        <f t="shared" si="10"/>
        <v>1</v>
      </c>
    </row>
    <row r="130" spans="3:20" s="7" customFormat="1"/>
    <row r="131" spans="3:20" s="7" customFormat="1">
      <c r="C131" s="131" t="s">
        <v>435</v>
      </c>
    </row>
    <row r="132" spans="3:20" s="7" customFormat="1">
      <c r="C132" s="63" t="s">
        <v>280</v>
      </c>
      <c r="D132" s="13" t="s">
        <v>281</v>
      </c>
      <c r="E132" s="7" t="s">
        <v>282</v>
      </c>
    </row>
    <row r="133" spans="3:20" s="7" customFormat="1"/>
    <row r="134" spans="3:20" s="7" customFormat="1">
      <c r="C134" s="7" t="s">
        <v>235</v>
      </c>
      <c r="D134" s="7" t="str">
        <f>IF(VLOOKUP(C131,行为概览!$D$3:$U$33,7,0)&gt;0,C$3&amp;"*"&amp;VLOOKUP(D132,$T$8:$U$43,2,0)&amp;"*"&amp;ROUND(VLOOKUP(C131,行为概览!$D$3:$U$33,7,0)*VLOOKUP(C131,行为概览!$D$3:$U$33,6,0),2),"无")</f>
        <v>无</v>
      </c>
    </row>
    <row r="135" spans="3:20" s="7" customFormat="1">
      <c r="C135" s="7" t="s">
        <v>236</v>
      </c>
      <c r="D135" s="7" t="str">
        <f>IF(VLOOKUP(C131,行为概览!$D$3:$U$33,8,0)&gt;0,D$3&amp;"*"&amp;VLOOKUP(D132,$T$8:$U$43,2,0)&amp;"*"&amp;ROUND(VLOOKUP(C131,行为概览!$D$3:$U$33,8,0)*VLOOKUP(C131,行为概览!$D$3:$U$33,6,0),2),"无")</f>
        <v>5000*RoleLv*0.67</v>
      </c>
    </row>
    <row r="136" spans="3:20" s="7" customFormat="1">
      <c r="C136" s="7" t="s">
        <v>237</v>
      </c>
      <c r="D136" s="7" t="str">
        <f>IF(VLOOKUP(C131,行为概览!$D$3:$U$33,9,0)&gt;0,E$3&amp;"*"&amp;VLOOKUP(D132,$T$8:$U$43,2,0)&amp;"*"&amp;ROUND(VLOOKUP(C131,行为概览!$D$3:$U$33,9,0),2),"无")</f>
        <v>无</v>
      </c>
    </row>
    <row r="137" spans="3:20" s="7" customFormat="1">
      <c r="C137" s="7" t="s">
        <v>238</v>
      </c>
      <c r="D137" s="7" t="str">
        <f>IF(VLOOKUP(C131,行为概览!$D$3:$U$33,10,0)&gt;0,F$3&amp;"*"&amp;VLOOKUP(D132,$T$8:$U$43,2,0)&amp;"*"&amp;ROUND(VLOOKUP(C131,行为概览!$D$3:$U$33,10,0),2),"无")</f>
        <v>无</v>
      </c>
    </row>
    <row r="138" spans="3:20" s="7" customFormat="1"/>
    <row r="139" spans="3:20" s="7" customFormat="1"/>
    <row r="140" spans="3:20" s="7" customFormat="1">
      <c r="C140" s="7" t="s">
        <v>323</v>
      </c>
      <c r="D140" s="7">
        <v>1</v>
      </c>
    </row>
    <row r="141" spans="3:20" s="7" customFormat="1">
      <c r="C141" s="7" t="s">
        <v>389</v>
      </c>
      <c r="D141" s="7">
        <v>15</v>
      </c>
    </row>
    <row r="142" spans="3:20" s="7" customFormat="1"/>
    <row r="143" spans="3:20" s="7" customFormat="1">
      <c r="C143" s="7" t="s">
        <v>317</v>
      </c>
      <c r="D143" s="10" t="str">
        <f>IF(VLOOKUP(C131,行为概览!$D$3:$U$33,7,0)&gt;0,C$3&amp;"*"&amp;VLOOKUP(D132,$T$8:$U$43,2,0)&amp;"*"&amp;ROUND(VLOOKUP(C131,行为概览!$D$3:$U$33,7,0)*VLOOKUP(C131,行为概览!$D$3:$U$33,6,0)/D141,3)&amp;"*("&amp;K140&amp;")","无")</f>
        <v>无</v>
      </c>
    </row>
    <row r="144" spans="3:20" s="7" customFormat="1">
      <c r="C144" s="7" t="s">
        <v>319</v>
      </c>
      <c r="D144" s="10" t="str">
        <f>IF(VLOOKUP(C131,行为概览!$D$3:$U$33,8,0)&gt;0,D$3&amp;"*"&amp;VLOOKUP(D132,$T$8:$U$43,2,0)&amp;"*"&amp;ROUND(VLOOKUP(C131,行为概览!$D$3:$U$33,8,0)*VLOOKUP(C131,行为概览!$D$3:$U$33,6,0)/D141,3),"无")</f>
        <v>5000*RoleLv*0.044</v>
      </c>
    </row>
    <row r="145" spans="3:11" s="7" customFormat="1">
      <c r="C145" s="7" t="s">
        <v>320</v>
      </c>
      <c r="D145" s="10" t="str">
        <f>IF(VLOOKUP(C131,行为概览!$D$3:$U$33,9,0)&gt;0,E$3&amp;"*"&amp;VLOOKUP(D132,$T$8:$U$43,2,0)&amp;"*"&amp;ROUND(VLOOKUP(C131,行为概览!$D$3:$U$33,9,0)/D141,3)&amp;"*("&amp;K140&amp;")","无")</f>
        <v>无</v>
      </c>
    </row>
    <row r="146" spans="3:11" s="7" customFormat="1">
      <c r="C146" s="7" t="s">
        <v>322</v>
      </c>
      <c r="D146" s="10" t="str">
        <f>IF(VLOOKUP(C131,行为概览!$D$3:$U$33,10,0)&gt;0,F$3&amp;"*"&amp;VLOOKUP(D132,$T$8:$U$43,2,0)&amp;"*"&amp;ROUND(VLOOKUP(C131,行为概览!$D$3:$U$33,10,0)/D141,3)&amp;"*("&amp;K140&amp;")","无")</f>
        <v>无</v>
      </c>
    </row>
    <row r="148" spans="3:11">
      <c r="C148" s="135" t="s">
        <v>402</v>
      </c>
      <c r="D148" s="7"/>
      <c r="E148" s="7"/>
      <c r="F148" s="7"/>
      <c r="G148" s="7"/>
      <c r="H148" s="7"/>
      <c r="I148" s="7"/>
      <c r="J148" s="7"/>
      <c r="K148" s="7"/>
    </row>
    <row r="149" spans="3:11">
      <c r="C149" s="63" t="s">
        <v>280</v>
      </c>
      <c r="D149" s="13" t="s">
        <v>281</v>
      </c>
      <c r="E149" s="7" t="s">
        <v>282</v>
      </c>
      <c r="F149" s="7"/>
      <c r="G149" s="7"/>
      <c r="H149" s="7"/>
      <c r="I149" s="7"/>
      <c r="J149" s="7"/>
      <c r="K149" s="7"/>
    </row>
    <row r="150" spans="3:11">
      <c r="C150" s="63" t="s">
        <v>349</v>
      </c>
      <c r="D150" s="13" t="s">
        <v>350</v>
      </c>
      <c r="E150" s="13" t="s">
        <v>351</v>
      </c>
      <c r="F150" s="134" t="s">
        <v>347</v>
      </c>
      <c r="G150" s="7" t="s">
        <v>407</v>
      </c>
      <c r="H150" s="7"/>
      <c r="I150" s="7"/>
      <c r="J150" s="7"/>
      <c r="K150" s="7"/>
    </row>
    <row r="151" spans="3:11">
      <c r="C151" s="7" t="s">
        <v>235</v>
      </c>
      <c r="D151" s="7" t="str">
        <f>IF(VLOOKUP(C148,行为概览!$D$3:$U$33,7,0)&gt;0,C$3&amp;"*"&amp;G151&amp;"*"&amp;ROUND(VLOOKUP(C148,行为概览!$D$3:$U$33,7,0)*VLOOKUP(C148,行为概览!$D$3:$U$33,6,0),2),"无")</f>
        <v>400*min(max(RoleLv,FuBenLv),FuBenLv+9)*10</v>
      </c>
      <c r="E151" s="7"/>
      <c r="F151" s="7"/>
      <c r="G151" s="7" t="s">
        <v>408</v>
      </c>
      <c r="H151" s="7"/>
      <c r="I151" s="7"/>
      <c r="J151" s="7"/>
      <c r="K151" s="7"/>
    </row>
    <row r="152" spans="3:11">
      <c r="C152" s="7" t="s">
        <v>236</v>
      </c>
      <c r="D152" s="7" t="str">
        <f>IF(VLOOKUP(C148,行为概览!$D$3:$U$33,8,0)&gt;0,D$3&amp;"*"&amp;G151&amp;"*"&amp;ROUND(VLOOKUP(C148,行为概览!$D$3:$U$33,8,0)*VLOOKUP(C148,行为概览!$D$3:$U$33,6,0),2),"无")</f>
        <v>5000*min(max(RoleLv,FuBenLv),FuBenLv+9)*1</v>
      </c>
      <c r="E152" s="7"/>
      <c r="F152" s="7"/>
      <c r="G152" s="7"/>
      <c r="H152" s="7"/>
      <c r="I152" s="7"/>
      <c r="J152" s="7"/>
      <c r="K152" s="7"/>
    </row>
    <row r="153" spans="3:11">
      <c r="C153" s="7" t="s">
        <v>237</v>
      </c>
      <c r="D153" s="7" t="str">
        <f>IF(VLOOKUP(C148,行为概览!$D$3:$U$33,9,0)&gt;0,E$3&amp;"*"&amp;G151&amp;"*"&amp;ROUND(VLOOKUP(C148,行为概览!$D$3:$U$33,9,0),2),"无")</f>
        <v>1000*min(max(RoleLv,FuBenLv),FuBenLv+9)*1</v>
      </c>
      <c r="E153" s="7"/>
      <c r="F153" s="7"/>
      <c r="G153" s="7"/>
      <c r="H153" s="7"/>
      <c r="I153" s="7"/>
      <c r="J153" s="7"/>
      <c r="K153" s="7"/>
    </row>
    <row r="154" spans="3:11">
      <c r="C154" s="7" t="s">
        <v>238</v>
      </c>
      <c r="D154" s="7" t="str">
        <f>IF(VLOOKUP(C148,行为概览!$D$3:$U$33,10,0)&gt;0,F$3&amp;"*"&amp;G151&amp;"*"&amp;ROUND(VLOOKUP(C148,行为概览!$D$3:$U$33,10,0),2),"无")</f>
        <v>1*min(max(RoleLv,FuBenLv),FuBenLv+9)*10</v>
      </c>
      <c r="E154" s="7"/>
      <c r="F154" s="7"/>
      <c r="G154" s="7"/>
      <c r="H154" s="7"/>
      <c r="I154" s="7"/>
      <c r="J154" s="7"/>
      <c r="K154" s="7"/>
    </row>
    <row r="155" spans="3:11">
      <c r="C155" s="7"/>
      <c r="D155" s="7"/>
      <c r="E155" s="7"/>
      <c r="F155" s="7"/>
      <c r="G155" s="7"/>
      <c r="H155" s="7"/>
      <c r="I155" s="7"/>
      <c r="J155" s="7"/>
      <c r="K155" s="7"/>
    </row>
    <row r="156" spans="3:11">
      <c r="C156" s="7"/>
      <c r="D156" s="7"/>
      <c r="E156" s="7"/>
      <c r="F156" s="7"/>
      <c r="G156" s="7"/>
      <c r="H156" s="7"/>
      <c r="I156" s="7"/>
      <c r="J156" s="7"/>
      <c r="K156" s="7"/>
    </row>
    <row r="157" spans="3:11">
      <c r="C157" s="7" t="s">
        <v>323</v>
      </c>
      <c r="D157" s="7">
        <v>2</v>
      </c>
      <c r="E157" s="7"/>
      <c r="F157" s="7"/>
      <c r="G157" s="7" t="s">
        <v>316</v>
      </c>
      <c r="H157" s="7">
        <v>1</v>
      </c>
      <c r="I157" s="7">
        <v>0.8</v>
      </c>
      <c r="J157" s="7">
        <f>0.7+0.1*H157</f>
        <v>0.79999999999999993</v>
      </c>
      <c r="K157" s="7" t="str">
        <f>0.7&amp;"+0.1*"&amp;VLOOKUP("环数",$T$8:$U$43,2,0)</f>
        <v>0.7+0.1*Ring</v>
      </c>
    </row>
    <row r="158" spans="3:11">
      <c r="C158" s="7" t="s">
        <v>389</v>
      </c>
      <c r="D158" s="7">
        <f>5*D157</f>
        <v>10</v>
      </c>
      <c r="E158" s="7"/>
      <c r="F158" s="7"/>
      <c r="G158" s="7"/>
      <c r="H158" s="7">
        <v>2</v>
      </c>
      <c r="I158" s="7">
        <v>0.9</v>
      </c>
      <c r="J158" s="7">
        <f t="shared" ref="J158:J161" si="11">0.7+0.1*H158</f>
        <v>0.89999999999999991</v>
      </c>
      <c r="K158" s="7"/>
    </row>
    <row r="159" spans="3:11">
      <c r="C159" s="7"/>
      <c r="D159" s="7"/>
      <c r="E159" s="7"/>
      <c r="F159" s="7"/>
      <c r="G159" s="7"/>
      <c r="H159" s="7">
        <v>3</v>
      </c>
      <c r="I159" s="7">
        <v>1</v>
      </c>
      <c r="J159" s="7">
        <f t="shared" si="11"/>
        <v>1</v>
      </c>
      <c r="K159" s="7"/>
    </row>
    <row r="160" spans="3:11">
      <c r="C160" s="7" t="s">
        <v>317</v>
      </c>
      <c r="D160" s="10" t="str">
        <f>IF(VLOOKUP(C148,行为概览!$D$3:$U$33,7,0)&gt;0,C$3&amp;"*"&amp;G151&amp;"*"&amp;ROUND(VLOOKUP(C148,行为概览!$D$3:$U$33,7,0)*VLOOKUP(C148,行为概览!$D$3:$U$33,6,0)/D158,3)&amp;"*("&amp;K157&amp;")","无")</f>
        <v>400*min(max(RoleLv,FuBenLv),FuBenLv+9)*1*(0.7+0.1*Ring)</v>
      </c>
      <c r="E160" s="69"/>
      <c r="F160" s="7"/>
      <c r="G160" s="7"/>
      <c r="H160" s="7">
        <v>4</v>
      </c>
      <c r="I160" s="7">
        <v>1.1000000000000001</v>
      </c>
      <c r="J160" s="7">
        <f t="shared" si="11"/>
        <v>1.1000000000000001</v>
      </c>
      <c r="K160" s="7"/>
    </row>
    <row r="161" spans="3:11">
      <c r="C161" s="7" t="s">
        <v>319</v>
      </c>
      <c r="D161" s="10" t="str">
        <f>IF(VLOOKUP(C148,行为概览!$D$3:$U$33,8,0)&gt;0,D$3&amp;"*"&amp;G151&amp;"*"&amp;ROUND(VLOOKUP(C148,行为概览!$D$3:$U$33,8,0)*VLOOKUP(C148,行为概览!$D$3:$U$33,6,0)/D158,3)&amp;"*("&amp;K157&amp;")","无")</f>
        <v>5000*min(max(RoleLv,FuBenLv),FuBenLv+9)*0.1*(0.7+0.1*Ring)</v>
      </c>
      <c r="E161" s="69"/>
      <c r="F161" s="7"/>
      <c r="G161" s="7"/>
      <c r="H161" s="7">
        <v>5</v>
      </c>
      <c r="I161" s="7">
        <v>1.2</v>
      </c>
      <c r="J161" s="7">
        <f t="shared" si="11"/>
        <v>1.2</v>
      </c>
      <c r="K161" s="7"/>
    </row>
    <row r="162" spans="3:11">
      <c r="C162" s="7" t="s">
        <v>320</v>
      </c>
      <c r="D162" s="10" t="str">
        <f>IF(VLOOKUP(C148,行为概览!$D$3:$U$33,9,0)&gt;0,E$3&amp;"*"&amp;G151&amp;"*"&amp;ROUND(VLOOKUP(C148,行为概览!$D$3:$U$33,9,0)/D158,3)&amp;"*("&amp;K157&amp;")","无")</f>
        <v>1000*min(max(RoleLv,FuBenLv),FuBenLv+9)*0.1*(0.7+0.1*Ring)</v>
      </c>
      <c r="E162" s="69"/>
      <c r="F162" s="7"/>
      <c r="G162" s="7"/>
      <c r="H162" s="7"/>
      <c r="I162" s="7"/>
      <c r="J162" s="7"/>
      <c r="K162" s="7"/>
    </row>
    <row r="163" spans="3:11">
      <c r="C163" s="137" t="s">
        <v>417</v>
      </c>
      <c r="D163" s="10" t="str">
        <f>IF(VLOOKUP(C148,行为概览!$D$3:$U$33,10,0)&gt;0,F$3&amp;"*"&amp;G151&amp;"*"&amp;ROUND(VLOOKUP(C148,行为概览!$D$3:$U$33,10,0)/D157,3),"无")</f>
        <v>1*min(max(RoleLv,FuBenLv),FuBenLv+9)*5</v>
      </c>
      <c r="E163" s="69"/>
      <c r="F163" s="7"/>
      <c r="G163" s="7"/>
      <c r="H163" s="7"/>
      <c r="I163" s="7"/>
      <c r="J163" s="7"/>
      <c r="K163" s="7"/>
    </row>
    <row r="164" spans="3:11">
      <c r="C164" s="7"/>
      <c r="D164" s="7"/>
      <c r="E164" s="7"/>
      <c r="F164" s="7"/>
      <c r="G164" s="7"/>
      <c r="H164" s="7"/>
      <c r="I164" s="7"/>
      <c r="J164" s="7"/>
      <c r="K164" s="7"/>
    </row>
    <row r="165" spans="3:11">
      <c r="C165" s="7"/>
      <c r="D165" s="7"/>
      <c r="E165" s="7"/>
      <c r="F165" s="7"/>
      <c r="G165" s="7"/>
      <c r="H165" s="7"/>
      <c r="I165" s="7"/>
      <c r="J165" s="7"/>
      <c r="K165" s="7"/>
    </row>
    <row r="166" spans="3:11">
      <c r="C166" s="131" t="s">
        <v>372</v>
      </c>
      <c r="D166" s="7"/>
      <c r="E166" s="7"/>
      <c r="F166" s="7"/>
      <c r="G166" s="7"/>
      <c r="H166" s="7"/>
      <c r="I166" s="7"/>
      <c r="J166" s="7"/>
      <c r="K166" s="7"/>
    </row>
    <row r="167" spans="3:11">
      <c r="C167" s="63" t="s">
        <v>280</v>
      </c>
      <c r="D167" s="13" t="s">
        <v>281</v>
      </c>
      <c r="E167" s="7" t="s">
        <v>282</v>
      </c>
      <c r="F167" s="7"/>
      <c r="G167" s="7"/>
      <c r="H167" s="7"/>
      <c r="I167" s="7"/>
      <c r="J167" s="7"/>
      <c r="K167" s="7"/>
    </row>
    <row r="168" spans="3:11">
      <c r="C168" s="7"/>
      <c r="D168" s="7"/>
      <c r="E168" s="7"/>
      <c r="F168" s="7"/>
      <c r="G168" s="7"/>
      <c r="H168" s="7"/>
      <c r="I168" s="7"/>
      <c r="J168" s="7"/>
      <c r="K168" s="7"/>
    </row>
    <row r="169" spans="3:11">
      <c r="C169" s="7" t="s">
        <v>235</v>
      </c>
      <c r="D169" s="7" t="str">
        <f>IF(VLOOKUP(C166,行为概览!$D$3:$U$33,7,0)&gt;0,C$3&amp;"*"&amp;VLOOKUP(D167,$T$8:$U$43,2,0)&amp;"*"&amp;ROUND(VLOOKUP(C166,行为概览!$D$3:$U$33,7,0)*VLOOKUP(C166,行为概览!$D$3:$U$33,6,0),2),"无")</f>
        <v>400*RoleLv*3.33</v>
      </c>
      <c r="E169" s="7"/>
      <c r="F169" s="7"/>
      <c r="G169" s="7"/>
      <c r="H169" s="7"/>
      <c r="I169" s="7"/>
      <c r="J169" s="7"/>
      <c r="K169" s="7"/>
    </row>
    <row r="170" spans="3:11">
      <c r="C170" s="7" t="s">
        <v>236</v>
      </c>
      <c r="D170" s="7" t="str">
        <f>IF(VLOOKUP(C166,行为概览!$D$3:$U$33,8,0)&gt;0,D$3&amp;"*"&amp;VLOOKUP(D167,$T$8:$U$43,2,0)&amp;"*"&amp;ROUND(VLOOKUP(C166,行为概览!$D$3:$U$33,8,0)*VLOOKUP(C166,行为概览!$D$3:$U$33,6,0),2),"无")</f>
        <v>无</v>
      </c>
      <c r="E170" s="7"/>
      <c r="F170" s="7"/>
      <c r="G170" s="7"/>
      <c r="H170" s="7"/>
      <c r="I170" s="7"/>
      <c r="J170" s="7"/>
      <c r="K170" s="7"/>
    </row>
    <row r="171" spans="3:11">
      <c r="C171" s="7" t="s">
        <v>237</v>
      </c>
      <c r="D171" s="7" t="str">
        <f>IF(VLOOKUP(C166,行为概览!$D$3:$U$33,9,0)&gt;0,E$3&amp;"*"&amp;VLOOKUP(D167,$T$8:$U$43,2,0)&amp;"*"&amp;ROUND(VLOOKUP(C166,行为概览!$D$3:$U$33,9,0),2),"无")</f>
        <v>1000*RoleLv*1</v>
      </c>
      <c r="E171" s="7"/>
      <c r="F171" s="7"/>
      <c r="G171" s="7"/>
      <c r="H171" s="7"/>
      <c r="I171" s="7"/>
      <c r="J171" s="7"/>
      <c r="K171" s="7"/>
    </row>
    <row r="172" spans="3:11">
      <c r="C172" s="7" t="s">
        <v>238</v>
      </c>
      <c r="D172" s="7" t="str">
        <f>IF(VLOOKUP(C166,行为概览!$D$3:$U$33,10,0)&gt;0,F$3&amp;"*"&amp;VLOOKUP(D167,$T$8:$U$43,2,0)&amp;"*"&amp;ROUND(VLOOKUP(C166,行为概览!$D$3:$U$33,10,0),2),"无")</f>
        <v>1*RoleLv*5</v>
      </c>
      <c r="E172" s="7"/>
      <c r="F172" s="7"/>
      <c r="G172" s="7"/>
      <c r="H172" s="7"/>
      <c r="I172" s="7"/>
      <c r="J172" s="7"/>
      <c r="K172" s="7"/>
    </row>
    <row r="173" spans="3:11">
      <c r="C173" s="7"/>
      <c r="D173" s="7"/>
      <c r="E173" s="7"/>
      <c r="F173" s="7"/>
      <c r="G173" s="7"/>
      <c r="H173" s="7"/>
      <c r="I173" s="7"/>
      <c r="J173" s="7"/>
      <c r="K173" s="7"/>
    </row>
    <row r="174" spans="3:11">
      <c r="C174" s="7"/>
      <c r="D174" s="7"/>
      <c r="E174" s="7"/>
      <c r="F174" s="7"/>
      <c r="G174" s="7"/>
      <c r="H174" s="7"/>
      <c r="I174" s="7"/>
      <c r="J174" s="7"/>
      <c r="K174" s="7"/>
    </row>
    <row r="175" spans="3:11">
      <c r="C175" s="7" t="s">
        <v>323</v>
      </c>
      <c r="D175" s="7">
        <v>1</v>
      </c>
      <c r="E175" s="63" t="s">
        <v>420</v>
      </c>
      <c r="F175" s="7">
        <v>2</v>
      </c>
      <c r="G175" s="7" t="s">
        <v>316</v>
      </c>
      <c r="H175" s="7">
        <v>1</v>
      </c>
      <c r="I175" s="7">
        <v>0.82</v>
      </c>
      <c r="J175" s="7">
        <f>0.78+0.04*H175</f>
        <v>0.82000000000000006</v>
      </c>
      <c r="K175" s="7" t="str">
        <f>0.78&amp;"+0.04*"&amp;VLOOKUP("环数",$T$8:$U$43,2,0)</f>
        <v>0.78+0.04*Ring</v>
      </c>
    </row>
    <row r="176" spans="3:11">
      <c r="C176" s="7" t="s">
        <v>389</v>
      </c>
      <c r="D176" s="7">
        <v>10</v>
      </c>
      <c r="E176" s="7"/>
      <c r="F176" s="7"/>
      <c r="G176" s="7"/>
      <c r="H176" s="7">
        <v>2</v>
      </c>
      <c r="I176" s="7">
        <v>0.86</v>
      </c>
      <c r="J176" s="7">
        <f t="shared" ref="J176:J184" si="12">0.78+0.04*H176</f>
        <v>0.86</v>
      </c>
      <c r="K176" s="7"/>
    </row>
    <row r="177" spans="3:11">
      <c r="C177" s="7"/>
      <c r="D177" s="7"/>
      <c r="E177" s="7"/>
      <c r="F177" s="7"/>
      <c r="G177" s="7"/>
      <c r="H177" s="7">
        <v>3</v>
      </c>
      <c r="I177" s="7">
        <v>0.9</v>
      </c>
      <c r="J177" s="7">
        <f t="shared" si="12"/>
        <v>0.9</v>
      </c>
      <c r="K177" s="7"/>
    </row>
    <row r="178" spans="3:11">
      <c r="C178" s="7" t="s">
        <v>317</v>
      </c>
      <c r="D178" s="10" t="str">
        <f>IF(VLOOKUP(C166,行为概览!$D$3:$U$33,7,0)&gt;0,C$3&amp;"*"&amp;VLOOKUP(D167,$T$8:$U$43,2,0)&amp;"*"&amp;ROUND(VLOOKUP(C166,行为概览!$D$3:$U$33,7,0)*VLOOKUP(C166,行为概览!$D$3:$U$33,6,0)/D176*(10/12),3)&amp;"*("&amp;K175&amp;")","无")</f>
        <v>400*RoleLv*0.278*(0.78+0.04*Ring)</v>
      </c>
      <c r="E178" s="7"/>
      <c r="F178" s="7"/>
      <c r="G178" s="7"/>
      <c r="H178" s="7">
        <v>4</v>
      </c>
      <c r="I178" s="7">
        <v>0.94</v>
      </c>
      <c r="J178" s="7">
        <f t="shared" si="12"/>
        <v>0.94000000000000006</v>
      </c>
      <c r="K178" s="7"/>
    </row>
    <row r="179" spans="3:11">
      <c r="C179" s="7" t="s">
        <v>319</v>
      </c>
      <c r="D179" s="10" t="str">
        <f>IF(VLOOKUP(C166,行为概览!$D$3:$U$33,8,0)&gt;0,D$3&amp;"*"&amp;VLOOKUP(D167,$T$8:$U$43,2,0)&amp;"*"&amp;ROUND(VLOOKUP(C166,行为概览!$D$3:$U$33,8,0)*VLOOKUP(C166,行为概览!$D$3:$U$33,6,0)/D176,3)&amp;"*("&amp;K175&amp;")","无")</f>
        <v>无</v>
      </c>
      <c r="E179" s="7"/>
      <c r="F179" s="7"/>
      <c r="G179" s="7"/>
      <c r="H179" s="7">
        <v>5</v>
      </c>
      <c r="I179" s="7">
        <v>0.98</v>
      </c>
      <c r="J179" s="7">
        <f t="shared" si="12"/>
        <v>0.98</v>
      </c>
      <c r="K179" s="7"/>
    </row>
    <row r="180" spans="3:11">
      <c r="C180" s="7" t="s">
        <v>320</v>
      </c>
      <c r="D180" s="10" t="str">
        <f>IF(VLOOKUP(C166,行为概览!$D$3:$U$33,9,0)&gt;0,E$3&amp;"*"&amp;VLOOKUP(D167,$T$8:$U$43,2,0)&amp;"*"&amp;ROUND(VLOOKUP(C166,行为概览!$D$3:$U$33,9,0)/D176,3)&amp;"*("&amp;K175&amp;")","无")</f>
        <v>1000*RoleLv*0.1*(0.78+0.04*Ring)</v>
      </c>
      <c r="E180" s="7"/>
      <c r="F180" s="7"/>
      <c r="G180" s="7"/>
      <c r="H180" s="7">
        <v>6</v>
      </c>
      <c r="I180" s="7">
        <v>1.02</v>
      </c>
      <c r="J180" s="7">
        <f t="shared" si="12"/>
        <v>1.02</v>
      </c>
      <c r="K180" s="7"/>
    </row>
    <row r="181" spans="3:11">
      <c r="C181" s="137" t="s">
        <v>417</v>
      </c>
      <c r="D181" s="10" t="str">
        <f>IF(VLOOKUP(C166,行为概览!$D$3:$U$33,10,0)&gt;0,F$3&amp;"*"&amp;VLOOKUP(D167,$T$8:$U$43,2,0)&amp;"*"&amp;ROUND(VLOOKUP(C166,行为概览!$D$3:$U$33,10,0)/D175,3),"无")</f>
        <v>1*RoleLv*5</v>
      </c>
      <c r="E181" s="7"/>
      <c r="F181" s="7"/>
      <c r="G181" s="7"/>
      <c r="H181" s="7">
        <v>7</v>
      </c>
      <c r="I181" s="7">
        <v>1.06</v>
      </c>
      <c r="J181" s="7">
        <f t="shared" si="12"/>
        <v>1.06</v>
      </c>
      <c r="K181" s="7"/>
    </row>
    <row r="182" spans="3:11">
      <c r="C182" s="7"/>
      <c r="D182" s="7"/>
      <c r="E182" s="7"/>
      <c r="F182" s="7"/>
      <c r="G182" s="7"/>
      <c r="H182" s="7">
        <v>8</v>
      </c>
      <c r="I182" s="7">
        <v>1.1000000000000001</v>
      </c>
      <c r="J182" s="7">
        <f t="shared" si="12"/>
        <v>1.1000000000000001</v>
      </c>
      <c r="K182" s="7"/>
    </row>
    <row r="183" spans="3:11">
      <c r="C183" s="7"/>
      <c r="D183" s="7"/>
      <c r="E183" s="7"/>
      <c r="F183" s="7"/>
      <c r="G183" s="7"/>
      <c r="H183" s="7">
        <v>9</v>
      </c>
      <c r="I183" s="7">
        <v>1.1399999999999999</v>
      </c>
      <c r="J183" s="7">
        <f t="shared" si="12"/>
        <v>1.1400000000000001</v>
      </c>
      <c r="K183" s="7"/>
    </row>
    <row r="184" spans="3:11">
      <c r="C184" s="7"/>
      <c r="D184" s="7"/>
      <c r="E184" s="7"/>
      <c r="F184" s="7"/>
      <c r="G184" s="7"/>
      <c r="H184" s="7">
        <v>10</v>
      </c>
      <c r="I184" s="7">
        <v>1.18</v>
      </c>
      <c r="J184" s="7">
        <f t="shared" si="12"/>
        <v>1.1800000000000002</v>
      </c>
      <c r="K184" s="7"/>
    </row>
    <row r="187" spans="3:11">
      <c r="C187" s="131" t="s">
        <v>472</v>
      </c>
      <c r="D187" s="7"/>
      <c r="E187" s="7"/>
      <c r="F187" s="7"/>
      <c r="G187" s="7"/>
      <c r="H187" s="7"/>
      <c r="I187" s="7"/>
      <c r="J187" s="7"/>
      <c r="K187" s="7"/>
    </row>
    <row r="188" spans="3:11">
      <c r="C188" s="63" t="s">
        <v>280</v>
      </c>
      <c r="D188" s="13" t="s">
        <v>281</v>
      </c>
      <c r="E188" s="7" t="s">
        <v>282</v>
      </c>
      <c r="F188" s="7"/>
      <c r="G188" s="7"/>
      <c r="H188" s="7"/>
      <c r="I188" s="7"/>
      <c r="J188" s="7"/>
      <c r="K188" s="7"/>
    </row>
    <row r="189" spans="3:11">
      <c r="C189" s="7"/>
      <c r="D189" s="7"/>
      <c r="E189" s="7"/>
      <c r="F189" s="7"/>
      <c r="G189" s="7"/>
      <c r="H189" s="7"/>
      <c r="I189" s="7"/>
      <c r="J189" s="7"/>
      <c r="K189" s="7"/>
    </row>
    <row r="190" spans="3:11">
      <c r="C190" s="7" t="s">
        <v>330</v>
      </c>
      <c r="D190" s="7" t="str">
        <f>IF(VLOOKUP(C187,行为概览!$D$3:$U$33,7,0)&gt;0,C$3&amp;"*"&amp;VLOOKUP(D188,$T$8:$U$43,2,0)&amp;"*"&amp;ROUND(VLOOKUP(C187,行为概览!$D$3:$U$33,7,0)*VLOOKUP(C187,行为概览!$D$3:$U$33,6,0),2)*7,"无")</f>
        <v>400*RoleLv*140</v>
      </c>
      <c r="E190" s="7"/>
      <c r="F190" s="7"/>
      <c r="G190" s="7"/>
      <c r="H190" s="7"/>
      <c r="I190" s="7"/>
      <c r="J190" s="7"/>
      <c r="K190" s="7"/>
    </row>
    <row r="191" spans="3:11">
      <c r="C191" s="7" t="s">
        <v>331</v>
      </c>
      <c r="D191" s="7" t="str">
        <f>IF(VLOOKUP(C187,行为概览!$D$3:$U$33,8,0)&gt;0,D$3&amp;"*"&amp;VLOOKUP(D188,$T$8:$U$43,2,0)&amp;"*"&amp;ROUND(VLOOKUP(C187,行为概览!$D$3:$U$33,8,0)*VLOOKUP(C187,行为概览!$D$3:$U$33,6,0),2)*7,"无")</f>
        <v>无</v>
      </c>
      <c r="E191" s="7"/>
      <c r="F191" s="7"/>
      <c r="G191" s="7"/>
      <c r="H191" s="7"/>
      <c r="I191" s="7"/>
      <c r="J191" s="7"/>
      <c r="K191" s="7"/>
    </row>
    <row r="192" spans="3:11">
      <c r="C192" s="7" t="s">
        <v>332</v>
      </c>
      <c r="D192" s="7" t="str">
        <f>IF(VLOOKUP(C187,行为概览!$D$3:$U$33,9,0)&gt;0,E$3&amp;"*"&amp;VLOOKUP(D188,$T$8:$U$43,2,0)&amp;"*"&amp;ROUND(VLOOKUP(C187,行为概览!$D$3:$U$33,9,0),2)*7,"无")</f>
        <v>无</v>
      </c>
      <c r="E192" s="7"/>
      <c r="F192" s="7"/>
      <c r="G192" s="7"/>
      <c r="H192" s="7"/>
      <c r="I192" s="7"/>
      <c r="J192" s="7"/>
      <c r="K192" s="7"/>
    </row>
    <row r="193" spans="3:16">
      <c r="C193" s="7" t="s">
        <v>333</v>
      </c>
      <c r="D193" s="7" t="str">
        <f>IF(VLOOKUP(C187,行为概览!$D$3:$U$33,10,0)&gt;0,F$3&amp;"*"&amp;VLOOKUP(D188,$T$8:$U$43,2,0)&amp;"*"&amp;ROUND(VLOOKUP(C187,行为概览!$D$3:$U$33,10,0),2)*7,"无")</f>
        <v>无</v>
      </c>
      <c r="E193" s="7"/>
      <c r="F193" s="7"/>
      <c r="G193" s="7"/>
      <c r="H193" s="7"/>
      <c r="I193" s="7"/>
      <c r="J193" s="7"/>
      <c r="K193" s="7"/>
    </row>
    <row r="194" spans="3:16">
      <c r="C194" s="7"/>
      <c r="D194" s="7"/>
      <c r="E194" s="7"/>
      <c r="F194" s="7"/>
      <c r="G194" s="7"/>
      <c r="H194" s="7"/>
      <c r="I194" s="7"/>
      <c r="J194" s="7"/>
      <c r="K194" s="7"/>
    </row>
    <row r="195" spans="3:16">
      <c r="C195" s="7"/>
      <c r="D195" s="7"/>
      <c r="E195" s="7"/>
      <c r="F195" s="7"/>
      <c r="G195" s="7"/>
      <c r="H195" s="7" t="s">
        <v>315</v>
      </c>
      <c r="I195" s="7"/>
      <c r="J195" s="7"/>
      <c r="K195" s="7"/>
      <c r="L195" s="7" t="s">
        <v>334</v>
      </c>
    </row>
    <row r="196" spans="3:16">
      <c r="C196" s="7" t="s">
        <v>323</v>
      </c>
      <c r="D196" s="7">
        <v>1</v>
      </c>
      <c r="E196" s="7"/>
      <c r="F196" s="7"/>
      <c r="G196" s="7"/>
      <c r="H196" s="7">
        <v>1</v>
      </c>
      <c r="I196" s="7">
        <v>0.93</v>
      </c>
      <c r="J196" s="7">
        <f>0.91+0.02*H196</f>
        <v>0.93</v>
      </c>
      <c r="K196" s="10" t="str">
        <f>0.91&amp;"+0.02*(("&amp;VLOOKUP("环数",$T$8:$U$43,2,0)&amp;"-1)%8+1)"</f>
        <v>0.91+0.02*((Ring-1)%8+1)</v>
      </c>
      <c r="L196" s="7">
        <v>1</v>
      </c>
      <c r="M196" s="7">
        <v>0.62</v>
      </c>
      <c r="N196" s="10" t="str">
        <f>0.58&amp;"+0.04*(floor(("&amp;VLOOKUP("环数",$T$8:$U$43,2,0)&amp;"-1)/8)+1)"</f>
        <v>0.58+0.04*(floor((Ring-1)/8)+1)</v>
      </c>
      <c r="O196">
        <f>0.58+0.04*(ROUNDDOWN((L196-1)/8,0)+1)</f>
        <v>0.62</v>
      </c>
      <c r="P196" s="7">
        <f>ROUNDDOWN((L196-1)/8,0)+1</f>
        <v>1</v>
      </c>
    </row>
    <row r="197" spans="3:16">
      <c r="C197" s="7" t="s">
        <v>389</v>
      </c>
      <c r="D197" s="7">
        <v>160</v>
      </c>
      <c r="E197" s="7"/>
      <c r="F197" s="7"/>
      <c r="G197" s="7"/>
      <c r="H197" s="7">
        <v>2</v>
      </c>
      <c r="I197" s="7">
        <v>0.95</v>
      </c>
      <c r="J197" s="7">
        <f t="shared" ref="J197:J203" si="13">0.91+0.02*H197</f>
        <v>0.95000000000000007</v>
      </c>
      <c r="K197" s="7"/>
      <c r="L197" s="7">
        <v>2</v>
      </c>
      <c r="M197" s="7">
        <v>0.66</v>
      </c>
      <c r="O197" s="7">
        <f t="shared" ref="O197:O215" si="14">0.58+0.04*(ROUNDDOWN((L197-1)/8,0)+1)</f>
        <v>0.62</v>
      </c>
      <c r="P197" s="7">
        <f t="shared" ref="P197:P215" si="15">ROUNDDOWN((L197-1)/8,0)+1</f>
        <v>1</v>
      </c>
    </row>
    <row r="198" spans="3:16">
      <c r="C198" s="7"/>
      <c r="D198" s="7"/>
      <c r="E198" s="7"/>
      <c r="F198" s="7"/>
      <c r="G198" s="7"/>
      <c r="H198" s="7">
        <v>3</v>
      </c>
      <c r="I198" s="7">
        <v>0.97</v>
      </c>
      <c r="J198" s="7">
        <f t="shared" si="13"/>
        <v>0.97</v>
      </c>
      <c r="K198" s="7"/>
      <c r="L198" s="7">
        <v>3</v>
      </c>
      <c r="M198" s="7">
        <v>0.7</v>
      </c>
      <c r="O198" s="7">
        <f t="shared" si="14"/>
        <v>0.62</v>
      </c>
      <c r="P198" s="7">
        <f t="shared" si="15"/>
        <v>1</v>
      </c>
    </row>
    <row r="199" spans="3:16">
      <c r="C199" s="7" t="s">
        <v>317</v>
      </c>
      <c r="D199" s="10" t="str">
        <f>IF(VLOOKUP(C187,行为概览!$D$3:$U$33,7,0)&gt;0,C$3&amp;"*"&amp;VLOOKUP(D188,$T$8:$U$43,2,0)&amp;"*"&amp;ROUND(VLOOKUP(C187,行为概览!$D$3:$U$33,7,0)*VLOOKUP(C187,行为概览!$D$3:$U$33,6,0)*7/D197,3)&amp;"*("&amp;K196&amp;")"&amp;"*("&amp;N196&amp;")","无")</f>
        <v>400*RoleLv*0.875*(0.91+0.02*((Ring-1)%8+1))*(0.58+0.04*(floor((Ring-1)/8)+1))</v>
      </c>
      <c r="E199" s="7"/>
      <c r="F199" s="7"/>
      <c r="G199" s="7"/>
      <c r="H199" s="7">
        <v>4</v>
      </c>
      <c r="I199" s="7">
        <v>0.99</v>
      </c>
      <c r="J199" s="7">
        <f t="shared" si="13"/>
        <v>0.99</v>
      </c>
      <c r="K199" s="7"/>
      <c r="L199" s="7">
        <v>4</v>
      </c>
      <c r="M199" s="7">
        <v>0.74</v>
      </c>
      <c r="O199" s="7">
        <f t="shared" si="14"/>
        <v>0.62</v>
      </c>
      <c r="P199" s="7">
        <f t="shared" si="15"/>
        <v>1</v>
      </c>
    </row>
    <row r="200" spans="3:16">
      <c r="C200" s="7" t="s">
        <v>319</v>
      </c>
      <c r="D200" s="10" t="str">
        <f>IF(VLOOKUP(C187,行为概览!$D$3:$U$33,8,0)&gt;0,D$3&amp;"*"&amp;VLOOKUP(D188,$T$8:$U$43,2,0)&amp;"*"&amp;ROUND(VLOOKUP(C187,行为概览!$D$3:$U$33,8,0)*VLOOKUP(C187,行为概览!$D$3:$U$33,6,0)*7/D197,3)&amp;"*("&amp;K196&amp;")"&amp;"*("&amp;N196&amp;")","无")</f>
        <v>无</v>
      </c>
      <c r="E200" s="7"/>
      <c r="F200" s="7"/>
      <c r="G200" s="7"/>
      <c r="H200" s="7">
        <v>5</v>
      </c>
      <c r="I200" s="7">
        <v>1.01</v>
      </c>
      <c r="J200" s="7">
        <f t="shared" si="13"/>
        <v>1.01</v>
      </c>
      <c r="K200" s="7"/>
      <c r="L200" s="7">
        <v>5</v>
      </c>
      <c r="M200" s="7">
        <v>0.78</v>
      </c>
      <c r="O200" s="7">
        <f t="shared" si="14"/>
        <v>0.62</v>
      </c>
      <c r="P200" s="7">
        <f t="shared" si="15"/>
        <v>1</v>
      </c>
    </row>
    <row r="201" spans="3:16">
      <c r="C201" s="7" t="s">
        <v>320</v>
      </c>
      <c r="D201" s="10" t="str">
        <f>IF(VLOOKUP(C187,行为概览!$D$3:$U$33,9,0)&gt;0,E$3&amp;"*"&amp;VLOOKUP(D188,$T$8:$U$43,2,0)&amp;"*"&amp;ROUND(VLOOKUP(C187,行为概览!$D$3:$U$33,9,0)*7/D197,3)&amp;"*("&amp;K196&amp;")"&amp;"*("&amp;N196&amp;")","无")</f>
        <v>无</v>
      </c>
      <c r="E201" s="7"/>
      <c r="F201" s="7"/>
      <c r="G201" s="7"/>
      <c r="H201" s="7">
        <v>6</v>
      </c>
      <c r="I201" s="7">
        <v>1.03</v>
      </c>
      <c r="J201" s="7">
        <f t="shared" si="13"/>
        <v>1.03</v>
      </c>
      <c r="K201" s="7"/>
      <c r="L201" s="7">
        <v>6</v>
      </c>
      <c r="M201" s="7">
        <v>0.82</v>
      </c>
      <c r="O201" s="7">
        <f t="shared" si="14"/>
        <v>0.62</v>
      </c>
      <c r="P201" s="7">
        <f t="shared" si="15"/>
        <v>1</v>
      </c>
    </row>
    <row r="202" spans="3:16">
      <c r="C202" s="137" t="s">
        <v>417</v>
      </c>
      <c r="D202" s="10" t="str">
        <f>IF(VLOOKUP(C187,行为概览!$D$3:$U$33,10,0)&gt;0,F$3&amp;"*"&amp;VLOOKUP(D188,$T$8:$U$43,2,0)&amp;"*"&amp;ROUND(VLOOKUP(C187,行为概览!$D$3:$U$33,10,0)*7/D196,3)&amp;"*("&amp;N196&amp;")","无")</f>
        <v>无</v>
      </c>
      <c r="E202" s="7"/>
      <c r="F202" s="7"/>
      <c r="G202" s="7"/>
      <c r="H202" s="7">
        <v>7</v>
      </c>
      <c r="I202" s="7">
        <v>1.05</v>
      </c>
      <c r="J202" s="7">
        <f t="shared" si="13"/>
        <v>1.05</v>
      </c>
      <c r="K202" s="7"/>
      <c r="L202" s="7">
        <v>7</v>
      </c>
      <c r="M202" s="7">
        <v>0.86</v>
      </c>
      <c r="O202" s="7">
        <f t="shared" si="14"/>
        <v>0.62</v>
      </c>
      <c r="P202" s="7">
        <f t="shared" si="15"/>
        <v>1</v>
      </c>
    </row>
    <row r="203" spans="3:16">
      <c r="C203" s="7"/>
      <c r="D203" s="7"/>
      <c r="E203" s="7"/>
      <c r="F203" s="7"/>
      <c r="G203" s="7"/>
      <c r="H203" s="7">
        <v>8</v>
      </c>
      <c r="I203" s="7">
        <v>1.07</v>
      </c>
      <c r="J203" s="7">
        <f t="shared" si="13"/>
        <v>1.07</v>
      </c>
      <c r="K203" s="7"/>
      <c r="L203" s="7">
        <v>8</v>
      </c>
      <c r="M203" s="7">
        <v>0.9</v>
      </c>
      <c r="O203" s="7">
        <f t="shared" si="14"/>
        <v>0.62</v>
      </c>
      <c r="P203" s="7">
        <f t="shared" si="15"/>
        <v>1</v>
      </c>
    </row>
    <row r="204" spans="3:16">
      <c r="C204" s="7"/>
      <c r="D204" s="7"/>
      <c r="E204" s="7"/>
      <c r="F204" s="7"/>
      <c r="G204" s="7"/>
      <c r="H204" s="7"/>
      <c r="I204" s="7"/>
      <c r="J204" s="7"/>
      <c r="K204" s="7"/>
      <c r="L204" s="7">
        <v>9</v>
      </c>
      <c r="M204" s="7">
        <v>0.94</v>
      </c>
      <c r="O204" s="7">
        <f t="shared" si="14"/>
        <v>0.65999999999999992</v>
      </c>
      <c r="P204" s="7">
        <f t="shared" si="15"/>
        <v>2</v>
      </c>
    </row>
    <row r="205" spans="3:16">
      <c r="C205" s="7"/>
      <c r="D205" s="7"/>
      <c r="E205" s="7"/>
      <c r="F205" s="7"/>
      <c r="G205" s="7"/>
      <c r="H205" s="7"/>
      <c r="I205" s="7"/>
      <c r="J205" s="7"/>
      <c r="K205" s="7"/>
      <c r="L205" s="7">
        <v>10</v>
      </c>
      <c r="M205" s="7">
        <v>0.98</v>
      </c>
      <c r="O205" s="7">
        <f t="shared" si="14"/>
        <v>0.65999999999999992</v>
      </c>
      <c r="P205" s="7">
        <f t="shared" si="15"/>
        <v>2</v>
      </c>
    </row>
    <row r="206" spans="3:16">
      <c r="L206" s="7">
        <v>11</v>
      </c>
      <c r="M206" s="7">
        <v>1.02</v>
      </c>
      <c r="O206" s="7">
        <f t="shared" si="14"/>
        <v>0.65999999999999992</v>
      </c>
      <c r="P206" s="7">
        <f t="shared" si="15"/>
        <v>2</v>
      </c>
    </row>
    <row r="207" spans="3:16">
      <c r="L207" s="7">
        <v>12</v>
      </c>
      <c r="M207" s="7">
        <v>1.06</v>
      </c>
      <c r="O207" s="7">
        <f t="shared" si="14"/>
        <v>0.65999999999999992</v>
      </c>
      <c r="P207" s="7">
        <f t="shared" si="15"/>
        <v>2</v>
      </c>
    </row>
    <row r="208" spans="3:16">
      <c r="L208" s="7">
        <v>13</v>
      </c>
      <c r="M208" s="7">
        <v>1.1000000000000001</v>
      </c>
      <c r="O208" s="7">
        <f t="shared" si="14"/>
        <v>0.65999999999999992</v>
      </c>
      <c r="P208" s="7">
        <f t="shared" si="15"/>
        <v>2</v>
      </c>
    </row>
    <row r="209" spans="8:16">
      <c r="L209" s="7">
        <v>14</v>
      </c>
      <c r="M209" s="7">
        <v>1.1399999999999999</v>
      </c>
      <c r="O209" s="7">
        <f t="shared" si="14"/>
        <v>0.65999999999999992</v>
      </c>
      <c r="P209" s="7">
        <f t="shared" si="15"/>
        <v>2</v>
      </c>
    </row>
    <row r="210" spans="8:16">
      <c r="L210" s="7">
        <v>15</v>
      </c>
      <c r="M210" s="7">
        <v>1.18</v>
      </c>
      <c r="O210" s="7">
        <f t="shared" si="14"/>
        <v>0.65999999999999992</v>
      </c>
      <c r="P210" s="7">
        <f t="shared" si="15"/>
        <v>2</v>
      </c>
    </row>
    <row r="211" spans="8:16">
      <c r="L211" s="7">
        <v>16</v>
      </c>
      <c r="M211" s="7">
        <v>1.22</v>
      </c>
      <c r="O211" s="7">
        <f t="shared" si="14"/>
        <v>0.65999999999999992</v>
      </c>
      <c r="P211" s="7">
        <f t="shared" si="15"/>
        <v>2</v>
      </c>
    </row>
    <row r="212" spans="8:16">
      <c r="L212" s="7">
        <v>17</v>
      </c>
      <c r="M212" s="7">
        <v>1.26</v>
      </c>
      <c r="O212" s="7">
        <f t="shared" si="14"/>
        <v>0.7</v>
      </c>
      <c r="P212" s="7">
        <f t="shared" si="15"/>
        <v>3</v>
      </c>
    </row>
    <row r="213" spans="8:16">
      <c r="L213" s="7">
        <v>18</v>
      </c>
      <c r="M213" s="7">
        <v>1.3</v>
      </c>
      <c r="O213" s="7">
        <f t="shared" si="14"/>
        <v>0.7</v>
      </c>
      <c r="P213" s="7">
        <f t="shared" si="15"/>
        <v>3</v>
      </c>
    </row>
    <row r="214" spans="8:16">
      <c r="L214" s="7">
        <v>19</v>
      </c>
      <c r="M214" s="7">
        <v>1.34</v>
      </c>
      <c r="O214" s="7">
        <f t="shared" si="14"/>
        <v>0.7</v>
      </c>
      <c r="P214" s="7">
        <f t="shared" si="15"/>
        <v>3</v>
      </c>
    </row>
    <row r="215" spans="8:16">
      <c r="L215" s="7">
        <v>20</v>
      </c>
      <c r="M215" s="7">
        <v>1.38</v>
      </c>
      <c r="O215" s="7">
        <f t="shared" si="14"/>
        <v>0.7</v>
      </c>
      <c r="P215" s="7">
        <f t="shared" si="15"/>
        <v>3</v>
      </c>
    </row>
    <row r="216" spans="8:16">
      <c r="L216" s="7"/>
      <c r="M216" s="7"/>
    </row>
    <row r="217" spans="8:16">
      <c r="H217" s="7"/>
      <c r="L217" s="7"/>
      <c r="M217" s="7"/>
    </row>
    <row r="218" spans="8:16">
      <c r="H218" s="7"/>
      <c r="L218" s="7"/>
      <c r="M218" s="7"/>
    </row>
    <row r="219" spans="8:16">
      <c r="H219" s="7"/>
      <c r="L219" s="7"/>
      <c r="M219" s="7"/>
    </row>
    <row r="220" spans="8:16">
      <c r="H220" s="7"/>
      <c r="L220" s="7"/>
      <c r="M220" s="7"/>
    </row>
    <row r="221" spans="8:16">
      <c r="H221" s="7"/>
      <c r="L221" s="7"/>
      <c r="M221" s="7"/>
    </row>
    <row r="222" spans="8:16">
      <c r="H222" s="7"/>
      <c r="L222" s="7"/>
      <c r="M222" s="7"/>
    </row>
    <row r="223" spans="8:16">
      <c r="H223" s="7"/>
      <c r="L223" s="7"/>
      <c r="M223" s="7"/>
    </row>
    <row r="224" spans="8:16">
      <c r="H224" s="7"/>
      <c r="L224" s="7"/>
      <c r="M224" s="7"/>
    </row>
    <row r="225" spans="2:13">
      <c r="G225" s="7"/>
      <c r="H225" s="7"/>
      <c r="L225" s="7"/>
      <c r="M225" s="7"/>
    </row>
    <row r="226" spans="2:13">
      <c r="H226" s="7"/>
    </row>
    <row r="227" spans="2:13">
      <c r="H227" s="7"/>
    </row>
    <row r="228" spans="2:13">
      <c r="H228" s="7"/>
    </row>
    <row r="229" spans="2:13">
      <c r="H229" s="7"/>
    </row>
    <row r="230" spans="2:13">
      <c r="C230" s="131" t="s">
        <v>27</v>
      </c>
      <c r="D230" s="7"/>
      <c r="E230" s="7"/>
      <c r="F230" s="7"/>
      <c r="G230" s="7"/>
      <c r="H230" s="7"/>
      <c r="I230" s="7"/>
      <c r="J230" s="7"/>
      <c r="K230" s="7"/>
    </row>
    <row r="231" spans="2:13">
      <c r="B231" s="13" t="s">
        <v>338</v>
      </c>
      <c r="C231" s="63" t="s">
        <v>280</v>
      </c>
      <c r="D231" s="13" t="s">
        <v>290</v>
      </c>
      <c r="E231" s="7" t="s">
        <v>282</v>
      </c>
      <c r="F231" s="7"/>
      <c r="G231" s="7" t="s">
        <v>337</v>
      </c>
      <c r="H231" s="7"/>
      <c r="I231" s="7"/>
      <c r="J231" s="7"/>
      <c r="K231" s="7"/>
    </row>
    <row r="232" spans="2:13">
      <c r="C232" s="7"/>
      <c r="D232" s="13"/>
      <c r="E232" s="7"/>
      <c r="F232" s="7"/>
      <c r="G232" s="7" t="s">
        <v>423</v>
      </c>
      <c r="H232" s="7">
        <f>ROUND(1/D241,3)</f>
        <v>8.3000000000000004E-2</v>
      </c>
      <c r="I232" s="7"/>
      <c r="J232" s="7"/>
      <c r="K232" s="7"/>
    </row>
    <row r="233" spans="2:13">
      <c r="C233" s="7" t="s">
        <v>235</v>
      </c>
      <c r="D233" s="7" t="str">
        <f>IF(VLOOKUP(C230,行为概览!$D$3:$U$33,7,0)&gt;0,C$3&amp;"*"&amp;VLOOKUP(D231,$T$8:$U$43,2,0)&amp;"*"&amp;ROUND(VLOOKUP(C230,行为概览!$D$3:$U$33,7,0)*VLOOKUP(C230,行为概览!$D$3:$U$33,6,0),2),"无")</f>
        <v>400*MonsterLv*12</v>
      </c>
      <c r="E233" s="7"/>
      <c r="F233" s="7"/>
      <c r="G233" s="7" t="s">
        <v>434</v>
      </c>
      <c r="H233" s="7"/>
      <c r="I233" s="7"/>
      <c r="J233" s="7"/>
      <c r="K233" s="7"/>
    </row>
    <row r="234" spans="2:13">
      <c r="C234" s="7" t="s">
        <v>236</v>
      </c>
      <c r="D234" s="7" t="str">
        <f>IF(VLOOKUP(C230,行为概览!$D$3:$U$33,8,0)&gt;0,D$3&amp;"*"&amp;VLOOKUP(D231,$T$8:$U$43,2,0)&amp;"*"&amp;ROUND(VLOOKUP(C230,行为概览!$D$3:$U$33,8,0)*VLOOKUP(C230,行为概览!$D$3:$U$33,6,0),2),"无")</f>
        <v>5000*MonsterLv*12</v>
      </c>
      <c r="E234" s="7"/>
      <c r="F234" s="7"/>
      <c r="G234" s="7"/>
      <c r="H234" s="7"/>
      <c r="I234" s="7"/>
      <c r="J234" s="7"/>
      <c r="K234" s="7"/>
    </row>
    <row r="235" spans="2:13">
      <c r="C235" s="7" t="s">
        <v>237</v>
      </c>
      <c r="D235" s="7" t="str">
        <f>IF(VLOOKUP(C230,行为概览!$D$3:$U$33,9,0)&gt;0,E$3&amp;"*"&amp;VLOOKUP(D231,$T$8:$U$43,2,0)&amp;"*"&amp;ROUND(VLOOKUP(C230,行为概览!$D$3:$U$33,9,0),2),"无")</f>
        <v>无</v>
      </c>
      <c r="E235" s="7"/>
      <c r="F235" s="7"/>
      <c r="G235" s="7" t="s">
        <v>336</v>
      </c>
      <c r="H235" s="7"/>
      <c r="I235" s="7"/>
      <c r="J235" s="7"/>
      <c r="K235" s="7"/>
    </row>
    <row r="236" spans="2:13">
      <c r="C236" s="7" t="s">
        <v>238</v>
      </c>
      <c r="D236" s="7" t="str">
        <f>IF(VLOOKUP(C230,行为概览!$D$3:$U$33,10,0)&gt;0,F$3&amp;"*"&amp;VLOOKUP(D231,$T$8:$U$43,2,0)&amp;"*"&amp;ROUND(VLOOKUP(C230,行为概览!$D$3:$U$33,10,0),2),"无")</f>
        <v>无</v>
      </c>
      <c r="E236" s="7"/>
      <c r="F236" s="7"/>
      <c r="G236" s="7" t="s">
        <v>436</v>
      </c>
      <c r="H236" s="7"/>
      <c r="I236" s="7"/>
      <c r="J236" s="7"/>
      <c r="K236" s="7"/>
    </row>
    <row r="237" spans="2:13">
      <c r="C237" s="7"/>
      <c r="D237" s="7"/>
      <c r="E237" s="7"/>
      <c r="F237" s="7"/>
      <c r="G237" s="7" t="s">
        <v>437</v>
      </c>
      <c r="H237" s="7"/>
      <c r="I237" s="7"/>
      <c r="J237" s="7"/>
      <c r="K237" s="7"/>
    </row>
    <row r="238" spans="2:13">
      <c r="C238" s="7"/>
      <c r="D238" s="7"/>
      <c r="E238" s="7"/>
      <c r="F238" s="7"/>
      <c r="G238" s="7"/>
      <c r="H238" s="7"/>
      <c r="I238" s="7"/>
      <c r="J238" s="7"/>
      <c r="K238" s="7"/>
    </row>
    <row r="239" spans="2:13">
      <c r="C239" s="7" t="s">
        <v>339</v>
      </c>
      <c r="D239" s="7">
        <v>12</v>
      </c>
      <c r="E239" s="7"/>
      <c r="F239" s="7"/>
      <c r="G239" s="7"/>
      <c r="H239" s="7"/>
      <c r="I239" s="7"/>
      <c r="J239" s="7"/>
      <c r="K239" s="7"/>
    </row>
    <row r="240" spans="2:13">
      <c r="C240" s="7" t="s">
        <v>318</v>
      </c>
      <c r="D240" s="7">
        <f>90*D239</f>
        <v>1080</v>
      </c>
      <c r="E240" s="7"/>
      <c r="F240" s="7"/>
      <c r="G240" s="7"/>
      <c r="H240" s="7"/>
      <c r="I240" s="7"/>
      <c r="J240" s="7"/>
      <c r="K240" s="7"/>
    </row>
    <row r="241" spans="2:11">
      <c r="C241" s="7" t="s">
        <v>335</v>
      </c>
      <c r="D241" s="7">
        <v>12</v>
      </c>
      <c r="E241" s="7"/>
      <c r="F241" s="7"/>
      <c r="G241" s="7"/>
      <c r="H241" s="7"/>
      <c r="I241" s="7"/>
      <c r="J241" s="7"/>
      <c r="K241" s="7"/>
    </row>
    <row r="242" spans="2:11">
      <c r="C242" s="7" t="s">
        <v>317</v>
      </c>
      <c r="D242" s="10" t="str">
        <f>IF(VLOOKUP(C230,行为概览!$D$3:$U$33,7,0)&gt;0,C$3&amp;"*"&amp;VLOOKUP(D231,$T$8:$U$43,2,0)&amp;"*"&amp;ROUND(VLOOKUP(C230,行为概览!$D$3:$U$33,7,0)*VLOOKUP(C230,行为概览!$D$3:$U$33,6,0)/D240,3)&amp;"*"&amp;G233&amp;"*"&amp;G237,"无")</f>
        <v>400*MonsterLv*0.011*(MonsterNum*0.083+MasterNum*0.166)*min(max(1-0.2*floor(abs(MonsterLv-RoleLv)/5),0.1),1)</v>
      </c>
      <c r="E242" s="7"/>
      <c r="F242" s="7"/>
      <c r="G242" s="7"/>
      <c r="H242" s="7"/>
      <c r="I242" s="7"/>
      <c r="J242" s="7"/>
      <c r="K242" s="7"/>
    </row>
    <row r="243" spans="2:11">
      <c r="C243" s="7" t="s">
        <v>319</v>
      </c>
      <c r="D243" s="10" t="str">
        <f>IF(VLOOKUP(C230,行为概览!$D$3:$U$33,8,0)&gt;0,D$3&amp;"*"&amp;VLOOKUP(D231,$T$8:$U$43,2,0)&amp;"*"&amp;ROUND(VLOOKUP(C230,行为概览!$D$3:$U$33,8,0)*VLOOKUP(C230,行为概览!$D$3:$U$33,6,0)/D240,3)&amp;"*"&amp;G233&amp;"*"&amp;G237,"无")</f>
        <v>5000*MonsterLv*0.011*(MonsterNum*0.083+MasterNum*0.166)*min(max(1-0.2*floor(abs(MonsterLv-RoleLv)/5),0.1),1)</v>
      </c>
      <c r="E243" s="7"/>
      <c r="F243" s="7"/>
      <c r="G243" s="7"/>
      <c r="H243" s="7"/>
      <c r="I243" s="7"/>
      <c r="J243" s="7"/>
      <c r="K243" s="7"/>
    </row>
    <row r="244" spans="2:11">
      <c r="C244" s="7" t="s">
        <v>320</v>
      </c>
      <c r="D244" s="10" t="str">
        <f>IF(VLOOKUP(C230,行为概览!$D$3:$U$33,9,0)&gt;0,E$3&amp;"*"&amp;VLOOKUP(D231,$T$8:$U$43,2,0)&amp;"*"&amp;ROUND(VLOOKUP(C230,行为概览!$D$3:$U$33,9,0)/D240,3)&amp;"*"&amp;G233&amp;"*"&amp;G236,"无")</f>
        <v>无</v>
      </c>
      <c r="E244" s="7"/>
      <c r="F244" s="7"/>
      <c r="G244" s="7"/>
      <c r="H244" s="7"/>
      <c r="I244" s="7"/>
      <c r="J244" s="7"/>
      <c r="K244" s="7"/>
    </row>
    <row r="245" spans="2:11">
      <c r="C245" s="7" t="s">
        <v>328</v>
      </c>
      <c r="D245" s="10" t="str">
        <f>IF(VLOOKUP(C230,行为概览!$D$3:$U$33,10,0)&gt;0,F$3&amp;"*"&amp;VLOOKUP(D231,$T$8:$U$43,2,0)&amp;"*"&amp;ROUND(VLOOKUP(C230,行为概览!$D$3:$U$33,10,0)/D240,3)&amp;"*"&amp;G233&amp;"*"&amp;G236,"无")</f>
        <v>无</v>
      </c>
      <c r="E245" s="7"/>
      <c r="F245" s="7"/>
      <c r="G245" s="7"/>
      <c r="H245" s="7"/>
      <c r="I245" s="7"/>
      <c r="J245" s="7"/>
      <c r="K245" s="7"/>
    </row>
    <row r="246" spans="2:11">
      <c r="C246" s="7"/>
      <c r="D246" s="7"/>
      <c r="E246" s="7"/>
      <c r="F246" s="7"/>
      <c r="G246" s="7"/>
      <c r="H246" s="7"/>
      <c r="I246" s="7"/>
      <c r="J246" s="7"/>
      <c r="K246" s="7"/>
    </row>
    <row r="247" spans="2:11">
      <c r="B247" s="7" t="s">
        <v>353</v>
      </c>
      <c r="C247" s="131" t="s">
        <v>324</v>
      </c>
      <c r="D247" s="7" t="s">
        <v>326</v>
      </c>
      <c r="E247" s="7"/>
      <c r="F247" s="7"/>
      <c r="G247" s="7"/>
      <c r="H247" s="7"/>
      <c r="I247" s="7"/>
      <c r="J247" s="7"/>
      <c r="K247" s="7"/>
    </row>
    <row r="248" spans="2:11">
      <c r="B248" s="13"/>
      <c r="C248" s="63" t="s">
        <v>280</v>
      </c>
      <c r="D248" s="13" t="s">
        <v>290</v>
      </c>
      <c r="E248" s="7" t="s">
        <v>282</v>
      </c>
      <c r="F248" s="7"/>
      <c r="G248" s="7" t="s">
        <v>337</v>
      </c>
      <c r="H248" s="7"/>
      <c r="I248" s="7"/>
      <c r="J248" s="7"/>
      <c r="K248" s="7"/>
    </row>
    <row r="249" spans="2:11">
      <c r="B249" s="7"/>
      <c r="C249" s="7"/>
      <c r="D249" s="13"/>
      <c r="E249" s="7"/>
      <c r="F249" s="7"/>
      <c r="G249" s="7" t="s">
        <v>423</v>
      </c>
      <c r="H249" s="7">
        <f>ROUND(1/D258,3)</f>
        <v>8.3000000000000004E-2</v>
      </c>
      <c r="I249" s="7"/>
      <c r="J249" s="7"/>
      <c r="K249" s="7"/>
    </row>
    <row r="250" spans="2:11">
      <c r="B250" s="7"/>
      <c r="C250" s="7" t="s">
        <v>235</v>
      </c>
      <c r="D250" s="7" t="str">
        <f>IF(VLOOKUP(C247,行为概览!$D$3:$U$33,7,0)&gt;0,C$3&amp;"*"&amp;VLOOKUP(D248,$T$8:$U$43,2,0)&amp;"*"&amp;ROUND(VLOOKUP(C247,行为概览!$D$3:$U$33,7,0)*VLOOKUP(C247,行为概览!$D$3:$U$33,6,0),2),"无")</f>
        <v>400*MonsterLv*52</v>
      </c>
      <c r="E250" s="7"/>
      <c r="F250" s="7"/>
      <c r="G250" s="7" t="s">
        <v>434</v>
      </c>
      <c r="H250" s="7"/>
      <c r="I250" s="7"/>
      <c r="J250" s="7"/>
      <c r="K250" s="7"/>
    </row>
    <row r="251" spans="2:11">
      <c r="B251" s="7"/>
      <c r="C251" s="7" t="s">
        <v>236</v>
      </c>
      <c r="D251" s="7" t="str">
        <f>IF(VLOOKUP(C247,行为概览!$D$3:$U$33,8,0)&gt;0,D$3&amp;"*"&amp;VLOOKUP(D248,$T$8:$U$43,2,0)&amp;"*"&amp;ROUND(VLOOKUP(C247,行为概览!$D$3:$U$33,8,0)*VLOOKUP(C247,行为概览!$D$3:$U$33,6,0),2),"无")</f>
        <v>5000*MonsterLv*5.2</v>
      </c>
      <c r="E251" s="7"/>
      <c r="F251" s="7"/>
      <c r="G251" s="7"/>
      <c r="H251" s="7"/>
      <c r="I251" s="7"/>
      <c r="J251" s="7"/>
      <c r="K251" s="7"/>
    </row>
    <row r="252" spans="2:11">
      <c r="B252" s="7"/>
      <c r="C252" s="7" t="s">
        <v>237</v>
      </c>
      <c r="D252" s="7" t="str">
        <f>IF(VLOOKUP(C247,行为概览!$D$3:$U$33,9,0)&gt;0,E$3&amp;"*"&amp;VLOOKUP(D248,$T$8:$U$43,2,0)&amp;"*"&amp;ROUND(VLOOKUP(C247,行为概览!$D$3:$U$33,9,0),2),"无")</f>
        <v>1000*MonsterLv*5</v>
      </c>
      <c r="E252" s="7"/>
      <c r="F252" s="7"/>
      <c r="G252" s="7" t="s">
        <v>336</v>
      </c>
      <c r="H252" s="7"/>
      <c r="I252" s="7"/>
      <c r="J252" s="7"/>
      <c r="K252" s="7"/>
    </row>
    <row r="253" spans="2:11">
      <c r="B253" s="7"/>
      <c r="C253" s="7" t="s">
        <v>238</v>
      </c>
      <c r="D253" s="7" t="str">
        <f>IF(VLOOKUP(C247,行为概览!$D$3:$U$33,10,0)&gt;0,F$3&amp;"*"&amp;VLOOKUP(D248,$T$8:$U$43,2,0)&amp;"*"&amp;ROUND(VLOOKUP(C247,行为概览!$D$3:$U$33,10,0),2),"无")</f>
        <v>1*MonsterLv*10</v>
      </c>
      <c r="E253" s="7"/>
      <c r="F253" s="7"/>
      <c r="G253" s="7" t="s">
        <v>436</v>
      </c>
      <c r="H253" s="7"/>
      <c r="I253" s="7"/>
      <c r="J253" s="7"/>
      <c r="K253" s="7"/>
    </row>
    <row r="254" spans="2:11">
      <c r="B254" s="7"/>
      <c r="C254" s="7"/>
      <c r="D254" s="7"/>
      <c r="E254" s="7"/>
      <c r="F254" s="7"/>
      <c r="G254" s="7" t="s">
        <v>437</v>
      </c>
      <c r="H254" s="7"/>
      <c r="I254" s="7"/>
      <c r="J254" s="7"/>
      <c r="K254" s="7"/>
    </row>
    <row r="255" spans="2:11"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2:11">
      <c r="B256" s="7"/>
      <c r="C256" s="7" t="s">
        <v>323</v>
      </c>
      <c r="D256" s="7">
        <v>1</v>
      </c>
      <c r="E256" s="7"/>
      <c r="F256" s="7"/>
      <c r="G256" s="7"/>
      <c r="H256" s="7"/>
      <c r="I256" s="7"/>
      <c r="J256" s="7"/>
      <c r="K256" s="7"/>
    </row>
    <row r="257" spans="2:11">
      <c r="B257" s="7"/>
      <c r="C257" s="7" t="s">
        <v>318</v>
      </c>
      <c r="D257" s="7">
        <v>260</v>
      </c>
      <c r="E257" s="7"/>
      <c r="F257" s="7"/>
      <c r="G257" s="7"/>
      <c r="H257" s="7"/>
      <c r="I257" s="7"/>
      <c r="J257" s="7"/>
      <c r="K257" s="7"/>
    </row>
    <row r="258" spans="2:11">
      <c r="B258" s="7"/>
      <c r="C258" s="7" t="s">
        <v>335</v>
      </c>
      <c r="D258" s="7">
        <v>12</v>
      </c>
      <c r="E258" s="7"/>
      <c r="F258" s="7"/>
      <c r="G258" s="137" t="s">
        <v>422</v>
      </c>
      <c r="H258" s="7"/>
      <c r="I258" s="7"/>
      <c r="J258" s="7"/>
      <c r="K258" s="7"/>
    </row>
    <row r="259" spans="2:11">
      <c r="B259" s="7"/>
      <c r="C259" s="7" t="s">
        <v>317</v>
      </c>
      <c r="D259" s="10" t="str">
        <f>IF(VLOOKUP(C247,行为概览!$D$3:$U$33,7,0)&gt;0,C$3&amp;"*"&amp;VLOOKUP(D248,$T$8:$U$43,2,0)&amp;"*"&amp;ROUND(VLOOKUP(C247,行为概览!$D$3:$U$33,7,0)*VLOOKUP(C247,行为概览!$D$3:$U$33,6,0)/D257,3)&amp;"*"&amp;G250&amp;"*"&amp;G254,"无")</f>
        <v>400*MonsterLv*0.2*(MonsterNum*0.083+MasterNum*0.166)*min(max(1-0.2*floor(abs(MonsterLv-RoleLv)/5),0.1),1)</v>
      </c>
      <c r="E259" s="7"/>
      <c r="F259" s="7"/>
      <c r="G259" s="7" t="str">
        <f>D242&amp;"*(1-IsDbPoint)+"&amp;D259&amp;"*IsDbPoint"</f>
        <v>400*MonsterLv*0.011*(MonsterNum*0.083+MasterNum*0.166)*min(max(1-0.2*floor(abs(MonsterLv-RoleLv)/5),0.1),1)*(1-IsDbPoint)+400*MonsterLv*0.2*(MonsterNum*0.083+MasterNum*0.166)*min(max(1-0.2*floor(abs(MonsterLv-RoleLv)/5),0.1),1)*IsDbPoint</v>
      </c>
      <c r="H259" s="7"/>
      <c r="I259" s="7"/>
      <c r="J259" s="7"/>
      <c r="K259" s="7"/>
    </row>
    <row r="260" spans="2:11">
      <c r="B260" s="7"/>
      <c r="C260" s="7" t="s">
        <v>319</v>
      </c>
      <c r="D260" s="10" t="str">
        <f>IF(VLOOKUP(C247,行为概览!$D$3:$U$33,8,0)&gt;0,D$3&amp;"*"&amp;VLOOKUP(D248,$T$8:$U$43,2,0)&amp;"*"&amp;ROUND(VLOOKUP(C247,行为概览!$D$3:$U$33,8,0)*VLOOKUP(C247,行为概览!$D$3:$U$33,6,0)/D257,3)&amp;"*"&amp;G250&amp;"*"&amp;G254,"无")</f>
        <v>5000*MonsterLv*0.02*(MonsterNum*0.083+MasterNum*0.166)*min(max(1-0.2*floor(abs(MonsterLv-RoleLv)/5),0.1),1)</v>
      </c>
      <c r="E260" s="7"/>
      <c r="F260" s="7"/>
      <c r="G260" s="7" t="str">
        <f t="shared" ref="G260" si="16">D243&amp;"*(1-IsDbPoint)+"&amp;D260&amp;"*IsDbPoint"</f>
        <v>5000*MonsterLv*0.011*(MonsterNum*0.083+MasterNum*0.166)*min(max(1-0.2*floor(abs(MonsterLv-RoleLv)/5),0.1),1)*(1-IsDbPoint)+5000*MonsterLv*0.02*(MonsterNum*0.083+MasterNum*0.166)*min(max(1-0.2*floor(abs(MonsterLv-RoleLv)/5),0.1),1)*IsDbPoint</v>
      </c>
      <c r="H260" s="7"/>
      <c r="I260" s="7"/>
      <c r="J260" s="7"/>
      <c r="K260" s="7"/>
    </row>
    <row r="261" spans="2:11">
      <c r="B261" s="7"/>
      <c r="C261" s="7" t="s">
        <v>320</v>
      </c>
      <c r="D261" s="10" t="str">
        <f>IF(VLOOKUP(C247,行为概览!$D$3:$U$33,9,0)&gt;0,E$3&amp;"*"&amp;VLOOKUP(D248,$T$8:$U$43,2,0)&amp;"*"&amp;ROUND(VLOOKUP(C247,行为概览!$D$3:$U$33,9,0)/D257,3)&amp;"*"&amp;G250&amp;"*"&amp;G254,"无")</f>
        <v>1000*MonsterLv*0.019*(MonsterNum*0.083+MasterNum*0.166)*min(max(1-0.2*floor(abs(MonsterLv-RoleLv)/5),0.1),1)</v>
      </c>
      <c r="E261" s="7"/>
      <c r="F261" s="7"/>
      <c r="G261" s="7" t="str">
        <f>D261&amp;"*IsDbPoint"</f>
        <v>1000*MonsterLv*0.019*(MonsterNum*0.083+MasterNum*0.166)*min(max(1-0.2*floor(abs(MonsterLv-RoleLv)/5),0.1),1)*IsDbPoint</v>
      </c>
      <c r="H261" s="7"/>
      <c r="I261" s="7"/>
      <c r="J261" s="7"/>
      <c r="K261" s="7"/>
    </row>
    <row r="262" spans="2:11">
      <c r="B262" s="7"/>
      <c r="C262" s="7" t="s">
        <v>328</v>
      </c>
      <c r="D262" s="10" t="str">
        <f>IF(VLOOKUP(C247,行为概览!$D$3:$U$33,10,0)&gt;0,F$3&amp;"*"&amp;VLOOKUP(D248,$T$8:$U$43,2,0)&amp;"*"&amp;ROUND(VLOOKUP(C247,行为概览!$D$3:$U$33,10,0)/D257,3)&amp;"*"&amp;G250&amp;"*"&amp;G254,"无")</f>
        <v>1*MonsterLv*0.038*(MonsterNum*0.083+MasterNum*0.166)*min(max(1-0.2*floor(abs(MonsterLv-RoleLv)/5),0.1),1)</v>
      </c>
      <c r="E262" s="7"/>
      <c r="F262" s="7"/>
      <c r="G262" s="7" t="str">
        <f>D262&amp;"*IsDbPoint"</f>
        <v>1*MonsterLv*0.038*(MonsterNum*0.083+MasterNum*0.166)*min(max(1-0.2*floor(abs(MonsterLv-RoleLv)/5),0.1),1)*IsDbPoint</v>
      </c>
      <c r="H262" s="7"/>
      <c r="I262" s="7"/>
      <c r="J262" s="7"/>
      <c r="K262" s="7"/>
    </row>
    <row r="265" spans="2:11">
      <c r="F265" s="7"/>
      <c r="G265" s="7"/>
    </row>
    <row r="266" spans="2:11">
      <c r="F266" s="7"/>
      <c r="G266" s="7"/>
    </row>
    <row r="267" spans="2:11">
      <c r="F267" s="7"/>
      <c r="G267" s="7"/>
    </row>
    <row r="268" spans="2:11">
      <c r="F268" s="7"/>
      <c r="G268" s="7"/>
    </row>
    <row r="269" spans="2:11">
      <c r="F269" s="7"/>
      <c r="G269" s="7"/>
    </row>
    <row r="270" spans="2:11">
      <c r="B270" s="7"/>
      <c r="C270" s="131" t="s">
        <v>27</v>
      </c>
      <c r="D270" s="7"/>
      <c r="E270" s="7"/>
      <c r="G270" s="7"/>
    </row>
    <row r="271" spans="2:11">
      <c r="B271" s="13" t="s">
        <v>352</v>
      </c>
      <c r="C271" s="63" t="s">
        <v>280</v>
      </c>
      <c r="D271" s="13" t="s">
        <v>281</v>
      </c>
      <c r="E271" s="7" t="s">
        <v>282</v>
      </c>
      <c r="G271" s="7"/>
    </row>
    <row r="272" spans="2:11">
      <c r="B272" s="7"/>
      <c r="C272" s="7"/>
      <c r="D272" s="13"/>
      <c r="E272" s="7"/>
      <c r="F272" s="7"/>
      <c r="G272" s="7"/>
    </row>
    <row r="273" spans="2:7">
      <c r="B273" s="7"/>
      <c r="C273" s="7" t="s">
        <v>235</v>
      </c>
      <c r="D273" s="7" t="str">
        <f>IF(VLOOKUP(C270,行为概览!$D$3:$U$33,7,0)&gt;0,C$3&amp;"*"&amp;VLOOKUP(D271,$T$8:$U$43,2,0)&amp;"*"&amp;ROUND(VLOOKUP(C270,行为概览!$D$3:$U$33,7,0)*VLOOKUP(C270,行为概览!$D$3:$U$33,6,0),2),"无")</f>
        <v>400*RoleLv*12</v>
      </c>
      <c r="E273" s="7"/>
      <c r="F273" s="7"/>
      <c r="G273" s="7"/>
    </row>
    <row r="274" spans="2:7">
      <c r="B274" s="7"/>
      <c r="C274" s="7" t="s">
        <v>236</v>
      </c>
      <c r="D274" s="7" t="str">
        <f>IF(VLOOKUP(C270,行为概览!$D$3:$U$33,8,0)&gt;0,D$3&amp;"*"&amp;VLOOKUP(D271,$T$8:$U$43,2,0)&amp;"*"&amp;ROUND(VLOOKUP(C270,行为概览!$D$3:$U$33,8,0)*VLOOKUP(C270,行为概览!$D$3:$U$33,6,0),2),"无")</f>
        <v>5000*RoleLv*12</v>
      </c>
      <c r="E274" s="7"/>
      <c r="F274" s="7"/>
      <c r="G274" s="7"/>
    </row>
    <row r="275" spans="2:7">
      <c r="B275" s="7"/>
      <c r="C275" s="7" t="s">
        <v>237</v>
      </c>
      <c r="D275" s="7" t="str">
        <f>IF(VLOOKUP(C270,行为概览!$D$3:$U$33,9,0)&gt;0,E$3&amp;"*"&amp;VLOOKUP(D271,$T$8:$U$43,2,0)&amp;"*"&amp;ROUND(VLOOKUP(C270,行为概览!$D$3:$U$33,9,0),2),"无")</f>
        <v>无</v>
      </c>
      <c r="E275" s="7"/>
      <c r="F275" s="7"/>
      <c r="G275" s="7"/>
    </row>
    <row r="276" spans="2:7">
      <c r="B276" s="7"/>
      <c r="C276" s="7" t="s">
        <v>238</v>
      </c>
      <c r="D276" s="7" t="str">
        <f>IF(VLOOKUP(C270,行为概览!$D$3:$U$33,10,0)&gt;0,F$3&amp;"*"&amp;VLOOKUP(D271,$T$8:$U$43,2,0)&amp;"*"&amp;ROUND(VLOOKUP(C270,行为概览!$D$3:$U$33,10,0),2),"无")</f>
        <v>无</v>
      </c>
      <c r="E276" s="7"/>
      <c r="F276" s="7"/>
      <c r="G276" s="7"/>
    </row>
    <row r="277" spans="2:7">
      <c r="B277" s="7"/>
      <c r="C277" s="7"/>
      <c r="D277" s="7"/>
      <c r="E277" s="7"/>
      <c r="F277" s="7"/>
      <c r="G277" s="7"/>
    </row>
    <row r="278" spans="2:7">
      <c r="B278" s="7"/>
      <c r="C278" s="7"/>
      <c r="D278" s="7"/>
      <c r="E278" s="7"/>
      <c r="F278" s="7"/>
      <c r="G278" s="7"/>
    </row>
    <row r="279" spans="2:7">
      <c r="B279" s="7"/>
      <c r="C279" s="7" t="s">
        <v>339</v>
      </c>
      <c r="D279" s="7">
        <v>12</v>
      </c>
      <c r="E279" s="7"/>
      <c r="F279" s="7"/>
      <c r="G279" s="7"/>
    </row>
    <row r="280" spans="2:7">
      <c r="B280" s="7"/>
      <c r="C280" s="7" t="s">
        <v>340</v>
      </c>
      <c r="D280" s="7">
        <f>60*D279</f>
        <v>720</v>
      </c>
      <c r="E280" s="7"/>
      <c r="F280" s="7"/>
      <c r="G280" s="7"/>
    </row>
    <row r="281" spans="2:7">
      <c r="B281" s="7"/>
      <c r="C281" s="7"/>
      <c r="D281" s="7"/>
      <c r="E281" s="7"/>
    </row>
    <row r="282" spans="2:7">
      <c r="B282" s="7"/>
      <c r="C282" s="7" t="s">
        <v>341</v>
      </c>
      <c r="D282" s="10" t="str">
        <f>IF(VLOOKUP(C270,行为概览!$D$3:$U$33,7,0)&gt;0,C$3&amp;"*"&amp;VLOOKUP(D271,$T$8:$U$43,2,0)&amp;"*"&amp;ROUND(VLOOKUP(C270,行为概览!$D$3:$U$33,7,0)*VLOOKUP(C270,行为概览!$D$3:$U$33,6,0)/D280,3),"无")</f>
        <v>400*RoleLv*0.017</v>
      </c>
      <c r="E282" s="7"/>
    </row>
    <row r="283" spans="2:7">
      <c r="B283" s="7"/>
      <c r="C283" s="7" t="s">
        <v>342</v>
      </c>
      <c r="D283" s="10" t="str">
        <f>IF(VLOOKUP(C270,行为概览!$D$3:$U$33,8,0)&gt;0,D$3&amp;"*"&amp;VLOOKUP(D271,$T$8:$U$43,2,0)&amp;"*"&amp;ROUND(VLOOKUP(C270,行为概览!$D$3:$U$33,8,0)*VLOOKUP(C270,行为概览!$D$3:$U$33,6,0)/D280,3),"无")</f>
        <v>5000*RoleLv*0.017</v>
      </c>
      <c r="E283" s="7"/>
      <c r="F283" s="7"/>
    </row>
    <row r="284" spans="2:7">
      <c r="B284" s="7"/>
      <c r="C284" s="7" t="s">
        <v>343</v>
      </c>
      <c r="D284" s="10" t="str">
        <f>IF(VLOOKUP(C270,行为概览!$D$3:$U$33,9,0)&gt;0,E$3&amp;"*"&amp;VLOOKUP(D271,$T$8:$U$43,2,0)&amp;"*"&amp;ROUND(VLOOKUP(C270,行为概览!$D$3:$U$33,9,0)/D280,3),"无")</f>
        <v>无</v>
      </c>
      <c r="E284" s="7"/>
      <c r="F284" s="7"/>
    </row>
    <row r="285" spans="2:7">
      <c r="B285" s="7"/>
      <c r="C285" s="7" t="s">
        <v>344</v>
      </c>
      <c r="D285" s="10" t="str">
        <f>IF(VLOOKUP(C270,行为概览!$D$3:$U$33,10,0)&gt;0,F$3&amp;"*"&amp;VLOOKUP(D271,$T$8:$U$43,2,0)&amp;"*"&amp;ROUND(VLOOKUP(C270,行为概览!$D$3:$U$33,10,0)/D280,3),"无")</f>
        <v>无</v>
      </c>
      <c r="E285" s="7"/>
      <c r="F285" s="7"/>
    </row>
    <row r="286" spans="2:7">
      <c r="F286" s="7"/>
    </row>
    <row r="287" spans="2:7">
      <c r="F287" s="7"/>
    </row>
    <row r="288" spans="2:7">
      <c r="C288" s="131" t="s">
        <v>345</v>
      </c>
      <c r="D288" s="7"/>
      <c r="E288" s="7"/>
      <c r="F288" s="7"/>
    </row>
    <row r="289" spans="3:6">
      <c r="C289" s="63" t="s">
        <v>280</v>
      </c>
      <c r="D289" s="13" t="s">
        <v>281</v>
      </c>
      <c r="E289" s="7" t="s">
        <v>282</v>
      </c>
      <c r="F289" s="7"/>
    </row>
    <row r="290" spans="3:6">
      <c r="C290" s="7"/>
      <c r="D290" s="7"/>
      <c r="E290" s="7"/>
      <c r="F290" s="7"/>
    </row>
    <row r="291" spans="3:6">
      <c r="C291" s="7" t="s">
        <v>235</v>
      </c>
      <c r="D291" s="7" t="str">
        <f>IF(VLOOKUP(C288,行为概览!$D$3:$U$33,7,0)&gt;0,C$3&amp;"*"&amp;VLOOKUP(D289,$T$8:$U$43,2,0)&amp;"*"&amp;ROUND(VLOOKUP(C288,行为概览!$D$3:$U$33,7,0)*VLOOKUP(C288,行为概览!$D$3:$U$33,6,0),2),"无")</f>
        <v>400*RoleLv*12.5</v>
      </c>
      <c r="E291" s="7"/>
      <c r="F291" s="7"/>
    </row>
    <row r="292" spans="3:6">
      <c r="C292" s="7" t="s">
        <v>236</v>
      </c>
      <c r="D292" s="7" t="str">
        <f>IF(VLOOKUP(C288,行为概览!$D$3:$U$33,8,0)&gt;0,D$3&amp;"*"&amp;VLOOKUP(D289,$T$8:$U$43,2,0)&amp;"*"&amp;ROUND(VLOOKUP(C288,行为概览!$D$3:$U$33,8,0)*VLOOKUP(C288,行为概览!$D$3:$U$33,6,0),2),"无")</f>
        <v>无</v>
      </c>
      <c r="E292" s="7"/>
      <c r="F292" s="7"/>
    </row>
    <row r="293" spans="3:6">
      <c r="C293" s="7" t="s">
        <v>237</v>
      </c>
      <c r="D293" s="7" t="str">
        <f>IF(VLOOKUP(C288,行为概览!$D$3:$U$33,9,0)&gt;0,E$3&amp;"*"&amp;VLOOKUP(D289,$T$8:$U$43,2,0)&amp;"*"&amp;ROUND(VLOOKUP(C288,行为概览!$D$3:$U$33,9,0),2),"无")</f>
        <v>无</v>
      </c>
      <c r="E293" s="7"/>
      <c r="F293" s="7"/>
    </row>
    <row r="294" spans="3:6">
      <c r="C294" s="7" t="s">
        <v>238</v>
      </c>
      <c r="D294" s="7" t="str">
        <f>IF(VLOOKUP(C288,行为概览!$D$3:$U$33,10,0)&gt;0,F$3&amp;"*"&amp;VLOOKUP(D289,$T$8:$U$43,2,0)&amp;"*"&amp;ROUND(VLOOKUP(C288,行为概览!$D$3:$U$33,10,0),2),"无")</f>
        <v>无</v>
      </c>
      <c r="E294" s="7"/>
      <c r="F294" s="7"/>
    </row>
    <row r="295" spans="3:6">
      <c r="C295" s="7"/>
      <c r="D295" s="7"/>
      <c r="E295" s="7"/>
      <c r="F295" s="7"/>
    </row>
    <row r="296" spans="3:6">
      <c r="C296" s="7"/>
      <c r="D296" s="7"/>
      <c r="E296" s="7"/>
      <c r="F296" s="7"/>
    </row>
    <row r="297" spans="3:6">
      <c r="C297" s="7" t="s">
        <v>323</v>
      </c>
      <c r="D297" s="7">
        <v>1</v>
      </c>
      <c r="E297" s="7"/>
      <c r="F297" s="7"/>
    </row>
    <row r="298" spans="3:6">
      <c r="C298" s="7" t="s">
        <v>389</v>
      </c>
      <c r="D298" s="7">
        <v>10</v>
      </c>
      <c r="E298" s="7"/>
      <c r="F298" s="7"/>
    </row>
    <row r="299" spans="3:6">
      <c r="C299" s="7"/>
      <c r="D299" s="7"/>
      <c r="E299" s="7"/>
    </row>
    <row r="300" spans="3:6">
      <c r="C300" s="7" t="s">
        <v>317</v>
      </c>
      <c r="D300" s="10" t="str">
        <f>IF(VLOOKUP(C288,行为概览!$D$3:$U$33,7,0)&gt;0,C$3&amp;"*"&amp;VLOOKUP(D289,$T$8:$U$43,2,0)&amp;"*"&amp;ROUND(VLOOKUP(C288,行为概览!$D$3:$U$33,7,0)*VLOOKUP(C288,行为概览!$D$3:$U$33,6,0)/D298,3),"无")</f>
        <v>400*RoleLv*1.25</v>
      </c>
      <c r="E300" s="7"/>
    </row>
    <row r="301" spans="3:6">
      <c r="C301" s="7" t="s">
        <v>319</v>
      </c>
      <c r="D301" s="10" t="str">
        <f>IF(VLOOKUP(C288,行为概览!$D$3:$U$33,8,0)&gt;0,D$3&amp;"*"&amp;VLOOKUP(D289,$T$8:$U$43,2,0)&amp;"*"&amp;ROUND(VLOOKUP(C288,行为概览!$D$3:$U$33,8,0)*VLOOKUP(C288,行为概览!$D$3:$U$33,6,0)/D298,3),"无")</f>
        <v>无</v>
      </c>
      <c r="E301" s="7"/>
    </row>
    <row r="302" spans="3:6">
      <c r="C302" s="7" t="s">
        <v>320</v>
      </c>
      <c r="D302" s="10" t="str">
        <f>IF(VLOOKUP(C288,行为概览!$D$3:$U$33,9,0)&gt;0,E$3&amp;"*"&amp;VLOOKUP(D289,$T$8:$U$43,2,0)&amp;"*"&amp;ROUND(VLOOKUP(C288,行为概览!$D$3:$U$33,9,0)/D298,3),"无")</f>
        <v>无</v>
      </c>
      <c r="E302" s="7"/>
    </row>
    <row r="303" spans="3:6">
      <c r="C303" s="7" t="s">
        <v>328</v>
      </c>
      <c r="D303" s="10" t="str">
        <f>IF(VLOOKUP(C288,行为概览!$D$3:$U$33,10,0)&gt;0,F$3&amp;"*"&amp;VLOOKUP(D289,$T$8:$U$43,2,0)&amp;"*"&amp;ROUND(VLOOKUP(C288,行为概览!$D$3:$U$33,10,0)/D298,3),"无")</f>
        <v>无</v>
      </c>
      <c r="E303" s="7"/>
    </row>
    <row r="306" spans="3:5">
      <c r="C306" s="131" t="s">
        <v>346</v>
      </c>
      <c r="D306" s="7"/>
      <c r="E306" s="7"/>
    </row>
    <row r="307" spans="3:5">
      <c r="C307" s="63" t="s">
        <v>280</v>
      </c>
      <c r="D307" s="13" t="s">
        <v>281</v>
      </c>
      <c r="E307" s="7" t="s">
        <v>282</v>
      </c>
    </row>
    <row r="308" spans="3:5">
      <c r="C308" s="7"/>
      <c r="D308" s="7"/>
      <c r="E308" s="7"/>
    </row>
    <row r="309" spans="3:5">
      <c r="C309" s="7" t="s">
        <v>235</v>
      </c>
      <c r="D309" s="7" t="str">
        <f>IF(VLOOKUP(C306,行为概览!$D$3:$U$33,7,0)&gt;0,C$3&amp;"*"&amp;VLOOKUP(D307,$T$8:$U$43,2,0)&amp;"*"&amp;ROUND(VLOOKUP(C306,行为概览!$D$3:$U$33,7,0)*VLOOKUP(C306,行为概览!$D$3:$U$33,6,0),2),"无")</f>
        <v>400*RoleLv*0.83</v>
      </c>
      <c r="E309" s="7"/>
    </row>
    <row r="310" spans="3:5">
      <c r="C310" s="7" t="s">
        <v>236</v>
      </c>
      <c r="D310" s="7" t="str">
        <f>IF(VLOOKUP(C306,行为概览!$D$3:$U$33,8,0)&gt;0,D$3&amp;"*"&amp;VLOOKUP(D307,$T$8:$U$43,2,0)&amp;"*"&amp;ROUND(VLOOKUP(C306,行为概览!$D$3:$U$33,8,0)*VLOOKUP(C306,行为概览!$D$3:$U$33,6,0),2),"无")</f>
        <v>无</v>
      </c>
      <c r="E310" s="7"/>
    </row>
    <row r="311" spans="3:5">
      <c r="C311" s="7" t="s">
        <v>237</v>
      </c>
      <c r="D311" s="7" t="str">
        <f>IF(VLOOKUP(C306,行为概览!$D$3:$U$33,9,0)&gt;0,E$3&amp;"*"&amp;VLOOKUP(D307,$T$8:$U$43,2,0)&amp;"*"&amp;ROUND(VLOOKUP(C306,行为概览!$D$3:$U$33,9,0),2),"无")</f>
        <v>1000*RoleLv*0.5</v>
      </c>
      <c r="E311" s="7"/>
    </row>
    <row r="312" spans="3:5">
      <c r="C312" s="7" t="s">
        <v>238</v>
      </c>
      <c r="D312" s="7" t="str">
        <f>IF(VLOOKUP(C306,行为概览!$D$3:$U$33,10,0)&gt;0,F$3&amp;"*"&amp;VLOOKUP(D307,$T$8:$U$43,2,0)&amp;"*"&amp;ROUND(VLOOKUP(C306,行为概览!$D$3:$U$33,10,0),2),"无")</f>
        <v>无</v>
      </c>
      <c r="E312" s="7"/>
    </row>
    <row r="313" spans="3:5">
      <c r="C313" s="7"/>
      <c r="D313" s="7"/>
      <c r="E313" s="7"/>
    </row>
    <row r="314" spans="3:5">
      <c r="C314" s="7"/>
      <c r="D314" s="7"/>
      <c r="E314" s="7"/>
    </row>
    <row r="315" spans="3:5">
      <c r="C315" s="7" t="s">
        <v>323</v>
      </c>
      <c r="D315" s="7">
        <v>1</v>
      </c>
      <c r="E315" s="7"/>
    </row>
    <row r="316" spans="3:5">
      <c r="C316" s="7" t="s">
        <v>389</v>
      </c>
      <c r="D316" s="7">
        <v>1</v>
      </c>
      <c r="E316" s="7"/>
    </row>
    <row r="317" spans="3:5">
      <c r="C317" s="7"/>
      <c r="D317" s="7"/>
      <c r="E317" s="7"/>
    </row>
    <row r="318" spans="3:5">
      <c r="C318" s="7" t="s">
        <v>317</v>
      </c>
      <c r="D318" s="10" t="str">
        <f>IF(VLOOKUP(C306,行为概览!$D$3:$U$33,7,0)&gt;0,C$3&amp;"*"&amp;VLOOKUP(D307,$T$8:$U$43,2,0)&amp;"*"&amp;ROUND(VLOOKUP(C306,行为概览!$D$3:$U$33,7,0)*VLOOKUP(C306,行为概览!$D$3:$U$33,6,0)/D316,3),"无")</f>
        <v>400*RoleLv*0.833</v>
      </c>
      <c r="E318" s="7"/>
    </row>
    <row r="319" spans="3:5">
      <c r="C319" s="7" t="s">
        <v>319</v>
      </c>
      <c r="D319" s="10" t="str">
        <f>IF(VLOOKUP(C306,行为概览!$D$3:$U$33,8,0)&gt;0,D$3&amp;"*"&amp;VLOOKUP(D307,$T$8:$U$43,2,0)&amp;"*"&amp;ROUND(VLOOKUP(C306,行为概览!$D$3:$U$33,8,0)*VLOOKUP(C306,行为概览!$D$3:$U$33,6,0)/D316,3),"无")</f>
        <v>无</v>
      </c>
      <c r="E319" s="7"/>
    </row>
    <row r="320" spans="3:5">
      <c r="C320" s="7" t="s">
        <v>320</v>
      </c>
      <c r="D320" s="10" t="str">
        <f>IF(VLOOKUP(C306,行为概览!$D$3:$U$33,9,0)&gt;0,E$3&amp;"*"&amp;VLOOKUP(D307,$T$8:$U$43,2,0)&amp;"*"&amp;ROUND(VLOOKUP(C306,行为概览!$D$3:$U$33,9,0)/D316,3),"无")</f>
        <v>1000*RoleLv*0.5</v>
      </c>
      <c r="E320" s="7"/>
    </row>
    <row r="321" spans="3:8">
      <c r="C321" s="7" t="s">
        <v>328</v>
      </c>
      <c r="D321" s="10" t="str">
        <f>IF(VLOOKUP(C306,行为概览!$D$3:$U$33,10,0)&gt;0,F$3&amp;"*"&amp;VLOOKUP(D307,$T$8:$U$43,2,0)&amp;"*"&amp;ROUND(VLOOKUP(C306,行为概览!$D$3:$U$33,10,0)/D316,3),"无")</f>
        <v>无</v>
      </c>
      <c r="E321" s="7"/>
    </row>
    <row r="325" spans="3:8">
      <c r="C325" s="131" t="s">
        <v>509</v>
      </c>
      <c r="D325" s="7"/>
      <c r="E325" s="7"/>
    </row>
    <row r="326" spans="3:8">
      <c r="C326" s="63" t="s">
        <v>280</v>
      </c>
      <c r="D326" s="13" t="s">
        <v>281</v>
      </c>
      <c r="E326" s="7" t="s">
        <v>282</v>
      </c>
    </row>
    <row r="327" spans="3:8">
      <c r="C327" s="7"/>
      <c r="D327" s="7"/>
      <c r="E327" s="7"/>
    </row>
    <row r="328" spans="3:8">
      <c r="C328" s="7" t="s">
        <v>235</v>
      </c>
      <c r="D328" s="7" t="str">
        <f>IF(VLOOKUP(C325,行为概览!$D$3:$U$33,7,0)&gt;0,C$3&amp;"*"&amp;VLOOKUP(D326,$T$8:$U$43,2,0)&amp;"*"&amp;ROUND(VLOOKUP(C325,行为概览!$D$3:$U$33,7,0)*VLOOKUP(C325,行为概览!$D$3:$U$33,6,0),2),"无")</f>
        <v>400*RoleLv*6</v>
      </c>
      <c r="E328" s="7"/>
    </row>
    <row r="329" spans="3:8">
      <c r="C329" s="7" t="s">
        <v>236</v>
      </c>
      <c r="D329" s="7" t="str">
        <f>IF(VLOOKUP(C325,行为概览!$D$3:$U$33,8,0)&gt;0,D$3&amp;"*"&amp;VLOOKUP(D326,$T$8:$U$43,2,0)&amp;"*"&amp;ROUND(VLOOKUP(C325,行为概览!$D$3:$U$33,8,0)*VLOOKUP(C325,行为概览!$D$3:$U$33,6,0),2),"无")</f>
        <v>无</v>
      </c>
      <c r="E329" s="7"/>
    </row>
    <row r="330" spans="3:8">
      <c r="C330" s="7" t="s">
        <v>237</v>
      </c>
      <c r="D330" s="7" t="str">
        <f>IF(VLOOKUP(C325,行为概览!$D$3:$U$33,9,0)&gt;0,E$3&amp;"*"&amp;VLOOKUP(D326,$T$8:$U$43,2,0)&amp;"*"&amp;ROUND(VLOOKUP(C325,行为概览!$D$3:$U$33,9,0),2),"无")</f>
        <v>无</v>
      </c>
      <c r="E330" s="7"/>
    </row>
    <row r="331" spans="3:8">
      <c r="C331" s="7" t="s">
        <v>238</v>
      </c>
      <c r="D331" s="7" t="str">
        <f>IF(VLOOKUP(C325,行为概览!$D$3:$U$33,10,0)&gt;0,F$3&amp;"*"&amp;VLOOKUP(D326,$T$8:$U$43,2,0)&amp;"*"&amp;ROUND(VLOOKUP(C325,行为概览!$D$3:$U$33,10,0),2),"无")</f>
        <v>无</v>
      </c>
      <c r="E331" s="7"/>
    </row>
    <row r="332" spans="3:8">
      <c r="C332" s="7"/>
      <c r="D332" s="7"/>
      <c r="E332" s="7"/>
    </row>
    <row r="333" spans="3:8">
      <c r="C333" s="7"/>
      <c r="D333" s="7"/>
      <c r="E333" s="7"/>
      <c r="F333" s="13" t="s">
        <v>512</v>
      </c>
      <c r="G333" s="13" t="s">
        <v>514</v>
      </c>
      <c r="H333" s="13"/>
    </row>
    <row r="334" spans="3:8">
      <c r="C334" s="7" t="s">
        <v>323</v>
      </c>
      <c r="D334" s="7">
        <v>1</v>
      </c>
      <c r="E334" s="7"/>
      <c r="F334" s="13" t="s">
        <v>513</v>
      </c>
      <c r="G334" s="13" t="s">
        <v>514</v>
      </c>
      <c r="H334" s="13"/>
    </row>
    <row r="335" spans="3:8">
      <c r="C335" s="7" t="s">
        <v>389</v>
      </c>
      <c r="D335" s="7">
        <v>10</v>
      </c>
      <c r="E335" s="7"/>
    </row>
    <row r="336" spans="3:8">
      <c r="C336" s="7"/>
      <c r="D336" s="7"/>
      <c r="E336" s="7"/>
      <c r="F336" s="137" t="s">
        <v>510</v>
      </c>
      <c r="G336" s="137" t="s">
        <v>515</v>
      </c>
    </row>
    <row r="337" spans="3:9">
      <c r="C337" s="7" t="s">
        <v>317</v>
      </c>
      <c r="D337" s="10" t="str">
        <f>IF(VLOOKUP(C325,行为概览!$D$3:$U$33,7,0)&gt;0,C$3&amp;"*"&amp;VLOOKUP(D326,$T$8:$U$43,2,0)&amp;"*"&amp;ROUND(VLOOKUP(C325,行为概览!$D$3:$U$33,7,0)*VLOOKUP(C325,行为概览!$D$3:$U$33,6,0)/D335,3),"无")</f>
        <v>400*RoleLv*0.6</v>
      </c>
      <c r="E337" s="7"/>
      <c r="F337" s="137" t="s">
        <v>511</v>
      </c>
      <c r="G337" s="137" t="s">
        <v>516</v>
      </c>
    </row>
    <row r="338" spans="3:9">
      <c r="C338" s="7" t="s">
        <v>319</v>
      </c>
      <c r="D338" s="10" t="str">
        <f>IF(VLOOKUP(C325,行为概览!$D$3:$U$33,8,0)&gt;0,D$3&amp;"*"&amp;VLOOKUP(D326,$T$8:$U$43,2,0)&amp;"*"&amp;ROUND(VLOOKUP(C325,行为概览!$D$3:$U$33,8,0)*VLOOKUP(C325,行为概览!$D$3:$U$33,6,0)/D335,3),"无")</f>
        <v>无</v>
      </c>
      <c r="E338" s="7"/>
    </row>
    <row r="339" spans="3:9">
      <c r="C339" s="7" t="s">
        <v>320</v>
      </c>
      <c r="D339" s="10" t="str">
        <f>IF(VLOOKUP(C325,行为概览!$D$3:$U$33,9,0)&gt;0,E$3&amp;"*"&amp;VLOOKUP(D326,$T$8:$U$43,2,0)&amp;"*"&amp;ROUND(VLOOKUP(C325,行为概览!$D$3:$U$33,9,0)/D335,3),"无")</f>
        <v>无</v>
      </c>
      <c r="E339" s="7"/>
    </row>
    <row r="340" spans="3:9">
      <c r="C340" s="7" t="s">
        <v>328</v>
      </c>
      <c r="D340" s="10" t="str">
        <f>IF(VLOOKUP(C325,行为概览!$D$3:$U$33,10,0)&gt;0,F$3&amp;"*"&amp;VLOOKUP(D326,$T$8:$U$43,2,0)&amp;"*"&amp;ROUND(VLOOKUP(C325,行为概览!$D$3:$U$33,10,0)/D335,3),"无")</f>
        <v>无</v>
      </c>
      <c r="E340" s="7"/>
    </row>
    <row r="344" spans="3:9">
      <c r="C344" s="131" t="s">
        <v>66</v>
      </c>
      <c r="D344" s="7"/>
      <c r="E344" s="7"/>
    </row>
    <row r="345" spans="3:9">
      <c r="C345" s="63" t="s">
        <v>280</v>
      </c>
      <c r="D345" s="13" t="s">
        <v>290</v>
      </c>
      <c r="E345" s="7" t="s">
        <v>282</v>
      </c>
    </row>
    <row r="346" spans="3:9">
      <c r="C346" s="7"/>
      <c r="D346" s="7"/>
      <c r="E346" s="7"/>
      <c r="I346" s="7"/>
    </row>
    <row r="347" spans="3:9">
      <c r="C347" s="7" t="s">
        <v>235</v>
      </c>
      <c r="D347" s="7" t="str">
        <f>IF(VLOOKUP(C344,行为概览!$D$3:$U$33,7,0)&gt;0,C$3&amp;"*"&amp;VLOOKUP(D345,$T$8:$U$43,2,0)&amp;"*"&amp;ROUND(VLOOKUP(C344,行为概览!$D$3:$U$33,7,0)*VLOOKUP(C344,行为概览!$D$3:$U$33,6,0),2),"无")</f>
        <v>400*MonsterLv*6.67</v>
      </c>
      <c r="E347" s="7"/>
    </row>
    <row r="348" spans="3:9">
      <c r="C348" s="7" t="s">
        <v>236</v>
      </c>
      <c r="D348" s="7" t="str">
        <f>IF(VLOOKUP(C344,行为概览!$D$3:$U$33,8,0)&gt;0,D$3&amp;"*"&amp;VLOOKUP(D345,$T$8:$U$43,2,0)&amp;"*"&amp;ROUND(VLOOKUP(C344,行为概览!$D$3:$U$33,8,0)*VLOOKUP(C344,行为概览!$D$3:$U$33,6,0),2),"无")</f>
        <v>5000*MonsterLv*0.5</v>
      </c>
      <c r="E348" s="7"/>
    </row>
    <row r="349" spans="3:9">
      <c r="C349" s="7" t="s">
        <v>237</v>
      </c>
      <c r="D349" s="7" t="str">
        <f>IF(VLOOKUP(C344,行为概览!$D$3:$U$33,9,0)&gt;0,E$3&amp;"*"&amp;VLOOKUP(D345,$T$8:$U$43,2,0)&amp;"*"&amp;ROUND(VLOOKUP(C344,行为概览!$D$3:$U$33,9,0),2),"无")</f>
        <v>1000*MonsterLv*1</v>
      </c>
      <c r="E349" s="7"/>
    </row>
    <row r="350" spans="3:9">
      <c r="C350" s="7" t="s">
        <v>238</v>
      </c>
      <c r="D350" s="7" t="str">
        <f>IF(VLOOKUP(C344,行为概览!$D$3:$U$33,10,0)&gt;0,F$3&amp;"*"&amp;VLOOKUP(D345,$T$8:$U$43,2,0)&amp;"*"&amp;ROUND(VLOOKUP(C344,行为概览!$D$3:$U$33,10,0),2),"无")</f>
        <v>1*MonsterLv*3</v>
      </c>
      <c r="E350" s="7"/>
    </row>
    <row r="351" spans="3:9">
      <c r="C351" s="7"/>
      <c r="D351" s="7"/>
      <c r="E351" s="7"/>
    </row>
    <row r="352" spans="3:9">
      <c r="C352" s="7"/>
      <c r="D352" s="7"/>
      <c r="E352" s="7"/>
    </row>
    <row r="353" spans="3:5">
      <c r="C353" s="7" t="s">
        <v>323</v>
      </c>
      <c r="D353" s="7">
        <v>1</v>
      </c>
      <c r="E353" s="7"/>
    </row>
    <row r="354" spans="3:5">
      <c r="C354" s="7" t="s">
        <v>389</v>
      </c>
      <c r="D354" s="7">
        <v>10</v>
      </c>
      <c r="E354" s="7"/>
    </row>
    <row r="355" spans="3:5">
      <c r="C355" s="7"/>
      <c r="D355" s="7"/>
      <c r="E355" s="7"/>
    </row>
    <row r="356" spans="3:5">
      <c r="C356" s="7" t="s">
        <v>317</v>
      </c>
      <c r="D356" s="10" t="str">
        <f>IF(VLOOKUP(C344,行为概览!$D$3:$U$33,7,0)&gt;0,C$3&amp;"*"&amp;VLOOKUP(D345,$T$8:$U$43,2,0)&amp;"*"&amp;ROUND(VLOOKUP(C344,行为概览!$D$3:$U$33,7,0)*VLOOKUP(C344,行为概览!$D$3:$U$33,6,0)/D354,3),"无")</f>
        <v>400*MonsterLv*0.667</v>
      </c>
      <c r="E356" s="7"/>
    </row>
    <row r="357" spans="3:5">
      <c r="C357" s="7" t="s">
        <v>319</v>
      </c>
      <c r="D357" s="10" t="str">
        <f>IF(VLOOKUP(C344,行为概览!$D$3:$U$33,8,0)&gt;0,D$3&amp;"*"&amp;VLOOKUP(D345,$T$8:$U$43,2,0)&amp;"*"&amp;ROUND(VLOOKUP(C344,行为概览!$D$3:$U$33,8,0)*VLOOKUP(C344,行为概览!$D$3:$U$33,6,0)/D354,3),"无")</f>
        <v>5000*MonsterLv*0.05</v>
      </c>
      <c r="E357" s="7"/>
    </row>
    <row r="358" spans="3:5">
      <c r="C358" s="7" t="s">
        <v>320</v>
      </c>
      <c r="D358" s="10" t="str">
        <f>IF(VLOOKUP(C344,行为概览!$D$3:$U$33,9,0)&gt;0,E$3&amp;"*"&amp;VLOOKUP(D345,$T$8:$U$43,2,0)&amp;"*"&amp;ROUND(VLOOKUP(C344,行为概览!$D$3:$U$33,9,0)/D354,3),"无")</f>
        <v>1000*MonsterLv*0.1</v>
      </c>
      <c r="E358" s="7"/>
    </row>
    <row r="359" spans="3:5">
      <c r="C359" s="7" t="s">
        <v>328</v>
      </c>
      <c r="D359" s="10" t="str">
        <f>IF(VLOOKUP(C344,行为概览!$D$3:$U$33,10,0)&gt;0,F$3&amp;"*"&amp;VLOOKUP(D345,$T$8:$U$43,2,0)&amp;"*"&amp;ROUND(VLOOKUP(C344,行为概览!$D$3:$U$33,10,0)/D354,3),"无")</f>
        <v>1*MonsterLv*0.3</v>
      </c>
      <c r="E359" s="7"/>
    </row>
    <row r="362" spans="3:5">
      <c r="C362" s="131" t="s">
        <v>157</v>
      </c>
      <c r="D362" s="7"/>
      <c r="E362" s="7"/>
    </row>
    <row r="363" spans="3:5">
      <c r="C363" s="63" t="s">
        <v>280</v>
      </c>
      <c r="D363" s="13" t="s">
        <v>281</v>
      </c>
      <c r="E363" s="7" t="s">
        <v>282</v>
      </c>
    </row>
    <row r="364" spans="3:5">
      <c r="C364" s="7"/>
      <c r="D364" s="7"/>
      <c r="E364" s="7"/>
    </row>
    <row r="365" spans="3:5">
      <c r="C365" s="7" t="s">
        <v>235</v>
      </c>
      <c r="D365" s="7" t="str">
        <f>IF(VLOOKUP(C362,行为概览!$D$3:$U$33,7,0)&gt;0,C$3&amp;"*"&amp;VLOOKUP(D363,$T$8:$U$43,2,0)&amp;"*"&amp;ROUND(VLOOKUP(C362,行为概览!$D$3:$U$33,7,0)*VLOOKUP(C362,行为概览!$D$3:$U$33,6,0),2),"无")</f>
        <v>400*RoleLv*7.5</v>
      </c>
      <c r="E365" s="7"/>
    </row>
    <row r="366" spans="3:5">
      <c r="C366" s="7" t="s">
        <v>236</v>
      </c>
      <c r="D366" s="7" t="str">
        <f>IF(VLOOKUP(C362,行为概览!$D$3:$U$33,8,0)&gt;0,D$3&amp;"*"&amp;VLOOKUP(D363,$T$8:$U$43,2,0)&amp;"*"&amp;ROUND(VLOOKUP(C362,行为概览!$D$3:$U$33,8,0)*VLOOKUP(C362,行为概览!$D$3:$U$33,6,0),2),"无")</f>
        <v>5000*RoleLv*0.75</v>
      </c>
      <c r="E366" s="7"/>
    </row>
    <row r="367" spans="3:5">
      <c r="C367" s="7" t="s">
        <v>237</v>
      </c>
      <c r="D367" s="7" t="str">
        <f>IF(VLOOKUP(C362,行为概览!$D$3:$U$33,9,0)&gt;0,E$3&amp;"*"&amp;VLOOKUP(D363,$T$8:$U$43,2,0)&amp;"*"&amp;ROUND(VLOOKUP(C362,行为概览!$D$3:$U$33,9,0),2),"无")</f>
        <v>1000*RoleLv*1</v>
      </c>
      <c r="E367" s="7"/>
    </row>
    <row r="368" spans="3:5">
      <c r="C368" s="7" t="s">
        <v>238</v>
      </c>
      <c r="D368" s="7" t="str">
        <f>IF(VLOOKUP(C362,行为概览!$D$3:$U$33,10,0)&gt;0,F$3&amp;"*"&amp;VLOOKUP(D363,$T$8:$U$43,2,0)&amp;"*"&amp;ROUND(VLOOKUP(C362,行为概览!$D$3:$U$33,10,0),2),"无")</f>
        <v>无</v>
      </c>
      <c r="E368" s="7"/>
    </row>
    <row r="369" spans="3:5">
      <c r="C369" s="7"/>
      <c r="D369" s="7"/>
      <c r="E369" s="7"/>
    </row>
    <row r="370" spans="3:5">
      <c r="C370" s="7"/>
      <c r="D370" s="7"/>
      <c r="E370" s="7"/>
    </row>
    <row r="371" spans="3:5">
      <c r="C371" s="7" t="s">
        <v>323</v>
      </c>
      <c r="D371" s="7">
        <v>1</v>
      </c>
      <c r="E371" s="7"/>
    </row>
    <row r="372" spans="3:5">
      <c r="C372" s="7" t="s">
        <v>389</v>
      </c>
      <c r="D372" s="7">
        <v>10</v>
      </c>
      <c r="E372" s="7"/>
    </row>
    <row r="373" spans="3:5">
      <c r="C373" s="7"/>
      <c r="D373" s="7"/>
      <c r="E373" s="7"/>
    </row>
    <row r="374" spans="3:5">
      <c r="C374" s="7" t="s">
        <v>317</v>
      </c>
      <c r="D374" s="10" t="str">
        <f>IF(VLOOKUP(C362,行为概览!$D$3:$U$33,7,0)&gt;0,C$3&amp;"*"&amp;VLOOKUP(D363,$T$8:$U$43,2,0)&amp;"*"&amp;ROUND(VLOOKUP(C362,行为概览!$D$3:$U$33,7,0)*VLOOKUP(C362,行为概览!$D$3:$U$33,6,0)/D372,3),"无")</f>
        <v>400*RoleLv*0.75</v>
      </c>
      <c r="E374" s="7"/>
    </row>
    <row r="375" spans="3:5">
      <c r="C375" s="7" t="s">
        <v>319</v>
      </c>
      <c r="D375" s="10" t="str">
        <f>IF(VLOOKUP(C362,行为概览!$D$3:$U$33,8,0)&gt;0,D$3&amp;"*"&amp;VLOOKUP(D363,$T$8:$U$43,2,0)&amp;"*"&amp;ROUND(VLOOKUP(C362,行为概览!$D$3:$U$33,8,0)*VLOOKUP(C362,行为概览!$D$3:$U$33,6,0)/D372,3),"无")</f>
        <v>5000*RoleLv*0.075</v>
      </c>
      <c r="E375" s="7"/>
    </row>
    <row r="376" spans="3:5">
      <c r="C376" s="7" t="s">
        <v>320</v>
      </c>
      <c r="D376" s="10" t="str">
        <f>IF(VLOOKUP(C362,行为概览!$D$3:$U$33,9,0)&gt;0,E$3&amp;"*"&amp;VLOOKUP(D363,$T$8:$U$43,2,0)&amp;"*"&amp;ROUND(VLOOKUP(C362,行为概览!$D$3:$U$33,9,0)/D372,3),"无")</f>
        <v>1000*RoleLv*0.1</v>
      </c>
      <c r="E376" s="7"/>
    </row>
    <row r="377" spans="3:5">
      <c r="C377" s="7" t="s">
        <v>328</v>
      </c>
      <c r="D377" s="10" t="str">
        <f>IF(VLOOKUP(C362,行为概览!$D$3:$U$33,10,0)&gt;0,F$3&amp;"*"&amp;VLOOKUP(D363,$T$8:$U$43,2,0)&amp;"*"&amp;ROUND(VLOOKUP(C362,行为概览!$D$3:$U$33,10,0)/D372,3),"无")</f>
        <v>无</v>
      </c>
      <c r="E377" s="7"/>
    </row>
    <row r="379" spans="3:5">
      <c r="C379" s="131" t="s">
        <v>354</v>
      </c>
      <c r="D379" s="7"/>
      <c r="E379" s="7"/>
    </row>
    <row r="380" spans="3:5">
      <c r="C380" s="63" t="s">
        <v>280</v>
      </c>
      <c r="D380" s="13" t="s">
        <v>281</v>
      </c>
      <c r="E380" s="7" t="s">
        <v>282</v>
      </c>
    </row>
    <row r="381" spans="3:5">
      <c r="C381" s="7"/>
      <c r="D381" s="7"/>
      <c r="E381" s="7"/>
    </row>
    <row r="382" spans="3:5">
      <c r="C382" s="7" t="s">
        <v>235</v>
      </c>
      <c r="D382" s="7" t="str">
        <f>IF(VLOOKUP(C379,行为概览!$D$3:$U$33,7,0)&gt;0,C$3&amp;"*"&amp;VLOOKUP(D380,$T$8:$U$43,2,0)&amp;"*"&amp;ROUND(VLOOKUP(C379,行为概览!$D$3:$U$33,7,0)*VLOOKUP(C379,行为概览!$D$3:$U$33,6,0),2),"无")</f>
        <v>400*RoleLv*5</v>
      </c>
      <c r="E382" s="7"/>
    </row>
    <row r="383" spans="3:5">
      <c r="C383" s="7" t="s">
        <v>236</v>
      </c>
      <c r="D383" s="7" t="str">
        <f>IF(VLOOKUP(C379,行为概览!$D$3:$U$33,8,0)&gt;0,D$3&amp;"*"&amp;VLOOKUP(D380,$T$8:$U$43,2,0)&amp;"*"&amp;ROUND(VLOOKUP(C379,行为概览!$D$3:$U$33,8,0)*VLOOKUP(C379,行为概览!$D$3:$U$33,6,0),2),"无")</f>
        <v>5000*RoleLv*0.5</v>
      </c>
      <c r="E383" s="7"/>
    </row>
    <row r="384" spans="3:5">
      <c r="C384" s="7" t="s">
        <v>237</v>
      </c>
      <c r="D384" s="7" t="str">
        <f>IF(VLOOKUP(C379,行为概览!$D$3:$U$33,9,0)&gt;0,E$3&amp;"*"&amp;VLOOKUP(D380,$T$8:$U$43,2,0)&amp;"*"&amp;ROUND(VLOOKUP(C379,行为概览!$D$3:$U$33,9,0),2),"无")</f>
        <v>1000*RoleLv*1</v>
      </c>
      <c r="E384" s="7"/>
    </row>
    <row r="385" spans="3:5">
      <c r="C385" s="7" t="s">
        <v>238</v>
      </c>
      <c r="D385" s="7" t="str">
        <f>IF(VLOOKUP(C379,行为概览!$D$3:$U$33,10,0)&gt;0,F$3&amp;"*"&amp;VLOOKUP(D380,$T$8:$U$43,2,0)&amp;"*"&amp;ROUND(VLOOKUP(C379,行为概览!$D$3:$U$33,10,0),2),"无")</f>
        <v>无</v>
      </c>
      <c r="E385" s="7"/>
    </row>
    <row r="386" spans="3:5">
      <c r="C386" s="7"/>
      <c r="D386" s="7"/>
      <c r="E386" s="7"/>
    </row>
    <row r="387" spans="3:5">
      <c r="C387" s="7"/>
      <c r="D387" s="7"/>
      <c r="E387" s="7"/>
    </row>
    <row r="388" spans="3:5">
      <c r="C388" s="7" t="s">
        <v>323</v>
      </c>
      <c r="D388" s="7">
        <v>1</v>
      </c>
      <c r="E388" s="7"/>
    </row>
    <row r="389" spans="3:5">
      <c r="C389" s="7" t="s">
        <v>389</v>
      </c>
      <c r="D389" s="7">
        <v>5</v>
      </c>
      <c r="E389" s="7"/>
    </row>
    <row r="390" spans="3:5">
      <c r="C390" s="7"/>
      <c r="D390" s="7"/>
      <c r="E390" s="7"/>
    </row>
    <row r="391" spans="3:5">
      <c r="C391" s="7" t="s">
        <v>317</v>
      </c>
      <c r="D391" s="10" t="str">
        <f>IF(VLOOKUP(C379,行为概览!$D$3:$U$33,7,0)&gt;0,C$3&amp;"*"&amp;VLOOKUP(D380,$T$8:$U$43,2,0)&amp;"*"&amp;ROUND(VLOOKUP(C379,行为概览!$D$3:$U$33,7,0)*VLOOKUP(C379,行为概览!$D$3:$U$33,6,0)/D389,3),"无")</f>
        <v>400*RoleLv*1</v>
      </c>
      <c r="E391" s="7"/>
    </row>
    <row r="392" spans="3:5">
      <c r="C392" s="7" t="s">
        <v>319</v>
      </c>
      <c r="D392" s="10" t="str">
        <f>IF(VLOOKUP(C379,行为概览!$D$3:$U$33,8,0)&gt;0,D$3&amp;"*"&amp;VLOOKUP(D380,$T$8:$U$43,2,0)&amp;"*"&amp;ROUND(VLOOKUP(C379,行为概览!$D$3:$U$33,8,0)*VLOOKUP(C379,行为概览!$D$3:$U$33,6,0)/D389,3),"无")</f>
        <v>5000*RoleLv*0.1</v>
      </c>
      <c r="E392" s="7"/>
    </row>
    <row r="393" spans="3:5">
      <c r="C393" s="7" t="s">
        <v>320</v>
      </c>
      <c r="D393" s="10" t="str">
        <f>IF(VLOOKUP(C379,行为概览!$D$3:$U$33,9,0)&gt;0,E$3&amp;"*"&amp;VLOOKUP(D380,$T$8:$U$43,2,0)&amp;"*"&amp;ROUND(VLOOKUP(C379,行为概览!$D$3:$U$33,9,0)/D389,3),"无")</f>
        <v>1000*RoleLv*0.2</v>
      </c>
      <c r="E393" s="7"/>
    </row>
    <row r="394" spans="3:5">
      <c r="C394" s="7" t="s">
        <v>328</v>
      </c>
      <c r="D394" s="10" t="str">
        <f>IF(VLOOKUP(C379,行为概览!$D$3:$U$33,10,0)&gt;0,F$3&amp;"*"&amp;VLOOKUP(D380,$T$8:$U$43,2,0)&amp;"*"&amp;ROUND(VLOOKUP(C379,行为概览!$D$3:$U$33,10,0)/D389,3),"无")</f>
        <v>无</v>
      </c>
      <c r="E394" s="7"/>
    </row>
    <row r="397" spans="3:5">
      <c r="C397" s="131" t="s">
        <v>355</v>
      </c>
      <c r="D397" s="7"/>
      <c r="E397" s="7"/>
    </row>
    <row r="398" spans="3:5">
      <c r="C398" s="63" t="s">
        <v>280</v>
      </c>
      <c r="D398" s="13" t="s">
        <v>281</v>
      </c>
      <c r="E398" s="7" t="s">
        <v>282</v>
      </c>
    </row>
    <row r="399" spans="3:5">
      <c r="C399" s="7"/>
      <c r="D399" s="7"/>
      <c r="E399" s="7"/>
    </row>
    <row r="400" spans="3:5">
      <c r="C400" s="7" t="s">
        <v>235</v>
      </c>
      <c r="D400" s="7" t="str">
        <f>IF(VLOOKUP(C397,行为概览!$D$3:$U$33,7,0)&gt;0,C$3&amp;"*"&amp;VLOOKUP(D398,$T$8:$U$43,2,0)&amp;"*"&amp;ROUND(VLOOKUP(C397,行为概览!$D$3:$U$33,7,0)*VLOOKUP(C397,行为概览!$D$3:$U$33,6,0),2),"无")</f>
        <v>400*RoleLv*6.67</v>
      </c>
      <c r="E400" s="7"/>
    </row>
    <row r="401" spans="3:11">
      <c r="C401" s="7" t="s">
        <v>236</v>
      </c>
      <c r="D401" s="7" t="str">
        <f>IF(VLOOKUP(C397,行为概览!$D$3:$U$33,8,0)&gt;0,D$3&amp;"*"&amp;VLOOKUP(D398,$T$8:$U$43,2,0)&amp;"*"&amp;ROUND(VLOOKUP(C397,行为概览!$D$3:$U$33,8,0)*VLOOKUP(C397,行为概览!$D$3:$U$33,6,0),2),"无")</f>
        <v>5000*RoleLv*0.33</v>
      </c>
      <c r="E401" s="7"/>
    </row>
    <row r="402" spans="3:11">
      <c r="C402" s="7" t="s">
        <v>237</v>
      </c>
      <c r="D402" s="7" t="str">
        <f>IF(VLOOKUP(C397,行为概览!$D$3:$U$33,9,0)&gt;0,E$3&amp;"*"&amp;VLOOKUP(D398,$T$8:$U$43,2,0)&amp;"*"&amp;ROUND(VLOOKUP(C397,行为概览!$D$3:$U$33,9,0),2),"无")</f>
        <v>1000*RoleLv*1.5</v>
      </c>
      <c r="E402" s="7"/>
    </row>
    <row r="403" spans="3:11">
      <c r="C403" s="7" t="s">
        <v>238</v>
      </c>
      <c r="D403" s="7" t="str">
        <f>IF(VLOOKUP(C397,行为概览!$D$3:$U$33,10,0)&gt;0,F$3&amp;"*"&amp;VLOOKUP(D398,$T$8:$U$43,2,0)&amp;"*"&amp;ROUND(VLOOKUP(C397,行为概览!$D$3:$U$33,10,0),2),"无")</f>
        <v>1*RoleLv*4</v>
      </c>
      <c r="E403" s="7"/>
    </row>
    <row r="404" spans="3:11">
      <c r="C404" s="7"/>
      <c r="D404" s="7"/>
      <c r="E404" s="7"/>
    </row>
    <row r="405" spans="3:11">
      <c r="C405" s="7"/>
      <c r="D405" s="7"/>
      <c r="E405" s="7"/>
    </row>
    <row r="406" spans="3:11">
      <c r="C406" s="7" t="s">
        <v>323</v>
      </c>
      <c r="D406" s="7">
        <v>1</v>
      </c>
      <c r="E406" s="7"/>
    </row>
    <row r="407" spans="3:11">
      <c r="C407" s="7" t="s">
        <v>389</v>
      </c>
      <c r="D407" s="7">
        <v>3</v>
      </c>
      <c r="E407" s="7"/>
    </row>
    <row r="408" spans="3:11">
      <c r="C408" s="7"/>
      <c r="D408" s="7"/>
      <c r="E408" s="7"/>
    </row>
    <row r="409" spans="3:11">
      <c r="C409" s="7" t="s">
        <v>317</v>
      </c>
      <c r="D409" s="10" t="str">
        <f>IF(VLOOKUP(C397,行为概览!$D$3:$U$33,7,0)&gt;0,C$3&amp;"*"&amp;VLOOKUP(D398,$T$8:$U$43,2,0)&amp;"*"&amp;ROUND(VLOOKUP(C397,行为概览!$D$3:$U$33,7,0)*VLOOKUP(C397,行为概览!$D$3:$U$33,6,0)/D407,3),"无")</f>
        <v>400*RoleLv*2.222</v>
      </c>
      <c r="E409" s="7"/>
    </row>
    <row r="410" spans="3:11">
      <c r="C410" s="7" t="s">
        <v>319</v>
      </c>
      <c r="D410" s="10" t="str">
        <f>IF(VLOOKUP(C397,行为概览!$D$3:$U$33,8,0)&gt;0,D$3&amp;"*"&amp;VLOOKUP(D398,$T$8:$U$43,2,0)&amp;"*"&amp;ROUND(VLOOKUP(C397,行为概览!$D$3:$U$33,8,0)*VLOOKUP(C397,行为概览!$D$3:$U$33,6,0)/D407,3),"无")</f>
        <v>5000*RoleLv*0.111</v>
      </c>
      <c r="E410" s="7"/>
    </row>
    <row r="411" spans="3:11">
      <c r="C411" s="7" t="s">
        <v>320</v>
      </c>
      <c r="D411" s="10" t="str">
        <f>IF(VLOOKUP(C397,行为概览!$D$3:$U$33,9,0)&gt;0,E$3&amp;"*"&amp;VLOOKUP(D398,$T$8:$U$43,2,0)&amp;"*"&amp;ROUND(VLOOKUP(C397,行为概览!$D$3:$U$33,9,0)/D407,3),"无")</f>
        <v>1000*RoleLv*0.5</v>
      </c>
      <c r="E411" s="7"/>
    </row>
    <row r="412" spans="3:11">
      <c r="C412" s="7" t="s">
        <v>328</v>
      </c>
      <c r="D412" s="10" t="str">
        <f>IF(VLOOKUP(C397,行为概览!$D$3:$U$33,10,0)&gt;0,F$3&amp;"*"&amp;VLOOKUP(D398,$T$8:$U$43,2,0)&amp;"*"&amp;ROUND(VLOOKUP(C397,行为概览!$D$3:$U$33,10,0)/D407,3),"无")</f>
        <v>1*RoleLv*1.333</v>
      </c>
      <c r="E412" s="7"/>
    </row>
    <row r="415" spans="3:11">
      <c r="C415" s="131" t="s">
        <v>161</v>
      </c>
      <c r="D415" s="7"/>
      <c r="E415" s="7"/>
      <c r="F415" s="7"/>
      <c r="G415" s="7"/>
      <c r="H415" s="7"/>
      <c r="I415" s="7"/>
      <c r="J415" s="7"/>
      <c r="K415" s="7"/>
    </row>
    <row r="416" spans="3:11">
      <c r="C416" s="63" t="s">
        <v>280</v>
      </c>
      <c r="D416" s="13" t="s">
        <v>281</v>
      </c>
      <c r="E416" s="7" t="s">
        <v>282</v>
      </c>
      <c r="F416" s="7"/>
      <c r="G416" s="7"/>
      <c r="H416" s="7"/>
      <c r="I416" s="7"/>
      <c r="J416" s="7"/>
      <c r="K416" s="7"/>
    </row>
    <row r="417" spans="3:11">
      <c r="C417" s="7"/>
      <c r="D417" s="7"/>
      <c r="E417" s="7"/>
      <c r="F417" s="7"/>
      <c r="G417" s="7"/>
      <c r="H417" s="7"/>
      <c r="I417" s="7"/>
      <c r="J417" s="7"/>
      <c r="K417" s="7"/>
    </row>
    <row r="418" spans="3:11">
      <c r="C418" s="7" t="s">
        <v>235</v>
      </c>
      <c r="D418" s="7" t="str">
        <f>IF(VLOOKUP(C415,行为概览!$D$3:$U$33,7,0)&gt;0,C$3&amp;"*"&amp;VLOOKUP(D416,$T$8:$U$43,2,0)&amp;"*"&amp;ROUND(VLOOKUP(C415,行为概览!$D$3:$U$33,7,0)*VLOOKUP(C415,行为概览!$D$3:$U$33,6,0),2),"无")</f>
        <v>400*RoleLv*2.5</v>
      </c>
      <c r="E418" s="7"/>
      <c r="F418" s="7"/>
      <c r="G418" s="7"/>
      <c r="H418" s="7"/>
      <c r="I418" s="7"/>
      <c r="J418" s="7"/>
      <c r="K418" s="7"/>
    </row>
    <row r="419" spans="3:11">
      <c r="C419" s="7" t="s">
        <v>236</v>
      </c>
      <c r="D419" s="7" t="str">
        <f>IF(VLOOKUP(C415,行为概览!$D$3:$U$33,8,0)&gt;0,D$3&amp;"*"&amp;VLOOKUP(D416,$T$8:$U$43,2,0)&amp;"*"&amp;ROUND(VLOOKUP(C415,行为概览!$D$3:$U$33,8,0)*VLOOKUP(C415,行为概览!$D$3:$U$33,6,0),2),"无")</f>
        <v>无</v>
      </c>
      <c r="E419" s="7"/>
      <c r="F419" s="7"/>
      <c r="G419" s="7"/>
      <c r="H419" s="7"/>
      <c r="I419" s="7"/>
      <c r="J419" s="7"/>
      <c r="K419" s="7"/>
    </row>
    <row r="420" spans="3:11">
      <c r="C420" s="7" t="s">
        <v>237</v>
      </c>
      <c r="D420" s="7" t="str">
        <f>IF(VLOOKUP(C415,行为概览!$D$3:$U$33,9,0)&gt;0,E$3&amp;"*"&amp;VLOOKUP(D416,$T$8:$U$43,2,0)&amp;"*"&amp;ROUND(VLOOKUP(C415,行为概览!$D$3:$U$33,9,0),2),"无")</f>
        <v>1000*RoleLv*1</v>
      </c>
      <c r="E420" s="7"/>
      <c r="F420" s="7"/>
      <c r="G420" s="7"/>
      <c r="H420" s="7"/>
      <c r="I420" s="7"/>
      <c r="J420" s="7"/>
      <c r="K420" s="7"/>
    </row>
    <row r="421" spans="3:11">
      <c r="C421" s="7" t="s">
        <v>238</v>
      </c>
      <c r="D421" s="7" t="str">
        <f>IF(VLOOKUP(C415,行为概览!$D$3:$U$33,10,0)&gt;0,F$3&amp;"*"&amp;VLOOKUP(D416,$T$8:$U$43,2,0)&amp;"*"&amp;ROUND(VLOOKUP(C415,行为概览!$D$3:$U$33,10,0),2),"无")</f>
        <v>无</v>
      </c>
      <c r="E421" s="7"/>
      <c r="F421" s="7"/>
      <c r="G421" s="7"/>
      <c r="H421" s="7"/>
      <c r="I421" s="7"/>
      <c r="J421" s="7"/>
      <c r="K421" s="7"/>
    </row>
    <row r="422" spans="3:11">
      <c r="C422" s="7"/>
      <c r="D422" s="7"/>
      <c r="E422" s="7"/>
      <c r="F422" s="7"/>
      <c r="G422" s="7"/>
      <c r="H422" s="7"/>
      <c r="I422" s="7"/>
      <c r="J422" s="7"/>
      <c r="K422" s="7"/>
    </row>
    <row r="423" spans="3:11">
      <c r="C423" s="7"/>
      <c r="D423" s="7"/>
      <c r="E423" s="7"/>
      <c r="F423" s="7"/>
      <c r="G423" s="7"/>
      <c r="H423" s="7"/>
      <c r="I423" s="7"/>
      <c r="J423" s="7"/>
      <c r="K423" s="7"/>
    </row>
    <row r="424" spans="3:11">
      <c r="C424" s="7" t="s">
        <v>323</v>
      </c>
      <c r="D424" s="7">
        <v>1</v>
      </c>
      <c r="E424" s="7"/>
      <c r="F424" s="7"/>
      <c r="G424" s="7" t="s">
        <v>410</v>
      </c>
      <c r="H424" s="7">
        <v>1</v>
      </c>
      <c r="I424" s="7">
        <v>0.91</v>
      </c>
      <c r="J424" s="7">
        <f>0.89+0.02*H424</f>
        <v>0.91</v>
      </c>
      <c r="K424" s="7" t="str">
        <f>0.89&amp;"+0.02*"&amp;VLOOKUP("答题答对次数",$T$8:$U$46,2,0)</f>
        <v>0.89+0.02*AnswerCnt</v>
      </c>
    </row>
    <row r="425" spans="3:11">
      <c r="C425" s="7" t="s">
        <v>389</v>
      </c>
      <c r="D425" s="7">
        <f>10*D424</f>
        <v>10</v>
      </c>
      <c r="E425" s="7"/>
      <c r="F425" s="7"/>
      <c r="G425" s="7"/>
      <c r="H425" s="7">
        <v>2</v>
      </c>
      <c r="I425" s="7">
        <v>0.93</v>
      </c>
      <c r="J425" s="7">
        <f t="shared" ref="J425:J433" si="17">0.89+0.02*H425</f>
        <v>0.93</v>
      </c>
      <c r="K425" s="7"/>
    </row>
    <row r="426" spans="3:11">
      <c r="C426" s="7"/>
      <c r="D426" s="7"/>
      <c r="E426" s="7"/>
      <c r="F426" s="7"/>
      <c r="G426" s="7"/>
      <c r="H426" s="7">
        <v>3</v>
      </c>
      <c r="I426" s="7">
        <v>0.95</v>
      </c>
      <c r="J426" s="7">
        <f t="shared" si="17"/>
        <v>0.95</v>
      </c>
      <c r="K426" s="7"/>
    </row>
    <row r="427" spans="3:11">
      <c r="C427" s="7" t="s">
        <v>317</v>
      </c>
      <c r="D427" s="10" t="str">
        <f>IF(VLOOKUP(C415,行为概览!$D$3:$U$33,7,0)&gt;0,C$3&amp;"*"&amp;VLOOKUP(D416,$T$8:$U$43,2,0)&amp;"*"&amp;ROUND(VLOOKUP(C415,行为概览!$D$3:$U$33,7,0)*VLOOKUP(C415,行为概览!$D$3:$U$33,6,0)/D425,3)&amp;"*("&amp;K424&amp;")","无")</f>
        <v>400*RoleLv*0.25*(0.89+0.02*AnswerCnt)</v>
      </c>
      <c r="E427" s="7"/>
      <c r="F427" s="7"/>
      <c r="G427" s="7"/>
      <c r="H427" s="7">
        <v>4</v>
      </c>
      <c r="I427" s="7">
        <v>0.97</v>
      </c>
      <c r="J427" s="7">
        <f t="shared" si="17"/>
        <v>0.97</v>
      </c>
      <c r="K427" s="7"/>
    </row>
    <row r="428" spans="3:11">
      <c r="C428" s="7" t="s">
        <v>319</v>
      </c>
      <c r="D428" s="10" t="str">
        <f>IF(VLOOKUP(C415,行为概览!$D$3:$U$33,8,0)&gt;0,D$3&amp;"*"&amp;VLOOKUP(D416,$T$8:$U$43,2,0)&amp;"*"&amp;ROUND(VLOOKUP(C415,行为概览!$D$3:$U$33,8,0)*VLOOKUP(C415,行为概览!$D$3:$U$33,6,0)/D425,3)&amp;"*("&amp;K424&amp;")","无")</f>
        <v>无</v>
      </c>
      <c r="E428" s="7"/>
      <c r="F428" s="7"/>
      <c r="G428" s="7"/>
      <c r="H428" s="7">
        <v>5</v>
      </c>
      <c r="I428" s="7">
        <v>0.99</v>
      </c>
      <c r="J428" s="7">
        <f t="shared" si="17"/>
        <v>0.99</v>
      </c>
      <c r="K428" s="7"/>
    </row>
    <row r="429" spans="3:11">
      <c r="C429" s="7" t="s">
        <v>320</v>
      </c>
      <c r="D429" s="10" t="str">
        <f>IF(VLOOKUP(C415,行为概览!$D$3:$U$33,9,0)&gt;0,E$3&amp;"*"&amp;VLOOKUP(D416,$T$8:$U$43,2,0)&amp;"*"&amp;ROUND(VLOOKUP(C415,行为概览!$D$3:$U$33,9,0)/D425,3)&amp;"*("&amp;K424&amp;")","无")</f>
        <v>1000*RoleLv*0.1*(0.89+0.02*AnswerCnt)</v>
      </c>
      <c r="E429" s="7"/>
      <c r="F429" s="7"/>
      <c r="G429" s="7"/>
      <c r="H429" s="7">
        <v>6</v>
      </c>
      <c r="I429" s="7">
        <v>1.01</v>
      </c>
      <c r="J429" s="7">
        <f t="shared" si="17"/>
        <v>1.01</v>
      </c>
      <c r="K429" s="7"/>
    </row>
    <row r="430" spans="3:11">
      <c r="C430" s="7" t="s">
        <v>328</v>
      </c>
      <c r="D430" s="10" t="str">
        <f>IF(VLOOKUP(C415,行为概览!$D$3:$U$33,10,0)&gt;0,F$3&amp;"*"&amp;VLOOKUP(D416,$T$8:$U$43,2,0)&amp;"*"&amp;ROUND(VLOOKUP(C415,行为概览!$D$3:$U$33,10,0)/D425,3),"无")</f>
        <v>无</v>
      </c>
      <c r="E430" s="7"/>
      <c r="F430" s="7"/>
      <c r="G430" s="7"/>
      <c r="H430" s="7">
        <v>7</v>
      </c>
      <c r="I430" s="7">
        <v>1.03</v>
      </c>
      <c r="J430" s="7">
        <f t="shared" si="17"/>
        <v>1.03</v>
      </c>
      <c r="K430" s="7"/>
    </row>
    <row r="431" spans="3:11">
      <c r="C431" s="7"/>
      <c r="D431" s="10"/>
      <c r="E431" s="7"/>
      <c r="F431" s="7"/>
      <c r="G431" s="7"/>
      <c r="H431" s="7">
        <v>8</v>
      </c>
      <c r="I431" s="7">
        <v>1.05</v>
      </c>
      <c r="J431" s="7">
        <f t="shared" si="17"/>
        <v>1.05</v>
      </c>
      <c r="K431" s="7"/>
    </row>
    <row r="432" spans="3:11">
      <c r="C432" s="7"/>
      <c r="D432" s="7"/>
      <c r="E432" s="7"/>
      <c r="F432" s="7"/>
      <c r="G432" s="7"/>
      <c r="H432" s="7">
        <v>9</v>
      </c>
      <c r="I432" s="7">
        <v>1.07</v>
      </c>
      <c r="J432" s="7">
        <f t="shared" si="17"/>
        <v>1.07</v>
      </c>
      <c r="K432" s="7"/>
    </row>
    <row r="433" spans="2:11">
      <c r="C433" s="7"/>
      <c r="D433" s="7"/>
      <c r="E433" s="7"/>
      <c r="F433" s="7"/>
      <c r="G433" s="7"/>
      <c r="H433" s="7">
        <v>10</v>
      </c>
      <c r="I433" s="7">
        <v>1.0900000000000001</v>
      </c>
      <c r="J433" s="7">
        <f t="shared" si="17"/>
        <v>1.0900000000000001</v>
      </c>
      <c r="K433" s="7"/>
    </row>
    <row r="436" spans="2:11">
      <c r="C436" s="136" t="s">
        <v>36</v>
      </c>
      <c r="D436" s="7"/>
      <c r="E436" s="7"/>
      <c r="F436" s="7"/>
      <c r="G436" s="7"/>
      <c r="H436" s="7"/>
      <c r="I436" s="7"/>
      <c r="J436" s="7"/>
      <c r="K436" s="7"/>
    </row>
    <row r="437" spans="2:11">
      <c r="B437" s="13" t="s">
        <v>357</v>
      </c>
      <c r="C437" s="63" t="s">
        <v>280</v>
      </c>
      <c r="D437" s="13" t="s">
        <v>281</v>
      </c>
      <c r="E437" s="7" t="s">
        <v>282</v>
      </c>
      <c r="F437" s="7"/>
      <c r="G437" s="7"/>
      <c r="H437" s="7"/>
      <c r="I437" s="7"/>
      <c r="J437" s="7"/>
      <c r="K437" s="7"/>
    </row>
    <row r="438" spans="2:11">
      <c r="C438" s="7"/>
      <c r="D438" s="7"/>
      <c r="E438" s="7"/>
      <c r="F438" s="7"/>
      <c r="G438" s="7"/>
      <c r="H438" s="7"/>
      <c r="I438" s="7"/>
      <c r="J438" s="7"/>
      <c r="K438" s="7"/>
    </row>
    <row r="439" spans="2:11">
      <c r="C439" s="7" t="s">
        <v>235</v>
      </c>
      <c r="D439" s="7" t="str">
        <f>IF(VLOOKUP(C436,行为概览!$D$3:$U$33,7,0)&gt;0,C$3&amp;"*"&amp;VLOOKUP(D437,$T$8:$U$43,2,0)&amp;"*"&amp;ROUND(VLOOKUP(C436,行为概览!$D$3:$U$33,7,0)*VLOOKUP(C436,行为概览!$D$3:$U$33,6,0),2),"无")</f>
        <v>400*RoleLv*5</v>
      </c>
      <c r="E439" s="7"/>
      <c r="F439" s="7"/>
      <c r="G439" s="7"/>
      <c r="H439" s="7"/>
      <c r="I439" s="7"/>
      <c r="J439" s="7"/>
      <c r="K439" s="7"/>
    </row>
    <row r="440" spans="2:11">
      <c r="C440" s="7" t="s">
        <v>236</v>
      </c>
      <c r="D440" s="7" t="str">
        <f>IF(VLOOKUP(C436,行为概览!$D$3:$U$33,8,0)&gt;0,D$3&amp;"*"&amp;VLOOKUP(D437,$T$8:$U$43,2,0)&amp;"*"&amp;ROUND(VLOOKUP(C436,行为概览!$D$3:$U$33,8,0)*VLOOKUP(C436,行为概览!$D$3:$U$33,6,0),2),"无")</f>
        <v>无</v>
      </c>
      <c r="E440" s="7"/>
      <c r="F440" s="7"/>
      <c r="G440" s="7"/>
      <c r="H440" s="7"/>
      <c r="I440" s="7"/>
      <c r="J440" s="7"/>
      <c r="K440" s="7"/>
    </row>
    <row r="441" spans="2:11">
      <c r="C441" s="7" t="s">
        <v>237</v>
      </c>
      <c r="D441" s="7" t="str">
        <f>IF(VLOOKUP(C436,行为概览!$D$3:$U$33,9,0)&gt;0,E$3&amp;"*"&amp;VLOOKUP(D437,$T$8:$U$43,2,0)&amp;"*"&amp;ROUND(VLOOKUP(C436,行为概览!$D$3:$U$33,9,0),2),"无")</f>
        <v>1000*RoleLv*1</v>
      </c>
      <c r="E441" s="7"/>
      <c r="F441" s="7"/>
      <c r="G441" s="7"/>
      <c r="H441" s="7"/>
      <c r="I441" s="7"/>
      <c r="J441" s="7"/>
      <c r="K441" s="7"/>
    </row>
    <row r="442" spans="2:11">
      <c r="C442" s="7" t="s">
        <v>238</v>
      </c>
      <c r="D442" s="7" t="str">
        <f>IF(VLOOKUP(C436,行为概览!$D$3:$U$33,10,0)&gt;0,F$3&amp;"*"&amp;VLOOKUP(D437,$T$8:$U$43,2,0)&amp;"*"&amp;ROUND(VLOOKUP(C436,行为概览!$D$3:$U$33,10,0),2),"无")</f>
        <v>无</v>
      </c>
      <c r="E442" s="7"/>
      <c r="F442" s="7"/>
      <c r="G442" s="7"/>
      <c r="H442" s="7"/>
      <c r="I442" s="7"/>
      <c r="J442" s="7"/>
      <c r="K442" s="7"/>
    </row>
    <row r="443" spans="2:11">
      <c r="C443" s="7"/>
      <c r="D443" s="7"/>
      <c r="E443" s="7"/>
      <c r="F443" s="7"/>
      <c r="G443" s="7"/>
      <c r="H443" s="7"/>
      <c r="I443" s="7"/>
      <c r="J443" s="7"/>
      <c r="K443" s="7"/>
    </row>
    <row r="444" spans="2:11">
      <c r="C444" s="7"/>
      <c r="D444" s="7"/>
      <c r="E444" s="7"/>
      <c r="F444" s="7"/>
      <c r="G444" s="7"/>
      <c r="H444" s="7"/>
      <c r="I444" s="7"/>
      <c r="J444" s="7"/>
      <c r="K444" s="7"/>
    </row>
    <row r="445" spans="2:11">
      <c r="C445" s="7" t="s">
        <v>323</v>
      </c>
      <c r="D445" s="7">
        <v>1</v>
      </c>
      <c r="E445" s="7"/>
      <c r="F445" s="7"/>
      <c r="G445" s="7" t="s">
        <v>409</v>
      </c>
      <c r="H445" s="7">
        <v>1</v>
      </c>
      <c r="I445" s="7">
        <v>0.81</v>
      </c>
      <c r="J445" s="7">
        <f>0.79+0.02*H445</f>
        <v>0.81</v>
      </c>
      <c r="K445" s="7" t="str">
        <f>0.79&amp;"+0.02*"&amp;VLOOKUP("答题答对次数",$T$8:$U$46,2,0)</f>
        <v>0.79+0.02*AnswerCnt</v>
      </c>
    </row>
    <row r="446" spans="2:11">
      <c r="C446" s="7" t="s">
        <v>389</v>
      </c>
      <c r="D446" s="10">
        <v>20</v>
      </c>
      <c r="E446" s="7"/>
      <c r="F446" s="7"/>
      <c r="G446" s="7"/>
      <c r="H446" s="7">
        <v>2</v>
      </c>
      <c r="I446" s="7">
        <v>0.83</v>
      </c>
      <c r="J446" s="7">
        <f t="shared" ref="J446:J464" si="18">0.79+0.02*H446</f>
        <v>0.83000000000000007</v>
      </c>
      <c r="K446" s="7"/>
    </row>
    <row r="447" spans="2:11">
      <c r="C447" s="7"/>
      <c r="D447" s="10"/>
      <c r="E447" s="7"/>
      <c r="F447" s="7"/>
      <c r="G447" s="7"/>
      <c r="H447" s="7">
        <v>3</v>
      </c>
      <c r="I447" s="7">
        <v>0.85</v>
      </c>
      <c r="J447" s="7">
        <f t="shared" si="18"/>
        <v>0.85000000000000009</v>
      </c>
      <c r="K447" s="7"/>
    </row>
    <row r="448" spans="2:11">
      <c r="C448" s="7" t="s">
        <v>317</v>
      </c>
      <c r="D448" s="10" t="str">
        <f>IF(VLOOKUP(C436,行为概览!$D$3:$U$33,7,0)&gt;0,C$3&amp;"*"&amp;VLOOKUP(D437,$T$8:$U$43,2,0)&amp;"*"&amp;ROUND(VLOOKUP(C436,行为概览!$D$3:$U$33,7,0)*VLOOKUP(C436,行为概览!$D$3:$U$33,6,0)/D446,3)&amp;"*("&amp;K445&amp;")","无")</f>
        <v>400*RoleLv*0.25*(0.79+0.02*AnswerCnt)</v>
      </c>
      <c r="E448" s="7"/>
      <c r="F448" s="7"/>
      <c r="G448" s="7"/>
      <c r="H448" s="7">
        <v>4</v>
      </c>
      <c r="I448" s="7">
        <v>0.87</v>
      </c>
      <c r="J448" s="7">
        <f t="shared" si="18"/>
        <v>0.87</v>
      </c>
      <c r="K448" s="7"/>
    </row>
    <row r="449" spans="3:12">
      <c r="C449" s="7" t="s">
        <v>319</v>
      </c>
      <c r="D449" s="10" t="str">
        <f>IF(VLOOKUP(C436,行为概览!$D$3:$U$33,8,0)&gt;0,D$3&amp;"*"&amp;VLOOKUP(D437,$T$8:$U$43,2,0)&amp;"*"&amp;ROUND(VLOOKUP(C436,行为概览!$D$3:$U$33,8,0)*VLOOKUP(C436,行为概览!$D$3:$U$33,6,0)/D446,3)&amp;"*("&amp;K445&amp;")","无")</f>
        <v>无</v>
      </c>
      <c r="E449" s="7"/>
      <c r="F449" s="7"/>
      <c r="G449" s="7"/>
      <c r="H449" s="7">
        <v>5</v>
      </c>
      <c r="I449" s="7">
        <v>0.89</v>
      </c>
      <c r="J449" s="7">
        <f t="shared" si="18"/>
        <v>0.89</v>
      </c>
      <c r="K449" s="7"/>
    </row>
    <row r="450" spans="3:12">
      <c r="C450" s="7" t="s">
        <v>320</v>
      </c>
      <c r="D450" s="10" t="str">
        <f>IF(VLOOKUP(C436,行为概览!$D$3:$U$33,9,0)&gt;0,E$3&amp;"*"&amp;VLOOKUP(D437,$T$8:$U$43,2,0)&amp;"*"&amp;ROUND(VLOOKUP(C436,行为概览!$D$3:$U$33,9,0)/D446,3)&amp;"*("&amp;K445&amp;")","无")</f>
        <v>1000*RoleLv*0.05*(0.79+0.02*AnswerCnt)</v>
      </c>
      <c r="E450" s="7"/>
      <c r="F450" s="7"/>
      <c r="G450" s="7"/>
      <c r="H450" s="7">
        <v>6</v>
      </c>
      <c r="I450" s="7">
        <v>0.91</v>
      </c>
      <c r="J450" s="7">
        <f t="shared" si="18"/>
        <v>0.91</v>
      </c>
      <c r="K450" s="7"/>
    </row>
    <row r="451" spans="3:12">
      <c r="C451" s="7" t="s">
        <v>328</v>
      </c>
      <c r="D451" s="10" t="str">
        <f>IF(VLOOKUP(C436,行为概览!$D$3:$U$33,10,0)&gt;0,F$3&amp;"*"&amp;VLOOKUP(D437,$T$8:$U$43,2,0)&amp;"*"&amp;ROUND(VLOOKUP(C436,行为概览!$D$3:$U$33,10,0)/D446,3),"无")</f>
        <v>无</v>
      </c>
      <c r="E451" s="7"/>
      <c r="F451" s="7"/>
      <c r="G451" s="7"/>
      <c r="H451" s="7">
        <v>7</v>
      </c>
      <c r="I451" s="7">
        <v>0.93</v>
      </c>
      <c r="J451" s="7">
        <f t="shared" si="18"/>
        <v>0.93</v>
      </c>
      <c r="K451" s="7"/>
    </row>
    <row r="452" spans="3:12">
      <c r="C452" s="7"/>
      <c r="D452" s="10"/>
      <c r="E452" s="7"/>
      <c r="F452" s="7"/>
      <c r="G452" s="7"/>
      <c r="H452" s="7">
        <v>8</v>
      </c>
      <c r="I452" s="7">
        <v>0.95</v>
      </c>
      <c r="J452" s="7">
        <f t="shared" si="18"/>
        <v>0.95000000000000007</v>
      </c>
      <c r="K452" s="7"/>
      <c r="L452" s="7"/>
    </row>
    <row r="453" spans="3:12">
      <c r="C453" s="7"/>
      <c r="D453" s="7"/>
      <c r="E453" s="7"/>
      <c r="F453" s="7"/>
      <c r="G453" s="7"/>
      <c r="H453" s="7">
        <v>9</v>
      </c>
      <c r="I453" s="7">
        <v>0.97</v>
      </c>
      <c r="J453" s="7">
        <f t="shared" si="18"/>
        <v>0.97</v>
      </c>
      <c r="K453" s="7"/>
      <c r="L453" s="7"/>
    </row>
    <row r="454" spans="3:12">
      <c r="C454" s="13"/>
      <c r="D454" s="13"/>
      <c r="E454" s="7"/>
      <c r="F454" s="7"/>
      <c r="G454" s="7"/>
      <c r="H454" s="7">
        <v>10</v>
      </c>
      <c r="I454" s="7">
        <v>0.99</v>
      </c>
      <c r="J454" s="7">
        <f t="shared" si="18"/>
        <v>0.99</v>
      </c>
      <c r="K454" s="7"/>
    </row>
    <row r="455" spans="3:12">
      <c r="C455" s="7"/>
      <c r="H455" s="7">
        <v>11</v>
      </c>
      <c r="I455">
        <v>1.01</v>
      </c>
      <c r="J455" s="7">
        <f>0.79+0.02*H455</f>
        <v>1.01</v>
      </c>
    </row>
    <row r="456" spans="3:12">
      <c r="C456" s="7"/>
      <c r="D456" s="7"/>
      <c r="H456" s="7">
        <v>12</v>
      </c>
      <c r="I456" s="7">
        <v>1.03</v>
      </c>
      <c r="J456" s="7">
        <f t="shared" si="18"/>
        <v>1.03</v>
      </c>
    </row>
    <row r="457" spans="3:12">
      <c r="C457" s="7"/>
      <c r="D457" s="7"/>
      <c r="H457" s="7">
        <v>13</v>
      </c>
      <c r="I457" s="7">
        <v>1.05</v>
      </c>
      <c r="J457" s="7">
        <f t="shared" si="18"/>
        <v>1.05</v>
      </c>
    </row>
    <row r="458" spans="3:12">
      <c r="C458" s="7"/>
      <c r="D458" s="7"/>
      <c r="H458" s="7">
        <v>14</v>
      </c>
      <c r="I458" s="7">
        <v>1.07</v>
      </c>
      <c r="J458" s="7">
        <f t="shared" si="18"/>
        <v>1.07</v>
      </c>
    </row>
    <row r="459" spans="3:12">
      <c r="H459" s="7">
        <v>15</v>
      </c>
      <c r="I459" s="7">
        <v>1.0900000000000001</v>
      </c>
      <c r="J459" s="7">
        <f t="shared" si="18"/>
        <v>1.0900000000000001</v>
      </c>
    </row>
    <row r="460" spans="3:12">
      <c r="H460" s="7">
        <v>16</v>
      </c>
      <c r="I460" s="7">
        <v>1.1100000000000001</v>
      </c>
      <c r="J460" s="7">
        <f t="shared" si="18"/>
        <v>1.1100000000000001</v>
      </c>
    </row>
    <row r="461" spans="3:12">
      <c r="H461" s="7">
        <v>17</v>
      </c>
      <c r="I461" s="7">
        <v>1.1299999999999999</v>
      </c>
      <c r="J461" s="7">
        <f t="shared" si="18"/>
        <v>1.1300000000000001</v>
      </c>
    </row>
    <row r="462" spans="3:12">
      <c r="H462" s="7">
        <v>18</v>
      </c>
      <c r="I462" s="7">
        <v>1.1499999999999999</v>
      </c>
      <c r="J462" s="7">
        <f t="shared" si="18"/>
        <v>1.1499999999999999</v>
      </c>
    </row>
    <row r="463" spans="3:12">
      <c r="H463" s="7">
        <v>19</v>
      </c>
      <c r="I463" s="7">
        <v>1.17</v>
      </c>
      <c r="J463" s="7">
        <f t="shared" si="18"/>
        <v>1.17</v>
      </c>
    </row>
    <row r="464" spans="3:12">
      <c r="H464" s="7">
        <v>20</v>
      </c>
      <c r="I464" s="7">
        <v>1.19</v>
      </c>
      <c r="J464" s="7">
        <f t="shared" si="18"/>
        <v>1.19</v>
      </c>
    </row>
    <row r="467" spans="2:11"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2:11">
      <c r="B468" s="7"/>
      <c r="C468" s="136" t="s">
        <v>36</v>
      </c>
      <c r="D468" s="7"/>
      <c r="E468" s="7"/>
      <c r="F468" s="7"/>
      <c r="G468" s="7"/>
      <c r="H468" s="7"/>
      <c r="I468" s="7"/>
      <c r="J468" s="7"/>
      <c r="K468" s="7"/>
    </row>
    <row r="469" spans="2:11">
      <c r="B469" s="13" t="s">
        <v>356</v>
      </c>
      <c r="C469" s="63" t="s">
        <v>280</v>
      </c>
      <c r="D469" s="13" t="s">
        <v>281</v>
      </c>
      <c r="E469" s="7" t="s">
        <v>282</v>
      </c>
      <c r="F469" s="7"/>
      <c r="G469" s="7"/>
      <c r="H469" s="7"/>
      <c r="I469" s="7"/>
      <c r="J469" s="7"/>
      <c r="K469" s="7"/>
    </row>
    <row r="470" spans="2:11"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2:11">
      <c r="B471" s="7"/>
      <c r="C471" s="7" t="s">
        <v>235</v>
      </c>
      <c r="D471" s="7" t="str">
        <f>IF(VLOOKUP(C468,行为概览!$D$3:$U$33,7,0)&gt;0,C$3&amp;"*"&amp;VLOOKUP(D469,$T$8:$U$43,2,0)&amp;"*"&amp;ROUND(VLOOKUP(C468,行为概览!$D$3:$U$33,7,0)*VLOOKUP(C468,行为概览!$D$3:$U$33,6,0),2),"无")</f>
        <v>400*RoleLv*5</v>
      </c>
      <c r="E471" s="7"/>
      <c r="F471" s="7"/>
      <c r="G471" s="7"/>
      <c r="H471" s="7"/>
      <c r="I471" s="7"/>
      <c r="J471" s="7"/>
      <c r="K471" s="7"/>
    </row>
    <row r="472" spans="2:11">
      <c r="B472" s="7"/>
      <c r="C472" s="7" t="s">
        <v>236</v>
      </c>
      <c r="D472" s="7" t="str">
        <f>IF(VLOOKUP(C468,行为概览!$D$3:$U$33,8,0)&gt;0,D$3&amp;"*"&amp;VLOOKUP(D469,$T$8:$U$43,2,0)&amp;"*"&amp;ROUND(VLOOKUP(C468,行为概览!$D$3:$U$33,8,0)*VLOOKUP(C468,行为概览!$D$3:$U$33,6,0),2),"无")</f>
        <v>无</v>
      </c>
      <c r="E472" s="7"/>
      <c r="F472" s="7"/>
      <c r="G472" s="7"/>
      <c r="H472" s="7"/>
      <c r="I472" s="7"/>
      <c r="J472" s="7"/>
      <c r="K472" s="7"/>
    </row>
    <row r="473" spans="2:11">
      <c r="B473" s="7"/>
      <c r="C473" s="7" t="s">
        <v>237</v>
      </c>
      <c r="D473" s="7" t="str">
        <f>IF(VLOOKUP(C468,行为概览!$D$3:$U$33,9,0)&gt;0,E$3&amp;"*"&amp;VLOOKUP(D469,$T$8:$U$43,2,0)&amp;"*"&amp;ROUND(VLOOKUP(C468,行为概览!$D$3:$U$33,9,0),2),"无")</f>
        <v>1000*RoleLv*1</v>
      </c>
      <c r="E473" s="7"/>
      <c r="F473" s="7"/>
      <c r="G473" s="7"/>
      <c r="H473" s="7"/>
      <c r="I473" s="7"/>
      <c r="J473" s="7"/>
      <c r="K473" s="7"/>
    </row>
    <row r="474" spans="2:11">
      <c r="B474" s="7"/>
      <c r="C474" s="7" t="s">
        <v>238</v>
      </c>
      <c r="D474" s="7" t="str">
        <f>IF(VLOOKUP(C468,行为概览!$D$3:$U$33,10,0)&gt;0,F$3&amp;"*"&amp;VLOOKUP(D469,$T$8:$U$43,2,0)&amp;"*"&amp;ROUND(VLOOKUP(C468,行为概览!$D$3:$U$33,10,0),2),"无")</f>
        <v>无</v>
      </c>
      <c r="E474" s="7"/>
      <c r="F474" s="7"/>
      <c r="G474" s="7"/>
      <c r="H474" s="7"/>
      <c r="I474" s="7"/>
      <c r="J474" s="7"/>
      <c r="K474" s="7"/>
    </row>
    <row r="475" spans="2:11"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2:11"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2:11">
      <c r="B477" s="7"/>
      <c r="C477" s="7" t="s">
        <v>323</v>
      </c>
      <c r="D477" s="7">
        <v>1</v>
      </c>
      <c r="E477" s="7"/>
      <c r="F477" s="7"/>
      <c r="G477" s="7" t="s">
        <v>409</v>
      </c>
      <c r="H477" s="7">
        <v>1</v>
      </c>
      <c r="I477" s="7">
        <v>0.81</v>
      </c>
      <c r="J477" s="7">
        <f>0.79+0.02*H477</f>
        <v>0.81</v>
      </c>
      <c r="K477" s="7" t="str">
        <f>0.79&amp;"+0.02*"&amp;VLOOKUP("答题答对次数",$T$8:$U$46,2,0)</f>
        <v>0.79+0.02*AnswerCnt</v>
      </c>
    </row>
    <row r="478" spans="2:11">
      <c r="B478" s="7"/>
      <c r="C478" s="7" t="s">
        <v>389</v>
      </c>
      <c r="D478" s="7">
        <v>10</v>
      </c>
      <c r="E478" s="7"/>
      <c r="F478" s="7"/>
      <c r="G478" s="7"/>
      <c r="H478" s="7">
        <v>2</v>
      </c>
      <c r="I478" s="7">
        <v>0.83</v>
      </c>
      <c r="J478" s="7">
        <f t="shared" ref="J478:J486" si="19">0.79+0.02*H478</f>
        <v>0.83000000000000007</v>
      </c>
      <c r="K478" s="7"/>
    </row>
    <row r="479" spans="2:11">
      <c r="B479" s="7"/>
      <c r="C479" s="7"/>
      <c r="D479" s="10"/>
      <c r="E479" s="7"/>
      <c r="F479" s="7"/>
      <c r="G479" s="7"/>
      <c r="H479" s="7">
        <v>3</v>
      </c>
      <c r="I479" s="7">
        <v>0.85</v>
      </c>
      <c r="J479" s="7">
        <f t="shared" si="19"/>
        <v>0.85000000000000009</v>
      </c>
      <c r="K479" s="7"/>
    </row>
    <row r="480" spans="2:11">
      <c r="B480" s="7"/>
      <c r="C480" s="7" t="s">
        <v>317</v>
      </c>
      <c r="D480" s="10" t="str">
        <f>IF(VLOOKUP(C468,行为概览!$D$3:$U$33,7,0)&gt;0,C$3&amp;"*"&amp;VLOOKUP(D469,$T$8:$U$43,2,0)&amp;"*"&amp;ROUND(VLOOKUP(C468,行为概览!$D$3:$U$33,7,0)*VLOOKUP(C468,行为概览!$D$3:$U$33,6,0)/D478,3)&amp;"*("&amp;K477&amp;")","无")</f>
        <v>400*RoleLv*0.5*(0.79+0.02*AnswerCnt)</v>
      </c>
      <c r="E480" s="7"/>
      <c r="F480" s="7"/>
      <c r="G480" s="7"/>
      <c r="H480" s="7">
        <v>4</v>
      </c>
      <c r="I480" s="7">
        <v>0.87</v>
      </c>
      <c r="J480" s="7">
        <f t="shared" si="19"/>
        <v>0.87</v>
      </c>
      <c r="K480" s="7"/>
    </row>
    <row r="481" spans="2:14">
      <c r="B481" s="7"/>
      <c r="C481" s="7" t="s">
        <v>319</v>
      </c>
      <c r="D481" s="10" t="str">
        <f>IF(VLOOKUP(C468,行为概览!$D$3:$U$33,8,0)&gt;0,D$3&amp;"*"&amp;VLOOKUP(D469,$T$8:$U$43,2,0)&amp;"*"&amp;ROUND(VLOOKUP(C468,行为概览!$D$3:$U$33,8,0)*VLOOKUP(C468,行为概览!$D$3:$U$33,6,0)/D478,3)&amp;"*("&amp;K477&amp;")","无")</f>
        <v>无</v>
      </c>
      <c r="E481" s="7"/>
      <c r="F481" s="7"/>
      <c r="G481" s="7"/>
      <c r="H481" s="7">
        <v>5</v>
      </c>
      <c r="I481" s="7">
        <v>0.89</v>
      </c>
      <c r="J481" s="7">
        <f t="shared" si="19"/>
        <v>0.89</v>
      </c>
      <c r="K481" s="7"/>
    </row>
    <row r="482" spans="2:14">
      <c r="B482" s="7"/>
      <c r="C482" s="7" t="s">
        <v>320</v>
      </c>
      <c r="D482" s="10" t="str">
        <f>IF(VLOOKUP(C468,行为概览!$D$3:$U$33,9,0)&gt;0,E$3&amp;"*"&amp;VLOOKUP(D469,$T$8:$U$43,2,0)&amp;"*"&amp;ROUND(VLOOKUP(C468,行为概览!$D$3:$U$33,9,0)/D478,3)&amp;"*("&amp;K477&amp;")","无")</f>
        <v>1000*RoleLv*0.1*(0.79+0.02*AnswerCnt)</v>
      </c>
      <c r="E482" s="7"/>
      <c r="F482" s="7"/>
      <c r="G482" s="7"/>
      <c r="H482" s="7">
        <v>6</v>
      </c>
      <c r="I482" s="7">
        <v>0.91</v>
      </c>
      <c r="J482" s="7">
        <f t="shared" si="19"/>
        <v>0.91</v>
      </c>
      <c r="K482" s="7"/>
    </row>
    <row r="483" spans="2:14">
      <c r="B483" s="7"/>
      <c r="C483" s="7" t="s">
        <v>328</v>
      </c>
      <c r="D483" s="10" t="str">
        <f>IF(VLOOKUP(C468,行为概览!$D$3:$U$33,10,0)&gt;0,F$3&amp;"*"&amp;VLOOKUP(D469,$T$8:$U$43,2,0)&amp;"*"&amp;ROUND(VLOOKUP(C468,行为概览!$D$3:$U$33,10,0)/D478,3),"无")</f>
        <v>无</v>
      </c>
      <c r="E483" s="7"/>
      <c r="F483" s="7"/>
      <c r="G483" s="7"/>
      <c r="H483" s="7">
        <v>7</v>
      </c>
      <c r="I483" s="7">
        <v>0.93</v>
      </c>
      <c r="J483" s="7">
        <f t="shared" si="19"/>
        <v>0.93</v>
      </c>
      <c r="K483" s="7"/>
    </row>
    <row r="484" spans="2:14">
      <c r="B484" s="7"/>
      <c r="C484" s="7"/>
      <c r="D484" s="7"/>
      <c r="E484" s="7"/>
      <c r="F484" s="7"/>
      <c r="G484" s="7"/>
      <c r="H484" s="7">
        <v>8</v>
      </c>
      <c r="I484" s="7">
        <v>0.95</v>
      </c>
      <c r="J484" s="7">
        <f t="shared" si="19"/>
        <v>0.95000000000000007</v>
      </c>
      <c r="K484" s="7"/>
    </row>
    <row r="485" spans="2:14">
      <c r="B485" s="7"/>
      <c r="C485" s="7"/>
      <c r="D485" s="7"/>
      <c r="E485" s="7"/>
      <c r="F485" s="7"/>
      <c r="G485" s="7"/>
      <c r="H485" s="7">
        <v>9</v>
      </c>
      <c r="I485" s="7">
        <v>0.97</v>
      </c>
      <c r="J485" s="7">
        <f t="shared" si="19"/>
        <v>0.97</v>
      </c>
      <c r="K485" s="7"/>
    </row>
    <row r="486" spans="2:14">
      <c r="B486" s="7"/>
      <c r="C486" s="13"/>
      <c r="D486" s="13"/>
      <c r="E486" s="7"/>
      <c r="F486" s="7"/>
      <c r="G486" s="7"/>
      <c r="H486" s="7">
        <v>10</v>
      </c>
      <c r="I486" s="7">
        <v>0.99</v>
      </c>
      <c r="J486" s="7">
        <f t="shared" si="19"/>
        <v>0.99</v>
      </c>
      <c r="K486" s="7"/>
    </row>
    <row r="487" spans="2:14"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2:14"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2:14"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2:14">
      <c r="B490" s="7"/>
      <c r="C490" s="131" t="s">
        <v>496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2:14">
      <c r="B491" s="13"/>
      <c r="C491" s="63" t="s">
        <v>280</v>
      </c>
      <c r="D491" s="13" t="s">
        <v>281</v>
      </c>
      <c r="E491" s="7" t="s">
        <v>282</v>
      </c>
      <c r="F491" s="7"/>
      <c r="G491" s="7"/>
      <c r="H491" s="7"/>
      <c r="I491" s="7"/>
      <c r="J491" s="7"/>
      <c r="K491" s="7"/>
      <c r="L491" s="7"/>
      <c r="M491" s="7"/>
      <c r="N491" s="7"/>
    </row>
    <row r="492" spans="2:14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2:14">
      <c r="B493" s="7"/>
      <c r="C493" s="7" t="s">
        <v>497</v>
      </c>
      <c r="D493" s="7" t="str">
        <f>IF(VLOOKUP(C490,行为概览!$D$3:$U$33,7,0)&gt;0,C$3&amp;"*"&amp;VLOOKUP(D491,$T$8:$U$43,2,0)&amp;"*"&amp;ROUND(VLOOKUP(C490,行为概览!$D$3:$U$33,7,0)*VLOOKUP(C490,行为概览!$D$3:$U$33,6,0)*7,2),"无")</f>
        <v>400*RoleLv*43.75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2:14">
      <c r="B494" s="7"/>
      <c r="C494" s="7" t="s">
        <v>498</v>
      </c>
      <c r="D494" s="7" t="str">
        <f>IF(VLOOKUP(C490,行为概览!$D$3:$U$33,8,0)&gt;0,D$3&amp;"*"&amp;VLOOKUP(D491,$T$8:$U$43,2,0)&amp;"*"&amp;ROUND(VLOOKUP(C490,行为概览!$D$3:$U$33,8,0)*VLOOKUP(C490,行为概览!$D$3:$U$33,6,0)*7,2),"无")</f>
        <v>5000*RoleLv*1.75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2:14">
      <c r="B495" s="7"/>
      <c r="C495" s="7" t="s">
        <v>499</v>
      </c>
      <c r="D495" s="7" t="str">
        <f>IF(VLOOKUP(C490,行为概览!$D$3:$U$33,9,0)&gt;0,E$3&amp;"*"&amp;VLOOKUP(D491,$T$8:$U$43,2,0)&amp;"*"&amp;ROUND(VLOOKUP(C490,行为概览!$D$3:$U$33,9,0),2)*7,"无")</f>
        <v>1000*RoleLv*7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2:14">
      <c r="B496" s="7"/>
      <c r="C496" s="7" t="s">
        <v>500</v>
      </c>
      <c r="D496" s="7" t="str">
        <f>IF(VLOOKUP(C490,行为概览!$D$3:$U$33,10,0)&gt;0,F$3&amp;"*"&amp;VLOOKUP(D491,$T$8:$U$43,2,0)&amp;"*"&amp;ROUND(VLOOKUP(C490,行为概览!$D$3:$U$33,10,0),2)*7,"无")</f>
        <v>无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2:1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2:15">
      <c r="B498" s="7"/>
      <c r="C498" s="7"/>
      <c r="D498" s="7"/>
      <c r="E498" s="7"/>
      <c r="F498" s="7"/>
      <c r="G498" s="7"/>
      <c r="H498" s="7" t="s">
        <v>361</v>
      </c>
      <c r="I498" s="7"/>
      <c r="J498" s="7"/>
      <c r="K498" s="7"/>
      <c r="L498" s="7" t="s">
        <v>334</v>
      </c>
      <c r="M498" s="7"/>
      <c r="N498" s="7"/>
    </row>
    <row r="499" spans="2:15">
      <c r="B499" s="7"/>
      <c r="C499" s="7" t="s">
        <v>323</v>
      </c>
      <c r="D499" s="7">
        <v>2</v>
      </c>
      <c r="E499" s="7"/>
      <c r="F499" s="7"/>
      <c r="G499" s="7"/>
      <c r="H499" s="7">
        <v>1</v>
      </c>
      <c r="I499" s="7">
        <v>0.88</v>
      </c>
      <c r="J499" s="7">
        <f>0.85+0.03*H499</f>
        <v>0.88</v>
      </c>
      <c r="K499" s="7" t="str">
        <f>0.85&amp;"+0.03*(("&amp;VLOOKUP("次数",$T$8:$U$43,2,0)&amp;"-1)%9+1)"</f>
        <v>0.85+0.03*((Time-1)%9+1)</v>
      </c>
      <c r="L499" s="7">
        <v>1</v>
      </c>
      <c r="M499" s="7">
        <v>1</v>
      </c>
      <c r="N499" s="7" t="str">
        <f>0.9&amp;"+0.1*(floor(("&amp;VLOOKUP("次数",$T$8:$U$43,2,0)&amp;"-1)/9)+1)"</f>
        <v>0.9+0.1*(floor((Time-1)/9)+1)</v>
      </c>
    </row>
    <row r="500" spans="2:15">
      <c r="B500" s="7"/>
      <c r="C500" s="7" t="s">
        <v>389</v>
      </c>
      <c r="D500" s="7">
        <f>18*D499</f>
        <v>36</v>
      </c>
      <c r="E500" s="7"/>
      <c r="F500" s="7"/>
      <c r="G500" s="7"/>
      <c r="H500" s="7">
        <v>2</v>
      </c>
      <c r="I500" s="7">
        <v>0.91</v>
      </c>
      <c r="J500" s="7">
        <f t="shared" ref="J500:J507" si="20">0.85+0.03*H500</f>
        <v>0.90999999999999992</v>
      </c>
      <c r="K500" s="7"/>
      <c r="L500" s="7">
        <v>2</v>
      </c>
      <c r="M500" s="7">
        <v>1.1000000000000001</v>
      </c>
      <c r="N500" s="7"/>
      <c r="O500" s="7"/>
    </row>
    <row r="501" spans="2:15">
      <c r="B501" s="7"/>
      <c r="C501" s="7"/>
      <c r="D501" s="7"/>
      <c r="E501" s="7"/>
      <c r="F501" s="7"/>
      <c r="G501" s="7"/>
      <c r="H501" s="7">
        <v>3</v>
      </c>
      <c r="I501" s="7">
        <v>0.94</v>
      </c>
      <c r="J501" s="7">
        <f t="shared" si="20"/>
        <v>0.94</v>
      </c>
      <c r="K501" s="7"/>
      <c r="L501" s="7">
        <v>3</v>
      </c>
      <c r="M501" s="7">
        <v>1.2</v>
      </c>
      <c r="N501" s="7"/>
      <c r="O501" s="7"/>
    </row>
    <row r="502" spans="2:15">
      <c r="B502" s="7"/>
      <c r="C502" s="7" t="s">
        <v>317</v>
      </c>
      <c r="D502" s="10" t="str">
        <f>IF(VLOOKUP(C490,行为概览!$D$3:$U$33,7,0)&gt;0,C$3&amp;"*"&amp;VLOOKUP(D491,$T$8:$U$43,2,0)&amp;"*"&amp;ROUND(VLOOKUP(C490,行为概览!$D$3:$U$33,7,0)*VLOOKUP(C490,行为概览!$D$3:$U$33,6,0)*7/D500,3)&amp;"*("&amp;K499&amp;")"&amp;"*("&amp;N499&amp;")","无")</f>
        <v>400*RoleLv*1.215*(0.85+0.03*((Time-1)%9+1))*(0.9+0.1*(floor((Time-1)/9)+1))</v>
      </c>
      <c r="E502" s="7"/>
      <c r="F502" s="7"/>
      <c r="G502" s="7"/>
      <c r="H502" s="7">
        <v>4</v>
      </c>
      <c r="I502" s="7">
        <v>0.97</v>
      </c>
      <c r="J502" s="7">
        <f t="shared" si="20"/>
        <v>0.97</v>
      </c>
      <c r="K502" s="7"/>
      <c r="L502" s="7">
        <v>4</v>
      </c>
      <c r="M502" s="7">
        <v>1.3</v>
      </c>
      <c r="N502" s="7"/>
      <c r="O502" s="7"/>
    </row>
    <row r="503" spans="2:15">
      <c r="B503" s="7"/>
      <c r="C503" s="7" t="s">
        <v>319</v>
      </c>
      <c r="D503" s="10" t="str">
        <f>IF(VLOOKUP(C490,行为概览!$D$3:$U$33,8,0)&gt;0,D$3&amp;"*"&amp;VLOOKUP(D491,$T$8:$U$43,2,0)&amp;"*"&amp;ROUND(VLOOKUP(C490,行为概览!$D$3:$U$33,8,0)*VLOOKUP(C490,行为概览!$D$3:$U$33,6,0)*7/D500,3)&amp;"*("&amp;K499&amp;")"&amp;"*("&amp;N499&amp;")","无")</f>
        <v>5000*RoleLv*0.049*(0.85+0.03*((Time-1)%9+1))*(0.9+0.1*(floor((Time-1)/9)+1))</v>
      </c>
      <c r="E503" s="7"/>
      <c r="F503" s="7"/>
      <c r="G503" s="7"/>
      <c r="H503" s="7">
        <v>5</v>
      </c>
      <c r="I503" s="7">
        <v>1</v>
      </c>
      <c r="J503" s="7">
        <f t="shared" si="20"/>
        <v>1</v>
      </c>
      <c r="K503" s="7"/>
      <c r="L503" s="7">
        <v>5</v>
      </c>
      <c r="M503" s="7">
        <v>1.4</v>
      </c>
      <c r="N503" s="7"/>
      <c r="O503" s="7"/>
    </row>
    <row r="504" spans="2:15">
      <c r="B504" s="7"/>
      <c r="C504" s="7" t="s">
        <v>320</v>
      </c>
      <c r="D504" s="10" t="str">
        <f>IF(VLOOKUP(C490,行为概览!$D$3:$U$33,9,0)&gt;0,E$3&amp;"*"&amp;VLOOKUP(D491,$T$8:$U$43,2,0)&amp;"*"&amp;ROUND(VLOOKUP(C490,行为概览!$D$3:$U$33,9,0)*7/D500,3)&amp;"*("&amp;K499&amp;")"&amp;"*("&amp;N499&amp;")","无")</f>
        <v>1000*RoleLv*0.194*(0.85+0.03*((Time-1)%9+1))*(0.9+0.1*(floor((Time-1)/9)+1))</v>
      </c>
      <c r="E504" s="7"/>
      <c r="F504" s="7"/>
      <c r="G504" s="7"/>
      <c r="H504" s="7">
        <v>6</v>
      </c>
      <c r="I504" s="7">
        <v>1.03</v>
      </c>
      <c r="J504" s="7">
        <f t="shared" si="20"/>
        <v>1.03</v>
      </c>
      <c r="K504" s="7"/>
      <c r="L504" s="7">
        <v>6</v>
      </c>
      <c r="M504" s="7">
        <v>1.5</v>
      </c>
      <c r="N504" s="7"/>
      <c r="O504" s="7"/>
    </row>
    <row r="505" spans="2:15">
      <c r="B505" s="7"/>
      <c r="C505" s="7" t="s">
        <v>418</v>
      </c>
      <c r="D505" s="10" t="str">
        <f>IF(VLOOKUP(C490,行为概览!$D$3:$U$33,10,0)&gt;0,F$3&amp;"*"&amp;VLOOKUP(D491,$T$8:$U$43,2,0)&amp;"*"&amp;ROUND(VLOOKUP(C490,行为概览!$D$3:$U$33,10,0)*7/D500,3)&amp;"*("&amp;N499&amp;")","无")</f>
        <v>无</v>
      </c>
      <c r="E505" s="7"/>
      <c r="F505" s="7"/>
      <c r="G505" s="7"/>
      <c r="H505" s="7">
        <v>7</v>
      </c>
      <c r="I505" s="7">
        <v>1.06</v>
      </c>
      <c r="J505" s="7">
        <f t="shared" si="20"/>
        <v>1.06</v>
      </c>
      <c r="K505" s="7"/>
      <c r="L505" s="7">
        <v>7</v>
      </c>
      <c r="M505" s="7">
        <v>1.6</v>
      </c>
      <c r="N505" s="7"/>
      <c r="O505" s="7"/>
    </row>
    <row r="506" spans="2:15">
      <c r="B506" s="7"/>
      <c r="C506" s="7"/>
      <c r="D506" s="7"/>
      <c r="E506" s="7"/>
      <c r="F506" s="7"/>
      <c r="G506" s="7"/>
      <c r="H506" s="7">
        <v>8</v>
      </c>
      <c r="I506" s="7">
        <v>1.0900000000000001</v>
      </c>
      <c r="J506" s="7">
        <f t="shared" si="20"/>
        <v>1.0899999999999999</v>
      </c>
      <c r="K506" s="7"/>
      <c r="L506" s="7">
        <v>8</v>
      </c>
      <c r="M506" s="7">
        <v>1.7</v>
      </c>
      <c r="N506" s="7"/>
      <c r="O506" s="7"/>
    </row>
    <row r="507" spans="2:15">
      <c r="B507" s="7"/>
      <c r="C507" s="7"/>
      <c r="D507" s="7"/>
      <c r="E507" s="7"/>
      <c r="F507" s="7"/>
      <c r="G507" s="7"/>
      <c r="H507" s="7">
        <v>9</v>
      </c>
      <c r="I507" s="7">
        <v>1.1200000000000001</v>
      </c>
      <c r="J507" s="7">
        <f t="shared" si="20"/>
        <v>1.1200000000000001</v>
      </c>
      <c r="K507" s="7"/>
      <c r="L507" s="7">
        <v>9</v>
      </c>
      <c r="M507" s="7">
        <v>1.8</v>
      </c>
      <c r="N507" s="7"/>
      <c r="O507" s="7"/>
    </row>
    <row r="508" spans="2:1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>
        <v>10</v>
      </c>
      <c r="M508" s="7">
        <v>1.9</v>
      </c>
      <c r="N508" s="7"/>
      <c r="O508" s="7"/>
    </row>
    <row r="509" spans="2:15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2:15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2:15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2:15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2:14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2:14">
      <c r="C514" s="7"/>
      <c r="D514" s="7" t="s">
        <v>449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2:14">
      <c r="B515" s="7" t="s">
        <v>358</v>
      </c>
      <c r="C515" s="135" t="s">
        <v>477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2:14">
      <c r="B516" s="13"/>
      <c r="C516" s="63" t="s">
        <v>280</v>
      </c>
      <c r="D516" s="13" t="s">
        <v>281</v>
      </c>
      <c r="E516" s="7" t="s">
        <v>282</v>
      </c>
      <c r="F516" s="7"/>
      <c r="G516" s="7"/>
      <c r="H516" s="7"/>
      <c r="I516" s="7"/>
      <c r="J516" s="7"/>
      <c r="K516" s="7"/>
      <c r="L516" s="7"/>
      <c r="M516" s="7"/>
      <c r="N516" s="7"/>
    </row>
    <row r="517" spans="2:14">
      <c r="B517" s="7"/>
      <c r="C517" s="7"/>
      <c r="D517" s="7"/>
      <c r="E517" s="7"/>
      <c r="F517" s="7"/>
      <c r="G517" s="7"/>
      <c r="J517" s="7"/>
      <c r="K517" s="7"/>
      <c r="L517" s="7"/>
      <c r="M517" s="7"/>
      <c r="N517" s="7"/>
    </row>
    <row r="518" spans="2:14">
      <c r="B518" s="7"/>
      <c r="C518" s="7" t="s">
        <v>502</v>
      </c>
      <c r="D518" s="7" t="str">
        <f>IF(VLOOKUP(C515,行为概览!$D$3:$U$33,7,0)&gt;0,C$3&amp;"*"&amp;VLOOKUP(D516,$T$8:$U$43,2,0)&amp;"*"&amp;ROUND(VLOOKUP(C515,行为概览!$D$3:$U$33,7,0)*VLOOKUP(C515,行为概览!$D$3:$U$33,6,0)*1,2),"无")</f>
        <v>400*RoleLv*8.75</v>
      </c>
      <c r="E518" s="7"/>
      <c r="F518" s="7"/>
      <c r="G518" s="7"/>
      <c r="J518" s="7"/>
      <c r="K518" s="7"/>
      <c r="L518" s="7"/>
      <c r="M518" s="7"/>
      <c r="N518" s="7"/>
    </row>
    <row r="519" spans="2:14">
      <c r="B519" s="7"/>
      <c r="C519" s="7" t="s">
        <v>503</v>
      </c>
      <c r="D519" s="7" t="str">
        <f>IF(VLOOKUP(C515,行为概览!$D$3:$U$33,8,0)&gt;0,D$3&amp;"*"&amp;VLOOKUP(D516,$T$8:$U$43,2,0)&amp;"*"&amp;ROUND(VLOOKUP(C515,行为概览!$D$3:$U$33,8,0)*VLOOKUP(C515,行为概览!$D$3:$U$33,6,0)*1,2),"无")</f>
        <v>无</v>
      </c>
      <c r="E519" s="7"/>
      <c r="F519" s="7"/>
      <c r="G519" s="7"/>
      <c r="H519" s="77"/>
      <c r="I519" s="7"/>
      <c r="J519" s="7"/>
      <c r="K519" s="7"/>
      <c r="L519" s="7"/>
      <c r="M519" s="7"/>
      <c r="N519" s="7"/>
    </row>
    <row r="520" spans="2:14">
      <c r="B520" s="7"/>
      <c r="C520" s="7" t="s">
        <v>504</v>
      </c>
      <c r="D520" s="7" t="str">
        <f>IF(VLOOKUP(C515,行为概览!$D$3:$U$33,9,0)&gt;0,E$3&amp;"*"&amp;VLOOKUP(D516,$T$8:$U$43,2,0)&amp;"*"&amp;ROUND(VLOOKUP(C515,行为概览!$D$3:$U$33,9,0)*1,2),"无")</f>
        <v>1000*RoleLv*3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2:14">
      <c r="B521" s="7"/>
      <c r="C521" s="7" t="s">
        <v>505</v>
      </c>
      <c r="D521" s="7" t="str">
        <f>IF(VLOOKUP(C515,行为概览!$D$3:$U$33,10,0)&gt;0,F$3&amp;"*"&amp;VLOOKUP(D516,$T$8:$U$43,2,0)&amp;"*"&amp;ROUND(VLOOKUP(C515,行为概览!$D$3:$U$33,10,0)*1,2),"无")</f>
        <v>1*RoleLv*10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2:14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2:14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2:14">
      <c r="B524" s="7"/>
      <c r="C524" s="7" t="s">
        <v>501</v>
      </c>
      <c r="D524" s="7">
        <v>1</v>
      </c>
      <c r="E524" s="7"/>
      <c r="F524" s="7"/>
      <c r="G524" s="7" t="s">
        <v>362</v>
      </c>
      <c r="H524" s="7">
        <v>0</v>
      </c>
      <c r="I524" s="7">
        <v>1</v>
      </c>
      <c r="J524" s="7">
        <f>0.95+0.05*(H524+1)</f>
        <v>1</v>
      </c>
      <c r="K524" s="7" t="s">
        <v>432</v>
      </c>
      <c r="L524" s="7"/>
      <c r="M524" s="7"/>
      <c r="N524" s="7"/>
    </row>
    <row r="525" spans="2:14">
      <c r="B525" s="7"/>
      <c r="C525" s="7" t="s">
        <v>389</v>
      </c>
      <c r="D525" s="7">
        <f>10*0.75*1.3255+SUM(I535:I536)</f>
        <v>13.94125</v>
      </c>
      <c r="E525" s="7"/>
      <c r="F525" s="7"/>
      <c r="G525" s="7" t="s">
        <v>414</v>
      </c>
      <c r="H525" s="7">
        <v>1</v>
      </c>
      <c r="I525" s="7">
        <v>1.05</v>
      </c>
      <c r="J525" s="7">
        <f t="shared" ref="J525:J534" si="21">0.95+0.05*(H525+1)</f>
        <v>1.05</v>
      </c>
      <c r="K525" s="7" t="s">
        <v>430</v>
      </c>
      <c r="L525" s="7"/>
      <c r="M525" s="7"/>
      <c r="N525" s="7"/>
    </row>
    <row r="526" spans="2:14">
      <c r="B526" s="7"/>
      <c r="C526" s="7"/>
      <c r="D526" s="7" t="s">
        <v>448</v>
      </c>
      <c r="E526" s="7"/>
      <c r="F526" s="7" t="s">
        <v>364</v>
      </c>
      <c r="G526" s="7"/>
      <c r="H526" s="7">
        <v>2</v>
      </c>
      <c r="I526" s="7">
        <v>1.1000000000000001</v>
      </c>
      <c r="J526" s="7">
        <f t="shared" si="21"/>
        <v>1.1000000000000001</v>
      </c>
      <c r="K526" s="7"/>
      <c r="L526" s="7">
        <v>1</v>
      </c>
      <c r="M526" s="7"/>
      <c r="N526" s="7"/>
    </row>
    <row r="527" spans="2:14">
      <c r="B527" s="7"/>
      <c r="C527" s="7" t="s">
        <v>317</v>
      </c>
      <c r="D527" s="69" t="str">
        <f>IF(VLOOKUP(C515,行为概览!$D$3:$U$33,7,0)&gt;0,C$3&amp;"*"&amp;VLOOKUP(D516,$T$8:$U$43,2,0)&amp;"*"&amp;ROUND(VLOOKUP(C515,行为概览!$D$3:$U$33,7,0)*VLOOKUP(C515,行为概览!$D$3:$U$33,6,0)*1/D525,3)&amp;"*("&amp;K524&amp;")"&amp;"*("&amp;K525&amp;")","无")</f>
        <v>400*RoleLv*0.628*(0.95+0.05*(PVPCnt+1))*(0.95+0.05*(PVPTargetCnt+1))</v>
      </c>
      <c r="E527" s="7"/>
      <c r="F527" s="69" t="str">
        <f>IF(D527="无","无",D527&amp;"*"&amp;0.5)</f>
        <v>400*RoleLv*0.628*(0.95+0.05*(PVPCnt+1))*(0.95+0.05*(PVPTargetCnt+1))*0.5</v>
      </c>
      <c r="G527" s="7"/>
      <c r="H527" s="7">
        <v>3</v>
      </c>
      <c r="I527" s="7">
        <v>1.1499999999999999</v>
      </c>
      <c r="J527" s="7">
        <f t="shared" si="21"/>
        <v>1.1499999999999999</v>
      </c>
      <c r="K527" s="7"/>
      <c r="L527" s="7">
        <f>1.15*1.15</f>
        <v>1.3224999999999998</v>
      </c>
      <c r="M527" s="7"/>
      <c r="N527" s="7"/>
    </row>
    <row r="528" spans="2:14">
      <c r="B528" s="7"/>
      <c r="C528" s="7" t="s">
        <v>319</v>
      </c>
      <c r="D528" s="69" t="str">
        <f>IF(VLOOKUP(C515,行为概览!$D$3:$U$33,8,0)&gt;0,D$3&amp;"*"&amp;VLOOKUP(D516,$T$8:$U$43,2,0)&amp;"*"&amp;ROUND(VLOOKUP(C515,行为概览!$D$3:$U$33,8,0)*VLOOKUP(C515,行为概览!$D$3:$U$33,6,0)*1/D525,3)&amp;"*("&amp;K524&amp;")"&amp;"*("&amp;K525&amp;")","无")</f>
        <v>无</v>
      </c>
      <c r="E528" s="7"/>
      <c r="F528" s="69" t="str">
        <f>IF(D528="无","无",D528&amp;"*"&amp;0.5)</f>
        <v>无</v>
      </c>
      <c r="G528" s="7"/>
      <c r="H528" s="7">
        <v>4</v>
      </c>
      <c r="I528" s="7">
        <v>1.2</v>
      </c>
      <c r="J528" s="7">
        <f t="shared" si="21"/>
        <v>1.2</v>
      </c>
      <c r="K528" s="7"/>
      <c r="L528" s="7">
        <f>1.5*1.5</f>
        <v>2.25</v>
      </c>
      <c r="M528" s="7"/>
      <c r="N528" s="7"/>
    </row>
    <row r="529" spans="2:12">
      <c r="B529" s="7"/>
      <c r="C529" s="7" t="s">
        <v>320</v>
      </c>
      <c r="D529" s="69" t="str">
        <f>IF(VLOOKUP(C515,行为概览!$D$3:$U$33,9,0)&gt;0,E$3&amp;"*"&amp;VLOOKUP(D516,$T$8:$U$43,2,0)&amp;"*"&amp;ROUND(VLOOKUP(C515,行为概览!$D$3:$U$33,9,0)*1/D525,3)&amp;"*("&amp;K524&amp;")"&amp;"*("&amp;K525&amp;")","无")</f>
        <v>1000*RoleLv*0.215*(0.95+0.05*(PVPCnt+1))*(0.95+0.05*(PVPTargetCnt+1))</v>
      </c>
      <c r="E529" s="7"/>
      <c r="F529" s="69" t="str">
        <f>IF(D529="无","无",D529&amp;"*"&amp;0.5)</f>
        <v>1000*RoleLv*0.215*(0.95+0.05*(PVPCnt+1))*(0.95+0.05*(PVPTargetCnt+1))*0.5</v>
      </c>
      <c r="G529" s="7"/>
      <c r="H529" s="7">
        <v>5</v>
      </c>
      <c r="I529" s="7">
        <v>1.25</v>
      </c>
      <c r="J529" s="7">
        <f t="shared" si="21"/>
        <v>1.25</v>
      </c>
      <c r="K529" s="7"/>
      <c r="L529" s="7"/>
    </row>
    <row r="530" spans="2:12">
      <c r="B530" s="7"/>
      <c r="C530" s="7" t="s">
        <v>328</v>
      </c>
      <c r="D530" s="69" t="str">
        <f>IF(VLOOKUP(C515,行为概览!$D$3:$U$33,10,0)&gt;0,F$3&amp;"*"&amp;VLOOKUP(D516,$T$8:$U$43,2,0)&amp;"*"&amp;ROUND(VLOOKUP(C515,行为概览!$D$3:$U$33,10,0)*1/D525,3)&amp;"*("&amp;K524&amp;")"&amp;"*("&amp;K525&amp;")","无")</f>
        <v>1*RoleLv*0.717*(0.95+0.05*(PVPCnt+1))*(0.95+0.05*(PVPTargetCnt+1))</v>
      </c>
      <c r="E530" s="7"/>
      <c r="F530" s="69" t="s">
        <v>416</v>
      </c>
      <c r="G530" s="7"/>
      <c r="H530" s="7">
        <v>6</v>
      </c>
      <c r="I530" s="7">
        <v>1.3</v>
      </c>
      <c r="J530" s="7">
        <f t="shared" si="21"/>
        <v>1.3</v>
      </c>
      <c r="K530" s="7"/>
      <c r="L530" s="7"/>
    </row>
    <row r="531" spans="2:12">
      <c r="B531" s="7"/>
      <c r="C531" s="7"/>
      <c r="D531" s="7"/>
      <c r="E531" s="7"/>
      <c r="F531" s="7"/>
      <c r="G531" s="7"/>
      <c r="H531" s="7">
        <v>7</v>
      </c>
      <c r="I531" s="7">
        <v>1.35</v>
      </c>
      <c r="J531" s="7">
        <f t="shared" si="21"/>
        <v>1.35</v>
      </c>
      <c r="K531" s="7"/>
      <c r="L531" s="7"/>
    </row>
    <row r="532" spans="2:12">
      <c r="B532" s="7"/>
      <c r="C532" s="7"/>
      <c r="D532" s="7"/>
      <c r="E532" s="7"/>
      <c r="F532" s="7"/>
      <c r="G532" s="7"/>
      <c r="H532" s="7">
        <v>8</v>
      </c>
      <c r="I532" s="7">
        <v>1.4</v>
      </c>
      <c r="J532" s="7">
        <f t="shared" si="21"/>
        <v>1.4</v>
      </c>
      <c r="K532" s="7"/>
      <c r="L532" s="7"/>
    </row>
    <row r="533" spans="2:12">
      <c r="B533" s="7"/>
      <c r="C533" s="13"/>
      <c r="D533" s="13"/>
      <c r="E533" s="7"/>
      <c r="F533" s="7"/>
      <c r="G533" s="7"/>
      <c r="H533" s="7">
        <v>9</v>
      </c>
      <c r="I533" s="7">
        <v>1.45</v>
      </c>
      <c r="J533" s="7">
        <f t="shared" si="21"/>
        <v>1.45</v>
      </c>
      <c r="K533" s="7"/>
      <c r="L533" s="7"/>
    </row>
    <row r="534" spans="2:12">
      <c r="H534" s="7">
        <v>10</v>
      </c>
      <c r="I534" s="7">
        <v>1.5</v>
      </c>
      <c r="J534" s="7">
        <f t="shared" si="21"/>
        <v>1.5</v>
      </c>
      <c r="K534" s="7"/>
      <c r="L534" s="7"/>
    </row>
    <row r="535" spans="2:12">
      <c r="H535" s="10" t="s">
        <v>397</v>
      </c>
      <c r="I535" s="9">
        <v>2</v>
      </c>
      <c r="J535" s="26"/>
    </row>
    <row r="536" spans="2:12">
      <c r="B536" s="7" t="s">
        <v>359</v>
      </c>
      <c r="C536" s="135" t="s">
        <v>477</v>
      </c>
      <c r="D536" s="7"/>
      <c r="E536" s="7"/>
      <c r="F536" s="7"/>
      <c r="G536" s="7"/>
      <c r="H536" s="10" t="s">
        <v>399</v>
      </c>
      <c r="I536" s="4">
        <v>2</v>
      </c>
      <c r="J536" s="6"/>
      <c r="K536" s="7"/>
    </row>
    <row r="537" spans="2:12">
      <c r="B537" s="13"/>
      <c r="C537" s="63" t="s">
        <v>280</v>
      </c>
      <c r="D537" s="13" t="s">
        <v>281</v>
      </c>
      <c r="E537" s="7" t="s">
        <v>282</v>
      </c>
      <c r="F537" s="7"/>
      <c r="G537" s="7"/>
      <c r="J537" s="7"/>
      <c r="K537" s="7"/>
    </row>
    <row r="538" spans="2:12">
      <c r="B538" s="7"/>
      <c r="C538" s="7"/>
      <c r="D538" s="7"/>
      <c r="E538" s="7"/>
      <c r="G538" s="7"/>
      <c r="J538" s="7"/>
      <c r="K538" s="7"/>
    </row>
    <row r="539" spans="2:12">
      <c r="B539" s="7"/>
      <c r="C539" s="7" t="s">
        <v>502</v>
      </c>
      <c r="D539" s="7" t="str">
        <f>IF(VLOOKUP(C536,行为概览!$D$3:$U$33,7,0)&gt;0,C$3&amp;"*"&amp;VLOOKUP(D537,$T$8:$U$43,2,0)&amp;"*"&amp;ROUND(VLOOKUP(C536,行为概览!$D$3:$U$33,7,0)*VLOOKUP(C536,行为概览!$D$3:$U$33,6,0)*1.5,2),"无")</f>
        <v>400*RoleLv*13.13</v>
      </c>
      <c r="E539" s="7"/>
      <c r="F539" s="7"/>
      <c r="G539" s="7"/>
      <c r="J539" s="7"/>
      <c r="K539" s="7"/>
    </row>
    <row r="540" spans="2:12">
      <c r="B540" s="7"/>
      <c r="C540" s="7" t="s">
        <v>503</v>
      </c>
      <c r="D540" s="7" t="str">
        <f>IF(VLOOKUP(C536,行为概览!$D$3:$U$33,8,0)&gt;0,D$3&amp;"*"&amp;VLOOKUP(D537,$T$8:$U$43,2,0)&amp;"*"&amp;ROUND(VLOOKUP(C536,行为概览!$D$3:$U$33,8,0)*VLOOKUP(C536,行为概览!$D$3:$U$33,6,0)*1.5,2),"无")</f>
        <v>无</v>
      </c>
      <c r="E540" s="7"/>
      <c r="F540" s="7"/>
      <c r="G540" s="7"/>
      <c r="J540" s="7"/>
      <c r="K540" s="7"/>
    </row>
    <row r="541" spans="2:12">
      <c r="B541" s="7"/>
      <c r="C541" s="7" t="s">
        <v>504</v>
      </c>
      <c r="D541" s="7" t="str">
        <f>IF(VLOOKUP(C536,行为概览!$D$3:$U$33,9,0)&gt;0,E$3&amp;"*"&amp;VLOOKUP(D537,$T$8:$U$43,2,0)&amp;"*"&amp;ROUND(VLOOKUP(C536,行为概览!$D$3:$U$33,9,0)*1.5,2),"无")</f>
        <v>1000*RoleLv*4.5</v>
      </c>
      <c r="E541" s="7"/>
      <c r="F541" s="7"/>
      <c r="G541" s="7"/>
      <c r="H541" s="7"/>
      <c r="I541" s="7"/>
      <c r="J541" s="7"/>
      <c r="K541" s="7"/>
    </row>
    <row r="542" spans="2:12">
      <c r="B542" s="7"/>
      <c r="C542" s="7" t="s">
        <v>505</v>
      </c>
      <c r="D542" s="7" t="str">
        <f>IF(VLOOKUP(C536,行为概览!$D$3:$U$33,10,0)&gt;0,F$3&amp;"*"&amp;VLOOKUP(D537,$T$8:$U$43,2,0)&amp;"*"&amp;ROUND(VLOOKUP(C536,行为概览!$D$3:$U$33,10,0)*1.5,2),"无")</f>
        <v>1*RoleLv*15</v>
      </c>
      <c r="E542" s="7"/>
      <c r="F542" s="7"/>
      <c r="G542" s="7"/>
      <c r="H542" s="7"/>
      <c r="I542" s="7"/>
      <c r="J542" s="7"/>
      <c r="K542" s="7"/>
    </row>
    <row r="543" spans="2:12"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2:12"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2:12">
      <c r="B545" s="7"/>
      <c r="C545" s="7" t="s">
        <v>501</v>
      </c>
      <c r="D545" s="7">
        <v>1</v>
      </c>
      <c r="E545" s="7"/>
      <c r="F545" s="7"/>
      <c r="G545" s="7" t="s">
        <v>362</v>
      </c>
      <c r="H545" s="7">
        <v>0</v>
      </c>
      <c r="I545" s="7">
        <v>1</v>
      </c>
      <c r="J545" s="7">
        <f>0.97+0.03*(H545+1)</f>
        <v>1</v>
      </c>
      <c r="K545" s="7" t="s">
        <v>432</v>
      </c>
    </row>
    <row r="546" spans="2:12">
      <c r="B546" s="7"/>
      <c r="C546" s="7" t="s">
        <v>389</v>
      </c>
      <c r="D546" s="7">
        <f>15*0.75*1.1881+SUM(I561:I563)</f>
        <v>19.366124999999997</v>
      </c>
      <c r="E546" s="7"/>
      <c r="F546" s="7"/>
      <c r="G546" s="7" t="s">
        <v>415</v>
      </c>
      <c r="H546" s="7">
        <v>1</v>
      </c>
      <c r="I546" s="7">
        <v>1.03</v>
      </c>
      <c r="J546" s="7">
        <f t="shared" ref="J546:J555" si="22">0.97+0.03*(H546+1)</f>
        <v>1.03</v>
      </c>
      <c r="K546" s="7" t="s">
        <v>430</v>
      </c>
    </row>
    <row r="547" spans="2:12">
      <c r="B547" s="7"/>
      <c r="C547" s="7"/>
      <c r="D547" s="63" t="s">
        <v>363</v>
      </c>
      <c r="E547" s="7"/>
      <c r="F547" s="7" t="s">
        <v>364</v>
      </c>
      <c r="G547" s="7"/>
      <c r="H547" s="7">
        <v>2</v>
      </c>
      <c r="I547" s="7">
        <v>1.06</v>
      </c>
      <c r="J547" s="7">
        <f t="shared" si="22"/>
        <v>1.06</v>
      </c>
      <c r="K547" s="7"/>
      <c r="L547" s="7">
        <v>1</v>
      </c>
    </row>
    <row r="548" spans="2:12">
      <c r="B548" s="7"/>
      <c r="C548" s="7" t="s">
        <v>317</v>
      </c>
      <c r="D548" s="69" t="str">
        <f>IF(VLOOKUP(C536,行为概览!$D$3:$U$33,7,0)&gt;0,C$3&amp;"*"&amp;VLOOKUP(D537,$T$8:$U$43,2,0)&amp;"*"&amp;ROUND(VLOOKUP(C536,行为概览!$D$3:$U$33,7,0)*VLOOKUP(C536,行为概览!$D$3:$U$33,6,0)*1.5/D546,3)&amp;"*("&amp;K545&amp;")"&amp;"*("&amp;K546&amp;")","无")</f>
        <v>400*RoleLv*0.678*(0.95+0.05*(PVPCnt+1))*(0.95+0.05*(PVPTargetCnt+1))</v>
      </c>
      <c r="E548" s="7"/>
      <c r="F548" s="69" t="str">
        <f>IF(D548="无","无",D548&amp;"*"&amp;0.5)</f>
        <v>400*RoleLv*0.678*(0.95+0.05*(PVPCnt+1))*(0.95+0.05*(PVPTargetCnt+1))*0.5</v>
      </c>
      <c r="G548" s="69"/>
      <c r="H548" s="7">
        <v>3</v>
      </c>
      <c r="I548" s="7">
        <v>1.0899999999999999</v>
      </c>
      <c r="J548" s="7">
        <f t="shared" si="22"/>
        <v>1.0899999999999999</v>
      </c>
      <c r="K548" s="7"/>
      <c r="L548" s="7">
        <f>1.09*1.09</f>
        <v>1.1881000000000002</v>
      </c>
    </row>
    <row r="549" spans="2:12">
      <c r="B549" s="7"/>
      <c r="C549" s="7" t="s">
        <v>319</v>
      </c>
      <c r="D549" s="69" t="str">
        <f>IF(VLOOKUP(C536,行为概览!$D$3:$U$33,8,0)&gt;0,D$3&amp;"*"&amp;VLOOKUP(D537,$T$8:$U$43,2,0)&amp;"*"&amp;ROUND(VLOOKUP(C536,行为概览!$D$3:$U$33,8,0)*VLOOKUP(C536,行为概览!$D$3:$U$33,6,0)*1.5/D546,3)&amp;"*("&amp;K545&amp;")"&amp;"*("&amp;K546&amp;")","无")</f>
        <v>无</v>
      </c>
      <c r="E549" s="7"/>
      <c r="F549" s="69" t="str">
        <f>IF(D549="无","无",D549&amp;"*"&amp;0.5)</f>
        <v>无</v>
      </c>
      <c r="G549" s="69"/>
      <c r="H549" s="7">
        <v>4</v>
      </c>
      <c r="I549" s="7">
        <v>1.1199999999999999</v>
      </c>
      <c r="J549" s="7">
        <f t="shared" si="22"/>
        <v>1.1199999999999999</v>
      </c>
      <c r="K549" s="7"/>
      <c r="L549" s="7">
        <f>1.45*1.45</f>
        <v>2.1025</v>
      </c>
    </row>
    <row r="550" spans="2:12">
      <c r="B550" s="7"/>
      <c r="C550" s="7" t="s">
        <v>320</v>
      </c>
      <c r="D550" s="69" t="str">
        <f>IF(VLOOKUP(C536,行为概览!$D$3:$U$33,9,0)&gt;0,E$3&amp;"*"&amp;VLOOKUP(D537,$T$8:$U$43,2,0)&amp;"*"&amp;ROUND(VLOOKUP(C536,行为概览!$D$3:$U$33,9,0)*1.5/D546,3)&amp;"*("&amp;K545&amp;")"&amp;"*("&amp;K546&amp;")","无")</f>
        <v>1000*RoleLv*0.232*(0.95+0.05*(PVPCnt+1))*(0.95+0.05*(PVPTargetCnt+1))</v>
      </c>
      <c r="E550" s="7"/>
      <c r="F550" s="69" t="str">
        <f>IF(D550="无","无",D550&amp;"*"&amp;0.5)</f>
        <v>1000*RoleLv*0.232*(0.95+0.05*(PVPCnt+1))*(0.95+0.05*(PVPTargetCnt+1))*0.5</v>
      </c>
      <c r="G550" s="69"/>
      <c r="H550" s="7">
        <v>5</v>
      </c>
      <c r="I550" s="7">
        <v>1.1499999999999999</v>
      </c>
      <c r="J550" s="7">
        <f t="shared" si="22"/>
        <v>1.1499999999999999</v>
      </c>
      <c r="K550" s="7"/>
    </row>
    <row r="551" spans="2:12">
      <c r="B551" s="7"/>
      <c r="C551" s="7" t="s">
        <v>328</v>
      </c>
      <c r="D551" s="69" t="str">
        <f>IF(VLOOKUP(C536,行为概览!$D$3:$U$33,10,0)&gt;0,F$3&amp;"*"&amp;VLOOKUP(D537,$T$8:$U$43,2,0)&amp;"*"&amp;ROUND(VLOOKUP(C536,行为概览!$D$3:$U$33,10,0)*1.5/D546,3)&amp;"*("&amp;K545&amp;")"&amp;"*("&amp;K546&amp;")","无")</f>
        <v>1*RoleLv*0.775*(0.95+0.05*(PVPCnt+1))*(0.95+0.05*(PVPTargetCnt+1))</v>
      </c>
      <c r="E551" s="7"/>
      <c r="F551" s="69" t="s">
        <v>416</v>
      </c>
      <c r="G551" s="69"/>
      <c r="H551" s="7">
        <v>6</v>
      </c>
      <c r="I551" s="7">
        <v>1.18</v>
      </c>
      <c r="J551" s="7">
        <f t="shared" si="22"/>
        <v>1.18</v>
      </c>
      <c r="K551" s="7"/>
    </row>
    <row r="552" spans="2:12">
      <c r="B552" s="7"/>
      <c r="C552" s="7"/>
      <c r="D552" s="7"/>
      <c r="E552" s="7"/>
      <c r="F552" s="7"/>
      <c r="G552" s="7"/>
      <c r="H552" s="7">
        <v>7</v>
      </c>
      <c r="I552" s="7">
        <v>1.21</v>
      </c>
      <c r="J552" s="7">
        <f t="shared" si="22"/>
        <v>1.21</v>
      </c>
      <c r="K552" s="7"/>
    </row>
    <row r="553" spans="2:12">
      <c r="B553" s="7"/>
      <c r="C553" s="169" t="s">
        <v>568</v>
      </c>
      <c r="D553" s="137" t="s">
        <v>569</v>
      </c>
      <c r="E553" s="7"/>
      <c r="F553" s="7"/>
      <c r="G553" s="7"/>
      <c r="H553" s="7">
        <v>8</v>
      </c>
      <c r="I553" s="7">
        <v>1.24</v>
      </c>
      <c r="J553" s="7">
        <f t="shared" si="22"/>
        <v>1.24</v>
      </c>
      <c r="K553" s="7"/>
    </row>
    <row r="554" spans="2:12">
      <c r="B554" s="7"/>
      <c r="C554" s="13"/>
      <c r="D554" s="13"/>
      <c r="E554" s="7"/>
      <c r="F554" s="7"/>
      <c r="G554" s="7"/>
      <c r="H554" s="7">
        <v>9</v>
      </c>
      <c r="I554" s="7">
        <v>1.27</v>
      </c>
      <c r="J554" s="7">
        <f t="shared" si="22"/>
        <v>1.27</v>
      </c>
      <c r="K554" s="7"/>
    </row>
    <row r="555" spans="2:12">
      <c r="H555" s="7">
        <v>10</v>
      </c>
      <c r="I555" s="7">
        <v>1.2999999999999998</v>
      </c>
      <c r="J555" s="7">
        <f t="shared" si="22"/>
        <v>1.2999999999999998</v>
      </c>
    </row>
    <row r="556" spans="2:12">
      <c r="H556" s="7">
        <v>11</v>
      </c>
      <c r="I556" s="7">
        <v>1.33</v>
      </c>
      <c r="J556" s="7">
        <f>0.97+0.03*(H556+1)</f>
        <v>1.33</v>
      </c>
    </row>
    <row r="557" spans="2:12">
      <c r="B557" s="7" t="s">
        <v>360</v>
      </c>
      <c r="C557" s="135" t="s">
        <v>477</v>
      </c>
      <c r="D557" s="7"/>
      <c r="E557" s="7"/>
      <c r="F557" s="7"/>
      <c r="G557" s="7"/>
      <c r="H557" s="7">
        <v>12</v>
      </c>
      <c r="I557" s="7">
        <v>1.36</v>
      </c>
      <c r="J557" s="7">
        <f t="shared" ref="J557:J560" si="23">0.97+0.03*(H557+1)</f>
        <v>1.3599999999999999</v>
      </c>
      <c r="K557" s="7"/>
    </row>
    <row r="558" spans="2:12">
      <c r="B558" s="13"/>
      <c r="C558" s="63" t="s">
        <v>280</v>
      </c>
      <c r="D558" s="13" t="s">
        <v>281</v>
      </c>
      <c r="E558" s="7" t="s">
        <v>282</v>
      </c>
      <c r="F558" s="7"/>
      <c r="G558" s="7"/>
      <c r="H558" s="7">
        <v>13</v>
      </c>
      <c r="I558" s="7">
        <v>1.39</v>
      </c>
      <c r="J558" s="7">
        <f t="shared" si="23"/>
        <v>1.39</v>
      </c>
      <c r="K558" s="7"/>
    </row>
    <row r="559" spans="2:12">
      <c r="B559" s="7"/>
      <c r="C559" s="7"/>
      <c r="D559" s="7"/>
      <c r="E559" s="7"/>
      <c r="F559" s="7"/>
      <c r="G559" s="7"/>
      <c r="H559" s="7">
        <v>14</v>
      </c>
      <c r="I559" s="7">
        <v>1.42</v>
      </c>
      <c r="J559" s="7">
        <f t="shared" si="23"/>
        <v>1.42</v>
      </c>
      <c r="K559" s="7"/>
    </row>
    <row r="560" spans="2:12">
      <c r="B560" s="7"/>
      <c r="C560" s="7" t="s">
        <v>502</v>
      </c>
      <c r="D560" s="7" t="str">
        <f>IF(VLOOKUP(C557,行为概览!$D$3:$U$33,7,0)&gt;0,C$3&amp;"*"&amp;VLOOKUP(D558,$T$8:$U$43,2,0)&amp;"*"&amp;ROUND(VLOOKUP(C557,行为概览!$D$3:$U$33,7,0)*VLOOKUP(C557,行为概览!$D$3:$U$33,6,0)*2,2),"无")</f>
        <v>400*RoleLv*17.5</v>
      </c>
      <c r="E560" s="7"/>
      <c r="F560" s="7"/>
      <c r="G560" s="7"/>
      <c r="H560" s="7">
        <v>15</v>
      </c>
      <c r="I560" s="7">
        <v>1.45</v>
      </c>
      <c r="J560" s="7">
        <f t="shared" si="23"/>
        <v>1.45</v>
      </c>
      <c r="K560" s="7"/>
    </row>
    <row r="561" spans="2:12">
      <c r="B561" s="7"/>
      <c r="C561" s="7" t="s">
        <v>503</v>
      </c>
      <c r="D561" s="7" t="str">
        <f>IF(VLOOKUP(C557,行为概览!$D$3:$U$33,8,0)&gt;0,D$3&amp;"*"&amp;VLOOKUP(D558,$T$8:$U$43,2,0)&amp;"*"&amp;ROUND(VLOOKUP(C557,行为概览!$D$3:$U$33,8,0)*VLOOKUP(C557,行为概览!$D$3:$U$33,6,0)*2,2),"无")</f>
        <v>无</v>
      </c>
      <c r="E561" s="7"/>
      <c r="F561" s="7"/>
      <c r="G561" s="7"/>
      <c r="H561" s="10" t="s">
        <v>397</v>
      </c>
      <c r="I561" s="9">
        <v>2</v>
      </c>
      <c r="J561" s="26"/>
      <c r="K561" s="7"/>
    </row>
    <row r="562" spans="2:12">
      <c r="B562" s="7"/>
      <c r="C562" s="7" t="s">
        <v>504</v>
      </c>
      <c r="D562" s="7" t="str">
        <f>IF(VLOOKUP(C557,行为概览!$D$3:$U$33,9,0)&gt;0,E$3&amp;"*"&amp;VLOOKUP(D558,$T$8:$U$43,2,0)&amp;"*"&amp;ROUND(VLOOKUP(C557,行为概览!$D$3:$U$33,9,0),2)*2,"无")</f>
        <v>1000*RoleLv*6</v>
      </c>
      <c r="E562" s="7"/>
      <c r="F562" s="7"/>
      <c r="G562" s="7"/>
      <c r="H562" s="10" t="s">
        <v>400</v>
      </c>
      <c r="I562" s="1">
        <v>2</v>
      </c>
      <c r="J562" s="3"/>
      <c r="K562" s="7"/>
    </row>
    <row r="563" spans="2:12">
      <c r="B563" s="7"/>
      <c r="C563" s="7" t="s">
        <v>505</v>
      </c>
      <c r="D563" s="7" t="str">
        <f>IF(VLOOKUP(C557,行为概览!$D$3:$U$33,10,0)&gt;0,F$3&amp;"*"&amp;VLOOKUP(D558,$T$8:$U$43,2,0)&amp;"*"&amp;ROUND(VLOOKUP(C557,行为概览!$D$3:$U$33,10,0)*2,2),"无")</f>
        <v>1*RoleLv*20</v>
      </c>
      <c r="E563" s="7"/>
      <c r="F563" s="7"/>
      <c r="G563" s="7"/>
      <c r="H563" s="10" t="s">
        <v>398</v>
      </c>
      <c r="I563" s="4">
        <v>2</v>
      </c>
      <c r="J563" s="6"/>
      <c r="K563" s="7"/>
    </row>
    <row r="564" spans="2:12"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2:12"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2:12">
      <c r="B566" s="7"/>
      <c r="C566" s="7" t="s">
        <v>501</v>
      </c>
      <c r="D566" s="7">
        <v>1</v>
      </c>
      <c r="E566" s="7"/>
      <c r="F566" s="7"/>
      <c r="G566" s="7" t="s">
        <v>362</v>
      </c>
      <c r="H566" s="7">
        <v>0</v>
      </c>
      <c r="I566" s="7">
        <v>1</v>
      </c>
      <c r="J566" s="7">
        <f>0.95+0.05*(H566+1)</f>
        <v>1</v>
      </c>
      <c r="K566" s="7" t="s">
        <v>432</v>
      </c>
      <c r="L566" s="7"/>
    </row>
    <row r="567" spans="2:12">
      <c r="B567" s="7"/>
      <c r="C567" s="7" t="s">
        <v>389</v>
      </c>
      <c r="D567" s="7">
        <f>10*0.75*1.3225+SUM(I577:I578)</f>
        <v>15.918749999999999</v>
      </c>
      <c r="E567" s="7"/>
      <c r="F567" s="7"/>
      <c r="G567" s="7" t="s">
        <v>446</v>
      </c>
      <c r="H567" s="7">
        <v>1</v>
      </c>
      <c r="I567" s="7">
        <v>1.05</v>
      </c>
      <c r="J567" s="7">
        <f t="shared" ref="J567:J576" si="24">0.95+0.05*(H567+1)</f>
        <v>1.05</v>
      </c>
      <c r="K567" s="7" t="s">
        <v>430</v>
      </c>
      <c r="L567" s="7"/>
    </row>
    <row r="568" spans="2:12">
      <c r="B568" s="7"/>
      <c r="C568" s="7"/>
      <c r="D568" s="63" t="s">
        <v>363</v>
      </c>
      <c r="E568" s="7"/>
      <c r="F568" s="7" t="s">
        <v>364</v>
      </c>
      <c r="G568" s="7"/>
      <c r="H568" s="7">
        <v>2</v>
      </c>
      <c r="I568" s="7">
        <v>1.1000000000000001</v>
      </c>
      <c r="J568" s="7">
        <f t="shared" si="24"/>
        <v>1.1000000000000001</v>
      </c>
      <c r="K568" s="7"/>
      <c r="L568" s="7">
        <v>1</v>
      </c>
    </row>
    <row r="569" spans="2:12">
      <c r="B569" s="7"/>
      <c r="C569" s="7" t="s">
        <v>317</v>
      </c>
      <c r="D569" s="69" t="str">
        <f>IF(VLOOKUP(C557,行为概览!$D$3:$U$33,7,0)&gt;0,C$3&amp;"*"&amp;VLOOKUP(D558,$T$8:$U$43,2,0)&amp;"*"&amp;ROUND(VLOOKUP(C557,行为概览!$D$3:$U$33,7,0)*VLOOKUP(C557,行为概览!$D$3:$U$33,6,0)*2/D567,3)&amp;"*("&amp;K566&amp;")"&amp;"*("&amp;K567&amp;")","无")</f>
        <v>400*RoleLv*1.099*(0.95+0.05*(PVPCnt+1))*(0.95+0.05*(PVPTargetCnt+1))</v>
      </c>
      <c r="E569" s="7"/>
      <c r="F569" s="69" t="str">
        <f>IF(D569="无","无",D569&amp;"*"&amp;0.5)</f>
        <v>400*RoleLv*1.099*(0.95+0.05*(PVPCnt+1))*(0.95+0.05*(PVPTargetCnt+1))*0.5</v>
      </c>
      <c r="G569" s="69"/>
      <c r="H569" s="7">
        <v>3</v>
      </c>
      <c r="I569" s="7">
        <v>1.1499999999999999</v>
      </c>
      <c r="J569" s="7">
        <f t="shared" si="24"/>
        <v>1.1499999999999999</v>
      </c>
      <c r="K569" s="7"/>
      <c r="L569" s="7">
        <f>1.15*1.15</f>
        <v>1.3224999999999998</v>
      </c>
    </row>
    <row r="570" spans="2:12">
      <c r="B570" s="7"/>
      <c r="C570" s="7" t="s">
        <v>319</v>
      </c>
      <c r="D570" s="69" t="str">
        <f>IF(VLOOKUP(C557,行为概览!$D$3:$U$33,8,0)&gt;0,D$3&amp;"*"&amp;VLOOKUP(D558,$T$8:$U$43,2,0)&amp;"*"&amp;ROUND(VLOOKUP(C557,行为概览!$D$3:$U$33,8,0)*VLOOKUP(C557,行为概览!$D$3:$U$33,6,0)*2/D567,3)&amp;"*("&amp;K566&amp;")"&amp;"*("&amp;K567&amp;")","无")</f>
        <v>无</v>
      </c>
      <c r="E570" s="7"/>
      <c r="F570" s="69" t="str">
        <f>IF(D570="无","无",D570&amp;"*"&amp;0.5)</f>
        <v>无</v>
      </c>
      <c r="G570" s="69"/>
      <c r="H570" s="7">
        <v>4</v>
      </c>
      <c r="I570" s="7">
        <v>1.2</v>
      </c>
      <c r="J570" s="7">
        <f t="shared" si="24"/>
        <v>1.2</v>
      </c>
      <c r="K570" s="7"/>
      <c r="L570" s="7">
        <f>1.5*1.5</f>
        <v>2.25</v>
      </c>
    </row>
    <row r="571" spans="2:12">
      <c r="B571" s="7"/>
      <c r="C571" s="7" t="s">
        <v>320</v>
      </c>
      <c r="D571" s="69" t="str">
        <f>IF(VLOOKUP(C557,行为概览!$D$3:$U$33,9,0)&gt;0,E$3&amp;"*"&amp;VLOOKUP(D558,$T$8:$U$43,2,0)&amp;"*"&amp;ROUND(VLOOKUP(C557,行为概览!$D$3:$U$33,9,0)*2/D567,3)&amp;"*("&amp;K566&amp;")"&amp;"*("&amp;K567&amp;")","无")</f>
        <v>1000*RoleLv*0.377*(0.95+0.05*(PVPCnt+1))*(0.95+0.05*(PVPTargetCnt+1))</v>
      </c>
      <c r="E571" s="7"/>
      <c r="F571" s="69" t="str">
        <f>IF(D571="无","无",D571&amp;"*"&amp;0.5)</f>
        <v>1000*RoleLv*0.377*(0.95+0.05*(PVPCnt+1))*(0.95+0.05*(PVPTargetCnt+1))*0.5</v>
      </c>
      <c r="G571" s="69"/>
      <c r="H571" s="7">
        <v>5</v>
      </c>
      <c r="I571" s="7">
        <v>1.25</v>
      </c>
      <c r="J571" s="7">
        <f t="shared" si="24"/>
        <v>1.25</v>
      </c>
      <c r="K571" s="7"/>
      <c r="L571" s="7"/>
    </row>
    <row r="572" spans="2:12">
      <c r="B572" s="7"/>
      <c r="C572" s="7" t="s">
        <v>328</v>
      </c>
      <c r="D572" s="69" t="str">
        <f>IF(VLOOKUP(C557,行为概览!$D$3:$U$33,10,0)&gt;0,F$3&amp;"*"&amp;VLOOKUP(D558,$T$8:$U$43,2,0)&amp;"*"&amp;ROUND(VLOOKUP(C557,行为概览!$D$3:$U$33,10,0)*2/D567,3)&amp;"*("&amp;K566&amp;")"&amp;"*("&amp;K567&amp;")","无")</f>
        <v>1*RoleLv*1.256*(0.95+0.05*(PVPCnt+1))*(0.95+0.05*(PVPTargetCnt+1))</v>
      </c>
      <c r="E572" s="7"/>
      <c r="F572" s="69" t="s">
        <v>416</v>
      </c>
      <c r="G572" s="69"/>
      <c r="H572" s="7">
        <v>6</v>
      </c>
      <c r="I572" s="7">
        <v>1.3</v>
      </c>
      <c r="J572" s="7">
        <f t="shared" si="24"/>
        <v>1.3</v>
      </c>
      <c r="K572" s="7"/>
      <c r="L572" s="7"/>
    </row>
    <row r="573" spans="2:12">
      <c r="B573" s="7"/>
      <c r="C573" s="7"/>
      <c r="D573" s="7"/>
      <c r="E573" s="7"/>
      <c r="F573" s="7"/>
      <c r="G573" s="7"/>
      <c r="H573" s="7">
        <v>7</v>
      </c>
      <c r="I573" s="7">
        <v>1.35</v>
      </c>
      <c r="J573" s="7">
        <f t="shared" si="24"/>
        <v>1.35</v>
      </c>
      <c r="K573" s="7"/>
      <c r="L573" s="7"/>
    </row>
    <row r="574" spans="2:12">
      <c r="B574" s="7"/>
      <c r="C574" s="7"/>
      <c r="D574" s="7"/>
      <c r="E574" s="7"/>
      <c r="F574" s="7"/>
      <c r="G574" s="7"/>
      <c r="H574" s="7">
        <v>8</v>
      </c>
      <c r="I574" s="7">
        <v>1.4</v>
      </c>
      <c r="J574" s="7">
        <f t="shared" si="24"/>
        <v>1.4</v>
      </c>
      <c r="K574" s="7"/>
      <c r="L574" s="7"/>
    </row>
    <row r="575" spans="2:12">
      <c r="B575" s="7"/>
      <c r="C575" s="13"/>
      <c r="D575" s="13"/>
      <c r="E575" s="7"/>
      <c r="F575" s="7"/>
      <c r="G575" s="7"/>
      <c r="H575" s="7">
        <v>9</v>
      </c>
      <c r="I575" s="7">
        <v>1.45</v>
      </c>
      <c r="J575" s="7">
        <f t="shared" si="24"/>
        <v>1.45</v>
      </c>
      <c r="K575" s="7"/>
      <c r="L575" s="7"/>
    </row>
    <row r="576" spans="2:12">
      <c r="H576" s="7">
        <v>10</v>
      </c>
      <c r="I576" s="7">
        <v>1.5</v>
      </c>
      <c r="J576" s="7">
        <f t="shared" si="24"/>
        <v>1.5</v>
      </c>
      <c r="K576" s="7"/>
      <c r="L576" s="7"/>
    </row>
    <row r="577" spans="2:10">
      <c r="H577" s="10" t="s">
        <v>397</v>
      </c>
      <c r="I577" s="9">
        <v>3</v>
      </c>
      <c r="J577" s="26"/>
    </row>
    <row r="578" spans="2:10">
      <c r="H578" s="10" t="s">
        <v>447</v>
      </c>
      <c r="I578" s="4">
        <v>3</v>
      </c>
      <c r="J578" s="6"/>
    </row>
    <row r="579" spans="2:10">
      <c r="C579" s="135" t="s">
        <v>469</v>
      </c>
      <c r="D579" s="7"/>
      <c r="E579" s="7"/>
    </row>
    <row r="580" spans="2:10">
      <c r="B580" s="13" t="s">
        <v>365</v>
      </c>
      <c r="C580" s="63" t="s">
        <v>280</v>
      </c>
      <c r="D580" s="13" t="s">
        <v>281</v>
      </c>
      <c r="E580" s="7" t="s">
        <v>282</v>
      </c>
    </row>
    <row r="581" spans="2:10">
      <c r="C581" s="7"/>
      <c r="D581" s="7"/>
      <c r="E581" s="7"/>
    </row>
    <row r="582" spans="2:10">
      <c r="C582" s="7" t="s">
        <v>497</v>
      </c>
      <c r="D582" s="7" t="str">
        <f>IF(VLOOKUP(C579,行为概览!$D$3:$U$33,7,0)&gt;0,C$3&amp;"*"&amp;VLOOKUP(D580,$T$8:$U$43,2,0)&amp;"*"&amp;ROUND(VLOOKUP(C579,行为概览!$D$3:$U$33,7,0)*VLOOKUP(C579,行为概览!$D$3:$U$33,6,0)*7,2),"无")</f>
        <v>400*RoleLv*17.5</v>
      </c>
      <c r="E582" s="7"/>
      <c r="F582" s="7" t="s">
        <v>393</v>
      </c>
      <c r="G582" s="7">
        <f>6*60</f>
        <v>360</v>
      </c>
    </row>
    <row r="583" spans="2:10">
      <c r="C583" s="7" t="s">
        <v>498</v>
      </c>
      <c r="D583" s="7" t="str">
        <f>IF(VLOOKUP(C579,行为概览!$D$3:$U$33,8,0)&gt;0,D$3&amp;"*"&amp;VLOOKUP(D580,$T$8:$U$43,2,0)&amp;"*"&amp;ROUND(VLOOKUP(C579,行为概览!$D$3:$U$33,8,0)*VLOOKUP(C579,行为概览!$D$3:$U$33,6,0)*7,2),"无")</f>
        <v>5000*RoleLv*0.58</v>
      </c>
      <c r="E583" s="7"/>
      <c r="G583">
        <f>ROUND(1/G582,4)</f>
        <v>2.8E-3</v>
      </c>
    </row>
    <row r="584" spans="2:10">
      <c r="C584" s="7" t="s">
        <v>499</v>
      </c>
      <c r="D584" s="7" t="str">
        <f>IF(VLOOKUP(C579,行为概览!$D$3:$U$33,9,0)&gt;0,E$3&amp;"*"&amp;VLOOKUP(D580,$T$8:$U$43,2,0)&amp;"*"&amp;ROUND(VLOOKUP(C579,行为概览!$D$3:$U$33,9,0)*7,2),"无")</f>
        <v>1000*RoleLv*3.5</v>
      </c>
      <c r="E584" s="7"/>
      <c r="F584" s="7" t="s">
        <v>394</v>
      </c>
      <c r="G584">
        <v>0.2</v>
      </c>
    </row>
    <row r="585" spans="2:10">
      <c r="C585" s="7" t="s">
        <v>500</v>
      </c>
      <c r="D585" s="7" t="str">
        <f>IF(VLOOKUP(C579,行为概览!$D$3:$U$33,10,0)&gt;0,F$3&amp;"*"&amp;VLOOKUP(D580,$T$8:$U$43,2,0)&amp;"*"&amp;ROUND(VLOOKUP(C579,行为概览!$D$3:$U$33,10,0)*7,2),"无")</f>
        <v>无</v>
      </c>
      <c r="E585" s="7"/>
      <c r="F585" s="7" t="s">
        <v>395</v>
      </c>
      <c r="G585">
        <v>0.8</v>
      </c>
    </row>
    <row r="586" spans="2:10">
      <c r="C586" s="7"/>
      <c r="D586" s="7"/>
      <c r="E586" s="7"/>
    </row>
    <row r="587" spans="2:10">
      <c r="C587" s="7"/>
      <c r="D587" s="7"/>
      <c r="E587" s="7"/>
    </row>
    <row r="588" spans="2:10">
      <c r="C588" s="7" t="s">
        <v>323</v>
      </c>
      <c r="D588" s="7">
        <v>1</v>
      </c>
      <c r="E588" s="7"/>
    </row>
    <row r="589" spans="2:10">
      <c r="C589" s="7" t="s">
        <v>389</v>
      </c>
      <c r="D589" s="7">
        <v>10</v>
      </c>
      <c r="E589" s="7"/>
    </row>
    <row r="590" spans="2:10">
      <c r="C590" s="7"/>
      <c r="D590" s="12" t="s">
        <v>390</v>
      </c>
      <c r="E590" s="12" t="s">
        <v>567</v>
      </c>
    </row>
    <row r="591" spans="2:10">
      <c r="C591" s="7" t="s">
        <v>317</v>
      </c>
      <c r="D591" s="69" t="str">
        <f>IF(VLOOKUP(C579,行为概览!$D$3:$U$33,7,0)&gt;0,C$3&amp;"*"&amp;VLOOKUP(D580,$T$8:$U$43,2,0)&amp;"*"&amp;ROUND(VLOOKUP(C579,行为概览!$D$3:$U$33,7,0)*VLOOKUP(C579,行为概览!$D$3:$U$33,6,0)*7/D589,3)*0.2&amp;"*("&amp;M594&amp;")","无")</f>
        <v>400*RoleLv*0.35*(0.75+0.05*Saveid)</v>
      </c>
      <c r="E591" s="137" t="str">
        <f>IF(VLOOKUP(C579,行为概览!$D$3:$U$33,7,0)&gt;0,C$3&amp;"*"&amp;VLOOKUP(D580,$T$8:$U$43,2,0)&amp;"*"&amp;ROUND(VLOOKUP(C579,行为概览!$D$3:$U$33,7,0)*VLOOKUP(C579,行为概览!$D$3:$U$33,6,0)*7,3)*0.8*0.0028&amp;"*("&amp;N594&amp;")","无")</f>
        <v>400*RoleLv*0.0392*(0.4+0.1*Saveid)</v>
      </c>
    </row>
    <row r="592" spans="2:10">
      <c r="C592" s="7" t="s">
        <v>319</v>
      </c>
      <c r="D592" s="69" t="str">
        <f>IF(VLOOKUP(C579,行为概览!$D$3:$U$33,8,0)&gt;0,D$3&amp;"*"&amp;VLOOKUP(D580,$T$8:$U$43,2,0)&amp;"*"&amp;ROUND(VLOOKUP(C579,行为概览!$D$3:$U$33,8,0)*VLOOKUP(C579,行为概览!$D$3:$U$33,6,0)*7/D589,3)&amp;"*("&amp;M594&amp;")","无")</f>
        <v>5000*RoleLv*0.058*(0.75+0.05*Saveid)</v>
      </c>
      <c r="E592" s="7"/>
    </row>
    <row r="593" spans="2:14">
      <c r="C593" s="7" t="s">
        <v>320</v>
      </c>
      <c r="D593" s="69" t="str">
        <f>IF(VLOOKUP(C579,行为概览!$D$3:$U$33,9,0)&gt;0,E$3&amp;"*"&amp;VLOOKUP(D580,$T$8:$U$43,2,0)&amp;"*"&amp;ROUND(VLOOKUP(C579,行为概览!$D$3:$U$33,9,0)*7/D589,3)&amp;"*("&amp;M594&amp;")","无")</f>
        <v>1000*RoleLv*0.35*(0.75+0.05*Saveid)</v>
      </c>
      <c r="E593" s="7"/>
      <c r="F593" s="7"/>
      <c r="I593" s="12" t="s">
        <v>390</v>
      </c>
      <c r="J593" s="12" t="s">
        <v>366</v>
      </c>
      <c r="K593" s="12" t="s">
        <v>390</v>
      </c>
      <c r="L593" s="12" t="s">
        <v>366</v>
      </c>
      <c r="M593" s="12" t="s">
        <v>390</v>
      </c>
      <c r="N593" s="12" t="s">
        <v>366</v>
      </c>
    </row>
    <row r="594" spans="2:14">
      <c r="C594" s="7" t="s">
        <v>328</v>
      </c>
      <c r="D594" s="10" t="str">
        <f>IF(VLOOKUP(C579,行为概览!$D$3:$U$33,10,0)&gt;0,F$3&amp;"*"&amp;VLOOKUP(D580,$T$8:$U$43,2,0)&amp;"*"&amp;ROUND(VLOOKUP(C579,行为概览!$D$3:$U$33,10,0)/D589,3)&amp;"*("&amp;M594&amp;")","无")</f>
        <v>无</v>
      </c>
      <c r="E594" s="7"/>
      <c r="G594" s="7" t="s">
        <v>413</v>
      </c>
      <c r="H594">
        <v>1</v>
      </c>
      <c r="I594" s="7">
        <v>0.8</v>
      </c>
      <c r="J594" s="7">
        <v>0.5</v>
      </c>
      <c r="K594" s="7">
        <f>0.75+0.05*H594</f>
        <v>0.8</v>
      </c>
      <c r="L594">
        <f>0.4+0.1*H594</f>
        <v>0.5</v>
      </c>
      <c r="M594" s="7" t="s">
        <v>559</v>
      </c>
      <c r="N594" s="7" t="s">
        <v>438</v>
      </c>
    </row>
    <row r="595" spans="2:14">
      <c r="E595" s="7" t="s">
        <v>366</v>
      </c>
      <c r="H595">
        <v>2</v>
      </c>
      <c r="I595" s="7">
        <v>0.85</v>
      </c>
      <c r="J595" s="7">
        <v>0.6</v>
      </c>
      <c r="K595" s="7">
        <f t="shared" ref="K595:K603" si="25">0.75+0.05*H595</f>
        <v>0.85</v>
      </c>
      <c r="L595" s="7">
        <f t="shared" ref="L595:L603" si="26">0.4+0.1*H595</f>
        <v>0.60000000000000009</v>
      </c>
    </row>
    <row r="596" spans="2:14">
      <c r="E596" s="10" t="s">
        <v>506</v>
      </c>
      <c r="H596">
        <v>3</v>
      </c>
      <c r="I596" s="7">
        <v>0.9</v>
      </c>
      <c r="J596" s="7">
        <v>0.7</v>
      </c>
      <c r="K596" s="7">
        <f t="shared" si="25"/>
        <v>0.9</v>
      </c>
      <c r="L596" s="7">
        <f t="shared" si="26"/>
        <v>0.70000000000000007</v>
      </c>
    </row>
    <row r="597" spans="2:14">
      <c r="H597">
        <v>4</v>
      </c>
      <c r="I597" s="7">
        <v>0.95</v>
      </c>
      <c r="J597" s="7">
        <v>0.8</v>
      </c>
      <c r="K597" s="7">
        <f t="shared" si="25"/>
        <v>0.95</v>
      </c>
      <c r="L597" s="7">
        <f t="shared" si="26"/>
        <v>0.8</v>
      </c>
    </row>
    <row r="598" spans="2:14">
      <c r="B598" s="7"/>
      <c r="C598" s="131"/>
      <c r="D598" s="7"/>
      <c r="E598" s="7"/>
      <c r="F598" s="7"/>
      <c r="H598">
        <v>5</v>
      </c>
      <c r="I598" s="7">
        <v>1</v>
      </c>
      <c r="J598" s="7">
        <v>0.9</v>
      </c>
      <c r="K598" s="7">
        <f t="shared" si="25"/>
        <v>1</v>
      </c>
      <c r="L598" s="7">
        <f t="shared" si="26"/>
        <v>0.9</v>
      </c>
    </row>
    <row r="599" spans="2:14">
      <c r="B599" s="13"/>
      <c r="C599" s="63"/>
      <c r="D599" s="13"/>
      <c r="E599" s="7"/>
      <c r="H599">
        <v>6</v>
      </c>
      <c r="I599" s="7">
        <v>1.05</v>
      </c>
      <c r="J599" s="7">
        <v>1</v>
      </c>
      <c r="K599" s="7">
        <f t="shared" si="25"/>
        <v>1.05</v>
      </c>
      <c r="L599" s="7">
        <f t="shared" si="26"/>
        <v>1</v>
      </c>
    </row>
    <row r="600" spans="2:14">
      <c r="B600" s="7"/>
      <c r="C600" s="7"/>
      <c r="D600" s="7" t="s">
        <v>508</v>
      </c>
      <c r="E600" s="7"/>
      <c r="H600">
        <v>7</v>
      </c>
      <c r="I600" s="7">
        <v>1.1000000000000001</v>
      </c>
      <c r="J600" s="7">
        <v>1.1000000000000001</v>
      </c>
      <c r="K600" s="7">
        <f t="shared" si="25"/>
        <v>1.1000000000000001</v>
      </c>
      <c r="L600" s="7">
        <f t="shared" si="26"/>
        <v>1.1000000000000001</v>
      </c>
    </row>
    <row r="601" spans="2:14">
      <c r="B601" s="7"/>
      <c r="C601" s="7"/>
      <c r="D601" s="7" t="s">
        <v>576</v>
      </c>
      <c r="E601" s="7"/>
      <c r="H601">
        <v>8</v>
      </c>
      <c r="I601" s="7">
        <v>1.1499999999999999</v>
      </c>
      <c r="J601" s="7">
        <v>1.2</v>
      </c>
      <c r="K601" s="7">
        <f t="shared" si="25"/>
        <v>1.1499999999999999</v>
      </c>
      <c r="L601" s="7">
        <f t="shared" si="26"/>
        <v>1.2000000000000002</v>
      </c>
    </row>
    <row r="602" spans="2:14">
      <c r="B602" s="7"/>
      <c r="C602" s="7"/>
      <c r="D602" s="7"/>
      <c r="E602" s="7"/>
      <c r="H602">
        <v>9</v>
      </c>
      <c r="I602" s="7">
        <v>1.2</v>
      </c>
      <c r="J602" s="7">
        <v>1.3</v>
      </c>
      <c r="K602" s="7">
        <f t="shared" si="25"/>
        <v>1.2</v>
      </c>
      <c r="L602" s="7">
        <f t="shared" si="26"/>
        <v>1.3</v>
      </c>
    </row>
    <row r="603" spans="2:14">
      <c r="B603" s="7"/>
      <c r="C603" s="7"/>
      <c r="D603" s="7"/>
      <c r="E603" s="7"/>
      <c r="H603">
        <v>10</v>
      </c>
      <c r="I603" s="7">
        <v>1.25</v>
      </c>
      <c r="J603" s="7">
        <v>1.4</v>
      </c>
      <c r="K603" s="7">
        <f t="shared" si="25"/>
        <v>1.25</v>
      </c>
      <c r="L603" s="7">
        <f t="shared" si="26"/>
        <v>1.4</v>
      </c>
    </row>
    <row r="604" spans="2:14">
      <c r="B604" s="7"/>
      <c r="C604" s="7"/>
      <c r="D604" s="7"/>
      <c r="E604" s="7"/>
    </row>
    <row r="605" spans="2:14">
      <c r="B605" s="7"/>
      <c r="C605" s="7"/>
      <c r="D605" s="7"/>
      <c r="E605" s="7"/>
    </row>
    <row r="606" spans="2:14">
      <c r="B606" s="7"/>
      <c r="C606" s="7"/>
      <c r="D606" s="7"/>
      <c r="E606" s="7"/>
    </row>
    <row r="607" spans="2:14">
      <c r="B607" s="7"/>
      <c r="C607" s="7"/>
      <c r="D607" s="7"/>
      <c r="E607" s="7"/>
    </row>
    <row r="608" spans="2:14">
      <c r="B608" s="7"/>
      <c r="C608" s="7"/>
    </row>
    <row r="609" spans="2:3">
      <c r="B609" s="7"/>
      <c r="C609" s="7"/>
    </row>
    <row r="610" spans="2:3">
      <c r="B610" s="7"/>
      <c r="C610" s="7"/>
    </row>
    <row r="611" spans="2:3">
      <c r="B611" s="7"/>
      <c r="C611" s="7"/>
    </row>
    <row r="612" spans="2:3">
      <c r="B612" s="7"/>
      <c r="C612" s="7"/>
    </row>
    <row r="613" spans="2:3">
      <c r="B613" s="7"/>
      <c r="C613" s="7"/>
    </row>
  </sheetData>
  <phoneticPr fontId="1" type="noConversion"/>
  <pageMargins left="0.7" right="0.7" top="0.75" bottom="0.75" header="0.3" footer="0.3"/>
  <pageSetup paperSize="9" orientation="portrait" r:id="rId1"/>
  <ignoredErrors>
    <ignoredError sqref="D546 D525 D56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2:X41"/>
  <sheetViews>
    <sheetView workbookViewId="0">
      <selection activeCell="N20" sqref="N20"/>
    </sheetView>
  </sheetViews>
  <sheetFormatPr defaultRowHeight="13.5"/>
  <cols>
    <col min="1" max="1" width="13" bestFit="1" customWidth="1"/>
    <col min="2" max="2" width="13.125" customWidth="1"/>
    <col min="3" max="3" width="9.5" bestFit="1" customWidth="1"/>
    <col min="4" max="4" width="9" bestFit="1" customWidth="1"/>
    <col min="5" max="5" width="10.5" customWidth="1"/>
    <col min="7" max="7" width="9" style="7"/>
    <col min="8" max="8" width="16.125" bestFit="1" customWidth="1"/>
    <col min="9" max="9" width="12.75" customWidth="1"/>
    <col min="10" max="10" width="11.625" bestFit="1" customWidth="1"/>
    <col min="11" max="11" width="11.75" customWidth="1"/>
    <col min="12" max="12" width="13.125" customWidth="1"/>
    <col min="13" max="13" width="14" customWidth="1"/>
    <col min="14" max="14" width="15.625" customWidth="1"/>
    <col min="15" max="15" width="14.75" customWidth="1"/>
    <col min="16" max="16" width="17.5" customWidth="1"/>
    <col min="17" max="18" width="17.25" bestFit="1" customWidth="1"/>
    <col min="19" max="19" width="11.875" customWidth="1"/>
    <col min="20" max="20" width="17.25" bestFit="1" customWidth="1"/>
    <col min="21" max="21" width="17.25" style="7" bestFit="1" customWidth="1"/>
    <col min="22" max="22" width="20.125" customWidth="1"/>
    <col min="23" max="23" width="9.5" bestFit="1" customWidth="1"/>
  </cols>
  <sheetData>
    <row r="2" spans="1:24">
      <c r="N2" s="7"/>
    </row>
    <row r="3" spans="1:24">
      <c r="A3" s="7"/>
    </row>
    <row r="5" spans="1:24" s="45" customFormat="1" ht="16.5" customHeight="1">
      <c r="A5" s="45" t="s">
        <v>517</v>
      </c>
      <c r="B5" s="45" t="s">
        <v>554</v>
      </c>
      <c r="C5" s="45" t="s">
        <v>555</v>
      </c>
      <c r="D5" s="45" t="s">
        <v>556</v>
      </c>
      <c r="E5" s="21" t="s">
        <v>545</v>
      </c>
      <c r="F5" s="21" t="s">
        <v>546</v>
      </c>
      <c r="G5" s="21" t="s">
        <v>547</v>
      </c>
      <c r="H5" s="21" t="s">
        <v>548</v>
      </c>
      <c r="I5" s="168" t="s">
        <v>521</v>
      </c>
      <c r="J5" s="45" t="s">
        <v>557</v>
      </c>
      <c r="K5" s="45" t="s">
        <v>533</v>
      </c>
      <c r="L5" s="45" t="s">
        <v>519</v>
      </c>
      <c r="M5" s="45" t="s">
        <v>520</v>
      </c>
      <c r="N5" s="162" t="s">
        <v>532</v>
      </c>
      <c r="O5" s="45" t="s">
        <v>522</v>
      </c>
      <c r="P5" s="163" t="s">
        <v>523</v>
      </c>
      <c r="Q5" s="163" t="s">
        <v>524</v>
      </c>
      <c r="R5" s="163" t="s">
        <v>525</v>
      </c>
      <c r="S5" s="164" t="s">
        <v>534</v>
      </c>
      <c r="T5" s="164" t="s">
        <v>535</v>
      </c>
      <c r="U5" s="159" t="s">
        <v>549</v>
      </c>
      <c r="V5" s="45" t="s">
        <v>527</v>
      </c>
      <c r="W5" s="45" t="s">
        <v>529</v>
      </c>
      <c r="X5" s="45" t="s">
        <v>566</v>
      </c>
    </row>
    <row r="6" spans="1:24">
      <c r="A6">
        <v>1</v>
      </c>
      <c r="B6">
        <v>0</v>
      </c>
      <c r="C6" s="7">
        <v>0</v>
      </c>
      <c r="D6" s="7">
        <v>0</v>
      </c>
      <c r="E6" s="159">
        <v>10000000</v>
      </c>
      <c r="F6" s="159">
        <v>1500000</v>
      </c>
      <c r="G6" s="159">
        <v>1500000</v>
      </c>
      <c r="H6" s="159">
        <v>1500000</v>
      </c>
      <c r="I6" s="73">
        <f>SUM(E6:G6)</f>
        <v>13000000</v>
      </c>
      <c r="J6" s="7">
        <v>50</v>
      </c>
      <c r="K6">
        <f>VLOOKUP(J7,升级节奏!$B$3:$J$152,7,0)/7</f>
        <v>0.59337142857142866</v>
      </c>
      <c r="L6">
        <v>100</v>
      </c>
      <c r="M6" s="7">
        <f t="shared" ref="M6:M11" si="0">L6/2</f>
        <v>50</v>
      </c>
      <c r="N6">
        <f>I6/($R$16*M6-SUM(O6:R6)*7)</f>
        <v>0.67528959534569633</v>
      </c>
      <c r="O6">
        <v>0</v>
      </c>
      <c r="P6" s="159">
        <v>120000</v>
      </c>
      <c r="Q6" s="159">
        <v>120000</v>
      </c>
      <c r="R6" s="159">
        <v>120000</v>
      </c>
      <c r="S6">
        <v>0</v>
      </c>
      <c r="T6" s="7">
        <v>0</v>
      </c>
      <c r="U6" s="159">
        <v>0</v>
      </c>
      <c r="V6" s="159">
        <v>10000000</v>
      </c>
      <c r="W6">
        <v>0</v>
      </c>
      <c r="X6">
        <v>8</v>
      </c>
    </row>
    <row r="7" spans="1:24">
      <c r="A7">
        <v>2</v>
      </c>
      <c r="B7">
        <v>1</v>
      </c>
      <c r="C7" s="7">
        <v>1</v>
      </c>
      <c r="D7" s="7">
        <v>1</v>
      </c>
      <c r="E7" s="159">
        <v>20000000</v>
      </c>
      <c r="F7" s="159">
        <v>3000000</v>
      </c>
      <c r="G7" s="159">
        <v>3000000</v>
      </c>
      <c r="H7" s="159">
        <v>3000000</v>
      </c>
      <c r="I7" s="73">
        <f t="shared" ref="I7:I11" si="1">SUM(E7:G7)</f>
        <v>26000000</v>
      </c>
      <c r="J7" s="7">
        <v>50</v>
      </c>
      <c r="K7" s="7">
        <f>VLOOKUP(J8,升级节奏!$B$3:$J$152,7,0)/7</f>
        <v>0.59337142857142866</v>
      </c>
      <c r="L7">
        <v>130</v>
      </c>
      <c r="M7" s="7">
        <f t="shared" si="0"/>
        <v>65</v>
      </c>
      <c r="N7" s="7">
        <f t="shared" ref="N7:N10" si="2">I7/($R$16*M7-SUM(O7:R7)*7)</f>
        <v>1.2046908809533738</v>
      </c>
      <c r="O7" s="159">
        <v>240000</v>
      </c>
      <c r="P7" s="159">
        <v>240000</v>
      </c>
      <c r="Q7" s="159">
        <v>240000</v>
      </c>
      <c r="R7" s="159">
        <v>240000</v>
      </c>
      <c r="S7" s="7">
        <f>Q7</f>
        <v>240000</v>
      </c>
      <c r="T7" s="7">
        <f>R7*2</f>
        <v>480000</v>
      </c>
      <c r="U7" s="159">
        <f>E6/2</f>
        <v>5000000</v>
      </c>
      <c r="V7" s="159">
        <v>25000000</v>
      </c>
      <c r="W7">
        <v>5</v>
      </c>
      <c r="X7">
        <v>12</v>
      </c>
    </row>
    <row r="8" spans="1:24">
      <c r="A8">
        <v>3</v>
      </c>
      <c r="B8">
        <v>2</v>
      </c>
      <c r="C8" s="7">
        <v>2</v>
      </c>
      <c r="D8" s="7">
        <v>2</v>
      </c>
      <c r="E8" s="159">
        <v>30000000</v>
      </c>
      <c r="F8" s="159">
        <v>4500000</v>
      </c>
      <c r="G8" s="159">
        <v>4500000</v>
      </c>
      <c r="H8" s="159">
        <v>4500000</v>
      </c>
      <c r="I8" s="73">
        <f t="shared" si="1"/>
        <v>39000000</v>
      </c>
      <c r="J8" s="7">
        <v>50</v>
      </c>
      <c r="K8" s="7">
        <f>VLOOKUP(J9,升级节奏!$B$3:$J$152,7,0)/7</f>
        <v>0.59337142857142866</v>
      </c>
      <c r="L8">
        <v>160</v>
      </c>
      <c r="M8" s="7">
        <f t="shared" si="0"/>
        <v>80</v>
      </c>
      <c r="N8" s="7">
        <f t="shared" si="2"/>
        <v>1.6308711360899237</v>
      </c>
      <c r="O8" s="159">
        <v>480000</v>
      </c>
      <c r="P8" s="159">
        <v>360000</v>
      </c>
      <c r="Q8" s="159">
        <v>360000</v>
      </c>
      <c r="R8" s="159">
        <v>360000</v>
      </c>
      <c r="S8" s="7">
        <f>Q8</f>
        <v>360000</v>
      </c>
      <c r="T8" s="7">
        <f>R8*2</f>
        <v>720000</v>
      </c>
      <c r="U8" s="159">
        <f>E7/2</f>
        <v>10000000</v>
      </c>
      <c r="V8" s="159">
        <v>40000000</v>
      </c>
      <c r="W8">
        <v>11</v>
      </c>
      <c r="X8">
        <v>16</v>
      </c>
    </row>
    <row r="9" spans="1:24">
      <c r="A9">
        <v>4</v>
      </c>
      <c r="B9">
        <v>3</v>
      </c>
      <c r="C9" s="7">
        <v>3</v>
      </c>
      <c r="D9" s="7">
        <v>3</v>
      </c>
      <c r="E9" s="159">
        <v>40000000</v>
      </c>
      <c r="F9" s="159">
        <v>6000000</v>
      </c>
      <c r="G9" s="159">
        <v>6000000</v>
      </c>
      <c r="H9" s="159">
        <v>6000000</v>
      </c>
      <c r="I9" s="73">
        <f t="shared" si="1"/>
        <v>52000000</v>
      </c>
      <c r="J9" s="7">
        <v>50</v>
      </c>
      <c r="K9" s="7">
        <f>VLOOKUP(J10,升级节奏!$B$3:$J$152,7,0)/7</f>
        <v>0.59337142857142866</v>
      </c>
      <c r="L9">
        <v>190</v>
      </c>
      <c r="M9" s="7">
        <f t="shared" si="0"/>
        <v>95</v>
      </c>
      <c r="N9" s="7">
        <f t="shared" si="2"/>
        <v>1.9813373264900991</v>
      </c>
      <c r="O9" s="159">
        <v>720000</v>
      </c>
      <c r="P9" s="159">
        <v>480000</v>
      </c>
      <c r="Q9" s="159">
        <v>480000</v>
      </c>
      <c r="R9" s="159">
        <v>480000</v>
      </c>
      <c r="S9" s="7">
        <f>Q9</f>
        <v>480000</v>
      </c>
      <c r="T9" s="7">
        <f>R9*2</f>
        <v>960000</v>
      </c>
      <c r="U9" s="159">
        <f>E8/2</f>
        <v>15000000</v>
      </c>
      <c r="V9" s="159">
        <v>55000000</v>
      </c>
      <c r="W9">
        <v>18</v>
      </c>
      <c r="X9">
        <v>20</v>
      </c>
    </row>
    <row r="10" spans="1:24">
      <c r="A10">
        <v>5</v>
      </c>
      <c r="B10">
        <v>4</v>
      </c>
      <c r="C10" s="7">
        <v>4</v>
      </c>
      <c r="D10" s="7">
        <v>4</v>
      </c>
      <c r="E10" s="159">
        <v>50000000</v>
      </c>
      <c r="F10" s="159">
        <v>7500000</v>
      </c>
      <c r="G10" s="159">
        <v>7500000</v>
      </c>
      <c r="H10" s="159">
        <v>7500000</v>
      </c>
      <c r="I10" s="73">
        <f t="shared" si="1"/>
        <v>65000000</v>
      </c>
      <c r="J10" s="7">
        <v>50</v>
      </c>
      <c r="K10" s="7">
        <f>VLOOKUP(J11,升级节奏!$B$3:$J$152,7,0)/7</f>
        <v>0.59337142857142866</v>
      </c>
      <c r="L10">
        <v>220</v>
      </c>
      <c r="M10" s="7">
        <f t="shared" si="0"/>
        <v>110</v>
      </c>
      <c r="N10" s="7">
        <f t="shared" si="2"/>
        <v>2.2746201384368812</v>
      </c>
      <c r="O10" s="159">
        <v>960000</v>
      </c>
      <c r="P10" s="159">
        <v>600000</v>
      </c>
      <c r="Q10" s="159">
        <v>600000</v>
      </c>
      <c r="R10" s="159">
        <v>600000</v>
      </c>
      <c r="S10" s="7">
        <f>Q10</f>
        <v>600000</v>
      </c>
      <c r="T10" s="7">
        <f>R10*2</f>
        <v>1200000</v>
      </c>
      <c r="U10" s="159">
        <f>E9/2</f>
        <v>20000000</v>
      </c>
      <c r="V10" s="159">
        <v>70000000</v>
      </c>
      <c r="W10">
        <v>26</v>
      </c>
      <c r="X10">
        <v>20</v>
      </c>
    </row>
    <row r="11" spans="1:24">
      <c r="A11">
        <v>6</v>
      </c>
      <c r="B11">
        <v>5</v>
      </c>
      <c r="C11" s="7">
        <v>5</v>
      </c>
      <c r="D11" s="7">
        <v>5</v>
      </c>
      <c r="E11" s="159">
        <v>99999999</v>
      </c>
      <c r="F11" s="159">
        <v>99999999</v>
      </c>
      <c r="G11" s="159">
        <v>99999999</v>
      </c>
      <c r="H11" s="159">
        <v>99999999</v>
      </c>
      <c r="I11" s="73">
        <f t="shared" si="1"/>
        <v>299999997</v>
      </c>
      <c r="J11" s="7">
        <v>50</v>
      </c>
      <c r="K11" s="7" t="s">
        <v>550</v>
      </c>
      <c r="L11">
        <v>250</v>
      </c>
      <c r="M11" s="7">
        <f t="shared" si="0"/>
        <v>125</v>
      </c>
      <c r="N11" s="159" t="s">
        <v>564</v>
      </c>
      <c r="O11" s="159">
        <v>1200000</v>
      </c>
      <c r="P11" s="159">
        <v>720000</v>
      </c>
      <c r="Q11" s="159">
        <v>720000</v>
      </c>
      <c r="R11" s="159">
        <v>720000</v>
      </c>
      <c r="S11" s="7">
        <f>Q11</f>
        <v>720000</v>
      </c>
      <c r="T11" s="7">
        <f>R11*2</f>
        <v>1440000</v>
      </c>
      <c r="U11" s="159">
        <f>E10/2</f>
        <v>25000000</v>
      </c>
      <c r="V11" s="159">
        <v>85000000</v>
      </c>
      <c r="W11">
        <v>35</v>
      </c>
      <c r="X11">
        <v>20</v>
      </c>
    </row>
    <row r="12" spans="1:24">
      <c r="B12" s="7"/>
      <c r="C12" s="7"/>
      <c r="D12" s="7"/>
      <c r="E12" s="7"/>
      <c r="F12" s="7"/>
      <c r="H12" s="159"/>
      <c r="I12" s="159"/>
      <c r="J12" s="159"/>
      <c r="K12" s="159"/>
      <c r="L12" s="7"/>
      <c r="M12" s="7"/>
      <c r="O12" s="159"/>
      <c r="P12" s="159"/>
      <c r="Q12" s="159"/>
      <c r="R12" s="159"/>
      <c r="U12" s="159"/>
      <c r="W12" s="159"/>
    </row>
    <row r="13" spans="1:24" s="7" customFormat="1">
      <c r="H13" s="159"/>
      <c r="I13" s="159"/>
      <c r="J13" s="159"/>
      <c r="K13" s="159"/>
      <c r="O13" s="159"/>
      <c r="P13" s="159"/>
      <c r="Q13" s="159"/>
      <c r="R13" s="159"/>
      <c r="U13" s="159"/>
      <c r="W13" s="159"/>
    </row>
    <row r="14" spans="1:24" s="7" customFormat="1">
      <c r="H14" s="159"/>
      <c r="I14" s="159"/>
      <c r="J14" s="159"/>
      <c r="K14" s="159"/>
      <c r="O14" s="159"/>
      <c r="P14" s="159"/>
      <c r="Q14" s="159"/>
      <c r="R14" s="159"/>
      <c r="U14" s="159"/>
      <c r="W14" s="159"/>
    </row>
    <row r="15" spans="1:24" s="7" customFormat="1">
      <c r="E15" s="159"/>
      <c r="F15" s="159"/>
      <c r="G15" s="159"/>
      <c r="H15" s="159"/>
      <c r="L15" s="159"/>
      <c r="M15" s="159"/>
      <c r="N15" s="159"/>
      <c r="R15" s="159"/>
      <c r="U15" s="159"/>
      <c r="W15" s="159"/>
    </row>
    <row r="16" spans="1:24">
      <c r="A16" s="7"/>
      <c r="B16" s="7"/>
      <c r="C16" s="159"/>
      <c r="D16" s="7" t="s">
        <v>552</v>
      </c>
      <c r="E16" s="159">
        <f>SUM(E22:E31)*7</f>
        <v>385000</v>
      </c>
      <c r="F16" s="159"/>
      <c r="G16" s="159"/>
      <c r="H16" s="159"/>
      <c r="J16" s="7" t="s">
        <v>553</v>
      </c>
      <c r="L16" s="159"/>
      <c r="N16" s="159"/>
      <c r="Q16" s="159" t="s">
        <v>563</v>
      </c>
      <c r="R16" s="159">
        <f>E16+K17+20</f>
        <v>435420</v>
      </c>
      <c r="U16" s="159"/>
    </row>
    <row r="17" spans="1:17">
      <c r="B17" s="45"/>
      <c r="D17" s="7"/>
      <c r="G17"/>
      <c r="J17" s="7" t="s">
        <v>561</v>
      </c>
      <c r="K17" s="7">
        <f>SUM(P25:P33)</f>
        <v>50400</v>
      </c>
    </row>
    <row r="18" spans="1:17">
      <c r="A18" s="63"/>
      <c r="B18" s="7"/>
      <c r="C18" s="7" t="s">
        <v>551</v>
      </c>
      <c r="D18" s="7" t="s">
        <v>558</v>
      </c>
      <c r="G18"/>
      <c r="J18" s="7" t="s">
        <v>577</v>
      </c>
    </row>
    <row r="19" spans="1:17">
      <c r="D19" s="7">
        <v>30</v>
      </c>
      <c r="E19">
        <v>50</v>
      </c>
      <c r="F19">
        <v>70</v>
      </c>
      <c r="G19"/>
      <c r="J19">
        <v>30</v>
      </c>
      <c r="K19">
        <v>50</v>
      </c>
      <c r="L19">
        <v>70</v>
      </c>
    </row>
    <row r="20" spans="1:17">
      <c r="C20" s="7"/>
      <c r="D20" s="7"/>
      <c r="G20"/>
      <c r="J20" s="7" t="s">
        <v>562</v>
      </c>
      <c r="K20">
        <f>P35</f>
        <v>13200</v>
      </c>
    </row>
    <row r="21" spans="1:17">
      <c r="D21" s="7"/>
      <c r="G21"/>
      <c r="J21" s="7" t="s">
        <v>578</v>
      </c>
    </row>
    <row r="22" spans="1:17">
      <c r="A22" s="7"/>
      <c r="C22">
        <v>1</v>
      </c>
      <c r="D22">
        <f t="shared" ref="D22:F31" si="3">2200+440*D$19/10+(200+40*D$19/10*($C22-1))</f>
        <v>3720</v>
      </c>
      <c r="E22" s="7">
        <f t="shared" si="3"/>
        <v>4600</v>
      </c>
      <c r="F22" s="7">
        <f t="shared" si="3"/>
        <v>5480</v>
      </c>
      <c r="G22"/>
    </row>
    <row r="23" spans="1:17">
      <c r="C23">
        <v>2</v>
      </c>
      <c r="D23" s="7">
        <f t="shared" si="3"/>
        <v>3840</v>
      </c>
      <c r="E23" s="7">
        <f t="shared" si="3"/>
        <v>4800</v>
      </c>
      <c r="F23" s="7">
        <f t="shared" si="3"/>
        <v>5760</v>
      </c>
      <c r="G23"/>
    </row>
    <row r="24" spans="1:17">
      <c r="C24">
        <v>3</v>
      </c>
      <c r="D24" s="7">
        <f t="shared" si="3"/>
        <v>3960</v>
      </c>
      <c r="E24" s="7">
        <f t="shared" si="3"/>
        <v>5000</v>
      </c>
      <c r="F24" s="7">
        <f t="shared" si="3"/>
        <v>6040</v>
      </c>
      <c r="G24"/>
      <c r="K24" s="7" t="s">
        <v>528</v>
      </c>
    </row>
    <row r="25" spans="1:17">
      <c r="B25" s="7"/>
      <c r="C25">
        <v>4</v>
      </c>
      <c r="D25" s="7">
        <f t="shared" si="3"/>
        <v>4080</v>
      </c>
      <c r="E25" s="7">
        <f t="shared" si="3"/>
        <v>5200</v>
      </c>
      <c r="F25" s="7">
        <f t="shared" si="3"/>
        <v>6320</v>
      </c>
      <c r="G25"/>
      <c r="J25">
        <v>110</v>
      </c>
      <c r="K25">
        <v>49</v>
      </c>
      <c r="L25" s="7" t="s">
        <v>560</v>
      </c>
      <c r="N25">
        <v>1</v>
      </c>
      <c r="O25" s="7">
        <f t="shared" ref="O25:O34" si="4">2200+440*(J$19/10)+(200+40*(J$19/10)*$N25)</f>
        <v>3840</v>
      </c>
      <c r="P25" s="7">
        <f t="shared" ref="P25:P34" si="5">2200+440*(K$19/10)+(200+40*(K$19/10)*$N25)</f>
        <v>4800</v>
      </c>
      <c r="Q25" s="7">
        <f t="shared" ref="Q25:Q34" si="6">2200+440*(L$19/10)+(200+40*(L$19/10)*$N25)</f>
        <v>5760</v>
      </c>
    </row>
    <row r="26" spans="1:17">
      <c r="C26">
        <v>5</v>
      </c>
      <c r="D26" s="7">
        <f t="shared" si="3"/>
        <v>4200</v>
      </c>
      <c r="E26" s="7">
        <f t="shared" si="3"/>
        <v>5400</v>
      </c>
      <c r="F26" s="7">
        <f t="shared" si="3"/>
        <v>6600</v>
      </c>
      <c r="G26"/>
      <c r="J26">
        <v>111</v>
      </c>
      <c r="K26">
        <v>59</v>
      </c>
      <c r="N26">
        <v>2</v>
      </c>
      <c r="O26" s="7">
        <f t="shared" si="4"/>
        <v>3960</v>
      </c>
      <c r="P26" s="7">
        <f t="shared" si="5"/>
        <v>5000</v>
      </c>
      <c r="Q26" s="7">
        <f t="shared" si="6"/>
        <v>6040</v>
      </c>
    </row>
    <row r="27" spans="1:17">
      <c r="C27">
        <v>6</v>
      </c>
      <c r="D27" s="7">
        <f t="shared" si="3"/>
        <v>4320</v>
      </c>
      <c r="E27" s="7">
        <f t="shared" si="3"/>
        <v>5600</v>
      </c>
      <c r="F27" s="7">
        <f t="shared" si="3"/>
        <v>6880</v>
      </c>
      <c r="G27"/>
      <c r="J27" s="7">
        <v>112</v>
      </c>
      <c r="K27" s="7">
        <v>69</v>
      </c>
      <c r="N27" s="7">
        <v>3</v>
      </c>
      <c r="O27" s="7">
        <f t="shared" si="4"/>
        <v>4080</v>
      </c>
      <c r="P27" s="7">
        <f t="shared" si="5"/>
        <v>5200</v>
      </c>
      <c r="Q27" s="7">
        <f t="shared" si="6"/>
        <v>6320</v>
      </c>
    </row>
    <row r="28" spans="1:17">
      <c r="C28">
        <v>7</v>
      </c>
      <c r="D28" s="7">
        <f t="shared" si="3"/>
        <v>4440</v>
      </c>
      <c r="E28" s="7">
        <f t="shared" si="3"/>
        <v>5800</v>
      </c>
      <c r="F28" s="7">
        <f t="shared" si="3"/>
        <v>7160</v>
      </c>
      <c r="G28"/>
      <c r="J28" s="7">
        <v>113</v>
      </c>
      <c r="K28" s="7">
        <v>79</v>
      </c>
      <c r="N28" s="7">
        <v>4</v>
      </c>
      <c r="O28" s="7">
        <f t="shared" si="4"/>
        <v>4200</v>
      </c>
      <c r="P28" s="7">
        <f t="shared" si="5"/>
        <v>5400</v>
      </c>
      <c r="Q28" s="7">
        <f t="shared" si="6"/>
        <v>6600</v>
      </c>
    </row>
    <row r="29" spans="1:17">
      <c r="C29">
        <v>8</v>
      </c>
      <c r="D29" s="7">
        <f t="shared" si="3"/>
        <v>4560</v>
      </c>
      <c r="E29" s="7">
        <f t="shared" si="3"/>
        <v>6000</v>
      </c>
      <c r="F29" s="7">
        <f t="shared" si="3"/>
        <v>7440</v>
      </c>
      <c r="G29"/>
      <c r="J29" s="7">
        <v>114</v>
      </c>
      <c r="K29" s="7">
        <v>89</v>
      </c>
      <c r="N29" s="7">
        <v>5</v>
      </c>
      <c r="O29" s="7">
        <f t="shared" si="4"/>
        <v>4320</v>
      </c>
      <c r="P29" s="7">
        <f t="shared" si="5"/>
        <v>5600</v>
      </c>
      <c r="Q29" s="7">
        <f t="shared" si="6"/>
        <v>6880</v>
      </c>
    </row>
    <row r="30" spans="1:17">
      <c r="C30">
        <v>9</v>
      </c>
      <c r="D30" s="7">
        <f t="shared" si="3"/>
        <v>4680</v>
      </c>
      <c r="E30" s="7">
        <f t="shared" si="3"/>
        <v>6200</v>
      </c>
      <c r="F30" s="7">
        <f t="shared" si="3"/>
        <v>7720</v>
      </c>
      <c r="G30"/>
      <c r="J30" s="7"/>
      <c r="K30" s="7"/>
      <c r="N30" s="7">
        <v>6</v>
      </c>
      <c r="O30" s="7">
        <f t="shared" si="4"/>
        <v>4440</v>
      </c>
      <c r="P30" s="7">
        <f t="shared" si="5"/>
        <v>5800</v>
      </c>
      <c r="Q30" s="7">
        <f t="shared" si="6"/>
        <v>7160</v>
      </c>
    </row>
    <row r="31" spans="1:17">
      <c r="C31">
        <v>10</v>
      </c>
      <c r="D31" s="7">
        <f t="shared" si="3"/>
        <v>4800</v>
      </c>
      <c r="E31" s="7">
        <f t="shared" si="3"/>
        <v>6400</v>
      </c>
      <c r="F31" s="7">
        <f t="shared" si="3"/>
        <v>8000</v>
      </c>
      <c r="G31"/>
      <c r="J31" s="7"/>
      <c r="K31" s="7"/>
      <c r="N31" s="7">
        <v>7</v>
      </c>
      <c r="O31" s="7">
        <f t="shared" si="4"/>
        <v>4560</v>
      </c>
      <c r="P31" s="7">
        <f t="shared" si="5"/>
        <v>6000</v>
      </c>
      <c r="Q31" s="7">
        <f t="shared" si="6"/>
        <v>7440</v>
      </c>
    </row>
    <row r="32" spans="1:17">
      <c r="D32" s="7"/>
      <c r="G32"/>
      <c r="J32" s="7"/>
      <c r="K32" s="7"/>
      <c r="N32" s="7">
        <v>8</v>
      </c>
      <c r="O32" s="7">
        <f t="shared" si="4"/>
        <v>4680</v>
      </c>
      <c r="P32" s="7">
        <f t="shared" si="5"/>
        <v>6200</v>
      </c>
      <c r="Q32" s="7">
        <f t="shared" si="6"/>
        <v>7720</v>
      </c>
    </row>
    <row r="33" spans="2:17">
      <c r="J33" s="7"/>
      <c r="K33" s="7"/>
      <c r="N33" s="7">
        <v>9</v>
      </c>
      <c r="O33" s="7">
        <f t="shared" si="4"/>
        <v>4800</v>
      </c>
      <c r="P33" s="7">
        <f t="shared" si="5"/>
        <v>6400</v>
      </c>
      <c r="Q33" s="7">
        <f t="shared" si="6"/>
        <v>8000</v>
      </c>
    </row>
    <row r="34" spans="2:17">
      <c r="J34" s="7"/>
      <c r="N34" s="63">
        <v>10</v>
      </c>
      <c r="O34" s="7">
        <f t="shared" si="4"/>
        <v>4920</v>
      </c>
      <c r="P34" s="7">
        <f t="shared" si="5"/>
        <v>6600</v>
      </c>
      <c r="Q34" s="7">
        <f t="shared" si="6"/>
        <v>8280</v>
      </c>
    </row>
    <row r="35" spans="2:17">
      <c r="G35" s="7" t="s">
        <v>530</v>
      </c>
      <c r="I35" s="10" t="s">
        <v>570</v>
      </c>
      <c r="L35" s="137" t="s">
        <v>565</v>
      </c>
      <c r="N35" s="63" t="s">
        <v>562</v>
      </c>
      <c r="O35">
        <f>O34*2</f>
        <v>9840</v>
      </c>
      <c r="P35" s="7">
        <f t="shared" ref="P35:Q35" si="7">P34*2</f>
        <v>13200</v>
      </c>
      <c r="Q35" s="7">
        <f t="shared" si="7"/>
        <v>16560</v>
      </c>
    </row>
    <row r="36" spans="2:17">
      <c r="B36" s="7"/>
      <c r="G36" s="7" t="s">
        <v>531</v>
      </c>
      <c r="I36" s="7" t="s">
        <v>571</v>
      </c>
    </row>
    <row r="40" spans="2:17">
      <c r="G40"/>
    </row>
    <row r="41" spans="2:17">
      <c r="G41"/>
    </row>
  </sheetData>
  <phoneticPr fontId="1" type="noConversion"/>
  <pageMargins left="0.7" right="0.7" top="0.75" bottom="0.75" header="0.3" footer="0.3"/>
  <pageSetup paperSize="9" orientation="portrait" r:id="rId1"/>
  <ignoredErrors>
    <ignoredError sqref="I6:I11 N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257"/>
  <sheetViews>
    <sheetView tabSelected="1" workbookViewId="0">
      <selection activeCell="Q13" sqref="Q13"/>
    </sheetView>
  </sheetViews>
  <sheetFormatPr defaultRowHeight="13.5"/>
  <cols>
    <col min="1" max="1" width="9" style="7"/>
    <col min="3" max="5" width="14.25" style="7" customWidth="1"/>
    <col min="8" max="8" width="12.25" bestFit="1" customWidth="1"/>
  </cols>
  <sheetData>
    <row r="1" spans="1:17">
      <c r="A1" s="7" t="s">
        <v>543</v>
      </c>
      <c r="B1" s="7" t="s">
        <v>97</v>
      </c>
      <c r="C1" s="7" t="s">
        <v>100</v>
      </c>
      <c r="D1" s="7" t="s">
        <v>101</v>
      </c>
      <c r="F1" s="7"/>
      <c r="I1" s="7"/>
      <c r="J1" s="7"/>
      <c r="K1" s="7"/>
      <c r="L1" s="7"/>
      <c r="M1" s="7"/>
      <c r="N1" s="7"/>
      <c r="O1" s="7"/>
      <c r="P1" s="7"/>
      <c r="Q1" s="7"/>
    </row>
    <row r="2" spans="1:17">
      <c r="A2" s="7">
        <v>0</v>
      </c>
      <c r="B2" s="7">
        <v>1</v>
      </c>
      <c r="C2" s="7">
        <v>0</v>
      </c>
      <c r="D2" s="7">
        <f>ROUND(C2/2,0)</f>
        <v>0</v>
      </c>
      <c r="F2" s="7"/>
      <c r="I2" s="7"/>
      <c r="J2" s="7"/>
      <c r="K2" s="7"/>
      <c r="L2" s="7"/>
      <c r="M2" s="7"/>
      <c r="N2" s="7"/>
      <c r="O2" s="7"/>
      <c r="P2" s="7"/>
      <c r="Q2" s="7"/>
    </row>
    <row r="3" spans="1:17">
      <c r="A3" s="7">
        <v>1</v>
      </c>
      <c r="B3" s="7">
        <v>2</v>
      </c>
      <c r="C3" s="7">
        <v>0</v>
      </c>
      <c r="D3" s="7">
        <f t="shared" ref="D3:D66" si="0">ROUND(C3/2,0)</f>
        <v>0</v>
      </c>
      <c r="F3" s="7"/>
      <c r="G3" s="7"/>
      <c r="I3" s="7"/>
      <c r="J3" s="7"/>
      <c r="K3" s="7"/>
      <c r="L3" s="7"/>
      <c r="M3" s="7"/>
      <c r="N3" s="7"/>
      <c r="O3" s="7"/>
      <c r="P3" s="7"/>
      <c r="Q3" s="7"/>
    </row>
    <row r="4" spans="1:17">
      <c r="A4" s="7">
        <v>2</v>
      </c>
      <c r="B4" s="7">
        <v>3</v>
      </c>
      <c r="C4" s="7">
        <v>0</v>
      </c>
      <c r="D4" s="7">
        <f t="shared" si="0"/>
        <v>0</v>
      </c>
      <c r="F4" s="7"/>
      <c r="G4" s="7"/>
      <c r="H4" s="7" t="s">
        <v>544</v>
      </c>
      <c r="I4" s="7" t="s">
        <v>536</v>
      </c>
      <c r="J4">
        <f>(55+16*1.5+6*1.5)*7</f>
        <v>616</v>
      </c>
    </row>
    <row r="5" spans="1:17">
      <c r="A5" s="7">
        <v>3</v>
      </c>
      <c r="B5" s="7">
        <v>4</v>
      </c>
      <c r="C5" s="7">
        <v>0</v>
      </c>
      <c r="D5" s="7">
        <f t="shared" si="0"/>
        <v>0</v>
      </c>
      <c r="F5" s="7"/>
      <c r="G5" s="7"/>
      <c r="I5" s="7" t="s">
        <v>537</v>
      </c>
      <c r="J5" s="7">
        <f>5*10+50</f>
        <v>100</v>
      </c>
    </row>
    <row r="6" spans="1:17">
      <c r="A6" s="7">
        <v>4</v>
      </c>
      <c r="B6" s="7">
        <v>5</v>
      </c>
      <c r="C6" s="7">
        <v>0</v>
      </c>
      <c r="D6" s="7">
        <f t="shared" si="0"/>
        <v>0</v>
      </c>
      <c r="F6" s="7"/>
      <c r="G6" s="7"/>
      <c r="I6" s="7" t="s">
        <v>538</v>
      </c>
      <c r="J6">
        <v>300</v>
      </c>
    </row>
    <row r="7" spans="1:17">
      <c r="A7" s="7">
        <v>5</v>
      </c>
      <c r="B7" s="7">
        <v>6</v>
      </c>
      <c r="C7" s="7">
        <v>0</v>
      </c>
      <c r="D7" s="7">
        <f t="shared" si="0"/>
        <v>0</v>
      </c>
      <c r="F7" s="7"/>
      <c r="G7" s="7"/>
      <c r="I7" s="7" t="s">
        <v>580</v>
      </c>
      <c r="J7">
        <v>40</v>
      </c>
    </row>
    <row r="8" spans="1:17">
      <c r="A8" s="7">
        <v>6</v>
      </c>
      <c r="B8" s="7">
        <v>7</v>
      </c>
      <c r="C8" s="7">
        <v>0</v>
      </c>
      <c r="D8" s="7">
        <f t="shared" si="0"/>
        <v>0</v>
      </c>
      <c r="F8" s="7"/>
      <c r="G8" s="7"/>
      <c r="I8">
        <v>1000</v>
      </c>
    </row>
    <row r="9" spans="1:17">
      <c r="A9" s="7">
        <v>7</v>
      </c>
      <c r="B9" s="7">
        <v>8</v>
      </c>
      <c r="C9" s="7">
        <v>0</v>
      </c>
      <c r="D9" s="7">
        <f t="shared" si="0"/>
        <v>0</v>
      </c>
      <c r="F9" s="7"/>
      <c r="G9" s="7"/>
    </row>
    <row r="10" spans="1:17">
      <c r="A10" s="7">
        <v>8</v>
      </c>
      <c r="B10" s="7">
        <v>9</v>
      </c>
      <c r="C10" s="7">
        <v>0</v>
      </c>
      <c r="D10" s="7">
        <f t="shared" si="0"/>
        <v>0</v>
      </c>
      <c r="F10" s="7"/>
      <c r="G10" s="7"/>
    </row>
    <row r="11" spans="1:17">
      <c r="A11" s="7">
        <v>9</v>
      </c>
      <c r="B11" s="7">
        <v>10</v>
      </c>
      <c r="C11" s="7">
        <v>0</v>
      </c>
      <c r="D11" s="7">
        <f t="shared" si="0"/>
        <v>0</v>
      </c>
      <c r="F11" s="7"/>
      <c r="G11" s="7"/>
    </row>
    <row r="12" spans="1:17">
      <c r="A12" s="7">
        <v>10</v>
      </c>
      <c r="B12" s="7">
        <v>11</v>
      </c>
      <c r="C12" s="7">
        <v>0</v>
      </c>
      <c r="D12" s="7">
        <f t="shared" si="0"/>
        <v>0</v>
      </c>
      <c r="F12" s="7"/>
      <c r="G12" s="7"/>
    </row>
    <row r="13" spans="1:17">
      <c r="A13" s="7">
        <v>11</v>
      </c>
      <c r="B13" s="7">
        <v>12</v>
      </c>
      <c r="C13" s="7">
        <v>0</v>
      </c>
      <c r="D13" s="7">
        <f t="shared" si="0"/>
        <v>0</v>
      </c>
      <c r="F13" s="7"/>
      <c r="G13" s="7"/>
    </row>
    <row r="14" spans="1:17">
      <c r="A14" s="7">
        <v>12</v>
      </c>
      <c r="B14" s="7">
        <v>13</v>
      </c>
      <c r="C14" s="7">
        <v>0</v>
      </c>
      <c r="D14" s="7">
        <f t="shared" si="0"/>
        <v>0</v>
      </c>
      <c r="F14" s="7"/>
      <c r="G14" s="7"/>
    </row>
    <row r="15" spans="1:17">
      <c r="A15" s="7">
        <v>13</v>
      </c>
      <c r="B15" s="7">
        <v>14</v>
      </c>
      <c r="C15" s="7">
        <v>0</v>
      </c>
      <c r="D15" s="7">
        <f t="shared" si="0"/>
        <v>0</v>
      </c>
      <c r="F15" s="7"/>
      <c r="G15" s="7"/>
    </row>
    <row r="16" spans="1:17">
      <c r="A16" s="7">
        <v>14</v>
      </c>
      <c r="B16" s="7">
        <v>15</v>
      </c>
      <c r="C16" s="7">
        <v>0</v>
      </c>
      <c r="D16" s="7">
        <f t="shared" si="0"/>
        <v>0</v>
      </c>
      <c r="F16" s="7"/>
      <c r="G16" s="7"/>
    </row>
    <row r="17" spans="1:7">
      <c r="A17" s="7">
        <v>15</v>
      </c>
      <c r="B17" s="7">
        <v>16</v>
      </c>
      <c r="C17" s="7">
        <v>0</v>
      </c>
      <c r="D17" s="7">
        <f t="shared" si="0"/>
        <v>0</v>
      </c>
      <c r="F17" s="7"/>
      <c r="G17" s="7"/>
    </row>
    <row r="18" spans="1:7">
      <c r="A18" s="7">
        <v>16</v>
      </c>
      <c r="B18" s="7">
        <v>17</v>
      </c>
      <c r="C18" s="7">
        <v>0</v>
      </c>
      <c r="D18" s="7">
        <f t="shared" si="0"/>
        <v>0</v>
      </c>
      <c r="F18" s="7"/>
      <c r="G18" s="7"/>
    </row>
    <row r="19" spans="1:7">
      <c r="A19" s="7">
        <v>17</v>
      </c>
      <c r="B19" s="7">
        <v>18</v>
      </c>
      <c r="C19" s="7">
        <v>0</v>
      </c>
      <c r="D19" s="7">
        <f t="shared" si="0"/>
        <v>0</v>
      </c>
      <c r="F19" s="7"/>
      <c r="G19" s="7"/>
    </row>
    <row r="20" spans="1:7">
      <c r="A20" s="7">
        <v>18</v>
      </c>
      <c r="B20" s="7">
        <v>19</v>
      </c>
      <c r="C20" s="7">
        <v>0</v>
      </c>
      <c r="D20" s="7">
        <f t="shared" si="0"/>
        <v>0</v>
      </c>
      <c r="F20" s="7"/>
      <c r="G20" s="7"/>
    </row>
    <row r="21" spans="1:7">
      <c r="A21" s="7">
        <v>19</v>
      </c>
      <c r="B21" s="7">
        <v>20</v>
      </c>
      <c r="C21" s="7">
        <v>0</v>
      </c>
      <c r="D21" s="7">
        <f t="shared" si="0"/>
        <v>0</v>
      </c>
      <c r="F21" s="7"/>
      <c r="G21" s="7"/>
    </row>
    <row r="22" spans="1:7">
      <c r="A22" s="7">
        <v>20</v>
      </c>
      <c r="B22" s="7">
        <v>21</v>
      </c>
      <c r="C22" s="7">
        <v>2</v>
      </c>
      <c r="D22" s="7">
        <f t="shared" si="0"/>
        <v>1</v>
      </c>
      <c r="F22" s="7"/>
      <c r="G22" s="7"/>
    </row>
    <row r="23" spans="1:7">
      <c r="A23" s="7">
        <v>21</v>
      </c>
      <c r="B23" s="7">
        <v>22</v>
      </c>
      <c r="C23" s="7">
        <v>2</v>
      </c>
      <c r="D23" s="7">
        <f t="shared" si="0"/>
        <v>1</v>
      </c>
      <c r="F23" s="7"/>
      <c r="G23" s="7"/>
    </row>
    <row r="24" spans="1:7">
      <c r="A24" s="7">
        <v>22</v>
      </c>
      <c r="B24" s="7">
        <v>23</v>
      </c>
      <c r="C24" s="7">
        <v>2</v>
      </c>
      <c r="D24" s="7">
        <f t="shared" si="0"/>
        <v>1</v>
      </c>
      <c r="F24" s="7"/>
      <c r="G24" s="7"/>
    </row>
    <row r="25" spans="1:7">
      <c r="A25" s="7">
        <v>23</v>
      </c>
      <c r="B25" s="7">
        <v>24</v>
      </c>
      <c r="C25" s="7">
        <v>2</v>
      </c>
      <c r="D25" s="7">
        <f t="shared" si="0"/>
        <v>1</v>
      </c>
      <c r="F25" s="7"/>
      <c r="G25" s="7"/>
    </row>
    <row r="26" spans="1:7">
      <c r="A26" s="7">
        <v>24</v>
      </c>
      <c r="B26" s="7">
        <v>25</v>
      </c>
      <c r="C26" s="7">
        <v>2</v>
      </c>
      <c r="D26" s="7">
        <f t="shared" si="0"/>
        <v>1</v>
      </c>
      <c r="F26" s="7"/>
      <c r="G26" s="7"/>
    </row>
    <row r="27" spans="1:7">
      <c r="A27" s="7">
        <v>25</v>
      </c>
      <c r="B27" s="7">
        <v>26</v>
      </c>
      <c r="C27" s="7">
        <v>2</v>
      </c>
      <c r="D27" s="7">
        <f t="shared" si="0"/>
        <v>1</v>
      </c>
      <c r="G27" s="7"/>
    </row>
    <row r="28" spans="1:7">
      <c r="A28" s="7">
        <v>26</v>
      </c>
      <c r="B28" s="7">
        <v>27</v>
      </c>
      <c r="C28" s="7">
        <v>2</v>
      </c>
      <c r="D28" s="7">
        <f t="shared" si="0"/>
        <v>1</v>
      </c>
      <c r="G28" s="7"/>
    </row>
    <row r="29" spans="1:7">
      <c r="A29" s="7">
        <v>27</v>
      </c>
      <c r="B29" s="7">
        <v>28</v>
      </c>
      <c r="C29" s="7">
        <v>2</v>
      </c>
      <c r="D29" s="7">
        <f t="shared" si="0"/>
        <v>1</v>
      </c>
      <c r="G29" s="7"/>
    </row>
    <row r="30" spans="1:7">
      <c r="A30" s="7">
        <v>28</v>
      </c>
      <c r="B30" s="7">
        <v>29</v>
      </c>
      <c r="C30" s="7">
        <v>2</v>
      </c>
      <c r="D30" s="7">
        <f t="shared" si="0"/>
        <v>1</v>
      </c>
      <c r="G30" s="7"/>
    </row>
    <row r="31" spans="1:7">
      <c r="A31" s="7">
        <v>29</v>
      </c>
      <c r="B31" s="7">
        <v>30</v>
      </c>
      <c r="C31" s="7">
        <v>2</v>
      </c>
      <c r="D31" s="7">
        <f t="shared" si="0"/>
        <v>1</v>
      </c>
      <c r="G31" s="7"/>
    </row>
    <row r="32" spans="1:7">
      <c r="A32" s="7">
        <v>30</v>
      </c>
      <c r="B32" s="7">
        <v>31</v>
      </c>
      <c r="C32" s="7">
        <v>2</v>
      </c>
      <c r="D32" s="7">
        <f t="shared" si="0"/>
        <v>1</v>
      </c>
      <c r="G32" s="7"/>
    </row>
    <row r="33" spans="1:7">
      <c r="A33" s="7">
        <v>31</v>
      </c>
      <c r="B33" s="7">
        <v>32</v>
      </c>
      <c r="C33" s="7">
        <v>2</v>
      </c>
      <c r="D33" s="7">
        <f t="shared" si="0"/>
        <v>1</v>
      </c>
      <c r="G33" s="7"/>
    </row>
    <row r="34" spans="1:7">
      <c r="A34" s="7">
        <v>32</v>
      </c>
      <c r="B34" s="7">
        <v>33</v>
      </c>
      <c r="C34" s="7">
        <v>2</v>
      </c>
      <c r="D34" s="7">
        <f t="shared" si="0"/>
        <v>1</v>
      </c>
      <c r="G34" s="7"/>
    </row>
    <row r="35" spans="1:7">
      <c r="A35" s="7">
        <v>33</v>
      </c>
      <c r="B35" s="7">
        <v>34</v>
      </c>
      <c r="C35" s="7">
        <v>2</v>
      </c>
      <c r="D35" s="7">
        <f t="shared" si="0"/>
        <v>1</v>
      </c>
      <c r="G35" s="7"/>
    </row>
    <row r="36" spans="1:7">
      <c r="A36" s="7">
        <v>34</v>
      </c>
      <c r="B36" s="7">
        <v>35</v>
      </c>
      <c r="C36" s="7">
        <v>2</v>
      </c>
      <c r="D36" s="7">
        <f t="shared" si="0"/>
        <v>1</v>
      </c>
      <c r="G36" s="7"/>
    </row>
    <row r="37" spans="1:7">
      <c r="A37" s="7">
        <v>35</v>
      </c>
      <c r="B37" s="7">
        <v>36</v>
      </c>
      <c r="C37" s="7">
        <v>2</v>
      </c>
      <c r="D37" s="7">
        <f t="shared" si="0"/>
        <v>1</v>
      </c>
      <c r="G37" s="7"/>
    </row>
    <row r="38" spans="1:7">
      <c r="A38" s="7">
        <v>36</v>
      </c>
      <c r="B38" s="7">
        <v>37</v>
      </c>
      <c r="C38" s="7">
        <v>2</v>
      </c>
      <c r="D38" s="7">
        <f t="shared" si="0"/>
        <v>1</v>
      </c>
      <c r="G38" s="7"/>
    </row>
    <row r="39" spans="1:7">
      <c r="A39" s="7">
        <v>37</v>
      </c>
      <c r="B39" s="7">
        <v>38</v>
      </c>
      <c r="C39" s="7">
        <v>2</v>
      </c>
      <c r="D39" s="7">
        <f t="shared" si="0"/>
        <v>1</v>
      </c>
      <c r="G39" s="7"/>
    </row>
    <row r="40" spans="1:7">
      <c r="A40" s="7">
        <v>38</v>
      </c>
      <c r="B40" s="7">
        <v>39</v>
      </c>
      <c r="C40" s="7">
        <v>2</v>
      </c>
      <c r="D40" s="7">
        <f t="shared" si="0"/>
        <v>1</v>
      </c>
      <c r="G40" s="7"/>
    </row>
    <row r="41" spans="1:7">
      <c r="A41" s="7">
        <v>39</v>
      </c>
      <c r="B41" s="7">
        <v>40</v>
      </c>
      <c r="C41" s="7">
        <v>2</v>
      </c>
      <c r="D41" s="7">
        <f t="shared" si="0"/>
        <v>1</v>
      </c>
      <c r="G41" s="7"/>
    </row>
    <row r="42" spans="1:7">
      <c r="A42" s="7">
        <v>40</v>
      </c>
      <c r="B42" s="7">
        <v>41</v>
      </c>
      <c r="C42" s="7">
        <v>6</v>
      </c>
      <c r="D42" s="7">
        <f t="shared" si="0"/>
        <v>3</v>
      </c>
      <c r="G42" s="7"/>
    </row>
    <row r="43" spans="1:7">
      <c r="A43" s="7">
        <v>41</v>
      </c>
      <c r="B43" s="7">
        <v>42</v>
      </c>
      <c r="C43" s="7">
        <v>12</v>
      </c>
      <c r="D43" s="7">
        <f t="shared" si="0"/>
        <v>6</v>
      </c>
      <c r="G43" s="7"/>
    </row>
    <row r="44" spans="1:7">
      <c r="A44" s="7">
        <v>42</v>
      </c>
      <c r="B44" s="7">
        <v>43</v>
      </c>
      <c r="C44" s="7">
        <v>18</v>
      </c>
      <c r="D44" s="7">
        <f t="shared" si="0"/>
        <v>9</v>
      </c>
      <c r="G44" s="7"/>
    </row>
    <row r="45" spans="1:7">
      <c r="A45" s="7">
        <v>43</v>
      </c>
      <c r="B45" s="7">
        <v>44</v>
      </c>
      <c r="C45" s="7">
        <v>24</v>
      </c>
      <c r="D45" s="7">
        <f t="shared" si="0"/>
        <v>12</v>
      </c>
      <c r="G45" s="7"/>
    </row>
    <row r="46" spans="1:7">
      <c r="A46" s="7">
        <v>44</v>
      </c>
      <c r="B46" s="7">
        <v>45</v>
      </c>
      <c r="C46" s="7">
        <v>30</v>
      </c>
      <c r="D46" s="7">
        <f t="shared" si="0"/>
        <v>15</v>
      </c>
      <c r="G46" s="7"/>
    </row>
    <row r="47" spans="1:7">
      <c r="A47" s="7">
        <v>45</v>
      </c>
      <c r="B47" s="7">
        <v>46</v>
      </c>
      <c r="C47" s="7">
        <v>36</v>
      </c>
      <c r="D47" s="7">
        <f t="shared" si="0"/>
        <v>18</v>
      </c>
      <c r="G47" s="7"/>
    </row>
    <row r="48" spans="1:7">
      <c r="A48" s="7">
        <v>46</v>
      </c>
      <c r="B48" s="7">
        <v>47</v>
      </c>
      <c r="C48" s="7">
        <v>42</v>
      </c>
      <c r="D48" s="7">
        <f t="shared" si="0"/>
        <v>21</v>
      </c>
      <c r="G48" s="7"/>
    </row>
    <row r="49" spans="1:7">
      <c r="A49" s="7">
        <v>47</v>
      </c>
      <c r="B49" s="7">
        <v>48</v>
      </c>
      <c r="C49" s="7">
        <v>48</v>
      </c>
      <c r="D49" s="7">
        <f t="shared" si="0"/>
        <v>24</v>
      </c>
      <c r="G49" s="7"/>
    </row>
    <row r="50" spans="1:7">
      <c r="A50" s="7">
        <v>48</v>
      </c>
      <c r="B50" s="7">
        <v>49</v>
      </c>
      <c r="C50" s="7">
        <v>54</v>
      </c>
      <c r="D50" s="7">
        <f t="shared" si="0"/>
        <v>27</v>
      </c>
      <c r="G50" s="7"/>
    </row>
    <row r="51" spans="1:7">
      <c r="A51" s="7">
        <v>49</v>
      </c>
      <c r="B51" s="7">
        <v>50</v>
      </c>
      <c r="C51" s="7">
        <v>60</v>
      </c>
      <c r="D51" s="7">
        <f t="shared" si="0"/>
        <v>30</v>
      </c>
      <c r="G51" s="7"/>
    </row>
    <row r="52" spans="1:7">
      <c r="A52" s="7">
        <v>50</v>
      </c>
      <c r="B52" s="7">
        <v>51</v>
      </c>
      <c r="C52" s="7">
        <v>67</v>
      </c>
      <c r="D52" s="7">
        <f t="shared" si="0"/>
        <v>34</v>
      </c>
      <c r="G52" s="7"/>
    </row>
    <row r="53" spans="1:7">
      <c r="A53" s="7">
        <v>51</v>
      </c>
      <c r="B53" s="7">
        <v>52</v>
      </c>
      <c r="C53" s="7">
        <v>74</v>
      </c>
      <c r="D53" s="7">
        <f t="shared" si="0"/>
        <v>37</v>
      </c>
      <c r="G53" s="7"/>
    </row>
    <row r="54" spans="1:7">
      <c r="A54" s="7">
        <v>52</v>
      </c>
      <c r="B54" s="7">
        <v>53</v>
      </c>
      <c r="C54" s="7">
        <v>81</v>
      </c>
      <c r="D54" s="7">
        <f t="shared" si="0"/>
        <v>41</v>
      </c>
      <c r="G54" s="7"/>
    </row>
    <row r="55" spans="1:7">
      <c r="A55" s="7">
        <v>53</v>
      </c>
      <c r="B55" s="7">
        <v>54</v>
      </c>
      <c r="C55" s="7">
        <v>88</v>
      </c>
      <c r="D55" s="7">
        <f t="shared" si="0"/>
        <v>44</v>
      </c>
      <c r="G55" s="7"/>
    </row>
    <row r="56" spans="1:7">
      <c r="A56" s="7">
        <v>54</v>
      </c>
      <c r="B56" s="7">
        <v>55</v>
      </c>
      <c r="C56" s="7">
        <v>95</v>
      </c>
      <c r="D56" s="7">
        <f t="shared" si="0"/>
        <v>48</v>
      </c>
      <c r="G56" s="7"/>
    </row>
    <row r="57" spans="1:7">
      <c r="A57" s="7">
        <v>55</v>
      </c>
      <c r="B57" s="7">
        <v>56</v>
      </c>
      <c r="C57" s="7">
        <v>102</v>
      </c>
      <c r="D57" s="7">
        <f t="shared" si="0"/>
        <v>51</v>
      </c>
      <c r="G57" s="7"/>
    </row>
    <row r="58" spans="1:7">
      <c r="A58" s="7">
        <v>56</v>
      </c>
      <c r="B58" s="7">
        <v>57</v>
      </c>
      <c r="C58" s="7">
        <v>109</v>
      </c>
      <c r="D58" s="7">
        <f t="shared" si="0"/>
        <v>55</v>
      </c>
      <c r="G58" s="7"/>
    </row>
    <row r="59" spans="1:7">
      <c r="A59" s="7">
        <v>57</v>
      </c>
      <c r="B59" s="7">
        <v>58</v>
      </c>
      <c r="C59" s="7">
        <v>116</v>
      </c>
      <c r="D59" s="7">
        <f t="shared" si="0"/>
        <v>58</v>
      </c>
      <c r="G59" s="7"/>
    </row>
    <row r="60" spans="1:7">
      <c r="A60" s="7">
        <v>58</v>
      </c>
      <c r="B60" s="7">
        <v>59</v>
      </c>
      <c r="C60" s="7">
        <v>123</v>
      </c>
      <c r="D60" s="7">
        <f t="shared" si="0"/>
        <v>62</v>
      </c>
      <c r="G60" s="7"/>
    </row>
    <row r="61" spans="1:7">
      <c r="A61" s="7">
        <v>59</v>
      </c>
      <c r="B61" s="7">
        <v>60</v>
      </c>
      <c r="C61" s="7">
        <v>130</v>
      </c>
      <c r="D61" s="7">
        <f t="shared" si="0"/>
        <v>65</v>
      </c>
      <c r="G61" s="7"/>
    </row>
    <row r="62" spans="1:7">
      <c r="A62" s="7">
        <v>60</v>
      </c>
      <c r="B62" s="7">
        <v>61</v>
      </c>
      <c r="C62" s="7">
        <v>138</v>
      </c>
      <c r="D62" s="7">
        <f t="shared" si="0"/>
        <v>69</v>
      </c>
      <c r="G62" s="7"/>
    </row>
    <row r="63" spans="1:7">
      <c r="A63" s="7">
        <v>61</v>
      </c>
      <c r="B63" s="7">
        <v>62</v>
      </c>
      <c r="C63" s="7">
        <v>146</v>
      </c>
      <c r="D63" s="7">
        <f t="shared" si="0"/>
        <v>73</v>
      </c>
      <c r="G63" s="7"/>
    </row>
    <row r="64" spans="1:7">
      <c r="A64" s="7">
        <v>62</v>
      </c>
      <c r="B64" s="7">
        <v>63</v>
      </c>
      <c r="C64" s="7">
        <v>154</v>
      </c>
      <c r="D64" s="7">
        <f t="shared" si="0"/>
        <v>77</v>
      </c>
      <c r="G64" s="7"/>
    </row>
    <row r="65" spans="1:7">
      <c r="A65" s="7">
        <v>63</v>
      </c>
      <c r="B65" s="7">
        <v>64</v>
      </c>
      <c r="C65" s="7">
        <v>162</v>
      </c>
      <c r="D65" s="7">
        <f t="shared" si="0"/>
        <v>81</v>
      </c>
      <c r="G65" s="7"/>
    </row>
    <row r="66" spans="1:7">
      <c r="A66" s="7">
        <v>64</v>
      </c>
      <c r="B66" s="7">
        <v>65</v>
      </c>
      <c r="C66" s="7">
        <v>170</v>
      </c>
      <c r="D66" s="7">
        <f t="shared" si="0"/>
        <v>85</v>
      </c>
      <c r="G66" s="7"/>
    </row>
    <row r="67" spans="1:7">
      <c r="A67" s="7">
        <v>65</v>
      </c>
      <c r="B67" s="7">
        <v>66</v>
      </c>
      <c r="C67" s="7">
        <v>178</v>
      </c>
      <c r="D67" s="7">
        <f t="shared" ref="D67:D130" si="1">ROUND(C67/2,0)</f>
        <v>89</v>
      </c>
      <c r="G67" s="7"/>
    </row>
    <row r="68" spans="1:7">
      <c r="A68" s="7">
        <v>66</v>
      </c>
      <c r="B68" s="7">
        <v>67</v>
      </c>
      <c r="C68" s="7">
        <v>186</v>
      </c>
      <c r="D68" s="7">
        <f t="shared" si="1"/>
        <v>93</v>
      </c>
      <c r="G68" s="7"/>
    </row>
    <row r="69" spans="1:7">
      <c r="A69" s="7">
        <v>67</v>
      </c>
      <c r="B69" s="7">
        <v>68</v>
      </c>
      <c r="C69" s="7">
        <v>194</v>
      </c>
      <c r="D69" s="7">
        <f t="shared" si="1"/>
        <v>97</v>
      </c>
      <c r="G69" s="7"/>
    </row>
    <row r="70" spans="1:7">
      <c r="A70" s="7">
        <v>68</v>
      </c>
      <c r="B70" s="7">
        <v>69</v>
      </c>
      <c r="C70" s="7">
        <v>202</v>
      </c>
      <c r="D70" s="7">
        <f t="shared" si="1"/>
        <v>101</v>
      </c>
      <c r="G70" s="7"/>
    </row>
    <row r="71" spans="1:7">
      <c r="A71" s="7">
        <v>69</v>
      </c>
      <c r="B71" s="7">
        <v>70</v>
      </c>
      <c r="C71" s="7">
        <v>210</v>
      </c>
      <c r="D71" s="7">
        <f t="shared" si="1"/>
        <v>105</v>
      </c>
      <c r="G71" s="7"/>
    </row>
    <row r="72" spans="1:7">
      <c r="A72" s="7">
        <v>70</v>
      </c>
      <c r="B72" s="7">
        <v>71</v>
      </c>
      <c r="C72" s="7">
        <v>218</v>
      </c>
      <c r="D72" s="7">
        <f t="shared" si="1"/>
        <v>109</v>
      </c>
      <c r="G72" s="7"/>
    </row>
    <row r="73" spans="1:7">
      <c r="A73" s="7">
        <v>71</v>
      </c>
      <c r="B73" s="7">
        <v>72</v>
      </c>
      <c r="C73" s="7">
        <v>226</v>
      </c>
      <c r="D73" s="7">
        <f t="shared" si="1"/>
        <v>113</v>
      </c>
      <c r="G73" s="7"/>
    </row>
    <row r="74" spans="1:7">
      <c r="A74" s="7">
        <v>72</v>
      </c>
      <c r="B74" s="7">
        <v>73</v>
      </c>
      <c r="C74" s="7">
        <v>234</v>
      </c>
      <c r="D74" s="7">
        <f t="shared" si="1"/>
        <v>117</v>
      </c>
    </row>
    <row r="75" spans="1:7">
      <c r="A75" s="7">
        <v>73</v>
      </c>
      <c r="B75" s="7">
        <v>74</v>
      </c>
      <c r="C75" s="7">
        <v>242</v>
      </c>
      <c r="D75" s="7">
        <f t="shared" si="1"/>
        <v>121</v>
      </c>
    </row>
    <row r="76" spans="1:7">
      <c r="A76" s="7">
        <v>74</v>
      </c>
      <c r="B76" s="7">
        <v>75</v>
      </c>
      <c r="C76" s="7">
        <v>250</v>
      </c>
      <c r="D76" s="7">
        <f t="shared" si="1"/>
        <v>125</v>
      </c>
    </row>
    <row r="77" spans="1:7">
      <c r="A77" s="7">
        <v>75</v>
      </c>
      <c r="B77" s="7">
        <v>76</v>
      </c>
      <c r="C77" s="7">
        <v>258</v>
      </c>
      <c r="D77" s="7">
        <f t="shared" si="1"/>
        <v>129</v>
      </c>
    </row>
    <row r="78" spans="1:7">
      <c r="A78" s="7">
        <v>76</v>
      </c>
      <c r="B78" s="7">
        <v>77</v>
      </c>
      <c r="C78" s="7">
        <v>266</v>
      </c>
      <c r="D78" s="7">
        <f t="shared" si="1"/>
        <v>133</v>
      </c>
    </row>
    <row r="79" spans="1:7">
      <c r="A79" s="7">
        <v>77</v>
      </c>
      <c r="B79" s="7">
        <v>78</v>
      </c>
      <c r="C79" s="7">
        <v>274</v>
      </c>
      <c r="D79" s="7">
        <f t="shared" si="1"/>
        <v>137</v>
      </c>
    </row>
    <row r="80" spans="1:7">
      <c r="A80" s="7">
        <v>78</v>
      </c>
      <c r="B80" s="7">
        <v>79</v>
      </c>
      <c r="C80" s="7">
        <v>282</v>
      </c>
      <c r="D80" s="7">
        <f t="shared" si="1"/>
        <v>141</v>
      </c>
    </row>
    <row r="81" spans="1:11">
      <c r="A81" s="7">
        <v>79</v>
      </c>
      <c r="B81" s="7">
        <v>80</v>
      </c>
      <c r="C81" s="7">
        <v>290</v>
      </c>
      <c r="D81" s="7">
        <f t="shared" si="1"/>
        <v>145</v>
      </c>
    </row>
    <row r="82" spans="1:11">
      <c r="A82" s="7">
        <v>80</v>
      </c>
      <c r="B82" s="7">
        <v>81</v>
      </c>
      <c r="C82" s="7">
        <v>298</v>
      </c>
      <c r="D82" s="7">
        <f t="shared" si="1"/>
        <v>149</v>
      </c>
    </row>
    <row r="83" spans="1:11">
      <c r="A83" s="7">
        <v>81</v>
      </c>
      <c r="B83" s="7">
        <v>82</v>
      </c>
      <c r="C83" s="7">
        <v>306</v>
      </c>
      <c r="D83" s="7">
        <f t="shared" si="1"/>
        <v>153</v>
      </c>
      <c r="K83" s="7"/>
    </row>
    <row r="84" spans="1:11">
      <c r="A84" s="7">
        <v>82</v>
      </c>
      <c r="B84" s="7">
        <v>83</v>
      </c>
      <c r="C84" s="7">
        <v>314</v>
      </c>
      <c r="D84" s="7">
        <f t="shared" si="1"/>
        <v>157</v>
      </c>
    </row>
    <row r="85" spans="1:11">
      <c r="A85" s="7">
        <v>83</v>
      </c>
      <c r="B85" s="7">
        <v>84</v>
      </c>
      <c r="C85" s="7">
        <v>322</v>
      </c>
      <c r="D85" s="7">
        <f t="shared" si="1"/>
        <v>161</v>
      </c>
    </row>
    <row r="86" spans="1:11">
      <c r="A86" s="7">
        <v>84</v>
      </c>
      <c r="B86" s="7">
        <v>85</v>
      </c>
      <c r="C86" s="7">
        <v>330</v>
      </c>
      <c r="D86" s="7">
        <f t="shared" si="1"/>
        <v>165</v>
      </c>
    </row>
    <row r="87" spans="1:11">
      <c r="A87" s="7">
        <v>85</v>
      </c>
      <c r="B87" s="7">
        <v>86</v>
      </c>
      <c r="C87" s="7">
        <v>338</v>
      </c>
      <c r="D87" s="7">
        <f t="shared" si="1"/>
        <v>169</v>
      </c>
    </row>
    <row r="88" spans="1:11">
      <c r="A88" s="7">
        <v>86</v>
      </c>
      <c r="B88" s="7">
        <v>87</v>
      </c>
      <c r="C88" s="7">
        <v>346</v>
      </c>
      <c r="D88" s="7">
        <f t="shared" si="1"/>
        <v>173</v>
      </c>
    </row>
    <row r="89" spans="1:11">
      <c r="A89" s="7">
        <v>87</v>
      </c>
      <c r="B89" s="7">
        <v>88</v>
      </c>
      <c r="C89" s="7">
        <v>354</v>
      </c>
      <c r="D89" s="7">
        <f t="shared" si="1"/>
        <v>177</v>
      </c>
    </row>
    <row r="90" spans="1:11">
      <c r="A90" s="7">
        <v>88</v>
      </c>
      <c r="B90" s="7">
        <v>89</v>
      </c>
      <c r="C90" s="7">
        <v>362</v>
      </c>
      <c r="D90" s="7">
        <f t="shared" si="1"/>
        <v>181</v>
      </c>
    </row>
    <row r="91" spans="1:11">
      <c r="A91" s="7">
        <v>89</v>
      </c>
      <c r="B91" s="7">
        <v>90</v>
      </c>
      <c r="C91" s="7">
        <v>370</v>
      </c>
      <c r="D91" s="7">
        <f t="shared" si="1"/>
        <v>185</v>
      </c>
    </row>
    <row r="92" spans="1:11">
      <c r="A92" s="7">
        <v>90</v>
      </c>
      <c r="B92" s="7">
        <v>91</v>
      </c>
      <c r="C92" s="7">
        <v>378</v>
      </c>
      <c r="D92" s="7">
        <f t="shared" si="1"/>
        <v>189</v>
      </c>
    </row>
    <row r="93" spans="1:11">
      <c r="A93" s="7">
        <v>91</v>
      </c>
      <c r="B93" s="7">
        <v>92</v>
      </c>
      <c r="C93" s="7">
        <v>386</v>
      </c>
      <c r="D93" s="7">
        <f t="shared" si="1"/>
        <v>193</v>
      </c>
    </row>
    <row r="94" spans="1:11">
      <c r="A94" s="7">
        <v>92</v>
      </c>
      <c r="B94" s="7">
        <v>93</v>
      </c>
      <c r="C94" s="7">
        <v>394</v>
      </c>
      <c r="D94" s="7">
        <f t="shared" si="1"/>
        <v>197</v>
      </c>
    </row>
    <row r="95" spans="1:11">
      <c r="A95" s="7">
        <v>93</v>
      </c>
      <c r="B95" s="7">
        <v>94</v>
      </c>
      <c r="C95" s="7">
        <v>402</v>
      </c>
      <c r="D95" s="7">
        <f t="shared" si="1"/>
        <v>201</v>
      </c>
    </row>
    <row r="96" spans="1:11">
      <c r="A96" s="7">
        <v>94</v>
      </c>
      <c r="B96" s="7">
        <v>95</v>
      </c>
      <c r="C96" s="7">
        <v>410</v>
      </c>
      <c r="D96" s="7">
        <f t="shared" si="1"/>
        <v>205</v>
      </c>
    </row>
    <row r="97" spans="1:4">
      <c r="A97" s="7">
        <v>95</v>
      </c>
      <c r="B97" s="7">
        <v>96</v>
      </c>
      <c r="C97" s="7">
        <v>418</v>
      </c>
      <c r="D97" s="7">
        <f t="shared" si="1"/>
        <v>209</v>
      </c>
    </row>
    <row r="98" spans="1:4">
      <c r="A98" s="7">
        <v>96</v>
      </c>
      <c r="B98" s="7">
        <v>97</v>
      </c>
      <c r="C98" s="7">
        <v>426</v>
      </c>
      <c r="D98" s="7">
        <f t="shared" si="1"/>
        <v>213</v>
      </c>
    </row>
    <row r="99" spans="1:4">
      <c r="A99" s="7">
        <v>97</v>
      </c>
      <c r="B99" s="7">
        <v>98</v>
      </c>
      <c r="C99" s="7">
        <v>434</v>
      </c>
      <c r="D99" s="7">
        <f t="shared" si="1"/>
        <v>217</v>
      </c>
    </row>
    <row r="100" spans="1:4">
      <c r="A100" s="7">
        <v>98</v>
      </c>
      <c r="B100" s="7">
        <v>99</v>
      </c>
      <c r="C100" s="7">
        <v>442</v>
      </c>
      <c r="D100" s="7">
        <f t="shared" si="1"/>
        <v>221</v>
      </c>
    </row>
    <row r="101" spans="1:4">
      <c r="A101" s="7">
        <v>99</v>
      </c>
      <c r="B101" s="7">
        <v>100</v>
      </c>
      <c r="C101" s="7">
        <v>450</v>
      </c>
      <c r="D101" s="7">
        <f t="shared" si="1"/>
        <v>225</v>
      </c>
    </row>
    <row r="102" spans="1:4">
      <c r="A102" s="7">
        <v>100</v>
      </c>
      <c r="B102" s="7">
        <v>101</v>
      </c>
      <c r="C102" s="7">
        <v>458</v>
      </c>
      <c r="D102" s="7">
        <f t="shared" si="1"/>
        <v>229</v>
      </c>
    </row>
    <row r="103" spans="1:4">
      <c r="A103" s="7">
        <v>101</v>
      </c>
      <c r="B103" s="7">
        <v>102</v>
      </c>
      <c r="C103" s="7">
        <v>466</v>
      </c>
      <c r="D103" s="7">
        <f t="shared" si="1"/>
        <v>233</v>
      </c>
    </row>
    <row r="104" spans="1:4">
      <c r="A104" s="7">
        <v>102</v>
      </c>
      <c r="B104" s="7">
        <v>103</v>
      </c>
      <c r="C104" s="7">
        <v>474</v>
      </c>
      <c r="D104" s="7">
        <f t="shared" si="1"/>
        <v>237</v>
      </c>
    </row>
    <row r="105" spans="1:4">
      <c r="A105" s="7">
        <v>103</v>
      </c>
      <c r="B105" s="7">
        <v>104</v>
      </c>
      <c r="C105" s="7">
        <v>482</v>
      </c>
      <c r="D105" s="7">
        <f t="shared" si="1"/>
        <v>241</v>
      </c>
    </row>
    <row r="106" spans="1:4">
      <c r="A106" s="7">
        <v>104</v>
      </c>
      <c r="B106" s="7">
        <v>105</v>
      </c>
      <c r="C106" s="7">
        <v>490</v>
      </c>
      <c r="D106" s="7">
        <f t="shared" si="1"/>
        <v>245</v>
      </c>
    </row>
    <row r="107" spans="1:4">
      <c r="A107" s="7">
        <v>105</v>
      </c>
      <c r="B107" s="7">
        <v>106</v>
      </c>
      <c r="C107" s="7">
        <v>498</v>
      </c>
      <c r="D107" s="7">
        <f t="shared" si="1"/>
        <v>249</v>
      </c>
    </row>
    <row r="108" spans="1:4">
      <c r="A108" s="7">
        <v>106</v>
      </c>
      <c r="B108" s="7">
        <v>107</v>
      </c>
      <c r="C108" s="7">
        <v>506</v>
      </c>
      <c r="D108" s="7">
        <f t="shared" si="1"/>
        <v>253</v>
      </c>
    </row>
    <row r="109" spans="1:4">
      <c r="A109" s="7">
        <v>107</v>
      </c>
      <c r="B109" s="7">
        <v>108</v>
      </c>
      <c r="C109" s="7">
        <v>514</v>
      </c>
      <c r="D109" s="7">
        <f t="shared" si="1"/>
        <v>257</v>
      </c>
    </row>
    <row r="110" spans="1:4">
      <c r="A110" s="7">
        <v>108</v>
      </c>
      <c r="B110" s="7">
        <v>109</v>
      </c>
      <c r="C110" s="7">
        <v>522</v>
      </c>
      <c r="D110" s="7">
        <f t="shared" si="1"/>
        <v>261</v>
      </c>
    </row>
    <row r="111" spans="1:4">
      <c r="A111" s="7">
        <v>109</v>
      </c>
      <c r="B111" s="7">
        <v>110</v>
      </c>
      <c r="C111" s="7">
        <v>530</v>
      </c>
      <c r="D111" s="7">
        <f t="shared" si="1"/>
        <v>265</v>
      </c>
    </row>
    <row r="112" spans="1:4">
      <c r="A112" s="7">
        <v>110</v>
      </c>
      <c r="B112" s="7">
        <v>111</v>
      </c>
      <c r="C112" s="7">
        <v>538</v>
      </c>
      <c r="D112" s="7">
        <f t="shared" si="1"/>
        <v>269</v>
      </c>
    </row>
    <row r="113" spans="1:4">
      <c r="A113" s="7">
        <v>111</v>
      </c>
      <c r="B113" s="7">
        <v>112</v>
      </c>
      <c r="C113" s="7">
        <v>546</v>
      </c>
      <c r="D113" s="7">
        <f t="shared" si="1"/>
        <v>273</v>
      </c>
    </row>
    <row r="114" spans="1:4">
      <c r="A114" s="7">
        <v>112</v>
      </c>
      <c r="B114" s="7">
        <v>113</v>
      </c>
      <c r="C114" s="7">
        <v>554</v>
      </c>
      <c r="D114" s="7">
        <f t="shared" si="1"/>
        <v>277</v>
      </c>
    </row>
    <row r="115" spans="1:4">
      <c r="A115" s="7">
        <v>113</v>
      </c>
      <c r="B115" s="7">
        <v>114</v>
      </c>
      <c r="C115" s="7">
        <v>562</v>
      </c>
      <c r="D115" s="7">
        <f t="shared" si="1"/>
        <v>281</v>
      </c>
    </row>
    <row r="116" spans="1:4">
      <c r="A116" s="7">
        <v>114</v>
      </c>
      <c r="B116" s="7">
        <v>115</v>
      </c>
      <c r="C116" s="7">
        <v>570</v>
      </c>
      <c r="D116" s="7">
        <f t="shared" si="1"/>
        <v>285</v>
      </c>
    </row>
    <row r="117" spans="1:4">
      <c r="A117" s="7">
        <v>115</v>
      </c>
      <c r="B117" s="7">
        <v>116</v>
      </c>
      <c r="C117" s="7">
        <v>578</v>
      </c>
      <c r="D117" s="7">
        <f t="shared" si="1"/>
        <v>289</v>
      </c>
    </row>
    <row r="118" spans="1:4">
      <c r="A118" s="7">
        <v>116</v>
      </c>
      <c r="B118" s="7">
        <v>117</v>
      </c>
      <c r="C118" s="7">
        <v>586</v>
      </c>
      <c r="D118" s="7">
        <f t="shared" si="1"/>
        <v>293</v>
      </c>
    </row>
    <row r="119" spans="1:4">
      <c r="A119" s="7">
        <v>117</v>
      </c>
      <c r="B119" s="7">
        <v>118</v>
      </c>
      <c r="C119" s="7">
        <v>594</v>
      </c>
      <c r="D119" s="7">
        <f t="shared" si="1"/>
        <v>297</v>
      </c>
    </row>
    <row r="120" spans="1:4">
      <c r="A120" s="7">
        <v>118</v>
      </c>
      <c r="B120" s="7">
        <v>119</v>
      </c>
      <c r="C120" s="7">
        <v>602</v>
      </c>
      <c r="D120" s="7">
        <f t="shared" si="1"/>
        <v>301</v>
      </c>
    </row>
    <row r="121" spans="1:4">
      <c r="A121" s="7">
        <v>119</v>
      </c>
      <c r="B121" s="7">
        <v>120</v>
      </c>
      <c r="C121" s="7">
        <v>610</v>
      </c>
      <c r="D121" s="7">
        <f t="shared" si="1"/>
        <v>305</v>
      </c>
    </row>
    <row r="122" spans="1:4">
      <c r="A122" s="7">
        <v>120</v>
      </c>
      <c r="B122" s="7">
        <v>121</v>
      </c>
      <c r="C122" s="7">
        <v>618</v>
      </c>
      <c r="D122" s="7">
        <f t="shared" si="1"/>
        <v>309</v>
      </c>
    </row>
    <row r="123" spans="1:4">
      <c r="A123" s="7">
        <v>121</v>
      </c>
      <c r="B123" s="7">
        <v>122</v>
      </c>
      <c r="C123" s="7">
        <v>626</v>
      </c>
      <c r="D123" s="7">
        <f t="shared" si="1"/>
        <v>313</v>
      </c>
    </row>
    <row r="124" spans="1:4">
      <c r="A124" s="7">
        <v>122</v>
      </c>
      <c r="B124" s="7">
        <v>123</v>
      </c>
      <c r="C124" s="7">
        <v>634</v>
      </c>
      <c r="D124" s="7">
        <f t="shared" si="1"/>
        <v>317</v>
      </c>
    </row>
    <row r="125" spans="1:4">
      <c r="A125" s="7">
        <v>123</v>
      </c>
      <c r="B125" s="7">
        <v>124</v>
      </c>
      <c r="C125" s="7">
        <v>642</v>
      </c>
      <c r="D125" s="7">
        <f t="shared" si="1"/>
        <v>321</v>
      </c>
    </row>
    <row r="126" spans="1:4">
      <c r="A126" s="7">
        <v>124</v>
      </c>
      <c r="B126" s="7">
        <v>125</v>
      </c>
      <c r="C126" s="7">
        <v>650</v>
      </c>
      <c r="D126" s="7">
        <f t="shared" si="1"/>
        <v>325</v>
      </c>
    </row>
    <row r="127" spans="1:4">
      <c r="A127" s="7">
        <v>125</v>
      </c>
      <c r="B127" s="7">
        <v>126</v>
      </c>
      <c r="C127" s="7">
        <v>658</v>
      </c>
      <c r="D127" s="7">
        <f t="shared" si="1"/>
        <v>329</v>
      </c>
    </row>
    <row r="128" spans="1:4">
      <c r="A128" s="7">
        <v>126</v>
      </c>
      <c r="B128" s="7">
        <v>127</v>
      </c>
      <c r="C128" s="7">
        <v>666</v>
      </c>
      <c r="D128" s="7">
        <f t="shared" si="1"/>
        <v>333</v>
      </c>
    </row>
    <row r="129" spans="1:4">
      <c r="A129" s="7">
        <v>127</v>
      </c>
      <c r="B129" s="7">
        <v>128</v>
      </c>
      <c r="C129" s="7">
        <v>674</v>
      </c>
      <c r="D129" s="7">
        <f t="shared" si="1"/>
        <v>337</v>
      </c>
    </row>
    <row r="130" spans="1:4">
      <c r="A130" s="7">
        <v>128</v>
      </c>
      <c r="B130" s="7">
        <v>129</v>
      </c>
      <c r="C130" s="7">
        <v>682</v>
      </c>
      <c r="D130" s="7">
        <f t="shared" si="1"/>
        <v>341</v>
      </c>
    </row>
    <row r="131" spans="1:4">
      <c r="A131" s="7">
        <v>129</v>
      </c>
      <c r="B131" s="7">
        <v>130</v>
      </c>
      <c r="C131" s="7">
        <v>690</v>
      </c>
      <c r="D131" s="7">
        <f t="shared" ref="D131:D151" si="2">ROUND(C131/2,0)</f>
        <v>345</v>
      </c>
    </row>
    <row r="132" spans="1:4">
      <c r="A132" s="7">
        <v>130</v>
      </c>
      <c r="B132" s="7">
        <v>131</v>
      </c>
      <c r="C132" s="7">
        <v>698</v>
      </c>
      <c r="D132" s="7">
        <f t="shared" si="2"/>
        <v>349</v>
      </c>
    </row>
    <row r="133" spans="1:4">
      <c r="A133" s="7">
        <v>131</v>
      </c>
      <c r="B133" s="7">
        <v>132</v>
      </c>
      <c r="C133" s="7">
        <v>706</v>
      </c>
      <c r="D133" s="7">
        <f t="shared" si="2"/>
        <v>353</v>
      </c>
    </row>
    <row r="134" spans="1:4">
      <c r="A134" s="7">
        <v>132</v>
      </c>
      <c r="B134" s="7">
        <v>133</v>
      </c>
      <c r="C134" s="7">
        <v>714</v>
      </c>
      <c r="D134" s="7">
        <f t="shared" si="2"/>
        <v>357</v>
      </c>
    </row>
    <row r="135" spans="1:4">
      <c r="A135" s="7">
        <v>133</v>
      </c>
      <c r="B135" s="7">
        <v>134</v>
      </c>
      <c r="C135" s="7">
        <v>722</v>
      </c>
      <c r="D135" s="7">
        <f t="shared" si="2"/>
        <v>361</v>
      </c>
    </row>
    <row r="136" spans="1:4">
      <c r="A136" s="7">
        <v>134</v>
      </c>
      <c r="B136" s="7">
        <v>135</v>
      </c>
      <c r="C136" s="7">
        <v>730</v>
      </c>
      <c r="D136" s="7">
        <f t="shared" si="2"/>
        <v>365</v>
      </c>
    </row>
    <row r="137" spans="1:4">
      <c r="A137" s="7">
        <v>135</v>
      </c>
      <c r="B137" s="7">
        <v>136</v>
      </c>
      <c r="C137" s="7">
        <v>738</v>
      </c>
      <c r="D137" s="7">
        <f t="shared" si="2"/>
        <v>369</v>
      </c>
    </row>
    <row r="138" spans="1:4">
      <c r="A138" s="7">
        <v>136</v>
      </c>
      <c r="B138" s="7">
        <v>137</v>
      </c>
      <c r="C138" s="7">
        <v>746</v>
      </c>
      <c r="D138" s="7">
        <f t="shared" si="2"/>
        <v>373</v>
      </c>
    </row>
    <row r="139" spans="1:4">
      <c r="A139" s="7">
        <v>137</v>
      </c>
      <c r="B139" s="7">
        <v>138</v>
      </c>
      <c r="C139" s="7">
        <v>754</v>
      </c>
      <c r="D139" s="7">
        <f t="shared" si="2"/>
        <v>377</v>
      </c>
    </row>
    <row r="140" spans="1:4">
      <c r="A140" s="7">
        <v>138</v>
      </c>
      <c r="B140" s="7">
        <v>139</v>
      </c>
      <c r="C140" s="7">
        <v>762</v>
      </c>
      <c r="D140" s="7">
        <f t="shared" si="2"/>
        <v>381</v>
      </c>
    </row>
    <row r="141" spans="1:4">
      <c r="A141" s="7">
        <v>139</v>
      </c>
      <c r="B141" s="7">
        <v>140</v>
      </c>
      <c r="C141" s="7">
        <v>770</v>
      </c>
      <c r="D141" s="7">
        <f t="shared" si="2"/>
        <v>385</v>
      </c>
    </row>
    <row r="142" spans="1:4">
      <c r="A142" s="7">
        <v>140</v>
      </c>
      <c r="B142" s="7">
        <v>141</v>
      </c>
      <c r="C142" s="7">
        <v>778</v>
      </c>
      <c r="D142" s="7">
        <f t="shared" si="2"/>
        <v>389</v>
      </c>
    </row>
    <row r="143" spans="1:4">
      <c r="A143" s="7">
        <v>141</v>
      </c>
      <c r="B143" s="7">
        <v>142</v>
      </c>
      <c r="C143" s="7">
        <v>786</v>
      </c>
      <c r="D143" s="7">
        <f t="shared" si="2"/>
        <v>393</v>
      </c>
    </row>
    <row r="144" spans="1:4">
      <c r="A144" s="7">
        <v>142</v>
      </c>
      <c r="B144" s="7">
        <v>143</v>
      </c>
      <c r="C144" s="7">
        <v>794</v>
      </c>
      <c r="D144" s="7">
        <f t="shared" si="2"/>
        <v>397</v>
      </c>
    </row>
    <row r="145" spans="1:4">
      <c r="A145" s="7">
        <v>143</v>
      </c>
      <c r="B145" s="7">
        <v>144</v>
      </c>
      <c r="C145" s="7">
        <v>802</v>
      </c>
      <c r="D145" s="7">
        <f t="shared" si="2"/>
        <v>401</v>
      </c>
    </row>
    <row r="146" spans="1:4">
      <c r="A146" s="7">
        <v>144</v>
      </c>
      <c r="B146" s="7">
        <v>145</v>
      </c>
      <c r="C146" s="7">
        <v>810</v>
      </c>
      <c r="D146" s="7">
        <f t="shared" si="2"/>
        <v>405</v>
      </c>
    </row>
    <row r="147" spans="1:4">
      <c r="A147" s="7">
        <v>145</v>
      </c>
      <c r="B147" s="7">
        <v>146</v>
      </c>
      <c r="C147" s="7">
        <v>818</v>
      </c>
      <c r="D147" s="7">
        <f t="shared" si="2"/>
        <v>409</v>
      </c>
    </row>
    <row r="148" spans="1:4">
      <c r="A148" s="7">
        <v>146</v>
      </c>
      <c r="B148" s="7">
        <v>147</v>
      </c>
      <c r="C148" s="7">
        <v>826</v>
      </c>
      <c r="D148" s="7">
        <f t="shared" si="2"/>
        <v>413</v>
      </c>
    </row>
    <row r="149" spans="1:4">
      <c r="A149" s="7">
        <v>147</v>
      </c>
      <c r="B149" s="7">
        <v>148</v>
      </c>
      <c r="C149" s="7">
        <v>834</v>
      </c>
      <c r="D149" s="7">
        <f t="shared" si="2"/>
        <v>417</v>
      </c>
    </row>
    <row r="150" spans="1:4">
      <c r="A150" s="7">
        <v>148</v>
      </c>
      <c r="B150" s="7">
        <v>149</v>
      </c>
      <c r="C150" s="7">
        <v>842</v>
      </c>
      <c r="D150" s="7">
        <f t="shared" si="2"/>
        <v>421</v>
      </c>
    </row>
    <row r="151" spans="1:4">
      <c r="A151" s="7">
        <v>149</v>
      </c>
      <c r="B151" s="7">
        <v>150</v>
      </c>
      <c r="C151" s="7">
        <v>850</v>
      </c>
      <c r="D151" s="7">
        <f t="shared" si="2"/>
        <v>425</v>
      </c>
    </row>
    <row r="152" spans="1:4">
      <c r="B152" s="7"/>
    </row>
    <row r="153" spans="1:4">
      <c r="B153" s="7"/>
    </row>
    <row r="154" spans="1:4">
      <c r="B154" s="7"/>
    </row>
    <row r="155" spans="1:4">
      <c r="B155" s="7"/>
    </row>
    <row r="156" spans="1:4">
      <c r="B156" s="7"/>
    </row>
    <row r="157" spans="1:4">
      <c r="B157" s="7"/>
    </row>
    <row r="158" spans="1:4">
      <c r="B158" s="7"/>
    </row>
    <row r="159" spans="1:4">
      <c r="B159" s="7"/>
    </row>
    <row r="160" spans="1:4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40" sqref="O40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L34" sqref="L34"/>
    </sheetView>
  </sheetViews>
  <sheetFormatPr defaultRowHeight="13.5"/>
  <cols>
    <col min="3" max="3" width="20.25" customWidth="1"/>
    <col min="4" max="4" width="22.25" customWidth="1"/>
  </cols>
  <sheetData>
    <row r="1" spans="1:6">
      <c r="B1" s="7" t="s">
        <v>97</v>
      </c>
      <c r="C1" s="7" t="s">
        <v>98</v>
      </c>
      <c r="D1" s="7" t="s">
        <v>99</v>
      </c>
    </row>
    <row r="2" spans="1:6">
      <c r="A2">
        <v>0</v>
      </c>
      <c r="B2">
        <v>1</v>
      </c>
      <c r="C2">
        <f t="shared" ref="C2:C7" si="0">D2*1.5</f>
        <v>150</v>
      </c>
      <c r="D2">
        <v>100</v>
      </c>
    </row>
    <row r="3" spans="1:6">
      <c r="A3">
        <v>1</v>
      </c>
      <c r="B3">
        <v>2</v>
      </c>
      <c r="C3" s="7">
        <f t="shared" si="0"/>
        <v>150</v>
      </c>
      <c r="D3">
        <f t="shared" ref="D3:D13" si="1">D2+E2</f>
        <v>100</v>
      </c>
    </row>
    <row r="4" spans="1:6">
      <c r="A4" s="7">
        <v>2</v>
      </c>
      <c r="B4" s="7">
        <v>3</v>
      </c>
      <c r="C4" s="7">
        <f t="shared" si="0"/>
        <v>150</v>
      </c>
      <c r="D4" s="7">
        <f t="shared" si="1"/>
        <v>100</v>
      </c>
      <c r="E4" s="7"/>
    </row>
    <row r="5" spans="1:6">
      <c r="A5" s="7">
        <v>3</v>
      </c>
      <c r="B5" s="7">
        <v>4</v>
      </c>
      <c r="C5" s="7">
        <f t="shared" si="0"/>
        <v>150</v>
      </c>
      <c r="D5" s="7">
        <f t="shared" si="1"/>
        <v>100</v>
      </c>
      <c r="E5" s="7"/>
    </row>
    <row r="6" spans="1:6">
      <c r="A6" s="7">
        <v>4</v>
      </c>
      <c r="B6" s="7">
        <v>5</v>
      </c>
      <c r="C6" s="7">
        <f t="shared" si="0"/>
        <v>150</v>
      </c>
      <c r="D6" s="7">
        <f t="shared" si="1"/>
        <v>100</v>
      </c>
      <c r="E6" s="7"/>
    </row>
    <row r="7" spans="1:6">
      <c r="A7" s="7">
        <v>5</v>
      </c>
      <c r="B7" s="7">
        <v>6</v>
      </c>
      <c r="C7" s="7">
        <f t="shared" si="0"/>
        <v>150</v>
      </c>
      <c r="D7" s="7">
        <f t="shared" si="1"/>
        <v>100</v>
      </c>
      <c r="E7" s="7"/>
    </row>
    <row r="8" spans="1:6">
      <c r="A8" s="7">
        <v>6</v>
      </c>
      <c r="B8" s="7">
        <v>7</v>
      </c>
      <c r="C8">
        <v>1140</v>
      </c>
      <c r="D8" s="7">
        <f t="shared" si="1"/>
        <v>100</v>
      </c>
      <c r="E8" s="7"/>
    </row>
    <row r="9" spans="1:6">
      <c r="A9" s="7">
        <v>7</v>
      </c>
      <c r="B9" s="7">
        <v>8</v>
      </c>
      <c r="C9">
        <v>1410</v>
      </c>
      <c r="D9" s="7">
        <f t="shared" si="1"/>
        <v>100</v>
      </c>
      <c r="E9" s="7"/>
    </row>
    <row r="10" spans="1:6">
      <c r="A10" s="7">
        <v>8</v>
      </c>
      <c r="B10" s="7">
        <v>9</v>
      </c>
      <c r="C10" s="7">
        <f>D10*1.5</f>
        <v>150</v>
      </c>
      <c r="D10" s="7">
        <f t="shared" si="1"/>
        <v>100</v>
      </c>
      <c r="E10" s="7"/>
    </row>
    <row r="11" spans="1:6">
      <c r="A11" s="7">
        <v>9</v>
      </c>
      <c r="B11" s="7">
        <v>10</v>
      </c>
      <c r="C11" s="7">
        <f>D11*1.5</f>
        <v>150</v>
      </c>
      <c r="D11" s="7">
        <f t="shared" si="1"/>
        <v>100</v>
      </c>
      <c r="E11" s="7"/>
    </row>
    <row r="12" spans="1:6">
      <c r="A12" s="7">
        <v>10</v>
      </c>
      <c r="B12" s="7">
        <v>11</v>
      </c>
      <c r="C12" s="7">
        <f>D12*1.5</f>
        <v>150</v>
      </c>
      <c r="D12" s="7">
        <f t="shared" si="1"/>
        <v>100</v>
      </c>
      <c r="E12" s="7"/>
    </row>
    <row r="13" spans="1:6">
      <c r="A13" s="7">
        <v>11</v>
      </c>
      <c r="B13" s="7">
        <v>12</v>
      </c>
      <c r="C13" s="7">
        <f>D13*1.5</f>
        <v>150</v>
      </c>
      <c r="D13" s="7">
        <f t="shared" si="1"/>
        <v>100</v>
      </c>
      <c r="E13" s="7"/>
    </row>
    <row r="14" spans="1:6">
      <c r="A14" s="7">
        <v>12</v>
      </c>
      <c r="B14" s="7">
        <v>13</v>
      </c>
      <c r="C14">
        <v>3285</v>
      </c>
      <c r="D14">
        <f>C14/1.5</f>
        <v>2190</v>
      </c>
      <c r="E14" s="7"/>
    </row>
    <row r="15" spans="1:6">
      <c r="A15" s="7">
        <v>13</v>
      </c>
      <c r="B15" s="7">
        <v>14</v>
      </c>
      <c r="C15" s="7">
        <f>D15*1.5</f>
        <v>3285</v>
      </c>
      <c r="D15">
        <f>D14+E15</f>
        <v>2190</v>
      </c>
      <c r="E15" s="7"/>
      <c r="F15" s="7"/>
    </row>
    <row r="16" spans="1:6">
      <c r="A16" s="7">
        <v>14</v>
      </c>
      <c r="B16" s="7">
        <v>15</v>
      </c>
      <c r="C16" s="7">
        <f t="shared" ref="C16:C21" si="2">D16*1.5</f>
        <v>3285</v>
      </c>
      <c r="D16" s="7">
        <f t="shared" ref="D16:D21" si="3">D15+E16</f>
        <v>2190</v>
      </c>
      <c r="E16" s="7"/>
      <c r="F16" s="7"/>
    </row>
    <row r="17" spans="1:6">
      <c r="A17" s="7">
        <v>15</v>
      </c>
      <c r="B17" s="7">
        <v>16</v>
      </c>
      <c r="C17" s="7">
        <f t="shared" si="2"/>
        <v>3285</v>
      </c>
      <c r="D17" s="7">
        <f t="shared" si="3"/>
        <v>2190</v>
      </c>
      <c r="E17" s="7"/>
      <c r="F17" s="7"/>
    </row>
    <row r="18" spans="1:6">
      <c r="A18" s="7">
        <v>16</v>
      </c>
      <c r="B18" s="7">
        <v>17</v>
      </c>
      <c r="C18" s="7">
        <f t="shared" si="2"/>
        <v>3285</v>
      </c>
      <c r="D18" s="7">
        <f t="shared" si="3"/>
        <v>2190</v>
      </c>
      <c r="E18" s="7"/>
      <c r="F18" s="7"/>
    </row>
    <row r="19" spans="1:6">
      <c r="A19" s="7">
        <v>17</v>
      </c>
      <c r="B19" s="7">
        <v>18</v>
      </c>
      <c r="C19" s="7">
        <f t="shared" si="2"/>
        <v>3285</v>
      </c>
      <c r="D19" s="7">
        <f t="shared" si="3"/>
        <v>2190</v>
      </c>
      <c r="E19" s="7"/>
      <c r="F19" s="7"/>
    </row>
    <row r="20" spans="1:6">
      <c r="A20" s="7">
        <v>18</v>
      </c>
      <c r="B20" s="7">
        <v>19</v>
      </c>
      <c r="C20" s="7">
        <f t="shared" si="2"/>
        <v>3285</v>
      </c>
      <c r="D20" s="7">
        <f t="shared" si="3"/>
        <v>2190</v>
      </c>
      <c r="E20" s="7"/>
      <c r="F20" s="7"/>
    </row>
    <row r="21" spans="1:6">
      <c r="A21" s="7">
        <v>19</v>
      </c>
      <c r="B21" s="7">
        <v>20</v>
      </c>
      <c r="C21" s="7">
        <f t="shared" si="2"/>
        <v>3285</v>
      </c>
      <c r="D21" s="7">
        <f t="shared" si="3"/>
        <v>2190</v>
      </c>
      <c r="E21" s="7"/>
      <c r="F21" s="7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selection activeCell="I18" sqref="I18"/>
    </sheetView>
  </sheetViews>
  <sheetFormatPr defaultRowHeight="13.5"/>
  <cols>
    <col min="1" max="1" width="13" customWidth="1"/>
    <col min="2" max="8" width="11.25" customWidth="1"/>
  </cols>
  <sheetData>
    <row r="1" spans="1:8">
      <c r="A1" s="7" t="s">
        <v>113</v>
      </c>
      <c r="B1" s="56" t="s">
        <v>114</v>
      </c>
      <c r="C1" s="7"/>
      <c r="D1" s="7"/>
      <c r="E1" s="7"/>
      <c r="F1" s="7"/>
      <c r="G1" s="7"/>
      <c r="H1" s="7"/>
    </row>
    <row r="2" spans="1:8">
      <c r="A2" s="57" t="s">
        <v>115</v>
      </c>
      <c r="B2" s="7"/>
      <c r="C2" s="7"/>
      <c r="D2" s="7"/>
      <c r="E2" s="7"/>
      <c r="F2" s="7"/>
      <c r="G2" s="7"/>
      <c r="H2" s="7"/>
    </row>
    <row r="3" spans="1:8">
      <c r="A3" s="7" t="s">
        <v>116</v>
      </c>
      <c r="B3" s="7"/>
      <c r="C3" s="7"/>
      <c r="D3" s="7"/>
      <c r="E3" s="7"/>
      <c r="F3" s="7"/>
      <c r="G3" s="7"/>
      <c r="H3" s="7"/>
    </row>
    <row r="4" spans="1:8">
      <c r="A4" s="7" t="s">
        <v>117</v>
      </c>
      <c r="B4" s="7"/>
      <c r="C4" s="7"/>
      <c r="D4" s="7"/>
      <c r="E4" s="7"/>
      <c r="F4" s="7"/>
      <c r="G4" s="7"/>
      <c r="H4" s="7"/>
    </row>
    <row r="5" spans="1:8">
      <c r="A5" s="57" t="s">
        <v>118</v>
      </c>
      <c r="B5" s="7"/>
      <c r="C5" s="7"/>
      <c r="D5" s="7"/>
      <c r="E5" s="7"/>
      <c r="F5" s="7"/>
      <c r="G5" s="7"/>
      <c r="H5" s="7"/>
    </row>
    <row r="6" spans="1:8">
      <c r="A6" s="57" t="s">
        <v>119</v>
      </c>
      <c r="B6" s="7"/>
      <c r="C6" s="7"/>
      <c r="D6" s="7"/>
      <c r="E6" s="7"/>
      <c r="F6" s="7"/>
      <c r="G6" s="7"/>
      <c r="H6" s="7"/>
    </row>
    <row r="7" spans="1:8">
      <c r="A7" s="57" t="s">
        <v>120</v>
      </c>
      <c r="B7" s="7"/>
      <c r="C7" s="7"/>
      <c r="D7" s="7"/>
      <c r="E7" s="7"/>
      <c r="F7" s="7"/>
      <c r="G7" s="7"/>
      <c r="H7" s="7"/>
    </row>
    <row r="8" spans="1:8">
      <c r="A8" s="57" t="s">
        <v>121</v>
      </c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57" t="s">
        <v>122</v>
      </c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16">
      <c r="A17" s="57" t="s">
        <v>123</v>
      </c>
      <c r="B17" s="7"/>
      <c r="C17" s="7"/>
      <c r="D17" s="7"/>
      <c r="E17" s="56" t="s">
        <v>124</v>
      </c>
      <c r="F17" s="7"/>
      <c r="G17" s="7"/>
      <c r="H17" s="7"/>
    </row>
    <row r="18" spans="1:16">
      <c r="A18" s="7"/>
      <c r="B18" s="57" t="s">
        <v>125</v>
      </c>
      <c r="C18" s="57" t="s">
        <v>126</v>
      </c>
      <c r="D18" s="57" t="s">
        <v>127</v>
      </c>
      <c r="E18" s="7"/>
      <c r="F18" s="57" t="s">
        <v>125</v>
      </c>
      <c r="G18" s="57" t="s">
        <v>126</v>
      </c>
      <c r="H18" s="57" t="s">
        <v>127</v>
      </c>
    </row>
    <row r="19" spans="1:16">
      <c r="A19" s="57" t="s">
        <v>128</v>
      </c>
      <c r="B19" s="57" t="s">
        <v>129</v>
      </c>
      <c r="C19" s="7"/>
      <c r="D19" s="7"/>
      <c r="E19" s="7"/>
      <c r="F19" s="7">
        <v>1</v>
      </c>
      <c r="G19" s="7"/>
      <c r="H19" s="7"/>
    </row>
    <row r="20" spans="1:16">
      <c r="A20" s="57" t="s">
        <v>130</v>
      </c>
      <c r="B20" s="57" t="s">
        <v>129</v>
      </c>
      <c r="C20" s="7"/>
      <c r="D20" s="7"/>
      <c r="E20" s="7"/>
      <c r="F20" s="7">
        <v>3</v>
      </c>
      <c r="G20" s="7"/>
      <c r="H20" s="7"/>
    </row>
    <row r="21" spans="1:16">
      <c r="A21" s="57" t="s">
        <v>131</v>
      </c>
      <c r="B21" s="57" t="s">
        <v>129</v>
      </c>
      <c r="C21" s="7"/>
      <c r="D21" s="7"/>
      <c r="E21" s="7"/>
      <c r="F21" s="7">
        <v>5</v>
      </c>
      <c r="G21" s="7"/>
      <c r="H21" s="7"/>
    </row>
    <row r="22" spans="1:16">
      <c r="A22" s="57" t="s">
        <v>132</v>
      </c>
      <c r="B22" s="57" t="s">
        <v>129</v>
      </c>
      <c r="C22" s="57" t="s">
        <v>129</v>
      </c>
      <c r="D22" s="57" t="s">
        <v>129</v>
      </c>
      <c r="E22" s="7"/>
      <c r="F22" s="7">
        <v>2</v>
      </c>
      <c r="G22" s="7" t="s">
        <v>133</v>
      </c>
      <c r="H22" s="7">
        <v>5</v>
      </c>
    </row>
    <row r="23" spans="1:16">
      <c r="A23" s="57" t="s">
        <v>134</v>
      </c>
      <c r="B23" s="7"/>
      <c r="C23" s="57" t="s">
        <v>129</v>
      </c>
      <c r="D23" s="57" t="s">
        <v>129</v>
      </c>
      <c r="E23" s="7"/>
      <c r="F23" s="7"/>
      <c r="G23" s="7"/>
      <c r="H23" s="7">
        <v>5</v>
      </c>
    </row>
    <row r="24" spans="1:16">
      <c r="A24" s="57" t="s">
        <v>135</v>
      </c>
      <c r="B24" s="7"/>
      <c r="C24" s="57" t="s">
        <v>129</v>
      </c>
      <c r="D24" s="57" t="s">
        <v>129</v>
      </c>
      <c r="E24" s="7"/>
      <c r="F24" s="7"/>
      <c r="G24" s="7"/>
      <c r="H24" s="7">
        <v>5</v>
      </c>
      <c r="M24" s="7" t="s">
        <v>541</v>
      </c>
      <c r="P24">
        <v>1000</v>
      </c>
    </row>
    <row r="25" spans="1:16">
      <c r="A25" s="7"/>
      <c r="B25" s="7"/>
      <c r="C25" s="7"/>
      <c r="D25" s="7"/>
      <c r="E25" s="7"/>
      <c r="F25" s="7"/>
      <c r="G25" s="7"/>
      <c r="H25" s="7"/>
      <c r="M25" s="7" t="s">
        <v>542</v>
      </c>
      <c r="P25">
        <v>300</v>
      </c>
    </row>
    <row r="26" spans="1:16">
      <c r="A26" s="57" t="s">
        <v>136</v>
      </c>
      <c r="B26" s="57">
        <v>2000</v>
      </c>
      <c r="C26" s="57" t="s">
        <v>137</v>
      </c>
      <c r="D26" s="57">
        <v>1000</v>
      </c>
      <c r="E26" s="7"/>
      <c r="F26" s="7"/>
      <c r="G26" s="7"/>
      <c r="H26" s="7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06"/>
  <sheetViews>
    <sheetView workbookViewId="0">
      <selection activeCell="H27" sqref="H27"/>
    </sheetView>
  </sheetViews>
  <sheetFormatPr defaultRowHeight="13.5"/>
  <cols>
    <col min="2" max="2" width="24.125" customWidth="1"/>
    <col min="3" max="3" width="16.375" customWidth="1"/>
    <col min="10" max="10" width="11.875" customWidth="1"/>
  </cols>
  <sheetData>
    <row r="1" spans="1:21">
      <c r="A1" s="7" t="s">
        <v>69</v>
      </c>
      <c r="B1" s="7" t="s">
        <v>68</v>
      </c>
      <c r="C1" s="7">
        <v>0</v>
      </c>
      <c r="D1" s="7">
        <v>10</v>
      </c>
      <c r="E1" s="7">
        <v>20</v>
      </c>
      <c r="F1" s="7">
        <v>30</v>
      </c>
      <c r="G1" s="7">
        <v>40</v>
      </c>
      <c r="H1" s="7">
        <v>50</v>
      </c>
      <c r="I1" s="7">
        <v>60</v>
      </c>
      <c r="J1" s="7">
        <v>70</v>
      </c>
      <c r="K1" s="7">
        <v>80</v>
      </c>
      <c r="L1" s="7">
        <v>90</v>
      </c>
      <c r="M1" s="7">
        <v>100</v>
      </c>
      <c r="N1" s="7">
        <v>110</v>
      </c>
      <c r="O1" s="7">
        <v>120</v>
      </c>
      <c r="P1" s="7">
        <v>130</v>
      </c>
      <c r="Q1" s="7">
        <v>140</v>
      </c>
      <c r="R1" s="7">
        <v>150</v>
      </c>
    </row>
    <row r="2" spans="1:21">
      <c r="B2">
        <v>1</v>
      </c>
      <c r="C2" s="7">
        <f t="shared" ref="C2:R11" si="0">(2200+ROUNDDOWN(C$1/10,0)*440+(200+ROUNDDOWN(C$1/10,0)*40)*($B2-1))</f>
        <v>2200</v>
      </c>
      <c r="D2" s="7">
        <f t="shared" si="0"/>
        <v>2640</v>
      </c>
      <c r="E2" s="7">
        <f t="shared" si="0"/>
        <v>3080</v>
      </c>
      <c r="F2" s="7">
        <f t="shared" si="0"/>
        <v>3520</v>
      </c>
      <c r="G2" s="7">
        <f t="shared" si="0"/>
        <v>3960</v>
      </c>
      <c r="H2" s="7">
        <f>(2200+ROUNDDOWN(H$1/10,0)*440+(200+ROUNDDOWN(H$1/10,0)*40)*(4.5))</f>
        <v>6200</v>
      </c>
      <c r="I2" s="7">
        <f t="shared" si="0"/>
        <v>4840</v>
      </c>
      <c r="J2" s="7">
        <f t="shared" si="0"/>
        <v>5280</v>
      </c>
      <c r="K2" s="7">
        <f t="shared" si="0"/>
        <v>5720</v>
      </c>
      <c r="L2" s="7">
        <f t="shared" si="0"/>
        <v>6160</v>
      </c>
      <c r="M2" s="7">
        <f t="shared" si="0"/>
        <v>6600</v>
      </c>
      <c r="N2" s="7">
        <f t="shared" si="0"/>
        <v>7040</v>
      </c>
      <c r="O2" s="7">
        <f t="shared" si="0"/>
        <v>7480</v>
      </c>
      <c r="P2" s="7">
        <f t="shared" si="0"/>
        <v>7920</v>
      </c>
      <c r="Q2" s="7">
        <f t="shared" si="0"/>
        <v>8360</v>
      </c>
      <c r="R2" s="7">
        <f t="shared" si="0"/>
        <v>8800</v>
      </c>
    </row>
    <row r="3" spans="1:21">
      <c r="B3">
        <v>2</v>
      </c>
      <c r="C3" s="7">
        <f t="shared" si="0"/>
        <v>2400</v>
      </c>
      <c r="D3" s="7">
        <f t="shared" si="0"/>
        <v>2880</v>
      </c>
      <c r="E3" s="7">
        <f t="shared" si="0"/>
        <v>3360</v>
      </c>
      <c r="F3" s="7">
        <f t="shared" si="0"/>
        <v>3840</v>
      </c>
      <c r="G3" s="7">
        <f t="shared" si="0"/>
        <v>4320</v>
      </c>
      <c r="H3" s="7">
        <f t="shared" si="0"/>
        <v>4800</v>
      </c>
      <c r="I3" s="7">
        <f t="shared" si="0"/>
        <v>5280</v>
      </c>
      <c r="J3" s="7">
        <f t="shared" si="0"/>
        <v>5760</v>
      </c>
      <c r="K3" s="7">
        <f t="shared" si="0"/>
        <v>6240</v>
      </c>
      <c r="L3" s="7">
        <f t="shared" si="0"/>
        <v>6720</v>
      </c>
      <c r="M3" s="7">
        <f t="shared" si="0"/>
        <v>7200</v>
      </c>
      <c r="N3" s="7">
        <f t="shared" si="0"/>
        <v>7680</v>
      </c>
      <c r="O3" s="7">
        <f t="shared" si="0"/>
        <v>8160</v>
      </c>
      <c r="P3" s="7">
        <f t="shared" si="0"/>
        <v>8640</v>
      </c>
      <c r="Q3" s="7">
        <f t="shared" si="0"/>
        <v>9120</v>
      </c>
      <c r="R3" s="7">
        <f t="shared" si="0"/>
        <v>9600</v>
      </c>
    </row>
    <row r="4" spans="1:21">
      <c r="B4" s="7">
        <v>3</v>
      </c>
      <c r="C4" s="7">
        <f t="shared" si="0"/>
        <v>2600</v>
      </c>
      <c r="D4" s="7">
        <f t="shared" si="0"/>
        <v>3120</v>
      </c>
      <c r="E4" s="7">
        <f t="shared" si="0"/>
        <v>3640</v>
      </c>
      <c r="F4" s="7">
        <f t="shared" si="0"/>
        <v>4160</v>
      </c>
      <c r="G4" s="7">
        <f t="shared" si="0"/>
        <v>4680</v>
      </c>
      <c r="H4" s="7">
        <f t="shared" si="0"/>
        <v>5200</v>
      </c>
      <c r="I4" s="7">
        <f t="shared" si="0"/>
        <v>5720</v>
      </c>
      <c r="J4" s="7">
        <f t="shared" si="0"/>
        <v>6240</v>
      </c>
      <c r="K4" s="7">
        <f t="shared" si="0"/>
        <v>6760</v>
      </c>
      <c r="L4" s="7">
        <f t="shared" si="0"/>
        <v>7280</v>
      </c>
      <c r="M4" s="7">
        <f t="shared" si="0"/>
        <v>7800</v>
      </c>
      <c r="N4" s="7">
        <f t="shared" si="0"/>
        <v>8320</v>
      </c>
      <c r="O4" s="7">
        <f t="shared" si="0"/>
        <v>8840</v>
      </c>
      <c r="P4" s="7">
        <f t="shared" si="0"/>
        <v>9360</v>
      </c>
      <c r="Q4" s="7">
        <f t="shared" si="0"/>
        <v>9880</v>
      </c>
      <c r="R4" s="7">
        <f t="shared" si="0"/>
        <v>10400</v>
      </c>
    </row>
    <row r="5" spans="1:21">
      <c r="B5" s="7">
        <v>4</v>
      </c>
      <c r="C5" s="7">
        <f t="shared" si="0"/>
        <v>2800</v>
      </c>
      <c r="D5" s="7">
        <f t="shared" si="0"/>
        <v>3360</v>
      </c>
      <c r="E5" s="7">
        <f t="shared" si="0"/>
        <v>3920</v>
      </c>
      <c r="F5" s="7">
        <f t="shared" si="0"/>
        <v>4480</v>
      </c>
      <c r="G5" s="7">
        <f t="shared" si="0"/>
        <v>5040</v>
      </c>
      <c r="H5" s="7">
        <f t="shared" si="0"/>
        <v>5600</v>
      </c>
      <c r="I5" s="7">
        <f t="shared" si="0"/>
        <v>6160</v>
      </c>
      <c r="J5" s="7">
        <f t="shared" si="0"/>
        <v>6720</v>
      </c>
      <c r="K5" s="7">
        <f t="shared" si="0"/>
        <v>7280</v>
      </c>
      <c r="L5" s="7">
        <f t="shared" si="0"/>
        <v>7840</v>
      </c>
      <c r="M5" s="7">
        <f t="shared" si="0"/>
        <v>8400</v>
      </c>
      <c r="N5" s="7">
        <f t="shared" si="0"/>
        <v>8960</v>
      </c>
      <c r="O5" s="7">
        <f t="shared" si="0"/>
        <v>9520</v>
      </c>
      <c r="P5" s="7">
        <f t="shared" si="0"/>
        <v>10080</v>
      </c>
      <c r="Q5" s="7">
        <f t="shared" si="0"/>
        <v>10640</v>
      </c>
      <c r="R5" s="7">
        <f t="shared" si="0"/>
        <v>11200</v>
      </c>
    </row>
    <row r="6" spans="1:21">
      <c r="B6" s="7">
        <v>5</v>
      </c>
      <c r="C6" s="7">
        <f t="shared" si="0"/>
        <v>3000</v>
      </c>
      <c r="D6" s="7">
        <f t="shared" si="0"/>
        <v>3600</v>
      </c>
      <c r="E6" s="7">
        <f t="shared" si="0"/>
        <v>4200</v>
      </c>
      <c r="F6" s="7">
        <f t="shared" si="0"/>
        <v>4800</v>
      </c>
      <c r="G6" s="7">
        <f t="shared" si="0"/>
        <v>5400</v>
      </c>
      <c r="H6" s="7">
        <f t="shared" si="0"/>
        <v>6000</v>
      </c>
      <c r="I6" s="7">
        <f t="shared" si="0"/>
        <v>6600</v>
      </c>
      <c r="J6" s="7">
        <f t="shared" si="0"/>
        <v>7200</v>
      </c>
      <c r="K6" s="7">
        <f t="shared" si="0"/>
        <v>7800</v>
      </c>
      <c r="L6" s="7">
        <f t="shared" si="0"/>
        <v>8400</v>
      </c>
      <c r="M6" s="7">
        <f t="shared" si="0"/>
        <v>9000</v>
      </c>
      <c r="N6" s="7">
        <f t="shared" si="0"/>
        <v>9600</v>
      </c>
      <c r="O6" s="7">
        <f t="shared" si="0"/>
        <v>10200</v>
      </c>
      <c r="P6" s="7">
        <f t="shared" si="0"/>
        <v>10800</v>
      </c>
      <c r="Q6" s="7">
        <f t="shared" si="0"/>
        <v>11400</v>
      </c>
      <c r="R6" s="7">
        <f t="shared" si="0"/>
        <v>12000</v>
      </c>
    </row>
    <row r="7" spans="1:21">
      <c r="B7" s="7">
        <v>6</v>
      </c>
      <c r="C7" s="7">
        <f t="shared" si="0"/>
        <v>3200</v>
      </c>
      <c r="D7" s="7">
        <f t="shared" si="0"/>
        <v>3840</v>
      </c>
      <c r="E7" s="7">
        <f t="shared" si="0"/>
        <v>4480</v>
      </c>
      <c r="F7" s="7">
        <f t="shared" si="0"/>
        <v>5120</v>
      </c>
      <c r="G7" s="7">
        <f t="shared" si="0"/>
        <v>5760</v>
      </c>
      <c r="H7" s="7">
        <f t="shared" si="0"/>
        <v>6400</v>
      </c>
      <c r="I7" s="7">
        <f t="shared" si="0"/>
        <v>7040</v>
      </c>
      <c r="J7" s="7">
        <f t="shared" si="0"/>
        <v>7680</v>
      </c>
      <c r="K7" s="7">
        <f t="shared" si="0"/>
        <v>8320</v>
      </c>
      <c r="L7" s="7">
        <f t="shared" si="0"/>
        <v>8960</v>
      </c>
      <c r="M7" s="7">
        <f t="shared" si="0"/>
        <v>9600</v>
      </c>
      <c r="N7" s="7">
        <f t="shared" si="0"/>
        <v>10240</v>
      </c>
      <c r="O7" s="7">
        <f t="shared" si="0"/>
        <v>10880</v>
      </c>
      <c r="P7" s="7">
        <f t="shared" si="0"/>
        <v>11520</v>
      </c>
      <c r="Q7" s="7">
        <f t="shared" si="0"/>
        <v>12160</v>
      </c>
      <c r="R7" s="7">
        <f t="shared" si="0"/>
        <v>12800</v>
      </c>
    </row>
    <row r="8" spans="1:21">
      <c r="B8" s="7">
        <v>7</v>
      </c>
      <c r="C8" s="7">
        <f t="shared" si="0"/>
        <v>3400</v>
      </c>
      <c r="D8" s="7">
        <f t="shared" si="0"/>
        <v>4080</v>
      </c>
      <c r="E8" s="7">
        <f t="shared" si="0"/>
        <v>4760</v>
      </c>
      <c r="F8" s="7">
        <f t="shared" si="0"/>
        <v>5440</v>
      </c>
      <c r="G8" s="7">
        <f t="shared" si="0"/>
        <v>6120</v>
      </c>
      <c r="H8" s="7">
        <f t="shared" si="0"/>
        <v>6800</v>
      </c>
      <c r="I8" s="7">
        <f t="shared" si="0"/>
        <v>7480</v>
      </c>
      <c r="J8" s="7">
        <f t="shared" si="0"/>
        <v>8160</v>
      </c>
      <c r="K8" s="7">
        <f t="shared" si="0"/>
        <v>8840</v>
      </c>
      <c r="L8" s="7">
        <f t="shared" si="0"/>
        <v>9520</v>
      </c>
      <c r="M8" s="7">
        <f t="shared" si="0"/>
        <v>10200</v>
      </c>
      <c r="N8" s="7">
        <f t="shared" si="0"/>
        <v>10880</v>
      </c>
      <c r="O8" s="7">
        <f t="shared" si="0"/>
        <v>11560</v>
      </c>
      <c r="P8" s="7">
        <f t="shared" si="0"/>
        <v>12240</v>
      </c>
      <c r="Q8" s="7">
        <f t="shared" si="0"/>
        <v>12920</v>
      </c>
      <c r="R8" s="7">
        <f t="shared" si="0"/>
        <v>13600</v>
      </c>
    </row>
    <row r="9" spans="1:21">
      <c r="B9" s="7">
        <v>8</v>
      </c>
      <c r="C9" s="7">
        <f t="shared" si="0"/>
        <v>3600</v>
      </c>
      <c r="D9" s="7">
        <f t="shared" si="0"/>
        <v>4320</v>
      </c>
      <c r="E9" s="7">
        <f t="shared" si="0"/>
        <v>5040</v>
      </c>
      <c r="F9" s="7">
        <f t="shared" si="0"/>
        <v>5760</v>
      </c>
      <c r="G9" s="7">
        <f t="shared" si="0"/>
        <v>6480</v>
      </c>
      <c r="H9" s="7">
        <f t="shared" si="0"/>
        <v>7200</v>
      </c>
      <c r="I9" s="7">
        <f t="shared" si="0"/>
        <v>7920</v>
      </c>
      <c r="J9" s="7">
        <f t="shared" si="0"/>
        <v>8640</v>
      </c>
      <c r="K9" s="7">
        <f t="shared" si="0"/>
        <v>9360</v>
      </c>
      <c r="L9" s="7">
        <f t="shared" si="0"/>
        <v>10080</v>
      </c>
      <c r="M9" s="7">
        <f t="shared" si="0"/>
        <v>10800</v>
      </c>
      <c r="N9" s="7">
        <f t="shared" si="0"/>
        <v>11520</v>
      </c>
      <c r="O9" s="7">
        <f t="shared" si="0"/>
        <v>12240</v>
      </c>
      <c r="P9" s="7">
        <f t="shared" si="0"/>
        <v>12960</v>
      </c>
      <c r="Q9" s="7">
        <f t="shared" si="0"/>
        <v>13680</v>
      </c>
      <c r="R9" s="7">
        <f t="shared" si="0"/>
        <v>14400</v>
      </c>
    </row>
    <row r="10" spans="1:21">
      <c r="B10" s="7">
        <v>9</v>
      </c>
      <c r="C10" s="7">
        <f t="shared" si="0"/>
        <v>3800</v>
      </c>
      <c r="D10" s="7">
        <f t="shared" si="0"/>
        <v>4560</v>
      </c>
      <c r="E10" s="7">
        <f t="shared" si="0"/>
        <v>5320</v>
      </c>
      <c r="F10" s="7">
        <f t="shared" si="0"/>
        <v>6080</v>
      </c>
      <c r="G10" s="7">
        <f t="shared" si="0"/>
        <v>6840</v>
      </c>
      <c r="H10" s="7">
        <f t="shared" si="0"/>
        <v>7600</v>
      </c>
      <c r="I10" s="7">
        <f t="shared" si="0"/>
        <v>8360</v>
      </c>
      <c r="J10" s="7">
        <f t="shared" si="0"/>
        <v>9120</v>
      </c>
      <c r="K10" s="7">
        <f t="shared" si="0"/>
        <v>9880</v>
      </c>
      <c r="L10" s="7">
        <f t="shared" si="0"/>
        <v>10640</v>
      </c>
      <c r="M10" s="7">
        <f t="shared" si="0"/>
        <v>11400</v>
      </c>
      <c r="N10" s="7">
        <f t="shared" si="0"/>
        <v>12160</v>
      </c>
      <c r="O10" s="7">
        <f t="shared" si="0"/>
        <v>12920</v>
      </c>
      <c r="P10" s="7">
        <f t="shared" si="0"/>
        <v>13680</v>
      </c>
      <c r="Q10" s="7">
        <f t="shared" si="0"/>
        <v>14440</v>
      </c>
      <c r="R10" s="7">
        <f t="shared" si="0"/>
        <v>15200</v>
      </c>
    </row>
    <row r="11" spans="1:21">
      <c r="B11" s="7">
        <v>10</v>
      </c>
      <c r="C11" s="7">
        <f t="shared" si="0"/>
        <v>4000</v>
      </c>
      <c r="D11" s="7">
        <f t="shared" si="0"/>
        <v>4800</v>
      </c>
      <c r="E11" s="7">
        <f t="shared" si="0"/>
        <v>5600</v>
      </c>
      <c r="F11" s="7">
        <f t="shared" si="0"/>
        <v>6400</v>
      </c>
      <c r="G11" s="7">
        <f t="shared" si="0"/>
        <v>7200</v>
      </c>
      <c r="H11" s="7">
        <f t="shared" si="0"/>
        <v>8000</v>
      </c>
      <c r="I11" s="7">
        <f t="shared" si="0"/>
        <v>8800</v>
      </c>
      <c r="J11" s="7">
        <f t="shared" si="0"/>
        <v>9600</v>
      </c>
      <c r="K11" s="7">
        <f t="shared" si="0"/>
        <v>10400</v>
      </c>
      <c r="L11" s="7">
        <f t="shared" si="0"/>
        <v>11200</v>
      </c>
      <c r="M11" s="7">
        <f t="shared" si="0"/>
        <v>12000</v>
      </c>
      <c r="N11" s="7">
        <f t="shared" si="0"/>
        <v>12800</v>
      </c>
      <c r="O11" s="7">
        <f t="shared" si="0"/>
        <v>13600</v>
      </c>
      <c r="P11" s="7">
        <f t="shared" si="0"/>
        <v>14400</v>
      </c>
      <c r="Q11" s="7">
        <f t="shared" si="0"/>
        <v>15200</v>
      </c>
      <c r="R11" s="7">
        <f t="shared" si="0"/>
        <v>16000</v>
      </c>
    </row>
    <row r="12" spans="1:21">
      <c r="B12" s="7" t="s">
        <v>71</v>
      </c>
      <c r="C12" s="7">
        <f t="shared" ref="C12" si="1">SUM(C2:C11)/10</f>
        <v>3100</v>
      </c>
      <c r="D12" s="7">
        <f t="shared" ref="D12:E12" si="2">SUM(D2:D11)/10</f>
        <v>3720</v>
      </c>
      <c r="E12" s="7">
        <f t="shared" si="2"/>
        <v>4340</v>
      </c>
      <c r="F12" s="7">
        <f>SUM(F2:F11)/10</f>
        <v>4960</v>
      </c>
      <c r="G12" s="7">
        <f t="shared" ref="G12:R12" si="3">SUM(G2:G11)/10</f>
        <v>5580</v>
      </c>
      <c r="H12" s="7">
        <f t="shared" si="3"/>
        <v>6380</v>
      </c>
      <c r="I12" s="7">
        <f t="shared" si="3"/>
        <v>6820</v>
      </c>
      <c r="J12" s="7">
        <f t="shared" si="3"/>
        <v>7440</v>
      </c>
      <c r="K12" s="7">
        <f t="shared" si="3"/>
        <v>8060</v>
      </c>
      <c r="L12" s="7">
        <f t="shared" si="3"/>
        <v>8680</v>
      </c>
      <c r="M12" s="7">
        <f t="shared" si="3"/>
        <v>9300</v>
      </c>
      <c r="N12" s="7">
        <f t="shared" si="3"/>
        <v>9920</v>
      </c>
      <c r="O12" s="7">
        <f t="shared" si="3"/>
        <v>10540</v>
      </c>
      <c r="P12" s="7">
        <f t="shared" si="3"/>
        <v>11160</v>
      </c>
      <c r="Q12" s="7">
        <f t="shared" si="3"/>
        <v>11780</v>
      </c>
      <c r="R12" s="7">
        <f t="shared" si="3"/>
        <v>12400</v>
      </c>
    </row>
    <row r="13" spans="1:21">
      <c r="B13" s="7" t="s">
        <v>72</v>
      </c>
      <c r="C13" s="7">
        <f t="shared" ref="C13:G13" si="4">C12*10/7</f>
        <v>4428.5714285714284</v>
      </c>
      <c r="D13" s="7">
        <f t="shared" si="4"/>
        <v>5314.2857142857147</v>
      </c>
      <c r="E13" s="7">
        <f t="shared" si="4"/>
        <v>6200</v>
      </c>
      <c r="F13" s="7">
        <f t="shared" si="4"/>
        <v>7085.7142857142853</v>
      </c>
      <c r="G13" s="7">
        <f t="shared" si="4"/>
        <v>7971.4285714285716</v>
      </c>
      <c r="H13" s="7">
        <f>H12*10/7</f>
        <v>9114.2857142857138</v>
      </c>
      <c r="I13" s="7">
        <f t="shared" ref="I13:R13" si="5">I12*10/7</f>
        <v>9742.8571428571431</v>
      </c>
      <c r="J13" s="7">
        <f t="shared" si="5"/>
        <v>10628.571428571429</v>
      </c>
      <c r="K13" s="7">
        <f t="shared" si="5"/>
        <v>11514.285714285714</v>
      </c>
      <c r="L13" s="7">
        <f t="shared" si="5"/>
        <v>12400</v>
      </c>
      <c r="M13" s="7">
        <f t="shared" si="5"/>
        <v>13285.714285714286</v>
      </c>
      <c r="N13" s="7">
        <f t="shared" si="5"/>
        <v>14171.428571428571</v>
      </c>
      <c r="O13" s="7">
        <f t="shared" si="5"/>
        <v>15057.142857142857</v>
      </c>
      <c r="P13" s="7">
        <f t="shared" si="5"/>
        <v>15942.857142857143</v>
      </c>
      <c r="Q13" s="7">
        <f t="shared" si="5"/>
        <v>16828.571428571428</v>
      </c>
      <c r="R13" s="7">
        <f t="shared" si="5"/>
        <v>17714.285714285714</v>
      </c>
    </row>
    <row r="14" spans="1:21">
      <c r="B14" s="7" t="s">
        <v>73</v>
      </c>
      <c r="C14" s="7">
        <f>C13*7</f>
        <v>31000</v>
      </c>
      <c r="D14" s="7">
        <f t="shared" ref="D14:R14" si="6">D13*7</f>
        <v>37200</v>
      </c>
      <c r="E14" s="7">
        <f t="shared" si="6"/>
        <v>43400</v>
      </c>
      <c r="F14" s="7">
        <f t="shared" si="6"/>
        <v>49600</v>
      </c>
      <c r="G14" s="7">
        <f t="shared" si="6"/>
        <v>55800</v>
      </c>
      <c r="H14" s="7">
        <f t="shared" si="6"/>
        <v>63800</v>
      </c>
      <c r="I14" s="7">
        <f t="shared" si="6"/>
        <v>68200</v>
      </c>
      <c r="J14" s="7">
        <f t="shared" si="6"/>
        <v>74400</v>
      </c>
      <c r="K14" s="7">
        <f t="shared" si="6"/>
        <v>80600</v>
      </c>
      <c r="L14" s="7">
        <f t="shared" si="6"/>
        <v>86800</v>
      </c>
      <c r="M14" s="7">
        <f t="shared" si="6"/>
        <v>93000</v>
      </c>
      <c r="N14" s="7">
        <f t="shared" si="6"/>
        <v>99200</v>
      </c>
      <c r="O14" s="7">
        <f t="shared" si="6"/>
        <v>105400</v>
      </c>
      <c r="P14" s="7">
        <f t="shared" si="6"/>
        <v>111600</v>
      </c>
      <c r="Q14" s="7">
        <f t="shared" si="6"/>
        <v>117800</v>
      </c>
      <c r="R14" s="7">
        <f t="shared" si="6"/>
        <v>124000</v>
      </c>
    </row>
    <row r="15" spans="1:21">
      <c r="B15" s="7" t="s">
        <v>74</v>
      </c>
      <c r="C15" s="7">
        <f>C12*10*7</f>
        <v>217000</v>
      </c>
      <c r="D15" s="7">
        <f t="shared" ref="D15:R15" si="7">D12*10*7</f>
        <v>260400</v>
      </c>
      <c r="E15" s="7">
        <f t="shared" si="7"/>
        <v>303800</v>
      </c>
      <c r="F15" s="7">
        <f t="shared" si="7"/>
        <v>347200</v>
      </c>
      <c r="G15" s="7">
        <f t="shared" si="7"/>
        <v>390600</v>
      </c>
      <c r="H15" s="7">
        <f t="shared" si="7"/>
        <v>446600</v>
      </c>
      <c r="I15" s="7">
        <f t="shared" si="7"/>
        <v>477400</v>
      </c>
      <c r="J15" s="7">
        <f t="shared" si="7"/>
        <v>520800</v>
      </c>
      <c r="K15" s="7">
        <f t="shared" si="7"/>
        <v>564200</v>
      </c>
      <c r="L15" s="7">
        <f t="shared" si="7"/>
        <v>607600</v>
      </c>
      <c r="M15" s="7">
        <f t="shared" si="7"/>
        <v>651000</v>
      </c>
      <c r="N15" s="7">
        <f t="shared" si="7"/>
        <v>694400</v>
      </c>
      <c r="O15" s="7">
        <f t="shared" si="7"/>
        <v>737800</v>
      </c>
      <c r="P15" s="7">
        <f t="shared" si="7"/>
        <v>781200</v>
      </c>
      <c r="Q15" s="7">
        <f t="shared" si="7"/>
        <v>824600</v>
      </c>
      <c r="R15" s="7">
        <f t="shared" si="7"/>
        <v>868000</v>
      </c>
    </row>
    <row r="16" spans="1:21">
      <c r="B16" s="7" t="s">
        <v>95</v>
      </c>
      <c r="C16">
        <f>C14*1.5</f>
        <v>46500</v>
      </c>
      <c r="D16" s="7">
        <f t="shared" ref="D16:R16" si="8">D14*1.5</f>
        <v>55800</v>
      </c>
      <c r="E16" s="7">
        <f t="shared" si="8"/>
        <v>65100</v>
      </c>
      <c r="F16" s="7">
        <f t="shared" si="8"/>
        <v>74400</v>
      </c>
      <c r="G16" s="7">
        <f t="shared" si="8"/>
        <v>83700</v>
      </c>
      <c r="H16" s="7">
        <f t="shared" si="8"/>
        <v>95700</v>
      </c>
      <c r="I16" s="7">
        <f t="shared" si="8"/>
        <v>102300</v>
      </c>
      <c r="J16" s="7">
        <f t="shared" si="8"/>
        <v>111600</v>
      </c>
      <c r="K16" s="7">
        <f t="shared" si="8"/>
        <v>120900</v>
      </c>
      <c r="L16" s="7">
        <f t="shared" si="8"/>
        <v>130200</v>
      </c>
      <c r="M16" s="7">
        <f t="shared" si="8"/>
        <v>139500</v>
      </c>
      <c r="N16" s="7">
        <f t="shared" si="8"/>
        <v>148800</v>
      </c>
      <c r="O16" s="7">
        <f t="shared" si="8"/>
        <v>158100</v>
      </c>
      <c r="P16" s="7">
        <f t="shared" si="8"/>
        <v>167400</v>
      </c>
      <c r="Q16" s="7">
        <f t="shared" si="8"/>
        <v>176700</v>
      </c>
      <c r="R16" s="7">
        <f t="shared" si="8"/>
        <v>186000</v>
      </c>
      <c r="U16">
        <v>1</v>
      </c>
    </row>
    <row r="17" spans="2:21">
      <c r="B17" s="49" t="s">
        <v>64</v>
      </c>
      <c r="C17" s="49" t="s">
        <v>84</v>
      </c>
      <c r="D17" s="51"/>
      <c r="E17" s="51"/>
      <c r="F17" s="51"/>
      <c r="G17" s="51"/>
      <c r="H17" s="49" t="s">
        <v>86</v>
      </c>
      <c r="I17" s="49" t="s">
        <v>87</v>
      </c>
      <c r="J17" s="51"/>
      <c r="U17">
        <v>1.1000000000000001</v>
      </c>
    </row>
    <row r="18" spans="2:21">
      <c r="B18" s="49" t="s">
        <v>75</v>
      </c>
      <c r="C18" s="49" t="s">
        <v>518</v>
      </c>
      <c r="D18" s="51"/>
      <c r="E18" s="51"/>
      <c r="F18" s="51"/>
      <c r="G18" s="51"/>
      <c r="H18" s="51"/>
      <c r="I18" s="51"/>
      <c r="J18" s="51"/>
      <c r="U18" s="7">
        <v>1.2</v>
      </c>
    </row>
    <row r="19" spans="2:21">
      <c r="B19" s="49" t="s">
        <v>76</v>
      </c>
      <c r="C19" s="49" t="s">
        <v>90</v>
      </c>
      <c r="D19" s="51"/>
      <c r="E19" s="51"/>
      <c r="F19" s="51"/>
      <c r="G19" s="51"/>
      <c r="H19" s="51"/>
      <c r="I19" s="51"/>
      <c r="J19" s="51"/>
      <c r="L19" s="7" t="s">
        <v>96</v>
      </c>
      <c r="N19" s="7"/>
      <c r="O19" s="7" t="s">
        <v>92</v>
      </c>
      <c r="U19" s="7">
        <v>1.3</v>
      </c>
    </row>
    <row r="20" spans="2:21">
      <c r="B20" s="49" t="s">
        <v>70</v>
      </c>
      <c r="C20" s="49" t="s">
        <v>83</v>
      </c>
      <c r="D20" s="51"/>
      <c r="E20" s="51"/>
      <c r="F20" s="51"/>
      <c r="G20" s="51"/>
      <c r="H20" s="51"/>
      <c r="I20" s="51"/>
      <c r="J20" s="51"/>
      <c r="L20" s="7" t="s">
        <v>91</v>
      </c>
      <c r="O20" s="7" t="s">
        <v>94</v>
      </c>
      <c r="U20" s="7">
        <v>1.4</v>
      </c>
    </row>
    <row r="21" spans="2:21">
      <c r="B21" s="49" t="s">
        <v>85</v>
      </c>
      <c r="C21" s="49" t="s">
        <v>108</v>
      </c>
      <c r="D21" s="51">
        <v>16</v>
      </c>
      <c r="E21" s="49" t="s">
        <v>88</v>
      </c>
      <c r="F21" s="49" t="s">
        <v>89</v>
      </c>
      <c r="G21" s="51"/>
      <c r="H21" s="51"/>
      <c r="I21" s="51"/>
      <c r="J21" s="51"/>
      <c r="U21" s="7">
        <v>1.5</v>
      </c>
    </row>
    <row r="22" spans="2:21">
      <c r="J22" s="7"/>
      <c r="U22" s="7">
        <v>1.6</v>
      </c>
    </row>
    <row r="23" spans="2:21">
      <c r="J23" s="7"/>
      <c r="U23" s="7">
        <v>1.7</v>
      </c>
    </row>
    <row r="24" spans="2:21">
      <c r="B24" s="7" t="s">
        <v>77</v>
      </c>
      <c r="C24" s="7" t="s">
        <v>78</v>
      </c>
      <c r="U24" s="7">
        <v>1.8</v>
      </c>
    </row>
    <row r="25" spans="2:21">
      <c r="B25" s="7" t="s">
        <v>79</v>
      </c>
      <c r="C25" s="7" t="s">
        <v>80</v>
      </c>
      <c r="U25" s="7">
        <v>1.9</v>
      </c>
    </row>
    <row r="28" spans="2:21">
      <c r="K28">
        <f>190*23</f>
        <v>4370</v>
      </c>
    </row>
    <row r="32" spans="2:21">
      <c r="B32" s="7" t="s">
        <v>93</v>
      </c>
    </row>
    <row r="33" spans="1:16">
      <c r="A33" s="7" t="s">
        <v>81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7">
        <v>0</v>
      </c>
      <c r="B34" s="7">
        <v>0</v>
      </c>
      <c r="C34" s="7">
        <f>50*1.5*2*B34</f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7">
        <v>1</v>
      </c>
      <c r="B35" s="7">
        <f t="shared" ref="B35:B66" si="9">$O$35*A35^2+$O$36*A35+$O$37</f>
        <v>1</v>
      </c>
      <c r="C35" s="7">
        <f>50*1.5*2*B35</f>
        <v>150</v>
      </c>
      <c r="D35" s="7"/>
      <c r="E35" s="7"/>
      <c r="F35" s="7">
        <v>1</v>
      </c>
      <c r="G35" s="7"/>
      <c r="H35" s="7"/>
      <c r="I35" s="7">
        <f>$F35^2</f>
        <v>1</v>
      </c>
      <c r="J35" s="7">
        <f>$F35^1</f>
        <v>1</v>
      </c>
      <c r="K35" s="7">
        <f>$F35^0</f>
        <v>1</v>
      </c>
      <c r="L35" s="7"/>
      <c r="M35" s="7">
        <v>1</v>
      </c>
      <c r="N35" s="7"/>
      <c r="O35" s="7">
        <f t="array" ref="O35:O37">MMULT(MINVERSE(I35:K37),M35:M37)</f>
        <v>3.8480759620189917E-2</v>
      </c>
      <c r="P35" s="7"/>
    </row>
    <row r="36" spans="1:16">
      <c r="A36" s="7">
        <v>2</v>
      </c>
      <c r="B36" s="7">
        <f t="shared" si="9"/>
        <v>1.267366316841579</v>
      </c>
      <c r="C36" s="7">
        <f t="shared" ref="C36:C99" si="10">50*1.5*2*B36</f>
        <v>190.10494752623686</v>
      </c>
      <c r="D36" s="7"/>
      <c r="E36" s="7"/>
      <c r="F36" s="7">
        <v>30</v>
      </c>
      <c r="G36" s="7"/>
      <c r="H36" s="7"/>
      <c r="I36" s="7">
        <f>$F36^2</f>
        <v>900</v>
      </c>
      <c r="J36" s="7">
        <f>$F36^1</f>
        <v>30</v>
      </c>
      <c r="K36" s="7">
        <f>$F36^0</f>
        <v>1</v>
      </c>
      <c r="L36" s="7"/>
      <c r="M36" s="7">
        <v>40</v>
      </c>
      <c r="N36" s="7"/>
      <c r="O36" s="7">
        <v>0.15192403798100917</v>
      </c>
      <c r="P36" s="7"/>
    </row>
    <row r="37" spans="1:16">
      <c r="A37" s="7">
        <v>3</v>
      </c>
      <c r="B37" s="7">
        <f t="shared" si="9"/>
        <v>1.6116941529235378</v>
      </c>
      <c r="C37" s="7">
        <f t="shared" si="10"/>
        <v>241.75412293853066</v>
      </c>
      <c r="D37" s="7"/>
      <c r="E37" s="7"/>
      <c r="F37" s="7">
        <v>70</v>
      </c>
      <c r="G37" s="7"/>
      <c r="H37" s="7"/>
      <c r="I37" s="7">
        <f>$F37^2</f>
        <v>4900</v>
      </c>
      <c r="J37" s="7">
        <f>$F37^1</f>
        <v>70</v>
      </c>
      <c r="K37" s="7">
        <f>$F37^0</f>
        <v>1</v>
      </c>
      <c r="L37" s="7"/>
      <c r="M37" s="7">
        <v>200</v>
      </c>
      <c r="N37" s="7"/>
      <c r="O37" s="7">
        <v>0.80959520239880089</v>
      </c>
      <c r="P37" s="7"/>
    </row>
    <row r="38" spans="1:16">
      <c r="A38" s="7">
        <v>4</v>
      </c>
      <c r="B38" s="7">
        <f t="shared" si="9"/>
        <v>2.0329835082458763</v>
      </c>
      <c r="C38" s="7">
        <f t="shared" si="10"/>
        <v>304.94752623688146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>
        <v>5</v>
      </c>
      <c r="B39" s="7">
        <f t="shared" si="9"/>
        <v>2.531234382808595</v>
      </c>
      <c r="C39" s="7">
        <f t="shared" si="10"/>
        <v>379.68515742128926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>
        <v>6</v>
      </c>
      <c r="B40" s="7">
        <f t="shared" si="9"/>
        <v>3.1064467766116932</v>
      </c>
      <c r="C40" s="7">
        <f t="shared" si="10"/>
        <v>465.96701649175401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>
        <v>7</v>
      </c>
      <c r="B41" s="7">
        <f t="shared" si="9"/>
        <v>3.7586206896551708</v>
      </c>
      <c r="C41" s="7">
        <f t="shared" si="10"/>
        <v>563.79310344827559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>
        <v>8</v>
      </c>
      <c r="B42" s="7">
        <f t="shared" si="9"/>
        <v>4.4877561219390287</v>
      </c>
      <c r="C42" s="7">
        <f t="shared" si="10"/>
        <v>673.16341829085434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7">
        <v>9</v>
      </c>
      <c r="B43" s="7">
        <f t="shared" si="9"/>
        <v>5.2938530734632669</v>
      </c>
      <c r="C43" s="7">
        <f t="shared" si="10"/>
        <v>794.07796101949009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7">
        <v>10</v>
      </c>
      <c r="B44" s="7">
        <f t="shared" si="9"/>
        <v>6.1769115442278837</v>
      </c>
      <c r="C44" s="7">
        <f t="shared" si="10"/>
        <v>926.5367316341825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7">
        <v>11</v>
      </c>
      <c r="B45" s="7">
        <f t="shared" si="9"/>
        <v>7.1369315342328816</v>
      </c>
      <c r="C45" s="7">
        <f t="shared" si="10"/>
        <v>1070.5397301349321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7">
        <v>12</v>
      </c>
      <c r="B46" s="7">
        <f t="shared" si="9"/>
        <v>8.1739130434782599</v>
      </c>
      <c r="C46" s="7">
        <f t="shared" si="10"/>
        <v>1226.086956521739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7">
        <v>13</v>
      </c>
      <c r="B47" s="7">
        <f t="shared" si="9"/>
        <v>9.2878560719640166</v>
      </c>
      <c r="C47" s="7">
        <f t="shared" si="10"/>
        <v>1393.1784107946025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7">
        <v>14</v>
      </c>
      <c r="B48" s="7">
        <f t="shared" si="9"/>
        <v>10.478760619690155</v>
      </c>
      <c r="C48" s="7">
        <f t="shared" si="10"/>
        <v>1571.8140929535232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7">
        <v>15</v>
      </c>
      <c r="B49" s="7">
        <f t="shared" si="9"/>
        <v>11.74662668665667</v>
      </c>
      <c r="C49" s="7">
        <f t="shared" si="10"/>
        <v>1761.9940029985005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7">
        <v>16</v>
      </c>
      <c r="B50" s="7">
        <f t="shared" si="9"/>
        <v>13.091454272863567</v>
      </c>
      <c r="C50" s="7">
        <f t="shared" si="10"/>
        <v>1963.7181409295351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7">
        <v>17</v>
      </c>
      <c r="B51" s="7">
        <f t="shared" si="9"/>
        <v>14.513243378310843</v>
      </c>
      <c r="C51" s="7">
        <f t="shared" si="10"/>
        <v>2176.9865067466267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7">
        <v>18</v>
      </c>
      <c r="B52" s="7">
        <f t="shared" si="9"/>
        <v>16.011994002998499</v>
      </c>
      <c r="C52" s="7">
        <f t="shared" si="10"/>
        <v>2401.7991004497749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7">
        <v>19</v>
      </c>
      <c r="B53" s="7">
        <f t="shared" si="9"/>
        <v>17.587706146926536</v>
      </c>
      <c r="C53" s="7">
        <f t="shared" si="10"/>
        <v>2638.1559220389804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7">
        <v>20</v>
      </c>
      <c r="B54" s="7">
        <f t="shared" si="9"/>
        <v>19.24037981009495</v>
      </c>
      <c r="C54" s="7">
        <f t="shared" si="10"/>
        <v>2886.0569715142424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7">
        <v>21</v>
      </c>
      <c r="B55" s="7">
        <f t="shared" si="9"/>
        <v>20.970014992503746</v>
      </c>
      <c r="C55" s="7">
        <f t="shared" si="10"/>
        <v>3145.5022488755617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7">
        <v>22</v>
      </c>
      <c r="B56" s="7">
        <f t="shared" si="9"/>
        <v>22.776611694152919</v>
      </c>
      <c r="C56" s="7">
        <f t="shared" si="10"/>
        <v>3416.4917541229379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7">
        <v>23</v>
      </c>
      <c r="B57" s="7">
        <f t="shared" si="9"/>
        <v>24.660169915042477</v>
      </c>
      <c r="C57" s="7">
        <f t="shared" si="10"/>
        <v>3699.0254872563714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7">
        <v>24</v>
      </c>
      <c r="B58" s="7">
        <f t="shared" si="9"/>
        <v>26.620689655172413</v>
      </c>
      <c r="C58" s="7">
        <f t="shared" si="10"/>
        <v>3993.1034482758619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7">
        <v>25</v>
      </c>
      <c r="B59" s="7">
        <f t="shared" si="9"/>
        <v>28.658170914542726</v>
      </c>
      <c r="C59" s="7">
        <f t="shared" si="10"/>
        <v>4298.7256371814092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7">
        <v>26</v>
      </c>
      <c r="B60" s="7">
        <f t="shared" si="9"/>
        <v>30.772613693153424</v>
      </c>
      <c r="C60" s="7">
        <f t="shared" si="10"/>
        <v>4615.8920539730134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7">
        <v>27</v>
      </c>
      <c r="B61" s="7">
        <f t="shared" si="9"/>
        <v>32.964017991004503</v>
      </c>
      <c r="C61" s="7">
        <f t="shared" si="10"/>
        <v>4944.6026986506758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7">
        <v>28</v>
      </c>
      <c r="B62" s="7">
        <f t="shared" si="9"/>
        <v>35.232383808095953</v>
      </c>
      <c r="C62" s="7">
        <f t="shared" si="10"/>
        <v>5284.8575712143929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7">
        <v>29</v>
      </c>
      <c r="B63" s="7">
        <f t="shared" si="9"/>
        <v>37.577711144427788</v>
      </c>
      <c r="C63" s="7">
        <f t="shared" si="10"/>
        <v>5636.6566716641682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7">
        <v>30</v>
      </c>
      <c r="B64" s="7">
        <f t="shared" si="9"/>
        <v>40.000000000000007</v>
      </c>
      <c r="C64" s="7">
        <f t="shared" si="10"/>
        <v>6000.0000000000009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7">
        <v>31</v>
      </c>
      <c r="B65" s="7">
        <f t="shared" si="9"/>
        <v>42.499250374812597</v>
      </c>
      <c r="C65" s="7">
        <f t="shared" si="10"/>
        <v>6374.8875562218891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7">
        <v>32</v>
      </c>
      <c r="B66" s="7">
        <f t="shared" si="9"/>
        <v>45.075462268865572</v>
      </c>
      <c r="C66" s="7">
        <f t="shared" si="10"/>
        <v>6761.3193403298355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7">
        <v>33</v>
      </c>
      <c r="B67" s="7">
        <f t="shared" ref="B67:B98" si="11">$O$35*A67^2+$O$36*A67+$O$37</f>
        <v>47.728635682158931</v>
      </c>
      <c r="C67" s="7">
        <f t="shared" si="10"/>
        <v>7159.2953523238393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7">
        <v>34</v>
      </c>
      <c r="B68" s="7">
        <f t="shared" si="11"/>
        <v>50.458770614692654</v>
      </c>
      <c r="C68" s="7">
        <f t="shared" si="10"/>
        <v>7568.8155922038977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7">
        <v>35</v>
      </c>
      <c r="B69" s="7">
        <f t="shared" si="11"/>
        <v>53.265867066466775</v>
      </c>
      <c r="C69" s="7">
        <f t="shared" si="10"/>
        <v>7989.8800599700162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7">
        <v>36</v>
      </c>
      <c r="B70" s="7">
        <f t="shared" si="11"/>
        <v>56.149925037481268</v>
      </c>
      <c r="C70" s="7">
        <f t="shared" si="10"/>
        <v>8422.4887556221893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7">
        <v>37</v>
      </c>
      <c r="B71" s="7">
        <f t="shared" si="11"/>
        <v>59.110944527736144</v>
      </c>
      <c r="C71" s="7">
        <f t="shared" si="10"/>
        <v>8866.6416791604224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7">
        <v>38</v>
      </c>
      <c r="B72" s="7">
        <f t="shared" si="11"/>
        <v>62.148925537231392</v>
      </c>
      <c r="C72" s="7">
        <f t="shared" si="10"/>
        <v>9322.3388305847093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7">
        <v>39</v>
      </c>
      <c r="B73" s="7">
        <f t="shared" si="11"/>
        <v>65.263868065967017</v>
      </c>
      <c r="C73" s="7">
        <f t="shared" si="10"/>
        <v>9789.5802098950517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7">
        <v>40</v>
      </c>
      <c r="B74" s="7">
        <f t="shared" si="11"/>
        <v>68.455772113943027</v>
      </c>
      <c r="C74" s="7">
        <f t="shared" si="10"/>
        <v>10268.365817091453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7">
        <v>41</v>
      </c>
      <c r="B75" s="7">
        <f t="shared" si="11"/>
        <v>71.724637681159422</v>
      </c>
      <c r="C75" s="7">
        <f t="shared" si="10"/>
        <v>10758.695652173914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7">
        <v>42</v>
      </c>
      <c r="B76" s="7">
        <f t="shared" si="11"/>
        <v>75.070464767616187</v>
      </c>
      <c r="C76" s="7">
        <f t="shared" si="10"/>
        <v>11260.569715142428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7">
        <v>43</v>
      </c>
      <c r="B77" s="7">
        <f t="shared" si="11"/>
        <v>78.493253373313351</v>
      </c>
      <c r="C77" s="7">
        <f t="shared" si="10"/>
        <v>11773.988005997002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7">
        <v>44</v>
      </c>
      <c r="B78" s="7">
        <f t="shared" si="11"/>
        <v>81.993003498250872</v>
      </c>
      <c r="C78" s="7">
        <f t="shared" si="10"/>
        <v>12298.950524737631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7">
        <v>45</v>
      </c>
      <c r="B79" s="7">
        <f t="shared" si="11"/>
        <v>85.569715142428791</v>
      </c>
      <c r="C79" s="7">
        <f t="shared" si="10"/>
        <v>12835.457271364319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7">
        <v>46</v>
      </c>
      <c r="B80" s="7">
        <f t="shared" si="11"/>
        <v>89.223388305847081</v>
      </c>
      <c r="C80" s="7">
        <f t="shared" si="10"/>
        <v>13383.508245877063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7">
        <v>47</v>
      </c>
      <c r="B81" s="7">
        <f t="shared" si="11"/>
        <v>92.954022988505756</v>
      </c>
      <c r="C81" s="7">
        <f t="shared" si="10"/>
        <v>13943.103448275864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7">
        <v>48</v>
      </c>
      <c r="B82" s="7">
        <f t="shared" si="11"/>
        <v>96.761619190404801</v>
      </c>
      <c r="C82" s="7">
        <f t="shared" si="10"/>
        <v>14514.242878560721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7">
        <v>49</v>
      </c>
      <c r="B83" s="7">
        <f t="shared" si="11"/>
        <v>100.64617691154423</v>
      </c>
      <c r="C83" s="7">
        <f t="shared" si="10"/>
        <v>15096.926536731635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7">
        <v>50</v>
      </c>
      <c r="B84" s="7">
        <f t="shared" si="11"/>
        <v>104.60769615192405</v>
      </c>
      <c r="C84" s="7">
        <f t="shared" si="10"/>
        <v>15691.154422788606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7">
        <v>51</v>
      </c>
      <c r="B85" s="7">
        <f t="shared" si="11"/>
        <v>108.64617691154423</v>
      </c>
      <c r="C85" s="7">
        <f t="shared" si="10"/>
        <v>16296.926536731635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7">
        <v>52</v>
      </c>
      <c r="B86" s="7">
        <f t="shared" si="11"/>
        <v>112.76161919040482</v>
      </c>
      <c r="C86" s="7">
        <f t="shared" si="10"/>
        <v>16914.242878560723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7">
        <v>53</v>
      </c>
      <c r="B87" s="7">
        <f t="shared" si="11"/>
        <v>116.95402298850576</v>
      </c>
      <c r="C87" s="7">
        <f t="shared" si="10"/>
        <v>17543.103448275862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7">
        <v>54</v>
      </c>
      <c r="B88" s="7">
        <f t="shared" si="11"/>
        <v>121.22338830584708</v>
      </c>
      <c r="C88" s="7">
        <f t="shared" si="10"/>
        <v>18183.508245877063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A89" s="7">
        <v>55</v>
      </c>
      <c r="B89" s="7">
        <f t="shared" si="11"/>
        <v>125.56971514242881</v>
      </c>
      <c r="C89" s="7">
        <f t="shared" si="10"/>
        <v>18835.457271364321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7">
        <v>56</v>
      </c>
      <c r="B90" s="7">
        <f t="shared" si="11"/>
        <v>129.99300349825091</v>
      </c>
      <c r="C90" s="7">
        <f t="shared" si="10"/>
        <v>19498.950524737636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7">
        <v>57</v>
      </c>
      <c r="B91" s="7">
        <f t="shared" si="11"/>
        <v>134.49325337331337</v>
      </c>
      <c r="C91" s="7">
        <f t="shared" si="10"/>
        <v>20173.988005997006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7">
        <v>58</v>
      </c>
      <c r="B92" s="7">
        <f t="shared" si="11"/>
        <v>139.07046476761622</v>
      </c>
      <c r="C92" s="7">
        <f t="shared" si="10"/>
        <v>20860.569715142432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7">
        <v>59</v>
      </c>
      <c r="B93" s="7">
        <f t="shared" si="11"/>
        <v>143.72463768115946</v>
      </c>
      <c r="C93" s="7">
        <f t="shared" si="10"/>
        <v>21558.695652173919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7">
        <v>60</v>
      </c>
      <c r="B94" s="7">
        <f t="shared" si="11"/>
        <v>148.45577211394306</v>
      </c>
      <c r="C94" s="7">
        <f t="shared" si="10"/>
        <v>22268.365817091457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7">
        <v>61</v>
      </c>
      <c r="B95" s="7">
        <f t="shared" si="11"/>
        <v>153.26386806596705</v>
      </c>
      <c r="C95" s="7">
        <f t="shared" si="10"/>
        <v>22989.580209895055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7">
        <v>62</v>
      </c>
      <c r="B96" s="7">
        <f t="shared" si="11"/>
        <v>158.14892553723143</v>
      </c>
      <c r="C96" s="7">
        <f t="shared" si="10"/>
        <v>23722.338830584715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7">
        <v>63</v>
      </c>
      <c r="B97" s="7">
        <f t="shared" si="11"/>
        <v>163.11094452773617</v>
      </c>
      <c r="C97" s="7">
        <f t="shared" si="10"/>
        <v>24466.641679160424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7">
        <v>64</v>
      </c>
      <c r="B98" s="7">
        <f t="shared" si="11"/>
        <v>168.1499250374813</v>
      </c>
      <c r="C98" s="7">
        <f t="shared" si="10"/>
        <v>25222.488755622195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7">
        <v>65</v>
      </c>
      <c r="B99" s="7">
        <f t="shared" ref="B99:B104" si="12">$O$35*A99^2+$O$36*A99+$O$37</f>
        <v>173.26586706646683</v>
      </c>
      <c r="C99" s="7">
        <f t="shared" si="10"/>
        <v>25989.880059970023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7">
        <v>66</v>
      </c>
      <c r="B100" s="7">
        <f t="shared" si="12"/>
        <v>178.4587706146927</v>
      </c>
      <c r="C100" s="7">
        <f t="shared" ref="C100:C104" si="13">50*1.5*2*B100</f>
        <v>26768.815592203904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7">
        <v>67</v>
      </c>
      <c r="B101" s="7">
        <f t="shared" si="12"/>
        <v>183.72863568215897</v>
      </c>
      <c r="C101" s="7">
        <f t="shared" si="13"/>
        <v>27559.295352323847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7">
        <v>68</v>
      </c>
      <c r="B102" s="7">
        <f t="shared" si="12"/>
        <v>189.07546226886561</v>
      </c>
      <c r="C102" s="7">
        <f t="shared" si="13"/>
        <v>28361.319340329843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7">
        <v>69</v>
      </c>
      <c r="B103" s="7">
        <f t="shared" si="12"/>
        <v>194.49925037481262</v>
      </c>
      <c r="C103" s="7">
        <f t="shared" si="13"/>
        <v>29174.887556221893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A104" s="7">
        <v>70</v>
      </c>
      <c r="B104" s="7">
        <f t="shared" si="12"/>
        <v>200.00000000000006</v>
      </c>
      <c r="C104" s="7">
        <f t="shared" si="13"/>
        <v>30000.000000000007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行为概览</vt:lpstr>
      <vt:lpstr>玩法行为规划</vt:lpstr>
      <vt:lpstr>升级节奏</vt:lpstr>
      <vt:lpstr>主角经验</vt:lpstr>
      <vt:lpstr>宠物经验</vt:lpstr>
      <vt:lpstr>银币</vt:lpstr>
      <vt:lpstr>金币</vt:lpstr>
      <vt:lpstr>主角经验核算</vt:lpstr>
      <vt:lpstr>宠物经验核算</vt:lpstr>
      <vt:lpstr>银币产出核算</vt:lpstr>
      <vt:lpstr>金币产出核算</vt:lpstr>
      <vt:lpstr>各玩法点数产出</vt:lpstr>
      <vt:lpstr>公会相关</vt:lpstr>
      <vt:lpstr>公会dkp</vt:lpstr>
      <vt:lpstr>宝石模块</vt:lpstr>
      <vt:lpstr>公会专精</vt:lpstr>
      <vt:lpstr>援助奖励</vt:lpstr>
      <vt:lpstr>帮派模块（废弃）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2016-07-19T05:37:06Z</dcterms:modified>
</cp:coreProperties>
</file>