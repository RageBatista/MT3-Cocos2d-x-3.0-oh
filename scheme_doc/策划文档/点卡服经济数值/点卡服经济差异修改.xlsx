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 concurrentCalc="0"/>
</workbook>
</file>

<file path=xl/calcChain.xml><?xml version="1.0" encoding="utf-8"?>
<calcChain xmlns="http://schemas.openxmlformats.org/spreadsheetml/2006/main">
  <c r="O32" i="1"/>
  <c r="O30"/>
  <c r="AF80"/>
  <c r="U34"/>
  <c r="U35"/>
  <c r="U36"/>
  <c r="U37"/>
  <c r="U38"/>
  <c r="U39"/>
  <c r="U40"/>
  <c r="AE40"/>
  <c r="AF40"/>
  <c r="AH40"/>
  <c r="AE39"/>
  <c r="AF39"/>
  <c r="AH39"/>
  <c r="AE38"/>
  <c r="AF38"/>
  <c r="AH38"/>
  <c r="AE37"/>
  <c r="AF37"/>
  <c r="AH37"/>
  <c r="AE36"/>
  <c r="AF36"/>
  <c r="AH36"/>
  <c r="AE35"/>
  <c r="AF35"/>
  <c r="AH35"/>
  <c r="AF34"/>
  <c r="AH34"/>
  <c r="U24"/>
  <c r="U25"/>
  <c r="U26"/>
  <c r="U27"/>
  <c r="U28"/>
  <c r="U29"/>
  <c r="U30"/>
  <c r="AE30"/>
  <c r="AF30"/>
  <c r="AH30"/>
  <c r="AE29"/>
  <c r="AF29"/>
  <c r="AH29"/>
  <c r="AE28"/>
  <c r="AF28"/>
  <c r="AH28"/>
  <c r="AE27"/>
  <c r="AF27"/>
  <c r="AH27"/>
  <c r="AE26"/>
  <c r="AF26"/>
  <c r="AH26"/>
  <c r="AE25"/>
  <c r="AF25"/>
  <c r="AH25"/>
  <c r="AF24"/>
  <c r="AH24"/>
  <c r="U15"/>
  <c r="U16"/>
  <c r="U17"/>
  <c r="U18"/>
  <c r="U19"/>
  <c r="U20"/>
  <c r="U21"/>
  <c r="AE21"/>
  <c r="AF21"/>
  <c r="AH21"/>
  <c r="AE20"/>
  <c r="AF20"/>
  <c r="AH20"/>
  <c r="AE19"/>
  <c r="AF19"/>
  <c r="AH19"/>
  <c r="AE18"/>
  <c r="AF18"/>
  <c r="AH18"/>
  <c r="AE17"/>
  <c r="AF17"/>
  <c r="AH17"/>
  <c r="AE16"/>
  <c r="AF16"/>
  <c r="AH16"/>
  <c r="AF15"/>
  <c r="AH15"/>
</calcChain>
</file>

<file path=xl/sharedStrings.xml><?xml version="1.0" encoding="utf-8"?>
<sst xmlns="http://schemas.openxmlformats.org/spreadsheetml/2006/main" count="104" uniqueCount="69">
  <si>
    <t>运镖</t>
  </si>
  <si>
    <t>公会任务(周7轮)</t>
  </si>
  <si>
    <t>经验道具</t>
  </si>
  <si>
    <t>分享</t>
  </si>
  <si>
    <t>双倍点数</t>
  </si>
  <si>
    <t>援助战斗和道具</t>
  </si>
  <si>
    <t>古神</t>
  </si>
  <si>
    <t>艾泽拉斯百科竞赛</t>
  </si>
  <si>
    <t>银币权重</t>
    <phoneticPr fontId="1" type="noConversion"/>
  </si>
  <si>
    <t>金币权重</t>
    <phoneticPr fontId="1" type="noConversion"/>
  </si>
  <si>
    <t>免费服</t>
    <phoneticPr fontId="1" type="noConversion"/>
  </si>
  <si>
    <t>点卡服</t>
    <phoneticPr fontId="1" type="noConversion"/>
  </si>
  <si>
    <t>点卡服魔像和巨龙不产经验，暂时不缩减升级经验的情况下，只是升级速度会放缓10%左右</t>
    <phoneticPr fontId="1" type="noConversion"/>
  </si>
  <si>
    <t>职业日常</t>
    <phoneticPr fontId="1" type="noConversion"/>
  </si>
  <si>
    <t>日常副本</t>
    <phoneticPr fontId="1" type="noConversion"/>
  </si>
  <si>
    <t>英雄试炼</t>
    <phoneticPr fontId="1" type="noConversion"/>
  </si>
  <si>
    <t>冰封王座</t>
    <phoneticPr fontId="1" type="noConversion"/>
  </si>
  <si>
    <t>考古</t>
    <phoneticPr fontId="1" type="noConversion"/>
  </si>
  <si>
    <t>卡拉赞系列</t>
    <phoneticPr fontId="1" type="noConversion"/>
  </si>
  <si>
    <t>卡拉赞精英</t>
    <phoneticPr fontId="1" type="noConversion"/>
  </si>
  <si>
    <t>精英副本</t>
    <phoneticPr fontId="1" type="noConversion"/>
  </si>
  <si>
    <t>暗夜马戏团(周20轮)</t>
    <phoneticPr fontId="1" type="noConversion"/>
  </si>
  <si>
    <t>野外挂机/离线经验</t>
    <phoneticPr fontId="1" type="noConversion"/>
  </si>
  <si>
    <t>古神爪牙</t>
    <phoneticPr fontId="1" type="noConversion"/>
  </si>
  <si>
    <t>幼龙</t>
    <phoneticPr fontId="1" type="noConversion"/>
  </si>
  <si>
    <t>强盗</t>
    <phoneticPr fontId="1" type="noConversion"/>
  </si>
  <si>
    <t>巨龙</t>
    <phoneticPr fontId="1" type="noConversion"/>
  </si>
  <si>
    <t>小金龙</t>
    <phoneticPr fontId="1" type="noConversion"/>
  </si>
  <si>
    <t>艾泽拉斯地理探索</t>
    <phoneticPr fontId="1" type="noConversion"/>
  </si>
  <si>
    <t>职业闯关(周2次)</t>
    <phoneticPr fontId="1" type="noConversion"/>
  </si>
  <si>
    <t>竞技场（周5次）</t>
    <phoneticPr fontId="1" type="noConversion"/>
  </si>
  <si>
    <t>公会副本(周1次)</t>
    <phoneticPr fontId="1" type="noConversion"/>
  </si>
  <si>
    <t>帮派强盗</t>
    <phoneticPr fontId="1" type="noConversion"/>
  </si>
  <si>
    <t>帮派采药</t>
    <phoneticPr fontId="1" type="noConversion"/>
  </si>
  <si>
    <t>节日活动1</t>
    <phoneticPr fontId="1" type="noConversion"/>
  </si>
  <si>
    <t>节日活动2</t>
    <phoneticPr fontId="1" type="noConversion"/>
  </si>
  <si>
    <t>活跃度打卡</t>
    <phoneticPr fontId="1" type="noConversion"/>
  </si>
  <si>
    <t>剧情任务</t>
    <phoneticPr fontId="1" type="noConversion"/>
  </si>
  <si>
    <t>古龙</t>
    <phoneticPr fontId="1" type="noConversion"/>
  </si>
  <si>
    <t>增加打卡玩法产出</t>
    <phoneticPr fontId="14" type="noConversion"/>
  </si>
  <si>
    <t>增加比赛玩法产出</t>
    <phoneticPr fontId="14" type="noConversion"/>
  </si>
  <si>
    <t>开启等级</t>
    <phoneticPr fontId="1" type="noConversion"/>
  </si>
  <si>
    <t>宝石、修炼道具、光环卷轴、太阳井水</t>
    <phoneticPr fontId="14" type="noConversion"/>
  </si>
  <si>
    <t>增加活动玩法产出</t>
    <phoneticPr fontId="14" type="noConversion"/>
  </si>
  <si>
    <t>太阳井水</t>
    <phoneticPr fontId="1" type="noConversion"/>
  </si>
  <si>
    <t>永恒井水</t>
    <phoneticPr fontId="1" type="noConversion"/>
  </si>
  <si>
    <t>兽王纲要</t>
    <phoneticPr fontId="1" type="noConversion"/>
  </si>
  <si>
    <t>资质影砂</t>
    <phoneticPr fontId="1" type="noConversion"/>
  </si>
  <si>
    <t>染料</t>
    <phoneticPr fontId="1" type="noConversion"/>
  </si>
  <si>
    <t>浓缩染料</t>
    <phoneticPr fontId="1" type="noConversion"/>
  </si>
  <si>
    <t>宠物染料</t>
    <phoneticPr fontId="1" type="noConversion"/>
  </si>
  <si>
    <t>装备图纸</t>
    <phoneticPr fontId="1" type="noConversion"/>
  </si>
  <si>
    <t>精铁</t>
    <phoneticPr fontId="1" type="noConversion"/>
  </si>
  <si>
    <t>原石</t>
    <phoneticPr fontId="1" type="noConversion"/>
  </si>
  <si>
    <t>修理宝石</t>
    <phoneticPr fontId="1" type="noConversion"/>
  </si>
  <si>
    <t>低级藏宝图加入强化石和珍稀五宝的掉落</t>
    <phoneticPr fontId="1" type="noConversion"/>
  </si>
  <si>
    <t>高级藏宝图去掉金银钥匙的掉落，替换为资质影砂和兽王纲要</t>
    <phoneticPr fontId="1" type="noConversion"/>
  </si>
  <si>
    <t>五宝</t>
  </si>
  <si>
    <t>金币、太阳井水、永恒井水、50级以后的书铁、原石、染料、浓缩染料、宠物染料、巨龙之骸、兽王纲要、资质影砂、修理宝石</t>
    <phoneticPr fontId="14" type="noConversion"/>
  </si>
  <si>
    <t>升级天数</t>
    <phoneticPr fontId="1" type="noConversion"/>
  </si>
  <si>
    <t>银币回收天数</t>
    <phoneticPr fontId="1" type="noConversion"/>
  </si>
  <si>
    <t>点卡服分段</t>
    <phoneticPr fontId="1" type="noConversion"/>
  </si>
  <si>
    <t>免费服分段</t>
    <phoneticPr fontId="1" type="noConversion"/>
  </si>
  <si>
    <t>点卡服分段可以改成</t>
    <phoneticPr fontId="1" type="noConversion"/>
  </si>
  <si>
    <t>1、点卡服也改为60级开第二个宝石孔</t>
    <phoneticPr fontId="1" type="noConversion"/>
  </si>
  <si>
    <t>2、修炼等级</t>
    <phoneticPr fontId="1" type="noConversion"/>
  </si>
  <si>
    <t>修改</t>
    <phoneticPr fontId="1" type="noConversion"/>
  </si>
  <si>
    <t>运镖任务10次  每次给500*角色等级的银币</t>
  </si>
  <si>
    <t>强盗的金币产量降到80*角色等级</t>
    <phoneticPr fontId="1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</si>
</sst>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  <font>
      <sz val="11"/>
      <color rgb="FF0070C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indexed="8"/>
      <name val="宋体"/>
      <family val="3"/>
      <charset val="134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50">
    <xf numFmtId="0" fontId="0" fillId="0" borderId="0" xfId="0">
      <alignment vertical="center"/>
    </xf>
    <xf numFmtId="0" fontId="7" fillId="0" borderId="2" xfId="0" applyFont="1" applyBorder="1">
      <alignment vertical="center"/>
    </xf>
    <xf numFmtId="0" fontId="7" fillId="5" borderId="2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7" fillId="0" borderId="3" xfId="0" applyFont="1" applyBorder="1">
      <alignment vertical="center"/>
    </xf>
    <xf numFmtId="0" fontId="8" fillId="0" borderId="4" xfId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6" fillId="0" borderId="0" xfId="0" applyFont="1">
      <alignment vertical="center"/>
    </xf>
    <xf numFmtId="0" fontId="7" fillId="0" borderId="4" xfId="1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7" fillId="0" borderId="5" xfId="0" applyFont="1" applyBorder="1">
      <alignment vertical="center"/>
    </xf>
    <xf numFmtId="0" fontId="7" fillId="5" borderId="5" xfId="0" applyFont="1" applyFill="1" applyBorder="1">
      <alignment vertical="center"/>
    </xf>
    <xf numFmtId="0" fontId="7" fillId="6" borderId="5" xfId="0" applyFont="1" applyFill="1" applyBorder="1">
      <alignment vertical="center"/>
    </xf>
    <xf numFmtId="0" fontId="11" fillId="0" borderId="5" xfId="0" applyFont="1" applyFill="1" applyBorder="1">
      <alignment vertical="center"/>
    </xf>
    <xf numFmtId="0" fontId="4" fillId="0" borderId="5" xfId="3" applyFill="1" applyBorder="1" applyAlignment="1">
      <alignment horizontal="right" vertical="center"/>
    </xf>
    <xf numFmtId="0" fontId="12" fillId="0" borderId="0" xfId="0" applyFont="1">
      <alignment vertical="center"/>
    </xf>
    <xf numFmtId="0" fontId="6" fillId="0" borderId="5" xfId="0" applyFont="1" applyBorder="1">
      <alignment vertical="center"/>
    </xf>
    <xf numFmtId="0" fontId="7" fillId="0" borderId="5" xfId="3" applyFont="1" applyFill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3" fillId="0" borderId="4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6" xfId="0" applyFont="1" applyFill="1" applyBorder="1">
      <alignment vertical="center"/>
    </xf>
    <xf numFmtId="0" fontId="13" fillId="0" borderId="4" xfId="0" applyFont="1" applyFill="1" applyBorder="1">
      <alignment vertical="center"/>
    </xf>
    <xf numFmtId="0" fontId="15" fillId="0" borderId="0" xfId="0" applyFont="1">
      <alignment vertic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6" fillId="0" borderId="0" xfId="4">
      <alignment vertical="center"/>
    </xf>
    <xf numFmtId="0" fontId="16" fillId="0" borderId="0" xfId="5">
      <alignment vertical="center"/>
    </xf>
    <xf numFmtId="0" fontId="16" fillId="0" borderId="0" xfId="6">
      <alignment vertical="center"/>
    </xf>
    <xf numFmtId="0" fontId="16" fillId="0" borderId="0" xfId="7">
      <alignment vertical="center"/>
    </xf>
    <xf numFmtId="0" fontId="16" fillId="0" borderId="0" xfId="8">
      <alignment vertical="center"/>
    </xf>
    <xf numFmtId="0" fontId="16" fillId="0" borderId="0" xfId="9">
      <alignment vertical="center"/>
    </xf>
    <xf numFmtId="0" fontId="18" fillId="0" borderId="0" xfId="0" applyFont="1" applyAlignment="1">
      <alignment horizontal="center" wrapText="1"/>
    </xf>
    <xf numFmtId="0" fontId="11" fillId="5" borderId="5" xfId="0" applyFont="1" applyFill="1" applyBorder="1">
      <alignment vertical="center"/>
    </xf>
    <xf numFmtId="0" fontId="11" fillId="5" borderId="5" xfId="0" applyFont="1" applyFill="1" applyBorder="1" applyAlignment="1">
      <alignment horizontal="center" vertical="center"/>
    </xf>
    <xf numFmtId="0" fontId="5" fillId="0" borderId="5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0">
    <cellStyle name="差" xfId="2" builtinId="27"/>
    <cellStyle name="常规" xfId="0" builtinId="0"/>
    <cellStyle name="常规 10" xfId="8"/>
    <cellStyle name="常规 3" xfId="9"/>
    <cellStyle name="常规 6" xfId="4"/>
    <cellStyle name="常规 7" xfId="5"/>
    <cellStyle name="常规 8" xfId="6"/>
    <cellStyle name="常规 9" xfId="7"/>
    <cellStyle name="好" xfId="1" builtinId="26"/>
    <cellStyle name="适中" xfId="3" builtinId="2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2:AH80"/>
  <sheetViews>
    <sheetView tabSelected="1" topLeftCell="G1" workbookViewId="0">
      <selection activeCell="Y20" sqref="Y20"/>
    </sheetView>
  </sheetViews>
  <sheetFormatPr defaultRowHeight="13.5"/>
  <cols>
    <col min="6" max="6" width="19.75" customWidth="1"/>
    <col min="11" max="11" width="19.5" bestFit="1" customWidth="1"/>
    <col min="21" max="21" width="20.25" customWidth="1"/>
    <col min="24" max="24" width="9.375" bestFit="1" customWidth="1"/>
    <col min="26" max="26" width="10.5" bestFit="1" customWidth="1"/>
    <col min="27" max="27" width="12.25" customWidth="1"/>
    <col min="34" max="34" width="13" bestFit="1" customWidth="1"/>
  </cols>
  <sheetData>
    <row r="2" spans="4:34">
      <c r="F2" s="13"/>
      <c r="G2" s="13"/>
      <c r="H2" s="13"/>
      <c r="I2" s="13"/>
      <c r="J2" s="13"/>
      <c r="K2" s="13"/>
    </row>
    <row r="3" spans="4:34">
      <c r="D3" s="35">
        <v>1</v>
      </c>
      <c r="F3" s="13" t="s">
        <v>12</v>
      </c>
      <c r="G3" s="13"/>
      <c r="H3" s="13"/>
      <c r="I3" s="13"/>
      <c r="J3" s="13"/>
      <c r="K3" s="13"/>
    </row>
    <row r="4" spans="4:34">
      <c r="D4" s="35"/>
      <c r="F4" s="13"/>
      <c r="G4" s="13"/>
      <c r="H4" s="13"/>
      <c r="I4" s="13"/>
      <c r="J4" s="13"/>
      <c r="K4" s="13"/>
    </row>
    <row r="5" spans="4:34">
      <c r="D5" s="35">
        <v>2</v>
      </c>
      <c r="E5" s="12" t="s">
        <v>10</v>
      </c>
      <c r="F5" s="13"/>
      <c r="G5" s="14" t="s">
        <v>8</v>
      </c>
      <c r="H5" s="14" t="s">
        <v>9</v>
      </c>
      <c r="I5" s="13"/>
      <c r="J5" s="25" t="s">
        <v>11</v>
      </c>
      <c r="K5" s="13"/>
      <c r="L5" s="5" t="s">
        <v>8</v>
      </c>
      <c r="M5" s="5" t="s">
        <v>9</v>
      </c>
    </row>
    <row r="6" spans="4:34">
      <c r="D6" s="35"/>
      <c r="F6" s="15" t="s">
        <v>13</v>
      </c>
      <c r="G6" s="16">
        <v>4</v>
      </c>
      <c r="H6" s="16">
        <v>8</v>
      </c>
      <c r="I6" s="13"/>
      <c r="J6" s="13"/>
      <c r="K6" s="20" t="s">
        <v>13</v>
      </c>
      <c r="L6" s="6">
        <v>4</v>
      </c>
      <c r="M6" s="29"/>
    </row>
    <row r="7" spans="4:34">
      <c r="D7" s="35"/>
      <c r="F7" s="1" t="s">
        <v>14</v>
      </c>
      <c r="G7" s="16">
        <v>1.65</v>
      </c>
      <c r="H7" s="16"/>
      <c r="I7" s="13"/>
      <c r="J7" s="13"/>
      <c r="K7" s="20" t="s">
        <v>14</v>
      </c>
      <c r="L7" s="6">
        <v>1.65</v>
      </c>
      <c r="M7" s="6"/>
    </row>
    <row r="8" spans="4:34">
      <c r="D8" s="35"/>
      <c r="F8" s="1" t="s">
        <v>15</v>
      </c>
      <c r="G8" s="16">
        <v>0.5</v>
      </c>
      <c r="H8" s="16"/>
      <c r="I8" s="13"/>
      <c r="J8" s="13"/>
      <c r="K8" s="20" t="s">
        <v>15</v>
      </c>
      <c r="L8" s="6">
        <v>0.5</v>
      </c>
      <c r="M8" s="6"/>
    </row>
    <row r="9" spans="4:34">
      <c r="D9" s="35"/>
      <c r="F9" s="1" t="s">
        <v>16</v>
      </c>
      <c r="G9" s="16">
        <v>1</v>
      </c>
      <c r="H9" s="16">
        <v>10</v>
      </c>
      <c r="I9" s="13"/>
      <c r="J9" s="13"/>
      <c r="K9" s="20" t="s">
        <v>16</v>
      </c>
      <c r="L9" s="6">
        <v>1</v>
      </c>
      <c r="M9" s="11">
        <v>20</v>
      </c>
    </row>
    <row r="10" spans="4:34">
      <c r="D10" s="35"/>
      <c r="F10" s="1" t="s">
        <v>17</v>
      </c>
      <c r="G10" s="16"/>
      <c r="H10" s="16"/>
      <c r="I10" s="13"/>
      <c r="J10" s="13"/>
      <c r="K10" s="20" t="s">
        <v>17</v>
      </c>
      <c r="L10" s="6"/>
      <c r="M10" s="6"/>
    </row>
    <row r="11" spans="4:34">
      <c r="D11" s="35"/>
      <c r="F11" s="2" t="s">
        <v>0</v>
      </c>
      <c r="G11" s="17"/>
      <c r="H11" s="17"/>
      <c r="I11" s="13"/>
      <c r="J11" s="13"/>
      <c r="K11" s="21" t="s">
        <v>0</v>
      </c>
      <c r="L11" s="7"/>
      <c r="M11" s="7"/>
    </row>
    <row r="12" spans="4:34">
      <c r="D12" s="35"/>
      <c r="F12" s="2" t="s">
        <v>18</v>
      </c>
      <c r="G12" s="17"/>
      <c r="H12" s="17"/>
      <c r="I12" s="13"/>
      <c r="J12" s="13"/>
      <c r="K12" s="21" t="s">
        <v>18</v>
      </c>
      <c r="L12" s="7"/>
      <c r="M12" s="7"/>
    </row>
    <row r="13" spans="4:34">
      <c r="D13" s="35"/>
      <c r="F13" s="2" t="s">
        <v>19</v>
      </c>
      <c r="G13" s="17"/>
      <c r="H13" s="17"/>
      <c r="I13" s="13"/>
      <c r="J13" s="13"/>
      <c r="K13" s="21" t="s">
        <v>19</v>
      </c>
      <c r="L13" s="7"/>
      <c r="M13" s="7"/>
    </row>
    <row r="14" spans="4:34">
      <c r="D14" s="35"/>
      <c r="F14" s="3" t="s">
        <v>20</v>
      </c>
      <c r="G14" s="16">
        <v>1</v>
      </c>
      <c r="H14" s="16">
        <v>10</v>
      </c>
      <c r="I14" s="13"/>
      <c r="J14" s="13"/>
      <c r="K14" s="22" t="s">
        <v>20</v>
      </c>
      <c r="L14" s="8">
        <v>1</v>
      </c>
      <c r="M14" s="8">
        <v>10</v>
      </c>
      <c r="T14" t="s">
        <v>61</v>
      </c>
      <c r="AG14" t="s">
        <v>59</v>
      </c>
      <c r="AH14" t="s">
        <v>60</v>
      </c>
    </row>
    <row r="15" spans="4:34">
      <c r="D15" s="35"/>
      <c r="F15" s="1" t="s">
        <v>1</v>
      </c>
      <c r="G15" s="16">
        <v>1</v>
      </c>
      <c r="H15" s="16">
        <v>5</v>
      </c>
      <c r="I15" s="13"/>
      <c r="J15" s="13"/>
      <c r="K15" s="20" t="s">
        <v>1</v>
      </c>
      <c r="L15" s="6">
        <v>1</v>
      </c>
      <c r="M15" s="29"/>
      <c r="T15">
        <v>3</v>
      </c>
      <c r="U15">
        <f>80000*12*2^(T15-1)-SUM($U$14:U14)</f>
        <v>3840000</v>
      </c>
      <c r="AF15">
        <f>U15+AE15-2500000</f>
        <v>1340000</v>
      </c>
      <c r="AG15">
        <v>1</v>
      </c>
      <c r="AH15">
        <f t="shared" ref="AH15:AH21" si="0">ROUND(AF15/(300000*T15),0)</f>
        <v>1</v>
      </c>
    </row>
    <row r="16" spans="4:34">
      <c r="D16" s="35"/>
      <c r="F16" s="1" t="s">
        <v>21</v>
      </c>
      <c r="G16" s="16"/>
      <c r="H16" s="16"/>
      <c r="I16" s="13"/>
      <c r="J16" s="13"/>
      <c r="K16" s="20" t="s">
        <v>21</v>
      </c>
      <c r="L16" s="6"/>
      <c r="M16" s="9"/>
      <c r="T16">
        <v>4</v>
      </c>
      <c r="U16">
        <f>80000*12*2^(T16-1)-SUM($U$14:U15)</f>
        <v>3840000</v>
      </c>
      <c r="V16" s="37">
        <v>1800000</v>
      </c>
      <c r="W16" s="37">
        <v>2880000</v>
      </c>
      <c r="AE16">
        <f>SUM(V16:AD16)</f>
        <v>4680000</v>
      </c>
      <c r="AF16">
        <f t="shared" ref="AF16:AF21" si="1">U16+AE16</f>
        <v>8520000</v>
      </c>
      <c r="AG16">
        <v>3</v>
      </c>
      <c r="AH16">
        <f t="shared" si="0"/>
        <v>7</v>
      </c>
    </row>
    <row r="17" spans="4:34">
      <c r="D17" s="35"/>
      <c r="F17" s="1" t="s">
        <v>22</v>
      </c>
      <c r="G17" s="16"/>
      <c r="H17" s="16"/>
      <c r="I17" s="13"/>
      <c r="J17" s="13"/>
      <c r="K17" s="20" t="s">
        <v>22</v>
      </c>
      <c r="L17" s="6"/>
      <c r="M17" s="9"/>
      <c r="T17">
        <v>5</v>
      </c>
      <c r="U17">
        <f>80000*12*2^(T17-1)-SUM($U$14:U16)</f>
        <v>7680000</v>
      </c>
      <c r="V17" s="37">
        <v>4320000</v>
      </c>
      <c r="W17" s="37">
        <v>6120000</v>
      </c>
      <c r="X17" s="37">
        <v>8280000</v>
      </c>
      <c r="Y17" s="37">
        <v>10800000</v>
      </c>
      <c r="AE17">
        <f t="shared" ref="AE17:AE21" si="2">SUM(V17:AD17)</f>
        <v>29520000</v>
      </c>
      <c r="AF17">
        <f t="shared" si="1"/>
        <v>37200000</v>
      </c>
      <c r="AG17">
        <v>6</v>
      </c>
      <c r="AH17">
        <f t="shared" si="0"/>
        <v>25</v>
      </c>
    </row>
    <row r="18" spans="4:34">
      <c r="D18" s="35"/>
      <c r="F18" s="1" t="s">
        <v>2</v>
      </c>
      <c r="G18" s="16"/>
      <c r="H18" s="16"/>
      <c r="I18" s="13"/>
      <c r="J18" s="13"/>
      <c r="K18" s="20" t="s">
        <v>2</v>
      </c>
      <c r="L18" s="6"/>
      <c r="M18" s="9"/>
      <c r="T18">
        <v>6</v>
      </c>
      <c r="U18">
        <f>80000*12*2^(T18-1)-SUM($U$14:U17)</f>
        <v>15360000</v>
      </c>
      <c r="V18" s="37">
        <v>13680000</v>
      </c>
      <c r="W18" s="37">
        <v>16920000</v>
      </c>
      <c r="X18" s="37">
        <v>20520000</v>
      </c>
      <c r="Y18" s="37">
        <v>24480000</v>
      </c>
      <c r="AE18">
        <f t="shared" si="2"/>
        <v>75600000</v>
      </c>
      <c r="AF18">
        <f t="shared" si="1"/>
        <v>90960000</v>
      </c>
      <c r="AG18">
        <v>35</v>
      </c>
      <c r="AH18">
        <f t="shared" si="0"/>
        <v>51</v>
      </c>
    </row>
    <row r="19" spans="4:34">
      <c r="D19" s="35"/>
      <c r="F19" s="1" t="s">
        <v>3</v>
      </c>
      <c r="G19" s="16">
        <v>0.5</v>
      </c>
      <c r="H19" s="16"/>
      <c r="I19" s="13"/>
      <c r="J19" s="13"/>
      <c r="K19" s="20" t="s">
        <v>3</v>
      </c>
      <c r="L19" s="6">
        <v>0.5</v>
      </c>
      <c r="M19" s="9"/>
      <c r="T19">
        <v>7</v>
      </c>
      <c r="U19">
        <f>80000*12*2^(T19-1)-SUM($U$14:U18)</f>
        <v>30720000</v>
      </c>
      <c r="V19" s="37">
        <v>28800000</v>
      </c>
      <c r="W19" s="37">
        <v>33480000</v>
      </c>
      <c r="X19" s="37">
        <v>39420000</v>
      </c>
      <c r="Y19" s="37">
        <v>48420000</v>
      </c>
      <c r="AE19">
        <f t="shared" si="2"/>
        <v>150120000</v>
      </c>
      <c r="AF19">
        <f t="shared" si="1"/>
        <v>180840000</v>
      </c>
      <c r="AG19">
        <v>80</v>
      </c>
      <c r="AH19">
        <f t="shared" si="0"/>
        <v>86</v>
      </c>
    </row>
    <row r="20" spans="4:34">
      <c r="D20" s="35"/>
      <c r="F20" s="1" t="s">
        <v>4</v>
      </c>
      <c r="G20" s="16">
        <v>5</v>
      </c>
      <c r="H20" s="16">
        <v>10</v>
      </c>
      <c r="I20" s="13"/>
      <c r="J20" s="13"/>
      <c r="K20" s="20" t="s">
        <v>4</v>
      </c>
      <c r="L20" s="6">
        <v>5</v>
      </c>
      <c r="M20" s="29"/>
      <c r="T20">
        <v>8</v>
      </c>
      <c r="U20">
        <f>80000*12*2^(T20-1)-SUM($U$14:U19)</f>
        <v>61440000</v>
      </c>
      <c r="V20" s="37">
        <v>59220000</v>
      </c>
      <c r="W20" s="37">
        <v>72000000</v>
      </c>
      <c r="X20" s="37">
        <v>86940000</v>
      </c>
      <c r="Y20" s="37">
        <v>104220000</v>
      </c>
      <c r="AE20">
        <f t="shared" si="2"/>
        <v>322380000</v>
      </c>
      <c r="AF20">
        <f t="shared" si="1"/>
        <v>383820000</v>
      </c>
      <c r="AG20">
        <v>103</v>
      </c>
      <c r="AH20">
        <f t="shared" si="0"/>
        <v>160</v>
      </c>
    </row>
    <row r="21" spans="4:34">
      <c r="D21" s="35"/>
      <c r="F21" s="4" t="s">
        <v>5</v>
      </c>
      <c r="G21" s="16"/>
      <c r="H21" s="16"/>
      <c r="I21" s="13"/>
      <c r="J21" s="13"/>
      <c r="K21" s="20" t="s">
        <v>5</v>
      </c>
      <c r="L21" s="6"/>
      <c r="M21" s="6"/>
      <c r="N21" t="s">
        <v>41</v>
      </c>
      <c r="T21">
        <v>9</v>
      </c>
      <c r="U21">
        <f>80000*12*2^(10-1)-SUM($U$14:U20)</f>
        <v>368640000</v>
      </c>
      <c r="V21" s="37">
        <v>124020000</v>
      </c>
      <c r="W21" s="37">
        <v>146520000</v>
      </c>
      <c r="AE21">
        <f t="shared" si="2"/>
        <v>270540000</v>
      </c>
      <c r="AF21">
        <f t="shared" si="1"/>
        <v>639180000</v>
      </c>
      <c r="AG21">
        <v>128</v>
      </c>
      <c r="AH21">
        <f t="shared" si="0"/>
        <v>237</v>
      </c>
    </row>
    <row r="22" spans="4:34">
      <c r="D22" s="35"/>
      <c r="F22" s="1" t="s">
        <v>23</v>
      </c>
      <c r="G22" s="16">
        <v>1</v>
      </c>
      <c r="H22" s="16">
        <v>3</v>
      </c>
      <c r="I22" s="13"/>
      <c r="J22" s="13"/>
      <c r="K22" s="46" t="s">
        <v>25</v>
      </c>
      <c r="L22" s="47"/>
      <c r="M22" s="47"/>
      <c r="N22">
        <v>30</v>
      </c>
    </row>
    <row r="23" spans="4:34">
      <c r="D23" s="35"/>
      <c r="F23" s="1" t="s">
        <v>24</v>
      </c>
      <c r="G23" s="16">
        <v>1</v>
      </c>
      <c r="H23" s="16"/>
      <c r="I23" s="13"/>
      <c r="J23" s="13"/>
      <c r="K23" s="46" t="s">
        <v>27</v>
      </c>
      <c r="L23" s="46"/>
      <c r="M23" s="47"/>
      <c r="N23">
        <v>30</v>
      </c>
      <c r="T23" t="s">
        <v>62</v>
      </c>
    </row>
    <row r="24" spans="4:34">
      <c r="D24" s="35"/>
      <c r="F24" s="1" t="s">
        <v>26</v>
      </c>
      <c r="G24" s="16">
        <v>1</v>
      </c>
      <c r="H24" s="16"/>
      <c r="I24" s="13"/>
      <c r="J24" s="13"/>
      <c r="K24" s="20" t="s">
        <v>23</v>
      </c>
      <c r="L24" s="6">
        <v>1</v>
      </c>
      <c r="M24" s="29"/>
      <c r="N24">
        <v>25</v>
      </c>
      <c r="T24">
        <v>3</v>
      </c>
      <c r="U24">
        <f>80000*6*2^(T24-1)-SUM($U$23:U23)</f>
        <v>1920000</v>
      </c>
      <c r="AF24">
        <f>U24+AE24-2500000</f>
        <v>-580000</v>
      </c>
      <c r="AG24">
        <v>1</v>
      </c>
      <c r="AH24">
        <f t="shared" ref="AH24:AH30" si="3">ROUND(AF24/(300000*T24),0)</f>
        <v>-1</v>
      </c>
    </row>
    <row r="25" spans="4:34">
      <c r="D25" s="35"/>
      <c r="F25" s="1" t="s">
        <v>6</v>
      </c>
      <c r="G25" s="18">
        <v>1.5</v>
      </c>
      <c r="H25" s="18">
        <v>4</v>
      </c>
      <c r="I25" s="13"/>
      <c r="J25" s="13"/>
      <c r="K25" s="20" t="s">
        <v>26</v>
      </c>
      <c r="L25" s="6">
        <v>1</v>
      </c>
      <c r="M25" s="6"/>
      <c r="N25">
        <v>35</v>
      </c>
      <c r="T25">
        <v>4</v>
      </c>
      <c r="U25">
        <f>80000*6*2^(T25-1)-SUM($U$23:U24)</f>
        <v>1920000</v>
      </c>
      <c r="V25" s="37">
        <v>1800000</v>
      </c>
      <c r="AE25">
        <f>SUM(V25:AD25)</f>
        <v>1800000</v>
      </c>
      <c r="AF25">
        <f t="shared" ref="AF25:AF30" si="4">U25+AE25</f>
        <v>3720000</v>
      </c>
      <c r="AG25">
        <v>3</v>
      </c>
      <c r="AH25">
        <f t="shared" si="3"/>
        <v>3</v>
      </c>
    </row>
    <row r="26" spans="4:34">
      <c r="D26" s="35"/>
      <c r="F26" s="1" t="s">
        <v>28</v>
      </c>
      <c r="G26" s="16">
        <v>1</v>
      </c>
      <c r="H26" s="16"/>
      <c r="I26" s="13"/>
      <c r="J26" s="13"/>
      <c r="K26" s="20" t="s">
        <v>6</v>
      </c>
      <c r="L26" s="10">
        <v>1.5</v>
      </c>
      <c r="M26" s="48">
        <v>10</v>
      </c>
      <c r="N26">
        <v>25</v>
      </c>
      <c r="T26">
        <v>5</v>
      </c>
      <c r="U26">
        <f>80000*6*2^(T26-1)-SUM($U$23:U25)</f>
        <v>3840000</v>
      </c>
      <c r="V26" s="37">
        <v>2880000</v>
      </c>
      <c r="W26" s="37">
        <v>4320000</v>
      </c>
      <c r="X26" s="37">
        <v>6120000</v>
      </c>
      <c r="AE26">
        <f t="shared" ref="AE26:AE30" si="5">SUM(V26:AD26)</f>
        <v>13320000</v>
      </c>
      <c r="AF26">
        <f t="shared" si="4"/>
        <v>17160000</v>
      </c>
      <c r="AG26">
        <v>6</v>
      </c>
      <c r="AH26">
        <f t="shared" si="3"/>
        <v>11</v>
      </c>
    </row>
    <row r="27" spans="4:34">
      <c r="D27" s="35"/>
      <c r="F27" s="1" t="s">
        <v>7</v>
      </c>
      <c r="G27" s="16">
        <v>1</v>
      </c>
      <c r="H27" s="16"/>
      <c r="I27" s="13"/>
      <c r="J27" s="13"/>
      <c r="K27" s="23" t="s">
        <v>38</v>
      </c>
      <c r="L27" s="28">
        <v>1.5</v>
      </c>
      <c r="M27" s="49">
        <v>10</v>
      </c>
      <c r="N27">
        <v>35</v>
      </c>
      <c r="T27">
        <v>6</v>
      </c>
      <c r="U27">
        <f>80000*12*2^(7-1)-SUM($U$23:U26)</f>
        <v>53760000</v>
      </c>
      <c r="V27" s="37">
        <v>8280000</v>
      </c>
      <c r="W27" s="37">
        <v>10800000</v>
      </c>
      <c r="X27" s="37">
        <v>13680000</v>
      </c>
      <c r="Y27" s="37">
        <v>16920000</v>
      </c>
      <c r="Z27" s="37">
        <v>20520000</v>
      </c>
      <c r="AA27" s="37">
        <v>24480000</v>
      </c>
      <c r="AB27" s="37">
        <v>28800000</v>
      </c>
      <c r="AC27" s="37">
        <v>33480000</v>
      </c>
      <c r="AE27">
        <f t="shared" si="5"/>
        <v>156960000</v>
      </c>
      <c r="AF27">
        <f t="shared" si="4"/>
        <v>210720000</v>
      </c>
      <c r="AG27">
        <v>35</v>
      </c>
      <c r="AH27">
        <f t="shared" si="3"/>
        <v>117</v>
      </c>
    </row>
    <row r="28" spans="4:34">
      <c r="D28" s="35"/>
      <c r="F28" s="1" t="s">
        <v>29</v>
      </c>
      <c r="G28" s="16">
        <v>1</v>
      </c>
      <c r="H28" s="16"/>
      <c r="I28" s="13"/>
      <c r="J28" s="13"/>
      <c r="K28" s="20" t="s">
        <v>28</v>
      </c>
      <c r="L28" s="6">
        <v>1</v>
      </c>
      <c r="M28" s="6"/>
      <c r="T28">
        <v>7</v>
      </c>
      <c r="U28">
        <f>80000*12*2^(9-1)-SUM($U$23:U27)</f>
        <v>184320000</v>
      </c>
      <c r="V28" s="37">
        <v>39420000</v>
      </c>
      <c r="W28" s="37">
        <v>48420000</v>
      </c>
      <c r="X28" s="37">
        <v>59220000</v>
      </c>
      <c r="Y28" s="37">
        <v>72000000</v>
      </c>
      <c r="AE28">
        <f t="shared" si="5"/>
        <v>219060000</v>
      </c>
      <c r="AF28">
        <f t="shared" si="4"/>
        <v>403380000</v>
      </c>
      <c r="AG28">
        <v>80</v>
      </c>
      <c r="AH28">
        <f t="shared" si="3"/>
        <v>192</v>
      </c>
    </row>
    <row r="29" spans="4:34">
      <c r="D29" s="35"/>
      <c r="F29" s="1" t="s">
        <v>30</v>
      </c>
      <c r="G29" s="16">
        <v>3</v>
      </c>
      <c r="H29" s="16">
        <v>10</v>
      </c>
      <c r="I29" s="13"/>
      <c r="J29" s="13"/>
      <c r="K29" s="20" t="s">
        <v>7</v>
      </c>
      <c r="L29" s="6">
        <v>1</v>
      </c>
      <c r="M29" s="6"/>
      <c r="T29">
        <v>8</v>
      </c>
      <c r="U29" s="30">
        <f>80000*12*2^(11-1)-SUM($U$23:U28)</f>
        <v>737280000</v>
      </c>
      <c r="V29" s="37">
        <v>86940000</v>
      </c>
      <c r="W29" s="37">
        <v>104220000</v>
      </c>
      <c r="X29" s="37">
        <v>124020000</v>
      </c>
      <c r="Y29" s="37">
        <v>146520000</v>
      </c>
      <c r="AE29">
        <f t="shared" si="5"/>
        <v>461700000</v>
      </c>
      <c r="AF29">
        <f t="shared" si="4"/>
        <v>1198980000</v>
      </c>
      <c r="AG29">
        <v>103</v>
      </c>
      <c r="AH29">
        <f t="shared" si="3"/>
        <v>500</v>
      </c>
    </row>
    <row r="30" spans="4:34">
      <c r="D30" s="35"/>
      <c r="F30" s="1" t="s">
        <v>31</v>
      </c>
      <c r="G30" s="16">
        <v>0.5</v>
      </c>
      <c r="H30" s="16"/>
      <c r="I30" s="13"/>
      <c r="J30" s="13"/>
      <c r="K30" s="20" t="s">
        <v>29</v>
      </c>
      <c r="L30" s="6">
        <v>1</v>
      </c>
      <c r="M30" s="6">
        <v>5</v>
      </c>
      <c r="O30">
        <f>5*7/2</f>
        <v>17.5</v>
      </c>
      <c r="T30">
        <v>9</v>
      </c>
      <c r="U30" s="30">
        <f>80000*12*2^(13-1)-SUM($U$23:U29)</f>
        <v>2949120000</v>
      </c>
      <c r="V30" s="37"/>
      <c r="W30" s="37"/>
      <c r="AE30">
        <f t="shared" si="5"/>
        <v>0</v>
      </c>
      <c r="AF30">
        <f t="shared" si="4"/>
        <v>2949120000</v>
      </c>
      <c r="AG30">
        <v>128</v>
      </c>
      <c r="AH30">
        <f t="shared" si="3"/>
        <v>1092</v>
      </c>
    </row>
    <row r="31" spans="4:34">
      <c r="D31" s="35"/>
      <c r="F31" s="2" t="s">
        <v>32</v>
      </c>
      <c r="G31" s="17"/>
      <c r="H31" s="17"/>
      <c r="I31" s="13"/>
      <c r="J31" s="13"/>
      <c r="K31" s="20" t="s">
        <v>30</v>
      </c>
      <c r="L31" s="6">
        <v>3</v>
      </c>
      <c r="M31" s="11">
        <v>20</v>
      </c>
    </row>
    <row r="32" spans="4:34">
      <c r="D32" s="35"/>
      <c r="F32" s="2" t="s">
        <v>33</v>
      </c>
      <c r="G32" s="17"/>
      <c r="H32" s="17"/>
      <c r="I32" s="13"/>
      <c r="J32" s="13"/>
      <c r="K32" s="20" t="s">
        <v>31</v>
      </c>
      <c r="L32" s="6">
        <v>0.5</v>
      </c>
      <c r="M32" s="6">
        <v>5</v>
      </c>
      <c r="O32">
        <f>5*7</f>
        <v>35</v>
      </c>
    </row>
    <row r="33" spans="4:34">
      <c r="D33" s="35"/>
      <c r="F33" s="15" t="s">
        <v>34</v>
      </c>
      <c r="G33" s="16"/>
      <c r="H33" s="16"/>
      <c r="I33" s="13"/>
      <c r="J33" s="13"/>
      <c r="K33" s="21" t="s">
        <v>32</v>
      </c>
      <c r="L33" s="7"/>
      <c r="M33" s="7"/>
      <c r="T33" t="s">
        <v>63</v>
      </c>
      <c r="AG33" t="s">
        <v>59</v>
      </c>
      <c r="AH33" t="s">
        <v>60</v>
      </c>
    </row>
    <row r="34" spans="4:34">
      <c r="D34" s="35"/>
      <c r="F34" s="4" t="s">
        <v>35</v>
      </c>
      <c r="G34" s="16"/>
      <c r="H34" s="27"/>
      <c r="I34" s="13"/>
      <c r="J34" s="13"/>
      <c r="K34" s="21" t="s">
        <v>33</v>
      </c>
      <c r="L34" s="7"/>
      <c r="M34" s="7"/>
      <c r="T34">
        <v>3</v>
      </c>
      <c r="U34">
        <f>80000*6*2^(T34-1)-SUM($U$33:U33)</f>
        <v>1920000</v>
      </c>
      <c r="AF34">
        <f>U34+AE34-2500000</f>
        <v>-580000</v>
      </c>
      <c r="AG34">
        <v>1</v>
      </c>
      <c r="AH34">
        <f t="shared" ref="AH34:AH40" si="6">ROUND(AF34/(300000*T34),0)</f>
        <v>-1</v>
      </c>
    </row>
    <row r="35" spans="4:34">
      <c r="D35" s="35"/>
      <c r="F35" s="20" t="s">
        <v>36</v>
      </c>
      <c r="G35" s="16"/>
      <c r="H35" s="16">
        <v>20</v>
      </c>
      <c r="I35" s="13"/>
      <c r="J35" s="13"/>
      <c r="K35" s="20" t="s">
        <v>34</v>
      </c>
      <c r="L35" s="6"/>
      <c r="M35" s="6"/>
      <c r="T35">
        <v>4</v>
      </c>
      <c r="U35">
        <f>80000*6*2^(T35-1)-SUM($U$33:U34)</f>
        <v>1920000</v>
      </c>
      <c r="V35" s="37">
        <v>1800000</v>
      </c>
      <c r="AE35">
        <f>SUM(V35:AD35)</f>
        <v>1800000</v>
      </c>
      <c r="AF35">
        <f t="shared" ref="AF35:AF40" si="7">U35+AE35</f>
        <v>3720000</v>
      </c>
      <c r="AG35">
        <v>3</v>
      </c>
      <c r="AH35">
        <f t="shared" si="6"/>
        <v>3</v>
      </c>
    </row>
    <row r="36" spans="4:34">
      <c r="D36" s="35"/>
      <c r="F36" s="20" t="s">
        <v>37</v>
      </c>
      <c r="G36" s="26"/>
      <c r="H36" s="16"/>
      <c r="I36" s="13"/>
      <c r="J36" s="13"/>
      <c r="K36" s="20" t="s">
        <v>35</v>
      </c>
      <c r="L36" s="6"/>
      <c r="M36" s="24"/>
      <c r="T36">
        <v>5</v>
      </c>
      <c r="U36">
        <f>80000*6*2^(T36-1)-SUM($U$33:U35)</f>
        <v>3840000</v>
      </c>
      <c r="V36" s="37">
        <v>2880000</v>
      </c>
      <c r="W36" s="37">
        <v>4320000</v>
      </c>
      <c r="X36" s="37">
        <v>6120000</v>
      </c>
      <c r="AE36">
        <f t="shared" ref="AE36:AE40" si="8">SUM(V36:AD36)</f>
        <v>13320000</v>
      </c>
      <c r="AF36">
        <f t="shared" si="7"/>
        <v>17160000</v>
      </c>
      <c r="AG36">
        <v>6</v>
      </c>
      <c r="AH36">
        <f t="shared" si="6"/>
        <v>11</v>
      </c>
    </row>
    <row r="37" spans="4:34">
      <c r="D37" s="35"/>
      <c r="F37" s="13"/>
      <c r="G37" s="13"/>
      <c r="H37" s="13"/>
      <c r="I37" s="13"/>
      <c r="J37" s="13"/>
      <c r="K37" s="20" t="s">
        <v>36</v>
      </c>
      <c r="L37" s="6"/>
      <c r="M37" s="8">
        <v>20</v>
      </c>
      <c r="T37">
        <v>6</v>
      </c>
      <c r="U37">
        <f>80000*12*2^(T37-1)-SUM($U$33:U36)</f>
        <v>23040000</v>
      </c>
      <c r="V37" s="37">
        <v>8280000</v>
      </c>
      <c r="W37" s="37">
        <v>10800000</v>
      </c>
      <c r="X37" s="37">
        <v>13680000</v>
      </c>
      <c r="Y37" s="37">
        <v>16920000</v>
      </c>
      <c r="Z37" s="37">
        <v>20520000</v>
      </c>
      <c r="AE37">
        <f t="shared" si="8"/>
        <v>70200000</v>
      </c>
      <c r="AF37">
        <f t="shared" si="7"/>
        <v>93240000</v>
      </c>
      <c r="AG37">
        <v>35</v>
      </c>
      <c r="AH37">
        <f t="shared" si="6"/>
        <v>52</v>
      </c>
    </row>
    <row r="38" spans="4:34">
      <c r="D38" s="35"/>
      <c r="F38" s="13"/>
      <c r="G38" s="13"/>
      <c r="H38" s="13"/>
      <c r="I38" s="13"/>
      <c r="J38" s="13"/>
      <c r="K38" s="20" t="s">
        <v>37</v>
      </c>
      <c r="L38" s="19"/>
      <c r="M38" s="9"/>
      <c r="T38">
        <v>7</v>
      </c>
      <c r="U38">
        <f>80000*12*2^(T38-1)-SUM($U$33:U37)</f>
        <v>30720000</v>
      </c>
      <c r="V38" s="37">
        <v>24480000</v>
      </c>
      <c r="W38" s="37">
        <v>28800000</v>
      </c>
      <c r="X38" s="37">
        <v>33480000</v>
      </c>
      <c r="Y38" s="37">
        <v>39420000</v>
      </c>
      <c r="Z38" s="37">
        <v>48420000</v>
      </c>
      <c r="AE38">
        <f t="shared" si="8"/>
        <v>174600000</v>
      </c>
      <c r="AF38">
        <f t="shared" si="7"/>
        <v>205320000</v>
      </c>
      <c r="AG38">
        <v>80</v>
      </c>
      <c r="AH38">
        <f t="shared" si="6"/>
        <v>98</v>
      </c>
    </row>
    <row r="39" spans="4:34">
      <c r="D39" s="35"/>
      <c r="F39" s="13"/>
      <c r="G39" s="13"/>
      <c r="H39" s="13"/>
      <c r="I39" s="13"/>
      <c r="J39" s="13"/>
      <c r="K39" s="13"/>
      <c r="T39">
        <v>8</v>
      </c>
      <c r="U39">
        <f>80000*12*2^(T39-1)-SUM($U$33:U38)</f>
        <v>61440000</v>
      </c>
      <c r="V39" s="37">
        <v>72000000</v>
      </c>
      <c r="W39" s="37">
        <v>59220000</v>
      </c>
      <c r="X39" s="37">
        <v>86940000</v>
      </c>
      <c r="Y39" s="37">
        <v>104220000</v>
      </c>
      <c r="AE39">
        <f t="shared" si="8"/>
        <v>322380000</v>
      </c>
      <c r="AF39">
        <f t="shared" si="7"/>
        <v>383820000</v>
      </c>
      <c r="AG39">
        <v>103</v>
      </c>
      <c r="AH39">
        <f t="shared" si="6"/>
        <v>160</v>
      </c>
    </row>
    <row r="40" spans="4:34">
      <c r="D40" s="35">
        <v>3</v>
      </c>
      <c r="E40" s="30"/>
      <c r="F40" s="31" t="s">
        <v>39</v>
      </c>
      <c r="G40" s="13"/>
      <c r="H40" s="13"/>
      <c r="I40" s="13"/>
      <c r="J40" s="13"/>
      <c r="K40" s="13"/>
      <c r="T40">
        <v>9</v>
      </c>
      <c r="U40">
        <f>80000*12*2^(10-1)-SUM($U$33:U39)</f>
        <v>368640000</v>
      </c>
      <c r="V40" s="37">
        <v>124020000</v>
      </c>
      <c r="W40" s="37">
        <v>146520000</v>
      </c>
      <c r="AE40">
        <f t="shared" si="8"/>
        <v>270540000</v>
      </c>
      <c r="AF40">
        <f t="shared" si="7"/>
        <v>639180000</v>
      </c>
      <c r="AG40">
        <v>128</v>
      </c>
      <c r="AH40">
        <f t="shared" si="6"/>
        <v>237</v>
      </c>
    </row>
    <row r="41" spans="4:34">
      <c r="D41" s="35"/>
      <c r="F41" s="32" t="s">
        <v>42</v>
      </c>
      <c r="G41" s="13"/>
      <c r="H41" s="13"/>
      <c r="I41" s="13"/>
      <c r="J41" s="13"/>
      <c r="K41" s="13"/>
    </row>
    <row r="42" spans="4:34">
      <c r="F42" s="31" t="s">
        <v>43</v>
      </c>
      <c r="G42" s="13"/>
      <c r="H42" s="13"/>
      <c r="I42" s="13"/>
      <c r="J42" s="13"/>
      <c r="K42" s="13"/>
      <c r="AA42" s="30" t="s">
        <v>67</v>
      </c>
    </row>
    <row r="43" spans="4:34">
      <c r="F43" s="33" t="s">
        <v>58</v>
      </c>
      <c r="G43" s="13"/>
      <c r="H43" s="13"/>
      <c r="I43" s="13"/>
      <c r="J43" s="13"/>
      <c r="K43" s="13"/>
      <c r="AA43" s="30" t="s">
        <v>68</v>
      </c>
    </row>
    <row r="44" spans="4:34">
      <c r="F44" s="34" t="s">
        <v>40</v>
      </c>
      <c r="G44" s="13"/>
      <c r="H44" s="13"/>
      <c r="I44" s="13"/>
      <c r="J44" s="13"/>
      <c r="K44" s="13"/>
    </row>
    <row r="45" spans="4:34">
      <c r="F45" s="33" t="s">
        <v>58</v>
      </c>
      <c r="G45" s="13"/>
      <c r="H45" s="13"/>
      <c r="I45" s="13"/>
      <c r="J45" s="13"/>
      <c r="K45" s="13"/>
      <c r="V45" t="s">
        <v>66</v>
      </c>
    </row>
    <row r="46" spans="4:34">
      <c r="F46" s="13"/>
      <c r="G46" s="13"/>
      <c r="H46" s="13"/>
      <c r="I46" s="13"/>
      <c r="J46" s="13"/>
      <c r="K46" s="13"/>
      <c r="W46" t="s">
        <v>64</v>
      </c>
    </row>
    <row r="47" spans="4:34">
      <c r="G47" t="s">
        <v>44</v>
      </c>
      <c r="I47" t="s">
        <v>51</v>
      </c>
      <c r="W47" t="s">
        <v>65</v>
      </c>
    </row>
    <row r="48" spans="4:34">
      <c r="G48" t="s">
        <v>45</v>
      </c>
      <c r="I48" t="s">
        <v>52</v>
      </c>
      <c r="Y48">
        <v>45</v>
      </c>
      <c r="Z48">
        <v>1</v>
      </c>
    </row>
    <row r="49" spans="4:31">
      <c r="G49" t="s">
        <v>46</v>
      </c>
      <c r="I49" t="s">
        <v>53</v>
      </c>
      <c r="Y49">
        <v>50</v>
      </c>
      <c r="Z49">
        <v>2</v>
      </c>
    </row>
    <row r="50" spans="4:31">
      <c r="G50" t="s">
        <v>47</v>
      </c>
      <c r="I50" t="s">
        <v>54</v>
      </c>
      <c r="Y50">
        <v>55</v>
      </c>
      <c r="Z50">
        <v>4</v>
      </c>
    </row>
    <row r="51" spans="4:31">
      <c r="G51" t="s">
        <v>48</v>
      </c>
      <c r="I51" t="s">
        <v>57</v>
      </c>
      <c r="Y51">
        <v>60</v>
      </c>
      <c r="Z51">
        <v>6</v>
      </c>
    </row>
    <row r="52" spans="4:31">
      <c r="G52" t="s">
        <v>49</v>
      </c>
      <c r="Y52">
        <v>65</v>
      </c>
      <c r="Z52">
        <v>9</v>
      </c>
    </row>
    <row r="53" spans="4:31">
      <c r="G53" t="s">
        <v>50</v>
      </c>
      <c r="Y53">
        <v>70</v>
      </c>
      <c r="Z53">
        <v>11</v>
      </c>
    </row>
    <row r="54" spans="4:31">
      <c r="Y54">
        <v>75</v>
      </c>
      <c r="Z54">
        <v>14</v>
      </c>
    </row>
    <row r="55" spans="4:31">
      <c r="D55" s="35">
        <v>4</v>
      </c>
      <c r="F55" t="s">
        <v>55</v>
      </c>
      <c r="Y55">
        <v>80</v>
      </c>
      <c r="Z55">
        <v>16</v>
      </c>
    </row>
    <row r="56" spans="4:31">
      <c r="F56" t="s">
        <v>56</v>
      </c>
      <c r="Y56">
        <v>85</v>
      </c>
      <c r="Z56">
        <v>18</v>
      </c>
    </row>
    <row r="57" spans="4:31">
      <c r="Y57">
        <v>90</v>
      </c>
      <c r="Z57">
        <v>20</v>
      </c>
    </row>
    <row r="60" spans="4:31">
      <c r="X60" s="36">
        <v>150</v>
      </c>
      <c r="Y60" s="36">
        <v>100</v>
      </c>
      <c r="Z60" s="36">
        <v>100</v>
      </c>
      <c r="AA60" s="36">
        <v>100</v>
      </c>
      <c r="AB60" s="36">
        <v>150</v>
      </c>
      <c r="AC60" s="36">
        <v>100</v>
      </c>
      <c r="AD60" s="36">
        <v>100</v>
      </c>
      <c r="AE60" s="36">
        <v>100</v>
      </c>
    </row>
    <row r="61" spans="4:31">
      <c r="X61" s="38">
        <v>240</v>
      </c>
      <c r="Y61" s="38">
        <v>160</v>
      </c>
      <c r="Z61" s="38">
        <v>160</v>
      </c>
      <c r="AA61" s="38">
        <v>160</v>
      </c>
      <c r="AB61" s="38">
        <v>240</v>
      </c>
      <c r="AC61" s="38">
        <v>160</v>
      </c>
      <c r="AD61" s="38">
        <v>160</v>
      </c>
      <c r="AE61" s="38">
        <v>160</v>
      </c>
    </row>
    <row r="62" spans="4:31">
      <c r="X62" s="38">
        <v>360</v>
      </c>
      <c r="Y62" s="38">
        <v>240</v>
      </c>
      <c r="Z62" s="38">
        <v>240</v>
      </c>
      <c r="AA62" s="38">
        <v>240</v>
      </c>
      <c r="AB62" s="38">
        <v>360</v>
      </c>
      <c r="AC62" s="38">
        <v>240</v>
      </c>
      <c r="AD62" s="38">
        <v>240</v>
      </c>
      <c r="AE62" s="38">
        <v>240</v>
      </c>
    </row>
    <row r="63" spans="4:31">
      <c r="X63" s="38">
        <v>510</v>
      </c>
      <c r="Y63" s="38">
        <v>340</v>
      </c>
      <c r="Z63" s="38">
        <v>340</v>
      </c>
      <c r="AA63" s="38">
        <v>340</v>
      </c>
      <c r="AB63" s="38">
        <v>510</v>
      </c>
      <c r="AC63" s="38">
        <v>340</v>
      </c>
      <c r="AD63" s="38">
        <v>340</v>
      </c>
      <c r="AE63" s="38">
        <v>340</v>
      </c>
    </row>
    <row r="64" spans="4:31">
      <c r="X64" s="38">
        <v>690</v>
      </c>
      <c r="Y64" s="38">
        <v>460</v>
      </c>
      <c r="Z64" s="38">
        <v>460</v>
      </c>
      <c r="AA64" s="38">
        <v>460</v>
      </c>
      <c r="AB64" s="38">
        <v>690</v>
      </c>
      <c r="AC64" s="38">
        <v>460</v>
      </c>
      <c r="AD64" s="38">
        <v>460</v>
      </c>
      <c r="AE64" s="38">
        <v>460</v>
      </c>
    </row>
    <row r="65" spans="24:32">
      <c r="X65" s="38">
        <v>900</v>
      </c>
      <c r="Y65" s="38">
        <v>600</v>
      </c>
      <c r="Z65" s="38">
        <v>600</v>
      </c>
      <c r="AA65" s="38">
        <v>600</v>
      </c>
      <c r="AB65" s="38">
        <v>900</v>
      </c>
      <c r="AC65" s="38">
        <v>600</v>
      </c>
      <c r="AD65" s="38">
        <v>600</v>
      </c>
      <c r="AE65" s="38">
        <v>600</v>
      </c>
    </row>
    <row r="66" spans="24:32">
      <c r="X66" s="38">
        <v>1140</v>
      </c>
      <c r="Y66" s="38">
        <v>760</v>
      </c>
      <c r="Z66" s="38">
        <v>760</v>
      </c>
      <c r="AA66" s="38">
        <v>760</v>
      </c>
      <c r="AB66" s="38">
        <v>1140</v>
      </c>
      <c r="AC66" s="38">
        <v>760</v>
      </c>
      <c r="AD66" s="38">
        <v>760</v>
      </c>
      <c r="AE66" s="38">
        <v>760</v>
      </c>
    </row>
    <row r="67" spans="24:32">
      <c r="X67" s="38">
        <v>1410</v>
      </c>
      <c r="Y67" s="38">
        <v>940</v>
      </c>
      <c r="Z67" s="38">
        <v>940</v>
      </c>
      <c r="AA67" s="38">
        <v>940</v>
      </c>
      <c r="AB67" s="38">
        <v>1410</v>
      </c>
      <c r="AC67" s="38">
        <v>940</v>
      </c>
      <c r="AD67" s="38">
        <v>940</v>
      </c>
      <c r="AE67" s="38">
        <v>940</v>
      </c>
    </row>
    <row r="68" spans="24:32">
      <c r="X68" s="38">
        <v>1710</v>
      </c>
      <c r="Y68" s="38">
        <v>1140</v>
      </c>
      <c r="Z68" s="38">
        <v>1140</v>
      </c>
      <c r="AA68" s="38">
        <v>1140</v>
      </c>
      <c r="AB68" s="38">
        <v>1710</v>
      </c>
      <c r="AC68" s="38">
        <v>1140</v>
      </c>
      <c r="AD68" s="38">
        <v>1140</v>
      </c>
      <c r="AE68" s="38">
        <v>1140</v>
      </c>
    </row>
    <row r="69" spans="24:32">
      <c r="X69" s="38">
        <v>2040</v>
      </c>
      <c r="Y69" s="38">
        <v>1360</v>
      </c>
      <c r="Z69" s="38">
        <v>1360</v>
      </c>
      <c r="AA69" s="38">
        <v>1360</v>
      </c>
      <c r="AB69" s="38">
        <v>2040</v>
      </c>
      <c r="AC69" s="38">
        <v>1360</v>
      </c>
      <c r="AD69" s="38">
        <v>1360</v>
      </c>
      <c r="AE69" s="38">
        <v>1360</v>
      </c>
    </row>
    <row r="70" spans="24:32">
      <c r="X70" s="38">
        <v>2400</v>
      </c>
      <c r="Y70" s="38">
        <v>1600</v>
      </c>
      <c r="Z70" s="38">
        <v>1600</v>
      </c>
      <c r="AA70" s="38">
        <v>1600</v>
      </c>
      <c r="AB70" s="38">
        <v>2400</v>
      </c>
      <c r="AC70" s="38">
        <v>1600</v>
      </c>
      <c r="AD70" s="38">
        <v>1600</v>
      </c>
      <c r="AE70" s="38">
        <v>1600</v>
      </c>
    </row>
    <row r="71" spans="24:32">
      <c r="X71" s="38">
        <v>2790</v>
      </c>
      <c r="Y71" s="38">
        <v>1860</v>
      </c>
      <c r="Z71" s="38">
        <v>1860</v>
      </c>
      <c r="AA71" s="38">
        <v>1860</v>
      </c>
      <c r="AB71" s="38">
        <v>2790</v>
      </c>
      <c r="AC71" s="38">
        <v>1860</v>
      </c>
      <c r="AD71" s="38">
        <v>1860</v>
      </c>
      <c r="AE71" s="38">
        <v>1860</v>
      </c>
    </row>
    <row r="72" spans="24:32">
      <c r="X72" s="38">
        <v>3285</v>
      </c>
      <c r="Y72" s="38">
        <v>2190</v>
      </c>
      <c r="Z72" s="38">
        <v>2190</v>
      </c>
      <c r="AA72" s="38">
        <v>2190</v>
      </c>
      <c r="AB72" s="38">
        <v>3285</v>
      </c>
      <c r="AC72" s="38">
        <v>2190</v>
      </c>
      <c r="AD72" s="38">
        <v>2190</v>
      </c>
      <c r="AE72" s="38">
        <v>2190</v>
      </c>
    </row>
    <row r="73" spans="24:32">
      <c r="X73" s="38">
        <v>4035</v>
      </c>
      <c r="Y73" s="39">
        <v>2690</v>
      </c>
      <c r="Z73" s="40">
        <v>2690</v>
      </c>
      <c r="AA73" s="40">
        <v>2690</v>
      </c>
      <c r="AB73" s="38">
        <v>4035</v>
      </c>
      <c r="AC73" s="41">
        <v>2690</v>
      </c>
      <c r="AD73" s="42">
        <v>2690</v>
      </c>
      <c r="AE73" s="43">
        <v>2690</v>
      </c>
    </row>
    <row r="74" spans="24:32">
      <c r="X74" s="38">
        <v>4935</v>
      </c>
      <c r="Y74" s="39">
        <v>3290</v>
      </c>
      <c r="Z74" s="40">
        <v>3290</v>
      </c>
      <c r="AA74" s="40">
        <v>3290</v>
      </c>
      <c r="AB74" s="38">
        <v>4935</v>
      </c>
      <c r="AC74" s="41">
        <v>3290</v>
      </c>
      <c r="AD74" s="42">
        <v>3290</v>
      </c>
      <c r="AE74" s="43">
        <v>3290</v>
      </c>
    </row>
    <row r="75" spans="24:32">
      <c r="X75" s="44">
        <v>6000</v>
      </c>
      <c r="Y75" s="39">
        <v>4000</v>
      </c>
      <c r="Z75" s="40">
        <v>4000</v>
      </c>
      <c r="AA75" s="40">
        <v>4000</v>
      </c>
      <c r="AB75" s="44">
        <v>6000</v>
      </c>
      <c r="AC75" s="41">
        <v>4000</v>
      </c>
      <c r="AD75" s="42">
        <v>4000</v>
      </c>
      <c r="AE75" s="43">
        <v>4000</v>
      </c>
    </row>
    <row r="76" spans="24:32">
      <c r="X76" s="44">
        <v>7245</v>
      </c>
      <c r="Y76" s="39">
        <v>4830</v>
      </c>
      <c r="Z76" s="40">
        <v>4830</v>
      </c>
      <c r="AA76" s="40">
        <v>4830</v>
      </c>
      <c r="AB76" s="44">
        <v>7245</v>
      </c>
      <c r="AC76" s="41">
        <v>4830</v>
      </c>
      <c r="AD76" s="42">
        <v>4830</v>
      </c>
      <c r="AE76" s="43">
        <v>4830</v>
      </c>
    </row>
    <row r="77" spans="24:32">
      <c r="X77" s="44">
        <v>8685</v>
      </c>
      <c r="Y77" s="39">
        <v>5790</v>
      </c>
      <c r="Z77" s="40">
        <v>5790</v>
      </c>
      <c r="AA77" s="40">
        <v>5790</v>
      </c>
      <c r="AB77" s="44">
        <v>8685</v>
      </c>
      <c r="AC77" s="41">
        <v>5790</v>
      </c>
      <c r="AD77" s="42">
        <v>5790</v>
      </c>
      <c r="AE77" s="43">
        <v>5790</v>
      </c>
    </row>
    <row r="78" spans="24:32">
      <c r="X78" s="44">
        <v>10335</v>
      </c>
      <c r="Y78" s="39">
        <v>6890</v>
      </c>
      <c r="Z78" s="40">
        <v>6890</v>
      </c>
      <c r="AA78" s="40">
        <v>6890</v>
      </c>
      <c r="AB78" s="44">
        <v>10335</v>
      </c>
      <c r="AC78" s="41">
        <v>6890</v>
      </c>
      <c r="AD78" s="42">
        <v>6890</v>
      </c>
      <c r="AE78" s="43">
        <v>6890</v>
      </c>
    </row>
    <row r="79" spans="24:32">
      <c r="X79" s="44">
        <v>12210</v>
      </c>
      <c r="Y79" s="39">
        <v>8140</v>
      </c>
      <c r="Z79" s="40">
        <v>8140</v>
      </c>
      <c r="AA79" s="40">
        <v>8140</v>
      </c>
      <c r="AB79" s="44">
        <v>12210</v>
      </c>
      <c r="AC79" s="41">
        <v>8140</v>
      </c>
      <c r="AD79" s="42">
        <v>8140</v>
      </c>
      <c r="AE79" s="43">
        <v>8140</v>
      </c>
    </row>
    <row r="80" spans="24:32">
      <c r="X80" s="45">
        <v>999999</v>
      </c>
      <c r="Y80" s="45">
        <v>99999</v>
      </c>
      <c r="Z80" s="45">
        <v>99999</v>
      </c>
      <c r="AA80" s="45">
        <v>99999</v>
      </c>
      <c r="AB80" s="45">
        <v>99999</v>
      </c>
      <c r="AC80" s="45">
        <v>99999</v>
      </c>
      <c r="AD80" s="45">
        <v>99999</v>
      </c>
      <c r="AE80" s="45">
        <v>99999</v>
      </c>
      <c r="AF80" s="37">
        <f t="shared" ref="AF80" si="9">SUM(X80:AE80)*2000</f>
        <v>3399984000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2016-07-26T09:57:58Z</dcterms:modified>
</cp:coreProperties>
</file>