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2"/>
  </bookViews>
  <sheets>
    <sheet name="场景" sheetId="1" r:id="rId1"/>
    <sheet name="角色NPC" sheetId="2" r:id="rId2"/>
    <sheet name="美术资源占用比重" sheetId="4" r:id="rId3"/>
  </sheets>
  <calcPr calcId="124519"/>
</workbook>
</file>

<file path=xl/calcChain.xml><?xml version="1.0" encoding="utf-8"?>
<calcChain xmlns="http://schemas.openxmlformats.org/spreadsheetml/2006/main">
  <c r="D7" i="4"/>
  <c r="G24"/>
  <c r="C3"/>
  <c r="D3" s="1"/>
  <c r="F11"/>
  <c r="F13"/>
  <c r="F16"/>
  <c r="C6"/>
  <c r="C8" s="1"/>
  <c r="D8" s="1"/>
  <c r="F8" s="1"/>
  <c r="C18"/>
  <c r="D10"/>
  <c r="F10" s="1"/>
  <c r="D13"/>
  <c r="D4"/>
  <c r="F4" s="1"/>
  <c r="D5"/>
  <c r="F5" s="1"/>
  <c r="D9"/>
  <c r="F9" s="1"/>
  <c r="D11"/>
  <c r="D12"/>
  <c r="F12" s="1"/>
  <c r="D14"/>
  <c r="F14" s="1"/>
  <c r="D15"/>
  <c r="F15" s="1"/>
  <c r="D16"/>
  <c r="D17"/>
  <c r="F17" s="1"/>
  <c r="D18"/>
  <c r="F18" s="1"/>
  <c r="D19"/>
  <c r="F19" s="1"/>
  <c r="D20"/>
  <c r="F20" s="1"/>
  <c r="D21"/>
  <c r="F21" s="1"/>
  <c r="D22"/>
  <c r="F22" s="1"/>
  <c r="D23"/>
  <c r="F23" s="1"/>
  <c r="D2"/>
  <c r="F2" s="1"/>
  <c r="F3" l="1"/>
  <c r="F24" s="1"/>
  <c r="I24" s="1"/>
  <c r="D24"/>
  <c r="D6"/>
  <c r="F6" s="1"/>
</calcChain>
</file>

<file path=xl/sharedStrings.xml><?xml version="1.0" encoding="utf-8"?>
<sst xmlns="http://schemas.openxmlformats.org/spreadsheetml/2006/main" count="119" uniqueCount="110">
  <si>
    <t>编号</t>
    <phoneticPr fontId="1" type="noConversion"/>
  </si>
  <si>
    <t>所属类型</t>
    <phoneticPr fontId="1" type="noConversion"/>
  </si>
  <si>
    <t>名字</t>
    <phoneticPr fontId="1" type="noConversion"/>
  </si>
  <si>
    <t>规格大小</t>
    <phoneticPr fontId="1" type="noConversion"/>
  </si>
  <si>
    <t>达拉然</t>
    <phoneticPr fontId="1" type="noConversion"/>
  </si>
  <si>
    <t>奥格瑞玛</t>
    <phoneticPr fontId="1" type="noConversion"/>
  </si>
  <si>
    <t>主城</t>
    <phoneticPr fontId="1" type="noConversion"/>
  </si>
  <si>
    <t>副主城</t>
    <phoneticPr fontId="1" type="noConversion"/>
  </si>
  <si>
    <t>4*4</t>
    <phoneticPr fontId="1" type="noConversion"/>
  </si>
  <si>
    <t>3*3</t>
    <phoneticPr fontId="1" type="noConversion"/>
  </si>
  <si>
    <t>野外</t>
    <phoneticPr fontId="1" type="noConversion"/>
  </si>
  <si>
    <t>副本</t>
    <phoneticPr fontId="1" type="noConversion"/>
  </si>
  <si>
    <t>师门</t>
    <phoneticPr fontId="1" type="noConversion"/>
  </si>
  <si>
    <t>2*2</t>
    <phoneticPr fontId="1" type="noConversion"/>
  </si>
  <si>
    <t>1.2*1.2</t>
    <phoneticPr fontId="1" type="noConversion"/>
  </si>
  <si>
    <t>备注</t>
    <phoneticPr fontId="1" type="noConversion"/>
  </si>
  <si>
    <t>误差0.5</t>
    <phoneticPr fontId="1" type="noConversion"/>
  </si>
  <si>
    <t>数量</t>
    <phoneticPr fontId="1" type="noConversion"/>
  </si>
  <si>
    <t>目的</t>
    <phoneticPr fontId="1" type="noConversion"/>
  </si>
  <si>
    <t>人员集散，功能NPC承载</t>
    <phoneticPr fontId="1" type="noConversion"/>
  </si>
  <si>
    <t>人员集散，前期剧情NPC</t>
    <phoneticPr fontId="1" type="noConversion"/>
  </si>
  <si>
    <t>小型城镇、野外，剧情</t>
    <phoneticPr fontId="1" type="noConversion"/>
  </si>
  <si>
    <t>副本玩法，挂机场景</t>
    <phoneticPr fontId="1" type="noConversion"/>
  </si>
  <si>
    <t>门派，新手出生地</t>
    <phoneticPr fontId="1" type="noConversion"/>
  </si>
  <si>
    <t>达纳苏斯</t>
  </si>
  <si>
    <t>银月城</t>
    <phoneticPr fontId="3" type="noConversion"/>
  </si>
  <si>
    <t>风暴要塞</t>
  </si>
  <si>
    <t>暮色森林</t>
  </si>
  <si>
    <t>银松森林</t>
  </si>
  <si>
    <t>十字路口</t>
  </si>
  <si>
    <t>剃刀沼泽</t>
  </si>
  <si>
    <t>阿拉希高地</t>
  </si>
  <si>
    <t>圣骑-北郡修道院</t>
  </si>
  <si>
    <t>牧师-挨索达</t>
  </si>
  <si>
    <t>猎人-凄凉之地</t>
  </si>
  <si>
    <t>小D-月光林地</t>
  </si>
  <si>
    <t>法师-逐日岛</t>
  </si>
  <si>
    <t>加基森</t>
    <phoneticPr fontId="1" type="noConversion"/>
  </si>
  <si>
    <t>哀嚎洞穴</t>
    <phoneticPr fontId="1" type="noConversion"/>
  </si>
  <si>
    <t>南海镇</t>
    <phoneticPr fontId="1" type="noConversion"/>
  </si>
  <si>
    <t>血色</t>
    <phoneticPr fontId="1" type="noConversion"/>
  </si>
  <si>
    <t>新版地图</t>
    <phoneticPr fontId="1" type="noConversion"/>
  </si>
  <si>
    <t>以提需求但新版地图没有</t>
    <phoneticPr fontId="1" type="noConversion"/>
  </si>
  <si>
    <t>需求批次：</t>
    <phoneticPr fontId="1" type="noConversion"/>
  </si>
  <si>
    <t>一批：门派*6；主城*1；副主城*1；野外*5；副本*5</t>
    <phoneticPr fontId="1" type="noConversion"/>
  </si>
  <si>
    <t>二批：野外*4；副本*5</t>
    <phoneticPr fontId="1" type="noConversion"/>
  </si>
  <si>
    <t>溶洞</t>
    <phoneticPr fontId="1" type="noConversion"/>
  </si>
  <si>
    <t>废矿</t>
    <phoneticPr fontId="1" type="noConversion"/>
  </si>
  <si>
    <t>银堡</t>
    <phoneticPr fontId="1" type="noConversion"/>
  </si>
  <si>
    <t>荒泽</t>
    <phoneticPr fontId="1" type="noConversion"/>
  </si>
  <si>
    <t>教堂</t>
    <phoneticPr fontId="1" type="noConversion"/>
  </si>
  <si>
    <t>买股圣地</t>
    <phoneticPr fontId="1" type="noConversion"/>
  </si>
  <si>
    <t>遗迹</t>
    <phoneticPr fontId="1" type="noConversion"/>
  </si>
  <si>
    <t>祭坛</t>
    <phoneticPr fontId="1" type="noConversion"/>
  </si>
  <si>
    <t>深渊</t>
    <phoneticPr fontId="1" type="noConversion"/>
  </si>
  <si>
    <t>雾都</t>
    <phoneticPr fontId="1" type="noConversion"/>
  </si>
  <si>
    <t>上版10个副本场景规划：</t>
    <phoneticPr fontId="1" type="noConversion"/>
  </si>
  <si>
    <t>类型</t>
    <phoneticPr fontId="1" type="noConversion"/>
  </si>
  <si>
    <t>主角</t>
    <phoneticPr fontId="1" type="noConversion"/>
  </si>
  <si>
    <t>助战</t>
    <phoneticPr fontId="1" type="noConversion"/>
  </si>
  <si>
    <t>副本怪/BOSS/宠物</t>
    <phoneticPr fontId="1" type="noConversion"/>
  </si>
  <si>
    <t>城市NPC</t>
    <phoneticPr fontId="1" type="noConversion"/>
  </si>
  <si>
    <t>兽人*5；血精灵*5</t>
    <phoneticPr fontId="1" type="noConversion"/>
  </si>
  <si>
    <t>门派首领</t>
    <phoneticPr fontId="1" type="noConversion"/>
  </si>
  <si>
    <t>任务NPC</t>
    <phoneticPr fontId="1" type="noConversion"/>
  </si>
  <si>
    <t>待定</t>
    <phoneticPr fontId="1" type="noConversion"/>
  </si>
  <si>
    <t>制作优先级：</t>
    <phoneticPr fontId="1" type="noConversion"/>
  </si>
  <si>
    <t>助战＞门派首领＞副本怪/BOSS/宠物＞城市NPC</t>
    <phoneticPr fontId="1" type="noConversion"/>
  </si>
  <si>
    <t>前期可以先做20个</t>
    <phoneticPr fontId="1" type="noConversion"/>
  </si>
  <si>
    <t>规格：</t>
    <phoneticPr fontId="1" type="noConversion"/>
  </si>
  <si>
    <t>100*130</t>
    <phoneticPr fontId="1" type="noConversion"/>
  </si>
  <si>
    <t>战歌峡谷</t>
    <phoneticPr fontId="1" type="noConversion"/>
  </si>
  <si>
    <t>战士-战歌峡谷</t>
    <phoneticPr fontId="1" type="noConversion"/>
  </si>
  <si>
    <t>以上一版本副本场景规划为准</t>
    <phoneticPr fontId="1" type="noConversion"/>
  </si>
  <si>
    <t>资源类型</t>
    <phoneticPr fontId="1" type="noConversion"/>
  </si>
  <si>
    <t>单个资源大小</t>
    <phoneticPr fontId="1" type="noConversion"/>
  </si>
  <si>
    <t>资源总大小</t>
    <phoneticPr fontId="1" type="noConversion"/>
  </si>
  <si>
    <t>预估数量</t>
    <phoneticPr fontId="1" type="noConversion"/>
  </si>
  <si>
    <t>主角</t>
    <phoneticPr fontId="1" type="noConversion"/>
  </si>
  <si>
    <t>伙伴</t>
    <phoneticPr fontId="1" type="noConversion"/>
  </si>
  <si>
    <t>怪物</t>
    <phoneticPr fontId="1" type="noConversion"/>
  </si>
  <si>
    <t>半身像</t>
    <phoneticPr fontId="1" type="noConversion"/>
  </si>
  <si>
    <t>压缩比重</t>
    <phoneticPr fontId="1" type="noConversion"/>
  </si>
  <si>
    <t>资源包中占用数量</t>
    <phoneticPr fontId="1" type="noConversion"/>
  </si>
  <si>
    <t>layout</t>
    <phoneticPr fontId="1" type="noConversion"/>
  </si>
  <si>
    <t>音乐</t>
    <phoneticPr fontId="1" type="noConversion"/>
  </si>
  <si>
    <t>技能特效</t>
    <phoneticPr fontId="1" type="noConversion"/>
  </si>
  <si>
    <t>界面UI</t>
    <phoneticPr fontId="1" type="noConversion"/>
  </si>
  <si>
    <t>道具图标</t>
    <phoneticPr fontId="1" type="noConversion"/>
  </si>
  <si>
    <t>login图</t>
    <phoneticPr fontId="1" type="noConversion"/>
  </si>
  <si>
    <t>场景</t>
    <phoneticPr fontId="1" type="noConversion"/>
  </si>
  <si>
    <t>表格</t>
    <phoneticPr fontId="1" type="noConversion"/>
  </si>
  <si>
    <t>场景特效</t>
    <phoneticPr fontId="1" type="noConversion"/>
  </si>
  <si>
    <t>UI特效</t>
    <phoneticPr fontId="1" type="noConversion"/>
  </si>
  <si>
    <t>主角武器</t>
    <phoneticPr fontId="1" type="noConversion"/>
  </si>
  <si>
    <t>loading</t>
    <phoneticPr fontId="1" type="noConversion"/>
  </si>
  <si>
    <t>NPC</t>
    <phoneticPr fontId="1" type="noConversion"/>
  </si>
  <si>
    <t>单位</t>
    <phoneticPr fontId="1" type="noConversion"/>
  </si>
  <si>
    <t>每秒</t>
    <phoneticPr fontId="1" type="noConversion"/>
  </si>
  <si>
    <t>每屏</t>
    <phoneticPr fontId="1" type="noConversion"/>
  </si>
  <si>
    <t>UI音效</t>
    <phoneticPr fontId="1" type="noConversion"/>
  </si>
  <si>
    <t>角色音效</t>
    <phoneticPr fontId="1" type="noConversion"/>
  </si>
  <si>
    <t>技能音效</t>
    <phoneticPr fontId="1" type="noConversion"/>
  </si>
  <si>
    <t>总计预估300M</t>
    <phoneticPr fontId="1" type="noConversion"/>
  </si>
  <si>
    <t>总计预估10M</t>
    <phoneticPr fontId="1" type="noConversion"/>
  </si>
  <si>
    <t>其他资源</t>
    <phoneticPr fontId="1" type="noConversion"/>
  </si>
  <si>
    <t>总计预估40M</t>
    <phoneticPr fontId="1" type="noConversion"/>
  </si>
  <si>
    <t>后期会优化压缩至45M</t>
    <phoneticPr fontId="1" type="noConversion"/>
  </si>
  <si>
    <t>实际分配比重</t>
    <phoneticPr fontId="1" type="noConversion"/>
  </si>
  <si>
    <t>坐骑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</si>
</sst>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>
      <alignment vertical="center"/>
    </xf>
    <xf numFmtId="0" fontId="4" fillId="0" borderId="0" xfId="0" applyFont="1">
      <alignment vertical="center"/>
    </xf>
    <xf numFmtId="0" fontId="4" fillId="3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5" fillId="3" borderId="0" xfId="0" applyFont="1" applyFill="1">
      <alignment vertical="center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0" fillId="4" borderId="0" xfId="0" applyFill="1" applyAlignment="1">
      <alignment horizontal="left" vertical="center"/>
    </xf>
    <xf numFmtId="176" fontId="0" fillId="4" borderId="0" xfId="0" applyNumberForma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176" fontId="0" fillId="5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6" borderId="0" xfId="0" applyNumberForma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>
      <selection activeCell="D45" sqref="D45"/>
    </sheetView>
  </sheetViews>
  <sheetFormatPr defaultRowHeight="13.5"/>
  <cols>
    <col min="7" max="7" width="22.625" bestFit="1" customWidth="1"/>
    <col min="8" max="8" width="16.25" bestFit="1" customWidth="1"/>
    <col min="9" max="9" width="12.125" bestFit="1" customWidth="1"/>
    <col min="10" max="10" width="14.125" bestFit="1" customWidth="1"/>
    <col min="11" max="11" width="25.5" bestFit="1" customWidth="1"/>
    <col min="12" max="12" width="14.125" bestFit="1" customWidth="1"/>
    <col min="13" max="13" width="12.125" bestFit="1" customWidth="1"/>
  </cols>
  <sheetData>
    <row r="1" spans="1:20">
      <c r="A1" s="6" t="s">
        <v>0</v>
      </c>
      <c r="B1" s="6" t="s">
        <v>2</v>
      </c>
      <c r="C1" s="6" t="s">
        <v>1</v>
      </c>
      <c r="D1" s="6" t="s">
        <v>17</v>
      </c>
      <c r="E1" s="6" t="s">
        <v>3</v>
      </c>
      <c r="F1" s="6" t="s">
        <v>15</v>
      </c>
      <c r="G1" s="6" t="s">
        <v>18</v>
      </c>
      <c r="H1" s="21" t="s">
        <v>41</v>
      </c>
      <c r="I1" s="21"/>
      <c r="J1" s="21"/>
      <c r="K1" s="21"/>
      <c r="L1" s="21"/>
      <c r="M1" s="21"/>
      <c r="N1" s="21"/>
      <c r="O1" s="21"/>
      <c r="P1" s="21"/>
      <c r="Q1" s="21" t="s">
        <v>42</v>
      </c>
      <c r="R1" s="21"/>
      <c r="S1" s="21"/>
      <c r="T1" s="21"/>
    </row>
    <row r="2" spans="1:20">
      <c r="A2">
        <v>1</v>
      </c>
      <c r="B2" t="s">
        <v>4</v>
      </c>
      <c r="C2" t="s">
        <v>6</v>
      </c>
      <c r="D2">
        <v>1</v>
      </c>
      <c r="E2" t="s">
        <v>8</v>
      </c>
      <c r="G2" t="s">
        <v>19</v>
      </c>
    </row>
    <row r="3" spans="1:20">
      <c r="A3">
        <v>2</v>
      </c>
      <c r="B3" t="s">
        <v>5</v>
      </c>
      <c r="C3" t="s">
        <v>7</v>
      </c>
      <c r="D3">
        <v>1</v>
      </c>
      <c r="E3" t="s">
        <v>9</v>
      </c>
      <c r="G3" t="s">
        <v>20</v>
      </c>
    </row>
    <row r="4" spans="1:20">
      <c r="A4">
        <v>3</v>
      </c>
      <c r="B4" t="s">
        <v>10</v>
      </c>
      <c r="C4" t="s">
        <v>10</v>
      </c>
      <c r="D4">
        <v>9</v>
      </c>
      <c r="E4" t="s">
        <v>13</v>
      </c>
      <c r="G4" t="s">
        <v>21</v>
      </c>
      <c r="H4" s="3" t="s">
        <v>24</v>
      </c>
      <c r="I4" s="3" t="s">
        <v>25</v>
      </c>
      <c r="J4" s="5" t="s">
        <v>37</v>
      </c>
      <c r="K4" s="3" t="s">
        <v>26</v>
      </c>
      <c r="L4" s="3" t="s">
        <v>27</v>
      </c>
      <c r="M4" s="3" t="s">
        <v>28</v>
      </c>
      <c r="N4" s="5" t="s">
        <v>29</v>
      </c>
      <c r="O4" s="3" t="s">
        <v>30</v>
      </c>
      <c r="P4" s="3" t="s">
        <v>31</v>
      </c>
      <c r="R4" s="5" t="s">
        <v>71</v>
      </c>
      <c r="S4" s="5" t="s">
        <v>37</v>
      </c>
      <c r="T4" s="5" t="s">
        <v>39</v>
      </c>
    </row>
    <row r="5" spans="1:20">
      <c r="A5">
        <v>4</v>
      </c>
      <c r="B5" t="s">
        <v>11</v>
      </c>
      <c r="C5" t="s">
        <v>11</v>
      </c>
      <c r="D5">
        <v>10</v>
      </c>
      <c r="E5" t="s">
        <v>13</v>
      </c>
      <c r="G5" t="s">
        <v>22</v>
      </c>
      <c r="H5" s="22" t="s">
        <v>73</v>
      </c>
      <c r="I5" s="22"/>
      <c r="J5" s="22"/>
      <c r="K5" s="22"/>
      <c r="L5" s="22"/>
      <c r="M5" s="22"/>
      <c r="N5" s="22"/>
      <c r="O5" s="22"/>
      <c r="P5" s="22"/>
      <c r="R5" s="1" t="s">
        <v>38</v>
      </c>
      <c r="S5" s="1" t="s">
        <v>40</v>
      </c>
    </row>
    <row r="6" spans="1:20">
      <c r="A6">
        <v>5</v>
      </c>
      <c r="B6" t="s">
        <v>12</v>
      </c>
      <c r="C6" t="s">
        <v>12</v>
      </c>
      <c r="D6">
        <v>6</v>
      </c>
      <c r="E6" t="s">
        <v>14</v>
      </c>
      <c r="F6" t="s">
        <v>16</v>
      </c>
      <c r="G6" t="s">
        <v>23</v>
      </c>
      <c r="H6" s="4" t="s">
        <v>32</v>
      </c>
      <c r="I6" s="3" t="s">
        <v>33</v>
      </c>
      <c r="J6" s="3" t="s">
        <v>34</v>
      </c>
      <c r="K6" s="3" t="s">
        <v>35</v>
      </c>
      <c r="L6" s="5" t="s">
        <v>72</v>
      </c>
      <c r="M6" s="3" t="s">
        <v>36</v>
      </c>
    </row>
    <row r="10" spans="1:20">
      <c r="A10" s="7" t="s">
        <v>43</v>
      </c>
      <c r="K10" s="8" t="s">
        <v>56</v>
      </c>
    </row>
    <row r="11" spans="1:20">
      <c r="B11" t="s">
        <v>44</v>
      </c>
      <c r="K11" s="2" t="s">
        <v>46</v>
      </c>
    </row>
    <row r="12" spans="1:20">
      <c r="B12" t="s">
        <v>45</v>
      </c>
      <c r="K12" s="2" t="s">
        <v>47</v>
      </c>
    </row>
    <row r="13" spans="1:20">
      <c r="K13" s="2" t="s">
        <v>48</v>
      </c>
    </row>
    <row r="14" spans="1:20">
      <c r="K14" s="2" t="s">
        <v>49</v>
      </c>
    </row>
    <row r="15" spans="1:20">
      <c r="A15" s="7"/>
      <c r="K15" s="2" t="s">
        <v>50</v>
      </c>
    </row>
    <row r="16" spans="1:20">
      <c r="K16" s="2" t="s">
        <v>51</v>
      </c>
    </row>
    <row r="17" spans="11:11">
      <c r="K17" s="2" t="s">
        <v>52</v>
      </c>
    </row>
    <row r="18" spans="11:11">
      <c r="K18" s="2" t="s">
        <v>53</v>
      </c>
    </row>
    <row r="19" spans="11:11">
      <c r="K19" s="2" t="s">
        <v>54</v>
      </c>
    </row>
    <row r="20" spans="11:11">
      <c r="K20" s="2" t="s">
        <v>55</v>
      </c>
    </row>
  </sheetData>
  <mergeCells count="3">
    <mergeCell ref="H1:P1"/>
    <mergeCell ref="Q1:T1"/>
    <mergeCell ref="H5:P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selection activeCell="B17" sqref="B17"/>
    </sheetView>
  </sheetViews>
  <sheetFormatPr defaultRowHeight="13.5"/>
  <cols>
    <col min="1" max="1" width="11.875" bestFit="1" customWidth="1"/>
    <col min="2" max="2" width="17.625" bestFit="1" customWidth="1"/>
    <col min="3" max="3" width="17.5" bestFit="1" customWidth="1"/>
  </cols>
  <sheetData>
    <row r="1" spans="1:4">
      <c r="A1" s="10" t="s">
        <v>0</v>
      </c>
      <c r="B1" s="10" t="s">
        <v>57</v>
      </c>
      <c r="C1" s="10" t="s">
        <v>17</v>
      </c>
      <c r="D1" s="10" t="s">
        <v>15</v>
      </c>
    </row>
    <row r="2" spans="1:4">
      <c r="A2">
        <v>1</v>
      </c>
      <c r="B2" t="s">
        <v>58</v>
      </c>
      <c r="C2">
        <v>6</v>
      </c>
    </row>
    <row r="3" spans="1:4">
      <c r="A3">
        <v>2</v>
      </c>
      <c r="B3" t="s">
        <v>59</v>
      </c>
      <c r="C3">
        <v>30</v>
      </c>
    </row>
    <row r="4" spans="1:4">
      <c r="A4">
        <v>3</v>
      </c>
      <c r="B4" t="s">
        <v>60</v>
      </c>
      <c r="C4">
        <v>40</v>
      </c>
      <c r="D4" t="s">
        <v>68</v>
      </c>
    </row>
    <row r="5" spans="1:4">
      <c r="A5">
        <v>4</v>
      </c>
      <c r="B5" t="s">
        <v>61</v>
      </c>
      <c r="C5" s="9" t="s">
        <v>62</v>
      </c>
    </row>
    <row r="6" spans="1:4">
      <c r="A6">
        <v>5</v>
      </c>
      <c r="B6" t="s">
        <v>63</v>
      </c>
      <c r="C6">
        <v>6</v>
      </c>
    </row>
    <row r="7" spans="1:4">
      <c r="A7">
        <v>6</v>
      </c>
      <c r="B7" t="s">
        <v>64</v>
      </c>
      <c r="C7" t="s">
        <v>65</v>
      </c>
    </row>
    <row r="10" spans="1:4">
      <c r="A10" s="7" t="s">
        <v>66</v>
      </c>
    </row>
    <row r="11" spans="1:4">
      <c r="B11" t="s">
        <v>67</v>
      </c>
    </row>
    <row r="13" spans="1:4">
      <c r="A13" s="7" t="s">
        <v>69</v>
      </c>
      <c r="B13" t="s">
        <v>70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>
      <selection activeCell="I2" sqref="I2"/>
    </sheetView>
  </sheetViews>
  <sheetFormatPr defaultRowHeight="13.5"/>
  <cols>
    <col min="1" max="1" width="9" style="11"/>
    <col min="2" max="2" width="13" style="11" bestFit="1" customWidth="1"/>
    <col min="3" max="3" width="9" style="11"/>
    <col min="4" max="4" width="11" style="11" bestFit="1" customWidth="1"/>
    <col min="5" max="5" width="9" style="11"/>
    <col min="6" max="6" width="17.25" style="11" bestFit="1" customWidth="1"/>
    <col min="7" max="7" width="17.25" style="19" customWidth="1"/>
    <col min="8" max="8" width="9" style="11"/>
    <col min="9" max="9" width="20.5" style="11" bestFit="1" customWidth="1"/>
    <col min="10" max="10" width="9" style="11"/>
    <col min="11" max="11" width="13" style="11" bestFit="1" customWidth="1"/>
    <col min="12" max="16384" width="9" style="11"/>
  </cols>
  <sheetData>
    <row r="1" spans="1:13">
      <c r="A1" s="18" t="s">
        <v>74</v>
      </c>
      <c r="B1" s="18" t="s">
        <v>75</v>
      </c>
      <c r="C1" s="18" t="s">
        <v>77</v>
      </c>
      <c r="D1" s="18" t="s">
        <v>76</v>
      </c>
      <c r="E1" s="18" t="s">
        <v>82</v>
      </c>
      <c r="F1" s="18" t="s">
        <v>83</v>
      </c>
      <c r="G1" s="18" t="s">
        <v>108</v>
      </c>
      <c r="H1" s="18" t="s">
        <v>97</v>
      </c>
      <c r="I1" s="18" t="s">
        <v>15</v>
      </c>
      <c r="M1" s="12"/>
    </row>
    <row r="2" spans="1:13">
      <c r="A2" s="11" t="s">
        <v>78</v>
      </c>
      <c r="B2" s="11">
        <v>3.75</v>
      </c>
      <c r="C2" s="11">
        <v>6</v>
      </c>
      <c r="D2" s="11">
        <f>B2*C2</f>
        <v>22.5</v>
      </c>
      <c r="E2" s="13">
        <v>0.7</v>
      </c>
      <c r="F2" s="13">
        <f>D2*(1-E2)</f>
        <v>6.7500000000000009</v>
      </c>
      <c r="G2" s="20">
        <v>5.5</v>
      </c>
      <c r="M2" s="12"/>
    </row>
    <row r="3" spans="1:13">
      <c r="A3" s="11" t="s">
        <v>94</v>
      </c>
      <c r="B3" s="11">
        <v>1</v>
      </c>
      <c r="C3" s="11">
        <f>3*6</f>
        <v>18</v>
      </c>
      <c r="D3" s="11">
        <f>B3*C3</f>
        <v>18</v>
      </c>
      <c r="E3" s="13">
        <v>0.75</v>
      </c>
      <c r="F3" s="13">
        <f t="shared" ref="F3:F23" si="0">D3*(1-E3)</f>
        <v>4.5</v>
      </c>
      <c r="G3" s="20">
        <v>3.5</v>
      </c>
      <c r="M3" s="12"/>
    </row>
    <row r="4" spans="1:13">
      <c r="A4" s="11" t="s">
        <v>79</v>
      </c>
      <c r="B4" s="11">
        <v>1.5</v>
      </c>
      <c r="C4" s="11">
        <v>23</v>
      </c>
      <c r="D4" s="11">
        <f t="shared" ref="D4:D23" si="1">B4*C4</f>
        <v>34.5</v>
      </c>
      <c r="E4" s="13">
        <v>0.7</v>
      </c>
      <c r="F4" s="13">
        <f t="shared" si="0"/>
        <v>10.350000000000001</v>
      </c>
      <c r="G4" s="20">
        <v>10</v>
      </c>
      <c r="M4" s="12"/>
    </row>
    <row r="5" spans="1:13">
      <c r="A5" s="11" t="s">
        <v>80</v>
      </c>
      <c r="B5" s="11">
        <v>2</v>
      </c>
      <c r="C5" s="11">
        <v>41</v>
      </c>
      <c r="D5" s="11">
        <f t="shared" si="1"/>
        <v>82</v>
      </c>
      <c r="E5" s="13">
        <v>0.7</v>
      </c>
      <c r="F5" s="13">
        <f t="shared" si="0"/>
        <v>24.600000000000005</v>
      </c>
      <c r="G5" s="20">
        <v>20</v>
      </c>
      <c r="M5" s="12"/>
    </row>
    <row r="6" spans="1:13">
      <c r="A6" s="11" t="s">
        <v>96</v>
      </c>
      <c r="B6" s="11">
        <v>3.75</v>
      </c>
      <c r="C6" s="11">
        <f>6+5+6</f>
        <v>17</v>
      </c>
      <c r="D6" s="11">
        <f t="shared" si="1"/>
        <v>63.75</v>
      </c>
      <c r="E6" s="13">
        <v>0.7</v>
      </c>
      <c r="F6" s="13">
        <f t="shared" si="0"/>
        <v>19.125000000000004</v>
      </c>
      <c r="G6" s="20">
        <v>15</v>
      </c>
      <c r="M6" s="12"/>
    </row>
    <row r="7" spans="1:13">
      <c r="A7" s="11" t="s">
        <v>109</v>
      </c>
      <c r="B7" s="11">
        <v>6</v>
      </c>
      <c r="C7" s="11">
        <v>6</v>
      </c>
      <c r="D7" s="11">
        <f>B7*C7</f>
        <v>36</v>
      </c>
      <c r="E7" s="13"/>
      <c r="F7" s="13"/>
      <c r="G7" s="20"/>
      <c r="M7" s="12"/>
    </row>
    <row r="8" spans="1:13">
      <c r="A8" s="11" t="s">
        <v>81</v>
      </c>
      <c r="B8" s="11">
        <v>7.0000000000000007E-2</v>
      </c>
      <c r="C8" s="11">
        <f>C2+C4+C5+C6</f>
        <v>87</v>
      </c>
      <c r="D8" s="11">
        <f t="shared" si="1"/>
        <v>6.0900000000000007</v>
      </c>
      <c r="E8" s="13">
        <v>0.8</v>
      </c>
      <c r="F8" s="13">
        <f t="shared" si="0"/>
        <v>1.218</v>
      </c>
      <c r="G8" s="20">
        <v>1</v>
      </c>
    </row>
    <row r="9" spans="1:13" s="14" customFormat="1">
      <c r="A9" s="14" t="s">
        <v>84</v>
      </c>
      <c r="B9" s="14">
        <v>10</v>
      </c>
      <c r="C9" s="14">
        <v>1</v>
      </c>
      <c r="D9" s="14">
        <f t="shared" si="1"/>
        <v>10</v>
      </c>
      <c r="E9" s="15">
        <v>0</v>
      </c>
      <c r="F9" s="15">
        <f t="shared" si="0"/>
        <v>10</v>
      </c>
      <c r="G9" s="20">
        <v>8</v>
      </c>
      <c r="I9" s="14" t="s">
        <v>104</v>
      </c>
    </row>
    <row r="10" spans="1:13">
      <c r="A10" s="11" t="s">
        <v>102</v>
      </c>
      <c r="B10" s="11">
        <v>1.6E-2</v>
      </c>
      <c r="C10" s="11">
        <v>50</v>
      </c>
      <c r="D10" s="11">
        <f t="shared" si="1"/>
        <v>0.8</v>
      </c>
      <c r="E10" s="13">
        <v>0</v>
      </c>
      <c r="F10" s="13">
        <f t="shared" si="0"/>
        <v>0.8</v>
      </c>
      <c r="G10" s="20">
        <v>1</v>
      </c>
    </row>
    <row r="11" spans="1:13">
      <c r="A11" s="11" t="s">
        <v>85</v>
      </c>
      <c r="B11" s="11">
        <v>1.6E-2</v>
      </c>
      <c r="C11" s="11">
        <v>330</v>
      </c>
      <c r="D11" s="11">
        <f t="shared" si="1"/>
        <v>5.28</v>
      </c>
      <c r="E11" s="13">
        <v>0</v>
      </c>
      <c r="F11" s="13">
        <f t="shared" si="0"/>
        <v>5.28</v>
      </c>
      <c r="G11" s="20">
        <v>5</v>
      </c>
      <c r="H11" s="11" t="s">
        <v>98</v>
      </c>
    </row>
    <row r="12" spans="1:13">
      <c r="A12" s="11" t="s">
        <v>101</v>
      </c>
      <c r="B12" s="11">
        <v>1.6E-2</v>
      </c>
      <c r="C12" s="11">
        <v>20</v>
      </c>
      <c r="D12" s="11">
        <f t="shared" si="1"/>
        <v>0.32</v>
      </c>
      <c r="E12" s="13">
        <v>0</v>
      </c>
      <c r="F12" s="13">
        <f t="shared" si="0"/>
        <v>0.32</v>
      </c>
      <c r="G12" s="20">
        <v>0.5</v>
      </c>
    </row>
    <row r="13" spans="1:13">
      <c r="A13" s="11" t="s">
        <v>100</v>
      </c>
      <c r="B13" s="11">
        <v>1.6E-2</v>
      </c>
      <c r="C13" s="11">
        <v>20</v>
      </c>
      <c r="D13" s="11">
        <f t="shared" si="1"/>
        <v>0.32</v>
      </c>
      <c r="E13" s="13">
        <v>0</v>
      </c>
      <c r="F13" s="13">
        <f t="shared" si="0"/>
        <v>0.32</v>
      </c>
      <c r="G13" s="20">
        <v>0.5</v>
      </c>
    </row>
    <row r="14" spans="1:13" s="14" customFormat="1">
      <c r="A14" s="14" t="s">
        <v>86</v>
      </c>
      <c r="B14" s="14">
        <v>3</v>
      </c>
      <c r="C14" s="14">
        <v>90</v>
      </c>
      <c r="D14" s="14">
        <f t="shared" si="1"/>
        <v>270</v>
      </c>
      <c r="E14" s="15">
        <v>0.75</v>
      </c>
      <c r="F14" s="15">
        <f t="shared" si="0"/>
        <v>67.5</v>
      </c>
      <c r="G14" s="20">
        <v>35</v>
      </c>
    </row>
    <row r="15" spans="1:13" s="14" customFormat="1">
      <c r="A15" s="14" t="s">
        <v>92</v>
      </c>
      <c r="B15" s="14">
        <v>1.5</v>
      </c>
      <c r="C15" s="14">
        <v>30</v>
      </c>
      <c r="D15" s="14">
        <f t="shared" si="1"/>
        <v>45</v>
      </c>
      <c r="E15" s="15">
        <v>0.75</v>
      </c>
      <c r="F15" s="15">
        <f t="shared" si="0"/>
        <v>11.25</v>
      </c>
      <c r="G15" s="20">
        <v>10</v>
      </c>
    </row>
    <row r="16" spans="1:13" s="14" customFormat="1">
      <c r="A16" s="14" t="s">
        <v>93</v>
      </c>
      <c r="B16" s="14">
        <v>40</v>
      </c>
      <c r="C16" s="14">
        <v>1</v>
      </c>
      <c r="D16" s="14">
        <f t="shared" si="1"/>
        <v>40</v>
      </c>
      <c r="E16" s="15">
        <v>0.75</v>
      </c>
      <c r="F16" s="15">
        <f t="shared" si="0"/>
        <v>10</v>
      </c>
      <c r="G16" s="20">
        <v>8</v>
      </c>
      <c r="I16" s="14" t="s">
        <v>106</v>
      </c>
    </row>
    <row r="17" spans="1:9" s="14" customFormat="1">
      <c r="A17" s="14" t="s">
        <v>87</v>
      </c>
      <c r="B17" s="14">
        <v>300</v>
      </c>
      <c r="C17" s="14">
        <v>1</v>
      </c>
      <c r="D17" s="14">
        <f t="shared" si="1"/>
        <v>300</v>
      </c>
      <c r="E17" s="15">
        <v>0.8</v>
      </c>
      <c r="F17" s="15">
        <f t="shared" si="0"/>
        <v>59.999999999999986</v>
      </c>
      <c r="G17" s="20">
        <v>45</v>
      </c>
      <c r="I17" s="14" t="s">
        <v>103</v>
      </c>
    </row>
    <row r="18" spans="1:9">
      <c r="A18" s="11" t="s">
        <v>88</v>
      </c>
      <c r="B18" s="11">
        <v>1.6E-2</v>
      </c>
      <c r="C18" s="11">
        <f>11*15*3</f>
        <v>495</v>
      </c>
      <c r="D18" s="11">
        <f t="shared" si="1"/>
        <v>7.92</v>
      </c>
      <c r="E18" s="13">
        <v>0.75</v>
      </c>
      <c r="F18" s="13">
        <f t="shared" si="0"/>
        <v>1.98</v>
      </c>
      <c r="G18" s="20">
        <v>2</v>
      </c>
    </row>
    <row r="19" spans="1:9">
      <c r="A19" s="11" t="s">
        <v>89</v>
      </c>
      <c r="B19" s="11">
        <v>0.5</v>
      </c>
      <c r="C19" s="11">
        <v>1</v>
      </c>
      <c r="D19" s="11">
        <f t="shared" si="1"/>
        <v>0.5</v>
      </c>
      <c r="E19" s="13">
        <v>0.7</v>
      </c>
      <c r="F19" s="13">
        <f t="shared" si="0"/>
        <v>0.15000000000000002</v>
      </c>
      <c r="G19" s="20">
        <v>0.1</v>
      </c>
    </row>
    <row r="20" spans="1:9">
      <c r="A20" s="11" t="s">
        <v>95</v>
      </c>
      <c r="B20" s="11">
        <v>0.25</v>
      </c>
      <c r="C20" s="11">
        <v>10</v>
      </c>
      <c r="D20" s="11">
        <f t="shared" si="1"/>
        <v>2.5</v>
      </c>
      <c r="E20" s="13">
        <v>0.7</v>
      </c>
      <c r="F20" s="13">
        <f t="shared" si="0"/>
        <v>0.75000000000000011</v>
      </c>
      <c r="G20" s="20">
        <v>0.7</v>
      </c>
    </row>
    <row r="21" spans="1:9" s="16" customFormat="1">
      <c r="A21" s="16" t="s">
        <v>90</v>
      </c>
      <c r="B21" s="16">
        <v>2.8</v>
      </c>
      <c r="C21" s="16">
        <v>120</v>
      </c>
      <c r="D21" s="16">
        <f t="shared" si="1"/>
        <v>336</v>
      </c>
      <c r="E21" s="17">
        <v>0.5</v>
      </c>
      <c r="F21" s="17">
        <f t="shared" si="0"/>
        <v>168</v>
      </c>
      <c r="G21" s="20">
        <v>45</v>
      </c>
      <c r="H21" s="16" t="s">
        <v>99</v>
      </c>
      <c r="I21" s="16" t="s">
        <v>107</v>
      </c>
    </row>
    <row r="22" spans="1:9">
      <c r="A22" s="11" t="s">
        <v>91</v>
      </c>
      <c r="B22" s="11">
        <v>15</v>
      </c>
      <c r="C22" s="11">
        <v>1</v>
      </c>
      <c r="D22" s="11">
        <f t="shared" si="1"/>
        <v>15</v>
      </c>
      <c r="E22" s="13">
        <v>0.7</v>
      </c>
      <c r="F22" s="13">
        <f t="shared" si="0"/>
        <v>4.5000000000000009</v>
      </c>
      <c r="G22" s="20">
        <v>4.5</v>
      </c>
    </row>
    <row r="23" spans="1:9">
      <c r="A23" s="11" t="s">
        <v>105</v>
      </c>
      <c r="B23" s="11">
        <v>40</v>
      </c>
      <c r="C23" s="11">
        <v>1</v>
      </c>
      <c r="D23" s="11">
        <f t="shared" si="1"/>
        <v>40</v>
      </c>
      <c r="E23" s="13">
        <v>0.7</v>
      </c>
      <c r="F23" s="13">
        <f t="shared" si="0"/>
        <v>12.000000000000002</v>
      </c>
      <c r="G23" s="20">
        <v>10</v>
      </c>
    </row>
    <row r="24" spans="1:9">
      <c r="D24" s="11">
        <f>D2+D3+D5+D4+D8+D6+D9+D10+D11+D12+D13+D14+D15+D16+D17+D18+D19+D20+D21+D22+D23</f>
        <v>1300.48</v>
      </c>
      <c r="E24" s="13"/>
      <c r="F24" s="13">
        <f>SUM(F2:F23)</f>
        <v>419.39299999999997</v>
      </c>
      <c r="G24" s="20">
        <f>SUM(G2:G23)</f>
        <v>230.29999999999998</v>
      </c>
      <c r="I24" s="13">
        <f>F24+45-168</f>
        <v>296.39299999999997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场景</vt:lpstr>
      <vt:lpstr>角色NPC</vt:lpstr>
      <vt:lpstr>美术资源占用比重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2015-11-23T09:34:19Z</dcterms:modified>
</cp:coreProperties>
</file>