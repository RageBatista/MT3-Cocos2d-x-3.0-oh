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0" yWindow="0" windowWidth="28710" windowHeight="13050" activeTab="11"/>
  </bookViews>
  <sheets>
    <sheet name="战士" sheetId="1" r:id="rId1"/>
    <sheet name="圣骑士" sheetId="2" r:id="rId2"/>
    <sheet name="猎人" sheetId="3" r:id="rId3"/>
    <sheet name="德鲁伊" sheetId="4" r:id="rId4"/>
    <sheet name="法师" sheetId="5" r:id="rId5"/>
    <sheet name="牧师" sheetId="6" r:id="rId6"/>
    <sheet name="宠物技能" sheetId="10" r:id="rId7"/>
    <sheet name="装备特技特效" sheetId="9" r:id="rId8"/>
    <sheet name="特技分部件" sheetId="11" r:id="rId9"/>
    <sheet name="程序处理" sheetId="8" r:id="rId10"/>
    <sheet name="需要有特效的buff" sheetId="7" r:id="rId11"/>
    <sheet name="新版职业技能" sheetId="12" r:id="rId12"/>
    <sheet name="新程序需求" sheetId="13" r:id="rId13"/>
    <sheet name="伙伴技能" sheetId="14" r:id="rId14"/>
    <sheet name="Sheet1" sheetId="15" r:id="rId15"/>
    <sheet name="Sheet2" sheetId="16" r:id="rId16"/>
  </sheets>
  <calcPr calcId="124519"/>
</workbook>
</file>

<file path=xl/calcChain.xml><?xml version="1.0" encoding="utf-8"?>
<calcChain xmlns="http://schemas.openxmlformats.org/spreadsheetml/2006/main">
  <c r="F127" i="14"/>
  <c r="C126"/>
  <c r="C127"/>
  <c r="E127"/>
  <c r="D127"/>
  <c r="F126" l="1"/>
  <c r="D126"/>
  <c r="E126"/>
  <c r="G2" i="16"/>
  <c r="G3"/>
  <c r="G4"/>
  <c r="G5"/>
  <c r="G6"/>
  <c r="G7"/>
  <c r="G8"/>
  <c r="G9"/>
  <c r="G10"/>
  <c r="G11"/>
  <c r="G12"/>
  <c r="G13"/>
  <c r="G14"/>
  <c r="G15"/>
  <c r="G16"/>
  <c r="G17"/>
  <c r="G18"/>
  <c r="G19"/>
  <c r="G20"/>
  <c r="G21"/>
  <c r="G22"/>
  <c r="G23"/>
  <c r="G24"/>
  <c r="G25"/>
  <c r="G26"/>
  <c r="G27"/>
  <c r="G28"/>
  <c r="G29"/>
  <c r="G30"/>
  <c r="G31"/>
  <c r="G32"/>
  <c r="G33"/>
  <c r="G34"/>
  <c r="G35"/>
  <c r="G36"/>
  <c r="G37"/>
  <c r="G38"/>
  <c r="G39"/>
  <c r="G40"/>
  <c r="G41"/>
  <c r="G42"/>
  <c r="G43"/>
  <c r="G44"/>
  <c r="G45"/>
  <c r="G46"/>
  <c r="G47"/>
  <c r="G48"/>
  <c r="G49"/>
  <c r="G50"/>
  <c r="G51"/>
  <c r="G52"/>
  <c r="G53"/>
  <c r="G54"/>
  <c r="G55"/>
  <c r="G56"/>
  <c r="G57"/>
  <c r="G58"/>
  <c r="G59"/>
  <c r="G60"/>
  <c r="G61"/>
  <c r="G62"/>
  <c r="G63"/>
  <c r="G64"/>
  <c r="G65"/>
  <c r="G66"/>
  <c r="G67"/>
  <c r="G68"/>
  <c r="G69"/>
  <c r="G70"/>
  <c r="G71"/>
  <c r="G72"/>
  <c r="G73"/>
  <c r="G74"/>
  <c r="G75"/>
  <c r="G76"/>
  <c r="G77"/>
  <c r="G78"/>
  <c r="G79"/>
  <c r="G80"/>
  <c r="G81"/>
  <c r="G82"/>
  <c r="G83"/>
  <c r="G84"/>
  <c r="G85"/>
  <c r="G86"/>
  <c r="G87"/>
  <c r="G88"/>
  <c r="G89"/>
  <c r="G90"/>
  <c r="G91"/>
  <c r="G1"/>
  <c r="K55" i="15"/>
  <c r="K54"/>
  <c r="K53"/>
  <c r="K52"/>
  <c r="K51"/>
  <c r="K50"/>
  <c r="K49"/>
  <c r="K48"/>
  <c r="K47"/>
  <c r="K46"/>
  <c r="K45"/>
  <c r="K44"/>
  <c r="K43"/>
  <c r="K42"/>
  <c r="K41"/>
  <c r="K40"/>
  <c r="K39"/>
  <c r="K38"/>
  <c r="K37"/>
  <c r="K36"/>
  <c r="K35"/>
  <c r="K34"/>
  <c r="K33"/>
  <c r="K32"/>
  <c r="K31"/>
  <c r="K30"/>
  <c r="K29"/>
  <c r="K28"/>
  <c r="K27"/>
  <c r="K26"/>
  <c r="K25"/>
  <c r="K24"/>
  <c r="K23"/>
  <c r="L118" i="14"/>
  <c r="K118"/>
  <c r="L115"/>
  <c r="K115"/>
  <c r="L112"/>
  <c r="K112"/>
  <c r="L109"/>
  <c r="K109"/>
  <c r="L105"/>
  <c r="K105"/>
  <c r="L102"/>
  <c r="K102"/>
  <c r="L99"/>
  <c r="K99"/>
  <c r="L95"/>
  <c r="K95"/>
  <c r="L92"/>
  <c r="K92"/>
  <c r="L89"/>
  <c r="K89"/>
  <c r="L86"/>
  <c r="K86"/>
  <c r="L82"/>
  <c r="K82"/>
  <c r="L79"/>
  <c r="K79"/>
  <c r="L76"/>
  <c r="K76"/>
  <c r="L73"/>
  <c r="K73"/>
  <c r="L69"/>
  <c r="K69"/>
  <c r="L66"/>
  <c r="K66"/>
  <c r="L63"/>
  <c r="K63"/>
  <c r="L60"/>
  <c r="K60"/>
  <c r="L56"/>
  <c r="K56"/>
  <c r="L53"/>
  <c r="K53"/>
  <c r="L50"/>
  <c r="K50"/>
  <c r="L46"/>
  <c r="K46"/>
  <c r="L43"/>
  <c r="K43"/>
  <c r="L40"/>
  <c r="K40"/>
  <c r="L36"/>
  <c r="K36"/>
  <c r="L32"/>
  <c r="K32"/>
  <c r="L29"/>
  <c r="K29"/>
  <c r="L26"/>
  <c r="K26"/>
  <c r="L20"/>
  <c r="K20"/>
  <c r="L16"/>
  <c r="K16"/>
  <c r="L12"/>
  <c r="K12"/>
  <c r="L8"/>
  <c r="K8"/>
  <c r="AB46" i="11"/>
  <c r="Z46"/>
  <c r="X46"/>
  <c r="V46"/>
  <c r="T46"/>
  <c r="R46"/>
  <c r="P46"/>
  <c r="N46"/>
  <c r="AB45"/>
  <c r="Z45"/>
  <c r="X45"/>
  <c r="V45"/>
  <c r="T45"/>
  <c r="R45"/>
  <c r="P45"/>
  <c r="N45"/>
  <c r="AB43"/>
  <c r="Z43"/>
  <c r="X43"/>
  <c r="V43"/>
  <c r="T43"/>
  <c r="R43"/>
  <c r="P43"/>
  <c r="N43"/>
  <c r="AB42"/>
  <c r="Z42"/>
  <c r="X42"/>
  <c r="V42"/>
  <c r="T42"/>
  <c r="R42"/>
  <c r="P42"/>
  <c r="N42"/>
  <c r="AB40"/>
  <c r="Z40"/>
  <c r="X40"/>
  <c r="V40"/>
  <c r="T40"/>
  <c r="R40"/>
  <c r="P40"/>
  <c r="N40"/>
  <c r="AB39"/>
  <c r="Z39"/>
  <c r="X39"/>
  <c r="V39"/>
  <c r="T39"/>
  <c r="R39"/>
  <c r="P39"/>
  <c r="N39"/>
  <c r="I38"/>
  <c r="AB37"/>
  <c r="Z37"/>
  <c r="X37"/>
  <c r="V37"/>
  <c r="T37"/>
  <c r="R37"/>
  <c r="P37"/>
  <c r="N37"/>
  <c r="I37"/>
  <c r="AB36"/>
  <c r="Z36"/>
  <c r="X36"/>
  <c r="V36"/>
  <c r="T36"/>
  <c r="R36"/>
  <c r="P36"/>
  <c r="N36"/>
  <c r="I36"/>
  <c r="I35"/>
  <c r="AB34"/>
  <c r="Z34"/>
  <c r="X34"/>
  <c r="V34"/>
  <c r="T34"/>
  <c r="R34"/>
  <c r="P34"/>
  <c r="N34"/>
  <c r="I34"/>
  <c r="AB33"/>
  <c r="Z33"/>
  <c r="X33"/>
  <c r="V33"/>
  <c r="T33"/>
  <c r="R33"/>
  <c r="P33"/>
  <c r="N33"/>
  <c r="I33"/>
  <c r="I32"/>
  <c r="AB31"/>
  <c r="Z31"/>
  <c r="X31"/>
  <c r="V31"/>
  <c r="T31"/>
  <c r="R31"/>
  <c r="P31"/>
  <c r="N31"/>
  <c r="I31"/>
  <c r="AB30"/>
  <c r="Z30"/>
  <c r="X30"/>
  <c r="V30"/>
  <c r="T30"/>
  <c r="R30"/>
  <c r="P30"/>
  <c r="N30"/>
  <c r="I30"/>
  <c r="I29"/>
  <c r="I28"/>
  <c r="I27"/>
  <c r="I26"/>
  <c r="I25"/>
  <c r="BZ24"/>
  <c r="BX24"/>
  <c r="BV24"/>
  <c r="BT24"/>
  <c r="BR24"/>
  <c r="BP24"/>
  <c r="BN24"/>
  <c r="BL24"/>
  <c r="BJ24"/>
  <c r="BH24"/>
  <c r="BF24"/>
  <c r="BD24"/>
  <c r="BB24"/>
  <c r="AZ24"/>
  <c r="AX24"/>
  <c r="AV24"/>
  <c r="AT24"/>
  <c r="AR24"/>
  <c r="AP24"/>
  <c r="AN24"/>
  <c r="AL24"/>
  <c r="AJ24"/>
  <c r="AH24"/>
  <c r="AF24"/>
  <c r="AD24"/>
  <c r="AB24"/>
  <c r="Z24"/>
  <c r="X24"/>
  <c r="V24"/>
  <c r="T24"/>
  <c r="R24"/>
  <c r="P24"/>
  <c r="I24"/>
  <c r="I23"/>
  <c r="I22"/>
  <c r="I21"/>
  <c r="BT20"/>
  <c r="BR20"/>
  <c r="BP20"/>
  <c r="BN20"/>
  <c r="BL20"/>
  <c r="BJ20"/>
  <c r="BH20"/>
  <c r="BF20"/>
  <c r="BD20"/>
  <c r="BB20"/>
  <c r="AZ20"/>
  <c r="AX20"/>
  <c r="AV20"/>
  <c r="AT20"/>
  <c r="AR20"/>
  <c r="AP20"/>
  <c r="AN20"/>
  <c r="AL20"/>
  <c r="AJ20"/>
  <c r="AH20"/>
  <c r="AF20"/>
  <c r="AD20"/>
  <c r="AB20"/>
  <c r="Z20"/>
  <c r="X20"/>
  <c r="V20"/>
  <c r="T20"/>
  <c r="R20"/>
  <c r="P20"/>
  <c r="I20"/>
  <c r="I19"/>
  <c r="I18"/>
  <c r="I17"/>
  <c r="I16"/>
  <c r="I15"/>
  <c r="I14"/>
  <c r="I13"/>
  <c r="I12"/>
  <c r="I11"/>
  <c r="I10"/>
  <c r="I9"/>
  <c r="I8"/>
  <c r="I7"/>
  <c r="I6"/>
  <c r="M76" i="9"/>
  <c r="M75"/>
  <c r="M74"/>
  <c r="M73"/>
  <c r="M72"/>
  <c r="M71"/>
  <c r="M70"/>
  <c r="M69"/>
  <c r="M68"/>
  <c r="M67"/>
  <c r="M66"/>
  <c r="M65"/>
  <c r="M64"/>
  <c r="M63"/>
  <c r="M62"/>
  <c r="M61"/>
  <c r="M60"/>
  <c r="M59"/>
  <c r="M58"/>
  <c r="M57"/>
  <c r="M56"/>
  <c r="M55"/>
  <c r="M54"/>
  <c r="M53"/>
  <c r="M52"/>
  <c r="M51"/>
  <c r="M50"/>
  <c r="M49"/>
  <c r="M48"/>
  <c r="M47"/>
  <c r="M46"/>
  <c r="M45"/>
  <c r="M44"/>
  <c r="M43"/>
  <c r="M42"/>
  <c r="M41"/>
  <c r="M38"/>
  <c r="M37"/>
  <c r="M36"/>
  <c r="M35"/>
  <c r="M34"/>
  <c r="M33"/>
  <c r="M32"/>
  <c r="M31"/>
  <c r="M30"/>
  <c r="M29"/>
  <c r="M28"/>
  <c r="M27"/>
  <c r="M26"/>
  <c r="M25"/>
  <c r="M24"/>
  <c r="M23"/>
  <c r="M22"/>
  <c r="M21"/>
  <c r="M20"/>
  <c r="M19"/>
  <c r="M18"/>
  <c r="M17"/>
  <c r="M16"/>
  <c r="M15"/>
  <c r="M14"/>
  <c r="M13"/>
  <c r="M12"/>
  <c r="M11"/>
  <c r="M10"/>
  <c r="M9"/>
  <c r="M8"/>
  <c r="M7"/>
  <c r="M6"/>
  <c r="Q94" i="10"/>
  <c r="Q91"/>
  <c r="Q90"/>
  <c r="Q89"/>
  <c r="Q88"/>
  <c r="Q87"/>
  <c r="Q86"/>
  <c r="Q85"/>
  <c r="Q84"/>
  <c r="Q83"/>
  <c r="Q82"/>
  <c r="Q81"/>
  <c r="Q80"/>
  <c r="Q79"/>
  <c r="Q78"/>
  <c r="Q77"/>
  <c r="Q76"/>
</calcChain>
</file>

<file path=xl/sharedStrings.xml><?xml version="1.0" encoding="utf-8"?>
<sst xmlns="http://schemas.openxmlformats.org/spreadsheetml/2006/main" count="2865" uniqueCount="1877">
  <si>
    <t>职业名称</t>
  </si>
  <si>
    <t>战士</t>
  </si>
  <si>
    <t>职业技能
颜色背景</t>
  </si>
  <si>
    <t>主格调：金属，献血红</t>
  </si>
  <si>
    <t>技能列表</t>
  </si>
  <si>
    <t>技能名称</t>
  </si>
  <si>
    <t>文本</t>
  </si>
  <si>
    <t>功效</t>
  </si>
  <si>
    <t>升级效果</t>
  </si>
  <si>
    <t>消耗</t>
  </si>
  <si>
    <t>技能特效需求数量（美术用）</t>
  </si>
  <si>
    <t>特效相应人物动作</t>
  </si>
  <si>
    <t>技能表现描述（建议）</t>
  </si>
  <si>
    <t>对应梦幻西游大唐</t>
  </si>
  <si>
    <t>施法特效</t>
  </si>
  <si>
    <t>受击特效</t>
  </si>
  <si>
    <t>全屏特效</t>
  </si>
  <si>
    <t>弹道特效</t>
  </si>
  <si>
    <t>战斗技巧</t>
  </si>
  <si>
    <t>为官之道</t>
  </si>
  <si>
    <t>在战斗中领悟的技巧，更加简洁，也更加致命</t>
  </si>
  <si>
    <t>战士基础技能</t>
  </si>
  <si>
    <t>无消耗</t>
  </si>
  <si>
    <t>被动技能：只有技能图标</t>
  </si>
  <si>
    <t>幻影斩</t>
  </si>
  <si>
    <t>破釜沉舟</t>
  </si>
  <si>
    <t>消耗：（10+2*技能等级）魔法</t>
  </si>
  <si>
    <t>人物施法攻击
残影近战攻击</t>
  </si>
  <si>
    <t>敌人受到小型剑劈落（播放在受击者身上的）攻击</t>
  </si>
  <si>
    <t>毁灭打击</t>
  </si>
  <si>
    <t>横扫千军</t>
  </si>
  <si>
    <t>消耗：7%至13%最大生命</t>
  </si>
  <si>
    <t>主动技能：有技能图标，有受击特效</t>
  </si>
  <si>
    <t>人物施法攻击</t>
  </si>
  <si>
    <t>敌人受到重创的刀光（播放在受击者身上的）攻击</t>
  </si>
  <si>
    <t>蓄力冲锋</t>
  </si>
  <si>
    <t>后发制人</t>
  </si>
  <si>
    <t>消耗：</t>
  </si>
  <si>
    <t>主动技能：有技能图标，有攻击特效，有受击特效</t>
  </si>
  <si>
    <t>1阶段：人物施法攻击
2阶段：人物近战攻击</t>
  </si>
  <si>
    <t>一个正面的牛，牛鼻冒气（参考NBA公牛队图标）</t>
  </si>
  <si>
    <t>敌人受到含有红色杀气（红色的烟的特效）攻击</t>
  </si>
  <si>
    <t>迅猛突袭</t>
  </si>
  <si>
    <t>翩鸿一击</t>
  </si>
  <si>
    <t>人物施法攻击后近战攻击</t>
  </si>
  <si>
    <t>原先的特效调整了大小已经可以用</t>
  </si>
  <si>
    <t>制造技能：只有技能图标</t>
  </si>
  <si>
    <t>剑刃风暴</t>
  </si>
  <si>
    <t>万剑归宗</t>
  </si>
  <si>
    <t>原先的特效，尾巴太长了，最好是基于人物左右对称的尺寸，而且只希望要两个特效刀光，每个刀光特效只有一刀，方向不同</t>
  </si>
  <si>
    <t>加点方式</t>
  </si>
  <si>
    <t>生命</t>
  </si>
  <si>
    <t>魔法</t>
  </si>
  <si>
    <t>物攻</t>
  </si>
  <si>
    <t>物防</t>
  </si>
  <si>
    <t>法攻</t>
  </si>
  <si>
    <t>法防</t>
  </si>
  <si>
    <t>速度</t>
  </si>
  <si>
    <t>治疗强度</t>
  </si>
  <si>
    <t>控制命中</t>
  </si>
  <si>
    <t>控制抗性</t>
  </si>
  <si>
    <t>标准战士</t>
  </si>
  <si>
    <t>标准圣骑</t>
  </si>
  <si>
    <t>标准猎人</t>
  </si>
  <si>
    <t>标准德鲁伊</t>
  </si>
  <si>
    <t>标准法师</t>
  </si>
  <si>
    <t>标准牧师</t>
  </si>
  <si>
    <t>圣骑士</t>
  </si>
  <si>
    <t>战斗职业定位</t>
  </si>
  <si>
    <t>控制</t>
  </si>
  <si>
    <t>对应梦幻西游方寸</t>
  </si>
  <si>
    <t>王者祝福</t>
  </si>
  <si>
    <t>黄庭经</t>
  </si>
  <si>
    <t>圣骑士基础技能</t>
  </si>
  <si>
    <t>五雷咒</t>
  </si>
  <si>
    <t>原特效受击部分增加一个锤子砸下的酝酿过程（施法特效去掉）</t>
  </si>
  <si>
    <t>原特效受击部分增加一个拳头砸下的酝酿过程（施法特效去掉）</t>
  </si>
  <si>
    <t>定身符</t>
  </si>
  <si>
    <t>在敌方右上缓慢形成一个圣光之锤，突然敲击（受击者如同感受到被锤子砸晕的感觉）</t>
  </si>
  <si>
    <t>离魂符</t>
  </si>
  <si>
    <t>敌方脚下产生圣光裂痕，（法术酝酿像火山喷发一样，鼓动两下），然后喷发出圣光球爆炸（受击感要弱，因为此技能无伤害，受击者如同感受到闪光弹一样）</t>
  </si>
  <si>
    <t>神兵护法</t>
  </si>
  <si>
    <t>主动技能：有技能图标，有受击特效，全屏特效</t>
  </si>
  <si>
    <t>受击特效中的爆炸特效，受击感调整更强烈一些</t>
  </si>
  <si>
    <t>原先的施法特效调整成战场中央的全屏，然后策划调整了大小应该可以用</t>
  </si>
  <si>
    <t>猎人</t>
  </si>
  <si>
    <t>物理输出</t>
  </si>
  <si>
    <t>职业图标参考</t>
  </si>
  <si>
    <t>对应梦幻西游狮驼</t>
  </si>
  <si>
    <t>变身</t>
  </si>
  <si>
    <t>鹰击</t>
  </si>
  <si>
    <t>主动技能：有技能图标，有受击特效，有弹道特效</t>
  </si>
  <si>
    <t>用奥爆受击特效的火光色版本</t>
  </si>
  <si>
    <t>一个火光色的粒子特效光球（带拖尾）</t>
  </si>
  <si>
    <t>主动技能：有技能图标，有弹道特效</t>
  </si>
  <si>
    <t>一个旋转的网子（网子可以做平面视角）</t>
  </si>
  <si>
    <t>狮搏</t>
  </si>
  <si>
    <t>用奥爆受击特效的白色版本</t>
  </si>
  <si>
    <t>一个白色的粒子特效光球（带拖尾）</t>
  </si>
  <si>
    <t>魔息术</t>
  </si>
  <si>
    <t>我方被蓝色罩子包围，底部有符文圈</t>
  </si>
  <si>
    <t>附魔：不羁之怒</t>
  </si>
  <si>
    <t>神力无穷</t>
  </si>
  <si>
    <t>奇美拉冲击</t>
  </si>
  <si>
    <t>逆势象形</t>
  </si>
  <si>
    <t>奇美拉鸟兽喷吐粘液，可以参照梦幻狮驼鹰击的感觉</t>
  </si>
  <si>
    <t>用稳固射击的粒子光球效果</t>
  </si>
  <si>
    <t>德鲁伊</t>
  </si>
  <si>
    <t>辅助</t>
  </si>
  <si>
    <t>对应梦幻西游地府</t>
  </si>
  <si>
    <t>拘魂诀</t>
  </si>
  <si>
    <t>阎罗令</t>
  </si>
  <si>
    <t>以敌方目标头上有个月亮，然后轰下一道月光打击目标</t>
  </si>
  <si>
    <t>六道轮回</t>
  </si>
  <si>
    <t>受击者身上有个半透明的金色板甲碎裂</t>
  </si>
  <si>
    <t>尸腐毒</t>
  </si>
  <si>
    <t>日月凝合会聚一道光芒打击敌人</t>
  </si>
  <si>
    <t>主动技能：有技能图标，有施法特效，有全屏特效</t>
  </si>
  <si>
    <t>施法者放出几只金色蝴蝶</t>
  </si>
  <si>
    <t>金色蝴蝶在战场中间飞舞</t>
  </si>
  <si>
    <t>尸气漫天</t>
  </si>
  <si>
    <t>末日战场</t>
  </si>
  <si>
    <t>锁魂判官</t>
  </si>
  <si>
    <t>主动技能：有技能图标，有施法特效，有受击特效</t>
  </si>
  <si>
    <t>施法者持有绿色光球光效</t>
  </si>
  <si>
    <t>受击者脚下有树木生长出来，产生很多藤蔓缠绕受击者，然后产生爆炸</t>
  </si>
  <si>
    <t>法师</t>
  </si>
  <si>
    <t xml:space="preserve"> </t>
  </si>
  <si>
    <t>对应梦幻西游龙宫</t>
  </si>
  <si>
    <t>九龙诀</t>
  </si>
  <si>
    <t>法师是充满智慧的群体，或者说，智慧没有达到一定程度的人无法在奥术上获得高深造诣。</t>
  </si>
  <si>
    <t>法师基础技能</t>
  </si>
  <si>
    <t>暴风雪</t>
  </si>
  <si>
    <t>龙卷雨击</t>
  </si>
  <si>
    <t>在人物头上形成雨水凝固成多个冰块落下打击（施法特效去掉）</t>
  </si>
  <si>
    <t>奥术冲击</t>
  </si>
  <si>
    <t>龙腾</t>
  </si>
  <si>
    <t>主动技能：有技能图标，有受击特效,弹道特效</t>
  </si>
  <si>
    <t>当前受击符文的线条单薄，受击感有点弱</t>
  </si>
  <si>
    <t>一个奥术光球（带紫色慧光拖尾）</t>
  </si>
  <si>
    <t>龙吟</t>
  </si>
  <si>
    <t>主动技能：有技能图标，有全屏特效，有受击特效</t>
  </si>
  <si>
    <t>目前特效可用</t>
  </si>
  <si>
    <t>游戏内已经修正了一个版本，可供美术参考</t>
  </si>
  <si>
    <t>清心</t>
  </si>
  <si>
    <t>龙附</t>
  </si>
  <si>
    <t>虚空乱流</t>
  </si>
  <si>
    <t>原先的施法特效调整成受击特效，特效的闪电最好追加酝酿过程</t>
  </si>
  <si>
    <t>牧师</t>
  </si>
  <si>
    <t>治疗</t>
  </si>
  <si>
    <t>主格调：金黄，蓝，白</t>
  </si>
  <si>
    <t>对应梦幻西游普陀</t>
  </si>
  <si>
    <t>牧师对神祇有着虔诚的信仰，这种信仰也使其获得了祝福</t>
  </si>
  <si>
    <t>神圣新星</t>
  </si>
  <si>
    <t>五行咒</t>
  </si>
  <si>
    <t>聚集神圣能量并引爆，对周围多个敌方单位造成伤害</t>
  </si>
  <si>
    <t>用奥爆受击特效的金色版本</t>
  </si>
  <si>
    <t>出现三个半透明半圆球圣光球依次爆炸（角度同新调整的奥爆术）</t>
  </si>
  <si>
    <t>普渡众生</t>
  </si>
  <si>
    <t>牧师虔诚的祈祷，使用神圣的力量治疗友军</t>
  </si>
  <si>
    <t>我方受击者被圣光笼罩洗礼治愈的感觉</t>
  </si>
  <si>
    <t>苏生</t>
  </si>
  <si>
    <t>杨甘柳露</t>
  </si>
  <si>
    <t>召唤一个天使，翅膀由闭合到打开（正面角度）</t>
  </si>
  <si>
    <t>灵动九天</t>
  </si>
  <si>
    <t>受击者被圣光充能的光效感觉</t>
  </si>
  <si>
    <t>附魔：纳鲁恩赐</t>
  </si>
  <si>
    <t>莲华妙法</t>
  </si>
  <si>
    <t>天定之国</t>
  </si>
  <si>
    <t>沐日慈悲</t>
  </si>
  <si>
    <t>主动技能：有技能图标，有攻击特效，有受击特效，有全屏特效</t>
  </si>
  <si>
    <t>施法者持有光球光效</t>
  </si>
  <si>
    <t>受击者背后都是追加一个黄金翅膀</t>
  </si>
  <si>
    <t>屏幕中场站着一个纳鲁天使（正面角度）双手祈祷</t>
  </si>
  <si>
    <t>伊瑟拉将自然的低语注入鞋子，使其附加法术抗性。</t>
    <phoneticPr fontId="14" type="noConversion"/>
  </si>
  <si>
    <t>混乱感召</t>
    <phoneticPr fontId="14" type="noConversion"/>
  </si>
  <si>
    <t>召唤圣光洗礼，给予渎神者应有的惩罚</t>
    <phoneticPr fontId="14" type="noConversion"/>
  </si>
  <si>
    <t>处决宣判</t>
    <phoneticPr fontId="14" type="noConversion"/>
  </si>
  <si>
    <t>狩猎姿态</t>
    <phoneticPr fontId="14" type="noConversion"/>
  </si>
  <si>
    <t>失心符</t>
    <phoneticPr fontId="14" type="noConversion"/>
  </si>
  <si>
    <t>律法圣盾</t>
    <phoneticPr fontId="14" type="noConversion"/>
  </si>
  <si>
    <t>象形</t>
    <phoneticPr fontId="14" type="noConversion"/>
  </si>
  <si>
    <t>诱捕打击</t>
    <phoneticPr fontId="14" type="noConversion"/>
  </si>
  <si>
    <t>宁神术</t>
    <phoneticPr fontId="14" type="noConversion"/>
  </si>
  <si>
    <t>稳固打击</t>
    <phoneticPr fontId="14" type="noConversion"/>
  </si>
  <si>
    <t>概率禁魔并定身目标，禁魔状态下无法释放技职业能，定身状态下无法释放物理普攻</t>
    <phoneticPr fontId="14" type="noConversion"/>
  </si>
  <si>
    <t>对目标发动5-9次攻击，自身生命越低攻击次数越多。伤害是普通攻击的50%，无法被防御和保护，使用后虚弱休息一回合。</t>
    <phoneticPr fontId="14" type="noConversion"/>
  </si>
  <si>
    <t>狩猎姿态下，物理攻击多个目标，使用后休息一回合，虚弱休息状态下双防降低。（非狩猎状态下，使用狩猎姿态。）</t>
    <phoneticPr fontId="14" type="noConversion"/>
  </si>
  <si>
    <t>狩猎姿态下，忽视目标部分防御攻击。（非狩猎状态下，使用狩猎姿态。）</t>
    <phoneticPr fontId="14" type="noConversion"/>
  </si>
  <si>
    <t>狩猎姿态下，攻击并禁魔定身目标，使用后强制取消狩猎状态并虚弱休息一回合，虚弱休息状态下双防降低。（非狩猎状态下，使用狩猎姿态。）</t>
    <phoneticPr fontId="14" type="noConversion"/>
  </si>
  <si>
    <t>在攻击的同时用网猎捕对方，少有人能在这一招下生还</t>
    <phoneticPr fontId="14" type="noConversion"/>
  </si>
  <si>
    <r>
      <t>使用圣盾审判敌方5个目标，并随机附加禁魔状态，首目标必中，其他目标为基础命中率的3</t>
    </r>
    <r>
      <rPr>
        <sz val="11"/>
        <color indexed="8"/>
        <rFont val="宋体"/>
        <family val="3"/>
        <charset val="134"/>
      </rPr>
      <t>5</t>
    </r>
    <r>
      <rPr>
        <sz val="11"/>
        <color indexed="8"/>
        <rFont val="宋体"/>
        <family val="3"/>
        <charset val="134"/>
      </rPr>
      <t>%，使用后虚弱休息一回合。</t>
    </r>
    <phoneticPr fontId="14" type="noConversion"/>
  </si>
  <si>
    <t>效果：无须狩猎状态就可以利用奇美拉诱捕打击目标，当己方队友少于对方时，随机额外诱捕打击1个目标，伤害依次递减。使用后虚弱休息一回合，休息状态下双防降低。</t>
    <phoneticPr fontId="14" type="noConversion"/>
  </si>
  <si>
    <t>幻音古钟</t>
    <phoneticPr fontId="14" type="noConversion"/>
  </si>
  <si>
    <t>德鲁伊基础技能</t>
  </si>
  <si>
    <r>
      <t>0-69</t>
    </r>
    <r>
      <rPr>
        <sz val="11"/>
        <color indexed="60"/>
        <rFont val="宋体"/>
        <family val="3"/>
        <charset val="134"/>
      </rPr>
      <t xml:space="preserve">级  增加使用时的伤害，70级可攻击4个目标
</t>
    </r>
    <r>
      <rPr>
        <sz val="11"/>
        <color indexed="60"/>
        <rFont val="宋体"/>
        <family val="3"/>
        <charset val="134"/>
      </rPr>
      <t>70</t>
    </r>
    <r>
      <rPr>
        <sz val="11"/>
        <color indexed="60"/>
        <rFont val="宋体"/>
        <family val="3"/>
        <charset val="134"/>
      </rPr>
      <t>-1</t>
    </r>
    <r>
      <rPr>
        <sz val="11"/>
        <color indexed="60"/>
        <rFont val="宋体"/>
        <family val="3"/>
        <charset val="134"/>
      </rPr>
      <t>50</t>
    </r>
    <r>
      <rPr>
        <sz val="11"/>
        <color indexed="60"/>
        <rFont val="宋体"/>
        <family val="3"/>
        <charset val="134"/>
      </rPr>
      <t>级 增加使用时的伤害</t>
    </r>
    <phoneticPr fontId="14" type="noConversion"/>
  </si>
  <si>
    <t>0-59级 增加使用时的伤害，60级可攻击4个目标
60-69级 增加使用时的伤害，70级可攻击5个目标
70-89级 增加使用时的伤害，90级可攻击6个目标
90-150级 增加使用时的伤害</t>
    <phoneticPr fontId="14" type="noConversion"/>
  </si>
  <si>
    <t>0-150级  永久增加主角的控制命中</t>
  </si>
  <si>
    <t>0-150级 增加魔法回复，永久增加主角的控制抗性</t>
  </si>
  <si>
    <t>0-150级  增加附魔附加愤怒的效果，永久增加主角的生命</t>
  </si>
  <si>
    <t>0-150级  增加附魔附加法术防御的效果，可永久增加主角的法术攻击</t>
    <phoneticPr fontId="14" type="noConversion"/>
  </si>
  <si>
    <t>心灵之眼</t>
    <phoneticPr fontId="14" type="noConversion"/>
  </si>
  <si>
    <t>法攻</t>
    <phoneticPr fontId="14" type="noConversion"/>
  </si>
  <si>
    <r>
      <t>战士史诗技能</t>
    </r>
    <r>
      <rPr>
        <sz val="11"/>
        <color indexed="8"/>
        <rFont val="宋体"/>
        <family val="3"/>
        <charset val="134"/>
      </rPr>
      <t>，快速的在战场上移动，随机多次攻击可见的敌方单位。</t>
    </r>
    <r>
      <rPr>
        <sz val="11"/>
        <color indexed="14"/>
        <rFont val="宋体"/>
        <family val="3"/>
        <charset val="134"/>
      </rPr>
      <t>“这片名为战场的天空之下，即是我的领地，擅自闯入的代价可是非常沉重的！”</t>
    </r>
    <phoneticPr fontId="14" type="noConversion"/>
  </si>
  <si>
    <t>德鲁伊史诗技能，将生命能量从敌人身边分离，从而使其周围化作末日死域。“从此，世界于其眼中一分为二，一边是鸟语花香之绿林，一边是万劫不复之地狱！”</t>
    <phoneticPr fontId="14" type="noConversion"/>
  </si>
  <si>
    <r>
      <t>牧师史诗技能</t>
    </r>
    <r>
      <rPr>
        <sz val="11"/>
        <color indexed="8"/>
        <rFont val="宋体"/>
        <family val="3"/>
        <charset val="134"/>
      </rPr>
      <t xml:space="preserve">，令神之意志降临凡世，将脚下的土地化为神国。
</t>
    </r>
    <r>
      <rPr>
        <sz val="11"/>
        <color indexed="14"/>
        <rFont val="宋体"/>
        <family val="3"/>
        <charset val="134"/>
      </rPr>
      <t>“轻唤神名，我必允你为王！”</t>
    </r>
    <phoneticPr fontId="14" type="noConversion"/>
  </si>
  <si>
    <t>0级  解锁1级 所有技能达到50级 
1级  解锁2级 所有技能达到70级 最高为暴风雪伤害的220%
2级  解锁3级 所有技能达到80级 最高为暴风雪伤害的240%
3级  解锁4级 所有技能达到90级 最高为暴风雪伤害的260%</t>
    <phoneticPr fontId="14" type="noConversion"/>
  </si>
  <si>
    <t>0级  解锁1级 所有技能达到50级 
1级  解锁2级 所有技能达到70级 增加回复生命效果
2级  解锁3级 所有技能达到80级 增加回复生命效果
3级  解锁4级 所有技能达到90级 增加回复生命效果</t>
    <phoneticPr fontId="14" type="noConversion"/>
  </si>
  <si>
    <t>使全体队友在二回合内免疫一次死亡，免疫后回复生命。回复量和施法者的治疗强度有关。使用后虚弱休息一回合，休息状态下双防降低。</t>
    <phoneticPr fontId="14" type="noConversion"/>
  </si>
  <si>
    <t>原版大招</t>
    <phoneticPr fontId="14" type="noConversion"/>
  </si>
  <si>
    <t>使全体队友在2回合内有35%概率免疫死亡，死亡瞬间回复生命值为生命上限的10%。使用后虚弱休息一回合，休息状态下双防降低。</t>
    <phoneticPr fontId="14" type="noConversion"/>
  </si>
  <si>
    <t>0级  解锁1级 所有技能达到50级 
1级  解锁2级 所有技能达到70级 免疫死亡概率40% 回复生命系数15%
2级  解锁3级 所有技能达到80级 免疫死亡概率45% 回复生命系数20%
3级  解锁4级 所有技能达到90级 免疫死亡概率40% 回复生命系数25%</t>
    <phoneticPr fontId="14" type="noConversion"/>
  </si>
  <si>
    <t>0-150级  永久增加主角的生命</t>
    <phoneticPr fontId="14" type="noConversion"/>
  </si>
  <si>
    <t>法术攻击多个目标，对首要目标附加中毒效果。</t>
    <phoneticPr fontId="14" type="noConversion"/>
  </si>
  <si>
    <t>幽冥鬼眼</t>
    <phoneticPr fontId="14" type="noConversion"/>
  </si>
  <si>
    <t>虔诚信仰</t>
    <phoneticPr fontId="14" type="noConversion"/>
  </si>
  <si>
    <t>0-150级  增加生命回复，永久增加主角的速度</t>
    <phoneticPr fontId="14" type="noConversion"/>
  </si>
  <si>
    <t>专注意志</t>
    <phoneticPr fontId="14" type="noConversion"/>
  </si>
  <si>
    <t>治疗祷言</t>
    <phoneticPr fontId="14" type="noConversion"/>
  </si>
  <si>
    <t>中毒状态下每回合损失10%生命和5%魔法，持续4回合。</t>
  </si>
  <si>
    <t>瘟疫</t>
  </si>
  <si>
    <t>灵魂禁锢状态下无法被复活，持续4回合。</t>
  </si>
  <si>
    <t>灵魂禁锢</t>
  </si>
  <si>
    <t>隐身状态下无法被敌方选作目标，物理伤害结果会降低20%，且无法使用技能，持续2至3回合，某些技能可探知隐身单位。</t>
  </si>
  <si>
    <t>隐身</t>
  </si>
  <si>
    <t>隐身状态下无法被敌方选作目标，物理伤害结果会降低15%，且无法使用技能，持续3至5回合，某些技能可探知隐身单位。</t>
  </si>
  <si>
    <t>高级隐身</t>
  </si>
  <si>
    <t>虚弱休息状态，只能召唤宠物和逃跑，物理防御和法术防御降低。</t>
  </si>
  <si>
    <t>虚弱休息</t>
  </si>
  <si>
    <t>临时提高防御和控制抵抗，下回合临时提高伤害首先出手攻击目标。</t>
  </si>
  <si>
    <t>蓄力</t>
  </si>
  <si>
    <t>禁魔状态下无法使用职业主动技能。</t>
  </si>
  <si>
    <t>禁魔</t>
  </si>
  <si>
    <t>定身状态下无法使用物理普攻。</t>
  </si>
  <si>
    <t>定身</t>
  </si>
  <si>
    <t>混乱状态下失去自控能力，有可能攻击己方队友。</t>
  </si>
  <si>
    <t>混乱</t>
  </si>
  <si>
    <t>狩猎状态下物理攻击提高，是释放多重射击、诱捕射击、稳固射击的前提。</t>
  </si>
  <si>
    <t>狩猎状态</t>
  </si>
  <si>
    <t>宁神状态下，每回合结束时回复施法者技能等级*0.5的魔法。</t>
  </si>
  <si>
    <t>宁神</t>
  </si>
  <si>
    <t>控制抗性提高，能探知并攻击敌方隐身状态的单位,持续3回合。</t>
  </si>
  <si>
    <t>心灵之眼</t>
  </si>
  <si>
    <t>每回合自动回复一定量生命，回复量跟施法者的治疗强度有关。</t>
  </si>
  <si>
    <t>治疗祷言</t>
  </si>
  <si>
    <t>天定之国状态下，当死亡时，有概率回复一定的生命复活，回复量跟施法者的治疗强度有关。</t>
  </si>
  <si>
    <t>客户端颤抖表现</t>
    <phoneticPr fontId="14" type="noConversion"/>
  </si>
  <si>
    <t>客户端半透表现</t>
    <phoneticPr fontId="14" type="noConversion"/>
  </si>
  <si>
    <t>需要有特效的持续性buff</t>
    <phoneticPr fontId="14" type="noConversion"/>
  </si>
  <si>
    <t>客户端特殊表现</t>
    <phoneticPr fontId="14" type="noConversion"/>
  </si>
  <si>
    <t>特殊buff处理</t>
    <phoneticPr fontId="23" type="noConversion"/>
  </si>
  <si>
    <t>持续性buffid</t>
    <phoneticPr fontId="23" type="noConversion"/>
  </si>
  <si>
    <t>buff名</t>
    <phoneticPr fontId="23" type="noConversion"/>
  </si>
  <si>
    <t>效果</t>
    <phoneticPr fontId="23" type="noConversion"/>
  </si>
  <si>
    <t>被动</t>
    <phoneticPr fontId="23" type="noConversion"/>
  </si>
  <si>
    <t>蛮力</t>
    <phoneticPr fontId="23" type="noConversion"/>
  </si>
  <si>
    <r>
      <rPr>
        <sz val="11"/>
        <rFont val="宋体"/>
        <family val="3"/>
        <charset val="134"/>
      </rPr>
      <t>提升少量的物理攻击力，</t>
    </r>
    <r>
      <rPr>
        <sz val="11"/>
        <color rgb="FFFF0000"/>
        <rFont val="宋体"/>
        <family val="3"/>
        <charset val="134"/>
      </rPr>
      <t>如果对方有生物力场或高级生物力场技能，物理伤害结果会减少</t>
    </r>
    <r>
      <rPr>
        <sz val="11"/>
        <color rgb="FFFF0000"/>
        <rFont val="Arial"/>
        <family val="2"/>
      </rPr>
      <t>20%</t>
    </r>
    <r>
      <rPr>
        <sz val="11"/>
        <color rgb="FFFF0000"/>
        <rFont val="宋体"/>
        <family val="3"/>
        <charset val="134"/>
      </rPr>
      <t>。</t>
    </r>
    <phoneticPr fontId="23" type="noConversion"/>
  </si>
  <si>
    <t>生物力场</t>
  </si>
  <si>
    <t>高级蛮力</t>
  </si>
  <si>
    <r>
      <rPr>
        <sz val="11"/>
        <rFont val="宋体"/>
        <family val="3"/>
        <charset val="134"/>
      </rPr>
      <t>提升一定的物理攻击力，</t>
    </r>
    <r>
      <rPr>
        <sz val="11"/>
        <color rgb="FFFF0000"/>
        <rFont val="宋体"/>
        <family val="3"/>
        <charset val="134"/>
      </rPr>
      <t>如果对方有生物力场或高级生物力场技能，物理伤害结果会减少20%。</t>
    </r>
    <phoneticPr fontId="23" type="noConversion"/>
  </si>
  <si>
    <t>高级生物力场</t>
  </si>
  <si>
    <t>不死亡魂</t>
    <phoneticPr fontId="23" type="noConversion"/>
  </si>
  <si>
    <r>
      <rPr>
        <sz val="11"/>
        <color rgb="FFFF0000"/>
        <rFont val="宋体"/>
        <family val="3"/>
        <charset val="134"/>
      </rPr>
      <t>死亡5回合后自动复活</t>
    </r>
    <r>
      <rPr>
        <sz val="11"/>
        <rFont val="宋体"/>
        <family val="3"/>
        <charset val="134"/>
      </rPr>
      <t>，</t>
    </r>
    <r>
      <rPr>
        <sz val="11"/>
        <color rgb="FF7030A0"/>
        <rFont val="宋体"/>
        <family val="3"/>
        <charset val="134"/>
      </rPr>
      <t>不受任何状态影响</t>
    </r>
    <r>
      <rPr>
        <sz val="11"/>
        <rFont val="宋体"/>
        <family val="3"/>
        <charset val="134"/>
      </rPr>
      <t>，</t>
    </r>
    <r>
      <rPr>
        <sz val="11"/>
        <color rgb="FFFF0000"/>
        <rFont val="宋体"/>
        <family val="3"/>
        <charset val="134"/>
      </rPr>
      <t>但也不能接受主动技能和药品回复生命。</t>
    </r>
    <phoneticPr fontId="23" type="noConversion"/>
  </si>
  <si>
    <t>高级不死亡魂</t>
    <phoneticPr fontId="23" type="noConversion"/>
  </si>
  <si>
    <r>
      <rPr>
        <sz val="11"/>
        <color rgb="FFFF0000"/>
        <rFont val="宋体"/>
        <family val="3"/>
        <charset val="134"/>
      </rPr>
      <t>死亡5回合后自动复活</t>
    </r>
    <r>
      <rPr>
        <sz val="11"/>
        <rFont val="宋体"/>
        <family val="3"/>
        <charset val="134"/>
      </rPr>
      <t>，</t>
    </r>
    <r>
      <rPr>
        <sz val="11"/>
        <color rgb="FF7030A0"/>
        <rFont val="宋体"/>
        <family val="3"/>
        <charset val="134"/>
      </rPr>
      <t>不受异常状态影响</t>
    </r>
    <r>
      <rPr>
        <sz val="11"/>
        <rFont val="宋体"/>
        <family val="3"/>
        <charset val="134"/>
      </rPr>
      <t>。</t>
    </r>
    <phoneticPr fontId="23" type="noConversion"/>
  </si>
  <si>
    <t>驱魔</t>
    <phoneticPr fontId="23" type="noConversion"/>
  </si>
  <si>
    <t>对敌方拥有不死亡魂术单位的物理、法术伤害效果增加50%，并能将其打飞出场外。</t>
    <phoneticPr fontId="23" type="noConversion"/>
  </si>
  <si>
    <t>高级驱魔</t>
  </si>
  <si>
    <t>对敌方拥有不死亡魂术单位的物理、法术伤害效果增加100%，并能将其打飞出场外。</t>
    <phoneticPr fontId="23" type="noConversion"/>
  </si>
  <si>
    <t>永恒自由</t>
    <phoneticPr fontId="23" type="noConversion"/>
  </si>
  <si>
    <t>受到的增益状态持续回合数加倍。</t>
    <phoneticPr fontId="23" type="noConversion"/>
  </si>
  <si>
    <t>高级永恒自由</t>
    <phoneticPr fontId="23" type="noConversion"/>
  </si>
  <si>
    <t>受到的增益状态持续回合数增加为原来的4倍。</t>
    <phoneticPr fontId="23" type="noConversion"/>
  </si>
  <si>
    <t>夜枭感知</t>
    <phoneticPr fontId="23" type="noConversion"/>
  </si>
  <si>
    <t>能探知并攻击敌方隐身状态的单位。</t>
    <phoneticPr fontId="23" type="noConversion"/>
  </si>
  <si>
    <t>高级夜枭感知</t>
    <phoneticPr fontId="23" type="noConversion"/>
  </si>
  <si>
    <r>
      <t>能探知并攻击敌方隐身状态的单位，</t>
    </r>
    <r>
      <rPr>
        <sz val="11"/>
        <rFont val="宋体"/>
        <family val="3"/>
        <charset val="134"/>
      </rPr>
      <t>受到物理伤害时的格挡几率提高7%。</t>
    </r>
    <phoneticPr fontId="23" type="noConversion"/>
  </si>
  <si>
    <t>高级火吸收</t>
    <phoneticPr fontId="23" type="noConversion"/>
  </si>
  <si>
    <r>
      <rPr>
        <sz val="11"/>
        <rFont val="宋体"/>
        <family val="3"/>
        <charset val="134"/>
      </rPr>
      <t>有30%概率吸收火元素法术伤害，回复对应的生命，</t>
    </r>
    <r>
      <rPr>
        <sz val="11"/>
        <color rgb="FFFF0000"/>
        <rFont val="宋体"/>
        <family val="3"/>
        <charset val="134"/>
      </rPr>
      <t>吸收失败也可减少火元素法术伤害的30%。</t>
    </r>
    <phoneticPr fontId="23" type="noConversion"/>
  </si>
  <si>
    <t>高级水吸收</t>
  </si>
  <si>
    <r>
      <rPr>
        <sz val="11"/>
        <rFont val="宋体"/>
        <family val="3"/>
        <charset val="134"/>
      </rPr>
      <t>有30%概率吸收水元素法术伤害，回复对应的生命，</t>
    </r>
    <r>
      <rPr>
        <sz val="11"/>
        <color rgb="FFFF0000"/>
        <rFont val="宋体"/>
        <family val="3"/>
        <charset val="134"/>
      </rPr>
      <t>吸收失败也可减少水元素法术伤害的30%。</t>
    </r>
    <phoneticPr fontId="23" type="noConversion"/>
  </si>
  <si>
    <t>高级土吸收</t>
  </si>
  <si>
    <r>
      <rPr>
        <sz val="11"/>
        <rFont val="宋体"/>
        <family val="3"/>
        <charset val="134"/>
      </rPr>
      <t>有30%概率吸收土元素法术伤害，回复对应的生命，</t>
    </r>
    <r>
      <rPr>
        <sz val="11"/>
        <color rgb="FFFF0000"/>
        <rFont val="宋体"/>
        <family val="3"/>
        <charset val="134"/>
      </rPr>
      <t>吸收失败也可减少土元素法术伤害的30%。</t>
    </r>
    <phoneticPr fontId="23" type="noConversion"/>
  </si>
  <si>
    <t>高级雷吸收</t>
  </si>
  <si>
    <r>
      <rPr>
        <sz val="11"/>
        <rFont val="宋体"/>
        <family val="3"/>
        <charset val="134"/>
      </rPr>
      <t>有30%概率吸收雷元素法术伤害，回复对应的生命，</t>
    </r>
    <r>
      <rPr>
        <sz val="11"/>
        <color rgb="FFFF0000"/>
        <rFont val="宋体"/>
        <family val="3"/>
        <charset val="134"/>
      </rPr>
      <t>吸收失败也可减少雷元素法术伤害的30%。</t>
    </r>
    <phoneticPr fontId="23" type="noConversion"/>
  </si>
  <si>
    <t>坚定意志</t>
  </si>
  <si>
    <r>
      <rPr>
        <sz val="11"/>
        <color rgb="FF7030A0"/>
        <rFont val="宋体"/>
        <family val="3"/>
        <charset val="134"/>
      </rPr>
      <t>可以抵御控制类异常状态</t>
    </r>
    <r>
      <rPr>
        <sz val="11"/>
        <color indexed="8"/>
        <rFont val="宋体"/>
        <family val="3"/>
        <charset val="134"/>
      </rPr>
      <t>，但自己的物理伤害结果也会降低20%。</t>
    </r>
    <phoneticPr fontId="23" type="noConversion"/>
  </si>
  <si>
    <t>buff互斥表</t>
    <phoneticPr fontId="23" type="noConversion"/>
  </si>
  <si>
    <t>高级坚定意志</t>
  </si>
  <si>
    <r>
      <rPr>
        <sz val="11"/>
        <color rgb="FF7030A0"/>
        <rFont val="宋体"/>
        <family val="3"/>
        <charset val="134"/>
      </rPr>
      <t>可以抵御控制类异常状态</t>
    </r>
    <r>
      <rPr>
        <sz val="11"/>
        <color indexed="8"/>
        <rFont val="宋体"/>
        <family val="3"/>
        <charset val="134"/>
      </rPr>
      <t>，受到物理伤害时的格挡几率提高7%，但自己的物理伤害结果也会降低20%。</t>
    </r>
    <phoneticPr fontId="23" type="noConversion"/>
  </si>
  <si>
    <t>神迹</t>
    <phoneticPr fontId="23" type="noConversion"/>
  </si>
  <si>
    <t>回合开始时，解除所有异常状态。（AI解决）</t>
    <phoneticPr fontId="23" type="noConversion"/>
  </si>
  <si>
    <t>高级神迹</t>
    <phoneticPr fontId="23" type="noConversion"/>
  </si>
  <si>
    <t>不受所有负面状态影响，包括毒、控制等。</t>
    <phoneticPr fontId="23" type="noConversion"/>
  </si>
  <si>
    <t>回合</t>
    <phoneticPr fontId="23" type="noConversion"/>
  </si>
  <si>
    <t>中毒状态下每回合损失10%生命和5%魔法，持续4回合。</t>
    <phoneticPr fontId="23" type="noConversion"/>
  </si>
  <si>
    <r>
      <t>隐身状态下无法被敌方选作目标，</t>
    </r>
    <r>
      <rPr>
        <sz val="11"/>
        <rFont val="宋体"/>
        <family val="3"/>
        <charset val="134"/>
      </rPr>
      <t>物理伤害结果会降低20%，且无法使用技能，持续2至3回合，某些技能可探知隐身单位。</t>
    </r>
    <phoneticPr fontId="23" type="noConversion"/>
  </si>
  <si>
    <r>
      <t>隐身状态下无法被敌方选作目标，</t>
    </r>
    <r>
      <rPr>
        <sz val="11"/>
        <rFont val="宋体"/>
        <family val="3"/>
        <charset val="134"/>
      </rPr>
      <t>物理伤害结果会降低15%，且无法使用技能，持续3至5回合，某些技能可探知隐身单位。</t>
    </r>
    <phoneticPr fontId="23" type="noConversion"/>
  </si>
  <si>
    <t>混乱状态下失去自控能力，有可能攻击己方队友。</t>
    <phoneticPr fontId="23" type="noConversion"/>
  </si>
  <si>
    <t>控制抗性提高，能探知并攻击敌方隐身状态的单位,持续3回合。</t>
    <phoneticPr fontId="23" type="noConversion"/>
  </si>
  <si>
    <t>通用特殊AI处理</t>
    <phoneticPr fontId="23" type="noConversion"/>
  </si>
  <si>
    <t>buffid</t>
    <phoneticPr fontId="23" type="noConversion"/>
  </si>
  <si>
    <t>神迹</t>
    <phoneticPr fontId="30" type="noConversion"/>
  </si>
  <si>
    <t>每回合结束时自动解除一切异常状态，包括毒、封印、属性降低等。</t>
    <phoneticPr fontId="23" type="noConversion"/>
  </si>
  <si>
    <t>不死亡魂</t>
  </si>
  <si>
    <t>死亡5回合后自动复活，不受任何状态影响，但也不能使用主动技能和药品回复气血。</t>
    <phoneticPr fontId="23" type="noConversion"/>
  </si>
  <si>
    <t>亡魂复活buff</t>
    <phoneticPr fontId="30" type="noConversion"/>
  </si>
  <si>
    <t>高级不死亡魂</t>
  </si>
  <si>
    <t>死亡5回合后自动复活，不受异常状态影响。</t>
  </si>
  <si>
    <t>潜行</t>
    <phoneticPr fontId="23" type="noConversion"/>
  </si>
  <si>
    <t>进战斗自动释放隐身主动技能</t>
    <phoneticPr fontId="23" type="noConversion"/>
  </si>
  <si>
    <t>隐身主动技能</t>
    <phoneticPr fontId="23" type="noConversion"/>
  </si>
  <si>
    <t>高级潜行</t>
  </si>
  <si>
    <t>进战斗自动释放高级隐身主动技能</t>
    <phoneticPr fontId="23" type="noConversion"/>
  </si>
  <si>
    <t>高级隐身主动技能</t>
    <phoneticPr fontId="23" type="noConversion"/>
  </si>
  <si>
    <t>狩猎状态</t>
    <phoneticPr fontId="30" type="noConversion"/>
  </si>
  <si>
    <t>猎人狩猎姿态技能</t>
    <phoneticPr fontId="23" type="noConversion"/>
  </si>
  <si>
    <t>狩猎姿态主动技能</t>
    <phoneticPr fontId="23" type="noConversion"/>
  </si>
  <si>
    <t>装备特技</t>
  </si>
  <si>
    <t>气疗术</t>
  </si>
  <si>
    <t>回复己方单体3%+200点生命。</t>
  </si>
  <si>
    <t>心疗术</t>
  </si>
  <si>
    <t>回复己方单体6%+400点生命。</t>
  </si>
  <si>
    <t>命疗术</t>
  </si>
  <si>
    <t>回复己方单体9%+600点生命。</t>
  </si>
  <si>
    <t>凝气决</t>
  </si>
  <si>
    <t>回复自身10%+150点魔法。</t>
  </si>
  <si>
    <t>凝神决</t>
  </si>
  <si>
    <t>回复自身15%+250点魔法。</t>
  </si>
  <si>
    <t>气归术</t>
  </si>
  <si>
    <t>回复自身25%生命，不超过角色等级*12。</t>
  </si>
  <si>
    <t>命归术</t>
  </si>
  <si>
    <t>回复自身50%生命，不超过角色等级*20。</t>
  </si>
  <si>
    <t>四海升平</t>
  </si>
  <si>
    <t>回复己方全体25%生命，不超过被回复者等级*12。</t>
  </si>
  <si>
    <t>回魂咒</t>
  </si>
  <si>
    <t>起死回生</t>
  </si>
  <si>
    <t>复活己方死亡队员，回复50%生命，不超过被回复者等级*20。</t>
  </si>
  <si>
    <t>慈航普度</t>
  </si>
  <si>
    <t>复活己方全体死亡队员，完全回复其生命，使用者生命变为上限的10%，损失全部魔法。</t>
  </si>
  <si>
    <t>水清诀</t>
  </si>
  <si>
    <t>解除己方单体的异常状态。</t>
  </si>
  <si>
    <t>冰清诀</t>
  </si>
  <si>
    <t>解除己方单体的异常状态，并回复其25%生命，不超过被回复者等级*12。</t>
  </si>
  <si>
    <t>玉清诀</t>
  </si>
  <si>
    <t>解除己方全体的异常状态。</t>
  </si>
  <si>
    <t>晶清诀</t>
  </si>
  <si>
    <t>解除己方全体的异常状态，并恢复其15%生命，不超过被回复者等级*12。</t>
  </si>
  <si>
    <t>笑里藏刀</t>
  </si>
  <si>
    <t>减少敌方单体目标70点愤怒。</t>
  </si>
  <si>
    <t>野兽之力</t>
  </si>
  <si>
    <t>提高己方单体10%物理攻击，持续到战斗结束，同类状态不叠加。</t>
  </si>
  <si>
    <t>魔兽之印</t>
  </si>
  <si>
    <t>光辉之甲</t>
  </si>
  <si>
    <t>提高己方单体10%物理防御，持续到战斗结束，同类状态不叠加。</t>
  </si>
  <si>
    <t>圣灵之甲</t>
  </si>
  <si>
    <t>罗汉金钟</t>
  </si>
  <si>
    <t>放下屠刀</t>
  </si>
  <si>
    <t>降低敌方单体10%物理攻击，持续到战斗结束，同类状态不叠加。</t>
  </si>
  <si>
    <t>河东狮吼</t>
  </si>
  <si>
    <t>破甲术</t>
  </si>
  <si>
    <t>碎甲术</t>
  </si>
  <si>
    <t>弱点击破</t>
  </si>
  <si>
    <t>破碎无双</t>
  </si>
  <si>
    <t>物理攻击敌方单体，同时减少敌方魔法值。</t>
  </si>
  <si>
    <t>装备特效</t>
  </si>
  <si>
    <t>物理暴击 +8</t>
  </si>
  <si>
    <t>物理暴击概率增加</t>
  </si>
  <si>
    <t>物理抗暴 +8</t>
  </si>
  <si>
    <t>被物理攻击时暴击概率降低</t>
  </si>
  <si>
    <t>法术暴击 +8</t>
  </si>
  <si>
    <t>法术抗暴 +8</t>
  </si>
  <si>
    <t>被法术攻击时暴击概率降低</t>
  </si>
  <si>
    <t>控制命中率增加</t>
  </si>
  <si>
    <t>被控制命中率降低</t>
  </si>
  <si>
    <t>治疗暴击 +5</t>
  </si>
  <si>
    <t>治疗暴击概率增加</t>
  </si>
  <si>
    <t>被治疗暴击 +5</t>
  </si>
  <si>
    <t>被治疗暴击概率增加</t>
  </si>
  <si>
    <t>物理暴击 +16</t>
  </si>
  <si>
    <t>物理抗暴 +16</t>
  </si>
  <si>
    <t>法术暴击 +16</t>
  </si>
  <si>
    <t>法术抗暴 +16</t>
  </si>
  <si>
    <t>治疗暴击 +10</t>
  </si>
  <si>
    <t>被治疗暴击 +10</t>
  </si>
  <si>
    <t>物理暴击 +24</t>
  </si>
  <si>
    <t>物理抗暴 +24</t>
  </si>
  <si>
    <t>法术暴击 +24</t>
  </si>
  <si>
    <t>法术抗暴 +24</t>
  </si>
  <si>
    <t>治疗暴击 +15</t>
  </si>
  <si>
    <t>被治疗暴击 +15</t>
  </si>
  <si>
    <t>愤怒</t>
  </si>
  <si>
    <t>暴怒</t>
  </si>
  <si>
    <t>战斗中受到伤害转化的愤怒值增加20%。</t>
  </si>
  <si>
    <t>每回合结束时回复少量生命。</t>
  </si>
  <si>
    <t>施法时有15%概率不消耗魔法。</t>
  </si>
  <si>
    <t>滋润术</t>
  </si>
  <si>
    <t>祝福术</t>
  </si>
  <si>
    <t>凝气术</t>
  </si>
  <si>
    <t>绝望赞歌</t>
  </si>
  <si>
    <t>氤氲神祗</t>
  </si>
  <si>
    <t>破血狂攻</t>
  </si>
  <si>
    <t>散失之刃</t>
  </si>
  <si>
    <t>凤凰之心</t>
  </si>
  <si>
    <t>回春</t>
  </si>
  <si>
    <t>专注</t>
  </si>
  <si>
    <t>斩杀</t>
  </si>
  <si>
    <t>复活己方死亡队员，回复150点生命。</t>
    <phoneticPr fontId="14" type="noConversion"/>
  </si>
  <si>
    <t>法术暴击概率增加</t>
  </si>
  <si>
    <t>瘟疫</t>
    <phoneticPr fontId="23" type="noConversion"/>
  </si>
  <si>
    <t>灵魂禁锢</t>
    <phoneticPr fontId="23" type="noConversion"/>
  </si>
  <si>
    <t>隐身</t>
    <phoneticPr fontId="23" type="noConversion"/>
  </si>
  <si>
    <t>高级隐身</t>
    <phoneticPr fontId="23" type="noConversion"/>
  </si>
  <si>
    <t>混乱</t>
    <phoneticPr fontId="30" type="noConversion"/>
  </si>
  <si>
    <t>感知</t>
    <phoneticPr fontId="23" type="noConversion"/>
  </si>
  <si>
    <t>多重打击</t>
  </si>
  <si>
    <t>狩猎姿态</t>
  </si>
  <si>
    <t>第一回合开始时自动释放狩猎姿态技能，操作释放多重射击、诱捕射击、稳固射击时如果不在狩猎状态则该回合改为释放狩猎姿态。</t>
    <phoneticPr fontId="23" type="noConversion"/>
  </si>
  <si>
    <t>法力燃烧</t>
  </si>
  <si>
    <t>死亡召唤</t>
  </si>
  <si>
    <t>发动时，对方的物理伤害力越低，受到的伤害越高。</t>
  </si>
  <si>
    <t>惊心一剑</t>
  </si>
  <si>
    <t>舍命击</t>
  </si>
  <si>
    <t>雷元素多体法术，初始攻击两个目标，宠物60级可攻击三个目标，同时有5%概率驱除对方的一项增益状态。</t>
  </si>
  <si>
    <t>奔雷咒</t>
  </si>
  <si>
    <t>土元素多体法术，初始攻击两个目标，宠物60级可攻击三个目标，同时有5%概率降低对方5%的速度，持续3回合。</t>
  </si>
  <si>
    <t>天崩地裂</t>
  </si>
  <si>
    <t>泰山压顶</t>
  </si>
  <si>
    <t>水元素多体法术，初始攻击两个目标，宠物60级可攻击三个目标，同时有5%概率降低对方3%的物理和法术攻击力，持续3回合。</t>
  </si>
  <si>
    <t>水漫金山</t>
  </si>
  <si>
    <t>火元素多体法术，初始攻击两个目标，宠物60级可攻击三个目标，同时有5%概率降低对方5%的物理和法术防御力，持续3回合。</t>
  </si>
  <si>
    <t>地狱烈火</t>
  </si>
  <si>
    <t>雷元素单体法术，同时有10%概率驱除对方的所有增益状态。</t>
  </si>
  <si>
    <t>雷击</t>
  </si>
  <si>
    <t>土元素单体法术，同时有10%概率降低对方5%的速度，持续3回合。</t>
  </si>
  <si>
    <t>落岩</t>
  </si>
  <si>
    <t>水元素单体法术，同时有10%概率降低对方3%的物理和法术攻击力，持续3回合。</t>
  </si>
  <si>
    <t>水攻</t>
  </si>
  <si>
    <t>火元素单体法术，同时有10%概率降低对方5%的物理和法术防御力，持续3回合。</t>
  </si>
  <si>
    <t>烈火</t>
  </si>
  <si>
    <t>高级溅射</t>
  </si>
  <si>
    <t>高级追击</t>
  </si>
  <si>
    <t>高级瘟疫</t>
  </si>
  <si>
    <t>高级毒</t>
  </si>
  <si>
    <t>高级精神集中</t>
  </si>
  <si>
    <t>高级永恒</t>
  </si>
  <si>
    <t>能探知并攻击敌方隐身状态的单位，受到物理伤害时的格挡几率提高7%。</t>
  </si>
  <si>
    <t>高级夜枭感知</t>
  </si>
  <si>
    <t>高级感知</t>
  </si>
  <si>
    <t>自动附加隐身状态3至5回合，隐身状态下物理伤害结果会降低15%，且无法使用技能。</t>
  </si>
  <si>
    <t>高级驱鬼</t>
  </si>
  <si>
    <t>高级鬼魂</t>
  </si>
  <si>
    <t>高级雷元素吸收</t>
  </si>
  <si>
    <t>高级雷属性吸收</t>
  </si>
  <si>
    <t>高级土元素吸收</t>
  </si>
  <si>
    <t>高级土属性吸收</t>
  </si>
  <si>
    <t>高级水元素吸收</t>
  </si>
  <si>
    <t>高级水属性吸收</t>
  </si>
  <si>
    <t>高级火元素吸收</t>
  </si>
  <si>
    <t>高级火属性吸收</t>
  </si>
  <si>
    <t>高级迟钝</t>
  </si>
  <si>
    <t>高级幸运</t>
  </si>
  <si>
    <t>高级固法</t>
  </si>
  <si>
    <t>高级防御</t>
  </si>
  <si>
    <t>高级强壮</t>
  </si>
  <si>
    <t>高级敏捷</t>
  </si>
  <si>
    <t>高级反击</t>
  </si>
  <si>
    <t>高级神迹</t>
  </si>
  <si>
    <t>高级反弹</t>
  </si>
  <si>
    <t>高级反震</t>
  </si>
  <si>
    <t>受到物理伤害时的格挡几率提高27%</t>
  </si>
  <si>
    <t>高级格挡</t>
  </si>
  <si>
    <t>高级凤凰之心</t>
  </si>
  <si>
    <t>高级神佑复生</t>
  </si>
  <si>
    <t>高级回春</t>
  </si>
  <si>
    <t>高级再生</t>
  </si>
  <si>
    <t>高级吸血</t>
  </si>
  <si>
    <t>高级冥思</t>
  </si>
  <si>
    <t>高级魔之心</t>
  </si>
  <si>
    <t>高级法术波动</t>
  </si>
  <si>
    <t>高级法术连击</t>
  </si>
  <si>
    <t>高级法术暴击</t>
  </si>
  <si>
    <t>高级偷袭</t>
  </si>
  <si>
    <t>高级突进</t>
  </si>
  <si>
    <t>高级强力</t>
  </si>
  <si>
    <t>高级连击</t>
  </si>
  <si>
    <t>高级暴击</t>
  </si>
  <si>
    <t>高级必杀</t>
  </si>
  <si>
    <t>溅射</t>
  </si>
  <si>
    <t>追击</t>
  </si>
  <si>
    <t>毒</t>
  </si>
  <si>
    <t>精神集中</t>
  </si>
  <si>
    <t>永恒</t>
  </si>
  <si>
    <t>能探知并攻击敌方隐身状态的单位。</t>
  </si>
  <si>
    <t>夜枭感知</t>
  </si>
  <si>
    <t>感知</t>
  </si>
  <si>
    <t>自动附加隐身状态2至3回合，隐身状态下物理攻击能力会降低20%，且无法使用技能。</t>
  </si>
  <si>
    <t>潜行</t>
  </si>
  <si>
    <t>驱魔</t>
  </si>
  <si>
    <t>驱鬼</t>
  </si>
  <si>
    <t>鬼魂</t>
  </si>
  <si>
    <t>有30%概率吸收雷元素法术伤害，回复对应的生命。</t>
  </si>
  <si>
    <t>雷元素吸收</t>
  </si>
  <si>
    <t>雷属性吸收</t>
  </si>
  <si>
    <t>有30%概率吸收土元素法术伤害，回复对应的生命。</t>
  </si>
  <si>
    <t>土元素吸收</t>
  </si>
  <si>
    <t>土属性吸收</t>
  </si>
  <si>
    <t>有30%概率吸收水元素法术伤害，回复对应的生命。</t>
  </si>
  <si>
    <t>水元素吸收</t>
  </si>
  <si>
    <t>水属性吸收</t>
  </si>
  <si>
    <t>有30%概率吸收火元素法术伤害，回复对应的生命。</t>
  </si>
  <si>
    <t>火元素吸收</t>
  </si>
  <si>
    <t>火属性吸收</t>
  </si>
  <si>
    <t>减少自身速度的10%。</t>
  </si>
  <si>
    <t>迟钝</t>
  </si>
  <si>
    <t>被物理攻击时，被暴击概率降低10%。</t>
  </si>
  <si>
    <t>幸运</t>
  </si>
  <si>
    <t>提升等级*0.8的法术防御，但物理伤害结果会降低10%。</t>
  </si>
  <si>
    <t>固法</t>
  </si>
  <si>
    <t>提升等级*0.8的物理防御，但法术伤害结果会降低10%。</t>
  </si>
  <si>
    <t>防御</t>
  </si>
  <si>
    <t>强壮</t>
  </si>
  <si>
    <t>敏捷</t>
  </si>
  <si>
    <t>反击</t>
  </si>
  <si>
    <t>神迹</t>
  </si>
  <si>
    <t>格挡</t>
  </si>
  <si>
    <t>再生</t>
  </si>
  <si>
    <t>吸血</t>
  </si>
  <si>
    <t>会心</t>
  </si>
  <si>
    <t>法术波动</t>
  </si>
  <si>
    <t>法术连击</t>
  </si>
  <si>
    <t>法术暴击</t>
  </si>
  <si>
    <t>偷袭</t>
  </si>
  <si>
    <t>突进</t>
  </si>
  <si>
    <t>强力</t>
  </si>
  <si>
    <t>连击</t>
  </si>
  <si>
    <t>暴击</t>
  </si>
  <si>
    <t>必杀</t>
  </si>
  <si>
    <t>舍身击</t>
  </si>
  <si>
    <t>招架</t>
  </si>
  <si>
    <t>神佑复生</t>
  </si>
  <si>
    <t>五火球教主</t>
  </si>
  <si>
    <t>国足</t>
  </si>
  <si>
    <t>羞花</t>
  </si>
  <si>
    <t>闭月</t>
  </si>
  <si>
    <t>女贼</t>
  </si>
  <si>
    <t>呆贼</t>
  </si>
  <si>
    <t>大大姐</t>
  </si>
  <si>
    <t>血精灵</t>
  </si>
  <si>
    <t>方砖</t>
  </si>
  <si>
    <t>神棍德</t>
  </si>
  <si>
    <t>娘子</t>
  </si>
  <si>
    <t>炮姐</t>
  </si>
  <si>
    <t>傻馒</t>
  </si>
  <si>
    <t>暗夜男</t>
  </si>
  <si>
    <t>会长</t>
  </si>
  <si>
    <t>鞋子</t>
  </si>
  <si>
    <t>战士基础技能</t>
    <phoneticPr fontId="14" type="noConversion"/>
  </si>
  <si>
    <t>永久增加主角的物理攻击</t>
    <phoneticPr fontId="14" type="noConversion"/>
  </si>
  <si>
    <t>被动</t>
  </si>
  <si>
    <t>王者祝福</t>
    <phoneticPr fontId="14" type="noConversion"/>
  </si>
  <si>
    <t>神谕责难</t>
    <phoneticPr fontId="14" type="noConversion"/>
  </si>
  <si>
    <t>无边定罪</t>
    <phoneticPr fontId="14" type="noConversion"/>
  </si>
  <si>
    <t>多重打击</t>
    <phoneticPr fontId="14" type="noConversion"/>
  </si>
  <si>
    <t>30级</t>
    <phoneticPr fontId="14" type="noConversion"/>
  </si>
  <si>
    <t>月蚀</t>
    <phoneticPr fontId="14" type="noConversion"/>
  </si>
  <si>
    <t>绿之潮</t>
    <phoneticPr fontId="14" type="noConversion"/>
  </si>
  <si>
    <t>虚空乱流</t>
    <phoneticPr fontId="14" type="noConversion"/>
  </si>
  <si>
    <t>虔诚信仰</t>
  </si>
  <si>
    <t>闪电箭</t>
  </si>
  <si>
    <t>盗贼</t>
  </si>
  <si>
    <t>攻击多个目标，伤害逐个递减</t>
    <phoneticPr fontId="14" type="noConversion"/>
  </si>
  <si>
    <t>借由快速移动，生成残影攻击多个敌人</t>
    <phoneticPr fontId="14" type="noConversion"/>
  </si>
  <si>
    <t>0-150级 增加使用时的伤害</t>
    <phoneticPr fontId="14" type="noConversion"/>
  </si>
  <si>
    <t>完全放弃防御，狂风骤雨般连续攻击</t>
    <phoneticPr fontId="14" type="noConversion"/>
  </si>
  <si>
    <t>将凯恩血蹄赋予的勇气注入胸甲，使其附加生命</t>
    <phoneticPr fontId="14" type="noConversion"/>
  </si>
  <si>
    <t>改变出招节奏，突然攻击令对手猝不及防，并加快自身出手速度</t>
    <phoneticPr fontId="14" type="noConversion"/>
  </si>
  <si>
    <t>短暂的蓄力后，迅猛的冲锋，给予巨大伤害</t>
    <phoneticPr fontId="14" type="noConversion"/>
  </si>
  <si>
    <t>临时提高双防和控制抵抗，下回合临时提高伤害首先出手攻击目标</t>
    <phoneticPr fontId="14" type="noConversion"/>
  </si>
  <si>
    <t>0-150级  增加附魔附加生命的效果，永久增加主角的物理防御</t>
    <phoneticPr fontId="14" type="noConversion"/>
  </si>
  <si>
    <t>攻击目标，临时提高2回合速度。</t>
    <phoneticPr fontId="14" type="noConversion"/>
  </si>
  <si>
    <t>嗜血</t>
    <phoneticPr fontId="14" type="noConversion"/>
  </si>
  <si>
    <t>附魔：钢铁之躯</t>
    <phoneticPr fontId="14" type="noConversion"/>
  </si>
  <si>
    <t>制造一张附魔卷轴，该卷轴可给胸甲增加生命</t>
    <phoneticPr fontId="14" type="noConversion"/>
  </si>
  <si>
    <t>圣骑士被神祇祝福，天生具有领袖气质</t>
    <phoneticPr fontId="14" type="noConversion"/>
  </si>
  <si>
    <t>严厉指责敌人的罪行，当言语无效的时候，圣骑士会挥出双拳进行劝告</t>
    <phoneticPr fontId="14" type="noConversion"/>
  </si>
  <si>
    <t>宣判一名敌方单位的罪行，召唤审判之锤对其精神造成巨大打击</t>
    <phoneticPr fontId="14" type="noConversion"/>
  </si>
  <si>
    <t>附魔：神圣庇护</t>
    <phoneticPr fontId="14" type="noConversion"/>
  </si>
  <si>
    <t>乌瑟召唤圣光之力将其注入头盔，使其附加物理防御</t>
    <phoneticPr fontId="14" type="noConversion"/>
  </si>
  <si>
    <t>制造一张附魔卷轴，给头盔增加物理防御</t>
    <phoneticPr fontId="14" type="noConversion"/>
  </si>
  <si>
    <t>0-59级   永久增加主角的速度，60级增加控制回合数
60-150级 永久增加主角的速度</t>
    <phoneticPr fontId="14" type="noConversion"/>
  </si>
  <si>
    <t>0-150级  增加附魔附加物理防御的效果，永久增加主角的物理防御</t>
    <phoneticPr fontId="14" type="noConversion"/>
  </si>
  <si>
    <t>借助圣光的信仰来感召敌人，使其失去自我控制能力</t>
    <phoneticPr fontId="14" type="noConversion"/>
  </si>
  <si>
    <t>猎人在夜晚是一个娴熟的猎手，或许...白天也是</t>
    <phoneticPr fontId="14" type="noConversion"/>
  </si>
  <si>
    <t>一些老练的猎人在狩猎的过程中，掌握的一种技巧</t>
    <phoneticPr fontId="14" type="noConversion"/>
  </si>
  <si>
    <t>预备...瞄准...射！</t>
    <phoneticPr fontId="14" type="noConversion"/>
  </si>
  <si>
    <t>沃金将狂野不羁的愤怒注入腰带，使其附加愤怒上限</t>
    <phoneticPr fontId="14" type="noConversion"/>
  </si>
  <si>
    <r>
      <t>猎人史诗技能</t>
    </r>
    <r>
      <rPr>
        <sz val="11"/>
        <color indexed="8"/>
        <rFont val="宋体"/>
        <family val="3"/>
        <charset val="134"/>
      </rPr>
      <t>，猎人的最后底牌，老练的猎人会将它留到最危急的时候是一。</t>
    </r>
    <r>
      <rPr>
        <sz val="11"/>
        <color indexed="14"/>
        <rFont val="宋体"/>
        <family val="3"/>
        <charset val="134"/>
      </rPr>
      <t>“是时候掀开最后的底牌了，而这，将成为你们生命中所见的最后一击！”</t>
    </r>
    <phoneticPr fontId="14" type="noConversion"/>
  </si>
  <si>
    <r>
      <t>圣骑史诗技能</t>
    </r>
    <r>
      <rPr>
        <sz val="11"/>
        <rFont val="宋体"/>
        <family val="3"/>
        <charset val="134"/>
      </rPr>
      <t>，将神之法则具现于周围，对多个敌人造成禁魔效果。</t>
    </r>
    <r>
      <rPr>
        <sz val="11"/>
        <color indexed="14"/>
        <rFont val="宋体"/>
        <family val="3"/>
        <charset val="134"/>
      </rPr>
      <t>“此乃神定律法，愿此身化作裁敌权柄！”</t>
    </r>
    <phoneticPr fontId="14" type="noConversion"/>
  </si>
  <si>
    <t>0-59级  永久增加主角的物理伤害，增加狩猎状态的物理攻击，60级可持续5回合
60-89级 永久增加主角的物理伤害，增加狩猎状态的物理攻击，90级可持续6回合
90-150级 永久增加主角的物理伤害，增加狩猎状态的物理攻击</t>
    <phoneticPr fontId="14" type="noConversion"/>
  </si>
  <si>
    <t>猎人的基础技能，开启狩猎状态，狩猎状态下物理攻击提高，是释放多重射击、诱捕射击、稳固射击的前提。</t>
    <phoneticPr fontId="14" type="noConversion"/>
  </si>
  <si>
    <t>制造一张临时符，注入腰带增加愤怒</t>
    <phoneticPr fontId="14" type="noConversion"/>
  </si>
  <si>
    <t>0级  解锁1级 所有技能达到50级 
1级  解锁2级 所有技能达到70级 额外随机诱捕2个目标
2级  解锁3级 所有技能达到80级 额外随机诱捕3个目标
3级  解锁4级 所有技能达到90级 额外随机诱捕4个目标</t>
    <phoneticPr fontId="14" type="noConversion"/>
  </si>
  <si>
    <t>0-49级  增加使用时的伤害，50级可攻击4个目标
50-69级 增加使用时的伤害，70级可攻击5个目标
70-89级 增加使用时的伤害，90级可攻击6个目标
90-150级 增加使用时的伤害</t>
    <phoneticPr fontId="14" type="noConversion"/>
  </si>
  <si>
    <t>0-150级 增加使用时的伤害，永久增加主角的速度</t>
    <phoneticPr fontId="14" type="noConversion"/>
  </si>
  <si>
    <t>伊瑟拉之赐</t>
    <phoneticPr fontId="14" type="noConversion"/>
  </si>
  <si>
    <t>德鲁伊是自然的子民，获得翡翠巨龙伊瑟拉的赐福</t>
    <phoneticPr fontId="14" type="noConversion"/>
  </si>
  <si>
    <t>德鲁伊基础技能</t>
    <phoneticPr fontId="14" type="noConversion"/>
  </si>
  <si>
    <t xml:space="preserve">0级  解锁1级 所有技能达到50级 
1级  解锁2级 所有技能达到70级 每次攻击造成55%伤害
2级  解锁3级 所有技能达到80级 每次攻击造成60%伤害
3级  解锁4级 所有技能达到90级 每次攻击造成65%伤害              </t>
    <phoneticPr fontId="14" type="noConversion"/>
  </si>
  <si>
    <r>
      <t>0级  解锁1级 所有技能达到50级 
1级  解锁2级 所有技能达到70级 其他目标命中率为基础命中率的</t>
    </r>
    <r>
      <rPr>
        <sz val="11"/>
        <color indexed="8"/>
        <rFont val="宋体"/>
        <family val="3"/>
        <charset val="134"/>
      </rPr>
      <t>40</t>
    </r>
    <r>
      <rPr>
        <sz val="11"/>
        <color indexed="8"/>
        <rFont val="宋体"/>
        <family val="3"/>
        <charset val="134"/>
      </rPr>
      <t>%
2级  解锁3级 所有技能达到80级 其他目标命中率为基础命中率的</t>
    </r>
    <r>
      <rPr>
        <sz val="11"/>
        <color indexed="8"/>
        <rFont val="宋体"/>
        <family val="3"/>
        <charset val="134"/>
      </rPr>
      <t>45</t>
    </r>
    <r>
      <rPr>
        <sz val="11"/>
        <color indexed="8"/>
        <rFont val="宋体"/>
        <family val="3"/>
        <charset val="134"/>
      </rPr>
      <t>%
3级  解锁4级 所有技能达到90级 其他目标命中率为基础命中率的</t>
    </r>
    <r>
      <rPr>
        <sz val="11"/>
        <color indexed="8"/>
        <rFont val="宋体"/>
        <family val="3"/>
        <charset val="134"/>
      </rPr>
      <t>50</t>
    </r>
    <r>
      <rPr>
        <sz val="11"/>
        <color indexed="8"/>
        <rFont val="宋体"/>
        <family val="3"/>
        <charset val="134"/>
      </rPr>
      <t>%</t>
    </r>
    <phoneticPr fontId="14" type="noConversion"/>
  </si>
  <si>
    <t>德鲁伊能召唤月神艾露恩的神力侵蚀敌人。</t>
    <phoneticPr fontId="14" type="noConversion"/>
  </si>
  <si>
    <t>德鲁伊精通控制植物的能力，召唤出大量荆棘磨损敌军战甲</t>
    <phoneticPr fontId="14" type="noConversion"/>
  </si>
  <si>
    <t>战斗中提高己方多人控制抗性，并使其可以看到隐身单位。</t>
    <phoneticPr fontId="14" type="noConversion"/>
  </si>
  <si>
    <t>0-150级  增加伤害和回复的效果。永久增加主角的速度</t>
    <phoneticPr fontId="14" type="noConversion"/>
  </si>
  <si>
    <t>一小部分德鲁伊获得天赋神力，从而看破世界一切虚幻，直指真理。</t>
    <phoneticPr fontId="14" type="noConversion"/>
  </si>
  <si>
    <t>0-69级    增加使用效果，永久增加主角的控制抗性，70级可作用5个目标
70-89级   增加使用效果，永久增加主角的控制抗性，90级可作用6个目标
90-150级  增加使用效果，永久增加主角的控制抗性</t>
    <phoneticPr fontId="14" type="noConversion"/>
  </si>
  <si>
    <t>0级  解锁1级 所有技能达到50级 
1级  解锁2级 所有技能达到70级 若目标中毒，额外降低其物理防御和法术防御。
2级  解锁3级 所有技能达到80级 若目标中毒，额外降低其物理攻击和法术攻击。
3级  解锁4级 所有技能达到90级 若目标中毒，额外降低其速度。</t>
    <phoneticPr fontId="14" type="noConversion"/>
  </si>
  <si>
    <t>法师是充满智慧的群体，或者说，智慧没有达到一定程度的人无法在奥术上获得高深造诣。</t>
    <phoneticPr fontId="14" type="noConversion"/>
  </si>
  <si>
    <t>法师基础技能</t>
    <phoneticPr fontId="14" type="noConversion"/>
  </si>
  <si>
    <t>法师智慧</t>
    <phoneticPr fontId="14" type="noConversion"/>
  </si>
  <si>
    <t>0-150级  永久增加主角的法术攻击</t>
    <phoneticPr fontId="14" type="noConversion"/>
  </si>
  <si>
    <t>召唤暴风雪，使冰雪凝固成冰雹打击敌方</t>
    <phoneticPr fontId="14" type="noConversion"/>
  </si>
  <si>
    <t>效果：法术打击多个目标</t>
    <phoneticPr fontId="14" type="noConversion"/>
  </si>
  <si>
    <t>0-59级 增加使用时的伤害，60级可攻击5个目标
60-69级 增加使用时的伤害，70级可攻击6个目标
70-89级 增加使用时的伤害，90级可攻击7个目标
90-150级 增加使用时的伤害</t>
    <phoneticPr fontId="14" type="noConversion"/>
  </si>
  <si>
    <t>施法召唤奥术符文，使用奥术能量，冲击对方</t>
    <phoneticPr fontId="14" type="noConversion"/>
  </si>
  <si>
    <t>法术强力打击单个目标</t>
    <phoneticPr fontId="14" type="noConversion"/>
  </si>
  <si>
    <t>0-150级 增加使用时的伤害</t>
    <phoneticPr fontId="14" type="noConversion"/>
  </si>
  <si>
    <t>魔爆术</t>
    <phoneticPr fontId="14" type="noConversion"/>
  </si>
  <si>
    <t>引爆空气中游离的魔力，连锁的爆炸甚至会产生奥术洪流</t>
    <phoneticPr fontId="14" type="noConversion"/>
  </si>
  <si>
    <t>法术打击敌方全体，消耗目标的魔法</t>
    <phoneticPr fontId="14" type="noConversion"/>
  </si>
  <si>
    <t>0-150级 增加使用时的伤害，永久增加主角的速度</t>
    <phoneticPr fontId="14" type="noConversion"/>
  </si>
  <si>
    <t>睿智的法师无论在怎样的情况下都能保持从容不迫，这种自信是如此强烈，甚至化作类法术能力</t>
    <phoneticPr fontId="14" type="noConversion"/>
  </si>
  <si>
    <t>0-150级 增加生命回复效果，永久增加主角的控制抗性</t>
    <phoneticPr fontId="14" type="noConversion"/>
  </si>
  <si>
    <t>0-150级  增加附魔附加物理伤害的效果，永久增加主角的法术防御</t>
    <phoneticPr fontId="14" type="noConversion"/>
  </si>
  <si>
    <t>从容不迫</t>
    <phoneticPr fontId="14" type="noConversion"/>
  </si>
  <si>
    <t>0-59级  增加降低双防效果，60级增加控制回合数
60-150级  增加降低双防效果</t>
    <phoneticPr fontId="14" type="noConversion"/>
  </si>
  <si>
    <t>解除1-2个友方的中毒状态，并回复生命</t>
    <phoneticPr fontId="14" type="noConversion"/>
  </si>
  <si>
    <t>凯尔萨斯将狂暴的魔力注入武器，使其附加物理伤害</t>
    <phoneticPr fontId="14" type="noConversion"/>
  </si>
  <si>
    <t>附魔：魔能武器</t>
    <phoneticPr fontId="14" type="noConversion"/>
  </si>
  <si>
    <t>装备附魔</t>
  </si>
  <si>
    <t>制造一张临时符，注入武器增加物理伤害</t>
    <phoneticPr fontId="14" type="noConversion"/>
  </si>
  <si>
    <r>
      <t>法师史诗技能</t>
    </r>
    <r>
      <rPr>
        <sz val="11"/>
        <color indexed="8"/>
        <rFont val="宋体"/>
        <family val="3"/>
        <charset val="134"/>
      </rPr>
      <t>，召唤虚空中狂乱的风暴，击溃敌人的意志和身躯。“</t>
    </r>
    <r>
      <rPr>
        <sz val="11"/>
        <color indexed="14"/>
        <rFont val="宋体"/>
        <family val="3"/>
        <charset val="134"/>
      </rPr>
      <t>如果位面不能教给你真理，也许痛苦可以！</t>
    </r>
    <r>
      <rPr>
        <sz val="11"/>
        <color indexed="8"/>
        <rFont val="宋体"/>
        <family val="3"/>
        <charset val="134"/>
      </rPr>
      <t>”</t>
    </r>
    <phoneticPr fontId="14" type="noConversion"/>
  </si>
  <si>
    <t>对敌方7个单位造成极端法术伤害，目标已损失的魔法值越多，伤害越高，最高为暴风雪伤害的200%。使用后虚弱休息一回合，休息状态下双防降低。</t>
    <phoneticPr fontId="14" type="noConversion"/>
  </si>
  <si>
    <t>金刚经</t>
    <phoneticPr fontId="14" type="noConversion"/>
  </si>
  <si>
    <t>牧师对神祇有着虔诚的信仰，这种信仰也使其获得了祝福</t>
    <phoneticPr fontId="14" type="noConversion"/>
  </si>
  <si>
    <t>聚集神圣能量并引爆，对周围多个敌方单位造成伤害</t>
    <phoneticPr fontId="14" type="noConversion"/>
  </si>
  <si>
    <t>牧师基础技能</t>
    <phoneticPr fontId="14" type="noConversion"/>
  </si>
  <si>
    <t>0-150级 永久增加主角的生命</t>
    <phoneticPr fontId="14" type="noConversion"/>
  </si>
  <si>
    <t>法术攻击多个目标，对首要目标造成额外伤害</t>
    <phoneticPr fontId="14" type="noConversion"/>
  </si>
  <si>
    <t>0-59级  增加使用时的伤害，60级可攻击4个目标
60-69级 增加使用时的伤害，70级可攻击5个目标
70-89级 增加使用时的伤害，90级可攻击6个目标
90-150级 增加使用时的伤害</t>
    <phoneticPr fontId="14" type="noConversion"/>
  </si>
  <si>
    <t>牧师虔诚的祈祷，使用神圣的力量治疗友军</t>
    <phoneticPr fontId="14" type="noConversion"/>
  </si>
  <si>
    <t>天定之国</t>
    <phoneticPr fontId="14" type="noConversion"/>
  </si>
  <si>
    <t>附魔：纳鲁恩赐</t>
    <phoneticPr fontId="14" type="noConversion"/>
  </si>
  <si>
    <t>牧师最为传奇的能力之一，将目标已逝去的生命力唤回，其威能足可起死回生</t>
    <phoneticPr fontId="14" type="noConversion"/>
  </si>
  <si>
    <t>回复2个目标生命，附加持续生命回复。对已有治疗祷言的目标产生额外治疗。</t>
    <phoneticPr fontId="14" type="noConversion"/>
  </si>
  <si>
    <t>0-49级  增加生命回复效果，50级可持续4个回合
50-69级 增加生命回复效果，70级可持续5个回合
70-89级 增加生命回复效果，90级可持续6个回合
90-150级 增加生命回复效果</t>
    <phoneticPr fontId="14" type="noConversion"/>
  </si>
  <si>
    <t>复活死亡目标，拥有不死亡魂状态的单位除外</t>
    <phoneticPr fontId="14" type="noConversion"/>
  </si>
  <si>
    <t>牧师心中有着虔诚的信仰，这种信念是如此强烈，甚至化作类法术能力。</t>
    <phoneticPr fontId="14" type="noConversion"/>
  </si>
  <si>
    <t>战斗中增加友方法术攻击和法术防御</t>
    <phoneticPr fontId="14" type="noConversion"/>
  </si>
  <si>
    <t>0-69级    增加使用效果，永久增加主角的控制抗性，70级可作用5个目标
70-89级   增加使用效果，永久增加主角的控制抗性，90级可作用6个目标
90-150级  增加使用效果，永久增加主角的控制抗性</t>
    <phoneticPr fontId="14" type="noConversion"/>
  </si>
  <si>
    <r>
      <t>牧师史诗技能</t>
    </r>
    <r>
      <rPr>
        <sz val="11"/>
        <color indexed="8"/>
        <rFont val="宋体"/>
        <family val="3"/>
        <charset val="134"/>
      </rPr>
      <t xml:space="preserve">，令神之意志降临凡世，将脚下的土地化为神国。
</t>
    </r>
    <r>
      <rPr>
        <sz val="11"/>
        <color indexed="14"/>
        <rFont val="宋体"/>
        <family val="3"/>
        <charset val="134"/>
      </rPr>
      <t>“轻唤神名，我必允你为王！”</t>
    </r>
    <phoneticPr fontId="14" type="noConversion"/>
  </si>
  <si>
    <t>先知维纶将纳鲁恩泽注入项链，使其附加法术强度</t>
    <phoneticPr fontId="14" type="noConversion"/>
  </si>
  <si>
    <t>0-150级  增加附魔附加法术强度的效果，永久增加主角的法术攻击</t>
    <phoneticPr fontId="14" type="noConversion"/>
  </si>
  <si>
    <t>制造一张附魔卷轴，给项链增加法术强度</t>
    <phoneticPr fontId="14" type="noConversion"/>
  </si>
  <si>
    <t>娴熟的猎人不仅身手出众，更有着非凡的意志和耐心</t>
    <phoneticPr fontId="14" type="noConversion"/>
  </si>
  <si>
    <t>使目标持续恢复魔法</t>
    <phoneticPr fontId="14" type="noConversion"/>
  </si>
  <si>
    <t>召唤圣光攻击多个目标，概率对首目标附加禁魔效果，禁魔状态下无法释放职业技能。</t>
    <phoneticPr fontId="14" type="noConversion"/>
  </si>
  <si>
    <t>概率使目标禁魔，并降低目标双防，禁魔状态下无法释放职业技能</t>
    <phoneticPr fontId="14" type="noConversion"/>
  </si>
  <si>
    <t>感召目标，使其进入混乱状态，混乱状态下有概率攻击友方</t>
    <phoneticPr fontId="14" type="noConversion"/>
  </si>
  <si>
    <t>0-150级  永久增加主角的控制抗性</t>
    <phoneticPr fontId="14" type="noConversion"/>
  </si>
  <si>
    <t>0-69级    增加减防效果，70级可作用5个目标
70-89级   增加减防效果，90级可作用6个目标
90-150级  增加减防效果</t>
    <phoneticPr fontId="14" type="noConversion"/>
  </si>
  <si>
    <t>战斗中降低敌方多人的物理防御</t>
    <phoneticPr fontId="14" type="noConversion"/>
  </si>
  <si>
    <t>盗贼连击点整体功能</t>
    <phoneticPr fontId="45" type="noConversion"/>
  </si>
  <si>
    <t>嘲讽</t>
    <phoneticPr fontId="45" type="noConversion"/>
  </si>
  <si>
    <t>闪电链客户端效果</t>
    <phoneticPr fontId="45" type="noConversion"/>
  </si>
  <si>
    <t>制造一张附魔卷轴，给鞋子增加法术防御</t>
    <phoneticPr fontId="14" type="noConversion"/>
  </si>
  <si>
    <t>附魔：自然亲和</t>
    <phoneticPr fontId="14" type="noConversion"/>
  </si>
  <si>
    <t>0-150级  增加使用时的伤害，减少虚弱休息降低双防效果</t>
    <phoneticPr fontId="14" type="noConversion"/>
  </si>
  <si>
    <t>0-150级  增加使用时的伤害，增加临时提高速度效果，永久增加主角的控制抗性</t>
    <phoneticPr fontId="14" type="noConversion"/>
  </si>
  <si>
    <t>0-150级  增加使用时的伤害，增加临时提高双防的效果，永久增加主角的速度</t>
    <phoneticPr fontId="14" type="noConversion"/>
  </si>
  <si>
    <t>精准打击</t>
    <phoneticPr fontId="14" type="noConversion"/>
  </si>
  <si>
    <t>让敌方单位进入灵魂禁锢状态，使其4回合内无法被复活，对怪物造成大量伤害。使用后虚弱休息一回合，休息状态下双防降低。</t>
    <phoneticPr fontId="14" type="noConversion"/>
  </si>
  <si>
    <t>将日月交替之际的黄昏余晖召唤而来，伤害敌军并治疗友军</t>
    <phoneticPr fontId="14" type="noConversion"/>
  </si>
  <si>
    <t>使目标中毒，并吸取首次毒伤害给全体队友回复对应量的生命，宠物和怪物无效。</t>
    <phoneticPr fontId="14" type="noConversion"/>
  </si>
  <si>
    <t>宠物技能自动隐身新召出来的宠立马要隐身</t>
    <phoneticPr fontId="45" type="noConversion"/>
  </si>
  <si>
    <t>落日余晖</t>
    <phoneticPr fontId="14" type="noConversion"/>
  </si>
  <si>
    <t>狩猎姿态下，物理攻击多个目标，使用后休息1回合，虚弱休息状态下双防降低。（非狩猎状态下，使用狩猎姿态。）</t>
  </si>
  <si>
    <t>新加判断pve还是pvp的接口</t>
    <phoneticPr fontId="45" type="noConversion"/>
  </si>
  <si>
    <t>新加战斗双方人数判断的接口</t>
    <phoneticPr fontId="45" type="noConversion"/>
  </si>
  <si>
    <t>新加物理攻击动作2、施法动作2、移动动作2、战斗内休闲动作2，猎人使用</t>
    <phoneticPr fontId="45" type="noConversion"/>
  </si>
  <si>
    <t>npc固定回合消亡，消亡表现</t>
    <phoneticPr fontId="45" type="noConversion"/>
  </si>
  <si>
    <t>光环起效，新加光环覆盖范围</t>
    <phoneticPr fontId="45" type="noConversion"/>
  </si>
  <si>
    <t>强制变形的一次性buff、客户端效果</t>
    <phoneticPr fontId="45" type="noConversion"/>
  </si>
  <si>
    <t>客户端</t>
  </si>
  <si>
    <t>客户端</t>
    <phoneticPr fontId="45" type="noConversion"/>
  </si>
  <si>
    <t>图腾相关</t>
    <phoneticPr fontId="45" type="noConversion"/>
  </si>
  <si>
    <t>变形术相关</t>
    <phoneticPr fontId="45" type="noConversion"/>
  </si>
  <si>
    <t>客户端、服务器</t>
    <phoneticPr fontId="45" type="noConversion"/>
  </si>
  <si>
    <t>召唤一个npc的技能效果</t>
    <phoneticPr fontId="45" type="noConversion"/>
  </si>
  <si>
    <t>服务器</t>
  </si>
  <si>
    <t>服务器</t>
    <phoneticPr fontId="45" type="noConversion"/>
  </si>
  <si>
    <t>战斗中消失的一次性buff，如果是主角消失就直接退出战斗（类似瞬间逃跑逻辑），死亡单位也有效，用来做牺牲宠物</t>
    <phoneticPr fontId="45" type="noConversion"/>
  </si>
  <si>
    <t>已完成</t>
    <phoneticPr fontId="45" type="noConversion"/>
  </si>
  <si>
    <t>新加技能130005精准打击无变身状态下直接放变身，130003现在不需要隐身状态了，把130003改为130005</t>
    <phoneticPr fontId="45" type="noConversion"/>
  </si>
  <si>
    <t>客户端和服务器选取目标方式加上空位类型，召唤技能用</t>
    <phoneticPr fontId="45" type="noConversion"/>
  </si>
  <si>
    <t>已完成</t>
  </si>
  <si>
    <t>新加一个隐身状态buff506201，主动技能玩家自己释放的，原来有509082和509083</t>
    <phoneticPr fontId="45" type="noConversion"/>
  </si>
  <si>
    <t>已完成</t>
    <phoneticPr fontId="45" type="noConversion"/>
  </si>
  <si>
    <t>下周2</t>
    <phoneticPr fontId="45" type="noConversion"/>
  </si>
  <si>
    <t>buff1继承buff0触发结果、命中、回合数、效果值，用来做隐身状态回合结束获得连击点</t>
    <phoneticPr fontId="45" type="noConversion"/>
  </si>
  <si>
    <t>下周5</t>
    <phoneticPr fontId="45" type="noConversion"/>
  </si>
  <si>
    <t>黄昏花蕾用的是减血又减魔的一次性buff（也不知道有没有浮动），增加一个加血又加蓝的一次性buff</t>
    <phoneticPr fontId="45" type="noConversion"/>
  </si>
  <si>
    <t>新版职业技能相关todo</t>
    <phoneticPr fontId="45" type="noConversion"/>
  </si>
  <si>
    <t>增加变模型和消失的客户端技能阶段表现</t>
    <phoneticPr fontId="45" type="noConversion"/>
  </si>
  <si>
    <t>刘新华、徐煊、成世杰</t>
    <phoneticPr fontId="45" type="noConversion"/>
  </si>
  <si>
    <t>客户端、服务器</t>
  </si>
  <si>
    <t>吸收（特效）</t>
    <phoneticPr fontId="38" type="noConversion"/>
  </si>
  <si>
    <t>神佑（特效）</t>
    <phoneticPr fontId="38" type="noConversion"/>
  </si>
  <si>
    <t>溅射（特效）</t>
    <phoneticPr fontId="38" type="noConversion"/>
  </si>
  <si>
    <t>反击</t>
    <phoneticPr fontId="38" type="noConversion"/>
  </si>
  <si>
    <t>追击</t>
    <phoneticPr fontId="38" type="noConversion"/>
  </si>
  <si>
    <t>法暴</t>
    <phoneticPr fontId="38" type="noConversion"/>
  </si>
  <si>
    <t>战斗触发事件加表现</t>
    <phoneticPr fontId="45" type="noConversion"/>
  </si>
  <si>
    <t>格挡（特效）</t>
    <phoneticPr fontId="38" type="noConversion"/>
  </si>
  <si>
    <t>连击</t>
    <phoneticPr fontId="38" type="noConversion"/>
  </si>
  <si>
    <t>防御</t>
    <phoneticPr fontId="38" type="noConversion"/>
  </si>
  <si>
    <t>法连</t>
    <phoneticPr fontId="38" type="noConversion"/>
  </si>
  <si>
    <t>暴击</t>
    <phoneticPr fontId="38" type="noConversion"/>
  </si>
  <si>
    <t>疗暴</t>
    <phoneticPr fontId="38" type="noConversion"/>
  </si>
  <si>
    <t>攻击目标三次，下个回合虚弱休息，使用时候生命不能低于一半，虚弱休息状态下双防降低</t>
    <phoneticPr fontId="14" type="noConversion"/>
  </si>
  <si>
    <t>穿刺打击</t>
    <phoneticPr fontId="14" type="noConversion"/>
  </si>
  <si>
    <t>精准打击</t>
    <phoneticPr fontId="14" type="noConversion"/>
  </si>
  <si>
    <t>穿刺打击</t>
    <phoneticPr fontId="14" type="noConversion"/>
  </si>
  <si>
    <t>简易</t>
    <phoneticPr fontId="14" type="noConversion"/>
  </si>
  <si>
    <t>控制命中 +18</t>
    <phoneticPr fontId="14" type="noConversion"/>
  </si>
  <si>
    <t>控制抵抗 +18</t>
    <phoneticPr fontId="14" type="noConversion"/>
  </si>
  <si>
    <t>控制命中 +6</t>
    <phoneticPr fontId="14" type="noConversion"/>
  </si>
  <si>
    <t>控制抵抗 +6</t>
    <phoneticPr fontId="14" type="noConversion"/>
  </si>
  <si>
    <t>控制命中 +12</t>
    <phoneticPr fontId="14" type="noConversion"/>
  </si>
  <si>
    <t>控制抵抗 +12</t>
    <phoneticPr fontId="14" type="noConversion"/>
  </si>
  <si>
    <t>药师</t>
    <phoneticPr fontId="14" type="noConversion"/>
  </si>
  <si>
    <t>凝神术</t>
    <phoneticPr fontId="14" type="noConversion"/>
  </si>
  <si>
    <t>活血术</t>
    <phoneticPr fontId="14" type="noConversion"/>
  </si>
  <si>
    <t>宁静之雨</t>
    <phoneticPr fontId="14" type="noConversion"/>
  </si>
  <si>
    <t>弱点击破</t>
    <phoneticPr fontId="14" type="noConversion"/>
  </si>
  <si>
    <t>气定神闲</t>
    <phoneticPr fontId="14" type="noConversion"/>
  </si>
  <si>
    <t>还魂术</t>
    <phoneticPr fontId="14" type="noConversion"/>
  </si>
  <si>
    <t>复活术</t>
    <phoneticPr fontId="14" type="noConversion"/>
  </si>
  <si>
    <t>净化术</t>
    <phoneticPr fontId="14" type="noConversion"/>
  </si>
  <si>
    <t>清心术</t>
    <phoneticPr fontId="14" type="noConversion"/>
  </si>
  <si>
    <t>诬陷术</t>
    <phoneticPr fontId="14" type="noConversion"/>
  </si>
  <si>
    <t>圣灵之甲</t>
    <phoneticPr fontId="14" type="noConversion"/>
  </si>
  <si>
    <t>震慑术</t>
    <phoneticPr fontId="14" type="noConversion"/>
  </si>
  <si>
    <t>雷霆怒吼</t>
    <phoneticPr fontId="14" type="noConversion"/>
  </si>
  <si>
    <t>鼓舞术</t>
    <phoneticPr fontId="14" type="noConversion"/>
  </si>
  <si>
    <t>破甲术</t>
    <phoneticPr fontId="14" type="noConversion"/>
  </si>
  <si>
    <t>破碎无双</t>
    <phoneticPr fontId="14" type="noConversion"/>
  </si>
  <si>
    <r>
      <t>提高己方全体8</t>
    </r>
    <r>
      <rPr>
        <sz val="11"/>
        <color indexed="8"/>
        <rFont val="宋体"/>
        <family val="3"/>
        <charset val="134"/>
      </rPr>
      <t>%物理攻击，持续到战斗结束，同类状态不叠加。</t>
    </r>
    <phoneticPr fontId="14" type="noConversion"/>
  </si>
  <si>
    <t>降低敌方单体10%物理防御，持续到战斗结束，同类状态不叠加。</t>
    <phoneticPr fontId="14" type="noConversion"/>
  </si>
  <si>
    <r>
      <t>降低敌方全体8</t>
    </r>
    <r>
      <rPr>
        <sz val="11"/>
        <color indexed="8"/>
        <rFont val="宋体"/>
        <family val="3"/>
        <charset val="134"/>
      </rPr>
      <t>%物理攻击，持续到战斗结束，同类状态不叠加。</t>
    </r>
    <phoneticPr fontId="14" type="noConversion"/>
  </si>
  <si>
    <t>迷踪</t>
    <phoneticPr fontId="14" type="noConversion"/>
  </si>
  <si>
    <t>狩猎</t>
    <phoneticPr fontId="14" type="noConversion"/>
  </si>
  <si>
    <t>对敌方单体连续发动两次强力物理攻击，不可被防御。</t>
    <phoneticPr fontId="14" type="noConversion"/>
  </si>
  <si>
    <t>提高己方单体10%速度，次回合生效，持续到战斗结束，同类状态不叠加。</t>
    <phoneticPr fontId="14" type="noConversion"/>
  </si>
  <si>
    <t>sp消耗</t>
    <phoneticPr fontId="14" type="noConversion"/>
  </si>
  <si>
    <t>降低对方单体10%速度，次回合生效，持续到战斗结束，同类状态不叠加。</t>
    <phoneticPr fontId="14" type="noConversion"/>
  </si>
  <si>
    <r>
      <t>降低敌方全体6</t>
    </r>
    <r>
      <rPr>
        <sz val="11"/>
        <color indexed="8"/>
        <rFont val="宋体"/>
        <family val="3"/>
        <charset val="134"/>
      </rPr>
      <t>%物理防御，持续到战斗结束，同类状态不叠加。</t>
    </r>
    <phoneticPr fontId="14" type="noConversion"/>
  </si>
  <si>
    <r>
      <t>提高己方全体6</t>
    </r>
    <r>
      <rPr>
        <sz val="11"/>
        <color indexed="8"/>
        <rFont val="宋体"/>
        <family val="3"/>
        <charset val="134"/>
      </rPr>
      <t>%物理防御，持续到战斗结束，同类状态不叠加。</t>
    </r>
    <phoneticPr fontId="14" type="noConversion"/>
  </si>
  <si>
    <t>提高己方全体6%速度，次回合生效，持续到战斗结束，同类状态不叠加。</t>
    <phoneticPr fontId="14" type="noConversion"/>
  </si>
  <si>
    <t>降低对方全体6%速度，次回合生效，持续到战斗结束，同类状态不叠加。</t>
    <phoneticPr fontId="14" type="noConversion"/>
  </si>
  <si>
    <t>使己方单体收到的法术伤害减少50%,持续3回合，同类状态不叠加。</t>
    <phoneticPr fontId="14" type="noConversion"/>
  </si>
  <si>
    <t>使己方全体收到的法术伤害减少50%，持续3回合，同类状态不叠加。</t>
    <phoneticPr fontId="14" type="noConversion"/>
  </si>
  <si>
    <t>虚空结界</t>
    <phoneticPr fontId="14" type="noConversion"/>
  </si>
  <si>
    <t>凝滞术</t>
    <phoneticPr fontId="14" type="noConversion"/>
  </si>
  <si>
    <t>惰性剧变</t>
    <phoneticPr fontId="14" type="noConversion"/>
  </si>
  <si>
    <t>疾风术</t>
    <phoneticPr fontId="14" type="noConversion"/>
  </si>
  <si>
    <t>洞察</t>
    <phoneticPr fontId="14" type="noConversion"/>
  </si>
  <si>
    <t>幽灵疾步</t>
    <phoneticPr fontId="14" type="noConversion"/>
  </si>
  <si>
    <t>治愈术</t>
    <phoneticPr fontId="14" type="noConversion"/>
  </si>
  <si>
    <t>凝滞术</t>
    <phoneticPr fontId="14" type="noConversion"/>
  </si>
  <si>
    <t>流云诀</t>
    <phoneticPr fontId="14" type="noConversion"/>
  </si>
  <si>
    <t>啸风诀</t>
    <phoneticPr fontId="14" type="noConversion"/>
  </si>
  <si>
    <t>停陷术</t>
    <phoneticPr fontId="14" type="noConversion"/>
  </si>
  <si>
    <t>太极护法</t>
    <phoneticPr fontId="14" type="noConversion"/>
  </si>
  <si>
    <t>固甲术</t>
    <phoneticPr fontId="14" type="noConversion"/>
  </si>
  <si>
    <t>法术护盾</t>
    <phoneticPr fontId="14" type="noConversion"/>
  </si>
  <si>
    <t>&lt;T t="</t>
  </si>
  <si>
    <t>"&gt;&lt;/T&gt;</t>
    <phoneticPr fontId="14" type="noConversion"/>
  </si>
  <si>
    <t>剑</t>
    <phoneticPr fontId="38" type="noConversion"/>
  </si>
  <si>
    <t>爪</t>
    <phoneticPr fontId="38" type="noConversion"/>
  </si>
  <si>
    <t>魔棒</t>
    <phoneticPr fontId="38" type="noConversion"/>
  </si>
  <si>
    <t>法杖</t>
    <phoneticPr fontId="38" type="noConversion"/>
  </si>
  <si>
    <t>男衣</t>
    <phoneticPr fontId="38" type="noConversion"/>
  </si>
  <si>
    <t>女衣</t>
    <phoneticPr fontId="38" type="noConversion"/>
  </si>
  <si>
    <t>男头盔</t>
    <phoneticPr fontId="38" type="noConversion"/>
  </si>
  <si>
    <t>女头饰</t>
    <phoneticPr fontId="38" type="noConversion"/>
  </si>
  <si>
    <t>项链</t>
    <phoneticPr fontId="38" type="noConversion"/>
  </si>
  <si>
    <t>腰带</t>
    <phoneticPr fontId="38" type="noConversion"/>
  </si>
  <si>
    <t>无级别限制</t>
    <phoneticPr fontId="14" type="noConversion"/>
  </si>
  <si>
    <t>无级别限制</t>
    <phoneticPr fontId="14" type="noConversion"/>
  </si>
  <si>
    <t>权重</t>
    <phoneticPr fontId="14" type="noConversion"/>
  </si>
  <si>
    <t>匕首</t>
    <phoneticPr fontId="38" type="noConversion"/>
  </si>
  <si>
    <t>特技</t>
    <phoneticPr fontId="14" type="noConversion"/>
  </si>
  <si>
    <t>其他部件</t>
    <phoneticPr fontId="14" type="noConversion"/>
  </si>
  <si>
    <t>特效</t>
    <phoneticPr fontId="14" type="noConversion"/>
  </si>
  <si>
    <t>武器</t>
    <phoneticPr fontId="14" type="noConversion"/>
  </si>
  <si>
    <t>锤</t>
    <phoneticPr fontId="38" type="noConversion"/>
  </si>
  <si>
    <t>斩杀</t>
    <phoneticPr fontId="14" type="noConversion"/>
  </si>
  <si>
    <t>迷踪</t>
    <phoneticPr fontId="14" type="noConversion"/>
  </si>
  <si>
    <t>狩猎</t>
    <phoneticPr fontId="14" type="noConversion"/>
  </si>
  <si>
    <t>专注</t>
    <phoneticPr fontId="14" type="noConversion"/>
  </si>
  <si>
    <t>凤凰之心</t>
    <phoneticPr fontId="14" type="noConversion"/>
  </si>
  <si>
    <t>回春</t>
    <phoneticPr fontId="14" type="noConversion"/>
  </si>
  <si>
    <t>简易</t>
    <phoneticPr fontId="14" type="noConversion"/>
  </si>
  <si>
    <t>洞察</t>
    <phoneticPr fontId="14" type="noConversion"/>
  </si>
  <si>
    <t>衣服</t>
    <phoneticPr fontId="14" type="noConversion"/>
  </si>
  <si>
    <t>头</t>
    <phoneticPr fontId="14" type="noConversion"/>
  </si>
  <si>
    <t>项链</t>
    <phoneticPr fontId="14" type="noConversion"/>
  </si>
  <si>
    <t>腰带</t>
    <phoneticPr fontId="14" type="noConversion"/>
  </si>
  <si>
    <t>鞋子</t>
    <phoneticPr fontId="14" type="noConversion"/>
  </si>
  <si>
    <t>药师</t>
    <phoneticPr fontId="14" type="noConversion"/>
  </si>
  <si>
    <t>魔棒法仗</t>
    <phoneticPr fontId="14" type="noConversion"/>
  </si>
  <si>
    <t>逃跑几率提升到100%。</t>
    <phoneticPr fontId="14" type="noConversion"/>
  </si>
  <si>
    <t>捕捉宝宝时成功率提升20%。</t>
    <phoneticPr fontId="14" type="noConversion"/>
  </si>
  <si>
    <t>玩家等级低于该装备等级5级以内，也可以穿戴此装备。</t>
    <phoneticPr fontId="14" type="noConversion"/>
  </si>
  <si>
    <t>该装备穿戴时没有角色等级要求。</t>
    <phoneticPr fontId="14" type="noConversion"/>
  </si>
  <si>
    <t>能探知隐身单位并直接对其发起攻击。</t>
    <phoneticPr fontId="14" type="noConversion"/>
  </si>
  <si>
    <t>PVE战斗攻击濒死（30%以下生命）的怪物时，暴击率临时提升25%。</t>
    <phoneticPr fontId="14" type="noConversion"/>
  </si>
  <si>
    <t>战斗中消耗的愤怒下降20%。</t>
    <phoneticPr fontId="14" type="noConversion"/>
  </si>
  <si>
    <t>战斗中使用物品效果增加20%。</t>
    <phoneticPr fontId="14" type="noConversion"/>
  </si>
  <si>
    <t>神佑一触发就删除buff</t>
    <phoneticPr fontId="14" type="noConversion"/>
  </si>
  <si>
    <t>装备特效buff</t>
    <phoneticPr fontId="14" type="noConversion"/>
  </si>
  <si>
    <t>专注</t>
    <phoneticPr fontId="14" type="noConversion"/>
  </si>
  <si>
    <t>职业技能buff</t>
    <phoneticPr fontId="14" type="noConversion"/>
  </si>
  <si>
    <t>宠物技能buff</t>
    <phoneticPr fontId="14" type="noConversion"/>
  </si>
  <si>
    <t>伙伴的猎人技能</t>
    <phoneticPr fontId="14" type="noConversion"/>
  </si>
  <si>
    <t>主角的猎人技能</t>
    <phoneticPr fontId="14" type="noConversion"/>
  </si>
  <si>
    <t>130000、191000</t>
    <phoneticPr fontId="14" type="noConversion"/>
  </si>
  <si>
    <t>130001、191001</t>
    <phoneticPr fontId="14" type="noConversion"/>
  </si>
  <si>
    <t>130002、191002</t>
    <phoneticPr fontId="14" type="noConversion"/>
  </si>
  <si>
    <t>130005、191005</t>
    <phoneticPr fontId="14" type="noConversion"/>
  </si>
  <si>
    <t>复仇</t>
  </si>
  <si>
    <t>凯恩血蹄</t>
  </si>
  <si>
    <t>圣骑</t>
  </si>
  <si>
    <t>圣光洗礼</t>
  </si>
  <si>
    <t>乌瑟尔</t>
  </si>
  <si>
    <t>野性本能</t>
  </si>
  <si>
    <t>野兽禁锢</t>
  </si>
  <si>
    <t>玛法里奥</t>
  </si>
  <si>
    <t>称霸世界</t>
  </si>
  <si>
    <t>炙热</t>
  </si>
  <si>
    <t>临界炽焰</t>
  </si>
  <si>
    <t>凯尔萨斯</t>
  </si>
  <si>
    <t>浪潮汹涌</t>
  </si>
  <si>
    <t>强化复生</t>
  </si>
  <si>
    <t>神圣眷顾</t>
  </si>
  <si>
    <t>超奶伊露吸</t>
  </si>
  <si>
    <t>先知维纶</t>
  </si>
  <si>
    <t>受到伤害时有较大概率转为恢复生命，也有一定概率承受更多伤害      buffid 508124 技能id 764007</t>
  </si>
  <si>
    <t>萨满</t>
  </si>
  <si>
    <t>迅刃之黠</t>
  </si>
  <si>
    <t>血脉愤张</t>
  </si>
  <si>
    <t>乘胜追击</t>
  </si>
  <si>
    <t>术士</t>
  </si>
  <si>
    <t>恶魔降临</t>
  </si>
  <si>
    <t>霜冻</t>
  </si>
  <si>
    <t>陨石</t>
  </si>
  <si>
    <t>霜冻新星</t>
  </si>
  <si>
    <t>雷神之怒</t>
  </si>
  <si>
    <t>剑荡四方</t>
  </si>
  <si>
    <t>攻击三个目标，首要和次要目标伤害逐次递减。</t>
  </si>
  <si>
    <t>使用时提高10%的物理攻击力，同时物理和法术防御降低20%持续1回合。</t>
  </si>
  <si>
    <t>力劈华山</t>
  </si>
  <si>
    <t>发动时有10%概率使敌人附加灵魂禁锢效果，效果持续5回合。</t>
  </si>
  <si>
    <t>梦幻技能</t>
  </si>
  <si>
    <t>技能名</t>
  </si>
  <si>
    <t>技能id</t>
  </si>
  <si>
    <t>主动被动</t>
  </si>
  <si>
    <t>评分</t>
    <phoneticPr fontId="14" type="noConversion"/>
  </si>
  <si>
    <t>穿刺</t>
  </si>
  <si>
    <t>法术穿刺</t>
  </si>
  <si>
    <t>高级穿刺</t>
  </si>
  <si>
    <t>高级会心</t>
  </si>
  <si>
    <t>高级法术穿刺</t>
  </si>
  <si>
    <t>高级招架</t>
  </si>
  <si>
    <t>主动</t>
  </si>
  <si>
    <t>附加等级*2的物理伤害结果，不可被防御和保护。</t>
    <phoneticPr fontId="14" type="noConversion"/>
  </si>
  <si>
    <t>法术防御</t>
    <phoneticPr fontId="14" type="noConversion"/>
  </si>
  <si>
    <t>法术否定</t>
    <phoneticPr fontId="14" type="noConversion"/>
  </si>
  <si>
    <t>高级隐身主动</t>
    <phoneticPr fontId="14" type="noConversion"/>
  </si>
  <si>
    <t>洞察</t>
    <phoneticPr fontId="14" type="noConversion"/>
  </si>
  <si>
    <t>醉拳</t>
    <phoneticPr fontId="14" type="noConversion"/>
  </si>
  <si>
    <t>法术暴击</t>
    <phoneticPr fontId="14" type="noConversion"/>
  </si>
  <si>
    <t>对敌方拥有不死亡魂术单位的物理、法术伤害效果增加100%，并能将其打飞出场外。</t>
    <phoneticPr fontId="14" type="noConversion"/>
  </si>
  <si>
    <t>普通物理攻击有20%概率使目标中毒，中毒状态下每回合损失10%生命和5%魔法，拥有高级瘟疫技能的宠物对毒免疫（物理攻击中毒单位有15%几率被感染）</t>
    <phoneticPr fontId="14" type="noConversion"/>
  </si>
  <si>
    <t>发动时，可以在造成物理伤害同时消耗对方少量的魔法值。</t>
    <phoneticPr fontId="14" type="noConversion"/>
  </si>
  <si>
    <t>三羊开泰</t>
    <phoneticPr fontId="14" type="noConversion"/>
  </si>
  <si>
    <r>
      <t>源于上古的秘法，施展群体法术攻击三个单位，同时消耗目标的魔法值，在P</t>
    </r>
    <r>
      <rPr>
        <sz val="11"/>
        <color indexed="8"/>
        <rFont val="宋体"/>
        <family val="3"/>
        <charset val="134"/>
      </rPr>
      <t>VE</t>
    </r>
    <r>
      <rPr>
        <sz val="11"/>
        <color indexed="8"/>
        <rFont val="宋体"/>
        <family val="3"/>
        <charset val="134"/>
      </rPr>
      <t>中还可以将对方损失的魔法值汲取给主人使用。</t>
    </r>
    <phoneticPr fontId="14" type="noConversion"/>
  </si>
  <si>
    <t>隐身主动</t>
    <phoneticPr fontId="14" type="noConversion"/>
  </si>
  <si>
    <t>Fixed</t>
    <phoneticPr fontId="38" type="noConversion"/>
  </si>
  <si>
    <t>Fixd</t>
    <phoneticPr fontId="38" type="noConversion"/>
  </si>
  <si>
    <t>精通技能</t>
    <phoneticPr fontId="38" type="noConversion"/>
  </si>
  <si>
    <t>AI</t>
    <phoneticPr fontId="38" type="noConversion"/>
  </si>
  <si>
    <t>桶牛</t>
    <phoneticPr fontId="38" type="noConversion"/>
  </si>
  <si>
    <t>每次施展技能自动恢复自身10%生命</t>
    <phoneticPr fontId="14" type="noConversion"/>
  </si>
  <si>
    <t>血之气息</t>
    <phoneticPr fontId="38" type="noConversion"/>
  </si>
  <si>
    <t>桶桶英勇</t>
    <phoneticPr fontId="38" type="noConversion"/>
  </si>
  <si>
    <t>幻影冲锋</t>
    <phoneticPr fontId="38" type="noConversion"/>
  </si>
  <si>
    <t>战斗中，提升友方玩家和伙伴的物理防御。提升的数值与物理伤害有关</t>
    <phoneticPr fontId="38" type="noConversion"/>
  </si>
  <si>
    <t>英姿勃发</t>
    <phoneticPr fontId="38" type="noConversion"/>
  </si>
  <si>
    <t>桶桶庇护</t>
    <phoneticPr fontId="38" type="noConversion"/>
  </si>
  <si>
    <t>AI</t>
    <phoneticPr fontId="38" type="noConversion"/>
  </si>
  <si>
    <t>幻影冲锋</t>
    <phoneticPr fontId="14" type="noConversion"/>
  </si>
  <si>
    <t>挫志怒吼</t>
    <phoneticPr fontId="14" type="noConversion"/>
  </si>
  <si>
    <t>使得毁灭打击增加一次攻击</t>
    <phoneticPr fontId="38" type="noConversion"/>
  </si>
  <si>
    <t>横扫攻击</t>
    <phoneticPr fontId="38" type="noConversion"/>
  </si>
  <si>
    <t>代王律令</t>
    <phoneticPr fontId="38" type="noConversion"/>
  </si>
  <si>
    <t>毁灭打击</t>
    <phoneticPr fontId="14" type="noConversion"/>
  </si>
  <si>
    <t>受濒死攻击时保留一点生命。每场战斗只能触发一次   buffid 508102 技能id 712008</t>
    <phoneticPr fontId="14" type="noConversion"/>
  </si>
  <si>
    <t>阿男意志</t>
    <phoneticPr fontId="38" type="noConversion"/>
  </si>
  <si>
    <t>蓄力猛击</t>
    <phoneticPr fontId="14" type="noConversion"/>
  </si>
  <si>
    <t>破甲</t>
    <phoneticPr fontId="14" type="noConversion"/>
  </si>
  <si>
    <t>物理技能一定几率附带溅射效果</t>
    <phoneticPr fontId="38" type="noConversion"/>
  </si>
  <si>
    <t>破胆怒吼</t>
    <phoneticPr fontId="38" type="noConversion"/>
  </si>
  <si>
    <t>会长之怒</t>
    <phoneticPr fontId="38" type="noConversion"/>
  </si>
  <si>
    <t>使用毁灭打击，如果对方死亡并有剩余攻击次数，则继续选择一个单位攻击</t>
    <phoneticPr fontId="38" type="noConversion"/>
  </si>
  <si>
    <t>乘胜追击</t>
    <phoneticPr fontId="38" type="noConversion"/>
  </si>
  <si>
    <t>不死不休</t>
    <phoneticPr fontId="38" type="noConversion"/>
  </si>
  <si>
    <t>攻击目标时，以目标物理或法术防御中较低的一个结算伤害</t>
    <phoneticPr fontId="38" type="noConversion"/>
  </si>
  <si>
    <t>洞悉弱点</t>
    <phoneticPr fontId="38" type="noConversion"/>
  </si>
  <si>
    <t>先祖秩序</t>
    <phoneticPr fontId="38" type="noConversion"/>
  </si>
  <si>
    <t>幻影冲锋</t>
    <phoneticPr fontId="14" type="noConversion"/>
  </si>
  <si>
    <t>战斗中速度提升，并使得幻影冲锋的伤害效果不衰减</t>
    <phoneticPr fontId="38" type="noConversion"/>
  </si>
  <si>
    <t>迅刃之黠</t>
    <phoneticPr fontId="38" type="noConversion"/>
  </si>
  <si>
    <t>图腾之力</t>
    <phoneticPr fontId="38" type="noConversion"/>
  </si>
  <si>
    <t>战斗中，提升友方玩家和伙伴的法术防御和控制抗性。</t>
    <phoneticPr fontId="38" type="noConversion"/>
  </si>
  <si>
    <t>中国功夫</t>
    <phoneticPr fontId="38" type="noConversion"/>
  </si>
  <si>
    <t>圣光洗礼</t>
    <phoneticPr fontId="14" type="noConversion"/>
  </si>
  <si>
    <t>审判之锤</t>
    <phoneticPr fontId="14" type="noConversion"/>
  </si>
  <si>
    <t>圣光洗礼的伤害和回血大幅度提升。</t>
    <phoneticPr fontId="14" type="noConversion"/>
  </si>
  <si>
    <t>冲出亚洲</t>
    <phoneticPr fontId="38" type="noConversion"/>
  </si>
  <si>
    <t>无边定罪</t>
    <phoneticPr fontId="14" type="noConversion"/>
  </si>
  <si>
    <t>复仇之盾</t>
    <phoneticPr fontId="14" type="noConversion"/>
  </si>
  <si>
    <t>锁蕊深大帝</t>
    <phoneticPr fontId="38" type="noConversion"/>
  </si>
  <si>
    <t>受到物理伤害时，反震部分回攻击者</t>
    <phoneticPr fontId="38" type="noConversion"/>
  </si>
  <si>
    <t>贵族血统</t>
    <phoneticPr fontId="38" type="noConversion"/>
  </si>
  <si>
    <t>圣光洗礼</t>
    <phoneticPr fontId="14" type="noConversion"/>
  </si>
  <si>
    <t>审判之锤的伤害结果提升50%</t>
    <phoneticPr fontId="38" type="noConversion"/>
  </si>
  <si>
    <t>王者馈赠</t>
    <phoneticPr fontId="38" type="noConversion"/>
  </si>
  <si>
    <t>神谕责难</t>
    <phoneticPr fontId="14" type="noConversion"/>
  </si>
  <si>
    <t>战斗中，让队伍中所有队友附带驱魔效果。</t>
    <phoneticPr fontId="14" type="noConversion"/>
  </si>
  <si>
    <t>大姐之怒</t>
    <phoneticPr fontId="38" type="noConversion"/>
  </si>
  <si>
    <t>无边定罪的百分比伤害成功几率提升至100%。</t>
    <phoneticPr fontId="14" type="noConversion"/>
  </si>
  <si>
    <t>圣灵恩赐</t>
    <phoneticPr fontId="38" type="noConversion"/>
  </si>
  <si>
    <t>沉默爆发</t>
    <phoneticPr fontId="14" type="noConversion"/>
  </si>
  <si>
    <t>战斗中，提升友方玩家和伙伴的物理攻击</t>
    <phoneticPr fontId="38" type="noConversion"/>
  </si>
  <si>
    <t>光明使者</t>
    <phoneticPr fontId="38" type="noConversion"/>
  </si>
  <si>
    <t>圣光洗礼一定概率追加一次，追加的伤害相同，回血减半。</t>
    <phoneticPr fontId="14" type="noConversion"/>
  </si>
  <si>
    <t>圣光意志</t>
    <phoneticPr fontId="38" type="noConversion"/>
  </si>
  <si>
    <t>美屡</t>
    <phoneticPr fontId="38" type="noConversion"/>
  </si>
  <si>
    <t>猎人</t>
    <phoneticPr fontId="38" type="noConversion"/>
  </si>
  <si>
    <t>战斗中速度加倍</t>
    <phoneticPr fontId="38" type="noConversion"/>
  </si>
  <si>
    <t>精确瞄准</t>
    <phoneticPr fontId="38" type="noConversion"/>
  </si>
  <si>
    <t>美屡气质</t>
    <phoneticPr fontId="38" type="noConversion"/>
  </si>
  <si>
    <t>多重打击</t>
    <phoneticPr fontId="38" type="noConversion"/>
  </si>
  <si>
    <t>攻击时物理伤害提升，与自身和目标的速度差值有关</t>
    <phoneticPr fontId="38" type="noConversion"/>
  </si>
  <si>
    <t>狂轰滥炸</t>
    <phoneticPr fontId="38" type="noConversion"/>
  </si>
  <si>
    <t>智商压制</t>
    <phoneticPr fontId="38" type="noConversion"/>
  </si>
  <si>
    <t>当美屡、冬、雷克萨中有施放技能，则为其他两者增加一定的物理伤害，伤害增加的效果会一直累积，直到死亡清零</t>
    <phoneticPr fontId="38" type="noConversion"/>
  </si>
  <si>
    <t>驭兽联盟</t>
    <phoneticPr fontId="38" type="noConversion"/>
  </si>
  <si>
    <t>美女野兽</t>
    <phoneticPr fontId="38" type="noConversion"/>
  </si>
  <si>
    <t>冬</t>
    <phoneticPr fontId="38" type="noConversion"/>
  </si>
  <si>
    <t>战斗中生命提升。</t>
    <phoneticPr fontId="38" type="noConversion"/>
  </si>
  <si>
    <t>强化诱捕</t>
    <phoneticPr fontId="38" type="noConversion"/>
  </si>
  <si>
    <t>战斗技巧</t>
    <phoneticPr fontId="38" type="noConversion"/>
  </si>
  <si>
    <t>精准打击</t>
    <phoneticPr fontId="14" type="noConversion"/>
  </si>
  <si>
    <t>使用精准打击，如果对方死亡并有剩余攻击次数，则继续选择一个单位攻击。</t>
    <phoneticPr fontId="38" type="noConversion"/>
  </si>
  <si>
    <t>不留活口</t>
    <phoneticPr fontId="38" type="noConversion"/>
  </si>
  <si>
    <t>穿刺打击</t>
    <phoneticPr fontId="14" type="noConversion"/>
  </si>
  <si>
    <t>野性召唤</t>
    <phoneticPr fontId="14" type="noConversion"/>
  </si>
  <si>
    <t>雷克萨</t>
    <phoneticPr fontId="38" type="noConversion"/>
  </si>
  <si>
    <t>提升战斗中所有伙伴的物理伤害，提升数值与自身物理伤害有关</t>
    <phoneticPr fontId="38" type="noConversion"/>
  </si>
  <si>
    <t>强击光环</t>
    <phoneticPr fontId="38" type="noConversion"/>
  </si>
  <si>
    <t>生命献祭</t>
    <phoneticPr fontId="14" type="noConversion"/>
  </si>
  <si>
    <t>使得多重打击增加一次攻击。</t>
    <phoneticPr fontId="38" type="noConversion"/>
  </si>
  <si>
    <t>稳固集中</t>
    <phoneticPr fontId="38" type="noConversion"/>
  </si>
  <si>
    <t>兽王专精</t>
    <phoneticPr fontId="38" type="noConversion"/>
  </si>
  <si>
    <t>德鲁伊</t>
    <phoneticPr fontId="38" type="noConversion"/>
  </si>
  <si>
    <t>战斗中控制命中和控制抵抗大幅度提高。</t>
    <phoneticPr fontId="14" type="noConversion"/>
  </si>
  <si>
    <t>自然恩赐</t>
    <phoneticPr fontId="38" type="noConversion"/>
  </si>
  <si>
    <t>良心商人</t>
    <phoneticPr fontId="38" type="noConversion"/>
  </si>
  <si>
    <t>变技能ID</t>
    <phoneticPr fontId="14" type="noConversion"/>
  </si>
  <si>
    <t>绿之涛</t>
    <phoneticPr fontId="38" type="noConversion"/>
  </si>
  <si>
    <t>月蚀</t>
    <phoneticPr fontId="14" type="noConversion"/>
  </si>
  <si>
    <t>战斗中速度提升</t>
    <phoneticPr fontId="14" type="noConversion"/>
  </si>
  <si>
    <t>自然姌合</t>
    <phoneticPr fontId="38" type="noConversion"/>
  </si>
  <si>
    <t>孀妇哀怨</t>
    <phoneticPr fontId="38" type="noConversion"/>
  </si>
  <si>
    <t>自然之眼</t>
    <phoneticPr fontId="14" type="noConversion"/>
  </si>
  <si>
    <t>星界沟通</t>
    <phoneticPr fontId="38" type="noConversion"/>
  </si>
  <si>
    <t>月神庇护</t>
    <phoneticPr fontId="38" type="noConversion"/>
  </si>
  <si>
    <t>单独写到到技能里</t>
    <phoneticPr fontId="14" type="noConversion"/>
  </si>
  <si>
    <t>生命值越低，控制命中率越高。</t>
    <phoneticPr fontId="14" type="noConversion"/>
  </si>
  <si>
    <t>月神修复</t>
    <phoneticPr fontId="38" type="noConversion"/>
  </si>
  <si>
    <t>大地守护</t>
    <phoneticPr fontId="38" type="noConversion"/>
  </si>
  <si>
    <t>法师</t>
    <phoneticPr fontId="38" type="noConversion"/>
  </si>
  <si>
    <t>出手同时有概率额外清除一个己方不良状态</t>
    <phoneticPr fontId="38" type="noConversion"/>
  </si>
  <si>
    <t>神教奥义</t>
    <phoneticPr fontId="38" type="noConversion"/>
  </si>
  <si>
    <t>奥术冲击有概率连续施放2次</t>
    <phoneticPr fontId="38" type="noConversion"/>
  </si>
  <si>
    <t>与方砖共同参战则双方法攻增强</t>
    <phoneticPr fontId="38" type="noConversion"/>
  </si>
  <si>
    <t>老头乐</t>
    <phoneticPr fontId="38" type="noConversion"/>
  </si>
  <si>
    <t>暴风雪</t>
    <phoneticPr fontId="14" type="noConversion"/>
  </si>
  <si>
    <t>方砖</t>
    <phoneticPr fontId="38" type="noConversion"/>
  </si>
  <si>
    <t>大幅提升法术连击几率</t>
    <phoneticPr fontId="38" type="noConversion"/>
  </si>
  <si>
    <t>江湖老练</t>
    <phoneticPr fontId="38" type="noConversion"/>
  </si>
  <si>
    <t>奥术冲击</t>
    <phoneticPr fontId="14" type="noConversion"/>
  </si>
  <si>
    <t>群攻法术以血量较少的单位作为目标</t>
    <phoneticPr fontId="38" type="noConversion"/>
  </si>
  <si>
    <t>老谋深算</t>
    <phoneticPr fontId="38" type="noConversion"/>
  </si>
  <si>
    <t>变形术</t>
    <phoneticPr fontId="14" type="noConversion"/>
  </si>
  <si>
    <t>与五火球教主共同参战则双方法攻增强</t>
    <phoneticPr fontId="38" type="noConversion"/>
  </si>
  <si>
    <t>魔爆术</t>
    <phoneticPr fontId="14" type="noConversion"/>
  </si>
  <si>
    <t>羞花</t>
    <phoneticPr fontId="38" type="noConversion"/>
  </si>
  <si>
    <t>奥术冲击降低目标物理防御和法术防御3回合</t>
    <phoneticPr fontId="38" type="noConversion"/>
  </si>
  <si>
    <t>腹黑魅影</t>
    <phoneticPr fontId="38" type="noConversion"/>
  </si>
  <si>
    <t>傲娇气质</t>
    <phoneticPr fontId="38" type="noConversion"/>
  </si>
  <si>
    <t>受到伤害时，攻击者有概率中眩晕。      buffid 508122 技能id 754006</t>
    <phoneticPr fontId="38" type="noConversion"/>
  </si>
  <si>
    <t>寒冰护体</t>
    <phoneticPr fontId="38" type="noConversion"/>
  </si>
  <si>
    <t>王者壁垒</t>
    <phoneticPr fontId="38" type="noConversion"/>
  </si>
  <si>
    <t>暴风雪的法术伤害大幅增强。</t>
    <phoneticPr fontId="38" type="noConversion"/>
  </si>
  <si>
    <t>冰冷智慧</t>
    <phoneticPr fontId="38" type="noConversion"/>
  </si>
  <si>
    <t>逐日力量</t>
    <phoneticPr fontId="38" type="noConversion"/>
  </si>
  <si>
    <t>牧师</t>
    <phoneticPr fontId="38" type="noConversion"/>
  </si>
  <si>
    <t>第一梯队</t>
    <phoneticPr fontId="38" type="noConversion"/>
  </si>
  <si>
    <t>复生</t>
    <phoneticPr fontId="14" type="noConversion"/>
  </si>
  <si>
    <t>强化复生</t>
    <phoneticPr fontId="38" type="noConversion"/>
  </si>
  <si>
    <t>神圣新星</t>
    <phoneticPr fontId="38" type="noConversion"/>
  </si>
  <si>
    <t>治疗祷言</t>
    <phoneticPr fontId="38" type="noConversion"/>
  </si>
  <si>
    <t>大奶铜须</t>
    <phoneticPr fontId="38" type="noConversion"/>
  </si>
  <si>
    <t>安度因</t>
    <phoneticPr fontId="38" type="noConversion"/>
  </si>
  <si>
    <t>施放治疗祷言时，作用目标一定几率增加一个</t>
    <phoneticPr fontId="38" type="noConversion"/>
  </si>
  <si>
    <t>王族血脉</t>
    <phoneticPr fontId="38" type="noConversion"/>
  </si>
  <si>
    <t>心灵之火的技能持续回合增加一回合</t>
    <phoneticPr fontId="38" type="noConversion"/>
  </si>
  <si>
    <t>神圣洞察</t>
    <phoneticPr fontId="38" type="noConversion"/>
  </si>
  <si>
    <t>圣光信仰</t>
    <phoneticPr fontId="38" type="noConversion"/>
  </si>
  <si>
    <t>心灵之火</t>
    <phoneticPr fontId="14" type="noConversion"/>
  </si>
  <si>
    <t>神圣救赎</t>
    <phoneticPr fontId="14" type="noConversion"/>
  </si>
  <si>
    <t>沐丝</t>
    <phoneticPr fontId="38" type="noConversion"/>
  </si>
  <si>
    <t>PVE中施放治疗祷言时对首目标的治疗效果大幅度提升</t>
    <phoneticPr fontId="38" type="noConversion"/>
  </si>
  <si>
    <t>瀑流</t>
    <phoneticPr fontId="38" type="noConversion"/>
  </si>
  <si>
    <t>能量灌注</t>
    <phoneticPr fontId="38" type="noConversion"/>
  </si>
  <si>
    <t>专注意志</t>
    <phoneticPr fontId="38" type="noConversion"/>
  </si>
  <si>
    <t>神圣赞美诗</t>
    <phoneticPr fontId="38" type="noConversion"/>
  </si>
  <si>
    <t>圣赞美诗</t>
    <phoneticPr fontId="38" type="noConversion"/>
  </si>
  <si>
    <t>傻馒</t>
    <phoneticPr fontId="38" type="noConversion"/>
  </si>
  <si>
    <t>战斗中玩家和伙伴速度提升，提升幅度与自身法术攻击相关</t>
    <phoneticPr fontId="38" type="noConversion"/>
  </si>
  <si>
    <t>燃烧</t>
    <phoneticPr fontId="38" type="noConversion"/>
  </si>
  <si>
    <t>特训成果</t>
    <phoneticPr fontId="38" type="noConversion"/>
  </si>
  <si>
    <t>燃尽</t>
    <phoneticPr fontId="38" type="noConversion"/>
  </si>
  <si>
    <t>杨教授之吻</t>
    <phoneticPr fontId="38" type="noConversion"/>
  </si>
  <si>
    <t>娘子</t>
    <phoneticPr fontId="38" type="noConversion"/>
  </si>
  <si>
    <t>萨满</t>
    <phoneticPr fontId="38" type="noConversion"/>
  </si>
  <si>
    <t>战斗中法攻提升。</t>
    <phoneticPr fontId="38" type="noConversion"/>
  </si>
  <si>
    <t>元素过载</t>
    <phoneticPr fontId="38" type="noConversion"/>
  </si>
  <si>
    <t>白富美</t>
    <phoneticPr fontId="38" type="noConversion"/>
  </si>
  <si>
    <t>闪电链</t>
    <phoneticPr fontId="14" type="noConversion"/>
  </si>
  <si>
    <t>导电体质</t>
    <phoneticPr fontId="38" type="noConversion"/>
  </si>
  <si>
    <t>闪电箭</t>
    <phoneticPr fontId="14" type="noConversion"/>
  </si>
  <si>
    <t>萨满之怒</t>
    <phoneticPr fontId="38" type="noConversion"/>
  </si>
  <si>
    <t>治疗图腾</t>
    <phoneticPr fontId="14" type="noConversion"/>
  </si>
  <si>
    <t>炮姐</t>
    <phoneticPr fontId="38" type="noConversion"/>
  </si>
  <si>
    <t>闪电箭有概率造成双倍伤害，或者为目标加血</t>
    <phoneticPr fontId="38" type="noConversion"/>
  </si>
  <si>
    <t>不稳定电流</t>
    <phoneticPr fontId="38" type="noConversion"/>
  </si>
  <si>
    <t>离子炮</t>
    <phoneticPr fontId="38" type="noConversion"/>
  </si>
  <si>
    <t>死亡后，回合结束后复活且获得50%血量，每场战斗只能使用一次    buffid 508127 技能id 773007</t>
    <phoneticPr fontId="38" type="noConversion"/>
  </si>
  <si>
    <t>元素唤醒</t>
    <phoneticPr fontId="38" type="noConversion"/>
  </si>
  <si>
    <t>强力母牛</t>
    <phoneticPr fontId="38" type="noConversion"/>
  </si>
  <si>
    <t>狂热图腾</t>
    <phoneticPr fontId="14" type="noConversion"/>
  </si>
  <si>
    <t>沃金</t>
    <phoneticPr fontId="38" type="noConversion"/>
  </si>
  <si>
    <t>受到伤害时，反震部分回攻击者</t>
    <phoneticPr fontId="38" type="noConversion"/>
  </si>
  <si>
    <t>妖术灵动</t>
    <phoneticPr fontId="38" type="noConversion"/>
  </si>
  <si>
    <t>狂暴领袖</t>
    <phoneticPr fontId="38" type="noConversion"/>
  </si>
  <si>
    <t>卸甲</t>
    <phoneticPr fontId="38" type="noConversion"/>
  </si>
  <si>
    <t>呆呆标记</t>
    <phoneticPr fontId="38" type="noConversion"/>
  </si>
  <si>
    <t>淬毒刀扇</t>
    <phoneticPr fontId="38" type="noConversion"/>
  </si>
  <si>
    <t>使用淬毒刀扇时，伤害不衰减,且一定增加连击点</t>
    <phoneticPr fontId="38" type="noConversion"/>
  </si>
  <si>
    <t>重情重义</t>
    <phoneticPr fontId="38" type="noConversion"/>
  </si>
  <si>
    <t>穿刺影袭</t>
    <phoneticPr fontId="38" type="noConversion"/>
  </si>
  <si>
    <t>剔骨</t>
    <phoneticPr fontId="38" type="noConversion"/>
  </si>
  <si>
    <t>好奇宝宝</t>
    <phoneticPr fontId="38" type="noConversion"/>
  </si>
  <si>
    <t>潜行</t>
    <phoneticPr fontId="38" type="noConversion"/>
  </si>
  <si>
    <t>使用穿刺影袭一定几率额外获得1颗连击点</t>
    <phoneticPr fontId="38" type="noConversion"/>
  </si>
  <si>
    <t>馈赠</t>
    <phoneticPr fontId="38" type="noConversion"/>
  </si>
  <si>
    <t>八卦女王</t>
    <phoneticPr fontId="38" type="noConversion"/>
  </si>
  <si>
    <t>闷棍</t>
    <phoneticPr fontId="38" type="noConversion"/>
  </si>
  <si>
    <t>女王希尔</t>
    <phoneticPr fontId="38" type="noConversion"/>
  </si>
  <si>
    <t>盗贼</t>
    <phoneticPr fontId="38" type="noConversion"/>
  </si>
  <si>
    <t>进入战斗初始自带1颗连击点</t>
    <phoneticPr fontId="38" type="noConversion"/>
  </si>
  <si>
    <t>阴险</t>
    <phoneticPr fontId="38" type="noConversion"/>
  </si>
  <si>
    <t>女妖之王</t>
    <phoneticPr fontId="38" type="noConversion"/>
  </si>
  <si>
    <t>使用剔骨，如果对方死亡并有剩余攻击次数，则继续选择一个单位攻击</t>
    <phoneticPr fontId="38" type="noConversion"/>
  </si>
  <si>
    <t>黑暗游侠</t>
    <phoneticPr fontId="38" type="noConversion"/>
  </si>
  <si>
    <t>术士大妈</t>
    <phoneticPr fontId="38" type="noConversion"/>
  </si>
  <si>
    <t>战斗中法攻提升</t>
    <phoneticPr fontId="38" type="noConversion"/>
  </si>
  <si>
    <t>灵魂燃烧</t>
    <phoneticPr fontId="38" type="noConversion"/>
  </si>
  <si>
    <t>娇花气质</t>
    <phoneticPr fontId="38" type="noConversion"/>
  </si>
  <si>
    <t>沉默诅咒</t>
    <phoneticPr fontId="14" type="noConversion"/>
  </si>
  <si>
    <t>如果沉默诅咒或者恶魔降临命中对方，追加一次法术伤害。</t>
    <phoneticPr fontId="14" type="noConversion"/>
  </si>
  <si>
    <t>魔魂禁锢</t>
    <phoneticPr fontId="38" type="noConversion"/>
  </si>
  <si>
    <t>滔滔不绝</t>
    <phoneticPr fontId="38" type="noConversion"/>
  </si>
  <si>
    <t>火焰之雨</t>
    <phoneticPr fontId="14" type="noConversion"/>
  </si>
  <si>
    <t>死骑瑞文</t>
    <phoneticPr fontId="38" type="noConversion"/>
  </si>
  <si>
    <t>术士</t>
    <phoneticPr fontId="38" type="noConversion"/>
  </si>
  <si>
    <t>战斗中被治疗提升</t>
    <phoneticPr fontId="38" type="noConversion"/>
  </si>
  <si>
    <t>圣光隔绝</t>
    <phoneticPr fontId="38" type="noConversion"/>
  </si>
  <si>
    <t>骑士尊严</t>
    <phoneticPr fontId="38" type="noConversion"/>
  </si>
  <si>
    <t>恶魔降临</t>
    <phoneticPr fontId="38" type="noConversion"/>
  </si>
  <si>
    <t>使得被控制的目标中毒并且物理和法术防御降低3回合</t>
    <phoneticPr fontId="38" type="noConversion"/>
  </si>
  <si>
    <t>天启标记</t>
    <phoneticPr fontId="38" type="noConversion"/>
  </si>
  <si>
    <t>生命虹吸</t>
    <phoneticPr fontId="38" type="noConversion"/>
  </si>
  <si>
    <t>圣光加速</t>
    <phoneticPr fontId="38" type="noConversion"/>
  </si>
  <si>
    <t>邪恶领袖</t>
    <phoneticPr fontId="38" type="noConversion"/>
  </si>
  <si>
    <t>时空游龙</t>
    <phoneticPr fontId="38" type="noConversion"/>
  </si>
  <si>
    <t>施放火焰之雨，被攻击的单位有概率被恐惧</t>
    <phoneticPr fontId="38" type="noConversion"/>
  </si>
  <si>
    <t>时空之轮</t>
    <phoneticPr fontId="38" type="noConversion"/>
  </si>
  <si>
    <t>时空游龙释放的恐惧效果不会攻击他的敌人，只会攻击他的队友  强化恐惧buff 502009</t>
    <phoneticPr fontId="38" type="noConversion"/>
  </si>
  <si>
    <t>混沌虚空</t>
    <phoneticPr fontId="38" type="noConversion"/>
  </si>
  <si>
    <t>古尔丹</t>
    <phoneticPr fontId="38" type="noConversion"/>
  </si>
  <si>
    <t>战斗中控制命中提升</t>
    <phoneticPr fontId="38" type="noConversion"/>
  </si>
  <si>
    <t>恶魔能量</t>
    <phoneticPr fontId="38" type="noConversion"/>
  </si>
  <si>
    <t>如果沉默诅咒或者恶魔降临命中对方，追加一次生命虹吸。</t>
    <phoneticPr fontId="38" type="noConversion"/>
  </si>
  <si>
    <t>嗜血意志</t>
    <phoneticPr fontId="38" type="noConversion"/>
  </si>
  <si>
    <t>物理</t>
    <phoneticPr fontId="38" type="noConversion"/>
  </si>
  <si>
    <t>桶牛</t>
    <phoneticPr fontId="38" type="noConversion"/>
  </si>
  <si>
    <t>呆贼</t>
    <phoneticPr fontId="38" type="noConversion"/>
  </si>
  <si>
    <t>暗夜男</t>
    <phoneticPr fontId="38" type="noConversion"/>
  </si>
  <si>
    <t>席尔瓦娜斯</t>
    <phoneticPr fontId="38" type="noConversion"/>
  </si>
  <si>
    <t>战士</t>
    <phoneticPr fontId="38" type="noConversion"/>
  </si>
  <si>
    <t>法术</t>
    <phoneticPr fontId="38" type="noConversion"/>
  </si>
  <si>
    <t>治疗</t>
    <phoneticPr fontId="38" type="noConversion"/>
  </si>
  <si>
    <t>圣骑</t>
    <phoneticPr fontId="38" type="noConversion"/>
  </si>
  <si>
    <t>玛美丝</t>
    <phoneticPr fontId="38" type="noConversion"/>
  </si>
  <si>
    <t>大大姐</t>
    <phoneticPr fontId="38" type="noConversion"/>
  </si>
  <si>
    <t>超奶伊露吸</t>
    <phoneticPr fontId="38" type="noConversion"/>
  </si>
  <si>
    <t>野德新之助</t>
    <phoneticPr fontId="38" type="noConversion"/>
  </si>
  <si>
    <t>先知维纶</t>
    <phoneticPr fontId="38" type="noConversion"/>
  </si>
  <si>
    <t>辅助</t>
    <phoneticPr fontId="38" type="noConversion"/>
  </si>
  <si>
    <t>玛法里奥</t>
    <phoneticPr fontId="38" type="noConversion"/>
  </si>
  <si>
    <t>控制</t>
    <phoneticPr fontId="38" type="noConversion"/>
  </si>
  <si>
    <t>阿撸高</t>
    <phoneticPr fontId="38" type="noConversion"/>
  </si>
  <si>
    <t>瑞文戴尔</t>
    <phoneticPr fontId="38" type="noConversion"/>
  </si>
  <si>
    <t>持久力强</t>
    <phoneticPr fontId="38" type="noConversion"/>
  </si>
  <si>
    <t>使用任何技能时，为自己回复8%最大生命</t>
    <phoneticPr fontId="54" type="noConversion"/>
  </si>
  <si>
    <t>死亡时，有20%概率触发涅槃效果，自动复活，剩余生命为最大生命的60%。</t>
    <phoneticPr fontId="14" type="noConversion"/>
  </si>
  <si>
    <t>当死亡时，有30%概率触发涅槃效果，自动满血复活。</t>
    <phoneticPr fontId="14" type="noConversion"/>
  </si>
  <si>
    <t>战斗中死亡时有20%概率触发涅槃效果，自动复活并回复一定生命。</t>
    <phoneticPr fontId="14" type="noConversion"/>
  </si>
  <si>
    <t>高级追击</t>
    <phoneticPr fontId="14" type="noConversion"/>
  </si>
  <si>
    <t>高级反击</t>
    <phoneticPr fontId="14" type="noConversion"/>
  </si>
  <si>
    <t>有50%概率吸收火元素法术伤害，回复对应的生命。</t>
    <phoneticPr fontId="14" type="noConversion"/>
  </si>
  <si>
    <t>有50%概率吸收水元素法术伤害，回复对应的生命。</t>
    <phoneticPr fontId="14" type="noConversion"/>
  </si>
  <si>
    <t>有50%概率吸收土元素法术伤害，回复对应的生命。</t>
    <phoneticPr fontId="14" type="noConversion"/>
  </si>
  <si>
    <t>有50%概率吸收雷元素法术伤害，回复对应的生命。</t>
    <phoneticPr fontId="14" type="noConversion"/>
  </si>
  <si>
    <t>强劲</t>
    <phoneticPr fontId="14" type="noConversion"/>
  </si>
  <si>
    <t>高级强劲</t>
    <phoneticPr fontId="14" type="noConversion"/>
  </si>
  <si>
    <t>物理攻击时暴击概率增加10%。</t>
    <phoneticPr fontId="14" type="noConversion"/>
  </si>
  <si>
    <t>物理攻击时暴击概率增加20%。</t>
    <phoneticPr fontId="14" type="noConversion"/>
  </si>
  <si>
    <t>剑刃乱舞</t>
    <phoneticPr fontId="14" type="noConversion"/>
  </si>
  <si>
    <t>圣光回响</t>
    <phoneticPr fontId="14" type="noConversion"/>
  </si>
  <si>
    <t>群体驱散</t>
    <phoneticPr fontId="14" type="noConversion"/>
  </si>
  <si>
    <t>序号</t>
    <phoneticPr fontId="38" type="noConversion"/>
  </si>
  <si>
    <t>技能名称</t>
    <phoneticPr fontId="38" type="noConversion"/>
  </si>
  <si>
    <t>类型</t>
    <phoneticPr fontId="38" type="noConversion"/>
  </si>
  <si>
    <t>文本</t>
    <phoneticPr fontId="38" type="noConversion"/>
  </si>
  <si>
    <t>1级</t>
    <phoneticPr fontId="14" type="noConversion"/>
  </si>
  <si>
    <t>武器大师</t>
    <phoneticPr fontId="38" type="noConversion"/>
  </si>
  <si>
    <t>被动</t>
    <phoneticPr fontId="14" type="noConversion"/>
  </si>
  <si>
    <t>精湛灵活地使用武器才算的上一个合格的战士</t>
    <phoneticPr fontId="14" type="noConversion"/>
  </si>
  <si>
    <t>物理群攻</t>
    <phoneticPr fontId="14" type="noConversion"/>
  </si>
  <si>
    <t>火刃氏族的绝技之一，幻影般的攻击让战士在面临多个敌人时也游刃有余</t>
    <phoneticPr fontId="14" type="noConversion"/>
  </si>
  <si>
    <t>群体控制</t>
    <phoneticPr fontId="14" type="noConversion"/>
  </si>
  <si>
    <t>嘿！孙子们！</t>
    <phoneticPr fontId="14" type="noConversion"/>
  </si>
  <si>
    <t>10级</t>
    <phoneticPr fontId="14" type="noConversion"/>
  </si>
  <si>
    <t>物理点杀</t>
    <phoneticPr fontId="14" type="noConversion"/>
  </si>
  <si>
    <t>向敌人无情的宣泄怒火，狂风骤雨般连续攻击</t>
    <phoneticPr fontId="14" type="noConversion"/>
  </si>
  <si>
    <t>20级</t>
    <phoneticPr fontId="14" type="noConversion"/>
  </si>
  <si>
    <t>短暂的蓄力后，迅猛的冲锋打击，造成巨大伤害</t>
    <phoneticPr fontId="14" type="noConversion"/>
  </si>
  <si>
    <t>单体诅咒</t>
    <phoneticPr fontId="14" type="noConversion"/>
  </si>
  <si>
    <t>40级</t>
    <phoneticPr fontId="14" type="noConversion"/>
  </si>
  <si>
    <t>装备附魔</t>
    <phoneticPr fontId="14" type="noConversion"/>
  </si>
  <si>
    <t>将凯恩血蹄赋予的勇气注入衣甲，使其附加生命</t>
    <phoneticPr fontId="14" type="noConversion"/>
  </si>
  <si>
    <t>50级</t>
    <phoneticPr fontId="14" type="noConversion"/>
  </si>
  <si>
    <t>大</t>
    <phoneticPr fontId="14" type="noConversion"/>
  </si>
  <si>
    <t>无敌斩</t>
    <phoneticPr fontId="14" type="noConversion"/>
  </si>
  <si>
    <t>战士史诗技能 快速的在战场上移动，随机多次攻击可见的敌方单位。“这片名为战场的天空之下，即是我的领地，擅闯者必诛之！”</t>
    <phoneticPr fontId="14" type="noConversion"/>
  </si>
  <si>
    <t>圣骑</t>
    <phoneticPr fontId="14" type="noConversion"/>
  </si>
  <si>
    <t>法术群攻</t>
    <phoneticPr fontId="14" type="noConversion"/>
  </si>
  <si>
    <t>召唤审判之锤，给予渎神者应有的惩罚</t>
    <phoneticPr fontId="14" type="noConversion"/>
  </si>
  <si>
    <t>神圣伤害</t>
    <phoneticPr fontId="14" type="noConversion"/>
  </si>
  <si>
    <t>宣判一名敌方单位的罪行，召唤圣光对其造成巨大打击</t>
    <phoneticPr fontId="14" type="noConversion"/>
  </si>
  <si>
    <t>圣光使者拥有强大的正义力量，不惧更多的敌人怨恨自己。</t>
    <phoneticPr fontId="14" type="noConversion"/>
  </si>
  <si>
    <t>单体祝福</t>
    <phoneticPr fontId="14" type="noConversion"/>
  </si>
  <si>
    <t>借助圣光的信仰来惩戒敌人，给予虔诚者强力恢复</t>
    <phoneticPr fontId="14" type="noConversion"/>
  </si>
  <si>
    <t>乌瑟召唤圣光之力将其注入鞋子，使其附加速度</t>
    <phoneticPr fontId="14" type="noConversion"/>
  </si>
  <si>
    <t>群体辅助</t>
    <phoneticPr fontId="14" type="noConversion"/>
  </si>
  <si>
    <t>物理单攻</t>
    <phoneticPr fontId="14" type="noConversion"/>
  </si>
  <si>
    <t>宠物辅助</t>
    <phoneticPr fontId="14" type="noConversion"/>
  </si>
  <si>
    <t>优秀的猎人能激发宠物的最大潜能</t>
    <phoneticPr fontId="14" type="noConversion"/>
  </si>
  <si>
    <t>宠物控制</t>
    <phoneticPr fontId="14" type="noConversion"/>
  </si>
  <si>
    <t>牺牲宠物为友方增加魔法</t>
    <phoneticPr fontId="14" type="noConversion"/>
  </si>
  <si>
    <t>狂野不羁的连环射击</t>
    <phoneticPr fontId="14" type="noConversion"/>
  </si>
  <si>
    <t>附魔：杀戮命令</t>
    <phoneticPr fontId="14" type="noConversion"/>
  </si>
  <si>
    <t>奇美拉冲击</t>
    <phoneticPr fontId="14" type="noConversion"/>
  </si>
  <si>
    <t>群体诅咒</t>
    <phoneticPr fontId="14" type="noConversion"/>
  </si>
  <si>
    <t>缠绕根须</t>
    <phoneticPr fontId="14" type="noConversion"/>
  </si>
  <si>
    <t>单体控制</t>
    <phoneticPr fontId="14" type="noConversion"/>
  </si>
  <si>
    <t>潜行</t>
    <phoneticPr fontId="14" type="noConversion"/>
  </si>
  <si>
    <t>自身状态</t>
    <phoneticPr fontId="14" type="noConversion"/>
  </si>
  <si>
    <t>一个优秀的盗贼知道该在什么时候脱离缠斗，寻找新的刺杀机会。</t>
    <phoneticPr fontId="14" type="noConversion"/>
  </si>
  <si>
    <t>永久增加主角的控制抗性</t>
    <phoneticPr fontId="14" type="noConversion"/>
  </si>
  <si>
    <t>嘲讽</t>
    <phoneticPr fontId="14" type="noConversion"/>
  </si>
  <si>
    <t>失忆诅咒</t>
    <phoneticPr fontId="14" type="noConversion"/>
  </si>
  <si>
    <t>30级</t>
  </si>
  <si>
    <t>术士对于黑暗虚空的掌控无所不能，更能让敌人暂时性失忆</t>
    <phoneticPr fontId="14" type="noConversion"/>
  </si>
  <si>
    <t xml:space="preserve">增加提升控制命中效果                                     永久增加主角的物理防御                                            </t>
    <phoneticPr fontId="14" type="noConversion"/>
  </si>
  <si>
    <t>德鲁伊能召唤神术之力牵制敌人。</t>
    <phoneticPr fontId="14" type="noConversion"/>
  </si>
  <si>
    <t>先祖之魂</t>
  </si>
  <si>
    <t>圣骑史诗技能 将神之盾则具现于周围，对所有队友进行守护。“此乃神定庇护，愿此身化作守护圣盾！”</t>
    <phoneticPr fontId="14" type="noConversion"/>
  </si>
  <si>
    <r>
      <t>进入隐身状态，</t>
    </r>
    <r>
      <rPr>
        <sz val="11"/>
        <color rgb="FFFF0000"/>
        <rFont val="宋体"/>
        <family val="3"/>
        <charset val="134"/>
        <scheme val="minor"/>
      </rPr>
      <t>持续2回合</t>
    </r>
    <r>
      <rPr>
        <sz val="11"/>
        <rFont val="宋体"/>
        <family val="3"/>
        <charset val="134"/>
        <scheme val="minor"/>
      </rPr>
      <t>，隐身状态下不能再重复释放，</t>
    </r>
    <r>
      <rPr>
        <sz val="11"/>
        <color rgb="FFFF0000"/>
        <rFont val="宋体"/>
        <family val="3"/>
        <charset val="134"/>
        <scheme val="minor"/>
      </rPr>
      <t>普攻和技能均取消隐身状态同时破隐一击附带一定的物理暴击</t>
    </r>
    <r>
      <rPr>
        <sz val="11"/>
        <rFont val="宋体"/>
        <family val="3"/>
        <charset val="134"/>
        <scheme val="minor"/>
      </rPr>
      <t>，否则持续回合结束时如果没有主动破隐，则增加1点连击点。</t>
    </r>
    <phoneticPr fontId="14" type="noConversion"/>
  </si>
  <si>
    <t>增加破隐一击附带的物理暴击                                                                                                                        永久增加主角的控制抗性</t>
    <phoneticPr fontId="14" type="noConversion"/>
  </si>
  <si>
    <t>召唤强大的先祖之力驻于体内，让法术攻击更加稳定。</t>
    <phoneticPr fontId="14" type="noConversion"/>
  </si>
  <si>
    <t>给自己附加先祖之魂的状态，提升法术暴击和法术波动下限，持续4回合。</t>
    <phoneticPr fontId="14" type="noConversion"/>
  </si>
  <si>
    <t>概率使目标进入失忆状态，让敌人的技能自动选择施法对象，可与其他控制状态共存，持续2回合。施法后提升自己控制命中5回合。</t>
    <phoneticPr fontId="14" type="noConversion"/>
  </si>
  <si>
    <t xml:space="preserve">增加使用效果                                            60级可持续5回合，90级可持续6回合                                           永久增加主角的控制抗性   </t>
    <phoneticPr fontId="14" type="noConversion"/>
  </si>
  <si>
    <t>严厉指责敌人的罪行，使敌人放弃抵抗</t>
    <phoneticPr fontId="14" type="noConversion"/>
  </si>
  <si>
    <t>降低敌方多个目标物理防御</t>
  </si>
  <si>
    <t>只改说明</t>
    <phoneticPr fontId="14" type="noConversion"/>
  </si>
  <si>
    <t>改技能效果</t>
  </si>
  <si>
    <t>改技能效果</t>
    <phoneticPr fontId="14" type="noConversion"/>
  </si>
  <si>
    <t>改技能效果、新做无法连续使用</t>
    <phoneticPr fontId="14" type="noConversion"/>
  </si>
  <si>
    <t>新加技能，失忆逻辑</t>
    <phoneticPr fontId="14" type="noConversion"/>
  </si>
  <si>
    <t>守护圣盾</t>
    <phoneticPr fontId="14" type="noConversion"/>
  </si>
  <si>
    <t>改变出招节奏令对手猝不及防，攻击的同时削弱对方护甲</t>
    <phoneticPr fontId="14" type="noConversion"/>
  </si>
  <si>
    <t>临时提高大量控制命中控制目标，使其被根须缠绕，该状态下无法释放普攻和普通职业技能(但可以释放职业大招和装备特技),并降低法术防御，持续3回合，命中概率与施法者的控制命中有关。该技能命中后下回合控制命中降低且无法连续使用。</t>
    <phoneticPr fontId="14" type="noConversion"/>
  </si>
  <si>
    <t>新加技能，法术波动下限加功能</t>
    <phoneticPr fontId="14" type="noConversion"/>
  </si>
  <si>
    <t>改持续回合，改普攻也清除</t>
    <phoneticPr fontId="14" type="noConversion"/>
  </si>
  <si>
    <t>闪电链几率额外攻击1至2个目标</t>
  </si>
  <si>
    <t xml:space="preserve">复活后免疫当回合受到的攻击，每场战斗最多触发一次。    buffid 508136 508137 技能id 741007     </t>
    <phoneticPr fontId="14" type="noConversion"/>
  </si>
  <si>
    <t>先祖之魂</t>
    <phoneticPr fontId="14" type="noConversion"/>
  </si>
  <si>
    <t>PVE中一定幅度提升治疗法术效果</t>
    <phoneticPr fontId="38" type="noConversion"/>
  </si>
  <si>
    <r>
      <t>PVE中复活某单位，一定几率额外恢复其大量生命。</t>
    </r>
    <r>
      <rPr>
        <sz val="11"/>
        <color rgb="FFFF0000"/>
        <rFont val="宋体"/>
        <family val="3"/>
        <charset val="134"/>
        <scheme val="minor"/>
      </rPr>
      <t>闪电链和闪电箭优先攻击生命值低的敌方目标。</t>
    </r>
    <phoneticPr fontId="14" type="noConversion"/>
  </si>
  <si>
    <t>闪电链</t>
    <phoneticPr fontId="14" type="noConversion"/>
  </si>
  <si>
    <t>强力党</t>
    <phoneticPr fontId="38" type="noConversion"/>
  </si>
  <si>
    <t>攻击目标后使其物理和法术防御降低，持续到战斗结束</t>
    <phoneticPr fontId="38" type="noConversion"/>
  </si>
  <si>
    <t>使得物理攻击附带吸血效果，并且每损失一定生命，提升一定物理伤害</t>
    <phoneticPr fontId="54" type="noConversion"/>
  </si>
  <si>
    <t>失忆诅咒</t>
    <phoneticPr fontId="38" type="noConversion"/>
  </si>
  <si>
    <t>大幅提升法术暴击。</t>
    <phoneticPr fontId="38" type="noConversion"/>
  </si>
  <si>
    <t>奥术冲击</t>
    <phoneticPr fontId="54" type="noConversion"/>
  </si>
  <si>
    <t>冰霜血脉</t>
    <phoneticPr fontId="14" type="noConversion"/>
  </si>
  <si>
    <t>神谕责难的目标数增加1至2个。</t>
    <phoneticPr fontId="14" type="noConversion"/>
  </si>
  <si>
    <t>精灵之怒</t>
    <phoneticPr fontId="14" type="noConversion"/>
  </si>
  <si>
    <t>休眠</t>
    <phoneticPr fontId="54" type="noConversion"/>
  </si>
  <si>
    <t>休眠</t>
    <phoneticPr fontId="54" type="noConversion"/>
  </si>
  <si>
    <t>缠绕根须或者休眠命中后，附加2回合灵魂禁锢效果。</t>
    <phoneticPr fontId="14" type="noConversion"/>
  </si>
  <si>
    <r>
      <t>施放精灵虫群时的目标增加1至2个，并且效果延长一回合。</t>
    </r>
    <r>
      <rPr>
        <sz val="11"/>
        <color rgb="FFFF0000"/>
        <rFont val="宋体"/>
        <family val="3"/>
        <charset val="134"/>
        <scheme val="minor"/>
      </rPr>
      <t>缠绕根须施法后不进入削弱状态，不限制继续使用。</t>
    </r>
    <phoneticPr fontId="38" type="noConversion"/>
  </si>
  <si>
    <t>休眠</t>
  </si>
  <si>
    <t>缠绕根须</t>
  </si>
  <si>
    <t>缠绕根须</t>
    <phoneticPr fontId="54" type="noConversion"/>
  </si>
  <si>
    <t>PVE中复活某单位，一定几率额外恢复其大量生命</t>
    <phoneticPr fontId="14" type="noConversion"/>
  </si>
  <si>
    <r>
      <t>闪电链和闪电箭优先攻击生命值低的敌方目标。</t>
    </r>
    <r>
      <rPr>
        <sz val="11"/>
        <color rgb="FFFF0000"/>
        <rFont val="宋体"/>
        <family val="3"/>
        <charset val="134"/>
        <scheme val="minor"/>
      </rPr>
      <t>战斗开始自动附加先祖之魂状态。</t>
    </r>
    <phoneticPr fontId="38" type="noConversion"/>
  </si>
  <si>
    <t>精通技能ID</t>
    <phoneticPr fontId="54" type="noConversion"/>
  </si>
  <si>
    <t>序号</t>
    <phoneticPr fontId="38" type="noConversion"/>
  </si>
  <si>
    <t>技能名称</t>
    <phoneticPr fontId="38" type="noConversion"/>
  </si>
  <si>
    <t>类型</t>
    <phoneticPr fontId="38" type="noConversion"/>
  </si>
  <si>
    <t>文本</t>
    <phoneticPr fontId="38" type="noConversion"/>
  </si>
  <si>
    <t>1级</t>
    <phoneticPr fontId="14" type="noConversion"/>
  </si>
  <si>
    <t>伊瑟拉之赐</t>
    <phoneticPr fontId="14" type="noConversion"/>
  </si>
  <si>
    <t>被动</t>
    <phoneticPr fontId="14" type="noConversion"/>
  </si>
  <si>
    <t>德鲁伊是自然的子民，获得翡翠巨龙伊瑟拉的赐福</t>
    <phoneticPr fontId="14" type="noConversion"/>
  </si>
  <si>
    <t>1级</t>
    <phoneticPr fontId="14" type="noConversion"/>
  </si>
  <si>
    <t>月蚀</t>
    <phoneticPr fontId="14" type="noConversion"/>
  </si>
  <si>
    <t>法术群攻</t>
    <phoneticPr fontId="14" type="noConversion"/>
  </si>
  <si>
    <t>德鲁伊能月亮的神力打击敌人。</t>
    <phoneticPr fontId="14" type="noConversion"/>
  </si>
  <si>
    <t>精灵虫群</t>
    <phoneticPr fontId="14" type="noConversion"/>
  </si>
  <si>
    <t>群体诅咒</t>
    <phoneticPr fontId="14" type="noConversion"/>
  </si>
  <si>
    <t>德鲁伊精通控制精灵的能力，召唤出大量虫群损敌军意志</t>
    <phoneticPr fontId="14" type="noConversion"/>
  </si>
  <si>
    <t>精灵之怒</t>
    <phoneticPr fontId="14" type="noConversion"/>
  </si>
  <si>
    <t>神圣伤害</t>
    <phoneticPr fontId="14" type="noConversion"/>
  </si>
  <si>
    <t>惩罚一名敌方单位的罪行，召唤精灵对其造成巨大打击</t>
    <phoneticPr fontId="14" type="noConversion"/>
  </si>
  <si>
    <t>新加技能</t>
    <phoneticPr fontId="14" type="noConversion"/>
  </si>
  <si>
    <t>10级</t>
    <phoneticPr fontId="14" type="noConversion"/>
  </si>
  <si>
    <t>缠绕根须</t>
    <phoneticPr fontId="14" type="noConversion"/>
  </si>
  <si>
    <t>单体控制</t>
    <phoneticPr fontId="14" type="noConversion"/>
  </si>
  <si>
    <t>德鲁伊能召唤神术之力牵制敌人。</t>
    <phoneticPr fontId="14" type="noConversion"/>
  </si>
  <si>
    <t>改技能效果、新做无法连续使用</t>
    <phoneticPr fontId="14" type="noConversion"/>
  </si>
  <si>
    <t>20级</t>
    <phoneticPr fontId="14" type="noConversion"/>
  </si>
  <si>
    <t>休眠</t>
    <phoneticPr fontId="14" type="noConversion"/>
  </si>
  <si>
    <t xml:space="preserve">                                             将日月交替之际的黄昏花蕾召唤而来，催眠敌人。</t>
    <phoneticPr fontId="14" type="noConversion"/>
  </si>
  <si>
    <t>30级</t>
    <phoneticPr fontId="14" type="noConversion"/>
  </si>
  <si>
    <t>自然之眼</t>
    <phoneticPr fontId="14" type="noConversion"/>
  </si>
  <si>
    <t>群体祝福</t>
    <phoneticPr fontId="14" type="noConversion"/>
  </si>
  <si>
    <t>一小部分德鲁伊获得天赋神力，从而看破世界一切虚幻，直指真理。</t>
    <phoneticPr fontId="14" type="noConversion"/>
  </si>
  <si>
    <t>40级</t>
    <phoneticPr fontId="14" type="noConversion"/>
  </si>
  <si>
    <t>附魔：自然亲和</t>
    <phoneticPr fontId="14" type="noConversion"/>
  </si>
  <si>
    <t>装备附魔</t>
    <phoneticPr fontId="14" type="noConversion"/>
  </si>
  <si>
    <t>伊瑟拉将自然的低语注入鞋子，使其附加法术防御。</t>
    <phoneticPr fontId="14" type="noConversion"/>
  </si>
  <si>
    <t>50级</t>
    <phoneticPr fontId="14" type="noConversion"/>
  </si>
  <si>
    <t>大</t>
    <phoneticPr fontId="14" type="noConversion"/>
  </si>
  <si>
    <t>复仇之力</t>
    <phoneticPr fontId="14" type="noConversion"/>
  </si>
  <si>
    <t>单体诅咒</t>
    <phoneticPr fontId="14" type="noConversion"/>
  </si>
  <si>
    <t>德鲁伊史诗技能，将生命能量从敌人身边分离，从而使其周围化作末日死域。“从此，世界于其眼中一分为二，一边是鸟语花香之绿林，一边是万劫不复之地狱！”</t>
    <phoneticPr fontId="14" type="noConversion"/>
  </si>
  <si>
    <t>序号</t>
    <phoneticPr fontId="38" type="noConversion"/>
  </si>
  <si>
    <t>技能名称</t>
    <phoneticPr fontId="38" type="noConversion"/>
  </si>
  <si>
    <t>类型</t>
    <phoneticPr fontId="38" type="noConversion"/>
  </si>
  <si>
    <t>文本</t>
    <phoneticPr fontId="38" type="noConversion"/>
  </si>
  <si>
    <t>奥术智慧</t>
    <phoneticPr fontId="14" type="noConversion"/>
  </si>
  <si>
    <t>群体物攻</t>
    <phoneticPr fontId="14" type="noConversion"/>
  </si>
  <si>
    <t>召唤暴风雪，使冰雪凝固成冰雹打击敌方</t>
    <phoneticPr fontId="14" type="noConversion"/>
  </si>
  <si>
    <t>1级</t>
    <phoneticPr fontId="14" type="noConversion"/>
  </si>
  <si>
    <t>奥术冲击</t>
    <phoneticPr fontId="14" type="noConversion"/>
  </si>
  <si>
    <t>法术点杀</t>
    <phoneticPr fontId="14" type="noConversion"/>
  </si>
  <si>
    <t>施法召唤奥术符文，使用奥术能量，冲击对方</t>
    <phoneticPr fontId="14" type="noConversion"/>
  </si>
  <si>
    <t>变形术</t>
    <phoneticPr fontId="14" type="noConversion"/>
  </si>
  <si>
    <t>羊羊羊</t>
    <phoneticPr fontId="14" type="noConversion"/>
  </si>
  <si>
    <t>魔爆术</t>
    <phoneticPr fontId="14" type="noConversion"/>
  </si>
  <si>
    <t>群体法攻</t>
    <phoneticPr fontId="14" type="noConversion"/>
  </si>
  <si>
    <t>法师天生对于魔法的亲和可以让他们利用超强的感知能力将敌人体内的魔法引爆，从精神上彻底瓦解敌人。</t>
    <phoneticPr fontId="14" type="noConversion"/>
  </si>
  <si>
    <t>冰霜血脉</t>
    <phoneticPr fontId="14" type="noConversion"/>
  </si>
  <si>
    <t>单体祝福</t>
    <phoneticPr fontId="14" type="noConversion"/>
  </si>
  <si>
    <t>熟练的法师可以暂时冷冻血脉来抵抗疫病和毒药。</t>
    <phoneticPr fontId="14" type="noConversion"/>
  </si>
  <si>
    <t>附魔：魔能武器</t>
    <phoneticPr fontId="14" type="noConversion"/>
  </si>
  <si>
    <t>凯尔萨斯将狂暴的魔力注入武器，使其附加物理攻击</t>
    <phoneticPr fontId="14" type="noConversion"/>
  </si>
  <si>
    <t>烈焰风暴</t>
    <phoneticPr fontId="14" type="noConversion"/>
  </si>
  <si>
    <t>法师史诗技能 召唤虚空中狂乱的风暴，击溃敌人的意志和身躯。“如果位面不能教给你真理，也许痛苦可以！”</t>
    <phoneticPr fontId="14" type="noConversion"/>
  </si>
  <si>
    <t>治疗祷言</t>
    <phoneticPr fontId="14" type="noConversion"/>
  </si>
  <si>
    <t>群体治疗</t>
    <phoneticPr fontId="14" type="noConversion"/>
  </si>
  <si>
    <t>复生</t>
    <phoneticPr fontId="14" type="noConversion"/>
  </si>
  <si>
    <t>单体复活</t>
    <phoneticPr fontId="14" type="noConversion"/>
  </si>
  <si>
    <t>牧师最为传奇的能力之一，将目标已逝去的生命力唤回，其威能足可起死回生</t>
    <phoneticPr fontId="14" type="noConversion"/>
  </si>
  <si>
    <t>心灵之火</t>
    <phoneticPr fontId="14" type="noConversion"/>
  </si>
  <si>
    <t>牧师心中有着虔诚的信仰，这种信念是如此强烈，甚至化作类法术能力。</t>
    <phoneticPr fontId="14" type="noConversion"/>
  </si>
  <si>
    <t>神圣救赎</t>
    <phoneticPr fontId="14" type="noConversion"/>
  </si>
  <si>
    <t>以圣光之名救赎世间苦难。</t>
    <phoneticPr fontId="14" type="noConversion"/>
  </si>
  <si>
    <t>先知维纶将纳鲁恩泽注入项链，使其附加法术攻击</t>
    <phoneticPr fontId="14" type="noConversion"/>
  </si>
  <si>
    <t>天定之国</t>
    <phoneticPr fontId="14" type="noConversion"/>
  </si>
  <si>
    <t>牧师史诗技能 令神之意志降临凡世，将脚下的土地化为神国。“轻唤神名，我必允你为王！”</t>
    <phoneticPr fontId="14" type="noConversion"/>
  </si>
  <si>
    <t>萨满</t>
    <phoneticPr fontId="14" type="noConversion"/>
  </si>
  <si>
    <t>先祖智慧</t>
    <phoneticPr fontId="14" type="noConversion"/>
  </si>
  <si>
    <t>萨满祭司一直担当精神领袖的职位，他们拥有强大的能力对付扰乱自然秩序的家伙</t>
    <phoneticPr fontId="14" type="noConversion"/>
  </si>
  <si>
    <t>闪电链</t>
    <phoneticPr fontId="14" type="noConversion"/>
  </si>
  <si>
    <t>萨满祭司拥有和自然沟通的能力，可以召唤自然元素攻击敌人。</t>
    <phoneticPr fontId="14" type="noConversion"/>
  </si>
  <si>
    <t>治疗图腾</t>
    <phoneticPr fontId="14" type="noConversion"/>
  </si>
  <si>
    <t>萨满祭司拥有随时召唤图腾的能力以此来增强保护团队。</t>
    <phoneticPr fontId="14" type="noConversion"/>
  </si>
  <si>
    <t>改升级持续回合数增长效果</t>
    <phoneticPr fontId="14" type="noConversion"/>
  </si>
  <si>
    <t>闪电箭</t>
    <phoneticPr fontId="14" type="noConversion"/>
  </si>
  <si>
    <t>单体伤害</t>
    <phoneticPr fontId="14" type="noConversion"/>
  </si>
  <si>
    <t>以电为箭，强力法术打击。</t>
    <phoneticPr fontId="14" type="noConversion"/>
  </si>
  <si>
    <t>先祖之魂</t>
    <phoneticPr fontId="14" type="noConversion"/>
  </si>
  <si>
    <t>用先祖的力量使亡者的灵魂返回躯体，让已死的目标复活。</t>
    <phoneticPr fontId="14" type="noConversion"/>
  </si>
  <si>
    <t>召唤强大的先祖之力驻于体内，让法术攻击更加稳定。</t>
    <phoneticPr fontId="14" type="noConversion"/>
  </si>
  <si>
    <t>新加技能，法术波动下限加功能</t>
    <phoneticPr fontId="14" type="noConversion"/>
  </si>
  <si>
    <t>狂热图腾</t>
    <phoneticPr fontId="14" type="noConversion"/>
  </si>
  <si>
    <t>萨满祭司将神秘力量注入目标体内，短暂时间内增强战斗能力。</t>
    <phoneticPr fontId="14" type="noConversion"/>
  </si>
  <si>
    <t>改BUFF属性、升级持续回合数增长效果</t>
    <phoneticPr fontId="14" type="noConversion"/>
  </si>
  <si>
    <t>附魔：元素之怒</t>
    <phoneticPr fontId="14" type="noConversion"/>
  </si>
  <si>
    <t>萨满学习萨尔将自然元素的力量注入衣甲，使其附加控制命中和控制抗性</t>
    <phoneticPr fontId="14" type="noConversion"/>
  </si>
  <si>
    <t>风暴轰击</t>
    <phoneticPr fontId="14" type="noConversion"/>
  </si>
  <si>
    <t>萨满祭司史诗技能 召唤强大的自然力量，粉碎敌人的意志和身体。“嘘！静静的感受自然元素的轻歌”</t>
    <phoneticPr fontId="14" type="noConversion"/>
  </si>
  <si>
    <t>盗贼尊严</t>
    <phoneticPr fontId="14" type="noConversion"/>
  </si>
  <si>
    <t>盗亦有道！</t>
    <phoneticPr fontId="14" type="noConversion"/>
  </si>
  <si>
    <t>淬毒刀扇</t>
    <phoneticPr fontId="14" type="noConversion"/>
  </si>
  <si>
    <t>群体物攻</t>
    <phoneticPr fontId="14" type="noConversion"/>
  </si>
  <si>
    <t>盗贼虽然以稳准狠著称，但为了保证目标绝对被消灭，往往会让攻击没有死角。</t>
    <phoneticPr fontId="14" type="noConversion"/>
  </si>
  <si>
    <t>穿刺影袭</t>
    <phoneticPr fontId="14" type="noConversion"/>
  </si>
  <si>
    <t>单体物攻</t>
    <phoneticPr fontId="14" type="noConversion"/>
  </si>
  <si>
    <t>当夜幕降临，整个世界都将成为盗贼的游乐场！</t>
    <phoneticPr fontId="14" type="noConversion"/>
  </si>
  <si>
    <t>剔骨</t>
    <phoneticPr fontId="14" type="noConversion"/>
  </si>
  <si>
    <t>外行人都说盗贼的手法过于残忍，但在战斗中盗贼很少有过失手。</t>
    <phoneticPr fontId="14" type="noConversion"/>
  </si>
  <si>
    <t>潜行</t>
    <phoneticPr fontId="14" type="noConversion"/>
  </si>
  <si>
    <t>自身状态</t>
    <phoneticPr fontId="14" type="noConversion"/>
  </si>
  <si>
    <t>一个优秀的盗贼知道该在什么时候脱离缠斗，寻找新的刺杀机会。</t>
    <phoneticPr fontId="14" type="noConversion"/>
  </si>
  <si>
    <t>改持续回合，改普攻也清除</t>
    <phoneticPr fontId="14" type="noConversion"/>
  </si>
  <si>
    <t>闷棍</t>
    <phoneticPr fontId="14" type="noConversion"/>
  </si>
  <si>
    <t>盗贼往往为了达成目标不得不采用一些火中取栗的办法。</t>
    <phoneticPr fontId="14" type="noConversion"/>
  </si>
  <si>
    <t>附魔：鲜血饥渴</t>
    <phoneticPr fontId="14" type="noConversion"/>
  </si>
  <si>
    <t>瓦莉拉将恶魔力量注入武器，使其附加治疗强度</t>
    <phoneticPr fontId="14" type="noConversion"/>
  </si>
  <si>
    <t>杀戮盛筵</t>
    <phoneticPr fontId="38" type="noConversion"/>
  </si>
  <si>
    <t>盗贼史诗技能 给敌人沉痛的最后一击，干脆利落、不给对手任何喘息的机会。“稍纵即逝的寒光闪过，缤纷的血花漫天绽放”</t>
    <phoneticPr fontId="14" type="noConversion"/>
  </si>
  <si>
    <t>术士</t>
    <phoneticPr fontId="14" type="noConversion"/>
  </si>
  <si>
    <t>恶魔学识</t>
    <phoneticPr fontId="14" type="noConversion"/>
  </si>
  <si>
    <t>对于恶魔的长期研究使术士掌握了很多驾驭恶魔的技巧。</t>
    <phoneticPr fontId="14" type="noConversion"/>
  </si>
  <si>
    <t>火焰之雨</t>
    <phoneticPr fontId="14" type="noConversion"/>
  </si>
  <si>
    <t>术士可以召唤大量的火陨石以压倒性的优势干掉敌人。</t>
    <phoneticPr fontId="14" type="noConversion"/>
  </si>
  <si>
    <t>沉默诅咒</t>
    <phoneticPr fontId="14" type="noConversion"/>
  </si>
  <si>
    <t>术士掌握很多古老而神秘的魔法，这些小手段让他们在战斗中占尽了先机。</t>
    <phoneticPr fontId="14" type="noConversion"/>
  </si>
  <si>
    <t xml:space="preserve">增加降低物防效果，60级可控制4回合                                             </t>
    <phoneticPr fontId="14" type="noConversion"/>
  </si>
  <si>
    <t>改属性</t>
    <phoneticPr fontId="14" type="noConversion"/>
  </si>
  <si>
    <t>生命虹吸</t>
    <phoneticPr fontId="14" type="noConversion"/>
  </si>
  <si>
    <t>单体吸血</t>
    <phoneticPr fontId="14" type="noConversion"/>
  </si>
  <si>
    <t>利用恶魔之力吸取敌人的生命力继而作为自己战斗中的补给。</t>
    <phoneticPr fontId="14" type="noConversion"/>
  </si>
  <si>
    <t>去掉毒效果</t>
    <phoneticPr fontId="14" type="noConversion"/>
  </si>
  <si>
    <t>恶魔降临</t>
    <phoneticPr fontId="14" type="noConversion"/>
  </si>
  <si>
    <t>术士可以轻松控制敌人的内心，让他们陷入极度崩溃的状态。</t>
    <phoneticPr fontId="14" type="noConversion"/>
  </si>
  <si>
    <t>永久增加主角的控制抗性</t>
    <phoneticPr fontId="14" type="noConversion"/>
  </si>
  <si>
    <t>虚弱诅咒</t>
    <phoneticPr fontId="14" type="noConversion"/>
  </si>
  <si>
    <t>术士对于黑暗虚空的掌控不仅表现在单体作战，就算面对大量的敌人依然是游刃有余。</t>
    <phoneticPr fontId="14" type="noConversion"/>
  </si>
  <si>
    <t>增加使用效果                                           50级可作用5个目标，70级可作用6个目标，90级可作用7个目标   60级可持续5回合，90级可持续6回合
永久增加主角的物理防御</t>
    <phoneticPr fontId="14" type="noConversion"/>
  </si>
  <si>
    <t>失忆诅咒</t>
    <phoneticPr fontId="14" type="noConversion"/>
  </si>
  <si>
    <t>单体诅咒</t>
    <phoneticPr fontId="14" type="noConversion"/>
  </si>
  <si>
    <t>术士对于黑暗虚空的掌控无所不能，更能让敌人暂时性失忆</t>
    <phoneticPr fontId="14" type="noConversion"/>
  </si>
  <si>
    <t xml:space="preserve">增加提升控制命中效果                                    永久增加主角的物理防御                                            </t>
    <phoneticPr fontId="14" type="noConversion"/>
  </si>
  <si>
    <t>新加技能，失忆逻辑</t>
    <phoneticPr fontId="14" type="noConversion"/>
  </si>
  <si>
    <t>附魔：暗影之力</t>
    <phoneticPr fontId="14" type="noConversion"/>
  </si>
  <si>
    <t>古尔丹将暗影之力注入头盔，使其附加物理防御</t>
    <phoneticPr fontId="14" type="noConversion"/>
  </si>
  <si>
    <t>增加附魔附加物理防御的效果</t>
    <phoneticPr fontId="14" type="noConversion"/>
  </si>
  <si>
    <t>群魔乱舞</t>
    <phoneticPr fontId="14" type="noConversion"/>
  </si>
  <si>
    <t>群体控制</t>
    <phoneticPr fontId="14" type="noConversion"/>
  </si>
  <si>
    <t>术士史诗技能 通过黑暗契约将大量邪恶的恶魔召唤进战场。“恐惧在咏唱悼词，邪恶已拥抱大地”</t>
    <phoneticPr fontId="14" type="noConversion"/>
  </si>
  <si>
    <t>0级  解锁1级 所有技能达到50级 
1级  解锁2级 所有技能达到70级 其他目标命中率为基础命中率的40%
2级  解锁3级 所有技能达到80级 其他目标命中率为基础命中率的45%
3级  解锁4级 所有技能达到90级 其他目标命中率为基础命中率的50%</t>
    <phoneticPr fontId="14" type="noConversion"/>
  </si>
  <si>
    <t>大招</t>
    <phoneticPr fontId="38" type="noConversion"/>
  </si>
  <si>
    <t>9连</t>
    <phoneticPr fontId="38" type="noConversion"/>
  </si>
  <si>
    <t>无敌</t>
    <phoneticPr fontId="38" type="noConversion"/>
  </si>
  <si>
    <t>群打击+控</t>
    <phoneticPr fontId="38" type="noConversion"/>
  </si>
  <si>
    <t>职业</t>
    <phoneticPr fontId="14" type="noConversion"/>
  </si>
  <si>
    <t>强定位</t>
    <phoneticPr fontId="14" type="noConversion"/>
  </si>
  <si>
    <t>弱定位</t>
    <phoneticPr fontId="14" type="noConversion"/>
  </si>
  <si>
    <t>末日战场</t>
    <phoneticPr fontId="38" type="noConversion"/>
  </si>
  <si>
    <t>战士</t>
    <phoneticPr fontId="14" type="noConversion"/>
  </si>
  <si>
    <t>物单</t>
    <phoneticPr fontId="38" type="noConversion"/>
  </si>
  <si>
    <t>弱控</t>
    <phoneticPr fontId="38" type="noConversion"/>
  </si>
  <si>
    <t>物群</t>
    <phoneticPr fontId="14" type="noConversion"/>
  </si>
  <si>
    <t>嘲讽</t>
    <phoneticPr fontId="14" type="noConversion"/>
  </si>
  <si>
    <t>破甲</t>
    <phoneticPr fontId="14" type="noConversion"/>
  </si>
  <si>
    <t>群法</t>
    <phoneticPr fontId="38" type="noConversion"/>
  </si>
  <si>
    <t>圣骑</t>
    <phoneticPr fontId="14" type="noConversion"/>
  </si>
  <si>
    <t>治疗</t>
    <phoneticPr fontId="38" type="noConversion"/>
  </si>
  <si>
    <t>弱辅助</t>
    <phoneticPr fontId="38" type="noConversion"/>
  </si>
  <si>
    <t>法群带驱散</t>
    <phoneticPr fontId="14" type="noConversion"/>
  </si>
  <si>
    <t>百分比伤害单</t>
    <phoneticPr fontId="14" type="noConversion"/>
  </si>
  <si>
    <t>嘲讽2</t>
    <phoneticPr fontId="14" type="noConversion"/>
  </si>
  <si>
    <t>天定之国</t>
    <phoneticPr fontId="38" type="noConversion"/>
  </si>
  <si>
    <t>猎人</t>
    <phoneticPr fontId="14" type="noConversion"/>
  </si>
  <si>
    <t>物群</t>
    <phoneticPr fontId="38" type="noConversion"/>
  </si>
  <si>
    <t>多重打击</t>
    <phoneticPr fontId="14" type="noConversion"/>
  </si>
  <si>
    <t>宠物自爆</t>
    <phoneticPr fontId="14" type="noConversion"/>
  </si>
  <si>
    <t>宠物加双攻</t>
    <phoneticPr fontId="14" type="noConversion"/>
  </si>
  <si>
    <t>德鲁伊</t>
    <phoneticPr fontId="14" type="noConversion"/>
  </si>
  <si>
    <t>辅助</t>
    <phoneticPr fontId="38" type="noConversion"/>
  </si>
  <si>
    <t>弱物群</t>
    <phoneticPr fontId="38" type="noConversion"/>
  </si>
  <si>
    <t>物群带毒</t>
    <phoneticPr fontId="14" type="noConversion"/>
  </si>
  <si>
    <t>群体减法防</t>
    <phoneticPr fontId="14" type="noConversion"/>
  </si>
  <si>
    <t>剧毒花蕾</t>
    <phoneticPr fontId="14" type="noConversion"/>
  </si>
  <si>
    <t>随机连</t>
    <phoneticPr fontId="14" type="noConversion"/>
  </si>
  <si>
    <t>法师</t>
    <phoneticPr fontId="14" type="noConversion"/>
  </si>
  <si>
    <t>法术</t>
    <phoneticPr fontId="38" type="noConversion"/>
  </si>
  <si>
    <t>暴风雪</t>
    <phoneticPr fontId="14" type="noConversion"/>
  </si>
  <si>
    <t>奥术冲击</t>
    <phoneticPr fontId="14" type="noConversion"/>
  </si>
  <si>
    <t>魔爆</t>
    <phoneticPr fontId="14" type="noConversion"/>
  </si>
  <si>
    <t>群控</t>
    <phoneticPr fontId="38" type="noConversion"/>
  </si>
  <si>
    <t>牧师</t>
    <phoneticPr fontId="14" type="noConversion"/>
  </si>
  <si>
    <t>法群</t>
    <phoneticPr fontId="14" type="noConversion"/>
  </si>
  <si>
    <t>群疗</t>
    <phoneticPr fontId="14" type="noConversion"/>
  </si>
  <si>
    <t>复活</t>
    <phoneticPr fontId="14" type="noConversion"/>
  </si>
  <si>
    <t>弱治疗</t>
    <phoneticPr fontId="38" type="noConversion"/>
  </si>
  <si>
    <t>盗贼</t>
    <phoneticPr fontId="14" type="noConversion"/>
  </si>
  <si>
    <t>物单</t>
    <phoneticPr fontId="38" type="noConversion"/>
  </si>
  <si>
    <t>弱控</t>
    <phoneticPr fontId="38" type="noConversion"/>
  </si>
  <si>
    <t>物群带毒攒星</t>
    <phoneticPr fontId="14" type="noConversion"/>
  </si>
  <si>
    <t>单攻带攒星</t>
    <phoneticPr fontId="14" type="noConversion"/>
  </si>
  <si>
    <t>N连击</t>
    <phoneticPr fontId="14" type="noConversion"/>
  </si>
  <si>
    <t>术士</t>
    <phoneticPr fontId="14" type="noConversion"/>
  </si>
  <si>
    <t>控制</t>
    <phoneticPr fontId="38" type="noConversion"/>
  </si>
  <si>
    <t>弱辅助</t>
    <phoneticPr fontId="38" type="noConversion"/>
  </si>
  <si>
    <t>法群带沉默</t>
    <phoneticPr fontId="14" type="noConversion"/>
  </si>
  <si>
    <t>生命虹吸</t>
    <phoneticPr fontId="14" type="noConversion"/>
  </si>
  <si>
    <t>沉默</t>
    <phoneticPr fontId="14" type="noConversion"/>
  </si>
  <si>
    <t>战士</t>
    <phoneticPr fontId="38" type="noConversion"/>
  </si>
  <si>
    <t>圣骑</t>
    <phoneticPr fontId="38" type="noConversion"/>
  </si>
  <si>
    <t>治疗</t>
    <phoneticPr fontId="38" type="noConversion"/>
  </si>
  <si>
    <t>物群</t>
    <phoneticPr fontId="38" type="noConversion"/>
  </si>
  <si>
    <t>辅助</t>
    <phoneticPr fontId="38" type="noConversion"/>
  </si>
  <si>
    <t>弱物群</t>
    <phoneticPr fontId="38" type="noConversion"/>
  </si>
  <si>
    <t>法术</t>
    <phoneticPr fontId="38" type="noConversion"/>
  </si>
  <si>
    <t>弱控</t>
    <phoneticPr fontId="38" type="noConversion"/>
  </si>
  <si>
    <t>牧师</t>
    <phoneticPr fontId="38" type="noConversion"/>
  </si>
  <si>
    <t>治疗</t>
    <phoneticPr fontId="38" type="noConversion"/>
  </si>
  <si>
    <t>弱辅助</t>
    <phoneticPr fontId="38" type="noConversion"/>
  </si>
  <si>
    <t>萨满</t>
    <phoneticPr fontId="38" type="noConversion"/>
  </si>
  <si>
    <t>弱治疗</t>
    <phoneticPr fontId="38" type="noConversion"/>
  </si>
  <si>
    <t>盗贼</t>
    <phoneticPr fontId="38" type="noConversion"/>
  </si>
  <si>
    <t>物单</t>
    <phoneticPr fontId="38" type="noConversion"/>
  </si>
  <si>
    <t>术士</t>
    <phoneticPr fontId="38" type="noConversion"/>
  </si>
  <si>
    <t>控制</t>
    <phoneticPr fontId="38" type="noConversion"/>
  </si>
  <si>
    <t>职业名称</t>
    <phoneticPr fontId="14" type="noConversion"/>
  </si>
  <si>
    <t>天赋名称</t>
    <phoneticPr fontId="14" type="noConversion"/>
  </si>
  <si>
    <t>天赋说明</t>
    <phoneticPr fontId="14" type="noConversion"/>
  </si>
  <si>
    <t>1.武僧</t>
    <phoneticPr fontId="14" type="noConversion"/>
  </si>
  <si>
    <t>酿酒</t>
    <phoneticPr fontId="14" type="noConversion"/>
  </si>
  <si>
    <t>塔克，（强健的战斗者，运用行云列水的防御和神鬼莫测的攻击来规避伤害并保护队友）</t>
    <phoneticPr fontId="14" type="noConversion"/>
  </si>
  <si>
    <t>织雾</t>
    <phoneticPr fontId="14" type="noConversion"/>
  </si>
  <si>
    <t>治疗，（专注于近战输出的武僧，运用强力的组合拳、踢脚和武功招式来打击敌人）</t>
    <phoneticPr fontId="14" type="noConversion"/>
  </si>
  <si>
    <t>风行</t>
    <phoneticPr fontId="14" type="noConversion"/>
  </si>
  <si>
    <t>近战输出，（运用熊猫人的传统医术和草药来救助队友的治疗者）</t>
    <phoneticPr fontId="14" type="noConversion"/>
  </si>
  <si>
    <t>2.死亡骑士</t>
    <phoneticPr fontId="14" type="noConversion"/>
  </si>
  <si>
    <t>鲜血</t>
    <phoneticPr fontId="14" type="noConversion"/>
  </si>
  <si>
    <t>塔克，（黑暗守护者，控制并腐蚀生命能量，使他自己能持续对敌人猛攻）</t>
    <phoneticPr fontId="14" type="noConversion"/>
  </si>
  <si>
    <t>冰霜</t>
    <phoneticPr fontId="14" type="noConversion"/>
  </si>
  <si>
    <t>近战输出，（末日的寒冰先驱者，可以引导符能并进行迅捷的武器打击）</t>
    <phoneticPr fontId="14" type="noConversion"/>
  </si>
  <si>
    <t>邪恶</t>
    <phoneticPr fontId="14" type="noConversion"/>
  </si>
  <si>
    <t>近战输出，（死亡凋零大师，可以散播感染并控制不死仆从为他效命）</t>
    <phoneticPr fontId="14" type="noConversion"/>
  </si>
  <si>
    <t>3.战士</t>
    <phoneticPr fontId="14" type="noConversion"/>
  </si>
  <si>
    <t>防御</t>
    <phoneticPr fontId="14" type="noConversion"/>
  </si>
  <si>
    <t>塔克，（英勇的守护者，使用护盾来保护他自己和他的盟友）</t>
    <phoneticPr fontId="14" type="noConversion"/>
  </si>
  <si>
    <t>狂暴</t>
    <phoneticPr fontId="14" type="noConversion"/>
  </si>
  <si>
    <t>近战输出，（双手各持武器的愤怒战士，以猛烈的狂暴攻击将他的敌人砍成碎块）</t>
    <phoneticPr fontId="14" type="noConversion"/>
  </si>
  <si>
    <t>武器</t>
    <phoneticPr fontId="14" type="noConversion"/>
  </si>
  <si>
    <t>近战输出，（训练有素的战士，使用双手武器以敏捷且威力强大的攻击来击毙他的敌人）</t>
    <phoneticPr fontId="14" type="noConversion"/>
  </si>
  <si>
    <t>4.圣骑士</t>
    <phoneticPr fontId="14" type="noConversion"/>
  </si>
  <si>
    <t>神圣</t>
    <phoneticPr fontId="14" type="noConversion"/>
  </si>
  <si>
    <t>治疗，（召唤圣光的力量来进行防护和治疗）</t>
    <phoneticPr fontId="14" type="noConversion"/>
  </si>
  <si>
    <t>防护</t>
    <phoneticPr fontId="14" type="noConversion"/>
  </si>
  <si>
    <t>塔克，（使用神圣魔法来保护自身和盟友不受敌人攻击）</t>
    <phoneticPr fontId="14" type="noConversion"/>
  </si>
  <si>
    <t>惩戒</t>
    <phoneticPr fontId="14" type="noConversion"/>
  </si>
  <si>
    <t>近战输出，（正义十字军，用武器和神圣魔法来审判和惩罚敌人）</t>
    <phoneticPr fontId="14" type="noConversion"/>
  </si>
  <si>
    <t>5.猎人</t>
    <phoneticPr fontId="14" type="noConversion"/>
  </si>
  <si>
    <t>野兽控制</t>
    <phoneticPr fontId="14" type="noConversion"/>
  </si>
  <si>
    <t>远程输出，（荒野大师，可以驯服多种野兽以协助其作战）</t>
    <phoneticPr fontId="14" type="noConversion"/>
  </si>
  <si>
    <t>射击</t>
    <phoneticPr fontId="14" type="noConversion"/>
  </si>
  <si>
    <t>远程输出，（射击大师或神射手，擅长从远处击杀敌人）</t>
    <phoneticPr fontId="14" type="noConversion"/>
  </si>
  <si>
    <t>生存</t>
    <phoneticPr fontId="14" type="noConversion"/>
  </si>
  <si>
    <t>远程输出，（坚韧的追猎者，喜用动物毒液、炸药和陷阱等致命性武器）</t>
    <phoneticPr fontId="14" type="noConversion"/>
  </si>
  <si>
    <t>6.萨满祭司</t>
    <phoneticPr fontId="14" type="noConversion"/>
  </si>
  <si>
    <t>元素</t>
    <phoneticPr fontId="14" type="noConversion"/>
  </si>
  <si>
    <t>法系远程输出，（驾驭自然和元素的毁灭性力量的施法者）</t>
    <phoneticPr fontId="14" type="noConversion"/>
  </si>
  <si>
    <t>增强</t>
    <phoneticPr fontId="14" type="noConversion"/>
  </si>
  <si>
    <t>近战输出，（活用图腾之力的战士，使用灌满元素力量的武器来打击敌人）</t>
    <phoneticPr fontId="14" type="noConversion"/>
  </si>
  <si>
    <t>恢复</t>
    <phoneticPr fontId="14" type="noConversion"/>
  </si>
  <si>
    <t>治疗，（可召唤先祖之魂并使用水之净化力量来治疗盟友伤口的医者）</t>
    <phoneticPr fontId="14" type="noConversion"/>
  </si>
  <si>
    <t>7.潜行者</t>
    <phoneticPr fontId="14" type="noConversion"/>
  </si>
  <si>
    <t>刺杀</t>
    <phoneticPr fontId="14" type="noConversion"/>
  </si>
  <si>
    <t>近战物理输出，（死亡毒药大师，善用狠毒的匕首打击来击杀敌人）</t>
    <phoneticPr fontId="14" type="noConversion"/>
  </si>
  <si>
    <t>战斗贼</t>
    <phoneticPr fontId="14" type="noConversion"/>
  </si>
  <si>
    <t>近战物理输出，（灵敏且狡猾的剑客，擅长近距离击杀敌人）</t>
    <phoneticPr fontId="14" type="noConversion"/>
  </si>
  <si>
    <t>敏锐贼</t>
    <phoneticPr fontId="14" type="noConversion"/>
  </si>
  <si>
    <t>近战物理输出，（黑暗潜行者，可从暗影中跃出伏击毫无戒备的猎物）</t>
    <phoneticPr fontId="14" type="noConversion"/>
  </si>
  <si>
    <t>8.德鲁伊</t>
    <phoneticPr fontId="14" type="noConversion"/>
  </si>
  <si>
    <t>平衡</t>
    <phoneticPr fontId="14" type="noConversion"/>
  </si>
  <si>
    <t>法系远程输出，（可变成强大的月夜枭兽，能够平衡秘法系和自然系的魔法力量以从远处消灭敌人）</t>
    <phoneticPr fontId="14" type="noConversion"/>
  </si>
  <si>
    <t>野性</t>
    <phoneticPr fontId="14" type="noConversion"/>
  </si>
  <si>
    <t>伤害承受类坦克和近战物理输出，（可变成猎豹形态以流血攻击或撕咬技能对敌人造成伤害，抑或变成力量强大的熊形态来吸收伤害和保护盟友）</t>
    <phoneticPr fontId="14" type="noConversion"/>
  </si>
  <si>
    <t>治疗，（使用持续治疗的自然法术来维持盟友的生命，在非常危急的时候还可以变成树人）</t>
    <phoneticPr fontId="14" type="noConversion"/>
  </si>
  <si>
    <t>9.法师</t>
    <phoneticPr fontId="14" type="noConversion"/>
  </si>
  <si>
    <t>奥术</t>
    <phoneticPr fontId="14" type="noConversion"/>
  </si>
  <si>
    <t>法系远程输出，（操纵奥术能量，将时间与空间把玩于手中）</t>
    <phoneticPr fontId="14" type="noConversion"/>
  </si>
  <si>
    <t>火焰</t>
    <phoneticPr fontId="14" type="noConversion"/>
  </si>
  <si>
    <t>法系远程输出，（使用火焰球和龙息来焚烧敌人）</t>
    <phoneticPr fontId="14" type="noConversion"/>
  </si>
  <si>
    <t>法系远程输出，（以冰霜魔法冰冻并打击敌人）</t>
    <phoneticPr fontId="14" type="noConversion"/>
  </si>
  <si>
    <t>10.牧师</t>
    <phoneticPr fontId="14" type="noConversion"/>
  </si>
  <si>
    <t>戒律</t>
    <phoneticPr fontId="14" type="noConversion"/>
  </si>
  <si>
    <t>治疗，（使用魔法来保护盟友不受伤害，并用魔法来治疗他们的伤口）</t>
    <phoneticPr fontId="14" type="noConversion"/>
  </si>
  <si>
    <t>治疗，（多元化的治疗者，可以治疗个体或团队所受到的伤害，甚至可以在死亡后继续治疗）</t>
    <phoneticPr fontId="14" type="noConversion"/>
  </si>
  <si>
    <t>暗影</t>
    <phoneticPr fontId="14" type="noConversion"/>
  </si>
  <si>
    <t>伤害输出，（使用邪恶的暗影魔法，特别是持续性伤害法术，来毁灭敌人）</t>
    <phoneticPr fontId="14" type="noConversion"/>
  </si>
  <si>
    <t>11.术士</t>
    <phoneticPr fontId="14" type="noConversion"/>
  </si>
  <si>
    <t>痛苦</t>
    <phoneticPr fontId="14" type="noConversion"/>
  </si>
  <si>
    <t>法系远程输出，（暗影魔法大师，擅长使用恐惧术、吸取术和持续性伤害法术）</t>
    <phoneticPr fontId="14" type="noConversion"/>
  </si>
  <si>
    <t>法系远程输出，（驾驭火焰和暗影魔法的术士，可召唤强大的恶魔为其效劳）</t>
    <phoneticPr fontId="14" type="noConversion"/>
  </si>
  <si>
    <t>毁灭</t>
    <phoneticPr fontId="14" type="noConversion"/>
  </si>
  <si>
    <t>法系远程输出，（召唤恶魔火焰来燃烧并消灭敌人）</t>
    <phoneticPr fontId="14" type="noConversion"/>
  </si>
  <si>
    <t>使用物理攻击临时提升“目标物理防御-目标物理攻击”的物理攻击，最少附加10点（PVE对怪物最少附加自身等级*2点），最多附加自身等级*4点。</t>
    <phoneticPr fontId="14" type="noConversion"/>
  </si>
  <si>
    <t>极强的法术防御技能，可以防御法术攻击，减少40%受到的法术伤害结果，持续4回合，只允许对自身使用。</t>
    <phoneticPr fontId="14" type="noConversion"/>
  </si>
  <si>
    <t>猎人史诗技能 猎人的最后底牌，老练的猎人会将它留到最危急的时候。“是时候掀开最后的底牌了，而这，将成为你们生命中所见的最后一击！”</t>
    <phoneticPr fontId="14" type="noConversion"/>
  </si>
  <si>
    <r>
      <t>受到普通物理攻击时有30%概率自动反击，反击的伤害为正常伤害的</t>
    </r>
    <r>
      <rPr>
        <sz val="11"/>
        <color indexed="8"/>
        <rFont val="宋体"/>
        <family val="3"/>
        <charset val="134"/>
      </rPr>
      <t>12</t>
    </r>
    <r>
      <rPr>
        <sz val="11"/>
        <color indexed="8"/>
        <rFont val="宋体"/>
        <family val="3"/>
        <charset val="134"/>
      </rPr>
      <t>5%。</t>
    </r>
    <phoneticPr fontId="14" type="noConversion"/>
  </si>
  <si>
    <t>迟钝</t>
    <phoneticPr fontId="14" type="noConversion"/>
  </si>
  <si>
    <t>反击</t>
    <phoneticPr fontId="14" type="noConversion"/>
  </si>
  <si>
    <t>回春</t>
    <phoneticPr fontId="14" type="noConversion"/>
  </si>
  <si>
    <t>永恒</t>
    <phoneticPr fontId="14" type="noConversion"/>
  </si>
  <si>
    <t>冥思</t>
    <phoneticPr fontId="14" type="noConversion"/>
  </si>
  <si>
    <t>魔之心</t>
    <phoneticPr fontId="14" type="noConversion"/>
  </si>
  <si>
    <t>反震</t>
    <phoneticPr fontId="14" type="noConversion"/>
  </si>
  <si>
    <t>反弹</t>
    <phoneticPr fontId="14" type="noConversion"/>
  </si>
  <si>
    <t>神祗</t>
    <phoneticPr fontId="14" type="noConversion"/>
  </si>
  <si>
    <t>灵动</t>
    <phoneticPr fontId="14" type="noConversion"/>
  </si>
  <si>
    <t>刚毅</t>
    <phoneticPr fontId="14" type="noConversion"/>
  </si>
  <si>
    <t>铁甲</t>
    <phoneticPr fontId="14" type="noConversion"/>
  </si>
  <si>
    <t>敌法</t>
    <phoneticPr fontId="14" type="noConversion"/>
  </si>
  <si>
    <t>清心</t>
    <phoneticPr fontId="14" type="noConversion"/>
  </si>
  <si>
    <t>法术增强</t>
    <phoneticPr fontId="14" type="noConversion"/>
  </si>
  <si>
    <t>坚韧</t>
    <phoneticPr fontId="14" type="noConversion"/>
  </si>
  <si>
    <t>高级法术增强</t>
    <phoneticPr fontId="14" type="noConversion"/>
  </si>
  <si>
    <t>高级神祗</t>
    <phoneticPr fontId="14" type="noConversion"/>
  </si>
  <si>
    <t>高级灵动</t>
    <phoneticPr fontId="14" type="noConversion"/>
  </si>
  <si>
    <t>高级刚毅</t>
    <phoneticPr fontId="14" type="noConversion"/>
  </si>
  <si>
    <t>高级铁甲</t>
    <phoneticPr fontId="14" type="noConversion"/>
  </si>
  <si>
    <t>高级敌法</t>
    <phoneticPr fontId="14" type="noConversion"/>
  </si>
  <si>
    <t>高级坚韧</t>
    <phoneticPr fontId="14" type="noConversion"/>
  </si>
  <si>
    <t>高级清心</t>
    <phoneticPr fontId="14" type="noConversion"/>
  </si>
  <si>
    <t>震怒</t>
    <phoneticPr fontId="14" type="noConversion"/>
  </si>
  <si>
    <t>激怒</t>
    <phoneticPr fontId="14" type="noConversion"/>
  </si>
  <si>
    <t>临时提高伤害力绕到敌方身后攻击对手，适用于对付高防御者。</t>
    <phoneticPr fontId="14" type="noConversion"/>
  </si>
  <si>
    <t>背刺</t>
    <phoneticPr fontId="14" type="noConversion"/>
  </si>
  <si>
    <t>迷踪</t>
    <phoneticPr fontId="14" type="noConversion"/>
  </si>
  <si>
    <t>逃跑几率提升到100%。</t>
    <phoneticPr fontId="14" type="noConversion"/>
  </si>
  <si>
    <r>
      <t>战斗中消耗的</t>
    </r>
    <r>
      <rPr>
        <sz val="11"/>
        <color rgb="FFFF0000"/>
        <rFont val="宋体"/>
        <family val="3"/>
        <charset val="134"/>
      </rPr>
      <t>怒气</t>
    </r>
    <r>
      <rPr>
        <sz val="11"/>
        <rFont val="宋体"/>
        <family val="3"/>
        <charset val="134"/>
      </rPr>
      <t>下降20%。</t>
    </r>
    <phoneticPr fontId="14" type="noConversion"/>
  </si>
  <si>
    <t>破血狂攻</t>
    <phoneticPr fontId="14" type="noConversion"/>
  </si>
  <si>
    <t>风暴连斩</t>
    <phoneticPr fontId="14" type="noConversion"/>
  </si>
  <si>
    <t>壁垒击破</t>
    <phoneticPr fontId="14" type="noConversion"/>
  </si>
  <si>
    <t>英勇打击</t>
    <phoneticPr fontId="14" type="noConversion"/>
  </si>
  <si>
    <t>升级效果</t>
    <phoneticPr fontId="38" type="noConversion"/>
  </si>
  <si>
    <t>增加使用时的伤害</t>
    <phoneticPr fontId="14" type="noConversion"/>
  </si>
  <si>
    <t>永久增加主角的控制命中</t>
    <phoneticPr fontId="14" type="noConversion"/>
  </si>
  <si>
    <t>升级效果</t>
    <phoneticPr fontId="38" type="noConversion"/>
  </si>
  <si>
    <t>永久增加主角的物理攻击</t>
    <phoneticPr fontId="14" type="noConversion"/>
  </si>
  <si>
    <t>增加使用时的伤害                                      40级可攻击3个目标                                              70级可攻击4个目标</t>
    <phoneticPr fontId="14" type="noConversion"/>
  </si>
  <si>
    <t xml:space="preserve">增加嘲讽命中率                                                60级可持续4回合                                                                                                                           </t>
    <phoneticPr fontId="14" type="noConversion"/>
  </si>
  <si>
    <t>增加使用时的伤害                                      永久增加角色的速度</t>
    <phoneticPr fontId="14" type="noConversion"/>
  </si>
  <si>
    <t>增加使用时的伤害，增加临时提高双防的效果                 永久增加角色的控制抗性</t>
    <phoneticPr fontId="14" type="noConversion"/>
  </si>
  <si>
    <t xml:space="preserve">增加降低对方伤害效果                                    60级可持续5回合
永久增加角色的物理防御                                     </t>
    <phoneticPr fontId="14" type="noConversion"/>
  </si>
  <si>
    <t>增加附魔附加生命的效果</t>
    <phoneticPr fontId="14" type="noConversion"/>
  </si>
  <si>
    <t xml:space="preserve">0级  解锁1级 所有技能达到50级 
1级  解锁2级 所有技能达到70级 每次攻击造成55%伤害
2级  解锁3级 所有技能达到80级 每次攻击造成60%伤害
3级  解锁4级 所有技能达到90级 每次攻击造成65%伤害       </t>
    <phoneticPr fontId="14" type="noConversion"/>
  </si>
  <si>
    <t>永久增加主角的生命</t>
    <phoneticPr fontId="14" type="noConversion"/>
  </si>
  <si>
    <t>增加使用时的伤害                                      60级可攻击4个目标，70级可攻击5个目标，90级可攻击6个目标</t>
    <phoneticPr fontId="14" type="noConversion"/>
  </si>
  <si>
    <t>增加使用时的伤害，增加附带神圣伤害的效果和几率</t>
    <phoneticPr fontId="14" type="noConversion"/>
  </si>
  <si>
    <t>增加嘲讽命中率                                         60级可持续4回合
永久增加主角的速度</t>
    <phoneticPr fontId="14" type="noConversion"/>
  </si>
  <si>
    <t xml:space="preserve">增加伤害和治疗效果                                          永久增加主角的控制抗性                       </t>
    <phoneticPr fontId="14" type="noConversion"/>
  </si>
  <si>
    <t xml:space="preserve">增加使用效果                                                                    50级可作用5个目标，70级可作用6个目标，90级可作用7个目标     永久增加主角的法术攻击    </t>
    <phoneticPr fontId="14" type="noConversion"/>
  </si>
  <si>
    <r>
      <t>增加附魔附加速度的效果</t>
    </r>
    <r>
      <rPr>
        <sz val="11"/>
        <color theme="1"/>
        <rFont val="宋体"/>
        <family val="2"/>
        <charset val="134"/>
        <scheme val="minor"/>
      </rPr>
      <t/>
    </r>
    <phoneticPr fontId="14" type="noConversion"/>
  </si>
  <si>
    <t>0级  解锁1级 所有技能达到50级 
1级  解锁2级 所有技能达到70级 守护2个队友
2级  解锁3级 所有技能达到80级 守护3个队友
3级  解锁4级 所有技能达到90级 守护4个队友</t>
    <phoneticPr fontId="14" type="noConversion"/>
  </si>
  <si>
    <t>增加狩猎状态的增强效果                                 60级可持续5回合，90级可持续6回合
永久增加主角的物理攻击</t>
    <phoneticPr fontId="14" type="noConversion"/>
  </si>
  <si>
    <t>增加使用时的伤害                                         50级可攻击4个目标，70级可攻击5个目标，90级可攻击6个目标</t>
    <phoneticPr fontId="14" type="noConversion"/>
  </si>
  <si>
    <t>增加加攻效果，                                             60级可持续5回合，90级可持续6回合                                                   永久增加主角的速度</t>
    <phoneticPr fontId="14" type="noConversion"/>
  </si>
  <si>
    <t>增加加魔效果                                          永久增加主角的控制抗性</t>
    <phoneticPr fontId="14" type="noConversion"/>
  </si>
  <si>
    <t>增加使用时的伤害                                       60级可攻击4次，70级可攻击5次，90级可攻击6次
永久增加主角的生命</t>
    <phoneticPr fontId="14" type="noConversion"/>
  </si>
  <si>
    <t>增加附魔附加愤怒上限的效果</t>
    <phoneticPr fontId="14" type="noConversion"/>
  </si>
  <si>
    <t>0级  解锁1级 所有技能达到50级 
1级  解锁2级 所有技能达到70级 最多打击3个目标
2级  解锁3级 所有技能达到80级 最多打击4个目标           3级  解锁4级 所有技能达到90级 额外随机打击5个目标</t>
    <phoneticPr fontId="14" type="noConversion"/>
  </si>
  <si>
    <t>增加使用时的伤害                                       60级可攻击4个目标，70级可攻击5个目标，90级可攻击6个目标</t>
    <phoneticPr fontId="14" type="noConversion"/>
  </si>
  <si>
    <t xml:space="preserve">增加使用效果                                                                    50级可作用5个目标，70级可作用6个目标，90级可作用7个目标  60级可持续5回合，90级可持续6回合  </t>
    <phoneticPr fontId="14" type="noConversion"/>
  </si>
  <si>
    <t xml:space="preserve">增加使用时的伤害，增加降低法防效果                       </t>
    <phoneticPr fontId="14" type="noConversion"/>
  </si>
  <si>
    <t>增加作用效果                                          50级可作用4个目标，70级可作用5个目标，90级可作用6个目标                      60级可持续4回合，90级可持续5回合                                永久增加主角的生命</t>
    <phoneticPr fontId="14" type="noConversion"/>
  </si>
  <si>
    <t>增加附魔附加法术防御的效果</t>
    <phoneticPr fontId="14" type="noConversion"/>
  </si>
  <si>
    <t>0级  解锁1级 所有技能达到50级 
1级  解锁2级 所有技能达到70级 最高减少25%双防
2级  解锁3级 所有技能达到80级 最高减少30%双防
3级  解锁4级 所有技能达到90级 最高减少35%双防</t>
    <phoneticPr fontId="14" type="noConversion"/>
  </si>
  <si>
    <t>升级效果</t>
    <phoneticPr fontId="38" type="noConversion"/>
  </si>
  <si>
    <t>永久增加主角的法术攻击</t>
    <phoneticPr fontId="14" type="noConversion"/>
  </si>
  <si>
    <t>增加使用时的伤害                                       60级可攻击5个目标，70级可攻击6个目标，90级可攻击7个目标</t>
    <phoneticPr fontId="14" type="noConversion"/>
  </si>
  <si>
    <t>增加使用时的伤害</t>
    <phoneticPr fontId="14" type="noConversion"/>
  </si>
  <si>
    <t>增加降低速度效果，增加变羊命中率                             60级可持续4回合                                            永久增加主角的速度</t>
    <phoneticPr fontId="14" type="noConversion"/>
  </si>
  <si>
    <t>增加使用时的伤害和损耗对方魔法                                                                                    永久增加主角的控制抗性</t>
    <phoneticPr fontId="14" type="noConversion"/>
  </si>
  <si>
    <t>增加生命回复效果                                       永久增加主角的法术防御</t>
    <phoneticPr fontId="14" type="noConversion"/>
  </si>
  <si>
    <t>增加附魔附加物理攻击的效果</t>
    <phoneticPr fontId="14" type="noConversion"/>
  </si>
  <si>
    <t>0级  解锁1级 所有技能达到50级 
1级  解锁2级 所有技能达到70级 最高为暴风雪伤害的220%
2级  解锁3级 所有技能达到80级 最高为暴风雪伤害的240%
3级  解锁4级 所有技能达到90级 最高为暴风雪伤害的260%</t>
    <phoneticPr fontId="14" type="noConversion"/>
  </si>
  <si>
    <t>永久增加主角的生命</t>
    <phoneticPr fontId="14" type="noConversion"/>
  </si>
  <si>
    <t>增加使用时的伤害                                      60级可攻击4个目标，70级可攻击5个目标，90级可攻击6个目标</t>
    <phoneticPr fontId="14" type="noConversion"/>
  </si>
  <si>
    <t xml:space="preserve">增加生命回复效果                                       </t>
    <phoneticPr fontId="14" type="noConversion"/>
  </si>
  <si>
    <t>增加生命回复                                          永久增加主角的速度</t>
    <phoneticPr fontId="14" type="noConversion"/>
  </si>
  <si>
    <t>增加使用效果                                            50级可作用5个目标，70级可作用6个目标，90级可作用7个目标  60级可持续5回合，90级可持续6回合  
永久增加主角的控制抗性</t>
    <phoneticPr fontId="14" type="noConversion"/>
  </si>
  <si>
    <t>增加附魔附加法术攻击的效果</t>
    <phoneticPr fontId="14" type="noConversion"/>
  </si>
  <si>
    <t>0级  解锁1级 所有技能达到50级 
1级  解锁2级 所有技能达到70级 回复生命系数35%
2级  解锁3级 所有技能达到80级 回复生命系数45%
3级  解锁4级 所有技能达到90级 回复生命系数55%</t>
    <phoneticPr fontId="14" type="noConversion"/>
  </si>
  <si>
    <t>增加使用时的伤害                                       60级跳跃4次，70级跳跃5次，90级跳跃6次</t>
    <phoneticPr fontId="14" type="noConversion"/>
  </si>
  <si>
    <t>增加使用效果                                           60级可持续5回合，90级可持续6回合</t>
    <phoneticPr fontId="14" type="noConversion"/>
  </si>
  <si>
    <t>增加使用时的伤害                                      永久增加主角的速度</t>
    <phoneticPr fontId="14" type="noConversion"/>
  </si>
  <si>
    <t xml:space="preserve">增加生命回复                                               永久增加主角的控制抗性                                          </t>
    <phoneticPr fontId="14" type="noConversion"/>
  </si>
  <si>
    <t xml:space="preserve">增加使用效果                                            60级可持续5回合，90级可持续6回合                                           永久增加主角的控制抗性   </t>
    <phoneticPr fontId="14" type="noConversion"/>
  </si>
  <si>
    <t xml:space="preserve">增加使用效果                                            60级可持续5回合，90级可持续6回合                                       永久增加主角的法术防御                                     </t>
    <phoneticPr fontId="14" type="noConversion"/>
  </si>
  <si>
    <t>增加附魔附加控制命中和控制抗性的效果</t>
    <phoneticPr fontId="14" type="noConversion"/>
  </si>
  <si>
    <t>0级  解锁1级 所有技能达到50级 
1级  解锁2级 所有技能达到70级 最高为暴风雪伤害的160%
2级  解锁3级 所有技能达到80级 可打击三个目标 最高为暴风雪伤害的170%
3级  解锁4级 所有技能达到90级 最高为暴风雪伤害的180%</t>
    <phoneticPr fontId="14" type="noConversion"/>
  </si>
  <si>
    <t>永久增加主角的物理攻击</t>
    <phoneticPr fontId="14" type="noConversion"/>
  </si>
  <si>
    <t>增加使用时的伤害                                      40级可攻击3个目标                                              70级可攻击4个目标</t>
    <phoneticPr fontId="14" type="noConversion"/>
  </si>
  <si>
    <t>增加使用时的伤害                                       永久增加主角的速度</t>
    <phoneticPr fontId="14" type="noConversion"/>
  </si>
  <si>
    <t>增加使用效果                                                                                                                        永久增加主角的控制抗性</t>
    <phoneticPr fontId="14" type="noConversion"/>
  </si>
  <si>
    <t>增加使用时的伤害                                            永久增加主角的物理防御</t>
    <phoneticPr fontId="14" type="noConversion"/>
  </si>
  <si>
    <t>增加附魔附加治疗强度的效果</t>
    <phoneticPr fontId="14" type="noConversion"/>
  </si>
  <si>
    <t>0级  解锁1级 所有技能达到50级 
1级  解锁2级 所有技能达到70级 每次攻击造成55%伤害
2级  解锁3级 所有技能达到80级 每次攻击造成60%伤害
3级  解锁4级 所有技能达到90级 每次攻击造成65%伤害</t>
    <phoneticPr fontId="14" type="noConversion"/>
  </si>
  <si>
    <t>永久增加主角的控制命中</t>
    <phoneticPr fontId="14" type="noConversion"/>
  </si>
  <si>
    <t>增加使用时的伤害和吸血效果
永久增加主角的速度</t>
    <phoneticPr fontId="14" type="noConversion"/>
  </si>
  <si>
    <t>减少释放后控制命中降低效果，60级可控制4回合                                 永久增加主角的速度</t>
    <phoneticPr fontId="14" type="noConversion"/>
  </si>
  <si>
    <t xml:space="preserve">60级可控制3回合                                         永久增加主角的控制抗性                                       </t>
    <phoneticPr fontId="14" type="noConversion"/>
  </si>
  <si>
    <t>普通物理攻击时，有45%概率追加一次攻击，拥有此技能物理伤害结果会降低25%。</t>
    <phoneticPr fontId="14" type="noConversion"/>
  </si>
  <si>
    <t>提升少量的物理攻击力，如果对方有防御或高级防御技能，物理伤害结果会减少20%。</t>
    <phoneticPr fontId="14" type="noConversion"/>
  </si>
  <si>
    <t>物理攻击时忽视对方少量的物理防御。</t>
    <phoneticPr fontId="14" type="noConversion"/>
  </si>
  <si>
    <t>物理攻击不会受到反击和反震，并提高5%的物理伤害结果。</t>
    <phoneticPr fontId="14" type="noConversion"/>
  </si>
  <si>
    <t>法术攻击时暴击概率增加10%。</t>
    <phoneticPr fontId="14" type="noConversion"/>
  </si>
  <si>
    <t>法术攻击时，有20%概率追加一次攻击，伤害是正常伤害的50%。</t>
    <phoneticPr fontId="14" type="noConversion"/>
  </si>
  <si>
    <t>每次法术攻击伤害结果在80%至120%之间浮动。</t>
    <phoneticPr fontId="14" type="noConversion"/>
  </si>
  <si>
    <t>法术攻击时忽视对方少量的法术防御。</t>
    <phoneticPr fontId="14" type="noConversion"/>
  </si>
  <si>
    <t>对敌人的法术伤害结果提高10%。</t>
    <phoneticPr fontId="14" type="noConversion"/>
  </si>
  <si>
    <t>物理攻击不会受到反击和反弹，并提高6%的物理伤害结果。</t>
    <phoneticPr fontId="14" type="noConversion"/>
  </si>
  <si>
    <t>法术攻击时，有22%概率追加一次攻击，伤害是正常伤害的50%。</t>
    <phoneticPr fontId="14" type="noConversion"/>
  </si>
  <si>
    <t>对敌人的法术伤害结果提高9%。</t>
    <phoneticPr fontId="14" type="noConversion"/>
  </si>
  <si>
    <t>战斗中，每回合结束时回复等级*0.3的魔法。</t>
    <phoneticPr fontId="14" type="noConversion"/>
  </si>
  <si>
    <t>战斗中，每回合结束时回复等级*0.5的魔法。</t>
    <phoneticPr fontId="14" type="noConversion"/>
  </si>
  <si>
    <t>战斗中，每回合结束时回复等级*0.4的魔法。</t>
    <phoneticPr fontId="14" type="noConversion"/>
  </si>
  <si>
    <t>物理攻击时，吸收对方所掉生命的20%。</t>
    <phoneticPr fontId="14" type="noConversion"/>
  </si>
  <si>
    <t>战斗中，每回合自动回复等级*0.8的生命。</t>
    <phoneticPr fontId="14" type="noConversion"/>
  </si>
  <si>
    <t>战斗中，每回合自动回复等级*0.9的生命。</t>
    <phoneticPr fontId="14" type="noConversion"/>
  </si>
  <si>
    <t>受到物理伤害时的格挡几率提高17%。</t>
    <phoneticPr fontId="14" type="noConversion"/>
  </si>
  <si>
    <t>受到物理攻击时有30%概率进行反震，反震伤害结果等于自己受到伤害的25%。</t>
    <phoneticPr fontId="14" type="noConversion"/>
  </si>
  <si>
    <t>回合开始时，解除所有异常状态。</t>
    <phoneticPr fontId="14" type="noConversion"/>
  </si>
  <si>
    <r>
      <t>受到普通物理攻击时有20%概率自动反击，反击的伤害是正常伤害的</t>
    </r>
    <r>
      <rPr>
        <sz val="11"/>
        <color indexed="8"/>
        <rFont val="宋体"/>
        <family val="3"/>
        <charset val="134"/>
      </rPr>
      <t>10</t>
    </r>
    <r>
      <rPr>
        <sz val="11"/>
        <color indexed="8"/>
        <rFont val="宋体"/>
        <family val="3"/>
        <charset val="134"/>
      </rPr>
      <t>0%。</t>
    </r>
    <phoneticPr fontId="14" type="noConversion"/>
  </si>
  <si>
    <t>自身速度增加10%。</t>
    <phoneticPr fontId="14" type="noConversion"/>
  </si>
  <si>
    <t>自身生命上限提升10%。</t>
    <phoneticPr fontId="14" type="noConversion"/>
  </si>
  <si>
    <t>提升等级*0.9的物理防御，但法术伤害结果会降低11%。</t>
    <phoneticPr fontId="14" type="noConversion"/>
  </si>
  <si>
    <t>提升等级*0.9的法术防御，但物理伤害结果会降低11%。</t>
    <phoneticPr fontId="14" type="noConversion"/>
  </si>
  <si>
    <r>
      <t>死亡5回合后自动复活，不受任何状态影响，</t>
    </r>
    <r>
      <rPr>
        <sz val="11"/>
        <color rgb="FFFF0000"/>
        <rFont val="宋体"/>
        <family val="3"/>
        <charset val="134"/>
      </rPr>
      <t>也不能使用主动技能和药品回复生命。若有凤凰之心技能不触发该效果。</t>
    </r>
    <phoneticPr fontId="14" type="noConversion"/>
  </si>
  <si>
    <t>死亡5回合后自动复活，不受任何状态影响，也不能使用主动技能和药品回复生命。若有凤凰之心技能不触发该效果。</t>
  </si>
  <si>
    <t>对敌方拥有不死亡魂术单位的物理、法术伤害效果增加50%，并能将其打飞出场外。</t>
    <phoneticPr fontId="14" type="noConversion"/>
  </si>
  <si>
    <t>敌方拥有不死亡魂术单位的物理、法术伤害效果增加50%，并能将其打飞出战场外。</t>
    <phoneticPr fontId="14" type="noConversion"/>
  </si>
  <si>
    <t>自动附加隐身状态2至3回合，隐身状态下物理攻击能力会降低20%，且无法使用技能。</t>
    <phoneticPr fontId="14" type="noConversion"/>
  </si>
  <si>
    <t>能探知并攻击敌方隐身状态的单位。</t>
    <phoneticPr fontId="14" type="noConversion"/>
  </si>
  <si>
    <t>受到的增益状态持续回合数加倍。</t>
    <phoneticPr fontId="14" type="noConversion"/>
  </si>
  <si>
    <t>可以抵御控制类异常状态，但自己的物理伤害结果也会降低20%。</t>
    <phoneticPr fontId="14" type="noConversion"/>
  </si>
  <si>
    <t>可以抵御控制类异常状态，但自己的物理伤害结果也会降低18%。</t>
    <phoneticPr fontId="14" type="noConversion"/>
  </si>
  <si>
    <t>普通物理攻击有15%概率使目标中毒，中毒状态下每回合损失10%生命和5%魔法（物理攻击中毒单位时有15%几率被感染）。</t>
    <phoneticPr fontId="14" type="noConversion"/>
  </si>
  <si>
    <t>普通物理攻击有16%概率使目标中毒，中毒状态下每回合损失10%生命和5%魔法（物理攻击中毒单位时有15%几率被感染）。</t>
    <phoneticPr fontId="14" type="noConversion"/>
  </si>
  <si>
    <t>普通物理攻击杀死对方时，有45%概率对敌方其他目标追加一次攻击，伤害是正常伤害的50%。</t>
    <phoneticPr fontId="14" type="noConversion"/>
  </si>
  <si>
    <t>普通物理攻击时有15%概率对目标周围的两个敌方单位造成溅射伤害，溅射伤害为主体伤害的20%。</t>
    <phoneticPr fontId="14" type="noConversion"/>
  </si>
  <si>
    <t>物理攻击时暴击概率增加22%。</t>
    <phoneticPr fontId="14" type="noConversion"/>
  </si>
  <si>
    <t>自身速度增加11%。</t>
    <phoneticPr fontId="14" type="noConversion"/>
  </si>
  <si>
    <t>自身生命上限提升11%。</t>
    <phoneticPr fontId="14" type="noConversion"/>
  </si>
  <si>
    <t>减少自身速度的11%。</t>
    <phoneticPr fontId="14" type="noConversion"/>
  </si>
  <si>
    <t>普通物理攻击时，有55%概率追加一次攻击，拥有此技能物理伤害结果会降低20%。</t>
    <phoneticPr fontId="14" type="noConversion"/>
  </si>
  <si>
    <t>提升一定的物理攻击力，如果对方有防御或高级防御技能，物理伤害结果会减少20%。</t>
    <phoneticPr fontId="14" type="noConversion"/>
  </si>
  <si>
    <t>普通物理攻击时，有50%概率追加一次攻击，拥有此技能物理伤害结果会降低17%。</t>
    <phoneticPr fontId="14" type="noConversion"/>
  </si>
  <si>
    <t>物理攻击时忽视对方一定的物理防御。</t>
    <phoneticPr fontId="14" type="noConversion"/>
  </si>
  <si>
    <t>物理攻击不会受到反击和反震，并提高10%的物理伤害结果。</t>
    <phoneticPr fontId="14" type="noConversion"/>
  </si>
  <si>
    <t>物理攻击不会受到反击和反震，并提高11%的物理伤害结果。</t>
    <phoneticPr fontId="14" type="noConversion"/>
  </si>
  <si>
    <t>法术攻击时暴击概率增加15%。</t>
    <phoneticPr fontId="14" type="noConversion"/>
  </si>
  <si>
    <t>法术攻击时，有30%概率追加一次攻击，伤害是第一次的50%。</t>
    <phoneticPr fontId="14" type="noConversion"/>
  </si>
  <si>
    <t>法术攻击时，有33%概率追加一次攻击，伤害是第一次的50%。</t>
    <phoneticPr fontId="14" type="noConversion"/>
  </si>
  <si>
    <t>每次法术攻击伤害结果在50%至150%之间浮动。</t>
    <phoneticPr fontId="14" type="noConversion"/>
  </si>
  <si>
    <t>对敌人的法术伤害结果提高20%。</t>
    <phoneticPr fontId="14" type="noConversion"/>
  </si>
  <si>
    <t>对敌人的法术伤害结果提高18%。</t>
    <phoneticPr fontId="14" type="noConversion"/>
  </si>
  <si>
    <t>法术攻击时忽视对方一定的法术防御。</t>
    <phoneticPr fontId="14" type="noConversion"/>
  </si>
  <si>
    <t>战斗中，每回合结束时回复等级*0.6的魔法。</t>
    <phoneticPr fontId="14" type="noConversion"/>
  </si>
  <si>
    <t>物理攻击时，吸收对方所掉生命的30%。</t>
    <phoneticPr fontId="14" type="noConversion"/>
  </si>
  <si>
    <t>物理攻击时，吸收对方所掉生命的33%。</t>
    <phoneticPr fontId="14" type="noConversion"/>
  </si>
  <si>
    <t>战斗中，每回合自动回复等级*1.5的生命。</t>
    <phoneticPr fontId="14" type="noConversion"/>
  </si>
  <si>
    <t>战斗中，每回合自动回复等级*1.6的生命。</t>
    <phoneticPr fontId="14" type="noConversion"/>
  </si>
  <si>
    <t>死亡时，有18%概率触发涅槃效果，自动复活，剩余生命为最大生命的60%。</t>
    <phoneticPr fontId="14" type="noConversion"/>
  </si>
  <si>
    <t>当死亡时，有28%概率触发涅槃效果，自动满血复活。</t>
    <phoneticPr fontId="14" type="noConversion"/>
  </si>
  <si>
    <t>受到物理伤害时的格挡几率提高27%</t>
    <phoneticPr fontId="14" type="noConversion"/>
  </si>
  <si>
    <t>受到物理攻击时有30%概率进行反震，反震伤害结果等于自己受到伤害的50%。</t>
    <phoneticPr fontId="14" type="noConversion"/>
  </si>
  <si>
    <t>受到物理攻击时有33%概率进行反弹，反弹伤害结果等于自己受到伤害的25%。</t>
    <phoneticPr fontId="14" type="noConversion"/>
  </si>
  <si>
    <t>受到物理攻击时有33%概率进行反弹，反弹伤害结果等于自己受到伤害的50%。</t>
    <phoneticPr fontId="14" type="noConversion"/>
  </si>
  <si>
    <t>自身速度增加20%。</t>
    <phoneticPr fontId="14" type="noConversion"/>
  </si>
  <si>
    <t>自身速度增加22%。</t>
    <phoneticPr fontId="14" type="noConversion"/>
  </si>
  <si>
    <t>自身生命上限提升20%。</t>
    <phoneticPr fontId="14" type="noConversion"/>
  </si>
  <si>
    <t>不受所有负面状态影响，包括毒、控制等。</t>
    <phoneticPr fontId="14" type="noConversion"/>
  </si>
  <si>
    <t>受到普通物理攻击时有33%概率自动反击，反击的伤害为正常伤害的100%。</t>
    <phoneticPr fontId="14" type="noConversion"/>
  </si>
  <si>
    <t>自身生命上限提升22%。</t>
    <phoneticPr fontId="14" type="noConversion"/>
  </si>
  <si>
    <t>提升等级*1.2的物理防御，但法术伤害结果会降低10%。</t>
    <phoneticPr fontId="14" type="noConversion"/>
  </si>
  <si>
    <t>提升等级*1.2的法术防御，但物理伤害结果会降低10%。</t>
    <phoneticPr fontId="14" type="noConversion"/>
  </si>
  <si>
    <t>提升等级*1.3的物理防御，但法术伤害结果会降低11%。</t>
    <phoneticPr fontId="14" type="noConversion"/>
  </si>
  <si>
    <t>提升等级*1.3的法术防御，但物理伤害结果会降低11%。</t>
    <phoneticPr fontId="14" type="noConversion"/>
  </si>
  <si>
    <t>被物理攻击时，被暴击概率降低20%。</t>
    <phoneticPr fontId="14" type="noConversion"/>
  </si>
  <si>
    <t>被物理攻击时，被暴击概率降低22%。</t>
    <phoneticPr fontId="14" type="noConversion"/>
  </si>
  <si>
    <t>减少自身速度的20%，同时增加5%的生命。</t>
    <phoneticPr fontId="14" type="noConversion"/>
  </si>
  <si>
    <t>减少自身速度的22%，同时增加5%的生命。</t>
    <phoneticPr fontId="14" type="noConversion"/>
  </si>
  <si>
    <t>有48%概率吸收火元素法术伤害，回复对应的生命。</t>
    <phoneticPr fontId="14" type="noConversion"/>
  </si>
  <si>
    <t>有48%概率吸收水元素法术伤害，回复对应的生命。</t>
    <phoneticPr fontId="14" type="noConversion"/>
  </si>
  <si>
    <t>有48%概率吸收土元素法术伤害，回复对应的生命。</t>
    <phoneticPr fontId="14" type="noConversion"/>
  </si>
  <si>
    <t>有48%概率吸收雷元素法术伤害，回复对应的生命。</t>
    <phoneticPr fontId="14" type="noConversion"/>
  </si>
  <si>
    <t>有28%概率吸收火元素法术伤害，回复对应的生命。</t>
    <phoneticPr fontId="14" type="noConversion"/>
  </si>
  <si>
    <t>有28%概率吸收水元素法术伤害，回复对应的生命。</t>
    <phoneticPr fontId="14" type="noConversion"/>
  </si>
  <si>
    <t>有28%概率吸收土元素法术伤害，回复对应的生命。</t>
    <phoneticPr fontId="14" type="noConversion"/>
  </si>
  <si>
    <t>有28%概率吸收雷元素法术伤害，回复对应的生命。</t>
    <phoneticPr fontId="14" type="noConversion"/>
  </si>
  <si>
    <t>死亡5回合后自动复活，不受异常状态影响。若有凤凰之心技能不触发该效果。</t>
    <phoneticPr fontId="14" type="noConversion"/>
  </si>
  <si>
    <t>对敌方拥有不死亡魂术单位的物理、法术伤害效果增加100%，并能将其打飞出场外。</t>
  </si>
  <si>
    <t>死亡5回合后自动复活，不受异常状态影响。若有凤凰之心技能不触发该效果。</t>
    <phoneticPr fontId="14" type="noConversion"/>
  </si>
  <si>
    <t>自动附加隐身状态3至5回合，隐身状态下物理伤害结果会降低15%，且无法使用技能。</t>
    <phoneticPr fontId="14" type="noConversion"/>
  </si>
  <si>
    <t>能探知并攻击敌方隐身状态的单位，受到物理伤害时的格挡几率提高7%。</t>
    <phoneticPr fontId="14" type="noConversion"/>
  </si>
  <si>
    <t>受到的增益状态持续回合数增加为原来的4倍。</t>
    <phoneticPr fontId="14" type="noConversion"/>
  </si>
  <si>
    <t>可以抵御控制类异常状态，受到物理伤害时的格挡几率提高7%，但自己的物理伤害结果也会降低20%。</t>
    <phoneticPr fontId="14" type="noConversion"/>
  </si>
  <si>
    <t>可以抵御控制类异常状态，受到物理伤害时的格挡几率提高7%，但自己的物理伤害结果也会降低18%。</t>
    <phoneticPr fontId="14" type="noConversion"/>
  </si>
  <si>
    <t>普通物理攻击杀死对方时，有55%概率对敌方其他目标追加一次攻击，伤害是正常伤害的75%。</t>
    <phoneticPr fontId="14" type="noConversion"/>
  </si>
  <si>
    <t>普通物理攻击杀死对方时，有45%概率对敌方其他目标追加一次攻击，伤害是正常伤害的100%。</t>
    <phoneticPr fontId="14" type="noConversion"/>
  </si>
  <si>
    <t>普通物理攻击时有20%概率对目标周围的两个敌方单位造成溅射伤害，溅射伤害为主体伤害的30%。</t>
    <phoneticPr fontId="14" type="noConversion"/>
  </si>
  <si>
    <t>附加等级*2的物理伤害结果，不可被防御和保护。</t>
  </si>
  <si>
    <t>发动时，可以在造成物理伤害同时消耗对方少量的魔法值。</t>
  </si>
  <si>
    <t>源于上古的秘法，施展群体法术攻击三个单位，同时消耗目标的魔法值，在PVE中还可以将对方损失的魔法值汲取给主人使用。</t>
  </si>
  <si>
    <t>使用物理攻击临时提升“目标物理防御-目标物理攻击”的物理攻击，最少附加10点（PVE对怪物最少附加自身等级*2点），最多附加自身等级*4点。</t>
  </si>
  <si>
    <t>物理攻击时暴击概率增加11%。</t>
    <phoneticPr fontId="14" type="noConversion"/>
  </si>
  <si>
    <t>普通物理攻击时，有40%概率追加一次攻击，拥有此技能物理伤害结果会降低20%。</t>
    <phoneticPr fontId="14" type="noConversion"/>
  </si>
  <si>
    <t>每次法术攻击伤害结果在82%至118%之间浮动。</t>
    <phoneticPr fontId="14" type="noConversion"/>
  </si>
  <si>
    <t>每次法术攻击伤害结果在52%至148%之间浮动。</t>
    <phoneticPr fontId="14" type="noConversion"/>
  </si>
  <si>
    <t>物理攻击时，吸收对方所掉生命的22%。</t>
    <phoneticPr fontId="14" type="noConversion"/>
  </si>
  <si>
    <t>受到普通物理攻击时有22%概率自动反击，反击的伤害是正常伤害的75%。</t>
    <phoneticPr fontId="14" type="noConversion"/>
  </si>
  <si>
    <t>被物理攻击时，被暴击概率降低11%。</t>
    <phoneticPr fontId="14" type="noConversion"/>
  </si>
  <si>
    <t>普通物理攻击有22%概率使目标中毒，中毒状态下每回合损失10%生命和5%魔法，拥有高级瘟疫技能的宠物对毒免疫（物理攻击中毒单位有15%几率被感染）</t>
    <phoneticPr fontId="14" type="noConversion"/>
  </si>
  <si>
    <t>普通物理攻击杀死对方时，有33%概率对敌方其他目标追加一次攻击，伤害是正常伤害的75%。</t>
    <phoneticPr fontId="14" type="noConversion"/>
  </si>
  <si>
    <t>物理攻击时忽视对方大量的物理防御。</t>
    <phoneticPr fontId="14" type="noConversion"/>
  </si>
  <si>
    <t>提升少量的物理攻击力，如果对方有铁甲或高级铁甲技能，物理伤害结果会减少25%。</t>
    <phoneticPr fontId="14" type="noConversion"/>
  </si>
  <si>
    <t>提升大量的物理攻击力，如果对方有铁甲或高级铁甲技能，物理伤害结果会减少25%。</t>
    <phoneticPr fontId="14" type="noConversion"/>
  </si>
  <si>
    <t>" c="fffff2df"/&gt;</t>
  </si>
  <si>
    <t>" c="fffff2df"/&gt;</t>
    <phoneticPr fontId="62" type="noConversion"/>
  </si>
  <si>
    <t>回合结束时，解除所有异常状态。</t>
    <phoneticPr fontId="14" type="noConversion"/>
  </si>
  <si>
    <t>自动附加隐身状态2至3回合，隐身状态下物理攻击能力会降低20%，使用技能取消隐身状态。</t>
    <phoneticPr fontId="14" type="noConversion"/>
  </si>
  <si>
    <t>自动附加隐身状态3至5回合，隐身状态下物理伤害结果会降低15%，使用技能取消隐身状态。</t>
    <phoneticPr fontId="14" type="noConversion"/>
  </si>
  <si>
    <t>有33%概率吸收火元素法术伤害，回复对应的生命。吸收失败也可减少火元素法术伤害的30%。</t>
    <phoneticPr fontId="14" type="noConversion"/>
  </si>
  <si>
    <t>有33%概率吸收水元素法术伤害，回复对应的生命。吸收失败也可减少水元素法术伤害的30%。</t>
    <phoneticPr fontId="14" type="noConversion"/>
  </si>
  <si>
    <t>有33%概率吸收土元素法术伤害，回复对应的生命。吸收失败也可减少土元素法术伤害的30%。</t>
    <phoneticPr fontId="14" type="noConversion"/>
  </si>
  <si>
    <t>有33%概率吸收雷元素法术伤害，回复对应的生命。吸收失败也可减少雷元素法术伤害的30%。</t>
    <phoneticPr fontId="14" type="noConversion"/>
  </si>
  <si>
    <t>水元素单体法术，同时有10%概率降低对方5%的物理和法术攻击力，持续3回合。</t>
    <phoneticPr fontId="14" type="noConversion"/>
  </si>
  <si>
    <t>水元素多体法术，初始攻击两个目标，宠物60级可攻击三个目标，同时有5%概率降低对方5%的物理和法术攻击力，持续3回合。</t>
    <phoneticPr fontId="14" type="noConversion"/>
  </si>
  <si>
    <t>发动时有30%概率使敌人附加灵魂禁锢效果，效果持续4回合。</t>
    <phoneticPr fontId="14" type="noConversion"/>
  </si>
  <si>
    <t>极强的法术防御技能，可以防御法术攻击，减少30%受到的法术伤害结果，持续4回合，只允许对自身使用。</t>
    <phoneticPr fontId="14" type="noConversion"/>
  </si>
  <si>
    <t>源于上古的秘法，施展群体法术攻击，同时消耗目标的魔法值，在非玩家对战中还可以将对方损失的魔法值汲取给主人使用。初始攻击两个目标，宠物60级可攻击三个目标。</t>
  </si>
  <si>
    <t>施放治疗祷言时，有几率对施法目标附加心灵之火。</t>
    <phoneticPr fontId="38" type="noConversion"/>
  </si>
  <si>
    <t>功效</t>
    <phoneticPr fontId="38" type="noConversion"/>
  </si>
  <si>
    <t>攻击敌方多个目标，伤害逐个递减</t>
    <phoneticPr fontId="14" type="noConversion"/>
  </si>
  <si>
    <t>概率嘲讽单个目标，对boss怪必中，受嘲讽的单位强制对施法者使用物理普攻且伤害降低，持续3回合。仅PVE战斗可使用。</t>
    <phoneticPr fontId="14" type="noConversion"/>
  </si>
  <si>
    <t>攻击目标三次，下个回合虚弱休息，使用时候生命不能低于一半，使用完后消耗一定量的生命值，虚弱休息状态下双防降低</t>
    <phoneticPr fontId="14" type="noConversion"/>
  </si>
  <si>
    <t>临时提高大量双防和控制抵抗，下回合临时提高伤害首先出手攻击目标</t>
    <phoneticPr fontId="14" type="noConversion"/>
  </si>
  <si>
    <t>攻击目标同时降低对方物理防御和法术防御，持续4回合</t>
    <phoneticPr fontId="14" type="noConversion"/>
  </si>
  <si>
    <t>制造一张附魔卷轴，该卷轴可给衣甲增加生命</t>
    <phoneticPr fontId="14" type="noConversion"/>
  </si>
  <si>
    <t>直接对目标发动5-9次攻击，自身生命越低攻击次数越多。伤害是普通攻击的50%，无法被防御和保护，使用后虚弱休息1回合。</t>
    <phoneticPr fontId="14" type="noConversion"/>
  </si>
  <si>
    <t>圣骑士基础技能</t>
    <phoneticPr fontId="14" type="noConversion"/>
  </si>
  <si>
    <t>召唤审判之锤攻击多个目标，概率对首目标附加神谕责难效果。</t>
    <phoneticPr fontId="14" type="noConversion"/>
  </si>
  <si>
    <t>召唤圣光攻击单个目标，一定几率附带大量百分比神圣伤害</t>
    <phoneticPr fontId="14" type="noConversion"/>
  </si>
  <si>
    <t>概率嘲讽多个目标，对boss怪必中，受嘲讽的单位强制对施法者使用物理普攻且伤害降低，持续3回合。仅PVE战斗可使用。</t>
    <phoneticPr fontId="14" type="noConversion"/>
  </si>
  <si>
    <t>百分比神圣伤害惩戒目标并使其处于流血状态，同时转化伤害治疗全体队友</t>
    <phoneticPr fontId="14" type="noConversion"/>
  </si>
  <si>
    <t>制造一张附魔卷轴，该卷轴可给鞋子增加速度</t>
    <phoneticPr fontId="14" type="noConversion"/>
  </si>
  <si>
    <t>召唤守护圣盾庇护队友，使其免疫大部分的伤害，当己方队友少于对方时，多增加1个目标，且免疫系数增加50%</t>
    <phoneticPr fontId="14" type="noConversion"/>
  </si>
  <si>
    <t>猎人的基础技能，开启狩猎状态，狩猎状态下物理攻击提高，是释放穿刺射击、杀戮命令的前提，战斗开始自动释放一次。</t>
    <phoneticPr fontId="14" type="noConversion"/>
  </si>
  <si>
    <t>狩猎姿态下，忽视目标部分物理防御穿刺攻击。（非狩猎状态下，使用狩猎姿态。）</t>
    <phoneticPr fontId="14" type="noConversion"/>
  </si>
  <si>
    <t>为场上己方全体宠物增加一定的物理攻击和法术攻击，持续4回合</t>
    <phoneticPr fontId="14" type="noConversion"/>
  </si>
  <si>
    <t>献祭己方的一只宠物，给己方全体主角增加魔法值，可献祭处于死亡状态下的宠物。</t>
    <phoneticPr fontId="14" type="noConversion"/>
  </si>
  <si>
    <t>狩猎姿态下，连续打击单个目标多次，使用后结束狩猎状态并虚弱休息1回合，虚弱休息状态下双防降低。（非狩猎状态下，使用狩猎姿态。）</t>
    <phoneticPr fontId="14" type="noConversion"/>
  </si>
  <si>
    <t>制造一张附魔卷轴，该卷轴可给腰带增加愤怒上限</t>
    <phoneticPr fontId="14" type="noConversion"/>
  </si>
  <si>
    <t>效果：利用奇美拉打击并眩晕目标，固定持续2回合，不能被药剂和牧师净化但可以被特技净化。当己方队友少于对方时，打击目标数增加，伤害依次递减。使用后虚弱休息1回合，休息状态下双防降低。</t>
    <phoneticPr fontId="14" type="noConversion"/>
  </si>
  <si>
    <t>法术打击多个目标,概率对首目标附加休眠效果，该状态下无法进行任何行动。</t>
    <phoneticPr fontId="14" type="noConversion"/>
  </si>
  <si>
    <t>降低敌方多个目标物理防御</t>
    <phoneticPr fontId="14" type="noConversion"/>
  </si>
  <si>
    <t>召唤月光攻击单个目标，并降低对方少量法防，该效果可叠加，持续到战斗结束</t>
    <phoneticPr fontId="14" type="noConversion"/>
  </si>
  <si>
    <t>临时提高大量控制命中控制目标，使其被根须缠绕，该状态下无法释放普攻和普通职业技能(但可以释放职业大招和装备特技),并降低法术防御，持续3回合，命中概率与施法者的控制命中有关。该技能命中后下回合控制命中降低且无法连续使用。</t>
    <phoneticPr fontId="14" type="noConversion"/>
  </si>
  <si>
    <t>使目标进入昏睡，该状态下无法进行任何行动，一旦受击取消该状态，持续2回合，命中概率与施法者的控制命中有关。</t>
    <phoneticPr fontId="14" type="noConversion"/>
  </si>
  <si>
    <t>战斗中提高己方多人控制抗性，并使其可以攻击隐身单位。</t>
    <phoneticPr fontId="14" type="noConversion"/>
  </si>
  <si>
    <t>制造一张附魔卷轴，给鞋子增加法术防御</t>
    <phoneticPr fontId="14" type="noConversion"/>
  </si>
  <si>
    <t>让敌方单位进入灵魂禁锢状态，使其4回合内无法被复活，并减少目标双防，对方魔法越少减少双防越多。pve对怪物额外造成大量伤害。使用后虚弱休息1回合，休息状态下双防降低。</t>
    <phoneticPr fontId="14" type="noConversion"/>
  </si>
  <si>
    <t>法术打击多个目标</t>
    <phoneticPr fontId="14" type="noConversion"/>
  </si>
  <si>
    <t>法术强力打击单个目标</t>
    <phoneticPr fontId="14" type="noConversion"/>
  </si>
  <si>
    <t>一定几率把对方目标变成小动物，该状态下无法使用物理普攻和技能，一旦受击取消该状态，持续3回合。仅PVE战斗可使用。</t>
    <phoneticPr fontId="14" type="noConversion"/>
  </si>
  <si>
    <t>法术打击敌方全体，损耗目标的魔法</t>
    <phoneticPr fontId="14" type="noConversion"/>
  </si>
  <si>
    <t>解除1至2个友方的中毒状态，并回复生命</t>
    <phoneticPr fontId="14" type="noConversion"/>
  </si>
  <si>
    <t>制造一张临时符，注入武器增加物理攻击</t>
    <phoneticPr fontId="14" type="noConversion"/>
  </si>
  <si>
    <t>对敌方7个单位造成极端法术伤害，目标已损失的魔法值越多，伤害越高，最高为暴风雪伤害的200%。使用后虚弱休息1回合，休息状态下双防降低。</t>
    <phoneticPr fontId="14" type="noConversion"/>
  </si>
  <si>
    <t>牧师基础技能</t>
    <phoneticPr fontId="14" type="noConversion"/>
  </si>
  <si>
    <t>法术随机攻击多个目标，对首要目标造成额外伤害</t>
    <phoneticPr fontId="14" type="noConversion"/>
  </si>
  <si>
    <t>回复2个目标生命并附加祷言状态，对已有祷言状态的单位附加额外生命回复</t>
    <phoneticPr fontId="14" type="noConversion"/>
  </si>
  <si>
    <t>复活死亡目标，拥有不死亡魂状态的单位除外</t>
    <phoneticPr fontId="14" type="noConversion"/>
  </si>
  <si>
    <t>战斗中增加友方法术攻击和法术防御</t>
    <phoneticPr fontId="14" type="noConversion"/>
  </si>
  <si>
    <t>解除1至2个己方队友的所有异常状态(恐惧和眩晕除外）</t>
    <phoneticPr fontId="14" type="noConversion"/>
  </si>
  <si>
    <t>制造一张附魔卷轴，给项链增加法术攻击</t>
    <phoneticPr fontId="14" type="noConversion"/>
  </si>
  <si>
    <t>使全体队友在2回合内死亡时可触发1次涅槃效果，免疫1次死亡，濒死瞬间回复生命值为生命上限的25%。使用后虚弱休息1回合，休息状态下双防降低。</t>
    <phoneticPr fontId="14" type="noConversion"/>
  </si>
  <si>
    <t>萨满基础技能</t>
    <phoneticPr fontId="14" type="noConversion"/>
  </si>
  <si>
    <t>法术攻击多个目标，闪电链跳跃3次，伤害结果会产生法术波动</t>
    <phoneticPr fontId="14" type="noConversion"/>
  </si>
  <si>
    <t>召唤图腾，给图腾范围内单位增加大量持续生命回复，持续4回合。</t>
    <phoneticPr fontId="14" type="noConversion"/>
  </si>
  <si>
    <t>法术强力打击单个目标，伤害结果会产生法术波动，该技能使用时附带一定的法术暴击</t>
    <phoneticPr fontId="14" type="noConversion"/>
  </si>
  <si>
    <t>给自己附加先祖之魂的状态，提升大量法术暴击和法术波动下限，持续4回合。</t>
    <phoneticPr fontId="14" type="noConversion"/>
  </si>
  <si>
    <t>召唤图腾，给范围内队友增加大量物攻和法攻，持续4回合</t>
    <phoneticPr fontId="14" type="noConversion"/>
  </si>
  <si>
    <t>制造一张附魔卷轴，该卷轴可给衣甲增加控制命中和控制抗性</t>
    <phoneticPr fontId="14" type="noConversion"/>
  </si>
  <si>
    <t>强力法术攻击敌方2个单位，血量越少伤害越高，最高为正常闪电箭伤害的150%。使用后虚弱休息1回合，休息状态下双防降低。</t>
    <phoneticPr fontId="14" type="noConversion"/>
  </si>
  <si>
    <t>盗贼基础技能，战斗开始自动获得一颗连击点。</t>
    <phoneticPr fontId="14" type="noConversion"/>
  </si>
  <si>
    <t>物理攻击多个目标，伤害逐个递减，首目标有几率中毒，上毒成功增加一点连击点</t>
    <phoneticPr fontId="14" type="noConversion"/>
  </si>
  <si>
    <t>物理攻击单个目标，忽视目标部分物理防御穿刺攻击，增加一点连击点</t>
    <phoneticPr fontId="14" type="noConversion"/>
  </si>
  <si>
    <t>物理攻击单个目标两次，消耗连击点追加等量连击次数，最多使用3个连击点，使用后扣除一定生命值并虚弱休息1回合，虚弱休息状态下双防降低</t>
    <phoneticPr fontId="14" type="noConversion"/>
  </si>
  <si>
    <t>进入隐身状态，持续2回合，隐身状态下每回合获得1点连击点，不能再重复释放，普攻和技能均取消隐身状态同时破隐一击附带一定的物理暴击</t>
    <phoneticPr fontId="14" type="noConversion"/>
  </si>
  <si>
    <t>物理攻击敌方单体并附带眩晕状态，固定持续2回合，不能被药剂和牧师净化但可以被特技净化，消耗1点连击点才能释放，消耗2点连击点免除休息</t>
    <phoneticPr fontId="14" type="noConversion"/>
  </si>
  <si>
    <t>制造一张附魔卷轴，该卷轴可给武器增加治疗强度</t>
    <phoneticPr fontId="14" type="noConversion"/>
  </si>
  <si>
    <t>对敌方单位随机发动7连击，除首目标外每下独立随机目标，伤害系数为正常伤害的50%，每消耗一颗连击点追加两次连击，使用后虚弱休息1回合</t>
    <phoneticPr fontId="14" type="noConversion"/>
  </si>
  <si>
    <t>术士基础技能</t>
    <phoneticPr fontId="14" type="noConversion"/>
  </si>
  <si>
    <t>法术攻击多个目标，概率对首目标附加沉默效果，沉默状态下无法释放普通职业技能，但可以释放职业大招和装备特技，且物理防御降低，持续3回合。</t>
    <phoneticPr fontId="14" type="noConversion"/>
  </si>
  <si>
    <t>概率使目标沉默，沉默状态下无法释放职业技能(但可以释放职业大招和装备特技)且物理防御降低，持续3回合，命中概率与施法者的控制命中有关。</t>
    <phoneticPr fontId="14" type="noConversion"/>
  </si>
  <si>
    <t>法术打击单体目标，同时吸取伤害给自己回复对应量的生命值。</t>
    <phoneticPr fontId="14" type="noConversion"/>
  </si>
  <si>
    <t>感召目标，使其进入恐惧状态，恐惧状态下有概率攻击友方，固定持续2回合，不能被药剂和牧师净化但可以被特技净化，命中概率与施法者的控制命中有关。</t>
    <phoneticPr fontId="14" type="noConversion"/>
  </si>
  <si>
    <t>战斗中降低敌方多人的法术防御</t>
    <phoneticPr fontId="14" type="noConversion"/>
  </si>
  <si>
    <t>概率使目标进入失忆状态，让敌人的技能自动选择施法对象，可与其他控制状态共存，持续2回合。施法后提升自己控制命中3回合。</t>
    <phoneticPr fontId="14" type="noConversion"/>
  </si>
  <si>
    <t>制造一张附魔卷轴，该卷轴可给头盔增加物理防御</t>
    <phoneticPr fontId="14" type="noConversion"/>
  </si>
  <si>
    <t xml:space="preserve">如果玛拉得公主和瑞文戴尔同时出战，每次出手都有额外概率对对方随机单位附加2回合灵魂禁锢效果 原技能id 792008   </t>
    <phoneticPr fontId="14" type="noConversion"/>
  </si>
  <si>
    <t>玛拉得公主</t>
  </si>
  <si>
    <t>如果玛拉得公主和瑞文戴尔同时出战，每次出手都有额外概率对对方随机单位附加2回合灵魂禁锢效果 原技能id 792008</t>
  </si>
  <si>
    <r>
      <t>使用黑暗诅咒干扰敌方5个目标，</t>
    </r>
    <r>
      <rPr>
        <sz val="11"/>
        <color rgb="FFFF0000"/>
        <rFont val="宋体"/>
        <family val="3"/>
        <charset val="134"/>
        <scheme val="minor"/>
      </rPr>
      <t>随机使其进入沉默或恐惧状态</t>
    </r>
    <r>
      <rPr>
        <sz val="11"/>
        <rFont val="宋体"/>
        <family val="3"/>
        <charset val="134"/>
        <scheme val="minor"/>
      </rPr>
      <t>，持续3回合，首目标必中，其他目标为基础命中率的35%，使用后虚弱休息1回合。</t>
    </r>
    <phoneticPr fontId="14" type="noConversion"/>
  </si>
</sst>
</file>

<file path=xl/styles.xml><?xml version="1.0" encoding="utf-8"?>
<styleSheet xmlns="http://schemas.openxmlformats.org/spreadsheetml/2006/main">
  <numFmts count="1">
    <numFmt numFmtId="43" formatCode="_ * #,##0.00_ ;_ * \-#,##0.00_ ;_ * &quot;-&quot;??_ ;_ @_ "/>
  </numFmts>
  <fonts count="63">
    <font>
      <sz val="11"/>
      <color indexed="8"/>
      <name val="宋体"/>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indexed="17"/>
      <name val="宋体"/>
      <family val="3"/>
      <charset val="134"/>
    </font>
    <font>
      <sz val="11"/>
      <color indexed="10"/>
      <name val="宋体"/>
      <family val="3"/>
      <charset val="134"/>
    </font>
    <font>
      <sz val="11"/>
      <color indexed="14"/>
      <name val="宋体"/>
      <family val="3"/>
      <charset val="134"/>
    </font>
    <font>
      <sz val="11"/>
      <color indexed="60"/>
      <name val="宋体"/>
      <family val="3"/>
      <charset val="134"/>
    </font>
    <font>
      <sz val="10"/>
      <color indexed="8"/>
      <name val="宋体"/>
      <family val="3"/>
      <charset val="134"/>
    </font>
    <font>
      <sz val="10"/>
      <name val="宋体"/>
      <family val="3"/>
      <charset val="134"/>
    </font>
    <font>
      <sz val="10"/>
      <color indexed="60"/>
      <name val="宋体"/>
      <family val="3"/>
      <charset val="134"/>
    </font>
    <font>
      <sz val="11"/>
      <name val="宋体"/>
      <family val="3"/>
      <charset val="134"/>
    </font>
    <font>
      <sz val="11"/>
      <color indexed="8"/>
      <name val="宋体"/>
      <family val="3"/>
      <charset val="134"/>
    </font>
    <font>
      <sz val="9"/>
      <name val="宋体"/>
      <family val="3"/>
      <charset val="134"/>
    </font>
    <font>
      <sz val="11"/>
      <color indexed="8"/>
      <name val="宋体"/>
      <family val="3"/>
      <charset val="134"/>
    </font>
    <font>
      <sz val="11"/>
      <color indexed="60"/>
      <name val="宋体"/>
      <family val="3"/>
      <charset val="134"/>
    </font>
    <font>
      <sz val="11"/>
      <color indexed="10"/>
      <name val="宋体"/>
      <family val="3"/>
      <charset val="134"/>
    </font>
    <font>
      <sz val="11"/>
      <color indexed="14"/>
      <name val="宋体"/>
      <family val="3"/>
      <charset val="134"/>
    </font>
    <font>
      <sz val="10"/>
      <color rgb="FF7030A0"/>
      <name val="Arial"/>
      <family val="2"/>
    </font>
    <font>
      <sz val="10"/>
      <name val="Arial"/>
      <family val="2"/>
    </font>
    <font>
      <sz val="11"/>
      <color rgb="FF3F3F76"/>
      <name val="宋体"/>
      <family val="2"/>
      <charset val="134"/>
      <scheme val="minor"/>
    </font>
    <font>
      <b/>
      <sz val="11"/>
      <color indexed="8"/>
      <name val="宋体"/>
      <family val="3"/>
      <charset val="134"/>
    </font>
    <font>
      <sz val="9"/>
      <name val="宋体"/>
      <family val="3"/>
      <charset val="134"/>
    </font>
    <font>
      <b/>
      <sz val="11"/>
      <color rgb="FFFF0000"/>
      <name val="宋体"/>
      <family val="3"/>
      <charset val="134"/>
    </font>
    <font>
      <sz val="11"/>
      <color rgb="FFFF0000"/>
      <name val="宋体"/>
      <family val="3"/>
      <charset val="134"/>
    </font>
    <font>
      <sz val="11"/>
      <name val="宋体"/>
      <family val="3"/>
      <charset val="134"/>
    </font>
    <font>
      <sz val="11"/>
      <color rgb="FFFF0000"/>
      <name val="Arial"/>
      <family val="2"/>
    </font>
    <font>
      <sz val="11"/>
      <color rgb="FF7030A0"/>
      <name val="宋体"/>
      <family val="3"/>
      <charset val="134"/>
    </font>
    <font>
      <b/>
      <sz val="11"/>
      <color rgb="FF7030A0"/>
      <name val="宋体"/>
      <family val="3"/>
      <charset val="134"/>
    </font>
    <font>
      <sz val="9"/>
      <name val="Arial"/>
      <family val="2"/>
    </font>
    <font>
      <sz val="10"/>
      <color rgb="FF7030A0"/>
      <name val="宋体"/>
      <family val="3"/>
      <charset val="134"/>
    </font>
    <font>
      <sz val="10"/>
      <name val="宋体"/>
      <family val="3"/>
      <charset val="134"/>
    </font>
    <font>
      <b/>
      <sz val="11"/>
      <color indexed="25"/>
      <name val="宋体"/>
      <family val="3"/>
      <charset val="134"/>
    </font>
    <font>
      <sz val="11"/>
      <color rgb="FF9C0006"/>
      <name val="宋体"/>
      <family val="2"/>
      <charset val="134"/>
      <scheme val="minor"/>
    </font>
    <font>
      <sz val="11"/>
      <color theme="1"/>
      <name val="宋体"/>
      <family val="3"/>
      <charset val="134"/>
    </font>
    <font>
      <sz val="11"/>
      <color rgb="FF7030A0"/>
      <name val="宋体"/>
      <family val="2"/>
      <charset val="134"/>
      <scheme val="minor"/>
    </font>
    <font>
      <sz val="11"/>
      <color indexed="25"/>
      <name val="宋体"/>
      <family val="3"/>
      <charset val="134"/>
    </font>
    <font>
      <sz val="9"/>
      <name val="宋体"/>
      <family val="2"/>
      <charset val="134"/>
      <scheme val="minor"/>
    </font>
    <font>
      <sz val="11"/>
      <color indexed="40"/>
      <name val="宋体"/>
      <family val="3"/>
      <charset val="134"/>
    </font>
    <font>
      <b/>
      <sz val="11"/>
      <color theme="1"/>
      <name val="宋体"/>
      <family val="3"/>
      <charset val="134"/>
      <scheme val="minor"/>
    </font>
    <font>
      <sz val="11"/>
      <name val="宋体"/>
      <family val="3"/>
      <charset val="134"/>
      <scheme val="minor"/>
    </font>
    <font>
      <sz val="11"/>
      <color rgb="FFFF0000"/>
      <name val="宋体"/>
      <family val="3"/>
      <charset val="134"/>
      <scheme val="minor"/>
    </font>
    <font>
      <sz val="10"/>
      <color theme="1"/>
      <name val="宋体"/>
      <family val="2"/>
      <charset val="134"/>
      <scheme val="minor"/>
    </font>
    <font>
      <sz val="12"/>
      <name val="宋体"/>
      <family val="3"/>
      <charset val="134"/>
    </font>
    <font>
      <sz val="9"/>
      <name val="宋体"/>
      <family val="3"/>
      <charset val="134"/>
    </font>
    <font>
      <sz val="11"/>
      <color rgb="FF00B0F0"/>
      <name val="宋体"/>
      <family val="3"/>
      <charset val="134"/>
      <scheme val="minor"/>
    </font>
    <font>
      <b/>
      <sz val="11"/>
      <color rgb="FFFF0000"/>
      <name val="宋体"/>
      <family val="3"/>
      <charset val="134"/>
      <scheme val="minor"/>
    </font>
    <font>
      <sz val="11"/>
      <name val="宋体"/>
      <family val="2"/>
      <charset val="134"/>
      <scheme val="minor"/>
    </font>
    <font>
      <sz val="11"/>
      <color rgb="FF00B050"/>
      <name val="宋体"/>
      <family val="3"/>
      <charset val="134"/>
    </font>
    <font>
      <sz val="11"/>
      <color rgb="FF00B050"/>
      <name val="宋体"/>
      <family val="2"/>
      <charset val="134"/>
      <scheme val="minor"/>
    </font>
    <font>
      <sz val="11"/>
      <color rgb="FFFF0000"/>
      <name val="宋体"/>
      <family val="2"/>
      <charset val="134"/>
      <scheme val="minor"/>
    </font>
    <font>
      <sz val="11"/>
      <color theme="0" tint="-0.499984740745262"/>
      <name val="宋体"/>
      <family val="3"/>
      <charset val="134"/>
    </font>
    <font>
      <sz val="11"/>
      <color indexed="8"/>
      <name val="宋体"/>
      <family val="3"/>
      <charset val="134"/>
    </font>
    <font>
      <sz val="9"/>
      <name val="宋体"/>
      <family val="3"/>
      <charset val="134"/>
    </font>
    <font>
      <sz val="11"/>
      <color rgb="FF00B0F0"/>
      <name val="宋体"/>
      <family val="3"/>
      <charset val="134"/>
    </font>
    <font>
      <sz val="10"/>
      <color rgb="FFFF0000"/>
      <name val="宋体"/>
      <family val="3"/>
      <charset val="134"/>
    </font>
    <font>
      <sz val="11"/>
      <color rgb="FF9C6500"/>
      <name val="宋体"/>
      <family val="2"/>
      <charset val="134"/>
      <scheme val="minor"/>
    </font>
    <font>
      <sz val="10"/>
      <name val="宋体"/>
      <family val="2"/>
      <charset val="134"/>
    </font>
    <font>
      <b/>
      <sz val="11"/>
      <name val="宋体"/>
      <family val="3"/>
      <charset val="134"/>
      <scheme val="minor"/>
    </font>
    <font>
      <sz val="10"/>
      <name val="宋体"/>
      <family val="3"/>
      <charset val="134"/>
      <scheme val="minor"/>
    </font>
    <font>
      <b/>
      <sz val="11"/>
      <name val="宋体"/>
      <family val="3"/>
      <charset val="134"/>
    </font>
    <font>
      <sz val="9"/>
      <name val="宋体"/>
      <family val="3"/>
      <charset val="134"/>
    </font>
  </fonts>
  <fills count="18">
    <fill>
      <patternFill patternType="none"/>
    </fill>
    <fill>
      <patternFill patternType="gray125"/>
    </fill>
    <fill>
      <patternFill patternType="solid">
        <fgColor indexed="42"/>
        <bgColor indexed="64"/>
      </patternFill>
    </fill>
    <fill>
      <patternFill patternType="solid">
        <fgColor indexed="51"/>
        <bgColor indexed="64"/>
      </patternFill>
    </fill>
    <fill>
      <patternFill patternType="solid">
        <fgColor indexed="43"/>
        <bgColor indexed="64"/>
      </patternFill>
    </fill>
    <fill>
      <patternFill patternType="solid">
        <fgColor indexed="17"/>
        <bgColor indexed="64"/>
      </patternFill>
    </fill>
    <fill>
      <patternFill patternType="solid">
        <fgColor indexed="29"/>
        <bgColor indexed="64"/>
      </patternFill>
    </fill>
    <fill>
      <patternFill patternType="solid">
        <fgColor rgb="FF00B0F0"/>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rgb="FFFFCC99"/>
      </patternFill>
    </fill>
    <fill>
      <patternFill patternType="solid">
        <fgColor rgb="FFFFC7CE"/>
      </patternFill>
    </fill>
    <fill>
      <patternFill patternType="solid">
        <fgColor theme="9" tint="0.39997558519241921"/>
        <bgColor indexed="64"/>
      </patternFill>
    </fill>
    <fill>
      <patternFill patternType="solid">
        <fgColor theme="0" tint="-0.499984740745262"/>
        <bgColor indexed="64"/>
      </patternFill>
    </fill>
    <fill>
      <patternFill patternType="solid">
        <fgColor rgb="FF92D050"/>
        <bgColor indexed="64"/>
      </patternFill>
    </fill>
    <fill>
      <patternFill patternType="solid">
        <fgColor rgb="FFFF0000"/>
        <bgColor indexed="64"/>
      </patternFill>
    </fill>
    <fill>
      <patternFill patternType="solid">
        <fgColor theme="9" tint="0.79998168889431442"/>
        <bgColor indexed="65"/>
      </patternFill>
    </fill>
    <fill>
      <patternFill patternType="solid">
        <fgColor rgb="FFFFFF00"/>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rgb="FF7F7F7F"/>
      </left>
      <right style="thin">
        <color rgb="FF7F7F7F"/>
      </right>
      <top style="thin">
        <color rgb="FF7F7F7F"/>
      </top>
      <bottom style="thin">
        <color rgb="FF7F7F7F"/>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B2B2B2"/>
      </left>
      <right style="thin">
        <color rgb="FFB2B2B2"/>
      </right>
      <top style="thin">
        <color rgb="FFB2B2B2"/>
      </top>
      <bottom style="thin">
        <color rgb="FFB2B2B2"/>
      </bottom>
      <diagonal/>
    </border>
    <border>
      <left/>
      <right style="thin">
        <color rgb="FF7F7F7F"/>
      </right>
      <top style="thin">
        <color rgb="FF7F7F7F"/>
      </top>
      <bottom style="thin">
        <color rgb="FF7F7F7F"/>
      </bottom>
      <diagonal/>
    </border>
    <border>
      <left/>
      <right style="thin">
        <color rgb="FFB2B2B2"/>
      </right>
      <top style="thin">
        <color rgb="FFB2B2B2"/>
      </top>
      <bottom style="thin">
        <color rgb="FFB2B2B2"/>
      </bottom>
      <diagonal/>
    </border>
    <border>
      <left/>
      <right style="thin">
        <color rgb="FF7F7F7F"/>
      </right>
      <top style="thin">
        <color rgb="FF7F7F7F"/>
      </top>
      <bottom/>
      <diagonal/>
    </border>
  </borders>
  <cellStyleXfs count="40">
    <xf numFmtId="0" fontId="0" fillId="0" borderId="0">
      <alignment vertical="center"/>
    </xf>
    <xf numFmtId="0" fontId="5" fillId="2" borderId="0" applyNumberFormat="0" applyBorder="0" applyAlignment="0" applyProtection="0">
      <alignment vertical="center"/>
    </xf>
    <xf numFmtId="0" fontId="13" fillId="0" borderId="0">
      <alignment vertical="center"/>
    </xf>
    <xf numFmtId="0" fontId="8" fillId="6" borderId="0" applyNumberFormat="0" applyBorder="0" applyAlignment="0" applyProtection="0">
      <alignment vertical="center"/>
    </xf>
    <xf numFmtId="0" fontId="5" fillId="2" borderId="0" applyNumberFormat="0" applyBorder="0" applyAlignment="0" applyProtection="0">
      <alignment vertical="center"/>
    </xf>
    <xf numFmtId="0" fontId="8" fillId="6" borderId="0" applyNumberFormat="0" applyBorder="0" applyAlignment="0" applyProtection="0">
      <alignment vertical="center"/>
    </xf>
    <xf numFmtId="0" fontId="13" fillId="0" borderId="0">
      <alignment vertical="center"/>
    </xf>
    <xf numFmtId="0" fontId="8" fillId="6" borderId="0" applyNumberFormat="0" applyBorder="0" applyAlignment="0" applyProtection="0">
      <alignment vertical="center"/>
    </xf>
    <xf numFmtId="0" fontId="13" fillId="0" borderId="0">
      <alignment vertical="center"/>
    </xf>
    <xf numFmtId="0" fontId="8" fillId="6" borderId="0" applyNumberFormat="0" applyBorder="0" applyAlignment="0" applyProtection="0">
      <alignment vertical="center"/>
    </xf>
    <xf numFmtId="0" fontId="13" fillId="0" borderId="0">
      <alignment vertical="center"/>
    </xf>
    <xf numFmtId="0" fontId="8" fillId="6" borderId="0" applyNumberFormat="0" applyBorder="0" applyAlignment="0" applyProtection="0">
      <alignment vertical="center"/>
    </xf>
    <xf numFmtId="0" fontId="13" fillId="0" borderId="0">
      <alignment vertical="center"/>
    </xf>
    <xf numFmtId="0" fontId="8" fillId="6" borderId="0" applyNumberFormat="0" applyBorder="0" applyAlignment="0" applyProtection="0">
      <alignment vertical="center"/>
    </xf>
    <xf numFmtId="0" fontId="13" fillId="0" borderId="0">
      <alignment vertical="center"/>
    </xf>
    <xf numFmtId="0" fontId="8" fillId="6" borderId="0" applyNumberFormat="0" applyBorder="0" applyAlignment="0" applyProtection="0">
      <alignment vertical="center"/>
    </xf>
    <xf numFmtId="0" fontId="8" fillId="6" borderId="0" applyNumberFormat="0" applyBorder="0" applyAlignment="0" applyProtection="0">
      <alignment vertical="center"/>
    </xf>
    <xf numFmtId="0" fontId="13" fillId="0" borderId="0">
      <alignment vertical="center"/>
    </xf>
    <xf numFmtId="0" fontId="5" fillId="2" borderId="0" applyNumberFormat="0" applyBorder="0" applyAlignment="0" applyProtection="0">
      <alignment vertical="center"/>
    </xf>
    <xf numFmtId="0" fontId="13" fillId="0" borderId="0">
      <alignment vertical="center"/>
    </xf>
    <xf numFmtId="0" fontId="5" fillId="2" borderId="0" applyNumberFormat="0" applyBorder="0" applyAlignment="0" applyProtection="0">
      <alignment vertical="center"/>
    </xf>
    <xf numFmtId="0" fontId="5" fillId="2" borderId="0" applyNumberFormat="0" applyBorder="0" applyAlignment="0" applyProtection="0">
      <alignment vertical="center"/>
    </xf>
    <xf numFmtId="0" fontId="5" fillId="2" borderId="0" applyNumberFormat="0" applyBorder="0" applyAlignment="0" applyProtection="0">
      <alignment vertical="center"/>
    </xf>
    <xf numFmtId="0" fontId="5" fillId="2" borderId="0" applyNumberFormat="0" applyBorder="0" applyAlignment="0" applyProtection="0">
      <alignment vertical="center"/>
    </xf>
    <xf numFmtId="0" fontId="5" fillId="2" borderId="0" applyNumberFormat="0" applyBorder="0" applyAlignment="0" applyProtection="0">
      <alignment vertical="center"/>
    </xf>
    <xf numFmtId="0" fontId="5" fillId="2" borderId="0" applyNumberFormat="0" applyBorder="0" applyAlignment="0" applyProtection="0">
      <alignment vertical="center"/>
    </xf>
    <xf numFmtId="0" fontId="8" fillId="4" borderId="0" applyNumberFormat="0" applyBorder="0" applyAlignment="0" applyProtection="0">
      <alignment vertical="center"/>
    </xf>
    <xf numFmtId="0" fontId="8" fillId="4" borderId="0" applyNumberFormat="0" applyBorder="0" applyAlignment="0" applyProtection="0">
      <alignment vertical="center"/>
    </xf>
    <xf numFmtId="0" fontId="8" fillId="4" borderId="0" applyNumberFormat="0" applyBorder="0" applyAlignment="0" applyProtection="0">
      <alignment vertical="center"/>
    </xf>
    <xf numFmtId="0" fontId="8" fillId="4" borderId="0" applyNumberFormat="0" applyBorder="0" applyAlignment="0" applyProtection="0">
      <alignment vertical="center"/>
    </xf>
    <xf numFmtId="0" fontId="8" fillId="4" borderId="0" applyNumberFormat="0" applyBorder="0" applyAlignment="0" applyProtection="0">
      <alignment vertical="center"/>
    </xf>
    <xf numFmtId="0" fontId="8" fillId="4" borderId="0" applyNumberFormat="0" applyBorder="0" applyAlignment="0" applyProtection="0">
      <alignment vertical="center"/>
    </xf>
    <xf numFmtId="0" fontId="8" fillId="4" borderId="0" applyNumberFormat="0" applyBorder="0" applyAlignment="0" applyProtection="0">
      <alignment vertical="center"/>
    </xf>
    <xf numFmtId="0" fontId="8" fillId="4" borderId="0" applyNumberFormat="0" applyBorder="0" applyAlignment="0" applyProtection="0">
      <alignment vertical="center"/>
    </xf>
    <xf numFmtId="0" fontId="8" fillId="4" borderId="0" applyNumberFormat="0" applyBorder="0" applyAlignment="0" applyProtection="0">
      <alignment vertical="center"/>
    </xf>
    <xf numFmtId="0" fontId="21" fillId="10" borderId="9" applyNumberFormat="0" applyAlignment="0" applyProtection="0">
      <alignment vertical="center"/>
    </xf>
    <xf numFmtId="0" fontId="34" fillId="11" borderId="0" applyNumberFormat="0" applyBorder="0" applyAlignment="0" applyProtection="0">
      <alignment vertical="center"/>
    </xf>
    <xf numFmtId="0" fontId="4" fillId="0" borderId="0">
      <alignment vertical="center"/>
    </xf>
    <xf numFmtId="43" fontId="53" fillId="0" borderId="0" applyFont="0" applyFill="0" applyBorder="0" applyAlignment="0" applyProtection="0">
      <alignment vertical="center"/>
    </xf>
    <xf numFmtId="0" fontId="3" fillId="16" borderId="0" applyNumberFormat="0" applyBorder="0" applyAlignment="0" applyProtection="0">
      <alignment vertical="center"/>
    </xf>
  </cellStyleXfs>
  <cellXfs count="386">
    <xf numFmtId="0" fontId="0" fillId="0" borderId="0" xfId="0">
      <alignment vertical="center"/>
    </xf>
    <xf numFmtId="0" fontId="0" fillId="0" borderId="0" xfId="0" applyBorder="1">
      <alignment vertical="center"/>
    </xf>
    <xf numFmtId="0" fontId="0" fillId="0" borderId="0" xfId="0" applyAlignment="1">
      <alignment vertical="center" wrapText="1"/>
    </xf>
    <xf numFmtId="0" fontId="5" fillId="2" borderId="0" xfId="20">
      <alignment vertical="center"/>
    </xf>
    <xf numFmtId="0" fontId="13" fillId="0" borderId="0" xfId="19">
      <alignment vertical="center"/>
    </xf>
    <xf numFmtId="0" fontId="13" fillId="0" borderId="0" xfId="6">
      <alignment vertical="center"/>
    </xf>
    <xf numFmtId="0" fontId="13" fillId="0" borderId="0" xfId="2">
      <alignment vertical="center"/>
    </xf>
    <xf numFmtId="0" fontId="0" fillId="0" borderId="3" xfId="0" applyBorder="1" applyAlignment="1">
      <alignment vertical="center" wrapText="1"/>
    </xf>
    <xf numFmtId="0" fontId="13" fillId="0" borderId="1" xfId="8" applyBorder="1">
      <alignment vertical="center"/>
    </xf>
    <xf numFmtId="0" fontId="0" fillId="0" borderId="1" xfId="0" applyBorder="1">
      <alignment vertical="center"/>
    </xf>
    <xf numFmtId="0" fontId="0" fillId="0" borderId="1" xfId="0" applyBorder="1" applyAlignment="1">
      <alignment vertical="center" wrapText="1"/>
    </xf>
    <xf numFmtId="0" fontId="6" fillId="3" borderId="1" xfId="8" applyFont="1" applyFill="1" applyBorder="1">
      <alignment vertical="center"/>
    </xf>
    <xf numFmtId="0" fontId="0" fillId="3" borderId="1" xfId="0" applyFill="1" applyBorder="1">
      <alignment vertical="center"/>
    </xf>
    <xf numFmtId="0" fontId="5" fillId="2" borderId="0" xfId="20" applyBorder="1" applyAlignment="1">
      <alignment horizontal="center" vertical="center"/>
    </xf>
    <xf numFmtId="0" fontId="6" fillId="3" borderId="1" xfId="0" applyFont="1" applyFill="1" applyBorder="1">
      <alignment vertical="center"/>
    </xf>
    <xf numFmtId="0" fontId="13" fillId="0" borderId="1" xfId="10" applyBorder="1">
      <alignment vertical="center"/>
    </xf>
    <xf numFmtId="0" fontId="13" fillId="0" borderId="0" xfId="17">
      <alignment vertical="center"/>
    </xf>
    <xf numFmtId="0" fontId="13" fillId="0" borderId="1" xfId="12" applyBorder="1">
      <alignment vertical="center"/>
    </xf>
    <xf numFmtId="0" fontId="6" fillId="3" borderId="1" xfId="12" applyFont="1" applyFill="1" applyBorder="1">
      <alignment vertical="center"/>
    </xf>
    <xf numFmtId="0" fontId="13" fillId="0" borderId="0" xfId="12" applyBorder="1">
      <alignment vertical="center"/>
    </xf>
    <xf numFmtId="0" fontId="0" fillId="3" borderId="1" xfId="0" applyFont="1" applyFill="1" applyBorder="1">
      <alignment vertical="center"/>
    </xf>
    <xf numFmtId="0" fontId="0" fillId="0" borderId="1" xfId="0" applyFont="1" applyBorder="1">
      <alignment vertical="center"/>
    </xf>
    <xf numFmtId="0" fontId="6" fillId="3" borderId="1" xfId="0" applyFont="1" applyFill="1" applyBorder="1" applyAlignment="1">
      <alignment vertical="center" wrapText="1"/>
    </xf>
    <xf numFmtId="0" fontId="6" fillId="0" borderId="0" xfId="0" applyFont="1">
      <alignment vertical="center"/>
    </xf>
    <xf numFmtId="0" fontId="9" fillId="5" borderId="0" xfId="0" applyFont="1" applyFill="1">
      <alignment vertical="center"/>
    </xf>
    <xf numFmtId="0" fontId="10" fillId="5" borderId="0" xfId="0" applyFont="1" applyFill="1">
      <alignment vertical="center"/>
    </xf>
    <xf numFmtId="0" fontId="9" fillId="5" borderId="1" xfId="0" applyNumberFormat="1" applyFont="1" applyFill="1" applyBorder="1">
      <alignment vertical="center"/>
    </xf>
    <xf numFmtId="0" fontId="11" fillId="5" borderId="1" xfId="0" applyNumberFormat="1" applyFont="1" applyFill="1" applyBorder="1">
      <alignment vertical="center"/>
    </xf>
    <xf numFmtId="0" fontId="9" fillId="5" borderId="0" xfId="0" applyFont="1" applyFill="1" applyAlignment="1">
      <alignment horizontal="right" vertical="center"/>
    </xf>
    <xf numFmtId="0" fontId="10" fillId="5" borderId="1" xfId="0" applyNumberFormat="1" applyFont="1" applyFill="1" applyBorder="1" applyAlignment="1">
      <alignment horizontal="left" vertical="center"/>
    </xf>
    <xf numFmtId="0" fontId="10" fillId="5" borderId="1" xfId="0" applyFont="1" applyFill="1" applyBorder="1" applyAlignment="1">
      <alignment horizontal="left" vertical="center"/>
    </xf>
    <xf numFmtId="0" fontId="9" fillId="0" borderId="0" xfId="0" applyFont="1">
      <alignment vertical="center"/>
    </xf>
    <xf numFmtId="0" fontId="0" fillId="0" borderId="0" xfId="0">
      <alignment vertical="center"/>
    </xf>
    <xf numFmtId="0" fontId="0" fillId="0" borderId="0" xfId="0">
      <alignment vertical="center"/>
    </xf>
    <xf numFmtId="0" fontId="0" fillId="0" borderId="1" xfId="0" applyBorder="1" applyAlignment="1">
      <alignment vertical="center" wrapText="1"/>
    </xf>
    <xf numFmtId="0" fontId="0" fillId="0" borderId="0" xfId="0">
      <alignment vertical="center"/>
    </xf>
    <xf numFmtId="0" fontId="15" fillId="0" borderId="0" xfId="0" applyFont="1" applyAlignment="1">
      <alignment vertical="center" wrapText="1"/>
    </xf>
    <xf numFmtId="0" fontId="15" fillId="0" borderId="0" xfId="0" applyFont="1">
      <alignment vertical="center"/>
    </xf>
    <xf numFmtId="0" fontId="17" fillId="3" borderId="1" xfId="12" applyFont="1" applyFill="1" applyBorder="1">
      <alignment vertical="center"/>
    </xf>
    <xf numFmtId="0" fontId="15" fillId="3" borderId="1" xfId="0" applyFont="1" applyFill="1" applyBorder="1">
      <alignment vertical="center"/>
    </xf>
    <xf numFmtId="0" fontId="15" fillId="0" borderId="1" xfId="0" applyFont="1" applyBorder="1">
      <alignment vertical="center"/>
    </xf>
    <xf numFmtId="0" fontId="17" fillId="3" borderId="1" xfId="8" applyFont="1" applyFill="1" applyBorder="1">
      <alignment vertical="center"/>
    </xf>
    <xf numFmtId="0" fontId="0" fillId="0" borderId="0" xfId="0">
      <alignment vertical="center"/>
    </xf>
    <xf numFmtId="0" fontId="0" fillId="0" borderId="0" xfId="0">
      <alignment vertical="center"/>
    </xf>
    <xf numFmtId="0" fontId="19" fillId="7" borderId="0" xfId="0" applyFont="1" applyFill="1" applyAlignment="1"/>
    <xf numFmtId="0" fontId="20" fillId="8" borderId="0" xfId="0" applyFont="1" applyFill="1" applyAlignment="1"/>
    <xf numFmtId="0" fontId="19" fillId="9" borderId="0" xfId="0" applyFont="1" applyFill="1" applyAlignment="1"/>
    <xf numFmtId="0" fontId="20" fillId="9" borderId="0" xfId="0" applyFont="1" applyFill="1" applyAlignment="1"/>
    <xf numFmtId="0" fontId="22" fillId="0" borderId="0" xfId="0" applyFont="1">
      <alignment vertical="center"/>
    </xf>
    <xf numFmtId="0" fontId="24" fillId="0" borderId="0" xfId="0" applyFont="1" applyBorder="1">
      <alignment vertical="center"/>
    </xf>
    <xf numFmtId="0" fontId="15" fillId="0" borderId="0" xfId="0" applyFont="1" applyBorder="1">
      <alignment vertical="center"/>
    </xf>
    <xf numFmtId="0" fontId="15" fillId="0" borderId="0" xfId="0" applyFont="1" applyAlignment="1">
      <alignment horizontal="right" vertical="center"/>
    </xf>
    <xf numFmtId="0" fontId="0" fillId="7" borderId="0" xfId="0" applyFill="1" applyAlignment="1"/>
    <xf numFmtId="0" fontId="25" fillId="0" borderId="1" xfId="0" applyFont="1" applyFill="1" applyBorder="1" applyAlignment="1">
      <alignment horizontal="left"/>
    </xf>
    <xf numFmtId="0" fontId="20" fillId="7" borderId="0" xfId="0" applyFont="1" applyFill="1" applyAlignment="1"/>
    <xf numFmtId="0" fontId="25" fillId="0" borderId="1" xfId="0" applyFont="1" applyBorder="1">
      <alignment vertical="center"/>
    </xf>
    <xf numFmtId="0" fontId="26" fillId="0" borderId="1" xfId="0" applyFont="1" applyBorder="1">
      <alignment vertical="center"/>
    </xf>
    <xf numFmtId="0" fontId="25" fillId="0" borderId="1" xfId="0" applyFont="1" applyFill="1" applyBorder="1">
      <alignment vertical="center"/>
    </xf>
    <xf numFmtId="0" fontId="29" fillId="0" borderId="1" xfId="0" applyFont="1" applyBorder="1" applyAlignment="1">
      <alignment horizontal="right" vertical="center"/>
    </xf>
    <xf numFmtId="0" fontId="28" fillId="0" borderId="1" xfId="0" applyFont="1" applyBorder="1">
      <alignment vertical="center"/>
    </xf>
    <xf numFmtId="0" fontId="25" fillId="9" borderId="0" xfId="0" applyFont="1" applyFill="1" applyAlignment="1"/>
    <xf numFmtId="0" fontId="22" fillId="0" borderId="0" xfId="0" applyFont="1" applyAlignment="1">
      <alignment horizontal="right" vertical="center"/>
    </xf>
    <xf numFmtId="0" fontId="31" fillId="7" borderId="0" xfId="0" applyFont="1" applyFill="1" applyAlignment="1"/>
    <xf numFmtId="0" fontId="26" fillId="0" borderId="0" xfId="0" applyFont="1" applyBorder="1">
      <alignment vertical="center"/>
    </xf>
    <xf numFmtId="0" fontId="32" fillId="7" borderId="0" xfId="0" applyFont="1" applyFill="1" applyAlignment="1"/>
    <xf numFmtId="0" fontId="0" fillId="7" borderId="0" xfId="0" applyNumberFormat="1" applyFill="1" applyAlignment="1">
      <alignment horizontal="left"/>
    </xf>
    <xf numFmtId="0" fontId="15" fillId="7" borderId="0" xfId="0" applyFont="1" applyFill="1" applyAlignment="1">
      <alignment horizontal="left" vertical="center"/>
    </xf>
    <xf numFmtId="0" fontId="32" fillId="8" borderId="0" xfId="0" applyFont="1" applyFill="1" applyAlignment="1"/>
    <xf numFmtId="0" fontId="25" fillId="0" borderId="0" xfId="0" applyFont="1" applyBorder="1">
      <alignment vertical="center"/>
    </xf>
    <xf numFmtId="0" fontId="21" fillId="10" borderId="9" xfId="35">
      <alignment vertical="center"/>
    </xf>
    <xf numFmtId="0" fontId="28" fillId="0" borderId="0" xfId="0" applyFont="1">
      <alignment vertical="center"/>
    </xf>
    <xf numFmtId="0" fontId="29" fillId="0" borderId="0" xfId="0" applyFont="1">
      <alignment vertical="center"/>
    </xf>
    <xf numFmtId="0" fontId="33" fillId="0" borderId="0" xfId="0" applyFont="1">
      <alignment vertical="center"/>
    </xf>
    <xf numFmtId="0" fontId="13" fillId="0" borderId="0" xfId="0" applyFont="1" applyAlignment="1">
      <alignment horizontal="right" vertical="center"/>
    </xf>
    <xf numFmtId="0" fontId="13" fillId="0" borderId="1" xfId="0" applyFont="1" applyBorder="1">
      <alignment vertical="center"/>
    </xf>
    <xf numFmtId="0" fontId="12" fillId="0" borderId="1" xfId="0" applyFont="1" applyBorder="1">
      <alignment vertical="center"/>
    </xf>
    <xf numFmtId="0" fontId="13" fillId="0" borderId="0" xfId="0" applyFont="1">
      <alignment vertical="center"/>
    </xf>
    <xf numFmtId="0" fontId="12" fillId="0" borderId="1" xfId="0" applyFont="1" applyFill="1" applyBorder="1" applyAlignment="1"/>
    <xf numFmtId="0" fontId="0" fillId="0" borderId="0" xfId="0">
      <alignment vertical="center"/>
    </xf>
    <xf numFmtId="0" fontId="0" fillId="0" borderId="11" xfId="0" applyBorder="1">
      <alignment vertical="center"/>
    </xf>
    <xf numFmtId="0" fontId="0" fillId="0" borderId="12" xfId="0" applyBorder="1">
      <alignment vertical="center"/>
    </xf>
    <xf numFmtId="0" fontId="12" fillId="0" borderId="0" xfId="0" applyFont="1" applyFill="1" applyBorder="1">
      <alignment vertical="center"/>
    </xf>
    <xf numFmtId="0" fontId="35" fillId="0" borderId="0" xfId="17" applyFont="1" applyFill="1">
      <alignment vertical="center"/>
    </xf>
    <xf numFmtId="0" fontId="36" fillId="0" borderId="0" xfId="17" applyFont="1">
      <alignment vertical="center"/>
    </xf>
    <xf numFmtId="0" fontId="13" fillId="0" borderId="1" xfId="12" applyFont="1" applyBorder="1">
      <alignment vertical="center"/>
    </xf>
    <xf numFmtId="0" fontId="13" fillId="0" borderId="1" xfId="8" applyFont="1" applyBorder="1">
      <alignment vertical="center"/>
    </xf>
    <xf numFmtId="0" fontId="13" fillId="0" borderId="1" xfId="0" applyFont="1" applyBorder="1" applyAlignment="1">
      <alignment vertical="center" wrapText="1"/>
    </xf>
    <xf numFmtId="0" fontId="12" fillId="0" borderId="0" xfId="37" applyFont="1" applyAlignment="1">
      <alignment wrapText="1"/>
    </xf>
    <xf numFmtId="0" fontId="44" fillId="0" borderId="1" xfId="37" applyFont="1" applyBorder="1" applyAlignment="1">
      <alignment horizontal="left" vertical="center" wrapText="1"/>
    </xf>
    <xf numFmtId="0" fontId="25" fillId="0" borderId="0" xfId="0" applyFont="1">
      <alignment vertical="center"/>
    </xf>
    <xf numFmtId="0" fontId="12" fillId="13" borderId="0" xfId="37" applyFont="1" applyFill="1" applyAlignment="1">
      <alignment wrapText="1"/>
    </xf>
    <xf numFmtId="0" fontId="12" fillId="0" borderId="0" xfId="0" applyFont="1">
      <alignment vertical="center"/>
    </xf>
    <xf numFmtId="0" fontId="25" fillId="0" borderId="0" xfId="0" applyFont="1" applyFill="1" applyBorder="1">
      <alignment vertical="center"/>
    </xf>
    <xf numFmtId="0" fontId="0" fillId="0" borderId="0" xfId="0" applyBorder="1" applyAlignment="1">
      <alignment vertical="center" wrapText="1"/>
    </xf>
    <xf numFmtId="0" fontId="13" fillId="0" borderId="0" xfId="0" applyFont="1" applyBorder="1" applyAlignment="1">
      <alignment vertical="center" wrapText="1"/>
    </xf>
    <xf numFmtId="0" fontId="13" fillId="0" borderId="0" xfId="0" applyFont="1" applyBorder="1">
      <alignment vertical="center"/>
    </xf>
    <xf numFmtId="0" fontId="13" fillId="0" borderId="0" xfId="0" applyFont="1" applyFill="1" applyBorder="1">
      <alignment vertical="center"/>
    </xf>
    <xf numFmtId="0" fontId="0" fillId="0" borderId="0" xfId="0">
      <alignment vertical="center"/>
    </xf>
    <xf numFmtId="0" fontId="12" fillId="0" borderId="0" xfId="0" applyFont="1" applyBorder="1">
      <alignment vertical="center"/>
    </xf>
    <xf numFmtId="0" fontId="0" fillId="0" borderId="0" xfId="0">
      <alignment vertical="center"/>
    </xf>
    <xf numFmtId="0" fontId="43" fillId="0" borderId="0" xfId="0" applyFont="1">
      <alignment vertical="center"/>
    </xf>
    <xf numFmtId="0" fontId="49" fillId="0" borderId="0" xfId="0" applyFont="1">
      <alignment vertical="center"/>
    </xf>
    <xf numFmtId="0" fontId="50" fillId="0" borderId="0" xfId="0" applyFont="1">
      <alignment vertical="center"/>
    </xf>
    <xf numFmtId="0" fontId="47" fillId="0" borderId="0" xfId="0" applyFont="1">
      <alignment vertical="center"/>
    </xf>
    <xf numFmtId="0" fontId="41" fillId="0" borderId="1" xfId="37" applyFont="1" applyBorder="1" applyAlignment="1">
      <alignment vertical="center" wrapText="1"/>
    </xf>
    <xf numFmtId="0" fontId="0" fillId="0" borderId="0" xfId="0">
      <alignment vertical="center"/>
    </xf>
    <xf numFmtId="0" fontId="42" fillId="12" borderId="9" xfId="35" applyFont="1" applyFill="1">
      <alignment vertical="center"/>
    </xf>
    <xf numFmtId="0" fontId="34" fillId="11" borderId="0" xfId="36" applyNumberFormat="1" applyAlignment="1"/>
    <xf numFmtId="0" fontId="51" fillId="12" borderId="9" xfId="35" applyFont="1" applyFill="1">
      <alignment vertical="center"/>
    </xf>
    <xf numFmtId="0" fontId="0" fillId="0" borderId="0" xfId="0">
      <alignment vertical="center"/>
    </xf>
    <xf numFmtId="0" fontId="52" fillId="0" borderId="0" xfId="0" applyFont="1">
      <alignment vertical="center"/>
    </xf>
    <xf numFmtId="0" fontId="0" fillId="0" borderId="0" xfId="0">
      <alignment vertical="center"/>
    </xf>
    <xf numFmtId="0" fontId="0" fillId="0" borderId="0" xfId="0">
      <alignment vertical="center"/>
    </xf>
    <xf numFmtId="0" fontId="0" fillId="0" borderId="0" xfId="0">
      <alignment vertical="center"/>
    </xf>
    <xf numFmtId="0" fontId="0" fillId="14" borderId="0" xfId="0" applyFill="1">
      <alignment vertical="center"/>
    </xf>
    <xf numFmtId="0" fontId="0" fillId="15" borderId="0" xfId="0" applyFill="1">
      <alignment vertical="center"/>
    </xf>
    <xf numFmtId="0" fontId="0" fillId="0" borderId="0" xfId="0">
      <alignment vertical="center"/>
    </xf>
    <xf numFmtId="0" fontId="21" fillId="10" borderId="9" xfId="35" applyNumberFormat="1" applyAlignment="1">
      <alignment horizontal="right" vertical="center"/>
    </xf>
    <xf numFmtId="0" fontId="42" fillId="12" borderId="9" xfId="35" applyNumberFormat="1" applyFont="1" applyFill="1" applyAlignment="1">
      <alignment horizontal="right" vertical="center"/>
    </xf>
    <xf numFmtId="0" fontId="48" fillId="0" borderId="0" xfId="0" applyFont="1" applyFill="1">
      <alignment vertical="center"/>
    </xf>
    <xf numFmtId="0" fontId="13" fillId="0" borderId="1" xfId="0" applyFont="1" applyFill="1" applyBorder="1">
      <alignment vertical="center"/>
    </xf>
    <xf numFmtId="0" fontId="51" fillId="0" borderId="9" xfId="35" applyFont="1" applyFill="1" applyAlignment="1"/>
    <xf numFmtId="0" fontId="55" fillId="0" borderId="1" xfId="0" applyFont="1" applyFill="1" applyBorder="1">
      <alignment vertical="center"/>
    </xf>
    <xf numFmtId="0" fontId="48" fillId="0" borderId="9" xfId="35" applyNumberFormat="1" applyFont="1" applyFill="1" applyAlignment="1">
      <alignment vertical="center"/>
    </xf>
    <xf numFmtId="0" fontId="48" fillId="0" borderId="9" xfId="35" applyFont="1" applyFill="1" applyAlignment="1"/>
    <xf numFmtId="0" fontId="41" fillId="0" borderId="4" xfId="20" applyFont="1" applyFill="1" applyBorder="1">
      <alignment vertical="center"/>
    </xf>
    <xf numFmtId="0" fontId="41" fillId="0" borderId="0" xfId="20" applyFont="1" applyFill="1" applyBorder="1">
      <alignment vertical="center"/>
    </xf>
    <xf numFmtId="0" fontId="41" fillId="0" borderId="1" xfId="39" applyNumberFormat="1" applyFont="1" applyFill="1" applyBorder="1" applyAlignment="1">
      <alignment vertical="center"/>
    </xf>
    <xf numFmtId="0" fontId="42" fillId="0" borderId="1" xfId="39" applyFont="1" applyFill="1" applyBorder="1">
      <alignment vertical="center"/>
    </xf>
    <xf numFmtId="0" fontId="41" fillId="0" borderId="1" xfId="35" applyFont="1" applyFill="1" applyBorder="1" applyAlignment="1"/>
    <xf numFmtId="0" fontId="42" fillId="0" borderId="1" xfId="0" applyFont="1" applyFill="1" applyBorder="1">
      <alignment vertical="center"/>
    </xf>
    <xf numFmtId="0" fontId="42" fillId="0" borderId="1" xfId="35" applyFont="1" applyFill="1" applyBorder="1" applyAlignment="1"/>
    <xf numFmtId="0" fontId="41" fillId="0" borderId="1" xfId="39" applyFont="1" applyFill="1" applyBorder="1">
      <alignment vertical="center"/>
    </xf>
    <xf numFmtId="0" fontId="42" fillId="0" borderId="9" xfId="35" applyFont="1" applyFill="1">
      <alignment vertical="center"/>
    </xf>
    <xf numFmtId="0" fontId="41" fillId="0" borderId="9" xfId="35" applyFont="1" applyFill="1">
      <alignment vertical="center"/>
    </xf>
    <xf numFmtId="0" fontId="55" fillId="0" borderId="2" xfId="0" applyFont="1" applyFill="1" applyBorder="1">
      <alignment vertical="center"/>
    </xf>
    <xf numFmtId="0" fontId="41" fillId="0" borderId="30" xfId="39" applyNumberFormat="1" applyFont="1" applyFill="1" applyBorder="1" applyAlignment="1">
      <alignment vertical="center"/>
    </xf>
    <xf numFmtId="0" fontId="42" fillId="0" borderId="28" xfId="39" applyFont="1" applyFill="1" applyBorder="1">
      <alignment vertical="center"/>
    </xf>
    <xf numFmtId="0" fontId="56" fillId="0" borderId="11" xfId="0" applyFont="1" applyFill="1" applyBorder="1">
      <alignment vertical="center"/>
    </xf>
    <xf numFmtId="0" fontId="41" fillId="0" borderId="28" xfId="39" applyFont="1" applyFill="1" applyBorder="1">
      <alignment vertical="center"/>
    </xf>
    <xf numFmtId="0" fontId="13" fillId="0" borderId="2" xfId="0" applyFont="1" applyFill="1" applyBorder="1" applyAlignment="1">
      <alignment vertical="center"/>
    </xf>
    <xf numFmtId="0" fontId="0" fillId="0" borderId="1" xfId="0" applyFill="1" applyBorder="1">
      <alignment vertical="center"/>
    </xf>
    <xf numFmtId="0" fontId="41" fillId="0" borderId="28" xfId="39" applyNumberFormat="1" applyFont="1" applyFill="1" applyBorder="1" applyAlignment="1">
      <alignment vertical="center"/>
    </xf>
    <xf numFmtId="0" fontId="41" fillId="0" borderId="1" xfId="20" applyFont="1" applyFill="1" applyBorder="1">
      <alignment vertical="center"/>
    </xf>
    <xf numFmtId="0" fontId="0" fillId="0" borderId="1" xfId="0" applyFont="1" applyFill="1" applyBorder="1">
      <alignment vertical="center"/>
    </xf>
    <xf numFmtId="0" fontId="41" fillId="0" borderId="14" xfId="20" applyFont="1" applyFill="1" applyBorder="1">
      <alignment vertical="center"/>
    </xf>
    <xf numFmtId="0" fontId="46" fillId="0" borderId="1" xfId="0" applyFont="1" applyFill="1" applyBorder="1">
      <alignment vertical="center"/>
    </xf>
    <xf numFmtId="0" fontId="42" fillId="0" borderId="9" xfId="35" applyFont="1" applyFill="1" applyAlignment="1"/>
    <xf numFmtId="0" fontId="41" fillId="0" borderId="9" xfId="35" applyFont="1" applyFill="1" applyAlignment="1"/>
    <xf numFmtId="0" fontId="0" fillId="0" borderId="10" xfId="0" applyFill="1" applyBorder="1">
      <alignment vertical="center"/>
    </xf>
    <xf numFmtId="0" fontId="0" fillId="0" borderId="12" xfId="0" applyFill="1" applyBorder="1">
      <alignment vertical="center"/>
    </xf>
    <xf numFmtId="0" fontId="10" fillId="0" borderId="0" xfId="0" applyFont="1">
      <alignment vertical="center"/>
    </xf>
    <xf numFmtId="0" fontId="56" fillId="0" borderId="0" xfId="0" applyFont="1" applyFill="1">
      <alignment vertical="center"/>
    </xf>
    <xf numFmtId="0" fontId="10" fillId="0" borderId="0" xfId="0" applyFont="1" applyFill="1">
      <alignment vertical="center"/>
    </xf>
    <xf numFmtId="0" fontId="0" fillId="0" borderId="0" xfId="0">
      <alignment vertical="center"/>
    </xf>
    <xf numFmtId="0" fontId="37" fillId="0" borderId="14" xfId="0" applyFont="1" applyFill="1" applyBorder="1" applyAlignment="1">
      <alignment vertical="center"/>
    </xf>
    <xf numFmtId="0" fontId="37" fillId="0" borderId="3" xfId="0" applyFont="1" applyFill="1" applyBorder="1" applyAlignment="1">
      <alignment vertical="center"/>
    </xf>
    <xf numFmtId="0" fontId="0" fillId="0" borderId="14" xfId="0" applyFont="1" applyBorder="1">
      <alignment vertical="center"/>
    </xf>
    <xf numFmtId="0" fontId="0" fillId="0" borderId="0" xfId="0" applyFont="1">
      <alignment vertical="center"/>
    </xf>
    <xf numFmtId="0" fontId="37" fillId="0" borderId="14" xfId="0" applyFont="1" applyBorder="1">
      <alignment vertical="center"/>
    </xf>
    <xf numFmtId="0" fontId="39" fillId="0" borderId="15" xfId="0" applyFont="1" applyBorder="1" applyAlignment="1">
      <alignment vertical="center"/>
    </xf>
    <xf numFmtId="0" fontId="39" fillId="0" borderId="14" xfId="0" applyFont="1" applyBorder="1" applyAlignment="1">
      <alignment vertical="center"/>
    </xf>
    <xf numFmtId="0" fontId="39" fillId="0" borderId="14" xfId="0" applyFont="1" applyFill="1" applyBorder="1" applyAlignment="1">
      <alignment vertical="center"/>
    </xf>
    <xf numFmtId="0" fontId="13" fillId="0" borderId="14" xfId="0" applyFont="1" applyBorder="1">
      <alignment vertical="center"/>
    </xf>
    <xf numFmtId="0" fontId="0" fillId="0" borderId="0" xfId="0" applyFill="1" applyBorder="1">
      <alignment vertical="center"/>
    </xf>
    <xf numFmtId="0" fontId="13" fillId="0" borderId="6" xfId="0" applyFont="1" applyFill="1" applyBorder="1">
      <alignment vertical="center"/>
    </xf>
    <xf numFmtId="0" fontId="41" fillId="0" borderId="29" xfId="35" applyFont="1" applyFill="1" applyBorder="1">
      <alignment vertical="center"/>
    </xf>
    <xf numFmtId="0" fontId="41" fillId="0" borderId="1" xfId="0" applyFont="1" applyFill="1" applyBorder="1">
      <alignment vertical="center"/>
    </xf>
    <xf numFmtId="0" fontId="41" fillId="0" borderId="29" xfId="35" applyFont="1" applyFill="1" applyBorder="1" applyAlignment="1"/>
    <xf numFmtId="0" fontId="0" fillId="0" borderId="0" xfId="0">
      <alignment vertical="center"/>
    </xf>
    <xf numFmtId="0" fontId="0" fillId="17" borderId="0" xfId="0" applyFill="1">
      <alignment vertical="center"/>
    </xf>
    <xf numFmtId="0" fontId="39" fillId="17" borderId="14" xfId="0" applyFont="1" applyFill="1" applyBorder="1" applyAlignment="1">
      <alignment vertical="center"/>
    </xf>
    <xf numFmtId="0" fontId="12" fillId="17" borderId="0" xfId="0" applyFont="1" applyFill="1">
      <alignment vertical="center"/>
    </xf>
    <xf numFmtId="0" fontId="0" fillId="0" borderId="0" xfId="0">
      <alignment vertical="center"/>
    </xf>
    <xf numFmtId="0" fontId="0" fillId="7" borderId="0" xfId="0" applyFill="1">
      <alignment vertical="center"/>
    </xf>
    <xf numFmtId="0" fontId="59" fillId="0" borderId="1" xfId="37" applyFont="1" applyBorder="1" applyAlignment="1">
      <alignment horizontal="center" vertical="center" wrapText="1"/>
    </xf>
    <xf numFmtId="0" fontId="41" fillId="0" borderId="0" xfId="37" applyFont="1" applyAlignment="1">
      <alignment vertical="center" wrapText="1"/>
    </xf>
    <xf numFmtId="0" fontId="41" fillId="0" borderId="0" xfId="37" applyFont="1" applyAlignment="1">
      <alignment horizontal="right" vertical="center" wrapText="1"/>
    </xf>
    <xf numFmtId="0" fontId="12" fillId="2" borderId="0" xfId="20" applyFont="1" applyAlignment="1">
      <alignment vertical="center" wrapText="1"/>
    </xf>
    <xf numFmtId="0" fontId="41" fillId="0" borderId="1" xfId="37" applyFont="1" applyBorder="1" applyAlignment="1">
      <alignment horizontal="left" vertical="center" wrapText="1"/>
    </xf>
    <xf numFmtId="0" fontId="41" fillId="0" borderId="1" xfId="37" applyFont="1" applyFill="1" applyBorder="1" applyAlignment="1">
      <alignment vertical="center" wrapText="1"/>
    </xf>
    <xf numFmtId="0" fontId="59" fillId="0" borderId="0" xfId="37" applyFont="1" applyAlignment="1">
      <alignment horizontal="right" vertical="center" wrapText="1"/>
    </xf>
    <xf numFmtId="0" fontId="41" fillId="0" borderId="0" xfId="37" applyFont="1" applyAlignment="1">
      <alignment horizontal="left" vertical="center" wrapText="1"/>
    </xf>
    <xf numFmtId="0" fontId="59" fillId="0" borderId="1" xfId="37" applyFont="1" applyBorder="1" applyAlignment="1">
      <alignment horizontal="left" vertical="center" wrapText="1"/>
    </xf>
    <xf numFmtId="0" fontId="60" fillId="0" borderId="1" xfId="37" applyFont="1" applyBorder="1" applyAlignment="1">
      <alignment horizontal="left" vertical="center" wrapText="1"/>
    </xf>
    <xf numFmtId="0" fontId="12" fillId="0" borderId="0" xfId="37" applyFont="1" applyFill="1" applyBorder="1" applyAlignment="1">
      <alignment wrapText="1"/>
    </xf>
    <xf numFmtId="0" fontId="61" fillId="0" borderId="0" xfId="37" applyFont="1" applyFill="1" applyBorder="1" applyAlignment="1">
      <alignment wrapText="1"/>
    </xf>
    <xf numFmtId="0" fontId="59" fillId="0" borderId="0" xfId="0" applyFont="1" applyBorder="1">
      <alignment vertical="center"/>
    </xf>
    <xf numFmtId="0" fontId="59" fillId="13" borderId="0" xfId="0" applyFont="1" applyFill="1" applyBorder="1">
      <alignment vertical="center"/>
    </xf>
    <xf numFmtId="0" fontId="41" fillId="0" borderId="0" xfId="37" applyFont="1" applyAlignment="1">
      <alignment wrapText="1"/>
    </xf>
    <xf numFmtId="0" fontId="12" fillId="13" borderId="0" xfId="37" applyFont="1" applyFill="1" applyBorder="1" applyAlignment="1">
      <alignment wrapText="1"/>
    </xf>
    <xf numFmtId="0" fontId="12" fillId="0" borderId="6" xfId="0" applyFont="1" applyBorder="1">
      <alignment vertical="center"/>
    </xf>
    <xf numFmtId="0" fontId="59" fillId="0" borderId="16" xfId="0" applyFont="1" applyBorder="1">
      <alignment vertical="center"/>
    </xf>
    <xf numFmtId="0" fontId="12" fillId="0" borderId="10" xfId="0" applyFont="1" applyBorder="1">
      <alignment vertical="center"/>
    </xf>
    <xf numFmtId="0" fontId="12" fillId="0" borderId="11" xfId="0" applyFont="1" applyBorder="1">
      <alignment vertical="center"/>
    </xf>
    <xf numFmtId="0" fontId="12" fillId="0" borderId="12" xfId="0" applyFont="1" applyBorder="1">
      <alignment vertical="center"/>
    </xf>
    <xf numFmtId="0" fontId="60" fillId="0" borderId="0" xfId="0" applyFont="1">
      <alignment vertical="center"/>
    </xf>
    <xf numFmtId="0" fontId="12" fillId="0" borderId="8" xfId="0" applyFont="1" applyBorder="1">
      <alignment vertical="center"/>
    </xf>
    <xf numFmtId="0" fontId="59" fillId="13" borderId="7" xfId="0" applyFont="1" applyFill="1" applyBorder="1">
      <alignment vertical="center"/>
    </xf>
    <xf numFmtId="0" fontId="12" fillId="0" borderId="13" xfId="0" applyFont="1" applyBorder="1">
      <alignment vertical="center"/>
    </xf>
    <xf numFmtId="0" fontId="12" fillId="0" borderId="17" xfId="0" applyFont="1" applyBorder="1" applyAlignment="1"/>
    <xf numFmtId="0" fontId="12" fillId="0" borderId="18" xfId="0" applyFont="1" applyBorder="1" applyAlignment="1"/>
    <xf numFmtId="0" fontId="12" fillId="0" borderId="19" xfId="0" applyFont="1" applyBorder="1" applyAlignment="1"/>
    <xf numFmtId="0" fontId="12" fillId="0" borderId="20" xfId="0" applyFont="1" applyBorder="1" applyAlignment="1"/>
    <xf numFmtId="0" fontId="12" fillId="0" borderId="21" xfId="0" applyFont="1" applyBorder="1" applyAlignment="1"/>
    <xf numFmtId="0" fontId="12" fillId="0" borderId="22" xfId="0" applyFont="1" applyBorder="1" applyAlignment="1"/>
    <xf numFmtId="0" fontId="12" fillId="0" borderId="23" xfId="0" applyFont="1" applyBorder="1" applyAlignment="1"/>
    <xf numFmtId="0" fontId="12" fillId="0" borderId="0" xfId="0" applyFont="1" applyBorder="1" applyAlignment="1"/>
    <xf numFmtId="0" fontId="12" fillId="0" borderId="24" xfId="0" applyFont="1" applyBorder="1" applyAlignment="1"/>
    <xf numFmtId="0" fontId="12" fillId="0" borderId="25" xfId="0" applyFont="1" applyBorder="1" applyAlignment="1"/>
    <xf numFmtId="0" fontId="12" fillId="0" borderId="26" xfId="0" applyFont="1" applyFill="1" applyBorder="1" applyAlignment="1"/>
    <xf numFmtId="0" fontId="12" fillId="0" borderId="27" xfId="0" applyFont="1" applyBorder="1" applyAlignment="1"/>
    <xf numFmtId="0" fontId="12" fillId="0" borderId="21" xfId="0" applyFont="1" applyFill="1" applyBorder="1" applyAlignment="1"/>
    <xf numFmtId="0" fontId="12" fillId="0" borderId="0" xfId="0" applyFont="1" applyFill="1" applyBorder="1" applyAlignment="1"/>
    <xf numFmtId="0" fontId="12" fillId="0" borderId="24" xfId="0" applyFont="1" applyBorder="1" applyAlignment="1">
      <alignment wrapText="1"/>
    </xf>
    <xf numFmtId="0" fontId="12" fillId="0" borderId="26" xfId="0" applyFont="1" applyBorder="1" applyAlignment="1"/>
    <xf numFmtId="0" fontId="41" fillId="13" borderId="0" xfId="37" applyFont="1" applyFill="1" applyAlignment="1">
      <alignment horizontal="right" vertical="center" wrapText="1"/>
    </xf>
    <xf numFmtId="0" fontId="41" fillId="13" borderId="0" xfId="37" applyFont="1" applyFill="1" applyAlignment="1">
      <alignment vertical="center" wrapText="1"/>
    </xf>
    <xf numFmtId="0" fontId="44" fillId="13" borderId="1" xfId="37" applyFont="1" applyFill="1" applyBorder="1" applyAlignment="1">
      <alignment horizontal="left" vertical="center" wrapText="1"/>
    </xf>
    <xf numFmtId="0" fontId="41" fillId="13" borderId="1" xfId="37" applyFont="1" applyFill="1" applyBorder="1" applyAlignment="1">
      <alignment vertical="center" wrapText="1"/>
    </xf>
    <xf numFmtId="0" fontId="41" fillId="7" borderId="0" xfId="37" applyFont="1" applyFill="1" applyAlignment="1">
      <alignment horizontal="right" vertical="center" wrapText="1"/>
    </xf>
    <xf numFmtId="0" fontId="41" fillId="7" borderId="0" xfId="37" applyFont="1" applyFill="1" applyAlignment="1">
      <alignment vertical="center" wrapText="1"/>
    </xf>
    <xf numFmtId="0" fontId="44" fillId="7" borderId="1" xfId="37" applyFont="1" applyFill="1" applyBorder="1" applyAlignment="1">
      <alignment horizontal="left" vertical="center" wrapText="1"/>
    </xf>
    <xf numFmtId="0" fontId="41" fillId="7" borderId="1" xfId="37" applyFont="1" applyFill="1" applyBorder="1" applyAlignment="1">
      <alignment vertical="center" wrapText="1"/>
    </xf>
    <xf numFmtId="0" fontId="41" fillId="0" borderId="0" xfId="37" applyFont="1" applyFill="1" applyAlignment="1">
      <alignment horizontal="right" vertical="center" wrapText="1"/>
    </xf>
    <xf numFmtId="0" fontId="41" fillId="0" borderId="0" xfId="37" applyFont="1" applyFill="1" applyAlignment="1">
      <alignment vertical="center" wrapText="1"/>
    </xf>
    <xf numFmtId="0" fontId="42" fillId="0" borderId="1" xfId="37" applyFont="1" applyBorder="1" applyAlignment="1">
      <alignment vertical="center" wrapText="1"/>
    </xf>
    <xf numFmtId="0" fontId="42" fillId="7" borderId="1" xfId="37" applyFont="1" applyFill="1" applyBorder="1" applyAlignment="1">
      <alignment vertical="center" wrapText="1"/>
    </xf>
    <xf numFmtId="0" fontId="44" fillId="0" borderId="1" xfId="37" applyFont="1" applyFill="1" applyBorder="1" applyAlignment="1">
      <alignment horizontal="left" vertical="center" wrapText="1"/>
    </xf>
    <xf numFmtId="0" fontId="42" fillId="0" borderId="1" xfId="37" applyFont="1" applyFill="1" applyBorder="1" applyAlignment="1">
      <alignment vertical="center" wrapText="1"/>
    </xf>
    <xf numFmtId="0" fontId="2" fillId="7" borderId="0" xfId="37" applyFont="1" applyFill="1" applyAlignment="1">
      <alignment horizontal="right" vertical="center" wrapText="1"/>
    </xf>
    <xf numFmtId="0" fontId="2" fillId="7" borderId="0" xfId="37" applyFont="1" applyFill="1" applyAlignment="1">
      <alignment vertical="center" wrapText="1"/>
    </xf>
    <xf numFmtId="0" fontId="2" fillId="7" borderId="1" xfId="37" applyFont="1" applyFill="1" applyBorder="1" applyAlignment="1">
      <alignment horizontal="left" vertical="center" wrapText="1"/>
    </xf>
    <xf numFmtId="0" fontId="2" fillId="7" borderId="1" xfId="37" applyFont="1" applyFill="1" applyBorder="1" applyAlignment="1">
      <alignment vertical="center" wrapText="1"/>
    </xf>
    <xf numFmtId="0" fontId="42" fillId="0" borderId="0" xfId="37" applyFont="1" applyAlignment="1">
      <alignment vertical="center" wrapText="1"/>
    </xf>
    <xf numFmtId="0" fontId="0" fillId="0" borderId="0" xfId="0" applyFill="1">
      <alignment vertical="center"/>
    </xf>
    <xf numFmtId="0" fontId="41" fillId="0" borderId="0" xfId="0" applyFont="1" applyFill="1">
      <alignment vertical="center"/>
    </xf>
    <xf numFmtId="0" fontId="13" fillId="0" borderId="0" xfId="8" applyFill="1">
      <alignment vertical="center"/>
    </xf>
    <xf numFmtId="0" fontId="12" fillId="0" borderId="0" xfId="0" applyFont="1" applyFill="1">
      <alignment vertical="center"/>
    </xf>
    <xf numFmtId="0" fontId="59" fillId="0" borderId="0" xfId="0" applyFont="1" applyFill="1">
      <alignment vertical="center"/>
    </xf>
    <xf numFmtId="0" fontId="10" fillId="0" borderId="6" xfId="0" applyFont="1" applyFill="1" applyBorder="1">
      <alignment vertical="center"/>
    </xf>
    <xf numFmtId="0" fontId="10" fillId="0" borderId="16" xfId="0" applyFont="1" applyFill="1" applyBorder="1">
      <alignment vertical="center"/>
    </xf>
    <xf numFmtId="0" fontId="10" fillId="0" borderId="10" xfId="0" applyFont="1" applyFill="1" applyBorder="1">
      <alignment vertical="center"/>
    </xf>
    <xf numFmtId="0" fontId="48" fillId="0" borderId="29" xfId="20" applyFont="1" applyFill="1" applyBorder="1">
      <alignment vertical="center"/>
    </xf>
    <xf numFmtId="0" fontId="10" fillId="0" borderId="11" xfId="0" applyFont="1" applyFill="1" applyBorder="1">
      <alignment vertical="center"/>
    </xf>
    <xf numFmtId="0" fontId="10" fillId="0" borderId="0" xfId="0" applyFont="1" applyFill="1" applyBorder="1">
      <alignment vertical="center"/>
    </xf>
    <xf numFmtId="0" fontId="10" fillId="0" borderId="12" xfId="0" applyFont="1" applyFill="1" applyBorder="1">
      <alignment vertical="center"/>
    </xf>
    <xf numFmtId="0" fontId="40" fillId="0" borderId="0" xfId="0" applyFont="1" applyFill="1">
      <alignment vertical="center"/>
    </xf>
    <xf numFmtId="0" fontId="41" fillId="0" borderId="31" xfId="20" applyFont="1" applyFill="1" applyBorder="1">
      <alignment vertical="center"/>
    </xf>
    <xf numFmtId="0" fontId="41" fillId="0" borderId="1" xfId="36" applyFont="1" applyFill="1" applyBorder="1">
      <alignment vertical="center"/>
    </xf>
    <xf numFmtId="0" fontId="10" fillId="0" borderId="8" xfId="0" applyFont="1" applyFill="1" applyBorder="1">
      <alignment vertical="center"/>
    </xf>
    <xf numFmtId="0" fontId="10" fillId="0" borderId="7" xfId="0" applyFont="1" applyFill="1" applyBorder="1">
      <alignment vertical="center"/>
    </xf>
    <xf numFmtId="0" fontId="10" fillId="0" borderId="13" xfId="0" applyFont="1" applyFill="1" applyBorder="1">
      <alignment vertical="center"/>
    </xf>
    <xf numFmtId="0" fontId="5" fillId="0" borderId="0" xfId="18" applyFill="1">
      <alignment vertical="center"/>
    </xf>
    <xf numFmtId="0" fontId="12" fillId="0" borderId="1" xfId="0" applyFont="1" applyFill="1" applyBorder="1">
      <alignment vertical="center"/>
    </xf>
    <xf numFmtId="0" fontId="13" fillId="0" borderId="0" xfId="0" applyFont="1" applyFill="1">
      <alignment vertical="center"/>
    </xf>
    <xf numFmtId="0" fontId="56" fillId="0" borderId="0" xfId="0" applyFont="1" applyFill="1" applyBorder="1">
      <alignment vertical="center"/>
    </xf>
    <xf numFmtId="0" fontId="56" fillId="0" borderId="12" xfId="0" applyFont="1" applyFill="1" applyBorder="1">
      <alignment vertical="center"/>
    </xf>
    <xf numFmtId="0" fontId="41" fillId="0" borderId="1" xfId="26" applyFont="1" applyFill="1" applyBorder="1">
      <alignment vertical="center"/>
    </xf>
    <xf numFmtId="0" fontId="5" fillId="0" borderId="0" xfId="4" applyFill="1">
      <alignment vertical="center"/>
    </xf>
    <xf numFmtId="0" fontId="5" fillId="0" borderId="0" xfId="20" applyFill="1">
      <alignment vertical="center"/>
    </xf>
    <xf numFmtId="0" fontId="5" fillId="0" borderId="0" xfId="22" applyFill="1">
      <alignment vertical="center"/>
    </xf>
    <xf numFmtId="0" fontId="41" fillId="0" borderId="0" xfId="20" applyFont="1" applyFill="1">
      <alignment vertical="center"/>
    </xf>
    <xf numFmtId="0" fontId="0" fillId="0" borderId="8" xfId="0" applyFill="1" applyBorder="1">
      <alignment vertical="center"/>
    </xf>
    <xf numFmtId="0" fontId="41" fillId="0" borderId="13" xfId="0" applyFont="1" applyFill="1" applyBorder="1">
      <alignment vertical="center"/>
    </xf>
    <xf numFmtId="0" fontId="41" fillId="0" borderId="4" xfId="20" applyFont="1" applyFill="1" applyBorder="1" applyAlignment="1">
      <alignment vertical="center" wrapText="1"/>
    </xf>
    <xf numFmtId="0" fontId="51" fillId="0" borderId="11" xfId="0" applyFont="1" applyFill="1" applyBorder="1">
      <alignment vertical="center"/>
    </xf>
    <xf numFmtId="0" fontId="51" fillId="0" borderId="0" xfId="0" applyFont="1" applyFill="1" applyBorder="1">
      <alignment vertical="center"/>
    </xf>
    <xf numFmtId="0" fontId="0" fillId="0" borderId="7" xfId="0" applyFill="1" applyBorder="1">
      <alignment vertical="center"/>
    </xf>
    <xf numFmtId="0" fontId="0" fillId="0" borderId="6" xfId="0" applyFill="1" applyBorder="1">
      <alignment vertical="center"/>
    </xf>
    <xf numFmtId="0" fontId="0" fillId="0" borderId="16" xfId="0" applyFill="1" applyBorder="1">
      <alignment vertical="center"/>
    </xf>
    <xf numFmtId="0" fontId="41" fillId="0" borderId="10" xfId="20" applyFont="1" applyFill="1" applyBorder="1">
      <alignment vertical="center"/>
    </xf>
    <xf numFmtId="0" fontId="34" fillId="0" borderId="0" xfId="36" applyFill="1">
      <alignment vertical="center"/>
    </xf>
    <xf numFmtId="0" fontId="41" fillId="0" borderId="4" xfId="0" applyFont="1" applyFill="1" applyBorder="1">
      <alignment vertical="center"/>
    </xf>
    <xf numFmtId="0" fontId="0" fillId="0" borderId="2" xfId="0" applyFill="1" applyBorder="1">
      <alignment vertical="center"/>
    </xf>
    <xf numFmtId="0" fontId="41" fillId="0" borderId="13" xfId="20" applyFont="1" applyFill="1" applyBorder="1">
      <alignment vertical="center"/>
    </xf>
    <xf numFmtId="0" fontId="13" fillId="0" borderId="8" xfId="0" applyFont="1" applyFill="1" applyBorder="1">
      <alignment vertical="center"/>
    </xf>
    <xf numFmtId="0" fontId="5" fillId="0" borderId="0" xfId="21" applyFill="1">
      <alignment vertical="center"/>
    </xf>
    <xf numFmtId="0" fontId="41" fillId="0" borderId="4" xfId="36" applyFont="1" applyFill="1" applyBorder="1">
      <alignment vertical="center"/>
    </xf>
    <xf numFmtId="0" fontId="0" fillId="0" borderId="11" xfId="0" applyFill="1" applyBorder="1">
      <alignment vertical="center"/>
    </xf>
    <xf numFmtId="0" fontId="41" fillId="0" borderId="12" xfId="0" applyFont="1" applyFill="1" applyBorder="1">
      <alignment vertical="center"/>
    </xf>
    <xf numFmtId="0" fontId="41" fillId="0" borderId="10" xfId="36" applyFont="1" applyFill="1" applyBorder="1">
      <alignment vertical="center"/>
    </xf>
    <xf numFmtId="0" fontId="12" fillId="0" borderId="15" xfId="0" applyFont="1" applyFill="1" applyBorder="1">
      <alignment vertical="center"/>
    </xf>
    <xf numFmtId="0" fontId="48" fillId="0" borderId="4" xfId="0" applyFont="1" applyFill="1" applyBorder="1">
      <alignment vertical="center"/>
    </xf>
    <xf numFmtId="0" fontId="57" fillId="0" borderId="1" xfId="26" applyFont="1" applyFill="1" applyBorder="1">
      <alignment vertical="center"/>
    </xf>
    <xf numFmtId="0" fontId="0" fillId="0" borderId="4" xfId="0" applyFill="1" applyBorder="1">
      <alignment vertical="center"/>
    </xf>
    <xf numFmtId="0" fontId="41" fillId="0" borderId="7" xfId="0" applyFont="1" applyFill="1" applyBorder="1">
      <alignment vertical="center"/>
    </xf>
    <xf numFmtId="0" fontId="0" fillId="0" borderId="13" xfId="0" applyFill="1" applyBorder="1">
      <alignment vertical="center"/>
    </xf>
    <xf numFmtId="0" fontId="58" fillId="0" borderId="0" xfId="0" applyFont="1" applyFill="1">
      <alignment vertical="center"/>
    </xf>
    <xf numFmtId="0" fontId="51" fillId="0" borderId="0" xfId="0" applyFont="1" applyFill="1">
      <alignment vertical="center"/>
    </xf>
    <xf numFmtId="0" fontId="48" fillId="7" borderId="1" xfId="0" applyFont="1" applyFill="1" applyBorder="1">
      <alignment vertical="center"/>
    </xf>
    <xf numFmtId="0" fontId="41" fillId="7" borderId="4" xfId="20" applyFont="1" applyFill="1" applyBorder="1">
      <alignment vertical="center"/>
    </xf>
    <xf numFmtId="0" fontId="41" fillId="7" borderId="1" xfId="20" applyFont="1" applyFill="1" applyBorder="1">
      <alignment vertical="center"/>
    </xf>
    <xf numFmtId="0" fontId="41" fillId="0" borderId="15" xfId="37" applyFont="1" applyBorder="1" applyAlignment="1">
      <alignment vertical="center" wrapText="1"/>
    </xf>
    <xf numFmtId="0" fontId="41" fillId="0" borderId="3" xfId="37" applyFont="1" applyBorder="1" applyAlignment="1">
      <alignment vertical="center" wrapText="1"/>
    </xf>
    <xf numFmtId="0" fontId="41" fillId="7" borderId="9" xfId="35" applyFont="1" applyFill="1" applyAlignment="1"/>
    <xf numFmtId="0" fontId="0" fillId="0" borderId="0" xfId="0">
      <alignment vertical="center"/>
    </xf>
    <xf numFmtId="0" fontId="12" fillId="0" borderId="1" xfId="8" applyFont="1" applyBorder="1" applyAlignment="1">
      <alignment horizontal="right" vertical="center"/>
    </xf>
    <xf numFmtId="0" fontId="12" fillId="0" borderId="1" xfId="8" applyFont="1" applyBorder="1">
      <alignment vertical="center"/>
    </xf>
    <xf numFmtId="0" fontId="12" fillId="0" borderId="1" xfId="8" applyFont="1" applyBorder="1" applyAlignment="1">
      <alignment vertical="center" wrapText="1"/>
    </xf>
    <xf numFmtId="0" fontId="41" fillId="13" borderId="1" xfId="37" applyFont="1" applyFill="1" applyBorder="1" applyAlignment="1">
      <alignment horizontal="left" vertical="center" wrapText="1"/>
    </xf>
    <xf numFmtId="0" fontId="41" fillId="7" borderId="1" xfId="37" applyFont="1" applyFill="1" applyBorder="1" applyAlignment="1">
      <alignment horizontal="left" vertical="center" wrapText="1"/>
    </xf>
    <xf numFmtId="0" fontId="25" fillId="0" borderId="0" xfId="17" applyFont="1">
      <alignment vertical="center"/>
    </xf>
    <xf numFmtId="0" fontId="61" fillId="0" borderId="0" xfId="0" applyFont="1">
      <alignment vertical="center"/>
    </xf>
    <xf numFmtId="43" fontId="12" fillId="0" borderId="0" xfId="38" applyFont="1">
      <alignment vertical="center"/>
    </xf>
    <xf numFmtId="0" fontId="42" fillId="0" borderId="1" xfId="37" applyFont="1" applyFill="1" applyBorder="1" applyAlignment="1">
      <alignment horizontal="left" vertical="center" wrapText="1"/>
    </xf>
    <xf numFmtId="0" fontId="25" fillId="0" borderId="0" xfId="0" applyFont="1" applyAlignment="1">
      <alignment horizontal="left" vertical="center"/>
    </xf>
    <xf numFmtId="0" fontId="25" fillId="0" borderId="14" xfId="0" applyFont="1" applyBorder="1">
      <alignment vertical="center"/>
    </xf>
    <xf numFmtId="0" fontId="56" fillId="0" borderId="0" xfId="0" applyFont="1">
      <alignment vertical="center"/>
    </xf>
    <xf numFmtId="0" fontId="42" fillId="0" borderId="0" xfId="17" applyFont="1">
      <alignment vertical="center"/>
    </xf>
    <xf numFmtId="0" fontId="25" fillId="0" borderId="0" xfId="17" applyFont="1" applyFill="1">
      <alignment vertical="center"/>
    </xf>
    <xf numFmtId="0" fontId="12" fillId="0" borderId="10" xfId="0" applyFont="1" applyBorder="1" applyAlignment="1">
      <alignment vertical="center"/>
    </xf>
    <xf numFmtId="0" fontId="12" fillId="0" borderId="12" xfId="0" applyFont="1" applyBorder="1" applyAlignment="1">
      <alignment vertical="center"/>
    </xf>
    <xf numFmtId="0" fontId="25" fillId="0" borderId="12" xfId="0" applyFont="1" applyBorder="1" applyAlignment="1">
      <alignment vertical="center"/>
    </xf>
    <xf numFmtId="0" fontId="12" fillId="0" borderId="12" xfId="0" applyFont="1" applyFill="1" applyBorder="1" applyAlignment="1">
      <alignment vertical="center"/>
    </xf>
    <xf numFmtId="0" fontId="12" fillId="17" borderId="12" xfId="0" applyFont="1" applyFill="1" applyBorder="1" applyAlignment="1">
      <alignment vertical="center"/>
    </xf>
    <xf numFmtId="0" fontId="12" fillId="0" borderId="13" xfId="0" applyFont="1" applyFill="1" applyBorder="1" applyAlignment="1">
      <alignment vertical="center"/>
    </xf>
    <xf numFmtId="0" fontId="0" fillId="0" borderId="0" xfId="0">
      <alignment vertical="center"/>
    </xf>
    <xf numFmtId="0" fontId="10" fillId="13" borderId="0" xfId="0" applyFont="1" applyFill="1">
      <alignment vertical="center"/>
    </xf>
    <xf numFmtId="0" fontId="13" fillId="13" borderId="0" xfId="0" applyFont="1" applyFill="1">
      <alignment vertical="center"/>
    </xf>
    <xf numFmtId="0" fontId="0" fillId="13" borderId="0" xfId="0" applyFont="1" applyFill="1">
      <alignment vertical="center"/>
    </xf>
    <xf numFmtId="0" fontId="48" fillId="13" borderId="0" xfId="26" applyFont="1" applyFill="1">
      <alignment vertical="center"/>
    </xf>
    <xf numFmtId="0" fontId="25" fillId="13" borderId="0" xfId="0" applyFont="1" applyFill="1">
      <alignment vertical="center"/>
    </xf>
    <xf numFmtId="0" fontId="0" fillId="13" borderId="0" xfId="0" applyFill="1">
      <alignment vertical="center"/>
    </xf>
    <xf numFmtId="0" fontId="35" fillId="13" borderId="0" xfId="17" applyFont="1" applyFill="1">
      <alignment vertical="center"/>
    </xf>
    <xf numFmtId="0" fontId="9" fillId="13" borderId="0" xfId="0" applyFont="1" applyFill="1">
      <alignment vertical="center"/>
    </xf>
    <xf numFmtId="0" fontId="13" fillId="13" borderId="0" xfId="17" applyFill="1">
      <alignment vertical="center"/>
    </xf>
    <xf numFmtId="0" fontId="48" fillId="0" borderId="0" xfId="0" applyFont="1" applyFill="1" applyAlignment="1">
      <alignment horizontal="left" vertical="center"/>
    </xf>
    <xf numFmtId="0" fontId="5" fillId="2" borderId="0" xfId="20" applyFont="1" applyBorder="1" applyAlignment="1">
      <alignment horizontal="center" vertical="center"/>
    </xf>
    <xf numFmtId="0" fontId="5" fillId="2" borderId="0" xfId="20" applyBorder="1" applyAlignment="1">
      <alignment horizontal="center" vertical="center"/>
    </xf>
    <xf numFmtId="0" fontId="5" fillId="2" borderId="1" xfId="20" applyBorder="1" applyAlignment="1">
      <alignment horizontal="center" vertical="center"/>
    </xf>
    <xf numFmtId="0" fontId="6" fillId="2" borderId="0" xfId="20" applyFont="1" applyBorder="1" applyAlignment="1">
      <alignment horizontal="center" vertical="center"/>
    </xf>
    <xf numFmtId="0" fontId="5" fillId="2" borderId="0" xfId="20" applyAlignment="1">
      <alignment horizontal="center" vertical="center" wrapText="1"/>
    </xf>
    <xf numFmtId="0" fontId="5" fillId="2" borderId="2" xfId="20" applyBorder="1" applyAlignment="1">
      <alignment horizontal="center" vertical="center"/>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5" fillId="2" borderId="1" xfId="20" applyBorder="1" applyAlignment="1">
      <alignment horizontal="center" vertical="center" wrapText="1"/>
    </xf>
    <xf numFmtId="0" fontId="5" fillId="2" borderId="1" xfId="20" applyBorder="1" applyAlignment="1">
      <alignment vertical="center" wrapText="1"/>
    </xf>
    <xf numFmtId="0" fontId="0" fillId="0" borderId="1" xfId="0" applyBorder="1" applyAlignment="1">
      <alignment vertical="center" wrapText="1"/>
    </xf>
    <xf numFmtId="0" fontId="7" fillId="0" borderId="1" xfId="0" applyFont="1" applyFill="1" applyBorder="1" applyAlignment="1">
      <alignment horizontal="left" vertical="center" wrapText="1"/>
    </xf>
    <xf numFmtId="0" fontId="0" fillId="0" borderId="1" xfId="0" applyFill="1" applyBorder="1" applyAlignment="1">
      <alignment horizontal="left" vertical="center" wrapText="1"/>
    </xf>
    <xf numFmtId="0" fontId="13" fillId="0" borderId="1" xfId="0" applyFont="1" applyFill="1" applyBorder="1" applyAlignment="1">
      <alignment horizontal="left" vertical="center" wrapText="1"/>
    </xf>
    <xf numFmtId="0" fontId="0" fillId="0" borderId="1" xfId="0" applyFont="1" applyFill="1" applyBorder="1" applyAlignment="1">
      <alignment horizontal="left" vertical="center" wrapText="1"/>
    </xf>
    <xf numFmtId="0" fontId="0" fillId="0" borderId="1" xfId="0" applyBorder="1" applyAlignment="1">
      <alignment horizontal="center" vertical="center" wrapText="1"/>
    </xf>
    <xf numFmtId="0" fontId="13" fillId="0" borderId="1" xfId="0" applyFont="1" applyFill="1" applyBorder="1" applyAlignment="1">
      <alignment horizontal="left" vertical="center"/>
    </xf>
    <xf numFmtId="0" fontId="0" fillId="0" borderId="1" xfId="0" applyFill="1" applyBorder="1" applyAlignment="1">
      <alignment horizontal="left" vertical="center"/>
    </xf>
    <xf numFmtId="0" fontId="0" fillId="0" borderId="1" xfId="0" applyFont="1" applyFill="1" applyBorder="1" applyAlignment="1">
      <alignment horizontal="left" vertical="center"/>
    </xf>
    <xf numFmtId="0" fontId="8" fillId="0" borderId="1" xfId="26" applyFont="1" applyFill="1" applyBorder="1" applyAlignment="1">
      <alignment horizontal="left" vertical="center" wrapText="1"/>
    </xf>
    <xf numFmtId="0" fontId="16" fillId="0" borderId="1" xfId="26" applyFont="1" applyFill="1" applyBorder="1" applyAlignment="1">
      <alignment horizontal="left" vertical="center" wrapText="1"/>
    </xf>
    <xf numFmtId="0" fontId="8" fillId="0" borderId="1" xfId="26" applyFont="1" applyFill="1" applyBorder="1" applyAlignment="1">
      <alignment horizontal="left" vertical="center"/>
    </xf>
    <xf numFmtId="0" fontId="0" fillId="0" borderId="5" xfId="0" applyBorder="1" applyAlignment="1">
      <alignment horizontal="center" vertical="center" wrapText="1"/>
    </xf>
    <xf numFmtId="0" fontId="0" fillId="0" borderId="3" xfId="0" applyBorder="1" applyAlignment="1">
      <alignment vertical="center" wrapText="1"/>
    </xf>
    <xf numFmtId="0" fontId="5" fillId="2" borderId="1" xfId="20" applyFont="1" applyBorder="1" applyAlignment="1">
      <alignment horizontal="center" vertical="center"/>
    </xf>
    <xf numFmtId="0" fontId="0" fillId="0" borderId="1" xfId="0" applyBorder="1" applyAlignment="1">
      <alignment horizontal="center" vertical="center"/>
    </xf>
    <xf numFmtId="0" fontId="0" fillId="0" borderId="2" xfId="0" applyBorder="1" applyAlignment="1">
      <alignment vertical="center" wrapText="1"/>
    </xf>
    <xf numFmtId="0" fontId="0" fillId="0" borderId="5" xfId="0" applyBorder="1" applyAlignment="1">
      <alignment vertical="center" wrapText="1"/>
    </xf>
    <xf numFmtId="0" fontId="0" fillId="0" borderId="4" xfId="0" applyBorder="1" applyAlignment="1">
      <alignment vertical="center" wrapText="1"/>
    </xf>
    <xf numFmtId="0" fontId="7" fillId="0" borderId="1" xfId="0" applyFont="1" applyBorder="1" applyAlignment="1">
      <alignment horizontal="left" vertical="center" wrapText="1"/>
    </xf>
    <xf numFmtId="0" fontId="0" fillId="0" borderId="1" xfId="0" applyFont="1" applyBorder="1" applyAlignment="1">
      <alignment horizontal="left" vertical="center" wrapText="1"/>
    </xf>
    <xf numFmtId="0" fontId="13" fillId="0" borderId="1" xfId="0" applyFont="1" applyBorder="1" applyAlignment="1">
      <alignment horizontal="left" vertical="center" wrapText="1"/>
    </xf>
    <xf numFmtId="0" fontId="0" fillId="0" borderId="0" xfId="0">
      <alignment vertical="center"/>
    </xf>
    <xf numFmtId="0" fontId="0" fillId="0" borderId="1" xfId="0" applyBorder="1" applyAlignment="1">
      <alignment horizontal="left" vertical="center" wrapText="1"/>
    </xf>
    <xf numFmtId="0" fontId="8" fillId="4" borderId="1" xfId="26" applyBorder="1" applyAlignment="1">
      <alignment vertical="center" wrapText="1"/>
    </xf>
    <xf numFmtId="0" fontId="8" fillId="4" borderId="1" xfId="26" applyFont="1" applyBorder="1" applyAlignment="1">
      <alignment vertical="center" wrapText="1"/>
    </xf>
    <xf numFmtId="0" fontId="13" fillId="0" borderId="3" xfId="0" applyFont="1" applyBorder="1" applyAlignment="1">
      <alignment horizontal="left" vertical="center" wrapText="1"/>
    </xf>
    <xf numFmtId="0" fontId="0" fillId="0" borderId="3" xfId="0" applyFont="1" applyBorder="1" applyAlignment="1">
      <alignment horizontal="left" vertical="center" wrapText="1"/>
    </xf>
    <xf numFmtId="0" fontId="0" fillId="0" borderId="3" xfId="0" applyBorder="1" applyAlignment="1">
      <alignment horizontal="left" vertical="center" wrapText="1"/>
    </xf>
    <xf numFmtId="0" fontId="5" fillId="2" borderId="7" xfId="20" applyFont="1" applyBorder="1" applyAlignment="1">
      <alignment horizontal="center" vertical="center"/>
    </xf>
    <xf numFmtId="0" fontId="5" fillId="2" borderId="7" xfId="20" applyFont="1" applyBorder="1" applyAlignment="1">
      <alignment vertical="center"/>
    </xf>
    <xf numFmtId="0" fontId="0" fillId="0" borderId="1" xfId="0" applyBorder="1">
      <alignment vertical="center"/>
    </xf>
    <xf numFmtId="0" fontId="15" fillId="0" borderId="1" xfId="0" applyFont="1" applyBorder="1" applyAlignment="1">
      <alignment horizontal="left" vertical="center" wrapText="1"/>
    </xf>
    <xf numFmtId="0" fontId="5" fillId="2" borderId="1" xfId="20" applyFont="1" applyBorder="1" applyAlignment="1">
      <alignment vertical="center"/>
    </xf>
    <xf numFmtId="0" fontId="5" fillId="2" borderId="1" xfId="20" applyFont="1" applyBorder="1" applyAlignment="1">
      <alignment horizontal="center" vertical="center" wrapText="1"/>
    </xf>
    <xf numFmtId="0" fontId="0" fillId="0" borderId="2" xfId="0" applyBorder="1" applyAlignment="1">
      <alignment horizontal="lef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7" fillId="0" borderId="2" xfId="0" applyFont="1" applyBorder="1" applyAlignment="1">
      <alignment horizontal="left" vertical="center" wrapText="1"/>
    </xf>
    <xf numFmtId="0" fontId="0" fillId="0" borderId="2" xfId="0" applyFont="1" applyBorder="1" applyAlignment="1">
      <alignment horizontal="left" vertical="center" wrapText="1"/>
    </xf>
    <xf numFmtId="0" fontId="13" fillId="0" borderId="2" xfId="0" applyFont="1" applyBorder="1" applyAlignment="1">
      <alignment horizontal="left" vertical="center" wrapText="1"/>
    </xf>
    <xf numFmtId="0" fontId="0" fillId="0" borderId="8" xfId="0" applyBorder="1" applyAlignment="1">
      <alignment horizontal="left" vertical="center" wrapText="1"/>
    </xf>
    <xf numFmtId="0" fontId="0" fillId="0" borderId="8" xfId="0" applyFont="1" applyBorder="1" applyAlignment="1">
      <alignment horizontal="left" vertical="center" wrapText="1"/>
    </xf>
    <xf numFmtId="0" fontId="5" fillId="2" borderId="6" xfId="20" applyBorder="1" applyAlignment="1">
      <alignment horizontal="center" vertical="center"/>
    </xf>
    <xf numFmtId="0" fontId="5" fillId="2" borderId="0" xfId="20" applyBorder="1" applyAlignment="1">
      <alignment vertical="center"/>
    </xf>
    <xf numFmtId="0" fontId="5" fillId="2" borderId="7" xfId="20" applyBorder="1" applyAlignment="1">
      <alignment horizontal="center" vertical="center"/>
    </xf>
    <xf numFmtId="0" fontId="5" fillId="2" borderId="1" xfId="20" applyFont="1" applyBorder="1" applyAlignment="1">
      <alignment vertical="center" wrapText="1"/>
    </xf>
    <xf numFmtId="0" fontId="18" fillId="0" borderId="1" xfId="0" applyFont="1" applyBorder="1" applyAlignment="1">
      <alignment horizontal="left" vertical="center" wrapText="1"/>
    </xf>
  </cellXfs>
  <cellStyles count="40">
    <cellStyle name="20% - 强调文字颜色 6" xfId="39" builtinId="50"/>
    <cellStyle name="差" xfId="36" builtinId="27"/>
    <cellStyle name="差 2" xfId="5"/>
    <cellStyle name="差 3" xfId="3"/>
    <cellStyle name="差 4" xfId="7"/>
    <cellStyle name="差 5" xfId="9"/>
    <cellStyle name="差 6" xfId="11"/>
    <cellStyle name="差 7" xfId="13"/>
    <cellStyle name="差 8" xfId="15"/>
    <cellStyle name="差 9" xfId="16"/>
    <cellStyle name="常规" xfId="0" builtinId="0"/>
    <cellStyle name="常规 10" xfId="37"/>
    <cellStyle name="常规 2" xfId="17"/>
    <cellStyle name="常规 3" xfId="19"/>
    <cellStyle name="常规 4" xfId="6"/>
    <cellStyle name="常规 5" xfId="2"/>
    <cellStyle name="常规 6" xfId="8"/>
    <cellStyle name="常规 7" xfId="10"/>
    <cellStyle name="常规 8" xfId="12"/>
    <cellStyle name="常规 9" xfId="14"/>
    <cellStyle name="好" xfId="20"/>
    <cellStyle name="好 2" xfId="21"/>
    <cellStyle name="好 3" xfId="22"/>
    <cellStyle name="好 4" xfId="4"/>
    <cellStyle name="好 5" xfId="23"/>
    <cellStyle name="好 6" xfId="24"/>
    <cellStyle name="好 7" xfId="25"/>
    <cellStyle name="好 8" xfId="1"/>
    <cellStyle name="好 9" xfId="18"/>
    <cellStyle name="千位分隔" xfId="38" builtinId="3"/>
    <cellStyle name="适中" xfId="26"/>
    <cellStyle name="适中 2" xfId="28"/>
    <cellStyle name="适中 3" xfId="29"/>
    <cellStyle name="适中 4" xfId="30"/>
    <cellStyle name="适中 5" xfId="31"/>
    <cellStyle name="适中 6" xfId="32"/>
    <cellStyle name="适中 7" xfId="33"/>
    <cellStyle name="适中 8" xfId="27"/>
    <cellStyle name="适中 9" xfId="34"/>
    <cellStyle name="输入" xfId="35" builtinId="20"/>
  </cellStyles>
  <dxfs count="1">
    <dxf>
      <fill>
        <patternFill>
          <bgColor indexed="10"/>
        </patternFill>
      </fill>
    </dxf>
  </dxfs>
  <tableStyles count="0" defaultTableStyle="TableStyleMedium9" defaultPivotStyle="PivotStyleLight16"/>
  <colors>
    <mruColors>
      <color rgb="FF954ECA"/>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AL34"/>
  <sheetViews>
    <sheetView workbookViewId="0">
      <selection activeCell="I10" sqref="I10:L10"/>
    </sheetView>
  </sheetViews>
  <sheetFormatPr defaultColWidth="9" defaultRowHeight="13.5"/>
  <cols>
    <col min="2" max="3" width="21.25" customWidth="1"/>
    <col min="6" max="6" width="12.5" customWidth="1"/>
    <col min="9" max="9" width="12.625" customWidth="1"/>
    <col min="14" max="15" width="10.5" customWidth="1"/>
    <col min="16" max="16" width="40.75" customWidth="1"/>
    <col min="18" max="19" width="10.5" customWidth="1"/>
    <col min="20" max="20" width="37.125" customWidth="1"/>
  </cols>
  <sheetData>
    <row r="1" spans="1:38">
      <c r="A1" s="3" t="s">
        <v>0</v>
      </c>
      <c r="B1" t="s">
        <v>1</v>
      </c>
      <c r="F1" s="3"/>
    </row>
    <row r="3" spans="1:38">
      <c r="A3" s="332" t="s">
        <v>2</v>
      </c>
    </row>
    <row r="4" spans="1:38">
      <c r="A4" s="332"/>
      <c r="B4" t="s">
        <v>3</v>
      </c>
    </row>
    <row r="6" spans="1:38" s="1" customFormat="1" ht="43.5" customHeight="1">
      <c r="A6" s="330" t="s">
        <v>4</v>
      </c>
      <c r="B6" s="333" t="s">
        <v>5</v>
      </c>
      <c r="C6" s="13"/>
      <c r="D6" s="331" t="s">
        <v>6</v>
      </c>
      <c r="E6" s="331"/>
      <c r="F6" s="331"/>
      <c r="G6" s="331"/>
      <c r="H6" s="331"/>
      <c r="I6" s="331" t="s">
        <v>7</v>
      </c>
      <c r="J6" s="331"/>
      <c r="K6" s="331"/>
      <c r="L6" s="331"/>
      <c r="M6" s="331" t="s">
        <v>8</v>
      </c>
      <c r="N6" s="331"/>
      <c r="O6" s="331"/>
      <c r="P6" s="331"/>
      <c r="Q6" s="328" t="s">
        <v>9</v>
      </c>
      <c r="R6" s="329"/>
      <c r="S6" s="329"/>
      <c r="T6" s="329"/>
      <c r="U6" s="330" t="s">
        <v>10</v>
      </c>
      <c r="V6" s="330"/>
      <c r="W6" s="330"/>
      <c r="X6" s="330"/>
      <c r="Y6" s="330" t="s">
        <v>11</v>
      </c>
      <c r="Z6" s="330"/>
      <c r="AA6" s="330" t="s">
        <v>12</v>
      </c>
      <c r="AB6" s="330"/>
      <c r="AC6" s="330"/>
      <c r="AD6" s="330"/>
      <c r="AE6" s="330"/>
      <c r="AF6" s="330"/>
      <c r="AG6" s="330"/>
      <c r="AH6" s="330"/>
      <c r="AI6" s="330"/>
      <c r="AJ6" s="330"/>
      <c r="AK6" s="330"/>
      <c r="AL6" s="330"/>
    </row>
    <row r="7" spans="1:38" s="1" customFormat="1" ht="43.5" customHeight="1">
      <c r="A7" s="330"/>
      <c r="B7" s="333"/>
      <c r="C7" s="13" t="s">
        <v>13</v>
      </c>
      <c r="D7" s="331"/>
      <c r="E7" s="331"/>
      <c r="F7" s="331"/>
      <c r="G7" s="331"/>
      <c r="H7" s="331"/>
      <c r="I7" s="331"/>
      <c r="J7" s="331"/>
      <c r="K7" s="331"/>
      <c r="L7" s="331"/>
      <c r="M7" s="331"/>
      <c r="N7" s="331"/>
      <c r="O7" s="331"/>
      <c r="P7" s="331"/>
      <c r="Q7" s="329"/>
      <c r="R7" s="329"/>
      <c r="S7" s="329"/>
      <c r="T7" s="329"/>
      <c r="U7" s="330"/>
      <c r="V7" s="330"/>
      <c r="W7" s="330"/>
      <c r="X7" s="330"/>
      <c r="Y7" s="330"/>
      <c r="Z7" s="330"/>
      <c r="AA7" s="352" t="s">
        <v>14</v>
      </c>
      <c r="AB7" s="352"/>
      <c r="AC7" s="352"/>
      <c r="AD7" s="352" t="s">
        <v>15</v>
      </c>
      <c r="AE7" s="352"/>
      <c r="AF7" s="352"/>
      <c r="AG7" s="352" t="s">
        <v>16</v>
      </c>
      <c r="AH7" s="352"/>
      <c r="AI7" s="352"/>
      <c r="AJ7" s="330" t="s">
        <v>17</v>
      </c>
      <c r="AK7" s="330"/>
      <c r="AL7" s="330"/>
    </row>
    <row r="8" spans="1:38" s="2" customFormat="1" ht="43.5" customHeight="1">
      <c r="A8" s="7">
        <v>1</v>
      </c>
      <c r="B8" s="7" t="s">
        <v>18</v>
      </c>
      <c r="C8" s="7" t="s">
        <v>19</v>
      </c>
      <c r="D8" s="340" t="s">
        <v>20</v>
      </c>
      <c r="E8" s="340"/>
      <c r="F8" s="340"/>
      <c r="G8" s="340"/>
      <c r="H8" s="340"/>
      <c r="I8" s="341" t="s">
        <v>557</v>
      </c>
      <c r="J8" s="340"/>
      <c r="K8" s="340"/>
      <c r="L8" s="340"/>
      <c r="M8" s="344" t="s">
        <v>558</v>
      </c>
      <c r="N8" s="345"/>
      <c r="O8" s="345"/>
      <c r="P8" s="345"/>
      <c r="Q8" s="346" t="s">
        <v>22</v>
      </c>
      <c r="R8" s="345"/>
      <c r="S8" s="345"/>
      <c r="T8" s="345"/>
      <c r="U8" s="351" t="s">
        <v>23</v>
      </c>
      <c r="V8" s="351"/>
      <c r="W8" s="351"/>
      <c r="X8" s="351"/>
      <c r="Y8" s="334"/>
      <c r="Z8" s="335"/>
      <c r="AA8" s="351"/>
      <c r="AB8" s="351"/>
      <c r="AC8" s="351"/>
      <c r="AD8" s="351"/>
      <c r="AE8" s="351"/>
      <c r="AF8" s="351"/>
      <c r="AG8" s="351"/>
      <c r="AH8" s="351"/>
      <c r="AI8" s="351"/>
      <c r="AJ8" s="351"/>
      <c r="AK8" s="351"/>
      <c r="AL8" s="351"/>
    </row>
    <row r="9" spans="1:38" s="2" customFormat="1" ht="43.5" customHeight="1">
      <c r="A9" s="10">
        <v>2</v>
      </c>
      <c r="B9" s="22" t="s">
        <v>24</v>
      </c>
      <c r="C9" s="22" t="s">
        <v>25</v>
      </c>
      <c r="D9" s="347" t="s">
        <v>572</v>
      </c>
      <c r="E9" s="347"/>
      <c r="F9" s="347"/>
      <c r="G9" s="347"/>
      <c r="H9" s="347"/>
      <c r="I9" s="347" t="s">
        <v>571</v>
      </c>
      <c r="J9" s="347"/>
      <c r="K9" s="347"/>
      <c r="L9" s="347"/>
      <c r="M9" s="348" t="s">
        <v>195</v>
      </c>
      <c r="N9" s="349"/>
      <c r="O9" s="349"/>
      <c r="P9" s="349"/>
      <c r="Q9" s="347" t="s">
        <v>26</v>
      </c>
      <c r="R9" s="349"/>
      <c r="S9" s="349"/>
      <c r="T9" s="349"/>
      <c r="U9" s="334"/>
      <c r="V9" s="350"/>
      <c r="W9" s="350"/>
      <c r="X9" s="350"/>
      <c r="Y9" s="334" t="s">
        <v>27</v>
      </c>
      <c r="Z9" s="335"/>
      <c r="AA9" s="338"/>
      <c r="AB9" s="338"/>
      <c r="AC9" s="338"/>
      <c r="AD9" s="338" t="s">
        <v>28</v>
      </c>
      <c r="AE9" s="338"/>
      <c r="AF9" s="338"/>
      <c r="AG9" s="338"/>
      <c r="AH9" s="338"/>
      <c r="AI9" s="338"/>
      <c r="AJ9" s="338"/>
      <c r="AK9" s="338"/>
      <c r="AL9" s="338"/>
    </row>
    <row r="10" spans="1:38" s="2" customFormat="1" ht="43.5" customHeight="1">
      <c r="A10" s="10">
        <v>3</v>
      </c>
      <c r="B10" s="22" t="s">
        <v>29</v>
      </c>
      <c r="C10" s="22" t="s">
        <v>30</v>
      </c>
      <c r="D10" s="341" t="s">
        <v>574</v>
      </c>
      <c r="E10" s="340"/>
      <c r="F10" s="340"/>
      <c r="G10" s="340"/>
      <c r="H10" s="340"/>
      <c r="I10" s="341" t="s">
        <v>729</v>
      </c>
      <c r="J10" s="340"/>
      <c r="K10" s="340"/>
      <c r="L10" s="340"/>
      <c r="M10" s="341" t="s">
        <v>677</v>
      </c>
      <c r="N10" s="340"/>
      <c r="O10" s="340"/>
      <c r="P10" s="340"/>
      <c r="Q10" s="342" t="s">
        <v>31</v>
      </c>
      <c r="R10" s="340"/>
      <c r="S10" s="340"/>
      <c r="T10" s="340"/>
      <c r="U10" s="338" t="s">
        <v>32</v>
      </c>
      <c r="V10" s="338"/>
      <c r="W10" s="338"/>
      <c r="X10" s="338"/>
      <c r="Y10" s="334" t="s">
        <v>33</v>
      </c>
      <c r="Z10" s="335"/>
      <c r="AA10" s="338"/>
      <c r="AB10" s="338"/>
      <c r="AC10" s="338"/>
      <c r="AD10" s="338" t="s">
        <v>34</v>
      </c>
      <c r="AE10" s="338"/>
      <c r="AF10" s="338"/>
      <c r="AG10" s="338"/>
      <c r="AH10" s="338"/>
      <c r="AI10" s="338"/>
      <c r="AJ10" s="338"/>
      <c r="AK10" s="338"/>
      <c r="AL10" s="338"/>
    </row>
    <row r="11" spans="1:38" s="2" customFormat="1" ht="43.5" customHeight="1">
      <c r="A11" s="10">
        <v>4</v>
      </c>
      <c r="B11" s="22" t="s">
        <v>35</v>
      </c>
      <c r="C11" s="22" t="s">
        <v>36</v>
      </c>
      <c r="D11" s="341" t="s">
        <v>577</v>
      </c>
      <c r="E11" s="340"/>
      <c r="F11" s="340"/>
      <c r="G11" s="340"/>
      <c r="H11" s="340"/>
      <c r="I11" s="341" t="s">
        <v>578</v>
      </c>
      <c r="J11" s="340"/>
      <c r="K11" s="340"/>
      <c r="L11" s="340"/>
      <c r="M11" s="341" t="s">
        <v>679</v>
      </c>
      <c r="N11" s="340"/>
      <c r="O11" s="340"/>
      <c r="P11" s="340"/>
      <c r="Q11" s="342" t="s">
        <v>37</v>
      </c>
      <c r="R11" s="340"/>
      <c r="S11" s="340"/>
      <c r="T11" s="340"/>
      <c r="U11" s="338" t="s">
        <v>38</v>
      </c>
      <c r="V11" s="338"/>
      <c r="W11" s="338"/>
      <c r="X11" s="338"/>
      <c r="Y11" s="334" t="s">
        <v>39</v>
      </c>
      <c r="Z11" s="335"/>
      <c r="AA11" s="338" t="s">
        <v>40</v>
      </c>
      <c r="AB11" s="338"/>
      <c r="AC11" s="338"/>
      <c r="AD11" s="338" t="s">
        <v>41</v>
      </c>
      <c r="AE11" s="338"/>
      <c r="AF11" s="338"/>
      <c r="AG11" s="338"/>
      <c r="AH11" s="338"/>
      <c r="AI11" s="338"/>
      <c r="AJ11" s="338"/>
      <c r="AK11" s="338"/>
      <c r="AL11" s="338"/>
    </row>
    <row r="12" spans="1:38" s="2" customFormat="1" ht="43.5" customHeight="1">
      <c r="A12" s="10">
        <v>5</v>
      </c>
      <c r="B12" s="22" t="s">
        <v>42</v>
      </c>
      <c r="C12" s="22" t="s">
        <v>43</v>
      </c>
      <c r="D12" s="341" t="s">
        <v>576</v>
      </c>
      <c r="E12" s="340"/>
      <c r="F12" s="340"/>
      <c r="G12" s="340"/>
      <c r="H12" s="340"/>
      <c r="I12" s="341" t="s">
        <v>580</v>
      </c>
      <c r="J12" s="340"/>
      <c r="K12" s="340"/>
      <c r="L12" s="340"/>
      <c r="M12" s="344" t="s">
        <v>678</v>
      </c>
      <c r="N12" s="345"/>
      <c r="O12" s="345"/>
      <c r="P12" s="345"/>
      <c r="Q12" s="346"/>
      <c r="R12" s="345"/>
      <c r="S12" s="345"/>
      <c r="T12" s="345"/>
      <c r="U12" s="338" t="s">
        <v>38</v>
      </c>
      <c r="V12" s="338"/>
      <c r="W12" s="338"/>
      <c r="X12" s="338"/>
      <c r="Y12" s="343" t="s">
        <v>44</v>
      </c>
      <c r="Z12" s="343"/>
      <c r="AA12" s="336" t="s">
        <v>45</v>
      </c>
      <c r="AB12" s="336"/>
      <c r="AC12" s="336"/>
      <c r="AD12" s="338" t="s">
        <v>34</v>
      </c>
      <c r="AE12" s="338"/>
      <c r="AF12" s="338"/>
      <c r="AG12" s="338"/>
      <c r="AH12" s="338"/>
      <c r="AI12" s="338"/>
      <c r="AJ12" s="338"/>
      <c r="AK12" s="338"/>
      <c r="AL12" s="338"/>
    </row>
    <row r="13" spans="1:38" s="2" customFormat="1" ht="43.5" customHeight="1">
      <c r="A13" s="10">
        <v>6</v>
      </c>
      <c r="B13" s="86" t="s">
        <v>582</v>
      </c>
      <c r="C13" s="86" t="s">
        <v>581</v>
      </c>
      <c r="D13" s="341" t="s">
        <v>575</v>
      </c>
      <c r="E13" s="340"/>
      <c r="F13" s="340"/>
      <c r="G13" s="340"/>
      <c r="H13" s="340"/>
      <c r="I13" s="341" t="s">
        <v>583</v>
      </c>
      <c r="J13" s="340"/>
      <c r="K13" s="340"/>
      <c r="L13" s="340"/>
      <c r="M13" s="341" t="s">
        <v>579</v>
      </c>
      <c r="N13" s="340"/>
      <c r="O13" s="340"/>
      <c r="P13" s="340"/>
      <c r="Q13" s="342"/>
      <c r="R13" s="340"/>
      <c r="S13" s="340"/>
      <c r="T13" s="340"/>
      <c r="U13" s="338" t="s">
        <v>46</v>
      </c>
      <c r="V13" s="338"/>
      <c r="W13" s="338"/>
      <c r="X13" s="338"/>
      <c r="Y13" s="334"/>
      <c r="Z13" s="335"/>
      <c r="AA13" s="338"/>
      <c r="AB13" s="338"/>
      <c r="AC13" s="338"/>
      <c r="AD13" s="338"/>
      <c r="AE13" s="338"/>
      <c r="AF13" s="338"/>
      <c r="AG13" s="338"/>
      <c r="AH13" s="338"/>
      <c r="AI13" s="338"/>
      <c r="AJ13" s="338"/>
      <c r="AK13" s="338"/>
      <c r="AL13" s="338"/>
    </row>
    <row r="14" spans="1:38" s="2" customFormat="1" ht="80.25" customHeight="1">
      <c r="A14" s="10">
        <v>7</v>
      </c>
      <c r="B14" s="22" t="s">
        <v>47</v>
      </c>
      <c r="C14" s="22" t="s">
        <v>48</v>
      </c>
      <c r="D14" s="339" t="s">
        <v>203</v>
      </c>
      <c r="E14" s="340"/>
      <c r="F14" s="340"/>
      <c r="G14" s="340"/>
      <c r="H14" s="340"/>
      <c r="I14" s="340" t="s">
        <v>186</v>
      </c>
      <c r="J14" s="340"/>
      <c r="K14" s="340"/>
      <c r="L14" s="340"/>
      <c r="M14" s="341" t="s">
        <v>608</v>
      </c>
      <c r="N14" s="340"/>
      <c r="O14" s="340"/>
      <c r="P14" s="340"/>
      <c r="Q14" s="342"/>
      <c r="R14" s="340"/>
      <c r="S14" s="340"/>
      <c r="T14" s="340"/>
      <c r="U14" s="338" t="s">
        <v>38</v>
      </c>
      <c r="V14" s="338"/>
      <c r="W14" s="338"/>
      <c r="X14" s="338"/>
      <c r="Y14" s="334" t="s">
        <v>33</v>
      </c>
      <c r="Z14" s="335"/>
      <c r="AA14" s="336" t="s">
        <v>45</v>
      </c>
      <c r="AB14" s="336"/>
      <c r="AC14" s="336"/>
      <c r="AD14" s="337" t="s">
        <v>49</v>
      </c>
      <c r="AE14" s="337"/>
      <c r="AF14" s="337"/>
      <c r="AG14" s="338"/>
      <c r="AH14" s="338"/>
      <c r="AI14" s="338"/>
      <c r="AJ14" s="338"/>
      <c r="AK14" s="338"/>
      <c r="AL14" s="338"/>
    </row>
    <row r="17" spans="3:18">
      <c r="D17" s="23"/>
      <c r="E17" s="23"/>
      <c r="F17" s="23"/>
    </row>
    <row r="18" spans="3:18">
      <c r="C18" s="24"/>
      <c r="D18" s="25" t="s">
        <v>50</v>
      </c>
      <c r="E18" s="26" t="s">
        <v>51</v>
      </c>
      <c r="F18" s="26" t="s">
        <v>52</v>
      </c>
      <c r="G18" s="27" t="s">
        <v>53</v>
      </c>
      <c r="H18" s="26" t="s">
        <v>54</v>
      </c>
      <c r="I18" s="27" t="s">
        <v>55</v>
      </c>
      <c r="J18" s="26" t="s">
        <v>56</v>
      </c>
      <c r="K18" s="26" t="s">
        <v>57</v>
      </c>
      <c r="L18" s="27" t="s">
        <v>58</v>
      </c>
      <c r="M18" s="27" t="s">
        <v>59</v>
      </c>
      <c r="N18" s="26" t="s">
        <v>60</v>
      </c>
      <c r="O18" s="31"/>
      <c r="P18" s="31"/>
      <c r="Q18" s="31"/>
      <c r="R18" s="31"/>
    </row>
    <row r="19" spans="3:18">
      <c r="C19" s="28" t="s">
        <v>61</v>
      </c>
      <c r="D19" s="29">
        <v>10400</v>
      </c>
      <c r="E19" s="24">
        <v>0</v>
      </c>
      <c r="F19" s="24">
        <v>0</v>
      </c>
      <c r="G19" s="24">
        <v>2.5</v>
      </c>
      <c r="H19" s="24">
        <v>1</v>
      </c>
      <c r="I19" s="24">
        <v>0</v>
      </c>
      <c r="J19" s="24">
        <v>0</v>
      </c>
      <c r="K19" s="24">
        <v>0.5</v>
      </c>
      <c r="L19" s="24">
        <v>0</v>
      </c>
      <c r="M19" s="24">
        <v>0</v>
      </c>
      <c r="N19" s="24">
        <v>10</v>
      </c>
      <c r="O19" s="31" t="s">
        <v>53</v>
      </c>
      <c r="P19" s="31" t="s">
        <v>57</v>
      </c>
      <c r="Q19" s="31" t="s">
        <v>60</v>
      </c>
      <c r="R19" s="31" t="s">
        <v>54</v>
      </c>
    </row>
    <row r="20" spans="3:18">
      <c r="C20" s="28" t="s">
        <v>62</v>
      </c>
      <c r="D20" s="29">
        <v>13001</v>
      </c>
      <c r="E20" s="24">
        <v>0</v>
      </c>
      <c r="F20" s="24">
        <v>0</v>
      </c>
      <c r="G20" s="24">
        <v>0</v>
      </c>
      <c r="H20" s="24">
        <v>1</v>
      </c>
      <c r="I20" s="24">
        <v>0</v>
      </c>
      <c r="J20" s="24">
        <v>0</v>
      </c>
      <c r="K20" s="24">
        <v>0.5</v>
      </c>
      <c r="L20" s="24">
        <v>0</v>
      </c>
      <c r="M20" s="24">
        <v>10</v>
      </c>
      <c r="N20" s="24">
        <v>10</v>
      </c>
      <c r="O20" s="31" t="s">
        <v>59</v>
      </c>
      <c r="P20" s="31" t="s">
        <v>57</v>
      </c>
      <c r="Q20" s="31" t="s">
        <v>60</v>
      </c>
      <c r="R20" s="31" t="s">
        <v>54</v>
      </c>
    </row>
    <row r="21" spans="3:18">
      <c r="C21" s="28" t="s">
        <v>63</v>
      </c>
      <c r="D21" s="29">
        <v>10400</v>
      </c>
      <c r="E21" s="24">
        <v>7</v>
      </c>
      <c r="F21" s="24">
        <v>0</v>
      </c>
      <c r="G21" s="24">
        <v>2</v>
      </c>
      <c r="H21" s="24">
        <v>0</v>
      </c>
      <c r="I21" s="24">
        <v>0</v>
      </c>
      <c r="J21" s="24">
        <v>0</v>
      </c>
      <c r="K21" s="24">
        <v>0.5</v>
      </c>
      <c r="L21" s="24">
        <v>0</v>
      </c>
      <c r="M21" s="24">
        <v>0</v>
      </c>
      <c r="N21" s="24">
        <v>10</v>
      </c>
      <c r="O21" s="31" t="s">
        <v>53</v>
      </c>
      <c r="P21" s="31" t="s">
        <v>57</v>
      </c>
      <c r="Q21" s="31" t="s">
        <v>60</v>
      </c>
      <c r="R21" s="31" t="s">
        <v>51</v>
      </c>
    </row>
    <row r="22" spans="3:18">
      <c r="C22" s="28" t="s">
        <v>64</v>
      </c>
      <c r="D22" s="29">
        <v>13001</v>
      </c>
      <c r="E22" s="24">
        <v>14</v>
      </c>
      <c r="F22" s="24">
        <v>0</v>
      </c>
      <c r="G22" s="24">
        <v>0</v>
      </c>
      <c r="H22" s="24">
        <v>0</v>
      </c>
      <c r="I22" s="24">
        <v>1</v>
      </c>
      <c r="J22" s="24">
        <v>0</v>
      </c>
      <c r="K22" s="24">
        <v>0.5</v>
      </c>
      <c r="L22" s="24">
        <v>0</v>
      </c>
      <c r="M22" s="24">
        <v>0</v>
      </c>
      <c r="N22" s="24">
        <v>10</v>
      </c>
      <c r="O22" s="31" t="s">
        <v>51</v>
      </c>
      <c r="P22" s="31" t="s">
        <v>57</v>
      </c>
      <c r="Q22" s="31" t="s">
        <v>60</v>
      </c>
      <c r="R22" s="31" t="s">
        <v>55</v>
      </c>
    </row>
    <row r="23" spans="3:18">
      <c r="C23" s="28" t="s">
        <v>65</v>
      </c>
      <c r="D23" s="29">
        <v>14000</v>
      </c>
      <c r="E23" s="24">
        <v>0</v>
      </c>
      <c r="F23" s="24">
        <v>0</v>
      </c>
      <c r="G23" s="24">
        <v>0</v>
      </c>
      <c r="H23" s="24">
        <v>0</v>
      </c>
      <c r="I23" s="24">
        <v>2</v>
      </c>
      <c r="J23" s="24">
        <v>1</v>
      </c>
      <c r="K23" s="24">
        <v>0.5</v>
      </c>
      <c r="L23" s="24">
        <v>0</v>
      </c>
      <c r="M23" s="24">
        <v>0</v>
      </c>
      <c r="N23" s="24">
        <v>10</v>
      </c>
      <c r="O23" s="31" t="s">
        <v>55</v>
      </c>
      <c r="P23" s="31" t="s">
        <v>57</v>
      </c>
      <c r="Q23" s="31" t="s">
        <v>60</v>
      </c>
      <c r="R23" s="31" t="s">
        <v>56</v>
      </c>
    </row>
    <row r="24" spans="3:18">
      <c r="C24" s="28" t="s">
        <v>66</v>
      </c>
      <c r="D24" s="30">
        <v>13001</v>
      </c>
      <c r="E24" s="24">
        <v>14</v>
      </c>
      <c r="F24" s="24">
        <v>0</v>
      </c>
      <c r="G24" s="24">
        <v>0</v>
      </c>
      <c r="H24" s="24">
        <v>0</v>
      </c>
      <c r="I24" s="24">
        <v>1</v>
      </c>
      <c r="J24" s="24">
        <v>0</v>
      </c>
      <c r="K24" s="24">
        <v>0.5</v>
      </c>
      <c r="L24" s="24">
        <v>0</v>
      </c>
      <c r="M24" s="24">
        <v>0</v>
      </c>
      <c r="N24" s="24">
        <v>10</v>
      </c>
      <c r="O24" s="31" t="s">
        <v>51</v>
      </c>
      <c r="P24" s="31" t="s">
        <v>57</v>
      </c>
      <c r="Q24" s="31" t="s">
        <v>60</v>
      </c>
      <c r="R24" s="31" t="s">
        <v>55</v>
      </c>
    </row>
    <row r="31" spans="3:18">
      <c r="I31" t="s">
        <v>53</v>
      </c>
    </row>
    <row r="32" spans="3:18">
      <c r="I32" t="s">
        <v>57</v>
      </c>
    </row>
    <row r="33" spans="9:9">
      <c r="I33" t="s">
        <v>60</v>
      </c>
    </row>
    <row r="34" spans="9:9">
      <c r="I34" t="s">
        <v>54</v>
      </c>
    </row>
  </sheetData>
  <mergeCells count="84">
    <mergeCell ref="AA6:AL6"/>
    <mergeCell ref="AA7:AC7"/>
    <mergeCell ref="AD7:AF7"/>
    <mergeCell ref="AG7:AI7"/>
    <mergeCell ref="AJ7:AL7"/>
    <mergeCell ref="D8:H8"/>
    <mergeCell ref="I8:L8"/>
    <mergeCell ref="M8:P8"/>
    <mergeCell ref="Q8:T8"/>
    <mergeCell ref="U8:X8"/>
    <mergeCell ref="Y8:Z8"/>
    <mergeCell ref="AA8:AC8"/>
    <mergeCell ref="AD8:AF8"/>
    <mergeCell ref="AG8:AI8"/>
    <mergeCell ref="AJ8:AL8"/>
    <mergeCell ref="D9:H9"/>
    <mergeCell ref="I9:L9"/>
    <mergeCell ref="M9:P9"/>
    <mergeCell ref="Q9:T9"/>
    <mergeCell ref="U9:X9"/>
    <mergeCell ref="Y9:Z9"/>
    <mergeCell ref="AA9:AC9"/>
    <mergeCell ref="AD9:AF9"/>
    <mergeCell ref="AG9:AI9"/>
    <mergeCell ref="AJ9:AL9"/>
    <mergeCell ref="D10:H10"/>
    <mergeCell ref="I10:L10"/>
    <mergeCell ref="M10:P10"/>
    <mergeCell ref="Q10:T10"/>
    <mergeCell ref="U10:X10"/>
    <mergeCell ref="Y10:Z10"/>
    <mergeCell ref="AA10:AC10"/>
    <mergeCell ref="AD10:AF10"/>
    <mergeCell ref="AG10:AI10"/>
    <mergeCell ref="AJ10:AL10"/>
    <mergeCell ref="D11:H11"/>
    <mergeCell ref="I11:L11"/>
    <mergeCell ref="M11:P11"/>
    <mergeCell ref="Q11:T11"/>
    <mergeCell ref="U11:X11"/>
    <mergeCell ref="Y11:Z11"/>
    <mergeCell ref="AA11:AC11"/>
    <mergeCell ref="AD11:AF11"/>
    <mergeCell ref="AG11:AI11"/>
    <mergeCell ref="AJ11:AL11"/>
    <mergeCell ref="D12:H12"/>
    <mergeCell ref="I12:L12"/>
    <mergeCell ref="M12:P12"/>
    <mergeCell ref="Q12:T12"/>
    <mergeCell ref="U12:X12"/>
    <mergeCell ref="Y12:Z12"/>
    <mergeCell ref="AA12:AC12"/>
    <mergeCell ref="AD12:AF12"/>
    <mergeCell ref="AG12:AI12"/>
    <mergeCell ref="AJ12:AL12"/>
    <mergeCell ref="D13:H13"/>
    <mergeCell ref="I13:L13"/>
    <mergeCell ref="M13:P13"/>
    <mergeCell ref="Q13:T13"/>
    <mergeCell ref="U13:X13"/>
    <mergeCell ref="Y13:Z13"/>
    <mergeCell ref="AA13:AC13"/>
    <mergeCell ref="AD13:AF13"/>
    <mergeCell ref="AG13:AI13"/>
    <mergeCell ref="AJ13:AL13"/>
    <mergeCell ref="D14:H14"/>
    <mergeCell ref="I14:L14"/>
    <mergeCell ref="M14:P14"/>
    <mergeCell ref="Q14:T14"/>
    <mergeCell ref="U14:X14"/>
    <mergeCell ref="Y14:Z14"/>
    <mergeCell ref="AA14:AC14"/>
    <mergeCell ref="AD14:AF14"/>
    <mergeCell ref="AG14:AI14"/>
    <mergeCell ref="AJ14:AL14"/>
    <mergeCell ref="Q6:T7"/>
    <mergeCell ref="U6:X7"/>
    <mergeCell ref="D6:H7"/>
    <mergeCell ref="Y6:Z7"/>
    <mergeCell ref="A3:A4"/>
    <mergeCell ref="A6:A7"/>
    <mergeCell ref="B6:B7"/>
    <mergeCell ref="I6:L7"/>
    <mergeCell ref="M6:P7"/>
  </mergeCells>
  <phoneticPr fontId="14" type="noConversion"/>
  <pageMargins left="0.69930555555555596" right="0.69930555555555596" top="0.75" bottom="0.75" header="0.3" footer="0.3"/>
  <pageSetup paperSize="9" orientation="portrait" horizontalDpi="200" verticalDpi="300"/>
</worksheet>
</file>

<file path=xl/worksheets/sheet2.xml><?xml version="1.0" encoding="utf-8"?>
<worksheet xmlns="http://schemas.openxmlformats.org/spreadsheetml/2006/main" xmlns:r="http://schemas.openxmlformats.org/officeDocument/2006/relationships">
  <dimension ref="A1:AM20"/>
  <sheetViews>
    <sheetView workbookViewId="0">
      <selection activeCell="N10" sqref="N10:Q10"/>
    </sheetView>
  </sheetViews>
  <sheetFormatPr defaultColWidth="9" defaultRowHeight="13.5"/>
  <cols>
    <col min="2" max="3" width="13.75" customWidth="1"/>
    <col min="14" max="15" width="12.125" customWidth="1"/>
    <col min="17" max="17" width="29.125" customWidth="1"/>
    <col min="18" max="19" width="12.125" customWidth="1"/>
  </cols>
  <sheetData>
    <row r="1" spans="1:39">
      <c r="A1" s="3" t="s">
        <v>0</v>
      </c>
      <c r="B1" s="4" t="s">
        <v>67</v>
      </c>
      <c r="C1" s="4"/>
      <c r="F1" s="16"/>
      <c r="G1" s="16"/>
      <c r="H1" s="16"/>
    </row>
    <row r="2" spans="1:39">
      <c r="A2" s="3" t="s">
        <v>68</v>
      </c>
      <c r="B2" s="5" t="s">
        <v>69</v>
      </c>
      <c r="C2" s="5"/>
    </row>
    <row r="3" spans="1:39" s="1" customFormat="1" ht="43.5" customHeight="1">
      <c r="A3" s="330" t="s">
        <v>4</v>
      </c>
      <c r="B3" s="330" t="s">
        <v>5</v>
      </c>
      <c r="C3" s="330" t="s">
        <v>70</v>
      </c>
      <c r="D3" s="352" t="s">
        <v>6</v>
      </c>
      <c r="E3" s="352"/>
      <c r="F3" s="352"/>
      <c r="G3" s="352"/>
      <c r="H3" s="352"/>
      <c r="I3" s="352"/>
      <c r="J3" s="352" t="s">
        <v>7</v>
      </c>
      <c r="K3" s="352"/>
      <c r="L3" s="352"/>
      <c r="M3" s="352"/>
      <c r="N3" s="352" t="s">
        <v>8</v>
      </c>
      <c r="O3" s="352"/>
      <c r="P3" s="352"/>
      <c r="Q3" s="352"/>
      <c r="R3" s="352" t="s">
        <v>9</v>
      </c>
      <c r="S3" s="352"/>
      <c r="T3" s="352"/>
      <c r="U3" s="352"/>
      <c r="V3" s="330" t="s">
        <v>10</v>
      </c>
      <c r="W3" s="330"/>
      <c r="X3" s="330"/>
      <c r="Y3" s="330"/>
      <c r="Z3" s="330" t="s">
        <v>11</v>
      </c>
      <c r="AA3" s="330"/>
      <c r="AB3" s="330" t="s">
        <v>12</v>
      </c>
      <c r="AC3" s="330"/>
      <c r="AD3" s="330"/>
      <c r="AE3" s="330"/>
      <c r="AF3" s="330"/>
      <c r="AG3" s="330"/>
      <c r="AH3" s="330"/>
      <c r="AI3" s="330"/>
      <c r="AJ3" s="330"/>
      <c r="AK3" s="330"/>
      <c r="AL3" s="330"/>
      <c r="AM3" s="330"/>
    </row>
    <row r="4" spans="1:39" s="1" customFormat="1" ht="43.5" customHeight="1">
      <c r="A4" s="330"/>
      <c r="B4" s="330"/>
      <c r="C4" s="330"/>
      <c r="D4" s="352"/>
      <c r="E4" s="352"/>
      <c r="F4" s="352"/>
      <c r="G4" s="352"/>
      <c r="H4" s="352"/>
      <c r="I4" s="352"/>
      <c r="J4" s="352"/>
      <c r="K4" s="352"/>
      <c r="L4" s="352"/>
      <c r="M4" s="352"/>
      <c r="N4" s="352"/>
      <c r="O4" s="352"/>
      <c r="P4" s="352"/>
      <c r="Q4" s="352"/>
      <c r="R4" s="352"/>
      <c r="S4" s="352"/>
      <c r="T4" s="352"/>
      <c r="U4" s="352"/>
      <c r="V4" s="330"/>
      <c r="W4" s="330"/>
      <c r="X4" s="330"/>
      <c r="Y4" s="330"/>
      <c r="Z4" s="330"/>
      <c r="AA4" s="330"/>
      <c r="AB4" s="352" t="s">
        <v>14</v>
      </c>
      <c r="AC4" s="352"/>
      <c r="AD4" s="352"/>
      <c r="AE4" s="352" t="s">
        <v>15</v>
      </c>
      <c r="AF4" s="352"/>
      <c r="AG4" s="352"/>
      <c r="AH4" s="352" t="s">
        <v>16</v>
      </c>
      <c r="AI4" s="352"/>
      <c r="AJ4" s="352"/>
      <c r="AK4" s="330" t="s">
        <v>17</v>
      </c>
      <c r="AL4" s="330"/>
      <c r="AM4" s="330"/>
    </row>
    <row r="5" spans="1:39" s="2" customFormat="1" ht="43.5" customHeight="1">
      <c r="A5" s="7">
        <v>1</v>
      </c>
      <c r="B5" s="74" t="s">
        <v>560</v>
      </c>
      <c r="C5" s="9" t="s">
        <v>72</v>
      </c>
      <c r="D5" s="364" t="s">
        <v>584</v>
      </c>
      <c r="E5" s="365"/>
      <c r="F5" s="365"/>
      <c r="G5" s="365"/>
      <c r="H5" s="365"/>
      <c r="I5" s="365"/>
      <c r="J5" s="365" t="s">
        <v>73</v>
      </c>
      <c r="K5" s="365"/>
      <c r="L5" s="365"/>
      <c r="M5" s="365"/>
      <c r="N5" s="366" t="s">
        <v>197</v>
      </c>
      <c r="O5" s="365"/>
      <c r="P5" s="365"/>
      <c r="Q5" s="365"/>
      <c r="R5" s="365"/>
      <c r="S5" s="365"/>
      <c r="T5" s="365"/>
      <c r="U5" s="365"/>
      <c r="V5" s="351" t="s">
        <v>23</v>
      </c>
      <c r="W5" s="351"/>
      <c r="X5" s="351"/>
      <c r="Y5" s="351"/>
      <c r="Z5" s="334"/>
      <c r="AA5" s="335"/>
      <c r="AB5" s="351"/>
      <c r="AC5" s="351"/>
      <c r="AD5" s="351"/>
      <c r="AE5" s="351"/>
      <c r="AF5" s="351"/>
      <c r="AG5" s="351"/>
      <c r="AH5" s="351"/>
      <c r="AI5" s="351"/>
      <c r="AJ5" s="351"/>
      <c r="AK5" s="351"/>
      <c r="AL5" s="351"/>
      <c r="AM5" s="351"/>
    </row>
    <row r="6" spans="1:39" s="2" customFormat="1" ht="63" customHeight="1">
      <c r="A6" s="10">
        <v>2</v>
      </c>
      <c r="B6" s="14" t="s">
        <v>562</v>
      </c>
      <c r="C6" s="12" t="s">
        <v>74</v>
      </c>
      <c r="D6" s="359" t="s">
        <v>176</v>
      </c>
      <c r="E6" s="358"/>
      <c r="F6" s="358"/>
      <c r="G6" s="358"/>
      <c r="H6" s="358"/>
      <c r="I6" s="358"/>
      <c r="J6" s="359" t="s">
        <v>666</v>
      </c>
      <c r="K6" s="358"/>
      <c r="L6" s="358"/>
      <c r="M6" s="358"/>
      <c r="N6" s="359" t="s">
        <v>649</v>
      </c>
      <c r="O6" s="358"/>
      <c r="P6" s="358"/>
      <c r="Q6" s="358"/>
      <c r="R6" s="358"/>
      <c r="S6" s="358"/>
      <c r="T6" s="358"/>
      <c r="U6" s="358"/>
      <c r="V6" s="338" t="s">
        <v>32</v>
      </c>
      <c r="W6" s="338"/>
      <c r="X6" s="338"/>
      <c r="Y6" s="338"/>
      <c r="Z6" s="334" t="s">
        <v>33</v>
      </c>
      <c r="AA6" s="335"/>
      <c r="AB6" s="338"/>
      <c r="AC6" s="338"/>
      <c r="AD6" s="338"/>
      <c r="AE6" s="362" t="s">
        <v>75</v>
      </c>
      <c r="AF6" s="363"/>
      <c r="AG6" s="363"/>
      <c r="AH6" s="338"/>
      <c r="AI6" s="338"/>
      <c r="AJ6" s="338"/>
      <c r="AK6" s="338"/>
      <c r="AL6" s="338"/>
      <c r="AM6" s="338"/>
    </row>
    <row r="7" spans="1:39" s="2" customFormat="1" ht="43.5" customHeight="1">
      <c r="A7" s="10">
        <v>3</v>
      </c>
      <c r="B7" s="14" t="s">
        <v>561</v>
      </c>
      <c r="C7" s="12" t="s">
        <v>179</v>
      </c>
      <c r="D7" s="359" t="s">
        <v>585</v>
      </c>
      <c r="E7" s="358"/>
      <c r="F7" s="358"/>
      <c r="G7" s="358"/>
      <c r="H7" s="358"/>
      <c r="I7" s="358"/>
      <c r="J7" s="359" t="s">
        <v>667</v>
      </c>
      <c r="K7" s="358"/>
      <c r="L7" s="358"/>
      <c r="M7" s="358"/>
      <c r="N7" s="359" t="s">
        <v>635</v>
      </c>
      <c r="O7" s="358"/>
      <c r="P7" s="358"/>
      <c r="Q7" s="358"/>
      <c r="R7" s="358"/>
      <c r="S7" s="358"/>
      <c r="T7" s="358"/>
      <c r="U7" s="358"/>
      <c r="V7" s="338" t="s">
        <v>32</v>
      </c>
      <c r="W7" s="338"/>
      <c r="X7" s="338"/>
      <c r="Y7" s="338"/>
      <c r="Z7" s="334" t="s">
        <v>33</v>
      </c>
      <c r="AA7" s="335"/>
      <c r="AB7" s="338"/>
      <c r="AC7" s="338"/>
      <c r="AD7" s="338"/>
      <c r="AE7" s="362" t="s">
        <v>76</v>
      </c>
      <c r="AF7" s="363"/>
      <c r="AG7" s="363"/>
      <c r="AH7" s="338"/>
      <c r="AI7" s="338"/>
      <c r="AJ7" s="338"/>
      <c r="AK7" s="338"/>
      <c r="AL7" s="338"/>
      <c r="AM7" s="338"/>
    </row>
    <row r="8" spans="1:39" s="2" customFormat="1" ht="82.5" customHeight="1">
      <c r="A8" s="10">
        <v>4</v>
      </c>
      <c r="B8" s="14" t="s">
        <v>177</v>
      </c>
      <c r="C8" s="12" t="s">
        <v>77</v>
      </c>
      <c r="D8" s="359" t="s">
        <v>586</v>
      </c>
      <c r="E8" s="361"/>
      <c r="F8" s="361"/>
      <c r="G8" s="361"/>
      <c r="H8" s="361"/>
      <c r="I8" s="361"/>
      <c r="J8" s="361" t="s">
        <v>185</v>
      </c>
      <c r="K8" s="358"/>
      <c r="L8" s="358"/>
      <c r="M8" s="358"/>
      <c r="N8" s="359" t="s">
        <v>590</v>
      </c>
      <c r="O8" s="358"/>
      <c r="P8" s="358"/>
      <c r="Q8" s="358"/>
      <c r="R8" s="358"/>
      <c r="S8" s="358"/>
      <c r="T8" s="358"/>
      <c r="U8" s="358"/>
      <c r="V8" s="338" t="s">
        <v>32</v>
      </c>
      <c r="W8" s="338"/>
      <c r="X8" s="338"/>
      <c r="Y8" s="338"/>
      <c r="Z8" s="334" t="s">
        <v>33</v>
      </c>
      <c r="AA8" s="335"/>
      <c r="AB8" s="338"/>
      <c r="AC8" s="338"/>
      <c r="AD8" s="338"/>
      <c r="AE8" s="334"/>
      <c r="AF8" s="350"/>
      <c r="AG8" s="335"/>
      <c r="AH8" s="338"/>
      <c r="AI8" s="338"/>
      <c r="AJ8" s="338"/>
      <c r="AK8" s="338" t="s">
        <v>78</v>
      </c>
      <c r="AL8" s="338"/>
      <c r="AM8" s="338"/>
    </row>
    <row r="9" spans="1:39" s="2" customFormat="1" ht="81.75" customHeight="1">
      <c r="A9" s="10">
        <v>5</v>
      </c>
      <c r="B9" s="14" t="s">
        <v>175</v>
      </c>
      <c r="C9" s="12" t="s">
        <v>79</v>
      </c>
      <c r="D9" s="359" t="s">
        <v>592</v>
      </c>
      <c r="E9" s="358"/>
      <c r="F9" s="358"/>
      <c r="G9" s="358"/>
      <c r="H9" s="358"/>
      <c r="I9" s="358"/>
      <c r="J9" s="359" t="s">
        <v>668</v>
      </c>
      <c r="K9" s="358"/>
      <c r="L9" s="358"/>
      <c r="M9" s="358"/>
      <c r="N9" s="359" t="s">
        <v>669</v>
      </c>
      <c r="O9" s="358"/>
      <c r="P9" s="358"/>
      <c r="Q9" s="358"/>
      <c r="R9" s="358"/>
      <c r="S9" s="358"/>
      <c r="T9" s="358"/>
      <c r="U9" s="358"/>
      <c r="V9" s="338" t="s">
        <v>32</v>
      </c>
      <c r="W9" s="338"/>
      <c r="X9" s="338"/>
      <c r="Y9" s="338"/>
      <c r="Z9" s="334" t="s">
        <v>33</v>
      </c>
      <c r="AA9" s="335"/>
      <c r="AB9" s="360"/>
      <c r="AC9" s="360"/>
      <c r="AD9" s="360"/>
      <c r="AE9" s="338" t="s">
        <v>80</v>
      </c>
      <c r="AF9" s="338"/>
      <c r="AG9" s="338"/>
      <c r="AH9" s="338"/>
      <c r="AI9" s="338"/>
      <c r="AJ9" s="338"/>
      <c r="AK9" s="338"/>
      <c r="AL9" s="338"/>
      <c r="AM9" s="338"/>
    </row>
    <row r="10" spans="1:39" s="2" customFormat="1" ht="43.5" customHeight="1">
      <c r="A10" s="10">
        <v>6</v>
      </c>
      <c r="B10" s="74" t="s">
        <v>587</v>
      </c>
      <c r="C10" s="9" t="s">
        <v>81</v>
      </c>
      <c r="D10" s="359" t="s">
        <v>588</v>
      </c>
      <c r="E10" s="358"/>
      <c r="F10" s="358"/>
      <c r="G10" s="358"/>
      <c r="H10" s="358"/>
      <c r="I10" s="358"/>
      <c r="J10" s="359" t="s">
        <v>589</v>
      </c>
      <c r="K10" s="358"/>
      <c r="L10" s="358"/>
      <c r="M10" s="358"/>
      <c r="N10" s="359" t="s">
        <v>591</v>
      </c>
      <c r="O10" s="358"/>
      <c r="P10" s="358"/>
      <c r="Q10" s="358"/>
      <c r="R10" s="358"/>
      <c r="S10" s="358"/>
      <c r="T10" s="358"/>
      <c r="U10" s="358"/>
      <c r="V10" s="338" t="s">
        <v>46</v>
      </c>
      <c r="W10" s="338"/>
      <c r="X10" s="338"/>
      <c r="Y10" s="338"/>
      <c r="Z10" s="334"/>
      <c r="AA10" s="335"/>
      <c r="AB10" s="338"/>
      <c r="AC10" s="338"/>
      <c r="AD10" s="338"/>
      <c r="AE10" s="354"/>
      <c r="AF10" s="355"/>
      <c r="AG10" s="356"/>
      <c r="AH10" s="338"/>
      <c r="AI10" s="338"/>
      <c r="AJ10" s="338"/>
      <c r="AK10" s="338"/>
      <c r="AL10" s="338"/>
      <c r="AM10" s="338"/>
    </row>
    <row r="11" spans="1:39" s="2" customFormat="1" ht="80.25" customHeight="1">
      <c r="A11" s="10">
        <v>7</v>
      </c>
      <c r="B11" s="14" t="s">
        <v>180</v>
      </c>
      <c r="C11" s="12" t="s">
        <v>193</v>
      </c>
      <c r="D11" s="357" t="s">
        <v>598</v>
      </c>
      <c r="E11" s="358"/>
      <c r="F11" s="358"/>
      <c r="G11" s="358"/>
      <c r="H11" s="358"/>
      <c r="I11" s="358"/>
      <c r="J11" s="359" t="s">
        <v>191</v>
      </c>
      <c r="K11" s="358"/>
      <c r="L11" s="358"/>
      <c r="M11" s="358"/>
      <c r="N11" s="359" t="s">
        <v>609</v>
      </c>
      <c r="O11" s="358"/>
      <c r="P11" s="358"/>
      <c r="Q11" s="358"/>
      <c r="R11" s="358"/>
      <c r="S11" s="358"/>
      <c r="T11" s="358"/>
      <c r="U11" s="358"/>
      <c r="V11" s="338" t="s">
        <v>82</v>
      </c>
      <c r="W11" s="338"/>
      <c r="X11" s="338"/>
      <c r="Y11" s="338"/>
      <c r="Z11" s="334" t="s">
        <v>33</v>
      </c>
      <c r="AA11" s="335"/>
      <c r="AB11" s="353"/>
      <c r="AC11" s="353"/>
      <c r="AD11" s="353"/>
      <c r="AE11" s="354" t="s">
        <v>83</v>
      </c>
      <c r="AF11" s="355"/>
      <c r="AG11" s="356"/>
      <c r="AH11" s="336" t="s">
        <v>84</v>
      </c>
      <c r="AI11" s="336"/>
      <c r="AJ11" s="336"/>
      <c r="AK11" s="338"/>
      <c r="AL11" s="338"/>
      <c r="AM11" s="338"/>
    </row>
    <row r="15" spans="1:39">
      <c r="I15" t="s">
        <v>59</v>
      </c>
      <c r="N15" s="33"/>
    </row>
    <row r="16" spans="1:39">
      <c r="I16" t="s">
        <v>57</v>
      </c>
      <c r="K16" s="2"/>
      <c r="N16" s="33"/>
      <c r="O16" s="33"/>
      <c r="P16" s="33"/>
      <c r="Q16" s="33"/>
      <c r="R16" s="33"/>
    </row>
    <row r="17" spans="9:18">
      <c r="I17" t="s">
        <v>60</v>
      </c>
      <c r="K17" s="33"/>
      <c r="N17" s="33"/>
      <c r="O17" s="33"/>
      <c r="P17" s="33"/>
      <c r="Q17" s="33"/>
      <c r="R17" s="33"/>
    </row>
    <row r="18" spans="9:18">
      <c r="I18" t="s">
        <v>54</v>
      </c>
      <c r="O18" s="33"/>
      <c r="P18" s="33"/>
      <c r="Q18" s="33"/>
      <c r="R18" s="33"/>
    </row>
    <row r="19" spans="9:18">
      <c r="I19" s="32"/>
      <c r="K19" s="33"/>
      <c r="O19" s="33"/>
      <c r="P19" s="33"/>
      <c r="Q19" s="33"/>
      <c r="R19" s="33"/>
    </row>
    <row r="20" spans="9:18">
      <c r="O20" s="33"/>
      <c r="P20" s="33"/>
      <c r="Q20" s="33"/>
      <c r="R20" s="33"/>
    </row>
  </sheetData>
  <mergeCells count="84">
    <mergeCell ref="AB3:AM3"/>
    <mergeCell ref="AB4:AD4"/>
    <mergeCell ref="AE4:AG4"/>
    <mergeCell ref="AH4:AJ4"/>
    <mergeCell ref="AK4:AM4"/>
    <mergeCell ref="D5:I5"/>
    <mergeCell ref="J5:M5"/>
    <mergeCell ref="N5:Q5"/>
    <mergeCell ref="R5:U5"/>
    <mergeCell ref="V5:Y5"/>
    <mergeCell ref="Z5:AA5"/>
    <mergeCell ref="AB5:AD5"/>
    <mergeCell ref="AE5:AG5"/>
    <mergeCell ref="AH5:AJ5"/>
    <mergeCell ref="AK5:AM5"/>
    <mergeCell ref="D6:I6"/>
    <mergeCell ref="J6:M6"/>
    <mergeCell ref="N6:Q6"/>
    <mergeCell ref="R6:U6"/>
    <mergeCell ref="V6:Y6"/>
    <mergeCell ref="Z6:AA6"/>
    <mergeCell ref="AB6:AD6"/>
    <mergeCell ref="AE6:AG6"/>
    <mergeCell ref="AH6:AJ6"/>
    <mergeCell ref="AK6:AM6"/>
    <mergeCell ref="D7:I7"/>
    <mergeCell ref="J7:M7"/>
    <mergeCell ref="N7:Q7"/>
    <mergeCell ref="R7:U7"/>
    <mergeCell ref="V7:Y7"/>
    <mergeCell ref="Z7:AA7"/>
    <mergeCell ref="AB7:AD7"/>
    <mergeCell ref="AE7:AG7"/>
    <mergeCell ref="AH7:AJ7"/>
    <mergeCell ref="AK7:AM7"/>
    <mergeCell ref="D8:I8"/>
    <mergeCell ref="J8:M8"/>
    <mergeCell ref="N8:Q8"/>
    <mergeCell ref="R8:U8"/>
    <mergeCell ref="V8:Y8"/>
    <mergeCell ref="Z8:AA8"/>
    <mergeCell ref="AB8:AD8"/>
    <mergeCell ref="AE8:AG8"/>
    <mergeCell ref="AH8:AJ8"/>
    <mergeCell ref="AK8:AM8"/>
    <mergeCell ref="D9:I9"/>
    <mergeCell ref="J9:M9"/>
    <mergeCell ref="N9:Q9"/>
    <mergeCell ref="R9:U9"/>
    <mergeCell ref="V9:Y9"/>
    <mergeCell ref="Z9:AA9"/>
    <mergeCell ref="AB9:AD9"/>
    <mergeCell ref="AE9:AG9"/>
    <mergeCell ref="AH9:AJ9"/>
    <mergeCell ref="AK9:AM9"/>
    <mergeCell ref="D10:I10"/>
    <mergeCell ref="J10:M10"/>
    <mergeCell ref="N10:Q10"/>
    <mergeCell ref="R10:U10"/>
    <mergeCell ref="V10:Y10"/>
    <mergeCell ref="Z10:AA10"/>
    <mergeCell ref="AB10:AD10"/>
    <mergeCell ref="AE10:AG10"/>
    <mergeCell ref="AH10:AJ10"/>
    <mergeCell ref="AK10:AM10"/>
    <mergeCell ref="D11:I11"/>
    <mergeCell ref="J11:M11"/>
    <mergeCell ref="N11:Q11"/>
    <mergeCell ref="R11:U11"/>
    <mergeCell ref="V11:Y11"/>
    <mergeCell ref="Z11:AA11"/>
    <mergeCell ref="AB11:AD11"/>
    <mergeCell ref="AE11:AG11"/>
    <mergeCell ref="AH11:AJ11"/>
    <mergeCell ref="AK11:AM11"/>
    <mergeCell ref="R3:U4"/>
    <mergeCell ref="V3:Y4"/>
    <mergeCell ref="Z3:AA4"/>
    <mergeCell ref="D3:I4"/>
    <mergeCell ref="A3:A4"/>
    <mergeCell ref="B3:B4"/>
    <mergeCell ref="C3:C4"/>
    <mergeCell ref="J3:M4"/>
    <mergeCell ref="N3:Q4"/>
  </mergeCells>
  <phoneticPr fontId="14" type="noConversion"/>
  <pageMargins left="0.69930555555555596" right="0.69930555555555596" top="0.75" bottom="0.75" header="0.3" footer="0.3"/>
  <pageSetup paperSize="9" orientation="portrait" horizontalDpi="200" verticalDpi="300"/>
</worksheet>
</file>

<file path=xl/worksheets/sheet3.xml><?xml version="1.0" encoding="utf-8"?>
<worksheet xmlns="http://schemas.openxmlformats.org/spreadsheetml/2006/main" xmlns:r="http://schemas.openxmlformats.org/officeDocument/2006/relationships">
  <dimension ref="A1:AM18"/>
  <sheetViews>
    <sheetView topLeftCell="A4" workbookViewId="0">
      <selection activeCell="I11" sqref="I11:M11"/>
    </sheetView>
  </sheetViews>
  <sheetFormatPr defaultColWidth="9" defaultRowHeight="13.5"/>
  <cols>
    <col min="2" max="2" width="13.75" customWidth="1"/>
    <col min="3" max="3" width="20.875" customWidth="1"/>
    <col min="9" max="9" width="10.625" customWidth="1"/>
    <col min="14" max="15" width="12.125" customWidth="1"/>
    <col min="17" max="17" width="27.375" customWidth="1"/>
    <col min="18" max="19" width="12.125" customWidth="1"/>
  </cols>
  <sheetData>
    <row r="1" spans="1:39">
      <c r="A1" s="3" t="s">
        <v>0</v>
      </c>
      <c r="B1" s="4" t="s">
        <v>85</v>
      </c>
      <c r="C1" s="3" t="s">
        <v>68</v>
      </c>
      <c r="D1" s="5" t="s">
        <v>86</v>
      </c>
      <c r="F1" s="16" t="s">
        <v>87</v>
      </c>
    </row>
    <row r="3" spans="1:39" s="1" customFormat="1" ht="43.5" customHeight="1">
      <c r="A3" s="330" t="s">
        <v>4</v>
      </c>
      <c r="B3" s="330" t="s">
        <v>5</v>
      </c>
      <c r="C3" s="367" t="s">
        <v>88</v>
      </c>
      <c r="D3" s="367" t="s">
        <v>6</v>
      </c>
      <c r="E3" s="367"/>
      <c r="F3" s="367"/>
      <c r="G3" s="367"/>
      <c r="H3" s="367"/>
      <c r="I3" s="367" t="s">
        <v>7</v>
      </c>
      <c r="J3" s="367"/>
      <c r="K3" s="367"/>
      <c r="L3" s="367"/>
      <c r="M3" s="367"/>
      <c r="N3" s="367" t="s">
        <v>8</v>
      </c>
      <c r="O3" s="367"/>
      <c r="P3" s="367"/>
      <c r="Q3" s="367"/>
      <c r="R3" s="352" t="s">
        <v>9</v>
      </c>
      <c r="S3" s="352"/>
      <c r="T3" s="352"/>
      <c r="U3" s="352"/>
      <c r="V3" s="330" t="s">
        <v>10</v>
      </c>
      <c r="W3" s="330"/>
      <c r="X3" s="330"/>
      <c r="Y3" s="330"/>
      <c r="Z3" s="330" t="s">
        <v>11</v>
      </c>
      <c r="AA3" s="330"/>
      <c r="AB3" s="330" t="s">
        <v>12</v>
      </c>
      <c r="AC3" s="330"/>
      <c r="AD3" s="330"/>
      <c r="AE3" s="330"/>
      <c r="AF3" s="330"/>
      <c r="AG3" s="330"/>
      <c r="AH3" s="330"/>
      <c r="AI3" s="330"/>
      <c r="AJ3" s="330"/>
      <c r="AK3" s="330"/>
      <c r="AL3" s="330"/>
      <c r="AM3" s="330"/>
    </row>
    <row r="4" spans="1:39" s="1" customFormat="1" ht="43.5" customHeight="1">
      <c r="A4" s="330"/>
      <c r="B4" s="330"/>
      <c r="C4" s="368"/>
      <c r="D4" s="367"/>
      <c r="E4" s="367"/>
      <c r="F4" s="367"/>
      <c r="G4" s="367"/>
      <c r="H4" s="367"/>
      <c r="I4" s="367"/>
      <c r="J4" s="367"/>
      <c r="K4" s="367"/>
      <c r="L4" s="367"/>
      <c r="M4" s="367"/>
      <c r="N4" s="367"/>
      <c r="O4" s="367"/>
      <c r="P4" s="367"/>
      <c r="Q4" s="367"/>
      <c r="R4" s="352"/>
      <c r="S4" s="352"/>
      <c r="T4" s="352"/>
      <c r="U4" s="352"/>
      <c r="V4" s="330"/>
      <c r="W4" s="330"/>
      <c r="X4" s="330"/>
      <c r="Y4" s="330"/>
      <c r="Z4" s="330"/>
      <c r="AA4" s="330"/>
      <c r="AB4" s="352" t="s">
        <v>14</v>
      </c>
      <c r="AC4" s="352"/>
      <c r="AD4" s="352"/>
      <c r="AE4" s="352" t="s">
        <v>15</v>
      </c>
      <c r="AF4" s="352"/>
      <c r="AG4" s="352"/>
      <c r="AH4" s="352" t="s">
        <v>16</v>
      </c>
      <c r="AI4" s="352"/>
      <c r="AJ4" s="352"/>
      <c r="AK4" s="330" t="s">
        <v>17</v>
      </c>
      <c r="AL4" s="330"/>
      <c r="AM4" s="330"/>
    </row>
    <row r="5" spans="1:39" s="2" customFormat="1" ht="88.5" customHeight="1">
      <c r="A5" s="7">
        <v>1</v>
      </c>
      <c r="B5" s="74" t="s">
        <v>178</v>
      </c>
      <c r="C5" s="9" t="s">
        <v>89</v>
      </c>
      <c r="D5" s="359" t="s">
        <v>593</v>
      </c>
      <c r="E5" s="358"/>
      <c r="F5" s="358"/>
      <c r="G5" s="358"/>
      <c r="H5" s="358"/>
      <c r="I5" s="359" t="s">
        <v>600</v>
      </c>
      <c r="J5" s="358"/>
      <c r="K5" s="358"/>
      <c r="L5" s="358"/>
      <c r="M5" s="358"/>
      <c r="N5" s="359" t="s">
        <v>599</v>
      </c>
      <c r="O5" s="358"/>
      <c r="P5" s="358"/>
      <c r="Q5" s="358"/>
      <c r="R5" s="365"/>
      <c r="S5" s="365"/>
      <c r="T5" s="365"/>
      <c r="U5" s="365"/>
      <c r="V5" s="351" t="s">
        <v>23</v>
      </c>
      <c r="W5" s="351"/>
      <c r="X5" s="351"/>
      <c r="Y5" s="351"/>
      <c r="Z5" s="334"/>
      <c r="AA5" s="335"/>
      <c r="AB5" s="338"/>
      <c r="AC5" s="338"/>
      <c r="AD5" s="338"/>
      <c r="AE5" s="338"/>
      <c r="AF5" s="338"/>
      <c r="AG5" s="338"/>
      <c r="AH5" s="343"/>
      <c r="AI5" s="343"/>
      <c r="AJ5" s="343"/>
      <c r="AK5" s="350"/>
      <c r="AL5" s="350"/>
      <c r="AM5" s="335"/>
    </row>
    <row r="6" spans="1:39" s="2" customFormat="1" ht="56.25" customHeight="1">
      <c r="A6" s="10">
        <v>2</v>
      </c>
      <c r="B6" s="14" t="s">
        <v>563</v>
      </c>
      <c r="C6" s="12" t="s">
        <v>90</v>
      </c>
      <c r="D6" s="359" t="s">
        <v>594</v>
      </c>
      <c r="E6" s="358"/>
      <c r="F6" s="358"/>
      <c r="G6" s="358"/>
      <c r="H6" s="358"/>
      <c r="I6" s="361" t="s">
        <v>187</v>
      </c>
      <c r="J6" s="358"/>
      <c r="K6" s="358"/>
      <c r="L6" s="358"/>
      <c r="M6" s="358"/>
      <c r="N6" s="359" t="s">
        <v>603</v>
      </c>
      <c r="O6" s="358"/>
      <c r="P6" s="358"/>
      <c r="Q6" s="358"/>
      <c r="R6" s="358"/>
      <c r="S6" s="358"/>
      <c r="T6" s="358"/>
      <c r="U6" s="358"/>
      <c r="V6" s="338" t="s">
        <v>91</v>
      </c>
      <c r="W6" s="338"/>
      <c r="X6" s="338"/>
      <c r="Y6" s="338"/>
      <c r="Z6" s="334" t="s">
        <v>33</v>
      </c>
      <c r="AA6" s="335"/>
      <c r="AB6" s="338"/>
      <c r="AC6" s="338"/>
      <c r="AD6" s="338"/>
      <c r="AE6" s="338" t="s">
        <v>92</v>
      </c>
      <c r="AF6" s="338"/>
      <c r="AG6" s="338"/>
      <c r="AH6" s="338"/>
      <c r="AI6" s="338"/>
      <c r="AJ6" s="338"/>
      <c r="AK6" s="369" t="s">
        <v>93</v>
      </c>
      <c r="AL6" s="369"/>
      <c r="AM6" s="369"/>
    </row>
    <row r="7" spans="1:39" s="2" customFormat="1" ht="69.75" customHeight="1">
      <c r="A7" s="10">
        <v>3</v>
      </c>
      <c r="B7" s="14" t="s">
        <v>182</v>
      </c>
      <c r="C7" s="12" t="s">
        <v>181</v>
      </c>
      <c r="D7" s="370" t="s">
        <v>190</v>
      </c>
      <c r="E7" s="361"/>
      <c r="F7" s="361"/>
      <c r="G7" s="361"/>
      <c r="H7" s="361"/>
      <c r="I7" s="359" t="s">
        <v>189</v>
      </c>
      <c r="J7" s="361"/>
      <c r="K7" s="361"/>
      <c r="L7" s="361"/>
      <c r="M7" s="361"/>
      <c r="N7" s="359" t="s">
        <v>573</v>
      </c>
      <c r="O7" s="361"/>
      <c r="P7" s="361"/>
      <c r="Q7" s="361"/>
      <c r="R7" s="358"/>
      <c r="S7" s="358"/>
      <c r="T7" s="358"/>
      <c r="U7" s="358"/>
      <c r="V7" s="338" t="s">
        <v>94</v>
      </c>
      <c r="W7" s="338"/>
      <c r="X7" s="338"/>
      <c r="Y7" s="338"/>
      <c r="Z7" s="334" t="s">
        <v>33</v>
      </c>
      <c r="AA7" s="335"/>
      <c r="AB7" s="338"/>
      <c r="AC7" s="338"/>
      <c r="AD7" s="338"/>
      <c r="AE7" s="334"/>
      <c r="AF7" s="350"/>
      <c r="AG7" s="335"/>
      <c r="AH7" s="369"/>
      <c r="AI7" s="369"/>
      <c r="AJ7" s="369"/>
      <c r="AK7" s="338" t="s">
        <v>95</v>
      </c>
      <c r="AL7" s="338"/>
      <c r="AM7" s="338"/>
    </row>
    <row r="8" spans="1:39" s="2" customFormat="1" ht="82.5" customHeight="1">
      <c r="A8" s="10">
        <v>4</v>
      </c>
      <c r="B8" s="14" t="s">
        <v>184</v>
      </c>
      <c r="C8" s="12" t="s">
        <v>96</v>
      </c>
      <c r="D8" s="359" t="s">
        <v>595</v>
      </c>
      <c r="E8" s="358"/>
      <c r="F8" s="358"/>
      <c r="G8" s="358"/>
      <c r="H8" s="358"/>
      <c r="I8" s="361" t="s">
        <v>188</v>
      </c>
      <c r="J8" s="358"/>
      <c r="K8" s="358"/>
      <c r="L8" s="358"/>
      <c r="M8" s="358"/>
      <c r="N8" s="361" t="s">
        <v>604</v>
      </c>
      <c r="O8" s="358"/>
      <c r="P8" s="358"/>
      <c r="Q8" s="358"/>
      <c r="R8" s="358"/>
      <c r="S8" s="358"/>
      <c r="T8" s="358"/>
      <c r="U8" s="358"/>
      <c r="V8" s="338" t="s">
        <v>91</v>
      </c>
      <c r="W8" s="338"/>
      <c r="X8" s="338"/>
      <c r="Y8" s="338"/>
      <c r="Z8" s="334" t="s">
        <v>33</v>
      </c>
      <c r="AA8" s="335"/>
      <c r="AB8" s="338"/>
      <c r="AC8" s="338"/>
      <c r="AD8" s="338"/>
      <c r="AE8" s="338" t="s">
        <v>97</v>
      </c>
      <c r="AF8" s="338"/>
      <c r="AG8" s="338"/>
      <c r="AH8" s="369"/>
      <c r="AI8" s="369"/>
      <c r="AJ8" s="369"/>
      <c r="AK8" s="369" t="s">
        <v>98</v>
      </c>
      <c r="AL8" s="369"/>
      <c r="AM8" s="369"/>
    </row>
    <row r="9" spans="1:39" s="2" customFormat="1" ht="69" customHeight="1">
      <c r="A9" s="10">
        <v>5</v>
      </c>
      <c r="B9" s="14" t="s">
        <v>183</v>
      </c>
      <c r="C9" s="20" t="s">
        <v>99</v>
      </c>
      <c r="D9" s="359" t="s">
        <v>664</v>
      </c>
      <c r="E9" s="358"/>
      <c r="F9" s="358"/>
      <c r="G9" s="358"/>
      <c r="H9" s="358"/>
      <c r="I9" s="359" t="s">
        <v>665</v>
      </c>
      <c r="J9" s="358"/>
      <c r="K9" s="358"/>
      <c r="L9" s="358"/>
      <c r="M9" s="358"/>
      <c r="N9" s="370" t="s">
        <v>198</v>
      </c>
      <c r="O9" s="358"/>
      <c r="P9" s="358"/>
      <c r="Q9" s="358"/>
      <c r="R9" s="358"/>
      <c r="S9" s="358"/>
      <c r="T9" s="358"/>
      <c r="U9" s="358"/>
      <c r="V9" s="338" t="s">
        <v>32</v>
      </c>
      <c r="W9" s="338"/>
      <c r="X9" s="338"/>
      <c r="Y9" s="338"/>
      <c r="Z9" s="334" t="s">
        <v>33</v>
      </c>
      <c r="AA9" s="335"/>
      <c r="AB9" s="369"/>
      <c r="AC9" s="369"/>
      <c r="AD9" s="369"/>
      <c r="AE9" s="361" t="s">
        <v>100</v>
      </c>
      <c r="AF9" s="361"/>
      <c r="AG9" s="361"/>
      <c r="AH9" s="338"/>
      <c r="AI9" s="338"/>
      <c r="AJ9" s="338"/>
      <c r="AK9" s="369"/>
      <c r="AL9" s="369"/>
      <c r="AM9" s="369"/>
    </row>
    <row r="10" spans="1:39" s="2" customFormat="1" ht="49.5" customHeight="1">
      <c r="A10" s="10">
        <v>6</v>
      </c>
      <c r="B10" s="9" t="s">
        <v>101</v>
      </c>
      <c r="C10" s="21" t="s">
        <v>102</v>
      </c>
      <c r="D10" s="361" t="s">
        <v>596</v>
      </c>
      <c r="E10" s="358"/>
      <c r="F10" s="358"/>
      <c r="G10" s="358"/>
      <c r="H10" s="358"/>
      <c r="I10" s="361" t="s">
        <v>601</v>
      </c>
      <c r="J10" s="358"/>
      <c r="K10" s="358"/>
      <c r="L10" s="358"/>
      <c r="M10" s="358"/>
      <c r="N10" s="361" t="s">
        <v>199</v>
      </c>
      <c r="O10" s="358"/>
      <c r="P10" s="358"/>
      <c r="Q10" s="358"/>
      <c r="R10" s="358"/>
      <c r="S10" s="358"/>
      <c r="T10" s="358"/>
      <c r="U10" s="358"/>
      <c r="V10" s="351" t="s">
        <v>23</v>
      </c>
      <c r="W10" s="351"/>
      <c r="X10" s="351"/>
      <c r="Y10" s="351"/>
      <c r="Z10" s="334"/>
      <c r="AA10" s="335"/>
      <c r="AB10" s="338"/>
      <c r="AC10" s="338"/>
      <c r="AD10" s="338"/>
      <c r="AE10" s="369"/>
      <c r="AF10" s="369"/>
      <c r="AG10" s="369"/>
      <c r="AH10" s="369"/>
      <c r="AI10" s="369"/>
      <c r="AJ10" s="369"/>
      <c r="AK10" s="369"/>
      <c r="AL10" s="369"/>
      <c r="AM10" s="369"/>
    </row>
    <row r="11" spans="1:39" s="2" customFormat="1" ht="80.25" customHeight="1">
      <c r="A11" s="10">
        <v>7</v>
      </c>
      <c r="B11" s="14" t="s">
        <v>103</v>
      </c>
      <c r="C11" s="12" t="s">
        <v>104</v>
      </c>
      <c r="D11" s="357" t="s">
        <v>597</v>
      </c>
      <c r="E11" s="358"/>
      <c r="F11" s="358"/>
      <c r="G11" s="358"/>
      <c r="H11" s="358"/>
      <c r="I11" s="359" t="s">
        <v>192</v>
      </c>
      <c r="J11" s="358"/>
      <c r="K11" s="358"/>
      <c r="L11" s="358"/>
      <c r="M11" s="358"/>
      <c r="N11" s="359" t="s">
        <v>602</v>
      </c>
      <c r="O11" s="358"/>
      <c r="P11" s="358"/>
      <c r="Q11" s="358"/>
      <c r="R11" s="358"/>
      <c r="S11" s="358"/>
      <c r="T11" s="358"/>
      <c r="U11" s="358"/>
      <c r="V11" s="338" t="s">
        <v>91</v>
      </c>
      <c r="W11" s="338"/>
      <c r="X11" s="338"/>
      <c r="Y11" s="338"/>
      <c r="Z11" s="334" t="s">
        <v>33</v>
      </c>
      <c r="AA11" s="335"/>
      <c r="AB11" s="343"/>
      <c r="AC11" s="343"/>
      <c r="AD11" s="343"/>
      <c r="AE11" s="361" t="s">
        <v>105</v>
      </c>
      <c r="AF11" s="361"/>
      <c r="AG11" s="361"/>
      <c r="AH11" s="361"/>
      <c r="AI11" s="361"/>
      <c r="AJ11" s="361"/>
      <c r="AK11" s="369" t="s">
        <v>106</v>
      </c>
      <c r="AL11" s="369"/>
      <c r="AM11" s="369"/>
    </row>
    <row r="15" spans="1:39">
      <c r="H15" t="s">
        <v>53</v>
      </c>
    </row>
    <row r="16" spans="1:39">
      <c r="H16" t="s">
        <v>57</v>
      </c>
    </row>
    <row r="17" spans="8:8">
      <c r="H17" t="s">
        <v>60</v>
      </c>
    </row>
    <row r="18" spans="8:8">
      <c r="H18" t="s">
        <v>51</v>
      </c>
    </row>
  </sheetData>
  <mergeCells count="84">
    <mergeCell ref="AB3:AM3"/>
    <mergeCell ref="AB4:AD4"/>
    <mergeCell ref="AE4:AG4"/>
    <mergeCell ref="AH4:AJ4"/>
    <mergeCell ref="AK4:AM4"/>
    <mergeCell ref="D5:H5"/>
    <mergeCell ref="I5:M5"/>
    <mergeCell ref="N5:Q5"/>
    <mergeCell ref="R5:U5"/>
    <mergeCell ref="V5:Y5"/>
    <mergeCell ref="Z5:AA5"/>
    <mergeCell ref="AB5:AD5"/>
    <mergeCell ref="AE5:AG5"/>
    <mergeCell ref="AH5:AJ5"/>
    <mergeCell ref="AK5:AM5"/>
    <mergeCell ref="D6:H6"/>
    <mergeCell ref="I6:M6"/>
    <mergeCell ref="N6:Q6"/>
    <mergeCell ref="R6:U6"/>
    <mergeCell ref="V6:Y6"/>
    <mergeCell ref="Z6:AA6"/>
    <mergeCell ref="AB6:AD6"/>
    <mergeCell ref="AE6:AG6"/>
    <mergeCell ref="AH6:AJ6"/>
    <mergeCell ref="AK6:AM6"/>
    <mergeCell ref="D7:H7"/>
    <mergeCell ref="I7:M7"/>
    <mergeCell ref="N7:Q7"/>
    <mergeCell ref="R7:U7"/>
    <mergeCell ref="V7:Y7"/>
    <mergeCell ref="Z7:AA7"/>
    <mergeCell ref="AB7:AD7"/>
    <mergeCell ref="AE7:AG7"/>
    <mergeCell ref="AH7:AJ7"/>
    <mergeCell ref="AK7:AM7"/>
    <mergeCell ref="D8:H8"/>
    <mergeCell ref="I8:M8"/>
    <mergeCell ref="N8:Q8"/>
    <mergeCell ref="R8:U8"/>
    <mergeCell ref="V8:Y8"/>
    <mergeCell ref="Z8:AA8"/>
    <mergeCell ref="AB8:AD8"/>
    <mergeCell ref="AE8:AG8"/>
    <mergeCell ref="AH8:AJ8"/>
    <mergeCell ref="AK8:AM8"/>
    <mergeCell ref="D9:H9"/>
    <mergeCell ref="I9:M9"/>
    <mergeCell ref="N9:Q9"/>
    <mergeCell ref="R9:U9"/>
    <mergeCell ref="V9:Y9"/>
    <mergeCell ref="Z9:AA9"/>
    <mergeCell ref="AB9:AD9"/>
    <mergeCell ref="AE9:AG9"/>
    <mergeCell ref="AH9:AJ9"/>
    <mergeCell ref="AK9:AM9"/>
    <mergeCell ref="D10:H10"/>
    <mergeCell ref="I10:M10"/>
    <mergeCell ref="N10:Q10"/>
    <mergeCell ref="R10:U10"/>
    <mergeCell ref="V10:Y10"/>
    <mergeCell ref="Z10:AA10"/>
    <mergeCell ref="AB10:AD10"/>
    <mergeCell ref="AE10:AG10"/>
    <mergeCell ref="AH10:AJ10"/>
    <mergeCell ref="AK10:AM10"/>
    <mergeCell ref="D11:H11"/>
    <mergeCell ref="I11:M11"/>
    <mergeCell ref="N11:Q11"/>
    <mergeCell ref="R11:U11"/>
    <mergeCell ref="V11:Y11"/>
    <mergeCell ref="Z11:AA11"/>
    <mergeCell ref="AB11:AD11"/>
    <mergeCell ref="AE11:AG11"/>
    <mergeCell ref="AH11:AJ11"/>
    <mergeCell ref="AK11:AM11"/>
    <mergeCell ref="V3:Y4"/>
    <mergeCell ref="Z3:AA4"/>
    <mergeCell ref="D3:H4"/>
    <mergeCell ref="I3:M4"/>
    <mergeCell ref="A3:A4"/>
    <mergeCell ref="B3:B4"/>
    <mergeCell ref="C3:C4"/>
    <mergeCell ref="N3:Q4"/>
    <mergeCell ref="R3:U4"/>
  </mergeCells>
  <phoneticPr fontId="14" type="noConversion"/>
  <pageMargins left="0.69930555555555596" right="0.69930555555555596"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dimension ref="A1:AI20"/>
  <sheetViews>
    <sheetView topLeftCell="A4" workbookViewId="0">
      <selection activeCell="K19" sqref="K19"/>
    </sheetView>
  </sheetViews>
  <sheetFormatPr defaultColWidth="9" defaultRowHeight="13.5"/>
  <cols>
    <col min="2" max="2" width="15.25" customWidth="1"/>
    <col min="3" max="3" width="17.25" customWidth="1"/>
    <col min="9" max="9" width="10.625" customWidth="1"/>
    <col min="13" max="13" width="43.5" customWidth="1"/>
    <col min="14" max="15" width="12.125" customWidth="1"/>
  </cols>
  <sheetData>
    <row r="1" spans="1:35">
      <c r="A1" s="3" t="s">
        <v>0</v>
      </c>
      <c r="B1" s="4" t="s">
        <v>107</v>
      </c>
      <c r="F1" s="16"/>
    </row>
    <row r="2" spans="1:35">
      <c r="A2" s="3" t="s">
        <v>68</v>
      </c>
      <c r="B2" s="5" t="s">
        <v>108</v>
      </c>
    </row>
    <row r="3" spans="1:35" s="1" customFormat="1" ht="43.5" customHeight="1">
      <c r="A3" s="330" t="s">
        <v>4</v>
      </c>
      <c r="B3" s="333" t="s">
        <v>5</v>
      </c>
      <c r="C3" s="352" t="s">
        <v>109</v>
      </c>
      <c r="D3" s="372" t="s">
        <v>6</v>
      </c>
      <c r="E3" s="372"/>
      <c r="F3" s="372"/>
      <c r="G3" s="372" t="s">
        <v>7</v>
      </c>
      <c r="H3" s="372"/>
      <c r="I3" s="372"/>
      <c r="J3" s="372" t="s">
        <v>8</v>
      </c>
      <c r="K3" s="372"/>
      <c r="L3" s="372"/>
      <c r="M3" s="372"/>
      <c r="N3" s="352" t="s">
        <v>9</v>
      </c>
      <c r="O3" s="352"/>
      <c r="P3" s="352"/>
      <c r="Q3" s="352"/>
      <c r="R3" s="330" t="s">
        <v>10</v>
      </c>
      <c r="S3" s="330"/>
      <c r="T3" s="330"/>
      <c r="U3" s="330"/>
      <c r="V3" s="330" t="s">
        <v>11</v>
      </c>
      <c r="W3" s="330"/>
      <c r="X3" s="330" t="s">
        <v>12</v>
      </c>
      <c r="Y3" s="330"/>
      <c r="Z3" s="330"/>
      <c r="AA3" s="330"/>
      <c r="AB3" s="330"/>
      <c r="AC3" s="330"/>
      <c r="AD3" s="330"/>
      <c r="AE3" s="330"/>
      <c r="AF3" s="330"/>
      <c r="AG3" s="330"/>
      <c r="AH3" s="330"/>
      <c r="AI3" s="330"/>
    </row>
    <row r="4" spans="1:35" s="1" customFormat="1" ht="43.5" customHeight="1">
      <c r="A4" s="330"/>
      <c r="B4" s="333"/>
      <c r="C4" s="371"/>
      <c r="D4" s="372"/>
      <c r="E4" s="372"/>
      <c r="F4" s="372"/>
      <c r="G4" s="372"/>
      <c r="H4" s="372"/>
      <c r="I4" s="372"/>
      <c r="J4" s="372"/>
      <c r="K4" s="372"/>
      <c r="L4" s="372"/>
      <c r="M4" s="372"/>
      <c r="N4" s="352"/>
      <c r="O4" s="352"/>
      <c r="P4" s="352"/>
      <c r="Q4" s="352"/>
      <c r="R4" s="330"/>
      <c r="S4" s="330"/>
      <c r="T4" s="330"/>
      <c r="U4" s="330"/>
      <c r="V4" s="330"/>
      <c r="W4" s="330"/>
      <c r="X4" s="352" t="s">
        <v>14</v>
      </c>
      <c r="Y4" s="352"/>
      <c r="Z4" s="352"/>
      <c r="AA4" s="352" t="s">
        <v>15</v>
      </c>
      <c r="AB4" s="352"/>
      <c r="AC4" s="352"/>
      <c r="AD4" s="352" t="s">
        <v>16</v>
      </c>
      <c r="AE4" s="352"/>
      <c r="AF4" s="352"/>
      <c r="AG4" s="330" t="s">
        <v>17</v>
      </c>
      <c r="AH4" s="330"/>
      <c r="AI4" s="330"/>
    </row>
    <row r="5" spans="1:35" s="2" customFormat="1" ht="43.5" customHeight="1">
      <c r="A5" s="17">
        <v>1</v>
      </c>
      <c r="B5" s="84" t="s">
        <v>605</v>
      </c>
      <c r="C5" s="9" t="s">
        <v>110</v>
      </c>
      <c r="D5" s="379" t="s">
        <v>606</v>
      </c>
      <c r="E5" s="380"/>
      <c r="F5" s="380"/>
      <c r="G5" s="379" t="s">
        <v>607</v>
      </c>
      <c r="H5" s="380"/>
      <c r="I5" s="380"/>
      <c r="J5" s="364" t="s">
        <v>212</v>
      </c>
      <c r="K5" s="365"/>
      <c r="L5" s="365"/>
      <c r="M5" s="365"/>
      <c r="N5" s="365"/>
      <c r="O5" s="365"/>
      <c r="P5" s="365"/>
      <c r="Q5" s="365"/>
      <c r="R5" s="351" t="s">
        <v>23</v>
      </c>
      <c r="S5" s="351"/>
      <c r="T5" s="351"/>
      <c r="U5" s="351"/>
      <c r="V5" s="334"/>
      <c r="W5" s="335"/>
      <c r="X5" s="338"/>
      <c r="Y5" s="338"/>
      <c r="Z5" s="338"/>
      <c r="AA5" s="338"/>
      <c r="AB5" s="338"/>
      <c r="AC5" s="338"/>
      <c r="AD5" s="343"/>
      <c r="AE5" s="343"/>
      <c r="AF5" s="343"/>
      <c r="AG5" s="350"/>
      <c r="AH5" s="350"/>
      <c r="AI5" s="335"/>
    </row>
    <row r="6" spans="1:35" s="2" customFormat="1" ht="62.25" customHeight="1">
      <c r="A6" s="17">
        <v>2</v>
      </c>
      <c r="B6" s="18" t="s">
        <v>565</v>
      </c>
      <c r="C6" s="12" t="s">
        <v>111</v>
      </c>
      <c r="D6" s="378" t="s">
        <v>610</v>
      </c>
      <c r="E6" s="377"/>
      <c r="F6" s="377"/>
      <c r="G6" s="378" t="s">
        <v>213</v>
      </c>
      <c r="H6" s="377"/>
      <c r="I6" s="377"/>
      <c r="J6" s="370" t="s">
        <v>196</v>
      </c>
      <c r="K6" s="358"/>
      <c r="L6" s="358"/>
      <c r="M6" s="358"/>
      <c r="N6" s="358"/>
      <c r="O6" s="358"/>
      <c r="P6" s="358"/>
      <c r="Q6" s="358"/>
      <c r="R6" s="338" t="s">
        <v>32</v>
      </c>
      <c r="S6" s="338"/>
      <c r="T6" s="338"/>
      <c r="U6" s="338"/>
      <c r="V6" s="334" t="s">
        <v>33</v>
      </c>
      <c r="W6" s="335"/>
      <c r="X6" s="338"/>
      <c r="Y6" s="338"/>
      <c r="Z6" s="338"/>
      <c r="AA6" s="338" t="s">
        <v>112</v>
      </c>
      <c r="AB6" s="338"/>
      <c r="AC6" s="338"/>
      <c r="AD6" s="338"/>
      <c r="AE6" s="338"/>
      <c r="AF6" s="338"/>
      <c r="AG6" s="369"/>
      <c r="AH6" s="369"/>
      <c r="AI6" s="369"/>
    </row>
    <row r="7" spans="1:35" s="2" customFormat="1" ht="70.5" customHeight="1">
      <c r="A7" s="17">
        <v>3</v>
      </c>
      <c r="B7" s="18" t="s">
        <v>566</v>
      </c>
      <c r="C7" s="12" t="s">
        <v>113</v>
      </c>
      <c r="D7" s="378" t="s">
        <v>611</v>
      </c>
      <c r="E7" s="377"/>
      <c r="F7" s="377"/>
      <c r="G7" s="378" t="s">
        <v>671</v>
      </c>
      <c r="H7" s="377"/>
      <c r="I7" s="377"/>
      <c r="J7" s="359" t="s">
        <v>670</v>
      </c>
      <c r="K7" s="358"/>
      <c r="L7" s="358"/>
      <c r="M7" s="358"/>
      <c r="N7" s="358"/>
      <c r="O7" s="358"/>
      <c r="P7" s="358"/>
      <c r="Q7" s="358"/>
      <c r="R7" s="338" t="s">
        <v>32</v>
      </c>
      <c r="S7" s="338"/>
      <c r="T7" s="338"/>
      <c r="U7" s="338"/>
      <c r="V7" s="334" t="s">
        <v>33</v>
      </c>
      <c r="W7" s="335"/>
      <c r="X7" s="338"/>
      <c r="Y7" s="338"/>
      <c r="Z7" s="338"/>
      <c r="AA7" s="334" t="s">
        <v>114</v>
      </c>
      <c r="AB7" s="350"/>
      <c r="AC7" s="335"/>
      <c r="AD7" s="369"/>
      <c r="AE7" s="369"/>
      <c r="AF7" s="369"/>
      <c r="AG7" s="338"/>
      <c r="AH7" s="338"/>
      <c r="AI7" s="338"/>
    </row>
    <row r="8" spans="1:35" s="2" customFormat="1" ht="82.5" customHeight="1">
      <c r="A8" s="17">
        <v>4</v>
      </c>
      <c r="B8" s="18" t="s">
        <v>685</v>
      </c>
      <c r="C8" s="12" t="s">
        <v>115</v>
      </c>
      <c r="D8" s="378" t="s">
        <v>682</v>
      </c>
      <c r="E8" s="377"/>
      <c r="F8" s="377"/>
      <c r="G8" s="378" t="s">
        <v>683</v>
      </c>
      <c r="H8" s="377"/>
      <c r="I8" s="377"/>
      <c r="J8" s="359" t="s">
        <v>613</v>
      </c>
      <c r="K8" s="358"/>
      <c r="L8" s="358"/>
      <c r="M8" s="358"/>
      <c r="N8" s="358"/>
      <c r="O8" s="358"/>
      <c r="P8" s="358"/>
      <c r="Q8" s="358"/>
      <c r="R8" s="338" t="s">
        <v>32</v>
      </c>
      <c r="S8" s="338"/>
      <c r="T8" s="338"/>
      <c r="U8" s="338"/>
      <c r="V8" s="334" t="s">
        <v>33</v>
      </c>
      <c r="W8" s="335"/>
      <c r="X8" s="338"/>
      <c r="Y8" s="338"/>
      <c r="Z8" s="338"/>
      <c r="AA8" s="361" t="s">
        <v>116</v>
      </c>
      <c r="AB8" s="361"/>
      <c r="AC8" s="361"/>
      <c r="AD8" s="369"/>
      <c r="AE8" s="369"/>
      <c r="AF8" s="369"/>
      <c r="AG8" s="369"/>
      <c r="AH8" s="369"/>
      <c r="AI8" s="369"/>
    </row>
    <row r="9" spans="1:35" s="2" customFormat="1" ht="69" customHeight="1">
      <c r="A9" s="17">
        <v>5</v>
      </c>
      <c r="B9" s="38" t="s">
        <v>201</v>
      </c>
      <c r="C9" s="39" t="s">
        <v>214</v>
      </c>
      <c r="D9" s="378" t="s">
        <v>614</v>
      </c>
      <c r="E9" s="377"/>
      <c r="F9" s="377"/>
      <c r="G9" s="378" t="s">
        <v>612</v>
      </c>
      <c r="H9" s="377"/>
      <c r="I9" s="377"/>
      <c r="J9" s="359" t="s">
        <v>615</v>
      </c>
      <c r="K9" s="358"/>
      <c r="L9" s="358"/>
      <c r="M9" s="358"/>
      <c r="N9" s="358"/>
      <c r="O9" s="358"/>
      <c r="P9" s="358"/>
      <c r="Q9" s="358"/>
      <c r="R9" s="338" t="s">
        <v>117</v>
      </c>
      <c r="S9" s="338"/>
      <c r="T9" s="338"/>
      <c r="U9" s="338"/>
      <c r="V9" s="334" t="s">
        <v>33</v>
      </c>
      <c r="W9" s="335"/>
      <c r="X9" s="338" t="s">
        <v>118</v>
      </c>
      <c r="Y9" s="338"/>
      <c r="Z9" s="338"/>
      <c r="AA9" s="369"/>
      <c r="AB9" s="369"/>
      <c r="AC9" s="369"/>
      <c r="AD9" s="369" t="s">
        <v>119</v>
      </c>
      <c r="AE9" s="369"/>
      <c r="AF9" s="369"/>
      <c r="AG9" s="369"/>
      <c r="AH9" s="369"/>
      <c r="AI9" s="369"/>
    </row>
    <row r="10" spans="1:35" s="2" customFormat="1" ht="49.5" customHeight="1">
      <c r="A10" s="17">
        <v>6</v>
      </c>
      <c r="B10" s="17" t="s">
        <v>676</v>
      </c>
      <c r="C10" s="9" t="s">
        <v>120</v>
      </c>
      <c r="D10" s="373" t="s">
        <v>174</v>
      </c>
      <c r="E10" s="377"/>
      <c r="F10" s="377"/>
      <c r="G10" s="373" t="s">
        <v>675</v>
      </c>
      <c r="H10" s="377"/>
      <c r="I10" s="377"/>
      <c r="J10" s="359" t="s">
        <v>200</v>
      </c>
      <c r="K10" s="358"/>
      <c r="L10" s="358"/>
      <c r="M10" s="358"/>
      <c r="N10" s="358"/>
      <c r="O10" s="358"/>
      <c r="P10" s="358"/>
      <c r="Q10" s="358"/>
      <c r="R10" s="351" t="s">
        <v>23</v>
      </c>
      <c r="S10" s="351"/>
      <c r="T10" s="351"/>
      <c r="U10" s="351"/>
      <c r="V10" s="334"/>
      <c r="W10" s="335"/>
      <c r="X10" s="338"/>
      <c r="Y10" s="338"/>
      <c r="Z10" s="338"/>
      <c r="AA10" s="369"/>
      <c r="AB10" s="369"/>
      <c r="AC10" s="369"/>
      <c r="AD10" s="369"/>
      <c r="AE10" s="369"/>
      <c r="AF10" s="369"/>
      <c r="AG10" s="369"/>
      <c r="AH10" s="369"/>
      <c r="AI10" s="369"/>
    </row>
    <row r="11" spans="1:35" s="2" customFormat="1" ht="80.25" customHeight="1">
      <c r="A11" s="17">
        <v>7</v>
      </c>
      <c r="B11" s="14" t="s">
        <v>121</v>
      </c>
      <c r="C11" s="12" t="s">
        <v>122</v>
      </c>
      <c r="D11" s="376" t="s">
        <v>204</v>
      </c>
      <c r="E11" s="377"/>
      <c r="F11" s="377"/>
      <c r="G11" s="378" t="s">
        <v>681</v>
      </c>
      <c r="H11" s="377"/>
      <c r="I11" s="377"/>
      <c r="J11" s="359" t="s">
        <v>616</v>
      </c>
      <c r="K11" s="358"/>
      <c r="L11" s="358"/>
      <c r="M11" s="358"/>
      <c r="N11" s="358"/>
      <c r="O11" s="358"/>
      <c r="P11" s="358"/>
      <c r="Q11" s="358"/>
      <c r="R11" s="338" t="s">
        <v>123</v>
      </c>
      <c r="S11" s="338"/>
      <c r="T11" s="338"/>
      <c r="U11" s="338"/>
      <c r="V11" s="334" t="s">
        <v>33</v>
      </c>
      <c r="W11" s="335"/>
      <c r="X11" s="373" t="s">
        <v>124</v>
      </c>
      <c r="Y11" s="374"/>
      <c r="Z11" s="375"/>
      <c r="AA11" s="361" t="s">
        <v>125</v>
      </c>
      <c r="AB11" s="361"/>
      <c r="AC11" s="361"/>
      <c r="AD11" s="361"/>
      <c r="AE11" s="361"/>
      <c r="AF11" s="361"/>
      <c r="AG11" s="369"/>
      <c r="AH11" s="369"/>
      <c r="AI11" s="369"/>
    </row>
    <row r="14" spans="1:35">
      <c r="B14" s="19"/>
      <c r="L14" s="36"/>
      <c r="M14" s="37"/>
    </row>
    <row r="15" spans="1:35">
      <c r="M15" s="37"/>
    </row>
    <row r="17" spans="9:9">
      <c r="I17" t="s">
        <v>51</v>
      </c>
    </row>
    <row r="18" spans="9:9">
      <c r="I18" t="s">
        <v>57</v>
      </c>
    </row>
    <row r="19" spans="9:9">
      <c r="I19" t="s">
        <v>60</v>
      </c>
    </row>
    <row r="20" spans="9:9">
      <c r="I20" t="s">
        <v>55</v>
      </c>
    </row>
  </sheetData>
  <mergeCells count="84">
    <mergeCell ref="X3:AI3"/>
    <mergeCell ref="X4:Z4"/>
    <mergeCell ref="AA4:AC4"/>
    <mergeCell ref="AD4:AF4"/>
    <mergeCell ref="AG4:AI4"/>
    <mergeCell ref="D5:F5"/>
    <mergeCell ref="G5:I5"/>
    <mergeCell ref="J5:M5"/>
    <mergeCell ref="N5:Q5"/>
    <mergeCell ref="R5:U5"/>
    <mergeCell ref="V5:W5"/>
    <mergeCell ref="X5:Z5"/>
    <mergeCell ref="AA5:AC5"/>
    <mergeCell ref="AD5:AF5"/>
    <mergeCell ref="AG5:AI5"/>
    <mergeCell ref="D6:F6"/>
    <mergeCell ref="G6:I6"/>
    <mergeCell ref="J6:M6"/>
    <mergeCell ref="N6:Q6"/>
    <mergeCell ref="R6:U6"/>
    <mergeCell ref="V6:W6"/>
    <mergeCell ref="X6:Z6"/>
    <mergeCell ref="AA6:AC6"/>
    <mergeCell ref="AD6:AF6"/>
    <mergeCell ref="AG6:AI6"/>
    <mergeCell ref="D7:F7"/>
    <mergeCell ref="G7:I7"/>
    <mergeCell ref="J7:M7"/>
    <mergeCell ref="N7:Q7"/>
    <mergeCell ref="R7:U7"/>
    <mergeCell ref="V7:W7"/>
    <mergeCell ref="X7:Z7"/>
    <mergeCell ref="AA7:AC7"/>
    <mergeCell ref="AD7:AF7"/>
    <mergeCell ref="AG7:AI7"/>
    <mergeCell ref="D8:F8"/>
    <mergeCell ref="G8:I8"/>
    <mergeCell ref="J8:M8"/>
    <mergeCell ref="N8:Q8"/>
    <mergeCell ref="R8:U8"/>
    <mergeCell ref="V8:W8"/>
    <mergeCell ref="X8:Z8"/>
    <mergeCell ref="AA8:AC8"/>
    <mergeCell ref="AD8:AF8"/>
    <mergeCell ref="AG8:AI8"/>
    <mergeCell ref="D9:F9"/>
    <mergeCell ref="G9:I9"/>
    <mergeCell ref="J9:M9"/>
    <mergeCell ref="N9:Q9"/>
    <mergeCell ref="R9:U9"/>
    <mergeCell ref="V9:W9"/>
    <mergeCell ref="X9:Z9"/>
    <mergeCell ref="AA9:AC9"/>
    <mergeCell ref="AD9:AF9"/>
    <mergeCell ref="AG9:AI9"/>
    <mergeCell ref="D10:F10"/>
    <mergeCell ref="G10:I10"/>
    <mergeCell ref="J10:M10"/>
    <mergeCell ref="N10:Q10"/>
    <mergeCell ref="R10:U10"/>
    <mergeCell ref="V10:W10"/>
    <mergeCell ref="X10:Z10"/>
    <mergeCell ref="AA10:AC10"/>
    <mergeCell ref="AD10:AF10"/>
    <mergeCell ref="AG10:AI10"/>
    <mergeCell ref="D11:F11"/>
    <mergeCell ref="G11:I11"/>
    <mergeCell ref="J11:M11"/>
    <mergeCell ref="N11:Q11"/>
    <mergeCell ref="R11:U11"/>
    <mergeCell ref="V11:W11"/>
    <mergeCell ref="X11:Z11"/>
    <mergeCell ref="AA11:AC11"/>
    <mergeCell ref="AD11:AF11"/>
    <mergeCell ref="AG11:AI11"/>
    <mergeCell ref="A3:A4"/>
    <mergeCell ref="B3:B4"/>
    <mergeCell ref="C3:C4"/>
    <mergeCell ref="V3:W4"/>
    <mergeCell ref="J3:M4"/>
    <mergeCell ref="N3:Q4"/>
    <mergeCell ref="R3:U4"/>
    <mergeCell ref="D3:F4"/>
    <mergeCell ref="G3:I4"/>
  </mergeCells>
  <phoneticPr fontId="14" type="noConversion"/>
  <pageMargins left="0.69930555555555596" right="0.69930555555555596"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dimension ref="A1:AM20"/>
  <sheetViews>
    <sheetView topLeftCell="A4" workbookViewId="0">
      <selection activeCell="N11" sqref="N11:Q11"/>
    </sheetView>
  </sheetViews>
  <sheetFormatPr defaultColWidth="9" defaultRowHeight="13.5"/>
  <cols>
    <col min="2" max="2" width="13.75" customWidth="1"/>
    <col min="3" max="3" width="17.25" customWidth="1"/>
    <col min="17" max="17" width="27.25" customWidth="1"/>
    <col min="18" max="19" width="12.125" customWidth="1"/>
  </cols>
  <sheetData>
    <row r="1" spans="1:39">
      <c r="A1" s="3" t="s">
        <v>0</v>
      </c>
      <c r="B1" t="s">
        <v>126</v>
      </c>
      <c r="C1" t="s">
        <v>127</v>
      </c>
    </row>
    <row r="3" spans="1:39" s="1" customFormat="1" ht="43.5" customHeight="1">
      <c r="A3" s="330" t="s">
        <v>4</v>
      </c>
      <c r="B3" s="333" t="s">
        <v>5</v>
      </c>
      <c r="C3" s="329" t="s">
        <v>128</v>
      </c>
      <c r="D3" s="329" t="s">
        <v>6</v>
      </c>
      <c r="E3" s="329"/>
      <c r="F3" s="329"/>
      <c r="G3" s="329"/>
      <c r="H3" s="329"/>
      <c r="I3" s="329" t="s">
        <v>7</v>
      </c>
      <c r="J3" s="329"/>
      <c r="K3" s="329"/>
      <c r="L3" s="329"/>
      <c r="M3" s="329"/>
      <c r="N3" s="383" t="s">
        <v>8</v>
      </c>
      <c r="O3" s="383"/>
      <c r="P3" s="383"/>
      <c r="Q3" s="383"/>
      <c r="R3" s="352" t="s">
        <v>9</v>
      </c>
      <c r="S3" s="352"/>
      <c r="T3" s="352"/>
      <c r="U3" s="352"/>
      <c r="V3" s="352" t="s">
        <v>10</v>
      </c>
      <c r="W3" s="330"/>
      <c r="X3" s="330"/>
      <c r="Y3" s="330"/>
      <c r="Z3" s="330" t="s">
        <v>11</v>
      </c>
      <c r="AA3" s="330"/>
      <c r="AB3" s="330" t="s">
        <v>12</v>
      </c>
      <c r="AC3" s="330"/>
      <c r="AD3" s="330"/>
      <c r="AE3" s="330"/>
      <c r="AF3" s="330"/>
      <c r="AG3" s="330"/>
      <c r="AH3" s="330"/>
      <c r="AI3" s="330"/>
      <c r="AJ3" s="330"/>
      <c r="AK3" s="330"/>
      <c r="AL3" s="330"/>
      <c r="AM3" s="330"/>
    </row>
    <row r="4" spans="1:39" s="1" customFormat="1" ht="43.5" customHeight="1">
      <c r="A4" s="330"/>
      <c r="B4" s="381"/>
      <c r="C4" s="382"/>
      <c r="D4" s="329"/>
      <c r="E4" s="329"/>
      <c r="F4" s="329"/>
      <c r="G4" s="329"/>
      <c r="H4" s="329"/>
      <c r="I4" s="329"/>
      <c r="J4" s="329"/>
      <c r="K4" s="329"/>
      <c r="L4" s="329"/>
      <c r="M4" s="329"/>
      <c r="N4" s="383"/>
      <c r="O4" s="383"/>
      <c r="P4" s="383"/>
      <c r="Q4" s="383"/>
      <c r="R4" s="352"/>
      <c r="S4" s="352"/>
      <c r="T4" s="352"/>
      <c r="U4" s="352"/>
      <c r="V4" s="330"/>
      <c r="W4" s="330"/>
      <c r="X4" s="330"/>
      <c r="Y4" s="330"/>
      <c r="Z4" s="330"/>
      <c r="AA4" s="330"/>
      <c r="AB4" s="352" t="s">
        <v>14</v>
      </c>
      <c r="AC4" s="352"/>
      <c r="AD4" s="352"/>
      <c r="AE4" s="352" t="s">
        <v>15</v>
      </c>
      <c r="AF4" s="352"/>
      <c r="AG4" s="352"/>
      <c r="AH4" s="352" t="s">
        <v>16</v>
      </c>
      <c r="AI4" s="352"/>
      <c r="AJ4" s="352"/>
      <c r="AK4" s="330" t="s">
        <v>17</v>
      </c>
      <c r="AL4" s="330"/>
      <c r="AM4" s="330"/>
    </row>
    <row r="5" spans="1:39" s="2" customFormat="1" ht="43.5" customHeight="1">
      <c r="A5" s="7">
        <v>1</v>
      </c>
      <c r="B5" s="74" t="s">
        <v>619</v>
      </c>
      <c r="C5" s="9" t="s">
        <v>129</v>
      </c>
      <c r="D5" s="359" t="s">
        <v>617</v>
      </c>
      <c r="E5" s="361"/>
      <c r="F5" s="361"/>
      <c r="G5" s="361"/>
      <c r="H5" s="361"/>
      <c r="I5" s="359" t="s">
        <v>618</v>
      </c>
      <c r="J5" s="361"/>
      <c r="K5" s="361"/>
      <c r="L5" s="361"/>
      <c r="M5" s="361"/>
      <c r="N5" s="359" t="s">
        <v>620</v>
      </c>
      <c r="O5" s="361"/>
      <c r="P5" s="361"/>
      <c r="Q5" s="361"/>
      <c r="R5" s="365"/>
      <c r="S5" s="365"/>
      <c r="T5" s="365"/>
      <c r="U5" s="365"/>
      <c r="V5" s="351" t="s">
        <v>23</v>
      </c>
      <c r="W5" s="351"/>
      <c r="X5" s="351"/>
      <c r="Y5" s="351"/>
      <c r="Z5" s="334"/>
      <c r="AA5" s="335"/>
      <c r="AB5" s="351"/>
      <c r="AC5" s="351"/>
      <c r="AD5" s="351"/>
      <c r="AE5" s="351"/>
      <c r="AF5" s="351"/>
      <c r="AG5" s="351"/>
      <c r="AH5" s="351"/>
      <c r="AI5" s="351"/>
      <c r="AJ5" s="351"/>
      <c r="AK5" s="351"/>
      <c r="AL5" s="351"/>
      <c r="AM5" s="351"/>
    </row>
    <row r="6" spans="1:39" s="2" customFormat="1" ht="67.5" customHeight="1">
      <c r="A6" s="10">
        <v>2</v>
      </c>
      <c r="B6" s="14" t="s">
        <v>132</v>
      </c>
      <c r="C6" s="12" t="s">
        <v>133</v>
      </c>
      <c r="D6" s="359" t="s">
        <v>621</v>
      </c>
      <c r="E6" s="361"/>
      <c r="F6" s="361"/>
      <c r="G6" s="361"/>
      <c r="H6" s="361"/>
      <c r="I6" s="359" t="s">
        <v>622</v>
      </c>
      <c r="J6" s="361"/>
      <c r="K6" s="361"/>
      <c r="L6" s="361"/>
      <c r="M6" s="361"/>
      <c r="N6" s="359" t="s">
        <v>623</v>
      </c>
      <c r="O6" s="361"/>
      <c r="P6" s="361"/>
      <c r="Q6" s="361"/>
      <c r="R6" s="358"/>
      <c r="S6" s="358"/>
      <c r="T6" s="358"/>
      <c r="U6" s="358"/>
      <c r="V6" s="334"/>
      <c r="W6" s="350"/>
      <c r="X6" s="350"/>
      <c r="Y6" s="350"/>
      <c r="Z6" s="334" t="s">
        <v>33</v>
      </c>
      <c r="AA6" s="335"/>
      <c r="AB6" s="338"/>
      <c r="AC6" s="338"/>
      <c r="AD6" s="338"/>
      <c r="AE6" s="338" t="s">
        <v>134</v>
      </c>
      <c r="AF6" s="338"/>
      <c r="AG6" s="338"/>
      <c r="AH6" s="338"/>
      <c r="AI6" s="338"/>
      <c r="AJ6" s="338"/>
      <c r="AK6" s="338"/>
      <c r="AL6" s="338"/>
      <c r="AM6" s="338"/>
    </row>
    <row r="7" spans="1:39" s="2" customFormat="1" ht="43.5" customHeight="1">
      <c r="A7" s="10">
        <v>3</v>
      </c>
      <c r="B7" s="14" t="s">
        <v>135</v>
      </c>
      <c r="C7" s="12" t="s">
        <v>136</v>
      </c>
      <c r="D7" s="359" t="s">
        <v>624</v>
      </c>
      <c r="E7" s="361"/>
      <c r="F7" s="361"/>
      <c r="G7" s="361"/>
      <c r="H7" s="361"/>
      <c r="I7" s="359" t="s">
        <v>625</v>
      </c>
      <c r="J7" s="361"/>
      <c r="K7" s="361"/>
      <c r="L7" s="361"/>
      <c r="M7" s="361"/>
      <c r="N7" s="359" t="s">
        <v>626</v>
      </c>
      <c r="O7" s="361"/>
      <c r="P7" s="361"/>
      <c r="Q7" s="361"/>
      <c r="R7" s="358"/>
      <c r="S7" s="358"/>
      <c r="T7" s="358"/>
      <c r="U7" s="358"/>
      <c r="V7" s="338" t="s">
        <v>137</v>
      </c>
      <c r="W7" s="338"/>
      <c r="X7" s="338"/>
      <c r="Y7" s="338"/>
      <c r="Z7" s="334" t="s">
        <v>33</v>
      </c>
      <c r="AA7" s="335"/>
      <c r="AB7" s="338"/>
      <c r="AC7" s="338"/>
      <c r="AD7" s="338"/>
      <c r="AE7" s="362" t="s">
        <v>138</v>
      </c>
      <c r="AF7" s="363"/>
      <c r="AG7" s="363"/>
      <c r="AH7" s="338"/>
      <c r="AI7" s="338"/>
      <c r="AJ7" s="338"/>
      <c r="AK7" s="338" t="s">
        <v>139</v>
      </c>
      <c r="AL7" s="338"/>
      <c r="AM7" s="338"/>
    </row>
    <row r="8" spans="1:39" s="2" customFormat="1" ht="82.5" customHeight="1">
      <c r="A8" s="10">
        <v>4</v>
      </c>
      <c r="B8" s="14" t="s">
        <v>627</v>
      </c>
      <c r="C8" s="12" t="s">
        <v>140</v>
      </c>
      <c r="D8" s="359" t="s">
        <v>628</v>
      </c>
      <c r="E8" s="361"/>
      <c r="F8" s="361"/>
      <c r="G8" s="361"/>
      <c r="H8" s="361"/>
      <c r="I8" s="359" t="s">
        <v>629</v>
      </c>
      <c r="J8" s="361"/>
      <c r="K8" s="361"/>
      <c r="L8" s="361"/>
      <c r="M8" s="361"/>
      <c r="N8" s="359" t="s">
        <v>630</v>
      </c>
      <c r="O8" s="361"/>
      <c r="P8" s="361"/>
      <c r="Q8" s="361"/>
      <c r="R8" s="358"/>
      <c r="S8" s="358"/>
      <c r="T8" s="358"/>
      <c r="U8" s="358"/>
      <c r="V8" s="338" t="s">
        <v>141</v>
      </c>
      <c r="W8" s="338"/>
      <c r="X8" s="338"/>
      <c r="Y8" s="338"/>
      <c r="Z8" s="334" t="s">
        <v>33</v>
      </c>
      <c r="AA8" s="335"/>
      <c r="AB8" s="338"/>
      <c r="AC8" s="338"/>
      <c r="AD8" s="338"/>
      <c r="AE8" s="337" t="s">
        <v>142</v>
      </c>
      <c r="AF8" s="384"/>
      <c r="AG8" s="384"/>
      <c r="AH8" s="362" t="s">
        <v>143</v>
      </c>
      <c r="AI8" s="363"/>
      <c r="AJ8" s="363"/>
      <c r="AK8" s="343"/>
      <c r="AL8" s="343"/>
      <c r="AM8" s="343"/>
    </row>
    <row r="9" spans="1:39" s="2" customFormat="1" ht="81.75" customHeight="1">
      <c r="A9" s="10">
        <v>5</v>
      </c>
      <c r="B9" s="14" t="s">
        <v>634</v>
      </c>
      <c r="C9" s="12" t="s">
        <v>144</v>
      </c>
      <c r="D9" s="359" t="s">
        <v>631</v>
      </c>
      <c r="E9" s="361"/>
      <c r="F9" s="361"/>
      <c r="G9" s="361"/>
      <c r="H9" s="361"/>
      <c r="I9" s="359" t="s">
        <v>636</v>
      </c>
      <c r="J9" s="361"/>
      <c r="K9" s="361"/>
      <c r="L9" s="361"/>
      <c r="M9" s="361"/>
      <c r="N9" s="359" t="s">
        <v>632</v>
      </c>
      <c r="O9" s="361"/>
      <c r="P9" s="361"/>
      <c r="Q9" s="361"/>
      <c r="R9" s="358"/>
      <c r="S9" s="358"/>
      <c r="T9" s="358"/>
      <c r="U9" s="358"/>
      <c r="V9" s="338" t="s">
        <v>38</v>
      </c>
      <c r="W9" s="338"/>
      <c r="X9" s="338"/>
      <c r="Y9" s="338"/>
      <c r="Z9" s="334" t="s">
        <v>33</v>
      </c>
      <c r="AA9" s="335"/>
      <c r="AB9" s="360"/>
      <c r="AC9" s="360"/>
      <c r="AD9" s="360"/>
      <c r="AE9" s="337" t="s">
        <v>142</v>
      </c>
      <c r="AF9" s="384"/>
      <c r="AG9" s="384"/>
      <c r="AH9" s="338"/>
      <c r="AI9" s="338"/>
      <c r="AJ9" s="338"/>
      <c r="AK9" s="338"/>
      <c r="AL9" s="338"/>
      <c r="AM9" s="338"/>
    </row>
    <row r="10" spans="1:39" s="2" customFormat="1" ht="43.5" customHeight="1">
      <c r="A10" s="10">
        <v>6</v>
      </c>
      <c r="B10" s="15" t="s">
        <v>638</v>
      </c>
      <c r="C10" s="9" t="s">
        <v>145</v>
      </c>
      <c r="D10" s="359" t="s">
        <v>637</v>
      </c>
      <c r="E10" s="361"/>
      <c r="F10" s="361"/>
      <c r="G10" s="361"/>
      <c r="H10" s="361"/>
      <c r="I10" s="359" t="s">
        <v>640</v>
      </c>
      <c r="J10" s="361"/>
      <c r="K10" s="361"/>
      <c r="L10" s="361"/>
      <c r="M10" s="361"/>
      <c r="N10" s="359" t="s">
        <v>633</v>
      </c>
      <c r="O10" s="361"/>
      <c r="P10" s="361"/>
      <c r="Q10" s="361"/>
      <c r="R10" s="358"/>
      <c r="S10" s="358"/>
      <c r="T10" s="358"/>
      <c r="U10" s="358"/>
      <c r="V10" s="338" t="s">
        <v>46</v>
      </c>
      <c r="W10" s="338"/>
      <c r="X10" s="338"/>
      <c r="Y10" s="338"/>
      <c r="Z10" s="334"/>
      <c r="AA10" s="335"/>
      <c r="AB10" s="338"/>
      <c r="AC10" s="338"/>
      <c r="AD10" s="338"/>
      <c r="AE10" s="338"/>
      <c r="AF10" s="338"/>
      <c r="AG10" s="338"/>
      <c r="AH10" s="338"/>
      <c r="AI10" s="338"/>
      <c r="AJ10" s="338"/>
      <c r="AK10" s="338"/>
      <c r="AL10" s="338"/>
      <c r="AM10" s="338"/>
    </row>
    <row r="11" spans="1:39" s="2" customFormat="1" ht="78" customHeight="1">
      <c r="A11" s="10">
        <v>7</v>
      </c>
      <c r="B11" s="14" t="s">
        <v>567</v>
      </c>
      <c r="C11" s="12" t="s">
        <v>146</v>
      </c>
      <c r="D11" s="357" t="s">
        <v>641</v>
      </c>
      <c r="E11" s="361"/>
      <c r="F11" s="361"/>
      <c r="G11" s="361"/>
      <c r="H11" s="361"/>
      <c r="I11" s="359" t="s">
        <v>642</v>
      </c>
      <c r="J11" s="361"/>
      <c r="K11" s="361"/>
      <c r="L11" s="361"/>
      <c r="M11" s="361"/>
      <c r="N11" s="359" t="s">
        <v>206</v>
      </c>
      <c r="O11" s="361"/>
      <c r="P11" s="361"/>
      <c r="Q11" s="361"/>
      <c r="R11" s="358"/>
      <c r="S11" s="358"/>
      <c r="T11" s="358"/>
      <c r="U11" s="358"/>
      <c r="V11" s="338" t="s">
        <v>32</v>
      </c>
      <c r="W11" s="338"/>
      <c r="X11" s="338"/>
      <c r="Y11" s="338"/>
      <c r="Z11" s="334" t="s">
        <v>33</v>
      </c>
      <c r="AA11" s="335"/>
      <c r="AB11" s="353"/>
      <c r="AC11" s="353"/>
      <c r="AD11" s="353"/>
      <c r="AE11" s="336" t="s">
        <v>147</v>
      </c>
      <c r="AF11" s="336"/>
      <c r="AG11" s="336"/>
      <c r="AH11" s="343"/>
      <c r="AI11" s="343"/>
      <c r="AJ11" s="343"/>
      <c r="AK11" s="338"/>
      <c r="AL11" s="338"/>
      <c r="AM11" s="338"/>
    </row>
    <row r="17" spans="8:8">
      <c r="H17" s="37" t="s">
        <v>202</v>
      </c>
    </row>
    <row r="18" spans="8:8">
      <c r="H18" t="s">
        <v>57</v>
      </c>
    </row>
    <row r="19" spans="8:8">
      <c r="H19" t="s">
        <v>60</v>
      </c>
    </row>
    <row r="20" spans="8:8">
      <c r="H20" t="s">
        <v>56</v>
      </c>
    </row>
  </sheetData>
  <mergeCells count="84">
    <mergeCell ref="AB3:AM3"/>
    <mergeCell ref="AB4:AD4"/>
    <mergeCell ref="AE4:AG4"/>
    <mergeCell ref="AH4:AJ4"/>
    <mergeCell ref="AK4:AM4"/>
    <mergeCell ref="D5:H5"/>
    <mergeCell ref="I5:M5"/>
    <mergeCell ref="N5:Q5"/>
    <mergeCell ref="R5:U5"/>
    <mergeCell ref="V5:Y5"/>
    <mergeCell ref="Z5:AA5"/>
    <mergeCell ref="AB5:AD5"/>
    <mergeCell ref="AE5:AG5"/>
    <mergeCell ref="AH5:AJ5"/>
    <mergeCell ref="AK5:AM5"/>
    <mergeCell ref="D6:H6"/>
    <mergeCell ref="I6:M6"/>
    <mergeCell ref="N6:Q6"/>
    <mergeCell ref="R6:U6"/>
    <mergeCell ref="V6:Y6"/>
    <mergeCell ref="Z6:AA6"/>
    <mergeCell ref="AB6:AD6"/>
    <mergeCell ref="AE6:AG6"/>
    <mergeCell ref="AH6:AJ6"/>
    <mergeCell ref="AK6:AM6"/>
    <mergeCell ref="D7:H7"/>
    <mergeCell ref="I7:M7"/>
    <mergeCell ref="N7:Q7"/>
    <mergeCell ref="R7:U7"/>
    <mergeCell ref="V7:Y7"/>
    <mergeCell ref="Z7:AA7"/>
    <mergeCell ref="AB7:AD7"/>
    <mergeCell ref="AE7:AG7"/>
    <mergeCell ref="AH7:AJ7"/>
    <mergeCell ref="AK7:AM7"/>
    <mergeCell ref="D8:H8"/>
    <mergeCell ref="I8:M8"/>
    <mergeCell ref="N8:Q8"/>
    <mergeCell ref="R8:U8"/>
    <mergeCell ref="V8:Y8"/>
    <mergeCell ref="Z8:AA8"/>
    <mergeCell ref="AB8:AD8"/>
    <mergeCell ref="AE8:AG8"/>
    <mergeCell ref="AH8:AJ8"/>
    <mergeCell ref="AK8:AM8"/>
    <mergeCell ref="D9:H9"/>
    <mergeCell ref="I9:M9"/>
    <mergeCell ref="N9:Q9"/>
    <mergeCell ref="R9:U9"/>
    <mergeCell ref="V9:Y9"/>
    <mergeCell ref="Z9:AA9"/>
    <mergeCell ref="AB9:AD9"/>
    <mergeCell ref="AE9:AG9"/>
    <mergeCell ref="AH9:AJ9"/>
    <mergeCell ref="AK9:AM9"/>
    <mergeCell ref="D10:H10"/>
    <mergeCell ref="I10:M10"/>
    <mergeCell ref="N10:Q10"/>
    <mergeCell ref="R10:U10"/>
    <mergeCell ref="V10:Y10"/>
    <mergeCell ref="Z10:AA10"/>
    <mergeCell ref="AB10:AD10"/>
    <mergeCell ref="AE10:AG10"/>
    <mergeCell ref="AH10:AJ10"/>
    <mergeCell ref="AK10:AM10"/>
    <mergeCell ref="D11:H11"/>
    <mergeCell ref="I11:M11"/>
    <mergeCell ref="N11:Q11"/>
    <mergeCell ref="R11:U11"/>
    <mergeCell ref="V11:Y11"/>
    <mergeCell ref="Z11:AA11"/>
    <mergeCell ref="AB11:AD11"/>
    <mergeCell ref="AE11:AG11"/>
    <mergeCell ref="AH11:AJ11"/>
    <mergeCell ref="AK11:AM11"/>
    <mergeCell ref="A3:A4"/>
    <mergeCell ref="B3:B4"/>
    <mergeCell ref="C3:C4"/>
    <mergeCell ref="Z3:AA4"/>
    <mergeCell ref="N3:Q4"/>
    <mergeCell ref="R3:U4"/>
    <mergeCell ref="V3:Y4"/>
    <mergeCell ref="D3:H4"/>
    <mergeCell ref="I3:M4"/>
  </mergeCells>
  <phoneticPr fontId="14" type="noConversion"/>
  <pageMargins left="0.69930555555555596" right="0.69930555555555596" top="0.75" bottom="0.75" header="0.3" footer="0.3"/>
  <pageSetup paperSize="9" orientation="portrait" horizontalDpi="200" verticalDpi="300"/>
</worksheet>
</file>

<file path=xl/worksheets/sheet6.xml><?xml version="1.0" encoding="utf-8"?>
<worksheet xmlns="http://schemas.openxmlformats.org/spreadsheetml/2006/main" xmlns:r="http://schemas.openxmlformats.org/officeDocument/2006/relationships">
  <dimension ref="A1:AM29"/>
  <sheetViews>
    <sheetView topLeftCell="A7" workbookViewId="0">
      <selection activeCell="J10" sqref="J10:M10"/>
    </sheetView>
  </sheetViews>
  <sheetFormatPr defaultColWidth="9" defaultRowHeight="13.5"/>
  <cols>
    <col min="2" max="2" width="13.75" customWidth="1"/>
    <col min="3" max="3" width="19.25" customWidth="1"/>
    <col min="9" max="9" width="10.625" customWidth="1"/>
    <col min="14" max="15" width="12.125" customWidth="1"/>
    <col min="18" max="19" width="12.125" customWidth="1"/>
  </cols>
  <sheetData>
    <row r="1" spans="1:39">
      <c r="A1" s="3" t="s">
        <v>0</v>
      </c>
      <c r="B1" s="4" t="s">
        <v>148</v>
      </c>
      <c r="C1" s="3" t="s">
        <v>68</v>
      </c>
      <c r="D1" s="5" t="s">
        <v>149</v>
      </c>
      <c r="F1" s="3" t="s">
        <v>87</v>
      </c>
    </row>
    <row r="3" spans="1:39">
      <c r="A3" s="332" t="s">
        <v>2</v>
      </c>
    </row>
    <row r="4" spans="1:39">
      <c r="A4" s="332"/>
      <c r="B4" s="6" t="s">
        <v>150</v>
      </c>
    </row>
    <row r="6" spans="1:39" s="1" customFormat="1" ht="43.5" customHeight="1">
      <c r="A6" s="330" t="s">
        <v>4</v>
      </c>
      <c r="B6" s="333" t="s">
        <v>5</v>
      </c>
      <c r="C6" s="352" t="s">
        <v>151</v>
      </c>
      <c r="D6" s="372" t="s">
        <v>6</v>
      </c>
      <c r="E6" s="372"/>
      <c r="F6" s="372"/>
      <c r="G6" s="372"/>
      <c r="H6" s="372"/>
      <c r="I6" s="372"/>
      <c r="J6" s="352" t="s">
        <v>7</v>
      </c>
      <c r="K6" s="352"/>
      <c r="L6" s="352"/>
      <c r="M6" s="352"/>
      <c r="N6" s="352" t="s">
        <v>8</v>
      </c>
      <c r="O6" s="352"/>
      <c r="P6" s="352"/>
      <c r="Q6" s="352"/>
      <c r="R6" s="352" t="s">
        <v>9</v>
      </c>
      <c r="S6" s="352"/>
      <c r="T6" s="352"/>
      <c r="U6" s="352"/>
      <c r="V6" s="330" t="s">
        <v>10</v>
      </c>
      <c r="W6" s="330"/>
      <c r="X6" s="330"/>
      <c r="Y6" s="330"/>
      <c r="Z6" s="330" t="s">
        <v>11</v>
      </c>
      <c r="AA6" s="330"/>
      <c r="AB6" s="330" t="s">
        <v>12</v>
      </c>
      <c r="AC6" s="330"/>
      <c r="AD6" s="330"/>
      <c r="AE6" s="330"/>
      <c r="AF6" s="330"/>
      <c r="AG6" s="330"/>
      <c r="AH6" s="330"/>
      <c r="AI6" s="330"/>
      <c r="AJ6" s="330"/>
      <c r="AK6" s="330"/>
      <c r="AL6" s="330"/>
      <c r="AM6" s="330"/>
    </row>
    <row r="7" spans="1:39" s="1" customFormat="1" ht="43.5" customHeight="1">
      <c r="A7" s="330"/>
      <c r="B7" s="333"/>
      <c r="C7" s="371"/>
      <c r="D7" s="372"/>
      <c r="E7" s="372"/>
      <c r="F7" s="372"/>
      <c r="G7" s="372"/>
      <c r="H7" s="372"/>
      <c r="I7" s="372"/>
      <c r="J7" s="352"/>
      <c r="K7" s="352"/>
      <c r="L7" s="352"/>
      <c r="M7" s="352"/>
      <c r="N7" s="352"/>
      <c r="O7" s="352"/>
      <c r="P7" s="352"/>
      <c r="Q7" s="352"/>
      <c r="R7" s="352"/>
      <c r="S7" s="352"/>
      <c r="T7" s="352"/>
      <c r="U7" s="352"/>
      <c r="V7" s="330"/>
      <c r="W7" s="330"/>
      <c r="X7" s="330"/>
      <c r="Y7" s="330"/>
      <c r="Z7" s="330"/>
      <c r="AA7" s="330"/>
      <c r="AB7" s="352" t="s">
        <v>14</v>
      </c>
      <c r="AC7" s="352"/>
      <c r="AD7" s="352"/>
      <c r="AE7" s="352" t="s">
        <v>15</v>
      </c>
      <c r="AF7" s="352"/>
      <c r="AG7" s="352"/>
      <c r="AH7" s="352" t="s">
        <v>16</v>
      </c>
      <c r="AI7" s="352"/>
      <c r="AJ7" s="352"/>
      <c r="AK7" s="330" t="s">
        <v>17</v>
      </c>
      <c r="AL7" s="330"/>
      <c r="AM7" s="330"/>
    </row>
    <row r="8" spans="1:39" s="2" customFormat="1" ht="43.5" customHeight="1">
      <c r="A8" s="7">
        <v>1</v>
      </c>
      <c r="B8" s="85" t="s">
        <v>215</v>
      </c>
      <c r="C8" s="74" t="s">
        <v>643</v>
      </c>
      <c r="D8" s="364" t="s">
        <v>644</v>
      </c>
      <c r="E8" s="365"/>
      <c r="F8" s="365"/>
      <c r="G8" s="365"/>
      <c r="H8" s="365"/>
      <c r="I8" s="365"/>
      <c r="J8" s="364" t="s">
        <v>646</v>
      </c>
      <c r="K8" s="365"/>
      <c r="L8" s="365"/>
      <c r="M8" s="365"/>
      <c r="N8" s="364" t="s">
        <v>647</v>
      </c>
      <c r="O8" s="365"/>
      <c r="P8" s="365"/>
      <c r="Q8" s="365"/>
      <c r="R8" s="365"/>
      <c r="S8" s="365"/>
      <c r="T8" s="365"/>
      <c r="U8" s="365"/>
      <c r="V8" s="351" t="s">
        <v>23</v>
      </c>
      <c r="W8" s="351"/>
      <c r="X8" s="351"/>
      <c r="Y8" s="351"/>
      <c r="Z8" s="334"/>
      <c r="AA8" s="335"/>
      <c r="AB8" s="351"/>
      <c r="AC8" s="351"/>
      <c r="AD8" s="351"/>
      <c r="AE8" s="351"/>
      <c r="AF8" s="351"/>
      <c r="AG8" s="351"/>
      <c r="AH8" s="351"/>
      <c r="AI8" s="351"/>
      <c r="AJ8" s="351"/>
      <c r="AK8" s="351"/>
      <c r="AL8" s="351"/>
      <c r="AM8" s="351"/>
    </row>
    <row r="9" spans="1:39" s="2" customFormat="1" ht="101.25" customHeight="1">
      <c r="A9" s="10">
        <v>2</v>
      </c>
      <c r="B9" s="11" t="s">
        <v>153</v>
      </c>
      <c r="C9" s="12" t="s">
        <v>154</v>
      </c>
      <c r="D9" s="359" t="s">
        <v>645</v>
      </c>
      <c r="E9" s="358"/>
      <c r="F9" s="358"/>
      <c r="G9" s="358"/>
      <c r="H9" s="358"/>
      <c r="I9" s="358"/>
      <c r="J9" s="359" t="s">
        <v>648</v>
      </c>
      <c r="K9" s="358"/>
      <c r="L9" s="358"/>
      <c r="M9" s="358"/>
      <c r="N9" s="359" t="s">
        <v>649</v>
      </c>
      <c r="O9" s="358"/>
      <c r="P9" s="358"/>
      <c r="Q9" s="358"/>
      <c r="R9" s="358"/>
      <c r="S9" s="358"/>
      <c r="T9" s="358"/>
      <c r="U9" s="358"/>
      <c r="V9" s="338" t="s">
        <v>141</v>
      </c>
      <c r="W9" s="338"/>
      <c r="X9" s="338"/>
      <c r="Y9" s="338"/>
      <c r="Z9" s="334" t="s">
        <v>33</v>
      </c>
      <c r="AA9" s="335"/>
      <c r="AB9" s="338"/>
      <c r="AC9" s="338"/>
      <c r="AD9" s="354"/>
      <c r="AE9" s="354" t="s">
        <v>156</v>
      </c>
      <c r="AF9" s="355"/>
      <c r="AG9" s="356"/>
      <c r="AH9" s="354" t="s">
        <v>157</v>
      </c>
      <c r="AI9" s="355"/>
      <c r="AJ9" s="356"/>
      <c r="AK9" s="369"/>
      <c r="AL9" s="369"/>
      <c r="AM9" s="369"/>
    </row>
    <row r="10" spans="1:39" s="2" customFormat="1" ht="76.5" customHeight="1">
      <c r="A10" s="10">
        <v>3</v>
      </c>
      <c r="B10" s="41" t="s">
        <v>218</v>
      </c>
      <c r="C10" s="12" t="s">
        <v>158</v>
      </c>
      <c r="D10" s="359" t="s">
        <v>650</v>
      </c>
      <c r="E10" s="358"/>
      <c r="F10" s="358"/>
      <c r="G10" s="358"/>
      <c r="H10" s="358"/>
      <c r="I10" s="358"/>
      <c r="J10" s="359" t="s">
        <v>654</v>
      </c>
      <c r="K10" s="358"/>
      <c r="L10" s="358"/>
      <c r="M10" s="358"/>
      <c r="N10" s="359" t="s">
        <v>655</v>
      </c>
      <c r="O10" s="358"/>
      <c r="P10" s="358"/>
      <c r="Q10" s="358"/>
      <c r="R10" s="358"/>
      <c r="S10" s="358"/>
      <c r="T10" s="358"/>
      <c r="U10" s="358"/>
      <c r="V10" s="338" t="s">
        <v>32</v>
      </c>
      <c r="W10" s="338"/>
      <c r="X10" s="338"/>
      <c r="Y10" s="338"/>
      <c r="Z10" s="334" t="s">
        <v>33</v>
      </c>
      <c r="AA10" s="335"/>
      <c r="AB10" s="338"/>
      <c r="AC10" s="338"/>
      <c r="AD10" s="354"/>
      <c r="AE10" s="361" t="s">
        <v>160</v>
      </c>
      <c r="AF10" s="361"/>
      <c r="AG10" s="361"/>
      <c r="AH10" s="369"/>
      <c r="AI10" s="369"/>
      <c r="AJ10" s="369"/>
      <c r="AK10" s="369"/>
      <c r="AL10" s="369"/>
      <c r="AM10" s="369"/>
    </row>
    <row r="11" spans="1:39" s="2" customFormat="1" ht="82.5" customHeight="1">
      <c r="A11" s="10">
        <v>4</v>
      </c>
      <c r="B11" s="11" t="s">
        <v>161</v>
      </c>
      <c r="C11" s="12" t="s">
        <v>162</v>
      </c>
      <c r="D11" s="359" t="s">
        <v>653</v>
      </c>
      <c r="E11" s="358"/>
      <c r="F11" s="358"/>
      <c r="G11" s="358"/>
      <c r="H11" s="358"/>
      <c r="I11" s="358"/>
      <c r="J11" s="359" t="s">
        <v>656</v>
      </c>
      <c r="K11" s="358"/>
      <c r="L11" s="358"/>
      <c r="M11" s="358"/>
      <c r="N11" s="359" t="s">
        <v>216</v>
      </c>
      <c r="O11" s="358"/>
      <c r="P11" s="358"/>
      <c r="Q11" s="358"/>
      <c r="R11" s="358"/>
      <c r="S11" s="358"/>
      <c r="T11" s="358"/>
      <c r="U11" s="358"/>
      <c r="V11" s="338" t="s">
        <v>32</v>
      </c>
      <c r="W11" s="338"/>
      <c r="X11" s="338"/>
      <c r="Y11" s="338"/>
      <c r="Z11" s="334" t="s">
        <v>33</v>
      </c>
      <c r="AA11" s="335"/>
      <c r="AB11" s="338"/>
      <c r="AC11" s="338"/>
      <c r="AD11" s="354"/>
      <c r="AE11" s="354" t="s">
        <v>163</v>
      </c>
      <c r="AF11" s="355"/>
      <c r="AG11" s="356"/>
      <c r="AH11" s="369"/>
      <c r="AI11" s="369"/>
      <c r="AJ11" s="369"/>
      <c r="AK11" s="369"/>
      <c r="AL11" s="369"/>
      <c r="AM11" s="369"/>
    </row>
    <row r="12" spans="1:39" s="2" customFormat="1" ht="69" customHeight="1">
      <c r="A12" s="10">
        <v>5</v>
      </c>
      <c r="B12" s="41" t="s">
        <v>217</v>
      </c>
      <c r="C12" s="12" t="s">
        <v>164</v>
      </c>
      <c r="D12" s="359" t="s">
        <v>657</v>
      </c>
      <c r="E12" s="358"/>
      <c r="F12" s="358"/>
      <c r="G12" s="358"/>
      <c r="H12" s="358"/>
      <c r="I12" s="358"/>
      <c r="J12" s="359" t="s">
        <v>658</v>
      </c>
      <c r="K12" s="358"/>
      <c r="L12" s="358"/>
      <c r="M12" s="358"/>
      <c r="N12" s="359" t="s">
        <v>659</v>
      </c>
      <c r="O12" s="358"/>
      <c r="P12" s="358"/>
      <c r="Q12" s="358"/>
      <c r="R12" s="358"/>
      <c r="S12" s="358"/>
      <c r="T12" s="358"/>
      <c r="U12" s="358"/>
      <c r="V12" s="338" t="s">
        <v>32</v>
      </c>
      <c r="W12" s="338"/>
      <c r="X12" s="338"/>
      <c r="Y12" s="338"/>
      <c r="Z12" s="334" t="s">
        <v>33</v>
      </c>
      <c r="AA12" s="335"/>
      <c r="AB12" s="360"/>
      <c r="AC12" s="360"/>
      <c r="AD12" s="360"/>
      <c r="AE12" s="369" t="s">
        <v>165</v>
      </c>
      <c r="AF12" s="369"/>
      <c r="AG12" s="369"/>
      <c r="AH12" s="354"/>
      <c r="AI12" s="355"/>
      <c r="AJ12" s="356"/>
      <c r="AK12" s="369"/>
      <c r="AL12" s="369"/>
      <c r="AM12" s="369"/>
    </row>
    <row r="13" spans="1:39" s="2" customFormat="1" ht="43.5" customHeight="1">
      <c r="A13" s="10">
        <v>6</v>
      </c>
      <c r="B13" s="8" t="s">
        <v>652</v>
      </c>
      <c r="C13" s="9" t="s">
        <v>167</v>
      </c>
      <c r="D13" s="359" t="s">
        <v>661</v>
      </c>
      <c r="E13" s="358"/>
      <c r="F13" s="358"/>
      <c r="G13" s="358"/>
      <c r="H13" s="358"/>
      <c r="I13" s="358"/>
      <c r="J13" s="359" t="s">
        <v>663</v>
      </c>
      <c r="K13" s="358"/>
      <c r="L13" s="358"/>
      <c r="M13" s="358"/>
      <c r="N13" s="359" t="s">
        <v>662</v>
      </c>
      <c r="O13" s="358"/>
      <c r="P13" s="358"/>
      <c r="Q13" s="358"/>
      <c r="R13" s="358"/>
      <c r="S13" s="358"/>
      <c r="T13" s="358"/>
      <c r="U13" s="358"/>
      <c r="V13" s="338" t="s">
        <v>46</v>
      </c>
      <c r="W13" s="338"/>
      <c r="X13" s="338"/>
      <c r="Y13" s="338"/>
      <c r="Z13" s="334"/>
      <c r="AA13" s="335"/>
      <c r="AB13" s="338"/>
      <c r="AC13" s="338"/>
      <c r="AD13" s="354"/>
      <c r="AE13" s="369"/>
      <c r="AF13" s="369"/>
      <c r="AG13" s="369"/>
      <c r="AH13" s="369"/>
      <c r="AI13" s="369"/>
      <c r="AJ13" s="369"/>
      <c r="AK13" s="369"/>
      <c r="AL13" s="369"/>
      <c r="AM13" s="369"/>
    </row>
    <row r="14" spans="1:39" s="2" customFormat="1" ht="93.75" customHeight="1">
      <c r="A14" s="10">
        <v>7</v>
      </c>
      <c r="B14" s="11" t="s">
        <v>168</v>
      </c>
      <c r="C14" s="12" t="s">
        <v>169</v>
      </c>
      <c r="D14" s="357" t="s">
        <v>660</v>
      </c>
      <c r="E14" s="358"/>
      <c r="F14" s="358"/>
      <c r="G14" s="358"/>
      <c r="H14" s="358"/>
      <c r="I14" s="358"/>
      <c r="J14" s="359" t="s">
        <v>210</v>
      </c>
      <c r="K14" s="358"/>
      <c r="L14" s="358"/>
      <c r="M14" s="358"/>
      <c r="N14" s="359" t="s">
        <v>211</v>
      </c>
      <c r="O14" s="358"/>
      <c r="P14" s="358"/>
      <c r="Q14" s="358"/>
      <c r="R14" s="370"/>
      <c r="S14" s="358"/>
      <c r="T14" s="358"/>
      <c r="U14" s="358"/>
      <c r="V14" s="338" t="s">
        <v>170</v>
      </c>
      <c r="W14" s="338"/>
      <c r="X14" s="338"/>
      <c r="Y14" s="338"/>
      <c r="Z14" s="334" t="s">
        <v>33</v>
      </c>
      <c r="AA14" s="335"/>
      <c r="AB14" s="334" t="s">
        <v>171</v>
      </c>
      <c r="AC14" s="350"/>
      <c r="AD14" s="335"/>
      <c r="AE14" s="361" t="s">
        <v>172</v>
      </c>
      <c r="AF14" s="361"/>
      <c r="AG14" s="361"/>
      <c r="AH14" s="361" t="s">
        <v>173</v>
      </c>
      <c r="AI14" s="361"/>
      <c r="AJ14" s="361"/>
      <c r="AK14" s="369"/>
      <c r="AL14" s="369"/>
      <c r="AM14" s="369"/>
    </row>
    <row r="16" spans="1:39" ht="12" customHeight="1"/>
    <row r="17" spans="1:39" ht="12" customHeight="1"/>
    <row r="18" spans="1:39" ht="12" customHeight="1"/>
    <row r="21" spans="1:39">
      <c r="F21" t="s">
        <v>51</v>
      </c>
    </row>
    <row r="22" spans="1:39">
      <c r="F22" t="s">
        <v>57</v>
      </c>
    </row>
    <row r="23" spans="1:39">
      <c r="F23" t="s">
        <v>60</v>
      </c>
    </row>
    <row r="24" spans="1:39">
      <c r="F24" t="s">
        <v>55</v>
      </c>
    </row>
    <row r="26" spans="1:39">
      <c r="B26" s="37" t="s">
        <v>209</v>
      </c>
    </row>
    <row r="27" spans="1:39" s="2" customFormat="1" ht="93.75" customHeight="1">
      <c r="A27" s="34">
        <v>7</v>
      </c>
      <c r="B27" s="11" t="s">
        <v>168</v>
      </c>
      <c r="C27" s="12" t="s">
        <v>169</v>
      </c>
      <c r="D27" s="385" t="s">
        <v>205</v>
      </c>
      <c r="E27" s="358"/>
      <c r="F27" s="358"/>
      <c r="G27" s="358"/>
      <c r="H27" s="358"/>
      <c r="I27" s="358"/>
      <c r="J27" s="370" t="s">
        <v>208</v>
      </c>
      <c r="K27" s="358"/>
      <c r="L27" s="358"/>
      <c r="M27" s="358"/>
      <c r="N27" s="370" t="s">
        <v>207</v>
      </c>
      <c r="O27" s="358"/>
      <c r="P27" s="358"/>
      <c r="Q27" s="358"/>
      <c r="R27" s="370"/>
      <c r="S27" s="358"/>
      <c r="T27" s="358"/>
      <c r="U27" s="358"/>
      <c r="V27" s="338" t="s">
        <v>170</v>
      </c>
      <c r="W27" s="338"/>
      <c r="X27" s="338"/>
      <c r="Y27" s="338"/>
      <c r="Z27" s="334" t="s">
        <v>33</v>
      </c>
      <c r="AA27" s="335"/>
      <c r="AB27" s="334" t="s">
        <v>171</v>
      </c>
      <c r="AC27" s="350"/>
      <c r="AD27" s="335"/>
      <c r="AE27" s="361" t="s">
        <v>172</v>
      </c>
      <c r="AF27" s="361"/>
      <c r="AG27" s="361"/>
      <c r="AH27" s="361" t="s">
        <v>173</v>
      </c>
      <c r="AI27" s="361"/>
      <c r="AJ27" s="361"/>
      <c r="AK27" s="369"/>
      <c r="AL27" s="369"/>
      <c r="AM27" s="369"/>
    </row>
    <row r="28" spans="1:39" ht="13.5" customHeight="1">
      <c r="I28" s="35"/>
      <c r="J28" s="35"/>
      <c r="K28" s="35"/>
      <c r="L28" s="35"/>
      <c r="M28" s="35"/>
      <c r="N28" s="35"/>
      <c r="O28" s="35"/>
      <c r="P28" s="35"/>
      <c r="Q28" s="35"/>
    </row>
    <row r="29" spans="1:39">
      <c r="I29" s="35"/>
      <c r="J29" s="35"/>
      <c r="K29" s="35"/>
      <c r="L29" s="35"/>
      <c r="M29" s="35"/>
      <c r="N29" s="35"/>
      <c r="O29" s="35"/>
      <c r="P29" s="35"/>
      <c r="Q29" s="35"/>
    </row>
  </sheetData>
  <mergeCells count="95">
    <mergeCell ref="AB6:AM6"/>
    <mergeCell ref="AB7:AD7"/>
    <mergeCell ref="AE7:AG7"/>
    <mergeCell ref="AH7:AJ7"/>
    <mergeCell ref="AK7:AM7"/>
    <mergeCell ref="D8:I8"/>
    <mergeCell ref="J8:M8"/>
    <mergeCell ref="N8:Q8"/>
    <mergeCell ref="R8:U8"/>
    <mergeCell ref="V8:Y8"/>
    <mergeCell ref="Z8:AA8"/>
    <mergeCell ref="AB8:AD8"/>
    <mergeCell ref="AE8:AG8"/>
    <mergeCell ref="AH8:AJ8"/>
    <mergeCell ref="AK8:AM8"/>
    <mergeCell ref="AK10:AM10"/>
    <mergeCell ref="AH9:AJ9"/>
    <mergeCell ref="AK9:AM9"/>
    <mergeCell ref="D9:I9"/>
    <mergeCell ref="J9:M9"/>
    <mergeCell ref="N9:Q9"/>
    <mergeCell ref="R9:U9"/>
    <mergeCell ref="V9:Y9"/>
    <mergeCell ref="Z9:AA9"/>
    <mergeCell ref="AB9:AD9"/>
    <mergeCell ref="AE9:AG9"/>
    <mergeCell ref="AK11:AM11"/>
    <mergeCell ref="D11:I11"/>
    <mergeCell ref="J11:M11"/>
    <mergeCell ref="N11:Q11"/>
    <mergeCell ref="R11:U11"/>
    <mergeCell ref="V11:Y11"/>
    <mergeCell ref="AH11:AJ11"/>
    <mergeCell ref="AE14:AG14"/>
    <mergeCell ref="AH14:AJ14"/>
    <mergeCell ref="R10:U10"/>
    <mergeCell ref="V10:Y10"/>
    <mergeCell ref="Z11:AA11"/>
    <mergeCell ref="AB11:AD11"/>
    <mergeCell ref="AE11:AG11"/>
    <mergeCell ref="Z10:AA10"/>
    <mergeCell ref="AB10:AD10"/>
    <mergeCell ref="AE10:AG10"/>
    <mergeCell ref="AH10:AJ10"/>
    <mergeCell ref="AK12:AM12"/>
    <mergeCell ref="AK13:AM13"/>
    <mergeCell ref="D13:I13"/>
    <mergeCell ref="J13:M13"/>
    <mergeCell ref="N13:Q13"/>
    <mergeCell ref="R13:U13"/>
    <mergeCell ref="V13:Y13"/>
    <mergeCell ref="V12:Y12"/>
    <mergeCell ref="Z12:AA12"/>
    <mergeCell ref="AB12:AD12"/>
    <mergeCell ref="AE12:AG12"/>
    <mergeCell ref="AH12:AJ12"/>
    <mergeCell ref="AK14:AM14"/>
    <mergeCell ref="V6:Y7"/>
    <mergeCell ref="Z6:AA7"/>
    <mergeCell ref="D6:I7"/>
    <mergeCell ref="A3:A4"/>
    <mergeCell ref="A6:A7"/>
    <mergeCell ref="B6:B7"/>
    <mergeCell ref="C6:C7"/>
    <mergeCell ref="J6:M7"/>
    <mergeCell ref="V14:Y14"/>
    <mergeCell ref="Z13:AA13"/>
    <mergeCell ref="AB13:AD13"/>
    <mergeCell ref="AE13:AG13"/>
    <mergeCell ref="AH13:AJ13"/>
    <mergeCell ref="Z14:AA14"/>
    <mergeCell ref="AB14:AD14"/>
    <mergeCell ref="D27:I27"/>
    <mergeCell ref="J27:M27"/>
    <mergeCell ref="N27:Q27"/>
    <mergeCell ref="N6:Q7"/>
    <mergeCell ref="R6:U7"/>
    <mergeCell ref="D14:I14"/>
    <mergeCell ref="J14:M14"/>
    <mergeCell ref="N14:Q14"/>
    <mergeCell ref="R14:U14"/>
    <mergeCell ref="D12:I12"/>
    <mergeCell ref="J12:M12"/>
    <mergeCell ref="N12:Q12"/>
    <mergeCell ref="R12:U12"/>
    <mergeCell ref="D10:I10"/>
    <mergeCell ref="J10:M10"/>
    <mergeCell ref="N10:Q10"/>
    <mergeCell ref="AH27:AJ27"/>
    <mergeCell ref="AK27:AM27"/>
    <mergeCell ref="R27:U27"/>
    <mergeCell ref="V27:Y27"/>
    <mergeCell ref="Z27:AA27"/>
    <mergeCell ref="AB27:AD27"/>
    <mergeCell ref="AE27:AG27"/>
  </mergeCells>
  <phoneticPr fontId="14" type="noConversion"/>
  <pageMargins left="0.69930555555555596" right="0.69930555555555596"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dimension ref="D1:Q97"/>
  <sheetViews>
    <sheetView topLeftCell="D55" workbookViewId="0">
      <selection activeCell="H97" sqref="H97"/>
    </sheetView>
  </sheetViews>
  <sheetFormatPr defaultColWidth="9" defaultRowHeight="13.5"/>
  <cols>
    <col min="1" max="3" width="9" style="16"/>
    <col min="4" max="4" width="11" style="16" customWidth="1"/>
    <col min="5" max="5" width="11.125" style="16" customWidth="1"/>
    <col min="6" max="6" width="15.125" style="326" customWidth="1"/>
    <col min="7" max="7" width="22.125" style="82" customWidth="1"/>
    <col min="8" max="8" width="98" style="310" customWidth="1"/>
    <col min="9" max="9" width="20.75" style="324" customWidth="1"/>
    <col min="10" max="10" width="15.625" style="16" customWidth="1"/>
    <col min="11" max="11" width="15.25" style="16" customWidth="1"/>
    <col min="12" max="12" width="55" style="16" customWidth="1"/>
    <col min="13" max="13" width="16.5" style="16" customWidth="1"/>
    <col min="14" max="18" width="15.125" style="16" bestFit="1" customWidth="1"/>
    <col min="19" max="16384" width="9" style="16"/>
  </cols>
  <sheetData>
    <row r="1" spans="4:15">
      <c r="E1" s="31"/>
      <c r="F1" s="318" t="s">
        <v>874</v>
      </c>
      <c r="G1" s="151" t="s">
        <v>875</v>
      </c>
      <c r="H1" s="308"/>
      <c r="I1" s="318"/>
      <c r="J1" s="151"/>
      <c r="K1" s="151"/>
      <c r="L1" s="31"/>
      <c r="M1" s="31" t="s">
        <v>876</v>
      </c>
      <c r="N1" s="31" t="s">
        <v>877</v>
      </c>
      <c r="O1" s="31" t="s">
        <v>878</v>
      </c>
    </row>
    <row r="2" spans="4:15">
      <c r="D2" s="16" t="s">
        <v>559</v>
      </c>
      <c r="E2" s="89"/>
      <c r="F2" s="323" t="s">
        <v>537</v>
      </c>
      <c r="G2" s="160" t="s">
        <v>536</v>
      </c>
      <c r="H2" s="311" t="s">
        <v>1777</v>
      </c>
      <c r="I2" s="319" t="s">
        <v>1162</v>
      </c>
      <c r="J2" s="169"/>
      <c r="K2" s="169"/>
      <c r="L2" s="169"/>
      <c r="M2" s="154">
        <v>206001</v>
      </c>
      <c r="N2" s="31">
        <v>0</v>
      </c>
      <c r="O2" s="31">
        <v>80</v>
      </c>
    </row>
    <row r="3" spans="4:15">
      <c r="E3" s="89"/>
      <c r="F3" s="323" t="s">
        <v>535</v>
      </c>
      <c r="G3" s="161" t="s">
        <v>535</v>
      </c>
      <c r="H3" s="312" t="s">
        <v>1778</v>
      </c>
      <c r="I3" s="319" t="s">
        <v>1673</v>
      </c>
      <c r="J3" s="169"/>
      <c r="K3" s="169"/>
      <c r="L3" s="169"/>
      <c r="M3" s="154">
        <v>206002</v>
      </c>
      <c r="N3" s="31">
        <v>0</v>
      </c>
      <c r="O3" s="31">
        <v>80</v>
      </c>
    </row>
    <row r="4" spans="4:15">
      <c r="E4" s="89"/>
      <c r="F4" s="323" t="s">
        <v>534</v>
      </c>
      <c r="G4" s="161" t="s">
        <v>1160</v>
      </c>
      <c r="H4" s="313" t="s">
        <v>1787</v>
      </c>
      <c r="I4" s="319" t="s">
        <v>1674</v>
      </c>
      <c r="J4" s="169"/>
      <c r="K4" s="169"/>
      <c r="L4" s="169"/>
      <c r="M4" s="154">
        <v>206003</v>
      </c>
      <c r="N4" s="31">
        <v>0</v>
      </c>
      <c r="O4" s="31">
        <v>80</v>
      </c>
    </row>
    <row r="5" spans="4:15">
      <c r="E5" s="89"/>
      <c r="F5" s="323" t="s">
        <v>533</v>
      </c>
      <c r="G5" s="161" t="s">
        <v>879</v>
      </c>
      <c r="H5" s="312" t="s">
        <v>1719</v>
      </c>
      <c r="I5" s="319" t="s">
        <v>1675</v>
      </c>
      <c r="J5" s="169"/>
      <c r="K5" s="169"/>
      <c r="L5" s="169"/>
      <c r="M5" s="154">
        <v>206004</v>
      </c>
      <c r="N5" s="31">
        <v>0</v>
      </c>
      <c r="O5" s="31">
        <v>80</v>
      </c>
    </row>
    <row r="6" spans="4:15">
      <c r="E6" s="89"/>
      <c r="F6" s="323" t="s">
        <v>532</v>
      </c>
      <c r="G6" s="161" t="s">
        <v>532</v>
      </c>
      <c r="H6" s="312" t="s">
        <v>1682</v>
      </c>
      <c r="I6" s="319" t="s">
        <v>1676</v>
      </c>
      <c r="J6" s="169"/>
      <c r="K6" s="169"/>
      <c r="L6" s="169"/>
      <c r="M6" s="154">
        <v>206005</v>
      </c>
      <c r="N6" s="31">
        <v>0</v>
      </c>
      <c r="O6" s="31">
        <v>80</v>
      </c>
    </row>
    <row r="7" spans="4:15">
      <c r="E7" s="89"/>
      <c r="F7" s="323" t="s">
        <v>531</v>
      </c>
      <c r="G7" s="161" t="s">
        <v>892</v>
      </c>
      <c r="H7" s="312" t="s">
        <v>1677</v>
      </c>
      <c r="I7" s="319" t="s">
        <v>1677</v>
      </c>
      <c r="J7" s="169"/>
      <c r="K7" s="169"/>
      <c r="L7" s="169"/>
      <c r="M7" s="154">
        <v>206006</v>
      </c>
      <c r="N7" s="31">
        <v>0</v>
      </c>
      <c r="O7" s="31">
        <v>80</v>
      </c>
    </row>
    <row r="8" spans="4:15">
      <c r="E8" s="89"/>
      <c r="F8" s="323" t="s">
        <v>530</v>
      </c>
      <c r="G8" s="161" t="s">
        <v>530</v>
      </c>
      <c r="H8" s="312" t="s">
        <v>1683</v>
      </c>
      <c r="I8" s="319" t="s">
        <v>1678</v>
      </c>
      <c r="J8" s="169"/>
      <c r="K8" s="169"/>
      <c r="L8" s="169"/>
      <c r="M8" s="154">
        <v>206007</v>
      </c>
      <c r="N8" s="31">
        <v>0</v>
      </c>
      <c r="O8" s="31">
        <v>80</v>
      </c>
    </row>
    <row r="9" spans="4:15">
      <c r="E9" s="89"/>
      <c r="F9" s="323" t="s">
        <v>529</v>
      </c>
      <c r="G9" s="161" t="s">
        <v>529</v>
      </c>
      <c r="H9" s="312" t="s">
        <v>1779</v>
      </c>
      <c r="I9" s="319" t="s">
        <v>1679</v>
      </c>
      <c r="J9" s="169"/>
      <c r="K9" s="169"/>
      <c r="L9" s="169"/>
      <c r="M9" s="154">
        <v>206008</v>
      </c>
      <c r="N9" s="31">
        <v>0</v>
      </c>
      <c r="O9" s="31">
        <v>80</v>
      </c>
    </row>
    <row r="10" spans="4:15">
      <c r="F10" s="322" t="s">
        <v>1575</v>
      </c>
      <c r="G10" s="307" t="s">
        <v>1584</v>
      </c>
      <c r="H10" s="195" t="s">
        <v>1684</v>
      </c>
      <c r="I10" s="319" t="s">
        <v>1681</v>
      </c>
      <c r="J10" s="169"/>
      <c r="K10" s="169"/>
      <c r="L10" s="169"/>
      <c r="M10" s="154">
        <v>206009</v>
      </c>
      <c r="N10" s="31">
        <v>0</v>
      </c>
      <c r="O10" s="31">
        <v>80</v>
      </c>
    </row>
    <row r="11" spans="4:15">
      <c r="E11" s="89"/>
      <c r="F11" s="320" t="s">
        <v>528</v>
      </c>
      <c r="G11" s="161" t="s">
        <v>880</v>
      </c>
      <c r="H11" s="312" t="s">
        <v>1680</v>
      </c>
      <c r="I11" s="319" t="s">
        <v>1680</v>
      </c>
      <c r="J11" s="169"/>
      <c r="K11" s="169"/>
      <c r="L11" s="169"/>
      <c r="M11" s="154">
        <v>206010</v>
      </c>
      <c r="N11" s="31">
        <v>0</v>
      </c>
      <c r="O11" s="31">
        <v>80</v>
      </c>
    </row>
    <row r="12" spans="4:15">
      <c r="E12" s="89"/>
      <c r="F12" s="323" t="s">
        <v>1574</v>
      </c>
      <c r="G12" s="161" t="s">
        <v>1574</v>
      </c>
      <c r="H12" s="312" t="s">
        <v>1687</v>
      </c>
      <c r="I12" s="319" t="s">
        <v>1685</v>
      </c>
      <c r="J12" s="169"/>
      <c r="K12" s="169"/>
      <c r="L12" s="169"/>
      <c r="M12" s="154">
        <v>206011</v>
      </c>
      <c r="N12" s="31">
        <v>0</v>
      </c>
      <c r="O12" s="31">
        <v>80</v>
      </c>
    </row>
    <row r="13" spans="4:15">
      <c r="E13" s="89"/>
      <c r="F13" s="323" t="s">
        <v>527</v>
      </c>
      <c r="G13" s="161" t="s">
        <v>527</v>
      </c>
      <c r="H13" s="312" t="s">
        <v>1781</v>
      </c>
      <c r="I13" s="319" t="s">
        <v>1688</v>
      </c>
      <c r="J13" s="169"/>
      <c r="K13" s="169"/>
      <c r="L13" s="169"/>
      <c r="M13" s="154">
        <v>206012</v>
      </c>
      <c r="N13" s="31">
        <v>0</v>
      </c>
      <c r="O13" s="31">
        <v>80</v>
      </c>
    </row>
    <row r="14" spans="4:15">
      <c r="E14" s="89"/>
      <c r="F14" s="323" t="s">
        <v>526</v>
      </c>
      <c r="G14" s="161" t="s">
        <v>1572</v>
      </c>
      <c r="H14" s="312" t="s">
        <v>1690</v>
      </c>
      <c r="I14" s="319" t="s">
        <v>1689</v>
      </c>
      <c r="J14" s="169"/>
      <c r="K14" s="169"/>
      <c r="L14" s="169"/>
      <c r="M14" s="154">
        <v>206013</v>
      </c>
      <c r="N14" s="31">
        <v>0</v>
      </c>
      <c r="O14" s="31">
        <v>80</v>
      </c>
    </row>
    <row r="15" spans="4:15">
      <c r="E15" s="89"/>
      <c r="F15" s="323" t="s">
        <v>540</v>
      </c>
      <c r="G15" s="161" t="s">
        <v>403</v>
      </c>
      <c r="H15" s="312" t="s">
        <v>1734</v>
      </c>
      <c r="I15" s="319" t="s">
        <v>1151</v>
      </c>
      <c r="J15" s="169"/>
      <c r="K15" s="169"/>
      <c r="L15" s="169"/>
      <c r="M15" s="154">
        <v>206014</v>
      </c>
      <c r="N15" s="31">
        <v>0</v>
      </c>
      <c r="O15" s="31">
        <v>80</v>
      </c>
    </row>
    <row r="16" spans="4:15">
      <c r="E16" s="89"/>
      <c r="F16" s="320" t="s">
        <v>539</v>
      </c>
      <c r="G16" s="161" t="s">
        <v>525</v>
      </c>
      <c r="H16" s="312" t="s">
        <v>1691</v>
      </c>
      <c r="I16" s="319" t="s">
        <v>1691</v>
      </c>
      <c r="J16" s="169"/>
      <c r="K16" s="169"/>
      <c r="L16" s="169"/>
      <c r="M16" s="154">
        <v>206015</v>
      </c>
      <c r="N16" s="31">
        <v>0</v>
      </c>
      <c r="O16" s="31">
        <v>80</v>
      </c>
    </row>
    <row r="17" spans="5:15">
      <c r="E17" s="89"/>
      <c r="F17" s="323" t="s">
        <v>1576</v>
      </c>
      <c r="G17" s="161" t="s">
        <v>1577</v>
      </c>
      <c r="H17" s="312" t="s">
        <v>1738</v>
      </c>
      <c r="I17" s="319" t="s">
        <v>1692</v>
      </c>
      <c r="J17" s="169"/>
      <c r="K17" s="169"/>
      <c r="L17" s="169"/>
      <c r="M17" s="154">
        <v>206016</v>
      </c>
      <c r="N17" s="31">
        <v>0</v>
      </c>
      <c r="O17" s="31">
        <v>80</v>
      </c>
    </row>
    <row r="18" spans="5:15">
      <c r="F18" s="322" t="s">
        <v>524</v>
      </c>
      <c r="G18" s="307" t="s">
        <v>1578</v>
      </c>
      <c r="H18" s="195" t="s">
        <v>1791</v>
      </c>
      <c r="I18" s="319" t="s">
        <v>1693</v>
      </c>
      <c r="J18" s="170"/>
      <c r="K18" s="170"/>
      <c r="L18" s="170"/>
      <c r="M18" s="154">
        <v>206017</v>
      </c>
      <c r="N18" s="31">
        <v>0</v>
      </c>
      <c r="O18" s="31">
        <v>80</v>
      </c>
    </row>
    <row r="19" spans="5:15">
      <c r="E19" s="89"/>
      <c r="F19" s="323" t="s">
        <v>523</v>
      </c>
      <c r="G19" s="161" t="s">
        <v>1571</v>
      </c>
      <c r="H19" s="312" t="s">
        <v>1782</v>
      </c>
      <c r="I19" s="319" t="s">
        <v>1694</v>
      </c>
      <c r="J19" s="169"/>
      <c r="K19" s="169"/>
      <c r="L19" s="169"/>
      <c r="M19" s="154">
        <v>206018</v>
      </c>
      <c r="N19" s="31">
        <v>0</v>
      </c>
      <c r="O19" s="31">
        <v>80</v>
      </c>
    </row>
    <row r="20" spans="5:15">
      <c r="F20" s="322" t="s">
        <v>522</v>
      </c>
      <c r="G20" s="307" t="s">
        <v>1579</v>
      </c>
      <c r="H20" s="195" t="s">
        <v>1713</v>
      </c>
      <c r="I20" s="319" t="s">
        <v>1695</v>
      </c>
      <c r="J20" s="169"/>
      <c r="K20" s="169"/>
      <c r="L20" s="169"/>
      <c r="M20" s="154">
        <v>206019</v>
      </c>
      <c r="N20" s="31">
        <v>0</v>
      </c>
      <c r="O20" s="31">
        <v>80</v>
      </c>
    </row>
    <row r="21" spans="5:15">
      <c r="F21" s="322" t="s">
        <v>521</v>
      </c>
      <c r="G21" s="307" t="s">
        <v>1580</v>
      </c>
      <c r="H21" s="195" t="s">
        <v>1714</v>
      </c>
      <c r="I21" s="319" t="s">
        <v>1696</v>
      </c>
      <c r="J21" s="169"/>
      <c r="K21" s="169"/>
      <c r="L21" s="169"/>
      <c r="M21" s="154">
        <v>206020</v>
      </c>
      <c r="N21" s="31">
        <v>0</v>
      </c>
      <c r="O21" s="31">
        <v>80</v>
      </c>
    </row>
    <row r="22" spans="5:15">
      <c r="F22" s="322" t="s">
        <v>520</v>
      </c>
      <c r="G22" s="307" t="s">
        <v>1581</v>
      </c>
      <c r="H22" s="195" t="s">
        <v>1697</v>
      </c>
      <c r="I22" s="320" t="s">
        <v>519</v>
      </c>
      <c r="J22" s="169"/>
      <c r="K22" s="169"/>
      <c r="L22" s="169"/>
      <c r="M22" s="154">
        <v>206021</v>
      </c>
      <c r="N22" s="31">
        <v>0</v>
      </c>
      <c r="O22" s="31">
        <v>80</v>
      </c>
    </row>
    <row r="23" spans="5:15">
      <c r="F23" s="322" t="s">
        <v>518</v>
      </c>
      <c r="G23" s="307" t="s">
        <v>1582</v>
      </c>
      <c r="H23" s="195" t="s">
        <v>1698</v>
      </c>
      <c r="I23" s="320" t="s">
        <v>517</v>
      </c>
      <c r="J23" s="169"/>
      <c r="K23" s="169"/>
      <c r="L23" s="169"/>
      <c r="M23" s="154">
        <v>206022</v>
      </c>
      <c r="N23" s="31">
        <v>0</v>
      </c>
      <c r="O23" s="31">
        <v>80</v>
      </c>
    </row>
    <row r="24" spans="5:15">
      <c r="F24" s="322" t="s">
        <v>516</v>
      </c>
      <c r="G24" s="307" t="s">
        <v>1585</v>
      </c>
      <c r="H24" s="195" t="s">
        <v>1783</v>
      </c>
      <c r="I24" s="320" t="s">
        <v>515</v>
      </c>
      <c r="J24" s="169"/>
      <c r="K24" s="169"/>
      <c r="L24" s="169"/>
      <c r="M24" s="154">
        <v>206023</v>
      </c>
      <c r="N24" s="31">
        <v>0</v>
      </c>
      <c r="O24" s="31">
        <v>80</v>
      </c>
    </row>
    <row r="25" spans="5:15">
      <c r="E25" s="89"/>
      <c r="F25" s="323" t="s">
        <v>514</v>
      </c>
      <c r="G25" s="161" t="s">
        <v>1570</v>
      </c>
      <c r="H25" s="312" t="s">
        <v>1715</v>
      </c>
      <c r="I25" s="320" t="s">
        <v>513</v>
      </c>
      <c r="J25" s="169"/>
      <c r="K25" s="169"/>
      <c r="L25" s="169"/>
      <c r="M25" s="154">
        <v>206024</v>
      </c>
      <c r="N25" s="31">
        <v>0</v>
      </c>
      <c r="O25" s="31">
        <v>80</v>
      </c>
    </row>
    <row r="26" spans="5:15">
      <c r="E26" s="89"/>
      <c r="F26" s="323" t="s">
        <v>512</v>
      </c>
      <c r="G26" s="162" t="s">
        <v>511</v>
      </c>
      <c r="H26" s="314" t="s">
        <v>1794</v>
      </c>
      <c r="I26" s="320" t="s">
        <v>510</v>
      </c>
      <c r="J26" s="169"/>
      <c r="K26" s="169"/>
      <c r="L26" s="169"/>
      <c r="M26" s="154">
        <v>206025</v>
      </c>
      <c r="N26" s="31">
        <v>0</v>
      </c>
      <c r="O26" s="31">
        <v>80</v>
      </c>
    </row>
    <row r="27" spans="5:15">
      <c r="E27" s="89"/>
      <c r="F27" s="323" t="s">
        <v>509</v>
      </c>
      <c r="G27" s="162" t="s">
        <v>508</v>
      </c>
      <c r="H27" s="314" t="s">
        <v>1795</v>
      </c>
      <c r="I27" s="320" t="s">
        <v>507</v>
      </c>
      <c r="J27" s="169"/>
      <c r="K27" s="169"/>
      <c r="L27" s="169"/>
      <c r="M27" s="154">
        <v>206026</v>
      </c>
      <c r="N27" s="31">
        <v>0</v>
      </c>
      <c r="O27" s="31">
        <v>80</v>
      </c>
    </row>
    <row r="28" spans="5:15">
      <c r="E28" s="89"/>
      <c r="F28" s="323" t="s">
        <v>506</v>
      </c>
      <c r="G28" s="162" t="s">
        <v>505</v>
      </c>
      <c r="H28" s="314" t="s">
        <v>1796</v>
      </c>
      <c r="I28" s="320" t="s">
        <v>504</v>
      </c>
      <c r="J28" s="169"/>
      <c r="K28" s="169"/>
      <c r="L28" s="169"/>
      <c r="M28" s="154">
        <v>206027</v>
      </c>
      <c r="N28" s="31">
        <v>0</v>
      </c>
      <c r="O28" s="31">
        <v>80</v>
      </c>
    </row>
    <row r="29" spans="5:15">
      <c r="E29" s="89"/>
      <c r="F29" s="323" t="s">
        <v>503</v>
      </c>
      <c r="G29" s="162" t="s">
        <v>502</v>
      </c>
      <c r="H29" s="314" t="s">
        <v>1797</v>
      </c>
      <c r="I29" s="320" t="s">
        <v>501</v>
      </c>
      <c r="J29" s="169"/>
      <c r="K29" s="169"/>
      <c r="L29" s="169"/>
      <c r="M29" s="154">
        <v>206028</v>
      </c>
      <c r="N29" s="31">
        <v>0</v>
      </c>
      <c r="O29" s="31">
        <v>80</v>
      </c>
    </row>
    <row r="30" spans="5:15">
      <c r="E30" s="89"/>
      <c r="F30" s="323" t="s">
        <v>500</v>
      </c>
      <c r="G30" s="171" t="s">
        <v>304</v>
      </c>
      <c r="H30" s="315" t="s">
        <v>1700</v>
      </c>
      <c r="I30" s="319" t="s">
        <v>1699</v>
      </c>
      <c r="J30" s="170"/>
      <c r="K30" s="170"/>
      <c r="L30" s="170"/>
      <c r="M30" s="154">
        <v>206029</v>
      </c>
      <c r="N30" s="31">
        <v>0</v>
      </c>
      <c r="O30" s="31">
        <v>80</v>
      </c>
    </row>
    <row r="31" spans="5:15">
      <c r="E31" s="89"/>
      <c r="F31" s="323" t="s">
        <v>499</v>
      </c>
      <c r="G31" s="162" t="s">
        <v>498</v>
      </c>
      <c r="H31" s="314" t="s">
        <v>1701</v>
      </c>
      <c r="I31" s="319" t="s">
        <v>1701</v>
      </c>
      <c r="J31" s="169"/>
      <c r="K31" s="169"/>
      <c r="L31" s="169"/>
      <c r="M31" s="154">
        <v>206030</v>
      </c>
      <c r="N31" s="31">
        <v>0</v>
      </c>
      <c r="O31" s="31">
        <v>80</v>
      </c>
    </row>
    <row r="32" spans="5:15">
      <c r="E32" s="89"/>
      <c r="F32" s="323" t="s">
        <v>224</v>
      </c>
      <c r="G32" s="162" t="s">
        <v>497</v>
      </c>
      <c r="H32" s="314" t="s">
        <v>1792</v>
      </c>
      <c r="I32" s="319" t="s">
        <v>1703</v>
      </c>
      <c r="J32" s="169"/>
      <c r="K32" s="169"/>
      <c r="L32" s="169"/>
      <c r="M32" s="154">
        <v>206031</v>
      </c>
      <c r="N32" s="31">
        <v>0</v>
      </c>
      <c r="O32" s="31">
        <v>80</v>
      </c>
    </row>
    <row r="33" spans="5:15">
      <c r="E33" s="89"/>
      <c r="F33" s="323" t="s">
        <v>495</v>
      </c>
      <c r="G33" s="162" t="s">
        <v>494</v>
      </c>
      <c r="H33" s="314" t="s">
        <v>493</v>
      </c>
      <c r="I33" s="319" t="s">
        <v>1704</v>
      </c>
      <c r="J33" s="169"/>
      <c r="K33" s="169"/>
      <c r="L33" s="169"/>
      <c r="M33" s="154">
        <v>206032</v>
      </c>
      <c r="N33" s="31">
        <v>0</v>
      </c>
      <c r="O33" s="31">
        <v>80</v>
      </c>
    </row>
    <row r="34" spans="5:15">
      <c r="E34" s="89"/>
      <c r="F34" s="323" t="s">
        <v>492</v>
      </c>
      <c r="G34" s="161" t="s">
        <v>1573</v>
      </c>
      <c r="H34" s="312" t="s">
        <v>1705</v>
      </c>
      <c r="I34" s="319" t="s">
        <v>1705</v>
      </c>
      <c r="J34" s="169"/>
      <c r="K34" s="169"/>
      <c r="L34" s="169"/>
      <c r="M34" s="154">
        <v>206033</v>
      </c>
      <c r="N34" s="31">
        <v>0</v>
      </c>
      <c r="O34" s="31">
        <v>80</v>
      </c>
    </row>
    <row r="35" spans="5:15">
      <c r="F35" s="322" t="s">
        <v>491</v>
      </c>
      <c r="G35" s="307" t="s">
        <v>1583</v>
      </c>
      <c r="H35" s="195" t="s">
        <v>1707</v>
      </c>
      <c r="I35" s="319" t="s">
        <v>1706</v>
      </c>
      <c r="J35" s="169"/>
      <c r="K35" s="169"/>
      <c r="L35" s="169"/>
      <c r="M35" s="154">
        <v>206034</v>
      </c>
      <c r="N35" s="31">
        <v>0</v>
      </c>
      <c r="O35" s="31">
        <v>80</v>
      </c>
    </row>
    <row r="36" spans="5:15">
      <c r="E36" s="89"/>
      <c r="F36" s="323" t="s">
        <v>490</v>
      </c>
      <c r="G36" s="162" t="s">
        <v>220</v>
      </c>
      <c r="H36" s="314" t="s">
        <v>1709</v>
      </c>
      <c r="I36" s="319" t="s">
        <v>1708</v>
      </c>
      <c r="J36" s="169"/>
      <c r="K36" s="169"/>
      <c r="L36" s="169"/>
      <c r="M36" s="154">
        <v>206035</v>
      </c>
      <c r="N36" s="31">
        <v>0</v>
      </c>
      <c r="O36" s="31">
        <v>80</v>
      </c>
    </row>
    <row r="37" spans="5:15">
      <c r="E37" s="89"/>
      <c r="F37" s="323" t="s">
        <v>489</v>
      </c>
      <c r="G37" s="162" t="s">
        <v>489</v>
      </c>
      <c r="H37" s="314" t="s">
        <v>1785</v>
      </c>
      <c r="I37" s="319" t="s">
        <v>1710</v>
      </c>
      <c r="J37" s="169"/>
      <c r="K37" s="169"/>
      <c r="L37" s="169"/>
      <c r="M37" s="154">
        <v>206036</v>
      </c>
      <c r="N37" s="31">
        <v>0</v>
      </c>
      <c r="O37" s="31">
        <v>80</v>
      </c>
    </row>
    <row r="38" spans="5:15">
      <c r="E38" s="89"/>
      <c r="F38" s="323" t="s">
        <v>488</v>
      </c>
      <c r="G38" s="162" t="s">
        <v>488</v>
      </c>
      <c r="H38" s="314" t="s">
        <v>1711</v>
      </c>
      <c r="I38" s="319" t="s">
        <v>1711</v>
      </c>
      <c r="J38" s="169"/>
      <c r="K38" s="169"/>
      <c r="L38" s="169"/>
      <c r="M38" s="154">
        <v>206037</v>
      </c>
      <c r="N38" s="31">
        <v>0</v>
      </c>
      <c r="O38" s="31">
        <v>80</v>
      </c>
    </row>
    <row r="39" spans="5:15">
      <c r="E39" s="89"/>
      <c r="F39" s="323" t="s">
        <v>487</v>
      </c>
      <c r="G39" s="161" t="s">
        <v>486</v>
      </c>
      <c r="H39" s="312" t="s">
        <v>1712</v>
      </c>
      <c r="I39" s="319" t="s">
        <v>1163</v>
      </c>
      <c r="J39" s="169"/>
      <c r="K39" s="169"/>
      <c r="L39" s="169"/>
      <c r="M39" s="154">
        <v>206038</v>
      </c>
      <c r="N39" s="31">
        <v>0</v>
      </c>
      <c r="O39" s="31">
        <v>200</v>
      </c>
    </row>
    <row r="40" spans="5:15">
      <c r="E40" s="89"/>
      <c r="F40" s="323" t="s">
        <v>485</v>
      </c>
      <c r="G40" s="161" t="s">
        <v>485</v>
      </c>
      <c r="H40" s="312" t="s">
        <v>1718</v>
      </c>
      <c r="I40" s="319" t="s">
        <v>1716</v>
      </c>
      <c r="J40" s="169"/>
      <c r="K40" s="169"/>
      <c r="L40" s="169"/>
      <c r="M40" s="154">
        <v>206039</v>
      </c>
      <c r="N40" s="31">
        <v>0</v>
      </c>
      <c r="O40" s="31">
        <v>200</v>
      </c>
    </row>
    <row r="41" spans="5:15">
      <c r="E41" s="89"/>
      <c r="F41" s="323" t="s">
        <v>484</v>
      </c>
      <c r="G41" s="161" t="s">
        <v>1161</v>
      </c>
      <c r="H41" s="313" t="s">
        <v>1788</v>
      </c>
      <c r="I41" s="319" t="s">
        <v>1717</v>
      </c>
      <c r="J41" s="169"/>
      <c r="K41" s="169"/>
      <c r="L41" s="169"/>
      <c r="M41" s="154">
        <v>206040</v>
      </c>
      <c r="N41" s="31">
        <v>0</v>
      </c>
      <c r="O41" s="31">
        <v>200</v>
      </c>
    </row>
    <row r="42" spans="5:15">
      <c r="E42" s="89"/>
      <c r="F42" s="323" t="s">
        <v>483</v>
      </c>
      <c r="G42" s="161" t="s">
        <v>881</v>
      </c>
      <c r="H42" s="312" t="s">
        <v>1786</v>
      </c>
      <c r="I42" s="319" t="s">
        <v>1719</v>
      </c>
      <c r="J42" s="169"/>
      <c r="K42" s="169"/>
      <c r="L42" s="169"/>
      <c r="M42" s="154">
        <v>206041</v>
      </c>
      <c r="N42" s="31">
        <v>0</v>
      </c>
      <c r="O42" s="31">
        <v>200</v>
      </c>
    </row>
    <row r="43" spans="5:15">
      <c r="E43" s="89"/>
      <c r="F43" s="323" t="s">
        <v>482</v>
      </c>
      <c r="G43" s="161" t="s">
        <v>482</v>
      </c>
      <c r="H43" s="312" t="s">
        <v>1721</v>
      </c>
      <c r="I43" s="319" t="s">
        <v>1720</v>
      </c>
      <c r="J43" s="169"/>
      <c r="K43" s="169"/>
      <c r="L43" s="169"/>
      <c r="M43" s="154">
        <v>206042</v>
      </c>
      <c r="N43" s="31">
        <v>0</v>
      </c>
      <c r="O43" s="31">
        <v>200</v>
      </c>
    </row>
    <row r="44" spans="5:15">
      <c r="E44" s="89"/>
      <c r="F44" s="323" t="s">
        <v>481</v>
      </c>
      <c r="G44" s="161" t="s">
        <v>481</v>
      </c>
      <c r="H44" s="312" t="s">
        <v>1722</v>
      </c>
      <c r="I44" s="319" t="s">
        <v>1722</v>
      </c>
      <c r="J44" s="169"/>
      <c r="K44" s="169"/>
      <c r="L44" s="169"/>
      <c r="M44" s="154">
        <v>206043</v>
      </c>
      <c r="N44" s="31">
        <v>0</v>
      </c>
      <c r="O44" s="31">
        <v>200</v>
      </c>
    </row>
    <row r="45" spans="5:15">
      <c r="E45" s="89"/>
      <c r="F45" s="323" t="s">
        <v>480</v>
      </c>
      <c r="G45" s="161" t="s">
        <v>480</v>
      </c>
      <c r="H45" s="312" t="s">
        <v>1724</v>
      </c>
      <c r="I45" s="319" t="s">
        <v>1723</v>
      </c>
      <c r="J45" s="169"/>
      <c r="K45" s="169"/>
      <c r="L45" s="169"/>
      <c r="M45" s="154">
        <v>206044</v>
      </c>
      <c r="N45" s="31">
        <v>0</v>
      </c>
      <c r="O45" s="31">
        <v>200</v>
      </c>
    </row>
    <row r="46" spans="5:15">
      <c r="E46" s="89"/>
      <c r="F46" s="323" t="s">
        <v>479</v>
      </c>
      <c r="G46" s="161" t="s">
        <v>479</v>
      </c>
      <c r="H46" s="312" t="s">
        <v>1780</v>
      </c>
      <c r="I46" s="319" t="s">
        <v>1725</v>
      </c>
      <c r="J46" s="169"/>
      <c r="K46" s="169"/>
      <c r="L46" s="169"/>
      <c r="M46" s="154">
        <v>206045</v>
      </c>
      <c r="N46" s="31">
        <v>0</v>
      </c>
      <c r="O46" s="31">
        <v>200</v>
      </c>
    </row>
    <row r="47" spans="5:15">
      <c r="F47" s="322" t="s">
        <v>478</v>
      </c>
      <c r="G47" s="307" t="s">
        <v>1586</v>
      </c>
      <c r="H47" s="195" t="s">
        <v>1727</v>
      </c>
      <c r="I47" s="319" t="s">
        <v>1726</v>
      </c>
      <c r="J47" s="169"/>
      <c r="K47" s="169"/>
      <c r="L47" s="169"/>
      <c r="M47" s="154">
        <v>206046</v>
      </c>
      <c r="N47" s="31">
        <v>0</v>
      </c>
      <c r="O47" s="31">
        <v>200</v>
      </c>
    </row>
    <row r="48" spans="5:15">
      <c r="E48" s="89"/>
      <c r="F48" s="323" t="s">
        <v>882</v>
      </c>
      <c r="G48" s="161" t="s">
        <v>883</v>
      </c>
      <c r="H48" s="312" t="s">
        <v>1728</v>
      </c>
      <c r="I48" s="319" t="s">
        <v>1728</v>
      </c>
      <c r="J48" s="169"/>
      <c r="K48" s="169"/>
      <c r="L48" s="169"/>
      <c r="M48" s="154">
        <v>206047</v>
      </c>
      <c r="N48" s="31">
        <v>0</v>
      </c>
      <c r="O48" s="31">
        <v>200</v>
      </c>
    </row>
    <row r="49" spans="5:15">
      <c r="E49" s="89"/>
      <c r="F49" s="323" t="s">
        <v>477</v>
      </c>
      <c r="G49" s="161" t="s">
        <v>477</v>
      </c>
      <c r="H49" s="312" t="s">
        <v>1729</v>
      </c>
      <c r="I49" s="319" t="s">
        <v>1686</v>
      </c>
      <c r="J49" s="169"/>
      <c r="K49" s="169"/>
      <c r="L49" s="169"/>
      <c r="M49" s="154">
        <v>206048</v>
      </c>
      <c r="N49" s="31">
        <v>0</v>
      </c>
      <c r="O49" s="31">
        <v>200</v>
      </c>
    </row>
    <row r="50" spans="5:15">
      <c r="E50" s="89"/>
      <c r="F50" s="323" t="s">
        <v>476</v>
      </c>
      <c r="G50" s="161" t="s">
        <v>476</v>
      </c>
      <c r="H50" s="312" t="s">
        <v>1731</v>
      </c>
      <c r="I50" s="319" t="s">
        <v>1730</v>
      </c>
      <c r="J50" s="169"/>
      <c r="K50" s="169"/>
      <c r="L50" s="169"/>
      <c r="M50" s="154">
        <v>206049</v>
      </c>
      <c r="N50" s="31">
        <v>0</v>
      </c>
      <c r="O50" s="31">
        <v>200</v>
      </c>
    </row>
    <row r="51" spans="5:15">
      <c r="E51" s="89"/>
      <c r="F51" s="323" t="s">
        <v>475</v>
      </c>
      <c r="G51" s="161" t="s">
        <v>474</v>
      </c>
      <c r="H51" s="312" t="s">
        <v>1733</v>
      </c>
      <c r="I51" s="319" t="s">
        <v>1732</v>
      </c>
      <c r="J51" s="169"/>
      <c r="K51" s="169"/>
      <c r="L51" s="169"/>
      <c r="M51" s="154">
        <v>206050</v>
      </c>
      <c r="N51" s="31">
        <v>0</v>
      </c>
      <c r="O51" s="31">
        <v>200</v>
      </c>
    </row>
    <row r="52" spans="5:15">
      <c r="E52" s="89"/>
      <c r="F52" s="323" t="s">
        <v>473</v>
      </c>
      <c r="G52" s="161" t="s">
        <v>472</v>
      </c>
      <c r="H52" s="312" t="s">
        <v>1735</v>
      </c>
      <c r="I52" s="319" t="s">
        <v>1152</v>
      </c>
      <c r="J52" s="169"/>
      <c r="K52" s="169"/>
      <c r="L52" s="169"/>
      <c r="M52" s="154">
        <v>206051</v>
      </c>
      <c r="N52" s="31">
        <v>0</v>
      </c>
      <c r="O52" s="31">
        <v>200</v>
      </c>
    </row>
    <row r="53" spans="5:15">
      <c r="E53" s="89"/>
      <c r="F53" s="320" t="s">
        <v>884</v>
      </c>
      <c r="G53" s="161" t="s">
        <v>471</v>
      </c>
      <c r="H53" s="312" t="s">
        <v>470</v>
      </c>
      <c r="I53" s="319" t="s">
        <v>1736</v>
      </c>
      <c r="J53" s="169"/>
      <c r="K53" s="169"/>
      <c r="L53" s="169"/>
      <c r="M53" s="154">
        <v>206052</v>
      </c>
      <c r="N53" s="31">
        <v>0</v>
      </c>
      <c r="O53" s="31">
        <v>200</v>
      </c>
    </row>
    <row r="54" spans="5:15">
      <c r="E54" s="89"/>
      <c r="F54" s="323" t="s">
        <v>469</v>
      </c>
      <c r="G54" s="161" t="s">
        <v>468</v>
      </c>
      <c r="H54" s="312" t="s">
        <v>1739</v>
      </c>
      <c r="I54" s="319" t="s">
        <v>1737</v>
      </c>
      <c r="J54" s="169"/>
      <c r="K54" s="169"/>
      <c r="L54" s="169"/>
      <c r="M54" s="154">
        <v>206053</v>
      </c>
      <c r="N54" s="31">
        <v>0</v>
      </c>
      <c r="O54" s="31">
        <v>200</v>
      </c>
    </row>
    <row r="55" spans="5:15">
      <c r="F55" s="322" t="s">
        <v>467</v>
      </c>
      <c r="G55" s="307" t="s">
        <v>1587</v>
      </c>
      <c r="H55" s="195" t="s">
        <v>1743</v>
      </c>
      <c r="I55" s="321" t="s">
        <v>1743</v>
      </c>
      <c r="J55" s="172"/>
      <c r="K55" s="172"/>
      <c r="L55" s="172"/>
      <c r="M55" s="154">
        <v>206054</v>
      </c>
      <c r="N55" s="31">
        <v>0</v>
      </c>
      <c r="O55" s="31">
        <v>200</v>
      </c>
    </row>
    <row r="56" spans="5:15">
      <c r="E56" s="89"/>
      <c r="F56" s="319" t="s">
        <v>1155</v>
      </c>
      <c r="G56" s="161" t="s">
        <v>466</v>
      </c>
      <c r="H56" s="312" t="s">
        <v>1744</v>
      </c>
      <c r="I56" s="319" t="s">
        <v>1569</v>
      </c>
      <c r="J56" s="169"/>
      <c r="K56" s="169"/>
      <c r="L56" s="169"/>
      <c r="M56" s="154">
        <v>206055</v>
      </c>
      <c r="N56" s="31">
        <v>0</v>
      </c>
      <c r="O56" s="31">
        <v>200</v>
      </c>
    </row>
    <row r="57" spans="5:15">
      <c r="F57" s="322" t="s">
        <v>465</v>
      </c>
      <c r="G57" s="307" t="s">
        <v>1588</v>
      </c>
      <c r="H57" s="195" t="s">
        <v>1741</v>
      </c>
      <c r="I57" s="319" t="s">
        <v>1740</v>
      </c>
      <c r="J57" s="169"/>
      <c r="K57" s="169"/>
      <c r="L57" s="169"/>
      <c r="M57" s="154">
        <v>206056</v>
      </c>
      <c r="N57" s="31">
        <v>0</v>
      </c>
      <c r="O57" s="31">
        <v>200</v>
      </c>
    </row>
    <row r="58" spans="5:15">
      <c r="F58" s="322" t="s">
        <v>464</v>
      </c>
      <c r="G58" s="307" t="s">
        <v>1589</v>
      </c>
      <c r="H58" s="195" t="s">
        <v>1745</v>
      </c>
      <c r="I58" s="319" t="s">
        <v>1742</v>
      </c>
      <c r="J58" s="169"/>
      <c r="K58" s="169"/>
      <c r="L58" s="169"/>
      <c r="M58" s="154">
        <v>206057</v>
      </c>
      <c r="N58" s="31">
        <v>0</v>
      </c>
      <c r="O58" s="31">
        <v>200</v>
      </c>
    </row>
    <row r="59" spans="5:15">
      <c r="F59" s="322" t="s">
        <v>463</v>
      </c>
      <c r="G59" s="307" t="s">
        <v>1590</v>
      </c>
      <c r="H59" s="195" t="s">
        <v>1748</v>
      </c>
      <c r="I59" s="319" t="s">
        <v>1746</v>
      </c>
      <c r="J59" s="169"/>
      <c r="K59" s="169"/>
      <c r="L59" s="169"/>
      <c r="M59" s="154">
        <v>206058</v>
      </c>
      <c r="N59" s="31">
        <v>0</v>
      </c>
      <c r="O59" s="31">
        <v>200</v>
      </c>
    </row>
    <row r="60" spans="5:15">
      <c r="F60" s="322" t="s">
        <v>462</v>
      </c>
      <c r="G60" s="307" t="s">
        <v>1591</v>
      </c>
      <c r="H60" s="195" t="s">
        <v>1749</v>
      </c>
      <c r="I60" s="319" t="s">
        <v>1747</v>
      </c>
      <c r="J60" s="169"/>
      <c r="K60" s="169"/>
      <c r="L60" s="169"/>
      <c r="M60" s="154">
        <v>206059</v>
      </c>
      <c r="N60" s="31">
        <v>0</v>
      </c>
      <c r="O60" s="31">
        <v>200</v>
      </c>
    </row>
    <row r="61" spans="5:15">
      <c r="F61" s="322" t="s">
        <v>461</v>
      </c>
      <c r="G61" s="307" t="s">
        <v>1592</v>
      </c>
      <c r="H61" s="195" t="s">
        <v>1751</v>
      </c>
      <c r="I61" s="319" t="s">
        <v>1750</v>
      </c>
      <c r="J61" s="169"/>
      <c r="K61" s="169"/>
      <c r="L61" s="169"/>
      <c r="M61" s="154">
        <v>206060</v>
      </c>
      <c r="N61" s="31">
        <v>0</v>
      </c>
      <c r="O61" s="31">
        <v>200</v>
      </c>
    </row>
    <row r="62" spans="5:15">
      <c r="E62" s="89"/>
      <c r="F62" s="323" t="s">
        <v>460</v>
      </c>
      <c r="G62" s="161" t="s">
        <v>460</v>
      </c>
      <c r="H62" s="312" t="s">
        <v>1753</v>
      </c>
      <c r="I62" s="319" t="s">
        <v>1752</v>
      </c>
      <c r="J62" s="169"/>
      <c r="K62" s="169"/>
      <c r="L62" s="169"/>
      <c r="M62" s="154">
        <v>206061</v>
      </c>
      <c r="N62" s="31">
        <v>0</v>
      </c>
      <c r="O62" s="31">
        <v>200</v>
      </c>
    </row>
    <row r="63" spans="5:15">
      <c r="E63" s="89"/>
      <c r="F63" s="323" t="s">
        <v>459</v>
      </c>
      <c r="G63" s="161" t="s">
        <v>458</v>
      </c>
      <c r="H63" s="312" t="s">
        <v>1754</v>
      </c>
      <c r="I63" s="319" t="s">
        <v>1156</v>
      </c>
      <c r="J63" s="169"/>
      <c r="K63" s="169"/>
      <c r="L63" s="169"/>
      <c r="M63" s="154">
        <v>206062</v>
      </c>
      <c r="N63" s="31">
        <v>0</v>
      </c>
      <c r="O63" s="31">
        <v>200</v>
      </c>
    </row>
    <row r="64" spans="5:15">
      <c r="E64" s="89"/>
      <c r="F64" s="323" t="s">
        <v>457</v>
      </c>
      <c r="G64" s="161" t="s">
        <v>456</v>
      </c>
      <c r="H64" s="312" t="s">
        <v>1755</v>
      </c>
      <c r="I64" s="319" t="s">
        <v>1157</v>
      </c>
      <c r="J64" s="169"/>
      <c r="K64" s="169"/>
      <c r="L64" s="169"/>
      <c r="M64" s="154">
        <v>206063</v>
      </c>
      <c r="N64" s="31">
        <v>0</v>
      </c>
      <c r="O64" s="31">
        <v>200</v>
      </c>
    </row>
    <row r="65" spans="4:17">
      <c r="E65" s="89"/>
      <c r="F65" s="323" t="s">
        <v>455</v>
      </c>
      <c r="G65" s="161" t="s">
        <v>454</v>
      </c>
      <c r="H65" s="312" t="s">
        <v>1756</v>
      </c>
      <c r="I65" s="319" t="s">
        <v>1158</v>
      </c>
      <c r="J65" s="169"/>
      <c r="K65" s="169"/>
      <c r="L65" s="169"/>
      <c r="M65" s="154">
        <v>206064</v>
      </c>
      <c r="N65" s="31">
        <v>0</v>
      </c>
      <c r="O65" s="31">
        <v>200</v>
      </c>
    </row>
    <row r="66" spans="4:17">
      <c r="E66" s="89"/>
      <c r="F66" s="323" t="s">
        <v>453</v>
      </c>
      <c r="G66" s="161" t="s">
        <v>452</v>
      </c>
      <c r="H66" s="312" t="s">
        <v>1757</v>
      </c>
      <c r="I66" s="319" t="s">
        <v>1159</v>
      </c>
      <c r="J66" s="169"/>
      <c r="K66" s="169"/>
      <c r="L66" s="169"/>
      <c r="M66" s="154">
        <v>206065</v>
      </c>
      <c r="N66" s="31">
        <v>0</v>
      </c>
      <c r="O66" s="31">
        <v>200</v>
      </c>
    </row>
    <row r="67" spans="4:17">
      <c r="E67" s="89"/>
      <c r="F67" s="323" t="s">
        <v>451</v>
      </c>
      <c r="G67" s="171" t="s">
        <v>307</v>
      </c>
      <c r="H67" s="315" t="s">
        <v>1764</v>
      </c>
      <c r="I67" s="319" t="s">
        <v>1762</v>
      </c>
      <c r="J67" s="170"/>
      <c r="K67" s="170"/>
      <c r="L67" s="170"/>
      <c r="M67" s="154">
        <v>206066</v>
      </c>
      <c r="N67" s="31">
        <v>0</v>
      </c>
      <c r="O67" s="31">
        <v>200</v>
      </c>
    </row>
    <row r="68" spans="4:17">
      <c r="E68" s="89"/>
      <c r="F68" s="323" t="s">
        <v>450</v>
      </c>
      <c r="G68" s="161" t="s">
        <v>267</v>
      </c>
      <c r="H68" s="312" t="s">
        <v>1763</v>
      </c>
      <c r="I68" s="319" t="s">
        <v>893</v>
      </c>
      <c r="J68" s="169"/>
      <c r="K68" s="169"/>
      <c r="L68" s="169"/>
      <c r="M68" s="154">
        <v>206067</v>
      </c>
      <c r="N68" s="31">
        <v>0</v>
      </c>
      <c r="O68" s="31">
        <v>200</v>
      </c>
    </row>
    <row r="69" spans="4:17">
      <c r="E69" s="89"/>
      <c r="F69" s="323" t="s">
        <v>226</v>
      </c>
      <c r="G69" s="161" t="s">
        <v>312</v>
      </c>
      <c r="H69" s="312" t="s">
        <v>1793</v>
      </c>
      <c r="I69" s="319" t="s">
        <v>1765</v>
      </c>
      <c r="J69" s="169"/>
      <c r="K69" s="169"/>
      <c r="L69" s="169"/>
      <c r="M69" s="154">
        <v>206068</v>
      </c>
      <c r="N69" s="31">
        <v>0</v>
      </c>
      <c r="O69" s="31">
        <v>200</v>
      </c>
    </row>
    <row r="70" spans="4:17">
      <c r="E70" s="89"/>
      <c r="F70" s="323" t="s">
        <v>448</v>
      </c>
      <c r="G70" s="161" t="s">
        <v>447</v>
      </c>
      <c r="H70" s="312" t="s">
        <v>446</v>
      </c>
      <c r="I70" s="319" t="s">
        <v>1766</v>
      </c>
      <c r="J70" s="169"/>
      <c r="K70" s="169"/>
      <c r="L70" s="169"/>
      <c r="M70" s="154">
        <v>206069</v>
      </c>
      <c r="N70" s="31">
        <v>0</v>
      </c>
      <c r="O70" s="31">
        <v>200</v>
      </c>
    </row>
    <row r="71" spans="4:17">
      <c r="E71" s="89"/>
      <c r="F71" s="323" t="s">
        <v>445</v>
      </c>
      <c r="G71" s="161" t="s">
        <v>445</v>
      </c>
      <c r="H71" s="312" t="s">
        <v>1767</v>
      </c>
      <c r="I71" s="319" t="s">
        <v>1767</v>
      </c>
      <c r="J71" s="169"/>
      <c r="K71" s="169"/>
      <c r="L71" s="169"/>
      <c r="M71" s="154">
        <v>206070</v>
      </c>
      <c r="N71" s="31">
        <v>0</v>
      </c>
      <c r="O71" s="31">
        <v>200</v>
      </c>
    </row>
    <row r="72" spans="4:17">
      <c r="F72" s="322" t="s">
        <v>444</v>
      </c>
      <c r="G72" s="307" t="s">
        <v>1593</v>
      </c>
      <c r="H72" s="195" t="s">
        <v>1769</v>
      </c>
      <c r="I72" s="321" t="s">
        <v>1768</v>
      </c>
      <c r="J72" s="172"/>
      <c r="K72" s="172"/>
      <c r="L72" s="172"/>
      <c r="M72" s="154">
        <v>206071</v>
      </c>
      <c r="N72" s="31">
        <v>0</v>
      </c>
      <c r="O72" s="31">
        <v>200</v>
      </c>
    </row>
    <row r="73" spans="4:17">
      <c r="E73" s="89"/>
      <c r="F73" s="323" t="s">
        <v>443</v>
      </c>
      <c r="G73" s="171" t="s">
        <v>442</v>
      </c>
      <c r="H73" s="315" t="s">
        <v>1784</v>
      </c>
      <c r="I73" s="319" t="s">
        <v>894</v>
      </c>
      <c r="J73" s="170"/>
      <c r="K73" s="170"/>
      <c r="L73" s="170"/>
      <c r="M73" s="154">
        <v>206072</v>
      </c>
      <c r="N73" s="31">
        <v>0</v>
      </c>
      <c r="O73" s="31">
        <v>200</v>
      </c>
    </row>
    <row r="74" spans="4:17">
      <c r="E74" s="89"/>
      <c r="F74" s="319" t="s">
        <v>1154</v>
      </c>
      <c r="G74" s="161" t="s">
        <v>441</v>
      </c>
      <c r="H74" s="312" t="s">
        <v>1771</v>
      </c>
      <c r="I74" s="319" t="s">
        <v>1770</v>
      </c>
      <c r="J74" s="169"/>
      <c r="K74" s="169"/>
      <c r="L74" s="169"/>
      <c r="M74" s="154">
        <v>206073</v>
      </c>
      <c r="N74" s="31">
        <v>0</v>
      </c>
      <c r="O74" s="31">
        <v>200</v>
      </c>
    </row>
    <row r="75" spans="4:17">
      <c r="E75" s="89"/>
      <c r="F75" s="323" t="s">
        <v>440</v>
      </c>
      <c r="G75" s="161" t="s">
        <v>440</v>
      </c>
      <c r="H75" s="312" t="s">
        <v>1772</v>
      </c>
      <c r="I75" s="319" t="s">
        <v>1772</v>
      </c>
      <c r="J75" s="169"/>
      <c r="K75" s="169"/>
      <c r="L75" s="169"/>
      <c r="M75" s="154">
        <v>206074</v>
      </c>
      <c r="N75" s="31">
        <v>0</v>
      </c>
      <c r="O75" s="31">
        <v>200</v>
      </c>
    </row>
    <row r="76" spans="4:17">
      <c r="D76" s="158" t="s">
        <v>885</v>
      </c>
      <c r="E76" s="302"/>
      <c r="F76" s="323" t="s">
        <v>439</v>
      </c>
      <c r="G76" s="157" t="s">
        <v>439</v>
      </c>
      <c r="H76" s="195" t="s">
        <v>438</v>
      </c>
      <c r="I76" s="320" t="s">
        <v>438</v>
      </c>
      <c r="J76" s="169"/>
      <c r="K76" s="169"/>
      <c r="L76" s="169"/>
      <c r="M76" s="154">
        <v>207001</v>
      </c>
      <c r="N76" s="31">
        <v>1</v>
      </c>
      <c r="O76" s="31">
        <v>80</v>
      </c>
      <c r="P76" s="174">
        <v>40</v>
      </c>
      <c r="Q76" s="16" t="str">
        <f>"消耗魔法："&amp;P76</f>
        <v>消耗魔法：40</v>
      </c>
    </row>
    <row r="77" spans="4:17">
      <c r="E77" s="89"/>
      <c r="F77" s="323" t="s">
        <v>437</v>
      </c>
      <c r="G77" s="157" t="s">
        <v>865</v>
      </c>
      <c r="H77" s="195" t="s">
        <v>1798</v>
      </c>
      <c r="I77" s="320" t="s">
        <v>436</v>
      </c>
      <c r="J77" s="169"/>
      <c r="K77" s="169"/>
      <c r="L77" s="169"/>
      <c r="M77" s="154">
        <v>207002</v>
      </c>
      <c r="N77" s="31">
        <v>1</v>
      </c>
      <c r="O77" s="31">
        <v>80</v>
      </c>
      <c r="P77" s="174">
        <v>40</v>
      </c>
      <c r="Q77" s="16" t="str">
        <f t="shared" ref="Q77:Q91" si="0">"消耗魔法："&amp;P77</f>
        <v>消耗魔法：40</v>
      </c>
    </row>
    <row r="78" spans="4:17">
      <c r="E78" s="89"/>
      <c r="F78" s="323" t="s">
        <v>435</v>
      </c>
      <c r="G78" s="157" t="s">
        <v>866</v>
      </c>
      <c r="H78" s="195" t="s">
        <v>434</v>
      </c>
      <c r="I78" s="320" t="s">
        <v>434</v>
      </c>
      <c r="J78" s="169"/>
      <c r="K78" s="169"/>
      <c r="L78" s="169"/>
      <c r="M78" s="154">
        <v>207003</v>
      </c>
      <c r="N78" s="31">
        <v>1</v>
      </c>
      <c r="O78" s="31">
        <v>80</v>
      </c>
      <c r="P78" s="174">
        <v>40</v>
      </c>
      <c r="Q78" s="16" t="str">
        <f t="shared" si="0"/>
        <v>消耗魔法：40</v>
      </c>
    </row>
    <row r="79" spans="4:17">
      <c r="E79" s="89"/>
      <c r="F79" s="323" t="s">
        <v>433</v>
      </c>
      <c r="G79" s="157" t="s">
        <v>433</v>
      </c>
      <c r="H79" s="195" t="s">
        <v>432</v>
      </c>
      <c r="I79" s="320" t="s">
        <v>432</v>
      </c>
      <c r="J79" s="169"/>
      <c r="K79" s="169"/>
      <c r="L79" s="169"/>
      <c r="M79" s="154">
        <v>207004</v>
      </c>
      <c r="N79" s="31">
        <v>1</v>
      </c>
      <c r="O79" s="31">
        <v>80</v>
      </c>
      <c r="P79" s="174">
        <v>40</v>
      </c>
      <c r="Q79" s="16" t="str">
        <f t="shared" si="0"/>
        <v>消耗魔法：40</v>
      </c>
    </row>
    <row r="80" spans="4:17">
      <c r="E80" s="89"/>
      <c r="F80" s="323" t="s">
        <v>431</v>
      </c>
      <c r="G80" s="159" t="s">
        <v>431</v>
      </c>
      <c r="H80" s="195" t="s">
        <v>430</v>
      </c>
      <c r="I80" s="320" t="s">
        <v>430</v>
      </c>
      <c r="J80" s="169"/>
      <c r="K80" s="169"/>
      <c r="L80" s="169"/>
      <c r="M80" s="154">
        <v>207005</v>
      </c>
      <c r="N80" s="31">
        <v>1</v>
      </c>
      <c r="O80" s="31">
        <v>200</v>
      </c>
      <c r="P80" s="174">
        <v>50</v>
      </c>
      <c r="Q80" s="16" t="str">
        <f t="shared" si="0"/>
        <v>消耗魔法：50</v>
      </c>
    </row>
    <row r="81" spans="5:17">
      <c r="E81" s="89"/>
      <c r="F81" s="323" t="s">
        <v>429</v>
      </c>
      <c r="G81" s="155" t="s">
        <v>867</v>
      </c>
      <c r="H81" s="314" t="s">
        <v>1799</v>
      </c>
      <c r="I81" s="320" t="s">
        <v>428</v>
      </c>
      <c r="J81" s="169"/>
      <c r="K81" s="169"/>
      <c r="L81" s="169"/>
      <c r="M81" s="154">
        <v>207006</v>
      </c>
      <c r="N81" s="31">
        <v>1</v>
      </c>
      <c r="O81" s="31">
        <v>200</v>
      </c>
      <c r="P81" s="174">
        <v>50</v>
      </c>
      <c r="Q81" s="16" t="str">
        <f t="shared" si="0"/>
        <v>消耗魔法：50</v>
      </c>
    </row>
    <row r="82" spans="5:17">
      <c r="E82" s="89"/>
      <c r="F82" s="323" t="s">
        <v>427</v>
      </c>
      <c r="G82" s="155" t="s">
        <v>426</v>
      </c>
      <c r="H82" s="314" t="s">
        <v>425</v>
      </c>
      <c r="I82" s="320" t="s">
        <v>425</v>
      </c>
      <c r="J82" s="169"/>
      <c r="K82" s="169"/>
      <c r="L82" s="169"/>
      <c r="M82" s="154">
        <v>207007</v>
      </c>
      <c r="N82" s="31">
        <v>1</v>
      </c>
      <c r="O82" s="31">
        <v>200</v>
      </c>
      <c r="P82" s="174">
        <v>50</v>
      </c>
      <c r="Q82" s="16" t="str">
        <f t="shared" si="0"/>
        <v>消耗魔法：50</v>
      </c>
    </row>
    <row r="83" spans="5:17">
      <c r="E83" s="89"/>
      <c r="F83" s="323" t="s">
        <v>424</v>
      </c>
      <c r="G83" s="155" t="s">
        <v>868</v>
      </c>
      <c r="H83" s="314" t="s">
        <v>423</v>
      </c>
      <c r="I83" s="320" t="s">
        <v>423</v>
      </c>
      <c r="J83" s="169"/>
      <c r="K83" s="169"/>
      <c r="L83" s="169"/>
      <c r="M83" s="154">
        <v>207008</v>
      </c>
      <c r="N83" s="31">
        <v>1</v>
      </c>
      <c r="O83" s="31">
        <v>200</v>
      </c>
      <c r="P83" s="174">
        <v>50</v>
      </c>
      <c r="Q83" s="16" t="str">
        <f t="shared" si="0"/>
        <v>消耗魔法：50</v>
      </c>
    </row>
    <row r="84" spans="5:17">
      <c r="E84" s="89"/>
      <c r="F84" s="319" t="s">
        <v>1603</v>
      </c>
      <c r="G84" s="155" t="s">
        <v>1603</v>
      </c>
      <c r="H84" s="314" t="s">
        <v>1773</v>
      </c>
      <c r="I84" s="322" t="s">
        <v>886</v>
      </c>
      <c r="J84" s="169"/>
      <c r="K84" s="169"/>
      <c r="L84" s="169"/>
      <c r="M84" s="154">
        <v>207009</v>
      </c>
      <c r="N84" s="31">
        <v>1</v>
      </c>
      <c r="O84" s="31">
        <v>200</v>
      </c>
      <c r="P84" s="174">
        <v>50</v>
      </c>
      <c r="Q84" s="16" t="str">
        <f t="shared" si="0"/>
        <v>消耗魔法：50</v>
      </c>
    </row>
    <row r="85" spans="5:17">
      <c r="E85" s="89"/>
      <c r="F85" s="323" t="s">
        <v>869</v>
      </c>
      <c r="G85" s="155" t="s">
        <v>1164</v>
      </c>
      <c r="H85" s="314" t="s">
        <v>870</v>
      </c>
      <c r="I85" s="320" t="s">
        <v>870</v>
      </c>
      <c r="J85" s="169"/>
      <c r="K85" s="169"/>
      <c r="L85" s="169"/>
      <c r="M85" s="154">
        <v>207010</v>
      </c>
      <c r="N85" s="31">
        <v>1</v>
      </c>
      <c r="O85" s="31">
        <v>200</v>
      </c>
      <c r="P85" s="174">
        <v>60</v>
      </c>
      <c r="Q85" s="16" t="str">
        <f t="shared" si="0"/>
        <v>消耗魔法：60</v>
      </c>
    </row>
    <row r="86" spans="5:17">
      <c r="E86" s="89"/>
      <c r="F86" s="320" t="s">
        <v>538</v>
      </c>
      <c r="G86" s="155" t="s">
        <v>422</v>
      </c>
      <c r="H86" s="314" t="s">
        <v>871</v>
      </c>
      <c r="I86" s="320" t="s">
        <v>871</v>
      </c>
      <c r="J86" s="169"/>
      <c r="K86" s="169"/>
      <c r="L86" s="169"/>
      <c r="M86" s="154">
        <v>207011</v>
      </c>
      <c r="N86" s="31">
        <v>1</v>
      </c>
      <c r="O86" s="31">
        <v>200</v>
      </c>
      <c r="P86" s="174">
        <v>50</v>
      </c>
      <c r="Q86" s="16" t="str">
        <f t="shared" si="0"/>
        <v>消耗魔法：50</v>
      </c>
    </row>
    <row r="87" spans="5:17">
      <c r="E87" s="89"/>
      <c r="F87" s="323" t="s">
        <v>421</v>
      </c>
      <c r="G87" s="155" t="s">
        <v>402</v>
      </c>
      <c r="H87" s="314" t="s">
        <v>1774</v>
      </c>
      <c r="I87" s="323" t="s">
        <v>895</v>
      </c>
      <c r="J87" s="169"/>
      <c r="K87" s="169"/>
      <c r="L87" s="169"/>
      <c r="M87" s="154">
        <v>207012</v>
      </c>
      <c r="N87" s="31">
        <v>1</v>
      </c>
      <c r="O87" s="31">
        <v>200</v>
      </c>
      <c r="P87" s="174">
        <v>50</v>
      </c>
      <c r="Q87" s="16" t="str">
        <f t="shared" si="0"/>
        <v>消耗魔法：50</v>
      </c>
    </row>
    <row r="88" spans="5:17">
      <c r="E88" s="89"/>
      <c r="F88" s="320" t="s">
        <v>872</v>
      </c>
      <c r="G88" s="155" t="s">
        <v>1604</v>
      </c>
      <c r="H88" s="314" t="s">
        <v>420</v>
      </c>
      <c r="I88" s="320" t="s">
        <v>420</v>
      </c>
      <c r="J88" s="169"/>
      <c r="K88" s="169"/>
      <c r="L88" s="169"/>
      <c r="M88" s="154">
        <v>207013</v>
      </c>
      <c r="N88" s="31">
        <v>1</v>
      </c>
      <c r="O88" s="31">
        <v>200</v>
      </c>
      <c r="P88" s="174">
        <v>50</v>
      </c>
      <c r="Q88" s="16" t="str">
        <f t="shared" si="0"/>
        <v>消耗魔法：50</v>
      </c>
    </row>
    <row r="89" spans="5:17">
      <c r="E89" s="89"/>
      <c r="F89" s="323" t="s">
        <v>419</v>
      </c>
      <c r="G89" s="155" t="s">
        <v>222</v>
      </c>
      <c r="H89" s="314" t="s">
        <v>1800</v>
      </c>
      <c r="I89" s="320" t="s">
        <v>873</v>
      </c>
      <c r="J89" s="169"/>
      <c r="K89" s="169"/>
      <c r="L89" s="169"/>
      <c r="M89" s="154">
        <v>207014</v>
      </c>
      <c r="N89" s="31">
        <v>1</v>
      </c>
      <c r="O89" s="31">
        <v>200</v>
      </c>
      <c r="P89" s="174">
        <v>60</v>
      </c>
      <c r="Q89" s="16" t="str">
        <f t="shared" si="0"/>
        <v>消耗魔法：60</v>
      </c>
    </row>
    <row r="90" spans="5:17">
      <c r="E90" s="89"/>
      <c r="F90" s="319" t="s">
        <v>896</v>
      </c>
      <c r="G90" s="155" t="s">
        <v>418</v>
      </c>
      <c r="H90" s="314" t="s">
        <v>1802</v>
      </c>
      <c r="I90" s="319" t="s">
        <v>897</v>
      </c>
      <c r="J90" s="169"/>
      <c r="K90" s="169"/>
      <c r="L90" s="169"/>
      <c r="M90" s="154">
        <v>207015</v>
      </c>
      <c r="N90" s="31">
        <v>1</v>
      </c>
      <c r="O90" s="31">
        <v>200</v>
      </c>
      <c r="P90" s="174">
        <v>60</v>
      </c>
      <c r="Q90" s="16" t="str">
        <f t="shared" si="0"/>
        <v>消耗魔法：60</v>
      </c>
    </row>
    <row r="91" spans="5:17">
      <c r="E91" s="89"/>
      <c r="F91" s="319" t="s">
        <v>887</v>
      </c>
      <c r="G91" s="155" t="s">
        <v>888</v>
      </c>
      <c r="H91" s="314" t="s">
        <v>1801</v>
      </c>
      <c r="I91" s="322" t="s">
        <v>1567</v>
      </c>
      <c r="J91" s="169"/>
      <c r="K91" s="169"/>
      <c r="L91" s="169"/>
      <c r="M91" s="154">
        <v>207016</v>
      </c>
      <c r="N91" s="31">
        <v>1</v>
      </c>
      <c r="O91" s="31">
        <v>200</v>
      </c>
      <c r="P91" s="174">
        <v>60</v>
      </c>
      <c r="Q91" s="16" t="str">
        <f t="shared" si="0"/>
        <v>消耗魔法：60</v>
      </c>
    </row>
    <row r="92" spans="5:17">
      <c r="E92" s="89"/>
      <c r="F92" s="325"/>
      <c r="G92" s="163" t="s">
        <v>898</v>
      </c>
      <c r="H92" s="195"/>
      <c r="I92" s="322"/>
      <c r="J92" s="169"/>
      <c r="K92" s="169"/>
      <c r="L92" s="169"/>
      <c r="M92" s="154">
        <v>207017</v>
      </c>
      <c r="N92" s="31">
        <v>1</v>
      </c>
      <c r="O92" s="31"/>
      <c r="P92" s="173">
        <v>0</v>
      </c>
    </row>
    <row r="93" spans="5:17">
      <c r="E93" s="89"/>
      <c r="F93" s="325"/>
      <c r="G93" s="163" t="s">
        <v>889</v>
      </c>
      <c r="H93" s="195"/>
      <c r="I93" s="322"/>
      <c r="J93" s="169"/>
      <c r="K93" s="169"/>
      <c r="L93" s="169"/>
      <c r="M93" s="154">
        <v>207018</v>
      </c>
      <c r="N93" s="31">
        <v>1</v>
      </c>
      <c r="O93" s="31"/>
      <c r="P93" s="173">
        <v>0</v>
      </c>
    </row>
    <row r="94" spans="5:17">
      <c r="E94" s="89"/>
      <c r="F94" s="325" t="s">
        <v>890</v>
      </c>
      <c r="G94" s="156" t="s">
        <v>891</v>
      </c>
      <c r="H94" s="316" t="s">
        <v>1776</v>
      </c>
      <c r="I94" s="322" t="s">
        <v>1566</v>
      </c>
      <c r="J94" s="76"/>
      <c r="K94" s="76"/>
      <c r="L94" s="76"/>
      <c r="M94" s="154">
        <v>207019</v>
      </c>
      <c r="N94" s="31">
        <v>1</v>
      </c>
      <c r="O94" s="31">
        <v>200</v>
      </c>
      <c r="P94" s="174">
        <v>50</v>
      </c>
      <c r="Q94" s="16" t="str">
        <f t="shared" ref="Q94" si="1">"消耗魔法："&amp;P94</f>
        <v>消耗魔法：50</v>
      </c>
    </row>
    <row r="95" spans="5:17">
      <c r="G95" s="83"/>
      <c r="H95" s="309"/>
    </row>
    <row r="96" spans="5:17">
      <c r="G96" s="83"/>
      <c r="H96" s="309"/>
    </row>
    <row r="97" spans="7:8">
      <c r="G97" s="83"/>
      <c r="H97" s="309"/>
    </row>
  </sheetData>
  <phoneticPr fontId="14" type="noConversion"/>
  <pageMargins left="0.69930555555555596" right="0.69930555555555596"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dimension ref="E5:M93"/>
  <sheetViews>
    <sheetView topLeftCell="A34" workbookViewId="0">
      <selection activeCell="G65" sqref="G65:G66"/>
    </sheetView>
  </sheetViews>
  <sheetFormatPr defaultRowHeight="13.5"/>
  <cols>
    <col min="6" max="6" width="15.125" customWidth="1"/>
    <col min="7" max="7" width="17.5" customWidth="1"/>
    <col min="8" max="8" width="80.875" bestFit="1" customWidth="1"/>
  </cols>
  <sheetData>
    <row r="5" spans="5:13">
      <c r="E5" s="48" t="s">
        <v>318</v>
      </c>
      <c r="F5" s="48"/>
      <c r="G5" s="37"/>
      <c r="H5" s="37"/>
      <c r="I5" s="76" t="s">
        <v>764</v>
      </c>
    </row>
    <row r="6" spans="5:13">
      <c r="E6" s="110" t="s">
        <v>319</v>
      </c>
      <c r="F6" s="48">
        <v>420001</v>
      </c>
      <c r="G6" s="70" t="s">
        <v>778</v>
      </c>
      <c r="H6" s="37" t="s">
        <v>320</v>
      </c>
      <c r="I6">
        <v>30</v>
      </c>
      <c r="M6" t="str">
        <f>$K$20&amp;H6&amp;$L$20</f>
        <v>&lt;T t="回复己方单体3%+200点生命。"&gt;&lt;/T&gt;</v>
      </c>
    </row>
    <row r="7" spans="5:13">
      <c r="E7" s="110" t="s">
        <v>321</v>
      </c>
      <c r="F7" s="48">
        <v>420002</v>
      </c>
      <c r="G7" s="70" t="s">
        <v>396</v>
      </c>
      <c r="H7" s="37" t="s">
        <v>322</v>
      </c>
      <c r="I7">
        <v>60</v>
      </c>
      <c r="M7" s="109" t="str">
        <f t="shared" ref="M7:M38" si="0">$K$20&amp;H7&amp;$L$20</f>
        <v>&lt;T t="回复己方单体6%+400点生命。"&gt;&lt;/T&gt;</v>
      </c>
    </row>
    <row r="8" spans="5:13">
      <c r="E8" s="110" t="s">
        <v>323</v>
      </c>
      <c r="F8" s="48">
        <v>420003</v>
      </c>
      <c r="G8" s="70" t="s">
        <v>397</v>
      </c>
      <c r="H8" s="37" t="s">
        <v>324</v>
      </c>
      <c r="I8">
        <v>90</v>
      </c>
      <c r="M8" s="109" t="str">
        <f t="shared" si="0"/>
        <v>&lt;T t="回复己方单体9%+600点生命。"&gt;&lt;/T&gt;</v>
      </c>
    </row>
    <row r="9" spans="5:13">
      <c r="E9" s="110" t="s">
        <v>325</v>
      </c>
      <c r="F9" s="48">
        <v>420004</v>
      </c>
      <c r="G9" s="70" t="s">
        <v>398</v>
      </c>
      <c r="H9" s="37" t="s">
        <v>326</v>
      </c>
      <c r="I9">
        <v>60</v>
      </c>
      <c r="M9" s="109" t="str">
        <f t="shared" si="0"/>
        <v>&lt;T t="回复自身10%+150点魔法。"&gt;&lt;/T&gt;</v>
      </c>
    </row>
    <row r="10" spans="5:13">
      <c r="E10" s="110" t="s">
        <v>327</v>
      </c>
      <c r="F10" s="48">
        <v>420005</v>
      </c>
      <c r="G10" s="70" t="s">
        <v>741</v>
      </c>
      <c r="H10" s="37" t="s">
        <v>328</v>
      </c>
      <c r="I10">
        <v>90</v>
      </c>
      <c r="M10" s="109" t="str">
        <f t="shared" si="0"/>
        <v>&lt;T t="回复自身15%+250点魔法。"&gt;&lt;/T&gt;</v>
      </c>
    </row>
    <row r="11" spans="5:13">
      <c r="E11" s="110" t="s">
        <v>329</v>
      </c>
      <c r="F11" s="48">
        <v>420006</v>
      </c>
      <c r="G11" s="70" t="s">
        <v>742</v>
      </c>
      <c r="H11" s="37" t="s">
        <v>330</v>
      </c>
      <c r="I11">
        <v>60</v>
      </c>
      <c r="M11" s="109" t="str">
        <f t="shared" si="0"/>
        <v>&lt;T t="回复自身25%生命，不超过角色等级*12。"&gt;&lt;/T&gt;</v>
      </c>
    </row>
    <row r="12" spans="5:13">
      <c r="E12" s="110" t="s">
        <v>331</v>
      </c>
      <c r="F12" s="48">
        <v>420007</v>
      </c>
      <c r="G12" s="70" t="s">
        <v>331</v>
      </c>
      <c r="H12" s="37" t="s">
        <v>332</v>
      </c>
      <c r="I12">
        <v>120</v>
      </c>
      <c r="M12" s="109" t="str">
        <f t="shared" si="0"/>
        <v>&lt;T t="回复自身50%生命，不超过角色等级*20。"&gt;&lt;/T&gt;</v>
      </c>
    </row>
    <row r="13" spans="5:13">
      <c r="E13" s="110" t="s">
        <v>333</v>
      </c>
      <c r="F13" s="48">
        <v>420008</v>
      </c>
      <c r="G13" s="70" t="s">
        <v>743</v>
      </c>
      <c r="H13" s="37" t="s">
        <v>334</v>
      </c>
      <c r="I13">
        <v>135</v>
      </c>
      <c r="M13" s="109" t="str">
        <f t="shared" si="0"/>
        <v>&lt;T t="回复己方全体25%生命，不超过被回复者等级*12。"&gt;&lt;/T&gt;</v>
      </c>
    </row>
    <row r="14" spans="5:13">
      <c r="E14" s="110" t="s">
        <v>335</v>
      </c>
      <c r="F14" s="48">
        <v>420009</v>
      </c>
      <c r="G14" s="70" t="s">
        <v>747</v>
      </c>
      <c r="H14" s="37" t="s">
        <v>407</v>
      </c>
      <c r="I14">
        <v>100</v>
      </c>
      <c r="M14" s="109" t="str">
        <f t="shared" si="0"/>
        <v>&lt;T t="复活己方死亡队员，回复150点生命。"&gt;&lt;/T&gt;</v>
      </c>
    </row>
    <row r="15" spans="5:13">
      <c r="E15" s="110" t="s">
        <v>336</v>
      </c>
      <c r="F15" s="48">
        <v>420010</v>
      </c>
      <c r="G15" s="70" t="s">
        <v>746</v>
      </c>
      <c r="H15" s="37" t="s">
        <v>337</v>
      </c>
      <c r="I15">
        <v>100</v>
      </c>
      <c r="M15" s="109" t="str">
        <f t="shared" si="0"/>
        <v>&lt;T t="复活己方死亡队员，回复50%生命，不超过被回复者等级*20。"&gt;&lt;/T&gt;</v>
      </c>
    </row>
    <row r="16" spans="5:13">
      <c r="E16" s="110" t="s">
        <v>338</v>
      </c>
      <c r="F16" s="48">
        <v>420011</v>
      </c>
      <c r="G16" s="70" t="s">
        <v>399</v>
      </c>
      <c r="H16" s="37" t="s">
        <v>339</v>
      </c>
      <c r="I16">
        <v>150</v>
      </c>
      <c r="M16" s="109" t="str">
        <f t="shared" si="0"/>
        <v>&lt;T t="复活己方全体死亡队员，完全回复其生命，使用者生命变为上限的10%，损失全部魔法。"&gt;&lt;/T&gt;</v>
      </c>
    </row>
    <row r="17" spans="5:13">
      <c r="E17" s="110" t="s">
        <v>340</v>
      </c>
      <c r="F17" s="48">
        <v>420012</v>
      </c>
      <c r="G17" s="70" t="s">
        <v>748</v>
      </c>
      <c r="H17" s="37" t="s">
        <v>341</v>
      </c>
      <c r="I17">
        <v>20</v>
      </c>
      <c r="M17" s="109" t="str">
        <f t="shared" si="0"/>
        <v>&lt;T t="解除己方单体的异常状态。"&gt;&lt;/T&gt;</v>
      </c>
    </row>
    <row r="18" spans="5:13">
      <c r="E18" s="110" t="s">
        <v>342</v>
      </c>
      <c r="F18" s="48">
        <v>420013</v>
      </c>
      <c r="G18" s="70" t="s">
        <v>749</v>
      </c>
      <c r="H18" s="37" t="s">
        <v>343</v>
      </c>
      <c r="I18">
        <v>100</v>
      </c>
      <c r="M18" s="109" t="str">
        <f t="shared" si="0"/>
        <v>&lt;T t="解除己方单体的异常状态，并回复其25%生命，不超过被回复者等级*12。"&gt;&lt;/T&gt;</v>
      </c>
    </row>
    <row r="19" spans="5:13">
      <c r="E19" s="110" t="s">
        <v>344</v>
      </c>
      <c r="F19" s="48">
        <v>420014</v>
      </c>
      <c r="G19" s="70" t="s">
        <v>1166</v>
      </c>
      <c r="H19" s="37" t="s">
        <v>345</v>
      </c>
      <c r="I19">
        <v>125</v>
      </c>
      <c r="M19" s="109" t="str">
        <f t="shared" si="0"/>
        <v>&lt;T t="解除己方全体的异常状态。"&gt;&lt;/T&gt;</v>
      </c>
    </row>
    <row r="20" spans="5:13">
      <c r="E20" s="110" t="s">
        <v>346</v>
      </c>
      <c r="F20" s="48">
        <v>420015</v>
      </c>
      <c r="G20" s="70" t="s">
        <v>1165</v>
      </c>
      <c r="H20" s="37" t="s">
        <v>347</v>
      </c>
      <c r="I20">
        <v>150</v>
      </c>
      <c r="K20" t="s">
        <v>786</v>
      </c>
      <c r="L20" s="76" t="s">
        <v>787</v>
      </c>
      <c r="M20" s="109" t="str">
        <f t="shared" si="0"/>
        <v>&lt;T t="解除己方全体的异常状态，并恢复其15%生命，不超过被回复者等级*12。"&gt;&lt;/T&gt;</v>
      </c>
    </row>
    <row r="21" spans="5:13">
      <c r="E21" s="110" t="s">
        <v>348</v>
      </c>
      <c r="F21" s="48">
        <v>420016</v>
      </c>
      <c r="G21" s="70" t="s">
        <v>750</v>
      </c>
      <c r="H21" s="37" t="s">
        <v>349</v>
      </c>
      <c r="I21">
        <v>40</v>
      </c>
      <c r="M21" s="109" t="str">
        <f t="shared" si="0"/>
        <v>&lt;T t="减少敌方单体目标70点愤怒。"&gt;&lt;/T&gt;</v>
      </c>
    </row>
    <row r="22" spans="5:13">
      <c r="E22" s="110" t="s">
        <v>350</v>
      </c>
      <c r="F22" s="48">
        <v>420017</v>
      </c>
      <c r="G22" s="70" t="s">
        <v>754</v>
      </c>
      <c r="H22" s="37" t="s">
        <v>351</v>
      </c>
      <c r="I22">
        <v>40</v>
      </c>
      <c r="M22" s="109" t="str">
        <f t="shared" si="0"/>
        <v>&lt;T t="提高己方单体10%物理攻击，持续到战斗结束，同类状态不叠加。"&gt;&lt;/T&gt;</v>
      </c>
    </row>
    <row r="23" spans="5:13">
      <c r="E23" s="110" t="s">
        <v>352</v>
      </c>
      <c r="F23" s="48">
        <v>420018</v>
      </c>
      <c r="G23" s="70" t="s">
        <v>352</v>
      </c>
      <c r="H23" s="76" t="s">
        <v>757</v>
      </c>
      <c r="I23">
        <v>120</v>
      </c>
      <c r="M23" s="109" t="str">
        <f t="shared" si="0"/>
        <v>&lt;T t="提高己方全体8%物理攻击，持续到战斗结束，同类状态不叠加。"&gt;&lt;/T&gt;</v>
      </c>
    </row>
    <row r="24" spans="5:13">
      <c r="E24" s="110" t="s">
        <v>357</v>
      </c>
      <c r="F24" s="48">
        <v>420019</v>
      </c>
      <c r="G24" s="70" t="s">
        <v>752</v>
      </c>
      <c r="H24" s="37" t="s">
        <v>358</v>
      </c>
      <c r="I24">
        <v>40</v>
      </c>
      <c r="M24" s="109" t="str">
        <f t="shared" si="0"/>
        <v>&lt;T t="降低敌方单体10%物理攻击，持续到战斗结束，同类状态不叠加。"&gt;&lt;/T&gt;</v>
      </c>
    </row>
    <row r="25" spans="5:13">
      <c r="E25" s="110" t="s">
        <v>359</v>
      </c>
      <c r="F25" s="48">
        <v>420020</v>
      </c>
      <c r="G25" s="70" t="s">
        <v>753</v>
      </c>
      <c r="H25" s="76" t="s">
        <v>759</v>
      </c>
      <c r="I25">
        <v>120</v>
      </c>
      <c r="M25" s="109" t="str">
        <f t="shared" si="0"/>
        <v>&lt;T t="降低敌方全体8%物理攻击，持续到战斗结束，同类状态不叠加。"&gt;&lt;/T&gt;</v>
      </c>
    </row>
    <row r="26" spans="5:13">
      <c r="E26" s="110" t="s">
        <v>353</v>
      </c>
      <c r="F26" s="48">
        <v>420021</v>
      </c>
      <c r="G26" s="70" t="s">
        <v>784</v>
      </c>
      <c r="H26" s="37" t="s">
        <v>354</v>
      </c>
      <c r="I26">
        <v>40</v>
      </c>
      <c r="M26" s="109" t="str">
        <f t="shared" si="0"/>
        <v>&lt;T t="提高己方单体10%物理防御，持续到战斗结束，同类状态不叠加。"&gt;&lt;/T&gt;</v>
      </c>
    </row>
    <row r="27" spans="5:13">
      <c r="E27" s="110" t="s">
        <v>355</v>
      </c>
      <c r="F27" s="48">
        <v>420022</v>
      </c>
      <c r="G27" s="70" t="s">
        <v>751</v>
      </c>
      <c r="H27" s="76" t="s">
        <v>767</v>
      </c>
      <c r="I27">
        <v>80</v>
      </c>
      <c r="M27" s="109" t="str">
        <f t="shared" si="0"/>
        <v>&lt;T t="提高己方全体6%物理防御，持续到战斗结束，同类状态不叠加。"&gt;&lt;/T&gt;</v>
      </c>
    </row>
    <row r="28" spans="5:13">
      <c r="E28" s="110" t="s">
        <v>360</v>
      </c>
      <c r="F28" s="48">
        <v>420023</v>
      </c>
      <c r="G28" s="70" t="s">
        <v>755</v>
      </c>
      <c r="H28" s="76" t="s">
        <v>758</v>
      </c>
      <c r="I28">
        <v>40</v>
      </c>
      <c r="M28" s="109" t="str">
        <f t="shared" si="0"/>
        <v>&lt;T t="降低敌方单体10%物理防御，持续到战斗结束，同类状态不叠加。"&gt;&lt;/T&gt;</v>
      </c>
    </row>
    <row r="29" spans="5:13">
      <c r="E29" s="110" t="s">
        <v>361</v>
      </c>
      <c r="F29" s="48">
        <v>420024</v>
      </c>
      <c r="G29" s="70" t="s">
        <v>756</v>
      </c>
      <c r="H29" s="76" t="s">
        <v>766</v>
      </c>
      <c r="I29">
        <v>80</v>
      </c>
      <c r="M29" s="109" t="str">
        <f t="shared" si="0"/>
        <v>&lt;T t="降低敌方全体6%物理防御，持续到战斗结束，同类状态不叠加。"&gt;&lt;/T&gt;</v>
      </c>
    </row>
    <row r="30" spans="5:13">
      <c r="E30" s="110" t="s">
        <v>780</v>
      </c>
      <c r="F30" s="48">
        <v>420025</v>
      </c>
      <c r="G30" s="70" t="s">
        <v>775</v>
      </c>
      <c r="H30" s="76" t="s">
        <v>763</v>
      </c>
      <c r="I30">
        <v>40</v>
      </c>
      <c r="M30" s="109" t="str">
        <f t="shared" si="0"/>
        <v>&lt;T t="提高己方单体10%速度，次回合生效，持续到战斗结束，同类状态不叠加。"&gt;&lt;/T&gt;</v>
      </c>
    </row>
    <row r="31" spans="5:13">
      <c r="E31" s="110" t="s">
        <v>781</v>
      </c>
      <c r="F31" s="48">
        <v>420026</v>
      </c>
      <c r="G31" s="70" t="s">
        <v>777</v>
      </c>
      <c r="H31" s="76" t="s">
        <v>768</v>
      </c>
      <c r="I31">
        <v>80</v>
      </c>
      <c r="M31" s="109" t="str">
        <f t="shared" si="0"/>
        <v>&lt;T t="提高己方全体6%速度，次回合生效，持续到战斗结束，同类状态不叠加。"&gt;&lt;/T&gt;</v>
      </c>
    </row>
    <row r="32" spans="5:13">
      <c r="E32" s="110" t="s">
        <v>779</v>
      </c>
      <c r="F32" s="48">
        <v>420027</v>
      </c>
      <c r="G32" s="70" t="s">
        <v>773</v>
      </c>
      <c r="H32" s="76" t="s">
        <v>765</v>
      </c>
      <c r="I32">
        <v>40</v>
      </c>
      <c r="M32" s="109" t="str">
        <f t="shared" si="0"/>
        <v>&lt;T t="降低对方单体10%速度，次回合生效，持续到战斗结束，同类状态不叠加。"&gt;&lt;/T&gt;</v>
      </c>
    </row>
    <row r="33" spans="5:13">
      <c r="E33" s="110" t="s">
        <v>782</v>
      </c>
      <c r="F33">
        <v>420028</v>
      </c>
      <c r="G33" s="70" t="s">
        <v>774</v>
      </c>
      <c r="H33" s="76" t="s">
        <v>769</v>
      </c>
      <c r="I33">
        <v>80</v>
      </c>
      <c r="M33" s="109" t="str">
        <f t="shared" si="0"/>
        <v>&lt;T t="降低对方全体6%速度，次回合生效，持续到战斗结束，同类状态不叠加。"&gt;&lt;/T&gt;</v>
      </c>
    </row>
    <row r="34" spans="5:13">
      <c r="E34" s="110" t="s">
        <v>783</v>
      </c>
      <c r="F34" s="48">
        <v>420029</v>
      </c>
      <c r="G34" s="70" t="s">
        <v>785</v>
      </c>
      <c r="H34" s="76" t="s">
        <v>770</v>
      </c>
      <c r="I34">
        <v>60</v>
      </c>
      <c r="M34" s="109" t="str">
        <f t="shared" si="0"/>
        <v>&lt;T t="使己方单体收到的法术伤害减少50%,持续3回合，同类状态不叠加。"&gt;&lt;/T&gt;</v>
      </c>
    </row>
    <row r="35" spans="5:13">
      <c r="E35" s="110" t="s">
        <v>356</v>
      </c>
      <c r="F35" s="48">
        <v>420030</v>
      </c>
      <c r="G35" s="70" t="s">
        <v>772</v>
      </c>
      <c r="H35" s="76" t="s">
        <v>771</v>
      </c>
      <c r="I35">
        <v>150</v>
      </c>
      <c r="M35" s="109" t="str">
        <f t="shared" si="0"/>
        <v>&lt;T t="使己方全体收到的法术伤害减少50%，持续3回合，同类状态不叠加。"&gt;&lt;/T&gt;</v>
      </c>
    </row>
    <row r="36" spans="5:13">
      <c r="E36" s="89" t="s">
        <v>1601</v>
      </c>
      <c r="F36" s="89">
        <v>420031</v>
      </c>
      <c r="G36" s="306" t="s">
        <v>1602</v>
      </c>
      <c r="H36" s="76" t="s">
        <v>762</v>
      </c>
      <c r="I36">
        <v>90</v>
      </c>
      <c r="M36" s="109" t="str">
        <f t="shared" si="0"/>
        <v>&lt;T t="对敌方单体连续发动两次强力物理攻击，不可被防御。"&gt;&lt;/T&gt;</v>
      </c>
    </row>
    <row r="37" spans="5:13">
      <c r="E37" s="89" t="s">
        <v>362</v>
      </c>
      <c r="F37" s="89">
        <v>420032</v>
      </c>
      <c r="G37" s="306" t="s">
        <v>1597</v>
      </c>
      <c r="H37" s="89" t="s">
        <v>1596</v>
      </c>
      <c r="I37">
        <v>60</v>
      </c>
      <c r="M37" s="109" t="str">
        <f t="shared" si="0"/>
        <v>&lt;T t="临时提高伤害力绕到敌方身后攻击对手，适用于对付高防御者。"&gt;&lt;/T&gt;</v>
      </c>
    </row>
    <row r="38" spans="5:13">
      <c r="E38" s="110" t="s">
        <v>363</v>
      </c>
      <c r="F38">
        <v>420033</v>
      </c>
      <c r="G38" s="70" t="s">
        <v>402</v>
      </c>
      <c r="H38" s="37" t="s">
        <v>364</v>
      </c>
      <c r="I38">
        <v>80</v>
      </c>
      <c r="M38" s="109" t="str">
        <f t="shared" si="0"/>
        <v>&lt;T t="物理攻击敌方单体，同时减少敌方魔法值。"&gt;&lt;/T&gt;</v>
      </c>
    </row>
    <row r="40" spans="5:13">
      <c r="F40" s="48" t="s">
        <v>365</v>
      </c>
      <c r="G40" s="71"/>
      <c r="H40" s="70"/>
      <c r="I40" s="37"/>
    </row>
    <row r="41" spans="5:13">
      <c r="F41" s="72">
        <v>430001</v>
      </c>
      <c r="G41" s="70" t="s">
        <v>366</v>
      </c>
      <c r="H41" s="37" t="s">
        <v>367</v>
      </c>
      <c r="M41" s="109" t="str">
        <f t="shared" ref="M41:M76" si="1">$K$20&amp;H41&amp;$L$20</f>
        <v>&lt;T t="物理暴击概率增加"&gt;&lt;/T&gt;</v>
      </c>
    </row>
    <row r="42" spans="5:13">
      <c r="F42" s="72">
        <v>430002</v>
      </c>
      <c r="G42" s="70" t="s">
        <v>368</v>
      </c>
      <c r="H42" s="37" t="s">
        <v>369</v>
      </c>
      <c r="M42" s="109" t="str">
        <f t="shared" si="1"/>
        <v>&lt;T t="被物理攻击时暴击概率降低"&gt;&lt;/T&gt;</v>
      </c>
    </row>
    <row r="43" spans="5:13">
      <c r="F43" s="72">
        <v>430003</v>
      </c>
      <c r="G43" s="70" t="s">
        <v>370</v>
      </c>
      <c r="H43" s="37" t="s">
        <v>408</v>
      </c>
      <c r="M43" s="109" t="str">
        <f t="shared" si="1"/>
        <v>&lt;T t="法术暴击概率增加"&gt;&lt;/T&gt;</v>
      </c>
    </row>
    <row r="44" spans="5:13">
      <c r="F44" s="72">
        <v>430004</v>
      </c>
      <c r="G44" s="70" t="s">
        <v>371</v>
      </c>
      <c r="H44" s="37" t="s">
        <v>372</v>
      </c>
      <c r="M44" s="109" t="str">
        <f t="shared" si="1"/>
        <v>&lt;T t="被法术攻击时暴击概率降低"&gt;&lt;/T&gt;</v>
      </c>
    </row>
    <row r="45" spans="5:13">
      <c r="F45" s="72">
        <v>430005</v>
      </c>
      <c r="G45" s="70" t="s">
        <v>736</v>
      </c>
      <c r="H45" s="37" t="s">
        <v>373</v>
      </c>
      <c r="M45" s="109" t="str">
        <f t="shared" si="1"/>
        <v>&lt;T t="控制命中率增加"&gt;&lt;/T&gt;</v>
      </c>
    </row>
    <row r="46" spans="5:13">
      <c r="F46" s="72">
        <v>430006</v>
      </c>
      <c r="G46" s="70" t="s">
        <v>737</v>
      </c>
      <c r="H46" s="37" t="s">
        <v>374</v>
      </c>
      <c r="M46" s="109" t="str">
        <f t="shared" si="1"/>
        <v>&lt;T t="被控制命中率降低"&gt;&lt;/T&gt;</v>
      </c>
    </row>
    <row r="47" spans="5:13">
      <c r="F47" s="72">
        <v>430007</v>
      </c>
      <c r="G47" s="70" t="s">
        <v>375</v>
      </c>
      <c r="H47" s="37" t="s">
        <v>376</v>
      </c>
      <c r="M47" s="109" t="str">
        <f t="shared" si="1"/>
        <v>&lt;T t="治疗暴击概率增加"&gt;&lt;/T&gt;</v>
      </c>
    </row>
    <row r="48" spans="5:13">
      <c r="F48" s="72">
        <v>430008</v>
      </c>
      <c r="G48" s="70" t="s">
        <v>377</v>
      </c>
      <c r="H48" s="37" t="s">
        <v>378</v>
      </c>
      <c r="M48" s="109" t="str">
        <f t="shared" si="1"/>
        <v>&lt;T t="被治疗暴击概率增加"&gt;&lt;/T&gt;</v>
      </c>
    </row>
    <row r="49" spans="6:13">
      <c r="F49" s="72">
        <v>430009</v>
      </c>
      <c r="G49" s="70" t="s">
        <v>379</v>
      </c>
      <c r="H49" s="37" t="s">
        <v>367</v>
      </c>
      <c r="M49" s="109" t="str">
        <f t="shared" si="1"/>
        <v>&lt;T t="物理暴击概率增加"&gt;&lt;/T&gt;</v>
      </c>
    </row>
    <row r="50" spans="6:13">
      <c r="F50" s="72">
        <v>430010</v>
      </c>
      <c r="G50" s="70" t="s">
        <v>380</v>
      </c>
      <c r="H50" s="37" t="s">
        <v>369</v>
      </c>
      <c r="M50" s="109" t="str">
        <f t="shared" si="1"/>
        <v>&lt;T t="被物理攻击时暴击概率降低"&gt;&lt;/T&gt;</v>
      </c>
    </row>
    <row r="51" spans="6:13">
      <c r="F51" s="72">
        <v>430011</v>
      </c>
      <c r="G51" s="70" t="s">
        <v>381</v>
      </c>
      <c r="H51" s="37" t="s">
        <v>408</v>
      </c>
      <c r="M51" s="109" t="str">
        <f t="shared" si="1"/>
        <v>&lt;T t="法术暴击概率增加"&gt;&lt;/T&gt;</v>
      </c>
    </row>
    <row r="52" spans="6:13">
      <c r="F52" s="72">
        <v>430012</v>
      </c>
      <c r="G52" s="70" t="s">
        <v>382</v>
      </c>
      <c r="H52" s="37" t="s">
        <v>372</v>
      </c>
      <c r="M52" s="109" t="str">
        <f t="shared" si="1"/>
        <v>&lt;T t="被法术攻击时暴击概率降低"&gt;&lt;/T&gt;</v>
      </c>
    </row>
    <row r="53" spans="6:13">
      <c r="F53" s="72">
        <v>430013</v>
      </c>
      <c r="G53" s="70" t="s">
        <v>738</v>
      </c>
      <c r="H53" s="37" t="s">
        <v>373</v>
      </c>
      <c r="M53" s="109" t="str">
        <f t="shared" si="1"/>
        <v>&lt;T t="控制命中率增加"&gt;&lt;/T&gt;</v>
      </c>
    </row>
    <row r="54" spans="6:13">
      <c r="F54" s="72">
        <v>430014</v>
      </c>
      <c r="G54" s="70" t="s">
        <v>739</v>
      </c>
      <c r="H54" s="37" t="s">
        <v>374</v>
      </c>
      <c r="M54" s="109" t="str">
        <f t="shared" si="1"/>
        <v>&lt;T t="被控制命中率降低"&gt;&lt;/T&gt;</v>
      </c>
    </row>
    <row r="55" spans="6:13">
      <c r="F55" s="303">
        <v>430015</v>
      </c>
      <c r="G55" s="91" t="s">
        <v>383</v>
      </c>
      <c r="H55" s="91" t="s">
        <v>376</v>
      </c>
      <c r="M55" s="109" t="str">
        <f t="shared" si="1"/>
        <v>&lt;T t="治疗暴击概率增加"&gt;&lt;/T&gt;</v>
      </c>
    </row>
    <row r="56" spans="6:13">
      <c r="F56" s="303">
        <v>430016</v>
      </c>
      <c r="G56" s="91" t="s">
        <v>384</v>
      </c>
      <c r="H56" s="91" t="s">
        <v>378</v>
      </c>
      <c r="M56" s="109" t="str">
        <f t="shared" si="1"/>
        <v>&lt;T t="被治疗暴击概率增加"&gt;&lt;/T&gt;</v>
      </c>
    </row>
    <row r="57" spans="6:13">
      <c r="F57" s="303">
        <v>430017</v>
      </c>
      <c r="G57" s="91" t="s">
        <v>385</v>
      </c>
      <c r="H57" s="91" t="s">
        <v>367</v>
      </c>
      <c r="M57" s="109" t="str">
        <f t="shared" si="1"/>
        <v>&lt;T t="物理暴击概率增加"&gt;&lt;/T&gt;</v>
      </c>
    </row>
    <row r="58" spans="6:13">
      <c r="F58" s="303">
        <v>430018</v>
      </c>
      <c r="G58" s="91" t="s">
        <v>386</v>
      </c>
      <c r="H58" s="91" t="s">
        <v>369</v>
      </c>
      <c r="M58" s="109" t="str">
        <f t="shared" si="1"/>
        <v>&lt;T t="被物理攻击时暴击概率降低"&gt;&lt;/T&gt;</v>
      </c>
    </row>
    <row r="59" spans="6:13">
      <c r="F59" s="303">
        <v>430019</v>
      </c>
      <c r="G59" s="91" t="s">
        <v>387</v>
      </c>
      <c r="H59" s="91" t="s">
        <v>408</v>
      </c>
      <c r="M59" s="109" t="str">
        <f t="shared" si="1"/>
        <v>&lt;T t="法术暴击概率增加"&gt;&lt;/T&gt;</v>
      </c>
    </row>
    <row r="60" spans="6:13">
      <c r="F60" s="303">
        <v>430020</v>
      </c>
      <c r="G60" s="91" t="s">
        <v>388</v>
      </c>
      <c r="H60" s="91" t="s">
        <v>372</v>
      </c>
      <c r="M60" s="109" t="str">
        <f t="shared" si="1"/>
        <v>&lt;T t="被法术攻击时暴击概率降低"&gt;&lt;/T&gt;</v>
      </c>
    </row>
    <row r="61" spans="6:13">
      <c r="F61" s="303">
        <v>430021</v>
      </c>
      <c r="G61" s="91" t="s">
        <v>734</v>
      </c>
      <c r="H61" s="91" t="s">
        <v>373</v>
      </c>
      <c r="M61" s="109" t="str">
        <f t="shared" si="1"/>
        <v>&lt;T t="控制命中率增加"&gt;&lt;/T&gt;</v>
      </c>
    </row>
    <row r="62" spans="6:13">
      <c r="F62" s="303">
        <v>430022</v>
      </c>
      <c r="G62" s="91" t="s">
        <v>735</v>
      </c>
      <c r="H62" s="91" t="s">
        <v>374</v>
      </c>
      <c r="M62" s="109" t="str">
        <f t="shared" si="1"/>
        <v>&lt;T t="被控制命中率降低"&gt;&lt;/T&gt;</v>
      </c>
    </row>
    <row r="63" spans="6:13">
      <c r="F63" s="303">
        <v>430023</v>
      </c>
      <c r="G63" s="91" t="s">
        <v>389</v>
      </c>
      <c r="H63" s="91" t="s">
        <v>376</v>
      </c>
      <c r="M63" s="109" t="str">
        <f t="shared" si="1"/>
        <v>&lt;T t="治疗暴击概率增加"&gt;&lt;/T&gt;</v>
      </c>
    </row>
    <row r="64" spans="6:13">
      <c r="F64" s="303">
        <v>430024</v>
      </c>
      <c r="G64" s="91" t="s">
        <v>390</v>
      </c>
      <c r="H64" s="304" t="s">
        <v>378</v>
      </c>
      <c r="M64" s="109" t="str">
        <f t="shared" si="1"/>
        <v>&lt;T t="被治疗暴击概率增加"&gt;&lt;/T&gt;</v>
      </c>
    </row>
    <row r="65" spans="6:13">
      <c r="F65" s="303">
        <v>430025</v>
      </c>
      <c r="G65" s="89" t="s">
        <v>1594</v>
      </c>
      <c r="H65" s="91" t="s">
        <v>1600</v>
      </c>
      <c r="M65" s="109" t="str">
        <f t="shared" si="1"/>
        <v>&lt;T t="战斗中消耗的怒气下降20%。"&gt;&lt;/T&gt;</v>
      </c>
    </row>
    <row r="66" spans="6:13">
      <c r="F66" s="303">
        <v>430026</v>
      </c>
      <c r="G66" s="89" t="s">
        <v>1595</v>
      </c>
      <c r="H66" s="91" t="s">
        <v>393</v>
      </c>
      <c r="M66" s="109" t="str">
        <f t="shared" si="1"/>
        <v>&lt;T t="战斗中受到伤害转化的愤怒值增加20%。"&gt;&lt;/T&gt;</v>
      </c>
    </row>
    <row r="67" spans="6:13">
      <c r="F67" s="303">
        <v>430027</v>
      </c>
      <c r="G67" s="91" t="s">
        <v>403</v>
      </c>
      <c r="H67" s="91" t="s">
        <v>1153</v>
      </c>
      <c r="M67" s="109" t="str">
        <f t="shared" si="1"/>
        <v>&lt;T t="战斗中死亡时有20%概率触发涅槃效果，自动复活并回复一定生命。"&gt;&lt;/T&gt;</v>
      </c>
    </row>
    <row r="68" spans="6:13">
      <c r="F68" s="303">
        <v>430028</v>
      </c>
      <c r="G68" s="91" t="s">
        <v>820</v>
      </c>
      <c r="H68" s="91" t="s">
        <v>829</v>
      </c>
      <c r="M68" s="109" t="str">
        <f t="shared" si="1"/>
        <v>&lt;T t="战斗中使用物品效果增加20%。"&gt;&lt;/T&gt;</v>
      </c>
    </row>
    <row r="69" spans="6:13">
      <c r="F69" s="303">
        <v>430029</v>
      </c>
      <c r="G69" s="91" t="s">
        <v>404</v>
      </c>
      <c r="H69" s="91" t="s">
        <v>394</v>
      </c>
      <c r="M69" s="109" t="str">
        <f t="shared" si="1"/>
        <v>&lt;T t="每回合结束时回复少量生命。"&gt;&lt;/T&gt;</v>
      </c>
    </row>
    <row r="70" spans="6:13">
      <c r="F70" s="303">
        <v>430030</v>
      </c>
      <c r="G70" s="91" t="s">
        <v>405</v>
      </c>
      <c r="H70" s="91" t="s">
        <v>395</v>
      </c>
      <c r="M70" s="109" t="str">
        <f t="shared" si="1"/>
        <v>&lt;T t="施法时有15%概率不消耗魔法。"&gt;&lt;/T&gt;</v>
      </c>
    </row>
    <row r="71" spans="6:13">
      <c r="F71" s="303">
        <v>430031</v>
      </c>
      <c r="G71" s="91" t="s">
        <v>406</v>
      </c>
      <c r="H71" s="91" t="s">
        <v>827</v>
      </c>
      <c r="M71" s="109" t="str">
        <f t="shared" si="1"/>
        <v>&lt;T t="PVE战斗攻击濒死（30%以下生命）的怪物时，暴击率临时提升25%。"&gt;&lt;/T&gt;</v>
      </c>
    </row>
    <row r="72" spans="6:13">
      <c r="F72" s="91">
        <v>430032</v>
      </c>
      <c r="G72" s="91" t="s">
        <v>1598</v>
      </c>
      <c r="H72" s="91" t="s">
        <v>1599</v>
      </c>
      <c r="M72" s="109" t="str">
        <f t="shared" si="1"/>
        <v>&lt;T t="逃跑几率提升到100%。"&gt;&lt;/T&gt;</v>
      </c>
    </row>
    <row r="73" spans="6:13">
      <c r="F73" s="91">
        <v>430033</v>
      </c>
      <c r="G73" s="91" t="s">
        <v>761</v>
      </c>
      <c r="H73" s="91" t="s">
        <v>823</v>
      </c>
      <c r="M73" s="109" t="str">
        <f t="shared" si="1"/>
        <v>&lt;T t="捕捉宝宝时成功率提升20%。"&gt;&lt;/T&gt;</v>
      </c>
    </row>
    <row r="74" spans="6:13">
      <c r="F74" s="91">
        <v>430034</v>
      </c>
      <c r="G74" s="91" t="s">
        <v>733</v>
      </c>
      <c r="H74" s="91" t="s">
        <v>824</v>
      </c>
      <c r="M74" s="109" t="str">
        <f t="shared" si="1"/>
        <v>&lt;T t="玩家等级低于该装备等级5级以内，也可以穿戴此装备。"&gt;&lt;/T&gt;</v>
      </c>
    </row>
    <row r="75" spans="6:13">
      <c r="F75" s="91">
        <v>430035</v>
      </c>
      <c r="G75" s="91" t="s">
        <v>798</v>
      </c>
      <c r="H75" s="91" t="s">
        <v>825</v>
      </c>
      <c r="M75" s="109" t="str">
        <f t="shared" si="1"/>
        <v>&lt;T t="该装备穿戴时没有角色等级要求。"&gt;&lt;/T&gt;</v>
      </c>
    </row>
    <row r="76" spans="6:13">
      <c r="F76" s="91">
        <v>430036</v>
      </c>
      <c r="G76" s="91" t="s">
        <v>776</v>
      </c>
      <c r="H76" s="91" t="s">
        <v>826</v>
      </c>
      <c r="M76" s="109" t="str">
        <f t="shared" si="1"/>
        <v>&lt;T t="能探知隐身单位并直接对其发起攻击。"&gt;&lt;/T&gt;</v>
      </c>
    </row>
    <row r="77" spans="6:13">
      <c r="F77" s="91"/>
      <c r="G77" s="91"/>
      <c r="H77" s="91"/>
    </row>
    <row r="78" spans="6:13">
      <c r="F78" s="91"/>
      <c r="G78" s="91"/>
      <c r="H78" s="91"/>
    </row>
    <row r="79" spans="6:13">
      <c r="F79" s="91"/>
      <c r="G79" s="91"/>
      <c r="H79" s="91"/>
    </row>
    <row r="82" spans="11:13">
      <c r="K82" s="100"/>
      <c r="L82" s="100"/>
      <c r="M82" s="100"/>
    </row>
    <row r="83" spans="11:13">
      <c r="K83" s="100"/>
      <c r="L83" s="100"/>
      <c r="M83" s="100"/>
    </row>
    <row r="84" spans="11:13">
      <c r="K84" s="100"/>
      <c r="L84" s="100"/>
      <c r="M84" s="100"/>
    </row>
    <row r="85" spans="11:13">
      <c r="K85" s="100"/>
      <c r="L85" s="100"/>
      <c r="M85" s="100"/>
    </row>
    <row r="86" spans="11:13">
      <c r="K86" s="100"/>
      <c r="L86" s="100"/>
      <c r="M86" s="100"/>
    </row>
    <row r="89" spans="11:13">
      <c r="K89" s="100"/>
    </row>
    <row r="90" spans="11:13">
      <c r="K90" s="100"/>
    </row>
    <row r="91" spans="11:13">
      <c r="K91" s="100"/>
    </row>
    <row r="92" spans="11:13">
      <c r="K92" s="100"/>
    </row>
    <row r="93" spans="11:13">
      <c r="K93" s="100"/>
    </row>
  </sheetData>
  <phoneticPr fontId="1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dimension ref="F2:CA77"/>
  <sheetViews>
    <sheetView topLeftCell="B31" workbookViewId="0">
      <selection activeCell="K66" sqref="K66"/>
    </sheetView>
  </sheetViews>
  <sheetFormatPr defaultRowHeight="13.5"/>
  <cols>
    <col min="1" max="6" width="9" style="16"/>
    <col min="7" max="7" width="22.375" style="16" customWidth="1"/>
    <col min="8" max="12" width="9" style="16"/>
    <col min="13" max="13" width="9" style="16" customWidth="1"/>
    <col min="14" max="14" width="11" style="16" bestFit="1" customWidth="1"/>
    <col min="15" max="15" width="9.5" style="16" bestFit="1" customWidth="1"/>
    <col min="16" max="16384" width="9" style="16"/>
  </cols>
  <sheetData>
    <row r="2" spans="6:11">
      <c r="F2"/>
      <c r="G2"/>
      <c r="H2"/>
      <c r="I2"/>
      <c r="J2"/>
      <c r="K2"/>
    </row>
    <row r="3" spans="6:11">
      <c r="F3"/>
      <c r="G3"/>
      <c r="H3"/>
      <c r="I3"/>
      <c r="J3"/>
      <c r="K3"/>
    </row>
    <row r="4" spans="6:11">
      <c r="F4"/>
      <c r="G4"/>
      <c r="H4"/>
      <c r="I4"/>
    </row>
    <row r="5" spans="6:11">
      <c r="F5"/>
      <c r="G5"/>
      <c r="H5"/>
      <c r="I5" s="76" t="s">
        <v>800</v>
      </c>
    </row>
    <row r="6" spans="6:11">
      <c r="F6" s="48">
        <v>420001</v>
      </c>
      <c r="G6" s="70" t="s">
        <v>778</v>
      </c>
      <c r="H6">
        <v>3001</v>
      </c>
      <c r="I6">
        <f>ROUND(1200/J6,0)</f>
        <v>40</v>
      </c>
      <c r="J6" s="16">
        <v>30</v>
      </c>
    </row>
    <row r="7" spans="6:11">
      <c r="F7" s="48">
        <v>420002</v>
      </c>
      <c r="G7" s="70" t="s">
        <v>396</v>
      </c>
      <c r="H7">
        <v>3002</v>
      </c>
      <c r="I7" s="111">
        <f t="shared" ref="I7:I38" si="0">ROUND(1200/J7,0)</f>
        <v>20</v>
      </c>
      <c r="J7" s="16">
        <v>60</v>
      </c>
    </row>
    <row r="8" spans="6:11">
      <c r="F8" s="48">
        <v>420003</v>
      </c>
      <c r="G8" s="70" t="s">
        <v>397</v>
      </c>
      <c r="H8" s="112">
        <v>3003</v>
      </c>
      <c r="I8" s="111">
        <f t="shared" si="0"/>
        <v>13</v>
      </c>
      <c r="J8" s="16">
        <v>90</v>
      </c>
    </row>
    <row r="9" spans="6:11">
      <c r="F9" s="48">
        <v>420004</v>
      </c>
      <c r="G9" s="70" t="s">
        <v>398</v>
      </c>
      <c r="H9" s="112">
        <v>3004</v>
      </c>
      <c r="I9" s="111">
        <f t="shared" si="0"/>
        <v>20</v>
      </c>
      <c r="J9" s="16">
        <v>60</v>
      </c>
    </row>
    <row r="10" spans="6:11">
      <c r="F10" s="48">
        <v>420005</v>
      </c>
      <c r="G10" s="70" t="s">
        <v>741</v>
      </c>
      <c r="H10" s="112">
        <v>3005</v>
      </c>
      <c r="I10" s="111">
        <f t="shared" si="0"/>
        <v>13</v>
      </c>
      <c r="J10" s="16">
        <v>90</v>
      </c>
    </row>
    <row r="11" spans="6:11">
      <c r="F11" s="48">
        <v>420006</v>
      </c>
      <c r="G11" s="70" t="s">
        <v>742</v>
      </c>
      <c r="H11" s="112">
        <v>3006</v>
      </c>
      <c r="I11" s="111">
        <f t="shared" si="0"/>
        <v>20</v>
      </c>
      <c r="J11" s="16">
        <v>60</v>
      </c>
    </row>
    <row r="12" spans="6:11">
      <c r="F12" s="48">
        <v>420007</v>
      </c>
      <c r="G12" s="70" t="s">
        <v>331</v>
      </c>
      <c r="H12" s="112">
        <v>3007</v>
      </c>
      <c r="I12" s="111">
        <f t="shared" si="0"/>
        <v>10</v>
      </c>
      <c r="J12" s="16">
        <v>120</v>
      </c>
    </row>
    <row r="13" spans="6:11">
      <c r="F13" s="48">
        <v>420008</v>
      </c>
      <c r="G13" s="70" t="s">
        <v>743</v>
      </c>
      <c r="H13" s="112">
        <v>3008</v>
      </c>
      <c r="I13" s="111">
        <f t="shared" si="0"/>
        <v>9</v>
      </c>
      <c r="J13" s="16">
        <v>135</v>
      </c>
    </row>
    <row r="14" spans="6:11">
      <c r="F14" s="48">
        <v>420009</v>
      </c>
      <c r="G14" s="70" t="s">
        <v>747</v>
      </c>
      <c r="H14" s="112">
        <v>3009</v>
      </c>
      <c r="I14" s="111">
        <f t="shared" si="0"/>
        <v>12</v>
      </c>
      <c r="J14" s="16">
        <v>100</v>
      </c>
    </row>
    <row r="15" spans="6:11">
      <c r="F15" s="48">
        <v>420010</v>
      </c>
      <c r="G15" s="70" t="s">
        <v>746</v>
      </c>
      <c r="H15" s="112">
        <v>3010</v>
      </c>
      <c r="I15" s="111">
        <f t="shared" si="0"/>
        <v>12</v>
      </c>
      <c r="J15">
        <v>100</v>
      </c>
      <c r="K15"/>
    </row>
    <row r="16" spans="6:11">
      <c r="F16" s="48">
        <v>420011</v>
      </c>
      <c r="G16" s="70" t="s">
        <v>399</v>
      </c>
      <c r="H16" s="112">
        <v>3011</v>
      </c>
      <c r="I16" s="111">
        <f t="shared" si="0"/>
        <v>8</v>
      </c>
      <c r="J16">
        <v>150</v>
      </c>
      <c r="K16"/>
    </row>
    <row r="17" spans="6:79">
      <c r="F17" s="48">
        <v>420012</v>
      </c>
      <c r="G17" s="70" t="s">
        <v>748</v>
      </c>
      <c r="H17" s="112">
        <v>3012</v>
      </c>
      <c r="I17" s="111">
        <f t="shared" si="0"/>
        <v>60</v>
      </c>
      <c r="J17">
        <v>20</v>
      </c>
      <c r="K17"/>
    </row>
    <row r="18" spans="6:79">
      <c r="F18" s="48">
        <v>420013</v>
      </c>
      <c r="G18" s="70" t="s">
        <v>749</v>
      </c>
      <c r="H18" s="112">
        <v>3013</v>
      </c>
      <c r="I18" s="111">
        <f t="shared" si="0"/>
        <v>12</v>
      </c>
      <c r="J18">
        <v>100</v>
      </c>
      <c r="K18"/>
    </row>
    <row r="19" spans="6:79">
      <c r="F19" s="48">
        <v>420014</v>
      </c>
      <c r="G19" s="70" t="s">
        <v>745</v>
      </c>
      <c r="H19" s="112">
        <v>3014</v>
      </c>
      <c r="I19" s="111">
        <f t="shared" si="0"/>
        <v>10</v>
      </c>
      <c r="J19">
        <v>125</v>
      </c>
      <c r="K19"/>
      <c r="M19" s="16" t="s">
        <v>821</v>
      </c>
    </row>
    <row r="20" spans="6:79">
      <c r="F20" s="48">
        <v>420015</v>
      </c>
      <c r="G20" s="70" t="s">
        <v>400</v>
      </c>
      <c r="H20" s="112">
        <v>3015</v>
      </c>
      <c r="I20" s="111">
        <f t="shared" si="0"/>
        <v>8</v>
      </c>
      <c r="J20" s="70">
        <v>150</v>
      </c>
      <c r="K20"/>
      <c r="L20" s="16" t="s">
        <v>802</v>
      </c>
      <c r="N20" s="16">
        <v>3001</v>
      </c>
      <c r="O20" s="16">
        <v>40</v>
      </c>
      <c r="P20" s="16">
        <f>N20+1</f>
        <v>3002</v>
      </c>
      <c r="Q20" s="16">
        <v>20</v>
      </c>
      <c r="R20" s="16">
        <f>P20+1</f>
        <v>3003</v>
      </c>
      <c r="S20" s="16">
        <v>13</v>
      </c>
      <c r="T20" s="16">
        <f>R20+1</f>
        <v>3004</v>
      </c>
      <c r="U20" s="16">
        <v>20</v>
      </c>
      <c r="V20" s="16">
        <f>T20+1</f>
        <v>3005</v>
      </c>
      <c r="W20" s="16">
        <v>13</v>
      </c>
      <c r="X20" s="16">
        <f>V20+1</f>
        <v>3006</v>
      </c>
      <c r="Y20" s="16">
        <v>10</v>
      </c>
      <c r="Z20" s="16">
        <f>X20+1</f>
        <v>3007</v>
      </c>
      <c r="AA20" s="16">
        <v>8</v>
      </c>
      <c r="AB20" s="16">
        <f>Z20+1</f>
        <v>3008</v>
      </c>
      <c r="AC20" s="16">
        <v>12</v>
      </c>
      <c r="AD20" s="16">
        <f>AB20+1</f>
        <v>3009</v>
      </c>
      <c r="AE20" s="16">
        <v>12</v>
      </c>
      <c r="AF20" s="16">
        <f>AD20+1</f>
        <v>3010</v>
      </c>
      <c r="AG20" s="16">
        <v>8</v>
      </c>
      <c r="AH20" s="16">
        <f>AF20+1</f>
        <v>3011</v>
      </c>
      <c r="AI20" s="16">
        <v>24</v>
      </c>
      <c r="AJ20" s="16">
        <f>AH20+1</f>
        <v>3012</v>
      </c>
      <c r="AK20" s="16">
        <v>12</v>
      </c>
      <c r="AL20" s="16">
        <f>AJ20+1</f>
        <v>3013</v>
      </c>
      <c r="AM20" s="16">
        <v>9</v>
      </c>
      <c r="AN20" s="16">
        <f>AL20+1</f>
        <v>3014</v>
      </c>
      <c r="AO20" s="16">
        <v>8</v>
      </c>
      <c r="AP20" s="16">
        <f>AN20+1</f>
        <v>3015</v>
      </c>
      <c r="AQ20" s="16">
        <v>30</v>
      </c>
      <c r="AR20" s="16">
        <f>AP20+1</f>
        <v>3016</v>
      </c>
      <c r="AS20" s="16">
        <v>30</v>
      </c>
      <c r="AT20" s="16">
        <f>AR20+1</f>
        <v>3017</v>
      </c>
      <c r="AU20" s="16">
        <v>30</v>
      </c>
      <c r="AV20" s="16">
        <f>AT20+1</f>
        <v>3018</v>
      </c>
      <c r="AW20" s="16">
        <v>10</v>
      </c>
      <c r="AX20" s="16">
        <f>AV20+1</f>
        <v>3019</v>
      </c>
      <c r="AY20" s="16">
        <v>30</v>
      </c>
      <c r="AZ20" s="16">
        <f>AX20+1</f>
        <v>3020</v>
      </c>
      <c r="BA20" s="16">
        <v>10</v>
      </c>
      <c r="BB20" s="16">
        <f>AZ20+1</f>
        <v>3021</v>
      </c>
      <c r="BC20" s="16">
        <v>30</v>
      </c>
      <c r="BD20" s="16">
        <f>BB20+1</f>
        <v>3022</v>
      </c>
      <c r="BE20" s="16">
        <v>13</v>
      </c>
      <c r="BF20" s="16">
        <f>BD20+1</f>
        <v>3023</v>
      </c>
      <c r="BG20" s="16">
        <v>30</v>
      </c>
      <c r="BH20" s="16">
        <f>BF20+1</f>
        <v>3024</v>
      </c>
      <c r="BI20" s="16">
        <v>13</v>
      </c>
      <c r="BJ20" s="16">
        <f>BH20+1</f>
        <v>3025</v>
      </c>
      <c r="BK20" s="16">
        <v>30</v>
      </c>
      <c r="BL20" s="16">
        <f>BJ20+1</f>
        <v>3026</v>
      </c>
      <c r="BM20" s="16">
        <v>13</v>
      </c>
      <c r="BN20" s="16">
        <f>BL20+1</f>
        <v>3027</v>
      </c>
      <c r="BO20" s="16">
        <v>30</v>
      </c>
      <c r="BP20" s="16">
        <f>BN20+1</f>
        <v>3028</v>
      </c>
      <c r="BQ20" s="16">
        <v>13</v>
      </c>
      <c r="BR20" s="16">
        <f>BP20+1</f>
        <v>3029</v>
      </c>
      <c r="BS20" s="16">
        <v>20</v>
      </c>
      <c r="BT20" s="16">
        <f>BR20+1</f>
        <v>3030</v>
      </c>
      <c r="BU20" s="16">
        <v>8</v>
      </c>
    </row>
    <row r="21" spans="6:79">
      <c r="F21" s="48">
        <v>420016</v>
      </c>
      <c r="G21" s="70" t="s">
        <v>750</v>
      </c>
      <c r="H21" s="112">
        <v>3016</v>
      </c>
      <c r="I21" s="111">
        <f t="shared" si="0"/>
        <v>30</v>
      </c>
      <c r="J21" s="70">
        <v>40</v>
      </c>
      <c r="K21"/>
    </row>
    <row r="22" spans="6:79">
      <c r="F22" s="48">
        <v>420017</v>
      </c>
      <c r="G22" s="70" t="s">
        <v>754</v>
      </c>
      <c r="H22" s="112">
        <v>3017</v>
      </c>
      <c r="I22" s="111">
        <f t="shared" si="0"/>
        <v>30</v>
      </c>
      <c r="J22" s="70">
        <v>40</v>
      </c>
      <c r="K22"/>
    </row>
    <row r="23" spans="6:79">
      <c r="F23" s="48">
        <v>420018</v>
      </c>
      <c r="G23" s="70" t="s">
        <v>352</v>
      </c>
      <c r="H23" s="112">
        <v>3018</v>
      </c>
      <c r="I23" s="111">
        <f t="shared" si="0"/>
        <v>10</v>
      </c>
      <c r="J23" s="70">
        <v>120</v>
      </c>
      <c r="K23"/>
      <c r="M23" s="16" t="s">
        <v>803</v>
      </c>
    </row>
    <row r="24" spans="6:79">
      <c r="F24" s="48">
        <v>420019</v>
      </c>
      <c r="G24" s="70" t="s">
        <v>752</v>
      </c>
      <c r="H24" s="112">
        <v>3019</v>
      </c>
      <c r="I24" s="111">
        <f t="shared" si="0"/>
        <v>30</v>
      </c>
      <c r="J24" s="70">
        <v>40</v>
      </c>
      <c r="K24"/>
      <c r="N24" s="16">
        <v>3001</v>
      </c>
      <c r="O24" s="16">
        <v>40</v>
      </c>
      <c r="P24" s="16">
        <f>N24+1</f>
        <v>3002</v>
      </c>
      <c r="Q24" s="16">
        <v>20</v>
      </c>
      <c r="R24" s="16">
        <f>P24+1</f>
        <v>3003</v>
      </c>
      <c r="S24" s="16">
        <v>13</v>
      </c>
      <c r="T24" s="16">
        <f>R24+1</f>
        <v>3004</v>
      </c>
      <c r="U24" s="16">
        <v>20</v>
      </c>
      <c r="V24" s="16">
        <f>T24+1</f>
        <v>3005</v>
      </c>
      <c r="W24" s="16">
        <v>13</v>
      </c>
      <c r="X24" s="16">
        <f>V24+1</f>
        <v>3006</v>
      </c>
      <c r="Y24" s="16">
        <v>10</v>
      </c>
      <c r="Z24" s="16">
        <f>X24+1</f>
        <v>3007</v>
      </c>
      <c r="AA24" s="16">
        <v>8</v>
      </c>
      <c r="AB24" s="16">
        <f>Z24+1</f>
        <v>3008</v>
      </c>
      <c r="AC24" s="16">
        <v>12</v>
      </c>
      <c r="AD24" s="16">
        <f>AB24+1</f>
        <v>3009</v>
      </c>
      <c r="AE24" s="16">
        <v>12</v>
      </c>
      <c r="AF24" s="16">
        <f>AD24+1</f>
        <v>3010</v>
      </c>
      <c r="AG24" s="16">
        <v>8</v>
      </c>
      <c r="AH24" s="16">
        <f>AF24+1</f>
        <v>3011</v>
      </c>
      <c r="AI24" s="16">
        <v>24</v>
      </c>
      <c r="AJ24" s="16">
        <f>AH24+1</f>
        <v>3012</v>
      </c>
      <c r="AK24" s="16">
        <v>12</v>
      </c>
      <c r="AL24" s="16">
        <f>AJ24+1</f>
        <v>3013</v>
      </c>
      <c r="AM24" s="16">
        <v>9</v>
      </c>
      <c r="AN24" s="16">
        <f>AL24+1</f>
        <v>3014</v>
      </c>
      <c r="AO24" s="16">
        <v>8</v>
      </c>
      <c r="AP24" s="16">
        <f>AN24+1</f>
        <v>3015</v>
      </c>
      <c r="AQ24" s="16">
        <v>30</v>
      </c>
      <c r="AR24" s="16">
        <f>AP24+1</f>
        <v>3016</v>
      </c>
      <c r="AS24" s="16">
        <v>30</v>
      </c>
      <c r="AT24" s="16">
        <f>AR24+1</f>
        <v>3017</v>
      </c>
      <c r="AU24" s="16">
        <v>30</v>
      </c>
      <c r="AV24" s="16">
        <f>AT24+1</f>
        <v>3018</v>
      </c>
      <c r="AW24" s="16">
        <v>10</v>
      </c>
      <c r="AX24" s="16">
        <f>AV24+1</f>
        <v>3019</v>
      </c>
      <c r="AY24" s="16">
        <v>30</v>
      </c>
      <c r="AZ24" s="16">
        <f>AX24+1</f>
        <v>3020</v>
      </c>
      <c r="BA24" s="16">
        <v>10</v>
      </c>
      <c r="BB24" s="16">
        <f>AZ24+1</f>
        <v>3021</v>
      </c>
      <c r="BC24" s="16">
        <v>30</v>
      </c>
      <c r="BD24" s="16">
        <f>BB24+1</f>
        <v>3022</v>
      </c>
      <c r="BE24" s="16">
        <v>13</v>
      </c>
      <c r="BF24" s="16">
        <f>BD24+1</f>
        <v>3023</v>
      </c>
      <c r="BG24" s="16">
        <v>30</v>
      </c>
      <c r="BH24" s="16">
        <f>BF24+1</f>
        <v>3024</v>
      </c>
      <c r="BI24" s="16">
        <v>13</v>
      </c>
      <c r="BJ24" s="16">
        <f>BH24+1</f>
        <v>3025</v>
      </c>
      <c r="BK24" s="16">
        <v>30</v>
      </c>
      <c r="BL24" s="16">
        <f>BJ24+1</f>
        <v>3026</v>
      </c>
      <c r="BM24" s="16">
        <v>13</v>
      </c>
      <c r="BN24" s="16">
        <f>BL24+1</f>
        <v>3027</v>
      </c>
      <c r="BO24" s="16">
        <v>30</v>
      </c>
      <c r="BP24" s="16">
        <f>BN24+1</f>
        <v>3028</v>
      </c>
      <c r="BQ24" s="16">
        <v>13</v>
      </c>
      <c r="BR24" s="16">
        <f>BP24+1</f>
        <v>3029</v>
      </c>
      <c r="BS24" s="16">
        <v>20</v>
      </c>
      <c r="BT24" s="16">
        <f>BR24+1</f>
        <v>3030</v>
      </c>
      <c r="BU24" s="16">
        <v>8</v>
      </c>
      <c r="BV24" s="16">
        <f>BT24+1</f>
        <v>3031</v>
      </c>
      <c r="BW24" s="16">
        <v>12</v>
      </c>
      <c r="BX24" s="16">
        <f>BV24+1</f>
        <v>3032</v>
      </c>
      <c r="BY24" s="16">
        <v>20</v>
      </c>
      <c r="BZ24" s="16">
        <f>BX24+1</f>
        <v>3033</v>
      </c>
      <c r="CA24" s="16">
        <v>15</v>
      </c>
    </row>
    <row r="25" spans="6:79">
      <c r="F25" s="48">
        <v>420020</v>
      </c>
      <c r="G25" s="70" t="s">
        <v>753</v>
      </c>
      <c r="H25" s="112">
        <v>3020</v>
      </c>
      <c r="I25" s="111">
        <f t="shared" si="0"/>
        <v>10</v>
      </c>
      <c r="J25" s="70">
        <v>120</v>
      </c>
      <c r="K25"/>
    </row>
    <row r="26" spans="6:79">
      <c r="F26" s="48">
        <v>420021</v>
      </c>
      <c r="G26" s="70" t="s">
        <v>784</v>
      </c>
      <c r="H26" s="112">
        <v>3021</v>
      </c>
      <c r="I26" s="111">
        <f t="shared" si="0"/>
        <v>30</v>
      </c>
      <c r="J26" s="70">
        <v>40</v>
      </c>
      <c r="K26"/>
    </row>
    <row r="27" spans="6:79">
      <c r="F27" s="48">
        <v>420022</v>
      </c>
      <c r="G27" s="70" t="s">
        <v>751</v>
      </c>
      <c r="H27" s="112">
        <v>3022</v>
      </c>
      <c r="I27" s="111">
        <f t="shared" si="0"/>
        <v>15</v>
      </c>
      <c r="J27" s="89">
        <v>80</v>
      </c>
      <c r="K27"/>
    </row>
    <row r="28" spans="6:79">
      <c r="F28" s="48">
        <v>420023</v>
      </c>
      <c r="G28" s="70" t="s">
        <v>755</v>
      </c>
      <c r="H28" s="112">
        <v>3023</v>
      </c>
      <c r="I28" s="111">
        <f t="shared" si="0"/>
        <v>30</v>
      </c>
      <c r="J28" s="89">
        <v>40</v>
      </c>
      <c r="K28"/>
    </row>
    <row r="29" spans="6:79">
      <c r="F29" s="48">
        <v>420024</v>
      </c>
      <c r="G29" s="70" t="s">
        <v>756</v>
      </c>
      <c r="H29" s="112">
        <v>3024</v>
      </c>
      <c r="I29" s="111">
        <f t="shared" si="0"/>
        <v>15</v>
      </c>
      <c r="J29" s="89">
        <v>80</v>
      </c>
      <c r="K29"/>
      <c r="L29" s="16" t="s">
        <v>804</v>
      </c>
      <c r="M29" s="100" t="s">
        <v>805</v>
      </c>
      <c r="N29" s="16">
        <v>2001</v>
      </c>
      <c r="O29" s="16">
        <v>100</v>
      </c>
      <c r="P29" s="16">
        <v>2002</v>
      </c>
      <c r="Q29" s="16">
        <v>100</v>
      </c>
      <c r="R29" s="16">
        <v>2003</v>
      </c>
      <c r="S29" s="16">
        <v>100</v>
      </c>
      <c r="T29" s="16">
        <v>2004</v>
      </c>
      <c r="U29" s="16">
        <v>100</v>
      </c>
      <c r="V29" s="16">
        <v>2005</v>
      </c>
      <c r="W29" s="16">
        <v>100</v>
      </c>
      <c r="X29" s="16">
        <v>2006</v>
      </c>
      <c r="Y29" s="16">
        <v>100</v>
      </c>
      <c r="Z29" s="16">
        <v>2007</v>
      </c>
      <c r="AA29" s="16">
        <v>100</v>
      </c>
      <c r="AB29" s="16">
        <v>2008</v>
      </c>
      <c r="AC29" s="16">
        <v>100</v>
      </c>
      <c r="AD29" s="16">
        <v>2034</v>
      </c>
      <c r="AE29" s="16">
        <v>100</v>
      </c>
      <c r="AF29" s="16">
        <v>2035</v>
      </c>
      <c r="AG29" s="16">
        <v>1</v>
      </c>
      <c r="AH29" s="48">
        <v>2027</v>
      </c>
      <c r="AI29" s="16">
        <v>100</v>
      </c>
      <c r="AJ29" s="48">
        <v>2031</v>
      </c>
      <c r="AK29" s="16">
        <v>100</v>
      </c>
    </row>
    <row r="30" spans="6:79">
      <c r="F30" s="48">
        <v>420025</v>
      </c>
      <c r="G30" s="70" t="s">
        <v>775</v>
      </c>
      <c r="H30" s="112">
        <v>3025</v>
      </c>
      <c r="I30" s="111">
        <f t="shared" si="0"/>
        <v>30</v>
      </c>
      <c r="J30" s="89">
        <v>40</v>
      </c>
      <c r="K30"/>
      <c r="N30" s="16">
        <f>N29+8</f>
        <v>2009</v>
      </c>
      <c r="O30" s="16">
        <v>100</v>
      </c>
      <c r="P30" s="16">
        <f>P29+8</f>
        <v>2010</v>
      </c>
      <c r="Q30" s="16">
        <v>100</v>
      </c>
      <c r="R30" s="16">
        <f>R29+8</f>
        <v>2011</v>
      </c>
      <c r="S30" s="16">
        <v>100</v>
      </c>
      <c r="T30" s="16">
        <f>T29+8</f>
        <v>2012</v>
      </c>
      <c r="U30" s="16">
        <v>100</v>
      </c>
      <c r="V30" s="16">
        <f>V29+8</f>
        <v>2013</v>
      </c>
      <c r="W30" s="16">
        <v>100</v>
      </c>
      <c r="X30" s="16">
        <f>X29+8</f>
        <v>2014</v>
      </c>
      <c r="Y30" s="16">
        <v>100</v>
      </c>
      <c r="Z30" s="16">
        <f>Z29+8</f>
        <v>2015</v>
      </c>
      <c r="AA30" s="16">
        <v>100</v>
      </c>
      <c r="AB30" s="16">
        <f>AB29+8</f>
        <v>2016</v>
      </c>
      <c r="AC30" s="16">
        <v>100</v>
      </c>
      <c r="AD30" s="16">
        <v>2034</v>
      </c>
      <c r="AE30" s="16">
        <v>100</v>
      </c>
      <c r="AF30" s="16">
        <v>2035</v>
      </c>
      <c r="AG30" s="16">
        <v>1</v>
      </c>
      <c r="AH30" s="48">
        <v>2027</v>
      </c>
      <c r="AI30" s="16">
        <v>100</v>
      </c>
      <c r="AJ30" s="48">
        <v>2031</v>
      </c>
      <c r="AK30" s="16">
        <v>100</v>
      </c>
    </row>
    <row r="31" spans="6:79">
      <c r="F31" s="48">
        <v>420026</v>
      </c>
      <c r="G31" s="70" t="s">
        <v>777</v>
      </c>
      <c r="H31" s="112">
        <v>3026</v>
      </c>
      <c r="I31" s="111">
        <f t="shared" si="0"/>
        <v>15</v>
      </c>
      <c r="J31" s="89">
        <v>80</v>
      </c>
      <c r="K31"/>
      <c r="N31" s="16">
        <f>N30+8</f>
        <v>2017</v>
      </c>
      <c r="O31" s="16">
        <v>100</v>
      </c>
      <c r="P31" s="16">
        <f>P30+8</f>
        <v>2018</v>
      </c>
      <c r="Q31" s="16">
        <v>100</v>
      </c>
      <c r="R31" s="16">
        <f>R30+8</f>
        <v>2019</v>
      </c>
      <c r="S31" s="16">
        <v>100</v>
      </c>
      <c r="T31" s="16">
        <f>T30+8</f>
        <v>2020</v>
      </c>
      <c r="U31" s="16">
        <v>100</v>
      </c>
      <c r="V31" s="16">
        <f>V30+8</f>
        <v>2021</v>
      </c>
      <c r="W31" s="16">
        <v>100</v>
      </c>
      <c r="X31" s="16">
        <f>X30+8</f>
        <v>2022</v>
      </c>
      <c r="Y31" s="16">
        <v>100</v>
      </c>
      <c r="Z31" s="16">
        <f>Z30+8</f>
        <v>2023</v>
      </c>
      <c r="AA31" s="16">
        <v>100</v>
      </c>
      <c r="AB31" s="16">
        <f>AB30+8</f>
        <v>2024</v>
      </c>
      <c r="AC31" s="16">
        <v>100</v>
      </c>
      <c r="AD31" s="16">
        <v>2034</v>
      </c>
      <c r="AE31" s="16">
        <v>100</v>
      </c>
      <c r="AF31" s="16">
        <v>2035</v>
      </c>
      <c r="AG31" s="16">
        <v>1</v>
      </c>
      <c r="AH31" s="48">
        <v>2027</v>
      </c>
      <c r="AI31" s="16">
        <v>100</v>
      </c>
      <c r="AJ31" s="48">
        <v>2031</v>
      </c>
      <c r="AK31" s="16">
        <v>100</v>
      </c>
    </row>
    <row r="32" spans="6:79">
      <c r="F32" s="48">
        <v>420027</v>
      </c>
      <c r="G32" s="70" t="s">
        <v>773</v>
      </c>
      <c r="H32" s="112">
        <v>3027</v>
      </c>
      <c r="I32" s="111">
        <f t="shared" si="0"/>
        <v>30</v>
      </c>
      <c r="J32">
        <v>40</v>
      </c>
      <c r="K32"/>
      <c r="M32" s="100" t="s">
        <v>815</v>
      </c>
      <c r="N32" s="16">
        <v>2001</v>
      </c>
      <c r="O32" s="16">
        <v>100</v>
      </c>
      <c r="P32" s="16">
        <v>2002</v>
      </c>
      <c r="Q32" s="16">
        <v>100</v>
      </c>
      <c r="R32" s="16">
        <v>2003</v>
      </c>
      <c r="S32" s="16">
        <v>100</v>
      </c>
      <c r="T32" s="16">
        <v>2004</v>
      </c>
      <c r="U32" s="16">
        <v>100</v>
      </c>
      <c r="V32" s="16">
        <v>2005</v>
      </c>
      <c r="W32" s="16">
        <v>100</v>
      </c>
      <c r="X32" s="16">
        <v>2006</v>
      </c>
      <c r="Y32" s="16">
        <v>100</v>
      </c>
      <c r="Z32" s="16">
        <v>2007</v>
      </c>
      <c r="AA32" s="16">
        <v>100</v>
      </c>
      <c r="AB32" s="16">
        <v>2008</v>
      </c>
      <c r="AC32" s="16">
        <v>100</v>
      </c>
      <c r="AD32" s="16">
        <v>2034</v>
      </c>
      <c r="AE32" s="16">
        <v>100</v>
      </c>
      <c r="AF32" s="16">
        <v>2035</v>
      </c>
      <c r="AG32" s="16">
        <v>1</v>
      </c>
      <c r="AH32" s="48">
        <v>2029</v>
      </c>
      <c r="AI32" s="16">
        <v>100</v>
      </c>
    </row>
    <row r="33" spans="6:37">
      <c r="F33" s="48">
        <v>420028</v>
      </c>
      <c r="G33" s="70" t="s">
        <v>774</v>
      </c>
      <c r="H33" s="112">
        <v>3028</v>
      </c>
      <c r="I33" s="111">
        <f t="shared" si="0"/>
        <v>15</v>
      </c>
      <c r="J33">
        <v>80</v>
      </c>
      <c r="K33"/>
      <c r="N33" s="16">
        <f>N32+8</f>
        <v>2009</v>
      </c>
      <c r="O33" s="16">
        <v>100</v>
      </c>
      <c r="P33" s="16">
        <f>P32+8</f>
        <v>2010</v>
      </c>
      <c r="Q33" s="16">
        <v>100</v>
      </c>
      <c r="R33" s="16">
        <f>R32+8</f>
        <v>2011</v>
      </c>
      <c r="S33" s="16">
        <v>100</v>
      </c>
      <c r="T33" s="16">
        <f>T32+8</f>
        <v>2012</v>
      </c>
      <c r="U33" s="16">
        <v>100</v>
      </c>
      <c r="V33" s="16">
        <f>V32+8</f>
        <v>2013</v>
      </c>
      <c r="W33" s="16">
        <v>100</v>
      </c>
      <c r="X33" s="16">
        <f>X32+8</f>
        <v>2014</v>
      </c>
      <c r="Y33" s="16">
        <v>100</v>
      </c>
      <c r="Z33" s="16">
        <f>Z32+8</f>
        <v>2015</v>
      </c>
      <c r="AA33" s="16">
        <v>100</v>
      </c>
      <c r="AB33" s="16">
        <f>AB32+8</f>
        <v>2016</v>
      </c>
      <c r="AC33" s="16">
        <v>100</v>
      </c>
      <c r="AD33" s="16">
        <v>2034</v>
      </c>
      <c r="AE33" s="16">
        <v>100</v>
      </c>
      <c r="AF33" s="16">
        <v>2035</v>
      </c>
      <c r="AG33" s="16">
        <v>1</v>
      </c>
      <c r="AH33" s="48">
        <v>2029</v>
      </c>
      <c r="AI33" s="16">
        <v>100</v>
      </c>
    </row>
    <row r="34" spans="6:37">
      <c r="F34" s="48">
        <v>420029</v>
      </c>
      <c r="G34" s="70" t="s">
        <v>785</v>
      </c>
      <c r="H34" s="112">
        <v>3029</v>
      </c>
      <c r="I34" s="111">
        <f t="shared" si="0"/>
        <v>20</v>
      </c>
      <c r="J34">
        <v>60</v>
      </c>
      <c r="K34"/>
      <c r="M34" s="100"/>
      <c r="N34" s="16">
        <f>N33+8</f>
        <v>2017</v>
      </c>
      <c r="O34" s="16">
        <v>100</v>
      </c>
      <c r="P34" s="16">
        <f>P33+8</f>
        <v>2018</v>
      </c>
      <c r="Q34" s="16">
        <v>100</v>
      </c>
      <c r="R34" s="16">
        <f>R33+8</f>
        <v>2019</v>
      </c>
      <c r="S34" s="16">
        <v>100</v>
      </c>
      <c r="T34" s="16">
        <f>T33+8</f>
        <v>2020</v>
      </c>
      <c r="U34" s="16">
        <v>100</v>
      </c>
      <c r="V34" s="16">
        <f>V33+8</f>
        <v>2021</v>
      </c>
      <c r="W34" s="16">
        <v>100</v>
      </c>
      <c r="X34" s="16">
        <f>X33+8</f>
        <v>2022</v>
      </c>
      <c r="Y34" s="16">
        <v>100</v>
      </c>
      <c r="Z34" s="16">
        <f>Z33+8</f>
        <v>2023</v>
      </c>
      <c r="AA34" s="16">
        <v>100</v>
      </c>
      <c r="AB34" s="16">
        <f>AB33+8</f>
        <v>2024</v>
      </c>
      <c r="AC34" s="16">
        <v>100</v>
      </c>
      <c r="AD34" s="16">
        <v>2034</v>
      </c>
      <c r="AE34" s="16">
        <v>100</v>
      </c>
      <c r="AF34" s="16">
        <v>2035</v>
      </c>
      <c r="AG34" s="16">
        <v>1</v>
      </c>
      <c r="AH34" s="48">
        <v>2029</v>
      </c>
      <c r="AI34" s="16">
        <v>100</v>
      </c>
    </row>
    <row r="35" spans="6:37">
      <c r="F35" s="48">
        <v>420030</v>
      </c>
      <c r="G35" s="70" t="s">
        <v>772</v>
      </c>
      <c r="H35" s="112">
        <v>3030</v>
      </c>
      <c r="I35" s="111">
        <f t="shared" si="0"/>
        <v>8</v>
      </c>
      <c r="J35">
        <v>150</v>
      </c>
      <c r="K35"/>
      <c r="M35" s="100" t="s">
        <v>816</v>
      </c>
      <c r="N35" s="16">
        <v>2001</v>
      </c>
      <c r="O35" s="16">
        <v>100</v>
      </c>
      <c r="P35" s="16">
        <v>2002</v>
      </c>
      <c r="Q35" s="16">
        <v>100</v>
      </c>
      <c r="R35" s="16">
        <v>2003</v>
      </c>
      <c r="S35" s="16">
        <v>100</v>
      </c>
      <c r="T35" s="16">
        <v>2004</v>
      </c>
      <c r="U35" s="16">
        <v>100</v>
      </c>
      <c r="V35" s="16">
        <v>2005</v>
      </c>
      <c r="W35" s="16">
        <v>100</v>
      </c>
      <c r="X35" s="16">
        <v>2006</v>
      </c>
      <c r="Y35" s="16">
        <v>100</v>
      </c>
      <c r="Z35" s="16">
        <v>2007</v>
      </c>
      <c r="AA35" s="16">
        <v>100</v>
      </c>
      <c r="AB35" s="16">
        <v>2008</v>
      </c>
      <c r="AC35" s="16">
        <v>100</v>
      </c>
      <c r="AD35" s="16">
        <v>2034</v>
      </c>
      <c r="AE35" s="16">
        <v>100</v>
      </c>
      <c r="AF35" s="16">
        <v>2035</v>
      </c>
      <c r="AG35" s="16">
        <v>1</v>
      </c>
      <c r="AH35" s="16">
        <v>2036</v>
      </c>
      <c r="AI35" s="16">
        <v>100</v>
      </c>
    </row>
    <row r="36" spans="6:37">
      <c r="F36" s="48">
        <v>420031</v>
      </c>
      <c r="G36" s="70" t="s">
        <v>401</v>
      </c>
      <c r="H36" s="112">
        <v>3031</v>
      </c>
      <c r="I36" s="111">
        <f t="shared" si="0"/>
        <v>13</v>
      </c>
      <c r="J36">
        <v>90</v>
      </c>
      <c r="K36"/>
      <c r="N36" s="16">
        <f>N35+8</f>
        <v>2009</v>
      </c>
      <c r="O36" s="16">
        <v>100</v>
      </c>
      <c r="P36" s="16">
        <f>P35+8</f>
        <v>2010</v>
      </c>
      <c r="Q36" s="16">
        <v>100</v>
      </c>
      <c r="R36" s="16">
        <f>R35+8</f>
        <v>2011</v>
      </c>
      <c r="S36" s="16">
        <v>100</v>
      </c>
      <c r="T36" s="16">
        <f>T35+8</f>
        <v>2012</v>
      </c>
      <c r="U36" s="16">
        <v>100</v>
      </c>
      <c r="V36" s="16">
        <f>V35+8</f>
        <v>2013</v>
      </c>
      <c r="W36" s="16">
        <v>100</v>
      </c>
      <c r="X36" s="16">
        <f>X35+8</f>
        <v>2014</v>
      </c>
      <c r="Y36" s="16">
        <v>100</v>
      </c>
      <c r="Z36" s="16">
        <f>Z35+8</f>
        <v>2015</v>
      </c>
      <c r="AA36" s="16">
        <v>100</v>
      </c>
      <c r="AB36" s="16">
        <f>AB35+8</f>
        <v>2016</v>
      </c>
      <c r="AC36" s="16">
        <v>100</v>
      </c>
      <c r="AD36" s="16">
        <v>2034</v>
      </c>
      <c r="AE36" s="16">
        <v>100</v>
      </c>
      <c r="AF36" s="16">
        <v>2035</v>
      </c>
      <c r="AG36" s="16">
        <v>1</v>
      </c>
      <c r="AH36" s="16">
        <v>2036</v>
      </c>
      <c r="AI36" s="16">
        <v>100</v>
      </c>
    </row>
    <row r="37" spans="6:37">
      <c r="F37" s="48">
        <v>420032</v>
      </c>
      <c r="G37" s="70" t="s">
        <v>744</v>
      </c>
      <c r="H37" s="112">
        <v>3032</v>
      </c>
      <c r="I37" s="111">
        <f t="shared" si="0"/>
        <v>20</v>
      </c>
      <c r="J37">
        <v>60</v>
      </c>
      <c r="K37"/>
      <c r="N37" s="16">
        <f>N36+8</f>
        <v>2017</v>
      </c>
      <c r="O37" s="16">
        <v>100</v>
      </c>
      <c r="P37" s="16">
        <f>P36+8</f>
        <v>2018</v>
      </c>
      <c r="Q37" s="16">
        <v>100</v>
      </c>
      <c r="R37" s="16">
        <f>R36+8</f>
        <v>2019</v>
      </c>
      <c r="S37" s="16">
        <v>100</v>
      </c>
      <c r="T37" s="16">
        <f>T36+8</f>
        <v>2020</v>
      </c>
      <c r="U37" s="16">
        <v>100</v>
      </c>
      <c r="V37" s="16">
        <f>V36+8</f>
        <v>2021</v>
      </c>
      <c r="W37" s="16">
        <v>100</v>
      </c>
      <c r="X37" s="16">
        <f>X36+8</f>
        <v>2022</v>
      </c>
      <c r="Y37" s="16">
        <v>100</v>
      </c>
      <c r="Z37" s="16">
        <f>Z36+8</f>
        <v>2023</v>
      </c>
      <c r="AA37" s="16">
        <v>100</v>
      </c>
      <c r="AB37" s="16">
        <f>AB36+8</f>
        <v>2024</v>
      </c>
      <c r="AC37" s="16">
        <v>100</v>
      </c>
      <c r="AD37" s="16">
        <v>2034</v>
      </c>
      <c r="AE37" s="16">
        <v>100</v>
      </c>
      <c r="AF37" s="16">
        <v>2035</v>
      </c>
      <c r="AG37" s="16">
        <v>1</v>
      </c>
      <c r="AH37" s="16">
        <v>2036</v>
      </c>
      <c r="AI37" s="16">
        <v>100</v>
      </c>
    </row>
    <row r="38" spans="6:37">
      <c r="F38" s="48">
        <v>420033</v>
      </c>
      <c r="G38" s="70" t="s">
        <v>402</v>
      </c>
      <c r="H38" s="112">
        <v>3033</v>
      </c>
      <c r="I38" s="111">
        <f t="shared" si="0"/>
        <v>15</v>
      </c>
      <c r="J38">
        <v>80</v>
      </c>
      <c r="K38"/>
      <c r="M38" s="100" t="s">
        <v>817</v>
      </c>
      <c r="N38" s="16">
        <v>2001</v>
      </c>
      <c r="O38" s="16">
        <v>100</v>
      </c>
      <c r="P38" s="16">
        <v>2002</v>
      </c>
      <c r="Q38" s="16">
        <v>100</v>
      </c>
      <c r="R38" s="16">
        <v>2003</v>
      </c>
      <c r="S38" s="16">
        <v>100</v>
      </c>
      <c r="T38" s="16">
        <v>2004</v>
      </c>
      <c r="U38" s="16">
        <v>100</v>
      </c>
      <c r="V38" s="16">
        <v>2005</v>
      </c>
      <c r="W38" s="16">
        <v>100</v>
      </c>
      <c r="X38" s="16">
        <v>2006</v>
      </c>
      <c r="Y38" s="16">
        <v>100</v>
      </c>
      <c r="Z38" s="16">
        <v>2007</v>
      </c>
      <c r="AA38" s="16">
        <v>100</v>
      </c>
      <c r="AB38" s="16">
        <v>2008</v>
      </c>
      <c r="AC38" s="16">
        <v>100</v>
      </c>
      <c r="AD38" s="16">
        <v>2034</v>
      </c>
      <c r="AE38" s="16">
        <v>100</v>
      </c>
      <c r="AF38" s="16">
        <v>2035</v>
      </c>
      <c r="AG38" s="16">
        <v>1</v>
      </c>
      <c r="AH38" s="16">
        <v>2028</v>
      </c>
      <c r="AI38" s="16">
        <v>100</v>
      </c>
      <c r="AJ38" s="16">
        <v>2030</v>
      </c>
      <c r="AK38" s="16">
        <v>100</v>
      </c>
    </row>
    <row r="39" spans="6:37">
      <c r="F39"/>
      <c r="G39"/>
      <c r="H39"/>
      <c r="I39"/>
      <c r="J39"/>
      <c r="K39"/>
      <c r="M39" s="100"/>
      <c r="N39" s="16">
        <f>N38+8</f>
        <v>2009</v>
      </c>
      <c r="O39" s="16">
        <v>100</v>
      </c>
      <c r="P39" s="16">
        <f>P38+8</f>
        <v>2010</v>
      </c>
      <c r="Q39" s="16">
        <v>100</v>
      </c>
      <c r="R39" s="16">
        <f>R38+8</f>
        <v>2011</v>
      </c>
      <c r="S39" s="16">
        <v>100</v>
      </c>
      <c r="T39" s="16">
        <f>T38+8</f>
        <v>2012</v>
      </c>
      <c r="U39" s="16">
        <v>100</v>
      </c>
      <c r="V39" s="16">
        <f>V38+8</f>
        <v>2013</v>
      </c>
      <c r="W39" s="16">
        <v>100</v>
      </c>
      <c r="X39" s="16">
        <f>X38+8</f>
        <v>2014</v>
      </c>
      <c r="Y39" s="16">
        <v>100</v>
      </c>
      <c r="Z39" s="16">
        <f>Z38+8</f>
        <v>2015</v>
      </c>
      <c r="AA39" s="16">
        <v>100</v>
      </c>
      <c r="AB39" s="16">
        <f>AB38+8</f>
        <v>2016</v>
      </c>
      <c r="AC39" s="16">
        <v>100</v>
      </c>
      <c r="AD39" s="16">
        <v>2034</v>
      </c>
      <c r="AE39" s="16">
        <v>100</v>
      </c>
      <c r="AF39" s="16">
        <v>2035</v>
      </c>
      <c r="AG39" s="16">
        <v>1</v>
      </c>
      <c r="AH39" s="16">
        <v>2028</v>
      </c>
      <c r="AI39" s="16">
        <v>100</v>
      </c>
      <c r="AJ39" s="16">
        <v>2030</v>
      </c>
      <c r="AK39" s="16">
        <v>100</v>
      </c>
    </row>
    <row r="40" spans="6:37">
      <c r="J40"/>
      <c r="K40"/>
      <c r="N40" s="16">
        <f>N39+8</f>
        <v>2017</v>
      </c>
      <c r="O40" s="16">
        <v>100</v>
      </c>
      <c r="P40" s="16">
        <f>P39+8</f>
        <v>2018</v>
      </c>
      <c r="Q40" s="16">
        <v>100</v>
      </c>
      <c r="R40" s="16">
        <f>R39+8</f>
        <v>2019</v>
      </c>
      <c r="S40" s="16">
        <v>100</v>
      </c>
      <c r="T40" s="16">
        <f>T39+8</f>
        <v>2020</v>
      </c>
      <c r="U40" s="16">
        <v>100</v>
      </c>
      <c r="V40" s="16">
        <f>V39+8</f>
        <v>2021</v>
      </c>
      <c r="W40" s="16">
        <v>100</v>
      </c>
      <c r="X40" s="16">
        <f>X39+8</f>
        <v>2022</v>
      </c>
      <c r="Y40" s="16">
        <v>100</v>
      </c>
      <c r="Z40" s="16">
        <f>Z39+8</f>
        <v>2023</v>
      </c>
      <c r="AA40" s="16">
        <v>100</v>
      </c>
      <c r="AB40" s="16">
        <f>AB39+8</f>
        <v>2024</v>
      </c>
      <c r="AC40" s="16">
        <v>100</v>
      </c>
      <c r="AD40" s="16">
        <v>2034</v>
      </c>
      <c r="AE40" s="16">
        <v>100</v>
      </c>
      <c r="AF40" s="16">
        <v>2035</v>
      </c>
      <c r="AG40" s="16">
        <v>1</v>
      </c>
      <c r="AH40" s="16">
        <v>2028</v>
      </c>
      <c r="AI40" s="16">
        <v>100</v>
      </c>
      <c r="AJ40" s="16">
        <v>2030</v>
      </c>
      <c r="AK40" s="16">
        <v>100</v>
      </c>
    </row>
    <row r="41" spans="6:37">
      <c r="J41"/>
      <c r="K41"/>
      <c r="M41" s="100" t="s">
        <v>818</v>
      </c>
      <c r="N41" s="16">
        <v>2001</v>
      </c>
      <c r="O41" s="16">
        <v>100</v>
      </c>
      <c r="P41" s="16">
        <v>2002</v>
      </c>
      <c r="Q41" s="16">
        <v>100</v>
      </c>
      <c r="R41" s="16">
        <v>2003</v>
      </c>
      <c r="S41" s="16">
        <v>100</v>
      </c>
      <c r="T41" s="16">
        <v>2004</v>
      </c>
      <c r="U41" s="16">
        <v>100</v>
      </c>
      <c r="V41" s="16">
        <v>2005</v>
      </c>
      <c r="W41" s="16">
        <v>100</v>
      </c>
      <c r="X41" s="16">
        <v>2006</v>
      </c>
      <c r="Y41" s="16">
        <v>100</v>
      </c>
      <c r="Z41" s="16">
        <v>2007</v>
      </c>
      <c r="AA41" s="16">
        <v>100</v>
      </c>
      <c r="AB41" s="16">
        <v>2008</v>
      </c>
      <c r="AC41" s="16">
        <v>100</v>
      </c>
      <c r="AD41" s="16">
        <v>2034</v>
      </c>
      <c r="AE41" s="16">
        <v>100</v>
      </c>
      <c r="AF41" s="16">
        <v>2035</v>
      </c>
      <c r="AG41" s="16">
        <v>1</v>
      </c>
      <c r="AH41" s="16">
        <v>2025</v>
      </c>
      <c r="AI41" s="16">
        <v>100</v>
      </c>
      <c r="AJ41" s="16">
        <v>2026</v>
      </c>
      <c r="AK41" s="16">
        <v>100</v>
      </c>
    </row>
    <row r="42" spans="6:37">
      <c r="F42" s="72">
        <v>430001</v>
      </c>
      <c r="G42" s="70" t="s">
        <v>366</v>
      </c>
      <c r="H42">
        <v>2001</v>
      </c>
      <c r="I42">
        <v>100</v>
      </c>
      <c r="J42"/>
      <c r="K42"/>
      <c r="N42" s="16">
        <f>N41+8</f>
        <v>2009</v>
      </c>
      <c r="O42" s="16">
        <v>100</v>
      </c>
      <c r="P42" s="16">
        <f>P41+8</f>
        <v>2010</v>
      </c>
      <c r="Q42" s="16">
        <v>100</v>
      </c>
      <c r="R42" s="16">
        <f>R41+8</f>
        <v>2011</v>
      </c>
      <c r="S42" s="16">
        <v>100</v>
      </c>
      <c r="T42" s="16">
        <f>T41+8</f>
        <v>2012</v>
      </c>
      <c r="U42" s="16">
        <v>100</v>
      </c>
      <c r="V42" s="16">
        <f>V41+8</f>
        <v>2013</v>
      </c>
      <c r="W42" s="16">
        <v>100</v>
      </c>
      <c r="X42" s="16">
        <f>X41+8</f>
        <v>2014</v>
      </c>
      <c r="Y42" s="16">
        <v>100</v>
      </c>
      <c r="Z42" s="16">
        <f>Z41+8</f>
        <v>2015</v>
      </c>
      <c r="AA42" s="16">
        <v>100</v>
      </c>
      <c r="AB42" s="16">
        <f>AB41+8</f>
        <v>2016</v>
      </c>
      <c r="AC42" s="16">
        <v>100</v>
      </c>
      <c r="AD42" s="16">
        <v>2034</v>
      </c>
      <c r="AE42" s="16">
        <v>100</v>
      </c>
      <c r="AF42" s="16">
        <v>2035</v>
      </c>
      <c r="AG42" s="16">
        <v>1</v>
      </c>
      <c r="AH42" s="16">
        <v>2025</v>
      </c>
      <c r="AI42" s="16">
        <v>100</v>
      </c>
      <c r="AJ42" s="16">
        <v>2026</v>
      </c>
      <c r="AK42" s="16">
        <v>100</v>
      </c>
    </row>
    <row r="43" spans="6:37">
      <c r="F43" s="72">
        <v>430002</v>
      </c>
      <c r="G43" s="70" t="s">
        <v>368</v>
      </c>
      <c r="H43">
        <v>2002</v>
      </c>
      <c r="I43" s="296">
        <v>100</v>
      </c>
      <c r="J43"/>
      <c r="K43"/>
      <c r="N43" s="16">
        <f>N42+8</f>
        <v>2017</v>
      </c>
      <c r="O43" s="16">
        <v>100</v>
      </c>
      <c r="P43" s="16">
        <f>P42+8</f>
        <v>2018</v>
      </c>
      <c r="Q43" s="16">
        <v>100</v>
      </c>
      <c r="R43" s="16">
        <f>R42+8</f>
        <v>2019</v>
      </c>
      <c r="S43" s="16">
        <v>100</v>
      </c>
      <c r="T43" s="16">
        <f>T42+8</f>
        <v>2020</v>
      </c>
      <c r="U43" s="16">
        <v>100</v>
      </c>
      <c r="V43" s="16">
        <f>V42+8</f>
        <v>2021</v>
      </c>
      <c r="W43" s="16">
        <v>100</v>
      </c>
      <c r="X43" s="16">
        <f>X42+8</f>
        <v>2022</v>
      </c>
      <c r="Y43" s="16">
        <v>100</v>
      </c>
      <c r="Z43" s="16">
        <f>Z42+8</f>
        <v>2023</v>
      </c>
      <c r="AA43" s="16">
        <v>100</v>
      </c>
      <c r="AB43" s="16">
        <f>AB42+8</f>
        <v>2024</v>
      </c>
      <c r="AC43" s="16">
        <v>100</v>
      </c>
      <c r="AD43" s="16">
        <v>2034</v>
      </c>
      <c r="AE43" s="16">
        <v>100</v>
      </c>
      <c r="AF43" s="16">
        <v>2035</v>
      </c>
      <c r="AG43" s="16">
        <v>1</v>
      </c>
      <c r="AH43" s="16">
        <v>2025</v>
      </c>
      <c r="AI43" s="16">
        <v>100</v>
      </c>
      <c r="AJ43" s="16">
        <v>2026</v>
      </c>
      <c r="AK43" s="16">
        <v>100</v>
      </c>
    </row>
    <row r="44" spans="6:37">
      <c r="F44" s="72">
        <v>430003</v>
      </c>
      <c r="G44" s="70" t="s">
        <v>370</v>
      </c>
      <c r="H44" s="112">
        <v>2003</v>
      </c>
      <c r="I44" s="296">
        <v>100</v>
      </c>
      <c r="J44"/>
      <c r="K44"/>
      <c r="M44" s="100" t="s">
        <v>819</v>
      </c>
      <c r="N44" s="16">
        <v>2001</v>
      </c>
      <c r="O44" s="16">
        <v>100</v>
      </c>
      <c r="P44" s="16">
        <v>2002</v>
      </c>
      <c r="Q44" s="16">
        <v>100</v>
      </c>
      <c r="R44" s="16">
        <v>2003</v>
      </c>
      <c r="S44" s="16">
        <v>100</v>
      </c>
      <c r="T44" s="16">
        <v>2004</v>
      </c>
      <c r="U44" s="16">
        <v>100</v>
      </c>
      <c r="V44" s="16">
        <v>2005</v>
      </c>
      <c r="W44" s="16">
        <v>100</v>
      </c>
      <c r="X44" s="16">
        <v>2006</v>
      </c>
      <c r="Y44" s="16">
        <v>100</v>
      </c>
      <c r="Z44" s="16">
        <v>2007</v>
      </c>
      <c r="AA44" s="16">
        <v>100</v>
      </c>
      <c r="AB44" s="16">
        <v>2008</v>
      </c>
      <c r="AC44" s="16">
        <v>100</v>
      </c>
      <c r="AD44" s="16">
        <v>2034</v>
      </c>
      <c r="AE44" s="16">
        <v>100</v>
      </c>
      <c r="AF44" s="16">
        <v>2035</v>
      </c>
      <c r="AG44" s="16">
        <v>1</v>
      </c>
      <c r="AH44" s="16">
        <v>2032</v>
      </c>
      <c r="AI44" s="16">
        <v>100</v>
      </c>
      <c r="AJ44" s="16">
        <v>2033</v>
      </c>
      <c r="AK44" s="16">
        <v>100</v>
      </c>
    </row>
    <row r="45" spans="6:37">
      <c r="F45" s="72">
        <v>430004</v>
      </c>
      <c r="G45" s="70" t="s">
        <v>371</v>
      </c>
      <c r="H45" s="112">
        <v>2004</v>
      </c>
      <c r="I45" s="296">
        <v>100</v>
      </c>
      <c r="J45"/>
      <c r="K45"/>
      <c r="N45" s="16">
        <f>N44+8</f>
        <v>2009</v>
      </c>
      <c r="O45" s="16">
        <v>100</v>
      </c>
      <c r="P45" s="16">
        <f>P44+8</f>
        <v>2010</v>
      </c>
      <c r="Q45" s="16">
        <v>100</v>
      </c>
      <c r="R45" s="16">
        <f>R44+8</f>
        <v>2011</v>
      </c>
      <c r="S45" s="16">
        <v>100</v>
      </c>
      <c r="T45" s="16">
        <f>T44+8</f>
        <v>2012</v>
      </c>
      <c r="U45" s="16">
        <v>100</v>
      </c>
      <c r="V45" s="16">
        <f>V44+8</f>
        <v>2013</v>
      </c>
      <c r="W45" s="16">
        <v>100</v>
      </c>
      <c r="X45" s="16">
        <f>X44+8</f>
        <v>2014</v>
      </c>
      <c r="Y45" s="16">
        <v>100</v>
      </c>
      <c r="Z45" s="16">
        <f>Z44+8</f>
        <v>2015</v>
      </c>
      <c r="AA45" s="16">
        <v>100</v>
      </c>
      <c r="AB45" s="16">
        <f>AB44+8</f>
        <v>2016</v>
      </c>
      <c r="AC45" s="16">
        <v>100</v>
      </c>
      <c r="AD45" s="16">
        <v>2034</v>
      </c>
      <c r="AE45" s="16">
        <v>100</v>
      </c>
      <c r="AF45" s="16">
        <v>2035</v>
      </c>
      <c r="AG45" s="16">
        <v>1</v>
      </c>
      <c r="AH45" s="16">
        <v>2032</v>
      </c>
      <c r="AI45" s="16">
        <v>100</v>
      </c>
      <c r="AJ45" s="16">
        <v>2033</v>
      </c>
      <c r="AK45" s="16">
        <v>100</v>
      </c>
    </row>
    <row r="46" spans="6:37">
      <c r="F46" s="72">
        <v>430005</v>
      </c>
      <c r="G46" s="70" t="s">
        <v>736</v>
      </c>
      <c r="H46" s="112">
        <v>2005</v>
      </c>
      <c r="I46" s="296">
        <v>100</v>
      </c>
      <c r="J46"/>
      <c r="K46"/>
      <c r="N46" s="16">
        <f>N45+8</f>
        <v>2017</v>
      </c>
      <c r="O46" s="16">
        <v>100</v>
      </c>
      <c r="P46" s="16">
        <f>P45+8</f>
        <v>2018</v>
      </c>
      <c r="Q46" s="16">
        <v>100</v>
      </c>
      <c r="R46" s="16">
        <f>R45+8</f>
        <v>2019</v>
      </c>
      <c r="S46" s="16">
        <v>100</v>
      </c>
      <c r="T46" s="16">
        <f>T45+8</f>
        <v>2020</v>
      </c>
      <c r="U46" s="16">
        <v>100</v>
      </c>
      <c r="V46" s="16">
        <f>V45+8</f>
        <v>2021</v>
      </c>
      <c r="W46" s="16">
        <v>100</v>
      </c>
      <c r="X46" s="16">
        <f>X45+8</f>
        <v>2022</v>
      </c>
      <c r="Y46" s="16">
        <v>100</v>
      </c>
      <c r="Z46" s="16">
        <f>Z45+8</f>
        <v>2023</v>
      </c>
      <c r="AA46" s="16">
        <v>100</v>
      </c>
      <c r="AB46" s="16">
        <f>AB45+8</f>
        <v>2024</v>
      </c>
      <c r="AC46" s="16">
        <v>100</v>
      </c>
      <c r="AD46" s="16">
        <v>2034</v>
      </c>
      <c r="AE46" s="16">
        <v>100</v>
      </c>
      <c r="AF46" s="16">
        <v>2035</v>
      </c>
      <c r="AG46" s="16">
        <v>1</v>
      </c>
      <c r="AH46" s="16">
        <v>2032</v>
      </c>
      <c r="AI46" s="16">
        <v>100</v>
      </c>
      <c r="AJ46" s="16">
        <v>2033</v>
      </c>
      <c r="AK46" s="16">
        <v>100</v>
      </c>
    </row>
    <row r="47" spans="6:37">
      <c r="F47" s="72">
        <v>430006</v>
      </c>
      <c r="G47" s="70" t="s">
        <v>737</v>
      </c>
      <c r="H47" s="112">
        <v>2006</v>
      </c>
      <c r="I47" s="296">
        <v>100</v>
      </c>
      <c r="J47"/>
      <c r="K47"/>
    </row>
    <row r="48" spans="6:37">
      <c r="F48" s="72">
        <v>430007</v>
      </c>
      <c r="G48" s="70" t="s">
        <v>375</v>
      </c>
      <c r="H48" s="112">
        <v>2007</v>
      </c>
      <c r="I48" s="296">
        <v>100</v>
      </c>
      <c r="J48"/>
      <c r="K48"/>
    </row>
    <row r="49" spans="6:16">
      <c r="F49" s="72">
        <v>430008</v>
      </c>
      <c r="G49" s="70" t="s">
        <v>377</v>
      </c>
      <c r="H49" s="112">
        <v>2008</v>
      </c>
      <c r="I49" s="296">
        <v>100</v>
      </c>
      <c r="J49"/>
      <c r="K49"/>
      <c r="M49" s="100"/>
    </row>
    <row r="50" spans="6:16">
      <c r="F50" s="72">
        <v>430009</v>
      </c>
      <c r="G50" s="70" t="s">
        <v>379</v>
      </c>
      <c r="H50" s="112">
        <v>2009</v>
      </c>
      <c r="I50" s="296">
        <v>100</v>
      </c>
      <c r="J50"/>
      <c r="K50"/>
    </row>
    <row r="51" spans="6:16">
      <c r="F51" s="72">
        <v>430010</v>
      </c>
      <c r="G51" s="70" t="s">
        <v>380</v>
      </c>
      <c r="H51" s="112">
        <v>2010</v>
      </c>
      <c r="I51" s="296">
        <v>100</v>
      </c>
      <c r="J51"/>
      <c r="K51"/>
    </row>
    <row r="52" spans="6:16">
      <c r="F52" s="72">
        <v>430011</v>
      </c>
      <c r="G52" s="70" t="s">
        <v>381</v>
      </c>
      <c r="H52" s="112">
        <v>2011</v>
      </c>
      <c r="I52" s="296">
        <v>100</v>
      </c>
      <c r="J52"/>
      <c r="K52"/>
    </row>
    <row r="53" spans="6:16">
      <c r="F53" s="72">
        <v>430012</v>
      </c>
      <c r="G53" s="70" t="s">
        <v>382</v>
      </c>
      <c r="H53" s="112">
        <v>2012</v>
      </c>
      <c r="I53" s="296">
        <v>100</v>
      </c>
      <c r="J53"/>
      <c r="K53"/>
    </row>
    <row r="54" spans="6:16">
      <c r="F54" s="72">
        <v>430013</v>
      </c>
      <c r="G54" s="70" t="s">
        <v>738</v>
      </c>
      <c r="H54" s="112">
        <v>2013</v>
      </c>
      <c r="I54" s="296">
        <v>100</v>
      </c>
      <c r="J54"/>
      <c r="K54"/>
      <c r="M54" s="100"/>
    </row>
    <row r="55" spans="6:16">
      <c r="F55" s="72">
        <v>430014</v>
      </c>
      <c r="G55" s="70" t="s">
        <v>739</v>
      </c>
      <c r="H55" s="112">
        <v>2014</v>
      </c>
      <c r="I55" s="296">
        <v>100</v>
      </c>
      <c r="J55"/>
      <c r="K55"/>
    </row>
    <row r="56" spans="6:16">
      <c r="F56" s="48">
        <v>430015</v>
      </c>
      <c r="G56" s="70" t="s">
        <v>383</v>
      </c>
      <c r="H56" s="112">
        <v>2015</v>
      </c>
      <c r="I56" s="296">
        <v>100</v>
      </c>
      <c r="J56"/>
      <c r="K56"/>
    </row>
    <row r="57" spans="6:16">
      <c r="F57" s="48">
        <v>430016</v>
      </c>
      <c r="G57" s="70" t="s">
        <v>384</v>
      </c>
      <c r="H57" s="112">
        <v>2016</v>
      </c>
      <c r="I57" s="296">
        <v>100</v>
      </c>
      <c r="J57"/>
      <c r="K57"/>
    </row>
    <row r="58" spans="6:16">
      <c r="F58" s="48">
        <v>430017</v>
      </c>
      <c r="G58" s="70" t="s">
        <v>385</v>
      </c>
      <c r="H58" s="112">
        <v>2017</v>
      </c>
      <c r="I58" s="296">
        <v>100</v>
      </c>
      <c r="J58"/>
      <c r="K58"/>
    </row>
    <row r="59" spans="6:16">
      <c r="F59" s="48">
        <v>430018</v>
      </c>
      <c r="G59" s="70" t="s">
        <v>386</v>
      </c>
      <c r="H59" s="112">
        <v>2018</v>
      </c>
      <c r="I59" s="296">
        <v>100</v>
      </c>
      <c r="J59"/>
      <c r="K59"/>
    </row>
    <row r="60" spans="6:16">
      <c r="F60" s="48">
        <v>430019</v>
      </c>
      <c r="G60" s="70" t="s">
        <v>387</v>
      </c>
      <c r="H60" s="112">
        <v>2019</v>
      </c>
      <c r="I60" s="296">
        <v>100</v>
      </c>
      <c r="J60"/>
      <c r="K60"/>
    </row>
    <row r="61" spans="6:16">
      <c r="F61" s="48">
        <v>430020</v>
      </c>
      <c r="G61" s="70" t="s">
        <v>388</v>
      </c>
      <c r="H61" s="112">
        <v>2020</v>
      </c>
      <c r="I61" s="296">
        <v>100</v>
      </c>
      <c r="J61"/>
      <c r="K61" s="100" t="s">
        <v>788</v>
      </c>
      <c r="M61" s="89" t="s">
        <v>733</v>
      </c>
      <c r="N61" s="89" t="s">
        <v>799</v>
      </c>
      <c r="O61" s="70" t="s">
        <v>811</v>
      </c>
      <c r="P61" s="70" t="s">
        <v>807</v>
      </c>
    </row>
    <row r="62" spans="6:16">
      <c r="F62" s="48">
        <v>430021</v>
      </c>
      <c r="G62" s="70" t="s">
        <v>734</v>
      </c>
      <c r="H62" s="112">
        <v>2021</v>
      </c>
      <c r="I62" s="296">
        <v>100</v>
      </c>
      <c r="J62"/>
      <c r="K62" s="100" t="s">
        <v>806</v>
      </c>
      <c r="M62" s="89" t="s">
        <v>733</v>
      </c>
      <c r="N62" s="89" t="s">
        <v>799</v>
      </c>
      <c r="O62" s="70" t="s">
        <v>811</v>
      </c>
      <c r="P62" s="70" t="s">
        <v>807</v>
      </c>
    </row>
    <row r="63" spans="6:16">
      <c r="F63" s="48">
        <v>430022</v>
      </c>
      <c r="G63" s="70" t="s">
        <v>735</v>
      </c>
      <c r="H63" s="112">
        <v>2022</v>
      </c>
      <c r="I63" s="296">
        <v>100</v>
      </c>
      <c r="J63"/>
      <c r="K63" s="100" t="s">
        <v>801</v>
      </c>
      <c r="M63" s="89" t="s">
        <v>733</v>
      </c>
      <c r="N63" s="89" t="s">
        <v>799</v>
      </c>
      <c r="O63" s="70" t="s">
        <v>811</v>
      </c>
      <c r="P63" s="70" t="s">
        <v>807</v>
      </c>
    </row>
    <row r="64" spans="6:16">
      <c r="F64" s="48">
        <v>430023</v>
      </c>
      <c r="G64" s="70" t="s">
        <v>389</v>
      </c>
      <c r="H64" s="112">
        <v>2023</v>
      </c>
      <c r="I64" s="296">
        <v>100</v>
      </c>
      <c r="J64"/>
      <c r="K64" s="100" t="s">
        <v>789</v>
      </c>
      <c r="M64" s="89" t="s">
        <v>733</v>
      </c>
      <c r="N64" s="89" t="s">
        <v>799</v>
      </c>
      <c r="O64" s="70" t="s">
        <v>811</v>
      </c>
      <c r="P64" s="70" t="s">
        <v>807</v>
      </c>
    </row>
    <row r="65" spans="6:17">
      <c r="F65" s="48">
        <v>430024</v>
      </c>
      <c r="G65" s="70" t="s">
        <v>390</v>
      </c>
      <c r="H65" s="112">
        <v>2024</v>
      </c>
      <c r="I65" s="296">
        <v>100</v>
      </c>
      <c r="J65"/>
      <c r="K65" s="100" t="s">
        <v>790</v>
      </c>
      <c r="M65" s="89" t="s">
        <v>733</v>
      </c>
      <c r="N65" s="89" t="s">
        <v>799</v>
      </c>
      <c r="O65" s="70" t="s">
        <v>811</v>
      </c>
      <c r="P65" s="70" t="s">
        <v>807</v>
      </c>
    </row>
    <row r="66" spans="6:17">
      <c r="F66" s="48">
        <v>430025</v>
      </c>
      <c r="G66" s="70" t="s">
        <v>391</v>
      </c>
      <c r="H66" s="112">
        <v>2025</v>
      </c>
      <c r="I66" s="111">
        <v>100</v>
      </c>
      <c r="J66"/>
      <c r="K66" s="100" t="s">
        <v>791</v>
      </c>
      <c r="M66" s="89" t="s">
        <v>733</v>
      </c>
      <c r="N66" s="89" t="s">
        <v>799</v>
      </c>
      <c r="O66" s="70" t="s">
        <v>811</v>
      </c>
      <c r="P66" s="70" t="s">
        <v>807</v>
      </c>
    </row>
    <row r="67" spans="6:17">
      <c r="F67" s="48">
        <v>430026</v>
      </c>
      <c r="G67" s="70" t="s">
        <v>392</v>
      </c>
      <c r="H67" s="112">
        <v>2026</v>
      </c>
      <c r="I67" s="111">
        <v>100</v>
      </c>
      <c r="J67"/>
      <c r="K67" s="100" t="s">
        <v>792</v>
      </c>
      <c r="L67" s="100" t="s">
        <v>793</v>
      </c>
      <c r="M67" s="89" t="s">
        <v>733</v>
      </c>
      <c r="N67" s="89" t="s">
        <v>799</v>
      </c>
      <c r="O67" s="70" t="s">
        <v>812</v>
      </c>
      <c r="P67" s="70"/>
      <c r="Q67" s="89"/>
    </row>
    <row r="68" spans="6:17">
      <c r="F68" s="48">
        <v>430027</v>
      </c>
      <c r="G68" s="70" t="s">
        <v>811</v>
      </c>
      <c r="H68" s="112">
        <v>2027</v>
      </c>
      <c r="I68" s="111">
        <v>100</v>
      </c>
      <c r="J68"/>
      <c r="K68" s="100" t="s">
        <v>794</v>
      </c>
      <c r="L68" s="100" t="s">
        <v>795</v>
      </c>
      <c r="M68" s="89" t="s">
        <v>733</v>
      </c>
      <c r="N68" s="89" t="s">
        <v>799</v>
      </c>
      <c r="O68" s="89" t="s">
        <v>814</v>
      </c>
      <c r="P68" s="70"/>
      <c r="Q68" s="89"/>
    </row>
    <row r="69" spans="6:17">
      <c r="F69" s="48">
        <v>430028</v>
      </c>
      <c r="G69" s="70" t="s">
        <v>740</v>
      </c>
      <c r="H69" s="112">
        <v>2028</v>
      </c>
      <c r="I69" s="111">
        <v>100</v>
      </c>
      <c r="J69"/>
      <c r="K69" s="100" t="s">
        <v>796</v>
      </c>
      <c r="L69" s="100"/>
      <c r="M69" s="89" t="s">
        <v>733</v>
      </c>
      <c r="N69" s="89" t="s">
        <v>799</v>
      </c>
      <c r="O69" s="70" t="s">
        <v>820</v>
      </c>
      <c r="P69" s="70" t="s">
        <v>810</v>
      </c>
      <c r="Q69" s="89"/>
    </row>
    <row r="70" spans="6:17">
      <c r="F70" s="48">
        <v>430029</v>
      </c>
      <c r="G70" s="70" t="s">
        <v>812</v>
      </c>
      <c r="H70" s="112">
        <v>2029</v>
      </c>
      <c r="I70" s="111">
        <v>100</v>
      </c>
      <c r="J70"/>
      <c r="K70" s="100" t="s">
        <v>797</v>
      </c>
      <c r="L70" s="100"/>
      <c r="M70" s="89" t="s">
        <v>733</v>
      </c>
      <c r="N70" s="89" t="s">
        <v>799</v>
      </c>
      <c r="O70" s="70" t="s">
        <v>391</v>
      </c>
      <c r="P70" s="70" t="s">
        <v>392</v>
      </c>
    </row>
    <row r="71" spans="6:17">
      <c r="F71" s="48">
        <v>430030</v>
      </c>
      <c r="G71" s="70" t="s">
        <v>810</v>
      </c>
      <c r="H71" s="112">
        <v>2030</v>
      </c>
      <c r="I71" s="111">
        <v>100</v>
      </c>
      <c r="J71"/>
      <c r="K71" s="100" t="s">
        <v>556</v>
      </c>
      <c r="L71" s="100"/>
      <c r="M71" s="89" t="s">
        <v>733</v>
      </c>
      <c r="N71" s="89" t="s">
        <v>799</v>
      </c>
      <c r="O71" s="89" t="s">
        <v>808</v>
      </c>
      <c r="P71" s="89" t="s">
        <v>809</v>
      </c>
      <c r="Q71" s="89"/>
    </row>
    <row r="72" spans="6:17">
      <c r="F72" s="48">
        <v>430031</v>
      </c>
      <c r="G72" s="70" t="s">
        <v>807</v>
      </c>
      <c r="H72" s="112">
        <v>2031</v>
      </c>
      <c r="I72" s="111">
        <v>100</v>
      </c>
      <c r="J72"/>
      <c r="K72"/>
    </row>
    <row r="73" spans="6:17">
      <c r="F73" s="48">
        <v>430032</v>
      </c>
      <c r="G73" s="89" t="s">
        <v>808</v>
      </c>
      <c r="H73" s="112">
        <v>2032</v>
      </c>
      <c r="I73" s="111">
        <v>100</v>
      </c>
      <c r="J73"/>
      <c r="K73"/>
    </row>
    <row r="74" spans="6:17">
      <c r="F74" s="48">
        <v>430033</v>
      </c>
      <c r="G74" s="89" t="s">
        <v>809</v>
      </c>
      <c r="H74" s="112">
        <v>2033</v>
      </c>
      <c r="I74" s="111">
        <v>100</v>
      </c>
      <c r="J74"/>
      <c r="K74"/>
    </row>
    <row r="75" spans="6:17">
      <c r="F75" s="48">
        <v>430034</v>
      </c>
      <c r="G75" s="89" t="s">
        <v>813</v>
      </c>
      <c r="H75" s="112">
        <v>2034</v>
      </c>
      <c r="I75" s="111">
        <v>100</v>
      </c>
      <c r="J75"/>
      <c r="K75"/>
    </row>
    <row r="76" spans="6:17">
      <c r="F76" s="48">
        <v>430035</v>
      </c>
      <c r="G76" s="89" t="s">
        <v>799</v>
      </c>
      <c r="H76" s="112">
        <v>2035</v>
      </c>
      <c r="I76" s="111">
        <v>1</v>
      </c>
    </row>
    <row r="77" spans="6:17">
      <c r="F77" s="48">
        <v>430036</v>
      </c>
      <c r="G77" s="89" t="s">
        <v>776</v>
      </c>
      <c r="H77" s="112">
        <v>2036</v>
      </c>
      <c r="I77" s="111">
        <v>100</v>
      </c>
    </row>
  </sheetData>
  <phoneticPr fontId="14"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B3:K108"/>
  <sheetViews>
    <sheetView workbookViewId="0">
      <selection activeCell="H90" sqref="H90"/>
    </sheetView>
  </sheetViews>
  <sheetFormatPr defaultRowHeight="13.5"/>
  <cols>
    <col min="7" max="7" width="17.25" bestFit="1" customWidth="1"/>
    <col min="8" max="8" width="117" bestFit="1" customWidth="1"/>
  </cols>
  <sheetData>
    <row r="3" spans="4:10">
      <c r="E3" s="48" t="s">
        <v>250</v>
      </c>
      <c r="F3" s="37" t="s">
        <v>251</v>
      </c>
      <c r="G3" s="49" t="s">
        <v>252</v>
      </c>
      <c r="H3" s="50" t="s">
        <v>253</v>
      </c>
      <c r="I3" s="50"/>
      <c r="J3" s="50"/>
    </row>
    <row r="4" spans="4:10" ht="14.25">
      <c r="D4" s="76" t="s">
        <v>834</v>
      </c>
      <c r="E4" s="51" t="s">
        <v>254</v>
      </c>
      <c r="F4" s="52">
        <v>509003</v>
      </c>
      <c r="G4" s="40" t="s">
        <v>255</v>
      </c>
      <c r="H4" s="53" t="s">
        <v>256</v>
      </c>
      <c r="I4" s="54">
        <v>509021</v>
      </c>
      <c r="J4" s="54" t="s">
        <v>257</v>
      </c>
    </row>
    <row r="5" spans="4:10" ht="14.25">
      <c r="E5" s="37"/>
      <c r="F5" s="52">
        <v>509040</v>
      </c>
      <c r="G5" s="40" t="s">
        <v>258</v>
      </c>
      <c r="H5" s="55" t="s">
        <v>259</v>
      </c>
      <c r="I5" s="54">
        <v>509058</v>
      </c>
      <c r="J5" s="54" t="s">
        <v>260</v>
      </c>
    </row>
    <row r="6" spans="4:10">
      <c r="E6" s="37"/>
      <c r="F6" s="52">
        <v>509029</v>
      </c>
      <c r="G6" s="40" t="s">
        <v>261</v>
      </c>
      <c r="H6" s="56" t="s">
        <v>262</v>
      </c>
      <c r="I6" s="40"/>
      <c r="J6" s="40"/>
    </row>
    <row r="7" spans="4:10">
      <c r="E7" s="37"/>
      <c r="F7" s="52">
        <v>509066</v>
      </c>
      <c r="G7" s="40" t="s">
        <v>263</v>
      </c>
      <c r="H7" s="56" t="s">
        <v>264</v>
      </c>
      <c r="I7" s="40"/>
      <c r="J7" s="40"/>
    </row>
    <row r="8" spans="4:10">
      <c r="E8" s="37"/>
      <c r="F8" s="52">
        <v>509030</v>
      </c>
      <c r="G8" s="40" t="s">
        <v>265</v>
      </c>
      <c r="H8" s="55" t="s">
        <v>266</v>
      </c>
      <c r="I8" s="40"/>
      <c r="J8" s="40"/>
    </row>
    <row r="9" spans="4:10">
      <c r="E9" s="37"/>
      <c r="F9" s="52">
        <v>509067</v>
      </c>
      <c r="G9" s="40" t="s">
        <v>267</v>
      </c>
      <c r="H9" s="55" t="s">
        <v>268</v>
      </c>
      <c r="I9" s="40"/>
      <c r="J9" s="40"/>
    </row>
    <row r="10" spans="4:10">
      <c r="E10" s="37"/>
      <c r="F10" s="52">
        <v>509033</v>
      </c>
      <c r="G10" s="40" t="s">
        <v>269</v>
      </c>
      <c r="H10" s="57" t="s">
        <v>270</v>
      </c>
      <c r="I10" s="40"/>
      <c r="J10" s="40"/>
    </row>
    <row r="11" spans="4:10">
      <c r="E11" s="37"/>
      <c r="F11" s="52">
        <v>509070</v>
      </c>
      <c r="G11" s="40" t="s">
        <v>271</v>
      </c>
      <c r="H11" s="55" t="s">
        <v>272</v>
      </c>
      <c r="I11" s="40"/>
      <c r="J11" s="40"/>
    </row>
    <row r="12" spans="4:10">
      <c r="E12" s="37"/>
      <c r="F12" s="52">
        <v>509032</v>
      </c>
      <c r="G12" s="40" t="s">
        <v>273</v>
      </c>
      <c r="H12" s="55" t="s">
        <v>274</v>
      </c>
      <c r="I12" s="40"/>
      <c r="J12" s="40"/>
    </row>
    <row r="13" spans="4:10">
      <c r="E13" s="37"/>
      <c r="F13" s="52">
        <v>509069</v>
      </c>
      <c r="G13" s="40" t="s">
        <v>275</v>
      </c>
      <c r="H13" s="55" t="s">
        <v>276</v>
      </c>
      <c r="I13" s="40"/>
      <c r="J13" s="40"/>
    </row>
    <row r="14" spans="4:10">
      <c r="E14" s="37"/>
      <c r="F14" s="52">
        <v>509062</v>
      </c>
      <c r="G14" s="40" t="s">
        <v>277</v>
      </c>
      <c r="H14" s="55" t="s">
        <v>278</v>
      </c>
      <c r="I14" s="40"/>
      <c r="J14" s="40"/>
    </row>
    <row r="15" spans="4:10">
      <c r="E15" s="37"/>
      <c r="F15" s="52">
        <v>509063</v>
      </c>
      <c r="G15" s="40" t="s">
        <v>279</v>
      </c>
      <c r="H15" s="55" t="s">
        <v>280</v>
      </c>
      <c r="I15" s="40"/>
      <c r="J15" s="40"/>
    </row>
    <row r="16" spans="4:10">
      <c r="E16" s="37"/>
      <c r="F16" s="52">
        <v>509064</v>
      </c>
      <c r="G16" s="40" t="s">
        <v>281</v>
      </c>
      <c r="H16" s="55" t="s">
        <v>282</v>
      </c>
      <c r="I16" s="40"/>
      <c r="J16" s="40"/>
    </row>
    <row r="17" spans="2:10">
      <c r="E17" s="37"/>
      <c r="F17" s="52">
        <v>509065</v>
      </c>
      <c r="G17" s="40" t="s">
        <v>283</v>
      </c>
      <c r="H17" s="55" t="s">
        <v>284</v>
      </c>
      <c r="I17" s="40"/>
      <c r="J17" s="40"/>
    </row>
    <row r="18" spans="2:10">
      <c r="E18" s="37"/>
      <c r="F18" s="52">
        <v>509034</v>
      </c>
      <c r="G18" s="40" t="s">
        <v>285</v>
      </c>
      <c r="H18" s="40" t="s">
        <v>286</v>
      </c>
      <c r="I18" s="40"/>
      <c r="J18" s="58" t="s">
        <v>287</v>
      </c>
    </row>
    <row r="19" spans="2:10">
      <c r="E19" s="37"/>
      <c r="F19" s="52">
        <v>509071</v>
      </c>
      <c r="G19" s="40" t="s">
        <v>288</v>
      </c>
      <c r="H19" s="40" t="s">
        <v>289</v>
      </c>
      <c r="I19" s="40"/>
      <c r="J19" s="40"/>
    </row>
    <row r="20" spans="2:10">
      <c r="E20" s="37"/>
      <c r="F20" s="52">
        <v>509017</v>
      </c>
      <c r="G20" s="40" t="s">
        <v>290</v>
      </c>
      <c r="H20" s="40" t="s">
        <v>291</v>
      </c>
      <c r="I20" s="40"/>
      <c r="J20" s="40"/>
    </row>
    <row r="21" spans="2:10">
      <c r="E21" s="37"/>
      <c r="F21" s="52">
        <v>509054</v>
      </c>
      <c r="G21" s="40" t="s">
        <v>292</v>
      </c>
      <c r="H21" s="59" t="s">
        <v>293</v>
      </c>
      <c r="I21" s="40"/>
      <c r="J21" s="40"/>
    </row>
    <row r="22" spans="2:10">
      <c r="E22" s="51" t="s">
        <v>294</v>
      </c>
      <c r="F22" s="60">
        <v>509080</v>
      </c>
      <c r="G22" s="75" t="s">
        <v>409</v>
      </c>
      <c r="H22" s="55" t="s">
        <v>295</v>
      </c>
      <c r="I22" s="55"/>
      <c r="J22" s="55"/>
    </row>
    <row r="23" spans="2:10">
      <c r="E23" s="37"/>
      <c r="F23" s="60">
        <v>509081</v>
      </c>
      <c r="G23" s="75" t="s">
        <v>410</v>
      </c>
      <c r="H23" s="55" t="s">
        <v>221</v>
      </c>
      <c r="I23" s="55"/>
      <c r="J23" s="55"/>
    </row>
    <row r="24" spans="2:10">
      <c r="E24" s="37"/>
      <c r="F24" s="60">
        <v>509082</v>
      </c>
      <c r="G24" s="75" t="s">
        <v>411</v>
      </c>
      <c r="H24" s="55" t="s">
        <v>296</v>
      </c>
      <c r="I24" s="55"/>
      <c r="J24" s="55"/>
    </row>
    <row r="25" spans="2:10">
      <c r="B25" s="113"/>
      <c r="C25" s="113"/>
      <c r="E25" s="37"/>
      <c r="F25" s="60">
        <v>509083</v>
      </c>
      <c r="G25" s="75" t="s">
        <v>412</v>
      </c>
      <c r="H25" s="55" t="s">
        <v>297</v>
      </c>
      <c r="I25" s="55"/>
      <c r="J25" s="55"/>
    </row>
    <row r="26" spans="2:10">
      <c r="B26" s="113"/>
      <c r="C26" s="113"/>
      <c r="E26" s="37"/>
      <c r="F26" s="60">
        <v>502004</v>
      </c>
      <c r="G26" s="77" t="s">
        <v>413</v>
      </c>
      <c r="H26" s="55" t="s">
        <v>298</v>
      </c>
      <c r="I26" s="40"/>
      <c r="J26" s="40"/>
    </row>
    <row r="27" spans="2:10">
      <c r="B27" s="113"/>
      <c r="C27" s="113"/>
      <c r="E27" s="37"/>
      <c r="F27" s="60">
        <v>504010</v>
      </c>
      <c r="G27" s="75" t="s">
        <v>414</v>
      </c>
      <c r="H27" s="55" t="s">
        <v>299</v>
      </c>
      <c r="I27" s="40"/>
      <c r="J27" s="40"/>
    </row>
    <row r="28" spans="2:10" s="76" customFormat="1">
      <c r="B28" s="113"/>
      <c r="C28" s="113"/>
      <c r="D28" s="73" t="s">
        <v>831</v>
      </c>
      <c r="F28" s="114">
        <v>508039</v>
      </c>
      <c r="G28" s="59" t="s">
        <v>391</v>
      </c>
      <c r="H28" s="55" t="s">
        <v>828</v>
      </c>
      <c r="I28" s="75"/>
      <c r="J28" s="74"/>
    </row>
    <row r="29" spans="2:10" s="76" customFormat="1">
      <c r="B29" s="113"/>
      <c r="C29" s="113"/>
      <c r="F29" s="114">
        <v>508040</v>
      </c>
      <c r="G29" s="59" t="s">
        <v>392</v>
      </c>
      <c r="H29" s="55" t="s">
        <v>393</v>
      </c>
      <c r="I29" s="75"/>
      <c r="J29" s="74"/>
    </row>
    <row r="30" spans="2:10" s="76" customFormat="1">
      <c r="B30" s="113"/>
      <c r="C30" s="113"/>
      <c r="F30" s="114">
        <v>508042</v>
      </c>
      <c r="G30" s="59" t="s">
        <v>740</v>
      </c>
      <c r="H30" s="55" t="s">
        <v>829</v>
      </c>
      <c r="I30" s="75"/>
      <c r="J30" s="74"/>
    </row>
    <row r="31" spans="2:10" s="76" customFormat="1">
      <c r="B31" s="113"/>
      <c r="C31" s="113"/>
      <c r="F31" s="114">
        <v>508044</v>
      </c>
      <c r="G31" s="59" t="s">
        <v>832</v>
      </c>
      <c r="H31" s="55" t="s">
        <v>395</v>
      </c>
      <c r="I31" s="74"/>
      <c r="J31" s="75"/>
    </row>
    <row r="32" spans="2:10" s="76" customFormat="1">
      <c r="B32" s="113"/>
      <c r="C32" s="113"/>
      <c r="F32" s="114">
        <v>508045</v>
      </c>
      <c r="G32" s="59" t="s">
        <v>406</v>
      </c>
      <c r="H32" s="55" t="s">
        <v>827</v>
      </c>
      <c r="I32" s="75"/>
      <c r="J32" s="75"/>
    </row>
    <row r="33" spans="2:10" s="76" customFormat="1">
      <c r="B33" s="113"/>
      <c r="C33" s="113"/>
      <c r="F33" s="114">
        <v>508046</v>
      </c>
      <c r="G33" s="55" t="s">
        <v>760</v>
      </c>
      <c r="H33" s="55" t="s">
        <v>822</v>
      </c>
      <c r="I33" s="75"/>
      <c r="J33" s="75"/>
    </row>
    <row r="34" spans="2:10" s="76" customFormat="1">
      <c r="B34" s="113"/>
      <c r="C34" s="113"/>
      <c r="F34" s="114">
        <v>508047</v>
      </c>
      <c r="G34" s="55" t="s">
        <v>761</v>
      </c>
      <c r="H34" s="55" t="s">
        <v>823</v>
      </c>
      <c r="I34" s="75"/>
      <c r="J34" s="75"/>
    </row>
    <row r="35" spans="2:10" s="76" customFormat="1">
      <c r="B35" s="113"/>
      <c r="C35" s="113"/>
      <c r="F35" s="114">
        <v>508048</v>
      </c>
      <c r="G35" s="55" t="s">
        <v>733</v>
      </c>
      <c r="H35" s="55" t="s">
        <v>824</v>
      </c>
      <c r="I35" s="75"/>
      <c r="J35" s="75"/>
    </row>
    <row r="36" spans="2:10" s="76" customFormat="1">
      <c r="B36" s="113"/>
      <c r="C36" s="113"/>
      <c r="F36" s="114">
        <v>508049</v>
      </c>
      <c r="G36" s="55" t="s">
        <v>798</v>
      </c>
      <c r="H36" s="55" t="s">
        <v>825</v>
      </c>
      <c r="I36" s="75"/>
      <c r="J36" s="75"/>
    </row>
    <row r="37" spans="2:10">
      <c r="B37" s="113"/>
      <c r="C37" s="113"/>
      <c r="D37" s="73" t="s">
        <v>833</v>
      </c>
      <c r="F37" s="115">
        <v>506004</v>
      </c>
      <c r="G37" s="76" t="s">
        <v>651</v>
      </c>
      <c r="H37" s="76" t="s">
        <v>830</v>
      </c>
      <c r="I37" s="37"/>
      <c r="J37" s="37"/>
    </row>
    <row r="38" spans="2:10" s="113" customFormat="1">
      <c r="E38" s="76"/>
      <c r="F38" s="115"/>
      <c r="G38" s="76"/>
      <c r="H38" s="76"/>
      <c r="I38" s="37"/>
      <c r="J38" s="37"/>
    </row>
    <row r="39" spans="2:10">
      <c r="B39" s="113"/>
      <c r="C39" s="113"/>
      <c r="E39" s="37"/>
      <c r="F39" s="48" t="s">
        <v>300</v>
      </c>
      <c r="G39" s="37"/>
      <c r="H39" s="37"/>
      <c r="I39" s="37"/>
      <c r="J39" s="37"/>
    </row>
    <row r="40" spans="2:10">
      <c r="E40" s="37"/>
      <c r="F40" s="61" t="s">
        <v>301</v>
      </c>
      <c r="G40" s="37"/>
      <c r="H40" s="37"/>
      <c r="I40" s="37"/>
      <c r="J40" s="37"/>
    </row>
    <row r="41" spans="2:10">
      <c r="E41" s="37"/>
      <c r="F41" s="44">
        <v>509017</v>
      </c>
      <c r="G41" s="62" t="s">
        <v>302</v>
      </c>
      <c r="H41" s="63" t="s">
        <v>303</v>
      </c>
      <c r="I41" s="37"/>
      <c r="J41" s="37"/>
    </row>
    <row r="42" spans="2:10">
      <c r="E42" s="37"/>
      <c r="F42" s="54">
        <v>509029</v>
      </c>
      <c r="G42" s="54" t="s">
        <v>304</v>
      </c>
      <c r="H42" s="63" t="s">
        <v>305</v>
      </c>
      <c r="I42" s="44">
        <v>509084</v>
      </c>
      <c r="J42" s="62" t="s">
        <v>306</v>
      </c>
    </row>
    <row r="43" spans="2:10">
      <c r="E43" s="37"/>
      <c r="F43" s="54">
        <v>509066</v>
      </c>
      <c r="G43" s="54" t="s">
        <v>307</v>
      </c>
      <c r="H43" s="63" t="s">
        <v>308</v>
      </c>
      <c r="I43" s="44">
        <v>509084</v>
      </c>
      <c r="J43" s="62" t="s">
        <v>306</v>
      </c>
    </row>
    <row r="44" spans="2:10" ht="14.25">
      <c r="E44" s="37"/>
      <c r="F44" s="54">
        <v>509031</v>
      </c>
      <c r="G44" s="64" t="s">
        <v>309</v>
      </c>
      <c r="H44" s="63" t="s">
        <v>310</v>
      </c>
      <c r="I44" s="65">
        <v>207017</v>
      </c>
      <c r="J44" s="66" t="s">
        <v>311</v>
      </c>
    </row>
    <row r="45" spans="2:10" ht="14.25">
      <c r="E45" s="37"/>
      <c r="F45" s="54">
        <v>509068</v>
      </c>
      <c r="G45" s="54" t="s">
        <v>312</v>
      </c>
      <c r="H45" s="63" t="s">
        <v>313</v>
      </c>
      <c r="I45" s="65">
        <v>207018</v>
      </c>
      <c r="J45" s="66" t="s">
        <v>314</v>
      </c>
    </row>
    <row r="46" spans="2:10" s="78" customFormat="1">
      <c r="E46" s="37"/>
      <c r="H46" s="63"/>
      <c r="J46" s="37"/>
    </row>
    <row r="47" spans="2:10">
      <c r="E47" s="37"/>
      <c r="F47" s="45">
        <v>503001</v>
      </c>
      <c r="G47" s="67" t="s">
        <v>315</v>
      </c>
      <c r="H47" s="37"/>
      <c r="I47" s="37"/>
      <c r="J47" s="37"/>
    </row>
    <row r="48" spans="2:10">
      <c r="E48" s="37"/>
      <c r="F48" s="37"/>
      <c r="G48" s="68" t="s">
        <v>316</v>
      </c>
      <c r="H48" s="81" t="s">
        <v>417</v>
      </c>
      <c r="I48" s="37"/>
      <c r="J48" s="37"/>
    </row>
    <row r="49" spans="5:11">
      <c r="E49" s="76" t="s">
        <v>836</v>
      </c>
      <c r="F49" s="37"/>
      <c r="G49" s="117" t="s">
        <v>837</v>
      </c>
      <c r="H49" s="69" t="s">
        <v>317</v>
      </c>
      <c r="I49" s="37"/>
      <c r="J49" s="37"/>
    </row>
    <row r="50" spans="5:11">
      <c r="E50" s="37"/>
      <c r="F50" s="37"/>
      <c r="G50" s="37"/>
      <c r="H50" s="37"/>
      <c r="I50" s="37"/>
      <c r="J50" s="116"/>
      <c r="K50" s="116"/>
    </row>
    <row r="51" spans="5:11">
      <c r="E51" s="37"/>
      <c r="F51" s="37"/>
      <c r="G51" s="118" t="s">
        <v>838</v>
      </c>
      <c r="H51" s="106" t="s">
        <v>415</v>
      </c>
      <c r="I51" s="37"/>
      <c r="J51" s="116"/>
      <c r="K51" s="116"/>
    </row>
    <row r="52" spans="5:11">
      <c r="E52" s="37"/>
      <c r="F52" s="37"/>
      <c r="G52" s="118" t="s">
        <v>839</v>
      </c>
      <c r="H52" s="106" t="s">
        <v>730</v>
      </c>
      <c r="I52" s="37"/>
      <c r="J52" s="116"/>
      <c r="K52" s="116"/>
    </row>
    <row r="53" spans="5:11">
      <c r="E53" s="37"/>
      <c r="F53" s="37"/>
      <c r="G53" s="118" t="s">
        <v>840</v>
      </c>
      <c r="H53" s="106" t="s">
        <v>731</v>
      </c>
      <c r="I53" s="37"/>
      <c r="J53" s="116"/>
      <c r="K53" s="116"/>
    </row>
    <row r="54" spans="5:11">
      <c r="J54" s="116"/>
      <c r="K54" s="116"/>
    </row>
    <row r="55" spans="5:11">
      <c r="E55" s="76" t="s">
        <v>835</v>
      </c>
      <c r="J55" s="116"/>
      <c r="K55" s="116"/>
    </row>
    <row r="56" spans="5:11">
      <c r="G56" s="107">
        <v>731000</v>
      </c>
      <c r="H56" s="108" t="s">
        <v>416</v>
      </c>
      <c r="J56" s="116"/>
      <c r="K56" s="116"/>
    </row>
    <row r="57" spans="5:11">
      <c r="G57" s="79"/>
      <c r="H57" s="80"/>
      <c r="J57" s="116"/>
      <c r="K57" s="116"/>
    </row>
    <row r="58" spans="5:11">
      <c r="G58" s="107">
        <v>731001</v>
      </c>
      <c r="H58" s="106" t="s">
        <v>415</v>
      </c>
      <c r="J58" s="116"/>
      <c r="K58" s="116"/>
    </row>
    <row r="59" spans="5:11">
      <c r="G59" s="107">
        <v>731002</v>
      </c>
      <c r="H59" s="106" t="s">
        <v>732</v>
      </c>
      <c r="J59" s="116"/>
      <c r="K59" s="116"/>
    </row>
    <row r="60" spans="5:11">
      <c r="G60" s="107">
        <v>731005</v>
      </c>
      <c r="H60" s="106" t="s">
        <v>680</v>
      </c>
      <c r="J60" s="116"/>
      <c r="K60" s="116"/>
    </row>
    <row r="61" spans="5:11">
      <c r="J61" s="116"/>
      <c r="K61" s="116"/>
    </row>
    <row r="62" spans="5:11">
      <c r="J62" s="116"/>
      <c r="K62" s="116"/>
    </row>
    <row r="63" spans="5:11">
      <c r="G63" s="107">
        <v>732000</v>
      </c>
      <c r="H63" s="108" t="s">
        <v>416</v>
      </c>
      <c r="J63" s="116"/>
      <c r="K63" s="116"/>
    </row>
    <row r="64" spans="5:11">
      <c r="G64" s="79"/>
      <c r="H64" s="80"/>
    </row>
    <row r="65" spans="7:8">
      <c r="G65" s="107">
        <v>732001</v>
      </c>
      <c r="H65" s="106" t="s">
        <v>415</v>
      </c>
    </row>
    <row r="66" spans="7:8">
      <c r="G66" s="107">
        <v>732002</v>
      </c>
      <c r="H66" s="106" t="s">
        <v>732</v>
      </c>
    </row>
    <row r="67" spans="7:8">
      <c r="G67" s="107">
        <v>732005</v>
      </c>
      <c r="H67" s="106" t="s">
        <v>680</v>
      </c>
    </row>
    <row r="70" spans="7:8">
      <c r="G70" s="107">
        <v>733000</v>
      </c>
      <c r="H70" s="108" t="s">
        <v>416</v>
      </c>
    </row>
    <row r="71" spans="7:8">
      <c r="G71" s="79"/>
      <c r="H71" s="80"/>
    </row>
    <row r="72" spans="7:8">
      <c r="G72" s="107">
        <v>733001</v>
      </c>
      <c r="H72" s="106" t="s">
        <v>415</v>
      </c>
    </row>
    <row r="73" spans="7:8">
      <c r="G73" s="107">
        <v>733002</v>
      </c>
      <c r="H73" s="106" t="s">
        <v>732</v>
      </c>
    </row>
    <row r="74" spans="7:8">
      <c r="G74" s="107">
        <v>733005</v>
      </c>
      <c r="H74" s="106" t="s">
        <v>680</v>
      </c>
    </row>
    <row r="80" spans="7:8">
      <c r="G80" s="105"/>
      <c r="H80" s="105"/>
    </row>
    <row r="81" spans="7:8">
      <c r="G81" s="105"/>
      <c r="H81" s="105"/>
    </row>
    <row r="82" spans="7:8">
      <c r="G82" s="105"/>
      <c r="H82" s="105"/>
    </row>
    <row r="83" spans="7:8">
      <c r="G83" s="105"/>
      <c r="H83" s="105"/>
    </row>
    <row r="90" spans="7:8">
      <c r="G90" s="105"/>
      <c r="H90" s="105"/>
    </row>
    <row r="91" spans="7:8">
      <c r="G91" s="105"/>
      <c r="H91" s="105"/>
    </row>
    <row r="92" spans="7:8">
      <c r="G92" s="105"/>
      <c r="H92" s="105"/>
    </row>
    <row r="93" spans="7:8">
      <c r="G93" s="105"/>
      <c r="H93" s="105"/>
    </row>
    <row r="94" spans="7:8">
      <c r="G94" s="105"/>
      <c r="H94" s="105"/>
    </row>
    <row r="95" spans="7:8">
      <c r="G95" s="105"/>
      <c r="H95" s="105"/>
    </row>
    <row r="96" spans="7:8">
      <c r="G96" s="105"/>
      <c r="H96" s="105"/>
    </row>
    <row r="97" spans="7:8">
      <c r="G97" s="105"/>
      <c r="H97" s="105"/>
    </row>
    <row r="98" spans="7:8">
      <c r="G98" s="105"/>
      <c r="H98" s="105"/>
    </row>
    <row r="99" spans="7:8">
      <c r="G99" s="105"/>
      <c r="H99" s="105"/>
    </row>
    <row r="100" spans="7:8">
      <c r="G100" s="105"/>
      <c r="H100" s="105"/>
    </row>
    <row r="101" spans="7:8">
      <c r="G101" s="105"/>
      <c r="H101" s="105"/>
    </row>
    <row r="102" spans="7:8">
      <c r="G102" s="105"/>
      <c r="H102" s="105"/>
    </row>
    <row r="103" spans="7:8">
      <c r="G103" s="105"/>
      <c r="H103" s="105"/>
    </row>
    <row r="104" spans="7:8">
      <c r="G104" s="105"/>
      <c r="H104" s="105"/>
    </row>
    <row r="105" spans="7:8">
      <c r="G105" s="105"/>
      <c r="H105" s="105"/>
    </row>
    <row r="106" spans="7:8">
      <c r="G106" s="105"/>
      <c r="H106" s="105"/>
    </row>
    <row r="107" spans="7:8">
      <c r="G107" s="105"/>
      <c r="H107" s="105"/>
    </row>
    <row r="108" spans="7:8">
      <c r="G108" s="105"/>
      <c r="H108" s="105"/>
    </row>
  </sheetData>
  <phoneticPr fontId="14" type="noConversion"/>
  <conditionalFormatting sqref="F28:F36">
    <cfRule type="cellIs" dxfId="0" priority="4" stopIfTrue="1" operator="notEqual">
      <formula>INDIRECT("Dummy_for_Comparison1!"&amp;ADDRESS(ROW(),COLUMN()))</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E5:H27"/>
  <sheetViews>
    <sheetView workbookViewId="0">
      <selection activeCell="G19" sqref="G19"/>
    </sheetView>
  </sheetViews>
  <sheetFormatPr defaultRowHeight="13.5"/>
  <cols>
    <col min="7" max="7" width="112.25" bestFit="1" customWidth="1"/>
  </cols>
  <sheetData>
    <row r="5" spans="5:7">
      <c r="E5" s="42" t="s">
        <v>248</v>
      </c>
    </row>
    <row r="7" spans="5:7">
      <c r="E7" s="44">
        <v>509080</v>
      </c>
      <c r="F7" t="s">
        <v>220</v>
      </c>
      <c r="G7" t="s">
        <v>219</v>
      </c>
    </row>
    <row r="8" spans="5:7">
      <c r="E8" s="44">
        <v>509081</v>
      </c>
      <c r="F8" t="s">
        <v>222</v>
      </c>
      <c r="G8" t="s">
        <v>221</v>
      </c>
    </row>
    <row r="9" spans="5:7">
      <c r="E9" s="45">
        <v>501002</v>
      </c>
      <c r="F9" t="s">
        <v>228</v>
      </c>
      <c r="G9" t="s">
        <v>227</v>
      </c>
    </row>
    <row r="10" spans="5:7">
      <c r="E10" s="45">
        <v>501003</v>
      </c>
      <c r="F10" t="s">
        <v>230</v>
      </c>
      <c r="G10" t="s">
        <v>229</v>
      </c>
    </row>
    <row r="11" spans="5:7">
      <c r="E11" s="46">
        <v>502002</v>
      </c>
      <c r="F11" t="s">
        <v>232</v>
      </c>
      <c r="G11" t="s">
        <v>231</v>
      </c>
    </row>
    <row r="12" spans="5:7">
      <c r="E12" s="46">
        <v>502003</v>
      </c>
      <c r="F12" t="s">
        <v>234</v>
      </c>
      <c r="G12" t="s">
        <v>233</v>
      </c>
    </row>
    <row r="13" spans="5:7">
      <c r="E13" s="45">
        <v>503001</v>
      </c>
      <c r="F13" t="s">
        <v>238</v>
      </c>
      <c r="G13" t="s">
        <v>237</v>
      </c>
    </row>
    <row r="14" spans="5:7">
      <c r="E14" s="45">
        <v>503002</v>
      </c>
      <c r="F14" t="s">
        <v>240</v>
      </c>
      <c r="G14" t="s">
        <v>239</v>
      </c>
    </row>
    <row r="15" spans="5:7">
      <c r="E15" s="47">
        <v>504003</v>
      </c>
      <c r="F15" t="s">
        <v>242</v>
      </c>
      <c r="G15" t="s">
        <v>241</v>
      </c>
    </row>
    <row r="16" spans="5:7">
      <c r="E16" s="45">
        <v>506002</v>
      </c>
      <c r="F16" t="s">
        <v>244</v>
      </c>
      <c r="G16" t="s">
        <v>243</v>
      </c>
    </row>
    <row r="17" spans="5:8">
      <c r="E17" s="45">
        <v>506003</v>
      </c>
      <c r="F17" t="s">
        <v>168</v>
      </c>
      <c r="G17" t="s">
        <v>245</v>
      </c>
    </row>
    <row r="23" spans="5:8">
      <c r="E23" s="42" t="s">
        <v>249</v>
      </c>
    </row>
    <row r="25" spans="5:8">
      <c r="E25" s="46">
        <v>502004</v>
      </c>
      <c r="F25" t="s">
        <v>236</v>
      </c>
      <c r="G25" t="s">
        <v>235</v>
      </c>
      <c r="H25" s="42" t="s">
        <v>246</v>
      </c>
    </row>
    <row r="26" spans="5:8">
      <c r="E26" s="44">
        <v>509082</v>
      </c>
      <c r="F26" t="s">
        <v>224</v>
      </c>
      <c r="G26" t="s">
        <v>223</v>
      </c>
      <c r="H26" s="43" t="s">
        <v>247</v>
      </c>
    </row>
    <row r="27" spans="5:8">
      <c r="E27" s="44">
        <v>509083</v>
      </c>
      <c r="F27" t="s">
        <v>226</v>
      </c>
      <c r="G27" t="s">
        <v>225</v>
      </c>
      <c r="H27" s="42" t="s">
        <v>247</v>
      </c>
    </row>
  </sheetData>
  <phoneticPr fontId="14"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B3:I154"/>
  <sheetViews>
    <sheetView tabSelected="1" topLeftCell="B88" workbookViewId="0">
      <selection activeCell="G99" sqref="G99"/>
    </sheetView>
  </sheetViews>
  <sheetFormatPr defaultRowHeight="13.5"/>
  <cols>
    <col min="1" max="3" width="9" style="176"/>
    <col min="4" max="4" width="15.25" style="176" customWidth="1"/>
    <col min="5" max="5" width="30.375" style="176" customWidth="1"/>
    <col min="6" max="6" width="45.25" style="176" customWidth="1"/>
    <col min="7" max="7" width="41.5" style="176" customWidth="1"/>
    <col min="8" max="8" width="54.75" style="176" customWidth="1"/>
    <col min="9" max="9" width="14" style="176" customWidth="1"/>
    <col min="10" max="10" width="14.625" style="176" customWidth="1"/>
    <col min="11" max="11" width="13.875" style="176" bestFit="1" customWidth="1"/>
    <col min="12" max="13" width="11.625" style="176" bestFit="1" customWidth="1"/>
    <col min="14" max="14" width="9.5" style="176" bestFit="1" customWidth="1"/>
    <col min="15" max="15" width="11.375" style="176" bestFit="1" customWidth="1"/>
    <col min="16" max="16384" width="9" style="176"/>
  </cols>
  <sheetData>
    <row r="3" spans="2:9">
      <c r="B3" s="181" t="s">
        <v>1135</v>
      </c>
      <c r="C3" s="175" t="s">
        <v>1167</v>
      </c>
      <c r="D3" s="175" t="s">
        <v>1168</v>
      </c>
      <c r="E3" s="175" t="s">
        <v>1169</v>
      </c>
      <c r="F3" s="175" t="s">
        <v>1170</v>
      </c>
      <c r="G3" s="175" t="s">
        <v>1804</v>
      </c>
      <c r="H3" s="175" t="s">
        <v>1608</v>
      </c>
    </row>
    <row r="4" spans="2:9">
      <c r="B4" s="177" t="s">
        <v>1171</v>
      </c>
      <c r="C4" s="176">
        <v>1</v>
      </c>
      <c r="D4" s="104" t="s">
        <v>1172</v>
      </c>
      <c r="E4" s="104" t="s">
        <v>1173</v>
      </c>
      <c r="F4" s="104" t="s">
        <v>1174</v>
      </c>
      <c r="G4" s="104" t="s">
        <v>21</v>
      </c>
      <c r="H4" s="104" t="s">
        <v>1609</v>
      </c>
    </row>
    <row r="5" spans="2:9" ht="40.5">
      <c r="B5" s="177" t="s">
        <v>1171</v>
      </c>
      <c r="C5" s="176">
        <v>2</v>
      </c>
      <c r="D5" s="104" t="s">
        <v>912</v>
      </c>
      <c r="E5" s="104" t="s">
        <v>1175</v>
      </c>
      <c r="F5" s="104" t="s">
        <v>1176</v>
      </c>
      <c r="G5" s="104" t="s">
        <v>1805</v>
      </c>
      <c r="H5" s="104" t="s">
        <v>1610</v>
      </c>
    </row>
    <row r="6" spans="2:9" ht="40.5">
      <c r="B6" s="177" t="s">
        <v>1171</v>
      </c>
      <c r="C6" s="176">
        <v>3</v>
      </c>
      <c r="D6" s="104" t="s">
        <v>1217</v>
      </c>
      <c r="E6" s="104" t="s">
        <v>1184</v>
      </c>
      <c r="F6" s="104" t="s">
        <v>1178</v>
      </c>
      <c r="G6" s="104" t="s">
        <v>1806</v>
      </c>
      <c r="H6" s="104" t="s">
        <v>1611</v>
      </c>
      <c r="I6" s="178" t="s">
        <v>1233</v>
      </c>
    </row>
    <row r="7" spans="2:9" ht="45" customHeight="1">
      <c r="B7" s="177" t="s">
        <v>1179</v>
      </c>
      <c r="C7" s="176">
        <v>4</v>
      </c>
      <c r="D7" s="104" t="s">
        <v>917</v>
      </c>
      <c r="E7" s="104" t="s">
        <v>1180</v>
      </c>
      <c r="F7" s="104" t="s">
        <v>1181</v>
      </c>
      <c r="G7" s="104" t="s">
        <v>1807</v>
      </c>
      <c r="H7" s="104" t="s">
        <v>1612</v>
      </c>
    </row>
    <row r="8" spans="2:9" ht="30" customHeight="1">
      <c r="B8" s="177" t="s">
        <v>1182</v>
      </c>
      <c r="C8" s="176">
        <v>5</v>
      </c>
      <c r="D8" s="104" t="s">
        <v>920</v>
      </c>
      <c r="E8" s="104" t="s">
        <v>1180</v>
      </c>
      <c r="F8" s="104" t="s">
        <v>1183</v>
      </c>
      <c r="G8" s="104" t="s">
        <v>1808</v>
      </c>
      <c r="H8" s="104" t="s">
        <v>1613</v>
      </c>
    </row>
    <row r="9" spans="2:9" ht="40.5">
      <c r="B9" s="177" t="s">
        <v>564</v>
      </c>
      <c r="C9" s="176">
        <v>6</v>
      </c>
      <c r="D9" s="104" t="s">
        <v>921</v>
      </c>
      <c r="E9" s="104" t="s">
        <v>1184</v>
      </c>
      <c r="F9" s="104" t="s">
        <v>1239</v>
      </c>
      <c r="G9" s="104" t="s">
        <v>1809</v>
      </c>
      <c r="H9" s="104" t="s">
        <v>1614</v>
      </c>
    </row>
    <row r="10" spans="2:9" ht="27" customHeight="1">
      <c r="B10" s="177" t="s">
        <v>1185</v>
      </c>
      <c r="C10" s="176">
        <v>7</v>
      </c>
      <c r="D10" s="104" t="s">
        <v>582</v>
      </c>
      <c r="E10" s="104" t="s">
        <v>1186</v>
      </c>
      <c r="F10" s="104" t="s">
        <v>1187</v>
      </c>
      <c r="G10" s="104" t="s">
        <v>1810</v>
      </c>
      <c r="H10" s="104" t="s">
        <v>1615</v>
      </c>
    </row>
    <row r="11" spans="2:9" ht="54" customHeight="1">
      <c r="B11" s="177" t="s">
        <v>1188</v>
      </c>
      <c r="C11" s="177" t="s">
        <v>1189</v>
      </c>
      <c r="D11" s="104" t="s">
        <v>1190</v>
      </c>
      <c r="E11" s="104" t="s">
        <v>1180</v>
      </c>
      <c r="F11" s="104" t="s">
        <v>1191</v>
      </c>
      <c r="G11" s="104" t="s">
        <v>1811</v>
      </c>
      <c r="H11" s="179" t="s">
        <v>1616</v>
      </c>
    </row>
    <row r="14" spans="2:9">
      <c r="B14" s="181" t="s">
        <v>1192</v>
      </c>
      <c r="C14" s="175" t="s">
        <v>1167</v>
      </c>
      <c r="D14" s="175" t="s">
        <v>1168</v>
      </c>
      <c r="E14" s="175" t="s">
        <v>1169</v>
      </c>
      <c r="F14" s="175" t="s">
        <v>1170</v>
      </c>
      <c r="G14" s="175" t="s">
        <v>1804</v>
      </c>
      <c r="H14" s="175" t="s">
        <v>1608</v>
      </c>
    </row>
    <row r="15" spans="2:9">
      <c r="B15" s="177" t="s">
        <v>1171</v>
      </c>
      <c r="C15" s="176">
        <v>1</v>
      </c>
      <c r="D15" s="104" t="s">
        <v>71</v>
      </c>
      <c r="E15" s="104" t="s">
        <v>559</v>
      </c>
      <c r="F15" s="104" t="s">
        <v>584</v>
      </c>
      <c r="G15" s="104" t="s">
        <v>1812</v>
      </c>
      <c r="H15" s="104" t="s">
        <v>1617</v>
      </c>
    </row>
    <row r="16" spans="2:9" ht="27">
      <c r="B16" s="177" t="s">
        <v>1171</v>
      </c>
      <c r="C16" s="176">
        <v>2</v>
      </c>
      <c r="D16" s="104" t="s">
        <v>938</v>
      </c>
      <c r="E16" s="104" t="s">
        <v>1193</v>
      </c>
      <c r="F16" s="104" t="s">
        <v>1194</v>
      </c>
      <c r="G16" s="104" t="s">
        <v>1813</v>
      </c>
      <c r="H16" s="104" t="s">
        <v>1618</v>
      </c>
    </row>
    <row r="17" spans="2:9" ht="27">
      <c r="B17" s="224" t="s">
        <v>1171</v>
      </c>
      <c r="C17" s="225">
        <v>3</v>
      </c>
      <c r="D17" s="180" t="s">
        <v>562</v>
      </c>
      <c r="E17" s="180" t="s">
        <v>1195</v>
      </c>
      <c r="F17" s="180" t="s">
        <v>1196</v>
      </c>
      <c r="G17" s="180" t="s">
        <v>1814</v>
      </c>
      <c r="H17" s="180" t="s">
        <v>1619</v>
      </c>
    </row>
    <row r="18" spans="2:9" ht="40.5">
      <c r="B18" s="177" t="s">
        <v>1179</v>
      </c>
      <c r="C18" s="176">
        <v>4</v>
      </c>
      <c r="D18" s="104" t="s">
        <v>942</v>
      </c>
      <c r="E18" s="104" t="s">
        <v>1210</v>
      </c>
      <c r="F18" s="104" t="s">
        <v>1197</v>
      </c>
      <c r="G18" s="104" t="s">
        <v>1815</v>
      </c>
      <c r="H18" s="104" t="s">
        <v>1620</v>
      </c>
      <c r="I18" s="176" t="s">
        <v>1233</v>
      </c>
    </row>
    <row r="19" spans="2:9" ht="27">
      <c r="B19" s="177" t="s">
        <v>1182</v>
      </c>
      <c r="C19" s="176">
        <v>6</v>
      </c>
      <c r="D19" s="104" t="s">
        <v>937</v>
      </c>
      <c r="E19" s="104" t="s">
        <v>1198</v>
      </c>
      <c r="F19" s="104" t="s">
        <v>1199</v>
      </c>
      <c r="G19" s="104" t="s">
        <v>1816</v>
      </c>
      <c r="H19" s="104" t="s">
        <v>1621</v>
      </c>
    </row>
    <row r="20" spans="2:9" ht="40.5">
      <c r="B20" s="224" t="s">
        <v>564</v>
      </c>
      <c r="C20" s="225">
        <v>5</v>
      </c>
      <c r="D20" s="180" t="s">
        <v>561</v>
      </c>
      <c r="E20" s="180" t="s">
        <v>1210</v>
      </c>
      <c r="F20" s="180" t="s">
        <v>1231</v>
      </c>
      <c r="G20" s="180" t="s">
        <v>1232</v>
      </c>
      <c r="H20" s="180" t="s">
        <v>1622</v>
      </c>
      <c r="I20" s="176" t="s">
        <v>1235</v>
      </c>
    </row>
    <row r="21" spans="2:9" ht="29.25" customHeight="1">
      <c r="B21" s="177" t="s">
        <v>1185</v>
      </c>
      <c r="C21" s="176">
        <v>7</v>
      </c>
      <c r="D21" s="104" t="s">
        <v>587</v>
      </c>
      <c r="E21" s="104" t="s">
        <v>639</v>
      </c>
      <c r="F21" s="104" t="s">
        <v>1200</v>
      </c>
      <c r="G21" s="104" t="s">
        <v>1817</v>
      </c>
      <c r="H21" s="104" t="s">
        <v>1623</v>
      </c>
    </row>
    <row r="22" spans="2:9" ht="54">
      <c r="B22" s="177" t="s">
        <v>1188</v>
      </c>
      <c r="C22" s="177" t="s">
        <v>1189</v>
      </c>
      <c r="D22" s="104" t="s">
        <v>1238</v>
      </c>
      <c r="E22" s="104" t="s">
        <v>1201</v>
      </c>
      <c r="F22" s="104" t="s">
        <v>1224</v>
      </c>
      <c r="G22" s="104" t="s">
        <v>1818</v>
      </c>
      <c r="H22" s="104" t="s">
        <v>1624</v>
      </c>
    </row>
    <row r="24" spans="2:9">
      <c r="B24" s="181" t="s">
        <v>85</v>
      </c>
      <c r="C24" s="175" t="s">
        <v>1167</v>
      </c>
      <c r="D24" s="175" t="s">
        <v>1168</v>
      </c>
      <c r="E24" s="175" t="s">
        <v>1169</v>
      </c>
      <c r="F24" s="175" t="s">
        <v>1170</v>
      </c>
      <c r="G24" s="175" t="s">
        <v>1804</v>
      </c>
      <c r="H24" s="175" t="s">
        <v>1605</v>
      </c>
    </row>
    <row r="25" spans="2:9" ht="40.5">
      <c r="B25" s="177" t="s">
        <v>1171</v>
      </c>
      <c r="C25" s="176">
        <v>1</v>
      </c>
      <c r="D25" s="104" t="s">
        <v>178</v>
      </c>
      <c r="E25" s="104" t="s">
        <v>1173</v>
      </c>
      <c r="F25" s="104" t="s">
        <v>593</v>
      </c>
      <c r="G25" s="104" t="s">
        <v>1819</v>
      </c>
      <c r="H25" s="104" t="s">
        <v>1625</v>
      </c>
    </row>
    <row r="26" spans="2:9" ht="40.5">
      <c r="B26" s="177" t="s">
        <v>1171</v>
      </c>
      <c r="C26" s="176">
        <v>2</v>
      </c>
      <c r="D26" s="104" t="s">
        <v>563</v>
      </c>
      <c r="E26" s="104" t="s">
        <v>1175</v>
      </c>
      <c r="F26" s="104" t="s">
        <v>594</v>
      </c>
      <c r="G26" s="104" t="s">
        <v>686</v>
      </c>
      <c r="H26" s="104" t="s">
        <v>1626</v>
      </c>
    </row>
    <row r="27" spans="2:9" ht="27">
      <c r="B27" s="177" t="s">
        <v>1171</v>
      </c>
      <c r="C27" s="176">
        <v>3</v>
      </c>
      <c r="D27" s="104" t="s">
        <v>730</v>
      </c>
      <c r="E27" s="104" t="s">
        <v>1202</v>
      </c>
      <c r="F27" s="104" t="s">
        <v>595</v>
      </c>
      <c r="G27" s="104" t="s">
        <v>1820</v>
      </c>
      <c r="H27" s="104" t="s">
        <v>1606</v>
      </c>
    </row>
    <row r="28" spans="2:9" ht="40.5">
      <c r="B28" s="177" t="s">
        <v>1179</v>
      </c>
      <c r="C28" s="176">
        <v>4</v>
      </c>
      <c r="D28" s="104" t="s">
        <v>979</v>
      </c>
      <c r="E28" s="104" t="s">
        <v>1203</v>
      </c>
      <c r="F28" s="104" t="s">
        <v>1204</v>
      </c>
      <c r="G28" s="104" t="s">
        <v>1821</v>
      </c>
      <c r="H28" s="104" t="s">
        <v>1627</v>
      </c>
    </row>
    <row r="29" spans="2:9" ht="27">
      <c r="B29" s="177" t="s">
        <v>1182</v>
      </c>
      <c r="C29" s="176">
        <v>5</v>
      </c>
      <c r="D29" s="104" t="s">
        <v>983</v>
      </c>
      <c r="E29" s="104" t="s">
        <v>1205</v>
      </c>
      <c r="F29" s="104" t="s">
        <v>1206</v>
      </c>
      <c r="G29" s="104" t="s">
        <v>1822</v>
      </c>
      <c r="H29" s="104" t="s">
        <v>1628</v>
      </c>
    </row>
    <row r="30" spans="2:9" ht="40.5">
      <c r="B30" s="177" t="s">
        <v>564</v>
      </c>
      <c r="C30" s="176">
        <v>6</v>
      </c>
      <c r="D30" s="104" t="s">
        <v>680</v>
      </c>
      <c r="E30" s="104" t="s">
        <v>1180</v>
      </c>
      <c r="F30" s="104" t="s">
        <v>1207</v>
      </c>
      <c r="G30" s="104" t="s">
        <v>1823</v>
      </c>
      <c r="H30" s="104" t="s">
        <v>1629</v>
      </c>
    </row>
    <row r="31" spans="2:9" ht="27">
      <c r="B31" s="177" t="s">
        <v>1185</v>
      </c>
      <c r="C31" s="176">
        <v>7</v>
      </c>
      <c r="D31" s="104" t="s">
        <v>1208</v>
      </c>
      <c r="E31" s="104" t="s">
        <v>639</v>
      </c>
      <c r="F31" s="104" t="s">
        <v>596</v>
      </c>
      <c r="G31" s="104" t="s">
        <v>1824</v>
      </c>
      <c r="H31" s="104" t="s">
        <v>1630</v>
      </c>
    </row>
    <row r="32" spans="2:9" ht="67.5">
      <c r="B32" s="177" t="s">
        <v>1188</v>
      </c>
      <c r="C32" s="177" t="s">
        <v>1189</v>
      </c>
      <c r="D32" s="104" t="s">
        <v>1209</v>
      </c>
      <c r="E32" s="104" t="s">
        <v>1177</v>
      </c>
      <c r="F32" s="104" t="s">
        <v>1568</v>
      </c>
      <c r="G32" s="104" t="s">
        <v>1825</v>
      </c>
      <c r="H32" s="104" t="s">
        <v>1631</v>
      </c>
    </row>
    <row r="33" spans="2:9">
      <c r="I33" s="178"/>
    </row>
    <row r="34" spans="2:9">
      <c r="B34" s="181" t="s">
        <v>107</v>
      </c>
      <c r="C34" s="175" t="s">
        <v>1268</v>
      </c>
      <c r="D34" s="175" t="s">
        <v>1269</v>
      </c>
      <c r="E34" s="175" t="s">
        <v>1270</v>
      </c>
      <c r="F34" s="175" t="s">
        <v>1271</v>
      </c>
      <c r="G34" s="175" t="s">
        <v>1804</v>
      </c>
      <c r="H34" s="175" t="s">
        <v>1605</v>
      </c>
      <c r="I34" s="178"/>
    </row>
    <row r="35" spans="2:9">
      <c r="B35" s="177" t="s">
        <v>1272</v>
      </c>
      <c r="C35" s="176">
        <v>1</v>
      </c>
      <c r="D35" s="104" t="s">
        <v>1273</v>
      </c>
      <c r="E35" s="104" t="s">
        <v>1274</v>
      </c>
      <c r="F35" s="104" t="s">
        <v>1275</v>
      </c>
      <c r="G35" s="104" t="s">
        <v>194</v>
      </c>
      <c r="H35" s="104" t="s">
        <v>1607</v>
      </c>
      <c r="I35" s="178"/>
    </row>
    <row r="36" spans="2:9" ht="27">
      <c r="B36" s="177" t="s">
        <v>1276</v>
      </c>
      <c r="C36" s="176">
        <v>2</v>
      </c>
      <c r="D36" s="104" t="s">
        <v>1277</v>
      </c>
      <c r="E36" s="104" t="s">
        <v>1278</v>
      </c>
      <c r="F36" s="104" t="s">
        <v>1279</v>
      </c>
      <c r="G36" s="180" t="s">
        <v>1826</v>
      </c>
      <c r="H36" s="104" t="s">
        <v>1632</v>
      </c>
      <c r="I36" s="178"/>
    </row>
    <row r="37" spans="2:9" ht="40.5">
      <c r="B37" s="216" t="s">
        <v>1276</v>
      </c>
      <c r="C37" s="217">
        <v>3</v>
      </c>
      <c r="D37" s="219" t="s">
        <v>1280</v>
      </c>
      <c r="E37" s="219" t="s">
        <v>1281</v>
      </c>
      <c r="F37" s="219" t="s">
        <v>1282</v>
      </c>
      <c r="G37" s="219" t="s">
        <v>1827</v>
      </c>
      <c r="H37" s="219" t="s">
        <v>1633</v>
      </c>
      <c r="I37" s="178"/>
    </row>
    <row r="38" spans="2:9" ht="27">
      <c r="B38" s="220" t="s">
        <v>1276</v>
      </c>
      <c r="C38" s="221">
        <v>3</v>
      </c>
      <c r="D38" s="223" t="s">
        <v>1283</v>
      </c>
      <c r="E38" s="223" t="s">
        <v>1284</v>
      </c>
      <c r="F38" s="223" t="s">
        <v>1285</v>
      </c>
      <c r="G38" s="223" t="s">
        <v>1828</v>
      </c>
      <c r="H38" s="223" t="s">
        <v>1634</v>
      </c>
      <c r="I38" s="176" t="s">
        <v>1286</v>
      </c>
    </row>
    <row r="39" spans="2:9" ht="81">
      <c r="B39" s="224" t="s">
        <v>1287</v>
      </c>
      <c r="C39" s="225">
        <v>4</v>
      </c>
      <c r="D39" s="180" t="s">
        <v>1288</v>
      </c>
      <c r="E39" s="180" t="s">
        <v>1289</v>
      </c>
      <c r="F39" s="180" t="s">
        <v>1290</v>
      </c>
      <c r="G39" s="180" t="s">
        <v>1829</v>
      </c>
      <c r="H39" s="229" t="s">
        <v>1671</v>
      </c>
      <c r="I39" s="176" t="s">
        <v>1291</v>
      </c>
    </row>
    <row r="40" spans="2:9" ht="40.5">
      <c r="B40" s="224" t="s">
        <v>1292</v>
      </c>
      <c r="C40" s="225">
        <v>5</v>
      </c>
      <c r="D40" s="180" t="s">
        <v>1293</v>
      </c>
      <c r="E40" s="180" t="s">
        <v>1289</v>
      </c>
      <c r="F40" s="180" t="s">
        <v>1294</v>
      </c>
      <c r="G40" s="180" t="s">
        <v>1830</v>
      </c>
      <c r="H40" s="305" t="s">
        <v>1672</v>
      </c>
      <c r="I40" s="178"/>
    </row>
    <row r="41" spans="2:9" ht="54">
      <c r="B41" s="224" t="s">
        <v>1295</v>
      </c>
      <c r="C41" s="225">
        <v>6</v>
      </c>
      <c r="D41" s="180" t="s">
        <v>1296</v>
      </c>
      <c r="E41" s="180" t="s">
        <v>1297</v>
      </c>
      <c r="F41" s="180" t="s">
        <v>1298</v>
      </c>
      <c r="G41" s="180" t="s">
        <v>1831</v>
      </c>
      <c r="H41" s="180" t="s">
        <v>1635</v>
      </c>
    </row>
    <row r="42" spans="2:9">
      <c r="B42" s="177" t="s">
        <v>1299</v>
      </c>
      <c r="C42" s="176">
        <v>7</v>
      </c>
      <c r="D42" s="104" t="s">
        <v>1300</v>
      </c>
      <c r="E42" s="104" t="s">
        <v>1301</v>
      </c>
      <c r="F42" s="104" t="s">
        <v>1302</v>
      </c>
      <c r="G42" s="104" t="s">
        <v>1832</v>
      </c>
      <c r="H42" s="104" t="s">
        <v>1636</v>
      </c>
    </row>
    <row r="43" spans="2:9" ht="54">
      <c r="B43" s="177" t="s">
        <v>1303</v>
      </c>
      <c r="C43" s="177" t="s">
        <v>1304</v>
      </c>
      <c r="D43" s="104" t="s">
        <v>1305</v>
      </c>
      <c r="E43" s="104" t="s">
        <v>1306</v>
      </c>
      <c r="F43" s="104" t="s">
        <v>1307</v>
      </c>
      <c r="G43" s="104" t="s">
        <v>1833</v>
      </c>
      <c r="H43" s="104" t="s">
        <v>1637</v>
      </c>
    </row>
    <row r="45" spans="2:9">
      <c r="B45" s="181" t="s">
        <v>126</v>
      </c>
      <c r="C45" s="175" t="s">
        <v>1308</v>
      </c>
      <c r="D45" s="175" t="s">
        <v>1309</v>
      </c>
      <c r="E45" s="175" t="s">
        <v>1310</v>
      </c>
      <c r="F45" s="175" t="s">
        <v>1311</v>
      </c>
      <c r="G45" s="175" t="s">
        <v>1804</v>
      </c>
      <c r="H45" s="175" t="s">
        <v>1638</v>
      </c>
    </row>
    <row r="46" spans="2:9" ht="27">
      <c r="B46" s="177" t="s">
        <v>1276</v>
      </c>
      <c r="C46" s="176">
        <v>1</v>
      </c>
      <c r="D46" s="104" t="s">
        <v>1312</v>
      </c>
      <c r="E46" s="104" t="s">
        <v>1274</v>
      </c>
      <c r="F46" s="104" t="s">
        <v>130</v>
      </c>
      <c r="G46" s="104" t="s">
        <v>131</v>
      </c>
      <c r="H46" s="104" t="s">
        <v>1639</v>
      </c>
      <c r="I46" s="178"/>
    </row>
    <row r="47" spans="2:9" ht="27">
      <c r="B47" s="177" t="s">
        <v>1276</v>
      </c>
      <c r="C47" s="176">
        <v>2</v>
      </c>
      <c r="D47" s="104" t="s">
        <v>132</v>
      </c>
      <c r="E47" s="104" t="s">
        <v>1313</v>
      </c>
      <c r="F47" s="104" t="s">
        <v>1314</v>
      </c>
      <c r="G47" s="104" t="s">
        <v>1834</v>
      </c>
      <c r="H47" s="104" t="s">
        <v>1640</v>
      </c>
    </row>
    <row r="48" spans="2:9">
      <c r="B48" s="177" t="s">
        <v>1315</v>
      </c>
      <c r="C48" s="176">
        <v>3</v>
      </c>
      <c r="D48" s="104" t="s">
        <v>1316</v>
      </c>
      <c r="E48" s="104" t="s">
        <v>1317</v>
      </c>
      <c r="F48" s="104" t="s">
        <v>1318</v>
      </c>
      <c r="G48" s="104" t="s">
        <v>1835</v>
      </c>
      <c r="H48" s="104" t="s">
        <v>1641</v>
      </c>
    </row>
    <row r="49" spans="2:9" ht="40.5">
      <c r="B49" s="177" t="s">
        <v>1287</v>
      </c>
      <c r="C49" s="176">
        <v>4</v>
      </c>
      <c r="D49" s="104" t="s">
        <v>1319</v>
      </c>
      <c r="E49" s="104" t="s">
        <v>1289</v>
      </c>
      <c r="F49" s="104" t="s">
        <v>1320</v>
      </c>
      <c r="G49" s="104" t="s">
        <v>1836</v>
      </c>
      <c r="H49" s="104" t="s">
        <v>1642</v>
      </c>
    </row>
    <row r="50" spans="2:9" ht="40.5">
      <c r="B50" s="177" t="s">
        <v>1292</v>
      </c>
      <c r="C50" s="176">
        <v>5</v>
      </c>
      <c r="D50" s="293" t="s">
        <v>1321</v>
      </c>
      <c r="E50" s="293" t="s">
        <v>1322</v>
      </c>
      <c r="F50" s="293" t="s">
        <v>1323</v>
      </c>
      <c r="G50" s="293" t="s">
        <v>1837</v>
      </c>
      <c r="H50" s="293" t="s">
        <v>1643</v>
      </c>
    </row>
    <row r="51" spans="2:9" ht="27">
      <c r="B51" s="297" t="s">
        <v>1295</v>
      </c>
      <c r="C51" s="298">
        <v>6</v>
      </c>
      <c r="D51" s="298" t="s">
        <v>1324</v>
      </c>
      <c r="E51" s="298" t="s">
        <v>1325</v>
      </c>
      <c r="F51" s="298" t="s">
        <v>1326</v>
      </c>
      <c r="G51" s="298" t="s">
        <v>1838</v>
      </c>
      <c r="H51" s="299" t="s">
        <v>1644</v>
      </c>
    </row>
    <row r="52" spans="2:9">
      <c r="B52" s="177" t="s">
        <v>1299</v>
      </c>
      <c r="C52" s="176">
        <v>7</v>
      </c>
      <c r="D52" s="294" t="s">
        <v>1327</v>
      </c>
      <c r="E52" s="294" t="s">
        <v>639</v>
      </c>
      <c r="F52" s="294" t="s">
        <v>1328</v>
      </c>
      <c r="G52" s="294" t="s">
        <v>1839</v>
      </c>
      <c r="H52" s="294" t="s">
        <v>1645</v>
      </c>
    </row>
    <row r="53" spans="2:9" ht="54">
      <c r="B53" s="177" t="s">
        <v>1303</v>
      </c>
      <c r="C53" s="177" t="s">
        <v>1304</v>
      </c>
      <c r="D53" s="104" t="s">
        <v>1329</v>
      </c>
      <c r="E53" s="104" t="s">
        <v>1322</v>
      </c>
      <c r="F53" s="104" t="s">
        <v>1330</v>
      </c>
      <c r="G53" s="104" t="s">
        <v>1840</v>
      </c>
      <c r="H53" s="104" t="s">
        <v>1646</v>
      </c>
    </row>
    <row r="55" spans="2:9">
      <c r="B55" s="181" t="s">
        <v>148</v>
      </c>
      <c r="C55" s="175" t="s">
        <v>1308</v>
      </c>
      <c r="D55" s="175" t="s">
        <v>1309</v>
      </c>
      <c r="E55" s="175" t="s">
        <v>1310</v>
      </c>
      <c r="F55" s="175" t="s">
        <v>1311</v>
      </c>
      <c r="G55" s="175" t="s">
        <v>1804</v>
      </c>
      <c r="H55" s="175" t="s">
        <v>1638</v>
      </c>
      <c r="I55" s="178"/>
    </row>
    <row r="56" spans="2:9" ht="27">
      <c r="B56" s="177" t="s">
        <v>1276</v>
      </c>
      <c r="C56" s="176">
        <v>1</v>
      </c>
      <c r="D56" s="104" t="s">
        <v>568</v>
      </c>
      <c r="E56" s="104" t="s">
        <v>1274</v>
      </c>
      <c r="F56" s="104" t="s">
        <v>152</v>
      </c>
      <c r="G56" s="104" t="s">
        <v>1841</v>
      </c>
      <c r="H56" s="104" t="s">
        <v>1647</v>
      </c>
    </row>
    <row r="57" spans="2:9" ht="27">
      <c r="B57" s="177" t="s">
        <v>1276</v>
      </c>
      <c r="C57" s="176">
        <v>2</v>
      </c>
      <c r="D57" s="104" t="s">
        <v>153</v>
      </c>
      <c r="E57" s="104" t="s">
        <v>1278</v>
      </c>
      <c r="F57" s="104" t="s">
        <v>155</v>
      </c>
      <c r="G57" s="104" t="s">
        <v>1842</v>
      </c>
      <c r="H57" s="104" t="s">
        <v>1648</v>
      </c>
    </row>
    <row r="58" spans="2:9" ht="27">
      <c r="B58" s="177" t="s">
        <v>1276</v>
      </c>
      <c r="C58" s="176">
        <v>3</v>
      </c>
      <c r="D58" s="104" t="s">
        <v>1331</v>
      </c>
      <c r="E58" s="104" t="s">
        <v>1332</v>
      </c>
      <c r="F58" s="104" t="s">
        <v>159</v>
      </c>
      <c r="G58" s="104" t="s">
        <v>1843</v>
      </c>
      <c r="H58" s="104" t="s">
        <v>1649</v>
      </c>
      <c r="I58" s="176" t="s">
        <v>1234</v>
      </c>
    </row>
    <row r="59" spans="2:9" ht="27">
      <c r="B59" s="177" t="s">
        <v>1287</v>
      </c>
      <c r="C59" s="176">
        <v>4</v>
      </c>
      <c r="D59" s="104" t="s">
        <v>1333</v>
      </c>
      <c r="E59" s="104" t="s">
        <v>1334</v>
      </c>
      <c r="F59" s="104" t="s">
        <v>1335</v>
      </c>
      <c r="G59" s="104" t="s">
        <v>1844</v>
      </c>
      <c r="H59" s="104" t="s">
        <v>1650</v>
      </c>
    </row>
    <row r="60" spans="2:9" ht="54">
      <c r="B60" s="177" t="s">
        <v>1292</v>
      </c>
      <c r="C60" s="176">
        <v>5</v>
      </c>
      <c r="D60" s="104" t="s">
        <v>1336</v>
      </c>
      <c r="E60" s="104" t="s">
        <v>1297</v>
      </c>
      <c r="F60" s="104" t="s">
        <v>1337</v>
      </c>
      <c r="G60" s="104" t="s">
        <v>1845</v>
      </c>
      <c r="H60" s="104" t="s">
        <v>1651</v>
      </c>
    </row>
    <row r="61" spans="2:9" ht="27">
      <c r="B61" s="177" t="s">
        <v>1295</v>
      </c>
      <c r="C61" s="176">
        <v>6</v>
      </c>
      <c r="D61" s="104" t="s">
        <v>1338</v>
      </c>
      <c r="E61" s="104" t="s">
        <v>1325</v>
      </c>
      <c r="F61" s="104" t="s">
        <v>1339</v>
      </c>
      <c r="G61" s="104" t="s">
        <v>1846</v>
      </c>
      <c r="H61" s="104" t="s">
        <v>1639</v>
      </c>
    </row>
    <row r="62" spans="2:9">
      <c r="B62" s="177" t="s">
        <v>1299</v>
      </c>
      <c r="C62" s="176">
        <v>7</v>
      </c>
      <c r="D62" s="104" t="s">
        <v>166</v>
      </c>
      <c r="E62" s="104" t="s">
        <v>639</v>
      </c>
      <c r="F62" s="104" t="s">
        <v>1340</v>
      </c>
      <c r="G62" s="104" t="s">
        <v>1847</v>
      </c>
      <c r="H62" s="104" t="s">
        <v>1652</v>
      </c>
    </row>
    <row r="63" spans="2:9" ht="54">
      <c r="B63" s="177" t="s">
        <v>1303</v>
      </c>
      <c r="C63" s="177" t="s">
        <v>1304</v>
      </c>
      <c r="D63" s="104" t="s">
        <v>1341</v>
      </c>
      <c r="E63" s="104" t="s">
        <v>1297</v>
      </c>
      <c r="F63" s="104" t="s">
        <v>1342</v>
      </c>
      <c r="G63" s="104" t="s">
        <v>1848</v>
      </c>
      <c r="H63" s="104" t="s">
        <v>1653</v>
      </c>
    </row>
    <row r="64" spans="2:9">
      <c r="I64" s="178"/>
    </row>
    <row r="65" spans="2:9">
      <c r="B65" s="181" t="s">
        <v>1343</v>
      </c>
      <c r="C65" s="175" t="s">
        <v>1308</v>
      </c>
      <c r="D65" s="175" t="s">
        <v>1309</v>
      </c>
      <c r="E65" s="175" t="s">
        <v>1310</v>
      </c>
      <c r="F65" s="175" t="s">
        <v>1311</v>
      </c>
      <c r="G65" s="175" t="s">
        <v>1804</v>
      </c>
      <c r="H65" s="175" t="s">
        <v>1638</v>
      </c>
    </row>
    <row r="66" spans="2:9" ht="27">
      <c r="B66" s="177" t="s">
        <v>1276</v>
      </c>
      <c r="C66" s="176">
        <v>1</v>
      </c>
      <c r="D66" s="179" t="s">
        <v>1344</v>
      </c>
      <c r="E66" s="104" t="s">
        <v>1274</v>
      </c>
      <c r="F66" s="104" t="s">
        <v>1345</v>
      </c>
      <c r="G66" s="104" t="s">
        <v>1849</v>
      </c>
      <c r="H66" s="104" t="s">
        <v>1639</v>
      </c>
      <c r="I66" s="178"/>
    </row>
    <row r="67" spans="2:9" ht="27">
      <c r="B67" s="177" t="s">
        <v>1276</v>
      </c>
      <c r="C67" s="176">
        <v>2</v>
      </c>
      <c r="D67" s="179" t="s">
        <v>1346</v>
      </c>
      <c r="E67" s="104" t="s">
        <v>1278</v>
      </c>
      <c r="F67" s="179" t="s">
        <v>1347</v>
      </c>
      <c r="G67" s="104" t="s">
        <v>1850</v>
      </c>
      <c r="H67" s="104" t="s">
        <v>1654</v>
      </c>
    </row>
    <row r="68" spans="2:9" ht="27">
      <c r="B68" s="177" t="s">
        <v>1276</v>
      </c>
      <c r="C68" s="176">
        <v>3</v>
      </c>
      <c r="D68" s="179" t="s">
        <v>1348</v>
      </c>
      <c r="E68" s="104" t="s">
        <v>1332</v>
      </c>
      <c r="F68" s="104" t="s">
        <v>1349</v>
      </c>
      <c r="G68" s="104" t="s">
        <v>1851</v>
      </c>
      <c r="H68" s="104" t="s">
        <v>1655</v>
      </c>
      <c r="I68" s="176" t="s">
        <v>1350</v>
      </c>
    </row>
    <row r="69" spans="2:9" ht="27">
      <c r="B69" s="177" t="s">
        <v>1287</v>
      </c>
      <c r="C69" s="176">
        <v>4</v>
      </c>
      <c r="D69" s="179" t="s">
        <v>1351</v>
      </c>
      <c r="E69" s="104" t="s">
        <v>1352</v>
      </c>
      <c r="F69" s="104" t="s">
        <v>1353</v>
      </c>
      <c r="G69" s="104" t="s">
        <v>1852</v>
      </c>
      <c r="H69" s="104" t="s">
        <v>1656</v>
      </c>
    </row>
    <row r="70" spans="2:9" ht="27">
      <c r="B70" s="216" t="s">
        <v>1292</v>
      </c>
      <c r="C70" s="217">
        <v>5</v>
      </c>
      <c r="D70" s="300" t="s">
        <v>1354</v>
      </c>
      <c r="E70" s="219" t="s">
        <v>1334</v>
      </c>
      <c r="F70" s="219" t="s">
        <v>1355</v>
      </c>
      <c r="G70" s="219" t="s">
        <v>1844</v>
      </c>
      <c r="H70" s="219" t="s">
        <v>1657</v>
      </c>
    </row>
    <row r="71" spans="2:9" ht="40.5">
      <c r="B71" s="220" t="s">
        <v>1292</v>
      </c>
      <c r="C71" s="221">
        <v>5</v>
      </c>
      <c r="D71" s="301" t="s">
        <v>1223</v>
      </c>
      <c r="E71" s="223" t="s">
        <v>1325</v>
      </c>
      <c r="F71" s="223" t="s">
        <v>1356</v>
      </c>
      <c r="G71" s="223" t="s">
        <v>1853</v>
      </c>
      <c r="H71" s="223" t="s">
        <v>1658</v>
      </c>
      <c r="I71" s="176" t="s">
        <v>1357</v>
      </c>
    </row>
    <row r="72" spans="2:9" ht="40.5">
      <c r="B72" s="177" t="s">
        <v>1295</v>
      </c>
      <c r="C72" s="176">
        <v>6</v>
      </c>
      <c r="D72" s="179" t="s">
        <v>1358</v>
      </c>
      <c r="E72" s="104" t="s">
        <v>1297</v>
      </c>
      <c r="F72" s="104" t="s">
        <v>1359</v>
      </c>
      <c r="G72" s="104" t="s">
        <v>1854</v>
      </c>
      <c r="H72" s="104" t="s">
        <v>1659</v>
      </c>
      <c r="I72" s="225" t="s">
        <v>1360</v>
      </c>
    </row>
    <row r="73" spans="2:9" ht="27">
      <c r="B73" s="177" t="s">
        <v>1299</v>
      </c>
      <c r="C73" s="176">
        <v>7</v>
      </c>
      <c r="D73" s="179" t="s">
        <v>1361</v>
      </c>
      <c r="E73" s="104" t="s">
        <v>639</v>
      </c>
      <c r="F73" s="104" t="s">
        <v>1362</v>
      </c>
      <c r="G73" s="104" t="s">
        <v>1855</v>
      </c>
      <c r="H73" s="104" t="s">
        <v>1660</v>
      </c>
    </row>
    <row r="74" spans="2:9" ht="67.5">
      <c r="B74" s="177" t="s">
        <v>1303</v>
      </c>
      <c r="C74" s="177" t="s">
        <v>1304</v>
      </c>
      <c r="D74" s="179" t="s">
        <v>1363</v>
      </c>
      <c r="E74" s="104" t="s">
        <v>1322</v>
      </c>
      <c r="F74" s="104" t="s">
        <v>1364</v>
      </c>
      <c r="G74" s="104" t="s">
        <v>1856</v>
      </c>
      <c r="H74" s="104" t="s">
        <v>1661</v>
      </c>
    </row>
    <row r="75" spans="2:9">
      <c r="D75" s="182"/>
    </row>
    <row r="76" spans="2:9">
      <c r="B76" s="181" t="s">
        <v>570</v>
      </c>
      <c r="C76" s="175" t="s">
        <v>1308</v>
      </c>
      <c r="D76" s="183" t="s">
        <v>1309</v>
      </c>
      <c r="E76" s="175" t="s">
        <v>1310</v>
      </c>
      <c r="F76" s="175" t="s">
        <v>1311</v>
      </c>
      <c r="G76" s="175" t="s">
        <v>1804</v>
      </c>
      <c r="H76" s="175" t="s">
        <v>1638</v>
      </c>
    </row>
    <row r="77" spans="2:9">
      <c r="B77" s="177" t="s">
        <v>1276</v>
      </c>
      <c r="C77" s="176">
        <v>1</v>
      </c>
      <c r="D77" s="179" t="s">
        <v>1365</v>
      </c>
      <c r="E77" s="104" t="s">
        <v>1274</v>
      </c>
      <c r="F77" s="104" t="s">
        <v>1366</v>
      </c>
      <c r="G77" s="104" t="s">
        <v>1857</v>
      </c>
      <c r="H77" s="104" t="s">
        <v>1662</v>
      </c>
    </row>
    <row r="78" spans="2:9" ht="40.5">
      <c r="B78" s="177" t="s">
        <v>1276</v>
      </c>
      <c r="C78" s="176">
        <v>2</v>
      </c>
      <c r="D78" s="88" t="s">
        <v>1367</v>
      </c>
      <c r="E78" s="104" t="s">
        <v>1368</v>
      </c>
      <c r="F78" s="104" t="s">
        <v>1369</v>
      </c>
      <c r="G78" s="104" t="s">
        <v>1858</v>
      </c>
      <c r="H78" s="104" t="s">
        <v>1663</v>
      </c>
    </row>
    <row r="79" spans="2:9" ht="27">
      <c r="B79" s="177" t="s">
        <v>1276</v>
      </c>
      <c r="C79" s="176">
        <v>3</v>
      </c>
      <c r="D79" s="88" t="s">
        <v>1370</v>
      </c>
      <c r="E79" s="104" t="s">
        <v>1371</v>
      </c>
      <c r="F79" s="104" t="s">
        <v>1372</v>
      </c>
      <c r="G79" s="104" t="s">
        <v>1859</v>
      </c>
      <c r="H79" s="104" t="s">
        <v>1641</v>
      </c>
    </row>
    <row r="80" spans="2:9" ht="40.5">
      <c r="B80" s="177" t="s">
        <v>1287</v>
      </c>
      <c r="C80" s="176">
        <v>4</v>
      </c>
      <c r="D80" s="88" t="s">
        <v>1373</v>
      </c>
      <c r="E80" s="104" t="s">
        <v>1371</v>
      </c>
      <c r="F80" s="104" t="s">
        <v>1374</v>
      </c>
      <c r="G80" s="104" t="s">
        <v>1860</v>
      </c>
      <c r="H80" s="104" t="s">
        <v>1664</v>
      </c>
    </row>
    <row r="81" spans="2:9" ht="40.5">
      <c r="B81" s="177" t="s">
        <v>1292</v>
      </c>
      <c r="C81" s="176">
        <v>5</v>
      </c>
      <c r="D81" s="179" t="s">
        <v>1375</v>
      </c>
      <c r="E81" s="104" t="s">
        <v>1376</v>
      </c>
      <c r="F81" s="104" t="s">
        <v>1377</v>
      </c>
      <c r="G81" s="104" t="s">
        <v>1861</v>
      </c>
      <c r="H81" s="104" t="s">
        <v>1665</v>
      </c>
      <c r="I81" s="176" t="s">
        <v>1378</v>
      </c>
    </row>
    <row r="82" spans="2:9" ht="54">
      <c r="B82" s="177" t="s">
        <v>1295</v>
      </c>
      <c r="C82" s="176">
        <v>6</v>
      </c>
      <c r="D82" s="179" t="s">
        <v>1379</v>
      </c>
      <c r="E82" s="104" t="s">
        <v>1289</v>
      </c>
      <c r="F82" s="104" t="s">
        <v>1380</v>
      </c>
      <c r="G82" s="104" t="s">
        <v>1862</v>
      </c>
      <c r="H82" s="104" t="s">
        <v>1666</v>
      </c>
    </row>
    <row r="83" spans="2:9" ht="27">
      <c r="B83" s="177" t="s">
        <v>1299</v>
      </c>
      <c r="C83" s="176">
        <v>7</v>
      </c>
      <c r="D83" s="179" t="s">
        <v>1381</v>
      </c>
      <c r="E83" s="104" t="s">
        <v>639</v>
      </c>
      <c r="F83" s="104" t="s">
        <v>1382</v>
      </c>
      <c r="G83" s="104" t="s">
        <v>1863</v>
      </c>
      <c r="H83" s="104" t="s">
        <v>1667</v>
      </c>
    </row>
    <row r="84" spans="2:9" ht="54">
      <c r="B84" s="177" t="s">
        <v>1303</v>
      </c>
      <c r="C84" s="177" t="s">
        <v>1304</v>
      </c>
      <c r="D84" s="184" t="s">
        <v>1383</v>
      </c>
      <c r="E84" s="104" t="s">
        <v>1368</v>
      </c>
      <c r="F84" s="104" t="s">
        <v>1384</v>
      </c>
      <c r="G84" s="104" t="s">
        <v>1864</v>
      </c>
      <c r="H84" s="104" t="s">
        <v>1668</v>
      </c>
    </row>
    <row r="85" spans="2:9">
      <c r="D85" s="182"/>
      <c r="I85" s="178"/>
    </row>
    <row r="86" spans="2:9">
      <c r="B86" s="181" t="s">
        <v>1385</v>
      </c>
      <c r="C86" s="175" t="s">
        <v>1308</v>
      </c>
      <c r="D86" s="183" t="s">
        <v>1309</v>
      </c>
      <c r="E86" s="175" t="s">
        <v>1310</v>
      </c>
      <c r="F86" s="175" t="s">
        <v>1311</v>
      </c>
      <c r="G86" s="175" t="s">
        <v>1804</v>
      </c>
      <c r="H86" s="175" t="s">
        <v>1638</v>
      </c>
      <c r="I86" s="178"/>
    </row>
    <row r="87" spans="2:9" ht="27">
      <c r="B87" s="177" t="s">
        <v>1276</v>
      </c>
      <c r="C87" s="176">
        <v>1</v>
      </c>
      <c r="D87" s="179" t="s">
        <v>1386</v>
      </c>
      <c r="E87" s="104" t="s">
        <v>1274</v>
      </c>
      <c r="F87" s="104" t="s">
        <v>1387</v>
      </c>
      <c r="G87" s="104" t="s">
        <v>1865</v>
      </c>
      <c r="H87" s="104" t="s">
        <v>1669</v>
      </c>
      <c r="I87" s="178"/>
    </row>
    <row r="88" spans="2:9" ht="54">
      <c r="B88" s="177" t="s">
        <v>1276</v>
      </c>
      <c r="C88" s="176">
        <v>2</v>
      </c>
      <c r="D88" s="88" t="s">
        <v>1388</v>
      </c>
      <c r="E88" s="104" t="s">
        <v>1322</v>
      </c>
      <c r="F88" s="104" t="s">
        <v>1389</v>
      </c>
      <c r="G88" s="104" t="s">
        <v>1866</v>
      </c>
      <c r="H88" s="104" t="s">
        <v>1648</v>
      </c>
    </row>
    <row r="89" spans="2:9" ht="54">
      <c r="B89" s="224" t="s">
        <v>1287</v>
      </c>
      <c r="C89" s="225">
        <v>3</v>
      </c>
      <c r="D89" s="228" t="s">
        <v>1390</v>
      </c>
      <c r="E89" s="180" t="s">
        <v>1289</v>
      </c>
      <c r="F89" s="180" t="s">
        <v>1391</v>
      </c>
      <c r="G89" s="180" t="s">
        <v>1867</v>
      </c>
      <c r="H89" s="180" t="s">
        <v>1392</v>
      </c>
      <c r="I89" s="176" t="s">
        <v>1393</v>
      </c>
    </row>
    <row r="90" spans="2:9" ht="27">
      <c r="B90" s="177" t="s">
        <v>1276</v>
      </c>
      <c r="C90" s="176">
        <v>4</v>
      </c>
      <c r="D90" s="179" t="s">
        <v>1394</v>
      </c>
      <c r="E90" s="104" t="s">
        <v>1395</v>
      </c>
      <c r="F90" s="104" t="s">
        <v>1396</v>
      </c>
      <c r="G90" s="104" t="s">
        <v>1868</v>
      </c>
      <c r="H90" s="104" t="s">
        <v>1670</v>
      </c>
      <c r="I90" s="176" t="s">
        <v>1397</v>
      </c>
    </row>
    <row r="91" spans="2:9" ht="54">
      <c r="B91" s="177" t="s">
        <v>1292</v>
      </c>
      <c r="C91" s="176">
        <v>5</v>
      </c>
      <c r="D91" s="179" t="s">
        <v>1398</v>
      </c>
      <c r="E91" s="104" t="s">
        <v>1289</v>
      </c>
      <c r="F91" s="104" t="s">
        <v>1399</v>
      </c>
      <c r="G91" s="104" t="s">
        <v>1869</v>
      </c>
      <c r="H91" s="104" t="s">
        <v>1400</v>
      </c>
    </row>
    <row r="92" spans="2:9" ht="54">
      <c r="B92" s="216" t="s">
        <v>1295</v>
      </c>
      <c r="C92" s="217">
        <v>6</v>
      </c>
      <c r="D92" s="218" t="s">
        <v>1401</v>
      </c>
      <c r="E92" s="219" t="s">
        <v>1281</v>
      </c>
      <c r="F92" s="219" t="s">
        <v>1402</v>
      </c>
      <c r="G92" s="219" t="s">
        <v>1870</v>
      </c>
      <c r="H92" s="219" t="s">
        <v>1403</v>
      </c>
    </row>
    <row r="93" spans="2:9" ht="40.5">
      <c r="B93" s="220" t="s">
        <v>1219</v>
      </c>
      <c r="C93" s="221">
        <v>6</v>
      </c>
      <c r="D93" s="222" t="s">
        <v>1404</v>
      </c>
      <c r="E93" s="223" t="s">
        <v>1405</v>
      </c>
      <c r="F93" s="223" t="s">
        <v>1406</v>
      </c>
      <c r="G93" s="223" t="s">
        <v>1871</v>
      </c>
      <c r="H93" s="223" t="s">
        <v>1407</v>
      </c>
      <c r="I93" s="176" t="s">
        <v>1408</v>
      </c>
    </row>
    <row r="94" spans="2:9" ht="27">
      <c r="B94" s="177" t="s">
        <v>1299</v>
      </c>
      <c r="C94" s="176">
        <v>7</v>
      </c>
      <c r="D94" s="179" t="s">
        <v>1409</v>
      </c>
      <c r="E94" s="104" t="s">
        <v>639</v>
      </c>
      <c r="F94" s="104" t="s">
        <v>1410</v>
      </c>
      <c r="G94" s="104" t="s">
        <v>1872</v>
      </c>
      <c r="H94" s="104" t="s">
        <v>1411</v>
      </c>
    </row>
    <row r="95" spans="2:9" ht="94.5">
      <c r="B95" s="177" t="s">
        <v>1303</v>
      </c>
      <c r="C95" s="177" t="s">
        <v>1304</v>
      </c>
      <c r="D95" s="179" t="s">
        <v>1412</v>
      </c>
      <c r="E95" s="104" t="s">
        <v>1413</v>
      </c>
      <c r="F95" s="104" t="s">
        <v>1414</v>
      </c>
      <c r="G95" s="104" t="s">
        <v>1876</v>
      </c>
      <c r="H95" s="104" t="s">
        <v>1415</v>
      </c>
      <c r="I95" s="176" t="s">
        <v>1416</v>
      </c>
    </row>
    <row r="96" spans="2:9">
      <c r="B96" s="177"/>
      <c r="C96" s="177"/>
      <c r="I96" s="176" t="s">
        <v>1417</v>
      </c>
    </row>
    <row r="97" spans="3:9">
      <c r="I97" s="176" t="s">
        <v>1418</v>
      </c>
    </row>
    <row r="98" spans="3:9">
      <c r="I98" s="176" t="s">
        <v>1419</v>
      </c>
    </row>
    <row r="99" spans="3:9">
      <c r="C99" s="185" t="s">
        <v>1420</v>
      </c>
      <c r="D99" s="186" t="s">
        <v>1421</v>
      </c>
      <c r="E99" s="186" t="s">
        <v>1422</v>
      </c>
      <c r="I99" s="176" t="s">
        <v>1423</v>
      </c>
    </row>
    <row r="100" spans="3:9">
      <c r="C100" s="87" t="s">
        <v>1424</v>
      </c>
      <c r="D100" s="187" t="s">
        <v>1425</v>
      </c>
      <c r="E100" s="98" t="s">
        <v>1426</v>
      </c>
      <c r="F100" s="87" t="s">
        <v>1427</v>
      </c>
      <c r="G100" s="87" t="s">
        <v>1428</v>
      </c>
      <c r="H100" s="87" t="s">
        <v>1429</v>
      </c>
      <c r="I100" s="176" t="s">
        <v>1430</v>
      </c>
    </row>
    <row r="101" spans="3:9">
      <c r="C101" s="185" t="s">
        <v>1431</v>
      </c>
      <c r="D101" s="188" t="s">
        <v>1432</v>
      </c>
      <c r="E101" s="98" t="s">
        <v>1433</v>
      </c>
      <c r="F101" s="87" t="s">
        <v>1434</v>
      </c>
      <c r="G101" s="87" t="s">
        <v>1435</v>
      </c>
      <c r="H101" s="87" t="s">
        <v>1436</v>
      </c>
      <c r="I101" s="176" t="s">
        <v>1437</v>
      </c>
    </row>
    <row r="102" spans="3:9">
      <c r="C102" s="185" t="s">
        <v>1438</v>
      </c>
      <c r="D102" s="187" t="s">
        <v>1439</v>
      </c>
      <c r="E102" s="98" t="s">
        <v>1433</v>
      </c>
      <c r="F102" s="87" t="s">
        <v>1440</v>
      </c>
      <c r="G102" s="87" t="s">
        <v>1441</v>
      </c>
      <c r="H102" s="87" t="s">
        <v>1442</v>
      </c>
      <c r="I102" s="176" t="s">
        <v>1430</v>
      </c>
    </row>
    <row r="103" spans="3:9">
      <c r="C103" s="90" t="s">
        <v>1443</v>
      </c>
      <c r="D103" s="188" t="s">
        <v>1444</v>
      </c>
      <c r="E103" s="98" t="s">
        <v>1445</v>
      </c>
      <c r="F103" s="87" t="s">
        <v>1446</v>
      </c>
      <c r="G103" s="87" t="s">
        <v>1447</v>
      </c>
      <c r="H103" s="189" t="s">
        <v>1448</v>
      </c>
      <c r="I103" s="176" t="s">
        <v>1449</v>
      </c>
    </row>
    <row r="104" spans="3:9">
      <c r="C104" s="185" t="s">
        <v>1450</v>
      </c>
      <c r="D104" s="187" t="s">
        <v>1451</v>
      </c>
      <c r="E104" s="98" t="s">
        <v>1426</v>
      </c>
      <c r="F104" s="87" t="s">
        <v>1452</v>
      </c>
      <c r="G104" s="87" t="s">
        <v>1453</v>
      </c>
      <c r="H104" s="87" t="s">
        <v>1454</v>
      </c>
      <c r="I104" s="176" t="s">
        <v>1455</v>
      </c>
    </row>
    <row r="105" spans="3:9">
      <c r="C105" s="185" t="s">
        <v>1456</v>
      </c>
      <c r="D105" s="188" t="s">
        <v>1432</v>
      </c>
      <c r="E105" s="98" t="s">
        <v>1433</v>
      </c>
      <c r="F105" s="87" t="s">
        <v>1457</v>
      </c>
      <c r="G105" s="87" t="s">
        <v>1458</v>
      </c>
      <c r="H105" s="87" t="s">
        <v>1459</v>
      </c>
    </row>
    <row r="106" spans="3:9">
      <c r="C106" s="190" t="s">
        <v>1343</v>
      </c>
      <c r="D106" s="187" t="s">
        <v>1451</v>
      </c>
      <c r="E106" s="98" t="s">
        <v>1460</v>
      </c>
      <c r="F106" s="87" t="s">
        <v>1346</v>
      </c>
      <c r="G106" s="87" t="s">
        <v>1348</v>
      </c>
      <c r="H106" s="87" t="s">
        <v>569</v>
      </c>
    </row>
    <row r="107" spans="3:9">
      <c r="C107" s="185" t="s">
        <v>1461</v>
      </c>
      <c r="D107" s="187" t="s">
        <v>1462</v>
      </c>
      <c r="E107" s="98" t="s">
        <v>1463</v>
      </c>
      <c r="F107" s="87" t="s">
        <v>1464</v>
      </c>
      <c r="G107" s="87" t="s">
        <v>1465</v>
      </c>
      <c r="H107" s="87" t="s">
        <v>1466</v>
      </c>
    </row>
    <row r="108" spans="3:9">
      <c r="C108" s="185" t="s">
        <v>1467</v>
      </c>
      <c r="D108" s="188" t="s">
        <v>1468</v>
      </c>
      <c r="E108" s="98" t="s">
        <v>1469</v>
      </c>
      <c r="F108" s="87" t="s">
        <v>1470</v>
      </c>
      <c r="G108" s="87" t="s">
        <v>1471</v>
      </c>
      <c r="H108" s="87" t="s">
        <v>1472</v>
      </c>
    </row>
    <row r="110" spans="3:9">
      <c r="C110" s="191" t="s">
        <v>1473</v>
      </c>
      <c r="D110" s="192" t="s">
        <v>1462</v>
      </c>
      <c r="E110" s="193" t="s">
        <v>1463</v>
      </c>
    </row>
    <row r="111" spans="3:9">
      <c r="C111" s="194" t="s">
        <v>1474</v>
      </c>
      <c r="D111" s="188" t="s">
        <v>1475</v>
      </c>
      <c r="E111" s="195" t="s">
        <v>1469</v>
      </c>
    </row>
    <row r="112" spans="3:9">
      <c r="C112" s="194" t="s">
        <v>85</v>
      </c>
      <c r="D112" s="187" t="s">
        <v>1476</v>
      </c>
      <c r="E112" s="195" t="s">
        <v>1469</v>
      </c>
    </row>
    <row r="113" spans="3:6">
      <c r="C113" s="194" t="s">
        <v>107</v>
      </c>
      <c r="D113" s="188" t="s">
        <v>1477</v>
      </c>
      <c r="E113" s="195" t="s">
        <v>1478</v>
      </c>
      <c r="F113" s="196"/>
    </row>
    <row r="114" spans="3:6">
      <c r="C114" s="194" t="s">
        <v>126</v>
      </c>
      <c r="D114" s="187" t="s">
        <v>1479</v>
      </c>
      <c r="E114" s="195" t="s">
        <v>1480</v>
      </c>
      <c r="F114" s="196"/>
    </row>
    <row r="115" spans="3:6">
      <c r="C115" s="194" t="s">
        <v>1481</v>
      </c>
      <c r="D115" s="188" t="s">
        <v>1482</v>
      </c>
      <c r="E115" s="195" t="s">
        <v>1483</v>
      </c>
      <c r="F115" s="196"/>
    </row>
    <row r="116" spans="3:6">
      <c r="C116" s="194" t="s">
        <v>1484</v>
      </c>
      <c r="D116" s="187" t="s">
        <v>1479</v>
      </c>
      <c r="E116" s="195" t="s">
        <v>1485</v>
      </c>
      <c r="F116" s="196"/>
    </row>
    <row r="117" spans="3:6">
      <c r="C117" s="194" t="s">
        <v>1486</v>
      </c>
      <c r="D117" s="187" t="s">
        <v>1487</v>
      </c>
      <c r="E117" s="195" t="s">
        <v>1480</v>
      </c>
    </row>
    <row r="118" spans="3:6">
      <c r="C118" s="197" t="s">
        <v>1488</v>
      </c>
      <c r="D118" s="198" t="s">
        <v>1489</v>
      </c>
      <c r="E118" s="199" t="s">
        <v>1483</v>
      </c>
    </row>
    <row r="119" spans="3:6">
      <c r="C119" s="185"/>
    </row>
    <row r="120" spans="3:6" ht="14.25" thickBot="1"/>
    <row r="121" spans="3:6" ht="14.25" thickBot="1">
      <c r="C121" s="200" t="s">
        <v>1490</v>
      </c>
      <c r="D121" s="201" t="s">
        <v>1491</v>
      </c>
      <c r="E121" s="202" t="s">
        <v>1492</v>
      </c>
    </row>
    <row r="122" spans="3:6">
      <c r="C122" s="203" t="s">
        <v>1493</v>
      </c>
      <c r="D122" s="204" t="s">
        <v>1494</v>
      </c>
      <c r="E122" s="205" t="s">
        <v>1495</v>
      </c>
    </row>
    <row r="123" spans="3:6">
      <c r="C123" s="206"/>
      <c r="D123" s="207" t="s">
        <v>1496</v>
      </c>
      <c r="E123" s="208" t="s">
        <v>1497</v>
      </c>
    </row>
    <row r="124" spans="3:6" ht="14.25" thickBot="1">
      <c r="C124" s="209"/>
      <c r="D124" s="210" t="s">
        <v>1498</v>
      </c>
      <c r="E124" s="211" t="s">
        <v>1499</v>
      </c>
    </row>
    <row r="125" spans="3:6">
      <c r="C125" s="203" t="s">
        <v>1500</v>
      </c>
      <c r="D125" s="212" t="s">
        <v>1501</v>
      </c>
      <c r="E125" s="205" t="s">
        <v>1502</v>
      </c>
    </row>
    <row r="126" spans="3:6">
      <c r="C126" s="206"/>
      <c r="D126" s="213" t="s">
        <v>1503</v>
      </c>
      <c r="E126" s="208" t="s">
        <v>1504</v>
      </c>
    </row>
    <row r="127" spans="3:6" ht="14.25" thickBot="1">
      <c r="C127" s="209"/>
      <c r="D127" s="210" t="s">
        <v>1505</v>
      </c>
      <c r="E127" s="211" t="s">
        <v>1506</v>
      </c>
    </row>
    <row r="128" spans="3:6">
      <c r="C128" s="203" t="s">
        <v>1507</v>
      </c>
      <c r="D128" s="212" t="s">
        <v>1508</v>
      </c>
      <c r="E128" s="205" t="s">
        <v>1509</v>
      </c>
    </row>
    <row r="129" spans="3:5">
      <c r="C129" s="206"/>
      <c r="D129" s="213" t="s">
        <v>1510</v>
      </c>
      <c r="E129" s="208" t="s">
        <v>1511</v>
      </c>
    </row>
    <row r="130" spans="3:5" ht="14.25" thickBot="1">
      <c r="C130" s="209"/>
      <c r="D130" s="210" t="s">
        <v>1512</v>
      </c>
      <c r="E130" s="211" t="s">
        <v>1513</v>
      </c>
    </row>
    <row r="131" spans="3:5">
      <c r="C131" s="203" t="s">
        <v>1514</v>
      </c>
      <c r="D131" s="212" t="s">
        <v>1515</v>
      </c>
      <c r="E131" s="205" t="s">
        <v>1516</v>
      </c>
    </row>
    <row r="132" spans="3:5">
      <c r="C132" s="206"/>
      <c r="D132" s="213" t="s">
        <v>1517</v>
      </c>
      <c r="E132" s="208" t="s">
        <v>1518</v>
      </c>
    </row>
    <row r="133" spans="3:5" ht="14.25" thickBot="1">
      <c r="C133" s="209"/>
      <c r="D133" s="210" t="s">
        <v>1519</v>
      </c>
      <c r="E133" s="211" t="s">
        <v>1520</v>
      </c>
    </row>
    <row r="134" spans="3:5">
      <c r="C134" s="203" t="s">
        <v>1521</v>
      </c>
      <c r="D134" s="212" t="s">
        <v>1522</v>
      </c>
      <c r="E134" s="205" t="s">
        <v>1523</v>
      </c>
    </row>
    <row r="135" spans="3:5">
      <c r="C135" s="206"/>
      <c r="D135" s="213" t="s">
        <v>1524</v>
      </c>
      <c r="E135" s="208" t="s">
        <v>1525</v>
      </c>
    </row>
    <row r="136" spans="3:5" ht="14.25" thickBot="1">
      <c r="C136" s="209"/>
      <c r="D136" s="210" t="s">
        <v>1526</v>
      </c>
      <c r="E136" s="211" t="s">
        <v>1527</v>
      </c>
    </row>
    <row r="137" spans="3:5">
      <c r="C137" s="203" t="s">
        <v>1528</v>
      </c>
      <c r="D137" s="212" t="s">
        <v>1529</v>
      </c>
      <c r="E137" s="205" t="s">
        <v>1530</v>
      </c>
    </row>
    <row r="138" spans="3:5">
      <c r="C138" s="206"/>
      <c r="D138" s="213" t="s">
        <v>1531</v>
      </c>
      <c r="E138" s="208" t="s">
        <v>1532</v>
      </c>
    </row>
    <row r="139" spans="3:5" ht="14.25" thickBot="1">
      <c r="C139" s="209"/>
      <c r="D139" s="210" t="s">
        <v>1533</v>
      </c>
      <c r="E139" s="211" t="s">
        <v>1534</v>
      </c>
    </row>
    <row r="140" spans="3:5">
      <c r="C140" s="203" t="s">
        <v>1535</v>
      </c>
      <c r="D140" s="212" t="s">
        <v>1536</v>
      </c>
      <c r="E140" s="205" t="s">
        <v>1537</v>
      </c>
    </row>
    <row r="141" spans="3:5">
      <c r="C141" s="206"/>
      <c r="D141" s="213" t="s">
        <v>1538</v>
      </c>
      <c r="E141" s="208" t="s">
        <v>1539</v>
      </c>
    </row>
    <row r="142" spans="3:5" ht="14.25" thickBot="1">
      <c r="C142" s="209"/>
      <c r="D142" s="210" t="s">
        <v>1540</v>
      </c>
      <c r="E142" s="211" t="s">
        <v>1541</v>
      </c>
    </row>
    <row r="143" spans="3:5">
      <c r="C143" s="203" t="s">
        <v>1542</v>
      </c>
      <c r="D143" s="212" t="s">
        <v>1543</v>
      </c>
      <c r="E143" s="205" t="s">
        <v>1544</v>
      </c>
    </row>
    <row r="144" spans="3:5" ht="67.5">
      <c r="C144" s="206"/>
      <c r="D144" s="213" t="s">
        <v>1545</v>
      </c>
      <c r="E144" s="214" t="s">
        <v>1546</v>
      </c>
    </row>
    <row r="145" spans="3:5" ht="14.25" thickBot="1">
      <c r="C145" s="209"/>
      <c r="D145" s="210" t="s">
        <v>1533</v>
      </c>
      <c r="E145" s="211" t="s">
        <v>1547</v>
      </c>
    </row>
    <row r="146" spans="3:5">
      <c r="C146" s="203" t="s">
        <v>1548</v>
      </c>
      <c r="D146" s="212" t="s">
        <v>1549</v>
      </c>
      <c r="E146" s="205" t="s">
        <v>1550</v>
      </c>
    </row>
    <row r="147" spans="3:5">
      <c r="C147" s="206"/>
      <c r="D147" s="213" t="s">
        <v>1551</v>
      </c>
      <c r="E147" s="208" t="s">
        <v>1552</v>
      </c>
    </row>
    <row r="148" spans="3:5" ht="14.25" thickBot="1">
      <c r="C148" s="209"/>
      <c r="D148" s="210" t="s">
        <v>1503</v>
      </c>
      <c r="E148" s="211" t="s">
        <v>1553</v>
      </c>
    </row>
    <row r="149" spans="3:5">
      <c r="C149" s="203" t="s">
        <v>1554</v>
      </c>
      <c r="D149" s="212" t="s">
        <v>1555</v>
      </c>
      <c r="E149" s="205" t="s">
        <v>1556</v>
      </c>
    </row>
    <row r="150" spans="3:5">
      <c r="C150" s="206"/>
      <c r="D150" s="213" t="s">
        <v>1515</v>
      </c>
      <c r="E150" s="208" t="s">
        <v>1557</v>
      </c>
    </row>
    <row r="151" spans="3:5" ht="14.25" thickBot="1">
      <c r="C151" s="209"/>
      <c r="D151" s="210" t="s">
        <v>1558</v>
      </c>
      <c r="E151" s="211" t="s">
        <v>1559</v>
      </c>
    </row>
    <row r="152" spans="3:5">
      <c r="C152" s="206" t="s">
        <v>1560</v>
      </c>
      <c r="D152" s="213" t="s">
        <v>1561</v>
      </c>
      <c r="E152" s="208" t="s">
        <v>1562</v>
      </c>
    </row>
    <row r="153" spans="3:5">
      <c r="C153" s="206"/>
      <c r="D153" s="213" t="s">
        <v>1386</v>
      </c>
      <c r="E153" s="208" t="s">
        <v>1563</v>
      </c>
    </row>
    <row r="154" spans="3:5" ht="14.25" thickBot="1">
      <c r="C154" s="209"/>
      <c r="D154" s="215" t="s">
        <v>1564</v>
      </c>
      <c r="E154" s="211" t="s">
        <v>1565</v>
      </c>
    </row>
  </sheetData>
  <phoneticPr fontId="14"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dimension ref="H19:Q67"/>
  <sheetViews>
    <sheetView topLeftCell="A16" workbookViewId="0">
      <selection activeCell="L40" sqref="L40"/>
    </sheetView>
  </sheetViews>
  <sheetFormatPr defaultRowHeight="13.5"/>
  <cols>
    <col min="7" max="7" width="8.75" customWidth="1"/>
    <col min="8" max="8" width="9" hidden="1" customWidth="1"/>
    <col min="9" max="9" width="4.375" customWidth="1"/>
    <col min="10" max="10" width="4.125" customWidth="1"/>
    <col min="11" max="11" width="21.25" customWidth="1"/>
    <col min="12" max="12" width="109" bestFit="1" customWidth="1"/>
  </cols>
  <sheetData>
    <row r="19" spans="11:17">
      <c r="L19" s="89"/>
    </row>
    <row r="20" spans="11:17">
      <c r="K20" s="48" t="s">
        <v>712</v>
      </c>
      <c r="L20" s="73" t="s">
        <v>714</v>
      </c>
    </row>
    <row r="21" spans="11:17">
      <c r="K21" s="1"/>
      <c r="L21" s="1"/>
      <c r="M21" s="1"/>
      <c r="N21" s="1"/>
      <c r="O21" s="1"/>
      <c r="P21" s="1"/>
      <c r="Q21" s="1"/>
    </row>
    <row r="22" spans="11:17">
      <c r="K22" s="93"/>
      <c r="L22" s="49" t="s">
        <v>695</v>
      </c>
      <c r="M22" s="1"/>
      <c r="N22" s="1"/>
      <c r="O22" s="1"/>
      <c r="P22" s="1"/>
      <c r="Q22" s="1"/>
    </row>
    <row r="23" spans="11:17">
      <c r="K23" s="94" t="s">
        <v>697</v>
      </c>
      <c r="L23" s="68" t="s">
        <v>698</v>
      </c>
      <c r="M23" s="95"/>
      <c r="N23" s="1"/>
      <c r="O23" s="1"/>
      <c r="P23" s="1"/>
      <c r="Q23" s="1"/>
    </row>
    <row r="24" spans="11:17">
      <c r="K24" s="94" t="s">
        <v>694</v>
      </c>
      <c r="L24" s="68" t="s">
        <v>704</v>
      </c>
      <c r="M24" s="95"/>
      <c r="N24" s="1"/>
      <c r="O24" s="1"/>
      <c r="P24" s="1"/>
      <c r="Q24" s="1"/>
    </row>
    <row r="25" spans="11:17">
      <c r="K25" s="94" t="s">
        <v>697</v>
      </c>
      <c r="L25" s="68" t="s">
        <v>690</v>
      </c>
      <c r="M25" s="95"/>
      <c r="N25" s="1"/>
      <c r="O25" s="1"/>
      <c r="P25" s="1"/>
      <c r="Q25" s="1"/>
    </row>
    <row r="26" spans="11:17">
      <c r="K26" s="94" t="s">
        <v>700</v>
      </c>
      <c r="L26" s="68" t="s">
        <v>691</v>
      </c>
      <c r="M26" s="95"/>
      <c r="N26" s="1"/>
      <c r="O26" s="1"/>
      <c r="P26" s="1"/>
      <c r="Q26" s="1"/>
    </row>
    <row r="27" spans="11:17">
      <c r="K27" s="93"/>
      <c r="L27" s="49" t="s">
        <v>696</v>
      </c>
      <c r="M27" s="1"/>
      <c r="N27" s="1"/>
      <c r="O27" s="1"/>
      <c r="P27" s="1"/>
      <c r="Q27" s="1"/>
    </row>
    <row r="28" spans="11:17">
      <c r="K28" s="94" t="s">
        <v>697</v>
      </c>
      <c r="L28" s="68" t="s">
        <v>692</v>
      </c>
      <c r="M28" s="95"/>
      <c r="N28" s="1"/>
      <c r="O28" s="1"/>
      <c r="P28" s="1"/>
      <c r="Q28" s="1"/>
    </row>
    <row r="29" spans="11:17">
      <c r="K29" s="93" t="s">
        <v>693</v>
      </c>
      <c r="L29" s="68" t="s">
        <v>674</v>
      </c>
      <c r="M29" s="95"/>
      <c r="N29" s="1"/>
      <c r="O29" s="1"/>
      <c r="P29" s="1"/>
      <c r="Q29" s="1"/>
    </row>
    <row r="30" spans="11:17">
      <c r="K30" s="93" t="s">
        <v>693</v>
      </c>
      <c r="L30" s="92" t="s">
        <v>713</v>
      </c>
      <c r="N30" s="1"/>
      <c r="O30" s="1"/>
      <c r="P30" s="1"/>
      <c r="Q30" s="1"/>
    </row>
    <row r="31" spans="11:17">
      <c r="K31" s="94" t="s">
        <v>694</v>
      </c>
      <c r="L31" s="68" t="s">
        <v>689</v>
      </c>
      <c r="M31" s="95"/>
      <c r="N31" s="1"/>
      <c r="O31" s="1"/>
      <c r="P31" s="1"/>
      <c r="Q31" s="1"/>
    </row>
    <row r="32" spans="11:17">
      <c r="K32" s="93"/>
      <c r="L32" s="1"/>
      <c r="M32" s="1"/>
      <c r="N32" s="1"/>
      <c r="O32" s="1"/>
      <c r="P32" s="1"/>
      <c r="Q32" s="1"/>
    </row>
    <row r="33" spans="11:17">
      <c r="K33" s="1"/>
      <c r="L33" s="91" t="s">
        <v>687</v>
      </c>
      <c r="M33" s="76" t="s">
        <v>702</v>
      </c>
      <c r="N33" s="1"/>
      <c r="O33" s="1"/>
      <c r="P33" s="1"/>
      <c r="Q33" s="1"/>
    </row>
    <row r="34" spans="11:17">
      <c r="K34" s="1"/>
      <c r="L34" s="91" t="s">
        <v>688</v>
      </c>
      <c r="M34" s="76" t="s">
        <v>702</v>
      </c>
      <c r="N34" s="1"/>
      <c r="O34" s="1"/>
      <c r="P34" s="1"/>
      <c r="Q34" s="1"/>
    </row>
    <row r="35" spans="11:17">
      <c r="L35" s="91" t="s">
        <v>673</v>
      </c>
      <c r="M35" s="76" t="s">
        <v>702</v>
      </c>
      <c r="N35" s="1"/>
      <c r="O35" s="1"/>
      <c r="P35" s="1"/>
      <c r="Q35" s="1"/>
    </row>
    <row r="36" spans="11:17">
      <c r="L36" s="91" t="s">
        <v>672</v>
      </c>
      <c r="M36" s="76" t="s">
        <v>702</v>
      </c>
      <c r="N36" s="1"/>
      <c r="O36" s="1"/>
      <c r="P36" s="1"/>
      <c r="Q36" s="1"/>
    </row>
    <row r="38" spans="11:17">
      <c r="K38" s="94" t="s">
        <v>715</v>
      </c>
      <c r="L38" s="68" t="s">
        <v>701</v>
      </c>
      <c r="M38" s="95" t="s">
        <v>708</v>
      </c>
      <c r="N38" s="1"/>
      <c r="O38" s="1"/>
      <c r="P38" s="1"/>
      <c r="Q38" s="1"/>
    </row>
    <row r="39" spans="11:17">
      <c r="K39" s="1" t="s">
        <v>699</v>
      </c>
      <c r="L39" s="92" t="s">
        <v>709</v>
      </c>
      <c r="M39" s="96" t="s">
        <v>710</v>
      </c>
    </row>
    <row r="40" spans="11:17">
      <c r="K40" s="1" t="s">
        <v>699</v>
      </c>
      <c r="L40" s="98" t="s">
        <v>703</v>
      </c>
      <c r="M40" t="s">
        <v>705</v>
      </c>
      <c r="N40" s="1"/>
      <c r="O40" s="1"/>
      <c r="P40" s="1"/>
      <c r="Q40" s="1"/>
    </row>
    <row r="41" spans="11:17">
      <c r="K41" s="1" t="s">
        <v>699</v>
      </c>
      <c r="L41" s="91" t="s">
        <v>706</v>
      </c>
      <c r="M41" s="97" t="s">
        <v>705</v>
      </c>
      <c r="P41" s="1"/>
      <c r="Q41" s="1"/>
    </row>
    <row r="42" spans="11:17">
      <c r="K42" s="1" t="s">
        <v>699</v>
      </c>
      <c r="L42" s="98" t="s">
        <v>684</v>
      </c>
      <c r="M42" s="76" t="s">
        <v>702</v>
      </c>
      <c r="N42" s="1"/>
      <c r="O42" s="1"/>
      <c r="P42" s="1"/>
      <c r="Q42" s="1"/>
    </row>
    <row r="43" spans="11:17">
      <c r="K43" s="1" t="s">
        <v>699</v>
      </c>
      <c r="L43" s="98" t="s">
        <v>711</v>
      </c>
      <c r="M43" s="76" t="s">
        <v>707</v>
      </c>
      <c r="N43" s="1"/>
      <c r="O43" s="1"/>
      <c r="P43" s="1"/>
      <c r="Q43" s="1"/>
    </row>
    <row r="44" spans="11:17">
      <c r="K44" s="1"/>
      <c r="L44" s="1"/>
      <c r="M44" s="1"/>
      <c r="N44" s="1"/>
      <c r="O44" s="1"/>
      <c r="P44" s="1"/>
      <c r="Q44" s="1"/>
    </row>
    <row r="45" spans="11:17">
      <c r="K45" s="1"/>
      <c r="N45" s="1"/>
      <c r="O45" s="1"/>
      <c r="P45" s="1"/>
      <c r="Q45" s="1"/>
    </row>
    <row r="46" spans="11:17">
      <c r="N46" s="1"/>
      <c r="O46" s="1"/>
      <c r="P46" s="1"/>
      <c r="Q46" s="1"/>
    </row>
    <row r="47" spans="11:17">
      <c r="N47" s="1"/>
      <c r="O47" s="1"/>
      <c r="P47" s="1"/>
      <c r="Q47" s="1"/>
    </row>
    <row r="48" spans="11:17">
      <c r="K48" s="99" t="s">
        <v>722</v>
      </c>
      <c r="L48" s="100" t="s">
        <v>727</v>
      </c>
    </row>
    <row r="49" spans="11:17">
      <c r="L49" s="100" t="s">
        <v>721</v>
      </c>
    </row>
    <row r="50" spans="11:17">
      <c r="L50" s="100" t="s">
        <v>728</v>
      </c>
    </row>
    <row r="51" spans="11:17">
      <c r="L51" s="100" t="s">
        <v>723</v>
      </c>
      <c r="N51" s="1"/>
      <c r="O51" s="1"/>
      <c r="P51" s="1"/>
      <c r="Q51" s="1"/>
    </row>
    <row r="52" spans="11:17">
      <c r="L52" s="100" t="s">
        <v>725</v>
      </c>
      <c r="N52" s="1"/>
      <c r="O52" s="1"/>
      <c r="P52" s="1"/>
      <c r="Q52" s="1"/>
    </row>
    <row r="53" spans="11:17">
      <c r="L53" s="100" t="s">
        <v>724</v>
      </c>
      <c r="M53" s="100"/>
    </row>
    <row r="54" spans="11:17">
      <c r="L54" s="100" t="s">
        <v>726</v>
      </c>
      <c r="M54" s="100"/>
      <c r="N54" s="1"/>
      <c r="O54" s="1"/>
    </row>
    <row r="55" spans="11:17">
      <c r="L55" s="100" t="s">
        <v>720</v>
      </c>
      <c r="M55" s="100"/>
    </row>
    <row r="56" spans="11:17">
      <c r="K56" s="99"/>
      <c r="L56" s="100" t="s">
        <v>719</v>
      </c>
      <c r="M56" s="100"/>
    </row>
    <row r="57" spans="11:17">
      <c r="K57" s="99"/>
      <c r="L57" s="100" t="s">
        <v>718</v>
      </c>
      <c r="M57" s="100"/>
    </row>
    <row r="58" spans="11:17">
      <c r="K58" s="99"/>
      <c r="L58" s="100" t="s">
        <v>717</v>
      </c>
      <c r="M58" s="100"/>
    </row>
    <row r="59" spans="11:17">
      <c r="K59" s="99"/>
      <c r="L59" s="100" t="s">
        <v>716</v>
      </c>
      <c r="M59" s="100"/>
    </row>
    <row r="61" spans="11:17">
      <c r="L61" s="100"/>
    </row>
    <row r="63" spans="11:17">
      <c r="L63" s="89"/>
    </row>
    <row r="64" spans="11:17">
      <c r="L64" s="102"/>
    </row>
    <row r="65" spans="12:12">
      <c r="L65" s="102"/>
    </row>
    <row r="66" spans="12:12">
      <c r="L66" s="101"/>
    </row>
    <row r="67" spans="12:12">
      <c r="L67" s="103"/>
    </row>
  </sheetData>
  <phoneticPr fontId="45"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dimension ref="C2:T159"/>
  <sheetViews>
    <sheetView topLeftCell="A93" workbookViewId="0">
      <selection activeCell="G114" sqref="G114"/>
    </sheetView>
  </sheetViews>
  <sheetFormatPr defaultRowHeight="13.5"/>
  <cols>
    <col min="1" max="5" width="9" style="235"/>
    <col min="6" max="6" width="9" style="236"/>
    <col min="7" max="7" width="119.75" style="119" customWidth="1"/>
    <col min="8" max="12" width="12" style="235" customWidth="1"/>
    <col min="13" max="13" width="12" style="119" customWidth="1"/>
    <col min="14" max="14" width="9" style="119"/>
    <col min="15" max="15" width="9" style="235"/>
    <col min="16" max="16" width="12" style="119" customWidth="1"/>
    <col min="17" max="17" width="7.25" style="235" customWidth="1"/>
    <col min="18" max="16384" width="9" style="235"/>
  </cols>
  <sheetData>
    <row r="2" spans="4:16">
      <c r="G2" s="237"/>
    </row>
    <row r="6" spans="4:16">
      <c r="J6" s="238"/>
      <c r="K6" s="238"/>
      <c r="L6" s="238"/>
    </row>
    <row r="7" spans="4:16">
      <c r="E7" s="235" t="s">
        <v>899</v>
      </c>
      <c r="I7" s="235" t="s">
        <v>900</v>
      </c>
      <c r="J7" s="238" t="s">
        <v>901</v>
      </c>
      <c r="K7" s="239" t="s">
        <v>902</v>
      </c>
      <c r="L7" s="239" t="s">
        <v>1267</v>
      </c>
    </row>
    <row r="8" spans="4:16">
      <c r="D8" s="240" t="s">
        <v>903</v>
      </c>
      <c r="E8" s="241"/>
      <c r="F8" s="242" t="s">
        <v>1</v>
      </c>
      <c r="G8" s="243" t="s">
        <v>904</v>
      </c>
      <c r="H8" s="120" t="s">
        <v>905</v>
      </c>
      <c r="I8" s="120" t="s">
        <v>906</v>
      </c>
      <c r="J8" s="148" t="s">
        <v>907</v>
      </c>
      <c r="K8" s="148" t="str">
        <f>F8&amp;VLOOKUP(J8,$N$9:$O$114,2,0)</f>
        <v>战士2</v>
      </c>
      <c r="L8" s="148">
        <f>VLOOKUP(J8,$N$8:$P$118,3,0)</f>
        <v>1</v>
      </c>
    </row>
    <row r="9" spans="4:16">
      <c r="D9" s="244"/>
      <c r="E9" s="245"/>
      <c r="F9" s="246"/>
      <c r="G9" s="125" t="s">
        <v>908</v>
      </c>
      <c r="H9" s="122" t="s">
        <v>909</v>
      </c>
      <c r="I9" s="122" t="s">
        <v>910</v>
      </c>
      <c r="J9" s="238"/>
      <c r="K9" s="238"/>
      <c r="L9" s="238"/>
      <c r="M9" s="235"/>
      <c r="N9" s="235"/>
      <c r="O9" s="247" t="s">
        <v>911</v>
      </c>
      <c r="P9" s="235"/>
    </row>
    <row r="10" spans="4:16">
      <c r="D10" s="244"/>
      <c r="E10" s="245"/>
      <c r="F10" s="246"/>
      <c r="J10" s="238"/>
      <c r="K10" s="238"/>
      <c r="L10" s="238"/>
      <c r="M10" s="123">
        <v>110001</v>
      </c>
      <c r="N10" s="121" t="s">
        <v>912</v>
      </c>
      <c r="O10" s="235">
        <v>2</v>
      </c>
      <c r="P10" s="123">
        <v>1</v>
      </c>
    </row>
    <row r="11" spans="4:16">
      <c r="D11" s="244"/>
      <c r="E11" s="245"/>
      <c r="F11" s="246"/>
      <c r="J11" s="238"/>
      <c r="K11" s="238"/>
      <c r="L11" s="238"/>
      <c r="M11" s="123">
        <v>110002</v>
      </c>
      <c r="N11" s="124" t="s">
        <v>913</v>
      </c>
      <c r="P11" s="123">
        <v>2</v>
      </c>
    </row>
    <row r="12" spans="4:16">
      <c r="D12" s="244" t="s">
        <v>554</v>
      </c>
      <c r="E12" s="245"/>
      <c r="F12" s="246" t="s">
        <v>1</v>
      </c>
      <c r="G12" s="248" t="s">
        <v>914</v>
      </c>
      <c r="H12" s="141" t="s">
        <v>915</v>
      </c>
      <c r="I12" s="141" t="s">
        <v>916</v>
      </c>
      <c r="J12" s="148" t="s">
        <v>917</v>
      </c>
      <c r="K12" s="148" t="str">
        <f>F12&amp;VLOOKUP(J12,$N$9:$O$114,2,0)</f>
        <v>战士1</v>
      </c>
      <c r="L12" s="148">
        <f>VLOOKUP(J12,$N$8:$P$118,3,0)</f>
        <v>3</v>
      </c>
      <c r="M12" s="123">
        <v>110003</v>
      </c>
      <c r="N12" s="121" t="s">
        <v>917</v>
      </c>
      <c r="O12" s="235">
        <v>1</v>
      </c>
      <c r="P12" s="123">
        <v>3</v>
      </c>
    </row>
    <row r="13" spans="4:16">
      <c r="D13" s="244"/>
      <c r="E13" s="245"/>
      <c r="F13" s="246"/>
      <c r="G13" s="249" t="s">
        <v>918</v>
      </c>
      <c r="H13" s="141" t="s">
        <v>841</v>
      </c>
      <c r="I13" s="141" t="s">
        <v>919</v>
      </c>
      <c r="J13" s="238"/>
      <c r="K13" s="238"/>
      <c r="L13" s="238"/>
      <c r="M13" s="123">
        <v>110004</v>
      </c>
      <c r="N13" s="124" t="s">
        <v>920</v>
      </c>
      <c r="P13" s="123">
        <v>4</v>
      </c>
    </row>
    <row r="14" spans="4:16">
      <c r="D14" s="244"/>
      <c r="E14" s="245"/>
      <c r="F14" s="246"/>
      <c r="J14" s="238"/>
      <c r="K14" s="238"/>
      <c r="L14" s="238"/>
      <c r="M14" s="123">
        <v>110005</v>
      </c>
      <c r="N14" s="124" t="s">
        <v>921</v>
      </c>
      <c r="P14" s="123">
        <v>5</v>
      </c>
    </row>
    <row r="15" spans="4:16">
      <c r="D15" s="244"/>
      <c r="E15" s="245"/>
      <c r="F15" s="246"/>
      <c r="G15" s="125"/>
      <c r="H15" s="141"/>
      <c r="I15" s="141"/>
      <c r="J15" s="238"/>
      <c r="K15" s="238"/>
      <c r="L15" s="238"/>
    </row>
    <row r="16" spans="4:16">
      <c r="D16" s="244" t="s">
        <v>555</v>
      </c>
      <c r="E16" s="245"/>
      <c r="F16" s="246" t="s">
        <v>1</v>
      </c>
      <c r="G16" s="125" t="s">
        <v>922</v>
      </c>
      <c r="H16" s="141" t="s">
        <v>923</v>
      </c>
      <c r="I16" s="141" t="s">
        <v>924</v>
      </c>
      <c r="J16" s="148" t="s">
        <v>917</v>
      </c>
      <c r="K16" s="148" t="str">
        <f>F16&amp;VLOOKUP(J16,$N$9:$O$114,2,0)</f>
        <v>战士1</v>
      </c>
      <c r="L16" s="148">
        <f>VLOOKUP(J16,$N$8:$P$118,3,0)</f>
        <v>3</v>
      </c>
    </row>
    <row r="17" spans="3:16">
      <c r="D17" s="244"/>
      <c r="E17" s="245"/>
      <c r="F17" s="246"/>
      <c r="G17" s="125" t="s">
        <v>925</v>
      </c>
      <c r="H17" s="141" t="s">
        <v>926</v>
      </c>
      <c r="I17" s="141" t="s">
        <v>927</v>
      </c>
      <c r="J17" s="238"/>
      <c r="K17" s="238"/>
      <c r="L17" s="238"/>
    </row>
    <row r="18" spans="3:16">
      <c r="D18" s="244"/>
      <c r="E18" s="245"/>
      <c r="F18" s="246"/>
      <c r="J18" s="238"/>
      <c r="K18" s="238"/>
      <c r="L18" s="238"/>
    </row>
    <row r="19" spans="3:16">
      <c r="D19" s="244"/>
      <c r="E19" s="245"/>
      <c r="F19" s="246"/>
      <c r="J19" s="238"/>
      <c r="K19" s="238"/>
      <c r="L19" s="238"/>
    </row>
    <row r="20" spans="3:16">
      <c r="D20" s="244" t="s">
        <v>842</v>
      </c>
      <c r="E20" s="245"/>
      <c r="F20" s="246" t="s">
        <v>1</v>
      </c>
      <c r="G20" s="125" t="s">
        <v>928</v>
      </c>
      <c r="H20" s="141" t="s">
        <v>929</v>
      </c>
      <c r="I20" s="141" t="s">
        <v>930</v>
      </c>
      <c r="J20" s="148" t="s">
        <v>931</v>
      </c>
      <c r="K20" s="148" t="str">
        <f>F20&amp;VLOOKUP(J20,$N$9:$O$114,2,0)</f>
        <v>战士2</v>
      </c>
      <c r="L20" s="148">
        <f>VLOOKUP(J20,$N$8:$P$118,3,0)</f>
        <v>1</v>
      </c>
    </row>
    <row r="21" spans="3:16">
      <c r="D21" s="244"/>
      <c r="E21" s="245"/>
      <c r="F21" s="246"/>
      <c r="G21" s="125" t="s">
        <v>932</v>
      </c>
      <c r="H21" s="141" t="s">
        <v>933</v>
      </c>
      <c r="I21" s="141" t="s">
        <v>934</v>
      </c>
      <c r="J21" s="238"/>
      <c r="K21" s="238"/>
      <c r="L21" s="238"/>
    </row>
    <row r="22" spans="3:16">
      <c r="D22" s="250"/>
      <c r="E22" s="251"/>
      <c r="F22" s="252"/>
      <c r="J22" s="238"/>
      <c r="K22" s="238"/>
      <c r="L22" s="238"/>
    </row>
    <row r="23" spans="3:16">
      <c r="D23" s="245"/>
      <c r="E23" s="245"/>
      <c r="F23" s="245"/>
      <c r="G23" s="126"/>
      <c r="H23" s="164"/>
      <c r="I23" s="164"/>
      <c r="J23" s="238"/>
      <c r="K23" s="238"/>
      <c r="L23" s="238"/>
    </row>
    <row r="24" spans="3:16">
      <c r="F24" s="235"/>
      <c r="J24" s="238"/>
      <c r="K24" s="238"/>
      <c r="L24" s="238"/>
    </row>
    <row r="25" spans="3:16">
      <c r="D25" s="240"/>
      <c r="E25" s="241"/>
      <c r="F25" s="242"/>
      <c r="I25" s="238"/>
      <c r="J25" s="238"/>
      <c r="K25" s="238"/>
      <c r="L25" s="238"/>
    </row>
    <row r="26" spans="3:16">
      <c r="C26" s="253"/>
      <c r="D26" s="244" t="s">
        <v>542</v>
      </c>
      <c r="E26" s="245"/>
      <c r="F26" s="246" t="s">
        <v>843</v>
      </c>
      <c r="G26" s="143" t="s">
        <v>935</v>
      </c>
      <c r="H26" s="141"/>
      <c r="I26" s="254" t="s">
        <v>936</v>
      </c>
      <c r="J26" s="236" t="s">
        <v>937</v>
      </c>
      <c r="K26" s="148" t="str">
        <f>F26&amp;VLOOKUP(J26,$N$9:$O$114,2,0)</f>
        <v>圣骑1</v>
      </c>
      <c r="L26" s="148">
        <f>VLOOKUP(J26,$N$8:$P$118,3,0)</f>
        <v>4</v>
      </c>
      <c r="M26" s="127">
        <v>120001</v>
      </c>
      <c r="N26" s="128" t="s">
        <v>938</v>
      </c>
      <c r="O26" s="235">
        <v>1</v>
      </c>
      <c r="P26" s="123">
        <v>1</v>
      </c>
    </row>
    <row r="27" spans="3:16">
      <c r="C27" s="255"/>
      <c r="D27" s="244"/>
      <c r="E27" s="245"/>
      <c r="F27" s="246"/>
      <c r="G27" s="143" t="s">
        <v>939</v>
      </c>
      <c r="H27" s="141"/>
      <c r="I27" s="254" t="s">
        <v>940</v>
      </c>
      <c r="J27" s="236"/>
      <c r="K27" s="236"/>
      <c r="L27" s="236"/>
      <c r="M27" s="127">
        <v>120002</v>
      </c>
      <c r="N27" s="128" t="s">
        <v>941</v>
      </c>
      <c r="O27" s="235">
        <v>2</v>
      </c>
      <c r="P27" s="123">
        <v>2</v>
      </c>
    </row>
    <row r="28" spans="3:16">
      <c r="D28" s="244"/>
      <c r="E28" s="245"/>
      <c r="F28" s="246"/>
      <c r="I28" s="238"/>
      <c r="J28" s="236"/>
      <c r="K28" s="236"/>
      <c r="L28" s="236"/>
      <c r="M28" s="127">
        <v>120003</v>
      </c>
      <c r="N28" s="129" t="s">
        <v>942</v>
      </c>
      <c r="P28" s="123">
        <v>3</v>
      </c>
    </row>
    <row r="29" spans="3:16">
      <c r="C29" s="255"/>
      <c r="D29" s="138" t="s">
        <v>943</v>
      </c>
      <c r="E29" s="256"/>
      <c r="F29" s="257" t="s">
        <v>843</v>
      </c>
      <c r="G29" s="143" t="s">
        <v>944</v>
      </c>
      <c r="H29" s="130"/>
      <c r="I29" s="167" t="s">
        <v>945</v>
      </c>
      <c r="J29" s="236" t="s">
        <v>938</v>
      </c>
      <c r="K29" s="148" t="str">
        <f>F29&amp;VLOOKUP(J29,$N$9:$O$114,2,0)</f>
        <v>圣骑1</v>
      </c>
      <c r="L29" s="148">
        <f>VLOOKUP(J29,$N$8:$P$118,3,0)</f>
        <v>1</v>
      </c>
      <c r="M29" s="127">
        <v>120004</v>
      </c>
      <c r="N29" s="131" t="s">
        <v>946</v>
      </c>
      <c r="O29" s="235">
        <v>1</v>
      </c>
      <c r="P29" s="123">
        <v>4</v>
      </c>
    </row>
    <row r="30" spans="3:16">
      <c r="C30" s="253"/>
      <c r="D30" s="138"/>
      <c r="E30" s="256"/>
      <c r="F30" s="257"/>
      <c r="G30" s="258" t="s">
        <v>947</v>
      </c>
      <c r="H30" s="130"/>
      <c r="I30" s="167" t="s">
        <v>948</v>
      </c>
      <c r="J30" s="236"/>
      <c r="K30" s="236"/>
      <c r="L30" s="236"/>
      <c r="M30" s="127">
        <v>120005</v>
      </c>
      <c r="N30" s="132" t="s">
        <v>949</v>
      </c>
      <c r="P30" s="123">
        <v>5</v>
      </c>
    </row>
    <row r="31" spans="3:16">
      <c r="D31" s="244"/>
      <c r="E31" s="245"/>
      <c r="F31" s="246"/>
      <c r="I31" s="238"/>
      <c r="J31" s="236"/>
      <c r="K31" s="236"/>
      <c r="L31" s="236"/>
    </row>
    <row r="32" spans="3:16">
      <c r="C32" s="259"/>
      <c r="D32" s="244" t="s">
        <v>547</v>
      </c>
      <c r="E32" s="245"/>
      <c r="F32" s="246" t="s">
        <v>843</v>
      </c>
      <c r="G32" s="143" t="s">
        <v>950</v>
      </c>
      <c r="H32" s="141"/>
      <c r="I32" s="254" t="s">
        <v>951</v>
      </c>
      <c r="J32" s="236" t="s">
        <v>941</v>
      </c>
      <c r="K32" s="148" t="str">
        <f>F32&amp;VLOOKUP(J32,$N$9:$O$114,2,0)</f>
        <v>圣骑2</v>
      </c>
      <c r="L32" s="148">
        <f>VLOOKUP(J32,$N$8:$P$118,3,0)</f>
        <v>2</v>
      </c>
    </row>
    <row r="33" spans="3:16">
      <c r="C33" s="253"/>
      <c r="D33" s="244"/>
      <c r="E33" s="245"/>
      <c r="F33" s="246"/>
      <c r="G33" s="143" t="s">
        <v>952</v>
      </c>
      <c r="H33" s="141"/>
      <c r="I33" s="254" t="s">
        <v>953</v>
      </c>
      <c r="J33" s="236"/>
      <c r="K33" s="236"/>
      <c r="L33" s="236"/>
    </row>
    <row r="34" spans="3:16">
      <c r="C34" s="260"/>
      <c r="D34" s="244"/>
      <c r="E34" s="245"/>
      <c r="F34" s="246"/>
      <c r="G34" s="290" t="s">
        <v>1256</v>
      </c>
      <c r="I34" s="238" t="s">
        <v>954</v>
      </c>
      <c r="J34" s="236"/>
      <c r="K34" s="236"/>
      <c r="L34" s="236"/>
    </row>
    <row r="35" spans="3:16">
      <c r="D35" s="244"/>
      <c r="E35" s="245"/>
      <c r="F35" s="246"/>
      <c r="I35" s="238"/>
      <c r="J35" s="236"/>
      <c r="K35" s="236"/>
      <c r="L35" s="236"/>
    </row>
    <row r="36" spans="3:16">
      <c r="C36" s="261"/>
      <c r="D36" s="244" t="s">
        <v>845</v>
      </c>
      <c r="E36" s="245"/>
      <c r="F36" s="246" t="s">
        <v>843</v>
      </c>
      <c r="G36" s="262" t="s">
        <v>955</v>
      </c>
      <c r="H36" s="146"/>
      <c r="I36" s="167" t="s">
        <v>956</v>
      </c>
      <c r="J36" s="236" t="s">
        <v>844</v>
      </c>
      <c r="K36" s="148" t="str">
        <f>F36&amp;VLOOKUP(J36,$N$9:$O$114,2,0)</f>
        <v>圣骑1</v>
      </c>
      <c r="L36" s="148">
        <f>VLOOKUP(J36,$N$8:$P$118,3,0)</f>
        <v>4</v>
      </c>
    </row>
    <row r="37" spans="3:16">
      <c r="C37" s="261"/>
      <c r="D37" s="244"/>
      <c r="E37" s="245"/>
      <c r="F37" s="246"/>
      <c r="G37" s="143" t="s">
        <v>957</v>
      </c>
      <c r="H37" s="141"/>
      <c r="I37" s="254" t="s">
        <v>958</v>
      </c>
      <c r="J37" s="236"/>
      <c r="K37" s="236"/>
      <c r="L37" s="236"/>
    </row>
    <row r="38" spans="3:16">
      <c r="D38" s="263"/>
      <c r="E38" s="251"/>
      <c r="F38" s="264"/>
      <c r="I38" s="238"/>
      <c r="J38" s="238"/>
      <c r="K38" s="238"/>
      <c r="L38" s="238"/>
    </row>
    <row r="39" spans="3:16">
      <c r="F39" s="235"/>
      <c r="J39" s="238"/>
      <c r="K39" s="238"/>
      <c r="L39" s="238"/>
    </row>
    <row r="40" spans="3:16">
      <c r="D40" s="240" t="s">
        <v>959</v>
      </c>
      <c r="E40" s="241"/>
      <c r="F40" s="242" t="s">
        <v>960</v>
      </c>
      <c r="G40" s="125" t="s">
        <v>961</v>
      </c>
      <c r="H40" s="141" t="s">
        <v>962</v>
      </c>
      <c r="I40" s="141" t="s">
        <v>963</v>
      </c>
      <c r="J40" s="134" t="s">
        <v>964</v>
      </c>
      <c r="K40" s="148" t="str">
        <f>F40&amp;VLOOKUP(J40,$N$9:$O$114,2,0)</f>
        <v>猎人1</v>
      </c>
      <c r="L40" s="148">
        <f>VLOOKUP(J40,$N$8:$P$118,3,0)</f>
        <v>1</v>
      </c>
    </row>
    <row r="41" spans="3:16">
      <c r="D41" s="244"/>
      <c r="E41" s="245"/>
      <c r="F41" s="246"/>
      <c r="G41" s="125" t="s">
        <v>965</v>
      </c>
      <c r="H41" s="141" t="s">
        <v>966</v>
      </c>
      <c r="I41" s="141" t="s">
        <v>967</v>
      </c>
      <c r="J41" s="238"/>
      <c r="K41" s="238"/>
      <c r="L41" s="238"/>
    </row>
    <row r="42" spans="3:16">
      <c r="D42" s="244"/>
      <c r="E42" s="245"/>
      <c r="F42" s="246"/>
      <c r="G42" s="265" t="s">
        <v>968</v>
      </c>
      <c r="H42" s="141" t="s">
        <v>969</v>
      </c>
      <c r="I42" s="141" t="s">
        <v>970</v>
      </c>
      <c r="J42" s="238"/>
      <c r="K42" s="238"/>
      <c r="L42" s="238"/>
    </row>
    <row r="43" spans="3:16">
      <c r="D43" s="266" t="s">
        <v>971</v>
      </c>
      <c r="E43" s="267"/>
      <c r="F43" s="246" t="s">
        <v>85</v>
      </c>
      <c r="G43" s="262" t="s">
        <v>972</v>
      </c>
      <c r="H43" s="141" t="s">
        <v>973</v>
      </c>
      <c r="I43" s="141" t="s">
        <v>974</v>
      </c>
      <c r="J43" s="134" t="s">
        <v>975</v>
      </c>
      <c r="K43" s="148" t="str">
        <f>F43&amp;VLOOKUP(J43,$N$9:$O$114,2,0)</f>
        <v>猎人2</v>
      </c>
      <c r="L43" s="148">
        <f>VLOOKUP(J43,$N$8:$P$118,3,0)</f>
        <v>5</v>
      </c>
      <c r="M43" s="123">
        <v>130001</v>
      </c>
      <c r="N43" s="133" t="s">
        <v>964</v>
      </c>
      <c r="O43" s="235">
        <v>1</v>
      </c>
      <c r="P43" s="123">
        <v>1</v>
      </c>
    </row>
    <row r="44" spans="3:16">
      <c r="D44" s="244"/>
      <c r="E44" s="245"/>
      <c r="F44" s="246"/>
      <c r="G44" s="125" t="s">
        <v>976</v>
      </c>
      <c r="H44" s="141" t="s">
        <v>969</v>
      </c>
      <c r="I44" s="141" t="s">
        <v>977</v>
      </c>
      <c r="J44" s="238"/>
      <c r="K44" s="238"/>
      <c r="L44" s="238"/>
      <c r="M44" s="123">
        <v>130002</v>
      </c>
      <c r="N44" s="134" t="s">
        <v>978</v>
      </c>
      <c r="P44" s="123">
        <v>2</v>
      </c>
    </row>
    <row r="45" spans="3:16">
      <c r="D45" s="244"/>
      <c r="E45" s="245"/>
      <c r="F45" s="246"/>
      <c r="G45" s="265" t="s">
        <v>968</v>
      </c>
      <c r="I45" s="141" t="s">
        <v>970</v>
      </c>
      <c r="J45" s="238"/>
      <c r="K45" s="238"/>
      <c r="L45" s="238"/>
      <c r="M45" s="123">
        <v>130003</v>
      </c>
      <c r="N45" s="134" t="s">
        <v>979</v>
      </c>
      <c r="P45" s="123">
        <v>3</v>
      </c>
    </row>
    <row r="46" spans="3:16">
      <c r="D46" s="244" t="s">
        <v>980</v>
      </c>
      <c r="E46" s="245"/>
      <c r="F46" s="246" t="s">
        <v>85</v>
      </c>
      <c r="G46" s="125" t="s">
        <v>981</v>
      </c>
      <c r="H46" s="146" t="s">
        <v>982</v>
      </c>
      <c r="I46" s="146" t="s">
        <v>982</v>
      </c>
      <c r="J46" s="134" t="s">
        <v>964</v>
      </c>
      <c r="K46" s="148" t="str">
        <f>F46&amp;VLOOKUP(J46,$N$9:$O$114,2,0)</f>
        <v>猎人1</v>
      </c>
      <c r="L46" s="148">
        <f>VLOOKUP(J46,$N$8:$P$118,3,0)</f>
        <v>1</v>
      </c>
      <c r="M46" s="123">
        <v>130004</v>
      </c>
      <c r="N46" s="134" t="s">
        <v>983</v>
      </c>
      <c r="P46" s="123">
        <v>4</v>
      </c>
    </row>
    <row r="47" spans="3:16">
      <c r="D47" s="244"/>
      <c r="E47" s="245"/>
      <c r="F47" s="246"/>
      <c r="G47" s="125" t="s">
        <v>984</v>
      </c>
      <c r="H47" s="141" t="s">
        <v>985</v>
      </c>
      <c r="I47" s="141" t="s">
        <v>986</v>
      </c>
      <c r="J47" s="238"/>
      <c r="K47" s="238"/>
      <c r="L47" s="238"/>
      <c r="M47" s="123">
        <v>130005</v>
      </c>
      <c r="N47" s="133" t="s">
        <v>975</v>
      </c>
      <c r="O47" s="235">
        <v>2</v>
      </c>
      <c r="P47" s="123">
        <v>5</v>
      </c>
    </row>
    <row r="48" spans="3:16">
      <c r="D48" s="263"/>
      <c r="E48" s="268"/>
      <c r="F48" s="264"/>
      <c r="G48" s="265" t="s">
        <v>968</v>
      </c>
      <c r="H48" s="141" t="s">
        <v>969</v>
      </c>
      <c r="I48" s="141" t="s">
        <v>970</v>
      </c>
      <c r="J48" s="238"/>
      <c r="K48" s="238"/>
      <c r="L48" s="238"/>
    </row>
    <row r="49" spans="3:16">
      <c r="F49" s="235"/>
      <c r="J49" s="238"/>
      <c r="K49" s="238"/>
      <c r="L49" s="238"/>
    </row>
    <row r="50" spans="3:16">
      <c r="C50" s="253"/>
      <c r="D50" s="269"/>
      <c r="E50" s="270"/>
      <c r="F50" s="242" t="s">
        <v>987</v>
      </c>
      <c r="G50" s="271" t="s">
        <v>988</v>
      </c>
      <c r="H50" s="135" t="s">
        <v>989</v>
      </c>
      <c r="I50" s="135" t="s">
        <v>990</v>
      </c>
      <c r="J50" s="128" t="s">
        <v>1258</v>
      </c>
      <c r="K50" s="147" t="str">
        <f>F50&amp;VLOOKUP(J50,$N$9:$O$114,2,0)</f>
        <v>德鲁伊1</v>
      </c>
      <c r="L50" s="148">
        <f>VLOOKUP(J50,$N$8:$P$118,3,0)</f>
        <v>4</v>
      </c>
    </row>
    <row r="51" spans="3:16">
      <c r="C51" s="272" t="s">
        <v>991</v>
      </c>
      <c r="D51" s="244" t="s">
        <v>550</v>
      </c>
      <c r="E51" s="245"/>
      <c r="F51" s="246"/>
      <c r="G51" s="273" t="s">
        <v>1244</v>
      </c>
      <c r="H51" s="269" t="s">
        <v>992</v>
      </c>
      <c r="I51" s="269" t="s">
        <v>1149</v>
      </c>
      <c r="J51" s="57"/>
      <c r="K51" s="92"/>
      <c r="L51" s="92"/>
      <c r="M51" s="136">
        <v>140001</v>
      </c>
      <c r="N51" s="139" t="s">
        <v>993</v>
      </c>
      <c r="P51" s="123">
        <v>1</v>
      </c>
    </row>
    <row r="52" spans="3:16">
      <c r="D52" s="138"/>
      <c r="E52" s="256"/>
      <c r="F52" s="246"/>
      <c r="G52" s="273"/>
      <c r="H52" s="274"/>
      <c r="I52" s="274"/>
      <c r="J52" s="57"/>
      <c r="K52" s="92"/>
      <c r="L52" s="92"/>
      <c r="M52" s="136">
        <v>140002</v>
      </c>
      <c r="N52" s="139" t="s">
        <v>1257</v>
      </c>
      <c r="P52" s="123">
        <v>2</v>
      </c>
    </row>
    <row r="53" spans="3:16">
      <c r="C53" s="253"/>
      <c r="D53" s="138" t="s">
        <v>1874</v>
      </c>
      <c r="E53" s="256"/>
      <c r="F53" s="246" t="s">
        <v>107</v>
      </c>
      <c r="G53" s="275" t="s">
        <v>994</v>
      </c>
      <c r="H53" s="263" t="s">
        <v>846</v>
      </c>
      <c r="I53" s="276" t="s">
        <v>995</v>
      </c>
      <c r="J53" s="128" t="s">
        <v>1262</v>
      </c>
      <c r="K53" s="147" t="str">
        <f>F53&amp;VLOOKUP(J53,$N$9:$O$114,2,0)</f>
        <v>德鲁伊1</v>
      </c>
      <c r="L53" s="148">
        <f>VLOOKUP(J53,$N$8:$P$118,3,0)</f>
        <v>4</v>
      </c>
      <c r="M53" s="136">
        <v>140003</v>
      </c>
      <c r="N53" s="137" t="s">
        <v>1264</v>
      </c>
      <c r="O53" s="235">
        <v>2</v>
      </c>
      <c r="P53" s="123">
        <v>3</v>
      </c>
    </row>
    <row r="54" spans="3:16">
      <c r="C54" s="277"/>
      <c r="D54" s="244"/>
      <c r="E54" s="245"/>
      <c r="F54" s="246"/>
      <c r="G54" s="278" t="s">
        <v>1260</v>
      </c>
      <c r="H54" s="274" t="s">
        <v>847</v>
      </c>
      <c r="I54" s="263" t="s">
        <v>996</v>
      </c>
      <c r="J54" s="57"/>
      <c r="K54" s="92"/>
      <c r="L54" s="92"/>
      <c r="M54" s="136">
        <v>140004</v>
      </c>
      <c r="N54" s="137" t="s">
        <v>1259</v>
      </c>
      <c r="O54" s="164">
        <v>1</v>
      </c>
      <c r="P54" s="123">
        <v>4</v>
      </c>
    </row>
    <row r="55" spans="3:16">
      <c r="C55" s="272" t="s">
        <v>991</v>
      </c>
      <c r="D55" s="279"/>
      <c r="E55" s="164"/>
      <c r="F55" s="280"/>
      <c r="G55" s="119" t="s">
        <v>1873</v>
      </c>
      <c r="J55" s="57"/>
      <c r="K55" s="92"/>
      <c r="L55" s="92"/>
      <c r="M55" s="136">
        <v>140005</v>
      </c>
      <c r="N55" s="139" t="s">
        <v>997</v>
      </c>
      <c r="P55" s="123">
        <v>5</v>
      </c>
    </row>
    <row r="56" spans="3:16">
      <c r="C56" s="253"/>
      <c r="D56" s="244" t="s">
        <v>848</v>
      </c>
      <c r="E56" s="245"/>
      <c r="F56" s="246" t="s">
        <v>987</v>
      </c>
      <c r="G56" s="291" t="s">
        <v>1261</v>
      </c>
      <c r="H56" s="140" t="s">
        <v>998</v>
      </c>
      <c r="I56" s="140" t="s">
        <v>999</v>
      </c>
      <c r="J56" s="128" t="s">
        <v>1263</v>
      </c>
      <c r="K56" s="147" t="str">
        <f>F56&amp;VLOOKUP(J56,$N$9:$O$114,2,0)</f>
        <v>德鲁伊2</v>
      </c>
      <c r="L56" s="148">
        <f>VLOOKUP(J56,$N$8:$P$118,3,0)</f>
        <v>3</v>
      </c>
    </row>
    <row r="57" spans="3:16">
      <c r="C57" s="272" t="s">
        <v>1000</v>
      </c>
      <c r="D57" s="244"/>
      <c r="E57" s="245"/>
      <c r="F57" s="246"/>
      <c r="G57" s="281" t="s">
        <v>1001</v>
      </c>
      <c r="H57" s="165" t="s">
        <v>1002</v>
      </c>
      <c r="I57" s="165" t="s">
        <v>1003</v>
      </c>
      <c r="J57" s="282"/>
      <c r="K57" s="92"/>
      <c r="L57" s="92"/>
    </row>
    <row r="58" spans="3:16">
      <c r="D58" s="263"/>
      <c r="E58" s="268"/>
      <c r="F58" s="264"/>
      <c r="G58" s="283"/>
      <c r="H58" s="141"/>
      <c r="I58" s="141"/>
      <c r="J58" s="254"/>
      <c r="K58" s="254"/>
      <c r="L58" s="81"/>
    </row>
    <row r="59" spans="3:16">
      <c r="F59" s="235"/>
      <c r="J59" s="238"/>
      <c r="K59" s="238"/>
      <c r="L59" s="238"/>
    </row>
    <row r="60" spans="3:16">
      <c r="D60" s="240" t="s">
        <v>541</v>
      </c>
      <c r="E60" s="241"/>
      <c r="F60" s="242" t="s">
        <v>1004</v>
      </c>
      <c r="G60" s="143" t="s">
        <v>1005</v>
      </c>
      <c r="H60" s="120"/>
      <c r="I60" s="120" t="s">
        <v>1006</v>
      </c>
      <c r="J60" s="166" t="s">
        <v>1254</v>
      </c>
      <c r="K60" s="148" t="str">
        <f>F60&amp;VLOOKUP(J60,$N$9:$O$114,2,0)</f>
        <v>法师2</v>
      </c>
      <c r="L60" s="148">
        <f>VLOOKUP(J60,$N$8:$P$118,3,0)</f>
        <v>2</v>
      </c>
    </row>
    <row r="61" spans="3:16">
      <c r="D61" s="244"/>
      <c r="E61" s="245"/>
      <c r="F61" s="246"/>
      <c r="G61" s="143" t="s">
        <v>1007</v>
      </c>
      <c r="H61" s="120"/>
      <c r="I61" s="120" t="s">
        <v>849</v>
      </c>
      <c r="J61" s="238"/>
      <c r="K61" s="238"/>
      <c r="L61" s="238"/>
    </row>
    <row r="62" spans="3:16">
      <c r="D62" s="244"/>
      <c r="E62" s="245"/>
      <c r="F62" s="246"/>
      <c r="G62" s="143" t="s">
        <v>1008</v>
      </c>
      <c r="H62" s="122" t="s">
        <v>1009</v>
      </c>
      <c r="I62" s="122" t="s">
        <v>1009</v>
      </c>
      <c r="J62" s="238"/>
      <c r="K62" s="238"/>
      <c r="L62" s="238"/>
      <c r="M62" s="123">
        <v>150001</v>
      </c>
      <c r="N62" s="133" t="s">
        <v>1010</v>
      </c>
      <c r="O62" s="235">
        <v>1</v>
      </c>
      <c r="P62" s="123">
        <v>1</v>
      </c>
    </row>
    <row r="63" spans="3:16">
      <c r="D63" s="244" t="s">
        <v>1011</v>
      </c>
      <c r="E63" s="245"/>
      <c r="F63" s="246" t="s">
        <v>126</v>
      </c>
      <c r="G63" s="143" t="s">
        <v>1012</v>
      </c>
      <c r="H63" s="141"/>
      <c r="I63" s="120" t="s">
        <v>1013</v>
      </c>
      <c r="J63" s="166" t="s">
        <v>1010</v>
      </c>
      <c r="K63" s="148" t="str">
        <f>F63&amp;VLOOKUP(J63,$N$9:$O$114,2,0)</f>
        <v>法师1</v>
      </c>
      <c r="L63" s="148">
        <f>VLOOKUP(J63,$N$8:$P$118,3,0)</f>
        <v>1</v>
      </c>
      <c r="M63" s="123">
        <v>150002</v>
      </c>
      <c r="N63" s="133" t="s">
        <v>1014</v>
      </c>
      <c r="O63" s="235">
        <v>2</v>
      </c>
      <c r="P63" s="123">
        <v>2</v>
      </c>
    </row>
    <row r="64" spans="3:16">
      <c r="D64" s="244"/>
      <c r="E64" s="245"/>
      <c r="F64" s="246"/>
      <c r="G64" s="143" t="s">
        <v>1015</v>
      </c>
      <c r="H64" s="120"/>
      <c r="I64" s="120" t="s">
        <v>1016</v>
      </c>
      <c r="J64" s="238"/>
      <c r="K64" s="238"/>
      <c r="L64" s="238"/>
      <c r="M64" s="142">
        <v>150003</v>
      </c>
      <c r="N64" s="139" t="s">
        <v>1017</v>
      </c>
      <c r="P64" s="123">
        <v>3</v>
      </c>
    </row>
    <row r="65" spans="4:16">
      <c r="D65" s="244"/>
      <c r="E65" s="245"/>
      <c r="F65" s="246"/>
      <c r="G65" s="143" t="s">
        <v>1018</v>
      </c>
      <c r="H65" s="122" t="s">
        <v>1009</v>
      </c>
      <c r="I65" s="122" t="s">
        <v>1009</v>
      </c>
      <c r="J65" s="238"/>
      <c r="K65" s="238"/>
      <c r="L65" s="238"/>
      <c r="M65" s="123">
        <v>150004</v>
      </c>
      <c r="N65" s="134" t="s">
        <v>1019</v>
      </c>
      <c r="P65" s="123">
        <v>4</v>
      </c>
    </row>
    <row r="66" spans="4:16">
      <c r="D66" s="138" t="s">
        <v>1020</v>
      </c>
      <c r="E66" s="256"/>
      <c r="F66" s="257" t="s">
        <v>1004</v>
      </c>
      <c r="G66" s="143" t="s">
        <v>1021</v>
      </c>
      <c r="H66" s="130" t="s">
        <v>850</v>
      </c>
      <c r="I66" s="130" t="s">
        <v>1022</v>
      </c>
      <c r="J66" s="166" t="s">
        <v>135</v>
      </c>
      <c r="K66" s="148" t="str">
        <f>F66&amp;VLOOKUP(J66,$N$9:$O$114,2,0)</f>
        <v>法师2</v>
      </c>
      <c r="L66" s="148">
        <f>VLOOKUP(J66,$N$8:$P$118,3,0)</f>
        <v>2</v>
      </c>
      <c r="M66" s="142">
        <v>150005</v>
      </c>
      <c r="N66" s="134" t="s">
        <v>1255</v>
      </c>
      <c r="P66" s="123">
        <v>5</v>
      </c>
    </row>
    <row r="67" spans="4:16">
      <c r="D67" s="138"/>
      <c r="E67" s="256"/>
      <c r="F67" s="257"/>
      <c r="G67" s="143" t="s">
        <v>1253</v>
      </c>
      <c r="H67" s="130" t="s">
        <v>851</v>
      </c>
      <c r="I67" s="130" t="s">
        <v>1023</v>
      </c>
      <c r="J67" s="238"/>
      <c r="K67" s="238"/>
      <c r="L67" s="238"/>
    </row>
    <row r="68" spans="4:16">
      <c r="D68" s="244"/>
      <c r="E68" s="245"/>
      <c r="F68" s="246"/>
      <c r="G68" s="167"/>
      <c r="H68" s="141"/>
      <c r="I68" s="141"/>
      <c r="J68" s="238"/>
      <c r="K68" s="238"/>
      <c r="L68" s="238"/>
    </row>
    <row r="69" spans="4:16">
      <c r="D69" s="244" t="s">
        <v>852</v>
      </c>
      <c r="E69" s="245"/>
      <c r="F69" s="246" t="s">
        <v>126</v>
      </c>
      <c r="G69" s="249" t="s">
        <v>1024</v>
      </c>
      <c r="H69" s="141" t="s">
        <v>1025</v>
      </c>
      <c r="I69" s="141" t="s">
        <v>1026</v>
      </c>
      <c r="J69" s="166" t="s">
        <v>1010</v>
      </c>
      <c r="K69" s="148" t="str">
        <f>F69&amp;VLOOKUP(J69,$N$9:$O$114,2,0)</f>
        <v>法师1</v>
      </c>
      <c r="L69" s="148">
        <f>VLOOKUP(J69,$N$8:$P$118,3,0)</f>
        <v>1</v>
      </c>
    </row>
    <row r="70" spans="4:16">
      <c r="D70" s="244"/>
      <c r="E70" s="245"/>
      <c r="F70" s="246"/>
      <c r="G70" s="143" t="s">
        <v>1027</v>
      </c>
      <c r="H70" s="120" t="s">
        <v>1028</v>
      </c>
      <c r="I70" s="120" t="s">
        <v>1029</v>
      </c>
      <c r="J70" s="238"/>
      <c r="K70" s="238"/>
      <c r="L70" s="238"/>
    </row>
    <row r="71" spans="4:16">
      <c r="D71" s="263"/>
      <c r="E71" s="268"/>
      <c r="F71" s="264"/>
      <c r="G71" s="143"/>
      <c r="H71" s="141"/>
      <c r="I71" s="141"/>
      <c r="J71" s="238"/>
      <c r="K71" s="238"/>
      <c r="L71" s="238"/>
    </row>
    <row r="72" spans="4:16">
      <c r="J72" s="238"/>
      <c r="K72" s="238"/>
      <c r="L72" s="238"/>
    </row>
    <row r="73" spans="4:16">
      <c r="D73" s="240" t="s">
        <v>544</v>
      </c>
      <c r="E73" s="241"/>
      <c r="F73" s="242" t="s">
        <v>1030</v>
      </c>
      <c r="G73" s="143" t="s">
        <v>1246</v>
      </c>
      <c r="H73" s="144" t="s">
        <v>853</v>
      </c>
      <c r="I73" s="141" t="s">
        <v>1031</v>
      </c>
      <c r="J73" s="139" t="s">
        <v>1032</v>
      </c>
      <c r="K73" s="148" t="str">
        <f>F73&amp;VLOOKUP(J73,$N$9:$O$114,2,0)</f>
        <v>牧师2</v>
      </c>
      <c r="L73" s="148">
        <f>VLOOKUP(J73,$N$8:$P$118,3,0)</f>
        <v>3</v>
      </c>
    </row>
    <row r="74" spans="4:16">
      <c r="D74" s="244"/>
      <c r="E74" s="245"/>
      <c r="F74" s="246"/>
      <c r="G74" s="143" t="s">
        <v>1265</v>
      </c>
      <c r="H74" s="144" t="s">
        <v>854</v>
      </c>
      <c r="I74" s="141" t="s">
        <v>1033</v>
      </c>
      <c r="J74" s="238"/>
      <c r="K74" s="238"/>
      <c r="L74" s="238"/>
      <c r="M74" s="142">
        <v>160001</v>
      </c>
      <c r="N74" s="139" t="s">
        <v>1034</v>
      </c>
      <c r="P74" s="123">
        <v>1</v>
      </c>
    </row>
    <row r="75" spans="4:16">
      <c r="D75" s="244"/>
      <c r="E75" s="245"/>
      <c r="F75" s="246"/>
      <c r="G75" s="143"/>
      <c r="H75" s="144"/>
      <c r="I75" s="144"/>
      <c r="J75" s="238"/>
      <c r="K75" s="238"/>
      <c r="L75" s="238"/>
      <c r="M75" s="142">
        <v>160002</v>
      </c>
      <c r="N75" s="137" t="s">
        <v>1035</v>
      </c>
      <c r="O75" s="235">
        <v>1</v>
      </c>
      <c r="P75" s="123">
        <v>2</v>
      </c>
    </row>
    <row r="76" spans="4:16">
      <c r="D76" s="138" t="s">
        <v>1036</v>
      </c>
      <c r="E76" s="256" t="s">
        <v>1037</v>
      </c>
      <c r="F76" s="246" t="s">
        <v>1030</v>
      </c>
      <c r="G76" s="143" t="s">
        <v>1038</v>
      </c>
      <c r="H76" s="141" t="s">
        <v>855</v>
      </c>
      <c r="I76" s="141" t="s">
        <v>1039</v>
      </c>
      <c r="J76" s="139" t="s">
        <v>1035</v>
      </c>
      <c r="K76" s="148" t="str">
        <f>F76&amp;VLOOKUP(J76,$N$9:$O$114,2,0)</f>
        <v>牧师1</v>
      </c>
      <c r="L76" s="148">
        <f>VLOOKUP(J76,$N$8:$P$118,3,0)</f>
        <v>2</v>
      </c>
      <c r="M76" s="142">
        <v>160003</v>
      </c>
      <c r="N76" s="137" t="s">
        <v>1032</v>
      </c>
      <c r="O76" s="235">
        <v>2</v>
      </c>
      <c r="P76" s="123">
        <v>3</v>
      </c>
    </row>
    <row r="77" spans="4:16">
      <c r="D77" s="244"/>
      <c r="E77" s="245"/>
      <c r="F77" s="246"/>
      <c r="G77" s="143" t="s">
        <v>1040</v>
      </c>
      <c r="H77" s="141" t="s">
        <v>1041</v>
      </c>
      <c r="I77" s="141" t="s">
        <v>1042</v>
      </c>
      <c r="J77" s="238"/>
      <c r="K77" s="238"/>
      <c r="L77" s="238"/>
      <c r="M77" s="142">
        <v>160004</v>
      </c>
      <c r="N77" s="139" t="s">
        <v>1043</v>
      </c>
      <c r="P77" s="123">
        <v>4</v>
      </c>
    </row>
    <row r="78" spans="4:16">
      <c r="D78" s="244"/>
      <c r="E78" s="245"/>
      <c r="F78" s="246"/>
      <c r="G78" s="143"/>
      <c r="J78" s="238"/>
      <c r="K78" s="238"/>
      <c r="L78" s="238"/>
      <c r="M78" s="142">
        <v>160005</v>
      </c>
      <c r="N78" s="134" t="s">
        <v>1044</v>
      </c>
      <c r="P78" s="123">
        <v>5</v>
      </c>
    </row>
    <row r="79" spans="4:16">
      <c r="D79" s="138" t="s">
        <v>1045</v>
      </c>
      <c r="E79" s="256" t="s">
        <v>856</v>
      </c>
      <c r="F79" s="246" t="s">
        <v>1030</v>
      </c>
      <c r="G79" s="143" t="s">
        <v>1046</v>
      </c>
      <c r="H79" s="141" t="s">
        <v>1047</v>
      </c>
      <c r="I79" s="141" t="s">
        <v>1047</v>
      </c>
      <c r="J79" s="139" t="s">
        <v>1035</v>
      </c>
      <c r="K79" s="148" t="str">
        <f>F79&amp;VLOOKUP(J79,$N$9:$O$114,2,0)</f>
        <v>牧师1</v>
      </c>
      <c r="L79" s="148">
        <f>VLOOKUP(J79,$N$8:$P$118,3,0)</f>
        <v>2</v>
      </c>
    </row>
    <row r="80" spans="4:16">
      <c r="D80" s="244"/>
      <c r="E80" s="245"/>
      <c r="F80" s="246"/>
      <c r="G80" s="143" t="s">
        <v>1803</v>
      </c>
      <c r="H80" s="141" t="s">
        <v>1048</v>
      </c>
      <c r="I80" s="141" t="s">
        <v>1048</v>
      </c>
      <c r="J80" s="238"/>
      <c r="K80" s="238"/>
      <c r="L80" s="238"/>
    </row>
    <row r="81" spans="4:20">
      <c r="D81" s="244"/>
      <c r="E81" s="245"/>
      <c r="F81" s="246"/>
      <c r="G81" s="145"/>
      <c r="J81" s="238"/>
      <c r="K81" s="238"/>
      <c r="L81" s="238"/>
    </row>
    <row r="82" spans="4:20">
      <c r="D82" s="244" t="s">
        <v>857</v>
      </c>
      <c r="E82" s="245"/>
      <c r="F82" s="246" t="s">
        <v>148</v>
      </c>
      <c r="G82" s="143" t="s">
        <v>1150</v>
      </c>
      <c r="H82" s="141" t="s">
        <v>1049</v>
      </c>
      <c r="I82" s="141" t="s">
        <v>1049</v>
      </c>
      <c r="J82" s="139" t="s">
        <v>1035</v>
      </c>
      <c r="K82" s="148" t="str">
        <f>F82&amp;VLOOKUP(J82,$N$9:$O$114,2,0)</f>
        <v>牧师1</v>
      </c>
      <c r="L82" s="148">
        <f>VLOOKUP(J82,$N$8:$P$118,3,0)</f>
        <v>2</v>
      </c>
    </row>
    <row r="83" spans="4:20">
      <c r="D83" s="244"/>
      <c r="E83" s="245"/>
      <c r="F83" s="246"/>
      <c r="G83" s="249" t="s">
        <v>858</v>
      </c>
      <c r="H83" s="141" t="s">
        <v>1050</v>
      </c>
      <c r="I83" s="284" t="s">
        <v>1051</v>
      </c>
      <c r="J83" s="238"/>
      <c r="K83" s="238"/>
      <c r="L83" s="238"/>
    </row>
    <row r="84" spans="4:20">
      <c r="D84" s="263"/>
      <c r="E84" s="268"/>
      <c r="F84" s="264"/>
      <c r="J84" s="238"/>
      <c r="K84" s="238"/>
      <c r="L84" s="238"/>
    </row>
    <row r="85" spans="4:20">
      <c r="F85" s="235"/>
      <c r="J85" s="238"/>
      <c r="K85" s="238"/>
      <c r="L85" s="238"/>
    </row>
    <row r="86" spans="4:20">
      <c r="D86" s="240" t="s">
        <v>1052</v>
      </c>
      <c r="E86" s="241"/>
      <c r="F86" s="242" t="s">
        <v>859</v>
      </c>
      <c r="G86" s="143" t="s">
        <v>1053</v>
      </c>
      <c r="H86" s="146" t="s">
        <v>1054</v>
      </c>
      <c r="I86" s="146" t="s">
        <v>1055</v>
      </c>
      <c r="J86" s="295" t="s">
        <v>1248</v>
      </c>
      <c r="K86" s="148" t="str">
        <f>F86&amp;VLOOKUP(J86,$N$9:$O$114,2,0)</f>
        <v>萨满1</v>
      </c>
      <c r="L86" s="148">
        <f>VLOOKUP(J86,$N$8:$P$118,3,0)</f>
        <v>1</v>
      </c>
    </row>
    <row r="87" spans="4:20">
      <c r="D87" s="244"/>
      <c r="E87" s="245"/>
      <c r="F87" s="246"/>
      <c r="G87" s="292" t="s">
        <v>1247</v>
      </c>
      <c r="H87" s="141" t="s">
        <v>1056</v>
      </c>
      <c r="I87" s="141" t="s">
        <v>1057</v>
      </c>
      <c r="J87" s="238"/>
      <c r="K87" s="238"/>
      <c r="L87" s="238"/>
      <c r="S87" s="119"/>
      <c r="T87" s="119"/>
    </row>
    <row r="88" spans="4:20">
      <c r="D88" s="244"/>
      <c r="E88" s="245"/>
      <c r="F88" s="246"/>
      <c r="J88" s="238"/>
      <c r="K88" s="238"/>
      <c r="L88" s="238"/>
    </row>
    <row r="89" spans="4:20">
      <c r="D89" s="244" t="s">
        <v>1058</v>
      </c>
      <c r="E89" s="245"/>
      <c r="F89" s="246" t="s">
        <v>1059</v>
      </c>
      <c r="G89" s="125" t="s">
        <v>1060</v>
      </c>
      <c r="H89" s="141" t="s">
        <v>1061</v>
      </c>
      <c r="I89" s="141" t="s">
        <v>1062</v>
      </c>
      <c r="J89" s="295" t="s">
        <v>1245</v>
      </c>
      <c r="K89" s="148" t="str">
        <f>F89&amp;VLOOKUP(J89,$N$9:$O$114,2,0)</f>
        <v>萨满2</v>
      </c>
      <c r="L89" s="148">
        <f>VLOOKUP(J89,$N$8:$P$118,3,0)</f>
        <v>4</v>
      </c>
      <c r="M89" s="142">
        <v>161001</v>
      </c>
      <c r="N89" s="121" t="s">
        <v>1063</v>
      </c>
      <c r="O89" s="235">
        <v>1</v>
      </c>
      <c r="P89" s="123">
        <v>1</v>
      </c>
    </row>
    <row r="90" spans="4:20">
      <c r="D90" s="244"/>
      <c r="E90" s="245"/>
      <c r="F90" s="246"/>
      <c r="G90" s="292" t="s">
        <v>1266</v>
      </c>
      <c r="H90" s="141" t="s">
        <v>1064</v>
      </c>
      <c r="I90" s="120" t="s">
        <v>1249</v>
      </c>
      <c r="J90" s="238"/>
      <c r="K90" s="238"/>
      <c r="L90" s="238"/>
      <c r="M90" s="142">
        <v>161002</v>
      </c>
      <c r="N90" s="121" t="s">
        <v>1065</v>
      </c>
      <c r="O90" s="235">
        <v>2</v>
      </c>
      <c r="P90" s="123">
        <v>2</v>
      </c>
    </row>
    <row r="91" spans="4:20">
      <c r="D91" s="244"/>
      <c r="E91" s="245"/>
      <c r="F91" s="246"/>
      <c r="G91" s="143"/>
      <c r="H91" s="141" t="s">
        <v>1066</v>
      </c>
      <c r="I91" s="141"/>
      <c r="J91" s="238"/>
      <c r="K91" s="238"/>
      <c r="L91" s="238"/>
      <c r="M91" s="142">
        <v>161003</v>
      </c>
      <c r="N91" s="124" t="s">
        <v>1067</v>
      </c>
      <c r="P91" s="123">
        <v>3</v>
      </c>
    </row>
    <row r="92" spans="4:20">
      <c r="D92" s="244" t="s">
        <v>1068</v>
      </c>
      <c r="E92" s="245"/>
      <c r="F92" s="246" t="s">
        <v>859</v>
      </c>
      <c r="G92" s="143" t="s">
        <v>1069</v>
      </c>
      <c r="H92" s="141" t="s">
        <v>1070</v>
      </c>
      <c r="I92" s="284" t="s">
        <v>1071</v>
      </c>
      <c r="J92" s="148" t="s">
        <v>1065</v>
      </c>
      <c r="K92" s="148" t="str">
        <f>F92&amp;VLOOKUP(J92,$N$9:$O$114,2,0)</f>
        <v>萨满2</v>
      </c>
      <c r="L92" s="148">
        <f>VLOOKUP(J92,$N$8:$P$118,3,0)</f>
        <v>2</v>
      </c>
      <c r="M92" s="142">
        <v>161004</v>
      </c>
      <c r="N92" s="121" t="s">
        <v>1245</v>
      </c>
      <c r="O92" s="235">
        <v>2</v>
      </c>
      <c r="P92" s="123">
        <v>4</v>
      </c>
    </row>
    <row r="93" spans="4:20">
      <c r="D93" s="244"/>
      <c r="E93" s="245"/>
      <c r="F93" s="246"/>
      <c r="G93" s="249" t="s">
        <v>1072</v>
      </c>
      <c r="H93" s="141" t="s">
        <v>1073</v>
      </c>
      <c r="I93" s="141" t="s">
        <v>1074</v>
      </c>
      <c r="J93" s="238"/>
      <c r="K93" s="238"/>
      <c r="L93" s="238"/>
      <c r="M93" s="142">
        <v>161005</v>
      </c>
      <c r="N93" s="124" t="s">
        <v>1075</v>
      </c>
      <c r="P93" s="123">
        <v>5</v>
      </c>
    </row>
    <row r="94" spans="4:20">
      <c r="D94" s="244"/>
      <c r="E94" s="245"/>
      <c r="F94" s="246"/>
      <c r="J94" s="238"/>
      <c r="K94" s="238"/>
      <c r="L94" s="238"/>
    </row>
    <row r="95" spans="4:20">
      <c r="D95" s="138" t="s">
        <v>1076</v>
      </c>
      <c r="E95" s="256"/>
      <c r="F95" s="246" t="s">
        <v>1059</v>
      </c>
      <c r="G95" s="143" t="s">
        <v>1077</v>
      </c>
      <c r="H95" s="141" t="s">
        <v>1049</v>
      </c>
      <c r="I95" s="141" t="s">
        <v>1078</v>
      </c>
      <c r="J95" s="148" t="s">
        <v>1063</v>
      </c>
      <c r="K95" s="148" t="str">
        <f>F95&amp;VLOOKUP(J95,$N$9:$O$114,2,0)</f>
        <v>萨满1</v>
      </c>
      <c r="L95" s="148">
        <f>VLOOKUP(J95,$N$8:$P$118,3,0)</f>
        <v>1</v>
      </c>
    </row>
    <row r="96" spans="4:20">
      <c r="D96" s="244"/>
      <c r="E96" s="245"/>
      <c r="F96" s="246"/>
      <c r="G96" s="143" t="s">
        <v>1243</v>
      </c>
      <c r="H96" s="141" t="s">
        <v>1050</v>
      </c>
      <c r="I96" s="141" t="s">
        <v>1079</v>
      </c>
      <c r="J96" s="238"/>
      <c r="K96" s="238"/>
      <c r="L96" s="238"/>
    </row>
    <row r="97" spans="4:20">
      <c r="D97" s="250"/>
      <c r="E97" s="251"/>
      <c r="F97" s="252"/>
      <c r="J97" s="238"/>
      <c r="K97" s="238"/>
      <c r="L97" s="238"/>
    </row>
    <row r="98" spans="4:20">
      <c r="J98" s="238"/>
      <c r="K98" s="238"/>
      <c r="L98" s="238"/>
    </row>
    <row r="99" spans="4:20">
      <c r="D99" s="240" t="s">
        <v>546</v>
      </c>
      <c r="E99" s="241"/>
      <c r="F99" s="242" t="s">
        <v>570</v>
      </c>
      <c r="G99" s="143" t="s">
        <v>1250</v>
      </c>
      <c r="H99" s="285" t="s">
        <v>1080</v>
      </c>
      <c r="I99" s="285" t="s">
        <v>1081</v>
      </c>
      <c r="J99" s="148" t="s">
        <v>1082</v>
      </c>
      <c r="K99" s="148" t="str">
        <f>F99&amp;VLOOKUP(J99,$N$9:$O$114,2,0)</f>
        <v>盗贼2</v>
      </c>
      <c r="L99" s="148">
        <f>VLOOKUP(J99,$N$8:$P$118,3,0)</f>
        <v>1</v>
      </c>
      <c r="M99" s="142">
        <v>162001</v>
      </c>
      <c r="N99" s="147" t="s">
        <v>1082</v>
      </c>
      <c r="O99" s="235">
        <v>2</v>
      </c>
      <c r="P99" s="123">
        <v>1</v>
      </c>
    </row>
    <row r="100" spans="4:20">
      <c r="D100" s="244"/>
      <c r="E100" s="245"/>
      <c r="F100" s="246"/>
      <c r="G100" s="143" t="s">
        <v>1083</v>
      </c>
      <c r="H100" s="141" t="s">
        <v>860</v>
      </c>
      <c r="I100" s="141" t="s">
        <v>1084</v>
      </c>
      <c r="J100" s="238"/>
      <c r="K100" s="238"/>
      <c r="L100" s="238"/>
      <c r="M100" s="142">
        <v>162002</v>
      </c>
      <c r="N100" s="148" t="s">
        <v>1085</v>
      </c>
      <c r="O100" s="235">
        <v>1</v>
      </c>
      <c r="P100" s="123">
        <v>2</v>
      </c>
    </row>
    <row r="101" spans="4:20">
      <c r="D101" s="244"/>
      <c r="E101" s="245"/>
      <c r="F101" s="246"/>
      <c r="G101" s="167"/>
      <c r="J101" s="238"/>
      <c r="K101" s="238"/>
      <c r="L101" s="238"/>
      <c r="M101" s="142">
        <v>162003</v>
      </c>
      <c r="N101" s="147" t="s">
        <v>1086</v>
      </c>
      <c r="O101" s="235">
        <v>1</v>
      </c>
      <c r="P101" s="123">
        <v>3</v>
      </c>
    </row>
    <row r="102" spans="4:20">
      <c r="D102" s="244" t="s">
        <v>545</v>
      </c>
      <c r="E102" s="245"/>
      <c r="F102" s="246" t="s">
        <v>570</v>
      </c>
      <c r="G102" s="143" t="s">
        <v>1251</v>
      </c>
      <c r="H102" s="141" t="s">
        <v>861</v>
      </c>
      <c r="I102" s="141" t="s">
        <v>1087</v>
      </c>
      <c r="J102" s="168" t="s">
        <v>1085</v>
      </c>
      <c r="K102" s="148" t="str">
        <f>F102&amp;VLOOKUP(J102,$N$9:$O$114,2,0)</f>
        <v>盗贼1</v>
      </c>
      <c r="L102" s="148">
        <f>VLOOKUP(J102,$N$8:$P$118,3,0)</f>
        <v>2</v>
      </c>
      <c r="M102" s="142">
        <v>162004</v>
      </c>
      <c r="N102" s="148" t="s">
        <v>1088</v>
      </c>
      <c r="P102" s="123">
        <v>4</v>
      </c>
    </row>
    <row r="103" spans="4:20">
      <c r="D103" s="244"/>
      <c r="E103" s="245"/>
      <c r="F103" s="246"/>
      <c r="G103" s="143" t="s">
        <v>1089</v>
      </c>
      <c r="H103" s="141" t="s">
        <v>1090</v>
      </c>
      <c r="I103" s="141" t="s">
        <v>1091</v>
      </c>
      <c r="J103" s="238"/>
      <c r="K103" s="238"/>
      <c r="L103" s="238"/>
      <c r="M103" s="142">
        <v>162005</v>
      </c>
      <c r="N103" s="148" t="s">
        <v>1092</v>
      </c>
      <c r="P103" s="123">
        <v>5</v>
      </c>
    </row>
    <row r="104" spans="4:20">
      <c r="D104" s="244"/>
      <c r="E104" s="245"/>
      <c r="F104" s="246"/>
      <c r="G104" s="167"/>
      <c r="J104" s="238"/>
      <c r="K104" s="238"/>
      <c r="L104" s="238"/>
    </row>
    <row r="105" spans="4:20">
      <c r="D105" s="138" t="s">
        <v>1093</v>
      </c>
      <c r="E105" s="256"/>
      <c r="F105" s="246" t="s">
        <v>1094</v>
      </c>
      <c r="G105" s="143" t="s">
        <v>1095</v>
      </c>
      <c r="H105" s="141" t="s">
        <v>1096</v>
      </c>
      <c r="I105" s="141" t="s">
        <v>1097</v>
      </c>
      <c r="J105" s="168" t="s">
        <v>1086</v>
      </c>
      <c r="K105" s="148" t="str">
        <f>F105&amp;VLOOKUP(J105,$N$9:$O$114,2,0)</f>
        <v>盗贼1</v>
      </c>
      <c r="L105" s="148">
        <f>VLOOKUP(J105,$N$8:$P$118,3,0)</f>
        <v>3</v>
      </c>
    </row>
    <row r="106" spans="4:20">
      <c r="D106" s="244"/>
      <c r="E106" s="245"/>
      <c r="F106" s="246"/>
      <c r="G106" s="143" t="s">
        <v>1098</v>
      </c>
      <c r="H106" s="141" t="s">
        <v>862</v>
      </c>
      <c r="I106" s="141" t="s">
        <v>1099</v>
      </c>
      <c r="J106" s="238"/>
      <c r="K106" s="238"/>
      <c r="L106" s="238"/>
    </row>
    <row r="107" spans="4:20">
      <c r="D107" s="250"/>
      <c r="E107" s="251"/>
      <c r="F107" s="252"/>
      <c r="G107" s="167"/>
      <c r="J107" s="238"/>
      <c r="K107" s="238"/>
      <c r="L107" s="238"/>
      <c r="S107" s="119"/>
      <c r="T107" s="119"/>
    </row>
    <row r="108" spans="4:20">
      <c r="F108" s="235"/>
      <c r="J108" s="238"/>
      <c r="K108" s="238"/>
      <c r="L108" s="238"/>
      <c r="S108" s="119"/>
      <c r="T108" s="119"/>
    </row>
    <row r="109" spans="4:20">
      <c r="D109" s="240" t="s">
        <v>1100</v>
      </c>
      <c r="E109" s="241"/>
      <c r="F109" s="241" t="s">
        <v>863</v>
      </c>
      <c r="G109" s="143" t="s">
        <v>1101</v>
      </c>
      <c r="H109" s="149" t="s">
        <v>1102</v>
      </c>
      <c r="I109" s="149" t="s">
        <v>1103</v>
      </c>
      <c r="J109" s="148" t="s">
        <v>1104</v>
      </c>
      <c r="K109" s="148" t="str">
        <f>F109&amp;VLOOKUP(J109,$N$9:$O$114,2,0)</f>
        <v>术士1</v>
      </c>
      <c r="L109" s="148">
        <f>VLOOKUP(J109,$N$8:$P$118,3,0)</f>
        <v>2</v>
      </c>
      <c r="S109" s="119"/>
      <c r="T109" s="119"/>
    </row>
    <row r="110" spans="4:20">
      <c r="D110" s="244"/>
      <c r="E110" s="245"/>
      <c r="F110" s="245"/>
      <c r="G110" s="143" t="s">
        <v>1105</v>
      </c>
      <c r="H110" s="150" t="s">
        <v>1106</v>
      </c>
      <c r="I110" s="149" t="s">
        <v>1107</v>
      </c>
      <c r="J110" s="238"/>
      <c r="K110" s="238"/>
      <c r="L110" s="238"/>
      <c r="S110" s="119"/>
      <c r="T110" s="119"/>
    </row>
    <row r="111" spans="4:20">
      <c r="D111" s="244"/>
      <c r="E111" s="245"/>
      <c r="F111" s="245"/>
      <c r="G111" s="167"/>
      <c r="H111" s="150"/>
      <c r="I111" s="150"/>
      <c r="J111" s="238"/>
      <c r="K111" s="238"/>
      <c r="L111" s="238"/>
      <c r="M111" s="142">
        <v>163001</v>
      </c>
      <c r="N111" s="121" t="s">
        <v>1108</v>
      </c>
      <c r="O111" s="235">
        <v>2</v>
      </c>
      <c r="P111" s="123">
        <v>1</v>
      </c>
    </row>
    <row r="112" spans="4:20">
      <c r="D112" s="138" t="s">
        <v>1109</v>
      </c>
      <c r="E112" s="256"/>
      <c r="F112" s="245" t="s">
        <v>1110</v>
      </c>
      <c r="G112" s="143" t="s">
        <v>1111</v>
      </c>
      <c r="H112" s="150" t="s">
        <v>1112</v>
      </c>
      <c r="I112" s="150" t="s">
        <v>1113</v>
      </c>
      <c r="J112" s="148" t="s">
        <v>1114</v>
      </c>
      <c r="K112" s="148" t="str">
        <f>F112&amp;VLOOKUP(J112,$N$9:$O$114,2,0)</f>
        <v>术士1</v>
      </c>
      <c r="L112" s="148">
        <f>VLOOKUP(J112,$N$8:$P$118,3,0)</f>
        <v>4</v>
      </c>
      <c r="M112" s="142">
        <v>163002</v>
      </c>
      <c r="N112" s="121" t="s">
        <v>1104</v>
      </c>
      <c r="O112" s="235">
        <v>1</v>
      </c>
      <c r="P112" s="123">
        <v>2</v>
      </c>
    </row>
    <row r="113" spans="3:16">
      <c r="D113" s="138"/>
      <c r="E113" s="256"/>
      <c r="F113" s="245"/>
      <c r="G113" s="143" t="s">
        <v>1115</v>
      </c>
      <c r="H113" s="150" t="s">
        <v>958</v>
      </c>
      <c r="I113" s="150" t="s">
        <v>1116</v>
      </c>
      <c r="J113" s="238"/>
      <c r="K113" s="238"/>
      <c r="L113" s="238"/>
      <c r="M113" s="142">
        <v>163003</v>
      </c>
      <c r="N113" s="124" t="s">
        <v>1117</v>
      </c>
      <c r="P113" s="123">
        <v>3</v>
      </c>
    </row>
    <row r="114" spans="3:16">
      <c r="D114" s="138"/>
      <c r="E114" s="256"/>
      <c r="F114" s="245"/>
      <c r="G114" s="249" t="s">
        <v>1875</v>
      </c>
      <c r="H114" s="150" t="s">
        <v>1118</v>
      </c>
      <c r="I114" s="150" t="s">
        <v>1119</v>
      </c>
      <c r="J114" s="238"/>
      <c r="K114" s="238"/>
      <c r="L114" s="238"/>
      <c r="M114" s="142">
        <v>163004</v>
      </c>
      <c r="N114" s="121" t="s">
        <v>1114</v>
      </c>
      <c r="O114" s="235">
        <v>1</v>
      </c>
      <c r="P114" s="123">
        <v>4</v>
      </c>
    </row>
    <row r="115" spans="3:16">
      <c r="D115" s="138" t="s">
        <v>1120</v>
      </c>
      <c r="E115" s="256"/>
      <c r="F115" s="245" t="s">
        <v>1110</v>
      </c>
      <c r="G115" s="143" t="s">
        <v>1121</v>
      </c>
      <c r="H115" s="150"/>
      <c r="I115" s="150" t="s">
        <v>1122</v>
      </c>
      <c r="J115" s="168" t="s">
        <v>1108</v>
      </c>
      <c r="K115" s="148" t="str">
        <f>F115&amp;VLOOKUP(J115,$N$9:$O$114,2,0)</f>
        <v>术士2</v>
      </c>
      <c r="L115" s="148">
        <f>VLOOKUP(J115,$N$8:$P$118,3,0)</f>
        <v>1</v>
      </c>
      <c r="M115" s="142">
        <v>163005</v>
      </c>
      <c r="N115" s="124" t="s">
        <v>1252</v>
      </c>
      <c r="P115" s="123">
        <v>5</v>
      </c>
    </row>
    <row r="116" spans="3:16">
      <c r="D116" s="138"/>
      <c r="E116" s="256"/>
      <c r="F116" s="245"/>
      <c r="G116" s="249" t="s">
        <v>1123</v>
      </c>
      <c r="H116" s="150"/>
      <c r="I116" s="150" t="s">
        <v>1124</v>
      </c>
      <c r="J116" s="238"/>
      <c r="K116" s="238"/>
      <c r="L116" s="238"/>
    </row>
    <row r="117" spans="3:16">
      <c r="D117" s="138"/>
      <c r="E117" s="256"/>
      <c r="F117" s="245"/>
      <c r="G117" s="167"/>
      <c r="H117" s="150"/>
      <c r="I117" s="150"/>
      <c r="J117" s="238"/>
      <c r="K117" s="238"/>
      <c r="L117" s="238"/>
    </row>
    <row r="118" spans="3:16">
      <c r="D118" s="138" t="s">
        <v>1125</v>
      </c>
      <c r="E118" s="256"/>
      <c r="F118" s="245" t="s">
        <v>1110</v>
      </c>
      <c r="G118" s="143" t="s">
        <v>1126</v>
      </c>
      <c r="H118" s="150"/>
      <c r="I118" s="150" t="s">
        <v>1127</v>
      </c>
      <c r="J118" s="148" t="s">
        <v>864</v>
      </c>
      <c r="K118" s="148" t="str">
        <f>F118&amp;VLOOKUP(J118,$N$9:$O$114,2,0)</f>
        <v>术士1</v>
      </c>
      <c r="L118" s="148">
        <f>VLOOKUP(J118,$N$8:$P$118,3,0)</f>
        <v>4</v>
      </c>
    </row>
    <row r="119" spans="3:16">
      <c r="D119" s="263"/>
      <c r="E119" s="268"/>
      <c r="F119" s="286"/>
      <c r="G119" s="143" t="s">
        <v>1128</v>
      </c>
      <c r="H119" s="287"/>
      <c r="I119" s="287" t="s">
        <v>1129</v>
      </c>
      <c r="J119" s="238"/>
      <c r="K119" s="238"/>
      <c r="L119" s="238"/>
    </row>
    <row r="120" spans="3:16">
      <c r="J120" s="238"/>
      <c r="K120" s="238"/>
      <c r="L120" s="238"/>
    </row>
    <row r="121" spans="3:16">
      <c r="J121" s="238"/>
      <c r="K121" s="238"/>
      <c r="L121" s="238"/>
    </row>
    <row r="122" spans="3:16">
      <c r="J122" s="238"/>
      <c r="K122" s="238"/>
      <c r="L122" s="238"/>
    </row>
    <row r="123" spans="3:16">
      <c r="J123" s="238"/>
      <c r="K123" s="238"/>
      <c r="L123" s="238"/>
    </row>
    <row r="124" spans="3:16">
      <c r="J124" s="238"/>
      <c r="K124" s="238"/>
      <c r="L124" s="238"/>
    </row>
    <row r="125" spans="3:16">
      <c r="J125" s="238"/>
      <c r="K125" s="238"/>
      <c r="L125" s="238"/>
    </row>
    <row r="126" spans="3:16">
      <c r="C126" s="235">
        <f>0.98-0.32*0.95^0</f>
        <v>0.65999999999999992</v>
      </c>
      <c r="D126" s="235">
        <f>0.98-0.32*0.95^3.5</f>
        <v>0.71258695035582131</v>
      </c>
      <c r="E126" s="236">
        <f>0.98-0.32*0.95^8.4</f>
        <v>0.77201679672846402</v>
      </c>
      <c r="F126" s="327">
        <f>0.98-0.32*0.95^10.8</f>
        <v>0.79610711958783786</v>
      </c>
      <c r="J126" s="238"/>
      <c r="K126" s="238"/>
      <c r="L126" s="238"/>
    </row>
    <row r="127" spans="3:16">
      <c r="C127" s="236">
        <f>C126-0.16</f>
        <v>0.49999999999999989</v>
      </c>
      <c r="D127" s="236">
        <f>D126-0.16</f>
        <v>0.55258695035582128</v>
      </c>
      <c r="E127" s="236">
        <f t="shared" ref="E127" si="0">E126-0.16</f>
        <v>0.61201679672846399</v>
      </c>
      <c r="F127" s="236">
        <f>F126-0.16</f>
        <v>0.63610711958783783</v>
      </c>
    </row>
    <row r="133" spans="8:19">
      <c r="H133" s="235" t="s">
        <v>1130</v>
      </c>
      <c r="J133" s="153" t="s">
        <v>1131</v>
      </c>
      <c r="K133" s="153"/>
      <c r="L133" s="153"/>
      <c r="M133" s="153" t="s">
        <v>1</v>
      </c>
      <c r="O133" s="153" t="s">
        <v>959</v>
      </c>
      <c r="P133" s="153" t="s">
        <v>1</v>
      </c>
      <c r="R133" s="153" t="s">
        <v>1132</v>
      </c>
      <c r="S133" s="288" t="s">
        <v>570</v>
      </c>
    </row>
    <row r="134" spans="8:19">
      <c r="J134" s="153" t="s">
        <v>1133</v>
      </c>
      <c r="K134" s="153"/>
      <c r="L134" s="153"/>
      <c r="M134" s="153" t="s">
        <v>1</v>
      </c>
      <c r="O134" s="289" t="s">
        <v>971</v>
      </c>
      <c r="P134" s="153" t="s">
        <v>1</v>
      </c>
      <c r="R134" s="153" t="s">
        <v>545</v>
      </c>
      <c r="S134" s="288" t="s">
        <v>570</v>
      </c>
    </row>
    <row r="135" spans="8:19">
      <c r="J135" s="153" t="s">
        <v>555</v>
      </c>
      <c r="K135" s="153"/>
      <c r="L135" s="153"/>
      <c r="M135" s="153" t="s">
        <v>1</v>
      </c>
      <c r="O135" s="153" t="s">
        <v>980</v>
      </c>
      <c r="P135" s="153" t="s">
        <v>1</v>
      </c>
      <c r="R135" s="152" t="s">
        <v>1134</v>
      </c>
      <c r="S135" s="288" t="s">
        <v>1094</v>
      </c>
    </row>
    <row r="136" spans="8:19">
      <c r="J136" s="153" t="s">
        <v>842</v>
      </c>
      <c r="K136" s="153"/>
      <c r="L136" s="153"/>
      <c r="M136" s="153" t="s">
        <v>1135</v>
      </c>
      <c r="P136" s="153" t="s">
        <v>1135</v>
      </c>
      <c r="S136" s="119"/>
    </row>
    <row r="137" spans="8:19">
      <c r="M137" s="153"/>
      <c r="P137" s="153"/>
      <c r="S137" s="119"/>
    </row>
    <row r="138" spans="8:19">
      <c r="H138" s="235" t="s">
        <v>1136</v>
      </c>
      <c r="J138" s="153" t="s">
        <v>541</v>
      </c>
      <c r="K138" s="153"/>
      <c r="L138" s="153"/>
      <c r="M138" s="153" t="s">
        <v>1004</v>
      </c>
      <c r="O138" s="153" t="s">
        <v>553</v>
      </c>
      <c r="P138" s="153" t="s">
        <v>1004</v>
      </c>
      <c r="S138" s="119"/>
    </row>
    <row r="139" spans="8:19">
      <c r="J139" s="153" t="s">
        <v>549</v>
      </c>
      <c r="K139" s="153"/>
      <c r="L139" s="153"/>
      <c r="M139" s="153" t="s">
        <v>1004</v>
      </c>
      <c r="O139" s="153" t="s">
        <v>551</v>
      </c>
      <c r="P139" s="153" t="s">
        <v>1004</v>
      </c>
    </row>
    <row r="140" spans="8:19">
      <c r="J140" s="153" t="s">
        <v>548</v>
      </c>
      <c r="K140" s="153"/>
      <c r="L140" s="153"/>
      <c r="M140" s="153" t="s">
        <v>126</v>
      </c>
      <c r="O140" s="153" t="s">
        <v>552</v>
      </c>
      <c r="P140" s="153" t="s">
        <v>126</v>
      </c>
    </row>
    <row r="141" spans="8:19">
      <c r="J141" s="153" t="s">
        <v>852</v>
      </c>
      <c r="K141" s="153"/>
      <c r="L141" s="153"/>
      <c r="M141" s="153" t="s">
        <v>126</v>
      </c>
      <c r="O141" s="152" t="s">
        <v>1076</v>
      </c>
      <c r="P141" s="153" t="s">
        <v>126</v>
      </c>
    </row>
    <row r="142" spans="8:19">
      <c r="M142" s="153"/>
      <c r="P142" s="153"/>
    </row>
    <row r="143" spans="8:19">
      <c r="M143" s="153"/>
      <c r="P143" s="153"/>
    </row>
    <row r="144" spans="8:19">
      <c r="H144" s="235" t="s">
        <v>1137</v>
      </c>
      <c r="J144" s="153" t="s">
        <v>542</v>
      </c>
      <c r="K144" s="153"/>
      <c r="L144" s="153"/>
      <c r="M144" s="153" t="s">
        <v>1138</v>
      </c>
      <c r="O144" s="153" t="s">
        <v>544</v>
      </c>
      <c r="P144" s="153" t="s">
        <v>1138</v>
      </c>
    </row>
    <row r="145" spans="8:16">
      <c r="J145" s="153" t="s">
        <v>543</v>
      </c>
      <c r="K145" s="153"/>
      <c r="L145" s="153"/>
      <c r="M145" s="153" t="s">
        <v>1138</v>
      </c>
      <c r="O145" s="152" t="s">
        <v>1139</v>
      </c>
      <c r="P145" s="153" t="s">
        <v>1138</v>
      </c>
    </row>
    <row r="146" spans="8:16">
      <c r="J146" s="153" t="s">
        <v>1140</v>
      </c>
      <c r="K146" s="153"/>
      <c r="L146" s="153"/>
      <c r="M146" s="153" t="s">
        <v>1138</v>
      </c>
      <c r="O146" s="152" t="s">
        <v>1141</v>
      </c>
      <c r="P146" s="153" t="s">
        <v>1138</v>
      </c>
    </row>
    <row r="147" spans="8:16">
      <c r="J147" s="153" t="s">
        <v>1142</v>
      </c>
      <c r="K147" s="153"/>
      <c r="L147" s="153"/>
      <c r="M147" s="153" t="s">
        <v>1138</v>
      </c>
      <c r="O147" s="153" t="s">
        <v>1143</v>
      </c>
      <c r="P147" s="153" t="s">
        <v>1138</v>
      </c>
    </row>
    <row r="148" spans="8:16">
      <c r="J148" s="153" t="s">
        <v>845</v>
      </c>
      <c r="K148" s="153"/>
      <c r="L148" s="153"/>
      <c r="M148" s="153" t="s">
        <v>1138</v>
      </c>
      <c r="P148" s="153" t="s">
        <v>1138</v>
      </c>
    </row>
    <row r="150" spans="8:16">
      <c r="M150" s="153"/>
      <c r="P150" s="153"/>
    </row>
    <row r="151" spans="8:16">
      <c r="H151" s="235" t="s">
        <v>1144</v>
      </c>
      <c r="J151" s="153" t="s">
        <v>550</v>
      </c>
      <c r="K151" s="153"/>
      <c r="L151" s="153"/>
      <c r="M151" s="153" t="s">
        <v>107</v>
      </c>
      <c r="P151" s="153" t="s">
        <v>107</v>
      </c>
    </row>
    <row r="152" spans="8:16">
      <c r="J152" s="152" t="s">
        <v>1874</v>
      </c>
      <c r="K152" s="152"/>
      <c r="L152" s="152"/>
      <c r="M152" s="153" t="s">
        <v>987</v>
      </c>
      <c r="P152" s="153" t="s">
        <v>987</v>
      </c>
    </row>
    <row r="153" spans="8:16">
      <c r="J153" s="153" t="s">
        <v>1145</v>
      </c>
      <c r="K153" s="153"/>
      <c r="L153" s="153"/>
      <c r="M153" s="153" t="s">
        <v>107</v>
      </c>
      <c r="P153" s="153" t="s">
        <v>107</v>
      </c>
    </row>
    <row r="154" spans="8:16">
      <c r="M154" s="153"/>
      <c r="P154" s="153"/>
    </row>
    <row r="155" spans="8:16">
      <c r="H155" s="235" t="s">
        <v>1146</v>
      </c>
      <c r="J155" s="153" t="s">
        <v>1100</v>
      </c>
      <c r="K155" s="153"/>
      <c r="L155" s="153"/>
      <c r="M155" s="153" t="s">
        <v>863</v>
      </c>
      <c r="P155" s="153" t="s">
        <v>863</v>
      </c>
    </row>
    <row r="156" spans="8:16">
      <c r="J156" s="152" t="s">
        <v>1147</v>
      </c>
      <c r="K156" s="152"/>
      <c r="L156" s="152"/>
      <c r="M156" s="153" t="s">
        <v>1110</v>
      </c>
      <c r="P156" s="153" t="s">
        <v>1110</v>
      </c>
    </row>
    <row r="157" spans="8:16">
      <c r="J157" s="152" t="s">
        <v>1148</v>
      </c>
      <c r="K157" s="152"/>
      <c r="L157" s="152"/>
      <c r="M157" s="153" t="s">
        <v>1110</v>
      </c>
      <c r="P157" s="153" t="s">
        <v>1110</v>
      </c>
    </row>
    <row r="158" spans="8:16">
      <c r="J158" s="152" t="s">
        <v>1120</v>
      </c>
      <c r="K158" s="152"/>
      <c r="L158" s="152"/>
      <c r="M158" s="153" t="s">
        <v>1110</v>
      </c>
      <c r="P158" s="153" t="s">
        <v>1110</v>
      </c>
    </row>
    <row r="159" spans="8:16">
      <c r="J159" s="152" t="s">
        <v>1125</v>
      </c>
      <c r="K159" s="152"/>
      <c r="L159" s="152"/>
      <c r="M159" s="153" t="s">
        <v>1110</v>
      </c>
      <c r="P159" s="153" t="s">
        <v>1110</v>
      </c>
    </row>
  </sheetData>
  <phoneticPr fontId="54"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G13:N55"/>
  <sheetViews>
    <sheetView topLeftCell="B16" workbookViewId="0">
      <selection activeCell="L40" sqref="L40"/>
    </sheetView>
  </sheetViews>
  <sheetFormatPr defaultRowHeight="13.5"/>
  <cols>
    <col min="11" max="11" width="31.75" bestFit="1" customWidth="1"/>
    <col min="12" max="12" width="92.375" customWidth="1"/>
    <col min="13" max="13" width="31.625" customWidth="1"/>
    <col min="14" max="14" width="21.875" customWidth="1"/>
  </cols>
  <sheetData>
    <row r="13" spans="7:14" ht="39.950000000000003" customHeight="1">
      <c r="G13" s="224" t="s">
        <v>1182</v>
      </c>
      <c r="H13" s="225">
        <v>4</v>
      </c>
      <c r="I13" s="180" t="s">
        <v>1211</v>
      </c>
      <c r="J13" s="180" t="s">
        <v>1212</v>
      </c>
      <c r="K13" s="180" t="s">
        <v>1222</v>
      </c>
      <c r="L13" s="229" t="s">
        <v>1240</v>
      </c>
      <c r="M13" s="180" t="s">
        <v>1216</v>
      </c>
      <c r="N13" s="234" t="s">
        <v>1236</v>
      </c>
    </row>
    <row r="14" spans="7:14" ht="39.950000000000003" customHeight="1">
      <c r="G14" s="230" t="s">
        <v>1182</v>
      </c>
      <c r="H14" s="231">
        <v>5</v>
      </c>
      <c r="I14" s="232" t="s">
        <v>1223</v>
      </c>
      <c r="J14" s="233" t="s">
        <v>1198</v>
      </c>
      <c r="K14" s="233" t="s">
        <v>1227</v>
      </c>
      <c r="L14" s="227" t="s">
        <v>1228</v>
      </c>
      <c r="M14" s="233" t="s">
        <v>1230</v>
      </c>
      <c r="N14" s="234" t="s">
        <v>1241</v>
      </c>
    </row>
    <row r="15" spans="7:14" ht="39.950000000000003" customHeight="1">
      <c r="G15" s="177" t="s">
        <v>1182</v>
      </c>
      <c r="H15" s="176">
        <v>5</v>
      </c>
      <c r="I15" s="179" t="s">
        <v>1213</v>
      </c>
      <c r="J15" s="104" t="s">
        <v>1214</v>
      </c>
      <c r="K15" s="104" t="s">
        <v>1215</v>
      </c>
      <c r="L15" s="104" t="s">
        <v>1225</v>
      </c>
      <c r="M15" s="226" t="s">
        <v>1226</v>
      </c>
      <c r="N15" s="234" t="s">
        <v>1242</v>
      </c>
    </row>
    <row r="16" spans="7:14" ht="39.950000000000003" customHeight="1">
      <c r="G16" s="220" t="s">
        <v>1219</v>
      </c>
      <c r="H16" s="221">
        <v>6</v>
      </c>
      <c r="I16" s="222" t="s">
        <v>1218</v>
      </c>
      <c r="J16" s="223" t="s">
        <v>1212</v>
      </c>
      <c r="K16" s="223" t="s">
        <v>1220</v>
      </c>
      <c r="L16" s="227" t="s">
        <v>1229</v>
      </c>
      <c r="M16" s="223" t="s">
        <v>1221</v>
      </c>
      <c r="N16" s="234" t="s">
        <v>1237</v>
      </c>
    </row>
    <row r="22" spans="9:12">
      <c r="K22" s="76"/>
    </row>
    <row r="23" spans="9:12">
      <c r="I23">
        <v>110001</v>
      </c>
      <c r="K23" s="76">
        <f>I23-ROUND(I23,-3)</f>
        <v>1</v>
      </c>
      <c r="L23" s="76"/>
    </row>
    <row r="24" spans="9:12">
      <c r="I24">
        <v>110003</v>
      </c>
      <c r="K24" s="76">
        <f t="shared" ref="K24:K55" si="0">I24-ROUND(I24,-3)</f>
        <v>3</v>
      </c>
    </row>
    <row r="25" spans="9:12">
      <c r="I25">
        <v>110003</v>
      </c>
      <c r="K25" s="76">
        <f t="shared" si="0"/>
        <v>3</v>
      </c>
    </row>
    <row r="26" spans="9:12">
      <c r="I26">
        <v>110001</v>
      </c>
      <c r="K26" s="76">
        <f t="shared" si="0"/>
        <v>1</v>
      </c>
    </row>
    <row r="27" spans="9:12">
      <c r="I27">
        <v>120004</v>
      </c>
      <c r="K27" s="76">
        <f t="shared" si="0"/>
        <v>4</v>
      </c>
    </row>
    <row r="28" spans="9:12">
      <c r="I28">
        <v>120001</v>
      </c>
      <c r="K28" s="76">
        <f t="shared" si="0"/>
        <v>1</v>
      </c>
    </row>
    <row r="29" spans="9:12">
      <c r="I29">
        <v>120002</v>
      </c>
      <c r="K29" s="76">
        <f t="shared" si="0"/>
        <v>2</v>
      </c>
    </row>
    <row r="30" spans="9:12">
      <c r="I30">
        <v>120004</v>
      </c>
      <c r="K30" s="76">
        <f t="shared" si="0"/>
        <v>4</v>
      </c>
    </row>
    <row r="31" spans="9:12">
      <c r="I31">
        <v>130001</v>
      </c>
      <c r="K31" s="76">
        <f t="shared" si="0"/>
        <v>1</v>
      </c>
    </row>
    <row r="32" spans="9:12">
      <c r="I32">
        <v>130005</v>
      </c>
      <c r="K32" s="76">
        <f t="shared" si="0"/>
        <v>5</v>
      </c>
    </row>
    <row r="33" spans="9:11">
      <c r="I33">
        <v>130001</v>
      </c>
      <c r="K33" s="76">
        <f t="shared" si="0"/>
        <v>1</v>
      </c>
    </row>
    <row r="34" spans="9:11">
      <c r="I34">
        <v>140004</v>
      </c>
      <c r="K34" s="76">
        <f t="shared" si="0"/>
        <v>4</v>
      </c>
    </row>
    <row r="35" spans="9:11">
      <c r="I35">
        <v>140004</v>
      </c>
      <c r="K35" s="76">
        <f t="shared" si="0"/>
        <v>4</v>
      </c>
    </row>
    <row r="36" spans="9:11">
      <c r="I36">
        <v>140003</v>
      </c>
      <c r="K36" s="76">
        <f t="shared" si="0"/>
        <v>3</v>
      </c>
    </row>
    <row r="37" spans="9:11">
      <c r="I37">
        <v>150002</v>
      </c>
      <c r="K37" s="76">
        <f t="shared" si="0"/>
        <v>2</v>
      </c>
    </row>
    <row r="38" spans="9:11">
      <c r="I38">
        <v>150001</v>
      </c>
      <c r="K38" s="76">
        <f t="shared" si="0"/>
        <v>1</v>
      </c>
    </row>
    <row r="39" spans="9:11">
      <c r="I39">
        <v>150002</v>
      </c>
      <c r="K39" s="76">
        <f t="shared" si="0"/>
        <v>2</v>
      </c>
    </row>
    <row r="40" spans="9:11">
      <c r="I40">
        <v>150001</v>
      </c>
      <c r="K40" s="76">
        <f t="shared" si="0"/>
        <v>1</v>
      </c>
    </row>
    <row r="41" spans="9:11">
      <c r="I41">
        <v>160003</v>
      </c>
      <c r="K41" s="76">
        <f t="shared" si="0"/>
        <v>3</v>
      </c>
    </row>
    <row r="42" spans="9:11">
      <c r="I42">
        <v>160002</v>
      </c>
      <c r="K42" s="76">
        <f t="shared" si="0"/>
        <v>2</v>
      </c>
    </row>
    <row r="43" spans="9:11">
      <c r="I43">
        <v>160002</v>
      </c>
      <c r="K43" s="76">
        <f t="shared" si="0"/>
        <v>2</v>
      </c>
    </row>
    <row r="44" spans="9:11">
      <c r="I44">
        <v>160002</v>
      </c>
      <c r="K44" s="76">
        <f t="shared" si="0"/>
        <v>2</v>
      </c>
    </row>
    <row r="45" spans="9:11">
      <c r="I45">
        <v>161001</v>
      </c>
      <c r="K45" s="76">
        <f t="shared" si="0"/>
        <v>1</v>
      </c>
    </row>
    <row r="46" spans="9:11">
      <c r="I46">
        <v>161004</v>
      </c>
      <c r="K46" s="76">
        <f t="shared" si="0"/>
        <v>4</v>
      </c>
    </row>
    <row r="47" spans="9:11">
      <c r="I47">
        <v>161002</v>
      </c>
      <c r="K47" s="76">
        <f t="shared" si="0"/>
        <v>2</v>
      </c>
    </row>
    <row r="48" spans="9:11">
      <c r="I48">
        <v>161001</v>
      </c>
      <c r="K48" s="76">
        <f t="shared" si="0"/>
        <v>1</v>
      </c>
    </row>
    <row r="49" spans="9:11">
      <c r="I49">
        <v>162001</v>
      </c>
      <c r="K49" s="76">
        <f t="shared" si="0"/>
        <v>1</v>
      </c>
    </row>
    <row r="50" spans="9:11">
      <c r="I50">
        <v>162002</v>
      </c>
      <c r="K50" s="76">
        <f t="shared" si="0"/>
        <v>2</v>
      </c>
    </row>
    <row r="51" spans="9:11">
      <c r="I51">
        <v>162003</v>
      </c>
      <c r="K51" s="76">
        <f t="shared" si="0"/>
        <v>3</v>
      </c>
    </row>
    <row r="52" spans="9:11">
      <c r="I52">
        <v>163002</v>
      </c>
      <c r="K52" s="76">
        <f t="shared" si="0"/>
        <v>2</v>
      </c>
    </row>
    <row r="53" spans="9:11">
      <c r="I53">
        <v>163004</v>
      </c>
      <c r="K53" s="76">
        <f t="shared" si="0"/>
        <v>4</v>
      </c>
    </row>
    <row r="54" spans="9:11">
      <c r="I54">
        <v>163001</v>
      </c>
      <c r="K54" s="76">
        <f t="shared" si="0"/>
        <v>1</v>
      </c>
    </row>
    <row r="55" spans="9:11">
      <c r="I55">
        <v>163004</v>
      </c>
      <c r="K55" s="76">
        <f t="shared" si="0"/>
        <v>4</v>
      </c>
    </row>
  </sheetData>
  <phoneticPr fontId="14"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B1:G91"/>
  <sheetViews>
    <sheetView topLeftCell="A53" workbookViewId="0">
      <selection activeCell="C1" sqref="C1:C91"/>
    </sheetView>
  </sheetViews>
  <sheetFormatPr defaultRowHeight="13.5"/>
  <sheetData>
    <row r="1" spans="2:7">
      <c r="B1" t="s">
        <v>786</v>
      </c>
      <c r="C1" s="311" t="s">
        <v>1777</v>
      </c>
      <c r="D1" s="317" t="s">
        <v>1790</v>
      </c>
      <c r="G1" t="str">
        <f>B1&amp;C1&amp;D1</f>
        <v>&lt;T t="物理攻击时暴击概率增加11%。" c="fffff2df"/&gt;</v>
      </c>
    </row>
    <row r="2" spans="2:7">
      <c r="B2" s="317" t="s">
        <v>786</v>
      </c>
      <c r="C2" s="312" t="s">
        <v>1778</v>
      </c>
      <c r="D2" s="317" t="s">
        <v>1790</v>
      </c>
      <c r="G2" s="317" t="str">
        <f t="shared" ref="G2:G65" si="0">B2&amp;C2&amp;D2</f>
        <v>&lt;T t="普通物理攻击时，有40%概率追加一次攻击，拥有此技能物理伤害结果会降低20%。" c="fffff2df"/&gt;</v>
      </c>
    </row>
    <row r="3" spans="2:7">
      <c r="B3" s="317" t="s">
        <v>786</v>
      </c>
      <c r="C3" s="313" t="s">
        <v>1787</v>
      </c>
      <c r="D3" s="317" t="s">
        <v>1789</v>
      </c>
      <c r="G3" s="317" t="str">
        <f t="shared" si="0"/>
        <v>&lt;T t="提升少量的物理攻击力，如果对方有铁甲或高级铁甲技能，物理伤害结果会减少25%。" c="fffff2df"/&gt;</v>
      </c>
    </row>
    <row r="4" spans="2:7">
      <c r="B4" s="317" t="s">
        <v>786</v>
      </c>
      <c r="C4" s="312" t="s">
        <v>1719</v>
      </c>
      <c r="D4" s="317" t="s">
        <v>1789</v>
      </c>
      <c r="G4" s="317" t="str">
        <f t="shared" si="0"/>
        <v>&lt;T t="物理攻击时忽视对方一定的物理防御。" c="fffff2df"/&gt;</v>
      </c>
    </row>
    <row r="5" spans="2:7">
      <c r="B5" s="317" t="s">
        <v>786</v>
      </c>
      <c r="C5" s="312" t="s">
        <v>1682</v>
      </c>
      <c r="D5" s="317" t="s">
        <v>1789</v>
      </c>
      <c r="G5" s="317" t="str">
        <f t="shared" si="0"/>
        <v>&lt;T t="物理攻击不会受到反击和反弹，并提高6%的物理伤害结果。" c="fffff2df"/&gt;</v>
      </c>
    </row>
    <row r="6" spans="2:7">
      <c r="B6" s="317" t="s">
        <v>786</v>
      </c>
      <c r="C6" s="312" t="s">
        <v>1677</v>
      </c>
      <c r="D6" s="317" t="s">
        <v>1789</v>
      </c>
      <c r="G6" s="317" t="str">
        <f t="shared" si="0"/>
        <v>&lt;T t="法术攻击时暴击概率增加10%。" c="fffff2df"/&gt;</v>
      </c>
    </row>
    <row r="7" spans="2:7">
      <c r="B7" s="317" t="s">
        <v>786</v>
      </c>
      <c r="C7" s="312" t="s">
        <v>1683</v>
      </c>
      <c r="D7" s="317" t="s">
        <v>1789</v>
      </c>
      <c r="G7" s="317" t="str">
        <f t="shared" si="0"/>
        <v>&lt;T t="法术攻击时，有22%概率追加一次攻击，伤害是正常伤害的50%。" c="fffff2df"/&gt;</v>
      </c>
    </row>
    <row r="8" spans="2:7">
      <c r="B8" s="317" t="s">
        <v>786</v>
      </c>
      <c r="C8" s="312" t="s">
        <v>1779</v>
      </c>
      <c r="D8" s="317" t="s">
        <v>1789</v>
      </c>
      <c r="G8" s="317" t="str">
        <f t="shared" si="0"/>
        <v>&lt;T t="每次法术攻击伤害结果在82%至118%之间浮动。" c="fffff2df"/&gt;</v>
      </c>
    </row>
    <row r="9" spans="2:7">
      <c r="B9" s="317" t="s">
        <v>786</v>
      </c>
      <c r="C9" s="195" t="s">
        <v>1684</v>
      </c>
      <c r="D9" s="317" t="s">
        <v>1789</v>
      </c>
      <c r="G9" s="317" t="str">
        <f t="shared" si="0"/>
        <v>&lt;T t="对敌人的法术伤害结果提高9%。" c="fffff2df"/&gt;</v>
      </c>
    </row>
    <row r="10" spans="2:7">
      <c r="B10" s="317" t="s">
        <v>786</v>
      </c>
      <c r="C10" s="312" t="s">
        <v>1680</v>
      </c>
      <c r="D10" s="317" t="s">
        <v>1789</v>
      </c>
      <c r="G10" s="317" t="str">
        <f t="shared" si="0"/>
        <v>&lt;T t="法术攻击时忽视对方少量的法术防御。" c="fffff2df"/&gt;</v>
      </c>
    </row>
    <row r="11" spans="2:7">
      <c r="B11" s="317" t="s">
        <v>786</v>
      </c>
      <c r="C11" s="312" t="s">
        <v>1687</v>
      </c>
      <c r="D11" s="317" t="s">
        <v>1789</v>
      </c>
      <c r="G11" s="317" t="str">
        <f t="shared" si="0"/>
        <v>&lt;T t="战斗中，每回合结束时回复等级*0.4的魔法。" c="fffff2df"/&gt;</v>
      </c>
    </row>
    <row r="12" spans="2:7">
      <c r="B12" s="317" t="s">
        <v>786</v>
      </c>
      <c r="C12" s="312" t="s">
        <v>1781</v>
      </c>
      <c r="D12" s="317" t="s">
        <v>1789</v>
      </c>
      <c r="G12" s="317" t="str">
        <f t="shared" si="0"/>
        <v>&lt;T t="物理攻击时，吸收对方所掉生命的22%。" c="fffff2df"/&gt;</v>
      </c>
    </row>
    <row r="13" spans="2:7">
      <c r="B13" s="317" t="s">
        <v>786</v>
      </c>
      <c r="C13" s="312" t="s">
        <v>1690</v>
      </c>
      <c r="D13" s="317" t="s">
        <v>1789</v>
      </c>
      <c r="G13" s="317" t="str">
        <f t="shared" si="0"/>
        <v>&lt;T t="战斗中，每回合自动回复等级*0.9的生命。" c="fffff2df"/&gt;</v>
      </c>
    </row>
    <row r="14" spans="2:7">
      <c r="B14" s="317" t="s">
        <v>786</v>
      </c>
      <c r="C14" s="312" t="s">
        <v>1734</v>
      </c>
      <c r="D14" s="317" t="s">
        <v>1789</v>
      </c>
      <c r="G14" s="317" t="str">
        <f t="shared" si="0"/>
        <v>&lt;T t="死亡时，有18%概率触发涅槃效果，自动复活，剩余生命为最大生命的60%。" c="fffff2df"/&gt;</v>
      </c>
    </row>
    <row r="15" spans="2:7">
      <c r="B15" s="317" t="s">
        <v>786</v>
      </c>
      <c r="C15" s="312" t="s">
        <v>1691</v>
      </c>
      <c r="D15" s="317" t="s">
        <v>1789</v>
      </c>
      <c r="G15" s="317" t="str">
        <f t="shared" si="0"/>
        <v>&lt;T t="受到物理伤害时的格挡几率提高17%。" c="fffff2df"/&gt;</v>
      </c>
    </row>
    <row r="16" spans="2:7">
      <c r="B16" s="317" t="s">
        <v>786</v>
      </c>
      <c r="C16" s="312" t="s">
        <v>1738</v>
      </c>
      <c r="D16" s="317" t="s">
        <v>1789</v>
      </c>
      <c r="G16" s="317" t="str">
        <f t="shared" si="0"/>
        <v>&lt;T t="受到物理攻击时有33%概率进行反弹，反弹伤害结果等于自己受到伤害的25%。" c="fffff2df"/&gt;</v>
      </c>
    </row>
    <row r="17" spans="2:7">
      <c r="B17" s="317" t="s">
        <v>786</v>
      </c>
      <c r="C17" s="195" t="s">
        <v>1693</v>
      </c>
      <c r="D17" s="317" t="s">
        <v>1789</v>
      </c>
      <c r="G17" s="317" t="str">
        <f t="shared" si="0"/>
        <v>&lt;T t="回合开始时，解除所有异常状态。" c="fffff2df"/&gt;</v>
      </c>
    </row>
    <row r="18" spans="2:7">
      <c r="B18" s="317" t="s">
        <v>786</v>
      </c>
      <c r="C18" s="312" t="s">
        <v>1782</v>
      </c>
      <c r="D18" s="317" t="s">
        <v>1789</v>
      </c>
      <c r="G18" s="317" t="str">
        <f t="shared" si="0"/>
        <v>&lt;T t="受到普通物理攻击时有22%概率自动反击，反击的伤害是正常伤害的75%。" c="fffff2df"/&gt;</v>
      </c>
    </row>
    <row r="19" spans="2:7">
      <c r="B19" s="317" t="s">
        <v>786</v>
      </c>
      <c r="C19" s="195" t="s">
        <v>1713</v>
      </c>
      <c r="D19" s="317" t="s">
        <v>1789</v>
      </c>
      <c r="G19" s="317" t="str">
        <f t="shared" si="0"/>
        <v>&lt;T t="自身速度增加11%。" c="fffff2df"/&gt;</v>
      </c>
    </row>
    <row r="20" spans="2:7">
      <c r="B20" s="317" t="s">
        <v>786</v>
      </c>
      <c r="C20" s="195" t="s">
        <v>1714</v>
      </c>
      <c r="D20" s="317" t="s">
        <v>1789</v>
      </c>
      <c r="G20" s="317" t="str">
        <f t="shared" si="0"/>
        <v>&lt;T t="自身生命上限提升11%。" c="fffff2df"/&gt;</v>
      </c>
    </row>
    <row r="21" spans="2:7">
      <c r="B21" s="317" t="s">
        <v>786</v>
      </c>
      <c r="C21" s="195" t="s">
        <v>1697</v>
      </c>
      <c r="D21" s="317" t="s">
        <v>1789</v>
      </c>
      <c r="G21" s="317" t="str">
        <f t="shared" si="0"/>
        <v>&lt;T t="提升等级*0.9的物理防御，但法术伤害结果会降低11%。" c="fffff2df"/&gt;</v>
      </c>
    </row>
    <row r="22" spans="2:7">
      <c r="B22" s="317" t="s">
        <v>786</v>
      </c>
      <c r="C22" s="195" t="s">
        <v>1698</v>
      </c>
      <c r="D22" s="317" t="s">
        <v>1789</v>
      </c>
      <c r="G22" s="317" t="str">
        <f t="shared" si="0"/>
        <v>&lt;T t="提升等级*0.9的法术防御，但物理伤害结果会降低11%。" c="fffff2df"/&gt;</v>
      </c>
    </row>
    <row r="23" spans="2:7">
      <c r="B23" s="317" t="s">
        <v>786</v>
      </c>
      <c r="C23" s="195" t="s">
        <v>1783</v>
      </c>
      <c r="D23" s="317" t="s">
        <v>1789</v>
      </c>
      <c r="G23" s="317" t="str">
        <f t="shared" si="0"/>
        <v>&lt;T t="被物理攻击时，被暴击概率降低11%。" c="fffff2df"/&gt;</v>
      </c>
    </row>
    <row r="24" spans="2:7">
      <c r="B24" s="317" t="s">
        <v>786</v>
      </c>
      <c r="C24" s="312" t="s">
        <v>1715</v>
      </c>
      <c r="D24" s="317" t="s">
        <v>1789</v>
      </c>
      <c r="G24" s="317" t="str">
        <f t="shared" si="0"/>
        <v>&lt;T t="减少自身速度的11%。" c="fffff2df"/&gt;</v>
      </c>
    </row>
    <row r="25" spans="2:7">
      <c r="B25" s="317" t="s">
        <v>786</v>
      </c>
      <c r="C25" s="314" t="s">
        <v>1758</v>
      </c>
      <c r="D25" s="317" t="s">
        <v>1789</v>
      </c>
      <c r="G25" s="317" t="str">
        <f t="shared" si="0"/>
        <v>&lt;T t="有28%概率吸收火元素法术伤害，回复对应的生命。" c="fffff2df"/&gt;</v>
      </c>
    </row>
    <row r="26" spans="2:7">
      <c r="B26" s="317" t="s">
        <v>786</v>
      </c>
      <c r="C26" s="314" t="s">
        <v>1759</v>
      </c>
      <c r="D26" s="317" t="s">
        <v>1789</v>
      </c>
      <c r="G26" s="317" t="str">
        <f t="shared" si="0"/>
        <v>&lt;T t="有28%概率吸收水元素法术伤害，回复对应的生命。" c="fffff2df"/&gt;</v>
      </c>
    </row>
    <row r="27" spans="2:7">
      <c r="B27" s="317" t="s">
        <v>786</v>
      </c>
      <c r="C27" s="314" t="s">
        <v>1760</v>
      </c>
      <c r="D27" s="317" t="s">
        <v>1789</v>
      </c>
      <c r="G27" s="317" t="str">
        <f t="shared" si="0"/>
        <v>&lt;T t="有28%概率吸收土元素法术伤害，回复对应的生命。" c="fffff2df"/&gt;</v>
      </c>
    </row>
    <row r="28" spans="2:7">
      <c r="B28" s="317" t="s">
        <v>786</v>
      </c>
      <c r="C28" s="314" t="s">
        <v>1761</v>
      </c>
      <c r="D28" s="317" t="s">
        <v>1789</v>
      </c>
      <c r="G28" s="317" t="str">
        <f t="shared" si="0"/>
        <v>&lt;T t="有28%概率吸收雷元素法术伤害，回复对应的生命。" c="fffff2df"/&gt;</v>
      </c>
    </row>
    <row r="29" spans="2:7">
      <c r="B29" s="317" t="s">
        <v>786</v>
      </c>
      <c r="C29" s="315" t="s">
        <v>1700</v>
      </c>
      <c r="D29" s="317" t="s">
        <v>1789</v>
      </c>
      <c r="G29" s="317" t="str">
        <f t="shared" si="0"/>
        <v>&lt;T t="死亡5回合后自动复活，不受任何状态影响，也不能使用主动技能和药品回复生命。若有凤凰之心技能不触发该效果。" c="fffff2df"/&gt;</v>
      </c>
    </row>
    <row r="30" spans="2:7">
      <c r="B30" s="317" t="s">
        <v>786</v>
      </c>
      <c r="C30" s="314" t="s">
        <v>1702</v>
      </c>
      <c r="D30" s="317" t="s">
        <v>1789</v>
      </c>
      <c r="G30" s="317" t="str">
        <f t="shared" si="0"/>
        <v>&lt;T t="敌方拥有不死亡魂术单位的物理、法术伤害效果增加50%，并能将其打飞出战场外。" c="fffff2df"/&gt;</v>
      </c>
    </row>
    <row r="31" spans="2:7">
      <c r="B31" s="317" t="s">
        <v>786</v>
      </c>
      <c r="C31" s="314" t="s">
        <v>496</v>
      </c>
      <c r="D31" s="317" t="s">
        <v>1789</v>
      </c>
      <c r="G31" s="317" t="str">
        <f t="shared" si="0"/>
        <v>&lt;T t="自动附加隐身状态2至3回合，隐身状态下物理攻击能力会降低20%，且无法使用技能。" c="fffff2df"/&gt;</v>
      </c>
    </row>
    <row r="32" spans="2:7">
      <c r="B32" s="317" t="s">
        <v>786</v>
      </c>
      <c r="C32" s="314" t="s">
        <v>493</v>
      </c>
      <c r="D32" s="317" t="s">
        <v>1789</v>
      </c>
      <c r="G32" s="317" t="str">
        <f t="shared" si="0"/>
        <v>&lt;T t="能探知并攻击敌方隐身状态的单位。" c="fffff2df"/&gt;</v>
      </c>
    </row>
    <row r="33" spans="2:7">
      <c r="B33" s="317" t="s">
        <v>786</v>
      </c>
      <c r="C33" s="312" t="s">
        <v>1705</v>
      </c>
      <c r="D33" s="317" t="s">
        <v>1789</v>
      </c>
      <c r="G33" s="317" t="str">
        <f t="shared" si="0"/>
        <v>&lt;T t="受到的增益状态持续回合数加倍。" c="fffff2df"/&gt;</v>
      </c>
    </row>
    <row r="34" spans="2:7">
      <c r="B34" s="317" t="s">
        <v>786</v>
      </c>
      <c r="C34" s="195" t="s">
        <v>1707</v>
      </c>
      <c r="D34" s="317" t="s">
        <v>1789</v>
      </c>
      <c r="G34" s="317" t="str">
        <f t="shared" si="0"/>
        <v>&lt;T t="可以抵御控制类异常状态，但自己的物理伤害结果也会降低18%。" c="fffff2df"/&gt;</v>
      </c>
    </row>
    <row r="35" spans="2:7">
      <c r="B35" s="317" t="s">
        <v>786</v>
      </c>
      <c r="C35" s="314" t="s">
        <v>1709</v>
      </c>
      <c r="D35" s="317" t="s">
        <v>1789</v>
      </c>
      <c r="G35" s="317" t="str">
        <f t="shared" si="0"/>
        <v>&lt;T t="普通物理攻击有16%概率使目标中毒，中毒状态下每回合损失10%生命和5%魔法（物理攻击中毒单位时有15%几率被感染）。" c="fffff2df"/&gt;</v>
      </c>
    </row>
    <row r="36" spans="2:7">
      <c r="B36" s="317" t="s">
        <v>786</v>
      </c>
      <c r="C36" s="314" t="s">
        <v>1785</v>
      </c>
      <c r="D36" s="317" t="s">
        <v>1789</v>
      </c>
      <c r="G36" s="317" t="str">
        <f t="shared" si="0"/>
        <v>&lt;T t="普通物理攻击杀死对方时，有33%概率对敌方其他目标追加一次攻击，伤害是正常伤害的75%。" c="fffff2df"/&gt;</v>
      </c>
    </row>
    <row r="37" spans="2:7">
      <c r="B37" s="317" t="s">
        <v>786</v>
      </c>
      <c r="C37" s="314" t="s">
        <v>1711</v>
      </c>
      <c r="D37" s="317" t="s">
        <v>1789</v>
      </c>
      <c r="G37" s="317" t="str">
        <f t="shared" si="0"/>
        <v>&lt;T t="普通物理攻击时有15%概率对目标周围的两个敌方单位造成溅射伤害，溅射伤害为主体伤害的20%。" c="fffff2df"/&gt;</v>
      </c>
    </row>
    <row r="38" spans="2:7">
      <c r="B38" s="317" t="s">
        <v>786</v>
      </c>
      <c r="C38" s="312" t="s">
        <v>1712</v>
      </c>
      <c r="D38" s="317" t="s">
        <v>1789</v>
      </c>
      <c r="G38" s="317" t="str">
        <f t="shared" si="0"/>
        <v>&lt;T t="物理攻击时暴击概率增加22%。" c="fffff2df"/&gt;</v>
      </c>
    </row>
    <row r="39" spans="2:7">
      <c r="B39" s="317" t="s">
        <v>786</v>
      </c>
      <c r="C39" s="312" t="s">
        <v>1718</v>
      </c>
      <c r="D39" s="317" t="s">
        <v>1789</v>
      </c>
      <c r="G39" s="317" t="str">
        <f t="shared" si="0"/>
        <v>&lt;T t="普通物理攻击时，有50%概率追加一次攻击，拥有此技能物理伤害结果会降低17%。" c="fffff2df"/&gt;</v>
      </c>
    </row>
    <row r="40" spans="2:7">
      <c r="B40" s="317" t="s">
        <v>786</v>
      </c>
      <c r="C40" s="313" t="s">
        <v>1788</v>
      </c>
      <c r="D40" s="317" t="s">
        <v>1789</v>
      </c>
      <c r="G40" s="317" t="str">
        <f t="shared" si="0"/>
        <v>&lt;T t="提升大量的物理攻击力，如果对方有铁甲或高级铁甲技能，物理伤害结果会减少25%。" c="fffff2df"/&gt;</v>
      </c>
    </row>
    <row r="41" spans="2:7">
      <c r="B41" s="317" t="s">
        <v>786</v>
      </c>
      <c r="C41" s="312" t="s">
        <v>1786</v>
      </c>
      <c r="D41" s="317" t="s">
        <v>1789</v>
      </c>
      <c r="G41" s="317" t="str">
        <f t="shared" si="0"/>
        <v>&lt;T t="物理攻击时忽视对方大量的物理防御。" c="fffff2df"/&gt;</v>
      </c>
    </row>
    <row r="42" spans="2:7">
      <c r="B42" s="317" t="s">
        <v>786</v>
      </c>
      <c r="C42" s="312" t="s">
        <v>1721</v>
      </c>
      <c r="D42" s="317" t="s">
        <v>1789</v>
      </c>
      <c r="G42" s="317" t="str">
        <f t="shared" si="0"/>
        <v>&lt;T t="物理攻击不会受到反击和反震，并提高11%的物理伤害结果。" c="fffff2df"/&gt;</v>
      </c>
    </row>
    <row r="43" spans="2:7">
      <c r="B43" s="317" t="s">
        <v>786</v>
      </c>
      <c r="C43" s="312" t="s">
        <v>1722</v>
      </c>
      <c r="D43" s="317" t="s">
        <v>1789</v>
      </c>
      <c r="G43" s="317" t="str">
        <f t="shared" si="0"/>
        <v>&lt;T t="法术攻击时暴击概率增加15%。" c="fffff2df"/&gt;</v>
      </c>
    </row>
    <row r="44" spans="2:7">
      <c r="B44" s="317" t="s">
        <v>786</v>
      </c>
      <c r="C44" s="312" t="s">
        <v>1724</v>
      </c>
      <c r="D44" s="317" t="s">
        <v>1789</v>
      </c>
      <c r="G44" s="317" t="str">
        <f t="shared" si="0"/>
        <v>&lt;T t="法术攻击时，有33%概率追加一次攻击，伤害是第一次的50%。" c="fffff2df"/&gt;</v>
      </c>
    </row>
    <row r="45" spans="2:7">
      <c r="B45" s="317" t="s">
        <v>786</v>
      </c>
      <c r="C45" s="312" t="s">
        <v>1780</v>
      </c>
      <c r="D45" s="317" t="s">
        <v>1789</v>
      </c>
      <c r="G45" s="317" t="str">
        <f t="shared" si="0"/>
        <v>&lt;T t="每次法术攻击伤害结果在52%至148%之间浮动。" c="fffff2df"/&gt;</v>
      </c>
    </row>
    <row r="46" spans="2:7">
      <c r="B46" s="317" t="s">
        <v>786</v>
      </c>
      <c r="C46" s="195" t="s">
        <v>1727</v>
      </c>
      <c r="D46" s="317" t="s">
        <v>1789</v>
      </c>
      <c r="G46" s="317" t="str">
        <f t="shared" si="0"/>
        <v>&lt;T t="对敌人的法术伤害结果提高18%。" c="fffff2df"/&gt;</v>
      </c>
    </row>
    <row r="47" spans="2:7">
      <c r="B47" s="317" t="s">
        <v>786</v>
      </c>
      <c r="C47" s="312" t="s">
        <v>1728</v>
      </c>
      <c r="D47" s="317" t="s">
        <v>1789</v>
      </c>
      <c r="G47" s="317" t="str">
        <f t="shared" si="0"/>
        <v>&lt;T t="法术攻击时忽视对方一定的法术防御。" c="fffff2df"/&gt;</v>
      </c>
    </row>
    <row r="48" spans="2:7">
      <c r="B48" s="317" t="s">
        <v>786</v>
      </c>
      <c r="C48" s="312" t="s">
        <v>1729</v>
      </c>
      <c r="D48" s="317" t="s">
        <v>1789</v>
      </c>
      <c r="G48" s="317" t="str">
        <f t="shared" si="0"/>
        <v>&lt;T t="战斗中，每回合结束时回复等级*0.6的魔法。" c="fffff2df"/&gt;</v>
      </c>
    </row>
    <row r="49" spans="2:7">
      <c r="B49" s="317" t="s">
        <v>786</v>
      </c>
      <c r="C49" s="312" t="s">
        <v>1731</v>
      </c>
      <c r="D49" s="317" t="s">
        <v>1789</v>
      </c>
      <c r="G49" s="317" t="str">
        <f t="shared" si="0"/>
        <v>&lt;T t="物理攻击时，吸收对方所掉生命的33%。" c="fffff2df"/&gt;</v>
      </c>
    </row>
    <row r="50" spans="2:7">
      <c r="B50" s="317" t="s">
        <v>786</v>
      </c>
      <c r="C50" s="312" t="s">
        <v>1733</v>
      </c>
      <c r="D50" s="317" t="s">
        <v>1789</v>
      </c>
      <c r="G50" s="317" t="str">
        <f t="shared" si="0"/>
        <v>&lt;T t="战斗中，每回合自动回复等级*1.6的生命。" c="fffff2df"/&gt;</v>
      </c>
    </row>
    <row r="51" spans="2:7">
      <c r="B51" s="317" t="s">
        <v>786</v>
      </c>
      <c r="C51" s="312" t="s">
        <v>1735</v>
      </c>
      <c r="D51" s="317" t="s">
        <v>1789</v>
      </c>
      <c r="G51" s="317" t="str">
        <f t="shared" si="0"/>
        <v>&lt;T t="当死亡时，有28%概率触发涅槃效果，自动满血复活。" c="fffff2df"/&gt;</v>
      </c>
    </row>
    <row r="52" spans="2:7">
      <c r="B52" s="317" t="s">
        <v>786</v>
      </c>
      <c r="C52" s="312" t="s">
        <v>470</v>
      </c>
      <c r="D52" s="317" t="s">
        <v>1789</v>
      </c>
      <c r="G52" s="317" t="str">
        <f t="shared" si="0"/>
        <v>&lt;T t="受到物理伤害时的格挡几率提高27%" c="fffff2df"/&gt;</v>
      </c>
    </row>
    <row r="53" spans="2:7">
      <c r="B53" s="317" t="s">
        <v>786</v>
      </c>
      <c r="C53" s="312" t="s">
        <v>1739</v>
      </c>
      <c r="D53" s="317" t="s">
        <v>1789</v>
      </c>
      <c r="G53" s="317" t="str">
        <f t="shared" si="0"/>
        <v>&lt;T t="受到物理攻击时有33%概率进行反弹，反弹伤害结果等于自己受到伤害的50%。" c="fffff2df"/&gt;</v>
      </c>
    </row>
    <row r="54" spans="2:7">
      <c r="B54" s="317" t="s">
        <v>786</v>
      </c>
      <c r="C54" s="195" t="s">
        <v>1743</v>
      </c>
      <c r="D54" s="317" t="s">
        <v>1789</v>
      </c>
      <c r="G54" s="317" t="str">
        <f t="shared" si="0"/>
        <v>&lt;T t="不受所有负面状态影响，包括毒、控制等。" c="fffff2df"/&gt;</v>
      </c>
    </row>
    <row r="55" spans="2:7">
      <c r="B55" s="317" t="s">
        <v>786</v>
      </c>
      <c r="C55" s="312" t="s">
        <v>1744</v>
      </c>
      <c r="D55" s="317" t="s">
        <v>1789</v>
      </c>
      <c r="G55" s="317" t="str">
        <f t="shared" si="0"/>
        <v>&lt;T t="受到普通物理攻击时有33%概率自动反击，反击的伤害为正常伤害的100%。" c="fffff2df"/&gt;</v>
      </c>
    </row>
    <row r="56" spans="2:7">
      <c r="B56" s="317" t="s">
        <v>786</v>
      </c>
      <c r="C56" s="195" t="s">
        <v>1741</v>
      </c>
      <c r="D56" s="317" t="s">
        <v>1789</v>
      </c>
      <c r="G56" s="317" t="str">
        <f t="shared" si="0"/>
        <v>&lt;T t="自身速度增加22%。" c="fffff2df"/&gt;</v>
      </c>
    </row>
    <row r="57" spans="2:7">
      <c r="B57" s="317" t="s">
        <v>786</v>
      </c>
      <c r="C57" s="195" t="s">
        <v>1745</v>
      </c>
      <c r="D57" s="317" t="s">
        <v>1789</v>
      </c>
      <c r="G57" s="317" t="str">
        <f t="shared" si="0"/>
        <v>&lt;T t="自身生命上限提升22%。" c="fffff2df"/&gt;</v>
      </c>
    </row>
    <row r="58" spans="2:7">
      <c r="B58" s="317" t="s">
        <v>786</v>
      </c>
      <c r="C58" s="195" t="s">
        <v>1748</v>
      </c>
      <c r="D58" s="317" t="s">
        <v>1789</v>
      </c>
      <c r="G58" s="317" t="str">
        <f t="shared" si="0"/>
        <v>&lt;T t="提升等级*1.3的物理防御，但法术伤害结果会降低11%。" c="fffff2df"/&gt;</v>
      </c>
    </row>
    <row r="59" spans="2:7">
      <c r="B59" s="317" t="s">
        <v>786</v>
      </c>
      <c r="C59" s="195" t="s">
        <v>1749</v>
      </c>
      <c r="D59" s="317" t="s">
        <v>1789</v>
      </c>
      <c r="G59" s="317" t="str">
        <f t="shared" si="0"/>
        <v>&lt;T t="提升等级*1.3的法术防御，但物理伤害结果会降低11%。" c="fffff2df"/&gt;</v>
      </c>
    </row>
    <row r="60" spans="2:7">
      <c r="B60" s="317" t="s">
        <v>786</v>
      </c>
      <c r="C60" s="195" t="s">
        <v>1751</v>
      </c>
      <c r="D60" s="317" t="s">
        <v>1789</v>
      </c>
      <c r="G60" s="317" t="str">
        <f t="shared" si="0"/>
        <v>&lt;T t="被物理攻击时，被暴击概率降低22%。" c="fffff2df"/&gt;</v>
      </c>
    </row>
    <row r="61" spans="2:7">
      <c r="B61" s="317" t="s">
        <v>786</v>
      </c>
      <c r="C61" s="312" t="s">
        <v>1753</v>
      </c>
      <c r="D61" s="317" t="s">
        <v>1789</v>
      </c>
      <c r="G61" s="317" t="str">
        <f t="shared" si="0"/>
        <v>&lt;T t="减少自身速度的22%，同时增加5%的生命。" c="fffff2df"/&gt;</v>
      </c>
    </row>
    <row r="62" spans="2:7">
      <c r="B62" s="317" t="s">
        <v>786</v>
      </c>
      <c r="C62" s="312" t="s">
        <v>1754</v>
      </c>
      <c r="D62" s="317" t="s">
        <v>1789</v>
      </c>
      <c r="G62" s="317" t="str">
        <f t="shared" si="0"/>
        <v>&lt;T t="有48%概率吸收火元素法术伤害，回复对应的生命。" c="fffff2df"/&gt;</v>
      </c>
    </row>
    <row r="63" spans="2:7">
      <c r="B63" s="317" t="s">
        <v>786</v>
      </c>
      <c r="C63" s="312" t="s">
        <v>1755</v>
      </c>
      <c r="D63" s="317" t="s">
        <v>1789</v>
      </c>
      <c r="G63" s="317" t="str">
        <f t="shared" si="0"/>
        <v>&lt;T t="有48%概率吸收水元素法术伤害，回复对应的生命。" c="fffff2df"/&gt;</v>
      </c>
    </row>
    <row r="64" spans="2:7">
      <c r="B64" s="317" t="s">
        <v>786</v>
      </c>
      <c r="C64" s="312" t="s">
        <v>1756</v>
      </c>
      <c r="D64" s="317" t="s">
        <v>1789</v>
      </c>
      <c r="G64" s="317" t="str">
        <f t="shared" si="0"/>
        <v>&lt;T t="有48%概率吸收土元素法术伤害，回复对应的生命。" c="fffff2df"/&gt;</v>
      </c>
    </row>
    <row r="65" spans="2:7">
      <c r="B65" s="317" t="s">
        <v>786</v>
      </c>
      <c r="C65" s="312" t="s">
        <v>1757</v>
      </c>
      <c r="D65" s="317" t="s">
        <v>1789</v>
      </c>
      <c r="G65" s="317" t="str">
        <f t="shared" si="0"/>
        <v>&lt;T t="有48%概率吸收雷元素法术伤害，回复对应的生命。" c="fffff2df"/&gt;</v>
      </c>
    </row>
    <row r="66" spans="2:7">
      <c r="B66" s="317" t="s">
        <v>786</v>
      </c>
      <c r="C66" s="315" t="s">
        <v>1764</v>
      </c>
      <c r="D66" s="317" t="s">
        <v>1789</v>
      </c>
      <c r="G66" s="317" t="str">
        <f t="shared" ref="G66:G91" si="1">B66&amp;C66&amp;D66</f>
        <v>&lt;T t="死亡5回合后自动复活，不受异常状态影响。若有凤凰之心技能不触发该效果。" c="fffff2df"/&gt;</v>
      </c>
    </row>
    <row r="67" spans="2:7">
      <c r="B67" s="317" t="s">
        <v>786</v>
      </c>
      <c r="C67" s="312" t="s">
        <v>1763</v>
      </c>
      <c r="D67" s="317" t="s">
        <v>1789</v>
      </c>
      <c r="G67" s="317" t="str">
        <f t="shared" si="1"/>
        <v>&lt;T t="对敌方拥有不死亡魂术单位的物理、法术伤害效果增加100%，并能将其打飞出场外。" c="fffff2df"/&gt;</v>
      </c>
    </row>
    <row r="68" spans="2:7">
      <c r="B68" s="317" t="s">
        <v>786</v>
      </c>
      <c r="C68" s="312" t="s">
        <v>449</v>
      </c>
      <c r="D68" s="317" t="s">
        <v>1789</v>
      </c>
      <c r="G68" s="317" t="str">
        <f t="shared" si="1"/>
        <v>&lt;T t="自动附加隐身状态3至5回合，隐身状态下物理伤害结果会降低15%，且无法使用技能。" c="fffff2df"/&gt;</v>
      </c>
    </row>
    <row r="69" spans="2:7">
      <c r="B69" s="317" t="s">
        <v>786</v>
      </c>
      <c r="C69" s="312" t="s">
        <v>446</v>
      </c>
      <c r="D69" s="317" t="s">
        <v>1789</v>
      </c>
      <c r="G69" s="317" t="str">
        <f t="shared" si="1"/>
        <v>&lt;T t="能探知并攻击敌方隐身状态的单位，受到物理伤害时的格挡几率提高7%。" c="fffff2df"/&gt;</v>
      </c>
    </row>
    <row r="70" spans="2:7">
      <c r="B70" s="317" t="s">
        <v>786</v>
      </c>
      <c r="C70" s="312" t="s">
        <v>1767</v>
      </c>
      <c r="D70" s="317" t="s">
        <v>1789</v>
      </c>
      <c r="G70" s="317" t="str">
        <f t="shared" si="1"/>
        <v>&lt;T t="受到的增益状态持续回合数增加为原来的4倍。" c="fffff2df"/&gt;</v>
      </c>
    </row>
    <row r="71" spans="2:7">
      <c r="B71" s="317" t="s">
        <v>786</v>
      </c>
      <c r="C71" s="195" t="s">
        <v>1769</v>
      </c>
      <c r="D71" s="317" t="s">
        <v>1789</v>
      </c>
      <c r="G71" s="317" t="str">
        <f t="shared" si="1"/>
        <v>&lt;T t="可以抵御控制类异常状态，受到物理伤害时的格挡几率提高7%，但自己的物理伤害结果也会降低18%。" c="fffff2df"/&gt;</v>
      </c>
    </row>
    <row r="72" spans="2:7">
      <c r="B72" s="317" t="s">
        <v>786</v>
      </c>
      <c r="C72" s="315" t="s">
        <v>1784</v>
      </c>
      <c r="D72" s="317" t="s">
        <v>1789</v>
      </c>
      <c r="G72" s="317" t="str">
        <f t="shared" si="1"/>
        <v>&lt;T t="普通物理攻击有22%概率使目标中毒，中毒状态下每回合损失10%生命和5%魔法，拥有高级瘟疫技能的宠物对毒免疫（物理攻击中毒单位有15%几率被感染）" c="fffff2df"/&gt;</v>
      </c>
    </row>
    <row r="73" spans="2:7">
      <c r="B73" s="317" t="s">
        <v>786</v>
      </c>
      <c r="C73" s="312" t="s">
        <v>1771</v>
      </c>
      <c r="D73" s="317" t="s">
        <v>1789</v>
      </c>
      <c r="G73" s="317" t="str">
        <f t="shared" si="1"/>
        <v>&lt;T t="普通物理攻击杀死对方时，有45%概率对敌方其他目标追加一次攻击，伤害是正常伤害的100%。" c="fffff2df"/&gt;</v>
      </c>
    </row>
    <row r="74" spans="2:7">
      <c r="B74" s="317" t="s">
        <v>786</v>
      </c>
      <c r="C74" s="312" t="s">
        <v>1772</v>
      </c>
      <c r="D74" s="317" t="s">
        <v>1789</v>
      </c>
      <c r="G74" s="317" t="str">
        <f t="shared" si="1"/>
        <v>&lt;T t="普通物理攻击时有20%概率对目标周围的两个敌方单位造成溅射伤害，溅射伤害为主体伤害的30%。" c="fffff2df"/&gt;</v>
      </c>
    </row>
    <row r="75" spans="2:7">
      <c r="B75" s="317" t="s">
        <v>786</v>
      </c>
      <c r="C75" s="195" t="s">
        <v>438</v>
      </c>
      <c r="D75" s="317" t="s">
        <v>1789</v>
      </c>
      <c r="G75" s="317" t="str">
        <f t="shared" si="1"/>
        <v>&lt;T t="火元素单体法术，同时有10%概率降低对方5%的物理和法术防御力，持续3回合。" c="fffff2df"/&gt;</v>
      </c>
    </row>
    <row r="76" spans="2:7">
      <c r="B76" s="317" t="s">
        <v>786</v>
      </c>
      <c r="C76" s="195" t="s">
        <v>436</v>
      </c>
      <c r="D76" s="317" t="s">
        <v>1789</v>
      </c>
      <c r="G76" s="317" t="str">
        <f t="shared" si="1"/>
        <v>&lt;T t="水元素单体法术，同时有10%概率降低对方3%的物理和法术攻击力，持续3回合。" c="fffff2df"/&gt;</v>
      </c>
    </row>
    <row r="77" spans="2:7">
      <c r="B77" s="317" t="s">
        <v>786</v>
      </c>
      <c r="C77" s="195" t="s">
        <v>434</v>
      </c>
      <c r="D77" s="317" t="s">
        <v>1789</v>
      </c>
      <c r="G77" s="317" t="str">
        <f t="shared" si="1"/>
        <v>&lt;T t="土元素单体法术，同时有10%概率降低对方5%的速度，持续3回合。" c="fffff2df"/&gt;</v>
      </c>
    </row>
    <row r="78" spans="2:7">
      <c r="B78" s="317" t="s">
        <v>786</v>
      </c>
      <c r="C78" s="195" t="s">
        <v>432</v>
      </c>
      <c r="D78" s="317" t="s">
        <v>1789</v>
      </c>
      <c r="G78" s="317" t="str">
        <f t="shared" si="1"/>
        <v>&lt;T t="雷元素单体法术，同时有10%概率驱除对方的所有增益状态。" c="fffff2df"/&gt;</v>
      </c>
    </row>
    <row r="79" spans="2:7">
      <c r="B79" s="317" t="s">
        <v>786</v>
      </c>
      <c r="C79" s="195" t="s">
        <v>430</v>
      </c>
      <c r="D79" s="317" t="s">
        <v>1789</v>
      </c>
      <c r="G79" s="317" t="str">
        <f t="shared" si="1"/>
        <v>&lt;T t="火元素多体法术，初始攻击两个目标，宠物60级可攻击三个目标，同时有5%概率降低对方5%的物理和法术防御力，持续3回合。" c="fffff2df"/&gt;</v>
      </c>
    </row>
    <row r="80" spans="2:7">
      <c r="B80" s="317" t="s">
        <v>786</v>
      </c>
      <c r="C80" s="314" t="s">
        <v>428</v>
      </c>
      <c r="D80" s="317" t="s">
        <v>1789</v>
      </c>
      <c r="G80" s="317" t="str">
        <f t="shared" si="1"/>
        <v>&lt;T t="水元素多体法术，初始攻击两个目标，宠物60级可攻击三个目标，同时有5%概率降低对方3%的物理和法术攻击力，持续3回合。" c="fffff2df"/&gt;</v>
      </c>
    </row>
    <row r="81" spans="2:7">
      <c r="B81" s="317" t="s">
        <v>786</v>
      </c>
      <c r="C81" s="314" t="s">
        <v>425</v>
      </c>
      <c r="D81" s="317" t="s">
        <v>1789</v>
      </c>
      <c r="G81" s="317" t="str">
        <f t="shared" si="1"/>
        <v>&lt;T t="土元素多体法术，初始攻击两个目标，宠物60级可攻击三个目标，同时有5%概率降低对方5%的速度，持续3回合。" c="fffff2df"/&gt;</v>
      </c>
    </row>
    <row r="82" spans="2:7">
      <c r="B82" s="317" t="s">
        <v>786</v>
      </c>
      <c r="C82" s="314" t="s">
        <v>423</v>
      </c>
      <c r="D82" s="317" t="s">
        <v>1789</v>
      </c>
      <c r="G82" s="317" t="str">
        <f t="shared" si="1"/>
        <v>&lt;T t="雷元素多体法术，初始攻击两个目标，宠物60级可攻击三个目标，同时有5%概率驱除对方的一项增益状态。" c="fffff2df"/&gt;</v>
      </c>
    </row>
    <row r="83" spans="2:7">
      <c r="B83" s="317" t="s">
        <v>786</v>
      </c>
      <c r="C83" s="314" t="s">
        <v>1773</v>
      </c>
      <c r="D83" s="317" t="s">
        <v>1789</v>
      </c>
      <c r="G83" s="317" t="str">
        <f t="shared" si="1"/>
        <v>&lt;T t="附加等级*2的物理伤害结果，不可被防御和保护。" c="fffff2df"/&gt;</v>
      </c>
    </row>
    <row r="84" spans="2:7">
      <c r="B84" s="317" t="s">
        <v>786</v>
      </c>
      <c r="C84" s="314" t="s">
        <v>870</v>
      </c>
      <c r="D84" s="317" t="s">
        <v>1789</v>
      </c>
      <c r="G84" s="317" t="str">
        <f t="shared" si="1"/>
        <v>&lt;T t="攻击三个目标，首要和次要目标伤害逐次递减。" c="fffff2df"/&gt;</v>
      </c>
    </row>
    <row r="85" spans="2:7">
      <c r="B85" s="317" t="s">
        <v>786</v>
      </c>
      <c r="C85" s="314" t="s">
        <v>871</v>
      </c>
      <c r="D85" s="317" t="s">
        <v>1789</v>
      </c>
      <c r="G85" s="317" t="str">
        <f t="shared" si="1"/>
        <v>&lt;T t="使用时提高10%的物理攻击力，同时物理和法术防御降低20%持续1回合。" c="fffff2df"/&gt;</v>
      </c>
    </row>
    <row r="86" spans="2:7">
      <c r="B86" s="317" t="s">
        <v>786</v>
      </c>
      <c r="C86" s="314" t="s">
        <v>1774</v>
      </c>
      <c r="D86" s="317" t="s">
        <v>1789</v>
      </c>
      <c r="G86" s="317" t="str">
        <f t="shared" si="1"/>
        <v>&lt;T t="发动时，可以在造成物理伤害同时消耗对方少量的魔法值。" c="fffff2df"/&gt;</v>
      </c>
    </row>
    <row r="87" spans="2:7">
      <c r="B87" s="317" t="s">
        <v>786</v>
      </c>
      <c r="C87" s="314" t="s">
        <v>420</v>
      </c>
      <c r="D87" s="317" t="s">
        <v>1789</v>
      </c>
      <c r="G87" s="317" t="str">
        <f t="shared" si="1"/>
        <v>&lt;T t="发动时，对方的物理伤害力越低，受到的伤害越高。" c="fffff2df"/&gt;</v>
      </c>
    </row>
    <row r="88" spans="2:7">
      <c r="B88" s="317" t="s">
        <v>786</v>
      </c>
      <c r="C88" s="314" t="s">
        <v>873</v>
      </c>
      <c r="D88" s="317" t="s">
        <v>1789</v>
      </c>
      <c r="G88" s="317" t="str">
        <f t="shared" si="1"/>
        <v>&lt;T t="发动时有10%概率使敌人附加灵魂禁锢效果，效果持续5回合。" c="fffff2df"/&gt;</v>
      </c>
    </row>
    <row r="89" spans="2:7">
      <c r="B89" s="317" t="s">
        <v>786</v>
      </c>
      <c r="C89" s="314" t="s">
        <v>1775</v>
      </c>
      <c r="D89" s="317" t="s">
        <v>1789</v>
      </c>
      <c r="G89" s="317" t="str">
        <f t="shared" si="1"/>
        <v>&lt;T t="源于上古的秘法，施展群体法术攻击三个单位，同时消耗目标的魔法值，在PVE中还可以将对方损失的魔法值汲取给主人使用。" c="fffff2df"/&gt;</v>
      </c>
    </row>
    <row r="90" spans="2:7">
      <c r="B90" s="317" t="s">
        <v>786</v>
      </c>
      <c r="C90" s="314" t="s">
        <v>1567</v>
      </c>
      <c r="D90" s="317" t="s">
        <v>1789</v>
      </c>
      <c r="G90" s="317" t="str">
        <f t="shared" si="1"/>
        <v>&lt;T t="极强的法术防御技能，可以防御法术攻击，减少40%受到的法术伤害结果，持续4回合，只允许对自身使用。" c="fffff2df"/&gt;</v>
      </c>
    </row>
    <row r="91" spans="2:7">
      <c r="B91" s="317" t="s">
        <v>786</v>
      </c>
      <c r="C91" s="316" t="s">
        <v>1776</v>
      </c>
      <c r="D91" s="317" t="s">
        <v>1789</v>
      </c>
      <c r="G91" s="317" t="str">
        <f t="shared" si="1"/>
        <v>&lt;T t="使用物理攻击临时提升“目标物理防御-目标物理攻击”的物理攻击，最少附加10点（PVE对怪物最少附加自身等级*2点），最多附加自身等级*4点。" c="fffff2df"/&gt;</v>
      </c>
    </row>
  </sheetData>
  <phoneticPr fontId="6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16</vt:i4>
      </vt:variant>
    </vt:vector>
  </HeadingPairs>
  <TitlesOfParts>
    <vt:vector size="16" baseType="lpstr">
      <vt:lpstr>战士</vt:lpstr>
      <vt:lpstr>圣骑士</vt:lpstr>
      <vt:lpstr>猎人</vt:lpstr>
      <vt:lpstr>德鲁伊</vt:lpstr>
      <vt:lpstr>法师</vt:lpstr>
      <vt:lpstr>牧师</vt:lpstr>
      <vt:lpstr>宠物技能</vt:lpstr>
      <vt:lpstr>装备特技特效</vt:lpstr>
      <vt:lpstr>特技分部件</vt:lpstr>
      <vt:lpstr>程序处理</vt:lpstr>
      <vt:lpstr>需要有特效的buff</vt:lpstr>
      <vt:lpstr>新版职业技能</vt:lpstr>
      <vt:lpstr>新程序需求</vt:lpstr>
      <vt:lpstr>伙伴技能</vt:lpstr>
      <vt:lpstr>Sheet1</vt:lpstr>
      <vt:lpstr>Sheet2</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user</cp:lastModifiedBy>
  <dcterms:created xsi:type="dcterms:W3CDTF">2006-09-13T11:21:00Z</dcterms:created>
  <dcterms:modified xsi:type="dcterms:W3CDTF">2016-08-09T09:08:48Z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2052-9.1.0.4993</vt:lpwstr>
  </property>
</Properties>
</file>