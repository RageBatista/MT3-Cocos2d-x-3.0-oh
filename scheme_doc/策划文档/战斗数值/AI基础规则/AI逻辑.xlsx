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6"/>
  </bookViews>
  <sheets>
    <sheet name="AI综述" sheetId="1" r:id="rId1"/>
    <sheet name="原表字段解释" sheetId="2" r:id="rId2"/>
    <sheet name="需求" sheetId="3" r:id="rId3"/>
    <sheet name="伙伴AI设计" sheetId="4" r:id="rId4"/>
    <sheet name="AI拆分" sheetId="5" r:id="rId5"/>
    <sheet name="新版AI" sheetId="6" r:id="rId6"/>
    <sheet name="新版AI拆分" sheetId="7" r:id="rId7"/>
    <sheet name="Sheet3" sheetId="9" r:id="rId8"/>
  </sheets>
  <calcPr calcId="124519" concurrentCalc="0"/>
</workbook>
</file>

<file path=xl/calcChain.xml><?xml version="1.0" encoding="utf-8"?>
<calcChain xmlns="http://schemas.openxmlformats.org/spreadsheetml/2006/main">
  <c r="F147" i="7"/>
  <c r="F140"/>
  <c r="F142"/>
  <c r="F149"/>
  <c r="H37"/>
  <c r="H31"/>
  <c r="J194"/>
  <c r="J193"/>
  <c r="J191"/>
  <c r="J190"/>
  <c r="J189"/>
  <c r="J188"/>
  <c r="J187"/>
  <c r="J185"/>
  <c r="J184"/>
  <c r="J183"/>
  <c r="J182"/>
  <c r="J181"/>
  <c r="J180"/>
  <c r="J179"/>
  <c r="J178"/>
  <c r="J177"/>
  <c r="J176"/>
  <c r="J175"/>
  <c r="J174"/>
  <c r="J173"/>
  <c r="J171"/>
  <c r="J170"/>
  <c r="J169"/>
  <c r="J168"/>
  <c r="H69"/>
  <c r="H62"/>
  <c r="H149" l="1"/>
  <c r="H148"/>
  <c r="H147"/>
  <c r="H146"/>
  <c r="H145"/>
  <c r="H144"/>
  <c r="H143"/>
  <c r="H142"/>
  <c r="H141"/>
  <c r="H140"/>
  <c r="H139"/>
  <c r="H138"/>
  <c r="H137"/>
  <c r="H136"/>
  <c r="H134"/>
  <c r="H133"/>
  <c r="H132"/>
  <c r="H131"/>
  <c r="H130"/>
  <c r="H129"/>
  <c r="H128"/>
  <c r="H127"/>
  <c r="H126"/>
  <c r="H124"/>
  <c r="H123"/>
  <c r="H122"/>
  <c r="H121"/>
  <c r="H120"/>
  <c r="H119"/>
  <c r="H118"/>
  <c r="H117"/>
  <c r="H116"/>
  <c r="H115"/>
  <c r="H114"/>
  <c r="H113"/>
  <c r="H111"/>
  <c r="H110"/>
  <c r="H109"/>
  <c r="H108"/>
  <c r="H107"/>
  <c r="H106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8"/>
  <c r="H67"/>
  <c r="H66"/>
  <c r="H65"/>
  <c r="H64"/>
  <c r="H63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6"/>
  <c r="H35"/>
  <c r="H34"/>
  <c r="H33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N22" i="9" l="1"/>
  <c r="F22" i="7" l="1"/>
  <c r="H189"/>
  <c r="A189"/>
  <c r="F82"/>
  <c r="F74"/>
  <c r="F134"/>
  <c r="F131"/>
  <c r="F123"/>
  <c r="F126"/>
  <c r="F127"/>
  <c r="F128"/>
  <c r="F129"/>
  <c r="F130"/>
  <c r="F132"/>
  <c r="F133"/>
  <c r="F135"/>
  <c r="F136"/>
  <c r="F125"/>
  <c r="F124"/>
  <c r="F122"/>
  <c r="F107"/>
  <c r="F106"/>
  <c r="F121" l="1"/>
  <c r="F120"/>
  <c r="K48" i="9" l="1"/>
  <c r="A170" i="7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90"/>
  <c r="A191"/>
  <c r="A192"/>
  <c r="A169"/>
  <c r="A168"/>
  <c r="F169" l="1"/>
  <c r="F170"/>
  <c r="F171"/>
  <c r="F174"/>
  <c r="F172"/>
  <c r="F173"/>
  <c r="F175"/>
  <c r="F176"/>
  <c r="F177"/>
  <c r="F178"/>
  <c r="F179"/>
  <c r="F180"/>
  <c r="F181"/>
  <c r="F182"/>
  <c r="F183"/>
  <c r="F184"/>
  <c r="F185"/>
  <c r="F186"/>
  <c r="F187"/>
  <c r="F188"/>
  <c r="F190"/>
  <c r="F191"/>
  <c r="F192"/>
  <c r="F168"/>
  <c r="N23" i="9"/>
  <c r="N24"/>
  <c r="N25"/>
  <c r="N26"/>
  <c r="N27"/>
  <c r="N28"/>
  <c r="N29"/>
  <c r="N30"/>
  <c r="N31"/>
  <c r="N32"/>
  <c r="N33"/>
  <c r="N34"/>
  <c r="N35"/>
  <c r="N36"/>
  <c r="N37"/>
  <c r="N38"/>
  <c r="N39"/>
  <c r="E17"/>
  <c r="F17"/>
  <c r="G17"/>
  <c r="H17"/>
  <c r="I17"/>
  <c r="J17"/>
  <c r="K17"/>
  <c r="L17"/>
  <c r="M17"/>
  <c r="N17"/>
  <c r="O17"/>
  <c r="P17"/>
  <c r="Q17"/>
  <c r="R17"/>
  <c r="S17"/>
  <c r="T17"/>
  <c r="U17"/>
  <c r="F112" i="7"/>
  <c r="F105"/>
  <c r="H186"/>
  <c r="H169" l="1"/>
  <c r="H170"/>
  <c r="H171"/>
  <c r="H174"/>
  <c r="H172"/>
  <c r="H173"/>
  <c r="H175"/>
  <c r="H176"/>
  <c r="H177"/>
  <c r="H178"/>
  <c r="H179"/>
  <c r="H180"/>
  <c r="H181"/>
  <c r="H182"/>
  <c r="H183"/>
  <c r="H184"/>
  <c r="H185"/>
  <c r="H187"/>
  <c r="H188"/>
  <c r="H190"/>
  <c r="H191"/>
  <c r="H192"/>
  <c r="H168"/>
  <c r="D17" i="9" l="1"/>
  <c r="F15" i="7"/>
  <c r="H7"/>
  <c r="H8"/>
  <c r="H6"/>
  <c r="F9"/>
  <c r="F76"/>
  <c r="F75"/>
  <c r="F25"/>
  <c r="F23"/>
  <c r="F10"/>
  <c r="F11"/>
  <c r="F12"/>
  <c r="F13"/>
  <c r="F14"/>
  <c r="F16"/>
  <c r="F17"/>
  <c r="F18"/>
  <c r="F19"/>
  <c r="F20"/>
  <c r="F21"/>
  <c r="F24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3"/>
  <c r="F64"/>
  <c r="F65"/>
  <c r="F66"/>
  <c r="F67"/>
  <c r="F68"/>
  <c r="F70"/>
  <c r="F71"/>
  <c r="F72"/>
  <c r="F73"/>
  <c r="F77"/>
  <c r="F78"/>
  <c r="F79"/>
  <c r="F80"/>
  <c r="F81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8"/>
  <c r="F109"/>
  <c r="F110"/>
  <c r="F111"/>
  <c r="F113"/>
  <c r="F114"/>
  <c r="F115"/>
  <c r="F116"/>
  <c r="F117"/>
  <c r="F118"/>
  <c r="F119"/>
  <c r="F137"/>
  <c r="F138"/>
  <c r="F139"/>
  <c r="F141"/>
  <c r="F143"/>
  <c r="F144"/>
  <c r="F145"/>
  <c r="F146"/>
  <c r="F148"/>
  <c r="I95" i="5" l="1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52"/>
  <c r="D110" l="1"/>
  <c r="D111"/>
  <c r="D109"/>
  <c r="L101" l="1"/>
  <c r="L100"/>
  <c r="L99"/>
  <c r="L94"/>
  <c r="L96"/>
  <c r="L97"/>
  <c r="L98"/>
  <c r="L102"/>
  <c r="L103"/>
  <c r="L104"/>
  <c r="L105"/>
  <c r="L106"/>
  <c r="L107"/>
  <c r="I107"/>
  <c r="I105"/>
  <c r="I104"/>
  <c r="I103"/>
  <c r="I98"/>
  <c r="I101"/>
  <c r="I100"/>
  <c r="L95"/>
  <c r="I94"/>
  <c r="I99"/>
  <c r="I97"/>
  <c r="I96"/>
  <c r="I102"/>
  <c r="I106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55"/>
</calcChain>
</file>

<file path=xl/sharedStrings.xml><?xml version="1.0" encoding="utf-8"?>
<sst xmlns="http://schemas.openxmlformats.org/spreadsheetml/2006/main" count="2106" uniqueCount="1244">
  <si>
    <t>主角辅助AI</t>
    <phoneticPr fontId="1" type="noConversion"/>
  </si>
  <si>
    <t>宠物辅助AI</t>
    <phoneticPr fontId="1" type="noConversion"/>
  </si>
  <si>
    <t>怪物AI</t>
    <phoneticPr fontId="1" type="noConversion"/>
  </si>
  <si>
    <t>伙伴AI</t>
    <phoneticPr fontId="1" type="noConversion"/>
  </si>
  <si>
    <t>触发点</t>
    <phoneticPr fontId="1" type="noConversion"/>
  </si>
  <si>
    <t>环境条件</t>
    <phoneticPr fontId="1" type="noConversion"/>
  </si>
  <si>
    <t>行为</t>
    <phoneticPr fontId="1" type="noConversion"/>
  </si>
  <si>
    <t>目标筛选</t>
    <phoneticPr fontId="1" type="noConversion"/>
  </si>
  <si>
    <t>主角辅助AI实例</t>
    <phoneticPr fontId="1" type="noConversion"/>
  </si>
  <si>
    <t>猎人</t>
    <phoneticPr fontId="1" type="noConversion"/>
  </si>
  <si>
    <t>战斗开始</t>
    <phoneticPr fontId="1" type="noConversion"/>
  </si>
  <si>
    <t>释放变身技能</t>
  </si>
  <si>
    <t>自身</t>
    <phoneticPr fontId="1" type="noConversion"/>
  </si>
  <si>
    <t>AI表里需要查的部分</t>
    <phoneticPr fontId="1" type="noConversion"/>
  </si>
  <si>
    <t>条件表</t>
    <phoneticPr fontId="1" type="noConversion"/>
  </si>
  <si>
    <t>对象过滤（已查）</t>
    <phoneticPr fontId="1" type="noConversion"/>
  </si>
  <si>
    <t>宠物辅助AI实例</t>
    <phoneticPr fontId="1" type="noConversion"/>
  </si>
  <si>
    <t>动作表</t>
    <phoneticPr fontId="1" type="noConversion"/>
  </si>
  <si>
    <t>逃跑几率</t>
    <phoneticPr fontId="1" type="noConversion"/>
  </si>
  <si>
    <t>隐身</t>
    <phoneticPr fontId="1" type="noConversion"/>
  </si>
  <si>
    <t>释放隐身技能</t>
    <phoneticPr fontId="1" type="noConversion"/>
  </si>
  <si>
    <t>动作类型</t>
    <phoneticPr fontId="1" type="noConversion"/>
  </si>
  <si>
    <t>鬼魂术</t>
    <phoneticPr fontId="1" type="noConversion"/>
  </si>
  <si>
    <t>死亡N回合后</t>
    <phoneticPr fontId="1" type="noConversion"/>
  </si>
  <si>
    <t>自己复活</t>
    <phoneticPr fontId="1" type="noConversion"/>
  </si>
  <si>
    <t>播放战场特效</t>
    <phoneticPr fontId="1" type="noConversion"/>
  </si>
  <si>
    <t>技能等级常数、技能等级系数</t>
    <phoneticPr fontId="1" type="noConversion"/>
  </si>
  <si>
    <t>召唤</t>
    <phoneticPr fontId="1" type="noConversion"/>
  </si>
  <si>
    <t>对象过滤表</t>
    <phoneticPr fontId="1" type="noConversion"/>
  </si>
  <si>
    <t>关系</t>
    <phoneticPr fontId="1" type="noConversion"/>
  </si>
  <si>
    <t>怪物ai</t>
    <phoneticPr fontId="1" type="noConversion"/>
  </si>
  <si>
    <t>本回合累计结果</t>
    <phoneticPr fontId="1" type="noConversion"/>
  </si>
  <si>
    <t>怪物特殊AI</t>
    <phoneticPr fontId="1" type="noConversion"/>
  </si>
  <si>
    <t>按照预设技能优先级排序流依次判定</t>
    <phoneticPr fontId="1" type="noConversion"/>
  </si>
  <si>
    <t>属性排序</t>
    <phoneticPr fontId="1" type="noConversion"/>
  </si>
  <si>
    <t>怪物基础AI</t>
    <phoneticPr fontId="1" type="noConversion"/>
  </si>
  <si>
    <t>AI总表</t>
    <phoneticPr fontId="1" type="noConversion"/>
  </si>
  <si>
    <t>启用AI（已查）</t>
    <phoneticPr fontId="1" type="noConversion"/>
  </si>
  <si>
    <t>伙伴ai</t>
    <phoneticPr fontId="1" type="noConversion"/>
  </si>
  <si>
    <t>伙伴AI1</t>
    <phoneticPr fontId="1" type="noConversion"/>
  </si>
  <si>
    <t>战斗环境1按照预设技能优先级排序流依次判定</t>
    <phoneticPr fontId="1" type="noConversion"/>
  </si>
  <si>
    <t>伙伴AI2</t>
    <phoneticPr fontId="1" type="noConversion"/>
  </si>
  <si>
    <t>战斗环境2按照预设技能优先级排序流依次判定</t>
    <phoneticPr fontId="1" type="noConversion"/>
  </si>
  <si>
    <t>伙伴AI3</t>
    <phoneticPr fontId="1" type="noConversion"/>
  </si>
  <si>
    <t>战斗环境3按照预设技能优先级排序流依次判定</t>
    <phoneticPr fontId="1" type="noConversion"/>
  </si>
  <si>
    <t>触发点</t>
    <phoneticPr fontId="1" type="noConversion"/>
  </si>
  <si>
    <t>环境条件</t>
    <phoneticPr fontId="1" type="noConversion"/>
  </si>
  <si>
    <t>对象过滤</t>
  </si>
  <si>
    <t>被使用的技能ID</t>
  </si>
  <si>
    <t>行为</t>
    <phoneticPr fontId="1" type="noConversion"/>
  </si>
  <si>
    <t>改变形象</t>
  </si>
  <si>
    <t>触发隐藏剧情</t>
  </si>
  <si>
    <t>改变战场地图</t>
  </si>
  <si>
    <t>改变场景时的渐变特效</t>
  </si>
  <si>
    <t>逃跑</t>
    <phoneticPr fontId="1" type="noConversion"/>
  </si>
  <si>
    <t>技能</t>
    <phoneticPr fontId="1" type="noConversion"/>
  </si>
  <si>
    <t>播放音乐</t>
  </si>
  <si>
    <t>召唤</t>
  </si>
  <si>
    <t>喊话</t>
    <phoneticPr fontId="1" type="noConversion"/>
  </si>
  <si>
    <t>目标筛选</t>
    <phoneticPr fontId="1" type="noConversion"/>
  </si>
  <si>
    <t>关系</t>
  </si>
  <si>
    <t>按照养成单位预设技能随机技能随机目标释放</t>
    <phoneticPr fontId="1" type="noConversion"/>
  </si>
  <si>
    <t>神迹</t>
    <phoneticPr fontId="1" type="noConversion"/>
  </si>
  <si>
    <t>回合开始</t>
    <phoneticPr fontId="1" type="noConversion"/>
  </si>
  <si>
    <t>解除所有异常状态</t>
    <phoneticPr fontId="1" type="noConversion"/>
  </si>
  <si>
    <t>播放战场特效</t>
    <phoneticPr fontId="1" type="noConversion"/>
  </si>
  <si>
    <t>是否包含死亡</t>
    <phoneticPr fontId="1" type="noConversion"/>
  </si>
  <si>
    <t>本回合累积结果</t>
    <phoneticPr fontId="1" type="noConversion"/>
  </si>
  <si>
    <t>最小hp百分比</t>
    <phoneticPr fontId="1" type="noConversion"/>
  </si>
  <si>
    <t>最大hp百分比</t>
    <phoneticPr fontId="1" type="noConversion"/>
  </si>
  <si>
    <t>最小mp百分比</t>
    <phoneticPr fontId="1" type="noConversion"/>
  </si>
  <si>
    <t>最大mp百分比</t>
    <phoneticPr fontId="1" type="noConversion"/>
  </si>
  <si>
    <t>属性排序</t>
    <phoneticPr fontId="1" type="noConversion"/>
  </si>
  <si>
    <t>buff</t>
    <phoneticPr fontId="1" type="noConversion"/>
  </si>
  <si>
    <t>性别</t>
    <phoneticPr fontId="1" type="noConversion"/>
  </si>
  <si>
    <t>等级下限</t>
    <phoneticPr fontId="1" type="noConversion"/>
  </si>
  <si>
    <t>等级上限</t>
    <phoneticPr fontId="1" type="noConversion"/>
  </si>
  <si>
    <t>怪物ID</t>
    <phoneticPr fontId="1" type="noConversion"/>
  </si>
  <si>
    <t>战斗ID</t>
    <phoneticPr fontId="1" type="noConversion"/>
  </si>
  <si>
    <t>战斗回合数</t>
    <phoneticPr fontId="1" type="noConversion"/>
  </si>
  <si>
    <t>条件脚本</t>
    <phoneticPr fontId="1" type="noConversion"/>
  </si>
  <si>
    <t>AI怪回合数</t>
    <phoneticPr fontId="1" type="noConversion"/>
  </si>
  <si>
    <t>触发几率</t>
    <phoneticPr fontId="1" type="noConversion"/>
  </si>
  <si>
    <t>单位类型</t>
    <phoneticPr fontId="1" type="noConversion"/>
  </si>
  <si>
    <t>主角、伙伴、宠物、怪物（npc）、特殊怪物（npc）</t>
    <phoneticPr fontId="1" type="noConversion"/>
  </si>
  <si>
    <t>逃跑失败触发</t>
  </si>
  <si>
    <t>AI怪友方死时触发</t>
  </si>
  <si>
    <t>回合开始决定常规Decision时触发</t>
  </si>
  <si>
    <t>AI怪敌方死时触发</t>
    <phoneticPr fontId="1" type="noConversion"/>
  </si>
  <si>
    <t>AI怪死时触发</t>
    <phoneticPr fontId="1" type="noConversion"/>
  </si>
  <si>
    <t>自己行动后触发</t>
  </si>
  <si>
    <t>自己使用某个技能后触发</t>
  </si>
  <si>
    <t>自己被某个技能命中后触发</t>
  </si>
  <si>
    <t>野外刷怪，低级强度</t>
    <phoneticPr fontId="1" type="noConversion"/>
  </si>
  <si>
    <t>PK玩法，高级强度</t>
    <phoneticPr fontId="1" type="noConversion"/>
  </si>
  <si>
    <t>符合条件目标数量</t>
    <phoneticPr fontId="1" type="noConversion"/>
  </si>
  <si>
    <t>伙伴</t>
    <phoneticPr fontId="1" type="noConversion"/>
  </si>
  <si>
    <t>所有战斗单位</t>
    <phoneticPr fontId="1" type="noConversion"/>
  </si>
  <si>
    <t>宠物</t>
    <phoneticPr fontId="1" type="noConversion"/>
  </si>
  <si>
    <t>主角职业</t>
    <phoneticPr fontId="1" type="noConversion"/>
  </si>
  <si>
    <t>怪物（npc）</t>
    <phoneticPr fontId="1" type="noConversion"/>
  </si>
  <si>
    <t>动作（操作）</t>
    <phoneticPr fontId="1" type="noConversion"/>
  </si>
  <si>
    <t>客户端动作</t>
    <phoneticPr fontId="1" type="noConversion"/>
  </si>
  <si>
    <t>特殊怪物（npc）</t>
    <phoneticPr fontId="1" type="noConversion"/>
  </si>
  <si>
    <t>对象过滤表</t>
  </si>
  <si>
    <t>1：关系</t>
  </si>
  <si>
    <t>public final static int SELF_PET = 2; // 自己的宠物</t>
  </si>
  <si>
    <t>public final static int FRIEND_ROLE = 4; // 友方角色</t>
  </si>
  <si>
    <t>public final static int FRIEND_PET = 8; // 友方的宠物</t>
  </si>
  <si>
    <t>public final static int FRIEND_NPC = 16; // 友方NPC</t>
  </si>
  <si>
    <t>public final static int ENERMY_ROLE = 32; // 敌人角色</t>
  </si>
  <si>
    <t>public final static int ENERMY_PET = 64; // 敌人宠物</t>
  </si>
  <si>
    <t>public final static int ENERMY_NPC = 128; // 敌人NPC</t>
  </si>
  <si>
    <t>public final static int ENERMY_MONSTER = 256; // 敌人怪物</t>
  </si>
  <si>
    <t>public final static int COUPLE = 512; // 夫妻</t>
  </si>
  <si>
    <t>public final static int BROTHERS = 1024; // 结拜</t>
  </si>
  <si>
    <t>public final static int MASTER_STUDENT = 2048; // 师徒</t>
  </si>
  <si>
    <t>public final static int FRIEND_MONSTER = 4096; // 友方怪物</t>
  </si>
  <si>
    <t>public final static int RESULT_HPCHANGE = 1; // 1:目标HP变化</t>
  </si>
  <si>
    <t>public final static int RESULT_MPCHANGE = 2; // 2:目标MP变化</t>
  </si>
  <si>
    <t>public final static int RESULT_SPCHANGE = 4; // 3:目标SP变化</t>
  </si>
  <si>
    <t>public final static int RESULT_ULHPCHANGE = 8; // 4:当前血上限（伤）变化</t>
  </si>
  <si>
    <t>public final static int RESULT_REST = 16; // 5:休息</t>
  </si>
  <si>
    <t>public final static int RESULT_HURT = 32; // 6:目标受伤</t>
  </si>
  <si>
    <t>public final static int RESULT_CRITIC = 64; // 7:目标被暴击</t>
  </si>
  <si>
    <t>public final static int RESULT_DEFENCE = 128; // 8:目标防御</t>
  </si>
  <si>
    <t>public final static int RESULT_DODGE = 512; // 10:目标闪避</t>
  </si>
  <si>
    <t>public final static int RESULT_RUNAWAY = 1024; // 11:目标逃跑</t>
  </si>
  <si>
    <t>public final static int RESULT_SEIZE = 2048; // 12:目标被捕捉</t>
  </si>
  <si>
    <t>public final static int RESULT_SUMMONBACK = 4096; // 13:目标被召回</t>
  </si>
  <si>
    <t>public final static int RESULT_DEATH = 8192; // 14:目标死亡，倒在原地</t>
  </si>
  <si>
    <t>public final static int RESULT_GHOST = 32768; // 16:目标进入鬼魂状态（有鬼魂技能的怪和宠物死亡时）</t>
  </si>
  <si>
    <t>public final static int RESULT_RELIVE = 65536; // 17:复活</t>
  </si>
  <si>
    <t>public final static int RESULT_SUMMONPET = 131072; // 18:目标招唤宠物</t>
  </si>
  <si>
    <t>public final static int RESULT_IGNORE_PHYDIC_EFEN = 262144; // 19:忽略防御</t>
  </si>
  <si>
    <t>public final static int RESULT_ABORBE = 524288; // 20:吸收</t>
  </si>
  <si>
    <t>public final static int RESULT_FIRE_MANA = 1048576; // 21:烧蓝</t>
  </si>
  <si>
    <t>public final static int RESULT_IMMUNITY = 16777216; // 25:免疫</t>
  </si>
  <si>
    <t>public final static int RESULT_SHENDIAHUTI = 33554432; // 26:神雕护体</t>
  </si>
  <si>
    <t xml:space="preserve">动作表  </t>
  </si>
  <si>
    <t>public final static int ACTION_ATTACK = 1; // 攻击</t>
  </si>
  <si>
    <t>public final static int ACTION_SKILL = 2; // 使用技能</t>
  </si>
  <si>
    <t>public final static int ACTION_USEITEM = 3; // 使用物品</t>
  </si>
  <si>
    <t>public final static int ACTION_DEFEND = 4; // 防御</t>
  </si>
  <si>
    <t>public final static int ACTION_PROTECT = 5; // 保护</t>
  </si>
  <si>
    <t>public final static int ACTION_SUMMON = 6; // 召唤宠物</t>
  </si>
  <si>
    <t>public final static int ACTION_WITHDRAW = 7; // 召还宠物</t>
  </si>
  <si>
    <t>public final static int ACTION_CATHCH = 8; // 捕捉</t>
  </si>
  <si>
    <t>public final static int ACTION_ESCAPE = 9; // 逃跑</t>
  </si>
  <si>
    <t>public final static int ACTION_REST = 10; // 休息</t>
  </si>
  <si>
    <t>public final static int ACTION_SPECIAL_SKILL = 11; // 特殊技能</t>
  </si>
  <si>
    <t>public final static int ACTION_SUMMON_INSTANT = 12; // 瞬时召唤</t>
  </si>
  <si>
    <t>public final static int ACTION_ESCAPE_INSTANT = 13; // 瞬时逃跑</t>
  </si>
  <si>
    <t>public final static int ACTION_FAILURE = 14; // 操作失败</t>
  </si>
  <si>
    <t>public final static int ACTION_BATTLE_END = 15; // 战斗结束,只有AI怪的AI指令有这个Action</t>
  </si>
  <si>
    <t>public final static int ACTION_ENVIRONMENTDEMO = 16; // 不带施法者的Demo，attackID填0</t>
  </si>
  <si>
    <t>public final static int ACTION_ENVIRONMENTCHANGE = 17; // 战场环境改变 operateid填战场环境id</t>
  </si>
  <si>
    <t>public final static int ACTION_ROUNDENDDEMO = 18; // 回合末结算demo</t>
  </si>
  <si>
    <t>4.逃跑几率</t>
  </si>
  <si>
    <t>//逃跑几率，当optionType为逃跑时有效（0-100），没有为-1</t>
  </si>
  <si>
    <t xml:space="preserve">5.有无客户端动作 </t>
  </si>
  <si>
    <t>这个动作是客户端的还是服务器的。如果是客户端的。就将这个动作的id发送到客户端。客户端来执行其中操作。</t>
  </si>
  <si>
    <t xml:space="preserve">AI总表  </t>
  </si>
  <si>
    <t>2.//当前回合累积到现在的结果类型，死亡和鬼魂会跨回合</t>
    <phoneticPr fontId="1" type="noConversion"/>
  </si>
  <si>
    <t>public final static int SELF = 1; // 战斗中自己（可以是人、宠、怪、NPC）</t>
    <phoneticPr fontId="1" type="noConversion"/>
  </si>
  <si>
    <t>public final static int RESULT_PARRY = 256; // 9:目标招架</t>
    <phoneticPr fontId="1" type="noConversion"/>
  </si>
  <si>
    <t>public final static int RESULT_KICKOUT = 16384; // 15:目标被击飞（没有鬼魂技能的怪和宠物死亡时）</t>
    <phoneticPr fontId="1" type="noConversion"/>
  </si>
  <si>
    <t>public final static int RESULT_GODBLESS = 2097152; // 22:神佑</t>
    <phoneticPr fontId="1" type="noConversion"/>
  </si>
  <si>
    <t>public final static int RESULT_DEAD_FULL_RELIVE = 8388608; // 24:满血复活</t>
    <phoneticPr fontId="1" type="noConversion"/>
  </si>
  <si>
    <t>public final static int RESULT_DEAD_HALF_RELIVE = 4194304; // 23:半血复活</t>
    <phoneticPr fontId="1" type="noConversion"/>
  </si>
  <si>
    <t>1.技能等级常数  2.技能等级系数</t>
    <phoneticPr fontId="1" type="noConversion"/>
  </si>
  <si>
    <t>ai释放技能时候，技能等级设定。</t>
    <phoneticPr fontId="1" type="noConversion"/>
  </si>
  <si>
    <t>技能等级 = (int) (技能等级系数 * 怪物等级 + 技能等级常数);</t>
    <phoneticPr fontId="1" type="noConversion"/>
  </si>
  <si>
    <t>3.动作类型 //动作类型，包括：普通攻击、使用技能、防御、保护、逃跑、休息，没有为-1</t>
    <phoneticPr fontId="1" type="noConversion"/>
  </si>
  <si>
    <t>1执行次数 //执行次数，次数到后将移除。默认为-1时,没有次数限制</t>
    <phoneticPr fontId="1" type="noConversion"/>
  </si>
  <si>
    <t>一个角色在一场战斗中可以执行多少次这个ai。// 执行次数用完该ai不再生效</t>
    <phoneticPr fontId="1" type="noConversion"/>
  </si>
  <si>
    <t>2.启用AI</t>
    <phoneticPr fontId="1" type="noConversion"/>
  </si>
  <si>
    <t>会使用的ai集合如果要使用就@1.如果填@0和不填是一样的</t>
    <phoneticPr fontId="1" type="noConversion"/>
  </si>
  <si>
    <t>回合开始触发</t>
    <phoneticPr fontId="1" type="noConversion"/>
  </si>
  <si>
    <t>行动前触发</t>
    <phoneticPr fontId="1" type="noConversion"/>
  </si>
  <si>
    <t>别人行动后触发</t>
    <phoneticPr fontId="1" type="noConversion"/>
  </si>
  <si>
    <t>下回合开始读秒前触发</t>
    <phoneticPr fontId="1" type="noConversion"/>
  </si>
  <si>
    <t>战斗结束触发</t>
    <phoneticPr fontId="1" type="noConversion"/>
  </si>
  <si>
    <t>逃跑成功触发</t>
    <phoneticPr fontId="1" type="noConversion"/>
  </si>
  <si>
    <t>阵营</t>
    <phoneticPr fontId="1" type="noConversion"/>
  </si>
  <si>
    <t>战斗信息表</t>
  </si>
  <si>
    <t>加战斗类型</t>
  </si>
  <si>
    <t>战斗信息练功区表</t>
  </si>
  <si>
    <t>战斗信息剧情表</t>
  </si>
  <si>
    <t>伙伴表</t>
  </si>
  <si>
    <t>加战斗类型1AI、战斗类型2AI……</t>
  </si>
  <si>
    <t>AI动作表</t>
  </si>
  <si>
    <t>加调用伙伴技能1，伙伴技能2、伙伴技能3、伙伴技能4、伙伴精通技能</t>
  </si>
  <si>
    <t>0或不填 随便使用</t>
  </si>
  <si>
    <t>把目标筛选逻辑的关系、阵营、单位类型分列处理</t>
    <phoneticPr fontId="1" type="noConversion"/>
  </si>
  <si>
    <t>1主角（玩家控制）</t>
    <phoneticPr fontId="1" type="noConversion"/>
  </si>
  <si>
    <t>主角（玩家控制）</t>
    <phoneticPr fontId="1" type="noConversion"/>
  </si>
  <si>
    <t>神迹</t>
    <phoneticPr fontId="12" type="noConversion"/>
  </si>
  <si>
    <t>每回合结束时自动解除一切异常状态，包括毒、封印、属性降低等。</t>
    <phoneticPr fontId="8" type="noConversion"/>
  </si>
  <si>
    <t>不死亡魂</t>
  </si>
  <si>
    <t>死亡5回合后自动复活，不受任何状态影响，但也不能使用主动技能和药品回复气血。</t>
    <phoneticPr fontId="8" type="noConversion"/>
  </si>
  <si>
    <t>亡魂复活buff</t>
    <phoneticPr fontId="12" type="noConversion"/>
  </si>
  <si>
    <t>高级不死亡魂</t>
  </si>
  <si>
    <t>死亡5回合后自动复活，不受异常状态影响。</t>
  </si>
  <si>
    <t>潜行</t>
    <phoneticPr fontId="8" type="noConversion"/>
  </si>
  <si>
    <t>进战斗自动释放隐身主动技能</t>
    <phoneticPr fontId="8" type="noConversion"/>
  </si>
  <si>
    <t>隐身主动技能</t>
    <phoneticPr fontId="8" type="noConversion"/>
  </si>
  <si>
    <t>高级潜行</t>
  </si>
  <si>
    <t>进战斗自动释放高级隐身主动技能</t>
    <phoneticPr fontId="8" type="noConversion"/>
  </si>
  <si>
    <t>高级隐身主动技能</t>
    <phoneticPr fontId="8" type="noConversion"/>
  </si>
  <si>
    <t>猎人狩猎姿态技能</t>
    <phoneticPr fontId="8" type="noConversion"/>
  </si>
  <si>
    <t>战斗开始时自动释放狩猎姿态技能，操作释放多重射击、诱捕射击、稳固射击时如果不在狩猎状态则该回合自动释放狩猎姿态。</t>
    <phoneticPr fontId="8" type="noConversion"/>
  </si>
  <si>
    <t>狩猎姿态主动技能</t>
    <phoneticPr fontId="8" type="noConversion"/>
  </si>
  <si>
    <t>buff503001</t>
    <phoneticPr fontId="8" type="noConversion"/>
  </si>
  <si>
    <t>狩猎状态</t>
    <phoneticPr fontId="12" type="noConversion"/>
  </si>
  <si>
    <t>多重打击主动技能</t>
    <phoneticPr fontId="8" type="noConversion"/>
  </si>
  <si>
    <t>诱捕打击主动技能</t>
    <phoneticPr fontId="8" type="noConversion"/>
  </si>
  <si>
    <t>稳固打击主动技能</t>
    <phoneticPr fontId="8" type="noConversion"/>
  </si>
  <si>
    <t>通用特殊AI处理（代码写死）</t>
    <phoneticPr fontId="8" type="noConversion"/>
  </si>
  <si>
    <t>伙伴AI加战斗类型的处理</t>
    <phoneticPr fontId="1" type="noConversion"/>
  </si>
  <si>
    <t>怪物的ai先走AI配置，AI没有配置或者配置没有生效，则根据怪物身上绑的技能和释放几率循环随机，随机一个能成功释放的技能，没有一个技能能释放则默认普攻</t>
    <phoneticPr fontId="1" type="noConversion"/>
  </si>
  <si>
    <t>通用技能只能绑攻击技能，根据场上情况有AI策略的技能需要用AI配置实现，如加血、复活、加buff</t>
    <phoneticPr fontId="1" type="noConversion"/>
  </si>
  <si>
    <t>伙伴AI全部用AI配置实现</t>
    <phoneticPr fontId="1" type="noConversion"/>
  </si>
  <si>
    <t>循环活动玩法，中级强度，比如抓鬼、刷宝图、杀星等</t>
    <phoneticPr fontId="1" type="noConversion"/>
  </si>
  <si>
    <t>1夫妻</t>
    <phoneticPr fontId="1" type="noConversion"/>
  </si>
  <si>
    <t>2结拜</t>
    <phoneticPr fontId="1" type="noConversion"/>
  </si>
  <si>
    <t>3师徒</t>
    <phoneticPr fontId="1" type="noConversion"/>
  </si>
  <si>
    <t>1已方</t>
    <phoneticPr fontId="1" type="noConversion"/>
  </si>
  <si>
    <t>2敌方</t>
    <phoneticPr fontId="1" type="noConversion"/>
  </si>
  <si>
    <t>3自己</t>
    <phoneticPr fontId="1" type="noConversion"/>
  </si>
  <si>
    <t>4敌我双方</t>
    <phoneticPr fontId="1" type="noConversion"/>
  </si>
  <si>
    <t>buffid</t>
    <phoneticPr fontId="8" type="noConversion"/>
  </si>
  <si>
    <t xml:space="preserve"> eNpcTypeNone = 0,</t>
  </si>
  <si>
    <t xml:space="preserve"> eNpcTypeImportant, 1 //重要</t>
  </si>
  <si>
    <t xml:space="preserve"> eNpcTypeTranslate,    2  //传送</t>
  </si>
  <si>
    <t xml:space="preserve"> eNpcTypeTrade,   3//商业</t>
  </si>
  <si>
    <t xml:space="preserve"> eNpcTypeNormal,   4//普通</t>
  </si>
  <si>
    <t xml:space="preserve"> eNpcTypeFossick,  5//采集类npc</t>
  </si>
  <si>
    <t xml:space="preserve"> eNpcTypeCreeps,   6//明雷 addby baiyu</t>
  </si>
  <si>
    <t xml:space="preserve"> eNpcTypeTalkMonster,   7 //可以说话的怪物,如强盗宝图生成之强盗</t>
  </si>
  <si>
    <t xml:space="preserve"> eNpcSchoolChief = 8,    //各门派的首席弟子</t>
  </si>
  <si>
    <t xml:space="preserve"> eNpcMaze = 9,          //迷宫传送点</t>
  </si>
  <si>
    <t xml:space="preserve"> eNpcFollow = 10,          //跟随npc类型</t>
  </si>
  <si>
    <t xml:space="preserve"> eNpcAcpTask = 11,          //身上有可接任务</t>
  </si>
  <si>
    <t xml:space="preserve"> eNpcSchoolSafeGuard = 12, //门派护法</t>
  </si>
  <si>
    <t xml:space="preserve"> eNpcUndeadScene = 13,  //不死军团玩法里场景中需要下跪的 npc add by baiyu</t>
  </si>
  <si>
    <t xml:space="preserve"> eNpcUndeadSceneItem = 14, //不死军团玩法里的宝箱</t>
  </si>
  <si>
    <t xml:space="preserve"> eNpcNoTurn = 15,   //不会转向的npc</t>
  </si>
  <si>
    <t xml:space="preserve"> eNpcInFuBen = 16,   //副本里的npc</t>
  </si>
  <si>
    <t xml:space="preserve"> eNpcItemBox = 18,   //宝箱NPC,18号，和景物NPC的类别区分开</t>
  </si>
  <si>
    <t xml:space="preserve"> eNpcClickToTrigger = 19, //点击npc触发</t>
  </si>
  <si>
    <t xml:space="preserve"> eNpcInCompleteTask = 20,          //身上有未完成的任务</t>
  </si>
  <si>
    <t xml:space="preserve"> eNpcFinishTask = 21,          //身上有可交任务</t>
  </si>
  <si>
    <t xml:space="preserve"> eNpcDisPlayInTask = 22,          //隐藏类npc</t>
  </si>
  <si>
    <t xml:space="preserve"> eNpcClickToTriggerMagnifier = 23, //点击npc触发，鼠标样式放大镜</t>
  </si>
  <si>
    <t xml:space="preserve"> eNpcClickToTriggerBrush = 24, //点击npc触发，鼠标样式刷子</t>
  </si>
  <si>
    <t xml:space="preserve"> eNpcPetBox = 25, //宠物迷城里箱子，鼠标移上去变为锤子</t>
  </si>
  <si>
    <t>26,//剧情NPC类型</t>
  </si>
  <si>
    <t xml:space="preserve"> eNpcTypeMax,</t>
  </si>
  <si>
    <t>npc表npctyoe</t>
    <phoneticPr fontId="1" type="noConversion"/>
  </si>
  <si>
    <t>4暗雷野怪（20000~23999）</t>
    <phoneticPr fontId="1" type="noConversion"/>
  </si>
  <si>
    <t>5战斗npc（24000以上）</t>
    <phoneticPr fontId="1" type="noConversion"/>
  </si>
  <si>
    <t>（可多选，逗号隔开，并集）</t>
    <phoneticPr fontId="1" type="noConversion"/>
  </si>
  <si>
    <t>（可多选，逗号隔开，并集）</t>
    <phoneticPr fontId="1" type="noConversion"/>
  </si>
  <si>
    <t>6系统安排的助战</t>
    <phoneticPr fontId="1" type="noConversion"/>
  </si>
  <si>
    <t>怪物类型</t>
    <phoneticPr fontId="1" type="noConversion"/>
  </si>
  <si>
    <t>ai总表启用ai列里的分项按照顺序优先级来使用，并且</t>
    <phoneticPr fontId="1" type="noConversion"/>
  </si>
  <si>
    <t>ai总表启用ai列里的分项加几率</t>
    <phoneticPr fontId="1" type="noConversion"/>
  </si>
  <si>
    <t>1普通</t>
    <phoneticPr fontId="1" type="noConversion"/>
  </si>
  <si>
    <t>2精英</t>
    <phoneticPr fontId="1" type="noConversion"/>
  </si>
  <si>
    <t>3宝宝</t>
    <phoneticPr fontId="1" type="noConversion"/>
  </si>
  <si>
    <t>单位阵营方</t>
    <phoneticPr fontId="1" type="noConversion"/>
  </si>
  <si>
    <t>单位关系</t>
    <phoneticPr fontId="1" type="noConversion"/>
  </si>
  <si>
    <t>（如果目标是怪物，即单位类型是4、5、6才起效）</t>
    <phoneticPr fontId="1" type="noConversion"/>
  </si>
  <si>
    <t>战斗单位类型</t>
    <phoneticPr fontId="1" type="noConversion"/>
  </si>
  <si>
    <t>2宠物</t>
    <phoneticPr fontId="1" type="noConversion"/>
  </si>
  <si>
    <t>3伙伴（玩家自带助战）</t>
    <phoneticPr fontId="1" type="noConversion"/>
  </si>
  <si>
    <t>4boss</t>
    <phoneticPr fontId="1" type="noConversion"/>
  </si>
  <si>
    <t>幻影斩</t>
  </si>
  <si>
    <t>毁灭打击</t>
  </si>
  <si>
    <t>蓄力冲锋</t>
  </si>
  <si>
    <t>迅猛突袭</t>
  </si>
  <si>
    <t>无边定罪</t>
  </si>
  <si>
    <t>神谕责难</t>
  </si>
  <si>
    <t>处决宣判</t>
  </si>
  <si>
    <t>混乱感召</t>
  </si>
  <si>
    <t>多重打击</t>
  </si>
  <si>
    <t>诱捕打击</t>
  </si>
  <si>
    <t>稳固打击</t>
  </si>
  <si>
    <t>宁神术</t>
  </si>
  <si>
    <t>魔爆术</t>
  </si>
  <si>
    <t>战士</t>
    <phoneticPr fontId="1" type="noConversion"/>
  </si>
  <si>
    <t>圣骑</t>
    <phoneticPr fontId="1" type="noConversion"/>
  </si>
  <si>
    <t>猎人</t>
    <phoneticPr fontId="1" type="noConversion"/>
  </si>
  <si>
    <t>德鲁伊</t>
    <phoneticPr fontId="1" type="noConversion"/>
  </si>
  <si>
    <t>法师</t>
    <phoneticPr fontId="1" type="noConversion"/>
  </si>
  <si>
    <t>牧师</t>
    <phoneticPr fontId="1" type="noConversion"/>
  </si>
  <si>
    <t>暗雷</t>
    <phoneticPr fontId="1" type="noConversion"/>
  </si>
  <si>
    <t>循环pve</t>
    <phoneticPr fontId="1" type="noConversion"/>
  </si>
  <si>
    <t>普攻操作</t>
    <phoneticPr fontId="1" type="noConversion"/>
  </si>
  <si>
    <t>防御</t>
  </si>
  <si>
    <t>防御</t>
    <phoneticPr fontId="1" type="noConversion"/>
  </si>
  <si>
    <t>自身血大于等于50%</t>
  </si>
  <si>
    <t>自身血大于等于50%</t>
    <phoneticPr fontId="1" type="noConversion"/>
  </si>
  <si>
    <t>同上</t>
  </si>
  <si>
    <t>同上</t>
    <phoneticPr fontId="1" type="noConversion"/>
  </si>
  <si>
    <t>剧情和任务链、单人挑战</t>
    <phoneticPr fontId="1" type="noConversion"/>
  </si>
  <si>
    <t>pk</t>
    <phoneticPr fontId="1" type="noConversion"/>
  </si>
  <si>
    <t>蓄3|0.5 幻1|0.5</t>
    <phoneticPr fontId="1" type="noConversion"/>
  </si>
  <si>
    <t>幻1|0.7 毁2|0.3</t>
    <phoneticPr fontId="1" type="noConversion"/>
  </si>
  <si>
    <t>多1|1</t>
  </si>
  <si>
    <t>多1|1</t>
    <phoneticPr fontId="1" type="noConversion"/>
  </si>
  <si>
    <t>幻1|1</t>
  </si>
  <si>
    <t>幻1|1</t>
    <phoneticPr fontId="1" type="noConversion"/>
  </si>
  <si>
    <t>战士擅长毁灭打击2</t>
    <phoneticPr fontId="1" type="noConversion"/>
  </si>
  <si>
    <t>战士擅长幻影斩1</t>
    <phoneticPr fontId="1" type="noConversion"/>
  </si>
  <si>
    <t>猎人擅长多重打击1</t>
    <phoneticPr fontId="1" type="noConversion"/>
  </si>
  <si>
    <t>猎人擅长诱捕打击2</t>
    <phoneticPr fontId="1" type="noConversion"/>
  </si>
  <si>
    <t>猎人擅长稳固打击3</t>
    <phoneticPr fontId="1" type="noConversion"/>
  </si>
  <si>
    <t>圣骑擅长神谕责难2</t>
    <phoneticPr fontId="1" type="noConversion"/>
  </si>
  <si>
    <t>神1|1</t>
    <phoneticPr fontId="1" type="noConversion"/>
  </si>
  <si>
    <t>无1|1</t>
    <phoneticPr fontId="1" type="noConversion"/>
  </si>
  <si>
    <t>神2|1</t>
    <phoneticPr fontId="1" type="noConversion"/>
  </si>
  <si>
    <t>神2|0.7 无1|0.3</t>
    <phoneticPr fontId="1" type="noConversion"/>
  </si>
  <si>
    <t>落日余晖</t>
    <phoneticPr fontId="1" type="noConversion"/>
  </si>
  <si>
    <t>月蚀</t>
    <phoneticPr fontId="1" type="noConversion"/>
  </si>
  <si>
    <t>月1|1</t>
  </si>
  <si>
    <t>月1|1</t>
    <phoneticPr fontId="1" type="noConversion"/>
  </si>
  <si>
    <t>德鲁伊擅长落日余晖3</t>
    <phoneticPr fontId="1" type="noConversion"/>
  </si>
  <si>
    <t>绿之潮</t>
    <phoneticPr fontId="1" type="noConversion"/>
  </si>
  <si>
    <t>德鲁伊擅长绿之潮2</t>
    <phoneticPr fontId="1" type="noConversion"/>
  </si>
  <si>
    <t>心灵之眼</t>
    <phoneticPr fontId="1" type="noConversion"/>
  </si>
  <si>
    <t>德鲁伊擅长心灵之眼4</t>
    <phoneticPr fontId="1" type="noConversion"/>
  </si>
  <si>
    <t>对方隐身单位大于等于1</t>
  </si>
  <si>
    <t>对方隐身单位大于等于1</t>
    <phoneticPr fontId="1" type="noConversion"/>
  </si>
  <si>
    <t>对方有身上有绿之潮buff的单位小于1</t>
  </si>
  <si>
    <t>对方有身上有绿之潮buff的单位小于1</t>
    <phoneticPr fontId="1" type="noConversion"/>
  </si>
  <si>
    <t>暴风雪</t>
    <phoneticPr fontId="1" type="noConversion"/>
  </si>
  <si>
    <t>法师擅长暴风雪1</t>
    <phoneticPr fontId="1" type="noConversion"/>
  </si>
  <si>
    <t>奥术冲击</t>
    <phoneticPr fontId="1" type="noConversion"/>
  </si>
  <si>
    <t>法师擅长奥术冲击2</t>
    <phoneticPr fontId="1" type="noConversion"/>
  </si>
  <si>
    <t>从容不迫</t>
    <phoneticPr fontId="1" type="noConversion"/>
  </si>
  <si>
    <t>我方中毒单位大于等于2</t>
  </si>
  <si>
    <t>我方中毒单位大于等于2</t>
    <phoneticPr fontId="1" type="noConversion"/>
  </si>
  <si>
    <t>暴1|1</t>
    <phoneticPr fontId="1" type="noConversion"/>
  </si>
  <si>
    <t>法师擅长从容不迫4</t>
    <phoneticPr fontId="1" type="noConversion"/>
  </si>
  <si>
    <t>从4|1</t>
    <phoneticPr fontId="1" type="noConversion"/>
  </si>
  <si>
    <t>暴1|0.5 从4|0.5</t>
    <phoneticPr fontId="1" type="noConversion"/>
  </si>
  <si>
    <t>自身血小于等于30%</t>
  </si>
  <si>
    <t>自身血小于等于30%</t>
    <phoneticPr fontId="1" type="noConversion"/>
  </si>
  <si>
    <t>暴1|0.7 奥2|0.3</t>
    <phoneticPr fontId="1" type="noConversion"/>
  </si>
  <si>
    <t>奥2|0.7 暴1|0.3</t>
    <phoneticPr fontId="1" type="noConversion"/>
  </si>
  <si>
    <t>心4|1</t>
  </si>
  <si>
    <t>心4|1</t>
    <phoneticPr fontId="1" type="noConversion"/>
  </si>
  <si>
    <t>绿2|1</t>
  </si>
  <si>
    <t>绿2|1</t>
    <phoneticPr fontId="1" type="noConversion"/>
  </si>
  <si>
    <t>落3|1</t>
  </si>
  <si>
    <t>落3|1</t>
    <phoneticPr fontId="1" type="noConversion"/>
  </si>
  <si>
    <t>神圣新星</t>
    <phoneticPr fontId="1" type="noConversion"/>
  </si>
  <si>
    <t>治疗祷言</t>
    <phoneticPr fontId="1" type="noConversion"/>
  </si>
  <si>
    <t>苏生</t>
    <phoneticPr fontId="1" type="noConversion"/>
  </si>
  <si>
    <t>牧师擅长治疗祷言2</t>
    <phoneticPr fontId="1" type="noConversion"/>
  </si>
  <si>
    <t>牧师擅长苏生3</t>
    <phoneticPr fontId="1" type="noConversion"/>
  </si>
  <si>
    <t>专注意志</t>
    <phoneticPr fontId="1" type="noConversion"/>
  </si>
  <si>
    <t>我方有身上有专注意志buff的单位小于1</t>
    <phoneticPr fontId="1" type="noConversion"/>
  </si>
  <si>
    <t>专4|1</t>
    <phoneticPr fontId="1" type="noConversion"/>
  </si>
  <si>
    <t>治2|1</t>
    <phoneticPr fontId="1" type="noConversion"/>
  </si>
  <si>
    <t>苏3|1</t>
    <phoneticPr fontId="1" type="noConversion"/>
  </si>
  <si>
    <t>我方主角和伙伴血小于等于80%的单位大于等于2</t>
  </si>
  <si>
    <t>我方主角和伙伴血小于等于80%的单位大于等于2</t>
    <phoneticPr fontId="1" type="noConversion"/>
  </si>
  <si>
    <t>我方主角和伙伴血小于等于80%的单位大于等于2且对方没中毒的单位大于等于1</t>
  </si>
  <si>
    <t>我方主角和伙伴血小于等于80%的单位大于等于2且对方没中毒的单位大于等于1</t>
    <phoneticPr fontId="1" type="noConversion"/>
  </si>
  <si>
    <t>无1|0.7 神2|0.3</t>
    <phoneticPr fontId="1" type="noConversion"/>
  </si>
  <si>
    <t>神2|0.7 处3|0.3</t>
    <phoneticPr fontId="1" type="noConversion"/>
  </si>
  <si>
    <t>混4|0.7 处3|0.3</t>
    <phoneticPr fontId="1" type="noConversion"/>
  </si>
  <si>
    <t>自己中禁魔</t>
  </si>
  <si>
    <t>自己中禁魔加定身</t>
  </si>
  <si>
    <t>多1|0.5 诱2|0.5</t>
    <phoneticPr fontId="1" type="noConversion"/>
  </si>
  <si>
    <t>诱2|1</t>
    <phoneticPr fontId="1" type="noConversion"/>
  </si>
  <si>
    <t>稳3|1</t>
    <phoneticPr fontId="1" type="noConversion"/>
  </si>
  <si>
    <t>对方单位数量小于3</t>
  </si>
  <si>
    <t>对方血小于等于30%的单位大于等于1</t>
  </si>
  <si>
    <t>对方血小于等于30%的单位大于等于1</t>
    <phoneticPr fontId="1" type="noConversion"/>
  </si>
  <si>
    <t>我方血小于等于50%单位大于等于1</t>
  </si>
  <si>
    <t>我方血小于等于50%单位大于等于1</t>
    <phoneticPr fontId="1" type="noConversion"/>
  </si>
  <si>
    <t>我方死亡单位大于等于1</t>
  </si>
  <si>
    <t>我方死亡单位大于等于1</t>
    <phoneticPr fontId="1" type="noConversion"/>
  </si>
  <si>
    <t>我方血小于等于80%单位大于等于1</t>
  </si>
  <si>
    <t>我方血小于等于80%单位大于等于1</t>
    <phoneticPr fontId="1" type="noConversion"/>
  </si>
  <si>
    <t>对方没被控制的单位大于等于5</t>
  </si>
  <si>
    <t>对方没被控制的单位大于等于5</t>
    <phoneticPr fontId="1" type="noConversion"/>
  </si>
  <si>
    <t>对方没被控制的单位大于等于3</t>
  </si>
  <si>
    <t>对方没被控制的单位大于等于3</t>
    <phoneticPr fontId="1" type="noConversion"/>
  </si>
  <si>
    <t>对方没被控制的单位大于等于1</t>
  </si>
  <si>
    <t>对方没被控制的单位大于等于1</t>
    <phoneticPr fontId="1" type="noConversion"/>
  </si>
  <si>
    <t>条件</t>
    <phoneticPr fontId="1" type="noConversion"/>
  </si>
  <si>
    <t>毁2|1</t>
    <phoneticPr fontId="1" type="noConversion"/>
  </si>
  <si>
    <t>自身血大于等于50%</t>
    <phoneticPr fontId="1" type="noConversion"/>
  </si>
  <si>
    <t>自身血小于等于30%</t>
    <phoneticPr fontId="1" type="noConversion"/>
  </si>
  <si>
    <t>多1|0.5 稳3|0.5</t>
    <phoneticPr fontId="1" type="noConversion"/>
  </si>
  <si>
    <t>中禁魔buff的自己</t>
    <phoneticPr fontId="12" type="noConversion"/>
  </si>
  <si>
    <t>中禁魔+定身的自己</t>
    <phoneticPr fontId="12" type="noConversion"/>
  </si>
  <si>
    <r>
      <rPr>
        <sz val="10"/>
        <color rgb="FF002060"/>
        <rFont val="宋体"/>
        <family val="3"/>
        <charset val="134"/>
      </rPr>
      <t>血大于等于</t>
    </r>
    <r>
      <rPr>
        <sz val="10"/>
        <color rgb="FF002060"/>
        <rFont val="Arial"/>
        <family val="2"/>
      </rPr>
      <t>50%</t>
    </r>
    <r>
      <rPr>
        <sz val="10"/>
        <color rgb="FF002060"/>
        <rFont val="宋体"/>
        <family val="3"/>
        <charset val="134"/>
      </rPr>
      <t>的自己</t>
    </r>
    <phoneticPr fontId="12" type="noConversion"/>
  </si>
  <si>
    <r>
      <rPr>
        <sz val="10"/>
        <color rgb="FF002060"/>
        <rFont val="宋体"/>
        <family val="3"/>
        <charset val="134"/>
      </rPr>
      <t>血小于等于</t>
    </r>
    <r>
      <rPr>
        <sz val="10"/>
        <color rgb="FF002060"/>
        <rFont val="Arial"/>
        <family val="2"/>
      </rPr>
      <t>30%</t>
    </r>
    <r>
      <rPr>
        <sz val="10"/>
        <color rgb="FF002060"/>
        <rFont val="宋体"/>
        <family val="3"/>
        <charset val="134"/>
      </rPr>
      <t>的自己</t>
    </r>
    <phoneticPr fontId="12" type="noConversion"/>
  </si>
  <si>
    <t>对方没被控制的单位</t>
    <phoneticPr fontId="12" type="noConversion"/>
  </si>
  <si>
    <t>对方单位</t>
    <phoneticPr fontId="12" type="noConversion"/>
  </si>
  <si>
    <r>
      <rPr>
        <sz val="10"/>
        <color rgb="FF002060"/>
        <rFont val="宋体"/>
        <family val="3"/>
        <charset val="134"/>
      </rPr>
      <t>我方主角和伙伴血小于等于</t>
    </r>
    <r>
      <rPr>
        <sz val="10"/>
        <color rgb="FF002060"/>
        <rFont val="Arial"/>
        <family val="2"/>
      </rPr>
      <t>80%</t>
    </r>
    <r>
      <rPr>
        <sz val="10"/>
        <color rgb="FF002060"/>
        <rFont val="宋体"/>
        <family val="3"/>
        <charset val="134"/>
      </rPr>
      <t>的单位</t>
    </r>
    <phoneticPr fontId="12" type="noConversion"/>
  </si>
  <si>
    <t>对方隐身单位</t>
  </si>
  <si>
    <t>对方没有中毒单位</t>
    <phoneticPr fontId="12" type="noConversion"/>
  </si>
  <si>
    <t>我方中毒单位</t>
    <phoneticPr fontId="12" type="noConversion"/>
  </si>
  <si>
    <r>
      <t>对方血小于等于</t>
    </r>
    <r>
      <rPr>
        <sz val="10"/>
        <color rgb="FF002060"/>
        <rFont val="Arial"/>
        <family val="2"/>
      </rPr>
      <t>30%</t>
    </r>
    <r>
      <rPr>
        <sz val="10"/>
        <color rgb="FF002060"/>
        <rFont val="宋体"/>
        <family val="3"/>
        <charset val="134"/>
      </rPr>
      <t>的单位</t>
    </r>
    <phoneticPr fontId="12" type="noConversion"/>
  </si>
  <si>
    <t>我方死亡单位</t>
    <phoneticPr fontId="12" type="noConversion"/>
  </si>
  <si>
    <r>
      <t>我方血小于等于</t>
    </r>
    <r>
      <rPr>
        <sz val="10"/>
        <color rgb="FF002060"/>
        <rFont val="Arial"/>
        <family val="2"/>
      </rPr>
      <t>80%</t>
    </r>
    <r>
      <rPr>
        <sz val="10"/>
        <color rgb="FF002060"/>
        <rFont val="宋体"/>
        <family val="3"/>
        <charset val="134"/>
      </rPr>
      <t>单位</t>
    </r>
    <phoneticPr fontId="12" type="noConversion"/>
  </si>
  <si>
    <r>
      <rPr>
        <sz val="10"/>
        <color rgb="FF002060"/>
        <rFont val="宋体"/>
        <family val="3"/>
        <charset val="134"/>
      </rPr>
      <t>我方血小于等于</t>
    </r>
    <r>
      <rPr>
        <sz val="10"/>
        <color rgb="FF002060"/>
        <rFont val="Arial"/>
        <family val="2"/>
      </rPr>
      <t>50%</t>
    </r>
    <r>
      <rPr>
        <sz val="10"/>
        <color rgb="FF002060"/>
        <rFont val="宋体"/>
        <family val="3"/>
        <charset val="134"/>
      </rPr>
      <t>单位</t>
    </r>
    <phoneticPr fontId="12" type="noConversion"/>
  </si>
  <si>
    <t>德鲁伊通用</t>
    <phoneticPr fontId="1" type="noConversion"/>
  </si>
  <si>
    <t>圣骑擅长混乱感召4</t>
    <phoneticPr fontId="1" type="noConversion"/>
  </si>
  <si>
    <t>圣骑擅长无边定罪1</t>
    <phoneticPr fontId="1" type="noConversion"/>
  </si>
  <si>
    <t>目标</t>
    <phoneticPr fontId="1" type="noConversion"/>
  </si>
  <si>
    <t>动作</t>
    <phoneticPr fontId="1" type="noConversion"/>
  </si>
  <si>
    <t>普攻</t>
    <phoneticPr fontId="10" type="noConversion"/>
  </si>
  <si>
    <t>防御</t>
    <phoneticPr fontId="10" type="noConversion"/>
  </si>
  <si>
    <t>所有伙伴的群攻</t>
    <phoneticPr fontId="10" type="noConversion"/>
  </si>
  <si>
    <t>毁2|1</t>
    <phoneticPr fontId="10" type="noConversion"/>
  </si>
  <si>
    <t>蓄3|0.5 幻1|0.5</t>
    <phoneticPr fontId="10" type="noConversion"/>
  </si>
  <si>
    <t>幻1|0.7 毁2|0.3</t>
    <phoneticPr fontId="10" type="noConversion"/>
  </si>
  <si>
    <t>神2|0.7 处3|0.3</t>
    <phoneticPr fontId="10" type="noConversion"/>
  </si>
  <si>
    <t>混4|0.7 处3|0.3</t>
    <phoneticPr fontId="10" type="noConversion"/>
  </si>
  <si>
    <t>无1|1</t>
    <phoneticPr fontId="10" type="noConversion"/>
  </si>
  <si>
    <t>无1|0.7 神2|0.3</t>
    <phoneticPr fontId="10" type="noConversion"/>
  </si>
  <si>
    <t>神2|0.7 无1|0.3</t>
    <phoneticPr fontId="10" type="noConversion"/>
  </si>
  <si>
    <t>多1|0.5 稳3|0.5</t>
    <phoneticPr fontId="10" type="noConversion"/>
  </si>
  <si>
    <t>诱2|1</t>
    <phoneticPr fontId="10" type="noConversion"/>
  </si>
  <si>
    <t>多1|0.5 诱2|0.5</t>
    <phoneticPr fontId="10" type="noConversion"/>
  </si>
  <si>
    <t>稳3|1</t>
    <phoneticPr fontId="10" type="noConversion"/>
  </si>
  <si>
    <t>落3|1</t>
    <phoneticPr fontId="10" type="noConversion"/>
  </si>
  <si>
    <t>心4|1</t>
    <phoneticPr fontId="10" type="noConversion"/>
  </si>
  <si>
    <t>绿2|1</t>
    <phoneticPr fontId="10" type="noConversion"/>
  </si>
  <si>
    <t>暴1|0.5 从4|0.5</t>
    <phoneticPr fontId="10" type="noConversion"/>
  </si>
  <si>
    <t>暴1|0.7 奥2|0.3</t>
    <phoneticPr fontId="10" type="noConversion"/>
  </si>
  <si>
    <t>奥2|0.7 暴1|0.3</t>
    <phoneticPr fontId="10" type="noConversion"/>
  </si>
  <si>
    <t>从4|1</t>
    <phoneticPr fontId="10" type="noConversion"/>
  </si>
  <si>
    <t>治2|1</t>
    <phoneticPr fontId="10" type="noConversion"/>
  </si>
  <si>
    <t>苏3|1</t>
    <phoneticPr fontId="10" type="noConversion"/>
  </si>
  <si>
    <t>专4|1</t>
    <phoneticPr fontId="10" type="noConversion"/>
  </si>
  <si>
    <t>对方单位数量小于3且对方没被控制的单位大于等于1</t>
  </si>
  <si>
    <r>
      <t>对方身上有绿之潮</t>
    </r>
    <r>
      <rPr>
        <sz val="10"/>
        <color rgb="FF002060"/>
        <rFont val="Arial"/>
        <family val="2"/>
      </rPr>
      <t>buff</t>
    </r>
    <r>
      <rPr>
        <sz val="10"/>
        <color rgb="FF002060"/>
        <rFont val="宋体"/>
        <family val="3"/>
        <charset val="134"/>
      </rPr>
      <t>的单位</t>
    </r>
    <phoneticPr fontId="12" type="noConversion"/>
  </si>
  <si>
    <r>
      <rPr>
        <sz val="10"/>
        <color rgb="FF002060"/>
        <rFont val="宋体"/>
        <family val="3"/>
        <charset val="134"/>
      </rPr>
      <t>对方身上没有绿之潮</t>
    </r>
    <r>
      <rPr>
        <sz val="10"/>
        <color rgb="FF002060"/>
        <rFont val="Arial"/>
        <family val="2"/>
      </rPr>
      <t>buff</t>
    </r>
    <r>
      <rPr>
        <sz val="10"/>
        <color rgb="FF002060"/>
        <rFont val="宋体"/>
        <family val="3"/>
        <charset val="134"/>
      </rPr>
      <t>的单位</t>
    </r>
    <phoneticPr fontId="12" type="noConversion"/>
  </si>
  <si>
    <r>
      <t>我方身上有专注意志</t>
    </r>
    <r>
      <rPr>
        <sz val="10"/>
        <color rgb="FF002060"/>
        <rFont val="Arial"/>
        <family val="2"/>
      </rPr>
      <t>buff</t>
    </r>
    <r>
      <rPr>
        <sz val="10"/>
        <color rgb="FF002060"/>
        <rFont val="宋体"/>
        <family val="3"/>
        <charset val="134"/>
      </rPr>
      <t>的单位</t>
    </r>
    <phoneticPr fontId="12" type="noConversion"/>
  </si>
  <si>
    <r>
      <rPr>
        <sz val="10"/>
        <color rgb="FF002060"/>
        <rFont val="宋体"/>
        <family val="3"/>
        <charset val="134"/>
      </rPr>
      <t>我方身上没有专注意志</t>
    </r>
    <r>
      <rPr>
        <sz val="10"/>
        <color rgb="FF002060"/>
        <rFont val="Arial"/>
        <family val="2"/>
      </rPr>
      <t>buff</t>
    </r>
    <r>
      <rPr>
        <sz val="10"/>
        <color rgb="FF002060"/>
        <rFont val="宋体"/>
        <family val="3"/>
        <charset val="134"/>
      </rPr>
      <t>的单位</t>
    </r>
    <phoneticPr fontId="12" type="noConversion"/>
  </si>
  <si>
    <r>
      <rPr>
        <sz val="10"/>
        <rFont val="宋体"/>
        <family val="3"/>
        <charset val="134"/>
      </rPr>
      <t>对方身上有绿之潮</t>
    </r>
    <r>
      <rPr>
        <sz val="10"/>
        <rFont val="Arial"/>
        <family val="2"/>
      </rPr>
      <t>buff</t>
    </r>
    <r>
      <rPr>
        <sz val="10"/>
        <rFont val="宋体"/>
        <family val="3"/>
        <charset val="134"/>
      </rPr>
      <t>的单位小于</t>
    </r>
    <r>
      <rPr>
        <sz val="10"/>
        <rFont val="Arial"/>
        <family val="2"/>
      </rPr>
      <t>1</t>
    </r>
    <phoneticPr fontId="1" type="noConversion"/>
  </si>
  <si>
    <r>
      <rPr>
        <sz val="10"/>
        <rFont val="宋体"/>
        <family val="3"/>
        <charset val="134"/>
      </rPr>
      <t>我方身上有专注意志</t>
    </r>
    <r>
      <rPr>
        <sz val="10"/>
        <rFont val="Arial"/>
        <family val="2"/>
      </rPr>
      <t>buff</t>
    </r>
    <r>
      <rPr>
        <sz val="10"/>
        <rFont val="宋体"/>
        <family val="3"/>
        <charset val="134"/>
      </rPr>
      <t>的单位小于</t>
    </r>
    <r>
      <rPr>
        <sz val="10"/>
        <rFont val="Arial"/>
        <family val="2"/>
      </rPr>
      <t>1</t>
    </r>
    <phoneticPr fontId="1" type="noConversion"/>
  </si>
  <si>
    <t>所有伙伴群攻</t>
    <phoneticPr fontId="1" type="noConversion"/>
  </si>
  <si>
    <t>我方身上有专注意志buff的单位小于1</t>
  </si>
  <si>
    <t>对方身上有绿之潮buff的单位小于1</t>
  </si>
  <si>
    <t>伙伴AI设计</t>
    <phoneticPr fontId="1" type="noConversion"/>
  </si>
  <si>
    <t>串联</t>
    <phoneticPr fontId="1" type="noConversion"/>
  </si>
  <si>
    <t>Aiid</t>
    <phoneticPr fontId="1" type="noConversion"/>
  </si>
  <si>
    <t>（通用）</t>
    <phoneticPr fontId="1" type="noConversion"/>
  </si>
  <si>
    <t>野外暗雷刷怪通用</t>
  </si>
  <si>
    <t>自身血大于等于50%且对方人数小于于3</t>
  </si>
  <si>
    <t>自身血大于等于50%且对方人数小于于3</t>
    <phoneticPr fontId="1" type="noConversion"/>
  </si>
  <si>
    <t>自身血大于等于50%且对方人数大于等于3</t>
  </si>
  <si>
    <t>自身血大于等于50%且对方人数大于等于3</t>
    <phoneticPr fontId="1" type="noConversion"/>
  </si>
  <si>
    <t>毁2|1</t>
  </si>
  <si>
    <t>毁2|1</t>
    <phoneticPr fontId="1" type="noConversion"/>
  </si>
  <si>
    <t>战士擅长幻影斩1补充！</t>
    <phoneticPr fontId="1" type="noConversion"/>
  </si>
  <si>
    <t>自身血大于等于50%且对方人数大于等于3</t>
    <phoneticPr fontId="1" type="noConversion"/>
  </si>
  <si>
    <t>战士被动1</t>
  </si>
  <si>
    <t>战士被动2</t>
  </si>
  <si>
    <t>战士被动3</t>
  </si>
  <si>
    <t>圣骑士被动1</t>
  </si>
  <si>
    <t>圣骑士被动2</t>
  </si>
  <si>
    <t>圣骑士被动3</t>
  </si>
  <si>
    <t>狩猎姿态</t>
  </si>
  <si>
    <t>猎人被动1</t>
  </si>
  <si>
    <t>猎人被动2</t>
  </si>
  <si>
    <t>猎人被动3</t>
  </si>
  <si>
    <t>狩猎姿态被动</t>
  </si>
  <si>
    <t>伊瑟拉之赐</t>
  </si>
  <si>
    <t>德鲁伊被动1</t>
  </si>
  <si>
    <t>德鲁伊被动2</t>
  </si>
  <si>
    <t>德鲁伊被动3</t>
  </si>
  <si>
    <t>法师被动1</t>
  </si>
  <si>
    <t>法师被动2</t>
  </si>
  <si>
    <t>法师被动3</t>
  </si>
  <si>
    <t>虔诚信仰</t>
  </si>
  <si>
    <t>神圣新星</t>
  </si>
  <si>
    <t>治疗祷言</t>
  </si>
  <si>
    <t>天定之国</t>
  </si>
  <si>
    <t>牧师被动1</t>
  </si>
  <si>
    <t>牧师被动2</t>
  </si>
  <si>
    <t>盗贼尊严</t>
  </si>
  <si>
    <t>附魔：鲜血饥渴</t>
  </si>
  <si>
    <t>附魔：暗影之力</t>
  </si>
  <si>
    <t>蓄3|0.5 幻1|0.5</t>
    <phoneticPr fontId="1" type="noConversion"/>
  </si>
  <si>
    <t>自己中禁魔加定身</t>
    <phoneticPr fontId="1" type="noConversion"/>
  </si>
  <si>
    <t>对方没被控制的单位大于等于1</t>
    <phoneticPr fontId="1" type="noConversion"/>
  </si>
  <si>
    <t>多1|1</t>
    <phoneticPr fontId="1" type="noConversion"/>
  </si>
  <si>
    <t>多1|0.5 稳3|0.5</t>
    <phoneticPr fontId="1" type="noConversion"/>
  </si>
  <si>
    <t>对方单位数量小于3且对方没被控制的单位大于等于1</t>
    <phoneticPr fontId="1" type="noConversion"/>
  </si>
  <si>
    <t>我方主角和伙伴血小于等于80%的单位大于等于2</t>
    <phoneticPr fontId="1" type="noConversion"/>
  </si>
  <si>
    <t>高血高双防</t>
    <phoneticPr fontId="1" type="noConversion"/>
  </si>
  <si>
    <t>圣骑、牧师、德鲁伊、萨满</t>
    <phoneticPr fontId="1" type="noConversion"/>
  </si>
  <si>
    <t>圣骑、德鲁伊</t>
    <phoneticPr fontId="1" type="noConversion"/>
  </si>
  <si>
    <t>战士、圣骑</t>
    <phoneticPr fontId="1" type="noConversion"/>
  </si>
  <si>
    <t>抗除嘲讽之外的控制</t>
    <phoneticPr fontId="1" type="noConversion"/>
  </si>
  <si>
    <t>惧控精英</t>
    <phoneticPr fontId="1" type="noConversion"/>
  </si>
  <si>
    <t>自动对boss使用毁灭打击</t>
    <phoneticPr fontId="1" type="noConversion"/>
  </si>
  <si>
    <t>精准打击</t>
  </si>
  <si>
    <t>对方单位数量小于3</t>
    <phoneticPr fontId="1" type="noConversion"/>
  </si>
  <si>
    <t>治疗精英</t>
    <phoneticPr fontId="1" type="noConversion"/>
  </si>
  <si>
    <t>惧疗怪</t>
    <phoneticPr fontId="1" type="noConversion"/>
  </si>
  <si>
    <t>首回合自动使用野性召唤</t>
    <phoneticPr fontId="1" type="noConversion"/>
  </si>
  <si>
    <t>魔法值低于10%时自动使用生命献祭</t>
    <phoneticPr fontId="1" type="noConversion"/>
  </si>
  <si>
    <t>战士</t>
    <phoneticPr fontId="1" type="noConversion"/>
  </si>
  <si>
    <t>圣骑</t>
    <phoneticPr fontId="1" type="noConversion"/>
  </si>
  <si>
    <t>猎人</t>
  </si>
  <si>
    <t>德鲁伊</t>
  </si>
  <si>
    <t>法师</t>
  </si>
  <si>
    <t>暴风雪</t>
  </si>
  <si>
    <t>变形术</t>
  </si>
  <si>
    <t>职业特性及自动设置</t>
    <phoneticPr fontId="1" type="noConversion"/>
  </si>
  <si>
    <t>与职业特性博弈的特殊怪</t>
    <phoneticPr fontId="1" type="noConversion"/>
  </si>
  <si>
    <t>心灵之火</t>
  </si>
  <si>
    <t>神圣救赎</t>
  </si>
  <si>
    <t>我方中毒单位大于等于2</t>
    <phoneticPr fontId="1" type="noConversion"/>
  </si>
  <si>
    <t>对方血小于等于30%的单位大于等于1</t>
    <phoneticPr fontId="1" type="noConversion"/>
  </si>
  <si>
    <t>奥术冲击</t>
    <phoneticPr fontId="1" type="noConversion"/>
  </si>
  <si>
    <t>敌方数量等于2个</t>
    <phoneticPr fontId="1" type="noConversion"/>
  </si>
  <si>
    <t>奥术冲击</t>
    <phoneticPr fontId="1" type="noConversion"/>
  </si>
  <si>
    <t>敌方数量等于1个</t>
    <phoneticPr fontId="1" type="noConversion"/>
  </si>
  <si>
    <t>火焰之雨</t>
  </si>
  <si>
    <t>闪电箭</t>
  </si>
  <si>
    <t>牧师</t>
    <phoneticPr fontId="1" type="noConversion"/>
  </si>
  <si>
    <t>萨满</t>
    <phoneticPr fontId="1" type="noConversion"/>
  </si>
  <si>
    <t>盗贼</t>
    <phoneticPr fontId="1" type="noConversion"/>
  </si>
  <si>
    <t>术士</t>
    <phoneticPr fontId="1" type="noConversion"/>
  </si>
  <si>
    <t>博弈职业</t>
    <phoneticPr fontId="1" type="noConversion"/>
  </si>
  <si>
    <t>（魔法值低于10%时）</t>
    <phoneticPr fontId="1" type="noConversion"/>
  </si>
  <si>
    <t>常用技能多重打击</t>
    <phoneticPr fontId="1" type="noConversion"/>
  </si>
  <si>
    <t>自动对boss使用精准打击</t>
    <phoneticPr fontId="1" type="noConversion"/>
  </si>
  <si>
    <t>物群  弱辅助</t>
    <phoneticPr fontId="1" type="noConversion"/>
  </si>
  <si>
    <t>职业辅助AI生效条件</t>
    <phoneticPr fontId="1" type="noConversion"/>
  </si>
  <si>
    <t>boss</t>
    <phoneticPr fontId="1" type="noConversion"/>
  </si>
  <si>
    <t>控制精英</t>
    <phoneticPr fontId="1" type="noConversion"/>
  </si>
  <si>
    <t>高血高双防、控制</t>
    <phoneticPr fontId="1" type="noConversion"/>
  </si>
  <si>
    <t>盗贼、术士、法师</t>
    <phoneticPr fontId="1" type="noConversion"/>
  </si>
  <si>
    <t>高血高双防、治疗</t>
    <phoneticPr fontId="1" type="noConversion"/>
  </si>
  <si>
    <t>隐身怪</t>
    <phoneticPr fontId="1" type="noConversion"/>
  </si>
  <si>
    <t>高物攻，隐身3到5回合</t>
    <phoneticPr fontId="1" type="noConversion"/>
  </si>
  <si>
    <t>常用技能幻影冲锋</t>
    <phoneticPr fontId="1" type="noConversion"/>
  </si>
  <si>
    <t>自动对boss使用复仇之盾</t>
    <phoneticPr fontId="1" type="noConversion"/>
  </si>
  <si>
    <t>（敌方有精英怪没被控制）</t>
    <phoneticPr fontId="1" type="noConversion"/>
  </si>
  <si>
    <t>自动释放冰霜血脉</t>
    <phoneticPr fontId="1" type="noConversion"/>
  </si>
  <si>
    <t>常用技能暴风雪</t>
    <phoneticPr fontId="1" type="noConversion"/>
  </si>
  <si>
    <t>（我方死亡单位大于等于1）</t>
    <phoneticPr fontId="1" type="noConversion"/>
  </si>
  <si>
    <t>自动使用治疗祷言</t>
    <phoneticPr fontId="1" type="noConversion"/>
  </si>
  <si>
    <t>自动对精英怪使用闷棍</t>
    <phoneticPr fontId="1" type="noConversion"/>
  </si>
  <si>
    <t>自动使用生命虹吸</t>
    <phoneticPr fontId="1" type="noConversion"/>
  </si>
  <si>
    <t>伙伴AI</t>
    <phoneticPr fontId="1" type="noConversion"/>
  </si>
  <si>
    <t>武器大师</t>
    <phoneticPr fontId="8" type="noConversion"/>
  </si>
  <si>
    <t>战士擅长毁灭打击</t>
    <phoneticPr fontId="1" type="noConversion"/>
  </si>
  <si>
    <t>战士擅长幻影冲锋</t>
    <phoneticPr fontId="1" type="noConversion"/>
  </si>
  <si>
    <t>幻影冲锋</t>
    <phoneticPr fontId="8" type="noConversion"/>
  </si>
  <si>
    <t>挫志怒吼</t>
    <phoneticPr fontId="8" type="noConversion"/>
  </si>
  <si>
    <t>毁灭打击</t>
    <phoneticPr fontId="8" type="noConversion"/>
  </si>
  <si>
    <t>蓄力猛击</t>
    <phoneticPr fontId="8" type="noConversion"/>
  </si>
  <si>
    <t>自己中沉默</t>
    <phoneticPr fontId="1" type="noConversion"/>
  </si>
  <si>
    <t>普攻操作</t>
    <phoneticPr fontId="1" type="noConversion"/>
  </si>
  <si>
    <t>破甲</t>
    <phoneticPr fontId="8" type="noConversion"/>
  </si>
  <si>
    <t>防御</t>
    <phoneticPr fontId="1" type="noConversion"/>
  </si>
  <si>
    <t>附魔：钢铁之躯</t>
    <phoneticPr fontId="8" type="noConversion"/>
  </si>
  <si>
    <t>无敌斩</t>
    <phoneticPr fontId="8" type="noConversion"/>
  </si>
  <si>
    <t>敌方有boss没中嘲讽</t>
    <phoneticPr fontId="1" type="noConversion"/>
  </si>
  <si>
    <t>挫志怒吼</t>
    <phoneticPr fontId="1" type="noConversion"/>
  </si>
  <si>
    <t>敌方有boss没中破甲</t>
    <phoneticPr fontId="1" type="noConversion"/>
  </si>
  <si>
    <t>破甲</t>
    <phoneticPr fontId="1" type="noConversion"/>
  </si>
  <si>
    <t>自身血大于等于50%且有boss</t>
    <phoneticPr fontId="1" type="noConversion"/>
  </si>
  <si>
    <t>毁灭打击</t>
    <phoneticPr fontId="1" type="noConversion"/>
  </si>
  <si>
    <t>自身血大于等于50%且对方人数大于等于3</t>
    <phoneticPr fontId="1" type="noConversion"/>
  </si>
  <si>
    <t>猛击</t>
    <phoneticPr fontId="8" type="noConversion"/>
  </si>
  <si>
    <t>自身血大于等于50%且对方人数等于2</t>
    <phoneticPr fontId="1" type="noConversion"/>
  </si>
  <si>
    <t>幻影冲锋|0.5 毁灭打击|0.5</t>
    <phoneticPr fontId="1" type="noConversion"/>
  </si>
  <si>
    <t>自身血大于等于50%且对方人数等于1</t>
    <phoneticPr fontId="1" type="noConversion"/>
  </si>
  <si>
    <t>蓄力猛击|0.5 幻影冲锋|0.5</t>
    <phoneticPr fontId="1" type="noConversion"/>
  </si>
  <si>
    <t>蓄力猛击3|0.5 幻影冲锋|0.5</t>
    <phoneticPr fontId="1" type="noConversion"/>
  </si>
  <si>
    <t>幻影冲锋</t>
    <phoneticPr fontId="1" type="noConversion"/>
  </si>
  <si>
    <t>王者祝福</t>
    <phoneticPr fontId="8" type="noConversion"/>
  </si>
  <si>
    <t>圣骑擅长审判之锤</t>
    <phoneticPr fontId="1" type="noConversion"/>
  </si>
  <si>
    <t>圣骑擅长无边定罪</t>
    <phoneticPr fontId="1" type="noConversion"/>
  </si>
  <si>
    <t>审判之锤</t>
    <phoneticPr fontId="8" type="noConversion"/>
  </si>
  <si>
    <t>无边定罪</t>
    <phoneticPr fontId="8" type="noConversion"/>
  </si>
  <si>
    <t>复仇之盾</t>
    <phoneticPr fontId="8" type="noConversion"/>
  </si>
  <si>
    <t>圣光洗礼</t>
    <phoneticPr fontId="8" type="noConversion"/>
  </si>
  <si>
    <t>神谕责难</t>
    <phoneticPr fontId="8" type="noConversion"/>
  </si>
  <si>
    <t>附魔：神圣庇护</t>
    <phoneticPr fontId="8" type="noConversion"/>
  </si>
  <si>
    <t>守护圣盾</t>
    <phoneticPr fontId="8" type="noConversion"/>
  </si>
  <si>
    <t>敌方有boss</t>
    <phoneticPr fontId="1" type="noConversion"/>
  </si>
  <si>
    <t>审判之锤</t>
    <phoneticPr fontId="1" type="noConversion"/>
  </si>
  <si>
    <t>猎人擅长多重打击</t>
    <phoneticPr fontId="1" type="noConversion"/>
  </si>
  <si>
    <t>猎人擅长精准射击</t>
    <phoneticPr fontId="1" type="noConversion"/>
  </si>
  <si>
    <t>多重打击</t>
    <phoneticPr fontId="1" type="noConversion"/>
  </si>
  <si>
    <t>穿刺打击</t>
    <phoneticPr fontId="8" type="noConversion"/>
  </si>
  <si>
    <t>野性召唤</t>
    <phoneticPr fontId="8" type="noConversion"/>
  </si>
  <si>
    <t>生命献祭</t>
    <phoneticPr fontId="8" type="noConversion"/>
  </si>
  <si>
    <t>精准打击</t>
    <phoneticPr fontId="8" type="noConversion"/>
  </si>
  <si>
    <t>附魔：不羁之怒</t>
    <phoneticPr fontId="8" type="noConversion"/>
  </si>
  <si>
    <t>敌方数量大于等于3个</t>
    <phoneticPr fontId="1" type="noConversion"/>
  </si>
  <si>
    <t>奇美拉冲击</t>
    <phoneticPr fontId="1" type="noConversion"/>
  </si>
  <si>
    <t>敌方数量等于2个且有boss</t>
    <phoneticPr fontId="1" type="noConversion"/>
  </si>
  <si>
    <t>精准打击</t>
    <phoneticPr fontId="1" type="noConversion"/>
  </si>
  <si>
    <t>敌方数量等于2个</t>
    <phoneticPr fontId="1" type="noConversion"/>
  </si>
  <si>
    <t>敌方数量等于1个</t>
    <phoneticPr fontId="1" type="noConversion"/>
  </si>
  <si>
    <t>己方3个人魔法值都低于10%</t>
    <phoneticPr fontId="1" type="noConversion"/>
  </si>
  <si>
    <t>生命献祭</t>
    <phoneticPr fontId="1" type="noConversion"/>
  </si>
  <si>
    <t>撕裂横扫</t>
    <phoneticPr fontId="8" type="noConversion"/>
  </si>
  <si>
    <t>绿之潮</t>
    <phoneticPr fontId="1" type="noConversion"/>
  </si>
  <si>
    <t>黄昏花蕾</t>
    <phoneticPr fontId="8" type="noConversion"/>
  </si>
  <si>
    <t>灵熊爪击</t>
    <phoneticPr fontId="8" type="noConversion"/>
  </si>
  <si>
    <t>自然之眼</t>
    <phoneticPr fontId="8" type="noConversion"/>
  </si>
  <si>
    <t>附魔：自然亲和</t>
    <phoneticPr fontId="8" type="noConversion"/>
  </si>
  <si>
    <t>纠缠根须</t>
    <phoneticPr fontId="8" type="noConversion"/>
  </si>
  <si>
    <t>自然之眼</t>
    <phoneticPr fontId="1" type="noConversion"/>
  </si>
  <si>
    <t>奥术智慧</t>
    <phoneticPr fontId="8" type="noConversion"/>
  </si>
  <si>
    <t>法师擅长暴风雪</t>
    <phoneticPr fontId="1" type="noConversion"/>
  </si>
  <si>
    <t>法师擅长奥术冲击2</t>
    <phoneticPr fontId="1" type="noConversion"/>
  </si>
  <si>
    <t>暴风雪</t>
    <phoneticPr fontId="8" type="noConversion"/>
  </si>
  <si>
    <t>奥术冲击</t>
    <phoneticPr fontId="8" type="noConversion"/>
  </si>
  <si>
    <t>变形术</t>
    <phoneticPr fontId="8" type="noConversion"/>
  </si>
  <si>
    <t>魔爆术</t>
    <phoneticPr fontId="8" type="noConversion"/>
  </si>
  <si>
    <t>自己中沉默</t>
    <phoneticPr fontId="1" type="noConversion"/>
  </si>
  <si>
    <t>防御</t>
    <phoneticPr fontId="1" type="noConversion"/>
  </si>
  <si>
    <t>冰霜血脉</t>
    <phoneticPr fontId="8" type="noConversion"/>
  </si>
  <si>
    <t>附魔：魔能武器</t>
    <phoneticPr fontId="8" type="noConversion"/>
  </si>
  <si>
    <t>烈焰风暴</t>
    <phoneticPr fontId="8" type="noConversion"/>
  </si>
  <si>
    <t>敌方精英怪没被控制</t>
    <phoneticPr fontId="1" type="noConversion"/>
  </si>
  <si>
    <t>变形术</t>
    <phoneticPr fontId="1" type="noConversion"/>
  </si>
  <si>
    <t>暴风雪|0.5 奥术冲击|0.5</t>
    <phoneticPr fontId="1" type="noConversion"/>
  </si>
  <si>
    <t>暴风雪</t>
    <phoneticPr fontId="1" type="noConversion"/>
  </si>
  <si>
    <t>牧师擅长复生</t>
    <phoneticPr fontId="1" type="noConversion"/>
  </si>
  <si>
    <t>神圣新星</t>
    <phoneticPr fontId="1" type="noConversion"/>
  </si>
  <si>
    <t>治疗祷言</t>
    <phoneticPr fontId="1" type="noConversion"/>
  </si>
  <si>
    <t>复生</t>
    <phoneticPr fontId="8" type="noConversion"/>
  </si>
  <si>
    <t>心灵之火</t>
    <phoneticPr fontId="8" type="noConversion"/>
  </si>
  <si>
    <t>自己中沉默</t>
    <phoneticPr fontId="1" type="noConversion"/>
  </si>
  <si>
    <t>防御</t>
    <phoneticPr fontId="1" type="noConversion"/>
  </si>
  <si>
    <t>神圣救赎</t>
    <phoneticPr fontId="8" type="noConversion"/>
  </si>
  <si>
    <t>附魔：纳鲁恩赐</t>
    <phoneticPr fontId="8" type="noConversion"/>
  </si>
  <si>
    <t>复生</t>
    <phoneticPr fontId="1" type="noConversion"/>
  </si>
  <si>
    <t>牧师被动3</t>
    <phoneticPr fontId="8" type="noConversion"/>
  </si>
  <si>
    <t>我方有身上有心灵之火buff的单位小于1个（包含死亡）</t>
    <phoneticPr fontId="1" type="noConversion"/>
  </si>
  <si>
    <t>先祖智慧</t>
    <phoneticPr fontId="8" type="noConversion"/>
  </si>
  <si>
    <t>萨满擅长闪电链</t>
    <phoneticPr fontId="1" type="noConversion"/>
  </si>
  <si>
    <t>闪电链</t>
    <phoneticPr fontId="8" type="noConversion"/>
  </si>
  <si>
    <t>闪电箭</t>
    <phoneticPr fontId="8" type="noConversion"/>
  </si>
  <si>
    <t>治疗图腾</t>
    <phoneticPr fontId="8" type="noConversion"/>
  </si>
  <si>
    <t>先祖之魂</t>
    <phoneticPr fontId="8" type="noConversion"/>
  </si>
  <si>
    <t>狂热图腾</t>
    <phoneticPr fontId="8" type="noConversion"/>
  </si>
  <si>
    <t>附魔：元素之怒</t>
    <phoneticPr fontId="8" type="noConversion"/>
  </si>
  <si>
    <t>风暴轰击</t>
    <phoneticPr fontId="8" type="noConversion"/>
  </si>
  <si>
    <t>闪电链|0.5 闪电箭|0.5</t>
    <phoneticPr fontId="1" type="noConversion"/>
  </si>
  <si>
    <t>萨满被动1</t>
    <phoneticPr fontId="8" type="noConversion"/>
  </si>
  <si>
    <t>敌方数量等于2个</t>
    <phoneticPr fontId="1" type="noConversion"/>
  </si>
  <si>
    <t>闪电链|0.5 闪电箭|0.5</t>
    <phoneticPr fontId="1" type="noConversion"/>
  </si>
  <si>
    <t>萨满被动2</t>
    <phoneticPr fontId="8" type="noConversion"/>
  </si>
  <si>
    <t>敌方数量等于1个</t>
    <phoneticPr fontId="1" type="noConversion"/>
  </si>
  <si>
    <t>闪电箭</t>
    <phoneticPr fontId="1" type="noConversion"/>
  </si>
  <si>
    <t>萨满被动3</t>
    <phoneticPr fontId="8" type="noConversion"/>
  </si>
  <si>
    <t>闪电链</t>
    <phoneticPr fontId="1" type="noConversion"/>
  </si>
  <si>
    <t>盗贼擅长剔骨</t>
    <phoneticPr fontId="1" type="noConversion"/>
  </si>
  <si>
    <t>淬毒刀扇</t>
    <phoneticPr fontId="1" type="noConversion"/>
  </si>
  <si>
    <t>穿刺影袭</t>
    <phoneticPr fontId="1" type="noConversion"/>
  </si>
  <si>
    <t>自己中沉默</t>
    <phoneticPr fontId="1" type="noConversion"/>
  </si>
  <si>
    <t>普攻操作</t>
    <phoneticPr fontId="1" type="noConversion"/>
  </si>
  <si>
    <t>剔骨</t>
    <phoneticPr fontId="1" type="noConversion"/>
  </si>
  <si>
    <t>防御</t>
    <phoneticPr fontId="1" type="noConversion"/>
  </si>
  <si>
    <t>潜行</t>
    <phoneticPr fontId="1" type="noConversion"/>
  </si>
  <si>
    <t>闷棍</t>
    <phoneticPr fontId="1" type="noConversion"/>
  </si>
  <si>
    <t>敌方有精英怪没被控制</t>
    <phoneticPr fontId="1" type="noConversion"/>
  </si>
  <si>
    <t>闷棍</t>
    <phoneticPr fontId="1" type="noConversion"/>
  </si>
  <si>
    <t>剔骨|0.5 穿刺影袭|0.5</t>
    <phoneticPr fontId="1" type="noConversion"/>
  </si>
  <si>
    <t>杀戮盛筵</t>
    <phoneticPr fontId="1" type="noConversion"/>
  </si>
  <si>
    <t>盗贼被动1</t>
    <phoneticPr fontId="8" type="noConversion"/>
  </si>
  <si>
    <t>盗贼被动2</t>
    <phoneticPr fontId="8" type="noConversion"/>
  </si>
  <si>
    <t>盗贼被动3</t>
    <phoneticPr fontId="8" type="noConversion"/>
  </si>
  <si>
    <t>恶魔学识</t>
    <phoneticPr fontId="8" type="noConversion"/>
  </si>
  <si>
    <t>火焰之雨</t>
    <phoneticPr fontId="8" type="noConversion"/>
  </si>
  <si>
    <t>沉默诅咒</t>
    <phoneticPr fontId="8" type="noConversion"/>
  </si>
  <si>
    <t>生命虹吸</t>
    <phoneticPr fontId="1" type="noConversion"/>
  </si>
  <si>
    <t>恶魔降临</t>
    <phoneticPr fontId="1" type="noConversion"/>
  </si>
  <si>
    <t>虚弱诅咒</t>
    <phoneticPr fontId="1" type="noConversion"/>
  </si>
  <si>
    <t>群魔乱舞</t>
    <phoneticPr fontId="1" type="noConversion"/>
  </si>
  <si>
    <t>术士被动1</t>
    <phoneticPr fontId="8" type="noConversion"/>
  </si>
  <si>
    <t>术士被动2</t>
    <phoneticPr fontId="8" type="noConversion"/>
  </si>
  <si>
    <t>术士被动3</t>
    <phoneticPr fontId="8" type="noConversion"/>
  </si>
  <si>
    <t xml:space="preserve"> </t>
    <phoneticPr fontId="1" type="noConversion"/>
  </si>
  <si>
    <t>物单  弱控</t>
    <phoneticPr fontId="1" type="noConversion"/>
  </si>
  <si>
    <t>法术  弱治疗</t>
    <phoneticPr fontId="1" type="noConversion"/>
  </si>
  <si>
    <t>治疗  弱辅助</t>
    <phoneticPr fontId="1" type="noConversion"/>
  </si>
  <si>
    <t>法术  弱控</t>
    <phoneticPr fontId="1" type="noConversion"/>
  </si>
  <si>
    <t>控制  弱辅助</t>
    <phoneticPr fontId="1" type="noConversion"/>
  </si>
  <si>
    <t>术士擅长沉默诅咒</t>
    <phoneticPr fontId="1" type="noConversion"/>
  </si>
  <si>
    <t>术士擅长火焰之雨</t>
    <phoneticPr fontId="1" type="noConversion"/>
  </si>
  <si>
    <t>自身血小于50%</t>
    <phoneticPr fontId="1" type="noConversion"/>
  </si>
  <si>
    <t>敌方没被控制的精英怪</t>
  </si>
  <si>
    <t>我方死亡单位</t>
  </si>
  <si>
    <t>自身血量小于等于30%</t>
    <phoneticPr fontId="1" type="noConversion"/>
  </si>
  <si>
    <t>己方3个以上主角魔法值都低于10%</t>
    <phoneticPr fontId="1" type="noConversion"/>
  </si>
  <si>
    <t>沉默诅咒</t>
    <phoneticPr fontId="1" type="noConversion"/>
  </si>
  <si>
    <t>沉默诅咒</t>
    <phoneticPr fontId="1" type="noConversion"/>
  </si>
  <si>
    <t>敌方没被控制的单位大于等于1</t>
    <phoneticPr fontId="1" type="noConversion"/>
  </si>
  <si>
    <t>敌方没被控制的单位大于等于3</t>
    <phoneticPr fontId="1" type="noConversion"/>
  </si>
  <si>
    <t>战士1</t>
    <phoneticPr fontId="1" type="noConversion"/>
  </si>
  <si>
    <t>战士2</t>
  </si>
  <si>
    <t>战士2</t>
    <phoneticPr fontId="1" type="noConversion"/>
  </si>
  <si>
    <t>圣骑1</t>
    <phoneticPr fontId="1" type="noConversion"/>
  </si>
  <si>
    <t>圣骑2</t>
  </si>
  <si>
    <t>圣骑2</t>
    <phoneticPr fontId="1" type="noConversion"/>
  </si>
  <si>
    <t>猎人1</t>
  </si>
  <si>
    <t>猎人1</t>
    <phoneticPr fontId="1" type="noConversion"/>
  </si>
  <si>
    <t>猎人2</t>
  </si>
  <si>
    <t>猎人2</t>
    <phoneticPr fontId="1" type="noConversion"/>
  </si>
  <si>
    <t>德鲁伊1</t>
  </si>
  <si>
    <t>德鲁伊1</t>
    <phoneticPr fontId="1" type="noConversion"/>
  </si>
  <si>
    <t>德鲁伊2</t>
  </si>
  <si>
    <t>德鲁伊2</t>
    <phoneticPr fontId="1" type="noConversion"/>
  </si>
  <si>
    <t>法师1</t>
  </si>
  <si>
    <t>法师1</t>
    <phoneticPr fontId="1" type="noConversion"/>
  </si>
  <si>
    <t>法师2</t>
  </si>
  <si>
    <t>法师2</t>
    <phoneticPr fontId="1" type="noConversion"/>
  </si>
  <si>
    <t>牧师1</t>
  </si>
  <si>
    <t>牧师1</t>
    <phoneticPr fontId="1" type="noConversion"/>
  </si>
  <si>
    <t>牧师2</t>
  </si>
  <si>
    <t>牧师2</t>
    <phoneticPr fontId="1" type="noConversion"/>
  </si>
  <si>
    <t>萨满1</t>
  </si>
  <si>
    <t>萨满1</t>
    <phoneticPr fontId="1" type="noConversion"/>
  </si>
  <si>
    <t>萨满2</t>
  </si>
  <si>
    <t>萨满2</t>
    <phoneticPr fontId="1" type="noConversion"/>
  </si>
  <si>
    <t>术士1</t>
  </si>
  <si>
    <t>术士1</t>
    <phoneticPr fontId="1" type="noConversion"/>
  </si>
  <si>
    <t>术士2</t>
  </si>
  <si>
    <t>术士2</t>
    <phoneticPr fontId="1" type="noConversion"/>
  </si>
  <si>
    <t>盗贼1</t>
  </si>
  <si>
    <t>盗贼1</t>
    <phoneticPr fontId="1" type="noConversion"/>
  </si>
  <si>
    <t>盗贼2</t>
  </si>
  <si>
    <t>盗贼2</t>
    <phoneticPr fontId="1" type="noConversion"/>
  </si>
  <si>
    <t>野外暗雷刷怪通用</t>
    <phoneticPr fontId="1" type="noConversion"/>
  </si>
  <si>
    <t>（敌方有boss）</t>
    <phoneticPr fontId="1" type="noConversion"/>
  </si>
  <si>
    <t>常用技能淬毒刀扇</t>
  </si>
  <si>
    <t>常用技能淬毒刀扇</t>
    <phoneticPr fontId="1" type="noConversion"/>
  </si>
  <si>
    <t>（自身血量低于50%）</t>
    <phoneticPr fontId="1" type="noConversion"/>
  </si>
  <si>
    <t>自动对boss使用挫志怒吼</t>
    <phoneticPr fontId="1" type="noConversion"/>
  </si>
  <si>
    <t>自动复活死亡单位</t>
    <phoneticPr fontId="1" type="noConversion"/>
  </si>
  <si>
    <t>自动对boss使用精准打击</t>
    <phoneticPr fontId="1" type="noConversion"/>
  </si>
  <si>
    <t>魔法值低于10%时自动使用生命献祭</t>
    <phoneticPr fontId="1" type="noConversion"/>
  </si>
  <si>
    <t>分拆AIid</t>
    <phoneticPr fontId="1" type="noConversion"/>
  </si>
  <si>
    <t>目标</t>
    <phoneticPr fontId="1" type="noConversion"/>
  </si>
  <si>
    <t>对象过滤</t>
    <phoneticPr fontId="1" type="noConversion"/>
  </si>
  <si>
    <t>武器大师</t>
    <phoneticPr fontId="8" type="noConversion"/>
  </si>
  <si>
    <t>自己中沉默</t>
    <phoneticPr fontId="1" type="noConversion"/>
  </si>
  <si>
    <t>中沉默buff的自己</t>
    <phoneticPr fontId="1" type="noConversion"/>
  </si>
  <si>
    <t>幻影冲锋</t>
    <phoneticPr fontId="8" type="noConversion"/>
  </si>
  <si>
    <t>挫志怒吼</t>
    <phoneticPr fontId="8" type="noConversion"/>
  </si>
  <si>
    <t>毁灭打击</t>
    <phoneticPr fontId="8" type="noConversion"/>
  </si>
  <si>
    <t>敌方有boss没中嘲讽</t>
    <phoneticPr fontId="1" type="noConversion"/>
  </si>
  <si>
    <t>挫志怒吼</t>
    <phoneticPr fontId="1" type="noConversion"/>
  </si>
  <si>
    <t>没中嘲讽的敌方boss</t>
    <phoneticPr fontId="1" type="noConversion"/>
  </si>
  <si>
    <t>蓄力猛击</t>
    <phoneticPr fontId="8" type="noConversion"/>
  </si>
  <si>
    <t>敌方有boss没中破甲</t>
    <phoneticPr fontId="1" type="noConversion"/>
  </si>
  <si>
    <t>破甲</t>
    <phoneticPr fontId="1" type="noConversion"/>
  </si>
  <si>
    <t>没中破甲的敌方boss</t>
    <phoneticPr fontId="1" type="noConversion"/>
  </si>
  <si>
    <t>破甲</t>
    <phoneticPr fontId="8" type="noConversion"/>
  </si>
  <si>
    <t>自身血大于等于50%且有boss</t>
    <phoneticPr fontId="1" type="noConversion"/>
  </si>
  <si>
    <t>毁灭打击</t>
    <phoneticPr fontId="1" type="noConversion"/>
  </si>
  <si>
    <t>敌方boss</t>
    <phoneticPr fontId="1" type="noConversion"/>
  </si>
  <si>
    <t>附魔：钢铁之躯</t>
    <phoneticPr fontId="8" type="noConversion"/>
  </si>
  <si>
    <t>无敌斩</t>
    <phoneticPr fontId="8" type="noConversion"/>
  </si>
  <si>
    <t>自身血大于等于50%且对方人数等于2</t>
    <phoneticPr fontId="1" type="noConversion"/>
  </si>
  <si>
    <t>自身血大于等于50%且对方人数等于1</t>
    <phoneticPr fontId="1" type="noConversion"/>
  </si>
  <si>
    <t>我方血小于等于60%单位</t>
    <phoneticPr fontId="1" type="noConversion"/>
  </si>
  <si>
    <t>自身血小于50%</t>
    <phoneticPr fontId="1" type="noConversion"/>
  </si>
  <si>
    <t>蓄力猛击|0.5 幻影冲锋|0.5</t>
    <phoneticPr fontId="1" type="noConversion"/>
  </si>
  <si>
    <t>猛击</t>
    <phoneticPr fontId="8" type="noConversion"/>
  </si>
  <si>
    <t>己方魔法值低于10%的主角</t>
    <phoneticPr fontId="1" type="noConversion"/>
  </si>
  <si>
    <t>敌方没被控制的精英怪</t>
    <phoneticPr fontId="1" type="noConversion"/>
  </si>
  <si>
    <t>自身血大于等于50%且对方人数大于等于3</t>
    <phoneticPr fontId="1" type="noConversion"/>
  </si>
  <si>
    <t>我方中毒单位</t>
    <phoneticPr fontId="1" type="noConversion"/>
  </si>
  <si>
    <t>自身血大于等于50%且对方人数等于2</t>
    <phoneticPr fontId="1" type="noConversion"/>
  </si>
  <si>
    <t>自身血大于等于50%且对方人数等于1</t>
    <phoneticPr fontId="1" type="noConversion"/>
  </si>
  <si>
    <t>我方血小于等于80%单位</t>
    <phoneticPr fontId="12" type="noConversion"/>
  </si>
  <si>
    <t>自身血小于50%</t>
    <phoneticPr fontId="1" type="noConversion"/>
  </si>
  <si>
    <t>蓄力猛击3|0.5 幻影冲锋|0.5</t>
    <phoneticPr fontId="1" type="noConversion"/>
  </si>
  <si>
    <t>王者祝福</t>
    <phoneticPr fontId="8" type="noConversion"/>
  </si>
  <si>
    <t>自己中沉默</t>
    <phoneticPr fontId="1" type="noConversion"/>
  </si>
  <si>
    <t>防御</t>
    <phoneticPr fontId="1" type="noConversion"/>
  </si>
  <si>
    <t>审判之锤</t>
    <phoneticPr fontId="8" type="noConversion"/>
  </si>
  <si>
    <t>无边定罪</t>
    <phoneticPr fontId="8" type="noConversion"/>
  </si>
  <si>
    <t>复仇之盾</t>
    <phoneticPr fontId="8" type="noConversion"/>
  </si>
  <si>
    <t>没中嘲讽的敌方boss</t>
    <phoneticPr fontId="1" type="noConversion"/>
  </si>
  <si>
    <t>圣光洗礼</t>
    <phoneticPr fontId="8" type="noConversion"/>
  </si>
  <si>
    <t>神谕责难</t>
    <phoneticPr fontId="8" type="noConversion"/>
  </si>
  <si>
    <t>附魔：神圣庇护</t>
    <phoneticPr fontId="8" type="noConversion"/>
  </si>
  <si>
    <t>敌方boss</t>
    <phoneticPr fontId="1" type="noConversion"/>
  </si>
  <si>
    <t>守护圣盾</t>
    <phoneticPr fontId="8" type="noConversion"/>
  </si>
  <si>
    <t>普攻操作</t>
    <phoneticPr fontId="1" type="noConversion"/>
  </si>
  <si>
    <t>多重打击</t>
    <phoneticPr fontId="1" type="noConversion"/>
  </si>
  <si>
    <t>敌方数量大于等于3个</t>
    <phoneticPr fontId="1" type="noConversion"/>
  </si>
  <si>
    <t>穿刺打击</t>
    <phoneticPr fontId="8" type="noConversion"/>
  </si>
  <si>
    <t>敌方数量等于2个且有boss</t>
    <phoneticPr fontId="1" type="noConversion"/>
  </si>
  <si>
    <t>精准打击</t>
    <phoneticPr fontId="1" type="noConversion"/>
  </si>
  <si>
    <t>野性召唤</t>
    <phoneticPr fontId="8" type="noConversion"/>
  </si>
  <si>
    <t>敌方数量等于2个</t>
    <phoneticPr fontId="1" type="noConversion"/>
  </si>
  <si>
    <t>生命献祭</t>
    <phoneticPr fontId="8" type="noConversion"/>
  </si>
  <si>
    <t>敌方数量等于1个</t>
    <phoneticPr fontId="1" type="noConversion"/>
  </si>
  <si>
    <t>精准打击</t>
    <phoneticPr fontId="8" type="noConversion"/>
  </si>
  <si>
    <t>己方3个主角魔法值都低于10%</t>
    <phoneticPr fontId="1" type="noConversion"/>
  </si>
  <si>
    <t>生命献祭</t>
    <phoneticPr fontId="1" type="noConversion"/>
  </si>
  <si>
    <t>附魔：不羁之怒</t>
    <phoneticPr fontId="8" type="noConversion"/>
  </si>
  <si>
    <t>奇美拉冲击</t>
    <phoneticPr fontId="1" type="noConversion"/>
  </si>
  <si>
    <t>自己中沉默</t>
    <phoneticPr fontId="1" type="noConversion"/>
  </si>
  <si>
    <t>防御</t>
    <phoneticPr fontId="1" type="noConversion"/>
  </si>
  <si>
    <t>敌方有精英怪没被控制</t>
    <phoneticPr fontId="1" type="noConversion"/>
  </si>
  <si>
    <t>变形术</t>
    <phoneticPr fontId="1" type="noConversion"/>
  </si>
  <si>
    <t>我方中毒单位</t>
    <phoneticPr fontId="1" type="noConversion"/>
  </si>
  <si>
    <t>对方血小于等于30%的单位大于等于1</t>
    <phoneticPr fontId="1" type="noConversion"/>
  </si>
  <si>
    <t>暴风雪|0.5 奥术冲击|0.5</t>
    <phoneticPr fontId="1" type="noConversion"/>
  </si>
  <si>
    <t>对方血小于等于30%的单位</t>
    <phoneticPr fontId="12" type="noConversion"/>
  </si>
  <si>
    <t>敌方数量等于2个</t>
    <phoneticPr fontId="1" type="noConversion"/>
  </si>
  <si>
    <t>敌方数量等于1个</t>
    <phoneticPr fontId="1" type="noConversion"/>
  </si>
  <si>
    <t>奥术冲击</t>
    <phoneticPr fontId="1" type="noConversion"/>
  </si>
  <si>
    <t>奥术智慧</t>
    <phoneticPr fontId="8" type="noConversion"/>
  </si>
  <si>
    <t>暴风雪</t>
    <phoneticPr fontId="8" type="noConversion"/>
  </si>
  <si>
    <t>奥术冲击</t>
    <phoneticPr fontId="8" type="noConversion"/>
  </si>
  <si>
    <t>变形术</t>
    <phoneticPr fontId="8" type="noConversion"/>
  </si>
  <si>
    <t>敌方精英怪没被控制</t>
    <phoneticPr fontId="1" type="noConversion"/>
  </si>
  <si>
    <t>敌方没被控制的精英怪</t>
    <phoneticPr fontId="1" type="noConversion"/>
  </si>
  <si>
    <t>魔爆术</t>
    <phoneticPr fontId="8" type="noConversion"/>
  </si>
  <si>
    <t>我方中毒单位</t>
    <phoneticPr fontId="1" type="noConversion"/>
  </si>
  <si>
    <t>冰霜血脉</t>
    <phoneticPr fontId="8" type="noConversion"/>
  </si>
  <si>
    <t>对方血小于等于30%的单位大于等于1</t>
    <phoneticPr fontId="1" type="noConversion"/>
  </si>
  <si>
    <t>奥术冲击</t>
    <phoneticPr fontId="1" type="noConversion"/>
  </si>
  <si>
    <t>对方血小于等于30%的单位</t>
    <phoneticPr fontId="12" type="noConversion"/>
  </si>
  <si>
    <t>附魔：魔能武器</t>
    <phoneticPr fontId="8" type="noConversion"/>
  </si>
  <si>
    <t>敌方数量等于2个</t>
    <phoneticPr fontId="1" type="noConversion"/>
  </si>
  <si>
    <t>烈焰风暴</t>
    <phoneticPr fontId="8" type="noConversion"/>
  </si>
  <si>
    <t>敌方数量等于1个</t>
    <phoneticPr fontId="1" type="noConversion"/>
  </si>
  <si>
    <t>自己中沉默</t>
    <phoneticPr fontId="1" type="noConversion"/>
  </si>
  <si>
    <t>防御</t>
    <phoneticPr fontId="1" type="noConversion"/>
  </si>
  <si>
    <t>我方血小于等于80%单位大于等于2</t>
    <phoneticPr fontId="1" type="noConversion"/>
  </si>
  <si>
    <t>治疗祷言</t>
    <phoneticPr fontId="1" type="noConversion"/>
  </si>
  <si>
    <t>我方血小于等于80%单位</t>
    <phoneticPr fontId="12" type="noConversion"/>
  </si>
  <si>
    <t>我方死亡单位大于等于1</t>
    <phoneticPr fontId="1" type="noConversion"/>
  </si>
  <si>
    <t>复生</t>
    <phoneticPr fontId="1" type="noConversion"/>
  </si>
  <si>
    <t>我方血小于等于60%单位大于等于1</t>
    <phoneticPr fontId="1" type="noConversion"/>
  </si>
  <si>
    <t>我方血小于等于60%单位</t>
    <phoneticPr fontId="1" type="noConversion"/>
  </si>
  <si>
    <t>我方有身上有心灵之火buff的单位小于1个（包含死亡）</t>
    <phoneticPr fontId="1" type="noConversion"/>
  </si>
  <si>
    <t>我方中debuff单位</t>
    <phoneticPr fontId="1" type="noConversion"/>
  </si>
  <si>
    <t>神圣新星</t>
    <phoneticPr fontId="1" type="noConversion"/>
  </si>
  <si>
    <t>复生</t>
    <phoneticPr fontId="8" type="noConversion"/>
  </si>
  <si>
    <t>心灵之火</t>
    <phoneticPr fontId="8" type="noConversion"/>
  </si>
  <si>
    <t>神圣救赎</t>
    <phoneticPr fontId="8" type="noConversion"/>
  </si>
  <si>
    <t>附魔：纳鲁恩赐</t>
    <phoneticPr fontId="8" type="noConversion"/>
  </si>
  <si>
    <t>牧师被动3</t>
    <phoneticPr fontId="8" type="noConversion"/>
  </si>
  <si>
    <t>闪电链|0.5 闪电箭|0.5</t>
    <phoneticPr fontId="1" type="noConversion"/>
  </si>
  <si>
    <t>闪电箭</t>
    <phoneticPr fontId="1" type="noConversion"/>
  </si>
  <si>
    <t>对方血小于等于30%的单位</t>
    <phoneticPr fontId="12" type="noConversion"/>
  </si>
  <si>
    <t>先祖智慧</t>
    <phoneticPr fontId="8" type="noConversion"/>
  </si>
  <si>
    <t>敌方数量等于2个</t>
    <phoneticPr fontId="1" type="noConversion"/>
  </si>
  <si>
    <t>闪电链</t>
    <phoneticPr fontId="8" type="noConversion"/>
  </si>
  <si>
    <t>敌方数量等于1个</t>
    <phoneticPr fontId="1" type="noConversion"/>
  </si>
  <si>
    <t>自己中沉默</t>
    <phoneticPr fontId="1" type="noConversion"/>
  </si>
  <si>
    <t>防御</t>
    <phoneticPr fontId="1" type="noConversion"/>
  </si>
  <si>
    <t>先祖之魂</t>
    <phoneticPr fontId="8" type="noConversion"/>
  </si>
  <si>
    <t>狂热图腾</t>
    <phoneticPr fontId="8" type="noConversion"/>
  </si>
  <si>
    <t>敌方有精英怪没被控制</t>
    <phoneticPr fontId="1" type="noConversion"/>
  </si>
  <si>
    <t>闷棍</t>
    <phoneticPr fontId="1" type="noConversion"/>
  </si>
  <si>
    <t>敌方没被控制的精英怪</t>
    <phoneticPr fontId="1" type="noConversion"/>
  </si>
  <si>
    <t>附魔：元素之怒</t>
    <phoneticPr fontId="8" type="noConversion"/>
  </si>
  <si>
    <t>敌方boss</t>
    <phoneticPr fontId="1" type="noConversion"/>
  </si>
  <si>
    <t>风暴轰击</t>
    <phoneticPr fontId="8" type="noConversion"/>
  </si>
  <si>
    <t>萨满被动1</t>
    <phoneticPr fontId="8" type="noConversion"/>
  </si>
  <si>
    <t>萨满被动2</t>
    <phoneticPr fontId="8" type="noConversion"/>
  </si>
  <si>
    <t>剔骨</t>
    <phoneticPr fontId="1" type="noConversion"/>
  </si>
  <si>
    <t>萨满被动3</t>
    <phoneticPr fontId="8" type="noConversion"/>
  </si>
  <si>
    <t>淬毒刀扇</t>
    <phoneticPr fontId="1" type="noConversion"/>
  </si>
  <si>
    <t>穿刺影袭</t>
    <phoneticPr fontId="1" type="noConversion"/>
  </si>
  <si>
    <t>潜行</t>
    <phoneticPr fontId="1" type="noConversion"/>
  </si>
  <si>
    <t>沉默诅咒</t>
    <phoneticPr fontId="1" type="noConversion"/>
  </si>
  <si>
    <t>对方没被控制的单位大于等于3</t>
    <phoneticPr fontId="1" type="noConversion"/>
  </si>
  <si>
    <t>敌方没被控制的单位</t>
    <phoneticPr fontId="12" type="noConversion"/>
  </si>
  <si>
    <t>自身血量小于等于30%</t>
    <phoneticPr fontId="1" type="noConversion"/>
  </si>
  <si>
    <t>生命虹吸</t>
    <phoneticPr fontId="1" type="noConversion"/>
  </si>
  <si>
    <t>杀戮盛筵</t>
    <phoneticPr fontId="1" type="noConversion"/>
  </si>
  <si>
    <t>敌方没被控制的单位大于等于1</t>
    <phoneticPr fontId="1" type="noConversion"/>
  </si>
  <si>
    <t>盗贼被动1</t>
    <phoneticPr fontId="8" type="noConversion"/>
  </si>
  <si>
    <t>盗贼被动2</t>
    <phoneticPr fontId="8" type="noConversion"/>
  </si>
  <si>
    <t>盗贼被动3</t>
    <phoneticPr fontId="8" type="noConversion"/>
  </si>
  <si>
    <t>恶魔学识</t>
    <phoneticPr fontId="8" type="noConversion"/>
  </si>
  <si>
    <t>火焰之雨</t>
    <phoneticPr fontId="8" type="noConversion"/>
  </si>
  <si>
    <t>沉默诅咒</t>
    <phoneticPr fontId="8" type="noConversion"/>
  </si>
  <si>
    <t>恶魔降临</t>
    <phoneticPr fontId="1" type="noConversion"/>
  </si>
  <si>
    <t>群魔乱舞</t>
    <phoneticPr fontId="1" type="noConversion"/>
  </si>
  <si>
    <t>术士被动1</t>
    <phoneticPr fontId="8" type="noConversion"/>
  </si>
  <si>
    <t>术士被动2</t>
    <phoneticPr fontId="8" type="noConversion"/>
  </si>
  <si>
    <t>术士被动3</t>
    <phoneticPr fontId="8" type="noConversion"/>
  </si>
  <si>
    <t>敌方有boss</t>
    <phoneticPr fontId="1" type="noConversion"/>
  </si>
  <si>
    <t>敌方有精英怪没被控制</t>
    <phoneticPr fontId="1" type="noConversion"/>
  </si>
  <si>
    <t>我方有心灵之火buff的单位小于1（包含死亡）</t>
    <phoneticPr fontId="1" type="noConversion"/>
  </si>
  <si>
    <t>我方死亡单位大于等于1</t>
    <phoneticPr fontId="1" type="noConversion"/>
  </si>
  <si>
    <t>我方血小于等于80%单位大于等于2或我方血小于等于60%单位大于等于1</t>
    <phoneticPr fontId="1" type="noConversion"/>
  </si>
  <si>
    <t>自身血量低于50%</t>
    <phoneticPr fontId="1" type="noConversion"/>
  </si>
  <si>
    <t>挫志怒吼</t>
  </si>
  <si>
    <t>破甲</t>
  </si>
  <si>
    <t>常用技能幻影冲锋</t>
  </si>
  <si>
    <t>复仇之盾</t>
  </si>
  <si>
    <t>常用技能审判之锤</t>
  </si>
  <si>
    <t>野性召唤</t>
  </si>
  <si>
    <t>生命献祭</t>
  </si>
  <si>
    <t>常用技能多重打击</t>
  </si>
  <si>
    <t>己方宠物</t>
    <phoneticPr fontId="1" type="noConversion"/>
  </si>
  <si>
    <t>自然之眼</t>
  </si>
  <si>
    <t>常用技能撕裂横扫</t>
  </si>
  <si>
    <t>自动对精英怪使用变形术</t>
    <phoneticPr fontId="1" type="noConversion"/>
  </si>
  <si>
    <t>自动释放冰霜血脉</t>
    <phoneticPr fontId="1" type="noConversion"/>
  </si>
  <si>
    <t>冰霜血脉</t>
  </si>
  <si>
    <t>常用技能暴风雪</t>
  </si>
  <si>
    <t>首回合自动使用心灵之火</t>
    <phoneticPr fontId="1" type="noConversion"/>
  </si>
  <si>
    <t>复生</t>
    <phoneticPr fontId="1" type="noConversion"/>
  </si>
  <si>
    <t>自动使用治疗祷言</t>
    <phoneticPr fontId="1" type="noConversion"/>
  </si>
  <si>
    <t>常用技能神圣新星</t>
  </si>
  <si>
    <t>闷棍</t>
  </si>
  <si>
    <t>剔骨</t>
  </si>
  <si>
    <t>自动对精英怪使用沉默诅咒</t>
    <phoneticPr fontId="1" type="noConversion"/>
  </si>
  <si>
    <t>沉默诅咒</t>
  </si>
  <si>
    <t>自动使用生命虹吸</t>
    <phoneticPr fontId="1" type="noConversion"/>
  </si>
  <si>
    <t>生命虹吸</t>
  </si>
  <si>
    <t>战士</t>
  </si>
  <si>
    <t>圣骑</t>
  </si>
  <si>
    <t>牧师</t>
  </si>
  <si>
    <t>盗贼</t>
  </si>
  <si>
    <t>术士</t>
  </si>
  <si>
    <t>目标</t>
    <phoneticPr fontId="1" type="noConversion"/>
  </si>
  <si>
    <t>变形术</t>
    <phoneticPr fontId="1" type="noConversion"/>
  </si>
  <si>
    <t>我方死亡单位</t>
    <phoneticPr fontId="1" type="noConversion"/>
  </si>
  <si>
    <t>我方血小于等于80%单位</t>
    <phoneticPr fontId="12" type="noConversion"/>
  </si>
  <si>
    <t>我方中毒单位</t>
    <phoneticPr fontId="1" type="noConversion"/>
  </si>
  <si>
    <t>德鲁伊</t>
    <phoneticPr fontId="1" type="noConversion"/>
  </si>
  <si>
    <t>先祖之魂</t>
  </si>
  <si>
    <t>先祖之魂</t>
    <phoneticPr fontId="1" type="noConversion"/>
  </si>
  <si>
    <t>常用技能闪电链</t>
    <phoneticPr fontId="1" type="noConversion"/>
  </si>
  <si>
    <t>敌方数量等于2个</t>
    <phoneticPr fontId="1" type="noConversion"/>
  </si>
  <si>
    <t>敌方数量等于1个</t>
    <phoneticPr fontId="1" type="noConversion"/>
  </si>
  <si>
    <t>对方血小于等于30%的单位大于等于1</t>
    <phoneticPr fontId="1" type="noConversion"/>
  </si>
  <si>
    <t>萨满 常用技能闪电链</t>
    <phoneticPr fontId="1" type="noConversion"/>
  </si>
  <si>
    <t>连击点达到XX</t>
    <phoneticPr fontId="1" type="noConversion"/>
  </si>
  <si>
    <t>先祖之魂</t>
    <phoneticPr fontId="1" type="noConversion"/>
  </si>
  <si>
    <t>13111@1;13112@1;13113@1;13114@1;13115@1;13116@1;13117@1;13118@1;13119@1;13120@1</t>
  </si>
  <si>
    <t>动作</t>
    <phoneticPr fontId="1" type="noConversion"/>
  </si>
  <si>
    <t>技能</t>
    <phoneticPr fontId="1" type="noConversion"/>
  </si>
  <si>
    <t>Aiid</t>
    <phoneticPr fontId="1" type="noConversion"/>
  </si>
  <si>
    <t>剔骨|0.5 穿刺影袭|0.5</t>
  </si>
  <si>
    <t>盗贼擅长淬毒刀扇</t>
    <phoneticPr fontId="1" type="noConversion"/>
  </si>
  <si>
    <t>剔骨</t>
    <phoneticPr fontId="1" type="noConversion"/>
  </si>
  <si>
    <t>淬毒刀扇</t>
    <phoneticPr fontId="1" type="noConversion"/>
  </si>
  <si>
    <t>剔骨</t>
    <phoneticPr fontId="1" type="noConversion"/>
  </si>
  <si>
    <t>连击点大于等于3且有boss</t>
  </si>
  <si>
    <t>连击点大于等于3且有boss</t>
    <phoneticPr fontId="1" type="noConversion"/>
  </si>
  <si>
    <t>剔骨|0.5 穿刺影袭|0.5</t>
    <phoneticPr fontId="1" type="noConversion"/>
  </si>
  <si>
    <t>淬毒刀扇</t>
  </si>
  <si>
    <t>连击点大于等于3</t>
  </si>
  <si>
    <t>连击点大于等于3</t>
    <phoneticPr fontId="1" type="noConversion"/>
  </si>
  <si>
    <t>剔骨|0.5 淬毒刀扇|0.5</t>
  </si>
  <si>
    <t>剔骨|0.5 淬毒刀扇|0.5</t>
    <phoneticPr fontId="1" type="noConversion"/>
  </si>
  <si>
    <t>剔骨|0.5 淬毒刀扇|0.5</t>
    <phoneticPr fontId="1" type="noConversion"/>
  </si>
  <si>
    <t>自己中沉默</t>
  </si>
  <si>
    <t>敌方有精英怪没被控制</t>
  </si>
  <si>
    <t>普攻操作</t>
  </si>
  <si>
    <t>连击点大于等于1且有boss</t>
  </si>
  <si>
    <t>连击点大于等于1且有boss</t>
    <phoneticPr fontId="1" type="noConversion"/>
  </si>
  <si>
    <t>连击点小于1</t>
  </si>
  <si>
    <t>连击点小于1且有boss</t>
  </si>
  <si>
    <t>连击点小于1且有boss</t>
    <phoneticPr fontId="1" type="noConversion"/>
  </si>
  <si>
    <t>穿刺影袭</t>
  </si>
  <si>
    <t>穿刺影袭</t>
    <phoneticPr fontId="1" type="noConversion"/>
  </si>
  <si>
    <t>淬毒刀扇</t>
    <phoneticPr fontId="1" type="noConversion"/>
  </si>
  <si>
    <t>连击点大于等于1</t>
  </si>
  <si>
    <t>闪电箭</t>
    <phoneticPr fontId="8" type="noConversion"/>
  </si>
  <si>
    <t>连击点小于1</t>
    <phoneticPr fontId="1" type="noConversion"/>
  </si>
  <si>
    <t>条件</t>
  </si>
  <si>
    <t>剔骨|0.5 穿刺影袭|05</t>
  </si>
  <si>
    <t>穿刺影袭</t>
    <phoneticPr fontId="1" type="noConversion"/>
  </si>
  <si>
    <t>手动贴</t>
    <phoneticPr fontId="1" type="noConversion"/>
  </si>
  <si>
    <t>XX个连击点以上对boss使用剔骨</t>
  </si>
  <si>
    <t>自动对精英怪使用闷棍</t>
  </si>
  <si>
    <t>（敌方有boss且连击点达到XX）</t>
    <phoneticPr fontId="1" type="noConversion"/>
  </si>
  <si>
    <t>剔骨</t>
    <phoneticPr fontId="1" type="noConversion"/>
  </si>
  <si>
    <t>敌方有boss且连击点达到0</t>
    <phoneticPr fontId="12" type="noConversion"/>
  </si>
  <si>
    <t>敌方有boss且连击点达到1</t>
    <phoneticPr fontId="12" type="noConversion"/>
  </si>
  <si>
    <t>敌方有boss且连击点达到2</t>
  </si>
  <si>
    <t>敌方有boss且连击点达到3</t>
  </si>
  <si>
    <t>敌方有boss且连击点达到4</t>
  </si>
  <si>
    <t>敌方有boss且连击点达到5</t>
  </si>
  <si>
    <t>连击点达到0</t>
    <phoneticPr fontId="12" type="noConversion"/>
  </si>
  <si>
    <t>连击点达到1</t>
    <phoneticPr fontId="12" type="noConversion"/>
  </si>
  <si>
    <t>连击点达到2</t>
    <phoneticPr fontId="12" type="noConversion"/>
  </si>
  <si>
    <t>连击点达到3</t>
    <phoneticPr fontId="12" type="noConversion"/>
  </si>
  <si>
    <t>连击点达到4</t>
  </si>
  <si>
    <t>连击点达到5</t>
  </si>
  <si>
    <t>条件</t>
    <phoneticPr fontId="1" type="noConversion"/>
  </si>
  <si>
    <t>0个连击点以上对boss使用剔骨</t>
    <phoneticPr fontId="1" type="noConversion"/>
  </si>
  <si>
    <t>1个连击点以上对boss使用剔骨</t>
    <phoneticPr fontId="1" type="noConversion"/>
  </si>
  <si>
    <t>2个连击点以上对boss使用剔骨</t>
  </si>
  <si>
    <t>3个连击点以上对boss使用剔骨</t>
  </si>
  <si>
    <t>4个连击点以上对boss使用剔骨</t>
  </si>
  <si>
    <t>5个连击点以上对boss使用剔骨</t>
  </si>
  <si>
    <t>1个连击点以上自动使用剔骨</t>
    <phoneticPr fontId="1" type="noConversion"/>
  </si>
  <si>
    <t>0个连击点以上自动使用剔骨</t>
    <phoneticPr fontId="1" type="noConversion"/>
  </si>
  <si>
    <t>2个连击点以上自动使用剔骨</t>
  </si>
  <si>
    <t>3个连击点以上自动使用剔骨</t>
  </si>
  <si>
    <t>4个连击点以上自动使用剔骨</t>
  </si>
  <si>
    <t>5个连击点以上自动使用剔骨</t>
  </si>
  <si>
    <t>动作</t>
    <phoneticPr fontId="1" type="noConversion"/>
  </si>
  <si>
    <t>敌方有隐身单位且我方身上有自然之眼buff的单位（包含死亡）小于1</t>
  </si>
  <si>
    <t>我方血小于等于80%单位大于等于2</t>
  </si>
  <si>
    <t>我方血小于等于60%单位大于等于1</t>
  </si>
  <si>
    <t>我方有身上有心灵之火buff的单位小于1个（包含死亡）</t>
  </si>
  <si>
    <t>冰霜血脉</t>
    <phoneticPr fontId="1" type="noConversion"/>
  </si>
  <si>
    <t>XX个连击点以上对boss使用剔骨</t>
    <phoneticPr fontId="1" type="noConversion"/>
  </si>
  <si>
    <t>自动对boss使用穿刺影袭</t>
    <phoneticPr fontId="1" type="noConversion"/>
  </si>
  <si>
    <t>敌方有boss且连击点达到XX</t>
    <phoneticPr fontId="1" type="noConversion"/>
  </si>
  <si>
    <t>穿刺影袭</t>
    <phoneticPr fontId="1" type="noConversion"/>
  </si>
  <si>
    <t>敌方boss</t>
  </si>
  <si>
    <t>敌方boss</t>
    <phoneticPr fontId="1" type="noConversion"/>
  </si>
  <si>
    <t>敌方有boss</t>
    <phoneticPr fontId="1" type="noConversion"/>
  </si>
  <si>
    <t>XX个连击点以上自动使用剔骨</t>
    <phoneticPr fontId="1" type="noConversion"/>
  </si>
  <si>
    <t>自动对boss使用破甲</t>
    <phoneticPr fontId="1" type="noConversion"/>
  </si>
  <si>
    <t>自动对boss使用破甲</t>
    <phoneticPr fontId="1" type="noConversion"/>
  </si>
  <si>
    <t>（我方血小于等于80%单位大于等于2或我方血小于等于60%单位大于等于1）</t>
    <phoneticPr fontId="1" type="noConversion"/>
  </si>
  <si>
    <t>自动对boss使用无边定罪</t>
    <phoneticPr fontId="1" type="noConversion"/>
  </si>
  <si>
    <t>常用技能审判之锤</t>
    <phoneticPr fontId="1" type="noConversion"/>
  </si>
  <si>
    <t>常用技能火焰之雨</t>
    <phoneticPr fontId="1" type="noConversion"/>
  </si>
  <si>
    <t>自动对精英怪使用沉默诅咒</t>
    <phoneticPr fontId="1" type="noConversion"/>
  </si>
  <si>
    <t>缠绕根须</t>
  </si>
  <si>
    <t>缠绕根须</t>
    <phoneticPr fontId="1" type="noConversion"/>
  </si>
  <si>
    <t>德鲁伊擅长缠绕根须</t>
    <phoneticPr fontId="1" type="noConversion"/>
  </si>
  <si>
    <t>月蚀</t>
  </si>
  <si>
    <t>休眠</t>
  </si>
  <si>
    <t>复仇之力</t>
    <phoneticPr fontId="8" type="noConversion"/>
  </si>
  <si>
    <t>我方有野性召唤buff的宠物单位小于1（包含死亡）并且我方有3只以上宠物</t>
    <phoneticPr fontId="1" type="noConversion"/>
  </si>
  <si>
    <t>魔法值低于10%时</t>
    <phoneticPr fontId="1" type="noConversion"/>
  </si>
  <si>
    <t>自己中眩晕或缠绕根须</t>
  </si>
  <si>
    <t>自己中变羊或休眠</t>
  </si>
  <si>
    <t>自动对精英怪使用休眠</t>
    <phoneticPr fontId="1" type="noConversion"/>
  </si>
  <si>
    <t>敌方没被控制的精英怪</t>
    <phoneticPr fontId="1" type="noConversion"/>
  </si>
  <si>
    <t>控制  弱辅助</t>
    <phoneticPr fontId="1" type="noConversion"/>
  </si>
  <si>
    <t>治疗  弱辅助</t>
    <phoneticPr fontId="1" type="noConversion"/>
  </si>
  <si>
    <t>（敌方有隐身单位且我方身上有自然之眼buff的单位（包含死亡）小于1）</t>
    <phoneticPr fontId="1" type="noConversion"/>
  </si>
  <si>
    <t>常用技能月蚀</t>
    <phoneticPr fontId="1" type="noConversion"/>
  </si>
  <si>
    <t>月蚀</t>
    <phoneticPr fontId="1" type="noConversion"/>
  </si>
  <si>
    <t>我方血量少于80%的主角大于等于2</t>
    <phoneticPr fontId="1" type="noConversion"/>
  </si>
  <si>
    <t>中眩晕或缠绕根须的自己</t>
    <phoneticPr fontId="1" type="noConversion"/>
  </si>
  <si>
    <t>中变羊或休眠的自己</t>
    <phoneticPr fontId="1" type="noConversion"/>
  </si>
  <si>
    <t>13211@1;13212@1;13213@1;13214@1;13215@1;13216@1;13217@1;13218@1;13219@1;13220@1</t>
  </si>
  <si>
    <t>13221@1;13222@1;13223@1;13224@1;13225@1;13226@1;13227@1;13228@1;13229@1;13230@1</t>
  </si>
  <si>
    <t>13101@1;13102@1;13103@1;13104@1;13105@1;13106@1;13107@1;13108@1;13109@1;13110@1</t>
    <phoneticPr fontId="1" type="noConversion"/>
  </si>
  <si>
    <t>13121@1;13122@1;13123@1;13124@1;13125@1;13126@1;13127@1</t>
    <phoneticPr fontId="1" type="noConversion"/>
  </si>
  <si>
    <t>13128@1;13129@1;13130@1;13131@1;13132@1;13133@1;13134@1</t>
    <phoneticPr fontId="1" type="noConversion"/>
  </si>
  <si>
    <t>13135@1;13136@1;13137@1;13138@1;13139@1;13140@1;13141@1;13142@1</t>
    <phoneticPr fontId="1" type="noConversion"/>
  </si>
  <si>
    <t>13143@1;13144@1;13145@1;13146@1;13147@1;13148@1;13149@1;13150@1</t>
    <phoneticPr fontId="1" type="noConversion"/>
  </si>
  <si>
    <t>13151@1;13152@1;13153@1;13154@1;13155@1;13156@1;13157@1</t>
    <phoneticPr fontId="1" type="noConversion"/>
  </si>
  <si>
    <t>13158@1;13159@1;13160@1;13161@1;13162@1;13163@1;13164@1</t>
    <phoneticPr fontId="1" type="noConversion"/>
  </si>
  <si>
    <t>13165@1;13166@1;13167@1;13168@1;13169@1;13170@1;13171@1;13172@1</t>
    <phoneticPr fontId="1" type="noConversion"/>
  </si>
  <si>
    <t>13173@1;13174@1;13175@1;13176@1;13177@1;13178@1;13179@1;13180@1</t>
    <phoneticPr fontId="1" type="noConversion"/>
  </si>
  <si>
    <t>13181@1;13182@1;13183@1;13184@1;13185@1;13186@1;13187@1;13188@1</t>
    <phoneticPr fontId="1" type="noConversion"/>
  </si>
  <si>
    <t>13189@1;13190@1;13191@1;13192@1;13193@1;13194@1;13195@1;13196@1</t>
    <phoneticPr fontId="1" type="noConversion"/>
  </si>
  <si>
    <t>13197@1;13198@1;13199@1;13200@1;13201@1;13202@1;13203@1</t>
    <phoneticPr fontId="1" type="noConversion"/>
  </si>
  <si>
    <t>13204@1;13205@1;13206@1;13207@1;13208@1;13209@1;13210@1</t>
    <phoneticPr fontId="1" type="noConversion"/>
  </si>
  <si>
    <t>最终</t>
    <phoneticPr fontId="1" type="noConversion"/>
  </si>
  <si>
    <t>对方血小于等于30%的单位大于等于1</t>
    <phoneticPr fontId="1" type="noConversion"/>
  </si>
  <si>
    <t>敌方数量等于2个</t>
    <phoneticPr fontId="1" type="noConversion"/>
  </si>
  <si>
    <t>敌方数量等于1个</t>
    <phoneticPr fontId="1" type="noConversion"/>
  </si>
  <si>
    <t>自己中沉默</t>
    <phoneticPr fontId="1" type="noConversion"/>
  </si>
  <si>
    <t>我方死亡单位</t>
    <phoneticPr fontId="12" type="noConversion"/>
  </si>
  <si>
    <t>我方血小于等于80%单位</t>
    <phoneticPr fontId="1" type="noConversion"/>
  </si>
  <si>
    <t>休眠</t>
    <phoneticPr fontId="1" type="noConversion"/>
  </si>
  <si>
    <t>防御</t>
    <phoneticPr fontId="1" type="noConversion"/>
  </si>
  <si>
    <t>敌方有精英怪没被控制</t>
    <phoneticPr fontId="1" type="noConversion"/>
  </si>
  <si>
    <t>敌方有隐身单位且我方身上有自然之眼buff的单位（包含死亡）小于1</t>
    <phoneticPr fontId="1" type="noConversion"/>
  </si>
  <si>
    <t>自然之眼</t>
    <phoneticPr fontId="1" type="noConversion"/>
  </si>
  <si>
    <t>复仇之盾</t>
    <phoneticPr fontId="1" type="noConversion"/>
  </si>
  <si>
    <t>神谕责难</t>
    <phoneticPr fontId="1" type="noConversion"/>
  </si>
  <si>
    <t>圣光洗礼</t>
    <phoneticPr fontId="1" type="noConversion"/>
  </si>
  <si>
    <t>无边定罪</t>
    <phoneticPr fontId="1" type="noConversion"/>
  </si>
  <si>
    <t>我方血小于等于80%单位大于等于2</t>
    <phoneticPr fontId="1" type="noConversion"/>
  </si>
  <si>
    <t>治疗祷言</t>
    <phoneticPr fontId="1" type="noConversion"/>
  </si>
  <si>
    <t>我方死亡单位大于等于1</t>
    <phoneticPr fontId="1" type="noConversion"/>
  </si>
  <si>
    <t>复生</t>
    <phoneticPr fontId="1" type="noConversion"/>
  </si>
  <si>
    <t>我方血小于等于80%单位大于等于2</t>
    <phoneticPr fontId="1" type="noConversion"/>
  </si>
  <si>
    <t>我方血小于等于60%单位大于等于1</t>
    <phoneticPr fontId="1" type="noConversion"/>
  </si>
  <si>
    <t>我方有身上有心灵之火buff的单位小于1个（包含死亡）</t>
    <phoneticPr fontId="1" type="noConversion"/>
  </si>
  <si>
    <t>（有boss没中嘲讽）</t>
    <phoneticPr fontId="1" type="noConversion"/>
  </si>
  <si>
    <t>（有boss没中破甲）</t>
    <phoneticPr fontId="1" type="noConversion"/>
  </si>
  <si>
    <t>（我方血量少于80%的主角大于等于2）</t>
    <phoneticPr fontId="1" type="noConversion"/>
  </si>
  <si>
    <t>（我方有野性召唤buff的单位小于1（包含死亡））</t>
    <phoneticPr fontId="1" type="noConversion"/>
  </si>
  <si>
    <t>（我方中毒单位大于等于2）</t>
    <phoneticPr fontId="1" type="noConversion"/>
  </si>
  <si>
    <t>（我方有心灵之火buff的单位小于1（包含死亡））</t>
    <phoneticPr fontId="1" type="noConversion"/>
  </si>
  <si>
    <t>（连击点达到XX）</t>
    <phoneticPr fontId="1" type="noConversion"/>
  </si>
  <si>
    <t>敌方有隐身单位时自动使用自然之眼</t>
    <phoneticPr fontId="1" type="noConversion"/>
  </si>
  <si>
    <t>自动使用圣光洗礼</t>
    <phoneticPr fontId="1" type="noConversion"/>
  </si>
  <si>
    <t>我方被控制单位单位大于等于2</t>
  </si>
  <si>
    <t>我方被控制单位单位大于等于2</t>
    <phoneticPr fontId="1" type="noConversion"/>
  </si>
  <si>
    <t>常用技能神圣新星</t>
    <phoneticPr fontId="1" type="noConversion"/>
  </si>
  <si>
    <t>牧师擅长治疗祷言</t>
    <phoneticPr fontId="1" type="noConversion"/>
  </si>
  <si>
    <t>？？？？？？图腾不能定目标~</t>
    <phoneticPr fontId="1" type="noConversion"/>
  </si>
  <si>
    <t>（敌方有神谕责难buff的单位小于1（包含死亡））</t>
    <phoneticPr fontId="1" type="noConversion"/>
  </si>
  <si>
    <t>首回合自动使用神谕责难</t>
    <phoneticPr fontId="1" type="noConversion"/>
  </si>
  <si>
    <t>敌方有神谕责难buff的单位小于1（包含死亡）</t>
  </si>
  <si>
    <t>休眠|0.5 精灵之怒|0.5</t>
  </si>
  <si>
    <t>休眠|0.5 精灵之怒|0.5</t>
    <phoneticPr fontId="1" type="noConversion"/>
  </si>
  <si>
    <t>敌方没被控制的单位大于等于1且自己没有缠绕根须虚弱buff</t>
  </si>
  <si>
    <t>敌方没被控制的单位大于等于1且自己没有缠绕根须虚弱buff</t>
    <phoneticPr fontId="1" type="noConversion"/>
  </si>
  <si>
    <t>敌方没被控制的单位大于等于1且自己有缠绕根须虚弱buff</t>
  </si>
  <si>
    <t>敌方没被控制的单位大于等于1且自己有缠绕根须虚弱buff</t>
    <phoneticPr fontId="1" type="noConversion"/>
  </si>
  <si>
    <t>首回合自动使用先祖之魂</t>
    <phoneticPr fontId="1" type="noConversion"/>
  </si>
  <si>
    <t>（自己身上没有先祖之魂buff）</t>
    <phoneticPr fontId="1" type="noConversion"/>
  </si>
  <si>
    <t>萨满擅长闪电箭</t>
    <phoneticPr fontId="1" type="noConversion"/>
  </si>
  <si>
    <t>自动对boss使用复仇之盾</t>
    <phoneticPr fontId="1" type="noConversion"/>
  </si>
  <si>
    <t>自动对boss使用无边定罪</t>
    <phoneticPr fontId="1" type="noConversion"/>
  </si>
  <si>
    <t>物单  弱控</t>
    <phoneticPr fontId="1" type="noConversion"/>
  </si>
  <si>
    <t>职业辅助AI生效条件</t>
    <phoneticPr fontId="1" type="noConversion"/>
  </si>
  <si>
    <t>自动对boss使用挫志怒吼</t>
    <phoneticPr fontId="1" type="noConversion"/>
  </si>
  <si>
    <t>自动对boss使用破甲</t>
    <phoneticPr fontId="1" type="noConversion"/>
  </si>
  <si>
    <t>自动对boss使用毁灭打击</t>
    <phoneticPr fontId="1" type="noConversion"/>
  </si>
  <si>
    <t>控制  弱辅助</t>
    <phoneticPr fontId="1" type="noConversion"/>
  </si>
  <si>
    <t>自动对精英怪使用休眠</t>
    <phoneticPr fontId="1" type="noConversion"/>
  </si>
  <si>
    <t>（敌方有精英怪没被控制）</t>
    <phoneticPr fontId="1" type="noConversion"/>
  </si>
  <si>
    <t>敌方有隐身单位时自动使用自然之眼</t>
    <phoneticPr fontId="1" type="noConversion"/>
  </si>
  <si>
    <t>（敌方有隐身单位且我方身上有自然之眼buff的单位（包含死亡）小于1）</t>
    <phoneticPr fontId="1" type="noConversion"/>
  </si>
  <si>
    <t>常用技能月蚀</t>
    <phoneticPr fontId="1" type="noConversion"/>
  </si>
  <si>
    <t>法术  弱控</t>
    <phoneticPr fontId="1" type="noConversion"/>
  </si>
  <si>
    <t>自动对精英怪使用变形术</t>
    <phoneticPr fontId="1" type="noConversion"/>
  </si>
  <si>
    <t>自动释放冰霜血脉</t>
    <phoneticPr fontId="1" type="noConversion"/>
  </si>
  <si>
    <t>（我方中毒单位大于等于2）</t>
    <phoneticPr fontId="1" type="noConversion"/>
  </si>
  <si>
    <t>常用技能暴风雪</t>
    <phoneticPr fontId="1" type="noConversion"/>
  </si>
  <si>
    <t>常用技能审判之锤</t>
    <phoneticPr fontId="1" type="noConversion"/>
  </si>
  <si>
    <t>物群  弱辅助</t>
    <phoneticPr fontId="1" type="noConversion"/>
  </si>
  <si>
    <t>自动对boss使用精准打击</t>
    <phoneticPr fontId="1" type="noConversion"/>
  </si>
  <si>
    <t>常用技能多重打击</t>
    <phoneticPr fontId="1" type="noConversion"/>
  </si>
  <si>
    <t>牧师</t>
    <phoneticPr fontId="1" type="noConversion"/>
  </si>
  <si>
    <t>治疗  弱辅助</t>
    <phoneticPr fontId="1" type="noConversion"/>
  </si>
  <si>
    <t>首回合自动使用心灵之火</t>
    <phoneticPr fontId="1" type="noConversion"/>
  </si>
  <si>
    <t>（我方有心灵之火buff的单位小于1（包含死亡））</t>
    <phoneticPr fontId="1" type="noConversion"/>
  </si>
  <si>
    <t>自动复活死亡单位</t>
    <phoneticPr fontId="1" type="noConversion"/>
  </si>
  <si>
    <t>（我方死亡单位大于等于1）</t>
    <phoneticPr fontId="1" type="noConversion"/>
  </si>
  <si>
    <t>自动使用治疗祷言</t>
    <phoneticPr fontId="1" type="noConversion"/>
  </si>
  <si>
    <t>（我方血小于等于80%单位大于等于2或我方血小于等于60%单位大于等于1）</t>
    <phoneticPr fontId="1" type="noConversion"/>
  </si>
  <si>
    <t>自动使用神圣救赎</t>
    <phoneticPr fontId="1" type="noConversion"/>
  </si>
  <si>
    <t>（我方被控制单位大于等于2）</t>
    <phoneticPr fontId="1" type="noConversion"/>
  </si>
  <si>
    <t>常用技能神圣新星</t>
    <phoneticPr fontId="1" type="noConversion"/>
  </si>
  <si>
    <t>萨满</t>
    <phoneticPr fontId="1" type="noConversion"/>
  </si>
  <si>
    <t>法术  弱治疗</t>
    <phoneticPr fontId="1" type="noConversion"/>
  </si>
  <si>
    <t>常用技能闪电链</t>
    <phoneticPr fontId="1" type="noConversion"/>
  </si>
  <si>
    <t>？？？？？？图腾不能定目标~</t>
    <phoneticPr fontId="1" type="noConversion"/>
  </si>
  <si>
    <t>盗贼</t>
    <phoneticPr fontId="1" type="noConversion"/>
  </si>
  <si>
    <t>物单  弱控</t>
    <phoneticPr fontId="1" type="noConversion"/>
  </si>
  <si>
    <t>（敌方有boss且连击点达到XX）</t>
    <phoneticPr fontId="1" type="noConversion"/>
  </si>
  <si>
    <t>自动对boss使用穿刺影袭</t>
    <phoneticPr fontId="1" type="noConversion"/>
  </si>
  <si>
    <t>（敌方有boss）</t>
    <phoneticPr fontId="1" type="noConversion"/>
  </si>
  <si>
    <t>XX个连击点以上自动使用剔骨</t>
    <phoneticPr fontId="1" type="noConversion"/>
  </si>
  <si>
    <t>（连击点达到XX）</t>
    <phoneticPr fontId="1" type="noConversion"/>
  </si>
  <si>
    <t>常用技能淬毒刀扇</t>
    <phoneticPr fontId="1" type="noConversion"/>
  </si>
  <si>
    <t>术士</t>
    <phoneticPr fontId="1" type="noConversion"/>
  </si>
  <si>
    <t>自动对精英怪使用沉默诅咒</t>
    <phoneticPr fontId="1" type="noConversion"/>
  </si>
  <si>
    <t>自动使用生命虹吸</t>
    <phoneticPr fontId="1" type="noConversion"/>
  </si>
  <si>
    <t>（自身血量低于50%）</t>
    <phoneticPr fontId="1" type="noConversion"/>
  </si>
  <si>
    <t>常用技能火焰之雨</t>
    <phoneticPr fontId="1" type="noConversion"/>
  </si>
  <si>
    <t>我方血量少于80%的主角大于等于2</t>
  </si>
  <si>
    <t>敌方隐身单位</t>
    <phoneticPr fontId="1" type="noConversion"/>
  </si>
  <si>
    <t>连击点大于等于2的自己</t>
  </si>
  <si>
    <t>连击点大于等于3的自己</t>
  </si>
  <si>
    <t>连击点大于等于4的自己</t>
  </si>
  <si>
    <t>连击点大于等于5的自己</t>
  </si>
  <si>
    <t>没中嘲讽的敌方boss</t>
    <phoneticPr fontId="1" type="noConversion"/>
  </si>
  <si>
    <t>没中破甲的敌方boss</t>
    <phoneticPr fontId="1" type="noConversion"/>
  </si>
  <si>
    <t>血大于等于50%的自己</t>
    <phoneticPr fontId="1" type="noConversion"/>
  </si>
  <si>
    <t>血小于50%的自己</t>
    <phoneticPr fontId="1" type="noConversion"/>
  </si>
  <si>
    <t>敌方数量</t>
    <phoneticPr fontId="1" type="noConversion"/>
  </si>
  <si>
    <t>己方魔法值低于10%的主角</t>
    <phoneticPr fontId="1" type="noConversion"/>
  </si>
  <si>
    <t>我方有黄昏花蕾buff的单位（包含死亡）</t>
    <phoneticPr fontId="1" type="noConversion"/>
  </si>
  <si>
    <t>我方血量少于80%的主角</t>
    <phoneticPr fontId="1" type="noConversion"/>
  </si>
  <si>
    <t>敌方中神谕责难的单位（包含死亡）</t>
    <phoneticPr fontId="1" type="noConversion"/>
  </si>
  <si>
    <t>敌方没被控制的精英怪</t>
    <phoneticPr fontId="1" type="noConversion"/>
  </si>
  <si>
    <t>我方身上有心灵之火buff的单位（包含死亡）</t>
    <phoneticPr fontId="1" type="noConversion"/>
  </si>
  <si>
    <t>敌方有身上有虚弱诅咒buff的单位（包含死亡）</t>
    <phoneticPr fontId="1" type="noConversion"/>
  </si>
  <si>
    <t>血量小于等于30%的自己</t>
    <phoneticPr fontId="12" type="noConversion"/>
  </si>
  <si>
    <t>敌方没被控制的单位</t>
    <phoneticPr fontId="12" type="noConversion"/>
  </si>
  <si>
    <t>己方宠物</t>
    <phoneticPr fontId="12" type="noConversion"/>
  </si>
  <si>
    <t>我方有野性召唤buff的宠物单位</t>
    <phoneticPr fontId="12" type="noConversion"/>
  </si>
  <si>
    <t>连击点大于等于0的自己</t>
    <phoneticPr fontId="12" type="noConversion"/>
  </si>
  <si>
    <t>连击点大于等于1的自己</t>
    <phoneticPr fontId="12" type="noConversion"/>
  </si>
  <si>
    <t>我方身上有自然之眼buff的单位（包含死亡）</t>
    <phoneticPr fontId="1" type="noConversion"/>
  </si>
  <si>
    <t>精灵之怒</t>
    <phoneticPr fontId="1" type="noConversion"/>
  </si>
  <si>
    <t>失忆诅咒</t>
    <phoneticPr fontId="1" type="noConversion"/>
  </si>
  <si>
    <t>无边定罪</t>
    <phoneticPr fontId="1" type="noConversion"/>
  </si>
  <si>
    <t>有boss没中嘲讽</t>
    <phoneticPr fontId="1" type="noConversion"/>
  </si>
  <si>
    <t>敌方有boss</t>
  </si>
  <si>
    <t>敌方有神谕责难buff的单位小于1（包含死亡）</t>
    <phoneticPr fontId="1" type="noConversion"/>
  </si>
  <si>
    <t>敌方有隐身单位且我方身上有自然之眼buff的单位（包含死亡）小于1</t>
    <phoneticPr fontId="1" type="noConversion"/>
  </si>
  <si>
    <t>常用技能火焰之雨</t>
    <phoneticPr fontId="1" type="noConversion"/>
  </si>
  <si>
    <t>敌方有boss没中嘲讽</t>
  </si>
  <si>
    <t>圣光洗礼</t>
  </si>
  <si>
    <t>圣光洗礼</t>
    <phoneticPr fontId="1" type="noConversion"/>
  </si>
  <si>
    <t>我方被控制的单位</t>
    <phoneticPr fontId="12" type="noConversion"/>
  </si>
  <si>
    <t>我方被控制的单位</t>
    <phoneticPr fontId="12" type="noConversion"/>
  </si>
  <si>
    <t>我方被控制的单位</t>
  </si>
  <si>
    <t>我方被控制的单位大于等于2</t>
    <phoneticPr fontId="1" type="noConversion"/>
  </si>
  <si>
    <t>我方被控制的单位</t>
    <phoneticPr fontId="1" type="noConversion"/>
  </si>
  <si>
    <t>自动使用神圣救赎解为队友解控</t>
    <phoneticPr fontId="1" type="noConversion"/>
  </si>
  <si>
    <t>自动使用神圣救赎解为队友解控</t>
    <phoneticPr fontId="1" type="noConversion"/>
  </si>
  <si>
    <t>德鲁伊擅长休眠</t>
    <phoneticPr fontId="1" type="noConversion"/>
  </si>
  <si>
    <t>身上有缠绕根须虚弱buff的自己</t>
    <phoneticPr fontId="12" type="noConversion"/>
  </si>
  <si>
    <t>敌方没被控制的单位</t>
    <phoneticPr fontId="1" type="noConversion"/>
  </si>
  <si>
    <t>4@0.5;2@0.5</t>
    <phoneticPr fontId="1" type="noConversion"/>
  </si>
  <si>
    <t>我方被控制单位单位大于等于2</t>
    <phoneticPr fontId="1" type="noConversion"/>
  </si>
  <si>
    <t>XX个连击点以上自动使用剔骨</t>
    <phoneticPr fontId="1" type="noConversion"/>
  </si>
  <si>
    <t>自己身上没有先祖之魂buff且是娘子ID28123在0回合</t>
  </si>
  <si>
    <t>自己身上没有先祖之魂buff且是娘子ID28123在0回合</t>
    <phoneticPr fontId="1" type="noConversion"/>
  </si>
  <si>
    <t>身上没有先祖之魂buff的自己且是娘子ID28123</t>
    <phoneticPr fontId="12" type="noConversion"/>
  </si>
  <si>
    <t>身上没有先祖之魂buff的自己</t>
    <phoneticPr fontId="12" type="noConversion"/>
  </si>
  <si>
    <t>13231@1;13232@1;13233@1;13234@1;13235@1;13236@1;13237@1</t>
    <phoneticPr fontId="1" type="noConversion"/>
  </si>
  <si>
    <t>13238@1;13239@1;13240@1;13241@1;13242@1;13243@1;13244@1</t>
    <phoneticPr fontId="1" type="noConversion"/>
  </si>
  <si>
    <t>（我方被控制单位大于等于2）</t>
    <phoneticPr fontId="1" type="noConversion"/>
  </si>
  <si>
    <t>我方血量少于80%的主角大于等于2</t>
    <phoneticPr fontId="1" type="noConversion"/>
  </si>
  <si>
    <t>敌方有神谕责难buff的单位小于1（包含死亡）</t>
    <phoneticPr fontId="1" type="noConversion"/>
  </si>
  <si>
    <t>（敌方有精英怪没被控制且连击点大于等于1）</t>
    <phoneticPr fontId="1" type="noConversion"/>
  </si>
  <si>
    <t>敌方有精英怪没被控制且连击点大于等于1</t>
    <phoneticPr fontId="1" type="noConversion"/>
  </si>
  <si>
    <t>敌方有精英怪没被控制且连击点大于等于1</t>
    <phoneticPr fontId="1" type="noConversion"/>
  </si>
  <si>
    <t>敌方没被控制的单位</t>
    <phoneticPr fontId="12" type="noConversion"/>
  </si>
  <si>
    <t>敌方没被控制的精英怪</t>
    <phoneticPr fontId="1" type="noConversion"/>
  </si>
  <si>
    <t>没被控制的单位除了要过滤控制buff外还要过滤虚弱休息buff</t>
    <phoneticPr fontId="1" type="noConversion"/>
  </si>
  <si>
    <t>没中嘲讽的单位要过滤被控制的单位</t>
    <phoneticPr fontId="1" type="noConversion"/>
  </si>
  <si>
    <t>沉默诅咒|0.7 恶魔降临3|0.3</t>
    <phoneticPr fontId="1" type="noConversion"/>
  </si>
  <si>
    <t>火焰之雨|0.7 沉默诅咒|0.3</t>
    <phoneticPr fontId="1" type="noConversion"/>
  </si>
  <si>
    <t>沉默诅咒|0.7 恶魔降临|0.3</t>
    <phoneticPr fontId="1" type="noConversion"/>
  </si>
</sst>
</file>

<file path=xl/styles.xml><?xml version="1.0" encoding="utf-8"?>
<styleSheet xmlns="http://schemas.openxmlformats.org/spreadsheetml/2006/main">
  <fonts count="5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Arial"/>
      <family val="2"/>
    </font>
    <font>
      <sz val="11"/>
      <name val="宋体"/>
      <family val="3"/>
      <charset val="134"/>
    </font>
    <font>
      <sz val="10"/>
      <color rgb="FF7030A0"/>
      <name val="Arial"/>
      <family val="2"/>
    </font>
    <font>
      <sz val="10"/>
      <color rgb="FF7030A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rgb="FF7030A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002060"/>
      <name val="宋体"/>
      <family val="3"/>
      <charset val="134"/>
    </font>
    <font>
      <sz val="10"/>
      <color rgb="FF002060"/>
      <name val="Arial"/>
      <family val="2"/>
    </font>
    <font>
      <sz val="10"/>
      <color theme="1"/>
      <name val="宋体"/>
      <family val="2"/>
      <charset val="134"/>
      <scheme val="minor"/>
    </font>
    <font>
      <sz val="10"/>
      <name val="宋体"/>
      <family val="2"/>
      <charset val="134"/>
      <scheme val="minor"/>
    </font>
    <font>
      <sz val="1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7030A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7030A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7030A0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10"/>
      <color rgb="FFFF0000"/>
      <name val="宋体"/>
      <family val="2"/>
      <charset val="134"/>
      <scheme val="minor"/>
    </font>
    <font>
      <sz val="10"/>
      <color rgb="FF7030A0"/>
      <name val="宋体"/>
      <family val="2"/>
      <charset val="134"/>
      <scheme val="minor"/>
    </font>
    <font>
      <b/>
      <sz val="10"/>
      <color rgb="FFFF0000"/>
      <name val="Arial"/>
      <family val="2"/>
    </font>
    <font>
      <b/>
      <sz val="10"/>
      <color rgb="FFFF0000"/>
      <name val="宋体"/>
      <family val="3"/>
      <charset val="134"/>
      <scheme val="minor"/>
    </font>
    <font>
      <b/>
      <sz val="10"/>
      <name val="宋体"/>
      <family val="2"/>
      <charset val="134"/>
      <scheme val="minor"/>
    </font>
    <font>
      <b/>
      <sz val="10"/>
      <name val="宋体"/>
      <family val="3"/>
      <charset val="134"/>
      <scheme val="minor"/>
    </font>
    <font>
      <sz val="10"/>
      <color rgb="FF00B0F0"/>
      <name val="宋体"/>
      <family val="3"/>
      <charset val="134"/>
      <scheme val="minor"/>
    </font>
    <font>
      <sz val="10"/>
      <color rgb="FF00B0F0"/>
      <name val="宋体"/>
      <family val="2"/>
      <charset val="134"/>
      <scheme val="minor"/>
    </font>
    <font>
      <sz val="10"/>
      <color rgb="FF0070C0"/>
      <name val="宋体"/>
      <family val="3"/>
      <charset val="134"/>
      <scheme val="minor"/>
    </font>
    <font>
      <sz val="10"/>
      <color rgb="FF0070C0"/>
      <name val="Arial"/>
      <family val="2"/>
    </font>
    <font>
      <sz val="10"/>
      <color rgb="FF0070C0"/>
      <name val="宋体"/>
      <family val="3"/>
      <charset val="134"/>
    </font>
    <font>
      <sz val="10"/>
      <color rgb="FF00B0F0"/>
      <name val="Arial"/>
      <family val="2"/>
    </font>
    <font>
      <sz val="10"/>
      <color rgb="FFFFFF00"/>
      <name val="宋体"/>
      <family val="3"/>
      <charset val="134"/>
      <scheme val="minor"/>
    </font>
    <font>
      <sz val="10"/>
      <color rgb="FFFFFF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C99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3" borderId="9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</cellStyleXfs>
  <cellXfs count="32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 applyBorder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0" fillId="4" borderId="0" xfId="0" applyFont="1" applyFill="1" applyAlignment="1"/>
    <xf numFmtId="0" fontId="11" fillId="4" borderId="0" xfId="0" applyFont="1" applyFill="1" applyAlignment="1"/>
    <xf numFmtId="0" fontId="13" fillId="0" borderId="0" xfId="0" applyFont="1" applyBorder="1">
      <alignment vertical="center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/>
    <xf numFmtId="0" fontId="0" fillId="4" borderId="0" xfId="0" applyNumberFormat="1" applyFill="1" applyAlignment="1">
      <alignment horizontal="right"/>
    </xf>
    <xf numFmtId="0" fontId="9" fillId="4" borderId="0" xfId="0" applyFont="1" applyFill="1" applyAlignment="1">
      <alignment horizontal="left" vertical="center"/>
    </xf>
    <xf numFmtId="0" fontId="16" fillId="0" borderId="0" xfId="0" applyFont="1" applyBorder="1">
      <alignment vertical="center"/>
    </xf>
    <xf numFmtId="0" fontId="13" fillId="0" borderId="0" xfId="0" applyFont="1" applyFill="1" applyBorder="1">
      <alignment vertical="center"/>
    </xf>
    <xf numFmtId="0" fontId="6" fillId="3" borderId="9" xfId="1" applyNumberFormat="1" applyAlignment="1">
      <alignment vertical="center"/>
    </xf>
    <xf numFmtId="0" fontId="6" fillId="3" borderId="9" xfId="1">
      <alignment vertical="center"/>
    </xf>
    <xf numFmtId="0" fontId="10" fillId="5" borderId="0" xfId="0" applyFont="1" applyFill="1" applyAlignment="1">
      <alignment horizontal="right"/>
    </xf>
    <xf numFmtId="0" fontId="11" fillId="5" borderId="0" xfId="0" applyFont="1" applyFill="1" applyAlignment="1"/>
    <xf numFmtId="0" fontId="17" fillId="3" borderId="9" xfId="1" applyNumberFormat="1" applyFont="1" applyAlignment="1">
      <alignment vertical="center"/>
    </xf>
    <xf numFmtId="0" fontId="17" fillId="3" borderId="9" xfId="1" applyFont="1">
      <alignment vertical="center"/>
    </xf>
    <xf numFmtId="0" fontId="18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7" fillId="3" borderId="9" xfId="1" applyFont="1" applyAlignment="1"/>
    <xf numFmtId="0" fontId="4" fillId="6" borderId="10" xfId="2" applyNumberFormat="1" applyFont="1" applyBorder="1" applyAlignment="1">
      <alignment vertical="center"/>
    </xf>
    <xf numFmtId="0" fontId="4" fillId="6" borderId="10" xfId="2" applyFont="1" applyBorder="1">
      <alignment vertical="center"/>
    </xf>
    <xf numFmtId="49" fontId="0" fillId="0" borderId="0" xfId="0" applyNumberFormat="1">
      <alignment vertical="center"/>
    </xf>
    <xf numFmtId="49" fontId="17" fillId="3" borderId="9" xfId="1" applyNumberFormat="1" applyFont="1" applyAlignment="1">
      <alignment vertical="center"/>
    </xf>
    <xf numFmtId="49" fontId="4" fillId="6" borderId="10" xfId="2" applyNumberFormat="1" applyFont="1" applyBorder="1" applyAlignment="1">
      <alignment vertical="center"/>
    </xf>
    <xf numFmtId="49" fontId="4" fillId="6" borderId="10" xfId="2" applyNumberFormat="1" applyFont="1" applyBorder="1">
      <alignment vertical="center"/>
    </xf>
    <xf numFmtId="49" fontId="17" fillId="3" borderId="9" xfId="1" applyNumberFormat="1" applyFont="1">
      <alignment vertical="center"/>
    </xf>
    <xf numFmtId="49" fontId="3" fillId="0" borderId="0" xfId="0" applyNumberFormat="1" applyFont="1">
      <alignment vertical="center"/>
    </xf>
    <xf numFmtId="49" fontId="20" fillId="2" borderId="0" xfId="0" applyNumberFormat="1" applyFont="1" applyFill="1" applyBorder="1">
      <alignment vertical="center"/>
    </xf>
    <xf numFmtId="49" fontId="20" fillId="2" borderId="5" xfId="0" applyNumberFormat="1" applyFont="1" applyFill="1" applyBorder="1">
      <alignment vertical="center"/>
    </xf>
    <xf numFmtId="49" fontId="20" fillId="2" borderId="4" xfId="0" applyNumberFormat="1" applyFont="1" applyFill="1" applyBorder="1">
      <alignment vertical="center"/>
    </xf>
    <xf numFmtId="49" fontId="20" fillId="2" borderId="7" xfId="0" applyNumberFormat="1" applyFont="1" applyFill="1" applyBorder="1">
      <alignment vertical="center"/>
    </xf>
    <xf numFmtId="49" fontId="20" fillId="2" borderId="8" xfId="0" applyNumberFormat="1" applyFont="1" applyFill="1" applyBorder="1">
      <alignment vertical="center"/>
    </xf>
    <xf numFmtId="49" fontId="0" fillId="0" borderId="0" xfId="0" applyNumberFormat="1" applyAlignment="1">
      <alignment horizontal="right" vertical="center"/>
    </xf>
    <xf numFmtId="49" fontId="5" fillId="0" borderId="1" xfId="0" applyNumberFormat="1" applyFont="1" applyBorder="1">
      <alignment vertical="center"/>
    </xf>
    <xf numFmtId="49" fontId="20" fillId="0" borderId="3" xfId="0" applyNumberFormat="1" applyFont="1" applyBorder="1">
      <alignment vertical="center"/>
    </xf>
    <xf numFmtId="49" fontId="20" fillId="0" borderId="2" xfId="0" applyNumberFormat="1" applyFont="1" applyBorder="1">
      <alignment vertical="center"/>
    </xf>
    <xf numFmtId="49" fontId="20" fillId="0" borderId="0" xfId="0" applyNumberFormat="1" applyFont="1">
      <alignment vertical="center"/>
    </xf>
    <xf numFmtId="49" fontId="20" fillId="0" borderId="4" xfId="0" applyNumberFormat="1" applyFont="1" applyBorder="1">
      <alignment vertical="center"/>
    </xf>
    <xf numFmtId="49" fontId="20" fillId="0" borderId="5" xfId="0" applyNumberFormat="1" applyFont="1" applyBorder="1">
      <alignment vertical="center"/>
    </xf>
    <xf numFmtId="49" fontId="20" fillId="0" borderId="0" xfId="0" applyNumberFormat="1" applyFont="1" applyBorder="1">
      <alignment vertical="center"/>
    </xf>
    <xf numFmtId="49" fontId="20" fillId="0" borderId="6" xfId="0" applyNumberFormat="1" applyFont="1" applyBorder="1">
      <alignment vertical="center"/>
    </xf>
    <xf numFmtId="49" fontId="20" fillId="0" borderId="8" xfId="0" applyNumberFormat="1" applyFont="1" applyBorder="1">
      <alignment vertical="center"/>
    </xf>
    <xf numFmtId="49" fontId="20" fillId="0" borderId="7" xfId="0" applyNumberFormat="1" applyFont="1" applyBorder="1">
      <alignment vertical="center"/>
    </xf>
    <xf numFmtId="49" fontId="20" fillId="0" borderId="1" xfId="0" applyNumberFormat="1" applyFont="1" applyBorder="1">
      <alignment vertical="center"/>
    </xf>
    <xf numFmtId="49" fontId="20" fillId="0" borderId="0" xfId="0" applyNumberFormat="1" applyFont="1" applyFill="1" applyBorder="1">
      <alignment vertical="center"/>
    </xf>
    <xf numFmtId="49" fontId="20" fillId="0" borderId="5" xfId="0" applyNumberFormat="1" applyFont="1" applyFill="1" applyBorder="1">
      <alignment vertical="center"/>
    </xf>
    <xf numFmtId="49" fontId="20" fillId="0" borderId="4" xfId="0" applyNumberFormat="1" applyFont="1" applyFill="1" applyBorder="1">
      <alignment vertical="center"/>
    </xf>
    <xf numFmtId="49" fontId="20" fillId="0" borderId="7" xfId="0" applyNumberFormat="1" applyFont="1" applyFill="1" applyBorder="1">
      <alignment vertical="center"/>
    </xf>
    <xf numFmtId="49" fontId="20" fillId="0" borderId="8" xfId="0" applyNumberFormat="1" applyFont="1" applyFill="1" applyBorder="1">
      <alignment vertical="center"/>
    </xf>
    <xf numFmtId="49" fontId="20" fillId="0" borderId="6" xfId="0" applyNumberFormat="1" applyFont="1" applyFill="1" applyBorder="1">
      <alignment vertical="center"/>
    </xf>
    <xf numFmtId="49" fontId="21" fillId="0" borderId="4" xfId="0" applyNumberFormat="1" applyFont="1" applyBorder="1">
      <alignment vertical="center"/>
    </xf>
    <xf numFmtId="49" fontId="21" fillId="0" borderId="5" xfId="0" applyNumberFormat="1" applyFont="1" applyBorder="1">
      <alignment vertical="center"/>
    </xf>
    <xf numFmtId="49" fontId="21" fillId="0" borderId="0" xfId="0" applyNumberFormat="1" applyFont="1" applyBorder="1">
      <alignment vertical="center"/>
    </xf>
    <xf numFmtId="49" fontId="21" fillId="0" borderId="5" xfId="0" applyNumberFormat="1" applyFont="1" applyFill="1" applyBorder="1">
      <alignment vertical="center"/>
    </xf>
    <xf numFmtId="49" fontId="21" fillId="0" borderId="4" xfId="0" applyNumberFormat="1" applyFont="1" applyFill="1" applyBorder="1">
      <alignment vertical="center"/>
    </xf>
    <xf numFmtId="0" fontId="22" fillId="7" borderId="0" xfId="0" applyFont="1" applyFill="1" applyAlignment="1"/>
    <xf numFmtId="0" fontId="23" fillId="7" borderId="0" xfId="0" applyFont="1" applyFill="1" applyAlignment="1"/>
    <xf numFmtId="0" fontId="11" fillId="7" borderId="0" xfId="0" applyFont="1" applyFill="1" applyAlignment="1"/>
    <xf numFmtId="0" fontId="10" fillId="7" borderId="0" xfId="0" applyFont="1" applyFill="1" applyAlignment="1"/>
    <xf numFmtId="0" fontId="24" fillId="0" borderId="0" xfId="0" applyFont="1">
      <alignment vertical="center"/>
    </xf>
    <xf numFmtId="0" fontId="24" fillId="0" borderId="0" xfId="0" applyFont="1" applyAlignment="1"/>
    <xf numFmtId="0" fontId="24" fillId="7" borderId="0" xfId="0" applyFont="1" applyFill="1" applyAlignment="1">
      <alignment horizontal="left"/>
    </xf>
    <xf numFmtId="0" fontId="24" fillId="7" borderId="0" xfId="0" applyFont="1" applyFill="1" applyAlignment="1"/>
    <xf numFmtId="0" fontId="24" fillId="0" borderId="0" xfId="0" applyFont="1" applyBorder="1">
      <alignment vertical="center"/>
    </xf>
    <xf numFmtId="49" fontId="25" fillId="0" borderId="0" xfId="0" applyNumberFormat="1" applyFont="1" applyBorder="1">
      <alignment vertical="center"/>
    </xf>
    <xf numFmtId="49" fontId="26" fillId="0" borderId="0" xfId="0" applyNumberFormat="1" applyFont="1" applyBorder="1">
      <alignment vertical="center"/>
    </xf>
    <xf numFmtId="0" fontId="26" fillId="7" borderId="0" xfId="0" applyFont="1" applyFill="1" applyAlignment="1"/>
    <xf numFmtId="0" fontId="26" fillId="7" borderId="0" xfId="0" applyFont="1" applyFill="1" applyAlignment="1">
      <alignment horizontal="left"/>
    </xf>
    <xf numFmtId="49" fontId="27" fillId="0" borderId="0" xfId="0" applyNumberFormat="1" applyFont="1" applyBorder="1">
      <alignment vertical="center"/>
    </xf>
    <xf numFmtId="49" fontId="27" fillId="0" borderId="0" xfId="0" applyNumberFormat="1" applyFont="1" applyFill="1" applyBorder="1">
      <alignment vertical="center"/>
    </xf>
    <xf numFmtId="0" fontId="28" fillId="0" borderId="0" xfId="0" applyFont="1" applyBorder="1">
      <alignment vertical="center"/>
    </xf>
    <xf numFmtId="0" fontId="28" fillId="0" borderId="0" xfId="0" applyFont="1">
      <alignment vertical="center"/>
    </xf>
    <xf numFmtId="0" fontId="0" fillId="0" borderId="0" xfId="0" applyNumberFormat="1" applyAlignment="1">
      <alignment horizontal="right" vertical="center"/>
    </xf>
    <xf numFmtId="49" fontId="2" fillId="0" borderId="0" xfId="0" applyNumberFormat="1" applyFont="1">
      <alignment vertical="center"/>
    </xf>
    <xf numFmtId="49" fontId="29" fillId="0" borderId="0" xfId="0" applyNumberFormat="1" applyFont="1" applyBorder="1">
      <alignment vertical="center"/>
    </xf>
    <xf numFmtId="0" fontId="29" fillId="0" borderId="0" xfId="0" applyFont="1">
      <alignment vertical="center"/>
    </xf>
    <xf numFmtId="0" fontId="29" fillId="0" borderId="0" xfId="0" applyFont="1" applyAlignment="1"/>
    <xf numFmtId="0" fontId="21" fillId="8" borderId="9" xfId="1" applyNumberFormat="1" applyFont="1" applyFill="1" applyAlignment="1">
      <alignment vertical="center"/>
    </xf>
    <xf numFmtId="0" fontId="21" fillId="8" borderId="9" xfId="1" applyFont="1" applyFill="1" applyAlignment="1"/>
    <xf numFmtId="0" fontId="21" fillId="9" borderId="10" xfId="2" applyNumberFormat="1" applyFont="1" applyFill="1" applyBorder="1" applyAlignment="1">
      <alignment vertical="center"/>
    </xf>
    <xf numFmtId="0" fontId="21" fillId="9" borderId="10" xfId="2" applyFont="1" applyFill="1" applyBorder="1">
      <alignment vertical="center"/>
    </xf>
    <xf numFmtId="0" fontId="21" fillId="9" borderId="9" xfId="1" applyFont="1" applyFill="1" applyAlignment="1"/>
    <xf numFmtId="0" fontId="21" fillId="8" borderId="9" xfId="1" applyFont="1" applyFill="1">
      <alignment vertical="center"/>
    </xf>
    <xf numFmtId="0" fontId="21" fillId="8" borderId="10" xfId="2" applyNumberFormat="1" applyFont="1" applyFill="1" applyBorder="1" applyAlignment="1">
      <alignment vertical="center"/>
    </xf>
    <xf numFmtId="0" fontId="21" fillId="8" borderId="10" xfId="2" applyFont="1" applyFill="1" applyBorder="1">
      <alignment vertical="center"/>
    </xf>
    <xf numFmtId="0" fontId="21" fillId="9" borderId="9" xfId="1" applyFont="1" applyFill="1">
      <alignment vertical="center"/>
    </xf>
    <xf numFmtId="0" fontId="21" fillId="9" borderId="11" xfId="2" applyFont="1" applyFill="1" applyBorder="1">
      <alignment vertical="center"/>
    </xf>
    <xf numFmtId="0" fontId="21" fillId="9" borderId="11" xfId="1" applyFont="1" applyFill="1" applyBorder="1" applyAlignment="1"/>
    <xf numFmtId="0" fontId="21" fillId="9" borderId="11" xfId="2" applyNumberFormat="1" applyFont="1" applyFill="1" applyBorder="1" applyAlignment="1">
      <alignment vertical="center"/>
    </xf>
    <xf numFmtId="0" fontId="20" fillId="0" borderId="0" xfId="0" applyFont="1">
      <alignment vertical="center"/>
    </xf>
    <xf numFmtId="0" fontId="20" fillId="0" borderId="4" xfId="0" applyFont="1" applyBorder="1">
      <alignment vertical="center"/>
    </xf>
    <xf numFmtId="0" fontId="20" fillId="0" borderId="5" xfId="0" applyFont="1" applyBorder="1">
      <alignment vertical="center"/>
    </xf>
    <xf numFmtId="49" fontId="21" fillId="0" borderId="0" xfId="0" applyNumberFormat="1" applyFont="1" applyFill="1" applyBorder="1">
      <alignment vertical="center"/>
    </xf>
    <xf numFmtId="0" fontId="21" fillId="0" borderId="0" xfId="0" applyFont="1">
      <alignment vertical="center"/>
    </xf>
    <xf numFmtId="49" fontId="21" fillId="0" borderId="1" xfId="0" applyNumberFormat="1" applyFont="1" applyBorder="1">
      <alignment vertical="center"/>
    </xf>
    <xf numFmtId="0" fontId="21" fillId="0" borderId="0" xfId="0" applyFont="1" applyFill="1" applyBorder="1">
      <alignment vertical="center"/>
    </xf>
    <xf numFmtId="0" fontId="20" fillId="0" borderId="0" xfId="0" applyFont="1" applyFill="1" applyBorder="1">
      <alignment vertical="center"/>
    </xf>
    <xf numFmtId="0" fontId="30" fillId="0" borderId="0" xfId="0" applyFont="1" applyAlignment="1">
      <alignment horizontal="right" vertical="center"/>
    </xf>
    <xf numFmtId="0" fontId="20" fillId="0" borderId="0" xfId="0" applyFont="1" applyBorder="1">
      <alignment vertical="center"/>
    </xf>
    <xf numFmtId="49" fontId="31" fillId="0" borderId="0" xfId="0" applyNumberFormat="1" applyFont="1" applyFill="1" applyBorder="1">
      <alignment vertical="center"/>
    </xf>
    <xf numFmtId="0" fontId="30" fillId="0" borderId="0" xfId="0" applyFont="1" applyAlignment="1">
      <alignment horizontal="left" vertical="center"/>
    </xf>
    <xf numFmtId="0" fontId="3" fillId="0" borderId="1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" xfId="0" applyFont="1" applyBorder="1">
      <alignment vertical="center"/>
    </xf>
    <xf numFmtId="0" fontId="21" fillId="0" borderId="14" xfId="0" applyFont="1" applyBorder="1">
      <alignment vertical="center"/>
    </xf>
    <xf numFmtId="0" fontId="21" fillId="0" borderId="15" xfId="0" applyFont="1" applyBorder="1">
      <alignment vertical="center"/>
    </xf>
    <xf numFmtId="0" fontId="20" fillId="0" borderId="16" xfId="0" applyFont="1" applyBorder="1">
      <alignment vertical="center"/>
    </xf>
    <xf numFmtId="0" fontId="21" fillId="0" borderId="15" xfId="0" applyFont="1" applyFill="1" applyBorder="1">
      <alignment vertical="center"/>
    </xf>
    <xf numFmtId="49" fontId="20" fillId="0" borderId="15" xfId="0" applyNumberFormat="1" applyFont="1" applyFill="1" applyBorder="1">
      <alignment vertical="center"/>
    </xf>
    <xf numFmtId="49" fontId="21" fillId="0" borderId="14" xfId="0" applyNumberFormat="1" applyFont="1" applyBorder="1">
      <alignment vertical="center"/>
    </xf>
    <xf numFmtId="49" fontId="20" fillId="0" borderId="15" xfId="0" applyNumberFormat="1" applyFont="1" applyBorder="1">
      <alignment vertical="center"/>
    </xf>
    <xf numFmtId="0" fontId="30" fillId="0" borderId="16" xfId="0" applyFont="1" applyBorder="1">
      <alignment vertical="center"/>
    </xf>
    <xf numFmtId="0" fontId="30" fillId="0" borderId="15" xfId="0" applyFont="1" applyBorder="1">
      <alignment vertical="center"/>
    </xf>
    <xf numFmtId="49" fontId="21" fillId="0" borderId="15" xfId="0" applyNumberFormat="1" applyFont="1" applyFill="1" applyBorder="1">
      <alignment vertical="center"/>
    </xf>
    <xf numFmtId="49" fontId="20" fillId="0" borderId="16" xfId="0" applyNumberFormat="1" applyFont="1" applyFill="1" applyBorder="1">
      <alignment vertical="center"/>
    </xf>
    <xf numFmtId="0" fontId="4" fillId="0" borderId="0" xfId="0" applyFont="1">
      <alignment vertical="center"/>
    </xf>
    <xf numFmtId="0" fontId="21" fillId="0" borderId="0" xfId="0" applyFont="1" applyAlignment="1">
      <alignment horizontal="right" vertical="center"/>
    </xf>
    <xf numFmtId="0" fontId="4" fillId="0" borderId="11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Fill="1" applyBorder="1">
      <alignment vertical="center"/>
    </xf>
    <xf numFmtId="0" fontId="4" fillId="0" borderId="14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6" xfId="0" applyFont="1" applyBorder="1">
      <alignment vertical="center"/>
    </xf>
    <xf numFmtId="0" fontId="20" fillId="0" borderId="15" xfId="0" applyFont="1" applyFill="1" applyBorder="1">
      <alignment vertical="center"/>
    </xf>
    <xf numFmtId="0" fontId="20" fillId="0" borderId="15" xfId="0" applyFont="1" applyBorder="1">
      <alignment vertical="center"/>
    </xf>
    <xf numFmtId="0" fontId="4" fillId="0" borderId="0" xfId="0" applyFont="1" applyFill="1" applyBorder="1">
      <alignment vertical="center"/>
    </xf>
    <xf numFmtId="0" fontId="4" fillId="0" borderId="6" xfId="0" applyFont="1" applyBorder="1">
      <alignment vertical="center"/>
    </xf>
    <xf numFmtId="0" fontId="21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2" fillId="0" borderId="11" xfId="0" applyFont="1" applyBorder="1">
      <alignment vertical="center"/>
    </xf>
    <xf numFmtId="0" fontId="32" fillId="0" borderId="12" xfId="0" applyFont="1" applyBorder="1">
      <alignment vertical="center"/>
    </xf>
    <xf numFmtId="0" fontId="32" fillId="8" borderId="11" xfId="0" applyFont="1" applyFill="1" applyBorder="1">
      <alignment vertical="center"/>
    </xf>
    <xf numFmtId="0" fontId="32" fillId="8" borderId="16" xfId="0" applyFont="1" applyFill="1" applyBorder="1">
      <alignment vertical="center"/>
    </xf>
    <xf numFmtId="0" fontId="10" fillId="10" borderId="0" xfId="0" applyNumberFormat="1" applyFont="1" applyFill="1" applyAlignment="1">
      <alignment horizontal="left"/>
    </xf>
    <xf numFmtId="0" fontId="26" fillId="10" borderId="4" xfId="0" applyNumberFormat="1" applyFont="1" applyFill="1" applyBorder="1">
      <alignment vertical="center"/>
    </xf>
    <xf numFmtId="0" fontId="33" fillId="10" borderId="11" xfId="0" applyNumberFormat="1" applyFont="1" applyFill="1" applyBorder="1">
      <alignment vertical="center"/>
    </xf>
    <xf numFmtId="0" fontId="10" fillId="0" borderId="0" xfId="0" applyNumberFormat="1" applyFont="1" applyFill="1" applyAlignment="1">
      <alignment horizontal="left"/>
    </xf>
    <xf numFmtId="0" fontId="26" fillId="0" borderId="4" xfId="0" applyNumberFormat="1" applyFont="1" applyFill="1" applyBorder="1">
      <alignment vertical="center"/>
    </xf>
    <xf numFmtId="0" fontId="10" fillId="11" borderId="0" xfId="0" applyNumberFormat="1" applyFont="1" applyFill="1" applyAlignment="1">
      <alignment horizontal="left"/>
    </xf>
    <xf numFmtId="0" fontId="26" fillId="11" borderId="4" xfId="0" applyNumberFormat="1" applyFont="1" applyFill="1" applyBorder="1">
      <alignment vertical="center"/>
    </xf>
    <xf numFmtId="0" fontId="26" fillId="0" borderId="0" xfId="0" applyNumberFormat="1" applyFont="1" applyFill="1" applyBorder="1">
      <alignment vertical="center"/>
    </xf>
    <xf numFmtId="0" fontId="0" fillId="0" borderId="0" xfId="0" applyNumberFormat="1" applyFill="1">
      <alignment vertical="center"/>
    </xf>
    <xf numFmtId="0" fontId="11" fillId="12" borderId="0" xfId="0" applyFont="1" applyFill="1" applyAlignment="1">
      <alignment horizontal="center"/>
    </xf>
    <xf numFmtId="0" fontId="0" fillId="10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14" borderId="0" xfId="0" applyFont="1" applyFill="1" applyAlignment="1">
      <alignment horizontal="left" vertical="center"/>
    </xf>
    <xf numFmtId="0" fontId="24" fillId="0" borderId="0" xfId="0" applyNumberFormat="1" applyFont="1">
      <alignment vertical="center"/>
    </xf>
    <xf numFmtId="0" fontId="28" fillId="0" borderId="4" xfId="0" applyFont="1" applyBorder="1">
      <alignment vertical="center"/>
    </xf>
    <xf numFmtId="0" fontId="27" fillId="0" borderId="14" xfId="0" applyFont="1" applyBorder="1">
      <alignment vertical="center"/>
    </xf>
    <xf numFmtId="0" fontId="33" fillId="0" borderId="5" xfId="0" applyFont="1" applyBorder="1">
      <alignment vertical="center"/>
    </xf>
    <xf numFmtId="0" fontId="27" fillId="0" borderId="15" xfId="0" applyFont="1" applyBorder="1">
      <alignment vertical="center"/>
    </xf>
    <xf numFmtId="0" fontId="28" fillId="0" borderId="6" xfId="0" applyFont="1" applyBorder="1">
      <alignment vertical="center"/>
    </xf>
    <xf numFmtId="0" fontId="28" fillId="0" borderId="1" xfId="0" applyFont="1" applyBorder="1">
      <alignment vertical="center"/>
    </xf>
    <xf numFmtId="0" fontId="33" fillId="0" borderId="15" xfId="0" applyFont="1" applyBorder="1">
      <alignment vertical="center"/>
    </xf>
    <xf numFmtId="0" fontId="27" fillId="0" borderId="15" xfId="0" applyFont="1" applyFill="1" applyBorder="1">
      <alignment vertical="center"/>
    </xf>
    <xf numFmtId="0" fontId="33" fillId="0" borderId="14" xfId="0" applyFont="1" applyBorder="1">
      <alignment vertical="center"/>
    </xf>
    <xf numFmtId="0" fontId="33" fillId="0" borderId="3" xfId="0" applyFont="1" applyBorder="1">
      <alignment vertical="center"/>
    </xf>
    <xf numFmtId="49" fontId="26" fillId="0" borderId="15" xfId="0" applyNumberFormat="1" applyFont="1" applyFill="1" applyBorder="1">
      <alignment vertical="center"/>
    </xf>
    <xf numFmtId="0" fontId="33" fillId="0" borderId="16" xfId="0" applyFont="1" applyBorder="1">
      <alignment vertical="center"/>
    </xf>
    <xf numFmtId="49" fontId="26" fillId="0" borderId="15" xfId="0" applyNumberFormat="1" applyFont="1" applyBorder="1">
      <alignment vertical="center"/>
    </xf>
    <xf numFmtId="0" fontId="26" fillId="0" borderId="15" xfId="0" applyFont="1" applyFill="1" applyBorder="1">
      <alignment vertical="center"/>
    </xf>
    <xf numFmtId="0" fontId="26" fillId="0" borderId="15" xfId="0" applyFont="1" applyBorder="1">
      <alignment vertical="center"/>
    </xf>
    <xf numFmtId="49" fontId="27" fillId="0" borderId="15" xfId="0" applyNumberFormat="1" applyFont="1" applyFill="1" applyBorder="1">
      <alignment vertical="center"/>
    </xf>
    <xf numFmtId="49" fontId="26" fillId="0" borderId="16" xfId="0" applyNumberFormat="1" applyFont="1" applyFill="1" applyBorder="1">
      <alignment vertical="center"/>
    </xf>
    <xf numFmtId="0" fontId="24" fillId="0" borderId="0" xfId="0" applyNumberFormat="1" applyFont="1" applyFill="1">
      <alignment vertical="center"/>
    </xf>
    <xf numFmtId="0" fontId="27" fillId="8" borderId="9" xfId="1" applyNumberFormat="1" applyFont="1" applyFill="1" applyAlignment="1">
      <alignment vertical="center"/>
    </xf>
    <xf numFmtId="0" fontId="27" fillId="8" borderId="9" xfId="1" applyNumberFormat="1" applyFont="1" applyFill="1" applyAlignment="1"/>
    <xf numFmtId="0" fontId="33" fillId="0" borderId="0" xfId="0" applyNumberFormat="1" applyFont="1">
      <alignment vertical="center"/>
    </xf>
    <xf numFmtId="0" fontId="33" fillId="10" borderId="0" xfId="0" applyFont="1" applyFill="1" applyAlignment="1">
      <alignment horizontal="left"/>
    </xf>
    <xf numFmtId="0" fontId="26" fillId="10" borderId="0" xfId="0" applyNumberFormat="1" applyFont="1" applyFill="1" applyBorder="1">
      <alignment vertical="center"/>
    </xf>
    <xf numFmtId="0" fontId="26" fillId="13" borderId="0" xfId="0" applyNumberFormat="1" applyFont="1" applyFill="1" applyBorder="1">
      <alignment vertical="center"/>
    </xf>
    <xf numFmtId="0" fontId="33" fillId="0" borderId="0" xfId="0" applyFont="1" applyFill="1" applyAlignment="1">
      <alignment horizontal="left"/>
    </xf>
    <xf numFmtId="0" fontId="27" fillId="9" borderId="11" xfId="2" applyNumberFormat="1" applyFont="1" applyFill="1" applyBorder="1" applyAlignment="1">
      <alignment vertical="center"/>
    </xf>
    <xf numFmtId="0" fontId="27" fillId="9" borderId="11" xfId="2" applyNumberFormat="1" applyFont="1" applyFill="1" applyBorder="1">
      <alignment vertical="center"/>
    </xf>
    <xf numFmtId="0" fontId="27" fillId="9" borderId="11" xfId="1" applyNumberFormat="1" applyFont="1" applyFill="1" applyBorder="1" applyAlignment="1"/>
    <xf numFmtId="0" fontId="27" fillId="8" borderId="9" xfId="1" applyNumberFormat="1" applyFont="1" applyFill="1">
      <alignment vertical="center"/>
    </xf>
    <xf numFmtId="0" fontId="33" fillId="13" borderId="0" xfId="0" applyNumberFormat="1" applyFont="1" applyFill="1" applyBorder="1">
      <alignment vertical="center"/>
    </xf>
    <xf numFmtId="0" fontId="27" fillId="9" borderId="10" xfId="2" applyNumberFormat="1" applyFont="1" applyFill="1" applyBorder="1" applyAlignment="1">
      <alignment vertical="center"/>
    </xf>
    <xf numFmtId="0" fontId="27" fillId="9" borderId="10" xfId="2" applyNumberFormat="1" applyFont="1" applyFill="1" applyBorder="1">
      <alignment vertical="center"/>
    </xf>
    <xf numFmtId="0" fontId="27" fillId="9" borderId="9" xfId="1" applyNumberFormat="1" applyFont="1" applyFill="1" applyAlignment="1"/>
    <xf numFmtId="0" fontId="33" fillId="13" borderId="0" xfId="0" applyNumberFormat="1" applyFont="1" applyFill="1">
      <alignment vertical="center"/>
    </xf>
    <xf numFmtId="0" fontId="27" fillId="8" borderId="10" xfId="2" applyNumberFormat="1" applyFont="1" applyFill="1" applyBorder="1" applyAlignment="1">
      <alignment vertical="center"/>
    </xf>
    <xf numFmtId="0" fontId="27" fillId="8" borderId="10" xfId="2" applyNumberFormat="1" applyFont="1" applyFill="1" applyBorder="1">
      <alignment vertical="center"/>
    </xf>
    <xf numFmtId="0" fontId="27" fillId="9" borderId="9" xfId="1" applyNumberFormat="1" applyFont="1" applyFill="1">
      <alignment vertical="center"/>
    </xf>
    <xf numFmtId="0" fontId="33" fillId="10" borderId="14" xfId="0" applyNumberFormat="1" applyFont="1" applyFill="1" applyBorder="1">
      <alignment vertical="center"/>
    </xf>
    <xf numFmtId="0" fontId="24" fillId="0" borderId="0" xfId="0" applyNumberFormat="1" applyFont="1" applyAlignment="1">
      <alignment horizontal="left" vertical="center"/>
    </xf>
    <xf numFmtId="49" fontId="26" fillId="0" borderId="16" xfId="0" applyNumberFormat="1" applyFont="1" applyBorder="1">
      <alignment vertical="center"/>
    </xf>
    <xf numFmtId="0" fontId="33" fillId="10" borderId="11" xfId="0" applyFont="1" applyFill="1" applyBorder="1">
      <alignment vertical="center"/>
    </xf>
    <xf numFmtId="0" fontId="28" fillId="0" borderId="11" xfId="0" applyFont="1" applyBorder="1">
      <alignment vertical="center"/>
    </xf>
    <xf numFmtId="0" fontId="27" fillId="0" borderId="0" xfId="0" applyNumberFormat="1" applyFont="1" applyFill="1" applyBorder="1">
      <alignment vertical="center"/>
    </xf>
    <xf numFmtId="0" fontId="27" fillId="10" borderId="0" xfId="0" applyNumberFormat="1" applyFont="1" applyFill="1" applyBorder="1">
      <alignment vertical="center"/>
    </xf>
    <xf numFmtId="0" fontId="35" fillId="12" borderId="0" xfId="0" applyFont="1" applyFill="1" applyAlignment="1">
      <alignment horizontal="center"/>
    </xf>
    <xf numFmtId="0" fontId="36" fillId="0" borderId="0" xfId="0" applyNumberFormat="1" applyFont="1">
      <alignment vertical="center"/>
    </xf>
    <xf numFmtId="0" fontId="27" fillId="0" borderId="0" xfId="0" applyNumberFormat="1" applyFont="1">
      <alignment vertical="center"/>
    </xf>
    <xf numFmtId="0" fontId="27" fillId="10" borderId="11" xfId="0" applyNumberFormat="1" applyFont="1" applyFill="1" applyBorder="1">
      <alignment vertical="center"/>
    </xf>
    <xf numFmtId="0" fontId="24" fillId="0" borderId="1" xfId="0" applyNumberFormat="1" applyFont="1" applyBorder="1">
      <alignment vertical="center"/>
    </xf>
    <xf numFmtId="0" fontId="24" fillId="0" borderId="2" xfId="0" applyNumberFormat="1" applyFont="1" applyBorder="1">
      <alignment vertical="center"/>
    </xf>
    <xf numFmtId="0" fontId="24" fillId="0" borderId="2" xfId="0" applyNumberFormat="1" applyFont="1" applyFill="1" applyBorder="1">
      <alignment vertical="center"/>
    </xf>
    <xf numFmtId="0" fontId="24" fillId="0" borderId="3" xfId="0" applyNumberFormat="1" applyFont="1" applyBorder="1">
      <alignment vertical="center"/>
    </xf>
    <xf numFmtId="0" fontId="24" fillId="0" borderId="4" xfId="0" applyNumberFormat="1" applyFont="1" applyBorder="1">
      <alignment vertical="center"/>
    </xf>
    <xf numFmtId="0" fontId="24" fillId="0" borderId="0" xfId="0" applyNumberFormat="1" applyFont="1" applyBorder="1">
      <alignment vertical="center"/>
    </xf>
    <xf numFmtId="0" fontId="24" fillId="0" borderId="0" xfId="0" applyNumberFormat="1" applyFont="1" applyFill="1" applyBorder="1">
      <alignment vertical="center"/>
    </xf>
    <xf numFmtId="0" fontId="24" fillId="0" borderId="5" xfId="0" applyNumberFormat="1" applyFont="1" applyBorder="1">
      <alignment vertical="center"/>
    </xf>
    <xf numFmtId="0" fontId="24" fillId="0" borderId="7" xfId="0" applyNumberFormat="1" applyFont="1" applyBorder="1">
      <alignment vertical="center"/>
    </xf>
    <xf numFmtId="0" fontId="24" fillId="0" borderId="8" xfId="0" applyNumberFormat="1" applyFont="1" applyBorder="1">
      <alignment vertical="center"/>
    </xf>
    <xf numFmtId="0" fontId="24" fillId="0" borderId="6" xfId="0" applyNumberFormat="1" applyFont="1" applyBorder="1">
      <alignment vertical="center"/>
    </xf>
    <xf numFmtId="0" fontId="26" fillId="0" borderId="5" xfId="0" applyFont="1" applyBorder="1">
      <alignment vertical="center"/>
    </xf>
    <xf numFmtId="0" fontId="37" fillId="0" borderId="0" xfId="0" applyNumberFormat="1" applyFont="1">
      <alignment vertical="center"/>
    </xf>
    <xf numFmtId="0" fontId="34" fillId="0" borderId="5" xfId="0" applyFont="1" applyBorder="1">
      <alignment vertical="center"/>
    </xf>
    <xf numFmtId="0" fontId="34" fillId="0" borderId="0" xfId="0" applyNumberFormat="1" applyFont="1" applyAlignment="1">
      <alignment horizontal="left" vertical="center"/>
    </xf>
    <xf numFmtId="0" fontId="34" fillId="10" borderId="11" xfId="0" applyNumberFormat="1" applyFont="1" applyFill="1" applyBorder="1">
      <alignment vertical="center"/>
    </xf>
    <xf numFmtId="0" fontId="29" fillId="0" borderId="4" xfId="0" applyFont="1" applyBorder="1">
      <alignment vertical="center"/>
    </xf>
    <xf numFmtId="0" fontId="29" fillId="0" borderId="0" xfId="0" applyNumberFormat="1" applyFont="1" applyAlignment="1">
      <alignment horizontal="left" vertical="center"/>
    </xf>
    <xf numFmtId="0" fontId="31" fillId="4" borderId="0" xfId="0" applyFont="1" applyFill="1" applyAlignment="1">
      <alignment horizontal="left"/>
    </xf>
    <xf numFmtId="0" fontId="37" fillId="0" borderId="0" xfId="0" applyNumberFormat="1" applyFont="1" applyAlignment="1">
      <alignment horizontal="right" vertical="center"/>
    </xf>
    <xf numFmtId="0" fontId="14" fillId="0" borderId="0" xfId="0" applyFont="1" applyFill="1" applyAlignment="1">
      <alignment horizontal="right"/>
    </xf>
    <xf numFmtId="0" fontId="38" fillId="0" borderId="0" xfId="0" applyNumberFormat="1" applyFont="1" applyFill="1" applyAlignment="1">
      <alignment horizontal="left"/>
    </xf>
    <xf numFmtId="0" fontId="39" fillId="13" borderId="0" xfId="0" applyNumberFormat="1" applyFont="1" applyFill="1" applyBorder="1">
      <alignment vertical="center"/>
    </xf>
    <xf numFmtId="0" fontId="33" fillId="0" borderId="11" xfId="0" applyFont="1" applyBorder="1">
      <alignment vertical="center"/>
    </xf>
    <xf numFmtId="0" fontId="40" fillId="0" borderId="4" xfId="0" applyFont="1" applyBorder="1">
      <alignment vertical="center"/>
    </xf>
    <xf numFmtId="0" fontId="25" fillId="0" borderId="0" xfId="0" applyNumberFormat="1" applyFont="1">
      <alignment vertical="center"/>
    </xf>
    <xf numFmtId="0" fontId="41" fillId="0" borderId="0" xfId="0" applyNumberFormat="1" applyFont="1" applyAlignment="1">
      <alignment horizontal="left" vertical="center"/>
    </xf>
    <xf numFmtId="0" fontId="26" fillId="10" borderId="11" xfId="0" applyNumberFormat="1" applyFont="1" applyFill="1" applyBorder="1">
      <alignment vertical="center"/>
    </xf>
    <xf numFmtId="0" fontId="26" fillId="0" borderId="0" xfId="0" applyNumberFormat="1" applyFont="1">
      <alignment vertical="center"/>
    </xf>
    <xf numFmtId="0" fontId="26" fillId="0" borderId="0" xfId="0" applyNumberFormat="1" applyFont="1" applyAlignment="1">
      <alignment horizontal="left" vertical="center"/>
    </xf>
    <xf numFmtId="0" fontId="32" fillId="0" borderId="15" xfId="0" applyFont="1" applyBorder="1">
      <alignment vertical="center"/>
    </xf>
    <xf numFmtId="0" fontId="42" fillId="0" borderId="4" xfId="0" applyNumberFormat="1" applyFont="1" applyFill="1" applyBorder="1">
      <alignment vertical="center"/>
    </xf>
    <xf numFmtId="0" fontId="43" fillId="0" borderId="0" xfId="0" applyNumberFormat="1" applyFont="1">
      <alignment vertical="center"/>
    </xf>
    <xf numFmtId="0" fontId="44" fillId="11" borderId="4" xfId="0" applyNumberFormat="1" applyFont="1" applyFill="1" applyBorder="1">
      <alignment vertical="center"/>
    </xf>
    <xf numFmtId="0" fontId="45" fillId="11" borderId="0" xfId="0" applyNumberFormat="1" applyFont="1" applyFill="1" applyAlignment="1">
      <alignment horizontal="left"/>
    </xf>
    <xf numFmtId="0" fontId="44" fillId="0" borderId="0" xfId="0" applyNumberFormat="1" applyFont="1" applyFill="1" applyBorder="1">
      <alignment vertical="center"/>
    </xf>
    <xf numFmtId="0" fontId="44" fillId="13" borderId="0" xfId="0" applyNumberFormat="1" applyFont="1" applyFill="1" applyBorder="1">
      <alignment vertical="center"/>
    </xf>
    <xf numFmtId="0" fontId="46" fillId="12" borderId="0" xfId="0" applyFont="1" applyFill="1" applyAlignment="1">
      <alignment horizontal="center"/>
    </xf>
    <xf numFmtId="0" fontId="44" fillId="0" borderId="0" xfId="0" applyNumberFormat="1" applyFont="1">
      <alignment vertical="center"/>
    </xf>
    <xf numFmtId="49" fontId="27" fillId="0" borderId="15" xfId="0" applyNumberFormat="1" applyFont="1" applyBorder="1">
      <alignment vertical="center"/>
    </xf>
    <xf numFmtId="0" fontId="32" fillId="8" borderId="14" xfId="0" applyFont="1" applyFill="1" applyBorder="1">
      <alignment vertical="center"/>
    </xf>
    <xf numFmtId="0" fontId="24" fillId="4" borderId="0" xfId="0" applyNumberFormat="1" applyFont="1" applyFill="1">
      <alignment vertical="center"/>
    </xf>
    <xf numFmtId="0" fontId="20" fillId="0" borderId="7" xfId="0" applyFont="1" applyBorder="1">
      <alignment vertical="center"/>
    </xf>
    <xf numFmtId="0" fontId="20" fillId="0" borderId="6" xfId="0" applyFont="1" applyBorder="1">
      <alignment vertical="center"/>
    </xf>
    <xf numFmtId="0" fontId="20" fillId="0" borderId="8" xfId="0" applyFont="1" applyBorder="1">
      <alignment vertical="center"/>
    </xf>
    <xf numFmtId="0" fontId="20" fillId="0" borderId="13" xfId="0" applyFont="1" applyBorder="1">
      <alignment vertical="center"/>
    </xf>
    <xf numFmtId="0" fontId="20" fillId="0" borderId="3" xfId="0" applyFont="1" applyBorder="1">
      <alignment vertical="center"/>
    </xf>
    <xf numFmtId="0" fontId="20" fillId="0" borderId="14" xfId="0" applyFont="1" applyBorder="1">
      <alignment vertical="center"/>
    </xf>
    <xf numFmtId="49" fontId="21" fillId="0" borderId="14" xfId="0" applyNumberFormat="1" applyFont="1" applyFill="1" applyBorder="1">
      <alignment vertical="center"/>
    </xf>
    <xf numFmtId="0" fontId="21" fillId="4" borderId="15" xfId="0" applyFont="1" applyFill="1" applyBorder="1">
      <alignment vertical="center"/>
    </xf>
    <xf numFmtId="0" fontId="20" fillId="4" borderId="15" xfId="0" applyFont="1" applyFill="1" applyBorder="1">
      <alignment vertical="center"/>
    </xf>
    <xf numFmtId="0" fontId="20" fillId="4" borderId="4" xfId="0" applyFont="1" applyFill="1" applyBorder="1">
      <alignment vertical="center"/>
    </xf>
    <xf numFmtId="0" fontId="20" fillId="4" borderId="5" xfId="0" applyFont="1" applyFill="1" applyBorder="1">
      <alignment vertical="center"/>
    </xf>
    <xf numFmtId="0" fontId="21" fillId="4" borderId="4" xfId="0" applyFont="1" applyFill="1" applyBorder="1">
      <alignment vertical="center"/>
    </xf>
    <xf numFmtId="0" fontId="20" fillId="4" borderId="0" xfId="0" applyFont="1" applyFill="1" applyBorder="1">
      <alignment vertical="center"/>
    </xf>
    <xf numFmtId="49" fontId="20" fillId="4" borderId="5" xfId="0" applyNumberFormat="1" applyFont="1" applyFill="1" applyBorder="1">
      <alignment vertical="center"/>
    </xf>
    <xf numFmtId="49" fontId="20" fillId="4" borderId="4" xfId="0" applyNumberFormat="1" applyFont="1" applyFill="1" applyBorder="1">
      <alignment vertical="center"/>
    </xf>
    <xf numFmtId="0" fontId="20" fillId="4" borderId="14" xfId="0" applyFont="1" applyFill="1" applyBorder="1">
      <alignment vertical="center"/>
    </xf>
    <xf numFmtId="0" fontId="20" fillId="4" borderId="3" xfId="0" applyFont="1" applyFill="1" applyBorder="1">
      <alignment vertical="center"/>
    </xf>
    <xf numFmtId="49" fontId="21" fillId="4" borderId="15" xfId="0" applyNumberFormat="1" applyFont="1" applyFill="1" applyBorder="1">
      <alignment vertical="center"/>
    </xf>
    <xf numFmtId="0" fontId="4" fillId="4" borderId="5" xfId="0" applyFont="1" applyFill="1" applyBorder="1">
      <alignment vertical="center"/>
    </xf>
    <xf numFmtId="49" fontId="20" fillId="4" borderId="0" xfId="0" applyNumberFormat="1" applyFont="1" applyFill="1" applyBorder="1">
      <alignment vertical="center"/>
    </xf>
    <xf numFmtId="0" fontId="27" fillId="4" borderId="15" xfId="0" applyFont="1" applyFill="1" applyBorder="1">
      <alignment vertical="center"/>
    </xf>
    <xf numFmtId="0" fontId="26" fillId="4" borderId="15" xfId="0" applyFont="1" applyFill="1" applyBorder="1">
      <alignment vertical="center"/>
    </xf>
    <xf numFmtId="0" fontId="28" fillId="0" borderId="12" xfId="0" applyFont="1" applyBorder="1">
      <alignment vertical="center"/>
    </xf>
    <xf numFmtId="0" fontId="41" fillId="0" borderId="12" xfId="0" applyFont="1" applyBorder="1">
      <alignment vertical="center"/>
    </xf>
    <xf numFmtId="0" fontId="26" fillId="0" borderId="16" xfId="0" applyFont="1" applyBorder="1">
      <alignment vertical="center"/>
    </xf>
    <xf numFmtId="0" fontId="26" fillId="0" borderId="8" xfId="0" applyFont="1" applyBorder="1">
      <alignment vertical="center"/>
    </xf>
    <xf numFmtId="0" fontId="41" fillId="8" borderId="11" xfId="0" applyFont="1" applyFill="1" applyBorder="1">
      <alignment vertical="center"/>
    </xf>
    <xf numFmtId="0" fontId="26" fillId="0" borderId="13" xfId="0" applyFont="1" applyBorder="1">
      <alignment vertical="center"/>
    </xf>
    <xf numFmtId="0" fontId="33" fillId="0" borderId="16" xfId="0" applyFont="1" applyFill="1" applyBorder="1">
      <alignment vertical="center"/>
    </xf>
    <xf numFmtId="0" fontId="41" fillId="0" borderId="11" xfId="0" applyFont="1" applyBorder="1">
      <alignment vertical="center"/>
    </xf>
    <xf numFmtId="0" fontId="26" fillId="0" borderId="3" xfId="0" applyFont="1" applyBorder="1">
      <alignment vertical="center"/>
    </xf>
    <xf numFmtId="0" fontId="41" fillId="8" borderId="14" xfId="0" applyFont="1" applyFill="1" applyBorder="1">
      <alignment vertical="center"/>
    </xf>
    <xf numFmtId="49" fontId="27" fillId="0" borderId="14" xfId="0" applyNumberFormat="1" applyFont="1" applyFill="1" applyBorder="1">
      <alignment vertical="center"/>
    </xf>
    <xf numFmtId="0" fontId="26" fillId="0" borderId="14" xfId="0" applyFont="1" applyBorder="1">
      <alignment vertical="center"/>
    </xf>
    <xf numFmtId="0" fontId="41" fillId="0" borderId="15" xfId="0" applyFont="1" applyBorder="1">
      <alignment vertical="center"/>
    </xf>
    <xf numFmtId="49" fontId="27" fillId="0" borderId="14" xfId="0" applyNumberFormat="1" applyFont="1" applyBorder="1">
      <alignment vertical="center"/>
    </xf>
    <xf numFmtId="0" fontId="39" fillId="0" borderId="16" xfId="0" applyFont="1" applyBorder="1">
      <alignment vertical="center"/>
    </xf>
    <xf numFmtId="0" fontId="41" fillId="8" borderId="16" xfId="0" applyFont="1" applyFill="1" applyBorder="1">
      <alignment vertical="center"/>
    </xf>
    <xf numFmtId="0" fontId="27" fillId="0" borderId="5" xfId="0" applyFont="1" applyBorder="1">
      <alignment vertical="center"/>
    </xf>
    <xf numFmtId="0" fontId="26" fillId="4" borderId="14" xfId="0" applyFont="1" applyFill="1" applyBorder="1">
      <alignment vertical="center"/>
    </xf>
    <xf numFmtId="0" fontId="26" fillId="4" borderId="3" xfId="0" applyFont="1" applyFill="1" applyBorder="1">
      <alignment vertical="center"/>
    </xf>
    <xf numFmtId="0" fontId="39" fillId="0" borderId="15" xfId="0" applyFont="1" applyBorder="1">
      <alignment vertical="center"/>
    </xf>
    <xf numFmtId="49" fontId="27" fillId="4" borderId="15" xfId="0" applyNumberFormat="1" applyFont="1" applyFill="1" applyBorder="1">
      <alignment vertical="center"/>
    </xf>
    <xf numFmtId="0" fontId="26" fillId="4" borderId="16" xfId="0" applyFont="1" applyFill="1" applyBorder="1">
      <alignment vertical="center"/>
    </xf>
    <xf numFmtId="0" fontId="42" fillId="0" borderId="0" xfId="0" applyNumberFormat="1" applyFont="1" applyFill="1">
      <alignment vertical="center"/>
    </xf>
    <xf numFmtId="0" fontId="33" fillId="12" borderId="11" xfId="0" applyFont="1" applyFill="1" applyBorder="1">
      <alignment vertical="center"/>
    </xf>
    <xf numFmtId="0" fontId="33" fillId="10" borderId="0" xfId="0" applyFont="1" applyFill="1" applyAlignment="1">
      <alignment horizontal="right"/>
    </xf>
    <xf numFmtId="0" fontId="33" fillId="12" borderId="0" xfId="0" applyFont="1" applyFill="1" applyAlignment="1">
      <alignment horizontal="right"/>
    </xf>
    <xf numFmtId="0" fontId="33" fillId="4" borderId="11" xfId="0" applyNumberFormat="1" applyFont="1" applyFill="1" applyBorder="1">
      <alignment vertical="center"/>
    </xf>
    <xf numFmtId="0" fontId="26" fillId="0" borderId="0" xfId="0" applyNumberFormat="1" applyFont="1" applyFill="1">
      <alignment vertical="center"/>
    </xf>
    <xf numFmtId="0" fontId="26" fillId="0" borderId="11" xfId="0" applyNumberFormat="1" applyFont="1" applyFill="1" applyBorder="1">
      <alignment vertical="center"/>
    </xf>
    <xf numFmtId="0" fontId="27" fillId="0" borderId="16" xfId="0" applyFont="1" applyFill="1" applyBorder="1">
      <alignment vertical="center"/>
    </xf>
    <xf numFmtId="0" fontId="47" fillId="0" borderId="0" xfId="0" applyNumberFormat="1" applyFont="1" applyFill="1" applyAlignment="1">
      <alignment horizontal="left"/>
    </xf>
    <xf numFmtId="0" fontId="27" fillId="13" borderId="0" xfId="0" applyNumberFormat="1" applyFont="1" applyFill="1" applyBorder="1">
      <alignment vertical="center"/>
    </xf>
    <xf numFmtId="0" fontId="33" fillId="4" borderId="5" xfId="0" applyFont="1" applyFill="1" applyBorder="1">
      <alignment vertical="center"/>
    </xf>
    <xf numFmtId="0" fontId="48" fillId="11" borderId="4" xfId="0" applyNumberFormat="1" applyFont="1" applyFill="1" applyBorder="1">
      <alignment vertical="center"/>
    </xf>
    <xf numFmtId="0" fontId="49" fillId="11" borderId="0" xfId="0" applyNumberFormat="1" applyFont="1" applyFill="1" applyAlignment="1">
      <alignment horizontal="left"/>
    </xf>
    <xf numFmtId="0" fontId="27" fillId="10" borderId="4" xfId="0" applyNumberFormat="1" applyFont="1" applyFill="1" applyBorder="1">
      <alignment vertical="center"/>
    </xf>
    <xf numFmtId="0" fontId="27" fillId="0" borderId="4" xfId="0" applyNumberFormat="1" applyFont="1" applyFill="1" applyBorder="1">
      <alignment vertical="center"/>
    </xf>
    <xf numFmtId="0" fontId="39" fillId="0" borderId="4" xfId="0" applyNumberFormat="1" applyFont="1" applyFill="1" applyBorder="1">
      <alignment vertical="center"/>
    </xf>
    <xf numFmtId="0" fontId="39" fillId="11" borderId="4" xfId="0" applyNumberFormat="1" applyFont="1" applyFill="1" applyBorder="1">
      <alignment vertical="center"/>
    </xf>
    <xf numFmtId="0" fontId="39" fillId="0" borderId="5" xfId="0" applyFont="1" applyFill="1" applyBorder="1">
      <alignment vertical="center"/>
    </xf>
    <xf numFmtId="0" fontId="39" fillId="0" borderId="0" xfId="0" applyNumberFormat="1" applyFont="1">
      <alignment vertical="center"/>
    </xf>
    <xf numFmtId="0" fontId="27" fillId="10" borderId="11" xfId="0" applyFont="1" applyFill="1" applyBorder="1">
      <alignment vertical="center"/>
    </xf>
  </cellXfs>
  <cellStyles count="3">
    <cellStyle name="20% - 强调文字颜色 6" xfId="2" builtinId="50"/>
    <cellStyle name="常规" xfId="0" builtinId="0"/>
    <cellStyle name="输入" xfId="1" builtinId="2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07"/>
  <sheetViews>
    <sheetView topLeftCell="A73" workbookViewId="0">
      <selection activeCell="D87" sqref="D87"/>
    </sheetView>
  </sheetViews>
  <sheetFormatPr defaultRowHeight="13.5"/>
  <cols>
    <col min="1" max="1" width="13" bestFit="1" customWidth="1"/>
    <col min="2" max="2" width="21" bestFit="1" customWidth="1"/>
    <col min="3" max="3" width="13" bestFit="1" customWidth="1"/>
    <col min="4" max="4" width="42.625" customWidth="1"/>
    <col min="5" max="5" width="17.375" customWidth="1"/>
    <col min="6" max="6" width="17.25" bestFit="1" customWidth="1"/>
    <col min="7" max="7" width="65.375" bestFit="1" customWidth="1"/>
  </cols>
  <sheetData>
    <row r="1" spans="2:7">
      <c r="B1" s="1"/>
      <c r="C1" s="1"/>
      <c r="D1" s="1"/>
      <c r="E1" s="1"/>
      <c r="F1" s="1"/>
      <c r="G1" s="1"/>
    </row>
    <row r="2" spans="2:7">
      <c r="B2" s="1" t="s">
        <v>0</v>
      </c>
    </row>
    <row r="3" spans="2:7">
      <c r="B3" s="1" t="s">
        <v>1</v>
      </c>
    </row>
    <row r="4" spans="2:7">
      <c r="B4" s="1" t="s">
        <v>2</v>
      </c>
    </row>
    <row r="5" spans="2:7">
      <c r="B5" s="1" t="s">
        <v>3</v>
      </c>
    </row>
    <row r="8" spans="2:7">
      <c r="B8" s="2"/>
      <c r="C8" s="3"/>
      <c r="D8" s="4" t="s">
        <v>4</v>
      </c>
      <c r="E8" s="4" t="s">
        <v>5</v>
      </c>
      <c r="F8" s="4" t="s">
        <v>6</v>
      </c>
      <c r="G8" s="5" t="s">
        <v>7</v>
      </c>
    </row>
    <row r="9" spans="2:7">
      <c r="B9" s="6" t="s">
        <v>8</v>
      </c>
      <c r="C9" s="7"/>
      <c r="D9" s="7"/>
      <c r="E9" s="7"/>
      <c r="F9" s="7"/>
      <c r="G9" s="8"/>
    </row>
    <row r="10" spans="2:7">
      <c r="B10" s="9"/>
      <c r="C10" s="7" t="s">
        <v>9</v>
      </c>
      <c r="D10" s="7" t="s">
        <v>10</v>
      </c>
      <c r="E10" s="7"/>
      <c r="F10" s="7" t="s">
        <v>11</v>
      </c>
      <c r="G10" s="8" t="s">
        <v>12</v>
      </c>
    </row>
    <row r="11" spans="2:7">
      <c r="B11" s="9"/>
      <c r="C11" s="7"/>
      <c r="D11" s="7"/>
      <c r="E11" s="7"/>
      <c r="F11" s="7"/>
      <c r="G11" s="8"/>
    </row>
    <row r="12" spans="2:7">
      <c r="B12" s="6" t="s">
        <v>16</v>
      </c>
      <c r="C12" s="7"/>
      <c r="D12" s="7"/>
      <c r="E12" s="7"/>
      <c r="F12" s="7"/>
      <c r="G12" s="8"/>
    </row>
    <row r="13" spans="2:7">
      <c r="B13" s="9"/>
      <c r="C13" s="7" t="s">
        <v>19</v>
      </c>
      <c r="D13" s="7" t="s">
        <v>10</v>
      </c>
      <c r="E13" s="7"/>
      <c r="F13" s="7" t="s">
        <v>20</v>
      </c>
      <c r="G13" s="8" t="s">
        <v>12</v>
      </c>
    </row>
    <row r="14" spans="2:7">
      <c r="B14" s="9"/>
      <c r="C14" s="7" t="s">
        <v>22</v>
      </c>
      <c r="D14" s="7" t="s">
        <v>23</v>
      </c>
      <c r="E14" s="7"/>
      <c r="F14" s="7" t="s">
        <v>24</v>
      </c>
      <c r="G14" s="8" t="s">
        <v>12</v>
      </c>
    </row>
    <row r="15" spans="2:7">
      <c r="B15" s="9"/>
      <c r="C15" s="15" t="s">
        <v>62</v>
      </c>
      <c r="D15" s="15" t="s">
        <v>63</v>
      </c>
      <c r="E15" s="7"/>
      <c r="F15" s="15" t="s">
        <v>64</v>
      </c>
      <c r="G15" s="8"/>
    </row>
    <row r="16" spans="2:7">
      <c r="B16" s="9"/>
      <c r="C16" s="7"/>
      <c r="D16" s="7"/>
      <c r="E16" s="7"/>
      <c r="F16" s="7"/>
      <c r="G16" s="8"/>
    </row>
    <row r="17" spans="2:7">
      <c r="B17" s="9"/>
      <c r="C17" s="7"/>
      <c r="D17" s="7"/>
      <c r="E17" s="7"/>
      <c r="F17" s="7"/>
      <c r="G17" s="8"/>
    </row>
    <row r="18" spans="2:7">
      <c r="B18" s="6" t="s">
        <v>30</v>
      </c>
      <c r="C18" s="7"/>
      <c r="D18" s="7"/>
      <c r="E18" s="7"/>
      <c r="F18" s="7"/>
      <c r="G18" s="8"/>
    </row>
    <row r="19" spans="2:7">
      <c r="B19" s="9"/>
      <c r="C19" s="7" t="s">
        <v>32</v>
      </c>
      <c r="D19" s="7" t="s">
        <v>33</v>
      </c>
      <c r="E19" s="7"/>
      <c r="F19" s="7"/>
      <c r="G19" s="8"/>
    </row>
    <row r="20" spans="2:7">
      <c r="B20" s="9"/>
      <c r="C20" s="7" t="s">
        <v>35</v>
      </c>
      <c r="D20" s="7" t="s">
        <v>61</v>
      </c>
      <c r="E20" s="7"/>
      <c r="F20" s="7"/>
      <c r="G20" s="8"/>
    </row>
    <row r="21" spans="2:7">
      <c r="B21" s="9"/>
      <c r="C21" s="7"/>
      <c r="D21" s="7"/>
      <c r="E21" s="7"/>
      <c r="F21" s="7"/>
      <c r="G21" s="8"/>
    </row>
    <row r="22" spans="2:7">
      <c r="B22" s="6" t="s">
        <v>38</v>
      </c>
      <c r="C22" s="7"/>
      <c r="D22" s="7"/>
      <c r="E22" s="7"/>
      <c r="F22" s="7"/>
      <c r="G22" s="8"/>
    </row>
    <row r="23" spans="2:7">
      <c r="B23" s="9"/>
      <c r="C23" s="7" t="s">
        <v>39</v>
      </c>
      <c r="D23" s="7" t="s">
        <v>40</v>
      </c>
      <c r="E23" s="7"/>
      <c r="F23" s="7"/>
      <c r="G23" s="8"/>
    </row>
    <row r="24" spans="2:7">
      <c r="B24" s="9"/>
      <c r="C24" s="7" t="s">
        <v>41</v>
      </c>
      <c r="D24" s="7" t="s">
        <v>42</v>
      </c>
      <c r="E24" s="7"/>
      <c r="F24" s="7"/>
      <c r="G24" s="8"/>
    </row>
    <row r="25" spans="2:7">
      <c r="B25" s="9"/>
      <c r="C25" s="7" t="s">
        <v>43</v>
      </c>
      <c r="D25" s="7" t="s">
        <v>44</v>
      </c>
      <c r="E25" s="7"/>
      <c r="F25" s="7"/>
      <c r="G25" s="8"/>
    </row>
    <row r="26" spans="2:7">
      <c r="B26" s="10"/>
      <c r="C26" s="11"/>
      <c r="D26" s="11"/>
      <c r="E26" s="11"/>
      <c r="F26" s="11"/>
      <c r="G26" s="12"/>
    </row>
    <row r="29" spans="2:7">
      <c r="B29" s="1" t="s">
        <v>45</v>
      </c>
    </row>
    <row r="30" spans="2:7">
      <c r="B30" s="1"/>
      <c r="C30">
        <v>2</v>
      </c>
      <c r="D30" t="s">
        <v>178</v>
      </c>
    </row>
    <row r="31" spans="2:7">
      <c r="B31" s="1"/>
      <c r="C31">
        <v>3</v>
      </c>
      <c r="D31" t="s">
        <v>179</v>
      </c>
    </row>
    <row r="32" spans="2:7">
      <c r="B32" s="1"/>
      <c r="C32">
        <v>4</v>
      </c>
      <c r="D32" t="s">
        <v>180</v>
      </c>
    </row>
    <row r="33" spans="2:4">
      <c r="B33" s="1"/>
      <c r="C33">
        <v>5</v>
      </c>
      <c r="D33" t="s">
        <v>181</v>
      </c>
    </row>
    <row r="34" spans="2:4">
      <c r="B34" s="1"/>
      <c r="C34">
        <v>6</v>
      </c>
      <c r="D34" t="s">
        <v>182</v>
      </c>
    </row>
    <row r="35" spans="2:4">
      <c r="B35" s="1"/>
      <c r="C35">
        <v>7</v>
      </c>
      <c r="D35" t="s">
        <v>183</v>
      </c>
    </row>
    <row r="36" spans="2:4">
      <c r="B36" s="1"/>
      <c r="C36">
        <v>8</v>
      </c>
      <c r="D36" t="s">
        <v>85</v>
      </c>
    </row>
    <row r="37" spans="2:4">
      <c r="B37" s="1"/>
      <c r="C37">
        <v>9</v>
      </c>
      <c r="D37" t="s">
        <v>89</v>
      </c>
    </row>
    <row r="38" spans="2:4">
      <c r="B38" s="1"/>
      <c r="C38">
        <v>10</v>
      </c>
      <c r="D38" t="s">
        <v>86</v>
      </c>
    </row>
    <row r="39" spans="2:4">
      <c r="B39" s="1"/>
      <c r="C39">
        <v>11</v>
      </c>
      <c r="D39" t="s">
        <v>88</v>
      </c>
    </row>
    <row r="40" spans="2:4">
      <c r="B40" s="1"/>
      <c r="C40">
        <v>12</v>
      </c>
      <c r="D40" t="s">
        <v>87</v>
      </c>
    </row>
    <row r="41" spans="2:4">
      <c r="B41" s="1"/>
      <c r="C41">
        <v>13</v>
      </c>
      <c r="D41" t="s">
        <v>90</v>
      </c>
    </row>
    <row r="42" spans="2:4">
      <c r="B42" s="1"/>
      <c r="C42">
        <v>14</v>
      </c>
      <c r="D42" t="s">
        <v>91</v>
      </c>
    </row>
    <row r="43" spans="2:4">
      <c r="B43" s="1"/>
      <c r="C43">
        <v>15</v>
      </c>
      <c r="D43" t="s">
        <v>92</v>
      </c>
    </row>
    <row r="44" spans="2:4">
      <c r="B44" s="1"/>
    </row>
    <row r="45" spans="2:4">
      <c r="B45" s="1"/>
    </row>
    <row r="46" spans="2:4">
      <c r="B46" s="1" t="s">
        <v>46</v>
      </c>
    </row>
    <row r="47" spans="2:4">
      <c r="B47" s="1"/>
      <c r="C47" t="s">
        <v>79</v>
      </c>
    </row>
    <row r="48" spans="2:4">
      <c r="B48" s="1"/>
      <c r="C48" t="s">
        <v>80</v>
      </c>
    </row>
    <row r="49" spans="2:3">
      <c r="B49" s="1"/>
      <c r="C49" t="s">
        <v>81</v>
      </c>
    </row>
    <row r="50" spans="2:3">
      <c r="B50" s="1"/>
      <c r="C50" t="s">
        <v>82</v>
      </c>
    </row>
    <row r="51" spans="2:3">
      <c r="B51" s="1"/>
      <c r="C51" t="s">
        <v>47</v>
      </c>
    </row>
    <row r="52" spans="2:3">
      <c r="B52" s="1"/>
      <c r="C52" t="s">
        <v>48</v>
      </c>
    </row>
    <row r="53" spans="2:3">
      <c r="B53" s="16" t="s">
        <v>95</v>
      </c>
      <c r="C53" s="13" t="s">
        <v>97</v>
      </c>
    </row>
    <row r="54" spans="2:3">
      <c r="B54" s="1"/>
      <c r="C54" s="13" t="s">
        <v>196</v>
      </c>
    </row>
    <row r="55" spans="2:3">
      <c r="B55" s="1"/>
      <c r="C55" s="13" t="s">
        <v>96</v>
      </c>
    </row>
    <row r="56" spans="2:3">
      <c r="C56" s="13" t="s">
        <v>98</v>
      </c>
    </row>
    <row r="57" spans="2:3">
      <c r="C57" s="13" t="s">
        <v>100</v>
      </c>
    </row>
    <row r="58" spans="2:3">
      <c r="C58" s="13" t="s">
        <v>103</v>
      </c>
    </row>
    <row r="59" spans="2:3">
      <c r="C59" s="13" t="s">
        <v>99</v>
      </c>
    </row>
    <row r="60" spans="2:3">
      <c r="C60" s="13" t="s">
        <v>184</v>
      </c>
    </row>
    <row r="61" spans="2:3">
      <c r="C61" s="13"/>
    </row>
    <row r="63" spans="2:3">
      <c r="C63" s="13"/>
    </row>
    <row r="64" spans="2:3">
      <c r="B64" s="1" t="s">
        <v>49</v>
      </c>
      <c r="C64" t="s">
        <v>50</v>
      </c>
    </row>
    <row r="65" spans="2:4">
      <c r="B65" s="1"/>
      <c r="C65" t="s">
        <v>51</v>
      </c>
    </row>
    <row r="66" spans="2:4">
      <c r="B66" s="1"/>
      <c r="C66" t="s">
        <v>52</v>
      </c>
    </row>
    <row r="67" spans="2:4">
      <c r="B67" s="1"/>
      <c r="C67" t="s">
        <v>53</v>
      </c>
    </row>
    <row r="68" spans="2:4">
      <c r="B68" s="1"/>
      <c r="C68" t="s">
        <v>102</v>
      </c>
    </row>
    <row r="69" spans="2:4">
      <c r="B69" s="1"/>
      <c r="C69" t="s">
        <v>65</v>
      </c>
    </row>
    <row r="70" spans="2:4">
      <c r="B70" s="1"/>
      <c r="C70" t="s">
        <v>56</v>
      </c>
    </row>
    <row r="71" spans="2:4">
      <c r="B71" s="1"/>
      <c r="C71" t="s">
        <v>101</v>
      </c>
    </row>
    <row r="72" spans="2:4">
      <c r="B72" s="1"/>
      <c r="C72" t="s">
        <v>54</v>
      </c>
    </row>
    <row r="73" spans="2:4">
      <c r="B73" s="1"/>
      <c r="C73" t="s">
        <v>55</v>
      </c>
    </row>
    <row r="74" spans="2:4">
      <c r="B74" s="1"/>
      <c r="C74" t="s">
        <v>57</v>
      </c>
    </row>
    <row r="75" spans="2:4">
      <c r="B75" s="1"/>
      <c r="C75" t="s">
        <v>58</v>
      </c>
    </row>
    <row r="76" spans="2:4">
      <c r="B76" s="1"/>
    </row>
    <row r="77" spans="2:4">
      <c r="B77" s="1"/>
    </row>
    <row r="78" spans="2:4">
      <c r="B78" s="1" t="s">
        <v>59</v>
      </c>
      <c r="C78" s="13" t="s">
        <v>83</v>
      </c>
      <c r="D78" t="s">
        <v>84</v>
      </c>
    </row>
    <row r="79" spans="2:4">
      <c r="C79" t="s">
        <v>60</v>
      </c>
    </row>
    <row r="80" spans="2:4">
      <c r="C80" t="s">
        <v>66</v>
      </c>
    </row>
    <row r="81" spans="3:3">
      <c r="C81" t="s">
        <v>67</v>
      </c>
    </row>
    <row r="82" spans="3:3">
      <c r="C82" t="s">
        <v>68</v>
      </c>
    </row>
    <row r="83" spans="3:3">
      <c r="C83" t="s">
        <v>69</v>
      </c>
    </row>
    <row r="84" spans="3:3">
      <c r="C84" t="s">
        <v>70</v>
      </c>
    </row>
    <row r="85" spans="3:3">
      <c r="C85" t="s">
        <v>71</v>
      </c>
    </row>
    <row r="86" spans="3:3">
      <c r="C86" t="s">
        <v>72</v>
      </c>
    </row>
    <row r="87" spans="3:3">
      <c r="C87" t="s">
        <v>73</v>
      </c>
    </row>
    <row r="88" spans="3:3">
      <c r="C88" t="s">
        <v>74</v>
      </c>
    </row>
    <row r="89" spans="3:3">
      <c r="C89" t="s">
        <v>75</v>
      </c>
    </row>
    <row r="90" spans="3:3">
      <c r="C90" t="s">
        <v>76</v>
      </c>
    </row>
    <row r="91" spans="3:3">
      <c r="C91" t="s">
        <v>77</v>
      </c>
    </row>
    <row r="92" spans="3:3">
      <c r="C92" s="14" t="s">
        <v>78</v>
      </c>
    </row>
    <row r="93" spans="3:3">
      <c r="C93" s="17" t="s">
        <v>99</v>
      </c>
    </row>
    <row r="94" spans="3:3">
      <c r="C94" s="13" t="s">
        <v>184</v>
      </c>
    </row>
    <row r="95" spans="3:3">
      <c r="C95" s="13"/>
    </row>
    <row r="96" spans="3:3">
      <c r="C96" s="13"/>
    </row>
    <row r="97" spans="2:4">
      <c r="B97" s="1" t="s">
        <v>13</v>
      </c>
      <c r="C97" s="1"/>
      <c r="D97" s="1"/>
    </row>
    <row r="98" spans="2:4">
      <c r="C98" s="1" t="s">
        <v>14</v>
      </c>
      <c r="D98" t="s">
        <v>15</v>
      </c>
    </row>
    <row r="99" spans="2:4">
      <c r="C99" s="1" t="s">
        <v>17</v>
      </c>
      <c r="D99" t="s">
        <v>18</v>
      </c>
    </row>
    <row r="100" spans="2:4">
      <c r="C100" s="1"/>
      <c r="D100" t="s">
        <v>21</v>
      </c>
    </row>
    <row r="101" spans="2:4">
      <c r="C101" s="1"/>
      <c r="D101" t="s">
        <v>25</v>
      </c>
    </row>
    <row r="102" spans="2:4">
      <c r="C102" s="1"/>
      <c r="D102" t="s">
        <v>26</v>
      </c>
    </row>
    <row r="103" spans="2:4">
      <c r="C103" s="1"/>
      <c r="D103" t="s">
        <v>27</v>
      </c>
    </row>
    <row r="104" spans="2:4">
      <c r="C104" s="1" t="s">
        <v>28</v>
      </c>
      <c r="D104" t="s">
        <v>29</v>
      </c>
    </row>
    <row r="105" spans="2:4">
      <c r="D105" t="s">
        <v>31</v>
      </c>
    </row>
    <row r="106" spans="2:4">
      <c r="D106" t="s">
        <v>34</v>
      </c>
    </row>
    <row r="107" spans="2:4">
      <c r="C107" s="1" t="s">
        <v>36</v>
      </c>
      <c r="D107" t="s">
        <v>37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F9:O102"/>
  <sheetViews>
    <sheetView topLeftCell="A13" workbookViewId="0">
      <selection activeCell="F25" sqref="F25"/>
    </sheetView>
  </sheetViews>
  <sheetFormatPr defaultRowHeight="13.5"/>
  <cols>
    <col min="6" max="6" width="37.375" customWidth="1"/>
  </cols>
  <sheetData>
    <row r="9" spans="6:7">
      <c r="F9" t="s">
        <v>104</v>
      </c>
    </row>
    <row r="10" spans="6:7">
      <c r="F10" t="s">
        <v>105</v>
      </c>
    </row>
    <row r="11" spans="6:7">
      <c r="G11" t="s">
        <v>164</v>
      </c>
    </row>
    <row r="12" spans="6:7">
      <c r="G12" t="s">
        <v>106</v>
      </c>
    </row>
    <row r="13" spans="6:7">
      <c r="G13" t="s">
        <v>107</v>
      </c>
    </row>
    <row r="14" spans="6:7">
      <c r="G14" t="s">
        <v>108</v>
      </c>
    </row>
    <row r="15" spans="6:7">
      <c r="G15" t="s">
        <v>109</v>
      </c>
    </row>
    <row r="16" spans="6:7">
      <c r="G16" t="s">
        <v>110</v>
      </c>
    </row>
    <row r="17" spans="6:14">
      <c r="G17" t="s">
        <v>111</v>
      </c>
    </row>
    <row r="18" spans="6:14">
      <c r="G18" t="s">
        <v>112</v>
      </c>
    </row>
    <row r="19" spans="6:14">
      <c r="G19" t="s">
        <v>113</v>
      </c>
    </row>
    <row r="20" spans="6:14">
      <c r="G20" t="s">
        <v>114</v>
      </c>
    </row>
    <row r="21" spans="6:14">
      <c r="G21" t="s">
        <v>115</v>
      </c>
    </row>
    <row r="22" spans="6:14">
      <c r="G22" t="s">
        <v>116</v>
      </c>
    </row>
    <row r="23" spans="6:14">
      <c r="G23" t="s">
        <v>117</v>
      </c>
    </row>
    <row r="24" spans="6:14">
      <c r="F24" t="s">
        <v>163</v>
      </c>
    </row>
    <row r="25" spans="6:14">
      <c r="G25" t="s">
        <v>118</v>
      </c>
    </row>
    <row r="26" spans="6:14">
      <c r="G26" t="s">
        <v>119</v>
      </c>
    </row>
    <row r="27" spans="6:14">
      <c r="G27" t="s">
        <v>120</v>
      </c>
    </row>
    <row r="28" spans="6:14">
      <c r="G28" t="s">
        <v>121</v>
      </c>
    </row>
    <row r="29" spans="6:14">
      <c r="G29" t="s">
        <v>122</v>
      </c>
    </row>
    <row r="30" spans="6:14">
      <c r="G30" s="14" t="s">
        <v>123</v>
      </c>
      <c r="H30" s="14"/>
      <c r="I30" s="14"/>
      <c r="J30" s="14"/>
      <c r="K30" s="14"/>
      <c r="L30" s="14"/>
      <c r="M30" s="14"/>
      <c r="N30" s="14"/>
    </row>
    <row r="31" spans="6:14">
      <c r="G31" t="s">
        <v>124</v>
      </c>
    </row>
    <row r="32" spans="6:14">
      <c r="G32" t="s">
        <v>125</v>
      </c>
    </row>
    <row r="33" spans="7:7">
      <c r="G33" t="s">
        <v>165</v>
      </c>
    </row>
    <row r="34" spans="7:7">
      <c r="G34" t="s">
        <v>126</v>
      </c>
    </row>
    <row r="35" spans="7:7">
      <c r="G35" t="s">
        <v>127</v>
      </c>
    </row>
    <row r="36" spans="7:7">
      <c r="G36" t="s">
        <v>128</v>
      </c>
    </row>
    <row r="37" spans="7:7">
      <c r="G37" t="s">
        <v>129</v>
      </c>
    </row>
    <row r="38" spans="7:7">
      <c r="G38" t="s">
        <v>130</v>
      </c>
    </row>
    <row r="39" spans="7:7">
      <c r="G39" t="s">
        <v>166</v>
      </c>
    </row>
    <row r="40" spans="7:7">
      <c r="G40" t="s">
        <v>131</v>
      </c>
    </row>
    <row r="41" spans="7:7">
      <c r="G41" t="s">
        <v>132</v>
      </c>
    </row>
    <row r="42" spans="7:7">
      <c r="G42" t="s">
        <v>133</v>
      </c>
    </row>
    <row r="43" spans="7:7">
      <c r="G43" t="s">
        <v>134</v>
      </c>
    </row>
    <row r="44" spans="7:7">
      <c r="G44" t="s">
        <v>135</v>
      </c>
    </row>
    <row r="45" spans="7:7">
      <c r="G45" t="s">
        <v>136</v>
      </c>
    </row>
    <row r="46" spans="7:7">
      <c r="G46" t="s">
        <v>167</v>
      </c>
    </row>
    <row r="47" spans="7:7">
      <c r="G47" t="s">
        <v>169</v>
      </c>
    </row>
    <row r="48" spans="7:7">
      <c r="G48" t="s">
        <v>168</v>
      </c>
    </row>
    <row r="49" spans="6:15">
      <c r="G49" s="14" t="s">
        <v>137</v>
      </c>
      <c r="H49" s="14"/>
      <c r="I49" s="14"/>
      <c r="J49" s="14"/>
      <c r="K49" s="14"/>
      <c r="L49" s="14"/>
      <c r="M49" s="14"/>
      <c r="N49" s="14"/>
      <c r="O49" s="14"/>
    </row>
    <row r="50" spans="6:15">
      <c r="G50" s="14" t="s">
        <v>138</v>
      </c>
      <c r="H50" s="14"/>
      <c r="I50" s="14"/>
      <c r="J50" s="14"/>
      <c r="K50" s="14"/>
      <c r="L50" s="14"/>
      <c r="M50" s="14"/>
      <c r="N50" s="14"/>
      <c r="O50" s="14"/>
    </row>
    <row r="51" spans="6:15">
      <c r="F51" t="s">
        <v>139</v>
      </c>
    </row>
    <row r="52" spans="6:15">
      <c r="F52" t="s">
        <v>170</v>
      </c>
    </row>
    <row r="53" spans="6:15">
      <c r="F53" t="s">
        <v>171</v>
      </c>
    </row>
    <row r="54" spans="6:15">
      <c r="F54" t="s">
        <v>172</v>
      </c>
    </row>
    <row r="55" spans="6:15">
      <c r="F55" t="s">
        <v>173</v>
      </c>
    </row>
    <row r="56" spans="6:15">
      <c r="G56" t="s">
        <v>140</v>
      </c>
    </row>
    <row r="57" spans="6:15">
      <c r="G57" t="s">
        <v>141</v>
      </c>
    </row>
    <row r="58" spans="6:15">
      <c r="G58" t="s">
        <v>142</v>
      </c>
    </row>
    <row r="59" spans="6:15">
      <c r="G59" t="s">
        <v>143</v>
      </c>
    </row>
    <row r="60" spans="6:15">
      <c r="G60" t="s">
        <v>144</v>
      </c>
    </row>
    <row r="61" spans="6:15">
      <c r="G61" t="s">
        <v>145</v>
      </c>
    </row>
    <row r="62" spans="6:15">
      <c r="G62" t="s">
        <v>146</v>
      </c>
    </row>
    <row r="63" spans="6:15">
      <c r="G63" t="s">
        <v>147</v>
      </c>
    </row>
    <row r="64" spans="6:15">
      <c r="G64" t="s">
        <v>148</v>
      </c>
    </row>
    <row r="65" spans="6:7">
      <c r="G65" t="s">
        <v>149</v>
      </c>
    </row>
    <row r="66" spans="6:7">
      <c r="G66" t="s">
        <v>150</v>
      </c>
    </row>
    <row r="67" spans="6:7">
      <c r="G67" t="s">
        <v>151</v>
      </c>
    </row>
    <row r="68" spans="6:7">
      <c r="G68" t="s">
        <v>152</v>
      </c>
    </row>
    <row r="69" spans="6:7">
      <c r="G69" t="s">
        <v>153</v>
      </c>
    </row>
    <row r="70" spans="6:7">
      <c r="G70" t="s">
        <v>154</v>
      </c>
    </row>
    <row r="71" spans="6:7">
      <c r="G71" t="s">
        <v>155</v>
      </c>
    </row>
    <row r="72" spans="6:7">
      <c r="G72" t="s">
        <v>156</v>
      </c>
    </row>
    <row r="73" spans="6:7">
      <c r="G73" t="s">
        <v>157</v>
      </c>
    </row>
    <row r="74" spans="6:7">
      <c r="F74" t="s">
        <v>158</v>
      </c>
      <c r="G74" t="s">
        <v>159</v>
      </c>
    </row>
    <row r="75" spans="6:7">
      <c r="F75" t="s">
        <v>160</v>
      </c>
    </row>
    <row r="76" spans="6:7">
      <c r="F76" t="s">
        <v>161</v>
      </c>
    </row>
    <row r="77" spans="6:7">
      <c r="F77" t="s">
        <v>162</v>
      </c>
    </row>
    <row r="78" spans="6:7">
      <c r="F78" t="s">
        <v>174</v>
      </c>
    </row>
    <row r="79" spans="6:7">
      <c r="F79" t="s">
        <v>175</v>
      </c>
    </row>
    <row r="80" spans="6:7">
      <c r="F80" t="s">
        <v>176</v>
      </c>
    </row>
    <row r="81" spans="6:8">
      <c r="F81" t="s">
        <v>177</v>
      </c>
    </row>
    <row r="88" spans="6:8">
      <c r="F88" s="1" t="s">
        <v>4</v>
      </c>
    </row>
    <row r="89" spans="6:8">
      <c r="F89" s="1"/>
      <c r="G89">
        <v>2</v>
      </c>
      <c r="H89" t="s">
        <v>178</v>
      </c>
    </row>
    <row r="90" spans="6:8">
      <c r="F90" s="1"/>
      <c r="G90">
        <v>3</v>
      </c>
      <c r="H90" t="s">
        <v>179</v>
      </c>
    </row>
    <row r="91" spans="6:8">
      <c r="F91" s="1"/>
      <c r="G91">
        <v>4</v>
      </c>
      <c r="H91" t="s">
        <v>180</v>
      </c>
    </row>
    <row r="92" spans="6:8">
      <c r="F92" s="1"/>
      <c r="G92">
        <v>5</v>
      </c>
      <c r="H92" t="s">
        <v>181</v>
      </c>
    </row>
    <row r="93" spans="6:8">
      <c r="F93" s="1"/>
      <c r="G93">
        <v>6</v>
      </c>
      <c r="H93" t="s">
        <v>182</v>
      </c>
    </row>
    <row r="94" spans="6:8">
      <c r="F94" s="1"/>
      <c r="G94">
        <v>7</v>
      </c>
      <c r="H94" t="s">
        <v>183</v>
      </c>
    </row>
    <row r="95" spans="6:8">
      <c r="F95" s="1"/>
      <c r="G95">
        <v>8</v>
      </c>
      <c r="H95" t="s">
        <v>85</v>
      </c>
    </row>
    <row r="96" spans="6:8">
      <c r="F96" s="1"/>
      <c r="G96">
        <v>9</v>
      </c>
      <c r="H96" t="s">
        <v>89</v>
      </c>
    </row>
    <row r="97" spans="6:8">
      <c r="F97" s="1"/>
      <c r="G97">
        <v>10</v>
      </c>
      <c r="H97" t="s">
        <v>86</v>
      </c>
    </row>
    <row r="98" spans="6:8">
      <c r="F98" s="1"/>
      <c r="G98">
        <v>11</v>
      </c>
      <c r="H98" t="s">
        <v>88</v>
      </c>
    </row>
    <row r="99" spans="6:8">
      <c r="F99" s="1"/>
      <c r="G99">
        <v>12</v>
      </c>
      <c r="H99" t="s">
        <v>87</v>
      </c>
    </row>
    <row r="100" spans="6:8">
      <c r="F100" s="1"/>
      <c r="G100">
        <v>13</v>
      </c>
      <c r="H100" t="s">
        <v>90</v>
      </c>
    </row>
    <row r="101" spans="6:8">
      <c r="F101" s="1"/>
      <c r="G101">
        <v>14</v>
      </c>
      <c r="H101" t="s">
        <v>91</v>
      </c>
    </row>
    <row r="102" spans="6:8">
      <c r="F102" s="1"/>
      <c r="G102">
        <v>15</v>
      </c>
      <c r="H102" t="s">
        <v>92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F5:K69"/>
  <sheetViews>
    <sheetView workbookViewId="0">
      <selection activeCell="I7" sqref="I7"/>
    </sheetView>
  </sheetViews>
  <sheetFormatPr defaultRowHeight="13.5"/>
  <cols>
    <col min="7" max="7" width="15.875" customWidth="1"/>
    <col min="8" max="8" width="41.5" customWidth="1"/>
    <col min="9" max="9" width="85.125" customWidth="1"/>
  </cols>
  <sheetData>
    <row r="5" spans="6:10">
      <c r="F5">
        <v>1</v>
      </c>
      <c r="G5" s="1" t="s">
        <v>194</v>
      </c>
      <c r="J5" t="s">
        <v>259</v>
      </c>
    </row>
    <row r="6" spans="6:10">
      <c r="J6" t="s">
        <v>232</v>
      </c>
    </row>
    <row r="7" spans="6:10">
      <c r="G7" t="s">
        <v>272</v>
      </c>
      <c r="H7" t="s">
        <v>193</v>
      </c>
      <c r="J7" t="s">
        <v>233</v>
      </c>
    </row>
    <row r="8" spans="6:10">
      <c r="H8" t="s">
        <v>224</v>
      </c>
      <c r="J8" t="s">
        <v>234</v>
      </c>
    </row>
    <row r="9" spans="6:10">
      <c r="H9" t="s">
        <v>225</v>
      </c>
      <c r="J9" t="s">
        <v>235</v>
      </c>
    </row>
    <row r="10" spans="6:10">
      <c r="H10" t="s">
        <v>226</v>
      </c>
      <c r="J10" t="s">
        <v>236</v>
      </c>
    </row>
    <row r="11" spans="6:10">
      <c r="H11" s="17" t="s">
        <v>262</v>
      </c>
      <c r="J11" t="s">
        <v>237</v>
      </c>
    </row>
    <row r="12" spans="6:10">
      <c r="G12" t="s">
        <v>271</v>
      </c>
      <c r="H12" t="s">
        <v>227</v>
      </c>
      <c r="J12" t="s">
        <v>238</v>
      </c>
    </row>
    <row r="13" spans="6:10">
      <c r="H13" t="s">
        <v>228</v>
      </c>
      <c r="J13" t="s">
        <v>239</v>
      </c>
    </row>
    <row r="14" spans="6:10">
      <c r="H14" t="s">
        <v>229</v>
      </c>
      <c r="J14" t="s">
        <v>240</v>
      </c>
    </row>
    <row r="15" spans="6:10">
      <c r="H15" t="s">
        <v>230</v>
      </c>
      <c r="J15" t="s">
        <v>241</v>
      </c>
    </row>
    <row r="16" spans="6:10">
      <c r="G16" t="s">
        <v>274</v>
      </c>
      <c r="H16" t="s">
        <v>195</v>
      </c>
      <c r="J16" t="s">
        <v>242</v>
      </c>
    </row>
    <row r="17" spans="7:10">
      <c r="H17" t="s">
        <v>275</v>
      </c>
      <c r="J17" t="s">
        <v>243</v>
      </c>
    </row>
    <row r="18" spans="7:10">
      <c r="H18" t="s">
        <v>276</v>
      </c>
      <c r="J18" t="s">
        <v>244</v>
      </c>
    </row>
    <row r="19" spans="7:10">
      <c r="H19" t="s">
        <v>260</v>
      </c>
      <c r="J19" t="s">
        <v>245</v>
      </c>
    </row>
    <row r="20" spans="7:10">
      <c r="H20" t="s">
        <v>261</v>
      </c>
      <c r="J20" t="s">
        <v>246</v>
      </c>
    </row>
    <row r="21" spans="7:10">
      <c r="H21" t="s">
        <v>264</v>
      </c>
      <c r="J21" t="s">
        <v>247</v>
      </c>
    </row>
    <row r="22" spans="7:10">
      <c r="H22" t="s">
        <v>263</v>
      </c>
      <c r="J22" t="s">
        <v>248</v>
      </c>
    </row>
    <row r="23" spans="7:10">
      <c r="J23" t="s">
        <v>249</v>
      </c>
    </row>
    <row r="24" spans="7:10">
      <c r="G24" s="1" t="s">
        <v>265</v>
      </c>
      <c r="J24" t="s">
        <v>250</v>
      </c>
    </row>
    <row r="25" spans="7:10">
      <c r="G25" s="37"/>
      <c r="H25" s="37" t="s">
        <v>268</v>
      </c>
      <c r="J25" t="s">
        <v>251</v>
      </c>
    </row>
    <row r="26" spans="7:10">
      <c r="G26" s="37"/>
      <c r="H26" s="37" t="s">
        <v>269</v>
      </c>
      <c r="J26" t="s">
        <v>252</v>
      </c>
    </row>
    <row r="27" spans="7:10">
      <c r="G27" s="37"/>
      <c r="H27" s="37" t="s">
        <v>270</v>
      </c>
      <c r="J27" t="s">
        <v>253</v>
      </c>
    </row>
    <row r="28" spans="7:10">
      <c r="G28" s="37"/>
      <c r="H28" s="37" t="s">
        <v>277</v>
      </c>
      <c r="J28" t="s">
        <v>254</v>
      </c>
    </row>
    <row r="29" spans="7:10">
      <c r="H29" s="37" t="s">
        <v>273</v>
      </c>
      <c r="J29" t="s">
        <v>255</v>
      </c>
    </row>
    <row r="30" spans="7:10">
      <c r="J30" t="s">
        <v>256</v>
      </c>
    </row>
    <row r="31" spans="7:10">
      <c r="J31" t="s">
        <v>257</v>
      </c>
    </row>
    <row r="32" spans="7:10">
      <c r="J32" t="s">
        <v>258</v>
      </c>
    </row>
    <row r="33" spans="6:8">
      <c r="F33">
        <v>2</v>
      </c>
      <c r="G33" s="1" t="s">
        <v>219</v>
      </c>
    </row>
    <row r="34" spans="6:8">
      <c r="G34">
        <v>1</v>
      </c>
      <c r="H34" s="35" t="s">
        <v>93</v>
      </c>
    </row>
    <row r="35" spans="6:8">
      <c r="G35">
        <v>2</v>
      </c>
      <c r="H35" s="35" t="s">
        <v>223</v>
      </c>
    </row>
    <row r="36" spans="6:8">
      <c r="G36">
        <v>3</v>
      </c>
      <c r="H36" s="35" t="s">
        <v>94</v>
      </c>
    </row>
    <row r="37" spans="6:8">
      <c r="G37">
        <v>4</v>
      </c>
    </row>
    <row r="38" spans="6:8">
      <c r="G38">
        <v>5</v>
      </c>
    </row>
    <row r="40" spans="6:8">
      <c r="G40" t="s">
        <v>189</v>
      </c>
      <c r="H40" t="s">
        <v>190</v>
      </c>
    </row>
    <row r="41" spans="6:8">
      <c r="G41" t="s">
        <v>185</v>
      </c>
      <c r="H41" t="s">
        <v>186</v>
      </c>
    </row>
    <row r="42" spans="6:8">
      <c r="G42" t="s">
        <v>187</v>
      </c>
      <c r="H42" t="s">
        <v>186</v>
      </c>
    </row>
    <row r="43" spans="6:8">
      <c r="G43" t="s">
        <v>188</v>
      </c>
      <c r="H43" t="s">
        <v>186</v>
      </c>
    </row>
    <row r="45" spans="6:8">
      <c r="G45" s="1" t="s">
        <v>191</v>
      </c>
      <c r="H45" t="s">
        <v>192</v>
      </c>
    </row>
    <row r="48" spans="6:8">
      <c r="F48">
        <v>3</v>
      </c>
      <c r="G48" t="s">
        <v>220</v>
      </c>
    </row>
    <row r="49" spans="6:11">
      <c r="G49" t="s">
        <v>221</v>
      </c>
    </row>
    <row r="50" spans="6:11">
      <c r="G50" t="s">
        <v>222</v>
      </c>
    </row>
    <row r="52" spans="6:11">
      <c r="F52">
        <v>4</v>
      </c>
      <c r="G52" t="s">
        <v>266</v>
      </c>
    </row>
    <row r="53" spans="6:11">
      <c r="G53" t="s">
        <v>267</v>
      </c>
    </row>
    <row r="56" spans="6:11">
      <c r="F56">
        <v>5</v>
      </c>
      <c r="G56" s="18" t="s">
        <v>218</v>
      </c>
      <c r="H56" s="19"/>
      <c r="I56" s="19"/>
      <c r="J56" s="19"/>
      <c r="K56" s="19"/>
    </row>
    <row r="57" spans="6:11">
      <c r="G57" s="36" t="s">
        <v>231</v>
      </c>
      <c r="H57" s="19"/>
      <c r="I57" s="19"/>
      <c r="J57" s="19"/>
      <c r="K57" s="19"/>
    </row>
    <row r="58" spans="6:11">
      <c r="G58" s="20">
        <v>509017</v>
      </c>
      <c r="H58" s="21" t="s">
        <v>197</v>
      </c>
      <c r="I58" s="22" t="s">
        <v>198</v>
      </c>
      <c r="J58" s="19"/>
      <c r="K58" s="19"/>
    </row>
    <row r="59" spans="6:11">
      <c r="G59" s="20">
        <v>509029</v>
      </c>
      <c r="H59" s="20" t="s">
        <v>199</v>
      </c>
      <c r="I59" s="22" t="s">
        <v>200</v>
      </c>
      <c r="J59" s="23">
        <v>509084</v>
      </c>
      <c r="K59" s="24" t="s">
        <v>201</v>
      </c>
    </row>
    <row r="60" spans="6:11">
      <c r="G60" s="20">
        <v>509066</v>
      </c>
      <c r="H60" s="20" t="s">
        <v>202</v>
      </c>
      <c r="I60" s="22" t="s">
        <v>203</v>
      </c>
      <c r="J60" s="23">
        <v>509084</v>
      </c>
      <c r="K60" s="24" t="s">
        <v>201</v>
      </c>
    </row>
    <row r="61" spans="6:11" ht="14.25">
      <c r="G61" s="20">
        <v>509031</v>
      </c>
      <c r="H61" s="21" t="s">
        <v>204</v>
      </c>
      <c r="I61" s="22" t="s">
        <v>205</v>
      </c>
      <c r="J61" s="25">
        <v>207017</v>
      </c>
      <c r="K61" s="26" t="s">
        <v>206</v>
      </c>
    </row>
    <row r="62" spans="6:11" ht="14.25">
      <c r="G62" s="20">
        <v>509068</v>
      </c>
      <c r="H62" s="20" t="s">
        <v>207</v>
      </c>
      <c r="I62" s="22" t="s">
        <v>208</v>
      </c>
      <c r="J62" s="25">
        <v>207018</v>
      </c>
      <c r="K62" s="26" t="s">
        <v>209</v>
      </c>
    </row>
    <row r="63" spans="6:11">
      <c r="G63" s="19"/>
      <c r="H63" s="19"/>
      <c r="I63" s="19"/>
      <c r="J63" s="19"/>
      <c r="K63" s="19"/>
    </row>
    <row r="64" spans="6:11">
      <c r="G64" s="19"/>
      <c r="H64" s="27" t="s">
        <v>210</v>
      </c>
      <c r="I64" s="28" t="s">
        <v>211</v>
      </c>
      <c r="J64" s="19"/>
      <c r="K64" s="19"/>
    </row>
    <row r="65" spans="7:11">
      <c r="G65" s="19"/>
      <c r="H65" s="29">
        <v>130000</v>
      </c>
      <c r="I65" s="30" t="s">
        <v>212</v>
      </c>
      <c r="J65" s="19"/>
      <c r="K65" s="19"/>
    </row>
    <row r="66" spans="7:11">
      <c r="G66" s="19"/>
      <c r="H66" s="31" t="s">
        <v>213</v>
      </c>
      <c r="I66" s="32" t="s">
        <v>214</v>
      </c>
      <c r="J66" s="19"/>
      <c r="K66" s="19"/>
    </row>
    <row r="67" spans="7:11">
      <c r="G67" s="19"/>
      <c r="H67" s="33">
        <v>130001</v>
      </c>
      <c r="I67" s="34" t="s">
        <v>215</v>
      </c>
      <c r="J67" s="19"/>
      <c r="K67" s="19"/>
    </row>
    <row r="68" spans="7:11">
      <c r="G68" s="19"/>
      <c r="H68" s="33">
        <v>130002</v>
      </c>
      <c r="I68" s="34" t="s">
        <v>216</v>
      </c>
      <c r="J68" s="19"/>
      <c r="K68" s="19"/>
    </row>
    <row r="69" spans="7:11">
      <c r="G69" s="19"/>
      <c r="H69" s="33">
        <v>130003</v>
      </c>
      <c r="I69" s="34" t="s">
        <v>217</v>
      </c>
      <c r="J69" s="19"/>
      <c r="K69" s="19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3:L132"/>
  <sheetViews>
    <sheetView topLeftCell="B106" workbookViewId="0">
      <selection activeCell="F87" sqref="D77:F87"/>
    </sheetView>
  </sheetViews>
  <sheetFormatPr defaultRowHeight="13.5"/>
  <cols>
    <col min="1" max="4" width="9" style="41"/>
    <col min="5" max="5" width="22.625" style="41" customWidth="1"/>
    <col min="6" max="6" width="72.875" style="41" customWidth="1"/>
    <col min="7" max="7" width="28" style="41" customWidth="1"/>
    <col min="8" max="8" width="37.375" style="41" customWidth="1"/>
    <col min="9" max="9" width="20.625" style="41" customWidth="1"/>
    <col min="10" max="10" width="28.375" style="41" customWidth="1"/>
    <col min="11" max="12" width="18.5" style="41" bestFit="1" customWidth="1"/>
    <col min="13" max="13" width="16.875" style="41" bestFit="1" customWidth="1"/>
    <col min="14" max="14" width="17.375" style="41" customWidth="1"/>
    <col min="15" max="15" width="17.25" style="41" bestFit="1" customWidth="1"/>
    <col min="16" max="16" width="16.875" style="41" bestFit="1" customWidth="1"/>
    <col min="17" max="16384" width="9" style="41"/>
  </cols>
  <sheetData>
    <row r="3" spans="5:12">
      <c r="F3" s="46" t="s">
        <v>454</v>
      </c>
    </row>
    <row r="7" spans="5:12">
      <c r="F7" s="53" t="s">
        <v>314</v>
      </c>
      <c r="G7" s="54"/>
      <c r="H7" s="55" t="s">
        <v>315</v>
      </c>
      <c r="I7" s="54"/>
      <c r="J7" s="56"/>
      <c r="K7" s="56"/>
      <c r="L7" s="56"/>
    </row>
    <row r="8" spans="5:12">
      <c r="E8" s="46" t="s">
        <v>297</v>
      </c>
      <c r="F8" s="57"/>
      <c r="G8" s="58" t="s">
        <v>312</v>
      </c>
      <c r="H8" s="59"/>
      <c r="I8" s="58" t="s">
        <v>312</v>
      </c>
      <c r="J8" s="56"/>
      <c r="K8" s="56"/>
      <c r="L8" s="56"/>
    </row>
    <row r="9" spans="5:12">
      <c r="F9" s="57"/>
      <c r="G9" s="58"/>
      <c r="H9" s="59"/>
      <c r="I9" s="58"/>
      <c r="J9" s="56"/>
      <c r="K9" s="56"/>
      <c r="L9" s="56"/>
    </row>
    <row r="10" spans="5:12">
      <c r="F10" s="57"/>
      <c r="G10" s="58"/>
      <c r="H10" s="59"/>
      <c r="I10" s="58"/>
      <c r="J10" s="56"/>
      <c r="K10" s="56"/>
      <c r="L10" s="56"/>
    </row>
    <row r="11" spans="5:12">
      <c r="F11" s="57"/>
      <c r="G11" s="58"/>
      <c r="H11" s="59"/>
      <c r="I11" s="58"/>
      <c r="J11" s="56"/>
      <c r="K11" s="56"/>
      <c r="L11" s="56"/>
    </row>
    <row r="12" spans="5:12">
      <c r="E12" s="46" t="s">
        <v>298</v>
      </c>
      <c r="F12" s="57" t="s">
        <v>375</v>
      </c>
      <c r="G12" s="58" t="s">
        <v>299</v>
      </c>
      <c r="H12" s="59" t="s">
        <v>375</v>
      </c>
      <c r="I12" s="58" t="s">
        <v>299</v>
      </c>
      <c r="J12" s="56"/>
      <c r="K12" s="56"/>
      <c r="L12" s="56"/>
    </row>
    <row r="13" spans="5:12">
      <c r="F13" s="57" t="s">
        <v>495</v>
      </c>
      <c r="G13" s="58" t="s">
        <v>301</v>
      </c>
      <c r="H13" s="59" t="s">
        <v>376</v>
      </c>
      <c r="I13" s="58" t="s">
        <v>301</v>
      </c>
      <c r="J13" s="56"/>
      <c r="K13" s="56"/>
      <c r="L13" s="56"/>
    </row>
    <row r="14" spans="5:12">
      <c r="F14" s="70" t="s">
        <v>397</v>
      </c>
      <c r="G14" s="71" t="s">
        <v>396</v>
      </c>
      <c r="H14" s="72" t="s">
        <v>462</v>
      </c>
      <c r="I14" s="71" t="s">
        <v>309</v>
      </c>
      <c r="J14" s="56"/>
      <c r="K14" s="56"/>
      <c r="L14" s="56"/>
    </row>
    <row r="15" spans="5:12">
      <c r="F15" s="70" t="s">
        <v>398</v>
      </c>
      <c r="G15" s="71" t="s">
        <v>494</v>
      </c>
      <c r="H15" s="93" t="s">
        <v>460</v>
      </c>
      <c r="I15" s="93" t="s">
        <v>464</v>
      </c>
      <c r="J15" s="56"/>
      <c r="K15" s="56"/>
      <c r="L15" s="56"/>
    </row>
    <row r="16" spans="5:12">
      <c r="F16" s="57"/>
      <c r="G16" s="58" t="s">
        <v>313</v>
      </c>
      <c r="H16" s="72" t="s">
        <v>349</v>
      </c>
      <c r="I16" s="71" t="s">
        <v>308</v>
      </c>
      <c r="J16" s="56"/>
      <c r="K16" s="56"/>
      <c r="L16" s="56"/>
    </row>
    <row r="17" spans="5:12">
      <c r="F17" s="57"/>
      <c r="G17" s="58"/>
      <c r="H17" s="59"/>
      <c r="I17" s="58" t="s">
        <v>313</v>
      </c>
      <c r="J17" s="56"/>
      <c r="K17" s="56"/>
      <c r="L17" s="56"/>
    </row>
    <row r="18" spans="5:12">
      <c r="F18" s="57"/>
      <c r="G18" s="58"/>
      <c r="H18" s="59"/>
      <c r="I18" s="58"/>
      <c r="J18" s="56"/>
      <c r="K18" s="56"/>
      <c r="L18" s="56"/>
    </row>
    <row r="19" spans="5:12">
      <c r="F19" s="57"/>
      <c r="G19" s="58"/>
      <c r="H19" s="59"/>
      <c r="I19" s="58"/>
      <c r="J19" s="56"/>
      <c r="K19" s="56"/>
      <c r="L19" s="56"/>
    </row>
    <row r="20" spans="5:12">
      <c r="F20" s="57"/>
      <c r="G20" s="58"/>
      <c r="H20" s="59"/>
      <c r="I20" s="58"/>
      <c r="J20" s="56"/>
      <c r="K20" s="56"/>
      <c r="L20" s="56"/>
    </row>
    <row r="21" spans="5:12">
      <c r="E21" s="46" t="s">
        <v>306</v>
      </c>
      <c r="F21" s="57" t="s">
        <v>305</v>
      </c>
      <c r="G21" s="58"/>
      <c r="H21" s="59" t="s">
        <v>304</v>
      </c>
      <c r="I21" s="58"/>
      <c r="J21" s="56"/>
      <c r="K21" s="56"/>
      <c r="L21" s="56"/>
    </row>
    <row r="22" spans="5:12">
      <c r="F22" s="57"/>
      <c r="G22" s="58"/>
      <c r="H22" s="59"/>
      <c r="I22" s="58"/>
      <c r="J22" s="56"/>
      <c r="K22" s="56"/>
      <c r="L22" s="56"/>
    </row>
    <row r="23" spans="5:12">
      <c r="F23" s="57"/>
      <c r="G23" s="58"/>
      <c r="H23" s="59"/>
      <c r="I23" s="58"/>
      <c r="J23" s="56"/>
      <c r="K23" s="56"/>
      <c r="L23" s="56"/>
    </row>
    <row r="24" spans="5:12">
      <c r="E24" s="46" t="s">
        <v>307</v>
      </c>
      <c r="F24" s="57" t="s">
        <v>305</v>
      </c>
      <c r="G24" s="58"/>
      <c r="H24" s="59" t="s">
        <v>305</v>
      </c>
      <c r="I24" s="58"/>
      <c r="J24" s="56"/>
      <c r="K24" s="56"/>
      <c r="L24" s="56"/>
    </row>
    <row r="25" spans="5:12">
      <c r="F25" s="60"/>
      <c r="G25" s="61"/>
      <c r="H25" s="62"/>
      <c r="I25" s="61"/>
      <c r="J25" s="56"/>
      <c r="K25" s="56"/>
      <c r="L25" s="56"/>
    </row>
    <row r="26" spans="5:12">
      <c r="F26" s="56"/>
      <c r="G26" s="56"/>
      <c r="H26" s="56"/>
      <c r="I26" s="56"/>
      <c r="J26" s="56"/>
      <c r="K26" s="56"/>
      <c r="L26" s="56"/>
    </row>
    <row r="27" spans="5:12">
      <c r="F27" s="56"/>
      <c r="G27" s="56"/>
      <c r="H27" s="56"/>
      <c r="I27" s="56"/>
      <c r="J27" s="56"/>
      <c r="K27" s="56"/>
      <c r="L27" s="56"/>
    </row>
    <row r="28" spans="5:12">
      <c r="F28" s="56"/>
      <c r="G28" s="56"/>
      <c r="H28" s="56"/>
      <c r="I28" s="56"/>
      <c r="J28" s="56"/>
      <c r="K28" s="56"/>
      <c r="L28" s="56"/>
    </row>
    <row r="29" spans="5:12">
      <c r="F29" s="56"/>
      <c r="G29" s="56"/>
      <c r="H29" s="56"/>
      <c r="I29" s="56"/>
      <c r="J29" s="56"/>
      <c r="K29" s="56"/>
      <c r="L29" s="56"/>
    </row>
    <row r="30" spans="5:12">
      <c r="F30" s="56"/>
      <c r="G30" s="56"/>
      <c r="H30" s="56"/>
      <c r="I30" s="56"/>
      <c r="J30" s="56"/>
      <c r="K30" s="56"/>
      <c r="L30" s="56"/>
    </row>
    <row r="31" spans="5:12">
      <c r="F31" s="56"/>
      <c r="G31" s="56"/>
      <c r="H31" s="56"/>
      <c r="I31" s="56"/>
      <c r="J31" s="56"/>
      <c r="K31" s="56"/>
      <c r="L31" s="56"/>
    </row>
    <row r="32" spans="5:12">
      <c r="F32" s="63" t="s">
        <v>319</v>
      </c>
      <c r="G32" s="54"/>
      <c r="H32" s="55" t="s">
        <v>415</v>
      </c>
      <c r="I32" s="54"/>
      <c r="J32" s="55" t="s">
        <v>416</v>
      </c>
      <c r="K32" s="54"/>
      <c r="L32" s="56"/>
    </row>
    <row r="33" spans="1:12">
      <c r="E33" s="46" t="s">
        <v>297</v>
      </c>
      <c r="F33" s="57"/>
      <c r="G33" s="58" t="s">
        <v>322</v>
      </c>
      <c r="H33" s="59"/>
      <c r="I33" s="58" t="s">
        <v>322</v>
      </c>
      <c r="J33" s="59"/>
      <c r="K33" s="58" t="s">
        <v>322</v>
      </c>
      <c r="L33" s="56"/>
    </row>
    <row r="34" spans="1:12">
      <c r="F34" s="57"/>
      <c r="G34" s="58"/>
      <c r="H34" s="59"/>
      <c r="I34" s="58"/>
      <c r="J34" s="59"/>
      <c r="K34" s="58"/>
      <c r="L34" s="56"/>
    </row>
    <row r="35" spans="1:12">
      <c r="B35" s="41" t="s">
        <v>291</v>
      </c>
      <c r="F35" s="57"/>
      <c r="G35" s="58"/>
      <c r="H35" s="59"/>
      <c r="I35" s="58"/>
      <c r="J35" s="59"/>
      <c r="K35" s="58"/>
      <c r="L35" s="56"/>
    </row>
    <row r="36" spans="1:12">
      <c r="A36" s="92">
        <v>1</v>
      </c>
      <c r="B36" s="33">
        <v>110001</v>
      </c>
      <c r="C36" s="38" t="s">
        <v>278</v>
      </c>
      <c r="F36" s="57"/>
      <c r="G36" s="58"/>
      <c r="H36" s="59"/>
      <c r="I36" s="58"/>
      <c r="J36" s="59"/>
      <c r="K36" s="58"/>
      <c r="L36" s="56"/>
    </row>
    <row r="37" spans="1:12">
      <c r="A37" s="52">
        <v>2</v>
      </c>
      <c r="B37" s="33">
        <v>110002</v>
      </c>
      <c r="C37" s="38" t="s">
        <v>279</v>
      </c>
      <c r="E37" s="46" t="s">
        <v>298</v>
      </c>
      <c r="F37" s="57" t="s">
        <v>375</v>
      </c>
      <c r="G37" s="58" t="s">
        <v>300</v>
      </c>
      <c r="H37" s="59" t="s">
        <v>375</v>
      </c>
      <c r="I37" s="58" t="s">
        <v>300</v>
      </c>
      <c r="J37" s="59" t="s">
        <v>375</v>
      </c>
      <c r="K37" s="58" t="s">
        <v>300</v>
      </c>
      <c r="L37" s="56"/>
    </row>
    <row r="38" spans="1:12">
      <c r="A38" s="52">
        <v>3</v>
      </c>
      <c r="B38" s="33">
        <v>110003</v>
      </c>
      <c r="C38" s="38" t="s">
        <v>280</v>
      </c>
      <c r="F38" s="57" t="s">
        <v>376</v>
      </c>
      <c r="G38" s="58" t="s">
        <v>301</v>
      </c>
      <c r="H38" s="59" t="s">
        <v>376</v>
      </c>
      <c r="I38" s="58" t="s">
        <v>301</v>
      </c>
      <c r="J38" s="59" t="s">
        <v>376</v>
      </c>
      <c r="K38" s="58" t="s">
        <v>301</v>
      </c>
      <c r="L38" s="56"/>
    </row>
    <row r="39" spans="1:12">
      <c r="A39" s="52">
        <v>4</v>
      </c>
      <c r="B39" s="33">
        <v>110004</v>
      </c>
      <c r="C39" s="38" t="s">
        <v>281</v>
      </c>
      <c r="F39" s="70" t="s">
        <v>394</v>
      </c>
      <c r="G39" s="71" t="s">
        <v>373</v>
      </c>
      <c r="H39" s="70" t="s">
        <v>394</v>
      </c>
      <c r="I39" s="71" t="s">
        <v>374</v>
      </c>
      <c r="J39" s="70" t="s">
        <v>390</v>
      </c>
      <c r="K39" s="71" t="s">
        <v>321</v>
      </c>
      <c r="L39" s="56"/>
    </row>
    <row r="40" spans="1:12">
      <c r="B40" s="41" t="s">
        <v>292</v>
      </c>
      <c r="F40" s="57"/>
      <c r="G40" s="58" t="s">
        <v>321</v>
      </c>
      <c r="H40" s="57"/>
      <c r="I40" s="58" t="s">
        <v>321</v>
      </c>
      <c r="J40" s="70" t="s">
        <v>392</v>
      </c>
      <c r="K40" s="71" t="s">
        <v>372</v>
      </c>
      <c r="L40" s="56"/>
    </row>
    <row r="41" spans="1:12">
      <c r="A41" s="92">
        <v>1</v>
      </c>
      <c r="B41" s="39">
        <v>120001</v>
      </c>
      <c r="C41" s="40" t="s">
        <v>282</v>
      </c>
      <c r="F41" s="57"/>
      <c r="G41" s="58"/>
      <c r="H41" s="57"/>
      <c r="I41" s="58"/>
      <c r="J41" s="70" t="s">
        <v>394</v>
      </c>
      <c r="K41" s="71" t="s">
        <v>323</v>
      </c>
      <c r="L41" s="56"/>
    </row>
    <row r="42" spans="1:12">
      <c r="A42" s="52">
        <v>2</v>
      </c>
      <c r="B42" s="39">
        <v>120002</v>
      </c>
      <c r="C42" s="40" t="s">
        <v>283</v>
      </c>
      <c r="F42" s="57"/>
      <c r="G42" s="58"/>
      <c r="H42" s="59"/>
      <c r="I42" s="58"/>
      <c r="J42" s="57"/>
      <c r="K42" s="58" t="s">
        <v>321</v>
      </c>
      <c r="L42" s="56"/>
    </row>
    <row r="43" spans="1:12">
      <c r="A43" s="52">
        <v>3</v>
      </c>
      <c r="B43" s="39">
        <v>120003</v>
      </c>
      <c r="C43" s="40" t="s">
        <v>284</v>
      </c>
      <c r="F43" s="57"/>
      <c r="G43" s="58"/>
      <c r="H43" s="59"/>
      <c r="I43" s="58"/>
      <c r="J43" s="59"/>
      <c r="K43" s="58"/>
      <c r="L43" s="56"/>
    </row>
    <row r="44" spans="1:12">
      <c r="A44" s="52">
        <v>4</v>
      </c>
      <c r="B44" s="39">
        <v>120004</v>
      </c>
      <c r="C44" s="40" t="s">
        <v>285</v>
      </c>
      <c r="F44" s="57"/>
      <c r="G44" s="58"/>
      <c r="H44" s="59"/>
      <c r="I44" s="58"/>
      <c r="J44" s="59"/>
      <c r="K44" s="58"/>
      <c r="L44" s="56"/>
    </row>
    <row r="45" spans="1:12">
      <c r="B45" s="41" t="s">
        <v>293</v>
      </c>
      <c r="F45" s="57"/>
      <c r="G45" s="58"/>
      <c r="H45" s="59"/>
      <c r="I45" s="58"/>
      <c r="J45" s="59"/>
      <c r="K45" s="58"/>
      <c r="L45" s="56"/>
    </row>
    <row r="46" spans="1:12">
      <c r="A46" s="92">
        <v>1</v>
      </c>
      <c r="B46" s="33">
        <v>130001</v>
      </c>
      <c r="C46" s="34" t="s">
        <v>286</v>
      </c>
      <c r="E46" s="46" t="s">
        <v>306</v>
      </c>
      <c r="F46" s="57" t="s">
        <v>305</v>
      </c>
      <c r="G46" s="58"/>
      <c r="H46" s="59" t="s">
        <v>304</v>
      </c>
      <c r="I46" s="58"/>
      <c r="J46" s="59" t="s">
        <v>304</v>
      </c>
      <c r="K46" s="58"/>
      <c r="L46" s="56"/>
    </row>
    <row r="47" spans="1:12">
      <c r="A47" s="52">
        <v>2</v>
      </c>
      <c r="B47" s="33">
        <v>130002</v>
      </c>
      <c r="C47" s="34" t="s">
        <v>287</v>
      </c>
      <c r="F47" s="57"/>
      <c r="G47" s="58"/>
      <c r="H47" s="59"/>
      <c r="I47" s="58"/>
      <c r="J47" s="59"/>
      <c r="K47" s="58"/>
      <c r="L47" s="56"/>
    </row>
    <row r="48" spans="1:12">
      <c r="A48" s="52">
        <v>3</v>
      </c>
      <c r="B48" s="33">
        <v>130003</v>
      </c>
      <c r="C48" s="34" t="s">
        <v>288</v>
      </c>
      <c r="F48" s="57"/>
      <c r="G48" s="58"/>
      <c r="H48" s="59"/>
      <c r="I48" s="58"/>
      <c r="J48" s="59"/>
      <c r="K48" s="58"/>
      <c r="L48" s="56"/>
    </row>
    <row r="49" spans="1:12">
      <c r="A49" s="52">
        <v>4</v>
      </c>
      <c r="B49" s="33">
        <v>130004</v>
      </c>
      <c r="C49" s="34" t="s">
        <v>289</v>
      </c>
      <c r="E49" s="46" t="s">
        <v>307</v>
      </c>
      <c r="F49" s="57" t="s">
        <v>305</v>
      </c>
      <c r="G49" s="58"/>
      <c r="H49" s="59" t="s">
        <v>305</v>
      </c>
      <c r="I49" s="58"/>
      <c r="J49" s="59" t="s">
        <v>305</v>
      </c>
      <c r="K49" s="58"/>
      <c r="L49" s="56"/>
    </row>
    <row r="50" spans="1:12">
      <c r="B50" s="41" t="s">
        <v>294</v>
      </c>
      <c r="F50" s="60"/>
      <c r="G50" s="61"/>
      <c r="H50" s="62"/>
      <c r="I50" s="61"/>
      <c r="J50" s="62"/>
      <c r="K50" s="61"/>
      <c r="L50" s="56"/>
    </row>
    <row r="51" spans="1:12">
      <c r="A51" s="92">
        <v>1</v>
      </c>
      <c r="B51" s="43">
        <v>140001</v>
      </c>
      <c r="C51" s="44" t="s">
        <v>325</v>
      </c>
      <c r="F51" s="59"/>
      <c r="G51" s="59"/>
      <c r="H51" s="59"/>
      <c r="I51" s="59"/>
      <c r="J51" s="59"/>
      <c r="K51" s="59"/>
      <c r="L51" s="56"/>
    </row>
    <row r="52" spans="1:12">
      <c r="A52" s="52">
        <v>2</v>
      </c>
      <c r="B52" s="43">
        <v>140002</v>
      </c>
      <c r="C52" s="44" t="s">
        <v>329</v>
      </c>
      <c r="F52" s="63" t="s">
        <v>316</v>
      </c>
      <c r="G52" s="54"/>
      <c r="H52" s="63" t="s">
        <v>317</v>
      </c>
      <c r="I52" s="54"/>
      <c r="J52" s="63" t="s">
        <v>318</v>
      </c>
      <c r="K52" s="54"/>
      <c r="L52" s="56"/>
    </row>
    <row r="53" spans="1:12">
      <c r="A53" s="52">
        <v>3</v>
      </c>
      <c r="B53" s="43">
        <v>140003</v>
      </c>
      <c r="C53" s="44" t="s">
        <v>324</v>
      </c>
      <c r="E53" s="46" t="s">
        <v>297</v>
      </c>
      <c r="F53" s="57" t="s">
        <v>311</v>
      </c>
      <c r="G53" s="58"/>
      <c r="H53" s="57" t="s">
        <v>310</v>
      </c>
      <c r="I53" s="58"/>
      <c r="J53" s="57" t="s">
        <v>310</v>
      </c>
      <c r="K53" s="58"/>
      <c r="L53" s="56"/>
    </row>
    <row r="54" spans="1:12">
      <c r="A54" s="52">
        <v>4</v>
      </c>
      <c r="B54" s="43">
        <v>140004</v>
      </c>
      <c r="C54" s="44" t="s">
        <v>331</v>
      </c>
      <c r="F54" s="57"/>
      <c r="G54" s="58"/>
      <c r="H54" s="57"/>
      <c r="I54" s="58"/>
      <c r="J54" s="57"/>
      <c r="K54" s="58"/>
      <c r="L54" s="56"/>
    </row>
    <row r="55" spans="1:12">
      <c r="B55" s="41" t="s">
        <v>295</v>
      </c>
      <c r="F55" s="57"/>
      <c r="G55" s="58"/>
      <c r="H55" s="57"/>
      <c r="I55" s="58"/>
      <c r="J55" s="57"/>
      <c r="K55" s="58"/>
      <c r="L55" s="56"/>
    </row>
    <row r="56" spans="1:12">
      <c r="A56" s="92">
        <v>1</v>
      </c>
      <c r="B56" s="42">
        <v>150001</v>
      </c>
      <c r="C56" s="45" t="s">
        <v>337</v>
      </c>
      <c r="F56" s="57"/>
      <c r="G56" s="58"/>
      <c r="H56" s="57"/>
      <c r="I56" s="58"/>
      <c r="J56" s="57"/>
      <c r="K56" s="58"/>
      <c r="L56" s="56"/>
    </row>
    <row r="57" spans="1:12">
      <c r="A57" s="52">
        <v>2</v>
      </c>
      <c r="B57" s="42">
        <v>150002</v>
      </c>
      <c r="C57" s="45" t="s">
        <v>339</v>
      </c>
      <c r="E57" s="46" t="s">
        <v>298</v>
      </c>
      <c r="F57" s="57" t="s">
        <v>375</v>
      </c>
      <c r="G57" s="58" t="s">
        <v>299</v>
      </c>
      <c r="H57" s="57" t="s">
        <v>375</v>
      </c>
      <c r="I57" s="58" t="s">
        <v>299</v>
      </c>
      <c r="J57" s="57" t="s">
        <v>375</v>
      </c>
      <c r="K57" s="58" t="s">
        <v>299</v>
      </c>
      <c r="L57" s="56"/>
    </row>
    <row r="58" spans="1:12">
      <c r="A58" s="52">
        <v>3</v>
      </c>
      <c r="B58" s="42">
        <v>150003</v>
      </c>
      <c r="C58" s="45" t="s">
        <v>290</v>
      </c>
      <c r="F58" s="57" t="s">
        <v>376</v>
      </c>
      <c r="G58" s="58" t="s">
        <v>301</v>
      </c>
      <c r="H58" s="57" t="s">
        <v>376</v>
      </c>
      <c r="I58" s="58" t="s">
        <v>301</v>
      </c>
      <c r="J58" s="57" t="s">
        <v>376</v>
      </c>
      <c r="K58" s="58" t="s">
        <v>301</v>
      </c>
      <c r="L58" s="56"/>
    </row>
    <row r="59" spans="1:12">
      <c r="A59" s="52">
        <v>4</v>
      </c>
      <c r="B59" s="42">
        <v>150004</v>
      </c>
      <c r="C59" s="45" t="s">
        <v>341</v>
      </c>
      <c r="F59" s="70" t="s">
        <v>380</v>
      </c>
      <c r="G59" s="71" t="s">
        <v>498</v>
      </c>
      <c r="H59" s="70" t="s">
        <v>499</v>
      </c>
      <c r="I59" s="71" t="s">
        <v>378</v>
      </c>
      <c r="J59" s="70" t="s">
        <v>509</v>
      </c>
      <c r="K59" s="71" t="s">
        <v>379</v>
      </c>
      <c r="L59" s="56"/>
    </row>
    <row r="60" spans="1:12">
      <c r="B60" s="41" t="s">
        <v>296</v>
      </c>
      <c r="F60" s="57"/>
      <c r="G60" s="58" t="s">
        <v>497</v>
      </c>
      <c r="H60" s="70" t="s">
        <v>496</v>
      </c>
      <c r="I60" s="71" t="s">
        <v>377</v>
      </c>
      <c r="J60" s="57"/>
      <c r="K60" s="71" t="s">
        <v>498</v>
      </c>
      <c r="L60" s="56"/>
    </row>
    <row r="61" spans="1:12">
      <c r="A61" s="92">
        <v>1</v>
      </c>
      <c r="B61" s="43">
        <v>160001</v>
      </c>
      <c r="C61" s="44" t="s">
        <v>358</v>
      </c>
      <c r="F61" s="57"/>
      <c r="G61" s="58"/>
      <c r="H61" s="57"/>
      <c r="I61" s="58"/>
      <c r="J61" s="57"/>
      <c r="K61" s="58"/>
      <c r="L61" s="56"/>
    </row>
    <row r="62" spans="1:12">
      <c r="A62" s="52">
        <v>2</v>
      </c>
      <c r="B62" s="43">
        <v>160002</v>
      </c>
      <c r="C62" s="44" t="s">
        <v>359</v>
      </c>
      <c r="F62" s="57"/>
      <c r="G62" s="58"/>
      <c r="H62" s="57"/>
      <c r="I62" s="58"/>
      <c r="J62" s="57"/>
      <c r="K62" s="58"/>
      <c r="L62" s="56"/>
    </row>
    <row r="63" spans="1:12">
      <c r="A63" s="52">
        <v>3</v>
      </c>
      <c r="B63" s="43">
        <v>160003</v>
      </c>
      <c r="C63" s="44" t="s">
        <v>360</v>
      </c>
      <c r="F63" s="57"/>
      <c r="G63" s="58"/>
      <c r="H63" s="57"/>
      <c r="I63" s="58"/>
      <c r="J63" s="57"/>
      <c r="K63" s="58"/>
      <c r="L63" s="56"/>
    </row>
    <row r="64" spans="1:12">
      <c r="A64" s="52">
        <v>4</v>
      </c>
      <c r="B64" s="43">
        <v>160004</v>
      </c>
      <c r="C64" s="44" t="s">
        <v>363</v>
      </c>
      <c r="F64" s="57"/>
      <c r="G64" s="58"/>
      <c r="H64" s="57"/>
      <c r="I64" s="58"/>
      <c r="J64" s="57"/>
      <c r="K64" s="58"/>
      <c r="L64" s="56"/>
    </row>
    <row r="65" spans="5:12">
      <c r="F65" s="57"/>
      <c r="G65" s="58"/>
      <c r="H65" s="57"/>
      <c r="I65" s="58"/>
      <c r="J65" s="57"/>
      <c r="K65" s="58"/>
      <c r="L65" s="56"/>
    </row>
    <row r="66" spans="5:12">
      <c r="E66" s="46" t="s">
        <v>306</v>
      </c>
      <c r="F66" s="57"/>
      <c r="G66" s="58"/>
      <c r="H66" s="57"/>
      <c r="I66" s="58"/>
      <c r="J66" s="57"/>
      <c r="K66" s="58"/>
      <c r="L66" s="56"/>
    </row>
    <row r="67" spans="5:12">
      <c r="F67" s="57"/>
      <c r="G67" s="58"/>
      <c r="H67" s="57"/>
      <c r="I67" s="58"/>
      <c r="J67" s="57"/>
      <c r="K67" s="58"/>
      <c r="L67" s="56"/>
    </row>
    <row r="68" spans="5:12">
      <c r="F68" s="57"/>
      <c r="G68" s="58"/>
      <c r="H68" s="57"/>
      <c r="I68" s="58"/>
      <c r="J68" s="57"/>
      <c r="K68" s="58"/>
      <c r="L68" s="56"/>
    </row>
    <row r="69" spans="5:12">
      <c r="E69" s="46" t="s">
        <v>307</v>
      </c>
      <c r="F69" s="57"/>
      <c r="G69" s="58"/>
      <c r="H69" s="57"/>
      <c r="I69" s="58"/>
      <c r="J69" s="57"/>
      <c r="K69" s="58"/>
      <c r="L69" s="56"/>
    </row>
    <row r="70" spans="5:12">
      <c r="F70" s="60"/>
      <c r="G70" s="61"/>
      <c r="H70" s="60"/>
      <c r="I70" s="61"/>
      <c r="J70" s="60"/>
      <c r="K70" s="61"/>
      <c r="L70" s="56"/>
    </row>
    <row r="71" spans="5:12">
      <c r="F71" s="59"/>
      <c r="G71" s="59"/>
      <c r="H71" s="59"/>
      <c r="I71" s="59"/>
      <c r="J71" s="59"/>
      <c r="K71" s="59"/>
      <c r="L71" s="56"/>
    </row>
    <row r="72" spans="5:12">
      <c r="F72" s="63" t="s">
        <v>328</v>
      </c>
      <c r="G72" s="54"/>
      <c r="H72" s="63" t="s">
        <v>330</v>
      </c>
      <c r="I72" s="54"/>
      <c r="J72" s="63" t="s">
        <v>332</v>
      </c>
      <c r="K72" s="54"/>
      <c r="L72" s="56"/>
    </row>
    <row r="73" spans="5:12">
      <c r="E73" s="46" t="s">
        <v>297</v>
      </c>
      <c r="F73" s="57" t="s">
        <v>457</v>
      </c>
      <c r="G73" s="58" t="s">
        <v>327</v>
      </c>
      <c r="H73" s="47"/>
      <c r="I73" s="48" t="s">
        <v>327</v>
      </c>
      <c r="J73" s="47"/>
      <c r="K73" s="48" t="s">
        <v>327</v>
      </c>
      <c r="L73" s="56"/>
    </row>
    <row r="74" spans="5:12">
      <c r="F74" s="57"/>
      <c r="G74" s="58"/>
      <c r="H74" s="47"/>
      <c r="I74" s="48"/>
      <c r="J74" s="47"/>
      <c r="K74" s="48"/>
      <c r="L74" s="56"/>
    </row>
    <row r="75" spans="5:12">
      <c r="F75" s="57"/>
      <c r="G75" s="58"/>
      <c r="H75" s="47"/>
      <c r="I75" s="48"/>
      <c r="J75" s="47"/>
      <c r="K75" s="48"/>
      <c r="L75" s="56"/>
    </row>
    <row r="76" spans="5:12">
      <c r="F76" s="57"/>
      <c r="G76" s="58"/>
      <c r="H76" s="47"/>
      <c r="I76" s="48"/>
      <c r="J76" s="47"/>
      <c r="K76" s="48"/>
      <c r="L76" s="56"/>
    </row>
    <row r="77" spans="5:12">
      <c r="E77" s="46" t="s">
        <v>298</v>
      </c>
      <c r="F77" s="57" t="s">
        <v>375</v>
      </c>
      <c r="G77" s="58" t="s">
        <v>300</v>
      </c>
      <c r="H77" s="49" t="s">
        <v>375</v>
      </c>
      <c r="I77" s="48" t="s">
        <v>300</v>
      </c>
      <c r="J77" s="49" t="s">
        <v>375</v>
      </c>
      <c r="K77" s="48" t="s">
        <v>300</v>
      </c>
      <c r="L77" s="56"/>
    </row>
    <row r="78" spans="5:12">
      <c r="F78" s="57" t="s">
        <v>376</v>
      </c>
      <c r="G78" s="58" t="s">
        <v>301</v>
      </c>
      <c r="H78" s="49" t="s">
        <v>376</v>
      </c>
      <c r="I78" s="48" t="s">
        <v>301</v>
      </c>
      <c r="J78" s="49" t="s">
        <v>376</v>
      </c>
      <c r="K78" s="48" t="s">
        <v>301</v>
      </c>
      <c r="L78" s="56"/>
    </row>
    <row r="79" spans="5:12">
      <c r="F79" s="70" t="s">
        <v>371</v>
      </c>
      <c r="G79" s="71" t="s">
        <v>357</v>
      </c>
      <c r="H79" s="49" t="s">
        <v>370</v>
      </c>
      <c r="I79" s="48" t="s">
        <v>356</v>
      </c>
      <c r="J79" s="49" t="s">
        <v>370</v>
      </c>
      <c r="K79" s="48" t="s">
        <v>356</v>
      </c>
      <c r="L79" s="56"/>
    </row>
    <row r="80" spans="5:12">
      <c r="F80" s="70" t="s">
        <v>500</v>
      </c>
      <c r="G80" s="71" t="s">
        <v>357</v>
      </c>
      <c r="H80" s="49" t="s">
        <v>368</v>
      </c>
      <c r="I80" s="48" t="s">
        <v>356</v>
      </c>
      <c r="J80" s="49" t="s">
        <v>368</v>
      </c>
      <c r="K80" s="48" t="s">
        <v>356</v>
      </c>
      <c r="L80" s="56"/>
    </row>
    <row r="81" spans="5:12">
      <c r="F81" s="70" t="s">
        <v>334</v>
      </c>
      <c r="G81" s="71" t="s">
        <v>353</v>
      </c>
      <c r="H81" s="49" t="s">
        <v>333</v>
      </c>
      <c r="I81" s="48" t="s">
        <v>352</v>
      </c>
      <c r="J81" s="49" t="s">
        <v>333</v>
      </c>
      <c r="K81" s="48" t="s">
        <v>352</v>
      </c>
      <c r="L81" s="56"/>
    </row>
    <row r="82" spans="5:12">
      <c r="F82" s="70" t="s">
        <v>336</v>
      </c>
      <c r="G82" s="71" t="s">
        <v>355</v>
      </c>
      <c r="H82" s="49" t="s">
        <v>335</v>
      </c>
      <c r="I82" s="48" t="s">
        <v>354</v>
      </c>
      <c r="J82" s="49" t="s">
        <v>335</v>
      </c>
      <c r="K82" s="48" t="s">
        <v>354</v>
      </c>
      <c r="L82" s="56"/>
    </row>
    <row r="83" spans="5:12">
      <c r="F83" s="57"/>
      <c r="G83" s="58" t="s">
        <v>327</v>
      </c>
      <c r="H83" s="47"/>
      <c r="I83" s="48" t="s">
        <v>326</v>
      </c>
      <c r="J83" s="47"/>
      <c r="K83" s="48" t="s">
        <v>326</v>
      </c>
      <c r="L83" s="56"/>
    </row>
    <row r="84" spans="5:12">
      <c r="F84" s="57"/>
      <c r="G84" s="58"/>
      <c r="H84" s="47"/>
      <c r="I84" s="48"/>
      <c r="J84" s="47"/>
      <c r="K84" s="48"/>
      <c r="L84" s="56"/>
    </row>
    <row r="85" spans="5:12">
      <c r="F85" s="57"/>
      <c r="G85" s="58"/>
      <c r="H85" s="47"/>
      <c r="I85" s="48"/>
      <c r="J85" s="47"/>
      <c r="K85" s="48"/>
      <c r="L85" s="56"/>
    </row>
    <row r="86" spans="5:12">
      <c r="E86" s="46" t="s">
        <v>306</v>
      </c>
      <c r="F86" s="57" t="s">
        <v>305</v>
      </c>
      <c r="G86" s="58"/>
      <c r="H86" s="47" t="s">
        <v>304</v>
      </c>
      <c r="I86" s="48"/>
      <c r="J86" s="47" t="s">
        <v>304</v>
      </c>
      <c r="K86" s="48"/>
      <c r="L86" s="56"/>
    </row>
    <row r="87" spans="5:12">
      <c r="F87" s="57"/>
      <c r="G87" s="58"/>
      <c r="H87" s="47"/>
      <c r="I87" s="48"/>
      <c r="J87" s="47"/>
      <c r="K87" s="48"/>
      <c r="L87" s="56"/>
    </row>
    <row r="88" spans="5:12">
      <c r="F88" s="57"/>
      <c r="G88" s="58"/>
      <c r="H88" s="47"/>
      <c r="I88" s="48"/>
      <c r="J88" s="47"/>
      <c r="K88" s="48"/>
      <c r="L88" s="56"/>
    </row>
    <row r="89" spans="5:12">
      <c r="E89" s="46" t="s">
        <v>307</v>
      </c>
      <c r="F89" s="57" t="s">
        <v>305</v>
      </c>
      <c r="G89" s="58"/>
      <c r="H89" s="47" t="s">
        <v>305</v>
      </c>
      <c r="I89" s="48"/>
      <c r="J89" s="47" t="s">
        <v>305</v>
      </c>
      <c r="K89" s="48"/>
      <c r="L89" s="56"/>
    </row>
    <row r="90" spans="5:12">
      <c r="F90" s="60"/>
      <c r="G90" s="61"/>
      <c r="H90" s="50"/>
      <c r="I90" s="51"/>
      <c r="J90" s="50"/>
      <c r="K90" s="51"/>
      <c r="L90" s="56"/>
    </row>
    <row r="91" spans="5:12">
      <c r="F91" s="56"/>
      <c r="G91" s="56"/>
      <c r="H91" s="56"/>
      <c r="I91" s="56"/>
      <c r="J91" s="56"/>
      <c r="K91" s="56"/>
      <c r="L91" s="56"/>
    </row>
    <row r="92" spans="5:12">
      <c r="F92" s="56"/>
      <c r="G92" s="56"/>
      <c r="H92" s="56"/>
      <c r="I92" s="56"/>
      <c r="J92" s="56"/>
      <c r="K92" s="56"/>
      <c r="L92" s="56"/>
    </row>
    <row r="93" spans="5:12">
      <c r="F93" s="63" t="s">
        <v>338</v>
      </c>
      <c r="G93" s="54"/>
      <c r="H93" s="63" t="s">
        <v>340</v>
      </c>
      <c r="I93" s="54"/>
      <c r="J93" s="63" t="s">
        <v>345</v>
      </c>
      <c r="K93" s="54"/>
      <c r="L93" s="56"/>
    </row>
    <row r="94" spans="5:12">
      <c r="E94" s="46" t="s">
        <v>297</v>
      </c>
      <c r="F94" s="57"/>
      <c r="G94" s="58" t="s">
        <v>344</v>
      </c>
      <c r="H94" s="64"/>
      <c r="I94" s="65" t="s">
        <v>344</v>
      </c>
      <c r="J94" s="64"/>
      <c r="K94" s="65" t="s">
        <v>344</v>
      </c>
      <c r="L94" s="56"/>
    </row>
    <row r="95" spans="5:12">
      <c r="F95" s="57"/>
      <c r="G95" s="58"/>
      <c r="H95" s="64"/>
      <c r="I95" s="65"/>
      <c r="J95" s="64"/>
      <c r="K95" s="65"/>
      <c r="L95" s="56"/>
    </row>
    <row r="96" spans="5:12">
      <c r="F96" s="57"/>
      <c r="G96" s="58"/>
      <c r="H96" s="64"/>
      <c r="I96" s="65"/>
      <c r="J96" s="64"/>
      <c r="K96" s="65"/>
      <c r="L96" s="56"/>
    </row>
    <row r="97" spans="5:12">
      <c r="F97" s="57"/>
      <c r="G97" s="58"/>
      <c r="H97" s="66"/>
      <c r="I97" s="65"/>
      <c r="J97" s="66"/>
      <c r="K97" s="65"/>
      <c r="L97" s="56"/>
    </row>
    <row r="98" spans="5:12">
      <c r="E98" s="46" t="s">
        <v>298</v>
      </c>
      <c r="F98" s="57" t="s">
        <v>375</v>
      </c>
      <c r="G98" s="58" t="s">
        <v>300</v>
      </c>
      <c r="H98" s="66" t="s">
        <v>375</v>
      </c>
      <c r="I98" s="65" t="s">
        <v>300</v>
      </c>
      <c r="J98" s="66" t="s">
        <v>375</v>
      </c>
      <c r="K98" s="65" t="s">
        <v>300</v>
      </c>
      <c r="L98" s="56"/>
    </row>
    <row r="99" spans="5:12">
      <c r="F99" s="57" t="s">
        <v>376</v>
      </c>
      <c r="G99" s="58" t="s">
        <v>301</v>
      </c>
      <c r="H99" s="66" t="s">
        <v>376</v>
      </c>
      <c r="I99" s="65" t="s">
        <v>301</v>
      </c>
      <c r="J99" s="66" t="s">
        <v>376</v>
      </c>
      <c r="K99" s="65" t="s">
        <v>301</v>
      </c>
      <c r="L99" s="56"/>
    </row>
    <row r="100" spans="5:12">
      <c r="F100" s="70" t="s">
        <v>343</v>
      </c>
      <c r="G100" s="71" t="s">
        <v>347</v>
      </c>
      <c r="H100" s="74" t="s">
        <v>343</v>
      </c>
      <c r="I100" s="71" t="s">
        <v>347</v>
      </c>
      <c r="J100" s="74" t="s">
        <v>343</v>
      </c>
      <c r="K100" s="73" t="s">
        <v>346</v>
      </c>
      <c r="L100" s="56"/>
    </row>
    <row r="101" spans="5:12">
      <c r="F101" s="70" t="s">
        <v>382</v>
      </c>
      <c r="G101" s="73" t="s">
        <v>350</v>
      </c>
      <c r="H101" s="74" t="s">
        <v>382</v>
      </c>
      <c r="I101" s="73" t="s">
        <v>351</v>
      </c>
      <c r="J101" s="74" t="s">
        <v>382</v>
      </c>
      <c r="K101" s="73" t="s">
        <v>350</v>
      </c>
      <c r="L101" s="56"/>
    </row>
    <row r="102" spans="5:12">
      <c r="F102" s="70" t="s">
        <v>380</v>
      </c>
      <c r="G102" s="73" t="s">
        <v>350</v>
      </c>
      <c r="H102" s="74" t="s">
        <v>380</v>
      </c>
      <c r="I102" s="73" t="s">
        <v>351</v>
      </c>
      <c r="J102" s="74" t="s">
        <v>380</v>
      </c>
      <c r="K102" s="73" t="s">
        <v>350</v>
      </c>
      <c r="L102" s="56"/>
    </row>
    <row r="103" spans="5:12">
      <c r="F103" s="57"/>
      <c r="G103" s="58" t="s">
        <v>344</v>
      </c>
      <c r="H103" s="66"/>
      <c r="I103" s="65" t="s">
        <v>344</v>
      </c>
      <c r="J103" s="66"/>
      <c r="K103" s="65" t="s">
        <v>344</v>
      </c>
      <c r="L103" s="56"/>
    </row>
    <row r="104" spans="5:12">
      <c r="F104" s="57"/>
      <c r="G104" s="58"/>
      <c r="H104" s="64"/>
      <c r="I104" s="65"/>
      <c r="J104" s="64"/>
      <c r="K104" s="65"/>
      <c r="L104" s="56"/>
    </row>
    <row r="105" spans="5:12">
      <c r="F105" s="57"/>
      <c r="G105" s="58"/>
      <c r="H105" s="64"/>
      <c r="I105" s="65"/>
      <c r="J105" s="64"/>
      <c r="K105" s="65"/>
      <c r="L105" s="56"/>
    </row>
    <row r="106" spans="5:12">
      <c r="F106" s="57"/>
      <c r="G106" s="58"/>
      <c r="H106" s="64"/>
      <c r="I106" s="65"/>
      <c r="J106" s="64"/>
      <c r="K106" s="65"/>
      <c r="L106" s="56"/>
    </row>
    <row r="107" spans="5:12">
      <c r="E107" s="46" t="s">
        <v>306</v>
      </c>
      <c r="F107" s="57" t="s">
        <v>305</v>
      </c>
      <c r="G107" s="58"/>
      <c r="H107" s="64" t="s">
        <v>304</v>
      </c>
      <c r="I107" s="65"/>
      <c r="J107" s="64" t="s">
        <v>304</v>
      </c>
      <c r="K107" s="65"/>
      <c r="L107" s="56"/>
    </row>
    <row r="108" spans="5:12">
      <c r="F108" s="57"/>
      <c r="G108" s="58"/>
      <c r="H108" s="64"/>
      <c r="I108" s="65"/>
      <c r="J108" s="64"/>
      <c r="K108" s="65"/>
      <c r="L108" s="56"/>
    </row>
    <row r="109" spans="5:12">
      <c r="F109" s="57"/>
      <c r="G109" s="58"/>
      <c r="H109" s="64"/>
      <c r="I109" s="65"/>
      <c r="J109" s="64"/>
      <c r="K109" s="65"/>
      <c r="L109" s="56"/>
    </row>
    <row r="110" spans="5:12">
      <c r="E110" s="46" t="s">
        <v>307</v>
      </c>
      <c r="F110" s="57" t="s">
        <v>305</v>
      </c>
      <c r="G110" s="58"/>
      <c r="H110" s="64" t="s">
        <v>305</v>
      </c>
      <c r="I110" s="65"/>
      <c r="J110" s="64" t="s">
        <v>305</v>
      </c>
      <c r="K110" s="65"/>
      <c r="L110" s="56"/>
    </row>
    <row r="111" spans="5:12">
      <c r="F111" s="60"/>
      <c r="G111" s="61"/>
      <c r="H111" s="67"/>
      <c r="I111" s="68"/>
      <c r="J111" s="67"/>
      <c r="K111" s="68"/>
      <c r="L111" s="56"/>
    </row>
    <row r="112" spans="5:12">
      <c r="F112" s="56"/>
      <c r="G112" s="56"/>
      <c r="H112" s="56"/>
      <c r="I112" s="56"/>
      <c r="J112" s="56"/>
      <c r="K112" s="56"/>
      <c r="L112" s="56"/>
    </row>
    <row r="113" spans="5:12">
      <c r="F113" s="63" t="s">
        <v>361</v>
      </c>
      <c r="G113" s="54"/>
      <c r="H113" s="63" t="s">
        <v>362</v>
      </c>
      <c r="I113" s="54"/>
      <c r="J113" s="56"/>
      <c r="K113" s="56"/>
      <c r="L113" s="56"/>
    </row>
    <row r="114" spans="5:12">
      <c r="E114" s="46" t="s">
        <v>297</v>
      </c>
      <c r="F114" s="57"/>
      <c r="G114" s="58" t="s">
        <v>344</v>
      </c>
      <c r="H114" s="66"/>
      <c r="I114" s="65" t="s">
        <v>344</v>
      </c>
      <c r="J114" s="56"/>
      <c r="K114" s="56"/>
      <c r="L114" s="56"/>
    </row>
    <row r="115" spans="5:12">
      <c r="F115" s="57"/>
      <c r="G115" s="58"/>
      <c r="H115" s="66"/>
      <c r="I115" s="65"/>
      <c r="J115" s="56"/>
      <c r="K115" s="56"/>
      <c r="L115" s="56"/>
    </row>
    <row r="116" spans="5:12">
      <c r="F116" s="57"/>
      <c r="G116" s="58"/>
      <c r="H116" s="66"/>
      <c r="I116" s="65"/>
      <c r="J116" s="56"/>
      <c r="K116" s="56"/>
      <c r="L116" s="56"/>
    </row>
    <row r="117" spans="5:12">
      <c r="F117" s="57"/>
      <c r="G117" s="58"/>
      <c r="H117" s="66"/>
      <c r="I117" s="65"/>
      <c r="J117" s="56"/>
      <c r="K117" s="56"/>
      <c r="L117" s="56"/>
    </row>
    <row r="118" spans="5:12">
      <c r="E118" s="46" t="s">
        <v>298</v>
      </c>
      <c r="F118" s="57" t="s">
        <v>375</v>
      </c>
      <c r="G118" s="58" t="s">
        <v>300</v>
      </c>
      <c r="H118" s="66" t="s">
        <v>375</v>
      </c>
      <c r="I118" s="65" t="s">
        <v>300</v>
      </c>
      <c r="J118" s="56"/>
      <c r="K118" s="56"/>
      <c r="L118" s="56"/>
    </row>
    <row r="119" spans="5:12">
      <c r="F119" s="57" t="s">
        <v>376</v>
      </c>
      <c r="G119" s="58" t="s">
        <v>301</v>
      </c>
      <c r="H119" s="66" t="s">
        <v>376</v>
      </c>
      <c r="I119" s="65" t="s">
        <v>301</v>
      </c>
      <c r="J119" s="56"/>
      <c r="K119" s="56"/>
      <c r="L119" s="56"/>
    </row>
    <row r="120" spans="5:12">
      <c r="F120" s="70" t="s">
        <v>384</v>
      </c>
      <c r="G120" s="71" t="s">
        <v>366</v>
      </c>
      <c r="H120" s="70" t="s">
        <v>386</v>
      </c>
      <c r="I120" s="71" t="s">
        <v>367</v>
      </c>
      <c r="J120" s="56"/>
      <c r="K120" s="56"/>
      <c r="L120" s="56"/>
    </row>
    <row r="121" spans="5:12">
      <c r="F121" s="70" t="s">
        <v>386</v>
      </c>
      <c r="G121" s="71" t="s">
        <v>367</v>
      </c>
      <c r="H121" s="70" t="s">
        <v>388</v>
      </c>
      <c r="I121" s="71" t="s">
        <v>366</v>
      </c>
      <c r="J121" s="56"/>
      <c r="K121" s="56"/>
      <c r="L121" s="56"/>
    </row>
    <row r="122" spans="5:12">
      <c r="F122" s="70" t="s">
        <v>388</v>
      </c>
      <c r="G122" s="71" t="s">
        <v>366</v>
      </c>
      <c r="H122" s="70" t="s">
        <v>364</v>
      </c>
      <c r="I122" s="71" t="s">
        <v>365</v>
      </c>
      <c r="J122" s="56"/>
      <c r="K122" s="56"/>
      <c r="L122" s="56"/>
    </row>
    <row r="123" spans="5:12">
      <c r="F123" s="70" t="s">
        <v>364</v>
      </c>
      <c r="G123" s="71" t="s">
        <v>365</v>
      </c>
      <c r="H123" s="57"/>
      <c r="I123" s="58" t="s">
        <v>320</v>
      </c>
      <c r="J123" s="56"/>
      <c r="K123" s="56"/>
      <c r="L123" s="56"/>
    </row>
    <row r="124" spans="5:12">
      <c r="F124" s="57"/>
      <c r="G124" s="58" t="s">
        <v>320</v>
      </c>
      <c r="H124" s="57"/>
      <c r="I124" s="58"/>
      <c r="J124" s="56"/>
      <c r="K124" s="56"/>
      <c r="L124" s="56"/>
    </row>
    <row r="125" spans="5:12">
      <c r="F125" s="57"/>
      <c r="G125" s="58"/>
      <c r="H125" s="57"/>
      <c r="I125" s="58"/>
      <c r="J125" s="56"/>
      <c r="K125" s="56"/>
      <c r="L125" s="56"/>
    </row>
    <row r="126" spans="5:12">
      <c r="F126" s="57"/>
      <c r="G126" s="58"/>
      <c r="H126" s="66"/>
      <c r="I126" s="58"/>
      <c r="J126" s="56"/>
      <c r="K126" s="56"/>
      <c r="L126" s="56"/>
    </row>
    <row r="127" spans="5:12">
      <c r="E127" s="46" t="s">
        <v>306</v>
      </c>
      <c r="F127" s="57" t="s">
        <v>305</v>
      </c>
      <c r="G127" s="58"/>
      <c r="H127" s="66" t="s">
        <v>304</v>
      </c>
      <c r="I127" s="65"/>
      <c r="J127" s="56"/>
      <c r="K127" s="56"/>
      <c r="L127" s="56"/>
    </row>
    <row r="128" spans="5:12">
      <c r="F128" s="57"/>
      <c r="G128" s="58"/>
      <c r="H128" s="66"/>
      <c r="I128" s="65"/>
      <c r="J128" s="56"/>
      <c r="K128" s="56"/>
      <c r="L128" s="56"/>
    </row>
    <row r="129" spans="5:12">
      <c r="F129" s="57"/>
      <c r="G129" s="58"/>
      <c r="H129" s="66"/>
      <c r="I129" s="65"/>
      <c r="J129" s="56"/>
      <c r="K129" s="56"/>
      <c r="L129" s="56"/>
    </row>
    <row r="130" spans="5:12">
      <c r="E130" s="46" t="s">
        <v>307</v>
      </c>
      <c r="F130" s="57" t="s">
        <v>305</v>
      </c>
      <c r="G130" s="58"/>
      <c r="H130" s="66" t="s">
        <v>305</v>
      </c>
      <c r="I130" s="65"/>
      <c r="J130" s="56"/>
      <c r="K130" s="56"/>
      <c r="L130" s="56"/>
    </row>
    <row r="131" spans="5:12">
      <c r="F131" s="60"/>
      <c r="G131" s="61"/>
      <c r="H131" s="69"/>
      <c r="I131" s="68"/>
      <c r="J131" s="56"/>
      <c r="K131" s="56"/>
      <c r="L131" s="56"/>
    </row>
    <row r="132" spans="5:12">
      <c r="F132" s="56"/>
      <c r="G132" s="56"/>
      <c r="H132" s="56"/>
      <c r="I132" s="56"/>
      <c r="J132" s="56"/>
      <c r="K132" s="56"/>
      <c r="L132" s="5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9:AE113"/>
  <sheetViews>
    <sheetView topLeftCell="A74" workbookViewId="0">
      <selection activeCell="I75" sqref="I75"/>
    </sheetView>
  </sheetViews>
  <sheetFormatPr defaultRowHeight="12"/>
  <cols>
    <col min="1" max="1" width="9" style="79"/>
    <col min="2" max="2" width="18.375" style="79" bestFit="1" customWidth="1"/>
    <col min="3" max="3" width="18.375" style="79" customWidth="1"/>
    <col min="4" max="4" width="30.5" style="79" customWidth="1"/>
    <col min="5" max="5" width="16.875" style="79" bestFit="1" customWidth="1"/>
    <col min="6" max="6" width="12.5" style="79" customWidth="1"/>
    <col min="7" max="11" width="9" style="79"/>
    <col min="12" max="12" width="38.375" style="79" bestFit="1" customWidth="1"/>
    <col min="13" max="13" width="9" style="79"/>
    <col min="14" max="14" width="27.125" style="79" customWidth="1"/>
    <col min="15" max="16384" width="9" style="79"/>
  </cols>
  <sheetData>
    <row r="9" spans="16:16">
      <c r="P9" s="80"/>
    </row>
    <row r="10" spans="16:16">
      <c r="P10" s="80"/>
    </row>
    <row r="18" spans="12:19">
      <c r="L18" s="79" t="s">
        <v>395</v>
      </c>
    </row>
    <row r="20" spans="12:19">
      <c r="N20" s="82" t="s">
        <v>375</v>
      </c>
      <c r="O20" s="81">
        <v>34001</v>
      </c>
      <c r="P20" s="80"/>
      <c r="Q20" s="80"/>
      <c r="R20" s="80"/>
      <c r="S20" s="80"/>
    </row>
    <row r="21" spans="12:19">
      <c r="N21" s="77" t="s">
        <v>376</v>
      </c>
      <c r="O21" s="81">
        <v>34002</v>
      </c>
      <c r="P21" s="80"/>
      <c r="Q21" s="80"/>
      <c r="R21" s="80"/>
      <c r="S21" s="80"/>
    </row>
    <row r="22" spans="12:19">
      <c r="N22" s="82" t="s">
        <v>302</v>
      </c>
      <c r="O22" s="81">
        <v>34003</v>
      </c>
      <c r="P22" s="80"/>
      <c r="Q22" s="80"/>
      <c r="R22" s="80"/>
      <c r="S22" s="80"/>
    </row>
    <row r="23" spans="12:19">
      <c r="N23" s="82" t="s">
        <v>348</v>
      </c>
      <c r="O23" s="81">
        <v>34004</v>
      </c>
      <c r="P23" s="80"/>
      <c r="Q23" s="80"/>
      <c r="R23" s="80"/>
      <c r="S23" s="80"/>
    </row>
    <row r="24" spans="12:19">
      <c r="N24" s="82" t="s">
        <v>389</v>
      </c>
      <c r="O24" s="81">
        <v>34005</v>
      </c>
      <c r="P24" s="80"/>
      <c r="Q24" s="80"/>
      <c r="R24" s="80"/>
      <c r="S24" s="80"/>
    </row>
    <row r="25" spans="12:19">
      <c r="N25" s="82" t="s">
        <v>391</v>
      </c>
      <c r="O25" s="81">
        <v>34006</v>
      </c>
      <c r="P25" s="80"/>
      <c r="Q25" s="80"/>
      <c r="R25" s="80"/>
      <c r="S25" s="80"/>
    </row>
    <row r="26" spans="12:19">
      <c r="N26" s="82" t="s">
        <v>393</v>
      </c>
      <c r="O26" s="81">
        <v>34007</v>
      </c>
      <c r="P26" s="80"/>
      <c r="Q26" s="80"/>
      <c r="R26" s="80"/>
      <c r="S26" s="80"/>
    </row>
    <row r="27" spans="12:19" ht="12.75">
      <c r="N27" s="78" t="s">
        <v>380</v>
      </c>
      <c r="O27" s="81">
        <v>34008</v>
      </c>
      <c r="P27" s="80"/>
      <c r="Q27" s="80"/>
      <c r="R27" s="80"/>
      <c r="S27" s="80"/>
    </row>
    <row r="28" spans="12:19">
      <c r="N28" s="82" t="s">
        <v>370</v>
      </c>
      <c r="O28" s="81">
        <v>34009</v>
      </c>
      <c r="P28" s="80"/>
      <c r="Q28" s="80"/>
      <c r="R28" s="80"/>
      <c r="S28" s="80"/>
    </row>
    <row r="29" spans="12:19">
      <c r="N29" s="82" t="s">
        <v>368</v>
      </c>
      <c r="O29" s="81">
        <v>34010</v>
      </c>
      <c r="P29" s="80"/>
      <c r="Q29" s="80"/>
      <c r="R29" s="80"/>
      <c r="S29" s="80"/>
    </row>
    <row r="30" spans="12:19" ht="12.75">
      <c r="N30" s="78" t="s">
        <v>333</v>
      </c>
      <c r="O30" s="81">
        <v>34011</v>
      </c>
      <c r="P30" s="80"/>
      <c r="Q30" s="80"/>
      <c r="R30" s="80"/>
      <c r="S30" s="80"/>
    </row>
    <row r="31" spans="12:19" ht="12.75">
      <c r="N31" s="78" t="s">
        <v>449</v>
      </c>
      <c r="O31" s="81">
        <v>34012</v>
      </c>
      <c r="P31" s="80"/>
      <c r="Q31" s="80"/>
      <c r="R31" s="80"/>
      <c r="S31" s="80"/>
    </row>
    <row r="32" spans="12:19" ht="12.75">
      <c r="N32" s="78" t="s">
        <v>342</v>
      </c>
      <c r="O32" s="81">
        <v>34013</v>
      </c>
      <c r="P32" s="80"/>
      <c r="Q32" s="80"/>
      <c r="R32" s="80"/>
      <c r="S32" s="80"/>
    </row>
    <row r="33" spans="12:20" ht="12.75">
      <c r="N33" s="78" t="s">
        <v>381</v>
      </c>
      <c r="O33" s="81">
        <v>34014</v>
      </c>
      <c r="P33" s="80"/>
      <c r="Q33" s="80"/>
      <c r="R33" s="80"/>
      <c r="S33" s="80"/>
    </row>
    <row r="34" spans="12:20" ht="12.75">
      <c r="N34" s="78" t="s">
        <v>383</v>
      </c>
      <c r="O34" s="81">
        <v>34016</v>
      </c>
      <c r="P34" s="80"/>
      <c r="Q34" s="80"/>
      <c r="R34" s="80"/>
      <c r="S34" s="80"/>
    </row>
    <row r="35" spans="12:20">
      <c r="N35" s="82" t="s">
        <v>385</v>
      </c>
      <c r="O35" s="81">
        <v>34017</v>
      </c>
      <c r="P35" s="80"/>
      <c r="Q35" s="80"/>
      <c r="R35" s="80"/>
      <c r="S35" s="80"/>
    </row>
    <row r="36" spans="12:20">
      <c r="N36" s="82" t="s">
        <v>387</v>
      </c>
      <c r="O36" s="81">
        <v>34018</v>
      </c>
      <c r="P36" s="80"/>
      <c r="Q36" s="80"/>
      <c r="R36" s="80"/>
      <c r="S36" s="80"/>
    </row>
    <row r="37" spans="12:20" ht="12.75">
      <c r="N37" s="78" t="s">
        <v>450</v>
      </c>
      <c r="O37" s="81">
        <v>34019</v>
      </c>
      <c r="P37" s="80"/>
      <c r="Q37" s="80"/>
      <c r="R37" s="80"/>
      <c r="S37" s="80"/>
      <c r="T37" s="80"/>
    </row>
    <row r="38" spans="12:20">
      <c r="N38" s="82" t="s">
        <v>444</v>
      </c>
      <c r="O38" s="81">
        <v>34020</v>
      </c>
    </row>
    <row r="39" spans="12:20">
      <c r="N39" s="82" t="s">
        <v>461</v>
      </c>
      <c r="O39" s="81">
        <v>34021</v>
      </c>
    </row>
    <row r="40" spans="12:20">
      <c r="N40" s="82" t="s">
        <v>459</v>
      </c>
      <c r="O40" s="81">
        <v>34022</v>
      </c>
    </row>
    <row r="41" spans="12:20">
      <c r="L41" s="79" t="s">
        <v>418</v>
      </c>
    </row>
    <row r="43" spans="12:20">
      <c r="N43" s="86" t="s">
        <v>419</v>
      </c>
      <c r="O43" s="87">
        <v>54001</v>
      </c>
    </row>
    <row r="44" spans="12:20">
      <c r="N44" s="86" t="s">
        <v>420</v>
      </c>
      <c r="O44" s="87">
        <v>54002</v>
      </c>
    </row>
    <row r="45" spans="12:20">
      <c r="N45" s="86" t="s">
        <v>421</v>
      </c>
      <c r="O45" s="87">
        <v>54003</v>
      </c>
    </row>
    <row r="46" spans="12:20">
      <c r="N46" s="86" t="s">
        <v>422</v>
      </c>
      <c r="O46" s="87">
        <v>54101</v>
      </c>
    </row>
    <row r="47" spans="12:20">
      <c r="N47" s="86" t="s">
        <v>423</v>
      </c>
      <c r="O47" s="87">
        <v>54102</v>
      </c>
    </row>
    <row r="48" spans="12:20">
      <c r="N48" s="86" t="s">
        <v>424</v>
      </c>
      <c r="O48" s="87">
        <v>54103</v>
      </c>
    </row>
    <row r="49" spans="1:31">
      <c r="N49" s="86" t="s">
        <v>423</v>
      </c>
      <c r="O49" s="87">
        <v>54104</v>
      </c>
    </row>
    <row r="50" spans="1:31">
      <c r="N50" s="86" t="s">
        <v>425</v>
      </c>
      <c r="O50" s="87">
        <v>54201</v>
      </c>
    </row>
    <row r="51" spans="1:31">
      <c r="D51" s="90" t="s">
        <v>395</v>
      </c>
      <c r="E51" s="90" t="s">
        <v>418</v>
      </c>
      <c r="F51" s="90" t="s">
        <v>417</v>
      </c>
      <c r="G51" s="90" t="s">
        <v>418</v>
      </c>
      <c r="H51" s="90" t="s">
        <v>395</v>
      </c>
      <c r="N51" s="86" t="s">
        <v>426</v>
      </c>
      <c r="O51" s="87">
        <v>54202</v>
      </c>
    </row>
    <row r="52" spans="1:31" ht="13.5">
      <c r="C52" s="79">
        <v>14101</v>
      </c>
      <c r="D52" s="59" t="s">
        <v>375</v>
      </c>
      <c r="E52" s="59" t="s">
        <v>299</v>
      </c>
      <c r="F52" s="83"/>
      <c r="G52" s="79">
        <v>54001</v>
      </c>
      <c r="H52" s="79">
        <f>IF(D52="","",VLOOKUP(D52,$N$20:$O$40,2,0))</f>
        <v>34001</v>
      </c>
      <c r="N52" s="86" t="s">
        <v>427</v>
      </c>
      <c r="O52" s="87">
        <v>54203</v>
      </c>
    </row>
    <row r="53" spans="1:31" ht="13.5">
      <c r="C53" s="79">
        <v>14102</v>
      </c>
      <c r="D53" s="59" t="s">
        <v>375</v>
      </c>
      <c r="E53" s="59" t="s">
        <v>300</v>
      </c>
      <c r="G53" s="79">
        <v>54002</v>
      </c>
      <c r="H53" s="79">
        <f t="shared" ref="H53:H89" si="0">IF(D53="","",VLOOKUP(D53,$N$20:$O$40,2,0))</f>
        <v>34001</v>
      </c>
      <c r="N53" s="86" t="s">
        <v>428</v>
      </c>
      <c r="O53" s="87">
        <v>54204</v>
      </c>
    </row>
    <row r="54" spans="1:31" ht="13.5">
      <c r="C54" s="79">
        <v>14103</v>
      </c>
      <c r="D54" s="59" t="s">
        <v>376</v>
      </c>
      <c r="E54" s="59" t="s">
        <v>301</v>
      </c>
      <c r="G54" s="79">
        <v>54002</v>
      </c>
      <c r="H54" s="79">
        <f t="shared" si="0"/>
        <v>34002</v>
      </c>
      <c r="N54" s="86" t="s">
        <v>429</v>
      </c>
      <c r="O54" s="87">
        <v>54205</v>
      </c>
    </row>
    <row r="55" spans="1:31">
      <c r="C55" s="79">
        <v>14104</v>
      </c>
      <c r="E55" s="85" t="s">
        <v>451</v>
      </c>
      <c r="G55" s="79">
        <f t="shared" ref="G55:G89" si="1">O45</f>
        <v>54003</v>
      </c>
      <c r="H55" s="79" t="str">
        <f t="shared" si="0"/>
        <v/>
      </c>
      <c r="N55" s="86" t="s">
        <v>430</v>
      </c>
      <c r="O55" s="87">
        <v>54301</v>
      </c>
    </row>
    <row r="56" spans="1:31">
      <c r="A56" s="79">
        <v>14011</v>
      </c>
      <c r="B56" s="84" t="s">
        <v>314</v>
      </c>
      <c r="C56" s="79">
        <v>14105</v>
      </c>
      <c r="D56" s="88" t="s">
        <v>303</v>
      </c>
      <c r="E56" s="88" t="s">
        <v>396</v>
      </c>
      <c r="F56" s="83"/>
      <c r="G56" s="79">
        <f t="shared" si="1"/>
        <v>54101</v>
      </c>
      <c r="H56" s="79">
        <f t="shared" si="0"/>
        <v>34003</v>
      </c>
      <c r="N56" s="86" t="s">
        <v>431</v>
      </c>
      <c r="O56" s="87">
        <v>54302</v>
      </c>
      <c r="T56" s="83"/>
      <c r="W56" s="85"/>
      <c r="Y56" s="85"/>
      <c r="AA56" s="83"/>
      <c r="AC56" s="85"/>
      <c r="AE56" s="83"/>
    </row>
    <row r="57" spans="1:31">
      <c r="B57" s="84"/>
      <c r="C57" s="79">
        <v>14106</v>
      </c>
      <c r="D57" s="88" t="s">
        <v>349</v>
      </c>
      <c r="E57" s="88" t="s">
        <v>308</v>
      </c>
      <c r="F57" s="83"/>
      <c r="G57" s="79">
        <f t="shared" si="1"/>
        <v>54102</v>
      </c>
      <c r="H57" s="79">
        <f t="shared" si="0"/>
        <v>34004</v>
      </c>
      <c r="N57" s="86" t="s">
        <v>432</v>
      </c>
      <c r="O57" s="87">
        <v>54303</v>
      </c>
      <c r="T57" s="83"/>
      <c r="W57" s="85"/>
      <c r="Y57" s="85"/>
      <c r="AA57" s="83"/>
      <c r="AC57" s="85"/>
      <c r="AE57" s="83"/>
    </row>
    <row r="58" spans="1:31">
      <c r="A58" s="79">
        <v>14012</v>
      </c>
      <c r="B58" s="85" t="s">
        <v>315</v>
      </c>
      <c r="C58" s="79">
        <v>14107</v>
      </c>
      <c r="D58" s="88" t="s">
        <v>466</v>
      </c>
      <c r="E58" s="88" t="s">
        <v>309</v>
      </c>
      <c r="F58" s="83"/>
      <c r="G58" s="79">
        <f t="shared" si="1"/>
        <v>54103</v>
      </c>
      <c r="H58" s="79">
        <f t="shared" si="0"/>
        <v>34021</v>
      </c>
      <c r="N58" s="86" t="s">
        <v>433</v>
      </c>
      <c r="O58" s="87">
        <v>54304</v>
      </c>
    </row>
    <row r="59" spans="1:31">
      <c r="B59" s="84"/>
      <c r="C59" s="79">
        <v>14108</v>
      </c>
      <c r="D59" s="88" t="s">
        <v>349</v>
      </c>
      <c r="E59" s="88" t="s">
        <v>308</v>
      </c>
      <c r="F59" s="83"/>
      <c r="G59" s="79">
        <f t="shared" si="1"/>
        <v>54104</v>
      </c>
      <c r="H59" s="79">
        <f t="shared" si="0"/>
        <v>34004</v>
      </c>
      <c r="N59" s="86" t="s">
        <v>430</v>
      </c>
      <c r="O59" s="87">
        <v>54305</v>
      </c>
      <c r="T59" s="83"/>
      <c r="W59" s="85"/>
      <c r="Y59" s="85"/>
      <c r="AA59" s="83"/>
      <c r="AC59" s="85"/>
      <c r="AE59" s="83"/>
    </row>
    <row r="60" spans="1:31">
      <c r="A60" s="79">
        <v>14021</v>
      </c>
      <c r="B60" s="85" t="s">
        <v>319</v>
      </c>
      <c r="C60" s="79">
        <v>14109</v>
      </c>
      <c r="D60" s="88" t="s">
        <v>394</v>
      </c>
      <c r="E60" s="88" t="s">
        <v>373</v>
      </c>
      <c r="F60" s="83">
        <v>94005</v>
      </c>
      <c r="G60" s="79">
        <f t="shared" si="1"/>
        <v>54201</v>
      </c>
      <c r="H60" s="79">
        <f t="shared" si="0"/>
        <v>34007</v>
      </c>
      <c r="N60" s="86" t="s">
        <v>434</v>
      </c>
      <c r="O60" s="87">
        <v>54401</v>
      </c>
    </row>
    <row r="61" spans="1:31">
      <c r="A61" s="79">
        <v>14022</v>
      </c>
      <c r="B61" s="85" t="s">
        <v>415</v>
      </c>
      <c r="C61" s="79">
        <v>14110</v>
      </c>
      <c r="D61" s="88" t="s">
        <v>394</v>
      </c>
      <c r="E61" s="88" t="s">
        <v>374</v>
      </c>
      <c r="F61" s="83">
        <v>94005</v>
      </c>
      <c r="G61" s="79">
        <f t="shared" si="1"/>
        <v>54202</v>
      </c>
      <c r="H61" s="79">
        <f t="shared" si="0"/>
        <v>34007</v>
      </c>
      <c r="N61" s="86" t="s">
        <v>434</v>
      </c>
      <c r="O61" s="87">
        <v>54402</v>
      </c>
    </row>
    <row r="62" spans="1:31">
      <c r="A62" s="79">
        <v>14023</v>
      </c>
      <c r="B62" s="85" t="s">
        <v>416</v>
      </c>
      <c r="C62" s="79">
        <v>14111</v>
      </c>
      <c r="D62" s="88" t="s">
        <v>390</v>
      </c>
      <c r="E62" s="88" t="s">
        <v>321</v>
      </c>
      <c r="F62" s="83">
        <v>94005</v>
      </c>
      <c r="G62" s="79">
        <f t="shared" si="1"/>
        <v>54203</v>
      </c>
      <c r="H62" s="79">
        <f t="shared" si="0"/>
        <v>34005</v>
      </c>
      <c r="N62" s="86" t="s">
        <v>435</v>
      </c>
      <c r="O62" s="87">
        <v>54403</v>
      </c>
    </row>
    <row r="63" spans="1:31">
      <c r="B63" s="85"/>
      <c r="C63" s="79">
        <v>14112</v>
      </c>
      <c r="D63" s="88" t="s">
        <v>392</v>
      </c>
      <c r="E63" s="88" t="s">
        <v>372</v>
      </c>
      <c r="F63" s="83">
        <v>94005</v>
      </c>
      <c r="G63" s="79">
        <f t="shared" si="1"/>
        <v>54204</v>
      </c>
      <c r="H63" s="79">
        <f t="shared" si="0"/>
        <v>34006</v>
      </c>
      <c r="N63" s="86" t="s">
        <v>436</v>
      </c>
      <c r="O63" s="87">
        <v>54404</v>
      </c>
    </row>
    <row r="64" spans="1:31">
      <c r="B64" s="85"/>
      <c r="C64" s="79">
        <v>14113</v>
      </c>
      <c r="D64" s="88" t="s">
        <v>394</v>
      </c>
      <c r="E64" s="88" t="s">
        <v>323</v>
      </c>
      <c r="F64" s="83">
        <v>94005</v>
      </c>
      <c r="G64" s="79">
        <f t="shared" si="1"/>
        <v>54205</v>
      </c>
      <c r="H64" s="79">
        <f t="shared" si="0"/>
        <v>34007</v>
      </c>
      <c r="N64" s="86" t="s">
        <v>437</v>
      </c>
      <c r="O64" s="87">
        <v>54501</v>
      </c>
    </row>
    <row r="65" spans="1:17">
      <c r="A65" s="79">
        <v>14031</v>
      </c>
      <c r="B65" s="85" t="s">
        <v>316</v>
      </c>
      <c r="C65" s="79">
        <v>14114</v>
      </c>
      <c r="D65" s="88" t="s">
        <v>380</v>
      </c>
      <c r="E65" s="88" t="s">
        <v>399</v>
      </c>
      <c r="F65" s="83"/>
      <c r="G65" s="79">
        <f t="shared" si="1"/>
        <v>54301</v>
      </c>
      <c r="H65" s="79">
        <f t="shared" si="0"/>
        <v>34008</v>
      </c>
      <c r="N65" s="86" t="s">
        <v>438</v>
      </c>
      <c r="O65" s="87">
        <v>54502</v>
      </c>
    </row>
    <row r="66" spans="1:17">
      <c r="A66" s="79">
        <v>14032</v>
      </c>
      <c r="B66" s="85" t="s">
        <v>317</v>
      </c>
      <c r="C66" s="79">
        <v>14115</v>
      </c>
      <c r="D66" s="88" t="s">
        <v>444</v>
      </c>
      <c r="E66" s="88" t="s">
        <v>378</v>
      </c>
      <c r="F66" s="83">
        <v>94005</v>
      </c>
      <c r="G66" s="79">
        <f t="shared" si="1"/>
        <v>54302</v>
      </c>
      <c r="H66" s="79">
        <f t="shared" si="0"/>
        <v>34020</v>
      </c>
      <c r="N66" s="86" t="s">
        <v>438</v>
      </c>
      <c r="O66" s="87">
        <v>54503</v>
      </c>
    </row>
    <row r="67" spans="1:17">
      <c r="B67" s="85"/>
      <c r="C67" s="79">
        <v>14116</v>
      </c>
      <c r="D67" s="88" t="s">
        <v>394</v>
      </c>
      <c r="E67" s="88" t="s">
        <v>377</v>
      </c>
      <c r="F67" s="83">
        <v>94005</v>
      </c>
      <c r="G67" s="79">
        <f t="shared" si="1"/>
        <v>54303</v>
      </c>
      <c r="H67" s="79">
        <f t="shared" si="0"/>
        <v>34007</v>
      </c>
      <c r="N67" s="86" t="s">
        <v>437</v>
      </c>
      <c r="O67" s="87">
        <v>54504</v>
      </c>
    </row>
    <row r="68" spans="1:17">
      <c r="A68" s="79">
        <v>14033</v>
      </c>
      <c r="B68" s="85" t="s">
        <v>318</v>
      </c>
      <c r="C68" s="79">
        <v>14117</v>
      </c>
      <c r="D68" s="88" t="s">
        <v>380</v>
      </c>
      <c r="E68" s="88" t="s">
        <v>379</v>
      </c>
      <c r="F68" s="83"/>
      <c r="G68" s="79">
        <f t="shared" si="1"/>
        <v>54304</v>
      </c>
      <c r="H68" s="79">
        <f t="shared" si="0"/>
        <v>34008</v>
      </c>
      <c r="N68" s="86" t="s">
        <v>439</v>
      </c>
      <c r="O68" s="87">
        <v>54505</v>
      </c>
    </row>
    <row r="69" spans="1:17">
      <c r="B69" s="85"/>
      <c r="C69" s="79">
        <v>14118</v>
      </c>
      <c r="D69" s="85"/>
      <c r="E69" s="88" t="s">
        <v>399</v>
      </c>
      <c r="F69" s="83"/>
      <c r="G69" s="79">
        <f t="shared" si="1"/>
        <v>54305</v>
      </c>
      <c r="H69" s="79" t="str">
        <f t="shared" si="0"/>
        <v/>
      </c>
      <c r="N69" s="86" t="s">
        <v>439</v>
      </c>
      <c r="O69" s="87">
        <v>54506</v>
      </c>
    </row>
    <row r="70" spans="1:17">
      <c r="A70" s="79">
        <v>14041</v>
      </c>
      <c r="B70" s="83" t="s">
        <v>414</v>
      </c>
      <c r="C70" s="79">
        <v>14119</v>
      </c>
      <c r="D70" s="88" t="s">
        <v>371</v>
      </c>
      <c r="E70" s="88" t="s">
        <v>357</v>
      </c>
      <c r="F70" s="83">
        <v>94011</v>
      </c>
      <c r="G70" s="79">
        <f t="shared" si="1"/>
        <v>54401</v>
      </c>
      <c r="H70" s="79">
        <f t="shared" si="0"/>
        <v>34009</v>
      </c>
      <c r="N70" s="86" t="s">
        <v>440</v>
      </c>
      <c r="O70" s="87">
        <v>54507</v>
      </c>
    </row>
    <row r="71" spans="1:17">
      <c r="B71" s="85"/>
      <c r="C71" s="79">
        <v>14120</v>
      </c>
      <c r="D71" s="88" t="s">
        <v>369</v>
      </c>
      <c r="E71" s="88" t="s">
        <v>357</v>
      </c>
      <c r="F71" s="83"/>
      <c r="G71" s="79">
        <f t="shared" si="1"/>
        <v>54402</v>
      </c>
      <c r="H71" s="79">
        <f t="shared" si="0"/>
        <v>34010</v>
      </c>
      <c r="N71" s="86" t="s">
        <v>438</v>
      </c>
      <c r="O71" s="87">
        <v>54508</v>
      </c>
    </row>
    <row r="72" spans="1:17">
      <c r="B72" s="85"/>
      <c r="C72" s="79">
        <v>14121</v>
      </c>
      <c r="D72" s="88" t="s">
        <v>334</v>
      </c>
      <c r="E72" s="88" t="s">
        <v>353</v>
      </c>
      <c r="F72" s="83"/>
      <c r="G72" s="79">
        <f t="shared" si="1"/>
        <v>54403</v>
      </c>
      <c r="H72" s="79">
        <f t="shared" si="0"/>
        <v>34011</v>
      </c>
      <c r="N72" s="86" t="s">
        <v>438</v>
      </c>
      <c r="O72" s="87">
        <v>54509</v>
      </c>
    </row>
    <row r="73" spans="1:17">
      <c r="C73" s="79">
        <v>14122</v>
      </c>
      <c r="D73" s="88" t="s">
        <v>453</v>
      </c>
      <c r="E73" s="88" t="s">
        <v>355</v>
      </c>
      <c r="F73" s="80">
        <v>94010</v>
      </c>
      <c r="G73" s="79">
        <f t="shared" si="1"/>
        <v>54404</v>
      </c>
      <c r="H73" s="79">
        <f t="shared" si="0"/>
        <v>34012</v>
      </c>
      <c r="N73" s="86" t="s">
        <v>441</v>
      </c>
      <c r="O73" s="87">
        <v>54601</v>
      </c>
    </row>
    <row r="74" spans="1:17">
      <c r="A74" s="79">
        <v>14051</v>
      </c>
      <c r="B74" s="85" t="s">
        <v>338</v>
      </c>
      <c r="C74" s="79">
        <v>14123</v>
      </c>
      <c r="D74" s="88" t="s">
        <v>343</v>
      </c>
      <c r="E74" s="88" t="s">
        <v>347</v>
      </c>
      <c r="F74" s="83">
        <v>94012</v>
      </c>
      <c r="G74" s="79">
        <f t="shared" si="1"/>
        <v>54501</v>
      </c>
      <c r="H74" s="79">
        <f t="shared" si="0"/>
        <v>34013</v>
      </c>
      <c r="N74" s="86" t="s">
        <v>442</v>
      </c>
      <c r="O74" s="87">
        <v>54602</v>
      </c>
    </row>
    <row r="75" spans="1:17">
      <c r="B75" s="85"/>
      <c r="C75" s="79">
        <v>14124</v>
      </c>
      <c r="D75" s="88" t="s">
        <v>382</v>
      </c>
      <c r="E75" s="89" t="s">
        <v>350</v>
      </c>
      <c r="F75" s="83">
        <v>94013</v>
      </c>
      <c r="G75" s="79">
        <f t="shared" si="1"/>
        <v>54502</v>
      </c>
      <c r="H75" s="79">
        <f t="shared" si="0"/>
        <v>34014</v>
      </c>
      <c r="N75" s="86" t="s">
        <v>441</v>
      </c>
      <c r="O75" s="87">
        <v>54603</v>
      </c>
    </row>
    <row r="76" spans="1:17">
      <c r="B76" s="85"/>
      <c r="C76" s="79">
        <v>14125</v>
      </c>
      <c r="D76" s="88" t="s">
        <v>380</v>
      </c>
      <c r="E76" s="89" t="s">
        <v>350</v>
      </c>
      <c r="F76" s="83"/>
      <c r="G76" s="79">
        <f t="shared" si="1"/>
        <v>54503</v>
      </c>
      <c r="H76" s="79">
        <f t="shared" si="0"/>
        <v>34008</v>
      </c>
      <c r="N76" s="86" t="s">
        <v>443</v>
      </c>
      <c r="O76" s="87">
        <v>54604</v>
      </c>
    </row>
    <row r="77" spans="1:17">
      <c r="A77" s="79">
        <v>14052</v>
      </c>
      <c r="B77" s="85" t="s">
        <v>340</v>
      </c>
      <c r="C77" s="79">
        <v>14126</v>
      </c>
      <c r="D77" s="89" t="s">
        <v>343</v>
      </c>
      <c r="E77" s="88" t="s">
        <v>347</v>
      </c>
      <c r="F77" s="83">
        <v>94012</v>
      </c>
      <c r="G77" s="79">
        <f t="shared" si="1"/>
        <v>54504</v>
      </c>
      <c r="H77" s="79">
        <f t="shared" si="0"/>
        <v>34013</v>
      </c>
      <c r="N77" s="86" t="s">
        <v>442</v>
      </c>
      <c r="O77" s="87">
        <v>54605</v>
      </c>
      <c r="Q77" s="85"/>
    </row>
    <row r="78" spans="1:17">
      <c r="B78" s="85"/>
      <c r="C78" s="79">
        <v>14127</v>
      </c>
      <c r="D78" s="89" t="s">
        <v>382</v>
      </c>
      <c r="E78" s="89" t="s">
        <v>351</v>
      </c>
      <c r="F78" s="83">
        <v>94013</v>
      </c>
      <c r="G78" s="79">
        <f t="shared" si="1"/>
        <v>54505</v>
      </c>
      <c r="H78" s="79">
        <f t="shared" si="0"/>
        <v>34014</v>
      </c>
      <c r="L78" s="83"/>
      <c r="N78" s="86" t="s">
        <v>441</v>
      </c>
      <c r="O78" s="87">
        <v>54606</v>
      </c>
      <c r="Q78" s="85"/>
    </row>
    <row r="79" spans="1:17">
      <c r="B79" s="85"/>
      <c r="C79" s="79">
        <v>14128</v>
      </c>
      <c r="D79" s="89" t="s">
        <v>380</v>
      </c>
      <c r="E79" s="89" t="s">
        <v>351</v>
      </c>
      <c r="F79" s="83"/>
      <c r="G79" s="79">
        <f t="shared" si="1"/>
        <v>54506</v>
      </c>
      <c r="H79" s="79">
        <f t="shared" si="0"/>
        <v>34008</v>
      </c>
      <c r="N79" s="86" t="s">
        <v>443</v>
      </c>
      <c r="O79" s="87">
        <v>54607</v>
      </c>
    </row>
    <row r="80" spans="1:17">
      <c r="A80" s="79">
        <v>14053</v>
      </c>
      <c r="B80" s="85" t="s">
        <v>345</v>
      </c>
      <c r="C80" s="79">
        <v>14129</v>
      </c>
      <c r="D80" s="89" t="s">
        <v>343</v>
      </c>
      <c r="E80" s="89" t="s">
        <v>346</v>
      </c>
      <c r="F80" s="83">
        <v>94012</v>
      </c>
      <c r="G80" s="79">
        <f t="shared" si="1"/>
        <v>54507</v>
      </c>
      <c r="H80" s="79">
        <f t="shared" si="0"/>
        <v>34013</v>
      </c>
      <c r="L80" s="83"/>
      <c r="Q80" s="85"/>
    </row>
    <row r="81" spans="1:16">
      <c r="B81" s="85"/>
      <c r="C81" s="79">
        <v>14130</v>
      </c>
      <c r="D81" s="89" t="s">
        <v>382</v>
      </c>
      <c r="E81" s="89" t="s">
        <v>350</v>
      </c>
      <c r="F81" s="83">
        <v>94013</v>
      </c>
      <c r="G81" s="79">
        <f t="shared" si="1"/>
        <v>54508</v>
      </c>
      <c r="H81" s="79">
        <f t="shared" si="0"/>
        <v>34014</v>
      </c>
    </row>
    <row r="82" spans="1:16">
      <c r="B82" s="85"/>
      <c r="C82" s="79">
        <v>14131</v>
      </c>
      <c r="D82" s="89" t="s">
        <v>380</v>
      </c>
      <c r="E82" s="89" t="s">
        <v>350</v>
      </c>
      <c r="F82" s="83"/>
      <c r="G82" s="79">
        <f t="shared" si="1"/>
        <v>54509</v>
      </c>
      <c r="H82" s="79">
        <f t="shared" si="0"/>
        <v>34008</v>
      </c>
      <c r="L82" s="79" t="s">
        <v>417</v>
      </c>
      <c r="P82" s="80"/>
    </row>
    <row r="83" spans="1:16">
      <c r="A83" s="79">
        <v>14061</v>
      </c>
      <c r="B83" s="85" t="s">
        <v>361</v>
      </c>
      <c r="C83" s="79">
        <v>14132</v>
      </c>
      <c r="D83" s="88" t="s">
        <v>384</v>
      </c>
      <c r="E83" s="88" t="s">
        <v>366</v>
      </c>
      <c r="F83" s="80">
        <v>94016</v>
      </c>
      <c r="G83" s="79">
        <f t="shared" si="1"/>
        <v>54601</v>
      </c>
      <c r="H83" s="79">
        <f t="shared" si="0"/>
        <v>34016</v>
      </c>
      <c r="P83" s="80"/>
    </row>
    <row r="84" spans="1:16">
      <c r="B84" s="85"/>
      <c r="C84" s="79">
        <v>14133</v>
      </c>
      <c r="D84" s="88" t="s">
        <v>386</v>
      </c>
      <c r="E84" s="88" t="s">
        <v>367</v>
      </c>
      <c r="F84" s="80">
        <v>94014</v>
      </c>
      <c r="G84" s="79">
        <f t="shared" si="1"/>
        <v>54602</v>
      </c>
      <c r="H84" s="79">
        <f t="shared" si="0"/>
        <v>34017</v>
      </c>
      <c r="N84" s="75" t="s">
        <v>400</v>
      </c>
      <c r="O84" s="80">
        <v>94001</v>
      </c>
      <c r="P84" s="80"/>
    </row>
    <row r="85" spans="1:16">
      <c r="B85" s="85"/>
      <c r="C85" s="79">
        <v>14134</v>
      </c>
      <c r="D85" s="88" t="s">
        <v>388</v>
      </c>
      <c r="E85" s="88" t="s">
        <v>366</v>
      </c>
      <c r="F85" s="80">
        <v>94015</v>
      </c>
      <c r="G85" s="79">
        <f t="shared" si="1"/>
        <v>54603</v>
      </c>
      <c r="H85" s="79">
        <f t="shared" si="0"/>
        <v>34018</v>
      </c>
      <c r="N85" s="75" t="s">
        <v>401</v>
      </c>
      <c r="O85" s="80">
        <v>94002</v>
      </c>
      <c r="P85" s="80"/>
    </row>
    <row r="86" spans="1:16" ht="12.75">
      <c r="B86" s="85"/>
      <c r="C86" s="79">
        <v>14135</v>
      </c>
      <c r="D86" s="88" t="s">
        <v>452</v>
      </c>
      <c r="E86" s="88" t="s">
        <v>365</v>
      </c>
      <c r="F86" s="80">
        <v>94018</v>
      </c>
      <c r="G86" s="79">
        <f t="shared" si="1"/>
        <v>54604</v>
      </c>
      <c r="H86" s="79">
        <f t="shared" si="0"/>
        <v>34019</v>
      </c>
      <c r="N86" s="76" t="s">
        <v>402</v>
      </c>
      <c r="O86" s="80">
        <v>94003</v>
      </c>
      <c r="P86" s="80"/>
    </row>
    <row r="87" spans="1:16" ht="12.75">
      <c r="A87" s="79">
        <v>14062</v>
      </c>
      <c r="B87" s="85" t="s">
        <v>362</v>
      </c>
      <c r="C87" s="79">
        <v>14136</v>
      </c>
      <c r="D87" s="88" t="s">
        <v>386</v>
      </c>
      <c r="E87" s="88" t="s">
        <v>367</v>
      </c>
      <c r="F87" s="80">
        <v>94014</v>
      </c>
      <c r="G87" s="79">
        <f t="shared" si="1"/>
        <v>54605</v>
      </c>
      <c r="H87" s="79">
        <f t="shared" si="0"/>
        <v>34017</v>
      </c>
      <c r="N87" s="76" t="s">
        <v>403</v>
      </c>
      <c r="O87" s="80">
        <v>94004</v>
      </c>
      <c r="P87" s="80"/>
    </row>
    <row r="88" spans="1:16">
      <c r="C88" s="79">
        <v>14137</v>
      </c>
      <c r="D88" s="88" t="s">
        <v>388</v>
      </c>
      <c r="E88" s="88" t="s">
        <v>366</v>
      </c>
      <c r="F88" s="80">
        <v>94015</v>
      </c>
      <c r="G88" s="79">
        <f t="shared" si="1"/>
        <v>54606</v>
      </c>
      <c r="H88" s="79">
        <f t="shared" si="0"/>
        <v>34018</v>
      </c>
      <c r="N88" s="75" t="s">
        <v>404</v>
      </c>
      <c r="O88" s="80">
        <v>94005</v>
      </c>
      <c r="P88" s="80"/>
    </row>
    <row r="89" spans="1:16">
      <c r="C89" s="79">
        <v>14138</v>
      </c>
      <c r="D89" s="88" t="s">
        <v>452</v>
      </c>
      <c r="E89" s="88" t="s">
        <v>365</v>
      </c>
      <c r="F89" s="80">
        <v>94018</v>
      </c>
      <c r="G89" s="79">
        <f t="shared" si="1"/>
        <v>54607</v>
      </c>
      <c r="H89" s="79">
        <f t="shared" si="0"/>
        <v>34019</v>
      </c>
      <c r="N89" s="75" t="s">
        <v>405</v>
      </c>
      <c r="O89" s="80">
        <v>94006</v>
      </c>
      <c r="P89" s="80"/>
    </row>
    <row r="90" spans="1:16" ht="12.75">
      <c r="B90" s="94" t="s">
        <v>465</v>
      </c>
      <c r="C90" s="95">
        <v>14139</v>
      </c>
      <c r="D90" s="95" t="s">
        <v>459</v>
      </c>
      <c r="E90" s="95" t="s">
        <v>463</v>
      </c>
      <c r="F90" s="96"/>
      <c r="G90" s="95">
        <v>54101</v>
      </c>
      <c r="H90" s="95">
        <v>34022</v>
      </c>
      <c r="N90" s="76" t="s">
        <v>406</v>
      </c>
      <c r="O90" s="80">
        <v>94007</v>
      </c>
      <c r="P90" s="80"/>
    </row>
    <row r="91" spans="1:16">
      <c r="N91" s="75" t="s">
        <v>407</v>
      </c>
      <c r="O91" s="80">
        <v>94008</v>
      </c>
      <c r="P91" s="80"/>
    </row>
    <row r="92" spans="1:16" ht="12.75">
      <c r="N92" s="75" t="s">
        <v>445</v>
      </c>
      <c r="O92" s="80">
        <v>94009</v>
      </c>
      <c r="P92" s="80"/>
    </row>
    <row r="93" spans="1:16" ht="12.75">
      <c r="D93" s="79" t="s">
        <v>456</v>
      </c>
      <c r="L93" s="79" t="s">
        <v>455</v>
      </c>
      <c r="N93" s="76" t="s">
        <v>446</v>
      </c>
      <c r="O93" s="80">
        <v>94010</v>
      </c>
      <c r="P93" s="80"/>
    </row>
    <row r="94" spans="1:16">
      <c r="C94" s="84" t="s">
        <v>314</v>
      </c>
      <c r="D94" s="91">
        <v>14011</v>
      </c>
      <c r="E94" s="79">
        <v>14105</v>
      </c>
      <c r="F94" s="79">
        <v>14106</v>
      </c>
      <c r="I94" s="79" t="str">
        <f>E94&amp;"@1;"&amp;F94&amp;"@1"</f>
        <v>14105@1;14106@1</v>
      </c>
      <c r="L94" s="79" t="str">
        <f>"14101@1;14103@1;"&amp;I94&amp;";14104@1"</f>
        <v>14101@1;14103@1;14105@1;14106@1;14104@1</v>
      </c>
      <c r="N94" s="75" t="s">
        <v>408</v>
      </c>
      <c r="O94" s="80">
        <v>94011</v>
      </c>
      <c r="P94" s="80"/>
    </row>
    <row r="95" spans="1:16">
      <c r="C95" s="85" t="s">
        <v>315</v>
      </c>
      <c r="D95" s="91">
        <v>14012</v>
      </c>
      <c r="E95" s="79">
        <v>14107</v>
      </c>
      <c r="F95" s="95">
        <v>14139</v>
      </c>
      <c r="G95" s="79">
        <v>14108</v>
      </c>
      <c r="I95" s="79" t="str">
        <f>E95&amp;"@1;"&amp;F95&amp;"@1;"&amp;G95&amp;"@1"</f>
        <v>14107@1;14139@1;14108@1</v>
      </c>
      <c r="L95" s="79" t="str">
        <f>"14101@1;14103@1;"&amp;I95&amp;";14104@1"</f>
        <v>14101@1;14103@1;14107@1;14139@1;14108@1;14104@1</v>
      </c>
      <c r="N95" s="75" t="s">
        <v>409</v>
      </c>
      <c r="O95" s="80">
        <v>94012</v>
      </c>
      <c r="P95" s="80"/>
    </row>
    <row r="96" spans="1:16" ht="12.75">
      <c r="C96" s="85" t="s">
        <v>319</v>
      </c>
      <c r="D96" s="91">
        <v>14021</v>
      </c>
      <c r="E96" s="79">
        <v>14109</v>
      </c>
      <c r="I96" s="79" t="str">
        <f>E96&amp;"@1"</f>
        <v>14109@1</v>
      </c>
      <c r="L96" s="79" t="str">
        <f t="shared" ref="L96:L107" si="2">"14102@1;14103@1;"&amp;I96&amp;";14104@1"</f>
        <v>14102@1;14103@1;14109@1;14104@1</v>
      </c>
      <c r="N96" s="75" t="s">
        <v>410</v>
      </c>
      <c r="O96" s="80">
        <v>94013</v>
      </c>
      <c r="P96" s="80"/>
    </row>
    <row r="97" spans="3:16">
      <c r="C97" s="85" t="s">
        <v>415</v>
      </c>
      <c r="D97" s="91">
        <v>14022</v>
      </c>
      <c r="E97" s="79">
        <v>14110</v>
      </c>
      <c r="I97" s="79" t="str">
        <f>E97&amp;"@1"</f>
        <v>14110@1</v>
      </c>
      <c r="L97" s="79" t="str">
        <f t="shared" si="2"/>
        <v>14102@1;14103@1;14110@1;14104@1</v>
      </c>
      <c r="N97" s="75" t="s">
        <v>411</v>
      </c>
      <c r="O97" s="80">
        <v>94014</v>
      </c>
      <c r="P97" s="80"/>
    </row>
    <row r="98" spans="3:16" ht="12.75">
      <c r="C98" s="85" t="s">
        <v>416</v>
      </c>
      <c r="D98" s="91">
        <v>14023</v>
      </c>
      <c r="E98" s="79">
        <v>14111</v>
      </c>
      <c r="F98" s="79">
        <v>14112</v>
      </c>
      <c r="G98" s="79">
        <v>14113</v>
      </c>
      <c r="I98" s="79" t="str">
        <f>E98&amp;"@1;"&amp;F98&amp;"@1;"&amp;G98&amp;"@1"</f>
        <v>14111@1;14112@1;14113@1</v>
      </c>
      <c r="L98" s="79" t="str">
        <f t="shared" si="2"/>
        <v>14102@1;14103@1;14111@1;14112@1;14113@1;14104@1</v>
      </c>
      <c r="N98" s="75" t="s">
        <v>412</v>
      </c>
      <c r="O98" s="80">
        <v>94015</v>
      </c>
      <c r="P98" s="80"/>
    </row>
    <row r="99" spans="3:16" ht="12.75">
      <c r="C99" s="85" t="s">
        <v>316</v>
      </c>
      <c r="D99" s="91">
        <v>14031</v>
      </c>
      <c r="E99" s="79">
        <v>14114</v>
      </c>
      <c r="I99" s="79" t="str">
        <f>E99&amp;"@1"</f>
        <v>14114@1</v>
      </c>
      <c r="L99" s="79" t="str">
        <f>"14101@1;14103@1;"&amp;I99&amp;";14104@1"</f>
        <v>14101@1;14103@1;14114@1;14104@1</v>
      </c>
      <c r="N99" s="76" t="s">
        <v>413</v>
      </c>
      <c r="O99" s="80">
        <v>94016</v>
      </c>
      <c r="P99" s="80"/>
    </row>
    <row r="100" spans="3:16" ht="12.75">
      <c r="C100" s="85" t="s">
        <v>317</v>
      </c>
      <c r="D100" s="91">
        <v>14032</v>
      </c>
      <c r="E100" s="79">
        <v>14115</v>
      </c>
      <c r="F100" s="79">
        <v>14116</v>
      </c>
      <c r="I100" s="79" t="str">
        <f>E100&amp;"@1;"&amp;F100&amp;"@1"</f>
        <v>14115@1;14116@1</v>
      </c>
      <c r="L100" s="79" t="str">
        <f>"14101@1;14103@1;"&amp;I100&amp;";14104@1"</f>
        <v>14101@1;14103@1;14115@1;14116@1;14104@1</v>
      </c>
      <c r="N100" s="75" t="s">
        <v>447</v>
      </c>
      <c r="O100" s="80">
        <v>94017</v>
      </c>
      <c r="P100" s="80"/>
    </row>
    <row r="101" spans="3:16" ht="12.75">
      <c r="C101" s="85" t="s">
        <v>318</v>
      </c>
      <c r="D101" s="91">
        <v>14033</v>
      </c>
      <c r="E101" s="79">
        <v>14117</v>
      </c>
      <c r="F101" s="79">
        <v>14118</v>
      </c>
      <c r="I101" s="79" t="str">
        <f>E101&amp;"@1;"&amp;F101&amp;"@1"</f>
        <v>14117@1;14118@1</v>
      </c>
      <c r="L101" s="79" t="str">
        <f>"14101@1;14103@1;"&amp;I101&amp;";14104@1"</f>
        <v>14101@1;14103@1;14117@1;14118@1;14104@1</v>
      </c>
      <c r="N101" s="76" t="s">
        <v>448</v>
      </c>
      <c r="O101" s="80">
        <v>94018</v>
      </c>
      <c r="P101" s="80"/>
    </row>
    <row r="102" spans="3:16">
      <c r="C102" s="83" t="s">
        <v>414</v>
      </c>
      <c r="D102" s="91">
        <v>14041</v>
      </c>
      <c r="E102" s="79">
        <v>14119</v>
      </c>
      <c r="F102" s="79">
        <v>14120</v>
      </c>
      <c r="G102" s="79">
        <v>14121</v>
      </c>
      <c r="H102" s="79">
        <v>14122</v>
      </c>
      <c r="I102" s="79" t="str">
        <f t="shared" ref="I102:I106" si="3">E102&amp;"@1;"&amp;F102&amp;"@1;"&amp;G102&amp;"@1;"&amp;H102&amp;"@1"</f>
        <v>14119@1;14120@1;14121@1;14122@1</v>
      </c>
      <c r="L102" s="79" t="str">
        <f t="shared" si="2"/>
        <v>14102@1;14103@1;14119@1;14120@1;14121@1;14122@1;14104@1</v>
      </c>
    </row>
    <row r="103" spans="3:16">
      <c r="C103" s="85" t="s">
        <v>338</v>
      </c>
      <c r="D103" s="91">
        <v>14051</v>
      </c>
      <c r="E103" s="79">
        <v>14123</v>
      </c>
      <c r="F103" s="79">
        <v>14124</v>
      </c>
      <c r="G103" s="79">
        <v>14125</v>
      </c>
      <c r="I103" s="79" t="str">
        <f>E103&amp;"@1;"&amp;F103&amp;"@1;"&amp;G103&amp;"@1"</f>
        <v>14123@1;14124@1;14125@1</v>
      </c>
      <c r="L103" s="79" t="str">
        <f t="shared" si="2"/>
        <v>14102@1;14103@1;14123@1;14124@1;14125@1;14104@1</v>
      </c>
    </row>
    <row r="104" spans="3:16">
      <c r="C104" s="85" t="s">
        <v>340</v>
      </c>
      <c r="D104" s="91">
        <v>14052</v>
      </c>
      <c r="E104" s="79">
        <v>14126</v>
      </c>
      <c r="F104" s="79">
        <v>14127</v>
      </c>
      <c r="G104" s="79">
        <v>14128</v>
      </c>
      <c r="I104" s="79" t="str">
        <f>E104&amp;"@1;"&amp;F104&amp;"@1;"&amp;G104&amp;"@1"</f>
        <v>14126@1;14127@1;14128@1</v>
      </c>
      <c r="L104" s="79" t="str">
        <f t="shared" si="2"/>
        <v>14102@1;14103@1;14126@1;14127@1;14128@1;14104@1</v>
      </c>
    </row>
    <row r="105" spans="3:16">
      <c r="C105" s="85" t="s">
        <v>345</v>
      </c>
      <c r="D105" s="91">
        <v>14053</v>
      </c>
      <c r="E105" s="79">
        <v>14129</v>
      </c>
      <c r="F105" s="79">
        <v>14130</v>
      </c>
      <c r="G105" s="79">
        <v>14131</v>
      </c>
      <c r="I105" s="79" t="str">
        <f>E105&amp;"@1;"&amp;F105&amp;"@1;"&amp;G105&amp;"@1"</f>
        <v>14129@1;14130@1;14131@1</v>
      </c>
      <c r="L105" s="79" t="str">
        <f t="shared" si="2"/>
        <v>14102@1;14103@1;14129@1;14130@1;14131@1;14104@1</v>
      </c>
    </row>
    <row r="106" spans="3:16">
      <c r="C106" s="85" t="s">
        <v>361</v>
      </c>
      <c r="D106" s="91">
        <v>14061</v>
      </c>
      <c r="E106" s="79">
        <v>14132</v>
      </c>
      <c r="F106" s="79">
        <v>14133</v>
      </c>
      <c r="G106" s="79">
        <v>14134</v>
      </c>
      <c r="H106" s="79">
        <v>14135</v>
      </c>
      <c r="I106" s="79" t="str">
        <f t="shared" si="3"/>
        <v>14132@1;14133@1;14134@1;14135@1</v>
      </c>
      <c r="L106" s="79" t="str">
        <f t="shared" si="2"/>
        <v>14102@1;14103@1;14132@1;14133@1;14134@1;14135@1;14104@1</v>
      </c>
    </row>
    <row r="107" spans="3:16">
      <c r="C107" s="85" t="s">
        <v>362</v>
      </c>
      <c r="D107" s="91">
        <v>14062</v>
      </c>
      <c r="E107" s="79">
        <v>14136</v>
      </c>
      <c r="F107" s="79">
        <v>14137</v>
      </c>
      <c r="G107" s="79">
        <v>14138</v>
      </c>
      <c r="I107" s="79" t="str">
        <f>E107&amp;"@1;"&amp;F107&amp;"@1;"&amp;G107&amp;"@1"</f>
        <v>14136@1;14137@1;14138@1</v>
      </c>
      <c r="L107" s="79" t="str">
        <f t="shared" si="2"/>
        <v>14102@1;14103@1;14136@1;14137@1;14138@1;14104@1</v>
      </c>
    </row>
    <row r="108" spans="3:16">
      <c r="C108" s="83"/>
      <c r="D108" s="83"/>
    </row>
    <row r="109" spans="3:16" ht="13.5">
      <c r="C109" s="59" t="s">
        <v>328</v>
      </c>
      <c r="D109" s="83">
        <f>$D$102</f>
        <v>14041</v>
      </c>
    </row>
    <row r="110" spans="3:16" ht="13.5">
      <c r="C110" s="59" t="s">
        <v>330</v>
      </c>
      <c r="D110" s="83">
        <f t="shared" ref="D110:D111" si="4">$D$102</f>
        <v>14041</v>
      </c>
    </row>
    <row r="111" spans="3:16" ht="13.5">
      <c r="C111" s="59" t="s">
        <v>332</v>
      </c>
      <c r="D111" s="83">
        <f t="shared" si="4"/>
        <v>14041</v>
      </c>
    </row>
    <row r="112" spans="3:16">
      <c r="C112" s="83"/>
      <c r="D112" s="83"/>
    </row>
    <row r="113" spans="3:4">
      <c r="C113" s="79" t="s">
        <v>458</v>
      </c>
      <c r="D113" s="79">
        <v>14104</v>
      </c>
    </row>
  </sheetData>
  <phoneticPr fontId="1" type="noConversion"/>
  <pageMargins left="0.7" right="0.7" top="0.75" bottom="0.75" header="0.3" footer="0.3"/>
  <ignoredErrors>
    <ignoredError sqref="I98 I10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C1:K215"/>
  <sheetViews>
    <sheetView topLeftCell="D178" zoomScale="85" zoomScaleNormal="85" workbookViewId="0">
      <selection activeCell="H209" sqref="H209"/>
    </sheetView>
  </sheetViews>
  <sheetFormatPr defaultRowHeight="13.5"/>
  <cols>
    <col min="1" max="3" width="9" style="138"/>
    <col min="4" max="4" width="15.125" style="138" bestFit="1" customWidth="1"/>
    <col min="5" max="6" width="9" style="138"/>
    <col min="7" max="7" width="66.5" style="138" customWidth="1"/>
    <col min="8" max="8" width="68.625" style="138" customWidth="1"/>
    <col min="9" max="9" width="58.375" style="138" customWidth="1"/>
    <col min="10" max="10" width="45.625" style="138" customWidth="1"/>
    <col min="11" max="11" width="34.125" style="138" bestFit="1" customWidth="1"/>
    <col min="12" max="12" width="9" style="138" customWidth="1"/>
    <col min="13" max="16384" width="9" style="138"/>
  </cols>
  <sheetData>
    <row r="1" spans="4:8">
      <c r="D1" s="120" t="s">
        <v>522</v>
      </c>
      <c r="H1" s="138" t="s">
        <v>537</v>
      </c>
    </row>
    <row r="2" spans="4:8">
      <c r="F2" s="16" t="s">
        <v>543</v>
      </c>
      <c r="G2" s="138" t="s">
        <v>505</v>
      </c>
      <c r="H2" s="138" t="s">
        <v>504</v>
      </c>
    </row>
    <row r="3" spans="4:8">
      <c r="E3" s="138">
        <v>1</v>
      </c>
      <c r="F3" s="139" t="s">
        <v>544</v>
      </c>
      <c r="G3" s="113" t="s">
        <v>545</v>
      </c>
      <c r="H3" s="113" t="s">
        <v>546</v>
      </c>
    </row>
    <row r="4" spans="4:8">
      <c r="E4" s="138">
        <v>2</v>
      </c>
      <c r="F4" s="139" t="s">
        <v>510</v>
      </c>
      <c r="G4" s="113" t="s">
        <v>547</v>
      </c>
      <c r="H4" s="113" t="s">
        <v>546</v>
      </c>
    </row>
    <row r="5" spans="4:8">
      <c r="E5" s="138">
        <v>3</v>
      </c>
      <c r="F5" s="139" t="s">
        <v>506</v>
      </c>
      <c r="G5" s="113" t="s">
        <v>501</v>
      </c>
      <c r="H5" s="113" t="s">
        <v>546</v>
      </c>
    </row>
    <row r="6" spans="4:8">
      <c r="E6" s="138">
        <v>4</v>
      </c>
      <c r="F6" s="139" t="s">
        <v>511</v>
      </c>
      <c r="G6" s="113" t="s">
        <v>501</v>
      </c>
      <c r="H6" s="113" t="s">
        <v>502</v>
      </c>
    </row>
    <row r="7" spans="4:8">
      <c r="E7" s="138">
        <v>5</v>
      </c>
      <c r="F7" s="139" t="s">
        <v>548</v>
      </c>
      <c r="G7" s="113" t="s">
        <v>549</v>
      </c>
      <c r="H7" s="113" t="s">
        <v>503</v>
      </c>
    </row>
    <row r="9" spans="4:8">
      <c r="D9" s="120" t="s">
        <v>521</v>
      </c>
    </row>
    <row r="10" spans="4:8">
      <c r="F10" s="121" t="s">
        <v>514</v>
      </c>
      <c r="G10" s="154" t="s">
        <v>696</v>
      </c>
      <c r="H10" s="140" t="s">
        <v>542</v>
      </c>
    </row>
    <row r="11" spans="4:8">
      <c r="F11" s="6"/>
      <c r="G11" s="127" t="s">
        <v>751</v>
      </c>
      <c r="H11" s="111" t="s">
        <v>1100</v>
      </c>
    </row>
    <row r="12" spans="4:8">
      <c r="F12" s="6"/>
      <c r="G12" s="148" t="s">
        <v>1036</v>
      </c>
      <c r="H12" s="111" t="s">
        <v>1101</v>
      </c>
    </row>
    <row r="13" spans="4:8">
      <c r="F13" s="6"/>
      <c r="G13" s="128" t="s">
        <v>507</v>
      </c>
      <c r="H13" s="111" t="s">
        <v>747</v>
      </c>
    </row>
    <row r="14" spans="4:8">
      <c r="F14" s="125"/>
      <c r="G14" s="129" t="s">
        <v>550</v>
      </c>
      <c r="H14" s="264"/>
    </row>
    <row r="15" spans="4:8">
      <c r="F15" s="121" t="s">
        <v>515</v>
      </c>
      <c r="G15" s="155" t="s">
        <v>1055</v>
      </c>
      <c r="H15" s="265"/>
    </row>
    <row r="16" spans="4:8">
      <c r="F16" s="126"/>
      <c r="G16" s="127" t="s">
        <v>551</v>
      </c>
      <c r="H16" s="111" t="s">
        <v>1100</v>
      </c>
    </row>
    <row r="17" spans="6:8">
      <c r="F17" s="6"/>
      <c r="G17" s="128" t="s">
        <v>1108</v>
      </c>
      <c r="H17" s="111" t="s">
        <v>1102</v>
      </c>
    </row>
    <row r="18" spans="6:8">
      <c r="F18" s="6"/>
      <c r="G18" s="130" t="s">
        <v>1038</v>
      </c>
      <c r="H18" s="111" t="s">
        <v>747</v>
      </c>
    </row>
    <row r="19" spans="6:8">
      <c r="F19" s="6"/>
      <c r="G19" s="269" t="s">
        <v>1115</v>
      </c>
      <c r="H19" s="270" t="s">
        <v>1114</v>
      </c>
    </row>
    <row r="20" spans="6:8">
      <c r="F20" s="125"/>
      <c r="G20" s="143" t="s">
        <v>1039</v>
      </c>
      <c r="H20" s="264"/>
    </row>
    <row r="21" spans="6:8">
      <c r="F21" s="121" t="s">
        <v>516</v>
      </c>
      <c r="G21" s="153" t="s">
        <v>541</v>
      </c>
      <c r="H21" s="265"/>
    </row>
    <row r="22" spans="6:8">
      <c r="F22" s="126"/>
      <c r="G22" s="144" t="s">
        <v>512</v>
      </c>
      <c r="H22" s="266" t="s">
        <v>1103</v>
      </c>
    </row>
    <row r="23" spans="6:8">
      <c r="F23" s="6"/>
      <c r="G23" s="142" t="s">
        <v>540</v>
      </c>
      <c r="H23" s="111" t="s">
        <v>747</v>
      </c>
    </row>
    <row r="24" spans="6:8">
      <c r="F24" s="6"/>
      <c r="G24" s="131" t="s">
        <v>513</v>
      </c>
      <c r="H24" s="111" t="s">
        <v>538</v>
      </c>
    </row>
    <row r="25" spans="6:8">
      <c r="F25" s="125"/>
      <c r="G25" s="146" t="s">
        <v>539</v>
      </c>
      <c r="H25" s="264"/>
    </row>
    <row r="26" spans="6:8">
      <c r="F26" s="121" t="s">
        <v>517</v>
      </c>
      <c r="G26" s="260" t="s">
        <v>1054</v>
      </c>
      <c r="H26" s="266"/>
    </row>
    <row r="27" spans="6:8">
      <c r="F27" s="126"/>
      <c r="G27" s="268" t="s">
        <v>1052</v>
      </c>
      <c r="H27" s="267" t="s">
        <v>552</v>
      </c>
    </row>
    <row r="28" spans="6:8">
      <c r="F28" s="6"/>
      <c r="G28" s="130" t="s">
        <v>1107</v>
      </c>
      <c r="H28" s="148" t="s">
        <v>1056</v>
      </c>
    </row>
    <row r="29" spans="6:8">
      <c r="F29" s="6"/>
      <c r="G29" s="269"/>
      <c r="H29" s="270"/>
    </row>
    <row r="30" spans="6:8">
      <c r="F30" s="125"/>
      <c r="G30" s="146" t="s">
        <v>1057</v>
      </c>
      <c r="H30" s="129"/>
    </row>
    <row r="31" spans="6:8">
      <c r="F31" s="126" t="s">
        <v>518</v>
      </c>
      <c r="G31" s="250" t="s">
        <v>699</v>
      </c>
      <c r="H31" s="111"/>
    </row>
    <row r="32" spans="6:8">
      <c r="F32" s="126"/>
      <c r="G32" s="132" t="s">
        <v>922</v>
      </c>
      <c r="H32" s="266" t="s">
        <v>552</v>
      </c>
    </row>
    <row r="33" spans="6:10">
      <c r="F33" s="6"/>
      <c r="G33" s="133" t="s">
        <v>553</v>
      </c>
      <c r="H33" s="111" t="s">
        <v>1104</v>
      </c>
    </row>
    <row r="34" spans="6:10">
      <c r="F34" s="6"/>
      <c r="G34" s="131" t="s">
        <v>554</v>
      </c>
      <c r="H34" s="111"/>
    </row>
    <row r="35" spans="6:10">
      <c r="F35" s="125"/>
      <c r="G35" s="134"/>
      <c r="H35" s="264"/>
    </row>
    <row r="36" spans="6:10">
      <c r="F36" s="125" t="s">
        <v>533</v>
      </c>
      <c r="G36" s="156" t="s">
        <v>698</v>
      </c>
      <c r="H36" s="264"/>
    </row>
    <row r="37" spans="6:10">
      <c r="F37" s="126"/>
      <c r="G37" s="128" t="s">
        <v>926</v>
      </c>
      <c r="H37" s="266" t="s">
        <v>1105</v>
      </c>
    </row>
    <row r="38" spans="6:10">
      <c r="F38" s="6"/>
      <c r="G38" s="128" t="s">
        <v>752</v>
      </c>
      <c r="H38" s="111" t="s">
        <v>555</v>
      </c>
    </row>
    <row r="39" spans="6:10">
      <c r="F39" s="6"/>
      <c r="G39" s="147" t="s">
        <v>556</v>
      </c>
      <c r="H39" s="111" t="s">
        <v>1037</v>
      </c>
    </row>
    <row r="40" spans="6:10">
      <c r="F40" s="6"/>
      <c r="G40" s="270" t="s">
        <v>1218</v>
      </c>
      <c r="H40" s="272" t="s">
        <v>1231</v>
      </c>
    </row>
    <row r="41" spans="6:10">
      <c r="F41" s="125"/>
      <c r="G41" s="142" t="s">
        <v>1111</v>
      </c>
      <c r="H41" s="264"/>
    </row>
    <row r="42" spans="6:10">
      <c r="F42" s="121" t="s">
        <v>534</v>
      </c>
      <c r="G42" s="153" t="s">
        <v>697</v>
      </c>
      <c r="H42" s="265"/>
    </row>
    <row r="43" spans="6:10">
      <c r="F43" s="126"/>
      <c r="G43" s="277" t="s">
        <v>1123</v>
      </c>
      <c r="H43" s="278" t="s">
        <v>1124</v>
      </c>
    </row>
    <row r="44" spans="6:10">
      <c r="F44" s="6"/>
      <c r="G44" s="148" t="s">
        <v>949</v>
      </c>
      <c r="H44" s="111"/>
    </row>
    <row r="45" spans="6:10">
      <c r="F45" s="6"/>
      <c r="G45" s="135"/>
      <c r="H45" s="111" t="s">
        <v>1113</v>
      </c>
      <c r="J45" s="138" t="s">
        <v>695</v>
      </c>
    </row>
    <row r="46" spans="6:10">
      <c r="F46" s="125"/>
      <c r="G46" s="134"/>
      <c r="H46" s="264"/>
    </row>
    <row r="47" spans="6:10">
      <c r="F47" s="121" t="s">
        <v>535</v>
      </c>
      <c r="G47" s="153" t="s">
        <v>696</v>
      </c>
      <c r="H47" s="265"/>
    </row>
    <row r="48" spans="6:10">
      <c r="F48" s="126"/>
      <c r="G48" s="267" t="s">
        <v>993</v>
      </c>
      <c r="H48" s="266" t="s">
        <v>1234</v>
      </c>
    </row>
    <row r="49" spans="3:11">
      <c r="F49" s="6"/>
      <c r="G49" s="136" t="s">
        <v>992</v>
      </c>
      <c r="H49" s="111" t="s">
        <v>994</v>
      </c>
    </row>
    <row r="50" spans="3:11">
      <c r="F50" s="6"/>
      <c r="G50" s="136" t="s">
        <v>1028</v>
      </c>
      <c r="H50" s="111" t="s">
        <v>747</v>
      </c>
    </row>
    <row r="51" spans="3:11">
      <c r="F51" s="6"/>
      <c r="G51" s="136" t="s">
        <v>1224</v>
      </c>
      <c r="H51" s="111" t="s">
        <v>1106</v>
      </c>
    </row>
    <row r="52" spans="3:11">
      <c r="F52" s="125"/>
      <c r="G52" s="137" t="s">
        <v>749</v>
      </c>
      <c r="H52" s="264"/>
    </row>
    <row r="53" spans="3:11">
      <c r="F53" s="121" t="s">
        <v>536</v>
      </c>
      <c r="G53" s="155" t="s">
        <v>700</v>
      </c>
      <c r="H53" s="265"/>
    </row>
    <row r="54" spans="3:11">
      <c r="F54" s="126"/>
      <c r="G54" s="127" t="s">
        <v>1041</v>
      </c>
      <c r="H54" s="267" t="s">
        <v>552</v>
      </c>
    </row>
    <row r="55" spans="3:11">
      <c r="F55" s="6"/>
      <c r="G55" s="279"/>
      <c r="H55" s="270"/>
    </row>
    <row r="56" spans="3:11">
      <c r="F56" s="6"/>
      <c r="G56" s="131" t="s">
        <v>558</v>
      </c>
      <c r="H56" s="133" t="s">
        <v>750</v>
      </c>
    </row>
    <row r="57" spans="3:11">
      <c r="F57" s="125"/>
      <c r="G57" s="137" t="s">
        <v>1040</v>
      </c>
      <c r="H57" s="129"/>
    </row>
    <row r="58" spans="3:11">
      <c r="D58" s="117" t="s">
        <v>559</v>
      </c>
    </row>
    <row r="59" spans="3:11">
      <c r="G59" s="1" t="s">
        <v>39</v>
      </c>
      <c r="I59" s="1" t="s">
        <v>41</v>
      </c>
    </row>
    <row r="60" spans="3:11">
      <c r="C60" s="97">
        <v>110000</v>
      </c>
      <c r="D60" s="98" t="s">
        <v>560</v>
      </c>
      <c r="G60" s="114" t="s">
        <v>561</v>
      </c>
      <c r="H60" s="54"/>
      <c r="I60" s="63" t="s">
        <v>562</v>
      </c>
      <c r="J60" s="54"/>
    </row>
    <row r="61" spans="3:11">
      <c r="C61" s="97">
        <v>110001</v>
      </c>
      <c r="D61" s="98" t="s">
        <v>563</v>
      </c>
      <c r="E61" s="138">
        <v>1</v>
      </c>
      <c r="G61" s="57"/>
      <c r="H61" s="58"/>
      <c r="I61" s="57"/>
      <c r="J61" s="58"/>
    </row>
    <row r="62" spans="3:11">
      <c r="C62" s="97">
        <v>110002</v>
      </c>
      <c r="D62" s="98" t="s">
        <v>564</v>
      </c>
      <c r="E62" s="138">
        <v>2</v>
      </c>
      <c r="G62" s="57"/>
      <c r="H62" s="58"/>
      <c r="I62" s="57"/>
      <c r="J62" s="58"/>
      <c r="K62" s="113"/>
    </row>
    <row r="63" spans="3:11">
      <c r="C63" s="97">
        <v>110003</v>
      </c>
      <c r="D63" s="98" t="s">
        <v>565</v>
      </c>
      <c r="E63" s="138">
        <v>3</v>
      </c>
      <c r="G63" s="57"/>
      <c r="H63" s="58"/>
      <c r="I63" s="57"/>
      <c r="J63" s="58"/>
      <c r="K63" s="113"/>
    </row>
    <row r="64" spans="3:11">
      <c r="C64" s="97">
        <v>110004</v>
      </c>
      <c r="D64" s="98" t="s">
        <v>566</v>
      </c>
      <c r="E64" s="138">
        <v>4</v>
      </c>
      <c r="G64" s="57" t="s">
        <v>567</v>
      </c>
      <c r="H64" s="58" t="s">
        <v>568</v>
      </c>
      <c r="I64" s="57" t="s">
        <v>567</v>
      </c>
      <c r="J64" s="58" t="s">
        <v>568</v>
      </c>
      <c r="K64" s="113"/>
    </row>
    <row r="65" spans="3:11">
      <c r="C65" s="97">
        <v>110005</v>
      </c>
      <c r="D65" s="98" t="s">
        <v>569</v>
      </c>
      <c r="E65" s="138">
        <v>5</v>
      </c>
      <c r="G65" s="57" t="s">
        <v>1050</v>
      </c>
      <c r="H65" s="58" t="s">
        <v>570</v>
      </c>
      <c r="I65" s="57" t="s">
        <v>1050</v>
      </c>
      <c r="J65" s="58" t="s">
        <v>570</v>
      </c>
      <c r="K65" s="109"/>
    </row>
    <row r="66" spans="3:11">
      <c r="C66" s="97">
        <v>110006</v>
      </c>
      <c r="D66" s="98" t="s">
        <v>571</v>
      </c>
      <c r="G66" s="57" t="s">
        <v>1051</v>
      </c>
      <c r="H66" s="58" t="s">
        <v>301</v>
      </c>
      <c r="I66" s="57" t="s">
        <v>1051</v>
      </c>
      <c r="J66" s="58" t="s">
        <v>570</v>
      </c>
      <c r="K66" s="109"/>
    </row>
    <row r="67" spans="3:11">
      <c r="C67" s="97">
        <v>110007</v>
      </c>
      <c r="D67" s="98" t="s">
        <v>572</v>
      </c>
      <c r="G67" s="57" t="s">
        <v>764</v>
      </c>
      <c r="H67" s="58" t="s">
        <v>574</v>
      </c>
      <c r="I67" s="57" t="s">
        <v>573</v>
      </c>
      <c r="J67" s="58" t="s">
        <v>574</v>
      </c>
    </row>
    <row r="68" spans="3:11">
      <c r="C68" s="97">
        <v>110008</v>
      </c>
      <c r="D68" s="98" t="s">
        <v>467</v>
      </c>
      <c r="G68" s="49" t="s">
        <v>575</v>
      </c>
      <c r="H68" s="48" t="s">
        <v>576</v>
      </c>
      <c r="I68" s="49" t="s">
        <v>575</v>
      </c>
      <c r="J68" s="48" t="s">
        <v>576</v>
      </c>
    </row>
    <row r="69" spans="3:11">
      <c r="C69" s="97">
        <v>110009</v>
      </c>
      <c r="D69" s="98" t="s">
        <v>468</v>
      </c>
      <c r="G69" s="57" t="s">
        <v>577</v>
      </c>
      <c r="H69" s="58" t="s">
        <v>578</v>
      </c>
      <c r="I69" s="57" t="s">
        <v>577</v>
      </c>
      <c r="J69" s="58" t="s">
        <v>578</v>
      </c>
    </row>
    <row r="70" spans="3:11">
      <c r="C70" s="97">
        <v>110010</v>
      </c>
      <c r="D70" s="98" t="s">
        <v>469</v>
      </c>
      <c r="G70" s="110" t="s">
        <v>579</v>
      </c>
      <c r="H70" s="111" t="s">
        <v>578</v>
      </c>
      <c r="I70" s="110" t="s">
        <v>462</v>
      </c>
      <c r="J70" s="111" t="s">
        <v>582</v>
      </c>
    </row>
    <row r="71" spans="3:11">
      <c r="C71" s="97">
        <v>110011</v>
      </c>
      <c r="D71" s="98" t="s">
        <v>580</v>
      </c>
      <c r="G71" s="57" t="s">
        <v>581</v>
      </c>
      <c r="H71" s="58" t="s">
        <v>578</v>
      </c>
      <c r="I71" s="57" t="s">
        <v>581</v>
      </c>
      <c r="J71" s="58" t="s">
        <v>582</v>
      </c>
    </row>
    <row r="72" spans="3:11">
      <c r="G72" s="110" t="s">
        <v>583</v>
      </c>
      <c r="H72" s="111" t="s">
        <v>578</v>
      </c>
      <c r="I72" s="110" t="s">
        <v>583</v>
      </c>
      <c r="J72" s="111" t="s">
        <v>279</v>
      </c>
    </row>
    <row r="73" spans="3:11">
      <c r="G73" s="57" t="s">
        <v>703</v>
      </c>
      <c r="H73" s="58" t="s">
        <v>584</v>
      </c>
      <c r="I73" s="57" t="s">
        <v>703</v>
      </c>
      <c r="J73" s="58" t="s">
        <v>585</v>
      </c>
    </row>
    <row r="74" spans="3:11">
      <c r="G74" s="57"/>
      <c r="H74" s="58" t="s">
        <v>586</v>
      </c>
      <c r="I74" s="57"/>
      <c r="J74" s="58" t="s">
        <v>586</v>
      </c>
    </row>
    <row r="75" spans="3:11">
      <c r="G75" s="110"/>
      <c r="H75" s="111"/>
      <c r="I75" s="110"/>
      <c r="J75" s="111"/>
    </row>
    <row r="76" spans="3:11">
      <c r="G76" s="57"/>
      <c r="H76" s="58"/>
      <c r="I76" s="57"/>
      <c r="J76" s="58"/>
    </row>
    <row r="77" spans="3:11">
      <c r="G77" s="57"/>
      <c r="H77" s="58"/>
      <c r="I77" s="57"/>
      <c r="J77" s="58"/>
    </row>
    <row r="78" spans="3:11">
      <c r="G78" s="60"/>
      <c r="H78" s="61"/>
      <c r="I78" s="60"/>
      <c r="J78" s="61"/>
    </row>
    <row r="79" spans="3:11">
      <c r="G79" s="109"/>
      <c r="H79" s="109"/>
      <c r="I79" s="109"/>
      <c r="J79" s="109"/>
    </row>
    <row r="80" spans="3:11">
      <c r="C80" s="108">
        <v>120000</v>
      </c>
      <c r="D80" s="106" t="s">
        <v>587</v>
      </c>
      <c r="G80" s="114" t="s">
        <v>588</v>
      </c>
      <c r="H80" s="54"/>
      <c r="I80" s="63" t="s">
        <v>589</v>
      </c>
      <c r="J80" s="54"/>
      <c r="K80" s="113"/>
    </row>
    <row r="81" spans="3:11">
      <c r="C81" s="108">
        <v>120001</v>
      </c>
      <c r="D81" s="106" t="s">
        <v>590</v>
      </c>
      <c r="E81" s="138">
        <v>1</v>
      </c>
      <c r="G81" s="57"/>
      <c r="H81" s="58"/>
      <c r="I81" s="57"/>
      <c r="J81" s="58"/>
      <c r="K81" s="113"/>
    </row>
    <row r="82" spans="3:11">
      <c r="C82" s="108">
        <v>120002</v>
      </c>
      <c r="D82" s="106" t="s">
        <v>591</v>
      </c>
      <c r="E82" s="138">
        <v>2</v>
      </c>
      <c r="G82" s="110"/>
      <c r="H82" s="111"/>
      <c r="I82" s="110"/>
      <c r="J82" s="111"/>
    </row>
    <row r="83" spans="3:11">
      <c r="C83" s="108">
        <v>120003</v>
      </c>
      <c r="D83" s="107" t="s">
        <v>592</v>
      </c>
      <c r="E83" s="138">
        <v>3</v>
      </c>
      <c r="G83" s="57" t="s">
        <v>630</v>
      </c>
      <c r="H83" s="58" t="s">
        <v>301</v>
      </c>
      <c r="I83" s="57" t="s">
        <v>630</v>
      </c>
      <c r="J83" s="58" t="s">
        <v>301</v>
      </c>
      <c r="K83" s="115"/>
    </row>
    <row r="84" spans="3:11">
      <c r="C84" s="108">
        <v>120004</v>
      </c>
      <c r="D84" s="107" t="s">
        <v>593</v>
      </c>
      <c r="E84" s="138">
        <v>4</v>
      </c>
      <c r="G84" s="57" t="s">
        <v>1050</v>
      </c>
      <c r="H84" s="58" t="s">
        <v>301</v>
      </c>
      <c r="I84" s="57" t="s">
        <v>1050</v>
      </c>
      <c r="J84" s="58" t="s">
        <v>301</v>
      </c>
      <c r="K84" s="149"/>
    </row>
    <row r="85" spans="3:11">
      <c r="C85" s="108">
        <v>120005</v>
      </c>
      <c r="D85" s="106" t="s">
        <v>594</v>
      </c>
      <c r="E85" s="138">
        <v>5</v>
      </c>
      <c r="G85" s="66" t="s">
        <v>1051</v>
      </c>
      <c r="H85" s="58" t="s">
        <v>301</v>
      </c>
      <c r="I85" s="66" t="s">
        <v>1051</v>
      </c>
      <c r="J85" s="58" t="s">
        <v>301</v>
      </c>
    </row>
    <row r="86" spans="3:11">
      <c r="C86" s="108">
        <v>120006</v>
      </c>
      <c r="D86" s="106" t="s">
        <v>595</v>
      </c>
      <c r="G86" s="57" t="s">
        <v>573</v>
      </c>
      <c r="H86" s="58" t="s">
        <v>1089</v>
      </c>
      <c r="I86" s="57" t="s">
        <v>573</v>
      </c>
      <c r="J86" s="58" t="s">
        <v>1089</v>
      </c>
    </row>
    <row r="87" spans="3:11">
      <c r="C87" s="108">
        <v>120007</v>
      </c>
      <c r="D87" s="106" t="s">
        <v>596</v>
      </c>
      <c r="G87" s="57" t="s">
        <v>1059</v>
      </c>
      <c r="H87" s="58" t="s">
        <v>1091</v>
      </c>
      <c r="I87" s="57" t="s">
        <v>597</v>
      </c>
      <c r="J87" s="58" t="s">
        <v>1092</v>
      </c>
    </row>
    <row r="88" spans="3:11">
      <c r="C88" s="108">
        <v>120008</v>
      </c>
      <c r="D88" s="107" t="s">
        <v>470</v>
      </c>
      <c r="G88" s="57" t="s">
        <v>597</v>
      </c>
      <c r="H88" s="58" t="s">
        <v>1092</v>
      </c>
      <c r="I88" s="57" t="s">
        <v>1059</v>
      </c>
      <c r="J88" s="58" t="s">
        <v>1091</v>
      </c>
    </row>
    <row r="89" spans="3:11">
      <c r="C89" s="108">
        <v>120009</v>
      </c>
      <c r="D89" s="107" t="s">
        <v>471</v>
      </c>
      <c r="G89" s="271" t="s">
        <v>1116</v>
      </c>
      <c r="H89" s="272" t="s">
        <v>1090</v>
      </c>
      <c r="I89" s="271" t="s">
        <v>1116</v>
      </c>
      <c r="J89" s="272" t="s">
        <v>1090</v>
      </c>
    </row>
    <row r="90" spans="3:11">
      <c r="C90" s="108">
        <v>120010</v>
      </c>
      <c r="D90" s="107" t="s">
        <v>472</v>
      </c>
      <c r="G90" s="110"/>
      <c r="H90" s="111" t="s">
        <v>598</v>
      </c>
      <c r="I90" s="122"/>
      <c r="J90" s="111" t="s">
        <v>598</v>
      </c>
    </row>
    <row r="91" spans="3:11">
      <c r="G91" s="122"/>
      <c r="H91" s="124"/>
      <c r="I91" s="122"/>
      <c r="J91" s="124"/>
    </row>
    <row r="92" spans="3:11">
      <c r="G92" s="122"/>
      <c r="H92" s="124"/>
      <c r="I92" s="122"/>
      <c r="J92" s="124"/>
    </row>
    <row r="93" spans="3:11">
      <c r="G93" s="122"/>
      <c r="H93" s="124"/>
      <c r="I93" s="122"/>
      <c r="J93" s="124"/>
    </row>
    <row r="94" spans="3:11">
      <c r="G94" s="60"/>
      <c r="H94" s="61"/>
      <c r="I94" s="60"/>
      <c r="J94" s="61"/>
    </row>
    <row r="95" spans="3:11">
      <c r="G95" s="109"/>
      <c r="H95" s="109"/>
      <c r="I95" s="109"/>
      <c r="J95" s="109"/>
    </row>
    <row r="96" spans="3:11">
      <c r="C96" s="97">
        <v>130000</v>
      </c>
      <c r="D96" s="102" t="s">
        <v>473</v>
      </c>
      <c r="G96" s="114" t="s">
        <v>599</v>
      </c>
      <c r="H96" s="55"/>
      <c r="I96" s="63" t="s">
        <v>600</v>
      </c>
      <c r="J96" s="54"/>
    </row>
    <row r="97" spans="3:11">
      <c r="C97" s="97">
        <v>130001</v>
      </c>
      <c r="D97" s="102" t="s">
        <v>601</v>
      </c>
      <c r="E97" s="138">
        <v>1</v>
      </c>
      <c r="G97" s="57"/>
      <c r="H97" s="59"/>
      <c r="I97" s="57"/>
      <c r="J97" s="58"/>
    </row>
    <row r="98" spans="3:11">
      <c r="C98" s="97">
        <v>130002</v>
      </c>
      <c r="D98" s="102" t="s">
        <v>602</v>
      </c>
      <c r="E98" s="138">
        <v>2</v>
      </c>
      <c r="G98" s="57"/>
      <c r="H98" s="59"/>
      <c r="I98" s="57"/>
      <c r="J98" s="58"/>
    </row>
    <row r="99" spans="3:11">
      <c r="C99" s="97">
        <v>130003</v>
      </c>
      <c r="D99" s="102" t="s">
        <v>603</v>
      </c>
      <c r="E99" s="138">
        <v>3</v>
      </c>
      <c r="G99" s="57" t="s">
        <v>567</v>
      </c>
      <c r="H99" s="59" t="s">
        <v>568</v>
      </c>
      <c r="I99" s="57" t="s">
        <v>567</v>
      </c>
      <c r="J99" s="58" t="s">
        <v>568</v>
      </c>
    </row>
    <row r="100" spans="3:11">
      <c r="C100" s="97">
        <v>130004</v>
      </c>
      <c r="D100" s="102" t="s">
        <v>604</v>
      </c>
      <c r="E100" s="138">
        <v>4</v>
      </c>
      <c r="G100" s="57" t="s">
        <v>1050</v>
      </c>
      <c r="H100" s="59" t="s">
        <v>570</v>
      </c>
      <c r="I100" s="57" t="s">
        <v>1050</v>
      </c>
      <c r="J100" s="58" t="s">
        <v>570</v>
      </c>
      <c r="K100" s="64"/>
    </row>
    <row r="101" spans="3:11">
      <c r="C101" s="97">
        <v>130005</v>
      </c>
      <c r="D101" s="102" t="s">
        <v>605</v>
      </c>
      <c r="E101" s="138">
        <v>5</v>
      </c>
      <c r="G101" s="66" t="s">
        <v>1051</v>
      </c>
      <c r="H101" s="59" t="s">
        <v>570</v>
      </c>
      <c r="I101" s="66" t="s">
        <v>1051</v>
      </c>
      <c r="J101" s="58" t="s">
        <v>570</v>
      </c>
    </row>
    <row r="102" spans="3:11">
      <c r="C102" s="97">
        <v>130006</v>
      </c>
      <c r="D102" s="102" t="s">
        <v>606</v>
      </c>
      <c r="G102" s="66" t="s">
        <v>607</v>
      </c>
      <c r="H102" s="64" t="s">
        <v>601</v>
      </c>
      <c r="I102" s="66" t="s">
        <v>607</v>
      </c>
      <c r="J102" s="65" t="s">
        <v>601</v>
      </c>
    </row>
    <row r="103" spans="3:11">
      <c r="C103" s="97">
        <v>130007</v>
      </c>
      <c r="D103" s="102" t="s">
        <v>608</v>
      </c>
      <c r="G103" s="57" t="s">
        <v>609</v>
      </c>
      <c r="H103" s="123" t="s">
        <v>610</v>
      </c>
      <c r="I103" s="57" t="s">
        <v>609</v>
      </c>
      <c r="J103" s="124" t="s">
        <v>610</v>
      </c>
    </row>
    <row r="104" spans="3:11">
      <c r="C104" s="97">
        <v>130008</v>
      </c>
      <c r="D104" s="98" t="s">
        <v>474</v>
      </c>
      <c r="G104" s="57" t="s">
        <v>611</v>
      </c>
      <c r="H104" s="59" t="s">
        <v>601</v>
      </c>
      <c r="I104" s="57" t="s">
        <v>611</v>
      </c>
      <c r="J104" s="58" t="s">
        <v>508</v>
      </c>
    </row>
    <row r="105" spans="3:11">
      <c r="C105" s="97">
        <v>130009</v>
      </c>
      <c r="D105" s="98" t="s">
        <v>475</v>
      </c>
      <c r="G105" s="66" t="s">
        <v>612</v>
      </c>
      <c r="H105" s="123" t="s">
        <v>610</v>
      </c>
      <c r="I105" s="66" t="s">
        <v>612</v>
      </c>
      <c r="J105" s="124" t="s">
        <v>610</v>
      </c>
    </row>
    <row r="106" spans="3:11">
      <c r="C106" s="97">
        <v>130010</v>
      </c>
      <c r="D106" s="98" t="s">
        <v>476</v>
      </c>
      <c r="G106" s="57" t="s">
        <v>707</v>
      </c>
      <c r="H106" s="59" t="s">
        <v>614</v>
      </c>
      <c r="I106" s="57" t="s">
        <v>613</v>
      </c>
      <c r="J106" s="58" t="s">
        <v>614</v>
      </c>
    </row>
    <row r="107" spans="3:11">
      <c r="C107" s="97">
        <v>130011</v>
      </c>
      <c r="D107" s="98" t="s">
        <v>477</v>
      </c>
      <c r="G107" s="122"/>
      <c r="H107" s="59" t="s">
        <v>286</v>
      </c>
      <c r="I107" s="122"/>
      <c r="J107" s="58" t="s">
        <v>286</v>
      </c>
    </row>
    <row r="108" spans="3:11">
      <c r="G108" s="122"/>
      <c r="H108" s="123"/>
      <c r="I108" s="122"/>
      <c r="J108" s="124"/>
    </row>
    <row r="109" spans="3:11">
      <c r="G109" s="122"/>
      <c r="H109" s="123"/>
      <c r="I109" s="122"/>
      <c r="J109" s="124"/>
    </row>
    <row r="110" spans="3:11">
      <c r="G110" s="57"/>
      <c r="H110" s="123"/>
      <c r="I110" s="57"/>
      <c r="J110" s="124"/>
    </row>
    <row r="111" spans="3:11">
      <c r="G111" s="60"/>
      <c r="H111" s="62"/>
      <c r="I111" s="60"/>
      <c r="J111" s="61"/>
    </row>
    <row r="112" spans="3:11">
      <c r="G112" s="59"/>
      <c r="H112" s="59"/>
      <c r="I112" s="59"/>
    </row>
    <row r="113" spans="3:11">
      <c r="C113" s="99">
        <v>140000</v>
      </c>
      <c r="D113" s="100" t="s">
        <v>478</v>
      </c>
      <c r="G113" s="114" t="s">
        <v>1219</v>
      </c>
      <c r="H113" s="54"/>
      <c r="I113" s="63" t="s">
        <v>1044</v>
      </c>
      <c r="J113" s="54"/>
    </row>
    <row r="114" spans="3:11">
      <c r="C114" s="99">
        <v>140001</v>
      </c>
      <c r="D114" s="100" t="s">
        <v>615</v>
      </c>
      <c r="E114" s="138">
        <v>1</v>
      </c>
      <c r="G114" s="57"/>
      <c r="H114" s="58"/>
      <c r="I114" s="57"/>
      <c r="J114" s="58"/>
    </row>
    <row r="115" spans="3:11">
      <c r="C115" s="99">
        <v>140002</v>
      </c>
      <c r="D115" s="100" t="s">
        <v>616</v>
      </c>
      <c r="E115" s="138">
        <v>2</v>
      </c>
      <c r="G115" s="57"/>
      <c r="H115" s="58"/>
      <c r="I115" s="57"/>
      <c r="J115" s="58"/>
    </row>
    <row r="116" spans="3:11">
      <c r="C116" s="99">
        <v>140003</v>
      </c>
      <c r="D116" s="100" t="s">
        <v>617</v>
      </c>
      <c r="E116" s="138">
        <v>3</v>
      </c>
      <c r="G116" s="57"/>
      <c r="H116" s="58"/>
      <c r="I116" s="57"/>
      <c r="J116" s="58"/>
      <c r="K116" s="112"/>
    </row>
    <row r="117" spans="3:11">
      <c r="C117" s="99">
        <v>140004</v>
      </c>
      <c r="D117" s="100" t="s">
        <v>618</v>
      </c>
      <c r="E117" s="138">
        <v>4</v>
      </c>
      <c r="G117" s="57" t="s">
        <v>567</v>
      </c>
      <c r="H117" s="58" t="s">
        <v>570</v>
      </c>
      <c r="I117" s="57" t="s">
        <v>567</v>
      </c>
      <c r="J117" s="58" t="s">
        <v>301</v>
      </c>
    </row>
    <row r="118" spans="3:11">
      <c r="C118" s="99">
        <v>140005</v>
      </c>
      <c r="D118" s="100" t="s">
        <v>619</v>
      </c>
      <c r="E118" s="138">
        <v>5</v>
      </c>
      <c r="G118" s="57" t="s">
        <v>1050</v>
      </c>
      <c r="H118" s="58" t="s">
        <v>570</v>
      </c>
      <c r="I118" s="57" t="s">
        <v>1050</v>
      </c>
      <c r="J118" s="58" t="s">
        <v>301</v>
      </c>
      <c r="K118" s="64"/>
    </row>
    <row r="119" spans="3:11">
      <c r="C119" s="99">
        <v>140006</v>
      </c>
      <c r="D119" s="100" t="s">
        <v>620</v>
      </c>
      <c r="G119" s="66" t="s">
        <v>1051</v>
      </c>
      <c r="H119" s="58" t="s">
        <v>1085</v>
      </c>
      <c r="I119" s="66" t="s">
        <v>1051</v>
      </c>
      <c r="J119" s="58" t="s">
        <v>1085</v>
      </c>
    </row>
    <row r="120" spans="3:11">
      <c r="C120" s="99">
        <v>140007</v>
      </c>
      <c r="D120" s="100" t="s">
        <v>621</v>
      </c>
      <c r="G120" s="271" t="s">
        <v>1086</v>
      </c>
      <c r="H120" s="272" t="s">
        <v>1084</v>
      </c>
      <c r="I120" s="271" t="s">
        <v>1086</v>
      </c>
      <c r="J120" s="272" t="s">
        <v>1043</v>
      </c>
    </row>
    <row r="121" spans="3:11">
      <c r="C121" s="99">
        <v>140008</v>
      </c>
      <c r="D121" s="101" t="s">
        <v>479</v>
      </c>
      <c r="G121" s="271" t="s">
        <v>1087</v>
      </c>
      <c r="H121" s="275" t="s">
        <v>1088</v>
      </c>
      <c r="I121" s="271" t="s">
        <v>1087</v>
      </c>
      <c r="J121" s="275" t="s">
        <v>1088</v>
      </c>
    </row>
    <row r="122" spans="3:11">
      <c r="C122" s="99">
        <v>140009</v>
      </c>
      <c r="D122" s="101" t="s">
        <v>480</v>
      </c>
      <c r="G122" s="276" t="s">
        <v>1120</v>
      </c>
      <c r="H122" s="275" t="s">
        <v>1043</v>
      </c>
      <c r="I122" s="276" t="s">
        <v>1120</v>
      </c>
      <c r="J122" s="275" t="s">
        <v>1043</v>
      </c>
    </row>
    <row r="123" spans="3:11">
      <c r="C123" s="99">
        <v>140010</v>
      </c>
      <c r="D123" s="101" t="s">
        <v>481</v>
      </c>
      <c r="G123" s="276" t="s">
        <v>1122</v>
      </c>
      <c r="H123" s="275" t="s">
        <v>1118</v>
      </c>
      <c r="I123" s="276" t="s">
        <v>1122</v>
      </c>
      <c r="J123" s="275" t="s">
        <v>1118</v>
      </c>
    </row>
    <row r="124" spans="3:11">
      <c r="G124" s="110"/>
      <c r="H124" s="58" t="s">
        <v>1058</v>
      </c>
      <c r="I124" s="110"/>
      <c r="J124" s="58" t="s">
        <v>1045</v>
      </c>
    </row>
    <row r="125" spans="3:11">
      <c r="G125" s="110"/>
      <c r="H125" s="111"/>
      <c r="I125" s="110"/>
      <c r="J125" s="111"/>
    </row>
    <row r="126" spans="3:11">
      <c r="G126" s="57"/>
      <c r="H126" s="124"/>
      <c r="I126" s="57"/>
      <c r="J126" s="124"/>
    </row>
    <row r="127" spans="3:11">
      <c r="G127" s="60"/>
      <c r="H127" s="61"/>
      <c r="I127" s="60"/>
      <c r="J127" s="61"/>
    </row>
    <row r="128" spans="3:11">
      <c r="G128" s="56"/>
      <c r="H128" s="56"/>
    </row>
    <row r="129" spans="3:11">
      <c r="G129" s="56"/>
      <c r="H129" s="56"/>
      <c r="I129" s="56"/>
      <c r="J129" s="56"/>
    </row>
    <row r="130" spans="3:11">
      <c r="C130" s="97">
        <v>150000</v>
      </c>
      <c r="D130" s="102" t="s">
        <v>623</v>
      </c>
      <c r="G130" s="114" t="s">
        <v>624</v>
      </c>
      <c r="H130" s="54"/>
      <c r="I130" s="63" t="s">
        <v>625</v>
      </c>
      <c r="J130" s="54"/>
    </row>
    <row r="131" spans="3:11">
      <c r="C131" s="97">
        <v>150001</v>
      </c>
      <c r="D131" s="102" t="s">
        <v>626</v>
      </c>
      <c r="E131" s="138">
        <v>1</v>
      </c>
      <c r="G131" s="57"/>
      <c r="H131" s="58"/>
      <c r="I131" s="64"/>
      <c r="J131" s="65"/>
    </row>
    <row r="132" spans="3:11">
      <c r="C132" s="97">
        <v>150002</v>
      </c>
      <c r="D132" s="102" t="s">
        <v>627</v>
      </c>
      <c r="E132" s="138">
        <v>2</v>
      </c>
      <c r="G132" s="57"/>
      <c r="H132" s="58"/>
      <c r="I132" s="64"/>
      <c r="J132" s="65"/>
    </row>
    <row r="133" spans="3:11">
      <c r="C133" s="103">
        <v>150003</v>
      </c>
      <c r="D133" s="104" t="s">
        <v>628</v>
      </c>
      <c r="E133" s="138">
        <v>3</v>
      </c>
      <c r="G133" s="57"/>
      <c r="H133" s="58"/>
      <c r="I133" s="64"/>
      <c r="J133" s="65"/>
    </row>
    <row r="134" spans="3:11">
      <c r="C134" s="97">
        <v>150004</v>
      </c>
      <c r="D134" s="102" t="s">
        <v>629</v>
      </c>
      <c r="E134" s="138">
        <v>4</v>
      </c>
      <c r="G134" s="57" t="s">
        <v>630</v>
      </c>
      <c r="H134" s="58" t="s">
        <v>631</v>
      </c>
      <c r="I134" s="57" t="s">
        <v>630</v>
      </c>
      <c r="J134" s="58" t="s">
        <v>631</v>
      </c>
    </row>
    <row r="135" spans="3:11">
      <c r="C135" s="103">
        <v>150005</v>
      </c>
      <c r="D135" s="102" t="s">
        <v>632</v>
      </c>
      <c r="E135" s="138">
        <v>5</v>
      </c>
      <c r="G135" s="57" t="s">
        <v>1050</v>
      </c>
      <c r="H135" s="58" t="s">
        <v>631</v>
      </c>
      <c r="I135" s="57" t="s">
        <v>1050</v>
      </c>
      <c r="J135" s="58" t="s">
        <v>631</v>
      </c>
      <c r="K135" s="70"/>
    </row>
    <row r="136" spans="3:11">
      <c r="C136" s="97">
        <v>150006</v>
      </c>
      <c r="D136" s="102" t="s">
        <v>633</v>
      </c>
      <c r="G136" s="66" t="s">
        <v>1051</v>
      </c>
      <c r="H136" s="58" t="s">
        <v>631</v>
      </c>
      <c r="I136" s="66" t="s">
        <v>1051</v>
      </c>
      <c r="J136" s="58" t="s">
        <v>631</v>
      </c>
      <c r="K136" s="57"/>
    </row>
    <row r="137" spans="3:11">
      <c r="C137" s="103">
        <v>150007</v>
      </c>
      <c r="D137" s="102" t="s">
        <v>634</v>
      </c>
      <c r="G137" s="66" t="s">
        <v>678</v>
      </c>
      <c r="H137" s="138" t="s">
        <v>636</v>
      </c>
      <c r="I137" s="66" t="s">
        <v>635</v>
      </c>
      <c r="J137" s="138" t="s">
        <v>520</v>
      </c>
      <c r="K137" s="66"/>
    </row>
    <row r="138" spans="3:11">
      <c r="C138" s="97">
        <v>150008</v>
      </c>
      <c r="D138" s="98" t="s">
        <v>482</v>
      </c>
      <c r="G138" s="57" t="s">
        <v>343</v>
      </c>
      <c r="H138" s="58" t="s">
        <v>1026</v>
      </c>
      <c r="I138" s="57" t="s">
        <v>343</v>
      </c>
      <c r="J138" s="58" t="s">
        <v>1026</v>
      </c>
      <c r="K138" s="74"/>
    </row>
    <row r="139" spans="3:11">
      <c r="C139" s="103">
        <v>150009</v>
      </c>
      <c r="D139" s="98" t="s">
        <v>483</v>
      </c>
      <c r="G139" s="57" t="s">
        <v>952</v>
      </c>
      <c r="H139" s="65" t="s">
        <v>637</v>
      </c>
      <c r="I139" s="66" t="s">
        <v>526</v>
      </c>
      <c r="J139" s="65" t="s">
        <v>527</v>
      </c>
      <c r="K139" s="74"/>
    </row>
    <row r="140" spans="3:11">
      <c r="C140" s="97">
        <v>150010</v>
      </c>
      <c r="D140" s="98" t="s">
        <v>484</v>
      </c>
      <c r="G140" s="57" t="s">
        <v>528</v>
      </c>
      <c r="H140" s="65" t="s">
        <v>637</v>
      </c>
      <c r="I140" s="57" t="s">
        <v>528</v>
      </c>
      <c r="J140" s="65" t="s">
        <v>529</v>
      </c>
      <c r="K140" s="74"/>
    </row>
    <row r="141" spans="3:11">
      <c r="G141" s="66" t="s">
        <v>530</v>
      </c>
      <c r="H141" s="58" t="s">
        <v>527</v>
      </c>
      <c r="I141" s="66" t="s">
        <v>530</v>
      </c>
      <c r="J141" s="58" t="s">
        <v>527</v>
      </c>
      <c r="K141" s="66"/>
    </row>
    <row r="142" spans="3:11">
      <c r="G142" s="57"/>
      <c r="H142" s="58" t="s">
        <v>519</v>
      </c>
      <c r="I142" s="57"/>
      <c r="J142" s="58" t="s">
        <v>638</v>
      </c>
    </row>
    <row r="143" spans="3:11">
      <c r="G143" s="57"/>
      <c r="H143" s="58"/>
      <c r="I143" s="64"/>
      <c r="J143" s="65"/>
    </row>
    <row r="144" spans="3:11">
      <c r="G144" s="60"/>
      <c r="H144" s="61"/>
      <c r="I144" s="67"/>
      <c r="J144" s="68"/>
    </row>
    <row r="145" spans="3:11">
      <c r="G145" s="56"/>
      <c r="H145" s="56"/>
      <c r="I145" s="56"/>
      <c r="J145" s="56"/>
    </row>
    <row r="146" spans="3:11">
      <c r="C146" s="99">
        <v>160000</v>
      </c>
      <c r="D146" s="100" t="s">
        <v>485</v>
      </c>
      <c r="G146" s="114" t="s">
        <v>1112</v>
      </c>
      <c r="H146" s="55"/>
      <c r="I146" s="63" t="s">
        <v>639</v>
      </c>
      <c r="J146" s="54"/>
      <c r="K146" s="113"/>
    </row>
    <row r="147" spans="3:11">
      <c r="C147" s="99">
        <v>160001</v>
      </c>
      <c r="D147" s="100" t="s">
        <v>640</v>
      </c>
      <c r="E147" s="138">
        <v>1</v>
      </c>
      <c r="G147" s="57"/>
      <c r="H147" s="59"/>
      <c r="I147" s="66"/>
      <c r="J147" s="65"/>
      <c r="K147" s="113"/>
    </row>
    <row r="148" spans="3:11">
      <c r="C148" s="99">
        <v>160002</v>
      </c>
      <c r="D148" s="100" t="s">
        <v>641</v>
      </c>
      <c r="E148" s="138">
        <v>2</v>
      </c>
      <c r="G148" s="57"/>
      <c r="H148" s="59"/>
      <c r="I148" s="66"/>
      <c r="J148" s="65"/>
      <c r="K148" s="116"/>
    </row>
    <row r="149" spans="3:11">
      <c r="C149" s="99">
        <v>160003</v>
      </c>
      <c r="D149" s="100" t="s">
        <v>642</v>
      </c>
      <c r="E149" s="138">
        <v>3</v>
      </c>
      <c r="G149" s="57"/>
      <c r="H149" s="59"/>
      <c r="I149" s="66"/>
      <c r="J149" s="65"/>
      <c r="K149" s="109"/>
    </row>
    <row r="150" spans="3:11">
      <c r="C150" s="99">
        <v>160004</v>
      </c>
      <c r="D150" s="100" t="s">
        <v>643</v>
      </c>
      <c r="E150" s="138">
        <v>4</v>
      </c>
      <c r="G150" s="57" t="s">
        <v>630</v>
      </c>
      <c r="H150" s="59" t="s">
        <v>301</v>
      </c>
      <c r="I150" s="57" t="s">
        <v>630</v>
      </c>
      <c r="J150" s="58" t="s">
        <v>301</v>
      </c>
    </row>
    <row r="151" spans="3:11">
      <c r="C151" s="99">
        <v>160005</v>
      </c>
      <c r="D151" s="105" t="s">
        <v>646</v>
      </c>
      <c r="E151" s="138">
        <v>5</v>
      </c>
      <c r="G151" s="57" t="s">
        <v>1050</v>
      </c>
      <c r="H151" s="59" t="s">
        <v>301</v>
      </c>
      <c r="I151" s="57" t="s">
        <v>1050</v>
      </c>
      <c r="J151" s="58" t="s">
        <v>301</v>
      </c>
    </row>
    <row r="152" spans="3:11">
      <c r="C152" s="99">
        <v>160006</v>
      </c>
      <c r="D152" s="100" t="s">
        <v>647</v>
      </c>
      <c r="G152" s="66" t="s">
        <v>1051</v>
      </c>
      <c r="H152" s="59" t="s">
        <v>301</v>
      </c>
      <c r="I152" s="66" t="s">
        <v>1051</v>
      </c>
      <c r="J152" s="58" t="s">
        <v>301</v>
      </c>
    </row>
    <row r="153" spans="3:11">
      <c r="C153" s="99">
        <v>160007</v>
      </c>
      <c r="D153" s="100" t="s">
        <v>488</v>
      </c>
      <c r="G153" s="57" t="s">
        <v>1093</v>
      </c>
      <c r="H153" s="59" t="s">
        <v>1094</v>
      </c>
      <c r="I153" s="57" t="s">
        <v>1095</v>
      </c>
      <c r="J153" s="58" t="s">
        <v>1096</v>
      </c>
    </row>
    <row r="154" spans="3:11">
      <c r="C154" s="99">
        <v>160008</v>
      </c>
      <c r="D154" s="101" t="s">
        <v>489</v>
      </c>
      <c r="G154" s="57" t="s">
        <v>1095</v>
      </c>
      <c r="H154" s="59" t="s">
        <v>1096</v>
      </c>
      <c r="I154" s="57" t="s">
        <v>1097</v>
      </c>
      <c r="J154" s="58" t="s">
        <v>1094</v>
      </c>
    </row>
    <row r="155" spans="3:11">
      <c r="C155" s="99">
        <v>160009</v>
      </c>
      <c r="D155" s="101" t="s">
        <v>490</v>
      </c>
      <c r="G155" s="57" t="s">
        <v>1098</v>
      </c>
      <c r="H155" s="59" t="s">
        <v>1094</v>
      </c>
      <c r="I155" s="57" t="s">
        <v>1098</v>
      </c>
      <c r="J155" s="58" t="s">
        <v>487</v>
      </c>
    </row>
    <row r="156" spans="3:11">
      <c r="C156" s="99">
        <v>160010</v>
      </c>
      <c r="D156" s="101" t="s">
        <v>649</v>
      </c>
      <c r="G156" s="57" t="s">
        <v>650</v>
      </c>
      <c r="H156" s="59" t="s">
        <v>523</v>
      </c>
      <c r="I156" s="57" t="s">
        <v>1099</v>
      </c>
      <c r="J156" s="58" t="s">
        <v>523</v>
      </c>
    </row>
    <row r="157" spans="3:11">
      <c r="G157" s="273" t="s">
        <v>1110</v>
      </c>
      <c r="H157" s="274" t="s">
        <v>524</v>
      </c>
      <c r="I157" s="273" t="s">
        <v>1109</v>
      </c>
      <c r="J157" s="272" t="s">
        <v>524</v>
      </c>
    </row>
    <row r="158" spans="3:11">
      <c r="G158" s="110"/>
      <c r="H158" s="59" t="s">
        <v>486</v>
      </c>
      <c r="I158" s="66"/>
      <c r="J158" s="58" t="s">
        <v>486</v>
      </c>
    </row>
    <row r="159" spans="3:11">
      <c r="G159" s="110"/>
      <c r="H159" s="118"/>
      <c r="I159" s="110"/>
      <c r="J159" s="111"/>
    </row>
    <row r="160" spans="3:11">
      <c r="G160" s="60"/>
      <c r="H160" s="262"/>
      <c r="I160" s="263"/>
      <c r="J160" s="264"/>
    </row>
    <row r="164" spans="3:10">
      <c r="C164" s="103">
        <v>161000</v>
      </c>
      <c r="D164" s="104" t="s">
        <v>651</v>
      </c>
      <c r="G164" s="114" t="s">
        <v>652</v>
      </c>
      <c r="H164" s="55"/>
      <c r="I164" s="63" t="s">
        <v>1125</v>
      </c>
      <c r="J164" s="54"/>
    </row>
    <row r="165" spans="3:10">
      <c r="C165" s="103">
        <v>161001</v>
      </c>
      <c r="D165" s="98" t="s">
        <v>653</v>
      </c>
      <c r="E165" s="138">
        <v>1</v>
      </c>
      <c r="G165" s="57"/>
      <c r="H165" s="59"/>
      <c r="I165" s="66"/>
      <c r="J165" s="65"/>
    </row>
    <row r="166" spans="3:10">
      <c r="C166" s="103">
        <v>161002</v>
      </c>
      <c r="D166" s="98" t="s">
        <v>654</v>
      </c>
      <c r="E166" s="138">
        <v>2</v>
      </c>
      <c r="G166" s="57"/>
      <c r="H166" s="59"/>
      <c r="I166" s="66"/>
      <c r="J166" s="65"/>
    </row>
    <row r="167" spans="3:10">
      <c r="C167" s="103">
        <v>161003</v>
      </c>
      <c r="D167" s="98" t="s">
        <v>655</v>
      </c>
      <c r="E167" s="138">
        <v>3</v>
      </c>
      <c r="G167" s="57"/>
      <c r="H167" s="59"/>
      <c r="I167" s="66"/>
      <c r="J167" s="65"/>
    </row>
    <row r="168" spans="3:10">
      <c r="C168" s="103">
        <v>161004</v>
      </c>
      <c r="D168" s="98" t="s">
        <v>656</v>
      </c>
      <c r="E168" s="138">
        <v>4</v>
      </c>
      <c r="G168" s="57" t="s">
        <v>567</v>
      </c>
      <c r="H168" s="59" t="s">
        <v>645</v>
      </c>
      <c r="I168" s="57" t="s">
        <v>644</v>
      </c>
      <c r="J168" s="58" t="s">
        <v>645</v>
      </c>
    </row>
    <row r="169" spans="3:10">
      <c r="C169" s="103">
        <v>161005</v>
      </c>
      <c r="D169" s="98" t="s">
        <v>657</v>
      </c>
      <c r="E169" s="138">
        <v>5</v>
      </c>
      <c r="G169" s="57" t="s">
        <v>1050</v>
      </c>
      <c r="H169" s="59" t="s">
        <v>645</v>
      </c>
      <c r="I169" s="57" t="s">
        <v>1050</v>
      </c>
      <c r="J169" s="58" t="s">
        <v>645</v>
      </c>
    </row>
    <row r="170" spans="3:10">
      <c r="C170" s="103">
        <v>161006</v>
      </c>
      <c r="D170" s="98" t="s">
        <v>658</v>
      </c>
      <c r="G170" s="66" t="s">
        <v>1051</v>
      </c>
      <c r="H170" s="59" t="s">
        <v>645</v>
      </c>
      <c r="I170" s="66" t="s">
        <v>1051</v>
      </c>
      <c r="J170" s="58" t="s">
        <v>645</v>
      </c>
    </row>
    <row r="171" spans="3:10">
      <c r="C171" s="103">
        <v>161007</v>
      </c>
      <c r="D171" s="98" t="s">
        <v>659</v>
      </c>
      <c r="G171" s="276" t="s">
        <v>1226</v>
      </c>
      <c r="H171" s="281" t="s">
        <v>955</v>
      </c>
      <c r="I171" s="276" t="s">
        <v>1225</v>
      </c>
      <c r="J171" s="275" t="s">
        <v>955</v>
      </c>
    </row>
    <row r="172" spans="3:10">
      <c r="C172" s="103">
        <v>161008</v>
      </c>
      <c r="D172" s="98" t="s">
        <v>661</v>
      </c>
      <c r="G172" s="57" t="s">
        <v>382</v>
      </c>
      <c r="H172" s="64" t="s">
        <v>660</v>
      </c>
      <c r="I172" s="66" t="s">
        <v>952</v>
      </c>
      <c r="J172" s="65" t="s">
        <v>532</v>
      </c>
    </row>
    <row r="173" spans="3:10">
      <c r="C173" s="103">
        <v>161009</v>
      </c>
      <c r="D173" s="98" t="s">
        <v>664</v>
      </c>
      <c r="G173" s="57" t="s">
        <v>662</v>
      </c>
      <c r="H173" s="64" t="s">
        <v>663</v>
      </c>
      <c r="I173" s="57" t="s">
        <v>950</v>
      </c>
      <c r="J173" s="65" t="s">
        <v>532</v>
      </c>
    </row>
    <row r="174" spans="3:10">
      <c r="C174" s="103">
        <v>161010</v>
      </c>
      <c r="D174" s="98" t="s">
        <v>667</v>
      </c>
      <c r="G174" s="66" t="s">
        <v>951</v>
      </c>
      <c r="H174" s="59" t="s">
        <v>666</v>
      </c>
      <c r="I174" s="66" t="s">
        <v>665</v>
      </c>
      <c r="J174" s="58" t="s">
        <v>532</v>
      </c>
    </row>
    <row r="175" spans="3:10">
      <c r="G175" s="57"/>
      <c r="H175" s="59" t="s">
        <v>668</v>
      </c>
      <c r="I175" s="57"/>
      <c r="J175" s="58" t="s">
        <v>668</v>
      </c>
    </row>
    <row r="176" spans="3:10">
      <c r="G176" s="122"/>
      <c r="H176" s="123"/>
      <c r="I176" s="122"/>
      <c r="J176" s="124"/>
    </row>
    <row r="177" spans="3:11">
      <c r="G177" s="122"/>
      <c r="H177" s="123"/>
      <c r="I177" s="122"/>
      <c r="J177" s="124"/>
    </row>
    <row r="178" spans="3:11">
      <c r="G178" s="60"/>
      <c r="H178" s="62"/>
      <c r="I178" s="69"/>
      <c r="J178" s="68"/>
    </row>
    <row r="182" spans="3:11">
      <c r="G182" s="151" t="s">
        <v>669</v>
      </c>
      <c r="H182" s="145"/>
      <c r="I182" s="152" t="s">
        <v>961</v>
      </c>
      <c r="J182" s="145"/>
    </row>
    <row r="183" spans="3:11">
      <c r="C183" s="99">
        <v>162000</v>
      </c>
      <c r="D183" s="100" t="s">
        <v>491</v>
      </c>
      <c r="G183" s="122"/>
      <c r="H183" s="124"/>
      <c r="I183" s="122"/>
      <c r="J183" s="124"/>
    </row>
    <row r="184" spans="3:11">
      <c r="C184" s="99">
        <v>162001</v>
      </c>
      <c r="D184" s="101" t="s">
        <v>670</v>
      </c>
      <c r="E184" s="138">
        <v>1</v>
      </c>
      <c r="G184" s="122"/>
      <c r="H184" s="124"/>
      <c r="I184" s="122"/>
      <c r="J184" s="124"/>
      <c r="K184" s="113"/>
    </row>
    <row r="185" spans="3:11">
      <c r="C185" s="99">
        <v>162002</v>
      </c>
      <c r="D185" s="101" t="s">
        <v>671</v>
      </c>
      <c r="E185" s="138">
        <v>2</v>
      </c>
      <c r="G185" s="57" t="s">
        <v>672</v>
      </c>
      <c r="H185" s="58" t="s">
        <v>673</v>
      </c>
      <c r="I185" s="57" t="s">
        <v>672</v>
      </c>
      <c r="J185" s="58" t="s">
        <v>673</v>
      </c>
      <c r="K185" s="112"/>
    </row>
    <row r="186" spans="3:11">
      <c r="C186" s="99">
        <v>162003</v>
      </c>
      <c r="D186" s="101" t="s">
        <v>674</v>
      </c>
      <c r="E186" s="138">
        <v>3</v>
      </c>
      <c r="G186" s="57" t="s">
        <v>1050</v>
      </c>
      <c r="H186" s="58" t="s">
        <v>675</v>
      </c>
      <c r="I186" s="57" t="s">
        <v>1050</v>
      </c>
      <c r="J186" s="58" t="s">
        <v>675</v>
      </c>
      <c r="K186" s="119"/>
    </row>
    <row r="187" spans="3:11">
      <c r="C187" s="99">
        <v>162004</v>
      </c>
      <c r="D187" s="101" t="s">
        <v>676</v>
      </c>
      <c r="E187" s="138">
        <v>4</v>
      </c>
      <c r="G187" s="57" t="s">
        <v>1051</v>
      </c>
      <c r="H187" s="58" t="s">
        <v>675</v>
      </c>
      <c r="I187" s="57" t="s">
        <v>1051</v>
      </c>
      <c r="J187" s="58" t="s">
        <v>675</v>
      </c>
      <c r="K187" s="64"/>
    </row>
    <row r="188" spans="3:11">
      <c r="C188" s="99">
        <v>162005</v>
      </c>
      <c r="D188" s="101" t="s">
        <v>677</v>
      </c>
      <c r="E188" s="138">
        <v>5</v>
      </c>
      <c r="G188" s="66" t="s">
        <v>1235</v>
      </c>
      <c r="H188" s="58" t="s">
        <v>679</v>
      </c>
      <c r="I188" s="66" t="s">
        <v>1235</v>
      </c>
      <c r="J188" s="58" t="s">
        <v>679</v>
      </c>
    </row>
    <row r="189" spans="3:11">
      <c r="C189" s="99">
        <v>162006</v>
      </c>
      <c r="D189" s="101" t="s">
        <v>492</v>
      </c>
      <c r="G189" s="57" t="s">
        <v>966</v>
      </c>
      <c r="H189" s="58" t="s">
        <v>962</v>
      </c>
      <c r="I189" s="57" t="s">
        <v>966</v>
      </c>
      <c r="J189" s="58" t="s">
        <v>962</v>
      </c>
    </row>
    <row r="190" spans="3:11">
      <c r="C190" s="99">
        <v>162007</v>
      </c>
      <c r="D190" s="101" t="s">
        <v>681</v>
      </c>
      <c r="G190" s="57" t="s">
        <v>978</v>
      </c>
      <c r="H190" s="111" t="s">
        <v>680</v>
      </c>
      <c r="I190" s="57" t="s">
        <v>978</v>
      </c>
      <c r="J190" s="111" t="s">
        <v>973</v>
      </c>
    </row>
    <row r="191" spans="3:11">
      <c r="C191" s="99">
        <v>162008</v>
      </c>
      <c r="D191" s="101" t="s">
        <v>682</v>
      </c>
      <c r="G191" s="110" t="s">
        <v>981</v>
      </c>
      <c r="H191" s="58" t="s">
        <v>983</v>
      </c>
      <c r="I191" s="110" t="s">
        <v>981</v>
      </c>
      <c r="J191" s="58" t="s">
        <v>963</v>
      </c>
    </row>
    <row r="192" spans="3:11">
      <c r="C192" s="99">
        <v>162009</v>
      </c>
      <c r="D192" s="101" t="s">
        <v>683</v>
      </c>
      <c r="G192" s="57" t="s">
        <v>970</v>
      </c>
      <c r="H192" s="111" t="s">
        <v>964</v>
      </c>
      <c r="I192" s="57" t="s">
        <v>970</v>
      </c>
      <c r="J192" s="111" t="s">
        <v>964</v>
      </c>
    </row>
    <row r="193" spans="3:11">
      <c r="C193" s="99">
        <v>162010</v>
      </c>
      <c r="D193" s="101" t="s">
        <v>684</v>
      </c>
      <c r="G193" s="110" t="s">
        <v>985</v>
      </c>
      <c r="H193" s="111" t="s">
        <v>967</v>
      </c>
      <c r="I193" s="110" t="s">
        <v>985</v>
      </c>
      <c r="J193" s="111" t="s">
        <v>972</v>
      </c>
    </row>
    <row r="194" spans="3:11">
      <c r="G194" s="57" t="s">
        <v>987</v>
      </c>
      <c r="H194" s="58" t="s">
        <v>990</v>
      </c>
      <c r="I194" s="57" t="s">
        <v>987</v>
      </c>
      <c r="J194" s="58" t="s">
        <v>984</v>
      </c>
    </row>
    <row r="195" spans="3:11">
      <c r="G195" s="57"/>
      <c r="H195" s="58" t="s">
        <v>968</v>
      </c>
      <c r="I195" s="57"/>
      <c r="J195" s="58" t="s">
        <v>968</v>
      </c>
    </row>
    <row r="196" spans="3:11">
      <c r="G196" s="150"/>
      <c r="H196" s="141"/>
      <c r="I196" s="150"/>
      <c r="J196" s="141"/>
    </row>
    <row r="202" spans="3:11">
      <c r="C202" s="103">
        <v>163000</v>
      </c>
      <c r="D202" s="104" t="s">
        <v>685</v>
      </c>
      <c r="G202" s="114" t="s">
        <v>701</v>
      </c>
      <c r="H202" s="54"/>
      <c r="I202" s="63" t="s">
        <v>702</v>
      </c>
      <c r="J202" s="54"/>
    </row>
    <row r="203" spans="3:11">
      <c r="C203" s="103">
        <v>163001</v>
      </c>
      <c r="D203" s="98" t="s">
        <v>686</v>
      </c>
      <c r="E203" s="138">
        <v>1</v>
      </c>
      <c r="G203" s="57"/>
      <c r="H203" s="58"/>
      <c r="I203" s="57"/>
      <c r="J203" s="58"/>
    </row>
    <row r="204" spans="3:11">
      <c r="C204" s="103">
        <v>163002</v>
      </c>
      <c r="D204" s="98" t="s">
        <v>687</v>
      </c>
      <c r="E204" s="138">
        <v>2</v>
      </c>
      <c r="G204" s="70"/>
      <c r="H204" s="71"/>
      <c r="I204" s="57"/>
      <c r="J204" s="58"/>
      <c r="K204" s="113"/>
    </row>
    <row r="205" spans="3:11">
      <c r="C205" s="103">
        <v>163003</v>
      </c>
      <c r="D205" s="98" t="s">
        <v>688</v>
      </c>
      <c r="E205" s="138">
        <v>3</v>
      </c>
      <c r="G205" s="57" t="s">
        <v>672</v>
      </c>
      <c r="H205" s="58" t="s">
        <v>301</v>
      </c>
      <c r="I205" s="57" t="s">
        <v>672</v>
      </c>
      <c r="J205" s="58" t="s">
        <v>675</v>
      </c>
      <c r="K205" s="112"/>
    </row>
    <row r="206" spans="3:11">
      <c r="C206" s="103">
        <v>163004</v>
      </c>
      <c r="D206" s="98" t="s">
        <v>689</v>
      </c>
      <c r="E206" s="138">
        <v>4</v>
      </c>
      <c r="G206" s="57" t="s">
        <v>1050</v>
      </c>
      <c r="H206" s="58" t="s">
        <v>675</v>
      </c>
      <c r="I206" s="57" t="s">
        <v>1050</v>
      </c>
      <c r="J206" s="58" t="s">
        <v>675</v>
      </c>
      <c r="K206" s="64"/>
    </row>
    <row r="207" spans="3:11">
      <c r="C207" s="103">
        <v>163005</v>
      </c>
      <c r="D207" s="98" t="s">
        <v>690</v>
      </c>
      <c r="E207" s="138">
        <v>5</v>
      </c>
      <c r="G207" s="66" t="s">
        <v>1051</v>
      </c>
      <c r="H207" s="58" t="s">
        <v>675</v>
      </c>
      <c r="I207" s="66" t="s">
        <v>1051</v>
      </c>
      <c r="J207" s="58" t="s">
        <v>675</v>
      </c>
      <c r="K207" s="64"/>
    </row>
    <row r="208" spans="3:11">
      <c r="C208" s="103">
        <v>163006</v>
      </c>
      <c r="D208" s="98" t="s">
        <v>493</v>
      </c>
      <c r="G208" s="66" t="s">
        <v>874</v>
      </c>
      <c r="H208" s="58" t="s">
        <v>709</v>
      </c>
      <c r="I208" s="66" t="s">
        <v>678</v>
      </c>
      <c r="J208" s="58" t="s">
        <v>708</v>
      </c>
    </row>
    <row r="209" spans="3:10">
      <c r="C209" s="103">
        <v>163007</v>
      </c>
      <c r="D209" s="98" t="s">
        <v>691</v>
      </c>
      <c r="G209" s="66" t="s">
        <v>711</v>
      </c>
      <c r="H209" s="58" t="s">
        <v>708</v>
      </c>
      <c r="I209" s="66" t="s">
        <v>711</v>
      </c>
      <c r="J209" s="58" t="s">
        <v>1242</v>
      </c>
    </row>
    <row r="210" spans="3:10">
      <c r="C210" s="103">
        <v>163008</v>
      </c>
      <c r="D210" s="98" t="s">
        <v>692</v>
      </c>
      <c r="G210" s="57" t="s">
        <v>890</v>
      </c>
      <c r="H210" s="65" t="s">
        <v>688</v>
      </c>
      <c r="I210" s="57" t="s">
        <v>706</v>
      </c>
      <c r="J210" s="65" t="s">
        <v>688</v>
      </c>
    </row>
    <row r="211" spans="3:10">
      <c r="C211" s="103">
        <v>163009</v>
      </c>
      <c r="D211" s="98" t="s">
        <v>693</v>
      </c>
      <c r="G211" s="57" t="s">
        <v>893</v>
      </c>
      <c r="H211" s="58" t="s">
        <v>1241</v>
      </c>
      <c r="I211" s="57" t="s">
        <v>710</v>
      </c>
      <c r="J211" s="58" t="s">
        <v>1243</v>
      </c>
    </row>
    <row r="212" spans="3:10">
      <c r="C212" s="103">
        <v>163010</v>
      </c>
      <c r="D212" s="98" t="s">
        <v>694</v>
      </c>
      <c r="G212" s="276"/>
      <c r="H212" s="280"/>
      <c r="I212" s="276"/>
      <c r="J212" s="280"/>
    </row>
    <row r="213" spans="3:10">
      <c r="G213" s="122"/>
      <c r="H213" s="58" t="s">
        <v>531</v>
      </c>
      <c r="I213" s="122"/>
      <c r="J213" s="124" t="s">
        <v>531</v>
      </c>
    </row>
    <row r="214" spans="3:10">
      <c r="G214" s="122"/>
      <c r="H214" s="124"/>
      <c r="I214" s="57"/>
      <c r="J214" s="58"/>
    </row>
    <row r="215" spans="3:10">
      <c r="G215" s="60"/>
      <c r="H215" s="61"/>
      <c r="I215" s="60"/>
      <c r="J215" s="6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N276"/>
  <sheetViews>
    <sheetView tabSelected="1" topLeftCell="A118" workbookViewId="0">
      <selection activeCell="E141" sqref="E141"/>
    </sheetView>
  </sheetViews>
  <sheetFormatPr defaultRowHeight="12"/>
  <cols>
    <col min="1" max="1" width="9" style="171"/>
    <col min="2" max="2" width="44.5" style="171" customWidth="1"/>
    <col min="3" max="3" width="34.75" style="171" customWidth="1"/>
    <col min="4" max="4" width="35.5" style="189" customWidth="1"/>
    <col min="5" max="5" width="32.25" style="171" customWidth="1"/>
    <col min="6" max="6" width="15.875" style="171" customWidth="1"/>
    <col min="7" max="7" width="19.75" style="171" bestFit="1" customWidth="1"/>
    <col min="8" max="8" width="15" style="171" customWidth="1"/>
    <col min="9" max="9" width="38.75" style="171" bestFit="1" customWidth="1"/>
    <col min="10" max="10" width="6.5" style="171" bestFit="1" customWidth="1"/>
    <col min="11" max="11" width="6.5" style="171" customWidth="1"/>
    <col min="12" max="12" width="15.125" style="171" bestFit="1" customWidth="1"/>
    <col min="13" max="16" width="9" style="171"/>
    <col min="17" max="17" width="33.875" style="171" bestFit="1" customWidth="1"/>
    <col min="18" max="18" width="81.25" style="171" bestFit="1" customWidth="1"/>
    <col min="19" max="16384" width="9" style="171"/>
  </cols>
  <sheetData>
    <row r="2" spans="1:14">
      <c r="I2" s="324" t="s">
        <v>1240</v>
      </c>
    </row>
    <row r="3" spans="1:14">
      <c r="I3" s="324" t="s">
        <v>1239</v>
      </c>
    </row>
    <row r="4" spans="1:14">
      <c r="N4" s="171" t="s">
        <v>55</v>
      </c>
    </row>
    <row r="5" spans="1:14">
      <c r="A5" s="171" t="s">
        <v>755</v>
      </c>
      <c r="C5" s="171" t="s">
        <v>988</v>
      </c>
      <c r="E5" s="171" t="s">
        <v>418</v>
      </c>
      <c r="G5" s="171" t="s">
        <v>756</v>
      </c>
      <c r="I5" s="171" t="s">
        <v>757</v>
      </c>
      <c r="L5" s="191" t="s">
        <v>758</v>
      </c>
      <c r="M5" s="192"/>
      <c r="N5" s="190">
        <v>110000</v>
      </c>
    </row>
    <row r="6" spans="1:14" ht="12.75">
      <c r="A6" s="193">
        <v>13101</v>
      </c>
      <c r="B6" s="158" t="s">
        <v>759</v>
      </c>
      <c r="C6" s="157">
        <v>34101</v>
      </c>
      <c r="D6" s="164">
        <v>53101</v>
      </c>
      <c r="E6" s="194" t="s">
        <v>299</v>
      </c>
      <c r="H6" s="171" t="str">
        <f>IF(G6="","",VLOOKUP(G6,I6:J30,2,0))</f>
        <v/>
      </c>
      <c r="I6" s="212" t="s">
        <v>760</v>
      </c>
      <c r="J6" s="308">
        <v>94020</v>
      </c>
      <c r="L6" s="191" t="s">
        <v>761</v>
      </c>
      <c r="M6" s="192">
        <v>1</v>
      </c>
      <c r="N6" s="190">
        <v>110001</v>
      </c>
    </row>
    <row r="7" spans="1:14" ht="12.75">
      <c r="A7" s="193">
        <v>13102</v>
      </c>
      <c r="B7" s="158" t="s">
        <v>1050</v>
      </c>
      <c r="C7" s="157">
        <v>34102</v>
      </c>
      <c r="D7" s="164">
        <v>53102</v>
      </c>
      <c r="E7" s="194" t="s">
        <v>301</v>
      </c>
      <c r="H7" s="171" t="str">
        <f>IF(G7="","",VLOOKUP(G7,I7:J31,2,0))</f>
        <v/>
      </c>
      <c r="I7" s="212" t="s">
        <v>1060</v>
      </c>
      <c r="J7" s="308">
        <v>94021</v>
      </c>
      <c r="L7" s="191" t="s">
        <v>762</v>
      </c>
      <c r="M7" s="192">
        <v>2</v>
      </c>
      <c r="N7" s="190">
        <v>110002</v>
      </c>
    </row>
    <row r="8" spans="1:14" ht="12.75">
      <c r="A8" s="193">
        <v>13103</v>
      </c>
      <c r="B8" s="158" t="s">
        <v>1051</v>
      </c>
      <c r="C8" s="157">
        <v>34103</v>
      </c>
      <c r="D8" s="164">
        <v>53103</v>
      </c>
      <c r="E8" s="194" t="s">
        <v>301</v>
      </c>
      <c r="H8" s="171" t="str">
        <f t="shared" ref="H8" si="0">IF(G8="","",VLOOKUP(G8,I8:J32,2,0))</f>
        <v/>
      </c>
      <c r="I8" s="212" t="s">
        <v>1061</v>
      </c>
      <c r="J8" s="308">
        <v>94022</v>
      </c>
      <c r="L8" s="191" t="s">
        <v>763</v>
      </c>
      <c r="M8" s="192">
        <v>3</v>
      </c>
      <c r="N8" s="190">
        <v>110003</v>
      </c>
    </row>
    <row r="9" spans="1:14" ht="12.75">
      <c r="A9" s="193">
        <v>13104</v>
      </c>
      <c r="B9" s="158" t="s">
        <v>764</v>
      </c>
      <c r="C9" s="157">
        <v>34104</v>
      </c>
      <c r="D9" s="164">
        <v>53104</v>
      </c>
      <c r="E9" s="195" t="s">
        <v>765</v>
      </c>
      <c r="F9" s="166" t="str">
        <f t="shared" ref="F9:F14" si="1">IF(E9="普攻操作","",IF(E9="防御","",VLOOKUP(E9,$L$5:$M$162,2,0)&amp;"@1"))</f>
        <v>2@1</v>
      </c>
      <c r="G9" s="159" t="s">
        <v>766</v>
      </c>
      <c r="H9" s="171">
        <f t="shared" ref="H9:H40" si="2">IF(G9="","",VLOOKUP(G9,$I$9:$J$50,2,0))</f>
        <v>94023</v>
      </c>
      <c r="I9" s="212" t="s">
        <v>766</v>
      </c>
      <c r="J9" s="308">
        <v>94023</v>
      </c>
      <c r="L9" s="191" t="s">
        <v>767</v>
      </c>
      <c r="M9" s="192">
        <v>4</v>
      </c>
      <c r="N9" s="190">
        <v>110004</v>
      </c>
    </row>
    <row r="10" spans="1:14" ht="12.75">
      <c r="A10" s="193">
        <v>13105</v>
      </c>
      <c r="B10" s="158" t="s">
        <v>768</v>
      </c>
      <c r="C10" s="157">
        <v>34105</v>
      </c>
      <c r="D10" s="164">
        <v>53105</v>
      </c>
      <c r="E10" s="195" t="s">
        <v>769</v>
      </c>
      <c r="F10" s="166" t="str">
        <f t="shared" si="1"/>
        <v>5@1</v>
      </c>
      <c r="G10" s="159" t="s">
        <v>770</v>
      </c>
      <c r="H10" s="171">
        <f t="shared" si="2"/>
        <v>94024</v>
      </c>
      <c r="I10" s="212" t="s">
        <v>1183</v>
      </c>
      <c r="J10" s="308">
        <v>94024</v>
      </c>
      <c r="L10" s="191" t="s">
        <v>771</v>
      </c>
      <c r="M10" s="192">
        <v>5</v>
      </c>
      <c r="N10" s="190">
        <v>110005</v>
      </c>
    </row>
    <row r="11" spans="1:14" ht="12.75">
      <c r="A11" s="193">
        <v>13106</v>
      </c>
      <c r="B11" s="158" t="s">
        <v>772</v>
      </c>
      <c r="C11" s="157">
        <v>34106</v>
      </c>
      <c r="D11" s="164">
        <v>53106</v>
      </c>
      <c r="E11" s="195" t="s">
        <v>773</v>
      </c>
      <c r="F11" s="166" t="str">
        <f t="shared" si="1"/>
        <v>3@1</v>
      </c>
      <c r="G11" s="159" t="s">
        <v>774</v>
      </c>
      <c r="H11" s="171">
        <f t="shared" si="2"/>
        <v>94029</v>
      </c>
      <c r="I11" s="212" t="s">
        <v>1184</v>
      </c>
      <c r="J11" s="308">
        <v>94025</v>
      </c>
      <c r="L11" s="191" t="s">
        <v>775</v>
      </c>
      <c r="M11" s="192"/>
      <c r="N11" s="190">
        <v>110006</v>
      </c>
    </row>
    <row r="12" spans="1:14" ht="12.75">
      <c r="A12" s="193">
        <v>13107</v>
      </c>
      <c r="B12" s="158" t="s">
        <v>462</v>
      </c>
      <c r="C12" s="157">
        <v>34107</v>
      </c>
      <c r="D12" s="164">
        <v>53107</v>
      </c>
      <c r="E12" s="195" t="s">
        <v>773</v>
      </c>
      <c r="F12" s="166" t="str">
        <f t="shared" si="1"/>
        <v>3@1</v>
      </c>
      <c r="H12" s="171" t="str">
        <f t="shared" si="2"/>
        <v/>
      </c>
      <c r="I12" s="212" t="s">
        <v>1185</v>
      </c>
      <c r="J12" s="308">
        <v>94026</v>
      </c>
      <c r="L12" s="191" t="s">
        <v>776</v>
      </c>
      <c r="M12" s="192"/>
      <c r="N12" s="190">
        <v>110007</v>
      </c>
    </row>
    <row r="13" spans="1:14" ht="12.75">
      <c r="A13" s="193">
        <v>13108</v>
      </c>
      <c r="B13" s="158" t="s">
        <v>777</v>
      </c>
      <c r="C13" s="157">
        <v>34108</v>
      </c>
      <c r="D13" s="164">
        <v>53108</v>
      </c>
      <c r="E13" s="195" t="s">
        <v>773</v>
      </c>
      <c r="F13" s="166" t="str">
        <f t="shared" si="1"/>
        <v>3@1</v>
      </c>
      <c r="H13" s="171" t="str">
        <f t="shared" si="2"/>
        <v/>
      </c>
      <c r="I13" s="212" t="s">
        <v>1177</v>
      </c>
      <c r="J13" s="308">
        <v>94027</v>
      </c>
      <c r="L13" s="191" t="s">
        <v>467</v>
      </c>
      <c r="M13" s="192"/>
      <c r="N13" s="190">
        <v>110008</v>
      </c>
    </row>
    <row r="14" spans="1:14" ht="12.75">
      <c r="A14" s="193">
        <v>13109</v>
      </c>
      <c r="B14" s="158" t="s">
        <v>778</v>
      </c>
      <c r="C14" s="157">
        <v>34109</v>
      </c>
      <c r="D14" s="164">
        <v>53109</v>
      </c>
      <c r="E14" s="195" t="s">
        <v>773</v>
      </c>
      <c r="F14" s="166" t="str">
        <f t="shared" si="1"/>
        <v>3@1</v>
      </c>
      <c r="H14" s="171" t="str">
        <f t="shared" si="2"/>
        <v/>
      </c>
      <c r="I14" s="212" t="s">
        <v>779</v>
      </c>
      <c r="J14" s="308">
        <v>94028</v>
      </c>
      <c r="L14" s="191" t="s">
        <v>468</v>
      </c>
      <c r="M14" s="192"/>
      <c r="N14" s="190">
        <v>110009</v>
      </c>
    </row>
    <row r="15" spans="1:14" ht="12.75">
      <c r="A15" s="193">
        <v>13110</v>
      </c>
      <c r="B15" s="158" t="s">
        <v>780</v>
      </c>
      <c r="C15" s="157">
        <v>34110</v>
      </c>
      <c r="D15" s="164">
        <v>53110</v>
      </c>
      <c r="E15" s="195" t="s">
        <v>781</v>
      </c>
      <c r="F15" s="166" t="str">
        <f>"4@0.5;1@0.5"</f>
        <v>4@0.5;1@0.5</v>
      </c>
      <c r="H15" s="171" t="str">
        <f t="shared" si="2"/>
        <v/>
      </c>
      <c r="I15" s="212" t="s">
        <v>802</v>
      </c>
      <c r="J15" s="308">
        <v>94029</v>
      </c>
      <c r="L15" s="191" t="s">
        <v>469</v>
      </c>
      <c r="M15" s="192"/>
      <c r="N15" s="190">
        <v>110010</v>
      </c>
    </row>
    <row r="16" spans="1:14" ht="12.75">
      <c r="A16" s="193">
        <v>13111</v>
      </c>
      <c r="B16" s="161" t="s">
        <v>759</v>
      </c>
      <c r="C16" s="160">
        <v>34101</v>
      </c>
      <c r="D16" s="164">
        <v>53111</v>
      </c>
      <c r="E16" s="194" t="s">
        <v>299</v>
      </c>
      <c r="F16" s="166" t="str">
        <f t="shared" ref="F16:F21" si="3">IF(E16="普攻操作","",IF(E16="防御","",VLOOKUP(E16,$L$5:$M$162,2,0)&amp;"@1"))</f>
        <v/>
      </c>
      <c r="H16" s="171" t="str">
        <f t="shared" si="2"/>
        <v/>
      </c>
      <c r="I16" s="212" t="s">
        <v>1186</v>
      </c>
      <c r="J16" s="308">
        <v>94030</v>
      </c>
      <c r="L16" s="191" t="s">
        <v>782</v>
      </c>
      <c r="M16" s="192"/>
      <c r="N16" s="190">
        <v>110011</v>
      </c>
    </row>
    <row r="17" spans="1:14" ht="12.75">
      <c r="A17" s="193">
        <v>13112</v>
      </c>
      <c r="B17" s="161" t="s">
        <v>1050</v>
      </c>
      <c r="C17" s="160">
        <v>34102</v>
      </c>
      <c r="D17" s="164">
        <v>53112</v>
      </c>
      <c r="E17" s="194" t="s">
        <v>301</v>
      </c>
      <c r="F17" s="166" t="str">
        <f t="shared" si="3"/>
        <v/>
      </c>
      <c r="H17" s="171" t="str">
        <f t="shared" si="2"/>
        <v/>
      </c>
      <c r="I17" s="212" t="s">
        <v>1187</v>
      </c>
      <c r="J17" s="308">
        <v>94031</v>
      </c>
      <c r="L17" s="192"/>
      <c r="M17" s="192"/>
      <c r="N17" s="192"/>
    </row>
    <row r="18" spans="1:14" ht="12.75">
      <c r="A18" s="193">
        <v>13113</v>
      </c>
      <c r="B18" s="161" t="s">
        <v>1051</v>
      </c>
      <c r="C18" s="160">
        <v>34103</v>
      </c>
      <c r="D18" s="164">
        <v>53113</v>
      </c>
      <c r="E18" s="194" t="s">
        <v>301</v>
      </c>
      <c r="F18" s="166" t="str">
        <f t="shared" si="3"/>
        <v/>
      </c>
      <c r="H18" s="171" t="str">
        <f t="shared" si="2"/>
        <v/>
      </c>
      <c r="I18" s="212" t="s">
        <v>1188</v>
      </c>
      <c r="J18" s="308">
        <v>94032</v>
      </c>
      <c r="L18" s="192"/>
      <c r="M18" s="192"/>
      <c r="N18" s="192"/>
    </row>
    <row r="19" spans="1:14" ht="12.75">
      <c r="A19" s="193">
        <v>13114</v>
      </c>
      <c r="B19" s="161" t="s">
        <v>764</v>
      </c>
      <c r="C19" s="160">
        <v>34104</v>
      </c>
      <c r="D19" s="164">
        <v>53114</v>
      </c>
      <c r="E19" s="195" t="s">
        <v>765</v>
      </c>
      <c r="F19" s="166" t="str">
        <f t="shared" si="3"/>
        <v>2@1</v>
      </c>
      <c r="G19" s="159" t="s">
        <v>766</v>
      </c>
      <c r="H19" s="171">
        <f t="shared" si="2"/>
        <v>94023</v>
      </c>
      <c r="I19" s="212" t="s">
        <v>1189</v>
      </c>
      <c r="J19" s="308">
        <v>94033</v>
      </c>
      <c r="L19" s="192"/>
      <c r="M19" s="192"/>
      <c r="N19" s="192"/>
    </row>
    <row r="20" spans="1:14" ht="12.75">
      <c r="A20" s="193">
        <v>13115</v>
      </c>
      <c r="B20" s="161" t="s">
        <v>768</v>
      </c>
      <c r="C20" s="160">
        <v>34105</v>
      </c>
      <c r="D20" s="164">
        <v>53115</v>
      </c>
      <c r="E20" s="195" t="s">
        <v>769</v>
      </c>
      <c r="F20" s="166" t="str">
        <f t="shared" si="3"/>
        <v>5@1</v>
      </c>
      <c r="G20" s="159" t="s">
        <v>770</v>
      </c>
      <c r="H20" s="171">
        <f t="shared" si="2"/>
        <v>94024</v>
      </c>
      <c r="I20" s="212" t="s">
        <v>1190</v>
      </c>
      <c r="J20" s="308">
        <v>94034</v>
      </c>
      <c r="L20" s="192"/>
      <c r="M20" s="192"/>
      <c r="N20" s="192"/>
    </row>
    <row r="21" spans="1:14" ht="12.75">
      <c r="A21" s="193">
        <v>13116</v>
      </c>
      <c r="B21" s="161" t="s">
        <v>772</v>
      </c>
      <c r="C21" s="160">
        <v>34106</v>
      </c>
      <c r="D21" s="164">
        <v>53116</v>
      </c>
      <c r="E21" s="195" t="s">
        <v>773</v>
      </c>
      <c r="F21" s="166" t="str">
        <f t="shared" si="3"/>
        <v>3@1</v>
      </c>
      <c r="G21" s="159" t="s">
        <v>774</v>
      </c>
      <c r="H21" s="171">
        <f t="shared" si="2"/>
        <v>94029</v>
      </c>
      <c r="I21" s="325" t="s">
        <v>1238</v>
      </c>
      <c r="J21" s="308">
        <v>94035</v>
      </c>
      <c r="L21" s="192"/>
      <c r="M21" s="192"/>
      <c r="N21" s="192"/>
    </row>
    <row r="22" spans="1:14" ht="12.75">
      <c r="A22" s="193">
        <v>13117</v>
      </c>
      <c r="B22" s="161" t="s">
        <v>785</v>
      </c>
      <c r="C22" s="160">
        <v>34107</v>
      </c>
      <c r="D22" s="164">
        <v>53117</v>
      </c>
      <c r="E22" s="195" t="s">
        <v>582</v>
      </c>
      <c r="F22" s="166" t="str">
        <f>"1@0.5;3@0.5"</f>
        <v>1@0.5;3@0.5</v>
      </c>
      <c r="H22" s="171" t="str">
        <f t="shared" si="2"/>
        <v/>
      </c>
      <c r="I22" s="212" t="s">
        <v>786</v>
      </c>
      <c r="J22" s="308">
        <v>94036</v>
      </c>
      <c r="L22" s="192"/>
      <c r="M22" s="192"/>
      <c r="N22" s="192"/>
    </row>
    <row r="23" spans="1:14" ht="12.75">
      <c r="A23" s="193">
        <v>13118</v>
      </c>
      <c r="B23" s="161" t="s">
        <v>787</v>
      </c>
      <c r="C23" s="160">
        <v>34108</v>
      </c>
      <c r="D23" s="164">
        <v>53118</v>
      </c>
      <c r="E23" s="195" t="s">
        <v>582</v>
      </c>
      <c r="F23" s="166" t="str">
        <f>"1@0.5;3@0.5"</f>
        <v>1@0.5;3@0.5</v>
      </c>
      <c r="H23" s="171" t="str">
        <f t="shared" si="2"/>
        <v/>
      </c>
      <c r="I23" s="212" t="s">
        <v>841</v>
      </c>
      <c r="J23" s="308">
        <v>94037</v>
      </c>
      <c r="L23" s="192"/>
      <c r="M23" s="192"/>
      <c r="N23" s="192"/>
    </row>
    <row r="24" spans="1:14" ht="12.75">
      <c r="A24" s="193">
        <v>13119</v>
      </c>
      <c r="B24" s="161" t="s">
        <v>788</v>
      </c>
      <c r="C24" s="160">
        <v>34109</v>
      </c>
      <c r="D24" s="164">
        <v>53119</v>
      </c>
      <c r="E24" s="195" t="s">
        <v>279</v>
      </c>
      <c r="F24" s="166" t="str">
        <f>IF(E24="普攻操作","",IF(E24="防御","",VLOOKUP(E24,$L$5:$M$162,2,0)&amp;"@1"))</f>
        <v>3@1</v>
      </c>
      <c r="H24" s="171" t="str">
        <f t="shared" si="2"/>
        <v/>
      </c>
      <c r="I24" s="212" t="s">
        <v>789</v>
      </c>
      <c r="J24" s="308">
        <v>94038</v>
      </c>
      <c r="L24" s="192"/>
      <c r="M24" s="192"/>
      <c r="N24" s="192"/>
    </row>
    <row r="25" spans="1:14" ht="12.75">
      <c r="A25" s="193">
        <v>13120</v>
      </c>
      <c r="B25" s="161" t="s">
        <v>790</v>
      </c>
      <c r="C25" s="160">
        <v>34110</v>
      </c>
      <c r="D25" s="164">
        <v>53120</v>
      </c>
      <c r="E25" s="195" t="s">
        <v>791</v>
      </c>
      <c r="F25" s="166" t="str">
        <f>"4@0.5;1@0.5"</f>
        <v>4@0.5;1@0.5</v>
      </c>
      <c r="H25" s="171" t="str">
        <f t="shared" si="2"/>
        <v/>
      </c>
      <c r="I25" s="212" t="s">
        <v>705</v>
      </c>
      <c r="J25" s="308">
        <v>94039</v>
      </c>
      <c r="L25" s="198" t="s">
        <v>792</v>
      </c>
      <c r="M25" s="192"/>
      <c r="N25" s="197">
        <v>120000</v>
      </c>
    </row>
    <row r="26" spans="1:14" ht="12.75" customHeight="1">
      <c r="A26" s="193">
        <v>13121</v>
      </c>
      <c r="B26" s="163" t="s">
        <v>793</v>
      </c>
      <c r="C26" s="162">
        <v>34201</v>
      </c>
      <c r="D26" s="164">
        <v>53201</v>
      </c>
      <c r="E26" s="194" t="s">
        <v>794</v>
      </c>
      <c r="F26" s="166" t="str">
        <f t="shared" ref="F26:F61" si="4">IF(E26="普攻操作","",IF(E26="防御","",VLOOKUP(E26,$L$5:$M$162,2,0)&amp;"@1"))</f>
        <v/>
      </c>
      <c r="H26" s="171" t="str">
        <f t="shared" si="2"/>
        <v/>
      </c>
      <c r="I26" s="212" t="s">
        <v>1192</v>
      </c>
      <c r="J26" s="308">
        <v>94040</v>
      </c>
      <c r="L26" s="198" t="s">
        <v>795</v>
      </c>
      <c r="M26" s="192">
        <v>1</v>
      </c>
      <c r="N26" s="197">
        <v>120001</v>
      </c>
    </row>
    <row r="27" spans="1:14" ht="12.75" customHeight="1">
      <c r="A27" s="193">
        <v>13122</v>
      </c>
      <c r="B27" s="163" t="s">
        <v>1050</v>
      </c>
      <c r="C27" s="162">
        <v>34202</v>
      </c>
      <c r="D27" s="164">
        <v>53202</v>
      </c>
      <c r="E27" s="194" t="s">
        <v>794</v>
      </c>
      <c r="F27" s="166" t="str">
        <f t="shared" si="4"/>
        <v/>
      </c>
      <c r="H27" s="171" t="str">
        <f t="shared" si="2"/>
        <v/>
      </c>
      <c r="I27" s="212" t="s">
        <v>856</v>
      </c>
      <c r="J27" s="308">
        <v>94041</v>
      </c>
      <c r="L27" s="198" t="s">
        <v>796</v>
      </c>
      <c r="M27" s="192">
        <v>2</v>
      </c>
      <c r="N27" s="197">
        <v>120002</v>
      </c>
    </row>
    <row r="28" spans="1:14" ht="12.75" customHeight="1">
      <c r="A28" s="193">
        <v>13123</v>
      </c>
      <c r="B28" s="163" t="s">
        <v>1051</v>
      </c>
      <c r="C28" s="162">
        <v>34203</v>
      </c>
      <c r="D28" s="164">
        <v>53203</v>
      </c>
      <c r="E28" s="194" t="s">
        <v>794</v>
      </c>
      <c r="F28" s="166" t="str">
        <f t="shared" si="4"/>
        <v/>
      </c>
      <c r="H28" s="171" t="str">
        <f t="shared" si="2"/>
        <v/>
      </c>
      <c r="I28" s="212" t="s">
        <v>1193</v>
      </c>
      <c r="J28" s="308">
        <v>94042</v>
      </c>
      <c r="L28" s="199" t="s">
        <v>797</v>
      </c>
      <c r="M28" s="192">
        <v>3</v>
      </c>
      <c r="N28" s="197">
        <v>120003</v>
      </c>
    </row>
    <row r="29" spans="1:14" ht="12.75" customHeight="1">
      <c r="A29" s="193">
        <v>13124</v>
      </c>
      <c r="B29" s="163" t="s">
        <v>1209</v>
      </c>
      <c r="C29" s="162">
        <v>34204</v>
      </c>
      <c r="D29" s="164">
        <v>53204</v>
      </c>
      <c r="E29" s="195" t="s">
        <v>914</v>
      </c>
      <c r="F29" s="166" t="str">
        <f t="shared" si="4"/>
        <v>3@1</v>
      </c>
      <c r="G29" s="159" t="s">
        <v>798</v>
      </c>
      <c r="H29" s="171">
        <f t="shared" si="2"/>
        <v>94023</v>
      </c>
      <c r="I29" s="212" t="s">
        <v>1194</v>
      </c>
      <c r="J29" s="308">
        <v>94043</v>
      </c>
      <c r="L29" s="199" t="s">
        <v>799</v>
      </c>
      <c r="M29" s="192">
        <v>4</v>
      </c>
      <c r="N29" s="197">
        <v>120004</v>
      </c>
    </row>
    <row r="30" spans="1:14" ht="12.75" customHeight="1">
      <c r="A30" s="193">
        <v>13125</v>
      </c>
      <c r="B30" s="163" t="s">
        <v>1232</v>
      </c>
      <c r="C30" s="162">
        <v>34205</v>
      </c>
      <c r="D30" s="164">
        <v>53205</v>
      </c>
      <c r="E30" s="195" t="s">
        <v>1210</v>
      </c>
      <c r="F30" s="166" t="str">
        <f t="shared" si="4"/>
        <v>4@1</v>
      </c>
      <c r="G30" s="159"/>
      <c r="I30" s="325" t="s">
        <v>1237</v>
      </c>
      <c r="J30" s="308">
        <v>94044</v>
      </c>
      <c r="L30" s="198" t="s">
        <v>800</v>
      </c>
      <c r="M30" s="192">
        <v>5</v>
      </c>
      <c r="N30" s="197">
        <v>120005</v>
      </c>
    </row>
    <row r="31" spans="1:14" ht="12.75" customHeight="1">
      <c r="A31" s="193">
        <v>13126</v>
      </c>
      <c r="B31" s="253" t="s">
        <v>1205</v>
      </c>
      <c r="C31" s="254">
        <v>34206</v>
      </c>
      <c r="D31" s="164">
        <v>53206</v>
      </c>
      <c r="E31" s="195" t="s">
        <v>282</v>
      </c>
      <c r="F31" s="166" t="str">
        <f t="shared" si="4"/>
        <v>2@1</v>
      </c>
      <c r="G31" s="310" t="s">
        <v>774</v>
      </c>
      <c r="H31" s="261">
        <f t="shared" ref="H31" si="5">IF(G31="","",VLOOKUP(G31,$I$9:$J$50,2,0))</f>
        <v>94029</v>
      </c>
      <c r="I31" s="212" t="s">
        <v>1196</v>
      </c>
      <c r="J31" s="308">
        <v>94045</v>
      </c>
      <c r="L31" s="198" t="s">
        <v>801</v>
      </c>
      <c r="M31" s="192"/>
      <c r="N31" s="197">
        <v>120006</v>
      </c>
    </row>
    <row r="32" spans="1:14" ht="12.75" customHeight="1">
      <c r="A32" s="193">
        <v>13127</v>
      </c>
      <c r="B32" s="163" t="s">
        <v>1116</v>
      </c>
      <c r="C32" s="162">
        <v>34207</v>
      </c>
      <c r="D32" s="164">
        <v>53207</v>
      </c>
      <c r="E32" s="195" t="s">
        <v>283</v>
      </c>
      <c r="F32" s="166" t="str">
        <f t="shared" si="4"/>
        <v>5@1</v>
      </c>
      <c r="G32" s="310"/>
      <c r="H32" s="261"/>
      <c r="I32" s="212" t="s">
        <v>1197</v>
      </c>
      <c r="J32" s="308">
        <v>94046</v>
      </c>
      <c r="L32" s="198" t="s">
        <v>803</v>
      </c>
      <c r="M32" s="192"/>
      <c r="N32" s="197">
        <v>120007</v>
      </c>
    </row>
    <row r="33" spans="1:14" ht="12.75">
      <c r="A33" s="193">
        <v>13128</v>
      </c>
      <c r="B33" s="161" t="s">
        <v>793</v>
      </c>
      <c r="C33" s="160">
        <v>34201</v>
      </c>
      <c r="D33" s="164">
        <v>53208</v>
      </c>
      <c r="E33" s="194" t="s">
        <v>794</v>
      </c>
      <c r="F33" s="166" t="str">
        <f t="shared" si="4"/>
        <v/>
      </c>
      <c r="H33" s="171" t="str">
        <f t="shared" si="2"/>
        <v/>
      </c>
      <c r="I33" s="307" t="s">
        <v>1198</v>
      </c>
      <c r="J33" s="309">
        <v>94047</v>
      </c>
      <c r="L33" s="199" t="s">
        <v>470</v>
      </c>
      <c r="M33" s="192"/>
      <c r="N33" s="197">
        <v>120008</v>
      </c>
    </row>
    <row r="34" spans="1:14" ht="12.75">
      <c r="A34" s="193">
        <v>13129</v>
      </c>
      <c r="B34" s="161" t="s">
        <v>1050</v>
      </c>
      <c r="C34" s="160">
        <v>34202</v>
      </c>
      <c r="D34" s="164">
        <v>53209</v>
      </c>
      <c r="E34" s="194" t="s">
        <v>794</v>
      </c>
      <c r="F34" s="166" t="str">
        <f t="shared" si="4"/>
        <v/>
      </c>
      <c r="H34" s="171" t="str">
        <f t="shared" si="2"/>
        <v/>
      </c>
      <c r="I34" s="307" t="s">
        <v>1199</v>
      </c>
      <c r="J34" s="309">
        <v>94048</v>
      </c>
      <c r="L34" s="199" t="s">
        <v>471</v>
      </c>
      <c r="M34" s="192"/>
      <c r="N34" s="197">
        <v>120009</v>
      </c>
    </row>
    <row r="35" spans="1:14" ht="12.75">
      <c r="A35" s="193">
        <v>13130</v>
      </c>
      <c r="B35" s="161" t="s">
        <v>1051</v>
      </c>
      <c r="C35" s="160">
        <v>34203</v>
      </c>
      <c r="D35" s="164">
        <v>53210</v>
      </c>
      <c r="E35" s="194" t="s">
        <v>794</v>
      </c>
      <c r="F35" s="166" t="str">
        <f t="shared" si="4"/>
        <v/>
      </c>
      <c r="H35" s="171" t="str">
        <f t="shared" si="2"/>
        <v/>
      </c>
      <c r="I35" s="307" t="s">
        <v>1178</v>
      </c>
      <c r="J35" s="309">
        <v>94049</v>
      </c>
      <c r="L35" s="199" t="s">
        <v>472</v>
      </c>
      <c r="M35" s="192"/>
      <c r="N35" s="197">
        <v>120010</v>
      </c>
    </row>
    <row r="36" spans="1:14" ht="12.75">
      <c r="A36" s="193">
        <v>13131</v>
      </c>
      <c r="B36" s="161" t="s">
        <v>1209</v>
      </c>
      <c r="C36" s="160">
        <v>34204</v>
      </c>
      <c r="D36" s="164">
        <v>53211</v>
      </c>
      <c r="E36" s="195" t="s">
        <v>914</v>
      </c>
      <c r="F36" s="166" t="str">
        <f t="shared" si="4"/>
        <v>3@1</v>
      </c>
      <c r="G36" s="159" t="s">
        <v>798</v>
      </c>
      <c r="H36" s="171">
        <f t="shared" si="2"/>
        <v>94023</v>
      </c>
      <c r="I36" s="307" t="s">
        <v>1179</v>
      </c>
      <c r="J36" s="309">
        <v>94050</v>
      </c>
      <c r="L36" s="192"/>
      <c r="M36" s="192"/>
      <c r="N36" s="192"/>
    </row>
    <row r="37" spans="1:14" ht="12.75">
      <c r="A37" s="193">
        <v>13132</v>
      </c>
      <c r="B37" s="161" t="s">
        <v>1205</v>
      </c>
      <c r="C37" s="314">
        <v>34206</v>
      </c>
      <c r="D37" s="164">
        <v>53212</v>
      </c>
      <c r="E37" s="315" t="s">
        <v>1203</v>
      </c>
      <c r="F37" s="166" t="str">
        <f t="shared" si="4"/>
        <v>2@1</v>
      </c>
      <c r="G37" s="310" t="s">
        <v>774</v>
      </c>
      <c r="H37" s="261">
        <f t="shared" si="2"/>
        <v>94029</v>
      </c>
      <c r="I37" s="307" t="s">
        <v>1180</v>
      </c>
      <c r="J37" s="309">
        <v>94051</v>
      </c>
      <c r="L37" s="192"/>
      <c r="M37" s="192"/>
      <c r="N37" s="192"/>
    </row>
    <row r="38" spans="1:14" ht="12.75">
      <c r="A38" s="193">
        <v>13133</v>
      </c>
      <c r="B38" s="161" t="s">
        <v>1176</v>
      </c>
      <c r="C38" s="241">
        <v>34205</v>
      </c>
      <c r="D38" s="164">
        <v>53213</v>
      </c>
      <c r="E38" s="315" t="s">
        <v>1211</v>
      </c>
      <c r="F38" s="166" t="str">
        <f t="shared" si="4"/>
        <v>4@1</v>
      </c>
      <c r="G38" s="159"/>
      <c r="I38" s="307" t="s">
        <v>1181</v>
      </c>
      <c r="J38" s="309">
        <v>94052</v>
      </c>
      <c r="L38" s="192"/>
      <c r="M38" s="192"/>
      <c r="N38" s="192"/>
    </row>
    <row r="39" spans="1:14" ht="12.75">
      <c r="A39" s="193">
        <v>13134</v>
      </c>
      <c r="B39" s="251" t="s">
        <v>1233</v>
      </c>
      <c r="C39" s="160">
        <v>34207</v>
      </c>
      <c r="D39" s="164">
        <v>53214</v>
      </c>
      <c r="E39" s="195" t="s">
        <v>283</v>
      </c>
      <c r="F39" s="166" t="str">
        <f t="shared" si="4"/>
        <v>5@1</v>
      </c>
      <c r="G39" s="261"/>
      <c r="H39" s="261"/>
      <c r="I39" s="212" t="s">
        <v>1200</v>
      </c>
      <c r="J39" s="308">
        <v>94053</v>
      </c>
      <c r="L39" s="192"/>
      <c r="M39" s="192"/>
      <c r="N39" s="192"/>
    </row>
    <row r="40" spans="1:14" ht="12.75" customHeight="1">
      <c r="A40" s="193">
        <v>13135</v>
      </c>
      <c r="B40" s="158" t="s">
        <v>793</v>
      </c>
      <c r="C40" s="157">
        <v>34301</v>
      </c>
      <c r="D40" s="164">
        <v>53301</v>
      </c>
      <c r="E40" s="194" t="s">
        <v>804</v>
      </c>
      <c r="F40" s="166" t="str">
        <f t="shared" si="4"/>
        <v/>
      </c>
      <c r="H40" s="171" t="str">
        <f t="shared" si="2"/>
        <v/>
      </c>
      <c r="I40" s="212" t="s">
        <v>1228</v>
      </c>
      <c r="J40" s="308">
        <v>94054</v>
      </c>
      <c r="L40" s="192"/>
      <c r="M40" s="192"/>
      <c r="N40" s="192"/>
    </row>
    <row r="41" spans="1:14" ht="12.75" customHeight="1">
      <c r="A41" s="193">
        <v>13136</v>
      </c>
      <c r="B41" s="158" t="s">
        <v>1050</v>
      </c>
      <c r="C41" s="157">
        <v>34302</v>
      </c>
      <c r="D41" s="164">
        <v>53302</v>
      </c>
      <c r="E41" s="194" t="s">
        <v>794</v>
      </c>
      <c r="F41" s="166" t="str">
        <f t="shared" si="4"/>
        <v/>
      </c>
      <c r="H41" s="171" t="str">
        <f t="shared" ref="H41:H72" si="6">IF(G41="","",VLOOKUP(G41,$I$9:$J$50,2,0))</f>
        <v/>
      </c>
      <c r="I41" s="212" t="s">
        <v>1227</v>
      </c>
      <c r="J41" s="308">
        <v>94055</v>
      </c>
      <c r="L41" s="200" t="s">
        <v>473</v>
      </c>
      <c r="M41" s="192"/>
      <c r="N41" s="190">
        <v>130000</v>
      </c>
    </row>
    <row r="42" spans="1:14" ht="12.75" customHeight="1">
      <c r="A42" s="193">
        <v>13137</v>
      </c>
      <c r="B42" s="158" t="s">
        <v>1051</v>
      </c>
      <c r="C42" s="157">
        <v>34303</v>
      </c>
      <c r="D42" s="164">
        <v>53303</v>
      </c>
      <c r="E42" s="194" t="s">
        <v>794</v>
      </c>
      <c r="F42" s="166" t="str">
        <f t="shared" si="4"/>
        <v/>
      </c>
      <c r="H42" s="171" t="str">
        <f t="shared" si="6"/>
        <v/>
      </c>
      <c r="I42" s="212" t="s">
        <v>1212</v>
      </c>
      <c r="J42" s="308">
        <v>94056</v>
      </c>
      <c r="L42" s="200" t="s">
        <v>805</v>
      </c>
      <c r="M42" s="192">
        <v>1</v>
      </c>
      <c r="N42" s="190">
        <v>130001</v>
      </c>
    </row>
    <row r="43" spans="1:14" ht="12.75">
      <c r="A43" s="193">
        <v>13138</v>
      </c>
      <c r="B43" s="158" t="s">
        <v>806</v>
      </c>
      <c r="C43" s="157">
        <v>34304</v>
      </c>
      <c r="D43" s="164">
        <v>53304</v>
      </c>
      <c r="E43" s="195" t="s">
        <v>805</v>
      </c>
      <c r="F43" s="166" t="str">
        <f t="shared" si="4"/>
        <v>1@1</v>
      </c>
      <c r="H43" s="171" t="str">
        <f t="shared" si="6"/>
        <v/>
      </c>
      <c r="I43" s="212" t="s">
        <v>1220</v>
      </c>
      <c r="J43" s="308">
        <v>94057</v>
      </c>
      <c r="L43" s="200" t="s">
        <v>807</v>
      </c>
      <c r="M43" s="192">
        <v>2</v>
      </c>
      <c r="N43" s="190">
        <v>130002</v>
      </c>
    </row>
    <row r="44" spans="1:14" ht="12.75">
      <c r="A44" s="193">
        <v>13139</v>
      </c>
      <c r="B44" s="158" t="s">
        <v>808</v>
      </c>
      <c r="C44" s="157">
        <v>34305</v>
      </c>
      <c r="D44" s="164">
        <v>53305</v>
      </c>
      <c r="E44" s="201" t="s">
        <v>809</v>
      </c>
      <c r="F44" s="166" t="str">
        <f t="shared" si="4"/>
        <v>5@1</v>
      </c>
      <c r="G44" s="159" t="s">
        <v>802</v>
      </c>
      <c r="H44" s="171">
        <f t="shared" si="6"/>
        <v>94029</v>
      </c>
      <c r="L44" s="200" t="s">
        <v>810</v>
      </c>
      <c r="M44" s="192">
        <v>3</v>
      </c>
      <c r="N44" s="190">
        <v>130003</v>
      </c>
    </row>
    <row r="45" spans="1:14" ht="12.75">
      <c r="A45" s="193">
        <v>13140</v>
      </c>
      <c r="B45" s="158" t="s">
        <v>811</v>
      </c>
      <c r="C45" s="157">
        <v>34306</v>
      </c>
      <c r="D45" s="164">
        <v>53306</v>
      </c>
      <c r="E45" s="195" t="s">
        <v>805</v>
      </c>
      <c r="F45" s="166" t="str">
        <f t="shared" si="4"/>
        <v>1@1</v>
      </c>
      <c r="H45" s="171" t="str">
        <f t="shared" si="6"/>
        <v/>
      </c>
      <c r="L45" s="200" t="s">
        <v>812</v>
      </c>
      <c r="M45" s="192">
        <v>4</v>
      </c>
      <c r="N45" s="190">
        <v>130004</v>
      </c>
    </row>
    <row r="46" spans="1:14" ht="12.75">
      <c r="A46" s="193">
        <v>13141</v>
      </c>
      <c r="B46" s="158" t="s">
        <v>813</v>
      </c>
      <c r="C46" s="157">
        <v>34307</v>
      </c>
      <c r="D46" s="164">
        <v>53307</v>
      </c>
      <c r="E46" s="201" t="s">
        <v>809</v>
      </c>
      <c r="F46" s="166" t="str">
        <f t="shared" si="4"/>
        <v>5@1</v>
      </c>
      <c r="H46" s="171" t="str">
        <f t="shared" si="6"/>
        <v/>
      </c>
      <c r="L46" s="200" t="s">
        <v>814</v>
      </c>
      <c r="M46" s="192">
        <v>5</v>
      </c>
      <c r="N46" s="190">
        <v>130005</v>
      </c>
    </row>
    <row r="47" spans="1:14" ht="12.75">
      <c r="A47" s="193">
        <v>13142</v>
      </c>
      <c r="B47" s="158" t="s">
        <v>815</v>
      </c>
      <c r="C47" s="157">
        <v>34308</v>
      </c>
      <c r="D47" s="164">
        <v>53308</v>
      </c>
      <c r="E47" s="195" t="s">
        <v>816</v>
      </c>
      <c r="F47" s="166" t="str">
        <f t="shared" si="4"/>
        <v>4@1</v>
      </c>
      <c r="G47" s="159" t="s">
        <v>919</v>
      </c>
      <c r="H47" s="171">
        <f t="shared" si="6"/>
        <v>94045</v>
      </c>
      <c r="L47" s="200" t="s">
        <v>817</v>
      </c>
      <c r="M47" s="192"/>
      <c r="N47" s="190">
        <v>130006</v>
      </c>
    </row>
    <row r="48" spans="1:14" ht="12.75">
      <c r="A48" s="193">
        <v>13143</v>
      </c>
      <c r="B48" s="161" t="s">
        <v>793</v>
      </c>
      <c r="C48" s="160">
        <v>34301</v>
      </c>
      <c r="D48" s="164">
        <v>53309</v>
      </c>
      <c r="E48" s="194" t="s">
        <v>804</v>
      </c>
      <c r="F48" s="166" t="str">
        <f t="shared" si="4"/>
        <v/>
      </c>
      <c r="H48" s="171" t="str">
        <f t="shared" si="6"/>
        <v/>
      </c>
      <c r="L48" s="200" t="s">
        <v>818</v>
      </c>
      <c r="M48" s="192"/>
      <c r="N48" s="190">
        <v>130007</v>
      </c>
    </row>
    <row r="49" spans="1:14" ht="12.75">
      <c r="A49" s="193">
        <v>13144</v>
      </c>
      <c r="B49" s="161" t="s">
        <v>1050</v>
      </c>
      <c r="C49" s="160">
        <v>34302</v>
      </c>
      <c r="D49" s="164">
        <v>53310</v>
      </c>
      <c r="E49" s="194" t="s">
        <v>794</v>
      </c>
      <c r="F49" s="166" t="str">
        <f t="shared" si="4"/>
        <v/>
      </c>
      <c r="H49" s="171" t="str">
        <f t="shared" si="6"/>
        <v/>
      </c>
      <c r="L49" s="191" t="s">
        <v>474</v>
      </c>
      <c r="M49" s="192"/>
      <c r="N49" s="190">
        <v>130008</v>
      </c>
    </row>
    <row r="50" spans="1:14" ht="12.75">
      <c r="A50" s="193">
        <v>13145</v>
      </c>
      <c r="B50" s="161" t="s">
        <v>1051</v>
      </c>
      <c r="C50" s="160">
        <v>34303</v>
      </c>
      <c r="D50" s="164">
        <v>53311</v>
      </c>
      <c r="E50" s="194" t="s">
        <v>794</v>
      </c>
      <c r="F50" s="166" t="str">
        <f t="shared" si="4"/>
        <v/>
      </c>
      <c r="H50" s="171" t="str">
        <f t="shared" si="6"/>
        <v/>
      </c>
      <c r="L50" s="191" t="s">
        <v>475</v>
      </c>
      <c r="M50" s="192"/>
      <c r="N50" s="190">
        <v>130009</v>
      </c>
    </row>
    <row r="51" spans="1:14" ht="12.75">
      <c r="A51" s="193">
        <v>13146</v>
      </c>
      <c r="B51" s="161" t="s">
        <v>806</v>
      </c>
      <c r="C51" s="160">
        <v>34304</v>
      </c>
      <c r="D51" s="164">
        <v>53312</v>
      </c>
      <c r="E51" s="195" t="s">
        <v>805</v>
      </c>
      <c r="F51" s="166" t="str">
        <f t="shared" si="4"/>
        <v>1@1</v>
      </c>
      <c r="H51" s="171" t="str">
        <f t="shared" si="6"/>
        <v/>
      </c>
      <c r="L51" s="191" t="s">
        <v>476</v>
      </c>
      <c r="M51" s="192"/>
      <c r="N51" s="190">
        <v>130010</v>
      </c>
    </row>
    <row r="52" spans="1:14" ht="12.75">
      <c r="A52" s="193">
        <v>13147</v>
      </c>
      <c r="B52" s="161" t="s">
        <v>808</v>
      </c>
      <c r="C52" s="160">
        <v>34305</v>
      </c>
      <c r="D52" s="164">
        <v>53313</v>
      </c>
      <c r="E52" s="201" t="s">
        <v>809</v>
      </c>
      <c r="F52" s="166" t="str">
        <f t="shared" si="4"/>
        <v>5@1</v>
      </c>
      <c r="G52" s="159" t="s">
        <v>802</v>
      </c>
      <c r="H52" s="171">
        <f t="shared" si="6"/>
        <v>94029</v>
      </c>
      <c r="L52" s="191" t="s">
        <v>477</v>
      </c>
      <c r="M52" s="192"/>
      <c r="N52" s="190">
        <v>130011</v>
      </c>
    </row>
    <row r="53" spans="1:14" ht="12.75">
      <c r="A53" s="193">
        <v>13148</v>
      </c>
      <c r="B53" s="161" t="s">
        <v>811</v>
      </c>
      <c r="C53" s="160">
        <v>34306</v>
      </c>
      <c r="D53" s="164">
        <v>53314</v>
      </c>
      <c r="E53" s="195" t="s">
        <v>508</v>
      </c>
      <c r="F53" s="166" t="str">
        <f t="shared" si="4"/>
        <v>5@1</v>
      </c>
      <c r="H53" s="171" t="str">
        <f t="shared" si="6"/>
        <v/>
      </c>
      <c r="L53" s="192"/>
      <c r="M53" s="192"/>
      <c r="N53" s="192"/>
    </row>
    <row r="54" spans="1:14" ht="12.75">
      <c r="A54" s="193">
        <v>13149</v>
      </c>
      <c r="B54" s="161" t="s">
        <v>813</v>
      </c>
      <c r="C54" s="160">
        <v>34307</v>
      </c>
      <c r="D54" s="164">
        <v>53315</v>
      </c>
      <c r="E54" s="201" t="s">
        <v>809</v>
      </c>
      <c r="F54" s="166" t="str">
        <f t="shared" si="4"/>
        <v>5@1</v>
      </c>
      <c r="H54" s="171" t="str">
        <f t="shared" si="6"/>
        <v/>
      </c>
      <c r="L54" s="192"/>
      <c r="M54" s="192"/>
      <c r="N54" s="192"/>
    </row>
    <row r="55" spans="1:14" ht="12.75">
      <c r="A55" s="193">
        <v>13150</v>
      </c>
      <c r="B55" s="161" t="s">
        <v>815</v>
      </c>
      <c r="C55" s="160">
        <v>34308</v>
      </c>
      <c r="D55" s="164">
        <v>53316</v>
      </c>
      <c r="E55" s="195" t="s">
        <v>816</v>
      </c>
      <c r="F55" s="166" t="str">
        <f t="shared" si="4"/>
        <v>4@1</v>
      </c>
      <c r="G55" s="159" t="s">
        <v>919</v>
      </c>
      <c r="H55" s="171">
        <f t="shared" si="6"/>
        <v>94045</v>
      </c>
      <c r="L55" s="192"/>
      <c r="M55" s="192"/>
      <c r="N55" s="192"/>
    </row>
    <row r="56" spans="1:14" ht="12.75">
      <c r="A56" s="193">
        <v>13151</v>
      </c>
      <c r="B56" s="163" t="s">
        <v>793</v>
      </c>
      <c r="C56" s="162">
        <v>34401</v>
      </c>
      <c r="D56" s="255">
        <v>53401</v>
      </c>
      <c r="E56" s="194" t="s">
        <v>570</v>
      </c>
      <c r="F56" s="166" t="str">
        <f t="shared" si="4"/>
        <v/>
      </c>
      <c r="H56" s="171" t="str">
        <f t="shared" si="6"/>
        <v/>
      </c>
      <c r="L56" s="192"/>
      <c r="M56" s="192"/>
      <c r="N56" s="192"/>
    </row>
    <row r="57" spans="1:14" ht="12.75">
      <c r="A57" s="193">
        <v>13152</v>
      </c>
      <c r="B57" s="163" t="s">
        <v>1050</v>
      </c>
      <c r="C57" s="162">
        <v>34402</v>
      </c>
      <c r="D57" s="255">
        <v>53402</v>
      </c>
      <c r="E57" s="194" t="s">
        <v>794</v>
      </c>
      <c r="F57" s="166" t="str">
        <f t="shared" si="4"/>
        <v/>
      </c>
      <c r="H57" s="171" t="str">
        <f t="shared" si="6"/>
        <v/>
      </c>
      <c r="L57" s="192"/>
      <c r="M57" s="192"/>
      <c r="N57" s="192"/>
    </row>
    <row r="58" spans="1:14" ht="12.75">
      <c r="A58" s="193">
        <v>13153</v>
      </c>
      <c r="B58" s="163" t="s">
        <v>1051</v>
      </c>
      <c r="C58" s="162">
        <v>34403</v>
      </c>
      <c r="D58" s="255">
        <v>53403</v>
      </c>
      <c r="E58" s="194" t="s">
        <v>570</v>
      </c>
      <c r="F58" s="166" t="str">
        <f t="shared" si="4"/>
        <v/>
      </c>
      <c r="H58" s="171" t="str">
        <f t="shared" si="6"/>
        <v/>
      </c>
      <c r="L58" s="203" t="s">
        <v>478</v>
      </c>
      <c r="M58" s="192"/>
      <c r="N58" s="202">
        <v>140000</v>
      </c>
    </row>
    <row r="59" spans="1:14" ht="12.75">
      <c r="A59" s="193">
        <v>13154</v>
      </c>
      <c r="B59" s="317" t="s">
        <v>975</v>
      </c>
      <c r="C59" s="318">
        <v>34404</v>
      </c>
      <c r="D59" s="255">
        <v>53404</v>
      </c>
      <c r="E59" s="256" t="s">
        <v>1046</v>
      </c>
      <c r="F59" s="257" t="str">
        <f t="shared" si="4"/>
        <v>4@1</v>
      </c>
      <c r="G59" s="252" t="s">
        <v>704</v>
      </c>
      <c r="H59" s="171">
        <f t="shared" si="6"/>
        <v>94035</v>
      </c>
      <c r="L59" s="203" t="s">
        <v>1045</v>
      </c>
      <c r="M59" s="192">
        <v>1</v>
      </c>
      <c r="N59" s="202">
        <v>140001</v>
      </c>
    </row>
    <row r="60" spans="1:14" ht="12.75">
      <c r="A60" s="193">
        <v>13155</v>
      </c>
      <c r="B60" s="317" t="s">
        <v>1022</v>
      </c>
      <c r="C60" s="318">
        <v>34405</v>
      </c>
      <c r="D60" s="255">
        <v>53405</v>
      </c>
      <c r="E60" s="256" t="s">
        <v>920</v>
      </c>
      <c r="F60" s="257" t="str">
        <f t="shared" si="4"/>
        <v>5@1</v>
      </c>
      <c r="H60" s="171" t="str">
        <f t="shared" si="6"/>
        <v/>
      </c>
      <c r="L60" s="203" t="s">
        <v>1201</v>
      </c>
      <c r="M60" s="192">
        <v>2</v>
      </c>
      <c r="N60" s="202">
        <v>140002</v>
      </c>
    </row>
    <row r="61" spans="1:14" ht="12.75">
      <c r="A61" s="193">
        <v>13156</v>
      </c>
      <c r="B61" s="317" t="s">
        <v>1119</v>
      </c>
      <c r="C61" s="318">
        <v>34406</v>
      </c>
      <c r="D61" s="255">
        <v>53406</v>
      </c>
      <c r="E61" s="256" t="s">
        <v>1042</v>
      </c>
      <c r="F61" s="257" t="str">
        <f t="shared" si="4"/>
        <v>3@1</v>
      </c>
      <c r="G61" s="252" t="s">
        <v>1221</v>
      </c>
      <c r="H61" s="171">
        <f t="shared" si="6"/>
        <v>94044</v>
      </c>
      <c r="L61" s="203" t="s">
        <v>1042</v>
      </c>
      <c r="M61" s="192">
        <v>3</v>
      </c>
      <c r="N61" s="202">
        <v>140003</v>
      </c>
    </row>
    <row r="62" spans="1:14" ht="12.75">
      <c r="A62" s="193">
        <v>13157</v>
      </c>
      <c r="B62" s="317" t="s">
        <v>1121</v>
      </c>
      <c r="C62" s="318">
        <v>34407</v>
      </c>
      <c r="D62" s="255">
        <v>53407</v>
      </c>
      <c r="E62" s="256" t="s">
        <v>1117</v>
      </c>
      <c r="F62" s="257" t="s">
        <v>1222</v>
      </c>
      <c r="G62" s="252" t="s">
        <v>1221</v>
      </c>
      <c r="H62" s="171">
        <f t="shared" si="6"/>
        <v>94044</v>
      </c>
      <c r="L62" s="203" t="s">
        <v>1046</v>
      </c>
      <c r="M62" s="192">
        <v>4</v>
      </c>
      <c r="N62" s="202">
        <v>140004</v>
      </c>
    </row>
    <row r="63" spans="1:14" ht="12.75">
      <c r="A63" s="193">
        <v>13158</v>
      </c>
      <c r="B63" s="161" t="s">
        <v>567</v>
      </c>
      <c r="C63" s="160">
        <v>34401</v>
      </c>
      <c r="D63" s="255">
        <v>53408</v>
      </c>
      <c r="E63" s="194" t="s">
        <v>820</v>
      </c>
      <c r="F63" s="166" t="str">
        <f t="shared" ref="F63:F68" si="7">IF(E63="普攻操作","",IF(E63="防御","",VLOOKUP(E63,$L$5:$M$162,2,0)&amp;"@1"))</f>
        <v/>
      </c>
      <c r="G63" s="258"/>
      <c r="H63" s="171" t="str">
        <f t="shared" si="6"/>
        <v/>
      </c>
      <c r="L63" s="203" t="s">
        <v>920</v>
      </c>
      <c r="M63" s="192">
        <v>5</v>
      </c>
      <c r="N63" s="202">
        <v>140005</v>
      </c>
    </row>
    <row r="64" spans="1:14" ht="12.75">
      <c r="A64" s="193">
        <v>13159</v>
      </c>
      <c r="B64" s="161" t="s">
        <v>1050</v>
      </c>
      <c r="C64" s="160">
        <v>34402</v>
      </c>
      <c r="D64" s="255">
        <v>53409</v>
      </c>
      <c r="E64" s="194" t="s">
        <v>820</v>
      </c>
      <c r="F64" s="166" t="str">
        <f t="shared" si="7"/>
        <v/>
      </c>
      <c r="G64" s="258"/>
      <c r="H64" s="171" t="str">
        <f t="shared" si="6"/>
        <v/>
      </c>
      <c r="L64" s="203" t="s">
        <v>620</v>
      </c>
      <c r="M64" s="192"/>
      <c r="N64" s="202">
        <v>140006</v>
      </c>
    </row>
    <row r="65" spans="1:14" ht="12.75">
      <c r="A65" s="193">
        <v>13160</v>
      </c>
      <c r="B65" s="161" t="s">
        <v>1051</v>
      </c>
      <c r="C65" s="160">
        <v>34403</v>
      </c>
      <c r="D65" s="255">
        <v>53410</v>
      </c>
      <c r="E65" s="194" t="s">
        <v>820</v>
      </c>
      <c r="F65" s="166" t="str">
        <f t="shared" si="7"/>
        <v/>
      </c>
      <c r="G65" s="258"/>
      <c r="H65" s="171" t="str">
        <f t="shared" si="6"/>
        <v/>
      </c>
      <c r="L65" s="203" t="s">
        <v>1047</v>
      </c>
      <c r="M65" s="192"/>
      <c r="N65" s="202">
        <v>140007</v>
      </c>
    </row>
    <row r="66" spans="1:14" ht="12.75">
      <c r="A66" s="193">
        <v>13161</v>
      </c>
      <c r="B66" s="161" t="s">
        <v>975</v>
      </c>
      <c r="C66" s="160">
        <v>34404</v>
      </c>
      <c r="D66" s="255">
        <v>53411</v>
      </c>
      <c r="E66" s="256" t="s">
        <v>1042</v>
      </c>
      <c r="F66" s="257" t="str">
        <f t="shared" si="7"/>
        <v>3@1</v>
      </c>
      <c r="G66" s="258" t="s">
        <v>704</v>
      </c>
      <c r="H66" s="171">
        <f t="shared" si="6"/>
        <v>94035</v>
      </c>
      <c r="L66" s="204" t="s">
        <v>479</v>
      </c>
      <c r="M66" s="192"/>
      <c r="N66" s="202">
        <v>140008</v>
      </c>
    </row>
    <row r="67" spans="1:14" ht="12.75">
      <c r="A67" s="193">
        <v>13162</v>
      </c>
      <c r="B67" s="161" t="s">
        <v>1022</v>
      </c>
      <c r="C67" s="160">
        <v>34405</v>
      </c>
      <c r="D67" s="255">
        <v>53412</v>
      </c>
      <c r="E67" s="256" t="s">
        <v>920</v>
      </c>
      <c r="F67" s="257" t="str">
        <f t="shared" si="7"/>
        <v>5@1</v>
      </c>
      <c r="H67" s="171" t="str">
        <f t="shared" si="6"/>
        <v/>
      </c>
      <c r="L67" s="204" t="s">
        <v>480</v>
      </c>
      <c r="M67" s="192"/>
      <c r="N67" s="202">
        <v>140009</v>
      </c>
    </row>
    <row r="68" spans="1:14" ht="12.75">
      <c r="A68" s="193">
        <v>13163</v>
      </c>
      <c r="B68" s="161" t="s">
        <v>1119</v>
      </c>
      <c r="C68" s="160">
        <v>34406</v>
      </c>
      <c r="D68" s="255">
        <v>53413</v>
      </c>
      <c r="E68" s="256" t="s">
        <v>1042</v>
      </c>
      <c r="F68" s="257" t="str">
        <f t="shared" si="7"/>
        <v>3@1</v>
      </c>
      <c r="G68" s="252" t="s">
        <v>1221</v>
      </c>
      <c r="H68" s="171">
        <f t="shared" si="6"/>
        <v>94044</v>
      </c>
      <c r="L68" s="204" t="s">
        <v>481</v>
      </c>
      <c r="M68" s="192"/>
      <c r="N68" s="202">
        <v>140010</v>
      </c>
    </row>
    <row r="69" spans="1:14" ht="12.75">
      <c r="A69" s="193">
        <v>13164</v>
      </c>
      <c r="B69" s="161" t="s">
        <v>1121</v>
      </c>
      <c r="C69" s="160">
        <v>34407</v>
      </c>
      <c r="D69" s="255">
        <v>53414</v>
      </c>
      <c r="E69" s="256" t="s">
        <v>1117</v>
      </c>
      <c r="F69" s="257" t="s">
        <v>1222</v>
      </c>
      <c r="G69" s="252" t="s">
        <v>1221</v>
      </c>
      <c r="H69" s="171">
        <f t="shared" si="6"/>
        <v>94044</v>
      </c>
    </row>
    <row r="70" spans="1:14" ht="12.75">
      <c r="A70" s="193">
        <v>13165</v>
      </c>
      <c r="B70" s="158" t="s">
        <v>630</v>
      </c>
      <c r="C70" s="157">
        <v>34501</v>
      </c>
      <c r="D70" s="164">
        <v>53501</v>
      </c>
      <c r="E70" s="194" t="s">
        <v>820</v>
      </c>
      <c r="F70" s="166" t="str">
        <f>IF(E70="普攻操作","",IF(E70="防御","",VLOOKUP(E70,$L$5:$M$162,2,0)&amp;"@1"))</f>
        <v/>
      </c>
      <c r="H70" s="171" t="str">
        <f t="shared" si="6"/>
        <v/>
      </c>
    </row>
    <row r="71" spans="1:14" ht="12.75">
      <c r="A71" s="193">
        <v>13166</v>
      </c>
      <c r="B71" s="158" t="s">
        <v>1050</v>
      </c>
      <c r="C71" s="157">
        <v>34502</v>
      </c>
      <c r="D71" s="164">
        <v>53502</v>
      </c>
      <c r="E71" s="194" t="s">
        <v>820</v>
      </c>
      <c r="F71" s="166" t="str">
        <f>IF(E71="普攻操作","",IF(E71="防御","",VLOOKUP(E71,$L$5:$M$162,2,0)&amp;"@1"))</f>
        <v/>
      </c>
      <c r="H71" s="171" t="str">
        <f t="shared" si="6"/>
        <v/>
      </c>
      <c r="L71" s="192"/>
      <c r="M71" s="192"/>
      <c r="N71" s="192"/>
    </row>
    <row r="72" spans="1:14" ht="12.75">
      <c r="A72" s="193">
        <v>13167</v>
      </c>
      <c r="B72" s="158" t="s">
        <v>1051</v>
      </c>
      <c r="C72" s="157">
        <v>34503</v>
      </c>
      <c r="D72" s="164">
        <v>53503</v>
      </c>
      <c r="E72" s="194" t="s">
        <v>820</v>
      </c>
      <c r="F72" s="166" t="str">
        <f>IF(E72="普攻操作","",IF(E72="防御","",VLOOKUP(E72,$L$5:$M$162,2,0)&amp;"@1"))</f>
        <v/>
      </c>
      <c r="H72" s="171" t="str">
        <f t="shared" si="6"/>
        <v/>
      </c>
      <c r="L72" s="192"/>
      <c r="M72" s="192"/>
      <c r="N72" s="192"/>
    </row>
    <row r="73" spans="1:14" ht="12.75">
      <c r="A73" s="193">
        <v>13168</v>
      </c>
      <c r="B73" s="158" t="s">
        <v>821</v>
      </c>
      <c r="C73" s="157">
        <v>34504</v>
      </c>
      <c r="D73" s="164">
        <v>53504</v>
      </c>
      <c r="E73" s="205" t="s">
        <v>822</v>
      </c>
      <c r="F73" s="166" t="str">
        <f>IF(E73="普攻操作","",IF(E73="防御","",VLOOKUP(E73,$L$5:$M$162,2,0)&amp;"@1"))</f>
        <v>3@1</v>
      </c>
      <c r="G73" s="159" t="s">
        <v>1053</v>
      </c>
      <c r="H73" s="171">
        <f t="shared" ref="H73:H104" si="8">IF(G73="","",VLOOKUP(G73,$I$9:$J$50,2,0))</f>
        <v>94035</v>
      </c>
      <c r="L73" s="192"/>
      <c r="M73" s="192"/>
      <c r="N73" s="192"/>
    </row>
    <row r="74" spans="1:14" ht="12.75">
      <c r="A74" s="193">
        <v>13169</v>
      </c>
      <c r="B74" s="158" t="s">
        <v>343</v>
      </c>
      <c r="C74" s="157">
        <v>34505</v>
      </c>
      <c r="D74" s="164">
        <v>53505</v>
      </c>
      <c r="E74" s="195" t="s">
        <v>1026</v>
      </c>
      <c r="F74" s="166" t="str">
        <f>IF(E74="普攻操作","",IF(E74="防御","",VLOOKUP(E74,$L$5:$M$162,2,0)&amp;"@1"))</f>
        <v>5@1</v>
      </c>
      <c r="G74" s="159" t="s">
        <v>823</v>
      </c>
      <c r="H74" s="171">
        <f t="shared" si="8"/>
        <v>94036</v>
      </c>
      <c r="L74" s="192"/>
      <c r="M74" s="192"/>
      <c r="N74" s="192"/>
    </row>
    <row r="75" spans="1:14" ht="12.75">
      <c r="A75" s="193">
        <v>13170</v>
      </c>
      <c r="B75" s="158" t="s">
        <v>824</v>
      </c>
      <c r="C75" s="157">
        <v>34506</v>
      </c>
      <c r="D75" s="164">
        <v>53506</v>
      </c>
      <c r="E75" s="195" t="s">
        <v>825</v>
      </c>
      <c r="F75" s="166" t="str">
        <f>"1@0.5;2@0.5"</f>
        <v>1@0.5;2@0.5</v>
      </c>
      <c r="G75" s="159" t="s">
        <v>826</v>
      </c>
      <c r="H75" s="171">
        <f t="shared" si="8"/>
        <v>94037</v>
      </c>
      <c r="L75" s="192"/>
      <c r="M75" s="192"/>
      <c r="N75" s="192"/>
    </row>
    <row r="76" spans="1:14" ht="12.75">
      <c r="A76" s="193">
        <v>13171</v>
      </c>
      <c r="B76" s="158" t="s">
        <v>827</v>
      </c>
      <c r="C76" s="157">
        <v>34507</v>
      </c>
      <c r="D76" s="164">
        <v>53507</v>
      </c>
      <c r="E76" s="195" t="s">
        <v>825</v>
      </c>
      <c r="F76" s="166" t="str">
        <f>"1@0.5;2@0.5"</f>
        <v>1@0.5;2@0.5</v>
      </c>
      <c r="H76" s="171" t="str">
        <f t="shared" si="8"/>
        <v/>
      </c>
      <c r="L76" s="192"/>
      <c r="M76" s="192"/>
      <c r="N76" s="192"/>
    </row>
    <row r="77" spans="1:14" ht="12.75">
      <c r="A77" s="193">
        <v>13172</v>
      </c>
      <c r="B77" s="158" t="s">
        <v>828</v>
      </c>
      <c r="C77" s="157">
        <v>34508</v>
      </c>
      <c r="D77" s="164">
        <v>53508</v>
      </c>
      <c r="E77" s="195" t="s">
        <v>829</v>
      </c>
      <c r="F77" s="166" t="str">
        <f t="shared" ref="F77:F105" si="9">IF(E77="普攻操作","",IF(E77="防御","",VLOOKUP(E77,$L$5:$M$162,2,0)&amp;"@1"))</f>
        <v>2@1</v>
      </c>
      <c r="H77" s="171" t="str">
        <f t="shared" si="8"/>
        <v/>
      </c>
      <c r="L77" s="200" t="s">
        <v>830</v>
      </c>
      <c r="M77" s="192"/>
      <c r="N77" s="190">
        <v>150000</v>
      </c>
    </row>
    <row r="78" spans="1:14" ht="12.75">
      <c r="A78" s="193">
        <v>13173</v>
      </c>
      <c r="B78" s="161" t="s">
        <v>819</v>
      </c>
      <c r="C78" s="160">
        <v>34501</v>
      </c>
      <c r="D78" s="164">
        <v>53509</v>
      </c>
      <c r="E78" s="194" t="s">
        <v>820</v>
      </c>
      <c r="F78" s="166" t="str">
        <f t="shared" si="9"/>
        <v/>
      </c>
      <c r="H78" s="171" t="str">
        <f t="shared" si="8"/>
        <v/>
      </c>
      <c r="L78" s="200" t="s">
        <v>831</v>
      </c>
      <c r="M78" s="192">
        <v>1</v>
      </c>
      <c r="N78" s="190">
        <v>150001</v>
      </c>
    </row>
    <row r="79" spans="1:14" ht="12.75">
      <c r="A79" s="193">
        <v>13174</v>
      </c>
      <c r="B79" s="161" t="s">
        <v>1050</v>
      </c>
      <c r="C79" s="160">
        <v>34502</v>
      </c>
      <c r="D79" s="164">
        <v>53510</v>
      </c>
      <c r="E79" s="194" t="s">
        <v>820</v>
      </c>
      <c r="F79" s="166" t="str">
        <f t="shared" si="9"/>
        <v/>
      </c>
      <c r="H79" s="171" t="str">
        <f t="shared" si="8"/>
        <v/>
      </c>
      <c r="L79" s="200" t="s">
        <v>832</v>
      </c>
      <c r="M79" s="192">
        <v>2</v>
      </c>
      <c r="N79" s="190">
        <v>150002</v>
      </c>
    </row>
    <row r="80" spans="1:14" ht="12.75">
      <c r="A80" s="193">
        <v>13175</v>
      </c>
      <c r="B80" s="161" t="s">
        <v>1051</v>
      </c>
      <c r="C80" s="160">
        <v>34503</v>
      </c>
      <c r="D80" s="164">
        <v>53511</v>
      </c>
      <c r="E80" s="194" t="s">
        <v>820</v>
      </c>
      <c r="F80" s="166" t="str">
        <f t="shared" si="9"/>
        <v/>
      </c>
      <c r="H80" s="171" t="str">
        <f t="shared" si="8"/>
        <v/>
      </c>
      <c r="L80" s="207" t="s">
        <v>833</v>
      </c>
      <c r="M80" s="192">
        <v>3</v>
      </c>
      <c r="N80" s="206">
        <v>150003</v>
      </c>
    </row>
    <row r="81" spans="1:14" ht="12.75">
      <c r="A81" s="193">
        <v>13176</v>
      </c>
      <c r="B81" s="161" t="s">
        <v>834</v>
      </c>
      <c r="C81" s="160">
        <v>34504</v>
      </c>
      <c r="D81" s="164">
        <v>53512</v>
      </c>
      <c r="E81" s="205" t="s">
        <v>520</v>
      </c>
      <c r="F81" s="166" t="str">
        <f t="shared" si="9"/>
        <v>3@1</v>
      </c>
      <c r="G81" s="159" t="s">
        <v>835</v>
      </c>
      <c r="H81" s="171">
        <f t="shared" si="8"/>
        <v>94035</v>
      </c>
      <c r="L81" s="200" t="s">
        <v>836</v>
      </c>
      <c r="M81" s="192">
        <v>4</v>
      </c>
      <c r="N81" s="190">
        <v>150004</v>
      </c>
    </row>
    <row r="82" spans="1:14" ht="12.75">
      <c r="A82" s="193">
        <v>13177</v>
      </c>
      <c r="B82" s="161" t="s">
        <v>343</v>
      </c>
      <c r="C82" s="160">
        <v>34505</v>
      </c>
      <c r="D82" s="164">
        <v>53513</v>
      </c>
      <c r="E82" s="195" t="s">
        <v>1026</v>
      </c>
      <c r="F82" s="166" t="str">
        <f t="shared" si="9"/>
        <v>5@1</v>
      </c>
      <c r="G82" s="159" t="s">
        <v>837</v>
      </c>
      <c r="H82" s="171">
        <f t="shared" si="8"/>
        <v>94036</v>
      </c>
      <c r="L82" s="200" t="s">
        <v>838</v>
      </c>
      <c r="M82" s="192">
        <v>5</v>
      </c>
      <c r="N82" s="206">
        <v>150005</v>
      </c>
    </row>
    <row r="83" spans="1:14" ht="12.75">
      <c r="A83" s="193">
        <v>13178</v>
      </c>
      <c r="B83" s="161" t="s">
        <v>839</v>
      </c>
      <c r="C83" s="160">
        <v>34506</v>
      </c>
      <c r="D83" s="164">
        <v>53514</v>
      </c>
      <c r="E83" s="195" t="s">
        <v>840</v>
      </c>
      <c r="F83" s="166" t="str">
        <f t="shared" si="9"/>
        <v>2@1</v>
      </c>
      <c r="G83" s="159" t="s">
        <v>841</v>
      </c>
      <c r="H83" s="171">
        <f t="shared" si="8"/>
        <v>94037</v>
      </c>
      <c r="L83" s="200" t="s">
        <v>842</v>
      </c>
      <c r="M83" s="192"/>
      <c r="N83" s="190">
        <v>150006</v>
      </c>
    </row>
    <row r="84" spans="1:14" ht="12.75">
      <c r="A84" s="193">
        <v>13179</v>
      </c>
      <c r="B84" s="161" t="s">
        <v>843</v>
      </c>
      <c r="C84" s="160">
        <v>34507</v>
      </c>
      <c r="D84" s="164">
        <v>53515</v>
      </c>
      <c r="E84" s="195" t="s">
        <v>840</v>
      </c>
      <c r="F84" s="166" t="str">
        <f t="shared" si="9"/>
        <v>2@1</v>
      </c>
      <c r="H84" s="171" t="str">
        <f t="shared" si="8"/>
        <v/>
      </c>
      <c r="L84" s="200" t="s">
        <v>844</v>
      </c>
      <c r="M84" s="192"/>
      <c r="N84" s="206">
        <v>150007</v>
      </c>
    </row>
    <row r="85" spans="1:14" ht="12.75">
      <c r="A85" s="193">
        <v>13180</v>
      </c>
      <c r="B85" s="161" t="s">
        <v>845</v>
      </c>
      <c r="C85" s="160">
        <v>34508</v>
      </c>
      <c r="D85" s="164">
        <v>53516</v>
      </c>
      <c r="E85" s="195" t="s">
        <v>840</v>
      </c>
      <c r="F85" s="166" t="str">
        <f t="shared" si="9"/>
        <v>2@1</v>
      </c>
      <c r="H85" s="171" t="str">
        <f t="shared" si="8"/>
        <v/>
      </c>
      <c r="L85" s="191" t="s">
        <v>482</v>
      </c>
      <c r="M85" s="192"/>
      <c r="N85" s="190">
        <v>150008</v>
      </c>
    </row>
    <row r="86" spans="1:14" ht="12.75">
      <c r="A86" s="193">
        <v>13181</v>
      </c>
      <c r="B86" s="163" t="s">
        <v>846</v>
      </c>
      <c r="C86" s="162">
        <v>34601</v>
      </c>
      <c r="D86" s="164">
        <v>53601</v>
      </c>
      <c r="E86" s="194" t="s">
        <v>847</v>
      </c>
      <c r="F86" s="166" t="str">
        <f t="shared" si="9"/>
        <v/>
      </c>
      <c r="H86" s="171" t="str">
        <f t="shared" si="8"/>
        <v/>
      </c>
      <c r="L86" s="191" t="s">
        <v>483</v>
      </c>
      <c r="M86" s="192"/>
      <c r="N86" s="206">
        <v>150009</v>
      </c>
    </row>
    <row r="87" spans="1:14" ht="12.75">
      <c r="A87" s="193">
        <v>13182</v>
      </c>
      <c r="B87" s="163" t="s">
        <v>1050</v>
      </c>
      <c r="C87" s="162">
        <v>34602</v>
      </c>
      <c r="D87" s="164">
        <v>53602</v>
      </c>
      <c r="E87" s="194" t="s">
        <v>847</v>
      </c>
      <c r="F87" s="166" t="str">
        <f t="shared" si="9"/>
        <v/>
      </c>
      <c r="H87" s="171" t="str">
        <f t="shared" si="8"/>
        <v/>
      </c>
      <c r="L87" s="191" t="s">
        <v>484</v>
      </c>
      <c r="M87" s="192"/>
      <c r="N87" s="190">
        <v>150010</v>
      </c>
    </row>
    <row r="88" spans="1:14" ht="12.75">
      <c r="A88" s="193">
        <v>13183</v>
      </c>
      <c r="B88" s="163" t="s">
        <v>1051</v>
      </c>
      <c r="C88" s="162">
        <v>34603</v>
      </c>
      <c r="D88" s="164">
        <v>53603</v>
      </c>
      <c r="E88" s="194" t="s">
        <v>847</v>
      </c>
      <c r="F88" s="166" t="str">
        <f t="shared" si="9"/>
        <v/>
      </c>
      <c r="H88" s="171" t="str">
        <f t="shared" si="8"/>
        <v/>
      </c>
      <c r="L88" s="192"/>
      <c r="M88" s="192"/>
      <c r="N88" s="192"/>
    </row>
    <row r="89" spans="1:14" ht="12.75">
      <c r="A89" s="193">
        <v>13184</v>
      </c>
      <c r="B89" s="163" t="s">
        <v>848</v>
      </c>
      <c r="C89" s="162">
        <v>34604</v>
      </c>
      <c r="D89" s="164">
        <v>53604</v>
      </c>
      <c r="E89" s="195" t="s">
        <v>849</v>
      </c>
      <c r="F89" s="166" t="str">
        <f t="shared" si="9"/>
        <v>2@1</v>
      </c>
      <c r="G89" s="159" t="s">
        <v>850</v>
      </c>
      <c r="H89" s="171">
        <f t="shared" si="8"/>
        <v>94038</v>
      </c>
      <c r="L89" s="192"/>
      <c r="M89" s="192"/>
      <c r="N89" s="192"/>
    </row>
    <row r="90" spans="1:14" ht="12.75">
      <c r="A90" s="193">
        <v>13185</v>
      </c>
      <c r="B90" s="163" t="s">
        <v>851</v>
      </c>
      <c r="C90" s="162">
        <v>34605</v>
      </c>
      <c r="D90" s="164">
        <v>53605</v>
      </c>
      <c r="E90" s="195" t="s">
        <v>852</v>
      </c>
      <c r="F90" s="166" t="str">
        <f t="shared" si="9"/>
        <v>3@1</v>
      </c>
      <c r="G90" s="159" t="s">
        <v>705</v>
      </c>
      <c r="H90" s="171">
        <f t="shared" si="8"/>
        <v>94039</v>
      </c>
      <c r="L90" s="192"/>
      <c r="M90" s="192"/>
      <c r="N90" s="192"/>
    </row>
    <row r="91" spans="1:14" ht="12.75">
      <c r="A91" s="193">
        <v>13186</v>
      </c>
      <c r="B91" s="163" t="s">
        <v>853</v>
      </c>
      <c r="C91" s="162">
        <v>34606</v>
      </c>
      <c r="D91" s="164">
        <v>53606</v>
      </c>
      <c r="E91" s="195" t="s">
        <v>849</v>
      </c>
      <c r="F91" s="166" t="str">
        <f t="shared" si="9"/>
        <v>2@1</v>
      </c>
      <c r="G91" s="159" t="s">
        <v>854</v>
      </c>
      <c r="H91" s="171">
        <f t="shared" si="8"/>
        <v>94028</v>
      </c>
      <c r="L91" s="192"/>
      <c r="M91" s="192"/>
      <c r="N91" s="192"/>
    </row>
    <row r="92" spans="1:14" ht="12.75">
      <c r="A92" s="193">
        <v>13187</v>
      </c>
      <c r="B92" s="163" t="s">
        <v>855</v>
      </c>
      <c r="C92" s="162">
        <v>34607</v>
      </c>
      <c r="D92" s="164">
        <v>53607</v>
      </c>
      <c r="E92" s="195" t="s">
        <v>523</v>
      </c>
      <c r="F92" s="166" t="str">
        <f t="shared" si="9"/>
        <v>4@1</v>
      </c>
      <c r="H92" s="171" t="str">
        <f t="shared" si="8"/>
        <v/>
      </c>
      <c r="L92" s="192"/>
      <c r="M92" s="192"/>
      <c r="N92" s="192"/>
    </row>
    <row r="93" spans="1:14" ht="12.75">
      <c r="A93" s="193">
        <v>13188</v>
      </c>
      <c r="B93" s="163" t="s">
        <v>1109</v>
      </c>
      <c r="C93" s="162">
        <v>34608</v>
      </c>
      <c r="D93" s="164">
        <v>53608</v>
      </c>
      <c r="E93" s="195" t="s">
        <v>524</v>
      </c>
      <c r="F93" s="166" t="str">
        <f t="shared" si="9"/>
        <v>5@1</v>
      </c>
      <c r="G93" s="159" t="s">
        <v>1214</v>
      </c>
      <c r="H93" s="171">
        <f t="shared" si="8"/>
        <v>94056</v>
      </c>
      <c r="L93" s="203" t="s">
        <v>485</v>
      </c>
      <c r="M93" s="192"/>
      <c r="N93" s="202">
        <v>160000</v>
      </c>
    </row>
    <row r="94" spans="1:14" ht="12.75">
      <c r="A94" s="193">
        <v>13189</v>
      </c>
      <c r="B94" s="161" t="s">
        <v>974</v>
      </c>
      <c r="C94" s="160">
        <v>34601</v>
      </c>
      <c r="D94" s="164">
        <v>53609</v>
      </c>
      <c r="E94" s="194" t="s">
        <v>847</v>
      </c>
      <c r="F94" s="166" t="str">
        <f t="shared" si="9"/>
        <v/>
      </c>
      <c r="H94" s="171" t="str">
        <f t="shared" si="8"/>
        <v/>
      </c>
      <c r="L94" s="203" t="s">
        <v>857</v>
      </c>
      <c r="M94" s="192">
        <v>1</v>
      </c>
      <c r="N94" s="202">
        <v>160001</v>
      </c>
    </row>
    <row r="95" spans="1:14" ht="12.75">
      <c r="A95" s="193">
        <v>13190</v>
      </c>
      <c r="B95" s="161" t="s">
        <v>1050</v>
      </c>
      <c r="C95" s="160">
        <v>34602</v>
      </c>
      <c r="D95" s="164">
        <v>53610</v>
      </c>
      <c r="E95" s="194" t="s">
        <v>847</v>
      </c>
      <c r="F95" s="166" t="str">
        <f t="shared" si="9"/>
        <v/>
      </c>
      <c r="H95" s="171" t="str">
        <f t="shared" si="8"/>
        <v/>
      </c>
      <c r="L95" s="203" t="s">
        <v>849</v>
      </c>
      <c r="M95" s="192">
        <v>2</v>
      </c>
      <c r="N95" s="202">
        <v>160002</v>
      </c>
    </row>
    <row r="96" spans="1:14" ht="12.75">
      <c r="A96" s="193">
        <v>13191</v>
      </c>
      <c r="B96" s="161" t="s">
        <v>1051</v>
      </c>
      <c r="C96" s="160">
        <v>34603</v>
      </c>
      <c r="D96" s="164">
        <v>53611</v>
      </c>
      <c r="E96" s="194" t="s">
        <v>847</v>
      </c>
      <c r="F96" s="166" t="str">
        <f t="shared" si="9"/>
        <v/>
      </c>
      <c r="H96" s="171" t="str">
        <f t="shared" si="8"/>
        <v/>
      </c>
      <c r="L96" s="203" t="s">
        <v>858</v>
      </c>
      <c r="M96" s="192">
        <v>3</v>
      </c>
      <c r="N96" s="202">
        <v>160003</v>
      </c>
    </row>
    <row r="97" spans="1:14" ht="12.75">
      <c r="A97" s="193">
        <v>13192</v>
      </c>
      <c r="B97" s="161" t="s">
        <v>385</v>
      </c>
      <c r="C97" s="241">
        <v>34605</v>
      </c>
      <c r="D97" s="164">
        <v>53612</v>
      </c>
      <c r="E97" s="242" t="s">
        <v>648</v>
      </c>
      <c r="F97" s="166" t="str">
        <f t="shared" si="9"/>
        <v>3@1</v>
      </c>
      <c r="G97" s="159" t="s">
        <v>1082</v>
      </c>
      <c r="H97" s="171">
        <f t="shared" si="8"/>
        <v>94039</v>
      </c>
      <c r="L97" s="203" t="s">
        <v>859</v>
      </c>
      <c r="M97" s="192">
        <v>4</v>
      </c>
      <c r="N97" s="202">
        <v>160004</v>
      </c>
    </row>
    <row r="98" spans="1:14" ht="12.75">
      <c r="A98" s="193">
        <v>13193</v>
      </c>
      <c r="B98" s="161" t="s">
        <v>1023</v>
      </c>
      <c r="C98" s="241">
        <v>34604</v>
      </c>
      <c r="D98" s="164">
        <v>53613</v>
      </c>
      <c r="E98" s="242" t="s">
        <v>359</v>
      </c>
      <c r="F98" s="166" t="str">
        <f t="shared" si="9"/>
        <v>2@1</v>
      </c>
      <c r="G98" s="159" t="s">
        <v>1083</v>
      </c>
      <c r="H98" s="171">
        <f t="shared" si="8"/>
        <v>94038</v>
      </c>
      <c r="L98" s="208" t="s">
        <v>860</v>
      </c>
      <c r="M98" s="192">
        <v>5</v>
      </c>
      <c r="N98" s="202">
        <v>160005</v>
      </c>
    </row>
    <row r="99" spans="1:14" ht="12.75">
      <c r="A99" s="193">
        <v>13194</v>
      </c>
      <c r="B99" s="161" t="s">
        <v>1024</v>
      </c>
      <c r="C99" s="160">
        <v>34606</v>
      </c>
      <c r="D99" s="164">
        <v>53614</v>
      </c>
      <c r="E99" s="195" t="s">
        <v>487</v>
      </c>
      <c r="F99" s="166" t="str">
        <f t="shared" si="9"/>
        <v>2@1</v>
      </c>
      <c r="G99" s="159" t="s">
        <v>854</v>
      </c>
      <c r="H99" s="171">
        <f t="shared" si="8"/>
        <v>94028</v>
      </c>
      <c r="L99" s="203" t="s">
        <v>861</v>
      </c>
      <c r="M99" s="192"/>
      <c r="N99" s="202">
        <v>160006</v>
      </c>
    </row>
    <row r="100" spans="1:14" ht="12.75">
      <c r="A100" s="193">
        <v>13195</v>
      </c>
      <c r="B100" s="161" t="s">
        <v>1025</v>
      </c>
      <c r="C100" s="160">
        <v>34607</v>
      </c>
      <c r="D100" s="164">
        <v>53615</v>
      </c>
      <c r="E100" s="195" t="s">
        <v>523</v>
      </c>
      <c r="F100" s="166" t="str">
        <f t="shared" si="9"/>
        <v>4@1</v>
      </c>
      <c r="H100" s="171" t="str">
        <f t="shared" si="8"/>
        <v/>
      </c>
      <c r="L100" s="203" t="s">
        <v>488</v>
      </c>
      <c r="M100" s="192"/>
      <c r="N100" s="202">
        <v>160007</v>
      </c>
    </row>
    <row r="101" spans="1:14" ht="12.75">
      <c r="A101" s="193">
        <v>13196</v>
      </c>
      <c r="B101" s="161" t="s">
        <v>1223</v>
      </c>
      <c r="C101" s="160">
        <v>34608</v>
      </c>
      <c r="D101" s="164">
        <v>53616</v>
      </c>
      <c r="E101" s="195" t="s">
        <v>524</v>
      </c>
      <c r="F101" s="166" t="str">
        <f t="shared" si="9"/>
        <v>5@1</v>
      </c>
      <c r="G101" s="159" t="s">
        <v>1214</v>
      </c>
      <c r="H101" s="171">
        <f t="shared" si="8"/>
        <v>94056</v>
      </c>
      <c r="L101" s="204" t="s">
        <v>489</v>
      </c>
      <c r="M101" s="192"/>
      <c r="N101" s="202">
        <v>160008</v>
      </c>
    </row>
    <row r="102" spans="1:14" ht="12.75">
      <c r="A102" s="193">
        <v>13197</v>
      </c>
      <c r="B102" s="158" t="s">
        <v>846</v>
      </c>
      <c r="C102" s="157">
        <v>34701</v>
      </c>
      <c r="D102" s="164">
        <v>53701</v>
      </c>
      <c r="E102" s="194" t="s">
        <v>847</v>
      </c>
      <c r="F102" s="166" t="str">
        <f t="shared" si="9"/>
        <v/>
      </c>
      <c r="H102" s="171" t="str">
        <f t="shared" si="8"/>
        <v/>
      </c>
      <c r="L102" s="204" t="s">
        <v>490</v>
      </c>
      <c r="M102" s="192"/>
      <c r="N102" s="202">
        <v>160009</v>
      </c>
    </row>
    <row r="103" spans="1:14" ht="12.75">
      <c r="A103" s="193">
        <v>13198</v>
      </c>
      <c r="B103" s="158" t="s">
        <v>1050</v>
      </c>
      <c r="C103" s="157">
        <v>34702</v>
      </c>
      <c r="D103" s="164">
        <v>53702</v>
      </c>
      <c r="E103" s="194" t="s">
        <v>847</v>
      </c>
      <c r="F103" s="166" t="str">
        <f t="shared" si="9"/>
        <v/>
      </c>
      <c r="H103" s="171" t="str">
        <f t="shared" si="8"/>
        <v/>
      </c>
      <c r="L103" s="204" t="s">
        <v>862</v>
      </c>
      <c r="M103" s="192"/>
      <c r="N103" s="202">
        <v>160010</v>
      </c>
    </row>
    <row r="104" spans="1:14" ht="12.75">
      <c r="A104" s="193">
        <v>13199</v>
      </c>
      <c r="B104" s="158" t="s">
        <v>1051</v>
      </c>
      <c r="C104" s="157">
        <v>34703</v>
      </c>
      <c r="D104" s="164">
        <v>53703</v>
      </c>
      <c r="E104" s="194" t="s">
        <v>847</v>
      </c>
      <c r="F104" s="166" t="str">
        <f t="shared" si="9"/>
        <v/>
      </c>
      <c r="H104" s="171" t="str">
        <f t="shared" si="8"/>
        <v/>
      </c>
      <c r="L104" s="192"/>
      <c r="M104" s="192"/>
      <c r="N104" s="192"/>
    </row>
    <row r="105" spans="1:14" s="217" customFormat="1" ht="12.75">
      <c r="A105" s="193">
        <v>13200</v>
      </c>
      <c r="B105" s="319" t="s">
        <v>1226</v>
      </c>
      <c r="C105" s="157">
        <v>34704</v>
      </c>
      <c r="D105" s="214">
        <v>53704</v>
      </c>
      <c r="E105" s="215" t="s">
        <v>948</v>
      </c>
      <c r="F105" s="216" t="str">
        <f t="shared" si="9"/>
        <v>4@1</v>
      </c>
      <c r="G105" s="219"/>
      <c r="I105" s="171"/>
      <c r="J105" s="171"/>
      <c r="L105" s="218"/>
      <c r="M105" s="218"/>
      <c r="N105" s="218"/>
    </row>
    <row r="106" spans="1:14" ht="12.75">
      <c r="A106" s="193">
        <v>13201</v>
      </c>
      <c r="B106" s="158" t="s">
        <v>1078</v>
      </c>
      <c r="C106" s="157">
        <v>34705</v>
      </c>
      <c r="D106" s="164">
        <v>53705</v>
      </c>
      <c r="E106" s="195" t="s">
        <v>863</v>
      </c>
      <c r="F106" s="166" t="str">
        <f>"1@0.5;3@0.5"</f>
        <v>1@0.5;3@0.5</v>
      </c>
      <c r="G106" s="159" t="s">
        <v>841</v>
      </c>
      <c r="H106" s="171">
        <f t="shared" ref="H106:H111" si="10">IF(G106="","",VLOOKUP(G106,$I$9:$J$50,2,0))</f>
        <v>94037</v>
      </c>
      <c r="I106" s="217"/>
      <c r="J106" s="217"/>
      <c r="L106" s="192"/>
      <c r="M106" s="192"/>
      <c r="N106" s="192"/>
    </row>
    <row r="107" spans="1:14" ht="12.75">
      <c r="A107" s="193">
        <v>13202</v>
      </c>
      <c r="B107" s="158" t="s">
        <v>1079</v>
      </c>
      <c r="C107" s="157">
        <v>34706</v>
      </c>
      <c r="D107" s="164">
        <v>53706</v>
      </c>
      <c r="E107" s="195" t="s">
        <v>863</v>
      </c>
      <c r="F107" s="166" t="str">
        <f>"1@0.5;3@0.5"</f>
        <v>1@0.5;3@0.5</v>
      </c>
      <c r="H107" s="171" t="str">
        <f t="shared" si="10"/>
        <v/>
      </c>
      <c r="L107" s="192"/>
      <c r="M107" s="192"/>
      <c r="N107" s="192"/>
    </row>
    <row r="108" spans="1:14" ht="12.75">
      <c r="A108" s="193">
        <v>13203</v>
      </c>
      <c r="B108" s="158" t="s">
        <v>1080</v>
      </c>
      <c r="C108" s="157">
        <v>34707</v>
      </c>
      <c r="D108" s="164">
        <v>53707</v>
      </c>
      <c r="E108" s="195" t="s">
        <v>864</v>
      </c>
      <c r="F108" s="166" t="str">
        <f t="shared" ref="F108:F120" si="11">IF(E108="普攻操作","",IF(E108="防御","",VLOOKUP(E108,$L$5:$M$162,2,0)&amp;"@1"))</f>
        <v>3@1</v>
      </c>
      <c r="H108" s="171" t="str">
        <f t="shared" si="10"/>
        <v/>
      </c>
      <c r="L108" s="192"/>
      <c r="M108" s="192"/>
      <c r="N108" s="192"/>
    </row>
    <row r="109" spans="1:14" ht="12.75">
      <c r="A109" s="193">
        <v>13204</v>
      </c>
      <c r="B109" s="161" t="s">
        <v>1081</v>
      </c>
      <c r="C109" s="160">
        <v>34701</v>
      </c>
      <c r="D109" s="164">
        <v>53708</v>
      </c>
      <c r="E109" s="194" t="s">
        <v>847</v>
      </c>
      <c r="F109" s="166" t="str">
        <f t="shared" si="11"/>
        <v/>
      </c>
      <c r="H109" s="171" t="str">
        <f t="shared" si="10"/>
        <v/>
      </c>
      <c r="L109" s="192"/>
      <c r="M109" s="192"/>
      <c r="N109" s="192"/>
    </row>
    <row r="110" spans="1:14" ht="12.75">
      <c r="A110" s="193">
        <v>13205</v>
      </c>
      <c r="B110" s="161" t="s">
        <v>1050</v>
      </c>
      <c r="C110" s="160">
        <v>34702</v>
      </c>
      <c r="D110" s="164">
        <v>53709</v>
      </c>
      <c r="E110" s="194" t="s">
        <v>847</v>
      </c>
      <c r="F110" s="166" t="str">
        <f t="shared" si="11"/>
        <v/>
      </c>
      <c r="H110" s="171" t="str">
        <f t="shared" si="10"/>
        <v/>
      </c>
      <c r="L110" s="192"/>
      <c r="M110" s="192"/>
      <c r="N110" s="192"/>
    </row>
    <row r="111" spans="1:14" ht="12.75">
      <c r="A111" s="193">
        <v>13206</v>
      </c>
      <c r="B111" s="161" t="s">
        <v>1051</v>
      </c>
      <c r="C111" s="160">
        <v>34703</v>
      </c>
      <c r="D111" s="164">
        <v>53710</v>
      </c>
      <c r="E111" s="194" t="s">
        <v>847</v>
      </c>
      <c r="F111" s="166" t="str">
        <f t="shared" si="11"/>
        <v/>
      </c>
      <c r="H111" s="171" t="str">
        <f t="shared" si="10"/>
        <v/>
      </c>
      <c r="L111" s="192"/>
      <c r="M111" s="192"/>
      <c r="N111" s="192"/>
    </row>
    <row r="112" spans="1:14" s="217" customFormat="1" ht="12.75">
      <c r="A112" s="193">
        <v>13207</v>
      </c>
      <c r="B112" s="320" t="s">
        <v>1226</v>
      </c>
      <c r="C112" s="160">
        <v>34704</v>
      </c>
      <c r="D112" s="214">
        <v>53711</v>
      </c>
      <c r="E112" s="215" t="s">
        <v>947</v>
      </c>
      <c r="F112" s="216" t="str">
        <f t="shared" si="11"/>
        <v>4@1</v>
      </c>
      <c r="G112" s="219"/>
      <c r="I112" s="171"/>
      <c r="J112" s="171"/>
      <c r="L112" s="218"/>
      <c r="M112" s="218"/>
      <c r="N112" s="218"/>
    </row>
    <row r="113" spans="1:14" ht="12.75">
      <c r="A113" s="193">
        <v>13208</v>
      </c>
      <c r="B113" s="161" t="s">
        <v>839</v>
      </c>
      <c r="C113" s="160">
        <v>34705</v>
      </c>
      <c r="D113" s="164">
        <v>53712</v>
      </c>
      <c r="E113" s="195" t="s">
        <v>532</v>
      </c>
      <c r="F113" s="166" t="str">
        <f t="shared" si="11"/>
        <v>3@1</v>
      </c>
      <c r="G113" s="159" t="s">
        <v>865</v>
      </c>
      <c r="H113" s="171">
        <f t="shared" ref="H113:H124" si="12">IF(G113="","",VLOOKUP(G113,$I$9:$J$50,2,0))</f>
        <v>94037</v>
      </c>
      <c r="I113" s="217"/>
      <c r="J113" s="217"/>
      <c r="L113" s="207" t="s">
        <v>866</v>
      </c>
      <c r="M113" s="192"/>
      <c r="N113" s="206">
        <v>161000</v>
      </c>
    </row>
    <row r="114" spans="1:14" ht="12.75">
      <c r="A114" s="193">
        <v>13209</v>
      </c>
      <c r="B114" s="161" t="s">
        <v>867</v>
      </c>
      <c r="C114" s="160">
        <v>34706</v>
      </c>
      <c r="D114" s="164">
        <v>53713</v>
      </c>
      <c r="E114" s="195" t="s">
        <v>532</v>
      </c>
      <c r="F114" s="166" t="str">
        <f t="shared" si="11"/>
        <v>3@1</v>
      </c>
      <c r="H114" s="171" t="str">
        <f t="shared" si="12"/>
        <v/>
      </c>
      <c r="L114" s="191" t="s">
        <v>868</v>
      </c>
      <c r="M114" s="192">
        <v>1</v>
      </c>
      <c r="N114" s="206">
        <v>161001</v>
      </c>
    </row>
    <row r="115" spans="1:14" ht="12.75">
      <c r="A115" s="193">
        <v>13210</v>
      </c>
      <c r="B115" s="161" t="s">
        <v>869</v>
      </c>
      <c r="C115" s="160">
        <v>34707</v>
      </c>
      <c r="D115" s="164">
        <v>53714</v>
      </c>
      <c r="E115" s="195" t="s">
        <v>532</v>
      </c>
      <c r="F115" s="166" t="str">
        <f t="shared" si="11"/>
        <v>3@1</v>
      </c>
      <c r="H115" s="171" t="str">
        <f t="shared" si="12"/>
        <v/>
      </c>
      <c r="L115" s="191" t="s">
        <v>655</v>
      </c>
      <c r="M115" s="192">
        <v>2</v>
      </c>
      <c r="N115" s="206">
        <v>161002</v>
      </c>
    </row>
    <row r="116" spans="1:14" ht="12.75">
      <c r="A116" s="193">
        <v>13211</v>
      </c>
      <c r="B116" s="163" t="s">
        <v>974</v>
      </c>
      <c r="C116" s="162">
        <v>34801</v>
      </c>
      <c r="D116" s="164">
        <v>53801</v>
      </c>
      <c r="E116" s="194" t="s">
        <v>976</v>
      </c>
      <c r="F116" s="166" t="str">
        <f t="shared" si="11"/>
        <v/>
      </c>
      <c r="H116" s="171" t="str">
        <f t="shared" si="12"/>
        <v/>
      </c>
      <c r="L116" s="191" t="s">
        <v>986</v>
      </c>
      <c r="M116" s="192">
        <v>3</v>
      </c>
      <c r="N116" s="206">
        <v>161003</v>
      </c>
    </row>
    <row r="117" spans="1:14" ht="12.75">
      <c r="A117" s="193">
        <v>13212</v>
      </c>
      <c r="B117" s="163" t="s">
        <v>1050</v>
      </c>
      <c r="C117" s="162">
        <v>34802</v>
      </c>
      <c r="D117" s="164">
        <v>53802</v>
      </c>
      <c r="E117" s="194" t="s">
        <v>300</v>
      </c>
      <c r="F117" s="166" t="str">
        <f t="shared" si="11"/>
        <v/>
      </c>
      <c r="H117" s="171" t="str">
        <f t="shared" si="12"/>
        <v/>
      </c>
      <c r="L117" s="191" t="s">
        <v>872</v>
      </c>
      <c r="M117" s="192">
        <v>4</v>
      </c>
      <c r="N117" s="206">
        <v>161004</v>
      </c>
    </row>
    <row r="118" spans="1:14" ht="12.75">
      <c r="A118" s="193">
        <v>13213</v>
      </c>
      <c r="B118" s="163" t="s">
        <v>1051</v>
      </c>
      <c r="C118" s="162">
        <v>34803</v>
      </c>
      <c r="D118" s="164">
        <v>53803</v>
      </c>
      <c r="E118" s="194" t="s">
        <v>300</v>
      </c>
      <c r="F118" s="166" t="str">
        <f t="shared" si="11"/>
        <v/>
      </c>
      <c r="H118" s="171" t="str">
        <f t="shared" si="12"/>
        <v/>
      </c>
      <c r="L118" s="191" t="s">
        <v>873</v>
      </c>
      <c r="M118" s="192">
        <v>5</v>
      </c>
      <c r="N118" s="206">
        <v>161005</v>
      </c>
    </row>
    <row r="119" spans="1:14" ht="12.75">
      <c r="A119" s="193">
        <v>13214</v>
      </c>
      <c r="B119" s="322" t="s">
        <v>1236</v>
      </c>
      <c r="C119" s="162">
        <v>34804</v>
      </c>
      <c r="D119" s="164">
        <v>53804</v>
      </c>
      <c r="E119" s="195" t="s">
        <v>930</v>
      </c>
      <c r="F119" s="166" t="str">
        <f t="shared" si="11"/>
        <v>5@1</v>
      </c>
      <c r="G119" s="159" t="s">
        <v>876</v>
      </c>
      <c r="H119" s="171">
        <f t="shared" si="12"/>
        <v>94035</v>
      </c>
      <c r="L119" s="191" t="s">
        <v>877</v>
      </c>
      <c r="M119" s="192"/>
      <c r="N119" s="206">
        <v>161006</v>
      </c>
    </row>
    <row r="120" spans="1:14" ht="12.75">
      <c r="A120" s="193">
        <v>13215</v>
      </c>
      <c r="B120" s="163" t="s">
        <v>965</v>
      </c>
      <c r="C120" s="162">
        <v>34805</v>
      </c>
      <c r="D120" s="164">
        <v>53805</v>
      </c>
      <c r="E120" s="195" t="s">
        <v>931</v>
      </c>
      <c r="F120" s="166" t="str">
        <f t="shared" si="11"/>
        <v>3@1</v>
      </c>
      <c r="G120" s="159" t="s">
        <v>878</v>
      </c>
      <c r="H120" s="171">
        <f t="shared" si="12"/>
        <v>94029</v>
      </c>
      <c r="L120" s="191" t="s">
        <v>879</v>
      </c>
      <c r="M120" s="192"/>
      <c r="N120" s="206">
        <v>161007</v>
      </c>
    </row>
    <row r="121" spans="1:14" ht="12.75">
      <c r="A121" s="193">
        <v>13216</v>
      </c>
      <c r="B121" s="163" t="s">
        <v>977</v>
      </c>
      <c r="C121" s="162">
        <v>34806</v>
      </c>
      <c r="D121" s="164">
        <v>53806</v>
      </c>
      <c r="E121" s="195" t="s">
        <v>960</v>
      </c>
      <c r="F121" s="166" t="str">
        <f>"3@0.5;2@0.5"</f>
        <v>3@0.5;2@0.5</v>
      </c>
      <c r="G121" s="159" t="s">
        <v>878</v>
      </c>
      <c r="H121" s="171">
        <f t="shared" si="12"/>
        <v>94029</v>
      </c>
      <c r="L121" s="191" t="s">
        <v>880</v>
      </c>
      <c r="M121" s="192"/>
      <c r="N121" s="206">
        <v>161008</v>
      </c>
    </row>
    <row r="122" spans="1:14" ht="12.75">
      <c r="A122" s="193">
        <v>13217</v>
      </c>
      <c r="B122" s="163" t="s">
        <v>980</v>
      </c>
      <c r="C122" s="162">
        <v>34807</v>
      </c>
      <c r="D122" s="164">
        <v>53807</v>
      </c>
      <c r="E122" s="195" t="s">
        <v>982</v>
      </c>
      <c r="F122" s="166" t="str">
        <f>IF(E122="普攻操作","",IF(E122="防御","",VLOOKUP(E122,$L$5:$M$162,2,0)&amp;"@1"))</f>
        <v>2@1</v>
      </c>
      <c r="G122" s="159" t="s">
        <v>878</v>
      </c>
      <c r="H122" s="171">
        <f t="shared" si="12"/>
        <v>94029</v>
      </c>
      <c r="L122" s="191" t="s">
        <v>881</v>
      </c>
      <c r="M122" s="192"/>
      <c r="N122" s="206">
        <v>161009</v>
      </c>
    </row>
    <row r="123" spans="1:14" ht="12.75">
      <c r="A123" s="193">
        <v>13218</v>
      </c>
      <c r="B123" s="163" t="s">
        <v>969</v>
      </c>
      <c r="C123" s="162">
        <v>34808</v>
      </c>
      <c r="D123" s="164">
        <v>53808</v>
      </c>
      <c r="E123" s="195" t="s">
        <v>931</v>
      </c>
      <c r="F123" s="166" t="str">
        <f>IF(E123="普攻操作","",IF(E123="防御","",VLOOKUP(E123,$L$5:$M$162,2,0)&amp;"@1"))</f>
        <v>3@1</v>
      </c>
      <c r="H123" s="171" t="str">
        <f t="shared" si="12"/>
        <v/>
      </c>
      <c r="L123" s="191" t="s">
        <v>883</v>
      </c>
      <c r="M123" s="192"/>
      <c r="N123" s="206">
        <v>161010</v>
      </c>
    </row>
    <row r="124" spans="1:14" ht="12.75">
      <c r="A124" s="193">
        <v>13219</v>
      </c>
      <c r="B124" s="163" t="s">
        <v>985</v>
      </c>
      <c r="C124" s="162">
        <v>34809</v>
      </c>
      <c r="D124" s="164">
        <v>53809</v>
      </c>
      <c r="E124" s="195" t="s">
        <v>989</v>
      </c>
      <c r="F124" s="166" t="str">
        <f>"3@0.5;2@0.5"</f>
        <v>3@0.5;2@0.5</v>
      </c>
      <c r="H124" s="171" t="str">
        <f t="shared" si="12"/>
        <v/>
      </c>
      <c r="L124" s="192"/>
      <c r="M124" s="192"/>
      <c r="N124" s="192"/>
    </row>
    <row r="125" spans="1:14" ht="12.75">
      <c r="A125" s="193">
        <v>13220</v>
      </c>
      <c r="B125" s="163" t="s">
        <v>979</v>
      </c>
      <c r="C125" s="162">
        <v>34810</v>
      </c>
      <c r="D125" s="164">
        <v>53810</v>
      </c>
      <c r="E125" s="195" t="s">
        <v>982</v>
      </c>
      <c r="F125" s="166" t="str">
        <f t="shared" ref="F125:F130" si="13">IF(E125="普攻操作","",IF(E125="防御","",VLOOKUP(E125,$L$5:$M$162,2,0)&amp;"@1"))</f>
        <v>2@1</v>
      </c>
      <c r="L125" s="192"/>
      <c r="M125" s="192"/>
      <c r="N125" s="192"/>
    </row>
    <row r="126" spans="1:14" ht="12.75">
      <c r="A126" s="193">
        <v>13221</v>
      </c>
      <c r="B126" s="161" t="s">
        <v>974</v>
      </c>
      <c r="C126" s="160">
        <v>34801</v>
      </c>
      <c r="D126" s="164">
        <v>53811</v>
      </c>
      <c r="E126" s="194" t="s">
        <v>976</v>
      </c>
      <c r="F126" s="166" t="str">
        <f t="shared" si="13"/>
        <v/>
      </c>
      <c r="H126" s="171" t="str">
        <f t="shared" ref="H126:H134" si="14">IF(G126="","",VLOOKUP(G126,$I$9:$J$50,2,0))</f>
        <v/>
      </c>
      <c r="L126" s="192"/>
      <c r="M126" s="192"/>
      <c r="N126" s="192"/>
    </row>
    <row r="127" spans="1:14" ht="12.75">
      <c r="A127" s="193">
        <v>13222</v>
      </c>
      <c r="B127" s="161" t="s">
        <v>1050</v>
      </c>
      <c r="C127" s="160">
        <v>34802</v>
      </c>
      <c r="D127" s="164">
        <v>53812</v>
      </c>
      <c r="E127" s="194" t="s">
        <v>300</v>
      </c>
      <c r="F127" s="166" t="str">
        <f t="shared" si="13"/>
        <v/>
      </c>
      <c r="H127" s="171" t="str">
        <f t="shared" si="14"/>
        <v/>
      </c>
      <c r="L127" s="192"/>
      <c r="M127" s="192"/>
      <c r="N127" s="192"/>
    </row>
    <row r="128" spans="1:14" ht="12.75">
      <c r="A128" s="193">
        <v>13223</v>
      </c>
      <c r="B128" s="161" t="s">
        <v>1051</v>
      </c>
      <c r="C128" s="160">
        <v>34803</v>
      </c>
      <c r="D128" s="164">
        <v>53813</v>
      </c>
      <c r="E128" s="194" t="s">
        <v>300</v>
      </c>
      <c r="F128" s="166" t="str">
        <f t="shared" si="13"/>
        <v/>
      </c>
      <c r="H128" s="171" t="str">
        <f t="shared" si="14"/>
        <v/>
      </c>
      <c r="L128" s="192"/>
      <c r="M128" s="192"/>
      <c r="N128" s="192"/>
    </row>
    <row r="129" spans="1:14" ht="12.75">
      <c r="A129" s="193">
        <v>13224</v>
      </c>
      <c r="B129" s="321" t="s">
        <v>1236</v>
      </c>
      <c r="C129" s="160">
        <v>34804</v>
      </c>
      <c r="D129" s="164">
        <v>53814</v>
      </c>
      <c r="E129" s="195" t="s">
        <v>930</v>
      </c>
      <c r="F129" s="166" t="str">
        <f t="shared" si="13"/>
        <v>5@1</v>
      </c>
      <c r="G129" s="159" t="s">
        <v>876</v>
      </c>
      <c r="H129" s="171">
        <f t="shared" si="14"/>
        <v>94035</v>
      </c>
      <c r="L129" s="192"/>
      <c r="M129" s="192"/>
      <c r="N129" s="192"/>
    </row>
    <row r="130" spans="1:14" ht="12.75">
      <c r="A130" s="193">
        <v>13225</v>
      </c>
      <c r="B130" s="161" t="s">
        <v>965</v>
      </c>
      <c r="C130" s="160">
        <v>34805</v>
      </c>
      <c r="D130" s="164">
        <v>53815</v>
      </c>
      <c r="E130" s="195" t="s">
        <v>931</v>
      </c>
      <c r="F130" s="166" t="str">
        <f t="shared" si="13"/>
        <v>3@1</v>
      </c>
      <c r="G130" s="159" t="s">
        <v>878</v>
      </c>
      <c r="H130" s="171">
        <f t="shared" si="14"/>
        <v>94029</v>
      </c>
      <c r="L130" s="192"/>
      <c r="M130" s="192"/>
      <c r="N130" s="192"/>
    </row>
    <row r="131" spans="1:14" ht="12.75">
      <c r="A131" s="193">
        <v>13226</v>
      </c>
      <c r="B131" s="161" t="s">
        <v>977</v>
      </c>
      <c r="C131" s="160">
        <v>34806</v>
      </c>
      <c r="D131" s="164">
        <v>53816</v>
      </c>
      <c r="E131" s="195" t="s">
        <v>971</v>
      </c>
      <c r="F131" s="166" t="str">
        <f>"3@0.5;1@0.5"</f>
        <v>3@0.5;1@0.5</v>
      </c>
      <c r="G131" s="159" t="s">
        <v>878</v>
      </c>
      <c r="H131" s="171">
        <f t="shared" si="14"/>
        <v>94029</v>
      </c>
      <c r="L131" s="192"/>
      <c r="M131" s="192"/>
      <c r="N131" s="192"/>
    </row>
    <row r="132" spans="1:14" ht="12.75">
      <c r="A132" s="193">
        <v>13227</v>
      </c>
      <c r="B132" s="161" t="s">
        <v>980</v>
      </c>
      <c r="C132" s="160">
        <v>34807</v>
      </c>
      <c r="D132" s="164">
        <v>53817</v>
      </c>
      <c r="E132" s="195" t="s">
        <v>968</v>
      </c>
      <c r="F132" s="166" t="str">
        <f>IF(E132="普攻操作","",IF(E132="防御","",VLOOKUP(E132,$L$5:$M$162,2,0)&amp;"@1"))</f>
        <v>1@1</v>
      </c>
      <c r="G132" s="159" t="s">
        <v>878</v>
      </c>
      <c r="H132" s="171">
        <f t="shared" si="14"/>
        <v>94029</v>
      </c>
      <c r="L132" s="192"/>
      <c r="M132" s="192"/>
      <c r="N132" s="192"/>
    </row>
    <row r="133" spans="1:14" ht="12.75">
      <c r="A133" s="193">
        <v>13228</v>
      </c>
      <c r="B133" s="161" t="s">
        <v>969</v>
      </c>
      <c r="C133" s="160">
        <v>34808</v>
      </c>
      <c r="D133" s="164">
        <v>53818</v>
      </c>
      <c r="E133" s="195" t="s">
        <v>931</v>
      </c>
      <c r="F133" s="166" t="str">
        <f>IF(E133="普攻操作","",IF(E133="防御","",VLOOKUP(E133,$L$5:$M$162,2,0)&amp;"@1"))</f>
        <v>3@1</v>
      </c>
      <c r="H133" s="171" t="str">
        <f t="shared" si="14"/>
        <v/>
      </c>
      <c r="L133" s="192"/>
      <c r="M133" s="192"/>
      <c r="N133" s="192"/>
    </row>
    <row r="134" spans="1:14" ht="12.75">
      <c r="A134" s="193">
        <v>13229</v>
      </c>
      <c r="B134" s="161" t="s">
        <v>985</v>
      </c>
      <c r="C134" s="160">
        <v>34809</v>
      </c>
      <c r="D134" s="164">
        <v>53819</v>
      </c>
      <c r="E134" s="195" t="s">
        <v>971</v>
      </c>
      <c r="F134" s="166" t="str">
        <f>"3@0.5;1@0.5"</f>
        <v>3@0.5;1@0.5</v>
      </c>
      <c r="H134" s="171" t="str">
        <f t="shared" si="14"/>
        <v/>
      </c>
      <c r="L134" s="203" t="s">
        <v>491</v>
      </c>
      <c r="M134" s="192"/>
      <c r="N134" s="202">
        <v>162000</v>
      </c>
    </row>
    <row r="135" spans="1:14" ht="12.75">
      <c r="A135" s="193">
        <v>13230</v>
      </c>
      <c r="B135" s="161" t="s">
        <v>979</v>
      </c>
      <c r="C135" s="160">
        <v>34810</v>
      </c>
      <c r="D135" s="164">
        <v>53820</v>
      </c>
      <c r="E135" s="195" t="s">
        <v>968</v>
      </c>
      <c r="F135" s="166" t="str">
        <f>IF(E135="普攻操作","",IF(E135="防御","",VLOOKUP(E135,$L$5:$M$162,2,0)&amp;"@1"))</f>
        <v>1@1</v>
      </c>
      <c r="L135" s="204" t="s">
        <v>884</v>
      </c>
      <c r="M135" s="192">
        <v>1</v>
      </c>
      <c r="N135" s="202">
        <v>162001</v>
      </c>
    </row>
    <row r="136" spans="1:14" ht="12.75">
      <c r="A136" s="193">
        <v>13231</v>
      </c>
      <c r="B136" s="158" t="s">
        <v>870</v>
      </c>
      <c r="C136" s="157">
        <v>34901</v>
      </c>
      <c r="D136" s="164">
        <v>53901</v>
      </c>
      <c r="E136" s="194" t="s">
        <v>871</v>
      </c>
      <c r="F136" s="166" t="str">
        <f>IF(E136="普攻操作","",IF(E136="防御","",VLOOKUP(E136,$L$5:$M$162,2,0)&amp;"@1"))</f>
        <v/>
      </c>
      <c r="H136" s="171" t="str">
        <f t="shared" ref="H136:H149" si="15">IF(G136="","",VLOOKUP(G136,$I$9:$J$50,2,0))</f>
        <v/>
      </c>
      <c r="L136" s="204" t="s">
        <v>885</v>
      </c>
      <c r="M136" s="192">
        <v>2</v>
      </c>
      <c r="N136" s="202">
        <v>162002</v>
      </c>
    </row>
    <row r="137" spans="1:14" ht="12.75">
      <c r="A137" s="193">
        <v>13232</v>
      </c>
      <c r="B137" s="158" t="s">
        <v>1050</v>
      </c>
      <c r="C137" s="157">
        <v>34902</v>
      </c>
      <c r="D137" s="164">
        <v>53902</v>
      </c>
      <c r="E137" s="194" t="s">
        <v>871</v>
      </c>
      <c r="F137" s="166" t="str">
        <f>IF(E137="普攻操作","",IF(E137="防御","",VLOOKUP(E137,$L$5:$M$162,2,0)&amp;"@1"))</f>
        <v/>
      </c>
      <c r="H137" s="171" t="str">
        <f t="shared" si="15"/>
        <v/>
      </c>
      <c r="L137" s="204" t="s">
        <v>882</v>
      </c>
      <c r="M137" s="192">
        <v>3</v>
      </c>
      <c r="N137" s="202">
        <v>162003</v>
      </c>
    </row>
    <row r="138" spans="1:14" ht="12.75">
      <c r="A138" s="193">
        <v>13233</v>
      </c>
      <c r="B138" s="158" t="s">
        <v>1051</v>
      </c>
      <c r="C138" s="157">
        <v>34903</v>
      </c>
      <c r="D138" s="164">
        <v>53903</v>
      </c>
      <c r="E138" s="194" t="s">
        <v>871</v>
      </c>
      <c r="F138" s="166" t="str">
        <f>IF(E138="普攻操作","",IF(E138="防御","",VLOOKUP(E138,$L$5:$M$162,2,0)&amp;"@1"))</f>
        <v/>
      </c>
      <c r="H138" s="171" t="str">
        <f t="shared" si="15"/>
        <v/>
      </c>
      <c r="L138" s="204" t="s">
        <v>886</v>
      </c>
      <c r="M138" s="192">
        <v>4</v>
      </c>
      <c r="N138" s="202">
        <v>162004</v>
      </c>
    </row>
    <row r="139" spans="1:14" ht="12.75">
      <c r="A139" s="193">
        <v>13234</v>
      </c>
      <c r="B139" s="158" t="s">
        <v>874</v>
      </c>
      <c r="C139" s="157">
        <v>34904</v>
      </c>
      <c r="D139" s="164">
        <v>53904</v>
      </c>
      <c r="E139" s="195" t="s">
        <v>887</v>
      </c>
      <c r="F139" s="166" t="str">
        <f>IF(E139="普攻操作","",IF(E139="防御","",VLOOKUP(E139,$L$5:$M$162,2,0)&amp;"@1"))</f>
        <v>2@1</v>
      </c>
      <c r="G139" s="159" t="s">
        <v>876</v>
      </c>
      <c r="H139" s="171">
        <f t="shared" si="15"/>
        <v>94035</v>
      </c>
      <c r="L139" s="204" t="s">
        <v>875</v>
      </c>
      <c r="M139" s="192">
        <v>5</v>
      </c>
      <c r="N139" s="202">
        <v>162005</v>
      </c>
    </row>
    <row r="140" spans="1:14" ht="12.75">
      <c r="A140" s="193">
        <v>13235</v>
      </c>
      <c r="B140" s="158" t="s">
        <v>888</v>
      </c>
      <c r="C140" s="157">
        <v>34905</v>
      </c>
      <c r="D140" s="164">
        <v>53905</v>
      </c>
      <c r="E140" s="195" t="s">
        <v>708</v>
      </c>
      <c r="F140" s="166" t="str">
        <f>IF(E140="普攻操作","",IF(E140="防御","",VLOOKUP(E140,$L$5:$M$162,2,0)&amp;"@1"))</f>
        <v>2@1</v>
      </c>
      <c r="G140" s="159" t="s">
        <v>889</v>
      </c>
      <c r="H140" s="171">
        <f t="shared" si="15"/>
        <v>94044</v>
      </c>
      <c r="L140" s="204" t="s">
        <v>492</v>
      </c>
      <c r="M140" s="192"/>
      <c r="N140" s="202">
        <v>162006</v>
      </c>
    </row>
    <row r="141" spans="1:14" ht="12.75">
      <c r="A141" s="193">
        <v>13236</v>
      </c>
      <c r="B141" s="158" t="s">
        <v>890</v>
      </c>
      <c r="C141" s="157">
        <v>34906</v>
      </c>
      <c r="D141" s="164">
        <v>53906</v>
      </c>
      <c r="E141" s="195" t="s">
        <v>891</v>
      </c>
      <c r="F141" s="166" t="str">
        <f>IF(E141="普攻操作","",IF(E141="防御","",VLOOKUP(E141,$L$5:$M$162,2,0)&amp;"@1"))</f>
        <v>3@1</v>
      </c>
      <c r="H141" s="171" t="str">
        <f t="shared" si="15"/>
        <v/>
      </c>
      <c r="L141" s="204" t="s">
        <v>892</v>
      </c>
      <c r="M141" s="192"/>
      <c r="N141" s="202">
        <v>162007</v>
      </c>
    </row>
    <row r="142" spans="1:14" ht="12.75">
      <c r="A142" s="193">
        <v>13237</v>
      </c>
      <c r="B142" s="158" t="s">
        <v>893</v>
      </c>
      <c r="C142" s="157">
        <v>34907</v>
      </c>
      <c r="D142" s="164">
        <v>53907</v>
      </c>
      <c r="E142" s="195" t="s">
        <v>1243</v>
      </c>
      <c r="F142" s="166" t="str">
        <f>"2@0.7;4@0.3"</f>
        <v>2@0.7;4@0.3</v>
      </c>
      <c r="G142" s="159" t="s">
        <v>889</v>
      </c>
      <c r="H142" s="171">
        <f t="shared" si="15"/>
        <v>94044</v>
      </c>
      <c r="L142" s="204" t="s">
        <v>894</v>
      </c>
      <c r="M142" s="192"/>
      <c r="N142" s="202">
        <v>162008</v>
      </c>
    </row>
    <row r="143" spans="1:14" ht="12.75">
      <c r="A143" s="193">
        <v>13238</v>
      </c>
      <c r="B143" s="161" t="s">
        <v>870</v>
      </c>
      <c r="C143" s="160">
        <v>34901</v>
      </c>
      <c r="D143" s="164">
        <v>53908</v>
      </c>
      <c r="E143" s="194" t="s">
        <v>871</v>
      </c>
      <c r="F143" s="166" t="str">
        <f>IF(E143="普攻操作","",IF(E143="防御","",VLOOKUP(E143,$L$5:$M$162,2,0)&amp;"@1"))</f>
        <v/>
      </c>
      <c r="H143" s="171" t="str">
        <f t="shared" si="15"/>
        <v/>
      </c>
      <c r="L143" s="204" t="s">
        <v>895</v>
      </c>
      <c r="M143" s="192"/>
      <c r="N143" s="202">
        <v>162009</v>
      </c>
    </row>
    <row r="144" spans="1:14" ht="12.75">
      <c r="A144" s="193">
        <v>13239</v>
      </c>
      <c r="B144" s="161" t="s">
        <v>1050</v>
      </c>
      <c r="C144" s="160">
        <v>34902</v>
      </c>
      <c r="D144" s="164">
        <v>53909</v>
      </c>
      <c r="E144" s="194" t="s">
        <v>871</v>
      </c>
      <c r="F144" s="166" t="str">
        <f>IF(E144="普攻操作","",IF(E144="防御","",VLOOKUP(E144,$L$5:$M$162,2,0)&amp;"@1"))</f>
        <v/>
      </c>
      <c r="H144" s="171" t="str">
        <f t="shared" si="15"/>
        <v/>
      </c>
      <c r="L144" s="204" t="s">
        <v>896</v>
      </c>
      <c r="M144" s="192"/>
      <c r="N144" s="202">
        <v>162010</v>
      </c>
    </row>
    <row r="145" spans="1:14" ht="12.75">
      <c r="A145" s="193">
        <v>13240</v>
      </c>
      <c r="B145" s="161" t="s">
        <v>1051</v>
      </c>
      <c r="C145" s="160">
        <v>34903</v>
      </c>
      <c r="D145" s="164">
        <v>53910</v>
      </c>
      <c r="E145" s="194" t="s">
        <v>871</v>
      </c>
      <c r="F145" s="166" t="str">
        <f>IF(E145="普攻操作","",IF(E145="防御","",VLOOKUP(E145,$L$5:$M$162,2,0)&amp;"@1"))</f>
        <v/>
      </c>
      <c r="H145" s="171" t="str">
        <f t="shared" si="15"/>
        <v/>
      </c>
      <c r="L145" s="192"/>
      <c r="M145" s="192"/>
      <c r="N145" s="192"/>
    </row>
    <row r="146" spans="1:14" ht="12.75">
      <c r="A146" s="193">
        <v>13241</v>
      </c>
      <c r="B146" s="161" t="s">
        <v>874</v>
      </c>
      <c r="C146" s="160">
        <v>34904</v>
      </c>
      <c r="D146" s="164">
        <v>53911</v>
      </c>
      <c r="E146" s="195" t="s">
        <v>887</v>
      </c>
      <c r="F146" s="166" t="str">
        <f>IF(E146="普攻操作","",IF(E146="防御","",VLOOKUP(E146,$L$5:$M$162,2,0)&amp;"@1"))</f>
        <v>2@1</v>
      </c>
      <c r="G146" s="159" t="s">
        <v>784</v>
      </c>
      <c r="H146" s="171">
        <f t="shared" si="15"/>
        <v>94035</v>
      </c>
      <c r="L146" s="192"/>
      <c r="M146" s="192"/>
      <c r="N146" s="192"/>
    </row>
    <row r="147" spans="1:14" ht="12.75">
      <c r="A147" s="193">
        <v>13242</v>
      </c>
      <c r="B147" s="161" t="s">
        <v>888</v>
      </c>
      <c r="C147" s="160">
        <v>34905</v>
      </c>
      <c r="D147" s="164">
        <v>53912</v>
      </c>
      <c r="E147" s="195" t="s">
        <v>1242</v>
      </c>
      <c r="F147" s="166" t="str">
        <f>"1@0.7;2@0.3"</f>
        <v>1@0.7;2@0.3</v>
      </c>
      <c r="G147" s="159" t="s">
        <v>889</v>
      </c>
      <c r="H147" s="171">
        <f t="shared" si="15"/>
        <v>94044</v>
      </c>
      <c r="L147" s="192"/>
      <c r="M147" s="192"/>
      <c r="N147" s="192"/>
    </row>
    <row r="148" spans="1:14" ht="12.75">
      <c r="A148" s="193">
        <v>13243</v>
      </c>
      <c r="B148" s="161" t="s">
        <v>890</v>
      </c>
      <c r="C148" s="160">
        <v>34906</v>
      </c>
      <c r="D148" s="164">
        <v>53913</v>
      </c>
      <c r="E148" s="195" t="s">
        <v>891</v>
      </c>
      <c r="F148" s="166" t="str">
        <f>IF(E148="普攻操作","",IF(E148="防御","",VLOOKUP(E148,$L$5:$M$162,2,0)&amp;"@1"))</f>
        <v>3@1</v>
      </c>
      <c r="H148" s="171" t="str">
        <f t="shared" si="15"/>
        <v/>
      </c>
      <c r="L148" s="192"/>
      <c r="M148" s="192"/>
      <c r="N148" s="192"/>
    </row>
    <row r="149" spans="1:14" ht="12.75">
      <c r="A149" s="193">
        <v>13244</v>
      </c>
      <c r="B149" s="161" t="s">
        <v>893</v>
      </c>
      <c r="C149" s="160">
        <v>34907</v>
      </c>
      <c r="D149" s="164">
        <v>53914</v>
      </c>
      <c r="E149" s="195" t="s">
        <v>1243</v>
      </c>
      <c r="F149" s="166" t="str">
        <f>"2@0.7;4@0.3"</f>
        <v>2@0.7;4@0.3</v>
      </c>
      <c r="G149" s="159" t="s">
        <v>889</v>
      </c>
      <c r="H149" s="171">
        <f t="shared" si="15"/>
        <v>94044</v>
      </c>
      <c r="L149" s="192"/>
      <c r="M149" s="192"/>
      <c r="N149" s="192"/>
    </row>
    <row r="150" spans="1:14">
      <c r="L150" s="192"/>
      <c r="M150" s="192"/>
      <c r="N150" s="192"/>
    </row>
    <row r="151" spans="1:14">
      <c r="L151" s="192"/>
      <c r="M151" s="192"/>
      <c r="N151" s="192"/>
    </row>
    <row r="152" spans="1:14">
      <c r="L152" s="207" t="s">
        <v>897</v>
      </c>
      <c r="M152" s="192"/>
      <c r="N152" s="206">
        <v>163000</v>
      </c>
    </row>
    <row r="153" spans="1:14">
      <c r="B153" s="239" t="s">
        <v>456</v>
      </c>
      <c r="D153" s="171"/>
      <c r="E153" s="189" t="s">
        <v>1008</v>
      </c>
      <c r="F153" s="171" t="s">
        <v>1021</v>
      </c>
      <c r="L153" s="191" t="s">
        <v>898</v>
      </c>
      <c r="M153" s="192">
        <v>1</v>
      </c>
      <c r="N153" s="206">
        <v>163001</v>
      </c>
    </row>
    <row r="154" spans="1:14" ht="14.25">
      <c r="B154" s="240">
        <v>12101</v>
      </c>
      <c r="C154" s="232" t="s">
        <v>1009</v>
      </c>
      <c r="D154" s="24" t="s">
        <v>996</v>
      </c>
      <c r="E154" s="238">
        <v>34024</v>
      </c>
      <c r="F154" s="232">
        <v>52082</v>
      </c>
      <c r="G154" s="232">
        <v>162003</v>
      </c>
      <c r="L154" s="191" t="s">
        <v>899</v>
      </c>
      <c r="M154" s="192">
        <v>2</v>
      </c>
      <c r="N154" s="206">
        <v>163002</v>
      </c>
    </row>
    <row r="155" spans="1:14" ht="14.25">
      <c r="B155" s="240">
        <v>12002</v>
      </c>
      <c r="C155" s="232" t="s">
        <v>1010</v>
      </c>
      <c r="D155" s="24" t="s">
        <v>997</v>
      </c>
      <c r="E155" s="238">
        <v>34025</v>
      </c>
      <c r="F155" s="232">
        <v>52082</v>
      </c>
      <c r="G155" s="232">
        <v>162003</v>
      </c>
      <c r="L155" s="191" t="s">
        <v>891</v>
      </c>
      <c r="M155" s="192">
        <v>3</v>
      </c>
      <c r="N155" s="206">
        <v>163003</v>
      </c>
    </row>
    <row r="156" spans="1:14" ht="14.25">
      <c r="B156" s="240">
        <v>12003</v>
      </c>
      <c r="C156" s="232" t="s">
        <v>1011</v>
      </c>
      <c r="D156" s="24" t="s">
        <v>998</v>
      </c>
      <c r="E156" s="238">
        <v>34026</v>
      </c>
      <c r="F156" s="232">
        <v>52082</v>
      </c>
      <c r="G156" s="232">
        <v>162003</v>
      </c>
      <c r="L156" s="191" t="s">
        <v>900</v>
      </c>
      <c r="M156" s="192">
        <v>4</v>
      </c>
      <c r="N156" s="206">
        <v>163004</v>
      </c>
    </row>
    <row r="157" spans="1:14" ht="14.25">
      <c r="B157" s="240">
        <v>12004</v>
      </c>
      <c r="C157" s="232" t="s">
        <v>1012</v>
      </c>
      <c r="D157" s="24" t="s">
        <v>999</v>
      </c>
      <c r="E157" s="238">
        <v>34027</v>
      </c>
      <c r="F157" s="232">
        <v>52082</v>
      </c>
      <c r="G157" s="232">
        <v>162003</v>
      </c>
      <c r="L157" s="191" t="s">
        <v>1202</v>
      </c>
      <c r="M157" s="192">
        <v>5</v>
      </c>
      <c r="N157" s="206">
        <v>163005</v>
      </c>
    </row>
    <row r="158" spans="1:14" ht="14.25">
      <c r="B158" s="240">
        <v>12005</v>
      </c>
      <c r="C158" s="232" t="s">
        <v>1013</v>
      </c>
      <c r="D158" s="24" t="s">
        <v>1000</v>
      </c>
      <c r="E158" s="238">
        <v>34028</v>
      </c>
      <c r="F158" s="232">
        <v>52082</v>
      </c>
      <c r="G158" s="232">
        <v>162003</v>
      </c>
      <c r="L158" s="191" t="s">
        <v>493</v>
      </c>
      <c r="M158" s="192"/>
      <c r="N158" s="206">
        <v>163006</v>
      </c>
    </row>
    <row r="159" spans="1:14" ht="14.25">
      <c r="B159" s="240">
        <v>12006</v>
      </c>
      <c r="C159" s="232" t="s">
        <v>1014</v>
      </c>
      <c r="D159" s="24" t="s">
        <v>1001</v>
      </c>
      <c r="E159" s="238">
        <v>34029</v>
      </c>
      <c r="F159" s="232">
        <v>52082</v>
      </c>
      <c r="G159" s="232">
        <v>162003</v>
      </c>
      <c r="L159" s="191" t="s">
        <v>901</v>
      </c>
      <c r="M159" s="192"/>
      <c r="N159" s="206">
        <v>163007</v>
      </c>
    </row>
    <row r="160" spans="1:14" ht="14.25">
      <c r="B160" s="240">
        <v>12111</v>
      </c>
      <c r="C160" s="232" t="s">
        <v>1016</v>
      </c>
      <c r="D160" s="24" t="s">
        <v>1002</v>
      </c>
      <c r="E160" s="238">
        <v>34030</v>
      </c>
      <c r="F160" s="232">
        <v>52084</v>
      </c>
      <c r="G160" s="232">
        <v>162003</v>
      </c>
      <c r="L160" s="191" t="s">
        <v>902</v>
      </c>
      <c r="M160" s="192"/>
      <c r="N160" s="206">
        <v>163008</v>
      </c>
    </row>
    <row r="161" spans="1:14" ht="14.25">
      <c r="B161" s="240">
        <v>12112</v>
      </c>
      <c r="C161" s="232" t="s">
        <v>1015</v>
      </c>
      <c r="D161" s="24" t="s">
        <v>1003</v>
      </c>
      <c r="E161" s="238">
        <v>34031</v>
      </c>
      <c r="F161" s="232">
        <v>52084</v>
      </c>
      <c r="G161" s="232">
        <v>162003</v>
      </c>
      <c r="L161" s="191" t="s">
        <v>903</v>
      </c>
      <c r="M161" s="192"/>
      <c r="N161" s="206">
        <v>163009</v>
      </c>
    </row>
    <row r="162" spans="1:14" ht="14.25">
      <c r="B162" s="240">
        <v>12113</v>
      </c>
      <c r="C162" s="232" t="s">
        <v>1017</v>
      </c>
      <c r="D162" s="24" t="s">
        <v>1004</v>
      </c>
      <c r="E162" s="238">
        <v>34032</v>
      </c>
      <c r="F162" s="232">
        <v>52084</v>
      </c>
      <c r="G162" s="232">
        <v>162003</v>
      </c>
      <c r="L162" s="191" t="s">
        <v>904</v>
      </c>
      <c r="M162" s="192"/>
      <c r="N162" s="206">
        <v>163010</v>
      </c>
    </row>
    <row r="163" spans="1:14" ht="14.25">
      <c r="B163" s="240">
        <v>12114</v>
      </c>
      <c r="C163" s="232" t="s">
        <v>1018</v>
      </c>
      <c r="D163" s="24" t="s">
        <v>1005</v>
      </c>
      <c r="E163" s="238">
        <v>34033</v>
      </c>
      <c r="F163" s="232">
        <v>52084</v>
      </c>
      <c r="G163" s="232">
        <v>162003</v>
      </c>
    </row>
    <row r="164" spans="1:14" ht="14.25">
      <c r="B164" s="240">
        <v>12115</v>
      </c>
      <c r="C164" s="232" t="s">
        <v>1019</v>
      </c>
      <c r="D164" s="24" t="s">
        <v>1006</v>
      </c>
      <c r="E164" s="238">
        <v>34034</v>
      </c>
      <c r="F164" s="232">
        <v>52084</v>
      </c>
      <c r="G164" s="232">
        <v>162003</v>
      </c>
    </row>
    <row r="165" spans="1:14" ht="14.25">
      <c r="B165" s="240">
        <v>12116</v>
      </c>
      <c r="C165" s="232" t="s">
        <v>1020</v>
      </c>
      <c r="D165" s="24" t="s">
        <v>1007</v>
      </c>
      <c r="E165" s="238">
        <v>34035</v>
      </c>
      <c r="F165" s="232">
        <v>52084</v>
      </c>
      <c r="G165" s="232">
        <v>162003</v>
      </c>
    </row>
    <row r="167" spans="1:14">
      <c r="A167" s="171" t="s">
        <v>959</v>
      </c>
      <c r="D167" s="171"/>
      <c r="E167" s="171" t="s">
        <v>988</v>
      </c>
      <c r="G167" s="171" t="s">
        <v>957</v>
      </c>
      <c r="H167" s="171" t="s">
        <v>958</v>
      </c>
      <c r="I167" s="171" t="s">
        <v>941</v>
      </c>
    </row>
    <row r="168" spans="1:14">
      <c r="A168" s="171">
        <f>E168-21000</f>
        <v>12011</v>
      </c>
      <c r="B168" s="177" t="s">
        <v>936</v>
      </c>
      <c r="C168" s="173" t="s">
        <v>751</v>
      </c>
      <c r="D168" s="181" t="s">
        <v>764</v>
      </c>
      <c r="E168" s="210">
        <v>33011</v>
      </c>
      <c r="F168" s="171">
        <f>E168+19000</f>
        <v>52011</v>
      </c>
      <c r="G168" s="171" t="s">
        <v>911</v>
      </c>
      <c r="H168" s="171">
        <f t="shared" ref="H168:H192" si="16">IF(G168="","",VLOOKUP(G168,$L$5:$N$162,3,0))</f>
        <v>110002</v>
      </c>
      <c r="I168" s="159" t="s">
        <v>766</v>
      </c>
      <c r="J168" s="171">
        <f>IF(I168="","",VLOOKUP(I168,$I$202:$J$250,2,0))</f>
        <v>94023</v>
      </c>
    </row>
    <row r="169" spans="1:14">
      <c r="A169" s="171">
        <f>E169-21000</f>
        <v>12012</v>
      </c>
      <c r="B169" s="172" t="s">
        <v>913</v>
      </c>
      <c r="C169" s="186" t="s">
        <v>1035</v>
      </c>
      <c r="D169" s="174" t="s">
        <v>768</v>
      </c>
      <c r="E169" s="210">
        <v>33012</v>
      </c>
      <c r="F169" s="171">
        <f t="shared" ref="F169:F192" si="17">E169+19000</f>
        <v>52012</v>
      </c>
      <c r="G169" s="171" t="s">
        <v>912</v>
      </c>
      <c r="H169" s="171">
        <f t="shared" si="16"/>
        <v>110005</v>
      </c>
      <c r="I169" s="159" t="s">
        <v>770</v>
      </c>
      <c r="J169" s="171">
        <f>IF(I169="","",VLOOKUP(I169,$I$202:$J$250,2,0))</f>
        <v>94024</v>
      </c>
      <c r="L169" s="210"/>
    </row>
    <row r="170" spans="1:14">
      <c r="A170" s="171">
        <f t="shared" ref="A170:A171" si="18">E170-21000</f>
        <v>12013</v>
      </c>
      <c r="B170" s="172"/>
      <c r="C170" s="175" t="s">
        <v>507</v>
      </c>
      <c r="D170" s="174" t="s">
        <v>905</v>
      </c>
      <c r="E170" s="210">
        <v>33013</v>
      </c>
      <c r="F170" s="171">
        <f t="shared" si="17"/>
        <v>52013</v>
      </c>
      <c r="G170" s="171" t="s">
        <v>279</v>
      </c>
      <c r="H170" s="171">
        <f t="shared" si="16"/>
        <v>110003</v>
      </c>
      <c r="I170" s="159" t="s">
        <v>774</v>
      </c>
      <c r="J170" s="171">
        <f>IF(I170="","",VLOOKUP(I170,$I$202:$J$250,2,0))</f>
        <v>94029</v>
      </c>
      <c r="L170" s="210"/>
    </row>
    <row r="171" spans="1:14">
      <c r="A171" s="171">
        <f t="shared" si="18"/>
        <v>12021</v>
      </c>
      <c r="B171" s="177" t="s">
        <v>937</v>
      </c>
      <c r="C171" s="173" t="s">
        <v>1126</v>
      </c>
      <c r="D171" s="295" t="s">
        <v>1204</v>
      </c>
      <c r="E171" s="210">
        <v>33021</v>
      </c>
      <c r="F171" s="171">
        <f t="shared" si="17"/>
        <v>52021</v>
      </c>
      <c r="G171" s="171" t="s">
        <v>914</v>
      </c>
      <c r="H171" s="171">
        <f t="shared" si="16"/>
        <v>120003</v>
      </c>
      <c r="I171" s="159" t="s">
        <v>766</v>
      </c>
      <c r="J171" s="171">
        <f>IF(I171="","",VLOOKUP(I171,$I$202:$J$250,2,0))</f>
        <v>94023</v>
      </c>
      <c r="L171" s="210"/>
    </row>
    <row r="172" spans="1:14">
      <c r="A172" s="171">
        <f>E174-21000</f>
        <v>12024</v>
      </c>
      <c r="B172" s="172" t="s">
        <v>915</v>
      </c>
      <c r="C172" s="175" t="s">
        <v>1108</v>
      </c>
      <c r="D172" s="186" t="s">
        <v>1059</v>
      </c>
      <c r="E172" s="249">
        <v>33022</v>
      </c>
      <c r="F172" s="248">
        <f t="shared" si="17"/>
        <v>52022</v>
      </c>
      <c r="G172" s="248" t="s">
        <v>1091</v>
      </c>
      <c r="H172" s="248">
        <f t="shared" si="16"/>
        <v>120004</v>
      </c>
      <c r="I172" s="312"/>
      <c r="J172" s="306"/>
      <c r="L172" s="210"/>
    </row>
    <row r="173" spans="1:14">
      <c r="A173" s="171">
        <f>E172-21000</f>
        <v>12022</v>
      </c>
      <c r="B173" s="172"/>
      <c r="C173" s="179" t="s">
        <v>1127</v>
      </c>
      <c r="D173" s="186" t="s">
        <v>597</v>
      </c>
      <c r="E173" s="249">
        <v>33023</v>
      </c>
      <c r="F173" s="171">
        <f t="shared" si="17"/>
        <v>52023</v>
      </c>
      <c r="G173" s="171" t="s">
        <v>1203</v>
      </c>
      <c r="H173" s="171">
        <f t="shared" si="16"/>
        <v>120002</v>
      </c>
      <c r="I173" s="159" t="s">
        <v>774</v>
      </c>
      <c r="J173" s="171">
        <f t="shared" ref="J173:J185" si="19">IF(I173="","",VLOOKUP(I173,$I$202:$J$250,2,0))</f>
        <v>94029</v>
      </c>
      <c r="L173" s="210"/>
    </row>
    <row r="174" spans="1:14">
      <c r="A174" s="171">
        <f>E173-21000</f>
        <v>12023</v>
      </c>
      <c r="B174" s="172"/>
      <c r="C174" s="282" t="s">
        <v>1115</v>
      </c>
      <c r="D174" s="305" t="s">
        <v>1206</v>
      </c>
      <c r="E174" s="249">
        <v>33024</v>
      </c>
      <c r="F174" s="171">
        <f>E174+19000</f>
        <v>52024</v>
      </c>
      <c r="G174" s="171" t="s">
        <v>283</v>
      </c>
      <c r="H174" s="171">
        <f t="shared" si="16"/>
        <v>120005</v>
      </c>
      <c r="I174" s="310"/>
      <c r="J174" s="261" t="str">
        <f t="shared" si="19"/>
        <v/>
      </c>
      <c r="L174" s="210"/>
    </row>
    <row r="175" spans="1:14">
      <c r="A175" s="171">
        <f t="shared" ref="A175:A192" si="20">E175-21000</f>
        <v>12031</v>
      </c>
      <c r="B175" s="177" t="s">
        <v>516</v>
      </c>
      <c r="C175" s="180" t="s">
        <v>512</v>
      </c>
      <c r="D175" s="174" t="s">
        <v>1048</v>
      </c>
      <c r="E175" s="249">
        <v>33031</v>
      </c>
      <c r="F175" s="171">
        <f t="shared" si="17"/>
        <v>52031</v>
      </c>
      <c r="G175" s="171" t="s">
        <v>916</v>
      </c>
      <c r="H175" s="171">
        <f t="shared" si="16"/>
        <v>130003</v>
      </c>
      <c r="I175" s="209" t="s">
        <v>919</v>
      </c>
      <c r="J175" s="171">
        <f t="shared" si="19"/>
        <v>94045</v>
      </c>
      <c r="L175" s="210"/>
    </row>
    <row r="176" spans="1:14">
      <c r="A176" s="171">
        <f t="shared" si="20"/>
        <v>12032</v>
      </c>
      <c r="B176" s="172" t="s">
        <v>918</v>
      </c>
      <c r="C176" s="178" t="s">
        <v>753</v>
      </c>
      <c r="D176" s="174" t="s">
        <v>905</v>
      </c>
      <c r="E176" s="249">
        <v>33032</v>
      </c>
      <c r="F176" s="171">
        <f t="shared" si="17"/>
        <v>52032</v>
      </c>
      <c r="G176" s="171" t="s">
        <v>508</v>
      </c>
      <c r="H176" s="171">
        <f t="shared" si="16"/>
        <v>130005</v>
      </c>
      <c r="I176" s="159" t="s">
        <v>774</v>
      </c>
      <c r="J176" s="171">
        <f t="shared" si="19"/>
        <v>94029</v>
      </c>
      <c r="L176" s="210"/>
    </row>
    <row r="177" spans="1:12">
      <c r="A177" s="171">
        <f t="shared" si="20"/>
        <v>12033</v>
      </c>
      <c r="B177" s="172"/>
      <c r="C177" s="182" t="s">
        <v>754</v>
      </c>
      <c r="D177" s="174" t="s">
        <v>1049</v>
      </c>
      <c r="E177" s="249">
        <v>33033</v>
      </c>
      <c r="F177" s="171">
        <f t="shared" si="17"/>
        <v>52033</v>
      </c>
      <c r="G177" s="171" t="s">
        <v>917</v>
      </c>
      <c r="H177" s="171">
        <f t="shared" si="16"/>
        <v>130004</v>
      </c>
      <c r="I177" s="159" t="s">
        <v>783</v>
      </c>
      <c r="J177" s="171">
        <f t="shared" si="19"/>
        <v>94031</v>
      </c>
      <c r="L177" s="210"/>
    </row>
    <row r="178" spans="1:12">
      <c r="A178" s="171">
        <f t="shared" si="20"/>
        <v>12041</v>
      </c>
      <c r="B178" s="177" t="s">
        <v>946</v>
      </c>
      <c r="C178" s="294" t="s">
        <v>1134</v>
      </c>
      <c r="D178" s="295" t="s">
        <v>678</v>
      </c>
      <c r="E178" s="249">
        <v>33041</v>
      </c>
      <c r="F178" s="311">
        <f t="shared" si="17"/>
        <v>52041</v>
      </c>
      <c r="G178" s="311" t="s">
        <v>1084</v>
      </c>
      <c r="H178" s="311">
        <f t="shared" si="16"/>
        <v>140004</v>
      </c>
      <c r="I178" s="311" t="s">
        <v>1191</v>
      </c>
      <c r="J178" s="248">
        <f t="shared" si="19"/>
        <v>94035</v>
      </c>
      <c r="L178" s="210"/>
    </row>
    <row r="179" spans="1:12">
      <c r="A179" s="171">
        <f t="shared" si="20"/>
        <v>12042</v>
      </c>
      <c r="B179" s="172" t="s">
        <v>921</v>
      </c>
      <c r="C179" s="313" t="s">
        <v>1136</v>
      </c>
      <c r="D179" s="286" t="s">
        <v>1207</v>
      </c>
      <c r="E179" s="249">
        <v>33042</v>
      </c>
      <c r="F179" s="311">
        <f t="shared" si="17"/>
        <v>52042</v>
      </c>
      <c r="G179" s="311" t="s">
        <v>622</v>
      </c>
      <c r="H179" s="311">
        <f t="shared" si="16"/>
        <v>140005</v>
      </c>
      <c r="I179" s="311"/>
      <c r="J179" s="171" t="str">
        <f t="shared" si="19"/>
        <v/>
      </c>
      <c r="L179" s="210"/>
    </row>
    <row r="180" spans="1:12">
      <c r="A180" s="171">
        <f t="shared" si="20"/>
        <v>12051</v>
      </c>
      <c r="B180" s="177" t="s">
        <v>518</v>
      </c>
      <c r="C180" s="259" t="s">
        <v>922</v>
      </c>
      <c r="D180" s="174" t="s">
        <v>906</v>
      </c>
      <c r="E180" s="249">
        <v>33051</v>
      </c>
      <c r="F180" s="171">
        <f t="shared" si="17"/>
        <v>52051</v>
      </c>
      <c r="G180" s="171" t="s">
        <v>942</v>
      </c>
      <c r="H180" s="171">
        <f t="shared" si="16"/>
        <v>150003</v>
      </c>
      <c r="I180" s="159" t="s">
        <v>784</v>
      </c>
      <c r="J180" s="171">
        <f t="shared" si="19"/>
        <v>94035</v>
      </c>
      <c r="L180" s="210"/>
    </row>
    <row r="181" spans="1:12">
      <c r="A181" s="171">
        <f t="shared" si="20"/>
        <v>12052</v>
      </c>
      <c r="B181" s="172" t="s">
        <v>925</v>
      </c>
      <c r="C181" s="184" t="s">
        <v>923</v>
      </c>
      <c r="D181" s="174" t="s">
        <v>525</v>
      </c>
      <c r="E181" s="249">
        <v>33052</v>
      </c>
      <c r="F181" s="171">
        <f t="shared" si="17"/>
        <v>52052</v>
      </c>
      <c r="G181" s="171" t="s">
        <v>924</v>
      </c>
      <c r="H181" s="171">
        <f t="shared" si="16"/>
        <v>150005</v>
      </c>
      <c r="I181" s="159" t="s">
        <v>945</v>
      </c>
      <c r="J181" s="171">
        <f t="shared" si="19"/>
        <v>94036</v>
      </c>
      <c r="L181" s="210"/>
    </row>
    <row r="182" spans="1:12">
      <c r="A182" s="171">
        <f t="shared" si="20"/>
        <v>12061</v>
      </c>
      <c r="B182" s="177" t="s">
        <v>938</v>
      </c>
      <c r="C182" s="173" t="s">
        <v>926</v>
      </c>
      <c r="D182" s="181" t="s">
        <v>907</v>
      </c>
      <c r="E182" s="249">
        <v>33061</v>
      </c>
      <c r="F182" s="171">
        <f t="shared" si="17"/>
        <v>52061</v>
      </c>
      <c r="G182" s="171" t="s">
        <v>523</v>
      </c>
      <c r="H182" s="171">
        <f t="shared" si="16"/>
        <v>160004</v>
      </c>
      <c r="J182" s="171" t="str">
        <f t="shared" si="19"/>
        <v/>
      </c>
      <c r="L182" s="210"/>
    </row>
    <row r="183" spans="1:12">
      <c r="A183" s="171">
        <f t="shared" si="20"/>
        <v>12062</v>
      </c>
      <c r="B183" s="172" t="s">
        <v>929</v>
      </c>
      <c r="C183" s="175" t="s">
        <v>752</v>
      </c>
      <c r="D183" s="174" t="s">
        <v>908</v>
      </c>
      <c r="E183" s="249">
        <v>33062</v>
      </c>
      <c r="F183" s="171">
        <f t="shared" si="17"/>
        <v>52062</v>
      </c>
      <c r="G183" s="171" t="s">
        <v>927</v>
      </c>
      <c r="H183" s="171">
        <f t="shared" si="16"/>
        <v>160003</v>
      </c>
      <c r="I183" s="159" t="s">
        <v>943</v>
      </c>
      <c r="J183" s="171">
        <f t="shared" si="19"/>
        <v>94039</v>
      </c>
      <c r="L183" s="210"/>
    </row>
    <row r="184" spans="1:12">
      <c r="A184" s="171">
        <f t="shared" si="20"/>
        <v>12063</v>
      </c>
      <c r="B184" s="172"/>
      <c r="C184" s="185" t="s">
        <v>928</v>
      </c>
      <c r="D184" s="174" t="s">
        <v>909</v>
      </c>
      <c r="E184" s="249">
        <v>33063</v>
      </c>
      <c r="F184" s="171">
        <f t="shared" si="17"/>
        <v>52063</v>
      </c>
      <c r="G184" s="171" t="s">
        <v>487</v>
      </c>
      <c r="H184" s="171">
        <f t="shared" si="16"/>
        <v>160002</v>
      </c>
      <c r="I184" s="159" t="s">
        <v>944</v>
      </c>
      <c r="J184" s="171">
        <f t="shared" si="19"/>
        <v>94038</v>
      </c>
      <c r="L184" s="210"/>
    </row>
    <row r="185" spans="1:12">
      <c r="A185" s="171">
        <f t="shared" si="20"/>
        <v>12064</v>
      </c>
      <c r="B185" s="172"/>
      <c r="C185" s="283" t="s">
        <v>1217</v>
      </c>
      <c r="D185" s="316" t="s">
        <v>1215</v>
      </c>
      <c r="E185" s="249">
        <v>33064</v>
      </c>
      <c r="F185" s="171">
        <f t="shared" si="17"/>
        <v>52064</v>
      </c>
      <c r="G185" s="171" t="s">
        <v>524</v>
      </c>
      <c r="H185" s="171">
        <f t="shared" si="16"/>
        <v>160005</v>
      </c>
      <c r="I185" s="310" t="s">
        <v>1216</v>
      </c>
      <c r="J185" s="171">
        <f t="shared" si="19"/>
        <v>94056</v>
      </c>
      <c r="L185" s="210"/>
    </row>
    <row r="186" spans="1:12">
      <c r="A186" s="171">
        <f t="shared" si="20"/>
        <v>12071</v>
      </c>
      <c r="B186" s="213" t="s">
        <v>953</v>
      </c>
      <c r="C186" s="301" t="s">
        <v>1123</v>
      </c>
      <c r="D186" s="302" t="s">
        <v>1124</v>
      </c>
      <c r="E186" s="249">
        <v>33071</v>
      </c>
      <c r="F186" s="171">
        <f t="shared" si="17"/>
        <v>52071</v>
      </c>
      <c r="G186" s="171" t="s">
        <v>947</v>
      </c>
      <c r="H186" s="171">
        <f t="shared" si="16"/>
        <v>161004</v>
      </c>
      <c r="I186" s="310"/>
      <c r="J186" s="261"/>
      <c r="L186" s="210"/>
    </row>
    <row r="187" spans="1:12">
      <c r="A187" s="171">
        <f t="shared" si="20"/>
        <v>12081</v>
      </c>
      <c r="B187" s="172" t="s">
        <v>939</v>
      </c>
      <c r="C187" s="175" t="s">
        <v>557</v>
      </c>
      <c r="D187" s="323" t="s">
        <v>1235</v>
      </c>
      <c r="E187" s="210">
        <v>33081</v>
      </c>
      <c r="F187" s="171">
        <f t="shared" si="17"/>
        <v>52081</v>
      </c>
      <c r="G187" s="171" t="s">
        <v>930</v>
      </c>
      <c r="H187" s="171">
        <f t="shared" si="16"/>
        <v>162005</v>
      </c>
      <c r="I187" s="159" t="s">
        <v>784</v>
      </c>
      <c r="J187" s="171">
        <f>IF(I187="","",VLOOKUP(I187,$I$202:$J$250,2,0))</f>
        <v>94035</v>
      </c>
      <c r="L187" s="210"/>
    </row>
    <row r="188" spans="1:12">
      <c r="A188" s="232">
        <f t="shared" si="20"/>
        <v>12082</v>
      </c>
      <c r="B188" s="244" t="s">
        <v>748</v>
      </c>
      <c r="C188" s="187" t="s">
        <v>1027</v>
      </c>
      <c r="D188" s="233" t="s">
        <v>1029</v>
      </c>
      <c r="E188" s="237">
        <v>33082</v>
      </c>
      <c r="F188" s="232">
        <f t="shared" si="17"/>
        <v>52082</v>
      </c>
      <c r="G188" s="232" t="s">
        <v>931</v>
      </c>
      <c r="H188" s="232">
        <f t="shared" si="16"/>
        <v>162003</v>
      </c>
      <c r="I188" s="247" t="s">
        <v>1031</v>
      </c>
      <c r="J188" s="248">
        <f>IF(I188="","",VLOOKUP(I188,$I$202:$J$250,2,0))</f>
        <v>94029</v>
      </c>
      <c r="L188" s="210"/>
    </row>
    <row r="189" spans="1:12" s="232" customFormat="1">
      <c r="A189" s="245">
        <f t="shared" si="20"/>
        <v>12083</v>
      </c>
      <c r="B189" s="244"/>
      <c r="C189" s="187" t="s">
        <v>1028</v>
      </c>
      <c r="D189" s="231" t="s">
        <v>1033</v>
      </c>
      <c r="E189" s="246">
        <v>33083</v>
      </c>
      <c r="F189" s="245">
        <v>52083</v>
      </c>
      <c r="G189" s="245" t="s">
        <v>1030</v>
      </c>
      <c r="H189" s="245">
        <f t="shared" si="16"/>
        <v>162002</v>
      </c>
      <c r="I189" s="235" t="s">
        <v>1032</v>
      </c>
      <c r="J189" s="232">
        <f>IF(I189="","",VLOOKUP(I189,$I$202:$J$250,2,0))</f>
        <v>94029</v>
      </c>
      <c r="L189" s="234"/>
    </row>
    <row r="190" spans="1:12" s="245" customFormat="1">
      <c r="A190" s="232">
        <f t="shared" si="20"/>
        <v>12084</v>
      </c>
      <c r="B190" s="236"/>
      <c r="C190" s="187" t="s">
        <v>1034</v>
      </c>
      <c r="D190" s="233" t="s">
        <v>954</v>
      </c>
      <c r="E190" s="237">
        <v>33084</v>
      </c>
      <c r="F190" s="232">
        <f t="shared" si="17"/>
        <v>52084</v>
      </c>
      <c r="G190" s="232" t="s">
        <v>995</v>
      </c>
      <c r="H190" s="232">
        <f t="shared" si="16"/>
        <v>162003</v>
      </c>
      <c r="I190" s="232"/>
      <c r="J190" s="232" t="str">
        <f>IF(I190="","",VLOOKUP(I190,$I$202:$J$250,2,0))</f>
        <v/>
      </c>
      <c r="L190" s="249"/>
    </row>
    <row r="191" spans="1:12" s="232" customFormat="1">
      <c r="A191" s="171">
        <f t="shared" si="20"/>
        <v>12091</v>
      </c>
      <c r="B191" s="177" t="s">
        <v>940</v>
      </c>
      <c r="C191" s="173" t="s">
        <v>932</v>
      </c>
      <c r="D191" s="180" t="s">
        <v>906</v>
      </c>
      <c r="E191" s="210">
        <v>33091</v>
      </c>
      <c r="F191" s="171">
        <f t="shared" si="17"/>
        <v>52091</v>
      </c>
      <c r="G191" s="171" t="s">
        <v>933</v>
      </c>
      <c r="H191" s="171">
        <f t="shared" si="16"/>
        <v>163002</v>
      </c>
      <c r="I191" s="159" t="s">
        <v>784</v>
      </c>
      <c r="J191" s="171">
        <f>IF(I191="","",VLOOKUP(I191,$I$202:$J$250,2,0))</f>
        <v>94035</v>
      </c>
      <c r="L191" s="234"/>
    </row>
    <row r="192" spans="1:12">
      <c r="A192" s="171">
        <f t="shared" si="20"/>
        <v>12092</v>
      </c>
      <c r="B192" s="176" t="s">
        <v>1208</v>
      </c>
      <c r="C192" s="188" t="s">
        <v>934</v>
      </c>
      <c r="D192" s="211" t="s">
        <v>910</v>
      </c>
      <c r="E192" s="210">
        <v>33092</v>
      </c>
      <c r="F192" s="171">
        <f t="shared" si="17"/>
        <v>52092</v>
      </c>
      <c r="G192" s="171" t="s">
        <v>935</v>
      </c>
      <c r="H192" s="171">
        <f t="shared" si="16"/>
        <v>163003</v>
      </c>
      <c r="L192" s="210"/>
    </row>
    <row r="193" spans="1:12">
      <c r="J193" s="171" t="str">
        <f>IF(I192="","",VLOOKUP(I192,$I$202:$J$250,2,0))</f>
        <v/>
      </c>
      <c r="L193" s="210"/>
    </row>
    <row r="194" spans="1:12">
      <c r="J194" s="171" t="str">
        <f>IF(I193="","",VLOOKUP(I193,$I$202:$J$250,2,0))</f>
        <v/>
      </c>
    </row>
    <row r="200" spans="1:12">
      <c r="A200" s="220"/>
      <c r="B200" s="221"/>
      <c r="C200" s="221"/>
      <c r="D200" s="222"/>
      <c r="E200" s="221"/>
      <c r="F200" s="221"/>
      <c r="G200" s="221"/>
      <c r="H200" s="221"/>
    </row>
    <row r="201" spans="1:12">
      <c r="A201" s="224"/>
      <c r="B201" s="225"/>
      <c r="C201" s="225"/>
      <c r="D201" s="226"/>
      <c r="E201" s="225"/>
      <c r="F201" s="225"/>
      <c r="G201" s="225"/>
      <c r="H201" s="225"/>
      <c r="I201" s="221" t="s">
        <v>757</v>
      </c>
      <c r="K201" s="223"/>
    </row>
    <row r="202" spans="1:12">
      <c r="A202" s="224"/>
      <c r="B202" s="284" t="s">
        <v>291</v>
      </c>
      <c r="C202" s="285" t="s">
        <v>1128</v>
      </c>
      <c r="D202" s="243" t="s">
        <v>1129</v>
      </c>
      <c r="E202" s="225"/>
      <c r="F202" s="225"/>
      <c r="G202" s="225"/>
      <c r="H202" s="225"/>
      <c r="I202" s="212" t="s">
        <v>760</v>
      </c>
      <c r="J202" s="308">
        <v>94020</v>
      </c>
      <c r="K202" s="227"/>
    </row>
    <row r="203" spans="1:12">
      <c r="A203" s="224"/>
      <c r="B203" s="172"/>
      <c r="C203" s="173" t="s">
        <v>1130</v>
      </c>
      <c r="D203" s="231" t="s">
        <v>1100</v>
      </c>
      <c r="E203" s="225"/>
      <c r="F203" s="225"/>
      <c r="G203" s="225"/>
      <c r="H203" s="225"/>
      <c r="I203" s="212" t="s">
        <v>1060</v>
      </c>
      <c r="J203" s="308">
        <v>94021</v>
      </c>
      <c r="K203" s="227"/>
    </row>
    <row r="204" spans="1:12">
      <c r="A204" s="224"/>
      <c r="B204" s="172"/>
      <c r="C204" s="186" t="s">
        <v>1131</v>
      </c>
      <c r="D204" s="231" t="s">
        <v>1101</v>
      </c>
      <c r="E204" s="225"/>
      <c r="F204" s="225"/>
      <c r="G204" s="225"/>
      <c r="H204" s="225"/>
      <c r="I204" s="212" t="s">
        <v>1061</v>
      </c>
      <c r="J204" s="308">
        <v>94022</v>
      </c>
      <c r="K204" s="227"/>
    </row>
    <row r="205" spans="1:12">
      <c r="A205" s="224"/>
      <c r="B205" s="172"/>
      <c r="C205" s="175" t="s">
        <v>1132</v>
      </c>
      <c r="D205" s="231" t="s">
        <v>747</v>
      </c>
      <c r="E205" s="225"/>
      <c r="F205" s="225"/>
      <c r="G205" s="225"/>
      <c r="H205" s="225"/>
      <c r="I205" s="212" t="s">
        <v>1182</v>
      </c>
      <c r="J205" s="308">
        <v>94023</v>
      </c>
      <c r="K205" s="227"/>
    </row>
    <row r="206" spans="1:12">
      <c r="A206" s="224"/>
      <c r="B206" s="176"/>
      <c r="C206" s="286" t="s">
        <v>550</v>
      </c>
      <c r="D206" s="287"/>
      <c r="E206" s="225"/>
      <c r="F206" s="225"/>
      <c r="G206" s="225"/>
      <c r="H206" s="225"/>
      <c r="I206" s="212" t="s">
        <v>1183</v>
      </c>
      <c r="J206" s="308">
        <v>94024</v>
      </c>
      <c r="K206" s="227"/>
    </row>
    <row r="207" spans="1:12">
      <c r="A207" s="224"/>
      <c r="B207" s="284" t="s">
        <v>292</v>
      </c>
      <c r="C207" s="288" t="s">
        <v>1055</v>
      </c>
      <c r="D207" s="289"/>
      <c r="E207" s="225"/>
      <c r="F207" s="225"/>
      <c r="G207" s="225"/>
      <c r="H207" s="225"/>
      <c r="I207" s="212" t="s">
        <v>1184</v>
      </c>
      <c r="J207" s="308">
        <v>94025</v>
      </c>
      <c r="K207" s="227"/>
    </row>
    <row r="208" spans="1:12">
      <c r="A208" s="224"/>
      <c r="B208" s="177"/>
      <c r="C208" s="173" t="s">
        <v>1126</v>
      </c>
      <c r="D208" s="231" t="s">
        <v>1100</v>
      </c>
      <c r="E208" s="225"/>
      <c r="F208" s="225"/>
      <c r="G208" s="225"/>
      <c r="H208" s="225"/>
      <c r="I208" s="212" t="s">
        <v>1185</v>
      </c>
      <c r="J208" s="308">
        <v>94026</v>
      </c>
      <c r="K208" s="227"/>
    </row>
    <row r="209" spans="1:11">
      <c r="A209" s="224"/>
      <c r="B209" s="172"/>
      <c r="C209" s="175" t="s">
        <v>1108</v>
      </c>
      <c r="D209" s="231" t="s">
        <v>1102</v>
      </c>
      <c r="E209" s="225"/>
      <c r="F209" s="225"/>
      <c r="G209" s="225"/>
      <c r="H209" s="225"/>
      <c r="I209" s="212" t="s">
        <v>1177</v>
      </c>
      <c r="J209" s="308">
        <v>94027</v>
      </c>
      <c r="K209" s="227"/>
    </row>
    <row r="210" spans="1:11">
      <c r="A210" s="224"/>
      <c r="B210" s="172"/>
      <c r="C210" s="179" t="s">
        <v>1127</v>
      </c>
      <c r="D210" s="231" t="s">
        <v>747</v>
      </c>
      <c r="E210" s="225"/>
      <c r="F210" s="225"/>
      <c r="G210" s="225"/>
      <c r="H210" s="225"/>
      <c r="I210" s="212" t="s">
        <v>779</v>
      </c>
      <c r="J210" s="308">
        <v>94028</v>
      </c>
      <c r="K210" s="227"/>
    </row>
    <row r="211" spans="1:11">
      <c r="A211" s="224"/>
      <c r="B211" s="172"/>
      <c r="C211" s="282" t="s">
        <v>1115</v>
      </c>
      <c r="D211" s="283" t="s">
        <v>1114</v>
      </c>
      <c r="E211" s="225"/>
      <c r="F211" s="225"/>
      <c r="G211" s="225"/>
      <c r="H211" s="225"/>
      <c r="I211" s="212" t="s">
        <v>802</v>
      </c>
      <c r="J211" s="308">
        <v>94029</v>
      </c>
      <c r="K211" s="227"/>
    </row>
    <row r="212" spans="1:11">
      <c r="A212" s="224"/>
      <c r="B212" s="176"/>
      <c r="C212" s="290" t="s">
        <v>1144</v>
      </c>
      <c r="D212" s="287"/>
      <c r="E212" s="225"/>
      <c r="F212" s="225"/>
      <c r="G212" s="225"/>
      <c r="H212" s="225"/>
      <c r="I212" s="212" t="s">
        <v>1186</v>
      </c>
      <c r="J212" s="308">
        <v>94030</v>
      </c>
      <c r="K212" s="227"/>
    </row>
    <row r="213" spans="1:11">
      <c r="A213" s="224"/>
      <c r="B213" s="284" t="s">
        <v>516</v>
      </c>
      <c r="C213" s="291" t="s">
        <v>1145</v>
      </c>
      <c r="D213" s="289"/>
      <c r="E213" s="225"/>
      <c r="F213" s="225"/>
      <c r="G213" s="225"/>
      <c r="H213" s="225"/>
      <c r="I213" s="212" t="s">
        <v>1187</v>
      </c>
      <c r="J213" s="308">
        <v>94031</v>
      </c>
      <c r="K213" s="227"/>
    </row>
    <row r="214" spans="1:11">
      <c r="A214" s="224"/>
      <c r="B214" s="177"/>
      <c r="C214" s="180" t="s">
        <v>512</v>
      </c>
      <c r="D214" s="292" t="s">
        <v>1103</v>
      </c>
      <c r="E214" s="225"/>
      <c r="F214" s="225"/>
      <c r="G214" s="225"/>
      <c r="H214" s="225"/>
      <c r="I214" s="212" t="s">
        <v>1188</v>
      </c>
      <c r="J214" s="308">
        <v>94032</v>
      </c>
      <c r="K214" s="227"/>
    </row>
    <row r="215" spans="1:11">
      <c r="A215" s="224"/>
      <c r="B215" s="172"/>
      <c r="C215" s="178" t="s">
        <v>1146</v>
      </c>
      <c r="D215" s="231" t="s">
        <v>747</v>
      </c>
      <c r="E215" s="225"/>
      <c r="F215" s="225"/>
      <c r="G215" s="225"/>
      <c r="H215" s="225"/>
      <c r="I215" s="212" t="s">
        <v>1189</v>
      </c>
      <c r="J215" s="308">
        <v>94033</v>
      </c>
      <c r="K215" s="227"/>
    </row>
    <row r="216" spans="1:11">
      <c r="A216" s="224"/>
      <c r="B216" s="172"/>
      <c r="C216" s="182" t="s">
        <v>513</v>
      </c>
      <c r="D216" s="231" t="s">
        <v>538</v>
      </c>
      <c r="E216" s="225"/>
      <c r="F216" s="225"/>
      <c r="G216" s="225"/>
      <c r="H216" s="225"/>
      <c r="I216" s="212" t="s">
        <v>1190</v>
      </c>
      <c r="J216" s="308">
        <v>94034</v>
      </c>
      <c r="K216" s="227"/>
    </row>
    <row r="217" spans="1:11">
      <c r="A217" s="224"/>
      <c r="B217" s="176"/>
      <c r="C217" s="183" t="s">
        <v>1147</v>
      </c>
      <c r="D217" s="287"/>
      <c r="E217" s="225"/>
      <c r="F217" s="225"/>
      <c r="G217" s="225"/>
      <c r="H217" s="225"/>
      <c r="I217" s="212" t="s">
        <v>1191</v>
      </c>
      <c r="J217" s="308">
        <v>94035</v>
      </c>
      <c r="K217" s="227"/>
    </row>
    <row r="218" spans="1:11">
      <c r="A218" s="224"/>
      <c r="B218" s="284" t="s">
        <v>517</v>
      </c>
      <c r="C218" s="293" t="s">
        <v>1133</v>
      </c>
      <c r="D218" s="292"/>
      <c r="E218" s="225"/>
      <c r="F218" s="225"/>
      <c r="G218" s="225"/>
      <c r="H218" s="225"/>
      <c r="I218" s="212" t="s">
        <v>786</v>
      </c>
      <c r="J218" s="308">
        <v>94036</v>
      </c>
      <c r="K218" s="227"/>
    </row>
    <row r="219" spans="1:11">
      <c r="A219" s="224"/>
      <c r="B219" s="177"/>
      <c r="C219" s="294" t="s">
        <v>1134</v>
      </c>
      <c r="D219" s="295" t="s">
        <v>1135</v>
      </c>
      <c r="E219" s="225"/>
      <c r="F219" s="225"/>
      <c r="G219" s="225"/>
      <c r="H219" s="225"/>
      <c r="I219" s="212" t="s">
        <v>841</v>
      </c>
      <c r="J219" s="308">
        <v>94037</v>
      </c>
      <c r="K219" s="227"/>
    </row>
    <row r="220" spans="1:11">
      <c r="A220" s="224"/>
      <c r="B220" s="172"/>
      <c r="C220" s="179" t="s">
        <v>1136</v>
      </c>
      <c r="D220" s="186" t="s">
        <v>1137</v>
      </c>
      <c r="E220" s="225"/>
      <c r="F220" s="225"/>
      <c r="G220" s="225"/>
      <c r="H220" s="225"/>
      <c r="I220" s="212" t="s">
        <v>789</v>
      </c>
      <c r="J220" s="308">
        <v>94038</v>
      </c>
      <c r="K220" s="227"/>
    </row>
    <row r="221" spans="1:11">
      <c r="A221" s="224"/>
      <c r="B221" s="172"/>
      <c r="C221" s="282"/>
      <c r="D221" s="283"/>
      <c r="E221" s="225"/>
      <c r="F221" s="225"/>
      <c r="G221" s="225"/>
      <c r="H221" s="225"/>
      <c r="I221" s="212" t="s">
        <v>705</v>
      </c>
      <c r="J221" s="308">
        <v>94039</v>
      </c>
      <c r="K221" s="227"/>
    </row>
    <row r="222" spans="1:11">
      <c r="A222" s="224"/>
      <c r="B222" s="176"/>
      <c r="C222" s="183" t="s">
        <v>1138</v>
      </c>
      <c r="D222" s="286"/>
      <c r="E222" s="225"/>
      <c r="F222" s="225"/>
      <c r="G222" s="225"/>
      <c r="H222" s="225"/>
      <c r="I222" s="212" t="s">
        <v>1192</v>
      </c>
      <c r="J222" s="308">
        <v>94040</v>
      </c>
      <c r="K222" s="227"/>
    </row>
    <row r="223" spans="1:11">
      <c r="A223" s="224"/>
      <c r="B223" s="177" t="s">
        <v>518</v>
      </c>
      <c r="C223" s="296" t="s">
        <v>1139</v>
      </c>
      <c r="D223" s="231"/>
      <c r="E223" s="225"/>
      <c r="F223" s="225"/>
      <c r="G223" s="225"/>
      <c r="H223" s="225"/>
      <c r="I223" s="212" t="s">
        <v>856</v>
      </c>
      <c r="J223" s="308">
        <v>94041</v>
      </c>
      <c r="K223" s="227"/>
    </row>
    <row r="224" spans="1:11">
      <c r="A224" s="224"/>
      <c r="B224" s="177"/>
      <c r="C224" s="297" t="s">
        <v>1140</v>
      </c>
      <c r="D224" s="292" t="s">
        <v>1135</v>
      </c>
      <c r="E224" s="225"/>
      <c r="F224" s="225"/>
      <c r="G224" s="225"/>
      <c r="H224" s="225"/>
      <c r="I224" s="212" t="s">
        <v>1193</v>
      </c>
      <c r="J224" s="308">
        <v>94042</v>
      </c>
      <c r="K224" s="227"/>
    </row>
    <row r="225" spans="1:11">
      <c r="A225" s="224"/>
      <c r="B225" s="172"/>
      <c r="C225" s="184" t="s">
        <v>1141</v>
      </c>
      <c r="D225" s="231" t="s">
        <v>1142</v>
      </c>
      <c r="E225" s="225"/>
      <c r="F225" s="225"/>
      <c r="G225" s="225"/>
      <c r="H225" s="225"/>
      <c r="I225" s="212" t="s">
        <v>1194</v>
      </c>
      <c r="J225" s="308">
        <v>94043</v>
      </c>
      <c r="K225" s="227"/>
    </row>
    <row r="226" spans="1:11">
      <c r="A226" s="224"/>
      <c r="B226" s="172"/>
      <c r="C226" s="182" t="s">
        <v>1143</v>
      </c>
      <c r="D226" s="231"/>
      <c r="E226" s="225"/>
      <c r="F226" s="225"/>
      <c r="G226" s="225"/>
      <c r="H226" s="225"/>
      <c r="I226" s="212" t="s">
        <v>1195</v>
      </c>
      <c r="J226" s="308">
        <v>94044</v>
      </c>
      <c r="K226" s="227"/>
    </row>
    <row r="227" spans="1:11">
      <c r="A227" s="224"/>
      <c r="B227" s="176"/>
      <c r="C227" s="298"/>
      <c r="D227" s="287"/>
      <c r="E227" s="225"/>
      <c r="F227" s="225"/>
      <c r="G227" s="225"/>
      <c r="H227" s="225"/>
      <c r="I227" s="212" t="s">
        <v>1196</v>
      </c>
      <c r="J227" s="308">
        <v>94045</v>
      </c>
      <c r="K227" s="227"/>
    </row>
    <row r="228" spans="1:11">
      <c r="A228" s="224"/>
      <c r="B228" s="176" t="s">
        <v>1148</v>
      </c>
      <c r="C228" s="299" t="s">
        <v>1149</v>
      </c>
      <c r="D228" s="287"/>
      <c r="E228" s="225"/>
      <c r="F228" s="225"/>
      <c r="G228" s="225"/>
      <c r="H228" s="225"/>
      <c r="I228" s="212" t="s">
        <v>1197</v>
      </c>
      <c r="J228" s="308">
        <v>94046</v>
      </c>
      <c r="K228" s="227"/>
    </row>
    <row r="229" spans="1:11">
      <c r="A229" s="224"/>
      <c r="B229" s="177"/>
      <c r="C229" s="175" t="s">
        <v>1150</v>
      </c>
      <c r="D229" s="292" t="s">
        <v>1151</v>
      </c>
      <c r="E229" s="225"/>
      <c r="F229" s="225"/>
      <c r="G229" s="225"/>
      <c r="H229" s="225"/>
      <c r="I229" s="307" t="s">
        <v>1198</v>
      </c>
      <c r="J229" s="309">
        <v>94047</v>
      </c>
      <c r="K229" s="227"/>
    </row>
    <row r="230" spans="1:11">
      <c r="A230" s="224"/>
      <c r="B230" s="172"/>
      <c r="C230" s="175" t="s">
        <v>1152</v>
      </c>
      <c r="D230" s="231" t="s">
        <v>1153</v>
      </c>
      <c r="E230" s="225"/>
      <c r="F230" s="225"/>
      <c r="G230" s="225"/>
      <c r="H230" s="225"/>
      <c r="I230" s="307" t="s">
        <v>1199</v>
      </c>
      <c r="J230" s="309">
        <v>94048</v>
      </c>
      <c r="K230" s="227"/>
    </row>
    <row r="231" spans="1:11">
      <c r="A231" s="224"/>
      <c r="B231" s="172"/>
      <c r="C231" s="185" t="s">
        <v>1154</v>
      </c>
      <c r="D231" s="231" t="s">
        <v>1155</v>
      </c>
      <c r="E231" s="225"/>
      <c r="F231" s="225"/>
      <c r="G231" s="225"/>
      <c r="H231" s="225"/>
      <c r="I231" s="307" t="s">
        <v>1178</v>
      </c>
      <c r="J231" s="309">
        <v>94049</v>
      </c>
      <c r="K231" s="227"/>
    </row>
    <row r="232" spans="1:11">
      <c r="A232" s="224"/>
      <c r="B232" s="172"/>
      <c r="C232" s="186" t="s">
        <v>1156</v>
      </c>
      <c r="D232" s="300" t="s">
        <v>1157</v>
      </c>
      <c r="E232" s="225"/>
      <c r="F232" s="225"/>
      <c r="G232" s="225"/>
      <c r="H232" s="225"/>
      <c r="I232" s="307" t="s">
        <v>1179</v>
      </c>
      <c r="J232" s="309">
        <v>94050</v>
      </c>
      <c r="K232" s="227"/>
    </row>
    <row r="233" spans="1:11">
      <c r="A233" s="224"/>
      <c r="B233" s="176"/>
      <c r="C233" s="178" t="s">
        <v>1158</v>
      </c>
      <c r="D233" s="287"/>
      <c r="E233" s="225"/>
      <c r="F233" s="225"/>
      <c r="G233" s="225"/>
      <c r="H233" s="225"/>
      <c r="I233" s="307" t="s">
        <v>1180</v>
      </c>
      <c r="J233" s="309">
        <v>94051</v>
      </c>
      <c r="K233" s="227"/>
    </row>
    <row r="234" spans="1:11">
      <c r="A234" s="224"/>
      <c r="B234" s="284" t="s">
        <v>1159</v>
      </c>
      <c r="C234" s="291" t="s">
        <v>1160</v>
      </c>
      <c r="D234" s="289"/>
      <c r="E234" s="225"/>
      <c r="F234" s="225"/>
      <c r="G234" s="225"/>
      <c r="H234" s="225"/>
      <c r="I234" s="307" t="s">
        <v>1181</v>
      </c>
      <c r="J234" s="309">
        <v>94052</v>
      </c>
      <c r="K234" s="227"/>
    </row>
    <row r="235" spans="1:11">
      <c r="A235" s="224"/>
      <c r="B235" s="177"/>
      <c r="C235" s="301" t="s">
        <v>1123</v>
      </c>
      <c r="D235" s="302" t="s">
        <v>1124</v>
      </c>
      <c r="E235" s="225"/>
      <c r="F235" s="225"/>
      <c r="G235" s="225"/>
      <c r="H235" s="225"/>
      <c r="I235" s="212" t="s">
        <v>1200</v>
      </c>
      <c r="J235" s="308">
        <v>94053</v>
      </c>
      <c r="K235" s="227"/>
    </row>
    <row r="236" spans="1:11">
      <c r="A236" s="224"/>
      <c r="B236" s="172"/>
      <c r="C236" s="186" t="s">
        <v>1161</v>
      </c>
      <c r="D236" s="231"/>
      <c r="E236" s="225"/>
      <c r="F236" s="225"/>
      <c r="G236" s="225"/>
      <c r="H236" s="225"/>
      <c r="I236" s="212" t="s">
        <v>1228</v>
      </c>
      <c r="J236" s="308">
        <v>94054</v>
      </c>
      <c r="K236" s="227"/>
    </row>
    <row r="237" spans="1:11">
      <c r="A237" s="224"/>
      <c r="B237" s="172"/>
      <c r="C237" s="303"/>
      <c r="D237" s="231" t="s">
        <v>1162</v>
      </c>
      <c r="E237" s="225"/>
      <c r="F237" s="225"/>
      <c r="G237" s="225"/>
      <c r="H237" s="225"/>
      <c r="I237" s="212" t="s">
        <v>1227</v>
      </c>
      <c r="J237" s="308">
        <v>94055</v>
      </c>
      <c r="K237" s="227"/>
    </row>
    <row r="238" spans="1:11">
      <c r="A238" s="224"/>
      <c r="B238" s="176"/>
      <c r="C238" s="298"/>
      <c r="D238" s="287"/>
      <c r="E238" s="225"/>
      <c r="F238" s="225"/>
      <c r="G238" s="225"/>
      <c r="H238" s="225"/>
      <c r="I238" s="212" t="s">
        <v>1213</v>
      </c>
      <c r="J238" s="308">
        <v>94056</v>
      </c>
      <c r="K238" s="227"/>
    </row>
    <row r="239" spans="1:11">
      <c r="A239" s="224"/>
      <c r="B239" s="284" t="s">
        <v>1163</v>
      </c>
      <c r="C239" s="291" t="s">
        <v>1164</v>
      </c>
      <c r="D239" s="289"/>
      <c r="E239" s="225"/>
      <c r="F239" s="225"/>
      <c r="G239" s="225"/>
      <c r="H239" s="225"/>
      <c r="I239" s="212" t="s">
        <v>1220</v>
      </c>
      <c r="J239" s="308">
        <v>94057</v>
      </c>
      <c r="K239" s="227"/>
    </row>
    <row r="240" spans="1:11">
      <c r="A240" s="224"/>
      <c r="B240" s="177"/>
      <c r="C240" s="173" t="s">
        <v>993</v>
      </c>
      <c r="D240" s="292" t="s">
        <v>1135</v>
      </c>
      <c r="E240" s="225"/>
      <c r="F240" s="225"/>
      <c r="G240" s="225"/>
      <c r="H240" s="225"/>
      <c r="I240" s="225"/>
      <c r="K240" s="227"/>
    </row>
    <row r="241" spans="1:11">
      <c r="A241" s="224"/>
      <c r="B241" s="172"/>
      <c r="C241" s="187" t="s">
        <v>992</v>
      </c>
      <c r="D241" s="231" t="s">
        <v>1165</v>
      </c>
      <c r="E241" s="225"/>
      <c r="F241" s="225"/>
      <c r="G241" s="225"/>
      <c r="H241" s="225"/>
      <c r="I241" s="225"/>
      <c r="J241" s="225"/>
      <c r="K241" s="227"/>
    </row>
    <row r="242" spans="1:11">
      <c r="A242" s="224"/>
      <c r="B242" s="172"/>
      <c r="C242" s="187" t="s">
        <v>1166</v>
      </c>
      <c r="D242" s="231" t="s">
        <v>1167</v>
      </c>
      <c r="E242" s="225"/>
      <c r="F242" s="225"/>
      <c r="G242" s="225"/>
      <c r="H242" s="225"/>
      <c r="I242" s="225"/>
      <c r="J242" s="225"/>
      <c r="K242" s="227"/>
    </row>
    <row r="243" spans="1:11">
      <c r="A243" s="224"/>
      <c r="B243" s="172"/>
      <c r="C243" s="187" t="s">
        <v>1168</v>
      </c>
      <c r="D243" s="231" t="s">
        <v>1169</v>
      </c>
      <c r="E243" s="225"/>
      <c r="F243" s="225"/>
      <c r="G243" s="225"/>
      <c r="H243" s="225"/>
      <c r="I243" s="225"/>
      <c r="J243" s="225"/>
      <c r="K243" s="227"/>
    </row>
    <row r="244" spans="1:11">
      <c r="A244" s="224"/>
      <c r="B244" s="176"/>
      <c r="C244" s="188" t="s">
        <v>1170</v>
      </c>
      <c r="D244" s="287"/>
      <c r="E244" s="225"/>
      <c r="F244" s="225"/>
      <c r="G244" s="225"/>
      <c r="H244" s="225"/>
      <c r="I244" s="225"/>
      <c r="J244" s="225"/>
      <c r="K244" s="227"/>
    </row>
    <row r="245" spans="1:11">
      <c r="A245" s="224"/>
      <c r="B245" s="284" t="s">
        <v>1171</v>
      </c>
      <c r="C245" s="288" t="s">
        <v>1133</v>
      </c>
      <c r="D245" s="289"/>
      <c r="E245" s="225"/>
      <c r="F245" s="225"/>
      <c r="G245" s="225"/>
      <c r="H245" s="225"/>
      <c r="I245" s="225"/>
      <c r="J245" s="225"/>
      <c r="K245" s="227"/>
    </row>
    <row r="246" spans="1:11">
      <c r="A246" s="224"/>
      <c r="B246" s="177"/>
      <c r="C246" s="173" t="s">
        <v>1172</v>
      </c>
      <c r="D246" s="295" t="s">
        <v>1135</v>
      </c>
      <c r="E246" s="225"/>
      <c r="F246" s="225"/>
      <c r="G246" s="225"/>
      <c r="H246" s="225"/>
      <c r="I246" s="225"/>
      <c r="J246" s="225"/>
      <c r="K246" s="227"/>
    </row>
    <row r="247" spans="1:11">
      <c r="A247" s="224"/>
      <c r="B247" s="172"/>
      <c r="C247" s="304"/>
      <c r="D247" s="283"/>
      <c r="E247" s="225"/>
      <c r="F247" s="225"/>
      <c r="G247" s="225"/>
      <c r="H247" s="225"/>
      <c r="I247" s="225"/>
      <c r="J247" s="225"/>
      <c r="K247" s="227"/>
    </row>
    <row r="248" spans="1:11">
      <c r="A248" s="224"/>
      <c r="B248" s="172"/>
      <c r="C248" s="182" t="s">
        <v>1173</v>
      </c>
      <c r="D248" s="184" t="s">
        <v>1174</v>
      </c>
      <c r="E248" s="225"/>
      <c r="F248" s="225"/>
      <c r="G248" s="225"/>
      <c r="H248" s="225"/>
      <c r="I248" s="225"/>
      <c r="J248" s="225"/>
      <c r="K248" s="227"/>
    </row>
    <row r="249" spans="1:11">
      <c r="A249" s="224"/>
      <c r="B249" s="176"/>
      <c r="C249" s="188" t="s">
        <v>1175</v>
      </c>
      <c r="D249" s="286"/>
      <c r="E249" s="225"/>
      <c r="F249" s="225"/>
      <c r="G249" s="225"/>
      <c r="H249" s="225"/>
      <c r="I249" s="225"/>
      <c r="J249" s="225"/>
      <c r="K249" s="227"/>
    </row>
    <row r="250" spans="1:11">
      <c r="A250" s="224"/>
      <c r="B250" s="225"/>
      <c r="C250" s="225"/>
      <c r="D250" s="225"/>
      <c r="E250" s="225"/>
      <c r="F250" s="225"/>
      <c r="G250" s="225"/>
      <c r="H250" s="225"/>
      <c r="I250" s="225"/>
      <c r="J250" s="225"/>
      <c r="K250" s="227"/>
    </row>
    <row r="251" spans="1:11">
      <c r="A251" s="224"/>
      <c r="B251" s="225"/>
      <c r="C251" s="225"/>
      <c r="D251" s="225"/>
      <c r="E251" s="225"/>
      <c r="F251" s="225"/>
      <c r="G251" s="225"/>
      <c r="H251" s="225"/>
      <c r="I251" s="225"/>
      <c r="J251" s="225"/>
      <c r="K251" s="227"/>
    </row>
    <row r="252" spans="1:11">
      <c r="A252" s="224"/>
      <c r="B252" s="225"/>
      <c r="C252" s="225"/>
      <c r="D252" s="225"/>
      <c r="E252" s="225"/>
      <c r="F252" s="225"/>
      <c r="G252" s="225"/>
      <c r="H252" s="225"/>
      <c r="I252" s="225"/>
      <c r="J252" s="225"/>
      <c r="K252" s="227"/>
    </row>
    <row r="253" spans="1:11">
      <c r="A253" s="224"/>
      <c r="B253" s="225"/>
      <c r="C253" s="225"/>
      <c r="D253" s="225"/>
      <c r="E253" s="225"/>
      <c r="F253" s="225"/>
      <c r="G253" s="225"/>
      <c r="H253" s="225"/>
      <c r="I253" s="225"/>
      <c r="J253" s="225"/>
      <c r="K253" s="227"/>
    </row>
    <row r="254" spans="1:11">
      <c r="A254" s="224"/>
      <c r="B254" s="225"/>
      <c r="C254" s="225"/>
      <c r="D254" s="225"/>
      <c r="E254" s="225"/>
      <c r="F254" s="225"/>
      <c r="G254" s="225"/>
      <c r="H254" s="225"/>
      <c r="I254" s="225"/>
      <c r="J254" s="225"/>
      <c r="K254" s="227"/>
    </row>
    <row r="255" spans="1:11">
      <c r="A255" s="224"/>
      <c r="B255" s="225"/>
      <c r="C255" s="225"/>
      <c r="D255" s="225"/>
      <c r="E255" s="225"/>
      <c r="F255" s="225"/>
      <c r="G255" s="225"/>
      <c r="H255" s="225"/>
      <c r="I255" s="225"/>
      <c r="J255" s="225"/>
      <c r="K255" s="227"/>
    </row>
    <row r="256" spans="1:11">
      <c r="A256" s="224"/>
      <c r="B256" s="225"/>
      <c r="C256" s="225"/>
      <c r="D256" s="225"/>
      <c r="E256" s="225"/>
      <c r="F256" s="225"/>
      <c r="G256" s="225"/>
      <c r="H256" s="225"/>
      <c r="I256" s="225"/>
      <c r="J256" s="225"/>
      <c r="K256" s="227"/>
    </row>
    <row r="257" spans="1:11">
      <c r="A257" s="224"/>
      <c r="B257" s="225"/>
      <c r="C257" s="225"/>
      <c r="D257" s="225"/>
      <c r="E257" s="225"/>
      <c r="F257" s="225"/>
      <c r="G257" s="225"/>
      <c r="H257" s="225"/>
      <c r="I257" s="225"/>
      <c r="J257" s="225"/>
      <c r="K257" s="227"/>
    </row>
    <row r="258" spans="1:11">
      <c r="A258" s="224"/>
      <c r="B258" s="225"/>
      <c r="C258" s="225"/>
      <c r="D258" s="225"/>
      <c r="E258" s="225"/>
      <c r="F258" s="225"/>
      <c r="G258" s="225"/>
      <c r="H258" s="225"/>
      <c r="I258" s="225"/>
      <c r="J258" s="225"/>
      <c r="K258" s="227"/>
    </row>
    <row r="259" spans="1:11">
      <c r="A259" s="224"/>
      <c r="B259" s="225"/>
      <c r="C259" s="225"/>
      <c r="D259" s="225"/>
      <c r="E259" s="225"/>
      <c r="F259" s="225"/>
      <c r="G259" s="225"/>
      <c r="H259" s="225"/>
      <c r="I259" s="225"/>
      <c r="J259" s="225"/>
      <c r="K259" s="227"/>
    </row>
    <row r="260" spans="1:11">
      <c r="A260" s="224"/>
      <c r="B260" s="225"/>
      <c r="C260" s="225"/>
      <c r="D260" s="225"/>
      <c r="E260" s="225"/>
      <c r="F260" s="225"/>
      <c r="G260" s="225"/>
      <c r="H260" s="225"/>
      <c r="I260" s="225"/>
      <c r="J260" s="225"/>
      <c r="K260" s="227"/>
    </row>
    <row r="261" spans="1:11">
      <c r="A261" s="224"/>
      <c r="B261" s="225"/>
      <c r="C261" s="225"/>
      <c r="D261" s="225"/>
      <c r="E261" s="225"/>
      <c r="F261" s="225"/>
      <c r="G261" s="225"/>
      <c r="H261" s="225"/>
      <c r="I261" s="225"/>
      <c r="J261" s="225"/>
      <c r="K261" s="227"/>
    </row>
    <row r="262" spans="1:11">
      <c r="A262" s="224"/>
      <c r="B262" s="225"/>
      <c r="C262" s="225"/>
      <c r="D262" s="225"/>
      <c r="E262" s="225"/>
      <c r="F262" s="225"/>
      <c r="G262" s="225"/>
      <c r="H262" s="225"/>
      <c r="I262" s="225"/>
      <c r="J262" s="225"/>
      <c r="K262" s="227"/>
    </row>
    <row r="263" spans="1:11">
      <c r="A263" s="224"/>
      <c r="B263" s="225"/>
      <c r="C263" s="225"/>
      <c r="D263" s="225"/>
      <c r="E263" s="225"/>
      <c r="F263" s="225"/>
      <c r="G263" s="225"/>
      <c r="H263" s="225"/>
      <c r="I263" s="225"/>
      <c r="J263" s="225"/>
      <c r="K263" s="227"/>
    </row>
    <row r="264" spans="1:11">
      <c r="A264" s="224"/>
      <c r="B264" s="225"/>
      <c r="C264" s="225"/>
      <c r="D264" s="225"/>
      <c r="E264" s="225"/>
      <c r="F264" s="225"/>
      <c r="G264" s="225"/>
      <c r="H264" s="225"/>
      <c r="I264" s="225"/>
      <c r="J264" s="225"/>
      <c r="K264" s="227"/>
    </row>
    <row r="265" spans="1:11">
      <c r="A265" s="224"/>
      <c r="B265" s="225"/>
      <c r="C265" s="225"/>
      <c r="D265" s="225"/>
      <c r="E265" s="225"/>
      <c r="F265" s="225"/>
      <c r="G265" s="225"/>
      <c r="H265" s="225"/>
      <c r="I265" s="225"/>
      <c r="J265" s="225"/>
      <c r="K265" s="227"/>
    </row>
    <row r="266" spans="1:11">
      <c r="A266" s="224"/>
      <c r="B266" s="225"/>
      <c r="C266" s="225"/>
      <c r="D266" s="225"/>
      <c r="E266" s="225"/>
      <c r="F266" s="225"/>
      <c r="G266" s="225"/>
      <c r="H266" s="225"/>
      <c r="I266" s="225"/>
      <c r="J266" s="225"/>
      <c r="K266" s="227"/>
    </row>
    <row r="267" spans="1:11">
      <c r="A267" s="224"/>
      <c r="B267" s="225"/>
      <c r="C267" s="225"/>
      <c r="D267" s="225"/>
      <c r="E267" s="225"/>
      <c r="F267" s="225"/>
      <c r="G267" s="225"/>
      <c r="H267" s="225"/>
      <c r="I267" s="225"/>
      <c r="J267" s="225"/>
      <c r="K267" s="227"/>
    </row>
    <row r="268" spans="1:11">
      <c r="A268" s="224"/>
      <c r="B268" s="225"/>
      <c r="C268" s="225"/>
      <c r="D268" s="225"/>
      <c r="E268" s="225"/>
      <c r="F268" s="225"/>
      <c r="G268" s="225"/>
      <c r="H268" s="225"/>
      <c r="I268" s="225"/>
      <c r="J268" s="225"/>
      <c r="K268" s="227"/>
    </row>
    <row r="269" spans="1:11">
      <c r="A269" s="224"/>
      <c r="B269" s="225"/>
      <c r="C269" s="225"/>
      <c r="D269" s="225"/>
      <c r="E269" s="225"/>
      <c r="F269" s="225"/>
      <c r="G269" s="225"/>
      <c r="H269" s="225"/>
      <c r="I269" s="225"/>
      <c r="J269" s="225"/>
      <c r="K269" s="227"/>
    </row>
    <row r="270" spans="1:11">
      <c r="A270" s="224"/>
      <c r="B270" s="225"/>
      <c r="C270" s="225"/>
      <c r="D270" s="225"/>
      <c r="E270" s="225"/>
      <c r="F270" s="225"/>
      <c r="G270" s="225"/>
      <c r="H270" s="225"/>
      <c r="I270" s="225"/>
      <c r="J270" s="225"/>
      <c r="K270" s="227"/>
    </row>
    <row r="271" spans="1:11">
      <c r="A271" s="224"/>
      <c r="B271" s="225"/>
      <c r="C271" s="225"/>
      <c r="D271" s="225"/>
      <c r="E271" s="225"/>
      <c r="F271" s="225"/>
      <c r="G271" s="225"/>
      <c r="H271" s="225"/>
      <c r="I271" s="225"/>
      <c r="J271" s="225"/>
      <c r="K271" s="227"/>
    </row>
    <row r="272" spans="1:11">
      <c r="A272" s="224"/>
      <c r="B272" s="225"/>
      <c r="C272" s="225"/>
      <c r="D272" s="225"/>
      <c r="E272" s="225"/>
      <c r="F272" s="225"/>
      <c r="G272" s="225"/>
      <c r="H272" s="225"/>
      <c r="I272" s="225"/>
      <c r="J272" s="225"/>
      <c r="K272" s="227"/>
    </row>
    <row r="273" spans="1:11">
      <c r="A273" s="224"/>
      <c r="B273" s="225"/>
      <c r="C273" s="225"/>
      <c r="D273" s="225"/>
      <c r="E273" s="225"/>
      <c r="F273" s="225"/>
      <c r="G273" s="225"/>
      <c r="H273" s="225"/>
      <c r="I273" s="225"/>
      <c r="J273" s="225"/>
      <c r="K273" s="227"/>
    </row>
    <row r="274" spans="1:11">
      <c r="A274" s="230"/>
      <c r="B274" s="225"/>
      <c r="C274" s="228"/>
      <c r="D274" s="225"/>
      <c r="E274" s="228"/>
      <c r="F274" s="228"/>
      <c r="G274" s="228"/>
      <c r="H274" s="228"/>
      <c r="I274" s="225"/>
      <c r="J274" s="225"/>
      <c r="K274" s="227"/>
    </row>
    <row r="275" spans="1:11">
      <c r="B275" s="228"/>
      <c r="D275" s="228"/>
      <c r="I275" s="228"/>
      <c r="J275" s="225"/>
      <c r="K275" s="229"/>
    </row>
    <row r="276" spans="1:11">
      <c r="J276" s="228"/>
    </row>
  </sheetData>
  <phoneticPr fontId="1" type="noConversion"/>
  <pageMargins left="0.7" right="0.7" top="0.75" bottom="0.75" header="0.3" footer="0.3"/>
  <pageSetup paperSize="9" orientation="portrait" r:id="rId1"/>
  <ignoredErrors>
    <ignoredError sqref="F25 F141:F142 F15 F121:F122 F124:F134 F14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C5:U48"/>
  <sheetViews>
    <sheetView workbookViewId="0">
      <selection activeCell="U22" sqref="U22"/>
    </sheetView>
  </sheetViews>
  <sheetFormatPr defaultRowHeight="13.5"/>
  <cols>
    <col min="4" max="4" width="8.625" customWidth="1"/>
    <col min="8" max="8" width="12.75" bestFit="1" customWidth="1"/>
  </cols>
  <sheetData>
    <row r="5" spans="4:21">
      <c r="D5" s="168">
        <v>13101</v>
      </c>
      <c r="E5" s="169">
        <v>13111</v>
      </c>
      <c r="F5" s="168">
        <v>13121</v>
      </c>
      <c r="G5" s="169">
        <v>13128</v>
      </c>
      <c r="H5" s="168">
        <v>13135</v>
      </c>
      <c r="I5" s="169">
        <v>13143</v>
      </c>
      <c r="J5" s="168">
        <v>13151</v>
      </c>
      <c r="K5" s="169">
        <v>13158</v>
      </c>
      <c r="L5" s="168">
        <v>13165</v>
      </c>
      <c r="M5" s="169">
        <v>13173</v>
      </c>
      <c r="N5" s="168">
        <v>13181</v>
      </c>
      <c r="O5" s="169">
        <v>13189</v>
      </c>
      <c r="P5" s="193">
        <v>13197</v>
      </c>
      <c r="Q5" s="196">
        <v>13204</v>
      </c>
      <c r="R5" s="193">
        <v>13211</v>
      </c>
      <c r="S5" s="196">
        <v>13221</v>
      </c>
      <c r="T5" s="193">
        <v>13231</v>
      </c>
      <c r="U5" s="196">
        <v>13238</v>
      </c>
    </row>
    <row r="6" spans="4:21">
      <c r="D6" s="168">
        <v>13102</v>
      </c>
      <c r="E6" s="169">
        <v>13112</v>
      </c>
      <c r="F6" s="168">
        <v>13122</v>
      </c>
      <c r="G6" s="169">
        <v>13129</v>
      </c>
      <c r="H6" s="168">
        <v>13136</v>
      </c>
      <c r="I6" s="169">
        <v>13144</v>
      </c>
      <c r="J6" s="168">
        <v>13152</v>
      </c>
      <c r="K6" s="169">
        <v>13159</v>
      </c>
      <c r="L6" s="168">
        <v>13166</v>
      </c>
      <c r="M6" s="169">
        <v>13174</v>
      </c>
      <c r="N6" s="168">
        <v>13182</v>
      </c>
      <c r="O6" s="169">
        <v>13190</v>
      </c>
      <c r="P6" s="193">
        <v>13198</v>
      </c>
      <c r="Q6" s="196">
        <v>13205</v>
      </c>
      <c r="R6" s="193">
        <v>13212</v>
      </c>
      <c r="S6" s="196">
        <v>13222</v>
      </c>
      <c r="T6" s="193">
        <v>13232</v>
      </c>
      <c r="U6" s="196">
        <v>13239</v>
      </c>
    </row>
    <row r="7" spans="4:21">
      <c r="D7" s="168">
        <v>13103</v>
      </c>
      <c r="E7" s="169">
        <v>13113</v>
      </c>
      <c r="F7" s="168">
        <v>13123</v>
      </c>
      <c r="G7" s="169">
        <v>13130</v>
      </c>
      <c r="H7" s="168">
        <v>13137</v>
      </c>
      <c r="I7" s="169">
        <v>13145</v>
      </c>
      <c r="J7" s="168">
        <v>13153</v>
      </c>
      <c r="K7" s="169">
        <v>13160</v>
      </c>
      <c r="L7" s="168">
        <v>13167</v>
      </c>
      <c r="M7" s="169">
        <v>13175</v>
      </c>
      <c r="N7" s="168">
        <v>13183</v>
      </c>
      <c r="O7" s="169">
        <v>13191</v>
      </c>
      <c r="P7" s="193">
        <v>13199</v>
      </c>
      <c r="Q7" s="196">
        <v>13206</v>
      </c>
      <c r="R7" s="193">
        <v>13213</v>
      </c>
      <c r="S7" s="196">
        <v>13223</v>
      </c>
      <c r="T7" s="193">
        <v>13233</v>
      </c>
      <c r="U7" s="196">
        <v>13240</v>
      </c>
    </row>
    <row r="8" spans="4:21">
      <c r="D8" s="168">
        <v>13104</v>
      </c>
      <c r="E8" s="169">
        <v>13114</v>
      </c>
      <c r="F8" s="168">
        <v>13124</v>
      </c>
      <c r="G8" s="169">
        <v>13131</v>
      </c>
      <c r="H8" s="168">
        <v>13138</v>
      </c>
      <c r="I8" s="169">
        <v>13146</v>
      </c>
      <c r="J8" s="168">
        <v>13154</v>
      </c>
      <c r="K8" s="169">
        <v>13161</v>
      </c>
      <c r="L8" s="168">
        <v>13168</v>
      </c>
      <c r="M8" s="169">
        <v>13176</v>
      </c>
      <c r="N8" s="168">
        <v>13184</v>
      </c>
      <c r="O8" s="169">
        <v>13192</v>
      </c>
      <c r="P8" s="193">
        <v>13200</v>
      </c>
      <c r="Q8" s="196">
        <v>13207</v>
      </c>
      <c r="R8" s="193">
        <v>13214</v>
      </c>
      <c r="S8" s="196">
        <v>13224</v>
      </c>
      <c r="T8" s="193">
        <v>13234</v>
      </c>
      <c r="U8" s="196">
        <v>13241</v>
      </c>
    </row>
    <row r="9" spans="4:21">
      <c r="D9" s="168">
        <v>13105</v>
      </c>
      <c r="E9" s="169">
        <v>13115</v>
      </c>
      <c r="F9" s="168">
        <v>13125</v>
      </c>
      <c r="G9" s="169">
        <v>13132</v>
      </c>
      <c r="H9" s="168">
        <v>13139</v>
      </c>
      <c r="I9" s="169">
        <v>13147</v>
      </c>
      <c r="J9" s="168">
        <v>13155</v>
      </c>
      <c r="K9" s="169">
        <v>13162</v>
      </c>
      <c r="L9" s="168">
        <v>13169</v>
      </c>
      <c r="M9" s="169">
        <v>13177</v>
      </c>
      <c r="N9" s="168">
        <v>13185</v>
      </c>
      <c r="O9" s="169">
        <v>13193</v>
      </c>
      <c r="P9" s="193">
        <v>13201</v>
      </c>
      <c r="Q9" s="196">
        <v>13208</v>
      </c>
      <c r="R9" s="193">
        <v>13215</v>
      </c>
      <c r="S9" s="196">
        <v>13225</v>
      </c>
      <c r="T9" s="193">
        <v>13235</v>
      </c>
      <c r="U9" s="196">
        <v>13242</v>
      </c>
    </row>
    <row r="10" spans="4:21">
      <c r="D10" s="168">
        <v>13106</v>
      </c>
      <c r="E10" s="169">
        <v>13116</v>
      </c>
      <c r="F10" s="168">
        <v>13126</v>
      </c>
      <c r="G10" s="169">
        <v>13133</v>
      </c>
      <c r="H10" s="168">
        <v>13140</v>
      </c>
      <c r="I10" s="169">
        <v>13148</v>
      </c>
      <c r="J10" s="168">
        <v>13156</v>
      </c>
      <c r="K10" s="169">
        <v>13163</v>
      </c>
      <c r="L10" s="168">
        <v>13170</v>
      </c>
      <c r="M10" s="169">
        <v>13178</v>
      </c>
      <c r="N10" s="168">
        <v>13186</v>
      </c>
      <c r="O10" s="169">
        <v>13194</v>
      </c>
      <c r="P10" s="193">
        <v>13202</v>
      </c>
      <c r="Q10" s="196">
        <v>13209</v>
      </c>
      <c r="R10" s="193">
        <v>13216</v>
      </c>
      <c r="S10" s="196">
        <v>13226</v>
      </c>
      <c r="T10" s="193">
        <v>13236</v>
      </c>
      <c r="U10" s="196">
        <v>13243</v>
      </c>
    </row>
    <row r="11" spans="4:21">
      <c r="D11" s="168">
        <v>13107</v>
      </c>
      <c r="E11" s="169">
        <v>13117</v>
      </c>
      <c r="F11" s="168">
        <v>13127</v>
      </c>
      <c r="G11" s="169">
        <v>13134</v>
      </c>
      <c r="H11" s="168">
        <v>13141</v>
      </c>
      <c r="I11" s="169">
        <v>13149</v>
      </c>
      <c r="J11" s="168">
        <v>13157</v>
      </c>
      <c r="K11" s="169">
        <v>13164</v>
      </c>
      <c r="L11" s="168">
        <v>13171</v>
      </c>
      <c r="M11" s="169">
        <v>13179</v>
      </c>
      <c r="N11" s="168">
        <v>13187</v>
      </c>
      <c r="O11" s="169">
        <v>13195</v>
      </c>
      <c r="P11" s="193">
        <v>13203</v>
      </c>
      <c r="Q11" s="196">
        <v>13210</v>
      </c>
      <c r="R11" s="193">
        <v>13217</v>
      </c>
      <c r="S11" s="196">
        <v>13227</v>
      </c>
      <c r="T11" s="193">
        <v>13237</v>
      </c>
      <c r="U11" s="196">
        <v>13244</v>
      </c>
    </row>
    <row r="12" spans="4:21">
      <c r="D12" s="168">
        <v>13108</v>
      </c>
      <c r="E12" s="169">
        <v>13118</v>
      </c>
      <c r="F12" s="165"/>
      <c r="H12" s="168">
        <v>13142</v>
      </c>
      <c r="I12" s="169">
        <v>13150</v>
      </c>
      <c r="L12" s="168">
        <v>13172</v>
      </c>
      <c r="M12" s="169">
        <v>13180</v>
      </c>
      <c r="N12" s="168">
        <v>13188</v>
      </c>
      <c r="O12" s="169">
        <v>13196</v>
      </c>
      <c r="R12" s="193">
        <v>13218</v>
      </c>
      <c r="S12" s="196">
        <v>13228</v>
      </c>
      <c r="U12" s="196"/>
    </row>
    <row r="13" spans="4:21">
      <c r="D13" s="168">
        <v>13109</v>
      </c>
      <c r="E13" s="169">
        <v>13119</v>
      </c>
      <c r="F13" s="165"/>
      <c r="R13" s="193">
        <v>13219</v>
      </c>
      <c r="S13" s="196">
        <v>13229</v>
      </c>
    </row>
    <row r="14" spans="4:21">
      <c r="D14" s="168">
        <v>13110</v>
      </c>
      <c r="E14" s="169">
        <v>13120</v>
      </c>
      <c r="F14" s="165"/>
      <c r="R14" s="193">
        <v>13220</v>
      </c>
      <c r="S14" s="196">
        <v>13230</v>
      </c>
    </row>
    <row r="16" spans="4:21">
      <c r="D16" t="s">
        <v>712</v>
      </c>
      <c r="E16" t="s">
        <v>714</v>
      </c>
      <c r="F16" t="s">
        <v>715</v>
      </c>
      <c r="G16" t="s">
        <v>717</v>
      </c>
      <c r="H16" t="s">
        <v>719</v>
      </c>
      <c r="I16" t="s">
        <v>721</v>
      </c>
      <c r="J16" t="s">
        <v>723</v>
      </c>
      <c r="K16" t="s">
        <v>725</v>
      </c>
      <c r="L16" t="s">
        <v>727</v>
      </c>
      <c r="M16" t="s">
        <v>729</v>
      </c>
      <c r="N16" t="s">
        <v>731</v>
      </c>
      <c r="O16" t="s">
        <v>733</v>
      </c>
      <c r="P16" t="s">
        <v>735</v>
      </c>
      <c r="Q16" t="s">
        <v>737</v>
      </c>
      <c r="R16" t="s">
        <v>743</v>
      </c>
      <c r="S16" t="s">
        <v>745</v>
      </c>
      <c r="T16" t="s">
        <v>739</v>
      </c>
      <c r="U16" t="s">
        <v>741</v>
      </c>
    </row>
    <row r="17" spans="3:21">
      <c r="D17" t="str">
        <f>D5&amp;"@1;"&amp;D6&amp;"@1;"&amp;D7&amp;"@1;"&amp;D8&amp;"@1;"&amp;D9&amp;"@1;"&amp;D10&amp;"@1;"&amp;D11&amp;"@1;"&amp;D12&amp;"@1;"&amp;D13&amp;"@1;"&amp;D14&amp;"@1"</f>
        <v>13101@1;13102@1;13103@1;13104@1;13105@1;13106@1;13107@1;13108@1;13109@1;13110@1</v>
      </c>
      <c r="E17" t="str">
        <f t="shared" ref="E17:U17" si="0">E5&amp;"@1;"&amp;E6&amp;"@1;"&amp;E7&amp;"@1;"&amp;E8&amp;"@1;"&amp;E9&amp;"@1;"&amp;E10&amp;"@1;"&amp;E11&amp;"@1;"&amp;E12&amp;"@1;"&amp;E13&amp;"@1;"&amp;E14&amp;"@1"</f>
        <v>13111@1;13112@1;13113@1;13114@1;13115@1;13116@1;13117@1;13118@1;13119@1;13120@1</v>
      </c>
      <c r="F17" t="str">
        <f t="shared" si="0"/>
        <v>13121@1;13122@1;13123@1;13124@1;13125@1;13126@1;13127@1;@1;@1;@1</v>
      </c>
      <c r="G17" t="str">
        <f t="shared" si="0"/>
        <v>13128@1;13129@1;13130@1;13131@1;13132@1;13133@1;13134@1;@1;@1;@1</v>
      </c>
      <c r="H17" t="str">
        <f t="shared" si="0"/>
        <v>13135@1;13136@1;13137@1;13138@1;13139@1;13140@1;13141@1;13142@1;@1;@1</v>
      </c>
      <c r="I17" t="str">
        <f t="shared" si="0"/>
        <v>13143@1;13144@1;13145@1;13146@1;13147@1;13148@1;13149@1;13150@1;@1;@1</v>
      </c>
      <c r="J17" t="str">
        <f t="shared" si="0"/>
        <v>13151@1;13152@1;13153@1;13154@1;13155@1;13156@1;13157@1;@1;@1;@1</v>
      </c>
      <c r="K17" t="str">
        <f t="shared" si="0"/>
        <v>13158@1;13159@1;13160@1;13161@1;13162@1;13163@1;13164@1;@1;@1;@1</v>
      </c>
      <c r="L17" t="str">
        <f t="shared" si="0"/>
        <v>13165@1;13166@1;13167@1;13168@1;13169@1;13170@1;13171@1;13172@1;@1;@1</v>
      </c>
      <c r="M17" t="str">
        <f t="shared" si="0"/>
        <v>13173@1;13174@1;13175@1;13176@1;13177@1;13178@1;13179@1;13180@1;@1;@1</v>
      </c>
      <c r="N17" t="str">
        <f t="shared" si="0"/>
        <v>13181@1;13182@1;13183@1;13184@1;13185@1;13186@1;13187@1;13188@1;@1;@1</v>
      </c>
      <c r="O17" t="str">
        <f t="shared" si="0"/>
        <v>13189@1;13190@1;13191@1;13192@1;13193@1;13194@1;13195@1;13196@1;@1;@1</v>
      </c>
      <c r="P17" t="str">
        <f t="shared" si="0"/>
        <v>13197@1;13198@1;13199@1;13200@1;13201@1;13202@1;13203@1;@1;@1;@1</v>
      </c>
      <c r="Q17" t="str">
        <f t="shared" si="0"/>
        <v>13204@1;13205@1;13206@1;13207@1;13208@1;13209@1;13210@1;@1;@1;@1</v>
      </c>
      <c r="R17" t="str">
        <f t="shared" si="0"/>
        <v>13211@1;13212@1;13213@1;13214@1;13215@1;13216@1;13217@1;13218@1;13219@1;13220@1</v>
      </c>
      <c r="S17" t="str">
        <f t="shared" si="0"/>
        <v>13221@1;13222@1;13223@1;13224@1;13225@1;13226@1;13227@1;13228@1;13229@1;13230@1</v>
      </c>
      <c r="T17" t="str">
        <f t="shared" si="0"/>
        <v>13231@1;13232@1;13233@1;13234@1;13235@1;13236@1;13237@1;@1;@1;@1</v>
      </c>
      <c r="U17" t="str">
        <f t="shared" si="0"/>
        <v>13238@1;13239@1;13240@1;13241@1;13242@1;13243@1;13244@1;@1;@1;@1</v>
      </c>
    </row>
    <row r="21" spans="3:21">
      <c r="E21" t="s">
        <v>991</v>
      </c>
      <c r="N21" s="1" t="s">
        <v>1077</v>
      </c>
    </row>
    <row r="22" spans="3:21">
      <c r="C22" s="167">
        <v>13001</v>
      </c>
      <c r="D22" t="s">
        <v>712</v>
      </c>
      <c r="E22" t="s">
        <v>1064</v>
      </c>
      <c r="N22" t="str">
        <f>E22&amp;"@1;"&amp;$C$40&amp;"@1"</f>
        <v>13101@1;13102@1;13103@1;13104@1;13105@1;13106@1;13107@1;13108@1;13109@1;13110@1@1;13100@1</v>
      </c>
    </row>
    <row r="23" spans="3:21">
      <c r="C23" s="167">
        <v>13002</v>
      </c>
      <c r="D23" t="s">
        <v>713</v>
      </c>
      <c r="E23" t="s">
        <v>956</v>
      </c>
      <c r="N23" t="str">
        <f t="shared" ref="N23:N39" si="1">E23&amp;"@1;"&amp;$C$40&amp;"@1"</f>
        <v>13111@1;13112@1;13113@1;13114@1;13115@1;13116@1;13117@1;13118@1;13119@1;13120@1@1;13100@1</v>
      </c>
    </row>
    <row r="24" spans="3:21">
      <c r="C24" s="167">
        <v>13003</v>
      </c>
      <c r="D24" t="s">
        <v>715</v>
      </c>
      <c r="E24" t="s">
        <v>1065</v>
      </c>
      <c r="N24" t="str">
        <f t="shared" si="1"/>
        <v>13121@1;13122@1;13123@1;13124@1;13125@1;13126@1;13127@1@1;13100@1</v>
      </c>
    </row>
    <row r="25" spans="3:21">
      <c r="C25" s="167">
        <v>13004</v>
      </c>
      <c r="D25" t="s">
        <v>716</v>
      </c>
      <c r="E25" t="s">
        <v>1066</v>
      </c>
      <c r="N25" t="str">
        <f t="shared" si="1"/>
        <v>13128@1;13129@1;13130@1;13131@1;13132@1;13133@1;13134@1@1;13100@1</v>
      </c>
    </row>
    <row r="26" spans="3:21">
      <c r="C26" s="167">
        <v>13005</v>
      </c>
      <c r="D26" t="s">
        <v>718</v>
      </c>
      <c r="E26" t="s">
        <v>1067</v>
      </c>
      <c r="N26" t="str">
        <f t="shared" si="1"/>
        <v>13135@1;13136@1;13137@1;13138@1;13139@1;13140@1;13141@1;13142@1@1;13100@1</v>
      </c>
    </row>
    <row r="27" spans="3:21">
      <c r="C27" s="167">
        <v>13006</v>
      </c>
      <c r="D27" t="s">
        <v>720</v>
      </c>
      <c r="E27" t="s">
        <v>1068</v>
      </c>
      <c r="N27" t="str">
        <f t="shared" si="1"/>
        <v>13143@1;13144@1;13145@1;13146@1;13147@1;13148@1;13149@1;13150@1@1;13100@1</v>
      </c>
    </row>
    <row r="28" spans="3:21">
      <c r="C28" s="167">
        <v>13007</v>
      </c>
      <c r="D28" t="s">
        <v>722</v>
      </c>
      <c r="E28" t="s">
        <v>1069</v>
      </c>
      <c r="N28" t="str">
        <f t="shared" si="1"/>
        <v>13151@1;13152@1;13153@1;13154@1;13155@1;13156@1;13157@1@1;13100@1</v>
      </c>
    </row>
    <row r="29" spans="3:21">
      <c r="C29" s="167">
        <v>13008</v>
      </c>
      <c r="D29" t="s">
        <v>724</v>
      </c>
      <c r="E29" t="s">
        <v>1070</v>
      </c>
      <c r="N29" t="str">
        <f t="shared" si="1"/>
        <v>13158@1;13159@1;13160@1;13161@1;13162@1;13163@1;13164@1@1;13100@1</v>
      </c>
    </row>
    <row r="30" spans="3:21">
      <c r="C30" s="167">
        <v>13009</v>
      </c>
      <c r="D30" t="s">
        <v>726</v>
      </c>
      <c r="E30" t="s">
        <v>1071</v>
      </c>
      <c r="N30" t="str">
        <f t="shared" si="1"/>
        <v>13165@1;13166@1;13167@1;13168@1;13169@1;13170@1;13171@1;13172@1@1;13100@1</v>
      </c>
    </row>
    <row r="31" spans="3:21">
      <c r="C31" s="167">
        <v>13010</v>
      </c>
      <c r="D31" t="s">
        <v>728</v>
      </c>
      <c r="E31" t="s">
        <v>1072</v>
      </c>
      <c r="N31" t="str">
        <f t="shared" si="1"/>
        <v>13173@1;13174@1;13175@1;13176@1;13177@1;13178@1;13179@1;13180@1@1;13100@1</v>
      </c>
    </row>
    <row r="32" spans="3:21">
      <c r="C32" s="167">
        <v>13011</v>
      </c>
      <c r="D32" t="s">
        <v>730</v>
      </c>
      <c r="E32" t="s">
        <v>1073</v>
      </c>
      <c r="N32" t="str">
        <f t="shared" si="1"/>
        <v>13181@1;13182@1;13183@1;13184@1;13185@1;13186@1;13187@1;13188@1@1;13100@1</v>
      </c>
    </row>
    <row r="33" spans="3:14">
      <c r="C33" s="167">
        <v>13012</v>
      </c>
      <c r="D33" t="s">
        <v>732</v>
      </c>
      <c r="E33" t="s">
        <v>1074</v>
      </c>
      <c r="N33" t="str">
        <f t="shared" si="1"/>
        <v>13189@1;13190@1;13191@1;13192@1;13193@1;13194@1;13195@1;13196@1@1;13100@1</v>
      </c>
    </row>
    <row r="34" spans="3:14">
      <c r="C34" s="167">
        <v>13013</v>
      </c>
      <c r="D34" t="s">
        <v>734</v>
      </c>
      <c r="E34" t="s">
        <v>1075</v>
      </c>
      <c r="N34" t="str">
        <f t="shared" si="1"/>
        <v>13197@1;13198@1;13199@1;13200@1;13201@1;13202@1;13203@1@1;13100@1</v>
      </c>
    </row>
    <row r="35" spans="3:14">
      <c r="C35" s="167">
        <v>13014</v>
      </c>
      <c r="D35" t="s">
        <v>736</v>
      </c>
      <c r="E35" t="s">
        <v>1076</v>
      </c>
      <c r="N35" t="str">
        <f t="shared" si="1"/>
        <v>13204@1;13205@1;13206@1;13207@1;13208@1;13209@1;13210@1@1;13100@1</v>
      </c>
    </row>
    <row r="36" spans="3:14">
      <c r="C36" s="167">
        <v>13015</v>
      </c>
      <c r="D36" t="s">
        <v>742</v>
      </c>
      <c r="E36" t="s">
        <v>1062</v>
      </c>
      <c r="N36" t="str">
        <f t="shared" si="1"/>
        <v>13211@1;13212@1;13213@1;13214@1;13215@1;13216@1;13217@1;13218@1;13219@1;13220@1@1;13100@1</v>
      </c>
    </row>
    <row r="37" spans="3:14">
      <c r="C37" s="167">
        <v>13016</v>
      </c>
      <c r="D37" t="s">
        <v>744</v>
      </c>
      <c r="E37" t="s">
        <v>1063</v>
      </c>
      <c r="N37" t="str">
        <f t="shared" si="1"/>
        <v>13221@1;13222@1;13223@1;13224@1;13225@1;13226@1;13227@1;13228@1;13229@1;13230@1@1;13100@1</v>
      </c>
    </row>
    <row r="38" spans="3:14">
      <c r="C38" s="167">
        <v>13017</v>
      </c>
      <c r="D38" t="s">
        <v>738</v>
      </c>
      <c r="E38" t="s">
        <v>1229</v>
      </c>
      <c r="N38" t="str">
        <f t="shared" si="1"/>
        <v>13231@1;13232@1;13233@1;13234@1;13235@1;13236@1;13237@1@1;13100@1</v>
      </c>
    </row>
    <row r="39" spans="3:14">
      <c r="C39" s="167">
        <v>13018</v>
      </c>
      <c r="D39" t="s">
        <v>740</v>
      </c>
      <c r="E39" t="s">
        <v>1230</v>
      </c>
      <c r="N39" t="str">
        <f t="shared" si="1"/>
        <v>13238@1;13239@1;13240@1;13241@1;13242@1;13243@1;13244@1@1;13100@1</v>
      </c>
    </row>
    <row r="40" spans="3:14">
      <c r="C40" s="170">
        <v>13100</v>
      </c>
      <c r="D40" t="s">
        <v>746</v>
      </c>
    </row>
    <row r="48" spans="3:14">
      <c r="K48">
        <f>58000*25</f>
        <v>1450000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AI综述</vt:lpstr>
      <vt:lpstr>原表字段解释</vt:lpstr>
      <vt:lpstr>需求</vt:lpstr>
      <vt:lpstr>伙伴AI设计</vt:lpstr>
      <vt:lpstr>AI拆分</vt:lpstr>
      <vt:lpstr>新版AI</vt:lpstr>
      <vt:lpstr>新版AI拆分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2016-07-16T19:38:14Z</dcterms:modified>
</cp:coreProperties>
</file>