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custom-properties+xml" PartName="/docProps/custom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8140" windowHeight="13050"/>
  </bookViews>
  <sheets>
    <sheet name="测试用例" sheetId="1" r:id="rId1"/>
    <sheet name="修改内容" sheetId="2" r:id="rId2"/>
    <sheet name="第一次测试报告" sheetId="3" r:id="rId3"/>
  </sheets>
  <calcPr calcId="144525"/>
</workbook>
</file>

<file path=xl/sharedStrings.xml><?xml version="1.0" encoding="utf-8"?>
<sst xmlns="http://schemas.openxmlformats.org/spreadsheetml/2006/main" count="792">
  <si>
    <t>阵法系统测试用例</t>
  </si>
  <si>
    <t xml:space="preserve">设 计 人 : </t>
  </si>
  <si>
    <t>徐朋</t>
  </si>
  <si>
    <t>暂不处理</t>
  </si>
  <si>
    <t>主要功能分类</t>
  </si>
  <si>
    <t>测试记录</t>
  </si>
  <si>
    <t>备注</t>
  </si>
  <si>
    <t>Case总量</t>
  </si>
  <si>
    <t>设计时间 :</t>
  </si>
  <si>
    <t>2015.7.17</t>
  </si>
  <si>
    <t>需程序自测</t>
  </si>
  <si>
    <t>子功能测试序列</t>
  </si>
  <si>
    <t>测试时间</t>
  </si>
  <si>
    <t>2015.9.10</t>
  </si>
  <si>
    <t>P</t>
  </si>
  <si>
    <t>程    序 ：</t>
  </si>
  <si>
    <t>需策划评估</t>
  </si>
  <si>
    <t>测试序列分类</t>
  </si>
  <si>
    <t>测试版本</t>
  </si>
  <si>
    <t>F</t>
  </si>
  <si>
    <t>策    划 ：</t>
  </si>
  <si>
    <t>补充说明</t>
  </si>
  <si>
    <t>附录_工作检查点</t>
  </si>
  <si>
    <t>测试人员</t>
  </si>
  <si>
    <t>赵新晨</t>
  </si>
  <si>
    <t>B</t>
  </si>
  <si>
    <r>
      <rPr>
        <sz val="10"/>
        <color indexed="8"/>
        <rFont val="微软雅黑"/>
        <charset val="134"/>
      </rPr>
      <t>说明：添加或修改测试序列，请使用</t>
    </r>
    <r>
      <rPr>
        <sz val="10"/>
        <color indexed="12"/>
        <rFont val="微软雅黑"/>
        <charset val="134"/>
      </rPr>
      <t>蓝字</t>
    </r>
    <r>
      <rPr>
        <sz val="10"/>
        <color indexed="8"/>
        <rFont val="微软雅黑"/>
        <charset val="134"/>
      </rPr>
      <t>标注，有疑问的测试序列请使用</t>
    </r>
    <r>
      <rPr>
        <sz val="10"/>
        <color indexed="10"/>
        <rFont val="微软雅黑"/>
        <charset val="134"/>
      </rPr>
      <t>红字</t>
    </r>
    <r>
      <rPr>
        <sz val="10"/>
        <color indexed="8"/>
        <rFont val="微软雅黑"/>
        <charset val="134"/>
      </rPr>
      <t>标注。</t>
    </r>
  </si>
  <si>
    <t>/</t>
  </si>
  <si>
    <t>一、基本信息</t>
  </si>
  <si>
    <t>Bug</t>
  </si>
  <si>
    <t>子功能名称</t>
  </si>
  <si>
    <t>案例编号</t>
  </si>
  <si>
    <t>测试点</t>
  </si>
  <si>
    <t>测试输入序列</t>
  </si>
  <si>
    <t>预期结果</t>
  </si>
  <si>
    <t>程序自测</t>
  </si>
  <si>
    <t>策划评估</t>
  </si>
  <si>
    <r>
      <rPr>
        <sz val="10"/>
        <color indexed="8"/>
        <rFont val="微软雅黑"/>
        <charset val="134"/>
      </rPr>
      <t>测试结果(</t>
    </r>
    <r>
      <rPr>
        <sz val="10"/>
        <color indexed="12"/>
        <rFont val="微软雅黑"/>
        <charset val="134"/>
      </rPr>
      <t>P</t>
    </r>
    <r>
      <rPr>
        <sz val="10"/>
        <color indexed="8"/>
        <rFont val="微软雅黑"/>
        <charset val="134"/>
      </rPr>
      <t>/</t>
    </r>
    <r>
      <rPr>
        <sz val="10"/>
        <color indexed="10"/>
        <rFont val="微软雅黑"/>
        <charset val="134"/>
      </rPr>
      <t>F</t>
    </r>
    <r>
      <rPr>
        <sz val="10"/>
        <color indexed="8"/>
        <rFont val="微软雅黑"/>
        <charset val="134"/>
      </rPr>
      <t>)</t>
    </r>
  </si>
  <si>
    <t>阵法入口</t>
  </si>
  <si>
    <t>ZF-001</t>
  </si>
  <si>
    <t>队伍入口</t>
  </si>
  <si>
    <t>在队伍界面，检查阵法入口（未学任何阵法）</t>
  </si>
  <si>
    <t>当前阵法按钮显示“无阵法”</t>
  </si>
  <si>
    <t>ZF-002</t>
  </si>
  <si>
    <t>点击按钮，弹出阵法界面，默认选择阵法列表第一个阵法</t>
  </si>
  <si>
    <t>ZF-003</t>
  </si>
  <si>
    <t>在队伍界面，检查阵法入口（已学阵法但未开启阵法）</t>
  </si>
  <si>
    <t>ZF-004</t>
  </si>
  <si>
    <t>ZF-005</t>
  </si>
  <si>
    <t>在队伍界面，检查阵法入口（已开启阵法）</t>
  </si>
  <si>
    <t>已开启阵法时，当前按钮显示“xx阵·x级”</t>
  </si>
  <si>
    <t>ZF-006</t>
  </si>
  <si>
    <t>ZF-007</t>
  </si>
  <si>
    <t>助战入口</t>
  </si>
  <si>
    <t>在助战界面，检查阵法入口（未学任何阵法）</t>
  </si>
  <si>
    <t>ZF-008</t>
  </si>
  <si>
    <t>点击按钮，弹出提示“少侠，你目前还没有学会阵法，是否跳转至阵法界面学习阵法”，点击确认后跳转到阵法界面，默认选择第一个阵法；点击取消，返回助战界面</t>
  </si>
  <si>
    <t>无提示跳转</t>
  </si>
  <si>
    <t>ZF-009</t>
  </si>
  <si>
    <t>ZF-010</t>
  </si>
  <si>
    <t>点击按钮，弹出阵法调整界面，默认选择阵法列表第一个阵法</t>
  </si>
  <si>
    <t>ZF-011</t>
  </si>
  <si>
    <t>在助战界面，检查阵法入口（已开启阵法）</t>
  </si>
  <si>
    <t>已开启阵法时，当前按钮显示“xx阵”</t>
  </si>
  <si>
    <t>ZF-012</t>
  </si>
  <si>
    <t>点击按钮，弹出阵法调整界面，默认选中开启阵法</t>
  </si>
  <si>
    <t>阵法界面&amp;
阵法调整界面</t>
  </si>
  <si>
    <t>ZF-013</t>
  </si>
  <si>
    <t>界面状态记忆</t>
  </si>
  <si>
    <t>阵法系统界面任意选择阵法后，关闭重新打开</t>
  </si>
  <si>
    <t>仍选择为关闭前阵法</t>
  </si>
  <si>
    <t>ZF-014</t>
  </si>
  <si>
    <t>阵法调整界面任意选择阵法后，关闭重新打开</t>
  </si>
  <si>
    <t>恢复选择当前使用阵法</t>
  </si>
  <si>
    <t>ZF-015</t>
  </si>
  <si>
    <t>UI测试</t>
  </si>
  <si>
    <t>检查整体UI大小、位置、层级、标题</t>
  </si>
  <si>
    <t>大小正确、位置正确，层级正确，标题正确</t>
  </si>
  <si>
    <t>ZF-016</t>
  </si>
  <si>
    <t>整体UI适配测试（16:9、4:3、其他等）</t>
  </si>
  <si>
    <t>适配正确</t>
  </si>
  <si>
    <t>ZF-017</t>
  </si>
  <si>
    <t>控件测试</t>
  </si>
  <si>
    <t>控件布局、显示、功能均正确</t>
  </si>
  <si>
    <t>二、阵法系统</t>
  </si>
  <si>
    <t>阵法列表</t>
  </si>
  <si>
    <t>ZF-018</t>
  </si>
  <si>
    <t>列表测试（大小、位置、布局、滚动、位置记忆、阵法列显示）</t>
  </si>
  <si>
    <t>各测试项均正确</t>
  </si>
  <si>
    <t>ZF-019</t>
  </si>
  <si>
    <t>装备列表排序测试（学习状态&gt;ID）</t>
  </si>
  <si>
    <t>排序规则正确,先按学习状态排序，再按ID排序</t>
  </si>
  <si>
    <t>ZF-020</t>
  </si>
  <si>
    <t>检查阵法列表范围</t>
  </si>
  <si>
    <t>正确罗列出所有阵法</t>
  </si>
  <si>
    <t>ZF-021</t>
  </si>
  <si>
    <t>切换选择任意阵法，检查阵法界面刷新</t>
  </si>
  <si>
    <t>该阵法被高亮选中，右侧阵法信息随之刷新</t>
  </si>
  <si>
    <t>ZF-022</t>
  </si>
  <si>
    <t>阵法信息</t>
  </si>
  <si>
    <t>阵法ICON、名称检查</t>
  </si>
  <si>
    <t>所有阵法IOCN大小、位置、内容正确，名称文字格式和内容正确</t>
  </si>
  <si>
    <t>配表测试</t>
  </si>
  <si>
    <t>ZF-023</t>
  </si>
  <si>
    <t>阵法状态检查-未学习</t>
  </si>
  <si>
    <t>未学习阵法在名称下方显示“未学习”，阵法信息底板为灰</t>
  </si>
  <si>
    <t>ZF-024</t>
  </si>
  <si>
    <t>阵法状态检查-已学习</t>
  </si>
  <si>
    <t>已学习阵法在名称下方显示阵法等级，阵法信息底色为正常色；等级显示文字格式、内容正确</t>
  </si>
  <si>
    <t>ZF-025</t>
  </si>
  <si>
    <t>阵法状态检查-已学习，背包存在该阵书</t>
  </si>
  <si>
    <t>阵法等级右侧显示绿色箭头，可提升提示</t>
  </si>
  <si>
    <t>ZF-026</t>
  </si>
  <si>
    <t xml:space="preserve">阵法状态检查-开启状态 </t>
  </si>
  <si>
    <t>已开启阵法在阵法信息左上角显示已开启角标，角标位置、大小、内容正确；阵法列表中只会存在一个已开启阵法</t>
  </si>
  <si>
    <t>ZF-027</t>
  </si>
  <si>
    <t>未开启阵法不显示该角标；阵法列表中只会存在一个已开启</t>
  </si>
  <si>
    <t>阵法学习</t>
  </si>
  <si>
    <t>ZF-028</t>
  </si>
  <si>
    <t>学习UI</t>
  </si>
  <si>
    <t>任意选择未学习阵法，检查阵法学习UI</t>
  </si>
  <si>
    <t>整体UI位置、大小正确，控件布局正确，显示"学习"按钮，功能正确</t>
  </si>
  <si>
    <t>ZF-029</t>
  </si>
  <si>
    <t>任意选择未学习阵法，检查阵法信息</t>
  </si>
  <si>
    <t>阵法与所选阵法正确对应，IOCN和名称正确</t>
  </si>
  <si>
    <t>ZF-030</t>
  </si>
  <si>
    <t>任意选择未学习阵法，检查阵法学习提示信息</t>
  </si>
  <si>
    <t>无对应阵法书时，阵法名称下方有黑色字色提示文字“使用xx阵学习得“，文字格式正确</t>
  </si>
  <si>
    <t>ZF-031</t>
  </si>
  <si>
    <t>有对应技能书时，阵法名称下方有绿色字色提示文字“使用xx阵学习得“，文字格式正确</t>
  </si>
  <si>
    <t>ZF-032</t>
  </si>
  <si>
    <t>任意选择未学习阵法，检查阵法学习按钮（无阵法书）</t>
  </si>
  <si>
    <t>无对应阵法书时，点击学习按钮弹出提示框</t>
  </si>
  <si>
    <t>ZF-033</t>
  </si>
  <si>
    <t>提示框位置、大小、层级正确，控件布局正确，功能正确</t>
  </si>
  <si>
    <t>ZF-034</t>
  </si>
  <si>
    <t>提示内容文字格式正确，排版正确，内容正确”学习该阵法需要消耗一本同名阵法书“，同名阵法书字色独立</t>
  </si>
  <si>
    <t>ZF-035</t>
  </si>
  <si>
    <t>点击取消按钮，提示框关闭，返回阵法界面</t>
  </si>
  <si>
    <t>ZF-036</t>
  </si>
  <si>
    <t>点击购买按钮，提示框关闭，跳转至购买界面</t>
  </si>
  <si>
    <t>ZF-037</t>
  </si>
  <si>
    <t>关闭购买界面，返回阵法界面</t>
  </si>
  <si>
    <t>返回队伍界面</t>
  </si>
  <si>
    <t>ZF-038</t>
  </si>
  <si>
    <t>任意选择未学习阵法，检查阵法学习按钮（有阵法书）</t>
  </si>
  <si>
    <t>有阵法书时，学习按钮有小红点提示，提示位置、大小、颜色正确</t>
  </si>
  <si>
    <t>ZF-039</t>
  </si>
  <si>
    <t>点击学习按钮，开始学习流程判定</t>
  </si>
  <si>
    <t>ZF-040</t>
  </si>
  <si>
    <t>任意切换阵法</t>
  </si>
  <si>
    <t>阵法信息正确刷新</t>
  </si>
  <si>
    <t>ZF-041</t>
  </si>
  <si>
    <t>学习条件</t>
  </si>
  <si>
    <t>学习条件-阵法书（其他条件满足）</t>
  </si>
  <si>
    <t>存在阵法书时，点击学习按钮即可学习成功</t>
  </si>
  <si>
    <t>ZF-042</t>
  </si>
  <si>
    <t>不存在阵法书时，点击学习按钮弹出购买提示</t>
  </si>
  <si>
    <t>ZF-043</t>
  </si>
  <si>
    <t>学习条件-战斗状态（其他条件满足）</t>
  </si>
  <si>
    <t>战斗状态下，点击学习按钮可学习成功</t>
  </si>
  <si>
    <t>ZF-044</t>
  </si>
  <si>
    <t>非战斗状态下，点击学习按钮可学习成功</t>
  </si>
  <si>
    <t>ZF-045</t>
  </si>
  <si>
    <t>学习结果</t>
  </si>
  <si>
    <t>条件满足时，点击学习按钮学习阵法，检查结果</t>
  </si>
  <si>
    <t>阵法列表刷新，对应阵法变为已学习状态，等级为1级</t>
  </si>
  <si>
    <t>ZF-046</t>
  </si>
  <si>
    <t>对应阵法书被消耗</t>
  </si>
  <si>
    <t>ZF-047</t>
  </si>
  <si>
    <t>阵法名称变为1级xx阵</t>
  </si>
  <si>
    <t>ZF-048</t>
  </si>
  <si>
    <t>学习区域文字提示变为阵法升级经验条</t>
  </si>
  <si>
    <t>ZF-049</t>
  </si>
  <si>
    <t>学习按钮变为提升按钮，功能正确</t>
  </si>
  <si>
    <t>阵法提升</t>
  </si>
  <si>
    <t>ZF-050</t>
  </si>
  <si>
    <t>提升UI</t>
  </si>
  <si>
    <t>任意选择已学习阵法，检查阵法提升UI</t>
  </si>
  <si>
    <t>整体UI位置、大小正确，控件布局正确，显示"提升"按钮，功能正确</t>
  </si>
  <si>
    <t>ZF-051</t>
  </si>
  <si>
    <t>任意选择已学习阵法，检查阵法信息</t>
  </si>
  <si>
    <t>阵法与所选阵法正确对应，IOCN正确</t>
  </si>
  <si>
    <t>ZF-052</t>
  </si>
  <si>
    <t>阵法名称为x级xx阵，等级名称均正确</t>
  </si>
  <si>
    <t>ZF-053</t>
  </si>
  <si>
    <t>阵法经验显示格式正确，当前经验与升级经验正确，进度条显示正确</t>
  </si>
  <si>
    <t>ZF-054</t>
  </si>
  <si>
    <t>提升按钮</t>
  </si>
  <si>
    <t>任意选择已学习阵法，检查阵法提升按钮（未满级，无阵法书和阵法残卷）</t>
  </si>
  <si>
    <t>按钮可用，点击按钮弹出提示框</t>
  </si>
  <si>
    <t>无提示框，弹出阵法书选择界面</t>
  </si>
  <si>
    <t>ZF-055</t>
  </si>
  <si>
    <t>ZF-056</t>
  </si>
  <si>
    <t>提示内容文字格式正确，排版正确，内容正确”升级该阵法需要消耗阵法书或阵法残卷，使用同名阵法书可获得更多阵法经验“，升级材料字色独立</t>
  </si>
  <si>
    <t>ZF-057</t>
  </si>
  <si>
    <t>ZF-058</t>
  </si>
  <si>
    <t>ZF-059</t>
  </si>
  <si>
    <t>ZF-060</t>
  </si>
  <si>
    <t>任意选择已学习阵法，检查阵法提升按钮（未满级，无同名阵法书，有阵法残卷）</t>
  </si>
  <si>
    <t>按钮可用，点击按钮弹出选择阵法书界面</t>
  </si>
  <si>
    <t>ZF-061</t>
  </si>
  <si>
    <t>任意选择已学习阵法，检查阵法提升按钮（未满级，有同名阵法书）</t>
  </si>
  <si>
    <t>按钮可用，提升按钮右上有小红点提示，点击按钮弹出选择阵法书界面</t>
  </si>
  <si>
    <t>ZF-062</t>
  </si>
  <si>
    <t>任意选择已学习阵法，检查阵法提升按钮（满级）</t>
  </si>
  <si>
    <t>按钮置灰不可用</t>
  </si>
  <si>
    <t>ZF-063</t>
  </si>
  <si>
    <t>材料选择</t>
  </si>
  <si>
    <t>选择阵法书界面检查</t>
  </si>
  <si>
    <t>界面位置、大小、层级正确，标题正确，控件布局、功能正确</t>
  </si>
  <si>
    <t>ZF-064</t>
  </si>
  <si>
    <t>点击右上关闭按钮，界面关闭，返回阵法界面</t>
  </si>
  <si>
    <t>ZF-065</t>
  </si>
  <si>
    <t>升级提示检查</t>
  </si>
  <si>
    <t>升级提示文字位置、排版正确，文字格式正确</t>
  </si>
  <si>
    <t>ZF-066</t>
  </si>
  <si>
    <t>升级提示内容正确”同名阵法书可获得更多阵法经验“</t>
  </si>
  <si>
    <t>ZF-067</t>
  </si>
  <si>
    <t>材料列表检查-列表UI</t>
  </si>
  <si>
    <t>列表UI位置、大小、元素布局正确、控件功能正确</t>
  </si>
  <si>
    <t>ZF-068</t>
  </si>
  <si>
    <t>材料列表检查-列表内容</t>
  </si>
  <si>
    <t>材料列表读取范围为背包内所有阵法书和阵法残卷</t>
  </si>
  <si>
    <t>ZF-069</t>
  </si>
  <si>
    <t>材料排序为残卷&gt;阵法书&gt;阵法书ID</t>
  </si>
  <si>
    <t>ZF-070</t>
  </si>
  <si>
    <t>背包内阵法升级材料发生变化，材料列表正确刷新</t>
  </si>
  <si>
    <t>ZF-071</t>
  </si>
  <si>
    <t>材料列表检查-材料信息</t>
  </si>
  <si>
    <t>材料信息UI布局正确，材料ICON背景正确</t>
  </si>
  <si>
    <t>ZF-072</t>
  </si>
  <si>
    <t>材料ICON、名称正确</t>
  </si>
  <si>
    <t>ZF-073</t>
  </si>
  <si>
    <t>材料数量显示位置、格式正确，数量显示正确</t>
  </si>
  <si>
    <t>ZF-074</t>
  </si>
  <si>
    <t>阵法信息检查</t>
  </si>
  <si>
    <t>阵法信息UI位置、布局正确，控件功能正确</t>
  </si>
  <si>
    <t>ZF-075</t>
  </si>
  <si>
    <t>阵法ICON、等级名称正确</t>
  </si>
  <si>
    <t>ZF-076</t>
  </si>
  <si>
    <t>阵法当前经验、升级经验显示正确，进度条显示正确</t>
  </si>
  <si>
    <t>ZF-077</t>
  </si>
  <si>
    <t>阵法升级</t>
  </si>
  <si>
    <t>选择材料-点击材料icon（该材料未被选择，且预览升级和实际等级未达满级）</t>
  </si>
  <si>
    <t>该材料被选择数量+1，材料数量格式变为1/x</t>
  </si>
  <si>
    <t>ZF-078</t>
  </si>
  <si>
    <t>右上出现减少按钮，按钮位置、大小，内容正确</t>
  </si>
  <si>
    <t>ZF-079</t>
  </si>
  <si>
    <t>选择材料-点击材料icon（该材料已被选择，但未达最大值，且预览升级和实际等级未达满级）</t>
  </si>
  <si>
    <t>该材料被选择数量+1</t>
  </si>
  <si>
    <t>ZF-080</t>
  </si>
  <si>
    <t>选择材料-点击材料icon（该材料选择未达最大值，预览升级已达满级或实际等级未达满级）</t>
  </si>
  <si>
    <t>提示阵法已满级，无法再获得经验</t>
  </si>
  <si>
    <t>ZF-081</t>
  </si>
  <si>
    <t>选择材料-点击材料icon（该材料已被选择，且已达最大值）</t>
  </si>
  <si>
    <t>点击无反应</t>
  </si>
  <si>
    <t>ZF-082</t>
  </si>
  <si>
    <t>选择材料-点击减少按钮（已选择材料数量等于1）</t>
  </si>
  <si>
    <t>该材料被取消选择，材料数量格式恢复为未被选择时格式</t>
  </si>
  <si>
    <t>ZF-083</t>
  </si>
  <si>
    <t>右上减少按钮消失</t>
  </si>
  <si>
    <t>ZF-084</t>
  </si>
  <si>
    <t>选择材料-点击减少按钮（已选择材料数量大于1）</t>
  </si>
  <si>
    <t>该材料被选择数量-1</t>
  </si>
  <si>
    <t>ZF-085</t>
  </si>
  <si>
    <t>选择材料-同一材料连续任意增加或减少</t>
  </si>
  <si>
    <t>功能和显示正确</t>
  </si>
  <si>
    <t>ZF-086</t>
  </si>
  <si>
    <t>选择材料-不同材料连续任意增加或减少</t>
  </si>
  <si>
    <t>互不影响，功能和显示均正确</t>
  </si>
  <si>
    <t>ZF-087</t>
  </si>
  <si>
    <t>升级预览-任意选择材料，检查下方阵法升级预览（未达满级）</t>
  </si>
  <si>
    <t>下方阵法经验条显示使用所选择材料升级后的等级经验值</t>
  </si>
  <si>
    <t>ZF-088</t>
  </si>
  <si>
    <t>选择相同阵法书时，提供额外经验值正确</t>
  </si>
  <si>
    <t>ZF-089</t>
  </si>
  <si>
    <t>总体进度条进度正确；使用蓝色进度条显示所选择材料增加的经验值</t>
  </si>
  <si>
    <t>ZF-090</t>
  </si>
  <si>
    <t>减少或增加材料，升级预览刷新正确</t>
  </si>
  <si>
    <t>ZF-091</t>
  </si>
  <si>
    <t>升级条件-升级材料（其他条件满足）</t>
  </si>
  <si>
    <t>不选择升级材料，点击使用按钮，提示”你没有选择任何升级材料“，无法升级</t>
  </si>
  <si>
    <t>无提示</t>
  </si>
  <si>
    <t>ZF-092</t>
  </si>
  <si>
    <t>已选择升级材料，点击使用按钮，进入升级流程判定</t>
  </si>
  <si>
    <t>ZF-093</t>
  </si>
  <si>
    <t>升级条件-阵法等级（其他条件满足）</t>
  </si>
  <si>
    <t>阵法未达满级时，点击使用按钮，进入升级流程判定</t>
  </si>
  <si>
    <t>ZF-094</t>
  </si>
  <si>
    <t>阵法已达满级时，无法再选择添加升级材料，提示阵法已满级，无法再升级</t>
  </si>
  <si>
    <t>ZF-095</t>
  </si>
  <si>
    <t>选择任意未满级阵法，选择任意升级材料，点击使用</t>
  </si>
  <si>
    <t>升级成功，阵法获得材料提供经验值，选择阵法界面等级经验刷新正确，其他相关界面阵法等级经验随之刷新</t>
  </si>
  <si>
    <t>ZF-096</t>
  </si>
  <si>
    <t>材料被消耗，材料列表刷新，材料恢复为未被选择状态</t>
  </si>
  <si>
    <t>界面被关闭</t>
  </si>
  <si>
    <t>ZF-097</t>
  </si>
  <si>
    <t>连续升级测试</t>
  </si>
  <si>
    <t>可正常连续升级</t>
  </si>
  <si>
    <t>阵法展示</t>
  </si>
  <si>
    <t>ZF-098</t>
  </si>
  <si>
    <t>展示UI</t>
  </si>
  <si>
    <t>选择任意阵法，检查阵法展示UI</t>
  </si>
  <si>
    <t>阵法展示区位置、大小、布局正确，控件功能正常</t>
  </si>
  <si>
    <t>ZF-099</t>
  </si>
  <si>
    <t>遍历所有阵法，阵法展示不会超出边框</t>
  </si>
  <si>
    <t>ZF-100</t>
  </si>
  <si>
    <t>排布规则</t>
  </si>
  <si>
    <t>阵位排布规则（未组队）</t>
  </si>
  <si>
    <t>所有阵法1号位为玩家角色</t>
  </si>
  <si>
    <t>ZF-101</t>
  </si>
  <si>
    <t>2-5阵位按照助战界面启用阵容从左至右的顺序依次分配</t>
  </si>
  <si>
    <t>ZF-102</t>
  </si>
  <si>
    <t>阵位排布规则（已组队）</t>
  </si>
  <si>
    <t>所有阵法一号位为队长，队伍以队长在助战界面启用阵容为基础配置</t>
  </si>
  <si>
    <t>ZF-103</t>
  </si>
  <si>
    <t>2-5阵位默认排序规则为队员进入队伍的先后顺序，依次分配在2-5阵位，有队员离队后，后续阵位队员依次递补</t>
  </si>
  <si>
    <t>ZF-104</t>
  </si>
  <si>
    <t>2-5号阵位角色显示规则为队员&gt;伙伴&gt;空位，即该位置先判定有无队员，有则显示队员；没有则判定该阵容该位置有没有伙伴，有则显示伙伴，没有则显示空位</t>
  </si>
  <si>
    <t>ZF-105</t>
  </si>
  <si>
    <t>阵法排布遍历</t>
  </si>
  <si>
    <t>选择命令光环，检查阵法排布与站位</t>
  </si>
  <si>
    <t>阵法排布位置正确</t>
  </si>
  <si>
    <t>ZF-106</t>
  </si>
  <si>
    <t>阵法站位分布正确</t>
  </si>
  <si>
    <t>ZF-107</t>
  </si>
  <si>
    <t>选择专注光环，检查阵法排布与站位</t>
  </si>
  <si>
    <t>ZF-108</t>
  </si>
  <si>
    <t>ZF-109</t>
  </si>
  <si>
    <t>选择风怒光环，检查阵法排布与站位</t>
  </si>
  <si>
    <t>ZF-110</t>
  </si>
  <si>
    <t>ZF-111</t>
  </si>
  <si>
    <t>选择惩戒光环，检查阵法排布与站位</t>
  </si>
  <si>
    <t>ZF-112</t>
  </si>
  <si>
    <t>ZF-113</t>
  </si>
  <si>
    <t>选择自然光环，检查阵法排布与站位</t>
  </si>
  <si>
    <t>ZF-114</t>
  </si>
  <si>
    <t>ZF-115</t>
  </si>
  <si>
    <t>选择潮汐光环，检查阵法排布与站位</t>
  </si>
  <si>
    <t>ZF-116</t>
  </si>
  <si>
    <t>ZF-117</t>
  </si>
  <si>
    <t>选择拯救光环，检查阵法排布与站位</t>
  </si>
  <si>
    <t>ZF-118</t>
  </si>
  <si>
    <t>ZF-119</t>
  </si>
  <si>
    <t>选择迅捷光环，检查阵法排布与站位</t>
  </si>
  <si>
    <t>ZF-120</t>
  </si>
  <si>
    <t>ZF-121</t>
  </si>
  <si>
    <t>选择邪恶光环，检查阵法排布与站位</t>
  </si>
  <si>
    <t>ZF-122</t>
  </si>
  <si>
    <t>ZF-123</t>
  </si>
  <si>
    <t>选择信念光环，检查阵法排布与站位</t>
  </si>
  <si>
    <t>ZF-124</t>
  </si>
  <si>
    <t>ZF-125</t>
  </si>
  <si>
    <t>阵位展示</t>
  </si>
  <si>
    <t>检查阵位底图显示</t>
  </si>
  <si>
    <t>阵位底图显示正确</t>
  </si>
  <si>
    <t>ZF-126</t>
  </si>
  <si>
    <t>当阵位布置角色为玩家时，检查阵位显示</t>
  </si>
  <si>
    <t>玩家模型显示正确，朝向正确，呼吸动作正确</t>
  </si>
  <si>
    <t>ZF-127</t>
  </si>
  <si>
    <t>玩家左侧显示职业ICON，与玩家职业正确对应</t>
  </si>
  <si>
    <t>ZF-128</t>
  </si>
  <si>
    <t>玩家右侧显示阵位序号，序号文字显示正确</t>
  </si>
  <si>
    <t>ZF-129</t>
  </si>
  <si>
    <t>当阵位布置角色为助战伙伴时，检查阵位显示</t>
  </si>
  <si>
    <t>伙伴模型显示正确，朝向正确，呼吸动作正确</t>
  </si>
  <si>
    <t>ZF-130</t>
  </si>
  <si>
    <t>伙伴左侧显示助战类型ICON，与助战伙伴类型正确对应</t>
  </si>
  <si>
    <t>ZF-131</t>
  </si>
  <si>
    <t>助战右侧显示阵位序号，序号文字显示正确</t>
  </si>
  <si>
    <t>ZF-132</t>
  </si>
  <si>
    <t>当阵位未布置角色时，检查阵位显示</t>
  </si>
  <si>
    <t>阵位只显示底图和右侧阵位序号，序号文字显示正确</t>
  </si>
  <si>
    <t>ZF-133</t>
  </si>
  <si>
    <t>变化阵位布置，检查阵位显示刷新</t>
  </si>
  <si>
    <t>随布置内容正确刷新显示内容</t>
  </si>
  <si>
    <t>阵法效果</t>
  </si>
  <si>
    <t>ZF-134</t>
  </si>
  <si>
    <t>UI相关</t>
  </si>
  <si>
    <t>效果与相克页签检查</t>
  </si>
  <si>
    <t>页签显示位置、大小、内容正确，页签按钮功能正确</t>
  </si>
  <si>
    <t>ZF-135</t>
  </si>
  <si>
    <t>默认选择效果页签并显示效果列表，选中状态显示正确</t>
  </si>
  <si>
    <t>ZF-136</t>
  </si>
  <si>
    <t>任意切换页签，关闭界面重新打开，保存上次选择界面</t>
  </si>
  <si>
    <t>ZF-137</t>
  </si>
  <si>
    <t>效果界面检查</t>
  </si>
  <si>
    <t>界面位置、大小、布局正确，界面开关正常</t>
  </si>
  <si>
    <t>ZF-138</t>
  </si>
  <si>
    <t>效果等级选择UI</t>
  </si>
  <si>
    <t>等级选择控件显示位置、大小正确</t>
  </si>
  <si>
    <t>ZF-139</t>
  </si>
  <si>
    <t>控件布局、功能正确</t>
  </si>
  <si>
    <t>ZF-140</t>
  </si>
  <si>
    <t>效果显示列表</t>
  </si>
  <si>
    <t>列表位置、大小、列表项布局正确，控件功能正确</t>
  </si>
  <si>
    <t>ZF-141</t>
  </si>
  <si>
    <t>列表各项内布局正确，文字格式正确，控件显示正确</t>
  </si>
  <si>
    <t>ZF-142</t>
  </si>
  <si>
    <t>效果等级选择</t>
  </si>
  <si>
    <t>任意选择未学习阵法，检查默认选择等级</t>
  </si>
  <si>
    <t>默认显示1级效果</t>
  </si>
  <si>
    <t>ZF-143</t>
  </si>
  <si>
    <t>切换等级显示，关闭界面或切换阵法重新打开，等级选择恢复默认</t>
  </si>
  <si>
    <t>ZF-144</t>
  </si>
  <si>
    <t>任意选择已学习阵法，检查默认选择等级</t>
  </si>
  <si>
    <t>默认显示当前等级效果</t>
  </si>
  <si>
    <t>ZF-145</t>
  </si>
  <si>
    <t>ZF-146</t>
  </si>
  <si>
    <t>等级列表检查</t>
  </si>
  <si>
    <t>等级列表内容范围正确，文字格式正确</t>
  </si>
  <si>
    <t>ZF-147</t>
  </si>
  <si>
    <t>等级列表排序正确，一至五</t>
  </si>
  <si>
    <t>ZF-148</t>
  </si>
  <si>
    <t>已学阵法时，当前等级显示“当前效果”，不再显示"x级效果"</t>
  </si>
  <si>
    <t>ZF-149</t>
  </si>
  <si>
    <t>点击左右切换按钮进行等级选择</t>
  </si>
  <si>
    <t>选择等级=1时，左翻按钮点击无效</t>
  </si>
  <si>
    <t>ZF-150</t>
  </si>
  <si>
    <t>选择等级=5时，右翻按钮点击无效</t>
  </si>
  <si>
    <t>ZF-151</t>
  </si>
  <si>
    <t>其他情况，任意点击左右按钮，按钮可用，正确按照顺序切换等级</t>
  </si>
  <si>
    <t>ZF-152</t>
  </si>
  <si>
    <t>切换等级，下方效果列表正确刷新</t>
  </si>
  <si>
    <t>ZF-153</t>
  </si>
  <si>
    <t>效果列表</t>
  </si>
  <si>
    <t>列表显示测试</t>
  </si>
  <si>
    <t>效果列表内容范围正确，显示1-5个阵位的阵位效果</t>
  </si>
  <si>
    <t>ZF-154</t>
  </si>
  <si>
    <t>效果列表排序正确，由上至下阵位1-5排序，序号显示正确</t>
  </si>
  <si>
    <t>ZF-155</t>
  </si>
  <si>
    <t>阵位效果信息显示测试（头像）</t>
  </si>
  <si>
    <t>阵位效果信息中，当该阵位存在角色时，显示该角色头像</t>
  </si>
  <si>
    <t>ZF-156</t>
  </si>
  <si>
    <t>阵位效果信息中，当该阵位不存在角色时，头像区显示空</t>
  </si>
  <si>
    <t>ZF-157</t>
  </si>
  <si>
    <t>当角色为玩家时，头像右下显示玩家职业</t>
  </si>
  <si>
    <t>ZF-158</t>
  </si>
  <si>
    <t>当角色为伙伴时，头像右下显示伙伴类型</t>
  </si>
  <si>
    <t>ZF-159</t>
  </si>
  <si>
    <t>阵位效果信息显示测试（效果）</t>
  </si>
  <si>
    <t>阵位效果显示文字格式正确，增加数值显示绿色，降低数值显示红色</t>
  </si>
  <si>
    <t>ZF-160</t>
  </si>
  <si>
    <t>阵位效果显示文字排版正确，双属性时显示两行，单属性时显示一行并居中</t>
  </si>
  <si>
    <t>ZF-161</t>
  </si>
  <si>
    <t>阵位效果升降标记位置正确，与文字效果位置对应</t>
  </si>
  <si>
    <t>ZF-162</t>
  </si>
  <si>
    <t>阵位效果升降标记显示正确，与数值升降对应，增加时显示绿色上升箭头，下降时显示红色下降箭头</t>
  </si>
  <si>
    <t>ZF-163</t>
  </si>
  <si>
    <t>任意切换阵法，阵位效果刷新正确</t>
  </si>
  <si>
    <t>ZF-164</t>
  </si>
  <si>
    <t>选择命令光环，检查所有等级效果显示与实效</t>
  </si>
  <si>
    <t>1级阵法所有阵位效果显示正确，战斗中效果实际有效</t>
  </si>
  <si>
    <t>ZF-165</t>
  </si>
  <si>
    <t>2级阵法所有阵位效果显示正确，战斗中效果实际有效</t>
  </si>
  <si>
    <t>ZF-166</t>
  </si>
  <si>
    <t>3级阵法所有阵位效果显示正确，战斗中效果实际有效</t>
  </si>
  <si>
    <t>ZF-167</t>
  </si>
  <si>
    <t>4级阵法所有阵位效果显示正确，战斗中效果实际有效</t>
  </si>
  <si>
    <t>ZF-168</t>
  </si>
  <si>
    <t>5级阵法所有阵位效果显示正确，战斗中效果实际有效</t>
  </si>
  <si>
    <t>ZF-169</t>
  </si>
  <si>
    <t>选择专注光环，检查所有等级效果显示与实效</t>
  </si>
  <si>
    <t>ZF-170</t>
  </si>
  <si>
    <t>ZF-171</t>
  </si>
  <si>
    <t>ZF-172</t>
  </si>
  <si>
    <t>ZF-173</t>
  </si>
  <si>
    <t>ZF-174</t>
  </si>
  <si>
    <t>选择风怒光环，检查所有等级效果显示与实效</t>
  </si>
  <si>
    <t>ZF-175</t>
  </si>
  <si>
    <t>ZF-176</t>
  </si>
  <si>
    <t>ZF-177</t>
  </si>
  <si>
    <t>ZF-178</t>
  </si>
  <si>
    <t>ZF-179</t>
  </si>
  <si>
    <t>选择惩戒光环，检查所有等级效果显示与实效</t>
  </si>
  <si>
    <t>ZF-180</t>
  </si>
  <si>
    <t>ZF-181</t>
  </si>
  <si>
    <t>ZF-182</t>
  </si>
  <si>
    <t>ZF-183</t>
  </si>
  <si>
    <t>ZF-184</t>
  </si>
  <si>
    <t>选择自然光环，检查所有等级效果显示与实效</t>
  </si>
  <si>
    <t>ZF-185</t>
  </si>
  <si>
    <t>ZF-186</t>
  </si>
  <si>
    <t>ZF-187</t>
  </si>
  <si>
    <t>ZF-188</t>
  </si>
  <si>
    <t>ZF-189</t>
  </si>
  <si>
    <t>选择潮汐光环，检查所有等级效果显示与实效</t>
  </si>
  <si>
    <t>ZF-190</t>
  </si>
  <si>
    <t>ZF-191</t>
  </si>
  <si>
    <t>ZF-192</t>
  </si>
  <si>
    <t>ZF-193</t>
  </si>
  <si>
    <t>ZF-194</t>
  </si>
  <si>
    <t>选择拯救光环，检查所有等级效果显示与实效</t>
  </si>
  <si>
    <t>ZF-195</t>
  </si>
  <si>
    <t>ZF-196</t>
  </si>
  <si>
    <t>ZF-197</t>
  </si>
  <si>
    <t>ZF-198</t>
  </si>
  <si>
    <t>ZF-199</t>
  </si>
  <si>
    <t>选择迅捷光环，检查所有等级效果显示与实效</t>
  </si>
  <si>
    <t>ZF-200</t>
  </si>
  <si>
    <t>ZF-201</t>
  </si>
  <si>
    <t>ZF-202</t>
  </si>
  <si>
    <t>ZF-203</t>
  </si>
  <si>
    <t>ZF-204</t>
  </si>
  <si>
    <t>选择邪恶光环，检查所有等级效果显示与实效</t>
  </si>
  <si>
    <t>ZF-205</t>
  </si>
  <si>
    <t>ZF-206</t>
  </si>
  <si>
    <t>ZF-207</t>
  </si>
  <si>
    <t>ZF-208</t>
  </si>
  <si>
    <t>ZF-209</t>
  </si>
  <si>
    <t>选择信念光环，检查所有等级效果显示与实效</t>
  </si>
  <si>
    <t>ZF-210</t>
  </si>
  <si>
    <t>ZF-211</t>
  </si>
  <si>
    <t>ZF-212</t>
  </si>
  <si>
    <t>ZF-213</t>
  </si>
  <si>
    <t>阵法相克</t>
  </si>
  <si>
    <t>ZF-214</t>
  </si>
  <si>
    <t>相克界面</t>
  </si>
  <si>
    <t>相克界面测试</t>
  </si>
  <si>
    <t>点击相克页签，可打开阵法相克展示界面</t>
  </si>
  <si>
    <t>ZF-215</t>
  </si>
  <si>
    <t>点击效果页签，可关闭阵法相克展示界面</t>
  </si>
  <si>
    <t>ZF-216</t>
  </si>
  <si>
    <t>任意切换阵法，相克界面正确根据选择刷新</t>
  </si>
  <si>
    <t>ZF-217</t>
  </si>
  <si>
    <t>克制界面排版正确</t>
  </si>
  <si>
    <t>ZF-218</t>
  </si>
  <si>
    <t>各区域文字格式正确，克制效果绿色文字，被克制效果红色文字</t>
  </si>
  <si>
    <t>ZF-219</t>
  </si>
  <si>
    <t>选择命令光环，检查阵法相克显示与实效</t>
  </si>
  <si>
    <t>克制3%阵法IOCN和名称显示正确，战斗中有实际克制效果</t>
  </si>
  <si>
    <t>ZF-220</t>
  </si>
  <si>
    <t>克制6%阵法IOCN和名称显示正确，战斗中有实际克制效果</t>
  </si>
  <si>
    <t>ZF-221</t>
  </si>
  <si>
    <t>被克制3%阵法IOCN和名称显示正确，战斗中有实际被克制效果</t>
  </si>
  <si>
    <t>ZF-222</t>
  </si>
  <si>
    <t>被克制6%阵法IOCN和名称显示正确，战斗中有实际被克制效果</t>
  </si>
  <si>
    <t>ZF-223</t>
  </si>
  <si>
    <t>选择专注光环，检查阵法相克显示与实效</t>
  </si>
  <si>
    <t>ZF-224</t>
  </si>
  <si>
    <t>ZF-225</t>
  </si>
  <si>
    <t>ZF-226</t>
  </si>
  <si>
    <t>ZF-227</t>
  </si>
  <si>
    <t>选择风怒光环，检查阵法相克显示与实效</t>
  </si>
  <si>
    <t>ZF-228</t>
  </si>
  <si>
    <t>ZF-229</t>
  </si>
  <si>
    <t>ZF-230</t>
  </si>
  <si>
    <t>ZF-231</t>
  </si>
  <si>
    <t>选择惩戒光环，检查阵法相克显示与实效</t>
  </si>
  <si>
    <t>ZF-232</t>
  </si>
  <si>
    <t>ZF-233</t>
  </si>
  <si>
    <t>ZF-234</t>
  </si>
  <si>
    <t>ZF-235</t>
  </si>
  <si>
    <t>选择自然光环，检查阵法相克显示与实效</t>
  </si>
  <si>
    <t>ZF-236</t>
  </si>
  <si>
    <t>ZF-237</t>
  </si>
  <si>
    <t>ZF-238</t>
  </si>
  <si>
    <t>ZF-239</t>
  </si>
  <si>
    <t>选择潮汐光环，检查阵法相克显示与实效</t>
  </si>
  <si>
    <t>ZF-240</t>
  </si>
  <si>
    <t>ZF-241</t>
  </si>
  <si>
    <t>ZF-242</t>
  </si>
  <si>
    <t>ZF-243</t>
  </si>
  <si>
    <t>选择拯救光环，检查阵法相克显示与实效</t>
  </si>
  <si>
    <t>ZF-244</t>
  </si>
  <si>
    <t>ZF-245</t>
  </si>
  <si>
    <t>ZF-246</t>
  </si>
  <si>
    <t>ZF-247</t>
  </si>
  <si>
    <t>选择迅捷光环，检查阵法相克显示与实效</t>
  </si>
  <si>
    <t>ZF-248</t>
  </si>
  <si>
    <t>ZF-249</t>
  </si>
  <si>
    <t>ZF-250</t>
  </si>
  <si>
    <t>ZF-251</t>
  </si>
  <si>
    <t>选择邪恶光环，检查阵法相克显示与实效</t>
  </si>
  <si>
    <t>ZF-252</t>
  </si>
  <si>
    <t>ZF-253</t>
  </si>
  <si>
    <t>ZF-254</t>
  </si>
  <si>
    <t>ZF-255</t>
  </si>
  <si>
    <t>选择信念光环，检查阵法相克显示与实效</t>
  </si>
  <si>
    <t>ZF-256</t>
  </si>
  <si>
    <t>ZF-257</t>
  </si>
  <si>
    <t>ZF-258</t>
  </si>
  <si>
    <t>阵法使用</t>
  </si>
  <si>
    <t>ZF-259</t>
  </si>
  <si>
    <t>阵法生效归属</t>
  </si>
  <si>
    <t>当前使用的阵法开启方测试</t>
  </si>
  <si>
    <t>未组队时，阵法使用助战界面所选阵容对应阵法</t>
  </si>
  <si>
    <t>ZF-260</t>
  </si>
  <si>
    <t>组队且为队长时，阵法使用助战界面所选阵容对应阵法</t>
  </si>
  <si>
    <t>ZF-261</t>
  </si>
  <si>
    <t>组队且为队员时，阵法使用队长助战界面所选阵容对应阵法</t>
  </si>
  <si>
    <t>ZF-262</t>
  </si>
  <si>
    <t>阵法开启关闭</t>
  </si>
  <si>
    <t>阵法开关检查</t>
  </si>
  <si>
    <t>阵法开关位置、显示正确，控件功能正确</t>
  </si>
  <si>
    <t>ZF-263</t>
  </si>
  <si>
    <t>开关条件-组队状态（其他条件满足）</t>
  </si>
  <si>
    <t>组队状态下，队长可进行阵法开关操作</t>
  </si>
  <si>
    <t>ZF-264</t>
  </si>
  <si>
    <t>组队状态下，非队长不可进行阵法开关操作，提示你不是队长</t>
  </si>
  <si>
    <t>ZF-265</t>
  </si>
  <si>
    <t>非组队状态下，可进行阵法开关操作</t>
  </si>
  <si>
    <t>ZF-266</t>
  </si>
  <si>
    <t>开关条件-学习状态（其他条件满足）</t>
  </si>
  <si>
    <t>未学习的阵法，开启阵法提示“您未习得该阵法”</t>
  </si>
  <si>
    <t>ZF-267</t>
  </si>
  <si>
    <t>已学习的阵法，可进行阵法开关操作</t>
  </si>
  <si>
    <t>ZF-268</t>
  </si>
  <si>
    <t>开关条件-战斗状态（其他条件满足）</t>
  </si>
  <si>
    <t>战斗状态下，可进行阵法开关操作，但结束战斗后生效</t>
  </si>
  <si>
    <t>ZF-269</t>
  </si>
  <si>
    <t>非战斗状态，可进行阵法开关操作</t>
  </si>
  <si>
    <t>ZF-270</t>
  </si>
  <si>
    <t>阵法开启-选择未开启阵法（条件符合）</t>
  </si>
  <si>
    <t>拨动开关按钮至开启位置，可开启阵法，阵法列表中该阵法显示已开启标记</t>
  </si>
  <si>
    <t>ZF-271</t>
  </si>
  <si>
    <t>如已开启其他阵法，该阵法关闭，已开启标记消失</t>
  </si>
  <si>
    <t>ZF-272</t>
  </si>
  <si>
    <t>组队界面阵法信息刷新为新开启的阵法</t>
  </si>
  <si>
    <t>ZF-273</t>
  </si>
  <si>
    <t>助战界面已启用阵容的阵法信息刷新为新开启的阵法</t>
  </si>
  <si>
    <t>ZF-274</t>
  </si>
  <si>
    <t>再次进入战斗时，战斗阵法变更为新开启阵法，阵容信息显示新开启阵法，阵法相克使用新开启阵法计算</t>
  </si>
  <si>
    <t>ZF-275</t>
  </si>
  <si>
    <t>阵法关闭-选择已开启阵法（条件符合）</t>
  </si>
  <si>
    <t>拨动开关按钮至关闭位置，可关闭阵法，阵法列表中该阵法已开启标记消失</t>
  </si>
  <si>
    <t>ZF-276</t>
  </si>
  <si>
    <t>组队界面阵法信息刷新为无阵</t>
  </si>
  <si>
    <t>ZF-277</t>
  </si>
  <si>
    <t>助战界面已启用阵容的阵法信息刷新为无阵</t>
  </si>
  <si>
    <t>ZF-278</t>
  </si>
  <si>
    <t>再次进入战斗时，战斗阵法变更为无阵状态，阵容信息显示无阵，阵法相克按照无阵计算</t>
  </si>
  <si>
    <t>ZF-279</t>
  </si>
  <si>
    <t>条件符合时，任意切换阵法任意进行开关操作</t>
  </si>
  <si>
    <t>阵法开关功能正常工作</t>
  </si>
  <si>
    <t>ZF-280</t>
  </si>
  <si>
    <t>阵位调整</t>
  </si>
  <si>
    <t>阵位调整提示检查</t>
  </si>
  <si>
    <t>调整提示位置、文字格式正确</t>
  </si>
  <si>
    <t>ZF-281</t>
  </si>
  <si>
    <t>调整提示内容正确</t>
  </si>
  <si>
    <t>ZF-282</t>
  </si>
  <si>
    <t>调整条件-组队状态（其他条件符合）</t>
  </si>
  <si>
    <t>非组队状态下，可进行阵位调整操作</t>
  </si>
  <si>
    <t>ZF-283</t>
  </si>
  <si>
    <t>组队状态下，队长可进行阵位调整操作</t>
  </si>
  <si>
    <t>ZF-284</t>
  </si>
  <si>
    <t>组队状态下，非队长不可进行阵位调整操作，提示只有队长才能变更位置</t>
  </si>
  <si>
    <t>ZF-285</t>
  </si>
  <si>
    <t>调整条件-战斗状态（其他条件符合）</t>
  </si>
  <si>
    <t>战斗状态下，可进行阵位调整，但结束战斗后生效</t>
  </si>
  <si>
    <t>ZF-286</t>
  </si>
  <si>
    <t>非战斗状态，可进行阵位调整</t>
  </si>
  <si>
    <t>ZF-287</t>
  </si>
  <si>
    <t>调整条件-阵位位置与角色（其他条件符合）</t>
  </si>
  <si>
    <t>1号位角色无法进行阵位调整，提示队长位置不能更改</t>
  </si>
  <si>
    <t>ZF-288</t>
  </si>
  <si>
    <t>2-5号位无角色空阵位无法参与阵位调整</t>
  </si>
  <si>
    <t>ZF-289</t>
  </si>
  <si>
    <t>2-5号位同类型的阵位角色（队员、伙伴）之间可进行阵位调整</t>
  </si>
  <si>
    <t>ZF-290</t>
  </si>
  <si>
    <t>2-5号位不同类型的阵位角色（队员、伙伴）之间不可进行阵位调整</t>
  </si>
  <si>
    <t>ZF-291</t>
  </si>
  <si>
    <t>阵位调整（条件符合）</t>
  </si>
  <si>
    <t>选择阵法，点击需要调整位置的角色，角色模型上方出现调整标记</t>
  </si>
  <si>
    <t>ZF-292</t>
  </si>
  <si>
    <t>调整标记显示位置、大小正确，IOCN正确</t>
  </si>
  <si>
    <t>ZF-293</t>
  </si>
  <si>
    <t>出现调整标记后，切换阵法，调整标记消失；切换回原阵法，调整标记也消失，调整操作被打断</t>
  </si>
  <si>
    <t>ZF-294</t>
  </si>
  <si>
    <t>出现调整标记后，关闭界面重新打开，调整标记消失，调整操作被打断</t>
  </si>
  <si>
    <t>ZF-295</t>
  </si>
  <si>
    <t>出现调整标记后，点击其他可调整角色，二者交换阵位，调整标记消失，调整成功并保存配置</t>
  </si>
  <si>
    <t>ZF-296</t>
  </si>
  <si>
    <t>切换其他阵法，所有阵法中二者位置均交换</t>
  </si>
  <si>
    <t>ZF-297</t>
  </si>
  <si>
    <t>组队界面和伙伴界面均显示交换后的配置</t>
  </si>
  <si>
    <t>ZF-298</t>
  </si>
  <si>
    <t>进入战斗时，战斗阵容站位为调整后的位置，阵容效果正确</t>
  </si>
  <si>
    <t>三、阵法调整界面</t>
  </si>
  <si>
    <t>ZF-299</t>
  </si>
  <si>
    <t>ZF-300</t>
  </si>
  <si>
    <t>装备列表排序测试（ID）</t>
  </si>
  <si>
    <t>排序规则正确,按ID排序</t>
  </si>
  <si>
    <t>ZF-301</t>
  </si>
  <si>
    <t>正确罗列出所有已学阵法</t>
  </si>
  <si>
    <t>ZF-302</t>
  </si>
  <si>
    <t>ZF-303</t>
  </si>
  <si>
    <t>阵法ICON、名称、等级检查</t>
  </si>
  <si>
    <t>所有阵法IOCN大小、位置、内容正确，名称文字格式和内容正确，阵法等级显示正确</t>
  </si>
  <si>
    <t>阵法调整</t>
  </si>
  <si>
    <t>ZF-304</t>
  </si>
  <si>
    <t>阵容名称</t>
  </si>
  <si>
    <t>检查阵容名称显示</t>
  </si>
  <si>
    <t>阵容名称显示位置正确，文字格式正确，名称与选择阵容一致</t>
  </si>
  <si>
    <t>ZF-305</t>
  </si>
  <si>
    <t>通过不同阵容阵法入口打开阵容调整界面，阵容名称显示正确</t>
  </si>
  <si>
    <t>ZF-306</t>
  </si>
  <si>
    <t>ZF-307</t>
  </si>
  <si>
    <t>ZF-308</t>
  </si>
  <si>
    <t>ZF-309</t>
  </si>
  <si>
    <t>阵位布置角色类型检查</t>
  </si>
  <si>
    <t>只显示本助战阵容中的伙伴角色，跟组队状态无关系</t>
  </si>
  <si>
    <t>ZF-310</t>
  </si>
  <si>
    <t>ZF-311</t>
  </si>
  <si>
    <t>ZF-312</t>
  </si>
  <si>
    <t>ZF-313</t>
  </si>
  <si>
    <t>ZF-314</t>
  </si>
  <si>
    <t>变化阵位角色布置，检查阵位显示刷新</t>
  </si>
  <si>
    <t>随布置内容正确刷新显示</t>
  </si>
  <si>
    <t>ZF-315</t>
  </si>
  <si>
    <t>非组队状态下，可进行阵法调整操作</t>
  </si>
  <si>
    <t>ZF-316</t>
  </si>
  <si>
    <t>组队状态下，可进行阵法调整操作</t>
  </si>
  <si>
    <t>ZF-317</t>
  </si>
  <si>
    <t>战斗状态下，可进行阵法调整，但结束战斗后生效</t>
  </si>
  <si>
    <t>ZF-318</t>
  </si>
  <si>
    <t>非战斗状态，可进行阵法调整</t>
  </si>
  <si>
    <t>ZF-319</t>
  </si>
  <si>
    <t>ZF-320</t>
  </si>
  <si>
    <t>ZF-321</t>
  </si>
  <si>
    <t>2-5号位伙伴之间可进行阵位调整</t>
  </si>
  <si>
    <t>ZF-322</t>
  </si>
  <si>
    <t>选择默认阵法，点击需要调整位置的角色，角色模型上方出现调整标记</t>
  </si>
  <si>
    <t>ZF-323</t>
  </si>
  <si>
    <t>ZF-324</t>
  </si>
  <si>
    <t>ZF-325</t>
  </si>
  <si>
    <t>ZF-326</t>
  </si>
  <si>
    <t>出现调整标记后，点击其他可调整角色，二者交换阵位，调整标记消失；</t>
  </si>
  <si>
    <t>ZF-327</t>
  </si>
  <si>
    <t>位置调整成功后，切换阵法或者关闭界面均无法保存结果，调整操作被恢复</t>
  </si>
  <si>
    <t>ZF-328</t>
  </si>
  <si>
    <t>位置调整成功后，点击“保存阵法”按钮，调整界面关闭，返回助战界面，阵位调整成功，阵容中显示调整后的站位</t>
  </si>
  <si>
    <t>ZF-329</t>
  </si>
  <si>
    <t>阵法调整（条件符合）</t>
  </si>
  <si>
    <t>任意选择阵法，点击“保存按钮”，调整界面关闭，返回助战界面，阵法启用成功，阵容所用阵法更新为选择阵法</t>
  </si>
  <si>
    <t>ZF-330</t>
  </si>
  <si>
    <t>阵法和阵位同时调整测试</t>
  </si>
  <si>
    <t>二者可同时进行，可切换阵法后进行阵位调整，点击“保存阵法”按钮，调整界面关闭，新阵法启用成功，阵位调整成功</t>
  </si>
  <si>
    <t>ZF-331</t>
  </si>
  <si>
    <t>效果UI</t>
  </si>
  <si>
    <t>检查阵法效果UI</t>
  </si>
  <si>
    <t>UI位置、布局正确，文字格式、排版正确</t>
  </si>
  <si>
    <t>ZF-332</t>
  </si>
  <si>
    <t>ZF-333</t>
  </si>
  <si>
    <t>ZF-334</t>
  </si>
  <si>
    <t>ZF-335</t>
  </si>
  <si>
    <t>ZF-336</t>
  </si>
  <si>
    <t>ZF-337</t>
  </si>
  <si>
    <t>ZF-338</t>
  </si>
  <si>
    <t>切换任意等级的任意阵法，检查阵法效果数值</t>
  </si>
  <si>
    <t>所有效果和数值显示正确</t>
  </si>
  <si>
    <t>四、相关资源</t>
  </si>
  <si>
    <t>音效</t>
  </si>
  <si>
    <t>ZF-339</t>
  </si>
  <si>
    <t>界面开关音效</t>
  </si>
  <si>
    <t>检查阵法系统界面开关音效——内容（所有涉及界面打开和刷新的操作）</t>
  </si>
  <si>
    <t>界面开关音效内容正确</t>
  </si>
  <si>
    <t>ZF-340</t>
  </si>
  <si>
    <t>检查阵法系统界面开关音效——强度（所有涉及界面打开和刷新的操作）</t>
  </si>
  <si>
    <t>界面开关音效强度正确</t>
  </si>
  <si>
    <t>ZF-341</t>
  </si>
  <si>
    <t>界面操作音效</t>
  </si>
  <si>
    <t>检查阵法系统界面操作音效——内容（所有涉及界面开关以外的操作）</t>
  </si>
  <si>
    <t>界面操作音效内容正确</t>
  </si>
  <si>
    <t>ZF-342</t>
  </si>
  <si>
    <t>检查阵法系统界面开关音效——强度（所有涉及界面开关以外的操作）</t>
  </si>
  <si>
    <t>界面操作音效强度正确</t>
  </si>
  <si>
    <t>数值</t>
  </si>
  <si>
    <t>ZF-343</t>
  </si>
  <si>
    <t>阵法属性</t>
  </si>
  <si>
    <t>检查所有阵法名称</t>
  </si>
  <si>
    <t>所有阵法名称正确</t>
  </si>
  <si>
    <t>ZF-344</t>
  </si>
  <si>
    <t>检查所有阵法升级配置</t>
  </si>
  <si>
    <t>阵法升级配置正确</t>
  </si>
  <si>
    <t>ZF-345</t>
  </si>
  <si>
    <t>阵法道具</t>
  </si>
  <si>
    <t>检查所有阵法道具-名称</t>
  </si>
  <si>
    <t>阵法道具名称正确</t>
  </si>
  <si>
    <t>ZF-346</t>
  </si>
  <si>
    <t>检查所有阵法道具-提供经验值</t>
  </si>
  <si>
    <t>阵法道具提供经验值正确</t>
  </si>
  <si>
    <t>ZF-347</t>
  </si>
  <si>
    <t>检查所有阵法道具-合成配置</t>
  </si>
  <si>
    <t>合成配置正确</t>
  </si>
  <si>
    <t>修改时间</t>
  </si>
  <si>
    <t>修改人</t>
  </si>
  <si>
    <t>案例编码</t>
  </si>
  <si>
    <t>修改内容</t>
  </si>
  <si>
    <r>
      <rPr>
        <sz val="10"/>
        <rFont val="微软雅黑"/>
        <charset val="134"/>
      </rPr>
      <t>一、执行情况
Case总量 283</t>
    </r>
    <r>
      <rPr>
        <sz val="10"/>
        <color indexed="8"/>
        <rFont val="微软雅黑"/>
        <charset val="134"/>
      </rPr>
      <t xml:space="preserve">
P</t>
    </r>
    <r>
      <rPr>
        <sz val="10"/>
        <rFont val="微软雅黑"/>
        <charset val="134"/>
      </rPr>
      <t xml:space="preserve">  </t>
    </r>
    <r>
      <rPr>
        <sz val="10"/>
        <color indexed="8"/>
        <rFont val="微软雅黑"/>
        <charset val="134"/>
      </rPr>
      <t>2</t>
    </r>
    <r>
      <rPr>
        <sz val="10"/>
        <rFont val="微软雅黑"/>
        <charset val="134"/>
      </rPr>
      <t>78</t>
    </r>
    <r>
      <rPr>
        <sz val="10"/>
        <color indexed="8"/>
        <rFont val="微软雅黑"/>
        <charset val="134"/>
      </rPr>
      <t xml:space="preserve">
F</t>
    </r>
    <r>
      <rPr>
        <sz val="10"/>
        <rFont val="微软雅黑"/>
        <charset val="134"/>
      </rPr>
      <t xml:space="preserve">  5</t>
    </r>
    <r>
      <rPr>
        <sz val="10"/>
        <color indexed="8"/>
        <rFont val="微软雅黑"/>
        <charset val="134"/>
      </rPr>
      <t xml:space="preserve">
B</t>
    </r>
    <r>
      <rPr>
        <sz val="10"/>
        <rFont val="微软雅黑"/>
        <charset val="134"/>
      </rPr>
      <t xml:space="preserve">  0</t>
    </r>
    <r>
      <rPr>
        <sz val="10"/>
        <color indexed="8"/>
        <rFont val="微软雅黑"/>
        <charset val="134"/>
      </rPr>
      <t xml:space="preserve">
/</t>
    </r>
    <r>
      <rPr>
        <sz val="10"/>
        <rFont val="微软雅黑"/>
        <charset val="134"/>
      </rPr>
      <t xml:space="preserve">  0</t>
    </r>
    <r>
      <rPr>
        <sz val="10"/>
        <color indexed="8"/>
        <rFont val="微软雅黑"/>
        <charset val="134"/>
      </rPr>
      <t xml:space="preserve">
Bug</t>
    </r>
    <r>
      <rPr>
        <sz val="10"/>
        <rFont val="微软雅黑"/>
        <charset val="134"/>
      </rPr>
      <t xml:space="preserve">  4
</t>
    </r>
    <r>
      <rPr>
        <sz val="10"/>
        <color indexed="8"/>
        <rFont val="微软雅黑"/>
        <charset val="134"/>
      </rPr>
      <t xml:space="preserve">
二、系统完成度评估
已完成:</t>
    </r>
    <r>
      <rPr>
        <sz val="10"/>
        <rFont val="微软雅黑"/>
        <charset val="134"/>
      </rPr>
      <t>98.23</t>
    </r>
    <r>
      <rPr>
        <sz val="10"/>
        <color indexed="8"/>
        <rFont val="微软雅黑"/>
        <charset val="134"/>
      </rPr>
      <t>%
三、近期需要完成的功能:
无
非近期需要完成的功能:
无
四、Bug分布
功能性Bug：</t>
    </r>
    <r>
      <rPr>
        <sz val="10"/>
        <rFont val="微软雅黑"/>
        <charset val="134"/>
      </rPr>
      <t>25</t>
    </r>
    <r>
      <rPr>
        <sz val="10"/>
        <color indexed="8"/>
        <rFont val="微软雅黑"/>
        <charset val="134"/>
      </rPr>
      <t>%
界面Bug：</t>
    </r>
    <r>
      <rPr>
        <sz val="10"/>
        <rFont val="微软雅黑"/>
        <charset val="134"/>
      </rPr>
      <t>75</t>
    </r>
    <r>
      <rPr>
        <sz val="10"/>
        <color indexed="8"/>
        <rFont val="微软雅黑"/>
        <charset val="134"/>
      </rPr>
      <t>%
五、较严重的Bug
无</t>
    </r>
  </si>
</sst>
</file>

<file path=xl/styles.xml><?xml version="1.0" encoding="utf-8"?>
<styleSheet xmlns="http://schemas.openxmlformats.org/spreadsheetml/2006/main">
  <numFmts count="4">
    <numFmt numFmtId="43" formatCode="_ * #,##0.00_ ;_ * \-#,##0.00_ ;_ * &quot;-&quot;??_ ;_ @_ "/>
    <numFmt numFmtId="44" formatCode="_ &quot;￥&quot;* #,##0.00_ ;_ &quot;￥&quot;* \-#,##0.00_ ;_ &quot;￥&quot;* &quot;-&quot;??_ ;_ @_ "/>
    <numFmt numFmtId="41" formatCode="_ * #,##0_ ;_ * \-#,##0_ ;_ * &quot;-&quot;_ ;_ @_ "/>
    <numFmt numFmtId="42" formatCode="_ &quot;￥&quot;* #,##0_ ;_ &quot;￥&quot;* \-#,##0_ ;_ &quot;￥&quot;* &quot;-&quot;_ ;_ @_ "/>
  </numFmts>
  <fonts count="14">
    <font>
      <sz val="11"/>
      <color indexed="8"/>
      <name val="宋体"/>
      <charset val="134"/>
    </font>
    <font>
      <sz val="10"/>
      <color indexed="8"/>
      <name val="微软雅黑"/>
      <charset val="134"/>
    </font>
    <font>
      <sz val="10"/>
      <name val="微软雅黑"/>
      <charset val="134"/>
    </font>
    <font>
      <b/>
      <sz val="10"/>
      <name val="微软雅黑"/>
      <charset val="134"/>
    </font>
    <font>
      <sz val="14"/>
      <color indexed="8"/>
      <name val="微软雅黑"/>
      <charset val="134"/>
    </font>
    <font>
      <sz val="11"/>
      <color indexed="8"/>
      <name val="微软雅黑"/>
      <charset val="134"/>
    </font>
    <font>
      <b/>
      <sz val="14"/>
      <color indexed="8"/>
      <name val="微软雅黑"/>
      <charset val="134"/>
    </font>
    <font>
      <b/>
      <sz val="11"/>
      <name val="微软雅黑"/>
      <charset val="134"/>
    </font>
    <font>
      <sz val="10"/>
      <color indexed="12"/>
      <name val="微软雅黑"/>
      <charset val="134"/>
    </font>
    <font>
      <sz val="10"/>
      <color indexed="10"/>
      <name val="微软雅黑"/>
      <charset val="134"/>
    </font>
    <font>
      <sz val="11"/>
      <color indexed="10"/>
      <name val="微软雅黑"/>
      <charset val="134"/>
    </font>
    <font>
      <sz val="11"/>
      <name val="微软雅黑"/>
      <charset val="134"/>
    </font>
    <font>
      <b/>
      <sz val="10"/>
      <color indexed="8"/>
      <name val="微软雅黑"/>
      <charset val="134"/>
    </font>
    <font>
      <sz val="12"/>
      <name val="宋体"/>
      <charset val="134"/>
    </font>
  </fonts>
  <fills count="11">
    <fill>
      <patternFill patternType="none"/>
    </fill>
    <fill>
      <patternFill patternType="gray125"/>
    </fill>
    <fill>
      <patternFill patternType="solid">
        <fgColor indexed="55"/>
        <bgColor indexed="64"/>
      </patternFill>
    </fill>
    <fill>
      <patternFill patternType="solid">
        <fgColor indexed="44"/>
        <bgColor indexed="64"/>
      </patternFill>
    </fill>
    <fill>
      <patternFill patternType="solid">
        <fgColor indexed="11"/>
        <bgColor indexed="64"/>
      </patternFill>
    </fill>
    <fill>
      <patternFill patternType="solid">
        <fgColor indexed="42"/>
        <bgColor indexed="64"/>
      </patternFill>
    </fill>
    <fill>
      <patternFill patternType="solid">
        <fgColor indexed="46"/>
        <bgColor indexed="64"/>
      </patternFill>
    </fill>
    <fill>
      <patternFill patternType="solid">
        <fgColor indexed="51"/>
        <bgColor indexed="64"/>
      </patternFill>
    </fill>
    <fill>
      <patternFill patternType="solid">
        <fgColor indexed="13"/>
        <bgColor indexed="64"/>
      </patternFill>
    </fill>
    <fill>
      <patternFill patternType="solid">
        <fgColor indexed="47"/>
        <bgColor indexed="64"/>
      </patternFill>
    </fill>
    <fill>
      <patternFill patternType="solid">
        <fgColor indexed="50"/>
        <bgColor indexed="64"/>
      </patternFill>
    </fill>
  </fills>
  <borders count="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6">
    <xf numFmtId="0" fontId="0" fillId="0" borderId="0">
      <alignment vertical="center"/>
    </xf>
    <xf numFmtId="43" fontId="13" fillId="0" borderId="0" applyFont="0" applyFill="0" applyBorder="0" applyAlignment="0" applyProtection="0">
      <alignment vertical="center"/>
    </xf>
    <xf numFmtId="44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9" fontId="13" fillId="0" borderId="0" applyFont="0" applyFill="0" applyBorder="0" applyAlignment="0" applyProtection="0">
      <alignment vertical="center"/>
    </xf>
    <xf numFmtId="42" fontId="13" fillId="0" borderId="0" applyFont="0" applyFill="0" applyBorder="0" applyAlignment="0" applyProtection="0">
      <alignment vertical="center"/>
    </xf>
  </cellStyleXfs>
  <cellXfs count="64">
    <xf numFmtId="0" fontId="0" fillId="0" borderId="0" xfId="0">
      <alignment vertical="center"/>
    </xf>
    <xf numFmtId="0" fontId="1" fillId="0" borderId="0" xfId="0" applyFont="1">
      <alignment vertical="center"/>
    </xf>
    <xf numFmtId="0" fontId="2" fillId="0" borderId="0" xfId="0" applyFont="1" applyAlignment="1">
      <alignment horizontal="left" vertical="center" wrapText="1"/>
    </xf>
    <xf numFmtId="0" fontId="1" fillId="0" borderId="0" xfId="0" applyFont="1" applyAlignment="1">
      <alignment horizontal="left" vertical="center"/>
    </xf>
    <xf numFmtId="0" fontId="3" fillId="0" borderId="1" xfId="0" applyFont="1" applyBorder="1" applyAlignment="1">
      <alignment horizontal="center" vertical="center"/>
    </xf>
    <xf numFmtId="14" fontId="1" fillId="0" borderId="2" xfId="0" applyNumberFormat="1" applyFont="1" applyBorder="1">
      <alignment vertical="center"/>
    </xf>
    <xf numFmtId="0" fontId="2" fillId="0" borderId="2" xfId="0" applyFont="1" applyBorder="1">
      <alignment vertical="center"/>
    </xf>
    <xf numFmtId="0" fontId="2" fillId="0" borderId="2" xfId="0" applyFont="1" applyBorder="1" applyAlignment="1">
      <alignment vertical="center" wrapText="1"/>
    </xf>
    <xf numFmtId="0" fontId="2" fillId="0" borderId="2" xfId="0" applyFont="1" applyFill="1" applyBorder="1">
      <alignment vertical="center"/>
    </xf>
    <xf numFmtId="0" fontId="2" fillId="0" borderId="2" xfId="0" applyFont="1" applyFill="1" applyBorder="1" applyAlignment="1">
      <alignment vertical="center" wrapText="1"/>
    </xf>
    <xf numFmtId="14" fontId="2" fillId="0" borderId="2" xfId="0" applyNumberFormat="1" applyFont="1" applyBorder="1" applyAlignment="1">
      <alignment vertical="center"/>
    </xf>
    <xf numFmtId="0" fontId="2" fillId="0" borderId="2" xfId="0" applyFont="1" applyBorder="1" applyAlignment="1">
      <alignment vertical="center"/>
    </xf>
    <xf numFmtId="14" fontId="2" fillId="0" borderId="2" xfId="0" applyNumberFormat="1" applyFont="1" applyBorder="1">
      <alignment vertical="center"/>
    </xf>
    <xf numFmtId="0" fontId="1" fillId="0" borderId="2" xfId="0" applyFont="1" applyBorder="1">
      <alignment vertical="center"/>
    </xf>
    <xf numFmtId="0" fontId="4" fillId="0" borderId="2" xfId="0" applyFont="1" applyBorder="1">
      <alignment vertical="center"/>
    </xf>
    <xf numFmtId="0" fontId="5" fillId="0" borderId="2" xfId="0" applyFont="1" applyBorder="1">
      <alignment vertical="center"/>
    </xf>
    <xf numFmtId="0" fontId="1" fillId="0" borderId="1" xfId="0" applyFont="1" applyBorder="1">
      <alignment vertical="center"/>
    </xf>
    <xf numFmtId="0" fontId="1" fillId="0" borderId="0" xfId="0" applyFont="1" applyBorder="1">
      <alignment vertical="center"/>
    </xf>
    <xf numFmtId="0" fontId="1" fillId="0" borderId="2" xfId="0" applyFont="1" applyBorder="1" applyAlignment="1">
      <alignment horizontal="center" vertical="center"/>
    </xf>
    <xf numFmtId="0" fontId="1" fillId="0" borderId="2" xfId="0" applyFont="1" applyBorder="1" applyAlignment="1">
      <alignment vertical="center" wrapText="1"/>
    </xf>
    <xf numFmtId="0" fontId="1" fillId="0" borderId="3" xfId="0" applyFont="1" applyBorder="1">
      <alignment vertical="center"/>
    </xf>
    <xf numFmtId="0" fontId="6" fillId="0" borderId="3" xfId="0" applyFont="1" applyBorder="1" applyAlignment="1">
      <alignment horizontal="left" vertical="center"/>
    </xf>
    <xf numFmtId="0" fontId="6" fillId="0" borderId="4" xfId="0" applyFont="1" applyBorder="1" applyAlignment="1">
      <alignment horizontal="left" vertical="center"/>
    </xf>
    <xf numFmtId="0" fontId="1" fillId="0" borderId="2" xfId="0" applyFont="1" applyBorder="1" applyAlignment="1">
      <alignment vertical="center"/>
    </xf>
    <xf numFmtId="0" fontId="1" fillId="2" borderId="3" xfId="0" applyFont="1" applyFill="1" applyBorder="1" applyAlignment="1">
      <alignment horizontal="center" vertical="center" wrapText="1"/>
    </xf>
    <xf numFmtId="0" fontId="1" fillId="2" borderId="5" xfId="0" applyFont="1" applyFill="1" applyBorder="1" applyAlignment="1">
      <alignment horizontal="center" vertical="center" wrapText="1"/>
    </xf>
    <xf numFmtId="0" fontId="1" fillId="3" borderId="2" xfId="0" applyFont="1" applyFill="1" applyBorder="1" applyAlignment="1">
      <alignment horizontal="left" vertical="center" wrapText="1"/>
    </xf>
    <xf numFmtId="0" fontId="1" fillId="4" borderId="2" xfId="0" applyFont="1" applyFill="1" applyBorder="1" applyAlignment="1">
      <alignment horizontal="center" vertical="center"/>
    </xf>
    <xf numFmtId="14" fontId="1" fillId="0" borderId="2" xfId="0" applyNumberFormat="1" applyFont="1" applyBorder="1" applyAlignment="1">
      <alignment horizontal="center" vertical="center"/>
    </xf>
    <xf numFmtId="0" fontId="1" fillId="5" borderId="3" xfId="0" applyFont="1" applyFill="1" applyBorder="1" applyAlignment="1">
      <alignment horizontal="center" vertical="center" wrapText="1"/>
    </xf>
    <xf numFmtId="0" fontId="1" fillId="5" borderId="5" xfId="0" applyFont="1" applyFill="1" applyBorder="1" applyAlignment="1">
      <alignment horizontal="center" vertical="center" wrapText="1"/>
    </xf>
    <xf numFmtId="0" fontId="1" fillId="0" borderId="2" xfId="0" applyFont="1" applyFill="1" applyBorder="1" applyAlignment="1">
      <alignment horizontal="center" vertical="center"/>
    </xf>
    <xf numFmtId="49" fontId="1" fillId="0" borderId="2" xfId="0" applyNumberFormat="1" applyFont="1" applyFill="1" applyBorder="1" applyAlignment="1">
      <alignment horizontal="center" vertical="center"/>
    </xf>
    <xf numFmtId="0" fontId="1" fillId="6" borderId="3" xfId="0" applyFont="1" applyFill="1" applyBorder="1" applyAlignment="1">
      <alignment horizontal="center" vertical="center" wrapText="1"/>
    </xf>
    <xf numFmtId="0" fontId="1" fillId="6" borderId="5" xfId="0" applyFont="1" applyFill="1" applyBorder="1" applyAlignment="1">
      <alignment horizontal="center" vertical="center" wrapText="1"/>
    </xf>
    <xf numFmtId="0" fontId="1" fillId="7" borderId="3" xfId="0" applyFont="1" applyFill="1" applyBorder="1" applyAlignment="1">
      <alignment horizontal="center" vertical="center" wrapText="1"/>
    </xf>
    <xf numFmtId="0" fontId="1" fillId="7" borderId="5" xfId="0" applyFont="1" applyFill="1" applyBorder="1" applyAlignment="1">
      <alignment horizontal="center" vertical="center" wrapText="1"/>
    </xf>
    <xf numFmtId="0" fontId="1" fillId="8" borderId="2" xfId="0" applyFont="1" applyFill="1" applyBorder="1" applyAlignment="1">
      <alignment horizontal="left" vertical="center" wrapText="1"/>
    </xf>
    <xf numFmtId="0" fontId="1" fillId="9" borderId="3" xfId="0" applyFont="1" applyFill="1" applyBorder="1" applyAlignment="1">
      <alignment horizontal="left" vertical="center"/>
    </xf>
    <xf numFmtId="0" fontId="1" fillId="9" borderId="4" xfId="0" applyFont="1" applyFill="1" applyBorder="1" applyAlignment="1">
      <alignment horizontal="left" vertical="center"/>
    </xf>
    <xf numFmtId="0" fontId="7" fillId="3" borderId="1" xfId="0" applyFont="1" applyFill="1" applyBorder="1" applyAlignment="1">
      <alignment horizontal="left" vertical="center"/>
    </xf>
    <xf numFmtId="0" fontId="1" fillId="3" borderId="2" xfId="0" applyFont="1" applyFill="1" applyBorder="1" applyAlignment="1">
      <alignment vertical="center"/>
    </xf>
    <xf numFmtId="0" fontId="1" fillId="3" borderId="2" xfId="0" applyFont="1" applyFill="1" applyBorder="1" applyAlignment="1">
      <alignment horizontal="center" vertical="center"/>
    </xf>
    <xf numFmtId="0" fontId="1" fillId="3" borderId="2" xfId="0" applyFont="1" applyFill="1" applyBorder="1" applyAlignment="1">
      <alignment vertical="center" wrapText="1"/>
    </xf>
    <xf numFmtId="0" fontId="8" fillId="0" borderId="2" xfId="0" applyFont="1" applyBorder="1" applyAlignment="1">
      <alignment horizontal="center" vertical="center"/>
    </xf>
    <xf numFmtId="0" fontId="9" fillId="0" borderId="2" xfId="0" applyFont="1" applyBorder="1" applyAlignment="1">
      <alignment horizontal="center" vertical="center"/>
    </xf>
    <xf numFmtId="0" fontId="1" fillId="0" borderId="2" xfId="0" applyFont="1" applyBorder="1" applyAlignment="1">
      <alignment horizontal="center" vertical="center" wrapText="1"/>
    </xf>
    <xf numFmtId="0" fontId="7" fillId="3" borderId="2" xfId="0" applyFont="1" applyFill="1" applyBorder="1" applyAlignment="1">
      <alignment horizontal="left" vertical="center"/>
    </xf>
    <xf numFmtId="0" fontId="6" fillId="0" borderId="5" xfId="0" applyFont="1" applyBorder="1" applyAlignment="1">
      <alignment horizontal="left" vertical="center"/>
    </xf>
    <xf numFmtId="0" fontId="4" fillId="0" borderId="0" xfId="0" applyFont="1" applyBorder="1">
      <alignment vertical="center"/>
    </xf>
    <xf numFmtId="0" fontId="1" fillId="4" borderId="3" xfId="0" applyFont="1" applyFill="1" applyBorder="1" applyAlignment="1">
      <alignment horizontal="center" vertical="center"/>
    </xf>
    <xf numFmtId="0" fontId="2" fillId="10" borderId="2" xfId="0" applyFont="1" applyFill="1" applyBorder="1" applyAlignment="1" applyProtection="1">
      <alignment horizontal="center" vertical="center" wrapText="1"/>
    </xf>
    <xf numFmtId="49" fontId="1" fillId="0" borderId="3" xfId="0" applyNumberFormat="1" applyFont="1" applyBorder="1" applyAlignment="1">
      <alignment horizontal="center" vertical="center"/>
    </xf>
    <xf numFmtId="49" fontId="1" fillId="0" borderId="2" xfId="0" applyNumberFormat="1" applyFont="1" applyBorder="1" applyAlignment="1">
      <alignment horizontal="center" vertical="center"/>
    </xf>
    <xf numFmtId="0" fontId="2" fillId="0" borderId="2" xfId="0" applyFont="1" applyBorder="1" applyAlignment="1" applyProtection="1">
      <alignment vertical="center" wrapText="1"/>
    </xf>
    <xf numFmtId="0" fontId="8" fillId="0" borderId="2" xfId="0" applyFont="1" applyBorder="1">
      <alignment vertical="center"/>
    </xf>
    <xf numFmtId="0" fontId="9" fillId="0" borderId="2" xfId="0" applyFont="1" applyBorder="1">
      <alignment vertical="center"/>
    </xf>
    <xf numFmtId="0" fontId="1" fillId="9" borderId="5" xfId="0" applyFont="1" applyFill="1" applyBorder="1" applyAlignment="1">
      <alignment horizontal="left" vertical="center"/>
    </xf>
    <xf numFmtId="0" fontId="10" fillId="0" borderId="5" xfId="0" applyFont="1" applyBorder="1">
      <alignment vertical="center"/>
    </xf>
    <xf numFmtId="0" fontId="11" fillId="0" borderId="2" xfId="0" applyFont="1" applyBorder="1">
      <alignment vertical="center"/>
    </xf>
    <xf numFmtId="0" fontId="12" fillId="3" borderId="2" xfId="0" applyFont="1" applyFill="1" applyBorder="1" applyAlignment="1" applyProtection="1">
      <alignment horizontal="center" vertical="center" wrapText="1"/>
    </xf>
    <xf numFmtId="0" fontId="5" fillId="0" borderId="0" xfId="0" applyFont="1" applyBorder="1">
      <alignment vertical="center"/>
    </xf>
    <xf numFmtId="0" fontId="1" fillId="0" borderId="0" xfId="0" applyFont="1" applyBorder="1" applyAlignment="1">
      <alignment horizontal="center" vertical="center"/>
    </xf>
    <xf numFmtId="0" fontId="1" fillId="0" borderId="0" xfId="0" applyFont="1" applyBorder="1" applyAlignment="1">
      <alignment vertical="center" wrapText="1"/>
    </xf>
  </cellXfs>
  <cellStyles count="6">
    <cellStyle name="常规" xfId="0" builtinId="0"/>
    <cellStyle name="千位分隔" xfId="1" builtinId="3"/>
    <cellStyle name="货币" xfId="2" builtinId="4"/>
    <cellStyle name="千位分隔[0]" xfId="3" builtinId="6"/>
    <cellStyle name="百分比" xfId="4" builtinId="5"/>
    <cellStyle name="货币[0]" xfId="5" builtinId="7"/>
  </cellStyles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Beng" typeface="Vrinda"/>
        <a:font script="Cans" typeface="Euphemia"/>
        <a:font script="Cher" typeface="Plantagenet Cherokee"/>
        <a:font script="Deva" typeface="Mangal"/>
        <a:font script="Ethi" typeface="Nyala"/>
        <a:font script="Geor" typeface="Sylfaen"/>
        <a:font script="Gujr" typeface="Shruti"/>
        <a:font script="Guru" typeface="Raavi"/>
        <a:font script="Hang" typeface="맑은 고딕"/>
        <a:font script="Hans" typeface="宋体"/>
        <a:font script="Hant" typeface="新細明體"/>
        <a:font script="Hebr" typeface="Times New Roman"/>
        <a:font script="Jpan" typeface="ＭＳ Ｐゴシック"/>
        <a:font script="Khmr" typeface="MoolBoran"/>
        <a:font script="Knda" typeface="Tunga"/>
        <a:font script="Laoo" typeface="DokChampa"/>
        <a:font script="Mlym" typeface="Kartika"/>
        <a:font script="Mong" typeface="Mongolian Baiti"/>
        <a:font script="Orya" typeface="Kalinga"/>
        <a:font script="Sinh" typeface="Iskoola Pota"/>
        <a:font script="Syrc" typeface="Estrangelo Edessa"/>
        <a:font script="Taml" typeface="Latha"/>
        <a:font script="Telu" typeface="Gautami"/>
        <a:font script="Thaa" typeface="MV Boli"/>
        <a:font script="Thai" typeface="Tahoma"/>
        <a:font script="Tibt" typeface="Microsoft Himalaya"/>
        <a:font script="Uigh" typeface="Microsoft Uighur"/>
        <a:font script="Viet" typeface="Times New Roman"/>
        <a:font script="Yiii" typeface="Microsoft Yi Baiti"/>
      </a:majorFont>
      <a:minorFont>
        <a:latin typeface="Calibri"/>
        <a:ea typeface=""/>
        <a:cs typeface=""/>
        <a:font script="Arab" typeface="Arial"/>
        <a:font script="Beng" typeface="Vrinda"/>
        <a:font script="Cans" typeface="Euphemia"/>
        <a:font script="Cher" typeface="Plantagenet Cherokee"/>
        <a:font script="Deva" typeface="Mangal"/>
        <a:font script="Ethi" typeface="Nyala"/>
        <a:font script="Geor" typeface="Sylfaen"/>
        <a:font script="Gujr" typeface="Shruti"/>
        <a:font script="Guru" typeface="Raavi"/>
        <a:font script="Hang" typeface="맑은 고딕"/>
        <a:font script="Hans" typeface="宋体"/>
        <a:font script="Hant" typeface="新細明體"/>
        <a:font script="Hebr" typeface="Arial"/>
        <a:font script="Jpan" typeface="ＭＳ Ｐゴシック"/>
        <a:font script="Khmr" typeface="DaunPenh"/>
        <a:font script="Knda" typeface="Tunga"/>
        <a:font script="Laoo" typeface="DokChampa"/>
        <a:font script="Mlym" typeface="Kartika"/>
        <a:font script="Mong" typeface="Mongolian Baiti"/>
        <a:font script="Orya" typeface="Kalinga"/>
        <a:font script="Sinh" typeface="Iskoola Pota"/>
        <a:font script="Syrc" typeface="Estrangelo Edessa"/>
        <a:font script="Taml" typeface="Latha"/>
        <a:font script="Telu" typeface="Gautami"/>
        <a:font script="Thaa" typeface="MV Boli"/>
        <a:font script="Thai" typeface="Tahoma"/>
        <a:font script="Tibt" typeface="Microsoft Himalaya"/>
        <a:font script="Uigh" typeface="Microsoft Uighur"/>
        <a:font script="Viet" typeface="Arial"/>
        <a:font script="Yiii" typeface="Microsoft Yi Bait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atMod val="350000"/>
                <a:shade val="99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>
        <a:xfrm>
          <a:off x="0" y="0"/>
          <a:ext cx="0" cy="0"/>
        </a:xfrm>
        <a:custGeom>
          <a:avLst/>
          <a:gdLst>
            <a:gd name="_h" fmla="val 21600"/>
            <a:gd name="_w" fmla="val 21600"/>
          </a:gdLst>
          <a:ahLst/>
          <a:cxnLst/>
          <a:pathLst>
            <a:path w="21600" h="21600"/>
          </a:pathLst>
        </a:custGeom>
        <a:gradFill rotWithShape="0">
          <a:gsLst>
            <a:gs pos="0">
              <a:srgbClr val="BBD5F0"/>
            </a:gs>
            <a:gs pos="100000">
              <a:srgbClr val="9CBEE0"/>
            </a:gs>
          </a:gsLst>
          <a:lin ang="5400000" scaled="0"/>
        </a:gradFill>
        <a:ln w="15875" cap="flat" cmpd="sng" algn="ctr">
          <a:solidFill>
            <a:srgbClr val="739CC3"/>
          </a:solidFill>
          <a:prstDash val="solid"/>
          <a:miter lim="200000"/>
        </a:ln>
      </a:spPr>
      <a:bodyPr/>
      <a:lstStyle/>
    </a:sp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>
    <tabColor indexed="10"/>
  </sheetPr>
  <dimension ref="A1:HM718"/>
  <sheetViews>
    <sheetView tabSelected="1" workbookViewId="0">
      <pane ySplit="6" topLeftCell="A7" activePane="bottomLeft" state="frozen"/>
      <selection/>
      <selection pane="bottomLeft" activeCell="E16" sqref="E16"/>
    </sheetView>
  </sheetViews>
  <sheetFormatPr defaultColWidth="9" defaultRowHeight="16.5"/>
  <cols>
    <col min="1" max="1" width="10.5" style="13" customWidth="1"/>
    <col min="2" max="2" width="12.75" style="13" customWidth="1"/>
    <col min="3" max="3" width="18.375" style="18" customWidth="1"/>
    <col min="4" max="4" width="38.625" style="19" customWidth="1"/>
    <col min="5" max="5" width="43.625" style="19" customWidth="1"/>
    <col min="6" max="8" width="9" style="13"/>
    <col min="9" max="9" width="9.125" style="20" customWidth="1"/>
    <col min="10" max="10" width="9" style="13"/>
    <col min="11" max="11" width="15.625" style="19" customWidth="1"/>
    <col min="12" max="221" width="9" style="17"/>
    <col min="222" max="16384" width="9" style="13"/>
  </cols>
  <sheetData>
    <row r="1" s="14" customFormat="1" ht="21" spans="1:221">
      <c r="A1" s="21" t="s">
        <v>0</v>
      </c>
      <c r="B1" s="22"/>
      <c r="C1" s="22"/>
      <c r="D1" s="22"/>
      <c r="E1" s="22"/>
      <c r="F1" s="22"/>
      <c r="G1" s="22"/>
      <c r="H1" s="22"/>
      <c r="I1" s="22"/>
      <c r="J1" s="48"/>
      <c r="K1" s="49"/>
      <c r="L1" s="49"/>
      <c r="M1" s="49"/>
      <c r="N1" s="49"/>
      <c r="O1" s="49"/>
      <c r="P1" s="49"/>
      <c r="Q1" s="49"/>
      <c r="R1" s="49"/>
      <c r="S1" s="49"/>
      <c r="T1" s="49"/>
      <c r="U1" s="49"/>
      <c r="V1" s="49"/>
      <c r="W1" s="49"/>
      <c r="X1" s="49"/>
      <c r="Y1" s="49"/>
      <c r="Z1" s="49"/>
      <c r="AA1" s="49"/>
      <c r="AB1" s="49"/>
      <c r="AC1" s="49"/>
      <c r="AD1" s="49"/>
      <c r="AE1" s="49"/>
      <c r="AF1" s="49"/>
      <c r="AG1" s="49"/>
      <c r="AH1" s="49"/>
      <c r="AI1" s="49"/>
      <c r="AJ1" s="49"/>
      <c r="AK1" s="49"/>
      <c r="AL1" s="49"/>
      <c r="AM1" s="49"/>
      <c r="AN1" s="49"/>
      <c r="AO1" s="49"/>
      <c r="AP1" s="49"/>
      <c r="AQ1" s="49"/>
      <c r="AR1" s="49"/>
      <c r="AS1" s="49"/>
      <c r="AT1" s="49"/>
      <c r="AU1" s="49"/>
      <c r="AV1" s="49"/>
      <c r="AW1" s="49"/>
      <c r="AX1" s="49"/>
      <c r="AY1" s="49"/>
      <c r="AZ1" s="49"/>
      <c r="BA1" s="49"/>
      <c r="BB1" s="49"/>
      <c r="BC1" s="49"/>
      <c r="BD1" s="49"/>
      <c r="BE1" s="49"/>
      <c r="BF1" s="49"/>
      <c r="BG1" s="49"/>
      <c r="BH1" s="49"/>
      <c r="BI1" s="49"/>
      <c r="BJ1" s="49"/>
      <c r="BK1" s="49"/>
      <c r="BL1" s="49"/>
      <c r="BM1" s="49"/>
      <c r="BN1" s="49"/>
      <c r="BO1" s="49"/>
      <c r="BP1" s="49"/>
      <c r="BQ1" s="49"/>
      <c r="BR1" s="49"/>
      <c r="BS1" s="49"/>
      <c r="BT1" s="49"/>
      <c r="BU1" s="49"/>
      <c r="BV1" s="49"/>
      <c r="BW1" s="49"/>
      <c r="BX1" s="49"/>
      <c r="BY1" s="49"/>
      <c r="BZ1" s="49"/>
      <c r="CA1" s="49"/>
      <c r="CB1" s="49"/>
      <c r="CC1" s="49"/>
      <c r="CD1" s="49"/>
      <c r="CE1" s="49"/>
      <c r="CF1" s="49"/>
      <c r="CG1" s="49"/>
      <c r="CH1" s="49"/>
      <c r="CI1" s="49"/>
      <c r="CJ1" s="49"/>
      <c r="CK1" s="49"/>
      <c r="CL1" s="49"/>
      <c r="CM1" s="49"/>
      <c r="CN1" s="49"/>
      <c r="CO1" s="49"/>
      <c r="CP1" s="49"/>
      <c r="CQ1" s="49"/>
      <c r="CR1" s="49"/>
      <c r="CS1" s="49"/>
      <c r="CT1" s="49"/>
      <c r="CU1" s="49"/>
      <c r="CV1" s="49"/>
      <c r="CW1" s="49"/>
      <c r="CX1" s="49"/>
      <c r="CY1" s="49"/>
      <c r="CZ1" s="49"/>
      <c r="DA1" s="49"/>
      <c r="DB1" s="49"/>
      <c r="DC1" s="49"/>
      <c r="DD1" s="49"/>
      <c r="DE1" s="49"/>
      <c r="DF1" s="49"/>
      <c r="DG1" s="49"/>
      <c r="DH1" s="49"/>
      <c r="DI1" s="49"/>
      <c r="DJ1" s="49"/>
      <c r="DK1" s="49"/>
      <c r="DL1" s="49"/>
      <c r="DM1" s="49"/>
      <c r="DN1" s="49"/>
      <c r="DO1" s="49"/>
      <c r="DP1" s="49"/>
      <c r="DQ1" s="49"/>
      <c r="DR1" s="49"/>
      <c r="DS1" s="49"/>
      <c r="DT1" s="49"/>
      <c r="DU1" s="49"/>
      <c r="DV1" s="49"/>
      <c r="DW1" s="49"/>
      <c r="DX1" s="49"/>
      <c r="DY1" s="49"/>
      <c r="DZ1" s="49"/>
      <c r="EA1" s="49"/>
      <c r="EB1" s="49"/>
      <c r="EC1" s="49"/>
      <c r="ED1" s="49"/>
      <c r="EE1" s="49"/>
      <c r="EF1" s="49"/>
      <c r="EG1" s="49"/>
      <c r="EH1" s="49"/>
      <c r="EI1" s="49"/>
      <c r="EJ1" s="49"/>
      <c r="EK1" s="49"/>
      <c r="EL1" s="49"/>
      <c r="EM1" s="49"/>
      <c r="EN1" s="49"/>
      <c r="EO1" s="49"/>
      <c r="EP1" s="49"/>
      <c r="EQ1" s="49"/>
      <c r="ER1" s="49"/>
      <c r="ES1" s="49"/>
      <c r="ET1" s="49"/>
      <c r="EU1" s="49"/>
      <c r="EV1" s="49"/>
      <c r="EW1" s="49"/>
      <c r="EX1" s="49"/>
      <c r="EY1" s="49"/>
      <c r="EZ1" s="49"/>
      <c r="FA1" s="49"/>
      <c r="FB1" s="49"/>
      <c r="FC1" s="49"/>
      <c r="FD1" s="49"/>
      <c r="FE1" s="49"/>
      <c r="FF1" s="49"/>
      <c r="FG1" s="49"/>
      <c r="FH1" s="49"/>
      <c r="FI1" s="49"/>
      <c r="FJ1" s="49"/>
      <c r="FK1" s="49"/>
      <c r="FL1" s="49"/>
      <c r="FM1" s="49"/>
      <c r="FN1" s="49"/>
      <c r="FO1" s="49"/>
      <c r="FP1" s="49"/>
      <c r="FQ1" s="49"/>
      <c r="FR1" s="49"/>
      <c r="FS1" s="49"/>
      <c r="FT1" s="49"/>
      <c r="FU1" s="49"/>
      <c r="FV1" s="49"/>
      <c r="FW1" s="49"/>
      <c r="FX1" s="49"/>
      <c r="FY1" s="49"/>
      <c r="FZ1" s="49"/>
      <c r="GA1" s="49"/>
      <c r="GB1" s="49"/>
      <c r="GC1" s="49"/>
      <c r="GD1" s="49"/>
      <c r="GE1" s="49"/>
      <c r="GF1" s="49"/>
      <c r="GG1" s="49"/>
      <c r="GH1" s="49"/>
      <c r="GI1" s="49"/>
      <c r="GJ1" s="49"/>
      <c r="GK1" s="49"/>
      <c r="GL1" s="49"/>
      <c r="GM1" s="49"/>
      <c r="GN1" s="49"/>
      <c r="GO1" s="49"/>
      <c r="GP1" s="49"/>
      <c r="GQ1" s="49"/>
      <c r="GR1" s="49"/>
      <c r="GS1" s="49"/>
      <c r="GT1" s="49"/>
      <c r="GU1" s="49"/>
      <c r="GV1" s="49"/>
      <c r="GW1" s="49"/>
      <c r="GX1" s="49"/>
      <c r="GY1" s="49"/>
      <c r="GZ1" s="49"/>
      <c r="HA1" s="49"/>
      <c r="HB1" s="49"/>
      <c r="HC1" s="49"/>
      <c r="HD1" s="49"/>
      <c r="HE1" s="49"/>
      <c r="HF1" s="49"/>
      <c r="HG1" s="49"/>
      <c r="HH1" s="49"/>
      <c r="HI1" s="49"/>
      <c r="HJ1" s="49"/>
      <c r="HK1" s="49"/>
      <c r="HL1" s="49"/>
      <c r="HM1" s="49"/>
    </row>
    <row r="2" spans="1:17">
      <c r="A2" s="23" t="s">
        <v>1</v>
      </c>
      <c r="B2" s="18" t="s">
        <v>2</v>
      </c>
      <c r="C2" s="24" t="s">
        <v>3</v>
      </c>
      <c r="D2" s="25"/>
      <c r="E2" s="26" t="s">
        <v>4</v>
      </c>
      <c r="F2" s="27" t="s">
        <v>5</v>
      </c>
      <c r="G2" s="27"/>
      <c r="H2" s="27">
        <v>1</v>
      </c>
      <c r="I2" s="50">
        <v>2</v>
      </c>
      <c r="J2" s="27">
        <v>3</v>
      </c>
      <c r="K2" s="51" t="s">
        <v>6</v>
      </c>
      <c r="L2" s="6" t="s">
        <v>7</v>
      </c>
      <c r="M2" s="6">
        <f t="shared" ref="M2:Q2" si="0">SUM(M3:M6)</f>
        <v>347</v>
      </c>
      <c r="N2" s="6">
        <f>SUM(N3:N6)</f>
        <v>0</v>
      </c>
      <c r="O2" s="6">
        <f>SUM(O3:O6)</f>
        <v>0</v>
      </c>
      <c r="P2" s="6">
        <f>SUM(P3:P6)</f>
        <v>347</v>
      </c>
      <c r="Q2" s="6">
        <f>SUM(Q3:Q6)</f>
        <v>0</v>
      </c>
    </row>
    <row r="3" spans="1:17">
      <c r="A3" s="23" t="s">
        <v>8</v>
      </c>
      <c r="B3" s="28" t="s">
        <v>9</v>
      </c>
      <c r="C3" s="29" t="s">
        <v>10</v>
      </c>
      <c r="D3" s="30"/>
      <c r="E3" s="26" t="s">
        <v>11</v>
      </c>
      <c r="F3" s="31" t="s">
        <v>12</v>
      </c>
      <c r="G3" s="31"/>
      <c r="H3" s="32" t="s">
        <v>13</v>
      </c>
      <c r="I3" s="52"/>
      <c r="J3" s="53"/>
      <c r="K3" s="54"/>
      <c r="L3" s="55" t="s">
        <v>14</v>
      </c>
      <c r="M3" s="6">
        <f>COUNTIF(H:H,"P")</f>
        <v>238</v>
      </c>
      <c r="N3" s="6">
        <f>COUNTIF(I:I,"P")</f>
        <v>0</v>
      </c>
      <c r="O3" s="6">
        <f>COUNTIF(G:G,"P")</f>
        <v>0</v>
      </c>
      <c r="P3" s="6">
        <f>COUNTIF(H:H,"P")</f>
        <v>238</v>
      </c>
      <c r="Q3" s="6">
        <f>COUNTIF(I:I,"P")</f>
        <v>0</v>
      </c>
    </row>
    <row r="4" spans="1:17">
      <c r="A4" s="13" t="s">
        <v>15</v>
      </c>
      <c r="B4" s="18"/>
      <c r="C4" s="33" t="s">
        <v>16</v>
      </c>
      <c r="D4" s="34"/>
      <c r="E4" s="26" t="s">
        <v>17</v>
      </c>
      <c r="F4" s="31" t="s">
        <v>18</v>
      </c>
      <c r="G4" s="31"/>
      <c r="H4" s="32"/>
      <c r="I4" s="52"/>
      <c r="J4" s="53"/>
      <c r="K4" s="54"/>
      <c r="L4" s="56" t="s">
        <v>19</v>
      </c>
      <c r="M4" s="6">
        <f>COUNTIF(H:H,"F")</f>
        <v>10</v>
      </c>
      <c r="N4" s="6">
        <f>COUNTIF(I:I,"F")</f>
        <v>0</v>
      </c>
      <c r="O4" s="6">
        <f>COUNTIF(G:G,"F")</f>
        <v>0</v>
      </c>
      <c r="P4" s="6">
        <f>COUNTIF(H:H,"F")</f>
        <v>10</v>
      </c>
      <c r="Q4" s="6">
        <f>COUNTIF(I:I,"F")</f>
        <v>0</v>
      </c>
    </row>
    <row r="5" ht="13.5" customHeight="1" spans="1:17">
      <c r="A5" s="13" t="s">
        <v>20</v>
      </c>
      <c r="B5" s="18"/>
      <c r="C5" s="35" t="s">
        <v>21</v>
      </c>
      <c r="D5" s="36"/>
      <c r="E5" s="37" t="s">
        <v>22</v>
      </c>
      <c r="F5" s="31" t="s">
        <v>23</v>
      </c>
      <c r="G5" s="31"/>
      <c r="H5" s="32" t="s">
        <v>24</v>
      </c>
      <c r="I5" s="52"/>
      <c r="J5" s="53"/>
      <c r="K5" s="54"/>
      <c r="L5" s="6" t="s">
        <v>25</v>
      </c>
      <c r="M5" s="6">
        <f>COUNTIF(H:H,"B")</f>
        <v>99</v>
      </c>
      <c r="N5" s="6">
        <f>COUNTIF(F:F,"B")</f>
        <v>0</v>
      </c>
      <c r="O5" s="6">
        <f>COUNTIF(G:G,"B")</f>
        <v>0</v>
      </c>
      <c r="P5" s="6">
        <f>COUNTIF(H:H,"B")</f>
        <v>99</v>
      </c>
      <c r="Q5" s="6">
        <f>COUNTIF(I:I,"B")</f>
        <v>0</v>
      </c>
    </row>
    <row r="6" spans="1:17">
      <c r="A6" s="38" t="s">
        <v>26</v>
      </c>
      <c r="B6" s="39"/>
      <c r="C6" s="39"/>
      <c r="D6" s="39"/>
      <c r="E6" s="39"/>
      <c r="F6" s="39"/>
      <c r="G6" s="39"/>
      <c r="H6" s="39"/>
      <c r="I6" s="39"/>
      <c r="J6" s="39"/>
      <c r="K6" s="57"/>
      <c r="L6" s="13" t="s">
        <v>27</v>
      </c>
      <c r="M6" s="6">
        <f>COUNTIF(H:H,"/")</f>
        <v>0</v>
      </c>
      <c r="N6" s="6">
        <f>COUNTIF(F:F,"/")</f>
        <v>0</v>
      </c>
      <c r="O6" s="6">
        <f>COUNTIF(G:G,"/")</f>
        <v>0</v>
      </c>
      <c r="P6" s="6">
        <f>COUNTIF(H:H,"/")</f>
        <v>0</v>
      </c>
      <c r="Q6" s="6">
        <f>COUNTIF(I:I,"/")</f>
        <v>0</v>
      </c>
    </row>
    <row r="7" s="15" customFormat="1" spans="1:221">
      <c r="A7" s="40" t="s">
        <v>28</v>
      </c>
      <c r="B7" s="40"/>
      <c r="C7" s="40"/>
      <c r="D7" s="40"/>
      <c r="E7" s="40"/>
      <c r="F7" s="40"/>
      <c r="G7" s="40"/>
      <c r="H7" s="40"/>
      <c r="I7" s="40"/>
      <c r="J7" s="40"/>
      <c r="K7" s="40"/>
      <c r="L7" s="58" t="s">
        <v>29</v>
      </c>
      <c r="M7" s="59">
        <v>0</v>
      </c>
      <c r="N7" s="59"/>
      <c r="O7" s="59"/>
      <c r="P7" s="59"/>
      <c r="Q7" s="59"/>
      <c r="R7" s="61"/>
      <c r="S7" s="61"/>
      <c r="T7" s="61"/>
      <c r="U7" s="61"/>
      <c r="V7" s="61"/>
      <c r="W7" s="61"/>
      <c r="X7" s="61"/>
      <c r="Y7" s="61"/>
      <c r="Z7" s="61"/>
      <c r="AA7" s="61"/>
      <c r="AB7" s="61"/>
      <c r="AC7" s="61"/>
      <c r="AD7" s="61"/>
      <c r="AE7" s="61"/>
      <c r="AF7" s="61"/>
      <c r="AG7" s="61"/>
      <c r="AH7" s="61"/>
      <c r="AI7" s="61"/>
      <c r="AJ7" s="61"/>
      <c r="AK7" s="61"/>
      <c r="AL7" s="61"/>
      <c r="AM7" s="61"/>
      <c r="AN7" s="61"/>
      <c r="AO7" s="61"/>
      <c r="AP7" s="61"/>
      <c r="AQ7" s="61"/>
      <c r="AR7" s="61"/>
      <c r="AS7" s="61"/>
      <c r="AT7" s="61"/>
      <c r="AU7" s="61"/>
      <c r="AV7" s="61"/>
      <c r="AW7" s="61"/>
      <c r="AX7" s="61"/>
      <c r="AY7" s="61"/>
      <c r="AZ7" s="61"/>
      <c r="BA7" s="61"/>
      <c r="BB7" s="61"/>
      <c r="BC7" s="61"/>
      <c r="BD7" s="61"/>
      <c r="BE7" s="61"/>
      <c r="BF7" s="61"/>
      <c r="BG7" s="61"/>
      <c r="BH7" s="61"/>
      <c r="BI7" s="61"/>
      <c r="BJ7" s="61"/>
      <c r="BK7" s="61"/>
      <c r="BL7" s="61"/>
      <c r="BM7" s="61"/>
      <c r="BN7" s="61"/>
      <c r="BO7" s="61"/>
      <c r="BP7" s="61"/>
      <c r="BQ7" s="61"/>
      <c r="BR7" s="61"/>
      <c r="BS7" s="61"/>
      <c r="BT7" s="61"/>
      <c r="BU7" s="61"/>
      <c r="BV7" s="61"/>
      <c r="BW7" s="61"/>
      <c r="BX7" s="61"/>
      <c r="BY7" s="61"/>
      <c r="BZ7" s="61"/>
      <c r="CA7" s="61"/>
      <c r="CB7" s="61"/>
      <c r="CC7" s="61"/>
      <c r="CD7" s="61"/>
      <c r="CE7" s="61"/>
      <c r="CF7" s="61"/>
      <c r="CG7" s="61"/>
      <c r="CH7" s="61"/>
      <c r="CI7" s="61"/>
      <c r="CJ7" s="61"/>
      <c r="CK7" s="61"/>
      <c r="CL7" s="61"/>
      <c r="CM7" s="61"/>
      <c r="CN7" s="61"/>
      <c r="CO7" s="61"/>
      <c r="CP7" s="61"/>
      <c r="CQ7" s="61"/>
      <c r="CR7" s="61"/>
      <c r="CS7" s="61"/>
      <c r="CT7" s="61"/>
      <c r="CU7" s="61"/>
      <c r="CV7" s="61"/>
      <c r="CW7" s="61"/>
      <c r="CX7" s="61"/>
      <c r="CY7" s="61"/>
      <c r="CZ7" s="61"/>
      <c r="DA7" s="61"/>
      <c r="DB7" s="61"/>
      <c r="DC7" s="61"/>
      <c r="DD7" s="61"/>
      <c r="DE7" s="61"/>
      <c r="DF7" s="61"/>
      <c r="DG7" s="61"/>
      <c r="DH7" s="61"/>
      <c r="DI7" s="61"/>
      <c r="DJ7" s="61"/>
      <c r="DK7" s="61"/>
      <c r="DL7" s="61"/>
      <c r="DM7" s="61"/>
      <c r="DN7" s="61"/>
      <c r="DO7" s="61"/>
      <c r="DP7" s="61"/>
      <c r="DQ7" s="61"/>
      <c r="DR7" s="61"/>
      <c r="DS7" s="61"/>
      <c r="DT7" s="61"/>
      <c r="DU7" s="61"/>
      <c r="DV7" s="61"/>
      <c r="DW7" s="61"/>
      <c r="DX7" s="61"/>
      <c r="DY7" s="61"/>
      <c r="DZ7" s="61"/>
      <c r="EA7" s="61"/>
      <c r="EB7" s="61"/>
      <c r="EC7" s="61"/>
      <c r="ED7" s="61"/>
      <c r="EE7" s="61"/>
      <c r="EF7" s="61"/>
      <c r="EG7" s="61"/>
      <c r="EH7" s="61"/>
      <c r="EI7" s="61"/>
      <c r="EJ7" s="61"/>
      <c r="EK7" s="61"/>
      <c r="EL7" s="61"/>
      <c r="EM7" s="61"/>
      <c r="EN7" s="61"/>
      <c r="EO7" s="61"/>
      <c r="EP7" s="61"/>
      <c r="EQ7" s="61"/>
      <c r="ER7" s="61"/>
      <c r="ES7" s="61"/>
      <c r="ET7" s="61"/>
      <c r="EU7" s="61"/>
      <c r="EV7" s="61"/>
      <c r="EW7" s="61"/>
      <c r="EX7" s="61"/>
      <c r="EY7" s="61"/>
      <c r="EZ7" s="61"/>
      <c r="FA7" s="61"/>
      <c r="FB7" s="61"/>
      <c r="FC7" s="61"/>
      <c r="FD7" s="61"/>
      <c r="FE7" s="61"/>
      <c r="FF7" s="61"/>
      <c r="FG7" s="61"/>
      <c r="FH7" s="61"/>
      <c r="FI7" s="61"/>
      <c r="FJ7" s="61"/>
      <c r="FK7" s="61"/>
      <c r="FL7" s="61"/>
      <c r="FM7" s="61"/>
      <c r="FN7" s="61"/>
      <c r="FO7" s="61"/>
      <c r="FP7" s="61"/>
      <c r="FQ7" s="61"/>
      <c r="FR7" s="61"/>
      <c r="FS7" s="61"/>
      <c r="FT7" s="61"/>
      <c r="FU7" s="61"/>
      <c r="FV7" s="61"/>
      <c r="FW7" s="61"/>
      <c r="FX7" s="61"/>
      <c r="FY7" s="61"/>
      <c r="FZ7" s="61"/>
      <c r="GA7" s="61"/>
      <c r="GB7" s="61"/>
      <c r="GC7" s="61"/>
      <c r="GD7" s="61"/>
      <c r="GE7" s="61"/>
      <c r="GF7" s="61"/>
      <c r="GG7" s="61"/>
      <c r="GH7" s="61"/>
      <c r="GI7" s="61"/>
      <c r="GJ7" s="61"/>
      <c r="GK7" s="61"/>
      <c r="GL7" s="61"/>
      <c r="GM7" s="61"/>
      <c r="GN7" s="61"/>
      <c r="GO7" s="61"/>
      <c r="GP7" s="61"/>
      <c r="GQ7" s="61"/>
      <c r="GR7" s="61"/>
      <c r="GS7" s="61"/>
      <c r="GT7" s="61"/>
      <c r="GU7" s="61"/>
      <c r="GV7" s="61"/>
      <c r="GW7" s="61"/>
      <c r="GX7" s="61"/>
      <c r="GY7" s="61"/>
      <c r="GZ7" s="61"/>
      <c r="HA7" s="61"/>
      <c r="HB7" s="61"/>
      <c r="HC7" s="61"/>
      <c r="HD7" s="61"/>
      <c r="HE7" s="61"/>
      <c r="HF7" s="61"/>
      <c r="HG7" s="61"/>
      <c r="HH7" s="61"/>
      <c r="HI7" s="61"/>
      <c r="HJ7" s="61"/>
      <c r="HK7" s="61"/>
      <c r="HL7" s="61"/>
      <c r="HM7" s="61"/>
    </row>
    <row r="8" spans="1:11">
      <c r="A8" s="41" t="s">
        <v>30</v>
      </c>
      <c r="B8" s="42" t="s">
        <v>31</v>
      </c>
      <c r="C8" s="42" t="s">
        <v>32</v>
      </c>
      <c r="D8" s="43" t="s">
        <v>33</v>
      </c>
      <c r="E8" s="26" t="s">
        <v>34</v>
      </c>
      <c r="F8" s="42" t="s">
        <v>35</v>
      </c>
      <c r="G8" s="42" t="s">
        <v>36</v>
      </c>
      <c r="H8" s="42" t="s">
        <v>37</v>
      </c>
      <c r="I8" s="42"/>
      <c r="J8" s="42"/>
      <c r="K8" s="60" t="s">
        <v>6</v>
      </c>
    </row>
    <row r="9" spans="1:9">
      <c r="A9" s="18" t="s">
        <v>38</v>
      </c>
      <c r="B9" s="13" t="s">
        <v>39</v>
      </c>
      <c r="C9" s="18" t="s">
        <v>40</v>
      </c>
      <c r="D9" s="19" t="s">
        <v>41</v>
      </c>
      <c r="E9" s="19" t="s">
        <v>42</v>
      </c>
      <c r="H9" s="44" t="s">
        <v>14</v>
      </c>
      <c r="I9" s="13"/>
    </row>
    <row r="10" spans="1:9">
      <c r="A10" s="18"/>
      <c r="B10" s="13" t="s">
        <v>43</v>
      </c>
      <c r="E10" s="19" t="s">
        <v>44</v>
      </c>
      <c r="H10" s="44" t="s">
        <v>14</v>
      </c>
      <c r="I10" s="13"/>
    </row>
    <row r="11" spans="1:9">
      <c r="A11" s="18"/>
      <c r="B11" s="13" t="s">
        <v>45</v>
      </c>
      <c r="D11" s="19" t="s">
        <v>46</v>
      </c>
      <c r="E11" s="19" t="s">
        <v>42</v>
      </c>
      <c r="H11" s="44" t="s">
        <v>14</v>
      </c>
      <c r="I11" s="13"/>
    </row>
    <row r="12" spans="1:9">
      <c r="A12" s="18"/>
      <c r="B12" s="13" t="s">
        <v>47</v>
      </c>
      <c r="E12" s="19" t="s">
        <v>44</v>
      </c>
      <c r="H12" s="44" t="s">
        <v>14</v>
      </c>
      <c r="I12" s="13"/>
    </row>
    <row r="13" spans="1:9">
      <c r="A13" s="18"/>
      <c r="B13" s="13" t="s">
        <v>48</v>
      </c>
      <c r="D13" s="19" t="s">
        <v>49</v>
      </c>
      <c r="E13" s="19" t="s">
        <v>50</v>
      </c>
      <c r="H13" s="44" t="s">
        <v>14</v>
      </c>
      <c r="I13" s="13"/>
    </row>
    <row r="14" spans="1:9">
      <c r="A14" s="18"/>
      <c r="B14" s="13" t="s">
        <v>51</v>
      </c>
      <c r="E14" s="19" t="s">
        <v>44</v>
      </c>
      <c r="H14" s="44" t="s">
        <v>14</v>
      </c>
      <c r="I14" s="13"/>
    </row>
    <row r="15" spans="1:9">
      <c r="A15" s="18"/>
      <c r="B15" s="13" t="s">
        <v>52</v>
      </c>
      <c r="C15" s="18" t="s">
        <v>53</v>
      </c>
      <c r="D15" s="19" t="s">
        <v>54</v>
      </c>
      <c r="E15" s="19" t="s">
        <v>42</v>
      </c>
      <c r="H15" s="44" t="s">
        <v>14</v>
      </c>
      <c r="I15" s="13"/>
    </row>
    <row r="16" ht="49.5" spans="1:11">
      <c r="A16" s="18"/>
      <c r="B16" s="13" t="s">
        <v>55</v>
      </c>
      <c r="E16" s="19" t="s">
        <v>56</v>
      </c>
      <c r="H16" s="45" t="s">
        <v>19</v>
      </c>
      <c r="I16" s="13"/>
      <c r="K16" s="19" t="s">
        <v>57</v>
      </c>
    </row>
    <row r="17" spans="1:9">
      <c r="A17" s="18"/>
      <c r="B17" s="13" t="s">
        <v>58</v>
      </c>
      <c r="D17" s="19" t="s">
        <v>46</v>
      </c>
      <c r="E17" s="19" t="s">
        <v>42</v>
      </c>
      <c r="H17" s="44" t="s">
        <v>14</v>
      </c>
      <c r="I17" s="13"/>
    </row>
    <row r="18" ht="33" spans="1:9">
      <c r="A18" s="18"/>
      <c r="B18" s="13" t="s">
        <v>59</v>
      </c>
      <c r="E18" s="19" t="s">
        <v>60</v>
      </c>
      <c r="H18" s="44" t="s">
        <v>14</v>
      </c>
      <c r="I18" s="13"/>
    </row>
    <row r="19" spans="1:9">
      <c r="A19" s="18"/>
      <c r="B19" s="13" t="s">
        <v>61</v>
      </c>
      <c r="D19" s="19" t="s">
        <v>62</v>
      </c>
      <c r="E19" s="19" t="s">
        <v>63</v>
      </c>
      <c r="H19" s="44" t="s">
        <v>14</v>
      </c>
      <c r="I19" s="13"/>
    </row>
    <row r="20" spans="1:9">
      <c r="A20" s="18"/>
      <c r="B20" s="13" t="s">
        <v>64</v>
      </c>
      <c r="E20" s="19" t="s">
        <v>65</v>
      </c>
      <c r="H20" s="44" t="s">
        <v>14</v>
      </c>
      <c r="I20" s="13"/>
    </row>
    <row r="21" spans="1:9">
      <c r="A21" s="46" t="s">
        <v>66</v>
      </c>
      <c r="B21" s="13" t="s">
        <v>67</v>
      </c>
      <c r="C21" s="18" t="s">
        <v>68</v>
      </c>
      <c r="D21" s="19" t="s">
        <v>69</v>
      </c>
      <c r="E21" s="19" t="s">
        <v>70</v>
      </c>
      <c r="H21" s="44" t="s">
        <v>14</v>
      </c>
      <c r="I21" s="13"/>
    </row>
    <row r="22" spans="1:9">
      <c r="A22" s="18"/>
      <c r="B22" s="13" t="s">
        <v>71</v>
      </c>
      <c r="D22" s="19" t="s">
        <v>72</v>
      </c>
      <c r="E22" s="19" t="s">
        <v>73</v>
      </c>
      <c r="H22" s="44" t="s">
        <v>14</v>
      </c>
      <c r="I22" s="13"/>
    </row>
    <row r="23" spans="1:9">
      <c r="A23" s="18"/>
      <c r="B23" s="13" t="s">
        <v>74</v>
      </c>
      <c r="C23" s="18" t="s">
        <v>75</v>
      </c>
      <c r="D23" s="19" t="s">
        <v>76</v>
      </c>
      <c r="E23" s="19" t="s">
        <v>77</v>
      </c>
      <c r="H23" s="44" t="s">
        <v>14</v>
      </c>
      <c r="I23" s="13"/>
    </row>
    <row r="24" spans="1:9">
      <c r="A24" s="18"/>
      <c r="B24" s="13" t="s">
        <v>78</v>
      </c>
      <c r="D24" s="19" t="s">
        <v>79</v>
      </c>
      <c r="E24" s="19" t="s">
        <v>80</v>
      </c>
      <c r="H24" s="44" t="s">
        <v>14</v>
      </c>
      <c r="I24" s="13"/>
    </row>
    <row r="25" spans="1:9">
      <c r="A25" s="18"/>
      <c r="B25" s="13" t="s">
        <v>81</v>
      </c>
      <c r="D25" s="19" t="s">
        <v>82</v>
      </c>
      <c r="E25" s="19" t="s">
        <v>83</v>
      </c>
      <c r="H25" s="44" t="s">
        <v>14</v>
      </c>
      <c r="I25" s="13"/>
    </row>
    <row r="26" ht="15" spans="1:11">
      <c r="A26" s="47" t="s">
        <v>84</v>
      </c>
      <c r="B26" s="47"/>
      <c r="C26" s="47"/>
      <c r="D26" s="47"/>
      <c r="E26" s="47"/>
      <c r="F26" s="47"/>
      <c r="G26" s="47"/>
      <c r="H26" s="47"/>
      <c r="I26" s="47"/>
      <c r="J26" s="47"/>
      <c r="K26" s="47"/>
    </row>
    <row r="27" spans="1:11">
      <c r="A27" s="41" t="s">
        <v>30</v>
      </c>
      <c r="B27" s="42" t="s">
        <v>31</v>
      </c>
      <c r="C27" s="42" t="s">
        <v>32</v>
      </c>
      <c r="D27" s="43" t="s">
        <v>33</v>
      </c>
      <c r="E27" s="26" t="s">
        <v>34</v>
      </c>
      <c r="F27" s="42" t="s">
        <v>35</v>
      </c>
      <c r="G27" s="42" t="s">
        <v>36</v>
      </c>
      <c r="H27" s="42" t="s">
        <v>37</v>
      </c>
      <c r="I27" s="42"/>
      <c r="J27" s="42"/>
      <c r="K27" s="60" t="s">
        <v>6</v>
      </c>
    </row>
    <row r="28" ht="33" spans="1:9">
      <c r="A28" s="18" t="s">
        <v>85</v>
      </c>
      <c r="B28" s="13" t="s">
        <v>86</v>
      </c>
      <c r="C28" s="18" t="s">
        <v>85</v>
      </c>
      <c r="D28" s="19" t="s">
        <v>87</v>
      </c>
      <c r="E28" s="19" t="s">
        <v>88</v>
      </c>
      <c r="H28" s="44" t="s">
        <v>14</v>
      </c>
      <c r="I28" s="13"/>
    </row>
    <row r="29" spans="1:9">
      <c r="A29" s="18"/>
      <c r="B29" s="13" t="s">
        <v>89</v>
      </c>
      <c r="D29" s="19" t="s">
        <v>90</v>
      </c>
      <c r="E29" s="19" t="s">
        <v>91</v>
      </c>
      <c r="H29" s="44" t="s">
        <v>14</v>
      </c>
      <c r="I29" s="13"/>
    </row>
    <row r="30" spans="1:9">
      <c r="A30" s="18"/>
      <c r="B30" s="13" t="s">
        <v>92</v>
      </c>
      <c r="D30" s="19" t="s">
        <v>93</v>
      </c>
      <c r="E30" s="19" t="s">
        <v>94</v>
      </c>
      <c r="H30" s="44" t="s">
        <v>14</v>
      </c>
      <c r="I30" s="13"/>
    </row>
    <row r="31" spans="1:9">
      <c r="A31" s="18"/>
      <c r="B31" s="13" t="s">
        <v>95</v>
      </c>
      <c r="D31" s="19" t="s">
        <v>96</v>
      </c>
      <c r="E31" s="19" t="s">
        <v>97</v>
      </c>
      <c r="H31" s="44" t="s">
        <v>14</v>
      </c>
      <c r="I31" s="13"/>
    </row>
    <row r="32" ht="33" spans="1:9">
      <c r="A32" s="18"/>
      <c r="B32" s="13" t="s">
        <v>98</v>
      </c>
      <c r="C32" s="18" t="s">
        <v>99</v>
      </c>
      <c r="D32" s="19" t="s">
        <v>100</v>
      </c>
      <c r="E32" s="19" t="s">
        <v>101</v>
      </c>
      <c r="F32" s="13" t="s">
        <v>102</v>
      </c>
      <c r="H32" s="44" t="s">
        <v>14</v>
      </c>
      <c r="I32" s="13"/>
    </row>
    <row r="33" spans="1:9">
      <c r="A33" s="18"/>
      <c r="B33" s="13" t="s">
        <v>103</v>
      </c>
      <c r="D33" s="19" t="s">
        <v>104</v>
      </c>
      <c r="E33" s="19" t="s">
        <v>105</v>
      </c>
      <c r="H33" s="44" t="s">
        <v>14</v>
      </c>
      <c r="I33" s="13"/>
    </row>
    <row r="34" ht="33" spans="1:9">
      <c r="A34" s="18"/>
      <c r="B34" s="13" t="s">
        <v>106</v>
      </c>
      <c r="D34" s="19" t="s">
        <v>107</v>
      </c>
      <c r="E34" s="19" t="s">
        <v>108</v>
      </c>
      <c r="H34" s="44" t="s">
        <v>14</v>
      </c>
      <c r="I34" s="13"/>
    </row>
    <row r="35" spans="1:9">
      <c r="A35" s="18"/>
      <c r="B35" s="13" t="s">
        <v>109</v>
      </c>
      <c r="D35" s="19" t="s">
        <v>110</v>
      </c>
      <c r="E35" s="19" t="s">
        <v>111</v>
      </c>
      <c r="H35" s="44" t="s">
        <v>14</v>
      </c>
      <c r="I35" s="13"/>
    </row>
    <row r="36" ht="33" spans="1:9">
      <c r="A36" s="18"/>
      <c r="B36" s="13" t="s">
        <v>112</v>
      </c>
      <c r="D36" s="19" t="s">
        <v>113</v>
      </c>
      <c r="E36" s="19" t="s">
        <v>114</v>
      </c>
      <c r="H36" s="44" t="s">
        <v>14</v>
      </c>
      <c r="I36" s="13"/>
    </row>
    <row r="37" spans="1:9">
      <c r="A37" s="18"/>
      <c r="B37" s="13" t="s">
        <v>115</v>
      </c>
      <c r="E37" s="19" t="s">
        <v>116</v>
      </c>
      <c r="H37" s="44" t="s">
        <v>14</v>
      </c>
      <c r="I37" s="13"/>
    </row>
    <row r="38" ht="33" spans="1:9">
      <c r="A38" s="46" t="s">
        <v>117</v>
      </c>
      <c r="B38" s="13" t="s">
        <v>118</v>
      </c>
      <c r="C38" s="18" t="s">
        <v>119</v>
      </c>
      <c r="D38" s="19" t="s">
        <v>120</v>
      </c>
      <c r="E38" s="19" t="s">
        <v>121</v>
      </c>
      <c r="H38" s="44" t="s">
        <v>14</v>
      </c>
      <c r="I38" s="13"/>
    </row>
    <row r="39" spans="1:9">
      <c r="A39" s="46"/>
      <c r="B39" s="13" t="s">
        <v>122</v>
      </c>
      <c r="D39" s="19" t="s">
        <v>123</v>
      </c>
      <c r="E39" s="19" t="s">
        <v>124</v>
      </c>
      <c r="H39" s="44" t="s">
        <v>14</v>
      </c>
      <c r="I39" s="13"/>
    </row>
    <row r="40" ht="33" spans="1:9">
      <c r="A40" s="46"/>
      <c r="B40" s="13" t="s">
        <v>125</v>
      </c>
      <c r="D40" s="19" t="s">
        <v>126</v>
      </c>
      <c r="E40" s="19" t="s">
        <v>127</v>
      </c>
      <c r="H40" s="44" t="s">
        <v>14</v>
      </c>
      <c r="I40" s="13"/>
    </row>
    <row r="41" ht="33" spans="1:9">
      <c r="A41" s="46"/>
      <c r="B41" s="13" t="s">
        <v>128</v>
      </c>
      <c r="E41" s="19" t="s">
        <v>129</v>
      </c>
      <c r="H41" s="44" t="s">
        <v>14</v>
      </c>
      <c r="I41" s="13"/>
    </row>
    <row r="42" spans="1:9">
      <c r="A42" s="46"/>
      <c r="B42" s="13" t="s">
        <v>130</v>
      </c>
      <c r="D42" s="19" t="s">
        <v>131</v>
      </c>
      <c r="E42" s="19" t="s">
        <v>132</v>
      </c>
      <c r="H42" s="44" t="s">
        <v>14</v>
      </c>
      <c r="I42" s="13"/>
    </row>
    <row r="43" spans="1:9">
      <c r="A43" s="46"/>
      <c r="B43" s="13" t="s">
        <v>133</v>
      </c>
      <c r="E43" s="19" t="s">
        <v>134</v>
      </c>
      <c r="H43" s="44" t="s">
        <v>14</v>
      </c>
      <c r="I43" s="13"/>
    </row>
    <row r="44" ht="33" spans="1:9">
      <c r="A44" s="46"/>
      <c r="B44" s="13" t="s">
        <v>135</v>
      </c>
      <c r="E44" s="19" t="s">
        <v>136</v>
      </c>
      <c r="H44" s="44" t="s">
        <v>14</v>
      </c>
      <c r="I44" s="13"/>
    </row>
    <row r="45" spans="1:9">
      <c r="A45" s="46"/>
      <c r="B45" s="13" t="s">
        <v>137</v>
      </c>
      <c r="E45" s="19" t="s">
        <v>138</v>
      </c>
      <c r="H45" s="44" t="s">
        <v>14</v>
      </c>
      <c r="I45" s="13"/>
    </row>
    <row r="46" spans="1:9">
      <c r="A46" s="46"/>
      <c r="B46" s="13" t="s">
        <v>139</v>
      </c>
      <c r="E46" s="19" t="s">
        <v>140</v>
      </c>
      <c r="H46" s="44" t="s">
        <v>14</v>
      </c>
      <c r="I46" s="13"/>
    </row>
    <row r="47" spans="1:11">
      <c r="A47" s="46"/>
      <c r="B47" s="13" t="s">
        <v>141</v>
      </c>
      <c r="E47" s="19" t="s">
        <v>142</v>
      </c>
      <c r="H47" s="45" t="s">
        <v>19</v>
      </c>
      <c r="I47" s="13"/>
      <c r="K47" s="19" t="s">
        <v>143</v>
      </c>
    </row>
    <row r="48" ht="33" spans="1:9">
      <c r="A48" s="46"/>
      <c r="B48" s="13" t="s">
        <v>144</v>
      </c>
      <c r="D48" s="19" t="s">
        <v>145</v>
      </c>
      <c r="E48" s="19" t="s">
        <v>146</v>
      </c>
      <c r="H48" s="44" t="s">
        <v>14</v>
      </c>
      <c r="I48" s="13"/>
    </row>
    <row r="49" spans="1:9">
      <c r="A49" s="46"/>
      <c r="B49" s="13" t="s">
        <v>147</v>
      </c>
      <c r="E49" s="19" t="s">
        <v>148</v>
      </c>
      <c r="H49" s="44" t="s">
        <v>14</v>
      </c>
      <c r="I49" s="13"/>
    </row>
    <row r="50" spans="1:9">
      <c r="A50" s="46"/>
      <c r="B50" s="13" t="s">
        <v>149</v>
      </c>
      <c r="D50" s="19" t="s">
        <v>150</v>
      </c>
      <c r="E50" s="19" t="s">
        <v>151</v>
      </c>
      <c r="H50" s="44" t="s">
        <v>14</v>
      </c>
      <c r="I50" s="13"/>
    </row>
    <row r="51" spans="1:9">
      <c r="A51" s="46"/>
      <c r="B51" s="13" t="s">
        <v>152</v>
      </c>
      <c r="C51" s="18" t="s">
        <v>153</v>
      </c>
      <c r="D51" s="19" t="s">
        <v>154</v>
      </c>
      <c r="E51" s="19" t="s">
        <v>155</v>
      </c>
      <c r="H51" s="44" t="s">
        <v>14</v>
      </c>
      <c r="I51" s="13"/>
    </row>
    <row r="52" spans="1:9">
      <c r="A52" s="46"/>
      <c r="B52" s="13" t="s">
        <v>156</v>
      </c>
      <c r="E52" s="19" t="s">
        <v>157</v>
      </c>
      <c r="H52" s="44" t="s">
        <v>14</v>
      </c>
      <c r="I52" s="13"/>
    </row>
    <row r="53" spans="1:9">
      <c r="A53" s="46"/>
      <c r="B53" s="13" t="s">
        <v>158</v>
      </c>
      <c r="D53" s="19" t="s">
        <v>159</v>
      </c>
      <c r="E53" s="19" t="s">
        <v>160</v>
      </c>
      <c r="H53" s="44" t="s">
        <v>14</v>
      </c>
      <c r="I53" s="13"/>
    </row>
    <row r="54" spans="1:9">
      <c r="A54" s="46"/>
      <c r="B54" s="13" t="s">
        <v>161</v>
      </c>
      <c r="E54" s="19" t="s">
        <v>162</v>
      </c>
      <c r="H54" s="44" t="s">
        <v>14</v>
      </c>
      <c r="I54" s="13"/>
    </row>
    <row r="55" spans="1:9">
      <c r="A55" s="46"/>
      <c r="B55" s="13" t="s">
        <v>163</v>
      </c>
      <c r="C55" s="18" t="s">
        <v>164</v>
      </c>
      <c r="D55" s="19" t="s">
        <v>165</v>
      </c>
      <c r="E55" s="19" t="s">
        <v>166</v>
      </c>
      <c r="H55" s="44" t="s">
        <v>14</v>
      </c>
      <c r="I55" s="13"/>
    </row>
    <row r="56" spans="1:9">
      <c r="A56" s="46"/>
      <c r="B56" s="13" t="s">
        <v>167</v>
      </c>
      <c r="E56" s="19" t="s">
        <v>168</v>
      </c>
      <c r="H56" s="44" t="s">
        <v>14</v>
      </c>
      <c r="I56" s="13"/>
    </row>
    <row r="57" spans="1:9">
      <c r="A57" s="46"/>
      <c r="B57" s="13" t="s">
        <v>169</v>
      </c>
      <c r="E57" s="19" t="s">
        <v>170</v>
      </c>
      <c r="H57" s="44" t="s">
        <v>14</v>
      </c>
      <c r="I57" s="13"/>
    </row>
    <row r="58" spans="1:9">
      <c r="A58" s="46"/>
      <c r="B58" s="13" t="s">
        <v>171</v>
      </c>
      <c r="E58" s="19" t="s">
        <v>172</v>
      </c>
      <c r="H58" s="44" t="s">
        <v>14</v>
      </c>
      <c r="I58" s="13"/>
    </row>
    <row r="59" spans="1:9">
      <c r="A59" s="46"/>
      <c r="B59" s="13" t="s">
        <v>173</v>
      </c>
      <c r="E59" s="19" t="s">
        <v>174</v>
      </c>
      <c r="H59" s="44" t="s">
        <v>14</v>
      </c>
      <c r="I59" s="13"/>
    </row>
    <row r="60" ht="33" spans="1:9">
      <c r="A60" s="18" t="s">
        <v>175</v>
      </c>
      <c r="B60" s="13" t="s">
        <v>176</v>
      </c>
      <c r="C60" s="18" t="s">
        <v>177</v>
      </c>
      <c r="D60" s="19" t="s">
        <v>178</v>
      </c>
      <c r="E60" s="19" t="s">
        <v>179</v>
      </c>
      <c r="H60" s="44" t="s">
        <v>14</v>
      </c>
      <c r="I60" s="13"/>
    </row>
    <row r="61" spans="1:9">
      <c r="A61" s="18"/>
      <c r="B61" s="13" t="s">
        <v>180</v>
      </c>
      <c r="C61" s="18" t="s">
        <v>99</v>
      </c>
      <c r="D61" s="19" t="s">
        <v>181</v>
      </c>
      <c r="E61" s="19" t="s">
        <v>182</v>
      </c>
      <c r="H61" s="44" t="s">
        <v>14</v>
      </c>
      <c r="I61" s="13"/>
    </row>
    <row r="62" spans="1:9">
      <c r="A62" s="18"/>
      <c r="B62" s="13" t="s">
        <v>183</v>
      </c>
      <c r="E62" s="19" t="s">
        <v>184</v>
      </c>
      <c r="H62" s="44" t="s">
        <v>14</v>
      </c>
      <c r="I62" s="13"/>
    </row>
    <row r="63" ht="33" spans="1:9">
      <c r="A63" s="18"/>
      <c r="B63" s="13" t="s">
        <v>185</v>
      </c>
      <c r="E63" s="19" t="s">
        <v>186</v>
      </c>
      <c r="F63" s="13" t="s">
        <v>102</v>
      </c>
      <c r="H63" s="44" t="s">
        <v>14</v>
      </c>
      <c r="I63" s="13"/>
    </row>
    <row r="64" ht="33" spans="1:11">
      <c r="A64" s="18"/>
      <c r="B64" s="13" t="s">
        <v>187</v>
      </c>
      <c r="C64" s="18" t="s">
        <v>188</v>
      </c>
      <c r="D64" s="19" t="s">
        <v>189</v>
      </c>
      <c r="E64" s="19" t="s">
        <v>190</v>
      </c>
      <c r="H64" s="45" t="s">
        <v>19</v>
      </c>
      <c r="I64" s="13"/>
      <c r="K64" s="19" t="s">
        <v>191</v>
      </c>
    </row>
    <row r="65" spans="1:9">
      <c r="A65" s="18"/>
      <c r="B65" s="13" t="s">
        <v>192</v>
      </c>
      <c r="E65" s="19" t="s">
        <v>134</v>
      </c>
      <c r="H65" s="45" t="s">
        <v>19</v>
      </c>
      <c r="I65" s="13"/>
    </row>
    <row r="66" ht="49.5" spans="1:9">
      <c r="A66" s="18"/>
      <c r="B66" s="13" t="s">
        <v>193</v>
      </c>
      <c r="E66" s="19" t="s">
        <v>194</v>
      </c>
      <c r="H66" s="45" t="s">
        <v>19</v>
      </c>
      <c r="I66" s="13"/>
    </row>
    <row r="67" spans="1:9">
      <c r="A67" s="18"/>
      <c r="B67" s="13" t="s">
        <v>195</v>
      </c>
      <c r="E67" s="19" t="s">
        <v>138</v>
      </c>
      <c r="H67" s="45" t="s">
        <v>19</v>
      </c>
      <c r="I67" s="13"/>
    </row>
    <row r="68" spans="1:9">
      <c r="A68" s="18"/>
      <c r="B68" s="13" t="s">
        <v>196</v>
      </c>
      <c r="E68" s="19" t="s">
        <v>140</v>
      </c>
      <c r="H68" s="45" t="s">
        <v>19</v>
      </c>
      <c r="I68" s="13"/>
    </row>
    <row r="69" spans="1:9">
      <c r="A69" s="18"/>
      <c r="B69" s="13" t="s">
        <v>197</v>
      </c>
      <c r="E69" s="19" t="s">
        <v>142</v>
      </c>
      <c r="H69" s="45" t="s">
        <v>19</v>
      </c>
      <c r="I69" s="13"/>
    </row>
    <row r="70" ht="33" spans="1:9">
      <c r="A70" s="18"/>
      <c r="B70" s="13" t="s">
        <v>198</v>
      </c>
      <c r="D70" s="19" t="s">
        <v>199</v>
      </c>
      <c r="E70" s="19" t="s">
        <v>200</v>
      </c>
      <c r="H70" s="44" t="s">
        <v>14</v>
      </c>
      <c r="I70" s="13"/>
    </row>
    <row r="71" ht="33" spans="1:9">
      <c r="A71" s="18"/>
      <c r="B71" s="13" t="s">
        <v>201</v>
      </c>
      <c r="D71" s="19" t="s">
        <v>202</v>
      </c>
      <c r="E71" s="19" t="s">
        <v>203</v>
      </c>
      <c r="H71" s="44" t="s">
        <v>14</v>
      </c>
      <c r="I71" s="13"/>
    </row>
    <row r="72" spans="1:9">
      <c r="A72" s="18"/>
      <c r="B72" s="13" t="s">
        <v>204</v>
      </c>
      <c r="D72" s="19" t="s">
        <v>205</v>
      </c>
      <c r="E72" s="19" t="s">
        <v>206</v>
      </c>
      <c r="H72" s="18" t="s">
        <v>25</v>
      </c>
      <c r="I72" s="13"/>
    </row>
    <row r="73" ht="33" spans="1:9">
      <c r="A73" s="18"/>
      <c r="B73" s="13" t="s">
        <v>207</v>
      </c>
      <c r="C73" s="18" t="s">
        <v>208</v>
      </c>
      <c r="D73" s="19" t="s">
        <v>209</v>
      </c>
      <c r="E73" s="19" t="s">
        <v>210</v>
      </c>
      <c r="H73" s="44" t="s">
        <v>14</v>
      </c>
      <c r="I73" s="13"/>
    </row>
    <row r="74" spans="1:9">
      <c r="A74" s="18"/>
      <c r="B74" s="13" t="s">
        <v>211</v>
      </c>
      <c r="E74" s="19" t="s">
        <v>212</v>
      </c>
      <c r="H74" s="44" t="s">
        <v>14</v>
      </c>
      <c r="I74" s="13"/>
    </row>
    <row r="75" spans="1:9">
      <c r="A75" s="18"/>
      <c r="B75" s="13" t="s">
        <v>213</v>
      </c>
      <c r="D75" s="19" t="s">
        <v>214</v>
      </c>
      <c r="E75" s="19" t="s">
        <v>215</v>
      </c>
      <c r="H75" s="44" t="s">
        <v>14</v>
      </c>
      <c r="I75" s="13"/>
    </row>
    <row r="76" spans="1:9">
      <c r="A76" s="18"/>
      <c r="B76" s="13" t="s">
        <v>216</v>
      </c>
      <c r="E76" s="19" t="s">
        <v>217</v>
      </c>
      <c r="H76" s="44" t="s">
        <v>14</v>
      </c>
      <c r="I76" s="13"/>
    </row>
    <row r="77" spans="1:9">
      <c r="A77" s="18"/>
      <c r="B77" s="13" t="s">
        <v>218</v>
      </c>
      <c r="D77" s="19" t="s">
        <v>219</v>
      </c>
      <c r="E77" s="19" t="s">
        <v>220</v>
      </c>
      <c r="H77" s="44" t="s">
        <v>14</v>
      </c>
      <c r="I77" s="13"/>
    </row>
    <row r="78" spans="1:9">
      <c r="A78" s="18"/>
      <c r="B78" s="13" t="s">
        <v>221</v>
      </c>
      <c r="D78" s="19" t="s">
        <v>222</v>
      </c>
      <c r="E78" s="19" t="s">
        <v>223</v>
      </c>
      <c r="H78" s="44" t="s">
        <v>14</v>
      </c>
      <c r="I78" s="13"/>
    </row>
    <row r="79" spans="1:9">
      <c r="A79" s="18"/>
      <c r="B79" s="13" t="s">
        <v>224</v>
      </c>
      <c r="E79" s="19" t="s">
        <v>225</v>
      </c>
      <c r="H79" s="44" t="s">
        <v>14</v>
      </c>
      <c r="I79" s="13"/>
    </row>
    <row r="80" spans="1:9">
      <c r="A80" s="18"/>
      <c r="B80" s="13" t="s">
        <v>226</v>
      </c>
      <c r="E80" s="19" t="s">
        <v>227</v>
      </c>
      <c r="H80" s="44" t="s">
        <v>14</v>
      </c>
      <c r="I80" s="13"/>
    </row>
    <row r="81" spans="1:9">
      <c r="A81" s="18"/>
      <c r="B81" s="13" t="s">
        <v>228</v>
      </c>
      <c r="D81" s="19" t="s">
        <v>229</v>
      </c>
      <c r="E81" s="19" t="s">
        <v>230</v>
      </c>
      <c r="H81" s="44" t="s">
        <v>14</v>
      </c>
      <c r="I81" s="13"/>
    </row>
    <row r="82" spans="1:9">
      <c r="A82" s="18"/>
      <c r="B82" s="13" t="s">
        <v>231</v>
      </c>
      <c r="E82" s="19" t="s">
        <v>232</v>
      </c>
      <c r="F82" s="13" t="s">
        <v>102</v>
      </c>
      <c r="H82" s="44" t="s">
        <v>14</v>
      </c>
      <c r="I82" s="13"/>
    </row>
    <row r="83" spans="1:9">
      <c r="A83" s="18"/>
      <c r="B83" s="13" t="s">
        <v>233</v>
      </c>
      <c r="E83" s="19" t="s">
        <v>234</v>
      </c>
      <c r="H83" s="44" t="s">
        <v>14</v>
      </c>
      <c r="I83" s="13"/>
    </row>
    <row r="84" spans="1:9">
      <c r="A84" s="18"/>
      <c r="B84" s="13" t="s">
        <v>235</v>
      </c>
      <c r="D84" s="19" t="s">
        <v>236</v>
      </c>
      <c r="E84" s="19" t="s">
        <v>237</v>
      </c>
      <c r="H84" s="44" t="s">
        <v>14</v>
      </c>
      <c r="I84" s="13"/>
    </row>
    <row r="85" spans="1:9">
      <c r="A85" s="18"/>
      <c r="B85" s="13" t="s">
        <v>238</v>
      </c>
      <c r="E85" s="19" t="s">
        <v>239</v>
      </c>
      <c r="H85" s="44" t="s">
        <v>14</v>
      </c>
      <c r="I85" s="13"/>
    </row>
    <row r="86" spans="1:9">
      <c r="A86" s="18"/>
      <c r="B86" s="13" t="s">
        <v>240</v>
      </c>
      <c r="E86" s="19" t="s">
        <v>241</v>
      </c>
      <c r="H86" s="44" t="s">
        <v>14</v>
      </c>
      <c r="I86" s="13"/>
    </row>
    <row r="87" spans="1:9">
      <c r="A87" s="18"/>
      <c r="B87" s="13" t="s">
        <v>242</v>
      </c>
      <c r="C87" s="18" t="s">
        <v>243</v>
      </c>
      <c r="D87" s="19" t="s">
        <v>244</v>
      </c>
      <c r="E87" s="19" t="s">
        <v>245</v>
      </c>
      <c r="H87" s="44" t="s">
        <v>14</v>
      </c>
      <c r="I87" s="13"/>
    </row>
    <row r="88" spans="1:9">
      <c r="A88" s="18"/>
      <c r="B88" s="13" t="s">
        <v>246</v>
      </c>
      <c r="E88" s="19" t="s">
        <v>247</v>
      </c>
      <c r="H88" s="44" t="s">
        <v>14</v>
      </c>
      <c r="I88" s="13"/>
    </row>
    <row r="89" ht="33" spans="1:9">
      <c r="A89" s="18"/>
      <c r="B89" s="13" t="s">
        <v>248</v>
      </c>
      <c r="D89" s="19" t="s">
        <v>249</v>
      </c>
      <c r="E89" s="19" t="s">
        <v>250</v>
      </c>
      <c r="H89" s="44" t="s">
        <v>14</v>
      </c>
      <c r="I89" s="13"/>
    </row>
    <row r="90" ht="33" spans="1:9">
      <c r="A90" s="18"/>
      <c r="B90" s="13" t="s">
        <v>251</v>
      </c>
      <c r="D90" s="19" t="s">
        <v>252</v>
      </c>
      <c r="E90" s="19" t="s">
        <v>253</v>
      </c>
      <c r="H90" s="18" t="s">
        <v>25</v>
      </c>
      <c r="I90" s="13"/>
    </row>
    <row r="91" ht="33" spans="1:9">
      <c r="A91" s="18"/>
      <c r="B91" s="13" t="s">
        <v>254</v>
      </c>
      <c r="D91" s="19" t="s">
        <v>255</v>
      </c>
      <c r="E91" s="19" t="s">
        <v>256</v>
      </c>
      <c r="H91" s="44" t="s">
        <v>14</v>
      </c>
      <c r="I91" s="13"/>
    </row>
    <row r="92" spans="1:9">
      <c r="A92" s="18"/>
      <c r="B92" s="13" t="s">
        <v>257</v>
      </c>
      <c r="D92" s="19" t="s">
        <v>258</v>
      </c>
      <c r="E92" s="19" t="s">
        <v>259</v>
      </c>
      <c r="H92" s="44" t="s">
        <v>14</v>
      </c>
      <c r="I92" s="13"/>
    </row>
    <row r="93" spans="1:9">
      <c r="A93" s="18"/>
      <c r="B93" s="13" t="s">
        <v>260</v>
      </c>
      <c r="E93" s="19" t="s">
        <v>261</v>
      </c>
      <c r="H93" s="44" t="s">
        <v>14</v>
      </c>
      <c r="I93" s="13"/>
    </row>
    <row r="94" spans="1:9">
      <c r="A94" s="18"/>
      <c r="B94" s="13" t="s">
        <v>262</v>
      </c>
      <c r="D94" s="19" t="s">
        <v>263</v>
      </c>
      <c r="E94" s="19" t="s">
        <v>264</v>
      </c>
      <c r="H94" s="44" t="s">
        <v>14</v>
      </c>
      <c r="I94" s="13"/>
    </row>
    <row r="95" spans="1:9">
      <c r="A95" s="18"/>
      <c r="B95" s="13" t="s">
        <v>265</v>
      </c>
      <c r="D95" s="19" t="s">
        <v>266</v>
      </c>
      <c r="E95" s="19" t="s">
        <v>267</v>
      </c>
      <c r="H95" s="44" t="s">
        <v>14</v>
      </c>
      <c r="I95" s="13"/>
    </row>
    <row r="96" spans="1:9">
      <c r="A96" s="18"/>
      <c r="B96" s="13" t="s">
        <v>268</v>
      </c>
      <c r="D96" s="19" t="s">
        <v>269</v>
      </c>
      <c r="E96" s="19" t="s">
        <v>270</v>
      </c>
      <c r="H96" s="44" t="s">
        <v>14</v>
      </c>
      <c r="I96" s="13"/>
    </row>
    <row r="97" spans="1:9">
      <c r="A97" s="18"/>
      <c r="B97" s="13" t="s">
        <v>271</v>
      </c>
      <c r="D97" s="19" t="s">
        <v>272</v>
      </c>
      <c r="E97" s="19" t="s">
        <v>273</v>
      </c>
      <c r="F97" s="13" t="s">
        <v>102</v>
      </c>
      <c r="H97" s="44" t="s">
        <v>14</v>
      </c>
      <c r="I97" s="13"/>
    </row>
    <row r="98" spans="1:9">
      <c r="A98" s="18"/>
      <c r="B98" s="13" t="s">
        <v>274</v>
      </c>
      <c r="E98" s="19" t="s">
        <v>275</v>
      </c>
      <c r="H98" s="44" t="s">
        <v>14</v>
      </c>
      <c r="I98" s="13"/>
    </row>
    <row r="99" ht="33" spans="1:9">
      <c r="A99" s="18"/>
      <c r="B99" s="13" t="s">
        <v>276</v>
      </c>
      <c r="E99" s="19" t="s">
        <v>277</v>
      </c>
      <c r="H99" s="44" t="s">
        <v>14</v>
      </c>
      <c r="I99" s="13"/>
    </row>
    <row r="100" spans="1:9">
      <c r="A100" s="18"/>
      <c r="B100" s="13" t="s">
        <v>278</v>
      </c>
      <c r="E100" s="19" t="s">
        <v>279</v>
      </c>
      <c r="H100" s="44" t="s">
        <v>14</v>
      </c>
      <c r="I100" s="13"/>
    </row>
    <row r="101" ht="33" spans="1:11">
      <c r="A101" s="18"/>
      <c r="B101" s="13" t="s">
        <v>280</v>
      </c>
      <c r="D101" s="19" t="s">
        <v>281</v>
      </c>
      <c r="E101" s="19" t="s">
        <v>282</v>
      </c>
      <c r="H101" s="45" t="s">
        <v>19</v>
      </c>
      <c r="I101" s="13"/>
      <c r="K101" s="19" t="s">
        <v>283</v>
      </c>
    </row>
    <row r="102" spans="1:9">
      <c r="A102" s="18"/>
      <c r="B102" s="13" t="s">
        <v>284</v>
      </c>
      <c r="E102" s="19" t="s">
        <v>285</v>
      </c>
      <c r="H102" s="44" t="s">
        <v>14</v>
      </c>
      <c r="I102" s="13"/>
    </row>
    <row r="103" spans="1:9">
      <c r="A103" s="18"/>
      <c r="B103" s="13" t="s">
        <v>286</v>
      </c>
      <c r="D103" s="19" t="s">
        <v>287</v>
      </c>
      <c r="E103" s="19" t="s">
        <v>288</v>
      </c>
      <c r="H103" s="44" t="s">
        <v>14</v>
      </c>
      <c r="I103" s="13"/>
    </row>
    <row r="104" ht="33" spans="1:9">
      <c r="A104" s="18"/>
      <c r="B104" s="13" t="s">
        <v>289</v>
      </c>
      <c r="E104" s="19" t="s">
        <v>290</v>
      </c>
      <c r="H104" s="18" t="s">
        <v>25</v>
      </c>
      <c r="I104" s="13"/>
    </row>
    <row r="105" ht="33" spans="1:9">
      <c r="A105" s="18"/>
      <c r="B105" s="13" t="s">
        <v>291</v>
      </c>
      <c r="D105" s="19" t="s">
        <v>292</v>
      </c>
      <c r="E105" s="19" t="s">
        <v>293</v>
      </c>
      <c r="H105" s="44" t="s">
        <v>14</v>
      </c>
      <c r="I105" s="13"/>
    </row>
    <row r="106" spans="1:11">
      <c r="A106" s="18"/>
      <c r="B106" s="13" t="s">
        <v>294</v>
      </c>
      <c r="E106" s="19" t="s">
        <v>295</v>
      </c>
      <c r="H106" s="45" t="s">
        <v>19</v>
      </c>
      <c r="I106" s="13"/>
      <c r="K106" s="19" t="s">
        <v>296</v>
      </c>
    </row>
    <row r="107" spans="1:9">
      <c r="A107" s="18"/>
      <c r="B107" s="13" t="s">
        <v>297</v>
      </c>
      <c r="D107" s="19" t="s">
        <v>298</v>
      </c>
      <c r="E107" s="19" t="s">
        <v>299</v>
      </c>
      <c r="H107" s="44" t="s">
        <v>14</v>
      </c>
      <c r="I107" s="13"/>
    </row>
    <row r="108" spans="1:9">
      <c r="A108" s="18" t="s">
        <v>300</v>
      </c>
      <c r="B108" s="13" t="s">
        <v>301</v>
      </c>
      <c r="C108" s="18" t="s">
        <v>302</v>
      </c>
      <c r="D108" s="19" t="s">
        <v>303</v>
      </c>
      <c r="E108" s="19" t="s">
        <v>304</v>
      </c>
      <c r="H108" s="44" t="s">
        <v>14</v>
      </c>
      <c r="I108" s="13"/>
    </row>
    <row r="109" spans="1:9">
      <c r="A109" s="18"/>
      <c r="B109" s="13" t="s">
        <v>305</v>
      </c>
      <c r="E109" s="19" t="s">
        <v>306</v>
      </c>
      <c r="H109" s="44" t="s">
        <v>14</v>
      </c>
      <c r="I109" s="13"/>
    </row>
    <row r="110" spans="1:9">
      <c r="A110" s="18"/>
      <c r="B110" s="13" t="s">
        <v>307</v>
      </c>
      <c r="C110" s="18" t="s">
        <v>308</v>
      </c>
      <c r="D110" s="19" t="s">
        <v>309</v>
      </c>
      <c r="E110" s="19" t="s">
        <v>310</v>
      </c>
      <c r="H110" s="44" t="s">
        <v>14</v>
      </c>
      <c r="I110" s="13"/>
    </row>
    <row r="111" spans="1:9">
      <c r="A111" s="18"/>
      <c r="B111" s="13" t="s">
        <v>311</v>
      </c>
      <c r="E111" s="19" t="s">
        <v>312</v>
      </c>
      <c r="H111" s="44" t="s">
        <v>14</v>
      </c>
      <c r="I111" s="13"/>
    </row>
    <row r="112" ht="33" spans="1:9">
      <c r="A112" s="18"/>
      <c r="B112" s="13" t="s">
        <v>313</v>
      </c>
      <c r="D112" s="19" t="s">
        <v>314</v>
      </c>
      <c r="E112" s="19" t="s">
        <v>315</v>
      </c>
      <c r="H112" s="44" t="s">
        <v>14</v>
      </c>
      <c r="I112" s="13"/>
    </row>
    <row r="113" ht="33" spans="1:9">
      <c r="A113" s="18"/>
      <c r="B113" s="13" t="s">
        <v>316</v>
      </c>
      <c r="E113" s="19" t="s">
        <v>317</v>
      </c>
      <c r="H113" s="44" t="s">
        <v>14</v>
      </c>
      <c r="I113" s="13"/>
    </row>
    <row r="114" ht="49.5" spans="1:9">
      <c r="A114" s="18"/>
      <c r="B114" s="13" t="s">
        <v>318</v>
      </c>
      <c r="E114" s="19" t="s">
        <v>319</v>
      </c>
      <c r="H114" s="44" t="s">
        <v>14</v>
      </c>
      <c r="I114" s="13"/>
    </row>
    <row r="115" spans="1:9">
      <c r="A115" s="18"/>
      <c r="B115" s="13" t="s">
        <v>320</v>
      </c>
      <c r="C115" s="18" t="s">
        <v>321</v>
      </c>
      <c r="D115" s="19" t="s">
        <v>322</v>
      </c>
      <c r="E115" s="19" t="s">
        <v>323</v>
      </c>
      <c r="F115" s="13" t="s">
        <v>102</v>
      </c>
      <c r="H115" s="44" t="s">
        <v>14</v>
      </c>
      <c r="I115" s="13"/>
    </row>
    <row r="116" spans="1:9">
      <c r="A116" s="18"/>
      <c r="B116" s="13" t="s">
        <v>324</v>
      </c>
      <c r="E116" s="19" t="s">
        <v>325</v>
      </c>
      <c r="H116" s="44" t="s">
        <v>14</v>
      </c>
      <c r="I116" s="13"/>
    </row>
    <row r="117" spans="1:9">
      <c r="A117" s="18"/>
      <c r="B117" s="13" t="s">
        <v>326</v>
      </c>
      <c r="D117" s="19" t="s">
        <v>327</v>
      </c>
      <c r="E117" s="19" t="s">
        <v>323</v>
      </c>
      <c r="H117" s="44" t="s">
        <v>14</v>
      </c>
      <c r="I117" s="13"/>
    </row>
    <row r="118" spans="1:9">
      <c r="A118" s="18"/>
      <c r="B118" s="13" t="s">
        <v>328</v>
      </c>
      <c r="E118" s="19" t="s">
        <v>325</v>
      </c>
      <c r="H118" s="44" t="s">
        <v>14</v>
      </c>
      <c r="I118" s="13"/>
    </row>
    <row r="119" spans="1:9">
      <c r="A119" s="18"/>
      <c r="B119" s="13" t="s">
        <v>329</v>
      </c>
      <c r="D119" s="19" t="s">
        <v>330</v>
      </c>
      <c r="E119" s="19" t="s">
        <v>323</v>
      </c>
      <c r="H119" s="44" t="s">
        <v>14</v>
      </c>
      <c r="I119" s="13"/>
    </row>
    <row r="120" spans="1:9">
      <c r="A120" s="18"/>
      <c r="B120" s="13" t="s">
        <v>331</v>
      </c>
      <c r="E120" s="19" t="s">
        <v>325</v>
      </c>
      <c r="H120" s="44" t="s">
        <v>14</v>
      </c>
      <c r="I120" s="13"/>
    </row>
    <row r="121" spans="1:9">
      <c r="A121" s="18"/>
      <c r="B121" s="13" t="s">
        <v>332</v>
      </c>
      <c r="D121" s="19" t="s">
        <v>333</v>
      </c>
      <c r="E121" s="19" t="s">
        <v>323</v>
      </c>
      <c r="H121" s="44" t="s">
        <v>14</v>
      </c>
      <c r="I121" s="13"/>
    </row>
    <row r="122" spans="1:9">
      <c r="A122" s="18"/>
      <c r="B122" s="13" t="s">
        <v>334</v>
      </c>
      <c r="E122" s="19" t="s">
        <v>325</v>
      </c>
      <c r="H122" s="44" t="s">
        <v>14</v>
      </c>
      <c r="I122" s="13"/>
    </row>
    <row r="123" spans="1:9">
      <c r="A123" s="18"/>
      <c r="B123" s="13" t="s">
        <v>335</v>
      </c>
      <c r="D123" s="19" t="s">
        <v>336</v>
      </c>
      <c r="E123" s="19" t="s">
        <v>323</v>
      </c>
      <c r="H123" s="44" t="s">
        <v>14</v>
      </c>
      <c r="I123" s="13"/>
    </row>
    <row r="124" spans="1:9">
      <c r="A124" s="18"/>
      <c r="B124" s="13" t="s">
        <v>337</v>
      </c>
      <c r="E124" s="19" t="s">
        <v>325</v>
      </c>
      <c r="H124" s="44" t="s">
        <v>14</v>
      </c>
      <c r="I124" s="13"/>
    </row>
    <row r="125" spans="1:9">
      <c r="A125" s="18"/>
      <c r="B125" s="13" t="s">
        <v>338</v>
      </c>
      <c r="D125" s="19" t="s">
        <v>339</v>
      </c>
      <c r="E125" s="19" t="s">
        <v>323</v>
      </c>
      <c r="H125" s="44" t="s">
        <v>14</v>
      </c>
      <c r="I125" s="13"/>
    </row>
    <row r="126" spans="1:9">
      <c r="A126" s="18"/>
      <c r="B126" s="13" t="s">
        <v>340</v>
      </c>
      <c r="E126" s="19" t="s">
        <v>325</v>
      </c>
      <c r="H126" s="44" t="s">
        <v>14</v>
      </c>
      <c r="I126" s="13"/>
    </row>
    <row r="127" spans="1:9">
      <c r="A127" s="18"/>
      <c r="B127" s="13" t="s">
        <v>341</v>
      </c>
      <c r="D127" s="19" t="s">
        <v>342</v>
      </c>
      <c r="E127" s="19" t="s">
        <v>323</v>
      </c>
      <c r="H127" s="44" t="s">
        <v>14</v>
      </c>
      <c r="I127" s="13"/>
    </row>
    <row r="128" spans="1:9">
      <c r="A128" s="18"/>
      <c r="B128" s="13" t="s">
        <v>343</v>
      </c>
      <c r="E128" s="19" t="s">
        <v>325</v>
      </c>
      <c r="H128" s="44" t="s">
        <v>14</v>
      </c>
      <c r="I128" s="13"/>
    </row>
    <row r="129" spans="1:9">
      <c r="A129" s="18"/>
      <c r="B129" s="13" t="s">
        <v>344</v>
      </c>
      <c r="D129" s="19" t="s">
        <v>345</v>
      </c>
      <c r="E129" s="19" t="s">
        <v>323</v>
      </c>
      <c r="H129" s="44" t="s">
        <v>14</v>
      </c>
      <c r="I129" s="13"/>
    </row>
    <row r="130" spans="1:9">
      <c r="A130" s="18"/>
      <c r="B130" s="13" t="s">
        <v>346</v>
      </c>
      <c r="E130" s="19" t="s">
        <v>325</v>
      </c>
      <c r="H130" s="44" t="s">
        <v>14</v>
      </c>
      <c r="I130" s="13"/>
    </row>
    <row r="131" spans="1:9">
      <c r="A131" s="18"/>
      <c r="B131" s="13" t="s">
        <v>347</v>
      </c>
      <c r="D131" s="19" t="s">
        <v>348</v>
      </c>
      <c r="E131" s="19" t="s">
        <v>323</v>
      </c>
      <c r="H131" s="44" t="s">
        <v>14</v>
      </c>
      <c r="I131" s="13"/>
    </row>
    <row r="132" spans="1:9">
      <c r="A132" s="18"/>
      <c r="B132" s="13" t="s">
        <v>349</v>
      </c>
      <c r="E132" s="19" t="s">
        <v>325</v>
      </c>
      <c r="H132" s="44" t="s">
        <v>14</v>
      </c>
      <c r="I132" s="13"/>
    </row>
    <row r="133" spans="1:9">
      <c r="A133" s="18"/>
      <c r="B133" s="13" t="s">
        <v>350</v>
      </c>
      <c r="D133" s="19" t="s">
        <v>351</v>
      </c>
      <c r="E133" s="19" t="s">
        <v>323</v>
      </c>
      <c r="H133" s="44" t="s">
        <v>14</v>
      </c>
      <c r="I133" s="13"/>
    </row>
    <row r="134" spans="1:9">
      <c r="A134" s="18"/>
      <c r="B134" s="13" t="s">
        <v>352</v>
      </c>
      <c r="E134" s="19" t="s">
        <v>325</v>
      </c>
      <c r="H134" s="44" t="s">
        <v>14</v>
      </c>
      <c r="I134" s="13"/>
    </row>
    <row r="135" spans="1:9">
      <c r="A135" s="18"/>
      <c r="B135" s="13" t="s">
        <v>353</v>
      </c>
      <c r="C135" s="18" t="s">
        <v>354</v>
      </c>
      <c r="D135" s="19" t="s">
        <v>355</v>
      </c>
      <c r="E135" s="19" t="s">
        <v>356</v>
      </c>
      <c r="H135" s="44" t="s">
        <v>14</v>
      </c>
      <c r="I135" s="13"/>
    </row>
    <row r="136" spans="1:9">
      <c r="A136" s="18"/>
      <c r="B136" s="13" t="s">
        <v>357</v>
      </c>
      <c r="D136" s="19" t="s">
        <v>358</v>
      </c>
      <c r="E136" s="19" t="s">
        <v>359</v>
      </c>
      <c r="H136" s="44" t="s">
        <v>14</v>
      </c>
      <c r="I136" s="13"/>
    </row>
    <row r="137" spans="1:9">
      <c r="A137" s="18"/>
      <c r="B137" s="13" t="s">
        <v>360</v>
      </c>
      <c r="E137" s="19" t="s">
        <v>361</v>
      </c>
      <c r="H137" s="44" t="s">
        <v>14</v>
      </c>
      <c r="I137" s="13"/>
    </row>
    <row r="138" spans="1:9">
      <c r="A138" s="18"/>
      <c r="B138" s="13" t="s">
        <v>362</v>
      </c>
      <c r="E138" s="19" t="s">
        <v>363</v>
      </c>
      <c r="H138" s="44" t="s">
        <v>14</v>
      </c>
      <c r="I138" s="13"/>
    </row>
    <row r="139" spans="1:9">
      <c r="A139" s="18"/>
      <c r="B139" s="13" t="s">
        <v>364</v>
      </c>
      <c r="D139" s="19" t="s">
        <v>365</v>
      </c>
      <c r="E139" s="19" t="s">
        <v>366</v>
      </c>
      <c r="H139" s="44" t="s">
        <v>14</v>
      </c>
      <c r="I139" s="13"/>
    </row>
    <row r="140" spans="1:9">
      <c r="A140" s="18"/>
      <c r="B140" s="13" t="s">
        <v>367</v>
      </c>
      <c r="E140" s="19" t="s">
        <v>368</v>
      </c>
      <c r="H140" s="44" t="s">
        <v>14</v>
      </c>
      <c r="I140" s="13"/>
    </row>
    <row r="141" spans="1:9">
      <c r="A141" s="18"/>
      <c r="B141" s="13" t="s">
        <v>369</v>
      </c>
      <c r="E141" s="19" t="s">
        <v>370</v>
      </c>
      <c r="H141" s="44" t="s">
        <v>14</v>
      </c>
      <c r="I141" s="13"/>
    </row>
    <row r="142" spans="1:9">
      <c r="A142" s="18"/>
      <c r="B142" s="13" t="s">
        <v>371</v>
      </c>
      <c r="D142" s="19" t="s">
        <v>372</v>
      </c>
      <c r="E142" s="19" t="s">
        <v>373</v>
      </c>
      <c r="H142" s="44" t="s">
        <v>14</v>
      </c>
      <c r="I142" s="13"/>
    </row>
    <row r="143" spans="1:9">
      <c r="A143" s="18"/>
      <c r="B143" s="13" t="s">
        <v>374</v>
      </c>
      <c r="D143" s="19" t="s">
        <v>375</v>
      </c>
      <c r="E143" s="19" t="s">
        <v>376</v>
      </c>
      <c r="H143" s="44" t="s">
        <v>14</v>
      </c>
      <c r="I143" s="13"/>
    </row>
    <row r="144" spans="1:9">
      <c r="A144" s="46" t="s">
        <v>377</v>
      </c>
      <c r="B144" s="13" t="s">
        <v>378</v>
      </c>
      <c r="C144" s="18" t="s">
        <v>379</v>
      </c>
      <c r="D144" s="19" t="s">
        <v>380</v>
      </c>
      <c r="E144" s="19" t="s">
        <v>381</v>
      </c>
      <c r="H144" s="44" t="s">
        <v>14</v>
      </c>
      <c r="I144" s="13"/>
    </row>
    <row r="145" spans="1:9">
      <c r="A145" s="46"/>
      <c r="B145" s="13" t="s">
        <v>382</v>
      </c>
      <c r="E145" s="19" t="s">
        <v>383</v>
      </c>
      <c r="H145" s="44" t="s">
        <v>14</v>
      </c>
      <c r="I145" s="13"/>
    </row>
    <row r="146" spans="1:9">
      <c r="A146" s="46"/>
      <c r="B146" s="13" t="s">
        <v>384</v>
      </c>
      <c r="E146" s="19" t="s">
        <v>385</v>
      </c>
      <c r="H146" s="44" t="s">
        <v>14</v>
      </c>
      <c r="I146" s="13"/>
    </row>
    <row r="147" spans="1:9">
      <c r="A147" s="46"/>
      <c r="B147" s="13" t="s">
        <v>386</v>
      </c>
      <c r="D147" s="19" t="s">
        <v>387</v>
      </c>
      <c r="E147" s="19" t="s">
        <v>388</v>
      </c>
      <c r="H147" s="44" t="s">
        <v>14</v>
      </c>
      <c r="I147" s="13"/>
    </row>
    <row r="148" spans="1:9">
      <c r="A148" s="46"/>
      <c r="B148" s="13" t="s">
        <v>389</v>
      </c>
      <c r="D148" s="19" t="s">
        <v>390</v>
      </c>
      <c r="E148" s="19" t="s">
        <v>391</v>
      </c>
      <c r="H148" s="44" t="s">
        <v>14</v>
      </c>
      <c r="I148" s="13"/>
    </row>
    <row r="149" spans="1:9">
      <c r="A149" s="46"/>
      <c r="B149" s="13" t="s">
        <v>392</v>
      </c>
      <c r="E149" s="19" t="s">
        <v>393</v>
      </c>
      <c r="H149" s="44" t="s">
        <v>14</v>
      </c>
      <c r="I149" s="13"/>
    </row>
    <row r="150" spans="1:9">
      <c r="A150" s="46"/>
      <c r="B150" s="13" t="s">
        <v>394</v>
      </c>
      <c r="D150" s="19" t="s">
        <v>395</v>
      </c>
      <c r="E150" s="19" t="s">
        <v>396</v>
      </c>
      <c r="H150" s="44" t="s">
        <v>14</v>
      </c>
      <c r="I150" s="13"/>
    </row>
    <row r="151" spans="1:9">
      <c r="A151" s="46"/>
      <c r="B151" s="13" t="s">
        <v>397</v>
      </c>
      <c r="E151" s="19" t="s">
        <v>398</v>
      </c>
      <c r="H151" s="44" t="s">
        <v>14</v>
      </c>
      <c r="I151" s="13"/>
    </row>
    <row r="152" spans="1:9">
      <c r="A152" s="46"/>
      <c r="B152" s="13" t="s">
        <v>399</v>
      </c>
      <c r="C152" s="18" t="s">
        <v>400</v>
      </c>
      <c r="D152" s="19" t="s">
        <v>401</v>
      </c>
      <c r="E152" s="19" t="s">
        <v>402</v>
      </c>
      <c r="H152" s="44" t="s">
        <v>14</v>
      </c>
      <c r="I152" s="13"/>
    </row>
    <row r="153" ht="33" spans="1:9">
      <c r="A153" s="46"/>
      <c r="B153" s="13" t="s">
        <v>403</v>
      </c>
      <c r="E153" s="19" t="s">
        <v>404</v>
      </c>
      <c r="H153" s="44" t="s">
        <v>14</v>
      </c>
      <c r="I153" s="13"/>
    </row>
    <row r="154" spans="1:9">
      <c r="A154" s="46"/>
      <c r="B154" s="13" t="s">
        <v>405</v>
      </c>
      <c r="D154" s="19" t="s">
        <v>406</v>
      </c>
      <c r="E154" s="19" t="s">
        <v>407</v>
      </c>
      <c r="H154" s="44" t="s">
        <v>14</v>
      </c>
      <c r="I154" s="13"/>
    </row>
    <row r="155" ht="33" spans="1:9">
      <c r="A155" s="46"/>
      <c r="B155" s="13" t="s">
        <v>408</v>
      </c>
      <c r="E155" s="19" t="s">
        <v>404</v>
      </c>
      <c r="H155" s="44" t="s">
        <v>14</v>
      </c>
      <c r="I155" s="13"/>
    </row>
    <row r="156" spans="1:9">
      <c r="A156" s="46"/>
      <c r="B156" s="13" t="s">
        <v>409</v>
      </c>
      <c r="D156" s="19" t="s">
        <v>410</v>
      </c>
      <c r="E156" s="19" t="s">
        <v>411</v>
      </c>
      <c r="H156" s="44" t="s">
        <v>14</v>
      </c>
      <c r="I156" s="13"/>
    </row>
    <row r="157" spans="1:9">
      <c r="A157" s="46"/>
      <c r="B157" s="13" t="s">
        <v>412</v>
      </c>
      <c r="E157" s="19" t="s">
        <v>413</v>
      </c>
      <c r="H157" s="44" t="s">
        <v>14</v>
      </c>
      <c r="I157" s="13"/>
    </row>
    <row r="158" ht="33" spans="1:9">
      <c r="A158" s="46"/>
      <c r="B158" s="13" t="s">
        <v>414</v>
      </c>
      <c r="E158" s="19" t="s">
        <v>415</v>
      </c>
      <c r="H158" s="44" t="s">
        <v>14</v>
      </c>
      <c r="I158" s="13"/>
    </row>
    <row r="159" spans="1:9">
      <c r="A159" s="46"/>
      <c r="B159" s="13" t="s">
        <v>416</v>
      </c>
      <c r="D159" s="19" t="s">
        <v>417</v>
      </c>
      <c r="E159" s="19" t="s">
        <v>418</v>
      </c>
      <c r="H159" s="44" t="s">
        <v>14</v>
      </c>
      <c r="I159" s="13"/>
    </row>
    <row r="160" spans="1:9">
      <c r="A160" s="46"/>
      <c r="B160" s="13" t="s">
        <v>419</v>
      </c>
      <c r="E160" s="19" t="s">
        <v>420</v>
      </c>
      <c r="H160" s="44" t="s">
        <v>14</v>
      </c>
      <c r="I160" s="13"/>
    </row>
    <row r="161" ht="33" spans="1:9">
      <c r="A161" s="46"/>
      <c r="B161" s="13" t="s">
        <v>421</v>
      </c>
      <c r="E161" s="19" t="s">
        <v>422</v>
      </c>
      <c r="H161" s="44" t="s">
        <v>14</v>
      </c>
      <c r="I161" s="13"/>
    </row>
    <row r="162" spans="1:9">
      <c r="A162" s="46"/>
      <c r="B162" s="13" t="s">
        <v>423</v>
      </c>
      <c r="E162" s="19" t="s">
        <v>424</v>
      </c>
      <c r="H162" s="44" t="s">
        <v>14</v>
      </c>
      <c r="I162" s="13"/>
    </row>
    <row r="163" spans="1:9">
      <c r="A163" s="46"/>
      <c r="B163" s="13" t="s">
        <v>425</v>
      </c>
      <c r="C163" s="18" t="s">
        <v>426</v>
      </c>
      <c r="D163" s="19" t="s">
        <v>427</v>
      </c>
      <c r="E163" s="19" t="s">
        <v>428</v>
      </c>
      <c r="H163" s="44" t="s">
        <v>14</v>
      </c>
      <c r="I163" s="13"/>
    </row>
    <row r="164" spans="1:9">
      <c r="A164" s="46"/>
      <c r="B164" s="13" t="s">
        <v>429</v>
      </c>
      <c r="E164" s="19" t="s">
        <v>430</v>
      </c>
      <c r="H164" s="44" t="s">
        <v>14</v>
      </c>
      <c r="I164" s="13"/>
    </row>
    <row r="165" spans="1:9">
      <c r="A165" s="46"/>
      <c r="B165" s="13" t="s">
        <v>431</v>
      </c>
      <c r="D165" s="19" t="s">
        <v>432</v>
      </c>
      <c r="E165" s="19" t="s">
        <v>433</v>
      </c>
      <c r="H165" s="44" t="s">
        <v>14</v>
      </c>
      <c r="I165" s="13"/>
    </row>
    <row r="166" spans="1:9">
      <c r="A166" s="46"/>
      <c r="B166" s="13" t="s">
        <v>434</v>
      </c>
      <c r="E166" s="19" t="s">
        <v>435</v>
      </c>
      <c r="H166" s="44" t="s">
        <v>14</v>
      </c>
      <c r="I166" s="13"/>
    </row>
    <row r="167" spans="1:9">
      <c r="A167" s="46"/>
      <c r="B167" s="13" t="s">
        <v>436</v>
      </c>
      <c r="E167" s="19" t="s">
        <v>437</v>
      </c>
      <c r="H167" s="44" t="s">
        <v>14</v>
      </c>
      <c r="I167" s="13"/>
    </row>
    <row r="168" spans="1:9">
      <c r="A168" s="46"/>
      <c r="B168" s="13" t="s">
        <v>438</v>
      </c>
      <c r="E168" s="19" t="s">
        <v>439</v>
      </c>
      <c r="H168" s="44" t="s">
        <v>14</v>
      </c>
      <c r="I168" s="13"/>
    </row>
    <row r="169" ht="33" spans="1:9">
      <c r="A169" s="46"/>
      <c r="B169" s="13" t="s">
        <v>440</v>
      </c>
      <c r="D169" s="19" t="s">
        <v>441</v>
      </c>
      <c r="E169" s="19" t="s">
        <v>442</v>
      </c>
      <c r="H169" s="44" t="s">
        <v>14</v>
      </c>
      <c r="I169" s="13"/>
    </row>
    <row r="170" ht="33" spans="1:9">
      <c r="A170" s="46"/>
      <c r="B170" s="13" t="s">
        <v>443</v>
      </c>
      <c r="E170" s="19" t="s">
        <v>444</v>
      </c>
      <c r="H170" s="44" t="s">
        <v>14</v>
      </c>
      <c r="I170" s="13"/>
    </row>
    <row r="171" spans="1:9">
      <c r="A171" s="46"/>
      <c r="B171" s="13" t="s">
        <v>445</v>
      </c>
      <c r="E171" s="19" t="s">
        <v>446</v>
      </c>
      <c r="H171" s="44" t="s">
        <v>14</v>
      </c>
      <c r="I171" s="13"/>
    </row>
    <row r="172" ht="33" spans="1:9">
      <c r="A172" s="46"/>
      <c r="B172" s="13" t="s">
        <v>447</v>
      </c>
      <c r="E172" s="19" t="s">
        <v>448</v>
      </c>
      <c r="H172" s="44" t="s">
        <v>14</v>
      </c>
      <c r="I172" s="13"/>
    </row>
    <row r="173" spans="1:9">
      <c r="A173" s="46"/>
      <c r="B173" s="13" t="s">
        <v>449</v>
      </c>
      <c r="E173" s="19" t="s">
        <v>450</v>
      </c>
      <c r="H173" s="44" t="s">
        <v>14</v>
      </c>
      <c r="I173" s="13"/>
    </row>
    <row r="174" spans="1:9">
      <c r="A174" s="46"/>
      <c r="B174" s="13" t="s">
        <v>451</v>
      </c>
      <c r="C174" s="18" t="s">
        <v>377</v>
      </c>
      <c r="D174" s="19" t="s">
        <v>452</v>
      </c>
      <c r="E174" s="19" t="s">
        <v>453</v>
      </c>
      <c r="F174" s="13" t="s">
        <v>102</v>
      </c>
      <c r="H174" s="18" t="s">
        <v>25</v>
      </c>
      <c r="I174" s="13"/>
    </row>
    <row r="175" spans="1:9">
      <c r="A175" s="46"/>
      <c r="B175" s="13" t="s">
        <v>454</v>
      </c>
      <c r="E175" s="19" t="s">
        <v>455</v>
      </c>
      <c r="H175" s="18" t="s">
        <v>25</v>
      </c>
      <c r="I175" s="13"/>
    </row>
    <row r="176" spans="1:9">
      <c r="A176" s="46"/>
      <c r="B176" s="13" t="s">
        <v>456</v>
      </c>
      <c r="E176" s="19" t="s">
        <v>457</v>
      </c>
      <c r="H176" s="18" t="s">
        <v>25</v>
      </c>
      <c r="I176" s="13"/>
    </row>
    <row r="177" spans="1:9">
      <c r="A177" s="46"/>
      <c r="B177" s="13" t="s">
        <v>458</v>
      </c>
      <c r="E177" s="19" t="s">
        <v>459</v>
      </c>
      <c r="H177" s="18" t="s">
        <v>25</v>
      </c>
      <c r="I177" s="13"/>
    </row>
    <row r="178" spans="1:9">
      <c r="A178" s="46"/>
      <c r="B178" s="13" t="s">
        <v>460</v>
      </c>
      <c r="E178" s="19" t="s">
        <v>461</v>
      </c>
      <c r="H178" s="18" t="s">
        <v>25</v>
      </c>
      <c r="I178" s="13"/>
    </row>
    <row r="179" spans="1:9">
      <c r="A179" s="46"/>
      <c r="B179" s="13" t="s">
        <v>462</v>
      </c>
      <c r="D179" s="19" t="s">
        <v>463</v>
      </c>
      <c r="E179" s="19" t="s">
        <v>453</v>
      </c>
      <c r="H179" s="18" t="s">
        <v>25</v>
      </c>
      <c r="I179" s="13"/>
    </row>
    <row r="180" spans="1:9">
      <c r="A180" s="46"/>
      <c r="B180" s="13" t="s">
        <v>464</v>
      </c>
      <c r="E180" s="19" t="s">
        <v>455</v>
      </c>
      <c r="H180" s="18" t="s">
        <v>25</v>
      </c>
      <c r="I180" s="13"/>
    </row>
    <row r="181" spans="1:9">
      <c r="A181" s="46"/>
      <c r="B181" s="13" t="s">
        <v>465</v>
      </c>
      <c r="E181" s="19" t="s">
        <v>457</v>
      </c>
      <c r="H181" s="18" t="s">
        <v>25</v>
      </c>
      <c r="I181" s="13"/>
    </row>
    <row r="182" spans="1:9">
      <c r="A182" s="46"/>
      <c r="B182" s="13" t="s">
        <v>466</v>
      </c>
      <c r="E182" s="19" t="s">
        <v>459</v>
      </c>
      <c r="H182" s="18" t="s">
        <v>25</v>
      </c>
      <c r="I182" s="13"/>
    </row>
    <row r="183" spans="1:9">
      <c r="A183" s="46"/>
      <c r="B183" s="13" t="s">
        <v>467</v>
      </c>
      <c r="E183" s="19" t="s">
        <v>461</v>
      </c>
      <c r="H183" s="18" t="s">
        <v>25</v>
      </c>
      <c r="I183" s="13"/>
    </row>
    <row r="184" spans="1:9">
      <c r="A184" s="46"/>
      <c r="B184" s="13" t="s">
        <v>468</v>
      </c>
      <c r="D184" s="19" t="s">
        <v>469</v>
      </c>
      <c r="E184" s="19" t="s">
        <v>453</v>
      </c>
      <c r="H184" s="18" t="s">
        <v>25</v>
      </c>
      <c r="I184" s="13"/>
    </row>
    <row r="185" spans="1:9">
      <c r="A185" s="46"/>
      <c r="B185" s="13" t="s">
        <v>470</v>
      </c>
      <c r="E185" s="19" t="s">
        <v>455</v>
      </c>
      <c r="H185" s="18" t="s">
        <v>25</v>
      </c>
      <c r="I185" s="13"/>
    </row>
    <row r="186" spans="1:9">
      <c r="A186" s="46"/>
      <c r="B186" s="13" t="s">
        <v>471</v>
      </c>
      <c r="E186" s="19" t="s">
        <v>457</v>
      </c>
      <c r="H186" s="18" t="s">
        <v>25</v>
      </c>
      <c r="I186" s="13"/>
    </row>
    <row r="187" spans="1:9">
      <c r="A187" s="46"/>
      <c r="B187" s="13" t="s">
        <v>472</v>
      </c>
      <c r="E187" s="19" t="s">
        <v>459</v>
      </c>
      <c r="H187" s="18" t="s">
        <v>25</v>
      </c>
      <c r="I187" s="13"/>
    </row>
    <row r="188" spans="1:9">
      <c r="A188" s="46"/>
      <c r="B188" s="13" t="s">
        <v>473</v>
      </c>
      <c r="E188" s="19" t="s">
        <v>461</v>
      </c>
      <c r="H188" s="18" t="s">
        <v>25</v>
      </c>
      <c r="I188" s="13"/>
    </row>
    <row r="189" spans="1:9">
      <c r="A189" s="46"/>
      <c r="B189" s="13" t="s">
        <v>474</v>
      </c>
      <c r="D189" s="19" t="s">
        <v>475</v>
      </c>
      <c r="E189" s="19" t="s">
        <v>453</v>
      </c>
      <c r="H189" s="18" t="s">
        <v>25</v>
      </c>
      <c r="I189" s="13"/>
    </row>
    <row r="190" spans="1:9">
      <c r="A190" s="46"/>
      <c r="B190" s="13" t="s">
        <v>476</v>
      </c>
      <c r="E190" s="19" t="s">
        <v>455</v>
      </c>
      <c r="H190" s="18" t="s">
        <v>25</v>
      </c>
      <c r="I190" s="13"/>
    </row>
    <row r="191" spans="1:9">
      <c r="A191" s="46"/>
      <c r="B191" s="13" t="s">
        <v>477</v>
      </c>
      <c r="E191" s="19" t="s">
        <v>457</v>
      </c>
      <c r="H191" s="18" t="s">
        <v>25</v>
      </c>
      <c r="I191" s="13"/>
    </row>
    <row r="192" spans="1:9">
      <c r="A192" s="46"/>
      <c r="B192" s="13" t="s">
        <v>478</v>
      </c>
      <c r="E192" s="19" t="s">
        <v>459</v>
      </c>
      <c r="H192" s="18" t="s">
        <v>25</v>
      </c>
      <c r="I192" s="13"/>
    </row>
    <row r="193" spans="1:9">
      <c r="A193" s="46"/>
      <c r="B193" s="13" t="s">
        <v>479</v>
      </c>
      <c r="E193" s="19" t="s">
        <v>461</v>
      </c>
      <c r="H193" s="18" t="s">
        <v>25</v>
      </c>
      <c r="I193" s="13"/>
    </row>
    <row r="194" spans="1:9">
      <c r="A194" s="46"/>
      <c r="B194" s="13" t="s">
        <v>480</v>
      </c>
      <c r="D194" s="19" t="s">
        <v>481</v>
      </c>
      <c r="E194" s="19" t="s">
        <v>453</v>
      </c>
      <c r="H194" s="18" t="s">
        <v>25</v>
      </c>
      <c r="I194" s="13"/>
    </row>
    <row r="195" spans="1:9">
      <c r="A195" s="46"/>
      <c r="B195" s="13" t="s">
        <v>482</v>
      </c>
      <c r="E195" s="19" t="s">
        <v>455</v>
      </c>
      <c r="H195" s="18" t="s">
        <v>25</v>
      </c>
      <c r="I195" s="13"/>
    </row>
    <row r="196" spans="1:9">
      <c r="A196" s="46"/>
      <c r="B196" s="13" t="s">
        <v>483</v>
      </c>
      <c r="E196" s="19" t="s">
        <v>457</v>
      </c>
      <c r="H196" s="18" t="s">
        <v>25</v>
      </c>
      <c r="I196" s="13"/>
    </row>
    <row r="197" spans="1:9">
      <c r="A197" s="46"/>
      <c r="B197" s="13" t="s">
        <v>484</v>
      </c>
      <c r="E197" s="19" t="s">
        <v>459</v>
      </c>
      <c r="H197" s="18" t="s">
        <v>25</v>
      </c>
      <c r="I197" s="13"/>
    </row>
    <row r="198" spans="1:9">
      <c r="A198" s="46"/>
      <c r="B198" s="13" t="s">
        <v>485</v>
      </c>
      <c r="E198" s="19" t="s">
        <v>461</v>
      </c>
      <c r="H198" s="18" t="s">
        <v>25</v>
      </c>
      <c r="I198" s="13"/>
    </row>
    <row r="199" spans="1:9">
      <c r="A199" s="46"/>
      <c r="B199" s="13" t="s">
        <v>486</v>
      </c>
      <c r="D199" s="19" t="s">
        <v>487</v>
      </c>
      <c r="E199" s="19" t="s">
        <v>453</v>
      </c>
      <c r="H199" s="18" t="s">
        <v>25</v>
      </c>
      <c r="I199" s="13"/>
    </row>
    <row r="200" spans="1:9">
      <c r="A200" s="46"/>
      <c r="B200" s="13" t="s">
        <v>488</v>
      </c>
      <c r="E200" s="19" t="s">
        <v>455</v>
      </c>
      <c r="H200" s="18" t="s">
        <v>25</v>
      </c>
      <c r="I200" s="13"/>
    </row>
    <row r="201" spans="1:9">
      <c r="A201" s="46"/>
      <c r="B201" s="13" t="s">
        <v>489</v>
      </c>
      <c r="E201" s="19" t="s">
        <v>457</v>
      </c>
      <c r="H201" s="18" t="s">
        <v>25</v>
      </c>
      <c r="I201" s="13"/>
    </row>
    <row r="202" spans="1:9">
      <c r="A202" s="46"/>
      <c r="B202" s="13" t="s">
        <v>490</v>
      </c>
      <c r="E202" s="19" t="s">
        <v>459</v>
      </c>
      <c r="H202" s="18" t="s">
        <v>25</v>
      </c>
      <c r="I202" s="13"/>
    </row>
    <row r="203" spans="1:9">
      <c r="A203" s="46"/>
      <c r="B203" s="13" t="s">
        <v>491</v>
      </c>
      <c r="E203" s="19" t="s">
        <v>461</v>
      </c>
      <c r="H203" s="18" t="s">
        <v>25</v>
      </c>
      <c r="I203" s="13"/>
    </row>
    <row r="204" spans="1:9">
      <c r="A204" s="46"/>
      <c r="B204" s="13" t="s">
        <v>492</v>
      </c>
      <c r="D204" s="19" t="s">
        <v>493</v>
      </c>
      <c r="E204" s="19" t="s">
        <v>453</v>
      </c>
      <c r="H204" s="18" t="s">
        <v>25</v>
      </c>
      <c r="I204" s="13"/>
    </row>
    <row r="205" spans="1:9">
      <c r="A205" s="46"/>
      <c r="B205" s="13" t="s">
        <v>494</v>
      </c>
      <c r="E205" s="19" t="s">
        <v>455</v>
      </c>
      <c r="H205" s="18" t="s">
        <v>25</v>
      </c>
      <c r="I205" s="13"/>
    </row>
    <row r="206" spans="1:9">
      <c r="A206" s="46"/>
      <c r="B206" s="13" t="s">
        <v>495</v>
      </c>
      <c r="E206" s="19" t="s">
        <v>457</v>
      </c>
      <c r="H206" s="18" t="s">
        <v>25</v>
      </c>
      <c r="I206" s="13"/>
    </row>
    <row r="207" spans="1:9">
      <c r="A207" s="46"/>
      <c r="B207" s="13" t="s">
        <v>496</v>
      </c>
      <c r="E207" s="19" t="s">
        <v>459</v>
      </c>
      <c r="H207" s="18" t="s">
        <v>25</v>
      </c>
      <c r="I207" s="13"/>
    </row>
    <row r="208" spans="1:9">
      <c r="A208" s="46"/>
      <c r="B208" s="13" t="s">
        <v>497</v>
      </c>
      <c r="E208" s="19" t="s">
        <v>461</v>
      </c>
      <c r="H208" s="18" t="s">
        <v>25</v>
      </c>
      <c r="I208" s="13"/>
    </row>
    <row r="209" spans="1:9">
      <c r="A209" s="46"/>
      <c r="B209" s="13" t="s">
        <v>498</v>
      </c>
      <c r="D209" s="19" t="s">
        <v>499</v>
      </c>
      <c r="E209" s="19" t="s">
        <v>453</v>
      </c>
      <c r="H209" s="18" t="s">
        <v>25</v>
      </c>
      <c r="I209" s="13"/>
    </row>
    <row r="210" spans="1:9">
      <c r="A210" s="46"/>
      <c r="B210" s="13" t="s">
        <v>500</v>
      </c>
      <c r="E210" s="19" t="s">
        <v>455</v>
      </c>
      <c r="H210" s="18" t="s">
        <v>25</v>
      </c>
      <c r="I210" s="13"/>
    </row>
    <row r="211" spans="1:9">
      <c r="A211" s="46"/>
      <c r="B211" s="13" t="s">
        <v>501</v>
      </c>
      <c r="E211" s="19" t="s">
        <v>457</v>
      </c>
      <c r="H211" s="18" t="s">
        <v>25</v>
      </c>
      <c r="I211" s="13"/>
    </row>
    <row r="212" spans="1:9">
      <c r="A212" s="46"/>
      <c r="B212" s="13" t="s">
        <v>502</v>
      </c>
      <c r="E212" s="19" t="s">
        <v>459</v>
      </c>
      <c r="H212" s="18" t="s">
        <v>25</v>
      </c>
      <c r="I212" s="13"/>
    </row>
    <row r="213" spans="1:9">
      <c r="A213" s="46"/>
      <c r="B213" s="13" t="s">
        <v>503</v>
      </c>
      <c r="E213" s="19" t="s">
        <v>461</v>
      </c>
      <c r="H213" s="18" t="s">
        <v>25</v>
      </c>
      <c r="I213" s="13"/>
    </row>
    <row r="214" spans="1:9">
      <c r="A214" s="46"/>
      <c r="B214" s="13" t="s">
        <v>504</v>
      </c>
      <c r="D214" s="19" t="s">
        <v>505</v>
      </c>
      <c r="E214" s="19" t="s">
        <v>453</v>
      </c>
      <c r="H214" s="18" t="s">
        <v>25</v>
      </c>
      <c r="I214" s="13"/>
    </row>
    <row r="215" spans="1:9">
      <c r="A215" s="46"/>
      <c r="B215" s="13" t="s">
        <v>506</v>
      </c>
      <c r="E215" s="19" t="s">
        <v>455</v>
      </c>
      <c r="H215" s="18" t="s">
        <v>25</v>
      </c>
      <c r="I215" s="13"/>
    </row>
    <row r="216" spans="1:9">
      <c r="A216" s="46"/>
      <c r="B216" s="13" t="s">
        <v>507</v>
      </c>
      <c r="E216" s="19" t="s">
        <v>457</v>
      </c>
      <c r="H216" s="18" t="s">
        <v>25</v>
      </c>
      <c r="I216" s="13"/>
    </row>
    <row r="217" spans="1:9">
      <c r="A217" s="46"/>
      <c r="B217" s="13" t="s">
        <v>508</v>
      </c>
      <c r="E217" s="19" t="s">
        <v>459</v>
      </c>
      <c r="H217" s="18" t="s">
        <v>25</v>
      </c>
      <c r="I217" s="13"/>
    </row>
    <row r="218" spans="1:9">
      <c r="A218" s="46"/>
      <c r="B218" s="13" t="s">
        <v>509</v>
      </c>
      <c r="E218" s="19" t="s">
        <v>461</v>
      </c>
      <c r="H218" s="18" t="s">
        <v>25</v>
      </c>
      <c r="I218" s="13"/>
    </row>
    <row r="219" spans="1:9">
      <c r="A219" s="46"/>
      <c r="B219" s="13" t="s">
        <v>510</v>
      </c>
      <c r="D219" s="19" t="s">
        <v>511</v>
      </c>
      <c r="E219" s="19" t="s">
        <v>453</v>
      </c>
      <c r="H219" s="18" t="s">
        <v>25</v>
      </c>
      <c r="I219" s="13"/>
    </row>
    <row r="220" spans="1:9">
      <c r="A220" s="46"/>
      <c r="B220" s="13" t="s">
        <v>512</v>
      </c>
      <c r="E220" s="19" t="s">
        <v>455</v>
      </c>
      <c r="H220" s="18" t="s">
        <v>25</v>
      </c>
      <c r="I220" s="13"/>
    </row>
    <row r="221" spans="1:9">
      <c r="A221" s="46"/>
      <c r="B221" s="13" t="s">
        <v>513</v>
      </c>
      <c r="E221" s="19" t="s">
        <v>457</v>
      </c>
      <c r="H221" s="18" t="s">
        <v>25</v>
      </c>
      <c r="I221" s="13"/>
    </row>
    <row r="222" spans="1:9">
      <c r="A222" s="46"/>
      <c r="B222" s="13" t="s">
        <v>514</v>
      </c>
      <c r="E222" s="19" t="s">
        <v>459</v>
      </c>
      <c r="H222" s="18" t="s">
        <v>25</v>
      </c>
      <c r="I222" s="13"/>
    </row>
    <row r="223" spans="1:9">
      <c r="A223" s="46"/>
      <c r="B223" s="13" t="s">
        <v>515</v>
      </c>
      <c r="E223" s="19" t="s">
        <v>461</v>
      </c>
      <c r="H223" s="18" t="s">
        <v>25</v>
      </c>
      <c r="I223" s="13"/>
    </row>
    <row r="224" spans="1:9">
      <c r="A224" s="18" t="s">
        <v>516</v>
      </c>
      <c r="B224" s="13" t="s">
        <v>517</v>
      </c>
      <c r="C224" s="18" t="s">
        <v>518</v>
      </c>
      <c r="D224" s="19" t="s">
        <v>519</v>
      </c>
      <c r="E224" s="19" t="s">
        <v>520</v>
      </c>
      <c r="H224" s="44" t="s">
        <v>14</v>
      </c>
      <c r="I224" s="13"/>
    </row>
    <row r="225" spans="1:9">
      <c r="A225" s="18"/>
      <c r="B225" s="13" t="s">
        <v>521</v>
      </c>
      <c r="E225" s="19" t="s">
        <v>522</v>
      </c>
      <c r="H225" s="44" t="s">
        <v>14</v>
      </c>
      <c r="I225" s="13"/>
    </row>
    <row r="226" spans="1:9">
      <c r="A226" s="18"/>
      <c r="B226" s="13" t="s">
        <v>523</v>
      </c>
      <c r="E226" s="19" t="s">
        <v>524</v>
      </c>
      <c r="H226" s="44" t="s">
        <v>14</v>
      </c>
      <c r="I226" s="13"/>
    </row>
    <row r="227" spans="1:9">
      <c r="A227" s="18"/>
      <c r="B227" s="13" t="s">
        <v>525</v>
      </c>
      <c r="E227" s="19" t="s">
        <v>526</v>
      </c>
      <c r="H227" s="44" t="s">
        <v>14</v>
      </c>
      <c r="I227" s="13"/>
    </row>
    <row r="228" ht="33" spans="1:9">
      <c r="A228" s="18"/>
      <c r="B228" s="13" t="s">
        <v>527</v>
      </c>
      <c r="E228" s="19" t="s">
        <v>528</v>
      </c>
      <c r="H228" s="44" t="s">
        <v>14</v>
      </c>
      <c r="I228" s="13"/>
    </row>
    <row r="229" spans="1:9">
      <c r="A229" s="18"/>
      <c r="B229" s="13" t="s">
        <v>529</v>
      </c>
      <c r="C229" s="18" t="s">
        <v>516</v>
      </c>
      <c r="D229" s="19" t="s">
        <v>530</v>
      </c>
      <c r="E229" s="19" t="s">
        <v>531</v>
      </c>
      <c r="H229" s="18" t="s">
        <v>25</v>
      </c>
      <c r="I229" s="13"/>
    </row>
    <row r="230" spans="1:9">
      <c r="A230" s="18"/>
      <c r="B230" s="13" t="s">
        <v>532</v>
      </c>
      <c r="E230" s="19" t="s">
        <v>533</v>
      </c>
      <c r="H230" s="18" t="s">
        <v>25</v>
      </c>
      <c r="I230" s="13"/>
    </row>
    <row r="231" ht="33" spans="1:9">
      <c r="A231" s="18"/>
      <c r="B231" s="13" t="s">
        <v>534</v>
      </c>
      <c r="E231" s="19" t="s">
        <v>535</v>
      </c>
      <c r="H231" s="18" t="s">
        <v>25</v>
      </c>
      <c r="I231" s="13"/>
    </row>
    <row r="232" ht="33" spans="1:9">
      <c r="A232" s="18"/>
      <c r="B232" s="13" t="s">
        <v>536</v>
      </c>
      <c r="E232" s="19" t="s">
        <v>537</v>
      </c>
      <c r="H232" s="18" t="s">
        <v>25</v>
      </c>
      <c r="I232" s="13"/>
    </row>
    <row r="233" spans="1:9">
      <c r="A233" s="18"/>
      <c r="B233" s="13" t="s">
        <v>538</v>
      </c>
      <c r="D233" s="19" t="s">
        <v>539</v>
      </c>
      <c r="E233" s="19" t="s">
        <v>531</v>
      </c>
      <c r="H233" s="18" t="s">
        <v>25</v>
      </c>
      <c r="I233" s="13"/>
    </row>
    <row r="234" spans="1:9">
      <c r="A234" s="18"/>
      <c r="B234" s="13" t="s">
        <v>540</v>
      </c>
      <c r="E234" s="19" t="s">
        <v>533</v>
      </c>
      <c r="H234" s="18" t="s">
        <v>25</v>
      </c>
      <c r="I234" s="13"/>
    </row>
    <row r="235" ht="33" spans="1:9">
      <c r="A235" s="18"/>
      <c r="B235" s="13" t="s">
        <v>541</v>
      </c>
      <c r="E235" s="19" t="s">
        <v>535</v>
      </c>
      <c r="H235" s="18" t="s">
        <v>25</v>
      </c>
      <c r="I235" s="13"/>
    </row>
    <row r="236" ht="33" spans="1:9">
      <c r="A236" s="18"/>
      <c r="B236" s="13" t="s">
        <v>542</v>
      </c>
      <c r="E236" s="19" t="s">
        <v>537</v>
      </c>
      <c r="H236" s="18" t="s">
        <v>25</v>
      </c>
      <c r="I236" s="13"/>
    </row>
    <row r="237" spans="1:9">
      <c r="A237" s="18"/>
      <c r="B237" s="13" t="s">
        <v>543</v>
      </c>
      <c r="D237" s="19" t="s">
        <v>544</v>
      </c>
      <c r="E237" s="19" t="s">
        <v>531</v>
      </c>
      <c r="H237" s="18" t="s">
        <v>25</v>
      </c>
      <c r="I237" s="13"/>
    </row>
    <row r="238" spans="1:9">
      <c r="A238" s="18"/>
      <c r="B238" s="13" t="s">
        <v>545</v>
      </c>
      <c r="E238" s="19" t="s">
        <v>533</v>
      </c>
      <c r="H238" s="18" t="s">
        <v>25</v>
      </c>
      <c r="I238" s="13"/>
    </row>
    <row r="239" ht="33" spans="1:9">
      <c r="A239" s="18"/>
      <c r="B239" s="13" t="s">
        <v>546</v>
      </c>
      <c r="E239" s="19" t="s">
        <v>535</v>
      </c>
      <c r="H239" s="18" t="s">
        <v>25</v>
      </c>
      <c r="I239" s="13"/>
    </row>
    <row r="240" ht="33" spans="1:9">
      <c r="A240" s="18"/>
      <c r="B240" s="13" t="s">
        <v>547</v>
      </c>
      <c r="E240" s="19" t="s">
        <v>537</v>
      </c>
      <c r="H240" s="18" t="s">
        <v>25</v>
      </c>
      <c r="I240" s="13"/>
    </row>
    <row r="241" spans="1:9">
      <c r="A241" s="18"/>
      <c r="B241" s="13" t="s">
        <v>548</v>
      </c>
      <c r="D241" s="19" t="s">
        <v>549</v>
      </c>
      <c r="E241" s="19" t="s">
        <v>531</v>
      </c>
      <c r="H241" s="18" t="s">
        <v>25</v>
      </c>
      <c r="I241" s="13"/>
    </row>
    <row r="242" spans="1:9">
      <c r="A242" s="18"/>
      <c r="B242" s="13" t="s">
        <v>550</v>
      </c>
      <c r="E242" s="19" t="s">
        <v>533</v>
      </c>
      <c r="H242" s="18" t="s">
        <v>25</v>
      </c>
      <c r="I242" s="13"/>
    </row>
    <row r="243" ht="33" spans="1:9">
      <c r="A243" s="18"/>
      <c r="B243" s="13" t="s">
        <v>551</v>
      </c>
      <c r="E243" s="19" t="s">
        <v>535</v>
      </c>
      <c r="H243" s="18" t="s">
        <v>25</v>
      </c>
      <c r="I243" s="13"/>
    </row>
    <row r="244" ht="33" spans="1:9">
      <c r="A244" s="18"/>
      <c r="B244" s="13" t="s">
        <v>552</v>
      </c>
      <c r="E244" s="19" t="s">
        <v>537</v>
      </c>
      <c r="H244" s="18" t="s">
        <v>25</v>
      </c>
      <c r="I244" s="13"/>
    </row>
    <row r="245" spans="1:9">
      <c r="A245" s="18"/>
      <c r="B245" s="13" t="s">
        <v>553</v>
      </c>
      <c r="D245" s="19" t="s">
        <v>554</v>
      </c>
      <c r="E245" s="19" t="s">
        <v>531</v>
      </c>
      <c r="H245" s="18" t="s">
        <v>25</v>
      </c>
      <c r="I245" s="13"/>
    </row>
    <row r="246" spans="1:9">
      <c r="A246" s="18"/>
      <c r="B246" s="13" t="s">
        <v>555</v>
      </c>
      <c r="E246" s="19" t="s">
        <v>533</v>
      </c>
      <c r="H246" s="18" t="s">
        <v>25</v>
      </c>
      <c r="I246" s="13"/>
    </row>
    <row r="247" ht="33" spans="1:9">
      <c r="A247" s="18"/>
      <c r="B247" s="13" t="s">
        <v>556</v>
      </c>
      <c r="E247" s="19" t="s">
        <v>535</v>
      </c>
      <c r="H247" s="18" t="s">
        <v>25</v>
      </c>
      <c r="I247" s="13"/>
    </row>
    <row r="248" ht="33" spans="1:9">
      <c r="A248" s="18"/>
      <c r="B248" s="13" t="s">
        <v>557</v>
      </c>
      <c r="E248" s="19" t="s">
        <v>537</v>
      </c>
      <c r="H248" s="18" t="s">
        <v>25</v>
      </c>
      <c r="I248" s="13"/>
    </row>
    <row r="249" spans="1:9">
      <c r="A249" s="18"/>
      <c r="B249" s="13" t="s">
        <v>558</v>
      </c>
      <c r="D249" s="19" t="s">
        <v>559</v>
      </c>
      <c r="E249" s="19" t="s">
        <v>531</v>
      </c>
      <c r="H249" s="18" t="s">
        <v>25</v>
      </c>
      <c r="I249" s="13"/>
    </row>
    <row r="250" spans="1:9">
      <c r="A250" s="18"/>
      <c r="B250" s="13" t="s">
        <v>560</v>
      </c>
      <c r="E250" s="19" t="s">
        <v>533</v>
      </c>
      <c r="H250" s="18" t="s">
        <v>25</v>
      </c>
      <c r="I250" s="13"/>
    </row>
    <row r="251" ht="33" spans="1:9">
      <c r="A251" s="18"/>
      <c r="B251" s="13" t="s">
        <v>561</v>
      </c>
      <c r="E251" s="19" t="s">
        <v>535</v>
      </c>
      <c r="H251" s="18" t="s">
        <v>25</v>
      </c>
      <c r="I251" s="13"/>
    </row>
    <row r="252" ht="33" spans="1:9">
      <c r="A252" s="18"/>
      <c r="B252" s="13" t="s">
        <v>562</v>
      </c>
      <c r="E252" s="19" t="s">
        <v>537</v>
      </c>
      <c r="H252" s="18" t="s">
        <v>25</v>
      </c>
      <c r="I252" s="13"/>
    </row>
    <row r="253" spans="1:9">
      <c r="A253" s="18"/>
      <c r="B253" s="13" t="s">
        <v>563</v>
      </c>
      <c r="D253" s="19" t="s">
        <v>564</v>
      </c>
      <c r="E253" s="19" t="s">
        <v>531</v>
      </c>
      <c r="H253" s="18" t="s">
        <v>25</v>
      </c>
      <c r="I253" s="13"/>
    </row>
    <row r="254" spans="1:9">
      <c r="A254" s="18"/>
      <c r="B254" s="13" t="s">
        <v>565</v>
      </c>
      <c r="E254" s="19" t="s">
        <v>533</v>
      </c>
      <c r="H254" s="18" t="s">
        <v>25</v>
      </c>
      <c r="I254" s="13"/>
    </row>
    <row r="255" ht="33" spans="1:9">
      <c r="A255" s="18"/>
      <c r="B255" s="13" t="s">
        <v>566</v>
      </c>
      <c r="E255" s="19" t="s">
        <v>535</v>
      </c>
      <c r="H255" s="18" t="s">
        <v>25</v>
      </c>
      <c r="I255" s="13"/>
    </row>
    <row r="256" ht="33" spans="1:9">
      <c r="A256" s="18"/>
      <c r="B256" s="13" t="s">
        <v>567</v>
      </c>
      <c r="E256" s="19" t="s">
        <v>537</v>
      </c>
      <c r="H256" s="18" t="s">
        <v>25</v>
      </c>
      <c r="I256" s="13"/>
    </row>
    <row r="257" spans="1:9">
      <c r="A257" s="18"/>
      <c r="B257" s="13" t="s">
        <v>568</v>
      </c>
      <c r="D257" s="19" t="s">
        <v>569</v>
      </c>
      <c r="E257" s="19" t="s">
        <v>531</v>
      </c>
      <c r="H257" s="18" t="s">
        <v>25</v>
      </c>
      <c r="I257" s="13"/>
    </row>
    <row r="258" spans="1:9">
      <c r="A258" s="18"/>
      <c r="B258" s="13" t="s">
        <v>570</v>
      </c>
      <c r="E258" s="19" t="s">
        <v>533</v>
      </c>
      <c r="H258" s="18" t="s">
        <v>25</v>
      </c>
      <c r="I258" s="13"/>
    </row>
    <row r="259" ht="33" spans="1:9">
      <c r="A259" s="18"/>
      <c r="B259" s="13" t="s">
        <v>571</v>
      </c>
      <c r="E259" s="19" t="s">
        <v>535</v>
      </c>
      <c r="H259" s="18" t="s">
        <v>25</v>
      </c>
      <c r="I259" s="13"/>
    </row>
    <row r="260" ht="33" spans="1:9">
      <c r="A260" s="18"/>
      <c r="B260" s="13" t="s">
        <v>572</v>
      </c>
      <c r="E260" s="19" t="s">
        <v>537</v>
      </c>
      <c r="H260" s="18" t="s">
        <v>25</v>
      </c>
      <c r="I260" s="13"/>
    </row>
    <row r="261" spans="1:9">
      <c r="A261" s="18"/>
      <c r="B261" s="13" t="s">
        <v>573</v>
      </c>
      <c r="D261" s="19" t="s">
        <v>574</v>
      </c>
      <c r="E261" s="19" t="s">
        <v>531</v>
      </c>
      <c r="H261" s="18" t="s">
        <v>25</v>
      </c>
      <c r="I261" s="13"/>
    </row>
    <row r="262" spans="1:9">
      <c r="A262" s="18"/>
      <c r="B262" s="13" t="s">
        <v>575</v>
      </c>
      <c r="E262" s="19" t="s">
        <v>533</v>
      </c>
      <c r="H262" s="18" t="s">
        <v>25</v>
      </c>
      <c r="I262" s="13"/>
    </row>
    <row r="263" ht="33" spans="1:9">
      <c r="A263" s="18"/>
      <c r="B263" s="13" t="s">
        <v>576</v>
      </c>
      <c r="E263" s="19" t="s">
        <v>535</v>
      </c>
      <c r="H263" s="18" t="s">
        <v>25</v>
      </c>
      <c r="I263" s="13"/>
    </row>
    <row r="264" ht="33" spans="1:9">
      <c r="A264" s="18"/>
      <c r="B264" s="13" t="s">
        <v>577</v>
      </c>
      <c r="E264" s="19" t="s">
        <v>537</v>
      </c>
      <c r="H264" s="18" t="s">
        <v>25</v>
      </c>
      <c r="I264" s="13"/>
    </row>
    <row r="265" spans="1:9">
      <c r="A265" s="18"/>
      <c r="B265" s="13" t="s">
        <v>578</v>
      </c>
      <c r="D265" s="19" t="s">
        <v>579</v>
      </c>
      <c r="E265" s="19" t="s">
        <v>531</v>
      </c>
      <c r="H265" s="18" t="s">
        <v>25</v>
      </c>
      <c r="I265" s="13"/>
    </row>
    <row r="266" spans="1:9">
      <c r="A266" s="18"/>
      <c r="B266" s="13" t="s">
        <v>580</v>
      </c>
      <c r="E266" s="19" t="s">
        <v>533</v>
      </c>
      <c r="H266" s="18" t="s">
        <v>25</v>
      </c>
      <c r="I266" s="13"/>
    </row>
    <row r="267" ht="33" spans="1:9">
      <c r="A267" s="18"/>
      <c r="B267" s="13" t="s">
        <v>581</v>
      </c>
      <c r="E267" s="19" t="s">
        <v>535</v>
      </c>
      <c r="H267" s="18" t="s">
        <v>25</v>
      </c>
      <c r="I267" s="13"/>
    </row>
    <row r="268" ht="33" spans="1:9">
      <c r="A268" s="18"/>
      <c r="B268" s="13" t="s">
        <v>582</v>
      </c>
      <c r="E268" s="19" t="s">
        <v>537</v>
      </c>
      <c r="H268" s="18" t="s">
        <v>25</v>
      </c>
      <c r="I268" s="13"/>
    </row>
    <row r="269" spans="1:9">
      <c r="A269" s="18" t="s">
        <v>583</v>
      </c>
      <c r="B269" s="13" t="s">
        <v>584</v>
      </c>
      <c r="C269" s="18" t="s">
        <v>585</v>
      </c>
      <c r="D269" s="19" t="s">
        <v>586</v>
      </c>
      <c r="E269" s="19" t="s">
        <v>587</v>
      </c>
      <c r="H269" s="44" t="s">
        <v>14</v>
      </c>
      <c r="I269" s="13"/>
    </row>
    <row r="270" spans="1:9">
      <c r="A270" s="18"/>
      <c r="B270" s="13" t="s">
        <v>588</v>
      </c>
      <c r="E270" s="19" t="s">
        <v>589</v>
      </c>
      <c r="H270" s="44" t="s">
        <v>14</v>
      </c>
      <c r="I270" s="13"/>
    </row>
    <row r="271" spans="1:9">
      <c r="A271" s="18"/>
      <c r="B271" s="13" t="s">
        <v>590</v>
      </c>
      <c r="E271" s="19" t="s">
        <v>591</v>
      </c>
      <c r="H271" s="44" t="s">
        <v>14</v>
      </c>
      <c r="I271" s="13"/>
    </row>
    <row r="272" spans="1:9">
      <c r="A272" s="18"/>
      <c r="B272" s="13" t="s">
        <v>592</v>
      </c>
      <c r="C272" s="18" t="s">
        <v>593</v>
      </c>
      <c r="D272" s="19" t="s">
        <v>594</v>
      </c>
      <c r="E272" s="19" t="s">
        <v>595</v>
      </c>
      <c r="H272" s="18" t="s">
        <v>25</v>
      </c>
      <c r="I272" s="13"/>
    </row>
    <row r="273" spans="1:9">
      <c r="A273" s="18"/>
      <c r="B273" s="13" t="s">
        <v>596</v>
      </c>
      <c r="D273" s="19" t="s">
        <v>597</v>
      </c>
      <c r="E273" s="19" t="s">
        <v>598</v>
      </c>
      <c r="H273" s="44" t="s">
        <v>14</v>
      </c>
      <c r="I273" s="13"/>
    </row>
    <row r="274" ht="33" spans="1:9">
      <c r="A274" s="18"/>
      <c r="B274" s="13" t="s">
        <v>599</v>
      </c>
      <c r="E274" s="19" t="s">
        <v>600</v>
      </c>
      <c r="H274" s="18" t="s">
        <v>25</v>
      </c>
      <c r="I274" s="13"/>
    </row>
    <row r="275" spans="1:9">
      <c r="A275" s="18"/>
      <c r="B275" s="13" t="s">
        <v>601</v>
      </c>
      <c r="E275" s="19" t="s">
        <v>602</v>
      </c>
      <c r="H275" s="44" t="s">
        <v>14</v>
      </c>
      <c r="I275" s="13"/>
    </row>
    <row r="276" spans="1:9">
      <c r="A276" s="18"/>
      <c r="B276" s="13" t="s">
        <v>603</v>
      </c>
      <c r="D276" s="19" t="s">
        <v>604</v>
      </c>
      <c r="E276" s="19" t="s">
        <v>605</v>
      </c>
      <c r="H276" s="44" t="s">
        <v>14</v>
      </c>
      <c r="I276" s="13"/>
    </row>
    <row r="277" spans="1:9">
      <c r="A277" s="18"/>
      <c r="B277" s="13" t="s">
        <v>606</v>
      </c>
      <c r="E277" s="19" t="s">
        <v>607</v>
      </c>
      <c r="H277" s="44" t="s">
        <v>14</v>
      </c>
      <c r="I277" s="13"/>
    </row>
    <row r="278" spans="1:9">
      <c r="A278" s="18"/>
      <c r="B278" s="13" t="s">
        <v>608</v>
      </c>
      <c r="D278" s="19" t="s">
        <v>609</v>
      </c>
      <c r="E278" s="19" t="s">
        <v>610</v>
      </c>
      <c r="H278" s="44" t="s">
        <v>14</v>
      </c>
      <c r="I278" s="13"/>
    </row>
    <row r="279" spans="1:9">
      <c r="A279" s="18"/>
      <c r="B279" s="13" t="s">
        <v>611</v>
      </c>
      <c r="E279" s="19" t="s">
        <v>612</v>
      </c>
      <c r="H279" s="44" t="s">
        <v>14</v>
      </c>
      <c r="I279" s="13"/>
    </row>
    <row r="280" ht="33" spans="1:9">
      <c r="A280" s="18"/>
      <c r="B280" s="13" t="s">
        <v>613</v>
      </c>
      <c r="D280" s="19" t="s">
        <v>614</v>
      </c>
      <c r="E280" s="19" t="s">
        <v>615</v>
      </c>
      <c r="H280" s="44" t="s">
        <v>14</v>
      </c>
      <c r="I280" s="13"/>
    </row>
    <row r="281" spans="1:9">
      <c r="A281" s="18"/>
      <c r="B281" s="13" t="s">
        <v>616</v>
      </c>
      <c r="E281" s="19" t="s">
        <v>617</v>
      </c>
      <c r="H281" s="44" t="s">
        <v>14</v>
      </c>
      <c r="I281" s="13"/>
    </row>
    <row r="282" spans="1:9">
      <c r="A282" s="18"/>
      <c r="B282" s="13" t="s">
        <v>618</v>
      </c>
      <c r="E282" s="19" t="s">
        <v>619</v>
      </c>
      <c r="H282" s="44" t="s">
        <v>14</v>
      </c>
      <c r="I282" s="13"/>
    </row>
    <row r="283" spans="1:9">
      <c r="A283" s="18"/>
      <c r="B283" s="13" t="s">
        <v>620</v>
      </c>
      <c r="E283" s="19" t="s">
        <v>621</v>
      </c>
      <c r="H283" s="44" t="s">
        <v>14</v>
      </c>
      <c r="I283" s="13"/>
    </row>
    <row r="284" ht="33" spans="1:9">
      <c r="A284" s="18"/>
      <c r="B284" s="13" t="s">
        <v>622</v>
      </c>
      <c r="E284" s="19" t="s">
        <v>623</v>
      </c>
      <c r="H284" s="44" t="s">
        <v>14</v>
      </c>
      <c r="I284" s="13"/>
    </row>
    <row r="285" ht="33" spans="1:9">
      <c r="A285" s="18"/>
      <c r="B285" s="13" t="s">
        <v>624</v>
      </c>
      <c r="D285" s="19" t="s">
        <v>625</v>
      </c>
      <c r="E285" s="19" t="s">
        <v>626</v>
      </c>
      <c r="H285" s="44" t="s">
        <v>14</v>
      </c>
      <c r="I285" s="13"/>
    </row>
    <row r="286" spans="1:9">
      <c r="A286" s="18"/>
      <c r="B286" s="13" t="s">
        <v>627</v>
      </c>
      <c r="E286" s="19" t="s">
        <v>628</v>
      </c>
      <c r="H286" s="44" t="s">
        <v>14</v>
      </c>
      <c r="I286" s="13"/>
    </row>
    <row r="287" spans="1:9">
      <c r="A287" s="18"/>
      <c r="B287" s="13" t="s">
        <v>629</v>
      </c>
      <c r="E287" s="19" t="s">
        <v>630</v>
      </c>
      <c r="H287" s="44" t="s">
        <v>14</v>
      </c>
      <c r="I287" s="13"/>
    </row>
    <row r="288" ht="33" spans="1:9">
      <c r="A288" s="18"/>
      <c r="B288" s="13" t="s">
        <v>631</v>
      </c>
      <c r="E288" s="19" t="s">
        <v>632</v>
      </c>
      <c r="H288" s="44" t="s">
        <v>14</v>
      </c>
      <c r="I288" s="13"/>
    </row>
    <row r="289" spans="1:9">
      <c r="A289" s="18"/>
      <c r="B289" s="13" t="s">
        <v>633</v>
      </c>
      <c r="D289" s="19" t="s">
        <v>634</v>
      </c>
      <c r="E289" s="19" t="s">
        <v>635</v>
      </c>
      <c r="H289" s="44" t="s">
        <v>14</v>
      </c>
      <c r="I289" s="13"/>
    </row>
    <row r="290" spans="1:9">
      <c r="A290" s="18"/>
      <c r="B290" s="13" t="s">
        <v>636</v>
      </c>
      <c r="C290" s="18" t="s">
        <v>637</v>
      </c>
      <c r="D290" s="19" t="s">
        <v>638</v>
      </c>
      <c r="E290" s="19" t="s">
        <v>639</v>
      </c>
      <c r="H290" s="44" t="s">
        <v>14</v>
      </c>
      <c r="I290" s="13"/>
    </row>
    <row r="291" spans="1:9">
      <c r="A291" s="18"/>
      <c r="B291" s="13" t="s">
        <v>640</v>
      </c>
      <c r="E291" s="19" t="s">
        <v>641</v>
      </c>
      <c r="H291" s="44" t="s">
        <v>14</v>
      </c>
      <c r="I291" s="13"/>
    </row>
    <row r="292" spans="1:9">
      <c r="A292" s="18"/>
      <c r="B292" s="13" t="s">
        <v>642</v>
      </c>
      <c r="D292" s="19" t="s">
        <v>643</v>
      </c>
      <c r="E292" s="19" t="s">
        <v>644</v>
      </c>
      <c r="H292" s="44" t="s">
        <v>14</v>
      </c>
      <c r="I292" s="13"/>
    </row>
    <row r="293" spans="1:9">
      <c r="A293" s="18"/>
      <c r="B293" s="13" t="s">
        <v>645</v>
      </c>
      <c r="E293" s="19" t="s">
        <v>646</v>
      </c>
      <c r="H293" s="44" t="s">
        <v>14</v>
      </c>
      <c r="I293" s="13"/>
    </row>
    <row r="294" ht="33" spans="1:9">
      <c r="A294" s="18"/>
      <c r="B294" s="13" t="s">
        <v>647</v>
      </c>
      <c r="E294" s="19" t="s">
        <v>648</v>
      </c>
      <c r="H294" s="44" t="s">
        <v>14</v>
      </c>
      <c r="I294" s="13"/>
    </row>
    <row r="295" spans="1:9">
      <c r="A295" s="18"/>
      <c r="B295" s="13" t="s">
        <v>649</v>
      </c>
      <c r="D295" s="19" t="s">
        <v>650</v>
      </c>
      <c r="E295" s="19" t="s">
        <v>651</v>
      </c>
      <c r="H295" s="44" t="s">
        <v>14</v>
      </c>
      <c r="I295" s="13"/>
    </row>
    <row r="296" spans="1:9">
      <c r="A296" s="18"/>
      <c r="B296" s="13" t="s">
        <v>652</v>
      </c>
      <c r="E296" s="19" t="s">
        <v>653</v>
      </c>
      <c r="H296" s="44" t="s">
        <v>14</v>
      </c>
      <c r="I296" s="13"/>
    </row>
    <row r="297" spans="1:9">
      <c r="A297" s="18"/>
      <c r="B297" s="13" t="s">
        <v>654</v>
      </c>
      <c r="D297" s="19" t="s">
        <v>655</v>
      </c>
      <c r="E297" s="19" t="s">
        <v>656</v>
      </c>
      <c r="H297" s="44" t="s">
        <v>14</v>
      </c>
      <c r="I297" s="13"/>
    </row>
    <row r="298" spans="1:9">
      <c r="A298" s="18"/>
      <c r="B298" s="13" t="s">
        <v>657</v>
      </c>
      <c r="E298" s="19" t="s">
        <v>658</v>
      </c>
      <c r="H298" s="44" t="s">
        <v>14</v>
      </c>
      <c r="I298" s="13"/>
    </row>
    <row r="299" ht="33" spans="1:9">
      <c r="A299" s="18"/>
      <c r="B299" s="13" t="s">
        <v>659</v>
      </c>
      <c r="E299" s="19" t="s">
        <v>660</v>
      </c>
      <c r="H299" s="44" t="s">
        <v>14</v>
      </c>
      <c r="I299" s="13"/>
    </row>
    <row r="300" ht="33" spans="1:9">
      <c r="A300" s="18"/>
      <c r="B300" s="13" t="s">
        <v>661</v>
      </c>
      <c r="E300" s="19" t="s">
        <v>662</v>
      </c>
      <c r="H300" s="44" t="s">
        <v>14</v>
      </c>
      <c r="I300" s="13"/>
    </row>
    <row r="301" ht="33" spans="1:9">
      <c r="A301" s="18"/>
      <c r="B301" s="13" t="s">
        <v>663</v>
      </c>
      <c r="D301" s="19" t="s">
        <v>664</v>
      </c>
      <c r="E301" s="19" t="s">
        <v>665</v>
      </c>
      <c r="H301" s="44" t="s">
        <v>14</v>
      </c>
      <c r="I301" s="13"/>
    </row>
    <row r="302" spans="1:9">
      <c r="A302" s="18"/>
      <c r="B302" s="13" t="s">
        <v>666</v>
      </c>
      <c r="E302" s="19" t="s">
        <v>667</v>
      </c>
      <c r="H302" s="44" t="s">
        <v>14</v>
      </c>
      <c r="I302" s="13"/>
    </row>
    <row r="303" ht="33" spans="1:9">
      <c r="A303" s="18"/>
      <c r="B303" s="13" t="s">
        <v>668</v>
      </c>
      <c r="E303" s="19" t="s">
        <v>669</v>
      </c>
      <c r="H303" s="44" t="s">
        <v>14</v>
      </c>
      <c r="I303" s="13"/>
    </row>
    <row r="304" ht="33" spans="1:9">
      <c r="A304" s="18"/>
      <c r="B304" s="13" t="s">
        <v>670</v>
      </c>
      <c r="E304" s="19" t="s">
        <v>671</v>
      </c>
      <c r="H304" s="44" t="s">
        <v>14</v>
      </c>
      <c r="I304" s="13"/>
    </row>
    <row r="305" ht="33" spans="1:9">
      <c r="A305" s="18"/>
      <c r="B305" s="13" t="s">
        <v>672</v>
      </c>
      <c r="E305" s="19" t="s">
        <v>673</v>
      </c>
      <c r="H305" s="44" t="s">
        <v>14</v>
      </c>
      <c r="I305" s="13"/>
    </row>
    <row r="306" spans="1:9">
      <c r="A306" s="18"/>
      <c r="B306" s="13" t="s">
        <v>674</v>
      </c>
      <c r="E306" s="19" t="s">
        <v>675</v>
      </c>
      <c r="H306" s="44" t="s">
        <v>14</v>
      </c>
      <c r="I306" s="13"/>
    </row>
    <row r="307" spans="1:9">
      <c r="A307" s="18"/>
      <c r="B307" s="13" t="s">
        <v>676</v>
      </c>
      <c r="E307" s="19" t="s">
        <v>677</v>
      </c>
      <c r="H307" s="44" t="s">
        <v>14</v>
      </c>
      <c r="I307" s="13"/>
    </row>
    <row r="308" spans="1:9">
      <c r="A308" s="18"/>
      <c r="B308" s="13" t="s">
        <v>678</v>
      </c>
      <c r="E308" s="19" t="s">
        <v>679</v>
      </c>
      <c r="H308" s="44" t="s">
        <v>14</v>
      </c>
      <c r="I308" s="13"/>
    </row>
    <row r="309" ht="15" spans="1:11">
      <c r="A309" s="47" t="s">
        <v>680</v>
      </c>
      <c r="B309" s="47"/>
      <c r="C309" s="47"/>
      <c r="D309" s="47"/>
      <c r="E309" s="47"/>
      <c r="F309" s="47"/>
      <c r="G309" s="47"/>
      <c r="H309" s="47"/>
      <c r="I309" s="47"/>
      <c r="J309" s="47"/>
      <c r="K309" s="47"/>
    </row>
    <row r="310" spans="1:11">
      <c r="A310" s="41" t="s">
        <v>30</v>
      </c>
      <c r="B310" s="42" t="s">
        <v>31</v>
      </c>
      <c r="C310" s="42" t="s">
        <v>32</v>
      </c>
      <c r="D310" s="43" t="s">
        <v>33</v>
      </c>
      <c r="E310" s="26" t="s">
        <v>34</v>
      </c>
      <c r="F310" s="42" t="s">
        <v>35</v>
      </c>
      <c r="G310" s="42" t="s">
        <v>36</v>
      </c>
      <c r="H310" s="42" t="s">
        <v>37</v>
      </c>
      <c r="I310" s="42"/>
      <c r="J310" s="42"/>
      <c r="K310" s="60" t="s">
        <v>6</v>
      </c>
    </row>
    <row r="311" ht="33" spans="1:9">
      <c r="A311" s="18" t="s">
        <v>85</v>
      </c>
      <c r="B311" s="13" t="s">
        <v>681</v>
      </c>
      <c r="C311" s="18" t="s">
        <v>85</v>
      </c>
      <c r="D311" s="19" t="s">
        <v>87</v>
      </c>
      <c r="E311" s="19" t="s">
        <v>88</v>
      </c>
      <c r="H311" s="44" t="s">
        <v>14</v>
      </c>
      <c r="I311" s="13"/>
    </row>
    <row r="312" spans="1:9">
      <c r="A312" s="18"/>
      <c r="B312" s="13" t="s">
        <v>682</v>
      </c>
      <c r="D312" s="19" t="s">
        <v>683</v>
      </c>
      <c r="E312" s="19" t="s">
        <v>684</v>
      </c>
      <c r="H312" s="44" t="s">
        <v>14</v>
      </c>
      <c r="I312" s="13"/>
    </row>
    <row r="313" spans="1:9">
      <c r="A313" s="18"/>
      <c r="B313" s="13" t="s">
        <v>685</v>
      </c>
      <c r="D313" s="19" t="s">
        <v>93</v>
      </c>
      <c r="E313" s="19" t="s">
        <v>686</v>
      </c>
      <c r="H313" s="44" t="s">
        <v>14</v>
      </c>
      <c r="I313" s="13"/>
    </row>
    <row r="314" spans="1:9">
      <c r="A314" s="18"/>
      <c r="B314" s="13" t="s">
        <v>687</v>
      </c>
      <c r="D314" s="19" t="s">
        <v>96</v>
      </c>
      <c r="E314" s="19" t="s">
        <v>97</v>
      </c>
      <c r="H314" s="44" t="s">
        <v>14</v>
      </c>
      <c r="I314" s="13"/>
    </row>
    <row r="315" ht="33" spans="1:9">
      <c r="A315" s="18"/>
      <c r="B315" s="13" t="s">
        <v>688</v>
      </c>
      <c r="C315" s="18" t="s">
        <v>99</v>
      </c>
      <c r="D315" s="19" t="s">
        <v>689</v>
      </c>
      <c r="E315" s="19" t="s">
        <v>690</v>
      </c>
      <c r="H315" s="44" t="s">
        <v>14</v>
      </c>
      <c r="I315" s="13"/>
    </row>
    <row r="316" ht="33" spans="1:9">
      <c r="A316" s="18" t="s">
        <v>691</v>
      </c>
      <c r="B316" s="13" t="s">
        <v>692</v>
      </c>
      <c r="C316" s="18" t="s">
        <v>693</v>
      </c>
      <c r="D316" s="19" t="s">
        <v>694</v>
      </c>
      <c r="E316" s="19" t="s">
        <v>695</v>
      </c>
      <c r="H316" s="44" t="s">
        <v>14</v>
      </c>
      <c r="I316" s="13"/>
    </row>
    <row r="317" ht="33" spans="1:9">
      <c r="A317" s="18"/>
      <c r="B317" s="13" t="s">
        <v>696</v>
      </c>
      <c r="E317" s="19" t="s">
        <v>697</v>
      </c>
      <c r="H317" s="44" t="s">
        <v>14</v>
      </c>
      <c r="I317" s="13"/>
    </row>
    <row r="318" spans="1:9">
      <c r="A318" s="18"/>
      <c r="B318" s="13" t="s">
        <v>698</v>
      </c>
      <c r="C318" s="18" t="s">
        <v>354</v>
      </c>
      <c r="D318" s="19" t="s">
        <v>303</v>
      </c>
      <c r="E318" s="19" t="s">
        <v>304</v>
      </c>
      <c r="H318" s="44" t="s">
        <v>14</v>
      </c>
      <c r="I318" s="13"/>
    </row>
    <row r="319" spans="1:9">
      <c r="A319" s="18"/>
      <c r="B319" s="13" t="s">
        <v>699</v>
      </c>
      <c r="E319" s="19" t="s">
        <v>306</v>
      </c>
      <c r="H319" s="44" t="s">
        <v>14</v>
      </c>
      <c r="I319" s="13"/>
    </row>
    <row r="320" spans="1:9">
      <c r="A320" s="18"/>
      <c r="B320" s="13" t="s">
        <v>700</v>
      </c>
      <c r="D320" s="19" t="s">
        <v>355</v>
      </c>
      <c r="E320" s="19" t="s">
        <v>356</v>
      </c>
      <c r="H320" s="44" t="s">
        <v>14</v>
      </c>
      <c r="I320" s="13"/>
    </row>
    <row r="321" spans="1:9">
      <c r="A321" s="18"/>
      <c r="B321" s="13" t="s">
        <v>701</v>
      </c>
      <c r="D321" s="19" t="s">
        <v>702</v>
      </c>
      <c r="E321" s="19" t="s">
        <v>703</v>
      </c>
      <c r="H321" s="44" t="s">
        <v>14</v>
      </c>
      <c r="I321" s="13"/>
    </row>
    <row r="322" spans="1:9">
      <c r="A322" s="18"/>
      <c r="B322" s="13" t="s">
        <v>704</v>
      </c>
      <c r="D322" s="19" t="s">
        <v>365</v>
      </c>
      <c r="E322" s="19" t="s">
        <v>366</v>
      </c>
      <c r="H322" s="44" t="s">
        <v>14</v>
      </c>
      <c r="I322" s="13"/>
    </row>
    <row r="323" spans="1:9">
      <c r="A323" s="18"/>
      <c r="B323" s="13" t="s">
        <v>705</v>
      </c>
      <c r="E323" s="19" t="s">
        <v>368</v>
      </c>
      <c r="H323" s="44" t="s">
        <v>14</v>
      </c>
      <c r="I323" s="13"/>
    </row>
    <row r="324" spans="1:9">
      <c r="A324" s="18"/>
      <c r="B324" s="13" t="s">
        <v>706</v>
      </c>
      <c r="E324" s="19" t="s">
        <v>370</v>
      </c>
      <c r="H324" s="44" t="s">
        <v>14</v>
      </c>
      <c r="I324" s="13"/>
    </row>
    <row r="325" spans="1:9">
      <c r="A325" s="18"/>
      <c r="B325" s="13" t="s">
        <v>707</v>
      </c>
      <c r="D325" s="19" t="s">
        <v>372</v>
      </c>
      <c r="E325" s="19" t="s">
        <v>373</v>
      </c>
      <c r="H325" s="44" t="s">
        <v>14</v>
      </c>
      <c r="I325" s="13"/>
    </row>
    <row r="326" spans="1:9">
      <c r="A326" s="18"/>
      <c r="B326" s="13" t="s">
        <v>708</v>
      </c>
      <c r="D326" s="19" t="s">
        <v>709</v>
      </c>
      <c r="E326" s="19" t="s">
        <v>710</v>
      </c>
      <c r="H326" s="44" t="s">
        <v>14</v>
      </c>
      <c r="I326" s="13"/>
    </row>
    <row r="327" spans="1:9">
      <c r="A327" s="18"/>
      <c r="B327" s="13" t="s">
        <v>711</v>
      </c>
      <c r="C327" s="18" t="s">
        <v>637</v>
      </c>
      <c r="D327" s="19" t="s">
        <v>643</v>
      </c>
      <c r="E327" s="19" t="s">
        <v>712</v>
      </c>
      <c r="H327" s="44" t="s">
        <v>14</v>
      </c>
      <c r="I327" s="13"/>
    </row>
    <row r="328" spans="1:9">
      <c r="A328" s="18"/>
      <c r="B328" s="13" t="s">
        <v>713</v>
      </c>
      <c r="E328" s="19" t="s">
        <v>714</v>
      </c>
      <c r="H328" s="44" t="s">
        <v>14</v>
      </c>
      <c r="I328" s="13"/>
    </row>
    <row r="329" spans="1:9">
      <c r="A329" s="18"/>
      <c r="B329" s="13" t="s">
        <v>715</v>
      </c>
      <c r="D329" s="19" t="s">
        <v>650</v>
      </c>
      <c r="E329" s="19" t="s">
        <v>716</v>
      </c>
      <c r="H329" s="44" t="s">
        <v>14</v>
      </c>
      <c r="I329" s="13"/>
    </row>
    <row r="330" spans="1:9">
      <c r="A330" s="18"/>
      <c r="B330" s="13" t="s">
        <v>717</v>
      </c>
      <c r="E330" s="19" t="s">
        <v>718</v>
      </c>
      <c r="H330" s="44" t="s">
        <v>14</v>
      </c>
      <c r="I330" s="13"/>
    </row>
    <row r="331" spans="1:9">
      <c r="A331" s="18"/>
      <c r="B331" s="13" t="s">
        <v>719</v>
      </c>
      <c r="D331" s="19" t="s">
        <v>655</v>
      </c>
      <c r="E331" s="19" t="s">
        <v>656</v>
      </c>
      <c r="H331" s="44" t="s">
        <v>14</v>
      </c>
      <c r="I331" s="13"/>
    </row>
    <row r="332" spans="1:9">
      <c r="A332" s="18"/>
      <c r="B332" s="13" t="s">
        <v>720</v>
      </c>
      <c r="E332" s="19" t="s">
        <v>658</v>
      </c>
      <c r="H332" s="44" t="s">
        <v>14</v>
      </c>
      <c r="I332" s="13"/>
    </row>
    <row r="333" spans="1:9">
      <c r="A333" s="18"/>
      <c r="B333" s="13" t="s">
        <v>721</v>
      </c>
      <c r="E333" s="19" t="s">
        <v>722</v>
      </c>
      <c r="H333" s="44" t="s">
        <v>14</v>
      </c>
      <c r="I333" s="13"/>
    </row>
    <row r="334" ht="33" spans="1:9">
      <c r="A334" s="18"/>
      <c r="B334" s="13" t="s">
        <v>723</v>
      </c>
      <c r="D334" s="19" t="s">
        <v>664</v>
      </c>
      <c r="E334" s="19" t="s">
        <v>724</v>
      </c>
      <c r="H334" s="44" t="s">
        <v>14</v>
      </c>
      <c r="I334" s="13"/>
    </row>
    <row r="335" spans="1:9">
      <c r="A335" s="18"/>
      <c r="B335" s="13" t="s">
        <v>725</v>
      </c>
      <c r="E335" s="19" t="s">
        <v>667</v>
      </c>
      <c r="H335" s="44" t="s">
        <v>14</v>
      </c>
      <c r="I335" s="13"/>
    </row>
    <row r="336" ht="33" spans="1:9">
      <c r="A336" s="18"/>
      <c r="B336" s="13" t="s">
        <v>726</v>
      </c>
      <c r="E336" s="19" t="s">
        <v>669</v>
      </c>
      <c r="H336" s="44" t="s">
        <v>14</v>
      </c>
      <c r="I336" s="13"/>
    </row>
    <row r="337" ht="33" spans="1:9">
      <c r="A337" s="18"/>
      <c r="B337" s="13" t="s">
        <v>727</v>
      </c>
      <c r="E337" s="19" t="s">
        <v>671</v>
      </c>
      <c r="H337" s="44" t="s">
        <v>14</v>
      </c>
      <c r="I337" s="13"/>
    </row>
    <row r="338" ht="33" spans="1:9">
      <c r="A338" s="18"/>
      <c r="B338" s="13" t="s">
        <v>728</v>
      </c>
      <c r="E338" s="19" t="s">
        <v>729</v>
      </c>
      <c r="H338" s="44" t="s">
        <v>14</v>
      </c>
      <c r="I338" s="13"/>
    </row>
    <row r="339" ht="33" spans="1:9">
      <c r="A339" s="18"/>
      <c r="B339" s="13" t="s">
        <v>730</v>
      </c>
      <c r="E339" s="19" t="s">
        <v>731</v>
      </c>
      <c r="H339" s="44" t="s">
        <v>14</v>
      </c>
      <c r="I339" s="13"/>
    </row>
    <row r="340" ht="33" spans="1:9">
      <c r="A340" s="18"/>
      <c r="B340" s="13" t="s">
        <v>732</v>
      </c>
      <c r="E340" s="19" t="s">
        <v>733</v>
      </c>
      <c r="H340" s="44" t="s">
        <v>14</v>
      </c>
      <c r="I340" s="13"/>
    </row>
    <row r="341" ht="33" spans="1:9">
      <c r="A341" s="18"/>
      <c r="B341" s="13" t="s">
        <v>734</v>
      </c>
      <c r="D341" s="19" t="s">
        <v>735</v>
      </c>
      <c r="E341" s="19" t="s">
        <v>736</v>
      </c>
      <c r="H341" s="44" t="s">
        <v>14</v>
      </c>
      <c r="I341" s="13"/>
    </row>
    <row r="342" ht="49.5" spans="1:9">
      <c r="A342" s="18"/>
      <c r="B342" s="13" t="s">
        <v>737</v>
      </c>
      <c r="D342" s="19" t="s">
        <v>738</v>
      </c>
      <c r="E342" s="19" t="s">
        <v>739</v>
      </c>
      <c r="H342" s="44" t="s">
        <v>14</v>
      </c>
      <c r="I342" s="13"/>
    </row>
    <row r="343" spans="1:9">
      <c r="A343" s="18" t="s">
        <v>377</v>
      </c>
      <c r="B343" s="13" t="s">
        <v>740</v>
      </c>
      <c r="C343" s="18" t="s">
        <v>741</v>
      </c>
      <c r="D343" s="19" t="s">
        <v>742</v>
      </c>
      <c r="E343" s="19" t="s">
        <v>743</v>
      </c>
      <c r="H343" s="44" t="s">
        <v>14</v>
      </c>
      <c r="I343" s="13"/>
    </row>
    <row r="344" spans="1:9">
      <c r="A344" s="18"/>
      <c r="B344" s="13" t="s">
        <v>744</v>
      </c>
      <c r="C344" s="18" t="s">
        <v>377</v>
      </c>
      <c r="D344" s="19" t="s">
        <v>427</v>
      </c>
      <c r="E344" s="19" t="s">
        <v>428</v>
      </c>
      <c r="H344" s="44" t="s">
        <v>14</v>
      </c>
      <c r="I344" s="13"/>
    </row>
    <row r="345" spans="1:9">
      <c r="A345" s="18"/>
      <c r="B345" s="13" t="s">
        <v>745</v>
      </c>
      <c r="E345" s="19" t="s">
        <v>430</v>
      </c>
      <c r="H345" s="44" t="s">
        <v>14</v>
      </c>
      <c r="I345" s="13"/>
    </row>
    <row r="346" ht="33" spans="1:9">
      <c r="A346" s="18"/>
      <c r="B346" s="13" t="s">
        <v>746</v>
      </c>
      <c r="D346" s="19" t="s">
        <v>441</v>
      </c>
      <c r="E346" s="19" t="s">
        <v>442</v>
      </c>
      <c r="H346" s="44" t="s">
        <v>14</v>
      </c>
      <c r="I346" s="13"/>
    </row>
    <row r="347" ht="33" spans="1:9">
      <c r="A347" s="18"/>
      <c r="B347" s="13" t="s">
        <v>747</v>
      </c>
      <c r="E347" s="19" t="s">
        <v>444</v>
      </c>
      <c r="H347" s="44" t="s">
        <v>14</v>
      </c>
      <c r="I347" s="13"/>
    </row>
    <row r="348" spans="1:9">
      <c r="A348" s="18"/>
      <c r="B348" s="13" t="s">
        <v>748</v>
      </c>
      <c r="E348" s="19" t="s">
        <v>446</v>
      </c>
      <c r="H348" s="44" t="s">
        <v>14</v>
      </c>
      <c r="I348" s="13"/>
    </row>
    <row r="349" spans="1:9">
      <c r="A349" s="18"/>
      <c r="B349" s="13" t="s">
        <v>749</v>
      </c>
      <c r="E349" s="19" t="s">
        <v>450</v>
      </c>
      <c r="H349" s="44" t="s">
        <v>14</v>
      </c>
      <c r="I349" s="13"/>
    </row>
    <row r="350" spans="1:9">
      <c r="A350" s="18"/>
      <c r="B350" s="13" t="s">
        <v>750</v>
      </c>
      <c r="D350" s="19" t="s">
        <v>751</v>
      </c>
      <c r="E350" s="19" t="s">
        <v>752</v>
      </c>
      <c r="F350" s="13" t="s">
        <v>102</v>
      </c>
      <c r="H350" s="44" t="s">
        <v>14</v>
      </c>
      <c r="I350" s="13"/>
    </row>
    <row r="351" ht="15" spans="1:11">
      <c r="A351" s="47" t="s">
        <v>753</v>
      </c>
      <c r="B351" s="47"/>
      <c r="C351" s="47"/>
      <c r="D351" s="47"/>
      <c r="E351" s="47"/>
      <c r="F351" s="47"/>
      <c r="G351" s="47"/>
      <c r="H351" s="47"/>
      <c r="I351" s="47"/>
      <c r="J351" s="47"/>
      <c r="K351" s="47"/>
    </row>
    <row r="352" spans="1:11">
      <c r="A352" s="41" t="s">
        <v>30</v>
      </c>
      <c r="B352" s="42" t="s">
        <v>31</v>
      </c>
      <c r="C352" s="42" t="s">
        <v>32</v>
      </c>
      <c r="D352" s="43" t="s">
        <v>33</v>
      </c>
      <c r="E352" s="26" t="s">
        <v>34</v>
      </c>
      <c r="F352" s="42" t="s">
        <v>35</v>
      </c>
      <c r="G352" s="42" t="s">
        <v>36</v>
      </c>
      <c r="H352" s="42" t="s">
        <v>37</v>
      </c>
      <c r="I352" s="42"/>
      <c r="J352" s="42"/>
      <c r="K352" s="60" t="s">
        <v>6</v>
      </c>
    </row>
    <row r="353" ht="33" spans="1:9">
      <c r="A353" s="18" t="s">
        <v>754</v>
      </c>
      <c r="B353" s="13" t="s">
        <v>755</v>
      </c>
      <c r="C353" s="18" t="s">
        <v>756</v>
      </c>
      <c r="D353" s="19" t="s">
        <v>757</v>
      </c>
      <c r="E353" s="19" t="s">
        <v>758</v>
      </c>
      <c r="H353" s="18" t="s">
        <v>25</v>
      </c>
      <c r="I353" s="13"/>
    </row>
    <row r="354" ht="33" spans="1:9">
      <c r="A354" s="18"/>
      <c r="B354" s="13" t="s">
        <v>759</v>
      </c>
      <c r="D354" s="19" t="s">
        <v>760</v>
      </c>
      <c r="E354" s="19" t="s">
        <v>761</v>
      </c>
      <c r="H354" s="18" t="s">
        <v>25</v>
      </c>
      <c r="I354" s="13"/>
    </row>
    <row r="355" ht="33" spans="1:9">
      <c r="A355" s="18"/>
      <c r="B355" s="13" t="s">
        <v>762</v>
      </c>
      <c r="C355" s="18" t="s">
        <v>763</v>
      </c>
      <c r="D355" s="19" t="s">
        <v>764</v>
      </c>
      <c r="E355" s="19" t="s">
        <v>765</v>
      </c>
      <c r="H355" s="18" t="s">
        <v>25</v>
      </c>
      <c r="I355" s="13"/>
    </row>
    <row r="356" ht="33" spans="1:9">
      <c r="A356" s="18"/>
      <c r="B356" s="13" t="s">
        <v>766</v>
      </c>
      <c r="D356" s="19" t="s">
        <v>767</v>
      </c>
      <c r="E356" s="19" t="s">
        <v>768</v>
      </c>
      <c r="H356" s="18" t="s">
        <v>25</v>
      </c>
      <c r="I356" s="13"/>
    </row>
    <row r="357" spans="1:9">
      <c r="A357" s="18" t="s">
        <v>769</v>
      </c>
      <c r="B357" s="13" t="s">
        <v>770</v>
      </c>
      <c r="C357" s="18" t="s">
        <v>771</v>
      </c>
      <c r="D357" s="19" t="s">
        <v>772</v>
      </c>
      <c r="E357" s="19" t="s">
        <v>773</v>
      </c>
      <c r="H357" s="44" t="s">
        <v>14</v>
      </c>
      <c r="I357" s="13"/>
    </row>
    <row r="358" spans="1:9">
      <c r="A358" s="18"/>
      <c r="B358" s="13" t="s">
        <v>774</v>
      </c>
      <c r="D358" s="19" t="s">
        <v>775</v>
      </c>
      <c r="E358" s="19" t="s">
        <v>776</v>
      </c>
      <c r="H358" s="44" t="s">
        <v>14</v>
      </c>
      <c r="I358" s="13"/>
    </row>
    <row r="359" spans="1:9">
      <c r="A359" s="18"/>
      <c r="B359" s="13" t="s">
        <v>777</v>
      </c>
      <c r="C359" s="18" t="s">
        <v>778</v>
      </c>
      <c r="D359" s="19" t="s">
        <v>779</v>
      </c>
      <c r="E359" s="19" t="s">
        <v>780</v>
      </c>
      <c r="H359" s="44" t="s">
        <v>14</v>
      </c>
      <c r="I359" s="13"/>
    </row>
    <row r="360" spans="1:9">
      <c r="A360" s="18"/>
      <c r="B360" s="13" t="s">
        <v>781</v>
      </c>
      <c r="D360" s="19" t="s">
        <v>782</v>
      </c>
      <c r="E360" s="19" t="s">
        <v>783</v>
      </c>
      <c r="H360" s="44" t="s">
        <v>14</v>
      </c>
      <c r="I360" s="13"/>
    </row>
    <row r="361" spans="1:9">
      <c r="A361" s="18"/>
      <c r="B361" s="13" t="s">
        <v>784</v>
      </c>
      <c r="D361" s="19" t="s">
        <v>785</v>
      </c>
      <c r="E361" s="19" t="s">
        <v>786</v>
      </c>
      <c r="H361" s="44" t="s">
        <v>14</v>
      </c>
      <c r="I361" s="13"/>
    </row>
    <row r="362" spans="1:11">
      <c r="A362" s="17"/>
      <c r="B362" s="17"/>
      <c r="C362" s="62"/>
      <c r="D362" s="63"/>
      <c r="E362" s="63"/>
      <c r="F362" s="17"/>
      <c r="G362" s="17"/>
      <c r="H362" s="17"/>
      <c r="I362" s="17"/>
      <c r="J362" s="17"/>
      <c r="K362" s="63"/>
    </row>
    <row r="363" spans="1:11">
      <c r="A363" s="17"/>
      <c r="B363" s="17"/>
      <c r="C363" s="62"/>
      <c r="D363" s="63"/>
      <c r="E363" s="63"/>
      <c r="F363" s="17"/>
      <c r="G363" s="17"/>
      <c r="H363" s="17"/>
      <c r="I363" s="17"/>
      <c r="J363" s="17"/>
      <c r="K363" s="63"/>
    </row>
    <row r="364" spans="1:11">
      <c r="A364" s="17"/>
      <c r="B364" s="17"/>
      <c r="C364" s="62"/>
      <c r="D364" s="63"/>
      <c r="E364" s="63"/>
      <c r="F364" s="17"/>
      <c r="G364" s="17"/>
      <c r="H364" s="17"/>
      <c r="I364" s="17"/>
      <c r="J364" s="17"/>
      <c r="K364" s="63"/>
    </row>
    <row r="365" spans="1:11">
      <c r="A365" s="17"/>
      <c r="B365" s="17"/>
      <c r="C365" s="62"/>
      <c r="D365" s="63"/>
      <c r="E365" s="63"/>
      <c r="F365" s="17"/>
      <c r="G365" s="17"/>
      <c r="H365" s="17"/>
      <c r="I365" s="17"/>
      <c r="J365" s="17"/>
      <c r="K365" s="63"/>
    </row>
    <row r="366" spans="1:11">
      <c r="A366" s="17"/>
      <c r="B366" s="17"/>
      <c r="C366" s="62"/>
      <c r="D366" s="63"/>
      <c r="E366" s="63"/>
      <c r="F366" s="17"/>
      <c r="G366" s="17"/>
      <c r="H366" s="17"/>
      <c r="I366" s="17"/>
      <c r="J366" s="17"/>
      <c r="K366" s="63"/>
    </row>
    <row r="367" spans="1:11">
      <c r="A367" s="17"/>
      <c r="B367" s="17"/>
      <c r="C367" s="62"/>
      <c r="D367" s="63"/>
      <c r="E367" s="63"/>
      <c r="F367" s="17"/>
      <c r="G367" s="17"/>
      <c r="H367" s="17"/>
      <c r="I367" s="17"/>
      <c r="J367" s="17"/>
      <c r="K367" s="63"/>
    </row>
    <row r="368" spans="1:11">
      <c r="A368" s="17"/>
      <c r="B368" s="17"/>
      <c r="C368" s="62"/>
      <c r="D368" s="63"/>
      <c r="E368" s="63"/>
      <c r="F368" s="17"/>
      <c r="G368" s="17"/>
      <c r="H368" s="17"/>
      <c r="I368" s="17"/>
      <c r="J368" s="17"/>
      <c r="K368" s="63"/>
    </row>
    <row r="369" spans="1:11">
      <c r="A369" s="17"/>
      <c r="B369" s="17"/>
      <c r="C369" s="62"/>
      <c r="D369" s="63"/>
      <c r="E369" s="63"/>
      <c r="F369" s="17"/>
      <c r="G369" s="17"/>
      <c r="H369" s="17"/>
      <c r="I369" s="17"/>
      <c r="J369" s="17"/>
      <c r="K369" s="63"/>
    </row>
    <row r="370" spans="1:11">
      <c r="A370" s="17"/>
      <c r="B370" s="17"/>
      <c r="C370" s="62"/>
      <c r="D370" s="63"/>
      <c r="E370" s="63"/>
      <c r="F370" s="17"/>
      <c r="G370" s="17"/>
      <c r="H370" s="17"/>
      <c r="I370" s="17"/>
      <c r="J370" s="17"/>
      <c r="K370" s="63"/>
    </row>
    <row r="371" spans="1:11">
      <c r="A371" s="17"/>
      <c r="B371" s="17"/>
      <c r="C371" s="62"/>
      <c r="D371" s="63"/>
      <c r="E371" s="63"/>
      <c r="F371" s="17"/>
      <c r="G371" s="17"/>
      <c r="H371" s="17"/>
      <c r="I371" s="17"/>
      <c r="J371" s="17"/>
      <c r="K371" s="63"/>
    </row>
    <row r="372" spans="1:11">
      <c r="A372" s="17"/>
      <c r="B372" s="17"/>
      <c r="C372" s="62"/>
      <c r="D372" s="63"/>
      <c r="E372" s="63"/>
      <c r="F372" s="17"/>
      <c r="G372" s="17"/>
      <c r="H372" s="17"/>
      <c r="I372" s="17"/>
      <c r="J372" s="17"/>
      <c r="K372" s="63"/>
    </row>
    <row r="373" spans="1:11">
      <c r="A373" s="17"/>
      <c r="B373" s="17"/>
      <c r="C373" s="62"/>
      <c r="D373" s="63"/>
      <c r="E373" s="63"/>
      <c r="F373" s="17"/>
      <c r="G373" s="17"/>
      <c r="H373" s="17"/>
      <c r="I373" s="17"/>
      <c r="J373" s="17"/>
      <c r="K373" s="63"/>
    </row>
    <row r="374" spans="1:11">
      <c r="A374" s="17"/>
      <c r="B374" s="17"/>
      <c r="C374" s="62"/>
      <c r="D374" s="63"/>
      <c r="E374" s="63"/>
      <c r="F374" s="17"/>
      <c r="G374" s="17"/>
      <c r="H374" s="17"/>
      <c r="I374" s="17"/>
      <c r="J374" s="17"/>
      <c r="K374" s="63"/>
    </row>
    <row r="375" spans="1:11">
      <c r="A375" s="17"/>
      <c r="B375" s="17"/>
      <c r="C375" s="62"/>
      <c r="D375" s="63"/>
      <c r="E375" s="63"/>
      <c r="F375" s="17"/>
      <c r="G375" s="17"/>
      <c r="H375" s="17"/>
      <c r="I375" s="17"/>
      <c r="J375" s="17"/>
      <c r="K375" s="63"/>
    </row>
    <row r="376" spans="1:11">
      <c r="A376" s="17"/>
      <c r="B376" s="17"/>
      <c r="C376" s="62"/>
      <c r="D376" s="63"/>
      <c r="E376" s="63"/>
      <c r="F376" s="17"/>
      <c r="G376" s="17"/>
      <c r="H376" s="17"/>
      <c r="I376" s="17"/>
      <c r="J376" s="17"/>
      <c r="K376" s="63"/>
    </row>
    <row r="377" spans="1:11">
      <c r="A377" s="17"/>
      <c r="B377" s="17"/>
      <c r="C377" s="62"/>
      <c r="D377" s="63"/>
      <c r="E377" s="63"/>
      <c r="F377" s="17"/>
      <c r="G377" s="17"/>
      <c r="H377" s="17"/>
      <c r="I377" s="17"/>
      <c r="J377" s="17"/>
      <c r="K377" s="63"/>
    </row>
    <row r="378" spans="1:11">
      <c r="A378" s="17"/>
      <c r="B378" s="17"/>
      <c r="C378" s="62"/>
      <c r="D378" s="63"/>
      <c r="E378" s="63"/>
      <c r="F378" s="17"/>
      <c r="G378" s="17"/>
      <c r="H378" s="17"/>
      <c r="I378" s="17"/>
      <c r="J378" s="17"/>
      <c r="K378" s="63"/>
    </row>
    <row r="379" spans="1:11">
      <c r="A379" s="17"/>
      <c r="B379" s="17"/>
      <c r="C379" s="62"/>
      <c r="D379" s="63"/>
      <c r="E379" s="63"/>
      <c r="F379" s="17"/>
      <c r="G379" s="17"/>
      <c r="H379" s="17"/>
      <c r="I379" s="17"/>
      <c r="J379" s="17"/>
      <c r="K379" s="63"/>
    </row>
    <row r="380" spans="1:11">
      <c r="A380" s="17"/>
      <c r="B380" s="17"/>
      <c r="C380" s="62"/>
      <c r="D380" s="63"/>
      <c r="E380" s="63"/>
      <c r="F380" s="17"/>
      <c r="G380" s="17"/>
      <c r="H380" s="17"/>
      <c r="I380" s="17"/>
      <c r="J380" s="17"/>
      <c r="K380" s="63"/>
    </row>
    <row r="381" spans="1:11">
      <c r="A381" s="17"/>
      <c r="B381" s="17"/>
      <c r="C381" s="62"/>
      <c r="D381" s="63"/>
      <c r="E381" s="63"/>
      <c r="F381" s="17"/>
      <c r="G381" s="17"/>
      <c r="H381" s="17"/>
      <c r="I381" s="17"/>
      <c r="J381" s="17"/>
      <c r="K381" s="63"/>
    </row>
    <row r="382" spans="1:11">
      <c r="A382" s="17"/>
      <c r="B382" s="17"/>
      <c r="C382" s="62"/>
      <c r="D382" s="63"/>
      <c r="E382" s="63"/>
      <c r="F382" s="17"/>
      <c r="G382" s="17"/>
      <c r="H382" s="17"/>
      <c r="I382" s="17"/>
      <c r="J382" s="17"/>
      <c r="K382" s="63"/>
    </row>
    <row r="383" spans="1:11">
      <c r="A383" s="17"/>
      <c r="B383" s="17"/>
      <c r="C383" s="62"/>
      <c r="D383" s="63"/>
      <c r="E383" s="63"/>
      <c r="F383" s="17"/>
      <c r="G383" s="17"/>
      <c r="H383" s="17"/>
      <c r="I383" s="17"/>
      <c r="J383" s="17"/>
      <c r="K383" s="63"/>
    </row>
    <row r="384" spans="1:11">
      <c r="A384" s="17"/>
      <c r="B384" s="17"/>
      <c r="C384" s="62"/>
      <c r="D384" s="63"/>
      <c r="E384" s="63"/>
      <c r="F384" s="17"/>
      <c r="G384" s="17"/>
      <c r="H384" s="17"/>
      <c r="I384" s="17"/>
      <c r="J384" s="17"/>
      <c r="K384" s="63"/>
    </row>
    <row r="385" spans="1:11">
      <c r="A385" s="17"/>
      <c r="B385" s="17"/>
      <c r="C385" s="62"/>
      <c r="D385" s="63"/>
      <c r="E385" s="63"/>
      <c r="F385" s="17"/>
      <c r="G385" s="17"/>
      <c r="H385" s="17"/>
      <c r="I385" s="17"/>
      <c r="J385" s="17"/>
      <c r="K385" s="63"/>
    </row>
    <row r="386" spans="1:11">
      <c r="A386" s="17"/>
      <c r="B386" s="17"/>
      <c r="C386" s="62"/>
      <c r="D386" s="63"/>
      <c r="E386" s="63"/>
      <c r="F386" s="17"/>
      <c r="G386" s="17"/>
      <c r="H386" s="17"/>
      <c r="I386" s="17"/>
      <c r="J386" s="17"/>
      <c r="K386" s="63"/>
    </row>
    <row r="387" spans="1:11">
      <c r="A387" s="17"/>
      <c r="B387" s="17"/>
      <c r="C387" s="62"/>
      <c r="D387" s="63"/>
      <c r="E387" s="63"/>
      <c r="F387" s="17"/>
      <c r="G387" s="17"/>
      <c r="H387" s="17"/>
      <c r="I387" s="17"/>
      <c r="J387" s="17"/>
      <c r="K387" s="63"/>
    </row>
    <row r="388" spans="1:11">
      <c r="A388" s="17"/>
      <c r="B388" s="17"/>
      <c r="C388" s="62"/>
      <c r="D388" s="63"/>
      <c r="E388" s="63"/>
      <c r="F388" s="17"/>
      <c r="G388" s="17"/>
      <c r="H388" s="17"/>
      <c r="I388" s="17"/>
      <c r="J388" s="17"/>
      <c r="K388" s="63"/>
    </row>
    <row r="389" spans="1:11">
      <c r="A389" s="17"/>
      <c r="B389" s="17"/>
      <c r="C389" s="62"/>
      <c r="D389" s="63"/>
      <c r="E389" s="63"/>
      <c r="F389" s="17"/>
      <c r="G389" s="17"/>
      <c r="H389" s="17"/>
      <c r="I389" s="17"/>
      <c r="J389" s="17"/>
      <c r="K389" s="63"/>
    </row>
    <row r="390" spans="1:11">
      <c r="A390" s="17"/>
      <c r="B390" s="17"/>
      <c r="C390" s="62"/>
      <c r="D390" s="63"/>
      <c r="E390" s="63"/>
      <c r="F390" s="17"/>
      <c r="G390" s="17"/>
      <c r="H390" s="17"/>
      <c r="I390" s="17"/>
      <c r="J390" s="17"/>
      <c r="K390" s="63"/>
    </row>
    <row r="391" spans="1:11">
      <c r="A391" s="17"/>
      <c r="B391" s="17"/>
      <c r="C391" s="62"/>
      <c r="D391" s="63"/>
      <c r="E391" s="63"/>
      <c r="F391" s="17"/>
      <c r="G391" s="17"/>
      <c r="H391" s="17"/>
      <c r="I391" s="17"/>
      <c r="J391" s="17"/>
      <c r="K391" s="63"/>
    </row>
    <row r="392" spans="1:11">
      <c r="A392" s="17"/>
      <c r="B392" s="17"/>
      <c r="C392" s="62"/>
      <c r="D392" s="63"/>
      <c r="E392" s="63"/>
      <c r="F392" s="17"/>
      <c r="G392" s="17"/>
      <c r="H392" s="17"/>
      <c r="I392" s="17"/>
      <c r="J392" s="17"/>
      <c r="K392" s="63"/>
    </row>
    <row r="393" spans="1:11">
      <c r="A393" s="17"/>
      <c r="B393" s="17"/>
      <c r="C393" s="62"/>
      <c r="D393" s="63"/>
      <c r="E393" s="63"/>
      <c r="F393" s="17"/>
      <c r="G393" s="17"/>
      <c r="H393" s="17"/>
      <c r="I393" s="17"/>
      <c r="J393" s="17"/>
      <c r="K393" s="63"/>
    </row>
    <row r="394" spans="1:11">
      <c r="A394" s="17"/>
      <c r="B394" s="17"/>
      <c r="C394" s="62"/>
      <c r="D394" s="63"/>
      <c r="E394" s="63"/>
      <c r="F394" s="17"/>
      <c r="G394" s="17"/>
      <c r="H394" s="17"/>
      <c r="I394" s="17"/>
      <c r="J394" s="17"/>
      <c r="K394" s="63"/>
    </row>
    <row r="395" spans="1:11">
      <c r="A395" s="17"/>
      <c r="B395" s="17"/>
      <c r="C395" s="62"/>
      <c r="D395" s="63"/>
      <c r="E395" s="63"/>
      <c r="F395" s="17"/>
      <c r="G395" s="17"/>
      <c r="H395" s="17"/>
      <c r="I395" s="17"/>
      <c r="J395" s="17"/>
      <c r="K395" s="63"/>
    </row>
    <row r="396" spans="1:11">
      <c r="A396" s="17"/>
      <c r="B396" s="17"/>
      <c r="C396" s="62"/>
      <c r="D396" s="63"/>
      <c r="E396" s="63"/>
      <c r="F396" s="17"/>
      <c r="G396" s="17"/>
      <c r="H396" s="17"/>
      <c r="I396" s="17"/>
      <c r="J396" s="17"/>
      <c r="K396" s="63"/>
    </row>
    <row r="397" spans="1:11">
      <c r="A397" s="17"/>
      <c r="B397" s="17"/>
      <c r="C397" s="62"/>
      <c r="D397" s="63"/>
      <c r="E397" s="63"/>
      <c r="F397" s="17"/>
      <c r="G397" s="17"/>
      <c r="H397" s="17"/>
      <c r="I397" s="17"/>
      <c r="J397" s="17"/>
      <c r="K397" s="63"/>
    </row>
    <row r="398" spans="1:11">
      <c r="A398" s="17"/>
      <c r="B398" s="17"/>
      <c r="C398" s="62"/>
      <c r="D398" s="63"/>
      <c r="E398" s="63"/>
      <c r="F398" s="17"/>
      <c r="G398" s="17"/>
      <c r="H398" s="17"/>
      <c r="I398" s="17"/>
      <c r="J398" s="17"/>
      <c r="K398" s="63"/>
    </row>
    <row r="399" spans="1:11">
      <c r="A399" s="17"/>
      <c r="B399" s="17"/>
      <c r="C399" s="62"/>
      <c r="D399" s="63"/>
      <c r="E399" s="63"/>
      <c r="F399" s="17"/>
      <c r="G399" s="17"/>
      <c r="H399" s="17"/>
      <c r="I399" s="17"/>
      <c r="J399" s="17"/>
      <c r="K399" s="63"/>
    </row>
    <row r="400" spans="1:11">
      <c r="A400" s="17"/>
      <c r="B400" s="17"/>
      <c r="C400" s="62"/>
      <c r="D400" s="63"/>
      <c r="E400" s="63"/>
      <c r="F400" s="17"/>
      <c r="G400" s="17"/>
      <c r="H400" s="17"/>
      <c r="I400" s="17"/>
      <c r="J400" s="17"/>
      <c r="K400" s="63"/>
    </row>
    <row r="401" spans="1:11">
      <c r="A401" s="17"/>
      <c r="B401" s="17"/>
      <c r="C401" s="62"/>
      <c r="D401" s="63"/>
      <c r="E401" s="63"/>
      <c r="F401" s="17"/>
      <c r="G401" s="17"/>
      <c r="H401" s="17"/>
      <c r="I401" s="17"/>
      <c r="J401" s="17"/>
      <c r="K401" s="63"/>
    </row>
    <row r="402" spans="1:11">
      <c r="A402" s="17"/>
      <c r="B402" s="17"/>
      <c r="C402" s="62"/>
      <c r="D402" s="63"/>
      <c r="E402" s="63"/>
      <c r="F402" s="17"/>
      <c r="G402" s="17"/>
      <c r="H402" s="17"/>
      <c r="I402" s="17"/>
      <c r="J402" s="17"/>
      <c r="K402" s="63"/>
    </row>
    <row r="403" spans="1:11">
      <c r="A403" s="17"/>
      <c r="B403" s="17"/>
      <c r="C403" s="62"/>
      <c r="D403" s="63"/>
      <c r="E403" s="63"/>
      <c r="F403" s="17"/>
      <c r="G403" s="17"/>
      <c r="H403" s="17"/>
      <c r="I403" s="17"/>
      <c r="J403" s="17"/>
      <c r="K403" s="63"/>
    </row>
    <row r="404" spans="1:11">
      <c r="A404" s="17"/>
      <c r="B404" s="17"/>
      <c r="C404" s="62"/>
      <c r="D404" s="63"/>
      <c r="E404" s="63"/>
      <c r="F404" s="17"/>
      <c r="G404" s="17"/>
      <c r="H404" s="17"/>
      <c r="I404" s="17"/>
      <c r="J404" s="17"/>
      <c r="K404" s="63"/>
    </row>
    <row r="405" spans="1:11">
      <c r="A405" s="17"/>
      <c r="B405" s="17"/>
      <c r="C405" s="62"/>
      <c r="D405" s="63"/>
      <c r="E405" s="63"/>
      <c r="F405" s="17"/>
      <c r="G405" s="17"/>
      <c r="H405" s="17"/>
      <c r="I405" s="17"/>
      <c r="J405" s="17"/>
      <c r="K405" s="63"/>
    </row>
    <row r="406" spans="1:11">
      <c r="A406" s="17"/>
      <c r="B406" s="17"/>
      <c r="C406" s="62"/>
      <c r="D406" s="63"/>
      <c r="E406" s="63"/>
      <c r="F406" s="17"/>
      <c r="G406" s="17"/>
      <c r="H406" s="17"/>
      <c r="I406" s="17"/>
      <c r="J406" s="17"/>
      <c r="K406" s="63"/>
    </row>
    <row r="407" spans="1:11">
      <c r="A407" s="17"/>
      <c r="B407" s="17"/>
      <c r="C407" s="62"/>
      <c r="D407" s="63"/>
      <c r="E407" s="63"/>
      <c r="F407" s="17"/>
      <c r="G407" s="17"/>
      <c r="H407" s="17"/>
      <c r="I407" s="17"/>
      <c r="J407" s="17"/>
      <c r="K407" s="63"/>
    </row>
    <row r="408" spans="1:11">
      <c r="A408" s="17"/>
      <c r="B408" s="17"/>
      <c r="C408" s="62"/>
      <c r="D408" s="63"/>
      <c r="E408" s="63"/>
      <c r="F408" s="17"/>
      <c r="G408" s="17"/>
      <c r="H408" s="17"/>
      <c r="I408" s="17"/>
      <c r="J408" s="17"/>
      <c r="K408" s="63"/>
    </row>
    <row r="409" spans="1:11">
      <c r="A409" s="17"/>
      <c r="B409" s="17"/>
      <c r="C409" s="62"/>
      <c r="D409" s="63"/>
      <c r="E409" s="63"/>
      <c r="F409" s="17"/>
      <c r="G409" s="17"/>
      <c r="H409" s="17"/>
      <c r="I409" s="17"/>
      <c r="J409" s="17"/>
      <c r="K409" s="63"/>
    </row>
    <row r="410" spans="1:11">
      <c r="A410" s="17"/>
      <c r="B410" s="17"/>
      <c r="C410" s="62"/>
      <c r="D410" s="63"/>
      <c r="E410" s="63"/>
      <c r="F410" s="17"/>
      <c r="G410" s="17"/>
      <c r="H410" s="17"/>
      <c r="I410" s="17"/>
      <c r="J410" s="17"/>
      <c r="K410" s="63"/>
    </row>
    <row r="411" spans="1:11">
      <c r="A411" s="17"/>
      <c r="B411" s="17"/>
      <c r="C411" s="62"/>
      <c r="D411" s="63"/>
      <c r="E411" s="63"/>
      <c r="F411" s="17"/>
      <c r="G411" s="17"/>
      <c r="H411" s="17"/>
      <c r="I411" s="17"/>
      <c r="J411" s="17"/>
      <c r="K411" s="63"/>
    </row>
    <row r="412" spans="1:11">
      <c r="A412" s="17"/>
      <c r="B412" s="17"/>
      <c r="C412" s="62"/>
      <c r="D412" s="63"/>
      <c r="E412" s="63"/>
      <c r="F412" s="17"/>
      <c r="G412" s="17"/>
      <c r="H412" s="17"/>
      <c r="I412" s="17"/>
      <c r="J412" s="17"/>
      <c r="K412" s="63"/>
    </row>
    <row r="413" spans="1:11">
      <c r="A413" s="17"/>
      <c r="B413" s="17"/>
      <c r="C413" s="62"/>
      <c r="D413" s="63"/>
      <c r="E413" s="63"/>
      <c r="F413" s="17"/>
      <c r="G413" s="17"/>
      <c r="H413" s="17"/>
      <c r="I413" s="17"/>
      <c r="J413" s="17"/>
      <c r="K413" s="63"/>
    </row>
    <row r="414" spans="1:11">
      <c r="A414" s="17"/>
      <c r="B414" s="17"/>
      <c r="C414" s="62"/>
      <c r="D414" s="63"/>
      <c r="E414" s="63"/>
      <c r="F414" s="17"/>
      <c r="G414" s="17"/>
      <c r="H414" s="17"/>
      <c r="I414" s="17"/>
      <c r="J414" s="17"/>
      <c r="K414" s="63"/>
    </row>
    <row r="415" spans="1:11">
      <c r="A415" s="17"/>
      <c r="B415" s="17"/>
      <c r="C415" s="62"/>
      <c r="D415" s="63"/>
      <c r="E415" s="63"/>
      <c r="F415" s="17"/>
      <c r="G415" s="17"/>
      <c r="H415" s="17"/>
      <c r="I415" s="17"/>
      <c r="J415" s="17"/>
      <c r="K415" s="63"/>
    </row>
    <row r="416" spans="1:11">
      <c r="A416" s="17"/>
      <c r="B416" s="17"/>
      <c r="C416" s="62"/>
      <c r="D416" s="63"/>
      <c r="E416" s="63"/>
      <c r="F416" s="17"/>
      <c r="G416" s="17"/>
      <c r="H416" s="17"/>
      <c r="I416" s="17"/>
      <c r="J416" s="17"/>
      <c r="K416" s="63"/>
    </row>
    <row r="417" spans="1:11">
      <c r="A417" s="17"/>
      <c r="B417" s="17"/>
      <c r="C417" s="62"/>
      <c r="D417" s="63"/>
      <c r="E417" s="63"/>
      <c r="F417" s="17"/>
      <c r="G417" s="17"/>
      <c r="H417" s="17"/>
      <c r="I417" s="17"/>
      <c r="J417" s="17"/>
      <c r="K417" s="63"/>
    </row>
    <row r="418" spans="1:11">
      <c r="A418" s="17"/>
      <c r="B418" s="17"/>
      <c r="C418" s="62"/>
      <c r="D418" s="63"/>
      <c r="E418" s="63"/>
      <c r="F418" s="17"/>
      <c r="G418" s="17"/>
      <c r="H418" s="17"/>
      <c r="I418" s="17"/>
      <c r="J418" s="17"/>
      <c r="K418" s="63"/>
    </row>
    <row r="419" spans="1:11">
      <c r="A419" s="17"/>
      <c r="B419" s="17"/>
      <c r="C419" s="62"/>
      <c r="D419" s="63"/>
      <c r="E419" s="63"/>
      <c r="F419" s="17"/>
      <c r="G419" s="17"/>
      <c r="H419" s="17"/>
      <c r="I419" s="17"/>
      <c r="J419" s="17"/>
      <c r="K419" s="63"/>
    </row>
    <row r="420" spans="1:11">
      <c r="A420" s="17"/>
      <c r="B420" s="17"/>
      <c r="C420" s="62"/>
      <c r="D420" s="63"/>
      <c r="E420" s="63"/>
      <c r="F420" s="17"/>
      <c r="G420" s="17"/>
      <c r="H420" s="17"/>
      <c r="I420" s="17"/>
      <c r="J420" s="17"/>
      <c r="K420" s="63"/>
    </row>
    <row r="421" spans="1:11">
      <c r="A421" s="17"/>
      <c r="B421" s="17"/>
      <c r="C421" s="62"/>
      <c r="D421" s="63"/>
      <c r="E421" s="63"/>
      <c r="F421" s="17"/>
      <c r="G421" s="17"/>
      <c r="H421" s="17"/>
      <c r="I421" s="17"/>
      <c r="J421" s="17"/>
      <c r="K421" s="63"/>
    </row>
    <row r="422" spans="1:11">
      <c r="A422" s="17"/>
      <c r="B422" s="17"/>
      <c r="C422" s="62"/>
      <c r="D422" s="63"/>
      <c r="E422" s="63"/>
      <c r="F422" s="17"/>
      <c r="G422" s="17"/>
      <c r="H422" s="17"/>
      <c r="I422" s="17"/>
      <c r="J422" s="17"/>
      <c r="K422" s="63"/>
    </row>
    <row r="423" spans="1:11">
      <c r="A423" s="17"/>
      <c r="B423" s="17"/>
      <c r="C423" s="62"/>
      <c r="D423" s="63"/>
      <c r="E423" s="63"/>
      <c r="F423" s="17"/>
      <c r="G423" s="17"/>
      <c r="H423" s="17"/>
      <c r="I423" s="17"/>
      <c r="J423" s="17"/>
      <c r="K423" s="63"/>
    </row>
    <row r="424" spans="1:11">
      <c r="A424" s="17"/>
      <c r="B424" s="17"/>
      <c r="C424" s="62"/>
      <c r="D424" s="63"/>
      <c r="E424" s="63"/>
      <c r="F424" s="17"/>
      <c r="G424" s="17"/>
      <c r="H424" s="17"/>
      <c r="I424" s="17"/>
      <c r="J424" s="17"/>
      <c r="K424" s="63"/>
    </row>
    <row r="425" spans="1:11">
      <c r="A425" s="17"/>
      <c r="B425" s="17"/>
      <c r="C425" s="62"/>
      <c r="D425" s="63"/>
      <c r="E425" s="63"/>
      <c r="F425" s="17"/>
      <c r="G425" s="17"/>
      <c r="H425" s="17"/>
      <c r="I425" s="17"/>
      <c r="J425" s="17"/>
      <c r="K425" s="63"/>
    </row>
    <row r="426" spans="1:11">
      <c r="A426" s="17"/>
      <c r="B426" s="17"/>
      <c r="C426" s="62"/>
      <c r="D426" s="63"/>
      <c r="E426" s="63"/>
      <c r="F426" s="17"/>
      <c r="G426" s="17"/>
      <c r="H426" s="17"/>
      <c r="I426" s="17"/>
      <c r="J426" s="17"/>
      <c r="K426" s="63"/>
    </row>
    <row r="427" spans="1:11">
      <c r="A427" s="17"/>
      <c r="B427" s="17"/>
      <c r="C427" s="62"/>
      <c r="D427" s="63"/>
      <c r="E427" s="63"/>
      <c r="F427" s="17"/>
      <c r="G427" s="17"/>
      <c r="H427" s="17"/>
      <c r="I427" s="17"/>
      <c r="J427" s="17"/>
      <c r="K427" s="63"/>
    </row>
    <row r="428" spans="1:11">
      <c r="A428" s="17"/>
      <c r="B428" s="17"/>
      <c r="C428" s="62"/>
      <c r="D428" s="63"/>
      <c r="E428" s="63"/>
      <c r="F428" s="17"/>
      <c r="G428" s="17"/>
      <c r="H428" s="17"/>
      <c r="I428" s="17"/>
      <c r="J428" s="17"/>
      <c r="K428" s="63"/>
    </row>
    <row r="429" spans="1:11">
      <c r="A429" s="17"/>
      <c r="B429" s="17"/>
      <c r="C429" s="62"/>
      <c r="D429" s="63"/>
      <c r="E429" s="63"/>
      <c r="F429" s="17"/>
      <c r="G429" s="17"/>
      <c r="H429" s="17"/>
      <c r="I429" s="17"/>
      <c r="J429" s="17"/>
      <c r="K429" s="63"/>
    </row>
    <row r="430" spans="1:11">
      <c r="A430" s="17"/>
      <c r="B430" s="17"/>
      <c r="C430" s="62"/>
      <c r="D430" s="63"/>
      <c r="E430" s="63"/>
      <c r="F430" s="17"/>
      <c r="G430" s="17"/>
      <c r="H430" s="17"/>
      <c r="I430" s="17"/>
      <c r="J430" s="17"/>
      <c r="K430" s="63"/>
    </row>
    <row r="431" spans="1:11">
      <c r="A431" s="17"/>
      <c r="B431" s="17"/>
      <c r="C431" s="62"/>
      <c r="D431" s="63"/>
      <c r="E431" s="63"/>
      <c r="F431" s="17"/>
      <c r="G431" s="17"/>
      <c r="H431" s="17"/>
      <c r="I431" s="17"/>
      <c r="J431" s="17"/>
      <c r="K431" s="63"/>
    </row>
    <row r="432" spans="1:11">
      <c r="A432" s="17"/>
      <c r="B432" s="17"/>
      <c r="C432" s="62"/>
      <c r="D432" s="63"/>
      <c r="E432" s="63"/>
      <c r="F432" s="17"/>
      <c r="G432" s="17"/>
      <c r="H432" s="17"/>
      <c r="I432" s="17"/>
      <c r="J432" s="17"/>
      <c r="K432" s="63"/>
    </row>
    <row r="433" spans="1:11">
      <c r="A433" s="17"/>
      <c r="B433" s="17"/>
      <c r="C433" s="62"/>
      <c r="D433" s="63"/>
      <c r="E433" s="63"/>
      <c r="F433" s="17"/>
      <c r="G433" s="17"/>
      <c r="H433" s="17"/>
      <c r="I433" s="17"/>
      <c r="J433" s="17"/>
      <c r="K433" s="63"/>
    </row>
    <row r="434" spans="1:11">
      <c r="A434" s="17"/>
      <c r="B434" s="17"/>
      <c r="C434" s="62"/>
      <c r="D434" s="63"/>
      <c r="E434" s="63"/>
      <c r="F434" s="17"/>
      <c r="G434" s="17"/>
      <c r="H434" s="17"/>
      <c r="I434" s="17"/>
      <c r="J434" s="17"/>
      <c r="K434" s="63"/>
    </row>
    <row r="435" spans="1:11">
      <c r="A435" s="17"/>
      <c r="B435" s="17"/>
      <c r="C435" s="62"/>
      <c r="D435" s="63"/>
      <c r="E435" s="63"/>
      <c r="F435" s="17"/>
      <c r="G435" s="17"/>
      <c r="H435" s="17"/>
      <c r="I435" s="17"/>
      <c r="J435" s="17"/>
      <c r="K435" s="63"/>
    </row>
    <row r="436" spans="1:11">
      <c r="A436" s="17"/>
      <c r="B436" s="17"/>
      <c r="C436" s="62"/>
      <c r="D436" s="63"/>
      <c r="E436" s="63"/>
      <c r="F436" s="17"/>
      <c r="G436" s="17"/>
      <c r="H436" s="17"/>
      <c r="I436" s="17"/>
      <c r="J436" s="17"/>
      <c r="K436" s="63"/>
    </row>
    <row r="437" spans="1:11">
      <c r="A437" s="17"/>
      <c r="B437" s="17"/>
      <c r="C437" s="62"/>
      <c r="D437" s="63"/>
      <c r="E437" s="63"/>
      <c r="F437" s="17"/>
      <c r="G437" s="17"/>
      <c r="H437" s="17"/>
      <c r="I437" s="17"/>
      <c r="J437" s="17"/>
      <c r="K437" s="63"/>
    </row>
    <row r="438" spans="1:11">
      <c r="A438" s="17"/>
      <c r="B438" s="17"/>
      <c r="C438" s="62"/>
      <c r="D438" s="63"/>
      <c r="E438" s="63"/>
      <c r="F438" s="17"/>
      <c r="G438" s="17"/>
      <c r="H438" s="17"/>
      <c r="I438" s="17"/>
      <c r="J438" s="17"/>
      <c r="K438" s="63"/>
    </row>
    <row r="439" spans="1:11">
      <c r="A439" s="17"/>
      <c r="B439" s="17"/>
      <c r="C439" s="62"/>
      <c r="D439" s="63"/>
      <c r="E439" s="63"/>
      <c r="F439" s="17"/>
      <c r="G439" s="17"/>
      <c r="H439" s="17"/>
      <c r="I439" s="17"/>
      <c r="J439" s="17"/>
      <c r="K439" s="63"/>
    </row>
    <row r="440" spans="1:11">
      <c r="A440" s="17"/>
      <c r="B440" s="17"/>
      <c r="C440" s="62"/>
      <c r="D440" s="63"/>
      <c r="E440" s="63"/>
      <c r="F440" s="17"/>
      <c r="G440" s="17"/>
      <c r="H440" s="17"/>
      <c r="I440" s="17"/>
      <c r="J440" s="17"/>
      <c r="K440" s="63"/>
    </row>
    <row r="441" spans="1:11">
      <c r="A441" s="17"/>
      <c r="B441" s="17"/>
      <c r="C441" s="62"/>
      <c r="D441" s="63"/>
      <c r="E441" s="63"/>
      <c r="F441" s="17"/>
      <c r="G441" s="17"/>
      <c r="H441" s="17"/>
      <c r="I441" s="17"/>
      <c r="J441" s="17"/>
      <c r="K441" s="63"/>
    </row>
    <row r="442" spans="1:11">
      <c r="A442" s="17"/>
      <c r="B442" s="17"/>
      <c r="C442" s="62"/>
      <c r="D442" s="63"/>
      <c r="E442" s="63"/>
      <c r="F442" s="17"/>
      <c r="G442" s="17"/>
      <c r="H442" s="17"/>
      <c r="I442" s="17"/>
      <c r="J442" s="17"/>
      <c r="K442" s="63"/>
    </row>
    <row r="443" spans="1:11">
      <c r="A443" s="17"/>
      <c r="B443" s="17"/>
      <c r="C443" s="62"/>
      <c r="D443" s="63"/>
      <c r="E443" s="63"/>
      <c r="F443" s="17"/>
      <c r="G443" s="17"/>
      <c r="H443" s="17"/>
      <c r="I443" s="17"/>
      <c r="J443" s="17"/>
      <c r="K443" s="63"/>
    </row>
    <row r="444" spans="1:11">
      <c r="A444" s="17"/>
      <c r="B444" s="17"/>
      <c r="C444" s="62"/>
      <c r="D444" s="63"/>
      <c r="E444" s="63"/>
      <c r="F444" s="17"/>
      <c r="G444" s="17"/>
      <c r="H444" s="17"/>
      <c r="I444" s="17"/>
      <c r="J444" s="17"/>
      <c r="K444" s="63"/>
    </row>
    <row r="445" spans="1:11">
      <c r="A445" s="17"/>
      <c r="B445" s="17"/>
      <c r="C445" s="62"/>
      <c r="D445" s="63"/>
      <c r="E445" s="63"/>
      <c r="F445" s="17"/>
      <c r="G445" s="17"/>
      <c r="H445" s="17"/>
      <c r="I445" s="17"/>
      <c r="J445" s="17"/>
      <c r="K445" s="63"/>
    </row>
    <row r="446" spans="1:11">
      <c r="A446" s="17"/>
      <c r="B446" s="17"/>
      <c r="C446" s="62"/>
      <c r="D446" s="63"/>
      <c r="E446" s="63"/>
      <c r="F446" s="17"/>
      <c r="G446" s="17"/>
      <c r="H446" s="17"/>
      <c r="I446" s="17"/>
      <c r="J446" s="17"/>
      <c r="K446" s="63"/>
    </row>
    <row r="447" spans="1:11">
      <c r="A447" s="17"/>
      <c r="B447" s="17"/>
      <c r="C447" s="62"/>
      <c r="D447" s="63"/>
      <c r="E447" s="63"/>
      <c r="F447" s="17"/>
      <c r="G447" s="17"/>
      <c r="H447" s="17"/>
      <c r="I447" s="17"/>
      <c r="J447" s="17"/>
      <c r="K447" s="63"/>
    </row>
    <row r="448" spans="1:11">
      <c r="A448" s="17"/>
      <c r="B448" s="17"/>
      <c r="C448" s="62"/>
      <c r="D448" s="63"/>
      <c r="E448" s="63"/>
      <c r="F448" s="17"/>
      <c r="G448" s="17"/>
      <c r="H448" s="17"/>
      <c r="I448" s="17"/>
      <c r="J448" s="17"/>
      <c r="K448" s="63"/>
    </row>
    <row r="449" spans="1:11">
      <c r="A449" s="17"/>
      <c r="B449" s="17"/>
      <c r="C449" s="62"/>
      <c r="D449" s="63"/>
      <c r="E449" s="63"/>
      <c r="F449" s="17"/>
      <c r="G449" s="17"/>
      <c r="H449" s="17"/>
      <c r="I449" s="17"/>
      <c r="J449" s="17"/>
      <c r="K449" s="63"/>
    </row>
    <row r="450" spans="1:11">
      <c r="A450" s="17"/>
      <c r="B450" s="17"/>
      <c r="C450" s="62"/>
      <c r="D450" s="63"/>
      <c r="E450" s="63"/>
      <c r="F450" s="17"/>
      <c r="G450" s="17"/>
      <c r="H450" s="17"/>
      <c r="I450" s="17"/>
      <c r="J450" s="17"/>
      <c r="K450" s="63"/>
    </row>
    <row r="451" spans="1:11">
      <c r="A451" s="17"/>
      <c r="B451" s="17"/>
      <c r="C451" s="62"/>
      <c r="D451" s="63"/>
      <c r="E451" s="63"/>
      <c r="F451" s="17"/>
      <c r="G451" s="17"/>
      <c r="H451" s="17"/>
      <c r="I451" s="17"/>
      <c r="J451" s="17"/>
      <c r="K451" s="63"/>
    </row>
    <row r="452" spans="1:11">
      <c r="A452" s="17"/>
      <c r="B452" s="17"/>
      <c r="C452" s="62"/>
      <c r="D452" s="63"/>
      <c r="E452" s="63"/>
      <c r="F452" s="17"/>
      <c r="G452" s="17"/>
      <c r="H452" s="17"/>
      <c r="I452" s="17"/>
      <c r="J452" s="17"/>
      <c r="K452" s="63"/>
    </row>
    <row r="453" spans="1:11">
      <c r="A453" s="17"/>
      <c r="B453" s="17"/>
      <c r="C453" s="62"/>
      <c r="D453" s="63"/>
      <c r="E453" s="63"/>
      <c r="F453" s="17"/>
      <c r="G453" s="17"/>
      <c r="H453" s="17"/>
      <c r="I453" s="17"/>
      <c r="J453" s="17"/>
      <c r="K453" s="63"/>
    </row>
    <row r="454" spans="1:11">
      <c r="A454" s="17"/>
      <c r="B454" s="17"/>
      <c r="C454" s="62"/>
      <c r="D454" s="63"/>
      <c r="E454" s="63"/>
      <c r="F454" s="17"/>
      <c r="G454" s="17"/>
      <c r="H454" s="17"/>
      <c r="I454" s="17"/>
      <c r="J454" s="17"/>
      <c r="K454" s="63"/>
    </row>
    <row r="455" spans="1:11">
      <c r="A455" s="17"/>
      <c r="B455" s="17"/>
      <c r="C455" s="62"/>
      <c r="D455" s="63"/>
      <c r="E455" s="63"/>
      <c r="F455" s="17"/>
      <c r="G455" s="17"/>
      <c r="H455" s="17"/>
      <c r="I455" s="17"/>
      <c r="J455" s="17"/>
      <c r="K455" s="63"/>
    </row>
    <row r="456" spans="1:11">
      <c r="A456" s="17"/>
      <c r="B456" s="17"/>
      <c r="C456" s="62"/>
      <c r="D456" s="63"/>
      <c r="E456" s="63"/>
      <c r="F456" s="17"/>
      <c r="G456" s="17"/>
      <c r="H456" s="17"/>
      <c r="I456" s="17"/>
      <c r="J456" s="17"/>
      <c r="K456" s="63"/>
    </row>
    <row r="457" spans="1:11">
      <c r="A457" s="17"/>
      <c r="B457" s="17"/>
      <c r="C457" s="62"/>
      <c r="D457" s="63"/>
      <c r="E457" s="63"/>
      <c r="F457" s="17"/>
      <c r="G457" s="17"/>
      <c r="H457" s="17"/>
      <c r="I457" s="17"/>
      <c r="J457" s="17"/>
      <c r="K457" s="63"/>
    </row>
    <row r="458" spans="1:11">
      <c r="A458" s="17"/>
      <c r="B458" s="17"/>
      <c r="C458" s="62"/>
      <c r="D458" s="63"/>
      <c r="E458" s="63"/>
      <c r="F458" s="17"/>
      <c r="G458" s="17"/>
      <c r="H458" s="17"/>
      <c r="I458" s="17"/>
      <c r="J458" s="17"/>
      <c r="K458" s="63"/>
    </row>
    <row r="459" spans="1:11">
      <c r="A459" s="17"/>
      <c r="B459" s="17"/>
      <c r="C459" s="62"/>
      <c r="D459" s="63"/>
      <c r="E459" s="63"/>
      <c r="F459" s="17"/>
      <c r="G459" s="17"/>
      <c r="H459" s="17"/>
      <c r="I459" s="17"/>
      <c r="J459" s="17"/>
      <c r="K459" s="63"/>
    </row>
    <row r="460" spans="1:11">
      <c r="A460" s="17"/>
      <c r="B460" s="17"/>
      <c r="C460" s="62"/>
      <c r="D460" s="63"/>
      <c r="E460" s="63"/>
      <c r="F460" s="17"/>
      <c r="G460" s="17"/>
      <c r="H460" s="17"/>
      <c r="I460" s="17"/>
      <c r="J460" s="17"/>
      <c r="K460" s="63"/>
    </row>
    <row r="461" spans="1:11">
      <c r="A461" s="17"/>
      <c r="B461" s="17"/>
      <c r="C461" s="62"/>
      <c r="D461" s="63"/>
      <c r="E461" s="63"/>
      <c r="F461" s="17"/>
      <c r="G461" s="17"/>
      <c r="H461" s="17"/>
      <c r="I461" s="17"/>
      <c r="J461" s="17"/>
      <c r="K461" s="63"/>
    </row>
    <row r="462" spans="1:11">
      <c r="A462" s="17"/>
      <c r="B462" s="17"/>
      <c r="C462" s="62"/>
      <c r="D462" s="63"/>
      <c r="E462" s="63"/>
      <c r="F462" s="17"/>
      <c r="G462" s="17"/>
      <c r="H462" s="17"/>
      <c r="I462" s="17"/>
      <c r="J462" s="17"/>
      <c r="K462" s="63"/>
    </row>
    <row r="463" spans="1:11">
      <c r="A463" s="17"/>
      <c r="B463" s="17"/>
      <c r="C463" s="62"/>
      <c r="D463" s="63"/>
      <c r="E463" s="63"/>
      <c r="F463" s="17"/>
      <c r="G463" s="17"/>
      <c r="H463" s="17"/>
      <c r="I463" s="17"/>
      <c r="J463" s="17"/>
      <c r="K463" s="63"/>
    </row>
    <row r="464" spans="1:11">
      <c r="A464" s="17"/>
      <c r="B464" s="17"/>
      <c r="C464" s="62"/>
      <c r="D464" s="63"/>
      <c r="E464" s="63"/>
      <c r="F464" s="17"/>
      <c r="G464" s="17"/>
      <c r="H464" s="17"/>
      <c r="I464" s="17"/>
      <c r="J464" s="17"/>
      <c r="K464" s="63"/>
    </row>
    <row r="465" spans="1:11">
      <c r="A465" s="17"/>
      <c r="B465" s="17"/>
      <c r="C465" s="62"/>
      <c r="D465" s="63"/>
      <c r="E465" s="63"/>
      <c r="F465" s="17"/>
      <c r="G465" s="17"/>
      <c r="H465" s="17"/>
      <c r="I465" s="17"/>
      <c r="J465" s="17"/>
      <c r="K465" s="63"/>
    </row>
    <row r="466" spans="1:11">
      <c r="A466" s="17"/>
      <c r="B466" s="17"/>
      <c r="C466" s="62"/>
      <c r="D466" s="63"/>
      <c r="E466" s="63"/>
      <c r="F466" s="17"/>
      <c r="G466" s="17"/>
      <c r="H466" s="17"/>
      <c r="I466" s="17"/>
      <c r="J466" s="17"/>
      <c r="K466" s="63"/>
    </row>
    <row r="467" spans="1:11">
      <c r="A467" s="17"/>
      <c r="B467" s="17"/>
      <c r="C467" s="62"/>
      <c r="D467" s="63"/>
      <c r="E467" s="63"/>
      <c r="F467" s="17"/>
      <c r="G467" s="17"/>
      <c r="H467" s="17"/>
      <c r="I467" s="17"/>
      <c r="J467" s="17"/>
      <c r="K467" s="63"/>
    </row>
    <row r="468" spans="1:11">
      <c r="A468" s="17"/>
      <c r="B468" s="17"/>
      <c r="C468" s="62"/>
      <c r="D468" s="63"/>
      <c r="E468" s="63"/>
      <c r="F468" s="17"/>
      <c r="G468" s="17"/>
      <c r="H468" s="17"/>
      <c r="I468" s="17"/>
      <c r="J468" s="17"/>
      <c r="K468" s="63"/>
    </row>
    <row r="469" spans="1:11">
      <c r="A469" s="17"/>
      <c r="B469" s="17"/>
      <c r="C469" s="62"/>
      <c r="D469" s="63"/>
      <c r="E469" s="63"/>
      <c r="F469" s="17"/>
      <c r="G469" s="17"/>
      <c r="H469" s="17"/>
      <c r="I469" s="17"/>
      <c r="J469" s="17"/>
      <c r="K469" s="63"/>
    </row>
    <row r="470" spans="1:11">
      <c r="A470" s="17"/>
      <c r="B470" s="17"/>
      <c r="C470" s="62"/>
      <c r="D470" s="63"/>
      <c r="E470" s="63"/>
      <c r="F470" s="17"/>
      <c r="G470" s="17"/>
      <c r="H470" s="17"/>
      <c r="I470" s="17"/>
      <c r="J470" s="17"/>
      <c r="K470" s="63"/>
    </row>
    <row r="471" spans="1:11">
      <c r="A471" s="17"/>
      <c r="B471" s="17"/>
      <c r="C471" s="62"/>
      <c r="D471" s="63"/>
      <c r="E471" s="63"/>
      <c r="F471" s="17"/>
      <c r="G471" s="17"/>
      <c r="H471" s="17"/>
      <c r="I471" s="17"/>
      <c r="J471" s="17"/>
      <c r="K471" s="63"/>
    </row>
    <row r="472" spans="1:11">
      <c r="A472" s="17"/>
      <c r="B472" s="17"/>
      <c r="C472" s="62"/>
      <c r="D472" s="63"/>
      <c r="E472" s="63"/>
      <c r="F472" s="17"/>
      <c r="G472" s="17"/>
      <c r="H472" s="17"/>
      <c r="I472" s="17"/>
      <c r="J472" s="17"/>
      <c r="K472" s="63"/>
    </row>
    <row r="473" spans="1:11">
      <c r="A473" s="17"/>
      <c r="B473" s="17"/>
      <c r="C473" s="62"/>
      <c r="D473" s="63"/>
      <c r="E473" s="63"/>
      <c r="F473" s="17"/>
      <c r="G473" s="17"/>
      <c r="H473" s="17"/>
      <c r="I473" s="17"/>
      <c r="J473" s="17"/>
      <c r="K473" s="63"/>
    </row>
    <row r="474" spans="1:11">
      <c r="A474" s="17"/>
      <c r="B474" s="17"/>
      <c r="C474" s="62"/>
      <c r="D474" s="63"/>
      <c r="E474" s="63"/>
      <c r="F474" s="17"/>
      <c r="G474" s="17"/>
      <c r="H474" s="17"/>
      <c r="I474" s="17"/>
      <c r="J474" s="17"/>
      <c r="K474" s="63"/>
    </row>
    <row r="475" spans="1:11">
      <c r="A475" s="17"/>
      <c r="B475" s="17"/>
      <c r="C475" s="62"/>
      <c r="D475" s="63"/>
      <c r="E475" s="63"/>
      <c r="F475" s="17"/>
      <c r="G475" s="17"/>
      <c r="H475" s="17"/>
      <c r="I475" s="17"/>
      <c r="J475" s="17"/>
      <c r="K475" s="63"/>
    </row>
    <row r="476" spans="1:11">
      <c r="A476" s="17"/>
      <c r="B476" s="17"/>
      <c r="C476" s="62"/>
      <c r="D476" s="63"/>
      <c r="E476" s="63"/>
      <c r="F476" s="17"/>
      <c r="G476" s="17"/>
      <c r="H476" s="17"/>
      <c r="I476" s="17"/>
      <c r="J476" s="17"/>
      <c r="K476" s="63"/>
    </row>
    <row r="477" spans="1:11">
      <c r="A477" s="17"/>
      <c r="B477" s="17"/>
      <c r="C477" s="62"/>
      <c r="D477" s="63"/>
      <c r="E477" s="63"/>
      <c r="F477" s="17"/>
      <c r="G477" s="17"/>
      <c r="H477" s="17"/>
      <c r="I477" s="17"/>
      <c r="J477" s="17"/>
      <c r="K477" s="63"/>
    </row>
    <row r="478" spans="1:11">
      <c r="A478" s="17"/>
      <c r="B478" s="17"/>
      <c r="C478" s="62"/>
      <c r="D478" s="63"/>
      <c r="E478" s="63"/>
      <c r="F478" s="17"/>
      <c r="G478" s="17"/>
      <c r="H478" s="17"/>
      <c r="I478" s="17"/>
      <c r="J478" s="17"/>
      <c r="K478" s="63"/>
    </row>
    <row r="479" spans="1:11">
      <c r="A479" s="17"/>
      <c r="B479" s="17"/>
      <c r="C479" s="62"/>
      <c r="D479" s="63"/>
      <c r="E479" s="63"/>
      <c r="F479" s="17"/>
      <c r="G479" s="17"/>
      <c r="H479" s="17"/>
      <c r="I479" s="17"/>
      <c r="J479" s="17"/>
      <c r="K479" s="63"/>
    </row>
    <row r="480" spans="1:11">
      <c r="A480" s="17"/>
      <c r="B480" s="17"/>
      <c r="C480" s="62"/>
      <c r="D480" s="63"/>
      <c r="E480" s="63"/>
      <c r="F480" s="17"/>
      <c r="G480" s="17"/>
      <c r="H480" s="17"/>
      <c r="I480" s="17"/>
      <c r="J480" s="17"/>
      <c r="K480" s="63"/>
    </row>
    <row r="481" spans="1:11">
      <c r="A481" s="17"/>
      <c r="B481" s="17"/>
      <c r="C481" s="62"/>
      <c r="D481" s="63"/>
      <c r="E481" s="63"/>
      <c r="F481" s="17"/>
      <c r="G481" s="17"/>
      <c r="H481" s="17"/>
      <c r="I481" s="17"/>
      <c r="J481" s="17"/>
      <c r="K481" s="63"/>
    </row>
    <row r="482" spans="1:11">
      <c r="A482" s="17"/>
      <c r="B482" s="17"/>
      <c r="C482" s="62"/>
      <c r="D482" s="63"/>
      <c r="E482" s="63"/>
      <c r="F482" s="17"/>
      <c r="G482" s="17"/>
      <c r="H482" s="17"/>
      <c r="I482" s="17"/>
      <c r="J482" s="17"/>
      <c r="K482" s="63"/>
    </row>
    <row r="483" spans="1:11">
      <c r="A483" s="17"/>
      <c r="B483" s="17"/>
      <c r="C483" s="62"/>
      <c r="D483" s="63"/>
      <c r="E483" s="63"/>
      <c r="F483" s="17"/>
      <c r="G483" s="17"/>
      <c r="H483" s="17"/>
      <c r="I483" s="17"/>
      <c r="J483" s="17"/>
      <c r="K483" s="63"/>
    </row>
    <row r="484" spans="1:11">
      <c r="A484" s="17"/>
      <c r="B484" s="17"/>
      <c r="C484" s="62"/>
      <c r="D484" s="63"/>
      <c r="E484" s="63"/>
      <c r="F484" s="17"/>
      <c r="G484" s="17"/>
      <c r="H484" s="17"/>
      <c r="I484" s="17"/>
      <c r="J484" s="17"/>
      <c r="K484" s="63"/>
    </row>
    <row r="485" spans="1:11">
      <c r="A485" s="17"/>
      <c r="B485" s="17"/>
      <c r="C485" s="62"/>
      <c r="D485" s="63"/>
      <c r="E485" s="63"/>
      <c r="F485" s="17"/>
      <c r="G485" s="17"/>
      <c r="H485" s="17"/>
      <c r="I485" s="17"/>
      <c r="J485" s="17"/>
      <c r="K485" s="63"/>
    </row>
    <row r="486" spans="1:11">
      <c r="A486" s="17"/>
      <c r="B486" s="17"/>
      <c r="C486" s="62"/>
      <c r="D486" s="63"/>
      <c r="E486" s="63"/>
      <c r="F486" s="17"/>
      <c r="G486" s="17"/>
      <c r="H486" s="17"/>
      <c r="I486" s="17"/>
      <c r="J486" s="17"/>
      <c r="K486" s="63"/>
    </row>
    <row r="487" spans="1:11">
      <c r="A487" s="17"/>
      <c r="B487" s="17"/>
      <c r="C487" s="62"/>
      <c r="D487" s="63"/>
      <c r="E487" s="63"/>
      <c r="F487" s="17"/>
      <c r="G487" s="17"/>
      <c r="H487" s="17"/>
      <c r="I487" s="17"/>
      <c r="J487" s="17"/>
      <c r="K487" s="63"/>
    </row>
    <row r="488" spans="1:11">
      <c r="A488" s="17"/>
      <c r="B488" s="17"/>
      <c r="C488" s="62"/>
      <c r="D488" s="63"/>
      <c r="E488" s="63"/>
      <c r="F488" s="17"/>
      <c r="G488" s="17"/>
      <c r="H488" s="17"/>
      <c r="I488" s="17"/>
      <c r="J488" s="17"/>
      <c r="K488" s="63"/>
    </row>
    <row r="489" spans="1:11">
      <c r="A489" s="17"/>
      <c r="B489" s="17"/>
      <c r="C489" s="62"/>
      <c r="D489" s="63"/>
      <c r="E489" s="63"/>
      <c r="F489" s="17"/>
      <c r="G489" s="17"/>
      <c r="H489" s="17"/>
      <c r="I489" s="17"/>
      <c r="J489" s="17"/>
      <c r="K489" s="63"/>
    </row>
    <row r="490" spans="1:11">
      <c r="A490" s="17"/>
      <c r="B490" s="17"/>
      <c r="C490" s="62"/>
      <c r="D490" s="63"/>
      <c r="E490" s="63"/>
      <c r="F490" s="17"/>
      <c r="G490" s="17"/>
      <c r="H490" s="17"/>
      <c r="I490" s="17"/>
      <c r="J490" s="17"/>
      <c r="K490" s="63"/>
    </row>
    <row r="491" spans="1:11">
      <c r="A491" s="17"/>
      <c r="B491" s="17"/>
      <c r="C491" s="62"/>
      <c r="D491" s="63"/>
      <c r="E491" s="63"/>
      <c r="F491" s="17"/>
      <c r="G491" s="17"/>
      <c r="H491" s="17"/>
      <c r="I491" s="17"/>
      <c r="J491" s="17"/>
      <c r="K491" s="63"/>
    </row>
    <row r="492" spans="1:11">
      <c r="A492" s="17"/>
      <c r="B492" s="17"/>
      <c r="C492" s="62"/>
      <c r="D492" s="63"/>
      <c r="E492" s="63"/>
      <c r="F492" s="17"/>
      <c r="G492" s="17"/>
      <c r="H492" s="17"/>
      <c r="I492" s="17"/>
      <c r="J492" s="17"/>
      <c r="K492" s="63"/>
    </row>
    <row r="493" spans="1:11">
      <c r="A493" s="17"/>
      <c r="B493" s="17"/>
      <c r="C493" s="62"/>
      <c r="D493" s="63"/>
      <c r="E493" s="63"/>
      <c r="F493" s="17"/>
      <c r="G493" s="17"/>
      <c r="H493" s="17"/>
      <c r="I493" s="17"/>
      <c r="J493" s="17"/>
      <c r="K493" s="63"/>
    </row>
    <row r="494" spans="1:11">
      <c r="A494" s="17"/>
      <c r="B494" s="17"/>
      <c r="C494" s="62"/>
      <c r="D494" s="63"/>
      <c r="E494" s="63"/>
      <c r="F494" s="17"/>
      <c r="G494" s="17"/>
      <c r="H494" s="17"/>
      <c r="I494" s="17"/>
      <c r="J494" s="17"/>
      <c r="K494" s="63"/>
    </row>
    <row r="495" spans="1:11">
      <c r="A495" s="17"/>
      <c r="B495" s="17"/>
      <c r="C495" s="62"/>
      <c r="D495" s="63"/>
      <c r="E495" s="63"/>
      <c r="F495" s="17"/>
      <c r="G495" s="17"/>
      <c r="H495" s="17"/>
      <c r="I495" s="17"/>
      <c r="J495" s="17"/>
      <c r="K495" s="63"/>
    </row>
    <row r="496" spans="1:11">
      <c r="A496" s="17"/>
      <c r="B496" s="17"/>
      <c r="C496" s="62"/>
      <c r="D496" s="63"/>
      <c r="E496" s="63"/>
      <c r="F496" s="17"/>
      <c r="G496" s="17"/>
      <c r="H496" s="17"/>
      <c r="I496" s="17"/>
      <c r="J496" s="17"/>
      <c r="K496" s="63"/>
    </row>
    <row r="497" spans="1:11">
      <c r="A497" s="17"/>
      <c r="B497" s="17"/>
      <c r="C497" s="62"/>
      <c r="D497" s="63"/>
      <c r="E497" s="63"/>
      <c r="F497" s="17"/>
      <c r="G497" s="17"/>
      <c r="H497" s="17"/>
      <c r="I497" s="17"/>
      <c r="J497" s="17"/>
      <c r="K497" s="63"/>
    </row>
    <row r="498" spans="1:11">
      <c r="A498" s="17"/>
      <c r="B498" s="17"/>
      <c r="C498" s="62"/>
      <c r="D498" s="63"/>
      <c r="E498" s="63"/>
      <c r="F498" s="17"/>
      <c r="G498" s="17"/>
      <c r="H498" s="17"/>
      <c r="I498" s="17"/>
      <c r="J498" s="17"/>
      <c r="K498" s="63"/>
    </row>
    <row r="499" spans="1:11">
      <c r="A499" s="17"/>
      <c r="B499" s="17"/>
      <c r="C499" s="62"/>
      <c r="D499" s="63"/>
      <c r="E499" s="63"/>
      <c r="F499" s="17"/>
      <c r="G499" s="17"/>
      <c r="H499" s="17"/>
      <c r="I499" s="17"/>
      <c r="J499" s="17"/>
      <c r="K499" s="63"/>
    </row>
    <row r="500" spans="1:11">
      <c r="A500" s="17"/>
      <c r="B500" s="17"/>
      <c r="C500" s="62"/>
      <c r="D500" s="63"/>
      <c r="E500" s="63"/>
      <c r="F500" s="17"/>
      <c r="G500" s="17"/>
      <c r="H500" s="17"/>
      <c r="I500" s="17"/>
      <c r="J500" s="17"/>
      <c r="K500" s="63"/>
    </row>
    <row r="501" spans="1:11">
      <c r="A501" s="17"/>
      <c r="B501" s="17"/>
      <c r="C501" s="62"/>
      <c r="D501" s="63"/>
      <c r="E501" s="63"/>
      <c r="F501" s="17"/>
      <c r="G501" s="17"/>
      <c r="H501" s="17"/>
      <c r="I501" s="17"/>
      <c r="J501" s="17"/>
      <c r="K501" s="63"/>
    </row>
    <row r="502" spans="1:11">
      <c r="A502" s="17"/>
      <c r="B502" s="17"/>
      <c r="C502" s="62"/>
      <c r="D502" s="63"/>
      <c r="E502" s="63"/>
      <c r="F502" s="17"/>
      <c r="G502" s="17"/>
      <c r="H502" s="17"/>
      <c r="I502" s="17"/>
      <c r="J502" s="17"/>
      <c r="K502" s="63"/>
    </row>
    <row r="503" spans="1:11">
      <c r="A503" s="17"/>
      <c r="B503" s="17"/>
      <c r="C503" s="62"/>
      <c r="D503" s="63"/>
      <c r="E503" s="63"/>
      <c r="F503" s="17"/>
      <c r="G503" s="17"/>
      <c r="H503" s="17"/>
      <c r="I503" s="17"/>
      <c r="J503" s="17"/>
      <c r="K503" s="63"/>
    </row>
    <row r="504" spans="1:11">
      <c r="A504" s="17"/>
      <c r="B504" s="17"/>
      <c r="C504" s="62"/>
      <c r="D504" s="63"/>
      <c r="E504" s="63"/>
      <c r="F504" s="17"/>
      <c r="G504" s="17"/>
      <c r="H504" s="17"/>
      <c r="I504" s="17"/>
      <c r="J504" s="17"/>
      <c r="K504" s="63"/>
    </row>
    <row r="505" spans="1:11">
      <c r="A505" s="17"/>
      <c r="B505" s="17"/>
      <c r="C505" s="62"/>
      <c r="D505" s="63"/>
      <c r="E505" s="63"/>
      <c r="F505" s="17"/>
      <c r="G505" s="17"/>
      <c r="H505" s="17"/>
      <c r="I505" s="17"/>
      <c r="J505" s="17"/>
      <c r="K505" s="63"/>
    </row>
    <row r="506" spans="1:11">
      <c r="A506" s="17"/>
      <c r="B506" s="17"/>
      <c r="C506" s="62"/>
      <c r="D506" s="63"/>
      <c r="E506" s="63"/>
      <c r="F506" s="17"/>
      <c r="G506" s="17"/>
      <c r="H506" s="17"/>
      <c r="I506" s="17"/>
      <c r="J506" s="17"/>
      <c r="K506" s="63"/>
    </row>
    <row r="507" spans="1:11">
      <c r="A507" s="17"/>
      <c r="B507" s="17"/>
      <c r="C507" s="62"/>
      <c r="D507" s="63"/>
      <c r="E507" s="63"/>
      <c r="F507" s="17"/>
      <c r="G507" s="17"/>
      <c r="H507" s="17"/>
      <c r="I507" s="17"/>
      <c r="J507" s="17"/>
      <c r="K507" s="63"/>
    </row>
    <row r="508" spans="1:11">
      <c r="A508" s="17"/>
      <c r="B508" s="17"/>
      <c r="C508" s="62"/>
      <c r="D508" s="63"/>
      <c r="E508" s="63"/>
      <c r="F508" s="17"/>
      <c r="G508" s="17"/>
      <c r="H508" s="17"/>
      <c r="I508" s="17"/>
      <c r="J508" s="17"/>
      <c r="K508" s="63"/>
    </row>
    <row r="509" spans="1:11">
      <c r="A509" s="17"/>
      <c r="B509" s="17"/>
      <c r="C509" s="62"/>
      <c r="D509" s="63"/>
      <c r="E509" s="63"/>
      <c r="F509" s="17"/>
      <c r="G509" s="17"/>
      <c r="H509" s="17"/>
      <c r="I509" s="17"/>
      <c r="J509" s="17"/>
      <c r="K509" s="63"/>
    </row>
    <row r="510" spans="1:11">
      <c r="A510" s="17"/>
      <c r="B510" s="17"/>
      <c r="C510" s="62"/>
      <c r="D510" s="63"/>
      <c r="E510" s="63"/>
      <c r="F510" s="17"/>
      <c r="G510" s="17"/>
      <c r="H510" s="17"/>
      <c r="I510" s="17"/>
      <c r="J510" s="17"/>
      <c r="K510" s="63"/>
    </row>
    <row r="511" spans="1:11">
      <c r="A511" s="17"/>
      <c r="B511" s="17"/>
      <c r="C511" s="62"/>
      <c r="D511" s="63"/>
      <c r="E511" s="63"/>
      <c r="F511" s="17"/>
      <c r="G511" s="17"/>
      <c r="H511" s="17"/>
      <c r="I511" s="17"/>
      <c r="J511" s="17"/>
      <c r="K511" s="63"/>
    </row>
    <row r="512" spans="1:11">
      <c r="A512" s="17"/>
      <c r="B512" s="17"/>
      <c r="C512" s="62"/>
      <c r="D512" s="63"/>
      <c r="E512" s="63"/>
      <c r="F512" s="17"/>
      <c r="G512" s="17"/>
      <c r="H512" s="17"/>
      <c r="I512" s="17"/>
      <c r="J512" s="17"/>
      <c r="K512" s="63"/>
    </row>
    <row r="513" spans="1:11">
      <c r="A513" s="17"/>
      <c r="B513" s="17"/>
      <c r="C513" s="62"/>
      <c r="D513" s="63"/>
      <c r="E513" s="63"/>
      <c r="F513" s="17"/>
      <c r="G513" s="17"/>
      <c r="H513" s="17"/>
      <c r="I513" s="17"/>
      <c r="J513" s="17"/>
      <c r="K513" s="63"/>
    </row>
    <row r="514" spans="1:11">
      <c r="A514" s="17"/>
      <c r="B514" s="17"/>
      <c r="C514" s="62"/>
      <c r="D514" s="63"/>
      <c r="E514" s="63"/>
      <c r="F514" s="17"/>
      <c r="G514" s="17"/>
      <c r="H514" s="17"/>
      <c r="I514" s="17"/>
      <c r="J514" s="17"/>
      <c r="K514" s="63"/>
    </row>
    <row r="515" spans="1:11">
      <c r="A515" s="17"/>
      <c r="B515" s="17"/>
      <c r="C515" s="62"/>
      <c r="D515" s="63"/>
      <c r="E515" s="63"/>
      <c r="F515" s="17"/>
      <c r="G515" s="17"/>
      <c r="H515" s="17"/>
      <c r="I515" s="17"/>
      <c r="J515" s="17"/>
      <c r="K515" s="63"/>
    </row>
    <row r="516" spans="1:11">
      <c r="A516" s="17"/>
      <c r="B516" s="17"/>
      <c r="C516" s="62"/>
      <c r="D516" s="63"/>
      <c r="E516" s="63"/>
      <c r="F516" s="17"/>
      <c r="G516" s="17"/>
      <c r="H516" s="17"/>
      <c r="I516" s="17"/>
      <c r="J516" s="17"/>
      <c r="K516" s="63"/>
    </row>
    <row r="517" spans="1:11">
      <c r="A517" s="17"/>
      <c r="B517" s="17"/>
      <c r="C517" s="62"/>
      <c r="D517" s="63"/>
      <c r="E517" s="63"/>
      <c r="F517" s="17"/>
      <c r="G517" s="17"/>
      <c r="H517" s="17"/>
      <c r="I517" s="17"/>
      <c r="J517" s="17"/>
      <c r="K517" s="63"/>
    </row>
    <row r="518" spans="1:11">
      <c r="A518" s="17"/>
      <c r="B518" s="17"/>
      <c r="C518" s="62"/>
      <c r="D518" s="63"/>
      <c r="E518" s="63"/>
      <c r="F518" s="17"/>
      <c r="G518" s="17"/>
      <c r="H518" s="17"/>
      <c r="I518" s="17"/>
      <c r="J518" s="17"/>
      <c r="K518" s="63"/>
    </row>
    <row r="519" spans="1:11">
      <c r="A519" s="17"/>
      <c r="B519" s="17"/>
      <c r="C519" s="62"/>
      <c r="D519" s="63"/>
      <c r="E519" s="63"/>
      <c r="F519" s="17"/>
      <c r="G519" s="17"/>
      <c r="H519" s="17"/>
      <c r="I519" s="17"/>
      <c r="J519" s="17"/>
      <c r="K519" s="63"/>
    </row>
    <row r="520" spans="1:11">
      <c r="A520" s="17"/>
      <c r="B520" s="17"/>
      <c r="C520" s="62"/>
      <c r="D520" s="63"/>
      <c r="E520" s="63"/>
      <c r="F520" s="17"/>
      <c r="G520" s="17"/>
      <c r="H520" s="17"/>
      <c r="I520" s="17"/>
      <c r="J520" s="17"/>
      <c r="K520" s="63"/>
    </row>
    <row r="521" spans="1:11">
      <c r="A521" s="17"/>
      <c r="B521" s="17"/>
      <c r="C521" s="62"/>
      <c r="D521" s="63"/>
      <c r="E521" s="63"/>
      <c r="F521" s="17"/>
      <c r="G521" s="17"/>
      <c r="H521" s="17"/>
      <c r="I521" s="17"/>
      <c r="J521" s="17"/>
      <c r="K521" s="63"/>
    </row>
    <row r="522" spans="1:11">
      <c r="A522" s="17"/>
      <c r="B522" s="17"/>
      <c r="C522" s="62"/>
      <c r="D522" s="63"/>
      <c r="E522" s="63"/>
      <c r="F522" s="17"/>
      <c r="G522" s="17"/>
      <c r="H522" s="17"/>
      <c r="I522" s="17"/>
      <c r="J522" s="17"/>
      <c r="K522" s="63"/>
    </row>
    <row r="523" spans="1:11">
      <c r="A523" s="17"/>
      <c r="B523" s="17"/>
      <c r="C523" s="62"/>
      <c r="D523" s="63"/>
      <c r="E523" s="63"/>
      <c r="F523" s="17"/>
      <c r="G523" s="17"/>
      <c r="H523" s="17"/>
      <c r="I523" s="17"/>
      <c r="J523" s="17"/>
      <c r="K523" s="63"/>
    </row>
    <row r="524" spans="1:11">
      <c r="A524" s="17"/>
      <c r="B524" s="17"/>
      <c r="C524" s="62"/>
      <c r="D524" s="63"/>
      <c r="E524" s="63"/>
      <c r="F524" s="17"/>
      <c r="G524" s="17"/>
      <c r="H524" s="17"/>
      <c r="I524" s="17"/>
      <c r="J524" s="17"/>
      <c r="K524" s="63"/>
    </row>
    <row r="525" spans="1:11">
      <c r="A525" s="17"/>
      <c r="B525" s="17"/>
      <c r="C525" s="62"/>
      <c r="D525" s="63"/>
      <c r="E525" s="63"/>
      <c r="F525" s="17"/>
      <c r="G525" s="17"/>
      <c r="H525" s="17"/>
      <c r="I525" s="17"/>
      <c r="J525" s="17"/>
      <c r="K525" s="63"/>
    </row>
    <row r="526" spans="1:11">
      <c r="A526" s="17"/>
      <c r="B526" s="17"/>
      <c r="C526" s="62"/>
      <c r="D526" s="63"/>
      <c r="E526" s="63"/>
      <c r="F526" s="17"/>
      <c r="G526" s="17"/>
      <c r="H526" s="17"/>
      <c r="I526" s="17"/>
      <c r="J526" s="17"/>
      <c r="K526" s="63"/>
    </row>
    <row r="527" spans="1:11">
      <c r="A527" s="17"/>
      <c r="B527" s="17"/>
      <c r="C527" s="62"/>
      <c r="D527" s="63"/>
      <c r="E527" s="63"/>
      <c r="F527" s="17"/>
      <c r="G527" s="17"/>
      <c r="H527" s="17"/>
      <c r="I527" s="17"/>
      <c r="J527" s="17"/>
      <c r="K527" s="63"/>
    </row>
    <row r="528" spans="1:11">
      <c r="A528" s="17"/>
      <c r="B528" s="17"/>
      <c r="C528" s="62"/>
      <c r="D528" s="63"/>
      <c r="E528" s="63"/>
      <c r="F528" s="17"/>
      <c r="G528" s="17"/>
      <c r="H528" s="17"/>
      <c r="I528" s="17"/>
      <c r="J528" s="17"/>
      <c r="K528" s="63"/>
    </row>
    <row r="529" spans="1:11">
      <c r="A529" s="17"/>
      <c r="B529" s="17"/>
      <c r="C529" s="62"/>
      <c r="D529" s="63"/>
      <c r="E529" s="63"/>
      <c r="F529" s="17"/>
      <c r="G529" s="17"/>
      <c r="H529" s="17"/>
      <c r="I529" s="17"/>
      <c r="J529" s="17"/>
      <c r="K529" s="63"/>
    </row>
    <row r="530" spans="1:11">
      <c r="A530" s="17"/>
      <c r="B530" s="17"/>
      <c r="C530" s="62"/>
      <c r="D530" s="63"/>
      <c r="E530" s="63"/>
      <c r="F530" s="17"/>
      <c r="G530" s="17"/>
      <c r="H530" s="17"/>
      <c r="I530" s="17"/>
      <c r="J530" s="17"/>
      <c r="K530" s="63"/>
    </row>
    <row r="531" spans="1:11">
      <c r="A531" s="17"/>
      <c r="B531" s="17"/>
      <c r="C531" s="62"/>
      <c r="D531" s="63"/>
      <c r="E531" s="63"/>
      <c r="F531" s="17"/>
      <c r="G531" s="17"/>
      <c r="H531" s="17"/>
      <c r="I531" s="17"/>
      <c r="J531" s="17"/>
      <c r="K531" s="63"/>
    </row>
    <row r="532" spans="1:11">
      <c r="A532" s="17"/>
      <c r="B532" s="17"/>
      <c r="C532" s="62"/>
      <c r="D532" s="63"/>
      <c r="E532" s="63"/>
      <c r="F532" s="17"/>
      <c r="G532" s="17"/>
      <c r="H532" s="17"/>
      <c r="I532" s="17"/>
      <c r="J532" s="17"/>
      <c r="K532" s="63"/>
    </row>
    <row r="533" spans="1:11">
      <c r="A533" s="17"/>
      <c r="B533" s="17"/>
      <c r="C533" s="62"/>
      <c r="D533" s="63"/>
      <c r="E533" s="63"/>
      <c r="F533" s="17"/>
      <c r="G533" s="17"/>
      <c r="H533" s="17"/>
      <c r="I533" s="17"/>
      <c r="J533" s="17"/>
      <c r="K533" s="63"/>
    </row>
    <row r="534" spans="1:11">
      <c r="A534" s="17"/>
      <c r="B534" s="17"/>
      <c r="C534" s="62"/>
      <c r="D534" s="63"/>
      <c r="E534" s="63"/>
      <c r="F534" s="17"/>
      <c r="G534" s="17"/>
      <c r="H534" s="17"/>
      <c r="I534" s="17"/>
      <c r="J534" s="17"/>
      <c r="K534" s="63"/>
    </row>
    <row r="535" spans="1:11">
      <c r="A535" s="17"/>
      <c r="B535" s="17"/>
      <c r="C535" s="62"/>
      <c r="D535" s="63"/>
      <c r="E535" s="63"/>
      <c r="F535" s="17"/>
      <c r="G535" s="17"/>
      <c r="H535" s="17"/>
      <c r="I535" s="17"/>
      <c r="J535" s="17"/>
      <c r="K535" s="63"/>
    </row>
    <row r="536" spans="1:11">
      <c r="A536" s="17"/>
      <c r="B536" s="17"/>
      <c r="C536" s="62"/>
      <c r="D536" s="63"/>
      <c r="E536" s="63"/>
      <c r="F536" s="17"/>
      <c r="G536" s="17"/>
      <c r="H536" s="17"/>
      <c r="I536" s="17"/>
      <c r="J536" s="17"/>
      <c r="K536" s="63"/>
    </row>
    <row r="537" spans="1:11">
      <c r="A537" s="17"/>
      <c r="B537" s="17"/>
      <c r="C537" s="62"/>
      <c r="D537" s="63"/>
      <c r="E537" s="63"/>
      <c r="F537" s="17"/>
      <c r="G537" s="17"/>
      <c r="H537" s="17"/>
      <c r="I537" s="17"/>
      <c r="J537" s="17"/>
      <c r="K537" s="63"/>
    </row>
    <row r="538" spans="1:11">
      <c r="A538" s="17"/>
      <c r="B538" s="17"/>
      <c r="C538" s="62"/>
      <c r="D538" s="63"/>
      <c r="E538" s="63"/>
      <c r="F538" s="17"/>
      <c r="G538" s="17"/>
      <c r="H538" s="17"/>
      <c r="I538" s="17"/>
      <c r="J538" s="17"/>
      <c r="K538" s="63"/>
    </row>
    <row r="539" spans="1:11">
      <c r="A539" s="17"/>
      <c r="B539" s="17"/>
      <c r="C539" s="62"/>
      <c r="D539" s="63"/>
      <c r="E539" s="63"/>
      <c r="F539" s="17"/>
      <c r="G539" s="17"/>
      <c r="H539" s="17"/>
      <c r="I539" s="17"/>
      <c r="J539" s="17"/>
      <c r="K539" s="63"/>
    </row>
    <row r="540" spans="1:11">
      <c r="A540" s="17"/>
      <c r="B540" s="17"/>
      <c r="C540" s="62"/>
      <c r="D540" s="63"/>
      <c r="E540" s="63"/>
      <c r="F540" s="17"/>
      <c r="G540" s="17"/>
      <c r="H540" s="17"/>
      <c r="I540" s="17"/>
      <c r="J540" s="17"/>
      <c r="K540" s="63"/>
    </row>
    <row r="541" spans="1:11">
      <c r="A541" s="17"/>
      <c r="B541" s="17"/>
      <c r="C541" s="62"/>
      <c r="D541" s="63"/>
      <c r="E541" s="63"/>
      <c r="F541" s="17"/>
      <c r="G541" s="17"/>
      <c r="H541" s="17"/>
      <c r="I541" s="17"/>
      <c r="J541" s="17"/>
      <c r="K541" s="63"/>
    </row>
    <row r="542" spans="1:11">
      <c r="A542" s="17"/>
      <c r="B542" s="17"/>
      <c r="C542" s="62"/>
      <c r="D542" s="63"/>
      <c r="E542" s="63"/>
      <c r="F542" s="17"/>
      <c r="G542" s="17"/>
      <c r="H542" s="17"/>
      <c r="I542" s="17"/>
      <c r="J542" s="17"/>
      <c r="K542" s="63"/>
    </row>
    <row r="543" spans="1:11">
      <c r="A543" s="17"/>
      <c r="B543" s="17"/>
      <c r="C543" s="62"/>
      <c r="D543" s="63"/>
      <c r="E543" s="63"/>
      <c r="F543" s="17"/>
      <c r="G543" s="17"/>
      <c r="H543" s="17"/>
      <c r="I543" s="17"/>
      <c r="J543" s="17"/>
      <c r="K543" s="63"/>
    </row>
    <row r="544" spans="1:11">
      <c r="A544" s="17"/>
      <c r="B544" s="17"/>
      <c r="C544" s="62"/>
      <c r="D544" s="63"/>
      <c r="E544" s="63"/>
      <c r="F544" s="17"/>
      <c r="G544" s="17"/>
      <c r="H544" s="17"/>
      <c r="I544" s="17"/>
      <c r="J544" s="17"/>
      <c r="K544" s="63"/>
    </row>
    <row r="545" spans="1:11">
      <c r="A545" s="17"/>
      <c r="B545" s="17"/>
      <c r="C545" s="62"/>
      <c r="D545" s="63"/>
      <c r="E545" s="63"/>
      <c r="F545" s="17"/>
      <c r="G545" s="17"/>
      <c r="H545" s="17"/>
      <c r="I545" s="17"/>
      <c r="J545" s="17"/>
      <c r="K545" s="63"/>
    </row>
    <row r="546" spans="1:11">
      <c r="A546" s="17"/>
      <c r="B546" s="17"/>
      <c r="C546" s="62"/>
      <c r="D546" s="63"/>
      <c r="E546" s="63"/>
      <c r="F546" s="17"/>
      <c r="G546" s="17"/>
      <c r="H546" s="17"/>
      <c r="I546" s="17"/>
      <c r="J546" s="17"/>
      <c r="K546" s="63"/>
    </row>
    <row r="547" spans="1:11">
      <c r="A547" s="17"/>
      <c r="B547" s="17"/>
      <c r="C547" s="62"/>
      <c r="D547" s="63"/>
      <c r="E547" s="63"/>
      <c r="F547" s="17"/>
      <c r="G547" s="17"/>
      <c r="H547" s="17"/>
      <c r="I547" s="17"/>
      <c r="J547" s="17"/>
      <c r="K547" s="63"/>
    </row>
    <row r="548" spans="1:11">
      <c r="A548" s="17"/>
      <c r="B548" s="17"/>
      <c r="C548" s="62"/>
      <c r="D548" s="63"/>
      <c r="E548" s="63"/>
      <c r="F548" s="17"/>
      <c r="G548" s="17"/>
      <c r="H548" s="17"/>
      <c r="I548" s="17"/>
      <c r="J548" s="17"/>
      <c r="K548" s="63"/>
    </row>
    <row r="549" spans="1:11">
      <c r="A549" s="17"/>
      <c r="B549" s="17"/>
      <c r="C549" s="62"/>
      <c r="D549" s="63"/>
      <c r="E549" s="63"/>
      <c r="F549" s="17"/>
      <c r="G549" s="17"/>
      <c r="H549" s="17"/>
      <c r="I549" s="17"/>
      <c r="J549" s="17"/>
      <c r="K549" s="63"/>
    </row>
    <row r="550" spans="1:11">
      <c r="A550" s="17"/>
      <c r="B550" s="17"/>
      <c r="C550" s="62"/>
      <c r="D550" s="63"/>
      <c r="E550" s="63"/>
      <c r="F550" s="17"/>
      <c r="G550" s="17"/>
      <c r="H550" s="17"/>
      <c r="I550" s="17"/>
      <c r="J550" s="17"/>
      <c r="K550" s="63"/>
    </row>
    <row r="551" spans="1:11">
      <c r="A551" s="17"/>
      <c r="B551" s="17"/>
      <c r="C551" s="62"/>
      <c r="D551" s="63"/>
      <c r="E551" s="63"/>
      <c r="F551" s="17"/>
      <c r="G551" s="17"/>
      <c r="H551" s="17"/>
      <c r="I551" s="17"/>
      <c r="J551" s="17"/>
      <c r="K551" s="63"/>
    </row>
    <row r="552" spans="1:11">
      <c r="A552" s="17"/>
      <c r="B552" s="17"/>
      <c r="C552" s="62"/>
      <c r="D552" s="63"/>
      <c r="E552" s="63"/>
      <c r="F552" s="17"/>
      <c r="G552" s="17"/>
      <c r="H552" s="17"/>
      <c r="I552" s="17"/>
      <c r="J552" s="17"/>
      <c r="K552" s="63"/>
    </row>
    <row r="553" spans="1:11">
      <c r="A553" s="17"/>
      <c r="B553" s="17"/>
      <c r="C553" s="62"/>
      <c r="D553" s="63"/>
      <c r="E553" s="63"/>
      <c r="F553" s="17"/>
      <c r="G553" s="17"/>
      <c r="H553" s="17"/>
      <c r="I553" s="17"/>
      <c r="J553" s="17"/>
      <c r="K553" s="63"/>
    </row>
    <row r="554" spans="1:11">
      <c r="A554" s="17"/>
      <c r="B554" s="17"/>
      <c r="C554" s="62"/>
      <c r="D554" s="63"/>
      <c r="E554" s="63"/>
      <c r="F554" s="17"/>
      <c r="G554" s="17"/>
      <c r="H554" s="17"/>
      <c r="I554" s="17"/>
      <c r="J554" s="17"/>
      <c r="K554" s="63"/>
    </row>
    <row r="555" spans="1:11">
      <c r="A555" s="17"/>
      <c r="B555" s="17"/>
      <c r="C555" s="62"/>
      <c r="D555" s="63"/>
      <c r="E555" s="63"/>
      <c r="F555" s="17"/>
      <c r="G555" s="17"/>
      <c r="H555" s="17"/>
      <c r="I555" s="17"/>
      <c r="J555" s="17"/>
      <c r="K555" s="63"/>
    </row>
    <row r="556" spans="1:11">
      <c r="A556" s="17"/>
      <c r="B556" s="17"/>
      <c r="C556" s="62"/>
      <c r="D556" s="63"/>
      <c r="E556" s="63"/>
      <c r="F556" s="17"/>
      <c r="G556" s="17"/>
      <c r="H556" s="17"/>
      <c r="I556" s="17"/>
      <c r="J556" s="17"/>
      <c r="K556" s="63"/>
    </row>
    <row r="557" spans="1:11">
      <c r="A557" s="17"/>
      <c r="B557" s="17"/>
      <c r="C557" s="62"/>
      <c r="D557" s="63"/>
      <c r="E557" s="63"/>
      <c r="F557" s="17"/>
      <c r="G557" s="17"/>
      <c r="H557" s="17"/>
      <c r="I557" s="17"/>
      <c r="J557" s="17"/>
      <c r="K557" s="63"/>
    </row>
    <row r="558" spans="1:11">
      <c r="A558" s="17"/>
      <c r="B558" s="17"/>
      <c r="C558" s="62"/>
      <c r="D558" s="63"/>
      <c r="E558" s="63"/>
      <c r="F558" s="17"/>
      <c r="G558" s="17"/>
      <c r="H558" s="17"/>
      <c r="I558" s="17"/>
      <c r="J558" s="17"/>
      <c r="K558" s="63"/>
    </row>
    <row r="559" spans="1:11">
      <c r="A559" s="17"/>
      <c r="B559" s="17"/>
      <c r="C559" s="62"/>
      <c r="D559" s="63"/>
      <c r="E559" s="63"/>
      <c r="F559" s="17"/>
      <c r="G559" s="17"/>
      <c r="H559" s="17"/>
      <c r="I559" s="17"/>
      <c r="J559" s="17"/>
      <c r="K559" s="63"/>
    </row>
    <row r="560" spans="1:11">
      <c r="A560" s="17"/>
      <c r="B560" s="17"/>
      <c r="C560" s="62"/>
      <c r="D560" s="63"/>
      <c r="E560" s="63"/>
      <c r="F560" s="17"/>
      <c r="G560" s="17"/>
      <c r="H560" s="17"/>
      <c r="I560" s="17"/>
      <c r="J560" s="17"/>
      <c r="K560" s="63"/>
    </row>
    <row r="561" spans="1:11">
      <c r="A561" s="17"/>
      <c r="B561" s="17"/>
      <c r="C561" s="62"/>
      <c r="D561" s="63"/>
      <c r="E561" s="63"/>
      <c r="F561" s="17"/>
      <c r="G561" s="17"/>
      <c r="H561" s="17"/>
      <c r="I561" s="17"/>
      <c r="J561" s="17"/>
      <c r="K561" s="63"/>
    </row>
    <row r="562" spans="1:11">
      <c r="A562" s="17"/>
      <c r="B562" s="17"/>
      <c r="C562" s="62"/>
      <c r="D562" s="63"/>
      <c r="E562" s="63"/>
      <c r="F562" s="17"/>
      <c r="G562" s="17"/>
      <c r="H562" s="17"/>
      <c r="I562" s="17"/>
      <c r="J562" s="17"/>
      <c r="K562" s="63"/>
    </row>
    <row r="563" spans="1:11">
      <c r="A563" s="17"/>
      <c r="B563" s="17"/>
      <c r="C563" s="62"/>
      <c r="D563" s="63"/>
      <c r="E563" s="63"/>
      <c r="F563" s="17"/>
      <c r="G563" s="17"/>
      <c r="H563" s="17"/>
      <c r="I563" s="17"/>
      <c r="J563" s="17"/>
      <c r="K563" s="63"/>
    </row>
    <row r="564" spans="1:11">
      <c r="A564" s="17"/>
      <c r="B564" s="17"/>
      <c r="C564" s="62"/>
      <c r="D564" s="63"/>
      <c r="E564" s="63"/>
      <c r="F564" s="17"/>
      <c r="G564" s="17"/>
      <c r="H564" s="17"/>
      <c r="I564" s="17"/>
      <c r="J564" s="17"/>
      <c r="K564" s="63"/>
    </row>
    <row r="565" spans="1:11">
      <c r="A565" s="17"/>
      <c r="B565" s="17"/>
      <c r="C565" s="62"/>
      <c r="D565" s="63"/>
      <c r="E565" s="63"/>
      <c r="F565" s="17"/>
      <c r="G565" s="17"/>
      <c r="H565" s="17"/>
      <c r="I565" s="17"/>
      <c r="J565" s="17"/>
      <c r="K565" s="63"/>
    </row>
    <row r="566" spans="1:11">
      <c r="A566" s="17"/>
      <c r="B566" s="17"/>
      <c r="C566" s="62"/>
      <c r="D566" s="63"/>
      <c r="E566" s="63"/>
      <c r="F566" s="17"/>
      <c r="G566" s="17"/>
      <c r="H566" s="17"/>
      <c r="I566" s="17"/>
      <c r="J566" s="17"/>
      <c r="K566" s="63"/>
    </row>
    <row r="567" spans="1:11">
      <c r="A567" s="17"/>
      <c r="B567" s="17"/>
      <c r="C567" s="62"/>
      <c r="D567" s="63"/>
      <c r="E567" s="63"/>
      <c r="F567" s="17"/>
      <c r="G567" s="17"/>
      <c r="H567" s="17"/>
      <c r="I567" s="17"/>
      <c r="J567" s="17"/>
      <c r="K567" s="63"/>
    </row>
    <row r="568" spans="1:11">
      <c r="A568" s="17"/>
      <c r="B568" s="17"/>
      <c r="C568" s="62"/>
      <c r="D568" s="63"/>
      <c r="E568" s="63"/>
      <c r="F568" s="17"/>
      <c r="G568" s="17"/>
      <c r="H568" s="17"/>
      <c r="I568" s="17"/>
      <c r="J568" s="17"/>
      <c r="K568" s="63"/>
    </row>
    <row r="569" spans="1:11">
      <c r="A569" s="17"/>
      <c r="B569" s="17"/>
      <c r="C569" s="62"/>
      <c r="D569" s="63"/>
      <c r="E569" s="63"/>
      <c r="F569" s="17"/>
      <c r="G569" s="17"/>
      <c r="H569" s="17"/>
      <c r="I569" s="17"/>
      <c r="J569" s="17"/>
      <c r="K569" s="63"/>
    </row>
    <row r="570" spans="1:11">
      <c r="A570" s="17"/>
      <c r="B570" s="17"/>
      <c r="C570" s="62"/>
      <c r="D570" s="63"/>
      <c r="E570" s="63"/>
      <c r="F570" s="17"/>
      <c r="G570" s="17"/>
      <c r="H570" s="17"/>
      <c r="I570" s="17"/>
      <c r="J570" s="17"/>
      <c r="K570" s="63"/>
    </row>
    <row r="571" spans="1:11">
      <c r="A571" s="17"/>
      <c r="B571" s="17"/>
      <c r="C571" s="62"/>
      <c r="D571" s="63"/>
      <c r="E571" s="63"/>
      <c r="F571" s="17"/>
      <c r="G571" s="17"/>
      <c r="H571" s="17"/>
      <c r="I571" s="17"/>
      <c r="J571" s="17"/>
      <c r="K571" s="63"/>
    </row>
    <row r="572" spans="1:11">
      <c r="A572" s="17"/>
      <c r="B572" s="17"/>
      <c r="C572" s="62"/>
      <c r="D572" s="63"/>
      <c r="E572" s="63"/>
      <c r="F572" s="17"/>
      <c r="G572" s="17"/>
      <c r="H572" s="17"/>
      <c r="I572" s="17"/>
      <c r="J572" s="17"/>
      <c r="K572" s="63"/>
    </row>
    <row r="573" spans="1:11">
      <c r="A573" s="17"/>
      <c r="B573" s="17"/>
      <c r="C573" s="62"/>
      <c r="D573" s="63"/>
      <c r="E573" s="63"/>
      <c r="F573" s="17"/>
      <c r="G573" s="17"/>
      <c r="H573" s="17"/>
      <c r="I573" s="17"/>
      <c r="J573" s="17"/>
      <c r="K573" s="63"/>
    </row>
    <row r="574" spans="1:11">
      <c r="A574" s="17"/>
      <c r="B574" s="17"/>
      <c r="C574" s="62"/>
      <c r="D574" s="63"/>
      <c r="E574" s="63"/>
      <c r="F574" s="17"/>
      <c r="G574" s="17"/>
      <c r="H574" s="17"/>
      <c r="I574" s="17"/>
      <c r="J574" s="17"/>
      <c r="K574" s="63"/>
    </row>
    <row r="575" spans="1:11">
      <c r="A575" s="17"/>
      <c r="B575" s="17"/>
      <c r="C575" s="62"/>
      <c r="D575" s="63"/>
      <c r="E575" s="63"/>
      <c r="F575" s="17"/>
      <c r="G575" s="17"/>
      <c r="H575" s="17"/>
      <c r="I575" s="17"/>
      <c r="J575" s="17"/>
      <c r="K575" s="63"/>
    </row>
    <row r="576" spans="1:11">
      <c r="A576" s="17"/>
      <c r="B576" s="17"/>
      <c r="C576" s="62"/>
      <c r="D576" s="63"/>
      <c r="E576" s="63"/>
      <c r="F576" s="17"/>
      <c r="G576" s="17"/>
      <c r="H576" s="17"/>
      <c r="I576" s="17"/>
      <c r="J576" s="17"/>
      <c r="K576" s="63"/>
    </row>
    <row r="577" spans="1:11">
      <c r="A577" s="17"/>
      <c r="B577" s="17"/>
      <c r="C577" s="62"/>
      <c r="D577" s="63"/>
      <c r="E577" s="63"/>
      <c r="F577" s="17"/>
      <c r="G577" s="17"/>
      <c r="H577" s="17"/>
      <c r="I577" s="17"/>
      <c r="J577" s="17"/>
      <c r="K577" s="63"/>
    </row>
    <row r="578" spans="1:11">
      <c r="A578" s="17"/>
      <c r="B578" s="17"/>
      <c r="C578" s="62"/>
      <c r="D578" s="63"/>
      <c r="E578" s="63"/>
      <c r="F578" s="17"/>
      <c r="G578" s="17"/>
      <c r="H578" s="17"/>
      <c r="I578" s="17"/>
      <c r="J578" s="17"/>
      <c r="K578" s="63"/>
    </row>
    <row r="579" spans="1:11">
      <c r="A579" s="17"/>
      <c r="B579" s="17"/>
      <c r="C579" s="62"/>
      <c r="D579" s="63"/>
      <c r="E579" s="63"/>
      <c r="F579" s="17"/>
      <c r="G579" s="17"/>
      <c r="H579" s="17"/>
      <c r="I579" s="17"/>
      <c r="J579" s="17"/>
      <c r="K579" s="63"/>
    </row>
    <row r="580" spans="1:11">
      <c r="A580" s="17"/>
      <c r="B580" s="17"/>
      <c r="C580" s="62"/>
      <c r="D580" s="63"/>
      <c r="E580" s="63"/>
      <c r="F580" s="17"/>
      <c r="G580" s="17"/>
      <c r="H580" s="17"/>
      <c r="I580" s="17"/>
      <c r="J580" s="17"/>
      <c r="K580" s="63"/>
    </row>
    <row r="581" spans="1:11">
      <c r="A581" s="17"/>
      <c r="B581" s="17"/>
      <c r="C581" s="62"/>
      <c r="D581" s="63"/>
      <c r="E581" s="63"/>
      <c r="F581" s="17"/>
      <c r="G581" s="17"/>
      <c r="H581" s="17"/>
      <c r="I581" s="17"/>
      <c r="J581" s="17"/>
      <c r="K581" s="63"/>
    </row>
    <row r="582" spans="1:11">
      <c r="A582" s="17"/>
      <c r="B582" s="17"/>
      <c r="C582" s="62"/>
      <c r="D582" s="63"/>
      <c r="E582" s="63"/>
      <c r="F582" s="17"/>
      <c r="G582" s="17"/>
      <c r="H582" s="17"/>
      <c r="I582" s="17"/>
      <c r="J582" s="17"/>
      <c r="K582" s="63"/>
    </row>
    <row r="583" spans="1:11">
      <c r="A583" s="17"/>
      <c r="B583" s="17"/>
      <c r="C583" s="62"/>
      <c r="D583" s="63"/>
      <c r="E583" s="63"/>
      <c r="F583" s="17"/>
      <c r="G583" s="17"/>
      <c r="H583" s="17"/>
      <c r="I583" s="17"/>
      <c r="J583" s="17"/>
      <c r="K583" s="63"/>
    </row>
    <row r="584" spans="1:11">
      <c r="A584" s="17"/>
      <c r="B584" s="17"/>
      <c r="C584" s="62"/>
      <c r="D584" s="63"/>
      <c r="E584" s="63"/>
      <c r="F584" s="17"/>
      <c r="G584" s="17"/>
      <c r="H584" s="17"/>
      <c r="I584" s="17"/>
      <c r="J584" s="17"/>
      <c r="K584" s="63"/>
    </row>
    <row r="585" spans="1:11">
      <c r="A585" s="17"/>
      <c r="B585" s="17"/>
      <c r="C585" s="62"/>
      <c r="D585" s="63"/>
      <c r="E585" s="63"/>
      <c r="F585" s="17"/>
      <c r="G585" s="17"/>
      <c r="H585" s="17"/>
      <c r="I585" s="17"/>
      <c r="J585" s="17"/>
      <c r="K585" s="63"/>
    </row>
    <row r="586" spans="1:11">
      <c r="A586" s="17"/>
      <c r="B586" s="17"/>
      <c r="C586" s="62"/>
      <c r="D586" s="63"/>
      <c r="E586" s="63"/>
      <c r="F586" s="17"/>
      <c r="G586" s="17"/>
      <c r="H586" s="17"/>
      <c r="I586" s="17"/>
      <c r="J586" s="17"/>
      <c r="K586" s="63"/>
    </row>
    <row r="587" spans="1:11">
      <c r="A587" s="17"/>
      <c r="B587" s="17"/>
      <c r="C587" s="62"/>
      <c r="D587" s="63"/>
      <c r="E587" s="63"/>
      <c r="F587" s="17"/>
      <c r="G587" s="17"/>
      <c r="H587" s="17"/>
      <c r="I587" s="17"/>
      <c r="J587" s="17"/>
      <c r="K587" s="63"/>
    </row>
    <row r="588" spans="1:11">
      <c r="A588" s="17"/>
      <c r="B588" s="17"/>
      <c r="C588" s="62"/>
      <c r="D588" s="63"/>
      <c r="E588" s="63"/>
      <c r="F588" s="17"/>
      <c r="G588" s="17"/>
      <c r="H588" s="17"/>
      <c r="I588" s="17"/>
      <c r="J588" s="17"/>
      <c r="K588" s="63"/>
    </row>
    <row r="589" spans="1:11">
      <c r="A589" s="17"/>
      <c r="B589" s="17"/>
      <c r="C589" s="62"/>
      <c r="D589" s="63"/>
      <c r="E589" s="63"/>
      <c r="F589" s="17"/>
      <c r="G589" s="17"/>
      <c r="H589" s="17"/>
      <c r="I589" s="17"/>
      <c r="J589" s="17"/>
      <c r="K589" s="63"/>
    </row>
    <row r="590" spans="1:11">
      <c r="A590" s="17"/>
      <c r="B590" s="17"/>
      <c r="C590" s="62"/>
      <c r="D590" s="63"/>
      <c r="E590" s="63"/>
      <c r="F590" s="17"/>
      <c r="G590" s="17"/>
      <c r="H590" s="17"/>
      <c r="I590" s="17"/>
      <c r="J590" s="17"/>
      <c r="K590" s="63"/>
    </row>
    <row r="591" spans="1:11">
      <c r="A591" s="17"/>
      <c r="B591" s="17"/>
      <c r="C591" s="62"/>
      <c r="D591" s="63"/>
      <c r="E591" s="63"/>
      <c r="F591" s="17"/>
      <c r="G591" s="17"/>
      <c r="H591" s="17"/>
      <c r="I591" s="17"/>
      <c r="J591" s="17"/>
      <c r="K591" s="63"/>
    </row>
    <row r="592" spans="1:11">
      <c r="A592" s="17"/>
      <c r="B592" s="17"/>
      <c r="C592" s="62"/>
      <c r="D592" s="63"/>
      <c r="E592" s="63"/>
      <c r="F592" s="17"/>
      <c r="G592" s="17"/>
      <c r="H592" s="17"/>
      <c r="I592" s="17"/>
      <c r="J592" s="17"/>
      <c r="K592" s="63"/>
    </row>
    <row r="593" spans="1:11">
      <c r="A593" s="17"/>
      <c r="B593" s="17"/>
      <c r="C593" s="62"/>
      <c r="D593" s="63"/>
      <c r="E593" s="63"/>
      <c r="F593" s="17"/>
      <c r="G593" s="17"/>
      <c r="H593" s="17"/>
      <c r="I593" s="17"/>
      <c r="J593" s="17"/>
      <c r="K593" s="63"/>
    </row>
    <row r="594" spans="1:11">
      <c r="A594" s="17"/>
      <c r="B594" s="17"/>
      <c r="C594" s="62"/>
      <c r="D594" s="63"/>
      <c r="E594" s="63"/>
      <c r="F594" s="17"/>
      <c r="G594" s="17"/>
      <c r="H594" s="17"/>
      <c r="I594" s="17"/>
      <c r="J594" s="17"/>
      <c r="K594" s="63"/>
    </row>
    <row r="595" spans="1:11">
      <c r="A595" s="17"/>
      <c r="B595" s="17"/>
      <c r="C595" s="62"/>
      <c r="D595" s="63"/>
      <c r="E595" s="63"/>
      <c r="F595" s="17"/>
      <c r="G595" s="17"/>
      <c r="H595" s="17"/>
      <c r="I595" s="17"/>
      <c r="J595" s="17"/>
      <c r="K595" s="63"/>
    </row>
    <row r="596" spans="1:11">
      <c r="A596" s="17"/>
      <c r="B596" s="17"/>
      <c r="C596" s="62"/>
      <c r="D596" s="63"/>
      <c r="E596" s="63"/>
      <c r="F596" s="17"/>
      <c r="G596" s="17"/>
      <c r="H596" s="17"/>
      <c r="I596" s="17"/>
      <c r="J596" s="17"/>
      <c r="K596" s="63"/>
    </row>
    <row r="597" spans="1:11">
      <c r="A597" s="17"/>
      <c r="B597" s="17"/>
      <c r="C597" s="62"/>
      <c r="D597" s="63"/>
      <c r="E597" s="63"/>
      <c r="F597" s="17"/>
      <c r="G597" s="17"/>
      <c r="H597" s="17"/>
      <c r="I597" s="17"/>
      <c r="J597" s="17"/>
      <c r="K597" s="63"/>
    </row>
    <row r="598" spans="1:11">
      <c r="A598" s="17"/>
      <c r="B598" s="17"/>
      <c r="C598" s="62"/>
      <c r="D598" s="63"/>
      <c r="E598" s="63"/>
      <c r="F598" s="17"/>
      <c r="G598" s="17"/>
      <c r="H598" s="17"/>
      <c r="I598" s="17"/>
      <c r="J598" s="17"/>
      <c r="K598" s="63"/>
    </row>
    <row r="599" spans="1:11">
      <c r="A599" s="17"/>
      <c r="B599" s="17"/>
      <c r="C599" s="62"/>
      <c r="D599" s="63"/>
      <c r="E599" s="63"/>
      <c r="F599" s="17"/>
      <c r="G599" s="17"/>
      <c r="H599" s="17"/>
      <c r="I599" s="17"/>
      <c r="J599" s="17"/>
      <c r="K599" s="63"/>
    </row>
    <row r="600" spans="1:11">
      <c r="A600" s="17"/>
      <c r="B600" s="17"/>
      <c r="C600" s="62"/>
      <c r="D600" s="63"/>
      <c r="E600" s="63"/>
      <c r="F600" s="17"/>
      <c r="G600" s="17"/>
      <c r="H600" s="17"/>
      <c r="I600" s="17"/>
      <c r="J600" s="17"/>
      <c r="K600" s="63"/>
    </row>
    <row r="601" spans="1:11">
      <c r="A601" s="17"/>
      <c r="B601" s="17"/>
      <c r="C601" s="62"/>
      <c r="D601" s="63"/>
      <c r="E601" s="63"/>
      <c r="F601" s="17"/>
      <c r="G601" s="17"/>
      <c r="H601" s="17"/>
      <c r="I601" s="17"/>
      <c r="J601" s="17"/>
      <c r="K601" s="63"/>
    </row>
    <row r="602" spans="1:11">
      <c r="A602" s="17"/>
      <c r="B602" s="17"/>
      <c r="C602" s="62"/>
      <c r="D602" s="63"/>
      <c r="E602" s="63"/>
      <c r="F602" s="17"/>
      <c r="G602" s="17"/>
      <c r="H602" s="17"/>
      <c r="I602" s="17"/>
      <c r="J602" s="17"/>
      <c r="K602" s="63"/>
    </row>
    <row r="603" spans="1:11">
      <c r="A603" s="17"/>
      <c r="B603" s="17"/>
      <c r="C603" s="62"/>
      <c r="D603" s="63"/>
      <c r="E603" s="63"/>
      <c r="F603" s="17"/>
      <c r="G603" s="17"/>
      <c r="H603" s="17"/>
      <c r="I603" s="17"/>
      <c r="J603" s="17"/>
      <c r="K603" s="63"/>
    </row>
    <row r="604" spans="1:11">
      <c r="A604" s="17"/>
      <c r="B604" s="17"/>
      <c r="C604" s="62"/>
      <c r="D604" s="63"/>
      <c r="E604" s="63"/>
      <c r="F604" s="17"/>
      <c r="G604" s="17"/>
      <c r="H604" s="17"/>
      <c r="I604" s="17"/>
      <c r="J604" s="17"/>
      <c r="K604" s="63"/>
    </row>
    <row r="605" spans="1:11">
      <c r="A605" s="17"/>
      <c r="B605" s="17"/>
      <c r="C605" s="62"/>
      <c r="D605" s="63"/>
      <c r="E605" s="63"/>
      <c r="F605" s="17"/>
      <c r="G605" s="17"/>
      <c r="H605" s="17"/>
      <c r="I605" s="17"/>
      <c r="J605" s="17"/>
      <c r="K605" s="63"/>
    </row>
    <row r="606" spans="1:11">
      <c r="A606" s="17"/>
      <c r="B606" s="17"/>
      <c r="C606" s="62"/>
      <c r="D606" s="63"/>
      <c r="E606" s="63"/>
      <c r="F606" s="17"/>
      <c r="G606" s="17"/>
      <c r="H606" s="17"/>
      <c r="I606" s="17"/>
      <c r="J606" s="17"/>
      <c r="K606" s="63"/>
    </row>
    <row r="607" spans="1:11">
      <c r="A607" s="17"/>
      <c r="B607" s="17"/>
      <c r="C607" s="62"/>
      <c r="D607" s="63"/>
      <c r="E607" s="63"/>
      <c r="F607" s="17"/>
      <c r="G607" s="17"/>
      <c r="H607" s="17"/>
      <c r="I607" s="17"/>
      <c r="J607" s="17"/>
      <c r="K607" s="63"/>
    </row>
    <row r="608" spans="1:11">
      <c r="A608" s="17"/>
      <c r="B608" s="17"/>
      <c r="C608" s="62"/>
      <c r="D608" s="63"/>
      <c r="E608" s="63"/>
      <c r="F608" s="17"/>
      <c r="G608" s="17"/>
      <c r="H608" s="17"/>
      <c r="I608" s="17"/>
      <c r="J608" s="17"/>
      <c r="K608" s="63"/>
    </row>
    <row r="609" spans="1:11">
      <c r="A609" s="17"/>
      <c r="B609" s="17"/>
      <c r="C609" s="62"/>
      <c r="D609" s="63"/>
      <c r="E609" s="63"/>
      <c r="F609" s="17"/>
      <c r="G609" s="17"/>
      <c r="H609" s="17"/>
      <c r="I609" s="17"/>
      <c r="J609" s="17"/>
      <c r="K609" s="63"/>
    </row>
    <row r="610" spans="1:11">
      <c r="A610" s="17"/>
      <c r="B610" s="17"/>
      <c r="C610" s="62"/>
      <c r="D610" s="63"/>
      <c r="E610" s="63"/>
      <c r="F610" s="17"/>
      <c r="G610" s="17"/>
      <c r="H610" s="17"/>
      <c r="I610" s="17"/>
      <c r="J610" s="17"/>
      <c r="K610" s="63"/>
    </row>
    <row r="611" spans="1:11">
      <c r="A611" s="17"/>
      <c r="B611" s="17"/>
      <c r="C611" s="62"/>
      <c r="D611" s="63"/>
      <c r="E611" s="63"/>
      <c r="F611" s="17"/>
      <c r="G611" s="17"/>
      <c r="H611" s="17"/>
      <c r="I611" s="17"/>
      <c r="J611" s="17"/>
      <c r="K611" s="63"/>
    </row>
    <row r="612" spans="1:11">
      <c r="A612" s="17"/>
      <c r="B612" s="17"/>
      <c r="C612" s="62"/>
      <c r="D612" s="63"/>
      <c r="E612" s="63"/>
      <c r="F612" s="17"/>
      <c r="G612" s="17"/>
      <c r="H612" s="17"/>
      <c r="I612" s="17"/>
      <c r="J612" s="17"/>
      <c r="K612" s="63"/>
    </row>
    <row r="613" spans="1:11">
      <c r="A613" s="17"/>
      <c r="B613" s="17"/>
      <c r="C613" s="62"/>
      <c r="D613" s="63"/>
      <c r="E613" s="63"/>
      <c r="F613" s="17"/>
      <c r="G613" s="17"/>
      <c r="H613" s="17"/>
      <c r="I613" s="17"/>
      <c r="J613" s="17"/>
      <c r="K613" s="63"/>
    </row>
    <row r="614" spans="1:11">
      <c r="A614" s="17"/>
      <c r="B614" s="17"/>
      <c r="C614" s="62"/>
      <c r="D614" s="63"/>
      <c r="E614" s="63"/>
      <c r="F614" s="17"/>
      <c r="G614" s="17"/>
      <c r="H614" s="17"/>
      <c r="I614" s="17"/>
      <c r="J614" s="17"/>
      <c r="K614" s="63"/>
    </row>
    <row r="615" spans="1:11">
      <c r="A615" s="17"/>
      <c r="B615" s="17"/>
      <c r="C615" s="62"/>
      <c r="D615" s="63"/>
      <c r="E615" s="63"/>
      <c r="F615" s="17"/>
      <c r="G615" s="17"/>
      <c r="H615" s="17"/>
      <c r="I615" s="17"/>
      <c r="J615" s="17"/>
      <c r="K615" s="63"/>
    </row>
    <row r="616" spans="1:11">
      <c r="A616" s="17"/>
      <c r="B616" s="17"/>
      <c r="C616" s="62"/>
      <c r="D616" s="63"/>
      <c r="E616" s="63"/>
      <c r="F616" s="17"/>
      <c r="G616" s="17"/>
      <c r="H616" s="17"/>
      <c r="I616" s="17"/>
      <c r="J616" s="17"/>
      <c r="K616" s="63"/>
    </row>
    <row r="617" spans="1:11">
      <c r="A617" s="17"/>
      <c r="B617" s="17"/>
      <c r="C617" s="62"/>
      <c r="D617" s="63"/>
      <c r="E617" s="63"/>
      <c r="F617" s="17"/>
      <c r="G617" s="17"/>
      <c r="H617" s="17"/>
      <c r="I617" s="17"/>
      <c r="J617" s="17"/>
      <c r="K617" s="63"/>
    </row>
    <row r="618" spans="1:11">
      <c r="A618" s="17"/>
      <c r="B618" s="17"/>
      <c r="C618" s="62"/>
      <c r="D618" s="63"/>
      <c r="E618" s="63"/>
      <c r="F618" s="17"/>
      <c r="G618" s="17"/>
      <c r="H618" s="17"/>
      <c r="I618" s="17"/>
      <c r="J618" s="17"/>
      <c r="K618" s="63"/>
    </row>
    <row r="619" spans="1:11">
      <c r="A619" s="17"/>
      <c r="B619" s="17"/>
      <c r="C619" s="62"/>
      <c r="D619" s="63"/>
      <c r="E619" s="63"/>
      <c r="F619" s="17"/>
      <c r="G619" s="17"/>
      <c r="H619" s="17"/>
      <c r="I619" s="17"/>
      <c r="J619" s="17"/>
      <c r="K619" s="63"/>
    </row>
    <row r="620" spans="1:11">
      <c r="A620" s="17"/>
      <c r="B620" s="17"/>
      <c r="C620" s="62"/>
      <c r="D620" s="63"/>
      <c r="E620" s="63"/>
      <c r="F620" s="17"/>
      <c r="G620" s="17"/>
      <c r="H620" s="17"/>
      <c r="I620" s="17"/>
      <c r="J620" s="17"/>
      <c r="K620" s="63"/>
    </row>
    <row r="621" spans="1:11">
      <c r="A621" s="17"/>
      <c r="B621" s="17"/>
      <c r="C621" s="62"/>
      <c r="D621" s="63"/>
      <c r="E621" s="63"/>
      <c r="F621" s="17"/>
      <c r="G621" s="17"/>
      <c r="H621" s="17"/>
      <c r="I621" s="17"/>
      <c r="J621" s="17"/>
      <c r="K621" s="63"/>
    </row>
    <row r="622" spans="1:11">
      <c r="A622" s="17"/>
      <c r="B622" s="17"/>
      <c r="C622" s="62"/>
      <c r="D622" s="63"/>
      <c r="E622" s="63"/>
      <c r="F622" s="17"/>
      <c r="G622" s="17"/>
      <c r="H622" s="17"/>
      <c r="I622" s="17"/>
      <c r="J622" s="17"/>
      <c r="K622" s="63"/>
    </row>
    <row r="623" spans="1:11">
      <c r="A623" s="17"/>
      <c r="B623" s="17"/>
      <c r="C623" s="62"/>
      <c r="D623" s="63"/>
      <c r="E623" s="63"/>
      <c r="F623" s="17"/>
      <c r="G623" s="17"/>
      <c r="H623" s="17"/>
      <c r="I623" s="17"/>
      <c r="J623" s="17"/>
      <c r="K623" s="63"/>
    </row>
    <row r="624" spans="1:11">
      <c r="A624" s="17"/>
      <c r="B624" s="17"/>
      <c r="C624" s="62"/>
      <c r="D624" s="63"/>
      <c r="E624" s="63"/>
      <c r="F624" s="17"/>
      <c r="G624" s="17"/>
      <c r="H624" s="17"/>
      <c r="I624" s="17"/>
      <c r="J624" s="17"/>
      <c r="K624" s="63"/>
    </row>
    <row r="625" spans="1:11">
      <c r="A625" s="17"/>
      <c r="B625" s="17"/>
      <c r="C625" s="62"/>
      <c r="D625" s="63"/>
      <c r="E625" s="63"/>
      <c r="F625" s="17"/>
      <c r="G625" s="17"/>
      <c r="H625" s="17"/>
      <c r="I625" s="17"/>
      <c r="J625" s="17"/>
      <c r="K625" s="63"/>
    </row>
    <row r="626" spans="1:11">
      <c r="A626" s="17"/>
      <c r="B626" s="17"/>
      <c r="C626" s="62"/>
      <c r="D626" s="63"/>
      <c r="E626" s="63"/>
      <c r="F626" s="17"/>
      <c r="G626" s="17"/>
      <c r="H626" s="17"/>
      <c r="I626" s="17"/>
      <c r="J626" s="17"/>
      <c r="K626" s="63"/>
    </row>
    <row r="627" spans="1:11">
      <c r="A627" s="17"/>
      <c r="B627" s="17"/>
      <c r="C627" s="62"/>
      <c r="D627" s="63"/>
      <c r="E627" s="63"/>
      <c r="F627" s="17"/>
      <c r="G627" s="17"/>
      <c r="H627" s="17"/>
      <c r="I627" s="17"/>
      <c r="J627" s="17"/>
      <c r="K627" s="63"/>
    </row>
    <row r="628" spans="1:11">
      <c r="A628" s="17"/>
      <c r="B628" s="17"/>
      <c r="C628" s="62"/>
      <c r="D628" s="63"/>
      <c r="E628" s="63"/>
      <c r="F628" s="17"/>
      <c r="G628" s="17"/>
      <c r="H628" s="17"/>
      <c r="I628" s="17"/>
      <c r="J628" s="17"/>
      <c r="K628" s="63"/>
    </row>
    <row r="629" spans="1:11">
      <c r="A629" s="17"/>
      <c r="B629" s="17"/>
      <c r="C629" s="62"/>
      <c r="D629" s="63"/>
      <c r="E629" s="63"/>
      <c r="F629" s="17"/>
      <c r="G629" s="17"/>
      <c r="H629" s="17"/>
      <c r="I629" s="17"/>
      <c r="J629" s="17"/>
      <c r="K629" s="63"/>
    </row>
    <row r="630" spans="1:11">
      <c r="A630" s="17"/>
      <c r="B630" s="17"/>
      <c r="C630" s="62"/>
      <c r="D630" s="63"/>
      <c r="E630" s="63"/>
      <c r="F630" s="17"/>
      <c r="G630" s="17"/>
      <c r="H630" s="17"/>
      <c r="I630" s="17"/>
      <c r="J630" s="17"/>
      <c r="K630" s="63"/>
    </row>
    <row r="631" spans="1:11">
      <c r="A631" s="17"/>
      <c r="B631" s="17"/>
      <c r="C631" s="62"/>
      <c r="D631" s="63"/>
      <c r="E631" s="63"/>
      <c r="F631" s="17"/>
      <c r="G631" s="17"/>
      <c r="H631" s="17"/>
      <c r="I631" s="17"/>
      <c r="J631" s="17"/>
      <c r="K631" s="63"/>
    </row>
    <row r="632" spans="1:11">
      <c r="A632" s="17"/>
      <c r="B632" s="17"/>
      <c r="C632" s="62"/>
      <c r="D632" s="63"/>
      <c r="E632" s="63"/>
      <c r="F632" s="17"/>
      <c r="G632" s="17"/>
      <c r="H632" s="17"/>
      <c r="I632" s="17"/>
      <c r="J632" s="17"/>
      <c r="K632" s="63"/>
    </row>
    <row r="633" spans="1:11">
      <c r="A633" s="17"/>
      <c r="B633" s="17"/>
      <c r="C633" s="62"/>
      <c r="D633" s="63"/>
      <c r="E633" s="63"/>
      <c r="F633" s="17"/>
      <c r="G633" s="17"/>
      <c r="H633" s="17"/>
      <c r="I633" s="17"/>
      <c r="J633" s="17"/>
      <c r="K633" s="63"/>
    </row>
    <row r="634" spans="1:11">
      <c r="A634" s="17"/>
      <c r="B634" s="17"/>
      <c r="C634" s="62"/>
      <c r="D634" s="63"/>
      <c r="E634" s="63"/>
      <c r="F634" s="17"/>
      <c r="G634" s="17"/>
      <c r="H634" s="17"/>
      <c r="I634" s="17"/>
      <c r="J634" s="17"/>
      <c r="K634" s="63"/>
    </row>
    <row r="635" spans="1:11">
      <c r="A635" s="17"/>
      <c r="B635" s="17"/>
      <c r="C635" s="62"/>
      <c r="D635" s="63"/>
      <c r="E635" s="63"/>
      <c r="F635" s="17"/>
      <c r="G635" s="17"/>
      <c r="H635" s="17"/>
      <c r="I635" s="17"/>
      <c r="J635" s="17"/>
      <c r="K635" s="63"/>
    </row>
    <row r="636" spans="1:11">
      <c r="A636" s="17"/>
      <c r="B636" s="17"/>
      <c r="C636" s="62"/>
      <c r="D636" s="63"/>
      <c r="E636" s="63"/>
      <c r="F636" s="17"/>
      <c r="G636" s="17"/>
      <c r="H636" s="17"/>
      <c r="I636" s="17"/>
      <c r="J636" s="17"/>
      <c r="K636" s="63"/>
    </row>
    <row r="637" spans="1:11">
      <c r="A637" s="17"/>
      <c r="B637" s="17"/>
      <c r="C637" s="62"/>
      <c r="D637" s="63"/>
      <c r="E637" s="63"/>
      <c r="F637" s="17"/>
      <c r="G637" s="17"/>
      <c r="H637" s="17"/>
      <c r="I637" s="17"/>
      <c r="J637" s="17"/>
      <c r="K637" s="63"/>
    </row>
    <row r="638" spans="1:11">
      <c r="A638" s="17"/>
      <c r="B638" s="17"/>
      <c r="C638" s="62"/>
      <c r="D638" s="63"/>
      <c r="E638" s="63"/>
      <c r="F638" s="17"/>
      <c r="G638" s="17"/>
      <c r="H638" s="17"/>
      <c r="I638" s="17"/>
      <c r="J638" s="17"/>
      <c r="K638" s="63"/>
    </row>
    <row r="639" spans="1:11">
      <c r="A639" s="17"/>
      <c r="B639" s="17"/>
      <c r="C639" s="62"/>
      <c r="D639" s="63"/>
      <c r="E639" s="63"/>
      <c r="F639" s="17"/>
      <c r="G639" s="17"/>
      <c r="H639" s="17"/>
      <c r="I639" s="17"/>
      <c r="J639" s="17"/>
      <c r="K639" s="63"/>
    </row>
    <row r="640" spans="1:11">
      <c r="A640" s="17"/>
      <c r="B640" s="17"/>
      <c r="C640" s="62"/>
      <c r="D640" s="63"/>
      <c r="E640" s="63"/>
      <c r="F640" s="17"/>
      <c r="G640" s="17"/>
      <c r="H640" s="17"/>
      <c r="I640" s="17"/>
      <c r="J640" s="17"/>
      <c r="K640" s="63"/>
    </row>
    <row r="641" spans="1:11">
      <c r="A641" s="17"/>
      <c r="B641" s="17"/>
      <c r="C641" s="62"/>
      <c r="D641" s="63"/>
      <c r="E641" s="63"/>
      <c r="F641" s="17"/>
      <c r="G641" s="17"/>
      <c r="H641" s="17"/>
      <c r="I641" s="17"/>
      <c r="J641" s="17"/>
      <c r="K641" s="63"/>
    </row>
    <row r="642" spans="1:11">
      <c r="A642" s="17"/>
      <c r="B642" s="17"/>
      <c r="C642" s="62"/>
      <c r="D642" s="63"/>
      <c r="E642" s="63"/>
      <c r="F642" s="17"/>
      <c r="G642" s="17"/>
      <c r="H642" s="17"/>
      <c r="I642" s="17"/>
      <c r="J642" s="17"/>
      <c r="K642" s="63"/>
    </row>
    <row r="643" spans="1:11">
      <c r="A643" s="17"/>
      <c r="B643" s="17"/>
      <c r="C643" s="62"/>
      <c r="D643" s="63"/>
      <c r="E643" s="63"/>
      <c r="F643" s="17"/>
      <c r="G643" s="17"/>
      <c r="H643" s="17"/>
      <c r="I643" s="17"/>
      <c r="J643" s="17"/>
      <c r="K643" s="63"/>
    </row>
    <row r="644" spans="1:11">
      <c r="A644" s="17"/>
      <c r="B644" s="17"/>
      <c r="C644" s="62"/>
      <c r="D644" s="63"/>
      <c r="E644" s="63"/>
      <c r="F644" s="17"/>
      <c r="G644" s="17"/>
      <c r="H644" s="17"/>
      <c r="I644" s="17"/>
      <c r="J644" s="17"/>
      <c r="K644" s="63"/>
    </row>
    <row r="645" spans="1:11">
      <c r="A645" s="17"/>
      <c r="B645" s="17"/>
      <c r="C645" s="62"/>
      <c r="D645" s="63"/>
      <c r="E645" s="63"/>
      <c r="F645" s="17"/>
      <c r="G645" s="17"/>
      <c r="H645" s="17"/>
      <c r="I645" s="17"/>
      <c r="J645" s="17"/>
      <c r="K645" s="63"/>
    </row>
    <row r="646" spans="1:11">
      <c r="A646" s="17"/>
      <c r="B646" s="17"/>
      <c r="C646" s="62"/>
      <c r="D646" s="63"/>
      <c r="E646" s="63"/>
      <c r="F646" s="17"/>
      <c r="G646" s="17"/>
      <c r="H646" s="17"/>
      <c r="I646" s="17"/>
      <c r="J646" s="17"/>
      <c r="K646" s="63"/>
    </row>
    <row r="647" spans="1:11">
      <c r="A647" s="17"/>
      <c r="B647" s="17"/>
      <c r="C647" s="62"/>
      <c r="D647" s="63"/>
      <c r="E647" s="63"/>
      <c r="F647" s="17"/>
      <c r="G647" s="17"/>
      <c r="H647" s="17"/>
      <c r="I647" s="17"/>
      <c r="J647" s="17"/>
      <c r="K647" s="63"/>
    </row>
    <row r="648" spans="1:11">
      <c r="A648" s="17"/>
      <c r="B648" s="17"/>
      <c r="C648" s="62"/>
      <c r="D648" s="63"/>
      <c r="E648" s="63"/>
      <c r="F648" s="17"/>
      <c r="G648" s="17"/>
      <c r="H648" s="17"/>
      <c r="I648" s="17"/>
      <c r="J648" s="17"/>
      <c r="K648" s="63"/>
    </row>
    <row r="649" spans="1:11">
      <c r="A649" s="17"/>
      <c r="B649" s="17"/>
      <c r="C649" s="62"/>
      <c r="D649" s="63"/>
      <c r="E649" s="63"/>
      <c r="F649" s="17"/>
      <c r="G649" s="17"/>
      <c r="H649" s="17"/>
      <c r="I649" s="17"/>
      <c r="J649" s="17"/>
      <c r="K649" s="63"/>
    </row>
    <row r="650" spans="1:11">
      <c r="A650" s="17"/>
      <c r="B650" s="17"/>
      <c r="C650" s="62"/>
      <c r="D650" s="63"/>
      <c r="E650" s="63"/>
      <c r="F650" s="17"/>
      <c r="G650" s="17"/>
      <c r="H650" s="17"/>
      <c r="I650" s="17"/>
      <c r="J650" s="17"/>
      <c r="K650" s="63"/>
    </row>
    <row r="651" spans="1:11">
      <c r="A651" s="17"/>
      <c r="B651" s="17"/>
      <c r="C651" s="62"/>
      <c r="D651" s="63"/>
      <c r="E651" s="63"/>
      <c r="F651" s="17"/>
      <c r="G651" s="17"/>
      <c r="H651" s="17"/>
      <c r="I651" s="17"/>
      <c r="J651" s="17"/>
      <c r="K651" s="63"/>
    </row>
    <row r="652" spans="1:11">
      <c r="A652" s="17"/>
      <c r="B652" s="17"/>
      <c r="C652" s="62"/>
      <c r="D652" s="63"/>
      <c r="E652" s="63"/>
      <c r="F652" s="17"/>
      <c r="G652" s="17"/>
      <c r="H652" s="17"/>
      <c r="I652" s="17"/>
      <c r="J652" s="17"/>
      <c r="K652" s="63"/>
    </row>
    <row r="653" spans="1:11">
      <c r="A653" s="17"/>
      <c r="B653" s="17"/>
      <c r="C653" s="62"/>
      <c r="D653" s="63"/>
      <c r="E653" s="63"/>
      <c r="F653" s="17"/>
      <c r="G653" s="17"/>
      <c r="H653" s="17"/>
      <c r="I653" s="17"/>
      <c r="J653" s="17"/>
      <c r="K653" s="63"/>
    </row>
    <row r="654" spans="1:11">
      <c r="A654" s="17"/>
      <c r="B654" s="17"/>
      <c r="C654" s="62"/>
      <c r="D654" s="63"/>
      <c r="E654" s="63"/>
      <c r="F654" s="17"/>
      <c r="G654" s="17"/>
      <c r="H654" s="17"/>
      <c r="I654" s="17"/>
      <c r="J654" s="17"/>
      <c r="K654" s="63"/>
    </row>
    <row r="655" spans="1:11">
      <c r="A655" s="17"/>
      <c r="B655" s="17"/>
      <c r="C655" s="62"/>
      <c r="D655" s="63"/>
      <c r="E655" s="63"/>
      <c r="F655" s="17"/>
      <c r="G655" s="17"/>
      <c r="H655" s="17"/>
      <c r="I655" s="17"/>
      <c r="J655" s="17"/>
      <c r="K655" s="63"/>
    </row>
    <row r="656" spans="1:11">
      <c r="A656" s="17"/>
      <c r="B656" s="17"/>
      <c r="C656" s="62"/>
      <c r="D656" s="63"/>
      <c r="E656" s="63"/>
      <c r="F656" s="17"/>
      <c r="G656" s="17"/>
      <c r="H656" s="17"/>
      <c r="I656" s="17"/>
      <c r="J656" s="17"/>
      <c r="K656" s="63"/>
    </row>
    <row r="657" spans="1:11">
      <c r="A657" s="17"/>
      <c r="B657" s="17"/>
      <c r="C657" s="62"/>
      <c r="D657" s="63"/>
      <c r="E657" s="63"/>
      <c r="F657" s="17"/>
      <c r="G657" s="17"/>
      <c r="H657" s="17"/>
      <c r="I657" s="17"/>
      <c r="J657" s="17"/>
      <c r="K657" s="63"/>
    </row>
    <row r="658" spans="1:11">
      <c r="A658" s="17"/>
      <c r="B658" s="17"/>
      <c r="C658" s="62"/>
      <c r="D658" s="63"/>
      <c r="E658" s="63"/>
      <c r="F658" s="17"/>
      <c r="G658" s="17"/>
      <c r="H658" s="17"/>
      <c r="I658" s="17"/>
      <c r="J658" s="17"/>
      <c r="K658" s="63"/>
    </row>
    <row r="659" spans="1:11">
      <c r="A659" s="17"/>
      <c r="B659" s="17"/>
      <c r="C659" s="62"/>
      <c r="D659" s="63"/>
      <c r="E659" s="63"/>
      <c r="F659" s="17"/>
      <c r="G659" s="17"/>
      <c r="H659" s="17"/>
      <c r="I659" s="17"/>
      <c r="J659" s="17"/>
      <c r="K659" s="63"/>
    </row>
    <row r="660" spans="1:11">
      <c r="A660" s="17"/>
      <c r="B660" s="17"/>
      <c r="C660" s="62"/>
      <c r="D660" s="63"/>
      <c r="E660" s="63"/>
      <c r="F660" s="17"/>
      <c r="G660" s="17"/>
      <c r="H660" s="17"/>
      <c r="I660" s="17"/>
      <c r="J660" s="17"/>
      <c r="K660" s="63"/>
    </row>
    <row r="661" spans="1:11">
      <c r="A661" s="17"/>
      <c r="B661" s="17"/>
      <c r="C661" s="62"/>
      <c r="D661" s="63"/>
      <c r="E661" s="63"/>
      <c r="F661" s="17"/>
      <c r="G661" s="17"/>
      <c r="H661" s="17"/>
      <c r="I661" s="17"/>
      <c r="J661" s="17"/>
      <c r="K661" s="63"/>
    </row>
    <row r="662" spans="1:11">
      <c r="A662" s="17"/>
      <c r="B662" s="17"/>
      <c r="C662" s="62"/>
      <c r="D662" s="63"/>
      <c r="E662" s="63"/>
      <c r="F662" s="17"/>
      <c r="G662" s="17"/>
      <c r="H662" s="17"/>
      <c r="I662" s="17"/>
      <c r="J662" s="17"/>
      <c r="K662" s="63"/>
    </row>
    <row r="663" spans="1:11">
      <c r="A663" s="17"/>
      <c r="B663" s="17"/>
      <c r="C663" s="62"/>
      <c r="D663" s="63"/>
      <c r="E663" s="63"/>
      <c r="F663" s="17"/>
      <c r="G663" s="17"/>
      <c r="H663" s="17"/>
      <c r="I663" s="17"/>
      <c r="J663" s="17"/>
      <c r="K663" s="63"/>
    </row>
    <row r="664" spans="1:11">
      <c r="A664" s="17"/>
      <c r="B664" s="17"/>
      <c r="C664" s="62"/>
      <c r="D664" s="63"/>
      <c r="E664" s="63"/>
      <c r="F664" s="17"/>
      <c r="G664" s="17"/>
      <c r="H664" s="17"/>
      <c r="I664" s="17"/>
      <c r="J664" s="17"/>
      <c r="K664" s="63"/>
    </row>
    <row r="665" spans="1:11">
      <c r="A665" s="17"/>
      <c r="B665" s="17"/>
      <c r="C665" s="62"/>
      <c r="D665" s="63"/>
      <c r="E665" s="63"/>
      <c r="F665" s="17"/>
      <c r="G665" s="17"/>
      <c r="H665" s="17"/>
      <c r="I665" s="17"/>
      <c r="J665" s="17"/>
      <c r="K665" s="63"/>
    </row>
    <row r="666" spans="1:11">
      <c r="A666" s="17"/>
      <c r="B666" s="17"/>
      <c r="C666" s="62"/>
      <c r="D666" s="63"/>
      <c r="E666" s="63"/>
      <c r="F666" s="17"/>
      <c r="G666" s="17"/>
      <c r="H666" s="17"/>
      <c r="I666" s="17"/>
      <c r="J666" s="17"/>
      <c r="K666" s="63"/>
    </row>
    <row r="667" spans="1:11">
      <c r="A667" s="17"/>
      <c r="B667" s="17"/>
      <c r="C667" s="62"/>
      <c r="D667" s="63"/>
      <c r="E667" s="63"/>
      <c r="F667" s="17"/>
      <c r="G667" s="17"/>
      <c r="H667" s="17"/>
      <c r="I667" s="17"/>
      <c r="J667" s="17"/>
      <c r="K667" s="63"/>
    </row>
    <row r="668" spans="1:11">
      <c r="A668" s="17"/>
      <c r="B668" s="17"/>
      <c r="C668" s="62"/>
      <c r="D668" s="63"/>
      <c r="E668" s="63"/>
      <c r="F668" s="17"/>
      <c r="G668" s="17"/>
      <c r="H668" s="17"/>
      <c r="I668" s="17"/>
      <c r="J668" s="17"/>
      <c r="K668" s="63"/>
    </row>
    <row r="669" spans="1:11">
      <c r="A669" s="17"/>
      <c r="B669" s="17"/>
      <c r="C669" s="62"/>
      <c r="D669" s="63"/>
      <c r="E669" s="63"/>
      <c r="F669" s="17"/>
      <c r="G669" s="17"/>
      <c r="H669" s="17"/>
      <c r="I669" s="17"/>
      <c r="J669" s="17"/>
      <c r="K669" s="63"/>
    </row>
    <row r="670" spans="1:11">
      <c r="A670" s="17"/>
      <c r="B670" s="17"/>
      <c r="C670" s="62"/>
      <c r="D670" s="63"/>
      <c r="E670" s="63"/>
      <c r="F670" s="17"/>
      <c r="G670" s="17"/>
      <c r="H670" s="17"/>
      <c r="I670" s="17"/>
      <c r="J670" s="17"/>
      <c r="K670" s="63"/>
    </row>
    <row r="671" spans="1:11">
      <c r="A671" s="17"/>
      <c r="B671" s="17"/>
      <c r="C671" s="62"/>
      <c r="D671" s="63"/>
      <c r="E671" s="63"/>
      <c r="F671" s="17"/>
      <c r="G671" s="17"/>
      <c r="H671" s="17"/>
      <c r="I671" s="17"/>
      <c r="J671" s="17"/>
      <c r="K671" s="63"/>
    </row>
    <row r="672" spans="1:11">
      <c r="A672" s="17"/>
      <c r="B672" s="17"/>
      <c r="C672" s="62"/>
      <c r="D672" s="63"/>
      <c r="E672" s="63"/>
      <c r="F672" s="17"/>
      <c r="G672" s="17"/>
      <c r="H672" s="17"/>
      <c r="I672" s="17"/>
      <c r="J672" s="17"/>
      <c r="K672" s="63"/>
    </row>
    <row r="673" spans="1:11">
      <c r="A673" s="17"/>
      <c r="B673" s="17"/>
      <c r="C673" s="62"/>
      <c r="D673" s="63"/>
      <c r="E673" s="63"/>
      <c r="F673" s="17"/>
      <c r="G673" s="17"/>
      <c r="H673" s="17"/>
      <c r="I673" s="17"/>
      <c r="J673" s="17"/>
      <c r="K673" s="63"/>
    </row>
    <row r="674" spans="1:11">
      <c r="A674" s="17"/>
      <c r="B674" s="17"/>
      <c r="C674" s="62"/>
      <c r="D674" s="63"/>
      <c r="E674" s="63"/>
      <c r="F674" s="17"/>
      <c r="G674" s="17"/>
      <c r="H674" s="17"/>
      <c r="I674" s="17"/>
      <c r="J674" s="17"/>
      <c r="K674" s="63"/>
    </row>
    <row r="675" spans="1:11">
      <c r="A675" s="17"/>
      <c r="B675" s="17"/>
      <c r="C675" s="62"/>
      <c r="D675" s="63"/>
      <c r="E675" s="63"/>
      <c r="F675" s="17"/>
      <c r="G675" s="17"/>
      <c r="H675" s="17"/>
      <c r="I675" s="17"/>
      <c r="J675" s="17"/>
      <c r="K675" s="63"/>
    </row>
    <row r="676" spans="1:11">
      <c r="A676" s="17"/>
      <c r="B676" s="17"/>
      <c r="C676" s="62"/>
      <c r="D676" s="63"/>
      <c r="E676" s="63"/>
      <c r="F676" s="17"/>
      <c r="G676" s="17"/>
      <c r="H676" s="17"/>
      <c r="I676" s="17"/>
      <c r="J676" s="17"/>
      <c r="K676" s="63"/>
    </row>
    <row r="677" spans="1:11">
      <c r="A677" s="17"/>
      <c r="B677" s="17"/>
      <c r="C677" s="62"/>
      <c r="D677" s="63"/>
      <c r="E677" s="63"/>
      <c r="F677" s="17"/>
      <c r="G677" s="17"/>
      <c r="H677" s="17"/>
      <c r="I677" s="17"/>
      <c r="J677" s="17"/>
      <c r="K677" s="63"/>
    </row>
    <row r="678" spans="1:11">
      <c r="A678" s="17"/>
      <c r="B678" s="17"/>
      <c r="C678" s="62"/>
      <c r="D678" s="63"/>
      <c r="E678" s="63"/>
      <c r="F678" s="17"/>
      <c r="G678" s="17"/>
      <c r="H678" s="17"/>
      <c r="I678" s="17"/>
      <c r="J678" s="17"/>
      <c r="K678" s="63"/>
    </row>
    <row r="679" spans="1:11">
      <c r="A679" s="17"/>
      <c r="B679" s="17"/>
      <c r="C679" s="62"/>
      <c r="D679" s="63"/>
      <c r="E679" s="63"/>
      <c r="F679" s="17"/>
      <c r="G679" s="17"/>
      <c r="H679" s="17"/>
      <c r="I679" s="17"/>
      <c r="J679" s="17"/>
      <c r="K679" s="63"/>
    </row>
    <row r="680" spans="1:11">
      <c r="A680" s="17"/>
      <c r="B680" s="17"/>
      <c r="C680" s="62"/>
      <c r="D680" s="63"/>
      <c r="E680" s="63"/>
      <c r="F680" s="17"/>
      <c r="G680" s="17"/>
      <c r="H680" s="17"/>
      <c r="I680" s="17"/>
      <c r="J680" s="17"/>
      <c r="K680" s="63"/>
    </row>
    <row r="681" spans="1:11">
      <c r="A681" s="17"/>
      <c r="B681" s="17"/>
      <c r="C681" s="62"/>
      <c r="D681" s="63"/>
      <c r="E681" s="63"/>
      <c r="F681" s="17"/>
      <c r="G681" s="17"/>
      <c r="H681" s="17"/>
      <c r="I681" s="17"/>
      <c r="J681" s="17"/>
      <c r="K681" s="63"/>
    </row>
    <row r="682" spans="1:11">
      <c r="A682" s="17"/>
      <c r="B682" s="17"/>
      <c r="C682" s="62"/>
      <c r="D682" s="63"/>
      <c r="E682" s="63"/>
      <c r="F682" s="17"/>
      <c r="G682" s="17"/>
      <c r="H682" s="17"/>
      <c r="I682" s="17"/>
      <c r="J682" s="17"/>
      <c r="K682" s="63"/>
    </row>
    <row r="683" spans="1:11">
      <c r="A683" s="17"/>
      <c r="B683" s="17"/>
      <c r="C683" s="62"/>
      <c r="D683" s="63"/>
      <c r="E683" s="63"/>
      <c r="F683" s="17"/>
      <c r="G683" s="17"/>
      <c r="H683" s="17"/>
      <c r="I683" s="17"/>
      <c r="J683" s="17"/>
      <c r="K683" s="63"/>
    </row>
    <row r="684" spans="1:11">
      <c r="A684" s="17"/>
      <c r="B684" s="17"/>
      <c r="C684" s="62"/>
      <c r="D684" s="63"/>
      <c r="E684" s="63"/>
      <c r="F684" s="17"/>
      <c r="G684" s="17"/>
      <c r="H684" s="17"/>
      <c r="I684" s="17"/>
      <c r="J684" s="17"/>
      <c r="K684" s="63"/>
    </row>
    <row r="685" spans="1:11">
      <c r="A685" s="17"/>
      <c r="B685" s="17"/>
      <c r="C685" s="62"/>
      <c r="D685" s="63"/>
      <c r="E685" s="63"/>
      <c r="F685" s="17"/>
      <c r="G685" s="17"/>
      <c r="H685" s="17"/>
      <c r="I685" s="17"/>
      <c r="J685" s="17"/>
      <c r="K685" s="63"/>
    </row>
    <row r="686" spans="1:11">
      <c r="A686" s="17"/>
      <c r="B686" s="17"/>
      <c r="C686" s="62"/>
      <c r="D686" s="63"/>
      <c r="E686" s="63"/>
      <c r="F686" s="17"/>
      <c r="G686" s="17"/>
      <c r="H686" s="17"/>
      <c r="I686" s="17"/>
      <c r="J686" s="17"/>
      <c r="K686" s="63"/>
    </row>
    <row r="687" spans="1:11">
      <c r="A687" s="17"/>
      <c r="B687" s="17"/>
      <c r="C687" s="62"/>
      <c r="D687" s="63"/>
      <c r="E687" s="63"/>
      <c r="F687" s="17"/>
      <c r="G687" s="17"/>
      <c r="H687" s="17"/>
      <c r="I687" s="17"/>
      <c r="J687" s="17"/>
      <c r="K687" s="63"/>
    </row>
    <row r="688" spans="1:11">
      <c r="A688" s="17"/>
      <c r="B688" s="17"/>
      <c r="C688" s="62"/>
      <c r="D688" s="63"/>
      <c r="E688" s="63"/>
      <c r="F688" s="17"/>
      <c r="G688" s="17"/>
      <c r="H688" s="17"/>
      <c r="I688" s="17"/>
      <c r="J688" s="17"/>
      <c r="K688" s="63"/>
    </row>
    <row r="689" spans="1:11">
      <c r="A689" s="17"/>
      <c r="B689" s="17"/>
      <c r="C689" s="62"/>
      <c r="D689" s="63"/>
      <c r="E689" s="63"/>
      <c r="F689" s="17"/>
      <c r="G689" s="17"/>
      <c r="H689" s="17"/>
      <c r="I689" s="17"/>
      <c r="J689" s="17"/>
      <c r="K689" s="63"/>
    </row>
    <row r="690" spans="1:11">
      <c r="A690" s="17"/>
      <c r="B690" s="17"/>
      <c r="C690" s="62"/>
      <c r="D690" s="63"/>
      <c r="E690" s="63"/>
      <c r="F690" s="17"/>
      <c r="G690" s="17"/>
      <c r="H690" s="17"/>
      <c r="I690" s="17"/>
      <c r="J690" s="17"/>
      <c r="K690" s="63"/>
    </row>
    <row r="691" spans="1:11">
      <c r="A691" s="17"/>
      <c r="B691" s="17"/>
      <c r="C691" s="62"/>
      <c r="D691" s="63"/>
      <c r="E691" s="63"/>
      <c r="F691" s="17"/>
      <c r="G691" s="17"/>
      <c r="H691" s="17"/>
      <c r="I691" s="17"/>
      <c r="J691" s="17"/>
      <c r="K691" s="63"/>
    </row>
    <row r="692" spans="1:11">
      <c r="A692" s="17"/>
      <c r="B692" s="17"/>
      <c r="C692" s="62"/>
      <c r="D692" s="63"/>
      <c r="E692" s="63"/>
      <c r="F692" s="17"/>
      <c r="G692" s="17"/>
      <c r="H692" s="17"/>
      <c r="I692" s="17"/>
      <c r="J692" s="17"/>
      <c r="K692" s="63"/>
    </row>
    <row r="693" spans="1:11">
      <c r="A693" s="17"/>
      <c r="B693" s="17"/>
      <c r="C693" s="62"/>
      <c r="D693" s="63"/>
      <c r="E693" s="63"/>
      <c r="F693" s="17"/>
      <c r="G693" s="17"/>
      <c r="H693" s="17"/>
      <c r="I693" s="17"/>
      <c r="J693" s="17"/>
      <c r="K693" s="63"/>
    </row>
    <row r="694" spans="1:11">
      <c r="A694" s="17"/>
      <c r="B694" s="17"/>
      <c r="C694" s="62"/>
      <c r="D694" s="63"/>
      <c r="E694" s="63"/>
      <c r="F694" s="17"/>
      <c r="G694" s="17"/>
      <c r="H694" s="17"/>
      <c r="I694" s="17"/>
      <c r="J694" s="17"/>
      <c r="K694" s="63"/>
    </row>
    <row r="695" spans="1:11">
      <c r="A695" s="17"/>
      <c r="B695" s="17"/>
      <c r="C695" s="62"/>
      <c r="D695" s="63"/>
      <c r="E695" s="63"/>
      <c r="F695" s="17"/>
      <c r="G695" s="17"/>
      <c r="H695" s="17"/>
      <c r="I695" s="17"/>
      <c r="J695" s="17"/>
      <c r="K695" s="63"/>
    </row>
    <row r="696" spans="1:11">
      <c r="A696" s="17"/>
      <c r="B696" s="17"/>
      <c r="C696" s="62"/>
      <c r="D696" s="63"/>
      <c r="E696" s="63"/>
      <c r="F696" s="17"/>
      <c r="G696" s="17"/>
      <c r="H696" s="17"/>
      <c r="I696" s="17"/>
      <c r="J696" s="17"/>
      <c r="K696" s="63"/>
    </row>
    <row r="697" spans="1:11">
      <c r="A697" s="17"/>
      <c r="B697" s="17"/>
      <c r="C697" s="62"/>
      <c r="D697" s="63"/>
      <c r="E697" s="63"/>
      <c r="F697" s="17"/>
      <c r="G697" s="17"/>
      <c r="H697" s="17"/>
      <c r="I697" s="17"/>
      <c r="J697" s="17"/>
      <c r="K697" s="63"/>
    </row>
    <row r="698" spans="1:11">
      <c r="A698" s="17"/>
      <c r="B698" s="17"/>
      <c r="C698" s="62"/>
      <c r="D698" s="63"/>
      <c r="E698" s="63"/>
      <c r="F698" s="17"/>
      <c r="G698" s="17"/>
      <c r="H698" s="17"/>
      <c r="I698" s="17"/>
      <c r="J698" s="17"/>
      <c r="K698" s="63"/>
    </row>
    <row r="699" spans="1:11">
      <c r="A699" s="17"/>
      <c r="B699" s="17"/>
      <c r="C699" s="62"/>
      <c r="D699" s="63"/>
      <c r="E699" s="63"/>
      <c r="F699" s="17"/>
      <c r="G699" s="17"/>
      <c r="H699" s="17"/>
      <c r="I699" s="17"/>
      <c r="J699" s="17"/>
      <c r="K699" s="63"/>
    </row>
    <row r="700" spans="1:11">
      <c r="A700" s="17"/>
      <c r="B700" s="17"/>
      <c r="C700" s="62"/>
      <c r="D700" s="63"/>
      <c r="E700" s="63"/>
      <c r="F700" s="17"/>
      <c r="G700" s="17"/>
      <c r="H700" s="17"/>
      <c r="I700" s="17"/>
      <c r="J700" s="17"/>
      <c r="K700" s="63"/>
    </row>
    <row r="701" spans="1:11">
      <c r="A701" s="17"/>
      <c r="B701" s="17"/>
      <c r="C701" s="62"/>
      <c r="D701" s="63"/>
      <c r="E701" s="63"/>
      <c r="F701" s="17"/>
      <c r="G701" s="17"/>
      <c r="H701" s="17"/>
      <c r="I701" s="17"/>
      <c r="J701" s="17"/>
      <c r="K701" s="63"/>
    </row>
    <row r="702" spans="1:11">
      <c r="A702" s="17"/>
      <c r="B702" s="17"/>
      <c r="C702" s="62"/>
      <c r="D702" s="63"/>
      <c r="E702" s="63"/>
      <c r="F702" s="17"/>
      <c r="G702" s="17"/>
      <c r="H702" s="17"/>
      <c r="I702" s="17"/>
      <c r="J702" s="17"/>
      <c r="K702" s="63"/>
    </row>
    <row r="703" spans="1:11">
      <c r="A703" s="17"/>
      <c r="B703" s="17"/>
      <c r="C703" s="62"/>
      <c r="D703" s="63"/>
      <c r="E703" s="63"/>
      <c r="F703" s="17"/>
      <c r="G703" s="17"/>
      <c r="H703" s="17"/>
      <c r="I703" s="17"/>
      <c r="J703" s="17"/>
      <c r="K703" s="63"/>
    </row>
    <row r="704" spans="1:11">
      <c r="A704" s="17"/>
      <c r="B704" s="17"/>
      <c r="C704" s="62"/>
      <c r="D704" s="63"/>
      <c r="E704" s="63"/>
      <c r="F704" s="17"/>
      <c r="G704" s="17"/>
      <c r="H704" s="17"/>
      <c r="I704" s="17"/>
      <c r="J704" s="17"/>
      <c r="K704" s="63"/>
    </row>
    <row r="705" spans="1:11">
      <c r="A705" s="17"/>
      <c r="B705" s="17"/>
      <c r="C705" s="62"/>
      <c r="D705" s="63"/>
      <c r="E705" s="63"/>
      <c r="F705" s="17"/>
      <c r="G705" s="17"/>
      <c r="H705" s="17"/>
      <c r="I705" s="17"/>
      <c r="J705" s="17"/>
      <c r="K705" s="63"/>
    </row>
    <row r="706" s="16" customFormat="1" spans="1:221">
      <c r="A706" s="17"/>
      <c r="B706" s="17"/>
      <c r="C706" s="62"/>
      <c r="D706" s="63"/>
      <c r="E706" s="63"/>
      <c r="F706" s="17"/>
      <c r="G706" s="17"/>
      <c r="H706" s="17"/>
      <c r="I706" s="17"/>
      <c r="J706" s="17"/>
      <c r="K706" s="63"/>
      <c r="L706" s="17"/>
      <c r="M706" s="17"/>
      <c r="N706" s="17"/>
      <c r="O706" s="17"/>
      <c r="P706" s="17"/>
      <c r="Q706" s="17"/>
      <c r="R706" s="17"/>
      <c r="S706" s="17"/>
      <c r="T706" s="17"/>
      <c r="U706" s="17"/>
      <c r="V706" s="17"/>
      <c r="W706" s="17"/>
      <c r="X706" s="17"/>
      <c r="Y706" s="17"/>
      <c r="Z706" s="17"/>
      <c r="AA706" s="17"/>
      <c r="AB706" s="17"/>
      <c r="AC706" s="17"/>
      <c r="AD706" s="17"/>
      <c r="AE706" s="17"/>
      <c r="AF706" s="17"/>
      <c r="AG706" s="17"/>
      <c r="AH706" s="17"/>
      <c r="AI706" s="17"/>
      <c r="AJ706" s="17"/>
      <c r="AK706" s="17"/>
      <c r="AL706" s="17"/>
      <c r="AM706" s="17"/>
      <c r="AN706" s="17"/>
      <c r="AO706" s="17"/>
      <c r="AP706" s="17"/>
      <c r="AQ706" s="17"/>
      <c r="AR706" s="17"/>
      <c r="AS706" s="17"/>
      <c r="AT706" s="17"/>
      <c r="AU706" s="17"/>
      <c r="AV706" s="17"/>
      <c r="AW706" s="17"/>
      <c r="AX706" s="17"/>
      <c r="AY706" s="17"/>
      <c r="AZ706" s="17"/>
      <c r="BA706" s="17"/>
      <c r="BB706" s="17"/>
      <c r="BC706" s="17"/>
      <c r="BD706" s="17"/>
      <c r="BE706" s="17"/>
      <c r="BF706" s="17"/>
      <c r="BG706" s="17"/>
      <c r="BH706" s="17"/>
      <c r="BI706" s="17"/>
      <c r="BJ706" s="17"/>
      <c r="BK706" s="17"/>
      <c r="BL706" s="17"/>
      <c r="BM706" s="17"/>
      <c r="BN706" s="17"/>
      <c r="BO706" s="17"/>
      <c r="BP706" s="17"/>
      <c r="BQ706" s="17"/>
      <c r="BR706" s="17"/>
      <c r="BS706" s="17"/>
      <c r="BT706" s="17"/>
      <c r="BU706" s="17"/>
      <c r="BV706" s="17"/>
      <c r="BW706" s="17"/>
      <c r="BX706" s="17"/>
      <c r="BY706" s="17"/>
      <c r="BZ706" s="17"/>
      <c r="CA706" s="17"/>
      <c r="CB706" s="17"/>
      <c r="CC706" s="17"/>
      <c r="CD706" s="17"/>
      <c r="CE706" s="17"/>
      <c r="CF706" s="17"/>
      <c r="CG706" s="17"/>
      <c r="CH706" s="17"/>
      <c r="CI706" s="17"/>
      <c r="CJ706" s="17"/>
      <c r="CK706" s="17"/>
      <c r="CL706" s="17"/>
      <c r="CM706" s="17"/>
      <c r="CN706" s="17"/>
      <c r="CO706" s="17"/>
      <c r="CP706" s="17"/>
      <c r="CQ706" s="17"/>
      <c r="CR706" s="17"/>
      <c r="CS706" s="17"/>
      <c r="CT706" s="17"/>
      <c r="CU706" s="17"/>
      <c r="CV706" s="17"/>
      <c r="CW706" s="17"/>
      <c r="CX706" s="17"/>
      <c r="CY706" s="17"/>
      <c r="CZ706" s="17"/>
      <c r="DA706" s="17"/>
      <c r="DB706" s="17"/>
      <c r="DC706" s="17"/>
      <c r="DD706" s="17"/>
      <c r="DE706" s="17"/>
      <c r="DF706" s="17"/>
      <c r="DG706" s="17"/>
      <c r="DH706" s="17"/>
      <c r="DI706" s="17"/>
      <c r="DJ706" s="17"/>
      <c r="DK706" s="17"/>
      <c r="DL706" s="17"/>
      <c r="DM706" s="17"/>
      <c r="DN706" s="17"/>
      <c r="DO706" s="17"/>
      <c r="DP706" s="17"/>
      <c r="DQ706" s="17"/>
      <c r="DR706" s="17"/>
      <c r="DS706" s="17"/>
      <c r="DT706" s="17"/>
      <c r="DU706" s="17"/>
      <c r="DV706" s="17"/>
      <c r="DW706" s="17"/>
      <c r="DX706" s="17"/>
      <c r="DY706" s="17"/>
      <c r="DZ706" s="17"/>
      <c r="EA706" s="17"/>
      <c r="EB706" s="17"/>
      <c r="EC706" s="17"/>
      <c r="ED706" s="17"/>
      <c r="EE706" s="17"/>
      <c r="EF706" s="17"/>
      <c r="EG706" s="17"/>
      <c r="EH706" s="17"/>
      <c r="EI706" s="17"/>
      <c r="EJ706" s="17"/>
      <c r="EK706" s="17"/>
      <c r="EL706" s="17"/>
      <c r="EM706" s="17"/>
      <c r="EN706" s="17"/>
      <c r="EO706" s="17"/>
      <c r="EP706" s="17"/>
      <c r="EQ706" s="17"/>
      <c r="ER706" s="17"/>
      <c r="ES706" s="17"/>
      <c r="ET706" s="17"/>
      <c r="EU706" s="17"/>
      <c r="EV706" s="17"/>
      <c r="EW706" s="17"/>
      <c r="EX706" s="17"/>
      <c r="EY706" s="17"/>
      <c r="EZ706" s="17"/>
      <c r="FA706" s="17"/>
      <c r="FB706" s="17"/>
      <c r="FC706" s="17"/>
      <c r="FD706" s="17"/>
      <c r="FE706" s="17"/>
      <c r="FF706" s="17"/>
      <c r="FG706" s="17"/>
      <c r="FH706" s="17"/>
      <c r="FI706" s="17"/>
      <c r="FJ706" s="17"/>
      <c r="FK706" s="17"/>
      <c r="FL706" s="17"/>
      <c r="FM706" s="17"/>
      <c r="FN706" s="17"/>
      <c r="FO706" s="17"/>
      <c r="FP706" s="17"/>
      <c r="FQ706" s="17"/>
      <c r="FR706" s="17"/>
      <c r="FS706" s="17"/>
      <c r="FT706" s="17"/>
      <c r="FU706" s="17"/>
      <c r="FV706" s="17"/>
      <c r="FW706" s="17"/>
      <c r="FX706" s="17"/>
      <c r="FY706" s="17"/>
      <c r="FZ706" s="17"/>
      <c r="GA706" s="17"/>
      <c r="GB706" s="17"/>
      <c r="GC706" s="17"/>
      <c r="GD706" s="17"/>
      <c r="GE706" s="17"/>
      <c r="GF706" s="17"/>
      <c r="GG706" s="17"/>
      <c r="GH706" s="17"/>
      <c r="GI706" s="17"/>
      <c r="GJ706" s="17"/>
      <c r="GK706" s="17"/>
      <c r="GL706" s="17"/>
      <c r="GM706" s="17"/>
      <c r="GN706" s="17"/>
      <c r="GO706" s="17"/>
      <c r="GP706" s="17"/>
      <c r="GQ706" s="17"/>
      <c r="GR706" s="17"/>
      <c r="GS706" s="17"/>
      <c r="GT706" s="17"/>
      <c r="GU706" s="17"/>
      <c r="GV706" s="17"/>
      <c r="GW706" s="17"/>
      <c r="GX706" s="17"/>
      <c r="GY706" s="17"/>
      <c r="GZ706" s="17"/>
      <c r="HA706" s="17"/>
      <c r="HB706" s="17"/>
      <c r="HC706" s="17"/>
      <c r="HD706" s="17"/>
      <c r="HE706" s="17"/>
      <c r="HF706" s="17"/>
      <c r="HG706" s="17"/>
      <c r="HH706" s="17"/>
      <c r="HI706" s="17"/>
      <c r="HJ706" s="17"/>
      <c r="HK706" s="17"/>
      <c r="HL706" s="17"/>
      <c r="HM706" s="17"/>
    </row>
    <row r="707" s="17" customFormat="1" spans="3:11">
      <c r="C707" s="62"/>
      <c r="D707" s="63"/>
      <c r="E707" s="63"/>
      <c r="K707" s="63"/>
    </row>
    <row r="708" s="17" customFormat="1" spans="3:11">
      <c r="C708" s="62"/>
      <c r="D708" s="63"/>
      <c r="E708" s="63"/>
      <c r="K708" s="63"/>
    </row>
    <row r="709" s="17" customFormat="1" spans="3:11">
      <c r="C709" s="62"/>
      <c r="D709" s="63"/>
      <c r="E709" s="63"/>
      <c r="K709" s="63"/>
    </row>
    <row r="710" s="17" customFormat="1" spans="3:11">
      <c r="C710" s="62"/>
      <c r="D710" s="63"/>
      <c r="E710" s="63"/>
      <c r="K710" s="63"/>
    </row>
    <row r="711" s="17" customFormat="1" spans="3:11">
      <c r="C711" s="62"/>
      <c r="D711" s="63"/>
      <c r="E711" s="63"/>
      <c r="K711" s="63"/>
    </row>
    <row r="712" s="17" customFormat="1" spans="3:11">
      <c r="C712" s="62"/>
      <c r="D712" s="63"/>
      <c r="E712" s="63"/>
      <c r="K712" s="63"/>
    </row>
    <row r="713" s="17" customFormat="1" spans="3:11">
      <c r="C713" s="62"/>
      <c r="D713" s="63"/>
      <c r="E713" s="63"/>
      <c r="K713" s="63"/>
    </row>
    <row r="714" s="17" customFormat="1" spans="3:11">
      <c r="C714" s="62"/>
      <c r="D714" s="63"/>
      <c r="E714" s="63"/>
      <c r="K714" s="63"/>
    </row>
    <row r="715" spans="3:5">
      <c r="C715" s="62"/>
      <c r="D715" s="63"/>
      <c r="E715" s="63"/>
    </row>
    <row r="716" spans="4:5">
      <c r="D716" s="63"/>
      <c r="E716" s="63"/>
    </row>
    <row r="717" spans="4:4">
      <c r="D717" s="63"/>
    </row>
    <row r="718" spans="4:4">
      <c r="D718" s="63"/>
    </row>
  </sheetData>
  <mergeCells count="159">
    <mergeCell ref="A1:J1"/>
    <mergeCell ref="C2:D2"/>
    <mergeCell ref="F2:G2"/>
    <mergeCell ref="C3:D3"/>
    <mergeCell ref="F3:G3"/>
    <mergeCell ref="C4:D4"/>
    <mergeCell ref="F4:G4"/>
    <mergeCell ref="C5:D5"/>
    <mergeCell ref="F5:G5"/>
    <mergeCell ref="A6:K6"/>
    <mergeCell ref="A7:K7"/>
    <mergeCell ref="H8:J8"/>
    <mergeCell ref="A26:K26"/>
    <mergeCell ref="H27:J27"/>
    <mergeCell ref="A309:K309"/>
    <mergeCell ref="H310:J310"/>
    <mergeCell ref="A351:K351"/>
    <mergeCell ref="H352:J352"/>
    <mergeCell ref="A9:A20"/>
    <mergeCell ref="A21:A25"/>
    <mergeCell ref="A28:A37"/>
    <mergeCell ref="A38:A59"/>
    <mergeCell ref="A60:A107"/>
    <mergeCell ref="A108:A143"/>
    <mergeCell ref="A144:A223"/>
    <mergeCell ref="A224:A268"/>
    <mergeCell ref="A269:A308"/>
    <mergeCell ref="A311:A315"/>
    <mergeCell ref="A316:A342"/>
    <mergeCell ref="A343:A350"/>
    <mergeCell ref="A353:A356"/>
    <mergeCell ref="A357:A361"/>
    <mergeCell ref="C9:C14"/>
    <mergeCell ref="C15:C20"/>
    <mergeCell ref="C21:C22"/>
    <mergeCell ref="C23:C25"/>
    <mergeCell ref="C28:C31"/>
    <mergeCell ref="C32:C37"/>
    <mergeCell ref="C38:C50"/>
    <mergeCell ref="C51:C54"/>
    <mergeCell ref="C55:C59"/>
    <mergeCell ref="C61:C63"/>
    <mergeCell ref="C64:C72"/>
    <mergeCell ref="C73:C86"/>
    <mergeCell ref="C87:C107"/>
    <mergeCell ref="C108:C109"/>
    <mergeCell ref="C110:C114"/>
    <mergeCell ref="C115:C134"/>
    <mergeCell ref="C135:C143"/>
    <mergeCell ref="C144:C151"/>
    <mergeCell ref="C152:C162"/>
    <mergeCell ref="C163:C173"/>
    <mergeCell ref="C174:C223"/>
    <mergeCell ref="C224:C228"/>
    <mergeCell ref="C229:C268"/>
    <mergeCell ref="C269:C271"/>
    <mergeCell ref="C272:C289"/>
    <mergeCell ref="C290:C308"/>
    <mergeCell ref="C311:C314"/>
    <mergeCell ref="C316:C317"/>
    <mergeCell ref="C318:C326"/>
    <mergeCell ref="C327:C342"/>
    <mergeCell ref="C344:C350"/>
    <mergeCell ref="C353:C354"/>
    <mergeCell ref="C355:C356"/>
    <mergeCell ref="C357:C358"/>
    <mergeCell ref="C359:C361"/>
    <mergeCell ref="D9:D10"/>
    <mergeCell ref="D11:D12"/>
    <mergeCell ref="D13:D14"/>
    <mergeCell ref="D15:D16"/>
    <mergeCell ref="D17:D18"/>
    <mergeCell ref="D19:D20"/>
    <mergeCell ref="D36:D37"/>
    <mergeCell ref="D40:D41"/>
    <mergeCell ref="D42:D47"/>
    <mergeCell ref="D48:D49"/>
    <mergeCell ref="D51:D52"/>
    <mergeCell ref="D53:D54"/>
    <mergeCell ref="D55:D59"/>
    <mergeCell ref="D61:D63"/>
    <mergeCell ref="D64:D69"/>
    <mergeCell ref="D73:D74"/>
    <mergeCell ref="D75:D76"/>
    <mergeCell ref="D78:D80"/>
    <mergeCell ref="D81:D83"/>
    <mergeCell ref="D84:D86"/>
    <mergeCell ref="D87:D88"/>
    <mergeCell ref="D92:D93"/>
    <mergeCell ref="D97:D100"/>
    <mergeCell ref="D101:D102"/>
    <mergeCell ref="D103:D104"/>
    <mergeCell ref="D105:D106"/>
    <mergeCell ref="D108:D109"/>
    <mergeCell ref="D110:D111"/>
    <mergeCell ref="D112:D114"/>
    <mergeCell ref="D115:D116"/>
    <mergeCell ref="D117:D118"/>
    <mergeCell ref="D119:D120"/>
    <mergeCell ref="D121:D122"/>
    <mergeCell ref="D123:D124"/>
    <mergeCell ref="D125:D126"/>
    <mergeCell ref="D127:D128"/>
    <mergeCell ref="D129:D130"/>
    <mergeCell ref="D131:D132"/>
    <mergeCell ref="D133:D134"/>
    <mergeCell ref="D136:D138"/>
    <mergeCell ref="D139:D141"/>
    <mergeCell ref="D144:D146"/>
    <mergeCell ref="D148:D149"/>
    <mergeCell ref="D150:D151"/>
    <mergeCell ref="D152:D153"/>
    <mergeCell ref="D154:D155"/>
    <mergeCell ref="D156:D158"/>
    <mergeCell ref="D159:D162"/>
    <mergeCell ref="D163:D164"/>
    <mergeCell ref="D165:D168"/>
    <mergeCell ref="D169:D173"/>
    <mergeCell ref="D174:D178"/>
    <mergeCell ref="D179:D183"/>
    <mergeCell ref="D184:D188"/>
    <mergeCell ref="D189:D193"/>
    <mergeCell ref="D194:D198"/>
    <mergeCell ref="D199:D203"/>
    <mergeCell ref="D204:D208"/>
    <mergeCell ref="D209:D213"/>
    <mergeCell ref="D214:D218"/>
    <mergeCell ref="D219:D223"/>
    <mergeCell ref="D224:D228"/>
    <mergeCell ref="D229:D232"/>
    <mergeCell ref="D233:D236"/>
    <mergeCell ref="D237:D240"/>
    <mergeCell ref="D241:D244"/>
    <mergeCell ref="D245:D248"/>
    <mergeCell ref="D249:D252"/>
    <mergeCell ref="D253:D256"/>
    <mergeCell ref="D257:D260"/>
    <mergeCell ref="D261:D264"/>
    <mergeCell ref="D265:D268"/>
    <mergeCell ref="D269:D271"/>
    <mergeCell ref="D273:D275"/>
    <mergeCell ref="D276:D277"/>
    <mergeCell ref="D278:D279"/>
    <mergeCell ref="D280:D284"/>
    <mergeCell ref="D285:D288"/>
    <mergeCell ref="D290:D291"/>
    <mergeCell ref="D292:D294"/>
    <mergeCell ref="D295:D296"/>
    <mergeCell ref="D297:D300"/>
    <mergeCell ref="D301:D308"/>
    <mergeCell ref="D316:D317"/>
    <mergeCell ref="D318:D319"/>
    <mergeCell ref="D322:D324"/>
    <mergeCell ref="D327:D328"/>
    <mergeCell ref="D329:D330"/>
    <mergeCell ref="D331:D333"/>
    <mergeCell ref="D334:D340"/>
    <mergeCell ref="D344:D345"/>
    <mergeCell ref="D346:D349"/>
  </mergeCells>
  <pageMargins left="0.699305555555556" right="0.699305555555556" top="0.75" bottom="0.75" header="0.3" footer="0.3"/>
  <pageSetup paperSize="9" orientation="portrait" horizontalDpi="200" verticalDpi="300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>
    <tabColor indexed="63"/>
  </sheetPr>
  <dimension ref="A1:D36"/>
  <sheetViews>
    <sheetView workbookViewId="0">
      <selection activeCell="G17" sqref="G17"/>
    </sheetView>
  </sheetViews>
  <sheetFormatPr defaultColWidth="9" defaultRowHeight="16.5" outlineLevelCol="3"/>
  <cols>
    <col min="1" max="2" width="9" style="1"/>
    <col min="3" max="3" width="15.25" style="1" customWidth="1"/>
    <col min="4" max="4" width="73.375" style="1" customWidth="1"/>
    <col min="5" max="16384" width="9" style="1"/>
  </cols>
  <sheetData>
    <row r="1" spans="1:4">
      <c r="A1" s="4" t="s">
        <v>787</v>
      </c>
      <c r="B1" s="4" t="s">
        <v>788</v>
      </c>
      <c r="C1" s="4" t="s">
        <v>789</v>
      </c>
      <c r="D1" s="4" t="s">
        <v>790</v>
      </c>
    </row>
    <row r="2" spans="1:4">
      <c r="A2" s="5"/>
      <c r="B2" s="6"/>
      <c r="C2" s="5"/>
      <c r="D2" s="6"/>
    </row>
    <row r="3" spans="1:4">
      <c r="A3" s="5"/>
      <c r="B3" s="6"/>
      <c r="C3" s="5"/>
      <c r="D3" s="6"/>
    </row>
    <row r="4" spans="1:4">
      <c r="A4" s="5"/>
      <c r="B4" s="6"/>
      <c r="C4" s="5"/>
      <c r="D4" s="7"/>
    </row>
    <row r="5" spans="1:4">
      <c r="A5" s="5"/>
      <c r="B5" s="6"/>
      <c r="C5" s="5"/>
      <c r="D5" s="6"/>
    </row>
    <row r="6" spans="1:4">
      <c r="A6" s="5"/>
      <c r="B6" s="6"/>
      <c r="C6" s="5"/>
      <c r="D6" s="7"/>
    </row>
    <row r="7" spans="1:4">
      <c r="A7" s="5"/>
      <c r="B7" s="6"/>
      <c r="C7" s="5"/>
      <c r="D7" s="7"/>
    </row>
    <row r="8" spans="1:4">
      <c r="A8" s="5"/>
      <c r="B8" s="6"/>
      <c r="C8" s="5"/>
      <c r="D8" s="6"/>
    </row>
    <row r="9" spans="1:4">
      <c r="A9" s="5"/>
      <c r="B9" s="6"/>
      <c r="C9" s="5"/>
      <c r="D9" s="6"/>
    </row>
    <row r="10" spans="1:4">
      <c r="A10" s="5"/>
      <c r="B10" s="6"/>
      <c r="C10" s="5"/>
      <c r="D10" s="7"/>
    </row>
    <row r="11" spans="1:4">
      <c r="A11" s="5"/>
      <c r="B11" s="6"/>
      <c r="C11" s="5"/>
      <c r="D11" s="6"/>
    </row>
    <row r="12" spans="1:4">
      <c r="A12" s="5"/>
      <c r="B12" s="6"/>
      <c r="C12" s="5"/>
      <c r="D12" s="8"/>
    </row>
    <row r="13" spans="1:4">
      <c r="A13" s="5"/>
      <c r="B13" s="6"/>
      <c r="C13" s="5"/>
      <c r="D13" s="8"/>
    </row>
    <row r="14" spans="1:4">
      <c r="A14" s="5"/>
      <c r="B14" s="6"/>
      <c r="C14" s="5"/>
      <c r="D14" s="8"/>
    </row>
    <row r="15" spans="1:4">
      <c r="A15" s="5"/>
      <c r="B15" s="6"/>
      <c r="C15" s="5"/>
      <c r="D15" s="8"/>
    </row>
    <row r="16" spans="1:4">
      <c r="A16" s="5"/>
      <c r="B16" s="6"/>
      <c r="C16" s="5"/>
      <c r="D16" s="9"/>
    </row>
    <row r="17" spans="1:4">
      <c r="A17" s="5"/>
      <c r="B17" s="6"/>
      <c r="C17" s="5"/>
      <c r="D17" s="8"/>
    </row>
    <row r="18" spans="1:4">
      <c r="A18" s="5"/>
      <c r="B18" s="6"/>
      <c r="C18" s="5"/>
      <c r="D18" s="8"/>
    </row>
    <row r="19" spans="1:4">
      <c r="A19" s="5"/>
      <c r="B19" s="6"/>
      <c r="C19" s="5"/>
      <c r="D19" s="8"/>
    </row>
    <row r="20" spans="1:4">
      <c r="A20" s="5"/>
      <c r="B20" s="6"/>
      <c r="C20" s="5"/>
      <c r="D20" s="8"/>
    </row>
    <row r="21" spans="1:4">
      <c r="A21" s="5"/>
      <c r="B21" s="6"/>
      <c r="C21" s="5"/>
      <c r="D21" s="8"/>
    </row>
    <row r="22" spans="1:4">
      <c r="A22" s="10"/>
      <c r="B22" s="11"/>
      <c r="C22" s="12"/>
      <c r="D22" s="8"/>
    </row>
    <row r="23" spans="1:4">
      <c r="A23" s="10"/>
      <c r="B23" s="11"/>
      <c r="C23" s="12"/>
      <c r="D23" s="8"/>
    </row>
    <row r="24" spans="1:4">
      <c r="A24" s="10"/>
      <c r="B24" s="11"/>
      <c r="C24" s="5"/>
      <c r="D24" s="8"/>
    </row>
    <row r="25" spans="1:4">
      <c r="A25" s="10"/>
      <c r="B25" s="11"/>
      <c r="C25" s="12"/>
      <c r="D25" s="8"/>
    </row>
    <row r="26" spans="1:4">
      <c r="A26" s="10"/>
      <c r="B26" s="11"/>
      <c r="C26" s="12"/>
      <c r="D26" s="8"/>
    </row>
    <row r="27" spans="1:4">
      <c r="A27" s="5"/>
      <c r="B27" s="6"/>
      <c r="C27" s="5"/>
      <c r="D27" s="8"/>
    </row>
    <row r="28" spans="1:4">
      <c r="A28" s="5"/>
      <c r="B28" s="6"/>
      <c r="C28" s="5"/>
      <c r="D28" s="8"/>
    </row>
    <row r="29" spans="1:4">
      <c r="A29" s="13"/>
      <c r="B29" s="13"/>
      <c r="C29" s="13"/>
      <c r="D29" s="13"/>
    </row>
    <row r="30" spans="1:4">
      <c r="A30" s="13"/>
      <c r="B30" s="13"/>
      <c r="C30" s="13"/>
      <c r="D30" s="13"/>
    </row>
    <row r="31" spans="1:4">
      <c r="A31" s="13"/>
      <c r="B31" s="13"/>
      <c r="C31" s="13"/>
      <c r="D31" s="13"/>
    </row>
    <row r="32" spans="1:4">
      <c r="A32" s="13"/>
      <c r="B32" s="13"/>
      <c r="C32" s="13"/>
      <c r="D32" s="13"/>
    </row>
    <row r="33" spans="1:4">
      <c r="A33" s="13"/>
      <c r="B33" s="13"/>
      <c r="C33" s="13"/>
      <c r="D33" s="13"/>
    </row>
    <row r="34" spans="1:4">
      <c r="A34" s="13"/>
      <c r="B34" s="13"/>
      <c r="C34" s="13"/>
      <c r="D34" s="13"/>
    </row>
    <row r="35" spans="1:4">
      <c r="A35" s="13"/>
      <c r="B35" s="13"/>
      <c r="C35" s="13"/>
      <c r="D35" s="13"/>
    </row>
    <row r="36" spans="1:4">
      <c r="A36" s="13"/>
      <c r="B36" s="13"/>
      <c r="C36" s="13"/>
      <c r="D36" s="13"/>
    </row>
  </sheetData>
  <pageMargins left="0.699305555555556" right="0.699305555555556" top="0.75" bottom="0.75" header="0.3" footer="0.3"/>
  <pageSetup paperSize="9" orientation="portrait" horizontalDpi="200" verticalDpi="300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/>
  <dimension ref="A1:F27"/>
  <sheetViews>
    <sheetView workbookViewId="0">
      <selection activeCell="H37" sqref="H37"/>
    </sheetView>
  </sheetViews>
  <sheetFormatPr defaultColWidth="9" defaultRowHeight="16.5" outlineLevelCol="5"/>
  <cols>
    <col min="1" max="16384" width="9" style="1"/>
  </cols>
  <sheetData>
    <row r="1" ht="13.5" spans="1:6">
      <c r="A1" s="2" t="s">
        <v>791</v>
      </c>
      <c r="B1" s="3"/>
      <c r="C1" s="3"/>
      <c r="D1" s="3"/>
      <c r="E1" s="3"/>
      <c r="F1" s="3"/>
    </row>
    <row r="2" ht="13.5" spans="1:6">
      <c r="A2" s="3"/>
      <c r="B2" s="3"/>
      <c r="C2" s="3"/>
      <c r="D2" s="3"/>
      <c r="E2" s="3"/>
      <c r="F2" s="3"/>
    </row>
    <row r="3" ht="13.5" spans="1:6">
      <c r="A3" s="3"/>
      <c r="B3" s="3"/>
      <c r="C3" s="3"/>
      <c r="D3" s="3"/>
      <c r="E3" s="3"/>
      <c r="F3" s="3"/>
    </row>
    <row r="4" ht="13.5" spans="1:6">
      <c r="A4" s="3"/>
      <c r="B4" s="3"/>
      <c r="C4" s="3"/>
      <c r="D4" s="3"/>
      <c r="E4" s="3"/>
      <c r="F4" s="3"/>
    </row>
    <row r="5" ht="13.5" spans="1:6">
      <c r="A5" s="3"/>
      <c r="B5" s="3"/>
      <c r="C5" s="3"/>
      <c r="D5" s="3"/>
      <c r="E5" s="3"/>
      <c r="F5" s="3"/>
    </row>
    <row r="6" ht="13.5" spans="1:6">
      <c r="A6" s="3"/>
      <c r="B6" s="3"/>
      <c r="C6" s="3"/>
      <c r="D6" s="3"/>
      <c r="E6" s="3"/>
      <c r="F6" s="3"/>
    </row>
    <row r="7" ht="13.5" spans="1:6">
      <c r="A7" s="3"/>
      <c r="B7" s="3"/>
      <c r="C7" s="3"/>
      <c r="D7" s="3"/>
      <c r="E7" s="3"/>
      <c r="F7" s="3"/>
    </row>
    <row r="8" ht="13.5" spans="1:6">
      <c r="A8" s="3"/>
      <c r="B8" s="3"/>
      <c r="C8" s="3"/>
      <c r="D8" s="3"/>
      <c r="E8" s="3"/>
      <c r="F8" s="3"/>
    </row>
    <row r="9" ht="13.5" spans="1:6">
      <c r="A9" s="3"/>
      <c r="B9" s="3"/>
      <c r="C9" s="3"/>
      <c r="D9" s="3"/>
      <c r="E9" s="3"/>
      <c r="F9" s="3"/>
    </row>
    <row r="10" ht="13.5" spans="1:6">
      <c r="A10" s="3"/>
      <c r="B10" s="3"/>
      <c r="C10" s="3"/>
      <c r="D10" s="3"/>
      <c r="E10" s="3"/>
      <c r="F10" s="3"/>
    </row>
    <row r="11" ht="13.5" spans="1:6">
      <c r="A11" s="3"/>
      <c r="B11" s="3"/>
      <c r="C11" s="3"/>
      <c r="D11" s="3"/>
      <c r="E11" s="3"/>
      <c r="F11" s="3"/>
    </row>
    <row r="12" ht="13.5" spans="1:6">
      <c r="A12" s="3"/>
      <c r="B12" s="3"/>
      <c r="C12" s="3"/>
      <c r="D12" s="3"/>
      <c r="E12" s="3"/>
      <c r="F12" s="3"/>
    </row>
    <row r="13" ht="13.5" spans="1:6">
      <c r="A13" s="3"/>
      <c r="B13" s="3"/>
      <c r="C13" s="3"/>
      <c r="D13" s="3"/>
      <c r="E13" s="3"/>
      <c r="F13" s="3"/>
    </row>
    <row r="14" ht="13.5" spans="1:6">
      <c r="A14" s="3"/>
      <c r="B14" s="3"/>
      <c r="C14" s="3"/>
      <c r="D14" s="3"/>
      <c r="E14" s="3"/>
      <c r="F14" s="3"/>
    </row>
    <row r="15" ht="13.5" spans="1:6">
      <c r="A15" s="3"/>
      <c r="B15" s="3"/>
      <c r="C15" s="3"/>
      <c r="D15" s="3"/>
      <c r="E15" s="3"/>
      <c r="F15" s="3"/>
    </row>
    <row r="16" ht="13.5" spans="1:6">
      <c r="A16" s="3"/>
      <c r="B16" s="3"/>
      <c r="C16" s="3"/>
      <c r="D16" s="3"/>
      <c r="E16" s="3"/>
      <c r="F16" s="3"/>
    </row>
    <row r="17" ht="13.5" spans="1:6">
      <c r="A17" s="3"/>
      <c r="B17" s="3"/>
      <c r="C17" s="3"/>
      <c r="D17" s="3"/>
      <c r="E17" s="3"/>
      <c r="F17" s="3"/>
    </row>
    <row r="18" ht="13.5" spans="1:6">
      <c r="A18" s="3"/>
      <c r="B18" s="3"/>
      <c r="C18" s="3"/>
      <c r="D18" s="3"/>
      <c r="E18" s="3"/>
      <c r="F18" s="3"/>
    </row>
    <row r="19" ht="13.5" spans="1:6">
      <c r="A19" s="3"/>
      <c r="B19" s="3"/>
      <c r="C19" s="3"/>
      <c r="D19" s="3"/>
      <c r="E19" s="3"/>
      <c r="F19" s="3"/>
    </row>
    <row r="20" ht="13.5" spans="1:6">
      <c r="A20" s="3"/>
      <c r="B20" s="3"/>
      <c r="C20" s="3"/>
      <c r="D20" s="3"/>
      <c r="E20" s="3"/>
      <c r="F20" s="3"/>
    </row>
    <row r="21" ht="13.5" spans="1:6">
      <c r="A21" s="3"/>
      <c r="B21" s="3"/>
      <c r="C21" s="3"/>
      <c r="D21" s="3"/>
      <c r="E21" s="3"/>
      <c r="F21" s="3"/>
    </row>
    <row r="22" ht="13.5" spans="1:6">
      <c r="A22" s="3"/>
      <c r="B22" s="3"/>
      <c r="C22" s="3"/>
      <c r="D22" s="3"/>
      <c r="E22" s="3"/>
      <c r="F22" s="3"/>
    </row>
    <row r="23" ht="13.5" spans="1:6">
      <c r="A23" s="3"/>
      <c r="B23" s="3"/>
      <c r="C23" s="3"/>
      <c r="D23" s="3"/>
      <c r="E23" s="3"/>
      <c r="F23" s="3"/>
    </row>
    <row r="24" ht="13.5" spans="1:6">
      <c r="A24" s="3"/>
      <c r="B24" s="3"/>
      <c r="C24" s="3"/>
      <c r="D24" s="3"/>
      <c r="E24" s="3"/>
      <c r="F24" s="3"/>
    </row>
    <row r="25" ht="13.5" spans="1:6">
      <c r="A25" s="3"/>
      <c r="B25" s="3"/>
      <c r="C25" s="3"/>
      <c r="D25" s="3"/>
      <c r="E25" s="3"/>
      <c r="F25" s="3"/>
    </row>
    <row r="26" ht="13.5" spans="1:6">
      <c r="A26" s="3"/>
      <c r="B26" s="3"/>
      <c r="C26" s="3"/>
      <c r="D26" s="3"/>
      <c r="E26" s="3"/>
      <c r="F26" s="3"/>
    </row>
    <row r="27" ht="13.5" spans="1:6">
      <c r="A27" s="3"/>
      <c r="B27" s="3"/>
      <c r="C27" s="3"/>
      <c r="D27" s="3"/>
      <c r="E27" s="3"/>
      <c r="F27" s="3"/>
    </row>
  </sheetData>
  <mergeCells count="1">
    <mergeCell ref="A1:F27"/>
  </mergeCells>
  <pageMargins left="0.699305555555556" right="0.699305555555556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测试用例</vt:lpstr>
      <vt:lpstr>修改内容</vt:lpstr>
      <vt:lpstr>第一次测试报告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xp</dc:creator>
  <dcterms:created xsi:type="dcterms:W3CDTF">2006-09-13T11:21:00Z</dcterms:created>
  <dcterms:modified xsi:type="dcterms:W3CDTF">2015-09-10T09:37:38Z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2052-9.1.0.5087</vt:lpwstr>
  </property>
</Properties>
</file>